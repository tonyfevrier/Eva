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Emmanuel Ahr\OneDrive - Université de Franche-Comté (univ-fcomte.fr)\EVA\IVGC\ResultatsEVAv2\"/>
    </mc:Choice>
  </mc:AlternateContent>
  <xr:revisionPtr revIDLastSave="0" documentId="8_{A4C8373F-74C0-4CB6-B674-7716F967B986}" xr6:coauthVersionLast="45" xr6:coauthVersionMax="45" xr10:uidLastSave="{00000000-0000-0000-0000-000000000000}"/>
  <bookViews>
    <workbookView xWindow="-108" yWindow="-108" windowWidth="23256" windowHeight="12576" tabRatio="724" xr2:uid="{00000000-000D-0000-FFFF-FFFF00000000}"/>
  </bookViews>
  <sheets>
    <sheet name="Choix pédagogiques" sheetId="16" r:id="rId1"/>
    <sheet name="Données brutes" sheetId="3" r:id="rId2"/>
    <sheet name="Scores bruts 40" sheetId="23" r:id="rId3"/>
    <sheet name="Scores bruts tous" sheetId="24" r:id="rId4"/>
    <sheet name="Données descriptives groupe" sheetId="25" r:id="rId5"/>
    <sheet name="Probabilités de réussite" sheetId="4" r:id="rId6"/>
    <sheet name="Évolutions des P. de réussite" sheetId="21" r:id="rId7"/>
  </sheets>
  <definedNames>
    <definedName name="_xlnm.Print_Area" localSheetId="1">'Données brutes'!$A$1:$BT$1012</definedName>
    <definedName name="_xlnm.Print_Area" localSheetId="4">'Données descriptives groupe'!$A$1:$F$23</definedName>
    <definedName name="_xlnm.Print_Area" localSheetId="6">'Évolutions des P. de réussite'!$A$1:$N$10</definedName>
    <definedName name="_xlnm.Print_Area" localSheetId="5">'Probabilités de réussite'!$A$1:$J$6</definedName>
    <definedName name="_xlnm.Print_Area" localSheetId="2">'Scores bruts 40'!$A$1:$J$14</definedName>
    <definedName name="_xlnm.Print_Area" localSheetId="3">'Scores bruts tous'!$A$1:$J$40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9" i="16" l="1"/>
  <c r="C8" i="16"/>
  <c r="I12" i="3" l="1"/>
  <c r="H12" i="3"/>
  <c r="G12" i="3"/>
  <c r="I11" i="3"/>
  <c r="H11" i="3"/>
  <c r="G11" i="3"/>
  <c r="I10" i="3"/>
  <c r="H10" i="3"/>
  <c r="G10" i="3"/>
  <c r="I9" i="3"/>
  <c r="H9" i="3"/>
  <c r="G9" i="3"/>
  <c r="I8" i="3"/>
  <c r="H8" i="3"/>
  <c r="G8" i="3"/>
  <c r="C8" i="3"/>
  <c r="D8" i="3"/>
  <c r="C9" i="3"/>
  <c r="D9" i="3"/>
  <c r="C10" i="3"/>
  <c r="D10" i="3"/>
  <c r="C11" i="3"/>
  <c r="D11" i="3"/>
  <c r="C12" i="3"/>
  <c r="D12" i="3"/>
  <c r="B10" i="3"/>
  <c r="B12" i="3"/>
  <c r="B11" i="3"/>
  <c r="B9" i="3"/>
  <c r="B8" i="3"/>
  <c r="C16" i="16" l="1"/>
  <c r="BM6" i="3"/>
  <c r="BN6" i="3"/>
  <c r="BM14" i="3"/>
  <c r="BN14" i="3"/>
  <c r="BO14" i="3"/>
  <c r="BM15" i="3"/>
  <c r="BN15" i="3"/>
  <c r="BO15" i="3"/>
  <c r="BM16" i="3"/>
  <c r="BN16" i="3"/>
  <c r="BO16" i="3"/>
  <c r="BM17" i="3"/>
  <c r="BN17" i="3"/>
  <c r="BO17" i="3"/>
  <c r="BM18" i="3"/>
  <c r="BN18" i="3"/>
  <c r="BO18" i="3"/>
  <c r="BM19" i="3"/>
  <c r="BN19" i="3"/>
  <c r="BO19" i="3"/>
  <c r="BM20" i="3"/>
  <c r="BN20" i="3"/>
  <c r="BO20" i="3"/>
  <c r="BM21" i="3"/>
  <c r="BN21" i="3"/>
  <c r="BO21" i="3"/>
  <c r="BM22" i="3"/>
  <c r="BN22" i="3"/>
  <c r="BO22" i="3"/>
  <c r="BM23" i="3"/>
  <c r="BN23" i="3"/>
  <c r="BO23" i="3"/>
  <c r="BM24" i="3"/>
  <c r="BN24" i="3"/>
  <c r="BO24" i="3"/>
  <c r="BM25" i="3"/>
  <c r="BN25" i="3"/>
  <c r="BO25" i="3"/>
  <c r="BM26" i="3"/>
  <c r="BN26" i="3"/>
  <c r="BO26" i="3"/>
  <c r="BM27" i="3"/>
  <c r="BN27" i="3"/>
  <c r="BO27" i="3"/>
  <c r="BM28" i="3"/>
  <c r="BN28" i="3"/>
  <c r="BO28" i="3"/>
  <c r="BM29" i="3"/>
  <c r="BN29" i="3"/>
  <c r="BO29" i="3"/>
  <c r="BM30" i="3"/>
  <c r="BN30" i="3"/>
  <c r="BO30" i="3"/>
  <c r="BM31" i="3"/>
  <c r="BN31" i="3"/>
  <c r="BO31" i="3"/>
  <c r="BM32" i="3"/>
  <c r="BN32" i="3"/>
  <c r="BO32" i="3"/>
  <c r="BM33" i="3"/>
  <c r="BN33" i="3"/>
  <c r="BO33" i="3"/>
  <c r="BM34" i="3"/>
  <c r="BN34" i="3"/>
  <c r="BO34" i="3"/>
  <c r="BM35" i="3"/>
  <c r="BN35" i="3"/>
  <c r="BO35" i="3"/>
  <c r="BM36" i="3"/>
  <c r="BN36" i="3"/>
  <c r="BO36" i="3"/>
  <c r="BM37" i="3"/>
  <c r="BN37" i="3"/>
  <c r="BO37" i="3"/>
  <c r="BM38" i="3"/>
  <c r="BN38" i="3"/>
  <c r="BO38" i="3"/>
  <c r="BM39" i="3"/>
  <c r="BN39" i="3"/>
  <c r="BO39" i="3"/>
  <c r="BM40" i="3"/>
  <c r="BN40" i="3"/>
  <c r="BO40" i="3"/>
  <c r="BM41" i="3"/>
  <c r="BN41" i="3"/>
  <c r="BO41" i="3"/>
  <c r="BM42" i="3"/>
  <c r="BN42" i="3"/>
  <c r="BO42" i="3"/>
  <c r="BM43" i="3"/>
  <c r="BN43" i="3"/>
  <c r="BO43" i="3"/>
  <c r="BM44" i="3"/>
  <c r="BN44" i="3"/>
  <c r="BO44" i="3"/>
  <c r="BM45" i="3"/>
  <c r="BN45" i="3"/>
  <c r="BO45" i="3"/>
  <c r="BM46" i="3"/>
  <c r="BN46" i="3"/>
  <c r="BO46" i="3"/>
  <c r="BM47" i="3"/>
  <c r="BN47" i="3"/>
  <c r="BO47" i="3"/>
  <c r="BM48" i="3"/>
  <c r="BN48" i="3"/>
  <c r="BO48" i="3"/>
  <c r="BM49" i="3"/>
  <c r="BN49" i="3"/>
  <c r="BO49" i="3"/>
  <c r="BM50" i="3"/>
  <c r="BN50" i="3"/>
  <c r="BO50" i="3"/>
  <c r="BM51" i="3"/>
  <c r="BN51" i="3"/>
  <c r="BO51" i="3"/>
  <c r="BM52" i="3"/>
  <c r="BN52" i="3"/>
  <c r="BO52" i="3"/>
  <c r="BM53" i="3"/>
  <c r="BN53" i="3"/>
  <c r="BO53" i="3"/>
  <c r="BM54" i="3"/>
  <c r="BN54" i="3"/>
  <c r="BO54" i="3"/>
  <c r="BM55" i="3"/>
  <c r="BN55" i="3"/>
  <c r="BO55" i="3"/>
  <c r="BM56" i="3"/>
  <c r="BN56" i="3"/>
  <c r="BO56" i="3"/>
  <c r="BM57" i="3"/>
  <c r="BN57" i="3"/>
  <c r="BO57" i="3"/>
  <c r="BM58" i="3"/>
  <c r="BN58" i="3"/>
  <c r="BO58" i="3"/>
  <c r="BM59" i="3"/>
  <c r="BN59" i="3"/>
  <c r="BO59" i="3"/>
  <c r="BM60" i="3"/>
  <c r="BN60" i="3"/>
  <c r="BO60" i="3"/>
  <c r="BM61" i="3"/>
  <c r="BN61" i="3"/>
  <c r="BO61" i="3"/>
  <c r="BM62" i="3"/>
  <c r="BN62" i="3"/>
  <c r="BO62" i="3"/>
  <c r="BM63" i="3"/>
  <c r="BN63" i="3"/>
  <c r="BO63" i="3"/>
  <c r="BM64" i="3"/>
  <c r="BN64" i="3"/>
  <c r="BO64" i="3"/>
  <c r="BM65" i="3"/>
  <c r="BN65" i="3"/>
  <c r="BO65" i="3"/>
  <c r="BM66" i="3"/>
  <c r="BN66" i="3"/>
  <c r="BO66" i="3"/>
  <c r="BM67" i="3"/>
  <c r="BN67" i="3"/>
  <c r="BO67" i="3"/>
  <c r="BM68" i="3"/>
  <c r="BN68" i="3"/>
  <c r="BO68" i="3"/>
  <c r="BM69" i="3"/>
  <c r="BN69" i="3"/>
  <c r="BO69" i="3"/>
  <c r="BM70" i="3"/>
  <c r="BN70" i="3"/>
  <c r="BO70" i="3"/>
  <c r="BM71" i="3"/>
  <c r="BN71" i="3"/>
  <c r="BO71" i="3"/>
  <c r="BM72" i="3"/>
  <c r="BN72" i="3"/>
  <c r="BO72" i="3"/>
  <c r="BM73" i="3"/>
  <c r="BN73" i="3"/>
  <c r="BO73" i="3"/>
  <c r="BM74" i="3"/>
  <c r="BN74" i="3"/>
  <c r="BO74" i="3"/>
  <c r="BM75" i="3"/>
  <c r="BN75" i="3"/>
  <c r="BO75" i="3"/>
  <c r="BM76" i="3"/>
  <c r="BN76" i="3"/>
  <c r="BO76" i="3"/>
  <c r="BM77" i="3"/>
  <c r="BN77" i="3"/>
  <c r="BO77" i="3"/>
  <c r="BM78" i="3"/>
  <c r="BN78" i="3"/>
  <c r="BO78" i="3"/>
  <c r="BM79" i="3"/>
  <c r="BN79" i="3"/>
  <c r="BO79" i="3"/>
  <c r="BM80" i="3"/>
  <c r="BN80" i="3"/>
  <c r="BO80" i="3"/>
  <c r="BM81" i="3"/>
  <c r="BN81" i="3"/>
  <c r="BO81" i="3"/>
  <c r="BM82" i="3"/>
  <c r="BN82" i="3"/>
  <c r="BO82" i="3"/>
  <c r="BM83" i="3"/>
  <c r="BN83" i="3"/>
  <c r="BO83" i="3"/>
  <c r="BM84" i="3"/>
  <c r="BN84" i="3"/>
  <c r="BO84" i="3"/>
  <c r="BM85" i="3"/>
  <c r="BN85" i="3"/>
  <c r="BO85" i="3"/>
  <c r="BM86" i="3"/>
  <c r="BN86" i="3"/>
  <c r="BO86" i="3"/>
  <c r="BM87" i="3"/>
  <c r="BN87" i="3"/>
  <c r="BO87" i="3"/>
  <c r="BM88" i="3"/>
  <c r="BN88" i="3"/>
  <c r="BO88" i="3"/>
  <c r="BM89" i="3"/>
  <c r="BN89" i="3"/>
  <c r="BO89" i="3"/>
  <c r="BM90" i="3"/>
  <c r="BN90" i="3"/>
  <c r="BO90" i="3"/>
  <c r="BM91" i="3"/>
  <c r="BN91" i="3"/>
  <c r="BO91" i="3"/>
  <c r="BM92" i="3"/>
  <c r="BN92" i="3"/>
  <c r="BO92" i="3"/>
  <c r="BM93" i="3"/>
  <c r="BN93" i="3"/>
  <c r="BO93" i="3"/>
  <c r="BM94" i="3"/>
  <c r="BN94" i="3"/>
  <c r="BO94" i="3"/>
  <c r="BM95" i="3"/>
  <c r="BN95" i="3"/>
  <c r="BO95" i="3"/>
  <c r="BM96" i="3"/>
  <c r="BN96" i="3"/>
  <c r="BO96" i="3"/>
  <c r="BM97" i="3"/>
  <c r="BN97" i="3"/>
  <c r="BO97" i="3"/>
  <c r="BM98" i="3"/>
  <c r="BN98" i="3"/>
  <c r="BO98" i="3"/>
  <c r="BM99" i="3"/>
  <c r="BN99" i="3"/>
  <c r="BO99" i="3"/>
  <c r="BM100" i="3"/>
  <c r="BN100" i="3"/>
  <c r="BO100" i="3"/>
  <c r="BM101" i="3"/>
  <c r="BN101" i="3"/>
  <c r="BO101" i="3"/>
  <c r="BM102" i="3"/>
  <c r="BN102" i="3"/>
  <c r="BO102" i="3"/>
  <c r="BM103" i="3"/>
  <c r="BN103" i="3"/>
  <c r="BO103" i="3"/>
  <c r="BM104" i="3"/>
  <c r="BN104" i="3"/>
  <c r="BO104" i="3"/>
  <c r="BM105" i="3"/>
  <c r="BN105" i="3"/>
  <c r="BO105" i="3"/>
  <c r="BM106" i="3"/>
  <c r="BN106" i="3"/>
  <c r="BO106" i="3"/>
  <c r="BM107" i="3"/>
  <c r="BN107" i="3"/>
  <c r="BO107" i="3"/>
  <c r="BM108" i="3"/>
  <c r="BN108" i="3"/>
  <c r="BO108" i="3"/>
  <c r="BM109" i="3"/>
  <c r="BN109" i="3"/>
  <c r="BO109" i="3"/>
  <c r="BM110" i="3"/>
  <c r="BN110" i="3"/>
  <c r="BO110" i="3"/>
  <c r="BM111" i="3"/>
  <c r="BN111" i="3"/>
  <c r="BO111" i="3"/>
  <c r="BM112" i="3"/>
  <c r="BN112" i="3"/>
  <c r="BO112" i="3"/>
  <c r="BM113" i="3"/>
  <c r="BN113" i="3"/>
  <c r="BO113" i="3"/>
  <c r="BM114" i="3"/>
  <c r="BN114" i="3"/>
  <c r="BO114" i="3"/>
  <c r="BM115" i="3"/>
  <c r="BN115" i="3"/>
  <c r="BO115" i="3"/>
  <c r="BM116" i="3"/>
  <c r="BN116" i="3"/>
  <c r="BO116" i="3"/>
  <c r="BM117" i="3"/>
  <c r="BN117" i="3"/>
  <c r="BO117" i="3"/>
  <c r="BM118" i="3"/>
  <c r="BN118" i="3"/>
  <c r="BO118" i="3"/>
  <c r="BM119" i="3"/>
  <c r="BN119" i="3"/>
  <c r="BO119" i="3"/>
  <c r="BM120" i="3"/>
  <c r="BN120" i="3"/>
  <c r="BO120" i="3"/>
  <c r="BM121" i="3"/>
  <c r="BN121" i="3"/>
  <c r="BO121" i="3"/>
  <c r="BM122" i="3"/>
  <c r="BN122" i="3"/>
  <c r="BO122" i="3"/>
  <c r="BM123" i="3"/>
  <c r="BN123" i="3"/>
  <c r="BO123" i="3"/>
  <c r="BM124" i="3"/>
  <c r="BN124" i="3"/>
  <c r="BO124" i="3"/>
  <c r="BM125" i="3"/>
  <c r="BN125" i="3"/>
  <c r="BO125" i="3"/>
  <c r="BM126" i="3"/>
  <c r="BN126" i="3"/>
  <c r="BO126" i="3"/>
  <c r="BM127" i="3"/>
  <c r="BN127" i="3"/>
  <c r="BO127" i="3"/>
  <c r="BM128" i="3"/>
  <c r="BN128" i="3"/>
  <c r="BO128" i="3"/>
  <c r="BM129" i="3"/>
  <c r="BN129" i="3"/>
  <c r="BO129" i="3"/>
  <c r="BM130" i="3"/>
  <c r="BN130" i="3"/>
  <c r="BO130" i="3"/>
  <c r="BM131" i="3"/>
  <c r="BN131" i="3"/>
  <c r="BO131" i="3"/>
  <c r="BM132" i="3"/>
  <c r="BN132" i="3"/>
  <c r="BO132" i="3"/>
  <c r="BM133" i="3"/>
  <c r="BN133" i="3"/>
  <c r="BO133" i="3"/>
  <c r="BM134" i="3"/>
  <c r="BN134" i="3"/>
  <c r="BO134" i="3"/>
  <c r="BM135" i="3"/>
  <c r="BN135" i="3"/>
  <c r="BO135" i="3"/>
  <c r="BM136" i="3"/>
  <c r="BN136" i="3"/>
  <c r="BO136" i="3"/>
  <c r="BM137" i="3"/>
  <c r="BN137" i="3"/>
  <c r="BO137" i="3"/>
  <c r="BM138" i="3"/>
  <c r="BN138" i="3"/>
  <c r="BO138" i="3"/>
  <c r="BM139" i="3"/>
  <c r="BN139" i="3"/>
  <c r="BO139" i="3"/>
  <c r="BM140" i="3"/>
  <c r="BN140" i="3"/>
  <c r="BO140" i="3"/>
  <c r="BM141" i="3"/>
  <c r="BN141" i="3"/>
  <c r="BO141" i="3"/>
  <c r="BM142" i="3"/>
  <c r="BN142" i="3"/>
  <c r="BO142" i="3"/>
  <c r="BM143" i="3"/>
  <c r="BN143" i="3"/>
  <c r="BO143" i="3"/>
  <c r="BM144" i="3"/>
  <c r="BN144" i="3"/>
  <c r="BO144" i="3"/>
  <c r="BM145" i="3"/>
  <c r="BN145" i="3"/>
  <c r="BO145" i="3"/>
  <c r="BM146" i="3"/>
  <c r="BN146" i="3"/>
  <c r="BO146" i="3"/>
  <c r="BM147" i="3"/>
  <c r="BN147" i="3"/>
  <c r="BO147" i="3"/>
  <c r="BM148" i="3"/>
  <c r="BN148" i="3"/>
  <c r="BO148" i="3"/>
  <c r="BM149" i="3"/>
  <c r="BN149" i="3"/>
  <c r="BO149" i="3"/>
  <c r="BM150" i="3"/>
  <c r="BN150" i="3"/>
  <c r="BO150" i="3"/>
  <c r="BM151" i="3"/>
  <c r="BN151" i="3"/>
  <c r="BO151" i="3"/>
  <c r="BM152" i="3"/>
  <c r="BN152" i="3"/>
  <c r="BO152" i="3"/>
  <c r="BM153" i="3"/>
  <c r="BN153" i="3"/>
  <c r="BO153" i="3"/>
  <c r="BM154" i="3"/>
  <c r="BN154" i="3"/>
  <c r="BO154" i="3"/>
  <c r="BM155" i="3"/>
  <c r="BN155" i="3"/>
  <c r="BO155" i="3"/>
  <c r="BM156" i="3"/>
  <c r="BN156" i="3"/>
  <c r="BO156" i="3"/>
  <c r="BM157" i="3"/>
  <c r="BN157" i="3"/>
  <c r="BO157" i="3"/>
  <c r="BM158" i="3"/>
  <c r="BN158" i="3"/>
  <c r="BO158" i="3"/>
  <c r="BM159" i="3"/>
  <c r="BN159" i="3"/>
  <c r="BO159" i="3"/>
  <c r="BM160" i="3"/>
  <c r="BN160" i="3"/>
  <c r="BO160" i="3"/>
  <c r="BM161" i="3"/>
  <c r="BN161" i="3"/>
  <c r="BO161" i="3"/>
  <c r="BM162" i="3"/>
  <c r="BN162" i="3"/>
  <c r="BO162" i="3"/>
  <c r="BM163" i="3"/>
  <c r="BN163" i="3"/>
  <c r="BO163" i="3"/>
  <c r="BM164" i="3"/>
  <c r="BN164" i="3"/>
  <c r="BO164" i="3"/>
  <c r="BM165" i="3"/>
  <c r="BN165" i="3"/>
  <c r="BO165" i="3"/>
  <c r="BM166" i="3"/>
  <c r="BN166" i="3"/>
  <c r="BO166" i="3"/>
  <c r="BM167" i="3"/>
  <c r="BN167" i="3"/>
  <c r="BO167" i="3"/>
  <c r="BM168" i="3"/>
  <c r="BN168" i="3"/>
  <c r="BO168" i="3"/>
  <c r="BM169" i="3"/>
  <c r="BN169" i="3"/>
  <c r="BO169" i="3"/>
  <c r="BM170" i="3"/>
  <c r="BN170" i="3"/>
  <c r="BO170" i="3"/>
  <c r="BM171" i="3"/>
  <c r="BN171" i="3"/>
  <c r="BO171" i="3"/>
  <c r="BM172" i="3"/>
  <c r="BN172" i="3"/>
  <c r="BO172" i="3"/>
  <c r="BM173" i="3"/>
  <c r="BN173" i="3"/>
  <c r="BO173" i="3"/>
  <c r="BM174" i="3"/>
  <c r="BN174" i="3"/>
  <c r="BO174" i="3"/>
  <c r="BM175" i="3"/>
  <c r="BN175" i="3"/>
  <c r="BO175" i="3"/>
  <c r="BM176" i="3"/>
  <c r="BN176" i="3"/>
  <c r="BO176" i="3"/>
  <c r="BM177" i="3"/>
  <c r="BN177" i="3"/>
  <c r="BO177" i="3"/>
  <c r="BM178" i="3"/>
  <c r="BN178" i="3"/>
  <c r="BO178" i="3"/>
  <c r="BM179" i="3"/>
  <c r="BN179" i="3"/>
  <c r="BO179" i="3"/>
  <c r="BM180" i="3"/>
  <c r="BN180" i="3"/>
  <c r="BO180" i="3"/>
  <c r="BM181" i="3"/>
  <c r="BN181" i="3"/>
  <c r="BO181" i="3"/>
  <c r="BM182" i="3"/>
  <c r="BN182" i="3"/>
  <c r="BO182" i="3"/>
  <c r="BM183" i="3"/>
  <c r="BN183" i="3"/>
  <c r="BO183" i="3"/>
  <c r="BM184" i="3"/>
  <c r="BN184" i="3"/>
  <c r="BO184" i="3"/>
  <c r="BM185" i="3"/>
  <c r="BN185" i="3"/>
  <c r="BO185" i="3"/>
  <c r="BM186" i="3"/>
  <c r="BN186" i="3"/>
  <c r="BO186" i="3"/>
  <c r="BM187" i="3"/>
  <c r="BN187" i="3"/>
  <c r="BO187" i="3"/>
  <c r="BM188" i="3"/>
  <c r="BN188" i="3"/>
  <c r="BO188" i="3"/>
  <c r="BM189" i="3"/>
  <c r="BN189" i="3"/>
  <c r="BO189" i="3"/>
  <c r="BM190" i="3"/>
  <c r="BN190" i="3"/>
  <c r="BO190" i="3"/>
  <c r="BM191" i="3"/>
  <c r="BN191" i="3"/>
  <c r="BO191" i="3"/>
  <c r="BM192" i="3"/>
  <c r="BN192" i="3"/>
  <c r="BO192" i="3"/>
  <c r="BM193" i="3"/>
  <c r="BN193" i="3"/>
  <c r="BO193" i="3"/>
  <c r="BM194" i="3"/>
  <c r="BN194" i="3"/>
  <c r="BO194" i="3"/>
  <c r="BM195" i="3"/>
  <c r="BN195" i="3"/>
  <c r="BO195" i="3"/>
  <c r="BM196" i="3"/>
  <c r="BN196" i="3"/>
  <c r="BO196" i="3"/>
  <c r="BM197" i="3"/>
  <c r="BN197" i="3"/>
  <c r="BO197" i="3"/>
  <c r="BM198" i="3"/>
  <c r="BN198" i="3"/>
  <c r="BO198" i="3"/>
  <c r="BM199" i="3"/>
  <c r="BN199" i="3"/>
  <c r="BO199" i="3"/>
  <c r="BM200" i="3"/>
  <c r="BN200" i="3"/>
  <c r="BO200" i="3"/>
  <c r="BM201" i="3"/>
  <c r="BN201" i="3"/>
  <c r="BO201" i="3"/>
  <c r="BM202" i="3"/>
  <c r="BN202" i="3"/>
  <c r="BO202" i="3"/>
  <c r="BM203" i="3"/>
  <c r="BN203" i="3"/>
  <c r="BO203" i="3"/>
  <c r="BM204" i="3"/>
  <c r="BN204" i="3"/>
  <c r="BO204" i="3"/>
  <c r="BM205" i="3"/>
  <c r="BN205" i="3"/>
  <c r="BO205" i="3"/>
  <c r="BM206" i="3"/>
  <c r="BN206" i="3"/>
  <c r="BO206" i="3"/>
  <c r="BM207" i="3"/>
  <c r="BN207" i="3"/>
  <c r="BO207" i="3"/>
  <c r="BM208" i="3"/>
  <c r="BN208" i="3"/>
  <c r="BO208" i="3"/>
  <c r="BM209" i="3"/>
  <c r="BN209" i="3"/>
  <c r="BO209" i="3"/>
  <c r="BM210" i="3"/>
  <c r="BN210" i="3"/>
  <c r="BO210" i="3"/>
  <c r="BM211" i="3"/>
  <c r="BN211" i="3"/>
  <c r="BO211" i="3"/>
  <c r="BM212" i="3"/>
  <c r="BN212" i="3"/>
  <c r="BO212" i="3"/>
  <c r="BM213" i="3"/>
  <c r="BN213" i="3"/>
  <c r="BO213" i="3"/>
  <c r="BM214" i="3"/>
  <c r="BN214" i="3"/>
  <c r="BO214" i="3"/>
  <c r="BM215" i="3"/>
  <c r="BN215" i="3"/>
  <c r="BO215" i="3"/>
  <c r="BM216" i="3"/>
  <c r="BN216" i="3"/>
  <c r="BO216" i="3"/>
  <c r="BM217" i="3"/>
  <c r="BN217" i="3"/>
  <c r="BO217" i="3"/>
  <c r="BM218" i="3"/>
  <c r="BN218" i="3"/>
  <c r="BO218" i="3"/>
  <c r="BM219" i="3"/>
  <c r="BN219" i="3"/>
  <c r="BO219" i="3"/>
  <c r="BM220" i="3"/>
  <c r="BN220" i="3"/>
  <c r="BO220" i="3"/>
  <c r="BM221" i="3"/>
  <c r="BN221" i="3"/>
  <c r="BO221" i="3"/>
  <c r="BM222" i="3"/>
  <c r="BN222" i="3"/>
  <c r="BO222" i="3"/>
  <c r="BM223" i="3"/>
  <c r="BN223" i="3"/>
  <c r="BO223" i="3"/>
  <c r="BM224" i="3"/>
  <c r="BN224" i="3"/>
  <c r="BO224" i="3"/>
  <c r="BM225" i="3"/>
  <c r="BN225" i="3"/>
  <c r="BO225" i="3"/>
  <c r="BM226" i="3"/>
  <c r="BN226" i="3"/>
  <c r="BO226" i="3"/>
  <c r="BM227" i="3"/>
  <c r="BN227" i="3"/>
  <c r="BO227" i="3"/>
  <c r="BM228" i="3"/>
  <c r="BN228" i="3"/>
  <c r="BO228" i="3"/>
  <c r="BM229" i="3"/>
  <c r="BN229" i="3"/>
  <c r="BO229" i="3"/>
  <c r="BM230" i="3"/>
  <c r="BN230" i="3"/>
  <c r="BO230" i="3"/>
  <c r="BM231" i="3"/>
  <c r="BN231" i="3"/>
  <c r="BO231" i="3"/>
  <c r="BM232" i="3"/>
  <c r="BN232" i="3"/>
  <c r="BO232" i="3"/>
  <c r="BM233" i="3"/>
  <c r="BN233" i="3"/>
  <c r="BO233" i="3"/>
  <c r="BM234" i="3"/>
  <c r="BN234" i="3"/>
  <c r="BO234" i="3"/>
  <c r="BM235" i="3"/>
  <c r="BN235" i="3"/>
  <c r="BO235" i="3"/>
  <c r="BM236" i="3"/>
  <c r="BN236" i="3"/>
  <c r="BO236" i="3"/>
  <c r="BM237" i="3"/>
  <c r="BN237" i="3"/>
  <c r="BO237" i="3"/>
  <c r="BM238" i="3"/>
  <c r="BN238" i="3"/>
  <c r="BO238" i="3"/>
  <c r="BM239" i="3"/>
  <c r="BN239" i="3"/>
  <c r="BO239" i="3"/>
  <c r="BM240" i="3"/>
  <c r="BN240" i="3"/>
  <c r="BO240" i="3"/>
  <c r="BM241" i="3"/>
  <c r="BN241" i="3"/>
  <c r="BO241" i="3"/>
  <c r="BM242" i="3"/>
  <c r="BN242" i="3"/>
  <c r="BO242" i="3"/>
  <c r="BM243" i="3"/>
  <c r="BN243" i="3"/>
  <c r="BO243" i="3"/>
  <c r="BM244" i="3"/>
  <c r="BN244" i="3"/>
  <c r="BO244" i="3"/>
  <c r="BM245" i="3"/>
  <c r="BN245" i="3"/>
  <c r="BO245" i="3"/>
  <c r="BM246" i="3"/>
  <c r="BN246" i="3"/>
  <c r="BO246" i="3"/>
  <c r="BM247" i="3"/>
  <c r="BN247" i="3"/>
  <c r="BO247" i="3"/>
  <c r="BM248" i="3"/>
  <c r="BN248" i="3"/>
  <c r="BO248" i="3"/>
  <c r="BM249" i="3"/>
  <c r="BN249" i="3"/>
  <c r="BO249" i="3"/>
  <c r="BM250" i="3"/>
  <c r="BN250" i="3"/>
  <c r="BO250" i="3"/>
  <c r="BM251" i="3"/>
  <c r="BN251" i="3"/>
  <c r="BO251" i="3"/>
  <c r="BM252" i="3"/>
  <c r="BN252" i="3"/>
  <c r="BO252" i="3"/>
  <c r="BM253" i="3"/>
  <c r="BN253" i="3"/>
  <c r="BO253" i="3"/>
  <c r="BM254" i="3"/>
  <c r="BN254" i="3"/>
  <c r="BO254" i="3"/>
  <c r="BM255" i="3"/>
  <c r="BN255" i="3"/>
  <c r="BO255" i="3"/>
  <c r="BM256" i="3"/>
  <c r="BN256" i="3"/>
  <c r="BO256" i="3"/>
  <c r="BM257" i="3"/>
  <c r="BN257" i="3"/>
  <c r="BO257" i="3"/>
  <c r="BM258" i="3"/>
  <c r="BN258" i="3"/>
  <c r="BO258" i="3"/>
  <c r="BM259" i="3"/>
  <c r="BN259" i="3"/>
  <c r="BO259" i="3"/>
  <c r="BM260" i="3"/>
  <c r="BN260" i="3"/>
  <c r="BO260" i="3"/>
  <c r="BM261" i="3"/>
  <c r="BN261" i="3"/>
  <c r="BO261" i="3"/>
  <c r="BM262" i="3"/>
  <c r="BN262" i="3"/>
  <c r="BO262" i="3"/>
  <c r="BM263" i="3"/>
  <c r="BN263" i="3"/>
  <c r="BO263" i="3"/>
  <c r="BM264" i="3"/>
  <c r="BN264" i="3"/>
  <c r="BO264" i="3"/>
  <c r="BM265" i="3"/>
  <c r="BN265" i="3"/>
  <c r="BO265" i="3"/>
  <c r="BM266" i="3"/>
  <c r="BN266" i="3"/>
  <c r="BO266" i="3"/>
  <c r="BM267" i="3"/>
  <c r="BN267" i="3"/>
  <c r="BO267" i="3"/>
  <c r="BM268" i="3"/>
  <c r="BN268" i="3"/>
  <c r="BO268" i="3"/>
  <c r="BM269" i="3"/>
  <c r="BN269" i="3"/>
  <c r="BO269" i="3"/>
  <c r="BM270" i="3"/>
  <c r="BN270" i="3"/>
  <c r="BO270" i="3"/>
  <c r="BM271" i="3"/>
  <c r="BN271" i="3"/>
  <c r="BO271" i="3"/>
  <c r="BM272" i="3"/>
  <c r="BN272" i="3"/>
  <c r="BO272" i="3"/>
  <c r="BM273" i="3"/>
  <c r="BN273" i="3"/>
  <c r="BO273" i="3"/>
  <c r="BM274" i="3"/>
  <c r="BN274" i="3"/>
  <c r="BO274" i="3"/>
  <c r="BM275" i="3"/>
  <c r="BN275" i="3"/>
  <c r="BO275" i="3"/>
  <c r="BM276" i="3"/>
  <c r="BN276" i="3"/>
  <c r="BO276" i="3"/>
  <c r="BM277" i="3"/>
  <c r="BN277" i="3"/>
  <c r="BO277" i="3"/>
  <c r="BM278" i="3"/>
  <c r="BN278" i="3"/>
  <c r="BO278" i="3"/>
  <c r="BM279" i="3"/>
  <c r="BN279" i="3"/>
  <c r="BO279" i="3"/>
  <c r="BM280" i="3"/>
  <c r="BN280" i="3"/>
  <c r="BO280" i="3"/>
  <c r="BM281" i="3"/>
  <c r="BN281" i="3"/>
  <c r="BO281" i="3"/>
  <c r="BM282" i="3"/>
  <c r="BN282" i="3"/>
  <c r="BO282" i="3"/>
  <c r="BM283" i="3"/>
  <c r="BN283" i="3"/>
  <c r="BO283" i="3"/>
  <c r="BM284" i="3"/>
  <c r="BN284" i="3"/>
  <c r="BO284" i="3"/>
  <c r="BM285" i="3"/>
  <c r="BN285" i="3"/>
  <c r="BO285" i="3"/>
  <c r="BM286" i="3"/>
  <c r="BN286" i="3"/>
  <c r="BO286" i="3"/>
  <c r="BM287" i="3"/>
  <c r="BN287" i="3"/>
  <c r="BO287" i="3"/>
  <c r="BM288" i="3"/>
  <c r="BN288" i="3"/>
  <c r="BO288" i="3"/>
  <c r="BM289" i="3"/>
  <c r="BN289" i="3"/>
  <c r="BO289" i="3"/>
  <c r="BM290" i="3"/>
  <c r="BN290" i="3"/>
  <c r="BO290" i="3"/>
  <c r="BM291" i="3"/>
  <c r="BN291" i="3"/>
  <c r="BO291" i="3"/>
  <c r="BM292" i="3"/>
  <c r="BN292" i="3"/>
  <c r="BO292" i="3"/>
  <c r="BM293" i="3"/>
  <c r="BN293" i="3"/>
  <c r="BO293" i="3"/>
  <c r="BM294" i="3"/>
  <c r="BN294" i="3"/>
  <c r="BO294" i="3"/>
  <c r="BM295" i="3"/>
  <c r="BN295" i="3"/>
  <c r="BO295" i="3"/>
  <c r="BM296" i="3"/>
  <c r="BN296" i="3"/>
  <c r="BO296" i="3"/>
  <c r="BM297" i="3"/>
  <c r="BN297" i="3"/>
  <c r="BO297" i="3"/>
  <c r="BM298" i="3"/>
  <c r="BN298" i="3"/>
  <c r="BO298" i="3"/>
  <c r="BM299" i="3"/>
  <c r="BN299" i="3"/>
  <c r="BO299" i="3"/>
  <c r="BM300" i="3"/>
  <c r="BN300" i="3"/>
  <c r="BO300" i="3"/>
  <c r="BM301" i="3"/>
  <c r="BN301" i="3"/>
  <c r="BO301" i="3"/>
  <c r="BM302" i="3"/>
  <c r="BN302" i="3"/>
  <c r="BO302" i="3"/>
  <c r="BM303" i="3"/>
  <c r="BN303" i="3"/>
  <c r="BO303" i="3"/>
  <c r="BM304" i="3"/>
  <c r="BN304" i="3"/>
  <c r="BO304" i="3"/>
  <c r="BM305" i="3"/>
  <c r="BN305" i="3"/>
  <c r="BO305" i="3"/>
  <c r="BM306" i="3"/>
  <c r="BN306" i="3"/>
  <c r="BO306" i="3"/>
  <c r="BM307" i="3"/>
  <c r="BN307" i="3"/>
  <c r="BO307" i="3"/>
  <c r="BM308" i="3"/>
  <c r="BN308" i="3"/>
  <c r="BO308" i="3"/>
  <c r="BM309" i="3"/>
  <c r="BN309" i="3"/>
  <c r="BO309" i="3"/>
  <c r="BM310" i="3"/>
  <c r="BN310" i="3"/>
  <c r="BO310" i="3"/>
  <c r="BM311" i="3"/>
  <c r="BN311" i="3"/>
  <c r="BO311" i="3"/>
  <c r="BM312" i="3"/>
  <c r="BN312" i="3"/>
  <c r="BO312" i="3"/>
  <c r="BM313" i="3"/>
  <c r="BN313" i="3"/>
  <c r="BO313" i="3"/>
  <c r="BM314" i="3"/>
  <c r="BN314" i="3"/>
  <c r="BO314" i="3"/>
  <c r="BM315" i="3"/>
  <c r="BN315" i="3"/>
  <c r="BO315" i="3"/>
  <c r="BM316" i="3"/>
  <c r="BN316" i="3"/>
  <c r="BO316" i="3"/>
  <c r="BM317" i="3"/>
  <c r="BN317" i="3"/>
  <c r="BO317" i="3"/>
  <c r="BM318" i="3"/>
  <c r="BN318" i="3"/>
  <c r="BO318" i="3"/>
  <c r="BM319" i="3"/>
  <c r="BN319" i="3"/>
  <c r="BO319" i="3"/>
  <c r="BM320" i="3"/>
  <c r="BN320" i="3"/>
  <c r="BO320" i="3"/>
  <c r="BM321" i="3"/>
  <c r="BN321" i="3"/>
  <c r="BO321" i="3"/>
  <c r="BM322" i="3"/>
  <c r="BN322" i="3"/>
  <c r="BO322" i="3"/>
  <c r="BM323" i="3"/>
  <c r="BN323" i="3"/>
  <c r="BO323" i="3"/>
  <c r="BM324" i="3"/>
  <c r="BN324" i="3"/>
  <c r="BO324" i="3"/>
  <c r="BM325" i="3"/>
  <c r="BN325" i="3"/>
  <c r="BO325" i="3"/>
  <c r="BM326" i="3"/>
  <c r="BN326" i="3"/>
  <c r="BO326" i="3"/>
  <c r="BM327" i="3"/>
  <c r="BN327" i="3"/>
  <c r="BO327" i="3"/>
  <c r="BM328" i="3"/>
  <c r="BN328" i="3"/>
  <c r="BO328" i="3"/>
  <c r="BM329" i="3"/>
  <c r="BN329" i="3"/>
  <c r="BO329" i="3"/>
  <c r="BM330" i="3"/>
  <c r="BN330" i="3"/>
  <c r="BO330" i="3"/>
  <c r="BM331" i="3"/>
  <c r="BN331" i="3"/>
  <c r="BO331" i="3"/>
  <c r="BM332" i="3"/>
  <c r="BN332" i="3"/>
  <c r="BO332" i="3"/>
  <c r="BM333" i="3"/>
  <c r="BN333" i="3"/>
  <c r="BO333" i="3"/>
  <c r="BM334" i="3"/>
  <c r="BN334" i="3"/>
  <c r="BO334" i="3"/>
  <c r="BM335" i="3"/>
  <c r="BN335" i="3"/>
  <c r="BO335" i="3"/>
  <c r="BM336" i="3"/>
  <c r="BN336" i="3"/>
  <c r="BO336" i="3"/>
  <c r="BM337" i="3"/>
  <c r="BN337" i="3"/>
  <c r="BO337" i="3"/>
  <c r="BM338" i="3"/>
  <c r="BN338" i="3"/>
  <c r="BO338" i="3"/>
  <c r="BM339" i="3"/>
  <c r="BN339" i="3"/>
  <c r="BO339" i="3"/>
  <c r="BM340" i="3"/>
  <c r="BN340" i="3"/>
  <c r="BO340" i="3"/>
  <c r="BM341" i="3"/>
  <c r="BN341" i="3"/>
  <c r="BO341" i="3"/>
  <c r="BM342" i="3"/>
  <c r="BN342" i="3"/>
  <c r="BO342" i="3"/>
  <c r="BM343" i="3"/>
  <c r="BN343" i="3"/>
  <c r="BO343" i="3"/>
  <c r="BM344" i="3"/>
  <c r="BN344" i="3"/>
  <c r="BO344" i="3"/>
  <c r="BM345" i="3"/>
  <c r="BN345" i="3"/>
  <c r="BO345" i="3"/>
  <c r="BM346" i="3"/>
  <c r="BN346" i="3"/>
  <c r="BO346" i="3"/>
  <c r="BM347" i="3"/>
  <c r="BN347" i="3"/>
  <c r="BO347" i="3"/>
  <c r="BM348" i="3"/>
  <c r="BN348" i="3"/>
  <c r="BO348" i="3"/>
  <c r="BM349" i="3"/>
  <c r="BN349" i="3"/>
  <c r="BO349" i="3"/>
  <c r="BM350" i="3"/>
  <c r="BN350" i="3"/>
  <c r="BO350" i="3"/>
  <c r="BM351" i="3"/>
  <c r="BN351" i="3"/>
  <c r="BO351" i="3"/>
  <c r="BM352" i="3"/>
  <c r="BN352" i="3"/>
  <c r="BO352" i="3"/>
  <c r="BM353" i="3"/>
  <c r="BN353" i="3"/>
  <c r="BO353" i="3"/>
  <c r="BM354" i="3"/>
  <c r="BN354" i="3"/>
  <c r="BO354" i="3"/>
  <c r="BM355" i="3"/>
  <c r="BN355" i="3"/>
  <c r="BO355" i="3"/>
  <c r="BM356" i="3"/>
  <c r="BN356" i="3"/>
  <c r="BO356" i="3"/>
  <c r="BM357" i="3"/>
  <c r="BN357" i="3"/>
  <c r="BO357" i="3"/>
  <c r="BM358" i="3"/>
  <c r="BN358" i="3"/>
  <c r="BO358" i="3"/>
  <c r="BM359" i="3"/>
  <c r="BN359" i="3"/>
  <c r="BO359" i="3"/>
  <c r="BM360" i="3"/>
  <c r="BN360" i="3"/>
  <c r="BO360" i="3"/>
  <c r="BM361" i="3"/>
  <c r="BN361" i="3"/>
  <c r="BO361" i="3"/>
  <c r="BM362" i="3"/>
  <c r="BN362" i="3"/>
  <c r="BO362" i="3"/>
  <c r="BM363" i="3"/>
  <c r="BN363" i="3"/>
  <c r="BO363" i="3"/>
  <c r="BM364" i="3"/>
  <c r="BN364" i="3"/>
  <c r="BO364" i="3"/>
  <c r="BM365" i="3"/>
  <c r="BN365" i="3"/>
  <c r="BO365" i="3"/>
  <c r="BM366" i="3"/>
  <c r="BN366" i="3"/>
  <c r="BO366" i="3"/>
  <c r="BM367" i="3"/>
  <c r="BN367" i="3"/>
  <c r="BO367" i="3"/>
  <c r="BM368" i="3"/>
  <c r="BN368" i="3"/>
  <c r="BO368" i="3"/>
  <c r="BM369" i="3"/>
  <c r="BN369" i="3"/>
  <c r="BO369" i="3"/>
  <c r="BM370" i="3"/>
  <c r="BN370" i="3"/>
  <c r="BO370" i="3"/>
  <c r="BM371" i="3"/>
  <c r="BN371" i="3"/>
  <c r="BO371" i="3"/>
  <c r="BM372" i="3"/>
  <c r="BN372" i="3"/>
  <c r="BO372" i="3"/>
  <c r="BM373" i="3"/>
  <c r="BN373" i="3"/>
  <c r="BO373" i="3"/>
  <c r="BM374" i="3"/>
  <c r="BN374" i="3"/>
  <c r="BO374" i="3"/>
  <c r="BM375" i="3"/>
  <c r="BN375" i="3"/>
  <c r="BO375" i="3"/>
  <c r="BM376" i="3"/>
  <c r="BN376" i="3"/>
  <c r="BO376" i="3"/>
  <c r="BM377" i="3"/>
  <c r="BN377" i="3"/>
  <c r="BO377" i="3"/>
  <c r="BM378" i="3"/>
  <c r="BN378" i="3"/>
  <c r="BO378" i="3"/>
  <c r="BM379" i="3"/>
  <c r="BN379" i="3"/>
  <c r="BO379" i="3"/>
  <c r="BM380" i="3"/>
  <c r="BN380" i="3"/>
  <c r="BO380" i="3"/>
  <c r="BM381" i="3"/>
  <c r="BN381" i="3"/>
  <c r="BO381" i="3"/>
  <c r="BM382" i="3"/>
  <c r="BN382" i="3"/>
  <c r="BO382" i="3"/>
  <c r="BM383" i="3"/>
  <c r="BN383" i="3"/>
  <c r="BO383" i="3"/>
  <c r="BM384" i="3"/>
  <c r="BN384" i="3"/>
  <c r="BO384" i="3"/>
  <c r="BM385" i="3"/>
  <c r="BN385" i="3"/>
  <c r="BO385" i="3"/>
  <c r="BM386" i="3"/>
  <c r="BN386" i="3"/>
  <c r="BO386" i="3"/>
  <c r="BM387" i="3"/>
  <c r="BN387" i="3"/>
  <c r="BO387" i="3"/>
  <c r="BM388" i="3"/>
  <c r="BN388" i="3"/>
  <c r="BO388" i="3"/>
  <c r="BM389" i="3"/>
  <c r="BN389" i="3"/>
  <c r="BO389" i="3"/>
  <c r="BM390" i="3"/>
  <c r="BN390" i="3"/>
  <c r="BO390" i="3"/>
  <c r="BM391" i="3"/>
  <c r="BN391" i="3"/>
  <c r="BO391" i="3"/>
  <c r="BM392" i="3"/>
  <c r="BN392" i="3"/>
  <c r="BO392" i="3"/>
  <c r="BM393" i="3"/>
  <c r="BN393" i="3"/>
  <c r="BO393" i="3"/>
  <c r="BM394" i="3"/>
  <c r="BN394" i="3"/>
  <c r="BO394" i="3"/>
  <c r="BM395" i="3"/>
  <c r="BN395" i="3"/>
  <c r="BO395" i="3"/>
  <c r="BM396" i="3"/>
  <c r="BN396" i="3"/>
  <c r="BO396" i="3"/>
  <c r="BM397" i="3"/>
  <c r="BN397" i="3"/>
  <c r="BO397" i="3"/>
  <c r="BM398" i="3"/>
  <c r="BN398" i="3"/>
  <c r="BO398" i="3"/>
  <c r="BM399" i="3"/>
  <c r="BN399" i="3"/>
  <c r="BO399" i="3"/>
  <c r="BM400" i="3"/>
  <c r="BN400" i="3"/>
  <c r="BO400" i="3"/>
  <c r="BM401" i="3"/>
  <c r="BN401" i="3"/>
  <c r="BO401" i="3"/>
  <c r="BM402" i="3"/>
  <c r="BN402" i="3"/>
  <c r="BO402" i="3"/>
  <c r="BM403" i="3"/>
  <c r="BN403" i="3"/>
  <c r="BO403" i="3"/>
  <c r="BM404" i="3"/>
  <c r="BN404" i="3"/>
  <c r="BO404" i="3"/>
  <c r="BM405" i="3"/>
  <c r="BN405" i="3"/>
  <c r="BO405" i="3"/>
  <c r="BM406" i="3"/>
  <c r="BN406" i="3"/>
  <c r="BO406" i="3"/>
  <c r="BM407" i="3"/>
  <c r="BN407" i="3"/>
  <c r="BO407" i="3"/>
  <c r="BM408" i="3"/>
  <c r="BN408" i="3"/>
  <c r="BO408" i="3"/>
  <c r="BM409" i="3"/>
  <c r="BN409" i="3"/>
  <c r="BO409" i="3"/>
  <c r="BM410" i="3"/>
  <c r="BN410" i="3"/>
  <c r="BO410" i="3"/>
  <c r="BM411" i="3"/>
  <c r="BN411" i="3"/>
  <c r="BO411" i="3"/>
  <c r="BM412" i="3"/>
  <c r="BN412" i="3"/>
  <c r="BO412" i="3"/>
  <c r="BM413" i="3"/>
  <c r="BN413" i="3"/>
  <c r="BO413" i="3"/>
  <c r="BM414" i="3"/>
  <c r="BN414" i="3"/>
  <c r="BO414" i="3"/>
  <c r="BM415" i="3"/>
  <c r="BN415" i="3"/>
  <c r="BO415" i="3"/>
  <c r="BM416" i="3"/>
  <c r="BN416" i="3"/>
  <c r="BO416" i="3"/>
  <c r="BM417" i="3"/>
  <c r="BN417" i="3"/>
  <c r="BO417" i="3"/>
  <c r="BM418" i="3"/>
  <c r="BN418" i="3"/>
  <c r="BO418" i="3"/>
  <c r="BM419" i="3"/>
  <c r="BN419" i="3"/>
  <c r="BO419" i="3"/>
  <c r="BM420" i="3"/>
  <c r="BN420" i="3"/>
  <c r="BO420" i="3"/>
  <c r="BM421" i="3"/>
  <c r="BN421" i="3"/>
  <c r="BO421" i="3"/>
  <c r="BM422" i="3"/>
  <c r="BN422" i="3"/>
  <c r="BO422" i="3"/>
  <c r="BM423" i="3"/>
  <c r="BN423" i="3"/>
  <c r="BO423" i="3"/>
  <c r="BM424" i="3"/>
  <c r="BN424" i="3"/>
  <c r="BO424" i="3"/>
  <c r="BM425" i="3"/>
  <c r="BN425" i="3"/>
  <c r="BO425" i="3"/>
  <c r="BM426" i="3"/>
  <c r="BN426" i="3"/>
  <c r="BO426" i="3"/>
  <c r="BM427" i="3"/>
  <c r="BN427" i="3"/>
  <c r="BO427" i="3"/>
  <c r="BM428" i="3"/>
  <c r="BN428" i="3"/>
  <c r="BO428" i="3"/>
  <c r="BM429" i="3"/>
  <c r="BN429" i="3"/>
  <c r="BO429" i="3"/>
  <c r="BM430" i="3"/>
  <c r="BN430" i="3"/>
  <c r="BO430" i="3"/>
  <c r="BM431" i="3"/>
  <c r="BN431" i="3"/>
  <c r="BO431" i="3"/>
  <c r="BM432" i="3"/>
  <c r="BN432" i="3"/>
  <c r="BO432" i="3"/>
  <c r="BM433" i="3"/>
  <c r="BN433" i="3"/>
  <c r="BO433" i="3"/>
  <c r="BM434" i="3"/>
  <c r="BN434" i="3"/>
  <c r="BO434" i="3"/>
  <c r="BM435" i="3"/>
  <c r="BN435" i="3"/>
  <c r="BO435" i="3"/>
  <c r="BM436" i="3"/>
  <c r="BN436" i="3"/>
  <c r="BO436" i="3"/>
  <c r="BM437" i="3"/>
  <c r="BN437" i="3"/>
  <c r="BO437" i="3"/>
  <c r="BM438" i="3"/>
  <c r="BN438" i="3"/>
  <c r="BO438" i="3"/>
  <c r="BM439" i="3"/>
  <c r="BN439" i="3"/>
  <c r="BO439" i="3"/>
  <c r="BM440" i="3"/>
  <c r="BN440" i="3"/>
  <c r="BO440" i="3"/>
  <c r="BM441" i="3"/>
  <c r="BN441" i="3"/>
  <c r="BO441" i="3"/>
  <c r="BM442" i="3"/>
  <c r="BN442" i="3"/>
  <c r="BO442" i="3"/>
  <c r="BM443" i="3"/>
  <c r="BN443" i="3"/>
  <c r="BO443" i="3"/>
  <c r="BM444" i="3"/>
  <c r="BN444" i="3"/>
  <c r="BO444" i="3"/>
  <c r="BM445" i="3"/>
  <c r="BN445" i="3"/>
  <c r="BO445" i="3"/>
  <c r="BM446" i="3"/>
  <c r="BN446" i="3"/>
  <c r="BO446" i="3"/>
  <c r="BM447" i="3"/>
  <c r="BN447" i="3"/>
  <c r="BO447" i="3"/>
  <c r="BM448" i="3"/>
  <c r="BN448" i="3"/>
  <c r="BO448" i="3"/>
  <c r="BM449" i="3"/>
  <c r="BN449" i="3"/>
  <c r="BO449" i="3"/>
  <c r="BM450" i="3"/>
  <c r="BN450" i="3"/>
  <c r="BO450" i="3"/>
  <c r="BM451" i="3"/>
  <c r="BN451" i="3"/>
  <c r="BO451" i="3"/>
  <c r="BM452" i="3"/>
  <c r="BN452" i="3"/>
  <c r="BO452" i="3"/>
  <c r="BM453" i="3"/>
  <c r="BN453" i="3"/>
  <c r="BO453" i="3"/>
  <c r="BM454" i="3"/>
  <c r="BN454" i="3"/>
  <c r="BO454" i="3"/>
  <c r="BM455" i="3"/>
  <c r="BN455" i="3"/>
  <c r="BO455" i="3"/>
  <c r="BM456" i="3"/>
  <c r="BN456" i="3"/>
  <c r="BO456" i="3"/>
  <c r="BM457" i="3"/>
  <c r="BN457" i="3"/>
  <c r="BO457" i="3"/>
  <c r="BM458" i="3"/>
  <c r="BN458" i="3"/>
  <c r="BO458" i="3"/>
  <c r="BM459" i="3"/>
  <c r="BN459" i="3"/>
  <c r="BO459" i="3"/>
  <c r="BM460" i="3"/>
  <c r="BN460" i="3"/>
  <c r="BO460" i="3"/>
  <c r="BM461" i="3"/>
  <c r="BN461" i="3"/>
  <c r="BO461" i="3"/>
  <c r="BM462" i="3"/>
  <c r="BN462" i="3"/>
  <c r="BO462" i="3"/>
  <c r="BM463" i="3"/>
  <c r="BN463" i="3"/>
  <c r="BO463" i="3"/>
  <c r="BM464" i="3"/>
  <c r="BN464" i="3"/>
  <c r="BO464" i="3"/>
  <c r="BM465" i="3"/>
  <c r="BN465" i="3"/>
  <c r="BO465" i="3"/>
  <c r="BM466" i="3"/>
  <c r="BN466" i="3"/>
  <c r="BO466" i="3"/>
  <c r="BM467" i="3"/>
  <c r="BN467" i="3"/>
  <c r="BO467" i="3"/>
  <c r="BM468" i="3"/>
  <c r="BN468" i="3"/>
  <c r="BO468" i="3"/>
  <c r="BM469" i="3"/>
  <c r="BN469" i="3"/>
  <c r="BO469" i="3"/>
  <c r="BM470" i="3"/>
  <c r="BN470" i="3"/>
  <c r="BO470" i="3"/>
  <c r="BM471" i="3"/>
  <c r="BN471" i="3"/>
  <c r="BO471" i="3"/>
  <c r="BM472" i="3"/>
  <c r="BN472" i="3"/>
  <c r="BO472" i="3"/>
  <c r="BM473" i="3"/>
  <c r="BN473" i="3"/>
  <c r="BO473" i="3"/>
  <c r="BM474" i="3"/>
  <c r="BN474" i="3"/>
  <c r="BO474" i="3"/>
  <c r="BM475" i="3"/>
  <c r="BN475" i="3"/>
  <c r="BO475" i="3"/>
  <c r="BM476" i="3"/>
  <c r="BN476" i="3"/>
  <c r="BO476" i="3"/>
  <c r="BM477" i="3"/>
  <c r="BN477" i="3"/>
  <c r="BO477" i="3"/>
  <c r="BM478" i="3"/>
  <c r="BN478" i="3"/>
  <c r="BO478" i="3"/>
  <c r="BM479" i="3"/>
  <c r="BN479" i="3"/>
  <c r="BO479" i="3"/>
  <c r="BM480" i="3"/>
  <c r="BN480" i="3"/>
  <c r="BO480" i="3"/>
  <c r="BM481" i="3"/>
  <c r="BN481" i="3"/>
  <c r="BO481" i="3"/>
  <c r="BM482" i="3"/>
  <c r="BN482" i="3"/>
  <c r="BO482" i="3"/>
  <c r="BM483" i="3"/>
  <c r="BN483" i="3"/>
  <c r="BO483" i="3"/>
  <c r="BM484" i="3"/>
  <c r="BN484" i="3"/>
  <c r="BO484" i="3"/>
  <c r="BM485" i="3"/>
  <c r="BN485" i="3"/>
  <c r="BO485" i="3"/>
  <c r="BM486" i="3"/>
  <c r="BN486" i="3"/>
  <c r="BO486" i="3"/>
  <c r="BM487" i="3"/>
  <c r="BN487" i="3"/>
  <c r="BO487" i="3"/>
  <c r="BM488" i="3"/>
  <c r="BN488" i="3"/>
  <c r="BO488" i="3"/>
  <c r="BM489" i="3"/>
  <c r="BN489" i="3"/>
  <c r="BO489" i="3"/>
  <c r="BM490" i="3"/>
  <c r="BN490" i="3"/>
  <c r="BO490" i="3"/>
  <c r="BM491" i="3"/>
  <c r="BN491" i="3"/>
  <c r="BO491" i="3"/>
  <c r="BM492" i="3"/>
  <c r="BN492" i="3"/>
  <c r="BO492" i="3"/>
  <c r="BM493" i="3"/>
  <c r="BN493" i="3"/>
  <c r="BO493" i="3"/>
  <c r="BM494" i="3"/>
  <c r="BN494" i="3"/>
  <c r="BO494" i="3"/>
  <c r="BM495" i="3"/>
  <c r="BN495" i="3"/>
  <c r="BO495" i="3"/>
  <c r="BM496" i="3"/>
  <c r="BN496" i="3"/>
  <c r="BO496" i="3"/>
  <c r="BM497" i="3"/>
  <c r="BN497" i="3"/>
  <c r="BO497" i="3"/>
  <c r="BM498" i="3"/>
  <c r="BN498" i="3"/>
  <c r="BO498" i="3"/>
  <c r="BM499" i="3"/>
  <c r="BN499" i="3"/>
  <c r="BO499" i="3"/>
  <c r="BM500" i="3"/>
  <c r="BN500" i="3"/>
  <c r="BO500" i="3"/>
  <c r="BM501" i="3"/>
  <c r="BN501" i="3"/>
  <c r="BO501" i="3"/>
  <c r="BM502" i="3"/>
  <c r="BN502" i="3"/>
  <c r="BO502" i="3"/>
  <c r="BM503" i="3"/>
  <c r="BN503" i="3"/>
  <c r="BO503" i="3"/>
  <c r="BM504" i="3"/>
  <c r="BN504" i="3"/>
  <c r="BO504" i="3"/>
  <c r="BM505" i="3"/>
  <c r="BN505" i="3"/>
  <c r="BO505" i="3"/>
  <c r="BM506" i="3"/>
  <c r="BN506" i="3"/>
  <c r="BO506" i="3"/>
  <c r="BM507" i="3"/>
  <c r="BN507" i="3"/>
  <c r="BO507" i="3"/>
  <c r="BM508" i="3"/>
  <c r="BN508" i="3"/>
  <c r="BO508" i="3"/>
  <c r="BM509" i="3"/>
  <c r="BN509" i="3"/>
  <c r="BO509" i="3"/>
  <c r="BM510" i="3"/>
  <c r="BN510" i="3"/>
  <c r="BO510" i="3"/>
  <c r="BM511" i="3"/>
  <c r="BN511" i="3"/>
  <c r="BO511" i="3"/>
  <c r="BM512" i="3"/>
  <c r="BN512" i="3"/>
  <c r="BO512" i="3"/>
  <c r="BM513" i="3"/>
  <c r="BN513" i="3"/>
  <c r="BO513" i="3"/>
  <c r="BM514" i="3"/>
  <c r="BN514" i="3"/>
  <c r="BO514" i="3"/>
  <c r="BM515" i="3"/>
  <c r="BN515" i="3"/>
  <c r="BO515" i="3"/>
  <c r="BM516" i="3"/>
  <c r="BN516" i="3"/>
  <c r="BO516" i="3"/>
  <c r="BM517" i="3"/>
  <c r="BN517" i="3"/>
  <c r="BO517" i="3"/>
  <c r="BM518" i="3"/>
  <c r="BN518" i="3"/>
  <c r="BO518" i="3"/>
  <c r="BM519" i="3"/>
  <c r="BN519" i="3"/>
  <c r="BO519" i="3"/>
  <c r="BM520" i="3"/>
  <c r="BN520" i="3"/>
  <c r="BO520" i="3"/>
  <c r="BM521" i="3"/>
  <c r="BN521" i="3"/>
  <c r="BO521" i="3"/>
  <c r="BM522" i="3"/>
  <c r="BN522" i="3"/>
  <c r="BO522" i="3"/>
  <c r="BM523" i="3"/>
  <c r="BN523" i="3"/>
  <c r="BO523" i="3"/>
  <c r="BM524" i="3"/>
  <c r="BN524" i="3"/>
  <c r="BO524" i="3"/>
  <c r="BM525" i="3"/>
  <c r="BN525" i="3"/>
  <c r="BO525" i="3"/>
  <c r="BM526" i="3"/>
  <c r="BN526" i="3"/>
  <c r="BO526" i="3"/>
  <c r="BM527" i="3"/>
  <c r="BN527" i="3"/>
  <c r="BO527" i="3"/>
  <c r="BM528" i="3"/>
  <c r="BN528" i="3"/>
  <c r="BO528" i="3"/>
  <c r="BM529" i="3"/>
  <c r="BN529" i="3"/>
  <c r="BO529" i="3"/>
  <c r="BM530" i="3"/>
  <c r="BN530" i="3"/>
  <c r="BO530" i="3"/>
  <c r="BM531" i="3"/>
  <c r="BN531" i="3"/>
  <c r="BO531" i="3"/>
  <c r="BM532" i="3"/>
  <c r="BN532" i="3"/>
  <c r="BO532" i="3"/>
  <c r="BM533" i="3"/>
  <c r="BN533" i="3"/>
  <c r="BO533" i="3"/>
  <c r="BM534" i="3"/>
  <c r="BN534" i="3"/>
  <c r="BO534" i="3"/>
  <c r="BM535" i="3"/>
  <c r="BN535" i="3"/>
  <c r="BO535" i="3"/>
  <c r="BM536" i="3"/>
  <c r="BN536" i="3"/>
  <c r="BO536" i="3"/>
  <c r="BM537" i="3"/>
  <c r="BN537" i="3"/>
  <c r="BO537" i="3"/>
  <c r="BM538" i="3"/>
  <c r="BN538" i="3"/>
  <c r="BO538" i="3"/>
  <c r="BM539" i="3"/>
  <c r="BN539" i="3"/>
  <c r="BO539" i="3"/>
  <c r="BM540" i="3"/>
  <c r="BN540" i="3"/>
  <c r="BO540" i="3"/>
  <c r="BM541" i="3"/>
  <c r="BN541" i="3"/>
  <c r="BO541" i="3"/>
  <c r="BM542" i="3"/>
  <c r="BN542" i="3"/>
  <c r="BO542" i="3"/>
  <c r="BM543" i="3"/>
  <c r="BN543" i="3"/>
  <c r="BO543" i="3"/>
  <c r="BM544" i="3"/>
  <c r="BN544" i="3"/>
  <c r="BO544" i="3"/>
  <c r="BM545" i="3"/>
  <c r="BN545" i="3"/>
  <c r="BO545" i="3"/>
  <c r="BM546" i="3"/>
  <c r="BN546" i="3"/>
  <c r="BO546" i="3"/>
  <c r="BM547" i="3"/>
  <c r="BN547" i="3"/>
  <c r="BO547" i="3"/>
  <c r="BM548" i="3"/>
  <c r="BN548" i="3"/>
  <c r="BO548" i="3"/>
  <c r="BM549" i="3"/>
  <c r="BN549" i="3"/>
  <c r="BO549" i="3"/>
  <c r="BM550" i="3"/>
  <c r="BN550" i="3"/>
  <c r="BO550" i="3"/>
  <c r="BM551" i="3"/>
  <c r="BN551" i="3"/>
  <c r="BO551" i="3"/>
  <c r="BM552" i="3"/>
  <c r="BN552" i="3"/>
  <c r="BO552" i="3"/>
  <c r="BM553" i="3"/>
  <c r="BN553" i="3"/>
  <c r="BO553" i="3"/>
  <c r="BM554" i="3"/>
  <c r="BN554" i="3"/>
  <c r="BO554" i="3"/>
  <c r="BM555" i="3"/>
  <c r="BN555" i="3"/>
  <c r="BO555" i="3"/>
  <c r="BM556" i="3"/>
  <c r="BN556" i="3"/>
  <c r="BO556" i="3"/>
  <c r="BM557" i="3"/>
  <c r="BN557" i="3"/>
  <c r="BO557" i="3"/>
  <c r="BM558" i="3"/>
  <c r="BN558" i="3"/>
  <c r="BO558" i="3"/>
  <c r="BM559" i="3"/>
  <c r="BN559" i="3"/>
  <c r="BO559" i="3"/>
  <c r="BM560" i="3"/>
  <c r="BN560" i="3"/>
  <c r="BO560" i="3"/>
  <c r="BM561" i="3"/>
  <c r="BN561" i="3"/>
  <c r="BO561" i="3"/>
  <c r="BM562" i="3"/>
  <c r="BN562" i="3"/>
  <c r="BO562" i="3"/>
  <c r="BM563" i="3"/>
  <c r="BN563" i="3"/>
  <c r="BO563" i="3"/>
  <c r="BM564" i="3"/>
  <c r="BN564" i="3"/>
  <c r="BO564" i="3"/>
  <c r="BM565" i="3"/>
  <c r="BN565" i="3"/>
  <c r="BO565" i="3"/>
  <c r="BM566" i="3"/>
  <c r="BN566" i="3"/>
  <c r="BO566" i="3"/>
  <c r="BM567" i="3"/>
  <c r="BN567" i="3"/>
  <c r="BO567" i="3"/>
  <c r="BM568" i="3"/>
  <c r="BN568" i="3"/>
  <c r="BO568" i="3"/>
  <c r="BM569" i="3"/>
  <c r="BN569" i="3"/>
  <c r="BO569" i="3"/>
  <c r="BM570" i="3"/>
  <c r="BN570" i="3"/>
  <c r="BO570" i="3"/>
  <c r="BM571" i="3"/>
  <c r="BN571" i="3"/>
  <c r="BO571" i="3"/>
  <c r="BM572" i="3"/>
  <c r="BN572" i="3"/>
  <c r="BO572" i="3"/>
  <c r="BM573" i="3"/>
  <c r="BN573" i="3"/>
  <c r="BO573" i="3"/>
  <c r="BM574" i="3"/>
  <c r="BN574" i="3"/>
  <c r="BO574" i="3"/>
  <c r="BM575" i="3"/>
  <c r="BN575" i="3"/>
  <c r="BO575" i="3"/>
  <c r="BM576" i="3"/>
  <c r="BN576" i="3"/>
  <c r="BO576" i="3"/>
  <c r="BM577" i="3"/>
  <c r="BN577" i="3"/>
  <c r="BO577" i="3"/>
  <c r="BM578" i="3"/>
  <c r="BN578" i="3"/>
  <c r="BO578" i="3"/>
  <c r="BM579" i="3"/>
  <c r="BN579" i="3"/>
  <c r="BO579" i="3"/>
  <c r="BM580" i="3"/>
  <c r="BN580" i="3"/>
  <c r="BO580" i="3"/>
  <c r="BM581" i="3"/>
  <c r="BN581" i="3"/>
  <c r="BO581" i="3"/>
  <c r="BM582" i="3"/>
  <c r="BN582" i="3"/>
  <c r="BO582" i="3"/>
  <c r="BM583" i="3"/>
  <c r="BN583" i="3"/>
  <c r="BO583" i="3"/>
  <c r="BM584" i="3"/>
  <c r="BN584" i="3"/>
  <c r="BO584" i="3"/>
  <c r="BM585" i="3"/>
  <c r="BN585" i="3"/>
  <c r="BO585" i="3"/>
  <c r="BM586" i="3"/>
  <c r="BN586" i="3"/>
  <c r="BO586" i="3"/>
  <c r="BM587" i="3"/>
  <c r="BN587" i="3"/>
  <c r="BO587" i="3"/>
  <c r="BM588" i="3"/>
  <c r="BN588" i="3"/>
  <c r="BO588" i="3"/>
  <c r="BM589" i="3"/>
  <c r="BN589" i="3"/>
  <c r="BO589" i="3"/>
  <c r="BM590" i="3"/>
  <c r="BN590" i="3"/>
  <c r="BO590" i="3"/>
  <c r="BM591" i="3"/>
  <c r="BN591" i="3"/>
  <c r="BO591" i="3"/>
  <c r="BM592" i="3"/>
  <c r="BN592" i="3"/>
  <c r="BO592" i="3"/>
  <c r="BM593" i="3"/>
  <c r="BN593" i="3"/>
  <c r="BO593" i="3"/>
  <c r="BM594" i="3"/>
  <c r="BN594" i="3"/>
  <c r="BO594" i="3"/>
  <c r="BM595" i="3"/>
  <c r="BN595" i="3"/>
  <c r="BO595" i="3"/>
  <c r="BM596" i="3"/>
  <c r="BN596" i="3"/>
  <c r="BO596" i="3"/>
  <c r="BM597" i="3"/>
  <c r="BN597" i="3"/>
  <c r="BO597" i="3"/>
  <c r="BM598" i="3"/>
  <c r="BN598" i="3"/>
  <c r="BO598" i="3"/>
  <c r="BM599" i="3"/>
  <c r="BN599" i="3"/>
  <c r="BO599" i="3"/>
  <c r="BM600" i="3"/>
  <c r="BN600" i="3"/>
  <c r="BO600" i="3"/>
  <c r="BM601" i="3"/>
  <c r="BN601" i="3"/>
  <c r="BO601" i="3"/>
  <c r="BM602" i="3"/>
  <c r="BN602" i="3"/>
  <c r="BO602" i="3"/>
  <c r="BM603" i="3"/>
  <c r="BN603" i="3"/>
  <c r="BO603" i="3"/>
  <c r="BM604" i="3"/>
  <c r="BN604" i="3"/>
  <c r="BO604" i="3"/>
  <c r="BM605" i="3"/>
  <c r="BN605" i="3"/>
  <c r="BO605" i="3"/>
  <c r="BM606" i="3"/>
  <c r="BN606" i="3"/>
  <c r="BO606" i="3"/>
  <c r="BM607" i="3"/>
  <c r="BN607" i="3"/>
  <c r="BO607" i="3"/>
  <c r="BM608" i="3"/>
  <c r="BN608" i="3"/>
  <c r="BO608" i="3"/>
  <c r="BM609" i="3"/>
  <c r="BN609" i="3"/>
  <c r="BO609" i="3"/>
  <c r="BM610" i="3"/>
  <c r="BN610" i="3"/>
  <c r="BO610" i="3"/>
  <c r="BM611" i="3"/>
  <c r="BN611" i="3"/>
  <c r="BO611" i="3"/>
  <c r="BM612" i="3"/>
  <c r="BN612" i="3"/>
  <c r="BO612" i="3"/>
  <c r="BM613" i="3"/>
  <c r="BN613" i="3"/>
  <c r="BO613" i="3"/>
  <c r="BM614" i="3"/>
  <c r="BN614" i="3"/>
  <c r="BO614" i="3"/>
  <c r="BM615" i="3"/>
  <c r="BN615" i="3"/>
  <c r="BO615" i="3"/>
  <c r="BM616" i="3"/>
  <c r="BN616" i="3"/>
  <c r="BO616" i="3"/>
  <c r="BM617" i="3"/>
  <c r="BN617" i="3"/>
  <c r="BO617" i="3"/>
  <c r="BM618" i="3"/>
  <c r="BN618" i="3"/>
  <c r="BO618" i="3"/>
  <c r="BM619" i="3"/>
  <c r="BN619" i="3"/>
  <c r="BO619" i="3"/>
  <c r="BM620" i="3"/>
  <c r="BN620" i="3"/>
  <c r="BO620" i="3"/>
  <c r="BM621" i="3"/>
  <c r="BN621" i="3"/>
  <c r="BO621" i="3"/>
  <c r="BM622" i="3"/>
  <c r="BN622" i="3"/>
  <c r="BO622" i="3"/>
  <c r="BM623" i="3"/>
  <c r="BN623" i="3"/>
  <c r="BO623" i="3"/>
  <c r="BM624" i="3"/>
  <c r="BN624" i="3"/>
  <c r="BO624" i="3"/>
  <c r="BM625" i="3"/>
  <c r="BN625" i="3"/>
  <c r="BO625" i="3"/>
  <c r="BM626" i="3"/>
  <c r="BN626" i="3"/>
  <c r="BO626" i="3"/>
  <c r="BM627" i="3"/>
  <c r="BN627" i="3"/>
  <c r="BO627" i="3"/>
  <c r="BM628" i="3"/>
  <c r="BN628" i="3"/>
  <c r="BO628" i="3"/>
  <c r="BM629" i="3"/>
  <c r="BN629" i="3"/>
  <c r="BO629" i="3"/>
  <c r="BM630" i="3"/>
  <c r="BN630" i="3"/>
  <c r="BO630" i="3"/>
  <c r="BM631" i="3"/>
  <c r="BN631" i="3"/>
  <c r="BO631" i="3"/>
  <c r="BM632" i="3"/>
  <c r="BN632" i="3"/>
  <c r="BO632" i="3"/>
  <c r="BM633" i="3"/>
  <c r="BN633" i="3"/>
  <c r="BO633" i="3"/>
  <c r="BM634" i="3"/>
  <c r="BN634" i="3"/>
  <c r="BO634" i="3"/>
  <c r="BM635" i="3"/>
  <c r="BN635" i="3"/>
  <c r="BO635" i="3"/>
  <c r="BM636" i="3"/>
  <c r="BN636" i="3"/>
  <c r="BO636" i="3"/>
  <c r="BM637" i="3"/>
  <c r="BN637" i="3"/>
  <c r="BO637" i="3"/>
  <c r="BM638" i="3"/>
  <c r="BN638" i="3"/>
  <c r="BO638" i="3"/>
  <c r="BM639" i="3"/>
  <c r="BN639" i="3"/>
  <c r="BO639" i="3"/>
  <c r="BM640" i="3"/>
  <c r="BN640" i="3"/>
  <c r="BO640" i="3"/>
  <c r="BM641" i="3"/>
  <c r="BN641" i="3"/>
  <c r="BO641" i="3"/>
  <c r="BM642" i="3"/>
  <c r="BN642" i="3"/>
  <c r="BO642" i="3"/>
  <c r="BM643" i="3"/>
  <c r="BN643" i="3"/>
  <c r="BO643" i="3"/>
  <c r="BM644" i="3"/>
  <c r="BN644" i="3"/>
  <c r="BO644" i="3"/>
  <c r="BM645" i="3"/>
  <c r="BN645" i="3"/>
  <c r="BO645" i="3"/>
  <c r="BM646" i="3"/>
  <c r="BN646" i="3"/>
  <c r="BO646" i="3"/>
  <c r="BM647" i="3"/>
  <c r="BN647" i="3"/>
  <c r="BO647" i="3"/>
  <c r="BM648" i="3"/>
  <c r="BN648" i="3"/>
  <c r="BO648" i="3"/>
  <c r="BM649" i="3"/>
  <c r="BN649" i="3"/>
  <c r="BO649" i="3"/>
  <c r="BM650" i="3"/>
  <c r="BN650" i="3"/>
  <c r="BO650" i="3"/>
  <c r="BM651" i="3"/>
  <c r="BN651" i="3"/>
  <c r="BO651" i="3"/>
  <c r="BM652" i="3"/>
  <c r="BN652" i="3"/>
  <c r="BO652" i="3"/>
  <c r="BM653" i="3"/>
  <c r="BN653" i="3"/>
  <c r="BO653" i="3"/>
  <c r="BM654" i="3"/>
  <c r="BN654" i="3"/>
  <c r="BO654" i="3"/>
  <c r="BM655" i="3"/>
  <c r="BN655" i="3"/>
  <c r="BO655" i="3"/>
  <c r="BM656" i="3"/>
  <c r="BN656" i="3"/>
  <c r="BO656" i="3"/>
  <c r="BM657" i="3"/>
  <c r="BN657" i="3"/>
  <c r="BO657" i="3"/>
  <c r="BM658" i="3"/>
  <c r="BN658" i="3"/>
  <c r="BO658" i="3"/>
  <c r="BM659" i="3"/>
  <c r="BN659" i="3"/>
  <c r="BO659" i="3"/>
  <c r="BM660" i="3"/>
  <c r="BN660" i="3"/>
  <c r="BO660" i="3"/>
  <c r="BM661" i="3"/>
  <c r="BN661" i="3"/>
  <c r="BO661" i="3"/>
  <c r="BM662" i="3"/>
  <c r="BN662" i="3"/>
  <c r="BO662" i="3"/>
  <c r="BM663" i="3"/>
  <c r="BN663" i="3"/>
  <c r="BO663" i="3"/>
  <c r="BM664" i="3"/>
  <c r="BN664" i="3"/>
  <c r="BO664" i="3"/>
  <c r="BM665" i="3"/>
  <c r="BN665" i="3"/>
  <c r="BO665" i="3"/>
  <c r="BM666" i="3"/>
  <c r="BN666" i="3"/>
  <c r="BO666" i="3"/>
  <c r="BM667" i="3"/>
  <c r="BN667" i="3"/>
  <c r="BO667" i="3"/>
  <c r="BM668" i="3"/>
  <c r="BN668" i="3"/>
  <c r="BO668" i="3"/>
  <c r="BM669" i="3"/>
  <c r="BN669" i="3"/>
  <c r="BO669" i="3"/>
  <c r="BM670" i="3"/>
  <c r="BN670" i="3"/>
  <c r="BO670" i="3"/>
  <c r="BM671" i="3"/>
  <c r="BN671" i="3"/>
  <c r="BO671" i="3"/>
  <c r="BM672" i="3"/>
  <c r="BN672" i="3"/>
  <c r="BO672" i="3"/>
  <c r="BM673" i="3"/>
  <c r="BN673" i="3"/>
  <c r="BO673" i="3"/>
  <c r="BM674" i="3"/>
  <c r="BN674" i="3"/>
  <c r="BO674" i="3"/>
  <c r="BM675" i="3"/>
  <c r="BN675" i="3"/>
  <c r="BO675" i="3"/>
  <c r="BM676" i="3"/>
  <c r="BN676" i="3"/>
  <c r="BO676" i="3"/>
  <c r="BM677" i="3"/>
  <c r="BN677" i="3"/>
  <c r="BO677" i="3"/>
  <c r="BM678" i="3"/>
  <c r="BN678" i="3"/>
  <c r="BO678" i="3"/>
  <c r="BM679" i="3"/>
  <c r="BN679" i="3"/>
  <c r="BO679" i="3"/>
  <c r="BM680" i="3"/>
  <c r="BN680" i="3"/>
  <c r="BO680" i="3"/>
  <c r="BM681" i="3"/>
  <c r="BN681" i="3"/>
  <c r="BO681" i="3"/>
  <c r="BM682" i="3"/>
  <c r="BN682" i="3"/>
  <c r="BO682" i="3"/>
  <c r="BM683" i="3"/>
  <c r="BN683" i="3"/>
  <c r="BO683" i="3"/>
  <c r="BM684" i="3"/>
  <c r="BN684" i="3"/>
  <c r="BO684" i="3"/>
  <c r="BM685" i="3"/>
  <c r="BN685" i="3"/>
  <c r="BO685" i="3"/>
  <c r="BM686" i="3"/>
  <c r="BN686" i="3"/>
  <c r="BO686" i="3"/>
  <c r="BM687" i="3"/>
  <c r="BN687" i="3"/>
  <c r="BO687" i="3"/>
  <c r="BM688" i="3"/>
  <c r="BN688" i="3"/>
  <c r="BO688" i="3"/>
  <c r="BM689" i="3"/>
  <c r="BN689" i="3"/>
  <c r="BO689" i="3"/>
  <c r="BM690" i="3"/>
  <c r="BN690" i="3"/>
  <c r="BO690" i="3"/>
  <c r="BM691" i="3"/>
  <c r="BN691" i="3"/>
  <c r="BO691" i="3"/>
  <c r="BM692" i="3"/>
  <c r="BN692" i="3"/>
  <c r="BO692" i="3"/>
  <c r="BM693" i="3"/>
  <c r="BN693" i="3"/>
  <c r="BO693" i="3"/>
  <c r="BM694" i="3"/>
  <c r="BN694" i="3"/>
  <c r="BO694" i="3"/>
  <c r="BM695" i="3"/>
  <c r="BN695" i="3"/>
  <c r="BO695" i="3"/>
  <c r="BM696" i="3"/>
  <c r="BN696" i="3"/>
  <c r="BO696" i="3"/>
  <c r="BM697" i="3"/>
  <c r="BN697" i="3"/>
  <c r="BO697" i="3"/>
  <c r="BM698" i="3"/>
  <c r="BN698" i="3"/>
  <c r="BO698" i="3"/>
  <c r="BM699" i="3"/>
  <c r="BN699" i="3"/>
  <c r="BO699" i="3"/>
  <c r="BM700" i="3"/>
  <c r="BN700" i="3"/>
  <c r="BO700" i="3"/>
  <c r="BM701" i="3"/>
  <c r="BN701" i="3"/>
  <c r="BO701" i="3"/>
  <c r="BM702" i="3"/>
  <c r="BN702" i="3"/>
  <c r="BO702" i="3"/>
  <c r="BM703" i="3"/>
  <c r="BN703" i="3"/>
  <c r="BO703" i="3"/>
  <c r="BM704" i="3"/>
  <c r="BN704" i="3"/>
  <c r="BO704" i="3"/>
  <c r="BM705" i="3"/>
  <c r="BN705" i="3"/>
  <c r="BO705" i="3"/>
  <c r="BM706" i="3"/>
  <c r="BN706" i="3"/>
  <c r="BO706" i="3"/>
  <c r="BM707" i="3"/>
  <c r="BN707" i="3"/>
  <c r="BO707" i="3"/>
  <c r="BM708" i="3"/>
  <c r="BN708" i="3"/>
  <c r="BO708" i="3"/>
  <c r="BM709" i="3"/>
  <c r="BN709" i="3"/>
  <c r="BO709" i="3"/>
  <c r="BM710" i="3"/>
  <c r="BN710" i="3"/>
  <c r="BO710" i="3"/>
  <c r="BM711" i="3"/>
  <c r="BN711" i="3"/>
  <c r="BO711" i="3"/>
  <c r="BM712" i="3"/>
  <c r="BN712" i="3"/>
  <c r="BO712" i="3"/>
  <c r="BM713" i="3"/>
  <c r="BN713" i="3"/>
  <c r="BO713" i="3"/>
  <c r="BM714" i="3"/>
  <c r="BN714" i="3"/>
  <c r="BO714" i="3"/>
  <c r="BM715" i="3"/>
  <c r="BN715" i="3"/>
  <c r="BO715" i="3"/>
  <c r="BM716" i="3"/>
  <c r="BN716" i="3"/>
  <c r="BO716" i="3"/>
  <c r="BM717" i="3"/>
  <c r="BN717" i="3"/>
  <c r="BO717" i="3"/>
  <c r="BM718" i="3"/>
  <c r="BN718" i="3"/>
  <c r="BO718" i="3"/>
  <c r="BM719" i="3"/>
  <c r="BN719" i="3"/>
  <c r="BO719" i="3"/>
  <c r="BM720" i="3"/>
  <c r="BN720" i="3"/>
  <c r="BO720" i="3"/>
  <c r="BM721" i="3"/>
  <c r="BN721" i="3"/>
  <c r="BO721" i="3"/>
  <c r="BM722" i="3"/>
  <c r="BN722" i="3"/>
  <c r="BO722" i="3"/>
  <c r="BM723" i="3"/>
  <c r="BN723" i="3"/>
  <c r="BO723" i="3"/>
  <c r="BM724" i="3"/>
  <c r="BN724" i="3"/>
  <c r="BO724" i="3"/>
  <c r="BM725" i="3"/>
  <c r="BN725" i="3"/>
  <c r="BO725" i="3"/>
  <c r="BM726" i="3"/>
  <c r="BN726" i="3"/>
  <c r="BO726" i="3"/>
  <c r="BM727" i="3"/>
  <c r="BN727" i="3"/>
  <c r="BO727" i="3"/>
  <c r="BM728" i="3"/>
  <c r="BN728" i="3"/>
  <c r="BO728" i="3"/>
  <c r="BM729" i="3"/>
  <c r="BN729" i="3"/>
  <c r="BO729" i="3"/>
  <c r="BM730" i="3"/>
  <c r="BN730" i="3"/>
  <c r="BO730" i="3"/>
  <c r="BM731" i="3"/>
  <c r="BN731" i="3"/>
  <c r="BO731" i="3"/>
  <c r="BM732" i="3"/>
  <c r="BN732" i="3"/>
  <c r="BO732" i="3"/>
  <c r="BM733" i="3"/>
  <c r="BN733" i="3"/>
  <c r="BO733" i="3"/>
  <c r="BM734" i="3"/>
  <c r="BN734" i="3"/>
  <c r="BO734" i="3"/>
  <c r="BM735" i="3"/>
  <c r="BN735" i="3"/>
  <c r="BO735" i="3"/>
  <c r="BM736" i="3"/>
  <c r="BN736" i="3"/>
  <c r="BO736" i="3"/>
  <c r="BM737" i="3"/>
  <c r="BN737" i="3"/>
  <c r="BO737" i="3"/>
  <c r="BM738" i="3"/>
  <c r="BN738" i="3"/>
  <c r="BO738" i="3"/>
  <c r="BM739" i="3"/>
  <c r="BN739" i="3"/>
  <c r="BO739" i="3"/>
  <c r="BM740" i="3"/>
  <c r="BN740" i="3"/>
  <c r="BO740" i="3"/>
  <c r="BM741" i="3"/>
  <c r="BN741" i="3"/>
  <c r="BO741" i="3"/>
  <c r="BM742" i="3"/>
  <c r="BN742" i="3"/>
  <c r="BO742" i="3"/>
  <c r="BM743" i="3"/>
  <c r="BN743" i="3"/>
  <c r="BO743" i="3"/>
  <c r="BM744" i="3"/>
  <c r="BN744" i="3"/>
  <c r="BO744" i="3"/>
  <c r="BM745" i="3"/>
  <c r="BN745" i="3"/>
  <c r="BO745" i="3"/>
  <c r="BM746" i="3"/>
  <c r="BN746" i="3"/>
  <c r="BO746" i="3"/>
  <c r="BM747" i="3"/>
  <c r="BN747" i="3"/>
  <c r="BO747" i="3"/>
  <c r="BM748" i="3"/>
  <c r="BN748" i="3"/>
  <c r="BO748" i="3"/>
  <c r="BM749" i="3"/>
  <c r="BN749" i="3"/>
  <c r="BO749" i="3"/>
  <c r="BM750" i="3"/>
  <c r="BN750" i="3"/>
  <c r="BO750" i="3"/>
  <c r="BM751" i="3"/>
  <c r="BN751" i="3"/>
  <c r="BO751" i="3"/>
  <c r="BM752" i="3"/>
  <c r="BN752" i="3"/>
  <c r="BO752" i="3"/>
  <c r="BM753" i="3"/>
  <c r="BN753" i="3"/>
  <c r="BO753" i="3"/>
  <c r="BM754" i="3"/>
  <c r="BN754" i="3"/>
  <c r="BO754" i="3"/>
  <c r="BM755" i="3"/>
  <c r="BN755" i="3"/>
  <c r="BO755" i="3"/>
  <c r="BM756" i="3"/>
  <c r="BN756" i="3"/>
  <c r="BO756" i="3"/>
  <c r="BM757" i="3"/>
  <c r="BN757" i="3"/>
  <c r="BO757" i="3"/>
  <c r="BM758" i="3"/>
  <c r="BN758" i="3"/>
  <c r="BO758" i="3"/>
  <c r="BM759" i="3"/>
  <c r="BN759" i="3"/>
  <c r="BO759" i="3"/>
  <c r="BM760" i="3"/>
  <c r="BN760" i="3"/>
  <c r="BO760" i="3"/>
  <c r="BM761" i="3"/>
  <c r="BN761" i="3"/>
  <c r="BO761" i="3"/>
  <c r="BM762" i="3"/>
  <c r="BN762" i="3"/>
  <c r="BO762" i="3"/>
  <c r="BM763" i="3"/>
  <c r="BN763" i="3"/>
  <c r="BO763" i="3"/>
  <c r="BM764" i="3"/>
  <c r="BN764" i="3"/>
  <c r="BO764" i="3"/>
  <c r="BM765" i="3"/>
  <c r="BN765" i="3"/>
  <c r="BO765" i="3"/>
  <c r="BM766" i="3"/>
  <c r="BN766" i="3"/>
  <c r="BO766" i="3"/>
  <c r="BM767" i="3"/>
  <c r="BN767" i="3"/>
  <c r="BO767" i="3"/>
  <c r="BM768" i="3"/>
  <c r="BN768" i="3"/>
  <c r="BO768" i="3"/>
  <c r="BM769" i="3"/>
  <c r="BN769" i="3"/>
  <c r="BO769" i="3"/>
  <c r="BM770" i="3"/>
  <c r="BN770" i="3"/>
  <c r="BO770" i="3"/>
  <c r="BM771" i="3"/>
  <c r="BN771" i="3"/>
  <c r="BO771" i="3"/>
  <c r="BM772" i="3"/>
  <c r="BN772" i="3"/>
  <c r="BO772" i="3"/>
  <c r="BM773" i="3"/>
  <c r="BN773" i="3"/>
  <c r="BO773" i="3"/>
  <c r="BM774" i="3"/>
  <c r="BN774" i="3"/>
  <c r="BO774" i="3"/>
  <c r="BM775" i="3"/>
  <c r="BN775" i="3"/>
  <c r="BO775" i="3"/>
  <c r="BM776" i="3"/>
  <c r="BN776" i="3"/>
  <c r="BO776" i="3"/>
  <c r="BM777" i="3"/>
  <c r="BN777" i="3"/>
  <c r="BO777" i="3"/>
  <c r="BM778" i="3"/>
  <c r="BN778" i="3"/>
  <c r="BO778" i="3"/>
  <c r="BM779" i="3"/>
  <c r="BN779" i="3"/>
  <c r="BO779" i="3"/>
  <c r="BM780" i="3"/>
  <c r="BN780" i="3"/>
  <c r="BO780" i="3"/>
  <c r="BM781" i="3"/>
  <c r="BN781" i="3"/>
  <c r="BO781" i="3"/>
  <c r="BM782" i="3"/>
  <c r="BN782" i="3"/>
  <c r="BO782" i="3"/>
  <c r="BM783" i="3"/>
  <c r="BN783" i="3"/>
  <c r="BO783" i="3"/>
  <c r="BM784" i="3"/>
  <c r="BN784" i="3"/>
  <c r="BO784" i="3"/>
  <c r="BM785" i="3"/>
  <c r="BN785" i="3"/>
  <c r="BO785" i="3"/>
  <c r="BM786" i="3"/>
  <c r="BN786" i="3"/>
  <c r="BO786" i="3"/>
  <c r="BM787" i="3"/>
  <c r="BN787" i="3"/>
  <c r="BO787" i="3"/>
  <c r="BM788" i="3"/>
  <c r="BN788" i="3"/>
  <c r="BO788" i="3"/>
  <c r="BM789" i="3"/>
  <c r="BN789" i="3"/>
  <c r="BO789" i="3"/>
  <c r="BM790" i="3"/>
  <c r="BN790" i="3"/>
  <c r="BO790" i="3"/>
  <c r="BM791" i="3"/>
  <c r="BN791" i="3"/>
  <c r="BO791" i="3"/>
  <c r="BM792" i="3"/>
  <c r="BN792" i="3"/>
  <c r="BO792" i="3"/>
  <c r="BM793" i="3"/>
  <c r="BN793" i="3"/>
  <c r="BO793" i="3"/>
  <c r="BM794" i="3"/>
  <c r="BN794" i="3"/>
  <c r="BO794" i="3"/>
  <c r="BM795" i="3"/>
  <c r="BN795" i="3"/>
  <c r="BO795" i="3"/>
  <c r="BM796" i="3"/>
  <c r="BN796" i="3"/>
  <c r="BO796" i="3"/>
  <c r="BM797" i="3"/>
  <c r="BN797" i="3"/>
  <c r="BO797" i="3"/>
  <c r="BM798" i="3"/>
  <c r="BN798" i="3"/>
  <c r="BO798" i="3"/>
  <c r="BM799" i="3"/>
  <c r="BN799" i="3"/>
  <c r="BO799" i="3"/>
  <c r="BM800" i="3"/>
  <c r="BN800" i="3"/>
  <c r="BO800" i="3"/>
  <c r="BM801" i="3"/>
  <c r="BN801" i="3"/>
  <c r="BO801" i="3"/>
  <c r="BM802" i="3"/>
  <c r="BN802" i="3"/>
  <c r="BO802" i="3"/>
  <c r="BM803" i="3"/>
  <c r="BN803" i="3"/>
  <c r="BO803" i="3"/>
  <c r="BM804" i="3"/>
  <c r="BN804" i="3"/>
  <c r="BO804" i="3"/>
  <c r="BM805" i="3"/>
  <c r="BN805" i="3"/>
  <c r="BO805" i="3"/>
  <c r="BM806" i="3"/>
  <c r="BN806" i="3"/>
  <c r="BO806" i="3"/>
  <c r="BM807" i="3"/>
  <c r="BN807" i="3"/>
  <c r="BO807" i="3"/>
  <c r="BM808" i="3"/>
  <c r="BN808" i="3"/>
  <c r="BO808" i="3"/>
  <c r="BM809" i="3"/>
  <c r="BN809" i="3"/>
  <c r="BO809" i="3"/>
  <c r="BM810" i="3"/>
  <c r="BN810" i="3"/>
  <c r="BO810" i="3"/>
  <c r="BM811" i="3"/>
  <c r="BN811" i="3"/>
  <c r="BO811" i="3"/>
  <c r="BM812" i="3"/>
  <c r="BN812" i="3"/>
  <c r="BO812" i="3"/>
  <c r="BM813" i="3"/>
  <c r="BN813" i="3"/>
  <c r="BO813" i="3"/>
  <c r="BM814" i="3"/>
  <c r="BN814" i="3"/>
  <c r="BO814" i="3"/>
  <c r="BM815" i="3"/>
  <c r="BN815" i="3"/>
  <c r="BO815" i="3"/>
  <c r="BM816" i="3"/>
  <c r="BN816" i="3"/>
  <c r="BO816" i="3"/>
  <c r="BM817" i="3"/>
  <c r="BN817" i="3"/>
  <c r="BO817" i="3"/>
  <c r="BM818" i="3"/>
  <c r="BN818" i="3"/>
  <c r="BO818" i="3"/>
  <c r="BM819" i="3"/>
  <c r="BN819" i="3"/>
  <c r="BO819" i="3"/>
  <c r="BM820" i="3"/>
  <c r="BN820" i="3"/>
  <c r="BO820" i="3"/>
  <c r="BM821" i="3"/>
  <c r="BN821" i="3"/>
  <c r="BO821" i="3"/>
  <c r="BM822" i="3"/>
  <c r="BN822" i="3"/>
  <c r="BO822" i="3"/>
  <c r="BM823" i="3"/>
  <c r="BN823" i="3"/>
  <c r="BO823" i="3"/>
  <c r="BM824" i="3"/>
  <c r="BN824" i="3"/>
  <c r="BO824" i="3"/>
  <c r="BM825" i="3"/>
  <c r="BN825" i="3"/>
  <c r="BO825" i="3"/>
  <c r="BM826" i="3"/>
  <c r="BN826" i="3"/>
  <c r="BO826" i="3"/>
  <c r="BM827" i="3"/>
  <c r="BN827" i="3"/>
  <c r="BO827" i="3"/>
  <c r="BM828" i="3"/>
  <c r="BN828" i="3"/>
  <c r="BO828" i="3"/>
  <c r="BM829" i="3"/>
  <c r="BN829" i="3"/>
  <c r="BO829" i="3"/>
  <c r="BM830" i="3"/>
  <c r="BN830" i="3"/>
  <c r="BO830" i="3"/>
  <c r="BM831" i="3"/>
  <c r="BN831" i="3"/>
  <c r="BO831" i="3"/>
  <c r="BM832" i="3"/>
  <c r="BN832" i="3"/>
  <c r="BO832" i="3"/>
  <c r="BM833" i="3"/>
  <c r="BN833" i="3"/>
  <c r="BO833" i="3"/>
  <c r="BM834" i="3"/>
  <c r="BN834" i="3"/>
  <c r="BO834" i="3"/>
  <c r="BM835" i="3"/>
  <c r="BN835" i="3"/>
  <c r="BO835" i="3"/>
  <c r="BM836" i="3"/>
  <c r="BN836" i="3"/>
  <c r="BO836" i="3"/>
  <c r="BM837" i="3"/>
  <c r="BN837" i="3"/>
  <c r="BO837" i="3"/>
  <c r="BM838" i="3"/>
  <c r="BN838" i="3"/>
  <c r="BO838" i="3"/>
  <c r="BM839" i="3"/>
  <c r="BN839" i="3"/>
  <c r="BO839" i="3"/>
  <c r="BM840" i="3"/>
  <c r="BN840" i="3"/>
  <c r="BO840" i="3"/>
  <c r="BM841" i="3"/>
  <c r="BN841" i="3"/>
  <c r="BO841" i="3"/>
  <c r="BM842" i="3"/>
  <c r="BN842" i="3"/>
  <c r="BO842" i="3"/>
  <c r="BM843" i="3"/>
  <c r="BN843" i="3"/>
  <c r="BO843" i="3"/>
  <c r="BM844" i="3"/>
  <c r="BN844" i="3"/>
  <c r="BO844" i="3"/>
  <c r="BM845" i="3"/>
  <c r="BN845" i="3"/>
  <c r="BO845" i="3"/>
  <c r="BM846" i="3"/>
  <c r="BN846" i="3"/>
  <c r="BO846" i="3"/>
  <c r="BM847" i="3"/>
  <c r="BN847" i="3"/>
  <c r="BO847" i="3"/>
  <c r="BM848" i="3"/>
  <c r="BN848" i="3"/>
  <c r="BO848" i="3"/>
  <c r="BM849" i="3"/>
  <c r="BN849" i="3"/>
  <c r="BO849" i="3"/>
  <c r="BM850" i="3"/>
  <c r="BN850" i="3"/>
  <c r="BO850" i="3"/>
  <c r="BM851" i="3"/>
  <c r="BN851" i="3"/>
  <c r="BO851" i="3"/>
  <c r="BM852" i="3"/>
  <c r="BN852" i="3"/>
  <c r="BO852" i="3"/>
  <c r="BM853" i="3"/>
  <c r="BN853" i="3"/>
  <c r="BO853" i="3"/>
  <c r="BM854" i="3"/>
  <c r="BN854" i="3"/>
  <c r="BO854" i="3"/>
  <c r="BM855" i="3"/>
  <c r="BN855" i="3"/>
  <c r="BO855" i="3"/>
  <c r="BM856" i="3"/>
  <c r="BN856" i="3"/>
  <c r="BO856" i="3"/>
  <c r="BM857" i="3"/>
  <c r="BN857" i="3"/>
  <c r="BO857" i="3"/>
  <c r="BM858" i="3"/>
  <c r="BN858" i="3"/>
  <c r="BO858" i="3"/>
  <c r="BM859" i="3"/>
  <c r="BN859" i="3"/>
  <c r="BO859" i="3"/>
  <c r="BM860" i="3"/>
  <c r="BN860" i="3"/>
  <c r="BO860" i="3"/>
  <c r="BM861" i="3"/>
  <c r="BN861" i="3"/>
  <c r="BO861" i="3"/>
  <c r="BM862" i="3"/>
  <c r="BN862" i="3"/>
  <c r="BO862" i="3"/>
  <c r="BM863" i="3"/>
  <c r="BN863" i="3"/>
  <c r="BO863" i="3"/>
  <c r="BM864" i="3"/>
  <c r="BN864" i="3"/>
  <c r="BO864" i="3"/>
  <c r="BM865" i="3"/>
  <c r="BN865" i="3"/>
  <c r="BO865" i="3"/>
  <c r="BM866" i="3"/>
  <c r="BN866" i="3"/>
  <c r="BO866" i="3"/>
  <c r="BM867" i="3"/>
  <c r="BN867" i="3"/>
  <c r="BO867" i="3"/>
  <c r="BM868" i="3"/>
  <c r="BN868" i="3"/>
  <c r="BO868" i="3"/>
  <c r="BM869" i="3"/>
  <c r="BN869" i="3"/>
  <c r="BO869" i="3"/>
  <c r="BM870" i="3"/>
  <c r="BN870" i="3"/>
  <c r="BO870" i="3"/>
  <c r="BM871" i="3"/>
  <c r="BN871" i="3"/>
  <c r="BO871" i="3"/>
  <c r="BM872" i="3"/>
  <c r="BN872" i="3"/>
  <c r="BO872" i="3"/>
  <c r="BM873" i="3"/>
  <c r="BN873" i="3"/>
  <c r="BO873" i="3"/>
  <c r="BM874" i="3"/>
  <c r="BN874" i="3"/>
  <c r="BO874" i="3"/>
  <c r="BM875" i="3"/>
  <c r="BN875" i="3"/>
  <c r="BO875" i="3"/>
  <c r="BM876" i="3"/>
  <c r="BN876" i="3"/>
  <c r="BO876" i="3"/>
  <c r="BM877" i="3"/>
  <c r="BN877" i="3"/>
  <c r="BO877" i="3"/>
  <c r="BM878" i="3"/>
  <c r="BN878" i="3"/>
  <c r="BO878" i="3"/>
  <c r="BM879" i="3"/>
  <c r="BN879" i="3"/>
  <c r="BO879" i="3"/>
  <c r="BM880" i="3"/>
  <c r="BN880" i="3"/>
  <c r="BO880" i="3"/>
  <c r="BM881" i="3"/>
  <c r="BN881" i="3"/>
  <c r="BO881" i="3"/>
  <c r="BM882" i="3"/>
  <c r="BN882" i="3"/>
  <c r="BO882" i="3"/>
  <c r="BM883" i="3"/>
  <c r="BN883" i="3"/>
  <c r="BO883" i="3"/>
  <c r="BM884" i="3"/>
  <c r="BN884" i="3"/>
  <c r="BO884" i="3"/>
  <c r="BM885" i="3"/>
  <c r="BN885" i="3"/>
  <c r="BO885" i="3"/>
  <c r="BM886" i="3"/>
  <c r="BN886" i="3"/>
  <c r="BO886" i="3"/>
  <c r="BM887" i="3"/>
  <c r="BN887" i="3"/>
  <c r="BO887" i="3"/>
  <c r="BM888" i="3"/>
  <c r="BN888" i="3"/>
  <c r="BO888" i="3"/>
  <c r="BM889" i="3"/>
  <c r="BN889" i="3"/>
  <c r="BO889" i="3"/>
  <c r="BM890" i="3"/>
  <c r="BN890" i="3"/>
  <c r="BO890" i="3"/>
  <c r="BM891" i="3"/>
  <c r="BN891" i="3"/>
  <c r="BO891" i="3"/>
  <c r="BM892" i="3"/>
  <c r="BN892" i="3"/>
  <c r="BO892" i="3"/>
  <c r="BM893" i="3"/>
  <c r="BN893" i="3"/>
  <c r="BO893" i="3"/>
  <c r="BM894" i="3"/>
  <c r="BN894" i="3"/>
  <c r="BO894" i="3"/>
  <c r="BM895" i="3"/>
  <c r="BN895" i="3"/>
  <c r="BO895" i="3"/>
  <c r="BM896" i="3"/>
  <c r="BN896" i="3"/>
  <c r="BO896" i="3"/>
  <c r="BM897" i="3"/>
  <c r="BN897" i="3"/>
  <c r="BO897" i="3"/>
  <c r="BM898" i="3"/>
  <c r="BN898" i="3"/>
  <c r="BO898" i="3"/>
  <c r="BM899" i="3"/>
  <c r="BN899" i="3"/>
  <c r="BO899" i="3"/>
  <c r="BM900" i="3"/>
  <c r="BN900" i="3"/>
  <c r="BO900" i="3"/>
  <c r="BM901" i="3"/>
  <c r="BN901" i="3"/>
  <c r="BO901" i="3"/>
  <c r="BM902" i="3"/>
  <c r="BN902" i="3"/>
  <c r="BO902" i="3"/>
  <c r="BM903" i="3"/>
  <c r="BN903" i="3"/>
  <c r="BO903" i="3"/>
  <c r="BM904" i="3"/>
  <c r="BN904" i="3"/>
  <c r="BO904" i="3"/>
  <c r="BM905" i="3"/>
  <c r="BN905" i="3"/>
  <c r="BO905" i="3"/>
  <c r="BM906" i="3"/>
  <c r="BN906" i="3"/>
  <c r="BO906" i="3"/>
  <c r="BM907" i="3"/>
  <c r="BN907" i="3"/>
  <c r="BO907" i="3"/>
  <c r="BM908" i="3"/>
  <c r="BN908" i="3"/>
  <c r="BO908" i="3"/>
  <c r="BM909" i="3"/>
  <c r="BN909" i="3"/>
  <c r="BO909" i="3"/>
  <c r="BM910" i="3"/>
  <c r="BN910" i="3"/>
  <c r="BO910" i="3"/>
  <c r="BM911" i="3"/>
  <c r="BN911" i="3"/>
  <c r="BO911" i="3"/>
  <c r="BM912" i="3"/>
  <c r="BN912" i="3"/>
  <c r="BO912" i="3"/>
  <c r="BM913" i="3"/>
  <c r="BN913" i="3"/>
  <c r="BO913" i="3"/>
  <c r="BM914" i="3"/>
  <c r="BN914" i="3"/>
  <c r="BO914" i="3"/>
  <c r="BM915" i="3"/>
  <c r="BN915" i="3"/>
  <c r="BO915" i="3"/>
  <c r="BM916" i="3"/>
  <c r="BN916" i="3"/>
  <c r="BO916" i="3"/>
  <c r="BM917" i="3"/>
  <c r="BN917" i="3"/>
  <c r="BO917" i="3"/>
  <c r="BM918" i="3"/>
  <c r="BN918" i="3"/>
  <c r="BO918" i="3"/>
  <c r="BM919" i="3"/>
  <c r="BN919" i="3"/>
  <c r="BO919" i="3"/>
  <c r="BM920" i="3"/>
  <c r="BN920" i="3"/>
  <c r="BO920" i="3"/>
  <c r="BM921" i="3"/>
  <c r="BN921" i="3"/>
  <c r="BO921" i="3"/>
  <c r="BM922" i="3"/>
  <c r="BN922" i="3"/>
  <c r="BO922" i="3"/>
  <c r="BM923" i="3"/>
  <c r="BN923" i="3"/>
  <c r="BO923" i="3"/>
  <c r="BM924" i="3"/>
  <c r="BN924" i="3"/>
  <c r="BO924" i="3"/>
  <c r="BM925" i="3"/>
  <c r="BN925" i="3"/>
  <c r="BO925" i="3"/>
  <c r="BM926" i="3"/>
  <c r="BN926" i="3"/>
  <c r="BO926" i="3"/>
  <c r="BM927" i="3"/>
  <c r="BN927" i="3"/>
  <c r="BO927" i="3"/>
  <c r="BM928" i="3"/>
  <c r="BN928" i="3"/>
  <c r="BO928" i="3"/>
  <c r="BM929" i="3"/>
  <c r="BN929" i="3"/>
  <c r="BO929" i="3"/>
  <c r="BM930" i="3"/>
  <c r="BN930" i="3"/>
  <c r="BO930" i="3"/>
  <c r="BM931" i="3"/>
  <c r="BN931" i="3"/>
  <c r="BO931" i="3"/>
  <c r="BM932" i="3"/>
  <c r="BN932" i="3"/>
  <c r="BO932" i="3"/>
  <c r="BM933" i="3"/>
  <c r="BN933" i="3"/>
  <c r="BO933" i="3"/>
  <c r="BM934" i="3"/>
  <c r="BN934" i="3"/>
  <c r="BO934" i="3"/>
  <c r="BM935" i="3"/>
  <c r="BN935" i="3"/>
  <c r="BO935" i="3"/>
  <c r="BM936" i="3"/>
  <c r="BN936" i="3"/>
  <c r="BO936" i="3"/>
  <c r="BM937" i="3"/>
  <c r="BN937" i="3"/>
  <c r="BO937" i="3"/>
  <c r="BM938" i="3"/>
  <c r="BN938" i="3"/>
  <c r="BO938" i="3"/>
  <c r="BM939" i="3"/>
  <c r="BN939" i="3"/>
  <c r="BO939" i="3"/>
  <c r="BM940" i="3"/>
  <c r="BN940" i="3"/>
  <c r="BO940" i="3"/>
  <c r="BM941" i="3"/>
  <c r="BN941" i="3"/>
  <c r="BO941" i="3"/>
  <c r="BM942" i="3"/>
  <c r="BN942" i="3"/>
  <c r="BO942" i="3"/>
  <c r="BM943" i="3"/>
  <c r="BN943" i="3"/>
  <c r="BO943" i="3"/>
  <c r="BM944" i="3"/>
  <c r="BN944" i="3"/>
  <c r="BO944" i="3"/>
  <c r="BM945" i="3"/>
  <c r="BN945" i="3"/>
  <c r="BO945" i="3"/>
  <c r="BM946" i="3"/>
  <c r="BN946" i="3"/>
  <c r="BO946" i="3"/>
  <c r="BM947" i="3"/>
  <c r="BN947" i="3"/>
  <c r="BO947" i="3"/>
  <c r="BM948" i="3"/>
  <c r="BN948" i="3"/>
  <c r="BO948" i="3"/>
  <c r="BM949" i="3"/>
  <c r="BN949" i="3"/>
  <c r="BO949" i="3"/>
  <c r="BM950" i="3"/>
  <c r="BN950" i="3"/>
  <c r="BO950" i="3"/>
  <c r="BM951" i="3"/>
  <c r="BN951" i="3"/>
  <c r="BO951" i="3"/>
  <c r="BM952" i="3"/>
  <c r="BN952" i="3"/>
  <c r="BO952" i="3"/>
  <c r="BM953" i="3"/>
  <c r="BN953" i="3"/>
  <c r="BO953" i="3"/>
  <c r="BM954" i="3"/>
  <c r="BN954" i="3"/>
  <c r="BO954" i="3"/>
  <c r="BM955" i="3"/>
  <c r="BN955" i="3"/>
  <c r="BO955" i="3"/>
  <c r="BM956" i="3"/>
  <c r="BN956" i="3"/>
  <c r="BO956" i="3"/>
  <c r="BM957" i="3"/>
  <c r="BN957" i="3"/>
  <c r="BO957" i="3"/>
  <c r="BM958" i="3"/>
  <c r="BN958" i="3"/>
  <c r="BO958" i="3"/>
  <c r="BM959" i="3"/>
  <c r="BN959" i="3"/>
  <c r="BO959" i="3"/>
  <c r="BM960" i="3"/>
  <c r="BN960" i="3"/>
  <c r="BO960" i="3"/>
  <c r="BM961" i="3"/>
  <c r="BN961" i="3"/>
  <c r="BO961" i="3"/>
  <c r="BM962" i="3"/>
  <c r="BN962" i="3"/>
  <c r="BO962" i="3"/>
  <c r="BM963" i="3"/>
  <c r="BN963" i="3"/>
  <c r="BO963" i="3"/>
  <c r="BM964" i="3"/>
  <c r="BN964" i="3"/>
  <c r="BO964" i="3"/>
  <c r="BM965" i="3"/>
  <c r="BN965" i="3"/>
  <c r="BO965" i="3"/>
  <c r="BM966" i="3"/>
  <c r="BN966" i="3"/>
  <c r="BO966" i="3"/>
  <c r="BM967" i="3"/>
  <c r="BN967" i="3"/>
  <c r="BO967" i="3"/>
  <c r="BM968" i="3"/>
  <c r="BN968" i="3"/>
  <c r="BO968" i="3"/>
  <c r="BM969" i="3"/>
  <c r="BN969" i="3"/>
  <c r="BO969" i="3"/>
  <c r="BM970" i="3"/>
  <c r="BN970" i="3"/>
  <c r="BO970" i="3"/>
  <c r="BM971" i="3"/>
  <c r="BN971" i="3"/>
  <c r="BO971" i="3"/>
  <c r="BM972" i="3"/>
  <c r="BN972" i="3"/>
  <c r="BO972" i="3"/>
  <c r="BM973" i="3"/>
  <c r="BN973" i="3"/>
  <c r="BO973" i="3"/>
  <c r="BM974" i="3"/>
  <c r="BN974" i="3"/>
  <c r="BO974" i="3"/>
  <c r="BM975" i="3"/>
  <c r="BN975" i="3"/>
  <c r="BO975" i="3"/>
  <c r="BM976" i="3"/>
  <c r="BN976" i="3"/>
  <c r="BO976" i="3"/>
  <c r="BM977" i="3"/>
  <c r="BN977" i="3"/>
  <c r="BO977" i="3"/>
  <c r="BM978" i="3"/>
  <c r="BN978" i="3"/>
  <c r="BO978" i="3"/>
  <c r="BM979" i="3"/>
  <c r="BN979" i="3"/>
  <c r="BO979" i="3"/>
  <c r="BM980" i="3"/>
  <c r="BN980" i="3"/>
  <c r="BO980" i="3"/>
  <c r="BM981" i="3"/>
  <c r="BN981" i="3"/>
  <c r="BO981" i="3"/>
  <c r="BM982" i="3"/>
  <c r="BN982" i="3"/>
  <c r="BO982" i="3"/>
  <c r="BM983" i="3"/>
  <c r="BN983" i="3"/>
  <c r="BO983" i="3"/>
  <c r="BM984" i="3"/>
  <c r="BN984" i="3"/>
  <c r="BO984" i="3"/>
  <c r="BM985" i="3"/>
  <c r="BN985" i="3"/>
  <c r="BO985" i="3"/>
  <c r="BM986" i="3"/>
  <c r="BN986" i="3"/>
  <c r="BO986" i="3"/>
  <c r="BM987" i="3"/>
  <c r="BN987" i="3"/>
  <c r="BO987" i="3"/>
  <c r="BM988" i="3"/>
  <c r="BN988" i="3"/>
  <c r="BO988" i="3"/>
  <c r="BM989" i="3"/>
  <c r="BN989" i="3"/>
  <c r="BO989" i="3"/>
  <c r="BM990" i="3"/>
  <c r="BN990" i="3"/>
  <c r="BO990" i="3"/>
  <c r="BM991" i="3"/>
  <c r="BN991" i="3"/>
  <c r="BO991" i="3"/>
  <c r="BM992" i="3"/>
  <c r="BN992" i="3"/>
  <c r="BO992" i="3"/>
  <c r="BM993" i="3"/>
  <c r="BN993" i="3"/>
  <c r="BO993" i="3"/>
  <c r="BM994" i="3"/>
  <c r="BN994" i="3"/>
  <c r="BO994" i="3"/>
  <c r="BM995" i="3"/>
  <c r="BN995" i="3"/>
  <c r="BO995" i="3"/>
  <c r="BM996" i="3"/>
  <c r="BN996" i="3"/>
  <c r="BO996" i="3"/>
  <c r="BM997" i="3"/>
  <c r="BN997" i="3"/>
  <c r="BO997" i="3"/>
  <c r="BM998" i="3"/>
  <c r="BN998" i="3"/>
  <c r="BO998" i="3"/>
  <c r="BM999" i="3"/>
  <c r="BN999" i="3"/>
  <c r="BO999" i="3"/>
  <c r="BM1000" i="3"/>
  <c r="BN1000" i="3"/>
  <c r="BO1000" i="3"/>
  <c r="BM1001" i="3"/>
  <c r="BN1001" i="3"/>
  <c r="BO1001" i="3"/>
  <c r="BM1002" i="3"/>
  <c r="BN1002" i="3"/>
  <c r="BO1002" i="3"/>
  <c r="BM1003" i="3"/>
  <c r="BN1003" i="3"/>
  <c r="BO1003" i="3"/>
  <c r="BM1004" i="3"/>
  <c r="BN1004" i="3"/>
  <c r="BO1004" i="3"/>
  <c r="BM1005" i="3"/>
  <c r="BN1005" i="3"/>
  <c r="BO1005" i="3"/>
  <c r="BM1006" i="3"/>
  <c r="BN1006" i="3"/>
  <c r="BO1006" i="3"/>
  <c r="BM1007" i="3"/>
  <c r="BN1007" i="3"/>
  <c r="BO1007" i="3"/>
  <c r="BM1008" i="3"/>
  <c r="BN1008" i="3"/>
  <c r="BO1008" i="3"/>
  <c r="BM1009" i="3"/>
  <c r="BN1009" i="3"/>
  <c r="BO1009" i="3"/>
  <c r="BM1010" i="3"/>
  <c r="BN1010" i="3"/>
  <c r="BO1010" i="3"/>
  <c r="BM1011" i="3"/>
  <c r="BN1011" i="3"/>
  <c r="BO1011" i="3"/>
  <c r="BM1012" i="3"/>
  <c r="BN1012" i="3"/>
  <c r="BO1012" i="3"/>
  <c r="BN13" i="3"/>
  <c r="BO13" i="3"/>
  <c r="BM13" i="3"/>
  <c r="B18" i="16"/>
  <c r="B17" i="16"/>
  <c r="B16" i="16"/>
  <c r="B15" i="16"/>
  <c r="B13" i="16"/>
  <c r="B12" i="16"/>
  <c r="B11" i="16"/>
  <c r="B10" i="16"/>
  <c r="B9" i="16"/>
  <c r="B8" i="16"/>
  <c r="B7" i="16"/>
  <c r="B4" i="21"/>
  <c r="B5" i="21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R1012" i="3"/>
  <c r="R1011" i="3"/>
  <c r="R1010" i="3"/>
  <c r="R1009" i="3"/>
  <c r="R1008" i="3"/>
  <c r="R1007" i="3"/>
  <c r="R1006" i="3"/>
  <c r="R1005" i="3"/>
  <c r="R1004" i="3"/>
  <c r="R1003" i="3"/>
  <c r="R1002" i="3"/>
  <c r="R1001" i="3"/>
  <c r="R1000" i="3"/>
  <c r="R999" i="3"/>
  <c r="R998" i="3"/>
  <c r="R997" i="3"/>
  <c r="R996" i="3"/>
  <c r="R995" i="3"/>
  <c r="R994" i="3"/>
  <c r="R993" i="3"/>
  <c r="R992" i="3"/>
  <c r="R991" i="3"/>
  <c r="R990" i="3"/>
  <c r="R989" i="3"/>
  <c r="R988" i="3"/>
  <c r="R987" i="3"/>
  <c r="R986" i="3"/>
  <c r="R985" i="3"/>
  <c r="R984" i="3"/>
  <c r="R983" i="3"/>
  <c r="R982" i="3"/>
  <c r="R981" i="3"/>
  <c r="R980" i="3"/>
  <c r="R979" i="3"/>
  <c r="R978" i="3"/>
  <c r="R977" i="3"/>
  <c r="R976" i="3"/>
  <c r="R975" i="3"/>
  <c r="R974" i="3"/>
  <c r="R973" i="3"/>
  <c r="R972" i="3"/>
  <c r="R971" i="3"/>
  <c r="R970" i="3"/>
  <c r="R969" i="3"/>
  <c r="R968" i="3"/>
  <c r="R967" i="3"/>
  <c r="R966" i="3"/>
  <c r="R965" i="3"/>
  <c r="R964" i="3"/>
  <c r="R963" i="3"/>
  <c r="R962" i="3"/>
  <c r="R961" i="3"/>
  <c r="R960" i="3"/>
  <c r="R959" i="3"/>
  <c r="R958" i="3"/>
  <c r="R957" i="3"/>
  <c r="R956" i="3"/>
  <c r="R955" i="3"/>
  <c r="R954" i="3"/>
  <c r="R953" i="3"/>
  <c r="R952" i="3"/>
  <c r="R951" i="3"/>
  <c r="R950" i="3"/>
  <c r="R949" i="3"/>
  <c r="R948" i="3"/>
  <c r="R947" i="3"/>
  <c r="R946" i="3"/>
  <c r="R945" i="3"/>
  <c r="R944" i="3"/>
  <c r="R943" i="3"/>
  <c r="R942" i="3"/>
  <c r="R941" i="3"/>
  <c r="R940" i="3"/>
  <c r="R939" i="3"/>
  <c r="R938" i="3"/>
  <c r="R937" i="3"/>
  <c r="R936" i="3"/>
  <c r="R935" i="3"/>
  <c r="R934" i="3"/>
  <c r="R933" i="3"/>
  <c r="R932" i="3"/>
  <c r="R931" i="3"/>
  <c r="R930" i="3"/>
  <c r="R929" i="3"/>
  <c r="R928" i="3"/>
  <c r="R927" i="3"/>
  <c r="R926" i="3"/>
  <c r="R925" i="3"/>
  <c r="R924" i="3"/>
  <c r="R923" i="3"/>
  <c r="R922" i="3"/>
  <c r="R921" i="3"/>
  <c r="R920" i="3"/>
  <c r="R919" i="3"/>
  <c r="R918" i="3"/>
  <c r="R917" i="3"/>
  <c r="R916" i="3"/>
  <c r="R915" i="3"/>
  <c r="R914" i="3"/>
  <c r="R913" i="3"/>
  <c r="R912" i="3"/>
  <c r="R911" i="3"/>
  <c r="R910" i="3"/>
  <c r="R909" i="3"/>
  <c r="R908" i="3"/>
  <c r="R907" i="3"/>
  <c r="R906" i="3"/>
  <c r="R905" i="3"/>
  <c r="R904" i="3"/>
  <c r="R903" i="3"/>
  <c r="R902" i="3"/>
  <c r="R901" i="3"/>
  <c r="R900" i="3"/>
  <c r="R899" i="3"/>
  <c r="R898" i="3"/>
  <c r="R897" i="3"/>
  <c r="R896" i="3"/>
  <c r="R895" i="3"/>
  <c r="R894" i="3"/>
  <c r="R893" i="3"/>
  <c r="R892" i="3"/>
  <c r="R891" i="3"/>
  <c r="R890" i="3"/>
  <c r="R889" i="3"/>
  <c r="R888" i="3"/>
  <c r="R887" i="3"/>
  <c r="R886" i="3"/>
  <c r="R885" i="3"/>
  <c r="R884" i="3"/>
  <c r="R883" i="3"/>
  <c r="R882" i="3"/>
  <c r="R881" i="3"/>
  <c r="R880" i="3"/>
  <c r="R879" i="3"/>
  <c r="R878" i="3"/>
  <c r="R877" i="3"/>
  <c r="R876" i="3"/>
  <c r="R875" i="3"/>
  <c r="R874" i="3"/>
  <c r="R873" i="3"/>
  <c r="R872" i="3"/>
  <c r="R871" i="3"/>
  <c r="R870" i="3"/>
  <c r="R869" i="3"/>
  <c r="R868" i="3"/>
  <c r="R867" i="3"/>
  <c r="R866" i="3"/>
  <c r="R865" i="3"/>
  <c r="R864" i="3"/>
  <c r="R863" i="3"/>
  <c r="R862" i="3"/>
  <c r="R861" i="3"/>
  <c r="R860" i="3"/>
  <c r="R859" i="3"/>
  <c r="R858" i="3"/>
  <c r="R857" i="3"/>
  <c r="R856" i="3"/>
  <c r="R855" i="3"/>
  <c r="R854" i="3"/>
  <c r="R853" i="3"/>
  <c r="R852" i="3"/>
  <c r="R851" i="3"/>
  <c r="R850" i="3"/>
  <c r="R849" i="3"/>
  <c r="R848" i="3"/>
  <c r="R847" i="3"/>
  <c r="R846" i="3"/>
  <c r="R845" i="3"/>
  <c r="R844" i="3"/>
  <c r="R843" i="3"/>
  <c r="R842" i="3"/>
  <c r="R841" i="3"/>
  <c r="R840" i="3"/>
  <c r="R839" i="3"/>
  <c r="R838" i="3"/>
  <c r="R837" i="3"/>
  <c r="R836" i="3"/>
  <c r="R835" i="3"/>
  <c r="R834" i="3"/>
  <c r="R833" i="3"/>
  <c r="R832" i="3"/>
  <c r="R831" i="3"/>
  <c r="R830" i="3"/>
  <c r="R829" i="3"/>
  <c r="R828" i="3"/>
  <c r="R827" i="3"/>
  <c r="R826" i="3"/>
  <c r="R825" i="3"/>
  <c r="R824" i="3"/>
  <c r="R823" i="3"/>
  <c r="R822" i="3"/>
  <c r="R821" i="3"/>
  <c r="R820" i="3"/>
  <c r="R819" i="3"/>
  <c r="R818" i="3"/>
  <c r="R817" i="3"/>
  <c r="R816" i="3"/>
  <c r="R815" i="3"/>
  <c r="R814" i="3"/>
  <c r="R813" i="3"/>
  <c r="R812" i="3"/>
  <c r="R811" i="3"/>
  <c r="R810" i="3"/>
  <c r="R809" i="3"/>
  <c r="R808" i="3"/>
  <c r="R807" i="3"/>
  <c r="R806" i="3"/>
  <c r="R805" i="3"/>
  <c r="R804" i="3"/>
  <c r="R803" i="3"/>
  <c r="R802" i="3"/>
  <c r="R801" i="3"/>
  <c r="R800" i="3"/>
  <c r="R799" i="3"/>
  <c r="R798" i="3"/>
  <c r="R797" i="3"/>
  <c r="R796" i="3"/>
  <c r="R795" i="3"/>
  <c r="R794" i="3"/>
  <c r="R793" i="3"/>
  <c r="R792" i="3"/>
  <c r="R791" i="3"/>
  <c r="R790" i="3"/>
  <c r="R789" i="3"/>
  <c r="R788" i="3"/>
  <c r="R787" i="3"/>
  <c r="R786" i="3"/>
  <c r="R785" i="3"/>
  <c r="R784" i="3"/>
  <c r="R783" i="3"/>
  <c r="R782" i="3"/>
  <c r="R781" i="3"/>
  <c r="R780" i="3"/>
  <c r="R779" i="3"/>
  <c r="R778" i="3"/>
  <c r="R777" i="3"/>
  <c r="R776" i="3"/>
  <c r="R775" i="3"/>
  <c r="R774" i="3"/>
  <c r="R773" i="3"/>
  <c r="R772" i="3"/>
  <c r="R771" i="3"/>
  <c r="R770" i="3"/>
  <c r="R769" i="3"/>
  <c r="R768" i="3"/>
  <c r="R767" i="3"/>
  <c r="R766" i="3"/>
  <c r="R765" i="3"/>
  <c r="R764" i="3"/>
  <c r="R763" i="3"/>
  <c r="R762" i="3"/>
  <c r="R761" i="3"/>
  <c r="R760" i="3"/>
  <c r="R759" i="3"/>
  <c r="R758" i="3"/>
  <c r="R757" i="3"/>
  <c r="R756" i="3"/>
  <c r="R755" i="3"/>
  <c r="R754" i="3"/>
  <c r="R753" i="3"/>
  <c r="R752" i="3"/>
  <c r="R751" i="3"/>
  <c r="R750" i="3"/>
  <c r="R749" i="3"/>
  <c r="R748" i="3"/>
  <c r="R747" i="3"/>
  <c r="R746" i="3"/>
  <c r="R745" i="3"/>
  <c r="R744" i="3"/>
  <c r="R743" i="3"/>
  <c r="R742" i="3"/>
  <c r="R741" i="3"/>
  <c r="R740" i="3"/>
  <c r="R739" i="3"/>
  <c r="R738" i="3"/>
  <c r="R737" i="3"/>
  <c r="R736" i="3"/>
  <c r="R735" i="3"/>
  <c r="R734" i="3"/>
  <c r="R733" i="3"/>
  <c r="R732" i="3"/>
  <c r="R731" i="3"/>
  <c r="R730" i="3"/>
  <c r="R729" i="3"/>
  <c r="R728" i="3"/>
  <c r="R727" i="3"/>
  <c r="R726" i="3"/>
  <c r="R725" i="3"/>
  <c r="R724" i="3"/>
  <c r="R723" i="3"/>
  <c r="R722" i="3"/>
  <c r="R721" i="3"/>
  <c r="R720" i="3"/>
  <c r="R719" i="3"/>
  <c r="R718" i="3"/>
  <c r="R717" i="3"/>
  <c r="R716" i="3"/>
  <c r="R715" i="3"/>
  <c r="R714" i="3"/>
  <c r="R713" i="3"/>
  <c r="R712" i="3"/>
  <c r="R711" i="3"/>
  <c r="R710" i="3"/>
  <c r="R709" i="3"/>
  <c r="R708" i="3"/>
  <c r="R707" i="3"/>
  <c r="R706" i="3"/>
  <c r="R705" i="3"/>
  <c r="R704" i="3"/>
  <c r="R703" i="3"/>
  <c r="R702" i="3"/>
  <c r="R701" i="3"/>
  <c r="R700" i="3"/>
  <c r="R699" i="3"/>
  <c r="R698" i="3"/>
  <c r="R697" i="3"/>
  <c r="R696" i="3"/>
  <c r="R695" i="3"/>
  <c r="R694" i="3"/>
  <c r="R693" i="3"/>
  <c r="R692" i="3"/>
  <c r="R691" i="3"/>
  <c r="R690" i="3"/>
  <c r="R689" i="3"/>
  <c r="R688" i="3"/>
  <c r="R687" i="3"/>
  <c r="R686" i="3"/>
  <c r="R685" i="3"/>
  <c r="R684" i="3"/>
  <c r="R683" i="3"/>
  <c r="R682" i="3"/>
  <c r="R681" i="3"/>
  <c r="R680" i="3"/>
  <c r="R679" i="3"/>
  <c r="R678" i="3"/>
  <c r="R677" i="3"/>
  <c r="R676" i="3"/>
  <c r="R675" i="3"/>
  <c r="R674" i="3"/>
  <c r="R673" i="3"/>
  <c r="R672" i="3"/>
  <c r="R671" i="3"/>
  <c r="R670" i="3"/>
  <c r="R669" i="3"/>
  <c r="R668" i="3"/>
  <c r="R667" i="3"/>
  <c r="R666" i="3"/>
  <c r="R665" i="3"/>
  <c r="R664" i="3"/>
  <c r="R663" i="3"/>
  <c r="R662" i="3"/>
  <c r="R661" i="3"/>
  <c r="R660" i="3"/>
  <c r="R659" i="3"/>
  <c r="R658" i="3"/>
  <c r="R657" i="3"/>
  <c r="R656" i="3"/>
  <c r="R655" i="3"/>
  <c r="R654" i="3"/>
  <c r="R653" i="3"/>
  <c r="R652" i="3"/>
  <c r="R651" i="3"/>
  <c r="R650" i="3"/>
  <c r="R649" i="3"/>
  <c r="R648" i="3"/>
  <c r="R647" i="3"/>
  <c r="R646" i="3"/>
  <c r="R645" i="3"/>
  <c r="R644" i="3"/>
  <c r="R643" i="3"/>
  <c r="R642" i="3"/>
  <c r="R641" i="3"/>
  <c r="R640" i="3"/>
  <c r="R639" i="3"/>
  <c r="R638" i="3"/>
  <c r="R637" i="3"/>
  <c r="R636" i="3"/>
  <c r="R635" i="3"/>
  <c r="R634" i="3"/>
  <c r="R633" i="3"/>
  <c r="R632" i="3"/>
  <c r="R631" i="3"/>
  <c r="R630" i="3"/>
  <c r="R629" i="3"/>
  <c r="R628" i="3"/>
  <c r="R627" i="3"/>
  <c r="R626" i="3"/>
  <c r="R625" i="3"/>
  <c r="R624" i="3"/>
  <c r="R623" i="3"/>
  <c r="R622" i="3"/>
  <c r="R621" i="3"/>
  <c r="R620" i="3"/>
  <c r="R619" i="3"/>
  <c r="R618" i="3"/>
  <c r="R617" i="3"/>
  <c r="R616" i="3"/>
  <c r="R615" i="3"/>
  <c r="R614" i="3"/>
  <c r="R613" i="3"/>
  <c r="R612" i="3"/>
  <c r="R611" i="3"/>
  <c r="R610" i="3"/>
  <c r="R609" i="3"/>
  <c r="R608" i="3"/>
  <c r="R607" i="3"/>
  <c r="R606" i="3"/>
  <c r="R605" i="3"/>
  <c r="R604" i="3"/>
  <c r="R603" i="3"/>
  <c r="R602" i="3"/>
  <c r="R601" i="3"/>
  <c r="R600" i="3"/>
  <c r="R599" i="3"/>
  <c r="R598" i="3"/>
  <c r="R597" i="3"/>
  <c r="R596" i="3"/>
  <c r="R595" i="3"/>
  <c r="R594" i="3"/>
  <c r="R593" i="3"/>
  <c r="R592" i="3"/>
  <c r="R591" i="3"/>
  <c r="R590" i="3"/>
  <c r="R589" i="3"/>
  <c r="R588" i="3"/>
  <c r="R587" i="3"/>
  <c r="R586" i="3"/>
  <c r="R585" i="3"/>
  <c r="R584" i="3"/>
  <c r="R583" i="3"/>
  <c r="R582" i="3"/>
  <c r="R581" i="3"/>
  <c r="R580" i="3"/>
  <c r="R579" i="3"/>
  <c r="R578" i="3"/>
  <c r="R577" i="3"/>
  <c r="R576" i="3"/>
  <c r="R575" i="3"/>
  <c r="R574" i="3"/>
  <c r="R573" i="3"/>
  <c r="R572" i="3"/>
  <c r="R571" i="3"/>
  <c r="R570" i="3"/>
  <c r="R569" i="3"/>
  <c r="R568" i="3"/>
  <c r="R567" i="3"/>
  <c r="R566" i="3"/>
  <c r="R565" i="3"/>
  <c r="R564" i="3"/>
  <c r="R563" i="3"/>
  <c r="R562" i="3"/>
  <c r="R561" i="3"/>
  <c r="R560" i="3"/>
  <c r="R559" i="3"/>
  <c r="R558" i="3"/>
  <c r="R557" i="3"/>
  <c r="R556" i="3"/>
  <c r="R555" i="3"/>
  <c r="R554" i="3"/>
  <c r="R553" i="3"/>
  <c r="R552" i="3"/>
  <c r="R551" i="3"/>
  <c r="R550" i="3"/>
  <c r="R549" i="3"/>
  <c r="R548" i="3"/>
  <c r="R547" i="3"/>
  <c r="R546" i="3"/>
  <c r="R545" i="3"/>
  <c r="R544" i="3"/>
  <c r="R543" i="3"/>
  <c r="R542" i="3"/>
  <c r="R541" i="3"/>
  <c r="R540" i="3"/>
  <c r="R539" i="3"/>
  <c r="R538" i="3"/>
  <c r="R537" i="3"/>
  <c r="R536" i="3"/>
  <c r="R535" i="3"/>
  <c r="R534" i="3"/>
  <c r="R533" i="3"/>
  <c r="R532" i="3"/>
  <c r="R531" i="3"/>
  <c r="R530" i="3"/>
  <c r="R529" i="3"/>
  <c r="R528" i="3"/>
  <c r="R527" i="3"/>
  <c r="R526" i="3"/>
  <c r="R525" i="3"/>
  <c r="R524" i="3"/>
  <c r="R523" i="3"/>
  <c r="R522" i="3"/>
  <c r="R521" i="3"/>
  <c r="R520" i="3"/>
  <c r="R519" i="3"/>
  <c r="R518" i="3"/>
  <c r="R517" i="3"/>
  <c r="R516" i="3"/>
  <c r="R515" i="3"/>
  <c r="R514" i="3"/>
  <c r="R513" i="3"/>
  <c r="R512" i="3"/>
  <c r="R511" i="3"/>
  <c r="R510" i="3"/>
  <c r="R509" i="3"/>
  <c r="R508" i="3"/>
  <c r="R507" i="3"/>
  <c r="R506" i="3"/>
  <c r="R505" i="3"/>
  <c r="R504" i="3"/>
  <c r="R503" i="3"/>
  <c r="R502" i="3"/>
  <c r="R501" i="3"/>
  <c r="R500" i="3"/>
  <c r="R499" i="3"/>
  <c r="R498" i="3"/>
  <c r="R497" i="3"/>
  <c r="R496" i="3"/>
  <c r="R495" i="3"/>
  <c r="R494" i="3"/>
  <c r="R493" i="3"/>
  <c r="R492" i="3"/>
  <c r="R491" i="3"/>
  <c r="R490" i="3"/>
  <c r="R489" i="3"/>
  <c r="R488" i="3"/>
  <c r="R487" i="3"/>
  <c r="R486" i="3"/>
  <c r="R485" i="3"/>
  <c r="R484" i="3"/>
  <c r="R483" i="3"/>
  <c r="R482" i="3"/>
  <c r="R481" i="3"/>
  <c r="R480" i="3"/>
  <c r="R479" i="3"/>
  <c r="R478" i="3"/>
  <c r="R477" i="3"/>
  <c r="R476" i="3"/>
  <c r="R475" i="3"/>
  <c r="R474" i="3"/>
  <c r="R473" i="3"/>
  <c r="R472" i="3"/>
  <c r="R471" i="3"/>
  <c r="R470" i="3"/>
  <c r="R469" i="3"/>
  <c r="R468" i="3"/>
  <c r="R467" i="3"/>
  <c r="R466" i="3"/>
  <c r="R465" i="3"/>
  <c r="R464" i="3"/>
  <c r="R463" i="3"/>
  <c r="R462" i="3"/>
  <c r="R461" i="3"/>
  <c r="R460" i="3"/>
  <c r="R459" i="3"/>
  <c r="R458" i="3"/>
  <c r="R457" i="3"/>
  <c r="R456" i="3"/>
  <c r="R455" i="3"/>
  <c r="R454" i="3"/>
  <c r="R453" i="3"/>
  <c r="R452" i="3"/>
  <c r="R451" i="3"/>
  <c r="R450" i="3"/>
  <c r="R449" i="3"/>
  <c r="R448" i="3"/>
  <c r="R447" i="3"/>
  <c r="R446" i="3"/>
  <c r="R445" i="3"/>
  <c r="R444" i="3"/>
  <c r="R443" i="3"/>
  <c r="R442" i="3"/>
  <c r="R441" i="3"/>
  <c r="R440" i="3"/>
  <c r="R439" i="3"/>
  <c r="R438" i="3"/>
  <c r="R437" i="3"/>
  <c r="R436" i="3"/>
  <c r="R435" i="3"/>
  <c r="R434" i="3"/>
  <c r="R433" i="3"/>
  <c r="R432" i="3"/>
  <c r="R431" i="3"/>
  <c r="R430" i="3"/>
  <c r="R429" i="3"/>
  <c r="R428" i="3"/>
  <c r="R427" i="3"/>
  <c r="R426" i="3"/>
  <c r="R425" i="3"/>
  <c r="R424" i="3"/>
  <c r="R423" i="3"/>
  <c r="R422" i="3"/>
  <c r="R421" i="3"/>
  <c r="R420" i="3"/>
  <c r="R419" i="3"/>
  <c r="R418" i="3"/>
  <c r="R417" i="3"/>
  <c r="R416" i="3"/>
  <c r="R415" i="3"/>
  <c r="R414" i="3"/>
  <c r="R413" i="3"/>
  <c r="R412" i="3"/>
  <c r="R411" i="3"/>
  <c r="R410" i="3"/>
  <c r="R409" i="3"/>
  <c r="R408" i="3"/>
  <c r="R407" i="3"/>
  <c r="R406" i="3"/>
  <c r="R405" i="3"/>
  <c r="R404" i="3"/>
  <c r="R403" i="3"/>
  <c r="R402" i="3"/>
  <c r="R401" i="3"/>
  <c r="R400" i="3"/>
  <c r="R399" i="3"/>
  <c r="R398" i="3"/>
  <c r="R397" i="3"/>
  <c r="R396" i="3"/>
  <c r="R395" i="3"/>
  <c r="R394" i="3"/>
  <c r="R393" i="3"/>
  <c r="R392" i="3"/>
  <c r="R391" i="3"/>
  <c r="R390" i="3"/>
  <c r="R389" i="3"/>
  <c r="R388" i="3"/>
  <c r="R387" i="3"/>
  <c r="R386" i="3"/>
  <c r="R385" i="3"/>
  <c r="R384" i="3"/>
  <c r="R383" i="3"/>
  <c r="R382" i="3"/>
  <c r="R381" i="3"/>
  <c r="R380" i="3"/>
  <c r="R379" i="3"/>
  <c r="R378" i="3"/>
  <c r="R377" i="3"/>
  <c r="R376" i="3"/>
  <c r="R375" i="3"/>
  <c r="R374" i="3"/>
  <c r="R373" i="3"/>
  <c r="R372" i="3"/>
  <c r="R371" i="3"/>
  <c r="R370" i="3"/>
  <c r="R369" i="3"/>
  <c r="R368" i="3"/>
  <c r="R367" i="3"/>
  <c r="R366" i="3"/>
  <c r="R365" i="3"/>
  <c r="R364" i="3"/>
  <c r="R363" i="3"/>
  <c r="R362" i="3"/>
  <c r="R361" i="3"/>
  <c r="R360" i="3"/>
  <c r="R359" i="3"/>
  <c r="R358" i="3"/>
  <c r="R357" i="3"/>
  <c r="R356" i="3"/>
  <c r="R355" i="3"/>
  <c r="R354" i="3"/>
  <c r="R353" i="3"/>
  <c r="R352" i="3"/>
  <c r="R351" i="3"/>
  <c r="R350" i="3"/>
  <c r="R349" i="3"/>
  <c r="R348" i="3"/>
  <c r="R347" i="3"/>
  <c r="R346" i="3"/>
  <c r="R345" i="3"/>
  <c r="R344" i="3"/>
  <c r="R343" i="3"/>
  <c r="R342" i="3"/>
  <c r="R341" i="3"/>
  <c r="R340" i="3"/>
  <c r="R339" i="3"/>
  <c r="R338" i="3"/>
  <c r="R337" i="3"/>
  <c r="R336" i="3"/>
  <c r="R335" i="3"/>
  <c r="R334" i="3"/>
  <c r="R333" i="3"/>
  <c r="R332" i="3"/>
  <c r="R331" i="3"/>
  <c r="R330" i="3"/>
  <c r="R329" i="3"/>
  <c r="R328" i="3"/>
  <c r="R327" i="3"/>
  <c r="R326" i="3"/>
  <c r="R325" i="3"/>
  <c r="R324" i="3"/>
  <c r="R323" i="3"/>
  <c r="R322" i="3"/>
  <c r="R321" i="3"/>
  <c r="R320" i="3"/>
  <c r="R319" i="3"/>
  <c r="R318" i="3"/>
  <c r="R317" i="3"/>
  <c r="R316" i="3"/>
  <c r="R315" i="3"/>
  <c r="R314" i="3"/>
  <c r="R313" i="3"/>
  <c r="R312" i="3"/>
  <c r="R311" i="3"/>
  <c r="R310" i="3"/>
  <c r="R309" i="3"/>
  <c r="R308" i="3"/>
  <c r="R307" i="3"/>
  <c r="R306" i="3"/>
  <c r="R305" i="3"/>
  <c r="R304" i="3"/>
  <c r="R303" i="3"/>
  <c r="R302" i="3"/>
  <c r="R301" i="3"/>
  <c r="R300" i="3"/>
  <c r="R299" i="3"/>
  <c r="R298" i="3"/>
  <c r="R297" i="3"/>
  <c r="R296" i="3"/>
  <c r="R295" i="3"/>
  <c r="R294" i="3"/>
  <c r="R293" i="3"/>
  <c r="R292" i="3"/>
  <c r="R291" i="3"/>
  <c r="R290" i="3"/>
  <c r="R289" i="3"/>
  <c r="R288" i="3"/>
  <c r="R287" i="3"/>
  <c r="R286" i="3"/>
  <c r="R285" i="3"/>
  <c r="R284" i="3"/>
  <c r="R283" i="3"/>
  <c r="R282" i="3"/>
  <c r="R281" i="3"/>
  <c r="R280" i="3"/>
  <c r="R279" i="3"/>
  <c r="R278" i="3"/>
  <c r="R277" i="3"/>
  <c r="R276" i="3"/>
  <c r="R275" i="3"/>
  <c r="R274" i="3"/>
  <c r="R273" i="3"/>
  <c r="R272" i="3"/>
  <c r="R271" i="3"/>
  <c r="R270" i="3"/>
  <c r="R269" i="3"/>
  <c r="R268" i="3"/>
  <c r="R267" i="3"/>
  <c r="R266" i="3"/>
  <c r="R265" i="3"/>
  <c r="R264" i="3"/>
  <c r="R263" i="3"/>
  <c r="R262" i="3"/>
  <c r="R261" i="3"/>
  <c r="R260" i="3"/>
  <c r="R259" i="3"/>
  <c r="R258" i="3"/>
  <c r="R257" i="3"/>
  <c r="R256" i="3"/>
  <c r="R255" i="3"/>
  <c r="R254" i="3"/>
  <c r="R253" i="3"/>
  <c r="R252" i="3"/>
  <c r="R251" i="3"/>
  <c r="R250" i="3"/>
  <c r="R249" i="3"/>
  <c r="R248" i="3"/>
  <c r="R247" i="3"/>
  <c r="R246" i="3"/>
  <c r="R245" i="3"/>
  <c r="R244" i="3"/>
  <c r="R243" i="3"/>
  <c r="R242" i="3"/>
  <c r="R241" i="3"/>
  <c r="R240" i="3"/>
  <c r="R239" i="3"/>
  <c r="R238" i="3"/>
  <c r="R237" i="3"/>
  <c r="R236" i="3"/>
  <c r="R235" i="3"/>
  <c r="R234" i="3"/>
  <c r="R233" i="3"/>
  <c r="R232" i="3"/>
  <c r="R231" i="3"/>
  <c r="R230" i="3"/>
  <c r="R229" i="3"/>
  <c r="R228" i="3"/>
  <c r="R227" i="3"/>
  <c r="R226" i="3"/>
  <c r="R225" i="3"/>
  <c r="R224" i="3"/>
  <c r="R223" i="3"/>
  <c r="R222" i="3"/>
  <c r="R221" i="3"/>
  <c r="R220" i="3"/>
  <c r="R219" i="3"/>
  <c r="R218" i="3"/>
  <c r="R217" i="3"/>
  <c r="R216" i="3"/>
  <c r="R215" i="3"/>
  <c r="R214" i="3"/>
  <c r="R213" i="3"/>
  <c r="R212" i="3"/>
  <c r="R211" i="3"/>
  <c r="R210" i="3"/>
  <c r="R209" i="3"/>
  <c r="R208" i="3"/>
  <c r="R207" i="3"/>
  <c r="R206" i="3"/>
  <c r="R205" i="3"/>
  <c r="R204" i="3"/>
  <c r="R203" i="3"/>
  <c r="R202" i="3"/>
  <c r="R201" i="3"/>
  <c r="R200" i="3"/>
  <c r="R199" i="3"/>
  <c r="R198" i="3"/>
  <c r="R197" i="3"/>
  <c r="R196" i="3"/>
  <c r="R195" i="3"/>
  <c r="R194" i="3"/>
  <c r="R193" i="3"/>
  <c r="R192" i="3"/>
  <c r="R191" i="3"/>
  <c r="R190" i="3"/>
  <c r="R189" i="3"/>
  <c r="R188" i="3"/>
  <c r="R187" i="3"/>
  <c r="R186" i="3"/>
  <c r="R185" i="3"/>
  <c r="R184" i="3"/>
  <c r="R183" i="3"/>
  <c r="R182" i="3"/>
  <c r="R181" i="3"/>
  <c r="R180" i="3"/>
  <c r="R179" i="3"/>
  <c r="R178" i="3"/>
  <c r="R177" i="3"/>
  <c r="R176" i="3"/>
  <c r="R175" i="3"/>
  <c r="R174" i="3"/>
  <c r="R173" i="3"/>
  <c r="R172" i="3"/>
  <c r="R171" i="3"/>
  <c r="R170" i="3"/>
  <c r="R169" i="3"/>
  <c r="R168" i="3"/>
  <c r="R167" i="3"/>
  <c r="R166" i="3"/>
  <c r="R165" i="3"/>
  <c r="R164" i="3"/>
  <c r="R163" i="3"/>
  <c r="R162" i="3"/>
  <c r="R161" i="3"/>
  <c r="R160" i="3"/>
  <c r="R159" i="3"/>
  <c r="R158" i="3"/>
  <c r="R157" i="3"/>
  <c r="R156" i="3"/>
  <c r="R155" i="3"/>
  <c r="R154" i="3"/>
  <c r="R153" i="3"/>
  <c r="R152" i="3"/>
  <c r="R151" i="3"/>
  <c r="R150" i="3"/>
  <c r="R149" i="3"/>
  <c r="R148" i="3"/>
  <c r="R147" i="3"/>
  <c r="R146" i="3"/>
  <c r="R145" i="3"/>
  <c r="R144" i="3"/>
  <c r="R143" i="3"/>
  <c r="R142" i="3"/>
  <c r="R141" i="3"/>
  <c r="R140" i="3"/>
  <c r="R139" i="3"/>
  <c r="R138" i="3"/>
  <c r="R137" i="3"/>
  <c r="R136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N1012" i="3"/>
  <c r="N1011" i="3"/>
  <c r="N1010" i="3"/>
  <c r="N1009" i="3"/>
  <c r="N1008" i="3"/>
  <c r="N1007" i="3"/>
  <c r="N1006" i="3"/>
  <c r="N1005" i="3"/>
  <c r="N1004" i="3"/>
  <c r="N1003" i="3"/>
  <c r="N1002" i="3"/>
  <c r="N1001" i="3"/>
  <c r="N1000" i="3"/>
  <c r="N999" i="3"/>
  <c r="N998" i="3"/>
  <c r="N997" i="3"/>
  <c r="N996" i="3"/>
  <c r="N995" i="3"/>
  <c r="N994" i="3"/>
  <c r="N993" i="3"/>
  <c r="N992" i="3"/>
  <c r="N991" i="3"/>
  <c r="N990" i="3"/>
  <c r="N989" i="3"/>
  <c r="N988" i="3"/>
  <c r="N987" i="3"/>
  <c r="N986" i="3"/>
  <c r="N985" i="3"/>
  <c r="N984" i="3"/>
  <c r="N983" i="3"/>
  <c r="N982" i="3"/>
  <c r="N981" i="3"/>
  <c r="N980" i="3"/>
  <c r="N979" i="3"/>
  <c r="N978" i="3"/>
  <c r="N977" i="3"/>
  <c r="N976" i="3"/>
  <c r="N975" i="3"/>
  <c r="N974" i="3"/>
  <c r="N973" i="3"/>
  <c r="N972" i="3"/>
  <c r="N971" i="3"/>
  <c r="N970" i="3"/>
  <c r="N969" i="3"/>
  <c r="N968" i="3"/>
  <c r="N967" i="3"/>
  <c r="N966" i="3"/>
  <c r="N965" i="3"/>
  <c r="N964" i="3"/>
  <c r="N963" i="3"/>
  <c r="N962" i="3"/>
  <c r="N961" i="3"/>
  <c r="N960" i="3"/>
  <c r="N959" i="3"/>
  <c r="N958" i="3"/>
  <c r="N957" i="3"/>
  <c r="N956" i="3"/>
  <c r="N955" i="3"/>
  <c r="N954" i="3"/>
  <c r="N953" i="3"/>
  <c r="N952" i="3"/>
  <c r="N951" i="3"/>
  <c r="N950" i="3"/>
  <c r="N949" i="3"/>
  <c r="N948" i="3"/>
  <c r="N947" i="3"/>
  <c r="N946" i="3"/>
  <c r="N945" i="3"/>
  <c r="N944" i="3"/>
  <c r="N943" i="3"/>
  <c r="N942" i="3"/>
  <c r="N941" i="3"/>
  <c r="N940" i="3"/>
  <c r="N939" i="3"/>
  <c r="N938" i="3"/>
  <c r="N937" i="3"/>
  <c r="N936" i="3"/>
  <c r="N935" i="3"/>
  <c r="N934" i="3"/>
  <c r="N933" i="3"/>
  <c r="N932" i="3"/>
  <c r="N931" i="3"/>
  <c r="N930" i="3"/>
  <c r="N929" i="3"/>
  <c r="N928" i="3"/>
  <c r="N927" i="3"/>
  <c r="N926" i="3"/>
  <c r="N925" i="3"/>
  <c r="N924" i="3"/>
  <c r="N923" i="3"/>
  <c r="N922" i="3"/>
  <c r="N921" i="3"/>
  <c r="N920" i="3"/>
  <c r="N919" i="3"/>
  <c r="N918" i="3"/>
  <c r="N917" i="3"/>
  <c r="N916" i="3"/>
  <c r="N915" i="3"/>
  <c r="N914" i="3"/>
  <c r="N913" i="3"/>
  <c r="N912" i="3"/>
  <c r="N911" i="3"/>
  <c r="N910" i="3"/>
  <c r="N909" i="3"/>
  <c r="N908" i="3"/>
  <c r="N907" i="3"/>
  <c r="N906" i="3"/>
  <c r="N905" i="3"/>
  <c r="N904" i="3"/>
  <c r="N903" i="3"/>
  <c r="N902" i="3"/>
  <c r="N901" i="3"/>
  <c r="N900" i="3"/>
  <c r="N899" i="3"/>
  <c r="N898" i="3"/>
  <c r="N897" i="3"/>
  <c r="N896" i="3"/>
  <c r="N895" i="3"/>
  <c r="N894" i="3"/>
  <c r="N893" i="3"/>
  <c r="N892" i="3"/>
  <c r="N891" i="3"/>
  <c r="N890" i="3"/>
  <c r="N889" i="3"/>
  <c r="N888" i="3"/>
  <c r="N887" i="3"/>
  <c r="N886" i="3"/>
  <c r="N885" i="3"/>
  <c r="N884" i="3"/>
  <c r="N883" i="3"/>
  <c r="N882" i="3"/>
  <c r="N881" i="3"/>
  <c r="N880" i="3"/>
  <c r="N879" i="3"/>
  <c r="N878" i="3"/>
  <c r="N877" i="3"/>
  <c r="N876" i="3"/>
  <c r="N875" i="3"/>
  <c r="N874" i="3"/>
  <c r="N873" i="3"/>
  <c r="N872" i="3"/>
  <c r="N871" i="3"/>
  <c r="N870" i="3"/>
  <c r="N869" i="3"/>
  <c r="N868" i="3"/>
  <c r="N867" i="3"/>
  <c r="N866" i="3"/>
  <c r="N865" i="3"/>
  <c r="N864" i="3"/>
  <c r="N863" i="3"/>
  <c r="N862" i="3"/>
  <c r="N861" i="3"/>
  <c r="N860" i="3"/>
  <c r="N859" i="3"/>
  <c r="N858" i="3"/>
  <c r="N857" i="3"/>
  <c r="N856" i="3"/>
  <c r="N855" i="3"/>
  <c r="N854" i="3"/>
  <c r="N853" i="3"/>
  <c r="N852" i="3"/>
  <c r="N851" i="3"/>
  <c r="N850" i="3"/>
  <c r="N849" i="3"/>
  <c r="N848" i="3"/>
  <c r="N847" i="3"/>
  <c r="N846" i="3"/>
  <c r="N845" i="3"/>
  <c r="N844" i="3"/>
  <c r="N843" i="3"/>
  <c r="N842" i="3"/>
  <c r="N841" i="3"/>
  <c r="N840" i="3"/>
  <c r="N839" i="3"/>
  <c r="N838" i="3"/>
  <c r="N837" i="3"/>
  <c r="N836" i="3"/>
  <c r="N835" i="3"/>
  <c r="N834" i="3"/>
  <c r="N833" i="3"/>
  <c r="N832" i="3"/>
  <c r="N831" i="3"/>
  <c r="N830" i="3"/>
  <c r="N829" i="3"/>
  <c r="N828" i="3"/>
  <c r="N827" i="3"/>
  <c r="N826" i="3"/>
  <c r="N825" i="3"/>
  <c r="N824" i="3"/>
  <c r="N823" i="3"/>
  <c r="N822" i="3"/>
  <c r="N821" i="3"/>
  <c r="N820" i="3"/>
  <c r="N819" i="3"/>
  <c r="N818" i="3"/>
  <c r="N817" i="3"/>
  <c r="N816" i="3"/>
  <c r="N815" i="3"/>
  <c r="N814" i="3"/>
  <c r="N813" i="3"/>
  <c r="N812" i="3"/>
  <c r="N811" i="3"/>
  <c r="N810" i="3"/>
  <c r="N809" i="3"/>
  <c r="N808" i="3"/>
  <c r="N807" i="3"/>
  <c r="N806" i="3"/>
  <c r="N805" i="3"/>
  <c r="N804" i="3"/>
  <c r="N803" i="3"/>
  <c r="N802" i="3"/>
  <c r="N801" i="3"/>
  <c r="N800" i="3"/>
  <c r="N799" i="3"/>
  <c r="N798" i="3"/>
  <c r="N797" i="3"/>
  <c r="N796" i="3"/>
  <c r="N795" i="3"/>
  <c r="N794" i="3"/>
  <c r="N793" i="3"/>
  <c r="N792" i="3"/>
  <c r="N791" i="3"/>
  <c r="N790" i="3"/>
  <c r="N789" i="3"/>
  <c r="N788" i="3"/>
  <c r="N787" i="3"/>
  <c r="N786" i="3"/>
  <c r="N785" i="3"/>
  <c r="N784" i="3"/>
  <c r="N783" i="3"/>
  <c r="N782" i="3"/>
  <c r="N781" i="3"/>
  <c r="N780" i="3"/>
  <c r="N779" i="3"/>
  <c r="N778" i="3"/>
  <c r="N777" i="3"/>
  <c r="N776" i="3"/>
  <c r="N775" i="3"/>
  <c r="N774" i="3"/>
  <c r="N773" i="3"/>
  <c r="N772" i="3"/>
  <c r="N771" i="3"/>
  <c r="N770" i="3"/>
  <c r="N769" i="3"/>
  <c r="N768" i="3"/>
  <c r="N767" i="3"/>
  <c r="N766" i="3"/>
  <c r="N765" i="3"/>
  <c r="N764" i="3"/>
  <c r="N763" i="3"/>
  <c r="N762" i="3"/>
  <c r="N761" i="3"/>
  <c r="N760" i="3"/>
  <c r="N759" i="3"/>
  <c r="N758" i="3"/>
  <c r="N757" i="3"/>
  <c r="N756" i="3"/>
  <c r="N755" i="3"/>
  <c r="N754" i="3"/>
  <c r="N753" i="3"/>
  <c r="N752" i="3"/>
  <c r="N751" i="3"/>
  <c r="N750" i="3"/>
  <c r="N749" i="3"/>
  <c r="N748" i="3"/>
  <c r="N747" i="3"/>
  <c r="N746" i="3"/>
  <c r="N745" i="3"/>
  <c r="N744" i="3"/>
  <c r="N743" i="3"/>
  <c r="N742" i="3"/>
  <c r="N741" i="3"/>
  <c r="N740" i="3"/>
  <c r="N739" i="3"/>
  <c r="N738" i="3"/>
  <c r="N737" i="3"/>
  <c r="N736" i="3"/>
  <c r="N735" i="3"/>
  <c r="N734" i="3"/>
  <c r="N733" i="3"/>
  <c r="N732" i="3"/>
  <c r="N731" i="3"/>
  <c r="N730" i="3"/>
  <c r="N729" i="3"/>
  <c r="N728" i="3"/>
  <c r="N727" i="3"/>
  <c r="N726" i="3"/>
  <c r="N725" i="3"/>
  <c r="N724" i="3"/>
  <c r="N723" i="3"/>
  <c r="N722" i="3"/>
  <c r="N721" i="3"/>
  <c r="N720" i="3"/>
  <c r="N719" i="3"/>
  <c r="N718" i="3"/>
  <c r="N717" i="3"/>
  <c r="N716" i="3"/>
  <c r="N715" i="3"/>
  <c r="N714" i="3"/>
  <c r="N713" i="3"/>
  <c r="N712" i="3"/>
  <c r="N711" i="3"/>
  <c r="N710" i="3"/>
  <c r="N709" i="3"/>
  <c r="N708" i="3"/>
  <c r="N707" i="3"/>
  <c r="N706" i="3"/>
  <c r="N705" i="3"/>
  <c r="N704" i="3"/>
  <c r="N703" i="3"/>
  <c r="N702" i="3"/>
  <c r="N701" i="3"/>
  <c r="N700" i="3"/>
  <c r="N699" i="3"/>
  <c r="N698" i="3"/>
  <c r="N697" i="3"/>
  <c r="N696" i="3"/>
  <c r="N695" i="3"/>
  <c r="N694" i="3"/>
  <c r="N693" i="3"/>
  <c r="N692" i="3"/>
  <c r="N691" i="3"/>
  <c r="N690" i="3"/>
  <c r="N689" i="3"/>
  <c r="N688" i="3"/>
  <c r="N687" i="3"/>
  <c r="N686" i="3"/>
  <c r="N685" i="3"/>
  <c r="N684" i="3"/>
  <c r="N683" i="3"/>
  <c r="N682" i="3"/>
  <c r="N681" i="3"/>
  <c r="N680" i="3"/>
  <c r="N679" i="3"/>
  <c r="N678" i="3"/>
  <c r="N677" i="3"/>
  <c r="N676" i="3"/>
  <c r="N675" i="3"/>
  <c r="N674" i="3"/>
  <c r="N673" i="3"/>
  <c r="N672" i="3"/>
  <c r="N671" i="3"/>
  <c r="N670" i="3"/>
  <c r="N669" i="3"/>
  <c r="N668" i="3"/>
  <c r="N667" i="3"/>
  <c r="N666" i="3"/>
  <c r="N665" i="3"/>
  <c r="N664" i="3"/>
  <c r="N663" i="3"/>
  <c r="N662" i="3"/>
  <c r="N661" i="3"/>
  <c r="N660" i="3"/>
  <c r="N659" i="3"/>
  <c r="N658" i="3"/>
  <c r="N657" i="3"/>
  <c r="N656" i="3"/>
  <c r="N655" i="3"/>
  <c r="N654" i="3"/>
  <c r="N653" i="3"/>
  <c r="N652" i="3"/>
  <c r="N651" i="3"/>
  <c r="N650" i="3"/>
  <c r="N649" i="3"/>
  <c r="N648" i="3"/>
  <c r="N647" i="3"/>
  <c r="N646" i="3"/>
  <c r="N645" i="3"/>
  <c r="N644" i="3"/>
  <c r="N643" i="3"/>
  <c r="N642" i="3"/>
  <c r="N641" i="3"/>
  <c r="N640" i="3"/>
  <c r="N639" i="3"/>
  <c r="N638" i="3"/>
  <c r="N637" i="3"/>
  <c r="N636" i="3"/>
  <c r="N635" i="3"/>
  <c r="N634" i="3"/>
  <c r="N633" i="3"/>
  <c r="N632" i="3"/>
  <c r="N631" i="3"/>
  <c r="N630" i="3"/>
  <c r="N629" i="3"/>
  <c r="N628" i="3"/>
  <c r="N627" i="3"/>
  <c r="N626" i="3"/>
  <c r="N625" i="3"/>
  <c r="N624" i="3"/>
  <c r="N623" i="3"/>
  <c r="N622" i="3"/>
  <c r="N621" i="3"/>
  <c r="N620" i="3"/>
  <c r="N619" i="3"/>
  <c r="N618" i="3"/>
  <c r="N617" i="3"/>
  <c r="N616" i="3"/>
  <c r="N615" i="3"/>
  <c r="N614" i="3"/>
  <c r="N613" i="3"/>
  <c r="N612" i="3"/>
  <c r="N611" i="3"/>
  <c r="N610" i="3"/>
  <c r="N609" i="3"/>
  <c r="N608" i="3"/>
  <c r="N607" i="3"/>
  <c r="N606" i="3"/>
  <c r="N605" i="3"/>
  <c r="N604" i="3"/>
  <c r="N603" i="3"/>
  <c r="N602" i="3"/>
  <c r="N601" i="3"/>
  <c r="N600" i="3"/>
  <c r="N599" i="3"/>
  <c r="N598" i="3"/>
  <c r="N597" i="3"/>
  <c r="N596" i="3"/>
  <c r="N595" i="3"/>
  <c r="N594" i="3"/>
  <c r="N593" i="3"/>
  <c r="N592" i="3"/>
  <c r="N591" i="3"/>
  <c r="N590" i="3"/>
  <c r="N589" i="3"/>
  <c r="N588" i="3"/>
  <c r="N587" i="3"/>
  <c r="N586" i="3"/>
  <c r="N585" i="3"/>
  <c r="N584" i="3"/>
  <c r="N583" i="3"/>
  <c r="N582" i="3"/>
  <c r="N581" i="3"/>
  <c r="N580" i="3"/>
  <c r="N579" i="3"/>
  <c r="N578" i="3"/>
  <c r="N577" i="3"/>
  <c r="N576" i="3"/>
  <c r="N575" i="3"/>
  <c r="N574" i="3"/>
  <c r="N573" i="3"/>
  <c r="N572" i="3"/>
  <c r="N571" i="3"/>
  <c r="N570" i="3"/>
  <c r="N569" i="3"/>
  <c r="N568" i="3"/>
  <c r="N567" i="3"/>
  <c r="N566" i="3"/>
  <c r="N565" i="3"/>
  <c r="N564" i="3"/>
  <c r="N563" i="3"/>
  <c r="N562" i="3"/>
  <c r="N561" i="3"/>
  <c r="N560" i="3"/>
  <c r="N559" i="3"/>
  <c r="N558" i="3"/>
  <c r="N557" i="3"/>
  <c r="N556" i="3"/>
  <c r="N555" i="3"/>
  <c r="N554" i="3"/>
  <c r="N553" i="3"/>
  <c r="N552" i="3"/>
  <c r="N551" i="3"/>
  <c r="N550" i="3"/>
  <c r="N549" i="3"/>
  <c r="N548" i="3"/>
  <c r="N547" i="3"/>
  <c r="N546" i="3"/>
  <c r="N545" i="3"/>
  <c r="N544" i="3"/>
  <c r="N543" i="3"/>
  <c r="N542" i="3"/>
  <c r="N541" i="3"/>
  <c r="N540" i="3"/>
  <c r="N539" i="3"/>
  <c r="N538" i="3"/>
  <c r="N537" i="3"/>
  <c r="N536" i="3"/>
  <c r="N535" i="3"/>
  <c r="N534" i="3"/>
  <c r="N533" i="3"/>
  <c r="N532" i="3"/>
  <c r="N531" i="3"/>
  <c r="N530" i="3"/>
  <c r="N529" i="3"/>
  <c r="N528" i="3"/>
  <c r="N527" i="3"/>
  <c r="N526" i="3"/>
  <c r="N525" i="3"/>
  <c r="N524" i="3"/>
  <c r="N523" i="3"/>
  <c r="N522" i="3"/>
  <c r="N521" i="3"/>
  <c r="N520" i="3"/>
  <c r="N519" i="3"/>
  <c r="N518" i="3"/>
  <c r="N517" i="3"/>
  <c r="N516" i="3"/>
  <c r="N515" i="3"/>
  <c r="N514" i="3"/>
  <c r="N513" i="3"/>
  <c r="N512" i="3"/>
  <c r="N511" i="3"/>
  <c r="N510" i="3"/>
  <c r="N509" i="3"/>
  <c r="N508" i="3"/>
  <c r="N507" i="3"/>
  <c r="N506" i="3"/>
  <c r="N505" i="3"/>
  <c r="N504" i="3"/>
  <c r="N503" i="3"/>
  <c r="N502" i="3"/>
  <c r="N501" i="3"/>
  <c r="N500" i="3"/>
  <c r="N499" i="3"/>
  <c r="N498" i="3"/>
  <c r="N497" i="3"/>
  <c r="N496" i="3"/>
  <c r="N495" i="3"/>
  <c r="N494" i="3"/>
  <c r="N493" i="3"/>
  <c r="N492" i="3"/>
  <c r="N491" i="3"/>
  <c r="N490" i="3"/>
  <c r="N489" i="3"/>
  <c r="N488" i="3"/>
  <c r="N487" i="3"/>
  <c r="N486" i="3"/>
  <c r="N485" i="3"/>
  <c r="N484" i="3"/>
  <c r="N483" i="3"/>
  <c r="N482" i="3"/>
  <c r="N481" i="3"/>
  <c r="N480" i="3"/>
  <c r="N479" i="3"/>
  <c r="N478" i="3"/>
  <c r="N477" i="3"/>
  <c r="N476" i="3"/>
  <c r="N475" i="3"/>
  <c r="N474" i="3"/>
  <c r="N473" i="3"/>
  <c r="N472" i="3"/>
  <c r="N471" i="3"/>
  <c r="N470" i="3"/>
  <c r="N469" i="3"/>
  <c r="N468" i="3"/>
  <c r="N467" i="3"/>
  <c r="N466" i="3"/>
  <c r="N465" i="3"/>
  <c r="N464" i="3"/>
  <c r="N463" i="3"/>
  <c r="N462" i="3"/>
  <c r="N461" i="3"/>
  <c r="N460" i="3"/>
  <c r="N459" i="3"/>
  <c r="N458" i="3"/>
  <c r="N457" i="3"/>
  <c r="N456" i="3"/>
  <c r="N455" i="3"/>
  <c r="N454" i="3"/>
  <c r="N453" i="3"/>
  <c r="N452" i="3"/>
  <c r="N451" i="3"/>
  <c r="N450" i="3"/>
  <c r="N449" i="3"/>
  <c r="N448" i="3"/>
  <c r="N447" i="3"/>
  <c r="N446" i="3"/>
  <c r="N445" i="3"/>
  <c r="N444" i="3"/>
  <c r="N443" i="3"/>
  <c r="N442" i="3"/>
  <c r="N441" i="3"/>
  <c r="N440" i="3"/>
  <c r="N439" i="3"/>
  <c r="N438" i="3"/>
  <c r="N437" i="3"/>
  <c r="N436" i="3"/>
  <c r="N435" i="3"/>
  <c r="N434" i="3"/>
  <c r="N433" i="3"/>
  <c r="N432" i="3"/>
  <c r="N431" i="3"/>
  <c r="N430" i="3"/>
  <c r="N429" i="3"/>
  <c r="N428" i="3"/>
  <c r="N427" i="3"/>
  <c r="N426" i="3"/>
  <c r="N425" i="3"/>
  <c r="N424" i="3"/>
  <c r="N423" i="3"/>
  <c r="N422" i="3"/>
  <c r="N421" i="3"/>
  <c r="N420" i="3"/>
  <c r="N419" i="3"/>
  <c r="N418" i="3"/>
  <c r="N417" i="3"/>
  <c r="N416" i="3"/>
  <c r="N415" i="3"/>
  <c r="N414" i="3"/>
  <c r="N413" i="3"/>
  <c r="N412" i="3"/>
  <c r="N411" i="3"/>
  <c r="N410" i="3"/>
  <c r="N409" i="3"/>
  <c r="N408" i="3"/>
  <c r="N407" i="3"/>
  <c r="N406" i="3"/>
  <c r="N405" i="3"/>
  <c r="N404" i="3"/>
  <c r="N403" i="3"/>
  <c r="N402" i="3"/>
  <c r="N401" i="3"/>
  <c r="N400" i="3"/>
  <c r="N399" i="3"/>
  <c r="N398" i="3"/>
  <c r="N397" i="3"/>
  <c r="N396" i="3"/>
  <c r="N395" i="3"/>
  <c r="N394" i="3"/>
  <c r="N393" i="3"/>
  <c r="N392" i="3"/>
  <c r="N391" i="3"/>
  <c r="N390" i="3"/>
  <c r="N389" i="3"/>
  <c r="N388" i="3"/>
  <c r="N387" i="3"/>
  <c r="N386" i="3"/>
  <c r="N385" i="3"/>
  <c r="N384" i="3"/>
  <c r="N383" i="3"/>
  <c r="N382" i="3"/>
  <c r="N381" i="3"/>
  <c r="N380" i="3"/>
  <c r="N379" i="3"/>
  <c r="N378" i="3"/>
  <c r="N377" i="3"/>
  <c r="N376" i="3"/>
  <c r="N375" i="3"/>
  <c r="N374" i="3"/>
  <c r="N373" i="3"/>
  <c r="N372" i="3"/>
  <c r="N371" i="3"/>
  <c r="N370" i="3"/>
  <c r="N369" i="3"/>
  <c r="N368" i="3"/>
  <c r="N367" i="3"/>
  <c r="N366" i="3"/>
  <c r="N365" i="3"/>
  <c r="N364" i="3"/>
  <c r="N363" i="3"/>
  <c r="N362" i="3"/>
  <c r="N361" i="3"/>
  <c r="N360" i="3"/>
  <c r="N359" i="3"/>
  <c r="N358" i="3"/>
  <c r="N357" i="3"/>
  <c r="N356" i="3"/>
  <c r="N355" i="3"/>
  <c r="N354" i="3"/>
  <c r="N353" i="3"/>
  <c r="N352" i="3"/>
  <c r="N351" i="3"/>
  <c r="N350" i="3"/>
  <c r="N349" i="3"/>
  <c r="N348" i="3"/>
  <c r="N347" i="3"/>
  <c r="N346" i="3"/>
  <c r="N345" i="3"/>
  <c r="N344" i="3"/>
  <c r="N343" i="3"/>
  <c r="N342" i="3"/>
  <c r="N341" i="3"/>
  <c r="N340" i="3"/>
  <c r="N339" i="3"/>
  <c r="N338" i="3"/>
  <c r="N337" i="3"/>
  <c r="N336" i="3"/>
  <c r="N335" i="3"/>
  <c r="N334" i="3"/>
  <c r="N333" i="3"/>
  <c r="N332" i="3"/>
  <c r="N331" i="3"/>
  <c r="N330" i="3"/>
  <c r="N329" i="3"/>
  <c r="N328" i="3"/>
  <c r="N327" i="3"/>
  <c r="N326" i="3"/>
  <c r="N325" i="3"/>
  <c r="N324" i="3"/>
  <c r="N323" i="3"/>
  <c r="N322" i="3"/>
  <c r="N321" i="3"/>
  <c r="N320" i="3"/>
  <c r="N319" i="3"/>
  <c r="N318" i="3"/>
  <c r="N317" i="3"/>
  <c r="N316" i="3"/>
  <c r="N315" i="3"/>
  <c r="N314" i="3"/>
  <c r="N313" i="3"/>
  <c r="N312" i="3"/>
  <c r="N311" i="3"/>
  <c r="N310" i="3"/>
  <c r="N309" i="3"/>
  <c r="N308" i="3"/>
  <c r="N307" i="3"/>
  <c r="N306" i="3"/>
  <c r="N305" i="3"/>
  <c r="N304" i="3"/>
  <c r="N303" i="3"/>
  <c r="N302" i="3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BE13" i="3"/>
  <c r="BE14" i="3"/>
  <c r="BE15" i="3"/>
  <c r="BE16" i="3"/>
  <c r="BE17" i="3"/>
  <c r="BE18" i="3"/>
  <c r="BE19" i="3"/>
  <c r="BE20" i="3"/>
  <c r="BE21" i="3"/>
  <c r="BE22" i="3"/>
  <c r="BE23" i="3"/>
  <c r="BE24" i="3"/>
  <c r="BE25" i="3"/>
  <c r="BE26" i="3"/>
  <c r="BE27" i="3"/>
  <c r="BE28" i="3"/>
  <c r="BE29" i="3"/>
  <c r="BE30" i="3"/>
  <c r="BE31" i="3"/>
  <c r="BE32" i="3"/>
  <c r="BE33" i="3"/>
  <c r="BE34" i="3"/>
  <c r="BE35" i="3"/>
  <c r="BE36" i="3"/>
  <c r="BE37" i="3"/>
  <c r="BE38" i="3"/>
  <c r="BE39" i="3"/>
  <c r="BE40" i="3"/>
  <c r="BE41" i="3"/>
  <c r="BE42" i="3"/>
  <c r="BE43" i="3"/>
  <c r="BE44" i="3"/>
  <c r="BE45" i="3"/>
  <c r="BE46" i="3"/>
  <c r="BE47" i="3"/>
  <c r="BE48" i="3"/>
  <c r="BE49" i="3"/>
  <c r="BE50" i="3"/>
  <c r="BE51" i="3"/>
  <c r="BE52" i="3"/>
  <c r="BE53" i="3"/>
  <c r="BE54" i="3"/>
  <c r="BE55" i="3"/>
  <c r="BE56" i="3"/>
  <c r="BE57" i="3"/>
  <c r="BE58" i="3"/>
  <c r="BE59" i="3"/>
  <c r="BE60" i="3"/>
  <c r="BE61" i="3"/>
  <c r="BE62" i="3"/>
  <c r="BE63" i="3"/>
  <c r="BE64" i="3"/>
  <c r="BE65" i="3"/>
  <c r="BE66" i="3"/>
  <c r="BE67" i="3"/>
  <c r="BE68" i="3"/>
  <c r="BE69" i="3"/>
  <c r="BE70" i="3"/>
  <c r="BE71" i="3"/>
  <c r="BE72" i="3"/>
  <c r="BE73" i="3"/>
  <c r="BE74" i="3"/>
  <c r="BE75" i="3"/>
  <c r="BE76" i="3"/>
  <c r="BE77" i="3"/>
  <c r="BE78" i="3"/>
  <c r="BE79" i="3"/>
  <c r="BE80" i="3"/>
  <c r="BE81" i="3"/>
  <c r="BE82" i="3"/>
  <c r="BE83" i="3"/>
  <c r="BE84" i="3"/>
  <c r="BE85" i="3"/>
  <c r="BE86" i="3"/>
  <c r="BE87" i="3"/>
  <c r="BE88" i="3"/>
  <c r="BE89" i="3"/>
  <c r="BE90" i="3"/>
  <c r="BE91" i="3"/>
  <c r="BE92" i="3"/>
  <c r="BE93" i="3"/>
  <c r="BE94" i="3"/>
  <c r="BE95" i="3"/>
  <c r="BE96" i="3"/>
  <c r="BE97" i="3"/>
  <c r="BE98" i="3"/>
  <c r="BE99" i="3"/>
  <c r="BE100" i="3"/>
  <c r="BE101" i="3"/>
  <c r="BE102" i="3"/>
  <c r="BE103" i="3"/>
  <c r="BE104" i="3"/>
  <c r="BE105" i="3"/>
  <c r="BE106" i="3"/>
  <c r="BE107" i="3"/>
  <c r="BE108" i="3"/>
  <c r="BE109" i="3"/>
  <c r="BE110" i="3"/>
  <c r="BE111" i="3"/>
  <c r="BE112" i="3"/>
  <c r="BE113" i="3"/>
  <c r="BE114" i="3"/>
  <c r="BE115" i="3"/>
  <c r="BE116" i="3"/>
  <c r="BE117" i="3"/>
  <c r="BE118" i="3"/>
  <c r="BE119" i="3"/>
  <c r="BE120" i="3"/>
  <c r="BE121" i="3"/>
  <c r="BE122" i="3"/>
  <c r="BE123" i="3"/>
  <c r="BE124" i="3"/>
  <c r="BE125" i="3"/>
  <c r="BE126" i="3"/>
  <c r="BE127" i="3"/>
  <c r="BE128" i="3"/>
  <c r="BE129" i="3"/>
  <c r="BE130" i="3"/>
  <c r="BE131" i="3"/>
  <c r="BE132" i="3"/>
  <c r="BE133" i="3"/>
  <c r="BE134" i="3"/>
  <c r="BE135" i="3"/>
  <c r="BE136" i="3"/>
  <c r="BE137" i="3"/>
  <c r="BE138" i="3"/>
  <c r="BE139" i="3"/>
  <c r="BE140" i="3"/>
  <c r="BE141" i="3"/>
  <c r="BE142" i="3"/>
  <c r="BE143" i="3"/>
  <c r="BE144" i="3"/>
  <c r="BE145" i="3"/>
  <c r="BE146" i="3"/>
  <c r="BE147" i="3"/>
  <c r="BE148" i="3"/>
  <c r="BE149" i="3"/>
  <c r="BE150" i="3"/>
  <c r="BE151" i="3"/>
  <c r="BE152" i="3"/>
  <c r="BE153" i="3"/>
  <c r="BE154" i="3"/>
  <c r="BE155" i="3"/>
  <c r="BE156" i="3"/>
  <c r="BE157" i="3"/>
  <c r="BE158" i="3"/>
  <c r="BE159" i="3"/>
  <c r="BE160" i="3"/>
  <c r="BE161" i="3"/>
  <c r="BE162" i="3"/>
  <c r="BE163" i="3"/>
  <c r="BE164" i="3"/>
  <c r="BE165" i="3"/>
  <c r="BE166" i="3"/>
  <c r="BE167" i="3"/>
  <c r="BE168" i="3"/>
  <c r="BE169" i="3"/>
  <c r="BE170" i="3"/>
  <c r="BE171" i="3"/>
  <c r="BE172" i="3"/>
  <c r="BE173" i="3"/>
  <c r="BE174" i="3"/>
  <c r="BE175" i="3"/>
  <c r="BE176" i="3"/>
  <c r="BE177" i="3"/>
  <c r="BE178" i="3"/>
  <c r="BE179" i="3"/>
  <c r="BE180" i="3"/>
  <c r="BE181" i="3"/>
  <c r="BE182" i="3"/>
  <c r="BE183" i="3"/>
  <c r="BE184" i="3"/>
  <c r="BE185" i="3"/>
  <c r="BE186" i="3"/>
  <c r="BE187" i="3"/>
  <c r="BE188" i="3"/>
  <c r="BE189" i="3"/>
  <c r="BE190" i="3"/>
  <c r="BE191" i="3"/>
  <c r="BE192" i="3"/>
  <c r="BE193" i="3"/>
  <c r="BE194" i="3"/>
  <c r="BE195" i="3"/>
  <c r="BE196" i="3"/>
  <c r="BE197" i="3"/>
  <c r="BE198" i="3"/>
  <c r="BE199" i="3"/>
  <c r="BE200" i="3"/>
  <c r="BE201" i="3"/>
  <c r="BE202" i="3"/>
  <c r="BE203" i="3"/>
  <c r="BE204" i="3"/>
  <c r="BE205" i="3"/>
  <c r="BE206" i="3"/>
  <c r="BE207" i="3"/>
  <c r="BE208" i="3"/>
  <c r="BE209" i="3"/>
  <c r="BE210" i="3"/>
  <c r="BE211" i="3"/>
  <c r="BE212" i="3"/>
  <c r="BE213" i="3"/>
  <c r="BE214" i="3"/>
  <c r="BE215" i="3"/>
  <c r="BE216" i="3"/>
  <c r="BE217" i="3"/>
  <c r="BE218" i="3"/>
  <c r="BE219" i="3"/>
  <c r="BE220" i="3"/>
  <c r="BE221" i="3"/>
  <c r="BE222" i="3"/>
  <c r="BE223" i="3"/>
  <c r="BE224" i="3"/>
  <c r="BE225" i="3"/>
  <c r="BE226" i="3"/>
  <c r="BE227" i="3"/>
  <c r="BE228" i="3"/>
  <c r="BE229" i="3"/>
  <c r="BE230" i="3"/>
  <c r="BE231" i="3"/>
  <c r="BE232" i="3"/>
  <c r="BE233" i="3"/>
  <c r="BE234" i="3"/>
  <c r="BE235" i="3"/>
  <c r="BE236" i="3"/>
  <c r="BE237" i="3"/>
  <c r="BE238" i="3"/>
  <c r="BE239" i="3"/>
  <c r="BE240" i="3"/>
  <c r="BE241" i="3"/>
  <c r="BE242" i="3"/>
  <c r="BE243" i="3"/>
  <c r="BE244" i="3"/>
  <c r="BE245" i="3"/>
  <c r="BE246" i="3"/>
  <c r="BE247" i="3"/>
  <c r="BE248" i="3"/>
  <c r="BE249" i="3"/>
  <c r="BE250" i="3"/>
  <c r="BE251" i="3"/>
  <c r="BE252" i="3"/>
  <c r="BE253" i="3"/>
  <c r="BE254" i="3"/>
  <c r="BE255" i="3"/>
  <c r="BE256" i="3"/>
  <c r="BE257" i="3"/>
  <c r="BE258" i="3"/>
  <c r="BE259" i="3"/>
  <c r="BE260" i="3"/>
  <c r="BE261" i="3"/>
  <c r="BE262" i="3"/>
  <c r="BE263" i="3"/>
  <c r="BE264" i="3"/>
  <c r="BE265" i="3"/>
  <c r="BE266" i="3"/>
  <c r="BE267" i="3"/>
  <c r="BE268" i="3"/>
  <c r="BE269" i="3"/>
  <c r="BE270" i="3"/>
  <c r="BE271" i="3"/>
  <c r="BE272" i="3"/>
  <c r="BE273" i="3"/>
  <c r="BE274" i="3"/>
  <c r="BE275" i="3"/>
  <c r="BE276" i="3"/>
  <c r="BE277" i="3"/>
  <c r="BE278" i="3"/>
  <c r="BE279" i="3"/>
  <c r="BE280" i="3"/>
  <c r="BE281" i="3"/>
  <c r="BE282" i="3"/>
  <c r="BE283" i="3"/>
  <c r="BE284" i="3"/>
  <c r="BE285" i="3"/>
  <c r="BE286" i="3"/>
  <c r="BE287" i="3"/>
  <c r="BE288" i="3"/>
  <c r="BE289" i="3"/>
  <c r="BE290" i="3"/>
  <c r="BE291" i="3"/>
  <c r="BE292" i="3"/>
  <c r="BE293" i="3"/>
  <c r="BE294" i="3"/>
  <c r="BE295" i="3"/>
  <c r="BE296" i="3"/>
  <c r="BE297" i="3"/>
  <c r="BE298" i="3"/>
  <c r="BE299" i="3"/>
  <c r="BE300" i="3"/>
  <c r="BE301" i="3"/>
  <c r="BE302" i="3"/>
  <c r="BE303" i="3"/>
  <c r="BE304" i="3"/>
  <c r="BE305" i="3"/>
  <c r="BE306" i="3"/>
  <c r="BE307" i="3"/>
  <c r="BE308" i="3"/>
  <c r="BE309" i="3"/>
  <c r="BE310" i="3"/>
  <c r="BE311" i="3"/>
  <c r="BE312" i="3"/>
  <c r="BE313" i="3"/>
  <c r="BE314" i="3"/>
  <c r="BE315" i="3"/>
  <c r="BE316" i="3"/>
  <c r="BE317" i="3"/>
  <c r="BE318" i="3"/>
  <c r="BE319" i="3"/>
  <c r="BE320" i="3"/>
  <c r="BE321" i="3"/>
  <c r="BE322" i="3"/>
  <c r="BE323" i="3"/>
  <c r="BE324" i="3"/>
  <c r="BE325" i="3"/>
  <c r="BE326" i="3"/>
  <c r="BE327" i="3"/>
  <c r="BE328" i="3"/>
  <c r="BE329" i="3"/>
  <c r="BE330" i="3"/>
  <c r="BE331" i="3"/>
  <c r="BE332" i="3"/>
  <c r="BE333" i="3"/>
  <c r="BE334" i="3"/>
  <c r="BE335" i="3"/>
  <c r="BE336" i="3"/>
  <c r="BE337" i="3"/>
  <c r="BE338" i="3"/>
  <c r="BE339" i="3"/>
  <c r="BE340" i="3"/>
  <c r="BE341" i="3"/>
  <c r="BE342" i="3"/>
  <c r="BE343" i="3"/>
  <c r="BE344" i="3"/>
  <c r="BE345" i="3"/>
  <c r="BE346" i="3"/>
  <c r="BE347" i="3"/>
  <c r="BE348" i="3"/>
  <c r="BE349" i="3"/>
  <c r="BE350" i="3"/>
  <c r="BE351" i="3"/>
  <c r="BE352" i="3"/>
  <c r="BE353" i="3"/>
  <c r="BE354" i="3"/>
  <c r="BE355" i="3"/>
  <c r="BE356" i="3"/>
  <c r="BE357" i="3"/>
  <c r="BE358" i="3"/>
  <c r="BE359" i="3"/>
  <c r="BE360" i="3"/>
  <c r="BE361" i="3"/>
  <c r="BE362" i="3"/>
  <c r="BE363" i="3"/>
  <c r="BE364" i="3"/>
  <c r="BE365" i="3"/>
  <c r="BE366" i="3"/>
  <c r="BE367" i="3"/>
  <c r="BE368" i="3"/>
  <c r="BE369" i="3"/>
  <c r="BE370" i="3"/>
  <c r="BE371" i="3"/>
  <c r="BE372" i="3"/>
  <c r="BE373" i="3"/>
  <c r="BE374" i="3"/>
  <c r="BE375" i="3"/>
  <c r="BE376" i="3"/>
  <c r="BE377" i="3"/>
  <c r="BE378" i="3"/>
  <c r="BE379" i="3"/>
  <c r="BE380" i="3"/>
  <c r="BE381" i="3"/>
  <c r="BE382" i="3"/>
  <c r="BE383" i="3"/>
  <c r="BE384" i="3"/>
  <c r="BE385" i="3"/>
  <c r="BE386" i="3"/>
  <c r="BE387" i="3"/>
  <c r="BE388" i="3"/>
  <c r="BE389" i="3"/>
  <c r="BE390" i="3"/>
  <c r="BE391" i="3"/>
  <c r="BE392" i="3"/>
  <c r="BE393" i="3"/>
  <c r="BE394" i="3"/>
  <c r="BE395" i="3"/>
  <c r="BE396" i="3"/>
  <c r="BE397" i="3"/>
  <c r="BE398" i="3"/>
  <c r="BE399" i="3"/>
  <c r="BE400" i="3"/>
  <c r="BE401" i="3"/>
  <c r="BE402" i="3"/>
  <c r="BE403" i="3"/>
  <c r="BE404" i="3"/>
  <c r="BE405" i="3"/>
  <c r="BE406" i="3"/>
  <c r="BE407" i="3"/>
  <c r="BE408" i="3"/>
  <c r="BE409" i="3"/>
  <c r="BE410" i="3"/>
  <c r="BE411" i="3"/>
  <c r="BE412" i="3"/>
  <c r="BE413" i="3"/>
  <c r="BE414" i="3"/>
  <c r="BE415" i="3"/>
  <c r="BE416" i="3"/>
  <c r="BE417" i="3"/>
  <c r="BE418" i="3"/>
  <c r="BE419" i="3"/>
  <c r="BE420" i="3"/>
  <c r="BE421" i="3"/>
  <c r="BE422" i="3"/>
  <c r="BE423" i="3"/>
  <c r="BE424" i="3"/>
  <c r="BE425" i="3"/>
  <c r="BE426" i="3"/>
  <c r="BE427" i="3"/>
  <c r="BE428" i="3"/>
  <c r="BE429" i="3"/>
  <c r="BE430" i="3"/>
  <c r="BE431" i="3"/>
  <c r="BE432" i="3"/>
  <c r="BE433" i="3"/>
  <c r="BE434" i="3"/>
  <c r="BE435" i="3"/>
  <c r="BE436" i="3"/>
  <c r="BE437" i="3"/>
  <c r="BE438" i="3"/>
  <c r="BE439" i="3"/>
  <c r="BE440" i="3"/>
  <c r="BE441" i="3"/>
  <c r="BE442" i="3"/>
  <c r="BE443" i="3"/>
  <c r="BE444" i="3"/>
  <c r="BE445" i="3"/>
  <c r="BE446" i="3"/>
  <c r="BE447" i="3"/>
  <c r="BE448" i="3"/>
  <c r="BE449" i="3"/>
  <c r="BE450" i="3"/>
  <c r="BE451" i="3"/>
  <c r="BE452" i="3"/>
  <c r="BE453" i="3"/>
  <c r="BE454" i="3"/>
  <c r="BE455" i="3"/>
  <c r="BE456" i="3"/>
  <c r="BE457" i="3"/>
  <c r="BE458" i="3"/>
  <c r="BE459" i="3"/>
  <c r="BE460" i="3"/>
  <c r="BE461" i="3"/>
  <c r="BE462" i="3"/>
  <c r="BE463" i="3"/>
  <c r="BE464" i="3"/>
  <c r="BE465" i="3"/>
  <c r="BE466" i="3"/>
  <c r="BE467" i="3"/>
  <c r="BE468" i="3"/>
  <c r="BE469" i="3"/>
  <c r="BE470" i="3"/>
  <c r="BE471" i="3"/>
  <c r="BE472" i="3"/>
  <c r="BE473" i="3"/>
  <c r="BE474" i="3"/>
  <c r="BE475" i="3"/>
  <c r="BE476" i="3"/>
  <c r="BE477" i="3"/>
  <c r="BE478" i="3"/>
  <c r="BE479" i="3"/>
  <c r="BE480" i="3"/>
  <c r="BE481" i="3"/>
  <c r="BE482" i="3"/>
  <c r="BE483" i="3"/>
  <c r="BE484" i="3"/>
  <c r="BE485" i="3"/>
  <c r="BE486" i="3"/>
  <c r="BE487" i="3"/>
  <c r="BE488" i="3"/>
  <c r="BE489" i="3"/>
  <c r="BE490" i="3"/>
  <c r="BE491" i="3"/>
  <c r="BE492" i="3"/>
  <c r="BE493" i="3"/>
  <c r="BE494" i="3"/>
  <c r="BE495" i="3"/>
  <c r="BE496" i="3"/>
  <c r="BE497" i="3"/>
  <c r="BE498" i="3"/>
  <c r="BE499" i="3"/>
  <c r="BE500" i="3"/>
  <c r="BE501" i="3"/>
  <c r="BE502" i="3"/>
  <c r="BE503" i="3"/>
  <c r="BE504" i="3"/>
  <c r="BE505" i="3"/>
  <c r="BE506" i="3"/>
  <c r="BE507" i="3"/>
  <c r="BE508" i="3"/>
  <c r="BE509" i="3"/>
  <c r="BE510" i="3"/>
  <c r="BE511" i="3"/>
  <c r="BE512" i="3"/>
  <c r="BE513" i="3"/>
  <c r="BE514" i="3"/>
  <c r="BE515" i="3"/>
  <c r="BE516" i="3"/>
  <c r="BE517" i="3"/>
  <c r="BE518" i="3"/>
  <c r="BE519" i="3"/>
  <c r="BE520" i="3"/>
  <c r="BE521" i="3"/>
  <c r="BE522" i="3"/>
  <c r="BE523" i="3"/>
  <c r="BE524" i="3"/>
  <c r="BE525" i="3"/>
  <c r="BE526" i="3"/>
  <c r="BE527" i="3"/>
  <c r="BE528" i="3"/>
  <c r="BE529" i="3"/>
  <c r="BE530" i="3"/>
  <c r="BE531" i="3"/>
  <c r="BE532" i="3"/>
  <c r="BE533" i="3"/>
  <c r="BE534" i="3"/>
  <c r="BE535" i="3"/>
  <c r="BE536" i="3"/>
  <c r="BE537" i="3"/>
  <c r="BE538" i="3"/>
  <c r="BE539" i="3"/>
  <c r="BE540" i="3"/>
  <c r="BE541" i="3"/>
  <c r="BE542" i="3"/>
  <c r="BE543" i="3"/>
  <c r="BE544" i="3"/>
  <c r="BE545" i="3"/>
  <c r="BE546" i="3"/>
  <c r="BE547" i="3"/>
  <c r="BE548" i="3"/>
  <c r="BE549" i="3"/>
  <c r="BE550" i="3"/>
  <c r="BE551" i="3"/>
  <c r="BE552" i="3"/>
  <c r="BE553" i="3"/>
  <c r="BE554" i="3"/>
  <c r="BE555" i="3"/>
  <c r="BE556" i="3"/>
  <c r="BE557" i="3"/>
  <c r="BE558" i="3"/>
  <c r="BE559" i="3"/>
  <c r="BE560" i="3"/>
  <c r="BE561" i="3"/>
  <c r="BE562" i="3"/>
  <c r="BE563" i="3"/>
  <c r="BE564" i="3"/>
  <c r="BE565" i="3"/>
  <c r="BE566" i="3"/>
  <c r="BE567" i="3"/>
  <c r="BE568" i="3"/>
  <c r="BE569" i="3"/>
  <c r="BE570" i="3"/>
  <c r="BE571" i="3"/>
  <c r="BE572" i="3"/>
  <c r="BE573" i="3"/>
  <c r="BE574" i="3"/>
  <c r="BE575" i="3"/>
  <c r="BE576" i="3"/>
  <c r="BE577" i="3"/>
  <c r="BE578" i="3"/>
  <c r="BE579" i="3"/>
  <c r="BE580" i="3"/>
  <c r="BE581" i="3"/>
  <c r="BE582" i="3"/>
  <c r="BE583" i="3"/>
  <c r="BE584" i="3"/>
  <c r="BE585" i="3"/>
  <c r="BE586" i="3"/>
  <c r="BE587" i="3"/>
  <c r="BE588" i="3"/>
  <c r="BE589" i="3"/>
  <c r="BE590" i="3"/>
  <c r="BE591" i="3"/>
  <c r="BE592" i="3"/>
  <c r="BE593" i="3"/>
  <c r="BE594" i="3"/>
  <c r="BE595" i="3"/>
  <c r="BE596" i="3"/>
  <c r="BE597" i="3"/>
  <c r="BE598" i="3"/>
  <c r="BE599" i="3"/>
  <c r="BE600" i="3"/>
  <c r="BE601" i="3"/>
  <c r="BE602" i="3"/>
  <c r="BE603" i="3"/>
  <c r="BE604" i="3"/>
  <c r="BE605" i="3"/>
  <c r="BE606" i="3"/>
  <c r="BE607" i="3"/>
  <c r="BE608" i="3"/>
  <c r="BE609" i="3"/>
  <c r="BE610" i="3"/>
  <c r="BE611" i="3"/>
  <c r="BE612" i="3"/>
  <c r="BE613" i="3"/>
  <c r="BE614" i="3"/>
  <c r="BE615" i="3"/>
  <c r="BE616" i="3"/>
  <c r="BE617" i="3"/>
  <c r="BE618" i="3"/>
  <c r="BE619" i="3"/>
  <c r="BE620" i="3"/>
  <c r="BE621" i="3"/>
  <c r="BE622" i="3"/>
  <c r="BE623" i="3"/>
  <c r="BE624" i="3"/>
  <c r="BE625" i="3"/>
  <c r="BE626" i="3"/>
  <c r="BE627" i="3"/>
  <c r="BE628" i="3"/>
  <c r="BE629" i="3"/>
  <c r="BE630" i="3"/>
  <c r="BE631" i="3"/>
  <c r="BE632" i="3"/>
  <c r="BE633" i="3"/>
  <c r="BE634" i="3"/>
  <c r="BE635" i="3"/>
  <c r="BE636" i="3"/>
  <c r="BE637" i="3"/>
  <c r="BE638" i="3"/>
  <c r="BE639" i="3"/>
  <c r="BE640" i="3"/>
  <c r="BE641" i="3"/>
  <c r="BE642" i="3"/>
  <c r="BE643" i="3"/>
  <c r="BE644" i="3"/>
  <c r="BE645" i="3"/>
  <c r="BE646" i="3"/>
  <c r="BE647" i="3"/>
  <c r="BE648" i="3"/>
  <c r="BE649" i="3"/>
  <c r="BE650" i="3"/>
  <c r="BE651" i="3"/>
  <c r="BE652" i="3"/>
  <c r="BE653" i="3"/>
  <c r="BE654" i="3"/>
  <c r="BE655" i="3"/>
  <c r="BE656" i="3"/>
  <c r="BE657" i="3"/>
  <c r="BE658" i="3"/>
  <c r="BE659" i="3"/>
  <c r="BE660" i="3"/>
  <c r="BE661" i="3"/>
  <c r="BE662" i="3"/>
  <c r="BE663" i="3"/>
  <c r="BE664" i="3"/>
  <c r="BE665" i="3"/>
  <c r="BE666" i="3"/>
  <c r="BE667" i="3"/>
  <c r="BE668" i="3"/>
  <c r="BE669" i="3"/>
  <c r="BE670" i="3"/>
  <c r="BE671" i="3"/>
  <c r="BE672" i="3"/>
  <c r="BE673" i="3"/>
  <c r="BE674" i="3"/>
  <c r="BE675" i="3"/>
  <c r="BE676" i="3"/>
  <c r="BE677" i="3"/>
  <c r="BE678" i="3"/>
  <c r="BE679" i="3"/>
  <c r="BE680" i="3"/>
  <c r="BE681" i="3"/>
  <c r="BE682" i="3"/>
  <c r="BE683" i="3"/>
  <c r="BE684" i="3"/>
  <c r="BE685" i="3"/>
  <c r="BE686" i="3"/>
  <c r="BE687" i="3"/>
  <c r="BE688" i="3"/>
  <c r="BE689" i="3"/>
  <c r="BE690" i="3"/>
  <c r="BE691" i="3"/>
  <c r="BE692" i="3"/>
  <c r="BE693" i="3"/>
  <c r="BE694" i="3"/>
  <c r="BE695" i="3"/>
  <c r="BE696" i="3"/>
  <c r="BE697" i="3"/>
  <c r="BE698" i="3"/>
  <c r="BE699" i="3"/>
  <c r="BE700" i="3"/>
  <c r="BE701" i="3"/>
  <c r="BE702" i="3"/>
  <c r="BE703" i="3"/>
  <c r="BE704" i="3"/>
  <c r="BE705" i="3"/>
  <c r="BE706" i="3"/>
  <c r="BE707" i="3"/>
  <c r="BE708" i="3"/>
  <c r="BE709" i="3"/>
  <c r="BE710" i="3"/>
  <c r="BE711" i="3"/>
  <c r="BE712" i="3"/>
  <c r="BE713" i="3"/>
  <c r="BE714" i="3"/>
  <c r="BE715" i="3"/>
  <c r="BE716" i="3"/>
  <c r="BE717" i="3"/>
  <c r="BE718" i="3"/>
  <c r="BE719" i="3"/>
  <c r="BE720" i="3"/>
  <c r="BE721" i="3"/>
  <c r="BE722" i="3"/>
  <c r="BE723" i="3"/>
  <c r="BE724" i="3"/>
  <c r="BE725" i="3"/>
  <c r="BE726" i="3"/>
  <c r="BE727" i="3"/>
  <c r="BE728" i="3"/>
  <c r="BE729" i="3"/>
  <c r="BE730" i="3"/>
  <c r="BE731" i="3"/>
  <c r="BE732" i="3"/>
  <c r="BE733" i="3"/>
  <c r="BE734" i="3"/>
  <c r="BE735" i="3"/>
  <c r="BE736" i="3"/>
  <c r="BE737" i="3"/>
  <c r="BE738" i="3"/>
  <c r="BE739" i="3"/>
  <c r="BE740" i="3"/>
  <c r="BE741" i="3"/>
  <c r="BE742" i="3"/>
  <c r="BE743" i="3"/>
  <c r="BE744" i="3"/>
  <c r="BE745" i="3"/>
  <c r="BE746" i="3"/>
  <c r="BE747" i="3"/>
  <c r="BE748" i="3"/>
  <c r="BE749" i="3"/>
  <c r="BE750" i="3"/>
  <c r="BE751" i="3"/>
  <c r="BE752" i="3"/>
  <c r="BE753" i="3"/>
  <c r="BE754" i="3"/>
  <c r="BE755" i="3"/>
  <c r="BE756" i="3"/>
  <c r="BE757" i="3"/>
  <c r="BE758" i="3"/>
  <c r="BE759" i="3"/>
  <c r="BE760" i="3"/>
  <c r="BE761" i="3"/>
  <c r="BE762" i="3"/>
  <c r="BE763" i="3"/>
  <c r="BE764" i="3"/>
  <c r="BE765" i="3"/>
  <c r="BE766" i="3"/>
  <c r="BE767" i="3"/>
  <c r="BE768" i="3"/>
  <c r="BE769" i="3"/>
  <c r="BE770" i="3"/>
  <c r="BE771" i="3"/>
  <c r="BE772" i="3"/>
  <c r="BE773" i="3"/>
  <c r="BE774" i="3"/>
  <c r="BE775" i="3"/>
  <c r="BE776" i="3"/>
  <c r="BE777" i="3"/>
  <c r="BE778" i="3"/>
  <c r="BE779" i="3"/>
  <c r="BE780" i="3"/>
  <c r="BE781" i="3"/>
  <c r="BE782" i="3"/>
  <c r="BE783" i="3"/>
  <c r="BE784" i="3"/>
  <c r="BE785" i="3"/>
  <c r="BE786" i="3"/>
  <c r="BE787" i="3"/>
  <c r="BE788" i="3"/>
  <c r="BE789" i="3"/>
  <c r="BE790" i="3"/>
  <c r="BE791" i="3"/>
  <c r="BE792" i="3"/>
  <c r="BE793" i="3"/>
  <c r="BE794" i="3"/>
  <c r="BE795" i="3"/>
  <c r="BE796" i="3"/>
  <c r="BE797" i="3"/>
  <c r="BE798" i="3"/>
  <c r="BE799" i="3"/>
  <c r="BE800" i="3"/>
  <c r="BE801" i="3"/>
  <c r="BE802" i="3"/>
  <c r="BE803" i="3"/>
  <c r="BE804" i="3"/>
  <c r="BE805" i="3"/>
  <c r="BE806" i="3"/>
  <c r="BE807" i="3"/>
  <c r="BE808" i="3"/>
  <c r="BE809" i="3"/>
  <c r="BE810" i="3"/>
  <c r="BE811" i="3"/>
  <c r="BE812" i="3"/>
  <c r="BE813" i="3"/>
  <c r="BE814" i="3"/>
  <c r="BE815" i="3"/>
  <c r="BE816" i="3"/>
  <c r="BE817" i="3"/>
  <c r="BE818" i="3"/>
  <c r="BE819" i="3"/>
  <c r="BE820" i="3"/>
  <c r="BE821" i="3"/>
  <c r="BE822" i="3"/>
  <c r="BE823" i="3"/>
  <c r="BE824" i="3"/>
  <c r="BE825" i="3"/>
  <c r="BE826" i="3"/>
  <c r="BE827" i="3"/>
  <c r="BE828" i="3"/>
  <c r="BE829" i="3"/>
  <c r="BE830" i="3"/>
  <c r="BE831" i="3"/>
  <c r="BE832" i="3"/>
  <c r="BE833" i="3"/>
  <c r="BE834" i="3"/>
  <c r="BE835" i="3"/>
  <c r="BE836" i="3"/>
  <c r="BE837" i="3"/>
  <c r="BE838" i="3"/>
  <c r="BE839" i="3"/>
  <c r="BE840" i="3"/>
  <c r="BE841" i="3"/>
  <c r="BE842" i="3"/>
  <c r="BE843" i="3"/>
  <c r="BE844" i="3"/>
  <c r="BE845" i="3"/>
  <c r="BE846" i="3"/>
  <c r="BE847" i="3"/>
  <c r="BE848" i="3"/>
  <c r="BE849" i="3"/>
  <c r="BE850" i="3"/>
  <c r="BE851" i="3"/>
  <c r="BE852" i="3"/>
  <c r="BE853" i="3"/>
  <c r="BE854" i="3"/>
  <c r="BE855" i="3"/>
  <c r="BE856" i="3"/>
  <c r="BE857" i="3"/>
  <c r="BE858" i="3"/>
  <c r="BE859" i="3"/>
  <c r="BE860" i="3"/>
  <c r="BE861" i="3"/>
  <c r="BE862" i="3"/>
  <c r="BE863" i="3"/>
  <c r="BE864" i="3"/>
  <c r="BE865" i="3"/>
  <c r="BE866" i="3"/>
  <c r="BE867" i="3"/>
  <c r="BE868" i="3"/>
  <c r="BE869" i="3"/>
  <c r="BE870" i="3"/>
  <c r="BE871" i="3"/>
  <c r="BE872" i="3"/>
  <c r="BE873" i="3"/>
  <c r="BE874" i="3"/>
  <c r="BE875" i="3"/>
  <c r="BE876" i="3"/>
  <c r="BE877" i="3"/>
  <c r="BE878" i="3"/>
  <c r="BE879" i="3"/>
  <c r="BE880" i="3"/>
  <c r="BE881" i="3"/>
  <c r="BE882" i="3"/>
  <c r="BE883" i="3"/>
  <c r="BE884" i="3"/>
  <c r="BE885" i="3"/>
  <c r="BE886" i="3"/>
  <c r="BE887" i="3"/>
  <c r="BE888" i="3"/>
  <c r="BE889" i="3"/>
  <c r="BE890" i="3"/>
  <c r="BE891" i="3"/>
  <c r="BE892" i="3"/>
  <c r="BE893" i="3"/>
  <c r="BE894" i="3"/>
  <c r="BE895" i="3"/>
  <c r="BE896" i="3"/>
  <c r="BE897" i="3"/>
  <c r="BE898" i="3"/>
  <c r="BE899" i="3"/>
  <c r="BE900" i="3"/>
  <c r="BE901" i="3"/>
  <c r="BE902" i="3"/>
  <c r="BE903" i="3"/>
  <c r="BE904" i="3"/>
  <c r="BE905" i="3"/>
  <c r="BE906" i="3"/>
  <c r="BE907" i="3"/>
  <c r="BE908" i="3"/>
  <c r="BE909" i="3"/>
  <c r="BE910" i="3"/>
  <c r="BE911" i="3"/>
  <c r="BE912" i="3"/>
  <c r="BE913" i="3"/>
  <c r="BE914" i="3"/>
  <c r="BE915" i="3"/>
  <c r="BE916" i="3"/>
  <c r="BE917" i="3"/>
  <c r="BE918" i="3"/>
  <c r="BE919" i="3"/>
  <c r="BE920" i="3"/>
  <c r="BE921" i="3"/>
  <c r="BE922" i="3"/>
  <c r="BE923" i="3"/>
  <c r="BE924" i="3"/>
  <c r="BE925" i="3"/>
  <c r="BE926" i="3"/>
  <c r="BE927" i="3"/>
  <c r="BE928" i="3"/>
  <c r="BE929" i="3"/>
  <c r="BE930" i="3"/>
  <c r="BE931" i="3"/>
  <c r="BE932" i="3"/>
  <c r="BE933" i="3"/>
  <c r="BE934" i="3"/>
  <c r="BE935" i="3"/>
  <c r="BE936" i="3"/>
  <c r="BE937" i="3"/>
  <c r="BE938" i="3"/>
  <c r="BE939" i="3"/>
  <c r="BE940" i="3"/>
  <c r="BE941" i="3"/>
  <c r="BE942" i="3"/>
  <c r="BE943" i="3"/>
  <c r="BE944" i="3"/>
  <c r="BE945" i="3"/>
  <c r="BE946" i="3"/>
  <c r="BE947" i="3"/>
  <c r="BE948" i="3"/>
  <c r="BE949" i="3"/>
  <c r="BE950" i="3"/>
  <c r="BE951" i="3"/>
  <c r="BE952" i="3"/>
  <c r="BE953" i="3"/>
  <c r="BE954" i="3"/>
  <c r="BE955" i="3"/>
  <c r="BE956" i="3"/>
  <c r="BE957" i="3"/>
  <c r="BE958" i="3"/>
  <c r="BE959" i="3"/>
  <c r="BE960" i="3"/>
  <c r="BE961" i="3"/>
  <c r="BE962" i="3"/>
  <c r="BE963" i="3"/>
  <c r="BE964" i="3"/>
  <c r="BE965" i="3"/>
  <c r="BE966" i="3"/>
  <c r="BE967" i="3"/>
  <c r="BE968" i="3"/>
  <c r="BE969" i="3"/>
  <c r="BE970" i="3"/>
  <c r="BE971" i="3"/>
  <c r="BE972" i="3"/>
  <c r="BE973" i="3"/>
  <c r="BE974" i="3"/>
  <c r="BE975" i="3"/>
  <c r="BE976" i="3"/>
  <c r="BE977" i="3"/>
  <c r="BE978" i="3"/>
  <c r="BE979" i="3"/>
  <c r="BE980" i="3"/>
  <c r="BE981" i="3"/>
  <c r="BE982" i="3"/>
  <c r="BE983" i="3"/>
  <c r="BE984" i="3"/>
  <c r="BE985" i="3"/>
  <c r="BE986" i="3"/>
  <c r="BE987" i="3"/>
  <c r="BE988" i="3"/>
  <c r="BE989" i="3"/>
  <c r="BE990" i="3"/>
  <c r="BE991" i="3"/>
  <c r="BE992" i="3"/>
  <c r="BE993" i="3"/>
  <c r="BE994" i="3"/>
  <c r="BE995" i="3"/>
  <c r="BE996" i="3"/>
  <c r="BE997" i="3"/>
  <c r="BE998" i="3"/>
  <c r="BE999" i="3"/>
  <c r="BE1000" i="3"/>
  <c r="BE1001" i="3"/>
  <c r="BE1002" i="3"/>
  <c r="BE1003" i="3"/>
  <c r="BE1004" i="3"/>
  <c r="BE1005" i="3"/>
  <c r="BE1006" i="3"/>
  <c r="BE1007" i="3"/>
  <c r="BE1008" i="3"/>
  <c r="BE1009" i="3"/>
  <c r="BE1010" i="3"/>
  <c r="BE1011" i="3"/>
  <c r="BE1012" i="3"/>
  <c r="G5" i="3"/>
  <c r="I6" i="3"/>
  <c r="H6" i="3"/>
  <c r="D6" i="3"/>
  <c r="C6" i="3"/>
  <c r="B6" i="3"/>
  <c r="I5" i="3"/>
  <c r="H5" i="3"/>
  <c r="D5" i="3"/>
  <c r="C5" i="3"/>
  <c r="B5" i="3"/>
  <c r="Y314" i="3" l="1"/>
  <c r="Y266" i="3"/>
  <c r="R10" i="3"/>
  <c r="R8" i="3"/>
  <c r="R12" i="3"/>
  <c r="R11" i="3"/>
  <c r="R9" i="3"/>
  <c r="S10" i="3"/>
  <c r="S9" i="3"/>
  <c r="S12" i="3"/>
  <c r="S8" i="3"/>
  <c r="S11" i="3"/>
  <c r="M10" i="3"/>
  <c r="M9" i="3"/>
  <c r="M12" i="3"/>
  <c r="M11" i="3"/>
  <c r="M8" i="3"/>
  <c r="N11" i="3"/>
  <c r="N10" i="3"/>
  <c r="N9" i="3"/>
  <c r="N12" i="3"/>
  <c r="N8" i="3"/>
  <c r="X60" i="3"/>
  <c r="X36" i="3"/>
  <c r="BN5" i="3"/>
  <c r="BN7" i="3" s="1"/>
  <c r="BM5" i="3"/>
  <c r="BM7" i="3" s="1"/>
  <c r="W366" i="3"/>
  <c r="Y425" i="3"/>
  <c r="X17" i="3"/>
  <c r="AD15" i="3"/>
  <c r="X175" i="3"/>
  <c r="X167" i="3"/>
  <c r="Y139" i="3"/>
  <c r="Y123" i="3"/>
  <c r="Y107" i="3"/>
  <c r="Y91" i="3"/>
  <c r="Y75" i="3"/>
  <c r="Y55" i="3"/>
  <c r="Y31" i="3"/>
  <c r="Y218" i="3"/>
  <c r="Y194" i="3"/>
  <c r="Y146" i="3"/>
  <c r="X134" i="3"/>
  <c r="X118" i="3"/>
  <c r="X102" i="3"/>
  <c r="X70" i="3"/>
  <c r="Y50" i="3"/>
  <c r="W46" i="3"/>
  <c r="Y26" i="3"/>
  <c r="W22" i="3"/>
  <c r="W17" i="3"/>
  <c r="Y185" i="3"/>
  <c r="W161" i="3"/>
  <c r="Y197" i="3"/>
  <c r="Y193" i="3"/>
  <c r="Y189" i="3"/>
  <c r="Y181" i="3"/>
  <c r="Y177" i="3"/>
  <c r="Y173" i="3"/>
  <c r="Y169" i="3"/>
  <c r="Y165" i="3"/>
  <c r="Y161" i="3"/>
  <c r="Y157" i="3"/>
  <c r="X153" i="3"/>
  <c r="Y149" i="3"/>
  <c r="Y145" i="3"/>
  <c r="Y141" i="3"/>
  <c r="Y137" i="3"/>
  <c r="Y133" i="3"/>
  <c r="W129" i="3"/>
  <c r="Y125" i="3"/>
  <c r="Y121" i="3"/>
  <c r="Y117" i="3"/>
  <c r="W113" i="3"/>
  <c r="Y109" i="3"/>
  <c r="Y105" i="3"/>
  <c r="Y101" i="3"/>
  <c r="W97" i="3"/>
  <c r="Y93" i="3"/>
  <c r="Y89" i="3"/>
  <c r="Y85" i="3"/>
  <c r="W81" i="3"/>
  <c r="Y77" i="3"/>
  <c r="Y73" i="3"/>
  <c r="Y69" i="3"/>
  <c r="W65" i="3"/>
  <c r="Y61" i="3"/>
  <c r="Y57" i="3"/>
  <c r="Y53" i="3"/>
  <c r="Y49" i="3"/>
  <c r="Y45" i="3"/>
  <c r="W41" i="3"/>
  <c r="Y37" i="3"/>
  <c r="Y33" i="3"/>
  <c r="Y29" i="3"/>
  <c r="Y25" i="3"/>
  <c r="Y21" i="3"/>
  <c r="X97" i="3"/>
  <c r="X41" i="3"/>
  <c r="Y508" i="3"/>
  <c r="X113" i="3"/>
  <c r="Y195" i="3"/>
  <c r="Y187" i="3"/>
  <c r="Y175" i="3"/>
  <c r="Y167" i="3"/>
  <c r="Y155" i="3"/>
  <c r="Y147" i="3"/>
  <c r="Y135" i="3"/>
  <c r="Y119" i="3"/>
  <c r="Y103" i="3"/>
  <c r="Y87" i="3"/>
  <c r="Y71" i="3"/>
  <c r="Y51" i="3"/>
  <c r="Y47" i="3"/>
  <c r="Y27" i="3"/>
  <c r="Y23" i="3"/>
  <c r="X65" i="3"/>
  <c r="X129" i="3"/>
  <c r="Y246" i="3"/>
  <c r="Y242" i="3"/>
  <c r="Y238" i="3"/>
  <c r="Y234" i="3"/>
  <c r="Y230" i="3"/>
  <c r="Y226" i="3"/>
  <c r="Y222" i="3"/>
  <c r="Y198" i="3"/>
  <c r="Y190" i="3"/>
  <c r="Y186" i="3"/>
  <c r="Y178" i="3"/>
  <c r="Y170" i="3"/>
  <c r="Y162" i="3"/>
  <c r="Y154" i="3"/>
  <c r="Y150" i="3"/>
  <c r="Y142" i="3"/>
  <c r="Y138" i="3"/>
  <c r="W134" i="3"/>
  <c r="Y130" i="3"/>
  <c r="Y126" i="3"/>
  <c r="Y122" i="3"/>
  <c r="W118" i="3"/>
  <c r="Y114" i="3"/>
  <c r="Y110" i="3"/>
  <c r="Y106" i="3"/>
  <c r="W102" i="3"/>
  <c r="Y98" i="3"/>
  <c r="Y94" i="3"/>
  <c r="Y90" i="3"/>
  <c r="W86" i="3"/>
  <c r="Y82" i="3"/>
  <c r="Y78" i="3"/>
  <c r="Y74" i="3"/>
  <c r="W70" i="3"/>
  <c r="Y66" i="3"/>
  <c r="Y62" i="3"/>
  <c r="Y58" i="3"/>
  <c r="Y54" i="3"/>
  <c r="X50" i="3"/>
  <c r="Y46" i="3"/>
  <c r="Y42" i="3"/>
  <c r="Y38" i="3"/>
  <c r="Y34" i="3"/>
  <c r="Y30" i="3"/>
  <c r="X26" i="3"/>
  <c r="Y22" i="3"/>
  <c r="Y18" i="3"/>
  <c r="X81" i="3"/>
  <c r="X86" i="3"/>
  <c r="Y153" i="3"/>
  <c r="X1003" i="3"/>
  <c r="Y1003" i="3"/>
  <c r="W1003" i="3"/>
  <c r="X987" i="3"/>
  <c r="Y987" i="3"/>
  <c r="W987" i="3"/>
  <c r="X975" i="3"/>
  <c r="Y975" i="3"/>
  <c r="W975" i="3"/>
  <c r="X967" i="3"/>
  <c r="Y967" i="3"/>
  <c r="W967" i="3"/>
  <c r="Y955" i="3"/>
  <c r="X955" i="3"/>
  <c r="W955" i="3"/>
  <c r="Y943" i="3"/>
  <c r="X943" i="3"/>
  <c r="W943" i="3"/>
  <c r="Y931" i="3"/>
  <c r="X931" i="3"/>
  <c r="W931" i="3"/>
  <c r="Y919" i="3"/>
  <c r="X919" i="3"/>
  <c r="W919" i="3"/>
  <c r="Y907" i="3"/>
  <c r="X907" i="3"/>
  <c r="W907" i="3"/>
  <c r="Y895" i="3"/>
  <c r="X895" i="3"/>
  <c r="W895" i="3"/>
  <c r="Y883" i="3"/>
  <c r="X883" i="3"/>
  <c r="W883" i="3"/>
  <c r="W871" i="3"/>
  <c r="Y871" i="3"/>
  <c r="X871" i="3"/>
  <c r="Y859" i="3"/>
  <c r="X859" i="3"/>
  <c r="W859" i="3"/>
  <c r="Y847" i="3"/>
  <c r="X847" i="3"/>
  <c r="W847" i="3"/>
  <c r="Y835" i="3"/>
  <c r="X835" i="3"/>
  <c r="W835" i="3"/>
  <c r="Y827" i="3"/>
  <c r="X827" i="3"/>
  <c r="W827" i="3"/>
  <c r="Y819" i="3"/>
  <c r="X819" i="3"/>
  <c r="W819" i="3"/>
  <c r="Y803" i="3"/>
  <c r="X803" i="3"/>
  <c r="W803" i="3"/>
  <c r="W791" i="3"/>
  <c r="Y791" i="3"/>
  <c r="X791" i="3"/>
  <c r="X779" i="3"/>
  <c r="W779" i="3"/>
  <c r="Y779" i="3"/>
  <c r="W763" i="3"/>
  <c r="Y763" i="3"/>
  <c r="X763" i="3"/>
  <c r="X751" i="3"/>
  <c r="W751" i="3"/>
  <c r="Y751" i="3"/>
  <c r="Y739" i="3"/>
  <c r="X739" i="3"/>
  <c r="W739" i="3"/>
  <c r="Y731" i="3"/>
  <c r="X731" i="3"/>
  <c r="W731" i="3"/>
  <c r="X719" i="3"/>
  <c r="W719" i="3"/>
  <c r="Y719" i="3"/>
  <c r="W707" i="3"/>
  <c r="Y707" i="3"/>
  <c r="X707" i="3"/>
  <c r="Y695" i="3"/>
  <c r="W695" i="3"/>
  <c r="X695" i="3"/>
  <c r="Y683" i="3"/>
  <c r="X683" i="3"/>
  <c r="W683" i="3"/>
  <c r="Y671" i="3"/>
  <c r="X671" i="3"/>
  <c r="W671" i="3"/>
  <c r="Y659" i="3"/>
  <c r="X659" i="3"/>
  <c r="W659" i="3"/>
  <c r="Y647" i="3"/>
  <c r="W647" i="3"/>
  <c r="X647" i="3"/>
  <c r="Y639" i="3"/>
  <c r="X639" i="3"/>
  <c r="W639" i="3"/>
  <c r="Y631" i="3"/>
  <c r="W631" i="3"/>
  <c r="X631" i="3"/>
  <c r="Y619" i="3"/>
  <c r="X619" i="3"/>
  <c r="W619" i="3"/>
  <c r="Y607" i="3"/>
  <c r="X607" i="3"/>
  <c r="W607" i="3"/>
  <c r="Y595" i="3"/>
  <c r="X595" i="3"/>
  <c r="W595" i="3"/>
  <c r="Y583" i="3"/>
  <c r="W583" i="3"/>
  <c r="X583" i="3"/>
  <c r="Y571" i="3"/>
  <c r="X571" i="3"/>
  <c r="W571" i="3"/>
  <c r="Y559" i="3"/>
  <c r="X559" i="3"/>
  <c r="W559" i="3"/>
  <c r="Y547" i="3"/>
  <c r="X547" i="3"/>
  <c r="W547" i="3"/>
  <c r="Y535" i="3"/>
  <c r="X535" i="3"/>
  <c r="W535" i="3"/>
  <c r="Y523" i="3"/>
  <c r="X523" i="3"/>
  <c r="W523" i="3"/>
  <c r="Y511" i="3"/>
  <c r="X511" i="3"/>
  <c r="W511" i="3"/>
  <c r="Y499" i="3"/>
  <c r="X499" i="3"/>
  <c r="W499" i="3"/>
  <c r="Y491" i="3"/>
  <c r="X491" i="3"/>
  <c r="W491" i="3"/>
  <c r="Y483" i="3"/>
  <c r="X483" i="3"/>
  <c r="W483" i="3"/>
  <c r="Y471" i="3"/>
  <c r="X471" i="3"/>
  <c r="W471" i="3"/>
  <c r="Y463" i="3"/>
  <c r="X463" i="3"/>
  <c r="W463" i="3"/>
  <c r="Y451" i="3"/>
  <c r="X451" i="3"/>
  <c r="W451" i="3"/>
  <c r="Y443" i="3"/>
  <c r="X443" i="3"/>
  <c r="W443" i="3"/>
  <c r="Y435" i="3"/>
  <c r="X435" i="3"/>
  <c r="W435" i="3"/>
  <c r="Y423" i="3"/>
  <c r="X423" i="3"/>
  <c r="W423" i="3"/>
  <c r="Y411" i="3"/>
  <c r="X411" i="3"/>
  <c r="W411" i="3"/>
  <c r="Y399" i="3"/>
  <c r="X399" i="3"/>
  <c r="W399" i="3"/>
  <c r="Y383" i="3"/>
  <c r="X383" i="3"/>
  <c r="W383" i="3"/>
  <c r="Y371" i="3"/>
  <c r="X371" i="3"/>
  <c r="W371" i="3"/>
  <c r="X1011" i="3"/>
  <c r="Y1011" i="3"/>
  <c r="W1011" i="3"/>
  <c r="X999" i="3"/>
  <c r="Y999" i="3"/>
  <c r="W999" i="3"/>
  <c r="X991" i="3"/>
  <c r="Y991" i="3"/>
  <c r="W991" i="3"/>
  <c r="X983" i="3"/>
  <c r="Y983" i="3"/>
  <c r="W983" i="3"/>
  <c r="X971" i="3"/>
  <c r="Y971" i="3"/>
  <c r="W971" i="3"/>
  <c r="Y959" i="3"/>
  <c r="X959" i="3"/>
  <c r="W959" i="3"/>
  <c r="Y947" i="3"/>
  <c r="X947" i="3"/>
  <c r="W947" i="3"/>
  <c r="Y935" i="3"/>
  <c r="X935" i="3"/>
  <c r="W935" i="3"/>
  <c r="Y927" i="3"/>
  <c r="X927" i="3"/>
  <c r="W927" i="3"/>
  <c r="Y915" i="3"/>
  <c r="X915" i="3"/>
  <c r="W915" i="3"/>
  <c r="Y903" i="3"/>
  <c r="X903" i="3"/>
  <c r="W903" i="3"/>
  <c r="Y891" i="3"/>
  <c r="X891" i="3"/>
  <c r="W891" i="3"/>
  <c r="Y879" i="3"/>
  <c r="X879" i="3"/>
  <c r="W879" i="3"/>
  <c r="Y867" i="3"/>
  <c r="X867" i="3"/>
  <c r="W867" i="3"/>
  <c r="W855" i="3"/>
  <c r="Y855" i="3"/>
  <c r="X855" i="3"/>
  <c r="X843" i="3"/>
  <c r="Y843" i="3"/>
  <c r="W843" i="3"/>
  <c r="X831" i="3"/>
  <c r="W831" i="3"/>
  <c r="Y831" i="3"/>
  <c r="Y811" i="3"/>
  <c r="X811" i="3"/>
  <c r="W811" i="3"/>
  <c r="X799" i="3"/>
  <c r="W799" i="3"/>
  <c r="Y799" i="3"/>
  <c r="Y787" i="3"/>
  <c r="X787" i="3"/>
  <c r="W787" i="3"/>
  <c r="W775" i="3"/>
  <c r="Y775" i="3"/>
  <c r="X775" i="3"/>
  <c r="X767" i="3"/>
  <c r="W767" i="3"/>
  <c r="Y767" i="3"/>
  <c r="X755" i="3"/>
  <c r="W755" i="3"/>
  <c r="Y755" i="3"/>
  <c r="Y743" i="3"/>
  <c r="X743" i="3"/>
  <c r="W743" i="3"/>
  <c r="Y727" i="3"/>
  <c r="W727" i="3"/>
  <c r="X727" i="3"/>
  <c r="Y715" i="3"/>
  <c r="X715" i="3"/>
  <c r="W715" i="3"/>
  <c r="Y703" i="3"/>
  <c r="X703" i="3"/>
  <c r="W703" i="3"/>
  <c r="Y691" i="3"/>
  <c r="X691" i="3"/>
  <c r="W691" i="3"/>
  <c r="Y679" i="3"/>
  <c r="W679" i="3"/>
  <c r="X679" i="3"/>
  <c r="Y667" i="3"/>
  <c r="X667" i="3"/>
  <c r="W667" i="3"/>
  <c r="Y651" i="3"/>
  <c r="X651" i="3"/>
  <c r="W651" i="3"/>
  <c r="Y635" i="3"/>
  <c r="X635" i="3"/>
  <c r="W635" i="3"/>
  <c r="Y623" i="3"/>
  <c r="X623" i="3"/>
  <c r="W623" i="3"/>
  <c r="Y611" i="3"/>
  <c r="X611" i="3"/>
  <c r="W611" i="3"/>
  <c r="Y599" i="3"/>
  <c r="W599" i="3"/>
  <c r="X599" i="3"/>
  <c r="Y587" i="3"/>
  <c r="X587" i="3"/>
  <c r="W587" i="3"/>
  <c r="Y575" i="3"/>
  <c r="X575" i="3"/>
  <c r="W575" i="3"/>
  <c r="Y563" i="3"/>
  <c r="X563" i="3"/>
  <c r="W563" i="3"/>
  <c r="W551" i="3"/>
  <c r="Y551" i="3"/>
  <c r="X551" i="3"/>
  <c r="Y539" i="3"/>
  <c r="X539" i="3"/>
  <c r="W539" i="3"/>
  <c r="Y527" i="3"/>
  <c r="X527" i="3"/>
  <c r="W527" i="3"/>
  <c r="Y515" i="3"/>
  <c r="X515" i="3"/>
  <c r="W515" i="3"/>
  <c r="Y503" i="3"/>
  <c r="X503" i="3"/>
  <c r="W503" i="3"/>
  <c r="Y495" i="3"/>
  <c r="X495" i="3"/>
  <c r="W495" i="3"/>
  <c r="Y479" i="3"/>
  <c r="X479" i="3"/>
  <c r="W479" i="3"/>
  <c r="Y475" i="3"/>
  <c r="X475" i="3"/>
  <c r="W475" i="3"/>
  <c r="Y467" i="3"/>
  <c r="X467" i="3"/>
  <c r="W467" i="3"/>
  <c r="Y459" i="3"/>
  <c r="X459" i="3"/>
  <c r="W459" i="3"/>
  <c r="Y455" i="3"/>
  <c r="X455" i="3"/>
  <c r="W455" i="3"/>
  <c r="Y447" i="3"/>
  <c r="X447" i="3"/>
  <c r="W447" i="3"/>
  <c r="Y439" i="3"/>
  <c r="X439" i="3"/>
  <c r="W439" i="3"/>
  <c r="Y427" i="3"/>
  <c r="X427" i="3"/>
  <c r="W427" i="3"/>
  <c r="Y415" i="3"/>
  <c r="X415" i="3"/>
  <c r="W415" i="3"/>
  <c r="Y403" i="3"/>
  <c r="X403" i="3"/>
  <c r="W403" i="3"/>
  <c r="Y391" i="3"/>
  <c r="X391" i="3"/>
  <c r="W391" i="3"/>
  <c r="Y379" i="3"/>
  <c r="X379" i="3"/>
  <c r="W379" i="3"/>
  <c r="Y367" i="3"/>
  <c r="X367" i="3"/>
  <c r="W367" i="3"/>
  <c r="AD1010" i="3"/>
  <c r="AC1010" i="3"/>
  <c r="AB1010" i="3"/>
  <c r="AD1006" i="3"/>
  <c r="AC1006" i="3"/>
  <c r="AB1006" i="3"/>
  <c r="AD1002" i="3"/>
  <c r="AC1002" i="3"/>
  <c r="AB1002" i="3"/>
  <c r="AD998" i="3"/>
  <c r="AC998" i="3"/>
  <c r="AB998" i="3"/>
  <c r="AD994" i="3"/>
  <c r="AC994" i="3"/>
  <c r="AB994" i="3"/>
  <c r="AD990" i="3"/>
  <c r="AC990" i="3"/>
  <c r="AB990" i="3"/>
  <c r="AD986" i="3"/>
  <c r="AC986" i="3"/>
  <c r="AB986" i="3"/>
  <c r="AD982" i="3"/>
  <c r="AC982" i="3"/>
  <c r="AB982" i="3"/>
  <c r="AD978" i="3"/>
  <c r="AC978" i="3"/>
  <c r="AB978" i="3"/>
  <c r="AD974" i="3"/>
  <c r="AC974" i="3"/>
  <c r="AB974" i="3"/>
  <c r="AD970" i="3"/>
  <c r="AC970" i="3"/>
  <c r="AB970" i="3"/>
  <c r="AD966" i="3"/>
  <c r="AC966" i="3"/>
  <c r="AB966" i="3"/>
  <c r="AD962" i="3"/>
  <c r="AC962" i="3"/>
  <c r="AB962" i="3"/>
  <c r="AD958" i="3"/>
  <c r="AC958" i="3"/>
  <c r="AB958" i="3"/>
  <c r="AD954" i="3"/>
  <c r="AC954" i="3"/>
  <c r="AB954" i="3"/>
  <c r="AD950" i="3"/>
  <c r="AC950" i="3"/>
  <c r="AB950" i="3"/>
  <c r="AD946" i="3"/>
  <c r="AC946" i="3"/>
  <c r="AB946" i="3"/>
  <c r="AD942" i="3"/>
  <c r="AC942" i="3"/>
  <c r="AB942" i="3"/>
  <c r="AD938" i="3"/>
  <c r="AC938" i="3"/>
  <c r="AB938" i="3"/>
  <c r="AD934" i="3"/>
  <c r="AC934" i="3"/>
  <c r="AB934" i="3"/>
  <c r="AD930" i="3"/>
  <c r="AC930" i="3"/>
  <c r="AB930" i="3"/>
  <c r="AD926" i="3"/>
  <c r="AC926" i="3"/>
  <c r="AB926" i="3"/>
  <c r="AD922" i="3"/>
  <c r="AC922" i="3"/>
  <c r="AB922" i="3"/>
  <c r="AD918" i="3"/>
  <c r="AC918" i="3"/>
  <c r="AB918" i="3"/>
  <c r="AD914" i="3"/>
  <c r="AC914" i="3"/>
  <c r="AB914" i="3"/>
  <c r="AD910" i="3"/>
  <c r="AC910" i="3"/>
  <c r="AB910" i="3"/>
  <c r="AD906" i="3"/>
  <c r="AC906" i="3"/>
  <c r="AB906" i="3"/>
  <c r="AD902" i="3"/>
  <c r="AC902" i="3"/>
  <c r="AB902" i="3"/>
  <c r="AD898" i="3"/>
  <c r="AC898" i="3"/>
  <c r="AB898" i="3"/>
  <c r="AD894" i="3"/>
  <c r="AC894" i="3"/>
  <c r="AB894" i="3"/>
  <c r="AD890" i="3"/>
  <c r="AC890" i="3"/>
  <c r="AB890" i="3"/>
  <c r="AD886" i="3"/>
  <c r="AC886" i="3"/>
  <c r="AB886" i="3"/>
  <c r="AD882" i="3"/>
  <c r="AC882" i="3"/>
  <c r="AB882" i="3"/>
  <c r="AD878" i="3"/>
  <c r="AC878" i="3"/>
  <c r="AB878" i="3"/>
  <c r="AD874" i="3"/>
  <c r="AC874" i="3"/>
  <c r="AB874" i="3"/>
  <c r="AD870" i="3"/>
  <c r="AC870" i="3"/>
  <c r="AB870" i="3"/>
  <c r="AD866" i="3"/>
  <c r="AC866" i="3"/>
  <c r="AB866" i="3"/>
  <c r="AD862" i="3"/>
  <c r="AC862" i="3"/>
  <c r="AB862" i="3"/>
  <c r="AD858" i="3"/>
  <c r="AC858" i="3"/>
  <c r="AB858" i="3"/>
  <c r="AD854" i="3"/>
  <c r="AC854" i="3"/>
  <c r="AB854" i="3"/>
  <c r="AD850" i="3"/>
  <c r="AC850" i="3"/>
  <c r="AB850" i="3"/>
  <c r="AD846" i="3"/>
  <c r="AC846" i="3"/>
  <c r="AB846" i="3"/>
  <c r="AD842" i="3"/>
  <c r="AC842" i="3"/>
  <c r="AB842" i="3"/>
  <c r="AD838" i="3"/>
  <c r="AC838" i="3"/>
  <c r="AB838" i="3"/>
  <c r="AD834" i="3"/>
  <c r="AC834" i="3"/>
  <c r="AB834" i="3"/>
  <c r="AD830" i="3"/>
  <c r="AC830" i="3"/>
  <c r="AB830" i="3"/>
  <c r="AD826" i="3"/>
  <c r="AC826" i="3"/>
  <c r="AB826" i="3"/>
  <c r="AD822" i="3"/>
  <c r="AC822" i="3"/>
  <c r="AB822" i="3"/>
  <c r="AD818" i="3"/>
  <c r="AC818" i="3"/>
  <c r="AB818" i="3"/>
  <c r="AD814" i="3"/>
  <c r="AC814" i="3"/>
  <c r="AB814" i="3"/>
  <c r="AD810" i="3"/>
  <c r="AC810" i="3"/>
  <c r="AB810" i="3"/>
  <c r="AD806" i="3"/>
  <c r="AC806" i="3"/>
  <c r="AB806" i="3"/>
  <c r="AD802" i="3"/>
  <c r="AB802" i="3"/>
  <c r="AC802" i="3"/>
  <c r="AD798" i="3"/>
  <c r="AC798" i="3"/>
  <c r="AB798" i="3"/>
  <c r="AD794" i="3"/>
  <c r="AC794" i="3"/>
  <c r="AB794" i="3"/>
  <c r="AD790" i="3"/>
  <c r="AB790" i="3"/>
  <c r="AC790" i="3"/>
  <c r="AD786" i="3"/>
  <c r="AC786" i="3"/>
  <c r="AB786" i="3"/>
  <c r="AD782" i="3"/>
  <c r="AC782" i="3"/>
  <c r="AB782" i="3"/>
  <c r="AD778" i="3"/>
  <c r="AB778" i="3"/>
  <c r="AC778" i="3"/>
  <c r="AD774" i="3"/>
  <c r="AC774" i="3"/>
  <c r="AB774" i="3"/>
  <c r="AD770" i="3"/>
  <c r="AC770" i="3"/>
  <c r="AB770" i="3"/>
  <c r="AD766" i="3"/>
  <c r="AB766" i="3"/>
  <c r="AC766" i="3"/>
  <c r="AD762" i="3"/>
  <c r="AC762" i="3"/>
  <c r="AB762" i="3"/>
  <c r="AD758" i="3"/>
  <c r="AC758" i="3"/>
  <c r="AB758" i="3"/>
  <c r="AD754" i="3"/>
  <c r="AB754" i="3"/>
  <c r="AC754" i="3"/>
  <c r="AD750" i="3"/>
  <c r="AC750" i="3"/>
  <c r="AB750" i="3"/>
  <c r="AD746" i="3"/>
  <c r="AC746" i="3"/>
  <c r="AB746" i="3"/>
  <c r="AD742" i="3"/>
  <c r="AB742" i="3"/>
  <c r="AC742" i="3"/>
  <c r="AD738" i="3"/>
  <c r="AC738" i="3"/>
  <c r="AB738" i="3"/>
  <c r="AD734" i="3"/>
  <c r="AC734" i="3"/>
  <c r="AB734" i="3"/>
  <c r="AD730" i="3"/>
  <c r="AB730" i="3"/>
  <c r="AC730" i="3"/>
  <c r="AD726" i="3"/>
  <c r="AC726" i="3"/>
  <c r="AB726" i="3"/>
  <c r="AD722" i="3"/>
  <c r="AC722" i="3"/>
  <c r="AB722" i="3"/>
  <c r="AD718" i="3"/>
  <c r="AB718" i="3"/>
  <c r="AC718" i="3"/>
  <c r="AD714" i="3"/>
  <c r="AC714" i="3"/>
  <c r="AB714" i="3"/>
  <c r="AD710" i="3"/>
  <c r="AC710" i="3"/>
  <c r="AB710" i="3"/>
  <c r="AD706" i="3"/>
  <c r="AB706" i="3"/>
  <c r="AC706" i="3"/>
  <c r="AD702" i="3"/>
  <c r="AC702" i="3"/>
  <c r="AB702" i="3"/>
  <c r="AD698" i="3"/>
  <c r="AC698" i="3"/>
  <c r="AB698" i="3"/>
  <c r="AD694" i="3"/>
  <c r="AB694" i="3"/>
  <c r="AC694" i="3"/>
  <c r="AD690" i="3"/>
  <c r="AC690" i="3"/>
  <c r="AB690" i="3"/>
  <c r="AD686" i="3"/>
  <c r="AC686" i="3"/>
  <c r="AB686" i="3"/>
  <c r="AD682" i="3"/>
  <c r="AB682" i="3"/>
  <c r="AC682" i="3"/>
  <c r="AD678" i="3"/>
  <c r="AC678" i="3"/>
  <c r="AB678" i="3"/>
  <c r="AD674" i="3"/>
  <c r="AC674" i="3"/>
  <c r="AB674" i="3"/>
  <c r="AC670" i="3"/>
  <c r="AB670" i="3"/>
  <c r="AD670" i="3"/>
  <c r="AC666" i="3"/>
  <c r="AB666" i="3"/>
  <c r="AD666" i="3"/>
  <c r="AC662" i="3"/>
  <c r="AB662" i="3"/>
  <c r="AD662" i="3"/>
  <c r="AC658" i="3"/>
  <c r="AB658" i="3"/>
  <c r="AD658" i="3"/>
  <c r="AC654" i="3"/>
  <c r="AB654" i="3"/>
  <c r="AD654" i="3"/>
  <c r="AC650" i="3"/>
  <c r="AB650" i="3"/>
  <c r="AD650" i="3"/>
  <c r="AC646" i="3"/>
  <c r="AB646" i="3"/>
  <c r="AD646" i="3"/>
  <c r="AC642" i="3"/>
  <c r="AB642" i="3"/>
  <c r="AD642" i="3"/>
  <c r="AC638" i="3"/>
  <c r="AB638" i="3"/>
  <c r="AD638" i="3"/>
  <c r="AC634" i="3"/>
  <c r="AB634" i="3"/>
  <c r="AD634" i="3"/>
  <c r="AC630" i="3"/>
  <c r="AB630" i="3"/>
  <c r="AD630" i="3"/>
  <c r="AC626" i="3"/>
  <c r="AB626" i="3"/>
  <c r="AD626" i="3"/>
  <c r="AC622" i="3"/>
  <c r="AB622" i="3"/>
  <c r="AD622" i="3"/>
  <c r="AC618" i="3"/>
  <c r="AB618" i="3"/>
  <c r="AD618" i="3"/>
  <c r="AC614" i="3"/>
  <c r="AB614" i="3"/>
  <c r="AD614" i="3"/>
  <c r="AC610" i="3"/>
  <c r="AB610" i="3"/>
  <c r="AD610" i="3"/>
  <c r="AC606" i="3"/>
  <c r="AB606" i="3"/>
  <c r="AD606" i="3"/>
  <c r="AC602" i="3"/>
  <c r="AB602" i="3"/>
  <c r="AD602" i="3"/>
  <c r="AC598" i="3"/>
  <c r="AB598" i="3"/>
  <c r="AD598" i="3"/>
  <c r="AC594" i="3"/>
  <c r="AB594" i="3"/>
  <c r="AD594" i="3"/>
  <c r="AC590" i="3"/>
  <c r="AB590" i="3"/>
  <c r="AD590" i="3"/>
  <c r="AC586" i="3"/>
  <c r="AB586" i="3"/>
  <c r="AD586" i="3"/>
  <c r="AC582" i="3"/>
  <c r="AB582" i="3"/>
  <c r="AD582" i="3"/>
  <c r="AC578" i="3"/>
  <c r="AB578" i="3"/>
  <c r="AD578" i="3"/>
  <c r="AC574" i="3"/>
  <c r="AB574" i="3"/>
  <c r="AD574" i="3"/>
  <c r="AC570" i="3"/>
  <c r="AB570" i="3"/>
  <c r="AD570" i="3"/>
  <c r="AC566" i="3"/>
  <c r="AB566" i="3"/>
  <c r="AD566" i="3"/>
  <c r="AC562" i="3"/>
  <c r="AB562" i="3"/>
  <c r="AD562" i="3"/>
  <c r="AC558" i="3"/>
  <c r="AB558" i="3"/>
  <c r="AD558" i="3"/>
  <c r="AC554" i="3"/>
  <c r="AB554" i="3"/>
  <c r="AD554" i="3"/>
  <c r="AC550" i="3"/>
  <c r="AB550" i="3"/>
  <c r="AD550" i="3"/>
  <c r="AD546" i="3"/>
  <c r="AC546" i="3"/>
  <c r="AB546" i="3"/>
  <c r="AD542" i="3"/>
  <c r="AC542" i="3"/>
  <c r="AB542" i="3"/>
  <c r="AD538" i="3"/>
  <c r="AC538" i="3"/>
  <c r="AB538" i="3"/>
  <c r="AD534" i="3"/>
  <c r="AC534" i="3"/>
  <c r="AB534" i="3"/>
  <c r="AD530" i="3"/>
  <c r="AC530" i="3"/>
  <c r="AB530" i="3"/>
  <c r="AD526" i="3"/>
  <c r="AC526" i="3"/>
  <c r="AB526" i="3"/>
  <c r="AC522" i="3"/>
  <c r="AB522" i="3"/>
  <c r="AD522" i="3"/>
  <c r="AD518" i="3"/>
  <c r="AC518" i="3"/>
  <c r="AB518" i="3"/>
  <c r="AD514" i="3"/>
  <c r="AC514" i="3"/>
  <c r="AB514" i="3"/>
  <c r="AC510" i="3"/>
  <c r="AB510" i="3"/>
  <c r="AD510" i="3"/>
  <c r="AD506" i="3"/>
  <c r="AC506" i="3"/>
  <c r="AB506" i="3"/>
  <c r="AD502" i="3"/>
  <c r="AC502" i="3"/>
  <c r="AB502" i="3"/>
  <c r="AD498" i="3"/>
  <c r="AC498" i="3"/>
  <c r="AB498" i="3"/>
  <c r="AD494" i="3"/>
  <c r="AC494" i="3"/>
  <c r="AB494" i="3"/>
  <c r="AD490" i="3"/>
  <c r="AC490" i="3"/>
  <c r="AB490" i="3"/>
  <c r="X1007" i="3"/>
  <c r="Y1007" i="3"/>
  <c r="W1007" i="3"/>
  <c r="X995" i="3"/>
  <c r="Y995" i="3"/>
  <c r="W995" i="3"/>
  <c r="X979" i="3"/>
  <c r="Y979" i="3"/>
  <c r="W979" i="3"/>
  <c r="X963" i="3"/>
  <c r="Y963" i="3"/>
  <c r="W963" i="3"/>
  <c r="Y951" i="3"/>
  <c r="X951" i="3"/>
  <c r="W951" i="3"/>
  <c r="Y939" i="3"/>
  <c r="X939" i="3"/>
  <c r="W939" i="3"/>
  <c r="Y923" i="3"/>
  <c r="X923" i="3"/>
  <c r="W923" i="3"/>
  <c r="Y911" i="3"/>
  <c r="W911" i="3"/>
  <c r="X911" i="3"/>
  <c r="Y899" i="3"/>
  <c r="X899" i="3"/>
  <c r="W899" i="3"/>
  <c r="Y887" i="3"/>
  <c r="X887" i="3"/>
  <c r="W887" i="3"/>
  <c r="Y875" i="3"/>
  <c r="X875" i="3"/>
  <c r="W875" i="3"/>
  <c r="Y863" i="3"/>
  <c r="X863" i="3"/>
  <c r="W863" i="3"/>
  <c r="Y851" i="3"/>
  <c r="X851" i="3"/>
  <c r="W851" i="3"/>
  <c r="W839" i="3"/>
  <c r="Y839" i="3"/>
  <c r="X839" i="3"/>
  <c r="W823" i="3"/>
  <c r="Y823" i="3"/>
  <c r="X823" i="3"/>
  <c r="X815" i="3"/>
  <c r="W815" i="3"/>
  <c r="Y815" i="3"/>
  <c r="W807" i="3"/>
  <c r="Y807" i="3"/>
  <c r="X807" i="3"/>
  <c r="Y795" i="3"/>
  <c r="X795" i="3"/>
  <c r="W795" i="3"/>
  <c r="X783" i="3"/>
  <c r="W783" i="3"/>
  <c r="Y783" i="3"/>
  <c r="Y771" i="3"/>
  <c r="X771" i="3"/>
  <c r="W771" i="3"/>
  <c r="Y759" i="3"/>
  <c r="X759" i="3"/>
  <c r="W759" i="3"/>
  <c r="Y747" i="3"/>
  <c r="X747" i="3"/>
  <c r="W747" i="3"/>
  <c r="X735" i="3"/>
  <c r="W735" i="3"/>
  <c r="Y735" i="3"/>
  <c r="Y723" i="3"/>
  <c r="X723" i="3"/>
  <c r="W723" i="3"/>
  <c r="Y711" i="3"/>
  <c r="X711" i="3"/>
  <c r="W711" i="3"/>
  <c r="Y699" i="3"/>
  <c r="X699" i="3"/>
  <c r="W699" i="3"/>
  <c r="Y687" i="3"/>
  <c r="X687" i="3"/>
  <c r="W687" i="3"/>
  <c r="Y675" i="3"/>
  <c r="X675" i="3"/>
  <c r="W675" i="3"/>
  <c r="Y663" i="3"/>
  <c r="W663" i="3"/>
  <c r="X663" i="3"/>
  <c r="Y655" i="3"/>
  <c r="X655" i="3"/>
  <c r="W655" i="3"/>
  <c r="Y643" i="3"/>
  <c r="X643" i="3"/>
  <c r="W643" i="3"/>
  <c r="Y627" i="3"/>
  <c r="X627" i="3"/>
  <c r="W627" i="3"/>
  <c r="Y615" i="3"/>
  <c r="W615" i="3"/>
  <c r="X615" i="3"/>
  <c r="Y603" i="3"/>
  <c r="X603" i="3"/>
  <c r="W603" i="3"/>
  <c r="Y591" i="3"/>
  <c r="X591" i="3"/>
  <c r="W591" i="3"/>
  <c r="Y579" i="3"/>
  <c r="X579" i="3"/>
  <c r="W579" i="3"/>
  <c r="Y567" i="3"/>
  <c r="X567" i="3"/>
  <c r="W567" i="3"/>
  <c r="X555" i="3"/>
  <c r="W555" i="3"/>
  <c r="Y555" i="3"/>
  <c r="Y543" i="3"/>
  <c r="X543" i="3"/>
  <c r="W543" i="3"/>
  <c r="Y531" i="3"/>
  <c r="X531" i="3"/>
  <c r="W531" i="3"/>
  <c r="Y519" i="3"/>
  <c r="X519" i="3"/>
  <c r="W519" i="3"/>
  <c r="Y507" i="3"/>
  <c r="X507" i="3"/>
  <c r="W507" i="3"/>
  <c r="Y487" i="3"/>
  <c r="X487" i="3"/>
  <c r="W487" i="3"/>
  <c r="Y431" i="3"/>
  <c r="X431" i="3"/>
  <c r="W431" i="3"/>
  <c r="Y419" i="3"/>
  <c r="X419" i="3"/>
  <c r="W419" i="3"/>
  <c r="Y407" i="3"/>
  <c r="X407" i="3"/>
  <c r="W407" i="3"/>
  <c r="Y395" i="3"/>
  <c r="X395" i="3"/>
  <c r="W395" i="3"/>
  <c r="Y387" i="3"/>
  <c r="X387" i="3"/>
  <c r="W387" i="3"/>
  <c r="Y375" i="3"/>
  <c r="X375" i="3"/>
  <c r="W375" i="3"/>
  <c r="Y1010" i="3"/>
  <c r="X1010" i="3"/>
  <c r="W1010" i="3"/>
  <c r="W1006" i="3"/>
  <c r="Y1006" i="3"/>
  <c r="X1006" i="3"/>
  <c r="Y1002" i="3"/>
  <c r="X1002" i="3"/>
  <c r="W1002" i="3"/>
  <c r="Y998" i="3"/>
  <c r="X998" i="3"/>
  <c r="W998" i="3"/>
  <c r="Y994" i="3"/>
  <c r="X994" i="3"/>
  <c r="W994" i="3"/>
  <c r="Y990" i="3"/>
  <c r="X990" i="3"/>
  <c r="W990" i="3"/>
  <c r="Y986" i="3"/>
  <c r="X986" i="3"/>
  <c r="W986" i="3"/>
  <c r="Y982" i="3"/>
  <c r="X982" i="3"/>
  <c r="W982" i="3"/>
  <c r="X978" i="3"/>
  <c r="W978" i="3"/>
  <c r="Y978" i="3"/>
  <c r="Y974" i="3"/>
  <c r="X974" i="3"/>
  <c r="W974" i="3"/>
  <c r="Y970" i="3"/>
  <c r="X970" i="3"/>
  <c r="W970" i="3"/>
  <c r="W966" i="3"/>
  <c r="Y966" i="3"/>
  <c r="X966" i="3"/>
  <c r="Y962" i="3"/>
  <c r="X962" i="3"/>
  <c r="W962" i="3"/>
  <c r="Y958" i="3"/>
  <c r="X958" i="3"/>
  <c r="W958" i="3"/>
  <c r="Y954" i="3"/>
  <c r="X954" i="3"/>
  <c r="W954" i="3"/>
  <c r="Y950" i="3"/>
  <c r="X950" i="3"/>
  <c r="W950" i="3"/>
  <c r="Y946" i="3"/>
  <c r="X946" i="3"/>
  <c r="W946" i="3"/>
  <c r="Y942" i="3"/>
  <c r="W942" i="3"/>
  <c r="X942" i="3"/>
  <c r="Y938" i="3"/>
  <c r="X938" i="3"/>
  <c r="W938" i="3"/>
  <c r="Y934" i="3"/>
  <c r="X934" i="3"/>
  <c r="W934" i="3"/>
  <c r="Y930" i="3"/>
  <c r="X930" i="3"/>
  <c r="W930" i="3"/>
  <c r="Y926" i="3"/>
  <c r="X926" i="3"/>
  <c r="W926" i="3"/>
  <c r="Y922" i="3"/>
  <c r="X922" i="3"/>
  <c r="W922" i="3"/>
  <c r="X918" i="3"/>
  <c r="W918" i="3"/>
  <c r="Y918" i="3"/>
  <c r="Y914" i="3"/>
  <c r="X914" i="3"/>
  <c r="W914" i="3"/>
  <c r="Y910" i="3"/>
  <c r="X910" i="3"/>
  <c r="W910" i="3"/>
  <c r="Y906" i="3"/>
  <c r="X906" i="3"/>
  <c r="W906" i="3"/>
  <c r="Y902" i="3"/>
  <c r="X902" i="3"/>
  <c r="W902" i="3"/>
  <c r="W898" i="3"/>
  <c r="Y898" i="3"/>
  <c r="X898" i="3"/>
  <c r="Y894" i="3"/>
  <c r="X894" i="3"/>
  <c r="W894" i="3"/>
  <c r="Y890" i="3"/>
  <c r="X890" i="3"/>
  <c r="W890" i="3"/>
  <c r="Y886" i="3"/>
  <c r="X886" i="3"/>
  <c r="W886" i="3"/>
  <c r="Y882" i="3"/>
  <c r="X882" i="3"/>
  <c r="W882" i="3"/>
  <c r="Y878" i="3"/>
  <c r="X878" i="3"/>
  <c r="W878" i="3"/>
  <c r="Y874" i="3"/>
  <c r="X874" i="3"/>
  <c r="W874" i="3"/>
  <c r="Y870" i="3"/>
  <c r="X870" i="3"/>
  <c r="W870" i="3"/>
  <c r="W866" i="3"/>
  <c r="Y866" i="3"/>
  <c r="X866" i="3"/>
  <c r="Y862" i="3"/>
  <c r="X862" i="3"/>
  <c r="W862" i="3"/>
  <c r="Y858" i="3"/>
  <c r="X858" i="3"/>
  <c r="W858" i="3"/>
  <c r="Y854" i="3"/>
  <c r="X854" i="3"/>
  <c r="W854" i="3"/>
  <c r="W850" i="3"/>
  <c r="Y850" i="3"/>
  <c r="X850" i="3"/>
  <c r="Y846" i="3"/>
  <c r="X846" i="3"/>
  <c r="W846" i="3"/>
  <c r="X842" i="3"/>
  <c r="W842" i="3"/>
  <c r="Y842" i="3"/>
  <c r="Y838" i="3"/>
  <c r="X838" i="3"/>
  <c r="W838" i="3"/>
  <c r="W834" i="3"/>
  <c r="Y834" i="3"/>
  <c r="X834" i="3"/>
  <c r="Y830" i="3"/>
  <c r="X830" i="3"/>
  <c r="W830" i="3"/>
  <c r="X826" i="3"/>
  <c r="W826" i="3"/>
  <c r="Y826" i="3"/>
  <c r="Y822" i="3"/>
  <c r="X822" i="3"/>
  <c r="W822" i="3"/>
  <c r="W818" i="3"/>
  <c r="Y818" i="3"/>
  <c r="X818" i="3"/>
  <c r="Y814" i="3"/>
  <c r="X814" i="3"/>
  <c r="W814" i="3"/>
  <c r="X810" i="3"/>
  <c r="W810" i="3"/>
  <c r="Y810" i="3"/>
  <c r="Y806" i="3"/>
  <c r="X806" i="3"/>
  <c r="W806" i="3"/>
  <c r="W802" i="3"/>
  <c r="Y802" i="3"/>
  <c r="X802" i="3"/>
  <c r="Y798" i="3"/>
  <c r="W798" i="3"/>
  <c r="X798" i="3"/>
  <c r="X794" i="3"/>
  <c r="W794" i="3"/>
  <c r="Y794" i="3"/>
  <c r="Y790" i="3"/>
  <c r="X790" i="3"/>
  <c r="W790" i="3"/>
  <c r="W786" i="3"/>
  <c r="Y786" i="3"/>
  <c r="X786" i="3"/>
  <c r="Y782" i="3"/>
  <c r="X782" i="3"/>
  <c r="W782" i="3"/>
  <c r="X778" i="3"/>
  <c r="W778" i="3"/>
  <c r="Y778" i="3"/>
  <c r="Y774" i="3"/>
  <c r="X774" i="3"/>
  <c r="W774" i="3"/>
  <c r="W770" i="3"/>
  <c r="Y770" i="3"/>
  <c r="X770" i="3"/>
  <c r="Y766" i="3"/>
  <c r="X766" i="3"/>
  <c r="W766" i="3"/>
  <c r="X762" i="3"/>
  <c r="W762" i="3"/>
  <c r="Y762" i="3"/>
  <c r="Y758" i="3"/>
  <c r="X758" i="3"/>
  <c r="W758" i="3"/>
  <c r="Y754" i="3"/>
  <c r="X754" i="3"/>
  <c r="W754" i="3"/>
  <c r="Y750" i="3"/>
  <c r="X750" i="3"/>
  <c r="W750" i="3"/>
  <c r="X746" i="3"/>
  <c r="W746" i="3"/>
  <c r="Y746" i="3"/>
  <c r="W742" i="3"/>
  <c r="Y742" i="3"/>
  <c r="X742" i="3"/>
  <c r="Y738" i="3"/>
  <c r="X738" i="3"/>
  <c r="W738" i="3"/>
  <c r="X734" i="3"/>
  <c r="W734" i="3"/>
  <c r="Y734" i="3"/>
  <c r="X730" i="3"/>
  <c r="W730" i="3"/>
  <c r="Y730" i="3"/>
  <c r="Y726" i="3"/>
  <c r="X726" i="3"/>
  <c r="W726" i="3"/>
  <c r="Y722" i="3"/>
  <c r="X722" i="3"/>
  <c r="W722" i="3"/>
  <c r="Y718" i="3"/>
  <c r="X718" i="3"/>
  <c r="W718" i="3"/>
  <c r="X714" i="3"/>
  <c r="W714" i="3"/>
  <c r="Y714" i="3"/>
  <c r="Y710" i="3"/>
  <c r="X710" i="3"/>
  <c r="W710" i="3"/>
  <c r="X706" i="3"/>
  <c r="W706" i="3"/>
  <c r="Y706" i="3"/>
  <c r="X702" i="3"/>
  <c r="Y702" i="3"/>
  <c r="W702" i="3"/>
  <c r="X698" i="3"/>
  <c r="Y698" i="3"/>
  <c r="W698" i="3"/>
  <c r="X694" i="3"/>
  <c r="Y694" i="3"/>
  <c r="W694" i="3"/>
  <c r="X690" i="3"/>
  <c r="Y690" i="3"/>
  <c r="W690" i="3"/>
  <c r="X686" i="3"/>
  <c r="Y686" i="3"/>
  <c r="W686" i="3"/>
  <c r="X682" i="3"/>
  <c r="Y682" i="3"/>
  <c r="W682" i="3"/>
  <c r="X678" i="3"/>
  <c r="Y678" i="3"/>
  <c r="W678" i="3"/>
  <c r="X674" i="3"/>
  <c r="Y674" i="3"/>
  <c r="W674" i="3"/>
  <c r="X670" i="3"/>
  <c r="Y670" i="3"/>
  <c r="W670" i="3"/>
  <c r="X666" i="3"/>
  <c r="Y666" i="3"/>
  <c r="W666" i="3"/>
  <c r="X662" i="3"/>
  <c r="Y662" i="3"/>
  <c r="W662" i="3"/>
  <c r="X658" i="3"/>
  <c r="Y658" i="3"/>
  <c r="W658" i="3"/>
  <c r="X654" i="3"/>
  <c r="Y654" i="3"/>
  <c r="W654" i="3"/>
  <c r="X650" i="3"/>
  <c r="Y650" i="3"/>
  <c r="W650" i="3"/>
  <c r="X646" i="3"/>
  <c r="Y646" i="3"/>
  <c r="W646" i="3"/>
  <c r="X642" i="3"/>
  <c r="Y642" i="3"/>
  <c r="W642" i="3"/>
  <c r="X638" i="3"/>
  <c r="Y638" i="3"/>
  <c r="W638" i="3"/>
  <c r="X634" i="3"/>
  <c r="Y634" i="3"/>
  <c r="W634" i="3"/>
  <c r="X630" i="3"/>
  <c r="Y630" i="3"/>
  <c r="W630" i="3"/>
  <c r="X626" i="3"/>
  <c r="Y626" i="3"/>
  <c r="W626" i="3"/>
  <c r="X622" i="3"/>
  <c r="Y622" i="3"/>
  <c r="W622" i="3"/>
  <c r="X618" i="3"/>
  <c r="Y618" i="3"/>
  <c r="W618" i="3"/>
  <c r="X614" i="3"/>
  <c r="Y614" i="3"/>
  <c r="W614" i="3"/>
  <c r="X610" i="3"/>
  <c r="Y610" i="3"/>
  <c r="W610" i="3"/>
  <c r="X606" i="3"/>
  <c r="Y606" i="3"/>
  <c r="W606" i="3"/>
  <c r="X602" i="3"/>
  <c r="Y602" i="3"/>
  <c r="W602" i="3"/>
  <c r="X598" i="3"/>
  <c r="Y598" i="3"/>
  <c r="W598" i="3"/>
  <c r="X594" i="3"/>
  <c r="Y594" i="3"/>
  <c r="W594" i="3"/>
  <c r="X590" i="3"/>
  <c r="Y590" i="3"/>
  <c r="W590" i="3"/>
  <c r="X586" i="3"/>
  <c r="Y586" i="3"/>
  <c r="W586" i="3"/>
  <c r="X582" i="3"/>
  <c r="Y582" i="3"/>
  <c r="W582" i="3"/>
  <c r="X578" i="3"/>
  <c r="W578" i="3"/>
  <c r="Y578" i="3"/>
  <c r="X574" i="3"/>
  <c r="Y574" i="3"/>
  <c r="W574" i="3"/>
  <c r="X570" i="3"/>
  <c r="Y570" i="3"/>
  <c r="W570" i="3"/>
  <c r="Y566" i="3"/>
  <c r="X566" i="3"/>
  <c r="W566" i="3"/>
  <c r="Y562" i="3"/>
  <c r="X562" i="3"/>
  <c r="W562" i="3"/>
  <c r="Y558" i="3"/>
  <c r="X558" i="3"/>
  <c r="W558" i="3"/>
  <c r="Y554" i="3"/>
  <c r="X554" i="3"/>
  <c r="W554" i="3"/>
  <c r="Y550" i="3"/>
  <c r="X550" i="3"/>
  <c r="W550" i="3"/>
  <c r="Y546" i="3"/>
  <c r="X546" i="3"/>
  <c r="W546" i="3"/>
  <c r="X542" i="3"/>
  <c r="W542" i="3"/>
  <c r="Y542" i="3"/>
  <c r="W538" i="3"/>
  <c r="Y538" i="3"/>
  <c r="X538" i="3"/>
  <c r="W534" i="3"/>
  <c r="Y534" i="3"/>
  <c r="X534" i="3"/>
  <c r="W530" i="3"/>
  <c r="Y530" i="3"/>
  <c r="X530" i="3"/>
  <c r="W526" i="3"/>
  <c r="Y526" i="3"/>
  <c r="X526" i="3"/>
  <c r="W522" i="3"/>
  <c r="Y522" i="3"/>
  <c r="X522" i="3"/>
  <c r="W518" i="3"/>
  <c r="Y518" i="3"/>
  <c r="X518" i="3"/>
  <c r="W514" i="3"/>
  <c r="Y514" i="3"/>
  <c r="X514" i="3"/>
  <c r="W510" i="3"/>
  <c r="Y510" i="3"/>
  <c r="X510" i="3"/>
  <c r="W506" i="3"/>
  <c r="Y506" i="3"/>
  <c r="X506" i="3"/>
  <c r="W502" i="3"/>
  <c r="Y502" i="3"/>
  <c r="X502" i="3"/>
  <c r="W498" i="3"/>
  <c r="Y498" i="3"/>
  <c r="X498" i="3"/>
  <c r="W494" i="3"/>
  <c r="Y494" i="3"/>
  <c r="X494" i="3"/>
  <c r="W490" i="3"/>
  <c r="Y490" i="3"/>
  <c r="X490" i="3"/>
  <c r="W486" i="3"/>
  <c r="Y486" i="3"/>
  <c r="X486" i="3"/>
  <c r="W482" i="3"/>
  <c r="Y482" i="3"/>
  <c r="X482" i="3"/>
  <c r="W478" i="3"/>
  <c r="Y478" i="3"/>
  <c r="X478" i="3"/>
  <c r="W474" i="3"/>
  <c r="Y474" i="3"/>
  <c r="X474" i="3"/>
  <c r="W470" i="3"/>
  <c r="Y470" i="3"/>
  <c r="X470" i="3"/>
  <c r="W466" i="3"/>
  <c r="Y466" i="3"/>
  <c r="X466" i="3"/>
  <c r="X458" i="3"/>
  <c r="W390" i="3"/>
  <c r="Y342" i="3"/>
  <c r="Y338" i="3"/>
  <c r="Y334" i="3"/>
  <c r="Y330" i="3"/>
  <c r="Y326" i="3"/>
  <c r="Y322" i="3"/>
  <c r="Y318" i="3"/>
  <c r="Y294" i="3"/>
  <c r="Y290" i="3"/>
  <c r="Y286" i="3"/>
  <c r="Y282" i="3"/>
  <c r="Y278" i="3"/>
  <c r="Y274" i="3"/>
  <c r="Y270" i="3"/>
  <c r="AD785" i="3"/>
  <c r="AC785" i="3"/>
  <c r="AB785" i="3"/>
  <c r="AD481" i="3"/>
  <c r="AC481" i="3"/>
  <c r="AB481" i="3"/>
  <c r="AD477" i="3"/>
  <c r="AC477" i="3"/>
  <c r="AB477" i="3"/>
  <c r="AD1009" i="3"/>
  <c r="AC1009" i="3"/>
  <c r="AB1009" i="3"/>
  <c r="AD1005" i="3"/>
  <c r="AC1005" i="3"/>
  <c r="AB1005" i="3"/>
  <c r="AD1001" i="3"/>
  <c r="AC1001" i="3"/>
  <c r="AB1001" i="3"/>
  <c r="AD997" i="3"/>
  <c r="AC997" i="3"/>
  <c r="AB997" i="3"/>
  <c r="AD993" i="3"/>
  <c r="AC993" i="3"/>
  <c r="AB993" i="3"/>
  <c r="AD989" i="3"/>
  <c r="AC989" i="3"/>
  <c r="AB989" i="3"/>
  <c r="AD985" i="3"/>
  <c r="AC985" i="3"/>
  <c r="AB985" i="3"/>
  <c r="AD981" i="3"/>
  <c r="AC981" i="3"/>
  <c r="AB981" i="3"/>
  <c r="AD977" i="3"/>
  <c r="AC977" i="3"/>
  <c r="AB977" i="3"/>
  <c r="AD973" i="3"/>
  <c r="AC973" i="3"/>
  <c r="AB973" i="3"/>
  <c r="AD969" i="3"/>
  <c r="AC969" i="3"/>
  <c r="AB969" i="3"/>
  <c r="AD965" i="3"/>
  <c r="AC965" i="3"/>
  <c r="AB965" i="3"/>
  <c r="AD961" i="3"/>
  <c r="AC961" i="3"/>
  <c r="AB961" i="3"/>
  <c r="AD957" i="3"/>
  <c r="AC957" i="3"/>
  <c r="AB957" i="3"/>
  <c r="AD953" i="3"/>
  <c r="AC953" i="3"/>
  <c r="AB953" i="3"/>
  <c r="AD949" i="3"/>
  <c r="AC949" i="3"/>
  <c r="AB949" i="3"/>
  <c r="AD945" i="3"/>
  <c r="AC945" i="3"/>
  <c r="AB945" i="3"/>
  <c r="AD941" i="3"/>
  <c r="AC941" i="3"/>
  <c r="AB941" i="3"/>
  <c r="AD937" i="3"/>
  <c r="AC937" i="3"/>
  <c r="AB937" i="3"/>
  <c r="AD933" i="3"/>
  <c r="AC933" i="3"/>
  <c r="AB933" i="3"/>
  <c r="AD929" i="3"/>
  <c r="AC929" i="3"/>
  <c r="AB929" i="3"/>
  <c r="AD925" i="3"/>
  <c r="AC925" i="3"/>
  <c r="AB925" i="3"/>
  <c r="AD921" i="3"/>
  <c r="AC921" i="3"/>
  <c r="AB921" i="3"/>
  <c r="AD917" i="3"/>
  <c r="AC917" i="3"/>
  <c r="AB917" i="3"/>
  <c r="AD913" i="3"/>
  <c r="AC913" i="3"/>
  <c r="AB913" i="3"/>
  <c r="AD909" i="3"/>
  <c r="AC909" i="3"/>
  <c r="AB909" i="3"/>
  <c r="AD905" i="3"/>
  <c r="AC905" i="3"/>
  <c r="AB905" i="3"/>
  <c r="AD901" i="3"/>
  <c r="AC901" i="3"/>
  <c r="AB901" i="3"/>
  <c r="AD897" i="3"/>
  <c r="AC897" i="3"/>
  <c r="AB897" i="3"/>
  <c r="AD893" i="3"/>
  <c r="AC893" i="3"/>
  <c r="AB893" i="3"/>
  <c r="AD889" i="3"/>
  <c r="AC889" i="3"/>
  <c r="AB889" i="3"/>
  <c r="AD885" i="3"/>
  <c r="AC885" i="3"/>
  <c r="AB885" i="3"/>
  <c r="AD881" i="3"/>
  <c r="AC881" i="3"/>
  <c r="AB881" i="3"/>
  <c r="AD877" i="3"/>
  <c r="AC877" i="3"/>
  <c r="AB877" i="3"/>
  <c r="AD873" i="3"/>
  <c r="AC873" i="3"/>
  <c r="AB873" i="3"/>
  <c r="AD869" i="3"/>
  <c r="AC869" i="3"/>
  <c r="AB869" i="3"/>
  <c r="AD865" i="3"/>
  <c r="AC865" i="3"/>
  <c r="AB865" i="3"/>
  <c r="AD861" i="3"/>
  <c r="AC861" i="3"/>
  <c r="AB861" i="3"/>
  <c r="AD857" i="3"/>
  <c r="AC857" i="3"/>
  <c r="AB857" i="3"/>
  <c r="AD853" i="3"/>
  <c r="AC853" i="3"/>
  <c r="AB853" i="3"/>
  <c r="AD849" i="3"/>
  <c r="AC849" i="3"/>
  <c r="AB849" i="3"/>
  <c r="AD845" i="3"/>
  <c r="AC845" i="3"/>
  <c r="AB845" i="3"/>
  <c r="AD841" i="3"/>
  <c r="AC841" i="3"/>
  <c r="AB841" i="3"/>
  <c r="AD837" i="3"/>
  <c r="AC837" i="3"/>
  <c r="AB837" i="3"/>
  <c r="AD833" i="3"/>
  <c r="AC833" i="3"/>
  <c r="AB833" i="3"/>
  <c r="AD829" i="3"/>
  <c r="AC829" i="3"/>
  <c r="AB829" i="3"/>
  <c r="AD825" i="3"/>
  <c r="AC825" i="3"/>
  <c r="AB825" i="3"/>
  <c r="AD821" i="3"/>
  <c r="AC821" i="3"/>
  <c r="AB821" i="3"/>
  <c r="AD817" i="3"/>
  <c r="AC817" i="3"/>
  <c r="AB817" i="3"/>
  <c r="AD813" i="3"/>
  <c r="AC813" i="3"/>
  <c r="AB813" i="3"/>
  <c r="AD809" i="3"/>
  <c r="AC809" i="3"/>
  <c r="AB809" i="3"/>
  <c r="AD805" i="3"/>
  <c r="AC805" i="3"/>
  <c r="AB805" i="3"/>
  <c r="AD801" i="3"/>
  <c r="AC801" i="3"/>
  <c r="AB801" i="3"/>
  <c r="AD797" i="3"/>
  <c r="AC797" i="3"/>
  <c r="AB797" i="3"/>
  <c r="AD793" i="3"/>
  <c r="AC793" i="3"/>
  <c r="AB793" i="3"/>
  <c r="AD789" i="3"/>
  <c r="AC789" i="3"/>
  <c r="AB789" i="3"/>
  <c r="AD781" i="3"/>
  <c r="AC781" i="3"/>
  <c r="AB781" i="3"/>
  <c r="AD777" i="3"/>
  <c r="AC777" i="3"/>
  <c r="AB777" i="3"/>
  <c r="AD773" i="3"/>
  <c r="AC773" i="3"/>
  <c r="AB773" i="3"/>
  <c r="AD769" i="3"/>
  <c r="AC769" i="3"/>
  <c r="AB769" i="3"/>
  <c r="AD765" i="3"/>
  <c r="AC765" i="3"/>
  <c r="AB765" i="3"/>
  <c r="AD761" i="3"/>
  <c r="AC761" i="3"/>
  <c r="AB761" i="3"/>
  <c r="AD757" i="3"/>
  <c r="AC757" i="3"/>
  <c r="AB757" i="3"/>
  <c r="AD753" i="3"/>
  <c r="AC753" i="3"/>
  <c r="AB753" i="3"/>
  <c r="AD749" i="3"/>
  <c r="AC749" i="3"/>
  <c r="AB749" i="3"/>
  <c r="AD745" i="3"/>
  <c r="AC745" i="3"/>
  <c r="AB745" i="3"/>
  <c r="AD741" i="3"/>
  <c r="AC741" i="3"/>
  <c r="AB741" i="3"/>
  <c r="AD737" i="3"/>
  <c r="AC737" i="3"/>
  <c r="AB737" i="3"/>
  <c r="AD733" i="3"/>
  <c r="AC733" i="3"/>
  <c r="AB733" i="3"/>
  <c r="AD729" i="3"/>
  <c r="AC729" i="3"/>
  <c r="AB729" i="3"/>
  <c r="AD725" i="3"/>
  <c r="AC725" i="3"/>
  <c r="AB725" i="3"/>
  <c r="AD721" i="3"/>
  <c r="AC721" i="3"/>
  <c r="AB721" i="3"/>
  <c r="AD717" i="3"/>
  <c r="AC717" i="3"/>
  <c r="AB717" i="3"/>
  <c r="AD713" i="3"/>
  <c r="AC713" i="3"/>
  <c r="AB713" i="3"/>
  <c r="AD709" i="3"/>
  <c r="AC709" i="3"/>
  <c r="AB709" i="3"/>
  <c r="AD705" i="3"/>
  <c r="AC705" i="3"/>
  <c r="AB705" i="3"/>
  <c r="AD701" i="3"/>
  <c r="AC701" i="3"/>
  <c r="AB701" i="3"/>
  <c r="AD697" i="3"/>
  <c r="AC697" i="3"/>
  <c r="AB697" i="3"/>
  <c r="AD693" i="3"/>
  <c r="AC693" i="3"/>
  <c r="AB693" i="3"/>
  <c r="AD689" i="3"/>
  <c r="AC689" i="3"/>
  <c r="AB689" i="3"/>
  <c r="AD685" i="3"/>
  <c r="AC685" i="3"/>
  <c r="AB685" i="3"/>
  <c r="AD681" i="3"/>
  <c r="AC681" i="3"/>
  <c r="AB681" i="3"/>
  <c r="AD677" i="3"/>
  <c r="AC677" i="3"/>
  <c r="AB677" i="3"/>
  <c r="AD673" i="3"/>
  <c r="AC673" i="3"/>
  <c r="AB673" i="3"/>
  <c r="AD669" i="3"/>
  <c r="AC669" i="3"/>
  <c r="AB669" i="3"/>
  <c r="AD665" i="3"/>
  <c r="AC665" i="3"/>
  <c r="AB665" i="3"/>
  <c r="AD661" i="3"/>
  <c r="AC661" i="3"/>
  <c r="AB661" i="3"/>
  <c r="AD657" i="3"/>
  <c r="AC657" i="3"/>
  <c r="AB657" i="3"/>
  <c r="AD653" i="3"/>
  <c r="AC653" i="3"/>
  <c r="AB653" i="3"/>
  <c r="AD649" i="3"/>
  <c r="AC649" i="3"/>
  <c r="AB649" i="3"/>
  <c r="AD645" i="3"/>
  <c r="AC645" i="3"/>
  <c r="AB645" i="3"/>
  <c r="AD641" i="3"/>
  <c r="AC641" i="3"/>
  <c r="AB641" i="3"/>
  <c r="AD637" i="3"/>
  <c r="AC637" i="3"/>
  <c r="AB637" i="3"/>
  <c r="AD633" i="3"/>
  <c r="AC633" i="3"/>
  <c r="AB633" i="3"/>
  <c r="AD629" i="3"/>
  <c r="AC629" i="3"/>
  <c r="AB629" i="3"/>
  <c r="AD625" i="3"/>
  <c r="AC625" i="3"/>
  <c r="AB625" i="3"/>
  <c r="AD621" i="3"/>
  <c r="AC621" i="3"/>
  <c r="AB621" i="3"/>
  <c r="AD617" i="3"/>
  <c r="AC617" i="3"/>
  <c r="AB617" i="3"/>
  <c r="AD613" i="3"/>
  <c r="AC613" i="3"/>
  <c r="AB613" i="3"/>
  <c r="AD609" i="3"/>
  <c r="AC609" i="3"/>
  <c r="AB609" i="3"/>
  <c r="AD605" i="3"/>
  <c r="AC605" i="3"/>
  <c r="AB605" i="3"/>
  <c r="AD601" i="3"/>
  <c r="AC601" i="3"/>
  <c r="AB601" i="3"/>
  <c r="AD597" i="3"/>
  <c r="AC597" i="3"/>
  <c r="AB597" i="3"/>
  <c r="AD593" i="3"/>
  <c r="AC593" i="3"/>
  <c r="AB593" i="3"/>
  <c r="AD589" i="3"/>
  <c r="AC589" i="3"/>
  <c r="AB589" i="3"/>
  <c r="AD585" i="3"/>
  <c r="AC585" i="3"/>
  <c r="AB585" i="3"/>
  <c r="AD581" i="3"/>
  <c r="AC581" i="3"/>
  <c r="AB581" i="3"/>
  <c r="AD577" i="3"/>
  <c r="AC577" i="3"/>
  <c r="AB577" i="3"/>
  <c r="AD573" i="3"/>
  <c r="AC573" i="3"/>
  <c r="AB573" i="3"/>
  <c r="AD569" i="3"/>
  <c r="AC569" i="3"/>
  <c r="AB569" i="3"/>
  <c r="AD565" i="3"/>
  <c r="AC565" i="3"/>
  <c r="AB565" i="3"/>
  <c r="AD561" i="3"/>
  <c r="AC561" i="3"/>
  <c r="AB561" i="3"/>
  <c r="AD557" i="3"/>
  <c r="AC557" i="3"/>
  <c r="AB557" i="3"/>
  <c r="AD553" i="3"/>
  <c r="AC553" i="3"/>
  <c r="AB553" i="3"/>
  <c r="AD549" i="3"/>
  <c r="AC549" i="3"/>
  <c r="AB549" i="3"/>
  <c r="AD545" i="3"/>
  <c r="AC545" i="3"/>
  <c r="AB545" i="3"/>
  <c r="AD541" i="3"/>
  <c r="AC541" i="3"/>
  <c r="AB541" i="3"/>
  <c r="AD537" i="3"/>
  <c r="AC537" i="3"/>
  <c r="AB537" i="3"/>
  <c r="AD533" i="3"/>
  <c r="AC533" i="3"/>
  <c r="AB533" i="3"/>
  <c r="AB529" i="3"/>
  <c r="AD529" i="3"/>
  <c r="AC529" i="3"/>
  <c r="AD525" i="3"/>
  <c r="AC525" i="3"/>
  <c r="AB525" i="3"/>
  <c r="AD521" i="3"/>
  <c r="AC521" i="3"/>
  <c r="AB521" i="3"/>
  <c r="AB517" i="3"/>
  <c r="AD517" i="3"/>
  <c r="AC517" i="3"/>
  <c r="AD513" i="3"/>
  <c r="AC513" i="3"/>
  <c r="AB513" i="3"/>
  <c r="AD509" i="3"/>
  <c r="AC509" i="3"/>
  <c r="AB509" i="3"/>
  <c r="AB505" i="3"/>
  <c r="AD505" i="3"/>
  <c r="AC505" i="3"/>
  <c r="AD501" i="3"/>
  <c r="AC501" i="3"/>
  <c r="AB501" i="3"/>
  <c r="AD497" i="3"/>
  <c r="AC497" i="3"/>
  <c r="AB497" i="3"/>
  <c r="AD493" i="3"/>
  <c r="AC493" i="3"/>
  <c r="AB493" i="3"/>
  <c r="AD489" i="3"/>
  <c r="AC489" i="3"/>
  <c r="AB489" i="3"/>
  <c r="AD485" i="3"/>
  <c r="AC485" i="3"/>
  <c r="AB485" i="3"/>
  <c r="Y1009" i="3"/>
  <c r="W1009" i="3"/>
  <c r="X1009" i="3"/>
  <c r="Y1005" i="3"/>
  <c r="W1005" i="3"/>
  <c r="X1005" i="3"/>
  <c r="Y1001" i="3"/>
  <c r="W1001" i="3"/>
  <c r="X1001" i="3"/>
  <c r="Y997" i="3"/>
  <c r="W997" i="3"/>
  <c r="X997" i="3"/>
  <c r="Y993" i="3"/>
  <c r="W993" i="3"/>
  <c r="X993" i="3"/>
  <c r="Y989" i="3"/>
  <c r="W989" i="3"/>
  <c r="X989" i="3"/>
  <c r="Y985" i="3"/>
  <c r="W985" i="3"/>
  <c r="X985" i="3"/>
  <c r="Y981" i="3"/>
  <c r="W981" i="3"/>
  <c r="X981" i="3"/>
  <c r="Y977" i="3"/>
  <c r="W977" i="3"/>
  <c r="X977" i="3"/>
  <c r="Y973" i="3"/>
  <c r="W973" i="3"/>
  <c r="X973" i="3"/>
  <c r="Y969" i="3"/>
  <c r="W969" i="3"/>
  <c r="X969" i="3"/>
  <c r="Y965" i="3"/>
  <c r="W965" i="3"/>
  <c r="X965" i="3"/>
  <c r="Y961" i="3"/>
  <c r="W961" i="3"/>
  <c r="X961" i="3"/>
  <c r="Y957" i="3"/>
  <c r="X957" i="3"/>
  <c r="W957" i="3"/>
  <c r="Y953" i="3"/>
  <c r="X953" i="3"/>
  <c r="W953" i="3"/>
  <c r="Y949" i="3"/>
  <c r="X949" i="3"/>
  <c r="W949" i="3"/>
  <c r="Y945" i="3"/>
  <c r="X945" i="3"/>
  <c r="W945" i="3"/>
  <c r="Y941" i="3"/>
  <c r="X941" i="3"/>
  <c r="W941" i="3"/>
  <c r="Y937" i="3"/>
  <c r="X937" i="3"/>
  <c r="W937" i="3"/>
  <c r="Y933" i="3"/>
  <c r="X933" i="3"/>
  <c r="W933" i="3"/>
  <c r="Y929" i="3"/>
  <c r="X929" i="3"/>
  <c r="W929" i="3"/>
  <c r="Y925" i="3"/>
  <c r="X925" i="3"/>
  <c r="W925" i="3"/>
  <c r="Y921" i="3"/>
  <c r="X921" i="3"/>
  <c r="W921" i="3"/>
  <c r="Y917" i="3"/>
  <c r="X917" i="3"/>
  <c r="W917" i="3"/>
  <c r="Y913" i="3"/>
  <c r="X913" i="3"/>
  <c r="W913" i="3"/>
  <c r="Y909" i="3"/>
  <c r="X909" i="3"/>
  <c r="W909" i="3"/>
  <c r="Y905" i="3"/>
  <c r="X905" i="3"/>
  <c r="W905" i="3"/>
  <c r="Y901" i="3"/>
  <c r="X901" i="3"/>
  <c r="W901" i="3"/>
  <c r="Y897" i="3"/>
  <c r="X897" i="3"/>
  <c r="W897" i="3"/>
  <c r="Y893" i="3"/>
  <c r="X893" i="3"/>
  <c r="W893" i="3"/>
  <c r="Y889" i="3"/>
  <c r="X889" i="3"/>
  <c r="W889" i="3"/>
  <c r="Y885" i="3"/>
  <c r="X885" i="3"/>
  <c r="W885" i="3"/>
  <c r="Y881" i="3"/>
  <c r="X881" i="3"/>
  <c r="W881" i="3"/>
  <c r="Y877" i="3"/>
  <c r="X877" i="3"/>
  <c r="W877" i="3"/>
  <c r="Y873" i="3"/>
  <c r="X873" i="3"/>
  <c r="W873" i="3"/>
  <c r="Y869" i="3"/>
  <c r="X869" i="3"/>
  <c r="W869" i="3"/>
  <c r="Y865" i="3"/>
  <c r="X865" i="3"/>
  <c r="W865" i="3"/>
  <c r="Y861" i="3"/>
  <c r="X861" i="3"/>
  <c r="W861" i="3"/>
  <c r="Y857" i="3"/>
  <c r="X857" i="3"/>
  <c r="W857" i="3"/>
  <c r="Y853" i="3"/>
  <c r="X853" i="3"/>
  <c r="W853" i="3"/>
  <c r="Y849" i="3"/>
  <c r="X849" i="3"/>
  <c r="W849" i="3"/>
  <c r="Y845" i="3"/>
  <c r="X845" i="3"/>
  <c r="W845" i="3"/>
  <c r="Y841" i="3"/>
  <c r="X841" i="3"/>
  <c r="W841" i="3"/>
  <c r="Y837" i="3"/>
  <c r="X837" i="3"/>
  <c r="W837" i="3"/>
  <c r="Y833" i="3"/>
  <c r="X833" i="3"/>
  <c r="W833" i="3"/>
  <c r="Y829" i="3"/>
  <c r="X829" i="3"/>
  <c r="W829" i="3"/>
  <c r="Y825" i="3"/>
  <c r="X825" i="3"/>
  <c r="W825" i="3"/>
  <c r="Y821" i="3"/>
  <c r="X821" i="3"/>
  <c r="W821" i="3"/>
  <c r="Y817" i="3"/>
  <c r="X817" i="3"/>
  <c r="W817" i="3"/>
  <c r="Y813" i="3"/>
  <c r="X813" i="3"/>
  <c r="W813" i="3"/>
  <c r="Y809" i="3"/>
  <c r="X809" i="3"/>
  <c r="W809" i="3"/>
  <c r="Y805" i="3"/>
  <c r="X805" i="3"/>
  <c r="W805" i="3"/>
  <c r="Y801" i="3"/>
  <c r="X801" i="3"/>
  <c r="W801" i="3"/>
  <c r="Y797" i="3"/>
  <c r="X797" i="3"/>
  <c r="W797" i="3"/>
  <c r="Y793" i="3"/>
  <c r="X793" i="3"/>
  <c r="W793" i="3"/>
  <c r="Y789" i="3"/>
  <c r="X789" i="3"/>
  <c r="W789" i="3"/>
  <c r="Y785" i="3"/>
  <c r="X785" i="3"/>
  <c r="W785" i="3"/>
  <c r="Y781" i="3"/>
  <c r="X781" i="3"/>
  <c r="W781" i="3"/>
  <c r="Y777" i="3"/>
  <c r="X777" i="3"/>
  <c r="W777" i="3"/>
  <c r="Y773" i="3"/>
  <c r="X773" i="3"/>
  <c r="W773" i="3"/>
  <c r="Y769" i="3"/>
  <c r="X769" i="3"/>
  <c r="W769" i="3"/>
  <c r="Y765" i="3"/>
  <c r="X765" i="3"/>
  <c r="W765" i="3"/>
  <c r="Y761" i="3"/>
  <c r="X761" i="3"/>
  <c r="W761" i="3"/>
  <c r="Y757" i="3"/>
  <c r="X757" i="3"/>
  <c r="W757" i="3"/>
  <c r="Y753" i="3"/>
  <c r="X753" i="3"/>
  <c r="W753" i="3"/>
  <c r="Y749" i="3"/>
  <c r="X749" i="3"/>
  <c r="W749" i="3"/>
  <c r="Y745" i="3"/>
  <c r="X745" i="3"/>
  <c r="W745" i="3"/>
  <c r="Y741" i="3"/>
  <c r="X741" i="3"/>
  <c r="W741" i="3"/>
  <c r="Y737" i="3"/>
  <c r="X737" i="3"/>
  <c r="W737" i="3"/>
  <c r="Y733" i="3"/>
  <c r="X733" i="3"/>
  <c r="W733" i="3"/>
  <c r="Y729" i="3"/>
  <c r="X729" i="3"/>
  <c r="W729" i="3"/>
  <c r="Y725" i="3"/>
  <c r="X725" i="3"/>
  <c r="W725" i="3"/>
  <c r="Y721" i="3"/>
  <c r="X721" i="3"/>
  <c r="W721" i="3"/>
  <c r="Y717" i="3"/>
  <c r="X717" i="3"/>
  <c r="W717" i="3"/>
  <c r="Y713" i="3"/>
  <c r="X713" i="3"/>
  <c r="W713" i="3"/>
  <c r="X709" i="3"/>
  <c r="W709" i="3"/>
  <c r="Y709" i="3"/>
  <c r="X705" i="3"/>
  <c r="Y705" i="3"/>
  <c r="W705" i="3"/>
  <c r="Y701" i="3"/>
  <c r="X701" i="3"/>
  <c r="W701" i="3"/>
  <c r="Y697" i="3"/>
  <c r="X697" i="3"/>
  <c r="W697" i="3"/>
  <c r="Y693" i="3"/>
  <c r="X693" i="3"/>
  <c r="W693" i="3"/>
  <c r="Y689" i="3"/>
  <c r="X689" i="3"/>
  <c r="W689" i="3"/>
  <c r="Y685" i="3"/>
  <c r="X685" i="3"/>
  <c r="W685" i="3"/>
  <c r="Y681" i="3"/>
  <c r="X681" i="3"/>
  <c r="W681" i="3"/>
  <c r="Y677" i="3"/>
  <c r="X677" i="3"/>
  <c r="W677" i="3"/>
  <c r="Y673" i="3"/>
  <c r="X673" i="3"/>
  <c r="W673" i="3"/>
  <c r="Y669" i="3"/>
  <c r="X669" i="3"/>
  <c r="W669" i="3"/>
  <c r="Y665" i="3"/>
  <c r="X665" i="3"/>
  <c r="W665" i="3"/>
  <c r="Y661" i="3"/>
  <c r="X661" i="3"/>
  <c r="W661" i="3"/>
  <c r="Y657" i="3"/>
  <c r="X657" i="3"/>
  <c r="W657" i="3"/>
  <c r="Y653" i="3"/>
  <c r="X653" i="3"/>
  <c r="W653" i="3"/>
  <c r="Y649" i="3"/>
  <c r="X649" i="3"/>
  <c r="W649" i="3"/>
  <c r="Y645" i="3"/>
  <c r="X645" i="3"/>
  <c r="W645" i="3"/>
  <c r="Y641" i="3"/>
  <c r="X641" i="3"/>
  <c r="W641" i="3"/>
  <c r="Y637" i="3"/>
  <c r="X637" i="3"/>
  <c r="W637" i="3"/>
  <c r="Y633" i="3"/>
  <c r="X633" i="3"/>
  <c r="W633" i="3"/>
  <c r="Y629" i="3"/>
  <c r="X629" i="3"/>
  <c r="W629" i="3"/>
  <c r="Y625" i="3"/>
  <c r="X625" i="3"/>
  <c r="W625" i="3"/>
  <c r="Y621" i="3"/>
  <c r="X621" i="3"/>
  <c r="W621" i="3"/>
  <c r="Y617" i="3"/>
  <c r="X617" i="3"/>
  <c r="W617" i="3"/>
  <c r="Y613" i="3"/>
  <c r="X613" i="3"/>
  <c r="W613" i="3"/>
  <c r="Y609" i="3"/>
  <c r="X609" i="3"/>
  <c r="W609" i="3"/>
  <c r="Y605" i="3"/>
  <c r="X605" i="3"/>
  <c r="W605" i="3"/>
  <c r="Y601" i="3"/>
  <c r="X601" i="3"/>
  <c r="W601" i="3"/>
  <c r="Y597" i="3"/>
  <c r="X597" i="3"/>
  <c r="W597" i="3"/>
  <c r="Y593" i="3"/>
  <c r="X593" i="3"/>
  <c r="W593" i="3"/>
  <c r="Y589" i="3"/>
  <c r="X589" i="3"/>
  <c r="W589" i="3"/>
  <c r="Y585" i="3"/>
  <c r="X585" i="3"/>
  <c r="W585" i="3"/>
  <c r="Y581" i="3"/>
  <c r="X581" i="3"/>
  <c r="W581" i="3"/>
  <c r="Y577" i="3"/>
  <c r="X577" i="3"/>
  <c r="W577" i="3"/>
  <c r="X573" i="3"/>
  <c r="W573" i="3"/>
  <c r="Y573" i="3"/>
  <c r="Y569" i="3"/>
  <c r="X569" i="3"/>
  <c r="W569" i="3"/>
  <c r="Y565" i="3"/>
  <c r="X565" i="3"/>
  <c r="W565" i="3"/>
  <c r="Y561" i="3"/>
  <c r="X561" i="3"/>
  <c r="W561" i="3"/>
  <c r="Y557" i="3"/>
  <c r="X557" i="3"/>
  <c r="W557" i="3"/>
  <c r="Y553" i="3"/>
  <c r="X553" i="3"/>
  <c r="W553" i="3"/>
  <c r="Y549" i="3"/>
  <c r="X549" i="3"/>
  <c r="W549" i="3"/>
  <c r="Y545" i="3"/>
  <c r="X545" i="3"/>
  <c r="W545" i="3"/>
  <c r="Y541" i="3"/>
  <c r="X541" i="3"/>
  <c r="W541" i="3"/>
  <c r="Y537" i="3"/>
  <c r="X537" i="3"/>
  <c r="W537" i="3"/>
  <c r="Y533" i="3"/>
  <c r="X533" i="3"/>
  <c r="W533" i="3"/>
  <c r="Y529" i="3"/>
  <c r="X529" i="3"/>
  <c r="W529" i="3"/>
  <c r="Y525" i="3"/>
  <c r="X525" i="3"/>
  <c r="W525" i="3"/>
  <c r="Y521" i="3"/>
  <c r="X521" i="3"/>
  <c r="W521" i="3"/>
  <c r="Y517" i="3"/>
  <c r="X517" i="3"/>
  <c r="W517" i="3"/>
  <c r="W513" i="3"/>
  <c r="Y513" i="3"/>
  <c r="X513" i="3"/>
  <c r="W509" i="3"/>
  <c r="Y509" i="3"/>
  <c r="X509" i="3"/>
  <c r="W505" i="3"/>
  <c r="Y505" i="3"/>
  <c r="X505" i="3"/>
  <c r="Y501" i="3"/>
  <c r="X501" i="3"/>
  <c r="W501" i="3"/>
  <c r="Y497" i="3"/>
  <c r="X497" i="3"/>
  <c r="W497" i="3"/>
  <c r="Y493" i="3"/>
  <c r="X493" i="3"/>
  <c r="W493" i="3"/>
  <c r="Y489" i="3"/>
  <c r="X489" i="3"/>
  <c r="W489" i="3"/>
  <c r="X485" i="3"/>
  <c r="W485" i="3"/>
  <c r="Y485" i="3"/>
  <c r="Y481" i="3"/>
  <c r="X481" i="3"/>
  <c r="W481" i="3"/>
  <c r="Y477" i="3"/>
  <c r="X477" i="3"/>
  <c r="W477" i="3"/>
  <c r="Y473" i="3"/>
  <c r="X473" i="3"/>
  <c r="W473" i="3"/>
  <c r="X465" i="3"/>
  <c r="W445" i="3"/>
  <c r="Y437" i="3"/>
  <c r="Y409" i="3"/>
  <c r="X385" i="3"/>
  <c r="AC864" i="3"/>
  <c r="AD864" i="3"/>
  <c r="AB864" i="3"/>
  <c r="AD860" i="3"/>
  <c r="AC860" i="3"/>
  <c r="AB860" i="3"/>
  <c r="AC856" i="3"/>
  <c r="AD856" i="3"/>
  <c r="AB856" i="3"/>
  <c r="AD852" i="3"/>
  <c r="AC852" i="3"/>
  <c r="AB852" i="3"/>
  <c r="AC848" i="3"/>
  <c r="AD848" i="3"/>
  <c r="AB848" i="3"/>
  <c r="AD844" i="3"/>
  <c r="AC844" i="3"/>
  <c r="AB844" i="3"/>
  <c r="AC840" i="3"/>
  <c r="AD840" i="3"/>
  <c r="AB840" i="3"/>
  <c r="AD836" i="3"/>
  <c r="AC836" i="3"/>
  <c r="AB836" i="3"/>
  <c r="AC832" i="3"/>
  <c r="AD832" i="3"/>
  <c r="AB832" i="3"/>
  <c r="AD828" i="3"/>
  <c r="AC828" i="3"/>
  <c r="AB828" i="3"/>
  <c r="AC824" i="3"/>
  <c r="AD824" i="3"/>
  <c r="AB824" i="3"/>
  <c r="AD820" i="3"/>
  <c r="AC820" i="3"/>
  <c r="AB820" i="3"/>
  <c r="AC816" i="3"/>
  <c r="AD816" i="3"/>
  <c r="AB816" i="3"/>
  <c r="AD812" i="3"/>
  <c r="AC812" i="3"/>
  <c r="AB812" i="3"/>
  <c r="AC808" i="3"/>
  <c r="AD808" i="3"/>
  <c r="AB808" i="3"/>
  <c r="AD804" i="3"/>
  <c r="AC804" i="3"/>
  <c r="AB804" i="3"/>
  <c r="AD800" i="3"/>
  <c r="AC800" i="3"/>
  <c r="AB800" i="3"/>
  <c r="AD796" i="3"/>
  <c r="AB796" i="3"/>
  <c r="AC796" i="3"/>
  <c r="AD792" i="3"/>
  <c r="AC792" i="3"/>
  <c r="AB792" i="3"/>
  <c r="AD788" i="3"/>
  <c r="AC788" i="3"/>
  <c r="AB788" i="3"/>
  <c r="AD784" i="3"/>
  <c r="AB784" i="3"/>
  <c r="AC784" i="3"/>
  <c r="AD780" i="3"/>
  <c r="AC780" i="3"/>
  <c r="AB780" i="3"/>
  <c r="AD776" i="3"/>
  <c r="AC776" i="3"/>
  <c r="AB776" i="3"/>
  <c r="AD772" i="3"/>
  <c r="AB772" i="3"/>
  <c r="AC772" i="3"/>
  <c r="AD768" i="3"/>
  <c r="AC768" i="3"/>
  <c r="AB768" i="3"/>
  <c r="AD764" i="3"/>
  <c r="AC764" i="3"/>
  <c r="AB764" i="3"/>
  <c r="AD760" i="3"/>
  <c r="AB760" i="3"/>
  <c r="AC760" i="3"/>
  <c r="AD756" i="3"/>
  <c r="AC756" i="3"/>
  <c r="AB756" i="3"/>
  <c r="AD752" i="3"/>
  <c r="AC752" i="3"/>
  <c r="AB752" i="3"/>
  <c r="AD748" i="3"/>
  <c r="AB748" i="3"/>
  <c r="AC748" i="3"/>
  <c r="AD744" i="3"/>
  <c r="AC744" i="3"/>
  <c r="AB744" i="3"/>
  <c r="AD740" i="3"/>
  <c r="AC740" i="3"/>
  <c r="AB740" i="3"/>
  <c r="AD736" i="3"/>
  <c r="AB736" i="3"/>
  <c r="AC736" i="3"/>
  <c r="AD732" i="3"/>
  <c r="AC732" i="3"/>
  <c r="AB732" i="3"/>
  <c r="AD728" i="3"/>
  <c r="AC728" i="3"/>
  <c r="AB728" i="3"/>
  <c r="AD724" i="3"/>
  <c r="AB724" i="3"/>
  <c r="AC724" i="3"/>
  <c r="AD720" i="3"/>
  <c r="AC720" i="3"/>
  <c r="AB720" i="3"/>
  <c r="AD716" i="3"/>
  <c r="AC716" i="3"/>
  <c r="AB716" i="3"/>
  <c r="AD712" i="3"/>
  <c r="AB712" i="3"/>
  <c r="AC712" i="3"/>
  <c r="AD708" i="3"/>
  <c r="AC708" i="3"/>
  <c r="AB708" i="3"/>
  <c r="AD704" i="3"/>
  <c r="AC704" i="3"/>
  <c r="AB704" i="3"/>
  <c r="AD700" i="3"/>
  <c r="AB700" i="3"/>
  <c r="AC700" i="3"/>
  <c r="AD696" i="3"/>
  <c r="AC696" i="3"/>
  <c r="AB696" i="3"/>
  <c r="AD692" i="3"/>
  <c r="AC692" i="3"/>
  <c r="AB692" i="3"/>
  <c r="AD688" i="3"/>
  <c r="AB688" i="3"/>
  <c r="AC688" i="3"/>
  <c r="AD684" i="3"/>
  <c r="AC684" i="3"/>
  <c r="AB684" i="3"/>
  <c r="AD680" i="3"/>
  <c r="AC680" i="3"/>
  <c r="AB680" i="3"/>
  <c r="AD676" i="3"/>
  <c r="AB676" i="3"/>
  <c r="AC676" i="3"/>
  <c r="AD672" i="3"/>
  <c r="AC672" i="3"/>
  <c r="AB672" i="3"/>
  <c r="AD668" i="3"/>
  <c r="AC668" i="3"/>
  <c r="AB668" i="3"/>
  <c r="AD664" i="3"/>
  <c r="AC664" i="3"/>
  <c r="AB664" i="3"/>
  <c r="AD660" i="3"/>
  <c r="AC660" i="3"/>
  <c r="AB660" i="3"/>
  <c r="AD656" i="3"/>
  <c r="AC656" i="3"/>
  <c r="AB656" i="3"/>
  <c r="AD652" i="3"/>
  <c r="AC652" i="3"/>
  <c r="AB652" i="3"/>
  <c r="AD648" i="3"/>
  <c r="AC648" i="3"/>
  <c r="AB648" i="3"/>
  <c r="AD644" i="3"/>
  <c r="AC644" i="3"/>
  <c r="AB644" i="3"/>
  <c r="AD640" i="3"/>
  <c r="AC640" i="3"/>
  <c r="AB640" i="3"/>
  <c r="AD636" i="3"/>
  <c r="AC636" i="3"/>
  <c r="AB636" i="3"/>
  <c r="AD632" i="3"/>
  <c r="AC632" i="3"/>
  <c r="AB632" i="3"/>
  <c r="AD628" i="3"/>
  <c r="AC628" i="3"/>
  <c r="AB628" i="3"/>
  <c r="AD624" i="3"/>
  <c r="AC624" i="3"/>
  <c r="AB624" i="3"/>
  <c r="AD620" i="3"/>
  <c r="AC620" i="3"/>
  <c r="AB620" i="3"/>
  <c r="AD616" i="3"/>
  <c r="AC616" i="3"/>
  <c r="AB616" i="3"/>
  <c r="AD612" i="3"/>
  <c r="AC612" i="3"/>
  <c r="AB612" i="3"/>
  <c r="AD608" i="3"/>
  <c r="AC608" i="3"/>
  <c r="AB608" i="3"/>
  <c r="AD604" i="3"/>
  <c r="AC604" i="3"/>
  <c r="AB604" i="3"/>
  <c r="AD600" i="3"/>
  <c r="AC600" i="3"/>
  <c r="AB600" i="3"/>
  <c r="AD596" i="3"/>
  <c r="AC596" i="3"/>
  <c r="AB596" i="3"/>
  <c r="AD592" i="3"/>
  <c r="AC592" i="3"/>
  <c r="AB592" i="3"/>
  <c r="AD588" i="3"/>
  <c r="AC588" i="3"/>
  <c r="AB588" i="3"/>
  <c r="AD584" i="3"/>
  <c r="AC584" i="3"/>
  <c r="AB584" i="3"/>
  <c r="AD580" i="3"/>
  <c r="AC580" i="3"/>
  <c r="AB580" i="3"/>
  <c r="AD576" i="3"/>
  <c r="AC576" i="3"/>
  <c r="AB576" i="3"/>
  <c r="AD572" i="3"/>
  <c r="AC572" i="3"/>
  <c r="AB572" i="3"/>
  <c r="AD568" i="3"/>
  <c r="AC568" i="3"/>
  <c r="AB568" i="3"/>
  <c r="AD564" i="3"/>
  <c r="AC564" i="3"/>
  <c r="AB564" i="3"/>
  <c r="AD560" i="3"/>
  <c r="AC560" i="3"/>
  <c r="AB560" i="3"/>
  <c r="AD556" i="3"/>
  <c r="AC556" i="3"/>
  <c r="AB556" i="3"/>
  <c r="AD552" i="3"/>
  <c r="AC552" i="3"/>
  <c r="AB552" i="3"/>
  <c r="AD548" i="3"/>
  <c r="AC548" i="3"/>
  <c r="AB548" i="3"/>
  <c r="AD544" i="3"/>
  <c r="AC544" i="3"/>
  <c r="AB544" i="3"/>
  <c r="AD540" i="3"/>
  <c r="AC540" i="3"/>
  <c r="AB540" i="3"/>
  <c r="AD536" i="3"/>
  <c r="AC536" i="3"/>
  <c r="AB536" i="3"/>
  <c r="AD532" i="3"/>
  <c r="AC532" i="3"/>
  <c r="AB532" i="3"/>
  <c r="AD528" i="3"/>
  <c r="AB528" i="3"/>
  <c r="AC528" i="3"/>
  <c r="AD1012" i="3"/>
  <c r="AC1012" i="3"/>
  <c r="AB1012" i="3"/>
  <c r="AD1008" i="3"/>
  <c r="AC1008" i="3"/>
  <c r="AB1008" i="3"/>
  <c r="AD1004" i="3"/>
  <c r="AC1004" i="3"/>
  <c r="AB1004" i="3"/>
  <c r="AD1000" i="3"/>
  <c r="AC1000" i="3"/>
  <c r="AB1000" i="3"/>
  <c r="AD996" i="3"/>
  <c r="AC996" i="3"/>
  <c r="AB996" i="3"/>
  <c r="AD992" i="3"/>
  <c r="AC992" i="3"/>
  <c r="AB992" i="3"/>
  <c r="AD988" i="3"/>
  <c r="AC988" i="3"/>
  <c r="AB988" i="3"/>
  <c r="AD984" i="3"/>
  <c r="AC984" i="3"/>
  <c r="AB984" i="3"/>
  <c r="AD980" i="3"/>
  <c r="AC980" i="3"/>
  <c r="AB980" i="3"/>
  <c r="AD976" i="3"/>
  <c r="AC976" i="3"/>
  <c r="AB976" i="3"/>
  <c r="AD972" i="3"/>
  <c r="AC972" i="3"/>
  <c r="AB972" i="3"/>
  <c r="AD968" i="3"/>
  <c r="AC968" i="3"/>
  <c r="AB968" i="3"/>
  <c r="AD964" i="3"/>
  <c r="AC964" i="3"/>
  <c r="AB964" i="3"/>
  <c r="AD960" i="3"/>
  <c r="AC960" i="3"/>
  <c r="AB960" i="3"/>
  <c r="AD956" i="3"/>
  <c r="AC956" i="3"/>
  <c r="AB956" i="3"/>
  <c r="AD952" i="3"/>
  <c r="AC952" i="3"/>
  <c r="AB952" i="3"/>
  <c r="AD948" i="3"/>
  <c r="AC948" i="3"/>
  <c r="AB948" i="3"/>
  <c r="AD944" i="3"/>
  <c r="AC944" i="3"/>
  <c r="AB944" i="3"/>
  <c r="AD940" i="3"/>
  <c r="AC940" i="3"/>
  <c r="AB940" i="3"/>
  <c r="AD936" i="3"/>
  <c r="AC936" i="3"/>
  <c r="AB936" i="3"/>
  <c r="AD932" i="3"/>
  <c r="AC932" i="3"/>
  <c r="AB932" i="3"/>
  <c r="AD928" i="3"/>
  <c r="AC928" i="3"/>
  <c r="AB928" i="3"/>
  <c r="AD924" i="3"/>
  <c r="AC924" i="3"/>
  <c r="AB924" i="3"/>
  <c r="AD920" i="3"/>
  <c r="AC920" i="3"/>
  <c r="AB920" i="3"/>
  <c r="AD916" i="3"/>
  <c r="AC916" i="3"/>
  <c r="AB916" i="3"/>
  <c r="AD912" i="3"/>
  <c r="AC912" i="3"/>
  <c r="AB912" i="3"/>
  <c r="AD908" i="3"/>
  <c r="AC908" i="3"/>
  <c r="AB908" i="3"/>
  <c r="AD904" i="3"/>
  <c r="AC904" i="3"/>
  <c r="AB904" i="3"/>
  <c r="AD900" i="3"/>
  <c r="AC900" i="3"/>
  <c r="AB900" i="3"/>
  <c r="AD896" i="3"/>
  <c r="AC896" i="3"/>
  <c r="AB896" i="3"/>
  <c r="AD892" i="3"/>
  <c r="AC892" i="3"/>
  <c r="AB892" i="3"/>
  <c r="AD888" i="3"/>
  <c r="AC888" i="3"/>
  <c r="AB888" i="3"/>
  <c r="AD884" i="3"/>
  <c r="AC884" i="3"/>
  <c r="AB884" i="3"/>
  <c r="AD880" i="3"/>
  <c r="AC880" i="3"/>
  <c r="AB880" i="3"/>
  <c r="AD876" i="3"/>
  <c r="AC876" i="3"/>
  <c r="AB876" i="3"/>
  <c r="AD872" i="3"/>
  <c r="AC872" i="3"/>
  <c r="AB872" i="3"/>
  <c r="AD868" i="3"/>
  <c r="AC868" i="3"/>
  <c r="AB868" i="3"/>
  <c r="X1012" i="3"/>
  <c r="W1012" i="3"/>
  <c r="Y1012" i="3"/>
  <c r="X1008" i="3"/>
  <c r="W1008" i="3"/>
  <c r="Y1008" i="3"/>
  <c r="X1004" i="3"/>
  <c r="W1004" i="3"/>
  <c r="Y1004" i="3"/>
  <c r="X1000" i="3"/>
  <c r="W1000" i="3"/>
  <c r="Y1000" i="3"/>
  <c r="X996" i="3"/>
  <c r="W996" i="3"/>
  <c r="Y996" i="3"/>
  <c r="X992" i="3"/>
  <c r="W992" i="3"/>
  <c r="Y992" i="3"/>
  <c r="X988" i="3"/>
  <c r="W988" i="3"/>
  <c r="Y988" i="3"/>
  <c r="X984" i="3"/>
  <c r="W984" i="3"/>
  <c r="Y984" i="3"/>
  <c r="X980" i="3"/>
  <c r="W980" i="3"/>
  <c r="Y980" i="3"/>
  <c r="X976" i="3"/>
  <c r="W976" i="3"/>
  <c r="Y976" i="3"/>
  <c r="W972" i="3"/>
  <c r="Y972" i="3"/>
  <c r="X972" i="3"/>
  <c r="W968" i="3"/>
  <c r="Y968" i="3"/>
  <c r="X968" i="3"/>
  <c r="W964" i="3"/>
  <c r="Y964" i="3"/>
  <c r="X964" i="3"/>
  <c r="W960" i="3"/>
  <c r="Y960" i="3"/>
  <c r="X960" i="3"/>
  <c r="Y956" i="3"/>
  <c r="X956" i="3"/>
  <c r="W956" i="3"/>
  <c r="Y952" i="3"/>
  <c r="X952" i="3"/>
  <c r="W952" i="3"/>
  <c r="Y948" i="3"/>
  <c r="X948" i="3"/>
  <c r="W948" i="3"/>
  <c r="Y944" i="3"/>
  <c r="X944" i="3"/>
  <c r="W944" i="3"/>
  <c r="Y940" i="3"/>
  <c r="X940" i="3"/>
  <c r="W940" i="3"/>
  <c r="X936" i="3"/>
  <c r="Y936" i="3"/>
  <c r="W936" i="3"/>
  <c r="X932" i="3"/>
  <c r="Y932" i="3"/>
  <c r="W932" i="3"/>
  <c r="X928" i="3"/>
  <c r="Y928" i="3"/>
  <c r="W928" i="3"/>
  <c r="X924" i="3"/>
  <c r="Y924" i="3"/>
  <c r="W924" i="3"/>
  <c r="X920" i="3"/>
  <c r="Y920" i="3"/>
  <c r="W920" i="3"/>
  <c r="X916" i="3"/>
  <c r="Y916" i="3"/>
  <c r="W916" i="3"/>
  <c r="X912" i="3"/>
  <c r="Y912" i="3"/>
  <c r="W912" i="3"/>
  <c r="X908" i="3"/>
  <c r="Y908" i="3"/>
  <c r="W908" i="3"/>
  <c r="X904" i="3"/>
  <c r="W904" i="3"/>
  <c r="Y904" i="3"/>
  <c r="X900" i="3"/>
  <c r="Y900" i="3"/>
  <c r="W900" i="3"/>
  <c r="X896" i="3"/>
  <c r="Y896" i="3"/>
  <c r="W896" i="3"/>
  <c r="X892" i="3"/>
  <c r="Y892" i="3"/>
  <c r="W892" i="3"/>
  <c r="X888" i="3"/>
  <c r="Y888" i="3"/>
  <c r="W888" i="3"/>
  <c r="X884" i="3"/>
  <c r="Y884" i="3"/>
  <c r="W884" i="3"/>
  <c r="X880" i="3"/>
  <c r="Y880" i="3"/>
  <c r="W880" i="3"/>
  <c r="X876" i="3"/>
  <c r="Y876" i="3"/>
  <c r="W876" i="3"/>
  <c r="X872" i="3"/>
  <c r="Y872" i="3"/>
  <c r="W872" i="3"/>
  <c r="X868" i="3"/>
  <c r="Y868" i="3"/>
  <c r="W868" i="3"/>
  <c r="X864" i="3"/>
  <c r="Y864" i="3"/>
  <c r="W864" i="3"/>
  <c r="X860" i="3"/>
  <c r="W860" i="3"/>
  <c r="Y860" i="3"/>
  <c r="X856" i="3"/>
  <c r="Y856" i="3"/>
  <c r="W856" i="3"/>
  <c r="X852" i="3"/>
  <c r="Y852" i="3"/>
  <c r="W852" i="3"/>
  <c r="X848" i="3"/>
  <c r="Y848" i="3"/>
  <c r="W848" i="3"/>
  <c r="X844" i="3"/>
  <c r="W844" i="3"/>
  <c r="Y844" i="3"/>
  <c r="X840" i="3"/>
  <c r="Y840" i="3"/>
  <c r="W840" i="3"/>
  <c r="X836" i="3"/>
  <c r="Y836" i="3"/>
  <c r="W836" i="3"/>
  <c r="X832" i="3"/>
  <c r="Y832" i="3"/>
  <c r="W832" i="3"/>
  <c r="X828" i="3"/>
  <c r="W828" i="3"/>
  <c r="Y828" i="3"/>
  <c r="X824" i="3"/>
  <c r="Y824" i="3"/>
  <c r="W824" i="3"/>
  <c r="X820" i="3"/>
  <c r="Y820" i="3"/>
  <c r="W820" i="3"/>
  <c r="X816" i="3"/>
  <c r="W816" i="3"/>
  <c r="Y816" i="3"/>
  <c r="X812" i="3"/>
  <c r="W812" i="3"/>
  <c r="Y812" i="3"/>
  <c r="X808" i="3"/>
  <c r="Y808" i="3"/>
  <c r="W808" i="3"/>
  <c r="X804" i="3"/>
  <c r="Y804" i="3"/>
  <c r="W804" i="3"/>
  <c r="X800" i="3"/>
  <c r="Y800" i="3"/>
  <c r="W800" i="3"/>
  <c r="X796" i="3"/>
  <c r="W796" i="3"/>
  <c r="Y796" i="3"/>
  <c r="X792" i="3"/>
  <c r="Y792" i="3"/>
  <c r="W792" i="3"/>
  <c r="X788" i="3"/>
  <c r="Y788" i="3"/>
  <c r="W788" i="3"/>
  <c r="X784" i="3"/>
  <c r="Y784" i="3"/>
  <c r="W784" i="3"/>
  <c r="X780" i="3"/>
  <c r="W780" i="3"/>
  <c r="Y780" i="3"/>
  <c r="X776" i="3"/>
  <c r="Y776" i="3"/>
  <c r="W776" i="3"/>
  <c r="X772" i="3"/>
  <c r="Y772" i="3"/>
  <c r="W772" i="3"/>
  <c r="X768" i="3"/>
  <c r="Y768" i="3"/>
  <c r="W768" i="3"/>
  <c r="X764" i="3"/>
  <c r="Y764" i="3"/>
  <c r="W764" i="3"/>
  <c r="X760" i="3"/>
  <c r="Y760" i="3"/>
  <c r="W760" i="3"/>
  <c r="X756" i="3"/>
  <c r="Y756" i="3"/>
  <c r="W756" i="3"/>
  <c r="X752" i="3"/>
  <c r="Y752" i="3"/>
  <c r="W752" i="3"/>
  <c r="X748" i="3"/>
  <c r="W748" i="3"/>
  <c r="Y748" i="3"/>
  <c r="X744" i="3"/>
  <c r="Y744" i="3"/>
  <c r="W744" i="3"/>
  <c r="X740" i="3"/>
  <c r="Y740" i="3"/>
  <c r="W740" i="3"/>
  <c r="X736" i="3"/>
  <c r="Y736" i="3"/>
  <c r="W736" i="3"/>
  <c r="X732" i="3"/>
  <c r="Y732" i="3"/>
  <c r="W732" i="3"/>
  <c r="X728" i="3"/>
  <c r="Y728" i="3"/>
  <c r="W728" i="3"/>
  <c r="X724" i="3"/>
  <c r="Y724" i="3"/>
  <c r="W724" i="3"/>
  <c r="X720" i="3"/>
  <c r="W720" i="3"/>
  <c r="Y720" i="3"/>
  <c r="X716" i="3"/>
  <c r="Y716" i="3"/>
  <c r="W716" i="3"/>
  <c r="X712" i="3"/>
  <c r="Y712" i="3"/>
  <c r="W712" i="3"/>
  <c r="X708" i="3"/>
  <c r="Y708" i="3"/>
  <c r="W708" i="3"/>
  <c r="X704" i="3"/>
  <c r="W704" i="3"/>
  <c r="Y704" i="3"/>
  <c r="W700" i="3"/>
  <c r="Y700" i="3"/>
  <c r="X700" i="3"/>
  <c r="W696" i="3"/>
  <c r="Y696" i="3"/>
  <c r="X696" i="3"/>
  <c r="W692" i="3"/>
  <c r="Y692" i="3"/>
  <c r="X692" i="3"/>
  <c r="W688" i="3"/>
  <c r="Y688" i="3"/>
  <c r="X688" i="3"/>
  <c r="W684" i="3"/>
  <c r="Y684" i="3"/>
  <c r="X684" i="3"/>
  <c r="W680" i="3"/>
  <c r="Y680" i="3"/>
  <c r="X680" i="3"/>
  <c r="W676" i="3"/>
  <c r="Y676" i="3"/>
  <c r="X676" i="3"/>
  <c r="W672" i="3"/>
  <c r="Y672" i="3"/>
  <c r="X672" i="3"/>
  <c r="W668" i="3"/>
  <c r="Y668" i="3"/>
  <c r="X668" i="3"/>
  <c r="W664" i="3"/>
  <c r="Y664" i="3"/>
  <c r="X664" i="3"/>
  <c r="W660" i="3"/>
  <c r="Y660" i="3"/>
  <c r="X660" i="3"/>
  <c r="W656" i="3"/>
  <c r="Y656" i="3"/>
  <c r="X656" i="3"/>
  <c r="W652" i="3"/>
  <c r="Y652" i="3"/>
  <c r="X652" i="3"/>
  <c r="W648" i="3"/>
  <c r="Y648" i="3"/>
  <c r="X648" i="3"/>
  <c r="W644" i="3"/>
  <c r="Y644" i="3"/>
  <c r="X644" i="3"/>
  <c r="W640" i="3"/>
  <c r="Y640" i="3"/>
  <c r="X640" i="3"/>
  <c r="W636" i="3"/>
  <c r="Y636" i="3"/>
  <c r="X636" i="3"/>
  <c r="W632" i="3"/>
  <c r="Y632" i="3"/>
  <c r="X632" i="3"/>
  <c r="W628" i="3"/>
  <c r="Y628" i="3"/>
  <c r="X628" i="3"/>
  <c r="W624" i="3"/>
  <c r="Y624" i="3"/>
  <c r="X624" i="3"/>
  <c r="W620" i="3"/>
  <c r="Y620" i="3"/>
  <c r="X620" i="3"/>
  <c r="W616" i="3"/>
  <c r="Y616" i="3"/>
  <c r="X616" i="3"/>
  <c r="W612" i="3"/>
  <c r="Y612" i="3"/>
  <c r="X612" i="3"/>
  <c r="W608" i="3"/>
  <c r="Y608" i="3"/>
  <c r="X608" i="3"/>
  <c r="W604" i="3"/>
  <c r="Y604" i="3"/>
  <c r="X604" i="3"/>
  <c r="W600" i="3"/>
  <c r="Y600" i="3"/>
  <c r="X600" i="3"/>
  <c r="W596" i="3"/>
  <c r="Y596" i="3"/>
  <c r="X596" i="3"/>
  <c r="W592" i="3"/>
  <c r="Y592" i="3"/>
  <c r="X592" i="3"/>
  <c r="W588" i="3"/>
  <c r="Y588" i="3"/>
  <c r="X588" i="3"/>
  <c r="W584" i="3"/>
  <c r="Y584" i="3"/>
  <c r="X584" i="3"/>
  <c r="W580" i="3"/>
  <c r="Y580" i="3"/>
  <c r="X580" i="3"/>
  <c r="W576" i="3"/>
  <c r="Y576" i="3"/>
  <c r="X576" i="3"/>
  <c r="W572" i="3"/>
  <c r="Y572" i="3"/>
  <c r="X572" i="3"/>
  <c r="W568" i="3"/>
  <c r="Y568" i="3"/>
  <c r="X568" i="3"/>
  <c r="W564" i="3"/>
  <c r="X564" i="3"/>
  <c r="Y564" i="3"/>
  <c r="W560" i="3"/>
  <c r="Y560" i="3"/>
  <c r="X560" i="3"/>
  <c r="W556" i="3"/>
  <c r="Y556" i="3"/>
  <c r="X556" i="3"/>
  <c r="W552" i="3"/>
  <c r="Y552" i="3"/>
  <c r="X552" i="3"/>
  <c r="W548" i="3"/>
  <c r="Y548" i="3"/>
  <c r="X548" i="3"/>
  <c r="W544" i="3"/>
  <c r="Y544" i="3"/>
  <c r="X544" i="3"/>
  <c r="W540" i="3"/>
  <c r="Y540" i="3"/>
  <c r="X540" i="3"/>
  <c r="Y536" i="3"/>
  <c r="X536" i="3"/>
  <c r="W536" i="3"/>
  <c r="Y532" i="3"/>
  <c r="X532" i="3"/>
  <c r="W532" i="3"/>
  <c r="Y528" i="3"/>
  <c r="X528" i="3"/>
  <c r="W528" i="3"/>
  <c r="Y524" i="3"/>
  <c r="X524" i="3"/>
  <c r="W524" i="3"/>
  <c r="Y520" i="3"/>
  <c r="X520" i="3"/>
  <c r="W520" i="3"/>
  <c r="Y516" i="3"/>
  <c r="X516" i="3"/>
  <c r="W516" i="3"/>
  <c r="X512" i="3"/>
  <c r="W512" i="3"/>
  <c r="Y512" i="3"/>
  <c r="X508" i="3"/>
  <c r="W508" i="3"/>
  <c r="X504" i="3"/>
  <c r="W504" i="3"/>
  <c r="Y504" i="3"/>
  <c r="W500" i="3"/>
  <c r="Y500" i="3"/>
  <c r="X500" i="3"/>
  <c r="W496" i="3"/>
  <c r="Y496" i="3"/>
  <c r="X496" i="3"/>
  <c r="W492" i="3"/>
  <c r="Y492" i="3"/>
  <c r="X492" i="3"/>
  <c r="W488" i="3"/>
  <c r="Y488" i="3"/>
  <c r="X488" i="3"/>
  <c r="W484" i="3"/>
  <c r="Y484" i="3"/>
  <c r="X484" i="3"/>
  <c r="W480" i="3"/>
  <c r="Y480" i="3"/>
  <c r="X480" i="3"/>
  <c r="W476" i="3"/>
  <c r="Y476" i="3"/>
  <c r="X476" i="3"/>
  <c r="W472" i="3"/>
  <c r="X472" i="3"/>
  <c r="Y472" i="3"/>
  <c r="W124" i="3"/>
  <c r="W108" i="3"/>
  <c r="W92" i="3"/>
  <c r="W76" i="3"/>
  <c r="W56" i="3"/>
  <c r="W32" i="3"/>
  <c r="AB1011" i="3"/>
  <c r="AD1011" i="3"/>
  <c r="AC1011" i="3"/>
  <c r="AB1007" i="3"/>
  <c r="AD1007" i="3"/>
  <c r="AC1007" i="3"/>
  <c r="AB1003" i="3"/>
  <c r="AD1003" i="3"/>
  <c r="AC1003" i="3"/>
  <c r="AB999" i="3"/>
  <c r="AD999" i="3"/>
  <c r="AC999" i="3"/>
  <c r="AB995" i="3"/>
  <c r="AD995" i="3"/>
  <c r="AC995" i="3"/>
  <c r="AB991" i="3"/>
  <c r="AD991" i="3"/>
  <c r="AC991" i="3"/>
  <c r="AB987" i="3"/>
  <c r="AD987" i="3"/>
  <c r="AC987" i="3"/>
  <c r="AB983" i="3"/>
  <c r="AD983" i="3"/>
  <c r="AC983" i="3"/>
  <c r="AB979" i="3"/>
  <c r="AD979" i="3"/>
  <c r="AC979" i="3"/>
  <c r="AB975" i="3"/>
  <c r="AD975" i="3"/>
  <c r="AC975" i="3"/>
  <c r="AB971" i="3"/>
  <c r="AD971" i="3"/>
  <c r="AC971" i="3"/>
  <c r="AB967" i="3"/>
  <c r="AD967" i="3"/>
  <c r="AC967" i="3"/>
  <c r="AB963" i="3"/>
  <c r="AD963" i="3"/>
  <c r="AC963" i="3"/>
  <c r="AB959" i="3"/>
  <c r="AD959" i="3"/>
  <c r="AC959" i="3"/>
  <c r="AB955" i="3"/>
  <c r="AD955" i="3"/>
  <c r="AC955" i="3"/>
  <c r="AB951" i="3"/>
  <c r="AD951" i="3"/>
  <c r="AC951" i="3"/>
  <c r="AB947" i="3"/>
  <c r="AD947" i="3"/>
  <c r="AC947" i="3"/>
  <c r="AB943" i="3"/>
  <c r="AD943" i="3"/>
  <c r="AC943" i="3"/>
  <c r="AB939" i="3"/>
  <c r="AD939" i="3"/>
  <c r="AC939" i="3"/>
  <c r="AB935" i="3"/>
  <c r="AD935" i="3"/>
  <c r="AC935" i="3"/>
  <c r="AB931" i="3"/>
  <c r="AD931" i="3"/>
  <c r="AC931" i="3"/>
  <c r="AB927" i="3"/>
  <c r="AD927" i="3"/>
  <c r="AC927" i="3"/>
  <c r="AB923" i="3"/>
  <c r="AD923" i="3"/>
  <c r="AC923" i="3"/>
  <c r="AB919" i="3"/>
  <c r="AD919" i="3"/>
  <c r="AC919" i="3"/>
  <c r="AB915" i="3"/>
  <c r="AD915" i="3"/>
  <c r="AC915" i="3"/>
  <c r="AB911" i="3"/>
  <c r="AD911" i="3"/>
  <c r="AC911" i="3"/>
  <c r="AB907" i="3"/>
  <c r="AD907" i="3"/>
  <c r="AC907" i="3"/>
  <c r="AB903" i="3"/>
  <c r="AD903" i="3"/>
  <c r="AC903" i="3"/>
  <c r="AB899" i="3"/>
  <c r="AD899" i="3"/>
  <c r="AC899" i="3"/>
  <c r="AB895" i="3"/>
  <c r="AD895" i="3"/>
  <c r="AC895" i="3"/>
  <c r="AB891" i="3"/>
  <c r="AD891" i="3"/>
  <c r="AC891" i="3"/>
  <c r="AB887" i="3"/>
  <c r="AD887" i="3"/>
  <c r="AC887" i="3"/>
  <c r="AB883" i="3"/>
  <c r="AD883" i="3"/>
  <c r="AC883" i="3"/>
  <c r="AB879" i="3"/>
  <c r="AD879" i="3"/>
  <c r="AC879" i="3"/>
  <c r="AB875" i="3"/>
  <c r="AD875" i="3"/>
  <c r="AC875" i="3"/>
  <c r="AB871" i="3"/>
  <c r="AD871" i="3"/>
  <c r="AC871" i="3"/>
  <c r="AB867" i="3"/>
  <c r="AD867" i="3"/>
  <c r="AC867" i="3"/>
  <c r="AB863" i="3"/>
  <c r="AD863" i="3"/>
  <c r="AC863" i="3"/>
  <c r="AB859" i="3"/>
  <c r="AD859" i="3"/>
  <c r="AC859" i="3"/>
  <c r="AB855" i="3"/>
  <c r="AD855" i="3"/>
  <c r="AC855" i="3"/>
  <c r="AB851" i="3"/>
  <c r="AD851" i="3"/>
  <c r="AC851" i="3"/>
  <c r="AB847" i="3"/>
  <c r="AD847" i="3"/>
  <c r="AC847" i="3"/>
  <c r="AB843" i="3"/>
  <c r="AD843" i="3"/>
  <c r="AC843" i="3"/>
  <c r="AB839" i="3"/>
  <c r="AD839" i="3"/>
  <c r="AC839" i="3"/>
  <c r="AB835" i="3"/>
  <c r="AD835" i="3"/>
  <c r="AC835" i="3"/>
  <c r="AB831" i="3"/>
  <c r="AD831" i="3"/>
  <c r="AC831" i="3"/>
  <c r="AB827" i="3"/>
  <c r="AD827" i="3"/>
  <c r="AC827" i="3"/>
  <c r="AB823" i="3"/>
  <c r="AD823" i="3"/>
  <c r="AC823" i="3"/>
  <c r="AB819" i="3"/>
  <c r="AD819" i="3"/>
  <c r="AC819" i="3"/>
  <c r="AB815" i="3"/>
  <c r="AD815" i="3"/>
  <c r="AC815" i="3"/>
  <c r="AB811" i="3"/>
  <c r="AD811" i="3"/>
  <c r="AC811" i="3"/>
  <c r="AB807" i="3"/>
  <c r="AD807" i="3"/>
  <c r="AC807" i="3"/>
  <c r="AD803" i="3"/>
  <c r="AC803" i="3"/>
  <c r="AB803" i="3"/>
  <c r="AD799" i="3"/>
  <c r="AC799" i="3"/>
  <c r="AB799" i="3"/>
  <c r="AD795" i="3"/>
  <c r="AC795" i="3"/>
  <c r="AB795" i="3"/>
  <c r="AD791" i="3"/>
  <c r="AC791" i="3"/>
  <c r="AB791" i="3"/>
  <c r="AD787" i="3"/>
  <c r="AC787" i="3"/>
  <c r="AB787" i="3"/>
  <c r="AD783" i="3"/>
  <c r="AC783" i="3"/>
  <c r="AB783" i="3"/>
  <c r="AD779" i="3"/>
  <c r="AC779" i="3"/>
  <c r="AB779" i="3"/>
  <c r="AD775" i="3"/>
  <c r="AC775" i="3"/>
  <c r="AB775" i="3"/>
  <c r="AD771" i="3"/>
  <c r="AC771" i="3"/>
  <c r="AB771" i="3"/>
  <c r="AD767" i="3"/>
  <c r="AC767" i="3"/>
  <c r="AB767" i="3"/>
  <c r="AD763" i="3"/>
  <c r="AC763" i="3"/>
  <c r="AB763" i="3"/>
  <c r="AD759" i="3"/>
  <c r="AC759" i="3"/>
  <c r="AB759" i="3"/>
  <c r="AD755" i="3"/>
  <c r="AC755" i="3"/>
  <c r="AB755" i="3"/>
  <c r="AD751" i="3"/>
  <c r="AC751" i="3"/>
  <c r="AB751" i="3"/>
  <c r="AD747" i="3"/>
  <c r="AC747" i="3"/>
  <c r="AB747" i="3"/>
  <c r="AD743" i="3"/>
  <c r="AC743" i="3"/>
  <c r="AB743" i="3"/>
  <c r="AD739" i="3"/>
  <c r="AC739" i="3"/>
  <c r="AB739" i="3"/>
  <c r="AD735" i="3"/>
  <c r="AC735" i="3"/>
  <c r="AB735" i="3"/>
  <c r="AD731" i="3"/>
  <c r="AC731" i="3"/>
  <c r="AB731" i="3"/>
  <c r="AD727" i="3"/>
  <c r="AC727" i="3"/>
  <c r="AB727" i="3"/>
  <c r="AD723" i="3"/>
  <c r="AC723" i="3"/>
  <c r="AB723" i="3"/>
  <c r="AD719" i="3"/>
  <c r="AC719" i="3"/>
  <c r="AB719" i="3"/>
  <c r="AD715" i="3"/>
  <c r="AC715" i="3"/>
  <c r="AB715" i="3"/>
  <c r="AD711" i="3"/>
  <c r="AC711" i="3"/>
  <c r="AB711" i="3"/>
  <c r="AD707" i="3"/>
  <c r="AC707" i="3"/>
  <c r="AB707" i="3"/>
  <c r="AD703" i="3"/>
  <c r="AC703" i="3"/>
  <c r="AB703" i="3"/>
  <c r="AD699" i="3"/>
  <c r="AC699" i="3"/>
  <c r="AB699" i="3"/>
  <c r="AD695" i="3"/>
  <c r="AC695" i="3"/>
  <c r="AB695" i="3"/>
  <c r="AD691" i="3"/>
  <c r="AC691" i="3"/>
  <c r="AB691" i="3"/>
  <c r="AD687" i="3"/>
  <c r="AC687" i="3"/>
  <c r="AB687" i="3"/>
  <c r="AD683" i="3"/>
  <c r="AC683" i="3"/>
  <c r="AB683" i="3"/>
  <c r="AD679" i="3"/>
  <c r="AC679" i="3"/>
  <c r="AB679" i="3"/>
  <c r="AD675" i="3"/>
  <c r="AC675" i="3"/>
  <c r="AB675" i="3"/>
  <c r="AD671" i="3"/>
  <c r="AB671" i="3"/>
  <c r="AC671" i="3"/>
  <c r="AD667" i="3"/>
  <c r="AB667" i="3"/>
  <c r="AC667" i="3"/>
  <c r="AD663" i="3"/>
  <c r="AB663" i="3"/>
  <c r="AC663" i="3"/>
  <c r="AD659" i="3"/>
  <c r="AB659" i="3"/>
  <c r="AC659" i="3"/>
  <c r="AD655" i="3"/>
  <c r="AB655" i="3"/>
  <c r="AC655" i="3"/>
  <c r="AD651" i="3"/>
  <c r="AB651" i="3"/>
  <c r="AC651" i="3"/>
  <c r="AD647" i="3"/>
  <c r="AB647" i="3"/>
  <c r="AC647" i="3"/>
  <c r="AD643" i="3"/>
  <c r="AB643" i="3"/>
  <c r="AC643" i="3"/>
  <c r="AD639" i="3"/>
  <c r="AB639" i="3"/>
  <c r="AC639" i="3"/>
  <c r="AD635" i="3"/>
  <c r="AB635" i="3"/>
  <c r="AC635" i="3"/>
  <c r="AD631" i="3"/>
  <c r="AB631" i="3"/>
  <c r="AC631" i="3"/>
  <c r="AD627" i="3"/>
  <c r="AB627" i="3"/>
  <c r="AC627" i="3"/>
  <c r="AD623" i="3"/>
  <c r="AB623" i="3"/>
  <c r="AC623" i="3"/>
  <c r="AD619" i="3"/>
  <c r="AB619" i="3"/>
  <c r="AC619" i="3"/>
  <c r="AD615" i="3"/>
  <c r="AB615" i="3"/>
  <c r="AC615" i="3"/>
  <c r="AD611" i="3"/>
  <c r="AB611" i="3"/>
  <c r="AC611" i="3"/>
  <c r="AD607" i="3"/>
  <c r="AB607" i="3"/>
  <c r="AC607" i="3"/>
  <c r="AD603" i="3"/>
  <c r="AB603" i="3"/>
  <c r="AC603" i="3"/>
  <c r="AD599" i="3"/>
  <c r="AB599" i="3"/>
  <c r="AC599" i="3"/>
  <c r="AD595" i="3"/>
  <c r="AB595" i="3"/>
  <c r="AC595" i="3"/>
  <c r="AD591" i="3"/>
  <c r="AB591" i="3"/>
  <c r="AC591" i="3"/>
  <c r="AD587" i="3"/>
  <c r="AB587" i="3"/>
  <c r="AC587" i="3"/>
  <c r="AD583" i="3"/>
  <c r="AB583" i="3"/>
  <c r="AC583" i="3"/>
  <c r="AD579" i="3"/>
  <c r="AB579" i="3"/>
  <c r="AC579" i="3"/>
  <c r="AD575" i="3"/>
  <c r="AB575" i="3"/>
  <c r="AC575" i="3"/>
  <c r="AD571" i="3"/>
  <c r="AB571" i="3"/>
  <c r="AC571" i="3"/>
  <c r="AD567" i="3"/>
  <c r="AB567" i="3"/>
  <c r="AC567" i="3"/>
  <c r="AD563" i="3"/>
  <c r="AB563" i="3"/>
  <c r="AC563" i="3"/>
  <c r="AD559" i="3"/>
  <c r="AB559" i="3"/>
  <c r="AC559" i="3"/>
  <c r="AD555" i="3"/>
  <c r="AB555" i="3"/>
  <c r="AC555" i="3"/>
  <c r="AD551" i="3"/>
  <c r="AB551" i="3"/>
  <c r="AC551" i="3"/>
  <c r="AD547" i="3"/>
  <c r="AB547" i="3"/>
  <c r="AC547" i="3"/>
  <c r="AD543" i="3"/>
  <c r="AB543" i="3"/>
  <c r="AC543" i="3"/>
  <c r="AD539" i="3"/>
  <c r="AB539" i="3"/>
  <c r="AC539" i="3"/>
  <c r="AD535" i="3"/>
  <c r="AB535" i="3"/>
  <c r="AC535" i="3"/>
  <c r="AD531" i="3"/>
  <c r="AB531" i="3"/>
  <c r="AC531" i="3"/>
  <c r="AD527" i="3"/>
  <c r="AB527" i="3"/>
  <c r="AC527" i="3"/>
  <c r="AD524" i="3"/>
  <c r="AB524" i="3"/>
  <c r="AC524" i="3"/>
  <c r="AD520" i="3"/>
  <c r="AB520" i="3"/>
  <c r="AC520" i="3"/>
  <c r="AD516" i="3"/>
  <c r="AB516" i="3"/>
  <c r="AC516" i="3"/>
  <c r="AD512" i="3"/>
  <c r="AB512" i="3"/>
  <c r="AC512" i="3"/>
  <c r="AD508" i="3"/>
  <c r="AB508" i="3"/>
  <c r="AC508" i="3"/>
  <c r="AD504" i="3"/>
  <c r="AB504" i="3"/>
  <c r="AC504" i="3"/>
  <c r="AD500" i="3"/>
  <c r="AC500" i="3"/>
  <c r="AB500" i="3"/>
  <c r="AD496" i="3"/>
  <c r="AC496" i="3"/>
  <c r="AB496" i="3"/>
  <c r="AD492" i="3"/>
  <c r="AC492" i="3"/>
  <c r="AB492" i="3"/>
  <c r="AD488" i="3"/>
  <c r="AC488" i="3"/>
  <c r="AB488" i="3"/>
  <c r="AD484" i="3"/>
  <c r="AC484" i="3"/>
  <c r="AB484" i="3"/>
  <c r="AD480" i="3"/>
  <c r="AC480" i="3"/>
  <c r="AB480" i="3"/>
  <c r="AD476" i="3"/>
  <c r="AC476" i="3"/>
  <c r="AB476" i="3"/>
  <c r="AD472" i="3"/>
  <c r="AC472" i="3"/>
  <c r="AB472" i="3"/>
  <c r="AD468" i="3"/>
  <c r="AC468" i="3"/>
  <c r="AB468" i="3"/>
  <c r="AD464" i="3"/>
  <c r="AC464" i="3"/>
  <c r="AB464" i="3"/>
  <c r="AD460" i="3"/>
  <c r="AC460" i="3"/>
  <c r="AB460" i="3"/>
  <c r="AD456" i="3"/>
  <c r="AC456" i="3"/>
  <c r="AB456" i="3"/>
  <c r="AD452" i="3"/>
  <c r="AC452" i="3"/>
  <c r="AB452" i="3"/>
  <c r="AD448" i="3"/>
  <c r="AC448" i="3"/>
  <c r="AB448" i="3"/>
  <c r="AD444" i="3"/>
  <c r="AC444" i="3"/>
  <c r="AB444" i="3"/>
  <c r="AD440" i="3"/>
  <c r="AC440" i="3"/>
  <c r="AB440" i="3"/>
  <c r="AD436" i="3"/>
  <c r="AC436" i="3"/>
  <c r="AB436" i="3"/>
  <c r="AD432" i="3"/>
  <c r="AC432" i="3"/>
  <c r="AB432" i="3"/>
  <c r="AD428" i="3"/>
  <c r="AC428" i="3"/>
  <c r="AB428" i="3"/>
  <c r="AD424" i="3"/>
  <c r="AC424" i="3"/>
  <c r="AB424" i="3"/>
  <c r="AD420" i="3"/>
  <c r="AC420" i="3"/>
  <c r="AB420" i="3"/>
  <c r="AD416" i="3"/>
  <c r="AC416" i="3"/>
  <c r="AB416" i="3"/>
  <c r="AD412" i="3"/>
  <c r="AC412" i="3"/>
  <c r="AB412" i="3"/>
  <c r="AD408" i="3"/>
  <c r="AC408" i="3"/>
  <c r="AB408" i="3"/>
  <c r="AD404" i="3"/>
  <c r="AC404" i="3"/>
  <c r="AB404" i="3"/>
  <c r="AD400" i="3"/>
  <c r="AC400" i="3"/>
  <c r="AB400" i="3"/>
  <c r="AD396" i="3"/>
  <c r="AC396" i="3"/>
  <c r="AB396" i="3"/>
  <c r="AD392" i="3"/>
  <c r="AC392" i="3"/>
  <c r="AB392" i="3"/>
  <c r="AD388" i="3"/>
  <c r="AC388" i="3"/>
  <c r="AB388" i="3"/>
  <c r="AD384" i="3"/>
  <c r="AC384" i="3"/>
  <c r="AB384" i="3"/>
  <c r="AD380" i="3"/>
  <c r="AC380" i="3"/>
  <c r="AB380" i="3"/>
  <c r="AD376" i="3"/>
  <c r="AC376" i="3"/>
  <c r="AB376" i="3"/>
  <c r="AD372" i="3"/>
  <c r="AC372" i="3"/>
  <c r="AB372" i="3"/>
  <c r="AD368" i="3"/>
  <c r="AC368" i="3"/>
  <c r="AB368" i="3"/>
  <c r="AD364" i="3"/>
  <c r="AC364" i="3"/>
  <c r="AB364" i="3"/>
  <c r="AD360" i="3"/>
  <c r="AC360" i="3"/>
  <c r="AB360" i="3"/>
  <c r="AD356" i="3"/>
  <c r="AC356" i="3"/>
  <c r="AB356" i="3"/>
  <c r="AD352" i="3"/>
  <c r="AC352" i="3"/>
  <c r="AB352" i="3"/>
  <c r="AD348" i="3"/>
  <c r="AC348" i="3"/>
  <c r="AB348" i="3"/>
  <c r="AD344" i="3"/>
  <c r="AC344" i="3"/>
  <c r="AB344" i="3"/>
  <c r="AD340" i="3"/>
  <c r="AC340" i="3"/>
  <c r="AB340" i="3"/>
  <c r="AD336" i="3"/>
  <c r="AC336" i="3"/>
  <c r="AB336" i="3"/>
  <c r="AD332" i="3"/>
  <c r="AB332" i="3"/>
  <c r="AC332" i="3"/>
  <c r="AD328" i="3"/>
  <c r="AB328" i="3"/>
  <c r="AC328" i="3"/>
  <c r="AD324" i="3"/>
  <c r="AB324" i="3"/>
  <c r="AC324" i="3"/>
  <c r="AD320" i="3"/>
  <c r="AB320" i="3"/>
  <c r="AC320" i="3"/>
  <c r="AD316" i="3"/>
  <c r="AB316" i="3"/>
  <c r="AC316" i="3"/>
  <c r="AD312" i="3"/>
  <c r="AB312" i="3"/>
  <c r="AC312" i="3"/>
  <c r="AD308" i="3"/>
  <c r="AB308" i="3"/>
  <c r="AC308" i="3"/>
  <c r="AD304" i="3"/>
  <c r="AB304" i="3"/>
  <c r="AC304" i="3"/>
  <c r="AD300" i="3"/>
  <c r="AB300" i="3"/>
  <c r="AC300" i="3"/>
  <c r="AD296" i="3"/>
  <c r="AB296" i="3"/>
  <c r="AC296" i="3"/>
  <c r="AD292" i="3"/>
  <c r="AB292" i="3"/>
  <c r="AC292" i="3"/>
  <c r="AD288" i="3"/>
  <c r="AB288" i="3"/>
  <c r="AC288" i="3"/>
  <c r="AD284" i="3"/>
  <c r="AB284" i="3"/>
  <c r="AC284" i="3"/>
  <c r="AD280" i="3"/>
  <c r="AB280" i="3"/>
  <c r="AC280" i="3"/>
  <c r="AD276" i="3"/>
  <c r="AB276" i="3"/>
  <c r="AC276" i="3"/>
  <c r="AD272" i="3"/>
  <c r="AB272" i="3"/>
  <c r="AC272" i="3"/>
  <c r="AD268" i="3"/>
  <c r="AB268" i="3"/>
  <c r="AC268" i="3"/>
  <c r="AD264" i="3"/>
  <c r="AB264" i="3"/>
  <c r="AC264" i="3"/>
  <c r="AD260" i="3"/>
  <c r="AB260" i="3"/>
  <c r="AC260" i="3"/>
  <c r="AD256" i="3"/>
  <c r="AB256" i="3"/>
  <c r="AC256" i="3"/>
  <c r="AD252" i="3"/>
  <c r="AB252" i="3"/>
  <c r="AC252" i="3"/>
  <c r="AD248" i="3"/>
  <c r="AB248" i="3"/>
  <c r="AC248" i="3"/>
  <c r="AD244" i="3"/>
  <c r="AB244" i="3"/>
  <c r="AC244" i="3"/>
  <c r="AD240" i="3"/>
  <c r="AC240" i="3"/>
  <c r="AB240" i="3"/>
  <c r="AD236" i="3"/>
  <c r="AC236" i="3"/>
  <c r="AB236" i="3"/>
  <c r="AC232" i="3"/>
  <c r="AB232" i="3"/>
  <c r="AD232" i="3"/>
  <c r="AD228" i="3"/>
  <c r="AC228" i="3"/>
  <c r="AB228" i="3"/>
  <c r="AD224" i="3"/>
  <c r="AC224" i="3"/>
  <c r="AB224" i="3"/>
  <c r="AD220" i="3"/>
  <c r="AC220" i="3"/>
  <c r="AB220" i="3"/>
  <c r="AD216" i="3"/>
  <c r="AC216" i="3"/>
  <c r="AB216" i="3"/>
  <c r="AD212" i="3"/>
  <c r="AC212" i="3"/>
  <c r="AB212" i="3"/>
  <c r="AD208" i="3"/>
  <c r="AC208" i="3"/>
  <c r="AB208" i="3"/>
  <c r="AD204" i="3"/>
  <c r="AC204" i="3"/>
  <c r="AB204" i="3"/>
  <c r="AD200" i="3"/>
  <c r="AC200" i="3"/>
  <c r="AB200" i="3"/>
  <c r="AD196" i="3"/>
  <c r="AC196" i="3"/>
  <c r="AB196" i="3"/>
  <c r="AD192" i="3"/>
  <c r="AC192" i="3"/>
  <c r="AB192" i="3"/>
  <c r="AD188" i="3"/>
  <c r="AC188" i="3"/>
  <c r="AB188" i="3"/>
  <c r="AD184" i="3"/>
  <c r="AC184" i="3"/>
  <c r="AB184" i="3"/>
  <c r="AD180" i="3"/>
  <c r="AC180" i="3"/>
  <c r="AB180" i="3"/>
  <c r="AD176" i="3"/>
  <c r="AC176" i="3"/>
  <c r="AB176" i="3"/>
  <c r="AD172" i="3"/>
  <c r="AC172" i="3"/>
  <c r="AB172" i="3"/>
  <c r="AD168" i="3"/>
  <c r="AC168" i="3"/>
  <c r="AB168" i="3"/>
  <c r="AD164" i="3"/>
  <c r="AC164" i="3"/>
  <c r="AB164" i="3"/>
  <c r="AD160" i="3"/>
  <c r="AC160" i="3"/>
  <c r="AB160" i="3"/>
  <c r="AD156" i="3"/>
  <c r="AC156" i="3"/>
  <c r="AB156" i="3"/>
  <c r="AD152" i="3"/>
  <c r="AC152" i="3"/>
  <c r="AB152" i="3"/>
  <c r="AD148" i="3"/>
  <c r="AC148" i="3"/>
  <c r="AB148" i="3"/>
  <c r="AD144" i="3"/>
  <c r="AC144" i="3"/>
  <c r="AB144" i="3"/>
  <c r="AD140" i="3"/>
  <c r="AC140" i="3"/>
  <c r="AB140" i="3"/>
  <c r="AD136" i="3"/>
  <c r="AC136" i="3"/>
  <c r="AB136" i="3"/>
  <c r="AD132" i="3"/>
  <c r="AC132" i="3"/>
  <c r="AB132" i="3"/>
  <c r="AD128" i="3"/>
  <c r="AC128" i="3"/>
  <c r="AB128" i="3"/>
  <c r="AD124" i="3"/>
  <c r="AC124" i="3"/>
  <c r="AB124" i="3"/>
  <c r="AD120" i="3"/>
  <c r="AC120" i="3"/>
  <c r="AB120" i="3"/>
  <c r="AD116" i="3"/>
  <c r="AC116" i="3"/>
  <c r="AB116" i="3"/>
  <c r="AD112" i="3"/>
  <c r="AC112" i="3"/>
  <c r="AB112" i="3"/>
  <c r="AD108" i="3"/>
  <c r="AC108" i="3"/>
  <c r="AB108" i="3"/>
  <c r="AD104" i="3"/>
  <c r="AC104" i="3"/>
  <c r="AB104" i="3"/>
  <c r="AD100" i="3"/>
  <c r="AC100" i="3"/>
  <c r="AB100" i="3"/>
  <c r="AD96" i="3"/>
  <c r="AC96" i="3"/>
  <c r="AB96" i="3"/>
  <c r="AD92" i="3"/>
  <c r="AC92" i="3"/>
  <c r="AB92" i="3"/>
  <c r="AD88" i="3"/>
  <c r="AC88" i="3"/>
  <c r="AB88" i="3"/>
  <c r="AD84" i="3"/>
  <c r="AC84" i="3"/>
  <c r="AB84" i="3"/>
  <c r="AD80" i="3"/>
  <c r="AC80" i="3"/>
  <c r="AB80" i="3"/>
  <c r="AD76" i="3"/>
  <c r="AC76" i="3"/>
  <c r="AB76" i="3"/>
  <c r="AD72" i="3"/>
  <c r="AC72" i="3"/>
  <c r="AB72" i="3"/>
  <c r="AD68" i="3"/>
  <c r="AC68" i="3"/>
  <c r="AB68" i="3"/>
  <c r="AD64" i="3"/>
  <c r="AC64" i="3"/>
  <c r="AB64" i="3"/>
  <c r="AD60" i="3"/>
  <c r="AC60" i="3"/>
  <c r="AB60" i="3"/>
  <c r="AD56" i="3"/>
  <c r="AC56" i="3"/>
  <c r="AB56" i="3"/>
  <c r="AD52" i="3"/>
  <c r="AC52" i="3"/>
  <c r="AB52" i="3"/>
  <c r="AD48" i="3"/>
  <c r="AC48" i="3"/>
  <c r="AB48" i="3"/>
  <c r="AD44" i="3"/>
  <c r="AC44" i="3"/>
  <c r="AB44" i="3"/>
  <c r="AD40" i="3"/>
  <c r="AB40" i="3"/>
  <c r="AC40" i="3"/>
  <c r="AD36" i="3"/>
  <c r="AB36" i="3"/>
  <c r="AC36" i="3"/>
  <c r="AD32" i="3"/>
  <c r="AB32" i="3"/>
  <c r="AC32" i="3"/>
  <c r="AD28" i="3"/>
  <c r="AB28" i="3"/>
  <c r="AC28" i="3"/>
  <c r="AD24" i="3"/>
  <c r="AB24" i="3"/>
  <c r="AC24" i="3"/>
  <c r="AD20" i="3"/>
  <c r="AB20" i="3"/>
  <c r="AC20" i="3"/>
  <c r="AD16" i="3"/>
  <c r="AB16" i="3"/>
  <c r="AC16" i="3"/>
  <c r="Y17" i="3"/>
  <c r="X22" i="3"/>
  <c r="X27" i="3"/>
  <c r="W37" i="3"/>
  <c r="Y41" i="3"/>
  <c r="X46" i="3"/>
  <c r="X51" i="3"/>
  <c r="W61" i="3"/>
  <c r="Y65" i="3"/>
  <c r="Y70" i="3"/>
  <c r="Y81" i="3"/>
  <c r="Y86" i="3"/>
  <c r="Y97" i="3"/>
  <c r="Y102" i="3"/>
  <c r="Y113" i="3"/>
  <c r="Y118" i="3"/>
  <c r="Y129" i="3"/>
  <c r="Y134" i="3"/>
  <c r="W141" i="3"/>
  <c r="X147" i="3"/>
  <c r="W154" i="3"/>
  <c r="X161" i="3"/>
  <c r="W186" i="3"/>
  <c r="X195" i="3"/>
  <c r="W468" i="3"/>
  <c r="Y468" i="3"/>
  <c r="X468" i="3"/>
  <c r="W464" i="3"/>
  <c r="Y464" i="3"/>
  <c r="X464" i="3"/>
  <c r="W460" i="3"/>
  <c r="Y460" i="3"/>
  <c r="X460" i="3"/>
  <c r="W456" i="3"/>
  <c r="Y456" i="3"/>
  <c r="X456" i="3"/>
  <c r="W452" i="3"/>
  <c r="Y452" i="3"/>
  <c r="W448" i="3"/>
  <c r="Y448" i="3"/>
  <c r="X448" i="3"/>
  <c r="W444" i="3"/>
  <c r="Y444" i="3"/>
  <c r="X444" i="3"/>
  <c r="W440" i="3"/>
  <c r="Y440" i="3"/>
  <c r="X440" i="3"/>
  <c r="W436" i="3"/>
  <c r="Y436" i="3"/>
  <c r="X436" i="3"/>
  <c r="W432" i="3"/>
  <c r="Y432" i="3"/>
  <c r="X432" i="3"/>
  <c r="W428" i="3"/>
  <c r="Y428" i="3"/>
  <c r="X428" i="3"/>
  <c r="W424" i="3"/>
  <c r="Y424" i="3"/>
  <c r="X424" i="3"/>
  <c r="W420" i="3"/>
  <c r="X420" i="3"/>
  <c r="W416" i="3"/>
  <c r="Y416" i="3"/>
  <c r="X416" i="3"/>
  <c r="W412" i="3"/>
  <c r="Y412" i="3"/>
  <c r="X412" i="3"/>
  <c r="W408" i="3"/>
  <c r="Y408" i="3"/>
  <c r="X408" i="3"/>
  <c r="X404" i="3"/>
  <c r="W404" i="3"/>
  <c r="Y400" i="3"/>
  <c r="X400" i="3"/>
  <c r="Y396" i="3"/>
  <c r="X396" i="3"/>
  <c r="W396" i="3"/>
  <c r="Y392" i="3"/>
  <c r="X392" i="3"/>
  <c r="W392" i="3"/>
  <c r="Y388" i="3"/>
  <c r="X388" i="3"/>
  <c r="W388" i="3"/>
  <c r="Y384" i="3"/>
  <c r="X384" i="3"/>
  <c r="W384" i="3"/>
  <c r="X380" i="3"/>
  <c r="W380" i="3"/>
  <c r="Y376" i="3"/>
  <c r="X376" i="3"/>
  <c r="Y372" i="3"/>
  <c r="X372" i="3"/>
  <c r="W372" i="3"/>
  <c r="Y368" i="3"/>
  <c r="X368" i="3"/>
  <c r="W368" i="3"/>
  <c r="Y364" i="3"/>
  <c r="X364" i="3"/>
  <c r="W364" i="3"/>
  <c r="Y360" i="3"/>
  <c r="X360" i="3"/>
  <c r="W360" i="3"/>
  <c r="X356" i="3"/>
  <c r="W356" i="3"/>
  <c r="Y352" i="3"/>
  <c r="X352" i="3"/>
  <c r="Y348" i="3"/>
  <c r="X348" i="3"/>
  <c r="W348" i="3"/>
  <c r="Y344" i="3"/>
  <c r="X344" i="3"/>
  <c r="W344" i="3"/>
  <c r="Y340" i="3"/>
  <c r="X340" i="3"/>
  <c r="W340" i="3"/>
  <c r="Y336" i="3"/>
  <c r="X336" i="3"/>
  <c r="W336" i="3"/>
  <c r="Y332" i="3"/>
  <c r="X332" i="3"/>
  <c r="W332" i="3"/>
  <c r="Y328" i="3"/>
  <c r="X328" i="3"/>
  <c r="W328" i="3"/>
  <c r="Y324" i="3"/>
  <c r="X324" i="3"/>
  <c r="W324" i="3"/>
  <c r="Y320" i="3"/>
  <c r="X320" i="3"/>
  <c r="W320" i="3"/>
  <c r="Y316" i="3"/>
  <c r="X316" i="3"/>
  <c r="W316" i="3"/>
  <c r="Y312" i="3"/>
  <c r="X312" i="3"/>
  <c r="W312" i="3"/>
  <c r="Y308" i="3"/>
  <c r="X308" i="3"/>
  <c r="W308" i="3"/>
  <c r="Y304" i="3"/>
  <c r="X304" i="3"/>
  <c r="W304" i="3"/>
  <c r="Y300" i="3"/>
  <c r="X300" i="3"/>
  <c r="W300" i="3"/>
  <c r="Y296" i="3"/>
  <c r="X296" i="3"/>
  <c r="W296" i="3"/>
  <c r="Y292" i="3"/>
  <c r="X292" i="3"/>
  <c r="W292" i="3"/>
  <c r="Y288" i="3"/>
  <c r="X288" i="3"/>
  <c r="W288" i="3"/>
  <c r="Y284" i="3"/>
  <c r="X284" i="3"/>
  <c r="W284" i="3"/>
  <c r="Y280" i="3"/>
  <c r="X280" i="3"/>
  <c r="W280" i="3"/>
  <c r="Y276" i="3"/>
  <c r="X276" i="3"/>
  <c r="W276" i="3"/>
  <c r="Y272" i="3"/>
  <c r="X272" i="3"/>
  <c r="W272" i="3"/>
  <c r="Y268" i="3"/>
  <c r="X268" i="3"/>
  <c r="W268" i="3"/>
  <c r="Y264" i="3"/>
  <c r="X264" i="3"/>
  <c r="W264" i="3"/>
  <c r="Y260" i="3"/>
  <c r="X260" i="3"/>
  <c r="W260" i="3"/>
  <c r="Y256" i="3"/>
  <c r="X256" i="3"/>
  <c r="W256" i="3"/>
  <c r="Y252" i="3"/>
  <c r="X252" i="3"/>
  <c r="W252" i="3"/>
  <c r="Y248" i="3"/>
  <c r="X248" i="3"/>
  <c r="W248" i="3"/>
  <c r="Y244" i="3"/>
  <c r="X244" i="3"/>
  <c r="W244" i="3"/>
  <c r="Y240" i="3"/>
  <c r="X240" i="3"/>
  <c r="W240" i="3"/>
  <c r="Y236" i="3"/>
  <c r="X236" i="3"/>
  <c r="W236" i="3"/>
  <c r="Y232" i="3"/>
  <c r="X232" i="3"/>
  <c r="W232" i="3"/>
  <c r="Y228" i="3"/>
  <c r="X228" i="3"/>
  <c r="W228" i="3"/>
  <c r="Y224" i="3"/>
  <c r="X224" i="3"/>
  <c r="W224" i="3"/>
  <c r="Y220" i="3"/>
  <c r="X220" i="3"/>
  <c r="W220" i="3"/>
  <c r="Y216" i="3"/>
  <c r="X216" i="3"/>
  <c r="W216" i="3"/>
  <c r="Y212" i="3"/>
  <c r="X212" i="3"/>
  <c r="W212" i="3"/>
  <c r="Y208" i="3"/>
  <c r="X208" i="3"/>
  <c r="W208" i="3"/>
  <c r="Y204" i="3"/>
  <c r="X204" i="3"/>
  <c r="W204" i="3"/>
  <c r="Y200" i="3"/>
  <c r="X200" i="3"/>
  <c r="W200" i="3"/>
  <c r="Y196" i="3"/>
  <c r="X196" i="3"/>
  <c r="W196" i="3"/>
  <c r="Y192" i="3"/>
  <c r="X192" i="3"/>
  <c r="W192" i="3"/>
  <c r="Y188" i="3"/>
  <c r="X188" i="3"/>
  <c r="W188" i="3"/>
  <c r="Y184" i="3"/>
  <c r="X184" i="3"/>
  <c r="W184" i="3"/>
  <c r="Y180" i="3"/>
  <c r="X180" i="3"/>
  <c r="W180" i="3"/>
  <c r="Y176" i="3"/>
  <c r="X176" i="3"/>
  <c r="W176" i="3"/>
  <c r="Y172" i="3"/>
  <c r="X172" i="3"/>
  <c r="W172" i="3"/>
  <c r="Y168" i="3"/>
  <c r="X168" i="3"/>
  <c r="W168" i="3"/>
  <c r="Y164" i="3"/>
  <c r="X164" i="3"/>
  <c r="W164" i="3"/>
  <c r="Y160" i="3"/>
  <c r="X160" i="3"/>
  <c r="W160" i="3"/>
  <c r="Y156" i="3"/>
  <c r="X156" i="3"/>
  <c r="W156" i="3"/>
  <c r="Y152" i="3"/>
  <c r="X152" i="3"/>
  <c r="W152" i="3"/>
  <c r="Y148" i="3"/>
  <c r="X148" i="3"/>
  <c r="W148" i="3"/>
  <c r="Y144" i="3"/>
  <c r="X144" i="3"/>
  <c r="W144" i="3"/>
  <c r="Y140" i="3"/>
  <c r="X140" i="3"/>
  <c r="W140" i="3"/>
  <c r="Y136" i="3"/>
  <c r="X136" i="3"/>
  <c r="Y132" i="3"/>
  <c r="X132" i="3"/>
  <c r="Y128" i="3"/>
  <c r="X128" i="3"/>
  <c r="Y124" i="3"/>
  <c r="X124" i="3"/>
  <c r="Y120" i="3"/>
  <c r="X120" i="3"/>
  <c r="Y116" i="3"/>
  <c r="X116" i="3"/>
  <c r="Y112" i="3"/>
  <c r="X112" i="3"/>
  <c r="Y108" i="3"/>
  <c r="X108" i="3"/>
  <c r="Y104" i="3"/>
  <c r="X104" i="3"/>
  <c r="Y100" i="3"/>
  <c r="X100" i="3"/>
  <c r="Y96" i="3"/>
  <c r="X96" i="3"/>
  <c r="Y92" i="3"/>
  <c r="X92" i="3"/>
  <c r="Y88" i="3"/>
  <c r="X88" i="3"/>
  <c r="Y84" i="3"/>
  <c r="X84" i="3"/>
  <c r="Y80" i="3"/>
  <c r="X80" i="3"/>
  <c r="Y76" i="3"/>
  <c r="X76" i="3"/>
  <c r="Y72" i="3"/>
  <c r="X72" i="3"/>
  <c r="Y68" i="3"/>
  <c r="X68" i="3"/>
  <c r="Y64" i="3"/>
  <c r="Y60" i="3"/>
  <c r="Y56" i="3"/>
  <c r="Y52" i="3"/>
  <c r="Y48" i="3"/>
  <c r="Y44" i="3"/>
  <c r="Y40" i="3"/>
  <c r="Y36" i="3"/>
  <c r="Y32" i="3"/>
  <c r="Y28" i="3"/>
  <c r="Y24" i="3"/>
  <c r="Y20" i="3"/>
  <c r="Y16" i="3"/>
  <c r="W18" i="3"/>
  <c r="X32" i="3"/>
  <c r="X37" i="3"/>
  <c r="W42" i="3"/>
  <c r="X56" i="3"/>
  <c r="X61" i="3"/>
  <c r="W66" i="3"/>
  <c r="X71" i="3"/>
  <c r="W77" i="3"/>
  <c r="W82" i="3"/>
  <c r="X87" i="3"/>
  <c r="W93" i="3"/>
  <c r="W98" i="3"/>
  <c r="X103" i="3"/>
  <c r="W109" i="3"/>
  <c r="W114" i="3"/>
  <c r="X119" i="3"/>
  <c r="W125" i="3"/>
  <c r="W130" i="3"/>
  <c r="X135" i="3"/>
  <c r="X141" i="3"/>
  <c r="W169" i="3"/>
  <c r="W376" i="3"/>
  <c r="X18" i="3"/>
  <c r="X23" i="3"/>
  <c r="W28" i="3"/>
  <c r="W33" i="3"/>
  <c r="X42" i="3"/>
  <c r="X47" i="3"/>
  <c r="W52" i="3"/>
  <c r="W57" i="3"/>
  <c r="X66" i="3"/>
  <c r="X77" i="3"/>
  <c r="X82" i="3"/>
  <c r="X93" i="3"/>
  <c r="X98" i="3"/>
  <c r="X109" i="3"/>
  <c r="X114" i="3"/>
  <c r="X125" i="3"/>
  <c r="X130" i="3"/>
  <c r="W149" i="3"/>
  <c r="X155" i="3"/>
  <c r="W162" i="3"/>
  <c r="X169" i="3"/>
  <c r="W178" i="3"/>
  <c r="X187" i="3"/>
  <c r="Y380" i="3"/>
  <c r="AD523" i="3"/>
  <c r="AB523" i="3"/>
  <c r="AC523" i="3"/>
  <c r="AD519" i="3"/>
  <c r="AB519" i="3"/>
  <c r="AC519" i="3"/>
  <c r="AD515" i="3"/>
  <c r="AB515" i="3"/>
  <c r="AC515" i="3"/>
  <c r="AD511" i="3"/>
  <c r="AB511" i="3"/>
  <c r="AC511" i="3"/>
  <c r="AD507" i="3"/>
  <c r="AB507" i="3"/>
  <c r="AC507" i="3"/>
  <c r="AD503" i="3"/>
  <c r="AB503" i="3"/>
  <c r="AC503" i="3"/>
  <c r="AD499" i="3"/>
  <c r="AB499" i="3"/>
  <c r="AC499" i="3"/>
  <c r="AD495" i="3"/>
  <c r="AB495" i="3"/>
  <c r="AC495" i="3"/>
  <c r="AD491" i="3"/>
  <c r="AB491" i="3"/>
  <c r="AC491" i="3"/>
  <c r="AD487" i="3"/>
  <c r="AB487" i="3"/>
  <c r="AC487" i="3"/>
  <c r="AD483" i="3"/>
  <c r="AB483" i="3"/>
  <c r="AC483" i="3"/>
  <c r="AD479" i="3"/>
  <c r="AB479" i="3"/>
  <c r="AC479" i="3"/>
  <c r="AD475" i="3"/>
  <c r="AB475" i="3"/>
  <c r="AC475" i="3"/>
  <c r="AD471" i="3"/>
  <c r="AB471" i="3"/>
  <c r="AC471" i="3"/>
  <c r="AD467" i="3"/>
  <c r="AB467" i="3"/>
  <c r="AC467" i="3"/>
  <c r="AD463" i="3"/>
  <c r="AB463" i="3"/>
  <c r="AC463" i="3"/>
  <c r="AD459" i="3"/>
  <c r="AB459" i="3"/>
  <c r="AC459" i="3"/>
  <c r="AD455" i="3"/>
  <c r="AB455" i="3"/>
  <c r="AC455" i="3"/>
  <c r="AB451" i="3"/>
  <c r="AC451" i="3"/>
  <c r="AD451" i="3"/>
  <c r="AB447" i="3"/>
  <c r="AD447" i="3"/>
  <c r="AC447" i="3"/>
  <c r="AB443" i="3"/>
  <c r="AD443" i="3"/>
  <c r="AC443" i="3"/>
  <c r="AB439" i="3"/>
  <c r="AD439" i="3"/>
  <c r="AC439" i="3"/>
  <c r="AB435" i="3"/>
  <c r="AD435" i="3"/>
  <c r="AC435" i="3"/>
  <c r="AB431" i="3"/>
  <c r="AD431" i="3"/>
  <c r="AC431" i="3"/>
  <c r="AB427" i="3"/>
  <c r="AD427" i="3"/>
  <c r="AC427" i="3"/>
  <c r="AB423" i="3"/>
  <c r="AD423" i="3"/>
  <c r="AC423" i="3"/>
  <c r="AB419" i="3"/>
  <c r="AD419" i="3"/>
  <c r="AC419" i="3"/>
  <c r="AB415" i="3"/>
  <c r="AD415" i="3"/>
  <c r="AC415" i="3"/>
  <c r="AB411" i="3"/>
  <c r="AD411" i="3"/>
  <c r="AC411" i="3"/>
  <c r="AB407" i="3"/>
  <c r="AD407" i="3"/>
  <c r="AC407" i="3"/>
  <c r="AB403" i="3"/>
  <c r="AD403" i="3"/>
  <c r="AC403" i="3"/>
  <c r="AB399" i="3"/>
  <c r="AD399" i="3"/>
  <c r="AC399" i="3"/>
  <c r="AB395" i="3"/>
  <c r="AD395" i="3"/>
  <c r="AC395" i="3"/>
  <c r="AB391" i="3"/>
  <c r="AD391" i="3"/>
  <c r="AC391" i="3"/>
  <c r="AB387" i="3"/>
  <c r="AD387" i="3"/>
  <c r="AC387" i="3"/>
  <c r="AB383" i="3"/>
  <c r="AD383" i="3"/>
  <c r="AC383" i="3"/>
  <c r="AB379" i="3"/>
  <c r="AD379" i="3"/>
  <c r="AC379" i="3"/>
  <c r="AB375" i="3"/>
  <c r="AD375" i="3"/>
  <c r="AC375" i="3"/>
  <c r="AB371" i="3"/>
  <c r="AD371" i="3"/>
  <c r="AC371" i="3"/>
  <c r="AB367" i="3"/>
  <c r="AD367" i="3"/>
  <c r="AC367" i="3"/>
  <c r="AB363" i="3"/>
  <c r="AD363" i="3"/>
  <c r="AC363" i="3"/>
  <c r="AB359" i="3"/>
  <c r="AD359" i="3"/>
  <c r="AC359" i="3"/>
  <c r="AB355" i="3"/>
  <c r="AD355" i="3"/>
  <c r="AC355" i="3"/>
  <c r="AB351" i="3"/>
  <c r="AC351" i="3"/>
  <c r="AD351" i="3"/>
  <c r="AB347" i="3"/>
  <c r="AD347" i="3"/>
  <c r="AC347" i="3"/>
  <c r="AB343" i="3"/>
  <c r="AD343" i="3"/>
  <c r="AC343" i="3"/>
  <c r="AB339" i="3"/>
  <c r="AD339" i="3"/>
  <c r="AC339" i="3"/>
  <c r="AB335" i="3"/>
  <c r="AD335" i="3"/>
  <c r="AC335" i="3"/>
  <c r="AB331" i="3"/>
  <c r="AD331" i="3"/>
  <c r="AC331" i="3"/>
  <c r="AB327" i="3"/>
  <c r="AD327" i="3"/>
  <c r="AC327" i="3"/>
  <c r="AB323" i="3"/>
  <c r="AD323" i="3"/>
  <c r="AC323" i="3"/>
  <c r="AB319" i="3"/>
  <c r="AD319" i="3"/>
  <c r="AC319" i="3"/>
  <c r="AB315" i="3"/>
  <c r="AD315" i="3"/>
  <c r="AC315" i="3"/>
  <c r="AD311" i="3"/>
  <c r="AC311" i="3"/>
  <c r="AB311" i="3"/>
  <c r="AD307" i="3"/>
  <c r="AC307" i="3"/>
  <c r="AB307" i="3"/>
  <c r="AD303" i="3"/>
  <c r="AC303" i="3"/>
  <c r="AB303" i="3"/>
  <c r="AD299" i="3"/>
  <c r="AC299" i="3"/>
  <c r="AB299" i="3"/>
  <c r="AD295" i="3"/>
  <c r="AC295" i="3"/>
  <c r="AB295" i="3"/>
  <c r="AC291" i="3"/>
  <c r="AB291" i="3"/>
  <c r="AD291" i="3"/>
  <c r="AD287" i="3"/>
  <c r="AC287" i="3"/>
  <c r="AB287" i="3"/>
  <c r="AD283" i="3"/>
  <c r="AC283" i="3"/>
  <c r="AB283" i="3"/>
  <c r="AD279" i="3"/>
  <c r="AC279" i="3"/>
  <c r="AB279" i="3"/>
  <c r="AD275" i="3"/>
  <c r="AC275" i="3"/>
  <c r="AB275" i="3"/>
  <c r="AB271" i="3"/>
  <c r="AD271" i="3"/>
  <c r="AC271" i="3"/>
  <c r="AD267" i="3"/>
  <c r="AC267" i="3"/>
  <c r="AB267" i="3"/>
  <c r="AD263" i="3"/>
  <c r="AC263" i="3"/>
  <c r="AB263" i="3"/>
  <c r="AD259" i="3"/>
  <c r="AC259" i="3"/>
  <c r="AB259" i="3"/>
  <c r="AD255" i="3"/>
  <c r="AC255" i="3"/>
  <c r="AB255" i="3"/>
  <c r="AD251" i="3"/>
  <c r="AC251" i="3"/>
  <c r="AB251" i="3"/>
  <c r="AD247" i="3"/>
  <c r="AC247" i="3"/>
  <c r="AB247" i="3"/>
  <c r="AC243" i="3"/>
  <c r="AB243" i="3"/>
  <c r="AD243" i="3"/>
  <c r="AD239" i="3"/>
  <c r="AC239" i="3"/>
  <c r="AB239" i="3"/>
  <c r="AD235" i="3"/>
  <c r="AC235" i="3"/>
  <c r="AB235" i="3"/>
  <c r="AD231" i="3"/>
  <c r="AC231" i="3"/>
  <c r="AB231" i="3"/>
  <c r="AD227" i="3"/>
  <c r="AC227" i="3"/>
  <c r="AB227" i="3"/>
  <c r="AB223" i="3"/>
  <c r="AD223" i="3"/>
  <c r="AC223" i="3"/>
  <c r="AD219" i="3"/>
  <c r="AC219" i="3"/>
  <c r="AB219" i="3"/>
  <c r="AD215" i="3"/>
  <c r="AC215" i="3"/>
  <c r="AB215" i="3"/>
  <c r="AD211" i="3"/>
  <c r="AC211" i="3"/>
  <c r="AB211" i="3"/>
  <c r="AD207" i="3"/>
  <c r="AC207" i="3"/>
  <c r="AB207" i="3"/>
  <c r="AD203" i="3"/>
  <c r="AC203" i="3"/>
  <c r="AB203" i="3"/>
  <c r="AD199" i="3"/>
  <c r="AC199" i="3"/>
  <c r="AB199" i="3"/>
  <c r="AD195" i="3"/>
  <c r="AC195" i="3"/>
  <c r="AB195" i="3"/>
  <c r="AD191" i="3"/>
  <c r="AC191" i="3"/>
  <c r="AB191" i="3"/>
  <c r="AD187" i="3"/>
  <c r="AC187" i="3"/>
  <c r="AB187" i="3"/>
  <c r="AD183" i="3"/>
  <c r="AC183" i="3"/>
  <c r="AB183" i="3"/>
  <c r="AD179" i="3"/>
  <c r="AC179" i="3"/>
  <c r="AB179" i="3"/>
  <c r="AD175" i="3"/>
  <c r="AC175" i="3"/>
  <c r="AB175" i="3"/>
  <c r="AD171" i="3"/>
  <c r="AC171" i="3"/>
  <c r="AB171" i="3"/>
  <c r="AD167" i="3"/>
  <c r="AC167" i="3"/>
  <c r="AB167" i="3"/>
  <c r="AD163" i="3"/>
  <c r="AC163" i="3"/>
  <c r="AB163" i="3"/>
  <c r="AD159" i="3"/>
  <c r="AC159" i="3"/>
  <c r="AB159" i="3"/>
  <c r="AD155" i="3"/>
  <c r="AC155" i="3"/>
  <c r="AB155" i="3"/>
  <c r="AD151" i="3"/>
  <c r="AC151" i="3"/>
  <c r="AB151" i="3"/>
  <c r="AD147" i="3"/>
  <c r="AC147" i="3"/>
  <c r="AB147" i="3"/>
  <c r="AD143" i="3"/>
  <c r="AC143" i="3"/>
  <c r="AB143" i="3"/>
  <c r="AD139" i="3"/>
  <c r="AC139" i="3"/>
  <c r="AB139" i="3"/>
  <c r="AD135" i="3"/>
  <c r="AC135" i="3"/>
  <c r="AB135" i="3"/>
  <c r="AD131" i="3"/>
  <c r="AC131" i="3"/>
  <c r="AB131" i="3"/>
  <c r="AD127" i="3"/>
  <c r="AC127" i="3"/>
  <c r="AB127" i="3"/>
  <c r="AD123" i="3"/>
  <c r="AC123" i="3"/>
  <c r="AB123" i="3"/>
  <c r="AD119" i="3"/>
  <c r="AC119" i="3"/>
  <c r="AB119" i="3"/>
  <c r="AD115" i="3"/>
  <c r="AC115" i="3"/>
  <c r="AB115" i="3"/>
  <c r="AD111" i="3"/>
  <c r="AC111" i="3"/>
  <c r="AB111" i="3"/>
  <c r="AD107" i="3"/>
  <c r="AC107" i="3"/>
  <c r="AB107" i="3"/>
  <c r="AD103" i="3"/>
  <c r="AC103" i="3"/>
  <c r="AB103" i="3"/>
  <c r="AD99" i="3"/>
  <c r="AC99" i="3"/>
  <c r="AB99" i="3"/>
  <c r="AD95" i="3"/>
  <c r="AC95" i="3"/>
  <c r="AB95" i="3"/>
  <c r="AD91" i="3"/>
  <c r="AC91" i="3"/>
  <c r="AB91" i="3"/>
  <c r="AD87" i="3"/>
  <c r="AC87" i="3"/>
  <c r="AB87" i="3"/>
  <c r="AD83" i="3"/>
  <c r="AC83" i="3"/>
  <c r="AB83" i="3"/>
  <c r="AD79" i="3"/>
  <c r="AC79" i="3"/>
  <c r="AB79" i="3"/>
  <c r="AD75" i="3"/>
  <c r="AC75" i="3"/>
  <c r="AB75" i="3"/>
  <c r="AD71" i="3"/>
  <c r="AC71" i="3"/>
  <c r="AB71" i="3"/>
  <c r="AD67" i="3"/>
  <c r="AC67" i="3"/>
  <c r="AB67" i="3"/>
  <c r="AD63" i="3"/>
  <c r="AC63" i="3"/>
  <c r="AB63" i="3"/>
  <c r="AD59" i="3"/>
  <c r="AC59" i="3"/>
  <c r="AB59" i="3"/>
  <c r="AD55" i="3"/>
  <c r="AC55" i="3"/>
  <c r="AB55" i="3"/>
  <c r="AC51" i="3"/>
  <c r="AB51" i="3"/>
  <c r="AD51" i="3"/>
  <c r="AC47" i="3"/>
  <c r="AB47" i="3"/>
  <c r="AD47" i="3"/>
  <c r="AC43" i="3"/>
  <c r="AB43" i="3"/>
  <c r="AD43" i="3"/>
  <c r="AC39" i="3"/>
  <c r="AB39" i="3"/>
  <c r="AD39" i="3"/>
  <c r="AC35" i="3"/>
  <c r="AB35" i="3"/>
  <c r="AD35" i="3"/>
  <c r="AC31" i="3"/>
  <c r="AB31" i="3"/>
  <c r="AD31" i="3"/>
  <c r="AC27" i="3"/>
  <c r="AB27" i="3"/>
  <c r="AD27" i="3"/>
  <c r="AC23" i="3"/>
  <c r="AB23" i="3"/>
  <c r="AD23" i="3"/>
  <c r="AC19" i="3"/>
  <c r="AB19" i="3"/>
  <c r="AD19" i="3"/>
  <c r="X28" i="3"/>
  <c r="X33" i="3"/>
  <c r="W38" i="3"/>
  <c r="X52" i="3"/>
  <c r="X57" i="3"/>
  <c r="W62" i="3"/>
  <c r="W72" i="3"/>
  <c r="W88" i="3"/>
  <c r="W104" i="3"/>
  <c r="W120" i="3"/>
  <c r="W136" i="3"/>
  <c r="W142" i="3"/>
  <c r="X149" i="3"/>
  <c r="W198" i="3"/>
  <c r="X452" i="3"/>
  <c r="Y363" i="3"/>
  <c r="X363" i="3"/>
  <c r="W363" i="3"/>
  <c r="Y359" i="3"/>
  <c r="X359" i="3"/>
  <c r="W359" i="3"/>
  <c r="Y355" i="3"/>
  <c r="X355" i="3"/>
  <c r="W355" i="3"/>
  <c r="Y351" i="3"/>
  <c r="X351" i="3"/>
  <c r="W351" i="3"/>
  <c r="Y347" i="3"/>
  <c r="X347" i="3"/>
  <c r="Y343" i="3"/>
  <c r="X343" i="3"/>
  <c r="W343" i="3"/>
  <c r="Y339" i="3"/>
  <c r="X339" i="3"/>
  <c r="W339" i="3"/>
  <c r="Y335" i="3"/>
  <c r="X335" i="3"/>
  <c r="W335" i="3"/>
  <c r="Y331" i="3"/>
  <c r="X331" i="3"/>
  <c r="W331" i="3"/>
  <c r="Y327" i="3"/>
  <c r="X327" i="3"/>
  <c r="W327" i="3"/>
  <c r="Y323" i="3"/>
  <c r="X323" i="3"/>
  <c r="W323" i="3"/>
  <c r="Y319" i="3"/>
  <c r="X319" i="3"/>
  <c r="W319" i="3"/>
  <c r="Y315" i="3"/>
  <c r="X315" i="3"/>
  <c r="W315" i="3"/>
  <c r="Y311" i="3"/>
  <c r="X311" i="3"/>
  <c r="W311" i="3"/>
  <c r="Y307" i="3"/>
  <c r="X307" i="3"/>
  <c r="W307" i="3"/>
  <c r="Y303" i="3"/>
  <c r="X303" i="3"/>
  <c r="W303" i="3"/>
  <c r="Y299" i="3"/>
  <c r="X299" i="3"/>
  <c r="W299" i="3"/>
  <c r="Y295" i="3"/>
  <c r="X295" i="3"/>
  <c r="W295" i="3"/>
  <c r="Y291" i="3"/>
  <c r="X291" i="3"/>
  <c r="W291" i="3"/>
  <c r="Y287" i="3"/>
  <c r="X287" i="3"/>
  <c r="W287" i="3"/>
  <c r="Y283" i="3"/>
  <c r="X283" i="3"/>
  <c r="W283" i="3"/>
  <c r="Y279" i="3"/>
  <c r="X279" i="3"/>
  <c r="W279" i="3"/>
  <c r="Y275" i="3"/>
  <c r="X275" i="3"/>
  <c r="W275" i="3"/>
  <c r="Y271" i="3"/>
  <c r="X271" i="3"/>
  <c r="W271" i="3"/>
  <c r="Y267" i="3"/>
  <c r="X267" i="3"/>
  <c r="W267" i="3"/>
  <c r="Y263" i="3"/>
  <c r="X263" i="3"/>
  <c r="W263" i="3"/>
  <c r="Y259" i="3"/>
  <c r="X259" i="3"/>
  <c r="W259" i="3"/>
  <c r="Y255" i="3"/>
  <c r="X255" i="3"/>
  <c r="W255" i="3"/>
  <c r="Y251" i="3"/>
  <c r="X251" i="3"/>
  <c r="W251" i="3"/>
  <c r="Y247" i="3"/>
  <c r="X247" i="3"/>
  <c r="W247" i="3"/>
  <c r="Y243" i="3"/>
  <c r="X243" i="3"/>
  <c r="W243" i="3"/>
  <c r="Y239" i="3"/>
  <c r="X239" i="3"/>
  <c r="W239" i="3"/>
  <c r="Y235" i="3"/>
  <c r="X235" i="3"/>
  <c r="W235" i="3"/>
  <c r="Y231" i="3"/>
  <c r="X231" i="3"/>
  <c r="W231" i="3"/>
  <c r="Y227" i="3"/>
  <c r="X227" i="3"/>
  <c r="W227" i="3"/>
  <c r="Y223" i="3"/>
  <c r="X223" i="3"/>
  <c r="W223" i="3"/>
  <c r="Y219" i="3"/>
  <c r="X219" i="3"/>
  <c r="W219" i="3"/>
  <c r="Y215" i="3"/>
  <c r="X215" i="3"/>
  <c r="W215" i="3"/>
  <c r="Y211" i="3"/>
  <c r="X211" i="3"/>
  <c r="W211" i="3"/>
  <c r="Y207" i="3"/>
  <c r="X207" i="3"/>
  <c r="W207" i="3"/>
  <c r="Y203" i="3"/>
  <c r="X203" i="3"/>
  <c r="W203" i="3"/>
  <c r="W199" i="3"/>
  <c r="W195" i="3"/>
  <c r="W191" i="3"/>
  <c r="W187" i="3"/>
  <c r="W183" i="3"/>
  <c r="W179" i="3"/>
  <c r="W175" i="3"/>
  <c r="W171" i="3"/>
  <c r="W167" i="3"/>
  <c r="W163" i="3"/>
  <c r="W159" i="3"/>
  <c r="W155" i="3"/>
  <c r="W151" i="3"/>
  <c r="W147" i="3"/>
  <c r="W143" i="3"/>
  <c r="W139" i="3"/>
  <c r="W135" i="3"/>
  <c r="W131" i="3"/>
  <c r="W127" i="3"/>
  <c r="W123" i="3"/>
  <c r="W119" i="3"/>
  <c r="W115" i="3"/>
  <c r="W111" i="3"/>
  <c r="W107" i="3"/>
  <c r="W103" i="3"/>
  <c r="W99" i="3"/>
  <c r="W95" i="3"/>
  <c r="W91" i="3"/>
  <c r="W87" i="3"/>
  <c r="W83" i="3"/>
  <c r="W79" i="3"/>
  <c r="W75" i="3"/>
  <c r="W71" i="3"/>
  <c r="W67" i="3"/>
  <c r="W63" i="3"/>
  <c r="W59" i="3"/>
  <c r="W55" i="3"/>
  <c r="W51" i="3"/>
  <c r="W47" i="3"/>
  <c r="W43" i="3"/>
  <c r="W39" i="3"/>
  <c r="W35" i="3"/>
  <c r="W31" i="3"/>
  <c r="W27" i="3"/>
  <c r="W23" i="3"/>
  <c r="W19" i="3"/>
  <c r="X19" i="3"/>
  <c r="W24" i="3"/>
  <c r="W29" i="3"/>
  <c r="X38" i="3"/>
  <c r="X43" i="3"/>
  <c r="W48" i="3"/>
  <c r="W53" i="3"/>
  <c r="X62" i="3"/>
  <c r="X67" i="3"/>
  <c r="W73" i="3"/>
  <c r="W78" i="3"/>
  <c r="X83" i="3"/>
  <c r="W89" i="3"/>
  <c r="W94" i="3"/>
  <c r="X99" i="3"/>
  <c r="W105" i="3"/>
  <c r="W110" i="3"/>
  <c r="X115" i="3"/>
  <c r="W121" i="3"/>
  <c r="W126" i="3"/>
  <c r="X131" i="3"/>
  <c r="W137" i="3"/>
  <c r="W157" i="3"/>
  <c r="X163" i="3"/>
  <c r="W170" i="3"/>
  <c r="X179" i="3"/>
  <c r="Y14" i="3"/>
  <c r="Y19" i="3"/>
  <c r="X24" i="3"/>
  <c r="X29" i="3"/>
  <c r="W34" i="3"/>
  <c r="Y43" i="3"/>
  <c r="X48" i="3"/>
  <c r="X53" i="3"/>
  <c r="W58" i="3"/>
  <c r="Y67" i="3"/>
  <c r="X73" i="3"/>
  <c r="X78" i="3"/>
  <c r="Y83" i="3"/>
  <c r="X89" i="3"/>
  <c r="X94" i="3"/>
  <c r="Y99" i="3"/>
  <c r="X105" i="3"/>
  <c r="X110" i="3"/>
  <c r="Y115" i="3"/>
  <c r="X121" i="3"/>
  <c r="X126" i="3"/>
  <c r="Y131" i="3"/>
  <c r="X137" i="3"/>
  <c r="X143" i="3"/>
  <c r="W150" i="3"/>
  <c r="X157" i="3"/>
  <c r="Y163" i="3"/>
  <c r="Y179" i="3"/>
  <c r="W190" i="3"/>
  <c r="X199" i="3"/>
  <c r="AD486" i="3"/>
  <c r="AC486" i="3"/>
  <c r="AB486" i="3"/>
  <c r="AD482" i="3"/>
  <c r="AC482" i="3"/>
  <c r="AB482" i="3"/>
  <c r="AD478" i="3"/>
  <c r="AC478" i="3"/>
  <c r="AB478" i="3"/>
  <c r="AD474" i="3"/>
  <c r="AC474" i="3"/>
  <c r="AB474" i="3"/>
  <c r="AD470" i="3"/>
  <c r="AC470" i="3"/>
  <c r="AB470" i="3"/>
  <c r="AD466" i="3"/>
  <c r="AC466" i="3"/>
  <c r="AB466" i="3"/>
  <c r="AD462" i="3"/>
  <c r="AC462" i="3"/>
  <c r="AB462" i="3"/>
  <c r="AD458" i="3"/>
  <c r="AC458" i="3"/>
  <c r="AB458" i="3"/>
  <c r="AD454" i="3"/>
  <c r="AC454" i="3"/>
  <c r="AB454" i="3"/>
  <c r="AD450" i="3"/>
  <c r="AC450" i="3"/>
  <c r="AB450" i="3"/>
  <c r="AD446" i="3"/>
  <c r="AC446" i="3"/>
  <c r="AB446" i="3"/>
  <c r="AD442" i="3"/>
  <c r="AC442" i="3"/>
  <c r="AB442" i="3"/>
  <c r="AD438" i="3"/>
  <c r="AC438" i="3"/>
  <c r="AB438" i="3"/>
  <c r="AD434" i="3"/>
  <c r="AC434" i="3"/>
  <c r="AB434" i="3"/>
  <c r="AD430" i="3"/>
  <c r="AC430" i="3"/>
  <c r="AB430" i="3"/>
  <c r="AD426" i="3"/>
  <c r="AC426" i="3"/>
  <c r="AB426" i="3"/>
  <c r="AD422" i="3"/>
  <c r="AC422" i="3"/>
  <c r="AB422" i="3"/>
  <c r="AD418" i="3"/>
  <c r="AC418" i="3"/>
  <c r="AB418" i="3"/>
  <c r="AD414" i="3"/>
  <c r="AC414" i="3"/>
  <c r="AB414" i="3"/>
  <c r="AD410" i="3"/>
  <c r="AC410" i="3"/>
  <c r="AB410" i="3"/>
  <c r="AD406" i="3"/>
  <c r="AC406" i="3"/>
  <c r="AB406" i="3"/>
  <c r="AD402" i="3"/>
  <c r="AC402" i="3"/>
  <c r="AB402" i="3"/>
  <c r="AD398" i="3"/>
  <c r="AC398" i="3"/>
  <c r="AB398" i="3"/>
  <c r="AD394" i="3"/>
  <c r="AC394" i="3"/>
  <c r="AB394" i="3"/>
  <c r="AD390" i="3"/>
  <c r="AC390" i="3"/>
  <c r="AB390" i="3"/>
  <c r="AD386" i="3"/>
  <c r="AC386" i="3"/>
  <c r="AB386" i="3"/>
  <c r="AD382" i="3"/>
  <c r="AC382" i="3"/>
  <c r="AB382" i="3"/>
  <c r="AD378" i="3"/>
  <c r="AC378" i="3"/>
  <c r="AB378" i="3"/>
  <c r="AD374" i="3"/>
  <c r="AC374" i="3"/>
  <c r="AB374" i="3"/>
  <c r="AD370" i="3"/>
  <c r="AC370" i="3"/>
  <c r="AB370" i="3"/>
  <c r="AD366" i="3"/>
  <c r="AC366" i="3"/>
  <c r="AB366" i="3"/>
  <c r="AD362" i="3"/>
  <c r="AC362" i="3"/>
  <c r="AB362" i="3"/>
  <c r="AD358" i="3"/>
  <c r="AC358" i="3"/>
  <c r="AB358" i="3"/>
  <c r="AD354" i="3"/>
  <c r="AC354" i="3"/>
  <c r="AB354" i="3"/>
  <c r="AD350" i="3"/>
  <c r="AC350" i="3"/>
  <c r="AB350" i="3"/>
  <c r="AD346" i="3"/>
  <c r="AC346" i="3"/>
  <c r="AB346" i="3"/>
  <c r="AD342" i="3"/>
  <c r="AC342" i="3"/>
  <c r="AB342" i="3"/>
  <c r="AD338" i="3"/>
  <c r="AC338" i="3"/>
  <c r="AB338" i="3"/>
  <c r="AD334" i="3"/>
  <c r="AC334" i="3"/>
  <c r="AB334" i="3"/>
  <c r="AD330" i="3"/>
  <c r="AC330" i="3"/>
  <c r="AB330" i="3"/>
  <c r="AD326" i="3"/>
  <c r="AC326" i="3"/>
  <c r="AB326" i="3"/>
  <c r="AD322" i="3"/>
  <c r="AC322" i="3"/>
  <c r="AB322" i="3"/>
  <c r="AD318" i="3"/>
  <c r="AC318" i="3"/>
  <c r="AB318" i="3"/>
  <c r="AD314" i="3"/>
  <c r="AC314" i="3"/>
  <c r="AB314" i="3"/>
  <c r="AD310" i="3"/>
  <c r="AB310" i="3"/>
  <c r="AC310" i="3"/>
  <c r="AD306" i="3"/>
  <c r="AC306" i="3"/>
  <c r="AB306" i="3"/>
  <c r="AD302" i="3"/>
  <c r="AC302" i="3"/>
  <c r="AB302" i="3"/>
  <c r="AD298" i="3"/>
  <c r="AC298" i="3"/>
  <c r="AB298" i="3"/>
  <c r="AD294" i="3"/>
  <c r="AC294" i="3"/>
  <c r="AB294" i="3"/>
  <c r="AD290" i="3"/>
  <c r="AC290" i="3"/>
  <c r="AB290" i="3"/>
  <c r="AD286" i="3"/>
  <c r="AC286" i="3"/>
  <c r="AB286" i="3"/>
  <c r="AD282" i="3"/>
  <c r="AC282" i="3"/>
  <c r="AB282" i="3"/>
  <c r="AD278" i="3"/>
  <c r="AB278" i="3"/>
  <c r="AC278" i="3"/>
  <c r="AD274" i="3"/>
  <c r="AC274" i="3"/>
  <c r="AB274" i="3"/>
  <c r="AD270" i="3"/>
  <c r="AC270" i="3"/>
  <c r="AB270" i="3"/>
  <c r="AD266" i="3"/>
  <c r="AC266" i="3"/>
  <c r="AB266" i="3"/>
  <c r="AD262" i="3"/>
  <c r="AC262" i="3"/>
  <c r="AB262" i="3"/>
  <c r="AD258" i="3"/>
  <c r="AC258" i="3"/>
  <c r="AB258" i="3"/>
  <c r="AD254" i="3"/>
  <c r="AC254" i="3"/>
  <c r="AB254" i="3"/>
  <c r="AD250" i="3"/>
  <c r="AC250" i="3"/>
  <c r="AB250" i="3"/>
  <c r="AD246" i="3"/>
  <c r="AC246" i="3"/>
  <c r="AB246" i="3"/>
  <c r="AD242" i="3"/>
  <c r="AC242" i="3"/>
  <c r="AB242" i="3"/>
  <c r="AD238" i="3"/>
  <c r="AB238" i="3"/>
  <c r="AC238" i="3"/>
  <c r="AD234" i="3"/>
  <c r="AC234" i="3"/>
  <c r="AB234" i="3"/>
  <c r="AD230" i="3"/>
  <c r="AC230" i="3"/>
  <c r="AB230" i="3"/>
  <c r="AD226" i="3"/>
  <c r="AC226" i="3"/>
  <c r="AB226" i="3"/>
  <c r="AD222" i="3"/>
  <c r="AC222" i="3"/>
  <c r="AB222" i="3"/>
  <c r="AD218" i="3"/>
  <c r="AB218" i="3"/>
  <c r="AC218" i="3"/>
  <c r="AD214" i="3"/>
  <c r="AC214" i="3"/>
  <c r="AB214" i="3"/>
  <c r="AD210" i="3"/>
  <c r="AC210" i="3"/>
  <c r="AB210" i="3"/>
  <c r="AD206" i="3"/>
  <c r="AC206" i="3"/>
  <c r="AB206" i="3"/>
  <c r="AD202" i="3"/>
  <c r="AC202" i="3"/>
  <c r="AB202" i="3"/>
  <c r="AD198" i="3"/>
  <c r="AC198" i="3"/>
  <c r="AB198" i="3"/>
  <c r="AD194" i="3"/>
  <c r="AC194" i="3"/>
  <c r="AB194" i="3"/>
  <c r="AD190" i="3"/>
  <c r="AC190" i="3"/>
  <c r="AB190" i="3"/>
  <c r="AD186" i="3"/>
  <c r="AC186" i="3"/>
  <c r="AB186" i="3"/>
  <c r="AD182" i="3"/>
  <c r="AC182" i="3"/>
  <c r="AB182" i="3"/>
  <c r="AD178" i="3"/>
  <c r="AC178" i="3"/>
  <c r="AB178" i="3"/>
  <c r="AD174" i="3"/>
  <c r="AC174" i="3"/>
  <c r="AB174" i="3"/>
  <c r="AD170" i="3"/>
  <c r="AC170" i="3"/>
  <c r="AB170" i="3"/>
  <c r="AD166" i="3"/>
  <c r="AC166" i="3"/>
  <c r="AB166" i="3"/>
  <c r="AD162" i="3"/>
  <c r="AC162" i="3"/>
  <c r="AB162" i="3"/>
  <c r="AD158" i="3"/>
  <c r="AC158" i="3"/>
  <c r="AB158" i="3"/>
  <c r="AD154" i="3"/>
  <c r="AC154" i="3"/>
  <c r="AB154" i="3"/>
  <c r="AD150" i="3"/>
  <c r="AC150" i="3"/>
  <c r="AB150" i="3"/>
  <c r="AD146" i="3"/>
  <c r="AC146" i="3"/>
  <c r="AB146" i="3"/>
  <c r="AD142" i="3"/>
  <c r="AC142" i="3"/>
  <c r="AB142" i="3"/>
  <c r="AD138" i="3"/>
  <c r="AC138" i="3"/>
  <c r="AB138" i="3"/>
  <c r="AD134" i="3"/>
  <c r="AC134" i="3"/>
  <c r="AB134" i="3"/>
  <c r="AD130" i="3"/>
  <c r="AC130" i="3"/>
  <c r="AB130" i="3"/>
  <c r="AC126" i="3"/>
  <c r="AD126" i="3"/>
  <c r="AB126" i="3"/>
  <c r="AC122" i="3"/>
  <c r="AD122" i="3"/>
  <c r="AB122" i="3"/>
  <c r="AC118" i="3"/>
  <c r="AD118" i="3"/>
  <c r="AB118" i="3"/>
  <c r="AC114" i="3"/>
  <c r="AD114" i="3"/>
  <c r="AB114" i="3"/>
  <c r="AC110" i="3"/>
  <c r="AD110" i="3"/>
  <c r="AB110" i="3"/>
  <c r="AC106" i="3"/>
  <c r="AD106" i="3"/>
  <c r="AB106" i="3"/>
  <c r="AC102" i="3"/>
  <c r="AD102" i="3"/>
  <c r="AB102" i="3"/>
  <c r="AC98" i="3"/>
  <c r="AD98" i="3"/>
  <c r="AB98" i="3"/>
  <c r="AC94" i="3"/>
  <c r="AD94" i="3"/>
  <c r="AB94" i="3"/>
  <c r="AC90" i="3"/>
  <c r="AD90" i="3"/>
  <c r="AB90" i="3"/>
  <c r="AC86" i="3"/>
  <c r="AD86" i="3"/>
  <c r="AB86" i="3"/>
  <c r="AC82" i="3"/>
  <c r="AD82" i="3"/>
  <c r="AB82" i="3"/>
  <c r="AC78" i="3"/>
  <c r="AD78" i="3"/>
  <c r="AB78" i="3"/>
  <c r="AC74" i="3"/>
  <c r="AD74" i="3"/>
  <c r="AB74" i="3"/>
  <c r="AC70" i="3"/>
  <c r="AD70" i="3"/>
  <c r="AB70" i="3"/>
  <c r="AC66" i="3"/>
  <c r="AD66" i="3"/>
  <c r="AB66" i="3"/>
  <c r="AC62" i="3"/>
  <c r="AD62" i="3"/>
  <c r="AB62" i="3"/>
  <c r="AC58" i="3"/>
  <c r="AD58" i="3"/>
  <c r="AB58" i="3"/>
  <c r="AC54" i="3"/>
  <c r="AD54" i="3"/>
  <c r="AB54" i="3"/>
  <c r="AC50" i="3"/>
  <c r="AD50" i="3"/>
  <c r="AB50" i="3"/>
  <c r="AC46" i="3"/>
  <c r="AD46" i="3"/>
  <c r="AB46" i="3"/>
  <c r="AC42" i="3"/>
  <c r="AD42" i="3"/>
  <c r="AB42" i="3"/>
  <c r="AC38" i="3"/>
  <c r="AD38" i="3"/>
  <c r="AB38" i="3"/>
  <c r="AC34" i="3"/>
  <c r="AD34" i="3"/>
  <c r="AB34" i="3"/>
  <c r="AC30" i="3"/>
  <c r="AD30" i="3"/>
  <c r="AB30" i="3"/>
  <c r="AC26" i="3"/>
  <c r="AD26" i="3"/>
  <c r="AB26" i="3"/>
  <c r="AC22" i="3"/>
  <c r="AB22" i="3"/>
  <c r="AD22" i="3"/>
  <c r="AC18" i="3"/>
  <c r="AD18" i="3"/>
  <c r="AB18" i="3"/>
  <c r="W20" i="3"/>
  <c r="W25" i="3"/>
  <c r="X34" i="3"/>
  <c r="X39" i="3"/>
  <c r="W44" i="3"/>
  <c r="W49" i="3"/>
  <c r="X58" i="3"/>
  <c r="X63" i="3"/>
  <c r="W68" i="3"/>
  <c r="W84" i="3"/>
  <c r="W100" i="3"/>
  <c r="W116" i="3"/>
  <c r="W132" i="3"/>
  <c r="Y143" i="3"/>
  <c r="W165" i="3"/>
  <c r="X171" i="3"/>
  <c r="Y199" i="3"/>
  <c r="W400" i="3"/>
  <c r="W462" i="3"/>
  <c r="Y462" i="3"/>
  <c r="X462" i="3"/>
  <c r="W458" i="3"/>
  <c r="Y458" i="3"/>
  <c r="W454" i="3"/>
  <c r="Y454" i="3"/>
  <c r="X454" i="3"/>
  <c r="W450" i="3"/>
  <c r="Y450" i="3"/>
  <c r="X450" i="3"/>
  <c r="W446" i="3"/>
  <c r="Y446" i="3"/>
  <c r="X446" i="3"/>
  <c r="W442" i="3"/>
  <c r="Y442" i="3"/>
  <c r="X442" i="3"/>
  <c r="W438" i="3"/>
  <c r="Y438" i="3"/>
  <c r="X438" i="3"/>
  <c r="W434" i="3"/>
  <c r="Y434" i="3"/>
  <c r="X434" i="3"/>
  <c r="Y430" i="3"/>
  <c r="X430" i="3"/>
  <c r="W430" i="3"/>
  <c r="Y426" i="3"/>
  <c r="X426" i="3"/>
  <c r="W426" i="3"/>
  <c r="Y422" i="3"/>
  <c r="X422" i="3"/>
  <c r="W422" i="3"/>
  <c r="Y418" i="3"/>
  <c r="X418" i="3"/>
  <c r="W418" i="3"/>
  <c r="Y414" i="3"/>
  <c r="X414" i="3"/>
  <c r="W414" i="3"/>
  <c r="Y410" i="3"/>
  <c r="X410" i="3"/>
  <c r="W410" i="3"/>
  <c r="Y406" i="3"/>
  <c r="X406" i="3"/>
  <c r="W406" i="3"/>
  <c r="Y402" i="3"/>
  <c r="X402" i="3"/>
  <c r="W402" i="3"/>
  <c r="Y398" i="3"/>
  <c r="X398" i="3"/>
  <c r="W398" i="3"/>
  <c r="Y394" i="3"/>
  <c r="X394" i="3"/>
  <c r="W394" i="3"/>
  <c r="Y390" i="3"/>
  <c r="X390" i="3"/>
  <c r="Y386" i="3"/>
  <c r="X386" i="3"/>
  <c r="W386" i="3"/>
  <c r="Y382" i="3"/>
  <c r="X382" i="3"/>
  <c r="W382" i="3"/>
  <c r="Y378" i="3"/>
  <c r="X378" i="3"/>
  <c r="W378" i="3"/>
  <c r="Y374" i="3"/>
  <c r="X374" i="3"/>
  <c r="W374" i="3"/>
  <c r="Y370" i="3"/>
  <c r="X370" i="3"/>
  <c r="W370" i="3"/>
  <c r="Y366" i="3"/>
  <c r="X366" i="3"/>
  <c r="Y362" i="3"/>
  <c r="X362" i="3"/>
  <c r="W362" i="3"/>
  <c r="Y358" i="3"/>
  <c r="X358" i="3"/>
  <c r="W358" i="3"/>
  <c r="Y354" i="3"/>
  <c r="X354" i="3"/>
  <c r="W354" i="3"/>
  <c r="Y350" i="3"/>
  <c r="X350" i="3"/>
  <c r="W350" i="3"/>
  <c r="Y346" i="3"/>
  <c r="X346" i="3"/>
  <c r="W346" i="3"/>
  <c r="X342" i="3"/>
  <c r="W342" i="3"/>
  <c r="X338" i="3"/>
  <c r="W338" i="3"/>
  <c r="X334" i="3"/>
  <c r="W334" i="3"/>
  <c r="X330" i="3"/>
  <c r="W330" i="3"/>
  <c r="X326" i="3"/>
  <c r="W326" i="3"/>
  <c r="X322" i="3"/>
  <c r="W322" i="3"/>
  <c r="X318" i="3"/>
  <c r="W318" i="3"/>
  <c r="X314" i="3"/>
  <c r="W314" i="3"/>
  <c r="X310" i="3"/>
  <c r="W310" i="3"/>
  <c r="X306" i="3"/>
  <c r="W306" i="3"/>
  <c r="X302" i="3"/>
  <c r="W302" i="3"/>
  <c r="X298" i="3"/>
  <c r="W298" i="3"/>
  <c r="X294" i="3"/>
  <c r="W294" i="3"/>
  <c r="X290" i="3"/>
  <c r="W290" i="3"/>
  <c r="X286" i="3"/>
  <c r="W286" i="3"/>
  <c r="X282" i="3"/>
  <c r="W282" i="3"/>
  <c r="X278" i="3"/>
  <c r="W278" i="3"/>
  <c r="X274" i="3"/>
  <c r="W274" i="3"/>
  <c r="X270" i="3"/>
  <c r="W270" i="3"/>
  <c r="X266" i="3"/>
  <c r="W266" i="3"/>
  <c r="X262" i="3"/>
  <c r="W262" i="3"/>
  <c r="X258" i="3"/>
  <c r="W258" i="3"/>
  <c r="X254" i="3"/>
  <c r="W254" i="3"/>
  <c r="X250" i="3"/>
  <c r="W250" i="3"/>
  <c r="X246" i="3"/>
  <c r="W246" i="3"/>
  <c r="X242" i="3"/>
  <c r="W242" i="3"/>
  <c r="X238" i="3"/>
  <c r="W238" i="3"/>
  <c r="X234" i="3"/>
  <c r="W234" i="3"/>
  <c r="X230" i="3"/>
  <c r="W230" i="3"/>
  <c r="X226" i="3"/>
  <c r="W226" i="3"/>
  <c r="X222" i="3"/>
  <c r="W222" i="3"/>
  <c r="X218" i="3"/>
  <c r="W218" i="3"/>
  <c r="X214" i="3"/>
  <c r="W214" i="3"/>
  <c r="X210" i="3"/>
  <c r="W210" i="3"/>
  <c r="X206" i="3"/>
  <c r="W206" i="3"/>
  <c r="X202" i="3"/>
  <c r="W202" i="3"/>
  <c r="X198" i="3"/>
  <c r="X194" i="3"/>
  <c r="X190" i="3"/>
  <c r="X186" i="3"/>
  <c r="X182" i="3"/>
  <c r="X178" i="3"/>
  <c r="X174" i="3"/>
  <c r="X170" i="3"/>
  <c r="X166" i="3"/>
  <c r="X162" i="3"/>
  <c r="X158" i="3"/>
  <c r="X154" i="3"/>
  <c r="X150" i="3"/>
  <c r="X146" i="3"/>
  <c r="X142" i="3"/>
  <c r="X20" i="3"/>
  <c r="X25" i="3"/>
  <c r="W30" i="3"/>
  <c r="Y39" i="3"/>
  <c r="X44" i="3"/>
  <c r="X49" i="3"/>
  <c r="W54" i="3"/>
  <c r="Y63" i="3"/>
  <c r="W69" i="3"/>
  <c r="W74" i="3"/>
  <c r="X79" i="3"/>
  <c r="W85" i="3"/>
  <c r="W90" i="3"/>
  <c r="X95" i="3"/>
  <c r="W101" i="3"/>
  <c r="W106" i="3"/>
  <c r="X111" i="3"/>
  <c r="W117" i="3"/>
  <c r="W122" i="3"/>
  <c r="X127" i="3"/>
  <c r="W133" i="3"/>
  <c r="W138" i="3"/>
  <c r="W145" i="3"/>
  <c r="X151" i="3"/>
  <c r="W158" i="3"/>
  <c r="X165" i="3"/>
  <c r="Y171" i="3"/>
  <c r="W182" i="3"/>
  <c r="X191" i="3"/>
  <c r="Y202" i="3"/>
  <c r="Y250" i="3"/>
  <c r="Y298" i="3"/>
  <c r="W347" i="3"/>
  <c r="Y404" i="3"/>
  <c r="W16" i="3"/>
  <c r="W21" i="3"/>
  <c r="X30" i="3"/>
  <c r="X35" i="3"/>
  <c r="W40" i="3"/>
  <c r="W45" i="3"/>
  <c r="X54" i="3"/>
  <c r="X59" i="3"/>
  <c r="W64" i="3"/>
  <c r="X69" i="3"/>
  <c r="X74" i="3"/>
  <c r="Y79" i="3"/>
  <c r="X85" i="3"/>
  <c r="X90" i="3"/>
  <c r="Y95" i="3"/>
  <c r="X101" i="3"/>
  <c r="X106" i="3"/>
  <c r="Y111" i="3"/>
  <c r="X117" i="3"/>
  <c r="X122" i="3"/>
  <c r="Y127" i="3"/>
  <c r="X133" i="3"/>
  <c r="X138" i="3"/>
  <c r="X145" i="3"/>
  <c r="Y151" i="3"/>
  <c r="Y158" i="3"/>
  <c r="Y182" i="3"/>
  <c r="Y191" i="3"/>
  <c r="Y206" i="3"/>
  <c r="Y254" i="3"/>
  <c r="Y302" i="3"/>
  <c r="W352" i="3"/>
  <c r="AD473" i="3"/>
  <c r="AC473" i="3"/>
  <c r="AB473" i="3"/>
  <c r="AD469" i="3"/>
  <c r="AC469" i="3"/>
  <c r="AB469" i="3"/>
  <c r="AD465" i="3"/>
  <c r="AC465" i="3"/>
  <c r="AB465" i="3"/>
  <c r="AD461" i="3"/>
  <c r="AC461" i="3"/>
  <c r="AB461" i="3"/>
  <c r="AD457" i="3"/>
  <c r="AC457" i="3"/>
  <c r="AB457" i="3"/>
  <c r="AD453" i="3"/>
  <c r="AC453" i="3"/>
  <c r="AB453" i="3"/>
  <c r="AD449" i="3"/>
  <c r="AC449" i="3"/>
  <c r="AB449" i="3"/>
  <c r="AD445" i="3"/>
  <c r="AC445" i="3"/>
  <c r="AB445" i="3"/>
  <c r="AD441" i="3"/>
  <c r="AC441" i="3"/>
  <c r="AB441" i="3"/>
  <c r="AD437" i="3"/>
  <c r="AC437" i="3"/>
  <c r="AB437" i="3"/>
  <c r="AD433" i="3"/>
  <c r="AC433" i="3"/>
  <c r="AB433" i="3"/>
  <c r="AD429" i="3"/>
  <c r="AC429" i="3"/>
  <c r="AB429" i="3"/>
  <c r="AD425" i="3"/>
  <c r="AC425" i="3"/>
  <c r="AB425" i="3"/>
  <c r="AD421" i="3"/>
  <c r="AC421" i="3"/>
  <c r="AB421" i="3"/>
  <c r="AD417" i="3"/>
  <c r="AC417" i="3"/>
  <c r="AB417" i="3"/>
  <c r="AD413" i="3"/>
  <c r="AC413" i="3"/>
  <c r="AB413" i="3"/>
  <c r="AD409" i="3"/>
  <c r="AC409" i="3"/>
  <c r="AB409" i="3"/>
  <c r="AD405" i="3"/>
  <c r="AC405" i="3"/>
  <c r="AB405" i="3"/>
  <c r="AD401" i="3"/>
  <c r="AC401" i="3"/>
  <c r="AB401" i="3"/>
  <c r="AD397" i="3"/>
  <c r="AC397" i="3"/>
  <c r="AB397" i="3"/>
  <c r="AD393" i="3"/>
  <c r="AC393" i="3"/>
  <c r="AB393" i="3"/>
  <c r="AD389" i="3"/>
  <c r="AC389" i="3"/>
  <c r="AB389" i="3"/>
  <c r="AD385" i="3"/>
  <c r="AC385" i="3"/>
  <c r="AB385" i="3"/>
  <c r="AD381" i="3"/>
  <c r="AC381" i="3"/>
  <c r="AB381" i="3"/>
  <c r="AD377" i="3"/>
  <c r="AC377" i="3"/>
  <c r="AB377" i="3"/>
  <c r="AD373" i="3"/>
  <c r="AC373" i="3"/>
  <c r="AB373" i="3"/>
  <c r="AD369" i="3"/>
  <c r="AC369" i="3"/>
  <c r="AB369" i="3"/>
  <c r="AD365" i="3"/>
  <c r="AC365" i="3"/>
  <c r="AB365" i="3"/>
  <c r="AD361" i="3"/>
  <c r="AC361" i="3"/>
  <c r="AB361" i="3"/>
  <c r="AD357" i="3"/>
  <c r="AC357" i="3"/>
  <c r="AB357" i="3"/>
  <c r="AD353" i="3"/>
  <c r="AC353" i="3"/>
  <c r="AB353" i="3"/>
  <c r="AD349" i="3"/>
  <c r="AC349" i="3"/>
  <c r="AB349" i="3"/>
  <c r="AD345" i="3"/>
  <c r="AC345" i="3"/>
  <c r="AB345" i="3"/>
  <c r="AD341" i="3"/>
  <c r="AC341" i="3"/>
  <c r="AB341" i="3"/>
  <c r="AD337" i="3"/>
  <c r="AC337" i="3"/>
  <c r="AB337" i="3"/>
  <c r="AD333" i="3"/>
  <c r="AC333" i="3"/>
  <c r="AB333" i="3"/>
  <c r="AD329" i="3"/>
  <c r="AC329" i="3"/>
  <c r="AB329" i="3"/>
  <c r="AD325" i="3"/>
  <c r="AC325" i="3"/>
  <c r="AB325" i="3"/>
  <c r="AD321" i="3"/>
  <c r="AC321" i="3"/>
  <c r="AB321" i="3"/>
  <c r="AD317" i="3"/>
  <c r="AC317" i="3"/>
  <c r="AB317" i="3"/>
  <c r="AD313" i="3"/>
  <c r="AC313" i="3"/>
  <c r="AB313" i="3"/>
  <c r="AD309" i="3"/>
  <c r="AB309" i="3"/>
  <c r="AC309" i="3"/>
  <c r="AD305" i="3"/>
  <c r="AB305" i="3"/>
  <c r="AC305" i="3"/>
  <c r="AD301" i="3"/>
  <c r="AB301" i="3"/>
  <c r="AC301" i="3"/>
  <c r="AD297" i="3"/>
  <c r="AB297" i="3"/>
  <c r="AC297" i="3"/>
  <c r="AD293" i="3"/>
  <c r="AB293" i="3"/>
  <c r="AC293" i="3"/>
  <c r="AD289" i="3"/>
  <c r="AB289" i="3"/>
  <c r="AC289" i="3"/>
  <c r="AD285" i="3"/>
  <c r="AB285" i="3"/>
  <c r="AC285" i="3"/>
  <c r="AD281" i="3"/>
  <c r="AB281" i="3"/>
  <c r="AC281" i="3"/>
  <c r="AD277" i="3"/>
  <c r="AB277" i="3"/>
  <c r="AC277" i="3"/>
  <c r="AD273" i="3"/>
  <c r="AB273" i="3"/>
  <c r="AC273" i="3"/>
  <c r="AD269" i="3"/>
  <c r="AB269" i="3"/>
  <c r="AC269" i="3"/>
  <c r="AD265" i="3"/>
  <c r="AB265" i="3"/>
  <c r="AC265" i="3"/>
  <c r="AD261" i="3"/>
  <c r="AB261" i="3"/>
  <c r="AC261" i="3"/>
  <c r="AD257" i="3"/>
  <c r="AB257" i="3"/>
  <c r="AC257" i="3"/>
  <c r="AD253" i="3"/>
  <c r="AB253" i="3"/>
  <c r="AC253" i="3"/>
  <c r="AD249" i="3"/>
  <c r="AB249" i="3"/>
  <c r="AC249" i="3"/>
  <c r="AD245" i="3"/>
  <c r="AB245" i="3"/>
  <c r="AC245" i="3"/>
  <c r="AD241" i="3"/>
  <c r="AB241" i="3"/>
  <c r="AC241" i="3"/>
  <c r="AD237" i="3"/>
  <c r="AB237" i="3"/>
  <c r="AC237" i="3"/>
  <c r="AD233" i="3"/>
  <c r="AB233" i="3"/>
  <c r="AC233" i="3"/>
  <c r="AD229" i="3"/>
  <c r="AC229" i="3"/>
  <c r="AB229" i="3"/>
  <c r="AD225" i="3"/>
  <c r="AC225" i="3"/>
  <c r="AB225" i="3"/>
  <c r="AD221" i="3"/>
  <c r="AC221" i="3"/>
  <c r="AB221" i="3"/>
  <c r="AD217" i="3"/>
  <c r="AC217" i="3"/>
  <c r="AB217" i="3"/>
  <c r="AD213" i="3"/>
  <c r="AC213" i="3"/>
  <c r="AB213" i="3"/>
  <c r="AD209" i="3"/>
  <c r="AC209" i="3"/>
  <c r="AB209" i="3"/>
  <c r="AD205" i="3"/>
  <c r="AC205" i="3"/>
  <c r="AB205" i="3"/>
  <c r="AD201" i="3"/>
  <c r="AC201" i="3"/>
  <c r="AB201" i="3"/>
  <c r="AD197" i="3"/>
  <c r="AC197" i="3"/>
  <c r="AB197" i="3"/>
  <c r="AD193" i="3"/>
  <c r="AC193" i="3"/>
  <c r="AB193" i="3"/>
  <c r="AD189" i="3"/>
  <c r="AC189" i="3"/>
  <c r="AB189" i="3"/>
  <c r="AD185" i="3"/>
  <c r="AC185" i="3"/>
  <c r="AB185" i="3"/>
  <c r="AD181" i="3"/>
  <c r="AC181" i="3"/>
  <c r="AB181" i="3"/>
  <c r="AD177" i="3"/>
  <c r="AC177" i="3"/>
  <c r="AB177" i="3"/>
  <c r="AD173" i="3"/>
  <c r="AC173" i="3"/>
  <c r="AB173" i="3"/>
  <c r="AD169" i="3"/>
  <c r="AC169" i="3"/>
  <c r="AB169" i="3"/>
  <c r="AD165" i="3"/>
  <c r="AC165" i="3"/>
  <c r="AB165" i="3"/>
  <c r="AD161" i="3"/>
  <c r="AC161" i="3"/>
  <c r="AB161" i="3"/>
  <c r="AD157" i="3"/>
  <c r="AC157" i="3"/>
  <c r="AB157" i="3"/>
  <c r="AD153" i="3"/>
  <c r="AC153" i="3"/>
  <c r="AB153" i="3"/>
  <c r="AD149" i="3"/>
  <c r="AC149" i="3"/>
  <c r="AB149" i="3"/>
  <c r="AD145" i="3"/>
  <c r="AC145" i="3"/>
  <c r="AB145" i="3"/>
  <c r="AD141" i="3"/>
  <c r="AC141" i="3"/>
  <c r="AB141" i="3"/>
  <c r="AD137" i="3"/>
  <c r="AC137" i="3"/>
  <c r="AB137" i="3"/>
  <c r="AD133" i="3"/>
  <c r="AC133" i="3"/>
  <c r="AB133" i="3"/>
  <c r="AD129" i="3"/>
  <c r="AC129" i="3"/>
  <c r="AB129" i="3"/>
  <c r="AD125" i="3"/>
  <c r="AC125" i="3"/>
  <c r="AB125" i="3"/>
  <c r="AD121" i="3"/>
  <c r="AC121" i="3"/>
  <c r="AB121" i="3"/>
  <c r="AD117" i="3"/>
  <c r="AC117" i="3"/>
  <c r="AB117" i="3"/>
  <c r="AD113" i="3"/>
  <c r="AC113" i="3"/>
  <c r="AB113" i="3"/>
  <c r="AD109" i="3"/>
  <c r="AC109" i="3"/>
  <c r="AB109" i="3"/>
  <c r="AD105" i="3"/>
  <c r="AC105" i="3"/>
  <c r="AB105" i="3"/>
  <c r="AD101" i="3"/>
  <c r="AC101" i="3"/>
  <c r="AB101" i="3"/>
  <c r="AD97" i="3"/>
  <c r="AC97" i="3"/>
  <c r="AB97" i="3"/>
  <c r="AD93" i="3"/>
  <c r="AC93" i="3"/>
  <c r="AB93" i="3"/>
  <c r="AD89" i="3"/>
  <c r="AC89" i="3"/>
  <c r="AB89" i="3"/>
  <c r="AD85" i="3"/>
  <c r="AC85" i="3"/>
  <c r="AB85" i="3"/>
  <c r="AD81" i="3"/>
  <c r="AC81" i="3"/>
  <c r="AB81" i="3"/>
  <c r="AD77" i="3"/>
  <c r="AC77" i="3"/>
  <c r="AB77" i="3"/>
  <c r="AD73" i="3"/>
  <c r="AC73" i="3"/>
  <c r="AB73" i="3"/>
  <c r="AD69" i="3"/>
  <c r="AC69" i="3"/>
  <c r="AB69" i="3"/>
  <c r="AD65" i="3"/>
  <c r="AC65" i="3"/>
  <c r="AB65" i="3"/>
  <c r="AC61" i="3"/>
  <c r="AB61" i="3"/>
  <c r="AD61" i="3"/>
  <c r="AD57" i="3"/>
  <c r="AC57" i="3"/>
  <c r="AB57" i="3"/>
  <c r="AD53" i="3"/>
  <c r="AC53" i="3"/>
  <c r="AB53" i="3"/>
  <c r="AD49" i="3"/>
  <c r="AC49" i="3"/>
  <c r="AB49" i="3"/>
  <c r="AD45" i="3"/>
  <c r="AC45" i="3"/>
  <c r="AB45" i="3"/>
  <c r="AD41" i="3"/>
  <c r="AC41" i="3"/>
  <c r="AB41" i="3"/>
  <c r="AD37" i="3"/>
  <c r="AC37" i="3"/>
  <c r="AB37" i="3"/>
  <c r="AD33" i="3"/>
  <c r="AC33" i="3"/>
  <c r="AB33" i="3"/>
  <c r="AC29" i="3"/>
  <c r="AB29" i="3"/>
  <c r="AD29" i="3"/>
  <c r="AD25" i="3"/>
  <c r="AC25" i="3"/>
  <c r="AB25" i="3"/>
  <c r="AD21" i="3"/>
  <c r="AC21" i="3"/>
  <c r="AB21" i="3"/>
  <c r="AD17" i="3"/>
  <c r="AC17" i="3"/>
  <c r="AB17" i="3"/>
  <c r="X16" i="3"/>
  <c r="X21" i="3"/>
  <c r="W26" i="3"/>
  <c r="Y35" i="3"/>
  <c r="X40" i="3"/>
  <c r="X45" i="3"/>
  <c r="W50" i="3"/>
  <c r="Y59" i="3"/>
  <c r="X64" i="3"/>
  <c r="W80" i="3"/>
  <c r="W96" i="3"/>
  <c r="W112" i="3"/>
  <c r="W128" i="3"/>
  <c r="W153" i="3"/>
  <c r="X159" i="3"/>
  <c r="W166" i="3"/>
  <c r="W174" i="3"/>
  <c r="X183" i="3"/>
  <c r="Y210" i="3"/>
  <c r="Y258" i="3"/>
  <c r="Y306" i="3"/>
  <c r="Y356" i="3"/>
  <c r="Y469" i="3"/>
  <c r="X469" i="3"/>
  <c r="W469" i="3"/>
  <c r="W465" i="3"/>
  <c r="Y465" i="3"/>
  <c r="Y461" i="3"/>
  <c r="X461" i="3"/>
  <c r="W461" i="3"/>
  <c r="Y457" i="3"/>
  <c r="X457" i="3"/>
  <c r="W457" i="3"/>
  <c r="Y453" i="3"/>
  <c r="X453" i="3"/>
  <c r="W453" i="3"/>
  <c r="Y449" i="3"/>
  <c r="X449" i="3"/>
  <c r="W449" i="3"/>
  <c r="Y445" i="3"/>
  <c r="X445" i="3"/>
  <c r="Y441" i="3"/>
  <c r="X441" i="3"/>
  <c r="W441" i="3"/>
  <c r="X437" i="3"/>
  <c r="W437" i="3"/>
  <c r="Y433" i="3"/>
  <c r="X433" i="3"/>
  <c r="W433" i="3"/>
  <c r="Y429" i="3"/>
  <c r="X429" i="3"/>
  <c r="W429" i="3"/>
  <c r="X425" i="3"/>
  <c r="W425" i="3"/>
  <c r="Y421" i="3"/>
  <c r="X421" i="3"/>
  <c r="W421" i="3"/>
  <c r="Y417" i="3"/>
  <c r="X417" i="3"/>
  <c r="W417" i="3"/>
  <c r="Y413" i="3"/>
  <c r="X413" i="3"/>
  <c r="W413" i="3"/>
  <c r="X409" i="3"/>
  <c r="W409" i="3"/>
  <c r="Y405" i="3"/>
  <c r="X405" i="3"/>
  <c r="W405" i="3"/>
  <c r="Y401" i="3"/>
  <c r="X401" i="3"/>
  <c r="W401" i="3"/>
  <c r="Y397" i="3"/>
  <c r="X397" i="3"/>
  <c r="W397" i="3"/>
  <c r="Y393" i="3"/>
  <c r="X393" i="3"/>
  <c r="W393" i="3"/>
  <c r="Y389" i="3"/>
  <c r="X389" i="3"/>
  <c r="W389" i="3"/>
  <c r="W385" i="3"/>
  <c r="Y385" i="3"/>
  <c r="Y381" i="3"/>
  <c r="X381" i="3"/>
  <c r="W381" i="3"/>
  <c r="Y377" i="3"/>
  <c r="X377" i="3"/>
  <c r="W377" i="3"/>
  <c r="Y373" i="3"/>
  <c r="X373" i="3"/>
  <c r="W373" i="3"/>
  <c r="Y369" i="3"/>
  <c r="X369" i="3"/>
  <c r="W369" i="3"/>
  <c r="Y365" i="3"/>
  <c r="X365" i="3"/>
  <c r="W365" i="3"/>
  <c r="W361" i="3"/>
  <c r="Y361" i="3"/>
  <c r="Y357" i="3"/>
  <c r="X357" i="3"/>
  <c r="W357" i="3"/>
  <c r="Y353" i="3"/>
  <c r="X353" i="3"/>
  <c r="W353" i="3"/>
  <c r="Y349" i="3"/>
  <c r="X349" i="3"/>
  <c r="W349" i="3"/>
  <c r="Y345" i="3"/>
  <c r="X345" i="3"/>
  <c r="W345" i="3"/>
  <c r="Y341" i="3"/>
  <c r="X341" i="3"/>
  <c r="W341" i="3"/>
  <c r="Y337" i="3"/>
  <c r="X337" i="3"/>
  <c r="W337" i="3"/>
  <c r="Y333" i="3"/>
  <c r="X333" i="3"/>
  <c r="W333" i="3"/>
  <c r="Y329" i="3"/>
  <c r="X329" i="3"/>
  <c r="W329" i="3"/>
  <c r="Y325" i="3"/>
  <c r="X325" i="3"/>
  <c r="W325" i="3"/>
  <c r="Y321" i="3"/>
  <c r="X321" i="3"/>
  <c r="W321" i="3"/>
  <c r="Y317" i="3"/>
  <c r="X317" i="3"/>
  <c r="W317" i="3"/>
  <c r="Y313" i="3"/>
  <c r="X313" i="3"/>
  <c r="W313" i="3"/>
  <c r="Y309" i="3"/>
  <c r="X309" i="3"/>
  <c r="W309" i="3"/>
  <c r="Y305" i="3"/>
  <c r="X305" i="3"/>
  <c r="W305" i="3"/>
  <c r="Y301" i="3"/>
  <c r="X301" i="3"/>
  <c r="W301" i="3"/>
  <c r="Y297" i="3"/>
  <c r="X297" i="3"/>
  <c r="W297" i="3"/>
  <c r="Y293" i="3"/>
  <c r="X293" i="3"/>
  <c r="W293" i="3"/>
  <c r="Y289" i="3"/>
  <c r="X289" i="3"/>
  <c r="W289" i="3"/>
  <c r="Y285" i="3"/>
  <c r="X285" i="3"/>
  <c r="W285" i="3"/>
  <c r="Y281" i="3"/>
  <c r="X281" i="3"/>
  <c r="W281" i="3"/>
  <c r="Y277" i="3"/>
  <c r="X277" i="3"/>
  <c r="W277" i="3"/>
  <c r="Y273" i="3"/>
  <c r="X273" i="3"/>
  <c r="W273" i="3"/>
  <c r="Y269" i="3"/>
  <c r="X269" i="3"/>
  <c r="W269" i="3"/>
  <c r="Y265" i="3"/>
  <c r="X265" i="3"/>
  <c r="W265" i="3"/>
  <c r="Y261" i="3"/>
  <c r="X261" i="3"/>
  <c r="W261" i="3"/>
  <c r="Y257" i="3"/>
  <c r="X257" i="3"/>
  <c r="W257" i="3"/>
  <c r="Y253" i="3"/>
  <c r="X253" i="3"/>
  <c r="W253" i="3"/>
  <c r="Y249" i="3"/>
  <c r="X249" i="3"/>
  <c r="W249" i="3"/>
  <c r="Y245" i="3"/>
  <c r="X245" i="3"/>
  <c r="W245" i="3"/>
  <c r="Y241" i="3"/>
  <c r="X241" i="3"/>
  <c r="W241" i="3"/>
  <c r="Y237" i="3"/>
  <c r="X237" i="3"/>
  <c r="W237" i="3"/>
  <c r="Y233" i="3"/>
  <c r="X233" i="3"/>
  <c r="W233" i="3"/>
  <c r="Y229" i="3"/>
  <c r="X229" i="3"/>
  <c r="W229" i="3"/>
  <c r="Y225" i="3"/>
  <c r="X225" i="3"/>
  <c r="W225" i="3"/>
  <c r="Y221" i="3"/>
  <c r="X221" i="3"/>
  <c r="W221" i="3"/>
  <c r="Y217" i="3"/>
  <c r="X217" i="3"/>
  <c r="W217" i="3"/>
  <c r="Y213" i="3"/>
  <c r="X213" i="3"/>
  <c r="W213" i="3"/>
  <c r="Y209" i="3"/>
  <c r="X209" i="3"/>
  <c r="W209" i="3"/>
  <c r="Y205" i="3"/>
  <c r="X205" i="3"/>
  <c r="W205" i="3"/>
  <c r="Y201" i="3"/>
  <c r="X201" i="3"/>
  <c r="W201" i="3"/>
  <c r="X197" i="3"/>
  <c r="W197" i="3"/>
  <c r="X193" i="3"/>
  <c r="W193" i="3"/>
  <c r="X189" i="3"/>
  <c r="W189" i="3"/>
  <c r="X185" i="3"/>
  <c r="W185" i="3"/>
  <c r="X181" i="3"/>
  <c r="W181" i="3"/>
  <c r="X177" i="3"/>
  <c r="W177" i="3"/>
  <c r="X173" i="3"/>
  <c r="W173" i="3"/>
  <c r="X31" i="3"/>
  <c r="W36" i="3"/>
  <c r="X55" i="3"/>
  <c r="W60" i="3"/>
  <c r="X75" i="3"/>
  <c r="X91" i="3"/>
  <c r="X107" i="3"/>
  <c r="X123" i="3"/>
  <c r="X139" i="3"/>
  <c r="W146" i="3"/>
  <c r="Y159" i="3"/>
  <c r="Y166" i="3"/>
  <c r="Y174" i="3"/>
  <c r="Y183" i="3"/>
  <c r="W194" i="3"/>
  <c r="Y214" i="3"/>
  <c r="Y262" i="3"/>
  <c r="Y310" i="3"/>
  <c r="X361" i="3"/>
  <c r="Y420" i="3"/>
  <c r="Y15" i="3"/>
  <c r="W15" i="3"/>
  <c r="X15" i="3"/>
  <c r="AB15" i="3"/>
  <c r="AC15" i="3"/>
  <c r="AD14" i="3"/>
  <c r="AB14" i="3"/>
  <c r="AC14" i="3"/>
  <c r="W14" i="3"/>
  <c r="BO5" i="3"/>
  <c r="BO6" i="3" s="1"/>
  <c r="BO7" i="3" s="1"/>
  <c r="X14" i="3"/>
  <c r="Y13" i="3"/>
  <c r="W13" i="3"/>
  <c r="AB13" i="3"/>
  <c r="X13" i="3"/>
  <c r="AC13" i="3"/>
  <c r="AD13" i="3"/>
  <c r="S5" i="3"/>
  <c r="S6" i="3"/>
  <c r="R5" i="3"/>
  <c r="R6" i="3"/>
  <c r="N5" i="3"/>
  <c r="N6" i="3"/>
  <c r="M5" i="3"/>
  <c r="M6" i="3"/>
  <c r="G6" i="3"/>
  <c r="BF1012" i="3"/>
  <c r="BF1011" i="3"/>
  <c r="BF1010" i="3"/>
  <c r="BF1009" i="3"/>
  <c r="BF1008" i="3"/>
  <c r="BF1007" i="3"/>
  <c r="BF1006" i="3"/>
  <c r="BF1005" i="3"/>
  <c r="BF1004" i="3"/>
  <c r="BF1003" i="3"/>
  <c r="BF1002" i="3"/>
  <c r="BF1001" i="3"/>
  <c r="BF1000" i="3"/>
  <c r="BF999" i="3"/>
  <c r="BF998" i="3"/>
  <c r="BF997" i="3"/>
  <c r="BF996" i="3"/>
  <c r="BF995" i="3"/>
  <c r="BF994" i="3"/>
  <c r="BF993" i="3"/>
  <c r="BF992" i="3"/>
  <c r="BF991" i="3"/>
  <c r="BF990" i="3"/>
  <c r="BF989" i="3"/>
  <c r="BF988" i="3"/>
  <c r="BF987" i="3"/>
  <c r="BF986" i="3"/>
  <c r="BF985" i="3"/>
  <c r="BF984" i="3"/>
  <c r="BF983" i="3"/>
  <c r="BF982" i="3"/>
  <c r="BF981" i="3"/>
  <c r="BF980" i="3"/>
  <c r="BF979" i="3"/>
  <c r="BF978" i="3"/>
  <c r="BF977" i="3"/>
  <c r="BF976" i="3"/>
  <c r="BF975" i="3"/>
  <c r="BF974" i="3"/>
  <c r="BF973" i="3"/>
  <c r="BF972" i="3"/>
  <c r="BF971" i="3"/>
  <c r="BF970" i="3"/>
  <c r="BF969" i="3"/>
  <c r="BF968" i="3"/>
  <c r="BF967" i="3"/>
  <c r="BF966" i="3"/>
  <c r="BF965" i="3"/>
  <c r="BF964" i="3"/>
  <c r="BF963" i="3"/>
  <c r="BF962" i="3"/>
  <c r="BF961" i="3"/>
  <c r="BF960" i="3"/>
  <c r="BF959" i="3"/>
  <c r="BF958" i="3"/>
  <c r="BF957" i="3"/>
  <c r="BF956" i="3"/>
  <c r="BF955" i="3"/>
  <c r="BF954" i="3"/>
  <c r="BF953" i="3"/>
  <c r="BF952" i="3"/>
  <c r="BF951" i="3"/>
  <c r="BF950" i="3"/>
  <c r="BF949" i="3"/>
  <c r="BF948" i="3"/>
  <c r="BF947" i="3"/>
  <c r="BF946" i="3"/>
  <c r="BF945" i="3"/>
  <c r="BF944" i="3"/>
  <c r="BF943" i="3"/>
  <c r="BF942" i="3"/>
  <c r="BF941" i="3"/>
  <c r="BF940" i="3"/>
  <c r="BF939" i="3"/>
  <c r="BF938" i="3"/>
  <c r="BF937" i="3"/>
  <c r="BF936" i="3"/>
  <c r="BF935" i="3"/>
  <c r="BF934" i="3"/>
  <c r="BF933" i="3"/>
  <c r="BF932" i="3"/>
  <c r="BF931" i="3"/>
  <c r="BF930" i="3"/>
  <c r="BF929" i="3"/>
  <c r="BF928" i="3"/>
  <c r="BF927" i="3"/>
  <c r="BF926" i="3"/>
  <c r="BF925" i="3"/>
  <c r="BF924" i="3"/>
  <c r="BF923" i="3"/>
  <c r="BF922" i="3"/>
  <c r="BF921" i="3"/>
  <c r="BF920" i="3"/>
  <c r="BF919" i="3"/>
  <c r="BF918" i="3"/>
  <c r="BF917" i="3"/>
  <c r="BF916" i="3"/>
  <c r="BF915" i="3"/>
  <c r="BF914" i="3"/>
  <c r="BF913" i="3"/>
  <c r="BF912" i="3"/>
  <c r="BF911" i="3"/>
  <c r="BF910" i="3"/>
  <c r="BF909" i="3"/>
  <c r="BF908" i="3"/>
  <c r="BF907" i="3"/>
  <c r="BF906" i="3"/>
  <c r="BF905" i="3"/>
  <c r="BF904" i="3"/>
  <c r="BF903" i="3"/>
  <c r="BF902" i="3"/>
  <c r="BF901" i="3"/>
  <c r="BF900" i="3"/>
  <c r="BF899" i="3"/>
  <c r="BF898" i="3"/>
  <c r="BF897" i="3"/>
  <c r="BF896" i="3"/>
  <c r="BF895" i="3"/>
  <c r="BF894" i="3"/>
  <c r="BF893" i="3"/>
  <c r="BF892" i="3"/>
  <c r="BF891" i="3"/>
  <c r="BF890" i="3"/>
  <c r="BF889" i="3"/>
  <c r="BF888" i="3"/>
  <c r="BF887" i="3"/>
  <c r="BF886" i="3"/>
  <c r="BF885" i="3"/>
  <c r="BF884" i="3"/>
  <c r="BF883" i="3"/>
  <c r="BF882" i="3"/>
  <c r="BF881" i="3"/>
  <c r="BF880" i="3"/>
  <c r="BF879" i="3"/>
  <c r="BF878" i="3"/>
  <c r="BF877" i="3"/>
  <c r="BF876" i="3"/>
  <c r="BF875" i="3"/>
  <c r="BF874" i="3"/>
  <c r="BF873" i="3"/>
  <c r="BF872" i="3"/>
  <c r="BF871" i="3"/>
  <c r="BF870" i="3"/>
  <c r="BF869" i="3"/>
  <c r="BF868" i="3"/>
  <c r="BF867" i="3"/>
  <c r="BF866" i="3"/>
  <c r="BF865" i="3"/>
  <c r="BF864" i="3"/>
  <c r="BF863" i="3"/>
  <c r="BF862" i="3"/>
  <c r="BF861" i="3"/>
  <c r="BF860" i="3"/>
  <c r="BF859" i="3"/>
  <c r="BF858" i="3"/>
  <c r="BF857" i="3"/>
  <c r="BF856" i="3"/>
  <c r="BF855" i="3"/>
  <c r="BF854" i="3"/>
  <c r="BF853" i="3"/>
  <c r="BF852" i="3"/>
  <c r="BF851" i="3"/>
  <c r="BF850" i="3"/>
  <c r="BF849" i="3"/>
  <c r="BF848" i="3"/>
  <c r="BF847" i="3"/>
  <c r="BF846" i="3"/>
  <c r="BF845" i="3"/>
  <c r="BF844" i="3"/>
  <c r="BF843" i="3"/>
  <c r="BF842" i="3"/>
  <c r="BF841" i="3"/>
  <c r="BF840" i="3"/>
  <c r="BF839" i="3"/>
  <c r="BF838" i="3"/>
  <c r="BF837" i="3"/>
  <c r="BF836" i="3"/>
  <c r="BF835" i="3"/>
  <c r="BF834" i="3"/>
  <c r="BF833" i="3"/>
  <c r="BF832" i="3"/>
  <c r="BF831" i="3"/>
  <c r="BF830" i="3"/>
  <c r="BF829" i="3"/>
  <c r="BF828" i="3"/>
  <c r="BF827" i="3"/>
  <c r="BF826" i="3"/>
  <c r="BF825" i="3"/>
  <c r="BF824" i="3"/>
  <c r="BF823" i="3"/>
  <c r="BF822" i="3"/>
  <c r="BF821" i="3"/>
  <c r="BF820" i="3"/>
  <c r="BF819" i="3"/>
  <c r="BF818" i="3"/>
  <c r="BF817" i="3"/>
  <c r="BF816" i="3"/>
  <c r="BF815" i="3"/>
  <c r="BF814" i="3"/>
  <c r="BF813" i="3"/>
  <c r="BF812" i="3"/>
  <c r="BF811" i="3"/>
  <c r="BF810" i="3"/>
  <c r="BF809" i="3"/>
  <c r="BF808" i="3"/>
  <c r="BF807" i="3"/>
  <c r="BF806" i="3"/>
  <c r="BF805" i="3"/>
  <c r="BF804" i="3"/>
  <c r="BF803" i="3"/>
  <c r="BF802" i="3"/>
  <c r="BF801" i="3"/>
  <c r="BF800" i="3"/>
  <c r="BF799" i="3"/>
  <c r="BF798" i="3"/>
  <c r="BF797" i="3"/>
  <c r="BF796" i="3"/>
  <c r="BF795" i="3"/>
  <c r="BF794" i="3"/>
  <c r="BF793" i="3"/>
  <c r="BF792" i="3"/>
  <c r="BF791" i="3"/>
  <c r="BF790" i="3"/>
  <c r="BF789" i="3"/>
  <c r="BF788" i="3"/>
  <c r="BF787" i="3"/>
  <c r="BF786" i="3"/>
  <c r="BF785" i="3"/>
  <c r="BF784" i="3"/>
  <c r="BF783" i="3"/>
  <c r="BF782" i="3"/>
  <c r="BF781" i="3"/>
  <c r="BF780" i="3"/>
  <c r="BF779" i="3"/>
  <c r="BF778" i="3"/>
  <c r="BF777" i="3"/>
  <c r="BF776" i="3"/>
  <c r="BF775" i="3"/>
  <c r="BF774" i="3"/>
  <c r="BF773" i="3"/>
  <c r="BF772" i="3"/>
  <c r="BF771" i="3"/>
  <c r="BF770" i="3"/>
  <c r="BF769" i="3"/>
  <c r="BF768" i="3"/>
  <c r="BF767" i="3"/>
  <c r="BF766" i="3"/>
  <c r="BF765" i="3"/>
  <c r="BF764" i="3"/>
  <c r="BF763" i="3"/>
  <c r="BF762" i="3"/>
  <c r="BF761" i="3"/>
  <c r="BF760" i="3"/>
  <c r="BF759" i="3"/>
  <c r="BF758" i="3"/>
  <c r="BF757" i="3"/>
  <c r="BF756" i="3"/>
  <c r="BF755" i="3"/>
  <c r="BF754" i="3"/>
  <c r="BF753" i="3"/>
  <c r="BF752" i="3"/>
  <c r="BF751" i="3"/>
  <c r="BF750" i="3"/>
  <c r="BF749" i="3"/>
  <c r="BF748" i="3"/>
  <c r="BF747" i="3"/>
  <c r="BF746" i="3"/>
  <c r="BF745" i="3"/>
  <c r="BF744" i="3"/>
  <c r="BF743" i="3"/>
  <c r="BF742" i="3"/>
  <c r="BF741" i="3"/>
  <c r="BF740" i="3"/>
  <c r="BF739" i="3"/>
  <c r="BF738" i="3"/>
  <c r="BF737" i="3"/>
  <c r="BF736" i="3"/>
  <c r="BF735" i="3"/>
  <c r="BF734" i="3"/>
  <c r="BF733" i="3"/>
  <c r="BF732" i="3"/>
  <c r="BF731" i="3"/>
  <c r="BF730" i="3"/>
  <c r="BF729" i="3"/>
  <c r="BF728" i="3"/>
  <c r="BF727" i="3"/>
  <c r="BF726" i="3"/>
  <c r="BF725" i="3"/>
  <c r="BF724" i="3"/>
  <c r="BF723" i="3"/>
  <c r="BF722" i="3"/>
  <c r="BF721" i="3"/>
  <c r="BF720" i="3"/>
  <c r="BF719" i="3"/>
  <c r="BF718" i="3"/>
  <c r="BF717" i="3"/>
  <c r="BF716" i="3"/>
  <c r="BF715" i="3"/>
  <c r="BF714" i="3"/>
  <c r="BF713" i="3"/>
  <c r="BF712" i="3"/>
  <c r="BF711" i="3"/>
  <c r="BF710" i="3"/>
  <c r="BF709" i="3"/>
  <c r="BF708" i="3"/>
  <c r="BF707" i="3"/>
  <c r="BF706" i="3"/>
  <c r="BF705" i="3"/>
  <c r="BF704" i="3"/>
  <c r="BF703" i="3"/>
  <c r="BF702" i="3"/>
  <c r="BF701" i="3"/>
  <c r="BF700" i="3"/>
  <c r="BF699" i="3"/>
  <c r="BF698" i="3"/>
  <c r="BF697" i="3"/>
  <c r="BF696" i="3"/>
  <c r="BF695" i="3"/>
  <c r="BF694" i="3"/>
  <c r="BF693" i="3"/>
  <c r="BF692" i="3"/>
  <c r="BF691" i="3"/>
  <c r="BF690" i="3"/>
  <c r="BF689" i="3"/>
  <c r="BF688" i="3"/>
  <c r="BF687" i="3"/>
  <c r="BF686" i="3"/>
  <c r="BF685" i="3"/>
  <c r="BF684" i="3"/>
  <c r="BF683" i="3"/>
  <c r="BF682" i="3"/>
  <c r="BF681" i="3"/>
  <c r="BF680" i="3"/>
  <c r="BF679" i="3"/>
  <c r="BF678" i="3"/>
  <c r="BF677" i="3"/>
  <c r="BF676" i="3"/>
  <c r="BF675" i="3"/>
  <c r="BF674" i="3"/>
  <c r="BF673" i="3"/>
  <c r="BF672" i="3"/>
  <c r="BF671" i="3"/>
  <c r="BF670" i="3"/>
  <c r="BF669" i="3"/>
  <c r="BF668" i="3"/>
  <c r="BF667" i="3"/>
  <c r="BF666" i="3"/>
  <c r="BF665" i="3"/>
  <c r="BF664" i="3"/>
  <c r="BF663" i="3"/>
  <c r="BF662" i="3"/>
  <c r="BF661" i="3"/>
  <c r="BF660" i="3"/>
  <c r="BF659" i="3"/>
  <c r="BF658" i="3"/>
  <c r="BF657" i="3"/>
  <c r="BF656" i="3"/>
  <c r="BF655" i="3"/>
  <c r="BF654" i="3"/>
  <c r="BF653" i="3"/>
  <c r="BF652" i="3"/>
  <c r="BF651" i="3"/>
  <c r="BF650" i="3"/>
  <c r="BF649" i="3"/>
  <c r="BF648" i="3"/>
  <c r="BF647" i="3"/>
  <c r="BF646" i="3"/>
  <c r="BF645" i="3"/>
  <c r="BF644" i="3"/>
  <c r="BF643" i="3"/>
  <c r="BF642" i="3"/>
  <c r="BF641" i="3"/>
  <c r="BF640" i="3"/>
  <c r="BF639" i="3"/>
  <c r="BF638" i="3"/>
  <c r="BF637" i="3"/>
  <c r="BF636" i="3"/>
  <c r="BF635" i="3"/>
  <c r="BF634" i="3"/>
  <c r="BF633" i="3"/>
  <c r="BF632" i="3"/>
  <c r="BF631" i="3"/>
  <c r="BF630" i="3"/>
  <c r="BF629" i="3"/>
  <c r="BF628" i="3"/>
  <c r="BF627" i="3"/>
  <c r="BF626" i="3"/>
  <c r="BF625" i="3"/>
  <c r="BF624" i="3"/>
  <c r="BF623" i="3"/>
  <c r="BF622" i="3"/>
  <c r="BF621" i="3"/>
  <c r="BF620" i="3"/>
  <c r="BF619" i="3"/>
  <c r="BF618" i="3"/>
  <c r="BF617" i="3"/>
  <c r="BF616" i="3"/>
  <c r="BF615" i="3"/>
  <c r="BF614" i="3"/>
  <c r="BF613" i="3"/>
  <c r="BF612" i="3"/>
  <c r="BF611" i="3"/>
  <c r="BF610" i="3"/>
  <c r="BF609" i="3"/>
  <c r="BF608" i="3"/>
  <c r="BF607" i="3"/>
  <c r="BF606" i="3"/>
  <c r="BF605" i="3"/>
  <c r="BF604" i="3"/>
  <c r="BF603" i="3"/>
  <c r="BF602" i="3"/>
  <c r="BF601" i="3"/>
  <c r="BF600" i="3"/>
  <c r="BF599" i="3"/>
  <c r="BF598" i="3"/>
  <c r="BF597" i="3"/>
  <c r="BF596" i="3"/>
  <c r="BF595" i="3"/>
  <c r="BF594" i="3"/>
  <c r="BF593" i="3"/>
  <c r="BF592" i="3"/>
  <c r="BF591" i="3"/>
  <c r="BF590" i="3"/>
  <c r="BF589" i="3"/>
  <c r="BF588" i="3"/>
  <c r="BF587" i="3"/>
  <c r="BF586" i="3"/>
  <c r="BF585" i="3"/>
  <c r="BF584" i="3"/>
  <c r="BF583" i="3"/>
  <c r="BF582" i="3"/>
  <c r="BF581" i="3"/>
  <c r="BF580" i="3"/>
  <c r="BF579" i="3"/>
  <c r="BF578" i="3"/>
  <c r="BF577" i="3"/>
  <c r="BF576" i="3"/>
  <c r="BF575" i="3"/>
  <c r="BF574" i="3"/>
  <c r="BF573" i="3"/>
  <c r="BF572" i="3"/>
  <c r="BF571" i="3"/>
  <c r="BF570" i="3"/>
  <c r="BF569" i="3"/>
  <c r="BF568" i="3"/>
  <c r="BF567" i="3"/>
  <c r="BF566" i="3"/>
  <c r="BF565" i="3"/>
  <c r="BF564" i="3"/>
  <c r="BF563" i="3"/>
  <c r="BF562" i="3"/>
  <c r="BF561" i="3"/>
  <c r="BF560" i="3"/>
  <c r="BF559" i="3"/>
  <c r="BF558" i="3"/>
  <c r="BF557" i="3"/>
  <c r="BF556" i="3"/>
  <c r="BF555" i="3"/>
  <c r="BF554" i="3"/>
  <c r="BF553" i="3"/>
  <c r="BF552" i="3"/>
  <c r="BF551" i="3"/>
  <c r="BF550" i="3"/>
  <c r="BF549" i="3"/>
  <c r="BF548" i="3"/>
  <c r="BF547" i="3"/>
  <c r="BF546" i="3"/>
  <c r="BF545" i="3"/>
  <c r="BF544" i="3"/>
  <c r="BF543" i="3"/>
  <c r="BF542" i="3"/>
  <c r="BF541" i="3"/>
  <c r="BF540" i="3"/>
  <c r="BF539" i="3"/>
  <c r="BF538" i="3"/>
  <c r="BF537" i="3"/>
  <c r="BF536" i="3"/>
  <c r="BF535" i="3"/>
  <c r="BF534" i="3"/>
  <c r="BF533" i="3"/>
  <c r="BF532" i="3"/>
  <c r="BF531" i="3"/>
  <c r="BF530" i="3"/>
  <c r="BF529" i="3"/>
  <c r="BF528" i="3"/>
  <c r="BF527" i="3"/>
  <c r="BF526" i="3"/>
  <c r="BF525" i="3"/>
  <c r="BF524" i="3"/>
  <c r="BF523" i="3"/>
  <c r="BF522" i="3"/>
  <c r="BF521" i="3"/>
  <c r="BF520" i="3"/>
  <c r="BF519" i="3"/>
  <c r="BF518" i="3"/>
  <c r="BF517" i="3"/>
  <c r="BF516" i="3"/>
  <c r="BF515" i="3"/>
  <c r="BF514" i="3"/>
  <c r="BF513" i="3"/>
  <c r="BF512" i="3"/>
  <c r="BF511" i="3"/>
  <c r="BF510" i="3"/>
  <c r="BF509" i="3"/>
  <c r="BF508" i="3"/>
  <c r="BF507" i="3"/>
  <c r="BF506" i="3"/>
  <c r="BF505" i="3"/>
  <c r="BF504" i="3"/>
  <c r="BF503" i="3"/>
  <c r="BF502" i="3"/>
  <c r="BF501" i="3"/>
  <c r="BF500" i="3"/>
  <c r="BF499" i="3"/>
  <c r="BF498" i="3"/>
  <c r="BF497" i="3"/>
  <c r="BF496" i="3"/>
  <c r="BF495" i="3"/>
  <c r="BF494" i="3"/>
  <c r="BF493" i="3"/>
  <c r="BF492" i="3"/>
  <c r="BF491" i="3"/>
  <c r="BF490" i="3"/>
  <c r="BF489" i="3"/>
  <c r="BF488" i="3"/>
  <c r="BF487" i="3"/>
  <c r="BF486" i="3"/>
  <c r="BF485" i="3"/>
  <c r="BF484" i="3"/>
  <c r="BF483" i="3"/>
  <c r="BF482" i="3"/>
  <c r="BF481" i="3"/>
  <c r="BF480" i="3"/>
  <c r="BF479" i="3"/>
  <c r="BF478" i="3"/>
  <c r="BF477" i="3"/>
  <c r="BF476" i="3"/>
  <c r="BF475" i="3"/>
  <c r="BF474" i="3"/>
  <c r="BF473" i="3"/>
  <c r="BF472" i="3"/>
  <c r="BF471" i="3"/>
  <c r="BF470" i="3"/>
  <c r="BF469" i="3"/>
  <c r="BF468" i="3"/>
  <c r="BF467" i="3"/>
  <c r="BF466" i="3"/>
  <c r="BF465" i="3"/>
  <c r="BF464" i="3"/>
  <c r="BF463" i="3"/>
  <c r="BF462" i="3"/>
  <c r="BF461" i="3"/>
  <c r="BF460" i="3"/>
  <c r="BF459" i="3"/>
  <c r="BF458" i="3"/>
  <c r="BF457" i="3"/>
  <c r="BF456" i="3"/>
  <c r="BF455" i="3"/>
  <c r="BF454" i="3"/>
  <c r="BF453" i="3"/>
  <c r="BF452" i="3"/>
  <c r="BF451" i="3"/>
  <c r="BF450" i="3"/>
  <c r="BF449" i="3"/>
  <c r="BF448" i="3"/>
  <c r="BF447" i="3"/>
  <c r="BF446" i="3"/>
  <c r="BF445" i="3"/>
  <c r="BF444" i="3"/>
  <c r="BF443" i="3"/>
  <c r="BF442" i="3"/>
  <c r="BF441" i="3"/>
  <c r="BF440" i="3"/>
  <c r="BF439" i="3"/>
  <c r="BF438" i="3"/>
  <c r="BF437" i="3"/>
  <c r="BF436" i="3"/>
  <c r="BF435" i="3"/>
  <c r="BF434" i="3"/>
  <c r="BF433" i="3"/>
  <c r="BF432" i="3"/>
  <c r="BF431" i="3"/>
  <c r="BF430" i="3"/>
  <c r="BF429" i="3"/>
  <c r="BF428" i="3"/>
  <c r="BF427" i="3"/>
  <c r="BF426" i="3"/>
  <c r="BF425" i="3"/>
  <c r="BF424" i="3"/>
  <c r="BF423" i="3"/>
  <c r="BF422" i="3"/>
  <c r="BF421" i="3"/>
  <c r="BF420" i="3"/>
  <c r="BF419" i="3"/>
  <c r="BF418" i="3"/>
  <c r="BF417" i="3"/>
  <c r="BF416" i="3"/>
  <c r="BF415" i="3"/>
  <c r="BF414" i="3"/>
  <c r="BF413" i="3"/>
  <c r="BF412" i="3"/>
  <c r="BF411" i="3"/>
  <c r="BF410" i="3"/>
  <c r="BF409" i="3"/>
  <c r="BF408" i="3"/>
  <c r="BF407" i="3"/>
  <c r="BF406" i="3"/>
  <c r="BF405" i="3"/>
  <c r="BF404" i="3"/>
  <c r="BF403" i="3"/>
  <c r="BF402" i="3"/>
  <c r="BF401" i="3"/>
  <c r="BF400" i="3"/>
  <c r="BF399" i="3"/>
  <c r="BF398" i="3"/>
  <c r="BF397" i="3"/>
  <c r="BF396" i="3"/>
  <c r="BF395" i="3"/>
  <c r="BF394" i="3"/>
  <c r="BF393" i="3"/>
  <c r="BF392" i="3"/>
  <c r="BF391" i="3"/>
  <c r="BF390" i="3"/>
  <c r="BF389" i="3"/>
  <c r="BF388" i="3"/>
  <c r="BF387" i="3"/>
  <c r="BF386" i="3"/>
  <c r="BF385" i="3"/>
  <c r="BF384" i="3"/>
  <c r="BF383" i="3"/>
  <c r="BF382" i="3"/>
  <c r="BF381" i="3"/>
  <c r="BF380" i="3"/>
  <c r="BF379" i="3"/>
  <c r="BF378" i="3"/>
  <c r="BF377" i="3"/>
  <c r="BF376" i="3"/>
  <c r="BF375" i="3"/>
  <c r="BF374" i="3"/>
  <c r="BF373" i="3"/>
  <c r="BF372" i="3"/>
  <c r="BF371" i="3"/>
  <c r="BF370" i="3"/>
  <c r="BF369" i="3"/>
  <c r="BF368" i="3"/>
  <c r="BF367" i="3"/>
  <c r="BF366" i="3"/>
  <c r="BF365" i="3"/>
  <c r="BF364" i="3"/>
  <c r="BF363" i="3"/>
  <c r="BF362" i="3"/>
  <c r="BF361" i="3"/>
  <c r="BF360" i="3"/>
  <c r="BF359" i="3"/>
  <c r="BF358" i="3"/>
  <c r="BF357" i="3"/>
  <c r="BF356" i="3"/>
  <c r="BF355" i="3"/>
  <c r="BF354" i="3"/>
  <c r="BF353" i="3"/>
  <c r="BF352" i="3"/>
  <c r="BF351" i="3"/>
  <c r="BF350" i="3"/>
  <c r="BF349" i="3"/>
  <c r="BF348" i="3"/>
  <c r="BF347" i="3"/>
  <c r="BF346" i="3"/>
  <c r="BF345" i="3"/>
  <c r="BF344" i="3"/>
  <c r="BF343" i="3"/>
  <c r="BF342" i="3"/>
  <c r="BF341" i="3"/>
  <c r="BF340" i="3"/>
  <c r="BF339" i="3"/>
  <c r="BF338" i="3"/>
  <c r="BF337" i="3"/>
  <c r="BF336" i="3"/>
  <c r="BF335" i="3"/>
  <c r="BF334" i="3"/>
  <c r="BF333" i="3"/>
  <c r="BF332" i="3"/>
  <c r="BF331" i="3"/>
  <c r="BF330" i="3"/>
  <c r="BF329" i="3"/>
  <c r="BF328" i="3"/>
  <c r="BF327" i="3"/>
  <c r="BF326" i="3"/>
  <c r="BF325" i="3"/>
  <c r="BF324" i="3"/>
  <c r="BF323" i="3"/>
  <c r="BF322" i="3"/>
  <c r="BF321" i="3"/>
  <c r="BF320" i="3"/>
  <c r="BF319" i="3"/>
  <c r="BF318" i="3"/>
  <c r="BF317" i="3"/>
  <c r="BF316" i="3"/>
  <c r="BF315" i="3"/>
  <c r="BF314" i="3"/>
  <c r="BF313" i="3"/>
  <c r="BF312" i="3"/>
  <c r="BF311" i="3"/>
  <c r="BF310" i="3"/>
  <c r="BF309" i="3"/>
  <c r="BF308" i="3"/>
  <c r="BF307" i="3"/>
  <c r="BF306" i="3"/>
  <c r="BF305" i="3"/>
  <c r="BF304" i="3"/>
  <c r="BF303" i="3"/>
  <c r="BF302" i="3"/>
  <c r="BF301" i="3"/>
  <c r="BF300" i="3"/>
  <c r="BF299" i="3"/>
  <c r="BF298" i="3"/>
  <c r="BF297" i="3"/>
  <c r="BF296" i="3"/>
  <c r="BF295" i="3"/>
  <c r="BF294" i="3"/>
  <c r="BF293" i="3"/>
  <c r="BF292" i="3"/>
  <c r="BF291" i="3"/>
  <c r="BF290" i="3"/>
  <c r="BF289" i="3"/>
  <c r="BF288" i="3"/>
  <c r="BF287" i="3"/>
  <c r="BF286" i="3"/>
  <c r="BF285" i="3"/>
  <c r="BF284" i="3"/>
  <c r="BF283" i="3"/>
  <c r="BF282" i="3"/>
  <c r="BF281" i="3"/>
  <c r="BF280" i="3"/>
  <c r="BF279" i="3"/>
  <c r="BF278" i="3"/>
  <c r="BF277" i="3"/>
  <c r="BF276" i="3"/>
  <c r="BF275" i="3"/>
  <c r="BF274" i="3"/>
  <c r="BF273" i="3"/>
  <c r="BF272" i="3"/>
  <c r="BF271" i="3"/>
  <c r="BF270" i="3"/>
  <c r="BF269" i="3"/>
  <c r="BF268" i="3"/>
  <c r="BF267" i="3"/>
  <c r="BF266" i="3"/>
  <c r="BF265" i="3"/>
  <c r="BF264" i="3"/>
  <c r="BF263" i="3"/>
  <c r="BF262" i="3"/>
  <c r="BF261" i="3"/>
  <c r="BF260" i="3"/>
  <c r="BF259" i="3"/>
  <c r="BF258" i="3"/>
  <c r="BF257" i="3"/>
  <c r="BF256" i="3"/>
  <c r="BF255" i="3"/>
  <c r="BF254" i="3"/>
  <c r="BF253" i="3"/>
  <c r="BF252" i="3"/>
  <c r="BF251" i="3"/>
  <c r="BF250" i="3"/>
  <c r="BF249" i="3"/>
  <c r="BF248" i="3"/>
  <c r="BF247" i="3"/>
  <c r="BF246" i="3"/>
  <c r="BF245" i="3"/>
  <c r="BF244" i="3"/>
  <c r="BF243" i="3"/>
  <c r="BF242" i="3"/>
  <c r="BF241" i="3"/>
  <c r="BF240" i="3"/>
  <c r="BF239" i="3"/>
  <c r="BF238" i="3"/>
  <c r="BF237" i="3"/>
  <c r="BF236" i="3"/>
  <c r="BF235" i="3"/>
  <c r="BF234" i="3"/>
  <c r="BF233" i="3"/>
  <c r="BF232" i="3"/>
  <c r="BF231" i="3"/>
  <c r="BF230" i="3"/>
  <c r="BF229" i="3"/>
  <c r="BF228" i="3"/>
  <c r="BF227" i="3"/>
  <c r="BF226" i="3"/>
  <c r="BF225" i="3"/>
  <c r="BF224" i="3"/>
  <c r="BF223" i="3"/>
  <c r="BF222" i="3"/>
  <c r="BF221" i="3"/>
  <c r="BF220" i="3"/>
  <c r="BF219" i="3"/>
  <c r="BF218" i="3"/>
  <c r="BF217" i="3"/>
  <c r="BF216" i="3"/>
  <c r="BF215" i="3"/>
  <c r="BF214" i="3"/>
  <c r="BF213" i="3"/>
  <c r="BF212" i="3"/>
  <c r="BF211" i="3"/>
  <c r="BF210" i="3"/>
  <c r="BF209" i="3"/>
  <c r="BF208" i="3"/>
  <c r="BF207" i="3"/>
  <c r="BF206" i="3"/>
  <c r="BF205" i="3"/>
  <c r="BF204" i="3"/>
  <c r="BF203" i="3"/>
  <c r="BF202" i="3"/>
  <c r="BF201" i="3"/>
  <c r="BF200" i="3"/>
  <c r="BF199" i="3"/>
  <c r="BF198" i="3"/>
  <c r="BF197" i="3"/>
  <c r="BF196" i="3"/>
  <c r="BF195" i="3"/>
  <c r="BF194" i="3"/>
  <c r="BF193" i="3"/>
  <c r="BF192" i="3"/>
  <c r="BF191" i="3"/>
  <c r="BF190" i="3"/>
  <c r="BF189" i="3"/>
  <c r="BF188" i="3"/>
  <c r="BF187" i="3"/>
  <c r="BF186" i="3"/>
  <c r="BF185" i="3"/>
  <c r="BF184" i="3"/>
  <c r="BF183" i="3"/>
  <c r="BF182" i="3"/>
  <c r="BF181" i="3"/>
  <c r="BF180" i="3"/>
  <c r="BF179" i="3"/>
  <c r="BF178" i="3"/>
  <c r="BF177" i="3"/>
  <c r="BF176" i="3"/>
  <c r="BF175" i="3"/>
  <c r="BF174" i="3"/>
  <c r="BF173" i="3"/>
  <c r="BF172" i="3"/>
  <c r="BF171" i="3"/>
  <c r="BF170" i="3"/>
  <c r="BF169" i="3"/>
  <c r="BF168" i="3"/>
  <c r="BF167" i="3"/>
  <c r="BF166" i="3"/>
  <c r="BF165" i="3"/>
  <c r="BF164" i="3"/>
  <c r="BF163" i="3"/>
  <c r="BF162" i="3"/>
  <c r="BF161" i="3"/>
  <c r="BF160" i="3"/>
  <c r="BF159" i="3"/>
  <c r="BF158" i="3"/>
  <c r="BF157" i="3"/>
  <c r="BF156" i="3"/>
  <c r="BF155" i="3"/>
  <c r="BF154" i="3"/>
  <c r="BF153" i="3"/>
  <c r="BF152" i="3"/>
  <c r="BF151" i="3"/>
  <c r="BF150" i="3"/>
  <c r="BF149" i="3"/>
  <c r="BF148" i="3"/>
  <c r="BF147" i="3"/>
  <c r="BF146" i="3"/>
  <c r="BF145" i="3"/>
  <c r="BF144" i="3"/>
  <c r="BF143" i="3"/>
  <c r="BF142" i="3"/>
  <c r="BF141" i="3"/>
  <c r="BF140" i="3"/>
  <c r="BF139" i="3"/>
  <c r="BF138" i="3"/>
  <c r="BF137" i="3"/>
  <c r="BF136" i="3"/>
  <c r="BF135" i="3"/>
  <c r="BF134" i="3"/>
  <c r="BF133" i="3"/>
  <c r="BF132" i="3"/>
  <c r="BF131" i="3"/>
  <c r="BF130" i="3"/>
  <c r="BF129" i="3"/>
  <c r="BF128" i="3"/>
  <c r="BF127" i="3"/>
  <c r="BF126" i="3"/>
  <c r="BF125" i="3"/>
  <c r="BF124" i="3"/>
  <c r="BF123" i="3"/>
  <c r="BF122" i="3"/>
  <c r="BF121" i="3"/>
  <c r="BF120" i="3"/>
  <c r="BF119" i="3"/>
  <c r="BF118" i="3"/>
  <c r="BF117" i="3"/>
  <c r="BF116" i="3"/>
  <c r="BF115" i="3"/>
  <c r="BF114" i="3"/>
  <c r="BF113" i="3"/>
  <c r="BF112" i="3"/>
  <c r="BF111" i="3"/>
  <c r="BF110" i="3"/>
  <c r="BF109" i="3"/>
  <c r="BF108" i="3"/>
  <c r="BF107" i="3"/>
  <c r="BF106" i="3"/>
  <c r="BF105" i="3"/>
  <c r="BF104" i="3"/>
  <c r="BF103" i="3"/>
  <c r="BF102" i="3"/>
  <c r="BF101" i="3"/>
  <c r="BF100" i="3"/>
  <c r="BF99" i="3"/>
  <c r="BF98" i="3"/>
  <c r="BF97" i="3"/>
  <c r="BF96" i="3"/>
  <c r="BF95" i="3"/>
  <c r="BF94" i="3"/>
  <c r="BF93" i="3"/>
  <c r="BF92" i="3"/>
  <c r="BF91" i="3"/>
  <c r="BF90" i="3"/>
  <c r="BF89" i="3"/>
  <c r="BF88" i="3"/>
  <c r="BF87" i="3"/>
  <c r="BF86" i="3"/>
  <c r="BF85" i="3"/>
  <c r="BF84" i="3"/>
  <c r="BF83" i="3"/>
  <c r="BF82" i="3"/>
  <c r="BF81" i="3"/>
  <c r="BF80" i="3"/>
  <c r="BF79" i="3"/>
  <c r="BF78" i="3"/>
  <c r="BF77" i="3"/>
  <c r="BF76" i="3"/>
  <c r="BF75" i="3"/>
  <c r="BF74" i="3"/>
  <c r="BF73" i="3"/>
  <c r="BF72" i="3"/>
  <c r="BF71" i="3"/>
  <c r="BF70" i="3"/>
  <c r="BF69" i="3"/>
  <c r="BF68" i="3"/>
  <c r="BF67" i="3"/>
  <c r="BF66" i="3"/>
  <c r="BF65" i="3"/>
  <c r="BF64" i="3"/>
  <c r="BF63" i="3"/>
  <c r="BF62" i="3"/>
  <c r="BF61" i="3"/>
  <c r="BF60" i="3"/>
  <c r="BF59" i="3"/>
  <c r="BF58" i="3"/>
  <c r="BF57" i="3"/>
  <c r="BF56" i="3"/>
  <c r="BF55" i="3"/>
  <c r="BF54" i="3"/>
  <c r="BF53" i="3"/>
  <c r="BF52" i="3"/>
  <c r="BF51" i="3"/>
  <c r="BF50" i="3"/>
  <c r="BF49" i="3"/>
  <c r="BF48" i="3"/>
  <c r="BF47" i="3"/>
  <c r="BF46" i="3"/>
  <c r="BF45" i="3"/>
  <c r="BF44" i="3"/>
  <c r="BF43" i="3"/>
  <c r="BF42" i="3"/>
  <c r="BF41" i="3"/>
  <c r="BF40" i="3"/>
  <c r="BF39" i="3"/>
  <c r="BF38" i="3"/>
  <c r="BF37" i="3"/>
  <c r="BF36" i="3"/>
  <c r="BF35" i="3"/>
  <c r="BF34" i="3"/>
  <c r="BF33" i="3"/>
  <c r="BF32" i="3"/>
  <c r="BF31" i="3"/>
  <c r="BF30" i="3"/>
  <c r="BF29" i="3"/>
  <c r="BF28" i="3"/>
  <c r="BF27" i="3"/>
  <c r="BF26" i="3"/>
  <c r="BF25" i="3"/>
  <c r="BF24" i="3"/>
  <c r="BF23" i="3"/>
  <c r="BF22" i="3"/>
  <c r="BF21" i="3"/>
  <c r="BF20" i="3"/>
  <c r="BF19" i="3"/>
  <c r="BF18" i="3"/>
  <c r="BF17" i="3"/>
  <c r="BF16" i="3"/>
  <c r="BF15" i="3"/>
  <c r="BF14" i="3"/>
  <c r="BF13" i="3"/>
  <c r="AV1012" i="3"/>
  <c r="AV1011" i="3"/>
  <c r="AV1010" i="3"/>
  <c r="AV1009" i="3"/>
  <c r="AV1008" i="3"/>
  <c r="AV1007" i="3"/>
  <c r="AV1006" i="3"/>
  <c r="AV1005" i="3"/>
  <c r="AV1004" i="3"/>
  <c r="AV1003" i="3"/>
  <c r="AV1002" i="3"/>
  <c r="AV1001" i="3"/>
  <c r="AV1000" i="3"/>
  <c r="AV999" i="3"/>
  <c r="AV998" i="3"/>
  <c r="AV997" i="3"/>
  <c r="AV996" i="3"/>
  <c r="AV995" i="3"/>
  <c r="AV994" i="3"/>
  <c r="AV993" i="3"/>
  <c r="AV992" i="3"/>
  <c r="AV991" i="3"/>
  <c r="AV990" i="3"/>
  <c r="AV989" i="3"/>
  <c r="AV988" i="3"/>
  <c r="AV987" i="3"/>
  <c r="AV986" i="3"/>
  <c r="AV985" i="3"/>
  <c r="AV984" i="3"/>
  <c r="AV983" i="3"/>
  <c r="AV982" i="3"/>
  <c r="AV981" i="3"/>
  <c r="AV980" i="3"/>
  <c r="AV979" i="3"/>
  <c r="AV978" i="3"/>
  <c r="AV977" i="3"/>
  <c r="AV976" i="3"/>
  <c r="AV975" i="3"/>
  <c r="AV974" i="3"/>
  <c r="AV973" i="3"/>
  <c r="AV972" i="3"/>
  <c r="AV971" i="3"/>
  <c r="AV970" i="3"/>
  <c r="AV969" i="3"/>
  <c r="AV968" i="3"/>
  <c r="AV967" i="3"/>
  <c r="AV966" i="3"/>
  <c r="AV965" i="3"/>
  <c r="AV964" i="3"/>
  <c r="AV963" i="3"/>
  <c r="AV962" i="3"/>
  <c r="AV961" i="3"/>
  <c r="AV960" i="3"/>
  <c r="AV959" i="3"/>
  <c r="AV958" i="3"/>
  <c r="AV957" i="3"/>
  <c r="AV956" i="3"/>
  <c r="AV955" i="3"/>
  <c r="AV954" i="3"/>
  <c r="AV953" i="3"/>
  <c r="AV952" i="3"/>
  <c r="AV951" i="3"/>
  <c r="AV950" i="3"/>
  <c r="AV949" i="3"/>
  <c r="AV948" i="3"/>
  <c r="AV947" i="3"/>
  <c r="AV946" i="3"/>
  <c r="AV945" i="3"/>
  <c r="AV944" i="3"/>
  <c r="AV943" i="3"/>
  <c r="AV942" i="3"/>
  <c r="AV941" i="3"/>
  <c r="AV940" i="3"/>
  <c r="AV939" i="3"/>
  <c r="AV938" i="3"/>
  <c r="AV937" i="3"/>
  <c r="AV936" i="3"/>
  <c r="AV935" i="3"/>
  <c r="AV934" i="3"/>
  <c r="AV933" i="3"/>
  <c r="AV932" i="3"/>
  <c r="AV931" i="3"/>
  <c r="AV930" i="3"/>
  <c r="AV929" i="3"/>
  <c r="AV928" i="3"/>
  <c r="AV927" i="3"/>
  <c r="AV926" i="3"/>
  <c r="AV925" i="3"/>
  <c r="AV924" i="3"/>
  <c r="AV923" i="3"/>
  <c r="AV922" i="3"/>
  <c r="AV921" i="3"/>
  <c r="AV920" i="3"/>
  <c r="AV919" i="3"/>
  <c r="AV918" i="3"/>
  <c r="AV917" i="3"/>
  <c r="AV916" i="3"/>
  <c r="AV915" i="3"/>
  <c r="AV914" i="3"/>
  <c r="AV913" i="3"/>
  <c r="AV912" i="3"/>
  <c r="AV911" i="3"/>
  <c r="AV910" i="3"/>
  <c r="AV909" i="3"/>
  <c r="AV908" i="3"/>
  <c r="AV907" i="3"/>
  <c r="AV906" i="3"/>
  <c r="AV905" i="3"/>
  <c r="AV904" i="3"/>
  <c r="AV903" i="3"/>
  <c r="AV902" i="3"/>
  <c r="AV901" i="3"/>
  <c r="AV900" i="3"/>
  <c r="AV899" i="3"/>
  <c r="AV898" i="3"/>
  <c r="AV897" i="3"/>
  <c r="AV896" i="3"/>
  <c r="AV895" i="3"/>
  <c r="AV894" i="3"/>
  <c r="AV893" i="3"/>
  <c r="AV892" i="3"/>
  <c r="AV891" i="3"/>
  <c r="AV890" i="3"/>
  <c r="AV889" i="3"/>
  <c r="AV888" i="3"/>
  <c r="AV887" i="3"/>
  <c r="AV886" i="3"/>
  <c r="AV885" i="3"/>
  <c r="AV884" i="3"/>
  <c r="AV883" i="3"/>
  <c r="AV882" i="3"/>
  <c r="AV881" i="3"/>
  <c r="AV880" i="3"/>
  <c r="AV879" i="3"/>
  <c r="AV878" i="3"/>
  <c r="AV877" i="3"/>
  <c r="AV876" i="3"/>
  <c r="AV875" i="3"/>
  <c r="AV874" i="3"/>
  <c r="AV873" i="3"/>
  <c r="AV872" i="3"/>
  <c r="AV871" i="3"/>
  <c r="AV870" i="3"/>
  <c r="AV869" i="3"/>
  <c r="AV868" i="3"/>
  <c r="AV867" i="3"/>
  <c r="AV866" i="3"/>
  <c r="AV865" i="3"/>
  <c r="AV864" i="3"/>
  <c r="AV863" i="3"/>
  <c r="AV862" i="3"/>
  <c r="AV861" i="3"/>
  <c r="AV860" i="3"/>
  <c r="AV859" i="3"/>
  <c r="AV858" i="3"/>
  <c r="AV857" i="3"/>
  <c r="AV856" i="3"/>
  <c r="AV855" i="3"/>
  <c r="AV854" i="3"/>
  <c r="AV853" i="3"/>
  <c r="AV852" i="3"/>
  <c r="AV851" i="3"/>
  <c r="AV850" i="3"/>
  <c r="AV849" i="3"/>
  <c r="AV848" i="3"/>
  <c r="AV847" i="3"/>
  <c r="AV846" i="3"/>
  <c r="AV845" i="3"/>
  <c r="AV844" i="3"/>
  <c r="AV843" i="3"/>
  <c r="AV842" i="3"/>
  <c r="AV841" i="3"/>
  <c r="AV840" i="3"/>
  <c r="AV839" i="3"/>
  <c r="AV838" i="3"/>
  <c r="AV837" i="3"/>
  <c r="AV836" i="3"/>
  <c r="AV835" i="3"/>
  <c r="AV834" i="3"/>
  <c r="AV833" i="3"/>
  <c r="AV832" i="3"/>
  <c r="AV831" i="3"/>
  <c r="AV830" i="3"/>
  <c r="AV829" i="3"/>
  <c r="AV828" i="3"/>
  <c r="AV827" i="3"/>
  <c r="AV826" i="3"/>
  <c r="AV825" i="3"/>
  <c r="AV824" i="3"/>
  <c r="AV823" i="3"/>
  <c r="AV822" i="3"/>
  <c r="AV821" i="3"/>
  <c r="AV820" i="3"/>
  <c r="AV819" i="3"/>
  <c r="AV818" i="3"/>
  <c r="AV817" i="3"/>
  <c r="AV816" i="3"/>
  <c r="AV815" i="3"/>
  <c r="AV814" i="3"/>
  <c r="AV813" i="3"/>
  <c r="AV812" i="3"/>
  <c r="AV811" i="3"/>
  <c r="AV810" i="3"/>
  <c r="AV809" i="3"/>
  <c r="AV808" i="3"/>
  <c r="AV807" i="3"/>
  <c r="AV806" i="3"/>
  <c r="AV805" i="3"/>
  <c r="AV804" i="3"/>
  <c r="AV803" i="3"/>
  <c r="AV802" i="3"/>
  <c r="AV801" i="3"/>
  <c r="AV800" i="3"/>
  <c r="AV799" i="3"/>
  <c r="AV798" i="3"/>
  <c r="AV797" i="3"/>
  <c r="AV796" i="3"/>
  <c r="AV795" i="3"/>
  <c r="AV794" i="3"/>
  <c r="AV793" i="3"/>
  <c r="AV792" i="3"/>
  <c r="AV791" i="3"/>
  <c r="AV790" i="3"/>
  <c r="AV789" i="3"/>
  <c r="AV788" i="3"/>
  <c r="AV787" i="3"/>
  <c r="AV786" i="3"/>
  <c r="AV785" i="3"/>
  <c r="AV784" i="3"/>
  <c r="AV783" i="3"/>
  <c r="AV782" i="3"/>
  <c r="AV781" i="3"/>
  <c r="AV780" i="3"/>
  <c r="AV779" i="3"/>
  <c r="AV778" i="3"/>
  <c r="AV777" i="3"/>
  <c r="AV776" i="3"/>
  <c r="AV775" i="3"/>
  <c r="AV774" i="3"/>
  <c r="AV773" i="3"/>
  <c r="AV772" i="3"/>
  <c r="AV771" i="3"/>
  <c r="AV770" i="3"/>
  <c r="AV769" i="3"/>
  <c r="AV768" i="3"/>
  <c r="AV767" i="3"/>
  <c r="AV766" i="3"/>
  <c r="AV765" i="3"/>
  <c r="AV764" i="3"/>
  <c r="AV763" i="3"/>
  <c r="AV762" i="3"/>
  <c r="AV761" i="3"/>
  <c r="AV760" i="3"/>
  <c r="AV759" i="3"/>
  <c r="AV758" i="3"/>
  <c r="AV757" i="3"/>
  <c r="AV756" i="3"/>
  <c r="AV755" i="3"/>
  <c r="AV754" i="3"/>
  <c r="AV753" i="3"/>
  <c r="AV752" i="3"/>
  <c r="AV751" i="3"/>
  <c r="AV750" i="3"/>
  <c r="AV749" i="3"/>
  <c r="AV748" i="3"/>
  <c r="AV747" i="3"/>
  <c r="AV746" i="3"/>
  <c r="AV745" i="3"/>
  <c r="AV744" i="3"/>
  <c r="AV743" i="3"/>
  <c r="AV742" i="3"/>
  <c r="AV741" i="3"/>
  <c r="AV740" i="3"/>
  <c r="AV739" i="3"/>
  <c r="AV738" i="3"/>
  <c r="AV737" i="3"/>
  <c r="AV736" i="3"/>
  <c r="AV735" i="3"/>
  <c r="AV734" i="3"/>
  <c r="AV733" i="3"/>
  <c r="AV732" i="3"/>
  <c r="AV731" i="3"/>
  <c r="AV730" i="3"/>
  <c r="AV729" i="3"/>
  <c r="AV728" i="3"/>
  <c r="AV727" i="3"/>
  <c r="AV726" i="3"/>
  <c r="AV725" i="3"/>
  <c r="AV724" i="3"/>
  <c r="AV723" i="3"/>
  <c r="AV722" i="3"/>
  <c r="AV721" i="3"/>
  <c r="AV720" i="3"/>
  <c r="AV719" i="3"/>
  <c r="AV718" i="3"/>
  <c r="AV717" i="3"/>
  <c r="AV716" i="3"/>
  <c r="AV715" i="3"/>
  <c r="AV714" i="3"/>
  <c r="AV713" i="3"/>
  <c r="AV712" i="3"/>
  <c r="AV711" i="3"/>
  <c r="AV710" i="3"/>
  <c r="AV709" i="3"/>
  <c r="AV708" i="3"/>
  <c r="AV707" i="3"/>
  <c r="AV706" i="3"/>
  <c r="AV705" i="3"/>
  <c r="AV704" i="3"/>
  <c r="AV703" i="3"/>
  <c r="AV702" i="3"/>
  <c r="AV701" i="3"/>
  <c r="AV700" i="3"/>
  <c r="AV699" i="3"/>
  <c r="AV698" i="3"/>
  <c r="AV697" i="3"/>
  <c r="AV696" i="3"/>
  <c r="AV695" i="3"/>
  <c r="AV694" i="3"/>
  <c r="AV693" i="3"/>
  <c r="AV692" i="3"/>
  <c r="AV691" i="3"/>
  <c r="AV690" i="3"/>
  <c r="AV689" i="3"/>
  <c r="AV688" i="3"/>
  <c r="AV687" i="3"/>
  <c r="AV686" i="3"/>
  <c r="AV685" i="3"/>
  <c r="AV684" i="3"/>
  <c r="AV683" i="3"/>
  <c r="AV682" i="3"/>
  <c r="AV681" i="3"/>
  <c r="AV680" i="3"/>
  <c r="AV679" i="3"/>
  <c r="AV678" i="3"/>
  <c r="AV677" i="3"/>
  <c r="AV676" i="3"/>
  <c r="AV675" i="3"/>
  <c r="AV674" i="3"/>
  <c r="AV673" i="3"/>
  <c r="AV672" i="3"/>
  <c r="AV671" i="3"/>
  <c r="AV670" i="3"/>
  <c r="AV669" i="3"/>
  <c r="AV668" i="3"/>
  <c r="AV667" i="3"/>
  <c r="AV666" i="3"/>
  <c r="AV665" i="3"/>
  <c r="AV664" i="3"/>
  <c r="AV663" i="3"/>
  <c r="AV662" i="3"/>
  <c r="AV661" i="3"/>
  <c r="AV660" i="3"/>
  <c r="AV659" i="3"/>
  <c r="AV658" i="3"/>
  <c r="AV657" i="3"/>
  <c r="AV656" i="3"/>
  <c r="AV655" i="3"/>
  <c r="AV654" i="3"/>
  <c r="AV653" i="3"/>
  <c r="AV652" i="3"/>
  <c r="AV651" i="3"/>
  <c r="AV650" i="3"/>
  <c r="AV649" i="3"/>
  <c r="AV648" i="3"/>
  <c r="AV647" i="3"/>
  <c r="AV646" i="3"/>
  <c r="AV645" i="3"/>
  <c r="AV644" i="3"/>
  <c r="AV643" i="3"/>
  <c r="AV642" i="3"/>
  <c r="AV641" i="3"/>
  <c r="AV640" i="3"/>
  <c r="AV639" i="3"/>
  <c r="AV638" i="3"/>
  <c r="AV637" i="3"/>
  <c r="AV636" i="3"/>
  <c r="AV635" i="3"/>
  <c r="AV634" i="3"/>
  <c r="AV633" i="3"/>
  <c r="AV632" i="3"/>
  <c r="AV631" i="3"/>
  <c r="AV630" i="3"/>
  <c r="AV629" i="3"/>
  <c r="AV628" i="3"/>
  <c r="AV627" i="3"/>
  <c r="AV626" i="3"/>
  <c r="AV625" i="3"/>
  <c r="AV624" i="3"/>
  <c r="AV623" i="3"/>
  <c r="AV622" i="3"/>
  <c r="AV621" i="3"/>
  <c r="AV620" i="3"/>
  <c r="AV619" i="3"/>
  <c r="AV618" i="3"/>
  <c r="AV617" i="3"/>
  <c r="AV616" i="3"/>
  <c r="AV615" i="3"/>
  <c r="AV614" i="3"/>
  <c r="AV613" i="3"/>
  <c r="AV612" i="3"/>
  <c r="AV611" i="3"/>
  <c r="AV610" i="3"/>
  <c r="AV609" i="3"/>
  <c r="AV608" i="3"/>
  <c r="AV607" i="3"/>
  <c r="AV606" i="3"/>
  <c r="AV605" i="3"/>
  <c r="AV604" i="3"/>
  <c r="AV603" i="3"/>
  <c r="AV602" i="3"/>
  <c r="AV601" i="3"/>
  <c r="AV600" i="3"/>
  <c r="AV599" i="3"/>
  <c r="AV598" i="3"/>
  <c r="AV597" i="3"/>
  <c r="AV596" i="3"/>
  <c r="AV595" i="3"/>
  <c r="AV594" i="3"/>
  <c r="AV593" i="3"/>
  <c r="AV592" i="3"/>
  <c r="AV591" i="3"/>
  <c r="AV590" i="3"/>
  <c r="AV589" i="3"/>
  <c r="AV588" i="3"/>
  <c r="AV587" i="3"/>
  <c r="AV586" i="3"/>
  <c r="AV585" i="3"/>
  <c r="AV584" i="3"/>
  <c r="AV583" i="3"/>
  <c r="AV582" i="3"/>
  <c r="AV581" i="3"/>
  <c r="AV580" i="3"/>
  <c r="AV579" i="3"/>
  <c r="AV578" i="3"/>
  <c r="AV577" i="3"/>
  <c r="AV576" i="3"/>
  <c r="AV575" i="3"/>
  <c r="AV574" i="3"/>
  <c r="AV573" i="3"/>
  <c r="AV572" i="3"/>
  <c r="AV571" i="3"/>
  <c r="AV570" i="3"/>
  <c r="AV569" i="3"/>
  <c r="AV568" i="3"/>
  <c r="AV567" i="3"/>
  <c r="AV566" i="3"/>
  <c r="AV565" i="3"/>
  <c r="AV564" i="3"/>
  <c r="AV563" i="3"/>
  <c r="AV562" i="3"/>
  <c r="AV561" i="3"/>
  <c r="AV560" i="3"/>
  <c r="AV559" i="3"/>
  <c r="AV558" i="3"/>
  <c r="AV557" i="3"/>
  <c r="AV556" i="3"/>
  <c r="AV555" i="3"/>
  <c r="AV554" i="3"/>
  <c r="AV553" i="3"/>
  <c r="AV552" i="3"/>
  <c r="AV551" i="3"/>
  <c r="AV550" i="3"/>
  <c r="AV549" i="3"/>
  <c r="AV548" i="3"/>
  <c r="AV547" i="3"/>
  <c r="AV546" i="3"/>
  <c r="AV545" i="3"/>
  <c r="AV544" i="3"/>
  <c r="AV543" i="3"/>
  <c r="AV542" i="3"/>
  <c r="AV541" i="3"/>
  <c r="AV540" i="3"/>
  <c r="AV539" i="3"/>
  <c r="AV538" i="3"/>
  <c r="AV537" i="3"/>
  <c r="AV536" i="3"/>
  <c r="AV535" i="3"/>
  <c r="AV534" i="3"/>
  <c r="AV533" i="3"/>
  <c r="AV532" i="3"/>
  <c r="AV531" i="3"/>
  <c r="AV530" i="3"/>
  <c r="AV529" i="3"/>
  <c r="AV528" i="3"/>
  <c r="AV527" i="3"/>
  <c r="AV526" i="3"/>
  <c r="AV525" i="3"/>
  <c r="AV524" i="3"/>
  <c r="AV523" i="3"/>
  <c r="AV522" i="3"/>
  <c r="AV521" i="3"/>
  <c r="AV520" i="3"/>
  <c r="AV519" i="3"/>
  <c r="AV518" i="3"/>
  <c r="AV517" i="3"/>
  <c r="AV516" i="3"/>
  <c r="AV515" i="3"/>
  <c r="AV514" i="3"/>
  <c r="AV513" i="3"/>
  <c r="AV512" i="3"/>
  <c r="AV511" i="3"/>
  <c r="AV510" i="3"/>
  <c r="AV509" i="3"/>
  <c r="AV508" i="3"/>
  <c r="AV507" i="3"/>
  <c r="AV506" i="3"/>
  <c r="AV505" i="3"/>
  <c r="AV504" i="3"/>
  <c r="AV503" i="3"/>
  <c r="AV502" i="3"/>
  <c r="AV501" i="3"/>
  <c r="AV500" i="3"/>
  <c r="AV499" i="3"/>
  <c r="AV498" i="3"/>
  <c r="AV497" i="3"/>
  <c r="AV496" i="3"/>
  <c r="AV495" i="3"/>
  <c r="AV494" i="3"/>
  <c r="AV493" i="3"/>
  <c r="AV492" i="3"/>
  <c r="AV491" i="3"/>
  <c r="AV490" i="3"/>
  <c r="AV489" i="3"/>
  <c r="AV488" i="3"/>
  <c r="AV487" i="3"/>
  <c r="AV486" i="3"/>
  <c r="AV485" i="3"/>
  <c r="AV484" i="3"/>
  <c r="AV483" i="3"/>
  <c r="AV482" i="3"/>
  <c r="AV481" i="3"/>
  <c r="AV480" i="3"/>
  <c r="AV479" i="3"/>
  <c r="AV478" i="3"/>
  <c r="AV477" i="3"/>
  <c r="AV476" i="3"/>
  <c r="AV475" i="3"/>
  <c r="AV474" i="3"/>
  <c r="AV473" i="3"/>
  <c r="AV472" i="3"/>
  <c r="AV471" i="3"/>
  <c r="AV470" i="3"/>
  <c r="AV469" i="3"/>
  <c r="AV468" i="3"/>
  <c r="AV467" i="3"/>
  <c r="AV466" i="3"/>
  <c r="AV465" i="3"/>
  <c r="AV464" i="3"/>
  <c r="AV463" i="3"/>
  <c r="AV462" i="3"/>
  <c r="AV461" i="3"/>
  <c r="AV460" i="3"/>
  <c r="AV459" i="3"/>
  <c r="AV458" i="3"/>
  <c r="AV457" i="3"/>
  <c r="AV456" i="3"/>
  <c r="AV455" i="3"/>
  <c r="AV454" i="3"/>
  <c r="AV453" i="3"/>
  <c r="AV452" i="3"/>
  <c r="AV451" i="3"/>
  <c r="AV450" i="3"/>
  <c r="AV449" i="3"/>
  <c r="AV448" i="3"/>
  <c r="AV447" i="3"/>
  <c r="AV446" i="3"/>
  <c r="AV445" i="3"/>
  <c r="AV444" i="3"/>
  <c r="AV443" i="3"/>
  <c r="AV442" i="3"/>
  <c r="AV441" i="3"/>
  <c r="AV440" i="3"/>
  <c r="AV439" i="3"/>
  <c r="AV438" i="3"/>
  <c r="AV437" i="3"/>
  <c r="AV436" i="3"/>
  <c r="AV435" i="3"/>
  <c r="AV434" i="3"/>
  <c r="AV433" i="3"/>
  <c r="AV432" i="3"/>
  <c r="AV431" i="3"/>
  <c r="AV430" i="3"/>
  <c r="AV429" i="3"/>
  <c r="AV428" i="3"/>
  <c r="AV427" i="3"/>
  <c r="AV426" i="3"/>
  <c r="AV425" i="3"/>
  <c r="AV424" i="3"/>
  <c r="AV423" i="3"/>
  <c r="AV422" i="3"/>
  <c r="AV421" i="3"/>
  <c r="AV420" i="3"/>
  <c r="AV419" i="3"/>
  <c r="AV418" i="3"/>
  <c r="AV417" i="3"/>
  <c r="AV416" i="3"/>
  <c r="AV415" i="3"/>
  <c r="AV414" i="3"/>
  <c r="AV413" i="3"/>
  <c r="AV412" i="3"/>
  <c r="AV411" i="3"/>
  <c r="AV410" i="3"/>
  <c r="AV409" i="3"/>
  <c r="AV408" i="3"/>
  <c r="AV407" i="3"/>
  <c r="AV406" i="3"/>
  <c r="AV405" i="3"/>
  <c r="AV404" i="3"/>
  <c r="AV403" i="3"/>
  <c r="AV402" i="3"/>
  <c r="AV401" i="3"/>
  <c r="AV400" i="3"/>
  <c r="AV399" i="3"/>
  <c r="AV398" i="3"/>
  <c r="AV397" i="3"/>
  <c r="AV396" i="3"/>
  <c r="AV395" i="3"/>
  <c r="AV394" i="3"/>
  <c r="AV393" i="3"/>
  <c r="AV392" i="3"/>
  <c r="AV391" i="3"/>
  <c r="AV390" i="3"/>
  <c r="AV389" i="3"/>
  <c r="AV388" i="3"/>
  <c r="AV387" i="3"/>
  <c r="AV386" i="3"/>
  <c r="AV385" i="3"/>
  <c r="AV384" i="3"/>
  <c r="AV383" i="3"/>
  <c r="AV382" i="3"/>
  <c r="AV381" i="3"/>
  <c r="AV380" i="3"/>
  <c r="AV379" i="3"/>
  <c r="AV378" i="3"/>
  <c r="AV377" i="3"/>
  <c r="AV376" i="3"/>
  <c r="AV375" i="3"/>
  <c r="AV374" i="3"/>
  <c r="AV373" i="3"/>
  <c r="AV372" i="3"/>
  <c r="AV371" i="3"/>
  <c r="AV370" i="3"/>
  <c r="AV369" i="3"/>
  <c r="AV368" i="3"/>
  <c r="AV367" i="3"/>
  <c r="AV366" i="3"/>
  <c r="AV365" i="3"/>
  <c r="AV364" i="3"/>
  <c r="AV363" i="3"/>
  <c r="AV362" i="3"/>
  <c r="AV361" i="3"/>
  <c r="AV360" i="3"/>
  <c r="AV359" i="3"/>
  <c r="AV358" i="3"/>
  <c r="AV357" i="3"/>
  <c r="AV356" i="3"/>
  <c r="AV355" i="3"/>
  <c r="AV354" i="3"/>
  <c r="AV353" i="3"/>
  <c r="AV352" i="3"/>
  <c r="AV351" i="3"/>
  <c r="AV350" i="3"/>
  <c r="AV349" i="3"/>
  <c r="AV348" i="3"/>
  <c r="AV347" i="3"/>
  <c r="AV346" i="3"/>
  <c r="AV345" i="3"/>
  <c r="AV344" i="3"/>
  <c r="AV343" i="3"/>
  <c r="AV342" i="3"/>
  <c r="AV341" i="3"/>
  <c r="AV340" i="3"/>
  <c r="AV339" i="3"/>
  <c r="AV338" i="3"/>
  <c r="AV337" i="3"/>
  <c r="AV336" i="3"/>
  <c r="AV335" i="3"/>
  <c r="AV334" i="3"/>
  <c r="AV333" i="3"/>
  <c r="AV332" i="3"/>
  <c r="AV331" i="3"/>
  <c r="AV330" i="3"/>
  <c r="AV329" i="3"/>
  <c r="AV328" i="3"/>
  <c r="AV327" i="3"/>
  <c r="AV326" i="3"/>
  <c r="AV325" i="3"/>
  <c r="AV324" i="3"/>
  <c r="AV323" i="3"/>
  <c r="AV322" i="3"/>
  <c r="AV321" i="3"/>
  <c r="AV320" i="3"/>
  <c r="AV319" i="3"/>
  <c r="AV318" i="3"/>
  <c r="AV317" i="3"/>
  <c r="AV316" i="3"/>
  <c r="AV315" i="3"/>
  <c r="AV314" i="3"/>
  <c r="AV313" i="3"/>
  <c r="AV312" i="3"/>
  <c r="AV311" i="3"/>
  <c r="AV310" i="3"/>
  <c r="AV309" i="3"/>
  <c r="AV308" i="3"/>
  <c r="AV307" i="3"/>
  <c r="AV306" i="3"/>
  <c r="AV305" i="3"/>
  <c r="AV304" i="3"/>
  <c r="AV303" i="3"/>
  <c r="AV302" i="3"/>
  <c r="AV301" i="3"/>
  <c r="AV300" i="3"/>
  <c r="AV299" i="3"/>
  <c r="AV298" i="3"/>
  <c r="AV297" i="3"/>
  <c r="AV296" i="3"/>
  <c r="AV295" i="3"/>
  <c r="AV294" i="3"/>
  <c r="AV293" i="3"/>
  <c r="AV292" i="3"/>
  <c r="AV291" i="3"/>
  <c r="AV290" i="3"/>
  <c r="AV289" i="3"/>
  <c r="AV288" i="3"/>
  <c r="AV287" i="3"/>
  <c r="AV286" i="3"/>
  <c r="AV285" i="3"/>
  <c r="AV284" i="3"/>
  <c r="AV283" i="3"/>
  <c r="AV282" i="3"/>
  <c r="AV281" i="3"/>
  <c r="AV280" i="3"/>
  <c r="AV279" i="3"/>
  <c r="AV278" i="3"/>
  <c r="AV277" i="3"/>
  <c r="AV276" i="3"/>
  <c r="AV275" i="3"/>
  <c r="AV274" i="3"/>
  <c r="AV273" i="3"/>
  <c r="AV272" i="3"/>
  <c r="AV271" i="3"/>
  <c r="AV270" i="3"/>
  <c r="AV269" i="3"/>
  <c r="AV268" i="3"/>
  <c r="AV267" i="3"/>
  <c r="AV266" i="3"/>
  <c r="AV265" i="3"/>
  <c r="AV264" i="3"/>
  <c r="AV263" i="3"/>
  <c r="AV262" i="3"/>
  <c r="AV261" i="3"/>
  <c r="AV260" i="3"/>
  <c r="AV259" i="3"/>
  <c r="AV258" i="3"/>
  <c r="AV257" i="3"/>
  <c r="AV256" i="3"/>
  <c r="AV255" i="3"/>
  <c r="AV254" i="3"/>
  <c r="AV253" i="3"/>
  <c r="AV252" i="3"/>
  <c r="AV251" i="3"/>
  <c r="AV250" i="3"/>
  <c r="AV249" i="3"/>
  <c r="AV248" i="3"/>
  <c r="AV247" i="3"/>
  <c r="AV246" i="3"/>
  <c r="AV245" i="3"/>
  <c r="AV244" i="3"/>
  <c r="AV243" i="3"/>
  <c r="AV242" i="3"/>
  <c r="AV241" i="3"/>
  <c r="AV240" i="3"/>
  <c r="AV239" i="3"/>
  <c r="AV238" i="3"/>
  <c r="AV237" i="3"/>
  <c r="AV236" i="3"/>
  <c r="AV235" i="3"/>
  <c r="AV234" i="3"/>
  <c r="AV233" i="3"/>
  <c r="AV232" i="3"/>
  <c r="AV231" i="3"/>
  <c r="AV230" i="3"/>
  <c r="AV229" i="3"/>
  <c r="AV228" i="3"/>
  <c r="AV227" i="3"/>
  <c r="AV226" i="3"/>
  <c r="AV225" i="3"/>
  <c r="AV224" i="3"/>
  <c r="AV223" i="3"/>
  <c r="AV222" i="3"/>
  <c r="AV221" i="3"/>
  <c r="AV220" i="3"/>
  <c r="AV219" i="3"/>
  <c r="AV218" i="3"/>
  <c r="AV217" i="3"/>
  <c r="AV216" i="3"/>
  <c r="AV215" i="3"/>
  <c r="AV214" i="3"/>
  <c r="AV213" i="3"/>
  <c r="AV212" i="3"/>
  <c r="AV211" i="3"/>
  <c r="AV210" i="3"/>
  <c r="AV209" i="3"/>
  <c r="AV208" i="3"/>
  <c r="AV207" i="3"/>
  <c r="AV206" i="3"/>
  <c r="AV205" i="3"/>
  <c r="AV204" i="3"/>
  <c r="AV203" i="3"/>
  <c r="AV202" i="3"/>
  <c r="AV201" i="3"/>
  <c r="AV200" i="3"/>
  <c r="AV199" i="3"/>
  <c r="AV198" i="3"/>
  <c r="AV197" i="3"/>
  <c r="AV196" i="3"/>
  <c r="AV195" i="3"/>
  <c r="AV194" i="3"/>
  <c r="AV193" i="3"/>
  <c r="AV192" i="3"/>
  <c r="AV191" i="3"/>
  <c r="AV190" i="3"/>
  <c r="AV189" i="3"/>
  <c r="AV188" i="3"/>
  <c r="AV187" i="3"/>
  <c r="AV186" i="3"/>
  <c r="AV185" i="3"/>
  <c r="AV184" i="3"/>
  <c r="AV183" i="3"/>
  <c r="AV182" i="3"/>
  <c r="AV181" i="3"/>
  <c r="AV180" i="3"/>
  <c r="AV179" i="3"/>
  <c r="AV178" i="3"/>
  <c r="AV177" i="3"/>
  <c r="AV176" i="3"/>
  <c r="AV175" i="3"/>
  <c r="AV174" i="3"/>
  <c r="AV173" i="3"/>
  <c r="AV172" i="3"/>
  <c r="AV171" i="3"/>
  <c r="AV170" i="3"/>
  <c r="AV169" i="3"/>
  <c r="AV168" i="3"/>
  <c r="AV167" i="3"/>
  <c r="AV166" i="3"/>
  <c r="AV165" i="3"/>
  <c r="AV164" i="3"/>
  <c r="AV163" i="3"/>
  <c r="AV162" i="3"/>
  <c r="AV161" i="3"/>
  <c r="AV160" i="3"/>
  <c r="AV159" i="3"/>
  <c r="AV158" i="3"/>
  <c r="AV157" i="3"/>
  <c r="AV156" i="3"/>
  <c r="AV155" i="3"/>
  <c r="AV154" i="3"/>
  <c r="AV153" i="3"/>
  <c r="AV152" i="3"/>
  <c r="AV151" i="3"/>
  <c r="AV150" i="3"/>
  <c r="AV149" i="3"/>
  <c r="AV148" i="3"/>
  <c r="AV147" i="3"/>
  <c r="AV146" i="3"/>
  <c r="AV145" i="3"/>
  <c r="AV144" i="3"/>
  <c r="AV143" i="3"/>
  <c r="AV142" i="3"/>
  <c r="AV141" i="3"/>
  <c r="AV140" i="3"/>
  <c r="AV139" i="3"/>
  <c r="AV138" i="3"/>
  <c r="AV137" i="3"/>
  <c r="AV136" i="3"/>
  <c r="AV135" i="3"/>
  <c r="AV134" i="3"/>
  <c r="AV133" i="3"/>
  <c r="AV132" i="3"/>
  <c r="AV131" i="3"/>
  <c r="AV130" i="3"/>
  <c r="AV129" i="3"/>
  <c r="AV128" i="3"/>
  <c r="AV127" i="3"/>
  <c r="AV126" i="3"/>
  <c r="AV125" i="3"/>
  <c r="AV124" i="3"/>
  <c r="AV123" i="3"/>
  <c r="AV122" i="3"/>
  <c r="AV121" i="3"/>
  <c r="AV120" i="3"/>
  <c r="AV119" i="3"/>
  <c r="AV118" i="3"/>
  <c r="AV117" i="3"/>
  <c r="AV116" i="3"/>
  <c r="AV115" i="3"/>
  <c r="AV114" i="3"/>
  <c r="AV113" i="3"/>
  <c r="AV112" i="3"/>
  <c r="AV111" i="3"/>
  <c r="AV110" i="3"/>
  <c r="AV109" i="3"/>
  <c r="AV108" i="3"/>
  <c r="AV107" i="3"/>
  <c r="AV106" i="3"/>
  <c r="AV105" i="3"/>
  <c r="AV104" i="3"/>
  <c r="AV103" i="3"/>
  <c r="AV102" i="3"/>
  <c r="AV101" i="3"/>
  <c r="AV100" i="3"/>
  <c r="AV99" i="3"/>
  <c r="AV98" i="3"/>
  <c r="AV97" i="3"/>
  <c r="AV96" i="3"/>
  <c r="AV95" i="3"/>
  <c r="AV94" i="3"/>
  <c r="AV93" i="3"/>
  <c r="AV92" i="3"/>
  <c r="AV91" i="3"/>
  <c r="AV90" i="3"/>
  <c r="AV89" i="3"/>
  <c r="AV88" i="3"/>
  <c r="AV87" i="3"/>
  <c r="AV86" i="3"/>
  <c r="AV85" i="3"/>
  <c r="AV84" i="3"/>
  <c r="AV83" i="3"/>
  <c r="AV82" i="3"/>
  <c r="AV81" i="3"/>
  <c r="AV80" i="3"/>
  <c r="AV79" i="3"/>
  <c r="AV78" i="3"/>
  <c r="AV77" i="3"/>
  <c r="AV76" i="3"/>
  <c r="AV75" i="3"/>
  <c r="AV74" i="3"/>
  <c r="AV73" i="3"/>
  <c r="AV72" i="3"/>
  <c r="AV71" i="3"/>
  <c r="AV70" i="3"/>
  <c r="AV69" i="3"/>
  <c r="AV68" i="3"/>
  <c r="AV67" i="3"/>
  <c r="AV66" i="3"/>
  <c r="AV65" i="3"/>
  <c r="AV64" i="3"/>
  <c r="AV63" i="3"/>
  <c r="AV62" i="3"/>
  <c r="AV61" i="3"/>
  <c r="AV60" i="3"/>
  <c r="AV59" i="3"/>
  <c r="AV58" i="3"/>
  <c r="AV57" i="3"/>
  <c r="AV56" i="3"/>
  <c r="AV55" i="3"/>
  <c r="AV54" i="3"/>
  <c r="AV53" i="3"/>
  <c r="AV52" i="3"/>
  <c r="AV51" i="3"/>
  <c r="AV50" i="3"/>
  <c r="AV49" i="3"/>
  <c r="AV48" i="3"/>
  <c r="AV47" i="3"/>
  <c r="AV46" i="3"/>
  <c r="AV45" i="3"/>
  <c r="AV44" i="3"/>
  <c r="AV43" i="3"/>
  <c r="AV42" i="3"/>
  <c r="AV41" i="3"/>
  <c r="AV40" i="3"/>
  <c r="AV39" i="3"/>
  <c r="AV38" i="3"/>
  <c r="AV37" i="3"/>
  <c r="AV36" i="3"/>
  <c r="AV35" i="3"/>
  <c r="AV34" i="3"/>
  <c r="AV33" i="3"/>
  <c r="AV32" i="3"/>
  <c r="AV31" i="3"/>
  <c r="AV30" i="3"/>
  <c r="AV29" i="3"/>
  <c r="AV28" i="3"/>
  <c r="AV27" i="3"/>
  <c r="AV26" i="3"/>
  <c r="AV25" i="3"/>
  <c r="AV24" i="3"/>
  <c r="AV23" i="3"/>
  <c r="AV22" i="3"/>
  <c r="AV21" i="3"/>
  <c r="AV20" i="3"/>
  <c r="AV19" i="3"/>
  <c r="AV18" i="3"/>
  <c r="AV17" i="3"/>
  <c r="AV16" i="3"/>
  <c r="AV15" i="3"/>
  <c r="AV14" i="3"/>
  <c r="AV13" i="3"/>
  <c r="AK1012" i="3"/>
  <c r="AK1011" i="3"/>
  <c r="AK1010" i="3"/>
  <c r="AK1009" i="3"/>
  <c r="AK1008" i="3"/>
  <c r="AK1007" i="3"/>
  <c r="AK1006" i="3"/>
  <c r="AK1005" i="3"/>
  <c r="AK1004" i="3"/>
  <c r="AK1003" i="3"/>
  <c r="AK1002" i="3"/>
  <c r="AK1001" i="3"/>
  <c r="AK1000" i="3"/>
  <c r="AK999" i="3"/>
  <c r="AK998" i="3"/>
  <c r="AK997" i="3"/>
  <c r="AK996" i="3"/>
  <c r="AK995" i="3"/>
  <c r="AK994" i="3"/>
  <c r="AK993" i="3"/>
  <c r="AK992" i="3"/>
  <c r="AK991" i="3"/>
  <c r="AK990" i="3"/>
  <c r="AK989" i="3"/>
  <c r="AK988" i="3"/>
  <c r="AK987" i="3"/>
  <c r="AK986" i="3"/>
  <c r="AK985" i="3"/>
  <c r="AK984" i="3"/>
  <c r="AK983" i="3"/>
  <c r="AK982" i="3"/>
  <c r="AK981" i="3"/>
  <c r="AK980" i="3"/>
  <c r="AK979" i="3"/>
  <c r="AK978" i="3"/>
  <c r="AK977" i="3"/>
  <c r="AK976" i="3"/>
  <c r="AK975" i="3"/>
  <c r="AK974" i="3"/>
  <c r="AK973" i="3"/>
  <c r="AK972" i="3"/>
  <c r="AK971" i="3"/>
  <c r="AK970" i="3"/>
  <c r="AK969" i="3"/>
  <c r="AK968" i="3"/>
  <c r="AK967" i="3"/>
  <c r="AK966" i="3"/>
  <c r="AK965" i="3"/>
  <c r="AK964" i="3"/>
  <c r="AK963" i="3"/>
  <c r="AK962" i="3"/>
  <c r="AK961" i="3"/>
  <c r="AK960" i="3"/>
  <c r="AK959" i="3"/>
  <c r="AK958" i="3"/>
  <c r="AK957" i="3"/>
  <c r="AK956" i="3"/>
  <c r="AK955" i="3"/>
  <c r="AK954" i="3"/>
  <c r="AK953" i="3"/>
  <c r="AK952" i="3"/>
  <c r="AK951" i="3"/>
  <c r="AK950" i="3"/>
  <c r="AK949" i="3"/>
  <c r="AK948" i="3"/>
  <c r="AK947" i="3"/>
  <c r="AK946" i="3"/>
  <c r="AK945" i="3"/>
  <c r="AK944" i="3"/>
  <c r="AK943" i="3"/>
  <c r="AK942" i="3"/>
  <c r="AK941" i="3"/>
  <c r="AK940" i="3"/>
  <c r="AK939" i="3"/>
  <c r="AK938" i="3"/>
  <c r="AK937" i="3"/>
  <c r="AK936" i="3"/>
  <c r="AK935" i="3"/>
  <c r="AK934" i="3"/>
  <c r="AK933" i="3"/>
  <c r="AK932" i="3"/>
  <c r="AK931" i="3"/>
  <c r="AK930" i="3"/>
  <c r="AK929" i="3"/>
  <c r="AK928" i="3"/>
  <c r="AK927" i="3"/>
  <c r="AK926" i="3"/>
  <c r="AK925" i="3"/>
  <c r="AK924" i="3"/>
  <c r="AK923" i="3"/>
  <c r="AK922" i="3"/>
  <c r="AK921" i="3"/>
  <c r="AK920" i="3"/>
  <c r="AK919" i="3"/>
  <c r="AK918" i="3"/>
  <c r="AK917" i="3"/>
  <c r="AK916" i="3"/>
  <c r="AK915" i="3"/>
  <c r="AK914" i="3"/>
  <c r="AK913" i="3"/>
  <c r="AK912" i="3"/>
  <c r="AK911" i="3"/>
  <c r="AK910" i="3"/>
  <c r="AK909" i="3"/>
  <c r="AK908" i="3"/>
  <c r="AK907" i="3"/>
  <c r="AK906" i="3"/>
  <c r="AK905" i="3"/>
  <c r="AK904" i="3"/>
  <c r="AK903" i="3"/>
  <c r="AK902" i="3"/>
  <c r="AK901" i="3"/>
  <c r="AK900" i="3"/>
  <c r="AK899" i="3"/>
  <c r="AK898" i="3"/>
  <c r="AK897" i="3"/>
  <c r="AK896" i="3"/>
  <c r="AK895" i="3"/>
  <c r="AK894" i="3"/>
  <c r="AK893" i="3"/>
  <c r="AK892" i="3"/>
  <c r="AK891" i="3"/>
  <c r="AK890" i="3"/>
  <c r="AK889" i="3"/>
  <c r="AK888" i="3"/>
  <c r="AK887" i="3"/>
  <c r="AK886" i="3"/>
  <c r="AK885" i="3"/>
  <c r="AK884" i="3"/>
  <c r="AK883" i="3"/>
  <c r="AK882" i="3"/>
  <c r="AK881" i="3"/>
  <c r="AK880" i="3"/>
  <c r="AK879" i="3"/>
  <c r="AK878" i="3"/>
  <c r="AK877" i="3"/>
  <c r="AK876" i="3"/>
  <c r="AK875" i="3"/>
  <c r="AK874" i="3"/>
  <c r="AK873" i="3"/>
  <c r="AK872" i="3"/>
  <c r="AK871" i="3"/>
  <c r="AK870" i="3"/>
  <c r="AK869" i="3"/>
  <c r="AK868" i="3"/>
  <c r="AK867" i="3"/>
  <c r="AK866" i="3"/>
  <c r="AK865" i="3"/>
  <c r="AK864" i="3"/>
  <c r="AK863" i="3"/>
  <c r="AK862" i="3"/>
  <c r="AK861" i="3"/>
  <c r="AK860" i="3"/>
  <c r="AK859" i="3"/>
  <c r="AK858" i="3"/>
  <c r="AK857" i="3"/>
  <c r="AK856" i="3"/>
  <c r="AK855" i="3"/>
  <c r="AK854" i="3"/>
  <c r="AK853" i="3"/>
  <c r="AK852" i="3"/>
  <c r="AK851" i="3"/>
  <c r="AK850" i="3"/>
  <c r="AK849" i="3"/>
  <c r="AK848" i="3"/>
  <c r="AK847" i="3"/>
  <c r="AK846" i="3"/>
  <c r="AK845" i="3"/>
  <c r="AK844" i="3"/>
  <c r="AK843" i="3"/>
  <c r="AK842" i="3"/>
  <c r="AK841" i="3"/>
  <c r="AK840" i="3"/>
  <c r="AK839" i="3"/>
  <c r="AK838" i="3"/>
  <c r="AK837" i="3"/>
  <c r="AK836" i="3"/>
  <c r="AK835" i="3"/>
  <c r="AK834" i="3"/>
  <c r="AK833" i="3"/>
  <c r="AK832" i="3"/>
  <c r="AK831" i="3"/>
  <c r="AK830" i="3"/>
  <c r="AK829" i="3"/>
  <c r="AK828" i="3"/>
  <c r="AK827" i="3"/>
  <c r="AK826" i="3"/>
  <c r="AK825" i="3"/>
  <c r="AK824" i="3"/>
  <c r="AK823" i="3"/>
  <c r="AK822" i="3"/>
  <c r="AK821" i="3"/>
  <c r="AK820" i="3"/>
  <c r="AK819" i="3"/>
  <c r="AK818" i="3"/>
  <c r="AK817" i="3"/>
  <c r="AK816" i="3"/>
  <c r="AK815" i="3"/>
  <c r="AK814" i="3"/>
  <c r="AK813" i="3"/>
  <c r="AK812" i="3"/>
  <c r="AK811" i="3"/>
  <c r="AK810" i="3"/>
  <c r="AK809" i="3"/>
  <c r="AK808" i="3"/>
  <c r="AK807" i="3"/>
  <c r="AK806" i="3"/>
  <c r="AK805" i="3"/>
  <c r="AK804" i="3"/>
  <c r="AK803" i="3"/>
  <c r="AK802" i="3"/>
  <c r="AK801" i="3"/>
  <c r="AK800" i="3"/>
  <c r="AK799" i="3"/>
  <c r="AK798" i="3"/>
  <c r="AK797" i="3"/>
  <c r="AK796" i="3"/>
  <c r="AK795" i="3"/>
  <c r="AK794" i="3"/>
  <c r="AK793" i="3"/>
  <c r="AK792" i="3"/>
  <c r="AK791" i="3"/>
  <c r="AK790" i="3"/>
  <c r="AK789" i="3"/>
  <c r="AK788" i="3"/>
  <c r="AK787" i="3"/>
  <c r="AK786" i="3"/>
  <c r="AK785" i="3"/>
  <c r="AK784" i="3"/>
  <c r="AK783" i="3"/>
  <c r="AK782" i="3"/>
  <c r="AK781" i="3"/>
  <c r="AK780" i="3"/>
  <c r="AK779" i="3"/>
  <c r="AK778" i="3"/>
  <c r="AK777" i="3"/>
  <c r="AK776" i="3"/>
  <c r="AK775" i="3"/>
  <c r="AK774" i="3"/>
  <c r="AK773" i="3"/>
  <c r="AK772" i="3"/>
  <c r="AK771" i="3"/>
  <c r="AK770" i="3"/>
  <c r="AK769" i="3"/>
  <c r="AK768" i="3"/>
  <c r="AK767" i="3"/>
  <c r="AK766" i="3"/>
  <c r="AK765" i="3"/>
  <c r="AK764" i="3"/>
  <c r="AK763" i="3"/>
  <c r="AK762" i="3"/>
  <c r="AK761" i="3"/>
  <c r="AK760" i="3"/>
  <c r="AK759" i="3"/>
  <c r="AK758" i="3"/>
  <c r="AK757" i="3"/>
  <c r="AK756" i="3"/>
  <c r="AK755" i="3"/>
  <c r="AK754" i="3"/>
  <c r="AK753" i="3"/>
  <c r="AK752" i="3"/>
  <c r="AK751" i="3"/>
  <c r="AK750" i="3"/>
  <c r="AK749" i="3"/>
  <c r="AK748" i="3"/>
  <c r="AK747" i="3"/>
  <c r="AK746" i="3"/>
  <c r="AK745" i="3"/>
  <c r="AK744" i="3"/>
  <c r="AK743" i="3"/>
  <c r="AK742" i="3"/>
  <c r="AK741" i="3"/>
  <c r="AK740" i="3"/>
  <c r="AK739" i="3"/>
  <c r="AK738" i="3"/>
  <c r="AK737" i="3"/>
  <c r="AK736" i="3"/>
  <c r="AK735" i="3"/>
  <c r="AK734" i="3"/>
  <c r="AK733" i="3"/>
  <c r="AK732" i="3"/>
  <c r="AK731" i="3"/>
  <c r="AK730" i="3"/>
  <c r="AK729" i="3"/>
  <c r="AK728" i="3"/>
  <c r="AK727" i="3"/>
  <c r="AK726" i="3"/>
  <c r="AK725" i="3"/>
  <c r="AK724" i="3"/>
  <c r="AK723" i="3"/>
  <c r="AK722" i="3"/>
  <c r="AK721" i="3"/>
  <c r="AK720" i="3"/>
  <c r="AK719" i="3"/>
  <c r="AK718" i="3"/>
  <c r="AK717" i="3"/>
  <c r="AK716" i="3"/>
  <c r="AK715" i="3"/>
  <c r="AK714" i="3"/>
  <c r="AK713" i="3"/>
  <c r="AK712" i="3"/>
  <c r="AK711" i="3"/>
  <c r="AK710" i="3"/>
  <c r="AK709" i="3"/>
  <c r="AK708" i="3"/>
  <c r="AK707" i="3"/>
  <c r="AK706" i="3"/>
  <c r="AK705" i="3"/>
  <c r="AK704" i="3"/>
  <c r="AK703" i="3"/>
  <c r="AK702" i="3"/>
  <c r="AK701" i="3"/>
  <c r="AK700" i="3"/>
  <c r="AK699" i="3"/>
  <c r="AK698" i="3"/>
  <c r="AK697" i="3"/>
  <c r="AK696" i="3"/>
  <c r="AK695" i="3"/>
  <c r="AK694" i="3"/>
  <c r="AK693" i="3"/>
  <c r="AK692" i="3"/>
  <c r="AK691" i="3"/>
  <c r="AK690" i="3"/>
  <c r="AK689" i="3"/>
  <c r="AK688" i="3"/>
  <c r="AK687" i="3"/>
  <c r="AK686" i="3"/>
  <c r="AK685" i="3"/>
  <c r="AK684" i="3"/>
  <c r="AK683" i="3"/>
  <c r="AK682" i="3"/>
  <c r="AK681" i="3"/>
  <c r="AK680" i="3"/>
  <c r="AK679" i="3"/>
  <c r="AK678" i="3"/>
  <c r="AK677" i="3"/>
  <c r="AK676" i="3"/>
  <c r="AK675" i="3"/>
  <c r="AK674" i="3"/>
  <c r="AK673" i="3"/>
  <c r="AK672" i="3"/>
  <c r="AK671" i="3"/>
  <c r="AK670" i="3"/>
  <c r="AK669" i="3"/>
  <c r="AK668" i="3"/>
  <c r="AK667" i="3"/>
  <c r="AK666" i="3"/>
  <c r="AK665" i="3"/>
  <c r="AK664" i="3"/>
  <c r="AK663" i="3"/>
  <c r="AK662" i="3"/>
  <c r="AK661" i="3"/>
  <c r="AK660" i="3"/>
  <c r="AK659" i="3"/>
  <c r="AK658" i="3"/>
  <c r="AK657" i="3"/>
  <c r="AK656" i="3"/>
  <c r="AK655" i="3"/>
  <c r="AK654" i="3"/>
  <c r="AK653" i="3"/>
  <c r="AK652" i="3"/>
  <c r="AK651" i="3"/>
  <c r="AK650" i="3"/>
  <c r="AK649" i="3"/>
  <c r="AK648" i="3"/>
  <c r="AK647" i="3"/>
  <c r="AK646" i="3"/>
  <c r="AK645" i="3"/>
  <c r="AK644" i="3"/>
  <c r="AK643" i="3"/>
  <c r="AK642" i="3"/>
  <c r="AK641" i="3"/>
  <c r="AK640" i="3"/>
  <c r="AK639" i="3"/>
  <c r="AK638" i="3"/>
  <c r="AK637" i="3"/>
  <c r="AK636" i="3"/>
  <c r="AK635" i="3"/>
  <c r="AK634" i="3"/>
  <c r="AK633" i="3"/>
  <c r="AK632" i="3"/>
  <c r="AK631" i="3"/>
  <c r="AK630" i="3"/>
  <c r="AK629" i="3"/>
  <c r="AK628" i="3"/>
  <c r="AK627" i="3"/>
  <c r="AK626" i="3"/>
  <c r="AK625" i="3"/>
  <c r="AK624" i="3"/>
  <c r="AK623" i="3"/>
  <c r="AK622" i="3"/>
  <c r="AK621" i="3"/>
  <c r="AK620" i="3"/>
  <c r="AK619" i="3"/>
  <c r="AK618" i="3"/>
  <c r="AK617" i="3"/>
  <c r="AK616" i="3"/>
  <c r="AK615" i="3"/>
  <c r="AK614" i="3"/>
  <c r="AK613" i="3"/>
  <c r="AK612" i="3"/>
  <c r="AK611" i="3"/>
  <c r="AK610" i="3"/>
  <c r="AK609" i="3"/>
  <c r="AK608" i="3"/>
  <c r="AK607" i="3"/>
  <c r="AK606" i="3"/>
  <c r="AK605" i="3"/>
  <c r="AK604" i="3"/>
  <c r="AK603" i="3"/>
  <c r="AK602" i="3"/>
  <c r="AK601" i="3"/>
  <c r="AK600" i="3"/>
  <c r="AK599" i="3"/>
  <c r="AK598" i="3"/>
  <c r="AK597" i="3"/>
  <c r="AK596" i="3"/>
  <c r="AK595" i="3"/>
  <c r="AK594" i="3"/>
  <c r="AK593" i="3"/>
  <c r="AK592" i="3"/>
  <c r="AK591" i="3"/>
  <c r="AK590" i="3"/>
  <c r="AK589" i="3"/>
  <c r="AK588" i="3"/>
  <c r="AK587" i="3"/>
  <c r="AK586" i="3"/>
  <c r="AK585" i="3"/>
  <c r="AK584" i="3"/>
  <c r="AK583" i="3"/>
  <c r="AK582" i="3"/>
  <c r="AK581" i="3"/>
  <c r="AK580" i="3"/>
  <c r="AK579" i="3"/>
  <c r="AK578" i="3"/>
  <c r="AK577" i="3"/>
  <c r="AK576" i="3"/>
  <c r="AK575" i="3"/>
  <c r="AK574" i="3"/>
  <c r="AK573" i="3"/>
  <c r="AK572" i="3"/>
  <c r="AK571" i="3"/>
  <c r="AK570" i="3"/>
  <c r="AK569" i="3"/>
  <c r="AK568" i="3"/>
  <c r="AK567" i="3"/>
  <c r="AK566" i="3"/>
  <c r="AK565" i="3"/>
  <c r="AK564" i="3"/>
  <c r="AK563" i="3"/>
  <c r="AK562" i="3"/>
  <c r="AK561" i="3"/>
  <c r="AK560" i="3"/>
  <c r="AK559" i="3"/>
  <c r="AK558" i="3"/>
  <c r="AK557" i="3"/>
  <c r="AK556" i="3"/>
  <c r="AK555" i="3"/>
  <c r="AK554" i="3"/>
  <c r="AK553" i="3"/>
  <c r="AK552" i="3"/>
  <c r="AK551" i="3"/>
  <c r="AK550" i="3"/>
  <c r="AK549" i="3"/>
  <c r="AK548" i="3"/>
  <c r="AK547" i="3"/>
  <c r="AK546" i="3"/>
  <c r="AK545" i="3"/>
  <c r="AK544" i="3"/>
  <c r="AK543" i="3"/>
  <c r="AK542" i="3"/>
  <c r="AK541" i="3"/>
  <c r="AK540" i="3"/>
  <c r="AK539" i="3"/>
  <c r="AK538" i="3"/>
  <c r="AK537" i="3"/>
  <c r="AK536" i="3"/>
  <c r="AK535" i="3"/>
  <c r="AK534" i="3"/>
  <c r="AK533" i="3"/>
  <c r="AK532" i="3"/>
  <c r="AK531" i="3"/>
  <c r="AK530" i="3"/>
  <c r="AK529" i="3"/>
  <c r="AK528" i="3"/>
  <c r="AK527" i="3"/>
  <c r="AK526" i="3"/>
  <c r="AK525" i="3"/>
  <c r="AK524" i="3"/>
  <c r="AK523" i="3"/>
  <c r="AK522" i="3"/>
  <c r="AK521" i="3"/>
  <c r="AK520" i="3"/>
  <c r="AK519" i="3"/>
  <c r="AK518" i="3"/>
  <c r="AK517" i="3"/>
  <c r="AK516" i="3"/>
  <c r="AK515" i="3"/>
  <c r="AK514" i="3"/>
  <c r="AK513" i="3"/>
  <c r="AK512" i="3"/>
  <c r="AK511" i="3"/>
  <c r="AK510" i="3"/>
  <c r="AK509" i="3"/>
  <c r="AK508" i="3"/>
  <c r="AK507" i="3"/>
  <c r="AK506" i="3"/>
  <c r="AK505" i="3"/>
  <c r="AK504" i="3"/>
  <c r="AK503" i="3"/>
  <c r="AK502" i="3"/>
  <c r="AK501" i="3"/>
  <c r="AK500" i="3"/>
  <c r="AK499" i="3"/>
  <c r="AK498" i="3"/>
  <c r="AK497" i="3"/>
  <c r="AK496" i="3"/>
  <c r="AK495" i="3"/>
  <c r="AK494" i="3"/>
  <c r="AK493" i="3"/>
  <c r="AK492" i="3"/>
  <c r="AK491" i="3"/>
  <c r="AK490" i="3"/>
  <c r="AK489" i="3"/>
  <c r="AK488" i="3"/>
  <c r="AK487" i="3"/>
  <c r="AK486" i="3"/>
  <c r="AK485" i="3"/>
  <c r="AK484" i="3"/>
  <c r="AK483" i="3"/>
  <c r="AK482" i="3"/>
  <c r="AK481" i="3"/>
  <c r="AK480" i="3"/>
  <c r="AK479" i="3"/>
  <c r="AK478" i="3"/>
  <c r="AK477" i="3"/>
  <c r="AK476" i="3"/>
  <c r="AK475" i="3"/>
  <c r="AK474" i="3"/>
  <c r="AK473" i="3"/>
  <c r="AK472" i="3"/>
  <c r="AK471" i="3"/>
  <c r="AK470" i="3"/>
  <c r="AK469" i="3"/>
  <c r="AK468" i="3"/>
  <c r="AK467" i="3"/>
  <c r="AK466" i="3"/>
  <c r="AK465" i="3"/>
  <c r="AK464" i="3"/>
  <c r="AK463" i="3"/>
  <c r="AK462" i="3"/>
  <c r="AK461" i="3"/>
  <c r="AK460" i="3"/>
  <c r="AK459" i="3"/>
  <c r="AK458" i="3"/>
  <c r="AK457" i="3"/>
  <c r="AK456" i="3"/>
  <c r="AK455" i="3"/>
  <c r="AK454" i="3"/>
  <c r="AK453" i="3"/>
  <c r="AK452" i="3"/>
  <c r="AK451" i="3"/>
  <c r="AK450" i="3"/>
  <c r="AK449" i="3"/>
  <c r="AK448" i="3"/>
  <c r="AK447" i="3"/>
  <c r="AK446" i="3"/>
  <c r="AK445" i="3"/>
  <c r="AK444" i="3"/>
  <c r="AK443" i="3"/>
  <c r="AK442" i="3"/>
  <c r="AK441" i="3"/>
  <c r="AK440" i="3"/>
  <c r="AK439" i="3"/>
  <c r="AK438" i="3"/>
  <c r="AK437" i="3"/>
  <c r="AK436" i="3"/>
  <c r="AK435" i="3"/>
  <c r="AK434" i="3"/>
  <c r="AK433" i="3"/>
  <c r="AK432" i="3"/>
  <c r="AK431" i="3"/>
  <c r="AK430" i="3"/>
  <c r="AK429" i="3"/>
  <c r="AK428" i="3"/>
  <c r="AK427" i="3"/>
  <c r="AK426" i="3"/>
  <c r="AK425" i="3"/>
  <c r="AK424" i="3"/>
  <c r="AK423" i="3"/>
  <c r="AK422" i="3"/>
  <c r="AK421" i="3"/>
  <c r="AK420" i="3"/>
  <c r="AK419" i="3"/>
  <c r="AK418" i="3"/>
  <c r="AK417" i="3"/>
  <c r="AK416" i="3"/>
  <c r="AK415" i="3"/>
  <c r="AK414" i="3"/>
  <c r="AK413" i="3"/>
  <c r="AK412" i="3"/>
  <c r="AK411" i="3"/>
  <c r="AK410" i="3"/>
  <c r="AK409" i="3"/>
  <c r="AK408" i="3"/>
  <c r="AK407" i="3"/>
  <c r="AK406" i="3"/>
  <c r="AK405" i="3"/>
  <c r="AK404" i="3"/>
  <c r="AK403" i="3"/>
  <c r="AK402" i="3"/>
  <c r="AK401" i="3"/>
  <c r="AK400" i="3"/>
  <c r="AK399" i="3"/>
  <c r="AK398" i="3"/>
  <c r="AK397" i="3"/>
  <c r="AK396" i="3"/>
  <c r="AK395" i="3"/>
  <c r="AK394" i="3"/>
  <c r="AK393" i="3"/>
  <c r="AK392" i="3"/>
  <c r="AK391" i="3"/>
  <c r="AK390" i="3"/>
  <c r="AK389" i="3"/>
  <c r="AK388" i="3"/>
  <c r="AK387" i="3"/>
  <c r="AK386" i="3"/>
  <c r="AK385" i="3"/>
  <c r="AK384" i="3"/>
  <c r="AK383" i="3"/>
  <c r="AK382" i="3"/>
  <c r="AK381" i="3"/>
  <c r="AK380" i="3"/>
  <c r="AK379" i="3"/>
  <c r="AK378" i="3"/>
  <c r="AK377" i="3"/>
  <c r="AK376" i="3"/>
  <c r="AK375" i="3"/>
  <c r="AK374" i="3"/>
  <c r="AK373" i="3"/>
  <c r="AK372" i="3"/>
  <c r="AK371" i="3"/>
  <c r="AK370" i="3"/>
  <c r="AK369" i="3"/>
  <c r="AK368" i="3"/>
  <c r="AK367" i="3"/>
  <c r="AK366" i="3"/>
  <c r="AK365" i="3"/>
  <c r="AK364" i="3"/>
  <c r="AK363" i="3"/>
  <c r="AK362" i="3"/>
  <c r="AK361" i="3"/>
  <c r="AK360" i="3"/>
  <c r="AK359" i="3"/>
  <c r="AK358" i="3"/>
  <c r="AK357" i="3"/>
  <c r="AK356" i="3"/>
  <c r="AK355" i="3"/>
  <c r="AK354" i="3"/>
  <c r="AK353" i="3"/>
  <c r="AK352" i="3"/>
  <c r="AK351" i="3"/>
  <c r="AK350" i="3"/>
  <c r="AK349" i="3"/>
  <c r="AK348" i="3"/>
  <c r="AK347" i="3"/>
  <c r="AK346" i="3"/>
  <c r="AK345" i="3"/>
  <c r="AK344" i="3"/>
  <c r="AK343" i="3"/>
  <c r="AK342" i="3"/>
  <c r="AK341" i="3"/>
  <c r="AK340" i="3"/>
  <c r="AK339" i="3"/>
  <c r="AK338" i="3"/>
  <c r="AK337" i="3"/>
  <c r="AK336" i="3"/>
  <c r="AK335" i="3"/>
  <c r="AK334" i="3"/>
  <c r="AK333" i="3"/>
  <c r="AK332" i="3"/>
  <c r="AK331" i="3"/>
  <c r="AK330" i="3"/>
  <c r="AK329" i="3"/>
  <c r="AK328" i="3"/>
  <c r="AK327" i="3"/>
  <c r="AK326" i="3"/>
  <c r="AK325" i="3"/>
  <c r="AK324" i="3"/>
  <c r="AK323" i="3"/>
  <c r="AK322" i="3"/>
  <c r="AK321" i="3"/>
  <c r="AK320" i="3"/>
  <c r="AK319" i="3"/>
  <c r="AK318" i="3"/>
  <c r="AK317" i="3"/>
  <c r="AK316" i="3"/>
  <c r="AK315" i="3"/>
  <c r="AK314" i="3"/>
  <c r="AK313" i="3"/>
  <c r="AK312" i="3"/>
  <c r="AK311" i="3"/>
  <c r="AK310" i="3"/>
  <c r="AK309" i="3"/>
  <c r="AK308" i="3"/>
  <c r="AK307" i="3"/>
  <c r="AK306" i="3"/>
  <c r="AK305" i="3"/>
  <c r="AK304" i="3"/>
  <c r="AK303" i="3"/>
  <c r="AK302" i="3"/>
  <c r="AK301" i="3"/>
  <c r="AK300" i="3"/>
  <c r="AK299" i="3"/>
  <c r="AK298" i="3"/>
  <c r="AK297" i="3"/>
  <c r="AK296" i="3"/>
  <c r="AK295" i="3"/>
  <c r="AK294" i="3"/>
  <c r="AK293" i="3"/>
  <c r="AK292" i="3"/>
  <c r="AK291" i="3"/>
  <c r="AK290" i="3"/>
  <c r="AK289" i="3"/>
  <c r="AK288" i="3"/>
  <c r="AK287" i="3"/>
  <c r="AK286" i="3"/>
  <c r="AK285" i="3"/>
  <c r="AK284" i="3"/>
  <c r="AK283" i="3"/>
  <c r="AK282" i="3"/>
  <c r="AK281" i="3"/>
  <c r="AK280" i="3"/>
  <c r="AK279" i="3"/>
  <c r="AK278" i="3"/>
  <c r="AK277" i="3"/>
  <c r="AK276" i="3"/>
  <c r="AK275" i="3"/>
  <c r="AK274" i="3"/>
  <c r="AK273" i="3"/>
  <c r="AK272" i="3"/>
  <c r="AK271" i="3"/>
  <c r="AK270" i="3"/>
  <c r="AK269" i="3"/>
  <c r="AK268" i="3"/>
  <c r="AK267" i="3"/>
  <c r="AK266" i="3"/>
  <c r="AK265" i="3"/>
  <c r="AK264" i="3"/>
  <c r="AK263" i="3"/>
  <c r="AK262" i="3"/>
  <c r="AK261" i="3"/>
  <c r="AK260" i="3"/>
  <c r="AK259" i="3"/>
  <c r="AK258" i="3"/>
  <c r="AK257" i="3"/>
  <c r="AK256" i="3"/>
  <c r="AK255" i="3"/>
  <c r="AK254" i="3"/>
  <c r="AK253" i="3"/>
  <c r="AK252" i="3"/>
  <c r="AK251" i="3"/>
  <c r="AK250" i="3"/>
  <c r="AK249" i="3"/>
  <c r="AK248" i="3"/>
  <c r="AK247" i="3"/>
  <c r="AK246" i="3"/>
  <c r="AK245" i="3"/>
  <c r="AK244" i="3"/>
  <c r="AK243" i="3"/>
  <c r="AK242" i="3"/>
  <c r="AK241" i="3"/>
  <c r="AK240" i="3"/>
  <c r="AK239" i="3"/>
  <c r="AK238" i="3"/>
  <c r="AK237" i="3"/>
  <c r="AK236" i="3"/>
  <c r="AK235" i="3"/>
  <c r="AK234" i="3"/>
  <c r="AK233" i="3"/>
  <c r="AK232" i="3"/>
  <c r="AK231" i="3"/>
  <c r="AK230" i="3"/>
  <c r="AK229" i="3"/>
  <c r="AK228" i="3"/>
  <c r="AK227" i="3"/>
  <c r="AK226" i="3"/>
  <c r="AK225" i="3"/>
  <c r="AK224" i="3"/>
  <c r="AK223" i="3"/>
  <c r="AK222" i="3"/>
  <c r="AK221" i="3"/>
  <c r="AK220" i="3"/>
  <c r="AK219" i="3"/>
  <c r="AK218" i="3"/>
  <c r="AK217" i="3"/>
  <c r="AK216" i="3"/>
  <c r="AK215" i="3"/>
  <c r="AK214" i="3"/>
  <c r="AK213" i="3"/>
  <c r="AK212" i="3"/>
  <c r="AK211" i="3"/>
  <c r="AK210" i="3"/>
  <c r="AK209" i="3"/>
  <c r="AK208" i="3"/>
  <c r="AK207" i="3"/>
  <c r="AK206" i="3"/>
  <c r="AK205" i="3"/>
  <c r="AK204" i="3"/>
  <c r="AK203" i="3"/>
  <c r="AK202" i="3"/>
  <c r="AK201" i="3"/>
  <c r="AK200" i="3"/>
  <c r="AK199" i="3"/>
  <c r="AK198" i="3"/>
  <c r="AK197" i="3"/>
  <c r="AK196" i="3"/>
  <c r="AK195" i="3"/>
  <c r="AK194" i="3"/>
  <c r="AK193" i="3"/>
  <c r="AK192" i="3"/>
  <c r="AK191" i="3"/>
  <c r="AK190" i="3"/>
  <c r="AK189" i="3"/>
  <c r="AK188" i="3"/>
  <c r="AK187" i="3"/>
  <c r="AK186" i="3"/>
  <c r="AK185" i="3"/>
  <c r="AK184" i="3"/>
  <c r="AK183" i="3"/>
  <c r="AK182" i="3"/>
  <c r="AK181" i="3"/>
  <c r="AK180" i="3"/>
  <c r="AK179" i="3"/>
  <c r="AK178" i="3"/>
  <c r="AK177" i="3"/>
  <c r="AK176" i="3"/>
  <c r="AK175" i="3"/>
  <c r="AK174" i="3"/>
  <c r="AK173" i="3"/>
  <c r="AK172" i="3"/>
  <c r="AK171" i="3"/>
  <c r="AK170" i="3"/>
  <c r="AK169" i="3"/>
  <c r="AK168" i="3"/>
  <c r="AK167" i="3"/>
  <c r="AK166" i="3"/>
  <c r="AK165" i="3"/>
  <c r="AK164" i="3"/>
  <c r="AK163" i="3"/>
  <c r="AK162" i="3"/>
  <c r="AK161" i="3"/>
  <c r="AK160" i="3"/>
  <c r="AK159" i="3"/>
  <c r="AK158" i="3"/>
  <c r="AK157" i="3"/>
  <c r="AK156" i="3"/>
  <c r="AK155" i="3"/>
  <c r="AK154" i="3"/>
  <c r="AK153" i="3"/>
  <c r="AK152" i="3"/>
  <c r="AK151" i="3"/>
  <c r="AK150" i="3"/>
  <c r="AK149" i="3"/>
  <c r="AK148" i="3"/>
  <c r="AK147" i="3"/>
  <c r="AK146" i="3"/>
  <c r="AK145" i="3"/>
  <c r="AK144" i="3"/>
  <c r="AK143" i="3"/>
  <c r="AK142" i="3"/>
  <c r="AK141" i="3"/>
  <c r="AK140" i="3"/>
  <c r="AK139" i="3"/>
  <c r="AK138" i="3"/>
  <c r="AK137" i="3"/>
  <c r="AK136" i="3"/>
  <c r="AK135" i="3"/>
  <c r="AK134" i="3"/>
  <c r="AK133" i="3"/>
  <c r="AK132" i="3"/>
  <c r="AK131" i="3"/>
  <c r="AK130" i="3"/>
  <c r="AK129" i="3"/>
  <c r="AK128" i="3"/>
  <c r="AK127" i="3"/>
  <c r="AK126" i="3"/>
  <c r="AK125" i="3"/>
  <c r="AK124" i="3"/>
  <c r="AK123" i="3"/>
  <c r="AK122" i="3"/>
  <c r="AK121" i="3"/>
  <c r="AK120" i="3"/>
  <c r="AK119" i="3"/>
  <c r="AK118" i="3"/>
  <c r="AK117" i="3"/>
  <c r="AK116" i="3"/>
  <c r="AK115" i="3"/>
  <c r="AK114" i="3"/>
  <c r="AK113" i="3"/>
  <c r="AK112" i="3"/>
  <c r="AK111" i="3"/>
  <c r="AK110" i="3"/>
  <c r="AK109" i="3"/>
  <c r="AK108" i="3"/>
  <c r="AK107" i="3"/>
  <c r="AK106" i="3"/>
  <c r="AK105" i="3"/>
  <c r="AK104" i="3"/>
  <c r="AK103" i="3"/>
  <c r="AK102" i="3"/>
  <c r="AK101" i="3"/>
  <c r="AK100" i="3"/>
  <c r="AK99" i="3"/>
  <c r="AK98" i="3"/>
  <c r="AK97" i="3"/>
  <c r="AK96" i="3"/>
  <c r="AK95" i="3"/>
  <c r="AK94" i="3"/>
  <c r="AK93" i="3"/>
  <c r="AK92" i="3"/>
  <c r="AK91" i="3"/>
  <c r="AK90" i="3"/>
  <c r="AK89" i="3"/>
  <c r="AK88" i="3"/>
  <c r="AK87" i="3"/>
  <c r="AK86" i="3"/>
  <c r="AK85" i="3"/>
  <c r="AK84" i="3"/>
  <c r="AK83" i="3"/>
  <c r="AK82" i="3"/>
  <c r="AK81" i="3"/>
  <c r="AK80" i="3"/>
  <c r="AK79" i="3"/>
  <c r="AK78" i="3"/>
  <c r="AK77" i="3"/>
  <c r="AK76" i="3"/>
  <c r="AK75" i="3"/>
  <c r="AK74" i="3"/>
  <c r="AK73" i="3"/>
  <c r="AK72" i="3"/>
  <c r="AK71" i="3"/>
  <c r="AK70" i="3"/>
  <c r="AK69" i="3"/>
  <c r="AK68" i="3"/>
  <c r="AK67" i="3"/>
  <c r="AK66" i="3"/>
  <c r="AK65" i="3"/>
  <c r="AK64" i="3"/>
  <c r="AK63" i="3"/>
  <c r="AK62" i="3"/>
  <c r="AK61" i="3"/>
  <c r="AK60" i="3"/>
  <c r="AK59" i="3"/>
  <c r="AK58" i="3"/>
  <c r="AK57" i="3"/>
  <c r="AK56" i="3"/>
  <c r="AK55" i="3"/>
  <c r="AK54" i="3"/>
  <c r="AK53" i="3"/>
  <c r="AK52" i="3"/>
  <c r="AK51" i="3"/>
  <c r="AK50" i="3"/>
  <c r="AK49" i="3"/>
  <c r="AK48" i="3"/>
  <c r="AK47" i="3"/>
  <c r="AK46" i="3"/>
  <c r="AK45" i="3"/>
  <c r="AK44" i="3"/>
  <c r="AK43" i="3"/>
  <c r="AK42" i="3"/>
  <c r="AK41" i="3"/>
  <c r="AK40" i="3"/>
  <c r="AK39" i="3"/>
  <c r="AK38" i="3"/>
  <c r="AK37" i="3"/>
  <c r="AK36" i="3"/>
  <c r="AK35" i="3"/>
  <c r="AK34" i="3"/>
  <c r="AK33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A1012" i="3"/>
  <c r="AA1011" i="3"/>
  <c r="AA1010" i="3"/>
  <c r="AA1009" i="3"/>
  <c r="AA1008" i="3"/>
  <c r="AA1007" i="3"/>
  <c r="AA1006" i="3"/>
  <c r="AA1005" i="3"/>
  <c r="AA1004" i="3"/>
  <c r="AA1003" i="3"/>
  <c r="AA1002" i="3"/>
  <c r="AA1001" i="3"/>
  <c r="AA1000" i="3"/>
  <c r="AA999" i="3"/>
  <c r="AA998" i="3"/>
  <c r="AA997" i="3"/>
  <c r="AA996" i="3"/>
  <c r="AA995" i="3"/>
  <c r="AA994" i="3"/>
  <c r="AA993" i="3"/>
  <c r="AA992" i="3"/>
  <c r="AA991" i="3"/>
  <c r="AA990" i="3"/>
  <c r="AA989" i="3"/>
  <c r="AA988" i="3"/>
  <c r="AA987" i="3"/>
  <c r="AA986" i="3"/>
  <c r="AA985" i="3"/>
  <c r="AA984" i="3"/>
  <c r="AA983" i="3"/>
  <c r="AA982" i="3"/>
  <c r="AA981" i="3"/>
  <c r="AA980" i="3"/>
  <c r="AA979" i="3"/>
  <c r="AA978" i="3"/>
  <c r="AA977" i="3"/>
  <c r="AA976" i="3"/>
  <c r="AA975" i="3"/>
  <c r="AA974" i="3"/>
  <c r="AA973" i="3"/>
  <c r="AA972" i="3"/>
  <c r="AA971" i="3"/>
  <c r="AA970" i="3"/>
  <c r="AA969" i="3"/>
  <c r="AA968" i="3"/>
  <c r="AA967" i="3"/>
  <c r="AA966" i="3"/>
  <c r="AA965" i="3"/>
  <c r="AA964" i="3"/>
  <c r="AA963" i="3"/>
  <c r="AA962" i="3"/>
  <c r="AA961" i="3"/>
  <c r="AA960" i="3"/>
  <c r="AA959" i="3"/>
  <c r="AA958" i="3"/>
  <c r="AA957" i="3"/>
  <c r="AA956" i="3"/>
  <c r="AA955" i="3"/>
  <c r="AA954" i="3"/>
  <c r="AA953" i="3"/>
  <c r="AA952" i="3"/>
  <c r="AA951" i="3"/>
  <c r="AA950" i="3"/>
  <c r="AA949" i="3"/>
  <c r="AA948" i="3"/>
  <c r="AA947" i="3"/>
  <c r="AA946" i="3"/>
  <c r="AA945" i="3"/>
  <c r="AA944" i="3"/>
  <c r="AA943" i="3"/>
  <c r="AA942" i="3"/>
  <c r="AA941" i="3"/>
  <c r="AA940" i="3"/>
  <c r="AA939" i="3"/>
  <c r="AA938" i="3"/>
  <c r="AA937" i="3"/>
  <c r="AA936" i="3"/>
  <c r="AA935" i="3"/>
  <c r="AA934" i="3"/>
  <c r="AA933" i="3"/>
  <c r="AA932" i="3"/>
  <c r="AA931" i="3"/>
  <c r="AA930" i="3"/>
  <c r="AA929" i="3"/>
  <c r="AA928" i="3"/>
  <c r="AA927" i="3"/>
  <c r="AA926" i="3"/>
  <c r="AA925" i="3"/>
  <c r="AA924" i="3"/>
  <c r="AA923" i="3"/>
  <c r="AA922" i="3"/>
  <c r="AA921" i="3"/>
  <c r="AA920" i="3"/>
  <c r="AA919" i="3"/>
  <c r="AA918" i="3"/>
  <c r="AA917" i="3"/>
  <c r="AA916" i="3"/>
  <c r="AA915" i="3"/>
  <c r="AA914" i="3"/>
  <c r="AA913" i="3"/>
  <c r="AA912" i="3"/>
  <c r="AA911" i="3"/>
  <c r="AA910" i="3"/>
  <c r="AA909" i="3"/>
  <c r="AA908" i="3"/>
  <c r="AA907" i="3"/>
  <c r="AA906" i="3"/>
  <c r="AA905" i="3"/>
  <c r="AA904" i="3"/>
  <c r="AA903" i="3"/>
  <c r="AA902" i="3"/>
  <c r="AA901" i="3"/>
  <c r="AA900" i="3"/>
  <c r="AA899" i="3"/>
  <c r="AA898" i="3"/>
  <c r="AA897" i="3"/>
  <c r="AA896" i="3"/>
  <c r="AA895" i="3"/>
  <c r="AA894" i="3"/>
  <c r="AA893" i="3"/>
  <c r="AA892" i="3"/>
  <c r="AA891" i="3"/>
  <c r="AA890" i="3"/>
  <c r="AA889" i="3"/>
  <c r="AA888" i="3"/>
  <c r="AA887" i="3"/>
  <c r="AA886" i="3"/>
  <c r="AA885" i="3"/>
  <c r="AA884" i="3"/>
  <c r="AA883" i="3"/>
  <c r="AA882" i="3"/>
  <c r="AA881" i="3"/>
  <c r="AA880" i="3"/>
  <c r="AA879" i="3"/>
  <c r="AA878" i="3"/>
  <c r="AA877" i="3"/>
  <c r="AA876" i="3"/>
  <c r="AA875" i="3"/>
  <c r="AA874" i="3"/>
  <c r="AA873" i="3"/>
  <c r="AA872" i="3"/>
  <c r="AA871" i="3"/>
  <c r="AA870" i="3"/>
  <c r="AA869" i="3"/>
  <c r="AA868" i="3"/>
  <c r="AA867" i="3"/>
  <c r="AA866" i="3"/>
  <c r="AA865" i="3"/>
  <c r="AA864" i="3"/>
  <c r="AA863" i="3"/>
  <c r="AA862" i="3"/>
  <c r="AA861" i="3"/>
  <c r="AA860" i="3"/>
  <c r="AA859" i="3"/>
  <c r="AA858" i="3"/>
  <c r="AA857" i="3"/>
  <c r="AA856" i="3"/>
  <c r="AA855" i="3"/>
  <c r="AA854" i="3"/>
  <c r="AA853" i="3"/>
  <c r="AA852" i="3"/>
  <c r="AA851" i="3"/>
  <c r="AA850" i="3"/>
  <c r="AA849" i="3"/>
  <c r="AA848" i="3"/>
  <c r="AA847" i="3"/>
  <c r="AA846" i="3"/>
  <c r="AA845" i="3"/>
  <c r="AA844" i="3"/>
  <c r="AA843" i="3"/>
  <c r="AA842" i="3"/>
  <c r="AA841" i="3"/>
  <c r="AA840" i="3"/>
  <c r="AA839" i="3"/>
  <c r="AA838" i="3"/>
  <c r="AA837" i="3"/>
  <c r="AA836" i="3"/>
  <c r="AA835" i="3"/>
  <c r="AA834" i="3"/>
  <c r="AA833" i="3"/>
  <c r="AA832" i="3"/>
  <c r="AA831" i="3"/>
  <c r="AA830" i="3"/>
  <c r="AA829" i="3"/>
  <c r="AA828" i="3"/>
  <c r="AA827" i="3"/>
  <c r="AA826" i="3"/>
  <c r="AA825" i="3"/>
  <c r="AA824" i="3"/>
  <c r="AA823" i="3"/>
  <c r="AA822" i="3"/>
  <c r="AA821" i="3"/>
  <c r="AA820" i="3"/>
  <c r="AA819" i="3"/>
  <c r="AA818" i="3"/>
  <c r="AA817" i="3"/>
  <c r="AA816" i="3"/>
  <c r="AA815" i="3"/>
  <c r="AA814" i="3"/>
  <c r="AA813" i="3"/>
  <c r="AA812" i="3"/>
  <c r="AA811" i="3"/>
  <c r="AA810" i="3"/>
  <c r="AA809" i="3"/>
  <c r="AA808" i="3"/>
  <c r="AA807" i="3"/>
  <c r="AA806" i="3"/>
  <c r="AA805" i="3"/>
  <c r="AA804" i="3"/>
  <c r="AA803" i="3"/>
  <c r="AA802" i="3"/>
  <c r="AA801" i="3"/>
  <c r="AA800" i="3"/>
  <c r="AA799" i="3"/>
  <c r="AA798" i="3"/>
  <c r="AA797" i="3"/>
  <c r="AA796" i="3"/>
  <c r="AA795" i="3"/>
  <c r="AA794" i="3"/>
  <c r="AA793" i="3"/>
  <c r="AA792" i="3"/>
  <c r="AA791" i="3"/>
  <c r="AA790" i="3"/>
  <c r="AA789" i="3"/>
  <c r="AA788" i="3"/>
  <c r="AA787" i="3"/>
  <c r="AA786" i="3"/>
  <c r="AA785" i="3"/>
  <c r="AA784" i="3"/>
  <c r="AA783" i="3"/>
  <c r="AA782" i="3"/>
  <c r="AA781" i="3"/>
  <c r="AA780" i="3"/>
  <c r="AA779" i="3"/>
  <c r="AA778" i="3"/>
  <c r="AA777" i="3"/>
  <c r="AA776" i="3"/>
  <c r="AA775" i="3"/>
  <c r="AA774" i="3"/>
  <c r="AA773" i="3"/>
  <c r="AA772" i="3"/>
  <c r="AA771" i="3"/>
  <c r="AA770" i="3"/>
  <c r="AA769" i="3"/>
  <c r="AA768" i="3"/>
  <c r="AA767" i="3"/>
  <c r="AA766" i="3"/>
  <c r="AA765" i="3"/>
  <c r="AA764" i="3"/>
  <c r="AA763" i="3"/>
  <c r="AA762" i="3"/>
  <c r="AA761" i="3"/>
  <c r="AA760" i="3"/>
  <c r="AA759" i="3"/>
  <c r="AA758" i="3"/>
  <c r="AA757" i="3"/>
  <c r="AA756" i="3"/>
  <c r="AA755" i="3"/>
  <c r="AA754" i="3"/>
  <c r="AA753" i="3"/>
  <c r="AA752" i="3"/>
  <c r="AA751" i="3"/>
  <c r="AA750" i="3"/>
  <c r="AA749" i="3"/>
  <c r="AA748" i="3"/>
  <c r="AA747" i="3"/>
  <c r="AA746" i="3"/>
  <c r="AA745" i="3"/>
  <c r="AA744" i="3"/>
  <c r="AA743" i="3"/>
  <c r="AA742" i="3"/>
  <c r="AA741" i="3"/>
  <c r="AA740" i="3"/>
  <c r="AA739" i="3"/>
  <c r="AA738" i="3"/>
  <c r="AA737" i="3"/>
  <c r="AA736" i="3"/>
  <c r="AA735" i="3"/>
  <c r="AA734" i="3"/>
  <c r="AA733" i="3"/>
  <c r="AA732" i="3"/>
  <c r="AA731" i="3"/>
  <c r="AA730" i="3"/>
  <c r="AA729" i="3"/>
  <c r="AA728" i="3"/>
  <c r="AA727" i="3"/>
  <c r="AA726" i="3"/>
  <c r="AA725" i="3"/>
  <c r="AA724" i="3"/>
  <c r="AA723" i="3"/>
  <c r="AA722" i="3"/>
  <c r="AA721" i="3"/>
  <c r="AA720" i="3"/>
  <c r="AA719" i="3"/>
  <c r="AA718" i="3"/>
  <c r="AA717" i="3"/>
  <c r="AA716" i="3"/>
  <c r="AA715" i="3"/>
  <c r="AA714" i="3"/>
  <c r="AA713" i="3"/>
  <c r="AA712" i="3"/>
  <c r="AA711" i="3"/>
  <c r="AA710" i="3"/>
  <c r="AA709" i="3"/>
  <c r="AA708" i="3"/>
  <c r="AA707" i="3"/>
  <c r="AA706" i="3"/>
  <c r="AA705" i="3"/>
  <c r="AA704" i="3"/>
  <c r="AA703" i="3"/>
  <c r="AA702" i="3"/>
  <c r="AA701" i="3"/>
  <c r="AA700" i="3"/>
  <c r="AA699" i="3"/>
  <c r="AA698" i="3"/>
  <c r="AA697" i="3"/>
  <c r="AA696" i="3"/>
  <c r="AA695" i="3"/>
  <c r="AA694" i="3"/>
  <c r="AA693" i="3"/>
  <c r="AA692" i="3"/>
  <c r="AA691" i="3"/>
  <c r="AA690" i="3"/>
  <c r="AA689" i="3"/>
  <c r="AA688" i="3"/>
  <c r="AA687" i="3"/>
  <c r="AA686" i="3"/>
  <c r="AA685" i="3"/>
  <c r="AA684" i="3"/>
  <c r="AA683" i="3"/>
  <c r="AA682" i="3"/>
  <c r="AA681" i="3"/>
  <c r="AA680" i="3"/>
  <c r="AA679" i="3"/>
  <c r="AA678" i="3"/>
  <c r="AA677" i="3"/>
  <c r="AA676" i="3"/>
  <c r="AA675" i="3"/>
  <c r="AA674" i="3"/>
  <c r="AA673" i="3"/>
  <c r="AA672" i="3"/>
  <c r="AA671" i="3"/>
  <c r="AA670" i="3"/>
  <c r="AA669" i="3"/>
  <c r="AA668" i="3"/>
  <c r="AA667" i="3"/>
  <c r="AA666" i="3"/>
  <c r="AA665" i="3"/>
  <c r="AA664" i="3"/>
  <c r="AA663" i="3"/>
  <c r="AA662" i="3"/>
  <c r="AA661" i="3"/>
  <c r="AA660" i="3"/>
  <c r="AA659" i="3"/>
  <c r="AA658" i="3"/>
  <c r="AA657" i="3"/>
  <c r="AA656" i="3"/>
  <c r="AA655" i="3"/>
  <c r="AA654" i="3"/>
  <c r="AA653" i="3"/>
  <c r="AA652" i="3"/>
  <c r="AA651" i="3"/>
  <c r="AA650" i="3"/>
  <c r="AA649" i="3"/>
  <c r="AA648" i="3"/>
  <c r="AA647" i="3"/>
  <c r="AA646" i="3"/>
  <c r="AA645" i="3"/>
  <c r="AA644" i="3"/>
  <c r="AA643" i="3"/>
  <c r="AA642" i="3"/>
  <c r="AA641" i="3"/>
  <c r="AA640" i="3"/>
  <c r="AA639" i="3"/>
  <c r="AA638" i="3"/>
  <c r="AA637" i="3"/>
  <c r="AA636" i="3"/>
  <c r="AA635" i="3"/>
  <c r="AA634" i="3"/>
  <c r="AA633" i="3"/>
  <c r="AA632" i="3"/>
  <c r="AA631" i="3"/>
  <c r="AA630" i="3"/>
  <c r="AA629" i="3"/>
  <c r="AA628" i="3"/>
  <c r="AA627" i="3"/>
  <c r="AA626" i="3"/>
  <c r="AA625" i="3"/>
  <c r="AA624" i="3"/>
  <c r="AA623" i="3"/>
  <c r="AA622" i="3"/>
  <c r="AA621" i="3"/>
  <c r="AA620" i="3"/>
  <c r="AA619" i="3"/>
  <c r="AA618" i="3"/>
  <c r="AA617" i="3"/>
  <c r="AA616" i="3"/>
  <c r="AA615" i="3"/>
  <c r="AA614" i="3"/>
  <c r="AA613" i="3"/>
  <c r="AA612" i="3"/>
  <c r="AA611" i="3"/>
  <c r="AA610" i="3"/>
  <c r="AA609" i="3"/>
  <c r="AA608" i="3"/>
  <c r="AA607" i="3"/>
  <c r="AA606" i="3"/>
  <c r="AA605" i="3"/>
  <c r="AA604" i="3"/>
  <c r="AA603" i="3"/>
  <c r="AA602" i="3"/>
  <c r="AA601" i="3"/>
  <c r="AA600" i="3"/>
  <c r="AA599" i="3"/>
  <c r="AA598" i="3"/>
  <c r="AA597" i="3"/>
  <c r="AA596" i="3"/>
  <c r="AA595" i="3"/>
  <c r="AA594" i="3"/>
  <c r="AA593" i="3"/>
  <c r="AA592" i="3"/>
  <c r="AA591" i="3"/>
  <c r="AA590" i="3"/>
  <c r="AA589" i="3"/>
  <c r="AA588" i="3"/>
  <c r="AA587" i="3"/>
  <c r="AA586" i="3"/>
  <c r="AA585" i="3"/>
  <c r="AA584" i="3"/>
  <c r="AA583" i="3"/>
  <c r="AA582" i="3"/>
  <c r="AA581" i="3"/>
  <c r="AA580" i="3"/>
  <c r="AA579" i="3"/>
  <c r="AA578" i="3"/>
  <c r="AA577" i="3"/>
  <c r="AA576" i="3"/>
  <c r="AA575" i="3"/>
  <c r="AA574" i="3"/>
  <c r="AA573" i="3"/>
  <c r="AA572" i="3"/>
  <c r="AA571" i="3"/>
  <c r="AA570" i="3"/>
  <c r="AA569" i="3"/>
  <c r="AA568" i="3"/>
  <c r="AA567" i="3"/>
  <c r="AA566" i="3"/>
  <c r="AA565" i="3"/>
  <c r="AA564" i="3"/>
  <c r="AA563" i="3"/>
  <c r="AA562" i="3"/>
  <c r="AA561" i="3"/>
  <c r="AA560" i="3"/>
  <c r="AA559" i="3"/>
  <c r="AA558" i="3"/>
  <c r="AA557" i="3"/>
  <c r="AA556" i="3"/>
  <c r="AA555" i="3"/>
  <c r="AA554" i="3"/>
  <c r="AA553" i="3"/>
  <c r="AA552" i="3"/>
  <c r="AA551" i="3"/>
  <c r="AA550" i="3"/>
  <c r="AA549" i="3"/>
  <c r="AA548" i="3"/>
  <c r="AA547" i="3"/>
  <c r="AA546" i="3"/>
  <c r="AA545" i="3"/>
  <c r="AA544" i="3"/>
  <c r="AA543" i="3"/>
  <c r="AA542" i="3"/>
  <c r="AA541" i="3"/>
  <c r="AA540" i="3"/>
  <c r="AA539" i="3"/>
  <c r="AA538" i="3"/>
  <c r="AA537" i="3"/>
  <c r="AA536" i="3"/>
  <c r="AA535" i="3"/>
  <c r="AA534" i="3"/>
  <c r="AA533" i="3"/>
  <c r="AA532" i="3"/>
  <c r="AA531" i="3"/>
  <c r="AA530" i="3"/>
  <c r="AA529" i="3"/>
  <c r="AA528" i="3"/>
  <c r="AA527" i="3"/>
  <c r="AA526" i="3"/>
  <c r="AA525" i="3"/>
  <c r="AA524" i="3"/>
  <c r="AA523" i="3"/>
  <c r="AA522" i="3"/>
  <c r="AA521" i="3"/>
  <c r="AA520" i="3"/>
  <c r="AA519" i="3"/>
  <c r="AA518" i="3"/>
  <c r="AA517" i="3"/>
  <c r="AA516" i="3"/>
  <c r="AA515" i="3"/>
  <c r="AA514" i="3"/>
  <c r="AA513" i="3"/>
  <c r="AA512" i="3"/>
  <c r="AA511" i="3"/>
  <c r="AA510" i="3"/>
  <c r="AA509" i="3"/>
  <c r="AA508" i="3"/>
  <c r="AA507" i="3"/>
  <c r="AA506" i="3"/>
  <c r="AA505" i="3"/>
  <c r="AA504" i="3"/>
  <c r="AA503" i="3"/>
  <c r="AA502" i="3"/>
  <c r="AA501" i="3"/>
  <c r="AA500" i="3"/>
  <c r="AA499" i="3"/>
  <c r="AA498" i="3"/>
  <c r="AA497" i="3"/>
  <c r="AA496" i="3"/>
  <c r="AA495" i="3"/>
  <c r="AA494" i="3"/>
  <c r="AA493" i="3"/>
  <c r="AA492" i="3"/>
  <c r="AA491" i="3"/>
  <c r="AA490" i="3"/>
  <c r="AA489" i="3"/>
  <c r="AA488" i="3"/>
  <c r="AA487" i="3"/>
  <c r="AA486" i="3"/>
  <c r="AA485" i="3"/>
  <c r="AA484" i="3"/>
  <c r="AA483" i="3"/>
  <c r="AA482" i="3"/>
  <c r="AA481" i="3"/>
  <c r="AA480" i="3"/>
  <c r="AA479" i="3"/>
  <c r="AA478" i="3"/>
  <c r="AA477" i="3"/>
  <c r="AA476" i="3"/>
  <c r="AA475" i="3"/>
  <c r="AA474" i="3"/>
  <c r="AA473" i="3"/>
  <c r="AA472" i="3"/>
  <c r="AA471" i="3"/>
  <c r="AA470" i="3"/>
  <c r="AA469" i="3"/>
  <c r="AA468" i="3"/>
  <c r="AA467" i="3"/>
  <c r="AA466" i="3"/>
  <c r="AA465" i="3"/>
  <c r="AA464" i="3"/>
  <c r="AA463" i="3"/>
  <c r="AA462" i="3"/>
  <c r="AA461" i="3"/>
  <c r="AA460" i="3"/>
  <c r="AA459" i="3"/>
  <c r="AA458" i="3"/>
  <c r="AA457" i="3"/>
  <c r="AA456" i="3"/>
  <c r="AA455" i="3"/>
  <c r="AA454" i="3"/>
  <c r="AA453" i="3"/>
  <c r="AA452" i="3"/>
  <c r="AA451" i="3"/>
  <c r="AA450" i="3"/>
  <c r="AA449" i="3"/>
  <c r="AA448" i="3"/>
  <c r="AA447" i="3"/>
  <c r="AA446" i="3"/>
  <c r="AA445" i="3"/>
  <c r="AA444" i="3"/>
  <c r="AA443" i="3"/>
  <c r="AA442" i="3"/>
  <c r="AA441" i="3"/>
  <c r="AA440" i="3"/>
  <c r="AA439" i="3"/>
  <c r="AA438" i="3"/>
  <c r="AA437" i="3"/>
  <c r="AA436" i="3"/>
  <c r="AA435" i="3"/>
  <c r="AA434" i="3"/>
  <c r="AA433" i="3"/>
  <c r="AA432" i="3"/>
  <c r="AA431" i="3"/>
  <c r="AA430" i="3"/>
  <c r="AA429" i="3"/>
  <c r="AA428" i="3"/>
  <c r="AA427" i="3"/>
  <c r="AA426" i="3"/>
  <c r="AA425" i="3"/>
  <c r="AA424" i="3"/>
  <c r="AA423" i="3"/>
  <c r="AA422" i="3"/>
  <c r="AA421" i="3"/>
  <c r="AA420" i="3"/>
  <c r="AA419" i="3"/>
  <c r="AA418" i="3"/>
  <c r="AA417" i="3"/>
  <c r="AA416" i="3"/>
  <c r="AA415" i="3"/>
  <c r="AA414" i="3"/>
  <c r="AA413" i="3"/>
  <c r="AA412" i="3"/>
  <c r="AA411" i="3"/>
  <c r="AA410" i="3"/>
  <c r="AA409" i="3"/>
  <c r="AA408" i="3"/>
  <c r="AA407" i="3"/>
  <c r="AA406" i="3"/>
  <c r="AA405" i="3"/>
  <c r="AA404" i="3"/>
  <c r="AA403" i="3"/>
  <c r="AA402" i="3"/>
  <c r="AA401" i="3"/>
  <c r="AA400" i="3"/>
  <c r="AA399" i="3"/>
  <c r="AA398" i="3"/>
  <c r="AA397" i="3"/>
  <c r="AA396" i="3"/>
  <c r="AA395" i="3"/>
  <c r="AA394" i="3"/>
  <c r="AA393" i="3"/>
  <c r="AA392" i="3"/>
  <c r="AA391" i="3"/>
  <c r="AA390" i="3"/>
  <c r="AA389" i="3"/>
  <c r="AA388" i="3"/>
  <c r="AA387" i="3"/>
  <c r="AA386" i="3"/>
  <c r="AA385" i="3"/>
  <c r="AA384" i="3"/>
  <c r="AA383" i="3"/>
  <c r="AA382" i="3"/>
  <c r="AA381" i="3"/>
  <c r="AA380" i="3"/>
  <c r="AA379" i="3"/>
  <c r="AA378" i="3"/>
  <c r="AA377" i="3"/>
  <c r="AA376" i="3"/>
  <c r="AA375" i="3"/>
  <c r="AA374" i="3"/>
  <c r="AA373" i="3"/>
  <c r="AA372" i="3"/>
  <c r="AA371" i="3"/>
  <c r="AA370" i="3"/>
  <c r="AA369" i="3"/>
  <c r="AA368" i="3"/>
  <c r="AA367" i="3"/>
  <c r="AA366" i="3"/>
  <c r="AA365" i="3"/>
  <c r="AA364" i="3"/>
  <c r="AA363" i="3"/>
  <c r="AA362" i="3"/>
  <c r="AA361" i="3"/>
  <c r="AA360" i="3"/>
  <c r="AA359" i="3"/>
  <c r="AA358" i="3"/>
  <c r="AA357" i="3"/>
  <c r="AA356" i="3"/>
  <c r="AA355" i="3"/>
  <c r="AA354" i="3"/>
  <c r="AA353" i="3"/>
  <c r="AA352" i="3"/>
  <c r="AA351" i="3"/>
  <c r="AA350" i="3"/>
  <c r="AA349" i="3"/>
  <c r="AA348" i="3"/>
  <c r="AA347" i="3"/>
  <c r="AA346" i="3"/>
  <c r="AA345" i="3"/>
  <c r="AA344" i="3"/>
  <c r="AA343" i="3"/>
  <c r="AA342" i="3"/>
  <c r="AA341" i="3"/>
  <c r="AA340" i="3"/>
  <c r="AA339" i="3"/>
  <c r="AA338" i="3"/>
  <c r="AA337" i="3"/>
  <c r="AA336" i="3"/>
  <c r="AA335" i="3"/>
  <c r="AA334" i="3"/>
  <c r="AA333" i="3"/>
  <c r="AA332" i="3"/>
  <c r="AA331" i="3"/>
  <c r="AA330" i="3"/>
  <c r="AA329" i="3"/>
  <c r="AA328" i="3"/>
  <c r="AA327" i="3"/>
  <c r="AA326" i="3"/>
  <c r="AA325" i="3"/>
  <c r="AA324" i="3"/>
  <c r="AA323" i="3"/>
  <c r="AA322" i="3"/>
  <c r="AA321" i="3"/>
  <c r="AA320" i="3"/>
  <c r="AA319" i="3"/>
  <c r="AA318" i="3"/>
  <c r="AA317" i="3"/>
  <c r="AA316" i="3"/>
  <c r="AA315" i="3"/>
  <c r="AA314" i="3"/>
  <c r="AA313" i="3"/>
  <c r="AA312" i="3"/>
  <c r="AA311" i="3"/>
  <c r="AA310" i="3"/>
  <c r="AA309" i="3"/>
  <c r="AA308" i="3"/>
  <c r="AA307" i="3"/>
  <c r="AA306" i="3"/>
  <c r="AA305" i="3"/>
  <c r="AA304" i="3"/>
  <c r="AA303" i="3"/>
  <c r="AA302" i="3"/>
  <c r="AA301" i="3"/>
  <c r="AA300" i="3"/>
  <c r="AA299" i="3"/>
  <c r="AA298" i="3"/>
  <c r="AA297" i="3"/>
  <c r="AA296" i="3"/>
  <c r="AA295" i="3"/>
  <c r="AA294" i="3"/>
  <c r="AA293" i="3"/>
  <c r="AA292" i="3"/>
  <c r="AA291" i="3"/>
  <c r="AA290" i="3"/>
  <c r="AA289" i="3"/>
  <c r="AA288" i="3"/>
  <c r="AA287" i="3"/>
  <c r="AA286" i="3"/>
  <c r="AA285" i="3"/>
  <c r="AA284" i="3"/>
  <c r="AA283" i="3"/>
  <c r="AA282" i="3"/>
  <c r="AA281" i="3"/>
  <c r="AA280" i="3"/>
  <c r="AA279" i="3"/>
  <c r="AA278" i="3"/>
  <c r="AA277" i="3"/>
  <c r="AA276" i="3"/>
  <c r="AA275" i="3"/>
  <c r="AA274" i="3"/>
  <c r="AA273" i="3"/>
  <c r="AA272" i="3"/>
  <c r="AA271" i="3"/>
  <c r="AA270" i="3"/>
  <c r="AA269" i="3"/>
  <c r="AA268" i="3"/>
  <c r="AA267" i="3"/>
  <c r="AA266" i="3"/>
  <c r="AA265" i="3"/>
  <c r="AA264" i="3"/>
  <c r="AA263" i="3"/>
  <c r="AA262" i="3"/>
  <c r="AA261" i="3"/>
  <c r="AA260" i="3"/>
  <c r="AA259" i="3"/>
  <c r="AA258" i="3"/>
  <c r="AA257" i="3"/>
  <c r="AA256" i="3"/>
  <c r="AA255" i="3"/>
  <c r="AA254" i="3"/>
  <c r="AA253" i="3"/>
  <c r="AA252" i="3"/>
  <c r="AA251" i="3"/>
  <c r="AA250" i="3"/>
  <c r="AA249" i="3"/>
  <c r="AA248" i="3"/>
  <c r="AA247" i="3"/>
  <c r="AA246" i="3"/>
  <c r="AA245" i="3"/>
  <c r="AA244" i="3"/>
  <c r="AA243" i="3"/>
  <c r="AA242" i="3"/>
  <c r="AA241" i="3"/>
  <c r="AA240" i="3"/>
  <c r="AA239" i="3"/>
  <c r="AA238" i="3"/>
  <c r="AA237" i="3"/>
  <c r="AA236" i="3"/>
  <c r="AA235" i="3"/>
  <c r="AA234" i="3"/>
  <c r="AA233" i="3"/>
  <c r="AA232" i="3"/>
  <c r="AA231" i="3"/>
  <c r="AA230" i="3"/>
  <c r="AA229" i="3"/>
  <c r="AA228" i="3"/>
  <c r="AA227" i="3"/>
  <c r="AA226" i="3"/>
  <c r="AA225" i="3"/>
  <c r="AA224" i="3"/>
  <c r="AA223" i="3"/>
  <c r="AA222" i="3"/>
  <c r="AA221" i="3"/>
  <c r="AA220" i="3"/>
  <c r="AA219" i="3"/>
  <c r="AA218" i="3"/>
  <c r="AA217" i="3"/>
  <c r="AA216" i="3"/>
  <c r="AA215" i="3"/>
  <c r="AA214" i="3"/>
  <c r="AA213" i="3"/>
  <c r="AA212" i="3"/>
  <c r="AA211" i="3"/>
  <c r="AA210" i="3"/>
  <c r="AA209" i="3"/>
  <c r="AA208" i="3"/>
  <c r="AA207" i="3"/>
  <c r="AA206" i="3"/>
  <c r="AA205" i="3"/>
  <c r="AA204" i="3"/>
  <c r="AA203" i="3"/>
  <c r="AA202" i="3"/>
  <c r="AA201" i="3"/>
  <c r="AA200" i="3"/>
  <c r="AA199" i="3"/>
  <c r="AA198" i="3"/>
  <c r="AA197" i="3"/>
  <c r="AA196" i="3"/>
  <c r="AA195" i="3"/>
  <c r="AA194" i="3"/>
  <c r="AA193" i="3"/>
  <c r="AA192" i="3"/>
  <c r="AA191" i="3"/>
  <c r="AA190" i="3"/>
  <c r="AA189" i="3"/>
  <c r="AA188" i="3"/>
  <c r="AA187" i="3"/>
  <c r="AA186" i="3"/>
  <c r="AA185" i="3"/>
  <c r="AA184" i="3"/>
  <c r="AA183" i="3"/>
  <c r="AA182" i="3"/>
  <c r="AA181" i="3"/>
  <c r="AA180" i="3"/>
  <c r="AA179" i="3"/>
  <c r="AA178" i="3"/>
  <c r="AA177" i="3"/>
  <c r="AA176" i="3"/>
  <c r="AA175" i="3"/>
  <c r="AA174" i="3"/>
  <c r="AA173" i="3"/>
  <c r="AA172" i="3"/>
  <c r="AA171" i="3"/>
  <c r="AA170" i="3"/>
  <c r="AA169" i="3"/>
  <c r="AA168" i="3"/>
  <c r="AA167" i="3"/>
  <c r="AA166" i="3"/>
  <c r="AA165" i="3"/>
  <c r="AA164" i="3"/>
  <c r="AA163" i="3"/>
  <c r="AA162" i="3"/>
  <c r="AA161" i="3"/>
  <c r="AA160" i="3"/>
  <c r="AA159" i="3"/>
  <c r="AA158" i="3"/>
  <c r="AA157" i="3"/>
  <c r="AA156" i="3"/>
  <c r="AA155" i="3"/>
  <c r="AA154" i="3"/>
  <c r="AA153" i="3"/>
  <c r="AA152" i="3"/>
  <c r="AA151" i="3"/>
  <c r="AA150" i="3"/>
  <c r="AA149" i="3"/>
  <c r="AA148" i="3"/>
  <c r="AA147" i="3"/>
  <c r="AA146" i="3"/>
  <c r="AA145" i="3"/>
  <c r="AA144" i="3"/>
  <c r="AA143" i="3"/>
  <c r="AA142" i="3"/>
  <c r="AA141" i="3"/>
  <c r="AA140" i="3"/>
  <c r="AA139" i="3"/>
  <c r="AA138" i="3"/>
  <c r="AA137" i="3"/>
  <c r="AA136" i="3"/>
  <c r="AA135" i="3"/>
  <c r="AA134" i="3"/>
  <c r="AA133" i="3"/>
  <c r="AA132" i="3"/>
  <c r="AA131" i="3"/>
  <c r="AA130" i="3"/>
  <c r="AA129" i="3"/>
  <c r="AA128" i="3"/>
  <c r="AA127" i="3"/>
  <c r="AA126" i="3"/>
  <c r="AA125" i="3"/>
  <c r="AA124" i="3"/>
  <c r="AA123" i="3"/>
  <c r="AA122" i="3"/>
  <c r="AA121" i="3"/>
  <c r="AA120" i="3"/>
  <c r="AA119" i="3"/>
  <c r="AA118" i="3"/>
  <c r="AA117" i="3"/>
  <c r="AA116" i="3"/>
  <c r="AA115" i="3"/>
  <c r="AA114" i="3"/>
  <c r="AA113" i="3"/>
  <c r="AA112" i="3"/>
  <c r="AA111" i="3"/>
  <c r="AA110" i="3"/>
  <c r="AA109" i="3"/>
  <c r="AA108" i="3"/>
  <c r="AA107" i="3"/>
  <c r="AA106" i="3"/>
  <c r="AA105" i="3"/>
  <c r="AA104" i="3"/>
  <c r="AA103" i="3"/>
  <c r="AA102" i="3"/>
  <c r="AA101" i="3"/>
  <c r="AA100" i="3"/>
  <c r="AA99" i="3"/>
  <c r="AA98" i="3"/>
  <c r="AA97" i="3"/>
  <c r="AA96" i="3"/>
  <c r="AA95" i="3"/>
  <c r="AA94" i="3"/>
  <c r="AA93" i="3"/>
  <c r="AA92" i="3"/>
  <c r="AA91" i="3"/>
  <c r="AA90" i="3"/>
  <c r="AA89" i="3"/>
  <c r="AA88" i="3"/>
  <c r="AA87" i="3"/>
  <c r="AA86" i="3"/>
  <c r="AA85" i="3"/>
  <c r="AA84" i="3"/>
  <c r="AA83" i="3"/>
  <c r="AA82" i="3"/>
  <c r="AA81" i="3"/>
  <c r="AA80" i="3"/>
  <c r="AA79" i="3"/>
  <c r="AA78" i="3"/>
  <c r="AA77" i="3"/>
  <c r="AA76" i="3"/>
  <c r="AA75" i="3"/>
  <c r="AA74" i="3"/>
  <c r="AA73" i="3"/>
  <c r="AA72" i="3"/>
  <c r="AA71" i="3"/>
  <c r="AA70" i="3"/>
  <c r="AA69" i="3"/>
  <c r="AA68" i="3"/>
  <c r="AA67" i="3"/>
  <c r="AA66" i="3"/>
  <c r="AA65" i="3"/>
  <c r="AA64" i="3"/>
  <c r="AA63" i="3"/>
  <c r="AA62" i="3"/>
  <c r="AA61" i="3"/>
  <c r="AA60" i="3"/>
  <c r="AA59" i="3"/>
  <c r="AA58" i="3"/>
  <c r="AA57" i="3"/>
  <c r="AA56" i="3"/>
  <c r="AA55" i="3"/>
  <c r="AA54" i="3"/>
  <c r="AA53" i="3"/>
  <c r="AA52" i="3"/>
  <c r="AA51" i="3"/>
  <c r="AA50" i="3"/>
  <c r="AA49" i="3"/>
  <c r="AA48" i="3"/>
  <c r="AA47" i="3"/>
  <c r="AA46" i="3"/>
  <c r="AA45" i="3"/>
  <c r="AA44" i="3"/>
  <c r="AA43" i="3"/>
  <c r="AA42" i="3"/>
  <c r="AA41" i="3"/>
  <c r="AA40" i="3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3" i="3"/>
  <c r="BA1012" i="3"/>
  <c r="BA1011" i="3"/>
  <c r="BA1010" i="3"/>
  <c r="BA1009" i="3"/>
  <c r="BA1008" i="3"/>
  <c r="BA1007" i="3"/>
  <c r="BA1006" i="3"/>
  <c r="BA1005" i="3"/>
  <c r="BA1004" i="3"/>
  <c r="BA1003" i="3"/>
  <c r="BA1002" i="3"/>
  <c r="BA1001" i="3"/>
  <c r="BA1000" i="3"/>
  <c r="BA999" i="3"/>
  <c r="BA998" i="3"/>
  <c r="BA997" i="3"/>
  <c r="BA996" i="3"/>
  <c r="BA995" i="3"/>
  <c r="BA994" i="3"/>
  <c r="BA993" i="3"/>
  <c r="BA992" i="3"/>
  <c r="BA991" i="3"/>
  <c r="BA990" i="3"/>
  <c r="BA989" i="3"/>
  <c r="BA988" i="3"/>
  <c r="BA987" i="3"/>
  <c r="BA986" i="3"/>
  <c r="BA985" i="3"/>
  <c r="BA984" i="3"/>
  <c r="BA983" i="3"/>
  <c r="BA982" i="3"/>
  <c r="BA981" i="3"/>
  <c r="BA980" i="3"/>
  <c r="BA979" i="3"/>
  <c r="BA978" i="3"/>
  <c r="BA977" i="3"/>
  <c r="BA976" i="3"/>
  <c r="BA975" i="3"/>
  <c r="BA974" i="3"/>
  <c r="BA973" i="3"/>
  <c r="BA972" i="3"/>
  <c r="BA971" i="3"/>
  <c r="BA970" i="3"/>
  <c r="BA969" i="3"/>
  <c r="BA968" i="3"/>
  <c r="BA967" i="3"/>
  <c r="BA966" i="3"/>
  <c r="BA965" i="3"/>
  <c r="BA964" i="3"/>
  <c r="BA963" i="3"/>
  <c r="BA962" i="3"/>
  <c r="BA961" i="3"/>
  <c r="BA960" i="3"/>
  <c r="BA959" i="3"/>
  <c r="BA958" i="3"/>
  <c r="BA957" i="3"/>
  <c r="BA956" i="3"/>
  <c r="BA955" i="3"/>
  <c r="BA954" i="3"/>
  <c r="BA953" i="3"/>
  <c r="BA952" i="3"/>
  <c r="BA951" i="3"/>
  <c r="BA950" i="3"/>
  <c r="BA949" i="3"/>
  <c r="BA948" i="3"/>
  <c r="BA947" i="3"/>
  <c r="BA946" i="3"/>
  <c r="BA945" i="3"/>
  <c r="BA944" i="3"/>
  <c r="BA943" i="3"/>
  <c r="BA942" i="3"/>
  <c r="BA941" i="3"/>
  <c r="BA940" i="3"/>
  <c r="BA939" i="3"/>
  <c r="BA938" i="3"/>
  <c r="BA937" i="3"/>
  <c r="BA936" i="3"/>
  <c r="BA935" i="3"/>
  <c r="BA934" i="3"/>
  <c r="BA933" i="3"/>
  <c r="BA932" i="3"/>
  <c r="BA931" i="3"/>
  <c r="BA930" i="3"/>
  <c r="BA929" i="3"/>
  <c r="BA928" i="3"/>
  <c r="BA927" i="3"/>
  <c r="BA926" i="3"/>
  <c r="BA925" i="3"/>
  <c r="BA924" i="3"/>
  <c r="BA923" i="3"/>
  <c r="BA922" i="3"/>
  <c r="BA921" i="3"/>
  <c r="BA920" i="3"/>
  <c r="BA919" i="3"/>
  <c r="BA918" i="3"/>
  <c r="BA917" i="3"/>
  <c r="BA916" i="3"/>
  <c r="BA915" i="3"/>
  <c r="BA914" i="3"/>
  <c r="BA913" i="3"/>
  <c r="BA912" i="3"/>
  <c r="BA911" i="3"/>
  <c r="BA910" i="3"/>
  <c r="BA909" i="3"/>
  <c r="BA908" i="3"/>
  <c r="BA907" i="3"/>
  <c r="BA906" i="3"/>
  <c r="BA905" i="3"/>
  <c r="BA904" i="3"/>
  <c r="BA903" i="3"/>
  <c r="BA902" i="3"/>
  <c r="BA901" i="3"/>
  <c r="BA900" i="3"/>
  <c r="BA899" i="3"/>
  <c r="BA898" i="3"/>
  <c r="BA897" i="3"/>
  <c r="BA896" i="3"/>
  <c r="BA895" i="3"/>
  <c r="BA894" i="3"/>
  <c r="BA893" i="3"/>
  <c r="BA892" i="3"/>
  <c r="BA891" i="3"/>
  <c r="BA890" i="3"/>
  <c r="BA889" i="3"/>
  <c r="BA888" i="3"/>
  <c r="BA887" i="3"/>
  <c r="BA886" i="3"/>
  <c r="BA885" i="3"/>
  <c r="BA884" i="3"/>
  <c r="BA883" i="3"/>
  <c r="BA882" i="3"/>
  <c r="BA881" i="3"/>
  <c r="BA880" i="3"/>
  <c r="BA879" i="3"/>
  <c r="BA878" i="3"/>
  <c r="BA877" i="3"/>
  <c r="BA876" i="3"/>
  <c r="BA875" i="3"/>
  <c r="BA874" i="3"/>
  <c r="BA873" i="3"/>
  <c r="BA872" i="3"/>
  <c r="BA871" i="3"/>
  <c r="BA870" i="3"/>
  <c r="BA869" i="3"/>
  <c r="BA868" i="3"/>
  <c r="BA867" i="3"/>
  <c r="BA866" i="3"/>
  <c r="BA865" i="3"/>
  <c r="BA864" i="3"/>
  <c r="BA863" i="3"/>
  <c r="BA862" i="3"/>
  <c r="BA861" i="3"/>
  <c r="BA860" i="3"/>
  <c r="BA859" i="3"/>
  <c r="BA858" i="3"/>
  <c r="BA857" i="3"/>
  <c r="BA856" i="3"/>
  <c r="BA855" i="3"/>
  <c r="BA854" i="3"/>
  <c r="BA853" i="3"/>
  <c r="BA852" i="3"/>
  <c r="BA851" i="3"/>
  <c r="BA850" i="3"/>
  <c r="BA849" i="3"/>
  <c r="BA848" i="3"/>
  <c r="BA847" i="3"/>
  <c r="BA846" i="3"/>
  <c r="BA845" i="3"/>
  <c r="BA844" i="3"/>
  <c r="BA843" i="3"/>
  <c r="BA842" i="3"/>
  <c r="BA841" i="3"/>
  <c r="BA840" i="3"/>
  <c r="BA839" i="3"/>
  <c r="BA838" i="3"/>
  <c r="BA837" i="3"/>
  <c r="BA836" i="3"/>
  <c r="BA835" i="3"/>
  <c r="BA834" i="3"/>
  <c r="BA833" i="3"/>
  <c r="BA832" i="3"/>
  <c r="BA831" i="3"/>
  <c r="BA830" i="3"/>
  <c r="BA829" i="3"/>
  <c r="BA828" i="3"/>
  <c r="BA827" i="3"/>
  <c r="BA826" i="3"/>
  <c r="BA825" i="3"/>
  <c r="BA824" i="3"/>
  <c r="BA823" i="3"/>
  <c r="BA822" i="3"/>
  <c r="BA821" i="3"/>
  <c r="BA820" i="3"/>
  <c r="BA819" i="3"/>
  <c r="BA818" i="3"/>
  <c r="BA817" i="3"/>
  <c r="BA816" i="3"/>
  <c r="BA815" i="3"/>
  <c r="BA814" i="3"/>
  <c r="BA813" i="3"/>
  <c r="BA812" i="3"/>
  <c r="BA811" i="3"/>
  <c r="BA810" i="3"/>
  <c r="BA809" i="3"/>
  <c r="BA808" i="3"/>
  <c r="BA807" i="3"/>
  <c r="BA806" i="3"/>
  <c r="BA805" i="3"/>
  <c r="BA804" i="3"/>
  <c r="BA803" i="3"/>
  <c r="BA802" i="3"/>
  <c r="BA801" i="3"/>
  <c r="BA800" i="3"/>
  <c r="BA799" i="3"/>
  <c r="BA798" i="3"/>
  <c r="BA797" i="3"/>
  <c r="BA796" i="3"/>
  <c r="BA795" i="3"/>
  <c r="BA794" i="3"/>
  <c r="BA793" i="3"/>
  <c r="BA792" i="3"/>
  <c r="BA791" i="3"/>
  <c r="BA790" i="3"/>
  <c r="BA789" i="3"/>
  <c r="BA788" i="3"/>
  <c r="BA787" i="3"/>
  <c r="BA786" i="3"/>
  <c r="BA785" i="3"/>
  <c r="BA784" i="3"/>
  <c r="BA783" i="3"/>
  <c r="BA782" i="3"/>
  <c r="BA781" i="3"/>
  <c r="BA780" i="3"/>
  <c r="BA779" i="3"/>
  <c r="BA778" i="3"/>
  <c r="BA777" i="3"/>
  <c r="BA776" i="3"/>
  <c r="BA775" i="3"/>
  <c r="BA774" i="3"/>
  <c r="BA773" i="3"/>
  <c r="BA772" i="3"/>
  <c r="BA771" i="3"/>
  <c r="BA770" i="3"/>
  <c r="BA769" i="3"/>
  <c r="BA768" i="3"/>
  <c r="BA767" i="3"/>
  <c r="BA766" i="3"/>
  <c r="BA765" i="3"/>
  <c r="BA764" i="3"/>
  <c r="BA763" i="3"/>
  <c r="BA762" i="3"/>
  <c r="BA761" i="3"/>
  <c r="BA760" i="3"/>
  <c r="BA759" i="3"/>
  <c r="BA758" i="3"/>
  <c r="BA757" i="3"/>
  <c r="BA756" i="3"/>
  <c r="BA755" i="3"/>
  <c r="BA754" i="3"/>
  <c r="BA753" i="3"/>
  <c r="BA752" i="3"/>
  <c r="BA751" i="3"/>
  <c r="BA750" i="3"/>
  <c r="BA749" i="3"/>
  <c r="BA748" i="3"/>
  <c r="BA747" i="3"/>
  <c r="BA746" i="3"/>
  <c r="BA745" i="3"/>
  <c r="BA744" i="3"/>
  <c r="BA743" i="3"/>
  <c r="BA742" i="3"/>
  <c r="BA741" i="3"/>
  <c r="BA740" i="3"/>
  <c r="BA739" i="3"/>
  <c r="BA738" i="3"/>
  <c r="BA737" i="3"/>
  <c r="BA736" i="3"/>
  <c r="BA735" i="3"/>
  <c r="BA734" i="3"/>
  <c r="BA733" i="3"/>
  <c r="BA732" i="3"/>
  <c r="BA731" i="3"/>
  <c r="BA730" i="3"/>
  <c r="BA729" i="3"/>
  <c r="BA728" i="3"/>
  <c r="BA727" i="3"/>
  <c r="BA726" i="3"/>
  <c r="BA725" i="3"/>
  <c r="BA724" i="3"/>
  <c r="BA723" i="3"/>
  <c r="BA722" i="3"/>
  <c r="BA721" i="3"/>
  <c r="BA720" i="3"/>
  <c r="BA719" i="3"/>
  <c r="BA718" i="3"/>
  <c r="BA717" i="3"/>
  <c r="BA716" i="3"/>
  <c r="BA715" i="3"/>
  <c r="BA714" i="3"/>
  <c r="BA713" i="3"/>
  <c r="BA712" i="3"/>
  <c r="BA711" i="3"/>
  <c r="BA710" i="3"/>
  <c r="BA709" i="3"/>
  <c r="BA708" i="3"/>
  <c r="BA707" i="3"/>
  <c r="BA706" i="3"/>
  <c r="BA705" i="3"/>
  <c r="BA704" i="3"/>
  <c r="BA703" i="3"/>
  <c r="BA702" i="3"/>
  <c r="BA701" i="3"/>
  <c r="BA700" i="3"/>
  <c r="BA699" i="3"/>
  <c r="BA698" i="3"/>
  <c r="BA697" i="3"/>
  <c r="BA696" i="3"/>
  <c r="BA695" i="3"/>
  <c r="BA694" i="3"/>
  <c r="BA693" i="3"/>
  <c r="BA692" i="3"/>
  <c r="BA691" i="3"/>
  <c r="BA690" i="3"/>
  <c r="BA689" i="3"/>
  <c r="BA688" i="3"/>
  <c r="BA687" i="3"/>
  <c r="BA686" i="3"/>
  <c r="BA685" i="3"/>
  <c r="BA684" i="3"/>
  <c r="BA683" i="3"/>
  <c r="BA682" i="3"/>
  <c r="BA681" i="3"/>
  <c r="BA680" i="3"/>
  <c r="BA679" i="3"/>
  <c r="BA678" i="3"/>
  <c r="BA677" i="3"/>
  <c r="BA676" i="3"/>
  <c r="BA675" i="3"/>
  <c r="BA674" i="3"/>
  <c r="BA673" i="3"/>
  <c r="BA672" i="3"/>
  <c r="BA671" i="3"/>
  <c r="BA670" i="3"/>
  <c r="BA669" i="3"/>
  <c r="BA668" i="3"/>
  <c r="BA667" i="3"/>
  <c r="BA666" i="3"/>
  <c r="BA665" i="3"/>
  <c r="BA664" i="3"/>
  <c r="BA663" i="3"/>
  <c r="BA662" i="3"/>
  <c r="BA661" i="3"/>
  <c r="BA660" i="3"/>
  <c r="BA659" i="3"/>
  <c r="BA658" i="3"/>
  <c r="BA657" i="3"/>
  <c r="BA656" i="3"/>
  <c r="BA655" i="3"/>
  <c r="BA654" i="3"/>
  <c r="BA653" i="3"/>
  <c r="BA652" i="3"/>
  <c r="BA651" i="3"/>
  <c r="BA650" i="3"/>
  <c r="BA649" i="3"/>
  <c r="BA648" i="3"/>
  <c r="BA647" i="3"/>
  <c r="BA646" i="3"/>
  <c r="BA645" i="3"/>
  <c r="BA644" i="3"/>
  <c r="BA643" i="3"/>
  <c r="BA642" i="3"/>
  <c r="BA641" i="3"/>
  <c r="BA640" i="3"/>
  <c r="BA639" i="3"/>
  <c r="BA638" i="3"/>
  <c r="BA637" i="3"/>
  <c r="BA636" i="3"/>
  <c r="BA635" i="3"/>
  <c r="BA634" i="3"/>
  <c r="BA633" i="3"/>
  <c r="BA632" i="3"/>
  <c r="BA631" i="3"/>
  <c r="BA630" i="3"/>
  <c r="BA629" i="3"/>
  <c r="BA628" i="3"/>
  <c r="BA627" i="3"/>
  <c r="BA626" i="3"/>
  <c r="BA625" i="3"/>
  <c r="BA624" i="3"/>
  <c r="BA623" i="3"/>
  <c r="BA622" i="3"/>
  <c r="BA621" i="3"/>
  <c r="BA620" i="3"/>
  <c r="BA619" i="3"/>
  <c r="BA618" i="3"/>
  <c r="BA617" i="3"/>
  <c r="BA616" i="3"/>
  <c r="BA615" i="3"/>
  <c r="BA614" i="3"/>
  <c r="BA613" i="3"/>
  <c r="BA612" i="3"/>
  <c r="BA611" i="3"/>
  <c r="BA610" i="3"/>
  <c r="BA609" i="3"/>
  <c r="BA608" i="3"/>
  <c r="BA607" i="3"/>
  <c r="BA606" i="3"/>
  <c r="BA605" i="3"/>
  <c r="BA604" i="3"/>
  <c r="BA603" i="3"/>
  <c r="BA602" i="3"/>
  <c r="BA601" i="3"/>
  <c r="BA600" i="3"/>
  <c r="BA599" i="3"/>
  <c r="BA598" i="3"/>
  <c r="BA597" i="3"/>
  <c r="BA596" i="3"/>
  <c r="BA595" i="3"/>
  <c r="BA594" i="3"/>
  <c r="BA593" i="3"/>
  <c r="BA592" i="3"/>
  <c r="BA591" i="3"/>
  <c r="BA590" i="3"/>
  <c r="BA589" i="3"/>
  <c r="BA588" i="3"/>
  <c r="BA587" i="3"/>
  <c r="BA586" i="3"/>
  <c r="BA585" i="3"/>
  <c r="BA584" i="3"/>
  <c r="BA583" i="3"/>
  <c r="BA582" i="3"/>
  <c r="BA581" i="3"/>
  <c r="BA580" i="3"/>
  <c r="BA579" i="3"/>
  <c r="BA578" i="3"/>
  <c r="BA577" i="3"/>
  <c r="BA576" i="3"/>
  <c r="BA575" i="3"/>
  <c r="BA574" i="3"/>
  <c r="BA573" i="3"/>
  <c r="BA572" i="3"/>
  <c r="BA571" i="3"/>
  <c r="BA570" i="3"/>
  <c r="BA569" i="3"/>
  <c r="BA568" i="3"/>
  <c r="BA567" i="3"/>
  <c r="BA566" i="3"/>
  <c r="BA565" i="3"/>
  <c r="BA564" i="3"/>
  <c r="BA563" i="3"/>
  <c r="BA562" i="3"/>
  <c r="BA561" i="3"/>
  <c r="BA560" i="3"/>
  <c r="BA559" i="3"/>
  <c r="BA558" i="3"/>
  <c r="BA557" i="3"/>
  <c r="BA556" i="3"/>
  <c r="BA555" i="3"/>
  <c r="BA554" i="3"/>
  <c r="BA553" i="3"/>
  <c r="BA552" i="3"/>
  <c r="BA551" i="3"/>
  <c r="BA550" i="3"/>
  <c r="BA549" i="3"/>
  <c r="BA548" i="3"/>
  <c r="BA547" i="3"/>
  <c r="BA546" i="3"/>
  <c r="BA545" i="3"/>
  <c r="BA544" i="3"/>
  <c r="BA543" i="3"/>
  <c r="BA542" i="3"/>
  <c r="BA541" i="3"/>
  <c r="BA540" i="3"/>
  <c r="BA539" i="3"/>
  <c r="BA538" i="3"/>
  <c r="BA537" i="3"/>
  <c r="BA536" i="3"/>
  <c r="BA535" i="3"/>
  <c r="BA534" i="3"/>
  <c r="BA533" i="3"/>
  <c r="BA532" i="3"/>
  <c r="BA531" i="3"/>
  <c r="BA530" i="3"/>
  <c r="BA529" i="3"/>
  <c r="BA528" i="3"/>
  <c r="BA527" i="3"/>
  <c r="BA526" i="3"/>
  <c r="BA525" i="3"/>
  <c r="BA524" i="3"/>
  <c r="BA523" i="3"/>
  <c r="BA522" i="3"/>
  <c r="BA521" i="3"/>
  <c r="BA520" i="3"/>
  <c r="BA519" i="3"/>
  <c r="BA518" i="3"/>
  <c r="BA517" i="3"/>
  <c r="BA516" i="3"/>
  <c r="BA515" i="3"/>
  <c r="BA514" i="3"/>
  <c r="BA513" i="3"/>
  <c r="BA512" i="3"/>
  <c r="BA511" i="3"/>
  <c r="BA510" i="3"/>
  <c r="BA509" i="3"/>
  <c r="BA508" i="3"/>
  <c r="BA507" i="3"/>
  <c r="BA506" i="3"/>
  <c r="BA505" i="3"/>
  <c r="BA504" i="3"/>
  <c r="BA503" i="3"/>
  <c r="BA502" i="3"/>
  <c r="BA501" i="3"/>
  <c r="BA500" i="3"/>
  <c r="BA499" i="3"/>
  <c r="BA498" i="3"/>
  <c r="BA497" i="3"/>
  <c r="BA496" i="3"/>
  <c r="BA495" i="3"/>
  <c r="BA494" i="3"/>
  <c r="BA493" i="3"/>
  <c r="BA492" i="3"/>
  <c r="BA491" i="3"/>
  <c r="BA490" i="3"/>
  <c r="BA489" i="3"/>
  <c r="BA488" i="3"/>
  <c r="BA487" i="3"/>
  <c r="BA486" i="3"/>
  <c r="BA485" i="3"/>
  <c r="BA484" i="3"/>
  <c r="BA483" i="3"/>
  <c r="BA482" i="3"/>
  <c r="BA481" i="3"/>
  <c r="BA480" i="3"/>
  <c r="BA479" i="3"/>
  <c r="BA478" i="3"/>
  <c r="BA477" i="3"/>
  <c r="BA476" i="3"/>
  <c r="BA475" i="3"/>
  <c r="BA474" i="3"/>
  <c r="BA473" i="3"/>
  <c r="BA472" i="3"/>
  <c r="BA471" i="3"/>
  <c r="BA470" i="3"/>
  <c r="BA469" i="3"/>
  <c r="BA468" i="3"/>
  <c r="BA467" i="3"/>
  <c r="BA466" i="3"/>
  <c r="BA465" i="3"/>
  <c r="BA464" i="3"/>
  <c r="BA463" i="3"/>
  <c r="BA462" i="3"/>
  <c r="BA461" i="3"/>
  <c r="BA460" i="3"/>
  <c r="BA459" i="3"/>
  <c r="BA458" i="3"/>
  <c r="BA457" i="3"/>
  <c r="BA456" i="3"/>
  <c r="BA455" i="3"/>
  <c r="BA454" i="3"/>
  <c r="BA453" i="3"/>
  <c r="BA452" i="3"/>
  <c r="BA451" i="3"/>
  <c r="BA450" i="3"/>
  <c r="BA449" i="3"/>
  <c r="BA448" i="3"/>
  <c r="BA447" i="3"/>
  <c r="BA446" i="3"/>
  <c r="BA445" i="3"/>
  <c r="BA444" i="3"/>
  <c r="BA443" i="3"/>
  <c r="BA442" i="3"/>
  <c r="BA441" i="3"/>
  <c r="BA440" i="3"/>
  <c r="BA439" i="3"/>
  <c r="BA438" i="3"/>
  <c r="BA437" i="3"/>
  <c r="BA436" i="3"/>
  <c r="BA435" i="3"/>
  <c r="BA434" i="3"/>
  <c r="BA433" i="3"/>
  <c r="BA432" i="3"/>
  <c r="BA431" i="3"/>
  <c r="BA430" i="3"/>
  <c r="BA429" i="3"/>
  <c r="BA428" i="3"/>
  <c r="BA427" i="3"/>
  <c r="BA426" i="3"/>
  <c r="BA425" i="3"/>
  <c r="BA424" i="3"/>
  <c r="BA423" i="3"/>
  <c r="BA422" i="3"/>
  <c r="BA421" i="3"/>
  <c r="BA420" i="3"/>
  <c r="BA419" i="3"/>
  <c r="BA418" i="3"/>
  <c r="BA417" i="3"/>
  <c r="BA416" i="3"/>
  <c r="BA415" i="3"/>
  <c r="BA414" i="3"/>
  <c r="BA413" i="3"/>
  <c r="BA412" i="3"/>
  <c r="BA411" i="3"/>
  <c r="BA410" i="3"/>
  <c r="BA409" i="3"/>
  <c r="BA408" i="3"/>
  <c r="BA407" i="3"/>
  <c r="BA406" i="3"/>
  <c r="BA405" i="3"/>
  <c r="BA404" i="3"/>
  <c r="BA403" i="3"/>
  <c r="BA402" i="3"/>
  <c r="BA401" i="3"/>
  <c r="BA400" i="3"/>
  <c r="BA399" i="3"/>
  <c r="BA398" i="3"/>
  <c r="BA397" i="3"/>
  <c r="BA396" i="3"/>
  <c r="BA395" i="3"/>
  <c r="BA394" i="3"/>
  <c r="BA393" i="3"/>
  <c r="BA392" i="3"/>
  <c r="BA391" i="3"/>
  <c r="BA390" i="3"/>
  <c r="BA389" i="3"/>
  <c r="BA388" i="3"/>
  <c r="BA387" i="3"/>
  <c r="BA386" i="3"/>
  <c r="BA385" i="3"/>
  <c r="BA384" i="3"/>
  <c r="BA383" i="3"/>
  <c r="BA382" i="3"/>
  <c r="BA381" i="3"/>
  <c r="BA380" i="3"/>
  <c r="BA379" i="3"/>
  <c r="BA378" i="3"/>
  <c r="BA377" i="3"/>
  <c r="BA376" i="3"/>
  <c r="BA375" i="3"/>
  <c r="BA374" i="3"/>
  <c r="BA373" i="3"/>
  <c r="BA372" i="3"/>
  <c r="BA371" i="3"/>
  <c r="BA370" i="3"/>
  <c r="BA369" i="3"/>
  <c r="BA368" i="3"/>
  <c r="BA367" i="3"/>
  <c r="BA366" i="3"/>
  <c r="BA365" i="3"/>
  <c r="BA364" i="3"/>
  <c r="BA363" i="3"/>
  <c r="BA362" i="3"/>
  <c r="BA361" i="3"/>
  <c r="BA360" i="3"/>
  <c r="BA359" i="3"/>
  <c r="BA358" i="3"/>
  <c r="BA357" i="3"/>
  <c r="BA356" i="3"/>
  <c r="BA355" i="3"/>
  <c r="BA354" i="3"/>
  <c r="BA353" i="3"/>
  <c r="BA352" i="3"/>
  <c r="BA351" i="3"/>
  <c r="BA350" i="3"/>
  <c r="BA349" i="3"/>
  <c r="BA348" i="3"/>
  <c r="BA347" i="3"/>
  <c r="BA346" i="3"/>
  <c r="BA345" i="3"/>
  <c r="BA344" i="3"/>
  <c r="BA343" i="3"/>
  <c r="BA342" i="3"/>
  <c r="BA341" i="3"/>
  <c r="BA340" i="3"/>
  <c r="BA339" i="3"/>
  <c r="BA338" i="3"/>
  <c r="BA337" i="3"/>
  <c r="BA336" i="3"/>
  <c r="BA335" i="3"/>
  <c r="BA334" i="3"/>
  <c r="BA333" i="3"/>
  <c r="BA332" i="3"/>
  <c r="BA331" i="3"/>
  <c r="BA330" i="3"/>
  <c r="BA329" i="3"/>
  <c r="BA328" i="3"/>
  <c r="BA327" i="3"/>
  <c r="BA326" i="3"/>
  <c r="BA325" i="3"/>
  <c r="BA324" i="3"/>
  <c r="BA323" i="3"/>
  <c r="BA322" i="3"/>
  <c r="BA321" i="3"/>
  <c r="BA320" i="3"/>
  <c r="BA319" i="3"/>
  <c r="BA318" i="3"/>
  <c r="BA317" i="3"/>
  <c r="BA316" i="3"/>
  <c r="BA315" i="3"/>
  <c r="BA314" i="3"/>
  <c r="BA313" i="3"/>
  <c r="BA312" i="3"/>
  <c r="BA311" i="3"/>
  <c r="BA310" i="3"/>
  <c r="BA309" i="3"/>
  <c r="BA308" i="3"/>
  <c r="BA307" i="3"/>
  <c r="BA306" i="3"/>
  <c r="BA305" i="3"/>
  <c r="BA304" i="3"/>
  <c r="BA303" i="3"/>
  <c r="BA302" i="3"/>
  <c r="BA301" i="3"/>
  <c r="BA300" i="3"/>
  <c r="BA299" i="3"/>
  <c r="BA298" i="3"/>
  <c r="BA297" i="3"/>
  <c r="BA296" i="3"/>
  <c r="BA295" i="3"/>
  <c r="BA294" i="3"/>
  <c r="BA293" i="3"/>
  <c r="BA292" i="3"/>
  <c r="BA291" i="3"/>
  <c r="BA290" i="3"/>
  <c r="BA289" i="3"/>
  <c r="BA288" i="3"/>
  <c r="BA287" i="3"/>
  <c r="BA286" i="3"/>
  <c r="BA285" i="3"/>
  <c r="BA284" i="3"/>
  <c r="BA283" i="3"/>
  <c r="BA282" i="3"/>
  <c r="BA281" i="3"/>
  <c r="BA280" i="3"/>
  <c r="BA279" i="3"/>
  <c r="BA278" i="3"/>
  <c r="BA277" i="3"/>
  <c r="BA276" i="3"/>
  <c r="BA275" i="3"/>
  <c r="BA274" i="3"/>
  <c r="BA273" i="3"/>
  <c r="BA272" i="3"/>
  <c r="BA271" i="3"/>
  <c r="BA270" i="3"/>
  <c r="BA269" i="3"/>
  <c r="BA268" i="3"/>
  <c r="BA267" i="3"/>
  <c r="BA266" i="3"/>
  <c r="BA265" i="3"/>
  <c r="BA264" i="3"/>
  <c r="BA263" i="3"/>
  <c r="BA262" i="3"/>
  <c r="BA261" i="3"/>
  <c r="BA260" i="3"/>
  <c r="BA259" i="3"/>
  <c r="BA258" i="3"/>
  <c r="BA257" i="3"/>
  <c r="BA256" i="3"/>
  <c r="BA255" i="3"/>
  <c r="BA254" i="3"/>
  <c r="BA253" i="3"/>
  <c r="BA252" i="3"/>
  <c r="BA251" i="3"/>
  <c r="BA250" i="3"/>
  <c r="BA249" i="3"/>
  <c r="BA248" i="3"/>
  <c r="BA247" i="3"/>
  <c r="BA246" i="3"/>
  <c r="BA245" i="3"/>
  <c r="BA244" i="3"/>
  <c r="BA243" i="3"/>
  <c r="BA242" i="3"/>
  <c r="BA241" i="3"/>
  <c r="BA240" i="3"/>
  <c r="BA239" i="3"/>
  <c r="BA238" i="3"/>
  <c r="BA237" i="3"/>
  <c r="BA236" i="3"/>
  <c r="BA235" i="3"/>
  <c r="BA234" i="3"/>
  <c r="BA233" i="3"/>
  <c r="BA232" i="3"/>
  <c r="BA231" i="3"/>
  <c r="BA230" i="3"/>
  <c r="BA229" i="3"/>
  <c r="BA228" i="3"/>
  <c r="BA227" i="3"/>
  <c r="BA226" i="3"/>
  <c r="BA225" i="3"/>
  <c r="BA224" i="3"/>
  <c r="BA223" i="3"/>
  <c r="BA222" i="3"/>
  <c r="BA221" i="3"/>
  <c r="BA220" i="3"/>
  <c r="BA219" i="3"/>
  <c r="BA218" i="3"/>
  <c r="BA217" i="3"/>
  <c r="BA216" i="3"/>
  <c r="BA215" i="3"/>
  <c r="BA214" i="3"/>
  <c r="BA213" i="3"/>
  <c r="BA212" i="3"/>
  <c r="BA211" i="3"/>
  <c r="BA210" i="3"/>
  <c r="BA209" i="3"/>
  <c r="BA208" i="3"/>
  <c r="BA207" i="3"/>
  <c r="BA206" i="3"/>
  <c r="BA205" i="3"/>
  <c r="BA204" i="3"/>
  <c r="BA203" i="3"/>
  <c r="BA202" i="3"/>
  <c r="BA201" i="3"/>
  <c r="BA200" i="3"/>
  <c r="BA199" i="3"/>
  <c r="BA198" i="3"/>
  <c r="BA197" i="3"/>
  <c r="BA196" i="3"/>
  <c r="BA195" i="3"/>
  <c r="BA194" i="3"/>
  <c r="BA193" i="3"/>
  <c r="BA192" i="3"/>
  <c r="BA191" i="3"/>
  <c r="BA190" i="3"/>
  <c r="BA189" i="3"/>
  <c r="BA188" i="3"/>
  <c r="BA187" i="3"/>
  <c r="BA186" i="3"/>
  <c r="BA185" i="3"/>
  <c r="BA184" i="3"/>
  <c r="BA183" i="3"/>
  <c r="BA182" i="3"/>
  <c r="BA181" i="3"/>
  <c r="BA180" i="3"/>
  <c r="BA179" i="3"/>
  <c r="BA178" i="3"/>
  <c r="BA177" i="3"/>
  <c r="BA176" i="3"/>
  <c r="BA175" i="3"/>
  <c r="BA174" i="3"/>
  <c r="BA173" i="3"/>
  <c r="BA172" i="3"/>
  <c r="BA171" i="3"/>
  <c r="BA170" i="3"/>
  <c r="BA169" i="3"/>
  <c r="BA168" i="3"/>
  <c r="BA167" i="3"/>
  <c r="BA166" i="3"/>
  <c r="BA165" i="3"/>
  <c r="BA164" i="3"/>
  <c r="BA163" i="3"/>
  <c r="BA162" i="3"/>
  <c r="BA161" i="3"/>
  <c r="BA160" i="3"/>
  <c r="BA159" i="3"/>
  <c r="BA158" i="3"/>
  <c r="BA157" i="3"/>
  <c r="BA156" i="3"/>
  <c r="BA155" i="3"/>
  <c r="BA154" i="3"/>
  <c r="BA153" i="3"/>
  <c r="BA152" i="3"/>
  <c r="BA151" i="3"/>
  <c r="BA150" i="3"/>
  <c r="BA149" i="3"/>
  <c r="BA148" i="3"/>
  <c r="BA147" i="3"/>
  <c r="BA146" i="3"/>
  <c r="BA145" i="3"/>
  <c r="BA144" i="3"/>
  <c r="BA143" i="3"/>
  <c r="BA142" i="3"/>
  <c r="BA141" i="3"/>
  <c r="BA140" i="3"/>
  <c r="BA139" i="3"/>
  <c r="BA138" i="3"/>
  <c r="BA137" i="3"/>
  <c r="BA136" i="3"/>
  <c r="BA135" i="3"/>
  <c r="BA134" i="3"/>
  <c r="BA133" i="3"/>
  <c r="BA132" i="3"/>
  <c r="BA131" i="3"/>
  <c r="BA130" i="3"/>
  <c r="BA129" i="3"/>
  <c r="BA128" i="3"/>
  <c r="BA127" i="3"/>
  <c r="BA126" i="3"/>
  <c r="BA125" i="3"/>
  <c r="BA124" i="3"/>
  <c r="BA123" i="3"/>
  <c r="BA122" i="3"/>
  <c r="BA121" i="3"/>
  <c r="BA120" i="3"/>
  <c r="BA119" i="3"/>
  <c r="BA118" i="3"/>
  <c r="BA117" i="3"/>
  <c r="BA116" i="3"/>
  <c r="BA115" i="3"/>
  <c r="BA114" i="3"/>
  <c r="BA113" i="3"/>
  <c r="BA112" i="3"/>
  <c r="BA111" i="3"/>
  <c r="BA110" i="3"/>
  <c r="BA109" i="3"/>
  <c r="BA108" i="3"/>
  <c r="BA107" i="3"/>
  <c r="BA106" i="3"/>
  <c r="BA105" i="3"/>
  <c r="BA104" i="3"/>
  <c r="BA103" i="3"/>
  <c r="BA102" i="3"/>
  <c r="BA101" i="3"/>
  <c r="BA100" i="3"/>
  <c r="BA99" i="3"/>
  <c r="BA98" i="3"/>
  <c r="BA97" i="3"/>
  <c r="BA96" i="3"/>
  <c r="BA95" i="3"/>
  <c r="BA94" i="3"/>
  <c r="BA93" i="3"/>
  <c r="BA92" i="3"/>
  <c r="BA91" i="3"/>
  <c r="BA90" i="3"/>
  <c r="BA89" i="3"/>
  <c r="BA88" i="3"/>
  <c r="BA87" i="3"/>
  <c r="BA86" i="3"/>
  <c r="BA85" i="3"/>
  <c r="BA84" i="3"/>
  <c r="BA83" i="3"/>
  <c r="BA82" i="3"/>
  <c r="BA81" i="3"/>
  <c r="BA80" i="3"/>
  <c r="BA79" i="3"/>
  <c r="BA78" i="3"/>
  <c r="BA77" i="3"/>
  <c r="BA76" i="3"/>
  <c r="BA75" i="3"/>
  <c r="BA74" i="3"/>
  <c r="BA73" i="3"/>
  <c r="BA72" i="3"/>
  <c r="BA71" i="3"/>
  <c r="BA70" i="3"/>
  <c r="BA69" i="3"/>
  <c r="BA68" i="3"/>
  <c r="BA67" i="3"/>
  <c r="BA66" i="3"/>
  <c r="BA65" i="3"/>
  <c r="BA64" i="3"/>
  <c r="BA63" i="3"/>
  <c r="BA62" i="3"/>
  <c r="BA61" i="3"/>
  <c r="BA60" i="3"/>
  <c r="BA59" i="3"/>
  <c r="BA58" i="3"/>
  <c r="BA57" i="3"/>
  <c r="BA56" i="3"/>
  <c r="BA55" i="3"/>
  <c r="BA54" i="3"/>
  <c r="BA53" i="3"/>
  <c r="BA52" i="3"/>
  <c r="BA51" i="3"/>
  <c r="BA50" i="3"/>
  <c r="BA49" i="3"/>
  <c r="BA48" i="3"/>
  <c r="BA47" i="3"/>
  <c r="BA46" i="3"/>
  <c r="BA45" i="3"/>
  <c r="BA44" i="3"/>
  <c r="BA43" i="3"/>
  <c r="BA42" i="3"/>
  <c r="BA41" i="3"/>
  <c r="BA40" i="3"/>
  <c r="BA39" i="3"/>
  <c r="BA38" i="3"/>
  <c r="BA37" i="3"/>
  <c r="BA36" i="3"/>
  <c r="BA35" i="3"/>
  <c r="BA34" i="3"/>
  <c r="BA33" i="3"/>
  <c r="BA32" i="3"/>
  <c r="BA31" i="3"/>
  <c r="BA30" i="3"/>
  <c r="BA29" i="3"/>
  <c r="BA28" i="3"/>
  <c r="BA27" i="3"/>
  <c r="BA26" i="3"/>
  <c r="BA25" i="3"/>
  <c r="BA24" i="3"/>
  <c r="BA23" i="3"/>
  <c r="BA22" i="3"/>
  <c r="BA21" i="3"/>
  <c r="BA20" i="3"/>
  <c r="BA19" i="3"/>
  <c r="BA18" i="3"/>
  <c r="BA17" i="3"/>
  <c r="BA16" i="3"/>
  <c r="BA15" i="3"/>
  <c r="BA14" i="3"/>
  <c r="BA13" i="3"/>
  <c r="AQ1012" i="3"/>
  <c r="AQ1011" i="3"/>
  <c r="AQ1010" i="3"/>
  <c r="AQ1009" i="3"/>
  <c r="AQ1008" i="3"/>
  <c r="AQ1007" i="3"/>
  <c r="AQ1006" i="3"/>
  <c r="AQ1005" i="3"/>
  <c r="AQ1004" i="3"/>
  <c r="AQ1003" i="3"/>
  <c r="AQ1002" i="3"/>
  <c r="AQ1001" i="3"/>
  <c r="AQ1000" i="3"/>
  <c r="AQ999" i="3"/>
  <c r="AQ998" i="3"/>
  <c r="AQ997" i="3"/>
  <c r="AQ996" i="3"/>
  <c r="AQ995" i="3"/>
  <c r="AQ994" i="3"/>
  <c r="AQ993" i="3"/>
  <c r="AQ992" i="3"/>
  <c r="AQ991" i="3"/>
  <c r="AQ990" i="3"/>
  <c r="AQ989" i="3"/>
  <c r="AQ988" i="3"/>
  <c r="AQ987" i="3"/>
  <c r="AQ986" i="3"/>
  <c r="AQ985" i="3"/>
  <c r="AQ984" i="3"/>
  <c r="AQ983" i="3"/>
  <c r="AQ982" i="3"/>
  <c r="AQ981" i="3"/>
  <c r="AQ980" i="3"/>
  <c r="AQ979" i="3"/>
  <c r="AQ978" i="3"/>
  <c r="AQ977" i="3"/>
  <c r="AQ976" i="3"/>
  <c r="AQ975" i="3"/>
  <c r="AQ974" i="3"/>
  <c r="AQ973" i="3"/>
  <c r="AQ972" i="3"/>
  <c r="AQ971" i="3"/>
  <c r="AQ970" i="3"/>
  <c r="AQ969" i="3"/>
  <c r="AQ968" i="3"/>
  <c r="AQ967" i="3"/>
  <c r="AQ966" i="3"/>
  <c r="AQ965" i="3"/>
  <c r="AQ964" i="3"/>
  <c r="AQ963" i="3"/>
  <c r="AQ962" i="3"/>
  <c r="AQ961" i="3"/>
  <c r="AQ960" i="3"/>
  <c r="AQ959" i="3"/>
  <c r="AQ958" i="3"/>
  <c r="AQ957" i="3"/>
  <c r="AQ956" i="3"/>
  <c r="AQ955" i="3"/>
  <c r="AQ954" i="3"/>
  <c r="AQ953" i="3"/>
  <c r="AQ952" i="3"/>
  <c r="AQ951" i="3"/>
  <c r="AQ950" i="3"/>
  <c r="AQ949" i="3"/>
  <c r="AQ948" i="3"/>
  <c r="AQ947" i="3"/>
  <c r="AQ946" i="3"/>
  <c r="AQ945" i="3"/>
  <c r="AQ944" i="3"/>
  <c r="AQ943" i="3"/>
  <c r="AQ942" i="3"/>
  <c r="AQ941" i="3"/>
  <c r="AQ940" i="3"/>
  <c r="AQ939" i="3"/>
  <c r="AQ938" i="3"/>
  <c r="AQ937" i="3"/>
  <c r="AQ936" i="3"/>
  <c r="AQ935" i="3"/>
  <c r="AQ934" i="3"/>
  <c r="AQ933" i="3"/>
  <c r="AQ932" i="3"/>
  <c r="AQ931" i="3"/>
  <c r="AQ930" i="3"/>
  <c r="AQ929" i="3"/>
  <c r="AQ928" i="3"/>
  <c r="AQ927" i="3"/>
  <c r="AQ926" i="3"/>
  <c r="AQ925" i="3"/>
  <c r="AQ924" i="3"/>
  <c r="AQ923" i="3"/>
  <c r="AQ922" i="3"/>
  <c r="AQ921" i="3"/>
  <c r="AQ920" i="3"/>
  <c r="AQ919" i="3"/>
  <c r="AQ918" i="3"/>
  <c r="AQ917" i="3"/>
  <c r="AQ916" i="3"/>
  <c r="AQ915" i="3"/>
  <c r="AQ914" i="3"/>
  <c r="AQ913" i="3"/>
  <c r="AQ912" i="3"/>
  <c r="AQ911" i="3"/>
  <c r="AQ910" i="3"/>
  <c r="AQ909" i="3"/>
  <c r="AQ908" i="3"/>
  <c r="AQ907" i="3"/>
  <c r="AQ906" i="3"/>
  <c r="AQ905" i="3"/>
  <c r="AQ904" i="3"/>
  <c r="AQ903" i="3"/>
  <c r="AQ902" i="3"/>
  <c r="AQ901" i="3"/>
  <c r="AQ900" i="3"/>
  <c r="AQ899" i="3"/>
  <c r="AQ898" i="3"/>
  <c r="AQ897" i="3"/>
  <c r="AQ896" i="3"/>
  <c r="AQ895" i="3"/>
  <c r="AQ894" i="3"/>
  <c r="AQ893" i="3"/>
  <c r="AQ892" i="3"/>
  <c r="AQ891" i="3"/>
  <c r="AQ890" i="3"/>
  <c r="AQ889" i="3"/>
  <c r="AQ888" i="3"/>
  <c r="AQ887" i="3"/>
  <c r="AQ886" i="3"/>
  <c r="AQ885" i="3"/>
  <c r="AQ884" i="3"/>
  <c r="AQ883" i="3"/>
  <c r="AQ882" i="3"/>
  <c r="AQ881" i="3"/>
  <c r="AQ880" i="3"/>
  <c r="AQ879" i="3"/>
  <c r="AQ878" i="3"/>
  <c r="AQ877" i="3"/>
  <c r="AQ876" i="3"/>
  <c r="AQ875" i="3"/>
  <c r="AQ874" i="3"/>
  <c r="AQ873" i="3"/>
  <c r="AQ872" i="3"/>
  <c r="AQ871" i="3"/>
  <c r="AQ870" i="3"/>
  <c r="AQ869" i="3"/>
  <c r="AQ868" i="3"/>
  <c r="AQ867" i="3"/>
  <c r="AQ866" i="3"/>
  <c r="AQ865" i="3"/>
  <c r="AQ864" i="3"/>
  <c r="AQ863" i="3"/>
  <c r="AQ862" i="3"/>
  <c r="AQ861" i="3"/>
  <c r="AQ860" i="3"/>
  <c r="AQ859" i="3"/>
  <c r="AQ858" i="3"/>
  <c r="AQ857" i="3"/>
  <c r="AQ856" i="3"/>
  <c r="AQ855" i="3"/>
  <c r="AQ854" i="3"/>
  <c r="AQ853" i="3"/>
  <c r="AQ852" i="3"/>
  <c r="AQ851" i="3"/>
  <c r="AQ850" i="3"/>
  <c r="AQ849" i="3"/>
  <c r="AQ848" i="3"/>
  <c r="AQ847" i="3"/>
  <c r="AQ846" i="3"/>
  <c r="AQ845" i="3"/>
  <c r="AQ844" i="3"/>
  <c r="AQ843" i="3"/>
  <c r="AQ842" i="3"/>
  <c r="AQ841" i="3"/>
  <c r="AQ840" i="3"/>
  <c r="AQ839" i="3"/>
  <c r="AQ838" i="3"/>
  <c r="AQ837" i="3"/>
  <c r="AQ836" i="3"/>
  <c r="AQ835" i="3"/>
  <c r="AQ834" i="3"/>
  <c r="AQ833" i="3"/>
  <c r="AQ832" i="3"/>
  <c r="AQ831" i="3"/>
  <c r="AQ830" i="3"/>
  <c r="AQ829" i="3"/>
  <c r="AQ828" i="3"/>
  <c r="AQ827" i="3"/>
  <c r="AQ826" i="3"/>
  <c r="AQ825" i="3"/>
  <c r="AQ824" i="3"/>
  <c r="AQ823" i="3"/>
  <c r="AQ822" i="3"/>
  <c r="AQ821" i="3"/>
  <c r="AQ820" i="3"/>
  <c r="AQ819" i="3"/>
  <c r="AQ818" i="3"/>
  <c r="AQ817" i="3"/>
  <c r="AQ816" i="3"/>
  <c r="AQ815" i="3"/>
  <c r="AQ814" i="3"/>
  <c r="AQ813" i="3"/>
  <c r="AQ812" i="3"/>
  <c r="AQ811" i="3"/>
  <c r="AQ810" i="3"/>
  <c r="AQ809" i="3"/>
  <c r="AQ808" i="3"/>
  <c r="AQ807" i="3"/>
  <c r="AQ806" i="3"/>
  <c r="AQ805" i="3"/>
  <c r="AQ804" i="3"/>
  <c r="AQ803" i="3"/>
  <c r="AQ802" i="3"/>
  <c r="AQ801" i="3"/>
  <c r="AQ800" i="3"/>
  <c r="AQ799" i="3"/>
  <c r="AQ798" i="3"/>
  <c r="AQ797" i="3"/>
  <c r="AQ796" i="3"/>
  <c r="AQ795" i="3"/>
  <c r="AQ794" i="3"/>
  <c r="AQ793" i="3"/>
  <c r="AQ792" i="3"/>
  <c r="AQ791" i="3"/>
  <c r="AQ790" i="3"/>
  <c r="AQ789" i="3"/>
  <c r="AQ788" i="3"/>
  <c r="AQ787" i="3"/>
  <c r="AQ786" i="3"/>
  <c r="AQ785" i="3"/>
  <c r="AQ784" i="3"/>
  <c r="AQ783" i="3"/>
  <c r="AQ782" i="3"/>
  <c r="AQ781" i="3"/>
  <c r="AQ780" i="3"/>
  <c r="AQ779" i="3"/>
  <c r="AQ778" i="3"/>
  <c r="AQ777" i="3"/>
  <c r="AQ776" i="3"/>
  <c r="AQ775" i="3"/>
  <c r="AQ774" i="3"/>
  <c r="AQ773" i="3"/>
  <c r="AQ772" i="3"/>
  <c r="AQ771" i="3"/>
  <c r="AQ770" i="3"/>
  <c r="AQ769" i="3"/>
  <c r="AQ768" i="3"/>
  <c r="AQ767" i="3"/>
  <c r="AQ766" i="3"/>
  <c r="AQ765" i="3"/>
  <c r="AQ764" i="3"/>
  <c r="AQ763" i="3"/>
  <c r="AQ762" i="3"/>
  <c r="AQ761" i="3"/>
  <c r="AQ760" i="3"/>
  <c r="AQ759" i="3"/>
  <c r="AQ758" i="3"/>
  <c r="AQ757" i="3"/>
  <c r="AQ756" i="3"/>
  <c r="AQ755" i="3"/>
  <c r="AQ754" i="3"/>
  <c r="AQ753" i="3"/>
  <c r="AQ752" i="3"/>
  <c r="AQ751" i="3"/>
  <c r="AQ750" i="3"/>
  <c r="AQ749" i="3"/>
  <c r="AQ748" i="3"/>
  <c r="AQ747" i="3"/>
  <c r="AQ746" i="3"/>
  <c r="AQ745" i="3"/>
  <c r="AQ744" i="3"/>
  <c r="AQ743" i="3"/>
  <c r="AQ742" i="3"/>
  <c r="AQ741" i="3"/>
  <c r="AQ740" i="3"/>
  <c r="AQ739" i="3"/>
  <c r="AQ738" i="3"/>
  <c r="AQ737" i="3"/>
  <c r="AQ736" i="3"/>
  <c r="AQ735" i="3"/>
  <c r="AQ734" i="3"/>
  <c r="AQ733" i="3"/>
  <c r="AQ732" i="3"/>
  <c r="AQ731" i="3"/>
  <c r="AQ730" i="3"/>
  <c r="AQ729" i="3"/>
  <c r="AQ728" i="3"/>
  <c r="AQ727" i="3"/>
  <c r="AQ726" i="3"/>
  <c r="AQ725" i="3"/>
  <c r="AQ724" i="3"/>
  <c r="AQ723" i="3"/>
  <c r="AQ722" i="3"/>
  <c r="AQ721" i="3"/>
  <c r="AQ720" i="3"/>
  <c r="AQ719" i="3"/>
  <c r="AQ718" i="3"/>
  <c r="AQ717" i="3"/>
  <c r="AQ716" i="3"/>
  <c r="AQ715" i="3"/>
  <c r="AQ714" i="3"/>
  <c r="AQ713" i="3"/>
  <c r="AQ712" i="3"/>
  <c r="AQ711" i="3"/>
  <c r="AQ710" i="3"/>
  <c r="AQ709" i="3"/>
  <c r="AQ708" i="3"/>
  <c r="AQ707" i="3"/>
  <c r="AQ706" i="3"/>
  <c r="AQ705" i="3"/>
  <c r="AQ704" i="3"/>
  <c r="AQ703" i="3"/>
  <c r="AQ702" i="3"/>
  <c r="AQ701" i="3"/>
  <c r="AQ700" i="3"/>
  <c r="AQ699" i="3"/>
  <c r="AQ698" i="3"/>
  <c r="AQ697" i="3"/>
  <c r="AQ696" i="3"/>
  <c r="AQ695" i="3"/>
  <c r="AQ694" i="3"/>
  <c r="AQ693" i="3"/>
  <c r="AQ692" i="3"/>
  <c r="AQ691" i="3"/>
  <c r="AQ690" i="3"/>
  <c r="AQ689" i="3"/>
  <c r="AQ688" i="3"/>
  <c r="AQ687" i="3"/>
  <c r="AQ686" i="3"/>
  <c r="AQ685" i="3"/>
  <c r="AQ684" i="3"/>
  <c r="AQ683" i="3"/>
  <c r="AQ682" i="3"/>
  <c r="AQ681" i="3"/>
  <c r="AQ680" i="3"/>
  <c r="AQ679" i="3"/>
  <c r="AQ678" i="3"/>
  <c r="AQ677" i="3"/>
  <c r="AQ676" i="3"/>
  <c r="AQ675" i="3"/>
  <c r="AQ674" i="3"/>
  <c r="AQ673" i="3"/>
  <c r="AQ672" i="3"/>
  <c r="AQ671" i="3"/>
  <c r="AQ670" i="3"/>
  <c r="AQ669" i="3"/>
  <c r="AQ668" i="3"/>
  <c r="AQ667" i="3"/>
  <c r="AQ666" i="3"/>
  <c r="AQ665" i="3"/>
  <c r="AQ664" i="3"/>
  <c r="AQ663" i="3"/>
  <c r="AQ662" i="3"/>
  <c r="AQ661" i="3"/>
  <c r="AQ660" i="3"/>
  <c r="AQ659" i="3"/>
  <c r="AQ658" i="3"/>
  <c r="AQ657" i="3"/>
  <c r="AQ656" i="3"/>
  <c r="AQ655" i="3"/>
  <c r="AQ654" i="3"/>
  <c r="AQ653" i="3"/>
  <c r="AQ652" i="3"/>
  <c r="AQ651" i="3"/>
  <c r="AQ650" i="3"/>
  <c r="AQ649" i="3"/>
  <c r="AQ648" i="3"/>
  <c r="AQ647" i="3"/>
  <c r="AQ646" i="3"/>
  <c r="AQ645" i="3"/>
  <c r="AQ644" i="3"/>
  <c r="AQ643" i="3"/>
  <c r="AQ642" i="3"/>
  <c r="AQ641" i="3"/>
  <c r="AQ640" i="3"/>
  <c r="AQ639" i="3"/>
  <c r="AQ638" i="3"/>
  <c r="AQ637" i="3"/>
  <c r="AQ636" i="3"/>
  <c r="AQ635" i="3"/>
  <c r="AQ634" i="3"/>
  <c r="AQ633" i="3"/>
  <c r="AQ632" i="3"/>
  <c r="AQ631" i="3"/>
  <c r="AQ630" i="3"/>
  <c r="AQ629" i="3"/>
  <c r="AQ628" i="3"/>
  <c r="AQ627" i="3"/>
  <c r="AQ626" i="3"/>
  <c r="AQ625" i="3"/>
  <c r="AQ624" i="3"/>
  <c r="AQ623" i="3"/>
  <c r="AQ622" i="3"/>
  <c r="AQ621" i="3"/>
  <c r="AQ620" i="3"/>
  <c r="AQ619" i="3"/>
  <c r="AQ618" i="3"/>
  <c r="AQ617" i="3"/>
  <c r="AQ616" i="3"/>
  <c r="AQ615" i="3"/>
  <c r="AQ614" i="3"/>
  <c r="AQ613" i="3"/>
  <c r="AQ612" i="3"/>
  <c r="AQ611" i="3"/>
  <c r="AQ610" i="3"/>
  <c r="AQ609" i="3"/>
  <c r="AQ608" i="3"/>
  <c r="AQ607" i="3"/>
  <c r="AQ606" i="3"/>
  <c r="AQ605" i="3"/>
  <c r="AQ604" i="3"/>
  <c r="AQ603" i="3"/>
  <c r="AQ602" i="3"/>
  <c r="AQ601" i="3"/>
  <c r="AQ600" i="3"/>
  <c r="AQ599" i="3"/>
  <c r="AQ598" i="3"/>
  <c r="AQ597" i="3"/>
  <c r="AQ596" i="3"/>
  <c r="AQ595" i="3"/>
  <c r="AQ594" i="3"/>
  <c r="AQ593" i="3"/>
  <c r="AQ592" i="3"/>
  <c r="AQ591" i="3"/>
  <c r="AQ590" i="3"/>
  <c r="AQ589" i="3"/>
  <c r="AQ588" i="3"/>
  <c r="AQ587" i="3"/>
  <c r="AQ586" i="3"/>
  <c r="AQ585" i="3"/>
  <c r="AQ584" i="3"/>
  <c r="AQ583" i="3"/>
  <c r="AQ582" i="3"/>
  <c r="AQ581" i="3"/>
  <c r="AQ580" i="3"/>
  <c r="AQ579" i="3"/>
  <c r="AQ578" i="3"/>
  <c r="AQ577" i="3"/>
  <c r="AQ576" i="3"/>
  <c r="AQ575" i="3"/>
  <c r="AQ574" i="3"/>
  <c r="AQ573" i="3"/>
  <c r="AQ572" i="3"/>
  <c r="AQ571" i="3"/>
  <c r="AQ570" i="3"/>
  <c r="AQ569" i="3"/>
  <c r="AQ568" i="3"/>
  <c r="AQ567" i="3"/>
  <c r="AQ566" i="3"/>
  <c r="AQ565" i="3"/>
  <c r="AQ564" i="3"/>
  <c r="AQ563" i="3"/>
  <c r="AQ562" i="3"/>
  <c r="AQ561" i="3"/>
  <c r="AQ560" i="3"/>
  <c r="AQ559" i="3"/>
  <c r="AQ558" i="3"/>
  <c r="AQ557" i="3"/>
  <c r="AQ556" i="3"/>
  <c r="AQ555" i="3"/>
  <c r="AQ554" i="3"/>
  <c r="AQ553" i="3"/>
  <c r="AQ552" i="3"/>
  <c r="AQ551" i="3"/>
  <c r="AQ550" i="3"/>
  <c r="AQ549" i="3"/>
  <c r="AQ548" i="3"/>
  <c r="AQ547" i="3"/>
  <c r="AQ546" i="3"/>
  <c r="AQ545" i="3"/>
  <c r="AQ544" i="3"/>
  <c r="AQ543" i="3"/>
  <c r="AQ542" i="3"/>
  <c r="AQ541" i="3"/>
  <c r="AQ540" i="3"/>
  <c r="AQ539" i="3"/>
  <c r="AQ538" i="3"/>
  <c r="AQ537" i="3"/>
  <c r="AQ536" i="3"/>
  <c r="AQ535" i="3"/>
  <c r="AQ534" i="3"/>
  <c r="AQ533" i="3"/>
  <c r="AQ532" i="3"/>
  <c r="AQ531" i="3"/>
  <c r="AQ530" i="3"/>
  <c r="AQ529" i="3"/>
  <c r="AQ528" i="3"/>
  <c r="AQ527" i="3"/>
  <c r="AQ526" i="3"/>
  <c r="AQ525" i="3"/>
  <c r="AQ524" i="3"/>
  <c r="AQ523" i="3"/>
  <c r="AQ522" i="3"/>
  <c r="AQ521" i="3"/>
  <c r="AQ520" i="3"/>
  <c r="AQ519" i="3"/>
  <c r="AQ518" i="3"/>
  <c r="AQ517" i="3"/>
  <c r="AQ516" i="3"/>
  <c r="AQ515" i="3"/>
  <c r="AQ514" i="3"/>
  <c r="AQ513" i="3"/>
  <c r="AQ512" i="3"/>
  <c r="AQ511" i="3"/>
  <c r="AQ510" i="3"/>
  <c r="AQ509" i="3"/>
  <c r="AQ508" i="3"/>
  <c r="AQ507" i="3"/>
  <c r="AQ506" i="3"/>
  <c r="AQ505" i="3"/>
  <c r="AQ504" i="3"/>
  <c r="AQ503" i="3"/>
  <c r="AQ502" i="3"/>
  <c r="AQ501" i="3"/>
  <c r="AQ500" i="3"/>
  <c r="AQ499" i="3"/>
  <c r="AQ498" i="3"/>
  <c r="AQ497" i="3"/>
  <c r="AQ496" i="3"/>
  <c r="AQ495" i="3"/>
  <c r="AQ494" i="3"/>
  <c r="AQ493" i="3"/>
  <c r="AQ492" i="3"/>
  <c r="AQ491" i="3"/>
  <c r="AQ490" i="3"/>
  <c r="AQ489" i="3"/>
  <c r="AQ488" i="3"/>
  <c r="AQ487" i="3"/>
  <c r="AQ486" i="3"/>
  <c r="AQ485" i="3"/>
  <c r="AQ484" i="3"/>
  <c r="AQ483" i="3"/>
  <c r="AQ482" i="3"/>
  <c r="AQ481" i="3"/>
  <c r="AQ480" i="3"/>
  <c r="AQ479" i="3"/>
  <c r="AQ478" i="3"/>
  <c r="AQ477" i="3"/>
  <c r="AQ476" i="3"/>
  <c r="AQ475" i="3"/>
  <c r="AQ474" i="3"/>
  <c r="AQ473" i="3"/>
  <c r="AQ472" i="3"/>
  <c r="AQ471" i="3"/>
  <c r="AQ470" i="3"/>
  <c r="AQ469" i="3"/>
  <c r="AQ468" i="3"/>
  <c r="AQ467" i="3"/>
  <c r="AQ466" i="3"/>
  <c r="AQ465" i="3"/>
  <c r="AQ464" i="3"/>
  <c r="AQ463" i="3"/>
  <c r="AQ462" i="3"/>
  <c r="AQ461" i="3"/>
  <c r="AQ460" i="3"/>
  <c r="AQ459" i="3"/>
  <c r="AQ458" i="3"/>
  <c r="AQ457" i="3"/>
  <c r="AQ456" i="3"/>
  <c r="AQ455" i="3"/>
  <c r="AQ454" i="3"/>
  <c r="AQ453" i="3"/>
  <c r="AQ452" i="3"/>
  <c r="AQ451" i="3"/>
  <c r="AQ450" i="3"/>
  <c r="AQ449" i="3"/>
  <c r="AQ448" i="3"/>
  <c r="AQ447" i="3"/>
  <c r="AQ446" i="3"/>
  <c r="AQ445" i="3"/>
  <c r="AQ444" i="3"/>
  <c r="AQ443" i="3"/>
  <c r="AQ442" i="3"/>
  <c r="AQ441" i="3"/>
  <c r="AQ440" i="3"/>
  <c r="AQ439" i="3"/>
  <c r="AQ438" i="3"/>
  <c r="AQ437" i="3"/>
  <c r="AQ436" i="3"/>
  <c r="AQ435" i="3"/>
  <c r="AQ434" i="3"/>
  <c r="AQ433" i="3"/>
  <c r="AQ432" i="3"/>
  <c r="AQ431" i="3"/>
  <c r="AQ430" i="3"/>
  <c r="AQ429" i="3"/>
  <c r="AQ428" i="3"/>
  <c r="AQ427" i="3"/>
  <c r="AQ426" i="3"/>
  <c r="AQ425" i="3"/>
  <c r="AQ424" i="3"/>
  <c r="AQ423" i="3"/>
  <c r="AQ422" i="3"/>
  <c r="AQ421" i="3"/>
  <c r="AQ420" i="3"/>
  <c r="AQ419" i="3"/>
  <c r="AQ418" i="3"/>
  <c r="AQ417" i="3"/>
  <c r="AQ416" i="3"/>
  <c r="AQ415" i="3"/>
  <c r="AQ414" i="3"/>
  <c r="AQ413" i="3"/>
  <c r="AQ412" i="3"/>
  <c r="AQ411" i="3"/>
  <c r="AQ410" i="3"/>
  <c r="AQ409" i="3"/>
  <c r="AQ408" i="3"/>
  <c r="AQ407" i="3"/>
  <c r="AQ406" i="3"/>
  <c r="AQ405" i="3"/>
  <c r="AQ404" i="3"/>
  <c r="AQ403" i="3"/>
  <c r="AQ402" i="3"/>
  <c r="AQ401" i="3"/>
  <c r="AQ400" i="3"/>
  <c r="AQ399" i="3"/>
  <c r="AQ398" i="3"/>
  <c r="AQ397" i="3"/>
  <c r="AQ396" i="3"/>
  <c r="AQ395" i="3"/>
  <c r="AQ394" i="3"/>
  <c r="AQ393" i="3"/>
  <c r="AQ392" i="3"/>
  <c r="AQ391" i="3"/>
  <c r="AQ390" i="3"/>
  <c r="AQ389" i="3"/>
  <c r="AQ388" i="3"/>
  <c r="AQ387" i="3"/>
  <c r="AQ386" i="3"/>
  <c r="AQ385" i="3"/>
  <c r="AQ384" i="3"/>
  <c r="AQ383" i="3"/>
  <c r="AQ382" i="3"/>
  <c r="AQ381" i="3"/>
  <c r="AQ380" i="3"/>
  <c r="AQ379" i="3"/>
  <c r="AQ378" i="3"/>
  <c r="AQ377" i="3"/>
  <c r="AQ376" i="3"/>
  <c r="AQ375" i="3"/>
  <c r="AQ374" i="3"/>
  <c r="AQ373" i="3"/>
  <c r="AQ372" i="3"/>
  <c r="AQ371" i="3"/>
  <c r="AQ370" i="3"/>
  <c r="AQ369" i="3"/>
  <c r="AQ368" i="3"/>
  <c r="AQ367" i="3"/>
  <c r="AQ366" i="3"/>
  <c r="AQ365" i="3"/>
  <c r="AQ364" i="3"/>
  <c r="AQ363" i="3"/>
  <c r="AQ362" i="3"/>
  <c r="AQ361" i="3"/>
  <c r="AQ360" i="3"/>
  <c r="AQ359" i="3"/>
  <c r="AQ358" i="3"/>
  <c r="AQ357" i="3"/>
  <c r="AQ356" i="3"/>
  <c r="AQ355" i="3"/>
  <c r="AQ354" i="3"/>
  <c r="AQ353" i="3"/>
  <c r="AQ352" i="3"/>
  <c r="AQ351" i="3"/>
  <c r="AQ350" i="3"/>
  <c r="AQ349" i="3"/>
  <c r="AQ348" i="3"/>
  <c r="AQ347" i="3"/>
  <c r="AQ346" i="3"/>
  <c r="AQ345" i="3"/>
  <c r="AQ344" i="3"/>
  <c r="AQ343" i="3"/>
  <c r="AQ342" i="3"/>
  <c r="AQ341" i="3"/>
  <c r="AQ340" i="3"/>
  <c r="AQ339" i="3"/>
  <c r="AQ338" i="3"/>
  <c r="AQ337" i="3"/>
  <c r="AQ336" i="3"/>
  <c r="AQ335" i="3"/>
  <c r="AQ334" i="3"/>
  <c r="AQ333" i="3"/>
  <c r="AQ332" i="3"/>
  <c r="AQ331" i="3"/>
  <c r="AQ330" i="3"/>
  <c r="AQ329" i="3"/>
  <c r="AQ328" i="3"/>
  <c r="AQ327" i="3"/>
  <c r="AQ326" i="3"/>
  <c r="AQ325" i="3"/>
  <c r="AQ324" i="3"/>
  <c r="AQ323" i="3"/>
  <c r="AQ322" i="3"/>
  <c r="AQ321" i="3"/>
  <c r="AQ320" i="3"/>
  <c r="AQ319" i="3"/>
  <c r="AQ318" i="3"/>
  <c r="AQ317" i="3"/>
  <c r="AQ316" i="3"/>
  <c r="AQ315" i="3"/>
  <c r="AQ314" i="3"/>
  <c r="AQ313" i="3"/>
  <c r="AQ312" i="3"/>
  <c r="AQ311" i="3"/>
  <c r="AQ310" i="3"/>
  <c r="AQ309" i="3"/>
  <c r="AQ308" i="3"/>
  <c r="AQ307" i="3"/>
  <c r="AQ306" i="3"/>
  <c r="AQ305" i="3"/>
  <c r="AQ304" i="3"/>
  <c r="AQ303" i="3"/>
  <c r="AQ302" i="3"/>
  <c r="AQ301" i="3"/>
  <c r="AQ300" i="3"/>
  <c r="AQ299" i="3"/>
  <c r="AQ298" i="3"/>
  <c r="AQ297" i="3"/>
  <c r="AQ296" i="3"/>
  <c r="AQ295" i="3"/>
  <c r="AQ294" i="3"/>
  <c r="AQ293" i="3"/>
  <c r="AQ292" i="3"/>
  <c r="AQ291" i="3"/>
  <c r="AQ290" i="3"/>
  <c r="AQ289" i="3"/>
  <c r="AQ288" i="3"/>
  <c r="AQ287" i="3"/>
  <c r="AQ286" i="3"/>
  <c r="AQ285" i="3"/>
  <c r="AQ284" i="3"/>
  <c r="AQ283" i="3"/>
  <c r="AQ282" i="3"/>
  <c r="AQ281" i="3"/>
  <c r="AQ280" i="3"/>
  <c r="AQ279" i="3"/>
  <c r="AQ278" i="3"/>
  <c r="AQ277" i="3"/>
  <c r="AQ276" i="3"/>
  <c r="AQ275" i="3"/>
  <c r="AQ274" i="3"/>
  <c r="AQ273" i="3"/>
  <c r="AQ272" i="3"/>
  <c r="AQ271" i="3"/>
  <c r="AQ270" i="3"/>
  <c r="AQ269" i="3"/>
  <c r="AQ268" i="3"/>
  <c r="AQ267" i="3"/>
  <c r="AQ266" i="3"/>
  <c r="AQ265" i="3"/>
  <c r="AQ264" i="3"/>
  <c r="AQ263" i="3"/>
  <c r="AQ262" i="3"/>
  <c r="AQ261" i="3"/>
  <c r="AQ260" i="3"/>
  <c r="AQ259" i="3"/>
  <c r="AQ258" i="3"/>
  <c r="AQ257" i="3"/>
  <c r="AQ256" i="3"/>
  <c r="AQ255" i="3"/>
  <c r="AQ254" i="3"/>
  <c r="AQ253" i="3"/>
  <c r="AQ252" i="3"/>
  <c r="AQ251" i="3"/>
  <c r="AQ250" i="3"/>
  <c r="AQ249" i="3"/>
  <c r="AQ248" i="3"/>
  <c r="AQ247" i="3"/>
  <c r="AQ246" i="3"/>
  <c r="AQ245" i="3"/>
  <c r="AQ244" i="3"/>
  <c r="AQ243" i="3"/>
  <c r="AQ242" i="3"/>
  <c r="AQ241" i="3"/>
  <c r="AQ240" i="3"/>
  <c r="AQ239" i="3"/>
  <c r="AQ238" i="3"/>
  <c r="AQ237" i="3"/>
  <c r="AQ236" i="3"/>
  <c r="AQ235" i="3"/>
  <c r="AQ234" i="3"/>
  <c r="AQ233" i="3"/>
  <c r="AQ232" i="3"/>
  <c r="AQ231" i="3"/>
  <c r="AQ230" i="3"/>
  <c r="AQ229" i="3"/>
  <c r="AQ228" i="3"/>
  <c r="AQ227" i="3"/>
  <c r="AQ226" i="3"/>
  <c r="AQ225" i="3"/>
  <c r="AQ224" i="3"/>
  <c r="AQ223" i="3"/>
  <c r="AQ222" i="3"/>
  <c r="AQ221" i="3"/>
  <c r="AQ220" i="3"/>
  <c r="AQ219" i="3"/>
  <c r="AQ218" i="3"/>
  <c r="AQ217" i="3"/>
  <c r="AQ216" i="3"/>
  <c r="AQ215" i="3"/>
  <c r="AQ214" i="3"/>
  <c r="AQ213" i="3"/>
  <c r="AQ212" i="3"/>
  <c r="AQ211" i="3"/>
  <c r="AQ210" i="3"/>
  <c r="AQ209" i="3"/>
  <c r="AQ208" i="3"/>
  <c r="AQ207" i="3"/>
  <c r="AQ206" i="3"/>
  <c r="AQ205" i="3"/>
  <c r="AQ204" i="3"/>
  <c r="AQ203" i="3"/>
  <c r="AQ202" i="3"/>
  <c r="AQ201" i="3"/>
  <c r="AQ200" i="3"/>
  <c r="AQ199" i="3"/>
  <c r="AQ198" i="3"/>
  <c r="AQ197" i="3"/>
  <c r="AQ196" i="3"/>
  <c r="AQ195" i="3"/>
  <c r="AQ194" i="3"/>
  <c r="AQ193" i="3"/>
  <c r="AQ192" i="3"/>
  <c r="AQ191" i="3"/>
  <c r="AQ190" i="3"/>
  <c r="AQ189" i="3"/>
  <c r="AQ188" i="3"/>
  <c r="AQ187" i="3"/>
  <c r="AQ186" i="3"/>
  <c r="AQ185" i="3"/>
  <c r="AQ184" i="3"/>
  <c r="AQ183" i="3"/>
  <c r="AQ182" i="3"/>
  <c r="AQ181" i="3"/>
  <c r="AQ180" i="3"/>
  <c r="AQ179" i="3"/>
  <c r="AQ178" i="3"/>
  <c r="AQ177" i="3"/>
  <c r="AQ176" i="3"/>
  <c r="AQ175" i="3"/>
  <c r="AQ174" i="3"/>
  <c r="AQ173" i="3"/>
  <c r="AQ172" i="3"/>
  <c r="AQ171" i="3"/>
  <c r="AQ170" i="3"/>
  <c r="AQ169" i="3"/>
  <c r="AQ168" i="3"/>
  <c r="AQ167" i="3"/>
  <c r="AQ166" i="3"/>
  <c r="AQ165" i="3"/>
  <c r="AQ164" i="3"/>
  <c r="AQ163" i="3"/>
  <c r="AQ162" i="3"/>
  <c r="AQ161" i="3"/>
  <c r="AQ160" i="3"/>
  <c r="AQ159" i="3"/>
  <c r="AQ158" i="3"/>
  <c r="AQ157" i="3"/>
  <c r="AQ156" i="3"/>
  <c r="AQ155" i="3"/>
  <c r="AQ154" i="3"/>
  <c r="AQ153" i="3"/>
  <c r="AQ152" i="3"/>
  <c r="AQ151" i="3"/>
  <c r="AQ150" i="3"/>
  <c r="AQ149" i="3"/>
  <c r="AQ148" i="3"/>
  <c r="AQ147" i="3"/>
  <c r="AQ146" i="3"/>
  <c r="AQ145" i="3"/>
  <c r="AQ144" i="3"/>
  <c r="AQ143" i="3"/>
  <c r="AQ142" i="3"/>
  <c r="AQ141" i="3"/>
  <c r="AQ140" i="3"/>
  <c r="AQ139" i="3"/>
  <c r="AQ138" i="3"/>
  <c r="AQ137" i="3"/>
  <c r="AQ136" i="3"/>
  <c r="AQ135" i="3"/>
  <c r="AQ134" i="3"/>
  <c r="AQ133" i="3"/>
  <c r="AQ132" i="3"/>
  <c r="AQ131" i="3"/>
  <c r="AQ130" i="3"/>
  <c r="AQ129" i="3"/>
  <c r="AQ128" i="3"/>
  <c r="AQ127" i="3"/>
  <c r="AQ126" i="3"/>
  <c r="AQ125" i="3"/>
  <c r="AQ124" i="3"/>
  <c r="AQ123" i="3"/>
  <c r="AQ122" i="3"/>
  <c r="AQ121" i="3"/>
  <c r="AQ120" i="3"/>
  <c r="AQ119" i="3"/>
  <c r="AQ118" i="3"/>
  <c r="AQ117" i="3"/>
  <c r="AQ116" i="3"/>
  <c r="AQ115" i="3"/>
  <c r="AQ114" i="3"/>
  <c r="AQ113" i="3"/>
  <c r="AQ112" i="3"/>
  <c r="AQ111" i="3"/>
  <c r="AQ110" i="3"/>
  <c r="AQ109" i="3"/>
  <c r="AQ108" i="3"/>
  <c r="AQ107" i="3"/>
  <c r="AQ106" i="3"/>
  <c r="AQ105" i="3"/>
  <c r="AQ104" i="3"/>
  <c r="AQ103" i="3"/>
  <c r="AQ102" i="3"/>
  <c r="AQ101" i="3"/>
  <c r="AQ100" i="3"/>
  <c r="AQ99" i="3"/>
  <c r="AQ98" i="3"/>
  <c r="AQ97" i="3"/>
  <c r="AQ96" i="3"/>
  <c r="AQ95" i="3"/>
  <c r="AQ94" i="3"/>
  <c r="AQ93" i="3"/>
  <c r="AQ92" i="3"/>
  <c r="AQ91" i="3"/>
  <c r="AQ90" i="3"/>
  <c r="AQ89" i="3"/>
  <c r="AQ88" i="3"/>
  <c r="AQ87" i="3"/>
  <c r="AQ86" i="3"/>
  <c r="AQ85" i="3"/>
  <c r="AQ84" i="3"/>
  <c r="AQ83" i="3"/>
  <c r="AQ82" i="3"/>
  <c r="AQ81" i="3"/>
  <c r="AQ80" i="3"/>
  <c r="AQ79" i="3"/>
  <c r="AQ78" i="3"/>
  <c r="AQ77" i="3"/>
  <c r="AQ76" i="3"/>
  <c r="AQ75" i="3"/>
  <c r="AQ74" i="3"/>
  <c r="AQ73" i="3"/>
  <c r="AQ72" i="3"/>
  <c r="AQ71" i="3"/>
  <c r="AQ70" i="3"/>
  <c r="AQ69" i="3"/>
  <c r="AQ68" i="3"/>
  <c r="AQ67" i="3"/>
  <c r="AQ66" i="3"/>
  <c r="AQ65" i="3"/>
  <c r="AQ64" i="3"/>
  <c r="AQ63" i="3"/>
  <c r="AQ62" i="3"/>
  <c r="AQ61" i="3"/>
  <c r="AQ60" i="3"/>
  <c r="AQ59" i="3"/>
  <c r="AQ58" i="3"/>
  <c r="AQ57" i="3"/>
  <c r="AQ56" i="3"/>
  <c r="AQ55" i="3"/>
  <c r="AQ54" i="3"/>
  <c r="AQ53" i="3"/>
  <c r="AQ52" i="3"/>
  <c r="AQ51" i="3"/>
  <c r="AQ50" i="3"/>
  <c r="AQ49" i="3"/>
  <c r="AQ48" i="3"/>
  <c r="AQ47" i="3"/>
  <c r="AQ46" i="3"/>
  <c r="AQ45" i="3"/>
  <c r="AQ44" i="3"/>
  <c r="AQ43" i="3"/>
  <c r="AQ42" i="3"/>
  <c r="AQ41" i="3"/>
  <c r="AQ40" i="3"/>
  <c r="AQ39" i="3"/>
  <c r="AQ38" i="3"/>
  <c r="AQ37" i="3"/>
  <c r="AQ36" i="3"/>
  <c r="AQ35" i="3"/>
  <c r="AQ34" i="3"/>
  <c r="AQ33" i="3"/>
  <c r="AQ32" i="3"/>
  <c r="AQ31" i="3"/>
  <c r="AQ30" i="3"/>
  <c r="AQ29" i="3"/>
  <c r="AQ28" i="3"/>
  <c r="AQ27" i="3"/>
  <c r="AQ26" i="3"/>
  <c r="AQ25" i="3"/>
  <c r="AQ24" i="3"/>
  <c r="AQ23" i="3"/>
  <c r="AQ22" i="3"/>
  <c r="AQ21" i="3"/>
  <c r="AQ20" i="3"/>
  <c r="AQ19" i="3"/>
  <c r="AQ18" i="3"/>
  <c r="AQ17" i="3"/>
  <c r="AQ16" i="3"/>
  <c r="AQ15" i="3"/>
  <c r="AQ14" i="3"/>
  <c r="AQ13" i="3"/>
  <c r="AF1012" i="3"/>
  <c r="AF1011" i="3"/>
  <c r="AF1010" i="3"/>
  <c r="AF1009" i="3"/>
  <c r="AF1008" i="3"/>
  <c r="AF1007" i="3"/>
  <c r="AF1006" i="3"/>
  <c r="AF1005" i="3"/>
  <c r="AF1004" i="3"/>
  <c r="AF1003" i="3"/>
  <c r="AF1002" i="3"/>
  <c r="AF1001" i="3"/>
  <c r="AF1000" i="3"/>
  <c r="AF999" i="3"/>
  <c r="AF998" i="3"/>
  <c r="AF997" i="3"/>
  <c r="AF996" i="3"/>
  <c r="AF995" i="3"/>
  <c r="AF994" i="3"/>
  <c r="AF993" i="3"/>
  <c r="AF992" i="3"/>
  <c r="AF991" i="3"/>
  <c r="AF990" i="3"/>
  <c r="AF989" i="3"/>
  <c r="AF988" i="3"/>
  <c r="AF987" i="3"/>
  <c r="AF986" i="3"/>
  <c r="AF985" i="3"/>
  <c r="AF984" i="3"/>
  <c r="AF983" i="3"/>
  <c r="AF982" i="3"/>
  <c r="AF981" i="3"/>
  <c r="AF980" i="3"/>
  <c r="AF979" i="3"/>
  <c r="AF978" i="3"/>
  <c r="AF977" i="3"/>
  <c r="AF976" i="3"/>
  <c r="AF975" i="3"/>
  <c r="AF974" i="3"/>
  <c r="AF973" i="3"/>
  <c r="AF972" i="3"/>
  <c r="AF971" i="3"/>
  <c r="AF970" i="3"/>
  <c r="AF969" i="3"/>
  <c r="AF968" i="3"/>
  <c r="AF967" i="3"/>
  <c r="AF966" i="3"/>
  <c r="AF965" i="3"/>
  <c r="AF964" i="3"/>
  <c r="AF963" i="3"/>
  <c r="AF962" i="3"/>
  <c r="AF961" i="3"/>
  <c r="AF960" i="3"/>
  <c r="AF959" i="3"/>
  <c r="AF958" i="3"/>
  <c r="AF957" i="3"/>
  <c r="AF956" i="3"/>
  <c r="AF955" i="3"/>
  <c r="AF954" i="3"/>
  <c r="AF953" i="3"/>
  <c r="AF952" i="3"/>
  <c r="AF951" i="3"/>
  <c r="AF950" i="3"/>
  <c r="AF949" i="3"/>
  <c r="AF948" i="3"/>
  <c r="AF947" i="3"/>
  <c r="AF946" i="3"/>
  <c r="AF945" i="3"/>
  <c r="AF944" i="3"/>
  <c r="AF943" i="3"/>
  <c r="AF942" i="3"/>
  <c r="AF941" i="3"/>
  <c r="AF940" i="3"/>
  <c r="AF939" i="3"/>
  <c r="AF938" i="3"/>
  <c r="AF937" i="3"/>
  <c r="AF936" i="3"/>
  <c r="AF935" i="3"/>
  <c r="AF934" i="3"/>
  <c r="AF933" i="3"/>
  <c r="AF932" i="3"/>
  <c r="AF931" i="3"/>
  <c r="AF930" i="3"/>
  <c r="AF929" i="3"/>
  <c r="AF928" i="3"/>
  <c r="AF927" i="3"/>
  <c r="AF926" i="3"/>
  <c r="AF925" i="3"/>
  <c r="AF924" i="3"/>
  <c r="AF923" i="3"/>
  <c r="AF922" i="3"/>
  <c r="AF921" i="3"/>
  <c r="AF920" i="3"/>
  <c r="AF919" i="3"/>
  <c r="AF918" i="3"/>
  <c r="AF917" i="3"/>
  <c r="AF916" i="3"/>
  <c r="AF915" i="3"/>
  <c r="AF914" i="3"/>
  <c r="AF913" i="3"/>
  <c r="AF912" i="3"/>
  <c r="AF911" i="3"/>
  <c r="AF910" i="3"/>
  <c r="AF909" i="3"/>
  <c r="AF908" i="3"/>
  <c r="AF907" i="3"/>
  <c r="AF906" i="3"/>
  <c r="AF905" i="3"/>
  <c r="AF904" i="3"/>
  <c r="AF903" i="3"/>
  <c r="AF902" i="3"/>
  <c r="AF901" i="3"/>
  <c r="AF900" i="3"/>
  <c r="AF899" i="3"/>
  <c r="AF898" i="3"/>
  <c r="AF897" i="3"/>
  <c r="AF896" i="3"/>
  <c r="AF895" i="3"/>
  <c r="AF894" i="3"/>
  <c r="AF893" i="3"/>
  <c r="AF892" i="3"/>
  <c r="AF891" i="3"/>
  <c r="AF890" i="3"/>
  <c r="AF889" i="3"/>
  <c r="AF888" i="3"/>
  <c r="AF887" i="3"/>
  <c r="AF886" i="3"/>
  <c r="AF885" i="3"/>
  <c r="AF884" i="3"/>
  <c r="AF883" i="3"/>
  <c r="AF882" i="3"/>
  <c r="AF881" i="3"/>
  <c r="AF880" i="3"/>
  <c r="AF879" i="3"/>
  <c r="AF878" i="3"/>
  <c r="AF877" i="3"/>
  <c r="AF876" i="3"/>
  <c r="AF875" i="3"/>
  <c r="AF874" i="3"/>
  <c r="AF873" i="3"/>
  <c r="AF872" i="3"/>
  <c r="AF871" i="3"/>
  <c r="AF870" i="3"/>
  <c r="AF869" i="3"/>
  <c r="AF868" i="3"/>
  <c r="AF867" i="3"/>
  <c r="AF866" i="3"/>
  <c r="AF865" i="3"/>
  <c r="AF864" i="3"/>
  <c r="AF863" i="3"/>
  <c r="AF862" i="3"/>
  <c r="AF861" i="3"/>
  <c r="AF860" i="3"/>
  <c r="AF859" i="3"/>
  <c r="AF858" i="3"/>
  <c r="AF857" i="3"/>
  <c r="AF856" i="3"/>
  <c r="AF855" i="3"/>
  <c r="AF854" i="3"/>
  <c r="AF853" i="3"/>
  <c r="AF852" i="3"/>
  <c r="AF851" i="3"/>
  <c r="AF850" i="3"/>
  <c r="AF849" i="3"/>
  <c r="AF848" i="3"/>
  <c r="AF847" i="3"/>
  <c r="AF846" i="3"/>
  <c r="AF845" i="3"/>
  <c r="AF844" i="3"/>
  <c r="AF843" i="3"/>
  <c r="AF842" i="3"/>
  <c r="AF841" i="3"/>
  <c r="AF840" i="3"/>
  <c r="AF839" i="3"/>
  <c r="AF838" i="3"/>
  <c r="AF837" i="3"/>
  <c r="AF836" i="3"/>
  <c r="AF835" i="3"/>
  <c r="AF834" i="3"/>
  <c r="AF833" i="3"/>
  <c r="AF832" i="3"/>
  <c r="AF831" i="3"/>
  <c r="AF830" i="3"/>
  <c r="AF829" i="3"/>
  <c r="AF828" i="3"/>
  <c r="AF827" i="3"/>
  <c r="AF826" i="3"/>
  <c r="AF825" i="3"/>
  <c r="AF824" i="3"/>
  <c r="AF823" i="3"/>
  <c r="AF822" i="3"/>
  <c r="AF821" i="3"/>
  <c r="AF820" i="3"/>
  <c r="AF819" i="3"/>
  <c r="AF818" i="3"/>
  <c r="AF817" i="3"/>
  <c r="AF816" i="3"/>
  <c r="AF815" i="3"/>
  <c r="AF814" i="3"/>
  <c r="AF813" i="3"/>
  <c r="AF812" i="3"/>
  <c r="AF811" i="3"/>
  <c r="AF810" i="3"/>
  <c r="AF809" i="3"/>
  <c r="AF808" i="3"/>
  <c r="AF807" i="3"/>
  <c r="AF806" i="3"/>
  <c r="AF805" i="3"/>
  <c r="AF804" i="3"/>
  <c r="AF803" i="3"/>
  <c r="AF802" i="3"/>
  <c r="AF801" i="3"/>
  <c r="AF800" i="3"/>
  <c r="AF799" i="3"/>
  <c r="AF798" i="3"/>
  <c r="AF797" i="3"/>
  <c r="AF796" i="3"/>
  <c r="AF795" i="3"/>
  <c r="AF794" i="3"/>
  <c r="AF793" i="3"/>
  <c r="AF792" i="3"/>
  <c r="AF791" i="3"/>
  <c r="AF790" i="3"/>
  <c r="AF789" i="3"/>
  <c r="AF788" i="3"/>
  <c r="AF787" i="3"/>
  <c r="AF786" i="3"/>
  <c r="AF785" i="3"/>
  <c r="AF784" i="3"/>
  <c r="AF783" i="3"/>
  <c r="AF782" i="3"/>
  <c r="AF781" i="3"/>
  <c r="AF780" i="3"/>
  <c r="AF779" i="3"/>
  <c r="AF778" i="3"/>
  <c r="AF777" i="3"/>
  <c r="AF776" i="3"/>
  <c r="AF775" i="3"/>
  <c r="AF774" i="3"/>
  <c r="AF773" i="3"/>
  <c r="AF772" i="3"/>
  <c r="AF771" i="3"/>
  <c r="AF770" i="3"/>
  <c r="AF769" i="3"/>
  <c r="AF768" i="3"/>
  <c r="AF767" i="3"/>
  <c r="AF766" i="3"/>
  <c r="AF765" i="3"/>
  <c r="AF764" i="3"/>
  <c r="AF763" i="3"/>
  <c r="AF762" i="3"/>
  <c r="AF761" i="3"/>
  <c r="AF760" i="3"/>
  <c r="AF759" i="3"/>
  <c r="AF758" i="3"/>
  <c r="AF757" i="3"/>
  <c r="AF756" i="3"/>
  <c r="AF755" i="3"/>
  <c r="AF754" i="3"/>
  <c r="AF753" i="3"/>
  <c r="AF752" i="3"/>
  <c r="AF751" i="3"/>
  <c r="AF750" i="3"/>
  <c r="AF749" i="3"/>
  <c r="AF748" i="3"/>
  <c r="AF747" i="3"/>
  <c r="AF746" i="3"/>
  <c r="AF745" i="3"/>
  <c r="AF744" i="3"/>
  <c r="AF743" i="3"/>
  <c r="AF742" i="3"/>
  <c r="AF741" i="3"/>
  <c r="AF740" i="3"/>
  <c r="AF739" i="3"/>
  <c r="AF738" i="3"/>
  <c r="AF737" i="3"/>
  <c r="AF736" i="3"/>
  <c r="AF735" i="3"/>
  <c r="AF734" i="3"/>
  <c r="AF733" i="3"/>
  <c r="AF732" i="3"/>
  <c r="AF731" i="3"/>
  <c r="AF730" i="3"/>
  <c r="AF729" i="3"/>
  <c r="AF728" i="3"/>
  <c r="AF727" i="3"/>
  <c r="AF726" i="3"/>
  <c r="AF725" i="3"/>
  <c r="AF724" i="3"/>
  <c r="AF723" i="3"/>
  <c r="AF722" i="3"/>
  <c r="AF721" i="3"/>
  <c r="AF720" i="3"/>
  <c r="AF719" i="3"/>
  <c r="AF718" i="3"/>
  <c r="AF717" i="3"/>
  <c r="AF716" i="3"/>
  <c r="AF715" i="3"/>
  <c r="AF714" i="3"/>
  <c r="AF713" i="3"/>
  <c r="AF712" i="3"/>
  <c r="AF711" i="3"/>
  <c r="AF710" i="3"/>
  <c r="AF709" i="3"/>
  <c r="AF708" i="3"/>
  <c r="AF707" i="3"/>
  <c r="AF706" i="3"/>
  <c r="AF705" i="3"/>
  <c r="AF704" i="3"/>
  <c r="AF703" i="3"/>
  <c r="AF702" i="3"/>
  <c r="AF701" i="3"/>
  <c r="AF700" i="3"/>
  <c r="AF699" i="3"/>
  <c r="AF698" i="3"/>
  <c r="AF697" i="3"/>
  <c r="AF696" i="3"/>
  <c r="AF695" i="3"/>
  <c r="AF694" i="3"/>
  <c r="AF693" i="3"/>
  <c r="AF692" i="3"/>
  <c r="AF691" i="3"/>
  <c r="AF690" i="3"/>
  <c r="AF689" i="3"/>
  <c r="AF688" i="3"/>
  <c r="AF687" i="3"/>
  <c r="AF686" i="3"/>
  <c r="AF685" i="3"/>
  <c r="AF684" i="3"/>
  <c r="AF683" i="3"/>
  <c r="AF682" i="3"/>
  <c r="AF681" i="3"/>
  <c r="AF680" i="3"/>
  <c r="AF679" i="3"/>
  <c r="AF678" i="3"/>
  <c r="AF677" i="3"/>
  <c r="AF676" i="3"/>
  <c r="AF675" i="3"/>
  <c r="AF674" i="3"/>
  <c r="AF673" i="3"/>
  <c r="AF672" i="3"/>
  <c r="AF671" i="3"/>
  <c r="AF670" i="3"/>
  <c r="AF669" i="3"/>
  <c r="AF668" i="3"/>
  <c r="AF667" i="3"/>
  <c r="AF666" i="3"/>
  <c r="AF665" i="3"/>
  <c r="AF664" i="3"/>
  <c r="AF663" i="3"/>
  <c r="AF662" i="3"/>
  <c r="AF661" i="3"/>
  <c r="AF660" i="3"/>
  <c r="AF659" i="3"/>
  <c r="AF658" i="3"/>
  <c r="AF657" i="3"/>
  <c r="AF656" i="3"/>
  <c r="AF655" i="3"/>
  <c r="AF654" i="3"/>
  <c r="AF653" i="3"/>
  <c r="AF652" i="3"/>
  <c r="AF651" i="3"/>
  <c r="AF650" i="3"/>
  <c r="AF649" i="3"/>
  <c r="AF648" i="3"/>
  <c r="AF647" i="3"/>
  <c r="AF646" i="3"/>
  <c r="AF645" i="3"/>
  <c r="AF644" i="3"/>
  <c r="AF643" i="3"/>
  <c r="AF642" i="3"/>
  <c r="AF641" i="3"/>
  <c r="AF640" i="3"/>
  <c r="AF639" i="3"/>
  <c r="AF638" i="3"/>
  <c r="AF637" i="3"/>
  <c r="AF636" i="3"/>
  <c r="AF635" i="3"/>
  <c r="AF634" i="3"/>
  <c r="AF633" i="3"/>
  <c r="AF632" i="3"/>
  <c r="AF631" i="3"/>
  <c r="AF630" i="3"/>
  <c r="AF629" i="3"/>
  <c r="AF628" i="3"/>
  <c r="AF627" i="3"/>
  <c r="AF626" i="3"/>
  <c r="AF625" i="3"/>
  <c r="AF624" i="3"/>
  <c r="AF623" i="3"/>
  <c r="AF622" i="3"/>
  <c r="AF621" i="3"/>
  <c r="AF620" i="3"/>
  <c r="AF619" i="3"/>
  <c r="AF618" i="3"/>
  <c r="AF617" i="3"/>
  <c r="AF616" i="3"/>
  <c r="AF615" i="3"/>
  <c r="AF614" i="3"/>
  <c r="AF613" i="3"/>
  <c r="AF612" i="3"/>
  <c r="AF611" i="3"/>
  <c r="AF610" i="3"/>
  <c r="AF609" i="3"/>
  <c r="AF608" i="3"/>
  <c r="AF607" i="3"/>
  <c r="AF606" i="3"/>
  <c r="AF605" i="3"/>
  <c r="AF604" i="3"/>
  <c r="AF603" i="3"/>
  <c r="AF602" i="3"/>
  <c r="AF601" i="3"/>
  <c r="AF600" i="3"/>
  <c r="AF599" i="3"/>
  <c r="AF598" i="3"/>
  <c r="AF597" i="3"/>
  <c r="AF596" i="3"/>
  <c r="AF595" i="3"/>
  <c r="AF594" i="3"/>
  <c r="AF593" i="3"/>
  <c r="AF592" i="3"/>
  <c r="AF591" i="3"/>
  <c r="AF590" i="3"/>
  <c r="AF589" i="3"/>
  <c r="AF588" i="3"/>
  <c r="AF587" i="3"/>
  <c r="AF586" i="3"/>
  <c r="AF585" i="3"/>
  <c r="AF584" i="3"/>
  <c r="AF583" i="3"/>
  <c r="AF582" i="3"/>
  <c r="AF581" i="3"/>
  <c r="AF580" i="3"/>
  <c r="AF579" i="3"/>
  <c r="AF578" i="3"/>
  <c r="AF577" i="3"/>
  <c r="AF576" i="3"/>
  <c r="AF575" i="3"/>
  <c r="AF574" i="3"/>
  <c r="AF573" i="3"/>
  <c r="AF572" i="3"/>
  <c r="AF571" i="3"/>
  <c r="AF570" i="3"/>
  <c r="AF569" i="3"/>
  <c r="AF568" i="3"/>
  <c r="AF567" i="3"/>
  <c r="AF566" i="3"/>
  <c r="AF565" i="3"/>
  <c r="AF564" i="3"/>
  <c r="AF563" i="3"/>
  <c r="AF562" i="3"/>
  <c r="AF561" i="3"/>
  <c r="AF560" i="3"/>
  <c r="AF559" i="3"/>
  <c r="AF558" i="3"/>
  <c r="AF557" i="3"/>
  <c r="AF556" i="3"/>
  <c r="AF555" i="3"/>
  <c r="AF554" i="3"/>
  <c r="AF553" i="3"/>
  <c r="AF552" i="3"/>
  <c r="AF551" i="3"/>
  <c r="AF550" i="3"/>
  <c r="AF549" i="3"/>
  <c r="AF548" i="3"/>
  <c r="AF547" i="3"/>
  <c r="AF546" i="3"/>
  <c r="AF545" i="3"/>
  <c r="AF544" i="3"/>
  <c r="AF543" i="3"/>
  <c r="AF542" i="3"/>
  <c r="AF541" i="3"/>
  <c r="AF540" i="3"/>
  <c r="AF539" i="3"/>
  <c r="AF538" i="3"/>
  <c r="AF537" i="3"/>
  <c r="AF536" i="3"/>
  <c r="AF535" i="3"/>
  <c r="AF534" i="3"/>
  <c r="AF533" i="3"/>
  <c r="AF532" i="3"/>
  <c r="AF531" i="3"/>
  <c r="AF530" i="3"/>
  <c r="AF529" i="3"/>
  <c r="AF528" i="3"/>
  <c r="AF527" i="3"/>
  <c r="AF526" i="3"/>
  <c r="AF525" i="3"/>
  <c r="AF524" i="3"/>
  <c r="AF523" i="3"/>
  <c r="AF522" i="3"/>
  <c r="AF521" i="3"/>
  <c r="AF520" i="3"/>
  <c r="AF519" i="3"/>
  <c r="AF518" i="3"/>
  <c r="AF517" i="3"/>
  <c r="AF516" i="3"/>
  <c r="AF515" i="3"/>
  <c r="AF514" i="3"/>
  <c r="AF513" i="3"/>
  <c r="AF512" i="3"/>
  <c r="AF511" i="3"/>
  <c r="AF510" i="3"/>
  <c r="AF509" i="3"/>
  <c r="AF508" i="3"/>
  <c r="AF507" i="3"/>
  <c r="AF506" i="3"/>
  <c r="AF505" i="3"/>
  <c r="AF504" i="3"/>
  <c r="AF503" i="3"/>
  <c r="AF502" i="3"/>
  <c r="AF501" i="3"/>
  <c r="AF500" i="3"/>
  <c r="AF499" i="3"/>
  <c r="AF498" i="3"/>
  <c r="AF497" i="3"/>
  <c r="AF496" i="3"/>
  <c r="AF495" i="3"/>
  <c r="AF494" i="3"/>
  <c r="AF493" i="3"/>
  <c r="AF492" i="3"/>
  <c r="AF491" i="3"/>
  <c r="AF490" i="3"/>
  <c r="AF489" i="3"/>
  <c r="AF488" i="3"/>
  <c r="AF487" i="3"/>
  <c r="AF486" i="3"/>
  <c r="AF485" i="3"/>
  <c r="AF484" i="3"/>
  <c r="AF483" i="3"/>
  <c r="AF482" i="3"/>
  <c r="AF481" i="3"/>
  <c r="AF480" i="3"/>
  <c r="AF479" i="3"/>
  <c r="AF478" i="3"/>
  <c r="AF477" i="3"/>
  <c r="AF476" i="3"/>
  <c r="AF475" i="3"/>
  <c r="AF474" i="3"/>
  <c r="AF473" i="3"/>
  <c r="AF472" i="3"/>
  <c r="AF471" i="3"/>
  <c r="AF470" i="3"/>
  <c r="AF469" i="3"/>
  <c r="AF468" i="3"/>
  <c r="AF467" i="3"/>
  <c r="AF466" i="3"/>
  <c r="AF465" i="3"/>
  <c r="AF464" i="3"/>
  <c r="AF463" i="3"/>
  <c r="AF462" i="3"/>
  <c r="AF461" i="3"/>
  <c r="AF460" i="3"/>
  <c r="AF459" i="3"/>
  <c r="AF458" i="3"/>
  <c r="AF457" i="3"/>
  <c r="AF456" i="3"/>
  <c r="AF455" i="3"/>
  <c r="AF454" i="3"/>
  <c r="AF453" i="3"/>
  <c r="AF452" i="3"/>
  <c r="AF451" i="3"/>
  <c r="AF450" i="3"/>
  <c r="AF449" i="3"/>
  <c r="AF448" i="3"/>
  <c r="AF447" i="3"/>
  <c r="AF446" i="3"/>
  <c r="AF445" i="3"/>
  <c r="AF444" i="3"/>
  <c r="AF443" i="3"/>
  <c r="AF442" i="3"/>
  <c r="AF441" i="3"/>
  <c r="AF440" i="3"/>
  <c r="AF439" i="3"/>
  <c r="AF438" i="3"/>
  <c r="AF437" i="3"/>
  <c r="AF436" i="3"/>
  <c r="AF435" i="3"/>
  <c r="AF434" i="3"/>
  <c r="AF433" i="3"/>
  <c r="AF432" i="3"/>
  <c r="AF431" i="3"/>
  <c r="AF430" i="3"/>
  <c r="AF429" i="3"/>
  <c r="AF428" i="3"/>
  <c r="AF427" i="3"/>
  <c r="AF426" i="3"/>
  <c r="AF425" i="3"/>
  <c r="AF424" i="3"/>
  <c r="AF423" i="3"/>
  <c r="AF422" i="3"/>
  <c r="AF421" i="3"/>
  <c r="AF420" i="3"/>
  <c r="AF419" i="3"/>
  <c r="AF418" i="3"/>
  <c r="AF417" i="3"/>
  <c r="AF416" i="3"/>
  <c r="AF415" i="3"/>
  <c r="AF414" i="3"/>
  <c r="AF413" i="3"/>
  <c r="AF412" i="3"/>
  <c r="AF411" i="3"/>
  <c r="AF410" i="3"/>
  <c r="AF409" i="3"/>
  <c r="AF408" i="3"/>
  <c r="AF407" i="3"/>
  <c r="AF406" i="3"/>
  <c r="AF405" i="3"/>
  <c r="AF404" i="3"/>
  <c r="AF403" i="3"/>
  <c r="AF402" i="3"/>
  <c r="AF401" i="3"/>
  <c r="AF400" i="3"/>
  <c r="AF399" i="3"/>
  <c r="AF398" i="3"/>
  <c r="AF397" i="3"/>
  <c r="AF396" i="3"/>
  <c r="AF395" i="3"/>
  <c r="AF394" i="3"/>
  <c r="AF393" i="3"/>
  <c r="AF392" i="3"/>
  <c r="AF391" i="3"/>
  <c r="AF390" i="3"/>
  <c r="AF389" i="3"/>
  <c r="AF388" i="3"/>
  <c r="AF387" i="3"/>
  <c r="AF386" i="3"/>
  <c r="AF385" i="3"/>
  <c r="AF384" i="3"/>
  <c r="AF383" i="3"/>
  <c r="AF382" i="3"/>
  <c r="AF381" i="3"/>
  <c r="AF380" i="3"/>
  <c r="AF379" i="3"/>
  <c r="AF378" i="3"/>
  <c r="AF377" i="3"/>
  <c r="AF376" i="3"/>
  <c r="AF375" i="3"/>
  <c r="AF374" i="3"/>
  <c r="AF373" i="3"/>
  <c r="AF372" i="3"/>
  <c r="AF371" i="3"/>
  <c r="AF370" i="3"/>
  <c r="AF369" i="3"/>
  <c r="AF368" i="3"/>
  <c r="AF367" i="3"/>
  <c r="AF366" i="3"/>
  <c r="AF365" i="3"/>
  <c r="AF364" i="3"/>
  <c r="AF363" i="3"/>
  <c r="AF362" i="3"/>
  <c r="AF361" i="3"/>
  <c r="AF360" i="3"/>
  <c r="AF359" i="3"/>
  <c r="AF358" i="3"/>
  <c r="AF357" i="3"/>
  <c r="AF356" i="3"/>
  <c r="AF355" i="3"/>
  <c r="AF354" i="3"/>
  <c r="AF353" i="3"/>
  <c r="AF352" i="3"/>
  <c r="AF351" i="3"/>
  <c r="AF350" i="3"/>
  <c r="AF349" i="3"/>
  <c r="AF348" i="3"/>
  <c r="AF347" i="3"/>
  <c r="AF346" i="3"/>
  <c r="AF345" i="3"/>
  <c r="AF344" i="3"/>
  <c r="AF343" i="3"/>
  <c r="AF342" i="3"/>
  <c r="AF341" i="3"/>
  <c r="AF340" i="3"/>
  <c r="AF339" i="3"/>
  <c r="AF338" i="3"/>
  <c r="AF337" i="3"/>
  <c r="AF336" i="3"/>
  <c r="AF335" i="3"/>
  <c r="AF334" i="3"/>
  <c r="AF333" i="3"/>
  <c r="AF332" i="3"/>
  <c r="AF331" i="3"/>
  <c r="AF330" i="3"/>
  <c r="AF329" i="3"/>
  <c r="AF328" i="3"/>
  <c r="AF327" i="3"/>
  <c r="AF326" i="3"/>
  <c r="AF325" i="3"/>
  <c r="AF324" i="3"/>
  <c r="AF323" i="3"/>
  <c r="AF322" i="3"/>
  <c r="AF321" i="3"/>
  <c r="AF320" i="3"/>
  <c r="AF319" i="3"/>
  <c r="AF318" i="3"/>
  <c r="AF317" i="3"/>
  <c r="AF316" i="3"/>
  <c r="AF315" i="3"/>
  <c r="AF314" i="3"/>
  <c r="AF313" i="3"/>
  <c r="AF312" i="3"/>
  <c r="AF311" i="3"/>
  <c r="AF310" i="3"/>
  <c r="AF309" i="3"/>
  <c r="AF308" i="3"/>
  <c r="AF307" i="3"/>
  <c r="AF306" i="3"/>
  <c r="AF305" i="3"/>
  <c r="AF304" i="3"/>
  <c r="AF303" i="3"/>
  <c r="AF302" i="3"/>
  <c r="AF301" i="3"/>
  <c r="AF300" i="3"/>
  <c r="AF299" i="3"/>
  <c r="AF298" i="3"/>
  <c r="AF297" i="3"/>
  <c r="AF296" i="3"/>
  <c r="AF295" i="3"/>
  <c r="AF294" i="3"/>
  <c r="AF293" i="3"/>
  <c r="AF292" i="3"/>
  <c r="AF291" i="3"/>
  <c r="AF290" i="3"/>
  <c r="AF289" i="3"/>
  <c r="AF288" i="3"/>
  <c r="AF287" i="3"/>
  <c r="AF286" i="3"/>
  <c r="AF285" i="3"/>
  <c r="AF284" i="3"/>
  <c r="AF283" i="3"/>
  <c r="AF282" i="3"/>
  <c r="AF281" i="3"/>
  <c r="AF280" i="3"/>
  <c r="AF279" i="3"/>
  <c r="AF278" i="3"/>
  <c r="AF277" i="3"/>
  <c r="AF276" i="3"/>
  <c r="AF275" i="3"/>
  <c r="AF274" i="3"/>
  <c r="AF273" i="3"/>
  <c r="AF272" i="3"/>
  <c r="AF271" i="3"/>
  <c r="AF270" i="3"/>
  <c r="AF269" i="3"/>
  <c r="AF268" i="3"/>
  <c r="AF267" i="3"/>
  <c r="AF266" i="3"/>
  <c r="AF265" i="3"/>
  <c r="AF264" i="3"/>
  <c r="AF263" i="3"/>
  <c r="AF262" i="3"/>
  <c r="AF261" i="3"/>
  <c r="AF260" i="3"/>
  <c r="AF259" i="3"/>
  <c r="AF258" i="3"/>
  <c r="AF257" i="3"/>
  <c r="AF256" i="3"/>
  <c r="AF255" i="3"/>
  <c r="AF254" i="3"/>
  <c r="AF253" i="3"/>
  <c r="AF252" i="3"/>
  <c r="AF251" i="3"/>
  <c r="AF250" i="3"/>
  <c r="AF249" i="3"/>
  <c r="AF248" i="3"/>
  <c r="AF247" i="3"/>
  <c r="AF246" i="3"/>
  <c r="AF245" i="3"/>
  <c r="AF244" i="3"/>
  <c r="AF243" i="3"/>
  <c r="AF242" i="3"/>
  <c r="AF241" i="3"/>
  <c r="AF240" i="3"/>
  <c r="AF239" i="3"/>
  <c r="AF238" i="3"/>
  <c r="AF237" i="3"/>
  <c r="AF236" i="3"/>
  <c r="AF235" i="3"/>
  <c r="AF234" i="3"/>
  <c r="AF233" i="3"/>
  <c r="AF232" i="3"/>
  <c r="AF231" i="3"/>
  <c r="AF230" i="3"/>
  <c r="AF229" i="3"/>
  <c r="AF228" i="3"/>
  <c r="AF227" i="3"/>
  <c r="AF226" i="3"/>
  <c r="AF225" i="3"/>
  <c r="AF224" i="3"/>
  <c r="AF223" i="3"/>
  <c r="AF222" i="3"/>
  <c r="AF221" i="3"/>
  <c r="AF220" i="3"/>
  <c r="AF219" i="3"/>
  <c r="AF218" i="3"/>
  <c r="AF217" i="3"/>
  <c r="AF216" i="3"/>
  <c r="AF215" i="3"/>
  <c r="AF214" i="3"/>
  <c r="AF213" i="3"/>
  <c r="AF212" i="3"/>
  <c r="AF211" i="3"/>
  <c r="AF210" i="3"/>
  <c r="AF209" i="3"/>
  <c r="AF208" i="3"/>
  <c r="AF207" i="3"/>
  <c r="AF206" i="3"/>
  <c r="AF205" i="3"/>
  <c r="AF204" i="3"/>
  <c r="AF203" i="3"/>
  <c r="AF202" i="3"/>
  <c r="AF201" i="3"/>
  <c r="AF200" i="3"/>
  <c r="AF199" i="3"/>
  <c r="AF198" i="3"/>
  <c r="AF197" i="3"/>
  <c r="AF196" i="3"/>
  <c r="AF195" i="3"/>
  <c r="AF194" i="3"/>
  <c r="AF193" i="3"/>
  <c r="AF192" i="3"/>
  <c r="AF191" i="3"/>
  <c r="AF190" i="3"/>
  <c r="AF189" i="3"/>
  <c r="AF188" i="3"/>
  <c r="AF187" i="3"/>
  <c r="AF186" i="3"/>
  <c r="AF185" i="3"/>
  <c r="AF184" i="3"/>
  <c r="AF183" i="3"/>
  <c r="AF182" i="3"/>
  <c r="AF181" i="3"/>
  <c r="AF180" i="3"/>
  <c r="AF179" i="3"/>
  <c r="AF178" i="3"/>
  <c r="AF177" i="3"/>
  <c r="AF176" i="3"/>
  <c r="AF175" i="3"/>
  <c r="AF174" i="3"/>
  <c r="AF173" i="3"/>
  <c r="AF172" i="3"/>
  <c r="AF171" i="3"/>
  <c r="AF170" i="3"/>
  <c r="AF169" i="3"/>
  <c r="AF168" i="3"/>
  <c r="AF167" i="3"/>
  <c r="AF166" i="3"/>
  <c r="AF165" i="3"/>
  <c r="AF164" i="3"/>
  <c r="AF163" i="3"/>
  <c r="AF162" i="3"/>
  <c r="AF161" i="3"/>
  <c r="AF160" i="3"/>
  <c r="AF159" i="3"/>
  <c r="AF158" i="3"/>
  <c r="AF157" i="3"/>
  <c r="AF156" i="3"/>
  <c r="AF155" i="3"/>
  <c r="AF154" i="3"/>
  <c r="AF153" i="3"/>
  <c r="AF152" i="3"/>
  <c r="AF151" i="3"/>
  <c r="AF150" i="3"/>
  <c r="AF149" i="3"/>
  <c r="AF148" i="3"/>
  <c r="AF147" i="3"/>
  <c r="AF146" i="3"/>
  <c r="AF145" i="3"/>
  <c r="AF144" i="3"/>
  <c r="AF143" i="3"/>
  <c r="AF142" i="3"/>
  <c r="AF141" i="3"/>
  <c r="AF140" i="3"/>
  <c r="AF139" i="3"/>
  <c r="AF138" i="3"/>
  <c r="AF137" i="3"/>
  <c r="AF136" i="3"/>
  <c r="AF135" i="3"/>
  <c r="AF134" i="3"/>
  <c r="AF133" i="3"/>
  <c r="AF132" i="3"/>
  <c r="AF131" i="3"/>
  <c r="AF130" i="3"/>
  <c r="AF129" i="3"/>
  <c r="AF128" i="3"/>
  <c r="AF127" i="3"/>
  <c r="AF126" i="3"/>
  <c r="AF125" i="3"/>
  <c r="AF124" i="3"/>
  <c r="AF123" i="3"/>
  <c r="AF122" i="3"/>
  <c r="AF121" i="3"/>
  <c r="AF120" i="3"/>
  <c r="AF119" i="3"/>
  <c r="AF118" i="3"/>
  <c r="AF117" i="3"/>
  <c r="AF116" i="3"/>
  <c r="AF115" i="3"/>
  <c r="AF114" i="3"/>
  <c r="AF113" i="3"/>
  <c r="AF112" i="3"/>
  <c r="AF111" i="3"/>
  <c r="AF110" i="3"/>
  <c r="AF109" i="3"/>
  <c r="AF108" i="3"/>
  <c r="AF107" i="3"/>
  <c r="AF106" i="3"/>
  <c r="AF105" i="3"/>
  <c r="AF104" i="3"/>
  <c r="AF103" i="3"/>
  <c r="AF102" i="3"/>
  <c r="AF101" i="3"/>
  <c r="AF100" i="3"/>
  <c r="AF99" i="3"/>
  <c r="AF98" i="3"/>
  <c r="AF97" i="3"/>
  <c r="AF96" i="3"/>
  <c r="AF95" i="3"/>
  <c r="AF94" i="3"/>
  <c r="AF93" i="3"/>
  <c r="AF92" i="3"/>
  <c r="AF91" i="3"/>
  <c r="AF90" i="3"/>
  <c r="AF89" i="3"/>
  <c r="AF88" i="3"/>
  <c r="AF87" i="3"/>
  <c r="AF86" i="3"/>
  <c r="AF85" i="3"/>
  <c r="AF84" i="3"/>
  <c r="AF83" i="3"/>
  <c r="AF82" i="3"/>
  <c r="AF81" i="3"/>
  <c r="AF80" i="3"/>
  <c r="AF79" i="3"/>
  <c r="AF78" i="3"/>
  <c r="AF77" i="3"/>
  <c r="AF76" i="3"/>
  <c r="AF75" i="3"/>
  <c r="AF74" i="3"/>
  <c r="AF73" i="3"/>
  <c r="AF72" i="3"/>
  <c r="AF71" i="3"/>
  <c r="AF70" i="3"/>
  <c r="AF69" i="3"/>
  <c r="AF68" i="3"/>
  <c r="AF67" i="3"/>
  <c r="AF66" i="3"/>
  <c r="AF65" i="3"/>
  <c r="AF64" i="3"/>
  <c r="AF63" i="3"/>
  <c r="AF62" i="3"/>
  <c r="AF61" i="3"/>
  <c r="AF60" i="3"/>
  <c r="AF59" i="3"/>
  <c r="AF58" i="3"/>
  <c r="AF57" i="3"/>
  <c r="AF56" i="3"/>
  <c r="AF55" i="3"/>
  <c r="AF54" i="3"/>
  <c r="AF53" i="3"/>
  <c r="AF52" i="3"/>
  <c r="AF51" i="3"/>
  <c r="AF50" i="3"/>
  <c r="AF49" i="3"/>
  <c r="AF48" i="3"/>
  <c r="AF47" i="3"/>
  <c r="AF46" i="3"/>
  <c r="AF45" i="3"/>
  <c r="AF44" i="3"/>
  <c r="AF43" i="3"/>
  <c r="AF42" i="3"/>
  <c r="AF41" i="3"/>
  <c r="AF40" i="3"/>
  <c r="AF39" i="3"/>
  <c r="AF38" i="3"/>
  <c r="AF37" i="3"/>
  <c r="AF36" i="3"/>
  <c r="AF35" i="3"/>
  <c r="AF34" i="3"/>
  <c r="AF33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3" i="3"/>
  <c r="BJ1012" i="3"/>
  <c r="BJ1011" i="3"/>
  <c r="BJ1010" i="3"/>
  <c r="BJ1009" i="3"/>
  <c r="BJ1008" i="3"/>
  <c r="BJ1007" i="3"/>
  <c r="BJ1006" i="3"/>
  <c r="BJ1005" i="3"/>
  <c r="BJ1004" i="3"/>
  <c r="BJ1003" i="3"/>
  <c r="BJ1002" i="3"/>
  <c r="BJ1001" i="3"/>
  <c r="BJ1000" i="3"/>
  <c r="BJ999" i="3"/>
  <c r="BJ998" i="3"/>
  <c r="BJ997" i="3"/>
  <c r="BJ996" i="3"/>
  <c r="BJ995" i="3"/>
  <c r="BJ994" i="3"/>
  <c r="BJ993" i="3"/>
  <c r="BJ992" i="3"/>
  <c r="BJ991" i="3"/>
  <c r="BJ990" i="3"/>
  <c r="BJ989" i="3"/>
  <c r="BJ988" i="3"/>
  <c r="BJ987" i="3"/>
  <c r="BJ986" i="3"/>
  <c r="BJ985" i="3"/>
  <c r="BJ984" i="3"/>
  <c r="BJ983" i="3"/>
  <c r="BJ982" i="3"/>
  <c r="BJ981" i="3"/>
  <c r="BJ980" i="3"/>
  <c r="BJ979" i="3"/>
  <c r="BJ978" i="3"/>
  <c r="BJ977" i="3"/>
  <c r="BJ976" i="3"/>
  <c r="BJ975" i="3"/>
  <c r="BJ974" i="3"/>
  <c r="BJ973" i="3"/>
  <c r="BJ972" i="3"/>
  <c r="BJ971" i="3"/>
  <c r="BJ970" i="3"/>
  <c r="BJ969" i="3"/>
  <c r="BJ968" i="3"/>
  <c r="BJ967" i="3"/>
  <c r="BJ966" i="3"/>
  <c r="BJ965" i="3"/>
  <c r="BJ964" i="3"/>
  <c r="BJ963" i="3"/>
  <c r="BJ962" i="3"/>
  <c r="BJ961" i="3"/>
  <c r="BJ960" i="3"/>
  <c r="BJ959" i="3"/>
  <c r="BJ958" i="3"/>
  <c r="BJ957" i="3"/>
  <c r="BJ956" i="3"/>
  <c r="BJ955" i="3"/>
  <c r="BJ954" i="3"/>
  <c r="BJ953" i="3"/>
  <c r="BJ952" i="3"/>
  <c r="BJ951" i="3"/>
  <c r="BJ950" i="3"/>
  <c r="BJ949" i="3"/>
  <c r="BJ948" i="3"/>
  <c r="BJ947" i="3"/>
  <c r="BJ946" i="3"/>
  <c r="BJ945" i="3"/>
  <c r="BJ944" i="3"/>
  <c r="BJ943" i="3"/>
  <c r="BJ942" i="3"/>
  <c r="BJ941" i="3"/>
  <c r="BJ940" i="3"/>
  <c r="BJ939" i="3"/>
  <c r="BJ938" i="3"/>
  <c r="BJ937" i="3"/>
  <c r="BJ936" i="3"/>
  <c r="BJ935" i="3"/>
  <c r="BJ934" i="3"/>
  <c r="BJ933" i="3"/>
  <c r="BJ932" i="3"/>
  <c r="BJ931" i="3"/>
  <c r="BJ930" i="3"/>
  <c r="BJ929" i="3"/>
  <c r="BJ928" i="3"/>
  <c r="BJ927" i="3"/>
  <c r="BJ926" i="3"/>
  <c r="BJ925" i="3"/>
  <c r="BJ924" i="3"/>
  <c r="BJ923" i="3"/>
  <c r="BJ922" i="3"/>
  <c r="BJ921" i="3"/>
  <c r="BJ920" i="3"/>
  <c r="BJ919" i="3"/>
  <c r="BJ918" i="3"/>
  <c r="BJ917" i="3"/>
  <c r="BJ916" i="3"/>
  <c r="BJ915" i="3"/>
  <c r="BJ914" i="3"/>
  <c r="BJ913" i="3"/>
  <c r="BJ912" i="3"/>
  <c r="BJ911" i="3"/>
  <c r="BJ910" i="3"/>
  <c r="BJ909" i="3"/>
  <c r="BJ908" i="3"/>
  <c r="BJ907" i="3"/>
  <c r="BJ906" i="3"/>
  <c r="BJ905" i="3"/>
  <c r="BJ904" i="3"/>
  <c r="BJ903" i="3"/>
  <c r="BJ902" i="3"/>
  <c r="BJ901" i="3"/>
  <c r="BJ900" i="3"/>
  <c r="BJ899" i="3"/>
  <c r="BJ898" i="3"/>
  <c r="BJ897" i="3"/>
  <c r="BJ896" i="3"/>
  <c r="BJ895" i="3"/>
  <c r="BJ894" i="3"/>
  <c r="BJ893" i="3"/>
  <c r="BJ892" i="3"/>
  <c r="BJ891" i="3"/>
  <c r="BJ890" i="3"/>
  <c r="BJ889" i="3"/>
  <c r="BJ888" i="3"/>
  <c r="BJ887" i="3"/>
  <c r="BJ886" i="3"/>
  <c r="BJ885" i="3"/>
  <c r="BJ884" i="3"/>
  <c r="BJ883" i="3"/>
  <c r="BJ882" i="3"/>
  <c r="BJ881" i="3"/>
  <c r="BJ880" i="3"/>
  <c r="BJ879" i="3"/>
  <c r="BJ878" i="3"/>
  <c r="BJ877" i="3"/>
  <c r="BJ876" i="3"/>
  <c r="BJ875" i="3"/>
  <c r="BJ874" i="3"/>
  <c r="BJ873" i="3"/>
  <c r="BJ872" i="3"/>
  <c r="BJ871" i="3"/>
  <c r="BJ870" i="3"/>
  <c r="BJ869" i="3"/>
  <c r="BJ868" i="3"/>
  <c r="BJ867" i="3"/>
  <c r="BJ866" i="3"/>
  <c r="BJ865" i="3"/>
  <c r="BJ864" i="3"/>
  <c r="BJ863" i="3"/>
  <c r="BJ862" i="3"/>
  <c r="BJ861" i="3"/>
  <c r="BJ860" i="3"/>
  <c r="BJ859" i="3"/>
  <c r="BJ858" i="3"/>
  <c r="BJ857" i="3"/>
  <c r="BJ856" i="3"/>
  <c r="BJ855" i="3"/>
  <c r="BJ854" i="3"/>
  <c r="BJ853" i="3"/>
  <c r="BJ852" i="3"/>
  <c r="BJ851" i="3"/>
  <c r="BJ850" i="3"/>
  <c r="BJ849" i="3"/>
  <c r="BJ848" i="3"/>
  <c r="BJ847" i="3"/>
  <c r="BJ846" i="3"/>
  <c r="BJ845" i="3"/>
  <c r="BJ844" i="3"/>
  <c r="BJ843" i="3"/>
  <c r="BJ842" i="3"/>
  <c r="BJ841" i="3"/>
  <c r="BJ840" i="3"/>
  <c r="BJ839" i="3"/>
  <c r="BJ838" i="3"/>
  <c r="BJ837" i="3"/>
  <c r="BJ836" i="3"/>
  <c r="BJ835" i="3"/>
  <c r="BJ834" i="3"/>
  <c r="BJ833" i="3"/>
  <c r="BJ832" i="3"/>
  <c r="BJ831" i="3"/>
  <c r="BJ830" i="3"/>
  <c r="BJ829" i="3"/>
  <c r="BJ828" i="3"/>
  <c r="BJ827" i="3"/>
  <c r="BJ826" i="3"/>
  <c r="BJ825" i="3"/>
  <c r="BJ824" i="3"/>
  <c r="BJ823" i="3"/>
  <c r="BJ822" i="3"/>
  <c r="BJ821" i="3"/>
  <c r="BJ820" i="3"/>
  <c r="BJ819" i="3"/>
  <c r="BJ818" i="3"/>
  <c r="BJ817" i="3"/>
  <c r="BJ816" i="3"/>
  <c r="BJ815" i="3"/>
  <c r="BJ814" i="3"/>
  <c r="BJ813" i="3"/>
  <c r="BJ812" i="3"/>
  <c r="BJ811" i="3"/>
  <c r="BJ810" i="3"/>
  <c r="BJ809" i="3"/>
  <c r="BJ808" i="3"/>
  <c r="BJ807" i="3"/>
  <c r="BJ806" i="3"/>
  <c r="BJ805" i="3"/>
  <c r="BJ804" i="3"/>
  <c r="BJ803" i="3"/>
  <c r="BJ802" i="3"/>
  <c r="BJ801" i="3"/>
  <c r="BJ800" i="3"/>
  <c r="BJ799" i="3"/>
  <c r="BJ798" i="3"/>
  <c r="BJ797" i="3"/>
  <c r="BJ796" i="3"/>
  <c r="BJ795" i="3"/>
  <c r="BJ794" i="3"/>
  <c r="BJ793" i="3"/>
  <c r="BJ792" i="3"/>
  <c r="BJ791" i="3"/>
  <c r="BJ790" i="3"/>
  <c r="BJ789" i="3"/>
  <c r="BJ788" i="3"/>
  <c r="BJ787" i="3"/>
  <c r="BJ786" i="3"/>
  <c r="BJ785" i="3"/>
  <c r="BJ784" i="3"/>
  <c r="BJ783" i="3"/>
  <c r="BJ782" i="3"/>
  <c r="BJ781" i="3"/>
  <c r="BJ780" i="3"/>
  <c r="BJ779" i="3"/>
  <c r="BJ778" i="3"/>
  <c r="BJ777" i="3"/>
  <c r="BJ776" i="3"/>
  <c r="BJ775" i="3"/>
  <c r="BJ774" i="3"/>
  <c r="BJ773" i="3"/>
  <c r="BJ772" i="3"/>
  <c r="BJ771" i="3"/>
  <c r="BJ770" i="3"/>
  <c r="BJ769" i="3"/>
  <c r="BJ768" i="3"/>
  <c r="BJ767" i="3"/>
  <c r="BJ766" i="3"/>
  <c r="BJ765" i="3"/>
  <c r="BJ764" i="3"/>
  <c r="BJ763" i="3"/>
  <c r="BJ762" i="3"/>
  <c r="BJ761" i="3"/>
  <c r="BJ760" i="3"/>
  <c r="BJ759" i="3"/>
  <c r="BJ758" i="3"/>
  <c r="BJ757" i="3"/>
  <c r="BJ756" i="3"/>
  <c r="BJ755" i="3"/>
  <c r="BJ754" i="3"/>
  <c r="BJ753" i="3"/>
  <c r="BJ752" i="3"/>
  <c r="BJ751" i="3"/>
  <c r="BJ750" i="3"/>
  <c r="BJ749" i="3"/>
  <c r="BJ748" i="3"/>
  <c r="BJ747" i="3"/>
  <c r="BJ746" i="3"/>
  <c r="BJ745" i="3"/>
  <c r="BJ744" i="3"/>
  <c r="BJ743" i="3"/>
  <c r="BJ742" i="3"/>
  <c r="BJ741" i="3"/>
  <c r="BJ740" i="3"/>
  <c r="BJ739" i="3"/>
  <c r="BJ738" i="3"/>
  <c r="BJ737" i="3"/>
  <c r="BJ736" i="3"/>
  <c r="BJ735" i="3"/>
  <c r="BJ734" i="3"/>
  <c r="BJ733" i="3"/>
  <c r="BJ732" i="3"/>
  <c r="BJ731" i="3"/>
  <c r="BJ730" i="3"/>
  <c r="BJ729" i="3"/>
  <c r="BJ728" i="3"/>
  <c r="BJ727" i="3"/>
  <c r="BJ726" i="3"/>
  <c r="BJ725" i="3"/>
  <c r="BJ724" i="3"/>
  <c r="BJ723" i="3"/>
  <c r="BJ722" i="3"/>
  <c r="BJ721" i="3"/>
  <c r="BJ720" i="3"/>
  <c r="BJ719" i="3"/>
  <c r="BJ718" i="3"/>
  <c r="BJ717" i="3"/>
  <c r="BJ716" i="3"/>
  <c r="BJ715" i="3"/>
  <c r="BJ714" i="3"/>
  <c r="BJ713" i="3"/>
  <c r="BJ712" i="3"/>
  <c r="BJ711" i="3"/>
  <c r="BJ710" i="3"/>
  <c r="BJ709" i="3"/>
  <c r="BJ708" i="3"/>
  <c r="BJ707" i="3"/>
  <c r="BJ706" i="3"/>
  <c r="BJ705" i="3"/>
  <c r="BJ704" i="3"/>
  <c r="BJ703" i="3"/>
  <c r="BJ702" i="3"/>
  <c r="BJ701" i="3"/>
  <c r="BJ700" i="3"/>
  <c r="BJ699" i="3"/>
  <c r="BJ698" i="3"/>
  <c r="BJ697" i="3"/>
  <c r="BJ696" i="3"/>
  <c r="BJ695" i="3"/>
  <c r="BJ694" i="3"/>
  <c r="BJ693" i="3"/>
  <c r="BJ692" i="3"/>
  <c r="BJ691" i="3"/>
  <c r="BJ690" i="3"/>
  <c r="BJ689" i="3"/>
  <c r="BJ688" i="3"/>
  <c r="BJ687" i="3"/>
  <c r="BJ686" i="3"/>
  <c r="BJ685" i="3"/>
  <c r="BJ684" i="3"/>
  <c r="BJ683" i="3"/>
  <c r="BJ682" i="3"/>
  <c r="BJ681" i="3"/>
  <c r="BJ680" i="3"/>
  <c r="BJ679" i="3"/>
  <c r="BJ678" i="3"/>
  <c r="BJ677" i="3"/>
  <c r="BJ676" i="3"/>
  <c r="BJ675" i="3"/>
  <c r="BJ674" i="3"/>
  <c r="BJ673" i="3"/>
  <c r="BJ672" i="3"/>
  <c r="BJ671" i="3"/>
  <c r="BJ670" i="3"/>
  <c r="BJ669" i="3"/>
  <c r="BJ668" i="3"/>
  <c r="BJ667" i="3"/>
  <c r="BJ666" i="3"/>
  <c r="BJ665" i="3"/>
  <c r="BJ664" i="3"/>
  <c r="BJ663" i="3"/>
  <c r="BJ662" i="3"/>
  <c r="BJ661" i="3"/>
  <c r="BJ660" i="3"/>
  <c r="BJ659" i="3"/>
  <c r="BJ658" i="3"/>
  <c r="BJ657" i="3"/>
  <c r="BJ656" i="3"/>
  <c r="BJ655" i="3"/>
  <c r="BJ654" i="3"/>
  <c r="BJ653" i="3"/>
  <c r="BJ652" i="3"/>
  <c r="BJ651" i="3"/>
  <c r="BJ650" i="3"/>
  <c r="BJ649" i="3"/>
  <c r="BJ648" i="3"/>
  <c r="BJ647" i="3"/>
  <c r="BJ646" i="3"/>
  <c r="BJ645" i="3"/>
  <c r="BJ644" i="3"/>
  <c r="BJ643" i="3"/>
  <c r="BJ642" i="3"/>
  <c r="BJ641" i="3"/>
  <c r="BJ640" i="3"/>
  <c r="BJ639" i="3"/>
  <c r="BJ638" i="3"/>
  <c r="BJ637" i="3"/>
  <c r="BJ636" i="3"/>
  <c r="BJ635" i="3"/>
  <c r="BJ634" i="3"/>
  <c r="BJ633" i="3"/>
  <c r="BJ632" i="3"/>
  <c r="BJ631" i="3"/>
  <c r="BJ630" i="3"/>
  <c r="BJ629" i="3"/>
  <c r="BJ628" i="3"/>
  <c r="BJ627" i="3"/>
  <c r="BJ626" i="3"/>
  <c r="BJ625" i="3"/>
  <c r="BJ624" i="3"/>
  <c r="BJ623" i="3"/>
  <c r="BJ622" i="3"/>
  <c r="BJ621" i="3"/>
  <c r="BJ620" i="3"/>
  <c r="BJ619" i="3"/>
  <c r="BJ618" i="3"/>
  <c r="BJ617" i="3"/>
  <c r="BJ616" i="3"/>
  <c r="BJ615" i="3"/>
  <c r="BJ614" i="3"/>
  <c r="BJ613" i="3"/>
  <c r="BJ612" i="3"/>
  <c r="BJ611" i="3"/>
  <c r="BJ610" i="3"/>
  <c r="BJ609" i="3"/>
  <c r="BJ608" i="3"/>
  <c r="BJ607" i="3"/>
  <c r="BJ606" i="3"/>
  <c r="BJ605" i="3"/>
  <c r="BJ604" i="3"/>
  <c r="BJ603" i="3"/>
  <c r="BJ602" i="3"/>
  <c r="BJ601" i="3"/>
  <c r="BJ600" i="3"/>
  <c r="BJ599" i="3"/>
  <c r="BJ598" i="3"/>
  <c r="BJ597" i="3"/>
  <c r="BJ596" i="3"/>
  <c r="BJ595" i="3"/>
  <c r="BJ594" i="3"/>
  <c r="BJ593" i="3"/>
  <c r="BJ592" i="3"/>
  <c r="BJ591" i="3"/>
  <c r="BJ590" i="3"/>
  <c r="BJ589" i="3"/>
  <c r="BJ588" i="3"/>
  <c r="BJ587" i="3"/>
  <c r="BJ586" i="3"/>
  <c r="BJ585" i="3"/>
  <c r="BJ584" i="3"/>
  <c r="BJ583" i="3"/>
  <c r="BJ582" i="3"/>
  <c r="BJ581" i="3"/>
  <c r="BJ580" i="3"/>
  <c r="BJ579" i="3"/>
  <c r="BJ578" i="3"/>
  <c r="BJ577" i="3"/>
  <c r="BJ576" i="3"/>
  <c r="BJ575" i="3"/>
  <c r="BJ574" i="3"/>
  <c r="BJ573" i="3"/>
  <c r="BJ572" i="3"/>
  <c r="BJ571" i="3"/>
  <c r="BJ570" i="3"/>
  <c r="BJ569" i="3"/>
  <c r="BJ568" i="3"/>
  <c r="BJ567" i="3"/>
  <c r="BJ566" i="3"/>
  <c r="BJ565" i="3"/>
  <c r="BJ564" i="3"/>
  <c r="BJ563" i="3"/>
  <c r="BJ562" i="3"/>
  <c r="BJ561" i="3"/>
  <c r="BJ560" i="3"/>
  <c r="BJ559" i="3"/>
  <c r="BJ558" i="3"/>
  <c r="BJ557" i="3"/>
  <c r="BJ556" i="3"/>
  <c r="BJ555" i="3"/>
  <c r="BJ554" i="3"/>
  <c r="BJ553" i="3"/>
  <c r="BJ552" i="3"/>
  <c r="BJ551" i="3"/>
  <c r="BJ550" i="3"/>
  <c r="BJ549" i="3"/>
  <c r="BJ548" i="3"/>
  <c r="BJ547" i="3"/>
  <c r="BJ546" i="3"/>
  <c r="BJ545" i="3"/>
  <c r="BJ544" i="3"/>
  <c r="BJ543" i="3"/>
  <c r="BJ542" i="3"/>
  <c r="BJ541" i="3"/>
  <c r="BJ540" i="3"/>
  <c r="BJ539" i="3"/>
  <c r="BJ538" i="3"/>
  <c r="BJ537" i="3"/>
  <c r="BJ536" i="3"/>
  <c r="BJ535" i="3"/>
  <c r="BJ534" i="3"/>
  <c r="BJ533" i="3"/>
  <c r="BJ532" i="3"/>
  <c r="BJ531" i="3"/>
  <c r="BJ530" i="3"/>
  <c r="BJ529" i="3"/>
  <c r="BJ528" i="3"/>
  <c r="BJ527" i="3"/>
  <c r="BJ526" i="3"/>
  <c r="BJ525" i="3"/>
  <c r="BJ524" i="3"/>
  <c r="BJ523" i="3"/>
  <c r="BJ522" i="3"/>
  <c r="BJ521" i="3"/>
  <c r="BJ520" i="3"/>
  <c r="BJ519" i="3"/>
  <c r="BJ518" i="3"/>
  <c r="BJ517" i="3"/>
  <c r="BJ516" i="3"/>
  <c r="BJ515" i="3"/>
  <c r="BJ514" i="3"/>
  <c r="BJ513" i="3"/>
  <c r="BJ512" i="3"/>
  <c r="BJ511" i="3"/>
  <c r="BJ510" i="3"/>
  <c r="BJ509" i="3"/>
  <c r="BJ508" i="3"/>
  <c r="BJ507" i="3"/>
  <c r="BJ506" i="3"/>
  <c r="BJ505" i="3"/>
  <c r="BJ504" i="3"/>
  <c r="BJ503" i="3"/>
  <c r="BJ502" i="3"/>
  <c r="BJ501" i="3"/>
  <c r="BJ500" i="3"/>
  <c r="BJ499" i="3"/>
  <c r="BJ498" i="3"/>
  <c r="BJ497" i="3"/>
  <c r="BJ496" i="3"/>
  <c r="BJ495" i="3"/>
  <c r="BJ494" i="3"/>
  <c r="BJ493" i="3"/>
  <c r="BJ492" i="3"/>
  <c r="BJ491" i="3"/>
  <c r="BJ490" i="3"/>
  <c r="BJ489" i="3"/>
  <c r="BJ488" i="3"/>
  <c r="BJ487" i="3"/>
  <c r="BJ486" i="3"/>
  <c r="BJ485" i="3"/>
  <c r="BJ484" i="3"/>
  <c r="BJ483" i="3"/>
  <c r="BJ482" i="3"/>
  <c r="BJ481" i="3"/>
  <c r="BJ480" i="3"/>
  <c r="BJ479" i="3"/>
  <c r="BJ478" i="3"/>
  <c r="BJ477" i="3"/>
  <c r="BJ476" i="3"/>
  <c r="BJ475" i="3"/>
  <c r="BJ474" i="3"/>
  <c r="BJ473" i="3"/>
  <c r="BJ472" i="3"/>
  <c r="BJ471" i="3"/>
  <c r="BJ470" i="3"/>
  <c r="BJ469" i="3"/>
  <c r="BJ468" i="3"/>
  <c r="BJ467" i="3"/>
  <c r="BJ466" i="3"/>
  <c r="BJ465" i="3"/>
  <c r="BJ464" i="3"/>
  <c r="BJ463" i="3"/>
  <c r="BJ462" i="3"/>
  <c r="BJ461" i="3"/>
  <c r="BJ460" i="3"/>
  <c r="BJ459" i="3"/>
  <c r="BJ458" i="3"/>
  <c r="BJ457" i="3"/>
  <c r="BJ456" i="3"/>
  <c r="BJ455" i="3"/>
  <c r="BJ454" i="3"/>
  <c r="BJ453" i="3"/>
  <c r="BJ452" i="3"/>
  <c r="BJ451" i="3"/>
  <c r="BJ450" i="3"/>
  <c r="BJ449" i="3"/>
  <c r="BJ448" i="3"/>
  <c r="BJ447" i="3"/>
  <c r="BJ446" i="3"/>
  <c r="BJ445" i="3"/>
  <c r="BJ444" i="3"/>
  <c r="BJ443" i="3"/>
  <c r="BJ442" i="3"/>
  <c r="BJ441" i="3"/>
  <c r="BJ440" i="3"/>
  <c r="BJ439" i="3"/>
  <c r="BJ438" i="3"/>
  <c r="BJ437" i="3"/>
  <c r="BJ436" i="3"/>
  <c r="BJ435" i="3"/>
  <c r="BJ434" i="3"/>
  <c r="BJ433" i="3"/>
  <c r="BJ432" i="3"/>
  <c r="BJ431" i="3"/>
  <c r="BJ430" i="3"/>
  <c r="BJ429" i="3"/>
  <c r="BJ428" i="3"/>
  <c r="BJ427" i="3"/>
  <c r="BJ426" i="3"/>
  <c r="BJ425" i="3"/>
  <c r="BJ424" i="3"/>
  <c r="BJ423" i="3"/>
  <c r="BJ422" i="3"/>
  <c r="BJ421" i="3"/>
  <c r="BJ420" i="3"/>
  <c r="BJ419" i="3"/>
  <c r="BJ418" i="3"/>
  <c r="BJ417" i="3"/>
  <c r="BJ416" i="3"/>
  <c r="BJ415" i="3"/>
  <c r="BJ414" i="3"/>
  <c r="BJ413" i="3"/>
  <c r="BJ412" i="3"/>
  <c r="BJ411" i="3"/>
  <c r="BJ410" i="3"/>
  <c r="BJ409" i="3"/>
  <c r="BJ408" i="3"/>
  <c r="BJ407" i="3"/>
  <c r="BJ406" i="3"/>
  <c r="BJ405" i="3"/>
  <c r="BJ404" i="3"/>
  <c r="BJ403" i="3"/>
  <c r="BJ402" i="3"/>
  <c r="BJ401" i="3"/>
  <c r="BJ400" i="3"/>
  <c r="BJ399" i="3"/>
  <c r="BJ398" i="3"/>
  <c r="BJ397" i="3"/>
  <c r="BJ396" i="3"/>
  <c r="BJ395" i="3"/>
  <c r="BJ394" i="3"/>
  <c r="BJ393" i="3"/>
  <c r="BJ392" i="3"/>
  <c r="BJ391" i="3"/>
  <c r="BJ390" i="3"/>
  <c r="BJ389" i="3"/>
  <c r="BJ388" i="3"/>
  <c r="BJ387" i="3"/>
  <c r="BJ386" i="3"/>
  <c r="BJ385" i="3"/>
  <c r="BJ384" i="3"/>
  <c r="BJ383" i="3"/>
  <c r="BJ382" i="3"/>
  <c r="BJ381" i="3"/>
  <c r="BJ380" i="3"/>
  <c r="BJ379" i="3"/>
  <c r="BJ378" i="3"/>
  <c r="BJ377" i="3"/>
  <c r="BJ376" i="3"/>
  <c r="BJ375" i="3"/>
  <c r="BJ374" i="3"/>
  <c r="BJ373" i="3"/>
  <c r="BJ372" i="3"/>
  <c r="BJ371" i="3"/>
  <c r="BJ370" i="3"/>
  <c r="BJ369" i="3"/>
  <c r="BJ368" i="3"/>
  <c r="BJ367" i="3"/>
  <c r="BJ366" i="3"/>
  <c r="BJ365" i="3"/>
  <c r="BJ364" i="3"/>
  <c r="BJ363" i="3"/>
  <c r="BJ362" i="3"/>
  <c r="BJ361" i="3"/>
  <c r="BJ360" i="3"/>
  <c r="BJ359" i="3"/>
  <c r="BJ358" i="3"/>
  <c r="BJ357" i="3"/>
  <c r="BJ356" i="3"/>
  <c r="BJ355" i="3"/>
  <c r="BJ354" i="3"/>
  <c r="BJ353" i="3"/>
  <c r="BJ352" i="3"/>
  <c r="BJ351" i="3"/>
  <c r="BJ350" i="3"/>
  <c r="BJ349" i="3"/>
  <c r="BJ348" i="3"/>
  <c r="BJ347" i="3"/>
  <c r="BJ346" i="3"/>
  <c r="BJ345" i="3"/>
  <c r="BJ344" i="3"/>
  <c r="BJ343" i="3"/>
  <c r="BJ342" i="3"/>
  <c r="BJ341" i="3"/>
  <c r="BJ340" i="3"/>
  <c r="BJ339" i="3"/>
  <c r="BJ338" i="3"/>
  <c r="BJ337" i="3"/>
  <c r="BJ336" i="3"/>
  <c r="BJ335" i="3"/>
  <c r="BJ334" i="3"/>
  <c r="BJ333" i="3"/>
  <c r="BJ332" i="3"/>
  <c r="BJ331" i="3"/>
  <c r="BJ330" i="3"/>
  <c r="BJ329" i="3"/>
  <c r="BJ328" i="3"/>
  <c r="BJ327" i="3"/>
  <c r="BJ326" i="3"/>
  <c r="BJ325" i="3"/>
  <c r="BJ324" i="3"/>
  <c r="BJ323" i="3"/>
  <c r="BJ322" i="3"/>
  <c r="BJ321" i="3"/>
  <c r="BJ320" i="3"/>
  <c r="BJ319" i="3"/>
  <c r="BJ318" i="3"/>
  <c r="BJ317" i="3"/>
  <c r="BJ316" i="3"/>
  <c r="BJ315" i="3"/>
  <c r="BJ314" i="3"/>
  <c r="BJ313" i="3"/>
  <c r="BJ312" i="3"/>
  <c r="BJ311" i="3"/>
  <c r="BJ310" i="3"/>
  <c r="BJ309" i="3"/>
  <c r="BJ308" i="3"/>
  <c r="BJ307" i="3"/>
  <c r="BJ306" i="3"/>
  <c r="BJ305" i="3"/>
  <c r="BJ304" i="3"/>
  <c r="BJ303" i="3"/>
  <c r="BJ302" i="3"/>
  <c r="BJ301" i="3"/>
  <c r="BJ300" i="3"/>
  <c r="BJ299" i="3"/>
  <c r="BJ298" i="3"/>
  <c r="BJ297" i="3"/>
  <c r="BJ296" i="3"/>
  <c r="BJ295" i="3"/>
  <c r="BJ294" i="3"/>
  <c r="BJ293" i="3"/>
  <c r="BJ292" i="3"/>
  <c r="BJ291" i="3"/>
  <c r="BJ290" i="3"/>
  <c r="BJ289" i="3"/>
  <c r="BJ288" i="3"/>
  <c r="BJ287" i="3"/>
  <c r="BJ286" i="3"/>
  <c r="BJ285" i="3"/>
  <c r="BJ284" i="3"/>
  <c r="BJ283" i="3"/>
  <c r="BJ282" i="3"/>
  <c r="BJ281" i="3"/>
  <c r="BJ280" i="3"/>
  <c r="BJ279" i="3"/>
  <c r="BJ278" i="3"/>
  <c r="BJ277" i="3"/>
  <c r="BJ276" i="3"/>
  <c r="BJ275" i="3"/>
  <c r="BJ274" i="3"/>
  <c r="BJ273" i="3"/>
  <c r="BJ272" i="3"/>
  <c r="BJ271" i="3"/>
  <c r="BJ270" i="3"/>
  <c r="BJ269" i="3"/>
  <c r="BJ268" i="3"/>
  <c r="BJ267" i="3"/>
  <c r="BJ266" i="3"/>
  <c r="BJ265" i="3"/>
  <c r="BJ264" i="3"/>
  <c r="BJ263" i="3"/>
  <c r="BJ262" i="3"/>
  <c r="BJ261" i="3"/>
  <c r="BJ260" i="3"/>
  <c r="BJ259" i="3"/>
  <c r="BJ258" i="3"/>
  <c r="BJ257" i="3"/>
  <c r="BJ256" i="3"/>
  <c r="BJ255" i="3"/>
  <c r="BJ254" i="3"/>
  <c r="BJ253" i="3"/>
  <c r="BJ252" i="3"/>
  <c r="BJ251" i="3"/>
  <c r="BJ250" i="3"/>
  <c r="BJ249" i="3"/>
  <c r="BJ248" i="3"/>
  <c r="BJ247" i="3"/>
  <c r="BJ246" i="3"/>
  <c r="BJ245" i="3"/>
  <c r="BJ244" i="3"/>
  <c r="BJ243" i="3"/>
  <c r="BJ242" i="3"/>
  <c r="BJ241" i="3"/>
  <c r="BJ240" i="3"/>
  <c r="BJ239" i="3"/>
  <c r="BJ238" i="3"/>
  <c r="BJ237" i="3"/>
  <c r="BJ236" i="3"/>
  <c r="BJ235" i="3"/>
  <c r="BJ234" i="3"/>
  <c r="BJ233" i="3"/>
  <c r="BJ232" i="3"/>
  <c r="BJ231" i="3"/>
  <c r="BJ230" i="3"/>
  <c r="BJ229" i="3"/>
  <c r="BJ228" i="3"/>
  <c r="BJ227" i="3"/>
  <c r="BJ226" i="3"/>
  <c r="BJ225" i="3"/>
  <c r="BJ224" i="3"/>
  <c r="BJ223" i="3"/>
  <c r="BJ222" i="3"/>
  <c r="BJ221" i="3"/>
  <c r="BJ220" i="3"/>
  <c r="BJ219" i="3"/>
  <c r="BJ218" i="3"/>
  <c r="BJ217" i="3"/>
  <c r="BJ216" i="3"/>
  <c r="BJ215" i="3"/>
  <c r="BJ214" i="3"/>
  <c r="BJ213" i="3"/>
  <c r="BJ212" i="3"/>
  <c r="BJ211" i="3"/>
  <c r="BJ210" i="3"/>
  <c r="BJ209" i="3"/>
  <c r="BJ208" i="3"/>
  <c r="BJ207" i="3"/>
  <c r="BJ206" i="3"/>
  <c r="BJ205" i="3"/>
  <c r="BJ204" i="3"/>
  <c r="BJ203" i="3"/>
  <c r="BJ202" i="3"/>
  <c r="BJ201" i="3"/>
  <c r="BJ200" i="3"/>
  <c r="BJ199" i="3"/>
  <c r="BJ198" i="3"/>
  <c r="BJ197" i="3"/>
  <c r="BJ196" i="3"/>
  <c r="BJ195" i="3"/>
  <c r="BJ194" i="3"/>
  <c r="BJ193" i="3"/>
  <c r="BJ192" i="3"/>
  <c r="BJ191" i="3"/>
  <c r="BJ190" i="3"/>
  <c r="BJ189" i="3"/>
  <c r="BJ188" i="3"/>
  <c r="BJ187" i="3"/>
  <c r="BJ186" i="3"/>
  <c r="BJ185" i="3"/>
  <c r="BJ184" i="3"/>
  <c r="BJ183" i="3"/>
  <c r="BJ182" i="3"/>
  <c r="BJ181" i="3"/>
  <c r="BJ180" i="3"/>
  <c r="BJ179" i="3"/>
  <c r="BJ178" i="3"/>
  <c r="BJ177" i="3"/>
  <c r="BJ176" i="3"/>
  <c r="BJ175" i="3"/>
  <c r="BJ174" i="3"/>
  <c r="BJ173" i="3"/>
  <c r="BJ172" i="3"/>
  <c r="BJ171" i="3"/>
  <c r="BJ170" i="3"/>
  <c r="BJ169" i="3"/>
  <c r="BJ168" i="3"/>
  <c r="BJ167" i="3"/>
  <c r="BJ166" i="3"/>
  <c r="BJ165" i="3"/>
  <c r="BJ164" i="3"/>
  <c r="BJ163" i="3"/>
  <c r="BJ162" i="3"/>
  <c r="BJ161" i="3"/>
  <c r="BJ160" i="3"/>
  <c r="BJ159" i="3"/>
  <c r="BJ158" i="3"/>
  <c r="BJ157" i="3"/>
  <c r="BJ156" i="3"/>
  <c r="BJ155" i="3"/>
  <c r="BJ154" i="3"/>
  <c r="BJ153" i="3"/>
  <c r="BJ152" i="3"/>
  <c r="BJ151" i="3"/>
  <c r="BJ150" i="3"/>
  <c r="BJ149" i="3"/>
  <c r="BJ148" i="3"/>
  <c r="BJ147" i="3"/>
  <c r="BJ146" i="3"/>
  <c r="BJ145" i="3"/>
  <c r="BJ144" i="3"/>
  <c r="BJ143" i="3"/>
  <c r="BJ142" i="3"/>
  <c r="BJ141" i="3"/>
  <c r="BJ140" i="3"/>
  <c r="BJ139" i="3"/>
  <c r="BJ138" i="3"/>
  <c r="BJ137" i="3"/>
  <c r="BJ136" i="3"/>
  <c r="BJ135" i="3"/>
  <c r="BJ134" i="3"/>
  <c r="BJ133" i="3"/>
  <c r="BJ132" i="3"/>
  <c r="BJ131" i="3"/>
  <c r="BJ130" i="3"/>
  <c r="BJ129" i="3"/>
  <c r="BJ128" i="3"/>
  <c r="BJ127" i="3"/>
  <c r="BJ126" i="3"/>
  <c r="BJ125" i="3"/>
  <c r="BJ124" i="3"/>
  <c r="BJ123" i="3"/>
  <c r="BJ122" i="3"/>
  <c r="BJ121" i="3"/>
  <c r="BJ120" i="3"/>
  <c r="BJ119" i="3"/>
  <c r="BJ118" i="3"/>
  <c r="BJ117" i="3"/>
  <c r="BJ116" i="3"/>
  <c r="BJ115" i="3"/>
  <c r="BJ114" i="3"/>
  <c r="BJ113" i="3"/>
  <c r="BJ112" i="3"/>
  <c r="BJ111" i="3"/>
  <c r="BJ110" i="3"/>
  <c r="BJ109" i="3"/>
  <c r="BJ108" i="3"/>
  <c r="BJ107" i="3"/>
  <c r="BJ106" i="3"/>
  <c r="BJ105" i="3"/>
  <c r="BJ104" i="3"/>
  <c r="BJ103" i="3"/>
  <c r="BJ102" i="3"/>
  <c r="BJ101" i="3"/>
  <c r="BJ100" i="3"/>
  <c r="BJ99" i="3"/>
  <c r="BJ98" i="3"/>
  <c r="BJ97" i="3"/>
  <c r="BJ96" i="3"/>
  <c r="BJ95" i="3"/>
  <c r="BJ94" i="3"/>
  <c r="BJ93" i="3"/>
  <c r="BJ92" i="3"/>
  <c r="BJ91" i="3"/>
  <c r="BJ90" i="3"/>
  <c r="BJ89" i="3"/>
  <c r="BJ88" i="3"/>
  <c r="BJ87" i="3"/>
  <c r="BJ86" i="3"/>
  <c r="BJ85" i="3"/>
  <c r="BJ84" i="3"/>
  <c r="BJ83" i="3"/>
  <c r="BJ82" i="3"/>
  <c r="BJ81" i="3"/>
  <c r="BJ80" i="3"/>
  <c r="BJ79" i="3"/>
  <c r="BJ78" i="3"/>
  <c r="BJ77" i="3"/>
  <c r="BJ76" i="3"/>
  <c r="BJ75" i="3"/>
  <c r="BJ74" i="3"/>
  <c r="BJ73" i="3"/>
  <c r="BJ72" i="3"/>
  <c r="BJ71" i="3"/>
  <c r="BJ70" i="3"/>
  <c r="BJ69" i="3"/>
  <c r="BJ68" i="3"/>
  <c r="BJ67" i="3"/>
  <c r="BJ66" i="3"/>
  <c r="BJ65" i="3"/>
  <c r="BJ64" i="3"/>
  <c r="BJ63" i="3"/>
  <c r="BJ62" i="3"/>
  <c r="BJ61" i="3"/>
  <c r="BJ60" i="3"/>
  <c r="BJ59" i="3"/>
  <c r="BJ58" i="3"/>
  <c r="BJ57" i="3"/>
  <c r="BJ56" i="3"/>
  <c r="BJ55" i="3"/>
  <c r="BJ54" i="3"/>
  <c r="BJ53" i="3"/>
  <c r="BJ52" i="3"/>
  <c r="BJ51" i="3"/>
  <c r="BJ50" i="3"/>
  <c r="BJ49" i="3"/>
  <c r="BJ48" i="3"/>
  <c r="BJ47" i="3"/>
  <c r="BJ46" i="3"/>
  <c r="BJ45" i="3"/>
  <c r="BJ44" i="3"/>
  <c r="BJ43" i="3"/>
  <c r="BJ42" i="3"/>
  <c r="BJ41" i="3"/>
  <c r="BJ40" i="3"/>
  <c r="BJ39" i="3"/>
  <c r="BJ38" i="3"/>
  <c r="BJ37" i="3"/>
  <c r="BJ36" i="3"/>
  <c r="BJ35" i="3"/>
  <c r="BJ34" i="3"/>
  <c r="BJ33" i="3"/>
  <c r="BJ32" i="3"/>
  <c r="BJ31" i="3"/>
  <c r="BJ30" i="3"/>
  <c r="BJ29" i="3"/>
  <c r="BJ28" i="3"/>
  <c r="BJ27" i="3"/>
  <c r="BJ26" i="3"/>
  <c r="BJ25" i="3"/>
  <c r="BJ24" i="3"/>
  <c r="BJ23" i="3"/>
  <c r="BJ22" i="3"/>
  <c r="BJ21" i="3"/>
  <c r="BJ20" i="3"/>
  <c r="BJ19" i="3"/>
  <c r="BJ18" i="3"/>
  <c r="BJ17" i="3"/>
  <c r="BJ16" i="3"/>
  <c r="BJ15" i="3"/>
  <c r="BJ14" i="3"/>
  <c r="BJ13" i="3"/>
  <c r="AZ1012" i="3"/>
  <c r="AZ1011" i="3"/>
  <c r="AZ1010" i="3"/>
  <c r="AZ1009" i="3"/>
  <c r="AZ1008" i="3"/>
  <c r="AZ1007" i="3"/>
  <c r="AZ1006" i="3"/>
  <c r="AZ1005" i="3"/>
  <c r="AZ1004" i="3"/>
  <c r="AZ1003" i="3"/>
  <c r="AZ1002" i="3"/>
  <c r="AZ1001" i="3"/>
  <c r="AZ1000" i="3"/>
  <c r="AZ999" i="3"/>
  <c r="AZ998" i="3"/>
  <c r="AZ997" i="3"/>
  <c r="AZ996" i="3"/>
  <c r="AZ995" i="3"/>
  <c r="AZ994" i="3"/>
  <c r="AZ993" i="3"/>
  <c r="AZ992" i="3"/>
  <c r="AZ991" i="3"/>
  <c r="AZ990" i="3"/>
  <c r="AZ989" i="3"/>
  <c r="AZ988" i="3"/>
  <c r="AZ987" i="3"/>
  <c r="AZ986" i="3"/>
  <c r="AZ985" i="3"/>
  <c r="AZ984" i="3"/>
  <c r="AZ983" i="3"/>
  <c r="AZ982" i="3"/>
  <c r="AZ981" i="3"/>
  <c r="AZ980" i="3"/>
  <c r="AZ979" i="3"/>
  <c r="AZ978" i="3"/>
  <c r="AZ977" i="3"/>
  <c r="AZ976" i="3"/>
  <c r="AZ975" i="3"/>
  <c r="AZ974" i="3"/>
  <c r="AZ973" i="3"/>
  <c r="AZ972" i="3"/>
  <c r="AZ971" i="3"/>
  <c r="AZ970" i="3"/>
  <c r="AZ969" i="3"/>
  <c r="AZ968" i="3"/>
  <c r="AZ967" i="3"/>
  <c r="AZ966" i="3"/>
  <c r="AZ965" i="3"/>
  <c r="AZ964" i="3"/>
  <c r="AZ963" i="3"/>
  <c r="AZ962" i="3"/>
  <c r="AZ961" i="3"/>
  <c r="AZ960" i="3"/>
  <c r="AZ959" i="3"/>
  <c r="AZ958" i="3"/>
  <c r="AZ957" i="3"/>
  <c r="AZ956" i="3"/>
  <c r="AZ955" i="3"/>
  <c r="AZ954" i="3"/>
  <c r="AZ953" i="3"/>
  <c r="AZ952" i="3"/>
  <c r="AZ951" i="3"/>
  <c r="AZ950" i="3"/>
  <c r="AZ949" i="3"/>
  <c r="AZ948" i="3"/>
  <c r="AZ947" i="3"/>
  <c r="AZ946" i="3"/>
  <c r="AZ945" i="3"/>
  <c r="AZ944" i="3"/>
  <c r="AZ943" i="3"/>
  <c r="AZ942" i="3"/>
  <c r="AZ941" i="3"/>
  <c r="AZ940" i="3"/>
  <c r="AZ939" i="3"/>
  <c r="AZ938" i="3"/>
  <c r="AZ937" i="3"/>
  <c r="AZ936" i="3"/>
  <c r="AZ935" i="3"/>
  <c r="AZ934" i="3"/>
  <c r="AZ933" i="3"/>
  <c r="AZ932" i="3"/>
  <c r="AZ931" i="3"/>
  <c r="AZ930" i="3"/>
  <c r="AZ929" i="3"/>
  <c r="AZ928" i="3"/>
  <c r="AZ927" i="3"/>
  <c r="AZ926" i="3"/>
  <c r="AZ925" i="3"/>
  <c r="AZ924" i="3"/>
  <c r="AZ923" i="3"/>
  <c r="AZ922" i="3"/>
  <c r="AZ921" i="3"/>
  <c r="AZ920" i="3"/>
  <c r="AZ919" i="3"/>
  <c r="AZ918" i="3"/>
  <c r="AZ917" i="3"/>
  <c r="AZ916" i="3"/>
  <c r="AZ915" i="3"/>
  <c r="AZ914" i="3"/>
  <c r="AZ913" i="3"/>
  <c r="AZ912" i="3"/>
  <c r="AZ911" i="3"/>
  <c r="AZ910" i="3"/>
  <c r="AZ909" i="3"/>
  <c r="AZ908" i="3"/>
  <c r="AZ907" i="3"/>
  <c r="AZ906" i="3"/>
  <c r="AZ905" i="3"/>
  <c r="AZ904" i="3"/>
  <c r="AZ903" i="3"/>
  <c r="AZ902" i="3"/>
  <c r="AZ901" i="3"/>
  <c r="AZ900" i="3"/>
  <c r="AZ899" i="3"/>
  <c r="AZ898" i="3"/>
  <c r="AZ897" i="3"/>
  <c r="AZ896" i="3"/>
  <c r="AZ895" i="3"/>
  <c r="AZ894" i="3"/>
  <c r="AZ893" i="3"/>
  <c r="AZ892" i="3"/>
  <c r="AZ891" i="3"/>
  <c r="AZ890" i="3"/>
  <c r="AZ889" i="3"/>
  <c r="AZ888" i="3"/>
  <c r="AZ887" i="3"/>
  <c r="AZ886" i="3"/>
  <c r="AZ885" i="3"/>
  <c r="AZ884" i="3"/>
  <c r="AZ883" i="3"/>
  <c r="AZ882" i="3"/>
  <c r="AZ881" i="3"/>
  <c r="AZ880" i="3"/>
  <c r="AZ879" i="3"/>
  <c r="AZ878" i="3"/>
  <c r="AZ877" i="3"/>
  <c r="AZ876" i="3"/>
  <c r="AZ875" i="3"/>
  <c r="AZ874" i="3"/>
  <c r="AZ873" i="3"/>
  <c r="AZ872" i="3"/>
  <c r="AZ871" i="3"/>
  <c r="AZ870" i="3"/>
  <c r="AZ869" i="3"/>
  <c r="AZ868" i="3"/>
  <c r="AZ867" i="3"/>
  <c r="AZ866" i="3"/>
  <c r="AZ865" i="3"/>
  <c r="AZ864" i="3"/>
  <c r="AZ863" i="3"/>
  <c r="AZ862" i="3"/>
  <c r="AZ861" i="3"/>
  <c r="AZ860" i="3"/>
  <c r="AZ859" i="3"/>
  <c r="AZ858" i="3"/>
  <c r="AZ857" i="3"/>
  <c r="AZ856" i="3"/>
  <c r="AZ855" i="3"/>
  <c r="AZ854" i="3"/>
  <c r="AZ853" i="3"/>
  <c r="AZ852" i="3"/>
  <c r="AZ851" i="3"/>
  <c r="AZ850" i="3"/>
  <c r="AZ849" i="3"/>
  <c r="AZ848" i="3"/>
  <c r="AZ847" i="3"/>
  <c r="AZ846" i="3"/>
  <c r="AZ845" i="3"/>
  <c r="AZ844" i="3"/>
  <c r="AZ843" i="3"/>
  <c r="AZ842" i="3"/>
  <c r="AZ841" i="3"/>
  <c r="AZ840" i="3"/>
  <c r="AZ839" i="3"/>
  <c r="AZ838" i="3"/>
  <c r="AZ837" i="3"/>
  <c r="AZ836" i="3"/>
  <c r="AZ835" i="3"/>
  <c r="AZ834" i="3"/>
  <c r="AZ833" i="3"/>
  <c r="AZ832" i="3"/>
  <c r="AZ831" i="3"/>
  <c r="AZ830" i="3"/>
  <c r="AZ829" i="3"/>
  <c r="AZ828" i="3"/>
  <c r="AZ827" i="3"/>
  <c r="AZ826" i="3"/>
  <c r="AZ825" i="3"/>
  <c r="AZ824" i="3"/>
  <c r="AZ823" i="3"/>
  <c r="AZ822" i="3"/>
  <c r="AZ821" i="3"/>
  <c r="AZ820" i="3"/>
  <c r="AZ819" i="3"/>
  <c r="AZ818" i="3"/>
  <c r="AZ817" i="3"/>
  <c r="AZ816" i="3"/>
  <c r="AZ815" i="3"/>
  <c r="AZ814" i="3"/>
  <c r="AZ813" i="3"/>
  <c r="AZ812" i="3"/>
  <c r="AZ811" i="3"/>
  <c r="AZ810" i="3"/>
  <c r="AZ809" i="3"/>
  <c r="AZ808" i="3"/>
  <c r="AZ807" i="3"/>
  <c r="AZ806" i="3"/>
  <c r="AZ805" i="3"/>
  <c r="AZ804" i="3"/>
  <c r="AZ803" i="3"/>
  <c r="AZ802" i="3"/>
  <c r="AZ801" i="3"/>
  <c r="AZ800" i="3"/>
  <c r="AZ799" i="3"/>
  <c r="AZ798" i="3"/>
  <c r="AZ797" i="3"/>
  <c r="AZ796" i="3"/>
  <c r="AZ795" i="3"/>
  <c r="AZ794" i="3"/>
  <c r="AZ793" i="3"/>
  <c r="AZ792" i="3"/>
  <c r="AZ791" i="3"/>
  <c r="AZ790" i="3"/>
  <c r="AZ789" i="3"/>
  <c r="AZ788" i="3"/>
  <c r="AZ787" i="3"/>
  <c r="AZ786" i="3"/>
  <c r="AZ785" i="3"/>
  <c r="AZ784" i="3"/>
  <c r="AZ783" i="3"/>
  <c r="AZ782" i="3"/>
  <c r="AZ781" i="3"/>
  <c r="AZ780" i="3"/>
  <c r="AZ779" i="3"/>
  <c r="AZ778" i="3"/>
  <c r="AZ777" i="3"/>
  <c r="AZ776" i="3"/>
  <c r="AZ775" i="3"/>
  <c r="AZ774" i="3"/>
  <c r="AZ773" i="3"/>
  <c r="AZ772" i="3"/>
  <c r="AZ771" i="3"/>
  <c r="AZ770" i="3"/>
  <c r="AZ769" i="3"/>
  <c r="AZ768" i="3"/>
  <c r="AZ767" i="3"/>
  <c r="AZ766" i="3"/>
  <c r="AZ765" i="3"/>
  <c r="AZ764" i="3"/>
  <c r="AZ763" i="3"/>
  <c r="AZ762" i="3"/>
  <c r="AZ761" i="3"/>
  <c r="AZ760" i="3"/>
  <c r="AZ759" i="3"/>
  <c r="AZ758" i="3"/>
  <c r="AZ757" i="3"/>
  <c r="AZ756" i="3"/>
  <c r="AZ755" i="3"/>
  <c r="AZ754" i="3"/>
  <c r="AZ753" i="3"/>
  <c r="AZ752" i="3"/>
  <c r="AZ751" i="3"/>
  <c r="AZ750" i="3"/>
  <c r="AZ749" i="3"/>
  <c r="AZ748" i="3"/>
  <c r="AZ747" i="3"/>
  <c r="AZ746" i="3"/>
  <c r="AZ745" i="3"/>
  <c r="AZ744" i="3"/>
  <c r="AZ743" i="3"/>
  <c r="AZ742" i="3"/>
  <c r="AZ741" i="3"/>
  <c r="AZ740" i="3"/>
  <c r="AZ739" i="3"/>
  <c r="AZ738" i="3"/>
  <c r="AZ737" i="3"/>
  <c r="AZ736" i="3"/>
  <c r="AZ735" i="3"/>
  <c r="AZ734" i="3"/>
  <c r="AZ733" i="3"/>
  <c r="AZ732" i="3"/>
  <c r="AZ731" i="3"/>
  <c r="AZ730" i="3"/>
  <c r="AZ729" i="3"/>
  <c r="AZ728" i="3"/>
  <c r="AZ727" i="3"/>
  <c r="AZ726" i="3"/>
  <c r="AZ725" i="3"/>
  <c r="AZ724" i="3"/>
  <c r="AZ723" i="3"/>
  <c r="AZ722" i="3"/>
  <c r="AZ721" i="3"/>
  <c r="AZ720" i="3"/>
  <c r="AZ719" i="3"/>
  <c r="AZ718" i="3"/>
  <c r="AZ717" i="3"/>
  <c r="AZ716" i="3"/>
  <c r="AZ715" i="3"/>
  <c r="AZ714" i="3"/>
  <c r="AZ713" i="3"/>
  <c r="AZ712" i="3"/>
  <c r="AZ711" i="3"/>
  <c r="AZ710" i="3"/>
  <c r="AZ709" i="3"/>
  <c r="AZ708" i="3"/>
  <c r="AZ707" i="3"/>
  <c r="AZ706" i="3"/>
  <c r="AZ705" i="3"/>
  <c r="AZ704" i="3"/>
  <c r="AZ703" i="3"/>
  <c r="AZ702" i="3"/>
  <c r="AZ701" i="3"/>
  <c r="AZ700" i="3"/>
  <c r="AZ699" i="3"/>
  <c r="AZ698" i="3"/>
  <c r="AZ697" i="3"/>
  <c r="AZ696" i="3"/>
  <c r="AZ695" i="3"/>
  <c r="AZ694" i="3"/>
  <c r="AZ693" i="3"/>
  <c r="AZ692" i="3"/>
  <c r="AZ691" i="3"/>
  <c r="AZ690" i="3"/>
  <c r="AZ689" i="3"/>
  <c r="AZ688" i="3"/>
  <c r="AZ687" i="3"/>
  <c r="AZ686" i="3"/>
  <c r="AZ685" i="3"/>
  <c r="AZ684" i="3"/>
  <c r="AZ683" i="3"/>
  <c r="AZ682" i="3"/>
  <c r="AZ681" i="3"/>
  <c r="AZ680" i="3"/>
  <c r="AZ679" i="3"/>
  <c r="AZ678" i="3"/>
  <c r="AZ677" i="3"/>
  <c r="AZ676" i="3"/>
  <c r="AZ675" i="3"/>
  <c r="AZ674" i="3"/>
  <c r="AZ673" i="3"/>
  <c r="AZ672" i="3"/>
  <c r="AZ671" i="3"/>
  <c r="AZ670" i="3"/>
  <c r="AZ669" i="3"/>
  <c r="AZ668" i="3"/>
  <c r="AZ667" i="3"/>
  <c r="AZ666" i="3"/>
  <c r="AZ665" i="3"/>
  <c r="AZ664" i="3"/>
  <c r="AZ663" i="3"/>
  <c r="AZ662" i="3"/>
  <c r="AZ661" i="3"/>
  <c r="AZ660" i="3"/>
  <c r="AZ659" i="3"/>
  <c r="AZ658" i="3"/>
  <c r="AZ657" i="3"/>
  <c r="AZ656" i="3"/>
  <c r="AZ655" i="3"/>
  <c r="AZ654" i="3"/>
  <c r="AZ653" i="3"/>
  <c r="AZ652" i="3"/>
  <c r="AZ651" i="3"/>
  <c r="AZ650" i="3"/>
  <c r="AZ649" i="3"/>
  <c r="AZ648" i="3"/>
  <c r="AZ647" i="3"/>
  <c r="AZ646" i="3"/>
  <c r="AZ645" i="3"/>
  <c r="AZ644" i="3"/>
  <c r="AZ643" i="3"/>
  <c r="AZ642" i="3"/>
  <c r="AZ641" i="3"/>
  <c r="AZ640" i="3"/>
  <c r="AZ639" i="3"/>
  <c r="AZ638" i="3"/>
  <c r="AZ637" i="3"/>
  <c r="AZ636" i="3"/>
  <c r="AZ635" i="3"/>
  <c r="AZ634" i="3"/>
  <c r="AZ633" i="3"/>
  <c r="AZ632" i="3"/>
  <c r="AZ631" i="3"/>
  <c r="AZ630" i="3"/>
  <c r="AZ629" i="3"/>
  <c r="AZ628" i="3"/>
  <c r="AZ627" i="3"/>
  <c r="AZ626" i="3"/>
  <c r="AZ625" i="3"/>
  <c r="AZ624" i="3"/>
  <c r="AZ623" i="3"/>
  <c r="AZ622" i="3"/>
  <c r="AZ621" i="3"/>
  <c r="AZ620" i="3"/>
  <c r="AZ619" i="3"/>
  <c r="AZ618" i="3"/>
  <c r="AZ617" i="3"/>
  <c r="AZ616" i="3"/>
  <c r="AZ615" i="3"/>
  <c r="AZ614" i="3"/>
  <c r="AZ613" i="3"/>
  <c r="AZ612" i="3"/>
  <c r="AZ611" i="3"/>
  <c r="AZ610" i="3"/>
  <c r="AZ609" i="3"/>
  <c r="AZ608" i="3"/>
  <c r="AZ607" i="3"/>
  <c r="AZ606" i="3"/>
  <c r="AZ605" i="3"/>
  <c r="AZ604" i="3"/>
  <c r="AZ603" i="3"/>
  <c r="AZ602" i="3"/>
  <c r="AZ601" i="3"/>
  <c r="AZ600" i="3"/>
  <c r="AZ599" i="3"/>
  <c r="AZ598" i="3"/>
  <c r="AZ597" i="3"/>
  <c r="AZ596" i="3"/>
  <c r="AZ595" i="3"/>
  <c r="AZ594" i="3"/>
  <c r="AZ593" i="3"/>
  <c r="AZ592" i="3"/>
  <c r="AZ591" i="3"/>
  <c r="AZ590" i="3"/>
  <c r="AZ589" i="3"/>
  <c r="AZ588" i="3"/>
  <c r="AZ587" i="3"/>
  <c r="AZ586" i="3"/>
  <c r="AZ585" i="3"/>
  <c r="AZ584" i="3"/>
  <c r="AZ583" i="3"/>
  <c r="AZ582" i="3"/>
  <c r="AZ581" i="3"/>
  <c r="AZ580" i="3"/>
  <c r="AZ579" i="3"/>
  <c r="AZ578" i="3"/>
  <c r="AZ577" i="3"/>
  <c r="AZ576" i="3"/>
  <c r="AZ575" i="3"/>
  <c r="AZ574" i="3"/>
  <c r="AZ573" i="3"/>
  <c r="AZ572" i="3"/>
  <c r="AZ571" i="3"/>
  <c r="AZ570" i="3"/>
  <c r="AZ569" i="3"/>
  <c r="AZ568" i="3"/>
  <c r="AZ567" i="3"/>
  <c r="AZ566" i="3"/>
  <c r="AZ565" i="3"/>
  <c r="AZ564" i="3"/>
  <c r="AZ563" i="3"/>
  <c r="AZ562" i="3"/>
  <c r="AZ561" i="3"/>
  <c r="AZ560" i="3"/>
  <c r="AZ559" i="3"/>
  <c r="AZ558" i="3"/>
  <c r="AZ557" i="3"/>
  <c r="AZ556" i="3"/>
  <c r="AZ555" i="3"/>
  <c r="AZ554" i="3"/>
  <c r="AZ553" i="3"/>
  <c r="AZ552" i="3"/>
  <c r="AZ551" i="3"/>
  <c r="AZ550" i="3"/>
  <c r="AZ549" i="3"/>
  <c r="AZ548" i="3"/>
  <c r="AZ547" i="3"/>
  <c r="AZ546" i="3"/>
  <c r="AZ545" i="3"/>
  <c r="AZ544" i="3"/>
  <c r="AZ543" i="3"/>
  <c r="AZ542" i="3"/>
  <c r="AZ541" i="3"/>
  <c r="AZ540" i="3"/>
  <c r="AZ539" i="3"/>
  <c r="AZ538" i="3"/>
  <c r="AZ537" i="3"/>
  <c r="AZ536" i="3"/>
  <c r="AZ535" i="3"/>
  <c r="AZ534" i="3"/>
  <c r="AZ533" i="3"/>
  <c r="AZ532" i="3"/>
  <c r="AZ531" i="3"/>
  <c r="AZ530" i="3"/>
  <c r="AZ529" i="3"/>
  <c r="AZ528" i="3"/>
  <c r="AZ527" i="3"/>
  <c r="AZ526" i="3"/>
  <c r="AZ525" i="3"/>
  <c r="AZ524" i="3"/>
  <c r="AZ523" i="3"/>
  <c r="AZ522" i="3"/>
  <c r="AZ521" i="3"/>
  <c r="AZ520" i="3"/>
  <c r="AZ519" i="3"/>
  <c r="AZ518" i="3"/>
  <c r="AZ517" i="3"/>
  <c r="AZ516" i="3"/>
  <c r="AZ515" i="3"/>
  <c r="AZ514" i="3"/>
  <c r="AZ513" i="3"/>
  <c r="AZ512" i="3"/>
  <c r="AZ511" i="3"/>
  <c r="AZ510" i="3"/>
  <c r="AZ509" i="3"/>
  <c r="AZ508" i="3"/>
  <c r="AZ507" i="3"/>
  <c r="AZ506" i="3"/>
  <c r="AZ505" i="3"/>
  <c r="AZ504" i="3"/>
  <c r="AZ503" i="3"/>
  <c r="AZ502" i="3"/>
  <c r="AZ501" i="3"/>
  <c r="AZ500" i="3"/>
  <c r="AZ499" i="3"/>
  <c r="AZ498" i="3"/>
  <c r="AZ497" i="3"/>
  <c r="AZ496" i="3"/>
  <c r="AZ495" i="3"/>
  <c r="AZ494" i="3"/>
  <c r="AZ493" i="3"/>
  <c r="AZ492" i="3"/>
  <c r="AZ491" i="3"/>
  <c r="AZ490" i="3"/>
  <c r="AZ489" i="3"/>
  <c r="AZ488" i="3"/>
  <c r="AZ487" i="3"/>
  <c r="AZ486" i="3"/>
  <c r="AZ485" i="3"/>
  <c r="AZ484" i="3"/>
  <c r="AZ483" i="3"/>
  <c r="AZ482" i="3"/>
  <c r="AZ481" i="3"/>
  <c r="AZ480" i="3"/>
  <c r="AZ479" i="3"/>
  <c r="AZ478" i="3"/>
  <c r="AZ477" i="3"/>
  <c r="AZ476" i="3"/>
  <c r="AZ475" i="3"/>
  <c r="AZ474" i="3"/>
  <c r="AZ473" i="3"/>
  <c r="AZ472" i="3"/>
  <c r="AZ471" i="3"/>
  <c r="AZ470" i="3"/>
  <c r="AZ469" i="3"/>
  <c r="AZ468" i="3"/>
  <c r="AZ467" i="3"/>
  <c r="AZ466" i="3"/>
  <c r="AZ465" i="3"/>
  <c r="AZ464" i="3"/>
  <c r="AZ463" i="3"/>
  <c r="AZ462" i="3"/>
  <c r="AZ461" i="3"/>
  <c r="AZ460" i="3"/>
  <c r="AZ459" i="3"/>
  <c r="AZ458" i="3"/>
  <c r="AZ457" i="3"/>
  <c r="AZ456" i="3"/>
  <c r="AZ455" i="3"/>
  <c r="AZ454" i="3"/>
  <c r="AZ453" i="3"/>
  <c r="AZ452" i="3"/>
  <c r="AZ451" i="3"/>
  <c r="AZ450" i="3"/>
  <c r="AZ449" i="3"/>
  <c r="AZ448" i="3"/>
  <c r="AZ447" i="3"/>
  <c r="AZ446" i="3"/>
  <c r="AZ445" i="3"/>
  <c r="AZ444" i="3"/>
  <c r="AZ443" i="3"/>
  <c r="AZ442" i="3"/>
  <c r="AZ441" i="3"/>
  <c r="AZ440" i="3"/>
  <c r="AZ439" i="3"/>
  <c r="AZ438" i="3"/>
  <c r="AZ437" i="3"/>
  <c r="AZ436" i="3"/>
  <c r="AZ435" i="3"/>
  <c r="AZ434" i="3"/>
  <c r="AZ433" i="3"/>
  <c r="AZ432" i="3"/>
  <c r="AZ431" i="3"/>
  <c r="AZ430" i="3"/>
  <c r="AZ429" i="3"/>
  <c r="AZ428" i="3"/>
  <c r="AZ427" i="3"/>
  <c r="AZ426" i="3"/>
  <c r="AZ425" i="3"/>
  <c r="AZ424" i="3"/>
  <c r="AZ423" i="3"/>
  <c r="AZ422" i="3"/>
  <c r="AZ421" i="3"/>
  <c r="AZ420" i="3"/>
  <c r="AZ419" i="3"/>
  <c r="AZ418" i="3"/>
  <c r="AZ417" i="3"/>
  <c r="AZ416" i="3"/>
  <c r="AZ415" i="3"/>
  <c r="AZ414" i="3"/>
  <c r="AZ413" i="3"/>
  <c r="AZ412" i="3"/>
  <c r="AZ411" i="3"/>
  <c r="AZ410" i="3"/>
  <c r="AZ409" i="3"/>
  <c r="AZ408" i="3"/>
  <c r="AZ407" i="3"/>
  <c r="AZ406" i="3"/>
  <c r="AZ405" i="3"/>
  <c r="AZ404" i="3"/>
  <c r="AZ403" i="3"/>
  <c r="AZ402" i="3"/>
  <c r="AZ401" i="3"/>
  <c r="AZ400" i="3"/>
  <c r="AZ399" i="3"/>
  <c r="AZ398" i="3"/>
  <c r="AZ397" i="3"/>
  <c r="AZ396" i="3"/>
  <c r="AZ395" i="3"/>
  <c r="AZ394" i="3"/>
  <c r="AZ393" i="3"/>
  <c r="AZ392" i="3"/>
  <c r="AZ391" i="3"/>
  <c r="AZ390" i="3"/>
  <c r="AZ389" i="3"/>
  <c r="AZ388" i="3"/>
  <c r="AZ387" i="3"/>
  <c r="AZ386" i="3"/>
  <c r="AZ385" i="3"/>
  <c r="AZ384" i="3"/>
  <c r="AZ383" i="3"/>
  <c r="AZ382" i="3"/>
  <c r="AZ381" i="3"/>
  <c r="AZ380" i="3"/>
  <c r="AZ379" i="3"/>
  <c r="AZ378" i="3"/>
  <c r="AZ377" i="3"/>
  <c r="AZ376" i="3"/>
  <c r="AZ375" i="3"/>
  <c r="AZ374" i="3"/>
  <c r="AZ373" i="3"/>
  <c r="AZ372" i="3"/>
  <c r="AZ371" i="3"/>
  <c r="AZ370" i="3"/>
  <c r="AZ369" i="3"/>
  <c r="AZ368" i="3"/>
  <c r="AZ367" i="3"/>
  <c r="AZ366" i="3"/>
  <c r="AZ365" i="3"/>
  <c r="AZ364" i="3"/>
  <c r="AZ363" i="3"/>
  <c r="AZ362" i="3"/>
  <c r="AZ361" i="3"/>
  <c r="AZ360" i="3"/>
  <c r="AZ359" i="3"/>
  <c r="AZ358" i="3"/>
  <c r="AZ357" i="3"/>
  <c r="AZ356" i="3"/>
  <c r="AZ355" i="3"/>
  <c r="AZ354" i="3"/>
  <c r="AZ353" i="3"/>
  <c r="AZ352" i="3"/>
  <c r="AZ351" i="3"/>
  <c r="AZ350" i="3"/>
  <c r="AZ349" i="3"/>
  <c r="AZ348" i="3"/>
  <c r="AZ347" i="3"/>
  <c r="AZ346" i="3"/>
  <c r="AZ345" i="3"/>
  <c r="AZ344" i="3"/>
  <c r="AZ343" i="3"/>
  <c r="AZ342" i="3"/>
  <c r="AZ341" i="3"/>
  <c r="AZ340" i="3"/>
  <c r="AZ339" i="3"/>
  <c r="AZ338" i="3"/>
  <c r="AZ337" i="3"/>
  <c r="AZ336" i="3"/>
  <c r="AZ335" i="3"/>
  <c r="AZ334" i="3"/>
  <c r="AZ333" i="3"/>
  <c r="AZ332" i="3"/>
  <c r="AZ331" i="3"/>
  <c r="AZ330" i="3"/>
  <c r="AZ329" i="3"/>
  <c r="AZ328" i="3"/>
  <c r="AZ327" i="3"/>
  <c r="AZ326" i="3"/>
  <c r="AZ325" i="3"/>
  <c r="AZ324" i="3"/>
  <c r="AZ323" i="3"/>
  <c r="AZ322" i="3"/>
  <c r="AZ321" i="3"/>
  <c r="AZ320" i="3"/>
  <c r="AZ319" i="3"/>
  <c r="AZ318" i="3"/>
  <c r="AZ317" i="3"/>
  <c r="AZ316" i="3"/>
  <c r="AZ315" i="3"/>
  <c r="AZ314" i="3"/>
  <c r="AZ313" i="3"/>
  <c r="AZ312" i="3"/>
  <c r="AZ311" i="3"/>
  <c r="AZ310" i="3"/>
  <c r="AZ309" i="3"/>
  <c r="AZ308" i="3"/>
  <c r="AZ307" i="3"/>
  <c r="AZ306" i="3"/>
  <c r="AZ305" i="3"/>
  <c r="AZ304" i="3"/>
  <c r="AZ303" i="3"/>
  <c r="AZ302" i="3"/>
  <c r="AZ301" i="3"/>
  <c r="AZ300" i="3"/>
  <c r="AZ299" i="3"/>
  <c r="AZ298" i="3"/>
  <c r="AZ297" i="3"/>
  <c r="AZ296" i="3"/>
  <c r="AZ295" i="3"/>
  <c r="AZ294" i="3"/>
  <c r="AZ293" i="3"/>
  <c r="AZ292" i="3"/>
  <c r="AZ291" i="3"/>
  <c r="AZ290" i="3"/>
  <c r="AZ289" i="3"/>
  <c r="AZ288" i="3"/>
  <c r="AZ287" i="3"/>
  <c r="AZ286" i="3"/>
  <c r="AZ285" i="3"/>
  <c r="AZ284" i="3"/>
  <c r="AZ283" i="3"/>
  <c r="AZ282" i="3"/>
  <c r="AZ281" i="3"/>
  <c r="AZ280" i="3"/>
  <c r="AZ279" i="3"/>
  <c r="AZ278" i="3"/>
  <c r="AZ277" i="3"/>
  <c r="AZ276" i="3"/>
  <c r="AZ275" i="3"/>
  <c r="AZ274" i="3"/>
  <c r="AZ273" i="3"/>
  <c r="AZ272" i="3"/>
  <c r="AZ271" i="3"/>
  <c r="AZ270" i="3"/>
  <c r="AZ269" i="3"/>
  <c r="AZ268" i="3"/>
  <c r="AZ267" i="3"/>
  <c r="AZ266" i="3"/>
  <c r="AZ265" i="3"/>
  <c r="AZ264" i="3"/>
  <c r="AZ263" i="3"/>
  <c r="AZ262" i="3"/>
  <c r="AZ261" i="3"/>
  <c r="AZ260" i="3"/>
  <c r="AZ259" i="3"/>
  <c r="AZ258" i="3"/>
  <c r="AZ257" i="3"/>
  <c r="AZ256" i="3"/>
  <c r="AZ255" i="3"/>
  <c r="AZ254" i="3"/>
  <c r="AZ253" i="3"/>
  <c r="AZ252" i="3"/>
  <c r="AZ251" i="3"/>
  <c r="AZ250" i="3"/>
  <c r="AZ249" i="3"/>
  <c r="AZ248" i="3"/>
  <c r="AZ247" i="3"/>
  <c r="AZ246" i="3"/>
  <c r="AZ245" i="3"/>
  <c r="AZ244" i="3"/>
  <c r="AZ243" i="3"/>
  <c r="AZ242" i="3"/>
  <c r="AZ241" i="3"/>
  <c r="AZ240" i="3"/>
  <c r="AZ239" i="3"/>
  <c r="AZ238" i="3"/>
  <c r="AZ237" i="3"/>
  <c r="AZ236" i="3"/>
  <c r="AZ235" i="3"/>
  <c r="AZ234" i="3"/>
  <c r="AZ233" i="3"/>
  <c r="AZ232" i="3"/>
  <c r="AZ231" i="3"/>
  <c r="AZ230" i="3"/>
  <c r="AZ229" i="3"/>
  <c r="AZ228" i="3"/>
  <c r="AZ227" i="3"/>
  <c r="AZ226" i="3"/>
  <c r="AZ225" i="3"/>
  <c r="AZ224" i="3"/>
  <c r="AZ223" i="3"/>
  <c r="AZ222" i="3"/>
  <c r="AZ221" i="3"/>
  <c r="AZ220" i="3"/>
  <c r="AZ219" i="3"/>
  <c r="AZ218" i="3"/>
  <c r="AZ217" i="3"/>
  <c r="AZ216" i="3"/>
  <c r="AZ215" i="3"/>
  <c r="AZ214" i="3"/>
  <c r="AZ213" i="3"/>
  <c r="AZ212" i="3"/>
  <c r="AZ211" i="3"/>
  <c r="AZ210" i="3"/>
  <c r="AZ209" i="3"/>
  <c r="AZ208" i="3"/>
  <c r="AZ207" i="3"/>
  <c r="AZ206" i="3"/>
  <c r="AZ205" i="3"/>
  <c r="AZ204" i="3"/>
  <c r="AZ203" i="3"/>
  <c r="AZ202" i="3"/>
  <c r="AZ201" i="3"/>
  <c r="AZ200" i="3"/>
  <c r="AZ199" i="3"/>
  <c r="AZ198" i="3"/>
  <c r="AZ197" i="3"/>
  <c r="AZ196" i="3"/>
  <c r="AZ195" i="3"/>
  <c r="AZ194" i="3"/>
  <c r="AZ193" i="3"/>
  <c r="AZ192" i="3"/>
  <c r="AZ191" i="3"/>
  <c r="AZ190" i="3"/>
  <c r="AZ189" i="3"/>
  <c r="AZ188" i="3"/>
  <c r="AZ187" i="3"/>
  <c r="AZ186" i="3"/>
  <c r="AZ185" i="3"/>
  <c r="AZ184" i="3"/>
  <c r="AZ183" i="3"/>
  <c r="AZ182" i="3"/>
  <c r="AZ181" i="3"/>
  <c r="AZ180" i="3"/>
  <c r="AZ179" i="3"/>
  <c r="AZ178" i="3"/>
  <c r="AZ177" i="3"/>
  <c r="AZ176" i="3"/>
  <c r="AZ175" i="3"/>
  <c r="AZ174" i="3"/>
  <c r="AZ173" i="3"/>
  <c r="AZ172" i="3"/>
  <c r="AZ171" i="3"/>
  <c r="AZ170" i="3"/>
  <c r="AZ169" i="3"/>
  <c r="AZ168" i="3"/>
  <c r="AZ167" i="3"/>
  <c r="AZ166" i="3"/>
  <c r="AZ165" i="3"/>
  <c r="AZ164" i="3"/>
  <c r="AZ163" i="3"/>
  <c r="AZ162" i="3"/>
  <c r="AZ161" i="3"/>
  <c r="AZ160" i="3"/>
  <c r="AZ159" i="3"/>
  <c r="AZ158" i="3"/>
  <c r="AZ157" i="3"/>
  <c r="AZ156" i="3"/>
  <c r="AZ155" i="3"/>
  <c r="AZ154" i="3"/>
  <c r="AZ153" i="3"/>
  <c r="AZ152" i="3"/>
  <c r="AZ151" i="3"/>
  <c r="AZ150" i="3"/>
  <c r="AZ149" i="3"/>
  <c r="AZ148" i="3"/>
  <c r="AZ147" i="3"/>
  <c r="AZ146" i="3"/>
  <c r="AZ145" i="3"/>
  <c r="AZ144" i="3"/>
  <c r="AZ143" i="3"/>
  <c r="AZ142" i="3"/>
  <c r="AZ141" i="3"/>
  <c r="AZ140" i="3"/>
  <c r="AZ139" i="3"/>
  <c r="AZ138" i="3"/>
  <c r="AZ137" i="3"/>
  <c r="AZ136" i="3"/>
  <c r="AZ135" i="3"/>
  <c r="AZ134" i="3"/>
  <c r="AZ133" i="3"/>
  <c r="AZ132" i="3"/>
  <c r="AZ131" i="3"/>
  <c r="AZ130" i="3"/>
  <c r="AZ129" i="3"/>
  <c r="AZ128" i="3"/>
  <c r="AZ127" i="3"/>
  <c r="AZ126" i="3"/>
  <c r="AZ125" i="3"/>
  <c r="AZ124" i="3"/>
  <c r="AZ123" i="3"/>
  <c r="AZ122" i="3"/>
  <c r="AZ121" i="3"/>
  <c r="AZ120" i="3"/>
  <c r="AZ119" i="3"/>
  <c r="AZ118" i="3"/>
  <c r="AZ117" i="3"/>
  <c r="AZ116" i="3"/>
  <c r="AZ115" i="3"/>
  <c r="AZ114" i="3"/>
  <c r="AZ113" i="3"/>
  <c r="AZ112" i="3"/>
  <c r="AZ111" i="3"/>
  <c r="AZ110" i="3"/>
  <c r="AZ109" i="3"/>
  <c r="AZ108" i="3"/>
  <c r="AZ107" i="3"/>
  <c r="AZ106" i="3"/>
  <c r="AZ105" i="3"/>
  <c r="AZ104" i="3"/>
  <c r="AZ103" i="3"/>
  <c r="AZ102" i="3"/>
  <c r="AZ101" i="3"/>
  <c r="AZ100" i="3"/>
  <c r="AZ99" i="3"/>
  <c r="AZ98" i="3"/>
  <c r="AZ97" i="3"/>
  <c r="AZ96" i="3"/>
  <c r="AZ95" i="3"/>
  <c r="AZ94" i="3"/>
  <c r="AZ93" i="3"/>
  <c r="AZ92" i="3"/>
  <c r="AZ91" i="3"/>
  <c r="AZ90" i="3"/>
  <c r="AZ89" i="3"/>
  <c r="AZ88" i="3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74" i="3"/>
  <c r="AZ73" i="3"/>
  <c r="AZ72" i="3"/>
  <c r="AZ71" i="3"/>
  <c r="AZ70" i="3"/>
  <c r="AZ69" i="3"/>
  <c r="AZ68" i="3"/>
  <c r="AZ67" i="3"/>
  <c r="AZ66" i="3"/>
  <c r="AZ65" i="3"/>
  <c r="AZ64" i="3"/>
  <c r="AZ63" i="3"/>
  <c r="AZ62" i="3"/>
  <c r="AZ61" i="3"/>
  <c r="AZ60" i="3"/>
  <c r="AZ59" i="3"/>
  <c r="AZ58" i="3"/>
  <c r="AZ57" i="3"/>
  <c r="AZ56" i="3"/>
  <c r="AZ55" i="3"/>
  <c r="AZ54" i="3"/>
  <c r="AZ53" i="3"/>
  <c r="AZ52" i="3"/>
  <c r="AZ51" i="3"/>
  <c r="AZ50" i="3"/>
  <c r="AZ49" i="3"/>
  <c r="AZ48" i="3"/>
  <c r="AZ47" i="3"/>
  <c r="AZ46" i="3"/>
  <c r="AZ45" i="3"/>
  <c r="AZ44" i="3"/>
  <c r="AZ43" i="3"/>
  <c r="AZ42" i="3"/>
  <c r="AZ41" i="3"/>
  <c r="AZ40" i="3"/>
  <c r="AZ39" i="3"/>
  <c r="AZ38" i="3"/>
  <c r="AZ37" i="3"/>
  <c r="AZ36" i="3"/>
  <c r="AZ35" i="3"/>
  <c r="AZ34" i="3"/>
  <c r="AZ33" i="3"/>
  <c r="AZ32" i="3"/>
  <c r="AZ31" i="3"/>
  <c r="AZ30" i="3"/>
  <c r="AZ29" i="3"/>
  <c r="AZ28" i="3"/>
  <c r="AZ27" i="3"/>
  <c r="AZ26" i="3"/>
  <c r="AZ25" i="3"/>
  <c r="AZ24" i="3"/>
  <c r="AZ23" i="3"/>
  <c r="AZ22" i="3"/>
  <c r="AZ21" i="3"/>
  <c r="AZ20" i="3"/>
  <c r="AZ19" i="3"/>
  <c r="AZ18" i="3"/>
  <c r="AZ17" i="3"/>
  <c r="AZ16" i="3"/>
  <c r="AZ15" i="3"/>
  <c r="AZ14" i="3"/>
  <c r="AZ13" i="3"/>
  <c r="AO1012" i="3"/>
  <c r="AO1011" i="3"/>
  <c r="AO1010" i="3"/>
  <c r="AO1009" i="3"/>
  <c r="AO1008" i="3"/>
  <c r="AO1007" i="3"/>
  <c r="AO1006" i="3"/>
  <c r="AO1005" i="3"/>
  <c r="AO1004" i="3"/>
  <c r="AO1003" i="3"/>
  <c r="AO1002" i="3"/>
  <c r="AO1001" i="3"/>
  <c r="AO1000" i="3"/>
  <c r="AO999" i="3"/>
  <c r="AO998" i="3"/>
  <c r="AO997" i="3"/>
  <c r="AO996" i="3"/>
  <c r="AO995" i="3"/>
  <c r="AO994" i="3"/>
  <c r="AO993" i="3"/>
  <c r="AO992" i="3"/>
  <c r="AO991" i="3"/>
  <c r="AO990" i="3"/>
  <c r="AO989" i="3"/>
  <c r="AO988" i="3"/>
  <c r="AO987" i="3"/>
  <c r="AO986" i="3"/>
  <c r="AO985" i="3"/>
  <c r="AO984" i="3"/>
  <c r="AO983" i="3"/>
  <c r="AO982" i="3"/>
  <c r="AO981" i="3"/>
  <c r="AO980" i="3"/>
  <c r="AO979" i="3"/>
  <c r="AO978" i="3"/>
  <c r="AO977" i="3"/>
  <c r="AO976" i="3"/>
  <c r="AO975" i="3"/>
  <c r="AO974" i="3"/>
  <c r="AO973" i="3"/>
  <c r="AO972" i="3"/>
  <c r="AO971" i="3"/>
  <c r="AO970" i="3"/>
  <c r="AO969" i="3"/>
  <c r="AO968" i="3"/>
  <c r="AO967" i="3"/>
  <c r="AO966" i="3"/>
  <c r="AO965" i="3"/>
  <c r="AO964" i="3"/>
  <c r="AO963" i="3"/>
  <c r="AO962" i="3"/>
  <c r="AO961" i="3"/>
  <c r="AO960" i="3"/>
  <c r="AO959" i="3"/>
  <c r="AO958" i="3"/>
  <c r="AO957" i="3"/>
  <c r="AO956" i="3"/>
  <c r="AO955" i="3"/>
  <c r="AO954" i="3"/>
  <c r="AO953" i="3"/>
  <c r="AO952" i="3"/>
  <c r="AO951" i="3"/>
  <c r="AO950" i="3"/>
  <c r="AO949" i="3"/>
  <c r="AO948" i="3"/>
  <c r="AO947" i="3"/>
  <c r="AO946" i="3"/>
  <c r="AO945" i="3"/>
  <c r="AO944" i="3"/>
  <c r="AO943" i="3"/>
  <c r="AO942" i="3"/>
  <c r="AO941" i="3"/>
  <c r="AO940" i="3"/>
  <c r="AO939" i="3"/>
  <c r="AO938" i="3"/>
  <c r="AO937" i="3"/>
  <c r="AO936" i="3"/>
  <c r="AO935" i="3"/>
  <c r="AO934" i="3"/>
  <c r="AO933" i="3"/>
  <c r="AO932" i="3"/>
  <c r="AO931" i="3"/>
  <c r="AO930" i="3"/>
  <c r="AO929" i="3"/>
  <c r="AO928" i="3"/>
  <c r="AO927" i="3"/>
  <c r="AO926" i="3"/>
  <c r="AO925" i="3"/>
  <c r="AO924" i="3"/>
  <c r="AO923" i="3"/>
  <c r="AO922" i="3"/>
  <c r="AO921" i="3"/>
  <c r="AO920" i="3"/>
  <c r="AO919" i="3"/>
  <c r="AO918" i="3"/>
  <c r="AO917" i="3"/>
  <c r="AO916" i="3"/>
  <c r="AO915" i="3"/>
  <c r="AO914" i="3"/>
  <c r="AO913" i="3"/>
  <c r="AO912" i="3"/>
  <c r="AO911" i="3"/>
  <c r="AO910" i="3"/>
  <c r="AO909" i="3"/>
  <c r="AO908" i="3"/>
  <c r="AO907" i="3"/>
  <c r="AO906" i="3"/>
  <c r="AO905" i="3"/>
  <c r="AO904" i="3"/>
  <c r="AO903" i="3"/>
  <c r="AO902" i="3"/>
  <c r="AO901" i="3"/>
  <c r="AO900" i="3"/>
  <c r="AO899" i="3"/>
  <c r="AO898" i="3"/>
  <c r="AO897" i="3"/>
  <c r="AO896" i="3"/>
  <c r="AO895" i="3"/>
  <c r="AO894" i="3"/>
  <c r="AO893" i="3"/>
  <c r="AO892" i="3"/>
  <c r="AO891" i="3"/>
  <c r="AO890" i="3"/>
  <c r="AO889" i="3"/>
  <c r="AO888" i="3"/>
  <c r="AO887" i="3"/>
  <c r="AO886" i="3"/>
  <c r="AO885" i="3"/>
  <c r="AO884" i="3"/>
  <c r="AO883" i="3"/>
  <c r="AO882" i="3"/>
  <c r="AO881" i="3"/>
  <c r="AO880" i="3"/>
  <c r="AO879" i="3"/>
  <c r="AO878" i="3"/>
  <c r="AO877" i="3"/>
  <c r="AO876" i="3"/>
  <c r="AO875" i="3"/>
  <c r="AO874" i="3"/>
  <c r="AO873" i="3"/>
  <c r="AO872" i="3"/>
  <c r="AO871" i="3"/>
  <c r="AO870" i="3"/>
  <c r="AO869" i="3"/>
  <c r="AO868" i="3"/>
  <c r="AO867" i="3"/>
  <c r="AO866" i="3"/>
  <c r="AO865" i="3"/>
  <c r="AO864" i="3"/>
  <c r="AO863" i="3"/>
  <c r="AO862" i="3"/>
  <c r="AO861" i="3"/>
  <c r="AO860" i="3"/>
  <c r="AO859" i="3"/>
  <c r="AO858" i="3"/>
  <c r="AO857" i="3"/>
  <c r="AO856" i="3"/>
  <c r="AO855" i="3"/>
  <c r="AO854" i="3"/>
  <c r="AO853" i="3"/>
  <c r="AO852" i="3"/>
  <c r="AO851" i="3"/>
  <c r="AO850" i="3"/>
  <c r="AO849" i="3"/>
  <c r="AO848" i="3"/>
  <c r="AO847" i="3"/>
  <c r="AO846" i="3"/>
  <c r="AO845" i="3"/>
  <c r="AO844" i="3"/>
  <c r="AO843" i="3"/>
  <c r="AO842" i="3"/>
  <c r="AO841" i="3"/>
  <c r="AO840" i="3"/>
  <c r="AO839" i="3"/>
  <c r="AO838" i="3"/>
  <c r="AO837" i="3"/>
  <c r="AO836" i="3"/>
  <c r="AO835" i="3"/>
  <c r="AO834" i="3"/>
  <c r="AO833" i="3"/>
  <c r="AO832" i="3"/>
  <c r="AO831" i="3"/>
  <c r="AO830" i="3"/>
  <c r="AO829" i="3"/>
  <c r="AO828" i="3"/>
  <c r="AO827" i="3"/>
  <c r="AO826" i="3"/>
  <c r="AO825" i="3"/>
  <c r="AO824" i="3"/>
  <c r="AO823" i="3"/>
  <c r="AO822" i="3"/>
  <c r="AO821" i="3"/>
  <c r="AO820" i="3"/>
  <c r="AO819" i="3"/>
  <c r="AO818" i="3"/>
  <c r="AO817" i="3"/>
  <c r="AO816" i="3"/>
  <c r="AO815" i="3"/>
  <c r="AO814" i="3"/>
  <c r="AO813" i="3"/>
  <c r="AO812" i="3"/>
  <c r="AO811" i="3"/>
  <c r="AO810" i="3"/>
  <c r="AO809" i="3"/>
  <c r="AO808" i="3"/>
  <c r="AO807" i="3"/>
  <c r="AO806" i="3"/>
  <c r="AO805" i="3"/>
  <c r="AO804" i="3"/>
  <c r="AO803" i="3"/>
  <c r="AO802" i="3"/>
  <c r="AO801" i="3"/>
  <c r="AO800" i="3"/>
  <c r="AO799" i="3"/>
  <c r="AO798" i="3"/>
  <c r="AO797" i="3"/>
  <c r="AO796" i="3"/>
  <c r="AO795" i="3"/>
  <c r="AO794" i="3"/>
  <c r="AO793" i="3"/>
  <c r="AO792" i="3"/>
  <c r="AO791" i="3"/>
  <c r="AO790" i="3"/>
  <c r="AO789" i="3"/>
  <c r="AO788" i="3"/>
  <c r="AO787" i="3"/>
  <c r="AO786" i="3"/>
  <c r="AO785" i="3"/>
  <c r="AO784" i="3"/>
  <c r="AO783" i="3"/>
  <c r="AO782" i="3"/>
  <c r="AO781" i="3"/>
  <c r="AO780" i="3"/>
  <c r="AO779" i="3"/>
  <c r="AO778" i="3"/>
  <c r="AO777" i="3"/>
  <c r="AO776" i="3"/>
  <c r="AO775" i="3"/>
  <c r="AO774" i="3"/>
  <c r="AO773" i="3"/>
  <c r="AO772" i="3"/>
  <c r="AO771" i="3"/>
  <c r="AO770" i="3"/>
  <c r="AO769" i="3"/>
  <c r="AO768" i="3"/>
  <c r="AO767" i="3"/>
  <c r="AO766" i="3"/>
  <c r="AO765" i="3"/>
  <c r="AO764" i="3"/>
  <c r="AO763" i="3"/>
  <c r="AO762" i="3"/>
  <c r="AO761" i="3"/>
  <c r="AO760" i="3"/>
  <c r="AO759" i="3"/>
  <c r="AO758" i="3"/>
  <c r="AO757" i="3"/>
  <c r="AO756" i="3"/>
  <c r="AO755" i="3"/>
  <c r="AO754" i="3"/>
  <c r="AO753" i="3"/>
  <c r="AO752" i="3"/>
  <c r="AO751" i="3"/>
  <c r="AO750" i="3"/>
  <c r="AO749" i="3"/>
  <c r="AO748" i="3"/>
  <c r="AO747" i="3"/>
  <c r="AO746" i="3"/>
  <c r="AO745" i="3"/>
  <c r="AO744" i="3"/>
  <c r="AO743" i="3"/>
  <c r="AO742" i="3"/>
  <c r="AO741" i="3"/>
  <c r="AO740" i="3"/>
  <c r="AO739" i="3"/>
  <c r="AO738" i="3"/>
  <c r="AO737" i="3"/>
  <c r="AO736" i="3"/>
  <c r="AO735" i="3"/>
  <c r="AO734" i="3"/>
  <c r="AO733" i="3"/>
  <c r="AO732" i="3"/>
  <c r="AO731" i="3"/>
  <c r="AO730" i="3"/>
  <c r="AO729" i="3"/>
  <c r="AO728" i="3"/>
  <c r="AO727" i="3"/>
  <c r="AO726" i="3"/>
  <c r="AO725" i="3"/>
  <c r="AO724" i="3"/>
  <c r="AO723" i="3"/>
  <c r="AO722" i="3"/>
  <c r="AO721" i="3"/>
  <c r="AO720" i="3"/>
  <c r="AO719" i="3"/>
  <c r="AO718" i="3"/>
  <c r="AO717" i="3"/>
  <c r="AO716" i="3"/>
  <c r="AO715" i="3"/>
  <c r="AO714" i="3"/>
  <c r="AO713" i="3"/>
  <c r="AO712" i="3"/>
  <c r="AO711" i="3"/>
  <c r="AO710" i="3"/>
  <c r="AO709" i="3"/>
  <c r="AO708" i="3"/>
  <c r="AO707" i="3"/>
  <c r="AO706" i="3"/>
  <c r="AO705" i="3"/>
  <c r="AO704" i="3"/>
  <c r="AO703" i="3"/>
  <c r="AO702" i="3"/>
  <c r="AO701" i="3"/>
  <c r="AO700" i="3"/>
  <c r="AO699" i="3"/>
  <c r="AO698" i="3"/>
  <c r="AO697" i="3"/>
  <c r="AO696" i="3"/>
  <c r="AO695" i="3"/>
  <c r="AO694" i="3"/>
  <c r="AO693" i="3"/>
  <c r="AO692" i="3"/>
  <c r="AO691" i="3"/>
  <c r="AO690" i="3"/>
  <c r="AO689" i="3"/>
  <c r="AO688" i="3"/>
  <c r="AO687" i="3"/>
  <c r="AO686" i="3"/>
  <c r="AO685" i="3"/>
  <c r="AO684" i="3"/>
  <c r="AO683" i="3"/>
  <c r="AO682" i="3"/>
  <c r="AO681" i="3"/>
  <c r="AO680" i="3"/>
  <c r="AO679" i="3"/>
  <c r="AO678" i="3"/>
  <c r="AO677" i="3"/>
  <c r="AO676" i="3"/>
  <c r="AO675" i="3"/>
  <c r="AO674" i="3"/>
  <c r="AO673" i="3"/>
  <c r="AO672" i="3"/>
  <c r="AO671" i="3"/>
  <c r="AO670" i="3"/>
  <c r="AO669" i="3"/>
  <c r="AO668" i="3"/>
  <c r="AO667" i="3"/>
  <c r="AO666" i="3"/>
  <c r="AO665" i="3"/>
  <c r="AO664" i="3"/>
  <c r="AO663" i="3"/>
  <c r="AO662" i="3"/>
  <c r="AO661" i="3"/>
  <c r="AO660" i="3"/>
  <c r="AO659" i="3"/>
  <c r="AO658" i="3"/>
  <c r="AO657" i="3"/>
  <c r="AO656" i="3"/>
  <c r="AO655" i="3"/>
  <c r="AO654" i="3"/>
  <c r="AO653" i="3"/>
  <c r="AO652" i="3"/>
  <c r="AO651" i="3"/>
  <c r="AO650" i="3"/>
  <c r="AO649" i="3"/>
  <c r="AO648" i="3"/>
  <c r="AO647" i="3"/>
  <c r="AO646" i="3"/>
  <c r="AO645" i="3"/>
  <c r="AO644" i="3"/>
  <c r="AO643" i="3"/>
  <c r="AO642" i="3"/>
  <c r="AO641" i="3"/>
  <c r="AO640" i="3"/>
  <c r="AO639" i="3"/>
  <c r="AO638" i="3"/>
  <c r="AO637" i="3"/>
  <c r="AO636" i="3"/>
  <c r="AO635" i="3"/>
  <c r="AO634" i="3"/>
  <c r="AO633" i="3"/>
  <c r="AO632" i="3"/>
  <c r="AO631" i="3"/>
  <c r="AO630" i="3"/>
  <c r="AO629" i="3"/>
  <c r="AO628" i="3"/>
  <c r="AO627" i="3"/>
  <c r="AO626" i="3"/>
  <c r="AO625" i="3"/>
  <c r="AO624" i="3"/>
  <c r="AO623" i="3"/>
  <c r="AO622" i="3"/>
  <c r="AO621" i="3"/>
  <c r="AO620" i="3"/>
  <c r="AO619" i="3"/>
  <c r="AO618" i="3"/>
  <c r="AO617" i="3"/>
  <c r="AO616" i="3"/>
  <c r="AO615" i="3"/>
  <c r="AO614" i="3"/>
  <c r="AO613" i="3"/>
  <c r="AO612" i="3"/>
  <c r="AO611" i="3"/>
  <c r="AO610" i="3"/>
  <c r="AO609" i="3"/>
  <c r="AO608" i="3"/>
  <c r="AO607" i="3"/>
  <c r="AO606" i="3"/>
  <c r="AO605" i="3"/>
  <c r="AO604" i="3"/>
  <c r="AO603" i="3"/>
  <c r="AO602" i="3"/>
  <c r="AO601" i="3"/>
  <c r="AO600" i="3"/>
  <c r="AO599" i="3"/>
  <c r="AO598" i="3"/>
  <c r="AO597" i="3"/>
  <c r="AO596" i="3"/>
  <c r="AO595" i="3"/>
  <c r="AO594" i="3"/>
  <c r="AO593" i="3"/>
  <c r="AO592" i="3"/>
  <c r="AO591" i="3"/>
  <c r="AO590" i="3"/>
  <c r="AO589" i="3"/>
  <c r="AO588" i="3"/>
  <c r="AO587" i="3"/>
  <c r="AO586" i="3"/>
  <c r="AO585" i="3"/>
  <c r="AO584" i="3"/>
  <c r="AO583" i="3"/>
  <c r="AO582" i="3"/>
  <c r="AO581" i="3"/>
  <c r="AO580" i="3"/>
  <c r="AO579" i="3"/>
  <c r="AO578" i="3"/>
  <c r="AO577" i="3"/>
  <c r="AO576" i="3"/>
  <c r="AO575" i="3"/>
  <c r="AO574" i="3"/>
  <c r="AO573" i="3"/>
  <c r="AO572" i="3"/>
  <c r="AO571" i="3"/>
  <c r="AO570" i="3"/>
  <c r="AO569" i="3"/>
  <c r="AO568" i="3"/>
  <c r="AO567" i="3"/>
  <c r="AO566" i="3"/>
  <c r="AO565" i="3"/>
  <c r="AO564" i="3"/>
  <c r="AO563" i="3"/>
  <c r="AO562" i="3"/>
  <c r="AO561" i="3"/>
  <c r="AO560" i="3"/>
  <c r="AO559" i="3"/>
  <c r="AO558" i="3"/>
  <c r="AO557" i="3"/>
  <c r="AO556" i="3"/>
  <c r="AO555" i="3"/>
  <c r="AO554" i="3"/>
  <c r="AO553" i="3"/>
  <c r="AO552" i="3"/>
  <c r="AO551" i="3"/>
  <c r="AO550" i="3"/>
  <c r="AO549" i="3"/>
  <c r="AO548" i="3"/>
  <c r="AO547" i="3"/>
  <c r="AO546" i="3"/>
  <c r="AO545" i="3"/>
  <c r="AO544" i="3"/>
  <c r="AO543" i="3"/>
  <c r="AO542" i="3"/>
  <c r="AO541" i="3"/>
  <c r="AO540" i="3"/>
  <c r="AO539" i="3"/>
  <c r="AO538" i="3"/>
  <c r="AO537" i="3"/>
  <c r="AO536" i="3"/>
  <c r="AO535" i="3"/>
  <c r="AO534" i="3"/>
  <c r="AO533" i="3"/>
  <c r="AO532" i="3"/>
  <c r="AO531" i="3"/>
  <c r="AO530" i="3"/>
  <c r="AO529" i="3"/>
  <c r="AO528" i="3"/>
  <c r="AO527" i="3"/>
  <c r="AO526" i="3"/>
  <c r="AO525" i="3"/>
  <c r="AO524" i="3"/>
  <c r="AO523" i="3"/>
  <c r="AO522" i="3"/>
  <c r="AO521" i="3"/>
  <c r="AO520" i="3"/>
  <c r="AO519" i="3"/>
  <c r="AO518" i="3"/>
  <c r="AO517" i="3"/>
  <c r="AO516" i="3"/>
  <c r="AO515" i="3"/>
  <c r="AO514" i="3"/>
  <c r="AO513" i="3"/>
  <c r="AO512" i="3"/>
  <c r="AO511" i="3"/>
  <c r="AO510" i="3"/>
  <c r="AO509" i="3"/>
  <c r="AO508" i="3"/>
  <c r="AO507" i="3"/>
  <c r="AO506" i="3"/>
  <c r="AO505" i="3"/>
  <c r="AO504" i="3"/>
  <c r="AO503" i="3"/>
  <c r="AO502" i="3"/>
  <c r="AO501" i="3"/>
  <c r="AO500" i="3"/>
  <c r="AO499" i="3"/>
  <c r="AO498" i="3"/>
  <c r="AO497" i="3"/>
  <c r="AO496" i="3"/>
  <c r="AO495" i="3"/>
  <c r="AO494" i="3"/>
  <c r="AO493" i="3"/>
  <c r="AO492" i="3"/>
  <c r="AO491" i="3"/>
  <c r="AO490" i="3"/>
  <c r="AO489" i="3"/>
  <c r="AO488" i="3"/>
  <c r="AO487" i="3"/>
  <c r="AO486" i="3"/>
  <c r="AO485" i="3"/>
  <c r="AO484" i="3"/>
  <c r="AO483" i="3"/>
  <c r="AO482" i="3"/>
  <c r="AO481" i="3"/>
  <c r="AO480" i="3"/>
  <c r="AO479" i="3"/>
  <c r="AO478" i="3"/>
  <c r="AO477" i="3"/>
  <c r="AO476" i="3"/>
  <c r="AO475" i="3"/>
  <c r="AO474" i="3"/>
  <c r="AO473" i="3"/>
  <c r="AO472" i="3"/>
  <c r="AO471" i="3"/>
  <c r="AO470" i="3"/>
  <c r="AO469" i="3"/>
  <c r="AO468" i="3"/>
  <c r="AO467" i="3"/>
  <c r="AO466" i="3"/>
  <c r="AO465" i="3"/>
  <c r="AO464" i="3"/>
  <c r="AO463" i="3"/>
  <c r="AO462" i="3"/>
  <c r="AO461" i="3"/>
  <c r="AO460" i="3"/>
  <c r="AO459" i="3"/>
  <c r="AO458" i="3"/>
  <c r="AO457" i="3"/>
  <c r="AO456" i="3"/>
  <c r="AO455" i="3"/>
  <c r="AO454" i="3"/>
  <c r="AO453" i="3"/>
  <c r="AO452" i="3"/>
  <c r="AO451" i="3"/>
  <c r="AO450" i="3"/>
  <c r="AO449" i="3"/>
  <c r="AO448" i="3"/>
  <c r="AO447" i="3"/>
  <c r="AO446" i="3"/>
  <c r="AO445" i="3"/>
  <c r="AO444" i="3"/>
  <c r="AO443" i="3"/>
  <c r="AO442" i="3"/>
  <c r="AO441" i="3"/>
  <c r="AO440" i="3"/>
  <c r="AO439" i="3"/>
  <c r="AO438" i="3"/>
  <c r="AO437" i="3"/>
  <c r="AO436" i="3"/>
  <c r="AO435" i="3"/>
  <c r="AO434" i="3"/>
  <c r="AO433" i="3"/>
  <c r="AO432" i="3"/>
  <c r="AO431" i="3"/>
  <c r="AO430" i="3"/>
  <c r="AO429" i="3"/>
  <c r="AO428" i="3"/>
  <c r="AO427" i="3"/>
  <c r="AO426" i="3"/>
  <c r="AO425" i="3"/>
  <c r="AO424" i="3"/>
  <c r="AO423" i="3"/>
  <c r="AO422" i="3"/>
  <c r="AO421" i="3"/>
  <c r="AO420" i="3"/>
  <c r="AO419" i="3"/>
  <c r="AO418" i="3"/>
  <c r="AO417" i="3"/>
  <c r="AO416" i="3"/>
  <c r="AO415" i="3"/>
  <c r="AO414" i="3"/>
  <c r="AO413" i="3"/>
  <c r="AO412" i="3"/>
  <c r="AO411" i="3"/>
  <c r="AO410" i="3"/>
  <c r="AO409" i="3"/>
  <c r="AO408" i="3"/>
  <c r="AO407" i="3"/>
  <c r="AO406" i="3"/>
  <c r="AO405" i="3"/>
  <c r="AO404" i="3"/>
  <c r="AO403" i="3"/>
  <c r="AO402" i="3"/>
  <c r="AO401" i="3"/>
  <c r="AO400" i="3"/>
  <c r="AO399" i="3"/>
  <c r="AO398" i="3"/>
  <c r="AO397" i="3"/>
  <c r="AO396" i="3"/>
  <c r="AO395" i="3"/>
  <c r="AO394" i="3"/>
  <c r="AO393" i="3"/>
  <c r="AO392" i="3"/>
  <c r="AO391" i="3"/>
  <c r="AO390" i="3"/>
  <c r="AO389" i="3"/>
  <c r="AO388" i="3"/>
  <c r="AO387" i="3"/>
  <c r="AO386" i="3"/>
  <c r="AO385" i="3"/>
  <c r="AO384" i="3"/>
  <c r="AO383" i="3"/>
  <c r="AO382" i="3"/>
  <c r="AO381" i="3"/>
  <c r="AO380" i="3"/>
  <c r="AO379" i="3"/>
  <c r="AO378" i="3"/>
  <c r="AO377" i="3"/>
  <c r="AO376" i="3"/>
  <c r="AO375" i="3"/>
  <c r="AO374" i="3"/>
  <c r="AO373" i="3"/>
  <c r="AO372" i="3"/>
  <c r="AO371" i="3"/>
  <c r="AO370" i="3"/>
  <c r="AO369" i="3"/>
  <c r="AO368" i="3"/>
  <c r="AO367" i="3"/>
  <c r="AO366" i="3"/>
  <c r="AO365" i="3"/>
  <c r="AO364" i="3"/>
  <c r="AO363" i="3"/>
  <c r="AO362" i="3"/>
  <c r="AO361" i="3"/>
  <c r="AO360" i="3"/>
  <c r="AO359" i="3"/>
  <c r="AO358" i="3"/>
  <c r="AO357" i="3"/>
  <c r="AO356" i="3"/>
  <c r="AO355" i="3"/>
  <c r="AO354" i="3"/>
  <c r="AO353" i="3"/>
  <c r="AO352" i="3"/>
  <c r="AO351" i="3"/>
  <c r="AO350" i="3"/>
  <c r="AO349" i="3"/>
  <c r="AO348" i="3"/>
  <c r="AO347" i="3"/>
  <c r="AO346" i="3"/>
  <c r="AO345" i="3"/>
  <c r="AO344" i="3"/>
  <c r="AO343" i="3"/>
  <c r="AO342" i="3"/>
  <c r="AO341" i="3"/>
  <c r="AO340" i="3"/>
  <c r="AO339" i="3"/>
  <c r="AO338" i="3"/>
  <c r="AO337" i="3"/>
  <c r="AO336" i="3"/>
  <c r="AO335" i="3"/>
  <c r="AO334" i="3"/>
  <c r="AO333" i="3"/>
  <c r="AO332" i="3"/>
  <c r="AO331" i="3"/>
  <c r="AO330" i="3"/>
  <c r="AO329" i="3"/>
  <c r="AO328" i="3"/>
  <c r="AO327" i="3"/>
  <c r="AO326" i="3"/>
  <c r="AO325" i="3"/>
  <c r="AO324" i="3"/>
  <c r="AO323" i="3"/>
  <c r="AO322" i="3"/>
  <c r="AO321" i="3"/>
  <c r="AO320" i="3"/>
  <c r="AO319" i="3"/>
  <c r="AO318" i="3"/>
  <c r="AO317" i="3"/>
  <c r="AO316" i="3"/>
  <c r="AO315" i="3"/>
  <c r="AO314" i="3"/>
  <c r="AO313" i="3"/>
  <c r="AO312" i="3"/>
  <c r="AO311" i="3"/>
  <c r="AO310" i="3"/>
  <c r="AO309" i="3"/>
  <c r="AO308" i="3"/>
  <c r="AO307" i="3"/>
  <c r="AO306" i="3"/>
  <c r="AO305" i="3"/>
  <c r="AO304" i="3"/>
  <c r="AO303" i="3"/>
  <c r="AO302" i="3"/>
  <c r="AO301" i="3"/>
  <c r="AO300" i="3"/>
  <c r="AO299" i="3"/>
  <c r="AO298" i="3"/>
  <c r="AO297" i="3"/>
  <c r="AO296" i="3"/>
  <c r="AO295" i="3"/>
  <c r="AO294" i="3"/>
  <c r="AO293" i="3"/>
  <c r="AO292" i="3"/>
  <c r="AO291" i="3"/>
  <c r="AO290" i="3"/>
  <c r="AO289" i="3"/>
  <c r="AO288" i="3"/>
  <c r="AO287" i="3"/>
  <c r="AO286" i="3"/>
  <c r="AO285" i="3"/>
  <c r="AO284" i="3"/>
  <c r="AO283" i="3"/>
  <c r="AO282" i="3"/>
  <c r="AO281" i="3"/>
  <c r="AO280" i="3"/>
  <c r="AO279" i="3"/>
  <c r="AO278" i="3"/>
  <c r="AO277" i="3"/>
  <c r="AO276" i="3"/>
  <c r="AO275" i="3"/>
  <c r="AO274" i="3"/>
  <c r="AO273" i="3"/>
  <c r="AO272" i="3"/>
  <c r="AO271" i="3"/>
  <c r="AO270" i="3"/>
  <c r="AO269" i="3"/>
  <c r="AO268" i="3"/>
  <c r="AO267" i="3"/>
  <c r="AO266" i="3"/>
  <c r="AO265" i="3"/>
  <c r="AO264" i="3"/>
  <c r="AO263" i="3"/>
  <c r="AO262" i="3"/>
  <c r="AO261" i="3"/>
  <c r="AO260" i="3"/>
  <c r="AO259" i="3"/>
  <c r="AO258" i="3"/>
  <c r="AO257" i="3"/>
  <c r="AO256" i="3"/>
  <c r="AO255" i="3"/>
  <c r="AO254" i="3"/>
  <c r="AO253" i="3"/>
  <c r="AO252" i="3"/>
  <c r="AO251" i="3"/>
  <c r="AO250" i="3"/>
  <c r="AO249" i="3"/>
  <c r="AO248" i="3"/>
  <c r="AO247" i="3"/>
  <c r="AO246" i="3"/>
  <c r="AO245" i="3"/>
  <c r="AO244" i="3"/>
  <c r="AO243" i="3"/>
  <c r="AO242" i="3"/>
  <c r="AO241" i="3"/>
  <c r="AO240" i="3"/>
  <c r="AO239" i="3"/>
  <c r="AO238" i="3"/>
  <c r="AO237" i="3"/>
  <c r="AO236" i="3"/>
  <c r="AO235" i="3"/>
  <c r="AO234" i="3"/>
  <c r="AO233" i="3"/>
  <c r="AO232" i="3"/>
  <c r="AO231" i="3"/>
  <c r="AO230" i="3"/>
  <c r="AO229" i="3"/>
  <c r="AO228" i="3"/>
  <c r="AO227" i="3"/>
  <c r="AO226" i="3"/>
  <c r="AO225" i="3"/>
  <c r="AO224" i="3"/>
  <c r="AO223" i="3"/>
  <c r="AO222" i="3"/>
  <c r="AO221" i="3"/>
  <c r="AO220" i="3"/>
  <c r="AO219" i="3"/>
  <c r="AO218" i="3"/>
  <c r="AO217" i="3"/>
  <c r="AO216" i="3"/>
  <c r="AO215" i="3"/>
  <c r="AO214" i="3"/>
  <c r="AO213" i="3"/>
  <c r="AO212" i="3"/>
  <c r="AO211" i="3"/>
  <c r="AO210" i="3"/>
  <c r="AO209" i="3"/>
  <c r="AO208" i="3"/>
  <c r="AO207" i="3"/>
  <c r="AO206" i="3"/>
  <c r="AO205" i="3"/>
  <c r="AO204" i="3"/>
  <c r="AO203" i="3"/>
  <c r="AO202" i="3"/>
  <c r="AO201" i="3"/>
  <c r="AO200" i="3"/>
  <c r="AO199" i="3"/>
  <c r="AO198" i="3"/>
  <c r="AO197" i="3"/>
  <c r="AO196" i="3"/>
  <c r="AO195" i="3"/>
  <c r="AO194" i="3"/>
  <c r="AO193" i="3"/>
  <c r="AO192" i="3"/>
  <c r="AO191" i="3"/>
  <c r="AO190" i="3"/>
  <c r="AO189" i="3"/>
  <c r="AO188" i="3"/>
  <c r="AO187" i="3"/>
  <c r="AO186" i="3"/>
  <c r="AO185" i="3"/>
  <c r="AO184" i="3"/>
  <c r="AO183" i="3"/>
  <c r="AO182" i="3"/>
  <c r="AO181" i="3"/>
  <c r="AO180" i="3"/>
  <c r="AO179" i="3"/>
  <c r="AO178" i="3"/>
  <c r="AO177" i="3"/>
  <c r="AO176" i="3"/>
  <c r="AO175" i="3"/>
  <c r="AO174" i="3"/>
  <c r="AO173" i="3"/>
  <c r="AO172" i="3"/>
  <c r="AO171" i="3"/>
  <c r="AO170" i="3"/>
  <c r="AO169" i="3"/>
  <c r="AO168" i="3"/>
  <c r="AO167" i="3"/>
  <c r="AO166" i="3"/>
  <c r="AO165" i="3"/>
  <c r="AO164" i="3"/>
  <c r="AO163" i="3"/>
  <c r="AO162" i="3"/>
  <c r="AO161" i="3"/>
  <c r="AO160" i="3"/>
  <c r="AO159" i="3"/>
  <c r="AO158" i="3"/>
  <c r="AO157" i="3"/>
  <c r="AO156" i="3"/>
  <c r="AO155" i="3"/>
  <c r="AO154" i="3"/>
  <c r="AO153" i="3"/>
  <c r="AO152" i="3"/>
  <c r="AO151" i="3"/>
  <c r="AO150" i="3"/>
  <c r="AO149" i="3"/>
  <c r="AO148" i="3"/>
  <c r="AO147" i="3"/>
  <c r="AO146" i="3"/>
  <c r="AO145" i="3"/>
  <c r="AO144" i="3"/>
  <c r="AO143" i="3"/>
  <c r="AO142" i="3"/>
  <c r="AO141" i="3"/>
  <c r="AO140" i="3"/>
  <c r="AO139" i="3"/>
  <c r="AO138" i="3"/>
  <c r="AO137" i="3"/>
  <c r="AO136" i="3"/>
  <c r="AO135" i="3"/>
  <c r="AO134" i="3"/>
  <c r="AO133" i="3"/>
  <c r="AO132" i="3"/>
  <c r="AO131" i="3"/>
  <c r="AO130" i="3"/>
  <c r="AO129" i="3"/>
  <c r="AO128" i="3"/>
  <c r="AO127" i="3"/>
  <c r="AO126" i="3"/>
  <c r="AO125" i="3"/>
  <c r="AO124" i="3"/>
  <c r="AO123" i="3"/>
  <c r="AO122" i="3"/>
  <c r="AO121" i="3"/>
  <c r="AO120" i="3"/>
  <c r="AO119" i="3"/>
  <c r="AO118" i="3"/>
  <c r="AO117" i="3"/>
  <c r="AO116" i="3"/>
  <c r="AO115" i="3"/>
  <c r="AO114" i="3"/>
  <c r="AO113" i="3"/>
  <c r="AO112" i="3"/>
  <c r="AO111" i="3"/>
  <c r="AO110" i="3"/>
  <c r="AO109" i="3"/>
  <c r="AO108" i="3"/>
  <c r="AO107" i="3"/>
  <c r="AO106" i="3"/>
  <c r="AO105" i="3"/>
  <c r="AO104" i="3"/>
  <c r="AO103" i="3"/>
  <c r="AO102" i="3"/>
  <c r="AO101" i="3"/>
  <c r="AO100" i="3"/>
  <c r="AO99" i="3"/>
  <c r="AO98" i="3"/>
  <c r="AO97" i="3"/>
  <c r="AO96" i="3"/>
  <c r="AO95" i="3"/>
  <c r="AO94" i="3"/>
  <c r="AO93" i="3"/>
  <c r="AO92" i="3"/>
  <c r="AO91" i="3"/>
  <c r="AO90" i="3"/>
  <c r="AO89" i="3"/>
  <c r="AO88" i="3"/>
  <c r="AO87" i="3"/>
  <c r="AO86" i="3"/>
  <c r="AO85" i="3"/>
  <c r="AO84" i="3"/>
  <c r="AO83" i="3"/>
  <c r="AO82" i="3"/>
  <c r="AO81" i="3"/>
  <c r="AO80" i="3"/>
  <c r="AO79" i="3"/>
  <c r="AO78" i="3"/>
  <c r="AO77" i="3"/>
  <c r="AO76" i="3"/>
  <c r="AO75" i="3"/>
  <c r="AO74" i="3"/>
  <c r="AO73" i="3"/>
  <c r="AO72" i="3"/>
  <c r="AO71" i="3"/>
  <c r="AO70" i="3"/>
  <c r="AO69" i="3"/>
  <c r="AO68" i="3"/>
  <c r="AO67" i="3"/>
  <c r="AO66" i="3"/>
  <c r="AO65" i="3"/>
  <c r="AO64" i="3"/>
  <c r="AO63" i="3"/>
  <c r="AO62" i="3"/>
  <c r="AO61" i="3"/>
  <c r="AO60" i="3"/>
  <c r="AO59" i="3"/>
  <c r="AO58" i="3"/>
  <c r="AO57" i="3"/>
  <c r="AO56" i="3"/>
  <c r="AO55" i="3"/>
  <c r="AO54" i="3"/>
  <c r="AO53" i="3"/>
  <c r="AO52" i="3"/>
  <c r="AO51" i="3"/>
  <c r="AO50" i="3"/>
  <c r="AO49" i="3"/>
  <c r="AO48" i="3"/>
  <c r="AO47" i="3"/>
  <c r="AO46" i="3"/>
  <c r="AO45" i="3"/>
  <c r="AO44" i="3"/>
  <c r="AO43" i="3"/>
  <c r="AO42" i="3"/>
  <c r="AO41" i="3"/>
  <c r="AO40" i="3"/>
  <c r="AO39" i="3"/>
  <c r="AO38" i="3"/>
  <c r="AO37" i="3"/>
  <c r="AO36" i="3"/>
  <c r="AO35" i="3"/>
  <c r="AO34" i="3"/>
  <c r="AO33" i="3"/>
  <c r="AO32" i="3"/>
  <c r="AO31" i="3"/>
  <c r="AO30" i="3"/>
  <c r="AO29" i="3"/>
  <c r="AO28" i="3"/>
  <c r="AO27" i="3"/>
  <c r="AO26" i="3"/>
  <c r="AO25" i="3"/>
  <c r="AO24" i="3"/>
  <c r="AO23" i="3"/>
  <c r="AO22" i="3"/>
  <c r="AO21" i="3"/>
  <c r="AO20" i="3"/>
  <c r="AO19" i="3"/>
  <c r="AO18" i="3"/>
  <c r="AO17" i="3"/>
  <c r="AO16" i="3"/>
  <c r="AO15" i="3"/>
  <c r="AO14" i="3"/>
  <c r="AO13" i="3"/>
  <c r="AE1012" i="3"/>
  <c r="AE1011" i="3"/>
  <c r="AE1010" i="3"/>
  <c r="AE1009" i="3"/>
  <c r="AE1008" i="3"/>
  <c r="AE1007" i="3"/>
  <c r="AE1006" i="3"/>
  <c r="AE1005" i="3"/>
  <c r="AE1004" i="3"/>
  <c r="AE1003" i="3"/>
  <c r="AE1002" i="3"/>
  <c r="AE1001" i="3"/>
  <c r="AE1000" i="3"/>
  <c r="AE999" i="3"/>
  <c r="AE998" i="3"/>
  <c r="AE997" i="3"/>
  <c r="AE996" i="3"/>
  <c r="AE995" i="3"/>
  <c r="AE994" i="3"/>
  <c r="AE993" i="3"/>
  <c r="AE992" i="3"/>
  <c r="AE991" i="3"/>
  <c r="AE990" i="3"/>
  <c r="AE989" i="3"/>
  <c r="AE988" i="3"/>
  <c r="AE987" i="3"/>
  <c r="AE986" i="3"/>
  <c r="AE985" i="3"/>
  <c r="AE984" i="3"/>
  <c r="AE983" i="3"/>
  <c r="AE982" i="3"/>
  <c r="AE981" i="3"/>
  <c r="AE980" i="3"/>
  <c r="AE979" i="3"/>
  <c r="AE978" i="3"/>
  <c r="AE977" i="3"/>
  <c r="AE976" i="3"/>
  <c r="AE975" i="3"/>
  <c r="AE974" i="3"/>
  <c r="AE973" i="3"/>
  <c r="AE972" i="3"/>
  <c r="AE971" i="3"/>
  <c r="AE970" i="3"/>
  <c r="AE969" i="3"/>
  <c r="AE968" i="3"/>
  <c r="AE967" i="3"/>
  <c r="AE966" i="3"/>
  <c r="AE965" i="3"/>
  <c r="AE964" i="3"/>
  <c r="AE963" i="3"/>
  <c r="AE962" i="3"/>
  <c r="AE961" i="3"/>
  <c r="AE960" i="3"/>
  <c r="AE959" i="3"/>
  <c r="AE958" i="3"/>
  <c r="AE957" i="3"/>
  <c r="AE956" i="3"/>
  <c r="AE955" i="3"/>
  <c r="AE954" i="3"/>
  <c r="AE953" i="3"/>
  <c r="AE952" i="3"/>
  <c r="AE951" i="3"/>
  <c r="AE950" i="3"/>
  <c r="AE949" i="3"/>
  <c r="AE948" i="3"/>
  <c r="AE947" i="3"/>
  <c r="AE946" i="3"/>
  <c r="AE945" i="3"/>
  <c r="AE944" i="3"/>
  <c r="AE943" i="3"/>
  <c r="AE942" i="3"/>
  <c r="AE941" i="3"/>
  <c r="AE940" i="3"/>
  <c r="AE939" i="3"/>
  <c r="AE938" i="3"/>
  <c r="AE937" i="3"/>
  <c r="AE936" i="3"/>
  <c r="AE935" i="3"/>
  <c r="AE934" i="3"/>
  <c r="AE933" i="3"/>
  <c r="AE932" i="3"/>
  <c r="AE931" i="3"/>
  <c r="AE930" i="3"/>
  <c r="AE929" i="3"/>
  <c r="AE928" i="3"/>
  <c r="AE927" i="3"/>
  <c r="AE926" i="3"/>
  <c r="AE925" i="3"/>
  <c r="AE924" i="3"/>
  <c r="AE923" i="3"/>
  <c r="AE922" i="3"/>
  <c r="AE921" i="3"/>
  <c r="AE920" i="3"/>
  <c r="AE919" i="3"/>
  <c r="AE918" i="3"/>
  <c r="AE917" i="3"/>
  <c r="AE916" i="3"/>
  <c r="AE915" i="3"/>
  <c r="AE914" i="3"/>
  <c r="AE913" i="3"/>
  <c r="AE912" i="3"/>
  <c r="AE911" i="3"/>
  <c r="AE910" i="3"/>
  <c r="AE909" i="3"/>
  <c r="AE908" i="3"/>
  <c r="AE907" i="3"/>
  <c r="AE906" i="3"/>
  <c r="AE905" i="3"/>
  <c r="AE904" i="3"/>
  <c r="AE903" i="3"/>
  <c r="AE902" i="3"/>
  <c r="AE901" i="3"/>
  <c r="AE900" i="3"/>
  <c r="AE899" i="3"/>
  <c r="AE898" i="3"/>
  <c r="AE897" i="3"/>
  <c r="AE896" i="3"/>
  <c r="AE895" i="3"/>
  <c r="AE894" i="3"/>
  <c r="AE893" i="3"/>
  <c r="AE892" i="3"/>
  <c r="AE891" i="3"/>
  <c r="AE890" i="3"/>
  <c r="AE889" i="3"/>
  <c r="AE888" i="3"/>
  <c r="AE887" i="3"/>
  <c r="AE886" i="3"/>
  <c r="AE885" i="3"/>
  <c r="AE884" i="3"/>
  <c r="AE883" i="3"/>
  <c r="AE882" i="3"/>
  <c r="AE881" i="3"/>
  <c r="AE880" i="3"/>
  <c r="AE879" i="3"/>
  <c r="AE878" i="3"/>
  <c r="AE877" i="3"/>
  <c r="AE876" i="3"/>
  <c r="AE875" i="3"/>
  <c r="AE874" i="3"/>
  <c r="AE873" i="3"/>
  <c r="AE872" i="3"/>
  <c r="AE871" i="3"/>
  <c r="AE870" i="3"/>
  <c r="AE869" i="3"/>
  <c r="AE868" i="3"/>
  <c r="AE867" i="3"/>
  <c r="AE866" i="3"/>
  <c r="AE865" i="3"/>
  <c r="AE864" i="3"/>
  <c r="AE863" i="3"/>
  <c r="AE862" i="3"/>
  <c r="AE861" i="3"/>
  <c r="AE860" i="3"/>
  <c r="AE859" i="3"/>
  <c r="AE858" i="3"/>
  <c r="AE857" i="3"/>
  <c r="AE856" i="3"/>
  <c r="AE855" i="3"/>
  <c r="AE854" i="3"/>
  <c r="AE853" i="3"/>
  <c r="AE852" i="3"/>
  <c r="AE851" i="3"/>
  <c r="AE850" i="3"/>
  <c r="AE849" i="3"/>
  <c r="AE848" i="3"/>
  <c r="AE847" i="3"/>
  <c r="AE846" i="3"/>
  <c r="AE845" i="3"/>
  <c r="AE844" i="3"/>
  <c r="AE843" i="3"/>
  <c r="AE842" i="3"/>
  <c r="AE841" i="3"/>
  <c r="AE840" i="3"/>
  <c r="AE839" i="3"/>
  <c r="AE838" i="3"/>
  <c r="AE837" i="3"/>
  <c r="AE836" i="3"/>
  <c r="AE835" i="3"/>
  <c r="AE834" i="3"/>
  <c r="AE833" i="3"/>
  <c r="AE832" i="3"/>
  <c r="AE831" i="3"/>
  <c r="AE830" i="3"/>
  <c r="AE829" i="3"/>
  <c r="AE828" i="3"/>
  <c r="AE827" i="3"/>
  <c r="AE826" i="3"/>
  <c r="AE825" i="3"/>
  <c r="AE824" i="3"/>
  <c r="AE823" i="3"/>
  <c r="AE822" i="3"/>
  <c r="AE821" i="3"/>
  <c r="AE820" i="3"/>
  <c r="AE819" i="3"/>
  <c r="AE818" i="3"/>
  <c r="AE817" i="3"/>
  <c r="AE816" i="3"/>
  <c r="AE815" i="3"/>
  <c r="AE814" i="3"/>
  <c r="AE813" i="3"/>
  <c r="AE812" i="3"/>
  <c r="AE811" i="3"/>
  <c r="AE810" i="3"/>
  <c r="AE809" i="3"/>
  <c r="AE808" i="3"/>
  <c r="AE807" i="3"/>
  <c r="AE806" i="3"/>
  <c r="AE805" i="3"/>
  <c r="AE804" i="3"/>
  <c r="AE803" i="3"/>
  <c r="AE802" i="3"/>
  <c r="AE801" i="3"/>
  <c r="AE800" i="3"/>
  <c r="AE799" i="3"/>
  <c r="AE798" i="3"/>
  <c r="AE797" i="3"/>
  <c r="AE796" i="3"/>
  <c r="AE795" i="3"/>
  <c r="AE794" i="3"/>
  <c r="AE793" i="3"/>
  <c r="AE792" i="3"/>
  <c r="AE791" i="3"/>
  <c r="AE790" i="3"/>
  <c r="AE789" i="3"/>
  <c r="AE788" i="3"/>
  <c r="AE787" i="3"/>
  <c r="AE786" i="3"/>
  <c r="AE785" i="3"/>
  <c r="AE784" i="3"/>
  <c r="AE783" i="3"/>
  <c r="AE782" i="3"/>
  <c r="AE781" i="3"/>
  <c r="AE780" i="3"/>
  <c r="AE779" i="3"/>
  <c r="AE778" i="3"/>
  <c r="AE777" i="3"/>
  <c r="AE776" i="3"/>
  <c r="AE775" i="3"/>
  <c r="AE774" i="3"/>
  <c r="AE773" i="3"/>
  <c r="AE772" i="3"/>
  <c r="AE771" i="3"/>
  <c r="AE770" i="3"/>
  <c r="AE769" i="3"/>
  <c r="AE768" i="3"/>
  <c r="AE767" i="3"/>
  <c r="AE766" i="3"/>
  <c r="AE765" i="3"/>
  <c r="AE764" i="3"/>
  <c r="AE763" i="3"/>
  <c r="AE762" i="3"/>
  <c r="AE761" i="3"/>
  <c r="AE760" i="3"/>
  <c r="AE759" i="3"/>
  <c r="AE758" i="3"/>
  <c r="AE757" i="3"/>
  <c r="AE756" i="3"/>
  <c r="AE755" i="3"/>
  <c r="AE754" i="3"/>
  <c r="AE753" i="3"/>
  <c r="AE752" i="3"/>
  <c r="AE751" i="3"/>
  <c r="AE750" i="3"/>
  <c r="AE749" i="3"/>
  <c r="AE748" i="3"/>
  <c r="AE747" i="3"/>
  <c r="AE746" i="3"/>
  <c r="AE745" i="3"/>
  <c r="AE744" i="3"/>
  <c r="AE743" i="3"/>
  <c r="AE742" i="3"/>
  <c r="AE741" i="3"/>
  <c r="AE740" i="3"/>
  <c r="AE739" i="3"/>
  <c r="AE738" i="3"/>
  <c r="AE737" i="3"/>
  <c r="AE736" i="3"/>
  <c r="AE735" i="3"/>
  <c r="AE734" i="3"/>
  <c r="AE733" i="3"/>
  <c r="AE732" i="3"/>
  <c r="AE731" i="3"/>
  <c r="AE730" i="3"/>
  <c r="AE729" i="3"/>
  <c r="AE728" i="3"/>
  <c r="AE727" i="3"/>
  <c r="AE726" i="3"/>
  <c r="AE725" i="3"/>
  <c r="AE724" i="3"/>
  <c r="AE723" i="3"/>
  <c r="AE722" i="3"/>
  <c r="AE721" i="3"/>
  <c r="AE720" i="3"/>
  <c r="AE719" i="3"/>
  <c r="AE718" i="3"/>
  <c r="AE717" i="3"/>
  <c r="AE716" i="3"/>
  <c r="AE715" i="3"/>
  <c r="AE714" i="3"/>
  <c r="AE713" i="3"/>
  <c r="AE712" i="3"/>
  <c r="AE711" i="3"/>
  <c r="AE710" i="3"/>
  <c r="AE709" i="3"/>
  <c r="AE708" i="3"/>
  <c r="AE707" i="3"/>
  <c r="AE706" i="3"/>
  <c r="AE705" i="3"/>
  <c r="AE704" i="3"/>
  <c r="AE703" i="3"/>
  <c r="AE702" i="3"/>
  <c r="AE701" i="3"/>
  <c r="AE700" i="3"/>
  <c r="AE699" i="3"/>
  <c r="AE698" i="3"/>
  <c r="AE697" i="3"/>
  <c r="AE696" i="3"/>
  <c r="AE695" i="3"/>
  <c r="AE694" i="3"/>
  <c r="AE693" i="3"/>
  <c r="AE692" i="3"/>
  <c r="AE691" i="3"/>
  <c r="AE690" i="3"/>
  <c r="AE689" i="3"/>
  <c r="AE688" i="3"/>
  <c r="AE687" i="3"/>
  <c r="AE686" i="3"/>
  <c r="AE685" i="3"/>
  <c r="AE684" i="3"/>
  <c r="AE683" i="3"/>
  <c r="AE682" i="3"/>
  <c r="AE681" i="3"/>
  <c r="AE680" i="3"/>
  <c r="AE679" i="3"/>
  <c r="AE678" i="3"/>
  <c r="AE677" i="3"/>
  <c r="AE676" i="3"/>
  <c r="AE675" i="3"/>
  <c r="AE674" i="3"/>
  <c r="AE673" i="3"/>
  <c r="AE672" i="3"/>
  <c r="AE671" i="3"/>
  <c r="AE670" i="3"/>
  <c r="AE669" i="3"/>
  <c r="AE668" i="3"/>
  <c r="AE667" i="3"/>
  <c r="AE666" i="3"/>
  <c r="AE665" i="3"/>
  <c r="AE664" i="3"/>
  <c r="AE663" i="3"/>
  <c r="AE662" i="3"/>
  <c r="AE661" i="3"/>
  <c r="AE660" i="3"/>
  <c r="AE659" i="3"/>
  <c r="AE658" i="3"/>
  <c r="AE657" i="3"/>
  <c r="AE656" i="3"/>
  <c r="AE655" i="3"/>
  <c r="AE654" i="3"/>
  <c r="AE653" i="3"/>
  <c r="AE652" i="3"/>
  <c r="AE651" i="3"/>
  <c r="AE650" i="3"/>
  <c r="AE649" i="3"/>
  <c r="AE648" i="3"/>
  <c r="AE647" i="3"/>
  <c r="AE646" i="3"/>
  <c r="AE645" i="3"/>
  <c r="AE644" i="3"/>
  <c r="AE643" i="3"/>
  <c r="AE642" i="3"/>
  <c r="AE641" i="3"/>
  <c r="AE640" i="3"/>
  <c r="AE639" i="3"/>
  <c r="AE638" i="3"/>
  <c r="AE637" i="3"/>
  <c r="AE636" i="3"/>
  <c r="AE635" i="3"/>
  <c r="AE634" i="3"/>
  <c r="AE633" i="3"/>
  <c r="AE632" i="3"/>
  <c r="AE631" i="3"/>
  <c r="AE630" i="3"/>
  <c r="AE629" i="3"/>
  <c r="AE628" i="3"/>
  <c r="AE627" i="3"/>
  <c r="AE626" i="3"/>
  <c r="AE625" i="3"/>
  <c r="AE624" i="3"/>
  <c r="AE623" i="3"/>
  <c r="AE622" i="3"/>
  <c r="AE621" i="3"/>
  <c r="AE620" i="3"/>
  <c r="AE619" i="3"/>
  <c r="AE618" i="3"/>
  <c r="AE617" i="3"/>
  <c r="AE616" i="3"/>
  <c r="AE615" i="3"/>
  <c r="AE614" i="3"/>
  <c r="AE613" i="3"/>
  <c r="AE612" i="3"/>
  <c r="AE611" i="3"/>
  <c r="AE610" i="3"/>
  <c r="AE609" i="3"/>
  <c r="AE608" i="3"/>
  <c r="AE607" i="3"/>
  <c r="AE606" i="3"/>
  <c r="AE605" i="3"/>
  <c r="AE604" i="3"/>
  <c r="AE603" i="3"/>
  <c r="AE602" i="3"/>
  <c r="AE601" i="3"/>
  <c r="AE600" i="3"/>
  <c r="AE599" i="3"/>
  <c r="AE598" i="3"/>
  <c r="AE597" i="3"/>
  <c r="AE596" i="3"/>
  <c r="AE595" i="3"/>
  <c r="AE594" i="3"/>
  <c r="AE593" i="3"/>
  <c r="AE592" i="3"/>
  <c r="AE591" i="3"/>
  <c r="AE590" i="3"/>
  <c r="AE589" i="3"/>
  <c r="AE588" i="3"/>
  <c r="AE587" i="3"/>
  <c r="AE586" i="3"/>
  <c r="AE585" i="3"/>
  <c r="AE584" i="3"/>
  <c r="AE583" i="3"/>
  <c r="AE582" i="3"/>
  <c r="AE581" i="3"/>
  <c r="AE580" i="3"/>
  <c r="AE579" i="3"/>
  <c r="AE578" i="3"/>
  <c r="AE577" i="3"/>
  <c r="AE576" i="3"/>
  <c r="AE575" i="3"/>
  <c r="AE574" i="3"/>
  <c r="AE573" i="3"/>
  <c r="AE572" i="3"/>
  <c r="AE571" i="3"/>
  <c r="AE570" i="3"/>
  <c r="AE569" i="3"/>
  <c r="AE568" i="3"/>
  <c r="AE567" i="3"/>
  <c r="AE566" i="3"/>
  <c r="AE565" i="3"/>
  <c r="AE564" i="3"/>
  <c r="AE563" i="3"/>
  <c r="AE562" i="3"/>
  <c r="AE561" i="3"/>
  <c r="AE560" i="3"/>
  <c r="AE559" i="3"/>
  <c r="AE558" i="3"/>
  <c r="AE557" i="3"/>
  <c r="AE556" i="3"/>
  <c r="AE555" i="3"/>
  <c r="AE554" i="3"/>
  <c r="AE553" i="3"/>
  <c r="AE552" i="3"/>
  <c r="AE551" i="3"/>
  <c r="AE550" i="3"/>
  <c r="AE549" i="3"/>
  <c r="AE548" i="3"/>
  <c r="AE547" i="3"/>
  <c r="AE546" i="3"/>
  <c r="AE545" i="3"/>
  <c r="AE544" i="3"/>
  <c r="AE543" i="3"/>
  <c r="AE542" i="3"/>
  <c r="AE541" i="3"/>
  <c r="AE540" i="3"/>
  <c r="AE539" i="3"/>
  <c r="AE538" i="3"/>
  <c r="AE537" i="3"/>
  <c r="AE536" i="3"/>
  <c r="AE535" i="3"/>
  <c r="AE534" i="3"/>
  <c r="AE533" i="3"/>
  <c r="AE532" i="3"/>
  <c r="AE531" i="3"/>
  <c r="AE530" i="3"/>
  <c r="AE529" i="3"/>
  <c r="AE528" i="3"/>
  <c r="AE527" i="3"/>
  <c r="AE526" i="3"/>
  <c r="AE525" i="3"/>
  <c r="AE524" i="3"/>
  <c r="AE523" i="3"/>
  <c r="AE522" i="3"/>
  <c r="AE521" i="3"/>
  <c r="AE520" i="3"/>
  <c r="AE519" i="3"/>
  <c r="AE518" i="3"/>
  <c r="AE517" i="3"/>
  <c r="AE516" i="3"/>
  <c r="AE515" i="3"/>
  <c r="AE514" i="3"/>
  <c r="AE513" i="3"/>
  <c r="AE512" i="3"/>
  <c r="AE511" i="3"/>
  <c r="AE510" i="3"/>
  <c r="AE509" i="3"/>
  <c r="AE508" i="3"/>
  <c r="AE507" i="3"/>
  <c r="AE506" i="3"/>
  <c r="AE505" i="3"/>
  <c r="AE504" i="3"/>
  <c r="AE503" i="3"/>
  <c r="AE502" i="3"/>
  <c r="AE501" i="3"/>
  <c r="AE500" i="3"/>
  <c r="AE499" i="3"/>
  <c r="AE498" i="3"/>
  <c r="AE497" i="3"/>
  <c r="AE496" i="3"/>
  <c r="AE495" i="3"/>
  <c r="AE494" i="3"/>
  <c r="AE493" i="3"/>
  <c r="AE492" i="3"/>
  <c r="AE491" i="3"/>
  <c r="AE490" i="3"/>
  <c r="AE489" i="3"/>
  <c r="AE488" i="3"/>
  <c r="AE487" i="3"/>
  <c r="AE486" i="3"/>
  <c r="AE485" i="3"/>
  <c r="AE484" i="3"/>
  <c r="AE483" i="3"/>
  <c r="AE482" i="3"/>
  <c r="AE481" i="3"/>
  <c r="AE480" i="3"/>
  <c r="AE479" i="3"/>
  <c r="AE478" i="3"/>
  <c r="AE477" i="3"/>
  <c r="AE476" i="3"/>
  <c r="AE475" i="3"/>
  <c r="AE474" i="3"/>
  <c r="AE473" i="3"/>
  <c r="AE472" i="3"/>
  <c r="AE471" i="3"/>
  <c r="AE470" i="3"/>
  <c r="AE469" i="3"/>
  <c r="AE468" i="3"/>
  <c r="AE467" i="3"/>
  <c r="AE466" i="3"/>
  <c r="AE465" i="3"/>
  <c r="AE464" i="3"/>
  <c r="AE463" i="3"/>
  <c r="AE462" i="3"/>
  <c r="AE461" i="3"/>
  <c r="AE460" i="3"/>
  <c r="AE459" i="3"/>
  <c r="AE458" i="3"/>
  <c r="AE457" i="3"/>
  <c r="AE456" i="3"/>
  <c r="AE455" i="3"/>
  <c r="AE454" i="3"/>
  <c r="AE453" i="3"/>
  <c r="AE452" i="3"/>
  <c r="AE451" i="3"/>
  <c r="AE450" i="3"/>
  <c r="AE449" i="3"/>
  <c r="AE448" i="3"/>
  <c r="AE447" i="3"/>
  <c r="AE446" i="3"/>
  <c r="AE445" i="3"/>
  <c r="AE444" i="3"/>
  <c r="AE443" i="3"/>
  <c r="AE442" i="3"/>
  <c r="AE441" i="3"/>
  <c r="AE440" i="3"/>
  <c r="AE439" i="3"/>
  <c r="AE438" i="3"/>
  <c r="AE437" i="3"/>
  <c r="AE436" i="3"/>
  <c r="AE435" i="3"/>
  <c r="AE434" i="3"/>
  <c r="AE433" i="3"/>
  <c r="AE432" i="3"/>
  <c r="AE431" i="3"/>
  <c r="AE430" i="3"/>
  <c r="AE429" i="3"/>
  <c r="AE428" i="3"/>
  <c r="AE427" i="3"/>
  <c r="AE426" i="3"/>
  <c r="AE425" i="3"/>
  <c r="AE424" i="3"/>
  <c r="AE423" i="3"/>
  <c r="AE422" i="3"/>
  <c r="AE421" i="3"/>
  <c r="AE420" i="3"/>
  <c r="AE419" i="3"/>
  <c r="AE418" i="3"/>
  <c r="AE417" i="3"/>
  <c r="AE416" i="3"/>
  <c r="AE415" i="3"/>
  <c r="AE414" i="3"/>
  <c r="AE413" i="3"/>
  <c r="AE412" i="3"/>
  <c r="AE411" i="3"/>
  <c r="AE410" i="3"/>
  <c r="AE409" i="3"/>
  <c r="AE408" i="3"/>
  <c r="AE407" i="3"/>
  <c r="AE406" i="3"/>
  <c r="AE405" i="3"/>
  <c r="AE404" i="3"/>
  <c r="AE403" i="3"/>
  <c r="AE402" i="3"/>
  <c r="AE401" i="3"/>
  <c r="AE400" i="3"/>
  <c r="AE399" i="3"/>
  <c r="AE398" i="3"/>
  <c r="AE397" i="3"/>
  <c r="AE396" i="3"/>
  <c r="AE395" i="3"/>
  <c r="AE394" i="3"/>
  <c r="AE393" i="3"/>
  <c r="AE392" i="3"/>
  <c r="AE391" i="3"/>
  <c r="AE390" i="3"/>
  <c r="AE389" i="3"/>
  <c r="AE388" i="3"/>
  <c r="AE387" i="3"/>
  <c r="AE386" i="3"/>
  <c r="AE385" i="3"/>
  <c r="AE384" i="3"/>
  <c r="AE383" i="3"/>
  <c r="AE382" i="3"/>
  <c r="AE381" i="3"/>
  <c r="AE380" i="3"/>
  <c r="AE379" i="3"/>
  <c r="AE378" i="3"/>
  <c r="AE377" i="3"/>
  <c r="AE376" i="3"/>
  <c r="AE375" i="3"/>
  <c r="AE374" i="3"/>
  <c r="AE373" i="3"/>
  <c r="AE372" i="3"/>
  <c r="AE371" i="3"/>
  <c r="AE370" i="3"/>
  <c r="AE369" i="3"/>
  <c r="AE368" i="3"/>
  <c r="AE367" i="3"/>
  <c r="AE366" i="3"/>
  <c r="AE365" i="3"/>
  <c r="AE364" i="3"/>
  <c r="AE363" i="3"/>
  <c r="AE362" i="3"/>
  <c r="AE361" i="3"/>
  <c r="AE360" i="3"/>
  <c r="AE359" i="3"/>
  <c r="AE358" i="3"/>
  <c r="AE357" i="3"/>
  <c r="AE356" i="3"/>
  <c r="AE355" i="3"/>
  <c r="AE354" i="3"/>
  <c r="AE353" i="3"/>
  <c r="AE352" i="3"/>
  <c r="AE351" i="3"/>
  <c r="AE350" i="3"/>
  <c r="AE349" i="3"/>
  <c r="AE348" i="3"/>
  <c r="AE347" i="3"/>
  <c r="AE346" i="3"/>
  <c r="AE345" i="3"/>
  <c r="AE344" i="3"/>
  <c r="AE343" i="3"/>
  <c r="AE342" i="3"/>
  <c r="AE341" i="3"/>
  <c r="AE340" i="3"/>
  <c r="AE339" i="3"/>
  <c r="AE338" i="3"/>
  <c r="AE337" i="3"/>
  <c r="AE336" i="3"/>
  <c r="AE335" i="3"/>
  <c r="AE334" i="3"/>
  <c r="AE333" i="3"/>
  <c r="AE332" i="3"/>
  <c r="AE331" i="3"/>
  <c r="AE330" i="3"/>
  <c r="AE329" i="3"/>
  <c r="AE328" i="3"/>
  <c r="AE327" i="3"/>
  <c r="AE326" i="3"/>
  <c r="AE325" i="3"/>
  <c r="AE324" i="3"/>
  <c r="AE323" i="3"/>
  <c r="AE322" i="3"/>
  <c r="AE321" i="3"/>
  <c r="AE320" i="3"/>
  <c r="AE319" i="3"/>
  <c r="AE318" i="3"/>
  <c r="AE317" i="3"/>
  <c r="AE316" i="3"/>
  <c r="AE315" i="3"/>
  <c r="AE314" i="3"/>
  <c r="AE313" i="3"/>
  <c r="AE312" i="3"/>
  <c r="AE311" i="3"/>
  <c r="AE310" i="3"/>
  <c r="AE309" i="3"/>
  <c r="AE308" i="3"/>
  <c r="AE307" i="3"/>
  <c r="AE306" i="3"/>
  <c r="AE305" i="3"/>
  <c r="AE304" i="3"/>
  <c r="AE303" i="3"/>
  <c r="AE302" i="3"/>
  <c r="AE301" i="3"/>
  <c r="AE300" i="3"/>
  <c r="AE299" i="3"/>
  <c r="AE298" i="3"/>
  <c r="AE297" i="3"/>
  <c r="AE296" i="3"/>
  <c r="AE295" i="3"/>
  <c r="AE294" i="3"/>
  <c r="AE293" i="3"/>
  <c r="AE292" i="3"/>
  <c r="AE291" i="3"/>
  <c r="AE290" i="3"/>
  <c r="AE289" i="3"/>
  <c r="AE288" i="3"/>
  <c r="AE287" i="3"/>
  <c r="AE286" i="3"/>
  <c r="AE285" i="3"/>
  <c r="AE284" i="3"/>
  <c r="AE283" i="3"/>
  <c r="AE282" i="3"/>
  <c r="AE281" i="3"/>
  <c r="AE280" i="3"/>
  <c r="AE279" i="3"/>
  <c r="AE278" i="3"/>
  <c r="AE277" i="3"/>
  <c r="AE276" i="3"/>
  <c r="AE275" i="3"/>
  <c r="AE274" i="3"/>
  <c r="AE273" i="3"/>
  <c r="AE272" i="3"/>
  <c r="AE271" i="3"/>
  <c r="AE270" i="3"/>
  <c r="AE269" i="3"/>
  <c r="AE268" i="3"/>
  <c r="AE267" i="3"/>
  <c r="AE266" i="3"/>
  <c r="AE265" i="3"/>
  <c r="AE264" i="3"/>
  <c r="AE263" i="3"/>
  <c r="AE262" i="3"/>
  <c r="AE261" i="3"/>
  <c r="AE260" i="3"/>
  <c r="AE259" i="3"/>
  <c r="AE258" i="3"/>
  <c r="AE257" i="3"/>
  <c r="AE256" i="3"/>
  <c r="AE255" i="3"/>
  <c r="AE254" i="3"/>
  <c r="AE253" i="3"/>
  <c r="AE252" i="3"/>
  <c r="AE251" i="3"/>
  <c r="AE250" i="3"/>
  <c r="AE249" i="3"/>
  <c r="AE248" i="3"/>
  <c r="AE247" i="3"/>
  <c r="AE246" i="3"/>
  <c r="AE245" i="3"/>
  <c r="AE244" i="3"/>
  <c r="AE243" i="3"/>
  <c r="AE242" i="3"/>
  <c r="AE241" i="3"/>
  <c r="AE240" i="3"/>
  <c r="AE239" i="3"/>
  <c r="AE238" i="3"/>
  <c r="AE237" i="3"/>
  <c r="AE236" i="3"/>
  <c r="AE235" i="3"/>
  <c r="AE234" i="3"/>
  <c r="AE233" i="3"/>
  <c r="AE232" i="3"/>
  <c r="AE231" i="3"/>
  <c r="AE230" i="3"/>
  <c r="AE229" i="3"/>
  <c r="AE228" i="3"/>
  <c r="AE227" i="3"/>
  <c r="AE226" i="3"/>
  <c r="AE225" i="3"/>
  <c r="AE224" i="3"/>
  <c r="AE223" i="3"/>
  <c r="AE222" i="3"/>
  <c r="AE221" i="3"/>
  <c r="AE220" i="3"/>
  <c r="AE219" i="3"/>
  <c r="AE218" i="3"/>
  <c r="AE217" i="3"/>
  <c r="AE216" i="3"/>
  <c r="AE215" i="3"/>
  <c r="AE214" i="3"/>
  <c r="AE213" i="3"/>
  <c r="AE212" i="3"/>
  <c r="AE211" i="3"/>
  <c r="AE210" i="3"/>
  <c r="AE209" i="3"/>
  <c r="AE208" i="3"/>
  <c r="AE207" i="3"/>
  <c r="AE206" i="3"/>
  <c r="AE205" i="3"/>
  <c r="AE204" i="3"/>
  <c r="AE203" i="3"/>
  <c r="AE202" i="3"/>
  <c r="AE201" i="3"/>
  <c r="AE200" i="3"/>
  <c r="AE199" i="3"/>
  <c r="AE198" i="3"/>
  <c r="AE197" i="3"/>
  <c r="AE196" i="3"/>
  <c r="AE195" i="3"/>
  <c r="AE194" i="3"/>
  <c r="AE193" i="3"/>
  <c r="AE192" i="3"/>
  <c r="AE191" i="3"/>
  <c r="AE190" i="3"/>
  <c r="AE189" i="3"/>
  <c r="AE188" i="3"/>
  <c r="AE187" i="3"/>
  <c r="AE186" i="3"/>
  <c r="AE185" i="3"/>
  <c r="AE184" i="3"/>
  <c r="AE183" i="3"/>
  <c r="AE182" i="3"/>
  <c r="AE181" i="3"/>
  <c r="AE180" i="3"/>
  <c r="AE179" i="3"/>
  <c r="AE178" i="3"/>
  <c r="AE177" i="3"/>
  <c r="AE176" i="3"/>
  <c r="AE175" i="3"/>
  <c r="AE174" i="3"/>
  <c r="AE173" i="3"/>
  <c r="AE172" i="3"/>
  <c r="AE171" i="3"/>
  <c r="AE170" i="3"/>
  <c r="AE169" i="3"/>
  <c r="AE168" i="3"/>
  <c r="AE167" i="3"/>
  <c r="AE166" i="3"/>
  <c r="AE165" i="3"/>
  <c r="AE164" i="3"/>
  <c r="AE163" i="3"/>
  <c r="AE162" i="3"/>
  <c r="AE161" i="3"/>
  <c r="AE160" i="3"/>
  <c r="AE159" i="3"/>
  <c r="AE158" i="3"/>
  <c r="AE157" i="3"/>
  <c r="AE156" i="3"/>
  <c r="AE155" i="3"/>
  <c r="AE154" i="3"/>
  <c r="AE153" i="3"/>
  <c r="AE152" i="3"/>
  <c r="AE151" i="3"/>
  <c r="AE150" i="3"/>
  <c r="AE149" i="3"/>
  <c r="AE148" i="3"/>
  <c r="AE147" i="3"/>
  <c r="AE146" i="3"/>
  <c r="AE145" i="3"/>
  <c r="AE144" i="3"/>
  <c r="AE143" i="3"/>
  <c r="AE142" i="3"/>
  <c r="AE141" i="3"/>
  <c r="AE140" i="3"/>
  <c r="AE139" i="3"/>
  <c r="AE138" i="3"/>
  <c r="AE137" i="3"/>
  <c r="AE136" i="3"/>
  <c r="AE135" i="3"/>
  <c r="AE134" i="3"/>
  <c r="AE133" i="3"/>
  <c r="AE132" i="3"/>
  <c r="AE131" i="3"/>
  <c r="AE130" i="3"/>
  <c r="AE129" i="3"/>
  <c r="AE128" i="3"/>
  <c r="AE127" i="3"/>
  <c r="AE126" i="3"/>
  <c r="AE125" i="3"/>
  <c r="AE124" i="3"/>
  <c r="AE123" i="3"/>
  <c r="AE122" i="3"/>
  <c r="AE121" i="3"/>
  <c r="AE120" i="3"/>
  <c r="AE119" i="3"/>
  <c r="AE118" i="3"/>
  <c r="AE117" i="3"/>
  <c r="AE116" i="3"/>
  <c r="AE115" i="3"/>
  <c r="AE114" i="3"/>
  <c r="AE113" i="3"/>
  <c r="AE112" i="3"/>
  <c r="AE111" i="3"/>
  <c r="AE110" i="3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3" i="3"/>
  <c r="AU1012" i="3"/>
  <c r="AU1011" i="3"/>
  <c r="AU1010" i="3"/>
  <c r="AU1009" i="3"/>
  <c r="AU1008" i="3"/>
  <c r="AU1007" i="3"/>
  <c r="AU1006" i="3"/>
  <c r="AU1005" i="3"/>
  <c r="AU1004" i="3"/>
  <c r="AU1003" i="3"/>
  <c r="AU1002" i="3"/>
  <c r="AU1001" i="3"/>
  <c r="AU1000" i="3"/>
  <c r="AU999" i="3"/>
  <c r="AU998" i="3"/>
  <c r="AU997" i="3"/>
  <c r="AU996" i="3"/>
  <c r="AU995" i="3"/>
  <c r="AU994" i="3"/>
  <c r="AU993" i="3"/>
  <c r="AU992" i="3"/>
  <c r="AU991" i="3"/>
  <c r="AU990" i="3"/>
  <c r="AU989" i="3"/>
  <c r="AU988" i="3"/>
  <c r="AU987" i="3"/>
  <c r="AU986" i="3"/>
  <c r="AU985" i="3"/>
  <c r="AU984" i="3"/>
  <c r="AU983" i="3"/>
  <c r="AU982" i="3"/>
  <c r="AU981" i="3"/>
  <c r="AU980" i="3"/>
  <c r="AU979" i="3"/>
  <c r="AU978" i="3"/>
  <c r="AU977" i="3"/>
  <c r="AU976" i="3"/>
  <c r="AU975" i="3"/>
  <c r="AU974" i="3"/>
  <c r="AU973" i="3"/>
  <c r="AU972" i="3"/>
  <c r="AU971" i="3"/>
  <c r="AU970" i="3"/>
  <c r="AU969" i="3"/>
  <c r="AU968" i="3"/>
  <c r="AU967" i="3"/>
  <c r="AU966" i="3"/>
  <c r="AU965" i="3"/>
  <c r="AU964" i="3"/>
  <c r="AU963" i="3"/>
  <c r="AU962" i="3"/>
  <c r="AU961" i="3"/>
  <c r="AU960" i="3"/>
  <c r="AU959" i="3"/>
  <c r="AU958" i="3"/>
  <c r="AU957" i="3"/>
  <c r="AU956" i="3"/>
  <c r="AU955" i="3"/>
  <c r="AU954" i="3"/>
  <c r="AU953" i="3"/>
  <c r="AU952" i="3"/>
  <c r="AU951" i="3"/>
  <c r="AU950" i="3"/>
  <c r="AU949" i="3"/>
  <c r="AU948" i="3"/>
  <c r="AU947" i="3"/>
  <c r="AU946" i="3"/>
  <c r="AU945" i="3"/>
  <c r="AU944" i="3"/>
  <c r="AU943" i="3"/>
  <c r="AU942" i="3"/>
  <c r="AU941" i="3"/>
  <c r="AU940" i="3"/>
  <c r="AU939" i="3"/>
  <c r="AU938" i="3"/>
  <c r="AU937" i="3"/>
  <c r="AU936" i="3"/>
  <c r="AU935" i="3"/>
  <c r="AU934" i="3"/>
  <c r="AU933" i="3"/>
  <c r="AU932" i="3"/>
  <c r="AU931" i="3"/>
  <c r="AU930" i="3"/>
  <c r="AU929" i="3"/>
  <c r="AU928" i="3"/>
  <c r="AU927" i="3"/>
  <c r="AU926" i="3"/>
  <c r="AU925" i="3"/>
  <c r="AU924" i="3"/>
  <c r="AU923" i="3"/>
  <c r="AU922" i="3"/>
  <c r="AU921" i="3"/>
  <c r="AU920" i="3"/>
  <c r="AU919" i="3"/>
  <c r="AU918" i="3"/>
  <c r="AU917" i="3"/>
  <c r="AU916" i="3"/>
  <c r="AU915" i="3"/>
  <c r="AU914" i="3"/>
  <c r="AU913" i="3"/>
  <c r="AU912" i="3"/>
  <c r="AU911" i="3"/>
  <c r="AU910" i="3"/>
  <c r="AU909" i="3"/>
  <c r="AU908" i="3"/>
  <c r="AU907" i="3"/>
  <c r="AU906" i="3"/>
  <c r="AU905" i="3"/>
  <c r="AU904" i="3"/>
  <c r="AU903" i="3"/>
  <c r="AU902" i="3"/>
  <c r="AU901" i="3"/>
  <c r="AU900" i="3"/>
  <c r="AU899" i="3"/>
  <c r="AU898" i="3"/>
  <c r="AU897" i="3"/>
  <c r="AU896" i="3"/>
  <c r="AU895" i="3"/>
  <c r="AU894" i="3"/>
  <c r="AU893" i="3"/>
  <c r="AU892" i="3"/>
  <c r="AU891" i="3"/>
  <c r="AU890" i="3"/>
  <c r="AU889" i="3"/>
  <c r="AU888" i="3"/>
  <c r="AU887" i="3"/>
  <c r="AU886" i="3"/>
  <c r="AU885" i="3"/>
  <c r="AU884" i="3"/>
  <c r="AU883" i="3"/>
  <c r="AU882" i="3"/>
  <c r="AU881" i="3"/>
  <c r="AU880" i="3"/>
  <c r="AU879" i="3"/>
  <c r="AU878" i="3"/>
  <c r="AU877" i="3"/>
  <c r="AU876" i="3"/>
  <c r="AU875" i="3"/>
  <c r="AU874" i="3"/>
  <c r="AU873" i="3"/>
  <c r="AU872" i="3"/>
  <c r="AU871" i="3"/>
  <c r="AU870" i="3"/>
  <c r="AU869" i="3"/>
  <c r="AU868" i="3"/>
  <c r="AU867" i="3"/>
  <c r="AU866" i="3"/>
  <c r="AU865" i="3"/>
  <c r="AU864" i="3"/>
  <c r="AU863" i="3"/>
  <c r="AU862" i="3"/>
  <c r="AU861" i="3"/>
  <c r="AU860" i="3"/>
  <c r="AU859" i="3"/>
  <c r="AU858" i="3"/>
  <c r="AU857" i="3"/>
  <c r="AU856" i="3"/>
  <c r="AU855" i="3"/>
  <c r="AU854" i="3"/>
  <c r="AU853" i="3"/>
  <c r="AU852" i="3"/>
  <c r="AU851" i="3"/>
  <c r="AU850" i="3"/>
  <c r="AU849" i="3"/>
  <c r="AU848" i="3"/>
  <c r="AU847" i="3"/>
  <c r="AU846" i="3"/>
  <c r="AU845" i="3"/>
  <c r="AU844" i="3"/>
  <c r="AU843" i="3"/>
  <c r="AU842" i="3"/>
  <c r="AU841" i="3"/>
  <c r="AU840" i="3"/>
  <c r="AU839" i="3"/>
  <c r="AU838" i="3"/>
  <c r="AU837" i="3"/>
  <c r="AU836" i="3"/>
  <c r="AU835" i="3"/>
  <c r="AU834" i="3"/>
  <c r="AU833" i="3"/>
  <c r="AU832" i="3"/>
  <c r="AU831" i="3"/>
  <c r="AU830" i="3"/>
  <c r="AU829" i="3"/>
  <c r="AU828" i="3"/>
  <c r="AU827" i="3"/>
  <c r="AU826" i="3"/>
  <c r="AU825" i="3"/>
  <c r="AU824" i="3"/>
  <c r="AU823" i="3"/>
  <c r="AU822" i="3"/>
  <c r="AU821" i="3"/>
  <c r="AU820" i="3"/>
  <c r="AU819" i="3"/>
  <c r="AU818" i="3"/>
  <c r="AU817" i="3"/>
  <c r="AU816" i="3"/>
  <c r="AU815" i="3"/>
  <c r="AU814" i="3"/>
  <c r="AU813" i="3"/>
  <c r="AU812" i="3"/>
  <c r="AU811" i="3"/>
  <c r="AU810" i="3"/>
  <c r="AU809" i="3"/>
  <c r="AU808" i="3"/>
  <c r="AU807" i="3"/>
  <c r="AU806" i="3"/>
  <c r="AU805" i="3"/>
  <c r="AU804" i="3"/>
  <c r="AU803" i="3"/>
  <c r="AU802" i="3"/>
  <c r="AU801" i="3"/>
  <c r="AU800" i="3"/>
  <c r="AU799" i="3"/>
  <c r="AU798" i="3"/>
  <c r="AU797" i="3"/>
  <c r="AU796" i="3"/>
  <c r="AU795" i="3"/>
  <c r="AU794" i="3"/>
  <c r="AU793" i="3"/>
  <c r="AU792" i="3"/>
  <c r="AU791" i="3"/>
  <c r="AU790" i="3"/>
  <c r="AU789" i="3"/>
  <c r="AU788" i="3"/>
  <c r="AU787" i="3"/>
  <c r="AU786" i="3"/>
  <c r="AU785" i="3"/>
  <c r="AU784" i="3"/>
  <c r="AU783" i="3"/>
  <c r="AU782" i="3"/>
  <c r="AU781" i="3"/>
  <c r="AU780" i="3"/>
  <c r="AU779" i="3"/>
  <c r="AU778" i="3"/>
  <c r="AU777" i="3"/>
  <c r="AU776" i="3"/>
  <c r="AU775" i="3"/>
  <c r="AU774" i="3"/>
  <c r="AU773" i="3"/>
  <c r="AU772" i="3"/>
  <c r="AU771" i="3"/>
  <c r="AU770" i="3"/>
  <c r="AU769" i="3"/>
  <c r="AU768" i="3"/>
  <c r="AU767" i="3"/>
  <c r="AU766" i="3"/>
  <c r="AU765" i="3"/>
  <c r="AU764" i="3"/>
  <c r="AU763" i="3"/>
  <c r="AU762" i="3"/>
  <c r="AU761" i="3"/>
  <c r="AU760" i="3"/>
  <c r="AU759" i="3"/>
  <c r="AU758" i="3"/>
  <c r="AU757" i="3"/>
  <c r="AU756" i="3"/>
  <c r="AU755" i="3"/>
  <c r="AU754" i="3"/>
  <c r="AU753" i="3"/>
  <c r="AU752" i="3"/>
  <c r="AU751" i="3"/>
  <c r="AU750" i="3"/>
  <c r="AU749" i="3"/>
  <c r="AU748" i="3"/>
  <c r="AU747" i="3"/>
  <c r="AU746" i="3"/>
  <c r="AU745" i="3"/>
  <c r="AU744" i="3"/>
  <c r="AU743" i="3"/>
  <c r="AU742" i="3"/>
  <c r="AU741" i="3"/>
  <c r="AU740" i="3"/>
  <c r="AU739" i="3"/>
  <c r="AU738" i="3"/>
  <c r="AU737" i="3"/>
  <c r="AU736" i="3"/>
  <c r="AU735" i="3"/>
  <c r="AU734" i="3"/>
  <c r="AU733" i="3"/>
  <c r="AU732" i="3"/>
  <c r="AU731" i="3"/>
  <c r="AU730" i="3"/>
  <c r="AU729" i="3"/>
  <c r="AU728" i="3"/>
  <c r="AU727" i="3"/>
  <c r="AU726" i="3"/>
  <c r="AU725" i="3"/>
  <c r="AU724" i="3"/>
  <c r="AU723" i="3"/>
  <c r="AU722" i="3"/>
  <c r="AU721" i="3"/>
  <c r="AU720" i="3"/>
  <c r="AU719" i="3"/>
  <c r="AU718" i="3"/>
  <c r="AU717" i="3"/>
  <c r="AU716" i="3"/>
  <c r="AU715" i="3"/>
  <c r="AU714" i="3"/>
  <c r="AU713" i="3"/>
  <c r="AU712" i="3"/>
  <c r="AU711" i="3"/>
  <c r="AU710" i="3"/>
  <c r="AU709" i="3"/>
  <c r="AU708" i="3"/>
  <c r="AU707" i="3"/>
  <c r="AU706" i="3"/>
  <c r="AU705" i="3"/>
  <c r="AU704" i="3"/>
  <c r="AU703" i="3"/>
  <c r="AU702" i="3"/>
  <c r="AU701" i="3"/>
  <c r="AU700" i="3"/>
  <c r="AU699" i="3"/>
  <c r="AU698" i="3"/>
  <c r="AU697" i="3"/>
  <c r="AU696" i="3"/>
  <c r="AU695" i="3"/>
  <c r="AU694" i="3"/>
  <c r="AU693" i="3"/>
  <c r="AU692" i="3"/>
  <c r="AU691" i="3"/>
  <c r="AU690" i="3"/>
  <c r="AU689" i="3"/>
  <c r="AU688" i="3"/>
  <c r="AU687" i="3"/>
  <c r="AU686" i="3"/>
  <c r="AU685" i="3"/>
  <c r="AU684" i="3"/>
  <c r="AU683" i="3"/>
  <c r="AU682" i="3"/>
  <c r="AU681" i="3"/>
  <c r="AU680" i="3"/>
  <c r="AU679" i="3"/>
  <c r="AU678" i="3"/>
  <c r="AU677" i="3"/>
  <c r="AU676" i="3"/>
  <c r="AU675" i="3"/>
  <c r="AU674" i="3"/>
  <c r="AU673" i="3"/>
  <c r="AU672" i="3"/>
  <c r="AU671" i="3"/>
  <c r="AU670" i="3"/>
  <c r="AU669" i="3"/>
  <c r="AU668" i="3"/>
  <c r="AU667" i="3"/>
  <c r="AU666" i="3"/>
  <c r="AU665" i="3"/>
  <c r="AU664" i="3"/>
  <c r="AU663" i="3"/>
  <c r="AU662" i="3"/>
  <c r="AU661" i="3"/>
  <c r="AU660" i="3"/>
  <c r="AU659" i="3"/>
  <c r="AU658" i="3"/>
  <c r="AU657" i="3"/>
  <c r="AU656" i="3"/>
  <c r="AU655" i="3"/>
  <c r="AU654" i="3"/>
  <c r="AU653" i="3"/>
  <c r="AU652" i="3"/>
  <c r="AU651" i="3"/>
  <c r="AU650" i="3"/>
  <c r="AU649" i="3"/>
  <c r="AU648" i="3"/>
  <c r="AU647" i="3"/>
  <c r="AU646" i="3"/>
  <c r="AU645" i="3"/>
  <c r="AU644" i="3"/>
  <c r="AU643" i="3"/>
  <c r="AU642" i="3"/>
  <c r="AU641" i="3"/>
  <c r="AU640" i="3"/>
  <c r="AU639" i="3"/>
  <c r="AU638" i="3"/>
  <c r="AU637" i="3"/>
  <c r="AU636" i="3"/>
  <c r="AU635" i="3"/>
  <c r="AU634" i="3"/>
  <c r="AU633" i="3"/>
  <c r="AU632" i="3"/>
  <c r="AU631" i="3"/>
  <c r="AU630" i="3"/>
  <c r="AU629" i="3"/>
  <c r="AU628" i="3"/>
  <c r="AU627" i="3"/>
  <c r="AU626" i="3"/>
  <c r="AU625" i="3"/>
  <c r="AU624" i="3"/>
  <c r="AU623" i="3"/>
  <c r="AU622" i="3"/>
  <c r="AU621" i="3"/>
  <c r="AU620" i="3"/>
  <c r="AU619" i="3"/>
  <c r="AU618" i="3"/>
  <c r="AU617" i="3"/>
  <c r="AU616" i="3"/>
  <c r="AU615" i="3"/>
  <c r="AU614" i="3"/>
  <c r="AU613" i="3"/>
  <c r="AU612" i="3"/>
  <c r="AU611" i="3"/>
  <c r="AU610" i="3"/>
  <c r="AU609" i="3"/>
  <c r="AU608" i="3"/>
  <c r="AU607" i="3"/>
  <c r="AU606" i="3"/>
  <c r="AU605" i="3"/>
  <c r="AU604" i="3"/>
  <c r="AU603" i="3"/>
  <c r="AU602" i="3"/>
  <c r="AU601" i="3"/>
  <c r="AU600" i="3"/>
  <c r="AU599" i="3"/>
  <c r="AU598" i="3"/>
  <c r="AU597" i="3"/>
  <c r="AU596" i="3"/>
  <c r="AU595" i="3"/>
  <c r="AU594" i="3"/>
  <c r="AU593" i="3"/>
  <c r="AU592" i="3"/>
  <c r="AU591" i="3"/>
  <c r="AU590" i="3"/>
  <c r="AU589" i="3"/>
  <c r="AU588" i="3"/>
  <c r="AU587" i="3"/>
  <c r="AU586" i="3"/>
  <c r="AU585" i="3"/>
  <c r="AU584" i="3"/>
  <c r="AU583" i="3"/>
  <c r="AU582" i="3"/>
  <c r="AU581" i="3"/>
  <c r="AU580" i="3"/>
  <c r="AU579" i="3"/>
  <c r="AU578" i="3"/>
  <c r="AU577" i="3"/>
  <c r="AU576" i="3"/>
  <c r="AU575" i="3"/>
  <c r="AU574" i="3"/>
  <c r="AU573" i="3"/>
  <c r="AU572" i="3"/>
  <c r="AU571" i="3"/>
  <c r="AU570" i="3"/>
  <c r="AU569" i="3"/>
  <c r="AU568" i="3"/>
  <c r="AU567" i="3"/>
  <c r="AU566" i="3"/>
  <c r="AU565" i="3"/>
  <c r="AU564" i="3"/>
  <c r="AU563" i="3"/>
  <c r="AU562" i="3"/>
  <c r="AU561" i="3"/>
  <c r="AU560" i="3"/>
  <c r="AU559" i="3"/>
  <c r="AU558" i="3"/>
  <c r="AU557" i="3"/>
  <c r="AU556" i="3"/>
  <c r="AU555" i="3"/>
  <c r="AU554" i="3"/>
  <c r="AU553" i="3"/>
  <c r="AU552" i="3"/>
  <c r="AU551" i="3"/>
  <c r="AU550" i="3"/>
  <c r="AU549" i="3"/>
  <c r="AU548" i="3"/>
  <c r="AU547" i="3"/>
  <c r="AU546" i="3"/>
  <c r="AU545" i="3"/>
  <c r="AU544" i="3"/>
  <c r="AU543" i="3"/>
  <c r="AU542" i="3"/>
  <c r="AU541" i="3"/>
  <c r="AU540" i="3"/>
  <c r="AU539" i="3"/>
  <c r="AU538" i="3"/>
  <c r="AU537" i="3"/>
  <c r="AU536" i="3"/>
  <c r="AU535" i="3"/>
  <c r="AU534" i="3"/>
  <c r="AU533" i="3"/>
  <c r="AU532" i="3"/>
  <c r="AU531" i="3"/>
  <c r="AU530" i="3"/>
  <c r="AU529" i="3"/>
  <c r="AU528" i="3"/>
  <c r="AU527" i="3"/>
  <c r="AU526" i="3"/>
  <c r="AU525" i="3"/>
  <c r="AU524" i="3"/>
  <c r="AU523" i="3"/>
  <c r="AU522" i="3"/>
  <c r="AU521" i="3"/>
  <c r="AU520" i="3"/>
  <c r="AU519" i="3"/>
  <c r="AU518" i="3"/>
  <c r="AU517" i="3"/>
  <c r="AU516" i="3"/>
  <c r="AU515" i="3"/>
  <c r="AU514" i="3"/>
  <c r="AU513" i="3"/>
  <c r="AU512" i="3"/>
  <c r="AU511" i="3"/>
  <c r="AU510" i="3"/>
  <c r="AU509" i="3"/>
  <c r="AU508" i="3"/>
  <c r="AU507" i="3"/>
  <c r="AU506" i="3"/>
  <c r="AU505" i="3"/>
  <c r="AU504" i="3"/>
  <c r="AU503" i="3"/>
  <c r="AU502" i="3"/>
  <c r="AU501" i="3"/>
  <c r="AU500" i="3"/>
  <c r="AU499" i="3"/>
  <c r="AU498" i="3"/>
  <c r="AU497" i="3"/>
  <c r="AU496" i="3"/>
  <c r="AU495" i="3"/>
  <c r="AU494" i="3"/>
  <c r="AU493" i="3"/>
  <c r="AU492" i="3"/>
  <c r="AU491" i="3"/>
  <c r="AU490" i="3"/>
  <c r="AU489" i="3"/>
  <c r="AU488" i="3"/>
  <c r="AU487" i="3"/>
  <c r="AU486" i="3"/>
  <c r="AU485" i="3"/>
  <c r="AU484" i="3"/>
  <c r="AU483" i="3"/>
  <c r="AU482" i="3"/>
  <c r="AU481" i="3"/>
  <c r="AU480" i="3"/>
  <c r="AU479" i="3"/>
  <c r="AU478" i="3"/>
  <c r="AU477" i="3"/>
  <c r="AU476" i="3"/>
  <c r="AU475" i="3"/>
  <c r="AU474" i="3"/>
  <c r="AU473" i="3"/>
  <c r="AU472" i="3"/>
  <c r="AU471" i="3"/>
  <c r="AU470" i="3"/>
  <c r="AU469" i="3"/>
  <c r="AU468" i="3"/>
  <c r="AU467" i="3"/>
  <c r="AU466" i="3"/>
  <c r="AU465" i="3"/>
  <c r="AU464" i="3"/>
  <c r="AU463" i="3"/>
  <c r="AU462" i="3"/>
  <c r="AU461" i="3"/>
  <c r="AU460" i="3"/>
  <c r="AU459" i="3"/>
  <c r="AU458" i="3"/>
  <c r="AU457" i="3"/>
  <c r="AU456" i="3"/>
  <c r="AU455" i="3"/>
  <c r="AU454" i="3"/>
  <c r="AU453" i="3"/>
  <c r="AU452" i="3"/>
  <c r="AU451" i="3"/>
  <c r="AU450" i="3"/>
  <c r="AU449" i="3"/>
  <c r="AU448" i="3"/>
  <c r="AU447" i="3"/>
  <c r="AU446" i="3"/>
  <c r="AU445" i="3"/>
  <c r="AU444" i="3"/>
  <c r="AU443" i="3"/>
  <c r="AU442" i="3"/>
  <c r="AU441" i="3"/>
  <c r="AU440" i="3"/>
  <c r="AU439" i="3"/>
  <c r="AU438" i="3"/>
  <c r="AU437" i="3"/>
  <c r="AU436" i="3"/>
  <c r="AU435" i="3"/>
  <c r="AU434" i="3"/>
  <c r="AU433" i="3"/>
  <c r="AU432" i="3"/>
  <c r="AU431" i="3"/>
  <c r="AU430" i="3"/>
  <c r="AU429" i="3"/>
  <c r="AU428" i="3"/>
  <c r="AU427" i="3"/>
  <c r="AU426" i="3"/>
  <c r="AU425" i="3"/>
  <c r="AU424" i="3"/>
  <c r="AU423" i="3"/>
  <c r="AU422" i="3"/>
  <c r="AU421" i="3"/>
  <c r="AU420" i="3"/>
  <c r="AU419" i="3"/>
  <c r="AU418" i="3"/>
  <c r="AU417" i="3"/>
  <c r="AU416" i="3"/>
  <c r="AU415" i="3"/>
  <c r="AU414" i="3"/>
  <c r="AU413" i="3"/>
  <c r="AU412" i="3"/>
  <c r="AU411" i="3"/>
  <c r="AU410" i="3"/>
  <c r="AU409" i="3"/>
  <c r="AU408" i="3"/>
  <c r="AU407" i="3"/>
  <c r="AU406" i="3"/>
  <c r="AU405" i="3"/>
  <c r="AU404" i="3"/>
  <c r="AU403" i="3"/>
  <c r="AU402" i="3"/>
  <c r="AU401" i="3"/>
  <c r="AU400" i="3"/>
  <c r="AU399" i="3"/>
  <c r="AU398" i="3"/>
  <c r="AU397" i="3"/>
  <c r="AU396" i="3"/>
  <c r="AU395" i="3"/>
  <c r="AU394" i="3"/>
  <c r="AU393" i="3"/>
  <c r="AU392" i="3"/>
  <c r="AU391" i="3"/>
  <c r="AU390" i="3"/>
  <c r="AU389" i="3"/>
  <c r="AU388" i="3"/>
  <c r="AU387" i="3"/>
  <c r="AU386" i="3"/>
  <c r="AU385" i="3"/>
  <c r="AU384" i="3"/>
  <c r="AU383" i="3"/>
  <c r="AU382" i="3"/>
  <c r="AU381" i="3"/>
  <c r="AU380" i="3"/>
  <c r="AU379" i="3"/>
  <c r="AU378" i="3"/>
  <c r="AU377" i="3"/>
  <c r="AU376" i="3"/>
  <c r="AU375" i="3"/>
  <c r="AU374" i="3"/>
  <c r="AU373" i="3"/>
  <c r="AU372" i="3"/>
  <c r="AU371" i="3"/>
  <c r="AU370" i="3"/>
  <c r="AU369" i="3"/>
  <c r="AU368" i="3"/>
  <c r="AU367" i="3"/>
  <c r="AU366" i="3"/>
  <c r="AU365" i="3"/>
  <c r="AU364" i="3"/>
  <c r="AU363" i="3"/>
  <c r="AU362" i="3"/>
  <c r="AU361" i="3"/>
  <c r="AU360" i="3"/>
  <c r="AU359" i="3"/>
  <c r="AU358" i="3"/>
  <c r="AU357" i="3"/>
  <c r="AU356" i="3"/>
  <c r="AU355" i="3"/>
  <c r="AU354" i="3"/>
  <c r="AU353" i="3"/>
  <c r="AU352" i="3"/>
  <c r="AU351" i="3"/>
  <c r="AU350" i="3"/>
  <c r="AU349" i="3"/>
  <c r="AU348" i="3"/>
  <c r="AU347" i="3"/>
  <c r="AU346" i="3"/>
  <c r="AU345" i="3"/>
  <c r="AU344" i="3"/>
  <c r="AU343" i="3"/>
  <c r="AU342" i="3"/>
  <c r="AU341" i="3"/>
  <c r="AU340" i="3"/>
  <c r="AU339" i="3"/>
  <c r="AU338" i="3"/>
  <c r="AU337" i="3"/>
  <c r="AU336" i="3"/>
  <c r="AU335" i="3"/>
  <c r="AU334" i="3"/>
  <c r="AU333" i="3"/>
  <c r="AU332" i="3"/>
  <c r="AU331" i="3"/>
  <c r="AU330" i="3"/>
  <c r="AU329" i="3"/>
  <c r="AU328" i="3"/>
  <c r="AU327" i="3"/>
  <c r="AU326" i="3"/>
  <c r="AU325" i="3"/>
  <c r="AU324" i="3"/>
  <c r="AU323" i="3"/>
  <c r="AU322" i="3"/>
  <c r="AU321" i="3"/>
  <c r="AU320" i="3"/>
  <c r="AU319" i="3"/>
  <c r="AU318" i="3"/>
  <c r="AU317" i="3"/>
  <c r="AU316" i="3"/>
  <c r="AU315" i="3"/>
  <c r="AU314" i="3"/>
  <c r="AU313" i="3"/>
  <c r="AU312" i="3"/>
  <c r="AU311" i="3"/>
  <c r="AU310" i="3"/>
  <c r="AU309" i="3"/>
  <c r="AU308" i="3"/>
  <c r="AU307" i="3"/>
  <c r="AU306" i="3"/>
  <c r="AU305" i="3"/>
  <c r="AU304" i="3"/>
  <c r="AU303" i="3"/>
  <c r="AU302" i="3"/>
  <c r="AU301" i="3"/>
  <c r="AU300" i="3"/>
  <c r="AU299" i="3"/>
  <c r="AU298" i="3"/>
  <c r="AU297" i="3"/>
  <c r="AU296" i="3"/>
  <c r="AU295" i="3"/>
  <c r="AU294" i="3"/>
  <c r="AU293" i="3"/>
  <c r="AU292" i="3"/>
  <c r="AU291" i="3"/>
  <c r="AU290" i="3"/>
  <c r="AU289" i="3"/>
  <c r="AU288" i="3"/>
  <c r="AU287" i="3"/>
  <c r="AU286" i="3"/>
  <c r="AU285" i="3"/>
  <c r="AU284" i="3"/>
  <c r="AU283" i="3"/>
  <c r="AU282" i="3"/>
  <c r="AU281" i="3"/>
  <c r="AU280" i="3"/>
  <c r="AU279" i="3"/>
  <c r="AU278" i="3"/>
  <c r="AU277" i="3"/>
  <c r="AU276" i="3"/>
  <c r="AU275" i="3"/>
  <c r="AU274" i="3"/>
  <c r="AU273" i="3"/>
  <c r="AU272" i="3"/>
  <c r="AU271" i="3"/>
  <c r="AU270" i="3"/>
  <c r="AU269" i="3"/>
  <c r="AU268" i="3"/>
  <c r="AU267" i="3"/>
  <c r="AU266" i="3"/>
  <c r="AU265" i="3"/>
  <c r="AU264" i="3"/>
  <c r="AU263" i="3"/>
  <c r="AU262" i="3"/>
  <c r="AU261" i="3"/>
  <c r="AU260" i="3"/>
  <c r="AU259" i="3"/>
  <c r="AU258" i="3"/>
  <c r="AU257" i="3"/>
  <c r="AU256" i="3"/>
  <c r="AU255" i="3"/>
  <c r="AU254" i="3"/>
  <c r="AU253" i="3"/>
  <c r="AU252" i="3"/>
  <c r="AU251" i="3"/>
  <c r="AU250" i="3"/>
  <c r="AU249" i="3"/>
  <c r="AU248" i="3"/>
  <c r="AU247" i="3"/>
  <c r="AU246" i="3"/>
  <c r="AU245" i="3"/>
  <c r="AU244" i="3"/>
  <c r="AU243" i="3"/>
  <c r="AU242" i="3"/>
  <c r="AU241" i="3"/>
  <c r="AU240" i="3"/>
  <c r="AU239" i="3"/>
  <c r="AU238" i="3"/>
  <c r="AU237" i="3"/>
  <c r="AU236" i="3"/>
  <c r="AU235" i="3"/>
  <c r="AU234" i="3"/>
  <c r="AU233" i="3"/>
  <c r="AU232" i="3"/>
  <c r="AU231" i="3"/>
  <c r="AU230" i="3"/>
  <c r="AU229" i="3"/>
  <c r="AU228" i="3"/>
  <c r="AU227" i="3"/>
  <c r="AU226" i="3"/>
  <c r="AU225" i="3"/>
  <c r="AU224" i="3"/>
  <c r="AU223" i="3"/>
  <c r="AU222" i="3"/>
  <c r="AU221" i="3"/>
  <c r="AU220" i="3"/>
  <c r="AU219" i="3"/>
  <c r="AU218" i="3"/>
  <c r="AU217" i="3"/>
  <c r="AU216" i="3"/>
  <c r="AU215" i="3"/>
  <c r="AU214" i="3"/>
  <c r="AU213" i="3"/>
  <c r="AU212" i="3"/>
  <c r="AU211" i="3"/>
  <c r="AU210" i="3"/>
  <c r="AU209" i="3"/>
  <c r="AU208" i="3"/>
  <c r="AU207" i="3"/>
  <c r="AU206" i="3"/>
  <c r="AU205" i="3"/>
  <c r="AU204" i="3"/>
  <c r="AU203" i="3"/>
  <c r="AU202" i="3"/>
  <c r="AU201" i="3"/>
  <c r="AU200" i="3"/>
  <c r="AU199" i="3"/>
  <c r="AU198" i="3"/>
  <c r="AU197" i="3"/>
  <c r="AU196" i="3"/>
  <c r="AU195" i="3"/>
  <c r="AU194" i="3"/>
  <c r="AU193" i="3"/>
  <c r="AU192" i="3"/>
  <c r="AU191" i="3"/>
  <c r="AU190" i="3"/>
  <c r="AU189" i="3"/>
  <c r="AU188" i="3"/>
  <c r="AU187" i="3"/>
  <c r="AU186" i="3"/>
  <c r="AU185" i="3"/>
  <c r="AU184" i="3"/>
  <c r="AU183" i="3"/>
  <c r="AU182" i="3"/>
  <c r="AU181" i="3"/>
  <c r="AU180" i="3"/>
  <c r="AU179" i="3"/>
  <c r="AU178" i="3"/>
  <c r="AU177" i="3"/>
  <c r="AU176" i="3"/>
  <c r="AU175" i="3"/>
  <c r="AU174" i="3"/>
  <c r="AU173" i="3"/>
  <c r="AU172" i="3"/>
  <c r="AU171" i="3"/>
  <c r="AU170" i="3"/>
  <c r="AU169" i="3"/>
  <c r="AU168" i="3"/>
  <c r="AU167" i="3"/>
  <c r="AU166" i="3"/>
  <c r="AU165" i="3"/>
  <c r="AU164" i="3"/>
  <c r="AU163" i="3"/>
  <c r="AU162" i="3"/>
  <c r="AU161" i="3"/>
  <c r="AU160" i="3"/>
  <c r="AU159" i="3"/>
  <c r="AU158" i="3"/>
  <c r="AU157" i="3"/>
  <c r="AU156" i="3"/>
  <c r="AU155" i="3"/>
  <c r="AU154" i="3"/>
  <c r="AU153" i="3"/>
  <c r="AU152" i="3"/>
  <c r="AU151" i="3"/>
  <c r="AU150" i="3"/>
  <c r="AU149" i="3"/>
  <c r="AU148" i="3"/>
  <c r="AU147" i="3"/>
  <c r="AU146" i="3"/>
  <c r="AU145" i="3"/>
  <c r="AU144" i="3"/>
  <c r="AU143" i="3"/>
  <c r="AU142" i="3"/>
  <c r="AU141" i="3"/>
  <c r="AU140" i="3"/>
  <c r="AU139" i="3"/>
  <c r="AU138" i="3"/>
  <c r="AU137" i="3"/>
  <c r="AU136" i="3"/>
  <c r="AU135" i="3"/>
  <c r="AU134" i="3"/>
  <c r="AU133" i="3"/>
  <c r="AU132" i="3"/>
  <c r="AU131" i="3"/>
  <c r="AU130" i="3"/>
  <c r="AU129" i="3"/>
  <c r="AU128" i="3"/>
  <c r="AU127" i="3"/>
  <c r="AU126" i="3"/>
  <c r="AU125" i="3"/>
  <c r="AU124" i="3"/>
  <c r="AU123" i="3"/>
  <c r="AU122" i="3"/>
  <c r="AU121" i="3"/>
  <c r="AU120" i="3"/>
  <c r="AU119" i="3"/>
  <c r="AU118" i="3"/>
  <c r="AU117" i="3"/>
  <c r="AU116" i="3"/>
  <c r="AU115" i="3"/>
  <c r="AU114" i="3"/>
  <c r="AU113" i="3"/>
  <c r="AU112" i="3"/>
  <c r="AU111" i="3"/>
  <c r="AU110" i="3"/>
  <c r="AU109" i="3"/>
  <c r="AU108" i="3"/>
  <c r="AU107" i="3"/>
  <c r="AU106" i="3"/>
  <c r="AU105" i="3"/>
  <c r="AU104" i="3"/>
  <c r="AU103" i="3"/>
  <c r="AU102" i="3"/>
  <c r="AU101" i="3"/>
  <c r="AU100" i="3"/>
  <c r="AU99" i="3"/>
  <c r="AU98" i="3"/>
  <c r="AU97" i="3"/>
  <c r="AU96" i="3"/>
  <c r="AU95" i="3"/>
  <c r="AU94" i="3"/>
  <c r="AU93" i="3"/>
  <c r="AU92" i="3"/>
  <c r="AU91" i="3"/>
  <c r="AU90" i="3"/>
  <c r="AU89" i="3"/>
  <c r="AU88" i="3"/>
  <c r="AU87" i="3"/>
  <c r="AU86" i="3"/>
  <c r="AU85" i="3"/>
  <c r="AU84" i="3"/>
  <c r="AU83" i="3"/>
  <c r="AU82" i="3"/>
  <c r="AU81" i="3"/>
  <c r="AU80" i="3"/>
  <c r="AU79" i="3"/>
  <c r="AU78" i="3"/>
  <c r="AU77" i="3"/>
  <c r="AU76" i="3"/>
  <c r="AU75" i="3"/>
  <c r="AU74" i="3"/>
  <c r="AU73" i="3"/>
  <c r="AU72" i="3"/>
  <c r="AU71" i="3"/>
  <c r="AU70" i="3"/>
  <c r="AU69" i="3"/>
  <c r="AU68" i="3"/>
  <c r="AU67" i="3"/>
  <c r="AU66" i="3"/>
  <c r="AU65" i="3"/>
  <c r="AU64" i="3"/>
  <c r="AU63" i="3"/>
  <c r="AU62" i="3"/>
  <c r="AU61" i="3"/>
  <c r="AU60" i="3"/>
  <c r="AU59" i="3"/>
  <c r="AU58" i="3"/>
  <c r="AU57" i="3"/>
  <c r="AU56" i="3"/>
  <c r="AU55" i="3"/>
  <c r="AU54" i="3"/>
  <c r="AU53" i="3"/>
  <c r="AU52" i="3"/>
  <c r="AU51" i="3"/>
  <c r="AU50" i="3"/>
  <c r="AU49" i="3"/>
  <c r="AU48" i="3"/>
  <c r="AU47" i="3"/>
  <c r="AU46" i="3"/>
  <c r="AU45" i="3"/>
  <c r="AU44" i="3"/>
  <c r="AU43" i="3"/>
  <c r="AU42" i="3"/>
  <c r="AU41" i="3"/>
  <c r="AU40" i="3"/>
  <c r="AU39" i="3"/>
  <c r="AU38" i="3"/>
  <c r="AU37" i="3"/>
  <c r="AU36" i="3"/>
  <c r="AU35" i="3"/>
  <c r="AU34" i="3"/>
  <c r="AU33" i="3"/>
  <c r="AU32" i="3"/>
  <c r="AU31" i="3"/>
  <c r="AU30" i="3"/>
  <c r="AU29" i="3"/>
  <c r="AU28" i="3"/>
  <c r="AU27" i="3"/>
  <c r="AU26" i="3"/>
  <c r="AU25" i="3"/>
  <c r="AU24" i="3"/>
  <c r="AU23" i="3"/>
  <c r="AU22" i="3"/>
  <c r="AU21" i="3"/>
  <c r="AU20" i="3"/>
  <c r="AU19" i="3"/>
  <c r="AU18" i="3"/>
  <c r="AU17" i="3"/>
  <c r="AU16" i="3"/>
  <c r="AU15" i="3"/>
  <c r="AU14" i="3"/>
  <c r="AU13" i="3"/>
  <c r="AJ1012" i="3"/>
  <c r="AJ1011" i="3"/>
  <c r="AJ1010" i="3"/>
  <c r="AJ1009" i="3"/>
  <c r="AJ1008" i="3"/>
  <c r="AJ1007" i="3"/>
  <c r="AJ1006" i="3"/>
  <c r="AJ1005" i="3"/>
  <c r="AJ1004" i="3"/>
  <c r="AJ1003" i="3"/>
  <c r="AJ1002" i="3"/>
  <c r="AJ1001" i="3"/>
  <c r="AJ1000" i="3"/>
  <c r="AJ999" i="3"/>
  <c r="AJ998" i="3"/>
  <c r="AJ997" i="3"/>
  <c r="AJ996" i="3"/>
  <c r="AJ995" i="3"/>
  <c r="AJ994" i="3"/>
  <c r="AJ993" i="3"/>
  <c r="AJ992" i="3"/>
  <c r="AJ991" i="3"/>
  <c r="AJ990" i="3"/>
  <c r="AJ989" i="3"/>
  <c r="AJ988" i="3"/>
  <c r="AJ987" i="3"/>
  <c r="AJ986" i="3"/>
  <c r="AJ985" i="3"/>
  <c r="AJ984" i="3"/>
  <c r="AJ983" i="3"/>
  <c r="AJ982" i="3"/>
  <c r="AJ981" i="3"/>
  <c r="AJ980" i="3"/>
  <c r="AJ979" i="3"/>
  <c r="AJ978" i="3"/>
  <c r="AJ977" i="3"/>
  <c r="AJ976" i="3"/>
  <c r="AJ975" i="3"/>
  <c r="AJ974" i="3"/>
  <c r="AJ973" i="3"/>
  <c r="AJ972" i="3"/>
  <c r="AJ971" i="3"/>
  <c r="AJ970" i="3"/>
  <c r="AJ969" i="3"/>
  <c r="AJ968" i="3"/>
  <c r="AJ967" i="3"/>
  <c r="AJ966" i="3"/>
  <c r="AJ965" i="3"/>
  <c r="AJ964" i="3"/>
  <c r="AJ963" i="3"/>
  <c r="AJ962" i="3"/>
  <c r="AJ961" i="3"/>
  <c r="AJ960" i="3"/>
  <c r="AJ959" i="3"/>
  <c r="AJ958" i="3"/>
  <c r="AJ957" i="3"/>
  <c r="AJ956" i="3"/>
  <c r="AJ955" i="3"/>
  <c r="AJ954" i="3"/>
  <c r="AJ953" i="3"/>
  <c r="AJ952" i="3"/>
  <c r="AJ951" i="3"/>
  <c r="AJ950" i="3"/>
  <c r="AJ949" i="3"/>
  <c r="AJ948" i="3"/>
  <c r="AJ947" i="3"/>
  <c r="AJ946" i="3"/>
  <c r="AJ945" i="3"/>
  <c r="AJ944" i="3"/>
  <c r="AJ943" i="3"/>
  <c r="AJ942" i="3"/>
  <c r="AJ941" i="3"/>
  <c r="AJ940" i="3"/>
  <c r="AJ939" i="3"/>
  <c r="AJ938" i="3"/>
  <c r="AJ937" i="3"/>
  <c r="AJ936" i="3"/>
  <c r="AJ935" i="3"/>
  <c r="AJ934" i="3"/>
  <c r="AJ933" i="3"/>
  <c r="AJ932" i="3"/>
  <c r="AJ931" i="3"/>
  <c r="AJ930" i="3"/>
  <c r="AJ929" i="3"/>
  <c r="AJ928" i="3"/>
  <c r="AJ927" i="3"/>
  <c r="AJ926" i="3"/>
  <c r="AJ925" i="3"/>
  <c r="AJ924" i="3"/>
  <c r="AJ923" i="3"/>
  <c r="AJ922" i="3"/>
  <c r="AJ921" i="3"/>
  <c r="AJ920" i="3"/>
  <c r="AJ919" i="3"/>
  <c r="AJ918" i="3"/>
  <c r="AJ917" i="3"/>
  <c r="AJ916" i="3"/>
  <c r="AJ915" i="3"/>
  <c r="AJ914" i="3"/>
  <c r="AJ913" i="3"/>
  <c r="AJ912" i="3"/>
  <c r="AJ911" i="3"/>
  <c r="AJ910" i="3"/>
  <c r="AJ909" i="3"/>
  <c r="AJ908" i="3"/>
  <c r="AJ907" i="3"/>
  <c r="AJ906" i="3"/>
  <c r="AJ905" i="3"/>
  <c r="AJ904" i="3"/>
  <c r="AJ903" i="3"/>
  <c r="AJ902" i="3"/>
  <c r="AJ901" i="3"/>
  <c r="AJ900" i="3"/>
  <c r="AJ899" i="3"/>
  <c r="AJ898" i="3"/>
  <c r="AJ897" i="3"/>
  <c r="AJ896" i="3"/>
  <c r="AJ895" i="3"/>
  <c r="AJ894" i="3"/>
  <c r="AJ893" i="3"/>
  <c r="AJ892" i="3"/>
  <c r="AJ891" i="3"/>
  <c r="AJ890" i="3"/>
  <c r="AJ889" i="3"/>
  <c r="AJ888" i="3"/>
  <c r="AJ887" i="3"/>
  <c r="AJ886" i="3"/>
  <c r="AJ885" i="3"/>
  <c r="AJ884" i="3"/>
  <c r="AJ883" i="3"/>
  <c r="AJ882" i="3"/>
  <c r="AJ881" i="3"/>
  <c r="AJ880" i="3"/>
  <c r="AJ879" i="3"/>
  <c r="AJ878" i="3"/>
  <c r="AJ877" i="3"/>
  <c r="AJ876" i="3"/>
  <c r="AJ875" i="3"/>
  <c r="AJ874" i="3"/>
  <c r="AJ873" i="3"/>
  <c r="AJ872" i="3"/>
  <c r="AJ871" i="3"/>
  <c r="AJ870" i="3"/>
  <c r="AJ869" i="3"/>
  <c r="AJ868" i="3"/>
  <c r="AJ867" i="3"/>
  <c r="AJ866" i="3"/>
  <c r="AJ865" i="3"/>
  <c r="AJ864" i="3"/>
  <c r="AJ863" i="3"/>
  <c r="AJ862" i="3"/>
  <c r="AJ861" i="3"/>
  <c r="AJ860" i="3"/>
  <c r="AJ859" i="3"/>
  <c r="AJ858" i="3"/>
  <c r="AJ857" i="3"/>
  <c r="AJ856" i="3"/>
  <c r="AJ855" i="3"/>
  <c r="AJ854" i="3"/>
  <c r="AJ853" i="3"/>
  <c r="AJ852" i="3"/>
  <c r="AJ851" i="3"/>
  <c r="AJ850" i="3"/>
  <c r="AJ849" i="3"/>
  <c r="AJ848" i="3"/>
  <c r="AJ847" i="3"/>
  <c r="AJ846" i="3"/>
  <c r="AJ845" i="3"/>
  <c r="AJ844" i="3"/>
  <c r="AJ843" i="3"/>
  <c r="AJ842" i="3"/>
  <c r="AJ841" i="3"/>
  <c r="AJ840" i="3"/>
  <c r="AJ839" i="3"/>
  <c r="AJ838" i="3"/>
  <c r="AJ837" i="3"/>
  <c r="AJ836" i="3"/>
  <c r="AJ835" i="3"/>
  <c r="AJ834" i="3"/>
  <c r="AJ833" i="3"/>
  <c r="AJ832" i="3"/>
  <c r="AJ831" i="3"/>
  <c r="AJ830" i="3"/>
  <c r="AJ829" i="3"/>
  <c r="AJ828" i="3"/>
  <c r="AJ827" i="3"/>
  <c r="AJ826" i="3"/>
  <c r="AJ825" i="3"/>
  <c r="AJ824" i="3"/>
  <c r="AJ823" i="3"/>
  <c r="AJ822" i="3"/>
  <c r="AJ821" i="3"/>
  <c r="AJ820" i="3"/>
  <c r="AJ819" i="3"/>
  <c r="AJ818" i="3"/>
  <c r="AJ817" i="3"/>
  <c r="AJ816" i="3"/>
  <c r="AJ815" i="3"/>
  <c r="AJ814" i="3"/>
  <c r="AJ813" i="3"/>
  <c r="AJ812" i="3"/>
  <c r="AJ811" i="3"/>
  <c r="AJ810" i="3"/>
  <c r="AJ809" i="3"/>
  <c r="AJ808" i="3"/>
  <c r="AJ807" i="3"/>
  <c r="AJ806" i="3"/>
  <c r="AJ805" i="3"/>
  <c r="AJ804" i="3"/>
  <c r="AJ803" i="3"/>
  <c r="AJ802" i="3"/>
  <c r="AJ801" i="3"/>
  <c r="AJ800" i="3"/>
  <c r="AJ799" i="3"/>
  <c r="AJ798" i="3"/>
  <c r="AJ797" i="3"/>
  <c r="AJ796" i="3"/>
  <c r="AJ795" i="3"/>
  <c r="AJ794" i="3"/>
  <c r="AJ793" i="3"/>
  <c r="AJ792" i="3"/>
  <c r="AJ791" i="3"/>
  <c r="AJ790" i="3"/>
  <c r="AJ789" i="3"/>
  <c r="AJ788" i="3"/>
  <c r="AJ787" i="3"/>
  <c r="AJ786" i="3"/>
  <c r="AJ785" i="3"/>
  <c r="AJ784" i="3"/>
  <c r="AJ783" i="3"/>
  <c r="AJ782" i="3"/>
  <c r="AJ781" i="3"/>
  <c r="AJ780" i="3"/>
  <c r="AJ779" i="3"/>
  <c r="AJ778" i="3"/>
  <c r="AJ777" i="3"/>
  <c r="AJ776" i="3"/>
  <c r="AJ775" i="3"/>
  <c r="AJ774" i="3"/>
  <c r="AJ773" i="3"/>
  <c r="AJ772" i="3"/>
  <c r="AJ771" i="3"/>
  <c r="AJ770" i="3"/>
  <c r="AJ769" i="3"/>
  <c r="AJ768" i="3"/>
  <c r="AJ767" i="3"/>
  <c r="AJ766" i="3"/>
  <c r="AJ765" i="3"/>
  <c r="AJ764" i="3"/>
  <c r="AJ763" i="3"/>
  <c r="AJ762" i="3"/>
  <c r="AJ761" i="3"/>
  <c r="AJ760" i="3"/>
  <c r="AJ759" i="3"/>
  <c r="AJ758" i="3"/>
  <c r="AJ757" i="3"/>
  <c r="AJ756" i="3"/>
  <c r="AJ755" i="3"/>
  <c r="AJ754" i="3"/>
  <c r="AJ753" i="3"/>
  <c r="AJ752" i="3"/>
  <c r="AJ751" i="3"/>
  <c r="AJ750" i="3"/>
  <c r="AJ749" i="3"/>
  <c r="AJ748" i="3"/>
  <c r="AJ747" i="3"/>
  <c r="AJ746" i="3"/>
  <c r="AJ745" i="3"/>
  <c r="AJ744" i="3"/>
  <c r="AJ743" i="3"/>
  <c r="AJ742" i="3"/>
  <c r="AJ741" i="3"/>
  <c r="AJ740" i="3"/>
  <c r="AJ739" i="3"/>
  <c r="AJ738" i="3"/>
  <c r="AJ737" i="3"/>
  <c r="AJ736" i="3"/>
  <c r="AJ735" i="3"/>
  <c r="AJ734" i="3"/>
  <c r="AJ733" i="3"/>
  <c r="AJ732" i="3"/>
  <c r="AJ731" i="3"/>
  <c r="AJ730" i="3"/>
  <c r="AJ729" i="3"/>
  <c r="AJ728" i="3"/>
  <c r="AJ727" i="3"/>
  <c r="AJ726" i="3"/>
  <c r="AJ725" i="3"/>
  <c r="AJ724" i="3"/>
  <c r="AJ723" i="3"/>
  <c r="AJ722" i="3"/>
  <c r="AJ721" i="3"/>
  <c r="AJ720" i="3"/>
  <c r="AJ719" i="3"/>
  <c r="AJ718" i="3"/>
  <c r="AJ717" i="3"/>
  <c r="AJ716" i="3"/>
  <c r="AJ715" i="3"/>
  <c r="AJ714" i="3"/>
  <c r="AJ713" i="3"/>
  <c r="AJ712" i="3"/>
  <c r="AJ711" i="3"/>
  <c r="AJ710" i="3"/>
  <c r="AJ709" i="3"/>
  <c r="AJ708" i="3"/>
  <c r="AJ707" i="3"/>
  <c r="AJ706" i="3"/>
  <c r="AJ705" i="3"/>
  <c r="AJ704" i="3"/>
  <c r="AJ703" i="3"/>
  <c r="AJ702" i="3"/>
  <c r="AJ701" i="3"/>
  <c r="AJ700" i="3"/>
  <c r="AJ699" i="3"/>
  <c r="AJ698" i="3"/>
  <c r="AJ697" i="3"/>
  <c r="AJ696" i="3"/>
  <c r="AJ695" i="3"/>
  <c r="AJ694" i="3"/>
  <c r="AJ693" i="3"/>
  <c r="AJ692" i="3"/>
  <c r="AJ691" i="3"/>
  <c r="AJ690" i="3"/>
  <c r="AJ689" i="3"/>
  <c r="AJ688" i="3"/>
  <c r="AJ687" i="3"/>
  <c r="AJ686" i="3"/>
  <c r="AJ685" i="3"/>
  <c r="AJ684" i="3"/>
  <c r="AJ683" i="3"/>
  <c r="AJ682" i="3"/>
  <c r="AJ681" i="3"/>
  <c r="AJ680" i="3"/>
  <c r="AJ679" i="3"/>
  <c r="AJ678" i="3"/>
  <c r="AJ677" i="3"/>
  <c r="AJ676" i="3"/>
  <c r="AJ675" i="3"/>
  <c r="AJ674" i="3"/>
  <c r="AJ673" i="3"/>
  <c r="AJ672" i="3"/>
  <c r="AJ671" i="3"/>
  <c r="AJ670" i="3"/>
  <c r="AJ669" i="3"/>
  <c r="AJ668" i="3"/>
  <c r="AJ667" i="3"/>
  <c r="AJ666" i="3"/>
  <c r="AJ665" i="3"/>
  <c r="AJ664" i="3"/>
  <c r="AJ663" i="3"/>
  <c r="AJ662" i="3"/>
  <c r="AJ661" i="3"/>
  <c r="AJ660" i="3"/>
  <c r="AJ659" i="3"/>
  <c r="AJ658" i="3"/>
  <c r="AJ657" i="3"/>
  <c r="AJ656" i="3"/>
  <c r="AJ655" i="3"/>
  <c r="AJ654" i="3"/>
  <c r="AJ653" i="3"/>
  <c r="AJ652" i="3"/>
  <c r="AJ651" i="3"/>
  <c r="AJ650" i="3"/>
  <c r="AJ649" i="3"/>
  <c r="AJ648" i="3"/>
  <c r="AJ647" i="3"/>
  <c r="AJ646" i="3"/>
  <c r="AJ645" i="3"/>
  <c r="AJ644" i="3"/>
  <c r="AJ643" i="3"/>
  <c r="AJ642" i="3"/>
  <c r="AJ641" i="3"/>
  <c r="AJ640" i="3"/>
  <c r="AJ639" i="3"/>
  <c r="AJ638" i="3"/>
  <c r="AJ637" i="3"/>
  <c r="AJ636" i="3"/>
  <c r="AJ635" i="3"/>
  <c r="AJ634" i="3"/>
  <c r="AJ633" i="3"/>
  <c r="AJ632" i="3"/>
  <c r="AJ631" i="3"/>
  <c r="AJ630" i="3"/>
  <c r="AJ629" i="3"/>
  <c r="AJ628" i="3"/>
  <c r="AJ627" i="3"/>
  <c r="AJ626" i="3"/>
  <c r="AJ625" i="3"/>
  <c r="AJ624" i="3"/>
  <c r="AJ623" i="3"/>
  <c r="AJ622" i="3"/>
  <c r="AJ621" i="3"/>
  <c r="AJ620" i="3"/>
  <c r="AJ619" i="3"/>
  <c r="AJ618" i="3"/>
  <c r="AJ617" i="3"/>
  <c r="AJ616" i="3"/>
  <c r="AJ615" i="3"/>
  <c r="AJ614" i="3"/>
  <c r="AJ613" i="3"/>
  <c r="AJ612" i="3"/>
  <c r="AJ611" i="3"/>
  <c r="AJ610" i="3"/>
  <c r="AJ609" i="3"/>
  <c r="AJ608" i="3"/>
  <c r="AJ607" i="3"/>
  <c r="AJ606" i="3"/>
  <c r="AJ605" i="3"/>
  <c r="AJ604" i="3"/>
  <c r="AJ603" i="3"/>
  <c r="AJ602" i="3"/>
  <c r="AJ601" i="3"/>
  <c r="AJ600" i="3"/>
  <c r="AJ599" i="3"/>
  <c r="AJ598" i="3"/>
  <c r="AJ597" i="3"/>
  <c r="AJ596" i="3"/>
  <c r="AJ595" i="3"/>
  <c r="AJ594" i="3"/>
  <c r="AJ593" i="3"/>
  <c r="AJ592" i="3"/>
  <c r="AJ591" i="3"/>
  <c r="AJ590" i="3"/>
  <c r="AJ589" i="3"/>
  <c r="AJ588" i="3"/>
  <c r="AJ587" i="3"/>
  <c r="AJ586" i="3"/>
  <c r="AJ585" i="3"/>
  <c r="AJ584" i="3"/>
  <c r="AJ583" i="3"/>
  <c r="AJ582" i="3"/>
  <c r="AJ581" i="3"/>
  <c r="AJ580" i="3"/>
  <c r="AJ579" i="3"/>
  <c r="AJ578" i="3"/>
  <c r="AJ577" i="3"/>
  <c r="AJ576" i="3"/>
  <c r="AJ575" i="3"/>
  <c r="AJ574" i="3"/>
  <c r="AJ573" i="3"/>
  <c r="AJ572" i="3"/>
  <c r="AJ571" i="3"/>
  <c r="AJ570" i="3"/>
  <c r="AJ569" i="3"/>
  <c r="AJ568" i="3"/>
  <c r="AJ567" i="3"/>
  <c r="AJ566" i="3"/>
  <c r="AJ565" i="3"/>
  <c r="AJ564" i="3"/>
  <c r="AJ563" i="3"/>
  <c r="AJ562" i="3"/>
  <c r="AJ561" i="3"/>
  <c r="AJ560" i="3"/>
  <c r="AJ559" i="3"/>
  <c r="AJ558" i="3"/>
  <c r="AJ557" i="3"/>
  <c r="AJ556" i="3"/>
  <c r="AJ555" i="3"/>
  <c r="AJ554" i="3"/>
  <c r="AJ553" i="3"/>
  <c r="AJ552" i="3"/>
  <c r="AJ551" i="3"/>
  <c r="AJ550" i="3"/>
  <c r="AJ549" i="3"/>
  <c r="AJ548" i="3"/>
  <c r="AJ547" i="3"/>
  <c r="AJ546" i="3"/>
  <c r="AJ545" i="3"/>
  <c r="AJ544" i="3"/>
  <c r="AJ543" i="3"/>
  <c r="AJ542" i="3"/>
  <c r="AJ541" i="3"/>
  <c r="AJ540" i="3"/>
  <c r="AJ539" i="3"/>
  <c r="AJ538" i="3"/>
  <c r="AJ537" i="3"/>
  <c r="AJ536" i="3"/>
  <c r="AJ535" i="3"/>
  <c r="AJ534" i="3"/>
  <c r="AJ533" i="3"/>
  <c r="AJ532" i="3"/>
  <c r="AJ531" i="3"/>
  <c r="AJ530" i="3"/>
  <c r="AJ529" i="3"/>
  <c r="AJ528" i="3"/>
  <c r="AJ527" i="3"/>
  <c r="AJ526" i="3"/>
  <c r="AJ525" i="3"/>
  <c r="AJ524" i="3"/>
  <c r="AJ523" i="3"/>
  <c r="AJ522" i="3"/>
  <c r="AJ521" i="3"/>
  <c r="AJ520" i="3"/>
  <c r="AJ519" i="3"/>
  <c r="AJ518" i="3"/>
  <c r="AJ517" i="3"/>
  <c r="AJ516" i="3"/>
  <c r="AJ515" i="3"/>
  <c r="AJ514" i="3"/>
  <c r="AJ513" i="3"/>
  <c r="AJ512" i="3"/>
  <c r="AJ511" i="3"/>
  <c r="AJ510" i="3"/>
  <c r="AJ509" i="3"/>
  <c r="AJ508" i="3"/>
  <c r="AJ507" i="3"/>
  <c r="AJ506" i="3"/>
  <c r="AJ505" i="3"/>
  <c r="AJ504" i="3"/>
  <c r="AJ503" i="3"/>
  <c r="AJ502" i="3"/>
  <c r="AJ501" i="3"/>
  <c r="AJ500" i="3"/>
  <c r="AJ499" i="3"/>
  <c r="AJ498" i="3"/>
  <c r="AJ497" i="3"/>
  <c r="AJ496" i="3"/>
  <c r="AJ495" i="3"/>
  <c r="AJ494" i="3"/>
  <c r="AJ493" i="3"/>
  <c r="AJ492" i="3"/>
  <c r="AJ491" i="3"/>
  <c r="AJ490" i="3"/>
  <c r="AJ489" i="3"/>
  <c r="AJ488" i="3"/>
  <c r="AJ487" i="3"/>
  <c r="AJ486" i="3"/>
  <c r="AJ485" i="3"/>
  <c r="AJ484" i="3"/>
  <c r="AJ483" i="3"/>
  <c r="AJ482" i="3"/>
  <c r="AJ481" i="3"/>
  <c r="AJ480" i="3"/>
  <c r="AJ479" i="3"/>
  <c r="AJ478" i="3"/>
  <c r="AJ477" i="3"/>
  <c r="AJ476" i="3"/>
  <c r="AJ475" i="3"/>
  <c r="AJ474" i="3"/>
  <c r="AJ473" i="3"/>
  <c r="AJ472" i="3"/>
  <c r="AJ471" i="3"/>
  <c r="AJ470" i="3"/>
  <c r="AJ469" i="3"/>
  <c r="AJ468" i="3"/>
  <c r="AJ467" i="3"/>
  <c r="AJ466" i="3"/>
  <c r="AJ465" i="3"/>
  <c r="AJ464" i="3"/>
  <c r="AJ463" i="3"/>
  <c r="AJ462" i="3"/>
  <c r="AJ461" i="3"/>
  <c r="AJ460" i="3"/>
  <c r="AJ459" i="3"/>
  <c r="AJ458" i="3"/>
  <c r="AJ457" i="3"/>
  <c r="AJ456" i="3"/>
  <c r="AJ455" i="3"/>
  <c r="AJ454" i="3"/>
  <c r="AJ453" i="3"/>
  <c r="AJ452" i="3"/>
  <c r="AJ451" i="3"/>
  <c r="AJ450" i="3"/>
  <c r="AJ449" i="3"/>
  <c r="AJ448" i="3"/>
  <c r="AJ447" i="3"/>
  <c r="AJ446" i="3"/>
  <c r="AJ445" i="3"/>
  <c r="AJ444" i="3"/>
  <c r="AJ443" i="3"/>
  <c r="AJ442" i="3"/>
  <c r="AJ441" i="3"/>
  <c r="AJ440" i="3"/>
  <c r="AJ439" i="3"/>
  <c r="AJ438" i="3"/>
  <c r="AJ437" i="3"/>
  <c r="AJ436" i="3"/>
  <c r="AJ435" i="3"/>
  <c r="AJ434" i="3"/>
  <c r="AJ433" i="3"/>
  <c r="AJ432" i="3"/>
  <c r="AJ431" i="3"/>
  <c r="AJ430" i="3"/>
  <c r="AJ429" i="3"/>
  <c r="AJ428" i="3"/>
  <c r="AJ427" i="3"/>
  <c r="AJ426" i="3"/>
  <c r="AJ425" i="3"/>
  <c r="AJ424" i="3"/>
  <c r="AJ423" i="3"/>
  <c r="AJ422" i="3"/>
  <c r="AJ421" i="3"/>
  <c r="AJ420" i="3"/>
  <c r="AJ419" i="3"/>
  <c r="AJ418" i="3"/>
  <c r="AJ417" i="3"/>
  <c r="AJ416" i="3"/>
  <c r="AJ415" i="3"/>
  <c r="AJ414" i="3"/>
  <c r="AJ413" i="3"/>
  <c r="AJ412" i="3"/>
  <c r="AJ411" i="3"/>
  <c r="AJ410" i="3"/>
  <c r="AJ409" i="3"/>
  <c r="AJ408" i="3"/>
  <c r="AJ407" i="3"/>
  <c r="AJ406" i="3"/>
  <c r="AJ405" i="3"/>
  <c r="AJ404" i="3"/>
  <c r="AJ403" i="3"/>
  <c r="AJ402" i="3"/>
  <c r="AJ401" i="3"/>
  <c r="AJ400" i="3"/>
  <c r="AJ399" i="3"/>
  <c r="AJ398" i="3"/>
  <c r="AJ397" i="3"/>
  <c r="AJ396" i="3"/>
  <c r="AJ395" i="3"/>
  <c r="AJ394" i="3"/>
  <c r="AJ393" i="3"/>
  <c r="AJ392" i="3"/>
  <c r="AJ391" i="3"/>
  <c r="AJ390" i="3"/>
  <c r="AJ389" i="3"/>
  <c r="AJ388" i="3"/>
  <c r="AJ387" i="3"/>
  <c r="AJ386" i="3"/>
  <c r="AJ385" i="3"/>
  <c r="AJ384" i="3"/>
  <c r="AJ383" i="3"/>
  <c r="AJ382" i="3"/>
  <c r="AJ381" i="3"/>
  <c r="AJ380" i="3"/>
  <c r="AJ379" i="3"/>
  <c r="AJ378" i="3"/>
  <c r="AJ377" i="3"/>
  <c r="AJ376" i="3"/>
  <c r="AJ375" i="3"/>
  <c r="AJ374" i="3"/>
  <c r="AJ373" i="3"/>
  <c r="AJ372" i="3"/>
  <c r="AJ371" i="3"/>
  <c r="AJ370" i="3"/>
  <c r="AJ369" i="3"/>
  <c r="AJ368" i="3"/>
  <c r="AJ367" i="3"/>
  <c r="AJ366" i="3"/>
  <c r="AJ365" i="3"/>
  <c r="AJ364" i="3"/>
  <c r="AJ363" i="3"/>
  <c r="AJ362" i="3"/>
  <c r="AJ361" i="3"/>
  <c r="AJ360" i="3"/>
  <c r="AJ359" i="3"/>
  <c r="AJ358" i="3"/>
  <c r="AJ357" i="3"/>
  <c r="AJ356" i="3"/>
  <c r="AJ355" i="3"/>
  <c r="AJ354" i="3"/>
  <c r="AJ353" i="3"/>
  <c r="AJ352" i="3"/>
  <c r="AJ351" i="3"/>
  <c r="AJ350" i="3"/>
  <c r="AJ349" i="3"/>
  <c r="AJ348" i="3"/>
  <c r="AJ347" i="3"/>
  <c r="AJ346" i="3"/>
  <c r="AJ345" i="3"/>
  <c r="AJ344" i="3"/>
  <c r="AJ343" i="3"/>
  <c r="AJ342" i="3"/>
  <c r="AJ341" i="3"/>
  <c r="AJ340" i="3"/>
  <c r="AJ339" i="3"/>
  <c r="AJ338" i="3"/>
  <c r="AJ337" i="3"/>
  <c r="AJ336" i="3"/>
  <c r="AJ335" i="3"/>
  <c r="AJ334" i="3"/>
  <c r="AJ333" i="3"/>
  <c r="AJ332" i="3"/>
  <c r="AJ331" i="3"/>
  <c r="AJ330" i="3"/>
  <c r="AJ329" i="3"/>
  <c r="AJ328" i="3"/>
  <c r="AJ327" i="3"/>
  <c r="AJ326" i="3"/>
  <c r="AJ325" i="3"/>
  <c r="AJ324" i="3"/>
  <c r="AJ323" i="3"/>
  <c r="AJ322" i="3"/>
  <c r="AJ321" i="3"/>
  <c r="AJ320" i="3"/>
  <c r="AJ319" i="3"/>
  <c r="AJ318" i="3"/>
  <c r="AJ317" i="3"/>
  <c r="AJ316" i="3"/>
  <c r="AJ315" i="3"/>
  <c r="AJ314" i="3"/>
  <c r="AJ313" i="3"/>
  <c r="AJ312" i="3"/>
  <c r="AJ311" i="3"/>
  <c r="AJ310" i="3"/>
  <c r="AJ309" i="3"/>
  <c r="AJ308" i="3"/>
  <c r="AJ307" i="3"/>
  <c r="AJ306" i="3"/>
  <c r="AJ305" i="3"/>
  <c r="AJ304" i="3"/>
  <c r="AJ303" i="3"/>
  <c r="AJ302" i="3"/>
  <c r="AJ301" i="3"/>
  <c r="AJ300" i="3"/>
  <c r="AJ299" i="3"/>
  <c r="AJ298" i="3"/>
  <c r="AJ297" i="3"/>
  <c r="AJ296" i="3"/>
  <c r="AJ295" i="3"/>
  <c r="AJ294" i="3"/>
  <c r="AJ293" i="3"/>
  <c r="AJ292" i="3"/>
  <c r="AJ291" i="3"/>
  <c r="AJ290" i="3"/>
  <c r="AJ289" i="3"/>
  <c r="AJ288" i="3"/>
  <c r="AJ287" i="3"/>
  <c r="AJ286" i="3"/>
  <c r="AJ285" i="3"/>
  <c r="AJ284" i="3"/>
  <c r="AJ283" i="3"/>
  <c r="AJ282" i="3"/>
  <c r="AJ281" i="3"/>
  <c r="AJ280" i="3"/>
  <c r="AJ279" i="3"/>
  <c r="AJ278" i="3"/>
  <c r="AJ277" i="3"/>
  <c r="AJ276" i="3"/>
  <c r="AJ275" i="3"/>
  <c r="AJ274" i="3"/>
  <c r="AJ273" i="3"/>
  <c r="AJ272" i="3"/>
  <c r="AJ271" i="3"/>
  <c r="AJ270" i="3"/>
  <c r="AJ269" i="3"/>
  <c r="AJ268" i="3"/>
  <c r="AJ267" i="3"/>
  <c r="AJ266" i="3"/>
  <c r="AJ265" i="3"/>
  <c r="AJ264" i="3"/>
  <c r="AJ263" i="3"/>
  <c r="AJ262" i="3"/>
  <c r="AJ261" i="3"/>
  <c r="AJ260" i="3"/>
  <c r="AJ259" i="3"/>
  <c r="AJ258" i="3"/>
  <c r="AJ257" i="3"/>
  <c r="AJ256" i="3"/>
  <c r="AJ255" i="3"/>
  <c r="AJ254" i="3"/>
  <c r="AJ253" i="3"/>
  <c r="AJ252" i="3"/>
  <c r="AJ251" i="3"/>
  <c r="AJ250" i="3"/>
  <c r="AJ249" i="3"/>
  <c r="AJ248" i="3"/>
  <c r="AJ247" i="3"/>
  <c r="AJ246" i="3"/>
  <c r="AJ245" i="3"/>
  <c r="AJ244" i="3"/>
  <c r="AJ243" i="3"/>
  <c r="AJ242" i="3"/>
  <c r="AJ241" i="3"/>
  <c r="AJ240" i="3"/>
  <c r="AJ239" i="3"/>
  <c r="AJ238" i="3"/>
  <c r="AJ237" i="3"/>
  <c r="AJ236" i="3"/>
  <c r="AJ235" i="3"/>
  <c r="AJ234" i="3"/>
  <c r="AJ233" i="3"/>
  <c r="AJ232" i="3"/>
  <c r="AJ231" i="3"/>
  <c r="AJ230" i="3"/>
  <c r="AJ229" i="3"/>
  <c r="AJ228" i="3"/>
  <c r="AJ227" i="3"/>
  <c r="AJ226" i="3"/>
  <c r="AJ225" i="3"/>
  <c r="AJ224" i="3"/>
  <c r="AJ223" i="3"/>
  <c r="AJ222" i="3"/>
  <c r="AJ221" i="3"/>
  <c r="AJ220" i="3"/>
  <c r="AJ219" i="3"/>
  <c r="AJ218" i="3"/>
  <c r="AJ217" i="3"/>
  <c r="AJ216" i="3"/>
  <c r="AJ215" i="3"/>
  <c r="AJ214" i="3"/>
  <c r="AJ213" i="3"/>
  <c r="AJ212" i="3"/>
  <c r="AJ211" i="3"/>
  <c r="AJ210" i="3"/>
  <c r="AJ209" i="3"/>
  <c r="AJ208" i="3"/>
  <c r="AJ207" i="3"/>
  <c r="AJ206" i="3"/>
  <c r="AJ205" i="3"/>
  <c r="AJ204" i="3"/>
  <c r="AJ203" i="3"/>
  <c r="AJ202" i="3"/>
  <c r="AJ201" i="3"/>
  <c r="AJ200" i="3"/>
  <c r="AJ199" i="3"/>
  <c r="AJ198" i="3"/>
  <c r="AJ197" i="3"/>
  <c r="AJ196" i="3"/>
  <c r="AJ195" i="3"/>
  <c r="AJ194" i="3"/>
  <c r="AJ193" i="3"/>
  <c r="AJ192" i="3"/>
  <c r="AJ191" i="3"/>
  <c r="AJ190" i="3"/>
  <c r="AJ189" i="3"/>
  <c r="AJ188" i="3"/>
  <c r="AJ187" i="3"/>
  <c r="AJ186" i="3"/>
  <c r="AJ185" i="3"/>
  <c r="AJ184" i="3"/>
  <c r="AJ183" i="3"/>
  <c r="AJ182" i="3"/>
  <c r="AJ181" i="3"/>
  <c r="AJ180" i="3"/>
  <c r="AJ179" i="3"/>
  <c r="AJ178" i="3"/>
  <c r="AJ177" i="3"/>
  <c r="AJ176" i="3"/>
  <c r="AJ175" i="3"/>
  <c r="AJ174" i="3"/>
  <c r="AJ173" i="3"/>
  <c r="AJ172" i="3"/>
  <c r="AJ171" i="3"/>
  <c r="AJ170" i="3"/>
  <c r="AJ169" i="3"/>
  <c r="AJ168" i="3"/>
  <c r="AJ167" i="3"/>
  <c r="AJ166" i="3"/>
  <c r="AJ165" i="3"/>
  <c r="AJ164" i="3"/>
  <c r="AJ163" i="3"/>
  <c r="AJ162" i="3"/>
  <c r="AJ161" i="3"/>
  <c r="AJ160" i="3"/>
  <c r="AJ159" i="3"/>
  <c r="AJ158" i="3"/>
  <c r="AJ157" i="3"/>
  <c r="AJ156" i="3"/>
  <c r="AJ155" i="3"/>
  <c r="AJ154" i="3"/>
  <c r="AJ153" i="3"/>
  <c r="AJ152" i="3"/>
  <c r="AJ151" i="3"/>
  <c r="AJ150" i="3"/>
  <c r="AJ149" i="3"/>
  <c r="AJ148" i="3"/>
  <c r="AJ147" i="3"/>
  <c r="AJ146" i="3"/>
  <c r="AJ145" i="3"/>
  <c r="AJ144" i="3"/>
  <c r="AJ143" i="3"/>
  <c r="AJ142" i="3"/>
  <c r="AJ141" i="3"/>
  <c r="AJ140" i="3"/>
  <c r="AJ139" i="3"/>
  <c r="AJ138" i="3"/>
  <c r="AJ137" i="3"/>
  <c r="AJ136" i="3"/>
  <c r="AJ135" i="3"/>
  <c r="AJ134" i="3"/>
  <c r="AJ133" i="3"/>
  <c r="AJ132" i="3"/>
  <c r="AJ131" i="3"/>
  <c r="AJ130" i="3"/>
  <c r="AJ129" i="3"/>
  <c r="AJ128" i="3"/>
  <c r="AJ127" i="3"/>
  <c r="AJ126" i="3"/>
  <c r="AJ125" i="3"/>
  <c r="AJ124" i="3"/>
  <c r="AJ123" i="3"/>
  <c r="AJ122" i="3"/>
  <c r="AJ121" i="3"/>
  <c r="AJ120" i="3"/>
  <c r="AJ119" i="3"/>
  <c r="AJ118" i="3"/>
  <c r="AJ117" i="3"/>
  <c r="AJ116" i="3"/>
  <c r="AJ115" i="3"/>
  <c r="AJ114" i="3"/>
  <c r="AJ113" i="3"/>
  <c r="AJ112" i="3"/>
  <c r="AJ111" i="3"/>
  <c r="AJ110" i="3"/>
  <c r="AJ109" i="3"/>
  <c r="AJ108" i="3"/>
  <c r="AJ107" i="3"/>
  <c r="AJ106" i="3"/>
  <c r="AJ105" i="3"/>
  <c r="AJ104" i="3"/>
  <c r="AJ103" i="3"/>
  <c r="AJ102" i="3"/>
  <c r="AJ101" i="3"/>
  <c r="AJ100" i="3"/>
  <c r="AJ99" i="3"/>
  <c r="AJ98" i="3"/>
  <c r="AJ97" i="3"/>
  <c r="AJ96" i="3"/>
  <c r="AJ95" i="3"/>
  <c r="AJ94" i="3"/>
  <c r="AJ93" i="3"/>
  <c r="AJ92" i="3"/>
  <c r="AJ91" i="3"/>
  <c r="AJ90" i="3"/>
  <c r="AJ89" i="3"/>
  <c r="AJ88" i="3"/>
  <c r="AJ87" i="3"/>
  <c r="AJ86" i="3"/>
  <c r="AJ85" i="3"/>
  <c r="AJ84" i="3"/>
  <c r="AJ83" i="3"/>
  <c r="AJ82" i="3"/>
  <c r="AJ81" i="3"/>
  <c r="AJ80" i="3"/>
  <c r="AJ79" i="3"/>
  <c r="AJ78" i="3"/>
  <c r="AJ77" i="3"/>
  <c r="AJ76" i="3"/>
  <c r="AJ75" i="3"/>
  <c r="AJ74" i="3"/>
  <c r="AJ73" i="3"/>
  <c r="AJ72" i="3"/>
  <c r="AJ71" i="3"/>
  <c r="AJ70" i="3"/>
  <c r="AJ69" i="3"/>
  <c r="AJ68" i="3"/>
  <c r="AJ67" i="3"/>
  <c r="AJ66" i="3"/>
  <c r="AJ65" i="3"/>
  <c r="AJ64" i="3"/>
  <c r="AJ63" i="3"/>
  <c r="AJ62" i="3"/>
  <c r="AJ61" i="3"/>
  <c r="AJ60" i="3"/>
  <c r="AJ59" i="3"/>
  <c r="AJ58" i="3"/>
  <c r="AJ57" i="3"/>
  <c r="AJ56" i="3"/>
  <c r="AJ55" i="3"/>
  <c r="AJ54" i="3"/>
  <c r="AJ53" i="3"/>
  <c r="AJ52" i="3"/>
  <c r="AJ51" i="3"/>
  <c r="AJ50" i="3"/>
  <c r="AJ49" i="3"/>
  <c r="AJ48" i="3"/>
  <c r="AJ47" i="3"/>
  <c r="AJ46" i="3"/>
  <c r="AJ45" i="3"/>
  <c r="AJ44" i="3"/>
  <c r="AJ43" i="3"/>
  <c r="AJ42" i="3"/>
  <c r="AJ41" i="3"/>
  <c r="AJ40" i="3"/>
  <c r="AJ39" i="3"/>
  <c r="AJ38" i="3"/>
  <c r="AJ37" i="3"/>
  <c r="AJ36" i="3"/>
  <c r="AJ35" i="3"/>
  <c r="AJ34" i="3"/>
  <c r="AJ33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Z1012" i="3"/>
  <c r="Z1011" i="3"/>
  <c r="Z1010" i="3"/>
  <c r="Z1009" i="3"/>
  <c r="Z1008" i="3"/>
  <c r="Z1007" i="3"/>
  <c r="Z1006" i="3"/>
  <c r="Z1005" i="3"/>
  <c r="Z1004" i="3"/>
  <c r="Z1003" i="3"/>
  <c r="Z1002" i="3"/>
  <c r="Z1001" i="3"/>
  <c r="Z1000" i="3"/>
  <c r="Z999" i="3"/>
  <c r="Z998" i="3"/>
  <c r="Z997" i="3"/>
  <c r="Z996" i="3"/>
  <c r="Z995" i="3"/>
  <c r="Z994" i="3"/>
  <c r="Z993" i="3"/>
  <c r="Z992" i="3"/>
  <c r="Z991" i="3"/>
  <c r="Z990" i="3"/>
  <c r="Z989" i="3"/>
  <c r="Z988" i="3"/>
  <c r="Z987" i="3"/>
  <c r="Z986" i="3"/>
  <c r="Z985" i="3"/>
  <c r="Z984" i="3"/>
  <c r="Z983" i="3"/>
  <c r="Z982" i="3"/>
  <c r="Z981" i="3"/>
  <c r="Z980" i="3"/>
  <c r="Z979" i="3"/>
  <c r="Z978" i="3"/>
  <c r="Z977" i="3"/>
  <c r="Z976" i="3"/>
  <c r="Z975" i="3"/>
  <c r="Z974" i="3"/>
  <c r="Z973" i="3"/>
  <c r="Z972" i="3"/>
  <c r="Z971" i="3"/>
  <c r="Z970" i="3"/>
  <c r="Z969" i="3"/>
  <c r="Z968" i="3"/>
  <c r="Z967" i="3"/>
  <c r="Z966" i="3"/>
  <c r="Z965" i="3"/>
  <c r="Z964" i="3"/>
  <c r="Z963" i="3"/>
  <c r="Z962" i="3"/>
  <c r="Z961" i="3"/>
  <c r="Z960" i="3"/>
  <c r="Z959" i="3"/>
  <c r="Z958" i="3"/>
  <c r="Z957" i="3"/>
  <c r="Z956" i="3"/>
  <c r="Z955" i="3"/>
  <c r="Z954" i="3"/>
  <c r="Z953" i="3"/>
  <c r="Z952" i="3"/>
  <c r="Z951" i="3"/>
  <c r="Z950" i="3"/>
  <c r="Z949" i="3"/>
  <c r="Z948" i="3"/>
  <c r="Z947" i="3"/>
  <c r="Z946" i="3"/>
  <c r="Z945" i="3"/>
  <c r="Z944" i="3"/>
  <c r="Z943" i="3"/>
  <c r="Z942" i="3"/>
  <c r="Z941" i="3"/>
  <c r="Z940" i="3"/>
  <c r="Z939" i="3"/>
  <c r="Z938" i="3"/>
  <c r="Z937" i="3"/>
  <c r="Z936" i="3"/>
  <c r="Z935" i="3"/>
  <c r="Z934" i="3"/>
  <c r="Z933" i="3"/>
  <c r="Z932" i="3"/>
  <c r="Z931" i="3"/>
  <c r="Z930" i="3"/>
  <c r="Z929" i="3"/>
  <c r="Z928" i="3"/>
  <c r="Z927" i="3"/>
  <c r="Z926" i="3"/>
  <c r="Z925" i="3"/>
  <c r="Z924" i="3"/>
  <c r="Z923" i="3"/>
  <c r="Z922" i="3"/>
  <c r="Z921" i="3"/>
  <c r="Z920" i="3"/>
  <c r="Z919" i="3"/>
  <c r="Z918" i="3"/>
  <c r="Z917" i="3"/>
  <c r="Z916" i="3"/>
  <c r="Z915" i="3"/>
  <c r="Z914" i="3"/>
  <c r="Z913" i="3"/>
  <c r="Z912" i="3"/>
  <c r="Z911" i="3"/>
  <c r="Z910" i="3"/>
  <c r="Z909" i="3"/>
  <c r="Z908" i="3"/>
  <c r="Z907" i="3"/>
  <c r="Z906" i="3"/>
  <c r="Z905" i="3"/>
  <c r="Z904" i="3"/>
  <c r="Z903" i="3"/>
  <c r="Z902" i="3"/>
  <c r="Z901" i="3"/>
  <c r="Z900" i="3"/>
  <c r="Z899" i="3"/>
  <c r="Z898" i="3"/>
  <c r="Z897" i="3"/>
  <c r="Z896" i="3"/>
  <c r="Z895" i="3"/>
  <c r="Z894" i="3"/>
  <c r="Z893" i="3"/>
  <c r="Z892" i="3"/>
  <c r="Z891" i="3"/>
  <c r="Z890" i="3"/>
  <c r="Z889" i="3"/>
  <c r="Z888" i="3"/>
  <c r="Z887" i="3"/>
  <c r="Z886" i="3"/>
  <c r="Z885" i="3"/>
  <c r="Z884" i="3"/>
  <c r="Z883" i="3"/>
  <c r="Z882" i="3"/>
  <c r="Z881" i="3"/>
  <c r="Z880" i="3"/>
  <c r="Z879" i="3"/>
  <c r="Z878" i="3"/>
  <c r="Z877" i="3"/>
  <c r="Z876" i="3"/>
  <c r="Z875" i="3"/>
  <c r="Z874" i="3"/>
  <c r="Z873" i="3"/>
  <c r="Z872" i="3"/>
  <c r="Z871" i="3"/>
  <c r="Z870" i="3"/>
  <c r="Z869" i="3"/>
  <c r="Z868" i="3"/>
  <c r="Z867" i="3"/>
  <c r="Z866" i="3"/>
  <c r="Z865" i="3"/>
  <c r="Z864" i="3"/>
  <c r="Z863" i="3"/>
  <c r="Z862" i="3"/>
  <c r="Z861" i="3"/>
  <c r="Z860" i="3"/>
  <c r="Z859" i="3"/>
  <c r="Z858" i="3"/>
  <c r="Z857" i="3"/>
  <c r="Z856" i="3"/>
  <c r="Z855" i="3"/>
  <c r="Z854" i="3"/>
  <c r="Z853" i="3"/>
  <c r="Z852" i="3"/>
  <c r="Z851" i="3"/>
  <c r="Z850" i="3"/>
  <c r="Z849" i="3"/>
  <c r="Z848" i="3"/>
  <c r="Z847" i="3"/>
  <c r="Z846" i="3"/>
  <c r="Z845" i="3"/>
  <c r="Z844" i="3"/>
  <c r="Z843" i="3"/>
  <c r="Z842" i="3"/>
  <c r="Z841" i="3"/>
  <c r="Z840" i="3"/>
  <c r="Z839" i="3"/>
  <c r="Z838" i="3"/>
  <c r="Z837" i="3"/>
  <c r="Z836" i="3"/>
  <c r="Z835" i="3"/>
  <c r="Z834" i="3"/>
  <c r="Z833" i="3"/>
  <c r="Z832" i="3"/>
  <c r="Z831" i="3"/>
  <c r="Z830" i="3"/>
  <c r="Z829" i="3"/>
  <c r="Z828" i="3"/>
  <c r="Z827" i="3"/>
  <c r="Z826" i="3"/>
  <c r="Z825" i="3"/>
  <c r="Z824" i="3"/>
  <c r="Z823" i="3"/>
  <c r="Z822" i="3"/>
  <c r="Z821" i="3"/>
  <c r="Z820" i="3"/>
  <c r="Z819" i="3"/>
  <c r="Z818" i="3"/>
  <c r="Z817" i="3"/>
  <c r="Z816" i="3"/>
  <c r="Z815" i="3"/>
  <c r="Z814" i="3"/>
  <c r="Z813" i="3"/>
  <c r="Z812" i="3"/>
  <c r="Z811" i="3"/>
  <c r="Z810" i="3"/>
  <c r="Z809" i="3"/>
  <c r="Z808" i="3"/>
  <c r="Z807" i="3"/>
  <c r="Z806" i="3"/>
  <c r="Z805" i="3"/>
  <c r="Z804" i="3"/>
  <c r="Z803" i="3"/>
  <c r="Z802" i="3"/>
  <c r="Z801" i="3"/>
  <c r="Z800" i="3"/>
  <c r="Z799" i="3"/>
  <c r="Z798" i="3"/>
  <c r="Z797" i="3"/>
  <c r="Z796" i="3"/>
  <c r="Z795" i="3"/>
  <c r="Z794" i="3"/>
  <c r="Z793" i="3"/>
  <c r="Z792" i="3"/>
  <c r="Z791" i="3"/>
  <c r="Z790" i="3"/>
  <c r="Z789" i="3"/>
  <c r="Z788" i="3"/>
  <c r="Z787" i="3"/>
  <c r="Z786" i="3"/>
  <c r="Z785" i="3"/>
  <c r="Z784" i="3"/>
  <c r="Z783" i="3"/>
  <c r="Z782" i="3"/>
  <c r="Z781" i="3"/>
  <c r="Z780" i="3"/>
  <c r="Z779" i="3"/>
  <c r="Z778" i="3"/>
  <c r="Z777" i="3"/>
  <c r="Z776" i="3"/>
  <c r="Z775" i="3"/>
  <c r="Z774" i="3"/>
  <c r="Z773" i="3"/>
  <c r="Z772" i="3"/>
  <c r="Z771" i="3"/>
  <c r="Z770" i="3"/>
  <c r="Z769" i="3"/>
  <c r="Z768" i="3"/>
  <c r="Z767" i="3"/>
  <c r="Z766" i="3"/>
  <c r="Z765" i="3"/>
  <c r="Z764" i="3"/>
  <c r="Z763" i="3"/>
  <c r="Z762" i="3"/>
  <c r="Z761" i="3"/>
  <c r="Z760" i="3"/>
  <c r="Z759" i="3"/>
  <c r="Z758" i="3"/>
  <c r="Z757" i="3"/>
  <c r="Z756" i="3"/>
  <c r="Z755" i="3"/>
  <c r="Z754" i="3"/>
  <c r="Z753" i="3"/>
  <c r="Z752" i="3"/>
  <c r="Z751" i="3"/>
  <c r="Z750" i="3"/>
  <c r="Z749" i="3"/>
  <c r="Z748" i="3"/>
  <c r="Z747" i="3"/>
  <c r="Z746" i="3"/>
  <c r="Z745" i="3"/>
  <c r="Z744" i="3"/>
  <c r="Z743" i="3"/>
  <c r="Z742" i="3"/>
  <c r="Z741" i="3"/>
  <c r="Z740" i="3"/>
  <c r="Z739" i="3"/>
  <c r="Z738" i="3"/>
  <c r="Z737" i="3"/>
  <c r="Z736" i="3"/>
  <c r="Z735" i="3"/>
  <c r="Z734" i="3"/>
  <c r="Z733" i="3"/>
  <c r="Z732" i="3"/>
  <c r="Z731" i="3"/>
  <c r="Z730" i="3"/>
  <c r="Z729" i="3"/>
  <c r="Z728" i="3"/>
  <c r="Z727" i="3"/>
  <c r="Z726" i="3"/>
  <c r="Z725" i="3"/>
  <c r="Z724" i="3"/>
  <c r="Z723" i="3"/>
  <c r="Z722" i="3"/>
  <c r="Z721" i="3"/>
  <c r="Z720" i="3"/>
  <c r="Z719" i="3"/>
  <c r="Z718" i="3"/>
  <c r="Z717" i="3"/>
  <c r="Z716" i="3"/>
  <c r="Z715" i="3"/>
  <c r="Z714" i="3"/>
  <c r="Z713" i="3"/>
  <c r="Z712" i="3"/>
  <c r="Z711" i="3"/>
  <c r="Z710" i="3"/>
  <c r="Z709" i="3"/>
  <c r="Z708" i="3"/>
  <c r="Z707" i="3"/>
  <c r="Z706" i="3"/>
  <c r="Z705" i="3"/>
  <c r="Z704" i="3"/>
  <c r="Z703" i="3"/>
  <c r="Z702" i="3"/>
  <c r="Z701" i="3"/>
  <c r="Z700" i="3"/>
  <c r="Z699" i="3"/>
  <c r="Z698" i="3"/>
  <c r="Z697" i="3"/>
  <c r="Z696" i="3"/>
  <c r="Z695" i="3"/>
  <c r="Z694" i="3"/>
  <c r="Z693" i="3"/>
  <c r="Z692" i="3"/>
  <c r="Z691" i="3"/>
  <c r="Z690" i="3"/>
  <c r="Z689" i="3"/>
  <c r="Z688" i="3"/>
  <c r="Z687" i="3"/>
  <c r="Z686" i="3"/>
  <c r="Z685" i="3"/>
  <c r="Z684" i="3"/>
  <c r="Z683" i="3"/>
  <c r="Z682" i="3"/>
  <c r="Z681" i="3"/>
  <c r="Z680" i="3"/>
  <c r="Z679" i="3"/>
  <c r="Z678" i="3"/>
  <c r="Z677" i="3"/>
  <c r="Z676" i="3"/>
  <c r="Z675" i="3"/>
  <c r="Z674" i="3"/>
  <c r="Z673" i="3"/>
  <c r="Z672" i="3"/>
  <c r="Z671" i="3"/>
  <c r="Z670" i="3"/>
  <c r="Z669" i="3"/>
  <c r="Z668" i="3"/>
  <c r="Z667" i="3"/>
  <c r="Z666" i="3"/>
  <c r="Z665" i="3"/>
  <c r="Z664" i="3"/>
  <c r="Z663" i="3"/>
  <c r="Z662" i="3"/>
  <c r="Z661" i="3"/>
  <c r="Z660" i="3"/>
  <c r="Z659" i="3"/>
  <c r="Z658" i="3"/>
  <c r="Z657" i="3"/>
  <c r="Z656" i="3"/>
  <c r="Z655" i="3"/>
  <c r="Z654" i="3"/>
  <c r="Z653" i="3"/>
  <c r="Z652" i="3"/>
  <c r="Z651" i="3"/>
  <c r="Z650" i="3"/>
  <c r="Z649" i="3"/>
  <c r="Z648" i="3"/>
  <c r="Z647" i="3"/>
  <c r="Z646" i="3"/>
  <c r="Z645" i="3"/>
  <c r="Z644" i="3"/>
  <c r="Z643" i="3"/>
  <c r="Z642" i="3"/>
  <c r="Z641" i="3"/>
  <c r="Z640" i="3"/>
  <c r="Z639" i="3"/>
  <c r="Z638" i="3"/>
  <c r="Z637" i="3"/>
  <c r="Z636" i="3"/>
  <c r="Z635" i="3"/>
  <c r="Z634" i="3"/>
  <c r="Z633" i="3"/>
  <c r="Z632" i="3"/>
  <c r="Z631" i="3"/>
  <c r="Z630" i="3"/>
  <c r="Z629" i="3"/>
  <c r="Z628" i="3"/>
  <c r="Z627" i="3"/>
  <c r="Z626" i="3"/>
  <c r="Z625" i="3"/>
  <c r="Z624" i="3"/>
  <c r="Z623" i="3"/>
  <c r="Z622" i="3"/>
  <c r="Z621" i="3"/>
  <c r="Z620" i="3"/>
  <c r="Z619" i="3"/>
  <c r="Z618" i="3"/>
  <c r="Z617" i="3"/>
  <c r="Z616" i="3"/>
  <c r="Z615" i="3"/>
  <c r="Z614" i="3"/>
  <c r="Z613" i="3"/>
  <c r="Z612" i="3"/>
  <c r="Z611" i="3"/>
  <c r="Z610" i="3"/>
  <c r="Z609" i="3"/>
  <c r="Z608" i="3"/>
  <c r="Z607" i="3"/>
  <c r="Z606" i="3"/>
  <c r="Z605" i="3"/>
  <c r="Z604" i="3"/>
  <c r="Z603" i="3"/>
  <c r="Z602" i="3"/>
  <c r="Z601" i="3"/>
  <c r="Z600" i="3"/>
  <c r="Z599" i="3"/>
  <c r="Z598" i="3"/>
  <c r="Z597" i="3"/>
  <c r="Z596" i="3"/>
  <c r="Z595" i="3"/>
  <c r="Z594" i="3"/>
  <c r="Z593" i="3"/>
  <c r="Z592" i="3"/>
  <c r="Z591" i="3"/>
  <c r="Z590" i="3"/>
  <c r="Z589" i="3"/>
  <c r="Z588" i="3"/>
  <c r="Z587" i="3"/>
  <c r="Z586" i="3"/>
  <c r="Z585" i="3"/>
  <c r="Z584" i="3"/>
  <c r="Z583" i="3"/>
  <c r="Z582" i="3"/>
  <c r="Z581" i="3"/>
  <c r="Z580" i="3"/>
  <c r="Z579" i="3"/>
  <c r="Z578" i="3"/>
  <c r="Z577" i="3"/>
  <c r="Z576" i="3"/>
  <c r="Z575" i="3"/>
  <c r="Z574" i="3"/>
  <c r="Z573" i="3"/>
  <c r="Z572" i="3"/>
  <c r="Z571" i="3"/>
  <c r="Z570" i="3"/>
  <c r="Z569" i="3"/>
  <c r="Z568" i="3"/>
  <c r="Z567" i="3"/>
  <c r="Z566" i="3"/>
  <c r="Z565" i="3"/>
  <c r="Z564" i="3"/>
  <c r="Z563" i="3"/>
  <c r="Z562" i="3"/>
  <c r="Z561" i="3"/>
  <c r="Z560" i="3"/>
  <c r="Z559" i="3"/>
  <c r="Z558" i="3"/>
  <c r="Z557" i="3"/>
  <c r="Z556" i="3"/>
  <c r="Z555" i="3"/>
  <c r="Z554" i="3"/>
  <c r="Z553" i="3"/>
  <c r="Z552" i="3"/>
  <c r="Z551" i="3"/>
  <c r="Z550" i="3"/>
  <c r="Z549" i="3"/>
  <c r="Z548" i="3"/>
  <c r="Z547" i="3"/>
  <c r="Z546" i="3"/>
  <c r="Z545" i="3"/>
  <c r="Z544" i="3"/>
  <c r="Z543" i="3"/>
  <c r="Z542" i="3"/>
  <c r="Z541" i="3"/>
  <c r="Z540" i="3"/>
  <c r="Z539" i="3"/>
  <c r="Z538" i="3"/>
  <c r="Z537" i="3"/>
  <c r="Z536" i="3"/>
  <c r="Z535" i="3"/>
  <c r="Z534" i="3"/>
  <c r="Z533" i="3"/>
  <c r="Z532" i="3"/>
  <c r="Z531" i="3"/>
  <c r="Z530" i="3"/>
  <c r="Z529" i="3"/>
  <c r="Z528" i="3"/>
  <c r="Z527" i="3"/>
  <c r="Z526" i="3"/>
  <c r="Z525" i="3"/>
  <c r="Z524" i="3"/>
  <c r="Z523" i="3"/>
  <c r="Z522" i="3"/>
  <c r="Z521" i="3"/>
  <c r="Z520" i="3"/>
  <c r="Z519" i="3"/>
  <c r="Z518" i="3"/>
  <c r="Z517" i="3"/>
  <c r="Z516" i="3"/>
  <c r="Z515" i="3"/>
  <c r="Z514" i="3"/>
  <c r="Z513" i="3"/>
  <c r="Z512" i="3"/>
  <c r="Z511" i="3"/>
  <c r="Z510" i="3"/>
  <c r="Z509" i="3"/>
  <c r="Z508" i="3"/>
  <c r="Z507" i="3"/>
  <c r="Z506" i="3"/>
  <c r="Z505" i="3"/>
  <c r="Z504" i="3"/>
  <c r="Z503" i="3"/>
  <c r="Z502" i="3"/>
  <c r="Z501" i="3"/>
  <c r="Z500" i="3"/>
  <c r="Z499" i="3"/>
  <c r="Z498" i="3"/>
  <c r="Z497" i="3"/>
  <c r="Z496" i="3"/>
  <c r="Z495" i="3"/>
  <c r="Z494" i="3"/>
  <c r="Z493" i="3"/>
  <c r="Z492" i="3"/>
  <c r="Z491" i="3"/>
  <c r="Z490" i="3"/>
  <c r="Z489" i="3"/>
  <c r="Z488" i="3"/>
  <c r="Z487" i="3"/>
  <c r="Z486" i="3"/>
  <c r="Z485" i="3"/>
  <c r="Z484" i="3"/>
  <c r="Z483" i="3"/>
  <c r="Z482" i="3"/>
  <c r="Z481" i="3"/>
  <c r="Z480" i="3"/>
  <c r="Z479" i="3"/>
  <c r="Z478" i="3"/>
  <c r="Z477" i="3"/>
  <c r="Z476" i="3"/>
  <c r="Z475" i="3"/>
  <c r="Z474" i="3"/>
  <c r="Z473" i="3"/>
  <c r="Z472" i="3"/>
  <c r="Z471" i="3"/>
  <c r="Z470" i="3"/>
  <c r="Z469" i="3"/>
  <c r="Z468" i="3"/>
  <c r="Z467" i="3"/>
  <c r="Z466" i="3"/>
  <c r="Z465" i="3"/>
  <c r="Z464" i="3"/>
  <c r="Z463" i="3"/>
  <c r="Z462" i="3"/>
  <c r="Z461" i="3"/>
  <c r="Z460" i="3"/>
  <c r="Z459" i="3"/>
  <c r="Z458" i="3"/>
  <c r="Z457" i="3"/>
  <c r="Z456" i="3"/>
  <c r="Z455" i="3"/>
  <c r="Z454" i="3"/>
  <c r="Z453" i="3"/>
  <c r="Z452" i="3"/>
  <c r="Z451" i="3"/>
  <c r="Z450" i="3"/>
  <c r="Z449" i="3"/>
  <c r="Z448" i="3"/>
  <c r="Z447" i="3"/>
  <c r="Z446" i="3"/>
  <c r="Z445" i="3"/>
  <c r="Z444" i="3"/>
  <c r="Z443" i="3"/>
  <c r="Z442" i="3"/>
  <c r="Z441" i="3"/>
  <c r="Z440" i="3"/>
  <c r="Z439" i="3"/>
  <c r="Z438" i="3"/>
  <c r="Z437" i="3"/>
  <c r="Z436" i="3"/>
  <c r="Z435" i="3"/>
  <c r="Z434" i="3"/>
  <c r="Z433" i="3"/>
  <c r="Z432" i="3"/>
  <c r="Z431" i="3"/>
  <c r="Z430" i="3"/>
  <c r="Z429" i="3"/>
  <c r="Z428" i="3"/>
  <c r="Z427" i="3"/>
  <c r="Z426" i="3"/>
  <c r="Z425" i="3"/>
  <c r="Z424" i="3"/>
  <c r="Z423" i="3"/>
  <c r="Z422" i="3"/>
  <c r="Z421" i="3"/>
  <c r="Z420" i="3"/>
  <c r="Z419" i="3"/>
  <c r="Z418" i="3"/>
  <c r="Z417" i="3"/>
  <c r="Z416" i="3"/>
  <c r="Z415" i="3"/>
  <c r="Z414" i="3"/>
  <c r="Z413" i="3"/>
  <c r="Z412" i="3"/>
  <c r="Z411" i="3"/>
  <c r="Z410" i="3"/>
  <c r="Z409" i="3"/>
  <c r="Z408" i="3"/>
  <c r="Z407" i="3"/>
  <c r="Z406" i="3"/>
  <c r="Z405" i="3"/>
  <c r="Z404" i="3"/>
  <c r="Z403" i="3"/>
  <c r="Z402" i="3"/>
  <c r="Z401" i="3"/>
  <c r="Z400" i="3"/>
  <c r="Z399" i="3"/>
  <c r="Z398" i="3"/>
  <c r="Z397" i="3"/>
  <c r="Z396" i="3"/>
  <c r="Z395" i="3"/>
  <c r="Z394" i="3"/>
  <c r="Z393" i="3"/>
  <c r="Z392" i="3"/>
  <c r="Z391" i="3"/>
  <c r="Z390" i="3"/>
  <c r="Z389" i="3"/>
  <c r="Z388" i="3"/>
  <c r="Z387" i="3"/>
  <c r="Z386" i="3"/>
  <c r="Z385" i="3"/>
  <c r="Z384" i="3"/>
  <c r="Z383" i="3"/>
  <c r="Z382" i="3"/>
  <c r="Z381" i="3"/>
  <c r="Z380" i="3"/>
  <c r="Z379" i="3"/>
  <c r="Z378" i="3"/>
  <c r="Z377" i="3"/>
  <c r="Z376" i="3"/>
  <c r="Z375" i="3"/>
  <c r="Z374" i="3"/>
  <c r="Z373" i="3"/>
  <c r="Z372" i="3"/>
  <c r="Z371" i="3"/>
  <c r="Z370" i="3"/>
  <c r="Z369" i="3"/>
  <c r="Z368" i="3"/>
  <c r="Z367" i="3"/>
  <c r="Z366" i="3"/>
  <c r="Z365" i="3"/>
  <c r="Z364" i="3"/>
  <c r="Z363" i="3"/>
  <c r="Z362" i="3"/>
  <c r="Z361" i="3"/>
  <c r="Z360" i="3"/>
  <c r="Z359" i="3"/>
  <c r="Z358" i="3"/>
  <c r="Z357" i="3"/>
  <c r="Z356" i="3"/>
  <c r="Z355" i="3"/>
  <c r="Z354" i="3"/>
  <c r="Z353" i="3"/>
  <c r="Z352" i="3"/>
  <c r="Z351" i="3"/>
  <c r="Z350" i="3"/>
  <c r="Z349" i="3"/>
  <c r="Z348" i="3"/>
  <c r="Z347" i="3"/>
  <c r="Z346" i="3"/>
  <c r="Z345" i="3"/>
  <c r="Z344" i="3"/>
  <c r="Z343" i="3"/>
  <c r="Z342" i="3"/>
  <c r="Z341" i="3"/>
  <c r="Z340" i="3"/>
  <c r="Z339" i="3"/>
  <c r="Z338" i="3"/>
  <c r="Z337" i="3"/>
  <c r="Z336" i="3"/>
  <c r="Z335" i="3"/>
  <c r="Z334" i="3"/>
  <c r="Z333" i="3"/>
  <c r="Z332" i="3"/>
  <c r="Z331" i="3"/>
  <c r="Z330" i="3"/>
  <c r="Z329" i="3"/>
  <c r="Z328" i="3"/>
  <c r="Z327" i="3"/>
  <c r="Z326" i="3"/>
  <c r="Z325" i="3"/>
  <c r="Z324" i="3"/>
  <c r="Z323" i="3"/>
  <c r="Z322" i="3"/>
  <c r="Z321" i="3"/>
  <c r="Z320" i="3"/>
  <c r="Z319" i="3"/>
  <c r="Z318" i="3"/>
  <c r="Z317" i="3"/>
  <c r="Z316" i="3"/>
  <c r="Z315" i="3"/>
  <c r="Z314" i="3"/>
  <c r="Z313" i="3"/>
  <c r="Z312" i="3"/>
  <c r="Z311" i="3"/>
  <c r="Z310" i="3"/>
  <c r="Z309" i="3"/>
  <c r="Z308" i="3"/>
  <c r="Z307" i="3"/>
  <c r="Z306" i="3"/>
  <c r="Z305" i="3"/>
  <c r="Z304" i="3"/>
  <c r="Z303" i="3"/>
  <c r="Z302" i="3"/>
  <c r="Z301" i="3"/>
  <c r="Z300" i="3"/>
  <c r="Z299" i="3"/>
  <c r="Z298" i="3"/>
  <c r="Z297" i="3"/>
  <c r="Z296" i="3"/>
  <c r="Z295" i="3"/>
  <c r="Z294" i="3"/>
  <c r="Z293" i="3"/>
  <c r="Z292" i="3"/>
  <c r="Z291" i="3"/>
  <c r="Z290" i="3"/>
  <c r="Z289" i="3"/>
  <c r="Z288" i="3"/>
  <c r="Z287" i="3"/>
  <c r="Z286" i="3"/>
  <c r="Z285" i="3"/>
  <c r="Z284" i="3"/>
  <c r="Z283" i="3"/>
  <c r="Z282" i="3"/>
  <c r="Z281" i="3"/>
  <c r="Z280" i="3"/>
  <c r="Z279" i="3"/>
  <c r="Z278" i="3"/>
  <c r="Z277" i="3"/>
  <c r="Z276" i="3"/>
  <c r="Z275" i="3"/>
  <c r="Z274" i="3"/>
  <c r="Z273" i="3"/>
  <c r="Z272" i="3"/>
  <c r="Z271" i="3"/>
  <c r="Z270" i="3"/>
  <c r="Z269" i="3"/>
  <c r="Z268" i="3"/>
  <c r="Z267" i="3"/>
  <c r="Z266" i="3"/>
  <c r="Z265" i="3"/>
  <c r="Z264" i="3"/>
  <c r="Z263" i="3"/>
  <c r="Z262" i="3"/>
  <c r="Z261" i="3"/>
  <c r="Z260" i="3"/>
  <c r="Z259" i="3"/>
  <c r="Z258" i="3"/>
  <c r="Z257" i="3"/>
  <c r="Z256" i="3"/>
  <c r="Z255" i="3"/>
  <c r="Z254" i="3"/>
  <c r="Z253" i="3"/>
  <c r="Z252" i="3"/>
  <c r="Z251" i="3"/>
  <c r="Z250" i="3"/>
  <c r="Z249" i="3"/>
  <c r="Z248" i="3"/>
  <c r="Z247" i="3"/>
  <c r="Z246" i="3"/>
  <c r="Z245" i="3"/>
  <c r="Z244" i="3"/>
  <c r="Z243" i="3"/>
  <c r="Z242" i="3"/>
  <c r="Z241" i="3"/>
  <c r="Z240" i="3"/>
  <c r="Z239" i="3"/>
  <c r="Z238" i="3"/>
  <c r="Z237" i="3"/>
  <c r="Z236" i="3"/>
  <c r="Z235" i="3"/>
  <c r="Z234" i="3"/>
  <c r="Z233" i="3"/>
  <c r="Z232" i="3"/>
  <c r="Z231" i="3"/>
  <c r="Z230" i="3"/>
  <c r="Z229" i="3"/>
  <c r="Z228" i="3"/>
  <c r="Z227" i="3"/>
  <c r="Z226" i="3"/>
  <c r="Z225" i="3"/>
  <c r="Z224" i="3"/>
  <c r="Z223" i="3"/>
  <c r="Z222" i="3"/>
  <c r="Z221" i="3"/>
  <c r="Z220" i="3"/>
  <c r="Z219" i="3"/>
  <c r="Z218" i="3"/>
  <c r="Z217" i="3"/>
  <c r="Z216" i="3"/>
  <c r="Z215" i="3"/>
  <c r="Z214" i="3"/>
  <c r="Z213" i="3"/>
  <c r="Z212" i="3"/>
  <c r="Z211" i="3"/>
  <c r="Z210" i="3"/>
  <c r="Z209" i="3"/>
  <c r="Z208" i="3"/>
  <c r="Z207" i="3"/>
  <c r="Z206" i="3"/>
  <c r="Z205" i="3"/>
  <c r="Z204" i="3"/>
  <c r="Z203" i="3"/>
  <c r="Z202" i="3"/>
  <c r="Z201" i="3"/>
  <c r="Z200" i="3"/>
  <c r="Z199" i="3"/>
  <c r="Z198" i="3"/>
  <c r="Z197" i="3"/>
  <c r="Z196" i="3"/>
  <c r="Z195" i="3"/>
  <c r="Z194" i="3"/>
  <c r="Z193" i="3"/>
  <c r="Z192" i="3"/>
  <c r="Z191" i="3"/>
  <c r="Z190" i="3"/>
  <c r="Z189" i="3"/>
  <c r="Z188" i="3"/>
  <c r="Z187" i="3"/>
  <c r="Z186" i="3"/>
  <c r="Z185" i="3"/>
  <c r="Z184" i="3"/>
  <c r="Z183" i="3"/>
  <c r="Z182" i="3"/>
  <c r="Z181" i="3"/>
  <c r="Z180" i="3"/>
  <c r="Z179" i="3"/>
  <c r="Z178" i="3"/>
  <c r="Z177" i="3"/>
  <c r="Z176" i="3"/>
  <c r="Z175" i="3"/>
  <c r="Z174" i="3"/>
  <c r="Z173" i="3"/>
  <c r="Z172" i="3"/>
  <c r="Z171" i="3"/>
  <c r="Z170" i="3"/>
  <c r="Z169" i="3"/>
  <c r="Z168" i="3"/>
  <c r="Z167" i="3"/>
  <c r="Z166" i="3"/>
  <c r="Z165" i="3"/>
  <c r="Z164" i="3"/>
  <c r="Z163" i="3"/>
  <c r="Z162" i="3"/>
  <c r="Z161" i="3"/>
  <c r="Z160" i="3"/>
  <c r="Z159" i="3"/>
  <c r="Z158" i="3"/>
  <c r="Z157" i="3"/>
  <c r="Z156" i="3"/>
  <c r="Z155" i="3"/>
  <c r="Z154" i="3"/>
  <c r="Z153" i="3"/>
  <c r="Z152" i="3"/>
  <c r="Z151" i="3"/>
  <c r="Z150" i="3"/>
  <c r="Z149" i="3"/>
  <c r="Z148" i="3"/>
  <c r="Z147" i="3"/>
  <c r="Z146" i="3"/>
  <c r="Z145" i="3"/>
  <c r="Z144" i="3"/>
  <c r="Z143" i="3"/>
  <c r="Z142" i="3"/>
  <c r="Z141" i="3"/>
  <c r="Z140" i="3"/>
  <c r="Z139" i="3"/>
  <c r="Z138" i="3"/>
  <c r="Z137" i="3"/>
  <c r="Z136" i="3"/>
  <c r="Z135" i="3"/>
  <c r="Z134" i="3"/>
  <c r="Z133" i="3"/>
  <c r="Z132" i="3"/>
  <c r="Z131" i="3"/>
  <c r="Z130" i="3"/>
  <c r="Z129" i="3"/>
  <c r="Z128" i="3"/>
  <c r="Z127" i="3"/>
  <c r="Z126" i="3"/>
  <c r="Z125" i="3"/>
  <c r="Z124" i="3"/>
  <c r="Z123" i="3"/>
  <c r="Z122" i="3"/>
  <c r="Z121" i="3"/>
  <c r="Z120" i="3"/>
  <c r="Z119" i="3"/>
  <c r="Z118" i="3"/>
  <c r="Z117" i="3"/>
  <c r="Z116" i="3"/>
  <c r="Z115" i="3"/>
  <c r="Z114" i="3"/>
  <c r="Z113" i="3"/>
  <c r="Z112" i="3"/>
  <c r="Z111" i="3"/>
  <c r="Z110" i="3"/>
  <c r="Z109" i="3"/>
  <c r="Z108" i="3"/>
  <c r="Z107" i="3"/>
  <c r="Z106" i="3"/>
  <c r="Z105" i="3"/>
  <c r="Z104" i="3"/>
  <c r="Z103" i="3"/>
  <c r="Z102" i="3"/>
  <c r="Z101" i="3"/>
  <c r="Z100" i="3"/>
  <c r="Z99" i="3"/>
  <c r="Z98" i="3"/>
  <c r="Z97" i="3"/>
  <c r="Z96" i="3"/>
  <c r="Z95" i="3"/>
  <c r="Z94" i="3"/>
  <c r="Z93" i="3"/>
  <c r="Z92" i="3"/>
  <c r="Z91" i="3"/>
  <c r="Z90" i="3"/>
  <c r="Z89" i="3"/>
  <c r="Z88" i="3"/>
  <c r="Z87" i="3"/>
  <c r="Z86" i="3"/>
  <c r="Z85" i="3"/>
  <c r="Z84" i="3"/>
  <c r="Z83" i="3"/>
  <c r="Z82" i="3"/>
  <c r="Z81" i="3"/>
  <c r="Z80" i="3"/>
  <c r="Z79" i="3"/>
  <c r="Z78" i="3"/>
  <c r="Z77" i="3"/>
  <c r="Z76" i="3"/>
  <c r="Z75" i="3"/>
  <c r="Z74" i="3"/>
  <c r="Z73" i="3"/>
  <c r="Z72" i="3"/>
  <c r="Z71" i="3"/>
  <c r="Z70" i="3"/>
  <c r="Z69" i="3"/>
  <c r="Z68" i="3"/>
  <c r="Z67" i="3"/>
  <c r="Z66" i="3"/>
  <c r="Z65" i="3"/>
  <c r="Z64" i="3"/>
  <c r="Z63" i="3"/>
  <c r="Z62" i="3"/>
  <c r="Z61" i="3"/>
  <c r="Z60" i="3"/>
  <c r="Z59" i="3"/>
  <c r="Z58" i="3"/>
  <c r="Z57" i="3"/>
  <c r="Z56" i="3"/>
  <c r="Z55" i="3"/>
  <c r="Z54" i="3"/>
  <c r="Z53" i="3"/>
  <c r="Z52" i="3"/>
  <c r="Z51" i="3"/>
  <c r="Z50" i="3"/>
  <c r="Z49" i="3"/>
  <c r="Z48" i="3"/>
  <c r="Z47" i="3"/>
  <c r="Z46" i="3"/>
  <c r="Z45" i="3"/>
  <c r="Z44" i="3"/>
  <c r="Z43" i="3"/>
  <c r="Z42" i="3"/>
  <c r="Z41" i="3"/>
  <c r="Z40" i="3"/>
  <c r="Z39" i="3"/>
  <c r="Z38" i="3"/>
  <c r="Z37" i="3"/>
  <c r="Z36" i="3"/>
  <c r="Z35" i="3"/>
  <c r="Z34" i="3"/>
  <c r="Z33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O1012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3" i="3"/>
  <c r="AD12" i="3" l="1"/>
  <c r="AD11" i="3"/>
  <c r="AD10" i="3"/>
  <c r="AD9" i="3"/>
  <c r="AD8" i="3"/>
  <c r="AC12" i="3"/>
  <c r="AC11" i="3"/>
  <c r="AC10" i="3"/>
  <c r="AC9" i="3"/>
  <c r="AC8" i="3"/>
  <c r="X12" i="3"/>
  <c r="X11" i="3"/>
  <c r="X10" i="3"/>
  <c r="X9" i="3"/>
  <c r="X8" i="3"/>
  <c r="AB12" i="3"/>
  <c r="AB11" i="3"/>
  <c r="AB10" i="3"/>
  <c r="AB9" i="3"/>
  <c r="AB8" i="3"/>
  <c r="W12" i="3"/>
  <c r="W11" i="3"/>
  <c r="W10" i="3"/>
  <c r="W9" i="3"/>
  <c r="W8" i="3"/>
  <c r="Y8" i="3"/>
  <c r="Y12" i="3"/>
  <c r="Y11" i="3"/>
  <c r="Y10" i="3"/>
  <c r="Y9" i="3"/>
  <c r="AS132" i="3"/>
  <c r="AW52" i="3"/>
  <c r="AW340" i="3"/>
  <c r="AX484" i="3"/>
  <c r="AW653" i="3"/>
  <c r="AW76" i="3"/>
  <c r="AW364" i="3"/>
  <c r="AW259" i="3"/>
  <c r="AW100" i="3"/>
  <c r="AW388" i="3"/>
  <c r="AY269" i="3"/>
  <c r="AW124" i="3"/>
  <c r="AW412" i="3"/>
  <c r="AY941" i="3"/>
  <c r="AW148" i="3"/>
  <c r="AW292" i="3"/>
  <c r="AW580" i="3"/>
  <c r="AS245" i="3"/>
  <c r="AW461" i="3"/>
  <c r="AW172" i="3"/>
  <c r="AS575" i="3"/>
  <c r="AR858" i="3"/>
  <c r="AT858" i="3"/>
  <c r="AY858" i="3"/>
  <c r="AT762" i="3"/>
  <c r="AW654" i="3"/>
  <c r="AX534" i="3"/>
  <c r="AY534" i="3"/>
  <c r="AW534" i="3"/>
  <c r="AT534" i="3"/>
  <c r="AX222" i="3"/>
  <c r="AY222" i="3"/>
  <c r="AT222" i="3"/>
  <c r="AS222" i="3"/>
  <c r="AT833" i="3"/>
  <c r="AR833" i="3"/>
  <c r="AX833" i="3"/>
  <c r="AW833" i="3"/>
  <c r="AR689" i="3"/>
  <c r="AX689" i="3"/>
  <c r="AY689" i="3"/>
  <c r="AW689" i="3"/>
  <c r="AR617" i="3"/>
  <c r="AW545" i="3"/>
  <c r="AX485" i="3"/>
  <c r="AT413" i="3"/>
  <c r="AW233" i="3"/>
  <c r="AY233" i="3"/>
  <c r="AY101" i="3"/>
  <c r="AS892" i="3"/>
  <c r="AX892" i="3"/>
  <c r="AW892" i="3"/>
  <c r="AR640" i="3"/>
  <c r="AT640" i="3"/>
  <c r="AS640" i="3"/>
  <c r="AX640" i="3"/>
  <c r="AS364" i="3"/>
  <c r="AT292" i="3"/>
  <c r="AS292" i="3"/>
  <c r="AT52" i="3"/>
  <c r="AY364" i="3"/>
  <c r="AT749" i="3"/>
  <c r="AY999" i="3"/>
  <c r="AW999" i="3"/>
  <c r="AS999" i="3"/>
  <c r="AR999" i="3"/>
  <c r="AY975" i="3"/>
  <c r="AW975" i="3"/>
  <c r="AS975" i="3"/>
  <c r="AR975" i="3"/>
  <c r="AY951" i="3"/>
  <c r="AW951" i="3"/>
  <c r="AT951" i="3"/>
  <c r="AR951" i="3"/>
  <c r="AY927" i="3"/>
  <c r="AW927" i="3"/>
  <c r="AT927" i="3"/>
  <c r="AR927" i="3"/>
  <c r="AY903" i="3"/>
  <c r="AW903" i="3"/>
  <c r="AR903" i="3"/>
  <c r="AT903" i="3"/>
  <c r="AT879" i="3"/>
  <c r="AR879" i="3"/>
  <c r="AW879" i="3"/>
  <c r="AY879" i="3"/>
  <c r="AY855" i="3"/>
  <c r="AW855" i="3"/>
  <c r="AS855" i="3"/>
  <c r="AR855" i="3"/>
  <c r="AY831" i="3"/>
  <c r="AR831" i="3"/>
  <c r="AS831" i="3"/>
  <c r="AT831" i="3"/>
  <c r="AY807" i="3"/>
  <c r="AW807" i="3"/>
  <c r="AS807" i="3"/>
  <c r="AR807" i="3"/>
  <c r="AY783" i="3"/>
  <c r="AW783" i="3"/>
  <c r="AT783" i="3"/>
  <c r="AR783" i="3"/>
  <c r="AY759" i="3"/>
  <c r="AW759" i="3"/>
  <c r="AS759" i="3"/>
  <c r="AR759" i="3"/>
  <c r="AY735" i="3"/>
  <c r="AW735" i="3"/>
  <c r="AT735" i="3"/>
  <c r="AR735" i="3"/>
  <c r="AY711" i="3"/>
  <c r="AS711" i="3"/>
  <c r="AW711" i="3"/>
  <c r="AT711" i="3"/>
  <c r="AR711" i="3"/>
  <c r="AY687" i="3"/>
  <c r="AW687" i="3"/>
  <c r="AS687" i="3"/>
  <c r="AR687" i="3"/>
  <c r="AY663" i="3"/>
  <c r="AS663" i="3"/>
  <c r="AW663" i="3"/>
  <c r="AT663" i="3"/>
  <c r="AR663" i="3"/>
  <c r="AY639" i="3"/>
  <c r="AW639" i="3"/>
  <c r="AS639" i="3"/>
  <c r="AR639" i="3"/>
  <c r="AY615" i="3"/>
  <c r="AW615" i="3"/>
  <c r="AT615" i="3"/>
  <c r="AR615" i="3"/>
  <c r="AY591" i="3"/>
  <c r="AW591" i="3"/>
  <c r="AR591" i="3"/>
  <c r="AT591" i="3"/>
  <c r="AY567" i="3"/>
  <c r="AW567" i="3"/>
  <c r="AR567" i="3"/>
  <c r="AT567" i="3"/>
  <c r="AY543" i="3"/>
  <c r="AW543" i="3"/>
  <c r="AS543" i="3"/>
  <c r="AR543" i="3"/>
  <c r="AY519" i="3"/>
  <c r="AW519" i="3"/>
  <c r="AS519" i="3"/>
  <c r="AR519" i="3"/>
  <c r="AY495" i="3"/>
  <c r="AW495" i="3"/>
  <c r="AS495" i="3"/>
  <c r="AR495" i="3"/>
  <c r="AW471" i="3"/>
  <c r="AS471" i="3"/>
  <c r="AR471" i="3"/>
  <c r="AY447" i="3"/>
  <c r="AW447" i="3"/>
  <c r="AS447" i="3"/>
  <c r="AR447" i="3"/>
  <c r="AY423" i="3"/>
  <c r="AW423" i="3"/>
  <c r="AS423" i="3"/>
  <c r="AR423" i="3"/>
  <c r="AW399" i="3"/>
  <c r="AS399" i="3"/>
  <c r="AR399" i="3"/>
  <c r="AY375" i="3"/>
  <c r="AW375" i="3"/>
  <c r="AS375" i="3"/>
  <c r="AR375" i="3"/>
  <c r="AY351" i="3"/>
  <c r="AW351" i="3"/>
  <c r="AS351" i="3"/>
  <c r="AR351" i="3"/>
  <c r="AY327" i="3"/>
  <c r="AS327" i="3"/>
  <c r="AW327" i="3"/>
  <c r="AT327" i="3"/>
  <c r="AR327" i="3"/>
  <c r="AW303" i="3"/>
  <c r="AS291" i="3"/>
  <c r="AY291" i="3"/>
  <c r="AW279" i="3"/>
  <c r="AS279" i="3"/>
  <c r="AX267" i="3"/>
  <c r="AW255" i="3"/>
  <c r="AS255" i="3"/>
  <c r="AX243" i="3"/>
  <c r="AS231" i="3"/>
  <c r="AW219" i="3"/>
  <c r="AS219" i="3"/>
  <c r="AS207" i="3"/>
  <c r="AY195" i="3"/>
  <c r="AT195" i="3"/>
  <c r="AR183" i="3"/>
  <c r="AW171" i="3"/>
  <c r="AR171" i="3"/>
  <c r="AY159" i="3"/>
  <c r="AW147" i="3"/>
  <c r="AT147" i="3"/>
  <c r="AR147" i="3"/>
  <c r="AY135" i="3"/>
  <c r="AY111" i="3"/>
  <c r="AX111" i="3"/>
  <c r="AT111" i="3"/>
  <c r="AS99" i="3"/>
  <c r="AY87" i="3"/>
  <c r="AX87" i="3"/>
  <c r="AW87" i="3"/>
  <c r="AR87" i="3"/>
  <c r="AX63" i="3"/>
  <c r="AT63" i="3"/>
  <c r="AX51" i="3"/>
  <c r="AX39" i="3"/>
  <c r="AR39" i="3"/>
  <c r="AX15" i="3"/>
  <c r="AT372" i="3"/>
  <c r="AW34" i="3"/>
  <c r="AW58" i="3"/>
  <c r="AX274" i="3"/>
  <c r="AX322" i="3"/>
  <c r="AX346" i="3"/>
  <c r="AW514" i="3"/>
  <c r="AW562" i="3"/>
  <c r="AW586" i="3"/>
  <c r="AW658" i="3"/>
  <c r="AX910" i="3"/>
  <c r="AX982" i="3"/>
  <c r="AS353" i="3"/>
  <c r="AY293" i="3"/>
  <c r="AW485" i="3"/>
  <c r="AW677" i="3"/>
  <c r="AY773" i="3"/>
  <c r="AT448" i="3"/>
  <c r="AW1010" i="3"/>
  <c r="AT1010" i="3"/>
  <c r="AX1010" i="3"/>
  <c r="AS998" i="3"/>
  <c r="AY986" i="3"/>
  <c r="AW986" i="3"/>
  <c r="AT986" i="3"/>
  <c r="AX986" i="3"/>
  <c r="AY962" i="3"/>
  <c r="AW962" i="3"/>
  <c r="AT962" i="3"/>
  <c r="AX962" i="3"/>
  <c r="AS950" i="3"/>
  <c r="AY938" i="3"/>
  <c r="AW938" i="3"/>
  <c r="AT938" i="3"/>
  <c r="AX938" i="3"/>
  <c r="AS926" i="3"/>
  <c r="AY914" i="3"/>
  <c r="AW914" i="3"/>
  <c r="AT914" i="3"/>
  <c r="AX914" i="3"/>
  <c r="AS902" i="3"/>
  <c r="AY890" i="3"/>
  <c r="AW890" i="3"/>
  <c r="AS890" i="3"/>
  <c r="AX890" i="3"/>
  <c r="AY866" i="3"/>
  <c r="AW866" i="3"/>
  <c r="AS866" i="3"/>
  <c r="AX866" i="3"/>
  <c r="AR854" i="3"/>
  <c r="AY842" i="3"/>
  <c r="AW842" i="3"/>
  <c r="AS842" i="3"/>
  <c r="AX842" i="3"/>
  <c r="AR830" i="3"/>
  <c r="AY818" i="3"/>
  <c r="AW818" i="3"/>
  <c r="AT818" i="3"/>
  <c r="AX818" i="3"/>
  <c r="AS806" i="3"/>
  <c r="AY794" i="3"/>
  <c r="AW794" i="3"/>
  <c r="AT794" i="3"/>
  <c r="AX794" i="3"/>
  <c r="AS782" i="3"/>
  <c r="AY770" i="3"/>
  <c r="AW770" i="3"/>
  <c r="AT770" i="3"/>
  <c r="AX770" i="3"/>
  <c r="AY746" i="3"/>
  <c r="AW746" i="3"/>
  <c r="AT746" i="3"/>
  <c r="AX746" i="3"/>
  <c r="AR734" i="3"/>
  <c r="AY722" i="3"/>
  <c r="AW722" i="3"/>
  <c r="AT722" i="3"/>
  <c r="AX722" i="3"/>
  <c r="AR710" i="3"/>
  <c r="AY698" i="3"/>
  <c r="AW698" i="3"/>
  <c r="AT698" i="3"/>
  <c r="AX698" i="3"/>
  <c r="AR686" i="3"/>
  <c r="AW674" i="3"/>
  <c r="AT674" i="3"/>
  <c r="AX674" i="3"/>
  <c r="AR662" i="3"/>
  <c r="AX650" i="3"/>
  <c r="AY650" i="3"/>
  <c r="AT650" i="3"/>
  <c r="AW650" i="3"/>
  <c r="AR638" i="3"/>
  <c r="AX626" i="3"/>
  <c r="AY626" i="3"/>
  <c r="AT626" i="3"/>
  <c r="AW626" i="3"/>
  <c r="AR614" i="3"/>
  <c r="AX602" i="3"/>
  <c r="AY602" i="3"/>
  <c r="AR602" i="3"/>
  <c r="AW602" i="3"/>
  <c r="AT590" i="3"/>
  <c r="AX578" i="3"/>
  <c r="AY578" i="3"/>
  <c r="AR578" i="3"/>
  <c r="AW578" i="3"/>
  <c r="AX554" i="3"/>
  <c r="AY554" i="3"/>
  <c r="AR554" i="3"/>
  <c r="AW554" i="3"/>
  <c r="AX530" i="3"/>
  <c r="AY530" i="3"/>
  <c r="AT530" i="3"/>
  <c r="AW530" i="3"/>
  <c r="AS518" i="3"/>
  <c r="AX506" i="3"/>
  <c r="AY506" i="3"/>
  <c r="AT506" i="3"/>
  <c r="AW506" i="3"/>
  <c r="AS494" i="3"/>
  <c r="AX482" i="3"/>
  <c r="AY482" i="3"/>
  <c r="AT482" i="3"/>
  <c r="AW482" i="3"/>
  <c r="AX458" i="3"/>
  <c r="AY458" i="3"/>
  <c r="AT458" i="3"/>
  <c r="AW458" i="3"/>
  <c r="AS446" i="3"/>
  <c r="AX434" i="3"/>
  <c r="AY434" i="3"/>
  <c r="AT434" i="3"/>
  <c r="AW434" i="3"/>
  <c r="AS422" i="3"/>
  <c r="AX410" i="3"/>
  <c r="AY410" i="3"/>
  <c r="AT410" i="3"/>
  <c r="AW410" i="3"/>
  <c r="AS398" i="3"/>
  <c r="AY386" i="3"/>
  <c r="AX386" i="3"/>
  <c r="AT386" i="3"/>
  <c r="AW386" i="3"/>
  <c r="AS374" i="3"/>
  <c r="AY362" i="3"/>
  <c r="AW362" i="3"/>
  <c r="AT362" i="3"/>
  <c r="AX362" i="3"/>
  <c r="AS350" i="3"/>
  <c r="AY338" i="3"/>
  <c r="AS338" i="3"/>
  <c r="AY314" i="3"/>
  <c r="AX314" i="3"/>
  <c r="AS314" i="3"/>
  <c r="AT314" i="3"/>
  <c r="AY290" i="3"/>
  <c r="AX290" i="3"/>
  <c r="AR290" i="3"/>
  <c r="AS278" i="3"/>
  <c r="AX266" i="3"/>
  <c r="AS266" i="3"/>
  <c r="AT254" i="3"/>
  <c r="AS254" i="3"/>
  <c r="AY254" i="3"/>
  <c r="AR230" i="3"/>
  <c r="AY230" i="3"/>
  <c r="AW230" i="3"/>
  <c r="AX230" i="3"/>
  <c r="AS218" i="3"/>
  <c r="AW206" i="3"/>
  <c r="AX206" i="3"/>
  <c r="AR206" i="3"/>
  <c r="AR182" i="3"/>
  <c r="AT182" i="3"/>
  <c r="AW182" i="3"/>
  <c r="AX182" i="3"/>
  <c r="AS158" i="3"/>
  <c r="AW158" i="3"/>
  <c r="AX158" i="3"/>
  <c r="AR158" i="3"/>
  <c r="AY146" i="3"/>
  <c r="AS134" i="3"/>
  <c r="AW134" i="3"/>
  <c r="AX134" i="3"/>
  <c r="AW122" i="3"/>
  <c r="AW110" i="3"/>
  <c r="AY98" i="3"/>
  <c r="AX98" i="3"/>
  <c r="AT86" i="3"/>
  <c r="AY74" i="3"/>
  <c r="AX74" i="3"/>
  <c r="AT74" i="3"/>
  <c r="AS62" i="3"/>
  <c r="AX50" i="3"/>
  <c r="AS50" i="3"/>
  <c r="AR38" i="3"/>
  <c r="AY26" i="3"/>
  <c r="AS26" i="3"/>
  <c r="AX58" i="3"/>
  <c r="AX82" i="3"/>
  <c r="AW106" i="3"/>
  <c r="AW130" i="3"/>
  <c r="AW346" i="3"/>
  <c r="AX370" i="3"/>
  <c r="AX394" i="3"/>
  <c r="AY418" i="3"/>
  <c r="AY622" i="3"/>
  <c r="AW766" i="3"/>
  <c r="AW838" i="3"/>
  <c r="AW982" i="3"/>
  <c r="AS647" i="3"/>
  <c r="AS863" i="3"/>
  <c r="AS303" i="3"/>
  <c r="AW101" i="3"/>
  <c r="AS772" i="3"/>
  <c r="AX772" i="3"/>
  <c r="AW772" i="3"/>
  <c r="AS1009" i="3"/>
  <c r="AR1009" i="3"/>
  <c r="AY997" i="3"/>
  <c r="AT997" i="3"/>
  <c r="AX985" i="3"/>
  <c r="AR985" i="3"/>
  <c r="AS973" i="3"/>
  <c r="AR973" i="3"/>
  <c r="AX961" i="3"/>
  <c r="AY961" i="3"/>
  <c r="AR961" i="3"/>
  <c r="AR949" i="3"/>
  <c r="AR937" i="3"/>
  <c r="AW937" i="3"/>
  <c r="AY937" i="3"/>
  <c r="AS937" i="3"/>
  <c r="AX913" i="3"/>
  <c r="AW913" i="3"/>
  <c r="AS913" i="3"/>
  <c r="AY913" i="3"/>
  <c r="AT913" i="3"/>
  <c r="AT889" i="3"/>
  <c r="AW889" i="3"/>
  <c r="AR889" i="3"/>
  <c r="AX865" i="3"/>
  <c r="AW865" i="3"/>
  <c r="AY865" i="3"/>
  <c r="AS865" i="3"/>
  <c r="AX853" i="3"/>
  <c r="AS841" i="3"/>
  <c r="AY841" i="3"/>
  <c r="AX829" i="3"/>
  <c r="AY829" i="3"/>
  <c r="AR817" i="3"/>
  <c r="AS817" i="3"/>
  <c r="AX805" i="3"/>
  <c r="AY805" i="3"/>
  <c r="AT793" i="3"/>
  <c r="AR793" i="3"/>
  <c r="AX781" i="3"/>
  <c r="AS781" i="3"/>
  <c r="AY757" i="3"/>
  <c r="AW757" i="3"/>
  <c r="AT757" i="3"/>
  <c r="AX733" i="3"/>
  <c r="AS733" i="3"/>
  <c r="AW733" i="3"/>
  <c r="AY709" i="3"/>
  <c r="AT709" i="3"/>
  <c r="AR709" i="3"/>
  <c r="AX697" i="3"/>
  <c r="AY697" i="3"/>
  <c r="AS685" i="3"/>
  <c r="AY685" i="3"/>
  <c r="AX673" i="3"/>
  <c r="AY673" i="3"/>
  <c r="AS661" i="3"/>
  <c r="AR661" i="3"/>
  <c r="AX661" i="3"/>
  <c r="AY649" i="3"/>
  <c r="AW649" i="3"/>
  <c r="AS637" i="3"/>
  <c r="AT637" i="3"/>
  <c r="AY625" i="3"/>
  <c r="AX625" i="3"/>
  <c r="AW625" i="3"/>
  <c r="AT613" i="3"/>
  <c r="AX613" i="3"/>
  <c r="AY601" i="3"/>
  <c r="AX601" i="3"/>
  <c r="AW601" i="3"/>
  <c r="AT589" i="3"/>
  <c r="AX589" i="3"/>
  <c r="AY577" i="3"/>
  <c r="AW577" i="3"/>
  <c r="AR577" i="3"/>
  <c r="AS565" i="3"/>
  <c r="AY553" i="3"/>
  <c r="AX553" i="3"/>
  <c r="AW553" i="3"/>
  <c r="AR541" i="3"/>
  <c r="AY529" i="3"/>
  <c r="AX529" i="3"/>
  <c r="AW529" i="3"/>
  <c r="AR529" i="3"/>
  <c r="AR517" i="3"/>
  <c r="AY505" i="3"/>
  <c r="AW505" i="3"/>
  <c r="AR505" i="3"/>
  <c r="AX505" i="3"/>
  <c r="AT493" i="3"/>
  <c r="AY481" i="3"/>
  <c r="AX481" i="3"/>
  <c r="AW481" i="3"/>
  <c r="AR481" i="3"/>
  <c r="AR469" i="3"/>
  <c r="AY457" i="3"/>
  <c r="AX457" i="3"/>
  <c r="AW457" i="3"/>
  <c r="AR457" i="3"/>
  <c r="AX445" i="3"/>
  <c r="AW433" i="3"/>
  <c r="AR433" i="3"/>
  <c r="AS433" i="3"/>
  <c r="AT433" i="3"/>
  <c r="AX409" i="3"/>
  <c r="AW409" i="3"/>
  <c r="AS409" i="3"/>
  <c r="AX397" i="3"/>
  <c r="AX385" i="3"/>
  <c r="AW385" i="3"/>
  <c r="AS385" i="3"/>
  <c r="AX373" i="3"/>
  <c r="AY361" i="3"/>
  <c r="AR361" i="3"/>
  <c r="AW361" i="3"/>
  <c r="AT361" i="3"/>
  <c r="AX337" i="3"/>
  <c r="AY337" i="3"/>
  <c r="AR337" i="3"/>
  <c r="AS337" i="3"/>
  <c r="AT337" i="3"/>
  <c r="AX313" i="3"/>
  <c r="AY313" i="3"/>
  <c r="AS313" i="3"/>
  <c r="AT313" i="3"/>
  <c r="AS289" i="3"/>
  <c r="AR289" i="3"/>
  <c r="AW289" i="3"/>
  <c r="AT289" i="3"/>
  <c r="AX265" i="3"/>
  <c r="AY265" i="3"/>
  <c r="AT265" i="3"/>
  <c r="AT253" i="3"/>
  <c r="AW241" i="3"/>
  <c r="AS241" i="3"/>
  <c r="AR241" i="3"/>
  <c r="AT241" i="3"/>
  <c r="AT229" i="3"/>
  <c r="AS217" i="3"/>
  <c r="AY217" i="3"/>
  <c r="AW217" i="3"/>
  <c r="AT205" i="3"/>
  <c r="AX205" i="3"/>
  <c r="AR193" i="3"/>
  <c r="AY193" i="3"/>
  <c r="AT181" i="3"/>
  <c r="AX181" i="3"/>
  <c r="AX169" i="3"/>
  <c r="AT157" i="3"/>
  <c r="AW157" i="3"/>
  <c r="AS157" i="3"/>
  <c r="AW133" i="3"/>
  <c r="AY133" i="3"/>
  <c r="AS133" i="3"/>
  <c r="AT109" i="3"/>
  <c r="AX109" i="3"/>
  <c r="AS109" i="3"/>
  <c r="AR109" i="3"/>
  <c r="AY109" i="3"/>
  <c r="AT85" i="3"/>
  <c r="AY85" i="3"/>
  <c r="AS85" i="3"/>
  <c r="AR85" i="3"/>
  <c r="AY61" i="3"/>
  <c r="AS61" i="3"/>
  <c r="AR61" i="3"/>
  <c r="AS49" i="3"/>
  <c r="AW37" i="3"/>
  <c r="AS37" i="3"/>
  <c r="AX25" i="3"/>
  <c r="AY25" i="3"/>
  <c r="AW808" i="3"/>
  <c r="AW952" i="3"/>
  <c r="AS290" i="3"/>
  <c r="AR71" i="3"/>
  <c r="AT107" i="3"/>
  <c r="AR805" i="3"/>
  <c r="AR408" i="3"/>
  <c r="AS169" i="3"/>
  <c r="AT961" i="3"/>
  <c r="AX1002" i="3"/>
  <c r="AW930" i="3"/>
  <c r="AY930" i="3"/>
  <c r="AS930" i="3"/>
  <c r="AX930" i="3"/>
  <c r="AT810" i="3"/>
  <c r="AY810" i="3"/>
  <c r="AX810" i="3"/>
  <c r="AS810" i="3"/>
  <c r="AR810" i="3"/>
  <c r="AT690" i="3"/>
  <c r="AY690" i="3"/>
  <c r="AS690" i="3"/>
  <c r="AT642" i="3"/>
  <c r="AY642" i="3"/>
  <c r="AY594" i="3"/>
  <c r="AX594" i="3"/>
  <c r="AT522" i="3"/>
  <c r="AS522" i="3"/>
  <c r="AY522" i="3"/>
  <c r="AX474" i="3"/>
  <c r="AY390" i="3"/>
  <c r="AT390" i="3"/>
  <c r="AS390" i="3"/>
  <c r="AW294" i="3"/>
  <c r="AT294" i="3"/>
  <c r="AS294" i="3"/>
  <c r="AR234" i="3"/>
  <c r="AW234" i="3"/>
  <c r="AX174" i="3"/>
  <c r="AT174" i="3"/>
  <c r="AS174" i="3"/>
  <c r="AR126" i="3"/>
  <c r="AW126" i="3"/>
  <c r="AY102" i="3"/>
  <c r="AR54" i="3"/>
  <c r="AX54" i="3"/>
  <c r="AW54" i="3"/>
  <c r="AS54" i="3"/>
  <c r="AR30" i="3"/>
  <c r="AR1001" i="3"/>
  <c r="AX1001" i="3"/>
  <c r="AW1001" i="3"/>
  <c r="AY1001" i="3"/>
  <c r="AT857" i="3"/>
  <c r="AW857" i="3"/>
  <c r="AY857" i="3"/>
  <c r="AT773" i="3"/>
  <c r="AX629" i="3"/>
  <c r="AT557" i="3"/>
  <c r="AX557" i="3"/>
  <c r="AY497" i="3"/>
  <c r="AX497" i="3"/>
  <c r="AW425" i="3"/>
  <c r="AT365" i="3"/>
  <c r="AR365" i="3"/>
  <c r="AX365" i="3"/>
  <c r="AT281" i="3"/>
  <c r="AX209" i="3"/>
  <c r="AY209" i="3"/>
  <c r="AT149" i="3"/>
  <c r="AY149" i="3"/>
  <c r="AX41" i="3"/>
  <c r="AW41" i="3"/>
  <c r="AT461" i="3"/>
  <c r="AX77" i="3"/>
  <c r="AT844" i="3"/>
  <c r="AX844" i="3"/>
  <c r="AW844" i="3"/>
  <c r="AR760" i="3"/>
  <c r="AS760" i="3"/>
  <c r="AW676" i="3"/>
  <c r="AT592" i="3"/>
  <c r="AS592" i="3"/>
  <c r="AX592" i="3"/>
  <c r="AR520" i="3"/>
  <c r="AT316" i="3"/>
  <c r="AT220" i="3"/>
  <c r="AS220" i="3"/>
  <c r="AR220" i="3"/>
  <c r="AT148" i="3"/>
  <c r="AR1008" i="3"/>
  <c r="AX1008" i="3"/>
  <c r="AS1008" i="3"/>
  <c r="AY996" i="3"/>
  <c r="AY984" i="3"/>
  <c r="AW984" i="3"/>
  <c r="AT984" i="3"/>
  <c r="AY972" i="3"/>
  <c r="AX972" i="3"/>
  <c r="AT960" i="3"/>
  <c r="AY948" i="3"/>
  <c r="AX948" i="3"/>
  <c r="AW948" i="3"/>
  <c r="AR948" i="3"/>
  <c r="AY924" i="3"/>
  <c r="AW924" i="3"/>
  <c r="AR924" i="3"/>
  <c r="AT924" i="3"/>
  <c r="AS924" i="3"/>
  <c r="AX900" i="3"/>
  <c r="AR900" i="3"/>
  <c r="AS900" i="3"/>
  <c r="AR888" i="3"/>
  <c r="AY888" i="3"/>
  <c r="AT876" i="3"/>
  <c r="AR864" i="3"/>
  <c r="AY864" i="3"/>
  <c r="AX864" i="3"/>
  <c r="AS852" i="3"/>
  <c r="AY840" i="3"/>
  <c r="AX840" i="3"/>
  <c r="AS840" i="3"/>
  <c r="AY816" i="3"/>
  <c r="AW816" i="3"/>
  <c r="AT816" i="3"/>
  <c r="AS816" i="3"/>
  <c r="AY804" i="3"/>
  <c r="AX792" i="3"/>
  <c r="AW792" i="3"/>
  <c r="AY780" i="3"/>
  <c r="AX780" i="3"/>
  <c r="AW780" i="3"/>
  <c r="AT768" i="3"/>
  <c r="AX756" i="3"/>
  <c r="AW756" i="3"/>
  <c r="AS756" i="3"/>
  <c r="AY732" i="3"/>
  <c r="AW732" i="3"/>
  <c r="AR732" i="3"/>
  <c r="AT732" i="3"/>
  <c r="AR720" i="3"/>
  <c r="AW708" i="3"/>
  <c r="AT708" i="3"/>
  <c r="AS708" i="3"/>
  <c r="AR696" i="3"/>
  <c r="AY696" i="3"/>
  <c r="AR684" i="3"/>
  <c r="AR672" i="3"/>
  <c r="AY672" i="3"/>
  <c r="AX672" i="3"/>
  <c r="AT672" i="3"/>
  <c r="AR648" i="3"/>
  <c r="AX648" i="3"/>
  <c r="AW648" i="3"/>
  <c r="AS648" i="3"/>
  <c r="AY636" i="3"/>
  <c r="AY624" i="3"/>
  <c r="AW624" i="3"/>
  <c r="AT624" i="3"/>
  <c r="AY612" i="3"/>
  <c r="AX612" i="3"/>
  <c r="AW600" i="3"/>
  <c r="AY588" i="3"/>
  <c r="AX588" i="3"/>
  <c r="AW588" i="3"/>
  <c r="AY564" i="3"/>
  <c r="AW564" i="3"/>
  <c r="AS564" i="3"/>
  <c r="AT564" i="3"/>
  <c r="AX540" i="3"/>
  <c r="AR540" i="3"/>
  <c r="AT540" i="3"/>
  <c r="AT528" i="3"/>
  <c r="AY528" i="3"/>
  <c r="AW516" i="3"/>
  <c r="AS516" i="3"/>
  <c r="AT504" i="3"/>
  <c r="AY504" i="3"/>
  <c r="AX504" i="3"/>
  <c r="AS492" i="3"/>
  <c r="AT480" i="3"/>
  <c r="AY480" i="3"/>
  <c r="AX480" i="3"/>
  <c r="AS480" i="3"/>
  <c r="AY456" i="3"/>
  <c r="AW456" i="3"/>
  <c r="AS456" i="3"/>
  <c r="AR456" i="3"/>
  <c r="AY444" i="3"/>
  <c r="AW432" i="3"/>
  <c r="AY420" i="3"/>
  <c r="AX420" i="3"/>
  <c r="AW420" i="3"/>
  <c r="AS408" i="3"/>
  <c r="AX396" i="3"/>
  <c r="AW396" i="3"/>
  <c r="AR396" i="3"/>
  <c r="AT396" i="3"/>
  <c r="AR372" i="3"/>
  <c r="AX360" i="3"/>
  <c r="AS360" i="3"/>
  <c r="AY360" i="3"/>
  <c r="AW348" i="3"/>
  <c r="AX336" i="3"/>
  <c r="AR336" i="3"/>
  <c r="AY336" i="3"/>
  <c r="AT336" i="3"/>
  <c r="AW312" i="3"/>
  <c r="AT312" i="3"/>
  <c r="AS312" i="3"/>
  <c r="AY300" i="3"/>
  <c r="AX300" i="3"/>
  <c r="AS288" i="3"/>
  <c r="AY276" i="3"/>
  <c r="AX276" i="3"/>
  <c r="AW276" i="3"/>
  <c r="AY252" i="3"/>
  <c r="AW252" i="3"/>
  <c r="AT252" i="3"/>
  <c r="AR252" i="3"/>
  <c r="AX228" i="3"/>
  <c r="AT228" i="3"/>
  <c r="AS228" i="3"/>
  <c r="AX216" i="3"/>
  <c r="AT204" i="3"/>
  <c r="AR204" i="3"/>
  <c r="AX192" i="3"/>
  <c r="AT192" i="3"/>
  <c r="AS192" i="3"/>
  <c r="AW168" i="3"/>
  <c r="AT168" i="3"/>
  <c r="AS168" i="3"/>
  <c r="AR168" i="3"/>
  <c r="AS144" i="3"/>
  <c r="AY132" i="3"/>
  <c r="AX132" i="3"/>
  <c r="AW132" i="3"/>
  <c r="AT132" i="3"/>
  <c r="AY108" i="3"/>
  <c r="AW108" i="3"/>
  <c r="AT108" i="3"/>
  <c r="AR108" i="3"/>
  <c r="AT84" i="3"/>
  <c r="AR84" i="3"/>
  <c r="AY72" i="3"/>
  <c r="AX72" i="3"/>
  <c r="AW72" i="3"/>
  <c r="AT48" i="3"/>
  <c r="AY48" i="3"/>
  <c r="AS36" i="3"/>
  <c r="AS24" i="3"/>
  <c r="AX24" i="3"/>
  <c r="AW24" i="3"/>
  <c r="AR266" i="3"/>
  <c r="AW40" i="3"/>
  <c r="AW232" i="3"/>
  <c r="AW280" i="3"/>
  <c r="AW304" i="3"/>
  <c r="AW352" i="3"/>
  <c r="AW376" i="3"/>
  <c r="AW568" i="3"/>
  <c r="AY772" i="3"/>
  <c r="AY808" i="3"/>
  <c r="AY844" i="3"/>
  <c r="AS87" i="3"/>
  <c r="AY317" i="3"/>
  <c r="AW509" i="3"/>
  <c r="AW605" i="3"/>
  <c r="AY701" i="3"/>
  <c r="AY893" i="3"/>
  <c r="AT864" i="3"/>
  <c r="AW192" i="3"/>
  <c r="AW474" i="3"/>
  <c r="AX858" i="3"/>
  <c r="AR966" i="3"/>
  <c r="AY894" i="3"/>
  <c r="AX894" i="3"/>
  <c r="AS894" i="3"/>
  <c r="AR894" i="3"/>
  <c r="AR822" i="3"/>
  <c r="AY750" i="3"/>
  <c r="AX750" i="3"/>
  <c r="AT750" i="3"/>
  <c r="AS750" i="3"/>
  <c r="AS678" i="3"/>
  <c r="AX606" i="3"/>
  <c r="AW606" i="3"/>
  <c r="AT606" i="3"/>
  <c r="AR606" i="3"/>
  <c r="AX558" i="3"/>
  <c r="AR498" i="3"/>
  <c r="AX498" i="3"/>
  <c r="AX438" i="3"/>
  <c r="AY438" i="3"/>
  <c r="AW318" i="3"/>
  <c r="AX318" i="3"/>
  <c r="AR318" i="3"/>
  <c r="AT318" i="3"/>
  <c r="AR198" i="3"/>
  <c r="AX198" i="3"/>
  <c r="AT198" i="3"/>
  <c r="AS198" i="3"/>
  <c r="AR150" i="3"/>
  <c r="AT66" i="3"/>
  <c r="AY66" i="3"/>
  <c r="AW66" i="3"/>
  <c r="AT953" i="3"/>
  <c r="AR953" i="3"/>
  <c r="AW881" i="3"/>
  <c r="AS797" i="3"/>
  <c r="AT797" i="3"/>
  <c r="AW797" i="3"/>
  <c r="AR581" i="3"/>
  <c r="AX581" i="3"/>
  <c r="AS389" i="3"/>
  <c r="AT389" i="3"/>
  <c r="AX389" i="3"/>
  <c r="AS257" i="3"/>
  <c r="AR257" i="3"/>
  <c r="AT197" i="3"/>
  <c r="AS197" i="3"/>
  <c r="AW197" i="3"/>
  <c r="AY113" i="3"/>
  <c r="AX113" i="3"/>
  <c r="AR113" i="3"/>
  <c r="AT53" i="3"/>
  <c r="AS53" i="3"/>
  <c r="AX1000" i="3"/>
  <c r="AS940" i="3"/>
  <c r="AR940" i="3"/>
  <c r="AX940" i="3"/>
  <c r="AW940" i="3"/>
  <c r="AS784" i="3"/>
  <c r="AR688" i="3"/>
  <c r="AS688" i="3"/>
  <c r="AX688" i="3"/>
  <c r="AS544" i="3"/>
  <c r="AS460" i="3"/>
  <c r="AR460" i="3"/>
  <c r="AT388" i="3"/>
  <c r="AR388" i="3"/>
  <c r="AR244" i="3"/>
  <c r="AS172" i="3"/>
  <c r="AR88" i="3"/>
  <c r="AT88" i="3"/>
  <c r="AY940" i="3"/>
  <c r="AX1007" i="3"/>
  <c r="AW1007" i="3"/>
  <c r="AR1007" i="3"/>
  <c r="AT995" i="3"/>
  <c r="AW983" i="3"/>
  <c r="AT971" i="3"/>
  <c r="AS971" i="3"/>
  <c r="AR971" i="3"/>
  <c r="AY971" i="3"/>
  <c r="AS947" i="3"/>
  <c r="AY947" i="3"/>
  <c r="AX947" i="3"/>
  <c r="AY935" i="3"/>
  <c r="AX935" i="3"/>
  <c r="AX923" i="3"/>
  <c r="AX911" i="3"/>
  <c r="AW911" i="3"/>
  <c r="AR911" i="3"/>
  <c r="AT899" i="3"/>
  <c r="AW887" i="3"/>
  <c r="AT875" i="3"/>
  <c r="AS875" i="3"/>
  <c r="AR875" i="3"/>
  <c r="AY875" i="3"/>
  <c r="AS851" i="3"/>
  <c r="AY851" i="3"/>
  <c r="AX851" i="3"/>
  <c r="AY839" i="3"/>
  <c r="AX839" i="3"/>
  <c r="AX827" i="3"/>
  <c r="AX815" i="3"/>
  <c r="AW815" i="3"/>
  <c r="AR815" i="3"/>
  <c r="AT803" i="3"/>
  <c r="AW791" i="3"/>
  <c r="AT779" i="3"/>
  <c r="AS779" i="3"/>
  <c r="AR779" i="3"/>
  <c r="AY779" i="3"/>
  <c r="AS755" i="3"/>
  <c r="AY755" i="3"/>
  <c r="AX755" i="3"/>
  <c r="AY743" i="3"/>
  <c r="AX743" i="3"/>
  <c r="AX731" i="3"/>
  <c r="AX719" i="3"/>
  <c r="AW719" i="3"/>
  <c r="AR719" i="3"/>
  <c r="AT707" i="3"/>
  <c r="AW695" i="3"/>
  <c r="AT683" i="3"/>
  <c r="AS683" i="3"/>
  <c r="AR683" i="3"/>
  <c r="AY683" i="3"/>
  <c r="AR659" i="3"/>
  <c r="AX659" i="3"/>
  <c r="AY647" i="3"/>
  <c r="AX647" i="3"/>
  <c r="AW647" i="3"/>
  <c r="AX623" i="3"/>
  <c r="AT611" i="3"/>
  <c r="AS611" i="3"/>
  <c r="AR611" i="3"/>
  <c r="AY611" i="3"/>
  <c r="AX587" i="3"/>
  <c r="AY575" i="3"/>
  <c r="AX575" i="3"/>
  <c r="AW575" i="3"/>
  <c r="AX551" i="3"/>
  <c r="AR539" i="3"/>
  <c r="AY539" i="3"/>
  <c r="AX539" i="3"/>
  <c r="AT539" i="3"/>
  <c r="AX515" i="3"/>
  <c r="AY503" i="3"/>
  <c r="AX503" i="3"/>
  <c r="AW503" i="3"/>
  <c r="AT503" i="3"/>
  <c r="AS479" i="3"/>
  <c r="AR479" i="3"/>
  <c r="AT467" i="3"/>
  <c r="AS467" i="3"/>
  <c r="AY467" i="3"/>
  <c r="AT443" i="3"/>
  <c r="AY443" i="3"/>
  <c r="AX443" i="3"/>
  <c r="AY431" i="3"/>
  <c r="AX431" i="3"/>
  <c r="AX419" i="3"/>
  <c r="AX407" i="3"/>
  <c r="AW407" i="3"/>
  <c r="AR395" i="3"/>
  <c r="AY395" i="3"/>
  <c r="AT383" i="3"/>
  <c r="AY371" i="3"/>
  <c r="AX371" i="3"/>
  <c r="AS371" i="3"/>
  <c r="AY359" i="3"/>
  <c r="AS347" i="3"/>
  <c r="AX335" i="3"/>
  <c r="AW335" i="3"/>
  <c r="AS335" i="3"/>
  <c r="AR335" i="3"/>
  <c r="AT311" i="3"/>
  <c r="AY299" i="3"/>
  <c r="AT299" i="3"/>
  <c r="AY287" i="3"/>
  <c r="AR275" i="3"/>
  <c r="AX263" i="3"/>
  <c r="AT263" i="3"/>
  <c r="AW263" i="3"/>
  <c r="AS263" i="3"/>
  <c r="AW239" i="3"/>
  <c r="AS227" i="3"/>
  <c r="AY227" i="3"/>
  <c r="AX227" i="3"/>
  <c r="AY215" i="3"/>
  <c r="AX203" i="3"/>
  <c r="AX191" i="3"/>
  <c r="AW191" i="3"/>
  <c r="AT179" i="3"/>
  <c r="AS179" i="3"/>
  <c r="AT167" i="3"/>
  <c r="AW155" i="3"/>
  <c r="AT155" i="3"/>
  <c r="AY143" i="3"/>
  <c r="AW143" i="3"/>
  <c r="AY119" i="3"/>
  <c r="AT119" i="3"/>
  <c r="AX119" i="3"/>
  <c r="AY107" i="3"/>
  <c r="AW107" i="3"/>
  <c r="AY83" i="3"/>
  <c r="AY71" i="3"/>
  <c r="AX71" i="3"/>
  <c r="AW71" i="3"/>
  <c r="AS71" i="3"/>
  <c r="AW47" i="3"/>
  <c r="AS35" i="3"/>
  <c r="AR35" i="3"/>
  <c r="AY35" i="3"/>
  <c r="AX35" i="3"/>
  <c r="AX40" i="3"/>
  <c r="AX64" i="3"/>
  <c r="AX88" i="3"/>
  <c r="AX112" i="3"/>
  <c r="AX328" i="3"/>
  <c r="AX400" i="3"/>
  <c r="AX424" i="3"/>
  <c r="AX448" i="3"/>
  <c r="AX472" i="3"/>
  <c r="AR77" i="3"/>
  <c r="AS161" i="3"/>
  <c r="AR221" i="3"/>
  <c r="AT275" i="3"/>
  <c r="AR329" i="3"/>
  <c r="AS791" i="3"/>
  <c r="AS983" i="3"/>
  <c r="AW125" i="3"/>
  <c r="AX221" i="3"/>
  <c r="AY413" i="3"/>
  <c r="AR243" i="3"/>
  <c r="AY198" i="3"/>
  <c r="AW480" i="3"/>
  <c r="AW864" i="3"/>
  <c r="AS845" i="3"/>
  <c r="AT845" i="3"/>
  <c r="AR845" i="3"/>
  <c r="AW845" i="3"/>
  <c r="AR988" i="3"/>
  <c r="AW988" i="3"/>
  <c r="AR880" i="3"/>
  <c r="AT880" i="3"/>
  <c r="AS880" i="3"/>
  <c r="AS604" i="3"/>
  <c r="AX604" i="3"/>
  <c r="AW604" i="3"/>
  <c r="AT484" i="3"/>
  <c r="AS484" i="3"/>
  <c r="AT136" i="3"/>
  <c r="AS136" i="3"/>
  <c r="AR994" i="3"/>
  <c r="AW994" i="3"/>
  <c r="AT982" i="3"/>
  <c r="AS982" i="3"/>
  <c r="AR982" i="3"/>
  <c r="AR958" i="3"/>
  <c r="AR946" i="3"/>
  <c r="AT946" i="3"/>
  <c r="AW946" i="3"/>
  <c r="AT934" i="3"/>
  <c r="AT910" i="3"/>
  <c r="AR910" i="3"/>
  <c r="AR898" i="3"/>
  <c r="AT898" i="3"/>
  <c r="AS898" i="3"/>
  <c r="AS874" i="3"/>
  <c r="AS862" i="3"/>
  <c r="AR862" i="3"/>
  <c r="AT862" i="3"/>
  <c r="AR850" i="3"/>
  <c r="AS826" i="3"/>
  <c r="AW826" i="3"/>
  <c r="AT814" i="3"/>
  <c r="AS814" i="3"/>
  <c r="AS790" i="3"/>
  <c r="AS778" i="3"/>
  <c r="AR778" i="3"/>
  <c r="AT778" i="3"/>
  <c r="AW778" i="3"/>
  <c r="AT754" i="3"/>
  <c r="AR742" i="3"/>
  <c r="AS742" i="3"/>
  <c r="AR730" i="3"/>
  <c r="AS730" i="3"/>
  <c r="AS706" i="3"/>
  <c r="AW706" i="3"/>
  <c r="AT694" i="3"/>
  <c r="AR694" i="3"/>
  <c r="AS694" i="3"/>
  <c r="AS670" i="3"/>
  <c r="AS658" i="3"/>
  <c r="AT658" i="3"/>
  <c r="AY658" i="3"/>
  <c r="AT646" i="3"/>
  <c r="AT622" i="3"/>
  <c r="AS622" i="3"/>
  <c r="AR610" i="3"/>
  <c r="AS610" i="3"/>
  <c r="AT610" i="3"/>
  <c r="AR586" i="3"/>
  <c r="AR574" i="3"/>
  <c r="AT574" i="3"/>
  <c r="AS574" i="3"/>
  <c r="AT562" i="3"/>
  <c r="AR538" i="3"/>
  <c r="AT526" i="3"/>
  <c r="AS526" i="3"/>
  <c r="AR526" i="3"/>
  <c r="AS514" i="3"/>
  <c r="AR490" i="3"/>
  <c r="AT478" i="3"/>
  <c r="AS478" i="3"/>
  <c r="AR478" i="3"/>
  <c r="AS466" i="3"/>
  <c r="AR442" i="3"/>
  <c r="AT430" i="3"/>
  <c r="AR430" i="3"/>
  <c r="AS418" i="3"/>
  <c r="AR394" i="3"/>
  <c r="AT382" i="3"/>
  <c r="AS382" i="3"/>
  <c r="AR382" i="3"/>
  <c r="AR370" i="3"/>
  <c r="AR334" i="3"/>
  <c r="AT334" i="3"/>
  <c r="AS334" i="3"/>
  <c r="AT322" i="3"/>
  <c r="AS298" i="3"/>
  <c r="AT286" i="3"/>
  <c r="AS286" i="3"/>
  <c r="AR286" i="3"/>
  <c r="AS274" i="3"/>
  <c r="AR250" i="3"/>
  <c r="AT238" i="3"/>
  <c r="AS238" i="3"/>
  <c r="AR238" i="3"/>
  <c r="AS226" i="3"/>
  <c r="AR202" i="3"/>
  <c r="AT190" i="3"/>
  <c r="AS190" i="3"/>
  <c r="AR190" i="3"/>
  <c r="AS178" i="3"/>
  <c r="AR154" i="3"/>
  <c r="AT142" i="3"/>
  <c r="AS142" i="3"/>
  <c r="AR142" i="3"/>
  <c r="AS130" i="3"/>
  <c r="AR106" i="3"/>
  <c r="AT94" i="3"/>
  <c r="AS94" i="3"/>
  <c r="AR94" i="3"/>
  <c r="AS82" i="3"/>
  <c r="AR58" i="3"/>
  <c r="AS46" i="3"/>
  <c r="AT46" i="3"/>
  <c r="AR46" i="3"/>
  <c r="AS34" i="3"/>
  <c r="AY16" i="3"/>
  <c r="AY88" i="3"/>
  <c r="AY208" i="3"/>
  <c r="AY256" i="3"/>
  <c r="AY598" i="3"/>
  <c r="AY670" i="3"/>
  <c r="AY706" i="3"/>
  <c r="AW742" i="3"/>
  <c r="AY778" i="3"/>
  <c r="AR135" i="3"/>
  <c r="AR125" i="3"/>
  <c r="AR167" i="3"/>
  <c r="AR281" i="3"/>
  <c r="AT329" i="3"/>
  <c r="AT791" i="3"/>
  <c r="AT983" i="3"/>
  <c r="AW35" i="3"/>
  <c r="AX131" i="3"/>
  <c r="AW227" i="3"/>
  <c r="AW899" i="3"/>
  <c r="AT72" i="3"/>
  <c r="AR192" i="3"/>
  <c r="AR444" i="3"/>
  <c r="AR588" i="3"/>
  <c r="AT954" i="3"/>
  <c r="AS954" i="3"/>
  <c r="AR954" i="3"/>
  <c r="AY954" i="3"/>
  <c r="AS882" i="3"/>
  <c r="AW798" i="3"/>
  <c r="AS798" i="3"/>
  <c r="AS702" i="3"/>
  <c r="AY702" i="3"/>
  <c r="AW702" i="3"/>
  <c r="AX546" i="3"/>
  <c r="AX414" i="3"/>
  <c r="AY414" i="3"/>
  <c r="AW414" i="3"/>
  <c r="AT414" i="3"/>
  <c r="AR977" i="3"/>
  <c r="AW977" i="3"/>
  <c r="AY977" i="3"/>
  <c r="AT905" i="3"/>
  <c r="AR905" i="3"/>
  <c r="AW821" i="3"/>
  <c r="AW749" i="3"/>
  <c r="AT677" i="3"/>
  <c r="AY677" i="3"/>
  <c r="AT473" i="3"/>
  <c r="AR473" i="3"/>
  <c r="AX473" i="3"/>
  <c r="AW473" i="3"/>
  <c r="AR401" i="3"/>
  <c r="AR317" i="3"/>
  <c r="AT221" i="3"/>
  <c r="AW221" i="3"/>
  <c r="AT77" i="3"/>
  <c r="AY77" i="3"/>
  <c r="AS904" i="3"/>
  <c r="AT820" i="3"/>
  <c r="AS820" i="3"/>
  <c r="AR820" i="3"/>
  <c r="AX820" i="3"/>
  <c r="AT652" i="3"/>
  <c r="AR652" i="3"/>
  <c r="AX652" i="3"/>
  <c r="AW652" i="3"/>
  <c r="AT568" i="3"/>
  <c r="AR376" i="3"/>
  <c r="AR280" i="3"/>
  <c r="AT280" i="3"/>
  <c r="AS280" i="3"/>
  <c r="AT196" i="3"/>
  <c r="AS40" i="3"/>
  <c r="AY244" i="3"/>
  <c r="AY388" i="3"/>
  <c r="AY532" i="3"/>
  <c r="AY760" i="3"/>
  <c r="AX993" i="3"/>
  <c r="AY993" i="3"/>
  <c r="AS993" i="3"/>
  <c r="AT993" i="3"/>
  <c r="AR993" i="3"/>
  <c r="AX969" i="3"/>
  <c r="AY969" i="3"/>
  <c r="AS969" i="3"/>
  <c r="AR969" i="3"/>
  <c r="AT957" i="3"/>
  <c r="AW945" i="3"/>
  <c r="AS945" i="3"/>
  <c r="AT945" i="3"/>
  <c r="AS933" i="3"/>
  <c r="AS921" i="3"/>
  <c r="AT921" i="3"/>
  <c r="AY921" i="3"/>
  <c r="AR921" i="3"/>
  <c r="AW909" i="3"/>
  <c r="AW897" i="3"/>
  <c r="AT897" i="3"/>
  <c r="AR897" i="3"/>
  <c r="AW885" i="3"/>
  <c r="AW873" i="3"/>
  <c r="AY873" i="3"/>
  <c r="AS873" i="3"/>
  <c r="AT873" i="3"/>
  <c r="AT861" i="3"/>
  <c r="AW849" i="3"/>
  <c r="AS849" i="3"/>
  <c r="AR849" i="3"/>
  <c r="AW837" i="3"/>
  <c r="AT825" i="3"/>
  <c r="AW825" i="3"/>
  <c r="AY825" i="3"/>
  <c r="AR825" i="3"/>
  <c r="AT813" i="3"/>
  <c r="AW801" i="3"/>
  <c r="AT801" i="3"/>
  <c r="AS801" i="3"/>
  <c r="AR801" i="3"/>
  <c r="AT789" i="3"/>
  <c r="AW777" i="3"/>
  <c r="AY777" i="3"/>
  <c r="AR777" i="3"/>
  <c r="AS777" i="3"/>
  <c r="AW765" i="3"/>
  <c r="AW753" i="3"/>
  <c r="AY753" i="3"/>
  <c r="AR753" i="3"/>
  <c r="AS753" i="3"/>
  <c r="AW741" i="3"/>
  <c r="AW729" i="3"/>
  <c r="AT729" i="3"/>
  <c r="AR729" i="3"/>
  <c r="AS729" i="3"/>
  <c r="AW717" i="3"/>
  <c r="AX705" i="3"/>
  <c r="AY705" i="3"/>
  <c r="AS705" i="3"/>
  <c r="AR705" i="3"/>
  <c r="AT693" i="3"/>
  <c r="AY681" i="3"/>
  <c r="AT681" i="3"/>
  <c r="AS681" i="3"/>
  <c r="AR681" i="3"/>
  <c r="AX669" i="3"/>
  <c r="AX657" i="3"/>
  <c r="AR657" i="3"/>
  <c r="AT645" i="3"/>
  <c r="AR645" i="3"/>
  <c r="AW633" i="3"/>
  <c r="AT633" i="3"/>
  <c r="AR621" i="3"/>
  <c r="AX621" i="3"/>
  <c r="AX609" i="3"/>
  <c r="AS609" i="3"/>
  <c r="AR609" i="3"/>
  <c r="AX597" i="3"/>
  <c r="AY597" i="3"/>
  <c r="AX585" i="3"/>
  <c r="AS585" i="3"/>
  <c r="AR585" i="3"/>
  <c r="AR573" i="3"/>
  <c r="AT573" i="3"/>
  <c r="AT561" i="3"/>
  <c r="AR561" i="3"/>
  <c r="AT549" i="3"/>
  <c r="AR549" i="3"/>
  <c r="AX549" i="3"/>
  <c r="AS537" i="3"/>
  <c r="AT525" i="3"/>
  <c r="AR525" i="3"/>
  <c r="AX525" i="3"/>
  <c r="AY525" i="3"/>
  <c r="AT501" i="3"/>
  <c r="AR501" i="3"/>
  <c r="AX501" i="3"/>
  <c r="AS501" i="3"/>
  <c r="AS489" i="3"/>
  <c r="AT477" i="3"/>
  <c r="AR477" i="3"/>
  <c r="AX477" i="3"/>
  <c r="AY477" i="3"/>
  <c r="AS465" i="3"/>
  <c r="AT453" i="3"/>
  <c r="AR453" i="3"/>
  <c r="AX453" i="3"/>
  <c r="AY453" i="3"/>
  <c r="AR441" i="3"/>
  <c r="AR429" i="3"/>
  <c r="AX429" i="3"/>
  <c r="AS429" i="3"/>
  <c r="AY429" i="3"/>
  <c r="AR417" i="3"/>
  <c r="AR405" i="3"/>
  <c r="AX405" i="3"/>
  <c r="AY405" i="3"/>
  <c r="AW405" i="3"/>
  <c r="AT381" i="3"/>
  <c r="AX381" i="3"/>
  <c r="AS381" i="3"/>
  <c r="AY381" i="3"/>
  <c r="AW381" i="3"/>
  <c r="AT357" i="3"/>
  <c r="AW357" i="3"/>
  <c r="AX357" i="3"/>
  <c r="AY357" i="3"/>
  <c r="AS357" i="3"/>
  <c r="AR333" i="3"/>
  <c r="AX333" i="3"/>
  <c r="AY333" i="3"/>
  <c r="AS333" i="3"/>
  <c r="AT333" i="3"/>
  <c r="AW309" i="3"/>
  <c r="AY309" i="3"/>
  <c r="AR309" i="3"/>
  <c r="AT309" i="3"/>
  <c r="AX297" i="3"/>
  <c r="AY285" i="3"/>
  <c r="AX273" i="3"/>
  <c r="AW273" i="3"/>
  <c r="AY273" i="3"/>
  <c r="AR273" i="3"/>
  <c r="AX249" i="3"/>
  <c r="AY249" i="3"/>
  <c r="AS249" i="3"/>
  <c r="AR249" i="3"/>
  <c r="AT249" i="3"/>
  <c r="AX225" i="3"/>
  <c r="AY225" i="3"/>
  <c r="AS225" i="3"/>
  <c r="AW213" i="3"/>
  <c r="AY201" i="3"/>
  <c r="AS201" i="3"/>
  <c r="AW189" i="3"/>
  <c r="AR189" i="3"/>
  <c r="AT177" i="3"/>
  <c r="AS177" i="3"/>
  <c r="AR177" i="3"/>
  <c r="AR165" i="3"/>
  <c r="AY165" i="3"/>
  <c r="AX153" i="3"/>
  <c r="AT153" i="3"/>
  <c r="AS153" i="3"/>
  <c r="AT141" i="3"/>
  <c r="AY141" i="3"/>
  <c r="AS129" i="3"/>
  <c r="AY117" i="3"/>
  <c r="AW117" i="3"/>
  <c r="AX117" i="3"/>
  <c r="AS117" i="3"/>
  <c r="AT105" i="3"/>
  <c r="AT93" i="3"/>
  <c r="AW93" i="3"/>
  <c r="AX93" i="3"/>
  <c r="AR93" i="3"/>
  <c r="AY69" i="3"/>
  <c r="AW69" i="3"/>
  <c r="AT69" i="3"/>
  <c r="AR69" i="3"/>
  <c r="AX57" i="3"/>
  <c r="AT45" i="3"/>
  <c r="AW45" i="3"/>
  <c r="AX33" i="3"/>
  <c r="AY33" i="3"/>
  <c r="AW33" i="3"/>
  <c r="AR194" i="3"/>
  <c r="AW46" i="3"/>
  <c r="AX214" i="3"/>
  <c r="AX262" i="3"/>
  <c r="AX286" i="3"/>
  <c r="AX310" i="3"/>
  <c r="AX334" i="3"/>
  <c r="AW502" i="3"/>
  <c r="AW550" i="3"/>
  <c r="AW574" i="3"/>
  <c r="AX598" i="3"/>
  <c r="AW640" i="3"/>
  <c r="AY886" i="3"/>
  <c r="AY958" i="3"/>
  <c r="AW1000" i="3"/>
  <c r="AS135" i="3"/>
  <c r="AT121" i="3"/>
  <c r="AT491" i="3"/>
  <c r="AT617" i="3"/>
  <c r="AS671" i="3"/>
  <c r="AT725" i="3"/>
  <c r="AS905" i="3"/>
  <c r="AW629" i="3"/>
  <c r="AY821" i="3"/>
  <c r="AY917" i="3"/>
  <c r="AT129" i="3"/>
  <c r="AS96" i="3"/>
  <c r="AX954" i="3"/>
  <c r="AW709" i="3"/>
  <c r="AW573" i="3"/>
  <c r="AR990" i="3"/>
  <c r="AY990" i="3"/>
  <c r="AW918" i="3"/>
  <c r="AT918" i="3"/>
  <c r="AS918" i="3"/>
  <c r="AT846" i="3"/>
  <c r="AY846" i="3"/>
  <c r="AS786" i="3"/>
  <c r="AY786" i="3"/>
  <c r="AS726" i="3"/>
  <c r="AY726" i="3"/>
  <c r="AW726" i="3"/>
  <c r="AX666" i="3"/>
  <c r="AY618" i="3"/>
  <c r="AX618" i="3"/>
  <c r="AW618" i="3"/>
  <c r="AS618" i="3"/>
  <c r="AY510" i="3"/>
  <c r="AT510" i="3"/>
  <c r="AR510" i="3"/>
  <c r="AT450" i="3"/>
  <c r="AS450" i="3"/>
  <c r="AY378" i="3"/>
  <c r="AT378" i="3"/>
  <c r="AR378" i="3"/>
  <c r="AY342" i="3"/>
  <c r="AW342" i="3"/>
  <c r="AY282" i="3"/>
  <c r="AX282" i="3"/>
  <c r="AS282" i="3"/>
  <c r="AR210" i="3"/>
  <c r="AW210" i="3"/>
  <c r="AT162" i="3"/>
  <c r="AW114" i="3"/>
  <c r="AT114" i="3"/>
  <c r="AY114" i="3"/>
  <c r="AS114" i="3"/>
  <c r="AT42" i="3"/>
  <c r="AX42" i="3"/>
  <c r="AY42" i="3"/>
  <c r="AT18" i="3"/>
  <c r="AS18" i="3"/>
  <c r="AS13" i="3"/>
  <c r="AY13" i="3"/>
  <c r="AW13" i="3"/>
  <c r="AS941" i="3"/>
  <c r="AT941" i="3"/>
  <c r="AT785" i="3"/>
  <c r="AX785" i="3"/>
  <c r="AW785" i="3"/>
  <c r="AY785" i="3"/>
  <c r="AT713" i="3"/>
  <c r="AX641" i="3"/>
  <c r="AS641" i="3"/>
  <c r="AY569" i="3"/>
  <c r="AX569" i="3"/>
  <c r="AW569" i="3"/>
  <c r="AX353" i="3"/>
  <c r="AY353" i="3"/>
  <c r="AW269" i="3"/>
  <c r="AS17" i="3"/>
  <c r="AX17" i="3"/>
  <c r="AY17" i="3"/>
  <c r="AW17" i="3"/>
  <c r="AY365" i="3"/>
  <c r="AW916" i="3"/>
  <c r="AS832" i="3"/>
  <c r="AT832" i="3"/>
  <c r="AX832" i="3"/>
  <c r="AT748" i="3"/>
  <c r="AS664" i="3"/>
  <c r="AS580" i="3"/>
  <c r="AR580" i="3"/>
  <c r="AT580" i="3"/>
  <c r="AT508" i="3"/>
  <c r="AR304" i="3"/>
  <c r="AR232" i="3"/>
  <c r="AS232" i="3"/>
  <c r="AR184" i="3"/>
  <c r="AY316" i="3"/>
  <c r="AY652" i="3"/>
  <c r="AY904" i="3"/>
  <c r="AR497" i="3"/>
  <c r="AT305" i="3"/>
  <c r="AY1004" i="3"/>
  <c r="AW1004" i="3"/>
  <c r="AR1004" i="3"/>
  <c r="AR992" i="3"/>
  <c r="AY992" i="3"/>
  <c r="AX992" i="3"/>
  <c r="AX980" i="3"/>
  <c r="AW980" i="3"/>
  <c r="AR980" i="3"/>
  <c r="AR968" i="3"/>
  <c r="AT968" i="3"/>
  <c r="AS968" i="3"/>
  <c r="AX968" i="3"/>
  <c r="AY956" i="3"/>
  <c r="AW956" i="3"/>
  <c r="AR956" i="3"/>
  <c r="AR944" i="3"/>
  <c r="AT944" i="3"/>
  <c r="AS944" i="3"/>
  <c r="AX944" i="3"/>
  <c r="AX932" i="3"/>
  <c r="AS932" i="3"/>
  <c r="AR920" i="3"/>
  <c r="AT920" i="3"/>
  <c r="AX920" i="3"/>
  <c r="AS920" i="3"/>
  <c r="AY908" i="3"/>
  <c r="AR908" i="3"/>
  <c r="AY896" i="3"/>
  <c r="AX896" i="3"/>
  <c r="AW896" i="3"/>
  <c r="AT896" i="3"/>
  <c r="AX884" i="3"/>
  <c r="AR872" i="3"/>
  <c r="AS872" i="3"/>
  <c r="AY872" i="3"/>
  <c r="AX872" i="3"/>
  <c r="AW872" i="3"/>
  <c r="AX860" i="3"/>
  <c r="AR848" i="3"/>
  <c r="AS848" i="3"/>
  <c r="AY848" i="3"/>
  <c r="AX848" i="3"/>
  <c r="AW848" i="3"/>
  <c r="AX836" i="3"/>
  <c r="AR824" i="3"/>
  <c r="AX824" i="3"/>
  <c r="AY824" i="3"/>
  <c r="AW824" i="3"/>
  <c r="AY812" i="3"/>
  <c r="AY800" i="3"/>
  <c r="AW800" i="3"/>
  <c r="AT800" i="3"/>
  <c r="AY788" i="3"/>
  <c r="AX788" i="3"/>
  <c r="AS776" i="3"/>
  <c r="AX776" i="3"/>
  <c r="AW776" i="3"/>
  <c r="AY764" i="3"/>
  <c r="AX764" i="3"/>
  <c r="AS752" i="3"/>
  <c r="AX752" i="3"/>
  <c r="AW752" i="3"/>
  <c r="AY740" i="3"/>
  <c r="AX740" i="3"/>
  <c r="AX728" i="3"/>
  <c r="AY728" i="3"/>
  <c r="AW728" i="3"/>
  <c r="AY716" i="3"/>
  <c r="AX716" i="3"/>
  <c r="AX704" i="3"/>
  <c r="AT704" i="3"/>
  <c r="AS704" i="3"/>
  <c r="AY692" i="3"/>
  <c r="AX692" i="3"/>
  <c r="AS680" i="3"/>
  <c r="AX680" i="3"/>
  <c r="AW680" i="3"/>
  <c r="AY668" i="3"/>
  <c r="AX668" i="3"/>
  <c r="AS656" i="3"/>
  <c r="AX656" i="3"/>
  <c r="AW656" i="3"/>
  <c r="AY644" i="3"/>
  <c r="AX644" i="3"/>
  <c r="AX632" i="3"/>
  <c r="AY632" i="3"/>
  <c r="AY620" i="3"/>
  <c r="AX620" i="3"/>
  <c r="AT620" i="3"/>
  <c r="AY608" i="3"/>
  <c r="AW608" i="3"/>
  <c r="AS608" i="3"/>
  <c r="AY596" i="3"/>
  <c r="AX596" i="3"/>
  <c r="AT596" i="3"/>
  <c r="AY584" i="3"/>
  <c r="AW584" i="3"/>
  <c r="AY572" i="3"/>
  <c r="AX572" i="3"/>
  <c r="AS572" i="3"/>
  <c r="AY560" i="3"/>
  <c r="AY548" i="3"/>
  <c r="AX548" i="3"/>
  <c r="AT548" i="3"/>
  <c r="AW548" i="3"/>
  <c r="AY536" i="3"/>
  <c r="AX524" i="3"/>
  <c r="AT524" i="3"/>
  <c r="AW524" i="3"/>
  <c r="AS524" i="3"/>
  <c r="AX512" i="3"/>
  <c r="AW512" i="3"/>
  <c r="AY500" i="3"/>
  <c r="AT500" i="3"/>
  <c r="AW500" i="3"/>
  <c r="AS500" i="3"/>
  <c r="AR500" i="3"/>
  <c r="AY488" i="3"/>
  <c r="AY476" i="3"/>
  <c r="AT476" i="3"/>
  <c r="AW476" i="3"/>
  <c r="AS476" i="3"/>
  <c r="AR476" i="3"/>
  <c r="AY464" i="3"/>
  <c r="AX464" i="3"/>
  <c r="AY452" i="3"/>
  <c r="AT452" i="3"/>
  <c r="AW452" i="3"/>
  <c r="AS452" i="3"/>
  <c r="AR452" i="3"/>
  <c r="AX428" i="3"/>
  <c r="AW428" i="3"/>
  <c r="AS428" i="3"/>
  <c r="AR428" i="3"/>
  <c r="AR416" i="3"/>
  <c r="AX416" i="3"/>
  <c r="AY404" i="3"/>
  <c r="AT404" i="3"/>
  <c r="AS404" i="3"/>
  <c r="AR404" i="3"/>
  <c r="AR392" i="3"/>
  <c r="AT392" i="3"/>
  <c r="AY392" i="3"/>
  <c r="AY380" i="3"/>
  <c r="AT380" i="3"/>
  <c r="AR380" i="3"/>
  <c r="AS380" i="3"/>
  <c r="AS368" i="3"/>
  <c r="AR368" i="3"/>
  <c r="AY368" i="3"/>
  <c r="AW368" i="3"/>
  <c r="AR356" i="3"/>
  <c r="AS356" i="3"/>
  <c r="AT356" i="3"/>
  <c r="AR344" i="3"/>
  <c r="AT344" i="3"/>
  <c r="AX344" i="3"/>
  <c r="AY332" i="3"/>
  <c r="AX332" i="3"/>
  <c r="AW332" i="3"/>
  <c r="AR320" i="3"/>
  <c r="AY320" i="3"/>
  <c r="AW320" i="3"/>
  <c r="AX308" i="3"/>
  <c r="AR308" i="3"/>
  <c r="AT308" i="3"/>
  <c r="AS296" i="3"/>
  <c r="AT296" i="3"/>
  <c r="AX296" i="3"/>
  <c r="AY284" i="3"/>
  <c r="AW284" i="3"/>
  <c r="AT284" i="3"/>
  <c r="AT272" i="3"/>
  <c r="AS272" i="3"/>
  <c r="AY272" i="3"/>
  <c r="AY260" i="3"/>
  <c r="AW260" i="3"/>
  <c r="AS260" i="3"/>
  <c r="AR260" i="3"/>
  <c r="AT248" i="3"/>
  <c r="AS248" i="3"/>
  <c r="AX248" i="3"/>
  <c r="AX236" i="3"/>
  <c r="AT236" i="3"/>
  <c r="AR236" i="3"/>
  <c r="AT224" i="3"/>
  <c r="AS224" i="3"/>
  <c r="AR224" i="3"/>
  <c r="AX224" i="3"/>
  <c r="AY212" i="3"/>
  <c r="AT212" i="3"/>
  <c r="AR212" i="3"/>
  <c r="AR200" i="3"/>
  <c r="AY200" i="3"/>
  <c r="AX200" i="3"/>
  <c r="AY188" i="3"/>
  <c r="AS188" i="3"/>
  <c r="AR188" i="3"/>
  <c r="AT176" i="3"/>
  <c r="AY176" i="3"/>
  <c r="AX176" i="3"/>
  <c r="AX164" i="3"/>
  <c r="AT152" i="3"/>
  <c r="AS152" i="3"/>
  <c r="AR152" i="3"/>
  <c r="AX152" i="3"/>
  <c r="AY140" i="3"/>
  <c r="AT140" i="3"/>
  <c r="AS128" i="3"/>
  <c r="AR128" i="3"/>
  <c r="AY128" i="3"/>
  <c r="AX128" i="3"/>
  <c r="AY116" i="3"/>
  <c r="AW116" i="3"/>
  <c r="AR116" i="3"/>
  <c r="AS104" i="3"/>
  <c r="AR104" i="3"/>
  <c r="AY104" i="3"/>
  <c r="AX104" i="3"/>
  <c r="AY92" i="3"/>
  <c r="AR92" i="3"/>
  <c r="AS80" i="3"/>
  <c r="AR80" i="3"/>
  <c r="AY80" i="3"/>
  <c r="AX80" i="3"/>
  <c r="AY68" i="3"/>
  <c r="AW68" i="3"/>
  <c r="AS68" i="3"/>
  <c r="AS56" i="3"/>
  <c r="AX56" i="3"/>
  <c r="AY56" i="3"/>
  <c r="AW56" i="3"/>
  <c r="AX44" i="3"/>
  <c r="AW44" i="3"/>
  <c r="AR32" i="3"/>
  <c r="AY32" i="3"/>
  <c r="AX32" i="3"/>
  <c r="AW32" i="3"/>
  <c r="AS32" i="3"/>
  <c r="AX70" i="3"/>
  <c r="AW118" i="3"/>
  <c r="AW142" i="3"/>
  <c r="AW166" i="3"/>
  <c r="AW190" i="3"/>
  <c r="AW310" i="3"/>
  <c r="AW358" i="3"/>
  <c r="AY406" i="3"/>
  <c r="AY430" i="3"/>
  <c r="AY454" i="3"/>
  <c r="AY478" i="3"/>
  <c r="AY604" i="3"/>
  <c r="AY676" i="3"/>
  <c r="AY748" i="3"/>
  <c r="AY784" i="3"/>
  <c r="AY820" i="3"/>
  <c r="AY856" i="3"/>
  <c r="AR89" i="3"/>
  <c r="AS173" i="3"/>
  <c r="AR233" i="3"/>
  <c r="AT287" i="3"/>
  <c r="AT335" i="3"/>
  <c r="AS815" i="3"/>
  <c r="AS1007" i="3"/>
  <c r="AX53" i="3"/>
  <c r="AW149" i="3"/>
  <c r="AX341" i="3"/>
  <c r="AX821" i="3"/>
  <c r="AS69" i="3"/>
  <c r="AS216" i="3"/>
  <c r="AR330" i="3"/>
  <c r="AR474" i="3"/>
  <c r="AR618" i="3"/>
  <c r="AW176" i="3"/>
  <c r="AT978" i="3"/>
  <c r="AW978" i="3"/>
  <c r="AY978" i="3"/>
  <c r="AR978" i="3"/>
  <c r="AW834" i="3"/>
  <c r="AX834" i="3"/>
  <c r="AT834" i="3"/>
  <c r="AR774" i="3"/>
  <c r="AY774" i="3"/>
  <c r="AR714" i="3"/>
  <c r="AY714" i="3"/>
  <c r="AX714" i="3"/>
  <c r="AS630" i="3"/>
  <c r="AX630" i="3"/>
  <c r="AY570" i="3"/>
  <c r="AX570" i="3"/>
  <c r="AX486" i="3"/>
  <c r="AY486" i="3"/>
  <c r="AW486" i="3"/>
  <c r="AW426" i="3"/>
  <c r="AT354" i="3"/>
  <c r="AW354" i="3"/>
  <c r="AR354" i="3"/>
  <c r="AW306" i="3"/>
  <c r="AX306" i="3"/>
  <c r="AR258" i="3"/>
  <c r="AW258" i="3"/>
  <c r="AT258" i="3"/>
  <c r="AS258" i="3"/>
  <c r="AX186" i="3"/>
  <c r="AR138" i="3"/>
  <c r="AT138" i="3"/>
  <c r="AS138" i="3"/>
  <c r="AY138" i="3"/>
  <c r="AR78" i="3"/>
  <c r="AS965" i="3"/>
  <c r="AR965" i="3"/>
  <c r="AW965" i="3"/>
  <c r="AS893" i="3"/>
  <c r="AT893" i="3"/>
  <c r="AX809" i="3"/>
  <c r="AY809" i="3"/>
  <c r="AR737" i="3"/>
  <c r="AX737" i="3"/>
  <c r="AW737" i="3"/>
  <c r="AY737" i="3"/>
  <c r="AY593" i="3"/>
  <c r="AW593" i="3"/>
  <c r="AS593" i="3"/>
  <c r="AT521" i="3"/>
  <c r="AR521" i="3"/>
  <c r="AY449" i="3"/>
  <c r="AW449" i="3"/>
  <c r="AY377" i="3"/>
  <c r="AX377" i="3"/>
  <c r="AW377" i="3"/>
  <c r="AR245" i="3"/>
  <c r="AX185" i="3"/>
  <c r="AW185" i="3"/>
  <c r="AY185" i="3"/>
  <c r="AS185" i="3"/>
  <c r="AX65" i="3"/>
  <c r="AW65" i="3"/>
  <c r="AT29" i="3"/>
  <c r="AR29" i="3"/>
  <c r="AY29" i="3"/>
  <c r="AY557" i="3"/>
  <c r="AS246" i="3"/>
  <c r="AT1012" i="3"/>
  <c r="AS1012" i="3"/>
  <c r="AR1012" i="3"/>
  <c r="AX1012" i="3"/>
  <c r="AS868" i="3"/>
  <c r="AX868" i="3"/>
  <c r="AW868" i="3"/>
  <c r="AT796" i="3"/>
  <c r="AS796" i="3"/>
  <c r="AX700" i="3"/>
  <c r="AT628" i="3"/>
  <c r="AS628" i="3"/>
  <c r="AR628" i="3"/>
  <c r="AX628" i="3"/>
  <c r="AS496" i="3"/>
  <c r="AS412" i="3"/>
  <c r="AR412" i="3"/>
  <c r="AR340" i="3"/>
  <c r="AS340" i="3"/>
  <c r="AS160" i="3"/>
  <c r="AS76" i="3"/>
  <c r="AR76" i="3"/>
  <c r="AT497" i="3"/>
  <c r="AY124" i="3"/>
  <c r="AT353" i="3"/>
  <c r="AX1003" i="3"/>
  <c r="AW1003" i="3"/>
  <c r="AT1003" i="3"/>
  <c r="AS1003" i="3"/>
  <c r="AY1003" i="3"/>
  <c r="AW991" i="3"/>
  <c r="AS991" i="3"/>
  <c r="AX979" i="3"/>
  <c r="AW979" i="3"/>
  <c r="AT979" i="3"/>
  <c r="AS979" i="3"/>
  <c r="AY979" i="3"/>
  <c r="AW967" i="3"/>
  <c r="AS967" i="3"/>
  <c r="AX955" i="3"/>
  <c r="AY955" i="3"/>
  <c r="AT955" i="3"/>
  <c r="AX943" i="3"/>
  <c r="AR943" i="3"/>
  <c r="AW931" i="3"/>
  <c r="AT931" i="3"/>
  <c r="AS931" i="3"/>
  <c r="AR931" i="3"/>
  <c r="AY919" i="3"/>
  <c r="AX919" i="3"/>
  <c r="AR919" i="3"/>
  <c r="AW907" i="3"/>
  <c r="AT907" i="3"/>
  <c r="AS907" i="3"/>
  <c r="AR907" i="3"/>
  <c r="AY895" i="3"/>
  <c r="AR895" i="3"/>
  <c r="AW883" i="3"/>
  <c r="AY883" i="3"/>
  <c r="AT883" i="3"/>
  <c r="AS883" i="3"/>
  <c r="AY871" i="3"/>
  <c r="AX871" i="3"/>
  <c r="AR871" i="3"/>
  <c r="AW859" i="3"/>
  <c r="AT859" i="3"/>
  <c r="AS859" i="3"/>
  <c r="AR859" i="3"/>
  <c r="AY847" i="3"/>
  <c r="AX847" i="3"/>
  <c r="AX835" i="3"/>
  <c r="AS835" i="3"/>
  <c r="AR835" i="3"/>
  <c r="AT835" i="3"/>
  <c r="AY835" i="3"/>
  <c r="AX811" i="3"/>
  <c r="AT811" i="3"/>
  <c r="AY811" i="3"/>
  <c r="AS811" i="3"/>
  <c r="AR811" i="3"/>
  <c r="AX787" i="3"/>
  <c r="AT787" i="3"/>
  <c r="AS787" i="3"/>
  <c r="AR787" i="3"/>
  <c r="AY787" i="3"/>
  <c r="AX763" i="3"/>
  <c r="AY763" i="3"/>
  <c r="AT763" i="3"/>
  <c r="AS763" i="3"/>
  <c r="AR763" i="3"/>
  <c r="AW739" i="3"/>
  <c r="AS739" i="3"/>
  <c r="AR739" i="3"/>
  <c r="AY739" i="3"/>
  <c r="AY727" i="3"/>
  <c r="AW715" i="3"/>
  <c r="AS715" i="3"/>
  <c r="AR715" i="3"/>
  <c r="AY715" i="3"/>
  <c r="AY703" i="3"/>
  <c r="AX703" i="3"/>
  <c r="AW691" i="3"/>
  <c r="AS691" i="3"/>
  <c r="AR691" i="3"/>
  <c r="AY691" i="3"/>
  <c r="AY679" i="3"/>
  <c r="AX679" i="3"/>
  <c r="AW667" i="3"/>
  <c r="AR667" i="3"/>
  <c r="AY667" i="3"/>
  <c r="AY655" i="3"/>
  <c r="AW655" i="3"/>
  <c r="AX655" i="3"/>
  <c r="AX643" i="3"/>
  <c r="AS643" i="3"/>
  <c r="AR643" i="3"/>
  <c r="AW631" i="3"/>
  <c r="AY631" i="3"/>
  <c r="AX631" i="3"/>
  <c r="AY619" i="3"/>
  <c r="AW619" i="3"/>
  <c r="AW607" i="3"/>
  <c r="AT607" i="3"/>
  <c r="AS607" i="3"/>
  <c r="AY607" i="3"/>
  <c r="AX595" i="3"/>
  <c r="AY595" i="3"/>
  <c r="AT595" i="3"/>
  <c r="AT583" i="3"/>
  <c r="AY583" i="3"/>
  <c r="AS583" i="3"/>
  <c r="AT571" i="3"/>
  <c r="AX559" i="3"/>
  <c r="AW559" i="3"/>
  <c r="AS559" i="3"/>
  <c r="AR559" i="3"/>
  <c r="AX547" i="3"/>
  <c r="AY547" i="3"/>
  <c r="AT535" i="3"/>
  <c r="AR535" i="3"/>
  <c r="AY535" i="3"/>
  <c r="AX523" i="3"/>
  <c r="AS523" i="3"/>
  <c r="AY523" i="3"/>
  <c r="AS511" i="3"/>
  <c r="AR511" i="3"/>
  <c r="AW511" i="3"/>
  <c r="AX499" i="3"/>
  <c r="AW499" i="3"/>
  <c r="AW487" i="3"/>
  <c r="AS487" i="3"/>
  <c r="AR487" i="3"/>
  <c r="AX475" i="3"/>
  <c r="AS475" i="3"/>
  <c r="AY475" i="3"/>
  <c r="AW463" i="3"/>
  <c r="AR463" i="3"/>
  <c r="AX463" i="3"/>
  <c r="AX451" i="3"/>
  <c r="AS451" i="3"/>
  <c r="AR451" i="3"/>
  <c r="AW451" i="3"/>
  <c r="AR439" i="3"/>
  <c r="AX427" i="3"/>
  <c r="AW427" i="3"/>
  <c r="AS427" i="3"/>
  <c r="AR427" i="3"/>
  <c r="AY415" i="3"/>
  <c r="AW415" i="3"/>
  <c r="AR415" i="3"/>
  <c r="AS403" i="3"/>
  <c r="AR403" i="3"/>
  <c r="AY403" i="3"/>
  <c r="AT403" i="3"/>
  <c r="AS379" i="3"/>
  <c r="AY379" i="3"/>
  <c r="AW379" i="3"/>
  <c r="AT367" i="3"/>
  <c r="AY367" i="3"/>
  <c r="AX367" i="3"/>
  <c r="AW367" i="3"/>
  <c r="AX355" i="3"/>
  <c r="AS355" i="3"/>
  <c r="AY355" i="3"/>
  <c r="AY343" i="3"/>
  <c r="AX343" i="3"/>
  <c r="AW343" i="3"/>
  <c r="AX331" i="3"/>
  <c r="AY331" i="3"/>
  <c r="AW331" i="3"/>
  <c r="AW319" i="3"/>
  <c r="AS319" i="3"/>
  <c r="AT319" i="3"/>
  <c r="AY319" i="3"/>
  <c r="AX307" i="3"/>
  <c r="AY307" i="3"/>
  <c r="AS307" i="3"/>
  <c r="AS295" i="3"/>
  <c r="AY295" i="3"/>
  <c r="AT295" i="3"/>
  <c r="AX283" i="3"/>
  <c r="AW283" i="3"/>
  <c r="AR283" i="3"/>
  <c r="AX271" i="3"/>
  <c r="AW271" i="3"/>
  <c r="AT271" i="3"/>
  <c r="AS271" i="3"/>
  <c r="AX259" i="3"/>
  <c r="AT247" i="3"/>
  <c r="AR247" i="3"/>
  <c r="AY247" i="3"/>
  <c r="AX235" i="3"/>
  <c r="AY235" i="3"/>
  <c r="AR223" i="3"/>
  <c r="AX223" i="3"/>
  <c r="AW223" i="3"/>
  <c r="AX211" i="3"/>
  <c r="AW211" i="3"/>
  <c r="AY211" i="3"/>
  <c r="AX199" i="3"/>
  <c r="AT199" i="3"/>
  <c r="AS199" i="3"/>
  <c r="AX187" i="3"/>
  <c r="AT187" i="3"/>
  <c r="AW187" i="3"/>
  <c r="AX175" i="3"/>
  <c r="AT175" i="3"/>
  <c r="AS175" i="3"/>
  <c r="AW163" i="3"/>
  <c r="AT163" i="3"/>
  <c r="AY163" i="3"/>
  <c r="AX163" i="3"/>
  <c r="AY151" i="3"/>
  <c r="AW151" i="3"/>
  <c r="AX151" i="3"/>
  <c r="AW139" i="3"/>
  <c r="AX139" i="3"/>
  <c r="AS139" i="3"/>
  <c r="AY127" i="3"/>
  <c r="AX127" i="3"/>
  <c r="AR127" i="3"/>
  <c r="AY115" i="3"/>
  <c r="AS115" i="3"/>
  <c r="AT115" i="3"/>
  <c r="AR115" i="3"/>
  <c r="AY103" i="3"/>
  <c r="AY91" i="3"/>
  <c r="AT91" i="3"/>
  <c r="AS91" i="3"/>
  <c r="AR91" i="3"/>
  <c r="AT79" i="3"/>
  <c r="AW79" i="3"/>
  <c r="AW67" i="3"/>
  <c r="AS67" i="3"/>
  <c r="AR67" i="3"/>
  <c r="AY67" i="3"/>
  <c r="AT55" i="3"/>
  <c r="AX55" i="3"/>
  <c r="AX43" i="3"/>
  <c r="AR43" i="3"/>
  <c r="AW43" i="3"/>
  <c r="AT31" i="3"/>
  <c r="AS31" i="3"/>
  <c r="AR31" i="3"/>
  <c r="AX19" i="3"/>
  <c r="AW19" i="3"/>
  <c r="AR146" i="3"/>
  <c r="AY46" i="3"/>
  <c r="AY166" i="3"/>
  <c r="AY214" i="3"/>
  <c r="AY262" i="3"/>
  <c r="AY286" i="3"/>
  <c r="AY310" i="3"/>
  <c r="AY334" i="3"/>
  <c r="AX502" i="3"/>
  <c r="AX550" i="3"/>
  <c r="AX574" i="3"/>
  <c r="AW610" i="3"/>
  <c r="AW646" i="3"/>
  <c r="AX826" i="3"/>
  <c r="AX898" i="3"/>
  <c r="AX970" i="3"/>
  <c r="AX1006" i="3"/>
  <c r="AT171" i="3"/>
  <c r="AR47" i="3"/>
  <c r="AS395" i="3"/>
  <c r="AS509" i="3"/>
  <c r="AR569" i="3"/>
  <c r="AS623" i="3"/>
  <c r="AR677" i="3"/>
  <c r="AW251" i="3"/>
  <c r="AW443" i="3"/>
  <c r="AW539" i="3"/>
  <c r="AW635" i="3"/>
  <c r="AW731" i="3"/>
  <c r="AT216" i="3"/>
  <c r="AR480" i="3"/>
  <c r="AS768" i="3"/>
  <c r="AS912" i="3"/>
  <c r="AX48" i="3"/>
  <c r="AW264" i="3"/>
  <c r="AX978" i="3"/>
  <c r="AY139" i="3"/>
  <c r="AW248" i="3"/>
  <c r="AY1010" i="3"/>
  <c r="AX1004" i="3"/>
  <c r="AY998" i="3"/>
  <c r="AX998" i="3"/>
  <c r="AW998" i="3"/>
  <c r="AW992" i="3"/>
  <c r="AY980" i="3"/>
  <c r="AY974" i="3"/>
  <c r="AX974" i="3"/>
  <c r="AW974" i="3"/>
  <c r="AY968" i="3"/>
  <c r="AW968" i="3"/>
  <c r="AX956" i="3"/>
  <c r="AY950" i="3"/>
  <c r="AX950" i="3"/>
  <c r="AW950" i="3"/>
  <c r="AY944" i="3"/>
  <c r="AW944" i="3"/>
  <c r="AY932" i="3"/>
  <c r="AW932" i="3"/>
  <c r="AY926" i="3"/>
  <c r="AX926" i="3"/>
  <c r="AW926" i="3"/>
  <c r="AY920" i="3"/>
  <c r="AW920" i="3"/>
  <c r="AX908" i="3"/>
  <c r="AW908" i="3"/>
  <c r="AY902" i="3"/>
  <c r="AX902" i="3"/>
  <c r="AW902" i="3"/>
  <c r="AY884" i="3"/>
  <c r="AW884" i="3"/>
  <c r="AY878" i="3"/>
  <c r="AX878" i="3"/>
  <c r="AW878" i="3"/>
  <c r="AY860" i="3"/>
  <c r="AW860" i="3"/>
  <c r="AY854" i="3"/>
  <c r="AX854" i="3"/>
  <c r="AW854" i="3"/>
  <c r="AY836" i="3"/>
  <c r="AW836" i="3"/>
  <c r="AY830" i="3"/>
  <c r="AX830" i="3"/>
  <c r="AW830" i="3"/>
  <c r="AX812" i="3"/>
  <c r="AW812" i="3"/>
  <c r="AY806" i="3"/>
  <c r="AX806" i="3"/>
  <c r="AW806" i="3"/>
  <c r="AX800" i="3"/>
  <c r="AW788" i="3"/>
  <c r="AY782" i="3"/>
  <c r="AX782" i="3"/>
  <c r="AW782" i="3"/>
  <c r="AY776" i="3"/>
  <c r="AW764" i="3"/>
  <c r="AY758" i="3"/>
  <c r="AX758" i="3"/>
  <c r="AW758" i="3"/>
  <c r="AY752" i="3"/>
  <c r="AW740" i="3"/>
  <c r="AY734" i="3"/>
  <c r="AX734" i="3"/>
  <c r="AW734" i="3"/>
  <c r="AW716" i="3"/>
  <c r="AY710" i="3"/>
  <c r="AX710" i="3"/>
  <c r="AW710" i="3"/>
  <c r="AY704" i="3"/>
  <c r="AW704" i="3"/>
  <c r="AW692" i="3"/>
  <c r="AY686" i="3"/>
  <c r="AX686" i="3"/>
  <c r="AW686" i="3"/>
  <c r="AY680" i="3"/>
  <c r="AY674" i="3"/>
  <c r="AW668" i="3"/>
  <c r="AY662" i="3"/>
  <c r="AX662" i="3"/>
  <c r="AW662" i="3"/>
  <c r="AY656" i="3"/>
  <c r="AW644" i="3"/>
  <c r="AY638" i="3"/>
  <c r="AX638" i="3"/>
  <c r="AW638" i="3"/>
  <c r="AW632" i="3"/>
  <c r="AW620" i="3"/>
  <c r="AY614" i="3"/>
  <c r="AX614" i="3"/>
  <c r="AW614" i="3"/>
  <c r="AX608" i="3"/>
  <c r="AW596" i="3"/>
  <c r="AY590" i="3"/>
  <c r="AX590" i="3"/>
  <c r="AW590" i="3"/>
  <c r="AX584" i="3"/>
  <c r="AW572" i="3"/>
  <c r="AY566" i="3"/>
  <c r="AX566" i="3"/>
  <c r="AW566" i="3"/>
  <c r="AX560" i="3"/>
  <c r="AW560" i="3"/>
  <c r="AY542" i="3"/>
  <c r="AX542" i="3"/>
  <c r="AW542" i="3"/>
  <c r="AX536" i="3"/>
  <c r="AW536" i="3"/>
  <c r="AY524" i="3"/>
  <c r="AY518" i="3"/>
  <c r="AX518" i="3"/>
  <c r="AW518" i="3"/>
  <c r="AY512" i="3"/>
  <c r="AX500" i="3"/>
  <c r="AY494" i="3"/>
  <c r="AX494" i="3"/>
  <c r="AW494" i="3"/>
  <c r="AX488" i="3"/>
  <c r="AW488" i="3"/>
  <c r="AX476" i="3"/>
  <c r="AY470" i="3"/>
  <c r="AX470" i="3"/>
  <c r="AW470" i="3"/>
  <c r="AW464" i="3"/>
  <c r="AX452" i="3"/>
  <c r="AW446" i="3"/>
  <c r="AY446" i="3"/>
  <c r="AX446" i="3"/>
  <c r="AX440" i="3"/>
  <c r="AY440" i="3"/>
  <c r="AW440" i="3"/>
  <c r="AY428" i="3"/>
  <c r="AW422" i="3"/>
  <c r="AY422" i="3"/>
  <c r="AX422" i="3"/>
  <c r="AY416" i="3"/>
  <c r="AW416" i="3"/>
  <c r="AX404" i="3"/>
  <c r="AW404" i="3"/>
  <c r="AW398" i="3"/>
  <c r="AY398" i="3"/>
  <c r="AX398" i="3"/>
  <c r="AX392" i="3"/>
  <c r="AW392" i="3"/>
  <c r="AX380" i="3"/>
  <c r="AW380" i="3"/>
  <c r="AW374" i="3"/>
  <c r="AY374" i="3"/>
  <c r="AX374" i="3"/>
  <c r="AX368" i="3"/>
  <c r="AY356" i="3"/>
  <c r="AX356" i="3"/>
  <c r="AW356" i="3"/>
  <c r="AY350" i="3"/>
  <c r="AX350" i="3"/>
  <c r="AW350" i="3"/>
  <c r="AY344" i="3"/>
  <c r="AW344" i="3"/>
  <c r="AX338" i="3"/>
  <c r="AW338" i="3"/>
  <c r="AY326" i="3"/>
  <c r="AX326" i="3"/>
  <c r="AW326" i="3"/>
  <c r="AX320" i="3"/>
  <c r="AW314" i="3"/>
  <c r="AY308" i="3"/>
  <c r="AW308" i="3"/>
  <c r="AY302" i="3"/>
  <c r="AX302" i="3"/>
  <c r="AW302" i="3"/>
  <c r="AY296" i="3"/>
  <c r="AW296" i="3"/>
  <c r="AW290" i="3"/>
  <c r="AX284" i="3"/>
  <c r="AY278" i="3"/>
  <c r="AX278" i="3"/>
  <c r="AW278" i="3"/>
  <c r="AX272" i="3"/>
  <c r="AW272" i="3"/>
  <c r="AY266" i="3"/>
  <c r="AW266" i="3"/>
  <c r="AX260" i="3"/>
  <c r="AX254" i="3"/>
  <c r="AW254" i="3"/>
  <c r="AY248" i="3"/>
  <c r="AY242" i="3"/>
  <c r="AX242" i="3"/>
  <c r="AW242" i="3"/>
  <c r="AY236" i="3"/>
  <c r="AW236" i="3"/>
  <c r="AY224" i="3"/>
  <c r="AW224" i="3"/>
  <c r="AY218" i="3"/>
  <c r="AX218" i="3"/>
  <c r="AW218" i="3"/>
  <c r="AX212" i="3"/>
  <c r="AW212" i="3"/>
  <c r="AY206" i="3"/>
  <c r="AW200" i="3"/>
  <c r="AY194" i="3"/>
  <c r="AX194" i="3"/>
  <c r="AW194" i="3"/>
  <c r="AX188" i="3"/>
  <c r="AW188" i="3"/>
  <c r="AY182" i="3"/>
  <c r="AY170" i="3"/>
  <c r="AX170" i="3"/>
  <c r="AW170" i="3"/>
  <c r="AY164" i="3"/>
  <c r="AW164" i="3"/>
  <c r="AY158" i="3"/>
  <c r="AY152" i="3"/>
  <c r="AW152" i="3"/>
  <c r="AX146" i="3"/>
  <c r="AW146" i="3"/>
  <c r="AX140" i="3"/>
  <c r="AW140" i="3"/>
  <c r="AY134" i="3"/>
  <c r="AW128" i="3"/>
  <c r="AY122" i="3"/>
  <c r="AX122" i="3"/>
  <c r="AX116" i="3"/>
  <c r="AY110" i="3"/>
  <c r="AX110" i="3"/>
  <c r="AW104" i="3"/>
  <c r="AW98" i="3"/>
  <c r="AX92" i="3"/>
  <c r="AW92" i="3"/>
  <c r="AY86" i="3"/>
  <c r="AX86" i="3"/>
  <c r="AW86" i="3"/>
  <c r="AW80" i="3"/>
  <c r="AW74" i="3"/>
  <c r="AX68" i="3"/>
  <c r="AY62" i="3"/>
  <c r="AX62" i="3"/>
  <c r="AW62" i="3"/>
  <c r="AY50" i="3"/>
  <c r="AW50" i="3"/>
  <c r="AY44" i="3"/>
  <c r="AY38" i="3"/>
  <c r="AX38" i="3"/>
  <c r="AW38" i="3"/>
  <c r="AX26" i="3"/>
  <c r="AW26" i="3"/>
  <c r="AY14" i="3"/>
  <c r="AX14" i="3"/>
  <c r="AW14" i="3"/>
  <c r="AY1009" i="3"/>
  <c r="AX1009" i="3"/>
  <c r="AW1009" i="3"/>
  <c r="AX997" i="3"/>
  <c r="AW997" i="3"/>
  <c r="AY991" i="3"/>
  <c r="AX991" i="3"/>
  <c r="AY985" i="3"/>
  <c r="AW985" i="3"/>
  <c r="AY973" i="3"/>
  <c r="AX973" i="3"/>
  <c r="AW973" i="3"/>
  <c r="AY967" i="3"/>
  <c r="AX967" i="3"/>
  <c r="AW961" i="3"/>
  <c r="AW955" i="3"/>
  <c r="AY949" i="3"/>
  <c r="AX949" i="3"/>
  <c r="AW949" i="3"/>
  <c r="AY943" i="3"/>
  <c r="AW943" i="3"/>
  <c r="AX937" i="3"/>
  <c r="AY931" i="3"/>
  <c r="AX931" i="3"/>
  <c r="AY925" i="3"/>
  <c r="AX925" i="3"/>
  <c r="AW925" i="3"/>
  <c r="AW919" i="3"/>
  <c r="AY907" i="3"/>
  <c r="AX907" i="3"/>
  <c r="AY901" i="3"/>
  <c r="AX901" i="3"/>
  <c r="AW901" i="3"/>
  <c r="AX895" i="3"/>
  <c r="AW895" i="3"/>
  <c r="AY889" i="3"/>
  <c r="AX889" i="3"/>
  <c r="AX883" i="3"/>
  <c r="AY877" i="3"/>
  <c r="AX877" i="3"/>
  <c r="AW877" i="3"/>
  <c r="AW871" i="3"/>
  <c r="AY859" i="3"/>
  <c r="AX859" i="3"/>
  <c r="AY853" i="3"/>
  <c r="AW853" i="3"/>
  <c r="AW847" i="3"/>
  <c r="AX841" i="3"/>
  <c r="AW841" i="3"/>
  <c r="AW835" i="3"/>
  <c r="AW829" i="3"/>
  <c r="AY823" i="3"/>
  <c r="AX823" i="3"/>
  <c r="AW823" i="3"/>
  <c r="AY817" i="3"/>
  <c r="AX817" i="3"/>
  <c r="AW817" i="3"/>
  <c r="AW811" i="3"/>
  <c r="AW805" i="3"/>
  <c r="AY799" i="3"/>
  <c r="AX799" i="3"/>
  <c r="AW799" i="3"/>
  <c r="AY793" i="3"/>
  <c r="AX793" i="3"/>
  <c r="AW793" i="3"/>
  <c r="AW787" i="3"/>
  <c r="AY781" i="3"/>
  <c r="AW781" i="3"/>
  <c r="AY775" i="3"/>
  <c r="AX775" i="3"/>
  <c r="AW775" i="3"/>
  <c r="AY769" i="3"/>
  <c r="AX769" i="3"/>
  <c r="AW769" i="3"/>
  <c r="AW763" i="3"/>
  <c r="AX757" i="3"/>
  <c r="AY751" i="3"/>
  <c r="AX751" i="3"/>
  <c r="AW751" i="3"/>
  <c r="AY745" i="3"/>
  <c r="AX745" i="3"/>
  <c r="AW745" i="3"/>
  <c r="AX739" i="3"/>
  <c r="AY733" i="3"/>
  <c r="AX727" i="3"/>
  <c r="AW727" i="3"/>
  <c r="AY721" i="3"/>
  <c r="AX721" i="3"/>
  <c r="AW721" i="3"/>
  <c r="AX715" i="3"/>
  <c r="AX709" i="3"/>
  <c r="AW703" i="3"/>
  <c r="AW697" i="3"/>
  <c r="AX691" i="3"/>
  <c r="AW685" i="3"/>
  <c r="AX685" i="3"/>
  <c r="AW679" i="3"/>
  <c r="AW673" i="3"/>
  <c r="AX667" i="3"/>
  <c r="AY661" i="3"/>
  <c r="AW661" i="3"/>
  <c r="AX649" i="3"/>
  <c r="AY643" i="3"/>
  <c r="AW643" i="3"/>
  <c r="AY637" i="3"/>
  <c r="AX637" i="3"/>
  <c r="AW637" i="3"/>
  <c r="AX619" i="3"/>
  <c r="AY613" i="3"/>
  <c r="AW613" i="3"/>
  <c r="AX607" i="3"/>
  <c r="AW595" i="3"/>
  <c r="AY589" i="3"/>
  <c r="AW589" i="3"/>
  <c r="AX583" i="3"/>
  <c r="AW583" i="3"/>
  <c r="AX577" i="3"/>
  <c r="AY571" i="3"/>
  <c r="AX571" i="3"/>
  <c r="AW571" i="3"/>
  <c r="AY565" i="3"/>
  <c r="AX565" i="3"/>
  <c r="AW565" i="3"/>
  <c r="AY559" i="3"/>
  <c r="AW547" i="3"/>
  <c r="AY541" i="3"/>
  <c r="AX541" i="3"/>
  <c r="AW541" i="3"/>
  <c r="AX535" i="3"/>
  <c r="AW535" i="3"/>
  <c r="AW523" i="3"/>
  <c r="AY517" i="3"/>
  <c r="AX517" i="3"/>
  <c r="AW517" i="3"/>
  <c r="AY511" i="3"/>
  <c r="AX511" i="3"/>
  <c r="AY499" i="3"/>
  <c r="AY493" i="3"/>
  <c r="AX493" i="3"/>
  <c r="AW493" i="3"/>
  <c r="AY487" i="3"/>
  <c r="AX487" i="3"/>
  <c r="AW475" i="3"/>
  <c r="AY469" i="3"/>
  <c r="AX469" i="3"/>
  <c r="AW469" i="3"/>
  <c r="AY463" i="3"/>
  <c r="AY451" i="3"/>
  <c r="AY445" i="3"/>
  <c r="AW445" i="3"/>
  <c r="AY439" i="3"/>
  <c r="AX439" i="3"/>
  <c r="AW439" i="3"/>
  <c r="AY433" i="3"/>
  <c r="AX433" i="3"/>
  <c r="AY427" i="3"/>
  <c r="AY421" i="3"/>
  <c r="AX421" i="3"/>
  <c r="AW421" i="3"/>
  <c r="AX415" i="3"/>
  <c r="AY409" i="3"/>
  <c r="AX403" i="3"/>
  <c r="AW403" i="3"/>
  <c r="AY397" i="3"/>
  <c r="AW397" i="3"/>
  <c r="AY391" i="3"/>
  <c r="AX391" i="3"/>
  <c r="AW391" i="3"/>
  <c r="AY385" i="3"/>
  <c r="AX379" i="3"/>
  <c r="AY373" i="3"/>
  <c r="AW373" i="3"/>
  <c r="AX361" i="3"/>
  <c r="AW355" i="3"/>
  <c r="AY349" i="3"/>
  <c r="AX349" i="3"/>
  <c r="AW349" i="3"/>
  <c r="AW337" i="3"/>
  <c r="AY325" i="3"/>
  <c r="AX325" i="3"/>
  <c r="AW325" i="3"/>
  <c r="AX319" i="3"/>
  <c r="AW313" i="3"/>
  <c r="AW307" i="3"/>
  <c r="AY301" i="3"/>
  <c r="AX301" i="3"/>
  <c r="AW301" i="3"/>
  <c r="AX295" i="3"/>
  <c r="AW295" i="3"/>
  <c r="AY289" i="3"/>
  <c r="AX289" i="3"/>
  <c r="AY283" i="3"/>
  <c r="AY277" i="3"/>
  <c r="AX277" i="3"/>
  <c r="AW277" i="3"/>
  <c r="AY271" i="3"/>
  <c r="AW265" i="3"/>
  <c r="AY259" i="3"/>
  <c r="AY253" i="3"/>
  <c r="AX253" i="3"/>
  <c r="AW253" i="3"/>
  <c r="AX247" i="3"/>
  <c r="AW247" i="3"/>
  <c r="AY241" i="3"/>
  <c r="AX241" i="3"/>
  <c r="AW235" i="3"/>
  <c r="AY229" i="3"/>
  <c r="AX229" i="3"/>
  <c r="AW229" i="3"/>
  <c r="AY223" i="3"/>
  <c r="AX217" i="3"/>
  <c r="AY205" i="3"/>
  <c r="AW205" i="3"/>
  <c r="AY199" i="3"/>
  <c r="AW199" i="3"/>
  <c r="AX193" i="3"/>
  <c r="AW193" i="3"/>
  <c r="AY187" i="3"/>
  <c r="AY181" i="3"/>
  <c r="AW181" i="3"/>
  <c r="AY175" i="3"/>
  <c r="AW175" i="3"/>
  <c r="AY169" i="3"/>
  <c r="AW169" i="3"/>
  <c r="AX157" i="3"/>
  <c r="AY157" i="3"/>
  <c r="AX145" i="3"/>
  <c r="AY145" i="3"/>
  <c r="AW145" i="3"/>
  <c r="AX133" i="3"/>
  <c r="AW127" i="3"/>
  <c r="AX121" i="3"/>
  <c r="AY121" i="3"/>
  <c r="AW121" i="3"/>
  <c r="AX115" i="3"/>
  <c r="AW115" i="3"/>
  <c r="AW109" i="3"/>
  <c r="AX103" i="3"/>
  <c r="AW103" i="3"/>
  <c r="AY97" i="3"/>
  <c r="AX97" i="3"/>
  <c r="AW97" i="3"/>
  <c r="AX91" i="3"/>
  <c r="AW91" i="3"/>
  <c r="AX85" i="3"/>
  <c r="AW85" i="3"/>
  <c r="AY79" i="3"/>
  <c r="AX79" i="3"/>
  <c r="AY73" i="3"/>
  <c r="AX73" i="3"/>
  <c r="AW73" i="3"/>
  <c r="AX67" i="3"/>
  <c r="AX61" i="3"/>
  <c r="AW61" i="3"/>
  <c r="AY55" i="3"/>
  <c r="AW55" i="3"/>
  <c r="AY49" i="3"/>
  <c r="AX49" i="3"/>
  <c r="AW49" i="3"/>
  <c r="AY43" i="3"/>
  <c r="AY37" i="3"/>
  <c r="AX37" i="3"/>
  <c r="AY31" i="3"/>
  <c r="AX31" i="3"/>
  <c r="AW31" i="3"/>
  <c r="AW25" i="3"/>
  <c r="AY19" i="3"/>
  <c r="AY1008" i="3"/>
  <c r="AW1008" i="3"/>
  <c r="AY1002" i="3"/>
  <c r="AW1002" i="3"/>
  <c r="AX996" i="3"/>
  <c r="AW996" i="3"/>
  <c r="AX990" i="3"/>
  <c r="AW990" i="3"/>
  <c r="AX984" i="3"/>
  <c r="AW972" i="3"/>
  <c r="AY966" i="3"/>
  <c r="AX966" i="3"/>
  <c r="AW966" i="3"/>
  <c r="AY960" i="3"/>
  <c r="AX960" i="3"/>
  <c r="AW960" i="3"/>
  <c r="AW954" i="3"/>
  <c r="AY942" i="3"/>
  <c r="AX942" i="3"/>
  <c r="AW942" i="3"/>
  <c r="AY936" i="3"/>
  <c r="AX936" i="3"/>
  <c r="AW936" i="3"/>
  <c r="AX924" i="3"/>
  <c r="AY918" i="3"/>
  <c r="AX918" i="3"/>
  <c r="AY912" i="3"/>
  <c r="AX912" i="3"/>
  <c r="AW912" i="3"/>
  <c r="AY906" i="3"/>
  <c r="AX906" i="3"/>
  <c r="AW906" i="3"/>
  <c r="AY900" i="3"/>
  <c r="AW900" i="3"/>
  <c r="AW894" i="3"/>
  <c r="AX888" i="3"/>
  <c r="AW888" i="3"/>
  <c r="AY882" i="3"/>
  <c r="AX882" i="3"/>
  <c r="AW882" i="3"/>
  <c r="AY876" i="3"/>
  <c r="AX876" i="3"/>
  <c r="AW876" i="3"/>
  <c r="AY870" i="3"/>
  <c r="AX870" i="3"/>
  <c r="AW870" i="3"/>
  <c r="AW858" i="3"/>
  <c r="AY852" i="3"/>
  <c r="AX852" i="3"/>
  <c r="AW852" i="3"/>
  <c r="AX846" i="3"/>
  <c r="AW846" i="3"/>
  <c r="AW840" i="3"/>
  <c r="AY834" i="3"/>
  <c r="AY828" i="3"/>
  <c r="AX828" i="3"/>
  <c r="AW828" i="3"/>
  <c r="AY822" i="3"/>
  <c r="AX822" i="3"/>
  <c r="AW822" i="3"/>
  <c r="AX816" i="3"/>
  <c r="AW810" i="3"/>
  <c r="AX804" i="3"/>
  <c r="AW804" i="3"/>
  <c r="AY798" i="3"/>
  <c r="AX798" i="3"/>
  <c r="AY792" i="3"/>
  <c r="AX786" i="3"/>
  <c r="AW786" i="3"/>
  <c r="AX774" i="3"/>
  <c r="AW774" i="3"/>
  <c r="AY768" i="3"/>
  <c r="AX768" i="3"/>
  <c r="AW768" i="3"/>
  <c r="AY762" i="3"/>
  <c r="AX762" i="3"/>
  <c r="AW762" i="3"/>
  <c r="AY756" i="3"/>
  <c r="AW750" i="3"/>
  <c r="AY744" i="3"/>
  <c r="AX744" i="3"/>
  <c r="AW744" i="3"/>
  <c r="AY738" i="3"/>
  <c r="AX738" i="3"/>
  <c r="AW738" i="3"/>
  <c r="AX732" i="3"/>
  <c r="AX726" i="3"/>
  <c r="AY720" i="3"/>
  <c r="AX720" i="3"/>
  <c r="AW720" i="3"/>
  <c r="AW714" i="3"/>
  <c r="AY708" i="3"/>
  <c r="AX708" i="3"/>
  <c r="AX702" i="3"/>
  <c r="AX696" i="3"/>
  <c r="AW696" i="3"/>
  <c r="AX690" i="3"/>
  <c r="AW690" i="3"/>
  <c r="AY684" i="3"/>
  <c r="AX684" i="3"/>
  <c r="AW684" i="3"/>
  <c r="AY678" i="3"/>
  <c r="AX678" i="3"/>
  <c r="AW678" i="3"/>
  <c r="AW672" i="3"/>
  <c r="AY666" i="3"/>
  <c r="AW666" i="3"/>
  <c r="AX660" i="3"/>
  <c r="AY660" i="3"/>
  <c r="AW660" i="3"/>
  <c r="AY654" i="3"/>
  <c r="AX654" i="3"/>
  <c r="AY648" i="3"/>
  <c r="AX642" i="3"/>
  <c r="AW642" i="3"/>
  <c r="AX636" i="3"/>
  <c r="AW636" i="3"/>
  <c r="AY630" i="3"/>
  <c r="AW630" i="3"/>
  <c r="AX624" i="3"/>
  <c r="AW612" i="3"/>
  <c r="AY606" i="3"/>
  <c r="AX600" i="3"/>
  <c r="AY600" i="3"/>
  <c r="AW594" i="3"/>
  <c r="AY582" i="3"/>
  <c r="AX582" i="3"/>
  <c r="AW582" i="3"/>
  <c r="AX576" i="3"/>
  <c r="AY576" i="3"/>
  <c r="AW576" i="3"/>
  <c r="AW570" i="3"/>
  <c r="AX564" i="3"/>
  <c r="AY558" i="3"/>
  <c r="AW558" i="3"/>
  <c r="AX552" i="3"/>
  <c r="AY552" i="3"/>
  <c r="AW552" i="3"/>
  <c r="AY546" i="3"/>
  <c r="AW546" i="3"/>
  <c r="AY540" i="3"/>
  <c r="AW540" i="3"/>
  <c r="AX528" i="3"/>
  <c r="AW528" i="3"/>
  <c r="AX522" i="3"/>
  <c r="AW522" i="3"/>
  <c r="AX516" i="3"/>
  <c r="AY516" i="3"/>
  <c r="AX510" i="3"/>
  <c r="AW510" i="3"/>
  <c r="AW504" i="3"/>
  <c r="AY498" i="3"/>
  <c r="AW498" i="3"/>
  <c r="AX492" i="3"/>
  <c r="AY492" i="3"/>
  <c r="AW492" i="3"/>
  <c r="AY474" i="3"/>
  <c r="AX468" i="3"/>
  <c r="AY468" i="3"/>
  <c r="AW468" i="3"/>
  <c r="AY462" i="3"/>
  <c r="AX462" i="3"/>
  <c r="AW462" i="3"/>
  <c r="AX456" i="3"/>
  <c r="AW450" i="3"/>
  <c r="AY450" i="3"/>
  <c r="AX450" i="3"/>
  <c r="AX444" i="3"/>
  <c r="AW444" i="3"/>
  <c r="AW438" i="3"/>
  <c r="AX432" i="3"/>
  <c r="AY432" i="3"/>
  <c r="AY426" i="3"/>
  <c r="AX426" i="3"/>
  <c r="AX408" i="3"/>
  <c r="AY408" i="3"/>
  <c r="AW408" i="3"/>
  <c r="AW402" i="3"/>
  <c r="AY402" i="3"/>
  <c r="AX402" i="3"/>
  <c r="AY396" i="3"/>
  <c r="AW390" i="3"/>
  <c r="AX390" i="3"/>
  <c r="AX384" i="3"/>
  <c r="AW384" i="3"/>
  <c r="AY384" i="3"/>
  <c r="AW378" i="3"/>
  <c r="AX378" i="3"/>
  <c r="AX372" i="3"/>
  <c r="AY372" i="3"/>
  <c r="AW372" i="3"/>
  <c r="AW366" i="3"/>
  <c r="AY366" i="3"/>
  <c r="AX366" i="3"/>
  <c r="AW360" i="3"/>
  <c r="AY354" i="3"/>
  <c r="AX354" i="3"/>
  <c r="AY348" i="3"/>
  <c r="AX348" i="3"/>
  <c r="AX342" i="3"/>
  <c r="AW336" i="3"/>
  <c r="AY330" i="3"/>
  <c r="AX330" i="3"/>
  <c r="AW330" i="3"/>
  <c r="AY324" i="3"/>
  <c r="AX324" i="3"/>
  <c r="AW324" i="3"/>
  <c r="AY318" i="3"/>
  <c r="AY312" i="3"/>
  <c r="AX312" i="3"/>
  <c r="AY306" i="3"/>
  <c r="AW300" i="3"/>
  <c r="AY294" i="3"/>
  <c r="AX294" i="3"/>
  <c r="AY288" i="3"/>
  <c r="AX288" i="3"/>
  <c r="AW288" i="3"/>
  <c r="AW282" i="3"/>
  <c r="AY270" i="3"/>
  <c r="AX270" i="3"/>
  <c r="AW270" i="3"/>
  <c r="AY264" i="3"/>
  <c r="AX264" i="3"/>
  <c r="AY258" i="3"/>
  <c r="AX258" i="3"/>
  <c r="AX252" i="3"/>
  <c r="AY246" i="3"/>
  <c r="AX246" i="3"/>
  <c r="AW246" i="3"/>
  <c r="AY240" i="3"/>
  <c r="AX240" i="3"/>
  <c r="AW240" i="3"/>
  <c r="AY234" i="3"/>
  <c r="AX234" i="3"/>
  <c r="AY228" i="3"/>
  <c r="AW228" i="3"/>
  <c r="AW222" i="3"/>
  <c r="AY216" i="3"/>
  <c r="AW216" i="3"/>
  <c r="AY210" i="3"/>
  <c r="AX210" i="3"/>
  <c r="AY204" i="3"/>
  <c r="AX204" i="3"/>
  <c r="AW204" i="3"/>
  <c r="AW198" i="3"/>
  <c r="AY192" i="3"/>
  <c r="AY186" i="3"/>
  <c r="AW186" i="3"/>
  <c r="AY180" i="3"/>
  <c r="AX180" i="3"/>
  <c r="AW180" i="3"/>
  <c r="AY174" i="3"/>
  <c r="AW174" i="3"/>
  <c r="AY168" i="3"/>
  <c r="AX168" i="3"/>
  <c r="AY162" i="3"/>
  <c r="AX162" i="3"/>
  <c r="AW162" i="3"/>
  <c r="AY156" i="3"/>
  <c r="AX156" i="3"/>
  <c r="AW156" i="3"/>
  <c r="AY150" i="3"/>
  <c r="AX150" i="3"/>
  <c r="AW150" i="3"/>
  <c r="AY144" i="3"/>
  <c r="AX144" i="3"/>
  <c r="AW144" i="3"/>
  <c r="AX138" i="3"/>
  <c r="AW138" i="3"/>
  <c r="AY126" i="3"/>
  <c r="AX126" i="3"/>
  <c r="AY120" i="3"/>
  <c r="AX120" i="3"/>
  <c r="AW120" i="3"/>
  <c r="AX114" i="3"/>
  <c r="AX108" i="3"/>
  <c r="AX102" i="3"/>
  <c r="AW102" i="3"/>
  <c r="AY96" i="3"/>
  <c r="AX96" i="3"/>
  <c r="AW96" i="3"/>
  <c r="AY90" i="3"/>
  <c r="AX90" i="3"/>
  <c r="AW90" i="3"/>
  <c r="AY84" i="3"/>
  <c r="AX84" i="3"/>
  <c r="AW84" i="3"/>
  <c r="AY78" i="3"/>
  <c r="AX78" i="3"/>
  <c r="AW78" i="3"/>
  <c r="AX66" i="3"/>
  <c r="AY60" i="3"/>
  <c r="AX60" i="3"/>
  <c r="AW60" i="3"/>
  <c r="AY54" i="3"/>
  <c r="AW48" i="3"/>
  <c r="AW42" i="3"/>
  <c r="AY36" i="3"/>
  <c r="AX36" i="3"/>
  <c r="AW36" i="3"/>
  <c r="AY30" i="3"/>
  <c r="AX30" i="3"/>
  <c r="AW30" i="3"/>
  <c r="AY24" i="3"/>
  <c r="AY18" i="3"/>
  <c r="AX18" i="3"/>
  <c r="AW18" i="3"/>
  <c r="AY1007" i="3"/>
  <c r="AY995" i="3"/>
  <c r="AX995" i="3"/>
  <c r="AW995" i="3"/>
  <c r="AY989" i="3"/>
  <c r="AX989" i="3"/>
  <c r="AW989" i="3"/>
  <c r="AY983" i="3"/>
  <c r="AX983" i="3"/>
  <c r="AX977" i="3"/>
  <c r="AX971" i="3"/>
  <c r="AW971" i="3"/>
  <c r="AY965" i="3"/>
  <c r="AX965" i="3"/>
  <c r="AY959" i="3"/>
  <c r="AX959" i="3"/>
  <c r="AW959" i="3"/>
  <c r="AY953" i="3"/>
  <c r="AX953" i="3"/>
  <c r="AW953" i="3"/>
  <c r="AW947" i="3"/>
  <c r="AX941" i="3"/>
  <c r="AW941" i="3"/>
  <c r="AW935" i="3"/>
  <c r="AY929" i="3"/>
  <c r="AX929" i="3"/>
  <c r="AW929" i="3"/>
  <c r="AY923" i="3"/>
  <c r="AW923" i="3"/>
  <c r="AX917" i="3"/>
  <c r="AW917" i="3"/>
  <c r="AY911" i="3"/>
  <c r="AY905" i="3"/>
  <c r="AX905" i="3"/>
  <c r="AW905" i="3"/>
  <c r="AY899" i="3"/>
  <c r="AX899" i="3"/>
  <c r="AX893" i="3"/>
  <c r="AW893" i="3"/>
  <c r="AY887" i="3"/>
  <c r="AX887" i="3"/>
  <c r="AY881" i="3"/>
  <c r="AX881" i="3"/>
  <c r="AX875" i="3"/>
  <c r="AW875" i="3"/>
  <c r="AY869" i="3"/>
  <c r="AX869" i="3"/>
  <c r="AW869" i="3"/>
  <c r="AY863" i="3"/>
  <c r="AX863" i="3"/>
  <c r="AW863" i="3"/>
  <c r="AX857" i="3"/>
  <c r="AW851" i="3"/>
  <c r="AY845" i="3"/>
  <c r="AX845" i="3"/>
  <c r="AW839" i="3"/>
  <c r="AY833" i="3"/>
  <c r="AY827" i="3"/>
  <c r="AW827" i="3"/>
  <c r="AY815" i="3"/>
  <c r="AW809" i="3"/>
  <c r="AY803" i="3"/>
  <c r="AX803" i="3"/>
  <c r="AW803" i="3"/>
  <c r="AY797" i="3"/>
  <c r="AX797" i="3"/>
  <c r="AY791" i="3"/>
  <c r="AX791" i="3"/>
  <c r="AX779" i="3"/>
  <c r="AW779" i="3"/>
  <c r="AX773" i="3"/>
  <c r="AW773" i="3"/>
  <c r="AY767" i="3"/>
  <c r="AX767" i="3"/>
  <c r="AW767" i="3"/>
  <c r="AY761" i="3"/>
  <c r="AX761" i="3"/>
  <c r="AW761" i="3"/>
  <c r="AW755" i="3"/>
  <c r="AY749" i="3"/>
  <c r="AX749" i="3"/>
  <c r="AW743" i="3"/>
  <c r="AY731" i="3"/>
  <c r="AY725" i="3"/>
  <c r="AX725" i="3"/>
  <c r="AW725" i="3"/>
  <c r="AY719" i="3"/>
  <c r="AY713" i="3"/>
  <c r="AX713" i="3"/>
  <c r="AW713" i="3"/>
  <c r="AY707" i="3"/>
  <c r="AX707" i="3"/>
  <c r="AW707" i="3"/>
  <c r="AW701" i="3"/>
  <c r="AX701" i="3"/>
  <c r="AY695" i="3"/>
  <c r="AX695" i="3"/>
  <c r="AX683" i="3"/>
  <c r="AW683" i="3"/>
  <c r="AX677" i="3"/>
  <c r="AY671" i="3"/>
  <c r="AX671" i="3"/>
  <c r="AW671" i="3"/>
  <c r="AY665" i="3"/>
  <c r="AX665" i="3"/>
  <c r="AW665" i="3"/>
  <c r="AY659" i="3"/>
  <c r="AW659" i="3"/>
  <c r="AY653" i="3"/>
  <c r="AX653" i="3"/>
  <c r="AY641" i="3"/>
  <c r="AW641" i="3"/>
  <c r="AY635" i="3"/>
  <c r="AX635" i="3"/>
  <c r="AY629" i="3"/>
  <c r="AY623" i="3"/>
  <c r="AW623" i="3"/>
  <c r="AY617" i="3"/>
  <c r="AX617" i="3"/>
  <c r="AW617" i="3"/>
  <c r="AX611" i="3"/>
  <c r="AW611" i="3"/>
  <c r="AY605" i="3"/>
  <c r="AX605" i="3"/>
  <c r="AY599" i="3"/>
  <c r="AX599" i="3"/>
  <c r="AW599" i="3"/>
  <c r="AX593" i="3"/>
  <c r="AY587" i="3"/>
  <c r="AW587" i="3"/>
  <c r="AY581" i="3"/>
  <c r="AW581" i="3"/>
  <c r="AY563" i="3"/>
  <c r="AX563" i="3"/>
  <c r="AW563" i="3"/>
  <c r="AW557" i="3"/>
  <c r="AY551" i="3"/>
  <c r="AW551" i="3"/>
  <c r="AY545" i="3"/>
  <c r="AX545" i="3"/>
  <c r="AY533" i="3"/>
  <c r="AX533" i="3"/>
  <c r="AW533" i="3"/>
  <c r="AY527" i="3"/>
  <c r="AX527" i="3"/>
  <c r="AW527" i="3"/>
  <c r="AY521" i="3"/>
  <c r="AX521" i="3"/>
  <c r="AW521" i="3"/>
  <c r="AY515" i="3"/>
  <c r="AW515" i="3"/>
  <c r="AY509" i="3"/>
  <c r="AX509" i="3"/>
  <c r="AW497" i="3"/>
  <c r="AY491" i="3"/>
  <c r="AX491" i="3"/>
  <c r="AW491" i="3"/>
  <c r="AY485" i="3"/>
  <c r="AY479" i="3"/>
  <c r="AX479" i="3"/>
  <c r="AW479" i="3"/>
  <c r="AY473" i="3"/>
  <c r="AX467" i="3"/>
  <c r="AW467" i="3"/>
  <c r="AY461" i="3"/>
  <c r="AX461" i="3"/>
  <c r="AY455" i="3"/>
  <c r="AX455" i="3"/>
  <c r="AW455" i="3"/>
  <c r="AX449" i="3"/>
  <c r="AY437" i="3"/>
  <c r="AX437" i="3"/>
  <c r="AW437" i="3"/>
  <c r="AW431" i="3"/>
  <c r="AY425" i="3"/>
  <c r="AX425" i="3"/>
  <c r="AY419" i="3"/>
  <c r="AW419" i="3"/>
  <c r="AX413" i="3"/>
  <c r="AW413" i="3"/>
  <c r="AY407" i="3"/>
  <c r="AY401" i="3"/>
  <c r="AX401" i="3"/>
  <c r="AW401" i="3"/>
  <c r="AX395" i="3"/>
  <c r="AW395" i="3"/>
  <c r="AY389" i="3"/>
  <c r="AW389" i="3"/>
  <c r="AY383" i="3"/>
  <c r="AX383" i="3"/>
  <c r="AW383" i="3"/>
  <c r="AW371" i="3"/>
  <c r="AW365" i="3"/>
  <c r="AX359" i="3"/>
  <c r="AW359" i="3"/>
  <c r="AW353" i="3"/>
  <c r="AY347" i="3"/>
  <c r="AX347" i="3"/>
  <c r="AW347" i="3"/>
  <c r="AY341" i="3"/>
  <c r="AW341" i="3"/>
  <c r="AY335" i="3"/>
  <c r="AY329" i="3"/>
  <c r="AX329" i="3"/>
  <c r="AW329" i="3"/>
  <c r="AY323" i="3"/>
  <c r="AX323" i="3"/>
  <c r="AW323" i="3"/>
  <c r="AX317" i="3"/>
  <c r="AW317" i="3"/>
  <c r="AY311" i="3"/>
  <c r="AX311" i="3"/>
  <c r="AW311" i="3"/>
  <c r="AY305" i="3"/>
  <c r="AX305" i="3"/>
  <c r="AW305" i="3"/>
  <c r="AX299" i="3"/>
  <c r="AW299" i="3"/>
  <c r="AX293" i="3"/>
  <c r="AW293" i="3"/>
  <c r="AX287" i="3"/>
  <c r="AW287" i="3"/>
  <c r="AY281" i="3"/>
  <c r="AX281" i="3"/>
  <c r="AW281" i="3"/>
  <c r="AY275" i="3"/>
  <c r="AX275" i="3"/>
  <c r="AW275" i="3"/>
  <c r="AX269" i="3"/>
  <c r="AY263" i="3"/>
  <c r="AY257" i="3"/>
  <c r="AX257" i="3"/>
  <c r="AW257" i="3"/>
  <c r="AY251" i="3"/>
  <c r="AX251" i="3"/>
  <c r="AY245" i="3"/>
  <c r="AX245" i="3"/>
  <c r="AW245" i="3"/>
  <c r="AY239" i="3"/>
  <c r="AX239" i="3"/>
  <c r="AX233" i="3"/>
  <c r="AY221" i="3"/>
  <c r="AX215" i="3"/>
  <c r="AW215" i="3"/>
  <c r="AW209" i="3"/>
  <c r="AW203" i="3"/>
  <c r="AY203" i="3"/>
  <c r="AY197" i="3"/>
  <c r="AX197" i="3"/>
  <c r="AY191" i="3"/>
  <c r="AY179" i="3"/>
  <c r="AX179" i="3"/>
  <c r="AW179" i="3"/>
  <c r="AX173" i="3"/>
  <c r="AY173" i="3"/>
  <c r="AW173" i="3"/>
  <c r="AY167" i="3"/>
  <c r="AX167" i="3"/>
  <c r="AW167" i="3"/>
  <c r="AX161" i="3"/>
  <c r="AY161" i="3"/>
  <c r="AW161" i="3"/>
  <c r="AX155" i="3"/>
  <c r="AY155" i="3"/>
  <c r="AX149" i="3"/>
  <c r="AX143" i="3"/>
  <c r="AX137" i="3"/>
  <c r="AY137" i="3"/>
  <c r="AW137" i="3"/>
  <c r="AY131" i="3"/>
  <c r="AW131" i="3"/>
  <c r="AX125" i="3"/>
  <c r="AY125" i="3"/>
  <c r="AW119" i="3"/>
  <c r="AW113" i="3"/>
  <c r="AX107" i="3"/>
  <c r="AX101" i="3"/>
  <c r="AY95" i="3"/>
  <c r="AX95" i="3"/>
  <c r="AW95" i="3"/>
  <c r="AY89" i="3"/>
  <c r="AX89" i="3"/>
  <c r="AW89" i="3"/>
  <c r="AX83" i="3"/>
  <c r="AW83" i="3"/>
  <c r="AW77" i="3"/>
  <c r="AY65" i="3"/>
  <c r="AY59" i="3"/>
  <c r="AX59" i="3"/>
  <c r="AW59" i="3"/>
  <c r="AY53" i="3"/>
  <c r="AW53" i="3"/>
  <c r="AY47" i="3"/>
  <c r="AX47" i="3"/>
  <c r="AY41" i="3"/>
  <c r="AX29" i="3"/>
  <c r="AW29" i="3"/>
  <c r="AY1012" i="3"/>
  <c r="AW1012" i="3"/>
  <c r="AY1006" i="3"/>
  <c r="AW1006" i="3"/>
  <c r="AY1000" i="3"/>
  <c r="AY994" i="3"/>
  <c r="AX994" i="3"/>
  <c r="AY988" i="3"/>
  <c r="AX988" i="3"/>
  <c r="AY982" i="3"/>
  <c r="AY976" i="3"/>
  <c r="AX976" i="3"/>
  <c r="AW976" i="3"/>
  <c r="AY970" i="3"/>
  <c r="AW970" i="3"/>
  <c r="AY964" i="3"/>
  <c r="AX964" i="3"/>
  <c r="AW964" i="3"/>
  <c r="AX958" i="3"/>
  <c r="AW958" i="3"/>
  <c r="AY952" i="3"/>
  <c r="AX952" i="3"/>
  <c r="AY946" i="3"/>
  <c r="AX946" i="3"/>
  <c r="AY934" i="3"/>
  <c r="AX934" i="3"/>
  <c r="AW934" i="3"/>
  <c r="AY928" i="3"/>
  <c r="AX928" i="3"/>
  <c r="AW928" i="3"/>
  <c r="AY922" i="3"/>
  <c r="AX922" i="3"/>
  <c r="AW922" i="3"/>
  <c r="AY916" i="3"/>
  <c r="AX916" i="3"/>
  <c r="AY910" i="3"/>
  <c r="AW910" i="3"/>
  <c r="AX904" i="3"/>
  <c r="AW904" i="3"/>
  <c r="AY898" i="3"/>
  <c r="AW898" i="3"/>
  <c r="AY892" i="3"/>
  <c r="AX886" i="3"/>
  <c r="AW886" i="3"/>
  <c r="AY880" i="3"/>
  <c r="AX880" i="3"/>
  <c r="AW880" i="3"/>
  <c r="AY874" i="3"/>
  <c r="AX874" i="3"/>
  <c r="AW874" i="3"/>
  <c r="AY868" i="3"/>
  <c r="AY862" i="3"/>
  <c r="AX862" i="3"/>
  <c r="AW862" i="3"/>
  <c r="AX856" i="3"/>
  <c r="AW856" i="3"/>
  <c r="AY850" i="3"/>
  <c r="AX850" i="3"/>
  <c r="AW850" i="3"/>
  <c r="AY838" i="3"/>
  <c r="AX838" i="3"/>
  <c r="AY832" i="3"/>
  <c r="AW832" i="3"/>
  <c r="AY826" i="3"/>
  <c r="AW820" i="3"/>
  <c r="AY814" i="3"/>
  <c r="AX814" i="3"/>
  <c r="AW814" i="3"/>
  <c r="AX808" i="3"/>
  <c r="AY802" i="3"/>
  <c r="AX802" i="3"/>
  <c r="AW802" i="3"/>
  <c r="AY796" i="3"/>
  <c r="AX796" i="3"/>
  <c r="AW796" i="3"/>
  <c r="AY790" i="3"/>
  <c r="AX790" i="3"/>
  <c r="AW790" i="3"/>
  <c r="AX784" i="3"/>
  <c r="AW784" i="3"/>
  <c r="AX778" i="3"/>
  <c r="AY766" i="3"/>
  <c r="AX766" i="3"/>
  <c r="AX760" i="3"/>
  <c r="AW760" i="3"/>
  <c r="AY754" i="3"/>
  <c r="AX754" i="3"/>
  <c r="AW754" i="3"/>
  <c r="AX748" i="3"/>
  <c r="AW748" i="3"/>
  <c r="AY742" i="3"/>
  <c r="AX742" i="3"/>
  <c r="AY736" i="3"/>
  <c r="AX736" i="3"/>
  <c r="AW736" i="3"/>
  <c r="AY730" i="3"/>
  <c r="AX730" i="3"/>
  <c r="AW730" i="3"/>
  <c r="AY724" i="3"/>
  <c r="AX724" i="3"/>
  <c r="AW724" i="3"/>
  <c r="AY718" i="3"/>
  <c r="AX718" i="3"/>
  <c r="AW718" i="3"/>
  <c r="AY712" i="3"/>
  <c r="AX712" i="3"/>
  <c r="AW712" i="3"/>
  <c r="AX706" i="3"/>
  <c r="AY700" i="3"/>
  <c r="AW700" i="3"/>
  <c r="AY694" i="3"/>
  <c r="AW694" i="3"/>
  <c r="AX694" i="3"/>
  <c r="AY688" i="3"/>
  <c r="AW688" i="3"/>
  <c r="AY682" i="3"/>
  <c r="AW682" i="3"/>
  <c r="AX682" i="3"/>
  <c r="AX676" i="3"/>
  <c r="AX670" i="3"/>
  <c r="AW670" i="3"/>
  <c r="AX664" i="3"/>
  <c r="AY664" i="3"/>
  <c r="AW664" i="3"/>
  <c r="AX658" i="3"/>
  <c r="AY646" i="3"/>
  <c r="AX646" i="3"/>
  <c r="AY640" i="3"/>
  <c r="AY634" i="3"/>
  <c r="AX634" i="3"/>
  <c r="AW634" i="3"/>
  <c r="AY628" i="3"/>
  <c r="AW628" i="3"/>
  <c r="AX622" i="3"/>
  <c r="AW622" i="3"/>
  <c r="AX616" i="3"/>
  <c r="AY616" i="3"/>
  <c r="AW616" i="3"/>
  <c r="AY610" i="3"/>
  <c r="AX610" i="3"/>
  <c r="AW598" i="3"/>
  <c r="AY592" i="3"/>
  <c r="AW592" i="3"/>
  <c r="AY586" i="3"/>
  <c r="AX586" i="3"/>
  <c r="AX580" i="3"/>
  <c r="AY580" i="3"/>
  <c r="AY574" i="3"/>
  <c r="AX568" i="3"/>
  <c r="AY568" i="3"/>
  <c r="AY562" i="3"/>
  <c r="AX562" i="3"/>
  <c r="AX556" i="3"/>
  <c r="AY556" i="3"/>
  <c r="AW556" i="3"/>
  <c r="AY550" i="3"/>
  <c r="AX544" i="3"/>
  <c r="AY544" i="3"/>
  <c r="AW544" i="3"/>
  <c r="AY538" i="3"/>
  <c r="AX538" i="3"/>
  <c r="AW538" i="3"/>
  <c r="AX532" i="3"/>
  <c r="AW532" i="3"/>
  <c r="AY526" i="3"/>
  <c r="AX526" i="3"/>
  <c r="AW526" i="3"/>
  <c r="AX520" i="3"/>
  <c r="AY520" i="3"/>
  <c r="AW520" i="3"/>
  <c r="AY514" i="3"/>
  <c r="AX514" i="3"/>
  <c r="AX508" i="3"/>
  <c r="AY508" i="3"/>
  <c r="AW508" i="3"/>
  <c r="AY502" i="3"/>
  <c r="AX496" i="3"/>
  <c r="AY496" i="3"/>
  <c r="AW496" i="3"/>
  <c r="AY490" i="3"/>
  <c r="AX490" i="3"/>
  <c r="AW490" i="3"/>
  <c r="AY484" i="3"/>
  <c r="AW484" i="3"/>
  <c r="AX478" i="3"/>
  <c r="AW478" i="3"/>
  <c r="AY472" i="3"/>
  <c r="AW472" i="3"/>
  <c r="AY466" i="3"/>
  <c r="AX466" i="3"/>
  <c r="AW466" i="3"/>
  <c r="AX460" i="3"/>
  <c r="AY460" i="3"/>
  <c r="AW460" i="3"/>
  <c r="AW454" i="3"/>
  <c r="AX454" i="3"/>
  <c r="AY448" i="3"/>
  <c r="AW448" i="3"/>
  <c r="AW442" i="3"/>
  <c r="AY442" i="3"/>
  <c r="AX442" i="3"/>
  <c r="AX436" i="3"/>
  <c r="AY436" i="3"/>
  <c r="AW436" i="3"/>
  <c r="AW430" i="3"/>
  <c r="AX430" i="3"/>
  <c r="AY424" i="3"/>
  <c r="AW424" i="3"/>
  <c r="AW418" i="3"/>
  <c r="AX418" i="3"/>
  <c r="AX412" i="3"/>
  <c r="AY412" i="3"/>
  <c r="AW406" i="3"/>
  <c r="AX406" i="3"/>
  <c r="AY400" i="3"/>
  <c r="AW400" i="3"/>
  <c r="AW394" i="3"/>
  <c r="AY394" i="3"/>
  <c r="AX388" i="3"/>
  <c r="AW382" i="3"/>
  <c r="AY382" i="3"/>
  <c r="AX382" i="3"/>
  <c r="AX376" i="3"/>
  <c r="AY376" i="3"/>
  <c r="AW370" i="3"/>
  <c r="AY370" i="3"/>
  <c r="AX364" i="3"/>
  <c r="AY358" i="3"/>
  <c r="AX358" i="3"/>
  <c r="AY352" i="3"/>
  <c r="AX352" i="3"/>
  <c r="AY346" i="3"/>
  <c r="AY340" i="3"/>
  <c r="AX340" i="3"/>
  <c r="AW334" i="3"/>
  <c r="AY328" i="3"/>
  <c r="AW328" i="3"/>
  <c r="AY322" i="3"/>
  <c r="AW322" i="3"/>
  <c r="AX316" i="3"/>
  <c r="AW316" i="3"/>
  <c r="AY304" i="3"/>
  <c r="AX304" i="3"/>
  <c r="AY298" i="3"/>
  <c r="AX298" i="3"/>
  <c r="AW298" i="3"/>
  <c r="AY292" i="3"/>
  <c r="AX292" i="3"/>
  <c r="AW286" i="3"/>
  <c r="AY280" i="3"/>
  <c r="AX280" i="3"/>
  <c r="AY274" i="3"/>
  <c r="AW274" i="3"/>
  <c r="AY268" i="3"/>
  <c r="AX268" i="3"/>
  <c r="AW268" i="3"/>
  <c r="AW262" i="3"/>
  <c r="AX256" i="3"/>
  <c r="AW256" i="3"/>
  <c r="AY250" i="3"/>
  <c r="AX250" i="3"/>
  <c r="AW250" i="3"/>
  <c r="AX244" i="3"/>
  <c r="AW244" i="3"/>
  <c r="AY238" i="3"/>
  <c r="AX238" i="3"/>
  <c r="AW238" i="3"/>
  <c r="AY232" i="3"/>
  <c r="AX232" i="3"/>
  <c r="AY226" i="3"/>
  <c r="AX226" i="3"/>
  <c r="AW226" i="3"/>
  <c r="AY220" i="3"/>
  <c r="AX220" i="3"/>
  <c r="AW220" i="3"/>
  <c r="AW214" i="3"/>
  <c r="AX208" i="3"/>
  <c r="AW208" i="3"/>
  <c r="AY202" i="3"/>
  <c r="AX202" i="3"/>
  <c r="AW202" i="3"/>
  <c r="AY196" i="3"/>
  <c r="AX196" i="3"/>
  <c r="AW196" i="3"/>
  <c r="AY190" i="3"/>
  <c r="AX190" i="3"/>
  <c r="AY184" i="3"/>
  <c r="AW184" i="3"/>
  <c r="AX184" i="3"/>
  <c r="AY178" i="3"/>
  <c r="AX178" i="3"/>
  <c r="AW178" i="3"/>
  <c r="AY172" i="3"/>
  <c r="AX172" i="3"/>
  <c r="AX166" i="3"/>
  <c r="AY160" i="3"/>
  <c r="AX160" i="3"/>
  <c r="AW160" i="3"/>
  <c r="AY154" i="3"/>
  <c r="AX154" i="3"/>
  <c r="AW154" i="3"/>
  <c r="AY148" i="3"/>
  <c r="AX148" i="3"/>
  <c r="AY142" i="3"/>
  <c r="AX142" i="3"/>
  <c r="AY136" i="3"/>
  <c r="AW136" i="3"/>
  <c r="AX136" i="3"/>
  <c r="AY130" i="3"/>
  <c r="AX130" i="3"/>
  <c r="AX124" i="3"/>
  <c r="AY118" i="3"/>
  <c r="AX118" i="3"/>
  <c r="AY112" i="3"/>
  <c r="AW112" i="3"/>
  <c r="AY106" i="3"/>
  <c r="AX106" i="3"/>
  <c r="AY100" i="3"/>
  <c r="AX100" i="3"/>
  <c r="AY94" i="3"/>
  <c r="AX94" i="3"/>
  <c r="AW94" i="3"/>
  <c r="AW88" i="3"/>
  <c r="AY82" i="3"/>
  <c r="AW82" i="3"/>
  <c r="AY76" i="3"/>
  <c r="AX76" i="3"/>
  <c r="AY70" i="3"/>
  <c r="AW70" i="3"/>
  <c r="AY64" i="3"/>
  <c r="AW64" i="3"/>
  <c r="AY58" i="3"/>
  <c r="AY52" i="3"/>
  <c r="AX52" i="3"/>
  <c r="AX46" i="3"/>
  <c r="AY40" i="3"/>
  <c r="AY34" i="3"/>
  <c r="AX34" i="3"/>
  <c r="AX16" i="3"/>
  <c r="AW16" i="3"/>
  <c r="AY1011" i="3"/>
  <c r="AX1011" i="3"/>
  <c r="AW1011" i="3"/>
  <c r="AY1005" i="3"/>
  <c r="AX1005" i="3"/>
  <c r="AW1005" i="3"/>
  <c r="AX999" i="3"/>
  <c r="AW993" i="3"/>
  <c r="AY987" i="3"/>
  <c r="AX987" i="3"/>
  <c r="AW987" i="3"/>
  <c r="AY981" i="3"/>
  <c r="AX981" i="3"/>
  <c r="AW981" i="3"/>
  <c r="AX975" i="3"/>
  <c r="AW969" i="3"/>
  <c r="AY963" i="3"/>
  <c r="AX963" i="3"/>
  <c r="AW963" i="3"/>
  <c r="AY957" i="3"/>
  <c r="AX957" i="3"/>
  <c r="AW957" i="3"/>
  <c r="AX951" i="3"/>
  <c r="AY945" i="3"/>
  <c r="AX945" i="3"/>
  <c r="AY939" i="3"/>
  <c r="AX939" i="3"/>
  <c r="AW939" i="3"/>
  <c r="AY933" i="3"/>
  <c r="AX933" i="3"/>
  <c r="AW933" i="3"/>
  <c r="AX927" i="3"/>
  <c r="AX921" i="3"/>
  <c r="AW921" i="3"/>
  <c r="AY915" i="3"/>
  <c r="AX915" i="3"/>
  <c r="AW915" i="3"/>
  <c r="AY909" i="3"/>
  <c r="AX909" i="3"/>
  <c r="AX903" i="3"/>
  <c r="AY897" i="3"/>
  <c r="AX897" i="3"/>
  <c r="AY891" i="3"/>
  <c r="AX891" i="3"/>
  <c r="AW891" i="3"/>
  <c r="AY885" i="3"/>
  <c r="AX885" i="3"/>
  <c r="AX879" i="3"/>
  <c r="AX873" i="3"/>
  <c r="AY867" i="3"/>
  <c r="AX867" i="3"/>
  <c r="AW867" i="3"/>
  <c r="AY861" i="3"/>
  <c r="AX861" i="3"/>
  <c r="AW861" i="3"/>
  <c r="AX855" i="3"/>
  <c r="AY849" i="3"/>
  <c r="AX849" i="3"/>
  <c r="AY843" i="3"/>
  <c r="AX843" i="3"/>
  <c r="AW843" i="3"/>
  <c r="AY837" i="3"/>
  <c r="AX837" i="3"/>
  <c r="AX831" i="3"/>
  <c r="AW831" i="3"/>
  <c r="AX825" i="3"/>
  <c r="AY819" i="3"/>
  <c r="AX819" i="3"/>
  <c r="AW819" i="3"/>
  <c r="AY813" i="3"/>
  <c r="AX813" i="3"/>
  <c r="AW813" i="3"/>
  <c r="AX807" i="3"/>
  <c r="AY801" i="3"/>
  <c r="AX801" i="3"/>
  <c r="AY795" i="3"/>
  <c r="AX795" i="3"/>
  <c r="AW795" i="3"/>
  <c r="AY789" i="3"/>
  <c r="AX789" i="3"/>
  <c r="AW789" i="3"/>
  <c r="AX783" i="3"/>
  <c r="AX777" i="3"/>
  <c r="AY771" i="3"/>
  <c r="AX771" i="3"/>
  <c r="AW771" i="3"/>
  <c r="AY765" i="3"/>
  <c r="AX765" i="3"/>
  <c r="AX759" i="3"/>
  <c r="AX753" i="3"/>
  <c r="AY747" i="3"/>
  <c r="AX747" i="3"/>
  <c r="AW747" i="3"/>
  <c r="AY741" i="3"/>
  <c r="AX741" i="3"/>
  <c r="AX735" i="3"/>
  <c r="AY729" i="3"/>
  <c r="AX729" i="3"/>
  <c r="AY723" i="3"/>
  <c r="AX723" i="3"/>
  <c r="AW723" i="3"/>
  <c r="AY717" i="3"/>
  <c r="AX717" i="3"/>
  <c r="AX711" i="3"/>
  <c r="AW705" i="3"/>
  <c r="AW699" i="3"/>
  <c r="AY699" i="3"/>
  <c r="AX699" i="3"/>
  <c r="AW693" i="3"/>
  <c r="AX693" i="3"/>
  <c r="AY693" i="3"/>
  <c r="AX687" i="3"/>
  <c r="AW681" i="3"/>
  <c r="AX681" i="3"/>
  <c r="AY675" i="3"/>
  <c r="AX675" i="3"/>
  <c r="AW675" i="3"/>
  <c r="AY669" i="3"/>
  <c r="AW669" i="3"/>
  <c r="AX663" i="3"/>
  <c r="AY657" i="3"/>
  <c r="AW657" i="3"/>
  <c r="AY651" i="3"/>
  <c r="AX651" i="3"/>
  <c r="AW651" i="3"/>
  <c r="AY645" i="3"/>
  <c r="AX645" i="3"/>
  <c r="AW645" i="3"/>
  <c r="AX639" i="3"/>
  <c r="AY633" i="3"/>
  <c r="AX633" i="3"/>
  <c r="AY627" i="3"/>
  <c r="AX627" i="3"/>
  <c r="AW627" i="3"/>
  <c r="AY621" i="3"/>
  <c r="AW621" i="3"/>
  <c r="AX615" i="3"/>
  <c r="AY609" i="3"/>
  <c r="AW609" i="3"/>
  <c r="AY603" i="3"/>
  <c r="AX603" i="3"/>
  <c r="AW603" i="3"/>
  <c r="AW597" i="3"/>
  <c r="AX591" i="3"/>
  <c r="AY585" i="3"/>
  <c r="AW585" i="3"/>
  <c r="AY579" i="3"/>
  <c r="AX579" i="3"/>
  <c r="AW579" i="3"/>
  <c r="AY573" i="3"/>
  <c r="AX573" i="3"/>
  <c r="AX567" i="3"/>
  <c r="AY561" i="3"/>
  <c r="AX561" i="3"/>
  <c r="AW561" i="3"/>
  <c r="AY555" i="3"/>
  <c r="AX555" i="3"/>
  <c r="AW555" i="3"/>
  <c r="AY549" i="3"/>
  <c r="AW549" i="3"/>
  <c r="AX543" i="3"/>
  <c r="AY537" i="3"/>
  <c r="AX537" i="3"/>
  <c r="AW537" i="3"/>
  <c r="AY531" i="3"/>
  <c r="AX531" i="3"/>
  <c r="AW531" i="3"/>
  <c r="AW525" i="3"/>
  <c r="AX519" i="3"/>
  <c r="AY513" i="3"/>
  <c r="AX513" i="3"/>
  <c r="AW513" i="3"/>
  <c r="AY507" i="3"/>
  <c r="AX507" i="3"/>
  <c r="AW507" i="3"/>
  <c r="AY501" i="3"/>
  <c r="AW501" i="3"/>
  <c r="AX495" i="3"/>
  <c r="AY489" i="3"/>
  <c r="AX489" i="3"/>
  <c r="AW489" i="3"/>
  <c r="AY483" i="3"/>
  <c r="AX483" i="3"/>
  <c r="AW483" i="3"/>
  <c r="AW477" i="3"/>
  <c r="AY471" i="3"/>
  <c r="AX471" i="3"/>
  <c r="AY465" i="3"/>
  <c r="AX465" i="3"/>
  <c r="AW465" i="3"/>
  <c r="AY459" i="3"/>
  <c r="AX459" i="3"/>
  <c r="AW459" i="3"/>
  <c r="AW453" i="3"/>
  <c r="AX447" i="3"/>
  <c r="AY441" i="3"/>
  <c r="AX441" i="3"/>
  <c r="AW441" i="3"/>
  <c r="AY435" i="3"/>
  <c r="AX435" i="3"/>
  <c r="AW435" i="3"/>
  <c r="AW429" i="3"/>
  <c r="AX423" i="3"/>
  <c r="AY417" i="3"/>
  <c r="AX417" i="3"/>
  <c r="AW417" i="3"/>
  <c r="AW411" i="3"/>
  <c r="AY411" i="3"/>
  <c r="AX411" i="3"/>
  <c r="AY399" i="3"/>
  <c r="AX399" i="3"/>
  <c r="AY393" i="3"/>
  <c r="AX393" i="3"/>
  <c r="AW393" i="3"/>
  <c r="AY387" i="3"/>
  <c r="AX387" i="3"/>
  <c r="AW387" i="3"/>
  <c r="AX375" i="3"/>
  <c r="AY369" i="3"/>
  <c r="AX369" i="3"/>
  <c r="AW369" i="3"/>
  <c r="AY363" i="3"/>
  <c r="AX363" i="3"/>
  <c r="AW363" i="3"/>
  <c r="AX351" i="3"/>
  <c r="AY345" i="3"/>
  <c r="AX345" i="3"/>
  <c r="AW345" i="3"/>
  <c r="AY339" i="3"/>
  <c r="AX339" i="3"/>
  <c r="AW339" i="3"/>
  <c r="AW333" i="3"/>
  <c r="AX327" i="3"/>
  <c r="AY321" i="3"/>
  <c r="AX321" i="3"/>
  <c r="AW321" i="3"/>
  <c r="AY315" i="3"/>
  <c r="AX315" i="3"/>
  <c r="AW315" i="3"/>
  <c r="AX309" i="3"/>
  <c r="AY303" i="3"/>
  <c r="AX303" i="3"/>
  <c r="AY297" i="3"/>
  <c r="AW297" i="3"/>
  <c r="AX291" i="3"/>
  <c r="AW291" i="3"/>
  <c r="AX285" i="3"/>
  <c r="AW285" i="3"/>
  <c r="AY279" i="3"/>
  <c r="AX279" i="3"/>
  <c r="AY267" i="3"/>
  <c r="AW267" i="3"/>
  <c r="AY261" i="3"/>
  <c r="AX261" i="3"/>
  <c r="AW261" i="3"/>
  <c r="AY255" i="3"/>
  <c r="AX255" i="3"/>
  <c r="AW249" i="3"/>
  <c r="AY243" i="3"/>
  <c r="AW243" i="3"/>
  <c r="AY237" i="3"/>
  <c r="AX237" i="3"/>
  <c r="AW237" i="3"/>
  <c r="AX231" i="3"/>
  <c r="AY231" i="3"/>
  <c r="AW231" i="3"/>
  <c r="AW225" i="3"/>
  <c r="AX219" i="3"/>
  <c r="AY219" i="3"/>
  <c r="AY213" i="3"/>
  <c r="AX213" i="3"/>
  <c r="AY207" i="3"/>
  <c r="AX207" i="3"/>
  <c r="AW207" i="3"/>
  <c r="AX201" i="3"/>
  <c r="AW201" i="3"/>
  <c r="AX195" i="3"/>
  <c r="AW195" i="3"/>
  <c r="AY189" i="3"/>
  <c r="AX189" i="3"/>
  <c r="AW183" i="3"/>
  <c r="AY183" i="3"/>
  <c r="AX183" i="3"/>
  <c r="AX177" i="3"/>
  <c r="AW177" i="3"/>
  <c r="AY177" i="3"/>
  <c r="AY171" i="3"/>
  <c r="AX171" i="3"/>
  <c r="AX165" i="3"/>
  <c r="AW165" i="3"/>
  <c r="AX159" i="3"/>
  <c r="AW159" i="3"/>
  <c r="AY153" i="3"/>
  <c r="AW153" i="3"/>
  <c r="AY147" i="3"/>
  <c r="AX147" i="3"/>
  <c r="AX141" i="3"/>
  <c r="AW141" i="3"/>
  <c r="AW135" i="3"/>
  <c r="AX135" i="3"/>
  <c r="AX129" i="3"/>
  <c r="AW129" i="3"/>
  <c r="AY129" i="3"/>
  <c r="AW123" i="3"/>
  <c r="AY123" i="3"/>
  <c r="AX123" i="3"/>
  <c r="AW111" i="3"/>
  <c r="AY105" i="3"/>
  <c r="AX105" i="3"/>
  <c r="AW105" i="3"/>
  <c r="AY99" i="3"/>
  <c r="AX99" i="3"/>
  <c r="AW99" i="3"/>
  <c r="AY93" i="3"/>
  <c r="AY81" i="3"/>
  <c r="AX81" i="3"/>
  <c r="AW81" i="3"/>
  <c r="AY75" i="3"/>
  <c r="AX75" i="3"/>
  <c r="AW75" i="3"/>
  <c r="AX69" i="3"/>
  <c r="AY63" i="3"/>
  <c r="AW63" i="3"/>
  <c r="AY57" i="3"/>
  <c r="AW57" i="3"/>
  <c r="AY51" i="3"/>
  <c r="AW51" i="3"/>
  <c r="AY45" i="3"/>
  <c r="AX45" i="3"/>
  <c r="AY39" i="3"/>
  <c r="AW39" i="3"/>
  <c r="AY15" i="3"/>
  <c r="AW15" i="3"/>
  <c r="AX13" i="3"/>
  <c r="AR1010" i="3"/>
  <c r="AS1010" i="3"/>
  <c r="AT1004" i="3"/>
  <c r="AS1004" i="3"/>
  <c r="AR998" i="3"/>
  <c r="AT998" i="3"/>
  <c r="AT992" i="3"/>
  <c r="AS992" i="3"/>
  <c r="AR986" i="3"/>
  <c r="AS986" i="3"/>
  <c r="AT980" i="3"/>
  <c r="AS980" i="3"/>
  <c r="AR974" i="3"/>
  <c r="AS974" i="3"/>
  <c r="AT974" i="3"/>
  <c r="AR962" i="3"/>
  <c r="AS962" i="3"/>
  <c r="AT956" i="3"/>
  <c r="AS956" i="3"/>
  <c r="AR950" i="3"/>
  <c r="AT950" i="3"/>
  <c r="AR938" i="3"/>
  <c r="AS938" i="3"/>
  <c r="AR932" i="3"/>
  <c r="AT932" i="3"/>
  <c r="AR926" i="3"/>
  <c r="AT926" i="3"/>
  <c r="AR914" i="3"/>
  <c r="AS914" i="3"/>
  <c r="AT908" i="3"/>
  <c r="AS908" i="3"/>
  <c r="AR902" i="3"/>
  <c r="AT902" i="3"/>
  <c r="AR896" i="3"/>
  <c r="AS896" i="3"/>
  <c r="AR890" i="3"/>
  <c r="AT890" i="3"/>
  <c r="AR884" i="3"/>
  <c r="AT884" i="3"/>
  <c r="AS884" i="3"/>
  <c r="AR878" i="3"/>
  <c r="AS878" i="3"/>
  <c r="AT878" i="3"/>
  <c r="AT872" i="3"/>
  <c r="AR866" i="3"/>
  <c r="AT866" i="3"/>
  <c r="AR860" i="3"/>
  <c r="AT860" i="3"/>
  <c r="AS860" i="3"/>
  <c r="AS854" i="3"/>
  <c r="AT854" i="3"/>
  <c r="AT848" i="3"/>
  <c r="AR842" i="3"/>
  <c r="AT842" i="3"/>
  <c r="AR836" i="3"/>
  <c r="AT836" i="3"/>
  <c r="AS836" i="3"/>
  <c r="AS830" i="3"/>
  <c r="AT830" i="3"/>
  <c r="AT824" i="3"/>
  <c r="AS824" i="3"/>
  <c r="AR818" i="3"/>
  <c r="AS818" i="3"/>
  <c r="AR812" i="3"/>
  <c r="AT812" i="3"/>
  <c r="AS812" i="3"/>
  <c r="AR806" i="3"/>
  <c r="AT806" i="3"/>
  <c r="AR800" i="3"/>
  <c r="AS800" i="3"/>
  <c r="AR794" i="3"/>
  <c r="AS794" i="3"/>
  <c r="AR788" i="3"/>
  <c r="AT788" i="3"/>
  <c r="AS788" i="3"/>
  <c r="AR782" i="3"/>
  <c r="AT782" i="3"/>
  <c r="AR776" i="3"/>
  <c r="AT776" i="3"/>
  <c r="AR770" i="3"/>
  <c r="AS770" i="3"/>
  <c r="AR764" i="3"/>
  <c r="AT764" i="3"/>
  <c r="AS764" i="3"/>
  <c r="AS758" i="3"/>
  <c r="AT758" i="3"/>
  <c r="AR758" i="3"/>
  <c r="AR752" i="3"/>
  <c r="AT752" i="3"/>
  <c r="AS746" i="3"/>
  <c r="AR746" i="3"/>
  <c r="AR740" i="3"/>
  <c r="AT740" i="3"/>
  <c r="AS740" i="3"/>
  <c r="AS734" i="3"/>
  <c r="AT734" i="3"/>
  <c r="AR728" i="3"/>
  <c r="AT728" i="3"/>
  <c r="AS728" i="3"/>
  <c r="AS722" i="3"/>
  <c r="AR722" i="3"/>
  <c r="AR716" i="3"/>
  <c r="AT716" i="3"/>
  <c r="AS716" i="3"/>
  <c r="AS710" i="3"/>
  <c r="AT710" i="3"/>
  <c r="AR704" i="3"/>
  <c r="AR698" i="3"/>
  <c r="AS698" i="3"/>
  <c r="AR692" i="3"/>
  <c r="AT692" i="3"/>
  <c r="AS692" i="3"/>
  <c r="AS686" i="3"/>
  <c r="AT686" i="3"/>
  <c r="AR680" i="3"/>
  <c r="AT680" i="3"/>
  <c r="AR674" i="3"/>
  <c r="AS674" i="3"/>
  <c r="AR668" i="3"/>
  <c r="AT668" i="3"/>
  <c r="AS668" i="3"/>
  <c r="AS662" i="3"/>
  <c r="AT662" i="3"/>
  <c r="AR656" i="3"/>
  <c r="AT656" i="3"/>
  <c r="AR650" i="3"/>
  <c r="AS650" i="3"/>
  <c r="AR644" i="3"/>
  <c r="AT644" i="3"/>
  <c r="AS644" i="3"/>
  <c r="AS638" i="3"/>
  <c r="AT638" i="3"/>
  <c r="AR632" i="3"/>
  <c r="AT632" i="3"/>
  <c r="AS632" i="3"/>
  <c r="AR626" i="3"/>
  <c r="AS626" i="3"/>
  <c r="AR620" i="3"/>
  <c r="AS620" i="3"/>
  <c r="AS614" i="3"/>
  <c r="AT614" i="3"/>
  <c r="AR608" i="3"/>
  <c r="AT608" i="3"/>
  <c r="AS602" i="3"/>
  <c r="AT602" i="3"/>
  <c r="AR596" i="3"/>
  <c r="AS596" i="3"/>
  <c r="AR590" i="3"/>
  <c r="AS590" i="3"/>
  <c r="AS584" i="3"/>
  <c r="AR584" i="3"/>
  <c r="AT584" i="3"/>
  <c r="AS578" i="3"/>
  <c r="AT578" i="3"/>
  <c r="AR572" i="3"/>
  <c r="AT572" i="3"/>
  <c r="AR566" i="3"/>
  <c r="AS566" i="3"/>
  <c r="AT566" i="3"/>
  <c r="AS560" i="3"/>
  <c r="AT560" i="3"/>
  <c r="AR560" i="3"/>
  <c r="AS554" i="3"/>
  <c r="AT554" i="3"/>
  <c r="AR548" i="3"/>
  <c r="AS548" i="3"/>
  <c r="AS542" i="3"/>
  <c r="AR542" i="3"/>
  <c r="AT542" i="3"/>
  <c r="AR536" i="3"/>
  <c r="AS536" i="3"/>
  <c r="AT536" i="3"/>
  <c r="AS530" i="3"/>
  <c r="AR530" i="3"/>
  <c r="AR524" i="3"/>
  <c r="AR518" i="3"/>
  <c r="AT518" i="3"/>
  <c r="AR512" i="3"/>
  <c r="AS512" i="3"/>
  <c r="AT512" i="3"/>
  <c r="AR506" i="3"/>
  <c r="AS506" i="3"/>
  <c r="AR494" i="3"/>
  <c r="AT494" i="3"/>
  <c r="AR488" i="3"/>
  <c r="AS488" i="3"/>
  <c r="AT488" i="3"/>
  <c r="AR482" i="3"/>
  <c r="AS482" i="3"/>
  <c r="AR470" i="3"/>
  <c r="AS470" i="3"/>
  <c r="AT470" i="3"/>
  <c r="AR464" i="3"/>
  <c r="AS464" i="3"/>
  <c r="AT464" i="3"/>
  <c r="AR458" i="3"/>
  <c r="AS458" i="3"/>
  <c r="AR446" i="3"/>
  <c r="AT446" i="3"/>
  <c r="AR440" i="3"/>
  <c r="AS440" i="3"/>
  <c r="AT440" i="3"/>
  <c r="AR434" i="3"/>
  <c r="AS434" i="3"/>
  <c r="AT428" i="3"/>
  <c r="AR422" i="3"/>
  <c r="AT422" i="3"/>
  <c r="AS416" i="3"/>
  <c r="AT416" i="3"/>
  <c r="AR410" i="3"/>
  <c r="AS410" i="3"/>
  <c r="AR398" i="3"/>
  <c r="AT398" i="3"/>
  <c r="AS392" i="3"/>
  <c r="AR386" i="3"/>
  <c r="AS386" i="3"/>
  <c r="AR374" i="3"/>
  <c r="AT374" i="3"/>
  <c r="AT368" i="3"/>
  <c r="AR362" i="3"/>
  <c r="AS362" i="3"/>
  <c r="AR350" i="3"/>
  <c r="AT350" i="3"/>
  <c r="AS344" i="3"/>
  <c r="AR338" i="3"/>
  <c r="AT338" i="3"/>
  <c r="AR332" i="3"/>
  <c r="AS332" i="3"/>
  <c r="AT332" i="3"/>
  <c r="AR326" i="3"/>
  <c r="AS326" i="3"/>
  <c r="AT326" i="3"/>
  <c r="AS320" i="3"/>
  <c r="AT320" i="3"/>
  <c r="AR314" i="3"/>
  <c r="AS308" i="3"/>
  <c r="AR302" i="3"/>
  <c r="AS302" i="3"/>
  <c r="AT302" i="3"/>
  <c r="AR296" i="3"/>
  <c r="AT290" i="3"/>
  <c r="AS284" i="3"/>
  <c r="AR284" i="3"/>
  <c r="AR278" i="3"/>
  <c r="AT278" i="3"/>
  <c r="AR272" i="3"/>
  <c r="AT266" i="3"/>
  <c r="AT260" i="3"/>
  <c r="AR254" i="3"/>
  <c r="AR248" i="3"/>
  <c r="AR242" i="3"/>
  <c r="AS242" i="3"/>
  <c r="AT242" i="3"/>
  <c r="AS236" i="3"/>
  <c r="AS230" i="3"/>
  <c r="AT230" i="3"/>
  <c r="AT218" i="3"/>
  <c r="AR218" i="3"/>
  <c r="AS212" i="3"/>
  <c r="AT206" i="3"/>
  <c r="AS206" i="3"/>
  <c r="AS200" i="3"/>
  <c r="AT200" i="3"/>
  <c r="AT194" i="3"/>
  <c r="AS194" i="3"/>
  <c r="AT188" i="3"/>
  <c r="AS182" i="3"/>
  <c r="AR176" i="3"/>
  <c r="AS176" i="3"/>
  <c r="AT170" i="3"/>
  <c r="AR170" i="3"/>
  <c r="AS170" i="3"/>
  <c r="AR164" i="3"/>
  <c r="AS164" i="3"/>
  <c r="AT164" i="3"/>
  <c r="AT158" i="3"/>
  <c r="AT146" i="3"/>
  <c r="AS146" i="3"/>
  <c r="AS140" i="3"/>
  <c r="AR140" i="3"/>
  <c r="AT134" i="3"/>
  <c r="AR134" i="3"/>
  <c r="AT128" i="3"/>
  <c r="AR122" i="3"/>
  <c r="AT122" i="3"/>
  <c r="AS122" i="3"/>
  <c r="AS116" i="3"/>
  <c r="AT116" i="3"/>
  <c r="AR110" i="3"/>
  <c r="AT110" i="3"/>
  <c r="AS110" i="3"/>
  <c r="AT104" i="3"/>
  <c r="AR98" i="3"/>
  <c r="AT98" i="3"/>
  <c r="AS98" i="3"/>
  <c r="AT92" i="3"/>
  <c r="AS92" i="3"/>
  <c r="AR86" i="3"/>
  <c r="AS86" i="3"/>
  <c r="AT80" i="3"/>
  <c r="AR74" i="3"/>
  <c r="AS74" i="3"/>
  <c r="AR68" i="3"/>
  <c r="AT68" i="3"/>
  <c r="AR62" i="3"/>
  <c r="AT62" i="3"/>
  <c r="AR56" i="3"/>
  <c r="AT56" i="3"/>
  <c r="AR50" i="3"/>
  <c r="AT50" i="3"/>
  <c r="AR44" i="3"/>
  <c r="AT44" i="3"/>
  <c r="AS44" i="3"/>
  <c r="AT38" i="3"/>
  <c r="AS38" i="3"/>
  <c r="AT32" i="3"/>
  <c r="AR26" i="3"/>
  <c r="AT26" i="3"/>
  <c r="AR14" i="3"/>
  <c r="AT14" i="3"/>
  <c r="AS14" i="3"/>
  <c r="AR1003" i="3"/>
  <c r="AS961" i="3"/>
  <c r="AS925" i="3"/>
  <c r="AT925" i="3"/>
  <c r="AR925" i="3"/>
  <c r="AR883" i="3"/>
  <c r="AS793" i="3"/>
  <c r="AR751" i="3"/>
  <c r="AS751" i="3"/>
  <c r="AT751" i="3"/>
  <c r="AS709" i="3"/>
  <c r="AS673" i="3"/>
  <c r="AT673" i="3"/>
  <c r="AR673" i="3"/>
  <c r="AT631" i="3"/>
  <c r="AR631" i="3"/>
  <c r="AS631" i="3"/>
  <c r="AR589" i="3"/>
  <c r="AS589" i="3"/>
  <c r="AS547" i="3"/>
  <c r="AR547" i="3"/>
  <c r="AT547" i="3"/>
  <c r="AT505" i="3"/>
  <c r="AS505" i="3"/>
  <c r="AT457" i="3"/>
  <c r="AS457" i="3"/>
  <c r="AT349" i="3"/>
  <c r="AR349" i="3"/>
  <c r="AS349" i="3"/>
  <c r="AS265" i="3"/>
  <c r="AR265" i="3"/>
  <c r="AT61" i="3"/>
  <c r="AT1008" i="3"/>
  <c r="AR1002" i="3"/>
  <c r="AS1002" i="3"/>
  <c r="AT1002" i="3"/>
  <c r="AR996" i="3"/>
  <c r="AT996" i="3"/>
  <c r="AS996" i="3"/>
  <c r="AS990" i="3"/>
  <c r="AT990" i="3"/>
  <c r="AR984" i="3"/>
  <c r="AS984" i="3"/>
  <c r="AS978" i="3"/>
  <c r="AR972" i="3"/>
  <c r="AT972" i="3"/>
  <c r="AS972" i="3"/>
  <c r="AS966" i="3"/>
  <c r="AT966" i="3"/>
  <c r="AR960" i="3"/>
  <c r="AS960" i="3"/>
  <c r="AT948" i="3"/>
  <c r="AS948" i="3"/>
  <c r="AR942" i="3"/>
  <c r="AS942" i="3"/>
  <c r="AT942" i="3"/>
  <c r="AR936" i="3"/>
  <c r="AT936" i="3"/>
  <c r="AS936" i="3"/>
  <c r="AR930" i="3"/>
  <c r="AT930" i="3"/>
  <c r="AR918" i="3"/>
  <c r="AR912" i="3"/>
  <c r="AT912" i="3"/>
  <c r="AR906" i="3"/>
  <c r="AS906" i="3"/>
  <c r="AT906" i="3"/>
  <c r="AT900" i="3"/>
  <c r="AT894" i="3"/>
  <c r="AT888" i="3"/>
  <c r="AS888" i="3"/>
  <c r="AR882" i="3"/>
  <c r="AT882" i="3"/>
  <c r="AR876" i="3"/>
  <c r="AS876" i="3"/>
  <c r="AR870" i="3"/>
  <c r="AS870" i="3"/>
  <c r="AT870" i="3"/>
  <c r="AS864" i="3"/>
  <c r="AS858" i="3"/>
  <c r="AR852" i="3"/>
  <c r="AT852" i="3"/>
  <c r="AR846" i="3"/>
  <c r="AS846" i="3"/>
  <c r="AR840" i="3"/>
  <c r="AT840" i="3"/>
  <c r="AR834" i="3"/>
  <c r="AS834" i="3"/>
  <c r="AR828" i="3"/>
  <c r="AT828" i="3"/>
  <c r="AS828" i="3"/>
  <c r="AS822" i="3"/>
  <c r="AT822" i="3"/>
  <c r="AR816" i="3"/>
  <c r="AR804" i="3"/>
  <c r="AT804" i="3"/>
  <c r="AS804" i="3"/>
  <c r="AR798" i="3"/>
  <c r="AT798" i="3"/>
  <c r="AT792" i="3"/>
  <c r="AS792" i="3"/>
  <c r="AR792" i="3"/>
  <c r="AR786" i="3"/>
  <c r="AT786" i="3"/>
  <c r="AR780" i="3"/>
  <c r="AT780" i="3"/>
  <c r="AS780" i="3"/>
  <c r="AS774" i="3"/>
  <c r="AT774" i="3"/>
  <c r="AR768" i="3"/>
  <c r="AR762" i="3"/>
  <c r="AS762" i="3"/>
  <c r="AR756" i="3"/>
  <c r="AT756" i="3"/>
  <c r="AR750" i="3"/>
  <c r="AR744" i="3"/>
  <c r="AT744" i="3"/>
  <c r="AS744" i="3"/>
  <c r="AS738" i="3"/>
  <c r="AR738" i="3"/>
  <c r="AT738" i="3"/>
  <c r="AS732" i="3"/>
  <c r="AR726" i="3"/>
  <c r="AT726" i="3"/>
  <c r="AT720" i="3"/>
  <c r="AS720" i="3"/>
  <c r="AS714" i="3"/>
  <c r="AT714" i="3"/>
  <c r="AR708" i="3"/>
  <c r="AR702" i="3"/>
  <c r="AT702" i="3"/>
  <c r="AT696" i="3"/>
  <c r="AS696" i="3"/>
  <c r="AR690" i="3"/>
  <c r="AT684" i="3"/>
  <c r="AS684" i="3"/>
  <c r="AR678" i="3"/>
  <c r="AT678" i="3"/>
  <c r="AS672" i="3"/>
  <c r="AR666" i="3"/>
  <c r="AS666" i="3"/>
  <c r="AT666" i="3"/>
  <c r="AR660" i="3"/>
  <c r="AT660" i="3"/>
  <c r="AS660" i="3"/>
  <c r="AR654" i="3"/>
  <c r="AS654" i="3"/>
  <c r="AT654" i="3"/>
  <c r="AT648" i="3"/>
  <c r="AR642" i="3"/>
  <c r="AS642" i="3"/>
  <c r="AR636" i="3"/>
  <c r="AT636" i="3"/>
  <c r="AS636" i="3"/>
  <c r="AR630" i="3"/>
  <c r="AT630" i="3"/>
  <c r="AR624" i="3"/>
  <c r="AS624" i="3"/>
  <c r="AT618" i="3"/>
  <c r="AR612" i="3"/>
  <c r="AT612" i="3"/>
  <c r="AS612" i="3"/>
  <c r="AS606" i="3"/>
  <c r="AR600" i="3"/>
  <c r="AS600" i="3"/>
  <c r="AT600" i="3"/>
  <c r="AT594" i="3"/>
  <c r="AR594" i="3"/>
  <c r="AS594" i="3"/>
  <c r="AS588" i="3"/>
  <c r="AT588" i="3"/>
  <c r="AR582" i="3"/>
  <c r="AS582" i="3"/>
  <c r="AT582" i="3"/>
  <c r="AR576" i="3"/>
  <c r="AS576" i="3"/>
  <c r="AT576" i="3"/>
  <c r="AT570" i="3"/>
  <c r="AR570" i="3"/>
  <c r="AS570" i="3"/>
  <c r="AR564" i="3"/>
  <c r="AS558" i="3"/>
  <c r="AR558" i="3"/>
  <c r="AT558" i="3"/>
  <c r="AR552" i="3"/>
  <c r="AS552" i="3"/>
  <c r="AT552" i="3"/>
  <c r="AS546" i="3"/>
  <c r="AR546" i="3"/>
  <c r="AT546" i="3"/>
  <c r="AS540" i="3"/>
  <c r="AS534" i="3"/>
  <c r="AR534" i="3"/>
  <c r="AS528" i="3"/>
  <c r="AR528" i="3"/>
  <c r="AR522" i="3"/>
  <c r="AR516" i="3"/>
  <c r="AT516" i="3"/>
  <c r="AS510" i="3"/>
  <c r="AS504" i="3"/>
  <c r="AR504" i="3"/>
  <c r="AS498" i="3"/>
  <c r="AT498" i="3"/>
  <c r="AT492" i="3"/>
  <c r="AR492" i="3"/>
  <c r="AR486" i="3"/>
  <c r="AS486" i="3"/>
  <c r="AT486" i="3"/>
  <c r="AS474" i="3"/>
  <c r="AT474" i="3"/>
  <c r="AR468" i="3"/>
  <c r="AT468" i="3"/>
  <c r="AS468" i="3"/>
  <c r="AR462" i="3"/>
  <c r="AS462" i="3"/>
  <c r="AT462" i="3"/>
  <c r="AT456" i="3"/>
  <c r="AR450" i="3"/>
  <c r="AT444" i="3"/>
  <c r="AS444" i="3"/>
  <c r="AR438" i="3"/>
  <c r="AS438" i="3"/>
  <c r="AT438" i="3"/>
  <c r="AR432" i="3"/>
  <c r="AS432" i="3"/>
  <c r="AT432" i="3"/>
  <c r="AR426" i="3"/>
  <c r="AS426" i="3"/>
  <c r="AT426" i="3"/>
  <c r="AR420" i="3"/>
  <c r="AT420" i="3"/>
  <c r="AS420" i="3"/>
  <c r="AR414" i="3"/>
  <c r="AS414" i="3"/>
  <c r="AT408" i="3"/>
  <c r="AR402" i="3"/>
  <c r="AS402" i="3"/>
  <c r="AT402" i="3"/>
  <c r="AS396" i="3"/>
  <c r="AR390" i="3"/>
  <c r="AR384" i="3"/>
  <c r="AS384" i="3"/>
  <c r="AT384" i="3"/>
  <c r="AS378" i="3"/>
  <c r="AS372" i="3"/>
  <c r="AR366" i="3"/>
  <c r="AS366" i="3"/>
  <c r="AT366" i="3"/>
  <c r="AR360" i="3"/>
  <c r="AT360" i="3"/>
  <c r="AS354" i="3"/>
  <c r="AR348" i="3"/>
  <c r="AS348" i="3"/>
  <c r="AT348" i="3"/>
  <c r="AR342" i="3"/>
  <c r="AS342" i="3"/>
  <c r="AT342" i="3"/>
  <c r="AS336" i="3"/>
  <c r="AS330" i="3"/>
  <c r="AT330" i="3"/>
  <c r="AR324" i="3"/>
  <c r="AS324" i="3"/>
  <c r="AT324" i="3"/>
  <c r="AS318" i="3"/>
  <c r="AR312" i="3"/>
  <c r="AR306" i="3"/>
  <c r="AS306" i="3"/>
  <c r="AT306" i="3"/>
  <c r="AS300" i="3"/>
  <c r="AR300" i="3"/>
  <c r="AT300" i="3"/>
  <c r="AR294" i="3"/>
  <c r="AT288" i="3"/>
  <c r="AR288" i="3"/>
  <c r="AR282" i="3"/>
  <c r="AT282" i="3"/>
  <c r="AS276" i="3"/>
  <c r="AT276" i="3"/>
  <c r="AR276" i="3"/>
  <c r="AR270" i="3"/>
  <c r="AS270" i="3"/>
  <c r="AT270" i="3"/>
  <c r="AS264" i="3"/>
  <c r="AT264" i="3"/>
  <c r="AR264" i="3"/>
  <c r="AS252" i="3"/>
  <c r="AR246" i="3"/>
  <c r="AT246" i="3"/>
  <c r="AS240" i="3"/>
  <c r="AT240" i="3"/>
  <c r="AR240" i="3"/>
  <c r="AS234" i="3"/>
  <c r="AT234" i="3"/>
  <c r="AR228" i="3"/>
  <c r="AR222" i="3"/>
  <c r="AR216" i="3"/>
  <c r="AT210" i="3"/>
  <c r="AS210" i="3"/>
  <c r="AS204" i="3"/>
  <c r="AT186" i="3"/>
  <c r="AR186" i="3"/>
  <c r="AS186" i="3"/>
  <c r="AT180" i="3"/>
  <c r="AR180" i="3"/>
  <c r="AS180" i="3"/>
  <c r="AR174" i="3"/>
  <c r="AR162" i="3"/>
  <c r="AS162" i="3"/>
  <c r="AS156" i="3"/>
  <c r="AT156" i="3"/>
  <c r="AR156" i="3"/>
  <c r="AT150" i="3"/>
  <c r="AS150" i="3"/>
  <c r="AR144" i="3"/>
  <c r="AT144" i="3"/>
  <c r="AR132" i="3"/>
  <c r="AT126" i="3"/>
  <c r="AS126" i="3"/>
  <c r="AR120" i="3"/>
  <c r="AS120" i="3"/>
  <c r="AT120" i="3"/>
  <c r="AR114" i="3"/>
  <c r="AS108" i="3"/>
  <c r="AR102" i="3"/>
  <c r="AT102" i="3"/>
  <c r="AS102" i="3"/>
  <c r="AR96" i="3"/>
  <c r="AT96" i="3"/>
  <c r="AR90" i="3"/>
  <c r="AT90" i="3"/>
  <c r="AS90" i="3"/>
  <c r="AS84" i="3"/>
  <c r="AT78" i="3"/>
  <c r="AS78" i="3"/>
  <c r="AR72" i="3"/>
  <c r="AS72" i="3"/>
  <c r="AR66" i="3"/>
  <c r="AS66" i="3"/>
  <c r="AR60" i="3"/>
  <c r="AT60" i="3"/>
  <c r="AS60" i="3"/>
  <c r="AT54" i="3"/>
  <c r="AR48" i="3"/>
  <c r="AS48" i="3"/>
  <c r="AR42" i="3"/>
  <c r="AS42" i="3"/>
  <c r="AR36" i="3"/>
  <c r="AT36" i="3"/>
  <c r="AT30" i="3"/>
  <c r="AS30" i="3"/>
  <c r="AR24" i="3"/>
  <c r="AT24" i="3"/>
  <c r="AR18" i="3"/>
  <c r="AS871" i="3"/>
  <c r="AT871" i="3"/>
  <c r="AS55" i="3"/>
  <c r="AR55" i="3"/>
  <c r="AT13" i="3"/>
  <c r="AR13" i="3"/>
  <c r="AS997" i="3"/>
  <c r="AR997" i="3"/>
  <c r="AR955" i="3"/>
  <c r="AS955" i="3"/>
  <c r="AR913" i="3"/>
  <c r="AT865" i="3"/>
  <c r="AR865" i="3"/>
  <c r="AS757" i="3"/>
  <c r="AR757" i="3"/>
  <c r="AT715" i="3"/>
  <c r="AT667" i="3"/>
  <c r="AS667" i="3"/>
  <c r="AT619" i="3"/>
  <c r="AR619" i="3"/>
  <c r="AS619" i="3"/>
  <c r="AT577" i="3"/>
  <c r="AS577" i="3"/>
  <c r="AS535" i="3"/>
  <c r="AR493" i="3"/>
  <c r="AS493" i="3"/>
  <c r="AS439" i="3"/>
  <c r="AT439" i="3"/>
  <c r="AR397" i="3"/>
  <c r="AS397" i="3"/>
  <c r="AT397" i="3"/>
  <c r="AS361" i="3"/>
  <c r="AR319" i="3"/>
  <c r="AS277" i="3"/>
  <c r="AT277" i="3"/>
  <c r="AR277" i="3"/>
  <c r="AR211" i="3"/>
  <c r="AS211" i="3"/>
  <c r="AT211" i="3"/>
  <c r="AR181" i="3"/>
  <c r="AS181" i="3"/>
  <c r="AR163" i="3"/>
  <c r="AS163" i="3"/>
  <c r="AR133" i="3"/>
  <c r="AT133" i="3"/>
  <c r="AR97" i="3"/>
  <c r="AS97" i="3"/>
  <c r="AT97" i="3"/>
  <c r="AS79" i="3"/>
  <c r="AR79" i="3"/>
  <c r="AS19" i="3"/>
  <c r="AT19" i="3"/>
  <c r="AR19" i="3"/>
  <c r="AT1007" i="3"/>
  <c r="AS1001" i="3"/>
  <c r="AT1001" i="3"/>
  <c r="AR995" i="3"/>
  <c r="AS995" i="3"/>
  <c r="AS989" i="3"/>
  <c r="AT989" i="3"/>
  <c r="AR989" i="3"/>
  <c r="AR983" i="3"/>
  <c r="AS977" i="3"/>
  <c r="AT977" i="3"/>
  <c r="AT965" i="3"/>
  <c r="AR959" i="3"/>
  <c r="AS959" i="3"/>
  <c r="AT959" i="3"/>
  <c r="AS953" i="3"/>
  <c r="AR947" i="3"/>
  <c r="AT947" i="3"/>
  <c r="AR941" i="3"/>
  <c r="AR935" i="3"/>
  <c r="AS935" i="3"/>
  <c r="AT935" i="3"/>
  <c r="AS929" i="3"/>
  <c r="AT929" i="3"/>
  <c r="AR929" i="3"/>
  <c r="AR923" i="3"/>
  <c r="AS923" i="3"/>
  <c r="AT923" i="3"/>
  <c r="AS917" i="3"/>
  <c r="AT917" i="3"/>
  <c r="AR917" i="3"/>
  <c r="AS911" i="3"/>
  <c r="AT911" i="3"/>
  <c r="AR899" i="3"/>
  <c r="AS899" i="3"/>
  <c r="AR893" i="3"/>
  <c r="AR887" i="3"/>
  <c r="AS887" i="3"/>
  <c r="AT887" i="3"/>
  <c r="AS881" i="3"/>
  <c r="AT881" i="3"/>
  <c r="AR881" i="3"/>
  <c r="AS869" i="3"/>
  <c r="AT869" i="3"/>
  <c r="AR869" i="3"/>
  <c r="AR863" i="3"/>
  <c r="AT863" i="3"/>
  <c r="AS857" i="3"/>
  <c r="AR857" i="3"/>
  <c r="AR851" i="3"/>
  <c r="AT851" i="3"/>
  <c r="AR839" i="3"/>
  <c r="AS839" i="3"/>
  <c r="AT839" i="3"/>
  <c r="AS833" i="3"/>
  <c r="AR827" i="3"/>
  <c r="AS827" i="3"/>
  <c r="AT827" i="3"/>
  <c r="AS821" i="3"/>
  <c r="AT821" i="3"/>
  <c r="AR821" i="3"/>
  <c r="AT815" i="3"/>
  <c r="AS809" i="3"/>
  <c r="AT809" i="3"/>
  <c r="AR809" i="3"/>
  <c r="AR803" i="3"/>
  <c r="AS803" i="3"/>
  <c r="AR797" i="3"/>
  <c r="AR791" i="3"/>
  <c r="AR785" i="3"/>
  <c r="AS785" i="3"/>
  <c r="AR773" i="3"/>
  <c r="AS773" i="3"/>
  <c r="AR767" i="3"/>
  <c r="AS767" i="3"/>
  <c r="AT767" i="3"/>
  <c r="AS761" i="3"/>
  <c r="AR761" i="3"/>
  <c r="AT761" i="3"/>
  <c r="AR755" i="3"/>
  <c r="AT755" i="3"/>
  <c r="AS749" i="3"/>
  <c r="AR749" i="3"/>
  <c r="AT743" i="3"/>
  <c r="AR743" i="3"/>
  <c r="AS743" i="3"/>
  <c r="AS737" i="3"/>
  <c r="AT737" i="3"/>
  <c r="AT731" i="3"/>
  <c r="AR731" i="3"/>
  <c r="AS731" i="3"/>
  <c r="AS725" i="3"/>
  <c r="AR725" i="3"/>
  <c r="AT719" i="3"/>
  <c r="AS719" i="3"/>
  <c r="AS713" i="3"/>
  <c r="AR713" i="3"/>
  <c r="AR707" i="3"/>
  <c r="AS707" i="3"/>
  <c r="AS701" i="3"/>
  <c r="AR701" i="3"/>
  <c r="AT701" i="3"/>
  <c r="AT695" i="3"/>
  <c r="AR695" i="3"/>
  <c r="AS695" i="3"/>
  <c r="AS689" i="3"/>
  <c r="AT689" i="3"/>
  <c r="AS677" i="3"/>
  <c r="AT671" i="3"/>
  <c r="AR671" i="3"/>
  <c r="AS665" i="3"/>
  <c r="AT665" i="3"/>
  <c r="AR665" i="3"/>
  <c r="AT659" i="3"/>
  <c r="AS659" i="3"/>
  <c r="AS653" i="3"/>
  <c r="AT653" i="3"/>
  <c r="AR653" i="3"/>
  <c r="AT647" i="3"/>
  <c r="AR647" i="3"/>
  <c r="AT641" i="3"/>
  <c r="AR641" i="3"/>
  <c r="AT635" i="3"/>
  <c r="AR635" i="3"/>
  <c r="AS635" i="3"/>
  <c r="AS629" i="3"/>
  <c r="AT629" i="3"/>
  <c r="AR629" i="3"/>
  <c r="AT623" i="3"/>
  <c r="AR623" i="3"/>
  <c r="AS617" i="3"/>
  <c r="AR605" i="3"/>
  <c r="AS605" i="3"/>
  <c r="AT605" i="3"/>
  <c r="AS599" i="3"/>
  <c r="AT599" i="3"/>
  <c r="AR599" i="3"/>
  <c r="AT593" i="3"/>
  <c r="AR593" i="3"/>
  <c r="AS587" i="3"/>
  <c r="AR587" i="3"/>
  <c r="AT587" i="3"/>
  <c r="AT581" i="3"/>
  <c r="AS581" i="3"/>
  <c r="AT575" i="3"/>
  <c r="AR575" i="3"/>
  <c r="AT569" i="3"/>
  <c r="AS569" i="3"/>
  <c r="AS563" i="3"/>
  <c r="AR563" i="3"/>
  <c r="AT563" i="3"/>
  <c r="AR557" i="3"/>
  <c r="AS557" i="3"/>
  <c r="AS551" i="3"/>
  <c r="AR551" i="3"/>
  <c r="AT551" i="3"/>
  <c r="AT545" i="3"/>
  <c r="AR545" i="3"/>
  <c r="AS545" i="3"/>
  <c r="AS539" i="3"/>
  <c r="AT533" i="3"/>
  <c r="AS533" i="3"/>
  <c r="AR533" i="3"/>
  <c r="AS527" i="3"/>
  <c r="AR527" i="3"/>
  <c r="AT527" i="3"/>
  <c r="AS521" i="3"/>
  <c r="AS515" i="3"/>
  <c r="AR515" i="3"/>
  <c r="AT515" i="3"/>
  <c r="AT509" i="3"/>
  <c r="AR509" i="3"/>
  <c r="AS503" i="3"/>
  <c r="AR503" i="3"/>
  <c r="AS497" i="3"/>
  <c r="AS491" i="3"/>
  <c r="AR491" i="3"/>
  <c r="AT485" i="3"/>
  <c r="AS485" i="3"/>
  <c r="AR485" i="3"/>
  <c r="AT479" i="3"/>
  <c r="AS473" i="3"/>
  <c r="AR467" i="3"/>
  <c r="AS461" i="3"/>
  <c r="AR461" i="3"/>
  <c r="AS455" i="3"/>
  <c r="AR455" i="3"/>
  <c r="AT455" i="3"/>
  <c r="AT449" i="3"/>
  <c r="AR449" i="3"/>
  <c r="AS449" i="3"/>
  <c r="AS443" i="3"/>
  <c r="AR443" i="3"/>
  <c r="AT437" i="3"/>
  <c r="AS437" i="3"/>
  <c r="AR437" i="3"/>
  <c r="AS431" i="3"/>
  <c r="AR431" i="3"/>
  <c r="AT431" i="3"/>
  <c r="AT425" i="3"/>
  <c r="AR425" i="3"/>
  <c r="AS425" i="3"/>
  <c r="AS419" i="3"/>
  <c r="AR419" i="3"/>
  <c r="AT419" i="3"/>
  <c r="AR413" i="3"/>
  <c r="AS413" i="3"/>
  <c r="AR407" i="3"/>
  <c r="AT407" i="3"/>
  <c r="AS407" i="3"/>
  <c r="AS401" i="3"/>
  <c r="AT401" i="3"/>
  <c r="AT395" i="3"/>
  <c r="AR389" i="3"/>
  <c r="AR383" i="3"/>
  <c r="AS383" i="3"/>
  <c r="AS377" i="3"/>
  <c r="AT377" i="3"/>
  <c r="AR377" i="3"/>
  <c r="AR371" i="3"/>
  <c r="AT371" i="3"/>
  <c r="AS365" i="3"/>
  <c r="AR359" i="3"/>
  <c r="AS359" i="3"/>
  <c r="AT359" i="3"/>
  <c r="AR353" i="3"/>
  <c r="AR347" i="3"/>
  <c r="AT347" i="3"/>
  <c r="AT341" i="3"/>
  <c r="AR341" i="3"/>
  <c r="AS341" i="3"/>
  <c r="AS329" i="3"/>
  <c r="AS323" i="3"/>
  <c r="AT323" i="3"/>
  <c r="AR323" i="3"/>
  <c r="AS317" i="3"/>
  <c r="AT317" i="3"/>
  <c r="AS311" i="3"/>
  <c r="AR311" i="3"/>
  <c r="AS305" i="3"/>
  <c r="AR305" i="3"/>
  <c r="AS299" i="3"/>
  <c r="AR299" i="3"/>
  <c r="AS293" i="3"/>
  <c r="AT293" i="3"/>
  <c r="AR293" i="3"/>
  <c r="AS287" i="3"/>
  <c r="AR287" i="3"/>
  <c r="AS281" i="3"/>
  <c r="AS275" i="3"/>
  <c r="AS269" i="3"/>
  <c r="AT269" i="3"/>
  <c r="AR269" i="3"/>
  <c r="AR263" i="3"/>
  <c r="AT257" i="3"/>
  <c r="AS251" i="3"/>
  <c r="AT251" i="3"/>
  <c r="AR251" i="3"/>
  <c r="AT245" i="3"/>
  <c r="AS239" i="3"/>
  <c r="AT239" i="3"/>
  <c r="AR239" i="3"/>
  <c r="AS233" i="3"/>
  <c r="AT233" i="3"/>
  <c r="AT227" i="3"/>
  <c r="AR227" i="3"/>
  <c r="AS221" i="3"/>
  <c r="AR215" i="3"/>
  <c r="AT215" i="3"/>
  <c r="AS215" i="3"/>
  <c r="AR209" i="3"/>
  <c r="AT209" i="3"/>
  <c r="AS209" i="3"/>
  <c r="AR203" i="3"/>
  <c r="AS203" i="3"/>
  <c r="AT203" i="3"/>
  <c r="AR197" i="3"/>
  <c r="AR191" i="3"/>
  <c r="AT191" i="3"/>
  <c r="AS191" i="3"/>
  <c r="AR185" i="3"/>
  <c r="AT185" i="3"/>
  <c r="AR179" i="3"/>
  <c r="AR173" i="3"/>
  <c r="AT173" i="3"/>
  <c r="AS167" i="3"/>
  <c r="AR161" i="3"/>
  <c r="AT161" i="3"/>
  <c r="AR155" i="3"/>
  <c r="AS155" i="3"/>
  <c r="AR149" i="3"/>
  <c r="AS149" i="3"/>
  <c r="AS143" i="3"/>
  <c r="AT143" i="3"/>
  <c r="AR143" i="3"/>
  <c r="AR137" i="3"/>
  <c r="AS137" i="3"/>
  <c r="AT137" i="3"/>
  <c r="AR131" i="3"/>
  <c r="AT131" i="3"/>
  <c r="AS131" i="3"/>
  <c r="AS125" i="3"/>
  <c r="AT125" i="3"/>
  <c r="AR119" i="3"/>
  <c r="AS119" i="3"/>
  <c r="AS113" i="3"/>
  <c r="AT113" i="3"/>
  <c r="AS107" i="3"/>
  <c r="AR107" i="3"/>
  <c r="AR101" i="3"/>
  <c r="AS101" i="3"/>
  <c r="AT101" i="3"/>
  <c r="AS95" i="3"/>
  <c r="AT95" i="3"/>
  <c r="AR95" i="3"/>
  <c r="AS89" i="3"/>
  <c r="AT89" i="3"/>
  <c r="AS83" i="3"/>
  <c r="AT83" i="3"/>
  <c r="AR83" i="3"/>
  <c r="AS77" i="3"/>
  <c r="AT71" i="3"/>
  <c r="AR65" i="3"/>
  <c r="AS65" i="3"/>
  <c r="AT65" i="3"/>
  <c r="AS59" i="3"/>
  <c r="AT59" i="3"/>
  <c r="AR59" i="3"/>
  <c r="AR53" i="3"/>
  <c r="AS47" i="3"/>
  <c r="AT47" i="3"/>
  <c r="AR41" i="3"/>
  <c r="AS41" i="3"/>
  <c r="AT41" i="3"/>
  <c r="AT35" i="3"/>
  <c r="AS29" i="3"/>
  <c r="AR17" i="3"/>
  <c r="AT17" i="3"/>
  <c r="AR991" i="3"/>
  <c r="AT991" i="3"/>
  <c r="AS949" i="3"/>
  <c r="AT949" i="3"/>
  <c r="AR847" i="3"/>
  <c r="AS847" i="3"/>
  <c r="AT847" i="3"/>
  <c r="AS805" i="3"/>
  <c r="AT805" i="3"/>
  <c r="AT769" i="3"/>
  <c r="AR769" i="3"/>
  <c r="AS769" i="3"/>
  <c r="AS721" i="3"/>
  <c r="AR721" i="3"/>
  <c r="AT721" i="3"/>
  <c r="AT679" i="3"/>
  <c r="AR679" i="3"/>
  <c r="AS679" i="3"/>
  <c r="AR637" i="3"/>
  <c r="AS595" i="3"/>
  <c r="AR595" i="3"/>
  <c r="AT553" i="3"/>
  <c r="AR553" i="3"/>
  <c r="AS553" i="3"/>
  <c r="AT511" i="3"/>
  <c r="AT469" i="3"/>
  <c r="AS469" i="3"/>
  <c r="AT427" i="3"/>
  <c r="AR385" i="3"/>
  <c r="AT385" i="3"/>
  <c r="AR343" i="3"/>
  <c r="AS343" i="3"/>
  <c r="AT343" i="3"/>
  <c r="AR313" i="3"/>
  <c r="AS283" i="3"/>
  <c r="AT283" i="3"/>
  <c r="AS247" i="3"/>
  <c r="AR217" i="3"/>
  <c r="AT217" i="3"/>
  <c r="AR187" i="3"/>
  <c r="AS187" i="3"/>
  <c r="AR169" i="3"/>
  <c r="AT169" i="3"/>
  <c r="AR139" i="3"/>
  <c r="AT139" i="3"/>
  <c r="AR121" i="3"/>
  <c r="AS121" i="3"/>
  <c r="AT67" i="3"/>
  <c r="AR25" i="3"/>
  <c r="AS25" i="3"/>
  <c r="AT25" i="3"/>
  <c r="AR979" i="3"/>
  <c r="AT937" i="3"/>
  <c r="AS895" i="3"/>
  <c r="AT895" i="3"/>
  <c r="AR823" i="3"/>
  <c r="AS823" i="3"/>
  <c r="AT823" i="3"/>
  <c r="AR781" i="3"/>
  <c r="AT781" i="3"/>
  <c r="AT739" i="3"/>
  <c r="AS697" i="3"/>
  <c r="AR697" i="3"/>
  <c r="AT697" i="3"/>
  <c r="AT655" i="3"/>
  <c r="AR655" i="3"/>
  <c r="AS655" i="3"/>
  <c r="AS613" i="3"/>
  <c r="AR613" i="3"/>
  <c r="AS571" i="3"/>
  <c r="AR571" i="3"/>
  <c r="AT529" i="3"/>
  <c r="AS529" i="3"/>
  <c r="AT487" i="3"/>
  <c r="AT451" i="3"/>
  <c r="AS415" i="3"/>
  <c r="AT415" i="3"/>
  <c r="AR373" i="3"/>
  <c r="AS373" i="3"/>
  <c r="AT373" i="3"/>
  <c r="AR331" i="3"/>
  <c r="AS331" i="3"/>
  <c r="AT331" i="3"/>
  <c r="AS301" i="3"/>
  <c r="AT301" i="3"/>
  <c r="AR301" i="3"/>
  <c r="AS259" i="3"/>
  <c r="AT259" i="3"/>
  <c r="AR259" i="3"/>
  <c r="AS229" i="3"/>
  <c r="AR229" i="3"/>
  <c r="AR199" i="3"/>
  <c r="AS151" i="3"/>
  <c r="AT151" i="3"/>
  <c r="AR151" i="3"/>
  <c r="AR1006" i="3"/>
  <c r="AS1006" i="3"/>
  <c r="AT1006" i="3"/>
  <c r="AR1000" i="3"/>
  <c r="AT1000" i="3"/>
  <c r="AS1000" i="3"/>
  <c r="AS994" i="3"/>
  <c r="AT994" i="3"/>
  <c r="AT988" i="3"/>
  <c r="AS988" i="3"/>
  <c r="AR976" i="3"/>
  <c r="AT976" i="3"/>
  <c r="AS976" i="3"/>
  <c r="AR970" i="3"/>
  <c r="AS970" i="3"/>
  <c r="AT970" i="3"/>
  <c r="AR964" i="3"/>
  <c r="AT964" i="3"/>
  <c r="AS964" i="3"/>
  <c r="AS958" i="3"/>
  <c r="AT958" i="3"/>
  <c r="AR952" i="3"/>
  <c r="AT952" i="3"/>
  <c r="AS952" i="3"/>
  <c r="AS946" i="3"/>
  <c r="AT940" i="3"/>
  <c r="AR934" i="3"/>
  <c r="AS934" i="3"/>
  <c r="AR928" i="3"/>
  <c r="AT928" i="3"/>
  <c r="AS928" i="3"/>
  <c r="AR922" i="3"/>
  <c r="AS922" i="3"/>
  <c r="AT922" i="3"/>
  <c r="AR916" i="3"/>
  <c r="AT916" i="3"/>
  <c r="AS916" i="3"/>
  <c r="AS910" i="3"/>
  <c r="AR904" i="3"/>
  <c r="AT904" i="3"/>
  <c r="AR892" i="3"/>
  <c r="AT892" i="3"/>
  <c r="AR886" i="3"/>
  <c r="AS886" i="3"/>
  <c r="AT886" i="3"/>
  <c r="AR874" i="3"/>
  <c r="AT874" i="3"/>
  <c r="AR868" i="3"/>
  <c r="AT868" i="3"/>
  <c r="AR856" i="3"/>
  <c r="AT856" i="3"/>
  <c r="AS856" i="3"/>
  <c r="AS850" i="3"/>
  <c r="AT850" i="3"/>
  <c r="AR844" i="3"/>
  <c r="AS844" i="3"/>
  <c r="AR838" i="3"/>
  <c r="AS838" i="3"/>
  <c r="AT838" i="3"/>
  <c r="AR832" i="3"/>
  <c r="AR826" i="3"/>
  <c r="AT826" i="3"/>
  <c r="AR814" i="3"/>
  <c r="AR808" i="3"/>
  <c r="AT808" i="3"/>
  <c r="AS808" i="3"/>
  <c r="AR802" i="3"/>
  <c r="AS802" i="3"/>
  <c r="AT802" i="3"/>
  <c r="AR796" i="3"/>
  <c r="AR790" i="3"/>
  <c r="AT790" i="3"/>
  <c r="AR784" i="3"/>
  <c r="AT784" i="3"/>
  <c r="AR772" i="3"/>
  <c r="AT772" i="3"/>
  <c r="AR766" i="3"/>
  <c r="AS766" i="3"/>
  <c r="AT766" i="3"/>
  <c r="AT760" i="3"/>
  <c r="AR754" i="3"/>
  <c r="AS754" i="3"/>
  <c r="AR748" i="3"/>
  <c r="AS748" i="3"/>
  <c r="AT742" i="3"/>
  <c r="AR736" i="3"/>
  <c r="AT736" i="3"/>
  <c r="AS736" i="3"/>
  <c r="AT730" i="3"/>
  <c r="AR724" i="3"/>
  <c r="AT724" i="3"/>
  <c r="AS724" i="3"/>
  <c r="AS718" i="3"/>
  <c r="AR718" i="3"/>
  <c r="AT718" i="3"/>
  <c r="AR712" i="3"/>
  <c r="AT712" i="3"/>
  <c r="AS712" i="3"/>
  <c r="AR706" i="3"/>
  <c r="AT706" i="3"/>
  <c r="AR700" i="3"/>
  <c r="AT700" i="3"/>
  <c r="AS700" i="3"/>
  <c r="AT688" i="3"/>
  <c r="AR682" i="3"/>
  <c r="AS682" i="3"/>
  <c r="AT682" i="3"/>
  <c r="AR676" i="3"/>
  <c r="AT676" i="3"/>
  <c r="AS676" i="3"/>
  <c r="AR670" i="3"/>
  <c r="AT670" i="3"/>
  <c r="AR664" i="3"/>
  <c r="AT664" i="3"/>
  <c r="AR658" i="3"/>
  <c r="AS652" i="3"/>
  <c r="AR646" i="3"/>
  <c r="AS646" i="3"/>
  <c r="AR634" i="3"/>
  <c r="AS634" i="3"/>
  <c r="AT634" i="3"/>
  <c r="AR622" i="3"/>
  <c r="AR616" i="3"/>
  <c r="AT616" i="3"/>
  <c r="AS616" i="3"/>
  <c r="AR604" i="3"/>
  <c r="AT604" i="3"/>
  <c r="AR598" i="3"/>
  <c r="AT598" i="3"/>
  <c r="AS598" i="3"/>
  <c r="AR592" i="3"/>
  <c r="AS586" i="3"/>
  <c r="AT586" i="3"/>
  <c r="AR568" i="3"/>
  <c r="AS568" i="3"/>
  <c r="AR562" i="3"/>
  <c r="AS562" i="3"/>
  <c r="AR556" i="3"/>
  <c r="AS556" i="3"/>
  <c r="AT556" i="3"/>
  <c r="AS550" i="3"/>
  <c r="AT550" i="3"/>
  <c r="AR550" i="3"/>
  <c r="AR544" i="3"/>
  <c r="AT544" i="3"/>
  <c r="AS538" i="3"/>
  <c r="AT538" i="3"/>
  <c r="AR532" i="3"/>
  <c r="AS532" i="3"/>
  <c r="AT532" i="3"/>
  <c r="AS520" i="3"/>
  <c r="AT520" i="3"/>
  <c r="AR514" i="3"/>
  <c r="AT514" i="3"/>
  <c r="AR508" i="3"/>
  <c r="AS508" i="3"/>
  <c r="AR502" i="3"/>
  <c r="AS502" i="3"/>
  <c r="AT502" i="3"/>
  <c r="AR496" i="3"/>
  <c r="AT496" i="3"/>
  <c r="AS490" i="3"/>
  <c r="AT490" i="3"/>
  <c r="AR484" i="3"/>
  <c r="AR472" i="3"/>
  <c r="AS472" i="3"/>
  <c r="AT472" i="3"/>
  <c r="AR466" i="3"/>
  <c r="AT466" i="3"/>
  <c r="AT460" i="3"/>
  <c r="AR454" i="3"/>
  <c r="AS454" i="3"/>
  <c r="AT454" i="3"/>
  <c r="AR448" i="3"/>
  <c r="AS448" i="3"/>
  <c r="AS442" i="3"/>
  <c r="AT442" i="3"/>
  <c r="AR436" i="3"/>
  <c r="AT436" i="3"/>
  <c r="AS436" i="3"/>
  <c r="AS430" i="3"/>
  <c r="AR424" i="3"/>
  <c r="AS424" i="3"/>
  <c r="AT424" i="3"/>
  <c r="AR418" i="3"/>
  <c r="AT418" i="3"/>
  <c r="AT412" i="3"/>
  <c r="AR406" i="3"/>
  <c r="AS406" i="3"/>
  <c r="AT406" i="3"/>
  <c r="AR400" i="3"/>
  <c r="AT400" i="3"/>
  <c r="AS400" i="3"/>
  <c r="AS394" i="3"/>
  <c r="AT394" i="3"/>
  <c r="AS388" i="3"/>
  <c r="AT376" i="3"/>
  <c r="AS376" i="3"/>
  <c r="AS370" i="3"/>
  <c r="AT370" i="3"/>
  <c r="AR364" i="3"/>
  <c r="AT364" i="3"/>
  <c r="AR358" i="3"/>
  <c r="AS358" i="3"/>
  <c r="AT358" i="3"/>
  <c r="AR352" i="3"/>
  <c r="AS352" i="3"/>
  <c r="AT352" i="3"/>
  <c r="AR346" i="3"/>
  <c r="AS346" i="3"/>
  <c r="AT346" i="3"/>
  <c r="AT340" i="3"/>
  <c r="AT328" i="3"/>
  <c r="AR328" i="3"/>
  <c r="AS328" i="3"/>
  <c r="AR322" i="3"/>
  <c r="AS322" i="3"/>
  <c r="AR316" i="3"/>
  <c r="AS316" i="3"/>
  <c r="AR310" i="3"/>
  <c r="AS310" i="3"/>
  <c r="AT310" i="3"/>
  <c r="AS304" i="3"/>
  <c r="AT304" i="3"/>
  <c r="AR298" i="3"/>
  <c r="AT298" i="3"/>
  <c r="AR292" i="3"/>
  <c r="AR274" i="3"/>
  <c r="AT274" i="3"/>
  <c r="AS268" i="3"/>
  <c r="AT268" i="3"/>
  <c r="AR268" i="3"/>
  <c r="AR262" i="3"/>
  <c r="AS262" i="3"/>
  <c r="AT262" i="3"/>
  <c r="AS256" i="3"/>
  <c r="AT256" i="3"/>
  <c r="AR256" i="3"/>
  <c r="AS250" i="3"/>
  <c r="AT250" i="3"/>
  <c r="AS244" i="3"/>
  <c r="AT244" i="3"/>
  <c r="AT232" i="3"/>
  <c r="AR226" i="3"/>
  <c r="AT226" i="3"/>
  <c r="AT214" i="3"/>
  <c r="AS214" i="3"/>
  <c r="AR214" i="3"/>
  <c r="AR208" i="3"/>
  <c r="AS208" i="3"/>
  <c r="AT208" i="3"/>
  <c r="AT202" i="3"/>
  <c r="AS202" i="3"/>
  <c r="AS196" i="3"/>
  <c r="AR196" i="3"/>
  <c r="AS184" i="3"/>
  <c r="AT184" i="3"/>
  <c r="AT178" i="3"/>
  <c r="AR178" i="3"/>
  <c r="AT172" i="3"/>
  <c r="AR172" i="3"/>
  <c r="AT166" i="3"/>
  <c r="AS166" i="3"/>
  <c r="AR166" i="3"/>
  <c r="AR160" i="3"/>
  <c r="AT160" i="3"/>
  <c r="AT154" i="3"/>
  <c r="AS154" i="3"/>
  <c r="AS148" i="3"/>
  <c r="AR148" i="3"/>
  <c r="AR136" i="3"/>
  <c r="AT130" i="3"/>
  <c r="AR130" i="3"/>
  <c r="AR124" i="3"/>
  <c r="AT124" i="3"/>
  <c r="AS124" i="3"/>
  <c r="AR118" i="3"/>
  <c r="AT118" i="3"/>
  <c r="AS118" i="3"/>
  <c r="AR112" i="3"/>
  <c r="AS112" i="3"/>
  <c r="AT112" i="3"/>
  <c r="AT106" i="3"/>
  <c r="AS106" i="3"/>
  <c r="AR100" i="3"/>
  <c r="AT100" i="3"/>
  <c r="AS100" i="3"/>
  <c r="AS88" i="3"/>
  <c r="AR82" i="3"/>
  <c r="AT82" i="3"/>
  <c r="AT76" i="3"/>
  <c r="AR70" i="3"/>
  <c r="AT70" i="3"/>
  <c r="AS70" i="3"/>
  <c r="AR64" i="3"/>
  <c r="AS64" i="3"/>
  <c r="AT64" i="3"/>
  <c r="AT58" i="3"/>
  <c r="AS58" i="3"/>
  <c r="AR52" i="3"/>
  <c r="AS52" i="3"/>
  <c r="AR40" i="3"/>
  <c r="AT40" i="3"/>
  <c r="AR34" i="3"/>
  <c r="AT34" i="3"/>
  <c r="AR16" i="3"/>
  <c r="AS16" i="3"/>
  <c r="AT16" i="3"/>
  <c r="AS985" i="3"/>
  <c r="AT985" i="3"/>
  <c r="AS943" i="3"/>
  <c r="AT943" i="3"/>
  <c r="AS901" i="3"/>
  <c r="AT901" i="3"/>
  <c r="AR901" i="3"/>
  <c r="AT841" i="3"/>
  <c r="AR841" i="3"/>
  <c r="AR799" i="3"/>
  <c r="AS799" i="3"/>
  <c r="AT799" i="3"/>
  <c r="AT727" i="3"/>
  <c r="AR727" i="3"/>
  <c r="AS727" i="3"/>
  <c r="AR685" i="3"/>
  <c r="AT685" i="3"/>
  <c r="AT643" i="3"/>
  <c r="AT601" i="3"/>
  <c r="AR601" i="3"/>
  <c r="AS601" i="3"/>
  <c r="AT559" i="3"/>
  <c r="AT517" i="3"/>
  <c r="AS517" i="3"/>
  <c r="AR475" i="3"/>
  <c r="AT475" i="3"/>
  <c r="AS391" i="3"/>
  <c r="AR391" i="3"/>
  <c r="AT391" i="3"/>
  <c r="AR355" i="3"/>
  <c r="AT355" i="3"/>
  <c r="AS325" i="3"/>
  <c r="AT325" i="3"/>
  <c r="AR325" i="3"/>
  <c r="AS253" i="3"/>
  <c r="AR253" i="3"/>
  <c r="AS223" i="3"/>
  <c r="AT223" i="3"/>
  <c r="AS193" i="3"/>
  <c r="AT193" i="3"/>
  <c r="AR175" i="3"/>
  <c r="AR145" i="3"/>
  <c r="AT145" i="3"/>
  <c r="AS145" i="3"/>
  <c r="AS127" i="3"/>
  <c r="AT127" i="3"/>
  <c r="AS103" i="3"/>
  <c r="AT103" i="3"/>
  <c r="AR103" i="3"/>
  <c r="AR73" i="3"/>
  <c r="AS73" i="3"/>
  <c r="AT73" i="3"/>
  <c r="AR37" i="3"/>
  <c r="AT37" i="3"/>
  <c r="AT973" i="3"/>
  <c r="AS889" i="3"/>
  <c r="AS853" i="3"/>
  <c r="AT853" i="3"/>
  <c r="AR853" i="3"/>
  <c r="AT817" i="3"/>
  <c r="AR775" i="3"/>
  <c r="AS775" i="3"/>
  <c r="AT775" i="3"/>
  <c r="AR733" i="3"/>
  <c r="AT733" i="3"/>
  <c r="AT691" i="3"/>
  <c r="AS649" i="3"/>
  <c r="AT649" i="3"/>
  <c r="AR649" i="3"/>
  <c r="AR607" i="3"/>
  <c r="AT565" i="3"/>
  <c r="AR565" i="3"/>
  <c r="AT523" i="3"/>
  <c r="AR523" i="3"/>
  <c r="AT481" i="3"/>
  <c r="AS481" i="3"/>
  <c r="AT445" i="3"/>
  <c r="AS445" i="3"/>
  <c r="AR445" i="3"/>
  <c r="AR409" i="3"/>
  <c r="AT409" i="3"/>
  <c r="AR379" i="3"/>
  <c r="AT379" i="3"/>
  <c r="AR307" i="3"/>
  <c r="AT307" i="3"/>
  <c r="AR271" i="3"/>
  <c r="AS235" i="3"/>
  <c r="AT235" i="3"/>
  <c r="AR235" i="3"/>
  <c r="AR205" i="3"/>
  <c r="AS205" i="3"/>
  <c r="AR157" i="3"/>
  <c r="AR49" i="3"/>
  <c r="AT49" i="3"/>
  <c r="AR1011" i="3"/>
  <c r="AS1011" i="3"/>
  <c r="AT1011" i="3"/>
  <c r="AS1005" i="3"/>
  <c r="AT1005" i="3"/>
  <c r="AR1005" i="3"/>
  <c r="AT999" i="3"/>
  <c r="AR987" i="3"/>
  <c r="AS987" i="3"/>
  <c r="AT987" i="3"/>
  <c r="AS981" i="3"/>
  <c r="AT981" i="3"/>
  <c r="AR981" i="3"/>
  <c r="AT975" i="3"/>
  <c r="AT969" i="3"/>
  <c r="AR963" i="3"/>
  <c r="AS963" i="3"/>
  <c r="AT963" i="3"/>
  <c r="AS957" i="3"/>
  <c r="AR957" i="3"/>
  <c r="AS951" i="3"/>
  <c r="AR945" i="3"/>
  <c r="AR939" i="3"/>
  <c r="AS939" i="3"/>
  <c r="AT939" i="3"/>
  <c r="AT933" i="3"/>
  <c r="AR933" i="3"/>
  <c r="AS927" i="3"/>
  <c r="AR915" i="3"/>
  <c r="AS915" i="3"/>
  <c r="AT915" i="3"/>
  <c r="AS909" i="3"/>
  <c r="AT909" i="3"/>
  <c r="AR909" i="3"/>
  <c r="AS903" i="3"/>
  <c r="AS897" i="3"/>
  <c r="AR891" i="3"/>
  <c r="AS891" i="3"/>
  <c r="AT891" i="3"/>
  <c r="AS885" i="3"/>
  <c r="AT885" i="3"/>
  <c r="AR885" i="3"/>
  <c r="AS879" i="3"/>
  <c r="AR873" i="3"/>
  <c r="AR867" i="3"/>
  <c r="AS867" i="3"/>
  <c r="AT867" i="3"/>
  <c r="AS861" i="3"/>
  <c r="AR861" i="3"/>
  <c r="AT855" i="3"/>
  <c r="AT849" i="3"/>
  <c r="AR843" i="3"/>
  <c r="AS843" i="3"/>
  <c r="AT843" i="3"/>
  <c r="AS837" i="3"/>
  <c r="AT837" i="3"/>
  <c r="AR837" i="3"/>
  <c r="AS825" i="3"/>
  <c r="AR819" i="3"/>
  <c r="AS819" i="3"/>
  <c r="AT819" i="3"/>
  <c r="AS813" i="3"/>
  <c r="AR813" i="3"/>
  <c r="AT807" i="3"/>
  <c r="AR795" i="3"/>
  <c r="AS795" i="3"/>
  <c r="AT795" i="3"/>
  <c r="AR789" i="3"/>
  <c r="AS789" i="3"/>
  <c r="AS783" i="3"/>
  <c r="AT777" i="3"/>
  <c r="AR771" i="3"/>
  <c r="AS771" i="3"/>
  <c r="AT771" i="3"/>
  <c r="AS765" i="3"/>
  <c r="AR765" i="3"/>
  <c r="AT765" i="3"/>
  <c r="AT759" i="3"/>
  <c r="AT753" i="3"/>
  <c r="AT747" i="3"/>
  <c r="AR747" i="3"/>
  <c r="AS747" i="3"/>
  <c r="AS741" i="3"/>
  <c r="AR741" i="3"/>
  <c r="AT741" i="3"/>
  <c r="AS735" i="3"/>
  <c r="AT723" i="3"/>
  <c r="AR723" i="3"/>
  <c r="AS723" i="3"/>
  <c r="AS717" i="3"/>
  <c r="AR717" i="3"/>
  <c r="AT717" i="3"/>
  <c r="AT705" i="3"/>
  <c r="AT699" i="3"/>
  <c r="AR699" i="3"/>
  <c r="AS699" i="3"/>
  <c r="AS693" i="3"/>
  <c r="AR693" i="3"/>
  <c r="AT687" i="3"/>
  <c r="AT675" i="3"/>
  <c r="AR675" i="3"/>
  <c r="AS675" i="3"/>
  <c r="AS669" i="3"/>
  <c r="AT669" i="3"/>
  <c r="AR669" i="3"/>
  <c r="AS657" i="3"/>
  <c r="AT657" i="3"/>
  <c r="AT651" i="3"/>
  <c r="AR651" i="3"/>
  <c r="AS651" i="3"/>
  <c r="AS645" i="3"/>
  <c r="AT639" i="3"/>
  <c r="AS633" i="3"/>
  <c r="AR633" i="3"/>
  <c r="AT627" i="3"/>
  <c r="AR627" i="3"/>
  <c r="AS627" i="3"/>
  <c r="AS621" i="3"/>
  <c r="AT621" i="3"/>
  <c r="AS615" i="3"/>
  <c r="AT609" i="3"/>
  <c r="AT603" i="3"/>
  <c r="AR603" i="3"/>
  <c r="AS603" i="3"/>
  <c r="AT597" i="3"/>
  <c r="AR597" i="3"/>
  <c r="AS597" i="3"/>
  <c r="AS591" i="3"/>
  <c r="AT585" i="3"/>
  <c r="AS579" i="3"/>
  <c r="AT579" i="3"/>
  <c r="AR579" i="3"/>
  <c r="AS573" i="3"/>
  <c r="AS567" i="3"/>
  <c r="AS561" i="3"/>
  <c r="AS555" i="3"/>
  <c r="AR555" i="3"/>
  <c r="AT555" i="3"/>
  <c r="AS549" i="3"/>
  <c r="AT543" i="3"/>
  <c r="AT537" i="3"/>
  <c r="AR537" i="3"/>
  <c r="AS531" i="3"/>
  <c r="AR531" i="3"/>
  <c r="AT531" i="3"/>
  <c r="AS525" i="3"/>
  <c r="AT519" i="3"/>
  <c r="AT513" i="3"/>
  <c r="AR513" i="3"/>
  <c r="AS513" i="3"/>
  <c r="AS507" i="3"/>
  <c r="AR507" i="3"/>
  <c r="AT507" i="3"/>
  <c r="AT495" i="3"/>
  <c r="AT489" i="3"/>
  <c r="AR489" i="3"/>
  <c r="AS483" i="3"/>
  <c r="AR483" i="3"/>
  <c r="AT483" i="3"/>
  <c r="AS477" i="3"/>
  <c r="AT471" i="3"/>
  <c r="AT465" i="3"/>
  <c r="AR465" i="3"/>
  <c r="AS459" i="3"/>
  <c r="AR459" i="3"/>
  <c r="AT459" i="3"/>
  <c r="AS453" i="3"/>
  <c r="AT447" i="3"/>
  <c r="AT441" i="3"/>
  <c r="AS441" i="3"/>
  <c r="AS435" i="3"/>
  <c r="AR435" i="3"/>
  <c r="AT435" i="3"/>
  <c r="AT429" i="3"/>
  <c r="AT423" i="3"/>
  <c r="AT417" i="3"/>
  <c r="AS417" i="3"/>
  <c r="AS411" i="3"/>
  <c r="AT411" i="3"/>
  <c r="AR411" i="3"/>
  <c r="AS405" i="3"/>
  <c r="AT405" i="3"/>
  <c r="AT399" i="3"/>
  <c r="AR393" i="3"/>
  <c r="AS393" i="3"/>
  <c r="AT393" i="3"/>
  <c r="AS387" i="3"/>
  <c r="AT387" i="3"/>
  <c r="AR387" i="3"/>
  <c r="AR381" i="3"/>
  <c r="AT375" i="3"/>
  <c r="AT369" i="3"/>
  <c r="AR369" i="3"/>
  <c r="AS369" i="3"/>
  <c r="AR363" i="3"/>
  <c r="AS363" i="3"/>
  <c r="AT363" i="3"/>
  <c r="AR357" i="3"/>
  <c r="AT351" i="3"/>
  <c r="AT345" i="3"/>
  <c r="AR345" i="3"/>
  <c r="AS345" i="3"/>
  <c r="AR339" i="3"/>
  <c r="AS339" i="3"/>
  <c r="AT339" i="3"/>
  <c r="AS321" i="3"/>
  <c r="AT321" i="3"/>
  <c r="AR321" i="3"/>
  <c r="AR315" i="3"/>
  <c r="AS315" i="3"/>
  <c r="AT315" i="3"/>
  <c r="AS309" i="3"/>
  <c r="AT303" i="3"/>
  <c r="AR303" i="3"/>
  <c r="AS297" i="3"/>
  <c r="AT297" i="3"/>
  <c r="AR297" i="3"/>
  <c r="AT291" i="3"/>
  <c r="AR291" i="3"/>
  <c r="AS285" i="3"/>
  <c r="AT285" i="3"/>
  <c r="AR285" i="3"/>
  <c r="AT279" i="3"/>
  <c r="AR279" i="3"/>
  <c r="AS273" i="3"/>
  <c r="AT273" i="3"/>
  <c r="AS267" i="3"/>
  <c r="AT267" i="3"/>
  <c r="AR267" i="3"/>
  <c r="AS261" i="3"/>
  <c r="AT261" i="3"/>
  <c r="AR261" i="3"/>
  <c r="AT255" i="3"/>
  <c r="AR255" i="3"/>
  <c r="AS243" i="3"/>
  <c r="AT243" i="3"/>
  <c r="AS237" i="3"/>
  <c r="AT237" i="3"/>
  <c r="AR237" i="3"/>
  <c r="AT231" i="3"/>
  <c r="AR231" i="3"/>
  <c r="AT225" i="3"/>
  <c r="AR225" i="3"/>
  <c r="AT219" i="3"/>
  <c r="AR219" i="3"/>
  <c r="AR213" i="3"/>
  <c r="AS213" i="3"/>
  <c r="AT213" i="3"/>
  <c r="AT207" i="3"/>
  <c r="AR207" i="3"/>
  <c r="AR201" i="3"/>
  <c r="AT201" i="3"/>
  <c r="AS195" i="3"/>
  <c r="AR195" i="3"/>
  <c r="AS189" i="3"/>
  <c r="AT189" i="3"/>
  <c r="AS183" i="3"/>
  <c r="AT183" i="3"/>
  <c r="AS171" i="3"/>
  <c r="AS165" i="3"/>
  <c r="AT165" i="3"/>
  <c r="AS159" i="3"/>
  <c r="AT159" i="3"/>
  <c r="AR159" i="3"/>
  <c r="AR153" i="3"/>
  <c r="AS147" i="3"/>
  <c r="AR141" i="3"/>
  <c r="AS141" i="3"/>
  <c r="AT135" i="3"/>
  <c r="AR129" i="3"/>
  <c r="AR123" i="3"/>
  <c r="AT123" i="3"/>
  <c r="AS123" i="3"/>
  <c r="AR117" i="3"/>
  <c r="AT117" i="3"/>
  <c r="AS111" i="3"/>
  <c r="AR111" i="3"/>
  <c r="AR105" i="3"/>
  <c r="AS105" i="3"/>
  <c r="AT99" i="3"/>
  <c r="AR99" i="3"/>
  <c r="AS93" i="3"/>
  <c r="AT87" i="3"/>
  <c r="AR81" i="3"/>
  <c r="AS81" i="3"/>
  <c r="AT81" i="3"/>
  <c r="AS75" i="3"/>
  <c r="AT75" i="3"/>
  <c r="AR75" i="3"/>
  <c r="AS63" i="3"/>
  <c r="AR63" i="3"/>
  <c r="AR57" i="3"/>
  <c r="AS57" i="3"/>
  <c r="AT57" i="3"/>
  <c r="AS51" i="3"/>
  <c r="AT51" i="3"/>
  <c r="AR51" i="3"/>
  <c r="AR45" i="3"/>
  <c r="AS45" i="3"/>
  <c r="AS39" i="3"/>
  <c r="AT39" i="3"/>
  <c r="AR33" i="3"/>
  <c r="AS33" i="3"/>
  <c r="AT33" i="3"/>
  <c r="AS15" i="3"/>
  <c r="AT15" i="3"/>
  <c r="AR15" i="3"/>
  <c r="AT1009" i="3"/>
  <c r="AR967" i="3"/>
  <c r="AT967" i="3"/>
  <c r="AS919" i="3"/>
  <c r="AT919" i="3"/>
  <c r="AS877" i="3"/>
  <c r="AT877" i="3"/>
  <c r="AR877" i="3"/>
  <c r="AS829" i="3"/>
  <c r="AT829" i="3"/>
  <c r="AR829" i="3"/>
  <c r="AS745" i="3"/>
  <c r="AR745" i="3"/>
  <c r="AT745" i="3"/>
  <c r="AT703" i="3"/>
  <c r="AR703" i="3"/>
  <c r="AS703" i="3"/>
  <c r="AT661" i="3"/>
  <c r="AS625" i="3"/>
  <c r="AT625" i="3"/>
  <c r="AR625" i="3"/>
  <c r="AR583" i="3"/>
  <c r="AT541" i="3"/>
  <c r="AS541" i="3"/>
  <c r="AS499" i="3"/>
  <c r="AT499" i="3"/>
  <c r="AR499" i="3"/>
  <c r="AS463" i="3"/>
  <c r="AT463" i="3"/>
  <c r="AT421" i="3"/>
  <c r="AS421" i="3"/>
  <c r="AR421" i="3"/>
  <c r="AR367" i="3"/>
  <c r="AS367" i="3"/>
  <c r="AR295" i="3"/>
  <c r="AS43" i="3"/>
  <c r="AT43" i="3"/>
  <c r="Q1012" i="3"/>
  <c r="Q1011" i="3"/>
  <c r="Q1010" i="3"/>
  <c r="Q1009" i="3"/>
  <c r="Q1008" i="3"/>
  <c r="Q1007" i="3"/>
  <c r="Q1006" i="3"/>
  <c r="Q1005" i="3"/>
  <c r="Q1004" i="3"/>
  <c r="Q1003" i="3"/>
  <c r="Q1002" i="3"/>
  <c r="Q1001" i="3"/>
  <c r="Q1000" i="3"/>
  <c r="Q999" i="3"/>
  <c r="Q998" i="3"/>
  <c r="Q997" i="3"/>
  <c r="Q996" i="3"/>
  <c r="Q995" i="3"/>
  <c r="Q994" i="3"/>
  <c r="Q993" i="3"/>
  <c r="Q992" i="3"/>
  <c r="Q991" i="3"/>
  <c r="Q990" i="3"/>
  <c r="Q989" i="3"/>
  <c r="Q988" i="3"/>
  <c r="Q987" i="3"/>
  <c r="Q986" i="3"/>
  <c r="Q985" i="3"/>
  <c r="Q984" i="3"/>
  <c r="Q983" i="3"/>
  <c r="Q982" i="3"/>
  <c r="Q981" i="3"/>
  <c r="Q980" i="3"/>
  <c r="Q979" i="3"/>
  <c r="Q978" i="3"/>
  <c r="Q977" i="3"/>
  <c r="Q976" i="3"/>
  <c r="Q975" i="3"/>
  <c r="Q974" i="3"/>
  <c r="Q973" i="3"/>
  <c r="Q972" i="3"/>
  <c r="Q971" i="3"/>
  <c r="Q970" i="3"/>
  <c r="Q969" i="3"/>
  <c r="Q968" i="3"/>
  <c r="Q967" i="3"/>
  <c r="Q966" i="3"/>
  <c r="Q965" i="3"/>
  <c r="Q964" i="3"/>
  <c r="Q963" i="3"/>
  <c r="Q962" i="3"/>
  <c r="Q961" i="3"/>
  <c r="Q960" i="3"/>
  <c r="Q959" i="3"/>
  <c r="Q958" i="3"/>
  <c r="Q957" i="3"/>
  <c r="Q956" i="3"/>
  <c r="Q955" i="3"/>
  <c r="Q954" i="3"/>
  <c r="Q953" i="3"/>
  <c r="Q952" i="3"/>
  <c r="Q951" i="3"/>
  <c r="Q950" i="3"/>
  <c r="Q949" i="3"/>
  <c r="Q948" i="3"/>
  <c r="Q947" i="3"/>
  <c r="Q946" i="3"/>
  <c r="Q945" i="3"/>
  <c r="Q944" i="3"/>
  <c r="Q943" i="3"/>
  <c r="Q942" i="3"/>
  <c r="Q941" i="3"/>
  <c r="Q940" i="3"/>
  <c r="Q939" i="3"/>
  <c r="Q938" i="3"/>
  <c r="Q937" i="3"/>
  <c r="Q936" i="3"/>
  <c r="Q935" i="3"/>
  <c r="Q934" i="3"/>
  <c r="Q933" i="3"/>
  <c r="Q932" i="3"/>
  <c r="Q931" i="3"/>
  <c r="Q930" i="3"/>
  <c r="Q929" i="3"/>
  <c r="Q928" i="3"/>
  <c r="Q927" i="3"/>
  <c r="Q926" i="3"/>
  <c r="Q925" i="3"/>
  <c r="Q924" i="3"/>
  <c r="Q923" i="3"/>
  <c r="Q922" i="3"/>
  <c r="Q921" i="3"/>
  <c r="Q920" i="3"/>
  <c r="Q919" i="3"/>
  <c r="Q918" i="3"/>
  <c r="Q917" i="3"/>
  <c r="Q916" i="3"/>
  <c r="Q915" i="3"/>
  <c r="Q914" i="3"/>
  <c r="Q913" i="3"/>
  <c r="Q912" i="3"/>
  <c r="Q911" i="3"/>
  <c r="Q910" i="3"/>
  <c r="Q909" i="3"/>
  <c r="Q908" i="3"/>
  <c r="Q907" i="3"/>
  <c r="Q906" i="3"/>
  <c r="Q905" i="3"/>
  <c r="Q904" i="3"/>
  <c r="Q903" i="3"/>
  <c r="Q902" i="3"/>
  <c r="Q901" i="3"/>
  <c r="Q900" i="3"/>
  <c r="Q899" i="3"/>
  <c r="Q898" i="3"/>
  <c r="Q897" i="3"/>
  <c r="Q896" i="3"/>
  <c r="Q895" i="3"/>
  <c r="Q894" i="3"/>
  <c r="Q893" i="3"/>
  <c r="Q892" i="3"/>
  <c r="Q891" i="3"/>
  <c r="Q890" i="3"/>
  <c r="Q889" i="3"/>
  <c r="Q888" i="3"/>
  <c r="Q887" i="3"/>
  <c r="Q886" i="3"/>
  <c r="Q885" i="3"/>
  <c r="Q884" i="3"/>
  <c r="Q883" i="3"/>
  <c r="Q882" i="3"/>
  <c r="Q881" i="3"/>
  <c r="Q880" i="3"/>
  <c r="Q879" i="3"/>
  <c r="Q878" i="3"/>
  <c r="Q877" i="3"/>
  <c r="Q876" i="3"/>
  <c r="Q875" i="3"/>
  <c r="Q874" i="3"/>
  <c r="Q873" i="3"/>
  <c r="Q872" i="3"/>
  <c r="Q871" i="3"/>
  <c r="Q870" i="3"/>
  <c r="Q869" i="3"/>
  <c r="Q868" i="3"/>
  <c r="Q867" i="3"/>
  <c r="Q866" i="3"/>
  <c r="Q865" i="3"/>
  <c r="Q864" i="3"/>
  <c r="Q863" i="3"/>
  <c r="Q862" i="3"/>
  <c r="Q861" i="3"/>
  <c r="Q860" i="3"/>
  <c r="Q859" i="3"/>
  <c r="Q858" i="3"/>
  <c r="Q857" i="3"/>
  <c r="Q856" i="3"/>
  <c r="Q855" i="3"/>
  <c r="Q854" i="3"/>
  <c r="Q853" i="3"/>
  <c r="Q852" i="3"/>
  <c r="Q851" i="3"/>
  <c r="Q850" i="3"/>
  <c r="Q849" i="3"/>
  <c r="Q848" i="3"/>
  <c r="Q847" i="3"/>
  <c r="Q846" i="3"/>
  <c r="Q845" i="3"/>
  <c r="Q844" i="3"/>
  <c r="Q843" i="3"/>
  <c r="Q842" i="3"/>
  <c r="Q841" i="3"/>
  <c r="Q840" i="3"/>
  <c r="Q839" i="3"/>
  <c r="Q838" i="3"/>
  <c r="Q837" i="3"/>
  <c r="Q836" i="3"/>
  <c r="Q835" i="3"/>
  <c r="Q834" i="3"/>
  <c r="Q833" i="3"/>
  <c r="Q832" i="3"/>
  <c r="Q831" i="3"/>
  <c r="Q830" i="3"/>
  <c r="Q829" i="3"/>
  <c r="Q828" i="3"/>
  <c r="Q827" i="3"/>
  <c r="Q826" i="3"/>
  <c r="Q825" i="3"/>
  <c r="Q824" i="3"/>
  <c r="Q823" i="3"/>
  <c r="Q822" i="3"/>
  <c r="Q821" i="3"/>
  <c r="Q820" i="3"/>
  <c r="Q819" i="3"/>
  <c r="Q818" i="3"/>
  <c r="Q817" i="3"/>
  <c r="Q816" i="3"/>
  <c r="Q815" i="3"/>
  <c r="Q814" i="3"/>
  <c r="Q813" i="3"/>
  <c r="Q812" i="3"/>
  <c r="Q811" i="3"/>
  <c r="Q810" i="3"/>
  <c r="Q809" i="3"/>
  <c r="Q808" i="3"/>
  <c r="Q807" i="3"/>
  <c r="Q806" i="3"/>
  <c r="Q805" i="3"/>
  <c r="Q804" i="3"/>
  <c r="Q803" i="3"/>
  <c r="Q802" i="3"/>
  <c r="Q801" i="3"/>
  <c r="Q800" i="3"/>
  <c r="Q799" i="3"/>
  <c r="Q798" i="3"/>
  <c r="Q797" i="3"/>
  <c r="Q796" i="3"/>
  <c r="Q795" i="3"/>
  <c r="Q794" i="3"/>
  <c r="Q793" i="3"/>
  <c r="Q792" i="3"/>
  <c r="Q791" i="3"/>
  <c r="Q790" i="3"/>
  <c r="Q789" i="3"/>
  <c r="Q788" i="3"/>
  <c r="Q787" i="3"/>
  <c r="Q786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/>
  <c r="Q762" i="3"/>
  <c r="Q761" i="3"/>
  <c r="Q760" i="3"/>
  <c r="Q759" i="3"/>
  <c r="Q758" i="3"/>
  <c r="Q757" i="3"/>
  <c r="Q756" i="3"/>
  <c r="Q755" i="3"/>
  <c r="Q754" i="3"/>
  <c r="Q753" i="3"/>
  <c r="Q752" i="3"/>
  <c r="Q751" i="3"/>
  <c r="Q750" i="3"/>
  <c r="Q749" i="3"/>
  <c r="Q748" i="3"/>
  <c r="Q747" i="3"/>
  <c r="Q746" i="3"/>
  <c r="Q745" i="3"/>
  <c r="Q744" i="3"/>
  <c r="Q743" i="3"/>
  <c r="Q742" i="3"/>
  <c r="Q741" i="3"/>
  <c r="Q740" i="3"/>
  <c r="Q739" i="3"/>
  <c r="Q738" i="3"/>
  <c r="Q737" i="3"/>
  <c r="Q736" i="3"/>
  <c r="Q735" i="3"/>
  <c r="Q734" i="3"/>
  <c r="Q733" i="3"/>
  <c r="Q732" i="3"/>
  <c r="Q731" i="3"/>
  <c r="Q730" i="3"/>
  <c r="Q729" i="3"/>
  <c r="Q728" i="3"/>
  <c r="Q727" i="3"/>
  <c r="Q726" i="3"/>
  <c r="Q725" i="3"/>
  <c r="Q724" i="3"/>
  <c r="Q723" i="3"/>
  <c r="Q722" i="3"/>
  <c r="Q721" i="3"/>
  <c r="Q720" i="3"/>
  <c r="Q719" i="3"/>
  <c r="Q718" i="3"/>
  <c r="Q717" i="3"/>
  <c r="Q716" i="3"/>
  <c r="Q715" i="3"/>
  <c r="Q714" i="3"/>
  <c r="Q713" i="3"/>
  <c r="Q712" i="3"/>
  <c r="Q711" i="3"/>
  <c r="Q710" i="3"/>
  <c r="Q709" i="3"/>
  <c r="Q708" i="3"/>
  <c r="Q707" i="3"/>
  <c r="Q706" i="3"/>
  <c r="Q705" i="3"/>
  <c r="Q704" i="3"/>
  <c r="Q703" i="3"/>
  <c r="Q702" i="3"/>
  <c r="Q701" i="3"/>
  <c r="Q700" i="3"/>
  <c r="Q699" i="3"/>
  <c r="Q698" i="3"/>
  <c r="Q697" i="3"/>
  <c r="Q696" i="3"/>
  <c r="Q695" i="3"/>
  <c r="Q694" i="3"/>
  <c r="Q693" i="3"/>
  <c r="Q692" i="3"/>
  <c r="Q691" i="3"/>
  <c r="Q690" i="3"/>
  <c r="Q689" i="3"/>
  <c r="Q688" i="3"/>
  <c r="Q687" i="3"/>
  <c r="Q686" i="3"/>
  <c r="Q685" i="3"/>
  <c r="Q684" i="3"/>
  <c r="Q683" i="3"/>
  <c r="Q682" i="3"/>
  <c r="Q681" i="3"/>
  <c r="Q680" i="3"/>
  <c r="Q679" i="3"/>
  <c r="Q678" i="3"/>
  <c r="Q677" i="3"/>
  <c r="Q676" i="3"/>
  <c r="Q675" i="3"/>
  <c r="Q674" i="3"/>
  <c r="Q673" i="3"/>
  <c r="Q672" i="3"/>
  <c r="Q671" i="3"/>
  <c r="Q670" i="3"/>
  <c r="Q669" i="3"/>
  <c r="Q668" i="3"/>
  <c r="Q667" i="3"/>
  <c r="Q666" i="3"/>
  <c r="Q665" i="3"/>
  <c r="Q664" i="3"/>
  <c r="Q663" i="3"/>
  <c r="Q662" i="3"/>
  <c r="Q661" i="3"/>
  <c r="Q660" i="3"/>
  <c r="Q659" i="3"/>
  <c r="Q658" i="3"/>
  <c r="Q657" i="3"/>
  <c r="Q656" i="3"/>
  <c r="Q655" i="3"/>
  <c r="Q654" i="3"/>
  <c r="Q653" i="3"/>
  <c r="Q652" i="3"/>
  <c r="Q651" i="3"/>
  <c r="Q650" i="3"/>
  <c r="Q649" i="3"/>
  <c r="Q648" i="3"/>
  <c r="Q647" i="3"/>
  <c r="Q646" i="3"/>
  <c r="Q645" i="3"/>
  <c r="Q644" i="3"/>
  <c r="Q643" i="3"/>
  <c r="Q642" i="3"/>
  <c r="Q641" i="3"/>
  <c r="Q640" i="3"/>
  <c r="Q639" i="3"/>
  <c r="Q638" i="3"/>
  <c r="Q637" i="3"/>
  <c r="Q636" i="3"/>
  <c r="Q635" i="3"/>
  <c r="Q634" i="3"/>
  <c r="Q633" i="3"/>
  <c r="Q632" i="3"/>
  <c r="Q631" i="3"/>
  <c r="Q630" i="3"/>
  <c r="Q629" i="3"/>
  <c r="Q628" i="3"/>
  <c r="Q627" i="3"/>
  <c r="Q626" i="3"/>
  <c r="Q625" i="3"/>
  <c r="Q624" i="3"/>
  <c r="Q623" i="3"/>
  <c r="Q622" i="3"/>
  <c r="Q621" i="3"/>
  <c r="Q620" i="3"/>
  <c r="Q619" i="3"/>
  <c r="Q618" i="3"/>
  <c r="Q617" i="3"/>
  <c r="Q616" i="3"/>
  <c r="Q615" i="3"/>
  <c r="Q614" i="3"/>
  <c r="Q613" i="3"/>
  <c r="Q612" i="3"/>
  <c r="Q611" i="3"/>
  <c r="Q610" i="3"/>
  <c r="Q609" i="3"/>
  <c r="Q608" i="3"/>
  <c r="Q607" i="3"/>
  <c r="Q606" i="3"/>
  <c r="Q605" i="3"/>
  <c r="Q604" i="3"/>
  <c r="Q603" i="3"/>
  <c r="Q602" i="3"/>
  <c r="Q601" i="3"/>
  <c r="Q600" i="3"/>
  <c r="Q599" i="3"/>
  <c r="Q598" i="3"/>
  <c r="Q597" i="3"/>
  <c r="Q596" i="3"/>
  <c r="Q595" i="3"/>
  <c r="Q594" i="3"/>
  <c r="Q593" i="3"/>
  <c r="Q592" i="3"/>
  <c r="Q591" i="3"/>
  <c r="Q590" i="3"/>
  <c r="Q589" i="3"/>
  <c r="Q588" i="3"/>
  <c r="Q587" i="3"/>
  <c r="Q586" i="3"/>
  <c r="Q585" i="3"/>
  <c r="Q584" i="3"/>
  <c r="Q583" i="3"/>
  <c r="Q582" i="3"/>
  <c r="Q581" i="3"/>
  <c r="Q580" i="3"/>
  <c r="Q579" i="3"/>
  <c r="Q578" i="3"/>
  <c r="Q577" i="3"/>
  <c r="Q576" i="3"/>
  <c r="Q575" i="3"/>
  <c r="Q574" i="3"/>
  <c r="Q573" i="3"/>
  <c r="Q572" i="3"/>
  <c r="Q571" i="3"/>
  <c r="Q570" i="3"/>
  <c r="Q569" i="3"/>
  <c r="Q568" i="3"/>
  <c r="Q567" i="3"/>
  <c r="Q566" i="3"/>
  <c r="Q565" i="3"/>
  <c r="Q564" i="3"/>
  <c r="Q563" i="3"/>
  <c r="Q562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Q523" i="3"/>
  <c r="Q522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3" i="3"/>
  <c r="E5" i="25" l="1"/>
  <c r="D5" i="25"/>
  <c r="C5" i="25"/>
  <c r="D4" i="25"/>
  <c r="E4" i="25"/>
  <c r="C4" i="25"/>
  <c r="Q11" i="3"/>
  <c r="Q10" i="3"/>
  <c r="Q9" i="3"/>
  <c r="Q12" i="3"/>
  <c r="Q8" i="3"/>
  <c r="L11" i="3"/>
  <c r="L10" i="3"/>
  <c r="L9" i="3"/>
  <c r="L12" i="3"/>
  <c r="L8" i="3"/>
  <c r="Q6" i="3"/>
  <c r="Q5" i="3"/>
  <c r="L6" i="3"/>
  <c r="L5" i="3"/>
  <c r="AH988" i="3" l="1"/>
  <c r="AI988" i="3"/>
  <c r="AH315" i="3"/>
  <c r="AI315" i="3"/>
  <c r="AI863" i="3"/>
  <c r="AH936" i="3"/>
  <c r="AI936" i="3"/>
  <c r="AH984" i="3"/>
  <c r="AI984" i="3"/>
  <c r="AH924" i="3"/>
  <c r="AI847" i="3"/>
  <c r="AH928" i="3"/>
  <c r="AI928" i="3"/>
  <c r="AH706" i="3"/>
  <c r="AH434" i="3"/>
  <c r="AI434" i="3"/>
  <c r="AI839" i="3"/>
  <c r="AH658" i="3"/>
  <c r="AH992" i="3"/>
  <c r="AI992" i="3"/>
  <c r="AI831" i="3"/>
  <c r="AH980" i="3"/>
  <c r="AI980" i="3"/>
  <c r="AH940" i="3"/>
  <c r="AI940" i="3"/>
  <c r="AH910" i="3"/>
  <c r="AI823" i="3"/>
  <c r="AH960" i="3"/>
  <c r="AI960" i="3"/>
  <c r="AI769" i="3"/>
  <c r="AI753" i="3"/>
  <c r="AH753" i="3"/>
  <c r="AH573" i="3"/>
  <c r="AI899" i="3"/>
  <c r="AI807" i="3"/>
  <c r="AI892" i="3"/>
  <c r="AI795" i="3"/>
  <c r="AI308" i="3"/>
  <c r="AH308" i="3"/>
  <c r="AI380" i="3"/>
  <c r="AI89" i="3"/>
  <c r="AH150" i="3" l="1"/>
  <c r="AH166" i="3"/>
  <c r="AH182" i="3"/>
  <c r="AH198" i="3"/>
  <c r="AH230" i="3"/>
  <c r="AH358" i="3"/>
  <c r="AI160" i="3"/>
  <c r="AI176" i="3"/>
  <c r="AI192" i="3"/>
  <c r="AI312" i="3"/>
  <c r="AI328" i="3"/>
  <c r="AH121" i="3"/>
  <c r="AH137" i="3"/>
  <c r="AI153" i="3"/>
  <c r="AI169" i="3"/>
  <c r="AI185" i="3"/>
  <c r="AI201" i="3"/>
  <c r="AI217" i="3"/>
  <c r="AI249" i="3"/>
  <c r="AI265" i="3"/>
  <c r="AI281" i="3"/>
  <c r="AI297" i="3"/>
  <c r="AI313" i="3"/>
  <c r="AI329" i="3"/>
  <c r="AI345" i="3"/>
  <c r="AI361" i="3"/>
  <c r="AI377" i="3"/>
  <c r="AI393" i="3"/>
  <c r="AI409" i="3"/>
  <c r="AI425" i="3"/>
  <c r="AI441" i="3"/>
  <c r="AI473" i="3"/>
  <c r="AI505" i="3"/>
  <c r="AI569" i="3"/>
  <c r="AH456" i="3"/>
  <c r="AI935" i="3"/>
  <c r="AI995" i="3"/>
  <c r="AH444" i="3"/>
  <c r="AH935" i="3"/>
  <c r="AH995" i="3"/>
  <c r="AI444" i="3"/>
  <c r="AI404" i="3"/>
  <c r="AH440" i="3"/>
  <c r="AH624" i="3"/>
  <c r="AH712" i="3"/>
  <c r="AI905" i="3"/>
  <c r="AH380" i="3"/>
  <c r="AH158" i="3"/>
  <c r="AH36" i="3"/>
  <c r="AI72" i="3"/>
  <c r="AH88" i="3"/>
  <c r="AI104" i="3"/>
  <c r="AH120" i="3"/>
  <c r="AH136" i="3"/>
  <c r="AI66" i="3"/>
  <c r="AI82" i="3"/>
  <c r="AH98" i="3"/>
  <c r="AI194" i="3"/>
  <c r="AI210" i="3"/>
  <c r="AI226" i="3"/>
  <c r="AI274" i="3"/>
  <c r="AI290" i="3"/>
  <c r="AI306" i="3"/>
  <c r="AI338" i="3"/>
  <c r="AI354" i="3"/>
  <c r="AI370" i="3"/>
  <c r="AI155" i="3"/>
  <c r="AI171" i="3"/>
  <c r="AI188" i="3"/>
  <c r="AI224" i="3"/>
  <c r="AI240" i="3"/>
  <c r="AH256" i="3"/>
  <c r="AH292" i="3"/>
  <c r="AI117" i="3"/>
  <c r="AH485" i="3"/>
  <c r="AH569" i="3"/>
  <c r="AH470" i="3"/>
  <c r="AH502" i="3"/>
  <c r="AH518" i="3"/>
  <c r="AI534" i="3"/>
  <c r="AH550" i="3"/>
  <c r="AH566" i="3"/>
  <c r="AI582" i="3"/>
  <c r="AH598" i="3"/>
  <c r="AH614" i="3"/>
  <c r="AH630" i="3"/>
  <c r="AI698" i="3"/>
  <c r="AH814" i="3"/>
  <c r="AH830" i="3"/>
  <c r="AH846" i="3"/>
  <c r="AH862" i="3"/>
  <c r="AH878" i="3"/>
  <c r="AI456" i="3"/>
  <c r="AH560" i="3"/>
  <c r="AH832" i="3"/>
  <c r="AH435" i="3"/>
  <c r="AH483" i="3"/>
  <c r="AH843" i="3"/>
  <c r="AH863" i="3"/>
  <c r="AI152" i="3"/>
  <c r="AI320" i="3"/>
  <c r="AH113" i="3"/>
  <c r="AH129" i="3"/>
  <c r="AH868" i="3"/>
  <c r="AI919" i="3"/>
  <c r="AH214" i="3"/>
  <c r="AH246" i="3"/>
  <c r="AH262" i="3"/>
  <c r="AH278" i="3"/>
  <c r="AH294" i="3"/>
  <c r="AH310" i="3"/>
  <c r="AH326" i="3"/>
  <c r="AH342" i="3"/>
  <c r="AI233" i="3"/>
  <c r="AI63" i="3"/>
  <c r="AI95" i="3"/>
  <c r="AI127" i="3"/>
  <c r="AH159" i="3"/>
  <c r="AH68" i="3"/>
  <c r="AH100" i="3"/>
  <c r="AI132" i="3"/>
  <c r="AI164" i="3"/>
  <c r="AH228" i="3"/>
  <c r="AI280" i="3"/>
  <c r="AH296" i="3"/>
  <c r="AI348" i="3"/>
  <c r="AI364" i="3"/>
  <c r="AI525" i="3"/>
  <c r="AI573" i="3"/>
  <c r="AI605" i="3"/>
  <c r="AI621" i="3"/>
  <c r="AI637" i="3"/>
  <c r="AI653" i="3"/>
  <c r="AI669" i="3"/>
  <c r="AI685" i="3"/>
  <c r="AI701" i="3"/>
  <c r="AI717" i="3"/>
  <c r="AI733" i="3"/>
  <c r="AI749" i="3"/>
  <c r="AI785" i="3"/>
  <c r="AI801" i="3"/>
  <c r="AI817" i="3"/>
  <c r="AI833" i="3"/>
  <c r="AI849" i="3"/>
  <c r="AI865" i="3"/>
  <c r="AI881" i="3"/>
  <c r="AI897" i="3"/>
  <c r="AH913" i="3"/>
  <c r="AH929" i="3"/>
  <c r="AH945" i="3"/>
  <c r="AH961" i="3"/>
  <c r="AH977" i="3"/>
  <c r="AH993" i="3"/>
  <c r="AH1009" i="3"/>
  <c r="AH378" i="3"/>
  <c r="AH394" i="3"/>
  <c r="AH410" i="3"/>
  <c r="AH426" i="3"/>
  <c r="AI442" i="3"/>
  <c r="AI458" i="3"/>
  <c r="AI474" i="3"/>
  <c r="AI490" i="3"/>
  <c r="AI786" i="3"/>
  <c r="AH70" i="3"/>
  <c r="AI118" i="3"/>
  <c r="AI79" i="3"/>
  <c r="AI111" i="3"/>
  <c r="AI143" i="3"/>
  <c r="AH175" i="3"/>
  <c r="AH84" i="3"/>
  <c r="AI116" i="3"/>
  <c r="AI212" i="3"/>
  <c r="AI264" i="3"/>
  <c r="AI131" i="3"/>
  <c r="AI216" i="3"/>
  <c r="AI268" i="3"/>
  <c r="AI284" i="3"/>
  <c r="AI368" i="3"/>
  <c r="AH981" i="3"/>
  <c r="AH997" i="3"/>
  <c r="AI860" i="3"/>
  <c r="AH462" i="3"/>
  <c r="AH922" i="3"/>
  <c r="AH938" i="3"/>
  <c r="AH954" i="3"/>
  <c r="AH970" i="3"/>
  <c r="AH986" i="3"/>
  <c r="AH1002" i="3"/>
  <c r="AH895" i="3"/>
  <c r="AH971" i="3"/>
  <c r="AH891" i="3"/>
  <c r="AH955" i="3"/>
  <c r="AH696" i="3"/>
  <c r="AH788" i="3"/>
  <c r="AH918" i="3"/>
  <c r="AH934" i="3"/>
  <c r="AH950" i="3"/>
  <c r="AH966" i="3"/>
  <c r="AH982" i="3"/>
  <c r="AH998" i="3"/>
  <c r="AH939" i="3"/>
  <c r="AH999" i="3"/>
  <c r="AH359" i="3"/>
  <c r="AI391" i="3"/>
  <c r="AI407" i="3"/>
  <c r="AH423" i="3"/>
  <c r="AI439" i="3"/>
  <c r="AI471" i="3"/>
  <c r="AI487" i="3"/>
  <c r="AH503" i="3"/>
  <c r="AH519" i="3"/>
  <c r="AH535" i="3"/>
  <c r="AH551" i="3"/>
  <c r="AH567" i="3"/>
  <c r="AH583" i="3"/>
  <c r="AH599" i="3"/>
  <c r="AH615" i="3"/>
  <c r="AI631" i="3"/>
  <c r="AI647" i="3"/>
  <c r="AI663" i="3"/>
  <c r="AI679" i="3"/>
  <c r="AI695" i="3"/>
  <c r="AI711" i="3"/>
  <c r="AI727" i="3"/>
  <c r="AI743" i="3"/>
  <c r="AI759" i="3"/>
  <c r="AH775" i="3"/>
  <c r="AH784" i="3"/>
  <c r="AI67" i="3"/>
  <c r="AI561" i="3"/>
  <c r="AH609" i="3"/>
  <c r="AI773" i="3"/>
  <c r="AI805" i="3"/>
  <c r="AI821" i="3"/>
  <c r="AI837" i="3"/>
  <c r="AI853" i="3"/>
  <c r="AI869" i="3"/>
  <c r="AI885" i="3"/>
  <c r="AI901" i="3"/>
  <c r="AH382" i="3"/>
  <c r="AH398" i="3"/>
  <c r="AH414" i="3"/>
  <c r="AI58" i="3"/>
  <c r="AI115" i="3"/>
  <c r="AH74" i="3"/>
  <c r="AI19" i="3"/>
  <c r="AI90" i="3"/>
  <c r="AI83" i="3"/>
  <c r="AH134" i="3"/>
  <c r="AI99" i="3"/>
  <c r="AI585" i="3"/>
  <c r="AI601" i="3"/>
  <c r="AI85" i="3"/>
  <c r="AI670" i="3"/>
  <c r="AI220" i="3"/>
  <c r="AH244" i="3"/>
  <c r="AH951" i="3"/>
  <c r="AH50" i="3"/>
  <c r="AH102" i="3"/>
  <c r="AI86" i="3"/>
  <c r="AH232" i="3"/>
  <c r="AH248" i="3"/>
  <c r="AH300" i="3"/>
  <c r="AI433" i="3"/>
  <c r="AI465" i="3"/>
  <c r="AI481" i="3"/>
  <c r="AH497" i="3"/>
  <c r="AH529" i="3"/>
  <c r="AH917" i="3"/>
  <c r="AH933" i="3"/>
  <c r="AH949" i="3"/>
  <c r="AH965" i="3"/>
  <c r="AH331" i="3"/>
  <c r="AH347" i="3"/>
  <c r="AH395" i="3"/>
  <c r="AH411" i="3"/>
  <c r="AH427" i="3"/>
  <c r="AH475" i="3"/>
  <c r="AH507" i="3"/>
  <c r="AH523" i="3"/>
  <c r="AH539" i="3"/>
  <c r="AH555" i="3"/>
  <c r="AH571" i="3"/>
  <c r="AH587" i="3"/>
  <c r="AH603" i="3"/>
  <c r="AH779" i="3"/>
  <c r="AH632" i="3"/>
  <c r="AH724" i="3"/>
  <c r="AI61" i="3"/>
  <c r="AH106" i="3"/>
  <c r="AH163" i="3"/>
  <c r="AH122" i="3"/>
  <c r="AI162" i="3"/>
  <c r="AI322" i="3"/>
  <c r="AI909" i="3"/>
  <c r="AI925" i="3"/>
  <c r="AI941" i="3"/>
  <c r="AI957" i="3"/>
  <c r="AI973" i="3"/>
  <c r="AI989" i="3"/>
  <c r="AI1005" i="3"/>
  <c r="AI147" i="3"/>
  <c r="AI242" i="3"/>
  <c r="AI178" i="3"/>
  <c r="AH89" i="3"/>
  <c r="AI70" i="3"/>
  <c r="AH118" i="3"/>
  <c r="AI109" i="3"/>
  <c r="AI125" i="3"/>
  <c r="AI141" i="3"/>
  <c r="AI493" i="3"/>
  <c r="AH541" i="3"/>
  <c r="AI438" i="3"/>
  <c r="AI454" i="3"/>
  <c r="AI486" i="3"/>
  <c r="AH63" i="3"/>
  <c r="AH79" i="3"/>
  <c r="AH95" i="3"/>
  <c r="AH111" i="3"/>
  <c r="AH127" i="3"/>
  <c r="AH64" i="3"/>
  <c r="AH80" i="3"/>
  <c r="AI96" i="3"/>
  <c r="AH112" i="3"/>
  <c r="AI128" i="3"/>
  <c r="AH144" i="3"/>
  <c r="AH105" i="3"/>
  <c r="AI738" i="3"/>
  <c r="AI754" i="3"/>
  <c r="AI770" i="3"/>
  <c r="AH802" i="3"/>
  <c r="AH388" i="3"/>
  <c r="AH480" i="3"/>
  <c r="AH612" i="3"/>
  <c r="AI744" i="3"/>
  <c r="AH872" i="3"/>
  <c r="AH668" i="3"/>
  <c r="AH760" i="3"/>
  <c r="AI652" i="3"/>
  <c r="AI732" i="3"/>
  <c r="AI183" i="3"/>
  <c r="AH279" i="3"/>
  <c r="AI295" i="3"/>
  <c r="AI327" i="3"/>
  <c r="AI343" i="3"/>
  <c r="AI375" i="3"/>
  <c r="AI455" i="3"/>
  <c r="AI930" i="3"/>
  <c r="AI946" i="3"/>
  <c r="AI962" i="3"/>
  <c r="AI978" i="3"/>
  <c r="AI994" i="3"/>
  <c r="AI1010" i="3"/>
  <c r="AI931" i="3"/>
  <c r="AI1007" i="3"/>
  <c r="AI923" i="3"/>
  <c r="AI987" i="3"/>
  <c r="AI476" i="3"/>
  <c r="AI644" i="3"/>
  <c r="AI740" i="3"/>
  <c r="BC682" i="3"/>
  <c r="AH156" i="3"/>
  <c r="AH172" i="3"/>
  <c r="AI324" i="3"/>
  <c r="AH101" i="3"/>
  <c r="AH133" i="3"/>
  <c r="AH149" i="3"/>
  <c r="AH165" i="3"/>
  <c r="AH181" i="3"/>
  <c r="AH197" i="3"/>
  <c r="AH213" i="3"/>
  <c r="AH229" i="3"/>
  <c r="AH245" i="3"/>
  <c r="AH261" i="3"/>
  <c r="AH277" i="3"/>
  <c r="AH293" i="3"/>
  <c r="AH309" i="3"/>
  <c r="AH325" i="3"/>
  <c r="AH341" i="3"/>
  <c r="AH357" i="3"/>
  <c r="AH373" i="3"/>
  <c r="AH389" i="3"/>
  <c r="AH405" i="3"/>
  <c r="AH421" i="3"/>
  <c r="AH437" i="3"/>
  <c r="AH453" i="3"/>
  <c r="AH469" i="3"/>
  <c r="AH501" i="3"/>
  <c r="AH761" i="3"/>
  <c r="AH979" i="3"/>
  <c r="AH428" i="3"/>
  <c r="AH692" i="3"/>
  <c r="AI258" i="3"/>
  <c r="BC730" i="3"/>
  <c r="AI260" i="3"/>
  <c r="BD879" i="3"/>
  <c r="AH61" i="3"/>
  <c r="AI106" i="3"/>
  <c r="AI122" i="3"/>
  <c r="AH147" i="3"/>
  <c r="AI163" i="3"/>
  <c r="AI288" i="3"/>
  <c r="AI232" i="3"/>
  <c r="AI248" i="3"/>
  <c r="AI300" i="3"/>
  <c r="AH109" i="3"/>
  <c r="AH125" i="3"/>
  <c r="AH141" i="3"/>
  <c r="AH493" i="3"/>
  <c r="AI917" i="3"/>
  <c r="AI933" i="3"/>
  <c r="AI949" i="3"/>
  <c r="AI965" i="3"/>
  <c r="AI981" i="3"/>
  <c r="AI997" i="3"/>
  <c r="AI462" i="3"/>
  <c r="AI922" i="3"/>
  <c r="AI938" i="3"/>
  <c r="AI954" i="3"/>
  <c r="AI970" i="3"/>
  <c r="AI986" i="3"/>
  <c r="AI1002" i="3"/>
  <c r="AI895" i="3"/>
  <c r="AI971" i="3"/>
  <c r="AI891" i="3"/>
  <c r="AI955" i="3"/>
  <c r="AI696" i="3"/>
  <c r="AI788" i="3"/>
  <c r="AH652" i="3"/>
  <c r="AH732" i="3"/>
  <c r="AI331" i="3"/>
  <c r="AI347" i="3"/>
  <c r="AI395" i="3"/>
  <c r="AI411" i="3"/>
  <c r="AI427" i="3"/>
  <c r="AI475" i="3"/>
  <c r="AI507" i="3"/>
  <c r="AI523" i="3"/>
  <c r="AI539" i="3"/>
  <c r="AI555" i="3"/>
  <c r="AI571" i="3"/>
  <c r="AI587" i="3"/>
  <c r="AI603" i="3"/>
  <c r="AH780" i="3"/>
  <c r="AI323" i="3"/>
  <c r="AI339" i="3"/>
  <c r="AI355" i="3"/>
  <c r="AI371" i="3"/>
  <c r="AI387" i="3"/>
  <c r="AI403" i="3"/>
  <c r="AI419" i="3"/>
  <c r="AI451" i="3"/>
  <c r="AI499" i="3"/>
  <c r="AI515" i="3"/>
  <c r="AI531" i="3"/>
  <c r="AI547" i="3"/>
  <c r="AI563" i="3"/>
  <c r="AI579" i="3"/>
  <c r="AI595" i="3"/>
  <c r="AI611" i="3"/>
  <c r="AH755" i="3"/>
  <c r="AI771" i="3"/>
  <c r="AH803" i="3"/>
  <c r="AI680" i="3"/>
  <c r="AH764" i="3"/>
  <c r="AH384" i="3"/>
  <c r="AH424" i="3"/>
  <c r="AH688" i="3"/>
  <c r="AI776" i="3"/>
  <c r="AI855" i="3"/>
  <c r="AI529" i="3"/>
  <c r="AH674" i="3"/>
  <c r="AI742" i="3"/>
  <c r="AI662" i="3"/>
  <c r="AI678" i="3"/>
  <c r="AI548" i="3"/>
  <c r="AI859" i="3"/>
  <c r="AI524" i="3"/>
  <c r="AI616" i="3"/>
  <c r="AI816" i="3"/>
  <c r="AH472" i="3"/>
  <c r="AI564" i="3"/>
  <c r="AH194" i="3"/>
  <c r="AH210" i="3"/>
  <c r="AH226" i="3"/>
  <c r="AH274" i="3"/>
  <c r="AH290" i="3"/>
  <c r="AH306" i="3"/>
  <c r="AH338" i="3"/>
  <c r="AH354" i="3"/>
  <c r="AH370" i="3"/>
  <c r="AH188" i="3"/>
  <c r="AI256" i="3"/>
  <c r="AH117" i="3"/>
  <c r="AI485" i="3"/>
  <c r="AH662" i="3"/>
  <c r="AH678" i="3"/>
  <c r="AI746" i="3"/>
  <c r="AH778" i="3"/>
  <c r="AH548" i="3"/>
  <c r="AI803" i="3"/>
  <c r="AH670" i="3"/>
  <c r="AH754" i="3"/>
  <c r="AI612" i="3"/>
  <c r="AI872" i="3"/>
  <c r="AI811" i="3"/>
  <c r="AI568" i="3"/>
  <c r="AI876" i="3"/>
  <c r="AI516" i="3"/>
  <c r="AI956" i="3"/>
  <c r="AH638" i="3"/>
  <c r="AH654" i="3"/>
  <c r="AH722" i="3"/>
  <c r="AI902" i="3"/>
  <c r="AH811" i="3"/>
  <c r="AH831" i="3"/>
  <c r="AI927" i="3"/>
  <c r="AI991" i="3"/>
  <c r="AH568" i="3"/>
  <c r="AI660" i="3"/>
  <c r="AH876" i="3"/>
  <c r="AH516" i="3"/>
  <c r="AH700" i="3"/>
  <c r="AI924" i="3"/>
  <c r="AI336" i="3"/>
  <c r="AH626" i="3"/>
  <c r="AI694" i="3"/>
  <c r="AI810" i="3"/>
  <c r="AI826" i="3"/>
  <c r="AI842" i="3"/>
  <c r="AI858" i="3"/>
  <c r="AI874" i="3"/>
  <c r="AH890" i="3"/>
  <c r="AH452" i="3"/>
  <c r="AI536" i="3"/>
  <c r="AI808" i="3"/>
  <c r="AI916" i="3"/>
  <c r="AH572" i="3"/>
  <c r="AH852" i="3"/>
  <c r="AH623" i="3"/>
  <c r="AH639" i="3"/>
  <c r="AH655" i="3"/>
  <c r="AH671" i="3"/>
  <c r="AH687" i="3"/>
  <c r="AH703" i="3"/>
  <c r="AH719" i="3"/>
  <c r="AH735" i="3"/>
  <c r="AH751" i="3"/>
  <c r="AI767" i="3"/>
  <c r="AI748" i="3"/>
  <c r="AH576" i="3"/>
  <c r="AH848" i="3"/>
  <c r="AH746" i="3"/>
  <c r="AI778" i="3"/>
  <c r="AI780" i="3"/>
  <c r="AH859" i="3"/>
  <c r="AH899" i="3"/>
  <c r="AH524" i="3"/>
  <c r="AH616" i="3"/>
  <c r="AH816" i="3"/>
  <c r="AI472" i="3"/>
  <c r="AH564" i="3"/>
  <c r="AI384" i="3"/>
  <c r="AH776" i="3"/>
  <c r="AH1005" i="3"/>
  <c r="AH438" i="3"/>
  <c r="AH454" i="3"/>
  <c r="AH486" i="3"/>
  <c r="AH930" i="3"/>
  <c r="AH946" i="3"/>
  <c r="AH962" i="3"/>
  <c r="AH978" i="3"/>
  <c r="AH994" i="3"/>
  <c r="AH1010" i="3"/>
  <c r="AH931" i="3"/>
  <c r="AH1007" i="3"/>
  <c r="AH987" i="3"/>
  <c r="AH476" i="3"/>
  <c r="AH680" i="3"/>
  <c r="AI764" i="3"/>
  <c r="AH920" i="3"/>
  <c r="AH442" i="3"/>
  <c r="AH490" i="3"/>
  <c r="AI634" i="3"/>
  <c r="AI650" i="3"/>
  <c r="AI718" i="3"/>
  <c r="AI802" i="3"/>
  <c r="AH898" i="3"/>
  <c r="AI668" i="3"/>
  <c r="AI760" i="3"/>
  <c r="AH528" i="3"/>
  <c r="AH804" i="3"/>
  <c r="AH900" i="3"/>
  <c r="AH327" i="3"/>
  <c r="AH343" i="3"/>
  <c r="AH375" i="3"/>
  <c r="AH455" i="3"/>
  <c r="AH827" i="3"/>
  <c r="AH847" i="3"/>
  <c r="AH879" i="3"/>
  <c r="AH404" i="3"/>
  <c r="AI440" i="3"/>
  <c r="AI624" i="3"/>
  <c r="AI712" i="3"/>
  <c r="AH738" i="3"/>
  <c r="AI779" i="3"/>
  <c r="AH795" i="3"/>
  <c r="AI632" i="3"/>
  <c r="AI724" i="3"/>
  <c r="AI81" i="3"/>
  <c r="AI62" i="3"/>
  <c r="AI94" i="3"/>
  <c r="AI912" i="3"/>
  <c r="AH430" i="3"/>
  <c r="AI498" i="3"/>
  <c r="AI514" i="3"/>
  <c r="AI530" i="3"/>
  <c r="AI546" i="3"/>
  <c r="AI562" i="3"/>
  <c r="AI578" i="3"/>
  <c r="AI594" i="3"/>
  <c r="AI610" i="3"/>
  <c r="AI774" i="3"/>
  <c r="AI906" i="3"/>
  <c r="AH416" i="3"/>
  <c r="AH636" i="3"/>
  <c r="AH772" i="3"/>
  <c r="AI963" i="3"/>
  <c r="AI412" i="3"/>
  <c r="AI484" i="3"/>
  <c r="AI676" i="3"/>
  <c r="AI756" i="3"/>
  <c r="AH187" i="3"/>
  <c r="AH203" i="3"/>
  <c r="AH219" i="3"/>
  <c r="AH235" i="3"/>
  <c r="AH251" i="3"/>
  <c r="AH267" i="3"/>
  <c r="AH283" i="3"/>
  <c r="AH299" i="3"/>
  <c r="AH799" i="3"/>
  <c r="AI819" i="3"/>
  <c r="AI887" i="3"/>
  <c r="AH943" i="3"/>
  <c r="AH1003" i="3"/>
  <c r="AH684" i="3"/>
  <c r="AH792" i="3"/>
  <c r="AI836" i="3"/>
  <c r="AH420" i="3"/>
  <c r="AI488" i="3"/>
  <c r="AI672" i="3"/>
  <c r="AI752" i="3"/>
  <c r="AH78" i="3"/>
  <c r="AI65" i="3"/>
  <c r="AH81" i="3"/>
  <c r="AI38" i="3"/>
  <c r="AH62" i="3"/>
  <c r="AI78" i="3"/>
  <c r="AH94" i="3"/>
  <c r="AI158" i="3"/>
  <c r="AI167" i="3"/>
  <c r="AH152" i="3"/>
  <c r="AI272" i="3"/>
  <c r="AI304" i="3"/>
  <c r="AH320" i="3"/>
  <c r="AI113" i="3"/>
  <c r="AI129" i="3"/>
  <c r="AH433" i="3"/>
  <c r="AH465" i="3"/>
  <c r="AH481" i="3"/>
  <c r="AI497" i="3"/>
  <c r="AI581" i="3"/>
  <c r="AI597" i="3"/>
  <c r="AI613" i="3"/>
  <c r="AH629" i="3"/>
  <c r="AH645" i="3"/>
  <c r="AH661" i="3"/>
  <c r="AH677" i="3"/>
  <c r="AH693" i="3"/>
  <c r="AH709" i="3"/>
  <c r="AH725" i="3"/>
  <c r="AH741" i="3"/>
  <c r="AI777" i="3"/>
  <c r="AI921" i="3"/>
  <c r="AI937" i="3"/>
  <c r="AI953" i="3"/>
  <c r="AI969" i="3"/>
  <c r="AI985" i="3"/>
  <c r="AI1001" i="3"/>
  <c r="AH912" i="3"/>
  <c r="AH402" i="3"/>
  <c r="AH418" i="3"/>
  <c r="AH450" i="3"/>
  <c r="AH466" i="3"/>
  <c r="AI482" i="3"/>
  <c r="AH498" i="3"/>
  <c r="AH514" i="3"/>
  <c r="AH530" i="3"/>
  <c r="AH546" i="3"/>
  <c r="AH562" i="3"/>
  <c r="AH578" i="3"/>
  <c r="AH594" i="3"/>
  <c r="AH610" i="3"/>
  <c r="AI626" i="3"/>
  <c r="AH694" i="3"/>
  <c r="AI794" i="3"/>
  <c r="AH810" i="3"/>
  <c r="AH826" i="3"/>
  <c r="AH842" i="3"/>
  <c r="AH858" i="3"/>
  <c r="AH874" i="3"/>
  <c r="AH906" i="3"/>
  <c r="AI432" i="3"/>
  <c r="AH536" i="3"/>
  <c r="AH808" i="3"/>
  <c r="AH916" i="3"/>
  <c r="AH963" i="3"/>
  <c r="AH412" i="3"/>
  <c r="AH484" i="3"/>
  <c r="AH676" i="3"/>
  <c r="AH756" i="3"/>
  <c r="AI799" i="3"/>
  <c r="AH819" i="3"/>
  <c r="AH839" i="3"/>
  <c r="AH887" i="3"/>
  <c r="AH836" i="3"/>
  <c r="AI420" i="3"/>
  <c r="AH488" i="3"/>
  <c r="AH672" i="3"/>
  <c r="AH752" i="3"/>
  <c r="AI98" i="3"/>
  <c r="AH923" i="3"/>
  <c r="AH644" i="3"/>
  <c r="AH740" i="3"/>
  <c r="AH323" i="3"/>
  <c r="AH339" i="3"/>
  <c r="AH355" i="3"/>
  <c r="AH371" i="3"/>
  <c r="AH387" i="3"/>
  <c r="AH403" i="3"/>
  <c r="AH419" i="3"/>
  <c r="AH451" i="3"/>
  <c r="AH499" i="3"/>
  <c r="AH515" i="3"/>
  <c r="AH531" i="3"/>
  <c r="AH547" i="3"/>
  <c r="AH563" i="3"/>
  <c r="AH579" i="3"/>
  <c r="AH595" i="3"/>
  <c r="AH611" i="3"/>
  <c r="AI755" i="3"/>
  <c r="AH771" i="3"/>
  <c r="AH360" i="3"/>
  <c r="AH766" i="3"/>
  <c r="AH704" i="3"/>
  <c r="AH179" i="3"/>
  <c r="AH195" i="3"/>
  <c r="AH211" i="3"/>
  <c r="AH227" i="3"/>
  <c r="AH243" i="3"/>
  <c r="AH259" i="3"/>
  <c r="AH275" i="3"/>
  <c r="AH291" i="3"/>
  <c r="AH307" i="3"/>
  <c r="AH911" i="3"/>
  <c r="AH975" i="3"/>
  <c r="AH436" i="3"/>
  <c r="AH640" i="3"/>
  <c r="AH736" i="3"/>
  <c r="AI492" i="3"/>
  <c r="AI700" i="3"/>
  <c r="AH892" i="3"/>
  <c r="AH532" i="3"/>
  <c r="AH908" i="3"/>
  <c r="AH208" i="3"/>
  <c r="AI276" i="3"/>
  <c r="AH344" i="3"/>
  <c r="AH376" i="3"/>
  <c r="AI150" i="3"/>
  <c r="AI166" i="3"/>
  <c r="AI182" i="3"/>
  <c r="AI198" i="3"/>
  <c r="AI214" i="3"/>
  <c r="AI230" i="3"/>
  <c r="AI246" i="3"/>
  <c r="AI262" i="3"/>
  <c r="AI278" i="3"/>
  <c r="AI294" i="3"/>
  <c r="AI310" i="3"/>
  <c r="AI326" i="3"/>
  <c r="AI342" i="3"/>
  <c r="AI358" i="3"/>
  <c r="AH160" i="3"/>
  <c r="AH176" i="3"/>
  <c r="AH192" i="3"/>
  <c r="AH312" i="3"/>
  <c r="AH328" i="3"/>
  <c r="AI815" i="3"/>
  <c r="AI121" i="3"/>
  <c r="AI137" i="3"/>
  <c r="AH153" i="3"/>
  <c r="AH169" i="3"/>
  <c r="AH185" i="3"/>
  <c r="AH201" i="3"/>
  <c r="AH217" i="3"/>
  <c r="AH233" i="3"/>
  <c r="AH249" i="3"/>
  <c r="AH265" i="3"/>
  <c r="AH281" i="3"/>
  <c r="AH297" i="3"/>
  <c r="AH313" i="3"/>
  <c r="AH329" i="3"/>
  <c r="AH345" i="3"/>
  <c r="AH361" i="3"/>
  <c r="AH377" i="3"/>
  <c r="AH393" i="3"/>
  <c r="AH409" i="3"/>
  <c r="AH425" i="3"/>
  <c r="AH441" i="3"/>
  <c r="AH473" i="3"/>
  <c r="AH505" i="3"/>
  <c r="AI552" i="3"/>
  <c r="AI824" i="3"/>
  <c r="AI851" i="3"/>
  <c r="AI556" i="3"/>
  <c r="AI820" i="3"/>
  <c r="AI944" i="3"/>
  <c r="AH212" i="3"/>
  <c r="AH264" i="3"/>
  <c r="AH280" i="3"/>
  <c r="AH348" i="3"/>
  <c r="AH364" i="3"/>
  <c r="AH525" i="3"/>
  <c r="AH785" i="3"/>
  <c r="AH801" i="3"/>
  <c r="AH817" i="3"/>
  <c r="AH833" i="3"/>
  <c r="AH849" i="3"/>
  <c r="AH865" i="3"/>
  <c r="AH881" i="3"/>
  <c r="AH897" i="3"/>
  <c r="AI430" i="3"/>
  <c r="AH446" i="3"/>
  <c r="AI494" i="3"/>
  <c r="AI510" i="3"/>
  <c r="AH526" i="3"/>
  <c r="AH542" i="3"/>
  <c r="AH558" i="3"/>
  <c r="AH574" i="3"/>
  <c r="AH590" i="3"/>
  <c r="AI606" i="3"/>
  <c r="AI622" i="3"/>
  <c r="AI690" i="3"/>
  <c r="AH774" i="3"/>
  <c r="AH822" i="3"/>
  <c r="AH838" i="3"/>
  <c r="AH854" i="3"/>
  <c r="AH870" i="3"/>
  <c r="AI416" i="3"/>
  <c r="AI636" i="3"/>
  <c r="AH520" i="3"/>
  <c r="AH604" i="3"/>
  <c r="AH888" i="3"/>
  <c r="AH875" i="3"/>
  <c r="AI187" i="3"/>
  <c r="AI459" i="3"/>
  <c r="AH815" i="3"/>
  <c r="AI684" i="3"/>
  <c r="AH812" i="3"/>
  <c r="AH110" i="3"/>
  <c r="AH126" i="3"/>
  <c r="AH142" i="3"/>
  <c r="AH174" i="3"/>
  <c r="AH190" i="3"/>
  <c r="AH206" i="3"/>
  <c r="AH222" i="3"/>
  <c r="AH238" i="3"/>
  <c r="AH254" i="3"/>
  <c r="AH270" i="3"/>
  <c r="AH286" i="3"/>
  <c r="AH302" i="3"/>
  <c r="AH318" i="3"/>
  <c r="AH334" i="3"/>
  <c r="AH350" i="3"/>
  <c r="AH366" i="3"/>
  <c r="AH71" i="3"/>
  <c r="AH87" i="3"/>
  <c r="AH103" i="3"/>
  <c r="AH119" i="3"/>
  <c r="AH135" i="3"/>
  <c r="AI151" i="3"/>
  <c r="AI36" i="3"/>
  <c r="AH72" i="3"/>
  <c r="AI88" i="3"/>
  <c r="AH104" i="3"/>
  <c r="AI120" i="3"/>
  <c r="AI136" i="3"/>
  <c r="AI168" i="3"/>
  <c r="AI184" i="3"/>
  <c r="AI200" i="3"/>
  <c r="AH216" i="3"/>
  <c r="AI236" i="3"/>
  <c r="AI252" i="3"/>
  <c r="AH268" i="3"/>
  <c r="AH284" i="3"/>
  <c r="AH336" i="3"/>
  <c r="AH352" i="3"/>
  <c r="AH368" i="3"/>
  <c r="AI97" i="3"/>
  <c r="AI145" i="3"/>
  <c r="AI161" i="3"/>
  <c r="AI177" i="3"/>
  <c r="AI193" i="3"/>
  <c r="AI209" i="3"/>
  <c r="AI225" i="3"/>
  <c r="AI241" i="3"/>
  <c r="AI257" i="3"/>
  <c r="AI273" i="3"/>
  <c r="AI289" i="3"/>
  <c r="AI305" i="3"/>
  <c r="AI321" i="3"/>
  <c r="AI337" i="3"/>
  <c r="AI353" i="3"/>
  <c r="AI369" i="3"/>
  <c r="AI385" i="3"/>
  <c r="AI401" i="3"/>
  <c r="AI417" i="3"/>
  <c r="AI449" i="3"/>
  <c r="AI513" i="3"/>
  <c r="AI545" i="3"/>
  <c r="AH561" i="3"/>
  <c r="AH757" i="3"/>
  <c r="AH773" i="3"/>
  <c r="AH789" i="3"/>
  <c r="AH805" i="3"/>
  <c r="AH821" i="3"/>
  <c r="AH837" i="3"/>
  <c r="AH853" i="3"/>
  <c r="AH869" i="3"/>
  <c r="AH885" i="3"/>
  <c r="AH901" i="3"/>
  <c r="AH860" i="3"/>
  <c r="AI382" i="3"/>
  <c r="AI398" i="3"/>
  <c r="AI414" i="3"/>
  <c r="AI642" i="3"/>
  <c r="AH710" i="3"/>
  <c r="AH726" i="3"/>
  <c r="AH758" i="3"/>
  <c r="AI222" i="3"/>
  <c r="AI302" i="3"/>
  <c r="AH184" i="3"/>
  <c r="AH252" i="3"/>
  <c r="AH97" i="3"/>
  <c r="AH145" i="3"/>
  <c r="AH161" i="3"/>
  <c r="AH177" i="3"/>
  <c r="AH193" i="3"/>
  <c r="AH209" i="3"/>
  <c r="AH225" i="3"/>
  <c r="AH241" i="3"/>
  <c r="AH257" i="3"/>
  <c r="AH273" i="3"/>
  <c r="AH289" i="3"/>
  <c r="AH305" i="3"/>
  <c r="AH321" i="3"/>
  <c r="AH337" i="3"/>
  <c r="AH353" i="3"/>
  <c r="AH369" i="3"/>
  <c r="AH385" i="3"/>
  <c r="AH401" i="3"/>
  <c r="AH417" i="3"/>
  <c r="AH449" i="3"/>
  <c r="AH513" i="3"/>
  <c r="AI757" i="3"/>
  <c r="AI190" i="3"/>
  <c r="AI270" i="3"/>
  <c r="AI350" i="3"/>
  <c r="AH200" i="3"/>
  <c r="AH65" i="3"/>
  <c r="AH38" i="3"/>
  <c r="AI126" i="3"/>
  <c r="AI71" i="3"/>
  <c r="AI87" i="3"/>
  <c r="AI103" i="3"/>
  <c r="AI119" i="3"/>
  <c r="AI135" i="3"/>
  <c r="AH151" i="3"/>
  <c r="AH167" i="3"/>
  <c r="AI60" i="3"/>
  <c r="AI76" i="3"/>
  <c r="AH92" i="3"/>
  <c r="AI108" i="3"/>
  <c r="AI124" i="3"/>
  <c r="AI140" i="3"/>
  <c r="AH220" i="3"/>
  <c r="AH236" i="3"/>
  <c r="AH288" i="3"/>
  <c r="AH304" i="3"/>
  <c r="AH340" i="3"/>
  <c r="AH356" i="3"/>
  <c r="AH372" i="3"/>
  <c r="AI517" i="3"/>
  <c r="AI533" i="3"/>
  <c r="AI549" i="3"/>
  <c r="AI565" i="3"/>
  <c r="AH581" i="3"/>
  <c r="AH597" i="3"/>
  <c r="AH613" i="3"/>
  <c r="AI629" i="3"/>
  <c r="AI645" i="3"/>
  <c r="AI661" i="3"/>
  <c r="AI677" i="3"/>
  <c r="AI693" i="3"/>
  <c r="AI709" i="3"/>
  <c r="AI725" i="3"/>
  <c r="AI741" i="3"/>
  <c r="AI793" i="3"/>
  <c r="AI809" i="3"/>
  <c r="AI825" i="3"/>
  <c r="AI841" i="3"/>
  <c r="AI857" i="3"/>
  <c r="AI873" i="3"/>
  <c r="AI889" i="3"/>
  <c r="AH905" i="3"/>
  <c r="AH921" i="3"/>
  <c r="AH937" i="3"/>
  <c r="AH953" i="3"/>
  <c r="AH969" i="3"/>
  <c r="AH985" i="3"/>
  <c r="AH1001" i="3"/>
  <c r="AI904" i="3"/>
  <c r="AI844" i="3"/>
  <c r="AI238" i="3"/>
  <c r="AI318" i="3"/>
  <c r="AI366" i="3"/>
  <c r="AH168" i="3"/>
  <c r="AI110" i="3"/>
  <c r="AI146" i="3"/>
  <c r="AH69" i="3"/>
  <c r="AH42" i="3"/>
  <c r="AI114" i="3"/>
  <c r="AI130" i="3"/>
  <c r="AH146" i="3"/>
  <c r="AH162" i="3"/>
  <c r="AH178" i="3"/>
  <c r="AH242" i="3"/>
  <c r="AH258" i="3"/>
  <c r="AH322" i="3"/>
  <c r="AH35" i="3"/>
  <c r="AH75" i="3"/>
  <c r="AH91" i="3"/>
  <c r="AH107" i="3"/>
  <c r="AH123" i="3"/>
  <c r="AH139" i="3"/>
  <c r="AH60" i="3"/>
  <c r="AH76" i="3"/>
  <c r="AI92" i="3"/>
  <c r="AH108" i="3"/>
  <c r="AH124" i="3"/>
  <c r="AH140" i="3"/>
  <c r="AI156" i="3"/>
  <c r="AI172" i="3"/>
  <c r="AH204" i="3"/>
  <c r="AH272" i="3"/>
  <c r="AH324" i="3"/>
  <c r="AI340" i="3"/>
  <c r="AI356" i="3"/>
  <c r="AI372" i="3"/>
  <c r="AI101" i="3"/>
  <c r="AI133" i="3"/>
  <c r="AI149" i="3"/>
  <c r="AI165" i="3"/>
  <c r="AI181" i="3"/>
  <c r="AI197" i="3"/>
  <c r="AI213" i="3"/>
  <c r="AI229" i="3"/>
  <c r="AI245" i="3"/>
  <c r="AI261" i="3"/>
  <c r="AI277" i="3"/>
  <c r="AI293" i="3"/>
  <c r="AI309" i="3"/>
  <c r="AI325" i="3"/>
  <c r="AI341" i="3"/>
  <c r="AI357" i="3"/>
  <c r="AI373" i="3"/>
  <c r="AI389" i="3"/>
  <c r="AI405" i="3"/>
  <c r="AI421" i="3"/>
  <c r="AI437" i="3"/>
  <c r="AI453" i="3"/>
  <c r="AI469" i="3"/>
  <c r="AI501" i="3"/>
  <c r="AH517" i="3"/>
  <c r="AH533" i="3"/>
  <c r="AH549" i="3"/>
  <c r="AH565" i="3"/>
  <c r="AH617" i="3"/>
  <c r="AH633" i="3"/>
  <c r="AH649" i="3"/>
  <c r="AH665" i="3"/>
  <c r="AH681" i="3"/>
  <c r="AH697" i="3"/>
  <c r="AH713" i="3"/>
  <c r="AH729" i="3"/>
  <c r="AH745" i="3"/>
  <c r="AI761" i="3"/>
  <c r="AH777" i="3"/>
  <c r="AH793" i="3"/>
  <c r="AH809" i="3"/>
  <c r="AH825" i="3"/>
  <c r="AH841" i="3"/>
  <c r="AH857" i="3"/>
  <c r="AH873" i="3"/>
  <c r="AH889" i="3"/>
  <c r="AI142" i="3"/>
  <c r="AI206" i="3"/>
  <c r="AI286" i="3"/>
  <c r="AH666" i="3"/>
  <c r="AG682" i="3"/>
  <c r="AI682" i="3"/>
  <c r="AH734" i="3"/>
  <c r="AH750" i="3"/>
  <c r="BD782" i="3"/>
  <c r="AI782" i="3"/>
  <c r="AI914" i="3"/>
  <c r="AI174" i="3"/>
  <c r="AI254" i="3"/>
  <c r="AI334" i="3"/>
  <c r="AI69" i="3"/>
  <c r="AH85" i="3"/>
  <c r="AI42" i="3"/>
  <c r="AH66" i="3"/>
  <c r="AH82" i="3"/>
  <c r="AH114" i="3"/>
  <c r="AH130" i="3"/>
  <c r="AI204" i="3"/>
  <c r="AI35" i="3"/>
  <c r="AI75" i="3"/>
  <c r="AI91" i="3"/>
  <c r="AI107" i="3"/>
  <c r="AI123" i="3"/>
  <c r="AI139" i="3"/>
  <c r="AH155" i="3"/>
  <c r="AH171" i="3"/>
  <c r="AI64" i="3"/>
  <c r="AI80" i="3"/>
  <c r="AH96" i="3"/>
  <c r="AI112" i="3"/>
  <c r="AH128" i="3"/>
  <c r="AI144" i="3"/>
  <c r="AI208" i="3"/>
  <c r="AH224" i="3"/>
  <c r="AH240" i="3"/>
  <c r="AH260" i="3"/>
  <c r="AH276" i="3"/>
  <c r="AI292" i="3"/>
  <c r="AI344" i="3"/>
  <c r="AI360" i="3"/>
  <c r="AI376" i="3"/>
  <c r="AI105" i="3"/>
  <c r="AI457" i="3"/>
  <c r="AI489" i="3"/>
  <c r="AH521" i="3"/>
  <c r="AI537" i="3"/>
  <c r="AI553" i="3"/>
  <c r="AH585" i="3"/>
  <c r="AH601" i="3"/>
  <c r="AI617" i="3"/>
  <c r="AI633" i="3"/>
  <c r="AI649" i="3"/>
  <c r="AI665" i="3"/>
  <c r="AI681" i="3"/>
  <c r="AI697" i="3"/>
  <c r="AI713" i="3"/>
  <c r="AI729" i="3"/>
  <c r="AI745" i="3"/>
  <c r="AI765" i="3"/>
  <c r="AI781" i="3"/>
  <c r="AI797" i="3"/>
  <c r="AI813" i="3"/>
  <c r="AI829" i="3"/>
  <c r="AI845" i="3"/>
  <c r="AI861" i="3"/>
  <c r="AI877" i="3"/>
  <c r="AI893" i="3"/>
  <c r="AH909" i="3"/>
  <c r="AH925" i="3"/>
  <c r="AH941" i="3"/>
  <c r="AH957" i="3"/>
  <c r="AH973" i="3"/>
  <c r="AH989" i="3"/>
  <c r="AI996" i="3"/>
  <c r="AI920" i="3"/>
  <c r="AH374" i="3"/>
  <c r="AH390" i="3"/>
  <c r="AH406" i="3"/>
  <c r="AH422" i="3"/>
  <c r="AI73" i="3"/>
  <c r="AI521" i="3"/>
  <c r="AH537" i="3"/>
  <c r="AH553" i="3"/>
  <c r="AI589" i="3"/>
  <c r="AH781" i="3"/>
  <c r="AH797" i="3"/>
  <c r="AH813" i="3"/>
  <c r="AH829" i="3"/>
  <c r="AH845" i="3"/>
  <c r="AH861" i="3"/>
  <c r="AH877" i="3"/>
  <c r="AH893" i="3"/>
  <c r="AH996" i="3"/>
  <c r="AI374" i="3"/>
  <c r="AI390" i="3"/>
  <c r="AI406" i="3"/>
  <c r="AI422" i="3"/>
  <c r="AH506" i="3"/>
  <c r="AH522" i="3"/>
  <c r="AI538" i="3"/>
  <c r="AI554" i="3"/>
  <c r="AH570" i="3"/>
  <c r="AH586" i="3"/>
  <c r="AI602" i="3"/>
  <c r="AH618" i="3"/>
  <c r="AH686" i="3"/>
  <c r="AH702" i="3"/>
  <c r="AI818" i="3"/>
  <c r="AI834" i="3"/>
  <c r="AI850" i="3"/>
  <c r="AI866" i="3"/>
  <c r="AI882" i="3"/>
  <c r="AI867" i="3"/>
  <c r="AH73" i="3"/>
  <c r="AI50" i="3"/>
  <c r="AH86" i="3"/>
  <c r="AI102" i="3"/>
  <c r="AI134" i="3"/>
  <c r="AH143" i="3"/>
  <c r="AI159" i="3"/>
  <c r="AI175" i="3"/>
  <c r="AI228" i="3"/>
  <c r="AI244" i="3"/>
  <c r="AI296" i="3"/>
  <c r="AH457" i="3"/>
  <c r="AH489" i="3"/>
  <c r="AI541" i="3"/>
  <c r="AH557" i="3"/>
  <c r="AH589" i="3"/>
  <c r="AH605" i="3"/>
  <c r="AH621" i="3"/>
  <c r="AH637" i="3"/>
  <c r="AH653" i="3"/>
  <c r="AH669" i="3"/>
  <c r="AH685" i="3"/>
  <c r="AH701" i="3"/>
  <c r="AH717" i="3"/>
  <c r="AH733" i="3"/>
  <c r="AH749" i="3"/>
  <c r="AH765" i="3"/>
  <c r="AI913" i="3"/>
  <c r="AI929" i="3"/>
  <c r="AI945" i="3"/>
  <c r="AI961" i="3"/>
  <c r="AI977" i="3"/>
  <c r="AI993" i="3"/>
  <c r="AI1009" i="3"/>
  <c r="AI608" i="3"/>
  <c r="AH458" i="3"/>
  <c r="AH474" i="3"/>
  <c r="AI506" i="3"/>
  <c r="AI522" i="3"/>
  <c r="AH538" i="3"/>
  <c r="AH554" i="3"/>
  <c r="AI570" i="3"/>
  <c r="AI586" i="3"/>
  <c r="AH602" i="3"/>
  <c r="AI618" i="3"/>
  <c r="AI686" i="3"/>
  <c r="AI702" i="3"/>
  <c r="AH786" i="3"/>
  <c r="AH818" i="3"/>
  <c r="AH834" i="3"/>
  <c r="AH850" i="3"/>
  <c r="AH866" i="3"/>
  <c r="AH882" i="3"/>
  <c r="BD871" i="3"/>
  <c r="AI871" i="3"/>
  <c r="AI77" i="3"/>
  <c r="AH93" i="3"/>
  <c r="AH58" i="3"/>
  <c r="AI74" i="3"/>
  <c r="AH90" i="3"/>
  <c r="AI138" i="3"/>
  <c r="AH154" i="3"/>
  <c r="AH170" i="3"/>
  <c r="AH186" i="3"/>
  <c r="AH202" i="3"/>
  <c r="AH218" i="3"/>
  <c r="AH234" i="3"/>
  <c r="AH250" i="3"/>
  <c r="AH266" i="3"/>
  <c r="AH282" i="3"/>
  <c r="AH298" i="3"/>
  <c r="AH314" i="3"/>
  <c r="AH330" i="3"/>
  <c r="AH346" i="3"/>
  <c r="AH362" i="3"/>
  <c r="AH19" i="3"/>
  <c r="AH67" i="3"/>
  <c r="AH83" i="3"/>
  <c r="AH99" i="3"/>
  <c r="AH115" i="3"/>
  <c r="AH131" i="3"/>
  <c r="AI68" i="3"/>
  <c r="AI84" i="3"/>
  <c r="AI100" i="3"/>
  <c r="AH116" i="3"/>
  <c r="AH132" i="3"/>
  <c r="AI148" i="3"/>
  <c r="AH164" i="3"/>
  <c r="AH180" i="3"/>
  <c r="AI196" i="3"/>
  <c r="AI316" i="3"/>
  <c r="AI332" i="3"/>
  <c r="AI157" i="3"/>
  <c r="AI173" i="3"/>
  <c r="AI189" i="3"/>
  <c r="AI205" i="3"/>
  <c r="AI221" i="3"/>
  <c r="AI237" i="3"/>
  <c r="AI253" i="3"/>
  <c r="AI269" i="3"/>
  <c r="AI285" i="3"/>
  <c r="AI301" i="3"/>
  <c r="AI317" i="3"/>
  <c r="AI333" i="3"/>
  <c r="AI349" i="3"/>
  <c r="AI365" i="3"/>
  <c r="AI381" i="3"/>
  <c r="AI397" i="3"/>
  <c r="AI413" i="3"/>
  <c r="AI429" i="3"/>
  <c r="AI445" i="3"/>
  <c r="AI461" i="3"/>
  <c r="AI477" i="3"/>
  <c r="AH509" i="3"/>
  <c r="AI557" i="3"/>
  <c r="AI577" i="3"/>
  <c r="AI593" i="3"/>
  <c r="AI609" i="3"/>
  <c r="AH625" i="3"/>
  <c r="AH641" i="3"/>
  <c r="AH657" i="3"/>
  <c r="AH673" i="3"/>
  <c r="AH689" i="3"/>
  <c r="AH705" i="3"/>
  <c r="AH721" i="3"/>
  <c r="AH737" i="3"/>
  <c r="AH769" i="3"/>
  <c r="AH77" i="3"/>
  <c r="AI93" i="3"/>
  <c r="AH138" i="3"/>
  <c r="AI154" i="3"/>
  <c r="AI170" i="3"/>
  <c r="AI186" i="3"/>
  <c r="AI202" i="3"/>
  <c r="AI218" i="3"/>
  <c r="AI234" i="3"/>
  <c r="AI250" i="3"/>
  <c r="AI266" i="3"/>
  <c r="AI282" i="3"/>
  <c r="AI298" i="3"/>
  <c r="AI314" i="3"/>
  <c r="AI330" i="3"/>
  <c r="AI346" i="3"/>
  <c r="AI362" i="3"/>
  <c r="AH148" i="3"/>
  <c r="AI180" i="3"/>
  <c r="AH196" i="3"/>
  <c r="AH316" i="3"/>
  <c r="AH332" i="3"/>
  <c r="AI352" i="3"/>
  <c r="AH157" i="3"/>
  <c r="AH173" i="3"/>
  <c r="AH189" i="3"/>
  <c r="AH205" i="3"/>
  <c r="AH221" i="3"/>
  <c r="AH237" i="3"/>
  <c r="AH253" i="3"/>
  <c r="AH269" i="3"/>
  <c r="AH285" i="3"/>
  <c r="AH301" i="3"/>
  <c r="AH317" i="3"/>
  <c r="AH333" i="3"/>
  <c r="AH349" i="3"/>
  <c r="AH365" i="3"/>
  <c r="AH381" i="3"/>
  <c r="AH397" i="3"/>
  <c r="AH413" i="3"/>
  <c r="AH429" i="3"/>
  <c r="AH445" i="3"/>
  <c r="AH461" i="3"/>
  <c r="AH477" i="3"/>
  <c r="AI509" i="3"/>
  <c r="AH545" i="3"/>
  <c r="AH577" i="3"/>
  <c r="AH593" i="3"/>
  <c r="AI625" i="3"/>
  <c r="AI641" i="3"/>
  <c r="AI657" i="3"/>
  <c r="AI673" i="3"/>
  <c r="AI689" i="3"/>
  <c r="AI705" i="3"/>
  <c r="AI721" i="3"/>
  <c r="AI737" i="3"/>
  <c r="AI789" i="3"/>
  <c r="AH856" i="3"/>
  <c r="BD886" i="3"/>
  <c r="AI886" i="3"/>
  <c r="AI856" i="3"/>
  <c r="AH634" i="3"/>
  <c r="AH956" i="3"/>
  <c r="AI378" i="3"/>
  <c r="AI394" i="3"/>
  <c r="AI410" i="3"/>
  <c r="AI426" i="3"/>
  <c r="AI446" i="3"/>
  <c r="AI478" i="3"/>
  <c r="AH494" i="3"/>
  <c r="AH510" i="3"/>
  <c r="AI526" i="3"/>
  <c r="AI542" i="3"/>
  <c r="AI558" i="3"/>
  <c r="AI574" i="3"/>
  <c r="AI590" i="3"/>
  <c r="AH606" i="3"/>
  <c r="AH622" i="3"/>
  <c r="AI638" i="3"/>
  <c r="AI654" i="3"/>
  <c r="AH690" i="3"/>
  <c r="AI706" i="3"/>
  <c r="AI722" i="3"/>
  <c r="AH770" i="3"/>
  <c r="AI790" i="3"/>
  <c r="AI806" i="3"/>
  <c r="AI822" i="3"/>
  <c r="AI838" i="3"/>
  <c r="AI854" i="3"/>
  <c r="AI870" i="3"/>
  <c r="AH886" i="3"/>
  <c r="AH902" i="3"/>
  <c r="AI388" i="3"/>
  <c r="AI480" i="3"/>
  <c r="AH744" i="3"/>
  <c r="AI400" i="3"/>
  <c r="AI520" i="3"/>
  <c r="AI604" i="3"/>
  <c r="AI888" i="3"/>
  <c r="AI875" i="3"/>
  <c r="AI947" i="3"/>
  <c r="AI1011" i="3"/>
  <c r="AI464" i="3"/>
  <c r="AH552" i="3"/>
  <c r="AH824" i="3"/>
  <c r="AH183" i="3"/>
  <c r="AH199" i="3"/>
  <c r="AH215" i="3"/>
  <c r="AH231" i="3"/>
  <c r="AI247" i="3"/>
  <c r="AI263" i="3"/>
  <c r="AI279" i="3"/>
  <c r="AH295" i="3"/>
  <c r="AI311" i="3"/>
  <c r="AI363" i="3"/>
  <c r="AI379" i="3"/>
  <c r="AI443" i="3"/>
  <c r="AH459" i="3"/>
  <c r="AI491" i="3"/>
  <c r="AH619" i="3"/>
  <c r="AH635" i="3"/>
  <c r="AH651" i="3"/>
  <c r="AH667" i="3"/>
  <c r="AH683" i="3"/>
  <c r="AH699" i="3"/>
  <c r="AH715" i="3"/>
  <c r="AH731" i="3"/>
  <c r="AH747" i="3"/>
  <c r="AH763" i="3"/>
  <c r="AH851" i="3"/>
  <c r="AI883" i="3"/>
  <c r="AH927" i="3"/>
  <c r="AH991" i="3"/>
  <c r="AI468" i="3"/>
  <c r="AH660" i="3"/>
  <c r="AH768" i="3"/>
  <c r="AH396" i="3"/>
  <c r="AI812" i="3"/>
  <c r="AI408" i="3"/>
  <c r="AI460" i="3"/>
  <c r="AH556" i="3"/>
  <c r="AI648" i="3"/>
  <c r="AI728" i="3"/>
  <c r="AH820" i="3"/>
  <c r="AH944" i="3"/>
  <c r="AI512" i="3"/>
  <c r="AH947" i="3"/>
  <c r="AH1011" i="3"/>
  <c r="AH464" i="3"/>
  <c r="AI972" i="3"/>
  <c r="AI835" i="3"/>
  <c r="AH883" i="3"/>
  <c r="AI500" i="3"/>
  <c r="AI592" i="3"/>
  <c r="AI896" i="3"/>
  <c r="AI448" i="3"/>
  <c r="AI540" i="3"/>
  <c r="AI952" i="3"/>
  <c r="AH408" i="3"/>
  <c r="AH460" i="3"/>
  <c r="AH648" i="3"/>
  <c r="AH728" i="3"/>
  <c r="AI976" i="3"/>
  <c r="AH478" i="3"/>
  <c r="AH642" i="3"/>
  <c r="AI658" i="3"/>
  <c r="AI674" i="3"/>
  <c r="AI710" i="3"/>
  <c r="AI726" i="3"/>
  <c r="AH742" i="3"/>
  <c r="AI758" i="3"/>
  <c r="AH790" i="3"/>
  <c r="AH806" i="3"/>
  <c r="AI890" i="3"/>
  <c r="AH512" i="3"/>
  <c r="AI772" i="3"/>
  <c r="AH400" i="3"/>
  <c r="AI572" i="3"/>
  <c r="AI852" i="3"/>
  <c r="AH972" i="3"/>
  <c r="AI203" i="3"/>
  <c r="AI219" i="3"/>
  <c r="AI235" i="3"/>
  <c r="AI251" i="3"/>
  <c r="AI267" i="3"/>
  <c r="AI283" i="3"/>
  <c r="AI299" i="3"/>
  <c r="AH363" i="3"/>
  <c r="AH379" i="3"/>
  <c r="AH443" i="3"/>
  <c r="AH491" i="3"/>
  <c r="AI619" i="3"/>
  <c r="AI635" i="3"/>
  <c r="AI651" i="3"/>
  <c r="AI667" i="3"/>
  <c r="AI683" i="3"/>
  <c r="AI699" i="3"/>
  <c r="AI715" i="3"/>
  <c r="AI731" i="3"/>
  <c r="AI747" i="3"/>
  <c r="AI763" i="3"/>
  <c r="AH835" i="3"/>
  <c r="AH855" i="3"/>
  <c r="AI943" i="3"/>
  <c r="AI1003" i="3"/>
  <c r="AH500" i="3"/>
  <c r="AH592" i="3"/>
  <c r="AI792" i="3"/>
  <c r="AH896" i="3"/>
  <c r="AH448" i="3"/>
  <c r="AH540" i="3"/>
  <c r="AH952" i="3"/>
  <c r="AI576" i="3"/>
  <c r="AI848" i="3"/>
  <c r="AH976" i="3"/>
  <c r="AI964" i="3"/>
  <c r="AI1008" i="3"/>
  <c r="AI1012" i="3"/>
  <c r="AI926" i="3"/>
  <c r="AI942" i="3"/>
  <c r="AI958" i="3"/>
  <c r="AI974" i="3"/>
  <c r="AI990" i="3"/>
  <c r="AI1006" i="3"/>
  <c r="AI915" i="3"/>
  <c r="AI983" i="3"/>
  <c r="AH964" i="3"/>
  <c r="AI907" i="3"/>
  <c r="AI967" i="3"/>
  <c r="AI628" i="3"/>
  <c r="AI720" i="3"/>
  <c r="AI903" i="3"/>
  <c r="AH1008" i="3"/>
  <c r="AH319" i="3"/>
  <c r="AH335" i="3"/>
  <c r="AH351" i="3"/>
  <c r="AH367" i="3"/>
  <c r="AH383" i="3"/>
  <c r="AH399" i="3"/>
  <c r="AH415" i="3"/>
  <c r="AH431" i="3"/>
  <c r="AI447" i="3"/>
  <c r="AH463" i="3"/>
  <c r="AH479" i="3"/>
  <c r="AI495" i="3"/>
  <c r="AI511" i="3"/>
  <c r="AI527" i="3"/>
  <c r="AI543" i="3"/>
  <c r="AI559" i="3"/>
  <c r="AI575" i="3"/>
  <c r="AI591" i="3"/>
  <c r="AI607" i="3"/>
  <c r="AI783" i="3"/>
  <c r="AI932" i="3"/>
  <c r="AI656" i="3"/>
  <c r="AH1012" i="3"/>
  <c r="AH386" i="3"/>
  <c r="AI450" i="3"/>
  <c r="AI466" i="3"/>
  <c r="AH482" i="3"/>
  <c r="AI646" i="3"/>
  <c r="AH714" i="3"/>
  <c r="AG730" i="3"/>
  <c r="AI730" i="3"/>
  <c r="AI762" i="3"/>
  <c r="AH794" i="3"/>
  <c r="AI894" i="3"/>
  <c r="AH926" i="3"/>
  <c r="AH942" i="3"/>
  <c r="AH958" i="3"/>
  <c r="AH974" i="3"/>
  <c r="AH990" i="3"/>
  <c r="AH1006" i="3"/>
  <c r="AH915" i="3"/>
  <c r="AH983" i="3"/>
  <c r="AI664" i="3"/>
  <c r="AI796" i="3"/>
  <c r="AI1000" i="3"/>
  <c r="AH907" i="3"/>
  <c r="AH967" i="3"/>
  <c r="AI452" i="3"/>
  <c r="AH628" i="3"/>
  <c r="AH720" i="3"/>
  <c r="AH903" i="3"/>
  <c r="AI504" i="3"/>
  <c r="AI596" i="3"/>
  <c r="AI880" i="3"/>
  <c r="AI191" i="3"/>
  <c r="AI207" i="3"/>
  <c r="AI223" i="3"/>
  <c r="AI239" i="3"/>
  <c r="AH255" i="3"/>
  <c r="AH271" i="3"/>
  <c r="AH287" i="3"/>
  <c r="AH303" i="3"/>
  <c r="AI319" i="3"/>
  <c r="AI335" i="3"/>
  <c r="AI351" i="3"/>
  <c r="AI367" i="3"/>
  <c r="AI383" i="3"/>
  <c r="AI399" i="3"/>
  <c r="AI415" i="3"/>
  <c r="AI431" i="3"/>
  <c r="AH447" i="3"/>
  <c r="AI463" i="3"/>
  <c r="AI479" i="3"/>
  <c r="AH495" i="3"/>
  <c r="AH511" i="3"/>
  <c r="AH527" i="3"/>
  <c r="AH543" i="3"/>
  <c r="AH559" i="3"/>
  <c r="AH575" i="3"/>
  <c r="AH591" i="3"/>
  <c r="AH607" i="3"/>
  <c r="AI623" i="3"/>
  <c r="AI639" i="3"/>
  <c r="AI655" i="3"/>
  <c r="AI671" i="3"/>
  <c r="AI687" i="3"/>
  <c r="AI703" i="3"/>
  <c r="AI719" i="3"/>
  <c r="AI735" i="3"/>
  <c r="AI751" i="3"/>
  <c r="AH767" i="3"/>
  <c r="AH783" i="3"/>
  <c r="AI959" i="3"/>
  <c r="AI392" i="3"/>
  <c r="AI708" i="3"/>
  <c r="AH932" i="3"/>
  <c r="AH656" i="3"/>
  <c r="AH748" i="3"/>
  <c r="AI508" i="3"/>
  <c r="AI600" i="3"/>
  <c r="AI884" i="3"/>
  <c r="AH904" i="3"/>
  <c r="AH844" i="3"/>
  <c r="AI386" i="3"/>
  <c r="AI402" i="3"/>
  <c r="AI418" i="3"/>
  <c r="AI470" i="3"/>
  <c r="AI502" i="3"/>
  <c r="AI518" i="3"/>
  <c r="AH534" i="3"/>
  <c r="AI550" i="3"/>
  <c r="AI566" i="3"/>
  <c r="AH582" i="3"/>
  <c r="AI598" i="3"/>
  <c r="AI614" i="3"/>
  <c r="AI630" i="3"/>
  <c r="AH646" i="3"/>
  <c r="AH698" i="3"/>
  <c r="AI714" i="3"/>
  <c r="AH762" i="3"/>
  <c r="AH798" i="3"/>
  <c r="AI814" i="3"/>
  <c r="AI830" i="3"/>
  <c r="AI846" i="3"/>
  <c r="AI862" i="3"/>
  <c r="AI878" i="3"/>
  <c r="AH894" i="3"/>
  <c r="AI910" i="3"/>
  <c r="AH432" i="3"/>
  <c r="AH664" i="3"/>
  <c r="AH796" i="3"/>
  <c r="AH1000" i="3"/>
  <c r="AI560" i="3"/>
  <c r="AI832" i="3"/>
  <c r="AI948" i="3"/>
  <c r="AH919" i="3"/>
  <c r="AI979" i="3"/>
  <c r="AI428" i="3"/>
  <c r="AH504" i="3"/>
  <c r="AH596" i="3"/>
  <c r="AI692" i="3"/>
  <c r="AH880" i="3"/>
  <c r="AH191" i="3"/>
  <c r="AH207" i="3"/>
  <c r="AH223" i="3"/>
  <c r="AH239" i="3"/>
  <c r="AI255" i="3"/>
  <c r="AI271" i="3"/>
  <c r="AI287" i="3"/>
  <c r="AI303" i="3"/>
  <c r="AI435" i="3"/>
  <c r="AH467" i="3"/>
  <c r="AI483" i="3"/>
  <c r="AH627" i="3"/>
  <c r="AH643" i="3"/>
  <c r="AH659" i="3"/>
  <c r="AH675" i="3"/>
  <c r="AH691" i="3"/>
  <c r="AH707" i="3"/>
  <c r="AH723" i="3"/>
  <c r="AH739" i="3"/>
  <c r="AH787" i="3"/>
  <c r="AH823" i="3"/>
  <c r="AI843" i="3"/>
  <c r="AH959" i="3"/>
  <c r="AH392" i="3"/>
  <c r="AH708" i="3"/>
  <c r="AI968" i="3"/>
  <c r="AI868" i="3"/>
  <c r="AI424" i="3"/>
  <c r="AH508" i="3"/>
  <c r="AH600" i="3"/>
  <c r="AI688" i="3"/>
  <c r="AH884" i="3"/>
  <c r="AI588" i="3"/>
  <c r="AI828" i="3"/>
  <c r="AH948" i="3"/>
  <c r="AI544" i="3"/>
  <c r="AI840" i="3"/>
  <c r="AH968" i="3"/>
  <c r="AI584" i="3"/>
  <c r="AH650" i="3"/>
  <c r="AI666" i="3"/>
  <c r="AH718" i="3"/>
  <c r="AI734" i="3"/>
  <c r="AI750" i="3"/>
  <c r="AI766" i="3"/>
  <c r="AH782" i="3"/>
  <c r="AI798" i="3"/>
  <c r="AI898" i="3"/>
  <c r="AH914" i="3"/>
  <c r="AH588" i="3"/>
  <c r="AI704" i="3"/>
  <c r="AH828" i="3"/>
  <c r="AI528" i="3"/>
  <c r="AI620" i="3"/>
  <c r="AI716" i="3"/>
  <c r="AI804" i="3"/>
  <c r="AI900" i="3"/>
  <c r="AI179" i="3"/>
  <c r="AI195" i="3"/>
  <c r="AI211" i="3"/>
  <c r="AI227" i="3"/>
  <c r="AI243" i="3"/>
  <c r="AI259" i="3"/>
  <c r="AI275" i="3"/>
  <c r="AI291" i="3"/>
  <c r="AI307" i="3"/>
  <c r="AI467" i="3"/>
  <c r="AI627" i="3"/>
  <c r="AI643" i="3"/>
  <c r="AI659" i="3"/>
  <c r="AI675" i="3"/>
  <c r="AI691" i="3"/>
  <c r="AI707" i="3"/>
  <c r="AI723" i="3"/>
  <c r="AI739" i="3"/>
  <c r="AI787" i="3"/>
  <c r="AH807" i="3"/>
  <c r="AI827" i="3"/>
  <c r="AI911" i="3"/>
  <c r="AI975" i="3"/>
  <c r="AI436" i="3"/>
  <c r="AH544" i="3"/>
  <c r="AI640" i="3"/>
  <c r="AI736" i="3"/>
  <c r="AH840" i="3"/>
  <c r="AI1004" i="3"/>
  <c r="AH492" i="3"/>
  <c r="AH584" i="3"/>
  <c r="AI532" i="3"/>
  <c r="AH800" i="3"/>
  <c r="AI908" i="3"/>
  <c r="AI879" i="3"/>
  <c r="AI496" i="3"/>
  <c r="AI580" i="3"/>
  <c r="AI864" i="3"/>
  <c r="AI791" i="3"/>
  <c r="AH1004" i="3"/>
  <c r="AH682" i="3"/>
  <c r="AI918" i="3"/>
  <c r="AI934" i="3"/>
  <c r="AI950" i="3"/>
  <c r="AI966" i="3"/>
  <c r="AI982" i="3"/>
  <c r="AI998" i="3"/>
  <c r="AH867" i="3"/>
  <c r="AI951" i="3"/>
  <c r="AH871" i="3"/>
  <c r="AI939" i="3"/>
  <c r="AI999" i="3"/>
  <c r="AH496" i="3"/>
  <c r="AH580" i="3"/>
  <c r="AH864" i="3"/>
  <c r="AH620" i="3"/>
  <c r="AH716" i="3"/>
  <c r="AI199" i="3"/>
  <c r="AI215" i="3"/>
  <c r="AI231" i="3"/>
  <c r="AH247" i="3"/>
  <c r="AH263" i="3"/>
  <c r="AH311" i="3"/>
  <c r="AI359" i="3"/>
  <c r="AH391" i="3"/>
  <c r="AH407" i="3"/>
  <c r="AI423" i="3"/>
  <c r="AH439" i="3"/>
  <c r="AH471" i="3"/>
  <c r="AH487" i="3"/>
  <c r="AI503" i="3"/>
  <c r="AI519" i="3"/>
  <c r="AI535" i="3"/>
  <c r="AI551" i="3"/>
  <c r="AI567" i="3"/>
  <c r="AI583" i="3"/>
  <c r="AI599" i="3"/>
  <c r="AI615" i="3"/>
  <c r="AH631" i="3"/>
  <c r="AH647" i="3"/>
  <c r="AH663" i="3"/>
  <c r="AH679" i="3"/>
  <c r="AH695" i="3"/>
  <c r="AH711" i="3"/>
  <c r="AH727" i="3"/>
  <c r="AH743" i="3"/>
  <c r="AH759" i="3"/>
  <c r="AI775" i="3"/>
  <c r="AH791" i="3"/>
  <c r="AH468" i="3"/>
  <c r="AI768" i="3"/>
  <c r="AI396" i="3"/>
  <c r="AH608" i="3"/>
  <c r="AI784" i="3"/>
  <c r="AI800" i="3"/>
  <c r="AH730" i="3"/>
  <c r="BD69" i="3"/>
  <c r="BC96" i="3"/>
  <c r="AG96" i="3"/>
  <c r="BC126" i="3"/>
  <c r="AG126" i="3"/>
  <c r="BD85" i="3"/>
  <c r="BD106" i="3"/>
  <c r="BD122" i="3"/>
  <c r="BC138" i="3"/>
  <c r="AG138" i="3"/>
  <c r="BD154" i="3"/>
  <c r="BD170" i="3"/>
  <c r="BD186" i="3"/>
  <c r="BD202" i="3"/>
  <c r="BD218" i="3"/>
  <c r="BD234" i="3"/>
  <c r="BD250" i="3"/>
  <c r="BD266" i="3"/>
  <c r="BD282" i="3"/>
  <c r="BD298" i="3"/>
  <c r="BD314" i="3"/>
  <c r="BD330" i="3"/>
  <c r="BD346" i="3"/>
  <c r="BD362" i="3"/>
  <c r="BD71" i="3"/>
  <c r="BD87" i="3"/>
  <c r="BD103" i="3"/>
  <c r="BD119" i="3"/>
  <c r="BD157" i="3"/>
  <c r="BD173" i="3"/>
  <c r="BD189" i="3"/>
  <c r="BD205" i="3"/>
  <c r="BD221" i="3"/>
  <c r="BD237" i="3"/>
  <c r="BD253" i="3"/>
  <c r="BD269" i="3"/>
  <c r="BD285" i="3"/>
  <c r="BD301" i="3"/>
  <c r="BD317" i="3"/>
  <c r="BD333" i="3"/>
  <c r="BD349" i="3"/>
  <c r="BD365" i="3"/>
  <c r="BD381" i="3"/>
  <c r="BD397" i="3"/>
  <c r="BD413" i="3"/>
  <c r="BD429" i="3"/>
  <c r="BD445" i="3"/>
  <c r="BD461" i="3"/>
  <c r="BD477" i="3"/>
  <c r="BC509" i="3"/>
  <c r="AG509" i="3"/>
  <c r="BC525" i="3"/>
  <c r="AG525" i="3"/>
  <c r="BD557" i="3"/>
  <c r="BD577" i="3"/>
  <c r="BD593" i="3"/>
  <c r="BD609" i="3"/>
  <c r="BC625" i="3"/>
  <c r="AG625" i="3"/>
  <c r="BC641" i="3"/>
  <c r="AG641" i="3"/>
  <c r="BC657" i="3"/>
  <c r="AG657" i="3"/>
  <c r="BC673" i="3"/>
  <c r="AG673" i="3"/>
  <c r="BC689" i="3"/>
  <c r="AG689" i="3"/>
  <c r="BC705" i="3"/>
  <c r="AG705" i="3"/>
  <c r="BC721" i="3"/>
  <c r="AG721" i="3"/>
  <c r="BC737" i="3"/>
  <c r="AG737" i="3"/>
  <c r="BC753" i="3"/>
  <c r="AG753" i="3"/>
  <c r="AG769" i="3"/>
  <c r="BC785" i="3"/>
  <c r="AG785" i="3"/>
  <c r="BC801" i="3"/>
  <c r="AG801" i="3"/>
  <c r="BC817" i="3"/>
  <c r="AG817" i="3"/>
  <c r="BC833" i="3"/>
  <c r="AG833" i="3"/>
  <c r="BC849" i="3"/>
  <c r="AG849" i="3"/>
  <c r="BC865" i="3"/>
  <c r="AG865" i="3"/>
  <c r="BC881" i="3"/>
  <c r="AG881" i="3"/>
  <c r="BC897" i="3"/>
  <c r="AG897" i="3"/>
  <c r="BC85" i="3"/>
  <c r="AG85" i="3"/>
  <c r="BC106" i="3"/>
  <c r="AG106" i="3"/>
  <c r="BC139" i="3"/>
  <c r="AG139" i="3"/>
  <c r="BD64" i="3"/>
  <c r="BC240" i="3"/>
  <c r="AG240" i="3"/>
  <c r="BD73" i="3"/>
  <c r="BC78" i="3"/>
  <c r="AG78" i="3"/>
  <c r="BC190" i="3"/>
  <c r="AG190" i="3"/>
  <c r="BC254" i="3"/>
  <c r="AG254" i="3"/>
  <c r="BC302" i="3"/>
  <c r="AG302" i="3"/>
  <c r="BC366" i="3"/>
  <c r="AG366" i="3"/>
  <c r="BC112" i="3"/>
  <c r="AG112" i="3"/>
  <c r="BC144" i="3"/>
  <c r="AG144" i="3"/>
  <c r="BD176" i="3"/>
  <c r="BC208" i="3"/>
  <c r="AG208" i="3"/>
  <c r="BD276" i="3"/>
  <c r="BC472" i="3"/>
  <c r="AG472" i="3"/>
  <c r="BD564" i="3"/>
  <c r="BD656" i="3"/>
  <c r="BC1012" i="3"/>
  <c r="AG1012" i="3"/>
  <c r="BC73" i="3"/>
  <c r="AG73" i="3"/>
  <c r="BD89" i="3"/>
  <c r="BC62" i="3"/>
  <c r="AG62" i="3"/>
  <c r="BD78" i="3"/>
  <c r="BC94" i="3"/>
  <c r="AG94" i="3"/>
  <c r="BD142" i="3"/>
  <c r="BD158" i="3"/>
  <c r="BD174" i="3"/>
  <c r="BD190" i="3"/>
  <c r="BD206" i="3"/>
  <c r="BD222" i="3"/>
  <c r="BD238" i="3"/>
  <c r="BD254" i="3"/>
  <c r="BD270" i="3"/>
  <c r="BD286" i="3"/>
  <c r="BD302" i="3"/>
  <c r="BD318" i="3"/>
  <c r="BD334" i="3"/>
  <c r="BD350" i="3"/>
  <c r="BD366" i="3"/>
  <c r="BD220" i="3"/>
  <c r="BD75" i="3"/>
  <c r="BD91" i="3"/>
  <c r="BD107" i="3"/>
  <c r="BD123" i="3"/>
  <c r="BD139" i="3"/>
  <c r="BC155" i="3"/>
  <c r="AG155" i="3"/>
  <c r="BC171" i="3"/>
  <c r="AG171" i="3"/>
  <c r="BD58" i="3"/>
  <c r="BD80" i="3"/>
  <c r="BC260" i="3"/>
  <c r="AG260" i="3"/>
  <c r="BC174" i="3"/>
  <c r="AG174" i="3"/>
  <c r="BC222" i="3"/>
  <c r="AG222" i="3"/>
  <c r="BC286" i="3"/>
  <c r="AG286" i="3"/>
  <c r="BC350" i="3"/>
  <c r="AG350" i="3"/>
  <c r="BC80" i="3"/>
  <c r="AG80" i="3"/>
  <c r="BD128" i="3"/>
  <c r="BD160" i="3"/>
  <c r="BD192" i="3"/>
  <c r="BD110" i="3"/>
  <c r="BD126" i="3"/>
  <c r="BD146" i="3"/>
  <c r="BC194" i="3"/>
  <c r="AG194" i="3"/>
  <c r="BC210" i="3"/>
  <c r="AG210" i="3"/>
  <c r="BC226" i="3"/>
  <c r="AG226" i="3"/>
  <c r="BC274" i="3"/>
  <c r="AG274" i="3"/>
  <c r="BC290" i="3"/>
  <c r="AG290" i="3"/>
  <c r="BC306" i="3"/>
  <c r="AG306" i="3"/>
  <c r="BC338" i="3"/>
  <c r="AG338" i="3"/>
  <c r="BC354" i="3"/>
  <c r="AG354" i="3"/>
  <c r="BC370" i="3"/>
  <c r="AG370" i="3"/>
  <c r="BC63" i="3"/>
  <c r="AG63" i="3"/>
  <c r="BC79" i="3"/>
  <c r="AG79" i="3"/>
  <c r="BC95" i="3"/>
  <c r="AG95" i="3"/>
  <c r="BC111" i="3"/>
  <c r="AG111" i="3"/>
  <c r="BC127" i="3"/>
  <c r="AG127" i="3"/>
  <c r="BC68" i="3"/>
  <c r="AG68" i="3"/>
  <c r="BC84" i="3"/>
  <c r="AG84" i="3"/>
  <c r="BC100" i="3"/>
  <c r="AG100" i="3"/>
  <c r="BD116" i="3"/>
  <c r="BD132" i="3"/>
  <c r="BD164" i="3"/>
  <c r="BD212" i="3"/>
  <c r="BC228" i="3"/>
  <c r="AG228" i="3"/>
  <c r="BC244" i="3"/>
  <c r="AG244" i="3"/>
  <c r="BD264" i="3"/>
  <c r="BD280" i="3"/>
  <c r="BC296" i="3"/>
  <c r="AG296" i="3"/>
  <c r="BD348" i="3"/>
  <c r="BD364" i="3"/>
  <c r="BC380" i="3"/>
  <c r="AG380" i="3"/>
  <c r="BD42" i="3"/>
  <c r="BC91" i="3"/>
  <c r="AG91" i="3"/>
  <c r="BD112" i="3"/>
  <c r="BC224" i="3"/>
  <c r="AG224" i="3"/>
  <c r="BD62" i="3"/>
  <c r="BC270" i="3"/>
  <c r="AG270" i="3"/>
  <c r="BD260" i="3"/>
  <c r="BD77" i="3"/>
  <c r="BC93" i="3"/>
  <c r="AG93" i="3"/>
  <c r="BD98" i="3"/>
  <c r="BD114" i="3"/>
  <c r="BD130" i="3"/>
  <c r="BC146" i="3"/>
  <c r="AG146" i="3"/>
  <c r="BC162" i="3"/>
  <c r="AG162" i="3"/>
  <c r="BC178" i="3"/>
  <c r="AG178" i="3"/>
  <c r="BC242" i="3"/>
  <c r="AG242" i="3"/>
  <c r="BC258" i="3"/>
  <c r="AG258" i="3"/>
  <c r="BC322" i="3"/>
  <c r="AG322" i="3"/>
  <c r="BC143" i="3"/>
  <c r="AG143" i="3"/>
  <c r="BD159" i="3"/>
  <c r="BD175" i="3"/>
  <c r="BD68" i="3"/>
  <c r="BD84" i="3"/>
  <c r="BD100" i="3"/>
  <c r="BC116" i="3"/>
  <c r="AG116" i="3"/>
  <c r="BC132" i="3"/>
  <c r="AG132" i="3"/>
  <c r="BD148" i="3"/>
  <c r="BC164" i="3"/>
  <c r="AG164" i="3"/>
  <c r="BC180" i="3"/>
  <c r="AG180" i="3"/>
  <c r="BD196" i="3"/>
  <c r="BC212" i="3"/>
  <c r="AG212" i="3"/>
  <c r="BC264" i="3"/>
  <c r="AG264" i="3"/>
  <c r="BC672" i="3"/>
  <c r="AG672" i="3"/>
  <c r="BC61" i="3"/>
  <c r="AG61" i="3"/>
  <c r="BC77" i="3"/>
  <c r="AG77" i="3"/>
  <c r="BD93" i="3"/>
  <c r="BD50" i="3"/>
  <c r="BD66" i="3"/>
  <c r="BD82" i="3"/>
  <c r="BC98" i="3"/>
  <c r="AG98" i="3"/>
  <c r="BD162" i="3"/>
  <c r="BD178" i="3"/>
  <c r="BD194" i="3"/>
  <c r="BD210" i="3"/>
  <c r="BD226" i="3"/>
  <c r="BD242" i="3"/>
  <c r="BD258" i="3"/>
  <c r="BD274" i="3"/>
  <c r="BD290" i="3"/>
  <c r="BD306" i="3"/>
  <c r="BD322" i="3"/>
  <c r="BD338" i="3"/>
  <c r="BD354" i="3"/>
  <c r="BD370" i="3"/>
  <c r="BD63" i="3"/>
  <c r="BD79" i="3"/>
  <c r="BD95" i="3"/>
  <c r="BD111" i="3"/>
  <c r="BD127" i="3"/>
  <c r="BD143" i="3"/>
  <c r="BC159" i="3"/>
  <c r="AG159" i="3"/>
  <c r="BC175" i="3"/>
  <c r="AG175" i="3"/>
  <c r="BC148" i="3"/>
  <c r="AG148" i="3"/>
  <c r="BC134" i="3"/>
  <c r="AG134" i="3"/>
  <c r="BC107" i="3"/>
  <c r="AG107" i="3"/>
  <c r="BD344" i="3"/>
  <c r="BC110" i="3"/>
  <c r="AG110" i="3"/>
  <c r="BC238" i="3"/>
  <c r="AG238" i="3"/>
  <c r="BC334" i="3"/>
  <c r="AG334" i="3"/>
  <c r="BC752" i="3"/>
  <c r="AG752" i="3"/>
  <c r="BD336" i="3"/>
  <c r="BD61" i="3"/>
  <c r="BC50" i="3"/>
  <c r="AG50" i="3"/>
  <c r="BC66" i="3"/>
  <c r="AG66" i="3"/>
  <c r="BC82" i="3"/>
  <c r="AG82" i="3"/>
  <c r="BC114" i="3"/>
  <c r="AG114" i="3"/>
  <c r="BC130" i="3"/>
  <c r="AG130" i="3"/>
  <c r="BD204" i="3"/>
  <c r="BC67" i="3"/>
  <c r="AG67" i="3"/>
  <c r="BC83" i="3"/>
  <c r="AG83" i="3"/>
  <c r="BC99" i="3"/>
  <c r="AG99" i="3"/>
  <c r="BC115" i="3"/>
  <c r="AG115" i="3"/>
  <c r="BC131" i="3"/>
  <c r="AG131" i="3"/>
  <c r="BD72" i="3"/>
  <c r="BC88" i="3"/>
  <c r="AG88" i="3"/>
  <c r="BD104" i="3"/>
  <c r="BC120" i="3"/>
  <c r="AG120" i="3"/>
  <c r="BC136" i="3"/>
  <c r="AG136" i="3"/>
  <c r="BD152" i="3"/>
  <c r="BD216" i="3"/>
  <c r="BC232" i="3"/>
  <c r="AG232" i="3"/>
  <c r="BC248" i="3"/>
  <c r="AG248" i="3"/>
  <c r="BD268" i="3"/>
  <c r="BD284" i="3"/>
  <c r="BC300" i="3"/>
  <c r="AG300" i="3"/>
  <c r="BD320" i="3"/>
  <c r="BD368" i="3"/>
  <c r="BC122" i="3"/>
  <c r="AG122" i="3"/>
  <c r="BD144" i="3"/>
  <c r="BD292" i="3"/>
  <c r="BC64" i="3"/>
  <c r="AG64" i="3"/>
  <c r="BC988" i="3"/>
  <c r="AG988" i="3"/>
  <c r="BD81" i="3"/>
  <c r="BC118" i="3"/>
  <c r="AG118" i="3"/>
  <c r="BC150" i="3"/>
  <c r="AG150" i="3"/>
  <c r="BC166" i="3"/>
  <c r="AG166" i="3"/>
  <c r="BC182" i="3"/>
  <c r="AG182" i="3"/>
  <c r="BC198" i="3"/>
  <c r="AG198" i="3"/>
  <c r="BC214" i="3"/>
  <c r="AG214" i="3"/>
  <c r="BC230" i="3"/>
  <c r="AG230" i="3"/>
  <c r="BC246" i="3"/>
  <c r="AG246" i="3"/>
  <c r="BC262" i="3"/>
  <c r="AG262" i="3"/>
  <c r="BC278" i="3"/>
  <c r="AG278" i="3"/>
  <c r="BC294" i="3"/>
  <c r="AG294" i="3"/>
  <c r="BC310" i="3"/>
  <c r="AG310" i="3"/>
  <c r="BC326" i="3"/>
  <c r="AG326" i="3"/>
  <c r="BC342" i="3"/>
  <c r="AG342" i="3"/>
  <c r="BC358" i="3"/>
  <c r="AG358" i="3"/>
  <c r="BC147" i="3"/>
  <c r="AG147" i="3"/>
  <c r="BD163" i="3"/>
  <c r="BC72" i="3"/>
  <c r="AG72" i="3"/>
  <c r="BD88" i="3"/>
  <c r="BC104" i="3"/>
  <c r="AG104" i="3"/>
  <c r="BD120" i="3"/>
  <c r="BD136" i="3"/>
  <c r="BD168" i="3"/>
  <c r="BD184" i="3"/>
  <c r="BD200" i="3"/>
  <c r="BC216" i="3"/>
  <c r="AG216" i="3"/>
  <c r="BD236" i="3"/>
  <c r="BD252" i="3"/>
  <c r="BC268" i="3"/>
  <c r="AG268" i="3"/>
  <c r="BC284" i="3"/>
  <c r="AG284" i="3"/>
  <c r="BC336" i="3"/>
  <c r="AG336" i="3"/>
  <c r="BC352" i="3"/>
  <c r="AG352" i="3"/>
  <c r="BC368" i="3"/>
  <c r="AG368" i="3"/>
  <c r="BD90" i="3"/>
  <c r="BC123" i="3"/>
  <c r="AG123" i="3"/>
  <c r="BD208" i="3"/>
  <c r="BD420" i="3"/>
  <c r="BD65" i="3"/>
  <c r="BC81" i="3"/>
  <c r="AG81" i="3"/>
  <c r="BD38" i="3"/>
  <c r="BC86" i="3"/>
  <c r="AG86" i="3"/>
  <c r="BD102" i="3"/>
  <c r="BD134" i="3"/>
  <c r="BD150" i="3"/>
  <c r="BD166" i="3"/>
  <c r="BD182" i="3"/>
  <c r="BD198" i="3"/>
  <c r="BD214" i="3"/>
  <c r="BD230" i="3"/>
  <c r="BD246" i="3"/>
  <c r="BD262" i="3"/>
  <c r="BD278" i="3"/>
  <c r="BD294" i="3"/>
  <c r="BD310" i="3"/>
  <c r="BD326" i="3"/>
  <c r="BD342" i="3"/>
  <c r="BD358" i="3"/>
  <c r="BC19" i="3"/>
  <c r="AG19" i="3"/>
  <c r="BC35" i="3"/>
  <c r="AG35" i="3"/>
  <c r="BD67" i="3"/>
  <c r="BD83" i="3"/>
  <c r="BD99" i="3"/>
  <c r="BD115" i="3"/>
  <c r="BD131" i="3"/>
  <c r="BD147" i="3"/>
  <c r="BC163" i="3"/>
  <c r="AG163" i="3"/>
  <c r="BC36" i="3"/>
  <c r="AG36" i="3"/>
  <c r="BC74" i="3"/>
  <c r="AG74" i="3"/>
  <c r="BC158" i="3"/>
  <c r="AG158" i="3"/>
  <c r="BC128" i="3"/>
  <c r="AG128" i="3"/>
  <c r="BC276" i="3"/>
  <c r="AG276" i="3"/>
  <c r="AG89" i="3"/>
  <c r="BD94" i="3"/>
  <c r="BC206" i="3"/>
  <c r="AG206" i="3"/>
  <c r="BC318" i="3"/>
  <c r="AG318" i="3"/>
  <c r="BC488" i="3"/>
  <c r="AG488" i="3"/>
  <c r="BD70" i="3"/>
  <c r="BC65" i="3"/>
  <c r="AG65" i="3"/>
  <c r="BC38" i="3"/>
  <c r="AG38" i="3"/>
  <c r="BC70" i="3"/>
  <c r="AG70" i="3"/>
  <c r="BD86" i="3"/>
  <c r="BC102" i="3"/>
  <c r="AG102" i="3"/>
  <c r="BD118" i="3"/>
  <c r="BC71" i="3"/>
  <c r="AG71" i="3"/>
  <c r="BC87" i="3"/>
  <c r="AG87" i="3"/>
  <c r="BC103" i="3"/>
  <c r="AG103" i="3"/>
  <c r="BC119" i="3"/>
  <c r="AG119" i="3"/>
  <c r="BC135" i="3"/>
  <c r="AG135" i="3"/>
  <c r="BD151" i="3"/>
  <c r="BD36" i="3"/>
  <c r="BC996" i="3"/>
  <c r="AG996" i="3"/>
  <c r="BD839" i="3"/>
  <c r="BC402" i="3"/>
  <c r="AG402" i="3"/>
  <c r="BC418" i="3"/>
  <c r="AG418" i="3"/>
  <c r="BD434" i="3"/>
  <c r="BC450" i="3"/>
  <c r="AG450" i="3"/>
  <c r="BC466" i="3"/>
  <c r="AG466" i="3"/>
  <c r="BD482" i="3"/>
  <c r="BC498" i="3"/>
  <c r="AG498" i="3"/>
  <c r="BC514" i="3"/>
  <c r="AG514" i="3"/>
  <c r="BC530" i="3"/>
  <c r="AG530" i="3"/>
  <c r="BC546" i="3"/>
  <c r="AG546" i="3"/>
  <c r="BC562" i="3"/>
  <c r="AG562" i="3"/>
  <c r="BC578" i="3"/>
  <c r="AG578" i="3"/>
  <c r="BC594" i="3"/>
  <c r="AG594" i="3"/>
  <c r="BC610" i="3"/>
  <c r="AG610" i="3"/>
  <c r="BD626" i="3"/>
  <c r="BD662" i="3"/>
  <c r="BD678" i="3"/>
  <c r="BC694" i="3"/>
  <c r="AG694" i="3"/>
  <c r="BC75" i="3"/>
  <c r="AG75" i="3"/>
  <c r="BD360" i="3"/>
  <c r="BC142" i="3"/>
  <c r="AG142" i="3"/>
  <c r="BD96" i="3"/>
  <c r="BC836" i="3"/>
  <c r="AG836" i="3"/>
  <c r="BC69" i="3"/>
  <c r="AG69" i="3"/>
  <c r="BC42" i="3"/>
  <c r="AG42" i="3"/>
  <c r="BC58" i="3"/>
  <c r="AG58" i="3"/>
  <c r="BD74" i="3"/>
  <c r="BC90" i="3"/>
  <c r="AG90" i="3"/>
  <c r="BD138" i="3"/>
  <c r="BC154" i="3"/>
  <c r="AG154" i="3"/>
  <c r="BC170" i="3"/>
  <c r="AG170" i="3"/>
  <c r="BC186" i="3"/>
  <c r="AG186" i="3"/>
  <c r="BC202" i="3"/>
  <c r="AG202" i="3"/>
  <c r="BC218" i="3"/>
  <c r="AG218" i="3"/>
  <c r="BC234" i="3"/>
  <c r="AG234" i="3"/>
  <c r="BC250" i="3"/>
  <c r="AG250" i="3"/>
  <c r="BC266" i="3"/>
  <c r="AG266" i="3"/>
  <c r="BC282" i="3"/>
  <c r="AG282" i="3"/>
  <c r="BC298" i="3"/>
  <c r="AG298" i="3"/>
  <c r="BC314" i="3"/>
  <c r="AG314" i="3"/>
  <c r="BC330" i="3"/>
  <c r="AG330" i="3"/>
  <c r="BC346" i="3"/>
  <c r="AG346" i="3"/>
  <c r="BC362" i="3"/>
  <c r="AG362" i="3"/>
  <c r="BD19" i="3"/>
  <c r="BD35" i="3"/>
  <c r="BD167" i="3"/>
  <c r="BC60" i="3"/>
  <c r="AG60" i="3"/>
  <c r="BC76" i="3"/>
  <c r="AG76" i="3"/>
  <c r="BD92" i="3"/>
  <c r="BC108" i="3"/>
  <c r="AG108" i="3"/>
  <c r="BC124" i="3"/>
  <c r="AG124" i="3"/>
  <c r="BC140" i="3"/>
  <c r="AG140" i="3"/>
  <c r="BD156" i="3"/>
  <c r="BD172" i="3"/>
  <c r="BC204" i="3"/>
  <c r="AG204" i="3"/>
  <c r="BC272" i="3"/>
  <c r="AG272" i="3"/>
  <c r="BC308" i="3"/>
  <c r="AG308" i="3"/>
  <c r="BC324" i="3"/>
  <c r="AG324" i="3"/>
  <c r="BD340" i="3"/>
  <c r="BD356" i="3"/>
  <c r="BD372" i="3"/>
  <c r="BD135" i="3"/>
  <c r="BC151" i="3"/>
  <c r="AG151" i="3"/>
  <c r="BC167" i="3"/>
  <c r="AG167" i="3"/>
  <c r="BD60" i="3"/>
  <c r="BD76" i="3"/>
  <c r="BC92" i="3"/>
  <c r="AG92" i="3"/>
  <c r="BD108" i="3"/>
  <c r="BD124" i="3"/>
  <c r="BD140" i="3"/>
  <c r="BC188" i="3"/>
  <c r="AG188" i="3"/>
  <c r="BC220" i="3"/>
  <c r="AG220" i="3"/>
  <c r="BC236" i="3"/>
  <c r="AG236" i="3"/>
  <c r="BD256" i="3"/>
  <c r="BC288" i="3"/>
  <c r="AG288" i="3"/>
  <c r="BC304" i="3"/>
  <c r="AG304" i="3"/>
  <c r="BC340" i="3"/>
  <c r="AG340" i="3"/>
  <c r="BC356" i="3"/>
  <c r="AG356" i="3"/>
  <c r="BC372" i="3"/>
  <c r="AG372" i="3"/>
  <c r="BD905" i="3"/>
  <c r="BD109" i="3"/>
  <c r="BD125" i="3"/>
  <c r="BD141" i="3"/>
  <c r="BD493" i="3"/>
  <c r="BD525" i="3"/>
  <c r="BC541" i="3"/>
  <c r="AG541" i="3"/>
  <c r="BD573" i="3"/>
  <c r="BD605" i="3"/>
  <c r="BD621" i="3"/>
  <c r="BD637" i="3"/>
  <c r="BD653" i="3"/>
  <c r="BD669" i="3"/>
  <c r="BD685" i="3"/>
  <c r="BD701" i="3"/>
  <c r="BD717" i="3"/>
  <c r="BD733" i="3"/>
  <c r="BD749" i="3"/>
  <c r="BD769" i="3"/>
  <c r="BD785" i="3"/>
  <c r="BD801" i="3"/>
  <c r="BD817" i="3"/>
  <c r="BD833" i="3"/>
  <c r="BD849" i="3"/>
  <c r="BD865" i="3"/>
  <c r="BD881" i="3"/>
  <c r="BD897" i="3"/>
  <c r="BC913" i="3"/>
  <c r="AG913" i="3"/>
  <c r="BC929" i="3"/>
  <c r="AG929" i="3"/>
  <c r="BC945" i="3"/>
  <c r="AG945" i="3"/>
  <c r="BC961" i="3"/>
  <c r="AG961" i="3"/>
  <c r="BC977" i="3"/>
  <c r="AG977" i="3"/>
  <c r="BC993" i="3"/>
  <c r="AG993" i="3"/>
  <c r="BC1009" i="3"/>
  <c r="AG1009" i="3"/>
  <c r="BD996" i="3"/>
  <c r="BD748" i="3"/>
  <c r="BD836" i="3"/>
  <c r="BD988" i="3"/>
  <c r="BC420" i="3"/>
  <c r="AG420" i="3"/>
  <c r="BD488" i="3"/>
  <c r="BC576" i="3"/>
  <c r="AG576" i="3"/>
  <c r="BD672" i="3"/>
  <c r="BD752" i="3"/>
  <c r="BC848" i="3"/>
  <c r="AG848" i="3"/>
  <c r="BD1012" i="3"/>
  <c r="BD380" i="3"/>
  <c r="BD155" i="3"/>
  <c r="BD171" i="3"/>
  <c r="BD288" i="3"/>
  <c r="BC156" i="3"/>
  <c r="AG156" i="3"/>
  <c r="BC172" i="3"/>
  <c r="AG172" i="3"/>
  <c r="BD188" i="3"/>
  <c r="BD224" i="3"/>
  <c r="BD240" i="3"/>
  <c r="BC256" i="3"/>
  <c r="AG256" i="3"/>
  <c r="BC292" i="3"/>
  <c r="AG292" i="3"/>
  <c r="BD308" i="3"/>
  <c r="BD324" i="3"/>
  <c r="BC109" i="3"/>
  <c r="AG109" i="3"/>
  <c r="BC125" i="3"/>
  <c r="AG125" i="3"/>
  <c r="BC141" i="3"/>
  <c r="AG141" i="3"/>
  <c r="BC157" i="3"/>
  <c r="AG157" i="3"/>
  <c r="BC173" i="3"/>
  <c r="AG173" i="3"/>
  <c r="BC189" i="3"/>
  <c r="AG189" i="3"/>
  <c r="BC205" i="3"/>
  <c r="AG205" i="3"/>
  <c r="BC221" i="3"/>
  <c r="AG221" i="3"/>
  <c r="BC237" i="3"/>
  <c r="AG237" i="3"/>
  <c r="BC253" i="3"/>
  <c r="AG253" i="3"/>
  <c r="BC269" i="3"/>
  <c r="AG269" i="3"/>
  <c r="BC285" i="3"/>
  <c r="AG285" i="3"/>
  <c r="BC301" i="3"/>
  <c r="AG301" i="3"/>
  <c r="BC317" i="3"/>
  <c r="AG317" i="3"/>
  <c r="BC333" i="3"/>
  <c r="AG333" i="3"/>
  <c r="BC349" i="3"/>
  <c r="AG349" i="3"/>
  <c r="BC365" i="3"/>
  <c r="AG365" i="3"/>
  <c r="BC381" i="3"/>
  <c r="AG381" i="3"/>
  <c r="BC397" i="3"/>
  <c r="AG397" i="3"/>
  <c r="BC413" i="3"/>
  <c r="AG413" i="3"/>
  <c r="BC429" i="3"/>
  <c r="AG429" i="3"/>
  <c r="BC445" i="3"/>
  <c r="AG445" i="3"/>
  <c r="BC461" i="3"/>
  <c r="AG461" i="3"/>
  <c r="BC477" i="3"/>
  <c r="AG477" i="3"/>
  <c r="BC493" i="3"/>
  <c r="AG493" i="3"/>
  <c r="BD509" i="3"/>
  <c r="BD529" i="3"/>
  <c r="BC545" i="3"/>
  <c r="AG545" i="3"/>
  <c r="BC577" i="3"/>
  <c r="AG577" i="3"/>
  <c r="BC593" i="3"/>
  <c r="AG593" i="3"/>
  <c r="BD625" i="3"/>
  <c r="BD641" i="3"/>
  <c r="BD657" i="3"/>
  <c r="BD673" i="3"/>
  <c r="BD689" i="3"/>
  <c r="BD705" i="3"/>
  <c r="BD721" i="3"/>
  <c r="BD737" i="3"/>
  <c r="BD753" i="3"/>
  <c r="BD789" i="3"/>
  <c r="BD917" i="3"/>
  <c r="BD933" i="3"/>
  <c r="BD949" i="3"/>
  <c r="BD965" i="3"/>
  <c r="BD981" i="3"/>
  <c r="BD997" i="3"/>
  <c r="BD608" i="3"/>
  <c r="BD376" i="3"/>
  <c r="BC113" i="3"/>
  <c r="AG113" i="3"/>
  <c r="BC129" i="3"/>
  <c r="AG129" i="3"/>
  <c r="BD433" i="3"/>
  <c r="BD465" i="3"/>
  <c r="BD481" i="3"/>
  <c r="BC497" i="3"/>
  <c r="AG497" i="3"/>
  <c r="BC529" i="3"/>
  <c r="AG529" i="3"/>
  <c r="BD561" i="3"/>
  <c r="BC609" i="3"/>
  <c r="AG609" i="3"/>
  <c r="BD773" i="3"/>
  <c r="BD805" i="3"/>
  <c r="BD821" i="3"/>
  <c r="BD837" i="3"/>
  <c r="BD853" i="3"/>
  <c r="BD869" i="3"/>
  <c r="BD885" i="3"/>
  <c r="BD901" i="3"/>
  <c r="BC917" i="3"/>
  <c r="AG917" i="3"/>
  <c r="BC933" i="3"/>
  <c r="AG933" i="3"/>
  <c r="BC949" i="3"/>
  <c r="AG949" i="3"/>
  <c r="BC965" i="3"/>
  <c r="AG965" i="3"/>
  <c r="BC981" i="3"/>
  <c r="AG981" i="3"/>
  <c r="BC997" i="3"/>
  <c r="AG997" i="3"/>
  <c r="BD823" i="3"/>
  <c r="BD312" i="3"/>
  <c r="BD328" i="3"/>
  <c r="BC344" i="3"/>
  <c r="AG344" i="3"/>
  <c r="BC360" i="3"/>
  <c r="AG360" i="3"/>
  <c r="BC376" i="3"/>
  <c r="AG376" i="3"/>
  <c r="BD97" i="3"/>
  <c r="BD145" i="3"/>
  <c r="BD161" i="3"/>
  <c r="BD177" i="3"/>
  <c r="BD193" i="3"/>
  <c r="BD209" i="3"/>
  <c r="BD225" i="3"/>
  <c r="BD241" i="3"/>
  <c r="BD257" i="3"/>
  <c r="BD273" i="3"/>
  <c r="BD289" i="3"/>
  <c r="BD305" i="3"/>
  <c r="BD321" i="3"/>
  <c r="BD337" i="3"/>
  <c r="BD353" i="3"/>
  <c r="BD369" i="3"/>
  <c r="BD385" i="3"/>
  <c r="BD401" i="3"/>
  <c r="BD417" i="3"/>
  <c r="BD449" i="3"/>
  <c r="BD513" i="3"/>
  <c r="BD545" i="3"/>
  <c r="BC561" i="3"/>
  <c r="AG561" i="3"/>
  <c r="BC757" i="3"/>
  <c r="AG757" i="3"/>
  <c r="BC773" i="3"/>
  <c r="AG773" i="3"/>
  <c r="BC789" i="3"/>
  <c r="AG789" i="3"/>
  <c r="BC805" i="3"/>
  <c r="AG805" i="3"/>
  <c r="BC821" i="3"/>
  <c r="AG821" i="3"/>
  <c r="BC837" i="3"/>
  <c r="AG837" i="3"/>
  <c r="BC853" i="3"/>
  <c r="AG853" i="3"/>
  <c r="BC869" i="3"/>
  <c r="AG869" i="3"/>
  <c r="BC885" i="3"/>
  <c r="AG885" i="3"/>
  <c r="BC901" i="3"/>
  <c r="AG901" i="3"/>
  <c r="BD856" i="3"/>
  <c r="BC910" i="3"/>
  <c r="AG910" i="3"/>
  <c r="BC416" i="3"/>
  <c r="AG416" i="3"/>
  <c r="BC636" i="3"/>
  <c r="AG636" i="3"/>
  <c r="BC772" i="3"/>
  <c r="AG772" i="3"/>
  <c r="BD964" i="3"/>
  <c r="BC160" i="3"/>
  <c r="AG160" i="3"/>
  <c r="BC176" i="3"/>
  <c r="AG176" i="3"/>
  <c r="BC192" i="3"/>
  <c r="AG192" i="3"/>
  <c r="BD228" i="3"/>
  <c r="BD244" i="3"/>
  <c r="BD296" i="3"/>
  <c r="BC312" i="3"/>
  <c r="AG312" i="3"/>
  <c r="BC328" i="3"/>
  <c r="AG328" i="3"/>
  <c r="BC97" i="3"/>
  <c r="AG97" i="3"/>
  <c r="BD113" i="3"/>
  <c r="BD129" i="3"/>
  <c r="BC145" i="3"/>
  <c r="AG145" i="3"/>
  <c r="BC161" i="3"/>
  <c r="AG161" i="3"/>
  <c r="BC177" i="3"/>
  <c r="AG177" i="3"/>
  <c r="BC193" i="3"/>
  <c r="AG193" i="3"/>
  <c r="BC209" i="3"/>
  <c r="AG209" i="3"/>
  <c r="BC225" i="3"/>
  <c r="AG225" i="3"/>
  <c r="BC241" i="3"/>
  <c r="AG241" i="3"/>
  <c r="BC257" i="3"/>
  <c r="AG257" i="3"/>
  <c r="BC273" i="3"/>
  <c r="AG273" i="3"/>
  <c r="BC289" i="3"/>
  <c r="AG289" i="3"/>
  <c r="BC305" i="3"/>
  <c r="AG305" i="3"/>
  <c r="BC321" i="3"/>
  <c r="AG321" i="3"/>
  <c r="BC337" i="3"/>
  <c r="AG337" i="3"/>
  <c r="BC353" i="3"/>
  <c r="AG353" i="3"/>
  <c r="BC369" i="3"/>
  <c r="AG369" i="3"/>
  <c r="BC385" i="3"/>
  <c r="AG385" i="3"/>
  <c r="BC401" i="3"/>
  <c r="AG401" i="3"/>
  <c r="BC417" i="3"/>
  <c r="AG417" i="3"/>
  <c r="BC433" i="3"/>
  <c r="AG433" i="3"/>
  <c r="BC449" i="3"/>
  <c r="AG449" i="3"/>
  <c r="BC465" i="3"/>
  <c r="AG465" i="3"/>
  <c r="BC481" i="3"/>
  <c r="AG481" i="3"/>
  <c r="BD497" i="3"/>
  <c r="BC513" i="3"/>
  <c r="AG513" i="3"/>
  <c r="BD581" i="3"/>
  <c r="BD597" i="3"/>
  <c r="BD613" i="3"/>
  <c r="BC629" i="3"/>
  <c r="AG629" i="3"/>
  <c r="BC645" i="3"/>
  <c r="AG645" i="3"/>
  <c r="BC661" i="3"/>
  <c r="AG661" i="3"/>
  <c r="BC677" i="3"/>
  <c r="AG677" i="3"/>
  <c r="BC693" i="3"/>
  <c r="AG693" i="3"/>
  <c r="BC709" i="3"/>
  <c r="AG709" i="3"/>
  <c r="BC725" i="3"/>
  <c r="AG725" i="3"/>
  <c r="BC741" i="3"/>
  <c r="AG741" i="3"/>
  <c r="BD757" i="3"/>
  <c r="BD777" i="3"/>
  <c r="BD921" i="3"/>
  <c r="BD937" i="3"/>
  <c r="BD953" i="3"/>
  <c r="BD969" i="3"/>
  <c r="BD985" i="3"/>
  <c r="BD1001" i="3"/>
  <c r="BC856" i="3"/>
  <c r="AG856" i="3"/>
  <c r="BD940" i="3"/>
  <c r="BD920" i="3"/>
  <c r="BC374" i="3"/>
  <c r="AG374" i="3"/>
  <c r="BC390" i="3"/>
  <c r="AG390" i="3"/>
  <c r="BC406" i="3"/>
  <c r="AG406" i="3"/>
  <c r="BC422" i="3"/>
  <c r="AG422" i="3"/>
  <c r="BC438" i="3"/>
  <c r="AG438" i="3"/>
  <c r="BC454" i="3"/>
  <c r="AG454" i="3"/>
  <c r="BC486" i="3"/>
  <c r="AG486" i="3"/>
  <c r="BD915" i="3"/>
  <c r="BD983" i="3"/>
  <c r="BD432" i="3"/>
  <c r="BD548" i="3"/>
  <c r="BC964" i="3"/>
  <c r="AG964" i="3"/>
  <c r="BD807" i="3"/>
  <c r="BC117" i="3"/>
  <c r="AG117" i="3"/>
  <c r="BD485" i="3"/>
  <c r="BD517" i="3"/>
  <c r="BD533" i="3"/>
  <c r="BD549" i="3"/>
  <c r="BD565" i="3"/>
  <c r="BC581" i="3"/>
  <c r="AG581" i="3"/>
  <c r="BC597" i="3"/>
  <c r="AG597" i="3"/>
  <c r="BC613" i="3"/>
  <c r="AG613" i="3"/>
  <c r="BD629" i="3"/>
  <c r="BD645" i="3"/>
  <c r="BD661" i="3"/>
  <c r="BD677" i="3"/>
  <c r="BD693" i="3"/>
  <c r="BD709" i="3"/>
  <c r="BD725" i="3"/>
  <c r="BD741" i="3"/>
  <c r="BD793" i="3"/>
  <c r="BD809" i="3"/>
  <c r="BD825" i="3"/>
  <c r="BD841" i="3"/>
  <c r="BD857" i="3"/>
  <c r="BD873" i="3"/>
  <c r="BD889" i="3"/>
  <c r="BC905" i="3"/>
  <c r="AG905" i="3"/>
  <c r="BC921" i="3"/>
  <c r="AG921" i="3"/>
  <c r="BC937" i="3"/>
  <c r="AG937" i="3"/>
  <c r="BC953" i="3"/>
  <c r="AG953" i="3"/>
  <c r="BC969" i="3"/>
  <c r="AG969" i="3"/>
  <c r="BC985" i="3"/>
  <c r="AG985" i="3"/>
  <c r="BC1001" i="3"/>
  <c r="AG1001" i="3"/>
  <c r="BC452" i="3"/>
  <c r="AG452" i="3"/>
  <c r="BD536" i="3"/>
  <c r="BD808" i="3"/>
  <c r="BD916" i="3"/>
  <c r="BD963" i="3"/>
  <c r="BD412" i="3"/>
  <c r="BD484" i="3"/>
  <c r="BC572" i="3"/>
  <c r="AG572" i="3"/>
  <c r="BD676" i="3"/>
  <c r="BD756" i="3"/>
  <c r="BC852" i="3"/>
  <c r="AG852" i="3"/>
  <c r="BD1008" i="3"/>
  <c r="BC187" i="3"/>
  <c r="AG187" i="3"/>
  <c r="BC203" i="3"/>
  <c r="AG203" i="3"/>
  <c r="BC219" i="3"/>
  <c r="AG219" i="3"/>
  <c r="BC235" i="3"/>
  <c r="AG235" i="3"/>
  <c r="BC251" i="3"/>
  <c r="AG251" i="3"/>
  <c r="BC267" i="3"/>
  <c r="AG267" i="3"/>
  <c r="BC283" i="3"/>
  <c r="AG283" i="3"/>
  <c r="BC299" i="3"/>
  <c r="AG299" i="3"/>
  <c r="BC623" i="3"/>
  <c r="AG623" i="3"/>
  <c r="BC639" i="3"/>
  <c r="AG639" i="3"/>
  <c r="BC655" i="3"/>
  <c r="AG655" i="3"/>
  <c r="BC671" i="3"/>
  <c r="AG671" i="3"/>
  <c r="BC687" i="3"/>
  <c r="AG687" i="3"/>
  <c r="BC703" i="3"/>
  <c r="AG703" i="3"/>
  <c r="BC719" i="3"/>
  <c r="AG719" i="3"/>
  <c r="BC735" i="3"/>
  <c r="AG735" i="3"/>
  <c r="BC751" i="3"/>
  <c r="AG751" i="3"/>
  <c r="BD767" i="3"/>
  <c r="BC799" i="3"/>
  <c r="AG799" i="3"/>
  <c r="BD819" i="3"/>
  <c r="BD887" i="3"/>
  <c r="BC943" i="3"/>
  <c r="AG943" i="3"/>
  <c r="BC1003" i="3"/>
  <c r="AG1003" i="3"/>
  <c r="BC684" i="3"/>
  <c r="AG684" i="3"/>
  <c r="BC792" i="3"/>
  <c r="AG792" i="3"/>
  <c r="BC280" i="3"/>
  <c r="AG280" i="3"/>
  <c r="BD316" i="3"/>
  <c r="BD332" i="3"/>
  <c r="BC348" i="3"/>
  <c r="AG348" i="3"/>
  <c r="BC364" i="3"/>
  <c r="AG364" i="3"/>
  <c r="BD795" i="3"/>
  <c r="BD899" i="3"/>
  <c r="BD101" i="3"/>
  <c r="BD133" i="3"/>
  <c r="BD149" i="3"/>
  <c r="BD165" i="3"/>
  <c r="BD181" i="3"/>
  <c r="BD197" i="3"/>
  <c r="BD213" i="3"/>
  <c r="BD229" i="3"/>
  <c r="BD245" i="3"/>
  <c r="BD261" i="3"/>
  <c r="BD277" i="3"/>
  <c r="BD293" i="3"/>
  <c r="BD309" i="3"/>
  <c r="BD325" i="3"/>
  <c r="BD341" i="3"/>
  <c r="BD357" i="3"/>
  <c r="BD373" i="3"/>
  <c r="BD389" i="3"/>
  <c r="BD405" i="3"/>
  <c r="BD421" i="3"/>
  <c r="BD437" i="3"/>
  <c r="BD453" i="3"/>
  <c r="BD469" i="3"/>
  <c r="BD501" i="3"/>
  <c r="BC517" i="3"/>
  <c r="AG517" i="3"/>
  <c r="BC533" i="3"/>
  <c r="AG533" i="3"/>
  <c r="BC549" i="3"/>
  <c r="AG549" i="3"/>
  <c r="BC565" i="3"/>
  <c r="AG565" i="3"/>
  <c r="BC617" i="3"/>
  <c r="AG617" i="3"/>
  <c r="BC633" i="3"/>
  <c r="AG633" i="3"/>
  <c r="BC649" i="3"/>
  <c r="AG649" i="3"/>
  <c r="BC665" i="3"/>
  <c r="AG665" i="3"/>
  <c r="BC681" i="3"/>
  <c r="AG681" i="3"/>
  <c r="BC697" i="3"/>
  <c r="AG697" i="3"/>
  <c r="BC713" i="3"/>
  <c r="AG713" i="3"/>
  <c r="BC729" i="3"/>
  <c r="AG729" i="3"/>
  <c r="BC745" i="3"/>
  <c r="AG745" i="3"/>
  <c r="BD761" i="3"/>
  <c r="BC777" i="3"/>
  <c r="AG777" i="3"/>
  <c r="BC793" i="3"/>
  <c r="AG793" i="3"/>
  <c r="BC809" i="3"/>
  <c r="AG809" i="3"/>
  <c r="BC825" i="3"/>
  <c r="AG825" i="3"/>
  <c r="BC841" i="3"/>
  <c r="AG841" i="3"/>
  <c r="BC857" i="3"/>
  <c r="AG857" i="3"/>
  <c r="BC873" i="3"/>
  <c r="AG873" i="3"/>
  <c r="BC889" i="3"/>
  <c r="AG889" i="3"/>
  <c r="BD912" i="3"/>
  <c r="BD907" i="3"/>
  <c r="BD967" i="3"/>
  <c r="BC536" i="3"/>
  <c r="AG536" i="3"/>
  <c r="BD628" i="3"/>
  <c r="BD720" i="3"/>
  <c r="BC808" i="3"/>
  <c r="AG808" i="3"/>
  <c r="BC916" i="3"/>
  <c r="AG916" i="3"/>
  <c r="BD903" i="3"/>
  <c r="BC963" i="3"/>
  <c r="AG963" i="3"/>
  <c r="BC412" i="3"/>
  <c r="AG412" i="3"/>
  <c r="BC484" i="3"/>
  <c r="AG484" i="3"/>
  <c r="BC676" i="3"/>
  <c r="AG676" i="3"/>
  <c r="BC756" i="3"/>
  <c r="AG756" i="3"/>
  <c r="BC1008" i="3"/>
  <c r="AG1008" i="3"/>
  <c r="BC319" i="3"/>
  <c r="AG319" i="3"/>
  <c r="BC335" i="3"/>
  <c r="AG335" i="3"/>
  <c r="BC351" i="3"/>
  <c r="AG351" i="3"/>
  <c r="BC367" i="3"/>
  <c r="AG367" i="3"/>
  <c r="BC383" i="3"/>
  <c r="AG383" i="3"/>
  <c r="BC399" i="3"/>
  <c r="AG399" i="3"/>
  <c r="BC415" i="3"/>
  <c r="AG415" i="3"/>
  <c r="BC431" i="3"/>
  <c r="AG431" i="3"/>
  <c r="BD447" i="3"/>
  <c r="BC463" i="3"/>
  <c r="AG463" i="3"/>
  <c r="BC479" i="3"/>
  <c r="AG479" i="3"/>
  <c r="BD495" i="3"/>
  <c r="BD511" i="3"/>
  <c r="BD527" i="3"/>
  <c r="BD543" i="3"/>
  <c r="BD559" i="3"/>
  <c r="BD575" i="3"/>
  <c r="BD591" i="3"/>
  <c r="BD607" i="3"/>
  <c r="BD783" i="3"/>
  <c r="BD799" i="3"/>
  <c r="BC819" i="3"/>
  <c r="AG819" i="3"/>
  <c r="BC839" i="3"/>
  <c r="AG839" i="3"/>
  <c r="BD859" i="3"/>
  <c r="BC887" i="3"/>
  <c r="AG887" i="3"/>
  <c r="BD524" i="3"/>
  <c r="BD616" i="3"/>
  <c r="BD816" i="3"/>
  <c r="BD932" i="3"/>
  <c r="BD180" i="3"/>
  <c r="BC196" i="3"/>
  <c r="AG196" i="3"/>
  <c r="BD232" i="3"/>
  <c r="BD248" i="3"/>
  <c r="BD300" i="3"/>
  <c r="BC316" i="3"/>
  <c r="AG316" i="3"/>
  <c r="BC332" i="3"/>
  <c r="AG332" i="3"/>
  <c r="BD352" i="3"/>
  <c r="BD892" i="3"/>
  <c r="BC101" i="3"/>
  <c r="AG101" i="3"/>
  <c r="BD117" i="3"/>
  <c r="BC133" i="3"/>
  <c r="AG133" i="3"/>
  <c r="BC149" i="3"/>
  <c r="AG149" i="3"/>
  <c r="BC165" i="3"/>
  <c r="AG165" i="3"/>
  <c r="BC181" i="3"/>
  <c r="AG181" i="3"/>
  <c r="BC197" i="3"/>
  <c r="AG197" i="3"/>
  <c r="BC213" i="3"/>
  <c r="AG213" i="3"/>
  <c r="BC229" i="3"/>
  <c r="AG229" i="3"/>
  <c r="BC245" i="3"/>
  <c r="AG245" i="3"/>
  <c r="BC261" i="3"/>
  <c r="AG261" i="3"/>
  <c r="BC277" i="3"/>
  <c r="AG277" i="3"/>
  <c r="BC293" i="3"/>
  <c r="AG293" i="3"/>
  <c r="BC309" i="3"/>
  <c r="AG309" i="3"/>
  <c r="BC325" i="3"/>
  <c r="AG325" i="3"/>
  <c r="BC341" i="3"/>
  <c r="AG341" i="3"/>
  <c r="BC357" i="3"/>
  <c r="AG357" i="3"/>
  <c r="BC373" i="3"/>
  <c r="AG373" i="3"/>
  <c r="BC389" i="3"/>
  <c r="AG389" i="3"/>
  <c r="BC405" i="3"/>
  <c r="AG405" i="3"/>
  <c r="BC421" i="3"/>
  <c r="AG421" i="3"/>
  <c r="BC437" i="3"/>
  <c r="AG437" i="3"/>
  <c r="BC453" i="3"/>
  <c r="AG453" i="3"/>
  <c r="BC469" i="3"/>
  <c r="AG469" i="3"/>
  <c r="BC485" i="3"/>
  <c r="AG485" i="3"/>
  <c r="BC501" i="3"/>
  <c r="AG501" i="3"/>
  <c r="BC569" i="3"/>
  <c r="AG569" i="3"/>
  <c r="BD585" i="3"/>
  <c r="BD601" i="3"/>
  <c r="BC761" i="3"/>
  <c r="AG761" i="3"/>
  <c r="BD909" i="3"/>
  <c r="BD925" i="3"/>
  <c r="BD941" i="3"/>
  <c r="BD957" i="3"/>
  <c r="BD973" i="3"/>
  <c r="BD989" i="3"/>
  <c r="BD1005" i="3"/>
  <c r="BC912" i="3"/>
  <c r="AG912" i="3"/>
  <c r="BD105" i="3"/>
  <c r="BD457" i="3"/>
  <c r="BD489" i="3"/>
  <c r="BC521" i="3"/>
  <c r="AG521" i="3"/>
  <c r="BD537" i="3"/>
  <c r="BD553" i="3"/>
  <c r="BC585" i="3"/>
  <c r="AG585" i="3"/>
  <c r="BC601" i="3"/>
  <c r="AG601" i="3"/>
  <c r="BD617" i="3"/>
  <c r="BD633" i="3"/>
  <c r="BD649" i="3"/>
  <c r="BD665" i="3"/>
  <c r="BD681" i="3"/>
  <c r="BD697" i="3"/>
  <c r="BD713" i="3"/>
  <c r="BD729" i="3"/>
  <c r="BD745" i="3"/>
  <c r="BD765" i="3"/>
  <c r="BD781" i="3"/>
  <c r="BD797" i="3"/>
  <c r="BD813" i="3"/>
  <c r="BD829" i="3"/>
  <c r="BD845" i="3"/>
  <c r="BD861" i="3"/>
  <c r="BD877" i="3"/>
  <c r="BD893" i="3"/>
  <c r="BC909" i="3"/>
  <c r="AG909" i="3"/>
  <c r="BC925" i="3"/>
  <c r="AG925" i="3"/>
  <c r="BC941" i="3"/>
  <c r="AG941" i="3"/>
  <c r="BC957" i="3"/>
  <c r="AG957" i="3"/>
  <c r="BC973" i="3"/>
  <c r="AG973" i="3"/>
  <c r="BC989" i="3"/>
  <c r="AG989" i="3"/>
  <c r="BC1005" i="3"/>
  <c r="AG1005" i="3"/>
  <c r="BC634" i="3"/>
  <c r="AG634" i="3"/>
  <c r="BC956" i="3"/>
  <c r="AG956" i="3"/>
  <c r="BD378" i="3"/>
  <c r="BD394" i="3"/>
  <c r="BD410" i="3"/>
  <c r="BD426" i="3"/>
  <c r="BD446" i="3"/>
  <c r="BD478" i="3"/>
  <c r="BC494" i="3"/>
  <c r="AG494" i="3"/>
  <c r="BC510" i="3"/>
  <c r="AG510" i="3"/>
  <c r="BD526" i="3"/>
  <c r="BD542" i="3"/>
  <c r="BD558" i="3"/>
  <c r="BD574" i="3"/>
  <c r="BD590" i="3"/>
  <c r="BC606" i="3"/>
  <c r="AG606" i="3"/>
  <c r="BC622" i="3"/>
  <c r="AG622" i="3"/>
  <c r="BD638" i="3"/>
  <c r="BD654" i="3"/>
  <c r="BC690" i="3"/>
  <c r="AG690" i="3"/>
  <c r="AG706" i="3"/>
  <c r="BD722" i="3"/>
  <c r="BC770" i="3"/>
  <c r="AG770" i="3"/>
  <c r="BD790" i="3"/>
  <c r="BD806" i="3"/>
  <c r="BD822" i="3"/>
  <c r="BD838" i="3"/>
  <c r="BD854" i="3"/>
  <c r="BD870" i="3"/>
  <c r="BC886" i="3"/>
  <c r="AG886" i="3"/>
  <c r="BC902" i="3"/>
  <c r="AG902" i="3"/>
  <c r="BC573" i="3"/>
  <c r="AG573" i="3"/>
  <c r="BC105" i="3"/>
  <c r="AG105" i="3"/>
  <c r="BC121" i="3"/>
  <c r="AG121" i="3"/>
  <c r="BC137" i="3"/>
  <c r="AG137" i="3"/>
  <c r="BD153" i="3"/>
  <c r="BD169" i="3"/>
  <c r="BD185" i="3"/>
  <c r="BD201" i="3"/>
  <c r="BD217" i="3"/>
  <c r="BD233" i="3"/>
  <c r="BD249" i="3"/>
  <c r="BD265" i="3"/>
  <c r="BD281" i="3"/>
  <c r="BD297" i="3"/>
  <c r="BD313" i="3"/>
  <c r="BD329" i="3"/>
  <c r="BD345" i="3"/>
  <c r="BD361" i="3"/>
  <c r="BD377" i="3"/>
  <c r="BD393" i="3"/>
  <c r="BD409" i="3"/>
  <c r="BD425" i="3"/>
  <c r="BD441" i="3"/>
  <c r="BD473" i="3"/>
  <c r="BD505" i="3"/>
  <c r="BD521" i="3"/>
  <c r="BC537" i="3"/>
  <c r="AG537" i="3"/>
  <c r="BC553" i="3"/>
  <c r="AG553" i="3"/>
  <c r="BD569" i="3"/>
  <c r="BD589" i="3"/>
  <c r="BC781" i="3"/>
  <c r="AG781" i="3"/>
  <c r="BC797" i="3"/>
  <c r="AG797" i="3"/>
  <c r="BC813" i="3"/>
  <c r="AG813" i="3"/>
  <c r="BC829" i="3"/>
  <c r="AG829" i="3"/>
  <c r="BC845" i="3"/>
  <c r="AG845" i="3"/>
  <c r="BC861" i="3"/>
  <c r="AG861" i="3"/>
  <c r="BC877" i="3"/>
  <c r="AG877" i="3"/>
  <c r="BC893" i="3"/>
  <c r="AG893" i="3"/>
  <c r="BD960" i="3"/>
  <c r="BD831" i="3"/>
  <c r="BD992" i="3"/>
  <c r="BD430" i="3"/>
  <c r="BC446" i="3"/>
  <c r="AG446" i="3"/>
  <c r="BD462" i="3"/>
  <c r="BD494" i="3"/>
  <c r="BD510" i="3"/>
  <c r="BC526" i="3"/>
  <c r="AG526" i="3"/>
  <c r="BC542" i="3"/>
  <c r="AG542" i="3"/>
  <c r="BC558" i="3"/>
  <c r="AG558" i="3"/>
  <c r="BC574" i="3"/>
  <c r="AG574" i="3"/>
  <c r="BC590" i="3"/>
  <c r="AG590" i="3"/>
  <c r="BD606" i="3"/>
  <c r="BD622" i="3"/>
  <c r="BC674" i="3"/>
  <c r="AG674" i="3"/>
  <c r="BD690" i="3"/>
  <c r="BC706" i="3"/>
  <c r="BD742" i="3"/>
  <c r="BC774" i="3"/>
  <c r="AG774" i="3"/>
  <c r="BC822" i="3"/>
  <c r="AG822" i="3"/>
  <c r="BC838" i="3"/>
  <c r="AG838" i="3"/>
  <c r="BC854" i="3"/>
  <c r="AG854" i="3"/>
  <c r="BC870" i="3"/>
  <c r="AG870" i="3"/>
  <c r="BD922" i="3"/>
  <c r="BD938" i="3"/>
  <c r="BD954" i="3"/>
  <c r="BD970" i="3"/>
  <c r="BD986" i="3"/>
  <c r="BD1002" i="3"/>
  <c r="BC152" i="3"/>
  <c r="AG152" i="3"/>
  <c r="BC168" i="3"/>
  <c r="AG168" i="3"/>
  <c r="BC184" i="3"/>
  <c r="AG184" i="3"/>
  <c r="BC200" i="3"/>
  <c r="AG200" i="3"/>
  <c r="BC252" i="3"/>
  <c r="AG252" i="3"/>
  <c r="BD272" i="3"/>
  <c r="BD304" i="3"/>
  <c r="BC320" i="3"/>
  <c r="AG320" i="3"/>
  <c r="BD815" i="3"/>
  <c r="BD121" i="3"/>
  <c r="BD137" i="3"/>
  <c r="BC153" i="3"/>
  <c r="AG153" i="3"/>
  <c r="BC169" i="3"/>
  <c r="AG169" i="3"/>
  <c r="BC185" i="3"/>
  <c r="AG185" i="3"/>
  <c r="BC201" i="3"/>
  <c r="AG201" i="3"/>
  <c r="BC217" i="3"/>
  <c r="AG217" i="3"/>
  <c r="BC233" i="3"/>
  <c r="AG233" i="3"/>
  <c r="BC249" i="3"/>
  <c r="AG249" i="3"/>
  <c r="BC265" i="3"/>
  <c r="AG265" i="3"/>
  <c r="BC281" i="3"/>
  <c r="AG281" i="3"/>
  <c r="BC297" i="3"/>
  <c r="AG297" i="3"/>
  <c r="BC313" i="3"/>
  <c r="AG313" i="3"/>
  <c r="BC329" i="3"/>
  <c r="AG329" i="3"/>
  <c r="BC345" i="3"/>
  <c r="AG345" i="3"/>
  <c r="BC361" i="3"/>
  <c r="AG361" i="3"/>
  <c r="BC377" i="3"/>
  <c r="AG377" i="3"/>
  <c r="BC393" i="3"/>
  <c r="AG393" i="3"/>
  <c r="BC409" i="3"/>
  <c r="AG409" i="3"/>
  <c r="BC425" i="3"/>
  <c r="AG425" i="3"/>
  <c r="BC441" i="3"/>
  <c r="AG441" i="3"/>
  <c r="BC457" i="3"/>
  <c r="AG457" i="3"/>
  <c r="BC473" i="3"/>
  <c r="AG473" i="3"/>
  <c r="BC489" i="3"/>
  <c r="AG489" i="3"/>
  <c r="BC505" i="3"/>
  <c r="AG505" i="3"/>
  <c r="BD541" i="3"/>
  <c r="BC557" i="3"/>
  <c r="AG557" i="3"/>
  <c r="BC589" i="3"/>
  <c r="AG589" i="3"/>
  <c r="BC605" i="3"/>
  <c r="AG605" i="3"/>
  <c r="BC621" i="3"/>
  <c r="AG621" i="3"/>
  <c r="BC637" i="3"/>
  <c r="AG637" i="3"/>
  <c r="BC653" i="3"/>
  <c r="AG653" i="3"/>
  <c r="BC669" i="3"/>
  <c r="AG669" i="3"/>
  <c r="BC685" i="3"/>
  <c r="AG685" i="3"/>
  <c r="BC701" i="3"/>
  <c r="AG701" i="3"/>
  <c r="BC717" i="3"/>
  <c r="AG717" i="3"/>
  <c r="BC733" i="3"/>
  <c r="AG733" i="3"/>
  <c r="BC749" i="3"/>
  <c r="AG749" i="3"/>
  <c r="BC765" i="3"/>
  <c r="AG765" i="3"/>
  <c r="BD913" i="3"/>
  <c r="BD929" i="3"/>
  <c r="BD945" i="3"/>
  <c r="BD961" i="3"/>
  <c r="BD977" i="3"/>
  <c r="BD993" i="3"/>
  <c r="BD1009" i="3"/>
  <c r="BC960" i="3"/>
  <c r="AG960" i="3"/>
  <c r="BC980" i="3"/>
  <c r="AG980" i="3"/>
  <c r="BD956" i="3"/>
  <c r="BC378" i="3"/>
  <c r="AG378" i="3"/>
  <c r="BC394" i="3"/>
  <c r="AG394" i="3"/>
  <c r="BC410" i="3"/>
  <c r="AG410" i="3"/>
  <c r="BC426" i="3"/>
  <c r="AG426" i="3"/>
  <c r="BD442" i="3"/>
  <c r="BD458" i="3"/>
  <c r="BD474" i="3"/>
  <c r="BD490" i="3"/>
  <c r="BC638" i="3"/>
  <c r="AG638" i="3"/>
  <c r="BC654" i="3"/>
  <c r="AG654" i="3"/>
  <c r="BD670" i="3"/>
  <c r="BC722" i="3"/>
  <c r="AG722" i="3"/>
  <c r="BD738" i="3"/>
  <c r="BD754" i="3"/>
  <c r="BD770" i="3"/>
  <c r="BD786" i="3"/>
  <c r="BC802" i="3"/>
  <c r="AG802" i="3"/>
  <c r="BD902" i="3"/>
  <c r="BC918" i="3"/>
  <c r="AG918" i="3"/>
  <c r="BC934" i="3"/>
  <c r="AG934" i="3"/>
  <c r="BC950" i="3"/>
  <c r="AG950" i="3"/>
  <c r="BC966" i="3"/>
  <c r="AG966" i="3"/>
  <c r="BC982" i="3"/>
  <c r="AG982" i="3"/>
  <c r="BC998" i="3"/>
  <c r="AG998" i="3"/>
  <c r="BC895" i="3"/>
  <c r="AG895" i="3"/>
  <c r="BC971" i="3"/>
  <c r="AG971" i="3"/>
  <c r="BC512" i="3"/>
  <c r="AG512" i="3"/>
  <c r="BD772" i="3"/>
  <c r="BC928" i="3"/>
  <c r="AG928" i="3"/>
  <c r="BC891" i="3"/>
  <c r="AG891" i="3"/>
  <c r="BC955" i="3"/>
  <c r="AG955" i="3"/>
  <c r="BC400" i="3"/>
  <c r="AG400" i="3"/>
  <c r="BC696" i="3"/>
  <c r="AG696" i="3"/>
  <c r="BC788" i="3"/>
  <c r="AG788" i="3"/>
  <c r="BD572" i="3"/>
  <c r="BD852" i="3"/>
  <c r="BC972" i="3"/>
  <c r="AG972" i="3"/>
  <c r="BD203" i="3"/>
  <c r="BD219" i="3"/>
  <c r="BD235" i="3"/>
  <c r="BD251" i="3"/>
  <c r="BD267" i="3"/>
  <c r="BD283" i="3"/>
  <c r="BD299" i="3"/>
  <c r="BC315" i="3"/>
  <c r="AG315" i="3"/>
  <c r="BC331" i="3"/>
  <c r="AG331" i="3"/>
  <c r="BC347" i="3"/>
  <c r="AG347" i="3"/>
  <c r="BC363" i="3"/>
  <c r="AG363" i="3"/>
  <c r="BC379" i="3"/>
  <c r="AG379" i="3"/>
  <c r="BC395" i="3"/>
  <c r="AG395" i="3"/>
  <c r="BC411" i="3"/>
  <c r="AG411" i="3"/>
  <c r="BC427" i="3"/>
  <c r="AG427" i="3"/>
  <c r="BC443" i="3"/>
  <c r="AG443" i="3"/>
  <c r="BC475" i="3"/>
  <c r="AG475" i="3"/>
  <c r="BC491" i="3"/>
  <c r="AG491" i="3"/>
  <c r="BC507" i="3"/>
  <c r="AG507" i="3"/>
  <c r="BC523" i="3"/>
  <c r="AG523" i="3"/>
  <c r="BC539" i="3"/>
  <c r="AG539" i="3"/>
  <c r="BC555" i="3"/>
  <c r="AG555" i="3"/>
  <c r="BC571" i="3"/>
  <c r="AG571" i="3"/>
  <c r="BC587" i="3"/>
  <c r="AG587" i="3"/>
  <c r="BC603" i="3"/>
  <c r="AG603" i="3"/>
  <c r="BD619" i="3"/>
  <c r="BD635" i="3"/>
  <c r="BD651" i="3"/>
  <c r="BD667" i="3"/>
  <c r="BD683" i="3"/>
  <c r="BD699" i="3"/>
  <c r="BD715" i="3"/>
  <c r="BD731" i="3"/>
  <c r="BD747" i="3"/>
  <c r="BD763" i="3"/>
  <c r="BC779" i="3"/>
  <c r="AG779" i="3"/>
  <c r="BC835" i="3"/>
  <c r="AG835" i="3"/>
  <c r="BC855" i="3"/>
  <c r="AG855" i="3"/>
  <c r="BD943" i="3"/>
  <c r="BD1003" i="3"/>
  <c r="BC500" i="3"/>
  <c r="AG500" i="3"/>
  <c r="BC592" i="3"/>
  <c r="AG592" i="3"/>
  <c r="BD792" i="3"/>
  <c r="BC896" i="3"/>
  <c r="AG896" i="3"/>
  <c r="BC448" i="3"/>
  <c r="AG448" i="3"/>
  <c r="BC540" i="3"/>
  <c r="AG540" i="3"/>
  <c r="BC632" i="3"/>
  <c r="AG632" i="3"/>
  <c r="BC724" i="3"/>
  <c r="AG724" i="3"/>
  <c r="BC952" i="3"/>
  <c r="AG952" i="3"/>
  <c r="BD576" i="3"/>
  <c r="BD848" i="3"/>
  <c r="BC976" i="3"/>
  <c r="AG976" i="3"/>
  <c r="BD860" i="3"/>
  <c r="BC992" i="3"/>
  <c r="AG992" i="3"/>
  <c r="BC382" i="3"/>
  <c r="AG382" i="3"/>
  <c r="BC398" i="3"/>
  <c r="AG398" i="3"/>
  <c r="BC414" i="3"/>
  <c r="AG414" i="3"/>
  <c r="BC462" i="3"/>
  <c r="AG462" i="3"/>
  <c r="BC478" i="3"/>
  <c r="AG478" i="3"/>
  <c r="BC642" i="3"/>
  <c r="AG642" i="3"/>
  <c r="BD658" i="3"/>
  <c r="BD674" i="3"/>
  <c r="BD710" i="3"/>
  <c r="BD726" i="3"/>
  <c r="BC742" i="3"/>
  <c r="AG742" i="3"/>
  <c r="BD758" i="3"/>
  <c r="BC790" i="3"/>
  <c r="AG790" i="3"/>
  <c r="BC806" i="3"/>
  <c r="AG806" i="3"/>
  <c r="BD890" i="3"/>
  <c r="BC922" i="3"/>
  <c r="AG922" i="3"/>
  <c r="BC938" i="3"/>
  <c r="AG938" i="3"/>
  <c r="BC954" i="3"/>
  <c r="AG954" i="3"/>
  <c r="BC970" i="3"/>
  <c r="AG970" i="3"/>
  <c r="BC986" i="3"/>
  <c r="AG986" i="3"/>
  <c r="BC1002" i="3"/>
  <c r="AG1002" i="3"/>
  <c r="BC915" i="3"/>
  <c r="AG915" i="3"/>
  <c r="BC983" i="3"/>
  <c r="AG983" i="3"/>
  <c r="BC548" i="3"/>
  <c r="AG548" i="3"/>
  <c r="BD664" i="3"/>
  <c r="BD796" i="3"/>
  <c r="BD1000" i="3"/>
  <c r="BC907" i="3"/>
  <c r="AG907" i="3"/>
  <c r="BC967" i="3"/>
  <c r="AG967" i="3"/>
  <c r="BD452" i="3"/>
  <c r="BC628" i="3"/>
  <c r="AG628" i="3"/>
  <c r="BC720" i="3"/>
  <c r="AG720" i="3"/>
  <c r="BC903" i="3"/>
  <c r="AG903" i="3"/>
  <c r="BD504" i="3"/>
  <c r="BD596" i="3"/>
  <c r="BD780" i="3"/>
  <c r="BD880" i="3"/>
  <c r="BD863" i="3"/>
  <c r="BD191" i="3"/>
  <c r="BD207" i="3"/>
  <c r="BD223" i="3"/>
  <c r="BD239" i="3"/>
  <c r="BC255" i="3"/>
  <c r="AG255" i="3"/>
  <c r="BC271" i="3"/>
  <c r="AG271" i="3"/>
  <c r="BC287" i="3"/>
  <c r="AG287" i="3"/>
  <c r="BC303" i="3"/>
  <c r="AG303" i="3"/>
  <c r="BD319" i="3"/>
  <c r="BD335" i="3"/>
  <c r="BD351" i="3"/>
  <c r="BD367" i="3"/>
  <c r="BD383" i="3"/>
  <c r="BD399" i="3"/>
  <c r="BD415" i="3"/>
  <c r="BD431" i="3"/>
  <c r="BC447" i="3"/>
  <c r="AG447" i="3"/>
  <c r="BD463" i="3"/>
  <c r="BD479" i="3"/>
  <c r="BC495" i="3"/>
  <c r="AG495" i="3"/>
  <c r="BC511" i="3"/>
  <c r="AG511" i="3"/>
  <c r="BC527" i="3"/>
  <c r="AG527" i="3"/>
  <c r="BC543" i="3"/>
  <c r="AG543" i="3"/>
  <c r="BC559" i="3"/>
  <c r="AG559" i="3"/>
  <c r="BC575" i="3"/>
  <c r="AG575" i="3"/>
  <c r="BC591" i="3"/>
  <c r="AG591" i="3"/>
  <c r="BC607" i="3"/>
  <c r="AG607" i="3"/>
  <c r="BD623" i="3"/>
  <c r="BD639" i="3"/>
  <c r="BD655" i="3"/>
  <c r="BD671" i="3"/>
  <c r="BD687" i="3"/>
  <c r="BD703" i="3"/>
  <c r="BD719" i="3"/>
  <c r="BD735" i="3"/>
  <c r="BD751" i="3"/>
  <c r="BC767" i="3"/>
  <c r="AG767" i="3"/>
  <c r="BC783" i="3"/>
  <c r="AG783" i="3"/>
  <c r="BD803" i="3"/>
  <c r="BC859" i="3"/>
  <c r="AG859" i="3"/>
  <c r="BC899" i="3"/>
  <c r="AG899" i="3"/>
  <c r="BD959" i="3"/>
  <c r="BD392" i="3"/>
  <c r="BC524" i="3"/>
  <c r="AG524" i="3"/>
  <c r="BC616" i="3"/>
  <c r="AG616" i="3"/>
  <c r="BD708" i="3"/>
  <c r="BC816" i="3"/>
  <c r="AG816" i="3"/>
  <c r="BC932" i="3"/>
  <c r="AG932" i="3"/>
  <c r="BD472" i="3"/>
  <c r="BC564" i="3"/>
  <c r="AG564" i="3"/>
  <c r="BC656" i="3"/>
  <c r="AG656" i="3"/>
  <c r="BC748" i="3"/>
  <c r="AG748" i="3"/>
  <c r="BD384" i="3"/>
  <c r="BD508" i="3"/>
  <c r="BD600" i="3"/>
  <c r="BC776" i="3"/>
  <c r="AG776" i="3"/>
  <c r="BD884" i="3"/>
  <c r="BC860" i="3"/>
  <c r="AG860" i="3"/>
  <c r="BC658" i="3"/>
  <c r="AG658" i="3"/>
  <c r="BD382" i="3"/>
  <c r="BD398" i="3"/>
  <c r="BD414" i="3"/>
  <c r="BC430" i="3"/>
  <c r="AG430" i="3"/>
  <c r="BD498" i="3"/>
  <c r="BD514" i="3"/>
  <c r="BD530" i="3"/>
  <c r="BD546" i="3"/>
  <c r="BD562" i="3"/>
  <c r="BD578" i="3"/>
  <c r="BD594" i="3"/>
  <c r="BD610" i="3"/>
  <c r="BC626" i="3"/>
  <c r="AG626" i="3"/>
  <c r="BD642" i="3"/>
  <c r="BD694" i="3"/>
  <c r="BC710" i="3"/>
  <c r="AG710" i="3"/>
  <c r="BC726" i="3"/>
  <c r="AG726" i="3"/>
  <c r="BC758" i="3"/>
  <c r="AG758" i="3"/>
  <c r="BD774" i="3"/>
  <c r="BD810" i="3"/>
  <c r="BD826" i="3"/>
  <c r="BD842" i="3"/>
  <c r="BD858" i="3"/>
  <c r="BD874" i="3"/>
  <c r="BC890" i="3"/>
  <c r="AG890" i="3"/>
  <c r="BD906" i="3"/>
  <c r="BC432" i="3"/>
  <c r="AG432" i="3"/>
  <c r="BC664" i="3"/>
  <c r="AG664" i="3"/>
  <c r="BC796" i="3"/>
  <c r="AG796" i="3"/>
  <c r="BC1000" i="3"/>
  <c r="AG1000" i="3"/>
  <c r="BD560" i="3"/>
  <c r="BD832" i="3"/>
  <c r="BD948" i="3"/>
  <c r="BC919" i="3"/>
  <c r="AG919" i="3"/>
  <c r="BD979" i="3"/>
  <c r="BD428" i="3"/>
  <c r="BC504" i="3"/>
  <c r="AG504" i="3"/>
  <c r="BC596" i="3"/>
  <c r="AG596" i="3"/>
  <c r="BD692" i="3"/>
  <c r="BC880" i="3"/>
  <c r="AG880" i="3"/>
  <c r="BC191" i="3"/>
  <c r="AG191" i="3"/>
  <c r="BC207" i="3"/>
  <c r="AG207" i="3"/>
  <c r="BC223" i="3"/>
  <c r="AG223" i="3"/>
  <c r="BC239" i="3"/>
  <c r="AG239" i="3"/>
  <c r="BD255" i="3"/>
  <c r="BD271" i="3"/>
  <c r="BD287" i="3"/>
  <c r="BD303" i="3"/>
  <c r="BD435" i="3"/>
  <c r="BC467" i="3"/>
  <c r="AG467" i="3"/>
  <c r="BD483" i="3"/>
  <c r="BC627" i="3"/>
  <c r="AG627" i="3"/>
  <c r="BC643" i="3"/>
  <c r="AG643" i="3"/>
  <c r="BC659" i="3"/>
  <c r="AG659" i="3"/>
  <c r="BC675" i="3"/>
  <c r="AG675" i="3"/>
  <c r="BC691" i="3"/>
  <c r="AG691" i="3"/>
  <c r="BC707" i="3"/>
  <c r="AG707" i="3"/>
  <c r="BC723" i="3"/>
  <c r="AG723" i="3"/>
  <c r="BC739" i="3"/>
  <c r="AG739" i="3"/>
  <c r="BC787" i="3"/>
  <c r="AG787" i="3"/>
  <c r="BC823" i="3"/>
  <c r="AG823" i="3"/>
  <c r="BD843" i="3"/>
  <c r="BC959" i="3"/>
  <c r="AG959" i="3"/>
  <c r="BC392" i="3"/>
  <c r="AG392" i="3"/>
  <c r="BC708" i="3"/>
  <c r="AG708" i="3"/>
  <c r="BD968" i="3"/>
  <c r="BD868" i="3"/>
  <c r="BD424" i="3"/>
  <c r="BC508" i="3"/>
  <c r="AG508" i="3"/>
  <c r="BC600" i="3"/>
  <c r="AG600" i="3"/>
  <c r="BD688" i="3"/>
  <c r="BC884" i="3"/>
  <c r="AG884" i="3"/>
  <c r="BC746" i="3"/>
  <c r="AG746" i="3"/>
  <c r="BD778" i="3"/>
  <c r="BD794" i="3"/>
  <c r="BC810" i="3"/>
  <c r="AG810" i="3"/>
  <c r="BC826" i="3"/>
  <c r="AG826" i="3"/>
  <c r="BC842" i="3"/>
  <c r="AG842" i="3"/>
  <c r="BC858" i="3"/>
  <c r="AG858" i="3"/>
  <c r="BC874" i="3"/>
  <c r="AG874" i="3"/>
  <c r="BC906" i="3"/>
  <c r="AG906" i="3"/>
  <c r="BD926" i="3"/>
  <c r="BD942" i="3"/>
  <c r="BD958" i="3"/>
  <c r="BD974" i="3"/>
  <c r="BD990" i="3"/>
  <c r="BD1006" i="3"/>
  <c r="BD931" i="3"/>
  <c r="BD1007" i="3"/>
  <c r="BD456" i="3"/>
  <c r="BD588" i="3"/>
  <c r="BD828" i="3"/>
  <c r="BD847" i="3"/>
  <c r="BD923" i="3"/>
  <c r="BD987" i="3"/>
  <c r="BD476" i="3"/>
  <c r="BC560" i="3"/>
  <c r="AG560" i="3"/>
  <c r="BD644" i="3"/>
  <c r="BD740" i="3"/>
  <c r="BC832" i="3"/>
  <c r="AG832" i="3"/>
  <c r="BC948" i="3"/>
  <c r="AG948" i="3"/>
  <c r="BC979" i="3"/>
  <c r="AG979" i="3"/>
  <c r="BC428" i="3"/>
  <c r="AG428" i="3"/>
  <c r="BC692" i="3"/>
  <c r="AG692" i="3"/>
  <c r="BC780" i="3"/>
  <c r="AG780" i="3"/>
  <c r="BD323" i="3"/>
  <c r="BD339" i="3"/>
  <c r="BD355" i="3"/>
  <c r="BD371" i="3"/>
  <c r="BD387" i="3"/>
  <c r="BD403" i="3"/>
  <c r="BD419" i="3"/>
  <c r="BC435" i="3"/>
  <c r="AG435" i="3"/>
  <c r="BD451" i="3"/>
  <c r="BC483" i="3"/>
  <c r="AG483" i="3"/>
  <c r="BD499" i="3"/>
  <c r="BD515" i="3"/>
  <c r="BD531" i="3"/>
  <c r="BD547" i="3"/>
  <c r="BD563" i="3"/>
  <c r="BD579" i="3"/>
  <c r="BD595" i="3"/>
  <c r="BD611" i="3"/>
  <c r="BC755" i="3"/>
  <c r="AG755" i="3"/>
  <c r="BD771" i="3"/>
  <c r="BC803" i="3"/>
  <c r="AG803" i="3"/>
  <c r="BC843" i="3"/>
  <c r="AG843" i="3"/>
  <c r="BC863" i="3"/>
  <c r="AG863" i="3"/>
  <c r="BD544" i="3"/>
  <c r="BD840" i="3"/>
  <c r="BC968" i="3"/>
  <c r="AG968" i="3"/>
  <c r="BD584" i="3"/>
  <c r="BD680" i="3"/>
  <c r="BC764" i="3"/>
  <c r="AG764" i="3"/>
  <c r="BC868" i="3"/>
  <c r="AG868" i="3"/>
  <c r="BC384" i="3"/>
  <c r="AG384" i="3"/>
  <c r="BC424" i="3"/>
  <c r="AG424" i="3"/>
  <c r="BC688" i="3"/>
  <c r="AG688" i="3"/>
  <c r="BD776" i="3"/>
  <c r="BD904" i="3"/>
  <c r="BD844" i="3"/>
  <c r="BD919" i="3"/>
  <c r="BC386" i="3"/>
  <c r="AG386" i="3"/>
  <c r="BC434" i="3"/>
  <c r="AG434" i="3"/>
  <c r="BD450" i="3"/>
  <c r="BD466" i="3"/>
  <c r="BC482" i="3"/>
  <c r="AG482" i="3"/>
  <c r="BD646" i="3"/>
  <c r="BC662" i="3"/>
  <c r="AG662" i="3"/>
  <c r="BC678" i="3"/>
  <c r="AG678" i="3"/>
  <c r="BC714" i="3"/>
  <c r="AG714" i="3"/>
  <c r="BD730" i="3"/>
  <c r="BD746" i="3"/>
  <c r="BD762" i="3"/>
  <c r="BC778" i="3"/>
  <c r="AG778" i="3"/>
  <c r="BC794" i="3"/>
  <c r="AG794" i="3"/>
  <c r="BD894" i="3"/>
  <c r="BC926" i="3"/>
  <c r="AG926" i="3"/>
  <c r="BC942" i="3"/>
  <c r="AG942" i="3"/>
  <c r="BC958" i="3"/>
  <c r="AG958" i="3"/>
  <c r="BC974" i="3"/>
  <c r="AG974" i="3"/>
  <c r="BC990" i="3"/>
  <c r="AG990" i="3"/>
  <c r="BC1006" i="3"/>
  <c r="AG1006" i="3"/>
  <c r="BC931" i="3"/>
  <c r="AG931" i="3"/>
  <c r="BC1007" i="3"/>
  <c r="AG1007" i="3"/>
  <c r="BC588" i="3"/>
  <c r="AG588" i="3"/>
  <c r="BD704" i="3"/>
  <c r="BC828" i="3"/>
  <c r="AG828" i="3"/>
  <c r="BC924" i="3"/>
  <c r="AG924" i="3"/>
  <c r="BC923" i="3"/>
  <c r="AG923" i="3"/>
  <c r="BC987" i="3"/>
  <c r="AG987" i="3"/>
  <c r="BC476" i="3"/>
  <c r="AG476" i="3"/>
  <c r="BC644" i="3"/>
  <c r="AG644" i="3"/>
  <c r="BC740" i="3"/>
  <c r="AG740" i="3"/>
  <c r="BD984" i="3"/>
  <c r="BD528" i="3"/>
  <c r="BD620" i="3"/>
  <c r="BD716" i="3"/>
  <c r="BD804" i="3"/>
  <c r="BD900" i="3"/>
  <c r="BD179" i="3"/>
  <c r="BD195" i="3"/>
  <c r="BD211" i="3"/>
  <c r="BD227" i="3"/>
  <c r="BD243" i="3"/>
  <c r="BD259" i="3"/>
  <c r="BD275" i="3"/>
  <c r="BD291" i="3"/>
  <c r="BD307" i="3"/>
  <c r="BC323" i="3"/>
  <c r="AG323" i="3"/>
  <c r="BC339" i="3"/>
  <c r="AG339" i="3"/>
  <c r="BC355" i="3"/>
  <c r="AG355" i="3"/>
  <c r="BC371" i="3"/>
  <c r="AG371" i="3"/>
  <c r="BC387" i="3"/>
  <c r="AG387" i="3"/>
  <c r="BC403" i="3"/>
  <c r="AG403" i="3"/>
  <c r="BC419" i="3"/>
  <c r="AG419" i="3"/>
  <c r="BC451" i="3"/>
  <c r="AG451" i="3"/>
  <c r="BD467" i="3"/>
  <c r="BC499" i="3"/>
  <c r="AG499" i="3"/>
  <c r="BC515" i="3"/>
  <c r="AG515" i="3"/>
  <c r="BC531" i="3"/>
  <c r="AG531" i="3"/>
  <c r="BC547" i="3"/>
  <c r="AG547" i="3"/>
  <c r="BC563" i="3"/>
  <c r="AG563" i="3"/>
  <c r="BC579" i="3"/>
  <c r="AG579" i="3"/>
  <c r="BC595" i="3"/>
  <c r="AG595" i="3"/>
  <c r="BC611" i="3"/>
  <c r="AG611" i="3"/>
  <c r="BD627" i="3"/>
  <c r="BD643" i="3"/>
  <c r="BD659" i="3"/>
  <c r="BD675" i="3"/>
  <c r="BD691" i="3"/>
  <c r="BD707" i="3"/>
  <c r="BD723" i="3"/>
  <c r="BD739" i="3"/>
  <c r="BD755" i="3"/>
  <c r="BC771" i="3"/>
  <c r="AG771" i="3"/>
  <c r="BD787" i="3"/>
  <c r="BC807" i="3"/>
  <c r="AG807" i="3"/>
  <c r="BD827" i="3"/>
  <c r="BD911" i="3"/>
  <c r="BD975" i="3"/>
  <c r="BD436" i="3"/>
  <c r="BC544" i="3"/>
  <c r="AG544" i="3"/>
  <c r="BD640" i="3"/>
  <c r="BD736" i="3"/>
  <c r="BC840" i="3"/>
  <c r="AG840" i="3"/>
  <c r="BD1004" i="3"/>
  <c r="BC492" i="3"/>
  <c r="AG492" i="3"/>
  <c r="BC584" i="3"/>
  <c r="AG584" i="3"/>
  <c r="BC680" i="3"/>
  <c r="AG680" i="3"/>
  <c r="BD764" i="3"/>
  <c r="BD532" i="3"/>
  <c r="BC800" i="3"/>
  <c r="AG800" i="3"/>
  <c r="BD908" i="3"/>
  <c r="BC904" i="3"/>
  <c r="AG904" i="3"/>
  <c r="BC844" i="3"/>
  <c r="AG844" i="3"/>
  <c r="BD386" i="3"/>
  <c r="BD402" i="3"/>
  <c r="BD418" i="3"/>
  <c r="BD470" i="3"/>
  <c r="BD502" i="3"/>
  <c r="BD518" i="3"/>
  <c r="BC534" i="3"/>
  <c r="AG534" i="3"/>
  <c r="BD550" i="3"/>
  <c r="BD566" i="3"/>
  <c r="BC582" i="3"/>
  <c r="AG582" i="3"/>
  <c r="BD598" i="3"/>
  <c r="BD614" i="3"/>
  <c r="BD630" i="3"/>
  <c r="BC646" i="3"/>
  <c r="AG646" i="3"/>
  <c r="BC698" i="3"/>
  <c r="AG698" i="3"/>
  <c r="BD714" i="3"/>
  <c r="BC762" i="3"/>
  <c r="AG762" i="3"/>
  <c r="BC798" i="3"/>
  <c r="AG798" i="3"/>
  <c r="BD814" i="3"/>
  <c r="BD830" i="3"/>
  <c r="BD846" i="3"/>
  <c r="BD862" i="3"/>
  <c r="BD878" i="3"/>
  <c r="BC894" i="3"/>
  <c r="AG894" i="3"/>
  <c r="BD910" i="3"/>
  <c r="BD867" i="3"/>
  <c r="BC456" i="3"/>
  <c r="AG456" i="3"/>
  <c r="BC704" i="3"/>
  <c r="AG704" i="3"/>
  <c r="BD496" i="3"/>
  <c r="BD580" i="3"/>
  <c r="BD668" i="3"/>
  <c r="BD760" i="3"/>
  <c r="BD864" i="3"/>
  <c r="BC984" i="3"/>
  <c r="AG984" i="3"/>
  <c r="BD935" i="3"/>
  <c r="BD995" i="3"/>
  <c r="BC444" i="3"/>
  <c r="AG444" i="3"/>
  <c r="BC528" i="3"/>
  <c r="AG528" i="3"/>
  <c r="BC804" i="3"/>
  <c r="AG804" i="3"/>
  <c r="BC900" i="3"/>
  <c r="AG900" i="3"/>
  <c r="BC179" i="3"/>
  <c r="AG179" i="3"/>
  <c r="BC195" i="3"/>
  <c r="AG195" i="3"/>
  <c r="BC211" i="3"/>
  <c r="AG211" i="3"/>
  <c r="BC227" i="3"/>
  <c r="AG227" i="3"/>
  <c r="BC243" i="3"/>
  <c r="AG243" i="3"/>
  <c r="BC259" i="3"/>
  <c r="AG259" i="3"/>
  <c r="BC275" i="3"/>
  <c r="AG275" i="3"/>
  <c r="BC291" i="3"/>
  <c r="AG291" i="3"/>
  <c r="BC307" i="3"/>
  <c r="AG307" i="3"/>
  <c r="BC327" i="3"/>
  <c r="AG327" i="3"/>
  <c r="BC343" i="3"/>
  <c r="AG343" i="3"/>
  <c r="BC375" i="3"/>
  <c r="AG375" i="3"/>
  <c r="BC455" i="3"/>
  <c r="AG455" i="3"/>
  <c r="BD791" i="3"/>
  <c r="BC827" i="3"/>
  <c r="AG827" i="3"/>
  <c r="BC847" i="3"/>
  <c r="AG847" i="3"/>
  <c r="BC879" i="3"/>
  <c r="AG879" i="3"/>
  <c r="BC911" i="3"/>
  <c r="AG911" i="3"/>
  <c r="BC975" i="3"/>
  <c r="AG975" i="3"/>
  <c r="BC436" i="3"/>
  <c r="AG436" i="3"/>
  <c r="BC640" i="3"/>
  <c r="AG640" i="3"/>
  <c r="BC736" i="3"/>
  <c r="AG736" i="3"/>
  <c r="BC1004" i="3"/>
  <c r="AG1004" i="3"/>
  <c r="BD492" i="3"/>
  <c r="BD700" i="3"/>
  <c r="BC892" i="3"/>
  <c r="AG892" i="3"/>
  <c r="BC404" i="3"/>
  <c r="AG404" i="3"/>
  <c r="BD440" i="3"/>
  <c r="BC532" i="3"/>
  <c r="AG532" i="3"/>
  <c r="BD624" i="3"/>
  <c r="BD712" i="3"/>
  <c r="BC908" i="3"/>
  <c r="AG908" i="3"/>
  <c r="BD438" i="3"/>
  <c r="BD454" i="3"/>
  <c r="BC470" i="3"/>
  <c r="AG470" i="3"/>
  <c r="BD486" i="3"/>
  <c r="BC502" i="3"/>
  <c r="AG502" i="3"/>
  <c r="BC518" i="3"/>
  <c r="AG518" i="3"/>
  <c r="BD534" i="3"/>
  <c r="BC550" i="3"/>
  <c r="AG550" i="3"/>
  <c r="BC566" i="3"/>
  <c r="AG566" i="3"/>
  <c r="BD582" i="3"/>
  <c r="BC598" i="3"/>
  <c r="AG598" i="3"/>
  <c r="BC614" i="3"/>
  <c r="AG614" i="3"/>
  <c r="BC630" i="3"/>
  <c r="AG630" i="3"/>
  <c r="BC666" i="3"/>
  <c r="AG666" i="3"/>
  <c r="BD682" i="3"/>
  <c r="BD698" i="3"/>
  <c r="BC734" i="3"/>
  <c r="AG734" i="3"/>
  <c r="BC750" i="3"/>
  <c r="AG750" i="3"/>
  <c r="BC814" i="3"/>
  <c r="AG814" i="3"/>
  <c r="BC830" i="3"/>
  <c r="AG830" i="3"/>
  <c r="BC846" i="3"/>
  <c r="AG846" i="3"/>
  <c r="BC862" i="3"/>
  <c r="AG862" i="3"/>
  <c r="BC878" i="3"/>
  <c r="AG878" i="3"/>
  <c r="BD914" i="3"/>
  <c r="BD930" i="3"/>
  <c r="BD946" i="3"/>
  <c r="BD962" i="3"/>
  <c r="BD978" i="3"/>
  <c r="BD994" i="3"/>
  <c r="BD1010" i="3"/>
  <c r="BC867" i="3"/>
  <c r="AG867" i="3"/>
  <c r="BD951" i="3"/>
  <c r="BD612" i="3"/>
  <c r="BD872" i="3"/>
  <c r="BC871" i="3"/>
  <c r="AG871" i="3"/>
  <c r="BD939" i="3"/>
  <c r="BD999" i="3"/>
  <c r="BC496" i="3"/>
  <c r="AG496" i="3"/>
  <c r="BC580" i="3"/>
  <c r="AG580" i="3"/>
  <c r="BC864" i="3"/>
  <c r="AG864" i="3"/>
  <c r="BD855" i="3"/>
  <c r="BC935" i="3"/>
  <c r="AG935" i="3"/>
  <c r="BC995" i="3"/>
  <c r="AG995" i="3"/>
  <c r="BD444" i="3"/>
  <c r="BC620" i="3"/>
  <c r="AG620" i="3"/>
  <c r="BC716" i="3"/>
  <c r="AG716" i="3"/>
  <c r="BD199" i="3"/>
  <c r="BD215" i="3"/>
  <c r="BD231" i="3"/>
  <c r="BC247" i="3"/>
  <c r="AG247" i="3"/>
  <c r="BC263" i="3"/>
  <c r="AG263" i="3"/>
  <c r="BC311" i="3"/>
  <c r="AG311" i="3"/>
  <c r="BD359" i="3"/>
  <c r="BC391" i="3"/>
  <c r="AG391" i="3"/>
  <c r="BC407" i="3"/>
  <c r="AG407" i="3"/>
  <c r="BD423" i="3"/>
  <c r="BC439" i="3"/>
  <c r="AG439" i="3"/>
  <c r="BC471" i="3"/>
  <c r="AG471" i="3"/>
  <c r="BC487" i="3"/>
  <c r="AG487" i="3"/>
  <c r="BD503" i="3"/>
  <c r="BD519" i="3"/>
  <c r="BD535" i="3"/>
  <c r="BD551" i="3"/>
  <c r="BD567" i="3"/>
  <c r="BD583" i="3"/>
  <c r="BD599" i="3"/>
  <c r="BD615" i="3"/>
  <c r="BC631" i="3"/>
  <c r="AG631" i="3"/>
  <c r="BC647" i="3"/>
  <c r="AG647" i="3"/>
  <c r="BC663" i="3"/>
  <c r="AG663" i="3"/>
  <c r="BC679" i="3"/>
  <c r="AG679" i="3"/>
  <c r="BC695" i="3"/>
  <c r="AG695" i="3"/>
  <c r="BC711" i="3"/>
  <c r="AG711" i="3"/>
  <c r="BC727" i="3"/>
  <c r="AG727" i="3"/>
  <c r="BC743" i="3"/>
  <c r="AG743" i="3"/>
  <c r="BC759" i="3"/>
  <c r="AG759" i="3"/>
  <c r="BD775" i="3"/>
  <c r="BC791" i="3"/>
  <c r="AG791" i="3"/>
  <c r="BD811" i="3"/>
  <c r="BC468" i="3"/>
  <c r="AG468" i="3"/>
  <c r="BD568" i="3"/>
  <c r="BD768" i="3"/>
  <c r="BD876" i="3"/>
  <c r="BD396" i="3"/>
  <c r="BD516" i="3"/>
  <c r="BC608" i="3"/>
  <c r="AG608" i="3"/>
  <c r="BD784" i="3"/>
  <c r="BD404" i="3"/>
  <c r="BC440" i="3"/>
  <c r="AG440" i="3"/>
  <c r="BC624" i="3"/>
  <c r="AG624" i="3"/>
  <c r="BC712" i="3"/>
  <c r="AG712" i="3"/>
  <c r="BD800" i="3"/>
  <c r="BC650" i="3"/>
  <c r="AG650" i="3"/>
  <c r="BD666" i="3"/>
  <c r="BC718" i="3"/>
  <c r="AG718" i="3"/>
  <c r="BD734" i="3"/>
  <c r="BD750" i="3"/>
  <c r="BD766" i="3"/>
  <c r="AG782" i="3"/>
  <c r="BD798" i="3"/>
  <c r="BD898" i="3"/>
  <c r="BC914" i="3"/>
  <c r="AG914" i="3"/>
  <c r="BC930" i="3"/>
  <c r="AG930" i="3"/>
  <c r="BC946" i="3"/>
  <c r="AG946" i="3"/>
  <c r="BC962" i="3"/>
  <c r="AG962" i="3"/>
  <c r="BC978" i="3"/>
  <c r="AG978" i="3"/>
  <c r="BC994" i="3"/>
  <c r="AG994" i="3"/>
  <c r="BC1010" i="3"/>
  <c r="AG1010" i="3"/>
  <c r="BC951" i="3"/>
  <c r="AG951" i="3"/>
  <c r="BC388" i="3"/>
  <c r="AG388" i="3"/>
  <c r="BC480" i="3"/>
  <c r="AG480" i="3"/>
  <c r="BC612" i="3"/>
  <c r="AG612" i="3"/>
  <c r="BD744" i="3"/>
  <c r="BC872" i="3"/>
  <c r="AG872" i="3"/>
  <c r="BC939" i="3"/>
  <c r="AG939" i="3"/>
  <c r="BC999" i="3"/>
  <c r="AG999" i="3"/>
  <c r="BC668" i="3"/>
  <c r="AG668" i="3"/>
  <c r="BC760" i="3"/>
  <c r="AG760" i="3"/>
  <c r="BD552" i="3"/>
  <c r="BD652" i="3"/>
  <c r="BD732" i="3"/>
  <c r="BD824" i="3"/>
  <c r="BD936" i="3"/>
  <c r="BD183" i="3"/>
  <c r="BC279" i="3"/>
  <c r="AG279" i="3"/>
  <c r="BD295" i="3"/>
  <c r="BD327" i="3"/>
  <c r="BD343" i="3"/>
  <c r="BC359" i="3"/>
  <c r="AG359" i="3"/>
  <c r="BD375" i="3"/>
  <c r="BD391" i="3"/>
  <c r="BD407" i="3"/>
  <c r="BC423" i="3"/>
  <c r="AG423" i="3"/>
  <c r="BD439" i="3"/>
  <c r="BD455" i="3"/>
  <c r="BD471" i="3"/>
  <c r="BD487" i="3"/>
  <c r="BC503" i="3"/>
  <c r="AG503" i="3"/>
  <c r="BC519" i="3"/>
  <c r="AG519" i="3"/>
  <c r="BC535" i="3"/>
  <c r="AG535" i="3"/>
  <c r="BC551" i="3"/>
  <c r="AG551" i="3"/>
  <c r="BC567" i="3"/>
  <c r="AG567" i="3"/>
  <c r="BC583" i="3"/>
  <c r="AG583" i="3"/>
  <c r="BC599" i="3"/>
  <c r="AG599" i="3"/>
  <c r="BC615" i="3"/>
  <c r="AG615" i="3"/>
  <c r="BD631" i="3"/>
  <c r="BD647" i="3"/>
  <c r="BD663" i="3"/>
  <c r="BD679" i="3"/>
  <c r="BD695" i="3"/>
  <c r="BD711" i="3"/>
  <c r="BD727" i="3"/>
  <c r="BD743" i="3"/>
  <c r="BD759" i="3"/>
  <c r="BC775" i="3"/>
  <c r="AG775" i="3"/>
  <c r="BC811" i="3"/>
  <c r="AG811" i="3"/>
  <c r="BC831" i="3"/>
  <c r="AG831" i="3"/>
  <c r="BD851" i="3"/>
  <c r="BD927" i="3"/>
  <c r="BD991" i="3"/>
  <c r="BC568" i="3"/>
  <c r="AG568" i="3"/>
  <c r="BD660" i="3"/>
  <c r="BC876" i="3"/>
  <c r="AG876" i="3"/>
  <c r="BC516" i="3"/>
  <c r="AG516" i="3"/>
  <c r="BC700" i="3"/>
  <c r="AG700" i="3"/>
  <c r="BC784" i="3"/>
  <c r="AG784" i="3"/>
  <c r="BD924" i="3"/>
  <c r="BD556" i="3"/>
  <c r="BD820" i="3"/>
  <c r="BD944" i="3"/>
  <c r="BC940" i="3"/>
  <c r="AG940" i="3"/>
  <c r="BC920" i="3"/>
  <c r="AG920" i="3"/>
  <c r="BD374" i="3"/>
  <c r="BD390" i="3"/>
  <c r="BD406" i="3"/>
  <c r="BD422" i="3"/>
  <c r="BC442" i="3"/>
  <c r="AG442" i="3"/>
  <c r="BC490" i="3"/>
  <c r="AG490" i="3"/>
  <c r="BC506" i="3"/>
  <c r="AG506" i="3"/>
  <c r="BC522" i="3"/>
  <c r="AG522" i="3"/>
  <c r="BD538" i="3"/>
  <c r="BD554" i="3"/>
  <c r="BC570" i="3"/>
  <c r="AG570" i="3"/>
  <c r="BC586" i="3"/>
  <c r="AG586" i="3"/>
  <c r="BD602" i="3"/>
  <c r="BC618" i="3"/>
  <c r="AG618" i="3"/>
  <c r="BD634" i="3"/>
  <c r="BD650" i="3"/>
  <c r="BC686" i="3"/>
  <c r="AG686" i="3"/>
  <c r="BC702" i="3"/>
  <c r="AG702" i="3"/>
  <c r="BD718" i="3"/>
  <c r="BC766" i="3"/>
  <c r="AG766" i="3"/>
  <c r="BD802" i="3"/>
  <c r="BD818" i="3"/>
  <c r="BD834" i="3"/>
  <c r="BD850" i="3"/>
  <c r="BD866" i="3"/>
  <c r="BD882" i="3"/>
  <c r="BC898" i="3"/>
  <c r="AG898" i="3"/>
  <c r="BD388" i="3"/>
  <c r="BD480" i="3"/>
  <c r="BC744" i="3"/>
  <c r="AG744" i="3"/>
  <c r="BD400" i="3"/>
  <c r="BD520" i="3"/>
  <c r="BD604" i="3"/>
  <c r="BD888" i="3"/>
  <c r="BD875" i="3"/>
  <c r="BD947" i="3"/>
  <c r="BD1011" i="3"/>
  <c r="BD464" i="3"/>
  <c r="BC552" i="3"/>
  <c r="AG552" i="3"/>
  <c r="BC824" i="3"/>
  <c r="AG824" i="3"/>
  <c r="BC936" i="3"/>
  <c r="AG936" i="3"/>
  <c r="BC183" i="3"/>
  <c r="AG183" i="3"/>
  <c r="BC199" i="3"/>
  <c r="AG199" i="3"/>
  <c r="BC215" i="3"/>
  <c r="AG215" i="3"/>
  <c r="BC231" i="3"/>
  <c r="AG231" i="3"/>
  <c r="BD247" i="3"/>
  <c r="BD263" i="3"/>
  <c r="BD279" i="3"/>
  <c r="BC295" i="3"/>
  <c r="AG295" i="3"/>
  <c r="BD311" i="3"/>
  <c r="BD363" i="3"/>
  <c r="BD379" i="3"/>
  <c r="BD443" i="3"/>
  <c r="BC459" i="3"/>
  <c r="AG459" i="3"/>
  <c r="BD491" i="3"/>
  <c r="BC619" i="3"/>
  <c r="AG619" i="3"/>
  <c r="BC635" i="3"/>
  <c r="AG635" i="3"/>
  <c r="BC651" i="3"/>
  <c r="AG651" i="3"/>
  <c r="BC667" i="3"/>
  <c r="AG667" i="3"/>
  <c r="BC683" i="3"/>
  <c r="AG683" i="3"/>
  <c r="BC699" i="3"/>
  <c r="AG699" i="3"/>
  <c r="BC715" i="3"/>
  <c r="AG715" i="3"/>
  <c r="BC731" i="3"/>
  <c r="AG731" i="3"/>
  <c r="BC747" i="3"/>
  <c r="AG747" i="3"/>
  <c r="BC763" i="3"/>
  <c r="AG763" i="3"/>
  <c r="BC851" i="3"/>
  <c r="AG851" i="3"/>
  <c r="BD883" i="3"/>
  <c r="BC927" i="3"/>
  <c r="AG927" i="3"/>
  <c r="BC991" i="3"/>
  <c r="AG991" i="3"/>
  <c r="BD468" i="3"/>
  <c r="BC660" i="3"/>
  <c r="AG660" i="3"/>
  <c r="BC768" i="3"/>
  <c r="AG768" i="3"/>
  <c r="BC396" i="3"/>
  <c r="AG396" i="3"/>
  <c r="BD812" i="3"/>
  <c r="BD408" i="3"/>
  <c r="BD460" i="3"/>
  <c r="BC556" i="3"/>
  <c r="AG556" i="3"/>
  <c r="BD648" i="3"/>
  <c r="BD728" i="3"/>
  <c r="BC820" i="3"/>
  <c r="AG820" i="3"/>
  <c r="BC944" i="3"/>
  <c r="AG944" i="3"/>
  <c r="BD980" i="3"/>
  <c r="BC458" i="3"/>
  <c r="AG458" i="3"/>
  <c r="BC474" i="3"/>
  <c r="AG474" i="3"/>
  <c r="BD506" i="3"/>
  <c r="BD522" i="3"/>
  <c r="BC538" i="3"/>
  <c r="AG538" i="3"/>
  <c r="BC554" i="3"/>
  <c r="AG554" i="3"/>
  <c r="BD570" i="3"/>
  <c r="BD586" i="3"/>
  <c r="BC602" i="3"/>
  <c r="AG602" i="3"/>
  <c r="BD618" i="3"/>
  <c r="BC670" i="3"/>
  <c r="AG670" i="3"/>
  <c r="BD686" i="3"/>
  <c r="BD702" i="3"/>
  <c r="BC738" i="3"/>
  <c r="AG738" i="3"/>
  <c r="BC754" i="3"/>
  <c r="AG754" i="3"/>
  <c r="BC786" i="3"/>
  <c r="AG786" i="3"/>
  <c r="BC818" i="3"/>
  <c r="AG818" i="3"/>
  <c r="BC834" i="3"/>
  <c r="AG834" i="3"/>
  <c r="BC850" i="3"/>
  <c r="AG850" i="3"/>
  <c r="BC866" i="3"/>
  <c r="AG866" i="3"/>
  <c r="BC882" i="3"/>
  <c r="AG882" i="3"/>
  <c r="BD918" i="3"/>
  <c r="BD934" i="3"/>
  <c r="BD950" i="3"/>
  <c r="BD966" i="3"/>
  <c r="BD982" i="3"/>
  <c r="BD998" i="3"/>
  <c r="BD895" i="3"/>
  <c r="BD971" i="3"/>
  <c r="BD416" i="3"/>
  <c r="BD512" i="3"/>
  <c r="BD636" i="3"/>
  <c r="BD928" i="3"/>
  <c r="BD891" i="3"/>
  <c r="BD955" i="3"/>
  <c r="BC520" i="3"/>
  <c r="AG520" i="3"/>
  <c r="BC604" i="3"/>
  <c r="AG604" i="3"/>
  <c r="BD696" i="3"/>
  <c r="BD788" i="3"/>
  <c r="BC888" i="3"/>
  <c r="AG888" i="3"/>
  <c r="BC875" i="3"/>
  <c r="AG875" i="3"/>
  <c r="BC947" i="3"/>
  <c r="AG947" i="3"/>
  <c r="BC1011" i="3"/>
  <c r="AG1011" i="3"/>
  <c r="BC464" i="3"/>
  <c r="AG464" i="3"/>
  <c r="BC652" i="3"/>
  <c r="AG652" i="3"/>
  <c r="BC732" i="3"/>
  <c r="AG732" i="3"/>
  <c r="BD972" i="3"/>
  <c r="BD187" i="3"/>
  <c r="BD315" i="3"/>
  <c r="BD331" i="3"/>
  <c r="BD347" i="3"/>
  <c r="BD395" i="3"/>
  <c r="BD411" i="3"/>
  <c r="BD427" i="3"/>
  <c r="BD459" i="3"/>
  <c r="BD475" i="3"/>
  <c r="BD507" i="3"/>
  <c r="BD523" i="3"/>
  <c r="BD539" i="3"/>
  <c r="BD555" i="3"/>
  <c r="BD571" i="3"/>
  <c r="BD587" i="3"/>
  <c r="BD603" i="3"/>
  <c r="BD779" i="3"/>
  <c r="BC795" i="3"/>
  <c r="AG795" i="3"/>
  <c r="BC815" i="3"/>
  <c r="AG815" i="3"/>
  <c r="BD835" i="3"/>
  <c r="BC883" i="3"/>
  <c r="AG883" i="3"/>
  <c r="BD500" i="3"/>
  <c r="BD592" i="3"/>
  <c r="BD684" i="3"/>
  <c r="BD896" i="3"/>
  <c r="BD448" i="3"/>
  <c r="BD540" i="3"/>
  <c r="BD632" i="3"/>
  <c r="BD724" i="3"/>
  <c r="BC812" i="3"/>
  <c r="AG812" i="3"/>
  <c r="BD952" i="3"/>
  <c r="BC408" i="3"/>
  <c r="AG408" i="3"/>
  <c r="BC460" i="3"/>
  <c r="AG460" i="3"/>
  <c r="BC648" i="3"/>
  <c r="AG648" i="3"/>
  <c r="BC728" i="3"/>
  <c r="AG728" i="3"/>
  <c r="BD976" i="3"/>
  <c r="BC782" i="3" l="1"/>
  <c r="BC769" i="3"/>
  <c r="BD706" i="3"/>
  <c r="BC89" i="3"/>
  <c r="BB442" i="3"/>
  <c r="BB503" i="3"/>
  <c r="BB195" i="3"/>
  <c r="BB922" i="3"/>
  <c r="BB229" i="3"/>
  <c r="BB839" i="3"/>
  <c r="BB697" i="3"/>
  <c r="BB671" i="3"/>
  <c r="BB235" i="3"/>
  <c r="BB452" i="3"/>
  <c r="BB953" i="3"/>
  <c r="BB581" i="3"/>
  <c r="BB481" i="3"/>
  <c r="BB417" i="3"/>
  <c r="BB353" i="3"/>
  <c r="BB289" i="3"/>
  <c r="BB977" i="3"/>
  <c r="BB913" i="3"/>
  <c r="BB204" i="3"/>
  <c r="BB330" i="3"/>
  <c r="BB266" i="3"/>
  <c r="BB202" i="3"/>
  <c r="BB418" i="3"/>
  <c r="BB87" i="3"/>
  <c r="BB488" i="3"/>
  <c r="BB123" i="3"/>
  <c r="BB216" i="3"/>
  <c r="BB131" i="3"/>
  <c r="BB752" i="3"/>
  <c r="BB116" i="3"/>
  <c r="BB242" i="3"/>
  <c r="BB155" i="3"/>
  <c r="BB94" i="3"/>
  <c r="BB366" i="3"/>
  <c r="BB509" i="3"/>
  <c r="BB795" i="3"/>
  <c r="BB1011" i="3"/>
  <c r="BB944" i="3"/>
  <c r="BB295" i="3"/>
  <c r="BB215" i="3"/>
  <c r="BB824" i="3"/>
  <c r="BB784" i="3"/>
  <c r="BB612" i="3"/>
  <c r="BB1010" i="3"/>
  <c r="BB946" i="3"/>
  <c r="BB624" i="3"/>
  <c r="BB743" i="3"/>
  <c r="BB679" i="3"/>
  <c r="BB496" i="3"/>
  <c r="BB862" i="3"/>
  <c r="BB750" i="3"/>
  <c r="BB566" i="3"/>
  <c r="BB736" i="3"/>
  <c r="BB911" i="3"/>
  <c r="BB762" i="3"/>
  <c r="BB534" i="3"/>
  <c r="BB800" i="3"/>
  <c r="BB807" i="3"/>
  <c r="BB1007" i="3"/>
  <c r="BB974" i="3"/>
  <c r="BB755" i="3"/>
  <c r="BB435" i="3"/>
  <c r="BB906" i="3"/>
  <c r="BB826" i="3"/>
  <c r="BB959" i="3"/>
  <c r="BB658" i="3"/>
  <c r="BB564" i="3"/>
  <c r="BB271" i="3"/>
  <c r="BB903" i="3"/>
  <c r="BB742" i="3"/>
  <c r="BB972" i="3"/>
  <c r="BB998" i="3"/>
  <c r="BB934" i="3"/>
  <c r="BB654" i="3"/>
  <c r="BB765" i="3"/>
  <c r="BB701" i="3"/>
  <c r="BB637" i="3"/>
  <c r="BB557" i="3"/>
  <c r="BB168" i="3"/>
  <c r="BB838" i="3"/>
  <c r="BB861" i="3"/>
  <c r="BB797" i="3"/>
  <c r="BB137" i="3"/>
  <c r="BB902" i="3"/>
  <c r="BB606" i="3"/>
  <c r="BB415" i="3"/>
  <c r="BB351" i="3"/>
  <c r="BB756" i="3"/>
  <c r="BB963" i="3"/>
  <c r="BB889" i="3"/>
  <c r="BB825" i="3"/>
  <c r="BB348" i="3"/>
  <c r="BB117" i="3"/>
  <c r="BB741" i="3"/>
  <c r="BB677" i="3"/>
  <c r="BB328" i="3"/>
  <c r="BB192" i="3"/>
  <c r="BB344" i="3"/>
  <c r="BB981" i="3"/>
  <c r="BB917" i="3"/>
  <c r="BB529" i="3"/>
  <c r="BB129" i="3"/>
  <c r="BB545" i="3"/>
  <c r="BB356" i="3"/>
  <c r="BB167" i="3"/>
  <c r="BB108" i="3"/>
  <c r="BB104" i="3"/>
  <c r="BB988" i="3"/>
  <c r="BB248" i="3"/>
  <c r="BB180" i="3"/>
  <c r="BB143" i="3"/>
  <c r="BB270" i="3"/>
  <c r="BB1012" i="3"/>
  <c r="BB208" i="3"/>
  <c r="BB106" i="3"/>
  <c r="BB865" i="3"/>
  <c r="BB801" i="3"/>
  <c r="BB737" i="3"/>
  <c r="BB673" i="3"/>
  <c r="BB225" i="3"/>
  <c r="BB702" i="3"/>
  <c r="BB491" i="3"/>
  <c r="BB205" i="3"/>
  <c r="BB36" i="3"/>
  <c r="BB715" i="3"/>
  <c r="BB794" i="3"/>
  <c r="BB239" i="3"/>
  <c r="BB983" i="3"/>
  <c r="BB478" i="3"/>
  <c r="BB382" i="3"/>
  <c r="BB540" i="3"/>
  <c r="BB835" i="3"/>
  <c r="BB426" i="3"/>
  <c r="BB457" i="3"/>
  <c r="BB393" i="3"/>
  <c r="BB329" i="3"/>
  <c r="BB265" i="3"/>
  <c r="BB201" i="3"/>
  <c r="BB690" i="3"/>
  <c r="BB469" i="3"/>
  <c r="BB405" i="3"/>
  <c r="BB341" i="3"/>
  <c r="BB277" i="3"/>
  <c r="BB213" i="3"/>
  <c r="BB149" i="3"/>
  <c r="BB819" i="3"/>
  <c r="BB745" i="3"/>
  <c r="BB681" i="3"/>
  <c r="BB617" i="3"/>
  <c r="BB517" i="3"/>
  <c r="BB684" i="3"/>
  <c r="BB719" i="3"/>
  <c r="BB655" i="3"/>
  <c r="BB283" i="3"/>
  <c r="BB219" i="3"/>
  <c r="BB1001" i="3"/>
  <c r="BB937" i="3"/>
  <c r="BB465" i="3"/>
  <c r="BB401" i="3"/>
  <c r="BB337" i="3"/>
  <c r="BB273" i="3"/>
  <c r="BB209" i="3"/>
  <c r="BB145" i="3"/>
  <c r="BB636" i="3"/>
  <c r="BB292" i="3"/>
  <c r="BB172" i="3"/>
  <c r="BB961" i="3"/>
  <c r="BB236" i="3"/>
  <c r="BB324" i="3"/>
  <c r="BB314" i="3"/>
  <c r="BB250" i="3"/>
  <c r="BB186" i="3"/>
  <c r="BB402" i="3"/>
  <c r="BB135" i="3"/>
  <c r="BB318" i="3"/>
  <c r="BB115" i="3"/>
  <c r="BB334" i="3"/>
  <c r="BB178" i="3"/>
  <c r="BB302" i="3"/>
  <c r="BB404" i="3"/>
  <c r="BB386" i="3"/>
  <c r="BB217" i="3"/>
  <c r="BB935" i="3"/>
  <c r="BB644" i="3"/>
  <c r="BB482" i="3"/>
  <c r="BB467" i="3"/>
  <c r="BB400" i="3"/>
  <c r="BB852" i="3"/>
  <c r="BB90" i="3"/>
  <c r="BB338" i="3"/>
  <c r="BB551" i="3"/>
  <c r="BB243" i="3"/>
  <c r="BB714" i="3"/>
  <c r="BB424" i="3"/>
  <c r="BB979" i="3"/>
  <c r="BB659" i="3"/>
  <c r="BB907" i="3"/>
  <c r="BB947" i="3"/>
  <c r="BB552" i="3"/>
  <c r="BB700" i="3"/>
  <c r="BB480" i="3"/>
  <c r="BB930" i="3"/>
  <c r="BB650" i="3"/>
  <c r="BB663" i="3"/>
  <c r="BB846" i="3"/>
  <c r="BB640" i="3"/>
  <c r="BB879" i="3"/>
  <c r="BB844" i="3"/>
  <c r="BB931" i="3"/>
  <c r="BB958" i="3"/>
  <c r="BB560" i="3"/>
  <c r="BB874" i="3"/>
  <c r="BB810" i="3"/>
  <c r="BB430" i="3"/>
  <c r="BB860" i="3"/>
  <c r="BB255" i="3"/>
  <c r="BB720" i="3"/>
  <c r="BB512" i="3"/>
  <c r="BB982" i="3"/>
  <c r="BB918" i="3"/>
  <c r="BB638" i="3"/>
  <c r="BB749" i="3"/>
  <c r="BB685" i="3"/>
  <c r="BB621" i="3"/>
  <c r="BB252" i="3"/>
  <c r="BB152" i="3"/>
  <c r="BB822" i="3"/>
  <c r="BB674" i="3"/>
  <c r="BB845" i="3"/>
  <c r="BB781" i="3"/>
  <c r="BB121" i="3"/>
  <c r="BB886" i="3"/>
  <c r="BB399" i="3"/>
  <c r="BB335" i="3"/>
  <c r="BB676" i="3"/>
  <c r="BB536" i="3"/>
  <c r="BB873" i="3"/>
  <c r="BB809" i="3"/>
  <c r="BB799" i="3"/>
  <c r="BB725" i="3"/>
  <c r="BB661" i="3"/>
  <c r="BB312" i="3"/>
  <c r="BB176" i="3"/>
  <c r="BB965" i="3"/>
  <c r="BB497" i="3"/>
  <c r="BB113" i="3"/>
  <c r="BB340" i="3"/>
  <c r="BB151" i="3"/>
  <c r="BB836" i="3"/>
  <c r="BB466" i="3"/>
  <c r="BB38" i="3"/>
  <c r="BB232" i="3"/>
  <c r="BB164" i="3"/>
  <c r="BB380" i="3"/>
  <c r="BB85" i="3"/>
  <c r="BB849" i="3"/>
  <c r="BB785" i="3"/>
  <c r="BB721" i="3"/>
  <c r="BB657" i="3"/>
  <c r="BB618" i="3"/>
  <c r="BB327" i="3"/>
  <c r="BB499" i="3"/>
  <c r="BB764" i="3"/>
  <c r="BB675" i="3"/>
  <c r="BB899" i="3"/>
  <c r="BB398" i="3"/>
  <c r="BB281" i="3"/>
  <c r="BB485" i="3"/>
  <c r="BB165" i="3"/>
  <c r="BB633" i="3"/>
  <c r="BB299" i="3"/>
  <c r="BB660" i="3"/>
  <c r="BB940" i="3"/>
  <c r="BB782" i="3"/>
  <c r="BB456" i="3"/>
  <c r="BB555" i="3"/>
  <c r="BB941" i="3"/>
  <c r="BB141" i="3"/>
  <c r="BB263" i="3"/>
  <c r="BB892" i="3"/>
  <c r="BB455" i="3"/>
  <c r="BB179" i="3"/>
  <c r="BB611" i="3"/>
  <c r="BB723" i="3"/>
  <c r="BB880" i="3"/>
  <c r="BB1000" i="3"/>
  <c r="BB970" i="3"/>
  <c r="BB732" i="3"/>
  <c r="BB820" i="3"/>
  <c r="BB199" i="3"/>
  <c r="BB994" i="3"/>
  <c r="BB440" i="3"/>
  <c r="BB727" i="3"/>
  <c r="BB407" i="3"/>
  <c r="BB734" i="3"/>
  <c r="BB550" i="3"/>
  <c r="BB408" i="3"/>
  <c r="BB883" i="3"/>
  <c r="BB604" i="3"/>
  <c r="BB474" i="3"/>
  <c r="BB686" i="3"/>
  <c r="BB586" i="3"/>
  <c r="BB279" i="3"/>
  <c r="BB939" i="3"/>
  <c r="BB791" i="3"/>
  <c r="BB487" i="3"/>
  <c r="BB867" i="3"/>
  <c r="BB614" i="3"/>
  <c r="BB470" i="3"/>
  <c r="BB451" i="3"/>
  <c r="BB371" i="3"/>
  <c r="BB476" i="3"/>
  <c r="BB828" i="3"/>
  <c r="BB843" i="3"/>
  <c r="BB890" i="3"/>
  <c r="BB524" i="3"/>
  <c r="BB559" i="3"/>
  <c r="BB495" i="3"/>
  <c r="BB806" i="3"/>
  <c r="BB500" i="3"/>
  <c r="BB603" i="3"/>
  <c r="BB539" i="3"/>
  <c r="BB475" i="3"/>
  <c r="BB395" i="3"/>
  <c r="BB331" i="3"/>
  <c r="BB955" i="3"/>
  <c r="BB980" i="3"/>
  <c r="BB558" i="3"/>
  <c r="BB494" i="3"/>
  <c r="BB989" i="3"/>
  <c r="BB925" i="3"/>
  <c r="BB463" i="3"/>
  <c r="BB486" i="3"/>
  <c r="BB406" i="3"/>
  <c r="BB885" i="3"/>
  <c r="BB821" i="3"/>
  <c r="BB757" i="3"/>
  <c r="BB445" i="3"/>
  <c r="BB381" i="3"/>
  <c r="BB317" i="3"/>
  <c r="BB253" i="3"/>
  <c r="BB189" i="3"/>
  <c r="BB125" i="3"/>
  <c r="BB694" i="3"/>
  <c r="BB594" i="3"/>
  <c r="BB530" i="3"/>
  <c r="BB128" i="3"/>
  <c r="BB163" i="3"/>
  <c r="BB368" i="3"/>
  <c r="BB268" i="3"/>
  <c r="BB342" i="3"/>
  <c r="BB278" i="3"/>
  <c r="BB214" i="3"/>
  <c r="BB150" i="3"/>
  <c r="BB130" i="3"/>
  <c r="BB50" i="3"/>
  <c r="BB134" i="3"/>
  <c r="BB264" i="3"/>
  <c r="BB127" i="3"/>
  <c r="BB306" i="3"/>
  <c r="BB210" i="3"/>
  <c r="BB286" i="3"/>
  <c r="BB240" i="3"/>
  <c r="BB986" i="3"/>
  <c r="BB345" i="3"/>
  <c r="BB161" i="3"/>
  <c r="BB999" i="3"/>
  <c r="BB630" i="3"/>
  <c r="BB924" i="3"/>
  <c r="BB510" i="3"/>
  <c r="BB284" i="3"/>
  <c r="BB226" i="3"/>
  <c r="BB615" i="3"/>
  <c r="BB444" i="3"/>
  <c r="BB859" i="3"/>
  <c r="BB866" i="3"/>
  <c r="BB786" i="3"/>
  <c r="BB763" i="3"/>
  <c r="BB699" i="3"/>
  <c r="BB635" i="3"/>
  <c r="BB898" i="3"/>
  <c r="BB506" i="3"/>
  <c r="BB775" i="3"/>
  <c r="BB599" i="3"/>
  <c r="BB535" i="3"/>
  <c r="BB247" i="3"/>
  <c r="BB620" i="3"/>
  <c r="BB375" i="3"/>
  <c r="BB291" i="3"/>
  <c r="BB227" i="3"/>
  <c r="BB900" i="3"/>
  <c r="BB698" i="3"/>
  <c r="BB582" i="3"/>
  <c r="BB771" i="3"/>
  <c r="BB595" i="3"/>
  <c r="BB531" i="3"/>
  <c r="BB778" i="3"/>
  <c r="BB678" i="3"/>
  <c r="BB384" i="3"/>
  <c r="BB780" i="3"/>
  <c r="BB948" i="3"/>
  <c r="BB823" i="3"/>
  <c r="BB707" i="3"/>
  <c r="BB643" i="3"/>
  <c r="BB223" i="3"/>
  <c r="BB919" i="3"/>
  <c r="BB796" i="3"/>
  <c r="BB932" i="3"/>
  <c r="BB915" i="3"/>
  <c r="BB954" i="3"/>
  <c r="BB462" i="3"/>
  <c r="BB992" i="3"/>
  <c r="BB952" i="3"/>
  <c r="BB448" i="3"/>
  <c r="BB779" i="3"/>
  <c r="BB410" i="3"/>
  <c r="BB505" i="3"/>
  <c r="BB441" i="3"/>
  <c r="BB377" i="3"/>
  <c r="BB313" i="3"/>
  <c r="BB249" i="3"/>
  <c r="BB185" i="3"/>
  <c r="BB912" i="3"/>
  <c r="BB569" i="3"/>
  <c r="BB453" i="3"/>
  <c r="BB389" i="3"/>
  <c r="BB325" i="3"/>
  <c r="BB261" i="3"/>
  <c r="BB197" i="3"/>
  <c r="BB133" i="3"/>
  <c r="BB332" i="3"/>
  <c r="BB196" i="3"/>
  <c r="BB916" i="3"/>
  <c r="BB729" i="3"/>
  <c r="BB665" i="3"/>
  <c r="BB565" i="3"/>
  <c r="BB1003" i="3"/>
  <c r="BB703" i="3"/>
  <c r="BB639" i="3"/>
  <c r="BB267" i="3"/>
  <c r="BB203" i="3"/>
  <c r="BB985" i="3"/>
  <c r="BB921" i="3"/>
  <c r="BB613" i="3"/>
  <c r="BB964" i="3"/>
  <c r="BB856" i="3"/>
  <c r="BB449" i="3"/>
  <c r="BB385" i="3"/>
  <c r="BB321" i="3"/>
  <c r="BB257" i="3"/>
  <c r="BB193" i="3"/>
  <c r="BB416" i="3"/>
  <c r="BB256" i="3"/>
  <c r="BB156" i="3"/>
  <c r="BB1009" i="3"/>
  <c r="BB945" i="3"/>
  <c r="BB220" i="3"/>
  <c r="BB92" i="3"/>
  <c r="BB308" i="3"/>
  <c r="BB362" i="3"/>
  <c r="BB298" i="3"/>
  <c r="BB234" i="3"/>
  <c r="BB170" i="3"/>
  <c r="BB119" i="3"/>
  <c r="BB206" i="3"/>
  <c r="BB300" i="3"/>
  <c r="BB99" i="3"/>
  <c r="BB238" i="3"/>
  <c r="BB322" i="3"/>
  <c r="BB162" i="3"/>
  <c r="BB93" i="3"/>
  <c r="BB224" i="3"/>
  <c r="BB244" i="3"/>
  <c r="BB144" i="3"/>
  <c r="BB254" i="3"/>
  <c r="BB126" i="3"/>
  <c r="BB730" i="3"/>
  <c r="BB738" i="3"/>
  <c r="BB667" i="3"/>
  <c r="BB831" i="3"/>
  <c r="BB468" i="3"/>
  <c r="BB908" i="3"/>
  <c r="BB259" i="3"/>
  <c r="BB688" i="3"/>
  <c r="BB428" i="3"/>
  <c r="BB739" i="3"/>
  <c r="BB642" i="3"/>
  <c r="BB421" i="3"/>
  <c r="BB575" i="3"/>
  <c r="BB411" i="3"/>
  <c r="BB422" i="3"/>
  <c r="BB901" i="3"/>
  <c r="BB461" i="3"/>
  <c r="BB166" i="3"/>
  <c r="BB107" i="3"/>
  <c r="BB672" i="3"/>
  <c r="BB350" i="3"/>
  <c r="BB568" i="3"/>
  <c r="BB716" i="3"/>
  <c r="BB307" i="3"/>
  <c r="BB652" i="3"/>
  <c r="BB875" i="3"/>
  <c r="BB670" i="3"/>
  <c r="BB554" i="3"/>
  <c r="BB991" i="3"/>
  <c r="BB183" i="3"/>
  <c r="BB516" i="3"/>
  <c r="BB388" i="3"/>
  <c r="BB978" i="3"/>
  <c r="BB914" i="3"/>
  <c r="BB711" i="3"/>
  <c r="BB647" i="3"/>
  <c r="BB391" i="3"/>
  <c r="BB864" i="3"/>
  <c r="BB830" i="3"/>
  <c r="BB532" i="3"/>
  <c r="BB436" i="3"/>
  <c r="BB847" i="3"/>
  <c r="BB904" i="3"/>
  <c r="BB840" i="3"/>
  <c r="BB1006" i="3"/>
  <c r="BB942" i="3"/>
  <c r="BB968" i="3"/>
  <c r="BB858" i="3"/>
  <c r="BB600" i="3"/>
  <c r="BB708" i="3"/>
  <c r="BB748" i="3"/>
  <c r="BB303" i="3"/>
  <c r="BB628" i="3"/>
  <c r="BB971" i="3"/>
  <c r="BB966" i="3"/>
  <c r="BB733" i="3"/>
  <c r="BB669" i="3"/>
  <c r="BB605" i="3"/>
  <c r="BB200" i="3"/>
  <c r="BB870" i="3"/>
  <c r="BB774" i="3"/>
  <c r="BB893" i="3"/>
  <c r="BB829" i="3"/>
  <c r="BB105" i="3"/>
  <c r="BB770" i="3"/>
  <c r="BB887" i="3"/>
  <c r="BB383" i="3"/>
  <c r="BB319" i="3"/>
  <c r="BB484" i="3"/>
  <c r="BB857" i="3"/>
  <c r="BB793" i="3"/>
  <c r="BB709" i="3"/>
  <c r="BB645" i="3"/>
  <c r="BB513" i="3"/>
  <c r="BB160" i="3"/>
  <c r="BB376" i="3"/>
  <c r="BB949" i="3"/>
  <c r="BB593" i="3"/>
  <c r="BB848" i="3"/>
  <c r="BB420" i="3"/>
  <c r="BB541" i="3"/>
  <c r="BB304" i="3"/>
  <c r="BB140" i="3"/>
  <c r="BB450" i="3"/>
  <c r="BB88" i="3"/>
  <c r="BB897" i="3"/>
  <c r="BB833" i="3"/>
  <c r="BB769" i="3"/>
  <c r="BB705" i="3"/>
  <c r="BB641" i="3"/>
  <c r="BB502" i="3"/>
  <c r="BB191" i="3"/>
  <c r="BB447" i="3"/>
  <c r="BB473" i="3"/>
  <c r="BB533" i="3"/>
  <c r="BB863" i="3"/>
  <c r="BB347" i="3"/>
  <c r="BB585" i="3"/>
  <c r="BB333" i="3"/>
  <c r="BB576" i="3"/>
  <c r="BB294" i="3"/>
  <c r="BB159" i="3"/>
  <c r="BB882" i="3"/>
  <c r="BB851" i="3"/>
  <c r="BB458" i="3"/>
  <c r="BB396" i="3"/>
  <c r="BB570" i="3"/>
  <c r="BB359" i="3"/>
  <c r="BB760" i="3"/>
  <c r="BB872" i="3"/>
  <c r="BB471" i="3"/>
  <c r="BB871" i="3"/>
  <c r="BB598" i="3"/>
  <c r="BB680" i="3"/>
  <c r="BB419" i="3"/>
  <c r="BB355" i="3"/>
  <c r="BB987" i="3"/>
  <c r="BB803" i="3"/>
  <c r="BB483" i="3"/>
  <c r="BB596" i="3"/>
  <c r="BB758" i="3"/>
  <c r="BB783" i="3"/>
  <c r="BB607" i="3"/>
  <c r="BB543" i="3"/>
  <c r="BB790" i="3"/>
  <c r="BB587" i="3"/>
  <c r="BB523" i="3"/>
  <c r="BB443" i="3"/>
  <c r="BB379" i="3"/>
  <c r="BB315" i="3"/>
  <c r="BB788" i="3"/>
  <c r="BB891" i="3"/>
  <c r="BB722" i="3"/>
  <c r="BB960" i="3"/>
  <c r="BB542" i="3"/>
  <c r="BB446" i="3"/>
  <c r="BB956" i="3"/>
  <c r="BB973" i="3"/>
  <c r="BB909" i="3"/>
  <c r="BB280" i="3"/>
  <c r="BB454" i="3"/>
  <c r="BB390" i="3"/>
  <c r="BB869" i="3"/>
  <c r="BB805" i="3"/>
  <c r="BB561" i="3"/>
  <c r="BB609" i="3"/>
  <c r="BB493" i="3"/>
  <c r="BB429" i="3"/>
  <c r="BB365" i="3"/>
  <c r="BB301" i="3"/>
  <c r="BB237" i="3"/>
  <c r="BB173" i="3"/>
  <c r="BB109" i="3"/>
  <c r="BB578" i="3"/>
  <c r="BB514" i="3"/>
  <c r="BB996" i="3"/>
  <c r="BB102" i="3"/>
  <c r="BB158" i="3"/>
  <c r="BB35" i="3"/>
  <c r="BB352" i="3"/>
  <c r="BB326" i="3"/>
  <c r="BB262" i="3"/>
  <c r="BB198" i="3"/>
  <c r="BB118" i="3"/>
  <c r="BB114" i="3"/>
  <c r="BB148" i="3"/>
  <c r="BB212" i="3"/>
  <c r="BB100" i="3"/>
  <c r="BB111" i="3"/>
  <c r="BB370" i="3"/>
  <c r="BB290" i="3"/>
  <c r="BB194" i="3"/>
  <c r="BB222" i="3"/>
  <c r="BB472" i="3"/>
  <c r="BB706" i="3"/>
  <c r="BB834" i="3"/>
  <c r="BB731" i="3"/>
  <c r="BB967" i="3"/>
  <c r="BB632" i="3"/>
  <c r="BB378" i="3"/>
  <c r="BB357" i="3"/>
  <c r="BB459" i="3"/>
  <c r="BB884" i="3"/>
  <c r="BB616" i="3"/>
  <c r="BB511" i="3"/>
  <c r="BB837" i="3"/>
  <c r="BB397" i="3"/>
  <c r="BB230" i="3"/>
  <c r="BB260" i="3"/>
  <c r="BB547" i="3"/>
  <c r="BB728" i="3"/>
  <c r="BB520" i="3"/>
  <c r="BB850" i="3"/>
  <c r="BB754" i="3"/>
  <c r="BB747" i="3"/>
  <c r="BB683" i="3"/>
  <c r="BB619" i="3"/>
  <c r="BB766" i="3"/>
  <c r="BB490" i="3"/>
  <c r="BB583" i="3"/>
  <c r="BB519" i="3"/>
  <c r="BB518" i="3"/>
  <c r="BB343" i="3"/>
  <c r="BB275" i="3"/>
  <c r="BB211" i="3"/>
  <c r="BB804" i="3"/>
  <c r="BB894" i="3"/>
  <c r="BB646" i="3"/>
  <c r="BB579" i="3"/>
  <c r="BB515" i="3"/>
  <c r="BB662" i="3"/>
  <c r="BB434" i="3"/>
  <c r="BB868" i="3"/>
  <c r="BB692" i="3"/>
  <c r="BB832" i="3"/>
  <c r="BB787" i="3"/>
  <c r="BB691" i="3"/>
  <c r="BB627" i="3"/>
  <c r="BB207" i="3"/>
  <c r="BB664" i="3"/>
  <c r="BB626" i="3"/>
  <c r="BB816" i="3"/>
  <c r="BB1002" i="3"/>
  <c r="BB938" i="3"/>
  <c r="BB414" i="3"/>
  <c r="BB724" i="3"/>
  <c r="BB896" i="3"/>
  <c r="BB802" i="3"/>
  <c r="BB394" i="3"/>
  <c r="BB489" i="3"/>
  <c r="BB425" i="3"/>
  <c r="BB361" i="3"/>
  <c r="BB297" i="3"/>
  <c r="BB233" i="3"/>
  <c r="BB169" i="3"/>
  <c r="BB320" i="3"/>
  <c r="BB521" i="3"/>
  <c r="BB501" i="3"/>
  <c r="BB437" i="3"/>
  <c r="BB373" i="3"/>
  <c r="BB309" i="3"/>
  <c r="BB245" i="3"/>
  <c r="BB181" i="3"/>
  <c r="BB316" i="3"/>
  <c r="BB808" i="3"/>
  <c r="BB713" i="3"/>
  <c r="BB649" i="3"/>
  <c r="BB549" i="3"/>
  <c r="BB943" i="3"/>
  <c r="BB751" i="3"/>
  <c r="BB687" i="3"/>
  <c r="BB623" i="3"/>
  <c r="BB251" i="3"/>
  <c r="BB187" i="3"/>
  <c r="BB572" i="3"/>
  <c r="BB969" i="3"/>
  <c r="BB905" i="3"/>
  <c r="BB597" i="3"/>
  <c r="BB433" i="3"/>
  <c r="BB369" i="3"/>
  <c r="BB305" i="3"/>
  <c r="BB241" i="3"/>
  <c r="BB177" i="3"/>
  <c r="BB910" i="3"/>
  <c r="BB993" i="3"/>
  <c r="BB929" i="3"/>
  <c r="BB188" i="3"/>
  <c r="BB272" i="3"/>
  <c r="BB346" i="3"/>
  <c r="BB282" i="3"/>
  <c r="BB218" i="3"/>
  <c r="BB154" i="3"/>
  <c r="BB142" i="3"/>
  <c r="BB103" i="3"/>
  <c r="BB83" i="3"/>
  <c r="BB110" i="3"/>
  <c r="BB98" i="3"/>
  <c r="BB132" i="3"/>
  <c r="BB258" i="3"/>
  <c r="BB146" i="3"/>
  <c r="BB228" i="3"/>
  <c r="BB171" i="3"/>
  <c r="BB112" i="3"/>
  <c r="BB190" i="3"/>
  <c r="BB525" i="3"/>
  <c r="BB138" i="3"/>
  <c r="BB96" i="3"/>
  <c r="BB682" i="3"/>
  <c r="BB311" i="3"/>
  <c r="BB528" i="3"/>
  <c r="BB409" i="3"/>
  <c r="BB792" i="3"/>
  <c r="BB772" i="3"/>
  <c r="BB544" i="3"/>
  <c r="BB323" i="3"/>
  <c r="BB710" i="3"/>
  <c r="BB592" i="3"/>
  <c r="BB574" i="3"/>
  <c r="BB537" i="3"/>
  <c r="BB773" i="3"/>
  <c r="BB610" i="3"/>
  <c r="BB276" i="3"/>
  <c r="BB818" i="3"/>
  <c r="BB651" i="3"/>
  <c r="BB811" i="3"/>
  <c r="BB888" i="3"/>
  <c r="BB538" i="3"/>
  <c r="BB927" i="3"/>
  <c r="BB231" i="3"/>
  <c r="BB936" i="3"/>
  <c r="BB876" i="3"/>
  <c r="BB951" i="3"/>
  <c r="BB962" i="3"/>
  <c r="BB712" i="3"/>
  <c r="BB759" i="3"/>
  <c r="BB695" i="3"/>
  <c r="BB631" i="3"/>
  <c r="BB580" i="3"/>
  <c r="BB878" i="3"/>
  <c r="BB814" i="3"/>
  <c r="BB1004" i="3"/>
  <c r="BB975" i="3"/>
  <c r="BB827" i="3"/>
  <c r="BB984" i="3"/>
  <c r="BB798" i="3"/>
  <c r="BB588" i="3"/>
  <c r="BB990" i="3"/>
  <c r="BB926" i="3"/>
  <c r="BB842" i="3"/>
  <c r="BB508" i="3"/>
  <c r="BB392" i="3"/>
  <c r="BB776" i="3"/>
  <c r="BB656" i="3"/>
  <c r="BB287" i="3"/>
  <c r="BB895" i="3"/>
  <c r="BB950" i="3"/>
  <c r="BB717" i="3"/>
  <c r="BB653" i="3"/>
  <c r="BB589" i="3"/>
  <c r="BB184" i="3"/>
  <c r="BB854" i="3"/>
  <c r="BB877" i="3"/>
  <c r="BB813" i="3"/>
  <c r="BB573" i="3"/>
  <c r="BB622" i="3"/>
  <c r="BB431" i="3"/>
  <c r="BB367" i="3"/>
  <c r="BB1008" i="3"/>
  <c r="BB412" i="3"/>
  <c r="BB841" i="3"/>
  <c r="BB777" i="3"/>
  <c r="BB364" i="3"/>
  <c r="BB693" i="3"/>
  <c r="BB629" i="3"/>
  <c r="BB97" i="3"/>
  <c r="BB360" i="3"/>
  <c r="BB997" i="3"/>
  <c r="BB933" i="3"/>
  <c r="BB577" i="3"/>
  <c r="BB372" i="3"/>
  <c r="BB288" i="3"/>
  <c r="BB124" i="3"/>
  <c r="BB42" i="3"/>
  <c r="BB86" i="3"/>
  <c r="BB139" i="3"/>
  <c r="BB881" i="3"/>
  <c r="BB817" i="3"/>
  <c r="BB753" i="3"/>
  <c r="BB689" i="3"/>
  <c r="BB625" i="3"/>
  <c r="BB602" i="3"/>
  <c r="BB567" i="3"/>
  <c r="BB563" i="3"/>
  <c r="BB432" i="3"/>
  <c r="BB548" i="3"/>
  <c r="BB855" i="3"/>
  <c r="BB153" i="3"/>
  <c r="BB293" i="3"/>
  <c r="BB735" i="3"/>
  <c r="BB460" i="3"/>
  <c r="BB492" i="3"/>
  <c r="BB387" i="3"/>
  <c r="BB1005" i="3"/>
  <c r="BB479" i="3"/>
  <c r="BB269" i="3"/>
  <c r="BB546" i="3"/>
  <c r="BB358" i="3"/>
  <c r="BB120" i="3"/>
  <c r="BB522" i="3"/>
  <c r="BB812" i="3"/>
  <c r="BB815" i="3"/>
  <c r="BB464" i="3"/>
  <c r="BB648" i="3"/>
  <c r="BB556" i="3"/>
  <c r="BB768" i="3"/>
  <c r="BB744" i="3"/>
  <c r="BB920" i="3"/>
  <c r="BB423" i="3"/>
  <c r="BB668" i="3"/>
  <c r="BB718" i="3"/>
  <c r="BB608" i="3"/>
  <c r="BB439" i="3"/>
  <c r="BB995" i="3"/>
  <c r="BB666" i="3"/>
  <c r="BB704" i="3"/>
  <c r="BB584" i="3"/>
  <c r="BB403" i="3"/>
  <c r="BB339" i="3"/>
  <c r="BB740" i="3"/>
  <c r="BB923" i="3"/>
  <c r="BB746" i="3"/>
  <c r="BB504" i="3"/>
  <c r="BB726" i="3"/>
  <c r="BB767" i="3"/>
  <c r="BB591" i="3"/>
  <c r="BB527" i="3"/>
  <c r="BB976" i="3"/>
  <c r="BB571" i="3"/>
  <c r="BB507" i="3"/>
  <c r="BB427" i="3"/>
  <c r="BB363" i="3"/>
  <c r="BB696" i="3"/>
  <c r="BB928" i="3"/>
  <c r="BB590" i="3"/>
  <c r="BB526" i="3"/>
  <c r="BB553" i="3"/>
  <c r="BB634" i="3"/>
  <c r="BB957" i="3"/>
  <c r="BB601" i="3"/>
  <c r="BB761" i="3"/>
  <c r="BB101" i="3"/>
  <c r="BB438" i="3"/>
  <c r="BB374" i="3"/>
  <c r="BB853" i="3"/>
  <c r="BB789" i="3"/>
  <c r="BB477" i="3"/>
  <c r="BB413" i="3"/>
  <c r="BB349" i="3"/>
  <c r="BB285" i="3"/>
  <c r="BB221" i="3"/>
  <c r="BB157" i="3"/>
  <c r="BB562" i="3"/>
  <c r="BB498" i="3"/>
  <c r="BB89" i="3"/>
  <c r="BB19" i="3"/>
  <c r="BB336" i="3"/>
  <c r="BB147" i="3"/>
  <c r="BB310" i="3"/>
  <c r="BB246" i="3"/>
  <c r="BB182" i="3"/>
  <c r="BB122" i="3"/>
  <c r="BB136" i="3"/>
  <c r="BB82" i="3"/>
  <c r="BB175" i="3"/>
  <c r="BB91" i="3"/>
  <c r="BB296" i="3"/>
  <c r="BB84" i="3"/>
  <c r="BB95" i="3"/>
  <c r="BB354" i="3"/>
  <c r="BB274" i="3"/>
  <c r="BB174" i="3"/>
  <c r="BB67" i="3"/>
  <c r="BB78" i="3"/>
  <c r="BB69" i="3"/>
  <c r="BB70" i="3"/>
  <c r="BB75" i="3"/>
  <c r="BB66" i="3"/>
  <c r="BB68" i="3"/>
  <c r="BB79" i="3"/>
  <c r="BB71" i="3"/>
  <c r="BB81" i="3"/>
  <c r="BB64" i="3"/>
  <c r="BB63" i="3"/>
  <c r="BB62" i="3"/>
  <c r="BB76" i="3"/>
  <c r="BB72" i="3"/>
  <c r="BB58" i="3"/>
  <c r="BB65" i="3"/>
  <c r="BB77" i="3"/>
  <c r="BB60" i="3"/>
  <c r="BB73" i="3"/>
  <c r="BB74" i="3"/>
  <c r="BB61" i="3"/>
  <c r="BB80" i="3"/>
  <c r="AI59" i="3" l="1"/>
  <c r="AI34" i="3"/>
  <c r="AI46" i="3"/>
  <c r="AH59" i="3"/>
  <c r="AI24" i="3"/>
  <c r="AI30" i="3"/>
  <c r="AH52" i="3"/>
  <c r="AH24" i="3"/>
  <c r="AH48" i="3"/>
  <c r="AH17" i="3"/>
  <c r="AI25" i="3"/>
  <c r="AI49" i="3"/>
  <c r="AH54" i="3"/>
  <c r="AH25" i="3"/>
  <c r="AH43" i="3"/>
  <c r="AI14" i="3"/>
  <c r="AI26" i="3"/>
  <c r="AI44" i="3"/>
  <c r="AI56" i="3"/>
  <c r="AH14" i="3"/>
  <c r="AI13" i="3"/>
  <c r="AI39" i="3"/>
  <c r="AI45" i="3"/>
  <c r="AI51" i="3"/>
  <c r="AH46" i="3"/>
  <c r="AH33" i="3"/>
  <c r="AH45" i="3"/>
  <c r="AH51" i="3"/>
  <c r="AH57" i="3"/>
  <c r="AM14" i="3"/>
  <c r="AM32" i="3"/>
  <c r="AM44" i="3"/>
  <c r="AM46" i="3"/>
  <c r="AM48" i="3"/>
  <c r="AM50" i="3"/>
  <c r="AM56" i="3"/>
  <c r="AM58" i="3"/>
  <c r="AM70" i="3"/>
  <c r="AM80" i="3"/>
  <c r="AM82" i="3"/>
  <c r="AM92" i="3"/>
  <c r="AM94" i="3"/>
  <c r="AM96" i="3"/>
  <c r="AM104" i="3"/>
  <c r="AM108" i="3"/>
  <c r="AM116" i="3"/>
  <c r="AM118" i="3"/>
  <c r="AM124" i="3"/>
  <c r="AM136" i="3"/>
  <c r="AM140" i="3"/>
  <c r="AM25" i="3"/>
  <c r="AM31" i="3"/>
  <c r="AM39" i="3"/>
  <c r="AM43" i="3"/>
  <c r="AM45" i="3"/>
  <c r="AM53" i="3"/>
  <c r="AM55" i="3"/>
  <c r="AM57" i="3"/>
  <c r="AM69" i="3"/>
  <c r="AM73" i="3"/>
  <c r="AM79" i="3"/>
  <c r="AM81" i="3"/>
  <c r="AM85" i="3"/>
  <c r="AM93" i="3"/>
  <c r="AM99" i="3"/>
  <c r="AM103" i="3"/>
  <c r="AM105" i="3"/>
  <c r="AM113" i="3"/>
  <c r="AM115" i="3"/>
  <c r="AM117" i="3"/>
  <c r="AM127" i="3"/>
  <c r="AM129" i="3"/>
  <c r="AM141" i="3"/>
  <c r="AM143" i="3"/>
  <c r="AM151" i="3"/>
  <c r="AM153" i="3"/>
  <c r="AM157" i="3"/>
  <c r="AM165" i="3"/>
  <c r="AM171" i="3"/>
  <c r="AM175" i="3"/>
  <c r="AM177" i="3"/>
  <c r="AM189" i="3"/>
  <c r="AM193" i="3"/>
  <c r="AM195" i="3"/>
  <c r="AM199" i="3"/>
  <c r="AM201" i="3"/>
  <c r="AM205" i="3"/>
  <c r="AM211" i="3"/>
  <c r="AM213" i="3"/>
  <c r="AM215" i="3"/>
  <c r="AM219" i="3"/>
  <c r="AM267" i="3"/>
  <c r="AM261" i="3"/>
  <c r="AM152" i="3"/>
  <c r="AM156" i="3"/>
  <c r="AM164" i="3"/>
  <c r="AM176" i="3"/>
  <c r="AM180" i="3"/>
  <c r="AM192" i="3"/>
  <c r="AM200" i="3"/>
  <c r="AM212" i="3"/>
  <c r="AM214" i="3"/>
  <c r="AM216" i="3"/>
  <c r="AM230" i="3"/>
  <c r="AM234" i="3"/>
  <c r="AM236" i="3"/>
  <c r="AM244" i="3"/>
  <c r="AM248" i="3"/>
  <c r="AM252" i="3"/>
  <c r="AM265" i="3"/>
  <c r="AM227" i="3"/>
  <c r="AM235" i="3"/>
  <c r="AM237" i="3"/>
  <c r="AM241" i="3"/>
  <c r="AM247" i="3"/>
  <c r="AM273" i="3"/>
  <c r="AM279" i="3"/>
  <c r="AM289" i="3"/>
  <c r="AM293" i="3"/>
  <c r="AM297" i="3"/>
  <c r="AM303" i="3"/>
  <c r="AM305" i="3"/>
  <c r="AM309" i="3"/>
  <c r="AM317" i="3"/>
  <c r="AM319" i="3"/>
  <c r="AM323" i="3"/>
  <c r="AM329" i="3"/>
  <c r="AM331" i="3"/>
  <c r="AM335" i="3"/>
  <c r="AM345" i="3"/>
  <c r="AM347" i="3"/>
  <c r="AM349" i="3"/>
  <c r="AM351" i="3"/>
  <c r="AM260" i="3"/>
  <c r="AM262" i="3"/>
  <c r="AM266" i="3"/>
  <c r="AM268" i="3"/>
  <c r="AM272" i="3"/>
  <c r="AM286" i="3"/>
  <c r="AM288" i="3"/>
  <c r="AM292" i="3"/>
  <c r="AM294" i="3"/>
  <c r="AM308" i="3"/>
  <c r="AM310" i="3"/>
  <c r="AM312" i="3"/>
  <c r="AM314" i="3"/>
  <c r="AM320" i="3"/>
  <c r="AM326" i="3"/>
  <c r="AM336" i="3"/>
  <c r="AM338" i="3"/>
  <c r="AM340" i="3"/>
  <c r="AM344" i="3"/>
  <c r="AM354" i="3"/>
  <c r="AM358" i="3"/>
  <c r="AM361" i="3"/>
  <c r="AM363" i="3"/>
  <c r="AM365" i="3"/>
  <c r="AM367" i="3"/>
  <c r="AM371" i="3"/>
  <c r="AM373" i="3"/>
  <c r="AM383" i="3"/>
  <c r="AM385" i="3"/>
  <c r="AM387" i="3"/>
  <c r="AM393" i="3"/>
  <c r="AM417" i="3"/>
  <c r="AM433" i="3"/>
  <c r="AM437" i="3"/>
  <c r="AM439" i="3"/>
  <c r="AM441" i="3"/>
  <c r="AM449" i="3"/>
  <c r="AM362" i="3"/>
  <c r="AM368" i="3"/>
  <c r="AM456" i="3"/>
  <c r="AM382" i="3"/>
  <c r="AM386" i="3"/>
  <c r="AM388" i="3"/>
  <c r="AM392" i="3"/>
  <c r="AM402" i="3"/>
  <c r="AM406" i="3"/>
  <c r="AM408" i="3"/>
  <c r="AM412" i="3"/>
  <c r="AM414" i="3"/>
  <c r="AM424" i="3"/>
  <c r="AM432" i="3"/>
  <c r="AM434" i="3"/>
  <c r="AM436" i="3"/>
  <c r="AM438" i="3"/>
  <c r="AM440" i="3"/>
  <c r="AM454" i="3"/>
  <c r="AM457" i="3"/>
  <c r="AM463" i="3"/>
  <c r="AM465" i="3"/>
  <c r="AM473" i="3"/>
  <c r="AM475" i="3"/>
  <c r="AM477" i="3"/>
  <c r="AM487" i="3"/>
  <c r="AM497" i="3"/>
  <c r="AM499" i="3"/>
  <c r="AM501" i="3"/>
  <c r="AM505" i="3"/>
  <c r="AM509" i="3"/>
  <c r="AM511" i="3"/>
  <c r="AM513" i="3"/>
  <c r="AM525" i="3"/>
  <c r="AM533" i="3"/>
  <c r="AM535" i="3"/>
  <c r="AM537" i="3"/>
  <c r="AM545" i="3"/>
  <c r="AM553" i="3"/>
  <c r="AM557" i="3"/>
  <c r="AM559" i="3"/>
  <c r="AM561" i="3"/>
  <c r="AM464" i="3"/>
  <c r="AM468" i="3"/>
  <c r="AM476" i="3"/>
  <c r="AM478" i="3"/>
  <c r="AM480" i="3"/>
  <c r="AM488" i="3"/>
  <c r="AM492" i="3"/>
  <c r="AM496" i="3"/>
  <c r="AM500" i="3"/>
  <c r="AM502" i="3"/>
  <c r="AM504" i="3"/>
  <c r="AM524" i="3"/>
  <c r="AM528" i="3"/>
  <c r="AM536" i="3"/>
  <c r="AM540" i="3"/>
  <c r="AM544" i="3"/>
  <c r="AM548" i="3"/>
  <c r="AM550" i="3"/>
  <c r="AM560" i="3"/>
  <c r="AM564" i="3"/>
  <c r="AM572" i="3"/>
  <c r="AM574" i="3"/>
  <c r="AM576" i="3"/>
  <c r="AM584" i="3"/>
  <c r="AM588" i="3"/>
  <c r="AM592" i="3"/>
  <c r="AM596" i="3"/>
  <c r="AM598" i="3"/>
  <c r="AM600" i="3"/>
  <c r="AM620" i="3"/>
  <c r="AM624" i="3"/>
  <c r="AM750" i="3"/>
  <c r="AM768" i="3"/>
  <c r="AM770" i="3"/>
  <c r="AM774" i="3"/>
  <c r="AM776" i="3"/>
  <c r="AM780" i="3"/>
  <c r="AM782" i="3"/>
  <c r="AM786" i="3"/>
  <c r="AM792" i="3"/>
  <c r="AM794" i="3"/>
  <c r="AM798" i="3"/>
  <c r="AM693" i="3"/>
  <c r="AM695" i="3"/>
  <c r="AM713" i="3"/>
  <c r="AM719" i="3"/>
  <c r="AM723" i="3"/>
  <c r="AM729" i="3"/>
  <c r="AM747" i="3"/>
  <c r="AM753" i="3"/>
  <c r="AM755" i="3"/>
  <c r="AM761" i="3"/>
  <c r="AM767" i="3"/>
  <c r="AM771" i="3"/>
  <c r="AM777" i="3"/>
  <c r="AM779" i="3"/>
  <c r="AM789" i="3"/>
  <c r="AM791" i="3"/>
  <c r="AM797" i="3"/>
  <c r="AM801" i="3"/>
  <c r="AM805" i="3"/>
  <c r="AM813" i="3"/>
  <c r="AM817" i="3"/>
  <c r="AM819" i="3"/>
  <c r="AM823" i="3"/>
  <c r="AM825" i="3"/>
  <c r="AM837" i="3"/>
  <c r="AM841" i="3"/>
  <c r="AM808" i="3"/>
  <c r="AM812" i="3"/>
  <c r="AM814" i="3"/>
  <c r="AM818" i="3"/>
  <c r="AM820" i="3"/>
  <c r="AM824" i="3"/>
  <c r="AM832" i="3"/>
  <c r="AM836" i="3"/>
  <c r="AM842" i="3"/>
  <c r="AM843" i="3"/>
  <c r="AM847" i="3"/>
  <c r="AM849" i="3"/>
  <c r="AM853" i="3"/>
  <c r="AM855" i="3"/>
  <c r="AM859" i="3"/>
  <c r="AM861" i="3"/>
  <c r="AM865" i="3"/>
  <c r="AM867" i="3"/>
  <c r="AM871" i="3"/>
  <c r="AM877" i="3"/>
  <c r="AM883" i="3"/>
  <c r="AM885" i="3"/>
  <c r="AM889" i="3"/>
  <c r="AM895" i="3"/>
  <c r="AM901" i="3"/>
  <c r="AM909" i="3"/>
  <c r="AM915" i="3"/>
  <c r="AM919" i="3"/>
  <c r="AM927" i="3"/>
  <c r="AM939" i="3"/>
  <c r="AM943" i="3"/>
  <c r="AM945" i="3"/>
  <c r="AM949" i="3"/>
  <c r="AM951" i="3"/>
  <c r="AM955" i="3"/>
  <c r="AM957" i="3"/>
  <c r="AM961" i="3"/>
  <c r="AM963" i="3"/>
  <c r="AM967" i="3"/>
  <c r="AM973" i="3"/>
  <c r="AM979" i="3"/>
  <c r="AM981" i="3"/>
  <c r="AM985" i="3"/>
  <c r="AM991" i="3"/>
  <c r="AM997" i="3"/>
  <c r="AM1005" i="3"/>
  <c r="AM1011" i="3"/>
  <c r="AM848" i="3"/>
  <c r="AM852" i="3"/>
  <c r="AM854" i="3"/>
  <c r="AM858" i="3"/>
  <c r="AM860" i="3"/>
  <c r="AM864" i="3"/>
  <c r="AM866" i="3"/>
  <c r="AM870" i="3"/>
  <c r="AM872" i="3"/>
  <c r="AM876" i="3"/>
  <c r="AM878" i="3"/>
  <c r="AM882" i="3"/>
  <c r="AM888" i="3"/>
  <c r="AM890" i="3"/>
  <c r="AM894" i="3"/>
  <c r="AM906" i="3"/>
  <c r="AM908" i="3"/>
  <c r="AM912" i="3"/>
  <c r="AM914" i="3"/>
  <c r="AM920" i="3"/>
  <c r="AM924" i="3"/>
  <c r="AM930" i="3"/>
  <c r="AM932" i="3"/>
  <c r="AM938" i="3"/>
  <c r="AM944" i="3"/>
  <c r="AM948" i="3"/>
  <c r="AM950" i="3"/>
  <c r="AM956" i="3"/>
  <c r="AM960" i="3"/>
  <c r="AM962" i="3"/>
  <c r="AM968" i="3"/>
  <c r="AM972" i="3"/>
  <c r="AM974" i="3"/>
  <c r="AM984" i="3"/>
  <c r="AM990" i="3"/>
  <c r="AM1004" i="3"/>
  <c r="AM1008" i="3"/>
  <c r="AM391" i="3" l="1"/>
  <c r="AM318" i="3"/>
  <c r="AM122" i="3"/>
  <c r="AM395" i="3"/>
  <c r="AH13" i="3"/>
  <c r="AM13" i="3"/>
  <c r="AN956" i="3"/>
  <c r="AN860" i="3"/>
  <c r="AN764" i="3"/>
  <c r="AN668" i="3"/>
  <c r="AN572" i="3"/>
  <c r="AN729" i="3"/>
  <c r="AN497" i="3"/>
  <c r="AN124" i="3"/>
  <c r="AN856" i="3"/>
  <c r="AN760" i="3"/>
  <c r="AN664" i="3"/>
  <c r="AN568" i="3"/>
  <c r="AN376" i="3"/>
  <c r="AN46" i="3"/>
  <c r="AN171" i="3"/>
  <c r="AN70" i="3"/>
  <c r="AN383" i="3"/>
  <c r="AM835" i="3"/>
  <c r="AM925" i="3"/>
  <c r="AM425" i="3"/>
  <c r="AM461" i="3"/>
  <c r="AN146" i="3"/>
  <c r="AN953" i="3"/>
  <c r="AN857" i="3"/>
  <c r="AN661" i="3"/>
  <c r="AN565" i="3"/>
  <c r="AN469" i="3"/>
  <c r="AN285" i="3"/>
  <c r="AN189" i="3"/>
  <c r="AN1008" i="3"/>
  <c r="AN912" i="3"/>
  <c r="AN624" i="3"/>
  <c r="AM485" i="3"/>
  <c r="AM162" i="3"/>
  <c r="AM182" i="3"/>
  <c r="AN671" i="3"/>
  <c r="AN575" i="3"/>
  <c r="AN479" i="3"/>
  <c r="AN882" i="3"/>
  <c r="AN786" i="3"/>
  <c r="AN690" i="3"/>
  <c r="AN594" i="3"/>
  <c r="AN402" i="3"/>
  <c r="AN306" i="3"/>
  <c r="AN210" i="3"/>
  <c r="AN114" i="3"/>
  <c r="AN962" i="3"/>
  <c r="AN629" i="3"/>
  <c r="AN533" i="3"/>
  <c r="AN349" i="3"/>
  <c r="AN253" i="3"/>
  <c r="AN157" i="3"/>
  <c r="AN976" i="3"/>
  <c r="AN880" i="3"/>
  <c r="AN784" i="3"/>
  <c r="AN592" i="3"/>
  <c r="AN400" i="3"/>
  <c r="AN283" i="3"/>
  <c r="AN500" i="3"/>
  <c r="AN308" i="3"/>
  <c r="AN212" i="3"/>
  <c r="AN116" i="3"/>
  <c r="AN393" i="3"/>
  <c r="AN337" i="3"/>
  <c r="AN241" i="3"/>
  <c r="AN145" i="3"/>
  <c r="AN247" i="3"/>
  <c r="AN151" i="3"/>
  <c r="AN55" i="3"/>
  <c r="AN207" i="3"/>
  <c r="AN41" i="3"/>
  <c r="AN89" i="3"/>
  <c r="AN17" i="3"/>
  <c r="AM829" i="3"/>
  <c r="AM431" i="3"/>
  <c r="AM931" i="3"/>
  <c r="AM282" i="3"/>
  <c r="AM969" i="3"/>
  <c r="AM873" i="3"/>
  <c r="AM773" i="3"/>
  <c r="AM701" i="3"/>
  <c r="AM68" i="3"/>
  <c r="AN432" i="3"/>
  <c r="AM275" i="3"/>
  <c r="AM936" i="3"/>
  <c r="AM937" i="3"/>
  <c r="AM741" i="3"/>
  <c r="AM299" i="3"/>
  <c r="AM254" i="3"/>
  <c r="AM158" i="3"/>
  <c r="AM36" i="3"/>
  <c r="AM364" i="3"/>
  <c r="AM269" i="3"/>
  <c r="AM228" i="3"/>
  <c r="AM130" i="3"/>
  <c r="AI37" i="3"/>
  <c r="AH16" i="3"/>
  <c r="AM933" i="3"/>
  <c r="AM807" i="3"/>
  <c r="AM785" i="3"/>
  <c r="AM516" i="3"/>
  <c r="AM549" i="3"/>
  <c r="AM610" i="3"/>
  <c r="AM538" i="3"/>
  <c r="AM360" i="3"/>
  <c r="AM711" i="3"/>
  <c r="AM514" i="3"/>
  <c r="AM608" i="3"/>
  <c r="AH31" i="3"/>
  <c r="AM999" i="3"/>
  <c r="AM975" i="3"/>
  <c r="AM903" i="3"/>
  <c r="AM879" i="3"/>
  <c r="AM707" i="3"/>
  <c r="AH37" i="3"/>
  <c r="AM1002" i="3"/>
  <c r="AM783" i="3"/>
  <c r="AM800" i="3"/>
  <c r="AM423" i="3"/>
  <c r="AM251" i="3"/>
  <c r="AM992" i="3"/>
  <c r="AM896" i="3"/>
  <c r="AM826" i="3"/>
  <c r="AM802" i="3"/>
  <c r="AM442" i="3"/>
  <c r="AM418" i="3"/>
  <c r="AM346" i="3"/>
  <c r="AM322" i="3"/>
  <c r="AM353" i="3"/>
  <c r="AM186" i="3"/>
  <c r="AN638" i="3"/>
  <c r="AN999" i="3"/>
  <c r="AN903" i="3"/>
  <c r="AN807" i="3"/>
  <c r="AN711" i="3"/>
  <c r="AN615" i="3"/>
  <c r="AN519" i="3"/>
  <c r="AN423" i="3"/>
  <c r="AN826" i="3"/>
  <c r="AN730" i="3"/>
  <c r="AN634" i="3"/>
  <c r="AN538" i="3"/>
  <c r="AN442" i="3"/>
  <c r="AN346" i="3"/>
  <c r="AN250" i="3"/>
  <c r="AN154" i="3"/>
  <c r="AN785" i="3"/>
  <c r="AN593" i="3"/>
  <c r="AN989" i="3"/>
  <c r="AN893" i="3"/>
  <c r="AN899" i="3"/>
  <c r="AN803" i="3"/>
  <c r="AN707" i="3"/>
  <c r="AN611" i="3"/>
  <c r="AN515" i="3"/>
  <c r="AN630" i="3"/>
  <c r="AN534" i="3"/>
  <c r="AN246" i="3"/>
  <c r="AN669" i="3"/>
  <c r="AN509" i="3"/>
  <c r="AN975" i="3"/>
  <c r="AN879" i="3"/>
  <c r="AN783" i="3"/>
  <c r="AN591" i="3"/>
  <c r="AN495" i="3"/>
  <c r="AN399" i="3"/>
  <c r="AN898" i="3"/>
  <c r="AN802" i="3"/>
  <c r="AN706" i="3"/>
  <c r="AN610" i="3"/>
  <c r="AN514" i="3"/>
  <c r="AN418" i="3"/>
  <c r="AN322" i="3"/>
  <c r="AN226" i="3"/>
  <c r="AN130" i="3"/>
  <c r="AN937" i="3"/>
  <c r="AN1002" i="3"/>
  <c r="AN933" i="3"/>
  <c r="AN837" i="3"/>
  <c r="AN741" i="3"/>
  <c r="AN645" i="3"/>
  <c r="AN549" i="3"/>
  <c r="AN369" i="3"/>
  <c r="AN269" i="3"/>
  <c r="AN173" i="3"/>
  <c r="AN992" i="3"/>
  <c r="AN896" i="3"/>
  <c r="AN800" i="3"/>
  <c r="AN704" i="3"/>
  <c r="AN608" i="3"/>
  <c r="AN416" i="3"/>
  <c r="AN36" i="3"/>
  <c r="AN299" i="3"/>
  <c r="AN516" i="3"/>
  <c r="AN324" i="3"/>
  <c r="AN228" i="3"/>
  <c r="AN132" i="3"/>
  <c r="AN353" i="3"/>
  <c r="AN257" i="3"/>
  <c r="AN161" i="3"/>
  <c r="AN359" i="3"/>
  <c r="AN167" i="3"/>
  <c r="AN251" i="3"/>
  <c r="AN351" i="3"/>
  <c r="AN61" i="3"/>
  <c r="AN481" i="3"/>
  <c r="AN940" i="3"/>
  <c r="AN844" i="3"/>
  <c r="AN748" i="3"/>
  <c r="AN652" i="3"/>
  <c r="AN364" i="3"/>
  <c r="AN401" i="3"/>
  <c r="AN936" i="3"/>
  <c r="AN840" i="3"/>
  <c r="AN744" i="3"/>
  <c r="AN648" i="3"/>
  <c r="AN456" i="3"/>
  <c r="AN360" i="3"/>
  <c r="AN72" i="3"/>
  <c r="AN649" i="3"/>
  <c r="AN30" i="3"/>
  <c r="AN102" i="3"/>
  <c r="AN127" i="3"/>
  <c r="AM547" i="3"/>
  <c r="AN473" i="3"/>
  <c r="AN235" i="3"/>
  <c r="AM762" i="3"/>
  <c r="AN38" i="3"/>
  <c r="AN945" i="3"/>
  <c r="AN858" i="3"/>
  <c r="AN666" i="3"/>
  <c r="AN721" i="3"/>
  <c r="AN982" i="3"/>
  <c r="AN950" i="3"/>
  <c r="AN854" i="3"/>
  <c r="AN470" i="3"/>
  <c r="AN797" i="3"/>
  <c r="AN605" i="3"/>
  <c r="AN623" i="3"/>
  <c r="AN258" i="3"/>
  <c r="AN965" i="3"/>
  <c r="AN869" i="3"/>
  <c r="AN581" i="3"/>
  <c r="AN389" i="3"/>
  <c r="AN665" i="3"/>
  <c r="AM1010" i="3"/>
  <c r="AM986" i="3"/>
  <c r="AM390" i="3"/>
  <c r="AM717" i="3"/>
  <c r="AM206" i="3"/>
  <c r="AM106" i="3"/>
  <c r="AM831" i="3"/>
  <c r="AM737" i="3"/>
  <c r="AM202" i="3"/>
  <c r="AM978" i="3"/>
  <c r="AM759" i="3"/>
  <c r="AM735" i="3"/>
  <c r="AM586" i="3"/>
  <c r="AM562" i="3"/>
  <c r="AM490" i="3"/>
  <c r="AM466" i="3"/>
  <c r="AN414" i="3"/>
  <c r="AM754" i="3"/>
  <c r="AM394" i="3"/>
  <c r="AM370" i="3"/>
  <c r="AM298" i="3"/>
  <c r="AM274" i="3"/>
  <c r="AN814" i="3"/>
  <c r="AN718" i="3"/>
  <c r="AN334" i="3"/>
  <c r="AN238" i="3"/>
  <c r="AN142" i="3"/>
  <c r="AN983" i="3"/>
  <c r="AN887" i="3"/>
  <c r="AN791" i="3"/>
  <c r="AN695" i="3"/>
  <c r="AN599" i="3"/>
  <c r="AN503" i="3"/>
  <c r="AN407" i="3"/>
  <c r="AN906" i="3"/>
  <c r="AN810" i="3"/>
  <c r="AN714" i="3"/>
  <c r="AN618" i="3"/>
  <c r="AN522" i="3"/>
  <c r="AN426" i="3"/>
  <c r="AN330" i="3"/>
  <c r="AN138" i="3"/>
  <c r="AN769" i="3"/>
  <c r="AN673" i="3"/>
  <c r="AN577" i="3"/>
  <c r="AN973" i="3"/>
  <c r="AN877" i="3"/>
  <c r="AN979" i="3"/>
  <c r="AN883" i="3"/>
  <c r="AN787" i="3"/>
  <c r="AN691" i="3"/>
  <c r="AN595" i="3"/>
  <c r="AN499" i="3"/>
  <c r="AN614" i="3"/>
  <c r="AN518" i="3"/>
  <c r="AN422" i="3"/>
  <c r="AN326" i="3"/>
  <c r="AN230" i="3"/>
  <c r="AN134" i="3"/>
  <c r="AN653" i="3"/>
  <c r="AN493" i="3"/>
  <c r="AN959" i="3"/>
  <c r="AN863" i="3"/>
  <c r="AN767" i="3"/>
  <c r="AM407" i="3"/>
  <c r="AM334" i="3"/>
  <c r="AN971" i="3"/>
  <c r="AN875" i="3"/>
  <c r="AN779" i="3"/>
  <c r="AN587" i="3"/>
  <c r="AN491" i="3"/>
  <c r="AN894" i="3"/>
  <c r="AN977" i="3"/>
  <c r="AN881" i="3"/>
  <c r="AM142" i="3"/>
  <c r="AN544" i="3"/>
  <c r="AN352" i="3"/>
  <c r="AN256" i="3"/>
  <c r="AN160" i="3"/>
  <c r="AN64" i="3"/>
  <c r="AN371" i="3"/>
  <c r="AN179" i="3"/>
  <c r="AN83" i="3"/>
  <c r="AN932" i="3"/>
  <c r="AN836" i="3"/>
  <c r="AN740" i="3"/>
  <c r="AN644" i="3"/>
  <c r="AN452" i="3"/>
  <c r="AN356" i="3"/>
  <c r="AN123" i="3"/>
  <c r="AN50" i="3"/>
  <c r="AN155" i="3"/>
  <c r="AN13" i="3"/>
  <c r="AM138" i="3"/>
  <c r="AM110" i="3"/>
  <c r="AN924" i="3"/>
  <c r="AN828" i="3"/>
  <c r="AN732" i="3"/>
  <c r="AN636" i="3"/>
  <c r="AN444" i="3"/>
  <c r="AN92" i="3"/>
  <c r="AN920" i="3"/>
  <c r="AN824" i="3"/>
  <c r="AN728" i="3"/>
  <c r="AN632" i="3"/>
  <c r="AN440" i="3"/>
  <c r="AN513" i="3"/>
  <c r="AN98" i="3"/>
  <c r="AN14" i="3"/>
  <c r="AN58" i="3"/>
  <c r="AN303" i="3"/>
  <c r="AN698" i="3"/>
  <c r="AN753" i="3"/>
  <c r="AN657" i="3"/>
  <c r="AN561" i="3"/>
  <c r="AN1006" i="3"/>
  <c r="AN886" i="3"/>
  <c r="AN790" i="3"/>
  <c r="AN733" i="3"/>
  <c r="AN541" i="3"/>
  <c r="AN381" i="3"/>
  <c r="AN211" i="3"/>
  <c r="AN115" i="3"/>
  <c r="AN524" i="3"/>
  <c r="AN332" i="3"/>
  <c r="AN236" i="3"/>
  <c r="AN140" i="3"/>
  <c r="AN585" i="3"/>
  <c r="AN329" i="3"/>
  <c r="AN233" i="3"/>
  <c r="AN267" i="3"/>
  <c r="AN868" i="3"/>
  <c r="AN772" i="3"/>
  <c r="AN676" i="3"/>
  <c r="AN580" i="3"/>
  <c r="AN388" i="3"/>
  <c r="AN187" i="3"/>
  <c r="AN57" i="3"/>
  <c r="AN75" i="3"/>
  <c r="AN347" i="3"/>
  <c r="AN564" i="3"/>
  <c r="AN468" i="3"/>
  <c r="AN276" i="3"/>
  <c r="AN180" i="3"/>
  <c r="AN84" i="3"/>
  <c r="AN40" i="3"/>
  <c r="AN305" i="3"/>
  <c r="AN209" i="3"/>
  <c r="AN113" i="3"/>
  <c r="AN215" i="3"/>
  <c r="AN119" i="3"/>
  <c r="AN367" i="3"/>
  <c r="AN143" i="3"/>
  <c r="AN69" i="3"/>
  <c r="AN26" i="3"/>
  <c r="AN79" i="3"/>
  <c r="AN111" i="3"/>
  <c r="AM743" i="3"/>
  <c r="AM459" i="3"/>
  <c r="AM455" i="3"/>
  <c r="AN110" i="3"/>
  <c r="AN855" i="3"/>
  <c r="AN759" i="3"/>
  <c r="AN567" i="3"/>
  <c r="AN471" i="3"/>
  <c r="AN874" i="3"/>
  <c r="AN778" i="3"/>
  <c r="AN586" i="3"/>
  <c r="AN490" i="3"/>
  <c r="AN298" i="3"/>
  <c r="AN737" i="3"/>
  <c r="AN641" i="3"/>
  <c r="AN941" i="3"/>
  <c r="AN845" i="3"/>
  <c r="AN947" i="3"/>
  <c r="AN851" i="3"/>
  <c r="AN755" i="3"/>
  <c r="AN563" i="3"/>
  <c r="AN467" i="3"/>
  <c r="AN978" i="3"/>
  <c r="AN678" i="3"/>
  <c r="AN582" i="3"/>
  <c r="AN486" i="3"/>
  <c r="AN390" i="3"/>
  <c r="AN198" i="3"/>
  <c r="AN717" i="3"/>
  <c r="AN621" i="3"/>
  <c r="AN1010" i="3"/>
  <c r="AN461" i="3"/>
  <c r="AN927" i="3"/>
  <c r="AN831" i="3"/>
  <c r="AN735" i="3"/>
  <c r="AN639" i="3"/>
  <c r="AN543" i="3"/>
  <c r="AN447" i="3"/>
  <c r="AN946" i="3"/>
  <c r="AN850" i="3"/>
  <c r="AN754" i="3"/>
  <c r="AN658" i="3"/>
  <c r="AN562" i="3"/>
  <c r="AN466" i="3"/>
  <c r="AN370" i="3"/>
  <c r="AN274" i="3"/>
  <c r="AN178" i="3"/>
  <c r="AN889" i="3"/>
  <c r="AN693" i="3"/>
  <c r="AN501" i="3"/>
  <c r="AN405" i="3"/>
  <c r="AN713" i="3"/>
  <c r="AN317" i="3"/>
  <c r="AN221" i="3"/>
  <c r="AN125" i="3"/>
  <c r="AN944" i="3"/>
  <c r="AN848" i="3"/>
  <c r="AN752" i="3"/>
  <c r="AN656" i="3"/>
  <c r="AN368" i="3"/>
  <c r="AN988" i="3"/>
  <c r="AN892" i="3"/>
  <c r="AN796" i="3"/>
  <c r="AN700" i="3"/>
  <c r="AN604" i="3"/>
  <c r="AN412" i="3"/>
  <c r="AN537" i="3"/>
  <c r="AN984" i="3"/>
  <c r="AN888" i="3"/>
  <c r="AN792" i="3"/>
  <c r="AN696" i="3"/>
  <c r="AN600" i="3"/>
  <c r="AN408" i="3"/>
  <c r="AN750" i="3"/>
  <c r="AN270" i="3"/>
  <c r="AN174" i="3"/>
  <c r="AN919" i="3"/>
  <c r="AN823" i="3"/>
  <c r="AN727" i="3"/>
  <c r="AN631" i="3"/>
  <c r="AN535" i="3"/>
  <c r="AN439" i="3"/>
  <c r="AN938" i="3"/>
  <c r="AN842" i="3"/>
  <c r="AN746" i="3"/>
  <c r="AN650" i="3"/>
  <c r="AN554" i="3"/>
  <c r="AN458" i="3"/>
  <c r="AN362" i="3"/>
  <c r="AN266" i="3"/>
  <c r="AN170" i="3"/>
  <c r="AN801" i="3"/>
  <c r="AN609" i="3"/>
  <c r="AN1005" i="3"/>
  <c r="AN909" i="3"/>
  <c r="AN1011" i="3"/>
  <c r="AN915" i="3"/>
  <c r="AN819" i="3"/>
  <c r="AN723" i="3"/>
  <c r="AN627" i="3"/>
  <c r="AN531" i="3"/>
  <c r="AN646" i="3"/>
  <c r="AN550" i="3"/>
  <c r="AN454" i="3"/>
  <c r="AN262" i="3"/>
  <c r="AN166" i="3"/>
  <c r="AN685" i="3"/>
  <c r="AN525" i="3"/>
  <c r="AN991" i="3"/>
  <c r="AN895" i="3"/>
  <c r="AN799" i="3"/>
  <c r="AN703" i="3"/>
  <c r="AN607" i="3"/>
  <c r="AN511" i="3"/>
  <c r="AN415" i="3"/>
  <c r="AN914" i="3"/>
  <c r="AN818" i="3"/>
  <c r="AN722" i="3"/>
  <c r="AN626" i="3"/>
  <c r="AN530" i="3"/>
  <c r="AN434" i="3"/>
  <c r="AN338" i="3"/>
  <c r="AN242" i="3"/>
  <c r="AN841" i="3"/>
  <c r="AN273" i="3"/>
  <c r="AN177" i="3"/>
  <c r="AN375" i="3"/>
  <c r="AN183" i="3"/>
  <c r="AN87" i="3"/>
  <c r="AN90" i="3"/>
  <c r="AM966" i="3"/>
  <c r="AN29" i="3"/>
  <c r="AN901" i="3"/>
  <c r="AN805" i="3"/>
  <c r="AN421" i="3"/>
  <c r="AN480" i="3"/>
  <c r="AN288" i="3"/>
  <c r="AN192" i="3"/>
  <c r="AN96" i="3"/>
  <c r="AN328" i="3"/>
  <c r="AN232" i="3"/>
  <c r="AN293" i="3"/>
  <c r="AN197" i="3"/>
  <c r="AN459" i="3"/>
  <c r="AN966" i="3"/>
  <c r="AN190" i="3"/>
  <c r="AN378" i="3"/>
  <c r="AN282" i="3"/>
  <c r="AN186" i="3"/>
  <c r="AN448" i="3"/>
  <c r="AN260" i="3"/>
  <c r="AN24" i="3"/>
  <c r="AN289" i="3"/>
  <c r="AN193" i="3"/>
  <c r="AN199" i="3"/>
  <c r="AN103" i="3"/>
  <c r="AN319" i="3"/>
  <c r="AN53" i="3"/>
  <c r="AN97" i="3"/>
  <c r="AN492" i="3"/>
  <c r="AN300" i="3"/>
  <c r="AN204" i="3"/>
  <c r="AN777" i="3"/>
  <c r="AN441" i="3"/>
  <c r="AN297" i="3"/>
  <c r="AN201" i="3"/>
  <c r="AN105" i="3"/>
  <c r="AN32" i="3"/>
  <c r="AN488" i="3"/>
  <c r="AN296" i="3"/>
  <c r="AN200" i="3"/>
  <c r="AN104" i="3"/>
  <c r="AN745" i="3"/>
  <c r="AN377" i="3"/>
  <c r="AN261" i="3"/>
  <c r="AN165" i="3"/>
  <c r="AM993" i="3"/>
  <c r="AM921" i="3"/>
  <c r="AM897" i="3"/>
  <c r="AM749" i="3"/>
  <c r="AM725" i="3"/>
  <c r="AM788" i="3"/>
  <c r="AM552" i="3"/>
  <c r="AM489" i="3"/>
  <c r="AM59" i="3"/>
  <c r="AN532" i="3"/>
  <c r="AN340" i="3"/>
  <c r="AN244" i="3"/>
  <c r="AN271" i="3"/>
  <c r="BH1012" i="3"/>
  <c r="AM1012" i="3"/>
  <c r="BH965" i="3"/>
  <c r="AM965" i="3"/>
  <c r="BH769" i="3"/>
  <c r="AM769" i="3"/>
  <c r="BH688" i="3"/>
  <c r="AM688" i="3"/>
  <c r="BH296" i="3"/>
  <c r="AM296" i="3"/>
  <c r="BI158" i="3"/>
  <c r="AN158" i="3"/>
  <c r="BI150" i="3"/>
  <c r="AN150" i="3"/>
  <c r="BI380" i="3"/>
  <c r="AN380" i="3"/>
  <c r="BI952" i="3"/>
  <c r="AN952" i="3"/>
  <c r="BI88" i="3"/>
  <c r="AN88" i="3"/>
  <c r="BI49" i="3"/>
  <c r="AN49" i="3"/>
  <c r="BI31" i="3"/>
  <c r="AN31" i="3"/>
  <c r="BI73" i="3"/>
  <c r="AN73" i="3"/>
  <c r="AM987" i="3"/>
  <c r="AM891" i="3"/>
  <c r="BH758" i="3"/>
  <c r="AM758" i="3"/>
  <c r="BH734" i="3"/>
  <c r="AM734" i="3"/>
  <c r="BH710" i="3"/>
  <c r="AM710" i="3"/>
  <c r="BH893" i="3"/>
  <c r="AM893" i="3"/>
  <c r="BI254" i="3"/>
  <c r="AN254" i="3"/>
  <c r="BH685" i="3"/>
  <c r="AM685" i="3"/>
  <c r="BH316" i="3"/>
  <c r="AM316" i="3"/>
  <c r="BH51" i="3"/>
  <c r="AM51" i="3"/>
  <c r="BI688" i="3"/>
  <c r="AN688" i="3"/>
  <c r="BH1006" i="3"/>
  <c r="AM1006" i="3"/>
  <c r="BH982" i="3"/>
  <c r="AM982" i="3"/>
  <c r="BH958" i="3"/>
  <c r="AM958" i="3"/>
  <c r="BH934" i="3"/>
  <c r="AM934" i="3"/>
  <c r="BH910" i="3"/>
  <c r="AM910" i="3"/>
  <c r="BH886" i="3"/>
  <c r="AM886" i="3"/>
  <c r="BH862" i="3"/>
  <c r="AM862" i="3"/>
  <c r="BH1007" i="3"/>
  <c r="AM1007" i="3"/>
  <c r="BH983" i="3"/>
  <c r="AM983" i="3"/>
  <c r="BH959" i="3"/>
  <c r="AM959" i="3"/>
  <c r="BH935" i="3"/>
  <c r="AM935" i="3"/>
  <c r="BH911" i="3"/>
  <c r="AM911" i="3"/>
  <c r="BH887" i="3"/>
  <c r="AM887" i="3"/>
  <c r="BH863" i="3"/>
  <c r="AM863" i="3"/>
  <c r="BH840" i="3"/>
  <c r="AM840" i="3"/>
  <c r="BH816" i="3"/>
  <c r="AM816" i="3"/>
  <c r="BH833" i="3"/>
  <c r="AM833" i="3"/>
  <c r="BH809" i="3"/>
  <c r="AM809" i="3"/>
  <c r="BH787" i="3"/>
  <c r="AM787" i="3"/>
  <c r="BH763" i="3"/>
  <c r="AM763" i="3"/>
  <c r="BH739" i="3"/>
  <c r="AM739" i="3"/>
  <c r="BH715" i="3"/>
  <c r="AM715" i="3"/>
  <c r="BH691" i="3"/>
  <c r="AM691" i="3"/>
  <c r="BH778" i="3"/>
  <c r="AM778" i="3"/>
  <c r="BH730" i="3"/>
  <c r="AM730" i="3"/>
  <c r="BH706" i="3"/>
  <c r="AM706" i="3"/>
  <c r="BH683" i="3"/>
  <c r="AM683" i="3"/>
  <c r="BH659" i="3"/>
  <c r="AM659" i="3"/>
  <c r="BH635" i="3"/>
  <c r="AM635" i="3"/>
  <c r="BH611" i="3"/>
  <c r="AM611" i="3"/>
  <c r="BH587" i="3"/>
  <c r="AM587" i="3"/>
  <c r="BH686" i="3"/>
  <c r="AM686" i="3"/>
  <c r="BH662" i="3"/>
  <c r="AM662" i="3"/>
  <c r="BH638" i="3"/>
  <c r="AM638" i="3"/>
  <c r="BH614" i="3"/>
  <c r="AM614" i="3"/>
  <c r="BH590" i="3"/>
  <c r="AM590" i="3"/>
  <c r="BH566" i="3"/>
  <c r="AM566" i="3"/>
  <c r="BH542" i="3"/>
  <c r="AM542" i="3"/>
  <c r="BH518" i="3"/>
  <c r="AM518" i="3"/>
  <c r="BH494" i="3"/>
  <c r="AM494" i="3"/>
  <c r="BH470" i="3"/>
  <c r="AM470" i="3"/>
  <c r="BH551" i="3"/>
  <c r="AM551" i="3"/>
  <c r="BH527" i="3"/>
  <c r="AM527" i="3"/>
  <c r="BH503" i="3"/>
  <c r="AM503" i="3"/>
  <c r="BH479" i="3"/>
  <c r="AM479" i="3"/>
  <c r="BH868" i="3"/>
  <c r="AM868" i="3"/>
  <c r="BH822" i="3"/>
  <c r="AM822" i="3"/>
  <c r="BH736" i="3"/>
  <c r="AM736" i="3"/>
  <c r="BH644" i="3"/>
  <c r="AM644" i="3"/>
  <c r="BH88" i="3"/>
  <c r="AM88" i="3"/>
  <c r="BI438" i="3"/>
  <c r="AN438" i="3"/>
  <c r="AM913" i="3"/>
  <c r="AM811" i="3"/>
  <c r="BH613" i="3"/>
  <c r="AM613" i="3"/>
  <c r="BH640" i="3"/>
  <c r="AM640" i="3"/>
  <c r="BH481" i="3"/>
  <c r="AM481" i="3"/>
  <c r="BH366" i="3"/>
  <c r="AM366" i="3"/>
  <c r="BI45" i="3"/>
  <c r="AN45" i="3"/>
  <c r="AM980" i="3"/>
  <c r="AM884" i="3"/>
  <c r="AM838" i="3"/>
  <c r="AM689" i="3"/>
  <c r="BH752" i="3"/>
  <c r="AM752" i="3"/>
  <c r="BH728" i="3"/>
  <c r="AM728" i="3"/>
  <c r="BH704" i="3"/>
  <c r="AM704" i="3"/>
  <c r="BH681" i="3"/>
  <c r="AM681" i="3"/>
  <c r="BH657" i="3"/>
  <c r="AM657" i="3"/>
  <c r="BH633" i="3"/>
  <c r="AM633" i="3"/>
  <c r="BH609" i="3"/>
  <c r="AM609" i="3"/>
  <c r="BH585" i="3"/>
  <c r="AM585" i="3"/>
  <c r="BH684" i="3"/>
  <c r="AM684" i="3"/>
  <c r="BH660" i="3"/>
  <c r="AM660" i="3"/>
  <c r="BH636" i="3"/>
  <c r="AM636" i="3"/>
  <c r="BH988" i="3"/>
  <c r="AM988" i="3"/>
  <c r="BH941" i="3"/>
  <c r="AM941" i="3"/>
  <c r="BH745" i="3"/>
  <c r="AM745" i="3"/>
  <c r="BH641" i="3"/>
  <c r="AM641" i="3"/>
  <c r="BH369" i="3"/>
  <c r="AM369" i="3"/>
  <c r="BH40" i="3"/>
  <c r="AM40" i="3"/>
  <c r="AM1009" i="3"/>
  <c r="BH732" i="3"/>
  <c r="AM732" i="3"/>
  <c r="BH589" i="3"/>
  <c r="AM589" i="3"/>
  <c r="BH616" i="3"/>
  <c r="AM616" i="3"/>
  <c r="BH147" i="3"/>
  <c r="AM147" i="3"/>
  <c r="BH84" i="3"/>
  <c r="AM84" i="3"/>
  <c r="AM954" i="3"/>
  <c r="AM907" i="3"/>
  <c r="BH702" i="3"/>
  <c r="AM702" i="3"/>
  <c r="BH631" i="3"/>
  <c r="AM631" i="3"/>
  <c r="BH682" i="3"/>
  <c r="AM682" i="3"/>
  <c r="AM523" i="3"/>
  <c r="AM430" i="3"/>
  <c r="AM341" i="3"/>
  <c r="AM259" i="3"/>
  <c r="AM224" i="3"/>
  <c r="BH989" i="3"/>
  <c r="AM989" i="3"/>
  <c r="BH793" i="3"/>
  <c r="AM793" i="3"/>
  <c r="BH712" i="3"/>
  <c r="AM712" i="3"/>
  <c r="BH64" i="3"/>
  <c r="AM64" i="3"/>
  <c r="BI995" i="3"/>
  <c r="AN995" i="3"/>
  <c r="BH708" i="3"/>
  <c r="AM708" i="3"/>
  <c r="BH664" i="3"/>
  <c r="AM664" i="3"/>
  <c r="BH520" i="3"/>
  <c r="AM520" i="3"/>
  <c r="BH389" i="3"/>
  <c r="AM389" i="3"/>
  <c r="BH132" i="3"/>
  <c r="AM132" i="3"/>
  <c r="AM1003" i="3"/>
  <c r="BH655" i="3"/>
  <c r="AM655" i="3"/>
  <c r="BH583" i="3"/>
  <c r="AM583" i="3"/>
  <c r="BH1000" i="3"/>
  <c r="AM1000" i="3"/>
  <c r="BH976" i="3"/>
  <c r="AM976" i="3"/>
  <c r="BH952" i="3"/>
  <c r="AM952" i="3"/>
  <c r="BH928" i="3"/>
  <c r="AM928" i="3"/>
  <c r="BH904" i="3"/>
  <c r="AM904" i="3"/>
  <c r="BH880" i="3"/>
  <c r="AM880" i="3"/>
  <c r="BH856" i="3"/>
  <c r="AM856" i="3"/>
  <c r="BH1001" i="3"/>
  <c r="AM1001" i="3"/>
  <c r="BH977" i="3"/>
  <c r="AM977" i="3"/>
  <c r="BH953" i="3"/>
  <c r="AM953" i="3"/>
  <c r="BH929" i="3"/>
  <c r="AM929" i="3"/>
  <c r="BH905" i="3"/>
  <c r="AM905" i="3"/>
  <c r="BH881" i="3"/>
  <c r="AM881" i="3"/>
  <c r="BH857" i="3"/>
  <c r="AM857" i="3"/>
  <c r="BH834" i="3"/>
  <c r="AM834" i="3"/>
  <c r="BH810" i="3"/>
  <c r="AM810" i="3"/>
  <c r="BH827" i="3"/>
  <c r="AM827" i="3"/>
  <c r="BH803" i="3"/>
  <c r="AM803" i="3"/>
  <c r="BH781" i="3"/>
  <c r="AM781" i="3"/>
  <c r="BH757" i="3"/>
  <c r="AM757" i="3"/>
  <c r="BH733" i="3"/>
  <c r="AM733" i="3"/>
  <c r="BH709" i="3"/>
  <c r="AM709" i="3"/>
  <c r="BH796" i="3"/>
  <c r="AM796" i="3"/>
  <c r="BH772" i="3"/>
  <c r="AM772" i="3"/>
  <c r="BH748" i="3"/>
  <c r="AM748" i="3"/>
  <c r="BH724" i="3"/>
  <c r="AM724" i="3"/>
  <c r="BH700" i="3"/>
  <c r="AM700" i="3"/>
  <c r="BH677" i="3"/>
  <c r="AM677" i="3"/>
  <c r="BH653" i="3"/>
  <c r="AM653" i="3"/>
  <c r="BH629" i="3"/>
  <c r="AM629" i="3"/>
  <c r="BH605" i="3"/>
  <c r="AM605" i="3"/>
  <c r="BH581" i="3"/>
  <c r="AM581" i="3"/>
  <c r="BH680" i="3"/>
  <c r="AM680" i="3"/>
  <c r="BH656" i="3"/>
  <c r="AM656" i="3"/>
  <c r="BH632" i="3"/>
  <c r="AM632" i="3"/>
  <c r="AM512" i="3"/>
  <c r="BH940" i="3"/>
  <c r="AM940" i="3"/>
  <c r="BH815" i="3"/>
  <c r="AM815" i="3"/>
  <c r="BH665" i="3"/>
  <c r="AM665" i="3"/>
  <c r="BH210" i="3"/>
  <c r="AM210" i="3"/>
  <c r="BH637" i="3"/>
  <c r="AM637" i="3"/>
  <c r="BH123" i="3"/>
  <c r="AM123" i="3"/>
  <c r="BH60" i="3"/>
  <c r="AM60" i="3"/>
  <c r="BH726" i="3"/>
  <c r="AM726" i="3"/>
  <c r="BH679" i="3"/>
  <c r="AM679" i="3"/>
  <c r="BH607" i="3"/>
  <c r="AM607" i="3"/>
  <c r="BH658" i="3"/>
  <c r="AM658" i="3"/>
  <c r="BH634" i="3"/>
  <c r="AM634" i="3"/>
  <c r="AM998" i="3"/>
  <c r="AM926" i="3"/>
  <c r="AM902" i="3"/>
  <c r="AM731" i="3"/>
  <c r="BH844" i="3"/>
  <c r="AM844" i="3"/>
  <c r="BH839" i="3"/>
  <c r="AM839" i="3"/>
  <c r="BH760" i="3"/>
  <c r="AM760" i="3"/>
  <c r="BH569" i="3"/>
  <c r="AM569" i="3"/>
  <c r="BH223" i="3"/>
  <c r="AM223" i="3"/>
  <c r="BH112" i="3"/>
  <c r="AM112" i="3"/>
  <c r="AM765" i="3"/>
  <c r="BH756" i="3"/>
  <c r="AM756" i="3"/>
  <c r="BH565" i="3"/>
  <c r="AM565" i="3"/>
  <c r="BH568" i="3"/>
  <c r="AM568" i="3"/>
  <c r="BH472" i="3"/>
  <c r="AM472" i="3"/>
  <c r="AM413" i="3"/>
  <c r="BI498" i="3"/>
  <c r="AN498" i="3"/>
  <c r="AM996" i="3"/>
  <c r="AM900" i="3"/>
  <c r="AM830" i="3"/>
  <c r="AM806" i="3"/>
  <c r="AM705" i="3"/>
  <c r="BH744" i="3"/>
  <c r="AM744" i="3"/>
  <c r="BH720" i="3"/>
  <c r="AM720" i="3"/>
  <c r="BH696" i="3"/>
  <c r="AM696" i="3"/>
  <c r="BH673" i="3"/>
  <c r="AM673" i="3"/>
  <c r="BH649" i="3"/>
  <c r="AM649" i="3"/>
  <c r="BH625" i="3"/>
  <c r="AM625" i="3"/>
  <c r="BH601" i="3"/>
  <c r="AM601" i="3"/>
  <c r="BH577" i="3"/>
  <c r="AM577" i="3"/>
  <c r="BH676" i="3"/>
  <c r="AM676" i="3"/>
  <c r="BH652" i="3"/>
  <c r="AM652" i="3"/>
  <c r="BH628" i="3"/>
  <c r="AM628" i="3"/>
  <c r="BH604" i="3"/>
  <c r="AM604" i="3"/>
  <c r="BH580" i="3"/>
  <c r="AM580" i="3"/>
  <c r="BH556" i="3"/>
  <c r="AM556" i="3"/>
  <c r="BH532" i="3"/>
  <c r="AM532" i="3"/>
  <c r="BH508" i="3"/>
  <c r="AM508" i="3"/>
  <c r="BH484" i="3"/>
  <c r="AM484" i="3"/>
  <c r="BH460" i="3"/>
  <c r="AM460" i="3"/>
  <c r="BH541" i="3"/>
  <c r="AM541" i="3"/>
  <c r="BH517" i="3"/>
  <c r="AM517" i="3"/>
  <c r="BH493" i="3"/>
  <c r="AM493" i="3"/>
  <c r="BH916" i="3"/>
  <c r="AM916" i="3"/>
  <c r="BH869" i="3"/>
  <c r="AM869" i="3"/>
  <c r="BH697" i="3"/>
  <c r="AM697" i="3"/>
  <c r="BH593" i="3"/>
  <c r="AM593" i="3"/>
  <c r="BH416" i="3"/>
  <c r="AM416" i="3"/>
  <c r="BH661" i="3"/>
  <c r="AM661" i="3"/>
  <c r="BH529" i="3"/>
  <c r="AM529" i="3"/>
  <c r="BH75" i="3"/>
  <c r="AM75" i="3"/>
  <c r="BH994" i="3"/>
  <c r="AM994" i="3"/>
  <c r="BH970" i="3"/>
  <c r="AM970" i="3"/>
  <c r="BH946" i="3"/>
  <c r="AM946" i="3"/>
  <c r="BH922" i="3"/>
  <c r="AM922" i="3"/>
  <c r="BH898" i="3"/>
  <c r="AM898" i="3"/>
  <c r="BH874" i="3"/>
  <c r="AM874" i="3"/>
  <c r="BH850" i="3"/>
  <c r="AM850" i="3"/>
  <c r="BH995" i="3"/>
  <c r="AM995" i="3"/>
  <c r="BH971" i="3"/>
  <c r="AM971" i="3"/>
  <c r="BH947" i="3"/>
  <c r="AM947" i="3"/>
  <c r="BH923" i="3"/>
  <c r="AM923" i="3"/>
  <c r="BH899" i="3"/>
  <c r="AM899" i="3"/>
  <c r="BH875" i="3"/>
  <c r="AM875" i="3"/>
  <c r="BH851" i="3"/>
  <c r="AM851" i="3"/>
  <c r="BH828" i="3"/>
  <c r="AM828" i="3"/>
  <c r="BH804" i="3"/>
  <c r="AM804" i="3"/>
  <c r="BH821" i="3"/>
  <c r="AM821" i="3"/>
  <c r="BH799" i="3"/>
  <c r="AM799" i="3"/>
  <c r="BH775" i="3"/>
  <c r="AM775" i="3"/>
  <c r="BH751" i="3"/>
  <c r="AM751" i="3"/>
  <c r="BH727" i="3"/>
  <c r="AM727" i="3"/>
  <c r="BH703" i="3"/>
  <c r="AM703" i="3"/>
  <c r="BH790" i="3"/>
  <c r="AM790" i="3"/>
  <c r="BH766" i="3"/>
  <c r="AM766" i="3"/>
  <c r="BH742" i="3"/>
  <c r="AM742" i="3"/>
  <c r="BH718" i="3"/>
  <c r="AM718" i="3"/>
  <c r="BH694" i="3"/>
  <c r="AM694" i="3"/>
  <c r="BH671" i="3"/>
  <c r="AM671" i="3"/>
  <c r="BH647" i="3"/>
  <c r="AM647" i="3"/>
  <c r="BH623" i="3"/>
  <c r="AM623" i="3"/>
  <c r="BH599" i="3"/>
  <c r="AM599" i="3"/>
  <c r="BH575" i="3"/>
  <c r="AM575" i="3"/>
  <c r="BH674" i="3"/>
  <c r="AM674" i="3"/>
  <c r="BH650" i="3"/>
  <c r="AM650" i="3"/>
  <c r="BH626" i="3"/>
  <c r="AM626" i="3"/>
  <c r="BH602" i="3"/>
  <c r="AM602" i="3"/>
  <c r="BH578" i="3"/>
  <c r="AM578" i="3"/>
  <c r="BH554" i="3"/>
  <c r="AM554" i="3"/>
  <c r="BH530" i="3"/>
  <c r="AM530" i="3"/>
  <c r="BH506" i="3"/>
  <c r="AM506" i="3"/>
  <c r="BH482" i="3"/>
  <c r="AM482" i="3"/>
  <c r="BH563" i="3"/>
  <c r="AM563" i="3"/>
  <c r="BH539" i="3"/>
  <c r="AM539" i="3"/>
  <c r="BH515" i="3"/>
  <c r="AM515" i="3"/>
  <c r="BH892" i="3"/>
  <c r="AM892" i="3"/>
  <c r="BH845" i="3"/>
  <c r="AM845" i="3"/>
  <c r="BH784" i="3"/>
  <c r="AM784" i="3"/>
  <c r="BH668" i="3"/>
  <c r="AM668" i="3"/>
  <c r="BH327" i="3"/>
  <c r="AM327" i="3"/>
  <c r="BH764" i="3"/>
  <c r="AM764" i="3"/>
  <c r="BH716" i="3"/>
  <c r="AM716" i="3"/>
  <c r="BH669" i="3"/>
  <c r="AM669" i="3"/>
  <c r="BH621" i="3"/>
  <c r="AM621" i="3"/>
  <c r="BH573" i="3"/>
  <c r="AM573" i="3"/>
  <c r="BH648" i="3"/>
  <c r="AM648" i="3"/>
  <c r="BH420" i="3"/>
  <c r="AM420" i="3"/>
  <c r="BH372" i="3"/>
  <c r="AM372" i="3"/>
  <c r="BH421" i="3"/>
  <c r="AM421" i="3"/>
  <c r="BH397" i="3"/>
  <c r="AM397" i="3"/>
  <c r="BH348" i="3"/>
  <c r="AM348" i="3"/>
  <c r="BH300" i="3"/>
  <c r="AM300" i="3"/>
  <c r="BH355" i="3"/>
  <c r="AM355" i="3"/>
  <c r="BH307" i="3"/>
  <c r="AM307" i="3"/>
  <c r="BH249" i="3"/>
  <c r="AM249" i="3"/>
  <c r="BH166" i="3"/>
  <c r="AM166" i="3"/>
  <c r="BH203" i="3"/>
  <c r="AM203" i="3"/>
  <c r="BH155" i="3"/>
  <c r="AM155" i="3"/>
  <c r="BH131" i="3"/>
  <c r="AM131" i="3"/>
  <c r="BH83" i="3"/>
  <c r="AM83" i="3"/>
  <c r="BH35" i="3"/>
  <c r="AM35" i="3"/>
  <c r="BH16" i="3"/>
  <c r="AM16" i="3"/>
  <c r="BI358" i="3"/>
  <c r="AN358" i="3"/>
  <c r="BI816" i="3"/>
  <c r="AN816" i="3"/>
  <c r="BI720" i="3"/>
  <c r="AN720" i="3"/>
  <c r="BH964" i="3"/>
  <c r="AM964" i="3"/>
  <c r="BH917" i="3"/>
  <c r="AM917" i="3"/>
  <c r="BH721" i="3"/>
  <c r="AM721" i="3"/>
  <c r="BH617" i="3"/>
  <c r="AM617" i="3"/>
  <c r="BH245" i="3"/>
  <c r="AM245" i="3"/>
  <c r="BH740" i="3"/>
  <c r="AM740" i="3"/>
  <c r="BH692" i="3"/>
  <c r="AM692" i="3"/>
  <c r="BH645" i="3"/>
  <c r="AM645" i="3"/>
  <c r="BH597" i="3"/>
  <c r="AM597" i="3"/>
  <c r="BH672" i="3"/>
  <c r="AM672" i="3"/>
  <c r="BH444" i="3"/>
  <c r="AM444" i="3"/>
  <c r="BH396" i="3"/>
  <c r="AM396" i="3"/>
  <c r="BH445" i="3"/>
  <c r="AM445" i="3"/>
  <c r="BH324" i="3"/>
  <c r="AM324" i="3"/>
  <c r="BH276" i="3"/>
  <c r="AM276" i="3"/>
  <c r="BH283" i="3"/>
  <c r="AM283" i="3"/>
  <c r="BH225" i="3"/>
  <c r="AM225" i="3"/>
  <c r="BH238" i="3"/>
  <c r="AM238" i="3"/>
  <c r="BH190" i="3"/>
  <c r="AM190" i="3"/>
  <c r="BH271" i="3"/>
  <c r="AM271" i="3"/>
  <c r="BH179" i="3"/>
  <c r="AM179" i="3"/>
  <c r="BH107" i="3"/>
  <c r="AM107" i="3"/>
  <c r="AM942" i="3"/>
  <c r="AM918" i="3"/>
  <c r="AM846" i="3"/>
  <c r="AM795" i="3"/>
  <c r="AM699" i="3"/>
  <c r="BH738" i="3"/>
  <c r="AM738" i="3"/>
  <c r="BH714" i="3"/>
  <c r="AM714" i="3"/>
  <c r="BH690" i="3"/>
  <c r="AM690" i="3"/>
  <c r="BH667" i="3"/>
  <c r="AM667" i="3"/>
  <c r="BH643" i="3"/>
  <c r="AM643" i="3"/>
  <c r="BH619" i="3"/>
  <c r="AM619" i="3"/>
  <c r="BH595" i="3"/>
  <c r="AM595" i="3"/>
  <c r="BH571" i="3"/>
  <c r="AM571" i="3"/>
  <c r="BH670" i="3"/>
  <c r="AM670" i="3"/>
  <c r="BH646" i="3"/>
  <c r="AM646" i="3"/>
  <c r="AM622" i="3"/>
  <c r="BH687" i="3"/>
  <c r="AM687" i="3"/>
  <c r="BH663" i="3"/>
  <c r="AM663" i="3"/>
  <c r="BH639" i="3"/>
  <c r="AM639" i="3"/>
  <c r="BH615" i="3"/>
  <c r="AM615" i="3"/>
  <c r="BH591" i="3"/>
  <c r="AM591" i="3"/>
  <c r="BH567" i="3"/>
  <c r="AM567" i="3"/>
  <c r="BH666" i="3"/>
  <c r="AM666" i="3"/>
  <c r="BH642" i="3"/>
  <c r="AM642" i="3"/>
  <c r="BH618" i="3"/>
  <c r="AM618" i="3"/>
  <c r="BH594" i="3"/>
  <c r="AM594" i="3"/>
  <c r="BH570" i="3"/>
  <c r="AM570" i="3"/>
  <c r="BH546" i="3"/>
  <c r="AM546" i="3"/>
  <c r="BH522" i="3"/>
  <c r="AM522" i="3"/>
  <c r="BH498" i="3"/>
  <c r="AM498" i="3"/>
  <c r="BH474" i="3"/>
  <c r="AM474" i="3"/>
  <c r="BH555" i="3"/>
  <c r="AM555" i="3"/>
  <c r="BH531" i="3"/>
  <c r="AM531" i="3"/>
  <c r="BH507" i="3"/>
  <c r="AM507" i="3"/>
  <c r="BH483" i="3"/>
  <c r="AM483" i="3"/>
  <c r="BH415" i="3"/>
  <c r="AM415" i="3"/>
  <c r="BH342" i="3"/>
  <c r="AM342" i="3"/>
  <c r="BH270" i="3"/>
  <c r="AM270" i="3"/>
  <c r="AM325" i="3"/>
  <c r="BH301" i="3"/>
  <c r="AM301" i="3"/>
  <c r="BH277" i="3"/>
  <c r="AM277" i="3"/>
  <c r="BH243" i="3"/>
  <c r="AM243" i="3"/>
  <c r="BH256" i="3"/>
  <c r="AM256" i="3"/>
  <c r="BH232" i="3"/>
  <c r="AM232" i="3"/>
  <c r="BH208" i="3"/>
  <c r="AM208" i="3"/>
  <c r="BH184" i="3"/>
  <c r="AM184" i="3"/>
  <c r="BH160" i="3"/>
  <c r="AM160" i="3"/>
  <c r="BH221" i="3"/>
  <c r="AM221" i="3"/>
  <c r="BH197" i="3"/>
  <c r="AM197" i="3"/>
  <c r="BH173" i="3"/>
  <c r="AM173" i="3"/>
  <c r="BH149" i="3"/>
  <c r="AM149" i="3"/>
  <c r="BH125" i="3"/>
  <c r="AM125" i="3"/>
  <c r="BH101" i="3"/>
  <c r="AM101" i="3"/>
  <c r="BH77" i="3"/>
  <c r="AM77" i="3"/>
  <c r="BH29" i="3"/>
  <c r="AM29" i="3"/>
  <c r="BH134" i="3"/>
  <c r="AM134" i="3"/>
  <c r="BH86" i="3"/>
  <c r="AM86" i="3"/>
  <c r="BH62" i="3"/>
  <c r="AM62" i="3"/>
  <c r="BH38" i="3"/>
  <c r="AM38" i="3"/>
  <c r="AN1003" i="3"/>
  <c r="AN907" i="3"/>
  <c r="AN811" i="3"/>
  <c r="AN715" i="3"/>
  <c r="BI619" i="3"/>
  <c r="AN619" i="3"/>
  <c r="AN523" i="3"/>
  <c r="AN427" i="3"/>
  <c r="AN926" i="3"/>
  <c r="AN830" i="3"/>
  <c r="AN734" i="3"/>
  <c r="AN542" i="3"/>
  <c r="BI446" i="3"/>
  <c r="AN446" i="3"/>
  <c r="BI350" i="3"/>
  <c r="AN350" i="3"/>
  <c r="AN1009" i="3"/>
  <c r="AN913" i="3"/>
  <c r="BI922" i="3"/>
  <c r="AN922" i="3"/>
  <c r="AN689" i="3"/>
  <c r="AN419" i="3"/>
  <c r="AN918" i="3"/>
  <c r="AN822" i="3"/>
  <c r="AN726" i="3"/>
  <c r="AN342" i="3"/>
  <c r="AN765" i="3"/>
  <c r="AN573" i="3"/>
  <c r="AN413" i="3"/>
  <c r="AN687" i="3"/>
  <c r="AN453" i="3"/>
  <c r="AN357" i="3"/>
  <c r="AN569" i="3"/>
  <c r="AN512" i="3"/>
  <c r="BI320" i="3"/>
  <c r="AN320" i="3"/>
  <c r="AN224" i="3"/>
  <c r="BI128" i="3"/>
  <c r="AN128" i="3"/>
  <c r="AN339" i="3"/>
  <c r="AN243" i="3"/>
  <c r="AN147" i="3"/>
  <c r="AN556" i="3"/>
  <c r="AN460" i="3"/>
  <c r="AN268" i="3"/>
  <c r="BI172" i="3"/>
  <c r="AN172" i="3"/>
  <c r="AN681" i="3"/>
  <c r="AN265" i="3"/>
  <c r="BI169" i="3"/>
  <c r="AN169" i="3"/>
  <c r="AN108" i="3"/>
  <c r="AN457" i="3"/>
  <c r="AN552" i="3"/>
  <c r="AN264" i="3"/>
  <c r="BI168" i="3"/>
  <c r="AN168" i="3"/>
  <c r="AN325" i="3"/>
  <c r="AN229" i="3"/>
  <c r="AN133" i="3"/>
  <c r="BI996" i="3"/>
  <c r="AN996" i="3"/>
  <c r="AN900" i="3"/>
  <c r="AN804" i="3"/>
  <c r="BI708" i="3"/>
  <c r="AN708" i="3"/>
  <c r="AN612" i="3"/>
  <c r="AN420" i="3"/>
  <c r="AN489" i="3"/>
  <c r="AN263" i="3"/>
  <c r="AN71" i="3"/>
  <c r="BI74" i="3"/>
  <c r="AN74" i="3"/>
  <c r="AN59" i="3"/>
  <c r="AN139" i="3"/>
  <c r="AN91" i="3"/>
  <c r="BH410" i="3"/>
  <c r="AM410" i="3"/>
  <c r="BH435" i="3"/>
  <c r="AM435" i="3"/>
  <c r="AM411" i="3"/>
  <c r="BH290" i="3"/>
  <c r="AM290" i="3"/>
  <c r="BH321" i="3"/>
  <c r="AM321" i="3"/>
  <c r="BH239" i="3"/>
  <c r="AM239" i="3"/>
  <c r="BH204" i="3"/>
  <c r="AM204" i="3"/>
  <c r="BH217" i="3"/>
  <c r="AM217" i="3"/>
  <c r="AM169" i="3"/>
  <c r="BH145" i="3"/>
  <c r="AM145" i="3"/>
  <c r="BH121" i="3"/>
  <c r="AM121" i="3"/>
  <c r="BH97" i="3"/>
  <c r="AM97" i="3"/>
  <c r="BH49" i="3"/>
  <c r="AM49" i="3"/>
  <c r="AM34" i="3"/>
  <c r="BI987" i="3"/>
  <c r="AN987" i="3"/>
  <c r="AN891" i="3"/>
  <c r="BI795" i="3"/>
  <c r="AN795" i="3"/>
  <c r="AN699" i="3"/>
  <c r="BI603" i="3"/>
  <c r="AN603" i="3"/>
  <c r="AN507" i="3"/>
  <c r="AN411" i="3"/>
  <c r="AN910" i="3"/>
  <c r="BI622" i="3"/>
  <c r="AN622" i="3"/>
  <c r="BI526" i="3"/>
  <c r="AN526" i="3"/>
  <c r="BI430" i="3"/>
  <c r="AN430" i="3"/>
  <c r="BI993" i="3"/>
  <c r="AN993" i="3"/>
  <c r="BI897" i="3"/>
  <c r="AN897" i="3"/>
  <c r="AN234" i="3"/>
  <c r="BI403" i="3"/>
  <c r="AN403" i="3"/>
  <c r="AN902" i="3"/>
  <c r="AN806" i="3"/>
  <c r="AN710" i="3"/>
  <c r="AN749" i="3"/>
  <c r="BI557" i="3"/>
  <c r="AN557" i="3"/>
  <c r="AN397" i="3"/>
  <c r="BI998" i="3"/>
  <c r="AN998" i="3"/>
  <c r="AN921" i="3"/>
  <c r="AN917" i="3"/>
  <c r="AN821" i="3"/>
  <c r="AN725" i="3"/>
  <c r="AN437" i="3"/>
  <c r="AN809" i="3"/>
  <c r="AN521" i="3"/>
  <c r="AN496" i="3"/>
  <c r="AN304" i="3"/>
  <c r="AN208" i="3"/>
  <c r="AN112" i="3"/>
  <c r="AN227" i="3"/>
  <c r="AN131" i="3"/>
  <c r="AN385" i="3"/>
  <c r="AN540" i="3"/>
  <c r="AN348" i="3"/>
  <c r="AN252" i="3"/>
  <c r="AN156" i="3"/>
  <c r="AN633" i="3"/>
  <c r="AN345" i="3"/>
  <c r="AN249" i="3"/>
  <c r="AN153" i="3"/>
  <c r="AN361" i="3"/>
  <c r="AN536" i="3"/>
  <c r="AN344" i="3"/>
  <c r="AN248" i="3"/>
  <c r="AN152" i="3"/>
  <c r="AN601" i="3"/>
  <c r="AN309" i="3"/>
  <c r="AN213" i="3"/>
  <c r="AN117" i="3"/>
  <c r="AN379" i="3"/>
  <c r="AN980" i="3"/>
  <c r="AN884" i="3"/>
  <c r="AN788" i="3"/>
  <c r="AN692" i="3"/>
  <c r="AN596" i="3"/>
  <c r="AN404" i="3"/>
  <c r="AN343" i="3"/>
  <c r="AN51" i="3"/>
  <c r="AN101" i="3"/>
  <c r="AN95" i="3"/>
  <c r="AN94" i="3"/>
  <c r="BI239" i="3"/>
  <c r="AN239" i="3"/>
  <c r="AN86" i="3"/>
  <c r="AM612" i="3"/>
  <c r="BH453" i="3"/>
  <c r="AM453" i="3"/>
  <c r="BH384" i="3"/>
  <c r="AM384" i="3"/>
  <c r="AM409" i="3"/>
  <c r="BH264" i="3"/>
  <c r="AM264" i="3"/>
  <c r="AM343" i="3"/>
  <c r="BH295" i="3"/>
  <c r="AM295" i="3"/>
  <c r="BH263" i="3"/>
  <c r="AM263" i="3"/>
  <c r="BH250" i="3"/>
  <c r="AM250" i="3"/>
  <c r="BH226" i="3"/>
  <c r="AM226" i="3"/>
  <c r="BH178" i="3"/>
  <c r="AM178" i="3"/>
  <c r="BH154" i="3"/>
  <c r="AM154" i="3"/>
  <c r="BH191" i="3"/>
  <c r="AM191" i="3"/>
  <c r="BH167" i="3"/>
  <c r="AM167" i="3"/>
  <c r="BH119" i="3"/>
  <c r="AM119" i="3"/>
  <c r="BH95" i="3"/>
  <c r="AM95" i="3"/>
  <c r="BH71" i="3"/>
  <c r="AM71" i="3"/>
  <c r="BH47" i="3"/>
  <c r="AM47" i="3"/>
  <c r="AM128" i="3"/>
  <c r="AH55" i="3"/>
  <c r="AN395" i="3"/>
  <c r="AN702" i="3"/>
  <c r="AN318" i="3"/>
  <c r="AN222" i="3"/>
  <c r="AN126" i="3"/>
  <c r="AN967" i="3"/>
  <c r="AN871" i="3"/>
  <c r="AN775" i="3"/>
  <c r="AN679" i="3"/>
  <c r="AN583" i="3"/>
  <c r="AN487" i="3"/>
  <c r="AN391" i="3"/>
  <c r="AN890" i="3"/>
  <c r="AN794" i="3"/>
  <c r="AN602" i="3"/>
  <c r="AN506" i="3"/>
  <c r="AN410" i="3"/>
  <c r="AN314" i="3"/>
  <c r="AN218" i="3"/>
  <c r="AN122" i="3"/>
  <c r="BI957" i="3"/>
  <c r="AN957" i="3"/>
  <c r="AN861" i="3"/>
  <c r="AN963" i="3"/>
  <c r="AN867" i="3"/>
  <c r="BI771" i="3"/>
  <c r="AN771" i="3"/>
  <c r="AN675" i="3"/>
  <c r="AN579" i="3"/>
  <c r="AN483" i="3"/>
  <c r="BI694" i="3"/>
  <c r="AN694" i="3"/>
  <c r="BI598" i="3"/>
  <c r="AN598" i="3"/>
  <c r="AN502" i="3"/>
  <c r="AN406" i="3"/>
  <c r="AN310" i="3"/>
  <c r="BI214" i="3"/>
  <c r="AN214" i="3"/>
  <c r="AN118" i="3"/>
  <c r="AN637" i="3"/>
  <c r="AN477" i="3"/>
  <c r="BI943" i="3"/>
  <c r="AN943" i="3"/>
  <c r="AN847" i="3"/>
  <c r="AN751" i="3"/>
  <c r="AN655" i="3"/>
  <c r="AN559" i="3"/>
  <c r="AN463" i="3"/>
  <c r="AN970" i="3"/>
  <c r="AN866" i="3"/>
  <c r="AN770" i="3"/>
  <c r="AN674" i="3"/>
  <c r="AN578" i="3"/>
  <c r="AN482" i="3"/>
  <c r="AN386" i="3"/>
  <c r="AN290" i="3"/>
  <c r="AN194" i="3"/>
  <c r="AN1001" i="3"/>
  <c r="AN905" i="3"/>
  <c r="AN997" i="3"/>
  <c r="AN709" i="3"/>
  <c r="AN613" i="3"/>
  <c r="AN517" i="3"/>
  <c r="AN505" i="3"/>
  <c r="AN333" i="3"/>
  <c r="AN237" i="3"/>
  <c r="BI141" i="3"/>
  <c r="AN141" i="3"/>
  <c r="AN960" i="3"/>
  <c r="AN864" i="3"/>
  <c r="AN768" i="3"/>
  <c r="BI672" i="3"/>
  <c r="AN672" i="3"/>
  <c r="BI576" i="3"/>
  <c r="AN576" i="3"/>
  <c r="BI384" i="3"/>
  <c r="AN384" i="3"/>
  <c r="BI323" i="3"/>
  <c r="AN323" i="3"/>
  <c r="AN363" i="3"/>
  <c r="AN484" i="3"/>
  <c r="AN292" i="3"/>
  <c r="AN196" i="3"/>
  <c r="AN100" i="3"/>
  <c r="AN56" i="3"/>
  <c r="AN321" i="3"/>
  <c r="AN225" i="3"/>
  <c r="AN129" i="3"/>
  <c r="AN327" i="3"/>
  <c r="AN231" i="3"/>
  <c r="AN135" i="3"/>
  <c r="AN39" i="3"/>
  <c r="BI85" i="3"/>
  <c r="AN85" i="3"/>
  <c r="AN107" i="3"/>
  <c r="BH17" i="3"/>
  <c r="AM17" i="3"/>
  <c r="BH126" i="3"/>
  <c r="AM126" i="3"/>
  <c r="BH102" i="3"/>
  <c r="AM102" i="3"/>
  <c r="BH78" i="3"/>
  <c r="AM78" i="3"/>
  <c r="BH54" i="3"/>
  <c r="AM54" i="3"/>
  <c r="BH30" i="3"/>
  <c r="AM30" i="3"/>
  <c r="AH15" i="3"/>
  <c r="AN683" i="3"/>
  <c r="BI798" i="3"/>
  <c r="AN798" i="3"/>
  <c r="BI606" i="3"/>
  <c r="AN606" i="3"/>
  <c r="BI510" i="3"/>
  <c r="AN510" i="3"/>
  <c r="BI761" i="3"/>
  <c r="AN761" i="3"/>
  <c r="BI137" i="3"/>
  <c r="AN137" i="3"/>
  <c r="BI520" i="3"/>
  <c r="AN520" i="3"/>
  <c r="BI136" i="3"/>
  <c r="AN136" i="3"/>
  <c r="BI60" i="3"/>
  <c r="AN60" i="3"/>
  <c r="BI964" i="3"/>
  <c r="AN964" i="3"/>
  <c r="AN35" i="3"/>
  <c r="AN219" i="3"/>
  <c r="AM521" i="3"/>
  <c r="BH452" i="3"/>
  <c r="AM452" i="3"/>
  <c r="BH428" i="3"/>
  <c r="AM428" i="3"/>
  <c r="AM404" i="3"/>
  <c r="BH380" i="3"/>
  <c r="AM380" i="3"/>
  <c r="BH458" i="3"/>
  <c r="AM458" i="3"/>
  <c r="AM429" i="3"/>
  <c r="BH405" i="3"/>
  <c r="AM405" i="3"/>
  <c r="BH381" i="3"/>
  <c r="AM381" i="3"/>
  <c r="BH356" i="3"/>
  <c r="AM356" i="3"/>
  <c r="BH332" i="3"/>
  <c r="AM332" i="3"/>
  <c r="BH284" i="3"/>
  <c r="AM284" i="3"/>
  <c r="BH339" i="3"/>
  <c r="AM339" i="3"/>
  <c r="BH315" i="3"/>
  <c r="AM315" i="3"/>
  <c r="BH291" i="3"/>
  <c r="AM291" i="3"/>
  <c r="BH257" i="3"/>
  <c r="AM257" i="3"/>
  <c r="BH233" i="3"/>
  <c r="AM233" i="3"/>
  <c r="BH246" i="3"/>
  <c r="AM246" i="3"/>
  <c r="BH222" i="3"/>
  <c r="AM222" i="3"/>
  <c r="BH198" i="3"/>
  <c r="AM198" i="3"/>
  <c r="BH174" i="3"/>
  <c r="AM174" i="3"/>
  <c r="BH150" i="3"/>
  <c r="AM150" i="3"/>
  <c r="BH187" i="3"/>
  <c r="AM187" i="3"/>
  <c r="BH163" i="3"/>
  <c r="AM163" i="3"/>
  <c r="AM139" i="3"/>
  <c r="AM91" i="3"/>
  <c r="AM67" i="3"/>
  <c r="BH15" i="3"/>
  <c r="AM15" i="3"/>
  <c r="BH100" i="3"/>
  <c r="AM100" i="3"/>
  <c r="BH76" i="3"/>
  <c r="AM76" i="3"/>
  <c r="BH52" i="3"/>
  <c r="AM52" i="3"/>
  <c r="BI302" i="3"/>
  <c r="AN302" i="3"/>
  <c r="BI206" i="3"/>
  <c r="AN206" i="3"/>
  <c r="BI951" i="3"/>
  <c r="AN951" i="3"/>
  <c r="BI663" i="3"/>
  <c r="AN663" i="3"/>
  <c r="BI986" i="3"/>
  <c r="AN986" i="3"/>
  <c r="BI682" i="3"/>
  <c r="AN682" i="3"/>
  <c r="BI394" i="3"/>
  <c r="AN394" i="3"/>
  <c r="BI202" i="3"/>
  <c r="AN202" i="3"/>
  <c r="BI106" i="3"/>
  <c r="AN106" i="3"/>
  <c r="AN307" i="3"/>
  <c r="AN1004" i="3"/>
  <c r="AN908" i="3"/>
  <c r="AN812" i="3"/>
  <c r="AN716" i="3"/>
  <c r="AN620" i="3"/>
  <c r="AN428" i="3"/>
  <c r="BI76" i="3"/>
  <c r="AN76" i="3"/>
  <c r="AN1000" i="3"/>
  <c r="AN904" i="3"/>
  <c r="BI808" i="3"/>
  <c r="AN808" i="3"/>
  <c r="AN712" i="3"/>
  <c r="AN616" i="3"/>
  <c r="AN424" i="3"/>
  <c r="BI417" i="3"/>
  <c r="AN417" i="3"/>
  <c r="AN553" i="3"/>
  <c r="AN82" i="3"/>
  <c r="AN42" i="3"/>
  <c r="AN255" i="3"/>
  <c r="BH746" i="3"/>
  <c r="AM746" i="3"/>
  <c r="BH722" i="3"/>
  <c r="AM722" i="3"/>
  <c r="BH698" i="3"/>
  <c r="AM698" i="3"/>
  <c r="BH675" i="3"/>
  <c r="AM675" i="3"/>
  <c r="BH651" i="3"/>
  <c r="AM651" i="3"/>
  <c r="BH627" i="3"/>
  <c r="AM627" i="3"/>
  <c r="BH603" i="3"/>
  <c r="AM603" i="3"/>
  <c r="BH579" i="3"/>
  <c r="AM579" i="3"/>
  <c r="BH678" i="3"/>
  <c r="AM678" i="3"/>
  <c r="BH654" i="3"/>
  <c r="AM654" i="3"/>
  <c r="BH630" i="3"/>
  <c r="AM630" i="3"/>
  <c r="BH606" i="3"/>
  <c r="AM606" i="3"/>
  <c r="BH582" i="3"/>
  <c r="AM582" i="3"/>
  <c r="BH558" i="3"/>
  <c r="AM558" i="3"/>
  <c r="BH534" i="3"/>
  <c r="AM534" i="3"/>
  <c r="BH510" i="3"/>
  <c r="AM510" i="3"/>
  <c r="BH486" i="3"/>
  <c r="AM486" i="3"/>
  <c r="BH462" i="3"/>
  <c r="AM462" i="3"/>
  <c r="BH543" i="3"/>
  <c r="AM543" i="3"/>
  <c r="BH519" i="3"/>
  <c r="AM519" i="3"/>
  <c r="BH495" i="3"/>
  <c r="AM495" i="3"/>
  <c r="BH471" i="3"/>
  <c r="AM471" i="3"/>
  <c r="BH450" i="3"/>
  <c r="AM450" i="3"/>
  <c r="BH426" i="3"/>
  <c r="AM426" i="3"/>
  <c r="BH378" i="3"/>
  <c r="AM378" i="3"/>
  <c r="BH451" i="3"/>
  <c r="AM451" i="3"/>
  <c r="BH427" i="3"/>
  <c r="AM427" i="3"/>
  <c r="AM403" i="3"/>
  <c r="BH379" i="3"/>
  <c r="AM379" i="3"/>
  <c r="BH330" i="3"/>
  <c r="AM330" i="3"/>
  <c r="BH306" i="3"/>
  <c r="AM306" i="3"/>
  <c r="BH258" i="3"/>
  <c r="AM258" i="3"/>
  <c r="BH337" i="3"/>
  <c r="AM337" i="3"/>
  <c r="BH313" i="3"/>
  <c r="AM313" i="3"/>
  <c r="BH255" i="3"/>
  <c r="AM255" i="3"/>
  <c r="BH231" i="3"/>
  <c r="AM231" i="3"/>
  <c r="BH220" i="3"/>
  <c r="AM220" i="3"/>
  <c r="BH196" i="3"/>
  <c r="AM196" i="3"/>
  <c r="AM172" i="3"/>
  <c r="BH148" i="3"/>
  <c r="AM148" i="3"/>
  <c r="BH209" i="3"/>
  <c r="AM209" i="3"/>
  <c r="AM185" i="3"/>
  <c r="BH161" i="3"/>
  <c r="AM161" i="3"/>
  <c r="BH137" i="3"/>
  <c r="AM137" i="3"/>
  <c r="BH89" i="3"/>
  <c r="AM89" i="3"/>
  <c r="BH65" i="3"/>
  <c r="AM65" i="3"/>
  <c r="BH41" i="3"/>
  <c r="AM41" i="3"/>
  <c r="BH98" i="3"/>
  <c r="AM98" i="3"/>
  <c r="BH74" i="3"/>
  <c r="AM74" i="3"/>
  <c r="BH26" i="3"/>
  <c r="AM26" i="3"/>
  <c r="AN955" i="3"/>
  <c r="AN859" i="3"/>
  <c r="BI763" i="3"/>
  <c r="AN763" i="3"/>
  <c r="AN667" i="3"/>
  <c r="AN571" i="3"/>
  <c r="AN475" i="3"/>
  <c r="AN990" i="3"/>
  <c r="AN878" i="3"/>
  <c r="BI782" i="3"/>
  <c r="AN782" i="3"/>
  <c r="AN686" i="3"/>
  <c r="AN590" i="3"/>
  <c r="AN494" i="3"/>
  <c r="AN398" i="3"/>
  <c r="BI961" i="3"/>
  <c r="AN961" i="3"/>
  <c r="BI865" i="3"/>
  <c r="AN865" i="3"/>
  <c r="AN545" i="3"/>
  <c r="AN659" i="3"/>
  <c r="AN870" i="3"/>
  <c r="AN774" i="3"/>
  <c r="AN294" i="3"/>
  <c r="AN813" i="3"/>
  <c r="AN365" i="3"/>
  <c r="AN985" i="3"/>
  <c r="AN981" i="3"/>
  <c r="AN885" i="3"/>
  <c r="AN789" i="3"/>
  <c r="AN597" i="3"/>
  <c r="AN465" i="3"/>
  <c r="AN560" i="3"/>
  <c r="AN464" i="3"/>
  <c r="AN272" i="3"/>
  <c r="BI176" i="3"/>
  <c r="AN176" i="3"/>
  <c r="AN80" i="3"/>
  <c r="BI387" i="3"/>
  <c r="AN387" i="3"/>
  <c r="BI291" i="3"/>
  <c r="AN291" i="3"/>
  <c r="AN195" i="3"/>
  <c r="AN99" i="3"/>
  <c r="AN508" i="3"/>
  <c r="AN316" i="3"/>
  <c r="AN220" i="3"/>
  <c r="AN825" i="3"/>
  <c r="AN313" i="3"/>
  <c r="AN217" i="3"/>
  <c r="AN121" i="3"/>
  <c r="BI48" i="3"/>
  <c r="AN48" i="3"/>
  <c r="AN504" i="3"/>
  <c r="AN312" i="3"/>
  <c r="BI216" i="3"/>
  <c r="AN216" i="3"/>
  <c r="AN120" i="3"/>
  <c r="BI793" i="3"/>
  <c r="AN793" i="3"/>
  <c r="BI277" i="3"/>
  <c r="AN277" i="3"/>
  <c r="AN181" i="3"/>
  <c r="AN44" i="3"/>
  <c r="BI529" i="3"/>
  <c r="AN529" i="3"/>
  <c r="AN948" i="3"/>
  <c r="AN852" i="3"/>
  <c r="AN756" i="3"/>
  <c r="AN660" i="3"/>
  <c r="AN372" i="3"/>
  <c r="AN311" i="3"/>
  <c r="AN66" i="3"/>
  <c r="AN223" i="3"/>
  <c r="AN15" i="3"/>
  <c r="AN78" i="3"/>
  <c r="AN335" i="3"/>
  <c r="AN25" i="3"/>
  <c r="AN175" i="3"/>
  <c r="AN47" i="3"/>
  <c r="BH469" i="3"/>
  <c r="AM469" i="3"/>
  <c r="BH448" i="3"/>
  <c r="AM448" i="3"/>
  <c r="BH400" i="3"/>
  <c r="AM400" i="3"/>
  <c r="BH376" i="3"/>
  <c r="AM376" i="3"/>
  <c r="BH401" i="3"/>
  <c r="AM401" i="3"/>
  <c r="BH377" i="3"/>
  <c r="AM377" i="3"/>
  <c r="BH352" i="3"/>
  <c r="AM352" i="3"/>
  <c r="BH328" i="3"/>
  <c r="AM328" i="3"/>
  <c r="BH304" i="3"/>
  <c r="AM304" i="3"/>
  <c r="BH280" i="3"/>
  <c r="AM280" i="3"/>
  <c r="BH359" i="3"/>
  <c r="AM359" i="3"/>
  <c r="BH311" i="3"/>
  <c r="AM311" i="3"/>
  <c r="BH287" i="3"/>
  <c r="AM287" i="3"/>
  <c r="BH253" i="3"/>
  <c r="AM253" i="3"/>
  <c r="BH229" i="3"/>
  <c r="AM229" i="3"/>
  <c r="BH242" i="3"/>
  <c r="AM242" i="3"/>
  <c r="BH218" i="3"/>
  <c r="AM218" i="3"/>
  <c r="BH194" i="3"/>
  <c r="AM194" i="3"/>
  <c r="BH170" i="3"/>
  <c r="AM170" i="3"/>
  <c r="BH146" i="3"/>
  <c r="AM146" i="3"/>
  <c r="BH207" i="3"/>
  <c r="AM207" i="3"/>
  <c r="BH183" i="3"/>
  <c r="AM183" i="3"/>
  <c r="BH159" i="3"/>
  <c r="AM159" i="3"/>
  <c r="BH135" i="3"/>
  <c r="AM135" i="3"/>
  <c r="BH111" i="3"/>
  <c r="AM111" i="3"/>
  <c r="BH87" i="3"/>
  <c r="AM87" i="3"/>
  <c r="BH63" i="3"/>
  <c r="AM63" i="3"/>
  <c r="BH144" i="3"/>
  <c r="AM144" i="3"/>
  <c r="BH120" i="3"/>
  <c r="AM120" i="3"/>
  <c r="BH72" i="3"/>
  <c r="AM72" i="3"/>
  <c r="BH24" i="3"/>
  <c r="AM24" i="3"/>
  <c r="AN935" i="3"/>
  <c r="AN839" i="3"/>
  <c r="AN743" i="3"/>
  <c r="AN647" i="3"/>
  <c r="AN551" i="3"/>
  <c r="AN455" i="3"/>
  <c r="AN958" i="3"/>
  <c r="AN762" i="3"/>
  <c r="AN570" i="3"/>
  <c r="AN474" i="3"/>
  <c r="AN625" i="3"/>
  <c r="AN925" i="3"/>
  <c r="AN829" i="3"/>
  <c r="AN931" i="3"/>
  <c r="AN835" i="3"/>
  <c r="AN739" i="3"/>
  <c r="AN643" i="3"/>
  <c r="AN547" i="3"/>
  <c r="AN662" i="3"/>
  <c r="AN566" i="3"/>
  <c r="AN374" i="3"/>
  <c r="AN278" i="3"/>
  <c r="AN182" i="3"/>
  <c r="AN701" i="3"/>
  <c r="AN974" i="3"/>
  <c r="AN1007" i="3"/>
  <c r="AN911" i="3"/>
  <c r="AN815" i="3"/>
  <c r="AN719" i="3"/>
  <c r="AN527" i="3"/>
  <c r="AN431" i="3"/>
  <c r="AN930" i="3"/>
  <c r="AN834" i="3"/>
  <c r="BI738" i="3"/>
  <c r="AN738" i="3"/>
  <c r="BI642" i="3"/>
  <c r="AN642" i="3"/>
  <c r="AN546" i="3"/>
  <c r="BI450" i="3"/>
  <c r="AN450" i="3"/>
  <c r="BI354" i="3"/>
  <c r="AN354" i="3"/>
  <c r="AN162" i="3"/>
  <c r="BI969" i="3"/>
  <c r="AN969" i="3"/>
  <c r="AN873" i="3"/>
  <c r="AN773" i="3"/>
  <c r="AN677" i="3"/>
  <c r="AN485" i="3"/>
  <c r="AN425" i="3"/>
  <c r="BI301" i="3"/>
  <c r="AN301" i="3"/>
  <c r="AN205" i="3"/>
  <c r="AN109" i="3"/>
  <c r="BI928" i="3"/>
  <c r="AN928" i="3"/>
  <c r="AN832" i="3"/>
  <c r="AN736" i="3"/>
  <c r="AN640" i="3"/>
  <c r="AN331" i="3"/>
  <c r="BI433" i="3"/>
  <c r="AN433" i="3"/>
  <c r="AN548" i="3"/>
  <c r="BI164" i="3"/>
  <c r="AN164" i="3"/>
  <c r="BI68" i="3"/>
  <c r="AN68" i="3"/>
  <c r="AN93" i="3"/>
  <c r="BI63" i="3"/>
  <c r="AN63" i="3"/>
  <c r="BH491" i="3"/>
  <c r="AM491" i="3"/>
  <c r="BH467" i="3"/>
  <c r="AM467" i="3"/>
  <c r="AM446" i="3"/>
  <c r="BH422" i="3"/>
  <c r="AM422" i="3"/>
  <c r="BH398" i="3"/>
  <c r="AM398" i="3"/>
  <c r="BH374" i="3"/>
  <c r="AM374" i="3"/>
  <c r="BH447" i="3"/>
  <c r="AM447" i="3"/>
  <c r="BH399" i="3"/>
  <c r="AM399" i="3"/>
  <c r="BH375" i="3"/>
  <c r="AM375" i="3"/>
  <c r="BH350" i="3"/>
  <c r="AM350" i="3"/>
  <c r="BH302" i="3"/>
  <c r="AM302" i="3"/>
  <c r="BH278" i="3"/>
  <c r="AM278" i="3"/>
  <c r="BH357" i="3"/>
  <c r="AM357" i="3"/>
  <c r="BH333" i="3"/>
  <c r="AM333" i="3"/>
  <c r="BH285" i="3"/>
  <c r="AM285" i="3"/>
  <c r="BH240" i="3"/>
  <c r="AM240" i="3"/>
  <c r="BH168" i="3"/>
  <c r="AM168" i="3"/>
  <c r="BH181" i="3"/>
  <c r="AM181" i="3"/>
  <c r="BH133" i="3"/>
  <c r="AM133" i="3"/>
  <c r="BH109" i="3"/>
  <c r="AM109" i="3"/>
  <c r="BH61" i="3"/>
  <c r="AM61" i="3"/>
  <c r="BH37" i="3"/>
  <c r="AM37" i="3"/>
  <c r="AH47" i="3"/>
  <c r="AN939" i="3"/>
  <c r="BI843" i="3"/>
  <c r="AN843" i="3"/>
  <c r="AN747" i="3"/>
  <c r="AN651" i="3"/>
  <c r="AN555" i="3"/>
  <c r="BI862" i="3"/>
  <c r="AN862" i="3"/>
  <c r="AN766" i="3"/>
  <c r="AN670" i="3"/>
  <c r="BI574" i="3"/>
  <c r="AN574" i="3"/>
  <c r="AN478" i="3"/>
  <c r="BI382" i="3"/>
  <c r="AN382" i="3"/>
  <c r="BI286" i="3"/>
  <c r="AN286" i="3"/>
  <c r="BI994" i="3"/>
  <c r="AN994" i="3"/>
  <c r="BI849" i="3"/>
  <c r="AN849" i="3"/>
  <c r="BI817" i="3"/>
  <c r="AN817" i="3"/>
  <c r="BI451" i="3"/>
  <c r="AN451" i="3"/>
  <c r="AN758" i="3"/>
  <c r="BI445" i="3"/>
  <c r="AN445" i="3"/>
  <c r="AN295" i="3"/>
  <c r="AN203" i="3"/>
  <c r="BI81" i="3"/>
  <c r="AN81" i="3"/>
  <c r="BI287" i="3"/>
  <c r="AN287" i="3"/>
  <c r="BI43" i="3"/>
  <c r="AN43" i="3"/>
  <c r="AN52" i="3"/>
  <c r="AN275" i="3"/>
  <c r="AN972" i="3"/>
  <c r="AN876" i="3"/>
  <c r="AN780" i="3"/>
  <c r="AN684" i="3"/>
  <c r="AN588" i="3"/>
  <c r="AN396" i="3"/>
  <c r="AN968" i="3"/>
  <c r="AN872" i="3"/>
  <c r="AN776" i="3"/>
  <c r="AN680" i="3"/>
  <c r="AN584" i="3"/>
  <c r="AN392" i="3"/>
  <c r="BI148" i="3"/>
  <c r="AN148" i="3"/>
  <c r="AN37" i="3"/>
  <c r="BI62" i="3"/>
  <c r="AN62" i="3"/>
  <c r="AN65" i="3"/>
  <c r="AN77" i="3"/>
  <c r="AN191" i="3"/>
  <c r="AM526" i="3"/>
  <c r="AM443" i="3"/>
  <c r="AM419" i="3"/>
  <c r="AM281" i="3"/>
  <c r="AM188" i="3"/>
  <c r="AM33" i="3"/>
  <c r="BH114" i="3"/>
  <c r="AM114" i="3"/>
  <c r="BH90" i="3"/>
  <c r="AM90" i="3"/>
  <c r="BH66" i="3"/>
  <c r="AM66" i="3"/>
  <c r="BH42" i="3"/>
  <c r="AM42" i="3"/>
  <c r="BI923" i="3"/>
  <c r="AN923" i="3"/>
  <c r="AN827" i="3"/>
  <c r="AN731" i="3"/>
  <c r="AN635" i="3"/>
  <c r="AN539" i="3"/>
  <c r="BI443" i="3"/>
  <c r="AN443" i="3"/>
  <c r="AN942" i="3"/>
  <c r="BI846" i="3"/>
  <c r="AN846" i="3"/>
  <c r="AN654" i="3"/>
  <c r="AN558" i="3"/>
  <c r="BI462" i="3"/>
  <c r="AN462" i="3"/>
  <c r="AN366" i="3"/>
  <c r="BI954" i="3"/>
  <c r="AN954" i="3"/>
  <c r="AN929" i="3"/>
  <c r="BI833" i="3"/>
  <c r="AN833" i="3"/>
  <c r="AN705" i="3"/>
  <c r="AN435" i="3"/>
  <c r="AN934" i="3"/>
  <c r="AN838" i="3"/>
  <c r="AN742" i="3"/>
  <c r="AN781" i="3"/>
  <c r="AN589" i="3"/>
  <c r="AN429" i="3"/>
  <c r="AN949" i="3"/>
  <c r="AN853" i="3"/>
  <c r="AN757" i="3"/>
  <c r="AN373" i="3"/>
  <c r="AN617" i="3"/>
  <c r="AN409" i="3"/>
  <c r="AN528" i="3"/>
  <c r="AN336" i="3"/>
  <c r="AN240" i="3"/>
  <c r="AN144" i="3"/>
  <c r="AN355" i="3"/>
  <c r="AN259" i="3"/>
  <c r="AN163" i="3"/>
  <c r="BI67" i="3"/>
  <c r="AN67" i="3"/>
  <c r="AN476" i="3"/>
  <c r="AN284" i="3"/>
  <c r="AN188" i="3"/>
  <c r="BI281" i="3"/>
  <c r="AN281" i="3"/>
  <c r="BI185" i="3"/>
  <c r="AN185" i="3"/>
  <c r="BI16" i="3"/>
  <c r="AN16" i="3"/>
  <c r="BI472" i="3"/>
  <c r="AN472" i="3"/>
  <c r="BI280" i="3"/>
  <c r="AN280" i="3"/>
  <c r="AN184" i="3"/>
  <c r="BI697" i="3"/>
  <c r="AN697" i="3"/>
  <c r="AN341" i="3"/>
  <c r="AN245" i="3"/>
  <c r="AN149" i="3"/>
  <c r="AN315" i="3"/>
  <c r="AN1012" i="3"/>
  <c r="AN916" i="3"/>
  <c r="AN820" i="3"/>
  <c r="AN724" i="3"/>
  <c r="AN628" i="3"/>
  <c r="AN436" i="3"/>
  <c r="AN449" i="3"/>
  <c r="AN279" i="3"/>
  <c r="BI34" i="3"/>
  <c r="AN34" i="3"/>
  <c r="BI159" i="3"/>
  <c r="AN159" i="3"/>
  <c r="AN33" i="3"/>
  <c r="BI54" i="3"/>
  <c r="AN54" i="3"/>
  <c r="BD33" i="3"/>
  <c r="AI33" i="3"/>
  <c r="BC40" i="3"/>
  <c r="AH40" i="3"/>
  <c r="BD40" i="3"/>
  <c r="AI40" i="3"/>
  <c r="BD15" i="3"/>
  <c r="AI15" i="3"/>
  <c r="BD43" i="3"/>
  <c r="AI43" i="3"/>
  <c r="BD32" i="3"/>
  <c r="AI32" i="3"/>
  <c r="BC39" i="3"/>
  <c r="AH39" i="3"/>
  <c r="BD55" i="3"/>
  <c r="AI55" i="3"/>
  <c r="BC56" i="3"/>
  <c r="AH56" i="3"/>
  <c r="BD31" i="3"/>
  <c r="AI31" i="3"/>
  <c r="BD54" i="3"/>
  <c r="AI54" i="3"/>
  <c r="BD16" i="3"/>
  <c r="AI16" i="3"/>
  <c r="AH44" i="3"/>
  <c r="BD48" i="3"/>
  <c r="AI48" i="3"/>
  <c r="BD53" i="3"/>
  <c r="AI53" i="3"/>
  <c r="AH32" i="3"/>
  <c r="AH53" i="3"/>
  <c r="BD17" i="3"/>
  <c r="AI17" i="3"/>
  <c r="BC26" i="3"/>
  <c r="AH26" i="3"/>
  <c r="BC49" i="3"/>
  <c r="AH49" i="3"/>
  <c r="BC41" i="3"/>
  <c r="AH41" i="3"/>
  <c r="BD47" i="3"/>
  <c r="AI47" i="3"/>
  <c r="BC34" i="3"/>
  <c r="AH34" i="3"/>
  <c r="BC29" i="3"/>
  <c r="AH29" i="3"/>
  <c r="BD41" i="3"/>
  <c r="AI41" i="3"/>
  <c r="BD57" i="3"/>
  <c r="AI57" i="3"/>
  <c r="BD29" i="3"/>
  <c r="AI29" i="3"/>
  <c r="AH30" i="3"/>
  <c r="BD52" i="3"/>
  <c r="AI52" i="3"/>
  <c r="AG45" i="3"/>
  <c r="AG15" i="3"/>
  <c r="BD24" i="3"/>
  <c r="AG24" i="3"/>
  <c r="BD56" i="3"/>
  <c r="BI290" i="3"/>
  <c r="BI210" i="3"/>
  <c r="BI485" i="3"/>
  <c r="BI325" i="3"/>
  <c r="BI193" i="3"/>
  <c r="BC15" i="3"/>
  <c r="BC17" i="3"/>
  <c r="AG49" i="3"/>
  <c r="BI698" i="3"/>
  <c r="BI328" i="3"/>
  <c r="BC25" i="3"/>
  <c r="BI558" i="3"/>
  <c r="BD45" i="3"/>
  <c r="AG37" i="3"/>
  <c r="BD49" i="3"/>
  <c r="BI615" i="3"/>
  <c r="BI470" i="3"/>
  <c r="BI310" i="3"/>
  <c r="BI511" i="3"/>
  <c r="AG16" i="3"/>
  <c r="BI666" i="3"/>
  <c r="BI785" i="3"/>
  <c r="BI545" i="3"/>
  <c r="BI861" i="3"/>
  <c r="BI578" i="3"/>
  <c r="BI572" i="3"/>
  <c r="BI329" i="3"/>
  <c r="BI1000" i="3"/>
  <c r="BC45" i="3"/>
  <c r="AG32" i="3"/>
  <c r="AG47" i="3"/>
  <c r="BI903" i="3"/>
  <c r="BI346" i="3"/>
  <c r="BI880" i="3"/>
  <c r="BI512" i="3"/>
  <c r="BI200" i="3"/>
  <c r="BC46" i="3"/>
  <c r="BD37" i="3"/>
  <c r="BC52" i="3"/>
  <c r="BI634" i="3"/>
  <c r="BI593" i="3"/>
  <c r="BI1005" i="3"/>
  <c r="BI854" i="3"/>
  <c r="BI813" i="3"/>
  <c r="BI637" i="3"/>
  <c r="BI357" i="3"/>
  <c r="BI864" i="3"/>
  <c r="BI247" i="3"/>
  <c r="BI155" i="3"/>
  <c r="BI42" i="3"/>
  <c r="AG34" i="3"/>
  <c r="BC31" i="3"/>
  <c r="AG40" i="3"/>
  <c r="BI970" i="3"/>
  <c r="BI624" i="3"/>
  <c r="BI289" i="3"/>
  <c r="BD34" i="3"/>
  <c r="AL624" i="3"/>
  <c r="BH624" i="3"/>
  <c r="AL553" i="3"/>
  <c r="AL424" i="3"/>
  <c r="AL336" i="3"/>
  <c r="BH247" i="3"/>
  <c r="AL247" i="3"/>
  <c r="BI478" i="3"/>
  <c r="BI767" i="3"/>
  <c r="BI224" i="3"/>
  <c r="AL1000" i="3"/>
  <c r="AL982" i="3"/>
  <c r="AL964" i="3"/>
  <c r="AL946" i="3"/>
  <c r="AL928" i="3"/>
  <c r="AL910" i="3"/>
  <c r="AL892" i="3"/>
  <c r="AL874" i="3"/>
  <c r="AL856" i="3"/>
  <c r="AL1007" i="3"/>
  <c r="AL989" i="3"/>
  <c r="AL971" i="3"/>
  <c r="AL953" i="3"/>
  <c r="AL935" i="3"/>
  <c r="AL917" i="3"/>
  <c r="AL899" i="3"/>
  <c r="AL881" i="3"/>
  <c r="AL863" i="3"/>
  <c r="AL845" i="3"/>
  <c r="AL828" i="3"/>
  <c r="AL810" i="3"/>
  <c r="AL833" i="3"/>
  <c r="AL815" i="3"/>
  <c r="AL799" i="3"/>
  <c r="AL781" i="3"/>
  <c r="AL763" i="3"/>
  <c r="AL745" i="3"/>
  <c r="AL727" i="3"/>
  <c r="AL709" i="3"/>
  <c r="AL691" i="3"/>
  <c r="AL784" i="3"/>
  <c r="AL766" i="3"/>
  <c r="AL740" i="3"/>
  <c r="AL728" i="3"/>
  <c r="AL716" i="3"/>
  <c r="AL704" i="3"/>
  <c r="AL692" i="3"/>
  <c r="AL681" i="3"/>
  <c r="AL669" i="3"/>
  <c r="AL657" i="3"/>
  <c r="AL645" i="3"/>
  <c r="AL633" i="3"/>
  <c r="AL621" i="3"/>
  <c r="AL609" i="3"/>
  <c r="AL597" i="3"/>
  <c r="AL585" i="3"/>
  <c r="AL573" i="3"/>
  <c r="AL684" i="3"/>
  <c r="AL672" i="3"/>
  <c r="AL660" i="3"/>
  <c r="AL648" i="3"/>
  <c r="AL636" i="3"/>
  <c r="AL622" i="3"/>
  <c r="BH622" i="3"/>
  <c r="AL606" i="3"/>
  <c r="AL574" i="3"/>
  <c r="BH574" i="3"/>
  <c r="AL558" i="3"/>
  <c r="AL526" i="3"/>
  <c r="BH526" i="3"/>
  <c r="AL510" i="3"/>
  <c r="AL478" i="3"/>
  <c r="BH478" i="3"/>
  <c r="AL462" i="3"/>
  <c r="AL535" i="3"/>
  <c r="BH535" i="3"/>
  <c r="AL519" i="3"/>
  <c r="AL487" i="3"/>
  <c r="BH487" i="3"/>
  <c r="AL471" i="3"/>
  <c r="AL453" i="3"/>
  <c r="BH440" i="3"/>
  <c r="AL440" i="3"/>
  <c r="AL402" i="3"/>
  <c r="BH402" i="3"/>
  <c r="BH382" i="3"/>
  <c r="AL382" i="3"/>
  <c r="BH368" i="3"/>
  <c r="AL368" i="3"/>
  <c r="AL447" i="3"/>
  <c r="AL373" i="3"/>
  <c r="BH373" i="3"/>
  <c r="BH334" i="3"/>
  <c r="AL334" i="3"/>
  <c r="BH298" i="3"/>
  <c r="AL298" i="3"/>
  <c r="AL278" i="3"/>
  <c r="BH345" i="3"/>
  <c r="AL345" i="3"/>
  <c r="AL309" i="3"/>
  <c r="BH309" i="3"/>
  <c r="AL289" i="3"/>
  <c r="BH289" i="3"/>
  <c r="BH228" i="3"/>
  <c r="AL228" i="3"/>
  <c r="BH212" i="3"/>
  <c r="AL212" i="3"/>
  <c r="AL158" i="3"/>
  <c r="BH158" i="3"/>
  <c r="AL271" i="3"/>
  <c r="AL123" i="3"/>
  <c r="BH31" i="3"/>
  <c r="AL31" i="3"/>
  <c r="AL110" i="3"/>
  <c r="BH110" i="3"/>
  <c r="AL36" i="3"/>
  <c r="BH36" i="3"/>
  <c r="AG39" i="3"/>
  <c r="BI555" i="3"/>
  <c r="BI910" i="3"/>
  <c r="BI542" i="3"/>
  <c r="BI506" i="3"/>
  <c r="BI899" i="3"/>
  <c r="BI723" i="3"/>
  <c r="BI847" i="3"/>
  <c r="BI856" i="3"/>
  <c r="BI30" i="3"/>
  <c r="AL537" i="3"/>
  <c r="BH537" i="3"/>
  <c r="BH391" i="3"/>
  <c r="AL391" i="3"/>
  <c r="BI659" i="3"/>
  <c r="BI605" i="3"/>
  <c r="BH944" i="3"/>
  <c r="AL944" i="3"/>
  <c r="BH951" i="3"/>
  <c r="AL951" i="3"/>
  <c r="BH879" i="3"/>
  <c r="AL879" i="3"/>
  <c r="BH861" i="3"/>
  <c r="AL861" i="3"/>
  <c r="BH843" i="3"/>
  <c r="AL843" i="3"/>
  <c r="BH826" i="3"/>
  <c r="AL826" i="3"/>
  <c r="BH808" i="3"/>
  <c r="AL808" i="3"/>
  <c r="BH831" i="3"/>
  <c r="AL831" i="3"/>
  <c r="BH813" i="3"/>
  <c r="AL813" i="3"/>
  <c r="BH797" i="3"/>
  <c r="AL797" i="3"/>
  <c r="BH779" i="3"/>
  <c r="AL779" i="3"/>
  <c r="BH761" i="3"/>
  <c r="AL761" i="3"/>
  <c r="BH743" i="3"/>
  <c r="AL743" i="3"/>
  <c r="BH725" i="3"/>
  <c r="AL725" i="3"/>
  <c r="BH707" i="3"/>
  <c r="AL707" i="3"/>
  <c r="BH689" i="3"/>
  <c r="AL689" i="3"/>
  <c r="BH782" i="3"/>
  <c r="AL782" i="3"/>
  <c r="AL752" i="3"/>
  <c r="AL620" i="3"/>
  <c r="BH620" i="3"/>
  <c r="AL590" i="3"/>
  <c r="AL572" i="3"/>
  <c r="BH572" i="3"/>
  <c r="AL542" i="3"/>
  <c r="AL524" i="3"/>
  <c r="BH524" i="3"/>
  <c r="AL476" i="3"/>
  <c r="BH476" i="3"/>
  <c r="AL533" i="3"/>
  <c r="BH533" i="3"/>
  <c r="AL485" i="3"/>
  <c r="BH485" i="3"/>
  <c r="BH454" i="3"/>
  <c r="AL454" i="3"/>
  <c r="BH387" i="3"/>
  <c r="AL387" i="3"/>
  <c r="BH371" i="3"/>
  <c r="AL371" i="3"/>
  <c r="AL352" i="3"/>
  <c r="AL258" i="3"/>
  <c r="AL263" i="3"/>
  <c r="AL227" i="3"/>
  <c r="BH227" i="3"/>
  <c r="AL244" i="3"/>
  <c r="BH244" i="3"/>
  <c r="BH156" i="3"/>
  <c r="AL156" i="3"/>
  <c r="BH267" i="3"/>
  <c r="AL267" i="3"/>
  <c r="AL171" i="3"/>
  <c r="BH171" i="3"/>
  <c r="AL155" i="3"/>
  <c r="AL137" i="3"/>
  <c r="AL49" i="3"/>
  <c r="AL108" i="3"/>
  <c r="BH108" i="3"/>
  <c r="AL90" i="3"/>
  <c r="BC53" i="3"/>
  <c r="AG53" i="3"/>
  <c r="BI439" i="3"/>
  <c r="BI721" i="3"/>
  <c r="BI803" i="3"/>
  <c r="BI886" i="3"/>
  <c r="BI415" i="3"/>
  <c r="BI265" i="3"/>
  <c r="BI548" i="3"/>
  <c r="BI257" i="3"/>
  <c r="BI127" i="3"/>
  <c r="AL480" i="3"/>
  <c r="BH480" i="3"/>
  <c r="AL354" i="3"/>
  <c r="BH269" i="3"/>
  <c r="AL269" i="3"/>
  <c r="BH33" i="3"/>
  <c r="AL33" i="3"/>
  <c r="BH962" i="3"/>
  <c r="AL962" i="3"/>
  <c r="BH1005" i="3"/>
  <c r="AL1005" i="3"/>
  <c r="BH996" i="3"/>
  <c r="AL996" i="3"/>
  <c r="BH906" i="3"/>
  <c r="AL906" i="3"/>
  <c r="BH985" i="3"/>
  <c r="AL985" i="3"/>
  <c r="BH913" i="3"/>
  <c r="AL913" i="3"/>
  <c r="BH824" i="3"/>
  <c r="AL824" i="3"/>
  <c r="BH777" i="3"/>
  <c r="AL777" i="3"/>
  <c r="BH723" i="3"/>
  <c r="AL723" i="3"/>
  <c r="AL764" i="3"/>
  <c r="AL738" i="3"/>
  <c r="AL714" i="3"/>
  <c r="AL667" i="3"/>
  <c r="AL643" i="3"/>
  <c r="AL619" i="3"/>
  <c r="AL595" i="3"/>
  <c r="AL571" i="3"/>
  <c r="AL670" i="3"/>
  <c r="AL634" i="3"/>
  <c r="AL604" i="3"/>
  <c r="AL540" i="3"/>
  <c r="BH540" i="3"/>
  <c r="AL508" i="3"/>
  <c r="AL549" i="3"/>
  <c r="BH549" i="3"/>
  <c r="AL501" i="3"/>
  <c r="BH501" i="3"/>
  <c r="AL469" i="3"/>
  <c r="AL436" i="3"/>
  <c r="BH436" i="3"/>
  <c r="AL380" i="3"/>
  <c r="AL445" i="3"/>
  <c r="AL425" i="3"/>
  <c r="BH425" i="3"/>
  <c r="BH385" i="3"/>
  <c r="AL385" i="3"/>
  <c r="BH312" i="3"/>
  <c r="AL312" i="3"/>
  <c r="BH294" i="3"/>
  <c r="AL294" i="3"/>
  <c r="AL276" i="3"/>
  <c r="BH305" i="3"/>
  <c r="AL305" i="3"/>
  <c r="AL287" i="3"/>
  <c r="BH259" i="3"/>
  <c r="AL259" i="3"/>
  <c r="AL226" i="3"/>
  <c r="AL192" i="3"/>
  <c r="BH192" i="3"/>
  <c r="AL172" i="3"/>
  <c r="BH172" i="3"/>
  <c r="BH169" i="3"/>
  <c r="AL169" i="3"/>
  <c r="BH153" i="3"/>
  <c r="AL153" i="3"/>
  <c r="AL124" i="3"/>
  <c r="BH124" i="3"/>
  <c r="BH106" i="3"/>
  <c r="AL106" i="3"/>
  <c r="BH32" i="3"/>
  <c r="AL32" i="3"/>
  <c r="AL16" i="3"/>
  <c r="BI539" i="3"/>
  <c r="BI894" i="3"/>
  <c r="BI670" i="3"/>
  <c r="BI190" i="3"/>
  <c r="BI883" i="3"/>
  <c r="BI118" i="3"/>
  <c r="BI997" i="3"/>
  <c r="BI920" i="3"/>
  <c r="BI181" i="3"/>
  <c r="BI90" i="3"/>
  <c r="AL528" i="3"/>
  <c r="BH528" i="3"/>
  <c r="BI726" i="3"/>
  <c r="BI792" i="3"/>
  <c r="BH980" i="3"/>
  <c r="AL980" i="3"/>
  <c r="BH890" i="3"/>
  <c r="AL890" i="3"/>
  <c r="BH987" i="3"/>
  <c r="AL987" i="3"/>
  <c r="BH978" i="3"/>
  <c r="AL978" i="3"/>
  <c r="BH924" i="3"/>
  <c r="AL924" i="3"/>
  <c r="BH852" i="3"/>
  <c r="AL852" i="3"/>
  <c r="BH931" i="3"/>
  <c r="AL931" i="3"/>
  <c r="BH859" i="3"/>
  <c r="AL859" i="3"/>
  <c r="BH806" i="3"/>
  <c r="AL806" i="3"/>
  <c r="BH795" i="3"/>
  <c r="AL795" i="3"/>
  <c r="BH741" i="3"/>
  <c r="AL741" i="3"/>
  <c r="BH780" i="3"/>
  <c r="AL780" i="3"/>
  <c r="BH750" i="3"/>
  <c r="AL750" i="3"/>
  <c r="AL726" i="3"/>
  <c r="AL679" i="3"/>
  <c r="AL655" i="3"/>
  <c r="AL631" i="3"/>
  <c r="AL607" i="3"/>
  <c r="AL583" i="3"/>
  <c r="AL682" i="3"/>
  <c r="AL658" i="3"/>
  <c r="AL646" i="3"/>
  <c r="AL588" i="3"/>
  <c r="BH588" i="3"/>
  <c r="AL556" i="3"/>
  <c r="AL492" i="3"/>
  <c r="BH492" i="3"/>
  <c r="AL460" i="3"/>
  <c r="AL517" i="3"/>
  <c r="AL366" i="3"/>
  <c r="BH762" i="3"/>
  <c r="AL762" i="3"/>
  <c r="AL618" i="3"/>
  <c r="AL586" i="3"/>
  <c r="BH586" i="3"/>
  <c r="AL570" i="3"/>
  <c r="AL538" i="3"/>
  <c r="BH538" i="3"/>
  <c r="AL522" i="3"/>
  <c r="AL490" i="3"/>
  <c r="BH490" i="3"/>
  <c r="AL474" i="3"/>
  <c r="AL547" i="3"/>
  <c r="BH547" i="3"/>
  <c r="AL531" i="3"/>
  <c r="AL499" i="3"/>
  <c r="BH499" i="3"/>
  <c r="AL483" i="3"/>
  <c r="BH418" i="3"/>
  <c r="AL418" i="3"/>
  <c r="AL398" i="3"/>
  <c r="BH364" i="3"/>
  <c r="AL364" i="3"/>
  <c r="AL423" i="3"/>
  <c r="BH423" i="3"/>
  <c r="AL403" i="3"/>
  <c r="BH403" i="3"/>
  <c r="BH383" i="3"/>
  <c r="AL383" i="3"/>
  <c r="AL369" i="3"/>
  <c r="BH292" i="3"/>
  <c r="AL292" i="3"/>
  <c r="BH274" i="3"/>
  <c r="AL274" i="3"/>
  <c r="BH323" i="3"/>
  <c r="AL323" i="3"/>
  <c r="BH303" i="3"/>
  <c r="AL303" i="3"/>
  <c r="BH275" i="3"/>
  <c r="AL275" i="3"/>
  <c r="AL242" i="3"/>
  <c r="BH224" i="3"/>
  <c r="AL224" i="3"/>
  <c r="AL154" i="3"/>
  <c r="AL205" i="3"/>
  <c r="BH205" i="3"/>
  <c r="AL185" i="3"/>
  <c r="BH185" i="3"/>
  <c r="BH151" i="3"/>
  <c r="AL151" i="3"/>
  <c r="AL85" i="3"/>
  <c r="BH85" i="3"/>
  <c r="AL47" i="3"/>
  <c r="BH142" i="3"/>
  <c r="AL142" i="3"/>
  <c r="AL122" i="3"/>
  <c r="BH122" i="3"/>
  <c r="BH104" i="3"/>
  <c r="AL104" i="3"/>
  <c r="AL50" i="3"/>
  <c r="BH50" i="3"/>
  <c r="BI779" i="3"/>
  <c r="BI990" i="3"/>
  <c r="BI1009" i="3"/>
  <c r="BI794" i="3"/>
  <c r="BI294" i="3"/>
  <c r="BI533" i="3"/>
  <c r="AL544" i="3"/>
  <c r="AL505" i="3"/>
  <c r="AL347" i="3"/>
  <c r="AL214" i="3"/>
  <c r="BH139" i="3"/>
  <c r="AL139" i="3"/>
  <c r="BI837" i="3"/>
  <c r="BH908" i="3"/>
  <c r="AL908" i="3"/>
  <c r="BH933" i="3"/>
  <c r="AL933" i="3"/>
  <c r="BH942" i="3"/>
  <c r="AL942" i="3"/>
  <c r="BH870" i="3"/>
  <c r="AL870" i="3"/>
  <c r="BH967" i="3"/>
  <c r="AL967" i="3"/>
  <c r="BH877" i="3"/>
  <c r="AL877" i="3"/>
  <c r="BH829" i="3"/>
  <c r="AL829" i="3"/>
  <c r="BH759" i="3"/>
  <c r="AL759" i="3"/>
  <c r="BH798" i="3"/>
  <c r="AL798" i="3"/>
  <c r="AL702" i="3"/>
  <c r="AL994" i="3"/>
  <c r="AL958" i="3"/>
  <c r="AL922" i="3"/>
  <c r="AL868" i="3"/>
  <c r="AL1001" i="3"/>
  <c r="AL965" i="3"/>
  <c r="AL911" i="3"/>
  <c r="AL875" i="3"/>
  <c r="AL857" i="3"/>
  <c r="AL822" i="3"/>
  <c r="AL809" i="3"/>
  <c r="AL793" i="3"/>
  <c r="AL757" i="3"/>
  <c r="AL739" i="3"/>
  <c r="AL721" i="3"/>
  <c r="AL703" i="3"/>
  <c r="AL796" i="3"/>
  <c r="AL778" i="3"/>
  <c r="AL748" i="3"/>
  <c r="AL736" i="3"/>
  <c r="AL724" i="3"/>
  <c r="AL712" i="3"/>
  <c r="AL700" i="3"/>
  <c r="AL688" i="3"/>
  <c r="AL677" i="3"/>
  <c r="AL665" i="3"/>
  <c r="AL653" i="3"/>
  <c r="AL641" i="3"/>
  <c r="AL629" i="3"/>
  <c r="AL617" i="3"/>
  <c r="AL605" i="3"/>
  <c r="AL593" i="3"/>
  <c r="AL581" i="3"/>
  <c r="AL569" i="3"/>
  <c r="AL680" i="3"/>
  <c r="AL668" i="3"/>
  <c r="AL656" i="3"/>
  <c r="AL644" i="3"/>
  <c r="AL632" i="3"/>
  <c r="AL602" i="3"/>
  <c r="AL584" i="3"/>
  <c r="BH584" i="3"/>
  <c r="AL554" i="3"/>
  <c r="AL536" i="3"/>
  <c r="BH536" i="3"/>
  <c r="AL488" i="3"/>
  <c r="BH488" i="3"/>
  <c r="AL545" i="3"/>
  <c r="BH545" i="3"/>
  <c r="AL497" i="3"/>
  <c r="BH497" i="3"/>
  <c r="BH432" i="3"/>
  <c r="AL432" i="3"/>
  <c r="AL378" i="3"/>
  <c r="AL441" i="3"/>
  <c r="BH441" i="3"/>
  <c r="BH367" i="3"/>
  <c r="AL367" i="3"/>
  <c r="AL308" i="3"/>
  <c r="BH308" i="3"/>
  <c r="AL285" i="3"/>
  <c r="BH265" i="3"/>
  <c r="AL265" i="3"/>
  <c r="BH188" i="3"/>
  <c r="AL188" i="3"/>
  <c r="AL170" i="3"/>
  <c r="BH152" i="3"/>
  <c r="AL152" i="3"/>
  <c r="AL167" i="3"/>
  <c r="BH117" i="3"/>
  <c r="AL117" i="3"/>
  <c r="AL99" i="3"/>
  <c r="BH99" i="3"/>
  <c r="BH45" i="3"/>
  <c r="AL45" i="3"/>
  <c r="AL25" i="3"/>
  <c r="BH25" i="3"/>
  <c r="AL48" i="3"/>
  <c r="BH48" i="3"/>
  <c r="AL30" i="3"/>
  <c r="AG56" i="3"/>
  <c r="BI734" i="3"/>
  <c r="BI654" i="3"/>
  <c r="BI727" i="3"/>
  <c r="BI963" i="3"/>
  <c r="BI509" i="3"/>
  <c r="BI991" i="3"/>
  <c r="BI559" i="3"/>
  <c r="BI205" i="3"/>
  <c r="BI355" i="3"/>
  <c r="BI537" i="3"/>
  <c r="BI264" i="3"/>
  <c r="BI167" i="3"/>
  <c r="BI15" i="3"/>
  <c r="BI255" i="3"/>
  <c r="AL592" i="3"/>
  <c r="AL429" i="3"/>
  <c r="BI685" i="3"/>
  <c r="BH854" i="3"/>
  <c r="AL854" i="3"/>
  <c r="BH915" i="3"/>
  <c r="AL915" i="3"/>
  <c r="BH960" i="3"/>
  <c r="AL960" i="3"/>
  <c r="BH888" i="3"/>
  <c r="AL888" i="3"/>
  <c r="BH1003" i="3"/>
  <c r="AL1003" i="3"/>
  <c r="BH949" i="3"/>
  <c r="AL949" i="3"/>
  <c r="BH895" i="3"/>
  <c r="AL895" i="3"/>
  <c r="BH842" i="3"/>
  <c r="AL842" i="3"/>
  <c r="BH811" i="3"/>
  <c r="AL811" i="3"/>
  <c r="BH705" i="3"/>
  <c r="AL705" i="3"/>
  <c r="AL690" i="3"/>
  <c r="AL1012" i="3"/>
  <c r="AL976" i="3"/>
  <c r="AL940" i="3"/>
  <c r="AL904" i="3"/>
  <c r="AL886" i="3"/>
  <c r="AL850" i="3"/>
  <c r="AL983" i="3"/>
  <c r="AL947" i="3"/>
  <c r="AL929" i="3"/>
  <c r="AL893" i="3"/>
  <c r="AL840" i="3"/>
  <c r="AL804" i="3"/>
  <c r="AL827" i="3"/>
  <c r="AL775" i="3"/>
  <c r="BH1010" i="3"/>
  <c r="AL1010" i="3"/>
  <c r="BH992" i="3"/>
  <c r="AL992" i="3"/>
  <c r="BH974" i="3"/>
  <c r="AL974" i="3"/>
  <c r="BH956" i="3"/>
  <c r="AL956" i="3"/>
  <c r="BH938" i="3"/>
  <c r="AL938" i="3"/>
  <c r="BH920" i="3"/>
  <c r="AL920" i="3"/>
  <c r="BH902" i="3"/>
  <c r="AL902" i="3"/>
  <c r="BH884" i="3"/>
  <c r="AL884" i="3"/>
  <c r="BH866" i="3"/>
  <c r="AL866" i="3"/>
  <c r="BH848" i="3"/>
  <c r="AL848" i="3"/>
  <c r="BH999" i="3"/>
  <c r="AL999" i="3"/>
  <c r="BH981" i="3"/>
  <c r="AL981" i="3"/>
  <c r="BH963" i="3"/>
  <c r="AL963" i="3"/>
  <c r="BH945" i="3"/>
  <c r="AL945" i="3"/>
  <c r="BH927" i="3"/>
  <c r="AL927" i="3"/>
  <c r="BH909" i="3"/>
  <c r="AL909" i="3"/>
  <c r="BH891" i="3"/>
  <c r="AL891" i="3"/>
  <c r="BH873" i="3"/>
  <c r="AL873" i="3"/>
  <c r="BH855" i="3"/>
  <c r="AL855" i="3"/>
  <c r="BH838" i="3"/>
  <c r="AL838" i="3"/>
  <c r="BH820" i="3"/>
  <c r="AL820" i="3"/>
  <c r="BH802" i="3"/>
  <c r="AL802" i="3"/>
  <c r="BH825" i="3"/>
  <c r="AL825" i="3"/>
  <c r="BH807" i="3"/>
  <c r="AL807" i="3"/>
  <c r="BH791" i="3"/>
  <c r="AL791" i="3"/>
  <c r="BH773" i="3"/>
  <c r="AL773" i="3"/>
  <c r="BH755" i="3"/>
  <c r="AL755" i="3"/>
  <c r="BH737" i="3"/>
  <c r="AL737" i="3"/>
  <c r="BH719" i="3"/>
  <c r="AL719" i="3"/>
  <c r="BH701" i="3"/>
  <c r="AL701" i="3"/>
  <c r="BH794" i="3"/>
  <c r="AL794" i="3"/>
  <c r="BH776" i="3"/>
  <c r="AL776" i="3"/>
  <c r="AL760" i="3"/>
  <c r="AL616" i="3"/>
  <c r="AL600" i="3"/>
  <c r="BH600" i="3"/>
  <c r="AL568" i="3"/>
  <c r="AL552" i="3"/>
  <c r="BH552" i="3"/>
  <c r="AL520" i="3"/>
  <c r="AL504" i="3"/>
  <c r="BH504" i="3"/>
  <c r="AL472" i="3"/>
  <c r="AL561" i="3"/>
  <c r="BH561" i="3"/>
  <c r="AL529" i="3"/>
  <c r="AL513" i="3"/>
  <c r="BH513" i="3"/>
  <c r="AL481" i="3"/>
  <c r="AL465" i="3"/>
  <c r="BH465" i="3"/>
  <c r="BH414" i="3"/>
  <c r="AL414" i="3"/>
  <c r="AL396" i="3"/>
  <c r="BH419" i="3"/>
  <c r="AL419" i="3"/>
  <c r="AL401" i="3"/>
  <c r="AL381" i="3"/>
  <c r="AL290" i="3"/>
  <c r="BH319" i="3"/>
  <c r="AL319" i="3"/>
  <c r="AL301" i="3"/>
  <c r="AL240" i="3"/>
  <c r="BH186" i="3"/>
  <c r="AL186" i="3"/>
  <c r="BH201" i="3"/>
  <c r="AL201" i="3"/>
  <c r="AL183" i="3"/>
  <c r="BH165" i="3"/>
  <c r="AL165" i="3"/>
  <c r="AL83" i="3"/>
  <c r="AL138" i="3"/>
  <c r="BH138" i="3"/>
  <c r="AL120" i="3"/>
  <c r="BH46" i="3"/>
  <c r="AL46" i="3"/>
  <c r="BI718" i="3"/>
  <c r="BI238" i="3"/>
  <c r="BI174" i="3"/>
  <c r="BI887" i="3"/>
  <c r="BI170" i="3"/>
  <c r="BI515" i="3"/>
  <c r="BI988" i="3"/>
  <c r="BI788" i="3"/>
  <c r="AL496" i="3"/>
  <c r="AL331" i="3"/>
  <c r="AL211" i="3"/>
  <c r="BH92" i="3"/>
  <c r="AL92" i="3"/>
  <c r="BH926" i="3"/>
  <c r="AL926" i="3"/>
  <c r="BH969" i="3"/>
  <c r="AL969" i="3"/>
  <c r="BH1008" i="3"/>
  <c r="AL1008" i="3"/>
  <c r="BH972" i="3"/>
  <c r="AL972" i="3"/>
  <c r="BH918" i="3"/>
  <c r="AL918" i="3"/>
  <c r="BH882" i="3"/>
  <c r="AL882" i="3"/>
  <c r="BH846" i="3"/>
  <c r="AL846" i="3"/>
  <c r="BH979" i="3"/>
  <c r="AL979" i="3"/>
  <c r="BH943" i="3"/>
  <c r="AL943" i="3"/>
  <c r="BH889" i="3"/>
  <c r="AL889" i="3"/>
  <c r="BH853" i="3"/>
  <c r="AL853" i="3"/>
  <c r="BH818" i="3"/>
  <c r="AL818" i="3"/>
  <c r="BH823" i="3"/>
  <c r="AL823" i="3"/>
  <c r="BH789" i="3"/>
  <c r="AL789" i="3"/>
  <c r="BH735" i="3"/>
  <c r="AL735" i="3"/>
  <c r="BH699" i="3"/>
  <c r="AL699" i="3"/>
  <c r="BH774" i="3"/>
  <c r="AL774" i="3"/>
  <c r="AL722" i="3"/>
  <c r="AL698" i="3"/>
  <c r="AL675" i="3"/>
  <c r="AL651" i="3"/>
  <c r="AL627" i="3"/>
  <c r="AL603" i="3"/>
  <c r="AL579" i="3"/>
  <c r="AL678" i="3"/>
  <c r="AL654" i="3"/>
  <c r="AL582" i="3"/>
  <c r="AL550" i="3"/>
  <c r="BH550" i="3"/>
  <c r="AL502" i="3"/>
  <c r="BH502" i="3"/>
  <c r="AL559" i="3"/>
  <c r="BH559" i="3"/>
  <c r="AL511" i="3"/>
  <c r="BH511" i="3"/>
  <c r="AL495" i="3"/>
  <c r="BH412" i="3"/>
  <c r="AL412" i="3"/>
  <c r="BH394" i="3"/>
  <c r="AL394" i="3"/>
  <c r="BH437" i="3"/>
  <c r="AL437" i="3"/>
  <c r="BH417" i="3"/>
  <c r="AL417" i="3"/>
  <c r="AL363" i="3"/>
  <c r="BH363" i="3"/>
  <c r="BH344" i="3"/>
  <c r="AL344" i="3"/>
  <c r="AL326" i="3"/>
  <c r="BH326" i="3"/>
  <c r="AL306" i="3"/>
  <c r="BH288" i="3"/>
  <c r="AL288" i="3"/>
  <c r="BH317" i="3"/>
  <c r="AL317" i="3"/>
  <c r="BH299" i="3"/>
  <c r="AL299" i="3"/>
  <c r="AL237" i="3"/>
  <c r="BH237" i="3"/>
  <c r="AL256" i="3"/>
  <c r="AL168" i="3"/>
  <c r="BH199" i="3"/>
  <c r="AL199" i="3"/>
  <c r="AL113" i="3"/>
  <c r="BH113" i="3"/>
  <c r="AL97" i="3"/>
  <c r="AL136" i="3"/>
  <c r="BH136" i="3"/>
  <c r="BH44" i="3"/>
  <c r="AL44" i="3"/>
  <c r="BI487" i="3"/>
  <c r="BI595" i="3"/>
  <c r="BI502" i="3"/>
  <c r="BI493" i="3"/>
  <c r="BI802" i="3"/>
  <c r="BI130" i="3"/>
  <c r="BI693" i="3"/>
  <c r="BI96" i="3"/>
  <c r="BI324" i="3"/>
  <c r="BI228" i="3"/>
  <c r="AL404" i="3"/>
  <c r="BH404" i="3"/>
  <c r="AL260" i="3"/>
  <c r="BI819" i="3"/>
  <c r="BH998" i="3"/>
  <c r="AL998" i="3"/>
  <c r="BH872" i="3"/>
  <c r="AL872" i="3"/>
  <c r="BH897" i="3"/>
  <c r="AL897" i="3"/>
  <c r="BH990" i="3"/>
  <c r="AL990" i="3"/>
  <c r="BH954" i="3"/>
  <c r="AL954" i="3"/>
  <c r="BH936" i="3"/>
  <c r="AL936" i="3"/>
  <c r="BH900" i="3"/>
  <c r="AL900" i="3"/>
  <c r="BH864" i="3"/>
  <c r="AL864" i="3"/>
  <c r="BH997" i="3"/>
  <c r="AL997" i="3"/>
  <c r="BH961" i="3"/>
  <c r="AL961" i="3"/>
  <c r="BH925" i="3"/>
  <c r="AL925" i="3"/>
  <c r="BH907" i="3"/>
  <c r="AL907" i="3"/>
  <c r="BH871" i="3"/>
  <c r="AL871" i="3"/>
  <c r="BH836" i="3"/>
  <c r="AL836" i="3"/>
  <c r="BH841" i="3"/>
  <c r="AL841" i="3"/>
  <c r="BH805" i="3"/>
  <c r="AL805" i="3"/>
  <c r="BH771" i="3"/>
  <c r="AL771" i="3"/>
  <c r="BH753" i="3"/>
  <c r="AL753" i="3"/>
  <c r="BH717" i="3"/>
  <c r="AL717" i="3"/>
  <c r="BH792" i="3"/>
  <c r="AL792" i="3"/>
  <c r="AL746" i="3"/>
  <c r="AL734" i="3"/>
  <c r="AL710" i="3"/>
  <c r="AL687" i="3"/>
  <c r="AL663" i="3"/>
  <c r="AL639" i="3"/>
  <c r="AL615" i="3"/>
  <c r="AL591" i="3"/>
  <c r="AL567" i="3"/>
  <c r="AL666" i="3"/>
  <c r="AL642" i="3"/>
  <c r="AL630" i="3"/>
  <c r="AL598" i="3"/>
  <c r="BH598" i="3"/>
  <c r="AL534" i="3"/>
  <c r="AL486" i="3"/>
  <c r="AL543" i="3"/>
  <c r="AL758" i="3"/>
  <c r="AL614" i="3"/>
  <c r="AL596" i="3"/>
  <c r="BH596" i="3"/>
  <c r="AL566" i="3"/>
  <c r="AL548" i="3"/>
  <c r="BH548" i="3"/>
  <c r="AL518" i="3"/>
  <c r="AL500" i="3"/>
  <c r="BH500" i="3"/>
  <c r="AL557" i="3"/>
  <c r="BH557" i="3"/>
  <c r="AL509" i="3"/>
  <c r="BH509" i="3"/>
  <c r="BH461" i="3"/>
  <c r="AL461" i="3"/>
  <c r="AL428" i="3"/>
  <c r="AL399" i="3"/>
  <c r="BH266" i="3"/>
  <c r="AL266" i="3"/>
  <c r="AL335" i="3"/>
  <c r="BH335" i="3"/>
  <c r="BH235" i="3"/>
  <c r="AL235" i="3"/>
  <c r="BH254" i="3"/>
  <c r="AL254" i="3"/>
  <c r="AL202" i="3"/>
  <c r="BH202" i="3"/>
  <c r="AL184" i="3"/>
  <c r="AL181" i="3"/>
  <c r="AL39" i="3"/>
  <c r="BH39" i="3"/>
  <c r="AG13" i="3"/>
  <c r="BI907" i="3"/>
  <c r="BI427" i="3"/>
  <c r="BI458" i="3"/>
  <c r="BI909" i="3"/>
  <c r="BI499" i="3"/>
  <c r="BI524" i="3"/>
  <c r="BI729" i="3"/>
  <c r="BH456" i="3"/>
  <c r="AL456" i="3"/>
  <c r="AL157" i="3"/>
  <c r="BH157" i="3"/>
  <c r="AL988" i="3"/>
  <c r="AL934" i="3"/>
  <c r="AL880" i="3"/>
  <c r="AL862" i="3"/>
  <c r="AL844" i="3"/>
  <c r="AL995" i="3"/>
  <c r="AL977" i="3"/>
  <c r="AL959" i="3"/>
  <c r="AL941" i="3"/>
  <c r="AL923" i="3"/>
  <c r="AL905" i="3"/>
  <c r="AL887" i="3"/>
  <c r="AL869" i="3"/>
  <c r="AL851" i="3"/>
  <c r="AL834" i="3"/>
  <c r="AL816" i="3"/>
  <c r="AL839" i="3"/>
  <c r="AL821" i="3"/>
  <c r="AL803" i="3"/>
  <c r="AL787" i="3"/>
  <c r="AL769" i="3"/>
  <c r="AL751" i="3"/>
  <c r="AL733" i="3"/>
  <c r="AL715" i="3"/>
  <c r="AL697" i="3"/>
  <c r="AL790" i="3"/>
  <c r="AL772" i="3"/>
  <c r="AL744" i="3"/>
  <c r="AL732" i="3"/>
  <c r="AL720" i="3"/>
  <c r="AL708" i="3"/>
  <c r="AL696" i="3"/>
  <c r="AL685" i="3"/>
  <c r="AL673" i="3"/>
  <c r="AL661" i="3"/>
  <c r="AL649" i="3"/>
  <c r="AL637" i="3"/>
  <c r="AL625" i="3"/>
  <c r="AL613" i="3"/>
  <c r="AL601" i="3"/>
  <c r="AL589" i="3"/>
  <c r="AL577" i="3"/>
  <c r="AL565" i="3"/>
  <c r="AL676" i="3"/>
  <c r="AL664" i="3"/>
  <c r="AL652" i="3"/>
  <c r="AL640" i="3"/>
  <c r="AL628" i="3"/>
  <c r="AL612" i="3"/>
  <c r="BH612" i="3"/>
  <c r="AL580" i="3"/>
  <c r="AL564" i="3"/>
  <c r="BH564" i="3"/>
  <c r="AL532" i="3"/>
  <c r="AL516" i="3"/>
  <c r="BH516" i="3"/>
  <c r="AL484" i="3"/>
  <c r="AL468" i="3"/>
  <c r="BH468" i="3"/>
  <c r="AL541" i="3"/>
  <c r="AL525" i="3"/>
  <c r="BH525" i="3"/>
  <c r="AL493" i="3"/>
  <c r="AL477" i="3"/>
  <c r="BH477" i="3"/>
  <c r="AL459" i="3"/>
  <c r="BH459" i="3"/>
  <c r="AL446" i="3"/>
  <c r="AL410" i="3"/>
  <c r="AL390" i="3"/>
  <c r="BH390" i="3"/>
  <c r="BH433" i="3"/>
  <c r="AL433" i="3"/>
  <c r="AL415" i="3"/>
  <c r="BH358" i="3"/>
  <c r="AL358" i="3"/>
  <c r="BH340" i="3"/>
  <c r="AL340" i="3"/>
  <c r="AL324" i="3"/>
  <c r="AL304" i="3"/>
  <c r="BH351" i="3"/>
  <c r="AL351" i="3"/>
  <c r="AL315" i="3"/>
  <c r="AL251" i="3"/>
  <c r="BH251" i="3"/>
  <c r="BH200" i="3"/>
  <c r="AL200" i="3"/>
  <c r="BH182" i="3"/>
  <c r="AL182" i="3"/>
  <c r="AL215" i="3"/>
  <c r="BH215" i="3"/>
  <c r="AL197" i="3"/>
  <c r="BH127" i="3"/>
  <c r="AL127" i="3"/>
  <c r="AL111" i="3"/>
  <c r="AL95" i="3"/>
  <c r="AL134" i="3"/>
  <c r="BC59" i="3"/>
  <c r="AG59" i="3"/>
  <c r="BI667" i="3"/>
  <c r="BI491" i="3"/>
  <c r="BI858" i="3"/>
  <c r="BI234" i="3"/>
  <c r="BI989" i="3"/>
  <c r="BI579" i="3"/>
  <c r="BI662" i="3"/>
  <c r="BI703" i="3"/>
  <c r="BI480" i="3"/>
  <c r="BI147" i="3"/>
  <c r="BI299" i="3"/>
  <c r="AL754" i="3"/>
  <c r="AL576" i="3"/>
  <c r="BH576" i="3"/>
  <c r="BH442" i="3"/>
  <c r="AL442" i="3"/>
  <c r="AL1006" i="3"/>
  <c r="AL952" i="3"/>
  <c r="AL898" i="3"/>
  <c r="BH986" i="3"/>
  <c r="AL986" i="3"/>
  <c r="BH950" i="3"/>
  <c r="AL950" i="3"/>
  <c r="BH914" i="3"/>
  <c r="AL914" i="3"/>
  <c r="BH896" i="3"/>
  <c r="AL896" i="3"/>
  <c r="BH878" i="3"/>
  <c r="AL878" i="3"/>
  <c r="BH860" i="3"/>
  <c r="AL860" i="3"/>
  <c r="BH1011" i="3"/>
  <c r="AL1011" i="3"/>
  <c r="BH993" i="3"/>
  <c r="AL993" i="3"/>
  <c r="BH975" i="3"/>
  <c r="AL975" i="3"/>
  <c r="BH957" i="3"/>
  <c r="AL957" i="3"/>
  <c r="BH939" i="3"/>
  <c r="AL939" i="3"/>
  <c r="BH921" i="3"/>
  <c r="AL921" i="3"/>
  <c r="BH903" i="3"/>
  <c r="AL903" i="3"/>
  <c r="BH885" i="3"/>
  <c r="AL885" i="3"/>
  <c r="BH867" i="3"/>
  <c r="AL867" i="3"/>
  <c r="BH849" i="3"/>
  <c r="AL849" i="3"/>
  <c r="BH832" i="3"/>
  <c r="AL832" i="3"/>
  <c r="BH814" i="3"/>
  <c r="AL814" i="3"/>
  <c r="BH837" i="3"/>
  <c r="AL837" i="3"/>
  <c r="BH819" i="3"/>
  <c r="AL819" i="3"/>
  <c r="BH801" i="3"/>
  <c r="AL801" i="3"/>
  <c r="BH785" i="3"/>
  <c r="AL785" i="3"/>
  <c r="BH767" i="3"/>
  <c r="AL767" i="3"/>
  <c r="BH749" i="3"/>
  <c r="AL749" i="3"/>
  <c r="BH731" i="3"/>
  <c r="AL731" i="3"/>
  <c r="BH713" i="3"/>
  <c r="AL713" i="3"/>
  <c r="BH695" i="3"/>
  <c r="AL695" i="3"/>
  <c r="BH788" i="3"/>
  <c r="AL788" i="3"/>
  <c r="BH770" i="3"/>
  <c r="AL770" i="3"/>
  <c r="AL756" i="3"/>
  <c r="AL610" i="3"/>
  <c r="BH610" i="3"/>
  <c r="AL594" i="3"/>
  <c r="AL562" i="3"/>
  <c r="BH562" i="3"/>
  <c r="AL546" i="3"/>
  <c r="AL514" i="3"/>
  <c r="BH514" i="3"/>
  <c r="AL498" i="3"/>
  <c r="AL466" i="3"/>
  <c r="BH466" i="3"/>
  <c r="AL555" i="3"/>
  <c r="AL523" i="3"/>
  <c r="BH523" i="3"/>
  <c r="AL507" i="3"/>
  <c r="AL475" i="3"/>
  <c r="BH475" i="3"/>
  <c r="BH457" i="3"/>
  <c r="AL457" i="3"/>
  <c r="AL426" i="3"/>
  <c r="BH408" i="3"/>
  <c r="AL408" i="3"/>
  <c r="BH431" i="3"/>
  <c r="AL431" i="3"/>
  <c r="BH413" i="3"/>
  <c r="AL413" i="3"/>
  <c r="BH395" i="3"/>
  <c r="AL395" i="3"/>
  <c r="BH338" i="3"/>
  <c r="AL338" i="3"/>
  <c r="BH322" i="3"/>
  <c r="AL322" i="3"/>
  <c r="AL282" i="3"/>
  <c r="BH282" i="3"/>
  <c r="BH262" i="3"/>
  <c r="AL262" i="3"/>
  <c r="BH349" i="3"/>
  <c r="AL349" i="3"/>
  <c r="AL333" i="3"/>
  <c r="AL233" i="3"/>
  <c r="AL216" i="3"/>
  <c r="BH216" i="3"/>
  <c r="BH213" i="3"/>
  <c r="AL213" i="3"/>
  <c r="BH195" i="3"/>
  <c r="AL195" i="3"/>
  <c r="AL143" i="3"/>
  <c r="BH143" i="3"/>
  <c r="AL17" i="3"/>
  <c r="AL96" i="3"/>
  <c r="BH96" i="3"/>
  <c r="BI971" i="3"/>
  <c r="BI494" i="3"/>
  <c r="BI775" i="3"/>
  <c r="BI218" i="3"/>
  <c r="BI541" i="3"/>
  <c r="BI783" i="3"/>
  <c r="BI866" i="3"/>
  <c r="BI553" i="3"/>
  <c r="AL489" i="3"/>
  <c r="BH489" i="3"/>
  <c r="AL409" i="3"/>
  <c r="BH409" i="3"/>
  <c r="AL230" i="3"/>
  <c r="BH230" i="3"/>
  <c r="AL970" i="3"/>
  <c r="AL916" i="3"/>
  <c r="BH1004" i="3"/>
  <c r="AL1004" i="3"/>
  <c r="BH968" i="3"/>
  <c r="AL968" i="3"/>
  <c r="BH932" i="3"/>
  <c r="AL932" i="3"/>
  <c r="BH1002" i="3"/>
  <c r="AL1002" i="3"/>
  <c r="BH984" i="3"/>
  <c r="AL984" i="3"/>
  <c r="BH966" i="3"/>
  <c r="AL966" i="3"/>
  <c r="BH948" i="3"/>
  <c r="AL948" i="3"/>
  <c r="BH930" i="3"/>
  <c r="AL930" i="3"/>
  <c r="BH912" i="3"/>
  <c r="AL912" i="3"/>
  <c r="BH894" i="3"/>
  <c r="AL894" i="3"/>
  <c r="BH876" i="3"/>
  <c r="AL876" i="3"/>
  <c r="BH858" i="3"/>
  <c r="AL858" i="3"/>
  <c r="BH1009" i="3"/>
  <c r="AL1009" i="3"/>
  <c r="BH991" i="3"/>
  <c r="AL991" i="3"/>
  <c r="BH973" i="3"/>
  <c r="AL973" i="3"/>
  <c r="BH955" i="3"/>
  <c r="AL955" i="3"/>
  <c r="BH937" i="3"/>
  <c r="AL937" i="3"/>
  <c r="BH919" i="3"/>
  <c r="AL919" i="3"/>
  <c r="BH901" i="3"/>
  <c r="AL901" i="3"/>
  <c r="BH883" i="3"/>
  <c r="AL883" i="3"/>
  <c r="BH865" i="3"/>
  <c r="AL865" i="3"/>
  <c r="BH847" i="3"/>
  <c r="AL847" i="3"/>
  <c r="BH830" i="3"/>
  <c r="AL830" i="3"/>
  <c r="BH812" i="3"/>
  <c r="AL812" i="3"/>
  <c r="BH835" i="3"/>
  <c r="AL835" i="3"/>
  <c r="BH817" i="3"/>
  <c r="AL817" i="3"/>
  <c r="BH800" i="3"/>
  <c r="AL800" i="3"/>
  <c r="BH783" i="3"/>
  <c r="AL783" i="3"/>
  <c r="BH765" i="3"/>
  <c r="AL765" i="3"/>
  <c r="BH747" i="3"/>
  <c r="AL747" i="3"/>
  <c r="BH729" i="3"/>
  <c r="AL729" i="3"/>
  <c r="BH711" i="3"/>
  <c r="AL711" i="3"/>
  <c r="BH693" i="3"/>
  <c r="AL693" i="3"/>
  <c r="BH786" i="3"/>
  <c r="AL786" i="3"/>
  <c r="BH768" i="3"/>
  <c r="AL768" i="3"/>
  <c r="BH754" i="3"/>
  <c r="AL742" i="3"/>
  <c r="AL730" i="3"/>
  <c r="AL718" i="3"/>
  <c r="AL706" i="3"/>
  <c r="AL694" i="3"/>
  <c r="AL683" i="3"/>
  <c r="AL671" i="3"/>
  <c r="AL659" i="3"/>
  <c r="AL647" i="3"/>
  <c r="AL635" i="3"/>
  <c r="AL623" i="3"/>
  <c r="AL611" i="3"/>
  <c r="AL599" i="3"/>
  <c r="AL587" i="3"/>
  <c r="AL575" i="3"/>
  <c r="AL686" i="3"/>
  <c r="AL674" i="3"/>
  <c r="AL662" i="3"/>
  <c r="AL650" i="3"/>
  <c r="AL638" i="3"/>
  <c r="AL626" i="3"/>
  <c r="AL608" i="3"/>
  <c r="BH608" i="3"/>
  <c r="BH592" i="3"/>
  <c r="AL578" i="3"/>
  <c r="AL560" i="3"/>
  <c r="BH560" i="3"/>
  <c r="BH544" i="3"/>
  <c r="AL530" i="3"/>
  <c r="AL512" i="3"/>
  <c r="BH512" i="3"/>
  <c r="BH496" i="3"/>
  <c r="AL464" i="3"/>
  <c r="BH464" i="3"/>
  <c r="BH553" i="3"/>
  <c r="AL521" i="3"/>
  <c r="BH521" i="3"/>
  <c r="BH505" i="3"/>
  <c r="AL473" i="3"/>
  <c r="BH473" i="3"/>
  <c r="BH455" i="3"/>
  <c r="AL455" i="3"/>
  <c r="AL444" i="3"/>
  <c r="BH424" i="3"/>
  <c r="BH386" i="3"/>
  <c r="AL386" i="3"/>
  <c r="AL449" i="3"/>
  <c r="BH449" i="3"/>
  <c r="BH429" i="3"/>
  <c r="BH354" i="3"/>
  <c r="BH336" i="3"/>
  <c r="BH320" i="3"/>
  <c r="AL320" i="3"/>
  <c r="BH260" i="3"/>
  <c r="BH347" i="3"/>
  <c r="BH331" i="3"/>
  <c r="AL273" i="3"/>
  <c r="BH273" i="3"/>
  <c r="AL249" i="3"/>
  <c r="BH214" i="3"/>
  <c r="AL198" i="3"/>
  <c r="AL261" i="3"/>
  <c r="BH261" i="3"/>
  <c r="BH211" i="3"/>
  <c r="BH141" i="3"/>
  <c r="AL141" i="3"/>
  <c r="AL125" i="3"/>
  <c r="AL109" i="3"/>
  <c r="AL53" i="3"/>
  <c r="BH53" i="3"/>
  <c r="AL35" i="3"/>
  <c r="BC24" i="3"/>
  <c r="BI731" i="3"/>
  <c r="BI746" i="3"/>
  <c r="BI657" i="3"/>
  <c r="BI863" i="3"/>
  <c r="BI505" i="3"/>
  <c r="BI311" i="3"/>
  <c r="BH94" i="3"/>
  <c r="AL94" i="3"/>
  <c r="BH34" i="3"/>
  <c r="AL34" i="3"/>
  <c r="BI966" i="3"/>
  <c r="BI126" i="3"/>
  <c r="BI839" i="3"/>
  <c r="BI551" i="3"/>
  <c r="BI570" i="3"/>
  <c r="BI282" i="3"/>
  <c r="BI641" i="3"/>
  <c r="BI829" i="3"/>
  <c r="BI435" i="3"/>
  <c r="BI806" i="3"/>
  <c r="BI582" i="3"/>
  <c r="BI422" i="3"/>
  <c r="BI278" i="3"/>
  <c r="BI198" i="3"/>
  <c r="BI781" i="3"/>
  <c r="BI429" i="3"/>
  <c r="BI927" i="3"/>
  <c r="BI479" i="3"/>
  <c r="BI418" i="3"/>
  <c r="BI953" i="3"/>
  <c r="BI873" i="3"/>
  <c r="BI613" i="3"/>
  <c r="BI713" i="3"/>
  <c r="BI285" i="3"/>
  <c r="BI125" i="3"/>
  <c r="BI544" i="3"/>
  <c r="BI352" i="3"/>
  <c r="BI288" i="3"/>
  <c r="BI908" i="3"/>
  <c r="BI828" i="3"/>
  <c r="BI684" i="3"/>
  <c r="BI604" i="3"/>
  <c r="BI300" i="3"/>
  <c r="BI156" i="3"/>
  <c r="BI441" i="3"/>
  <c r="BI984" i="3"/>
  <c r="BI584" i="3"/>
  <c r="BI392" i="3"/>
  <c r="BI117" i="3"/>
  <c r="BI868" i="3"/>
  <c r="BI644" i="3"/>
  <c r="BI404" i="3"/>
  <c r="BI84" i="3"/>
  <c r="BI321" i="3"/>
  <c r="BI98" i="3"/>
  <c r="BI53" i="3"/>
  <c r="BI97" i="3"/>
  <c r="BI219" i="3"/>
  <c r="BI91" i="3"/>
  <c r="BI930" i="3"/>
  <c r="BI722" i="3"/>
  <c r="BI562" i="3"/>
  <c r="BI338" i="3"/>
  <c r="BI194" i="3"/>
  <c r="BI917" i="3"/>
  <c r="BI389" i="3"/>
  <c r="BI848" i="3"/>
  <c r="BI784" i="3"/>
  <c r="BI656" i="3"/>
  <c r="BI211" i="3"/>
  <c r="BI748" i="3"/>
  <c r="BI444" i="3"/>
  <c r="BI92" i="3"/>
  <c r="BI776" i="3"/>
  <c r="BI648" i="3"/>
  <c r="BI456" i="3"/>
  <c r="BI248" i="3"/>
  <c r="BI309" i="3"/>
  <c r="BI948" i="3"/>
  <c r="BI772" i="3"/>
  <c r="BI532" i="3"/>
  <c r="BI308" i="3"/>
  <c r="BI40" i="3"/>
  <c r="BI177" i="3"/>
  <c r="BI375" i="3"/>
  <c r="BI231" i="3"/>
  <c r="BI151" i="3"/>
  <c r="BI55" i="3"/>
  <c r="BI187" i="3"/>
  <c r="BI41" i="3"/>
  <c r="BI33" i="3"/>
  <c r="BI383" i="3"/>
  <c r="BI599" i="3"/>
  <c r="BI906" i="3"/>
  <c r="BI618" i="3"/>
  <c r="BI330" i="3"/>
  <c r="BI769" i="3"/>
  <c r="BI625" i="3"/>
  <c r="BI947" i="3"/>
  <c r="BI566" i="3"/>
  <c r="BI486" i="3"/>
  <c r="BI182" i="3"/>
  <c r="BI765" i="3"/>
  <c r="BI1010" i="3"/>
  <c r="BI413" i="3"/>
  <c r="BI543" i="3"/>
  <c r="BI399" i="3"/>
  <c r="BI114" i="3"/>
  <c r="BI937" i="3"/>
  <c r="BI857" i="3"/>
  <c r="BI757" i="3"/>
  <c r="BI677" i="3"/>
  <c r="BI517" i="3"/>
  <c r="BI349" i="3"/>
  <c r="BI269" i="3"/>
  <c r="BI189" i="3"/>
  <c r="BI976" i="3"/>
  <c r="BI912" i="3"/>
  <c r="BI592" i="3"/>
  <c r="BI464" i="3"/>
  <c r="BI400" i="3"/>
  <c r="BI208" i="3"/>
  <c r="BI144" i="3"/>
  <c r="BI339" i="3"/>
  <c r="BI275" i="3"/>
  <c r="BI131" i="3"/>
  <c r="BI972" i="3"/>
  <c r="BI588" i="3"/>
  <c r="BI508" i="3"/>
  <c r="BI220" i="3"/>
  <c r="BI681" i="3"/>
  <c r="BI249" i="3"/>
  <c r="BI121" i="3"/>
  <c r="BI968" i="3"/>
  <c r="BI840" i="3"/>
  <c r="BI712" i="3"/>
  <c r="BI504" i="3"/>
  <c r="BI184" i="3"/>
  <c r="BI513" i="3"/>
  <c r="BI379" i="3"/>
  <c r="BI283" i="3"/>
  <c r="BI1012" i="3"/>
  <c r="BI852" i="3"/>
  <c r="BI628" i="3"/>
  <c r="BI212" i="3"/>
  <c r="BI305" i="3"/>
  <c r="BI367" i="3"/>
  <c r="BI143" i="3"/>
  <c r="BI37" i="3"/>
  <c r="BI47" i="3"/>
  <c r="BI107" i="3"/>
  <c r="BI823" i="3"/>
  <c r="BI711" i="3"/>
  <c r="BI535" i="3"/>
  <c r="BI423" i="3"/>
  <c r="BI842" i="3"/>
  <c r="BI730" i="3"/>
  <c r="BI554" i="3"/>
  <c r="BI442" i="3"/>
  <c r="BI266" i="3"/>
  <c r="BI154" i="3"/>
  <c r="BI561" i="3"/>
  <c r="BI973" i="3"/>
  <c r="BI893" i="3"/>
  <c r="BI1011" i="3"/>
  <c r="BI787" i="3"/>
  <c r="BI643" i="3"/>
  <c r="BI419" i="3"/>
  <c r="BI950" i="3"/>
  <c r="BI870" i="3"/>
  <c r="BI790" i="3"/>
  <c r="BI646" i="3"/>
  <c r="BI262" i="3"/>
  <c r="BI669" i="3"/>
  <c r="BI911" i="3"/>
  <c r="BI687" i="3"/>
  <c r="BI623" i="3"/>
  <c r="BI850" i="3"/>
  <c r="BI786" i="3"/>
  <c r="BI706" i="3"/>
  <c r="BI626" i="3"/>
  <c r="BI482" i="3"/>
  <c r="BI322" i="3"/>
  <c r="BI258" i="3"/>
  <c r="BI178" i="3"/>
  <c r="BI981" i="3"/>
  <c r="BI901" i="3"/>
  <c r="BI821" i="3"/>
  <c r="BI741" i="3"/>
  <c r="BI597" i="3"/>
  <c r="BI453" i="3"/>
  <c r="BI373" i="3"/>
  <c r="BI528" i="3"/>
  <c r="BI336" i="3"/>
  <c r="BI272" i="3"/>
  <c r="BI892" i="3"/>
  <c r="BI812" i="3"/>
  <c r="BI732" i="3"/>
  <c r="BI668" i="3"/>
  <c r="BI284" i="3"/>
  <c r="BI140" i="3"/>
  <c r="BI313" i="3"/>
  <c r="BI457" i="3"/>
  <c r="BI904" i="3"/>
  <c r="BI632" i="3"/>
  <c r="BI440" i="3"/>
  <c r="BI312" i="3"/>
  <c r="BI120" i="3"/>
  <c r="BI473" i="3"/>
  <c r="BI165" i="3"/>
  <c r="BI363" i="3"/>
  <c r="BI516" i="3"/>
  <c r="BI452" i="3"/>
  <c r="BI388" i="3"/>
  <c r="BI292" i="3"/>
  <c r="BI132" i="3"/>
  <c r="BI24" i="3"/>
  <c r="BI241" i="3"/>
  <c r="BI161" i="3"/>
  <c r="BI359" i="3"/>
  <c r="BI295" i="3"/>
  <c r="BI135" i="3"/>
  <c r="BI39" i="3"/>
  <c r="BI175" i="3"/>
  <c r="BI29" i="3"/>
  <c r="BI235" i="3"/>
  <c r="AL506" i="3"/>
  <c r="AL494" i="3"/>
  <c r="AL482" i="3"/>
  <c r="AL470" i="3"/>
  <c r="AL563" i="3"/>
  <c r="AL551" i="3"/>
  <c r="AL539" i="3"/>
  <c r="AL527" i="3"/>
  <c r="AL515" i="3"/>
  <c r="AL503" i="3"/>
  <c r="AL491" i="3"/>
  <c r="AL479" i="3"/>
  <c r="AL467" i="3"/>
  <c r="BH438" i="3"/>
  <c r="AL438" i="3"/>
  <c r="BH406" i="3"/>
  <c r="AL406" i="3"/>
  <c r="BH392" i="3"/>
  <c r="AL392" i="3"/>
  <c r="BH362" i="3"/>
  <c r="AL362" i="3"/>
  <c r="BH443" i="3"/>
  <c r="AL443" i="3"/>
  <c r="AL427" i="3"/>
  <c r="BH411" i="3"/>
  <c r="AL411" i="3"/>
  <c r="BH365" i="3"/>
  <c r="AL365" i="3"/>
  <c r="AL350" i="3"/>
  <c r="BH318" i="3"/>
  <c r="AL318" i="3"/>
  <c r="BH286" i="3"/>
  <c r="AL286" i="3"/>
  <c r="BH272" i="3"/>
  <c r="AL272" i="3"/>
  <c r="BH343" i="3"/>
  <c r="AL343" i="3"/>
  <c r="BH329" i="3"/>
  <c r="AL329" i="3"/>
  <c r="AL313" i="3"/>
  <c r="BH297" i="3"/>
  <c r="AL297" i="3"/>
  <c r="AL245" i="3"/>
  <c r="AL231" i="3"/>
  <c r="BH252" i="3"/>
  <c r="AL252" i="3"/>
  <c r="AL210" i="3"/>
  <c r="AL196" i="3"/>
  <c r="BH180" i="3"/>
  <c r="AL180" i="3"/>
  <c r="AL223" i="3"/>
  <c r="AL209" i="3"/>
  <c r="BH193" i="3"/>
  <c r="AL193" i="3"/>
  <c r="BH93" i="3"/>
  <c r="AL93" i="3"/>
  <c r="BH43" i="3"/>
  <c r="AL43" i="3"/>
  <c r="AL29" i="3"/>
  <c r="AL15" i="3"/>
  <c r="BH118" i="3"/>
  <c r="AL118" i="3"/>
  <c r="AG46" i="3"/>
  <c r="AG44" i="3"/>
  <c r="AG31" i="3"/>
  <c r="AG41" i="3"/>
  <c r="BC47" i="3"/>
  <c r="BI955" i="3"/>
  <c r="BI891" i="3"/>
  <c r="BI827" i="3"/>
  <c r="BI715" i="3"/>
  <c r="BI651" i="3"/>
  <c r="BI475" i="3"/>
  <c r="BI830" i="3"/>
  <c r="BI702" i="3"/>
  <c r="BI414" i="3"/>
  <c r="BI222" i="3"/>
  <c r="BI110" i="3"/>
  <c r="BI945" i="3"/>
  <c r="BI881" i="3"/>
  <c r="BI999" i="3"/>
  <c r="BI935" i="3"/>
  <c r="BI647" i="3"/>
  <c r="BI958" i="3"/>
  <c r="BI378" i="3"/>
  <c r="BI705" i="3"/>
  <c r="BI867" i="3"/>
  <c r="BI707" i="3"/>
  <c r="BI563" i="3"/>
  <c r="BI483" i="3"/>
  <c r="BI710" i="3"/>
  <c r="BI406" i="3"/>
  <c r="BI342" i="3"/>
  <c r="BI749" i="3"/>
  <c r="BI589" i="3"/>
  <c r="BI477" i="3"/>
  <c r="BI397" i="3"/>
  <c r="BI975" i="3"/>
  <c r="BI831" i="3"/>
  <c r="BI751" i="3"/>
  <c r="BI671" i="3"/>
  <c r="BI527" i="3"/>
  <c r="BI463" i="3"/>
  <c r="BI546" i="3"/>
  <c r="BI402" i="3"/>
  <c r="BI242" i="3"/>
  <c r="BI1001" i="3"/>
  <c r="BI501" i="3"/>
  <c r="BI665" i="3"/>
  <c r="BI465" i="3"/>
  <c r="BI333" i="3"/>
  <c r="BI173" i="3"/>
  <c r="BI109" i="3"/>
  <c r="BI896" i="3"/>
  <c r="BI768" i="3"/>
  <c r="BI704" i="3"/>
  <c r="BI448" i="3"/>
  <c r="BI259" i="3"/>
  <c r="BI195" i="3"/>
  <c r="BI115" i="3"/>
  <c r="BI481" i="3"/>
  <c r="BI492" i="3"/>
  <c r="BI364" i="3"/>
  <c r="BI204" i="3"/>
  <c r="BI633" i="3"/>
  <c r="BI105" i="3"/>
  <c r="BI824" i="3"/>
  <c r="BI696" i="3"/>
  <c r="BI568" i="3"/>
  <c r="BI376" i="3"/>
  <c r="BI232" i="3"/>
  <c r="BI377" i="3"/>
  <c r="BI293" i="3"/>
  <c r="BI932" i="3"/>
  <c r="BI836" i="3"/>
  <c r="BI756" i="3"/>
  <c r="BI692" i="3"/>
  <c r="BI612" i="3"/>
  <c r="BI196" i="3"/>
  <c r="BI215" i="3"/>
  <c r="BI319" i="3"/>
  <c r="BI82" i="3"/>
  <c r="BI139" i="3"/>
  <c r="BI93" i="3"/>
  <c r="BI70" i="3"/>
  <c r="AL452" i="3"/>
  <c r="AL422" i="3"/>
  <c r="AL376" i="3"/>
  <c r="BH360" i="3"/>
  <c r="AL360" i="3"/>
  <c r="AL397" i="3"/>
  <c r="AL379" i="3"/>
  <c r="AL332" i="3"/>
  <c r="AL302" i="3"/>
  <c r="AL359" i="3"/>
  <c r="BH341" i="3"/>
  <c r="AL341" i="3"/>
  <c r="AL283" i="3"/>
  <c r="AL257" i="3"/>
  <c r="AL238" i="3"/>
  <c r="AL222" i="3"/>
  <c r="AL166" i="3"/>
  <c r="AL150" i="3"/>
  <c r="AL179" i="3"/>
  <c r="AL163" i="3"/>
  <c r="AL149" i="3"/>
  <c r="AL135" i="3"/>
  <c r="AL121" i="3"/>
  <c r="AL107" i="3"/>
  <c r="BH91" i="3"/>
  <c r="AL91" i="3"/>
  <c r="AL13" i="3"/>
  <c r="AL132" i="3"/>
  <c r="BH116" i="3"/>
  <c r="AL116" i="3"/>
  <c r="AL102" i="3"/>
  <c r="AL88" i="3"/>
  <c r="AL42" i="3"/>
  <c r="AL14" i="3"/>
  <c r="BC32" i="3"/>
  <c r="AG30" i="3"/>
  <c r="BI1003" i="3"/>
  <c r="BI587" i="3"/>
  <c r="BI459" i="3"/>
  <c r="BI411" i="3"/>
  <c r="BI942" i="3"/>
  <c r="BI814" i="3"/>
  <c r="BI766" i="3"/>
  <c r="BI638" i="3"/>
  <c r="BI871" i="3"/>
  <c r="BI759" i="3"/>
  <c r="BI583" i="3"/>
  <c r="BI471" i="3"/>
  <c r="BI890" i="3"/>
  <c r="BI778" i="3"/>
  <c r="BI602" i="3"/>
  <c r="BI490" i="3"/>
  <c r="BI314" i="3"/>
  <c r="BI609" i="3"/>
  <c r="BI877" i="3"/>
  <c r="BI931" i="3"/>
  <c r="BI774" i="3"/>
  <c r="BI630" i="3"/>
  <c r="BI550" i="3"/>
  <c r="BI326" i="3"/>
  <c r="BI246" i="3"/>
  <c r="BI166" i="3"/>
  <c r="BI653" i="3"/>
  <c r="BI974" i="3"/>
  <c r="BI607" i="3"/>
  <c r="BI914" i="3"/>
  <c r="BI770" i="3"/>
  <c r="BI610" i="3"/>
  <c r="BI466" i="3"/>
  <c r="BI306" i="3"/>
  <c r="BI921" i="3"/>
  <c r="BI1002" i="3"/>
  <c r="BI885" i="3"/>
  <c r="BI661" i="3"/>
  <c r="BI425" i="3"/>
  <c r="BI253" i="3"/>
  <c r="BI960" i="3"/>
  <c r="BI832" i="3"/>
  <c r="BI192" i="3"/>
  <c r="BI385" i="3"/>
  <c r="BI956" i="3"/>
  <c r="BI876" i="3"/>
  <c r="BI796" i="3"/>
  <c r="BI652" i="3"/>
  <c r="BI428" i="3"/>
  <c r="BI348" i="3"/>
  <c r="BI497" i="3"/>
  <c r="BI297" i="3"/>
  <c r="BI233" i="3"/>
  <c r="BI361" i="3"/>
  <c r="BI760" i="3"/>
  <c r="BI552" i="3"/>
  <c r="BI488" i="3"/>
  <c r="BI296" i="3"/>
  <c r="BI104" i="3"/>
  <c r="BI229" i="3"/>
  <c r="BI44" i="3"/>
  <c r="BI347" i="3"/>
  <c r="BI267" i="3"/>
  <c r="BI372" i="3"/>
  <c r="BI276" i="3"/>
  <c r="BI841" i="3"/>
  <c r="BI225" i="3"/>
  <c r="BI145" i="3"/>
  <c r="BI119" i="3"/>
  <c r="BI123" i="3"/>
  <c r="BI89" i="3"/>
  <c r="BI335" i="3"/>
  <c r="BI94" i="3"/>
  <c r="BI351" i="3"/>
  <c r="BI102" i="3"/>
  <c r="AL348" i="3"/>
  <c r="AL316" i="3"/>
  <c r="AL284" i="3"/>
  <c r="AL270" i="3"/>
  <c r="AL327" i="3"/>
  <c r="AL311" i="3"/>
  <c r="AL295" i="3"/>
  <c r="BH281" i="3"/>
  <c r="AL281" i="3"/>
  <c r="AL243" i="3"/>
  <c r="AL229" i="3"/>
  <c r="AL250" i="3"/>
  <c r="BH236" i="3"/>
  <c r="AL236" i="3"/>
  <c r="AL208" i="3"/>
  <c r="AL194" i="3"/>
  <c r="AL178" i="3"/>
  <c r="BH164" i="3"/>
  <c r="AL164" i="3"/>
  <c r="AL221" i="3"/>
  <c r="AL207" i="3"/>
  <c r="AL191" i="3"/>
  <c r="BH177" i="3"/>
  <c r="AL177" i="3"/>
  <c r="BH105" i="3"/>
  <c r="AL105" i="3"/>
  <c r="BH55" i="3"/>
  <c r="AL55" i="3"/>
  <c r="AL41" i="3"/>
  <c r="BH130" i="3"/>
  <c r="AL130" i="3"/>
  <c r="BI523" i="3"/>
  <c r="BI395" i="3"/>
  <c r="BI750" i="3"/>
  <c r="BI334" i="3"/>
  <c r="BI695" i="3"/>
  <c r="BI407" i="3"/>
  <c r="BI714" i="3"/>
  <c r="BI426" i="3"/>
  <c r="BI138" i="3"/>
  <c r="BI689" i="3"/>
  <c r="BI851" i="3"/>
  <c r="BI691" i="3"/>
  <c r="BI547" i="3"/>
  <c r="BI467" i="3"/>
  <c r="BI934" i="3"/>
  <c r="BI390" i="3"/>
  <c r="BI461" i="3"/>
  <c r="BI959" i="3"/>
  <c r="BI815" i="3"/>
  <c r="BI735" i="3"/>
  <c r="BI447" i="3"/>
  <c r="BI834" i="3"/>
  <c r="BI690" i="3"/>
  <c r="BI530" i="3"/>
  <c r="BI386" i="3"/>
  <c r="BI965" i="3"/>
  <c r="BI805" i="3"/>
  <c r="BI581" i="3"/>
  <c r="BI437" i="3"/>
  <c r="BI617" i="3"/>
  <c r="BI317" i="3"/>
  <c r="BI752" i="3"/>
  <c r="BI256" i="3"/>
  <c r="BI179" i="3"/>
  <c r="BI268" i="3"/>
  <c r="BI825" i="3"/>
  <c r="BI888" i="3"/>
  <c r="BI680" i="3"/>
  <c r="BI649" i="3"/>
  <c r="BI149" i="3"/>
  <c r="BI916" i="3"/>
  <c r="BI820" i="3"/>
  <c r="BI596" i="3"/>
  <c r="BI500" i="3"/>
  <c r="BI436" i="3"/>
  <c r="BI180" i="3"/>
  <c r="BI449" i="3"/>
  <c r="BI279" i="3"/>
  <c r="BI271" i="3"/>
  <c r="BI101" i="3"/>
  <c r="BI95" i="3"/>
  <c r="BI191" i="3"/>
  <c r="BH463" i="3"/>
  <c r="AL463" i="3"/>
  <c r="AL450" i="3"/>
  <c r="BH434" i="3"/>
  <c r="AL434" i="3"/>
  <c r="AL420" i="3"/>
  <c r="BH388" i="3"/>
  <c r="AL388" i="3"/>
  <c r="AL374" i="3"/>
  <c r="AL458" i="3"/>
  <c r="BH439" i="3"/>
  <c r="AL439" i="3"/>
  <c r="BH407" i="3"/>
  <c r="AL407" i="3"/>
  <c r="BH393" i="3"/>
  <c r="AL393" i="3"/>
  <c r="AL377" i="3"/>
  <c r="BH361" i="3"/>
  <c r="AL361" i="3"/>
  <c r="BH346" i="3"/>
  <c r="AL346" i="3"/>
  <c r="AL330" i="3"/>
  <c r="BH314" i="3"/>
  <c r="AL314" i="3"/>
  <c r="AL300" i="3"/>
  <c r="BH268" i="3"/>
  <c r="AL268" i="3"/>
  <c r="AL357" i="3"/>
  <c r="AL339" i="3"/>
  <c r="BH325" i="3"/>
  <c r="AL325" i="3"/>
  <c r="BH293" i="3"/>
  <c r="AL293" i="3"/>
  <c r="BH279" i="3"/>
  <c r="AL279" i="3"/>
  <c r="AL255" i="3"/>
  <c r="BH241" i="3"/>
  <c r="AL241" i="3"/>
  <c r="BH248" i="3"/>
  <c r="AL248" i="3"/>
  <c r="BH234" i="3"/>
  <c r="AL234" i="3"/>
  <c r="AL220" i="3"/>
  <c r="BH206" i="3"/>
  <c r="AL206" i="3"/>
  <c r="BH176" i="3"/>
  <c r="AL176" i="3"/>
  <c r="BH162" i="3"/>
  <c r="AL162" i="3"/>
  <c r="AL148" i="3"/>
  <c r="BH219" i="3"/>
  <c r="AL219" i="3"/>
  <c r="BH189" i="3"/>
  <c r="AL189" i="3"/>
  <c r="BH175" i="3"/>
  <c r="AL175" i="3"/>
  <c r="AL161" i="3"/>
  <c r="AL147" i="3"/>
  <c r="AL133" i="3"/>
  <c r="AL119" i="3"/>
  <c r="BH103" i="3"/>
  <c r="AL103" i="3"/>
  <c r="AL89" i="3"/>
  <c r="AL144" i="3"/>
  <c r="BH128" i="3"/>
  <c r="AL128" i="3"/>
  <c r="AL114" i="3"/>
  <c r="AL100" i="3"/>
  <c r="AL86" i="3"/>
  <c r="AL54" i="3"/>
  <c r="AL40" i="3"/>
  <c r="AL26" i="3"/>
  <c r="BI939" i="3"/>
  <c r="BI875" i="3"/>
  <c r="BI811" i="3"/>
  <c r="BI699" i="3"/>
  <c r="BI635" i="3"/>
  <c r="BI878" i="3"/>
  <c r="BI398" i="3"/>
  <c r="BI270" i="3"/>
  <c r="BI929" i="3"/>
  <c r="BI983" i="3"/>
  <c r="BI919" i="3"/>
  <c r="BI807" i="3"/>
  <c r="BI631" i="3"/>
  <c r="BI519" i="3"/>
  <c r="BI938" i="3"/>
  <c r="BI826" i="3"/>
  <c r="BI650" i="3"/>
  <c r="BI538" i="3"/>
  <c r="BI362" i="3"/>
  <c r="BI250" i="3"/>
  <c r="BI801" i="3"/>
  <c r="BI753" i="3"/>
  <c r="BI673" i="3"/>
  <c r="BI627" i="3"/>
  <c r="BI614" i="3"/>
  <c r="BI534" i="3"/>
  <c r="BI454" i="3"/>
  <c r="BI230" i="3"/>
  <c r="BI733" i="3"/>
  <c r="BI573" i="3"/>
  <c r="BI381" i="3"/>
  <c r="BI895" i="3"/>
  <c r="BI591" i="3"/>
  <c r="BI898" i="3"/>
  <c r="BI754" i="3"/>
  <c r="BI226" i="3"/>
  <c r="BI162" i="3"/>
  <c r="BI905" i="3"/>
  <c r="BI645" i="3"/>
  <c r="BI565" i="3"/>
  <c r="BI237" i="3"/>
  <c r="BI157" i="3"/>
  <c r="BI1008" i="3"/>
  <c r="BI944" i="3"/>
  <c r="BI432" i="3"/>
  <c r="BI368" i="3"/>
  <c r="BI36" i="3"/>
  <c r="BI243" i="3"/>
  <c r="BI99" i="3"/>
  <c r="BI940" i="3"/>
  <c r="BI780" i="3"/>
  <c r="BI716" i="3"/>
  <c r="BI636" i="3"/>
  <c r="BI556" i="3"/>
  <c r="BI476" i="3"/>
  <c r="BI412" i="3"/>
  <c r="BI332" i="3"/>
  <c r="BI188" i="3"/>
  <c r="BI585" i="3"/>
  <c r="BI401" i="3"/>
  <c r="BI153" i="3"/>
  <c r="BI616" i="3"/>
  <c r="BI536" i="3"/>
  <c r="BI424" i="3"/>
  <c r="BI360" i="3"/>
  <c r="BI601" i="3"/>
  <c r="BI341" i="3"/>
  <c r="BI213" i="3"/>
  <c r="BI331" i="3"/>
  <c r="BI740" i="3"/>
  <c r="BI676" i="3"/>
  <c r="BI260" i="3"/>
  <c r="BI116" i="3"/>
  <c r="BI353" i="3"/>
  <c r="BI129" i="3"/>
  <c r="BI343" i="3"/>
  <c r="BI199" i="3"/>
  <c r="BI103" i="3"/>
  <c r="BI51" i="3"/>
  <c r="BI50" i="3"/>
  <c r="BI223" i="3"/>
  <c r="BI38" i="3"/>
  <c r="BI743" i="3"/>
  <c r="BI455" i="3"/>
  <c r="BI762" i="3"/>
  <c r="BI474" i="3"/>
  <c r="BI186" i="3"/>
  <c r="BI941" i="3"/>
  <c r="BI979" i="3"/>
  <c r="BI835" i="3"/>
  <c r="BI755" i="3"/>
  <c r="BI918" i="3"/>
  <c r="BI838" i="3"/>
  <c r="BI678" i="3"/>
  <c r="BI717" i="3"/>
  <c r="BI719" i="3"/>
  <c r="BI431" i="3"/>
  <c r="BI818" i="3"/>
  <c r="BI674" i="3"/>
  <c r="BI594" i="3"/>
  <c r="BI370" i="3"/>
  <c r="BI985" i="3"/>
  <c r="BI949" i="3"/>
  <c r="BI869" i="3"/>
  <c r="BI725" i="3"/>
  <c r="BI421" i="3"/>
  <c r="BI809" i="3"/>
  <c r="BI569" i="3"/>
  <c r="BI496" i="3"/>
  <c r="BI112" i="3"/>
  <c r="BI371" i="3"/>
  <c r="BI307" i="3"/>
  <c r="BI860" i="3"/>
  <c r="BI252" i="3"/>
  <c r="BI777" i="3"/>
  <c r="BI345" i="3"/>
  <c r="BI217" i="3"/>
  <c r="BI32" i="3"/>
  <c r="BI872" i="3"/>
  <c r="BI744" i="3"/>
  <c r="BI344" i="3"/>
  <c r="BI152" i="3"/>
  <c r="BI980" i="3"/>
  <c r="BI900" i="3"/>
  <c r="BI580" i="3"/>
  <c r="BI484" i="3"/>
  <c r="BI356" i="3"/>
  <c r="BI489" i="3"/>
  <c r="BI209" i="3"/>
  <c r="BI327" i="3"/>
  <c r="BI251" i="3"/>
  <c r="BI46" i="3"/>
  <c r="BI17" i="3"/>
  <c r="BI303" i="3"/>
  <c r="AL448" i="3"/>
  <c r="BH430" i="3"/>
  <c r="AL430" i="3"/>
  <c r="AL372" i="3"/>
  <c r="AL451" i="3"/>
  <c r="AL405" i="3"/>
  <c r="AL375" i="3"/>
  <c r="AL328" i="3"/>
  <c r="BH310" i="3"/>
  <c r="AL310" i="3"/>
  <c r="AL355" i="3"/>
  <c r="AL337" i="3"/>
  <c r="AL291" i="3"/>
  <c r="AL277" i="3"/>
  <c r="AL253" i="3"/>
  <c r="AL239" i="3"/>
  <c r="AL246" i="3"/>
  <c r="AL232" i="3"/>
  <c r="AL218" i="3"/>
  <c r="AL204" i="3"/>
  <c r="AL174" i="3"/>
  <c r="AL160" i="3"/>
  <c r="AL146" i="3"/>
  <c r="AL217" i="3"/>
  <c r="AL187" i="3"/>
  <c r="AL173" i="3"/>
  <c r="AL159" i="3"/>
  <c r="AL145" i="3"/>
  <c r="AL131" i="3"/>
  <c r="BH115" i="3"/>
  <c r="AL115" i="3"/>
  <c r="AL101" i="3"/>
  <c r="AL87" i="3"/>
  <c r="BH140" i="3"/>
  <c r="AL140" i="3"/>
  <c r="AL126" i="3"/>
  <c r="AL112" i="3"/>
  <c r="AL98" i="3"/>
  <c r="AL84" i="3"/>
  <c r="AL52" i="3"/>
  <c r="AL38" i="3"/>
  <c r="AL24" i="3"/>
  <c r="BC37" i="3"/>
  <c r="BC16" i="3"/>
  <c r="BI747" i="3"/>
  <c r="BI571" i="3"/>
  <c r="BI507" i="3"/>
  <c r="BI926" i="3"/>
  <c r="BI686" i="3"/>
  <c r="BI318" i="3"/>
  <c r="BI142" i="3"/>
  <c r="BI977" i="3"/>
  <c r="BI855" i="3"/>
  <c r="BI679" i="3"/>
  <c r="BI567" i="3"/>
  <c r="BI391" i="3"/>
  <c r="BI874" i="3"/>
  <c r="BI586" i="3"/>
  <c r="BI410" i="3"/>
  <c r="BI298" i="3"/>
  <c r="BI122" i="3"/>
  <c r="BI737" i="3"/>
  <c r="BI982" i="3"/>
  <c r="BI915" i="3"/>
  <c r="BI611" i="3"/>
  <c r="BI531" i="3"/>
  <c r="BI1006" i="3"/>
  <c r="BI518" i="3"/>
  <c r="BI374" i="3"/>
  <c r="BI797" i="3"/>
  <c r="BI525" i="3"/>
  <c r="BI365" i="3"/>
  <c r="BI879" i="3"/>
  <c r="BI799" i="3"/>
  <c r="BI575" i="3"/>
  <c r="BI882" i="3"/>
  <c r="BI514" i="3"/>
  <c r="BI146" i="3"/>
  <c r="BI889" i="3"/>
  <c r="BI962" i="3"/>
  <c r="BI933" i="3"/>
  <c r="BI789" i="3"/>
  <c r="BI709" i="3"/>
  <c r="BI549" i="3"/>
  <c r="BI405" i="3"/>
  <c r="BI409" i="3"/>
  <c r="BI221" i="3"/>
  <c r="BI560" i="3"/>
  <c r="BI304" i="3"/>
  <c r="BI240" i="3"/>
  <c r="BI163" i="3"/>
  <c r="BI83" i="3"/>
  <c r="BI1004" i="3"/>
  <c r="BI924" i="3"/>
  <c r="BI700" i="3"/>
  <c r="BI620" i="3"/>
  <c r="BI540" i="3"/>
  <c r="BI124" i="3"/>
  <c r="BI936" i="3"/>
  <c r="BI408" i="3"/>
  <c r="BI197" i="3"/>
  <c r="BI133" i="3"/>
  <c r="BI804" i="3"/>
  <c r="BI660" i="3"/>
  <c r="BI564" i="3"/>
  <c r="BI420" i="3"/>
  <c r="BI340" i="3"/>
  <c r="BI244" i="3"/>
  <c r="BI100" i="3"/>
  <c r="BI393" i="3"/>
  <c r="BI273" i="3"/>
  <c r="BI113" i="3"/>
  <c r="BI263" i="3"/>
  <c r="BI183" i="3"/>
  <c r="BI87" i="3"/>
  <c r="BI203" i="3"/>
  <c r="BI111" i="3"/>
  <c r="BI26" i="3"/>
  <c r="BI86" i="3"/>
  <c r="BI171" i="3"/>
  <c r="AL416" i="3"/>
  <c r="AL400" i="3"/>
  <c r="AL384" i="3"/>
  <c r="BH370" i="3"/>
  <c r="AL370" i="3"/>
  <c r="AL435" i="3"/>
  <c r="AL421" i="3"/>
  <c r="AL389" i="3"/>
  <c r="AL356" i="3"/>
  <c r="AL342" i="3"/>
  <c r="AL296" i="3"/>
  <c r="AL280" i="3"/>
  <c r="AL264" i="3"/>
  <c r="BH353" i="3"/>
  <c r="AL353" i="3"/>
  <c r="AL321" i="3"/>
  <c r="AL307" i="3"/>
  <c r="AL225" i="3"/>
  <c r="AL190" i="3"/>
  <c r="AL203" i="3"/>
  <c r="BH129" i="3"/>
  <c r="AL129" i="3"/>
  <c r="AL51" i="3"/>
  <c r="AL37" i="3"/>
  <c r="BH82" i="3"/>
  <c r="AL82" i="3"/>
  <c r="AG48" i="3"/>
  <c r="BI859" i="3"/>
  <c r="BI913" i="3"/>
  <c r="BI967" i="3"/>
  <c r="BI791" i="3"/>
  <c r="BI503" i="3"/>
  <c r="BI810" i="3"/>
  <c r="BI522" i="3"/>
  <c r="BI577" i="3"/>
  <c r="BI925" i="3"/>
  <c r="BI845" i="3"/>
  <c r="BI739" i="3"/>
  <c r="BI978" i="3"/>
  <c r="BI902" i="3"/>
  <c r="BI822" i="3"/>
  <c r="BI742" i="3"/>
  <c r="BI134" i="3"/>
  <c r="BI701" i="3"/>
  <c r="BI621" i="3"/>
  <c r="BI1007" i="3"/>
  <c r="BI639" i="3"/>
  <c r="BI495" i="3"/>
  <c r="BI946" i="3"/>
  <c r="BI658" i="3"/>
  <c r="BI434" i="3"/>
  <c r="BI274" i="3"/>
  <c r="BI853" i="3"/>
  <c r="BI773" i="3"/>
  <c r="BI629" i="3"/>
  <c r="BI469" i="3"/>
  <c r="BI521" i="3"/>
  <c r="BI369" i="3"/>
  <c r="BI992" i="3"/>
  <c r="BI800" i="3"/>
  <c r="BI608" i="3"/>
  <c r="BI416" i="3"/>
  <c r="BI160" i="3"/>
  <c r="BI227" i="3"/>
  <c r="BI844" i="3"/>
  <c r="BI764" i="3"/>
  <c r="BI396" i="3"/>
  <c r="BI236" i="3"/>
  <c r="BI201" i="3"/>
  <c r="BI108" i="3"/>
  <c r="BI728" i="3"/>
  <c r="BI600" i="3"/>
  <c r="BI745" i="3"/>
  <c r="BI261" i="3"/>
  <c r="BI315" i="3"/>
  <c r="BI884" i="3"/>
  <c r="BI724" i="3"/>
  <c r="BI468" i="3"/>
  <c r="BI337" i="3"/>
  <c r="BI207" i="3"/>
  <c r="BI25" i="3"/>
  <c r="AL59" i="3"/>
  <c r="BI57" i="3"/>
  <c r="BH57" i="3"/>
  <c r="AL57" i="3"/>
  <c r="AL74" i="3"/>
  <c r="AL60" i="3"/>
  <c r="BI80" i="3"/>
  <c r="BI79" i="3"/>
  <c r="BI65" i="3"/>
  <c r="AL71" i="3"/>
  <c r="BH58" i="3"/>
  <c r="AL58" i="3"/>
  <c r="BH69" i="3"/>
  <c r="AL69" i="3"/>
  <c r="AL72" i="3"/>
  <c r="BH56" i="3"/>
  <c r="AL56" i="3"/>
  <c r="BI56" i="3"/>
  <c r="BI59" i="3"/>
  <c r="BI58" i="3"/>
  <c r="AL73" i="3"/>
  <c r="BH67" i="3"/>
  <c r="AL67" i="3"/>
  <c r="BH70" i="3"/>
  <c r="AL70" i="3"/>
  <c r="BC57" i="3"/>
  <c r="BI64" i="3"/>
  <c r="BI72" i="3"/>
  <c r="BI71" i="3"/>
  <c r="BI69" i="3"/>
  <c r="BH81" i="3"/>
  <c r="AL81" i="3"/>
  <c r="BH68" i="3"/>
  <c r="AL68" i="3"/>
  <c r="BH79" i="3"/>
  <c r="AL79" i="3"/>
  <c r="AL65" i="3"/>
  <c r="BI75" i="3"/>
  <c r="BH80" i="3"/>
  <c r="AL80" i="3"/>
  <c r="AL66" i="3"/>
  <c r="AG57" i="3"/>
  <c r="BI77" i="3"/>
  <c r="AL78" i="3"/>
  <c r="AL64" i="3"/>
  <c r="BD59" i="3"/>
  <c r="BI78" i="3"/>
  <c r="AL77" i="3"/>
  <c r="AL75" i="3"/>
  <c r="AL61" i="3"/>
  <c r="BI61" i="3"/>
  <c r="AL63" i="3"/>
  <c r="BH73" i="3"/>
  <c r="BH59" i="3"/>
  <c r="AL76" i="3"/>
  <c r="AL62" i="3"/>
  <c r="BI66" i="3"/>
  <c r="BC51" i="3"/>
  <c r="AG51" i="3"/>
  <c r="BD51" i="3"/>
  <c r="AG14" i="3"/>
  <c r="BC55" i="3"/>
  <c r="AG55" i="3"/>
  <c r="AG43" i="3"/>
  <c r="BC43" i="3"/>
  <c r="AG54" i="3"/>
  <c r="BC54" i="3"/>
  <c r="BC33" i="3"/>
  <c r="AG33" i="3"/>
  <c r="BD26" i="3"/>
  <c r="AG26" i="3"/>
  <c r="AG17" i="3"/>
  <c r="AG52" i="3"/>
  <c r="BD44" i="3"/>
  <c r="BC48" i="3"/>
  <c r="AG25" i="3"/>
  <c r="BD46" i="3"/>
  <c r="BD39" i="3"/>
  <c r="BD25" i="3"/>
  <c r="AG29" i="3"/>
  <c r="BG60" i="3" l="1"/>
  <c r="BG74" i="3"/>
  <c r="BI14" i="3"/>
  <c r="BG150" i="3"/>
  <c r="BG672" i="3"/>
  <c r="BG62" i="3"/>
  <c r="BG510" i="3"/>
  <c r="BD30" i="3"/>
  <c r="BG816" i="3"/>
  <c r="BG76" i="3"/>
  <c r="BG995" i="3"/>
  <c r="BG384" i="3"/>
  <c r="BG462" i="3"/>
  <c r="BG606" i="3"/>
  <c r="BG619" i="3"/>
  <c r="BB40" i="3"/>
  <c r="BB29" i="3"/>
  <c r="BG697" i="3"/>
  <c r="BG763" i="3"/>
  <c r="BG301" i="3"/>
  <c r="BG994" i="3"/>
  <c r="BG833" i="3"/>
  <c r="BG88" i="3"/>
  <c r="BG688" i="3"/>
  <c r="BG380" i="3"/>
  <c r="BG277" i="3"/>
  <c r="BG148" i="3"/>
  <c r="BH13" i="3"/>
  <c r="BH14" i="3"/>
  <c r="BG168" i="3"/>
  <c r="BG49" i="3"/>
  <c r="BC14" i="3"/>
  <c r="BG451" i="3"/>
  <c r="BG922" i="3"/>
  <c r="BG446" i="3"/>
  <c r="BH446" i="3"/>
  <c r="BG366" i="3"/>
  <c r="BI366" i="3"/>
  <c r="BG245" i="3"/>
  <c r="BI245" i="3"/>
  <c r="BG35" i="3"/>
  <c r="BI35" i="3"/>
  <c r="BG590" i="3"/>
  <c r="BI590" i="3"/>
  <c r="BG460" i="3"/>
  <c r="BI460" i="3"/>
  <c r="BG664" i="3"/>
  <c r="BI664" i="3"/>
  <c r="BG640" i="3"/>
  <c r="BI640" i="3"/>
  <c r="BG655" i="3"/>
  <c r="BI655" i="3"/>
  <c r="BG52" i="3"/>
  <c r="BI52" i="3"/>
  <c r="BG758" i="3"/>
  <c r="BI758" i="3"/>
  <c r="BG316" i="3"/>
  <c r="BI316" i="3"/>
  <c r="BG683" i="3"/>
  <c r="BI683" i="3"/>
  <c r="BG675" i="3"/>
  <c r="BI675" i="3"/>
  <c r="BG736" i="3"/>
  <c r="BI736" i="3"/>
  <c r="BI13" i="3"/>
  <c r="BD13" i="3"/>
  <c r="BD14" i="3"/>
  <c r="BC44" i="3"/>
  <c r="BC13" i="3"/>
  <c r="BG603" i="3"/>
  <c r="BG445" i="3"/>
  <c r="BG339" i="3"/>
  <c r="BG159" i="3"/>
  <c r="BG694" i="3"/>
  <c r="BG923" i="3"/>
  <c r="BG928" i="3"/>
  <c r="BC30" i="3"/>
  <c r="BG302" i="3"/>
  <c r="BG529" i="3"/>
  <c r="BG708" i="3"/>
  <c r="BG615" i="3"/>
  <c r="BG291" i="3"/>
  <c r="BG137" i="3"/>
  <c r="BG16" i="3"/>
  <c r="BG63" i="3"/>
  <c r="BG682" i="3"/>
  <c r="BG287" i="3"/>
  <c r="BG952" i="3"/>
  <c r="BG498" i="3"/>
  <c r="BG964" i="3"/>
  <c r="BG862" i="3"/>
  <c r="BG54" i="3"/>
  <c r="BG738" i="3"/>
  <c r="BG642" i="3"/>
  <c r="BG472" i="3"/>
  <c r="BG350" i="3"/>
  <c r="BG663" i="3"/>
  <c r="BG520" i="3"/>
  <c r="BG450" i="3"/>
  <c r="BG720" i="3"/>
  <c r="BG280" i="3"/>
  <c r="BG239" i="3"/>
  <c r="BG793" i="3"/>
  <c r="BG328" i="3"/>
  <c r="BB41" i="3"/>
  <c r="BB56" i="3"/>
  <c r="BB52" i="3"/>
  <c r="BG264" i="3"/>
  <c r="BG578" i="3"/>
  <c r="BG470" i="3"/>
  <c r="BG300" i="3"/>
  <c r="BG593" i="3"/>
  <c r="BB49" i="3"/>
  <c r="BG144" i="3"/>
  <c r="BB15" i="3"/>
  <c r="BG255" i="3"/>
  <c r="BG539" i="3"/>
  <c r="BB34" i="3"/>
  <c r="BG659" i="3"/>
  <c r="BG558" i="3"/>
  <c r="BB31" i="3"/>
  <c r="BG357" i="3"/>
  <c r="BB45" i="3"/>
  <c r="BG181" i="3"/>
  <c r="BG24" i="3"/>
  <c r="BG290" i="3"/>
  <c r="BB17" i="3"/>
  <c r="BG155" i="3"/>
  <c r="BG379" i="3"/>
  <c r="BG30" i="3"/>
  <c r="BG506" i="3"/>
  <c r="BG1000" i="3"/>
  <c r="BG210" i="3"/>
  <c r="BG330" i="3"/>
  <c r="BG637" i="3"/>
  <c r="BG15" i="3"/>
  <c r="BG880" i="3"/>
  <c r="BG89" i="3"/>
  <c r="BG40" i="3"/>
  <c r="BG42" i="3"/>
  <c r="BG78" i="3"/>
  <c r="BG147" i="3"/>
  <c r="BG718" i="3"/>
  <c r="BG311" i="3"/>
  <c r="BG238" i="3"/>
  <c r="BG698" i="3"/>
  <c r="BG910" i="3"/>
  <c r="BG426" i="3"/>
  <c r="BG666" i="3"/>
  <c r="BB26" i="3"/>
  <c r="BG677" i="3"/>
  <c r="BG863" i="3"/>
  <c r="BG253" i="3"/>
  <c r="BG306" i="3"/>
  <c r="BG543" i="3"/>
  <c r="BG519" i="3"/>
  <c r="BG684" i="3"/>
  <c r="BG389" i="3"/>
  <c r="BG965" i="3"/>
  <c r="BG724" i="3"/>
  <c r="BG678" i="3"/>
  <c r="BG1006" i="3"/>
  <c r="BG721" i="3"/>
  <c r="BG198" i="3"/>
  <c r="BG623" i="3"/>
  <c r="BG660" i="3"/>
  <c r="BG126" i="3"/>
  <c r="BG834" i="3"/>
  <c r="BG970" i="3"/>
  <c r="BG583" i="3"/>
  <c r="BG977" i="3"/>
  <c r="BG764" i="3"/>
  <c r="BG160" i="3"/>
  <c r="BG375" i="3"/>
  <c r="BG355" i="3"/>
  <c r="BG760" i="3"/>
  <c r="BG522" i="3"/>
  <c r="BG752" i="3"/>
  <c r="BB39" i="3"/>
  <c r="BG183" i="3"/>
  <c r="BG654" i="3"/>
  <c r="BG676" i="3"/>
  <c r="BG83" i="3"/>
  <c r="BG107" i="3"/>
  <c r="BG629" i="3"/>
  <c r="BG778" i="3"/>
  <c r="BG744" i="3"/>
  <c r="BG315" i="3"/>
  <c r="BG232" i="3"/>
  <c r="BG674" i="3"/>
  <c r="BG652" i="3"/>
  <c r="BG727" i="3"/>
  <c r="BG257" i="3"/>
  <c r="BG644" i="3"/>
  <c r="BG869" i="3"/>
  <c r="BG634" i="3"/>
  <c r="BG336" i="3"/>
  <c r="BG402" i="3"/>
  <c r="BB13" i="3"/>
  <c r="BG75" i="3"/>
  <c r="BG82" i="3"/>
  <c r="BG140" i="3"/>
  <c r="BG310" i="3"/>
  <c r="BG175" i="3"/>
  <c r="BG293" i="3"/>
  <c r="BG105" i="3"/>
  <c r="BG252" i="3"/>
  <c r="BG329" i="3"/>
  <c r="BG318" i="3"/>
  <c r="BG406" i="3"/>
  <c r="BG34" i="3"/>
  <c r="BG354" i="3"/>
  <c r="BG464" i="3"/>
  <c r="BG874" i="3"/>
  <c r="BG322" i="3"/>
  <c r="BG457" i="3"/>
  <c r="BG610" i="3"/>
  <c r="BG146" i="3"/>
  <c r="BG397" i="3"/>
  <c r="BG516" i="3"/>
  <c r="BG456" i="3"/>
  <c r="BG113" i="3"/>
  <c r="BG326" i="3"/>
  <c r="BG412" i="3"/>
  <c r="BG559" i="3"/>
  <c r="BG789" i="3"/>
  <c r="BG889" i="3"/>
  <c r="BG882" i="3"/>
  <c r="BG969" i="3"/>
  <c r="BG138" i="3"/>
  <c r="BG376" i="3"/>
  <c r="BG504" i="3"/>
  <c r="BG188" i="3"/>
  <c r="BG497" i="3"/>
  <c r="BG139" i="3"/>
  <c r="BG323" i="3"/>
  <c r="BG403" i="3"/>
  <c r="BG490" i="3"/>
  <c r="BG172" i="3"/>
  <c r="BG243" i="3"/>
  <c r="BG436" i="3"/>
  <c r="BG531" i="3"/>
  <c r="BG570" i="3"/>
  <c r="BG828" i="3"/>
  <c r="BG187" i="3"/>
  <c r="BG244" i="3"/>
  <c r="BG122" i="3"/>
  <c r="BG430" i="3"/>
  <c r="BG103" i="3"/>
  <c r="BG248" i="3"/>
  <c r="BG119" i="3"/>
  <c r="BG91" i="3"/>
  <c r="BG38" i="3"/>
  <c r="BG178" i="3"/>
  <c r="BG754" i="3"/>
  <c r="BG711" i="3"/>
  <c r="BG783" i="3"/>
  <c r="BG812" i="3"/>
  <c r="BG883" i="3"/>
  <c r="BG955" i="3"/>
  <c r="BG858" i="3"/>
  <c r="BG930" i="3"/>
  <c r="BG1002" i="3"/>
  <c r="BG250" i="3"/>
  <c r="BG349" i="3"/>
  <c r="BG475" i="3"/>
  <c r="BG530" i="3"/>
  <c r="BG686" i="3"/>
  <c r="BG635" i="3"/>
  <c r="BG706" i="3"/>
  <c r="BG770" i="3"/>
  <c r="BG731" i="3"/>
  <c r="BG801" i="3"/>
  <c r="BG832" i="3"/>
  <c r="BG903" i="3"/>
  <c r="BG975" i="3"/>
  <c r="BG878" i="3"/>
  <c r="BG986" i="3"/>
  <c r="BG295" i="3"/>
  <c r="BG218" i="3"/>
  <c r="BG461" i="3"/>
  <c r="BG548" i="3"/>
  <c r="BG771" i="3"/>
  <c r="BG871" i="3"/>
  <c r="BG997" i="3"/>
  <c r="BG954" i="3"/>
  <c r="BG998" i="3"/>
  <c r="BG585" i="3"/>
  <c r="BG44" i="3"/>
  <c r="BG417" i="3"/>
  <c r="BG428" i="3"/>
  <c r="BG566" i="3"/>
  <c r="BG270" i="3"/>
  <c r="BG701" i="3"/>
  <c r="BG773" i="3"/>
  <c r="BG802" i="3"/>
  <c r="BG873" i="3"/>
  <c r="BG945" i="3"/>
  <c r="BG848" i="3"/>
  <c r="BG920" i="3"/>
  <c r="BG992" i="3"/>
  <c r="BG705" i="3"/>
  <c r="BG949" i="3"/>
  <c r="BG915" i="3"/>
  <c r="BG99" i="3"/>
  <c r="BG203" i="3"/>
  <c r="BG222" i="3"/>
  <c r="BG669" i="3"/>
  <c r="BG14" i="3"/>
  <c r="BG170" i="3"/>
  <c r="BG515" i="3"/>
  <c r="BG656" i="3"/>
  <c r="BG762" i="3"/>
  <c r="BG795" i="3"/>
  <c r="BG852" i="3"/>
  <c r="BG890" i="3"/>
  <c r="BG704" i="3"/>
  <c r="BG453" i="3"/>
  <c r="BG87" i="3"/>
  <c r="BG387" i="3"/>
  <c r="BG572" i="3"/>
  <c r="BG782" i="3"/>
  <c r="BG743" i="3"/>
  <c r="BG813" i="3"/>
  <c r="BG843" i="3"/>
  <c r="BG944" i="3"/>
  <c r="BG289" i="3"/>
  <c r="BG427" i="3"/>
  <c r="BG478" i="3"/>
  <c r="BG574" i="3"/>
  <c r="BG633" i="3"/>
  <c r="BG17" i="3"/>
  <c r="BG665" i="3"/>
  <c r="BG941" i="3"/>
  <c r="BG904" i="3"/>
  <c r="BG577" i="3"/>
  <c r="BG857" i="3"/>
  <c r="BG304" i="3"/>
  <c r="BG670" i="3"/>
  <c r="BG751" i="3"/>
  <c r="BG410" i="3"/>
  <c r="BG775" i="3"/>
  <c r="BG733" i="3"/>
  <c r="BG469" i="3"/>
  <c r="BG929" i="3"/>
  <c r="BG821" i="3"/>
  <c r="BG197" i="3"/>
  <c r="BG1001" i="3"/>
  <c r="BG739" i="3"/>
  <c r="BG803" i="3"/>
  <c r="BG534" i="3"/>
  <c r="BG571" i="3"/>
  <c r="BG276" i="3"/>
  <c r="BG827" i="3"/>
  <c r="BG589" i="3"/>
  <c r="BG790" i="3"/>
  <c r="BG734" i="3"/>
  <c r="BG383" i="3"/>
  <c r="BB48" i="3"/>
  <c r="BB16" i="3"/>
  <c r="BG176" i="3"/>
  <c r="BG86" i="3"/>
  <c r="BG195" i="3"/>
  <c r="BG431" i="3"/>
  <c r="BG442" i="3"/>
  <c r="BG525" i="3"/>
  <c r="BG145" i="3"/>
  <c r="BG266" i="3"/>
  <c r="BG509" i="3"/>
  <c r="BG458" i="3"/>
  <c r="BG136" i="3"/>
  <c r="BG184" i="3"/>
  <c r="BG283" i="3"/>
  <c r="BG513" i="3"/>
  <c r="BG102" i="3"/>
  <c r="BG321" i="3"/>
  <c r="BG877" i="3"/>
  <c r="BG933" i="3"/>
  <c r="BG151" i="3"/>
  <c r="BG275" i="3"/>
  <c r="BG586" i="3"/>
  <c r="BG123" i="3"/>
  <c r="BG106" i="3"/>
  <c r="BG153" i="3"/>
  <c r="BG385" i="3"/>
  <c r="BG549" i="3"/>
  <c r="BG723" i="3"/>
  <c r="BG985" i="3"/>
  <c r="BG962" i="3"/>
  <c r="BG989" i="3"/>
  <c r="BG296" i="3"/>
  <c r="BG405" i="3"/>
  <c r="BG533" i="3"/>
  <c r="BG636" i="3"/>
  <c r="BG174" i="3"/>
  <c r="BG298" i="3"/>
  <c r="BG422" i="3"/>
  <c r="BG503" i="3"/>
  <c r="BG829" i="3"/>
  <c r="BG1005" i="3"/>
  <c r="BG485" i="3"/>
  <c r="BG822" i="3"/>
  <c r="BG13" i="3"/>
  <c r="BG189" i="3"/>
  <c r="BG325" i="3"/>
  <c r="BG314" i="3"/>
  <c r="BG463" i="3"/>
  <c r="BG133" i="3"/>
  <c r="BG343" i="3"/>
  <c r="BG443" i="3"/>
  <c r="BG438" i="3"/>
  <c r="BG94" i="3"/>
  <c r="BG112" i="3"/>
  <c r="BG331" i="3"/>
  <c r="BG429" i="3"/>
  <c r="BG455" i="3"/>
  <c r="BG496" i="3"/>
  <c r="BG592" i="3"/>
  <c r="BG191" i="3"/>
  <c r="BG109" i="3"/>
  <c r="BG338" i="3"/>
  <c r="BG466" i="3"/>
  <c r="BG626" i="3"/>
  <c r="BG575" i="3"/>
  <c r="BG647" i="3"/>
  <c r="BG576" i="3"/>
  <c r="BG573" i="3"/>
  <c r="BG342" i="3"/>
  <c r="BG692" i="3"/>
  <c r="BG163" i="3"/>
  <c r="BG299" i="3"/>
  <c r="BG479" i="3"/>
  <c r="BG774" i="3"/>
  <c r="BG823" i="3"/>
  <c r="BG943" i="3"/>
  <c r="BG918" i="3"/>
  <c r="BG926" i="3"/>
  <c r="BG597" i="3"/>
  <c r="BG609" i="3"/>
  <c r="BG120" i="3"/>
  <c r="BG221" i="3"/>
  <c r="BG240" i="3"/>
  <c r="BG367" i="3"/>
  <c r="BG396" i="3"/>
  <c r="BG536" i="3"/>
  <c r="BG616" i="3"/>
  <c r="BG691" i="3"/>
  <c r="BG167" i="3"/>
  <c r="BG190" i="3"/>
  <c r="BG274" i="3"/>
  <c r="BG423" i="3"/>
  <c r="BG418" i="3"/>
  <c r="BG668" i="3"/>
  <c r="BG588" i="3"/>
  <c r="BG799" i="3"/>
  <c r="BG124" i="3"/>
  <c r="BG192" i="3"/>
  <c r="BG425" i="3"/>
  <c r="BG452" i="3"/>
  <c r="BG480" i="3"/>
  <c r="BG121" i="3"/>
  <c r="BG227" i="3"/>
  <c r="BG31" i="3"/>
  <c r="BG247" i="3"/>
  <c r="BG728" i="3"/>
  <c r="BG97" i="3"/>
  <c r="BG517" i="3"/>
  <c r="BG700" i="3"/>
  <c r="BG595" i="3"/>
  <c r="BG1012" i="3"/>
  <c r="BG508" i="3"/>
  <c r="BG579" i="3"/>
  <c r="BG840" i="3"/>
  <c r="BG565" i="3"/>
  <c r="BG839" i="3"/>
  <c r="BG541" i="3"/>
  <c r="BG868" i="3"/>
  <c r="BG887" i="3"/>
  <c r="BG639" i="3"/>
  <c r="BG804" i="3"/>
  <c r="BG916" i="3"/>
  <c r="BG556" i="3"/>
  <c r="BG641" i="3"/>
  <c r="BG607" i="3"/>
  <c r="BG940" i="3"/>
  <c r="BG625" i="3"/>
  <c r="BG787" i="3"/>
  <c r="BG95" i="3"/>
  <c r="BG703" i="3"/>
  <c r="BB14" i="3"/>
  <c r="BG162" i="3"/>
  <c r="BG553" i="3"/>
  <c r="BG165" i="3"/>
  <c r="BG942" i="3"/>
  <c r="BG487" i="3"/>
  <c r="BG352" i="3"/>
  <c r="BB43" i="3"/>
  <c r="BG241" i="3"/>
  <c r="BG393" i="3"/>
  <c r="BG100" i="3"/>
  <c r="BB32" i="3"/>
  <c r="BG341" i="3"/>
  <c r="BG43" i="3"/>
  <c r="BB30" i="3"/>
  <c r="BG347" i="3"/>
  <c r="BG449" i="3"/>
  <c r="BG473" i="3"/>
  <c r="BG512" i="3"/>
  <c r="BG608" i="3"/>
  <c r="BG768" i="3"/>
  <c r="BG729" i="3"/>
  <c r="BG800" i="3"/>
  <c r="BG830" i="3"/>
  <c r="BG901" i="3"/>
  <c r="BG973" i="3"/>
  <c r="BG876" i="3"/>
  <c r="BG948" i="3"/>
  <c r="BG932" i="3"/>
  <c r="BG262" i="3"/>
  <c r="BG356" i="3"/>
  <c r="BG491" i="3"/>
  <c r="BG788" i="3"/>
  <c r="BG749" i="3"/>
  <c r="BG819" i="3"/>
  <c r="BG849" i="3"/>
  <c r="BG921" i="3"/>
  <c r="BG993" i="3"/>
  <c r="BG896" i="3"/>
  <c r="BB46" i="3"/>
  <c r="BG127" i="3"/>
  <c r="BG182" i="3"/>
  <c r="BG792" i="3"/>
  <c r="BG805" i="3"/>
  <c r="BG907" i="3"/>
  <c r="BG864" i="3"/>
  <c r="BG990" i="3"/>
  <c r="BG437" i="3"/>
  <c r="BG201" i="3"/>
  <c r="BG719" i="3"/>
  <c r="BG791" i="3"/>
  <c r="BG820" i="3"/>
  <c r="BG891" i="3"/>
  <c r="BG963" i="3"/>
  <c r="BG866" i="3"/>
  <c r="BG938" i="3"/>
  <c r="BG1010" i="3"/>
  <c r="BG811" i="3"/>
  <c r="BG1003" i="3"/>
  <c r="BG854" i="3"/>
  <c r="BG381" i="3"/>
  <c r="BG142" i="3"/>
  <c r="BG750" i="3"/>
  <c r="BG806" i="3"/>
  <c r="BG924" i="3"/>
  <c r="BG980" i="3"/>
  <c r="BG246" i="3"/>
  <c r="BG259" i="3"/>
  <c r="BG294" i="3"/>
  <c r="BG267" i="3"/>
  <c r="BG332" i="3"/>
  <c r="BG400" i="3"/>
  <c r="BG689" i="3"/>
  <c r="BG761" i="3"/>
  <c r="BG831" i="3"/>
  <c r="BG861" i="3"/>
  <c r="BG645" i="3"/>
  <c r="BG309" i="3"/>
  <c r="BG177" i="3"/>
  <c r="BB53" i="3"/>
  <c r="BG537" i="3"/>
  <c r="BB51" i="3"/>
  <c r="BG64" i="3"/>
  <c r="BG370" i="3"/>
  <c r="BB37" i="3"/>
  <c r="BG206" i="3"/>
  <c r="BG388" i="3"/>
  <c r="BG220" i="3"/>
  <c r="BG360" i="3"/>
  <c r="BG180" i="3"/>
  <c r="BG365" i="3"/>
  <c r="BG214" i="3"/>
  <c r="BG260" i="3"/>
  <c r="BG230" i="3"/>
  <c r="BG125" i="3"/>
  <c r="BG213" i="3"/>
  <c r="BG249" i="3"/>
  <c r="BG282" i="3"/>
  <c r="BG408" i="3"/>
  <c r="BG562" i="3"/>
  <c r="BG638" i="3"/>
  <c r="BG587" i="3"/>
  <c r="BG730" i="3"/>
  <c r="BG179" i="3"/>
  <c r="BG564" i="3"/>
  <c r="BG157" i="3"/>
  <c r="BG740" i="3"/>
  <c r="BG254" i="3"/>
  <c r="BG557" i="3"/>
  <c r="BG745" i="3"/>
  <c r="BG344" i="3"/>
  <c r="BG374" i="3"/>
  <c r="BG502" i="3"/>
  <c r="BG614" i="3"/>
  <c r="BG766" i="3"/>
  <c r="BG552" i="3"/>
  <c r="BG716" i="3"/>
  <c r="BG25" i="3"/>
  <c r="BG416" i="3"/>
  <c r="BG545" i="3"/>
  <c r="BG798" i="3"/>
  <c r="BG967" i="3"/>
  <c r="BG908" i="3"/>
  <c r="BG447" i="3"/>
  <c r="BG815" i="3"/>
  <c r="BG50" i="3"/>
  <c r="BG185" i="3"/>
  <c r="BG208" i="3"/>
  <c r="BG285" i="3"/>
  <c r="BG547" i="3"/>
  <c r="BG602" i="3"/>
  <c r="BG680" i="3"/>
  <c r="BG971" i="3"/>
  <c r="BG169" i="3"/>
  <c r="BG474" i="3"/>
  <c r="BG777" i="3"/>
  <c r="BG906" i="3"/>
  <c r="BG33" i="3"/>
  <c r="BG476" i="3"/>
  <c r="BG36" i="3"/>
  <c r="BG212" i="3"/>
  <c r="BG494" i="3"/>
  <c r="BG781" i="3"/>
  <c r="BG258" i="3"/>
  <c r="BG484" i="3"/>
  <c r="BG988" i="3"/>
  <c r="BG555" i="3"/>
  <c r="BG631" i="3"/>
  <c r="BG546" i="3"/>
  <c r="BG613" i="3"/>
  <c r="BG651" i="3"/>
  <c r="BG947" i="3"/>
  <c r="BG617" i="3"/>
  <c r="BG905" i="3"/>
  <c r="BG690" i="3"/>
  <c r="BG976" i="3"/>
  <c r="BG263" i="3"/>
  <c r="BG673" i="3"/>
  <c r="BG911" i="3"/>
  <c r="BG893" i="3"/>
  <c r="BG594" i="3"/>
  <c r="BG712" i="3"/>
  <c r="BG643" i="3"/>
  <c r="BG90" i="3"/>
  <c r="BG661" i="3"/>
  <c r="BG851" i="3"/>
  <c r="BG233" i="3"/>
  <c r="BG591" i="3"/>
  <c r="BG809" i="3"/>
  <c r="BG361" i="3"/>
  <c r="BG348" i="3"/>
  <c r="BG913" i="3"/>
  <c r="BB33" i="3"/>
  <c r="BG128" i="3"/>
  <c r="BG219" i="3"/>
  <c r="BG116" i="3"/>
  <c r="BG272" i="3"/>
  <c r="BG362" i="3"/>
  <c r="BG141" i="3"/>
  <c r="BG231" i="3"/>
  <c r="BG681" i="3"/>
  <c r="BG96" i="3"/>
  <c r="BG621" i="3"/>
  <c r="BG340" i="3"/>
  <c r="BG433" i="3"/>
  <c r="BG459" i="3"/>
  <c r="BG166" i="3"/>
  <c r="BG596" i="3"/>
  <c r="BG404" i="3"/>
  <c r="BG317" i="3"/>
  <c r="BG363" i="3"/>
  <c r="BG699" i="3"/>
  <c r="BG818" i="3"/>
  <c r="BG979" i="3"/>
  <c r="BG972" i="3"/>
  <c r="BG92" i="3"/>
  <c r="BG414" i="3"/>
  <c r="BG117" i="3"/>
  <c r="BG308" i="3"/>
  <c r="BG401" i="3"/>
  <c r="BG292" i="3"/>
  <c r="BG467" i="3"/>
  <c r="BG618" i="3"/>
  <c r="BG471" i="3"/>
  <c r="BG47" i="3"/>
  <c r="BG207" i="3"/>
  <c r="BG271" i="3"/>
  <c r="BG648" i="3"/>
  <c r="BG108" i="3"/>
  <c r="BG620" i="3"/>
  <c r="BG196" i="3"/>
  <c r="BG784" i="3"/>
  <c r="BG209" i="3"/>
  <c r="BG440" i="3"/>
  <c r="BG535" i="3"/>
  <c r="BG622" i="3"/>
  <c r="BG413" i="3"/>
  <c r="BG390" i="3"/>
  <c r="BG115" i="3"/>
  <c r="BG407" i="3"/>
  <c r="BG114" i="3"/>
  <c r="BG55" i="3"/>
  <c r="BG161" i="3"/>
  <c r="BG93" i="3"/>
  <c r="BG297" i="3"/>
  <c r="BB44" i="3"/>
  <c r="BG211" i="3"/>
  <c r="BG505" i="3"/>
  <c r="BG786" i="3"/>
  <c r="BG747" i="3"/>
  <c r="BG817" i="3"/>
  <c r="BG847" i="3"/>
  <c r="BG919" i="3"/>
  <c r="BG991" i="3"/>
  <c r="BG894" i="3"/>
  <c r="BG966" i="3"/>
  <c r="BG968" i="3"/>
  <c r="BG143" i="3"/>
  <c r="BG313" i="3"/>
  <c r="BG482" i="3"/>
  <c r="BG650" i="3"/>
  <c r="BG599" i="3"/>
  <c r="BG671" i="3"/>
  <c r="BG742" i="3"/>
  <c r="BG695" i="3"/>
  <c r="BG767" i="3"/>
  <c r="BG837" i="3"/>
  <c r="BG867" i="3"/>
  <c r="BG939" i="3"/>
  <c r="BG1011" i="3"/>
  <c r="BG914" i="3"/>
  <c r="BG200" i="3"/>
  <c r="BG351" i="3"/>
  <c r="BG468" i="3"/>
  <c r="BG756" i="3"/>
  <c r="BG435" i="3"/>
  <c r="BG717" i="3"/>
  <c r="BG841" i="3"/>
  <c r="BG925" i="3"/>
  <c r="BG900" i="3"/>
  <c r="BG897" i="3"/>
  <c r="BG881" i="3"/>
  <c r="BG511" i="3"/>
  <c r="BG917" i="3"/>
  <c r="BG46" i="3"/>
  <c r="BG131" i="3"/>
  <c r="BG448" i="3"/>
  <c r="BG561" i="3"/>
  <c r="BG776" i="3"/>
  <c r="BG737" i="3"/>
  <c r="BG807" i="3"/>
  <c r="BG838" i="3"/>
  <c r="BG909" i="3"/>
  <c r="BG981" i="3"/>
  <c r="BG884" i="3"/>
  <c r="BG956" i="3"/>
  <c r="BG842" i="3"/>
  <c r="BG888" i="3"/>
  <c r="BG51" i="3"/>
  <c r="BG149" i="3"/>
  <c r="BG152" i="3"/>
  <c r="BG265" i="3"/>
  <c r="BG953" i="3"/>
  <c r="BG538" i="3"/>
  <c r="BG569" i="3"/>
  <c r="BG780" i="3"/>
  <c r="BG859" i="3"/>
  <c r="BG978" i="3"/>
  <c r="BG312" i="3"/>
  <c r="BG483" i="3"/>
  <c r="BG156" i="3"/>
  <c r="BG420" i="3"/>
  <c r="BG707" i="3"/>
  <c r="BG779" i="3"/>
  <c r="BG808" i="3"/>
  <c r="BG879" i="3"/>
  <c r="BG334" i="3"/>
  <c r="BG368" i="3"/>
  <c r="BG899" i="3"/>
  <c r="BG324" i="3"/>
  <c r="BG542" i="3"/>
  <c r="BG772" i="3"/>
  <c r="BG796" i="3"/>
  <c r="BG486" i="3"/>
  <c r="BG667" i="3"/>
  <c r="BG983" i="3"/>
  <c r="BG582" i="3"/>
  <c r="BG649" i="3"/>
  <c r="BG687" i="3"/>
  <c r="BG886" i="3"/>
  <c r="BG653" i="3"/>
  <c r="BG844" i="3"/>
  <c r="BG658" i="3"/>
  <c r="BG726" i="3"/>
  <c r="BG601" i="3"/>
  <c r="BG934" i="3"/>
  <c r="BG333" i="3"/>
  <c r="BG715" i="3"/>
  <c r="BG532" i="3"/>
  <c r="BG710" i="3"/>
  <c r="BG850" i="3"/>
  <c r="BG226" i="3"/>
  <c r="BG630" i="3"/>
  <c r="BG748" i="3"/>
  <c r="BG679" i="3"/>
  <c r="BG696" i="3"/>
  <c r="BG959" i="3"/>
  <c r="BG627" i="3"/>
  <c r="BG875" i="3"/>
  <c r="BG489" i="3"/>
  <c r="BG39" i="3"/>
  <c r="BG419" i="3"/>
  <c r="BG346" i="3"/>
  <c r="BG26" i="3"/>
  <c r="BG281" i="3"/>
  <c r="BG261" i="3"/>
  <c r="BG521" i="3"/>
  <c r="BG409" i="3"/>
  <c r="BG216" i="3"/>
  <c r="BG395" i="3"/>
  <c r="BG444" i="3"/>
  <c r="BG523" i="3"/>
  <c r="BG173" i="3"/>
  <c r="BG37" i="3"/>
  <c r="BG251" i="3"/>
  <c r="BG235" i="3"/>
  <c r="BG500" i="3"/>
  <c r="BG41" i="3"/>
  <c r="BG237" i="3"/>
  <c r="BG518" i="3"/>
  <c r="BG84" i="3"/>
  <c r="BG319" i="3"/>
  <c r="BG421" i="3"/>
  <c r="BG568" i="3"/>
  <c r="BG759" i="3"/>
  <c r="BG870" i="3"/>
  <c r="BG205" i="3"/>
  <c r="BG364" i="3"/>
  <c r="BG563" i="3"/>
  <c r="BG492" i="3"/>
  <c r="BG528" i="3"/>
  <c r="BG101" i="3"/>
  <c r="BG223" i="3"/>
  <c r="BG242" i="3"/>
  <c r="BG824" i="3"/>
  <c r="BG996" i="3"/>
  <c r="BG657" i="3"/>
  <c r="BG194" i="3"/>
  <c r="BG307" i="3"/>
  <c r="BG524" i="3"/>
  <c r="BG810" i="3"/>
  <c r="BG110" i="3"/>
  <c r="BG228" i="3"/>
  <c r="BG373" i="3"/>
  <c r="BG526" i="3"/>
  <c r="BB55" i="3"/>
  <c r="BG129" i="3"/>
  <c r="BG279" i="3"/>
  <c r="BG236" i="3"/>
  <c r="BG118" i="3"/>
  <c r="BG286" i="3"/>
  <c r="BG392" i="3"/>
  <c r="BG53" i="3"/>
  <c r="BG386" i="3"/>
  <c r="BG544" i="3"/>
  <c r="BG132" i="3"/>
  <c r="BG662" i="3"/>
  <c r="BG611" i="3"/>
  <c r="BG215" i="3"/>
  <c r="BG358" i="3"/>
  <c r="BG372" i="3"/>
  <c r="BG477" i="3"/>
  <c r="BG1007" i="3"/>
  <c r="BG98" i="3"/>
  <c r="BG335" i="3"/>
  <c r="BG598" i="3"/>
  <c r="BG946" i="3"/>
  <c r="BB25" i="3"/>
  <c r="BG199" i="3"/>
  <c r="BG288" i="3"/>
  <c r="BG399" i="3"/>
  <c r="BG394" i="3"/>
  <c r="BG735" i="3"/>
  <c r="BG853" i="3"/>
  <c r="BG846" i="3"/>
  <c r="BG1008" i="3"/>
  <c r="BG982" i="3"/>
  <c r="BG186" i="3"/>
  <c r="BG337" i="3"/>
  <c r="BG465" i="3"/>
  <c r="BG935" i="3"/>
  <c r="BG432" i="3"/>
  <c r="BG85" i="3"/>
  <c r="BG224" i="3"/>
  <c r="BG303" i="3"/>
  <c r="BG378" i="3"/>
  <c r="BG632" i="3"/>
  <c r="BG581" i="3"/>
  <c r="BG32" i="3"/>
  <c r="BG305" i="3"/>
  <c r="BG501" i="3"/>
  <c r="BG540" i="3"/>
  <c r="BG29" i="3"/>
  <c r="BG171" i="3"/>
  <c r="BG229" i="3"/>
  <c r="BG345" i="3"/>
  <c r="BG551" i="3"/>
  <c r="BG856" i="3"/>
  <c r="BG769" i="3"/>
  <c r="BG580" i="3"/>
  <c r="BG702" i="3"/>
  <c r="BG134" i="3"/>
  <c r="BG604" i="3"/>
  <c r="BG685" i="3"/>
  <c r="BG256" i="3"/>
  <c r="BG722" i="3"/>
  <c r="BG567" i="3"/>
  <c r="BG757" i="3"/>
  <c r="BG605" i="3"/>
  <c r="BG507" i="3"/>
  <c r="BG628" i="3"/>
  <c r="BG746" i="3"/>
  <c r="BG958" i="3"/>
  <c r="BG415" i="3"/>
  <c r="BG646" i="3"/>
  <c r="BG111" i="3"/>
  <c r="BG714" i="3"/>
  <c r="BG493" i="3"/>
  <c r="BG732" i="3"/>
  <c r="BG898" i="3"/>
  <c r="BG495" i="3"/>
  <c r="BB54" i="3"/>
  <c r="BG353" i="3"/>
  <c r="BG234" i="3"/>
  <c r="BG268" i="3"/>
  <c r="BG439" i="3"/>
  <c r="BG434" i="3"/>
  <c r="BG130" i="3"/>
  <c r="BG164" i="3"/>
  <c r="BB47" i="3"/>
  <c r="BG193" i="3"/>
  <c r="BG411" i="3"/>
  <c r="BB24" i="3"/>
  <c r="BG273" i="3"/>
  <c r="BG320" i="3"/>
  <c r="BG424" i="3"/>
  <c r="BG560" i="3"/>
  <c r="BG693" i="3"/>
  <c r="BG765" i="3"/>
  <c r="BG835" i="3"/>
  <c r="BG865" i="3"/>
  <c r="BG937" i="3"/>
  <c r="BG1009" i="3"/>
  <c r="BG912" i="3"/>
  <c r="BG984" i="3"/>
  <c r="BG1004" i="3"/>
  <c r="BG514" i="3"/>
  <c r="BG713" i="3"/>
  <c r="BG785" i="3"/>
  <c r="BG814" i="3"/>
  <c r="BG885" i="3"/>
  <c r="BG957" i="3"/>
  <c r="BG860" i="3"/>
  <c r="BG950" i="3"/>
  <c r="BG278" i="3"/>
  <c r="BG845" i="3"/>
  <c r="BG284" i="3"/>
  <c r="BG377" i="3"/>
  <c r="BG612" i="3"/>
  <c r="BG202" i="3"/>
  <c r="BG753" i="3"/>
  <c r="BG836" i="3"/>
  <c r="BG961" i="3"/>
  <c r="BG936" i="3"/>
  <c r="BG872" i="3"/>
  <c r="BG217" i="3"/>
  <c r="BG527" i="3"/>
  <c r="BG550" i="3"/>
  <c r="BG204" i="3"/>
  <c r="BG600" i="3"/>
  <c r="BG794" i="3"/>
  <c r="BG755" i="3"/>
  <c r="BG825" i="3"/>
  <c r="BG855" i="3"/>
  <c r="BG927" i="3"/>
  <c r="BG999" i="3"/>
  <c r="BG902" i="3"/>
  <c r="BG974" i="3"/>
  <c r="BG895" i="3"/>
  <c r="BG960" i="3"/>
  <c r="BG48" i="3"/>
  <c r="BG45" i="3"/>
  <c r="BG441" i="3"/>
  <c r="BG481" i="3"/>
  <c r="BG488" i="3"/>
  <c r="BG584" i="3"/>
  <c r="BG104" i="3"/>
  <c r="BG499" i="3"/>
  <c r="BG554" i="3"/>
  <c r="BG741" i="3"/>
  <c r="BG931" i="3"/>
  <c r="BG987" i="3"/>
  <c r="BG135" i="3"/>
  <c r="BG154" i="3"/>
  <c r="BG225" i="3"/>
  <c r="BG359" i="3"/>
  <c r="BG369" i="3"/>
  <c r="BG398" i="3"/>
  <c r="BG269" i="3"/>
  <c r="BG709" i="3"/>
  <c r="BG327" i="3"/>
  <c r="BG371" i="3"/>
  <c r="BG454" i="3"/>
  <c r="BG725" i="3"/>
  <c r="BG797" i="3"/>
  <c r="BG826" i="3"/>
  <c r="BG951" i="3"/>
  <c r="BG391" i="3"/>
  <c r="BG892" i="3"/>
  <c r="BG158" i="3"/>
  <c r="BG382" i="3"/>
  <c r="BG624" i="3"/>
  <c r="BG69" i="3"/>
  <c r="BB59" i="3"/>
  <c r="BG58" i="3"/>
  <c r="BG59" i="3"/>
  <c r="BG68" i="3"/>
  <c r="BG66" i="3"/>
  <c r="BG73" i="3"/>
  <c r="BG72" i="3"/>
  <c r="BG65" i="3"/>
  <c r="BG71" i="3"/>
  <c r="BG67" i="3"/>
  <c r="BB57" i="3"/>
  <c r="BG80" i="3"/>
  <c r="BG56" i="3"/>
  <c r="BG81" i="3"/>
  <c r="BG61" i="3"/>
  <c r="BG70" i="3"/>
  <c r="BG57" i="3"/>
  <c r="BG79" i="3"/>
  <c r="BG77" i="3"/>
  <c r="AN18" i="3" l="1"/>
  <c r="BI19" i="3"/>
  <c r="AN19" i="3"/>
  <c r="AM18" i="3"/>
  <c r="AM19" i="3"/>
  <c r="AH18" i="3"/>
  <c r="AI18" i="3"/>
  <c r="AG18" i="3"/>
  <c r="BH19" i="3"/>
  <c r="AL19" i="3"/>
  <c r="AL18" i="3"/>
  <c r="BC18" i="3" l="1"/>
  <c r="BH18" i="3"/>
  <c r="BI18" i="3"/>
  <c r="BD18" i="3"/>
  <c r="BB18" i="3"/>
  <c r="BG19" i="3"/>
  <c r="BG18" i="3"/>
  <c r="AS22" i="3" l="1"/>
  <c r="AR21" i="3"/>
  <c r="AR22" i="3"/>
  <c r="AX20" i="3"/>
  <c r="AX28" i="3"/>
  <c r="AX23" i="3"/>
  <c r="AX27" i="3"/>
  <c r="AS20" i="3"/>
  <c r="AW23" i="3"/>
  <c r="AS28" i="3"/>
  <c r="AG23" i="3"/>
  <c r="AW28" i="3"/>
  <c r="AG28" i="3"/>
  <c r="AS27" i="3"/>
  <c r="AT22" i="3"/>
  <c r="AY22" i="3"/>
  <c r="AY23" i="3"/>
  <c r="AT27" i="3"/>
  <c r="AT28" i="3"/>
  <c r="AY21" i="3"/>
  <c r="AY28" i="3"/>
  <c r="AT21" i="3"/>
  <c r="AT20" i="3"/>
  <c r="AY27" i="3"/>
  <c r="AW20" i="3"/>
  <c r="AR20" i="3"/>
  <c r="AM27" i="3" l="1"/>
  <c r="BH28" i="3"/>
  <c r="AN21" i="3"/>
  <c r="AN23" i="3"/>
  <c r="BG28" i="3"/>
  <c r="AI21" i="3"/>
  <c r="AM28" i="3"/>
  <c r="AN20" i="3"/>
  <c r="AH21" i="3"/>
  <c r="BI27" i="3"/>
  <c r="AC6" i="3"/>
  <c r="X5" i="3"/>
  <c r="AL21" i="3"/>
  <c r="AI23" i="3"/>
  <c r="AH27" i="3"/>
  <c r="AH23" i="3"/>
  <c r="BI28" i="3"/>
  <c r="AM22" i="3"/>
  <c r="AT23" i="3"/>
  <c r="AT5" i="3" s="1"/>
  <c r="AL28" i="3"/>
  <c r="AG22" i="3"/>
  <c r="X6" i="3"/>
  <c r="AG21" i="3"/>
  <c r="BG23" i="3"/>
  <c r="AM23" i="3"/>
  <c r="AW22" i="3"/>
  <c r="BH22" i="3" s="1"/>
  <c r="BD27" i="3"/>
  <c r="AI27" i="3"/>
  <c r="AH28" i="3"/>
  <c r="AX21" i="3"/>
  <c r="BI21" i="3" s="1"/>
  <c r="BD28" i="3"/>
  <c r="BD22" i="3"/>
  <c r="BD20" i="3"/>
  <c r="BI23" i="3"/>
  <c r="BC22" i="3"/>
  <c r="BB22" i="3"/>
  <c r="Y6" i="3"/>
  <c r="AL27" i="3"/>
  <c r="AL23" i="3"/>
  <c r="AN28" i="3"/>
  <c r="AI22" i="3"/>
  <c r="C11" i="16"/>
  <c r="AR27" i="3"/>
  <c r="AW27" i="3"/>
  <c r="AN27" i="3"/>
  <c r="AM21" i="3"/>
  <c r="AW21" i="3"/>
  <c r="AH20" i="3"/>
  <c r="AG20" i="3"/>
  <c r="BG20" i="3"/>
  <c r="Y5" i="3"/>
  <c r="AR23" i="3"/>
  <c r="W5" i="3"/>
  <c r="AS21" i="3"/>
  <c r="BD21" i="3" s="1"/>
  <c r="W6" i="3"/>
  <c r="AS23" i="3"/>
  <c r="AL22" i="3"/>
  <c r="BC20" i="3"/>
  <c r="AM20" i="3"/>
  <c r="AL20" i="3"/>
  <c r="C17" i="16"/>
  <c r="C18" i="16" s="1"/>
  <c r="AY20" i="3"/>
  <c r="C10" i="16"/>
  <c r="AG27" i="3"/>
  <c r="BH23" i="3"/>
  <c r="AR28" i="3"/>
  <c r="AD5" i="3"/>
  <c r="BC21" i="3"/>
  <c r="AH22" i="3"/>
  <c r="AX22" i="3"/>
  <c r="BI22" i="3" s="1"/>
  <c r="BB20" i="3"/>
  <c r="AD6" i="3"/>
  <c r="AB5" i="3"/>
  <c r="AN22" i="3"/>
  <c r="AI20" i="3"/>
  <c r="AB6" i="3"/>
  <c r="AI28" i="3"/>
  <c r="AC5" i="3"/>
  <c r="AR12" i="3" l="1"/>
  <c r="AT11" i="3"/>
  <c r="AW9" i="3"/>
  <c r="AX9" i="3"/>
  <c r="AX11" i="3"/>
  <c r="AW12" i="3"/>
  <c r="AR10" i="3"/>
  <c r="AW10" i="3"/>
  <c r="AL12" i="3"/>
  <c r="AL10" i="3"/>
  <c r="AL8" i="3"/>
  <c r="AL9" i="3"/>
  <c r="AL11" i="3"/>
  <c r="AH8" i="3"/>
  <c r="AH11" i="3"/>
  <c r="AH12" i="3"/>
  <c r="AH9" i="3"/>
  <c r="AH10" i="3"/>
  <c r="AT10" i="3"/>
  <c r="AW11" i="3"/>
  <c r="AG8" i="3"/>
  <c r="AG11" i="3"/>
  <c r="AG12" i="3"/>
  <c r="AG10" i="3"/>
  <c r="AG9" i="3"/>
  <c r="AT8" i="3"/>
  <c r="AW8" i="3"/>
  <c r="AT12" i="3"/>
  <c r="AM11" i="3"/>
  <c r="AM10" i="3"/>
  <c r="AM9" i="3"/>
  <c r="AM8" i="3"/>
  <c r="AM12" i="3"/>
  <c r="AT9" i="3"/>
  <c r="AR11" i="3"/>
  <c r="AR8" i="3"/>
  <c r="AS10" i="3"/>
  <c r="AS8" i="3"/>
  <c r="AR9" i="3"/>
  <c r="AN9" i="3"/>
  <c r="AN8" i="3"/>
  <c r="AN12" i="3"/>
  <c r="AN10" i="3"/>
  <c r="AN11" i="3"/>
  <c r="AS9" i="3"/>
  <c r="AS11" i="3"/>
  <c r="AX8" i="3"/>
  <c r="AI8" i="3"/>
  <c r="AI12" i="3"/>
  <c r="AI9" i="3"/>
  <c r="AI10" i="3"/>
  <c r="AI11" i="3"/>
  <c r="AS12" i="3"/>
  <c r="AX10" i="3"/>
  <c r="AY12" i="3"/>
  <c r="AY11" i="3"/>
  <c r="AY10" i="3"/>
  <c r="AY8" i="3"/>
  <c r="AY9" i="3"/>
  <c r="AX12" i="3"/>
  <c r="D7" i="3"/>
  <c r="C7" i="3"/>
  <c r="B7" i="3"/>
  <c r="S7" i="3"/>
  <c r="R7" i="3"/>
  <c r="Q7" i="3"/>
  <c r="H7" i="3"/>
  <c r="I7" i="3"/>
  <c r="G7" i="3"/>
  <c r="AD7" i="3"/>
  <c r="AC7" i="3"/>
  <c r="AB7" i="3"/>
  <c r="N7" i="3"/>
  <c r="M7" i="3"/>
  <c r="L7" i="3"/>
  <c r="X7" i="3"/>
  <c r="W7" i="3"/>
  <c r="Y7" i="3"/>
  <c r="BH20" i="3"/>
  <c r="BI20" i="3"/>
  <c r="AT6" i="3"/>
  <c r="AT7" i="3" s="1"/>
  <c r="AW6" i="3"/>
  <c r="AW7" i="3" s="1"/>
  <c r="BD23" i="3"/>
  <c r="BD10" i="3" s="1"/>
  <c r="AR6" i="3"/>
  <c r="AR7" i="3" s="1"/>
  <c r="AN5" i="3"/>
  <c r="AR5" i="3"/>
  <c r="AX5" i="3"/>
  <c r="AY5" i="3"/>
  <c r="AY6" i="3"/>
  <c r="AY7" i="3" s="1"/>
  <c r="AS6" i="3"/>
  <c r="AS7" i="3" s="1"/>
  <c r="BG27" i="3"/>
  <c r="BH27" i="3"/>
  <c r="BB27" i="3"/>
  <c r="BC27" i="3"/>
  <c r="C12" i="16"/>
  <c r="AX6" i="3"/>
  <c r="AX7" i="3" s="1"/>
  <c r="AL6" i="3"/>
  <c r="AL7" i="3" s="1"/>
  <c r="AL5" i="3"/>
  <c r="C13" i="16"/>
  <c r="AN6" i="3"/>
  <c r="AN7" i="3" s="1"/>
  <c r="BG22" i="3"/>
  <c r="AS5" i="3"/>
  <c r="AW5" i="3"/>
  <c r="AG5" i="3"/>
  <c r="AG6" i="3"/>
  <c r="AG7" i="3" s="1"/>
  <c r="AM6" i="3"/>
  <c r="AM7" i="3" s="1"/>
  <c r="AM5" i="3"/>
  <c r="BB23" i="3"/>
  <c r="BC23" i="3"/>
  <c r="AI6" i="3"/>
  <c r="AI7" i="3" s="1"/>
  <c r="AI5" i="3"/>
  <c r="BB28" i="3"/>
  <c r="BC28" i="3"/>
  <c r="AH5" i="3"/>
  <c r="AH6" i="3"/>
  <c r="AH7" i="3" s="1"/>
  <c r="BB21" i="3"/>
  <c r="BG21" i="3"/>
  <c r="BH21" i="3"/>
  <c r="BC12" i="3" l="1"/>
  <c r="BG10" i="3"/>
  <c r="BB10" i="3"/>
  <c r="BG8" i="3"/>
  <c r="BD11" i="3"/>
  <c r="BB12" i="3"/>
  <c r="BG11" i="3"/>
  <c r="BC9" i="3"/>
  <c r="BB11" i="3"/>
  <c r="BG9" i="3"/>
  <c r="BC11" i="3"/>
  <c r="BB8" i="3"/>
  <c r="BI12" i="3"/>
  <c r="BI8" i="3"/>
  <c r="BI9" i="3"/>
  <c r="BI11" i="3"/>
  <c r="BI10" i="3"/>
  <c r="BG12" i="3"/>
  <c r="BC10" i="3"/>
  <c r="BB9" i="3"/>
  <c r="BH12" i="3"/>
  <c r="BH8" i="3"/>
  <c r="BH11" i="3"/>
  <c r="BH10" i="3"/>
  <c r="BH9" i="3"/>
  <c r="BC8" i="3"/>
  <c r="BD8" i="3"/>
  <c r="BD12" i="3"/>
  <c r="BD9" i="3"/>
  <c r="BD6" i="3"/>
  <c r="BD7" i="3" s="1"/>
  <c r="BD5" i="3"/>
  <c r="E4" i="4"/>
  <c r="BH6" i="3"/>
  <c r="BH7" i="3" s="1"/>
  <c r="BI5" i="3"/>
  <c r="BI6" i="3"/>
  <c r="BI7" i="3" s="1"/>
  <c r="C4" i="4"/>
  <c r="C5" i="4"/>
  <c r="E5" i="4"/>
  <c r="D5" i="4"/>
  <c r="D4" i="4"/>
  <c r="BG5" i="3"/>
  <c r="BG6" i="3"/>
  <c r="BG7" i="3" s="1"/>
  <c r="BC6" i="3"/>
  <c r="BC7" i="3" s="1"/>
  <c r="BC5" i="3"/>
  <c r="BH5" i="3"/>
  <c r="BB5" i="3"/>
  <c r="BB6" i="3"/>
  <c r="BB7" i="3" s="1"/>
  <c r="E4" i="21" l="1"/>
  <c r="E5" i="21"/>
  <c r="D5" i="21"/>
  <c r="C5" i="21"/>
  <c r="C4" i="21"/>
  <c r="D4" i="21"/>
</calcChain>
</file>

<file path=xl/sharedStrings.xml><?xml version="1.0" encoding="utf-8"?>
<sst xmlns="http://schemas.openxmlformats.org/spreadsheetml/2006/main" count="2221" uniqueCount="2053">
  <si>
    <t>Nouvelle pratique pédagogique</t>
  </si>
  <si>
    <t>Pratique pédagogie habituelle</t>
  </si>
  <si>
    <t>Pratique pédagogique habituelle</t>
  </si>
  <si>
    <t>Commentaire</t>
  </si>
  <si>
    <t xml:space="preserve">Note minimale possible </t>
  </si>
  <si>
    <t>Note maximale possible</t>
  </si>
  <si>
    <t>Variante 3</t>
  </si>
  <si>
    <t>Apprenant 5</t>
  </si>
  <si>
    <t>Apprenant 6</t>
  </si>
  <si>
    <t>Apprenant 7</t>
  </si>
  <si>
    <t>Apprenant 8</t>
  </si>
  <si>
    <t>Apprenant 9</t>
  </si>
  <si>
    <t>Apprenant 10</t>
  </si>
  <si>
    <t>Apprenant 11</t>
  </si>
  <si>
    <t>Apprenant 12</t>
  </si>
  <si>
    <t>Apprenant 13</t>
  </si>
  <si>
    <t>Apprenant 14</t>
  </si>
  <si>
    <t>Apprenant 15</t>
  </si>
  <si>
    <t>Apprenant 16</t>
  </si>
  <si>
    <t>Apprenant 17</t>
  </si>
  <si>
    <t>Apprenant 18</t>
  </si>
  <si>
    <t>Apprenant 19</t>
  </si>
  <si>
    <t>Apprenant 20</t>
  </si>
  <si>
    <t>Apprenant 21</t>
  </si>
  <si>
    <t>Apprenant 22</t>
  </si>
  <si>
    <t>Apprenant 23</t>
  </si>
  <si>
    <t>Apprenant 24</t>
  </si>
  <si>
    <t>Apprenant 25</t>
  </si>
  <si>
    <t>Apprenant 26</t>
  </si>
  <si>
    <t>Apprenant 27</t>
  </si>
  <si>
    <t>Apprenant 28</t>
  </si>
  <si>
    <t>Apprenant 29</t>
  </si>
  <si>
    <t>Apprenant 30</t>
  </si>
  <si>
    <t>Apprenant 31</t>
  </si>
  <si>
    <t>Apprenant 32</t>
  </si>
  <si>
    <t>Apprenant 33</t>
  </si>
  <si>
    <t>Apprenant 34</t>
  </si>
  <si>
    <t>Apprenant 35</t>
  </si>
  <si>
    <t>Apprenant 36</t>
  </si>
  <si>
    <t>Apprenant 37</t>
  </si>
  <si>
    <t>Apprenant 38</t>
  </si>
  <si>
    <t>Apprenant 39</t>
  </si>
  <si>
    <t>Apprenant 40</t>
  </si>
  <si>
    <t>Apprenant 41</t>
  </si>
  <si>
    <t>Apprenant 42</t>
  </si>
  <si>
    <t>Apprenant 43</t>
  </si>
  <si>
    <t>Apprenant 44</t>
  </si>
  <si>
    <t>Apprenant 45</t>
  </si>
  <si>
    <t>Apprenant 46</t>
  </si>
  <si>
    <t>Apprenant 47</t>
  </si>
  <si>
    <t>Apprenant 48</t>
  </si>
  <si>
    <t>Apprenant 49</t>
  </si>
  <si>
    <t>Apprenant 50</t>
  </si>
  <si>
    <t>Apprenant 51</t>
  </si>
  <si>
    <t>Apprenant 52</t>
  </si>
  <si>
    <t>Apprenant 53</t>
  </si>
  <si>
    <t>Apprenant 54</t>
  </si>
  <si>
    <t>Apprenant 55</t>
  </si>
  <si>
    <t>Apprenant 56</t>
  </si>
  <si>
    <t>Apprenant 57</t>
  </si>
  <si>
    <t>Apprenant 58</t>
  </si>
  <si>
    <t>Apprenant 59</t>
  </si>
  <si>
    <t>Apprenant 60</t>
  </si>
  <si>
    <t>Apprenant 61</t>
  </si>
  <si>
    <t>Apprenant 62</t>
  </si>
  <si>
    <t>Apprenant 63</t>
  </si>
  <si>
    <t>Apprenant 64</t>
  </si>
  <si>
    <t>Apprenant 65</t>
  </si>
  <si>
    <t>Apprenant 66</t>
  </si>
  <si>
    <t>Apprenant 67</t>
  </si>
  <si>
    <t>Apprenant 68</t>
  </si>
  <si>
    <t>Apprenant 69</t>
  </si>
  <si>
    <t>Apprenant 70</t>
  </si>
  <si>
    <t>Apprenant 71</t>
  </si>
  <si>
    <t>Apprenant 72</t>
  </si>
  <si>
    <t>Apprenant 73</t>
  </si>
  <si>
    <t>Apprenant 74</t>
  </si>
  <si>
    <t>Apprenant 75</t>
  </si>
  <si>
    <t>Apprenant 76</t>
  </si>
  <si>
    <t>Apprenant 77</t>
  </si>
  <si>
    <t>Apprenant 78</t>
  </si>
  <si>
    <t>Apprenant 79</t>
  </si>
  <si>
    <t>Apprenant 80</t>
  </si>
  <si>
    <t>Apprenant 81</t>
  </si>
  <si>
    <t>Apprenant 82</t>
  </si>
  <si>
    <t>Apprenant 83</t>
  </si>
  <si>
    <t>Apprenant 84</t>
  </si>
  <si>
    <t>Apprenant 85</t>
  </si>
  <si>
    <t>Apprenant 86</t>
  </si>
  <si>
    <t>Apprenant 87</t>
  </si>
  <si>
    <t>Apprenant 88</t>
  </si>
  <si>
    <t>Apprenant 89</t>
  </si>
  <si>
    <t>Apprenant 90</t>
  </si>
  <si>
    <t>Apprenant 91</t>
  </si>
  <si>
    <t>Apprenant 92</t>
  </si>
  <si>
    <t>Apprenant 93</t>
  </si>
  <si>
    <t>Apprenant 94</t>
  </si>
  <si>
    <t>Apprenant 95</t>
  </si>
  <si>
    <t>Apprenant 96</t>
  </si>
  <si>
    <t>Apprenant 97</t>
  </si>
  <si>
    <t>Apprenant 98</t>
  </si>
  <si>
    <t>Apprenant 99</t>
  </si>
  <si>
    <t>Apprenant 100</t>
  </si>
  <si>
    <t>Apprenant 101</t>
  </si>
  <si>
    <t>Apprenant 102</t>
  </si>
  <si>
    <t>Apprenant 103</t>
  </si>
  <si>
    <t>Apprenant 104</t>
  </si>
  <si>
    <t>Apprenant 105</t>
  </si>
  <si>
    <t>Apprenant 106</t>
  </si>
  <si>
    <t>Apprenant 107</t>
  </si>
  <si>
    <t>Apprenant 108</t>
  </si>
  <si>
    <t>Apprenant 109</t>
  </si>
  <si>
    <t>Apprenant 110</t>
  </si>
  <si>
    <t>Apprenant 111</t>
  </si>
  <si>
    <t>Apprenant 112</t>
  </si>
  <si>
    <t>Apprenant 113</t>
  </si>
  <si>
    <t>Apprenant 114</t>
  </si>
  <si>
    <t>Apprenant 115</t>
  </si>
  <si>
    <t>Apprenant 116</t>
  </si>
  <si>
    <t>Apprenant 117</t>
  </si>
  <si>
    <t>Apprenant 118</t>
  </si>
  <si>
    <t>Apprenant 119</t>
  </si>
  <si>
    <t>Apprenant 120</t>
  </si>
  <si>
    <t>Apprenant 121</t>
  </si>
  <si>
    <t>Apprenant 122</t>
  </si>
  <si>
    <t>Apprenant 123</t>
  </si>
  <si>
    <t>Apprenant 124</t>
  </si>
  <si>
    <t>Apprenant 125</t>
  </si>
  <si>
    <t>Apprenant 126</t>
  </si>
  <si>
    <t>Apprenant 127</t>
  </si>
  <si>
    <t>Apprenant 128</t>
  </si>
  <si>
    <t>Apprenant 129</t>
  </si>
  <si>
    <t>Apprenant 130</t>
  </si>
  <si>
    <t>Apprenant 131</t>
  </si>
  <si>
    <t>Apprenant 132</t>
  </si>
  <si>
    <t>Apprenant 133</t>
  </si>
  <si>
    <t>Apprenant 134</t>
  </si>
  <si>
    <t>Apprenant 135</t>
  </si>
  <si>
    <t>Apprenant 136</t>
  </si>
  <si>
    <t>Apprenant 137</t>
  </si>
  <si>
    <t>Apprenant 138</t>
  </si>
  <si>
    <t>Apprenant 139</t>
  </si>
  <si>
    <t>Apprenant 140</t>
  </si>
  <si>
    <t>Apprenant 141</t>
  </si>
  <si>
    <t>Apprenant 142</t>
  </si>
  <si>
    <t>Apprenant 143</t>
  </si>
  <si>
    <t>Apprenant 144</t>
  </si>
  <si>
    <t>Apprenant 145</t>
  </si>
  <si>
    <t>Apprenant 146</t>
  </si>
  <si>
    <t>Apprenant 147</t>
  </si>
  <si>
    <t>Apprenant 148</t>
  </si>
  <si>
    <t>Apprenant 149</t>
  </si>
  <si>
    <t>Apprenant 150</t>
  </si>
  <si>
    <t>Apprenant 151</t>
  </si>
  <si>
    <t>Apprenant 152</t>
  </si>
  <si>
    <t>Apprenant 153</t>
  </si>
  <si>
    <t>Apprenant 154</t>
  </si>
  <si>
    <t>Apprenant 155</t>
  </si>
  <si>
    <t>Apprenant 156</t>
  </si>
  <si>
    <t>Apprenant 157</t>
  </si>
  <si>
    <t>Apprenant 158</t>
  </si>
  <si>
    <t>Apprenant 159</t>
  </si>
  <si>
    <t>Apprenant 160</t>
  </si>
  <si>
    <t>Apprenant 161</t>
  </si>
  <si>
    <t>Apprenant 162</t>
  </si>
  <si>
    <t>Apprenant 163</t>
  </si>
  <si>
    <t>Apprenant 164</t>
  </si>
  <si>
    <t>Apprenant 165</t>
  </si>
  <si>
    <t>Apprenant 166</t>
  </si>
  <si>
    <t>Apprenant 167</t>
  </si>
  <si>
    <t>Apprenant 168</t>
  </si>
  <si>
    <t>Apprenant 169</t>
  </si>
  <si>
    <t>Apprenant 170</t>
  </si>
  <si>
    <t>Apprenant 171</t>
  </si>
  <si>
    <t>Apprenant 172</t>
  </si>
  <si>
    <t>Apprenant 173</t>
  </si>
  <si>
    <t>Apprenant 174</t>
  </si>
  <si>
    <t>Apprenant 175</t>
  </si>
  <si>
    <t>Apprenant 176</t>
  </si>
  <si>
    <t>Apprenant 177</t>
  </si>
  <si>
    <t>Apprenant 178</t>
  </si>
  <si>
    <t>Apprenant 179</t>
  </si>
  <si>
    <t>Apprenant 180</t>
  </si>
  <si>
    <t>Apprenant 181</t>
  </si>
  <si>
    <t>Apprenant 182</t>
  </si>
  <si>
    <t>Apprenant 183</t>
  </si>
  <si>
    <t>Apprenant 184</t>
  </si>
  <si>
    <t>Apprenant 185</t>
  </si>
  <si>
    <t>Apprenant 186</t>
  </si>
  <si>
    <t>Apprenant 187</t>
  </si>
  <si>
    <t>Apprenant 188</t>
  </si>
  <si>
    <t>Apprenant 189</t>
  </si>
  <si>
    <t>Apprenant 190</t>
  </si>
  <si>
    <t>Apprenant 191</t>
  </si>
  <si>
    <t>Apprenant 192</t>
  </si>
  <si>
    <t>Apprenant 193</t>
  </si>
  <si>
    <t>Apprenant 194</t>
  </si>
  <si>
    <t>Apprenant 195</t>
  </si>
  <si>
    <t>Apprenant 196</t>
  </si>
  <si>
    <t>Apprenant 197</t>
  </si>
  <si>
    <t>Apprenant 198</t>
  </si>
  <si>
    <t>Apprenant 199</t>
  </si>
  <si>
    <t>Apprenant 200</t>
  </si>
  <si>
    <t>Apprenant 201</t>
  </si>
  <si>
    <t>Apprenant 202</t>
  </si>
  <si>
    <t>Apprenant 203</t>
  </si>
  <si>
    <t>Apprenant 204</t>
  </si>
  <si>
    <t>Apprenant 205</t>
  </si>
  <si>
    <t>Apprenant 206</t>
  </si>
  <si>
    <t>Apprenant 207</t>
  </si>
  <si>
    <t>Apprenant 208</t>
  </si>
  <si>
    <t>Apprenant 209</t>
  </si>
  <si>
    <t>Apprenant 210</t>
  </si>
  <si>
    <t>Apprenant 211</t>
  </si>
  <si>
    <t>Apprenant 212</t>
  </si>
  <si>
    <t>Apprenant 213</t>
  </si>
  <si>
    <t>Apprenant 214</t>
  </si>
  <si>
    <t>Apprenant 215</t>
  </si>
  <si>
    <t>Apprenant 216</t>
  </si>
  <si>
    <t>Apprenant 217</t>
  </si>
  <si>
    <t>Apprenant 218</t>
  </si>
  <si>
    <t>Apprenant 219</t>
  </si>
  <si>
    <t>Apprenant 220</t>
  </si>
  <si>
    <t>Apprenant 221</t>
  </si>
  <si>
    <t>Apprenant 222</t>
  </si>
  <si>
    <t>Apprenant 223</t>
  </si>
  <si>
    <t>Apprenant 224</t>
  </si>
  <si>
    <t>Apprenant 225</t>
  </si>
  <si>
    <t>Apprenant 226</t>
  </si>
  <si>
    <t>Apprenant 227</t>
  </si>
  <si>
    <t>Apprenant 228</t>
  </si>
  <si>
    <t>Apprenant 229</t>
  </si>
  <si>
    <t>Apprenant 230</t>
  </si>
  <si>
    <t>Apprenant 231</t>
  </si>
  <si>
    <t>Apprenant 232</t>
  </si>
  <si>
    <t>Apprenant 233</t>
  </si>
  <si>
    <t>Apprenant 234</t>
  </si>
  <si>
    <t>Apprenant 235</t>
  </si>
  <si>
    <t>Apprenant 236</t>
  </si>
  <si>
    <t>Apprenant 237</t>
  </si>
  <si>
    <t>Apprenant 238</t>
  </si>
  <si>
    <t>Apprenant 239</t>
  </si>
  <si>
    <t>Apprenant 240</t>
  </si>
  <si>
    <t>Apprenant 241</t>
  </si>
  <si>
    <t>Apprenant 242</t>
  </si>
  <si>
    <t>Apprenant 243</t>
  </si>
  <si>
    <t>Apprenant 244</t>
  </si>
  <si>
    <t>Apprenant 245</t>
  </si>
  <si>
    <t>Apprenant 246</t>
  </si>
  <si>
    <t>Apprenant 247</t>
  </si>
  <si>
    <t>Apprenant 248</t>
  </si>
  <si>
    <t>Apprenant 249</t>
  </si>
  <si>
    <t>Apprenant 250</t>
  </si>
  <si>
    <t>Apprenant 251</t>
  </si>
  <si>
    <t>Apprenant 252</t>
  </si>
  <si>
    <t>Apprenant 253</t>
  </si>
  <si>
    <t>Apprenant 254</t>
  </si>
  <si>
    <t>Apprenant 255</t>
  </si>
  <si>
    <t>Apprenant 256</t>
  </si>
  <si>
    <t>Apprenant 257</t>
  </si>
  <si>
    <t>Apprenant 258</t>
  </si>
  <si>
    <t>Apprenant 259</t>
  </si>
  <si>
    <t>Apprenant 260</t>
  </si>
  <si>
    <t>Apprenant 261</t>
  </si>
  <si>
    <t>Apprenant 262</t>
  </si>
  <si>
    <t>Apprenant 263</t>
  </si>
  <si>
    <t>Apprenant 264</t>
  </si>
  <si>
    <t>Apprenant 265</t>
  </si>
  <si>
    <t>Apprenant 266</t>
  </si>
  <si>
    <t>Apprenant 267</t>
  </si>
  <si>
    <t>Apprenant 268</t>
  </si>
  <si>
    <t>Apprenant 269</t>
  </si>
  <si>
    <t>Apprenant 270</t>
  </si>
  <si>
    <t>Apprenant 271</t>
  </si>
  <si>
    <t>Apprenant 272</t>
  </si>
  <si>
    <t>Apprenant 273</t>
  </si>
  <si>
    <t>Apprenant 274</t>
  </si>
  <si>
    <t>Apprenant 275</t>
  </si>
  <si>
    <t>Apprenant 276</t>
  </si>
  <si>
    <t>Apprenant 277</t>
  </si>
  <si>
    <t>Apprenant 278</t>
  </si>
  <si>
    <t>Apprenant 279</t>
  </si>
  <si>
    <t>Apprenant 280</t>
  </si>
  <si>
    <t>Apprenant 281</t>
  </si>
  <si>
    <t>Apprenant 282</t>
  </si>
  <si>
    <t>Apprenant 283</t>
  </si>
  <si>
    <t>Apprenant 284</t>
  </si>
  <si>
    <t>Apprenant 285</t>
  </si>
  <si>
    <t>Apprenant 286</t>
  </si>
  <si>
    <t>Apprenant 287</t>
  </si>
  <si>
    <t>Apprenant 288</t>
  </si>
  <si>
    <t>Apprenant 289</t>
  </si>
  <si>
    <t>Apprenant 290</t>
  </si>
  <si>
    <t>Apprenant 291</t>
  </si>
  <si>
    <t>Apprenant 292</t>
  </si>
  <si>
    <t>Apprenant 293</t>
  </si>
  <si>
    <t>Apprenant 294</t>
  </si>
  <si>
    <t>Apprenant 295</t>
  </si>
  <si>
    <t>Apprenant 296</t>
  </si>
  <si>
    <t>Apprenant 297</t>
  </si>
  <si>
    <t>Apprenant 298</t>
  </si>
  <si>
    <t>Apprenant 299</t>
  </si>
  <si>
    <t>Apprenant 300</t>
  </si>
  <si>
    <t>Apprenant 301</t>
  </si>
  <si>
    <t>Apprenant 302</t>
  </si>
  <si>
    <t>Apprenant 303</t>
  </si>
  <si>
    <t>Apprenant 304</t>
  </si>
  <si>
    <t>Apprenant 305</t>
  </si>
  <si>
    <t>Apprenant 306</t>
  </si>
  <si>
    <t>Apprenant 307</t>
  </si>
  <si>
    <t>Apprenant 308</t>
  </si>
  <si>
    <t>Apprenant 309</t>
  </si>
  <si>
    <t>Apprenant 310</t>
  </si>
  <si>
    <t>Apprenant 311</t>
  </si>
  <si>
    <t>Apprenant 312</t>
  </si>
  <si>
    <t>Apprenant 313</t>
  </si>
  <si>
    <t>Apprenant 314</t>
  </si>
  <si>
    <t>Apprenant 315</t>
  </si>
  <si>
    <t>Apprenant 316</t>
  </si>
  <si>
    <t>Apprenant 317</t>
  </si>
  <si>
    <t>Apprenant 318</t>
  </si>
  <si>
    <t>Apprenant 319</t>
  </si>
  <si>
    <t>Apprenant 320</t>
  </si>
  <si>
    <t>Apprenant 321</t>
  </si>
  <si>
    <t>Apprenant 322</t>
  </si>
  <si>
    <t>Apprenant 323</t>
  </si>
  <si>
    <t>Apprenant 324</t>
  </si>
  <si>
    <t>Apprenant 325</t>
  </si>
  <si>
    <t>Apprenant 326</t>
  </si>
  <si>
    <t>Apprenant 327</t>
  </si>
  <si>
    <t>Apprenant 328</t>
  </si>
  <si>
    <t>Apprenant 329</t>
  </si>
  <si>
    <t>Apprenant 330</t>
  </si>
  <si>
    <t>Apprenant 331</t>
  </si>
  <si>
    <t>Apprenant 332</t>
  </si>
  <si>
    <t>Apprenant 333</t>
  </si>
  <si>
    <t>Apprenant 334</t>
  </si>
  <si>
    <t>Apprenant 335</t>
  </si>
  <si>
    <t>Apprenant 336</t>
  </si>
  <si>
    <t>Apprenant 337</t>
  </si>
  <si>
    <t>Apprenant 338</t>
  </si>
  <si>
    <t>Apprenant 339</t>
  </si>
  <si>
    <t>Apprenant 340</t>
  </si>
  <si>
    <t>Apprenant 341</t>
  </si>
  <si>
    <t>Apprenant 342</t>
  </si>
  <si>
    <t>Apprenant 343</t>
  </si>
  <si>
    <t>Apprenant 344</t>
  </si>
  <si>
    <t>Apprenant 345</t>
  </si>
  <si>
    <t>Apprenant 346</t>
  </si>
  <si>
    <t>Apprenant 347</t>
  </si>
  <si>
    <t>Apprenant 348</t>
  </si>
  <si>
    <t>Apprenant 349</t>
  </si>
  <si>
    <t>Apprenant 350</t>
  </si>
  <si>
    <t>Apprenant 351</t>
  </si>
  <si>
    <t>Apprenant 352</t>
  </si>
  <si>
    <t>Apprenant 353</t>
  </si>
  <si>
    <t>Apprenant 354</t>
  </si>
  <si>
    <t>Apprenant 355</t>
  </si>
  <si>
    <t>Apprenant 356</t>
  </si>
  <si>
    <t>Apprenant 357</t>
  </si>
  <si>
    <t>Apprenant 358</t>
  </si>
  <si>
    <t>Apprenant 359</t>
  </si>
  <si>
    <t>Apprenant 360</t>
  </si>
  <si>
    <t>Apprenant 361</t>
  </si>
  <si>
    <t>Apprenant 362</t>
  </si>
  <si>
    <t>Apprenant 363</t>
  </si>
  <si>
    <t>Apprenant 364</t>
  </si>
  <si>
    <t>Apprenant 365</t>
  </si>
  <si>
    <t>Apprenant 366</t>
  </si>
  <si>
    <t>Apprenant 367</t>
  </si>
  <si>
    <t>Apprenant 368</t>
  </si>
  <si>
    <t>Apprenant 369</t>
  </si>
  <si>
    <t>Apprenant 370</t>
  </si>
  <si>
    <t>Apprenant 371</t>
  </si>
  <si>
    <t>Apprenant 372</t>
  </si>
  <si>
    <t>Apprenant 373</t>
  </si>
  <si>
    <t>Apprenant 374</t>
  </si>
  <si>
    <t>Apprenant 375</t>
  </si>
  <si>
    <t>Apprenant 376</t>
  </si>
  <si>
    <t>Apprenant 377</t>
  </si>
  <si>
    <t>Apprenant 378</t>
  </si>
  <si>
    <t>Apprenant 379</t>
  </si>
  <si>
    <t>Apprenant 380</t>
  </si>
  <si>
    <t>Apprenant 381</t>
  </si>
  <si>
    <t>Apprenant 382</t>
  </si>
  <si>
    <t>Apprenant 383</t>
  </si>
  <si>
    <t>Apprenant 384</t>
  </si>
  <si>
    <t>Apprenant 385</t>
  </si>
  <si>
    <t>Apprenant 386</t>
  </si>
  <si>
    <t>Apprenant 387</t>
  </si>
  <si>
    <t>Apprenant 388</t>
  </si>
  <si>
    <t>Apprenant 389</t>
  </si>
  <si>
    <t>Apprenant 390</t>
  </si>
  <si>
    <t>Apprenant 391</t>
  </si>
  <si>
    <t>Apprenant 392</t>
  </si>
  <si>
    <t>Apprenant 393</t>
  </si>
  <si>
    <t>Apprenant 394</t>
  </si>
  <si>
    <t>Apprenant 395</t>
  </si>
  <si>
    <t>Apprenant 396</t>
  </si>
  <si>
    <t>Apprenant 397</t>
  </si>
  <si>
    <t>Apprenant 398</t>
  </si>
  <si>
    <t>Apprenant 399</t>
  </si>
  <si>
    <t>Apprenant 400</t>
  </si>
  <si>
    <t>Apprenant 401</t>
  </si>
  <si>
    <t>Apprenant 402</t>
  </si>
  <si>
    <t>Apprenant 403</t>
  </si>
  <si>
    <t>Apprenant 404</t>
  </si>
  <si>
    <t>Apprenant 405</t>
  </si>
  <si>
    <t>Apprenant 406</t>
  </si>
  <si>
    <t>Apprenant 407</t>
  </si>
  <si>
    <t>Apprenant 408</t>
  </si>
  <si>
    <t>Apprenant 409</t>
  </si>
  <si>
    <t>Apprenant 410</t>
  </si>
  <si>
    <t>Apprenant 411</t>
  </si>
  <si>
    <t>Apprenant 412</t>
  </si>
  <si>
    <t>Apprenant 413</t>
  </si>
  <si>
    <t>Apprenant 414</t>
  </si>
  <si>
    <t>Apprenant 415</t>
  </si>
  <si>
    <t>Apprenant 416</t>
  </si>
  <si>
    <t>Apprenant 417</t>
  </si>
  <si>
    <t>Apprenant 418</t>
  </si>
  <si>
    <t>Apprenant 419</t>
  </si>
  <si>
    <t>Apprenant 420</t>
  </si>
  <si>
    <t>Apprenant 421</t>
  </si>
  <si>
    <t>Apprenant 422</t>
  </si>
  <si>
    <t>Apprenant 423</t>
  </si>
  <si>
    <t>Apprenant 424</t>
  </si>
  <si>
    <t>Apprenant 425</t>
  </si>
  <si>
    <t>Apprenant 426</t>
  </si>
  <si>
    <t>Apprenant 427</t>
  </si>
  <si>
    <t>Apprenant 428</t>
  </si>
  <si>
    <t>Apprenant 429</t>
  </si>
  <si>
    <t>Apprenant 430</t>
  </si>
  <si>
    <t>Apprenant 431</t>
  </si>
  <si>
    <t>Apprenant 432</t>
  </si>
  <si>
    <t>Apprenant 433</t>
  </si>
  <si>
    <t>Apprenant 434</t>
  </si>
  <si>
    <t>Apprenant 435</t>
  </si>
  <si>
    <t>Apprenant 436</t>
  </si>
  <si>
    <t>Apprenant 437</t>
  </si>
  <si>
    <t>Apprenant 438</t>
  </si>
  <si>
    <t>Apprenant 439</t>
  </si>
  <si>
    <t>Apprenant 440</t>
  </si>
  <si>
    <t>Apprenant 441</t>
  </si>
  <si>
    <t>Apprenant 442</t>
  </si>
  <si>
    <t>Apprenant 443</t>
  </si>
  <si>
    <t>Apprenant 444</t>
  </si>
  <si>
    <t>Apprenant 445</t>
  </si>
  <si>
    <t>Apprenant 446</t>
  </si>
  <si>
    <t>Apprenant 447</t>
  </si>
  <si>
    <t>Apprenant 448</t>
  </si>
  <si>
    <t>Apprenant 449</t>
  </si>
  <si>
    <t>Apprenant 450</t>
  </si>
  <si>
    <t>Apprenant 451</t>
  </si>
  <si>
    <t>Apprenant 452</t>
  </si>
  <si>
    <t>Apprenant 453</t>
  </si>
  <si>
    <t>Apprenant 454</t>
  </si>
  <si>
    <t>Apprenant 455</t>
  </si>
  <si>
    <t>Apprenant 456</t>
  </si>
  <si>
    <t>Apprenant 457</t>
  </si>
  <si>
    <t>Apprenant 458</t>
  </si>
  <si>
    <t>Apprenant 459</t>
  </si>
  <si>
    <t>Apprenant 460</t>
  </si>
  <si>
    <t>Apprenant 461</t>
  </si>
  <si>
    <t>Apprenant 462</t>
  </si>
  <si>
    <t>Apprenant 463</t>
  </si>
  <si>
    <t>Apprenant 464</t>
  </si>
  <si>
    <t>Apprenant 465</t>
  </si>
  <si>
    <t>Apprenant 466</t>
  </si>
  <si>
    <t>Apprenant 467</t>
  </si>
  <si>
    <t>Apprenant 468</t>
  </si>
  <si>
    <t>Apprenant 469</t>
  </si>
  <si>
    <t>Apprenant 470</t>
  </si>
  <si>
    <t>Apprenant 471</t>
  </si>
  <si>
    <t>Apprenant 472</t>
  </si>
  <si>
    <t>Apprenant 473</t>
  </si>
  <si>
    <t>Apprenant 474</t>
  </si>
  <si>
    <t>Apprenant 475</t>
  </si>
  <si>
    <t>Apprenant 476</t>
  </si>
  <si>
    <t>Apprenant 477</t>
  </si>
  <si>
    <t>Apprenant 478</t>
  </si>
  <si>
    <t>Apprenant 479</t>
  </si>
  <si>
    <t>Apprenant 480</t>
  </si>
  <si>
    <t>Apprenant 481</t>
  </si>
  <si>
    <t>Apprenant 482</t>
  </si>
  <si>
    <t>Apprenant 483</t>
  </si>
  <si>
    <t>Apprenant 484</t>
  </si>
  <si>
    <t>Apprenant 485</t>
  </si>
  <si>
    <t>Apprenant 486</t>
  </si>
  <si>
    <t>Apprenant 487</t>
  </si>
  <si>
    <t>Apprenant 488</t>
  </si>
  <si>
    <t>Apprenant 489</t>
  </si>
  <si>
    <t>Apprenant 490</t>
  </si>
  <si>
    <t>Apprenant 491</t>
  </si>
  <si>
    <t>Apprenant 492</t>
  </si>
  <si>
    <t>Apprenant 493</t>
  </si>
  <si>
    <t>Apprenant 494</t>
  </si>
  <si>
    <t>Apprenant 495</t>
  </si>
  <si>
    <t>Apprenant 496</t>
  </si>
  <si>
    <t>Apprenant 497</t>
  </si>
  <si>
    <t>Apprenant 498</t>
  </si>
  <si>
    <t>Apprenant 499</t>
  </si>
  <si>
    <t>Apprenant 500</t>
  </si>
  <si>
    <t>Apprenant 501</t>
  </si>
  <si>
    <t>Apprenant 502</t>
  </si>
  <si>
    <t>Apprenant 503</t>
  </si>
  <si>
    <t>Apprenant 504</t>
  </si>
  <si>
    <t>Apprenant 505</t>
  </si>
  <si>
    <t>Apprenant 506</t>
  </si>
  <si>
    <t>Apprenant 507</t>
  </si>
  <si>
    <t>Apprenant 508</t>
  </si>
  <si>
    <t>Apprenant 509</t>
  </si>
  <si>
    <t>Apprenant 510</t>
  </si>
  <si>
    <t>Apprenant 511</t>
  </si>
  <si>
    <t>Apprenant 512</t>
  </si>
  <si>
    <t>Apprenant 513</t>
  </si>
  <si>
    <t>Apprenant 514</t>
  </si>
  <si>
    <t>Apprenant 515</t>
  </si>
  <si>
    <t>Apprenant 516</t>
  </si>
  <si>
    <t>Apprenant 517</t>
  </si>
  <si>
    <t>Apprenant 518</t>
  </si>
  <si>
    <t>Apprenant 519</t>
  </si>
  <si>
    <t>Apprenant 520</t>
  </si>
  <si>
    <t>Apprenant 521</t>
  </si>
  <si>
    <t>Apprenant 522</t>
  </si>
  <si>
    <t>Apprenant 523</t>
  </si>
  <si>
    <t>Apprenant 524</t>
  </si>
  <si>
    <t>Apprenant 525</t>
  </si>
  <si>
    <t>Apprenant 526</t>
  </si>
  <si>
    <t>Apprenant 527</t>
  </si>
  <si>
    <t>Apprenant 528</t>
  </si>
  <si>
    <t>Apprenant 529</t>
  </si>
  <si>
    <t>Apprenant 530</t>
  </si>
  <si>
    <t>Apprenant 531</t>
  </si>
  <si>
    <t>Apprenant 532</t>
  </si>
  <si>
    <t>Apprenant 533</t>
  </si>
  <si>
    <t>Apprenant 534</t>
  </si>
  <si>
    <t>Apprenant 535</t>
  </si>
  <si>
    <t>Apprenant 536</t>
  </si>
  <si>
    <t>Apprenant 537</t>
  </si>
  <si>
    <t>Apprenant 538</t>
  </si>
  <si>
    <t>Apprenant 539</t>
  </si>
  <si>
    <t>Apprenant 540</t>
  </si>
  <si>
    <t>Apprenant 541</t>
  </si>
  <si>
    <t>Apprenant 542</t>
  </si>
  <si>
    <t>Apprenant 543</t>
  </si>
  <si>
    <t>Apprenant 544</t>
  </si>
  <si>
    <t>Apprenant 545</t>
  </si>
  <si>
    <t>Apprenant 546</t>
  </si>
  <si>
    <t>Apprenant 547</t>
  </si>
  <si>
    <t>Apprenant 548</t>
  </si>
  <si>
    <t>Apprenant 549</t>
  </si>
  <si>
    <t>Apprenant 550</t>
  </si>
  <si>
    <t>Apprenant 551</t>
  </si>
  <si>
    <t>Apprenant 552</t>
  </si>
  <si>
    <t>Apprenant 553</t>
  </si>
  <si>
    <t>Apprenant 554</t>
  </si>
  <si>
    <t>Apprenant 555</t>
  </si>
  <si>
    <t>Apprenant 556</t>
  </si>
  <si>
    <t>Apprenant 557</t>
  </si>
  <si>
    <t>Apprenant 558</t>
  </si>
  <si>
    <t>Apprenant 559</t>
  </si>
  <si>
    <t>Apprenant 560</t>
  </si>
  <si>
    <t>Apprenant 561</t>
  </si>
  <si>
    <t>Apprenant 562</t>
  </si>
  <si>
    <t>Apprenant 563</t>
  </si>
  <si>
    <t>Apprenant 564</t>
  </si>
  <si>
    <t>Apprenant 565</t>
  </si>
  <si>
    <t>Apprenant 566</t>
  </si>
  <si>
    <t>Apprenant 567</t>
  </si>
  <si>
    <t>Apprenant 568</t>
  </si>
  <si>
    <t>Apprenant 569</t>
  </si>
  <si>
    <t>Apprenant 570</t>
  </si>
  <si>
    <t>Apprenant 571</t>
  </si>
  <si>
    <t>Apprenant 572</t>
  </si>
  <si>
    <t>Apprenant 573</t>
  </si>
  <si>
    <t>Apprenant 574</t>
  </si>
  <si>
    <t>Apprenant 575</t>
  </si>
  <si>
    <t>Apprenant 576</t>
  </si>
  <si>
    <t>Apprenant 577</t>
  </si>
  <si>
    <t>Apprenant 578</t>
  </si>
  <si>
    <t>Apprenant 579</t>
  </si>
  <si>
    <t>Apprenant 580</t>
  </si>
  <si>
    <t>Apprenant 581</t>
  </si>
  <si>
    <t>Apprenant 582</t>
  </si>
  <si>
    <t>Apprenant 583</t>
  </si>
  <si>
    <t>Apprenant 584</t>
  </si>
  <si>
    <t>Apprenant 585</t>
  </si>
  <si>
    <t>Apprenant 586</t>
  </si>
  <si>
    <t>Apprenant 587</t>
  </si>
  <si>
    <t>Apprenant 588</t>
  </si>
  <si>
    <t>Apprenant 589</t>
  </si>
  <si>
    <t>Apprenant 590</t>
  </si>
  <si>
    <t>Apprenant 591</t>
  </si>
  <si>
    <t>Apprenant 592</t>
  </si>
  <si>
    <t>Apprenant 593</t>
  </si>
  <si>
    <t>Apprenant 594</t>
  </si>
  <si>
    <t>Apprenant 595</t>
  </si>
  <si>
    <t>Apprenant 596</t>
  </si>
  <si>
    <t>Apprenant 597</t>
  </si>
  <si>
    <t>Apprenant 598</t>
  </si>
  <si>
    <t>Apprenant 599</t>
  </si>
  <si>
    <t>Apprenant 600</t>
  </si>
  <si>
    <t>Apprenant 601</t>
  </si>
  <si>
    <t>Apprenant 602</t>
  </si>
  <si>
    <t>Apprenant 603</t>
  </si>
  <si>
    <t>Apprenant 604</t>
  </si>
  <si>
    <t>Apprenant 605</t>
  </si>
  <si>
    <t>Apprenant 606</t>
  </si>
  <si>
    <t>Apprenant 607</t>
  </si>
  <si>
    <t>Apprenant 608</t>
  </si>
  <si>
    <t>Apprenant 609</t>
  </si>
  <si>
    <t>Apprenant 610</t>
  </si>
  <si>
    <t>Apprenant 611</t>
  </si>
  <si>
    <t>Apprenant 612</t>
  </si>
  <si>
    <t>Apprenant 613</t>
  </si>
  <si>
    <t>Apprenant 614</t>
  </si>
  <si>
    <t>Apprenant 615</t>
  </si>
  <si>
    <t>Apprenant 616</t>
  </si>
  <si>
    <t>Apprenant 617</t>
  </si>
  <si>
    <t>Apprenant 618</t>
  </si>
  <si>
    <t>Apprenant 619</t>
  </si>
  <si>
    <t>Apprenant 620</t>
  </si>
  <si>
    <t>Apprenant 621</t>
  </si>
  <si>
    <t>Apprenant 622</t>
  </si>
  <si>
    <t>Apprenant 623</t>
  </si>
  <si>
    <t>Apprenant 624</t>
  </si>
  <si>
    <t>Apprenant 625</t>
  </si>
  <si>
    <t>Apprenant 626</t>
  </si>
  <si>
    <t>Apprenant 627</t>
  </si>
  <si>
    <t>Apprenant 628</t>
  </si>
  <si>
    <t>Apprenant 629</t>
  </si>
  <si>
    <t>Apprenant 630</t>
  </si>
  <si>
    <t>Apprenant 631</t>
  </si>
  <si>
    <t>Apprenant 632</t>
  </si>
  <si>
    <t>Apprenant 633</t>
  </si>
  <si>
    <t>Apprenant 634</t>
  </si>
  <si>
    <t>Apprenant 635</t>
  </si>
  <si>
    <t>Apprenant 636</t>
  </si>
  <si>
    <t>Apprenant 637</t>
  </si>
  <si>
    <t>Apprenant 638</t>
  </si>
  <si>
    <t>Apprenant 639</t>
  </si>
  <si>
    <t>Apprenant 640</t>
  </si>
  <si>
    <t>Apprenant 641</t>
  </si>
  <si>
    <t>Apprenant 642</t>
  </si>
  <si>
    <t>Apprenant 643</t>
  </si>
  <si>
    <t>Apprenant 644</t>
  </si>
  <si>
    <t>Apprenant 645</t>
  </si>
  <si>
    <t>Apprenant 646</t>
  </si>
  <si>
    <t>Apprenant 647</t>
  </si>
  <si>
    <t>Apprenant 648</t>
  </si>
  <si>
    <t>Apprenant 649</t>
  </si>
  <si>
    <t>Apprenant 650</t>
  </si>
  <si>
    <t>Apprenant 651</t>
  </si>
  <si>
    <t>Apprenant 652</t>
  </si>
  <si>
    <t>Apprenant 653</t>
  </si>
  <si>
    <t>Apprenant 654</t>
  </si>
  <si>
    <t>Apprenant 655</t>
  </si>
  <si>
    <t>Apprenant 656</t>
  </si>
  <si>
    <t>Apprenant 657</t>
  </si>
  <si>
    <t>Apprenant 658</t>
  </si>
  <si>
    <t>Apprenant 659</t>
  </si>
  <si>
    <t>Apprenant 660</t>
  </si>
  <si>
    <t>Apprenant 661</t>
  </si>
  <si>
    <t>Apprenant 662</t>
  </si>
  <si>
    <t>Apprenant 663</t>
  </si>
  <si>
    <t>Apprenant 664</t>
  </si>
  <si>
    <t>Apprenant 665</t>
  </si>
  <si>
    <t>Apprenant 666</t>
  </si>
  <si>
    <t>Apprenant 667</t>
  </si>
  <si>
    <t>Apprenant 668</t>
  </si>
  <si>
    <t>Apprenant 669</t>
  </si>
  <si>
    <t>Apprenant 670</t>
  </si>
  <si>
    <t>Apprenant 671</t>
  </si>
  <si>
    <t>Apprenant 672</t>
  </si>
  <si>
    <t>Apprenant 673</t>
  </si>
  <si>
    <t>Apprenant 674</t>
  </si>
  <si>
    <t>Apprenant 675</t>
  </si>
  <si>
    <t>Apprenant 676</t>
  </si>
  <si>
    <t>Apprenant 677</t>
  </si>
  <si>
    <t>Apprenant 678</t>
  </si>
  <si>
    <t>Apprenant 679</t>
  </si>
  <si>
    <t>Apprenant 680</t>
  </si>
  <si>
    <t>Apprenant 681</t>
  </si>
  <si>
    <t>Apprenant 682</t>
  </si>
  <si>
    <t>Apprenant 683</t>
  </si>
  <si>
    <t>Apprenant 684</t>
  </si>
  <si>
    <t>Apprenant 685</t>
  </si>
  <si>
    <t>Apprenant 686</t>
  </si>
  <si>
    <t>Apprenant 687</t>
  </si>
  <si>
    <t>Apprenant 688</t>
  </si>
  <si>
    <t>Apprenant 689</t>
  </si>
  <si>
    <t>Apprenant 690</t>
  </si>
  <si>
    <t>Apprenant 691</t>
  </si>
  <si>
    <t>Apprenant 692</t>
  </si>
  <si>
    <t>Apprenant 693</t>
  </si>
  <si>
    <t>Apprenant 694</t>
  </si>
  <si>
    <t>Apprenant 695</t>
  </si>
  <si>
    <t>Apprenant 696</t>
  </si>
  <si>
    <t>Apprenant 697</t>
  </si>
  <si>
    <t>Apprenant 698</t>
  </si>
  <si>
    <t>Apprenant 699</t>
  </si>
  <si>
    <t>Apprenant 700</t>
  </si>
  <si>
    <t>Apprenant 701</t>
  </si>
  <si>
    <t>Apprenant 702</t>
  </si>
  <si>
    <t>Apprenant 703</t>
  </si>
  <si>
    <t>Apprenant 704</t>
  </si>
  <si>
    <t>Apprenant 705</t>
  </si>
  <si>
    <t>Apprenant 706</t>
  </si>
  <si>
    <t>Apprenant 707</t>
  </si>
  <si>
    <t>Apprenant 708</t>
  </si>
  <si>
    <t>Apprenant 709</t>
  </si>
  <si>
    <t>Apprenant 710</t>
  </si>
  <si>
    <t>Apprenant 711</t>
  </si>
  <si>
    <t>Apprenant 712</t>
  </si>
  <si>
    <t>Apprenant 713</t>
  </si>
  <si>
    <t>Apprenant 714</t>
  </si>
  <si>
    <t>Apprenant 715</t>
  </si>
  <si>
    <t>Apprenant 716</t>
  </si>
  <si>
    <t>Apprenant 717</t>
  </si>
  <si>
    <t>Apprenant 718</t>
  </si>
  <si>
    <t>Apprenant 719</t>
  </si>
  <si>
    <t>Apprenant 720</t>
  </si>
  <si>
    <t>Apprenant 721</t>
  </si>
  <si>
    <t>Apprenant 722</t>
  </si>
  <si>
    <t>Apprenant 723</t>
  </si>
  <si>
    <t>Apprenant 724</t>
  </si>
  <si>
    <t>Apprenant 725</t>
  </si>
  <si>
    <t>Apprenant 726</t>
  </si>
  <si>
    <t>Apprenant 727</t>
  </si>
  <si>
    <t>Apprenant 728</t>
  </si>
  <si>
    <t>Apprenant 729</t>
  </si>
  <si>
    <t>Apprenant 730</t>
  </si>
  <si>
    <t>Apprenant 731</t>
  </si>
  <si>
    <t>Apprenant 732</t>
  </si>
  <si>
    <t>Apprenant 733</t>
  </si>
  <si>
    <t>Apprenant 734</t>
  </si>
  <si>
    <t>Apprenant 735</t>
  </si>
  <si>
    <t>Apprenant 736</t>
  </si>
  <si>
    <t>Apprenant 737</t>
  </si>
  <si>
    <t>Apprenant 738</t>
  </si>
  <si>
    <t>Apprenant 739</t>
  </si>
  <si>
    <t>Apprenant 740</t>
  </si>
  <si>
    <t>Apprenant 741</t>
  </si>
  <si>
    <t>Apprenant 742</t>
  </si>
  <si>
    <t>Apprenant 743</t>
  </si>
  <si>
    <t>Apprenant 744</t>
  </si>
  <si>
    <t>Apprenant 745</t>
  </si>
  <si>
    <t>Apprenant 746</t>
  </si>
  <si>
    <t>Apprenant 747</t>
  </si>
  <si>
    <t>Apprenant 748</t>
  </si>
  <si>
    <t>Apprenant 749</t>
  </si>
  <si>
    <t>Apprenant 750</t>
  </si>
  <si>
    <t>Apprenant 751</t>
  </si>
  <si>
    <t>Apprenant 752</t>
  </si>
  <si>
    <t>Apprenant 753</t>
  </si>
  <si>
    <t>Apprenant 754</t>
  </si>
  <si>
    <t>Apprenant 755</t>
  </si>
  <si>
    <t>Apprenant 756</t>
  </si>
  <si>
    <t>Apprenant 757</t>
  </si>
  <si>
    <t>Apprenant 758</t>
  </si>
  <si>
    <t>Apprenant 759</t>
  </si>
  <si>
    <t>Apprenant 760</t>
  </si>
  <si>
    <t>Apprenant 761</t>
  </si>
  <si>
    <t>Apprenant 762</t>
  </si>
  <si>
    <t>Apprenant 763</t>
  </si>
  <si>
    <t>Apprenant 764</t>
  </si>
  <si>
    <t>Apprenant 765</t>
  </si>
  <si>
    <t>Apprenant 766</t>
  </si>
  <si>
    <t>Apprenant 767</t>
  </si>
  <si>
    <t>Apprenant 768</t>
  </si>
  <si>
    <t>Apprenant 769</t>
  </si>
  <si>
    <t>Apprenant 770</t>
  </si>
  <si>
    <t>Apprenant 771</t>
  </si>
  <si>
    <t>Apprenant 772</t>
  </si>
  <si>
    <t>Apprenant 773</t>
  </si>
  <si>
    <t>Apprenant 774</t>
  </si>
  <si>
    <t>Apprenant 775</t>
  </si>
  <si>
    <t>Apprenant 776</t>
  </si>
  <si>
    <t>Apprenant 777</t>
  </si>
  <si>
    <t>Apprenant 778</t>
  </si>
  <si>
    <t>Apprenant 779</t>
  </si>
  <si>
    <t>Apprenant 780</t>
  </si>
  <si>
    <t>Apprenant 781</t>
  </si>
  <si>
    <t>Apprenant 782</t>
  </si>
  <si>
    <t>Apprenant 783</t>
  </si>
  <si>
    <t>Apprenant 784</t>
  </si>
  <si>
    <t>Apprenant 785</t>
  </si>
  <si>
    <t>Apprenant 786</t>
  </si>
  <si>
    <t>Apprenant 787</t>
  </si>
  <si>
    <t>Apprenant 788</t>
  </si>
  <si>
    <t>Apprenant 789</t>
  </si>
  <si>
    <t>Apprenant 790</t>
  </si>
  <si>
    <t>Apprenant 791</t>
  </si>
  <si>
    <t>Apprenant 792</t>
  </si>
  <si>
    <t>Apprenant 793</t>
  </si>
  <si>
    <t>Apprenant 794</t>
  </si>
  <si>
    <t>Apprenant 795</t>
  </si>
  <si>
    <t>Apprenant 796</t>
  </si>
  <si>
    <t>Apprenant 797</t>
  </si>
  <si>
    <t>Apprenant 798</t>
  </si>
  <si>
    <t>Apprenant 799</t>
  </si>
  <si>
    <t>Apprenant 800</t>
  </si>
  <si>
    <t>Apprenant 801</t>
  </si>
  <si>
    <t>Apprenant 802</t>
  </si>
  <si>
    <t>Apprenant 803</t>
  </si>
  <si>
    <t>Apprenant 804</t>
  </si>
  <si>
    <t>Apprenant 805</t>
  </si>
  <si>
    <t>Apprenant 806</t>
  </si>
  <si>
    <t>Apprenant 807</t>
  </si>
  <si>
    <t>Apprenant 808</t>
  </si>
  <si>
    <t>Apprenant 809</t>
  </si>
  <si>
    <t>Apprenant 810</t>
  </si>
  <si>
    <t>Apprenant 811</t>
  </si>
  <si>
    <t>Apprenant 812</t>
  </si>
  <si>
    <t>Apprenant 813</t>
  </si>
  <si>
    <t>Apprenant 814</t>
  </si>
  <si>
    <t>Apprenant 815</t>
  </si>
  <si>
    <t>Apprenant 816</t>
  </si>
  <si>
    <t>Apprenant 817</t>
  </si>
  <si>
    <t>Apprenant 818</t>
  </si>
  <si>
    <t>Apprenant 819</t>
  </si>
  <si>
    <t>Apprenant 820</t>
  </si>
  <si>
    <t>Apprenant 821</t>
  </si>
  <si>
    <t>Apprenant 822</t>
  </si>
  <si>
    <t>Apprenant 823</t>
  </si>
  <si>
    <t>Apprenant 824</t>
  </si>
  <si>
    <t>Apprenant 825</t>
  </si>
  <si>
    <t>Apprenant 826</t>
  </si>
  <si>
    <t>Apprenant 827</t>
  </si>
  <si>
    <t>Apprenant 828</t>
  </si>
  <si>
    <t>Apprenant 829</t>
  </si>
  <si>
    <t>Apprenant 830</t>
  </si>
  <si>
    <t>Apprenant 831</t>
  </si>
  <si>
    <t>Apprenant 832</t>
  </si>
  <si>
    <t>Apprenant 833</t>
  </si>
  <si>
    <t>Apprenant 834</t>
  </si>
  <si>
    <t>Apprenant 835</t>
  </si>
  <si>
    <t>Apprenant 836</t>
  </si>
  <si>
    <t>Apprenant 837</t>
  </si>
  <si>
    <t>Apprenant 838</t>
  </si>
  <si>
    <t>Apprenant 839</t>
  </si>
  <si>
    <t>Apprenant 840</t>
  </si>
  <si>
    <t>Apprenant 841</t>
  </si>
  <si>
    <t>Apprenant 842</t>
  </si>
  <si>
    <t>Apprenant 843</t>
  </si>
  <si>
    <t>Apprenant 844</t>
  </si>
  <si>
    <t>Apprenant 845</t>
  </si>
  <si>
    <t>Apprenant 846</t>
  </si>
  <si>
    <t>Apprenant 847</t>
  </si>
  <si>
    <t>Apprenant 848</t>
  </si>
  <si>
    <t>Apprenant 849</t>
  </si>
  <si>
    <t>Apprenant 850</t>
  </si>
  <si>
    <t>Apprenant 851</t>
  </si>
  <si>
    <t>Apprenant 852</t>
  </si>
  <si>
    <t>Apprenant 853</t>
  </si>
  <si>
    <t>Apprenant 854</t>
  </si>
  <si>
    <t>Apprenant 855</t>
  </si>
  <si>
    <t>Apprenant 856</t>
  </si>
  <si>
    <t>Apprenant 857</t>
  </si>
  <si>
    <t>Apprenant 858</t>
  </si>
  <si>
    <t>Apprenant 859</t>
  </si>
  <si>
    <t>Apprenant 860</t>
  </si>
  <si>
    <t>Apprenant 861</t>
  </si>
  <si>
    <t>Apprenant 862</t>
  </si>
  <si>
    <t>Apprenant 863</t>
  </si>
  <si>
    <t>Apprenant 864</t>
  </si>
  <si>
    <t>Apprenant 865</t>
  </si>
  <si>
    <t>Apprenant 866</t>
  </si>
  <si>
    <t>Apprenant 867</t>
  </si>
  <si>
    <t>Apprenant 868</t>
  </si>
  <si>
    <t>Apprenant 869</t>
  </si>
  <si>
    <t>Apprenant 870</t>
  </si>
  <si>
    <t>Apprenant 871</t>
  </si>
  <si>
    <t>Apprenant 872</t>
  </si>
  <si>
    <t>Apprenant 873</t>
  </si>
  <si>
    <t>Apprenant 874</t>
  </si>
  <si>
    <t>Apprenant 875</t>
  </si>
  <si>
    <t>Apprenant 876</t>
  </si>
  <si>
    <t>Apprenant 877</t>
  </si>
  <si>
    <t>Apprenant 878</t>
  </si>
  <si>
    <t>Apprenant 879</t>
  </si>
  <si>
    <t>Apprenant 880</t>
  </si>
  <si>
    <t>Apprenant 881</t>
  </si>
  <si>
    <t>Apprenant 882</t>
  </si>
  <si>
    <t>Apprenant 883</t>
  </si>
  <si>
    <t>Apprenant 884</t>
  </si>
  <si>
    <t>Apprenant 885</t>
  </si>
  <si>
    <t>Apprenant 886</t>
  </si>
  <si>
    <t>Apprenant 887</t>
  </si>
  <si>
    <t>Apprenant 888</t>
  </si>
  <si>
    <t>Apprenant 889</t>
  </si>
  <si>
    <t>Apprenant 890</t>
  </si>
  <si>
    <t>Apprenant 891</t>
  </si>
  <si>
    <t>Apprenant 892</t>
  </si>
  <si>
    <t>Apprenant 893</t>
  </si>
  <si>
    <t>Apprenant 894</t>
  </si>
  <si>
    <t>Apprenant 895</t>
  </si>
  <si>
    <t>Apprenant 896</t>
  </si>
  <si>
    <t>Apprenant 897</t>
  </si>
  <si>
    <t>Apprenant 898</t>
  </si>
  <si>
    <t>Apprenant 899</t>
  </si>
  <si>
    <t>Apprenant 900</t>
  </si>
  <si>
    <t>Apprenant 901</t>
  </si>
  <si>
    <t>Apprenant 902</t>
  </si>
  <si>
    <t>Apprenant 903</t>
  </si>
  <si>
    <t>Apprenant 904</t>
  </si>
  <si>
    <t>Apprenant 905</t>
  </si>
  <si>
    <t>Apprenant 906</t>
  </si>
  <si>
    <t>Apprenant 907</t>
  </si>
  <si>
    <t>Apprenant 908</t>
  </si>
  <si>
    <t>Apprenant 909</t>
  </si>
  <si>
    <t>Apprenant 910</t>
  </si>
  <si>
    <t>Apprenant 911</t>
  </si>
  <si>
    <t>Apprenant 912</t>
  </si>
  <si>
    <t>Apprenant 913</t>
  </si>
  <si>
    <t>Apprenant 914</t>
  </si>
  <si>
    <t>Apprenant 915</t>
  </si>
  <si>
    <t>Apprenant 916</t>
  </si>
  <si>
    <t>Apprenant 917</t>
  </si>
  <si>
    <t>Apprenant 918</t>
  </si>
  <si>
    <t>Apprenant 919</t>
  </si>
  <si>
    <t>Apprenant 920</t>
  </si>
  <si>
    <t>Apprenant 921</t>
  </si>
  <si>
    <t>Apprenant 922</t>
  </si>
  <si>
    <t>Apprenant 923</t>
  </si>
  <si>
    <t>Apprenant 924</t>
  </si>
  <si>
    <t>Apprenant 925</t>
  </si>
  <si>
    <t>Apprenant 926</t>
  </si>
  <si>
    <t>Apprenant 927</t>
  </si>
  <si>
    <t>Apprenant 928</t>
  </si>
  <si>
    <t>Apprenant 929</t>
  </si>
  <si>
    <t>Apprenant 930</t>
  </si>
  <si>
    <t>Apprenant 931</t>
  </si>
  <si>
    <t>Apprenant 932</t>
  </si>
  <si>
    <t>Apprenant 933</t>
  </si>
  <si>
    <t>Apprenant 934</t>
  </si>
  <si>
    <t>Apprenant 935</t>
  </si>
  <si>
    <t>Apprenant 936</t>
  </si>
  <si>
    <t>Apprenant 937</t>
  </si>
  <si>
    <t>Apprenant 938</t>
  </si>
  <si>
    <t>Apprenant 939</t>
  </si>
  <si>
    <t>Apprenant 940</t>
  </si>
  <si>
    <t>Apprenant 941</t>
  </si>
  <si>
    <t>Apprenant 942</t>
  </si>
  <si>
    <t>Apprenant 943</t>
  </si>
  <si>
    <t>Apprenant 944</t>
  </si>
  <si>
    <t>Apprenant 945</t>
  </si>
  <si>
    <t>Apprenant 946</t>
  </si>
  <si>
    <t>Apprenant 947</t>
  </si>
  <si>
    <t>Apprenant 948</t>
  </si>
  <si>
    <t>Apprenant 949</t>
  </si>
  <si>
    <t>Apprenant 950</t>
  </si>
  <si>
    <t>Apprenant 951</t>
  </si>
  <si>
    <t>Apprenant 952</t>
  </si>
  <si>
    <t>Apprenant 953</t>
  </si>
  <si>
    <t>Apprenant 954</t>
  </si>
  <si>
    <t>Apprenant 955</t>
  </si>
  <si>
    <t>Apprenant 956</t>
  </si>
  <si>
    <t>Apprenant 957</t>
  </si>
  <si>
    <t>Apprenant 958</t>
  </si>
  <si>
    <t>Apprenant 959</t>
  </si>
  <si>
    <t>Apprenant 960</t>
  </si>
  <si>
    <t>Apprenant 961</t>
  </si>
  <si>
    <t>Apprenant 962</t>
  </si>
  <si>
    <t>Apprenant 963</t>
  </si>
  <si>
    <t>Apprenant 964</t>
  </si>
  <si>
    <t>Apprenant 965</t>
  </si>
  <si>
    <t>Apprenant 966</t>
  </si>
  <si>
    <t>Apprenant 967</t>
  </si>
  <si>
    <t>Apprenant 968</t>
  </si>
  <si>
    <t>Apprenant 969</t>
  </si>
  <si>
    <t>Apprenant 970</t>
  </si>
  <si>
    <t>Apprenant 971</t>
  </si>
  <si>
    <t>Apprenant 972</t>
  </si>
  <si>
    <t>Apprenant 973</t>
  </si>
  <si>
    <t>Apprenant 974</t>
  </si>
  <si>
    <t>Apprenant 975</t>
  </si>
  <si>
    <t>Apprenant 976</t>
  </si>
  <si>
    <t>Apprenant 977</t>
  </si>
  <si>
    <t>Apprenant 978</t>
  </si>
  <si>
    <t>Apprenant 979</t>
  </si>
  <si>
    <t>Apprenant 980</t>
  </si>
  <si>
    <t>Apprenant 981</t>
  </si>
  <si>
    <t>Apprenant 982</t>
  </si>
  <si>
    <t>Apprenant 983</t>
  </si>
  <si>
    <t>Apprenant 984</t>
  </si>
  <si>
    <t>Apprenant 985</t>
  </si>
  <si>
    <t>Apprenant 986</t>
  </si>
  <si>
    <t>Apprenant 987</t>
  </si>
  <si>
    <t>Apprenant 988</t>
  </si>
  <si>
    <t>Apprenant 989</t>
  </si>
  <si>
    <t>Apprenant 990</t>
  </si>
  <si>
    <t>Apprenant 991</t>
  </si>
  <si>
    <t>Apprenant 992</t>
  </si>
  <si>
    <t>Apprenant 993</t>
  </si>
  <si>
    <t>Apprenant 994</t>
  </si>
  <si>
    <t>Apprenant 995</t>
  </si>
  <si>
    <t>Apprenant 996</t>
  </si>
  <si>
    <t>Apprenant 997</t>
  </si>
  <si>
    <t>Apprenant 998</t>
  </si>
  <si>
    <t>Apprenant 999</t>
  </si>
  <si>
    <t>Apprenant 1000</t>
  </si>
  <si>
    <t>Pré-test</t>
  </si>
  <si>
    <t>Post-test immédiat</t>
  </si>
  <si>
    <t>Post-test différé</t>
  </si>
  <si>
    <t>Variante choisie : 1 = "deux années" ; 2 = "deux groupes" ; 3 = "deux enseignements"</t>
  </si>
  <si>
    <t>Apprenant 1</t>
  </si>
  <si>
    <t>Apprenant 2</t>
  </si>
  <si>
    <t>Apprenant 3</t>
  </si>
  <si>
    <t>Apprenant 4</t>
  </si>
  <si>
    <t>Apprenant 1 ou 1'</t>
  </si>
  <si>
    <t>Apprenant 2 ou 2'</t>
  </si>
  <si>
    <t>Apprenant 3 ou 3'</t>
  </si>
  <si>
    <t>Apprenant 4 ou 4'</t>
  </si>
  <si>
    <t>Apprenant 5 ou 5'</t>
  </si>
  <si>
    <t>Apprenant 6 ou 6'</t>
  </si>
  <si>
    <t>Apprenant 7 ou 7'</t>
  </si>
  <si>
    <t>Apprenant 8 ou 8'</t>
  </si>
  <si>
    <t>Apprenant 9 ou 9'</t>
  </si>
  <si>
    <t>Apprenant 10 ou 10'</t>
  </si>
  <si>
    <t>Apprenant 11 ou 11'</t>
  </si>
  <si>
    <t>Apprenant 12 ou 12'</t>
  </si>
  <si>
    <t>Apprenant 13 ou 13'</t>
  </si>
  <si>
    <t>Apprenant 14 ou 14'</t>
  </si>
  <si>
    <t>Apprenant 15 ou 15'</t>
  </si>
  <si>
    <t>Apprenant 16 ou 16'</t>
  </si>
  <si>
    <t>Apprenant 17 ou 17'</t>
  </si>
  <si>
    <t>Apprenant 18 ou 18'</t>
  </si>
  <si>
    <t>Apprenant 19 ou 19'</t>
  </si>
  <si>
    <t>Apprenant 20 ou 20'</t>
  </si>
  <si>
    <t>Apprenant 21 ou 21'</t>
  </si>
  <si>
    <t>Apprenant 22 ou 22'</t>
  </si>
  <si>
    <t>Apprenant 23 ou 23'</t>
  </si>
  <si>
    <t>Apprenant 24 ou 24'</t>
  </si>
  <si>
    <t>Apprenant 25 ou 25'</t>
  </si>
  <si>
    <t>Apprenant 26 ou 26'</t>
  </si>
  <si>
    <t>Apprenant 27 ou 27'</t>
  </si>
  <si>
    <t>Apprenant 28 ou 28'</t>
  </si>
  <si>
    <t>Apprenant 29 ou 29'</t>
  </si>
  <si>
    <t>Apprenant 30 ou 30'</t>
  </si>
  <si>
    <t>Apprenant 31 ou 31'</t>
  </si>
  <si>
    <t>Apprenant 32 ou 32'</t>
  </si>
  <si>
    <t>Apprenant 33 ou 33'</t>
  </si>
  <si>
    <t>Apprenant 34 ou 34'</t>
  </si>
  <si>
    <t>Apprenant 35 ou 35'</t>
  </si>
  <si>
    <t>Apprenant 36 ou 36'</t>
  </si>
  <si>
    <t>Apprenant 37 ou 37'</t>
  </si>
  <si>
    <t>Apprenant 38 ou 38'</t>
  </si>
  <si>
    <t>Apprenant 39 ou 39'</t>
  </si>
  <si>
    <t>Apprenant 40 ou 40'</t>
  </si>
  <si>
    <t>Apprenant 41 ou 41'</t>
  </si>
  <si>
    <t>Apprenant 42 ou 42'</t>
  </si>
  <si>
    <t>Apprenant 43 ou 43'</t>
  </si>
  <si>
    <t>Apprenant 44 ou 44'</t>
  </si>
  <si>
    <t>Apprenant 45 ou 45'</t>
  </si>
  <si>
    <t>Apprenant 46 ou 46'</t>
  </si>
  <si>
    <t>Apprenant 47 ou 47'</t>
  </si>
  <si>
    <t>Apprenant 48 ou 48'</t>
  </si>
  <si>
    <t>Apprenant 49 ou 49'</t>
  </si>
  <si>
    <t>Apprenant 50 ou 50'</t>
  </si>
  <si>
    <t>Apprenant 51 ou 51'</t>
  </si>
  <si>
    <t>Apprenant 52 ou 52'</t>
  </si>
  <si>
    <t>Apprenant 53 ou 53'</t>
  </si>
  <si>
    <t>Apprenant 54 ou 54'</t>
  </si>
  <si>
    <t>Apprenant 55 ou 55'</t>
  </si>
  <si>
    <t>Apprenant 56 ou 56'</t>
  </si>
  <si>
    <t>Apprenant 57 ou 57'</t>
  </si>
  <si>
    <t>Apprenant 58 ou 58'</t>
  </si>
  <si>
    <t>Apprenant 59 ou 59'</t>
  </si>
  <si>
    <t>Apprenant 60 ou 60'</t>
  </si>
  <si>
    <t>Apprenant 61 ou 61'</t>
  </si>
  <si>
    <t>Apprenant 62 ou 62'</t>
  </si>
  <si>
    <t>Apprenant 63 ou 63'</t>
  </si>
  <si>
    <t>Apprenant 64 ou 64'</t>
  </si>
  <si>
    <t>Apprenant 65 ou 65'</t>
  </si>
  <si>
    <t>Apprenant 66 ou 66'</t>
  </si>
  <si>
    <t>Apprenant 67 ou 67'</t>
  </si>
  <si>
    <t>Apprenant 68 ou 68'</t>
  </si>
  <si>
    <t>Apprenant 69 ou 69'</t>
  </si>
  <si>
    <t>Apprenant 70 ou 70'</t>
  </si>
  <si>
    <t>Apprenant 71 ou 71'</t>
  </si>
  <si>
    <t>Apprenant 72 ou 72'</t>
  </si>
  <si>
    <t>Apprenant 73 ou 73'</t>
  </si>
  <si>
    <t>Apprenant 74 ou 74'</t>
  </si>
  <si>
    <t>Apprenant 75 ou 75'</t>
  </si>
  <si>
    <t>Apprenant 76 ou 76'</t>
  </si>
  <si>
    <t>Apprenant 77 ou 77'</t>
  </si>
  <si>
    <t>Apprenant 78 ou 78'</t>
  </si>
  <si>
    <t>Apprenant 79 ou 79'</t>
  </si>
  <si>
    <t>Apprenant 80 ou 80'</t>
  </si>
  <si>
    <t>Apprenant 81 ou 81'</t>
  </si>
  <si>
    <t>Apprenant 82 ou 82'</t>
  </si>
  <si>
    <t>Apprenant 83 ou 83'</t>
  </si>
  <si>
    <t>Apprenant 84 ou 84'</t>
  </si>
  <si>
    <t>Apprenant 85 ou 85'</t>
  </si>
  <si>
    <t>Apprenant 86 ou 86'</t>
  </si>
  <si>
    <t>Apprenant 87 ou 87'</t>
  </si>
  <si>
    <t>Apprenant 88 ou 88'</t>
  </si>
  <si>
    <t>Apprenant 89 ou 89'</t>
  </si>
  <si>
    <t>Apprenant 90 ou 90'</t>
  </si>
  <si>
    <t>Apprenant 91 ou 91'</t>
  </si>
  <si>
    <t>Apprenant 92 ou 92'</t>
  </si>
  <si>
    <t>Apprenant 93 ou 93'</t>
  </si>
  <si>
    <t>Apprenant 94 ou 94'</t>
  </si>
  <si>
    <t>Apprenant 95 ou 95'</t>
  </si>
  <si>
    <t>Apprenant 96 ou 96'</t>
  </si>
  <si>
    <t>Apprenant 97 ou 97'</t>
  </si>
  <si>
    <t>Apprenant 98 ou 98'</t>
  </si>
  <si>
    <t>Apprenant 99 ou 99'</t>
  </si>
  <si>
    <t>Apprenant 100 ou 100'</t>
  </si>
  <si>
    <t>Apprenant 101 ou 101'</t>
  </si>
  <si>
    <t>Apprenant 102 ou 102'</t>
  </si>
  <si>
    <t>Apprenant 103 ou 103'</t>
  </si>
  <si>
    <t>Apprenant 104 ou 104'</t>
  </si>
  <si>
    <t>Apprenant 105 ou 105'</t>
  </si>
  <si>
    <t>Apprenant 106 ou 106'</t>
  </si>
  <si>
    <t>Apprenant 107 ou 107'</t>
  </si>
  <si>
    <t>Apprenant 108 ou 108'</t>
  </si>
  <si>
    <t>Apprenant 109 ou 109'</t>
  </si>
  <si>
    <t>Apprenant 110 ou 110'</t>
  </si>
  <si>
    <t>Apprenant 111 ou 111'</t>
  </si>
  <si>
    <t>Apprenant 112 ou 112'</t>
  </si>
  <si>
    <t>Apprenant 113 ou 113'</t>
  </si>
  <si>
    <t>Apprenant 114 ou 114'</t>
  </si>
  <si>
    <t>Apprenant 115 ou 115'</t>
  </si>
  <si>
    <t>Apprenant 116 ou 116'</t>
  </si>
  <si>
    <t>Apprenant 117 ou 117'</t>
  </si>
  <si>
    <t>Apprenant 118 ou 118'</t>
  </si>
  <si>
    <t>Apprenant 119 ou 119'</t>
  </si>
  <si>
    <t>Apprenant 120 ou 120'</t>
  </si>
  <si>
    <t>Apprenant 121 ou 121'</t>
  </si>
  <si>
    <t>Apprenant 122 ou 122'</t>
  </si>
  <si>
    <t>Apprenant 123 ou 123'</t>
  </si>
  <si>
    <t>Apprenant 124 ou 124'</t>
  </si>
  <si>
    <t>Apprenant 125 ou 125'</t>
  </si>
  <si>
    <t>Apprenant 126 ou 126'</t>
  </si>
  <si>
    <t>Apprenant 127 ou 127'</t>
  </si>
  <si>
    <t>Apprenant 128 ou 128'</t>
  </si>
  <si>
    <t>Apprenant 129 ou 129'</t>
  </si>
  <si>
    <t>Apprenant 130 ou 130'</t>
  </si>
  <si>
    <t>Apprenant 131 ou 131'</t>
  </si>
  <si>
    <t>Apprenant 132 ou 132'</t>
  </si>
  <si>
    <t>Apprenant 133 ou 133'</t>
  </si>
  <si>
    <t>Apprenant 134 ou 134'</t>
  </si>
  <si>
    <t>Apprenant 135 ou 135'</t>
  </si>
  <si>
    <t>Apprenant 136 ou 136'</t>
  </si>
  <si>
    <t>Apprenant 137 ou 137'</t>
  </si>
  <si>
    <t>Apprenant 138 ou 138'</t>
  </si>
  <si>
    <t>Apprenant 139 ou 139'</t>
  </si>
  <si>
    <t>Apprenant 140 ou 140'</t>
  </si>
  <si>
    <t>Apprenant 141 ou 141'</t>
  </si>
  <si>
    <t>Apprenant 142 ou 142'</t>
  </si>
  <si>
    <t>Apprenant 143 ou 143'</t>
  </si>
  <si>
    <t>Apprenant 144 ou 144'</t>
  </si>
  <si>
    <t>Apprenant 145 ou 145'</t>
  </si>
  <si>
    <t>Apprenant 146 ou 146'</t>
  </si>
  <si>
    <t>Apprenant 147 ou 147'</t>
  </si>
  <si>
    <t>Apprenant 148 ou 148'</t>
  </si>
  <si>
    <t>Apprenant 149 ou 149'</t>
  </si>
  <si>
    <t>Apprenant 150 ou 150'</t>
  </si>
  <si>
    <t>Apprenant 151 ou 151'</t>
  </si>
  <si>
    <t>Apprenant 152 ou 152'</t>
  </si>
  <si>
    <t>Apprenant 153 ou 153'</t>
  </si>
  <si>
    <t>Apprenant 154 ou 154'</t>
  </si>
  <si>
    <t>Apprenant 155 ou 155'</t>
  </si>
  <si>
    <t>Apprenant 156 ou 156'</t>
  </si>
  <si>
    <t>Apprenant 157 ou 157'</t>
  </si>
  <si>
    <t>Apprenant 158 ou 158'</t>
  </si>
  <si>
    <t>Apprenant 159 ou 159'</t>
  </si>
  <si>
    <t>Apprenant 160 ou 160'</t>
  </si>
  <si>
    <t>Apprenant 161 ou 161'</t>
  </si>
  <si>
    <t>Apprenant 162 ou 162'</t>
  </si>
  <si>
    <t>Apprenant 163 ou 163'</t>
  </si>
  <si>
    <t>Apprenant 164 ou 164'</t>
  </si>
  <si>
    <t>Apprenant 165 ou 165'</t>
  </si>
  <si>
    <t>Apprenant 166 ou 166'</t>
  </si>
  <si>
    <t>Apprenant 167 ou 167'</t>
  </si>
  <si>
    <t>Apprenant 168 ou 168'</t>
  </si>
  <si>
    <t>Apprenant 169 ou 169'</t>
  </si>
  <si>
    <t>Apprenant 170 ou 170'</t>
  </si>
  <si>
    <t>Apprenant 171 ou 171'</t>
  </si>
  <si>
    <t>Apprenant 172 ou 172'</t>
  </si>
  <si>
    <t>Apprenant 173 ou 173'</t>
  </si>
  <si>
    <t>Apprenant 174 ou 174'</t>
  </si>
  <si>
    <t>Apprenant 175 ou 175'</t>
  </si>
  <si>
    <t>Apprenant 176 ou 176'</t>
  </si>
  <si>
    <t>Apprenant 177 ou 177'</t>
  </si>
  <si>
    <t>Apprenant 178 ou 178'</t>
  </si>
  <si>
    <t>Apprenant 179 ou 179'</t>
  </si>
  <si>
    <t>Apprenant 180 ou 180'</t>
  </si>
  <si>
    <t>Apprenant 181 ou 181'</t>
  </si>
  <si>
    <t>Apprenant 182 ou 182'</t>
  </si>
  <si>
    <t>Apprenant 183 ou 183'</t>
  </si>
  <si>
    <t>Apprenant 184 ou 184'</t>
  </si>
  <si>
    <t>Apprenant 185 ou 185'</t>
  </si>
  <si>
    <t>Apprenant 186 ou 186'</t>
  </si>
  <si>
    <t>Apprenant 187 ou 187'</t>
  </si>
  <si>
    <t>Apprenant 188 ou 188'</t>
  </si>
  <si>
    <t>Apprenant 189 ou 189'</t>
  </si>
  <si>
    <t>Apprenant 190 ou 190'</t>
  </si>
  <si>
    <t>Apprenant 191 ou 191'</t>
  </si>
  <si>
    <t>Apprenant 192 ou 192'</t>
  </si>
  <si>
    <t>Apprenant 193 ou 193'</t>
  </si>
  <si>
    <t>Apprenant 194 ou 194'</t>
  </si>
  <si>
    <t>Apprenant 195 ou 195'</t>
  </si>
  <si>
    <t>Apprenant 196 ou 196'</t>
  </si>
  <si>
    <t>Apprenant 197 ou 197'</t>
  </si>
  <si>
    <t>Apprenant 198 ou 198'</t>
  </si>
  <si>
    <t>Apprenant 199 ou 199'</t>
  </si>
  <si>
    <t>Apprenant 200 ou 200'</t>
  </si>
  <si>
    <t>Apprenant 201 ou 201'</t>
  </si>
  <si>
    <t>Apprenant 202 ou 202'</t>
  </si>
  <si>
    <t>Apprenant 203 ou 203'</t>
  </si>
  <si>
    <t>Apprenant 204 ou 204'</t>
  </si>
  <si>
    <t>Apprenant 205 ou 205'</t>
  </si>
  <si>
    <t>Apprenant 206 ou 206'</t>
  </si>
  <si>
    <t>Apprenant 207 ou 207'</t>
  </si>
  <si>
    <t>Apprenant 208 ou 208'</t>
  </si>
  <si>
    <t>Apprenant 209 ou 209'</t>
  </si>
  <si>
    <t>Apprenant 210 ou 210'</t>
  </si>
  <si>
    <t>Apprenant 211 ou 211'</t>
  </si>
  <si>
    <t>Apprenant 212 ou 212'</t>
  </si>
  <si>
    <t>Apprenant 213 ou 213'</t>
  </si>
  <si>
    <t>Apprenant 214 ou 214'</t>
  </si>
  <si>
    <t>Apprenant 215 ou 215'</t>
  </si>
  <si>
    <t>Apprenant 216 ou 216'</t>
  </si>
  <si>
    <t>Apprenant 217 ou 217'</t>
  </si>
  <si>
    <t>Apprenant 218 ou 218'</t>
  </si>
  <si>
    <t>Apprenant 219 ou 219'</t>
  </si>
  <si>
    <t>Apprenant 220 ou 220'</t>
  </si>
  <si>
    <t>Apprenant 221 ou 221'</t>
  </si>
  <si>
    <t>Apprenant 222 ou 222'</t>
  </si>
  <si>
    <t>Apprenant 223 ou 223'</t>
  </si>
  <si>
    <t>Apprenant 224 ou 224'</t>
  </si>
  <si>
    <t>Apprenant 225 ou 225'</t>
  </si>
  <si>
    <t>Apprenant 226 ou 226'</t>
  </si>
  <si>
    <t>Apprenant 227 ou 227'</t>
  </si>
  <si>
    <t>Apprenant 228 ou 228'</t>
  </si>
  <si>
    <t>Apprenant 229 ou 229'</t>
  </si>
  <si>
    <t>Apprenant 230 ou 230'</t>
  </si>
  <si>
    <t>Apprenant 231 ou 231'</t>
  </si>
  <si>
    <t>Apprenant 232 ou 232'</t>
  </si>
  <si>
    <t>Apprenant 233 ou 233'</t>
  </si>
  <si>
    <t>Apprenant 234 ou 234'</t>
  </si>
  <si>
    <t>Apprenant 235 ou 235'</t>
  </si>
  <si>
    <t>Apprenant 236 ou 236'</t>
  </si>
  <si>
    <t>Apprenant 237 ou 237'</t>
  </si>
  <si>
    <t>Apprenant 238 ou 238'</t>
  </si>
  <si>
    <t>Apprenant 239 ou 239'</t>
  </si>
  <si>
    <t>Apprenant 240 ou 240'</t>
  </si>
  <si>
    <t>Apprenant 241 ou 241'</t>
  </si>
  <si>
    <t>Apprenant 242 ou 242'</t>
  </si>
  <si>
    <t>Apprenant 243 ou 243'</t>
  </si>
  <si>
    <t>Apprenant 244 ou 244'</t>
  </si>
  <si>
    <t>Apprenant 245 ou 245'</t>
  </si>
  <si>
    <t>Apprenant 246 ou 246'</t>
  </si>
  <si>
    <t>Apprenant 247 ou 247'</t>
  </si>
  <si>
    <t>Apprenant 248 ou 248'</t>
  </si>
  <si>
    <t>Apprenant 249 ou 249'</t>
  </si>
  <si>
    <t>Apprenant 250 ou 250'</t>
  </si>
  <si>
    <t>Apprenant 251 ou 251'</t>
  </si>
  <si>
    <t>Apprenant 252 ou 252'</t>
  </si>
  <si>
    <t>Apprenant 253 ou 253'</t>
  </si>
  <si>
    <t>Apprenant 254 ou 254'</t>
  </si>
  <si>
    <t>Apprenant 255 ou 255'</t>
  </si>
  <si>
    <t>Apprenant 256 ou 256'</t>
  </si>
  <si>
    <t>Apprenant 257 ou 257'</t>
  </si>
  <si>
    <t>Apprenant 258 ou 258'</t>
  </si>
  <si>
    <t>Apprenant 259 ou 259'</t>
  </si>
  <si>
    <t>Apprenant 260 ou 260'</t>
  </si>
  <si>
    <t>Apprenant 261 ou 261'</t>
  </si>
  <si>
    <t>Apprenant 262 ou 262'</t>
  </si>
  <si>
    <t>Apprenant 263 ou 263'</t>
  </si>
  <si>
    <t>Apprenant 264 ou 264'</t>
  </si>
  <si>
    <t>Apprenant 265 ou 265'</t>
  </si>
  <si>
    <t>Apprenant 266 ou 266'</t>
  </si>
  <si>
    <t>Apprenant 267 ou 267'</t>
  </si>
  <si>
    <t>Apprenant 268 ou 268'</t>
  </si>
  <si>
    <t>Apprenant 269 ou 269'</t>
  </si>
  <si>
    <t>Apprenant 270 ou 270'</t>
  </si>
  <si>
    <t>Apprenant 271 ou 271'</t>
  </si>
  <si>
    <t>Apprenant 272 ou 272'</t>
  </si>
  <si>
    <t>Apprenant 273 ou 273'</t>
  </si>
  <si>
    <t>Apprenant 274 ou 274'</t>
  </si>
  <si>
    <t>Apprenant 275 ou 275'</t>
  </si>
  <si>
    <t>Apprenant 276 ou 276'</t>
  </si>
  <si>
    <t>Apprenant 277 ou 277'</t>
  </si>
  <si>
    <t>Apprenant 278 ou 278'</t>
  </si>
  <si>
    <t>Apprenant 279 ou 279'</t>
  </si>
  <si>
    <t>Apprenant 280 ou 280'</t>
  </si>
  <si>
    <t>Apprenant 281 ou 281'</t>
  </si>
  <si>
    <t>Apprenant 282 ou 282'</t>
  </si>
  <si>
    <t>Apprenant 283 ou 283'</t>
  </si>
  <si>
    <t>Apprenant 284 ou 284'</t>
  </si>
  <si>
    <t>Apprenant 285 ou 285'</t>
  </si>
  <si>
    <t>Apprenant 286 ou 286'</t>
  </si>
  <si>
    <t>Apprenant 287 ou 287'</t>
  </si>
  <si>
    <t>Apprenant 288 ou 288'</t>
  </si>
  <si>
    <t>Apprenant 289 ou 289'</t>
  </si>
  <si>
    <t>Apprenant 290 ou 290'</t>
  </si>
  <si>
    <t>Apprenant 291 ou 291'</t>
  </si>
  <si>
    <t>Apprenant 292 ou 292'</t>
  </si>
  <si>
    <t>Apprenant 293 ou 293'</t>
  </si>
  <si>
    <t>Apprenant 294 ou 294'</t>
  </si>
  <si>
    <t>Apprenant 295 ou 295'</t>
  </si>
  <si>
    <t>Apprenant 296 ou 296'</t>
  </si>
  <si>
    <t>Apprenant 297 ou 297'</t>
  </si>
  <si>
    <t>Apprenant 298 ou 298'</t>
  </si>
  <si>
    <t>Apprenant 299 ou 299'</t>
  </si>
  <si>
    <t>Apprenant 300 ou 300'</t>
  </si>
  <si>
    <t>Apprenant 301 ou 301'</t>
  </si>
  <si>
    <t>Apprenant 302 ou 302'</t>
  </si>
  <si>
    <t>Apprenant 303 ou 303'</t>
  </si>
  <si>
    <t>Apprenant 304 ou 304'</t>
  </si>
  <si>
    <t>Apprenant 305 ou 305'</t>
  </si>
  <si>
    <t>Apprenant 306 ou 306'</t>
  </si>
  <si>
    <t>Apprenant 307 ou 307'</t>
  </si>
  <si>
    <t>Apprenant 308 ou 308'</t>
  </si>
  <si>
    <t>Apprenant 309 ou 309'</t>
  </si>
  <si>
    <t>Apprenant 310 ou 310'</t>
  </si>
  <si>
    <t>Apprenant 311 ou 311'</t>
  </si>
  <si>
    <t>Apprenant 312 ou 312'</t>
  </si>
  <si>
    <t>Apprenant 313 ou 313'</t>
  </si>
  <si>
    <t>Apprenant 314 ou 314'</t>
  </si>
  <si>
    <t>Apprenant 315 ou 315'</t>
  </si>
  <si>
    <t>Apprenant 316 ou 316'</t>
  </si>
  <si>
    <t>Apprenant 317 ou 317'</t>
  </si>
  <si>
    <t>Apprenant 318 ou 318'</t>
  </si>
  <si>
    <t>Apprenant 319 ou 319'</t>
  </si>
  <si>
    <t>Apprenant 320 ou 320'</t>
  </si>
  <si>
    <t>Apprenant 321 ou 321'</t>
  </si>
  <si>
    <t>Apprenant 322 ou 322'</t>
  </si>
  <si>
    <t>Apprenant 323 ou 323'</t>
  </si>
  <si>
    <t>Apprenant 324 ou 324'</t>
  </si>
  <si>
    <t>Apprenant 325 ou 325'</t>
  </si>
  <si>
    <t>Apprenant 326 ou 326'</t>
  </si>
  <si>
    <t>Apprenant 327 ou 327'</t>
  </si>
  <si>
    <t>Apprenant 328 ou 328'</t>
  </si>
  <si>
    <t>Apprenant 329 ou 329'</t>
  </si>
  <si>
    <t>Apprenant 330 ou 330'</t>
  </si>
  <si>
    <t>Apprenant 331 ou 331'</t>
  </si>
  <si>
    <t>Apprenant 332 ou 332'</t>
  </si>
  <si>
    <t>Apprenant 333 ou 333'</t>
  </si>
  <si>
    <t>Apprenant 334 ou 334'</t>
  </si>
  <si>
    <t>Apprenant 335 ou 335'</t>
  </si>
  <si>
    <t>Apprenant 336 ou 336'</t>
  </si>
  <si>
    <t>Apprenant 337 ou 337'</t>
  </si>
  <si>
    <t>Apprenant 338 ou 338'</t>
  </si>
  <si>
    <t>Apprenant 339 ou 339'</t>
  </si>
  <si>
    <t>Apprenant 340 ou 340'</t>
  </si>
  <si>
    <t>Apprenant 341 ou 341'</t>
  </si>
  <si>
    <t>Apprenant 342 ou 342'</t>
  </si>
  <si>
    <t>Apprenant 343 ou 343'</t>
  </si>
  <si>
    <t>Apprenant 344 ou 344'</t>
  </si>
  <si>
    <t>Apprenant 345 ou 345'</t>
  </si>
  <si>
    <t>Apprenant 346 ou 346'</t>
  </si>
  <si>
    <t>Apprenant 347 ou 347'</t>
  </si>
  <si>
    <t>Apprenant 348 ou 348'</t>
  </si>
  <si>
    <t>Apprenant 349 ou 349'</t>
  </si>
  <si>
    <t>Apprenant 350 ou 350'</t>
  </si>
  <si>
    <t>Apprenant 351 ou 351'</t>
  </si>
  <si>
    <t>Apprenant 352 ou 352'</t>
  </si>
  <si>
    <t>Apprenant 353 ou 353'</t>
  </si>
  <si>
    <t>Apprenant 354 ou 354'</t>
  </si>
  <si>
    <t>Apprenant 355 ou 355'</t>
  </si>
  <si>
    <t>Apprenant 356 ou 356'</t>
  </si>
  <si>
    <t>Apprenant 357 ou 357'</t>
  </si>
  <si>
    <t>Apprenant 358 ou 358'</t>
  </si>
  <si>
    <t>Apprenant 359 ou 359'</t>
  </si>
  <si>
    <t>Apprenant 360 ou 360'</t>
  </si>
  <si>
    <t>Apprenant 361 ou 361'</t>
  </si>
  <si>
    <t>Apprenant 362 ou 362'</t>
  </si>
  <si>
    <t>Apprenant 363 ou 363'</t>
  </si>
  <si>
    <t>Apprenant 364 ou 364'</t>
  </si>
  <si>
    <t>Apprenant 365 ou 365'</t>
  </si>
  <si>
    <t>Apprenant 366 ou 366'</t>
  </si>
  <si>
    <t>Apprenant 367 ou 367'</t>
  </si>
  <si>
    <t>Apprenant 368 ou 368'</t>
  </si>
  <si>
    <t>Apprenant 369 ou 369'</t>
  </si>
  <si>
    <t>Apprenant 370 ou 370'</t>
  </si>
  <si>
    <t>Apprenant 371 ou 371'</t>
  </si>
  <si>
    <t>Apprenant 372 ou 372'</t>
  </si>
  <si>
    <t>Apprenant 373 ou 373'</t>
  </si>
  <si>
    <t>Apprenant 374 ou 374'</t>
  </si>
  <si>
    <t>Apprenant 375 ou 375'</t>
  </si>
  <si>
    <t>Apprenant 376 ou 376'</t>
  </si>
  <si>
    <t>Apprenant 377 ou 377'</t>
  </si>
  <si>
    <t>Apprenant 378 ou 378'</t>
  </si>
  <si>
    <t>Apprenant 379 ou 379'</t>
  </si>
  <si>
    <t>Apprenant 380 ou 380'</t>
  </si>
  <si>
    <t>Apprenant 381 ou 381'</t>
  </si>
  <si>
    <t>Apprenant 382 ou 382'</t>
  </si>
  <si>
    <t>Apprenant 383 ou 383'</t>
  </si>
  <si>
    <t>Apprenant 384 ou 384'</t>
  </si>
  <si>
    <t>Apprenant 385 ou 385'</t>
  </si>
  <si>
    <t>Apprenant 386 ou 386'</t>
  </si>
  <si>
    <t>Apprenant 387 ou 387'</t>
  </si>
  <si>
    <t>Apprenant 388 ou 388'</t>
  </si>
  <si>
    <t>Apprenant 389 ou 389'</t>
  </si>
  <si>
    <t>Apprenant 390 ou 390'</t>
  </si>
  <si>
    <t>Apprenant 391 ou 391'</t>
  </si>
  <si>
    <t>Apprenant 392 ou 392'</t>
  </si>
  <si>
    <t>Apprenant 393 ou 393'</t>
  </si>
  <si>
    <t>Apprenant 394 ou 394'</t>
  </si>
  <si>
    <t>Apprenant 395 ou 395'</t>
  </si>
  <si>
    <t>Apprenant 396 ou 396'</t>
  </si>
  <si>
    <t>Apprenant 397 ou 397'</t>
  </si>
  <si>
    <t>Apprenant 398 ou 398'</t>
  </si>
  <si>
    <t>Apprenant 399 ou 399'</t>
  </si>
  <si>
    <t>Apprenant 400 ou 400'</t>
  </si>
  <si>
    <t>Apprenant 401 ou 401'</t>
  </si>
  <si>
    <t>Apprenant 402 ou 402'</t>
  </si>
  <si>
    <t>Apprenant 403 ou 403'</t>
  </si>
  <si>
    <t>Apprenant 404 ou 404'</t>
  </si>
  <si>
    <t>Apprenant 405 ou 405'</t>
  </si>
  <si>
    <t>Apprenant 406 ou 406'</t>
  </si>
  <si>
    <t>Apprenant 407 ou 407'</t>
  </si>
  <si>
    <t>Apprenant 408 ou 408'</t>
  </si>
  <si>
    <t>Apprenant 409 ou 409'</t>
  </si>
  <si>
    <t>Apprenant 410 ou 410'</t>
  </si>
  <si>
    <t>Apprenant 411 ou 411'</t>
  </si>
  <si>
    <t>Apprenant 412 ou 412'</t>
  </si>
  <si>
    <t>Apprenant 413 ou 413'</t>
  </si>
  <si>
    <t>Apprenant 414 ou 414'</t>
  </si>
  <si>
    <t>Apprenant 415 ou 415'</t>
  </si>
  <si>
    <t>Apprenant 416 ou 416'</t>
  </si>
  <si>
    <t>Apprenant 417 ou 417'</t>
  </si>
  <si>
    <t>Apprenant 418 ou 418'</t>
  </si>
  <si>
    <t>Apprenant 419 ou 419'</t>
  </si>
  <si>
    <t>Apprenant 420 ou 420'</t>
  </si>
  <si>
    <t>Apprenant 421 ou 421'</t>
  </si>
  <si>
    <t>Apprenant 422 ou 422'</t>
  </si>
  <si>
    <t>Apprenant 423 ou 423'</t>
  </si>
  <si>
    <t>Apprenant 424 ou 424'</t>
  </si>
  <si>
    <t>Apprenant 425 ou 425'</t>
  </si>
  <si>
    <t>Apprenant 426 ou 426'</t>
  </si>
  <si>
    <t>Apprenant 427 ou 427'</t>
  </si>
  <si>
    <t>Apprenant 428 ou 428'</t>
  </si>
  <si>
    <t>Apprenant 429 ou 429'</t>
  </si>
  <si>
    <t>Apprenant 430 ou 430'</t>
  </si>
  <si>
    <t>Apprenant 431 ou 431'</t>
  </si>
  <si>
    <t>Apprenant 432 ou 432'</t>
  </si>
  <si>
    <t>Apprenant 433 ou 433'</t>
  </si>
  <si>
    <t>Apprenant 434 ou 434'</t>
  </si>
  <si>
    <t>Apprenant 435 ou 435'</t>
  </si>
  <si>
    <t>Apprenant 436 ou 436'</t>
  </si>
  <si>
    <t>Apprenant 437 ou 437'</t>
  </si>
  <si>
    <t>Apprenant 438 ou 438'</t>
  </si>
  <si>
    <t>Apprenant 439 ou 439'</t>
  </si>
  <si>
    <t>Apprenant 440 ou 440'</t>
  </si>
  <si>
    <t>Apprenant 441 ou 441'</t>
  </si>
  <si>
    <t>Apprenant 442 ou 442'</t>
  </si>
  <si>
    <t>Apprenant 443 ou 443'</t>
  </si>
  <si>
    <t>Apprenant 444 ou 444'</t>
  </si>
  <si>
    <t>Apprenant 445 ou 445'</t>
  </si>
  <si>
    <t>Apprenant 446 ou 446'</t>
  </si>
  <si>
    <t>Apprenant 447 ou 447'</t>
  </si>
  <si>
    <t>Apprenant 448 ou 448'</t>
  </si>
  <si>
    <t>Apprenant 449 ou 449'</t>
  </si>
  <si>
    <t>Apprenant 450 ou 450'</t>
  </si>
  <si>
    <t>Apprenant 451 ou 451'</t>
  </si>
  <si>
    <t>Apprenant 452 ou 452'</t>
  </si>
  <si>
    <t>Apprenant 453 ou 453'</t>
  </si>
  <si>
    <t>Apprenant 454 ou 454'</t>
  </si>
  <si>
    <t>Apprenant 455 ou 455'</t>
  </si>
  <si>
    <t>Apprenant 456 ou 456'</t>
  </si>
  <si>
    <t>Apprenant 457 ou 457'</t>
  </si>
  <si>
    <t>Apprenant 458 ou 458'</t>
  </si>
  <si>
    <t>Apprenant 459 ou 459'</t>
  </si>
  <si>
    <t>Apprenant 460 ou 460'</t>
  </si>
  <si>
    <t>Apprenant 461 ou 461'</t>
  </si>
  <si>
    <t>Apprenant 462 ou 462'</t>
  </si>
  <si>
    <t>Apprenant 463 ou 463'</t>
  </si>
  <si>
    <t>Apprenant 464 ou 464'</t>
  </si>
  <si>
    <t>Apprenant 465 ou 465'</t>
  </si>
  <si>
    <t>Apprenant 466 ou 466'</t>
  </si>
  <si>
    <t>Apprenant 467 ou 467'</t>
  </si>
  <si>
    <t>Apprenant 468 ou 468'</t>
  </si>
  <si>
    <t>Apprenant 469 ou 469'</t>
  </si>
  <si>
    <t>Apprenant 470 ou 470'</t>
  </si>
  <si>
    <t>Apprenant 471 ou 471'</t>
  </si>
  <si>
    <t>Apprenant 472 ou 472'</t>
  </si>
  <si>
    <t>Apprenant 473 ou 473'</t>
  </si>
  <si>
    <t>Apprenant 474 ou 474'</t>
  </si>
  <si>
    <t>Apprenant 475 ou 475'</t>
  </si>
  <si>
    <t>Apprenant 476 ou 476'</t>
  </si>
  <si>
    <t>Apprenant 477 ou 477'</t>
  </si>
  <si>
    <t>Apprenant 478 ou 478'</t>
  </si>
  <si>
    <t>Apprenant 479 ou 479'</t>
  </si>
  <si>
    <t>Apprenant 480 ou 480'</t>
  </si>
  <si>
    <t>Apprenant 481 ou 481'</t>
  </si>
  <si>
    <t>Apprenant 482 ou 482'</t>
  </si>
  <si>
    <t>Apprenant 483 ou 483'</t>
  </si>
  <si>
    <t>Apprenant 484 ou 484'</t>
  </si>
  <si>
    <t>Apprenant 485 ou 485'</t>
  </si>
  <si>
    <t>Apprenant 486 ou 486'</t>
  </si>
  <si>
    <t>Apprenant 487 ou 487'</t>
  </si>
  <si>
    <t>Apprenant 488 ou 488'</t>
  </si>
  <si>
    <t>Apprenant 489 ou 489'</t>
  </si>
  <si>
    <t>Apprenant 490 ou 490'</t>
  </si>
  <si>
    <t>Apprenant 491 ou 491'</t>
  </si>
  <si>
    <t>Apprenant 492 ou 492'</t>
  </si>
  <si>
    <t>Apprenant 493 ou 493'</t>
  </si>
  <si>
    <t>Apprenant 494 ou 494'</t>
  </si>
  <si>
    <t>Apprenant 495 ou 495'</t>
  </si>
  <si>
    <t>Apprenant 496 ou 496'</t>
  </si>
  <si>
    <t>Apprenant 497 ou 497'</t>
  </si>
  <si>
    <t>Apprenant 498 ou 498'</t>
  </si>
  <si>
    <t>Apprenant 499 ou 499'</t>
  </si>
  <si>
    <t>Apprenant 500 ou 500'</t>
  </si>
  <si>
    <t>Apprenant 501 ou 501'</t>
  </si>
  <si>
    <t>Apprenant 502 ou 502'</t>
  </si>
  <si>
    <t>Apprenant 503 ou 503'</t>
  </si>
  <si>
    <t>Apprenant 504 ou 504'</t>
  </si>
  <si>
    <t>Apprenant 505 ou 505'</t>
  </si>
  <si>
    <t>Apprenant 506 ou 506'</t>
  </si>
  <si>
    <t>Apprenant 507 ou 507'</t>
  </si>
  <si>
    <t>Apprenant 508 ou 508'</t>
  </si>
  <si>
    <t>Apprenant 509 ou 509'</t>
  </si>
  <si>
    <t>Apprenant 510 ou 510'</t>
  </si>
  <si>
    <t>Apprenant 511 ou 511'</t>
  </si>
  <si>
    <t>Apprenant 512 ou 512'</t>
  </si>
  <si>
    <t>Apprenant 513 ou 513'</t>
  </si>
  <si>
    <t>Apprenant 514 ou 514'</t>
  </si>
  <si>
    <t>Apprenant 515 ou 515'</t>
  </si>
  <si>
    <t>Apprenant 516 ou 516'</t>
  </si>
  <si>
    <t>Apprenant 517 ou 517'</t>
  </si>
  <si>
    <t>Apprenant 518 ou 518'</t>
  </si>
  <si>
    <t>Apprenant 519 ou 519'</t>
  </si>
  <si>
    <t>Apprenant 520 ou 520'</t>
  </si>
  <si>
    <t>Apprenant 521 ou 521'</t>
  </si>
  <si>
    <t>Apprenant 522 ou 522'</t>
  </si>
  <si>
    <t>Apprenant 523 ou 523'</t>
  </si>
  <si>
    <t>Apprenant 524 ou 524'</t>
  </si>
  <si>
    <t>Apprenant 525 ou 525'</t>
  </si>
  <si>
    <t>Apprenant 526 ou 526'</t>
  </si>
  <si>
    <t>Apprenant 527 ou 527'</t>
  </si>
  <si>
    <t>Apprenant 528 ou 528'</t>
  </si>
  <si>
    <t>Apprenant 529 ou 529'</t>
  </si>
  <si>
    <t>Apprenant 530 ou 530'</t>
  </si>
  <si>
    <t>Apprenant 531 ou 531'</t>
  </si>
  <si>
    <t>Apprenant 532 ou 532'</t>
  </si>
  <si>
    <t>Apprenant 533 ou 533'</t>
  </si>
  <si>
    <t>Apprenant 534 ou 534'</t>
  </si>
  <si>
    <t>Apprenant 535 ou 535'</t>
  </si>
  <si>
    <t>Apprenant 536 ou 536'</t>
  </si>
  <si>
    <t>Apprenant 537 ou 537'</t>
  </si>
  <si>
    <t>Apprenant 538 ou 538'</t>
  </si>
  <si>
    <t>Apprenant 539 ou 539'</t>
  </si>
  <si>
    <t>Apprenant 540 ou 540'</t>
  </si>
  <si>
    <t>Apprenant 541 ou 541'</t>
  </si>
  <si>
    <t>Apprenant 542 ou 542'</t>
  </si>
  <si>
    <t>Apprenant 543 ou 543'</t>
  </si>
  <si>
    <t>Apprenant 544 ou 544'</t>
  </si>
  <si>
    <t>Apprenant 545 ou 545'</t>
  </si>
  <si>
    <t>Apprenant 546 ou 546'</t>
  </si>
  <si>
    <t>Apprenant 547 ou 547'</t>
  </si>
  <si>
    <t>Apprenant 548 ou 548'</t>
  </si>
  <si>
    <t>Apprenant 549 ou 549'</t>
  </si>
  <si>
    <t>Apprenant 550 ou 550'</t>
  </si>
  <si>
    <t>Apprenant 551 ou 551'</t>
  </si>
  <si>
    <t>Apprenant 552 ou 552'</t>
  </si>
  <si>
    <t>Apprenant 553 ou 553'</t>
  </si>
  <si>
    <t>Apprenant 554 ou 554'</t>
  </si>
  <si>
    <t>Apprenant 555 ou 555'</t>
  </si>
  <si>
    <t>Apprenant 556 ou 556'</t>
  </si>
  <si>
    <t>Apprenant 557 ou 557'</t>
  </si>
  <si>
    <t>Apprenant 558 ou 558'</t>
  </si>
  <si>
    <t>Apprenant 559 ou 559'</t>
  </si>
  <si>
    <t>Apprenant 560 ou 560'</t>
  </si>
  <si>
    <t>Apprenant 561 ou 561'</t>
  </si>
  <si>
    <t>Apprenant 562 ou 562'</t>
  </si>
  <si>
    <t>Apprenant 563 ou 563'</t>
  </si>
  <si>
    <t>Apprenant 564 ou 564'</t>
  </si>
  <si>
    <t>Apprenant 565 ou 565'</t>
  </si>
  <si>
    <t>Apprenant 566 ou 566'</t>
  </si>
  <si>
    <t>Apprenant 567 ou 567'</t>
  </si>
  <si>
    <t>Apprenant 568 ou 568'</t>
  </si>
  <si>
    <t>Apprenant 569 ou 569'</t>
  </si>
  <si>
    <t>Apprenant 570 ou 570'</t>
  </si>
  <si>
    <t>Apprenant 571 ou 571'</t>
  </si>
  <si>
    <t>Apprenant 572 ou 572'</t>
  </si>
  <si>
    <t>Apprenant 573 ou 573'</t>
  </si>
  <si>
    <t>Apprenant 574 ou 574'</t>
  </si>
  <si>
    <t>Apprenant 575 ou 575'</t>
  </si>
  <si>
    <t>Apprenant 576 ou 576'</t>
  </si>
  <si>
    <t>Apprenant 577 ou 577'</t>
  </si>
  <si>
    <t>Apprenant 578 ou 578'</t>
  </si>
  <si>
    <t>Apprenant 579 ou 579'</t>
  </si>
  <si>
    <t>Apprenant 580 ou 580'</t>
  </si>
  <si>
    <t>Apprenant 581 ou 581'</t>
  </si>
  <si>
    <t>Apprenant 582 ou 582'</t>
  </si>
  <si>
    <t>Apprenant 583 ou 583'</t>
  </si>
  <si>
    <t>Apprenant 584 ou 584'</t>
  </si>
  <si>
    <t>Apprenant 585 ou 585'</t>
  </si>
  <si>
    <t>Apprenant 586 ou 586'</t>
  </si>
  <si>
    <t>Apprenant 587 ou 587'</t>
  </si>
  <si>
    <t>Apprenant 588 ou 588'</t>
  </si>
  <si>
    <t>Apprenant 589 ou 589'</t>
  </si>
  <si>
    <t>Apprenant 590 ou 590'</t>
  </si>
  <si>
    <t>Apprenant 591 ou 591'</t>
  </si>
  <si>
    <t>Apprenant 592 ou 592'</t>
  </si>
  <si>
    <t>Apprenant 593 ou 593'</t>
  </si>
  <si>
    <t>Apprenant 594 ou 594'</t>
  </si>
  <si>
    <t>Apprenant 595 ou 595'</t>
  </si>
  <si>
    <t>Apprenant 596 ou 596'</t>
  </si>
  <si>
    <t>Apprenant 597 ou 597'</t>
  </si>
  <si>
    <t>Apprenant 598 ou 598'</t>
  </si>
  <si>
    <t>Apprenant 599 ou 599'</t>
  </si>
  <si>
    <t>Apprenant 600 ou 600'</t>
  </si>
  <si>
    <t>Apprenant 601 ou 601'</t>
  </si>
  <si>
    <t>Apprenant 602 ou 602'</t>
  </si>
  <si>
    <t>Apprenant 603 ou 603'</t>
  </si>
  <si>
    <t>Apprenant 604 ou 604'</t>
  </si>
  <si>
    <t>Apprenant 605 ou 605'</t>
  </si>
  <si>
    <t>Apprenant 606 ou 606'</t>
  </si>
  <si>
    <t>Apprenant 607 ou 607'</t>
  </si>
  <si>
    <t>Apprenant 608 ou 608'</t>
  </si>
  <si>
    <t>Apprenant 609 ou 609'</t>
  </si>
  <si>
    <t>Apprenant 610 ou 610'</t>
  </si>
  <si>
    <t>Apprenant 611 ou 611'</t>
  </si>
  <si>
    <t>Apprenant 612 ou 612'</t>
  </si>
  <si>
    <t>Apprenant 613 ou 613'</t>
  </si>
  <si>
    <t>Apprenant 614 ou 614'</t>
  </si>
  <si>
    <t>Apprenant 615 ou 615'</t>
  </si>
  <si>
    <t>Apprenant 616 ou 616'</t>
  </si>
  <si>
    <t>Apprenant 617 ou 617'</t>
  </si>
  <si>
    <t>Apprenant 618 ou 618'</t>
  </si>
  <si>
    <t>Apprenant 619 ou 619'</t>
  </si>
  <si>
    <t>Apprenant 620 ou 620'</t>
  </si>
  <si>
    <t>Apprenant 621 ou 621'</t>
  </si>
  <si>
    <t>Apprenant 622 ou 622'</t>
  </si>
  <si>
    <t>Apprenant 623 ou 623'</t>
  </si>
  <si>
    <t>Apprenant 624 ou 624'</t>
  </si>
  <si>
    <t>Apprenant 625 ou 625'</t>
  </si>
  <si>
    <t>Apprenant 626 ou 626'</t>
  </si>
  <si>
    <t>Apprenant 627 ou 627'</t>
  </si>
  <si>
    <t>Apprenant 628 ou 628'</t>
  </si>
  <si>
    <t>Apprenant 629 ou 629'</t>
  </si>
  <si>
    <t>Apprenant 630 ou 630'</t>
  </si>
  <si>
    <t>Apprenant 631 ou 631'</t>
  </si>
  <si>
    <t>Apprenant 632 ou 632'</t>
  </si>
  <si>
    <t>Apprenant 633 ou 633'</t>
  </si>
  <si>
    <t>Apprenant 634 ou 634'</t>
  </si>
  <si>
    <t>Apprenant 635 ou 635'</t>
  </si>
  <si>
    <t>Apprenant 636 ou 636'</t>
  </si>
  <si>
    <t>Apprenant 637 ou 637'</t>
  </si>
  <si>
    <t>Apprenant 638 ou 638'</t>
  </si>
  <si>
    <t>Apprenant 639 ou 639'</t>
  </si>
  <si>
    <t>Apprenant 640 ou 640'</t>
  </si>
  <si>
    <t>Apprenant 641 ou 641'</t>
  </si>
  <si>
    <t>Apprenant 642 ou 642'</t>
  </si>
  <si>
    <t>Apprenant 643 ou 643'</t>
  </si>
  <si>
    <t>Apprenant 644 ou 644'</t>
  </si>
  <si>
    <t>Apprenant 645 ou 645'</t>
  </si>
  <si>
    <t>Apprenant 646 ou 646'</t>
  </si>
  <si>
    <t>Apprenant 647 ou 647'</t>
  </si>
  <si>
    <t>Apprenant 648 ou 648'</t>
  </si>
  <si>
    <t>Apprenant 649 ou 649'</t>
  </si>
  <si>
    <t>Apprenant 650 ou 650'</t>
  </si>
  <si>
    <t>Apprenant 651 ou 651'</t>
  </si>
  <si>
    <t>Apprenant 652 ou 652'</t>
  </si>
  <si>
    <t>Apprenant 653 ou 653'</t>
  </si>
  <si>
    <t>Apprenant 654 ou 654'</t>
  </si>
  <si>
    <t>Apprenant 655 ou 655'</t>
  </si>
  <si>
    <t>Apprenant 656 ou 656'</t>
  </si>
  <si>
    <t>Apprenant 657 ou 657'</t>
  </si>
  <si>
    <t>Apprenant 658 ou 658'</t>
  </si>
  <si>
    <t>Apprenant 659 ou 659'</t>
  </si>
  <si>
    <t>Apprenant 660 ou 660'</t>
  </si>
  <si>
    <t>Apprenant 661 ou 661'</t>
  </si>
  <si>
    <t>Apprenant 662 ou 662'</t>
  </si>
  <si>
    <t>Apprenant 663 ou 663'</t>
  </si>
  <si>
    <t>Apprenant 664 ou 664'</t>
  </si>
  <si>
    <t>Apprenant 665 ou 665'</t>
  </si>
  <si>
    <t>Apprenant 666 ou 666'</t>
  </si>
  <si>
    <t>Apprenant 667 ou 667'</t>
  </si>
  <si>
    <t>Apprenant 668 ou 668'</t>
  </si>
  <si>
    <t>Apprenant 669 ou 669'</t>
  </si>
  <si>
    <t>Apprenant 670 ou 670'</t>
  </si>
  <si>
    <t>Apprenant 671 ou 671'</t>
  </si>
  <si>
    <t>Apprenant 672 ou 672'</t>
  </si>
  <si>
    <t>Apprenant 673 ou 673'</t>
  </si>
  <si>
    <t>Apprenant 674 ou 674'</t>
  </si>
  <si>
    <t>Apprenant 675 ou 675'</t>
  </si>
  <si>
    <t>Apprenant 676 ou 676'</t>
  </si>
  <si>
    <t>Apprenant 677 ou 677'</t>
  </si>
  <si>
    <t>Apprenant 678 ou 678'</t>
  </si>
  <si>
    <t>Apprenant 679 ou 679'</t>
  </si>
  <si>
    <t>Apprenant 680 ou 680'</t>
  </si>
  <si>
    <t>Apprenant 681 ou 681'</t>
  </si>
  <si>
    <t>Apprenant 682 ou 682'</t>
  </si>
  <si>
    <t>Apprenant 683 ou 683'</t>
  </si>
  <si>
    <t>Apprenant 684 ou 684'</t>
  </si>
  <si>
    <t>Apprenant 685 ou 685'</t>
  </si>
  <si>
    <t>Apprenant 686 ou 686'</t>
  </si>
  <si>
    <t>Apprenant 687 ou 687'</t>
  </si>
  <si>
    <t>Apprenant 688 ou 688'</t>
  </si>
  <si>
    <t>Apprenant 689 ou 689'</t>
  </si>
  <si>
    <t>Apprenant 690 ou 690'</t>
  </si>
  <si>
    <t>Apprenant 691 ou 691'</t>
  </si>
  <si>
    <t>Apprenant 692 ou 692'</t>
  </si>
  <si>
    <t>Apprenant 693 ou 693'</t>
  </si>
  <si>
    <t>Apprenant 694 ou 694'</t>
  </si>
  <si>
    <t>Apprenant 695 ou 695'</t>
  </si>
  <si>
    <t>Apprenant 696 ou 696'</t>
  </si>
  <si>
    <t>Apprenant 697 ou 697'</t>
  </si>
  <si>
    <t>Apprenant 698 ou 698'</t>
  </si>
  <si>
    <t>Apprenant 699 ou 699'</t>
  </si>
  <si>
    <t>Apprenant 700 ou 700'</t>
  </si>
  <si>
    <t>Apprenant 701 ou 701'</t>
  </si>
  <si>
    <t>Apprenant 702 ou 702'</t>
  </si>
  <si>
    <t>Apprenant 703 ou 703'</t>
  </si>
  <si>
    <t>Apprenant 704 ou 704'</t>
  </si>
  <si>
    <t>Apprenant 705 ou 705'</t>
  </si>
  <si>
    <t>Apprenant 706 ou 706'</t>
  </si>
  <si>
    <t>Apprenant 707 ou 707'</t>
  </si>
  <si>
    <t>Apprenant 708 ou 708'</t>
  </si>
  <si>
    <t>Apprenant 709 ou 709'</t>
  </si>
  <si>
    <t>Apprenant 710 ou 710'</t>
  </si>
  <si>
    <t>Apprenant 711 ou 711'</t>
  </si>
  <si>
    <t>Apprenant 712 ou 712'</t>
  </si>
  <si>
    <t>Apprenant 713 ou 713'</t>
  </si>
  <si>
    <t>Apprenant 714 ou 714'</t>
  </si>
  <si>
    <t>Apprenant 715 ou 715'</t>
  </si>
  <si>
    <t>Apprenant 716 ou 716'</t>
  </si>
  <si>
    <t>Apprenant 717 ou 717'</t>
  </si>
  <si>
    <t>Apprenant 718 ou 718'</t>
  </si>
  <si>
    <t>Apprenant 719 ou 719'</t>
  </si>
  <si>
    <t>Apprenant 720 ou 720'</t>
  </si>
  <si>
    <t>Apprenant 721 ou 721'</t>
  </si>
  <si>
    <t>Apprenant 722 ou 722'</t>
  </si>
  <si>
    <t>Apprenant 723 ou 723'</t>
  </si>
  <si>
    <t>Apprenant 724 ou 724'</t>
  </si>
  <si>
    <t>Apprenant 725 ou 725'</t>
  </si>
  <si>
    <t>Apprenant 726 ou 726'</t>
  </si>
  <si>
    <t>Apprenant 727 ou 727'</t>
  </si>
  <si>
    <t>Apprenant 728 ou 728'</t>
  </si>
  <si>
    <t>Apprenant 729 ou 729'</t>
  </si>
  <si>
    <t>Apprenant 730 ou 730'</t>
  </si>
  <si>
    <t>Apprenant 731 ou 731'</t>
  </si>
  <si>
    <t>Apprenant 732 ou 732'</t>
  </si>
  <si>
    <t>Apprenant 733 ou 733'</t>
  </si>
  <si>
    <t>Apprenant 734 ou 734'</t>
  </si>
  <si>
    <t>Apprenant 735 ou 735'</t>
  </si>
  <si>
    <t>Apprenant 736 ou 736'</t>
  </si>
  <si>
    <t>Apprenant 737 ou 737'</t>
  </si>
  <si>
    <t>Apprenant 738 ou 738'</t>
  </si>
  <si>
    <t>Apprenant 739 ou 739'</t>
  </si>
  <si>
    <t>Apprenant 740 ou 740'</t>
  </si>
  <si>
    <t>Apprenant 741 ou 741'</t>
  </si>
  <si>
    <t>Apprenant 742 ou 742'</t>
  </si>
  <si>
    <t>Apprenant 743 ou 743'</t>
  </si>
  <si>
    <t>Apprenant 744 ou 744'</t>
  </si>
  <si>
    <t>Apprenant 745 ou 745'</t>
  </si>
  <si>
    <t>Apprenant 746 ou 746'</t>
  </si>
  <si>
    <t>Apprenant 747 ou 747'</t>
  </si>
  <si>
    <t>Apprenant 748 ou 748'</t>
  </si>
  <si>
    <t>Apprenant 749 ou 749'</t>
  </si>
  <si>
    <t>Apprenant 750 ou 750'</t>
  </si>
  <si>
    <t>Apprenant 751 ou 751'</t>
  </si>
  <si>
    <t>Apprenant 752 ou 752'</t>
  </si>
  <si>
    <t>Apprenant 753 ou 753'</t>
  </si>
  <si>
    <t>Apprenant 754 ou 754'</t>
  </si>
  <si>
    <t>Apprenant 755 ou 755'</t>
  </si>
  <si>
    <t>Apprenant 756 ou 756'</t>
  </si>
  <si>
    <t>Apprenant 757 ou 757'</t>
  </si>
  <si>
    <t>Apprenant 758 ou 758'</t>
  </si>
  <si>
    <t>Apprenant 759 ou 759'</t>
  </si>
  <si>
    <t>Apprenant 760 ou 760'</t>
  </si>
  <si>
    <t>Apprenant 761 ou 761'</t>
  </si>
  <si>
    <t>Apprenant 762 ou 762'</t>
  </si>
  <si>
    <t>Apprenant 763 ou 763'</t>
  </si>
  <si>
    <t>Apprenant 764 ou 764'</t>
  </si>
  <si>
    <t>Apprenant 765 ou 765'</t>
  </si>
  <si>
    <t>Apprenant 766 ou 766'</t>
  </si>
  <si>
    <t>Apprenant 767 ou 767'</t>
  </si>
  <si>
    <t>Apprenant 768 ou 768'</t>
  </si>
  <si>
    <t>Apprenant 769 ou 769'</t>
  </si>
  <si>
    <t>Apprenant 770 ou 770'</t>
  </si>
  <si>
    <t>Apprenant 771 ou 771'</t>
  </si>
  <si>
    <t>Apprenant 772 ou 772'</t>
  </si>
  <si>
    <t>Apprenant 773 ou 773'</t>
  </si>
  <si>
    <t>Apprenant 774 ou 774'</t>
  </si>
  <si>
    <t>Apprenant 775 ou 775'</t>
  </si>
  <si>
    <t>Apprenant 776 ou 776'</t>
  </si>
  <si>
    <t>Apprenant 777 ou 777'</t>
  </si>
  <si>
    <t>Apprenant 778 ou 778'</t>
  </si>
  <si>
    <t>Apprenant 779 ou 779'</t>
  </si>
  <si>
    <t>Apprenant 780 ou 780'</t>
  </si>
  <si>
    <t>Apprenant 781 ou 781'</t>
  </si>
  <si>
    <t>Apprenant 782 ou 782'</t>
  </si>
  <si>
    <t>Apprenant 783 ou 783'</t>
  </si>
  <si>
    <t>Apprenant 784 ou 784'</t>
  </si>
  <si>
    <t>Apprenant 785 ou 785'</t>
  </si>
  <si>
    <t>Apprenant 786 ou 786'</t>
  </si>
  <si>
    <t>Apprenant 787 ou 787'</t>
  </si>
  <si>
    <t>Apprenant 788 ou 788'</t>
  </si>
  <si>
    <t>Apprenant 789 ou 789'</t>
  </si>
  <si>
    <t>Apprenant 790 ou 790'</t>
  </si>
  <si>
    <t>Apprenant 791 ou 791'</t>
  </si>
  <si>
    <t>Apprenant 792 ou 792'</t>
  </si>
  <si>
    <t>Apprenant 793 ou 793'</t>
  </si>
  <si>
    <t>Apprenant 794 ou 794'</t>
  </si>
  <si>
    <t>Apprenant 795 ou 795'</t>
  </si>
  <si>
    <t>Apprenant 796 ou 796'</t>
  </si>
  <si>
    <t>Apprenant 797 ou 797'</t>
  </si>
  <si>
    <t>Apprenant 798 ou 798'</t>
  </si>
  <si>
    <t>Apprenant 799 ou 799'</t>
  </si>
  <si>
    <t>Apprenant 800 ou 800'</t>
  </si>
  <si>
    <t>Apprenant 801 ou 801'</t>
  </si>
  <si>
    <t>Apprenant 802 ou 802'</t>
  </si>
  <si>
    <t>Apprenant 803 ou 803'</t>
  </si>
  <si>
    <t>Apprenant 804 ou 804'</t>
  </si>
  <si>
    <t>Apprenant 805 ou 805'</t>
  </si>
  <si>
    <t>Apprenant 806 ou 806'</t>
  </si>
  <si>
    <t>Apprenant 807 ou 807'</t>
  </si>
  <si>
    <t>Apprenant 808 ou 808'</t>
  </si>
  <si>
    <t>Apprenant 809 ou 809'</t>
  </si>
  <si>
    <t>Apprenant 810 ou 810'</t>
  </si>
  <si>
    <t>Apprenant 811 ou 811'</t>
  </si>
  <si>
    <t>Apprenant 812 ou 812'</t>
  </si>
  <si>
    <t>Apprenant 813 ou 813'</t>
  </si>
  <si>
    <t>Apprenant 814 ou 814'</t>
  </si>
  <si>
    <t>Apprenant 815 ou 815'</t>
  </si>
  <si>
    <t>Apprenant 816 ou 816'</t>
  </si>
  <si>
    <t>Apprenant 817 ou 817'</t>
  </si>
  <si>
    <t>Apprenant 818 ou 818'</t>
  </si>
  <si>
    <t>Apprenant 819 ou 819'</t>
  </si>
  <si>
    <t>Apprenant 820 ou 820'</t>
  </si>
  <si>
    <t>Apprenant 821 ou 821'</t>
  </si>
  <si>
    <t>Apprenant 822 ou 822'</t>
  </si>
  <si>
    <t>Apprenant 823 ou 823'</t>
  </si>
  <si>
    <t>Apprenant 824 ou 824'</t>
  </si>
  <si>
    <t>Apprenant 825 ou 825'</t>
  </si>
  <si>
    <t>Apprenant 826 ou 826'</t>
  </si>
  <si>
    <t>Apprenant 827 ou 827'</t>
  </si>
  <si>
    <t>Apprenant 828 ou 828'</t>
  </si>
  <si>
    <t>Apprenant 829 ou 829'</t>
  </si>
  <si>
    <t>Apprenant 830 ou 830'</t>
  </si>
  <si>
    <t>Apprenant 831 ou 831'</t>
  </si>
  <si>
    <t>Apprenant 832 ou 832'</t>
  </si>
  <si>
    <t>Apprenant 833 ou 833'</t>
  </si>
  <si>
    <t>Apprenant 834 ou 834'</t>
  </si>
  <si>
    <t>Apprenant 835 ou 835'</t>
  </si>
  <si>
    <t>Apprenant 836 ou 836'</t>
  </si>
  <si>
    <t>Apprenant 837 ou 837'</t>
  </si>
  <si>
    <t>Apprenant 838 ou 838'</t>
  </si>
  <si>
    <t>Apprenant 839 ou 839'</t>
  </si>
  <si>
    <t>Apprenant 840 ou 840'</t>
  </si>
  <si>
    <t>Apprenant 841 ou 841'</t>
  </si>
  <si>
    <t>Apprenant 842 ou 842'</t>
  </si>
  <si>
    <t>Apprenant 843 ou 843'</t>
  </si>
  <si>
    <t>Apprenant 844 ou 844'</t>
  </si>
  <si>
    <t>Apprenant 845 ou 845'</t>
  </si>
  <si>
    <t>Apprenant 846 ou 846'</t>
  </si>
  <si>
    <t>Apprenant 847 ou 847'</t>
  </si>
  <si>
    <t>Apprenant 848 ou 848'</t>
  </si>
  <si>
    <t>Apprenant 849 ou 849'</t>
  </si>
  <si>
    <t>Apprenant 850 ou 850'</t>
  </si>
  <si>
    <t>Apprenant 851 ou 851'</t>
  </si>
  <si>
    <t>Apprenant 852 ou 852'</t>
  </si>
  <si>
    <t>Apprenant 853 ou 853'</t>
  </si>
  <si>
    <t>Apprenant 854 ou 854'</t>
  </si>
  <si>
    <t>Apprenant 855 ou 855'</t>
  </si>
  <si>
    <t>Apprenant 856 ou 856'</t>
  </si>
  <si>
    <t>Apprenant 857 ou 857'</t>
  </si>
  <si>
    <t>Apprenant 858 ou 858'</t>
  </si>
  <si>
    <t>Apprenant 859 ou 859'</t>
  </si>
  <si>
    <t>Apprenant 860 ou 860'</t>
  </si>
  <si>
    <t>Apprenant 861 ou 861'</t>
  </si>
  <si>
    <t>Apprenant 862 ou 862'</t>
  </si>
  <si>
    <t>Apprenant 863 ou 863'</t>
  </si>
  <si>
    <t>Apprenant 864 ou 864'</t>
  </si>
  <si>
    <t>Apprenant 865 ou 865'</t>
  </si>
  <si>
    <t>Apprenant 866 ou 866'</t>
  </si>
  <si>
    <t>Apprenant 867 ou 867'</t>
  </si>
  <si>
    <t>Apprenant 868 ou 868'</t>
  </si>
  <si>
    <t>Apprenant 869 ou 869'</t>
  </si>
  <si>
    <t>Apprenant 870 ou 870'</t>
  </si>
  <si>
    <t>Apprenant 871 ou 871'</t>
  </si>
  <si>
    <t>Apprenant 872 ou 872'</t>
  </si>
  <si>
    <t>Apprenant 873 ou 873'</t>
  </si>
  <si>
    <t>Apprenant 874 ou 874'</t>
  </si>
  <si>
    <t>Apprenant 875 ou 875'</t>
  </si>
  <si>
    <t>Apprenant 876 ou 876'</t>
  </si>
  <si>
    <t>Apprenant 877 ou 877'</t>
  </si>
  <si>
    <t>Apprenant 878 ou 878'</t>
  </si>
  <si>
    <t>Apprenant 879 ou 879'</t>
  </si>
  <si>
    <t>Apprenant 880 ou 880'</t>
  </si>
  <si>
    <t>Apprenant 881 ou 881'</t>
  </si>
  <si>
    <t>Apprenant 882 ou 882'</t>
  </si>
  <si>
    <t>Apprenant 883 ou 883'</t>
  </si>
  <si>
    <t>Apprenant 884 ou 884'</t>
  </si>
  <si>
    <t>Apprenant 885 ou 885'</t>
  </si>
  <si>
    <t>Apprenant 886 ou 886'</t>
  </si>
  <si>
    <t>Apprenant 887 ou 887'</t>
  </si>
  <si>
    <t>Apprenant 888 ou 888'</t>
  </si>
  <si>
    <t>Apprenant 889 ou 889'</t>
  </si>
  <si>
    <t>Apprenant 890 ou 890'</t>
  </si>
  <si>
    <t>Apprenant 891 ou 891'</t>
  </si>
  <si>
    <t>Apprenant 892 ou 892'</t>
  </si>
  <si>
    <t>Apprenant 893 ou 893'</t>
  </si>
  <si>
    <t>Apprenant 894 ou 894'</t>
  </si>
  <si>
    <t>Apprenant 895 ou 895'</t>
  </si>
  <si>
    <t>Apprenant 896 ou 896'</t>
  </si>
  <si>
    <t>Apprenant 897 ou 897'</t>
  </si>
  <si>
    <t>Apprenant 898 ou 898'</t>
  </si>
  <si>
    <t>Apprenant 899 ou 899'</t>
  </si>
  <si>
    <t>Apprenant 900 ou 900'</t>
  </si>
  <si>
    <t>Apprenant 901 ou 901'</t>
  </si>
  <si>
    <t>Apprenant 902 ou 902'</t>
  </si>
  <si>
    <t>Apprenant 903 ou 903'</t>
  </si>
  <si>
    <t>Apprenant 904 ou 904'</t>
  </si>
  <si>
    <t>Apprenant 905 ou 905'</t>
  </si>
  <si>
    <t>Apprenant 906 ou 906'</t>
  </si>
  <si>
    <t>Apprenant 907 ou 907'</t>
  </si>
  <si>
    <t>Apprenant 908 ou 908'</t>
  </si>
  <si>
    <t>Apprenant 909 ou 909'</t>
  </si>
  <si>
    <t>Apprenant 910 ou 910'</t>
  </si>
  <si>
    <t>Apprenant 911 ou 911'</t>
  </si>
  <si>
    <t>Apprenant 912 ou 912'</t>
  </si>
  <si>
    <t>Apprenant 913 ou 913'</t>
  </si>
  <si>
    <t>Apprenant 914 ou 914'</t>
  </si>
  <si>
    <t>Apprenant 915 ou 915'</t>
  </si>
  <si>
    <t>Apprenant 916 ou 916'</t>
  </si>
  <si>
    <t>Apprenant 917 ou 917'</t>
  </si>
  <si>
    <t>Apprenant 918 ou 918'</t>
  </si>
  <si>
    <t>Apprenant 919 ou 919'</t>
  </si>
  <si>
    <t>Apprenant 920 ou 920'</t>
  </si>
  <si>
    <t>Apprenant 921 ou 921'</t>
  </si>
  <si>
    <t>Apprenant 922 ou 922'</t>
  </si>
  <si>
    <t>Apprenant 923 ou 923'</t>
  </si>
  <si>
    <t>Apprenant 924 ou 924'</t>
  </si>
  <si>
    <t>Apprenant 925 ou 925'</t>
  </si>
  <si>
    <t>Apprenant 926 ou 926'</t>
  </si>
  <si>
    <t>Apprenant 927 ou 927'</t>
  </si>
  <si>
    <t>Apprenant 928 ou 928'</t>
  </si>
  <si>
    <t>Apprenant 929 ou 929'</t>
  </si>
  <si>
    <t>Apprenant 930 ou 930'</t>
  </si>
  <si>
    <t>Apprenant 931 ou 931'</t>
  </si>
  <si>
    <t>Apprenant 932 ou 932'</t>
  </si>
  <si>
    <t>Apprenant 933 ou 933'</t>
  </si>
  <si>
    <t>Apprenant 934 ou 934'</t>
  </si>
  <si>
    <t>Apprenant 935 ou 935'</t>
  </si>
  <si>
    <t>Apprenant 936 ou 936'</t>
  </si>
  <si>
    <t>Apprenant 937 ou 937'</t>
  </si>
  <si>
    <t>Apprenant 938 ou 938'</t>
  </si>
  <si>
    <t>Apprenant 939 ou 939'</t>
  </si>
  <si>
    <t>Apprenant 940 ou 940'</t>
  </si>
  <si>
    <t>Apprenant 941 ou 941'</t>
  </si>
  <si>
    <t>Apprenant 942 ou 942'</t>
  </si>
  <si>
    <t>Apprenant 943 ou 943'</t>
  </si>
  <si>
    <t>Apprenant 944 ou 944'</t>
  </si>
  <si>
    <t>Apprenant 945 ou 945'</t>
  </si>
  <si>
    <t>Apprenant 946 ou 946'</t>
  </si>
  <si>
    <t>Apprenant 947 ou 947'</t>
  </si>
  <si>
    <t>Apprenant 948 ou 948'</t>
  </si>
  <si>
    <t>Apprenant 949 ou 949'</t>
  </si>
  <si>
    <t>Apprenant 950 ou 950'</t>
  </si>
  <si>
    <t>Apprenant 951 ou 951'</t>
  </si>
  <si>
    <t>Apprenant 952 ou 952'</t>
  </si>
  <si>
    <t>Apprenant 953 ou 953'</t>
  </si>
  <si>
    <t>Apprenant 954 ou 954'</t>
  </si>
  <si>
    <t>Apprenant 955 ou 955'</t>
  </si>
  <si>
    <t>Apprenant 956 ou 956'</t>
  </si>
  <si>
    <t>Apprenant 957 ou 957'</t>
  </si>
  <si>
    <t>Apprenant 958 ou 958'</t>
  </si>
  <si>
    <t>Apprenant 959 ou 959'</t>
  </si>
  <si>
    <t>Apprenant 960 ou 960'</t>
  </si>
  <si>
    <t>Apprenant 961 ou 961'</t>
  </si>
  <si>
    <t>Apprenant 962 ou 962'</t>
  </si>
  <si>
    <t>Apprenant 963 ou 963'</t>
  </si>
  <si>
    <t>Apprenant 964 ou 964'</t>
  </si>
  <si>
    <t>Apprenant 965 ou 965'</t>
  </si>
  <si>
    <t>Apprenant 966 ou 966'</t>
  </si>
  <si>
    <t>Apprenant 967 ou 967'</t>
  </si>
  <si>
    <t>Apprenant 968 ou 968'</t>
  </si>
  <si>
    <t>Apprenant 969 ou 969'</t>
  </si>
  <si>
    <t>Apprenant 970 ou 970'</t>
  </si>
  <si>
    <t>Apprenant 971 ou 971'</t>
  </si>
  <si>
    <t>Apprenant 972 ou 972'</t>
  </si>
  <si>
    <t>Apprenant 973 ou 973'</t>
  </si>
  <si>
    <t>Apprenant 974 ou 974'</t>
  </si>
  <si>
    <t>Apprenant 975 ou 975'</t>
  </si>
  <si>
    <t>Apprenant 976 ou 976'</t>
  </si>
  <si>
    <t>Apprenant 977 ou 977'</t>
  </si>
  <si>
    <t>Apprenant 978 ou 978'</t>
  </si>
  <si>
    <t>Apprenant 979 ou 979'</t>
  </si>
  <si>
    <t>Apprenant 980 ou 980'</t>
  </si>
  <si>
    <t>Apprenant 981 ou 981'</t>
  </si>
  <si>
    <t>Apprenant 982 ou 982'</t>
  </si>
  <si>
    <t>Apprenant 983 ou 983'</t>
  </si>
  <si>
    <t>Apprenant 984 ou 984'</t>
  </si>
  <si>
    <t>Apprenant 985 ou 985'</t>
  </si>
  <si>
    <t>Apprenant 986 ou 986'</t>
  </si>
  <si>
    <t>Apprenant 987 ou 987'</t>
  </si>
  <si>
    <t>Apprenant 988 ou 988'</t>
  </si>
  <si>
    <t>Apprenant 989 ou 989'</t>
  </si>
  <si>
    <t>Apprenant 990 ou 990'</t>
  </si>
  <si>
    <t>Apprenant 991 ou 991'</t>
  </si>
  <si>
    <t>Apprenant 992 ou 992'</t>
  </si>
  <si>
    <t>Apprenant 993 ou 993'</t>
  </si>
  <si>
    <t>Apprenant 994 ou 994'</t>
  </si>
  <si>
    <t>Apprenant 995 ou 995'</t>
  </si>
  <si>
    <t>Apprenant 996 ou 996'</t>
  </si>
  <si>
    <t>Apprenant 997 ou 997'</t>
  </si>
  <si>
    <t>Apprenant 998 ou 998'</t>
  </si>
  <si>
    <t>Apprenant 999 ou 999'</t>
  </si>
  <si>
    <t>Apprenant 1000 ou 1000'</t>
  </si>
  <si>
    <t>Scores</t>
  </si>
  <si>
    <t>Intervalle de confiance</t>
  </si>
  <si>
    <t>Moyenne</t>
  </si>
  <si>
    <t>Données brutes</t>
  </si>
  <si>
    <t>Variante 1 ou 2</t>
  </si>
  <si>
    <t>Le participant est-il présent à tous les tests ? 1 oui, 0 non</t>
  </si>
  <si>
    <t>Pratique pédagogique habituelle
(trois tests)</t>
  </si>
  <si>
    <t>Nouvelle pratique pédagogique
(trois tests)</t>
  </si>
  <si>
    <t>Nombre de présents</t>
  </si>
  <si>
    <t>Nombre total</t>
  </si>
  <si>
    <t>Pourcentage de présents</t>
  </si>
  <si>
    <t>Numéro d'anonymisation</t>
  </si>
  <si>
    <t>Pratiques pédagogiques habituelle et nouvelle
(six tests)</t>
  </si>
  <si>
    <t>Variante 1 ou 2
Nouvelle pratique pédagogique</t>
  </si>
  <si>
    <t>Variantes 1 ou 2
Pratique pédagogique habituelle
&amp; Variantes 3
Pratiques pédagogiques habituelle et nouvelle</t>
  </si>
  <si>
    <t>Probabilités de réussite</t>
  </si>
  <si>
    <t>Données brutes pour les participants présents à tous les tests</t>
  </si>
  <si>
    <t>Probabilités de réussite pour les participants présents à tous les tests</t>
  </si>
  <si>
    <t>Post-test
différé</t>
  </si>
  <si>
    <t>Évolution à court terme
(post-test immédiat - pré-test)</t>
  </si>
  <si>
    <t>Évolution à moyen terme
(post-test différé - pré-test)</t>
  </si>
  <si>
    <t>Évolution après l'enseignement
(post-test différé - post-test immédiat)</t>
  </si>
  <si>
    <t>Vos choix pédagogiques</t>
  </si>
  <si>
    <t>Écart-type</t>
  </si>
  <si>
    <t>Évolution des scores</t>
  </si>
  <si>
    <t>Évolution des probabilités de réussite</t>
  </si>
  <si>
    <r>
      <rPr>
        <b/>
        <sz val="12"/>
        <color theme="0"/>
        <rFont val="Calibri"/>
        <family val="2"/>
      </rPr>
      <t>É</t>
    </r>
    <r>
      <rPr>
        <b/>
        <sz val="12"/>
        <color theme="0"/>
        <rFont val="Calibri"/>
        <family val="2"/>
        <scheme val="minor"/>
      </rPr>
      <t>volution à court terme
(post-test immédiat - pré-test)</t>
    </r>
  </si>
  <si>
    <t>Évolution a posteriori
(post-test différé - post-test immédiat)</t>
  </si>
  <si>
    <t>Médiane</t>
  </si>
  <si>
    <t>Premier quartile</t>
  </si>
  <si>
    <t>Troisième quartile</t>
  </si>
  <si>
    <t>Minimum</t>
  </si>
  <si>
    <t>Maximum</t>
  </si>
  <si>
    <t>Scores bruts (tous les apprenants)</t>
  </si>
  <si>
    <t>Probabilités de réussite
± intervalle de confiance à 95%</t>
  </si>
  <si>
    <t>Données descriptives pour les apprenants présents à tous les tests ([minimum ; premier quartile ; médiane ; troisième quartile ; maximum])</t>
  </si>
  <si>
    <t>Données descriptives du groupe (apprenants présents à tous les tests)</t>
  </si>
  <si>
    <t>Scores bruts (40 premiers apprenants)</t>
  </si>
  <si>
    <t>?</t>
  </si>
  <si>
    <t>Probabilités de réussite (apprenants présents à tous les tests)</t>
  </si>
  <si>
    <r>
      <rPr>
        <b/>
        <sz val="36"/>
        <color rgb="FF0F375F"/>
        <rFont val="Calibri"/>
        <family val="2"/>
      </rPr>
      <t>É</t>
    </r>
    <r>
      <rPr>
        <b/>
        <sz val="36"/>
        <color rgb="FF0F375F"/>
        <rFont val="Calibri"/>
        <family val="2"/>
        <scheme val="minor"/>
      </rPr>
      <t>volutions des probabilités de réussite (apprenants présents à tous les tests)</t>
    </r>
  </si>
  <si>
    <t>Évolutions des probabilités de réussite
± intervalle de confiance à 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</si>
</sst>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375F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rgb="FF0F375F"/>
      <name val="Calibri"/>
      <family val="2"/>
      <scheme val="minor"/>
    </font>
    <font>
      <sz val="14"/>
      <color rgb="FF0F375F"/>
      <name val="Calibri"/>
      <family val="2"/>
      <scheme val="minor"/>
    </font>
    <font>
      <b/>
      <sz val="12"/>
      <color rgb="FF0F375F"/>
      <name val="Calibri"/>
      <family val="2"/>
      <scheme val="minor"/>
    </font>
    <font>
      <sz val="12"/>
      <color rgb="FF0F375F"/>
      <name val="Calibri"/>
      <family val="2"/>
      <scheme val="minor"/>
    </font>
    <font>
      <i/>
      <sz val="12"/>
      <color rgb="FF0F375F"/>
      <name val="Calibri"/>
      <family val="2"/>
      <scheme val="minor"/>
    </font>
    <font>
      <sz val="11"/>
      <color rgb="FF0F375F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0F375F"/>
      <name val="Calibri"/>
      <family val="2"/>
      <scheme val="minor"/>
    </font>
    <font>
      <b/>
      <sz val="18"/>
      <color rgb="FF0F375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36"/>
      <color rgb="FF0F375F"/>
      <name val="Calibri"/>
      <family val="2"/>
      <scheme val="minor"/>
    </font>
    <font>
      <b/>
      <sz val="36"/>
      <color rgb="FF0F375F"/>
      <name val="Calibri"/>
      <family val="2"/>
    </font>
    <font>
      <b/>
      <sz val="12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A00"/>
        <bgColor indexed="64"/>
      </patternFill>
    </fill>
    <fill>
      <patternFill patternType="solid">
        <fgColor rgb="FF0F375F"/>
        <bgColor indexed="64"/>
      </patternFill>
    </fill>
    <fill>
      <patternFill patternType="solid">
        <fgColor rgb="FFC6E3EE"/>
        <bgColor indexed="64"/>
      </patternFill>
    </fill>
    <fill>
      <patternFill patternType="solid">
        <fgColor rgb="FF46B48C"/>
        <bgColor indexed="64"/>
      </patternFill>
    </fill>
    <fill>
      <patternFill patternType="solid">
        <fgColor rgb="FFFFDDDD"/>
        <bgColor indexed="64"/>
      </patternFill>
    </fill>
  </fills>
  <borders count="11">
    <border>
      <left/>
      <right/>
      <top/>
      <bottom/>
      <diagonal/>
    </border>
    <border>
      <left style="hair">
        <color rgb="FFC92E17"/>
      </left>
      <right style="hair">
        <color rgb="FFC92E17"/>
      </right>
      <top style="hair">
        <color rgb="FFC92E17"/>
      </top>
      <bottom style="hair">
        <color rgb="FFC92E17"/>
      </bottom>
      <diagonal/>
    </border>
    <border>
      <left/>
      <right style="medium">
        <color rgb="FFFFCA00"/>
      </right>
      <top style="medium">
        <color rgb="FFFFCA00"/>
      </top>
      <bottom/>
      <diagonal/>
    </border>
    <border>
      <left/>
      <right style="medium">
        <color rgb="FFFFCA00"/>
      </right>
      <top/>
      <bottom/>
      <diagonal/>
    </border>
    <border>
      <left/>
      <right style="medium">
        <color rgb="FFFFCA00"/>
      </right>
      <top/>
      <bottom style="medium">
        <color rgb="FFFFCA00"/>
      </bottom>
      <diagonal/>
    </border>
    <border>
      <left/>
      <right/>
      <top/>
      <bottom style="medium">
        <color rgb="FFFFCA00"/>
      </bottom>
      <diagonal/>
    </border>
    <border>
      <left style="thick">
        <color rgb="FF0F375F"/>
      </left>
      <right style="thick">
        <color rgb="FF0F375F"/>
      </right>
      <top style="thick">
        <color rgb="FF0F375F"/>
      </top>
      <bottom style="thick">
        <color rgb="FF0F375F"/>
      </bottom>
      <diagonal/>
    </border>
    <border>
      <left/>
      <right/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 style="medium">
        <color rgb="FFFFCA00"/>
      </top>
      <bottom/>
      <diagonal/>
    </border>
    <border>
      <left style="medium">
        <color rgb="FFFFCA00"/>
      </left>
      <right style="hair">
        <color rgb="FFFFCA00"/>
      </right>
      <top/>
      <bottom/>
      <diagonal/>
    </border>
    <border>
      <left style="medium">
        <color rgb="FFFFCA00"/>
      </left>
      <right style="hair">
        <color rgb="FFFFCA00"/>
      </right>
      <top/>
      <bottom style="medium">
        <color rgb="FFFFCA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5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4" fillId="3" borderId="0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8" fillId="5" borderId="0" xfId="0" applyFont="1" applyFill="1" applyBorder="1" applyAlignment="1">
      <alignment horizontal="center" vertical="center" wrapText="1"/>
    </xf>
    <xf numFmtId="2" fontId="8" fillId="5" borderId="0" xfId="0" applyNumberFormat="1" applyFont="1" applyFill="1" applyBorder="1" applyAlignment="1">
      <alignment vertical="center" wrapText="1"/>
    </xf>
    <xf numFmtId="0" fontId="9" fillId="5" borderId="0" xfId="0" applyFont="1" applyFill="1" applyBorder="1" applyAlignment="1">
      <alignment vertical="center" wrapText="1"/>
    </xf>
    <xf numFmtId="0" fontId="9" fillId="0" borderId="0" xfId="0" applyFont="1" applyFill="1" applyBorder="1" applyAlignment="1">
      <alignment vertical="center" wrapText="1"/>
    </xf>
    <xf numFmtId="2" fontId="10" fillId="5" borderId="0" xfId="0" applyNumberFormat="1" applyFont="1" applyFill="1" applyBorder="1" applyAlignment="1">
      <alignment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0" fillId="5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 wrapText="1"/>
    </xf>
    <xf numFmtId="0" fontId="6" fillId="2" borderId="0" xfId="0" applyFont="1" applyFill="1" applyBorder="1" applyAlignment="1">
      <alignment horizontal="center" vertical="center" wrapText="1"/>
    </xf>
    <xf numFmtId="9" fontId="9" fillId="5" borderId="0" xfId="1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3" fillId="0" borderId="0" xfId="0" applyFont="1" applyFill="1" applyBorder="1"/>
    <xf numFmtId="0" fontId="0" fillId="0" borderId="0" xfId="0" applyBorder="1"/>
    <xf numFmtId="0" fontId="0" fillId="0" borderId="5" xfId="0" applyBorder="1"/>
    <xf numFmtId="0" fontId="12" fillId="0" borderId="0" xfId="0" applyFont="1"/>
    <xf numFmtId="0" fontId="12" fillId="0" borderId="0" xfId="0" applyFont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17" fillId="0" borderId="0" xfId="0" applyFont="1"/>
    <xf numFmtId="9" fontId="8" fillId="0" borderId="0" xfId="1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9" fontId="14" fillId="0" borderId="6" xfId="1" applyFont="1" applyBorder="1" applyAlignment="1">
      <alignment horizontal="center" vertical="center" wrapText="1"/>
    </xf>
    <xf numFmtId="0" fontId="18" fillId="0" borderId="0" xfId="0" applyFont="1"/>
    <xf numFmtId="0" fontId="3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right" vertical="center"/>
    </xf>
    <xf numFmtId="0" fontId="15" fillId="0" borderId="0" xfId="0" applyFont="1" applyFill="1" applyBorder="1" applyAlignment="1">
      <alignment horizontal="right" vertical="center"/>
    </xf>
    <xf numFmtId="0" fontId="6" fillId="0" borderId="7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0" fontId="16" fillId="0" borderId="0" xfId="0" applyFont="1" applyFill="1" applyBorder="1"/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9" fontId="8" fillId="5" borderId="0" xfId="1" applyFont="1" applyFill="1" applyBorder="1" applyAlignment="1">
      <alignment vertical="center" wrapText="1"/>
    </xf>
    <xf numFmtId="9" fontId="10" fillId="5" borderId="0" xfId="1" applyFont="1" applyFill="1" applyBorder="1" applyAlignment="1">
      <alignment vertical="center" wrapText="1"/>
    </xf>
    <xf numFmtId="9" fontId="3" fillId="4" borderId="0" xfId="1" applyFont="1" applyFill="1" applyBorder="1" applyAlignment="1">
      <alignment vertical="center" wrapText="1"/>
    </xf>
    <xf numFmtId="0" fontId="12" fillId="2" borderId="0" xfId="0" applyFont="1" applyFill="1"/>
    <xf numFmtId="164" fontId="14" fillId="0" borderId="6" xfId="1" applyNumberFormat="1" applyFont="1" applyBorder="1" applyAlignment="1">
      <alignment horizontal="center" vertical="center" wrapText="1"/>
    </xf>
    <xf numFmtId="2" fontId="10" fillId="5" borderId="0" xfId="0" applyNumberFormat="1" applyFont="1" applyFill="1" applyBorder="1" applyAlignment="1">
      <alignment horizontal="center" vertical="center" wrapText="1"/>
    </xf>
    <xf numFmtId="2" fontId="9" fillId="5" borderId="0" xfId="0" applyNumberFormat="1" applyFont="1" applyFill="1" applyBorder="1" applyAlignment="1">
      <alignment vertical="center" wrapText="1"/>
    </xf>
    <xf numFmtId="2" fontId="9" fillId="0" borderId="0" xfId="0" applyNumberFormat="1" applyFont="1" applyFill="1" applyBorder="1" applyAlignment="1">
      <alignment vertical="center" wrapText="1"/>
    </xf>
    <xf numFmtId="2" fontId="9" fillId="5" borderId="0" xfId="0" applyNumberFormat="1" applyFont="1" applyFill="1" applyBorder="1" applyAlignment="1">
      <alignment horizontal="center" vertical="center" wrapText="1"/>
    </xf>
    <xf numFmtId="2" fontId="9" fillId="5" borderId="0" xfId="1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8" fillId="5" borderId="0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8"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A00"/>
      <color rgb="FF0F375F"/>
      <color rgb="FF46B48C"/>
      <color rgb="FFFFDDDD"/>
      <color rgb="FFC6E3EE"/>
      <color rgb="FFC92E17"/>
      <color rgb="FFFFF7DD"/>
      <color rgb="FFDDFFEC"/>
      <color rgb="FFC1F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160007914592669"/>
          <c:y val="0.27966021188426915"/>
          <c:w val="0.65996330254871149"/>
          <c:h val="0.59350128724942286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brutes'!$B$13:$B$52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2-C6D6-4066-95EC-C7BD5FF618D0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brutes'!$C$13:$C$52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4-C6D6-4066-95EC-C7BD5FF618D0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brutes'!$D$13:$D$52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3-C6D6-4066-95EC-C7BD5FF618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930112112609125E-2"/>
          <c:y val="0.90566566437556695"/>
          <c:w val="0.96356814062086094"/>
          <c:h val="7.0550830501938916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750877197850927"/>
          <c:y val="0.27434590208029774"/>
          <c:w val="0.66589405267604029"/>
          <c:h val="0.59809739627849878"/>
        </c:manualLayout>
      </c:layout>
      <c:radarChart>
        <c:radarStyle val="marker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brutes'!$G$13:$G$52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0-8662-4EEA-A0F6-07D8B2EBF78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brutes'!$H$13:$H$52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1-8662-4EEA-A0F6-07D8B2EBF78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none"/>
          </c:marker>
          <c:val>
            <c:numRef>
              <c:f>'Données brutes'!$I$13:$I$52</c:f>
              <c:numCache>
                <c:formatCode>General</c:formatCode>
                <c:ptCount val="40"/>
              </c:numCache>
            </c:numRef>
          </c:val>
          <c:extLst>
            <c:ext xmlns:c16="http://schemas.microsoft.com/office/drawing/2014/chart" uri="{C3380CC4-5D6E-409C-BE32-E72D297353CC}">
              <c16:uniqueId val="{00000002-8662-4EEA-A0F6-07D8B2EBF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120879"/>
        <c:axId val="1202120047"/>
      </c:radarChart>
      <c:catAx>
        <c:axId val="120212087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684522120555996E-2"/>
          <c:y val="0.90520609290148102"/>
          <c:w val="0.96974063433898017"/>
          <c:h val="7.0835016632204484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pratique pédagogique habituelle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6235929796135103E-3"/>
          <c:y val="0.15803465935419422"/>
          <c:w val="0.99284884441401844"/>
          <c:h val="0.4812260446891911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brutes'!$B$13:$B$1012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B7-4E53-8DAE-E44F79225692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brutes'!$C$13:$C$1012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B7-4E53-8DAE-E44F79225692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brutes'!$A$13:$A$1012</c:f>
              <c:strCache>
                <c:ptCount val="1000"/>
                <c:pt idx="0">
                  <c:v>Apprenant 1</c:v>
                </c:pt>
                <c:pt idx="1">
                  <c:v>Apprenant 2</c:v>
                </c:pt>
                <c:pt idx="2">
                  <c:v>Apprenant 3</c:v>
                </c:pt>
                <c:pt idx="3">
                  <c:v>Apprenant 4</c:v>
                </c:pt>
                <c:pt idx="4">
                  <c:v>Apprenant 5</c:v>
                </c:pt>
                <c:pt idx="5">
                  <c:v>Apprenant 6</c:v>
                </c:pt>
                <c:pt idx="6">
                  <c:v>Apprenant 7</c:v>
                </c:pt>
                <c:pt idx="7">
                  <c:v>Apprenant 8</c:v>
                </c:pt>
                <c:pt idx="8">
                  <c:v>Apprenant 9</c:v>
                </c:pt>
                <c:pt idx="9">
                  <c:v>Apprenant 10</c:v>
                </c:pt>
                <c:pt idx="10">
                  <c:v>Apprenant 11</c:v>
                </c:pt>
                <c:pt idx="11">
                  <c:v>Apprenant 12</c:v>
                </c:pt>
                <c:pt idx="12">
                  <c:v>Apprenant 13</c:v>
                </c:pt>
                <c:pt idx="13">
                  <c:v>Apprenant 14</c:v>
                </c:pt>
                <c:pt idx="14">
                  <c:v>Apprenant 15</c:v>
                </c:pt>
                <c:pt idx="15">
                  <c:v>Apprenant 16</c:v>
                </c:pt>
                <c:pt idx="16">
                  <c:v>Apprenant 17</c:v>
                </c:pt>
                <c:pt idx="17">
                  <c:v>Apprenant 18</c:v>
                </c:pt>
                <c:pt idx="18">
                  <c:v>Apprenant 19</c:v>
                </c:pt>
                <c:pt idx="19">
                  <c:v>Apprenant 20</c:v>
                </c:pt>
                <c:pt idx="20">
                  <c:v>Apprenant 21</c:v>
                </c:pt>
                <c:pt idx="21">
                  <c:v>Apprenant 22</c:v>
                </c:pt>
                <c:pt idx="22">
                  <c:v>Apprenant 23</c:v>
                </c:pt>
                <c:pt idx="23">
                  <c:v>Apprenant 24</c:v>
                </c:pt>
                <c:pt idx="24">
                  <c:v>Apprenant 25</c:v>
                </c:pt>
                <c:pt idx="25">
                  <c:v>Apprenant 26</c:v>
                </c:pt>
                <c:pt idx="26">
                  <c:v>Apprenant 27</c:v>
                </c:pt>
                <c:pt idx="27">
                  <c:v>Apprenant 28</c:v>
                </c:pt>
                <c:pt idx="28">
                  <c:v>Apprenant 29</c:v>
                </c:pt>
                <c:pt idx="29">
                  <c:v>Apprenant 30</c:v>
                </c:pt>
                <c:pt idx="30">
                  <c:v>Apprenant 31</c:v>
                </c:pt>
                <c:pt idx="31">
                  <c:v>Apprenant 32</c:v>
                </c:pt>
                <c:pt idx="32">
                  <c:v>Apprenant 33</c:v>
                </c:pt>
                <c:pt idx="33">
                  <c:v>Apprenant 34</c:v>
                </c:pt>
                <c:pt idx="34">
                  <c:v>Apprenant 35</c:v>
                </c:pt>
                <c:pt idx="35">
                  <c:v>Apprenant 36</c:v>
                </c:pt>
                <c:pt idx="36">
                  <c:v>Apprenant 37</c:v>
                </c:pt>
                <c:pt idx="37">
                  <c:v>Apprenant 38</c:v>
                </c:pt>
                <c:pt idx="38">
                  <c:v>Apprenant 39</c:v>
                </c:pt>
                <c:pt idx="39">
                  <c:v>Apprenant 40</c:v>
                </c:pt>
                <c:pt idx="40">
                  <c:v>Apprenant 41</c:v>
                </c:pt>
                <c:pt idx="41">
                  <c:v>Apprenant 42</c:v>
                </c:pt>
                <c:pt idx="42">
                  <c:v>Apprenant 43</c:v>
                </c:pt>
                <c:pt idx="43">
                  <c:v>Apprenant 44</c:v>
                </c:pt>
                <c:pt idx="44">
                  <c:v>Apprenant 45</c:v>
                </c:pt>
                <c:pt idx="45">
                  <c:v>Apprenant 46</c:v>
                </c:pt>
                <c:pt idx="46">
                  <c:v>Apprenant 47</c:v>
                </c:pt>
                <c:pt idx="47">
                  <c:v>Apprenant 48</c:v>
                </c:pt>
                <c:pt idx="48">
                  <c:v>Apprenant 49</c:v>
                </c:pt>
                <c:pt idx="49">
                  <c:v>Apprenant 50</c:v>
                </c:pt>
                <c:pt idx="50">
                  <c:v>Apprenant 51</c:v>
                </c:pt>
                <c:pt idx="51">
                  <c:v>Apprenant 52</c:v>
                </c:pt>
                <c:pt idx="52">
                  <c:v>Apprenant 53</c:v>
                </c:pt>
                <c:pt idx="53">
                  <c:v>Apprenant 54</c:v>
                </c:pt>
                <c:pt idx="54">
                  <c:v>Apprenant 55</c:v>
                </c:pt>
                <c:pt idx="55">
                  <c:v>Apprenant 56</c:v>
                </c:pt>
                <c:pt idx="56">
                  <c:v>Apprenant 57</c:v>
                </c:pt>
                <c:pt idx="57">
                  <c:v>Apprenant 58</c:v>
                </c:pt>
                <c:pt idx="58">
                  <c:v>Apprenant 59</c:v>
                </c:pt>
                <c:pt idx="59">
                  <c:v>Apprenant 60</c:v>
                </c:pt>
                <c:pt idx="60">
                  <c:v>Apprenant 61</c:v>
                </c:pt>
                <c:pt idx="61">
                  <c:v>Apprenant 62</c:v>
                </c:pt>
                <c:pt idx="62">
                  <c:v>Apprenant 63</c:v>
                </c:pt>
                <c:pt idx="63">
                  <c:v>Apprenant 64</c:v>
                </c:pt>
                <c:pt idx="64">
                  <c:v>Apprenant 65</c:v>
                </c:pt>
                <c:pt idx="65">
                  <c:v>Apprenant 66</c:v>
                </c:pt>
                <c:pt idx="66">
                  <c:v>Apprenant 67</c:v>
                </c:pt>
                <c:pt idx="67">
                  <c:v>Apprenant 68</c:v>
                </c:pt>
                <c:pt idx="68">
                  <c:v>Apprenant 69</c:v>
                </c:pt>
                <c:pt idx="69">
                  <c:v>Apprenant 70</c:v>
                </c:pt>
                <c:pt idx="70">
                  <c:v>Apprenant 71</c:v>
                </c:pt>
                <c:pt idx="71">
                  <c:v>Apprenant 72</c:v>
                </c:pt>
                <c:pt idx="72">
                  <c:v>Apprenant 73</c:v>
                </c:pt>
                <c:pt idx="73">
                  <c:v>Apprenant 74</c:v>
                </c:pt>
                <c:pt idx="74">
                  <c:v>Apprenant 75</c:v>
                </c:pt>
                <c:pt idx="75">
                  <c:v>Apprenant 76</c:v>
                </c:pt>
                <c:pt idx="76">
                  <c:v>Apprenant 77</c:v>
                </c:pt>
                <c:pt idx="77">
                  <c:v>Apprenant 78</c:v>
                </c:pt>
                <c:pt idx="78">
                  <c:v>Apprenant 79</c:v>
                </c:pt>
                <c:pt idx="79">
                  <c:v>Apprenant 80</c:v>
                </c:pt>
                <c:pt idx="80">
                  <c:v>Apprenant 81</c:v>
                </c:pt>
                <c:pt idx="81">
                  <c:v>Apprenant 82</c:v>
                </c:pt>
                <c:pt idx="82">
                  <c:v>Apprenant 83</c:v>
                </c:pt>
                <c:pt idx="83">
                  <c:v>Apprenant 84</c:v>
                </c:pt>
                <c:pt idx="84">
                  <c:v>Apprenant 85</c:v>
                </c:pt>
                <c:pt idx="85">
                  <c:v>Apprenant 86</c:v>
                </c:pt>
                <c:pt idx="86">
                  <c:v>Apprenant 87</c:v>
                </c:pt>
                <c:pt idx="87">
                  <c:v>Apprenant 88</c:v>
                </c:pt>
                <c:pt idx="88">
                  <c:v>Apprenant 89</c:v>
                </c:pt>
                <c:pt idx="89">
                  <c:v>Apprenant 90</c:v>
                </c:pt>
                <c:pt idx="90">
                  <c:v>Apprenant 91</c:v>
                </c:pt>
                <c:pt idx="91">
                  <c:v>Apprenant 92</c:v>
                </c:pt>
                <c:pt idx="92">
                  <c:v>Apprenant 93</c:v>
                </c:pt>
                <c:pt idx="93">
                  <c:v>Apprenant 94</c:v>
                </c:pt>
                <c:pt idx="94">
                  <c:v>Apprenant 95</c:v>
                </c:pt>
                <c:pt idx="95">
                  <c:v>Apprenant 96</c:v>
                </c:pt>
                <c:pt idx="96">
                  <c:v>Apprenant 97</c:v>
                </c:pt>
                <c:pt idx="97">
                  <c:v>Apprenant 98</c:v>
                </c:pt>
                <c:pt idx="98">
                  <c:v>Apprenant 99</c:v>
                </c:pt>
                <c:pt idx="99">
                  <c:v>Apprenant 100</c:v>
                </c:pt>
                <c:pt idx="100">
                  <c:v>Apprenant 101</c:v>
                </c:pt>
                <c:pt idx="101">
                  <c:v>Apprenant 102</c:v>
                </c:pt>
                <c:pt idx="102">
                  <c:v>Apprenant 103</c:v>
                </c:pt>
                <c:pt idx="103">
                  <c:v>Apprenant 104</c:v>
                </c:pt>
                <c:pt idx="104">
                  <c:v>Apprenant 105</c:v>
                </c:pt>
                <c:pt idx="105">
                  <c:v>Apprenant 106</c:v>
                </c:pt>
                <c:pt idx="106">
                  <c:v>Apprenant 107</c:v>
                </c:pt>
                <c:pt idx="107">
                  <c:v>Apprenant 108</c:v>
                </c:pt>
                <c:pt idx="108">
                  <c:v>Apprenant 109</c:v>
                </c:pt>
                <c:pt idx="109">
                  <c:v>Apprenant 110</c:v>
                </c:pt>
                <c:pt idx="110">
                  <c:v>Apprenant 111</c:v>
                </c:pt>
                <c:pt idx="111">
                  <c:v>Apprenant 112</c:v>
                </c:pt>
                <c:pt idx="112">
                  <c:v>Apprenant 113</c:v>
                </c:pt>
                <c:pt idx="113">
                  <c:v>Apprenant 114</c:v>
                </c:pt>
                <c:pt idx="114">
                  <c:v>Apprenant 115</c:v>
                </c:pt>
                <c:pt idx="115">
                  <c:v>Apprenant 116</c:v>
                </c:pt>
                <c:pt idx="116">
                  <c:v>Apprenant 117</c:v>
                </c:pt>
                <c:pt idx="117">
                  <c:v>Apprenant 118</c:v>
                </c:pt>
                <c:pt idx="118">
                  <c:v>Apprenant 119</c:v>
                </c:pt>
                <c:pt idx="119">
                  <c:v>Apprenant 120</c:v>
                </c:pt>
                <c:pt idx="120">
                  <c:v>Apprenant 121</c:v>
                </c:pt>
                <c:pt idx="121">
                  <c:v>Apprenant 122</c:v>
                </c:pt>
                <c:pt idx="122">
                  <c:v>Apprenant 123</c:v>
                </c:pt>
                <c:pt idx="123">
                  <c:v>Apprenant 124</c:v>
                </c:pt>
                <c:pt idx="124">
                  <c:v>Apprenant 125</c:v>
                </c:pt>
                <c:pt idx="125">
                  <c:v>Apprenant 126</c:v>
                </c:pt>
                <c:pt idx="126">
                  <c:v>Apprenant 127</c:v>
                </c:pt>
                <c:pt idx="127">
                  <c:v>Apprenant 128</c:v>
                </c:pt>
                <c:pt idx="128">
                  <c:v>Apprenant 129</c:v>
                </c:pt>
                <c:pt idx="129">
                  <c:v>Apprenant 130</c:v>
                </c:pt>
                <c:pt idx="130">
                  <c:v>Apprenant 131</c:v>
                </c:pt>
                <c:pt idx="131">
                  <c:v>Apprenant 132</c:v>
                </c:pt>
                <c:pt idx="132">
                  <c:v>Apprenant 133</c:v>
                </c:pt>
                <c:pt idx="133">
                  <c:v>Apprenant 134</c:v>
                </c:pt>
                <c:pt idx="134">
                  <c:v>Apprenant 135</c:v>
                </c:pt>
                <c:pt idx="135">
                  <c:v>Apprenant 136</c:v>
                </c:pt>
                <c:pt idx="136">
                  <c:v>Apprenant 137</c:v>
                </c:pt>
                <c:pt idx="137">
                  <c:v>Apprenant 138</c:v>
                </c:pt>
                <c:pt idx="138">
                  <c:v>Apprenant 139</c:v>
                </c:pt>
                <c:pt idx="139">
                  <c:v>Apprenant 140</c:v>
                </c:pt>
                <c:pt idx="140">
                  <c:v>Apprenant 141</c:v>
                </c:pt>
                <c:pt idx="141">
                  <c:v>Apprenant 142</c:v>
                </c:pt>
                <c:pt idx="142">
                  <c:v>Apprenant 143</c:v>
                </c:pt>
                <c:pt idx="143">
                  <c:v>Apprenant 144</c:v>
                </c:pt>
                <c:pt idx="144">
                  <c:v>Apprenant 145</c:v>
                </c:pt>
                <c:pt idx="145">
                  <c:v>Apprenant 146</c:v>
                </c:pt>
                <c:pt idx="146">
                  <c:v>Apprenant 147</c:v>
                </c:pt>
                <c:pt idx="147">
                  <c:v>Apprenant 148</c:v>
                </c:pt>
                <c:pt idx="148">
                  <c:v>Apprenant 149</c:v>
                </c:pt>
                <c:pt idx="149">
                  <c:v>Apprenant 150</c:v>
                </c:pt>
                <c:pt idx="150">
                  <c:v>Apprenant 151</c:v>
                </c:pt>
                <c:pt idx="151">
                  <c:v>Apprenant 152</c:v>
                </c:pt>
                <c:pt idx="152">
                  <c:v>Apprenant 153</c:v>
                </c:pt>
                <c:pt idx="153">
                  <c:v>Apprenant 154</c:v>
                </c:pt>
                <c:pt idx="154">
                  <c:v>Apprenant 155</c:v>
                </c:pt>
                <c:pt idx="155">
                  <c:v>Apprenant 156</c:v>
                </c:pt>
                <c:pt idx="156">
                  <c:v>Apprenant 157</c:v>
                </c:pt>
                <c:pt idx="157">
                  <c:v>Apprenant 158</c:v>
                </c:pt>
                <c:pt idx="158">
                  <c:v>Apprenant 159</c:v>
                </c:pt>
                <c:pt idx="159">
                  <c:v>Apprenant 160</c:v>
                </c:pt>
                <c:pt idx="160">
                  <c:v>Apprenant 161</c:v>
                </c:pt>
                <c:pt idx="161">
                  <c:v>Apprenant 162</c:v>
                </c:pt>
                <c:pt idx="162">
                  <c:v>Apprenant 163</c:v>
                </c:pt>
                <c:pt idx="163">
                  <c:v>Apprenant 164</c:v>
                </c:pt>
                <c:pt idx="164">
                  <c:v>Apprenant 165</c:v>
                </c:pt>
                <c:pt idx="165">
                  <c:v>Apprenant 166</c:v>
                </c:pt>
                <c:pt idx="166">
                  <c:v>Apprenant 167</c:v>
                </c:pt>
                <c:pt idx="167">
                  <c:v>Apprenant 168</c:v>
                </c:pt>
                <c:pt idx="168">
                  <c:v>Apprenant 169</c:v>
                </c:pt>
                <c:pt idx="169">
                  <c:v>Apprenant 170</c:v>
                </c:pt>
                <c:pt idx="170">
                  <c:v>Apprenant 171</c:v>
                </c:pt>
                <c:pt idx="171">
                  <c:v>Apprenant 172</c:v>
                </c:pt>
                <c:pt idx="172">
                  <c:v>Apprenant 173</c:v>
                </c:pt>
                <c:pt idx="173">
                  <c:v>Apprenant 174</c:v>
                </c:pt>
                <c:pt idx="174">
                  <c:v>Apprenant 175</c:v>
                </c:pt>
                <c:pt idx="175">
                  <c:v>Apprenant 176</c:v>
                </c:pt>
                <c:pt idx="176">
                  <c:v>Apprenant 177</c:v>
                </c:pt>
                <c:pt idx="177">
                  <c:v>Apprenant 178</c:v>
                </c:pt>
                <c:pt idx="178">
                  <c:v>Apprenant 179</c:v>
                </c:pt>
                <c:pt idx="179">
                  <c:v>Apprenant 180</c:v>
                </c:pt>
                <c:pt idx="180">
                  <c:v>Apprenant 181</c:v>
                </c:pt>
                <c:pt idx="181">
                  <c:v>Apprenant 182</c:v>
                </c:pt>
                <c:pt idx="182">
                  <c:v>Apprenant 183</c:v>
                </c:pt>
                <c:pt idx="183">
                  <c:v>Apprenant 184</c:v>
                </c:pt>
                <c:pt idx="184">
                  <c:v>Apprenant 185</c:v>
                </c:pt>
                <c:pt idx="185">
                  <c:v>Apprenant 186</c:v>
                </c:pt>
                <c:pt idx="186">
                  <c:v>Apprenant 187</c:v>
                </c:pt>
                <c:pt idx="187">
                  <c:v>Apprenant 188</c:v>
                </c:pt>
                <c:pt idx="188">
                  <c:v>Apprenant 189</c:v>
                </c:pt>
                <c:pt idx="189">
                  <c:v>Apprenant 190</c:v>
                </c:pt>
                <c:pt idx="190">
                  <c:v>Apprenant 191</c:v>
                </c:pt>
                <c:pt idx="191">
                  <c:v>Apprenant 192</c:v>
                </c:pt>
                <c:pt idx="192">
                  <c:v>Apprenant 193</c:v>
                </c:pt>
                <c:pt idx="193">
                  <c:v>Apprenant 194</c:v>
                </c:pt>
                <c:pt idx="194">
                  <c:v>Apprenant 195</c:v>
                </c:pt>
                <c:pt idx="195">
                  <c:v>Apprenant 196</c:v>
                </c:pt>
                <c:pt idx="196">
                  <c:v>Apprenant 197</c:v>
                </c:pt>
                <c:pt idx="197">
                  <c:v>Apprenant 198</c:v>
                </c:pt>
                <c:pt idx="198">
                  <c:v>Apprenant 199</c:v>
                </c:pt>
                <c:pt idx="199">
                  <c:v>Apprenant 200</c:v>
                </c:pt>
                <c:pt idx="200">
                  <c:v>Apprenant 201</c:v>
                </c:pt>
                <c:pt idx="201">
                  <c:v>Apprenant 202</c:v>
                </c:pt>
                <c:pt idx="202">
                  <c:v>Apprenant 203</c:v>
                </c:pt>
                <c:pt idx="203">
                  <c:v>Apprenant 204</c:v>
                </c:pt>
                <c:pt idx="204">
                  <c:v>Apprenant 205</c:v>
                </c:pt>
                <c:pt idx="205">
                  <c:v>Apprenant 206</c:v>
                </c:pt>
                <c:pt idx="206">
                  <c:v>Apprenant 207</c:v>
                </c:pt>
                <c:pt idx="207">
                  <c:v>Apprenant 208</c:v>
                </c:pt>
                <c:pt idx="208">
                  <c:v>Apprenant 209</c:v>
                </c:pt>
                <c:pt idx="209">
                  <c:v>Apprenant 210</c:v>
                </c:pt>
                <c:pt idx="210">
                  <c:v>Apprenant 211</c:v>
                </c:pt>
                <c:pt idx="211">
                  <c:v>Apprenant 212</c:v>
                </c:pt>
                <c:pt idx="212">
                  <c:v>Apprenant 213</c:v>
                </c:pt>
                <c:pt idx="213">
                  <c:v>Apprenant 214</c:v>
                </c:pt>
                <c:pt idx="214">
                  <c:v>Apprenant 215</c:v>
                </c:pt>
                <c:pt idx="215">
                  <c:v>Apprenant 216</c:v>
                </c:pt>
                <c:pt idx="216">
                  <c:v>Apprenant 217</c:v>
                </c:pt>
                <c:pt idx="217">
                  <c:v>Apprenant 218</c:v>
                </c:pt>
                <c:pt idx="218">
                  <c:v>Apprenant 219</c:v>
                </c:pt>
                <c:pt idx="219">
                  <c:v>Apprenant 220</c:v>
                </c:pt>
                <c:pt idx="220">
                  <c:v>Apprenant 221</c:v>
                </c:pt>
                <c:pt idx="221">
                  <c:v>Apprenant 222</c:v>
                </c:pt>
                <c:pt idx="222">
                  <c:v>Apprenant 223</c:v>
                </c:pt>
                <c:pt idx="223">
                  <c:v>Apprenant 224</c:v>
                </c:pt>
                <c:pt idx="224">
                  <c:v>Apprenant 225</c:v>
                </c:pt>
                <c:pt idx="225">
                  <c:v>Apprenant 226</c:v>
                </c:pt>
                <c:pt idx="226">
                  <c:v>Apprenant 227</c:v>
                </c:pt>
                <c:pt idx="227">
                  <c:v>Apprenant 228</c:v>
                </c:pt>
                <c:pt idx="228">
                  <c:v>Apprenant 229</c:v>
                </c:pt>
                <c:pt idx="229">
                  <c:v>Apprenant 230</c:v>
                </c:pt>
                <c:pt idx="230">
                  <c:v>Apprenant 231</c:v>
                </c:pt>
                <c:pt idx="231">
                  <c:v>Apprenant 232</c:v>
                </c:pt>
                <c:pt idx="232">
                  <c:v>Apprenant 233</c:v>
                </c:pt>
                <c:pt idx="233">
                  <c:v>Apprenant 234</c:v>
                </c:pt>
                <c:pt idx="234">
                  <c:v>Apprenant 235</c:v>
                </c:pt>
                <c:pt idx="235">
                  <c:v>Apprenant 236</c:v>
                </c:pt>
                <c:pt idx="236">
                  <c:v>Apprenant 237</c:v>
                </c:pt>
                <c:pt idx="237">
                  <c:v>Apprenant 238</c:v>
                </c:pt>
                <c:pt idx="238">
                  <c:v>Apprenant 239</c:v>
                </c:pt>
                <c:pt idx="239">
                  <c:v>Apprenant 240</c:v>
                </c:pt>
                <c:pt idx="240">
                  <c:v>Apprenant 241</c:v>
                </c:pt>
                <c:pt idx="241">
                  <c:v>Apprenant 242</c:v>
                </c:pt>
                <c:pt idx="242">
                  <c:v>Apprenant 243</c:v>
                </c:pt>
                <c:pt idx="243">
                  <c:v>Apprenant 244</c:v>
                </c:pt>
                <c:pt idx="244">
                  <c:v>Apprenant 245</c:v>
                </c:pt>
                <c:pt idx="245">
                  <c:v>Apprenant 246</c:v>
                </c:pt>
                <c:pt idx="246">
                  <c:v>Apprenant 247</c:v>
                </c:pt>
                <c:pt idx="247">
                  <c:v>Apprenant 248</c:v>
                </c:pt>
                <c:pt idx="248">
                  <c:v>Apprenant 249</c:v>
                </c:pt>
                <c:pt idx="249">
                  <c:v>Apprenant 250</c:v>
                </c:pt>
                <c:pt idx="250">
                  <c:v>Apprenant 251</c:v>
                </c:pt>
                <c:pt idx="251">
                  <c:v>Apprenant 252</c:v>
                </c:pt>
                <c:pt idx="252">
                  <c:v>Apprenant 253</c:v>
                </c:pt>
                <c:pt idx="253">
                  <c:v>Apprenant 254</c:v>
                </c:pt>
                <c:pt idx="254">
                  <c:v>Apprenant 255</c:v>
                </c:pt>
                <c:pt idx="255">
                  <c:v>Apprenant 256</c:v>
                </c:pt>
                <c:pt idx="256">
                  <c:v>Apprenant 257</c:v>
                </c:pt>
                <c:pt idx="257">
                  <c:v>Apprenant 258</c:v>
                </c:pt>
                <c:pt idx="258">
                  <c:v>Apprenant 259</c:v>
                </c:pt>
                <c:pt idx="259">
                  <c:v>Apprenant 260</c:v>
                </c:pt>
                <c:pt idx="260">
                  <c:v>Apprenant 261</c:v>
                </c:pt>
                <c:pt idx="261">
                  <c:v>Apprenant 262</c:v>
                </c:pt>
                <c:pt idx="262">
                  <c:v>Apprenant 263</c:v>
                </c:pt>
                <c:pt idx="263">
                  <c:v>Apprenant 264</c:v>
                </c:pt>
                <c:pt idx="264">
                  <c:v>Apprenant 265</c:v>
                </c:pt>
                <c:pt idx="265">
                  <c:v>Apprenant 266</c:v>
                </c:pt>
                <c:pt idx="266">
                  <c:v>Apprenant 267</c:v>
                </c:pt>
                <c:pt idx="267">
                  <c:v>Apprenant 268</c:v>
                </c:pt>
                <c:pt idx="268">
                  <c:v>Apprenant 269</c:v>
                </c:pt>
                <c:pt idx="269">
                  <c:v>Apprenant 270</c:v>
                </c:pt>
                <c:pt idx="270">
                  <c:v>Apprenant 271</c:v>
                </c:pt>
                <c:pt idx="271">
                  <c:v>Apprenant 272</c:v>
                </c:pt>
                <c:pt idx="272">
                  <c:v>Apprenant 273</c:v>
                </c:pt>
                <c:pt idx="273">
                  <c:v>Apprenant 274</c:v>
                </c:pt>
                <c:pt idx="274">
                  <c:v>Apprenant 275</c:v>
                </c:pt>
                <c:pt idx="275">
                  <c:v>Apprenant 276</c:v>
                </c:pt>
                <c:pt idx="276">
                  <c:v>Apprenant 277</c:v>
                </c:pt>
                <c:pt idx="277">
                  <c:v>Apprenant 278</c:v>
                </c:pt>
                <c:pt idx="278">
                  <c:v>Apprenant 279</c:v>
                </c:pt>
                <c:pt idx="279">
                  <c:v>Apprenant 280</c:v>
                </c:pt>
                <c:pt idx="280">
                  <c:v>Apprenant 281</c:v>
                </c:pt>
                <c:pt idx="281">
                  <c:v>Apprenant 282</c:v>
                </c:pt>
                <c:pt idx="282">
                  <c:v>Apprenant 283</c:v>
                </c:pt>
                <c:pt idx="283">
                  <c:v>Apprenant 284</c:v>
                </c:pt>
                <c:pt idx="284">
                  <c:v>Apprenant 285</c:v>
                </c:pt>
                <c:pt idx="285">
                  <c:v>Apprenant 286</c:v>
                </c:pt>
                <c:pt idx="286">
                  <c:v>Apprenant 287</c:v>
                </c:pt>
                <c:pt idx="287">
                  <c:v>Apprenant 288</c:v>
                </c:pt>
                <c:pt idx="288">
                  <c:v>Apprenant 289</c:v>
                </c:pt>
                <c:pt idx="289">
                  <c:v>Apprenant 290</c:v>
                </c:pt>
                <c:pt idx="290">
                  <c:v>Apprenant 291</c:v>
                </c:pt>
                <c:pt idx="291">
                  <c:v>Apprenant 292</c:v>
                </c:pt>
                <c:pt idx="292">
                  <c:v>Apprenant 293</c:v>
                </c:pt>
                <c:pt idx="293">
                  <c:v>Apprenant 294</c:v>
                </c:pt>
                <c:pt idx="294">
                  <c:v>Apprenant 295</c:v>
                </c:pt>
                <c:pt idx="295">
                  <c:v>Apprenant 296</c:v>
                </c:pt>
                <c:pt idx="296">
                  <c:v>Apprenant 297</c:v>
                </c:pt>
                <c:pt idx="297">
                  <c:v>Apprenant 298</c:v>
                </c:pt>
                <c:pt idx="298">
                  <c:v>Apprenant 299</c:v>
                </c:pt>
                <c:pt idx="299">
                  <c:v>Apprenant 300</c:v>
                </c:pt>
                <c:pt idx="300">
                  <c:v>Apprenant 301</c:v>
                </c:pt>
                <c:pt idx="301">
                  <c:v>Apprenant 302</c:v>
                </c:pt>
                <c:pt idx="302">
                  <c:v>Apprenant 303</c:v>
                </c:pt>
                <c:pt idx="303">
                  <c:v>Apprenant 304</c:v>
                </c:pt>
                <c:pt idx="304">
                  <c:v>Apprenant 305</c:v>
                </c:pt>
                <c:pt idx="305">
                  <c:v>Apprenant 306</c:v>
                </c:pt>
                <c:pt idx="306">
                  <c:v>Apprenant 307</c:v>
                </c:pt>
                <c:pt idx="307">
                  <c:v>Apprenant 308</c:v>
                </c:pt>
                <c:pt idx="308">
                  <c:v>Apprenant 309</c:v>
                </c:pt>
                <c:pt idx="309">
                  <c:v>Apprenant 310</c:v>
                </c:pt>
                <c:pt idx="310">
                  <c:v>Apprenant 311</c:v>
                </c:pt>
                <c:pt idx="311">
                  <c:v>Apprenant 312</c:v>
                </c:pt>
                <c:pt idx="312">
                  <c:v>Apprenant 313</c:v>
                </c:pt>
                <c:pt idx="313">
                  <c:v>Apprenant 314</c:v>
                </c:pt>
                <c:pt idx="314">
                  <c:v>Apprenant 315</c:v>
                </c:pt>
                <c:pt idx="315">
                  <c:v>Apprenant 316</c:v>
                </c:pt>
                <c:pt idx="316">
                  <c:v>Apprenant 317</c:v>
                </c:pt>
                <c:pt idx="317">
                  <c:v>Apprenant 318</c:v>
                </c:pt>
                <c:pt idx="318">
                  <c:v>Apprenant 319</c:v>
                </c:pt>
                <c:pt idx="319">
                  <c:v>Apprenant 320</c:v>
                </c:pt>
                <c:pt idx="320">
                  <c:v>Apprenant 321</c:v>
                </c:pt>
                <c:pt idx="321">
                  <c:v>Apprenant 322</c:v>
                </c:pt>
                <c:pt idx="322">
                  <c:v>Apprenant 323</c:v>
                </c:pt>
                <c:pt idx="323">
                  <c:v>Apprenant 324</c:v>
                </c:pt>
                <c:pt idx="324">
                  <c:v>Apprenant 325</c:v>
                </c:pt>
                <c:pt idx="325">
                  <c:v>Apprenant 326</c:v>
                </c:pt>
                <c:pt idx="326">
                  <c:v>Apprenant 327</c:v>
                </c:pt>
                <c:pt idx="327">
                  <c:v>Apprenant 328</c:v>
                </c:pt>
                <c:pt idx="328">
                  <c:v>Apprenant 329</c:v>
                </c:pt>
                <c:pt idx="329">
                  <c:v>Apprenant 330</c:v>
                </c:pt>
                <c:pt idx="330">
                  <c:v>Apprenant 331</c:v>
                </c:pt>
                <c:pt idx="331">
                  <c:v>Apprenant 332</c:v>
                </c:pt>
                <c:pt idx="332">
                  <c:v>Apprenant 333</c:v>
                </c:pt>
                <c:pt idx="333">
                  <c:v>Apprenant 334</c:v>
                </c:pt>
                <c:pt idx="334">
                  <c:v>Apprenant 335</c:v>
                </c:pt>
                <c:pt idx="335">
                  <c:v>Apprenant 336</c:v>
                </c:pt>
                <c:pt idx="336">
                  <c:v>Apprenant 337</c:v>
                </c:pt>
                <c:pt idx="337">
                  <c:v>Apprenant 338</c:v>
                </c:pt>
                <c:pt idx="338">
                  <c:v>Apprenant 339</c:v>
                </c:pt>
                <c:pt idx="339">
                  <c:v>Apprenant 340</c:v>
                </c:pt>
                <c:pt idx="340">
                  <c:v>Apprenant 341</c:v>
                </c:pt>
                <c:pt idx="341">
                  <c:v>Apprenant 342</c:v>
                </c:pt>
                <c:pt idx="342">
                  <c:v>Apprenant 343</c:v>
                </c:pt>
                <c:pt idx="343">
                  <c:v>Apprenant 344</c:v>
                </c:pt>
                <c:pt idx="344">
                  <c:v>Apprenant 345</c:v>
                </c:pt>
                <c:pt idx="345">
                  <c:v>Apprenant 346</c:v>
                </c:pt>
                <c:pt idx="346">
                  <c:v>Apprenant 347</c:v>
                </c:pt>
                <c:pt idx="347">
                  <c:v>Apprenant 348</c:v>
                </c:pt>
                <c:pt idx="348">
                  <c:v>Apprenant 349</c:v>
                </c:pt>
                <c:pt idx="349">
                  <c:v>Apprenant 350</c:v>
                </c:pt>
                <c:pt idx="350">
                  <c:v>Apprenant 351</c:v>
                </c:pt>
                <c:pt idx="351">
                  <c:v>Apprenant 352</c:v>
                </c:pt>
                <c:pt idx="352">
                  <c:v>Apprenant 353</c:v>
                </c:pt>
                <c:pt idx="353">
                  <c:v>Apprenant 354</c:v>
                </c:pt>
                <c:pt idx="354">
                  <c:v>Apprenant 355</c:v>
                </c:pt>
                <c:pt idx="355">
                  <c:v>Apprenant 356</c:v>
                </c:pt>
                <c:pt idx="356">
                  <c:v>Apprenant 357</c:v>
                </c:pt>
                <c:pt idx="357">
                  <c:v>Apprenant 358</c:v>
                </c:pt>
                <c:pt idx="358">
                  <c:v>Apprenant 359</c:v>
                </c:pt>
                <c:pt idx="359">
                  <c:v>Apprenant 360</c:v>
                </c:pt>
                <c:pt idx="360">
                  <c:v>Apprenant 361</c:v>
                </c:pt>
                <c:pt idx="361">
                  <c:v>Apprenant 362</c:v>
                </c:pt>
                <c:pt idx="362">
                  <c:v>Apprenant 363</c:v>
                </c:pt>
                <c:pt idx="363">
                  <c:v>Apprenant 364</c:v>
                </c:pt>
                <c:pt idx="364">
                  <c:v>Apprenant 365</c:v>
                </c:pt>
                <c:pt idx="365">
                  <c:v>Apprenant 366</c:v>
                </c:pt>
                <c:pt idx="366">
                  <c:v>Apprenant 367</c:v>
                </c:pt>
                <c:pt idx="367">
                  <c:v>Apprenant 368</c:v>
                </c:pt>
                <c:pt idx="368">
                  <c:v>Apprenant 369</c:v>
                </c:pt>
                <c:pt idx="369">
                  <c:v>Apprenant 370</c:v>
                </c:pt>
                <c:pt idx="370">
                  <c:v>Apprenant 371</c:v>
                </c:pt>
                <c:pt idx="371">
                  <c:v>Apprenant 372</c:v>
                </c:pt>
                <c:pt idx="372">
                  <c:v>Apprenant 373</c:v>
                </c:pt>
                <c:pt idx="373">
                  <c:v>Apprenant 374</c:v>
                </c:pt>
                <c:pt idx="374">
                  <c:v>Apprenant 375</c:v>
                </c:pt>
                <c:pt idx="375">
                  <c:v>Apprenant 376</c:v>
                </c:pt>
                <c:pt idx="376">
                  <c:v>Apprenant 377</c:v>
                </c:pt>
                <c:pt idx="377">
                  <c:v>Apprenant 378</c:v>
                </c:pt>
                <c:pt idx="378">
                  <c:v>Apprenant 379</c:v>
                </c:pt>
                <c:pt idx="379">
                  <c:v>Apprenant 380</c:v>
                </c:pt>
                <c:pt idx="380">
                  <c:v>Apprenant 381</c:v>
                </c:pt>
                <c:pt idx="381">
                  <c:v>Apprenant 382</c:v>
                </c:pt>
                <c:pt idx="382">
                  <c:v>Apprenant 383</c:v>
                </c:pt>
                <c:pt idx="383">
                  <c:v>Apprenant 384</c:v>
                </c:pt>
                <c:pt idx="384">
                  <c:v>Apprenant 385</c:v>
                </c:pt>
                <c:pt idx="385">
                  <c:v>Apprenant 386</c:v>
                </c:pt>
                <c:pt idx="386">
                  <c:v>Apprenant 387</c:v>
                </c:pt>
                <c:pt idx="387">
                  <c:v>Apprenant 388</c:v>
                </c:pt>
                <c:pt idx="388">
                  <c:v>Apprenant 389</c:v>
                </c:pt>
                <c:pt idx="389">
                  <c:v>Apprenant 390</c:v>
                </c:pt>
                <c:pt idx="390">
                  <c:v>Apprenant 391</c:v>
                </c:pt>
                <c:pt idx="391">
                  <c:v>Apprenant 392</c:v>
                </c:pt>
                <c:pt idx="392">
                  <c:v>Apprenant 393</c:v>
                </c:pt>
                <c:pt idx="393">
                  <c:v>Apprenant 394</c:v>
                </c:pt>
                <c:pt idx="394">
                  <c:v>Apprenant 395</c:v>
                </c:pt>
                <c:pt idx="395">
                  <c:v>Apprenant 396</c:v>
                </c:pt>
                <c:pt idx="396">
                  <c:v>Apprenant 397</c:v>
                </c:pt>
                <c:pt idx="397">
                  <c:v>Apprenant 398</c:v>
                </c:pt>
                <c:pt idx="398">
                  <c:v>Apprenant 399</c:v>
                </c:pt>
                <c:pt idx="399">
                  <c:v>Apprenant 400</c:v>
                </c:pt>
                <c:pt idx="400">
                  <c:v>Apprenant 401</c:v>
                </c:pt>
                <c:pt idx="401">
                  <c:v>Apprenant 402</c:v>
                </c:pt>
                <c:pt idx="402">
                  <c:v>Apprenant 403</c:v>
                </c:pt>
                <c:pt idx="403">
                  <c:v>Apprenant 404</c:v>
                </c:pt>
                <c:pt idx="404">
                  <c:v>Apprenant 405</c:v>
                </c:pt>
                <c:pt idx="405">
                  <c:v>Apprenant 406</c:v>
                </c:pt>
                <c:pt idx="406">
                  <c:v>Apprenant 407</c:v>
                </c:pt>
                <c:pt idx="407">
                  <c:v>Apprenant 408</c:v>
                </c:pt>
                <c:pt idx="408">
                  <c:v>Apprenant 409</c:v>
                </c:pt>
                <c:pt idx="409">
                  <c:v>Apprenant 410</c:v>
                </c:pt>
                <c:pt idx="410">
                  <c:v>Apprenant 411</c:v>
                </c:pt>
                <c:pt idx="411">
                  <c:v>Apprenant 412</c:v>
                </c:pt>
                <c:pt idx="412">
                  <c:v>Apprenant 413</c:v>
                </c:pt>
                <c:pt idx="413">
                  <c:v>Apprenant 414</c:v>
                </c:pt>
                <c:pt idx="414">
                  <c:v>Apprenant 415</c:v>
                </c:pt>
                <c:pt idx="415">
                  <c:v>Apprenant 416</c:v>
                </c:pt>
                <c:pt idx="416">
                  <c:v>Apprenant 417</c:v>
                </c:pt>
                <c:pt idx="417">
                  <c:v>Apprenant 418</c:v>
                </c:pt>
                <c:pt idx="418">
                  <c:v>Apprenant 419</c:v>
                </c:pt>
                <c:pt idx="419">
                  <c:v>Apprenant 420</c:v>
                </c:pt>
                <c:pt idx="420">
                  <c:v>Apprenant 421</c:v>
                </c:pt>
                <c:pt idx="421">
                  <c:v>Apprenant 422</c:v>
                </c:pt>
                <c:pt idx="422">
                  <c:v>Apprenant 423</c:v>
                </c:pt>
                <c:pt idx="423">
                  <c:v>Apprenant 424</c:v>
                </c:pt>
                <c:pt idx="424">
                  <c:v>Apprenant 425</c:v>
                </c:pt>
                <c:pt idx="425">
                  <c:v>Apprenant 426</c:v>
                </c:pt>
                <c:pt idx="426">
                  <c:v>Apprenant 427</c:v>
                </c:pt>
                <c:pt idx="427">
                  <c:v>Apprenant 428</c:v>
                </c:pt>
                <c:pt idx="428">
                  <c:v>Apprenant 429</c:v>
                </c:pt>
                <c:pt idx="429">
                  <c:v>Apprenant 430</c:v>
                </c:pt>
                <c:pt idx="430">
                  <c:v>Apprenant 431</c:v>
                </c:pt>
                <c:pt idx="431">
                  <c:v>Apprenant 432</c:v>
                </c:pt>
                <c:pt idx="432">
                  <c:v>Apprenant 433</c:v>
                </c:pt>
                <c:pt idx="433">
                  <c:v>Apprenant 434</c:v>
                </c:pt>
                <c:pt idx="434">
                  <c:v>Apprenant 435</c:v>
                </c:pt>
                <c:pt idx="435">
                  <c:v>Apprenant 436</c:v>
                </c:pt>
                <c:pt idx="436">
                  <c:v>Apprenant 437</c:v>
                </c:pt>
                <c:pt idx="437">
                  <c:v>Apprenant 438</c:v>
                </c:pt>
                <c:pt idx="438">
                  <c:v>Apprenant 439</c:v>
                </c:pt>
                <c:pt idx="439">
                  <c:v>Apprenant 440</c:v>
                </c:pt>
                <c:pt idx="440">
                  <c:v>Apprenant 441</c:v>
                </c:pt>
                <c:pt idx="441">
                  <c:v>Apprenant 442</c:v>
                </c:pt>
                <c:pt idx="442">
                  <c:v>Apprenant 443</c:v>
                </c:pt>
                <c:pt idx="443">
                  <c:v>Apprenant 444</c:v>
                </c:pt>
                <c:pt idx="444">
                  <c:v>Apprenant 445</c:v>
                </c:pt>
                <c:pt idx="445">
                  <c:v>Apprenant 446</c:v>
                </c:pt>
                <c:pt idx="446">
                  <c:v>Apprenant 447</c:v>
                </c:pt>
                <c:pt idx="447">
                  <c:v>Apprenant 448</c:v>
                </c:pt>
                <c:pt idx="448">
                  <c:v>Apprenant 449</c:v>
                </c:pt>
                <c:pt idx="449">
                  <c:v>Apprenant 450</c:v>
                </c:pt>
                <c:pt idx="450">
                  <c:v>Apprenant 451</c:v>
                </c:pt>
                <c:pt idx="451">
                  <c:v>Apprenant 452</c:v>
                </c:pt>
                <c:pt idx="452">
                  <c:v>Apprenant 453</c:v>
                </c:pt>
                <c:pt idx="453">
                  <c:v>Apprenant 454</c:v>
                </c:pt>
                <c:pt idx="454">
                  <c:v>Apprenant 455</c:v>
                </c:pt>
                <c:pt idx="455">
                  <c:v>Apprenant 456</c:v>
                </c:pt>
                <c:pt idx="456">
                  <c:v>Apprenant 457</c:v>
                </c:pt>
                <c:pt idx="457">
                  <c:v>Apprenant 458</c:v>
                </c:pt>
                <c:pt idx="458">
                  <c:v>Apprenant 459</c:v>
                </c:pt>
                <c:pt idx="459">
                  <c:v>Apprenant 460</c:v>
                </c:pt>
                <c:pt idx="460">
                  <c:v>Apprenant 461</c:v>
                </c:pt>
                <c:pt idx="461">
                  <c:v>Apprenant 462</c:v>
                </c:pt>
                <c:pt idx="462">
                  <c:v>Apprenant 463</c:v>
                </c:pt>
                <c:pt idx="463">
                  <c:v>Apprenant 464</c:v>
                </c:pt>
                <c:pt idx="464">
                  <c:v>Apprenant 465</c:v>
                </c:pt>
                <c:pt idx="465">
                  <c:v>Apprenant 466</c:v>
                </c:pt>
                <c:pt idx="466">
                  <c:v>Apprenant 467</c:v>
                </c:pt>
                <c:pt idx="467">
                  <c:v>Apprenant 468</c:v>
                </c:pt>
                <c:pt idx="468">
                  <c:v>Apprenant 469</c:v>
                </c:pt>
                <c:pt idx="469">
                  <c:v>Apprenant 470</c:v>
                </c:pt>
                <c:pt idx="470">
                  <c:v>Apprenant 471</c:v>
                </c:pt>
                <c:pt idx="471">
                  <c:v>Apprenant 472</c:v>
                </c:pt>
                <c:pt idx="472">
                  <c:v>Apprenant 473</c:v>
                </c:pt>
                <c:pt idx="473">
                  <c:v>Apprenant 474</c:v>
                </c:pt>
                <c:pt idx="474">
                  <c:v>Apprenant 475</c:v>
                </c:pt>
                <c:pt idx="475">
                  <c:v>Apprenant 476</c:v>
                </c:pt>
                <c:pt idx="476">
                  <c:v>Apprenant 477</c:v>
                </c:pt>
                <c:pt idx="477">
                  <c:v>Apprenant 478</c:v>
                </c:pt>
                <c:pt idx="478">
                  <c:v>Apprenant 479</c:v>
                </c:pt>
                <c:pt idx="479">
                  <c:v>Apprenant 480</c:v>
                </c:pt>
                <c:pt idx="480">
                  <c:v>Apprenant 481</c:v>
                </c:pt>
                <c:pt idx="481">
                  <c:v>Apprenant 482</c:v>
                </c:pt>
                <c:pt idx="482">
                  <c:v>Apprenant 483</c:v>
                </c:pt>
                <c:pt idx="483">
                  <c:v>Apprenant 484</c:v>
                </c:pt>
                <c:pt idx="484">
                  <c:v>Apprenant 485</c:v>
                </c:pt>
                <c:pt idx="485">
                  <c:v>Apprenant 486</c:v>
                </c:pt>
                <c:pt idx="486">
                  <c:v>Apprenant 487</c:v>
                </c:pt>
                <c:pt idx="487">
                  <c:v>Apprenant 488</c:v>
                </c:pt>
                <c:pt idx="488">
                  <c:v>Apprenant 489</c:v>
                </c:pt>
                <c:pt idx="489">
                  <c:v>Apprenant 490</c:v>
                </c:pt>
                <c:pt idx="490">
                  <c:v>Apprenant 491</c:v>
                </c:pt>
                <c:pt idx="491">
                  <c:v>Apprenant 492</c:v>
                </c:pt>
                <c:pt idx="492">
                  <c:v>Apprenant 493</c:v>
                </c:pt>
                <c:pt idx="493">
                  <c:v>Apprenant 494</c:v>
                </c:pt>
                <c:pt idx="494">
                  <c:v>Apprenant 495</c:v>
                </c:pt>
                <c:pt idx="495">
                  <c:v>Apprenant 496</c:v>
                </c:pt>
                <c:pt idx="496">
                  <c:v>Apprenant 497</c:v>
                </c:pt>
                <c:pt idx="497">
                  <c:v>Apprenant 498</c:v>
                </c:pt>
                <c:pt idx="498">
                  <c:v>Apprenant 499</c:v>
                </c:pt>
                <c:pt idx="499">
                  <c:v>Apprenant 500</c:v>
                </c:pt>
                <c:pt idx="500">
                  <c:v>Apprenant 501</c:v>
                </c:pt>
                <c:pt idx="501">
                  <c:v>Apprenant 502</c:v>
                </c:pt>
                <c:pt idx="502">
                  <c:v>Apprenant 503</c:v>
                </c:pt>
                <c:pt idx="503">
                  <c:v>Apprenant 504</c:v>
                </c:pt>
                <c:pt idx="504">
                  <c:v>Apprenant 505</c:v>
                </c:pt>
                <c:pt idx="505">
                  <c:v>Apprenant 506</c:v>
                </c:pt>
                <c:pt idx="506">
                  <c:v>Apprenant 507</c:v>
                </c:pt>
                <c:pt idx="507">
                  <c:v>Apprenant 508</c:v>
                </c:pt>
                <c:pt idx="508">
                  <c:v>Apprenant 509</c:v>
                </c:pt>
                <c:pt idx="509">
                  <c:v>Apprenant 510</c:v>
                </c:pt>
                <c:pt idx="510">
                  <c:v>Apprenant 511</c:v>
                </c:pt>
                <c:pt idx="511">
                  <c:v>Apprenant 512</c:v>
                </c:pt>
                <c:pt idx="512">
                  <c:v>Apprenant 513</c:v>
                </c:pt>
                <c:pt idx="513">
                  <c:v>Apprenant 514</c:v>
                </c:pt>
                <c:pt idx="514">
                  <c:v>Apprenant 515</c:v>
                </c:pt>
                <c:pt idx="515">
                  <c:v>Apprenant 516</c:v>
                </c:pt>
                <c:pt idx="516">
                  <c:v>Apprenant 517</c:v>
                </c:pt>
                <c:pt idx="517">
                  <c:v>Apprenant 518</c:v>
                </c:pt>
                <c:pt idx="518">
                  <c:v>Apprenant 519</c:v>
                </c:pt>
                <c:pt idx="519">
                  <c:v>Apprenant 520</c:v>
                </c:pt>
                <c:pt idx="520">
                  <c:v>Apprenant 521</c:v>
                </c:pt>
                <c:pt idx="521">
                  <c:v>Apprenant 522</c:v>
                </c:pt>
                <c:pt idx="522">
                  <c:v>Apprenant 523</c:v>
                </c:pt>
                <c:pt idx="523">
                  <c:v>Apprenant 524</c:v>
                </c:pt>
                <c:pt idx="524">
                  <c:v>Apprenant 525</c:v>
                </c:pt>
                <c:pt idx="525">
                  <c:v>Apprenant 526</c:v>
                </c:pt>
                <c:pt idx="526">
                  <c:v>Apprenant 527</c:v>
                </c:pt>
                <c:pt idx="527">
                  <c:v>Apprenant 528</c:v>
                </c:pt>
                <c:pt idx="528">
                  <c:v>Apprenant 529</c:v>
                </c:pt>
                <c:pt idx="529">
                  <c:v>Apprenant 530</c:v>
                </c:pt>
                <c:pt idx="530">
                  <c:v>Apprenant 531</c:v>
                </c:pt>
                <c:pt idx="531">
                  <c:v>Apprenant 532</c:v>
                </c:pt>
                <c:pt idx="532">
                  <c:v>Apprenant 533</c:v>
                </c:pt>
                <c:pt idx="533">
                  <c:v>Apprenant 534</c:v>
                </c:pt>
                <c:pt idx="534">
                  <c:v>Apprenant 535</c:v>
                </c:pt>
                <c:pt idx="535">
                  <c:v>Apprenant 536</c:v>
                </c:pt>
                <c:pt idx="536">
                  <c:v>Apprenant 537</c:v>
                </c:pt>
                <c:pt idx="537">
                  <c:v>Apprenant 538</c:v>
                </c:pt>
                <c:pt idx="538">
                  <c:v>Apprenant 539</c:v>
                </c:pt>
                <c:pt idx="539">
                  <c:v>Apprenant 540</c:v>
                </c:pt>
                <c:pt idx="540">
                  <c:v>Apprenant 541</c:v>
                </c:pt>
                <c:pt idx="541">
                  <c:v>Apprenant 542</c:v>
                </c:pt>
                <c:pt idx="542">
                  <c:v>Apprenant 543</c:v>
                </c:pt>
                <c:pt idx="543">
                  <c:v>Apprenant 544</c:v>
                </c:pt>
                <c:pt idx="544">
                  <c:v>Apprenant 545</c:v>
                </c:pt>
                <c:pt idx="545">
                  <c:v>Apprenant 546</c:v>
                </c:pt>
                <c:pt idx="546">
                  <c:v>Apprenant 547</c:v>
                </c:pt>
                <c:pt idx="547">
                  <c:v>Apprenant 548</c:v>
                </c:pt>
                <c:pt idx="548">
                  <c:v>Apprenant 549</c:v>
                </c:pt>
                <c:pt idx="549">
                  <c:v>Apprenant 550</c:v>
                </c:pt>
                <c:pt idx="550">
                  <c:v>Apprenant 551</c:v>
                </c:pt>
                <c:pt idx="551">
                  <c:v>Apprenant 552</c:v>
                </c:pt>
                <c:pt idx="552">
                  <c:v>Apprenant 553</c:v>
                </c:pt>
                <c:pt idx="553">
                  <c:v>Apprenant 554</c:v>
                </c:pt>
                <c:pt idx="554">
                  <c:v>Apprenant 555</c:v>
                </c:pt>
                <c:pt idx="555">
                  <c:v>Apprenant 556</c:v>
                </c:pt>
                <c:pt idx="556">
                  <c:v>Apprenant 557</c:v>
                </c:pt>
                <c:pt idx="557">
                  <c:v>Apprenant 558</c:v>
                </c:pt>
                <c:pt idx="558">
                  <c:v>Apprenant 559</c:v>
                </c:pt>
                <c:pt idx="559">
                  <c:v>Apprenant 560</c:v>
                </c:pt>
                <c:pt idx="560">
                  <c:v>Apprenant 561</c:v>
                </c:pt>
                <c:pt idx="561">
                  <c:v>Apprenant 562</c:v>
                </c:pt>
                <c:pt idx="562">
                  <c:v>Apprenant 563</c:v>
                </c:pt>
                <c:pt idx="563">
                  <c:v>Apprenant 564</c:v>
                </c:pt>
                <c:pt idx="564">
                  <c:v>Apprenant 565</c:v>
                </c:pt>
                <c:pt idx="565">
                  <c:v>Apprenant 566</c:v>
                </c:pt>
                <c:pt idx="566">
                  <c:v>Apprenant 567</c:v>
                </c:pt>
                <c:pt idx="567">
                  <c:v>Apprenant 568</c:v>
                </c:pt>
                <c:pt idx="568">
                  <c:v>Apprenant 569</c:v>
                </c:pt>
                <c:pt idx="569">
                  <c:v>Apprenant 570</c:v>
                </c:pt>
                <c:pt idx="570">
                  <c:v>Apprenant 571</c:v>
                </c:pt>
                <c:pt idx="571">
                  <c:v>Apprenant 572</c:v>
                </c:pt>
                <c:pt idx="572">
                  <c:v>Apprenant 573</c:v>
                </c:pt>
                <c:pt idx="573">
                  <c:v>Apprenant 574</c:v>
                </c:pt>
                <c:pt idx="574">
                  <c:v>Apprenant 575</c:v>
                </c:pt>
                <c:pt idx="575">
                  <c:v>Apprenant 576</c:v>
                </c:pt>
                <c:pt idx="576">
                  <c:v>Apprenant 577</c:v>
                </c:pt>
                <c:pt idx="577">
                  <c:v>Apprenant 578</c:v>
                </c:pt>
                <c:pt idx="578">
                  <c:v>Apprenant 579</c:v>
                </c:pt>
                <c:pt idx="579">
                  <c:v>Apprenant 580</c:v>
                </c:pt>
                <c:pt idx="580">
                  <c:v>Apprenant 581</c:v>
                </c:pt>
                <c:pt idx="581">
                  <c:v>Apprenant 582</c:v>
                </c:pt>
                <c:pt idx="582">
                  <c:v>Apprenant 583</c:v>
                </c:pt>
                <c:pt idx="583">
                  <c:v>Apprenant 584</c:v>
                </c:pt>
                <c:pt idx="584">
                  <c:v>Apprenant 585</c:v>
                </c:pt>
                <c:pt idx="585">
                  <c:v>Apprenant 586</c:v>
                </c:pt>
                <c:pt idx="586">
                  <c:v>Apprenant 587</c:v>
                </c:pt>
                <c:pt idx="587">
                  <c:v>Apprenant 588</c:v>
                </c:pt>
                <c:pt idx="588">
                  <c:v>Apprenant 589</c:v>
                </c:pt>
                <c:pt idx="589">
                  <c:v>Apprenant 590</c:v>
                </c:pt>
                <c:pt idx="590">
                  <c:v>Apprenant 591</c:v>
                </c:pt>
                <c:pt idx="591">
                  <c:v>Apprenant 592</c:v>
                </c:pt>
                <c:pt idx="592">
                  <c:v>Apprenant 593</c:v>
                </c:pt>
                <c:pt idx="593">
                  <c:v>Apprenant 594</c:v>
                </c:pt>
                <c:pt idx="594">
                  <c:v>Apprenant 595</c:v>
                </c:pt>
                <c:pt idx="595">
                  <c:v>Apprenant 596</c:v>
                </c:pt>
                <c:pt idx="596">
                  <c:v>Apprenant 597</c:v>
                </c:pt>
                <c:pt idx="597">
                  <c:v>Apprenant 598</c:v>
                </c:pt>
                <c:pt idx="598">
                  <c:v>Apprenant 599</c:v>
                </c:pt>
                <c:pt idx="599">
                  <c:v>Apprenant 600</c:v>
                </c:pt>
                <c:pt idx="600">
                  <c:v>Apprenant 601</c:v>
                </c:pt>
                <c:pt idx="601">
                  <c:v>Apprenant 602</c:v>
                </c:pt>
                <c:pt idx="602">
                  <c:v>Apprenant 603</c:v>
                </c:pt>
                <c:pt idx="603">
                  <c:v>Apprenant 604</c:v>
                </c:pt>
                <c:pt idx="604">
                  <c:v>Apprenant 605</c:v>
                </c:pt>
                <c:pt idx="605">
                  <c:v>Apprenant 606</c:v>
                </c:pt>
                <c:pt idx="606">
                  <c:v>Apprenant 607</c:v>
                </c:pt>
                <c:pt idx="607">
                  <c:v>Apprenant 608</c:v>
                </c:pt>
                <c:pt idx="608">
                  <c:v>Apprenant 609</c:v>
                </c:pt>
                <c:pt idx="609">
                  <c:v>Apprenant 610</c:v>
                </c:pt>
                <c:pt idx="610">
                  <c:v>Apprenant 611</c:v>
                </c:pt>
                <c:pt idx="611">
                  <c:v>Apprenant 612</c:v>
                </c:pt>
                <c:pt idx="612">
                  <c:v>Apprenant 613</c:v>
                </c:pt>
                <c:pt idx="613">
                  <c:v>Apprenant 614</c:v>
                </c:pt>
                <c:pt idx="614">
                  <c:v>Apprenant 615</c:v>
                </c:pt>
                <c:pt idx="615">
                  <c:v>Apprenant 616</c:v>
                </c:pt>
                <c:pt idx="616">
                  <c:v>Apprenant 617</c:v>
                </c:pt>
                <c:pt idx="617">
                  <c:v>Apprenant 618</c:v>
                </c:pt>
                <c:pt idx="618">
                  <c:v>Apprenant 619</c:v>
                </c:pt>
                <c:pt idx="619">
                  <c:v>Apprenant 620</c:v>
                </c:pt>
                <c:pt idx="620">
                  <c:v>Apprenant 621</c:v>
                </c:pt>
                <c:pt idx="621">
                  <c:v>Apprenant 622</c:v>
                </c:pt>
                <c:pt idx="622">
                  <c:v>Apprenant 623</c:v>
                </c:pt>
                <c:pt idx="623">
                  <c:v>Apprenant 624</c:v>
                </c:pt>
                <c:pt idx="624">
                  <c:v>Apprenant 625</c:v>
                </c:pt>
                <c:pt idx="625">
                  <c:v>Apprenant 626</c:v>
                </c:pt>
                <c:pt idx="626">
                  <c:v>Apprenant 627</c:v>
                </c:pt>
                <c:pt idx="627">
                  <c:v>Apprenant 628</c:v>
                </c:pt>
                <c:pt idx="628">
                  <c:v>Apprenant 629</c:v>
                </c:pt>
                <c:pt idx="629">
                  <c:v>Apprenant 630</c:v>
                </c:pt>
                <c:pt idx="630">
                  <c:v>Apprenant 631</c:v>
                </c:pt>
                <c:pt idx="631">
                  <c:v>Apprenant 632</c:v>
                </c:pt>
                <c:pt idx="632">
                  <c:v>Apprenant 633</c:v>
                </c:pt>
                <c:pt idx="633">
                  <c:v>Apprenant 634</c:v>
                </c:pt>
                <c:pt idx="634">
                  <c:v>Apprenant 635</c:v>
                </c:pt>
                <c:pt idx="635">
                  <c:v>Apprenant 636</c:v>
                </c:pt>
                <c:pt idx="636">
                  <c:v>Apprenant 637</c:v>
                </c:pt>
                <c:pt idx="637">
                  <c:v>Apprenant 638</c:v>
                </c:pt>
                <c:pt idx="638">
                  <c:v>Apprenant 639</c:v>
                </c:pt>
                <c:pt idx="639">
                  <c:v>Apprenant 640</c:v>
                </c:pt>
                <c:pt idx="640">
                  <c:v>Apprenant 641</c:v>
                </c:pt>
                <c:pt idx="641">
                  <c:v>Apprenant 642</c:v>
                </c:pt>
                <c:pt idx="642">
                  <c:v>Apprenant 643</c:v>
                </c:pt>
                <c:pt idx="643">
                  <c:v>Apprenant 644</c:v>
                </c:pt>
                <c:pt idx="644">
                  <c:v>Apprenant 645</c:v>
                </c:pt>
                <c:pt idx="645">
                  <c:v>Apprenant 646</c:v>
                </c:pt>
                <c:pt idx="646">
                  <c:v>Apprenant 647</c:v>
                </c:pt>
                <c:pt idx="647">
                  <c:v>Apprenant 648</c:v>
                </c:pt>
                <c:pt idx="648">
                  <c:v>Apprenant 649</c:v>
                </c:pt>
                <c:pt idx="649">
                  <c:v>Apprenant 650</c:v>
                </c:pt>
                <c:pt idx="650">
                  <c:v>Apprenant 651</c:v>
                </c:pt>
                <c:pt idx="651">
                  <c:v>Apprenant 652</c:v>
                </c:pt>
                <c:pt idx="652">
                  <c:v>Apprenant 653</c:v>
                </c:pt>
                <c:pt idx="653">
                  <c:v>Apprenant 654</c:v>
                </c:pt>
                <c:pt idx="654">
                  <c:v>Apprenant 655</c:v>
                </c:pt>
                <c:pt idx="655">
                  <c:v>Apprenant 656</c:v>
                </c:pt>
                <c:pt idx="656">
                  <c:v>Apprenant 657</c:v>
                </c:pt>
                <c:pt idx="657">
                  <c:v>Apprenant 658</c:v>
                </c:pt>
                <c:pt idx="658">
                  <c:v>Apprenant 659</c:v>
                </c:pt>
                <c:pt idx="659">
                  <c:v>Apprenant 660</c:v>
                </c:pt>
                <c:pt idx="660">
                  <c:v>Apprenant 661</c:v>
                </c:pt>
                <c:pt idx="661">
                  <c:v>Apprenant 662</c:v>
                </c:pt>
                <c:pt idx="662">
                  <c:v>Apprenant 663</c:v>
                </c:pt>
                <c:pt idx="663">
                  <c:v>Apprenant 664</c:v>
                </c:pt>
                <c:pt idx="664">
                  <c:v>Apprenant 665</c:v>
                </c:pt>
                <c:pt idx="665">
                  <c:v>Apprenant 666</c:v>
                </c:pt>
                <c:pt idx="666">
                  <c:v>Apprenant 667</c:v>
                </c:pt>
                <c:pt idx="667">
                  <c:v>Apprenant 668</c:v>
                </c:pt>
                <c:pt idx="668">
                  <c:v>Apprenant 669</c:v>
                </c:pt>
                <c:pt idx="669">
                  <c:v>Apprenant 670</c:v>
                </c:pt>
                <c:pt idx="670">
                  <c:v>Apprenant 671</c:v>
                </c:pt>
                <c:pt idx="671">
                  <c:v>Apprenant 672</c:v>
                </c:pt>
                <c:pt idx="672">
                  <c:v>Apprenant 673</c:v>
                </c:pt>
                <c:pt idx="673">
                  <c:v>Apprenant 674</c:v>
                </c:pt>
                <c:pt idx="674">
                  <c:v>Apprenant 675</c:v>
                </c:pt>
                <c:pt idx="675">
                  <c:v>Apprenant 676</c:v>
                </c:pt>
                <c:pt idx="676">
                  <c:v>Apprenant 677</c:v>
                </c:pt>
                <c:pt idx="677">
                  <c:v>Apprenant 678</c:v>
                </c:pt>
                <c:pt idx="678">
                  <c:v>Apprenant 679</c:v>
                </c:pt>
                <c:pt idx="679">
                  <c:v>Apprenant 680</c:v>
                </c:pt>
                <c:pt idx="680">
                  <c:v>Apprenant 681</c:v>
                </c:pt>
                <c:pt idx="681">
                  <c:v>Apprenant 682</c:v>
                </c:pt>
                <c:pt idx="682">
                  <c:v>Apprenant 683</c:v>
                </c:pt>
                <c:pt idx="683">
                  <c:v>Apprenant 684</c:v>
                </c:pt>
                <c:pt idx="684">
                  <c:v>Apprenant 685</c:v>
                </c:pt>
                <c:pt idx="685">
                  <c:v>Apprenant 686</c:v>
                </c:pt>
                <c:pt idx="686">
                  <c:v>Apprenant 687</c:v>
                </c:pt>
                <c:pt idx="687">
                  <c:v>Apprenant 688</c:v>
                </c:pt>
                <c:pt idx="688">
                  <c:v>Apprenant 689</c:v>
                </c:pt>
                <c:pt idx="689">
                  <c:v>Apprenant 690</c:v>
                </c:pt>
                <c:pt idx="690">
                  <c:v>Apprenant 691</c:v>
                </c:pt>
                <c:pt idx="691">
                  <c:v>Apprenant 692</c:v>
                </c:pt>
                <c:pt idx="692">
                  <c:v>Apprenant 693</c:v>
                </c:pt>
                <c:pt idx="693">
                  <c:v>Apprenant 694</c:v>
                </c:pt>
                <c:pt idx="694">
                  <c:v>Apprenant 695</c:v>
                </c:pt>
                <c:pt idx="695">
                  <c:v>Apprenant 696</c:v>
                </c:pt>
                <c:pt idx="696">
                  <c:v>Apprenant 697</c:v>
                </c:pt>
                <c:pt idx="697">
                  <c:v>Apprenant 698</c:v>
                </c:pt>
                <c:pt idx="698">
                  <c:v>Apprenant 699</c:v>
                </c:pt>
                <c:pt idx="699">
                  <c:v>Apprenant 700</c:v>
                </c:pt>
                <c:pt idx="700">
                  <c:v>Apprenant 701</c:v>
                </c:pt>
                <c:pt idx="701">
                  <c:v>Apprenant 702</c:v>
                </c:pt>
                <c:pt idx="702">
                  <c:v>Apprenant 703</c:v>
                </c:pt>
                <c:pt idx="703">
                  <c:v>Apprenant 704</c:v>
                </c:pt>
                <c:pt idx="704">
                  <c:v>Apprenant 705</c:v>
                </c:pt>
                <c:pt idx="705">
                  <c:v>Apprenant 706</c:v>
                </c:pt>
                <c:pt idx="706">
                  <c:v>Apprenant 707</c:v>
                </c:pt>
                <c:pt idx="707">
                  <c:v>Apprenant 708</c:v>
                </c:pt>
                <c:pt idx="708">
                  <c:v>Apprenant 709</c:v>
                </c:pt>
                <c:pt idx="709">
                  <c:v>Apprenant 710</c:v>
                </c:pt>
                <c:pt idx="710">
                  <c:v>Apprenant 711</c:v>
                </c:pt>
                <c:pt idx="711">
                  <c:v>Apprenant 712</c:v>
                </c:pt>
                <c:pt idx="712">
                  <c:v>Apprenant 713</c:v>
                </c:pt>
                <c:pt idx="713">
                  <c:v>Apprenant 714</c:v>
                </c:pt>
                <c:pt idx="714">
                  <c:v>Apprenant 715</c:v>
                </c:pt>
                <c:pt idx="715">
                  <c:v>Apprenant 716</c:v>
                </c:pt>
                <c:pt idx="716">
                  <c:v>Apprenant 717</c:v>
                </c:pt>
                <c:pt idx="717">
                  <c:v>Apprenant 718</c:v>
                </c:pt>
                <c:pt idx="718">
                  <c:v>Apprenant 719</c:v>
                </c:pt>
                <c:pt idx="719">
                  <c:v>Apprenant 720</c:v>
                </c:pt>
                <c:pt idx="720">
                  <c:v>Apprenant 721</c:v>
                </c:pt>
                <c:pt idx="721">
                  <c:v>Apprenant 722</c:v>
                </c:pt>
                <c:pt idx="722">
                  <c:v>Apprenant 723</c:v>
                </c:pt>
                <c:pt idx="723">
                  <c:v>Apprenant 724</c:v>
                </c:pt>
                <c:pt idx="724">
                  <c:v>Apprenant 725</c:v>
                </c:pt>
                <c:pt idx="725">
                  <c:v>Apprenant 726</c:v>
                </c:pt>
                <c:pt idx="726">
                  <c:v>Apprenant 727</c:v>
                </c:pt>
                <c:pt idx="727">
                  <c:v>Apprenant 728</c:v>
                </c:pt>
                <c:pt idx="728">
                  <c:v>Apprenant 729</c:v>
                </c:pt>
                <c:pt idx="729">
                  <c:v>Apprenant 730</c:v>
                </c:pt>
                <c:pt idx="730">
                  <c:v>Apprenant 731</c:v>
                </c:pt>
                <c:pt idx="731">
                  <c:v>Apprenant 732</c:v>
                </c:pt>
                <c:pt idx="732">
                  <c:v>Apprenant 733</c:v>
                </c:pt>
                <c:pt idx="733">
                  <c:v>Apprenant 734</c:v>
                </c:pt>
                <c:pt idx="734">
                  <c:v>Apprenant 735</c:v>
                </c:pt>
                <c:pt idx="735">
                  <c:v>Apprenant 736</c:v>
                </c:pt>
                <c:pt idx="736">
                  <c:v>Apprenant 737</c:v>
                </c:pt>
                <c:pt idx="737">
                  <c:v>Apprenant 738</c:v>
                </c:pt>
                <c:pt idx="738">
                  <c:v>Apprenant 739</c:v>
                </c:pt>
                <c:pt idx="739">
                  <c:v>Apprenant 740</c:v>
                </c:pt>
                <c:pt idx="740">
                  <c:v>Apprenant 741</c:v>
                </c:pt>
                <c:pt idx="741">
                  <c:v>Apprenant 742</c:v>
                </c:pt>
                <c:pt idx="742">
                  <c:v>Apprenant 743</c:v>
                </c:pt>
                <c:pt idx="743">
                  <c:v>Apprenant 744</c:v>
                </c:pt>
                <c:pt idx="744">
                  <c:v>Apprenant 745</c:v>
                </c:pt>
                <c:pt idx="745">
                  <c:v>Apprenant 746</c:v>
                </c:pt>
                <c:pt idx="746">
                  <c:v>Apprenant 747</c:v>
                </c:pt>
                <c:pt idx="747">
                  <c:v>Apprenant 748</c:v>
                </c:pt>
                <c:pt idx="748">
                  <c:v>Apprenant 749</c:v>
                </c:pt>
                <c:pt idx="749">
                  <c:v>Apprenant 750</c:v>
                </c:pt>
                <c:pt idx="750">
                  <c:v>Apprenant 751</c:v>
                </c:pt>
                <c:pt idx="751">
                  <c:v>Apprenant 752</c:v>
                </c:pt>
                <c:pt idx="752">
                  <c:v>Apprenant 753</c:v>
                </c:pt>
                <c:pt idx="753">
                  <c:v>Apprenant 754</c:v>
                </c:pt>
                <c:pt idx="754">
                  <c:v>Apprenant 755</c:v>
                </c:pt>
                <c:pt idx="755">
                  <c:v>Apprenant 756</c:v>
                </c:pt>
                <c:pt idx="756">
                  <c:v>Apprenant 757</c:v>
                </c:pt>
                <c:pt idx="757">
                  <c:v>Apprenant 758</c:v>
                </c:pt>
                <c:pt idx="758">
                  <c:v>Apprenant 759</c:v>
                </c:pt>
                <c:pt idx="759">
                  <c:v>Apprenant 760</c:v>
                </c:pt>
                <c:pt idx="760">
                  <c:v>Apprenant 761</c:v>
                </c:pt>
                <c:pt idx="761">
                  <c:v>Apprenant 762</c:v>
                </c:pt>
                <c:pt idx="762">
                  <c:v>Apprenant 763</c:v>
                </c:pt>
                <c:pt idx="763">
                  <c:v>Apprenant 764</c:v>
                </c:pt>
                <c:pt idx="764">
                  <c:v>Apprenant 765</c:v>
                </c:pt>
                <c:pt idx="765">
                  <c:v>Apprenant 766</c:v>
                </c:pt>
                <c:pt idx="766">
                  <c:v>Apprenant 767</c:v>
                </c:pt>
                <c:pt idx="767">
                  <c:v>Apprenant 768</c:v>
                </c:pt>
                <c:pt idx="768">
                  <c:v>Apprenant 769</c:v>
                </c:pt>
                <c:pt idx="769">
                  <c:v>Apprenant 770</c:v>
                </c:pt>
                <c:pt idx="770">
                  <c:v>Apprenant 771</c:v>
                </c:pt>
                <c:pt idx="771">
                  <c:v>Apprenant 772</c:v>
                </c:pt>
                <c:pt idx="772">
                  <c:v>Apprenant 773</c:v>
                </c:pt>
                <c:pt idx="773">
                  <c:v>Apprenant 774</c:v>
                </c:pt>
                <c:pt idx="774">
                  <c:v>Apprenant 775</c:v>
                </c:pt>
                <c:pt idx="775">
                  <c:v>Apprenant 776</c:v>
                </c:pt>
                <c:pt idx="776">
                  <c:v>Apprenant 777</c:v>
                </c:pt>
                <c:pt idx="777">
                  <c:v>Apprenant 778</c:v>
                </c:pt>
                <c:pt idx="778">
                  <c:v>Apprenant 779</c:v>
                </c:pt>
                <c:pt idx="779">
                  <c:v>Apprenant 780</c:v>
                </c:pt>
                <c:pt idx="780">
                  <c:v>Apprenant 781</c:v>
                </c:pt>
                <c:pt idx="781">
                  <c:v>Apprenant 782</c:v>
                </c:pt>
                <c:pt idx="782">
                  <c:v>Apprenant 783</c:v>
                </c:pt>
                <c:pt idx="783">
                  <c:v>Apprenant 784</c:v>
                </c:pt>
                <c:pt idx="784">
                  <c:v>Apprenant 785</c:v>
                </c:pt>
                <c:pt idx="785">
                  <c:v>Apprenant 786</c:v>
                </c:pt>
                <c:pt idx="786">
                  <c:v>Apprenant 787</c:v>
                </c:pt>
                <c:pt idx="787">
                  <c:v>Apprenant 788</c:v>
                </c:pt>
                <c:pt idx="788">
                  <c:v>Apprenant 789</c:v>
                </c:pt>
                <c:pt idx="789">
                  <c:v>Apprenant 790</c:v>
                </c:pt>
                <c:pt idx="790">
                  <c:v>Apprenant 791</c:v>
                </c:pt>
                <c:pt idx="791">
                  <c:v>Apprenant 792</c:v>
                </c:pt>
                <c:pt idx="792">
                  <c:v>Apprenant 793</c:v>
                </c:pt>
                <c:pt idx="793">
                  <c:v>Apprenant 794</c:v>
                </c:pt>
                <c:pt idx="794">
                  <c:v>Apprenant 795</c:v>
                </c:pt>
                <c:pt idx="795">
                  <c:v>Apprenant 796</c:v>
                </c:pt>
                <c:pt idx="796">
                  <c:v>Apprenant 797</c:v>
                </c:pt>
                <c:pt idx="797">
                  <c:v>Apprenant 798</c:v>
                </c:pt>
                <c:pt idx="798">
                  <c:v>Apprenant 799</c:v>
                </c:pt>
                <c:pt idx="799">
                  <c:v>Apprenant 800</c:v>
                </c:pt>
                <c:pt idx="800">
                  <c:v>Apprenant 801</c:v>
                </c:pt>
                <c:pt idx="801">
                  <c:v>Apprenant 802</c:v>
                </c:pt>
                <c:pt idx="802">
                  <c:v>Apprenant 803</c:v>
                </c:pt>
                <c:pt idx="803">
                  <c:v>Apprenant 804</c:v>
                </c:pt>
                <c:pt idx="804">
                  <c:v>Apprenant 805</c:v>
                </c:pt>
                <c:pt idx="805">
                  <c:v>Apprenant 806</c:v>
                </c:pt>
                <c:pt idx="806">
                  <c:v>Apprenant 807</c:v>
                </c:pt>
                <c:pt idx="807">
                  <c:v>Apprenant 808</c:v>
                </c:pt>
                <c:pt idx="808">
                  <c:v>Apprenant 809</c:v>
                </c:pt>
                <c:pt idx="809">
                  <c:v>Apprenant 810</c:v>
                </c:pt>
                <c:pt idx="810">
                  <c:v>Apprenant 811</c:v>
                </c:pt>
                <c:pt idx="811">
                  <c:v>Apprenant 812</c:v>
                </c:pt>
                <c:pt idx="812">
                  <c:v>Apprenant 813</c:v>
                </c:pt>
                <c:pt idx="813">
                  <c:v>Apprenant 814</c:v>
                </c:pt>
                <c:pt idx="814">
                  <c:v>Apprenant 815</c:v>
                </c:pt>
                <c:pt idx="815">
                  <c:v>Apprenant 816</c:v>
                </c:pt>
                <c:pt idx="816">
                  <c:v>Apprenant 817</c:v>
                </c:pt>
                <c:pt idx="817">
                  <c:v>Apprenant 818</c:v>
                </c:pt>
                <c:pt idx="818">
                  <c:v>Apprenant 819</c:v>
                </c:pt>
                <c:pt idx="819">
                  <c:v>Apprenant 820</c:v>
                </c:pt>
                <c:pt idx="820">
                  <c:v>Apprenant 821</c:v>
                </c:pt>
                <c:pt idx="821">
                  <c:v>Apprenant 822</c:v>
                </c:pt>
                <c:pt idx="822">
                  <c:v>Apprenant 823</c:v>
                </c:pt>
                <c:pt idx="823">
                  <c:v>Apprenant 824</c:v>
                </c:pt>
                <c:pt idx="824">
                  <c:v>Apprenant 825</c:v>
                </c:pt>
                <c:pt idx="825">
                  <c:v>Apprenant 826</c:v>
                </c:pt>
                <c:pt idx="826">
                  <c:v>Apprenant 827</c:v>
                </c:pt>
                <c:pt idx="827">
                  <c:v>Apprenant 828</c:v>
                </c:pt>
                <c:pt idx="828">
                  <c:v>Apprenant 829</c:v>
                </c:pt>
                <c:pt idx="829">
                  <c:v>Apprenant 830</c:v>
                </c:pt>
                <c:pt idx="830">
                  <c:v>Apprenant 831</c:v>
                </c:pt>
                <c:pt idx="831">
                  <c:v>Apprenant 832</c:v>
                </c:pt>
                <c:pt idx="832">
                  <c:v>Apprenant 833</c:v>
                </c:pt>
                <c:pt idx="833">
                  <c:v>Apprenant 834</c:v>
                </c:pt>
                <c:pt idx="834">
                  <c:v>Apprenant 835</c:v>
                </c:pt>
                <c:pt idx="835">
                  <c:v>Apprenant 836</c:v>
                </c:pt>
                <c:pt idx="836">
                  <c:v>Apprenant 837</c:v>
                </c:pt>
                <c:pt idx="837">
                  <c:v>Apprenant 838</c:v>
                </c:pt>
                <c:pt idx="838">
                  <c:v>Apprenant 839</c:v>
                </c:pt>
                <c:pt idx="839">
                  <c:v>Apprenant 840</c:v>
                </c:pt>
                <c:pt idx="840">
                  <c:v>Apprenant 841</c:v>
                </c:pt>
                <c:pt idx="841">
                  <c:v>Apprenant 842</c:v>
                </c:pt>
                <c:pt idx="842">
                  <c:v>Apprenant 843</c:v>
                </c:pt>
                <c:pt idx="843">
                  <c:v>Apprenant 844</c:v>
                </c:pt>
                <c:pt idx="844">
                  <c:v>Apprenant 845</c:v>
                </c:pt>
                <c:pt idx="845">
                  <c:v>Apprenant 846</c:v>
                </c:pt>
                <c:pt idx="846">
                  <c:v>Apprenant 847</c:v>
                </c:pt>
                <c:pt idx="847">
                  <c:v>Apprenant 848</c:v>
                </c:pt>
                <c:pt idx="848">
                  <c:v>Apprenant 849</c:v>
                </c:pt>
                <c:pt idx="849">
                  <c:v>Apprenant 850</c:v>
                </c:pt>
                <c:pt idx="850">
                  <c:v>Apprenant 851</c:v>
                </c:pt>
                <c:pt idx="851">
                  <c:v>Apprenant 852</c:v>
                </c:pt>
                <c:pt idx="852">
                  <c:v>Apprenant 853</c:v>
                </c:pt>
                <c:pt idx="853">
                  <c:v>Apprenant 854</c:v>
                </c:pt>
                <c:pt idx="854">
                  <c:v>Apprenant 855</c:v>
                </c:pt>
                <c:pt idx="855">
                  <c:v>Apprenant 856</c:v>
                </c:pt>
                <c:pt idx="856">
                  <c:v>Apprenant 857</c:v>
                </c:pt>
                <c:pt idx="857">
                  <c:v>Apprenant 858</c:v>
                </c:pt>
                <c:pt idx="858">
                  <c:v>Apprenant 859</c:v>
                </c:pt>
                <c:pt idx="859">
                  <c:v>Apprenant 860</c:v>
                </c:pt>
                <c:pt idx="860">
                  <c:v>Apprenant 861</c:v>
                </c:pt>
                <c:pt idx="861">
                  <c:v>Apprenant 862</c:v>
                </c:pt>
                <c:pt idx="862">
                  <c:v>Apprenant 863</c:v>
                </c:pt>
                <c:pt idx="863">
                  <c:v>Apprenant 864</c:v>
                </c:pt>
                <c:pt idx="864">
                  <c:v>Apprenant 865</c:v>
                </c:pt>
                <c:pt idx="865">
                  <c:v>Apprenant 866</c:v>
                </c:pt>
                <c:pt idx="866">
                  <c:v>Apprenant 867</c:v>
                </c:pt>
                <c:pt idx="867">
                  <c:v>Apprenant 868</c:v>
                </c:pt>
                <c:pt idx="868">
                  <c:v>Apprenant 869</c:v>
                </c:pt>
                <c:pt idx="869">
                  <c:v>Apprenant 870</c:v>
                </c:pt>
                <c:pt idx="870">
                  <c:v>Apprenant 871</c:v>
                </c:pt>
                <c:pt idx="871">
                  <c:v>Apprenant 872</c:v>
                </c:pt>
                <c:pt idx="872">
                  <c:v>Apprenant 873</c:v>
                </c:pt>
                <c:pt idx="873">
                  <c:v>Apprenant 874</c:v>
                </c:pt>
                <c:pt idx="874">
                  <c:v>Apprenant 875</c:v>
                </c:pt>
                <c:pt idx="875">
                  <c:v>Apprenant 876</c:v>
                </c:pt>
                <c:pt idx="876">
                  <c:v>Apprenant 877</c:v>
                </c:pt>
                <c:pt idx="877">
                  <c:v>Apprenant 878</c:v>
                </c:pt>
                <c:pt idx="878">
                  <c:v>Apprenant 879</c:v>
                </c:pt>
                <c:pt idx="879">
                  <c:v>Apprenant 880</c:v>
                </c:pt>
                <c:pt idx="880">
                  <c:v>Apprenant 881</c:v>
                </c:pt>
                <c:pt idx="881">
                  <c:v>Apprenant 882</c:v>
                </c:pt>
                <c:pt idx="882">
                  <c:v>Apprenant 883</c:v>
                </c:pt>
                <c:pt idx="883">
                  <c:v>Apprenant 884</c:v>
                </c:pt>
                <c:pt idx="884">
                  <c:v>Apprenant 885</c:v>
                </c:pt>
                <c:pt idx="885">
                  <c:v>Apprenant 886</c:v>
                </c:pt>
                <c:pt idx="886">
                  <c:v>Apprenant 887</c:v>
                </c:pt>
                <c:pt idx="887">
                  <c:v>Apprenant 888</c:v>
                </c:pt>
                <c:pt idx="888">
                  <c:v>Apprenant 889</c:v>
                </c:pt>
                <c:pt idx="889">
                  <c:v>Apprenant 890</c:v>
                </c:pt>
                <c:pt idx="890">
                  <c:v>Apprenant 891</c:v>
                </c:pt>
                <c:pt idx="891">
                  <c:v>Apprenant 892</c:v>
                </c:pt>
                <c:pt idx="892">
                  <c:v>Apprenant 893</c:v>
                </c:pt>
                <c:pt idx="893">
                  <c:v>Apprenant 894</c:v>
                </c:pt>
                <c:pt idx="894">
                  <c:v>Apprenant 895</c:v>
                </c:pt>
                <c:pt idx="895">
                  <c:v>Apprenant 896</c:v>
                </c:pt>
                <c:pt idx="896">
                  <c:v>Apprenant 897</c:v>
                </c:pt>
                <c:pt idx="897">
                  <c:v>Apprenant 898</c:v>
                </c:pt>
                <c:pt idx="898">
                  <c:v>Apprenant 899</c:v>
                </c:pt>
                <c:pt idx="899">
                  <c:v>Apprenant 900</c:v>
                </c:pt>
                <c:pt idx="900">
                  <c:v>Apprenant 901</c:v>
                </c:pt>
                <c:pt idx="901">
                  <c:v>Apprenant 902</c:v>
                </c:pt>
                <c:pt idx="902">
                  <c:v>Apprenant 903</c:v>
                </c:pt>
                <c:pt idx="903">
                  <c:v>Apprenant 904</c:v>
                </c:pt>
                <c:pt idx="904">
                  <c:v>Apprenant 905</c:v>
                </c:pt>
                <c:pt idx="905">
                  <c:v>Apprenant 906</c:v>
                </c:pt>
                <c:pt idx="906">
                  <c:v>Apprenant 907</c:v>
                </c:pt>
                <c:pt idx="907">
                  <c:v>Apprenant 908</c:v>
                </c:pt>
                <c:pt idx="908">
                  <c:v>Apprenant 909</c:v>
                </c:pt>
                <c:pt idx="909">
                  <c:v>Apprenant 910</c:v>
                </c:pt>
                <c:pt idx="910">
                  <c:v>Apprenant 911</c:v>
                </c:pt>
                <c:pt idx="911">
                  <c:v>Apprenant 912</c:v>
                </c:pt>
                <c:pt idx="912">
                  <c:v>Apprenant 913</c:v>
                </c:pt>
                <c:pt idx="913">
                  <c:v>Apprenant 914</c:v>
                </c:pt>
                <c:pt idx="914">
                  <c:v>Apprenant 915</c:v>
                </c:pt>
                <c:pt idx="915">
                  <c:v>Apprenant 916</c:v>
                </c:pt>
                <c:pt idx="916">
                  <c:v>Apprenant 917</c:v>
                </c:pt>
                <c:pt idx="917">
                  <c:v>Apprenant 918</c:v>
                </c:pt>
                <c:pt idx="918">
                  <c:v>Apprenant 919</c:v>
                </c:pt>
                <c:pt idx="919">
                  <c:v>Apprenant 920</c:v>
                </c:pt>
                <c:pt idx="920">
                  <c:v>Apprenant 921</c:v>
                </c:pt>
                <c:pt idx="921">
                  <c:v>Apprenant 922</c:v>
                </c:pt>
                <c:pt idx="922">
                  <c:v>Apprenant 923</c:v>
                </c:pt>
                <c:pt idx="923">
                  <c:v>Apprenant 924</c:v>
                </c:pt>
                <c:pt idx="924">
                  <c:v>Apprenant 925</c:v>
                </c:pt>
                <c:pt idx="925">
                  <c:v>Apprenant 926</c:v>
                </c:pt>
                <c:pt idx="926">
                  <c:v>Apprenant 927</c:v>
                </c:pt>
                <c:pt idx="927">
                  <c:v>Apprenant 928</c:v>
                </c:pt>
                <c:pt idx="928">
                  <c:v>Apprenant 929</c:v>
                </c:pt>
                <c:pt idx="929">
                  <c:v>Apprenant 930</c:v>
                </c:pt>
                <c:pt idx="930">
                  <c:v>Apprenant 931</c:v>
                </c:pt>
                <c:pt idx="931">
                  <c:v>Apprenant 932</c:v>
                </c:pt>
                <c:pt idx="932">
                  <c:v>Apprenant 933</c:v>
                </c:pt>
                <c:pt idx="933">
                  <c:v>Apprenant 934</c:v>
                </c:pt>
                <c:pt idx="934">
                  <c:v>Apprenant 935</c:v>
                </c:pt>
                <c:pt idx="935">
                  <c:v>Apprenant 936</c:v>
                </c:pt>
                <c:pt idx="936">
                  <c:v>Apprenant 937</c:v>
                </c:pt>
                <c:pt idx="937">
                  <c:v>Apprenant 938</c:v>
                </c:pt>
                <c:pt idx="938">
                  <c:v>Apprenant 939</c:v>
                </c:pt>
                <c:pt idx="939">
                  <c:v>Apprenant 940</c:v>
                </c:pt>
                <c:pt idx="940">
                  <c:v>Apprenant 941</c:v>
                </c:pt>
                <c:pt idx="941">
                  <c:v>Apprenant 942</c:v>
                </c:pt>
                <c:pt idx="942">
                  <c:v>Apprenant 943</c:v>
                </c:pt>
                <c:pt idx="943">
                  <c:v>Apprenant 944</c:v>
                </c:pt>
                <c:pt idx="944">
                  <c:v>Apprenant 945</c:v>
                </c:pt>
                <c:pt idx="945">
                  <c:v>Apprenant 946</c:v>
                </c:pt>
                <c:pt idx="946">
                  <c:v>Apprenant 947</c:v>
                </c:pt>
                <c:pt idx="947">
                  <c:v>Apprenant 948</c:v>
                </c:pt>
                <c:pt idx="948">
                  <c:v>Apprenant 949</c:v>
                </c:pt>
                <c:pt idx="949">
                  <c:v>Apprenant 950</c:v>
                </c:pt>
                <c:pt idx="950">
                  <c:v>Apprenant 951</c:v>
                </c:pt>
                <c:pt idx="951">
                  <c:v>Apprenant 952</c:v>
                </c:pt>
                <c:pt idx="952">
                  <c:v>Apprenant 953</c:v>
                </c:pt>
                <c:pt idx="953">
                  <c:v>Apprenant 954</c:v>
                </c:pt>
                <c:pt idx="954">
                  <c:v>Apprenant 955</c:v>
                </c:pt>
                <c:pt idx="955">
                  <c:v>Apprenant 956</c:v>
                </c:pt>
                <c:pt idx="956">
                  <c:v>Apprenant 957</c:v>
                </c:pt>
                <c:pt idx="957">
                  <c:v>Apprenant 958</c:v>
                </c:pt>
                <c:pt idx="958">
                  <c:v>Apprenant 959</c:v>
                </c:pt>
                <c:pt idx="959">
                  <c:v>Apprenant 960</c:v>
                </c:pt>
                <c:pt idx="960">
                  <c:v>Apprenant 961</c:v>
                </c:pt>
                <c:pt idx="961">
                  <c:v>Apprenant 962</c:v>
                </c:pt>
                <c:pt idx="962">
                  <c:v>Apprenant 963</c:v>
                </c:pt>
                <c:pt idx="963">
                  <c:v>Apprenant 964</c:v>
                </c:pt>
                <c:pt idx="964">
                  <c:v>Apprenant 965</c:v>
                </c:pt>
                <c:pt idx="965">
                  <c:v>Apprenant 966</c:v>
                </c:pt>
                <c:pt idx="966">
                  <c:v>Apprenant 967</c:v>
                </c:pt>
                <c:pt idx="967">
                  <c:v>Apprenant 968</c:v>
                </c:pt>
                <c:pt idx="968">
                  <c:v>Apprenant 969</c:v>
                </c:pt>
                <c:pt idx="969">
                  <c:v>Apprenant 970</c:v>
                </c:pt>
                <c:pt idx="970">
                  <c:v>Apprenant 971</c:v>
                </c:pt>
                <c:pt idx="971">
                  <c:v>Apprenant 972</c:v>
                </c:pt>
                <c:pt idx="972">
                  <c:v>Apprenant 973</c:v>
                </c:pt>
                <c:pt idx="973">
                  <c:v>Apprenant 974</c:v>
                </c:pt>
                <c:pt idx="974">
                  <c:v>Apprenant 975</c:v>
                </c:pt>
                <c:pt idx="975">
                  <c:v>Apprenant 976</c:v>
                </c:pt>
                <c:pt idx="976">
                  <c:v>Apprenant 977</c:v>
                </c:pt>
                <c:pt idx="977">
                  <c:v>Apprenant 978</c:v>
                </c:pt>
                <c:pt idx="978">
                  <c:v>Apprenant 979</c:v>
                </c:pt>
                <c:pt idx="979">
                  <c:v>Apprenant 980</c:v>
                </c:pt>
                <c:pt idx="980">
                  <c:v>Apprenant 981</c:v>
                </c:pt>
                <c:pt idx="981">
                  <c:v>Apprenant 982</c:v>
                </c:pt>
                <c:pt idx="982">
                  <c:v>Apprenant 983</c:v>
                </c:pt>
                <c:pt idx="983">
                  <c:v>Apprenant 984</c:v>
                </c:pt>
                <c:pt idx="984">
                  <c:v>Apprenant 985</c:v>
                </c:pt>
                <c:pt idx="985">
                  <c:v>Apprenant 986</c:v>
                </c:pt>
                <c:pt idx="986">
                  <c:v>Apprenant 987</c:v>
                </c:pt>
                <c:pt idx="987">
                  <c:v>Apprenant 988</c:v>
                </c:pt>
                <c:pt idx="988">
                  <c:v>Apprenant 989</c:v>
                </c:pt>
                <c:pt idx="989">
                  <c:v>Apprenant 990</c:v>
                </c:pt>
                <c:pt idx="990">
                  <c:v>Apprenant 991</c:v>
                </c:pt>
                <c:pt idx="991">
                  <c:v>Apprenant 992</c:v>
                </c:pt>
                <c:pt idx="992">
                  <c:v>Apprenant 993</c:v>
                </c:pt>
                <c:pt idx="993">
                  <c:v>Apprenant 994</c:v>
                </c:pt>
                <c:pt idx="994">
                  <c:v>Apprenant 995</c:v>
                </c:pt>
                <c:pt idx="995">
                  <c:v>Apprenant 996</c:v>
                </c:pt>
                <c:pt idx="996">
                  <c:v>Apprenant 997</c:v>
                </c:pt>
                <c:pt idx="997">
                  <c:v>Apprenant 998</c:v>
                </c:pt>
                <c:pt idx="998">
                  <c:v>Apprenant 999</c:v>
                </c:pt>
                <c:pt idx="999">
                  <c:v>Apprenant 1000</c:v>
                </c:pt>
              </c:strCache>
            </c:strRef>
          </c:cat>
          <c:val>
            <c:numRef>
              <c:f>'Données brutes'!$D$13:$D$1012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B7-4E53-8DAE-E44F79225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9.4402971281988784E-4"/>
              <c:y val="0.358581841017737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812622286445425E-2"/>
          <c:y val="0.90958264793688304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baseline="0">
                <a:effectLst/>
              </a:rPr>
              <a:t>Scores bruts des apprenants </a:t>
            </a:r>
            <a:r>
              <a:rPr lang="fr-FR" sz="1600" b="1" i="0" u="none" strike="noStrike" baseline="0">
                <a:effectLst/>
              </a:rPr>
              <a:t>pour la nouvelle pratique pédagogique  </a:t>
            </a:r>
            <a:r>
              <a:rPr lang="fr-FR" sz="1600" b="1" i="0" baseline="0">
                <a:effectLst/>
              </a:rPr>
              <a:t>au pré-test, au post-test immédiat et au post-test différé</a:t>
            </a:r>
            <a:endParaRPr lang="fr-FR" sz="1600" b="1">
              <a:effectLst/>
            </a:endParaRPr>
          </a:p>
        </c:rich>
      </c:tx>
      <c:layout>
        <c:manualLayout>
          <c:xMode val="edge"/>
          <c:yMode val="edge"/>
          <c:x val="1.7505772026999615E-3"/>
          <c:y val="4.2346424204147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4.5591294146089386E-3"/>
          <c:y val="0.15803465935419422"/>
          <c:w val="0.99291330608917361"/>
          <c:h val="0.47607144023221137"/>
        </c:manualLayout>
      </c:layout>
      <c:lineChart>
        <c:grouping val="standard"/>
        <c:varyColors val="0"/>
        <c:ser>
          <c:idx val="0"/>
          <c:order val="0"/>
          <c:tx>
            <c:strRef>
              <c:f>'Données brutes'!$B$4</c:f>
              <c:strCache>
                <c:ptCount val="1"/>
                <c:pt idx="0">
                  <c:v>Pré-test</c:v>
                </c:pt>
              </c:strCache>
            </c:strRef>
          </c:tx>
          <c:spPr>
            <a:ln w="28575" cap="rnd">
              <a:solidFill>
                <a:srgbClr val="0F375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0F375F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brutes'!$G$13:$G$1012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88-4EC1-A7F0-D2D5F6797F37}"/>
            </c:ext>
          </c:extLst>
        </c:ser>
        <c:ser>
          <c:idx val="2"/>
          <c:order val="1"/>
          <c:tx>
            <c:strRef>
              <c:f>'Données brutes'!$C$4</c:f>
              <c:strCache>
                <c:ptCount val="1"/>
                <c:pt idx="0">
                  <c:v>Post-test immédiat</c:v>
                </c:pt>
              </c:strCache>
            </c:strRef>
          </c:tx>
          <c:spPr>
            <a:ln w="28575" cap="rnd">
              <a:solidFill>
                <a:srgbClr val="FFCA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FFCA00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brutes'!$H$13:$H$1012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88-4EC1-A7F0-D2D5F6797F37}"/>
            </c:ext>
          </c:extLst>
        </c:ser>
        <c:ser>
          <c:idx val="1"/>
          <c:order val="2"/>
          <c:tx>
            <c:strRef>
              <c:f>'Données brutes'!$D$4</c:f>
              <c:strCache>
                <c:ptCount val="1"/>
                <c:pt idx="0">
                  <c:v>Post-test différé</c:v>
                </c:pt>
              </c:strCache>
            </c:strRef>
          </c:tx>
          <c:spPr>
            <a:ln w="28575" cap="rnd">
              <a:solidFill>
                <a:srgbClr val="46B4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rgbClr val="46B48C"/>
                </a:solidFill>
              </a:ln>
              <a:effectLst/>
            </c:spPr>
          </c:marker>
          <c:cat>
            <c:strRef>
              <c:f>'Données brutes'!$F$13:$F$1012</c:f>
              <c:strCache>
                <c:ptCount val="1000"/>
                <c:pt idx="0">
                  <c:v>Apprenant 1 ou 1'</c:v>
                </c:pt>
                <c:pt idx="1">
                  <c:v>Apprenant 2 ou 2'</c:v>
                </c:pt>
                <c:pt idx="2">
                  <c:v>Apprenant 3 ou 3'</c:v>
                </c:pt>
                <c:pt idx="3">
                  <c:v>Apprenant 4 ou 4'</c:v>
                </c:pt>
                <c:pt idx="4">
                  <c:v>Apprenant 5 ou 5'</c:v>
                </c:pt>
                <c:pt idx="5">
                  <c:v>Apprenant 6 ou 6'</c:v>
                </c:pt>
                <c:pt idx="6">
                  <c:v>Apprenant 7 ou 7'</c:v>
                </c:pt>
                <c:pt idx="7">
                  <c:v>Apprenant 8 ou 8'</c:v>
                </c:pt>
                <c:pt idx="8">
                  <c:v>Apprenant 9 ou 9'</c:v>
                </c:pt>
                <c:pt idx="9">
                  <c:v>Apprenant 10 ou 10'</c:v>
                </c:pt>
                <c:pt idx="10">
                  <c:v>Apprenant 11 ou 11'</c:v>
                </c:pt>
                <c:pt idx="11">
                  <c:v>Apprenant 12 ou 12'</c:v>
                </c:pt>
                <c:pt idx="12">
                  <c:v>Apprenant 13 ou 13'</c:v>
                </c:pt>
                <c:pt idx="13">
                  <c:v>Apprenant 14 ou 14'</c:v>
                </c:pt>
                <c:pt idx="14">
                  <c:v>Apprenant 15 ou 15'</c:v>
                </c:pt>
                <c:pt idx="15">
                  <c:v>Apprenant 16 ou 16'</c:v>
                </c:pt>
                <c:pt idx="16">
                  <c:v>Apprenant 17 ou 17'</c:v>
                </c:pt>
                <c:pt idx="17">
                  <c:v>Apprenant 18 ou 18'</c:v>
                </c:pt>
                <c:pt idx="18">
                  <c:v>Apprenant 19 ou 19'</c:v>
                </c:pt>
                <c:pt idx="19">
                  <c:v>Apprenant 20 ou 20'</c:v>
                </c:pt>
                <c:pt idx="20">
                  <c:v>Apprenant 21 ou 21'</c:v>
                </c:pt>
                <c:pt idx="21">
                  <c:v>Apprenant 22 ou 22'</c:v>
                </c:pt>
                <c:pt idx="22">
                  <c:v>Apprenant 23 ou 23'</c:v>
                </c:pt>
                <c:pt idx="23">
                  <c:v>Apprenant 24 ou 24'</c:v>
                </c:pt>
                <c:pt idx="24">
                  <c:v>Apprenant 25 ou 25'</c:v>
                </c:pt>
                <c:pt idx="25">
                  <c:v>Apprenant 26 ou 26'</c:v>
                </c:pt>
                <c:pt idx="26">
                  <c:v>Apprenant 27 ou 27'</c:v>
                </c:pt>
                <c:pt idx="27">
                  <c:v>Apprenant 28 ou 28'</c:v>
                </c:pt>
                <c:pt idx="28">
                  <c:v>Apprenant 29 ou 29'</c:v>
                </c:pt>
                <c:pt idx="29">
                  <c:v>Apprenant 30 ou 30'</c:v>
                </c:pt>
                <c:pt idx="30">
                  <c:v>Apprenant 31 ou 31'</c:v>
                </c:pt>
                <c:pt idx="31">
                  <c:v>Apprenant 32 ou 32'</c:v>
                </c:pt>
                <c:pt idx="32">
                  <c:v>Apprenant 33 ou 33'</c:v>
                </c:pt>
                <c:pt idx="33">
                  <c:v>Apprenant 34 ou 34'</c:v>
                </c:pt>
                <c:pt idx="34">
                  <c:v>Apprenant 35 ou 35'</c:v>
                </c:pt>
                <c:pt idx="35">
                  <c:v>Apprenant 36 ou 36'</c:v>
                </c:pt>
                <c:pt idx="36">
                  <c:v>Apprenant 37 ou 37'</c:v>
                </c:pt>
                <c:pt idx="37">
                  <c:v>Apprenant 38 ou 38'</c:v>
                </c:pt>
                <c:pt idx="38">
                  <c:v>Apprenant 39 ou 39'</c:v>
                </c:pt>
                <c:pt idx="39">
                  <c:v>Apprenant 40 ou 40'</c:v>
                </c:pt>
                <c:pt idx="40">
                  <c:v>Apprenant 41 ou 41'</c:v>
                </c:pt>
                <c:pt idx="41">
                  <c:v>Apprenant 42 ou 42'</c:v>
                </c:pt>
                <c:pt idx="42">
                  <c:v>Apprenant 43 ou 43'</c:v>
                </c:pt>
                <c:pt idx="43">
                  <c:v>Apprenant 44 ou 44'</c:v>
                </c:pt>
                <c:pt idx="44">
                  <c:v>Apprenant 45 ou 45'</c:v>
                </c:pt>
                <c:pt idx="45">
                  <c:v>Apprenant 46 ou 46'</c:v>
                </c:pt>
                <c:pt idx="46">
                  <c:v>Apprenant 47 ou 47'</c:v>
                </c:pt>
                <c:pt idx="47">
                  <c:v>Apprenant 48 ou 48'</c:v>
                </c:pt>
                <c:pt idx="48">
                  <c:v>Apprenant 49 ou 49'</c:v>
                </c:pt>
                <c:pt idx="49">
                  <c:v>Apprenant 50 ou 50'</c:v>
                </c:pt>
                <c:pt idx="50">
                  <c:v>Apprenant 51 ou 51'</c:v>
                </c:pt>
                <c:pt idx="51">
                  <c:v>Apprenant 52 ou 52'</c:v>
                </c:pt>
                <c:pt idx="52">
                  <c:v>Apprenant 53 ou 53'</c:v>
                </c:pt>
                <c:pt idx="53">
                  <c:v>Apprenant 54 ou 54'</c:v>
                </c:pt>
                <c:pt idx="54">
                  <c:v>Apprenant 55 ou 55'</c:v>
                </c:pt>
                <c:pt idx="55">
                  <c:v>Apprenant 56 ou 56'</c:v>
                </c:pt>
                <c:pt idx="56">
                  <c:v>Apprenant 57 ou 57'</c:v>
                </c:pt>
                <c:pt idx="57">
                  <c:v>Apprenant 58 ou 58'</c:v>
                </c:pt>
                <c:pt idx="58">
                  <c:v>Apprenant 59 ou 59'</c:v>
                </c:pt>
                <c:pt idx="59">
                  <c:v>Apprenant 60 ou 60'</c:v>
                </c:pt>
                <c:pt idx="60">
                  <c:v>Apprenant 61 ou 61'</c:v>
                </c:pt>
                <c:pt idx="61">
                  <c:v>Apprenant 62 ou 62'</c:v>
                </c:pt>
                <c:pt idx="62">
                  <c:v>Apprenant 63 ou 63'</c:v>
                </c:pt>
                <c:pt idx="63">
                  <c:v>Apprenant 64 ou 64'</c:v>
                </c:pt>
                <c:pt idx="64">
                  <c:v>Apprenant 65 ou 65'</c:v>
                </c:pt>
                <c:pt idx="65">
                  <c:v>Apprenant 66 ou 66'</c:v>
                </c:pt>
                <c:pt idx="66">
                  <c:v>Apprenant 67 ou 67'</c:v>
                </c:pt>
                <c:pt idx="67">
                  <c:v>Apprenant 68 ou 68'</c:v>
                </c:pt>
                <c:pt idx="68">
                  <c:v>Apprenant 69 ou 69'</c:v>
                </c:pt>
                <c:pt idx="69">
                  <c:v>Apprenant 70 ou 70'</c:v>
                </c:pt>
                <c:pt idx="70">
                  <c:v>Apprenant 71 ou 71'</c:v>
                </c:pt>
                <c:pt idx="71">
                  <c:v>Apprenant 72 ou 72'</c:v>
                </c:pt>
                <c:pt idx="72">
                  <c:v>Apprenant 73 ou 73'</c:v>
                </c:pt>
                <c:pt idx="73">
                  <c:v>Apprenant 74 ou 74'</c:v>
                </c:pt>
                <c:pt idx="74">
                  <c:v>Apprenant 75 ou 75'</c:v>
                </c:pt>
                <c:pt idx="75">
                  <c:v>Apprenant 76 ou 76'</c:v>
                </c:pt>
                <c:pt idx="76">
                  <c:v>Apprenant 77 ou 77'</c:v>
                </c:pt>
                <c:pt idx="77">
                  <c:v>Apprenant 78 ou 78'</c:v>
                </c:pt>
                <c:pt idx="78">
                  <c:v>Apprenant 79 ou 79'</c:v>
                </c:pt>
                <c:pt idx="79">
                  <c:v>Apprenant 80 ou 80'</c:v>
                </c:pt>
                <c:pt idx="80">
                  <c:v>Apprenant 81 ou 81'</c:v>
                </c:pt>
                <c:pt idx="81">
                  <c:v>Apprenant 82 ou 82'</c:v>
                </c:pt>
                <c:pt idx="82">
                  <c:v>Apprenant 83 ou 83'</c:v>
                </c:pt>
                <c:pt idx="83">
                  <c:v>Apprenant 84 ou 84'</c:v>
                </c:pt>
                <c:pt idx="84">
                  <c:v>Apprenant 85 ou 85'</c:v>
                </c:pt>
                <c:pt idx="85">
                  <c:v>Apprenant 86 ou 86'</c:v>
                </c:pt>
                <c:pt idx="86">
                  <c:v>Apprenant 87 ou 87'</c:v>
                </c:pt>
                <c:pt idx="87">
                  <c:v>Apprenant 88 ou 88'</c:v>
                </c:pt>
                <c:pt idx="88">
                  <c:v>Apprenant 89 ou 89'</c:v>
                </c:pt>
                <c:pt idx="89">
                  <c:v>Apprenant 90 ou 90'</c:v>
                </c:pt>
                <c:pt idx="90">
                  <c:v>Apprenant 91 ou 91'</c:v>
                </c:pt>
                <c:pt idx="91">
                  <c:v>Apprenant 92 ou 92'</c:v>
                </c:pt>
                <c:pt idx="92">
                  <c:v>Apprenant 93 ou 93'</c:v>
                </c:pt>
                <c:pt idx="93">
                  <c:v>Apprenant 94 ou 94'</c:v>
                </c:pt>
                <c:pt idx="94">
                  <c:v>Apprenant 95 ou 95'</c:v>
                </c:pt>
                <c:pt idx="95">
                  <c:v>Apprenant 96 ou 96'</c:v>
                </c:pt>
                <c:pt idx="96">
                  <c:v>Apprenant 97 ou 97'</c:v>
                </c:pt>
                <c:pt idx="97">
                  <c:v>Apprenant 98 ou 98'</c:v>
                </c:pt>
                <c:pt idx="98">
                  <c:v>Apprenant 99 ou 99'</c:v>
                </c:pt>
                <c:pt idx="99">
                  <c:v>Apprenant 100 ou 100'</c:v>
                </c:pt>
                <c:pt idx="100">
                  <c:v>Apprenant 101 ou 101'</c:v>
                </c:pt>
                <c:pt idx="101">
                  <c:v>Apprenant 102 ou 102'</c:v>
                </c:pt>
                <c:pt idx="102">
                  <c:v>Apprenant 103 ou 103'</c:v>
                </c:pt>
                <c:pt idx="103">
                  <c:v>Apprenant 104 ou 104'</c:v>
                </c:pt>
                <c:pt idx="104">
                  <c:v>Apprenant 105 ou 105'</c:v>
                </c:pt>
                <c:pt idx="105">
                  <c:v>Apprenant 106 ou 106'</c:v>
                </c:pt>
                <c:pt idx="106">
                  <c:v>Apprenant 107 ou 107'</c:v>
                </c:pt>
                <c:pt idx="107">
                  <c:v>Apprenant 108 ou 108'</c:v>
                </c:pt>
                <c:pt idx="108">
                  <c:v>Apprenant 109 ou 109'</c:v>
                </c:pt>
                <c:pt idx="109">
                  <c:v>Apprenant 110 ou 110'</c:v>
                </c:pt>
                <c:pt idx="110">
                  <c:v>Apprenant 111 ou 111'</c:v>
                </c:pt>
                <c:pt idx="111">
                  <c:v>Apprenant 112 ou 112'</c:v>
                </c:pt>
                <c:pt idx="112">
                  <c:v>Apprenant 113 ou 113'</c:v>
                </c:pt>
                <c:pt idx="113">
                  <c:v>Apprenant 114 ou 114'</c:v>
                </c:pt>
                <c:pt idx="114">
                  <c:v>Apprenant 115 ou 115'</c:v>
                </c:pt>
                <c:pt idx="115">
                  <c:v>Apprenant 116 ou 116'</c:v>
                </c:pt>
                <c:pt idx="116">
                  <c:v>Apprenant 117 ou 117'</c:v>
                </c:pt>
                <c:pt idx="117">
                  <c:v>Apprenant 118 ou 118'</c:v>
                </c:pt>
                <c:pt idx="118">
                  <c:v>Apprenant 119 ou 119'</c:v>
                </c:pt>
                <c:pt idx="119">
                  <c:v>Apprenant 120 ou 120'</c:v>
                </c:pt>
                <c:pt idx="120">
                  <c:v>Apprenant 121 ou 121'</c:v>
                </c:pt>
                <c:pt idx="121">
                  <c:v>Apprenant 122 ou 122'</c:v>
                </c:pt>
                <c:pt idx="122">
                  <c:v>Apprenant 123 ou 123'</c:v>
                </c:pt>
                <c:pt idx="123">
                  <c:v>Apprenant 124 ou 124'</c:v>
                </c:pt>
                <c:pt idx="124">
                  <c:v>Apprenant 125 ou 125'</c:v>
                </c:pt>
                <c:pt idx="125">
                  <c:v>Apprenant 126 ou 126'</c:v>
                </c:pt>
                <c:pt idx="126">
                  <c:v>Apprenant 127 ou 127'</c:v>
                </c:pt>
                <c:pt idx="127">
                  <c:v>Apprenant 128 ou 128'</c:v>
                </c:pt>
                <c:pt idx="128">
                  <c:v>Apprenant 129 ou 129'</c:v>
                </c:pt>
                <c:pt idx="129">
                  <c:v>Apprenant 130 ou 130'</c:v>
                </c:pt>
                <c:pt idx="130">
                  <c:v>Apprenant 131 ou 131'</c:v>
                </c:pt>
                <c:pt idx="131">
                  <c:v>Apprenant 132 ou 132'</c:v>
                </c:pt>
                <c:pt idx="132">
                  <c:v>Apprenant 133 ou 133'</c:v>
                </c:pt>
                <c:pt idx="133">
                  <c:v>Apprenant 134 ou 134'</c:v>
                </c:pt>
                <c:pt idx="134">
                  <c:v>Apprenant 135 ou 135'</c:v>
                </c:pt>
                <c:pt idx="135">
                  <c:v>Apprenant 136 ou 136'</c:v>
                </c:pt>
                <c:pt idx="136">
                  <c:v>Apprenant 137 ou 137'</c:v>
                </c:pt>
                <c:pt idx="137">
                  <c:v>Apprenant 138 ou 138'</c:v>
                </c:pt>
                <c:pt idx="138">
                  <c:v>Apprenant 139 ou 139'</c:v>
                </c:pt>
                <c:pt idx="139">
                  <c:v>Apprenant 140 ou 140'</c:v>
                </c:pt>
                <c:pt idx="140">
                  <c:v>Apprenant 141 ou 141'</c:v>
                </c:pt>
                <c:pt idx="141">
                  <c:v>Apprenant 142 ou 142'</c:v>
                </c:pt>
                <c:pt idx="142">
                  <c:v>Apprenant 143 ou 143'</c:v>
                </c:pt>
                <c:pt idx="143">
                  <c:v>Apprenant 144 ou 144'</c:v>
                </c:pt>
                <c:pt idx="144">
                  <c:v>Apprenant 145 ou 145'</c:v>
                </c:pt>
                <c:pt idx="145">
                  <c:v>Apprenant 146 ou 146'</c:v>
                </c:pt>
                <c:pt idx="146">
                  <c:v>Apprenant 147 ou 147'</c:v>
                </c:pt>
                <c:pt idx="147">
                  <c:v>Apprenant 148 ou 148'</c:v>
                </c:pt>
                <c:pt idx="148">
                  <c:v>Apprenant 149 ou 149'</c:v>
                </c:pt>
                <c:pt idx="149">
                  <c:v>Apprenant 150 ou 150'</c:v>
                </c:pt>
                <c:pt idx="150">
                  <c:v>Apprenant 151 ou 151'</c:v>
                </c:pt>
                <c:pt idx="151">
                  <c:v>Apprenant 152 ou 152'</c:v>
                </c:pt>
                <c:pt idx="152">
                  <c:v>Apprenant 153 ou 153'</c:v>
                </c:pt>
                <c:pt idx="153">
                  <c:v>Apprenant 154 ou 154'</c:v>
                </c:pt>
                <c:pt idx="154">
                  <c:v>Apprenant 155 ou 155'</c:v>
                </c:pt>
                <c:pt idx="155">
                  <c:v>Apprenant 156 ou 156'</c:v>
                </c:pt>
                <c:pt idx="156">
                  <c:v>Apprenant 157 ou 157'</c:v>
                </c:pt>
                <c:pt idx="157">
                  <c:v>Apprenant 158 ou 158'</c:v>
                </c:pt>
                <c:pt idx="158">
                  <c:v>Apprenant 159 ou 159'</c:v>
                </c:pt>
                <c:pt idx="159">
                  <c:v>Apprenant 160 ou 160'</c:v>
                </c:pt>
                <c:pt idx="160">
                  <c:v>Apprenant 161 ou 161'</c:v>
                </c:pt>
                <c:pt idx="161">
                  <c:v>Apprenant 162 ou 162'</c:v>
                </c:pt>
                <c:pt idx="162">
                  <c:v>Apprenant 163 ou 163'</c:v>
                </c:pt>
                <c:pt idx="163">
                  <c:v>Apprenant 164 ou 164'</c:v>
                </c:pt>
                <c:pt idx="164">
                  <c:v>Apprenant 165 ou 165'</c:v>
                </c:pt>
                <c:pt idx="165">
                  <c:v>Apprenant 166 ou 166'</c:v>
                </c:pt>
                <c:pt idx="166">
                  <c:v>Apprenant 167 ou 167'</c:v>
                </c:pt>
                <c:pt idx="167">
                  <c:v>Apprenant 168 ou 168'</c:v>
                </c:pt>
                <c:pt idx="168">
                  <c:v>Apprenant 169 ou 169'</c:v>
                </c:pt>
                <c:pt idx="169">
                  <c:v>Apprenant 170 ou 170'</c:v>
                </c:pt>
                <c:pt idx="170">
                  <c:v>Apprenant 171 ou 171'</c:v>
                </c:pt>
                <c:pt idx="171">
                  <c:v>Apprenant 172 ou 172'</c:v>
                </c:pt>
                <c:pt idx="172">
                  <c:v>Apprenant 173 ou 173'</c:v>
                </c:pt>
                <c:pt idx="173">
                  <c:v>Apprenant 174 ou 174'</c:v>
                </c:pt>
                <c:pt idx="174">
                  <c:v>Apprenant 175 ou 175'</c:v>
                </c:pt>
                <c:pt idx="175">
                  <c:v>Apprenant 176 ou 176'</c:v>
                </c:pt>
                <c:pt idx="176">
                  <c:v>Apprenant 177 ou 177'</c:v>
                </c:pt>
                <c:pt idx="177">
                  <c:v>Apprenant 178 ou 178'</c:v>
                </c:pt>
                <c:pt idx="178">
                  <c:v>Apprenant 179 ou 179'</c:v>
                </c:pt>
                <c:pt idx="179">
                  <c:v>Apprenant 180 ou 180'</c:v>
                </c:pt>
                <c:pt idx="180">
                  <c:v>Apprenant 181 ou 181'</c:v>
                </c:pt>
                <c:pt idx="181">
                  <c:v>Apprenant 182 ou 182'</c:v>
                </c:pt>
                <c:pt idx="182">
                  <c:v>Apprenant 183 ou 183'</c:v>
                </c:pt>
                <c:pt idx="183">
                  <c:v>Apprenant 184 ou 184'</c:v>
                </c:pt>
                <c:pt idx="184">
                  <c:v>Apprenant 185 ou 185'</c:v>
                </c:pt>
                <c:pt idx="185">
                  <c:v>Apprenant 186 ou 186'</c:v>
                </c:pt>
                <c:pt idx="186">
                  <c:v>Apprenant 187 ou 187'</c:v>
                </c:pt>
                <c:pt idx="187">
                  <c:v>Apprenant 188 ou 188'</c:v>
                </c:pt>
                <c:pt idx="188">
                  <c:v>Apprenant 189 ou 189'</c:v>
                </c:pt>
                <c:pt idx="189">
                  <c:v>Apprenant 190 ou 190'</c:v>
                </c:pt>
                <c:pt idx="190">
                  <c:v>Apprenant 191 ou 191'</c:v>
                </c:pt>
                <c:pt idx="191">
                  <c:v>Apprenant 192 ou 192'</c:v>
                </c:pt>
                <c:pt idx="192">
                  <c:v>Apprenant 193 ou 193'</c:v>
                </c:pt>
                <c:pt idx="193">
                  <c:v>Apprenant 194 ou 194'</c:v>
                </c:pt>
                <c:pt idx="194">
                  <c:v>Apprenant 195 ou 195'</c:v>
                </c:pt>
                <c:pt idx="195">
                  <c:v>Apprenant 196 ou 196'</c:v>
                </c:pt>
                <c:pt idx="196">
                  <c:v>Apprenant 197 ou 197'</c:v>
                </c:pt>
                <c:pt idx="197">
                  <c:v>Apprenant 198 ou 198'</c:v>
                </c:pt>
                <c:pt idx="198">
                  <c:v>Apprenant 199 ou 199'</c:v>
                </c:pt>
                <c:pt idx="199">
                  <c:v>Apprenant 200 ou 200'</c:v>
                </c:pt>
                <c:pt idx="200">
                  <c:v>Apprenant 201 ou 201'</c:v>
                </c:pt>
                <c:pt idx="201">
                  <c:v>Apprenant 202 ou 202'</c:v>
                </c:pt>
                <c:pt idx="202">
                  <c:v>Apprenant 203 ou 203'</c:v>
                </c:pt>
                <c:pt idx="203">
                  <c:v>Apprenant 204 ou 204'</c:v>
                </c:pt>
                <c:pt idx="204">
                  <c:v>Apprenant 205 ou 205'</c:v>
                </c:pt>
                <c:pt idx="205">
                  <c:v>Apprenant 206 ou 206'</c:v>
                </c:pt>
                <c:pt idx="206">
                  <c:v>Apprenant 207 ou 207'</c:v>
                </c:pt>
                <c:pt idx="207">
                  <c:v>Apprenant 208 ou 208'</c:v>
                </c:pt>
                <c:pt idx="208">
                  <c:v>Apprenant 209 ou 209'</c:v>
                </c:pt>
                <c:pt idx="209">
                  <c:v>Apprenant 210 ou 210'</c:v>
                </c:pt>
                <c:pt idx="210">
                  <c:v>Apprenant 211 ou 211'</c:v>
                </c:pt>
                <c:pt idx="211">
                  <c:v>Apprenant 212 ou 212'</c:v>
                </c:pt>
                <c:pt idx="212">
                  <c:v>Apprenant 213 ou 213'</c:v>
                </c:pt>
                <c:pt idx="213">
                  <c:v>Apprenant 214 ou 214'</c:v>
                </c:pt>
                <c:pt idx="214">
                  <c:v>Apprenant 215 ou 215'</c:v>
                </c:pt>
                <c:pt idx="215">
                  <c:v>Apprenant 216 ou 216'</c:v>
                </c:pt>
                <c:pt idx="216">
                  <c:v>Apprenant 217 ou 217'</c:v>
                </c:pt>
                <c:pt idx="217">
                  <c:v>Apprenant 218 ou 218'</c:v>
                </c:pt>
                <c:pt idx="218">
                  <c:v>Apprenant 219 ou 219'</c:v>
                </c:pt>
                <c:pt idx="219">
                  <c:v>Apprenant 220 ou 220'</c:v>
                </c:pt>
                <c:pt idx="220">
                  <c:v>Apprenant 221 ou 221'</c:v>
                </c:pt>
                <c:pt idx="221">
                  <c:v>Apprenant 222 ou 222'</c:v>
                </c:pt>
                <c:pt idx="222">
                  <c:v>Apprenant 223 ou 223'</c:v>
                </c:pt>
                <c:pt idx="223">
                  <c:v>Apprenant 224 ou 224'</c:v>
                </c:pt>
                <c:pt idx="224">
                  <c:v>Apprenant 225 ou 225'</c:v>
                </c:pt>
                <c:pt idx="225">
                  <c:v>Apprenant 226 ou 226'</c:v>
                </c:pt>
                <c:pt idx="226">
                  <c:v>Apprenant 227 ou 227'</c:v>
                </c:pt>
                <c:pt idx="227">
                  <c:v>Apprenant 228 ou 228'</c:v>
                </c:pt>
                <c:pt idx="228">
                  <c:v>Apprenant 229 ou 229'</c:v>
                </c:pt>
                <c:pt idx="229">
                  <c:v>Apprenant 230 ou 230'</c:v>
                </c:pt>
                <c:pt idx="230">
                  <c:v>Apprenant 231 ou 231'</c:v>
                </c:pt>
                <c:pt idx="231">
                  <c:v>Apprenant 232 ou 232'</c:v>
                </c:pt>
                <c:pt idx="232">
                  <c:v>Apprenant 233 ou 233'</c:v>
                </c:pt>
                <c:pt idx="233">
                  <c:v>Apprenant 234 ou 234'</c:v>
                </c:pt>
                <c:pt idx="234">
                  <c:v>Apprenant 235 ou 235'</c:v>
                </c:pt>
                <c:pt idx="235">
                  <c:v>Apprenant 236 ou 236'</c:v>
                </c:pt>
                <c:pt idx="236">
                  <c:v>Apprenant 237 ou 237'</c:v>
                </c:pt>
                <c:pt idx="237">
                  <c:v>Apprenant 238 ou 238'</c:v>
                </c:pt>
                <c:pt idx="238">
                  <c:v>Apprenant 239 ou 239'</c:v>
                </c:pt>
                <c:pt idx="239">
                  <c:v>Apprenant 240 ou 240'</c:v>
                </c:pt>
                <c:pt idx="240">
                  <c:v>Apprenant 241 ou 241'</c:v>
                </c:pt>
                <c:pt idx="241">
                  <c:v>Apprenant 242 ou 242'</c:v>
                </c:pt>
                <c:pt idx="242">
                  <c:v>Apprenant 243 ou 243'</c:v>
                </c:pt>
                <c:pt idx="243">
                  <c:v>Apprenant 244 ou 244'</c:v>
                </c:pt>
                <c:pt idx="244">
                  <c:v>Apprenant 245 ou 245'</c:v>
                </c:pt>
                <c:pt idx="245">
                  <c:v>Apprenant 246 ou 246'</c:v>
                </c:pt>
                <c:pt idx="246">
                  <c:v>Apprenant 247 ou 247'</c:v>
                </c:pt>
                <c:pt idx="247">
                  <c:v>Apprenant 248 ou 248'</c:v>
                </c:pt>
                <c:pt idx="248">
                  <c:v>Apprenant 249 ou 249'</c:v>
                </c:pt>
                <c:pt idx="249">
                  <c:v>Apprenant 250 ou 250'</c:v>
                </c:pt>
                <c:pt idx="250">
                  <c:v>Apprenant 251 ou 251'</c:v>
                </c:pt>
                <c:pt idx="251">
                  <c:v>Apprenant 252 ou 252'</c:v>
                </c:pt>
                <c:pt idx="252">
                  <c:v>Apprenant 253 ou 253'</c:v>
                </c:pt>
                <c:pt idx="253">
                  <c:v>Apprenant 254 ou 254'</c:v>
                </c:pt>
                <c:pt idx="254">
                  <c:v>Apprenant 255 ou 255'</c:v>
                </c:pt>
                <c:pt idx="255">
                  <c:v>Apprenant 256 ou 256'</c:v>
                </c:pt>
                <c:pt idx="256">
                  <c:v>Apprenant 257 ou 257'</c:v>
                </c:pt>
                <c:pt idx="257">
                  <c:v>Apprenant 258 ou 258'</c:v>
                </c:pt>
                <c:pt idx="258">
                  <c:v>Apprenant 259 ou 259'</c:v>
                </c:pt>
                <c:pt idx="259">
                  <c:v>Apprenant 260 ou 260'</c:v>
                </c:pt>
                <c:pt idx="260">
                  <c:v>Apprenant 261 ou 261'</c:v>
                </c:pt>
                <c:pt idx="261">
                  <c:v>Apprenant 262 ou 262'</c:v>
                </c:pt>
                <c:pt idx="262">
                  <c:v>Apprenant 263 ou 263'</c:v>
                </c:pt>
                <c:pt idx="263">
                  <c:v>Apprenant 264 ou 264'</c:v>
                </c:pt>
                <c:pt idx="264">
                  <c:v>Apprenant 265 ou 265'</c:v>
                </c:pt>
                <c:pt idx="265">
                  <c:v>Apprenant 266 ou 266'</c:v>
                </c:pt>
                <c:pt idx="266">
                  <c:v>Apprenant 267 ou 267'</c:v>
                </c:pt>
                <c:pt idx="267">
                  <c:v>Apprenant 268 ou 268'</c:v>
                </c:pt>
                <c:pt idx="268">
                  <c:v>Apprenant 269 ou 269'</c:v>
                </c:pt>
                <c:pt idx="269">
                  <c:v>Apprenant 270 ou 270'</c:v>
                </c:pt>
                <c:pt idx="270">
                  <c:v>Apprenant 271 ou 271'</c:v>
                </c:pt>
                <c:pt idx="271">
                  <c:v>Apprenant 272 ou 272'</c:v>
                </c:pt>
                <c:pt idx="272">
                  <c:v>Apprenant 273 ou 273'</c:v>
                </c:pt>
                <c:pt idx="273">
                  <c:v>Apprenant 274 ou 274'</c:v>
                </c:pt>
                <c:pt idx="274">
                  <c:v>Apprenant 275 ou 275'</c:v>
                </c:pt>
                <c:pt idx="275">
                  <c:v>Apprenant 276 ou 276'</c:v>
                </c:pt>
                <c:pt idx="276">
                  <c:v>Apprenant 277 ou 277'</c:v>
                </c:pt>
                <c:pt idx="277">
                  <c:v>Apprenant 278 ou 278'</c:v>
                </c:pt>
                <c:pt idx="278">
                  <c:v>Apprenant 279 ou 279'</c:v>
                </c:pt>
                <c:pt idx="279">
                  <c:v>Apprenant 280 ou 280'</c:v>
                </c:pt>
                <c:pt idx="280">
                  <c:v>Apprenant 281 ou 281'</c:v>
                </c:pt>
                <c:pt idx="281">
                  <c:v>Apprenant 282 ou 282'</c:v>
                </c:pt>
                <c:pt idx="282">
                  <c:v>Apprenant 283 ou 283'</c:v>
                </c:pt>
                <c:pt idx="283">
                  <c:v>Apprenant 284 ou 284'</c:v>
                </c:pt>
                <c:pt idx="284">
                  <c:v>Apprenant 285 ou 285'</c:v>
                </c:pt>
                <c:pt idx="285">
                  <c:v>Apprenant 286 ou 286'</c:v>
                </c:pt>
                <c:pt idx="286">
                  <c:v>Apprenant 287 ou 287'</c:v>
                </c:pt>
                <c:pt idx="287">
                  <c:v>Apprenant 288 ou 288'</c:v>
                </c:pt>
                <c:pt idx="288">
                  <c:v>Apprenant 289 ou 289'</c:v>
                </c:pt>
                <c:pt idx="289">
                  <c:v>Apprenant 290 ou 290'</c:v>
                </c:pt>
                <c:pt idx="290">
                  <c:v>Apprenant 291 ou 291'</c:v>
                </c:pt>
                <c:pt idx="291">
                  <c:v>Apprenant 292 ou 292'</c:v>
                </c:pt>
                <c:pt idx="292">
                  <c:v>Apprenant 293 ou 293'</c:v>
                </c:pt>
                <c:pt idx="293">
                  <c:v>Apprenant 294 ou 294'</c:v>
                </c:pt>
                <c:pt idx="294">
                  <c:v>Apprenant 295 ou 295'</c:v>
                </c:pt>
                <c:pt idx="295">
                  <c:v>Apprenant 296 ou 296'</c:v>
                </c:pt>
                <c:pt idx="296">
                  <c:v>Apprenant 297 ou 297'</c:v>
                </c:pt>
                <c:pt idx="297">
                  <c:v>Apprenant 298 ou 298'</c:v>
                </c:pt>
                <c:pt idx="298">
                  <c:v>Apprenant 299 ou 299'</c:v>
                </c:pt>
                <c:pt idx="299">
                  <c:v>Apprenant 300 ou 300'</c:v>
                </c:pt>
                <c:pt idx="300">
                  <c:v>Apprenant 301 ou 301'</c:v>
                </c:pt>
                <c:pt idx="301">
                  <c:v>Apprenant 302 ou 302'</c:v>
                </c:pt>
                <c:pt idx="302">
                  <c:v>Apprenant 303 ou 303'</c:v>
                </c:pt>
                <c:pt idx="303">
                  <c:v>Apprenant 304 ou 304'</c:v>
                </c:pt>
                <c:pt idx="304">
                  <c:v>Apprenant 305 ou 305'</c:v>
                </c:pt>
                <c:pt idx="305">
                  <c:v>Apprenant 306 ou 306'</c:v>
                </c:pt>
                <c:pt idx="306">
                  <c:v>Apprenant 307 ou 307'</c:v>
                </c:pt>
                <c:pt idx="307">
                  <c:v>Apprenant 308 ou 308'</c:v>
                </c:pt>
                <c:pt idx="308">
                  <c:v>Apprenant 309 ou 309'</c:v>
                </c:pt>
                <c:pt idx="309">
                  <c:v>Apprenant 310 ou 310'</c:v>
                </c:pt>
                <c:pt idx="310">
                  <c:v>Apprenant 311 ou 311'</c:v>
                </c:pt>
                <c:pt idx="311">
                  <c:v>Apprenant 312 ou 312'</c:v>
                </c:pt>
                <c:pt idx="312">
                  <c:v>Apprenant 313 ou 313'</c:v>
                </c:pt>
                <c:pt idx="313">
                  <c:v>Apprenant 314 ou 314'</c:v>
                </c:pt>
                <c:pt idx="314">
                  <c:v>Apprenant 315 ou 315'</c:v>
                </c:pt>
                <c:pt idx="315">
                  <c:v>Apprenant 316 ou 316'</c:v>
                </c:pt>
                <c:pt idx="316">
                  <c:v>Apprenant 317 ou 317'</c:v>
                </c:pt>
                <c:pt idx="317">
                  <c:v>Apprenant 318 ou 318'</c:v>
                </c:pt>
                <c:pt idx="318">
                  <c:v>Apprenant 319 ou 319'</c:v>
                </c:pt>
                <c:pt idx="319">
                  <c:v>Apprenant 320 ou 320'</c:v>
                </c:pt>
                <c:pt idx="320">
                  <c:v>Apprenant 321 ou 321'</c:v>
                </c:pt>
                <c:pt idx="321">
                  <c:v>Apprenant 322 ou 322'</c:v>
                </c:pt>
                <c:pt idx="322">
                  <c:v>Apprenant 323 ou 323'</c:v>
                </c:pt>
                <c:pt idx="323">
                  <c:v>Apprenant 324 ou 324'</c:v>
                </c:pt>
                <c:pt idx="324">
                  <c:v>Apprenant 325 ou 325'</c:v>
                </c:pt>
                <c:pt idx="325">
                  <c:v>Apprenant 326 ou 326'</c:v>
                </c:pt>
                <c:pt idx="326">
                  <c:v>Apprenant 327 ou 327'</c:v>
                </c:pt>
                <c:pt idx="327">
                  <c:v>Apprenant 328 ou 328'</c:v>
                </c:pt>
                <c:pt idx="328">
                  <c:v>Apprenant 329 ou 329'</c:v>
                </c:pt>
                <c:pt idx="329">
                  <c:v>Apprenant 330 ou 330'</c:v>
                </c:pt>
                <c:pt idx="330">
                  <c:v>Apprenant 331 ou 331'</c:v>
                </c:pt>
                <c:pt idx="331">
                  <c:v>Apprenant 332 ou 332'</c:v>
                </c:pt>
                <c:pt idx="332">
                  <c:v>Apprenant 333 ou 333'</c:v>
                </c:pt>
                <c:pt idx="333">
                  <c:v>Apprenant 334 ou 334'</c:v>
                </c:pt>
                <c:pt idx="334">
                  <c:v>Apprenant 335 ou 335'</c:v>
                </c:pt>
                <c:pt idx="335">
                  <c:v>Apprenant 336 ou 336'</c:v>
                </c:pt>
                <c:pt idx="336">
                  <c:v>Apprenant 337 ou 337'</c:v>
                </c:pt>
                <c:pt idx="337">
                  <c:v>Apprenant 338 ou 338'</c:v>
                </c:pt>
                <c:pt idx="338">
                  <c:v>Apprenant 339 ou 339'</c:v>
                </c:pt>
                <c:pt idx="339">
                  <c:v>Apprenant 340 ou 340'</c:v>
                </c:pt>
                <c:pt idx="340">
                  <c:v>Apprenant 341 ou 341'</c:v>
                </c:pt>
                <c:pt idx="341">
                  <c:v>Apprenant 342 ou 342'</c:v>
                </c:pt>
                <c:pt idx="342">
                  <c:v>Apprenant 343 ou 343'</c:v>
                </c:pt>
                <c:pt idx="343">
                  <c:v>Apprenant 344 ou 344'</c:v>
                </c:pt>
                <c:pt idx="344">
                  <c:v>Apprenant 345 ou 345'</c:v>
                </c:pt>
                <c:pt idx="345">
                  <c:v>Apprenant 346 ou 346'</c:v>
                </c:pt>
                <c:pt idx="346">
                  <c:v>Apprenant 347 ou 347'</c:v>
                </c:pt>
                <c:pt idx="347">
                  <c:v>Apprenant 348 ou 348'</c:v>
                </c:pt>
                <c:pt idx="348">
                  <c:v>Apprenant 349 ou 349'</c:v>
                </c:pt>
                <c:pt idx="349">
                  <c:v>Apprenant 350 ou 350'</c:v>
                </c:pt>
                <c:pt idx="350">
                  <c:v>Apprenant 351 ou 351'</c:v>
                </c:pt>
                <c:pt idx="351">
                  <c:v>Apprenant 352 ou 352'</c:v>
                </c:pt>
                <c:pt idx="352">
                  <c:v>Apprenant 353 ou 353'</c:v>
                </c:pt>
                <c:pt idx="353">
                  <c:v>Apprenant 354 ou 354'</c:v>
                </c:pt>
                <c:pt idx="354">
                  <c:v>Apprenant 355 ou 355'</c:v>
                </c:pt>
                <c:pt idx="355">
                  <c:v>Apprenant 356 ou 356'</c:v>
                </c:pt>
                <c:pt idx="356">
                  <c:v>Apprenant 357 ou 357'</c:v>
                </c:pt>
                <c:pt idx="357">
                  <c:v>Apprenant 358 ou 358'</c:v>
                </c:pt>
                <c:pt idx="358">
                  <c:v>Apprenant 359 ou 359'</c:v>
                </c:pt>
                <c:pt idx="359">
                  <c:v>Apprenant 360 ou 360'</c:v>
                </c:pt>
                <c:pt idx="360">
                  <c:v>Apprenant 361 ou 361'</c:v>
                </c:pt>
                <c:pt idx="361">
                  <c:v>Apprenant 362 ou 362'</c:v>
                </c:pt>
                <c:pt idx="362">
                  <c:v>Apprenant 363 ou 363'</c:v>
                </c:pt>
                <c:pt idx="363">
                  <c:v>Apprenant 364 ou 364'</c:v>
                </c:pt>
                <c:pt idx="364">
                  <c:v>Apprenant 365 ou 365'</c:v>
                </c:pt>
                <c:pt idx="365">
                  <c:v>Apprenant 366 ou 366'</c:v>
                </c:pt>
                <c:pt idx="366">
                  <c:v>Apprenant 367 ou 367'</c:v>
                </c:pt>
                <c:pt idx="367">
                  <c:v>Apprenant 368 ou 368'</c:v>
                </c:pt>
                <c:pt idx="368">
                  <c:v>Apprenant 369 ou 369'</c:v>
                </c:pt>
                <c:pt idx="369">
                  <c:v>Apprenant 370 ou 370'</c:v>
                </c:pt>
                <c:pt idx="370">
                  <c:v>Apprenant 371 ou 371'</c:v>
                </c:pt>
                <c:pt idx="371">
                  <c:v>Apprenant 372 ou 372'</c:v>
                </c:pt>
                <c:pt idx="372">
                  <c:v>Apprenant 373 ou 373'</c:v>
                </c:pt>
                <c:pt idx="373">
                  <c:v>Apprenant 374 ou 374'</c:v>
                </c:pt>
                <c:pt idx="374">
                  <c:v>Apprenant 375 ou 375'</c:v>
                </c:pt>
                <c:pt idx="375">
                  <c:v>Apprenant 376 ou 376'</c:v>
                </c:pt>
                <c:pt idx="376">
                  <c:v>Apprenant 377 ou 377'</c:v>
                </c:pt>
                <c:pt idx="377">
                  <c:v>Apprenant 378 ou 378'</c:v>
                </c:pt>
                <c:pt idx="378">
                  <c:v>Apprenant 379 ou 379'</c:v>
                </c:pt>
                <c:pt idx="379">
                  <c:v>Apprenant 380 ou 380'</c:v>
                </c:pt>
                <c:pt idx="380">
                  <c:v>Apprenant 381 ou 381'</c:v>
                </c:pt>
                <c:pt idx="381">
                  <c:v>Apprenant 382 ou 382'</c:v>
                </c:pt>
                <c:pt idx="382">
                  <c:v>Apprenant 383 ou 383'</c:v>
                </c:pt>
                <c:pt idx="383">
                  <c:v>Apprenant 384 ou 384'</c:v>
                </c:pt>
                <c:pt idx="384">
                  <c:v>Apprenant 385 ou 385'</c:v>
                </c:pt>
                <c:pt idx="385">
                  <c:v>Apprenant 386 ou 386'</c:v>
                </c:pt>
                <c:pt idx="386">
                  <c:v>Apprenant 387 ou 387'</c:v>
                </c:pt>
                <c:pt idx="387">
                  <c:v>Apprenant 388 ou 388'</c:v>
                </c:pt>
                <c:pt idx="388">
                  <c:v>Apprenant 389 ou 389'</c:v>
                </c:pt>
                <c:pt idx="389">
                  <c:v>Apprenant 390 ou 390'</c:v>
                </c:pt>
                <c:pt idx="390">
                  <c:v>Apprenant 391 ou 391'</c:v>
                </c:pt>
                <c:pt idx="391">
                  <c:v>Apprenant 392 ou 392'</c:v>
                </c:pt>
                <c:pt idx="392">
                  <c:v>Apprenant 393 ou 393'</c:v>
                </c:pt>
                <c:pt idx="393">
                  <c:v>Apprenant 394 ou 394'</c:v>
                </c:pt>
                <c:pt idx="394">
                  <c:v>Apprenant 395 ou 395'</c:v>
                </c:pt>
                <c:pt idx="395">
                  <c:v>Apprenant 396 ou 396'</c:v>
                </c:pt>
                <c:pt idx="396">
                  <c:v>Apprenant 397 ou 397'</c:v>
                </c:pt>
                <c:pt idx="397">
                  <c:v>Apprenant 398 ou 398'</c:v>
                </c:pt>
                <c:pt idx="398">
                  <c:v>Apprenant 399 ou 399'</c:v>
                </c:pt>
                <c:pt idx="399">
                  <c:v>Apprenant 400 ou 400'</c:v>
                </c:pt>
                <c:pt idx="400">
                  <c:v>Apprenant 401 ou 401'</c:v>
                </c:pt>
                <c:pt idx="401">
                  <c:v>Apprenant 402 ou 402'</c:v>
                </c:pt>
                <c:pt idx="402">
                  <c:v>Apprenant 403 ou 403'</c:v>
                </c:pt>
                <c:pt idx="403">
                  <c:v>Apprenant 404 ou 404'</c:v>
                </c:pt>
                <c:pt idx="404">
                  <c:v>Apprenant 405 ou 405'</c:v>
                </c:pt>
                <c:pt idx="405">
                  <c:v>Apprenant 406 ou 406'</c:v>
                </c:pt>
                <c:pt idx="406">
                  <c:v>Apprenant 407 ou 407'</c:v>
                </c:pt>
                <c:pt idx="407">
                  <c:v>Apprenant 408 ou 408'</c:v>
                </c:pt>
                <c:pt idx="408">
                  <c:v>Apprenant 409 ou 409'</c:v>
                </c:pt>
                <c:pt idx="409">
                  <c:v>Apprenant 410 ou 410'</c:v>
                </c:pt>
                <c:pt idx="410">
                  <c:v>Apprenant 411 ou 411'</c:v>
                </c:pt>
                <c:pt idx="411">
                  <c:v>Apprenant 412 ou 412'</c:v>
                </c:pt>
                <c:pt idx="412">
                  <c:v>Apprenant 413 ou 413'</c:v>
                </c:pt>
                <c:pt idx="413">
                  <c:v>Apprenant 414 ou 414'</c:v>
                </c:pt>
                <c:pt idx="414">
                  <c:v>Apprenant 415 ou 415'</c:v>
                </c:pt>
                <c:pt idx="415">
                  <c:v>Apprenant 416 ou 416'</c:v>
                </c:pt>
                <c:pt idx="416">
                  <c:v>Apprenant 417 ou 417'</c:v>
                </c:pt>
                <c:pt idx="417">
                  <c:v>Apprenant 418 ou 418'</c:v>
                </c:pt>
                <c:pt idx="418">
                  <c:v>Apprenant 419 ou 419'</c:v>
                </c:pt>
                <c:pt idx="419">
                  <c:v>Apprenant 420 ou 420'</c:v>
                </c:pt>
                <c:pt idx="420">
                  <c:v>Apprenant 421 ou 421'</c:v>
                </c:pt>
                <c:pt idx="421">
                  <c:v>Apprenant 422 ou 422'</c:v>
                </c:pt>
                <c:pt idx="422">
                  <c:v>Apprenant 423 ou 423'</c:v>
                </c:pt>
                <c:pt idx="423">
                  <c:v>Apprenant 424 ou 424'</c:v>
                </c:pt>
                <c:pt idx="424">
                  <c:v>Apprenant 425 ou 425'</c:v>
                </c:pt>
                <c:pt idx="425">
                  <c:v>Apprenant 426 ou 426'</c:v>
                </c:pt>
                <c:pt idx="426">
                  <c:v>Apprenant 427 ou 427'</c:v>
                </c:pt>
                <c:pt idx="427">
                  <c:v>Apprenant 428 ou 428'</c:v>
                </c:pt>
                <c:pt idx="428">
                  <c:v>Apprenant 429 ou 429'</c:v>
                </c:pt>
                <c:pt idx="429">
                  <c:v>Apprenant 430 ou 430'</c:v>
                </c:pt>
                <c:pt idx="430">
                  <c:v>Apprenant 431 ou 431'</c:v>
                </c:pt>
                <c:pt idx="431">
                  <c:v>Apprenant 432 ou 432'</c:v>
                </c:pt>
                <c:pt idx="432">
                  <c:v>Apprenant 433 ou 433'</c:v>
                </c:pt>
                <c:pt idx="433">
                  <c:v>Apprenant 434 ou 434'</c:v>
                </c:pt>
                <c:pt idx="434">
                  <c:v>Apprenant 435 ou 435'</c:v>
                </c:pt>
                <c:pt idx="435">
                  <c:v>Apprenant 436 ou 436'</c:v>
                </c:pt>
                <c:pt idx="436">
                  <c:v>Apprenant 437 ou 437'</c:v>
                </c:pt>
                <c:pt idx="437">
                  <c:v>Apprenant 438 ou 438'</c:v>
                </c:pt>
                <c:pt idx="438">
                  <c:v>Apprenant 439 ou 439'</c:v>
                </c:pt>
                <c:pt idx="439">
                  <c:v>Apprenant 440 ou 440'</c:v>
                </c:pt>
                <c:pt idx="440">
                  <c:v>Apprenant 441 ou 441'</c:v>
                </c:pt>
                <c:pt idx="441">
                  <c:v>Apprenant 442 ou 442'</c:v>
                </c:pt>
                <c:pt idx="442">
                  <c:v>Apprenant 443 ou 443'</c:v>
                </c:pt>
                <c:pt idx="443">
                  <c:v>Apprenant 444 ou 444'</c:v>
                </c:pt>
                <c:pt idx="444">
                  <c:v>Apprenant 445 ou 445'</c:v>
                </c:pt>
                <c:pt idx="445">
                  <c:v>Apprenant 446 ou 446'</c:v>
                </c:pt>
                <c:pt idx="446">
                  <c:v>Apprenant 447 ou 447'</c:v>
                </c:pt>
                <c:pt idx="447">
                  <c:v>Apprenant 448 ou 448'</c:v>
                </c:pt>
                <c:pt idx="448">
                  <c:v>Apprenant 449 ou 449'</c:v>
                </c:pt>
                <c:pt idx="449">
                  <c:v>Apprenant 450 ou 450'</c:v>
                </c:pt>
                <c:pt idx="450">
                  <c:v>Apprenant 451 ou 451'</c:v>
                </c:pt>
                <c:pt idx="451">
                  <c:v>Apprenant 452 ou 452'</c:v>
                </c:pt>
                <c:pt idx="452">
                  <c:v>Apprenant 453 ou 453'</c:v>
                </c:pt>
                <c:pt idx="453">
                  <c:v>Apprenant 454 ou 454'</c:v>
                </c:pt>
                <c:pt idx="454">
                  <c:v>Apprenant 455 ou 455'</c:v>
                </c:pt>
                <c:pt idx="455">
                  <c:v>Apprenant 456 ou 456'</c:v>
                </c:pt>
                <c:pt idx="456">
                  <c:v>Apprenant 457 ou 457'</c:v>
                </c:pt>
                <c:pt idx="457">
                  <c:v>Apprenant 458 ou 458'</c:v>
                </c:pt>
                <c:pt idx="458">
                  <c:v>Apprenant 459 ou 459'</c:v>
                </c:pt>
                <c:pt idx="459">
                  <c:v>Apprenant 460 ou 460'</c:v>
                </c:pt>
                <c:pt idx="460">
                  <c:v>Apprenant 461 ou 461'</c:v>
                </c:pt>
                <c:pt idx="461">
                  <c:v>Apprenant 462 ou 462'</c:v>
                </c:pt>
                <c:pt idx="462">
                  <c:v>Apprenant 463 ou 463'</c:v>
                </c:pt>
                <c:pt idx="463">
                  <c:v>Apprenant 464 ou 464'</c:v>
                </c:pt>
                <c:pt idx="464">
                  <c:v>Apprenant 465 ou 465'</c:v>
                </c:pt>
                <c:pt idx="465">
                  <c:v>Apprenant 466 ou 466'</c:v>
                </c:pt>
                <c:pt idx="466">
                  <c:v>Apprenant 467 ou 467'</c:v>
                </c:pt>
                <c:pt idx="467">
                  <c:v>Apprenant 468 ou 468'</c:v>
                </c:pt>
                <c:pt idx="468">
                  <c:v>Apprenant 469 ou 469'</c:v>
                </c:pt>
                <c:pt idx="469">
                  <c:v>Apprenant 470 ou 470'</c:v>
                </c:pt>
                <c:pt idx="470">
                  <c:v>Apprenant 471 ou 471'</c:v>
                </c:pt>
                <c:pt idx="471">
                  <c:v>Apprenant 472 ou 472'</c:v>
                </c:pt>
                <c:pt idx="472">
                  <c:v>Apprenant 473 ou 473'</c:v>
                </c:pt>
                <c:pt idx="473">
                  <c:v>Apprenant 474 ou 474'</c:v>
                </c:pt>
                <c:pt idx="474">
                  <c:v>Apprenant 475 ou 475'</c:v>
                </c:pt>
                <c:pt idx="475">
                  <c:v>Apprenant 476 ou 476'</c:v>
                </c:pt>
                <c:pt idx="476">
                  <c:v>Apprenant 477 ou 477'</c:v>
                </c:pt>
                <c:pt idx="477">
                  <c:v>Apprenant 478 ou 478'</c:v>
                </c:pt>
                <c:pt idx="478">
                  <c:v>Apprenant 479 ou 479'</c:v>
                </c:pt>
                <c:pt idx="479">
                  <c:v>Apprenant 480 ou 480'</c:v>
                </c:pt>
                <c:pt idx="480">
                  <c:v>Apprenant 481 ou 481'</c:v>
                </c:pt>
                <c:pt idx="481">
                  <c:v>Apprenant 482 ou 482'</c:v>
                </c:pt>
                <c:pt idx="482">
                  <c:v>Apprenant 483 ou 483'</c:v>
                </c:pt>
                <c:pt idx="483">
                  <c:v>Apprenant 484 ou 484'</c:v>
                </c:pt>
                <c:pt idx="484">
                  <c:v>Apprenant 485 ou 485'</c:v>
                </c:pt>
                <c:pt idx="485">
                  <c:v>Apprenant 486 ou 486'</c:v>
                </c:pt>
                <c:pt idx="486">
                  <c:v>Apprenant 487 ou 487'</c:v>
                </c:pt>
                <c:pt idx="487">
                  <c:v>Apprenant 488 ou 488'</c:v>
                </c:pt>
                <c:pt idx="488">
                  <c:v>Apprenant 489 ou 489'</c:v>
                </c:pt>
                <c:pt idx="489">
                  <c:v>Apprenant 490 ou 490'</c:v>
                </c:pt>
                <c:pt idx="490">
                  <c:v>Apprenant 491 ou 491'</c:v>
                </c:pt>
                <c:pt idx="491">
                  <c:v>Apprenant 492 ou 492'</c:v>
                </c:pt>
                <c:pt idx="492">
                  <c:v>Apprenant 493 ou 493'</c:v>
                </c:pt>
                <c:pt idx="493">
                  <c:v>Apprenant 494 ou 494'</c:v>
                </c:pt>
                <c:pt idx="494">
                  <c:v>Apprenant 495 ou 495'</c:v>
                </c:pt>
                <c:pt idx="495">
                  <c:v>Apprenant 496 ou 496'</c:v>
                </c:pt>
                <c:pt idx="496">
                  <c:v>Apprenant 497 ou 497'</c:v>
                </c:pt>
                <c:pt idx="497">
                  <c:v>Apprenant 498 ou 498'</c:v>
                </c:pt>
                <c:pt idx="498">
                  <c:v>Apprenant 499 ou 499'</c:v>
                </c:pt>
                <c:pt idx="499">
                  <c:v>Apprenant 500 ou 500'</c:v>
                </c:pt>
                <c:pt idx="500">
                  <c:v>Apprenant 501 ou 501'</c:v>
                </c:pt>
                <c:pt idx="501">
                  <c:v>Apprenant 502 ou 502'</c:v>
                </c:pt>
                <c:pt idx="502">
                  <c:v>Apprenant 503 ou 503'</c:v>
                </c:pt>
                <c:pt idx="503">
                  <c:v>Apprenant 504 ou 504'</c:v>
                </c:pt>
                <c:pt idx="504">
                  <c:v>Apprenant 505 ou 505'</c:v>
                </c:pt>
                <c:pt idx="505">
                  <c:v>Apprenant 506 ou 506'</c:v>
                </c:pt>
                <c:pt idx="506">
                  <c:v>Apprenant 507 ou 507'</c:v>
                </c:pt>
                <c:pt idx="507">
                  <c:v>Apprenant 508 ou 508'</c:v>
                </c:pt>
                <c:pt idx="508">
                  <c:v>Apprenant 509 ou 509'</c:v>
                </c:pt>
                <c:pt idx="509">
                  <c:v>Apprenant 510 ou 510'</c:v>
                </c:pt>
                <c:pt idx="510">
                  <c:v>Apprenant 511 ou 511'</c:v>
                </c:pt>
                <c:pt idx="511">
                  <c:v>Apprenant 512 ou 512'</c:v>
                </c:pt>
                <c:pt idx="512">
                  <c:v>Apprenant 513 ou 513'</c:v>
                </c:pt>
                <c:pt idx="513">
                  <c:v>Apprenant 514 ou 514'</c:v>
                </c:pt>
                <c:pt idx="514">
                  <c:v>Apprenant 515 ou 515'</c:v>
                </c:pt>
                <c:pt idx="515">
                  <c:v>Apprenant 516 ou 516'</c:v>
                </c:pt>
                <c:pt idx="516">
                  <c:v>Apprenant 517 ou 517'</c:v>
                </c:pt>
                <c:pt idx="517">
                  <c:v>Apprenant 518 ou 518'</c:v>
                </c:pt>
                <c:pt idx="518">
                  <c:v>Apprenant 519 ou 519'</c:v>
                </c:pt>
                <c:pt idx="519">
                  <c:v>Apprenant 520 ou 520'</c:v>
                </c:pt>
                <c:pt idx="520">
                  <c:v>Apprenant 521 ou 521'</c:v>
                </c:pt>
                <c:pt idx="521">
                  <c:v>Apprenant 522 ou 522'</c:v>
                </c:pt>
                <c:pt idx="522">
                  <c:v>Apprenant 523 ou 523'</c:v>
                </c:pt>
                <c:pt idx="523">
                  <c:v>Apprenant 524 ou 524'</c:v>
                </c:pt>
                <c:pt idx="524">
                  <c:v>Apprenant 525 ou 525'</c:v>
                </c:pt>
                <c:pt idx="525">
                  <c:v>Apprenant 526 ou 526'</c:v>
                </c:pt>
                <c:pt idx="526">
                  <c:v>Apprenant 527 ou 527'</c:v>
                </c:pt>
                <c:pt idx="527">
                  <c:v>Apprenant 528 ou 528'</c:v>
                </c:pt>
                <c:pt idx="528">
                  <c:v>Apprenant 529 ou 529'</c:v>
                </c:pt>
                <c:pt idx="529">
                  <c:v>Apprenant 530 ou 530'</c:v>
                </c:pt>
                <c:pt idx="530">
                  <c:v>Apprenant 531 ou 531'</c:v>
                </c:pt>
                <c:pt idx="531">
                  <c:v>Apprenant 532 ou 532'</c:v>
                </c:pt>
                <c:pt idx="532">
                  <c:v>Apprenant 533 ou 533'</c:v>
                </c:pt>
                <c:pt idx="533">
                  <c:v>Apprenant 534 ou 534'</c:v>
                </c:pt>
                <c:pt idx="534">
                  <c:v>Apprenant 535 ou 535'</c:v>
                </c:pt>
                <c:pt idx="535">
                  <c:v>Apprenant 536 ou 536'</c:v>
                </c:pt>
                <c:pt idx="536">
                  <c:v>Apprenant 537 ou 537'</c:v>
                </c:pt>
                <c:pt idx="537">
                  <c:v>Apprenant 538 ou 538'</c:v>
                </c:pt>
                <c:pt idx="538">
                  <c:v>Apprenant 539 ou 539'</c:v>
                </c:pt>
                <c:pt idx="539">
                  <c:v>Apprenant 540 ou 540'</c:v>
                </c:pt>
                <c:pt idx="540">
                  <c:v>Apprenant 541 ou 541'</c:v>
                </c:pt>
                <c:pt idx="541">
                  <c:v>Apprenant 542 ou 542'</c:v>
                </c:pt>
                <c:pt idx="542">
                  <c:v>Apprenant 543 ou 543'</c:v>
                </c:pt>
                <c:pt idx="543">
                  <c:v>Apprenant 544 ou 544'</c:v>
                </c:pt>
                <c:pt idx="544">
                  <c:v>Apprenant 545 ou 545'</c:v>
                </c:pt>
                <c:pt idx="545">
                  <c:v>Apprenant 546 ou 546'</c:v>
                </c:pt>
                <c:pt idx="546">
                  <c:v>Apprenant 547 ou 547'</c:v>
                </c:pt>
                <c:pt idx="547">
                  <c:v>Apprenant 548 ou 548'</c:v>
                </c:pt>
                <c:pt idx="548">
                  <c:v>Apprenant 549 ou 549'</c:v>
                </c:pt>
                <c:pt idx="549">
                  <c:v>Apprenant 550 ou 550'</c:v>
                </c:pt>
                <c:pt idx="550">
                  <c:v>Apprenant 551 ou 551'</c:v>
                </c:pt>
                <c:pt idx="551">
                  <c:v>Apprenant 552 ou 552'</c:v>
                </c:pt>
                <c:pt idx="552">
                  <c:v>Apprenant 553 ou 553'</c:v>
                </c:pt>
                <c:pt idx="553">
                  <c:v>Apprenant 554 ou 554'</c:v>
                </c:pt>
                <c:pt idx="554">
                  <c:v>Apprenant 555 ou 555'</c:v>
                </c:pt>
                <c:pt idx="555">
                  <c:v>Apprenant 556 ou 556'</c:v>
                </c:pt>
                <c:pt idx="556">
                  <c:v>Apprenant 557 ou 557'</c:v>
                </c:pt>
                <c:pt idx="557">
                  <c:v>Apprenant 558 ou 558'</c:v>
                </c:pt>
                <c:pt idx="558">
                  <c:v>Apprenant 559 ou 559'</c:v>
                </c:pt>
                <c:pt idx="559">
                  <c:v>Apprenant 560 ou 560'</c:v>
                </c:pt>
                <c:pt idx="560">
                  <c:v>Apprenant 561 ou 561'</c:v>
                </c:pt>
                <c:pt idx="561">
                  <c:v>Apprenant 562 ou 562'</c:v>
                </c:pt>
                <c:pt idx="562">
                  <c:v>Apprenant 563 ou 563'</c:v>
                </c:pt>
                <c:pt idx="563">
                  <c:v>Apprenant 564 ou 564'</c:v>
                </c:pt>
                <c:pt idx="564">
                  <c:v>Apprenant 565 ou 565'</c:v>
                </c:pt>
                <c:pt idx="565">
                  <c:v>Apprenant 566 ou 566'</c:v>
                </c:pt>
                <c:pt idx="566">
                  <c:v>Apprenant 567 ou 567'</c:v>
                </c:pt>
                <c:pt idx="567">
                  <c:v>Apprenant 568 ou 568'</c:v>
                </c:pt>
                <c:pt idx="568">
                  <c:v>Apprenant 569 ou 569'</c:v>
                </c:pt>
                <c:pt idx="569">
                  <c:v>Apprenant 570 ou 570'</c:v>
                </c:pt>
                <c:pt idx="570">
                  <c:v>Apprenant 571 ou 571'</c:v>
                </c:pt>
                <c:pt idx="571">
                  <c:v>Apprenant 572 ou 572'</c:v>
                </c:pt>
                <c:pt idx="572">
                  <c:v>Apprenant 573 ou 573'</c:v>
                </c:pt>
                <c:pt idx="573">
                  <c:v>Apprenant 574 ou 574'</c:v>
                </c:pt>
                <c:pt idx="574">
                  <c:v>Apprenant 575 ou 575'</c:v>
                </c:pt>
                <c:pt idx="575">
                  <c:v>Apprenant 576 ou 576'</c:v>
                </c:pt>
                <c:pt idx="576">
                  <c:v>Apprenant 577 ou 577'</c:v>
                </c:pt>
                <c:pt idx="577">
                  <c:v>Apprenant 578 ou 578'</c:v>
                </c:pt>
                <c:pt idx="578">
                  <c:v>Apprenant 579 ou 579'</c:v>
                </c:pt>
                <c:pt idx="579">
                  <c:v>Apprenant 580 ou 580'</c:v>
                </c:pt>
                <c:pt idx="580">
                  <c:v>Apprenant 581 ou 581'</c:v>
                </c:pt>
                <c:pt idx="581">
                  <c:v>Apprenant 582 ou 582'</c:v>
                </c:pt>
                <c:pt idx="582">
                  <c:v>Apprenant 583 ou 583'</c:v>
                </c:pt>
                <c:pt idx="583">
                  <c:v>Apprenant 584 ou 584'</c:v>
                </c:pt>
                <c:pt idx="584">
                  <c:v>Apprenant 585 ou 585'</c:v>
                </c:pt>
                <c:pt idx="585">
                  <c:v>Apprenant 586 ou 586'</c:v>
                </c:pt>
                <c:pt idx="586">
                  <c:v>Apprenant 587 ou 587'</c:v>
                </c:pt>
                <c:pt idx="587">
                  <c:v>Apprenant 588 ou 588'</c:v>
                </c:pt>
                <c:pt idx="588">
                  <c:v>Apprenant 589 ou 589'</c:v>
                </c:pt>
                <c:pt idx="589">
                  <c:v>Apprenant 590 ou 590'</c:v>
                </c:pt>
                <c:pt idx="590">
                  <c:v>Apprenant 591 ou 591'</c:v>
                </c:pt>
                <c:pt idx="591">
                  <c:v>Apprenant 592 ou 592'</c:v>
                </c:pt>
                <c:pt idx="592">
                  <c:v>Apprenant 593 ou 593'</c:v>
                </c:pt>
                <c:pt idx="593">
                  <c:v>Apprenant 594 ou 594'</c:v>
                </c:pt>
                <c:pt idx="594">
                  <c:v>Apprenant 595 ou 595'</c:v>
                </c:pt>
                <c:pt idx="595">
                  <c:v>Apprenant 596 ou 596'</c:v>
                </c:pt>
                <c:pt idx="596">
                  <c:v>Apprenant 597 ou 597'</c:v>
                </c:pt>
                <c:pt idx="597">
                  <c:v>Apprenant 598 ou 598'</c:v>
                </c:pt>
                <c:pt idx="598">
                  <c:v>Apprenant 599 ou 599'</c:v>
                </c:pt>
                <c:pt idx="599">
                  <c:v>Apprenant 600 ou 600'</c:v>
                </c:pt>
                <c:pt idx="600">
                  <c:v>Apprenant 601 ou 601'</c:v>
                </c:pt>
                <c:pt idx="601">
                  <c:v>Apprenant 602 ou 602'</c:v>
                </c:pt>
                <c:pt idx="602">
                  <c:v>Apprenant 603 ou 603'</c:v>
                </c:pt>
                <c:pt idx="603">
                  <c:v>Apprenant 604 ou 604'</c:v>
                </c:pt>
                <c:pt idx="604">
                  <c:v>Apprenant 605 ou 605'</c:v>
                </c:pt>
                <c:pt idx="605">
                  <c:v>Apprenant 606 ou 606'</c:v>
                </c:pt>
                <c:pt idx="606">
                  <c:v>Apprenant 607 ou 607'</c:v>
                </c:pt>
                <c:pt idx="607">
                  <c:v>Apprenant 608 ou 608'</c:v>
                </c:pt>
                <c:pt idx="608">
                  <c:v>Apprenant 609 ou 609'</c:v>
                </c:pt>
                <c:pt idx="609">
                  <c:v>Apprenant 610 ou 610'</c:v>
                </c:pt>
                <c:pt idx="610">
                  <c:v>Apprenant 611 ou 611'</c:v>
                </c:pt>
                <c:pt idx="611">
                  <c:v>Apprenant 612 ou 612'</c:v>
                </c:pt>
                <c:pt idx="612">
                  <c:v>Apprenant 613 ou 613'</c:v>
                </c:pt>
                <c:pt idx="613">
                  <c:v>Apprenant 614 ou 614'</c:v>
                </c:pt>
                <c:pt idx="614">
                  <c:v>Apprenant 615 ou 615'</c:v>
                </c:pt>
                <c:pt idx="615">
                  <c:v>Apprenant 616 ou 616'</c:v>
                </c:pt>
                <c:pt idx="616">
                  <c:v>Apprenant 617 ou 617'</c:v>
                </c:pt>
                <c:pt idx="617">
                  <c:v>Apprenant 618 ou 618'</c:v>
                </c:pt>
                <c:pt idx="618">
                  <c:v>Apprenant 619 ou 619'</c:v>
                </c:pt>
                <c:pt idx="619">
                  <c:v>Apprenant 620 ou 620'</c:v>
                </c:pt>
                <c:pt idx="620">
                  <c:v>Apprenant 621 ou 621'</c:v>
                </c:pt>
                <c:pt idx="621">
                  <c:v>Apprenant 622 ou 622'</c:v>
                </c:pt>
                <c:pt idx="622">
                  <c:v>Apprenant 623 ou 623'</c:v>
                </c:pt>
                <c:pt idx="623">
                  <c:v>Apprenant 624 ou 624'</c:v>
                </c:pt>
                <c:pt idx="624">
                  <c:v>Apprenant 625 ou 625'</c:v>
                </c:pt>
                <c:pt idx="625">
                  <c:v>Apprenant 626 ou 626'</c:v>
                </c:pt>
                <c:pt idx="626">
                  <c:v>Apprenant 627 ou 627'</c:v>
                </c:pt>
                <c:pt idx="627">
                  <c:v>Apprenant 628 ou 628'</c:v>
                </c:pt>
                <c:pt idx="628">
                  <c:v>Apprenant 629 ou 629'</c:v>
                </c:pt>
                <c:pt idx="629">
                  <c:v>Apprenant 630 ou 630'</c:v>
                </c:pt>
                <c:pt idx="630">
                  <c:v>Apprenant 631 ou 631'</c:v>
                </c:pt>
                <c:pt idx="631">
                  <c:v>Apprenant 632 ou 632'</c:v>
                </c:pt>
                <c:pt idx="632">
                  <c:v>Apprenant 633 ou 633'</c:v>
                </c:pt>
                <c:pt idx="633">
                  <c:v>Apprenant 634 ou 634'</c:v>
                </c:pt>
                <c:pt idx="634">
                  <c:v>Apprenant 635 ou 635'</c:v>
                </c:pt>
                <c:pt idx="635">
                  <c:v>Apprenant 636 ou 636'</c:v>
                </c:pt>
                <c:pt idx="636">
                  <c:v>Apprenant 637 ou 637'</c:v>
                </c:pt>
                <c:pt idx="637">
                  <c:v>Apprenant 638 ou 638'</c:v>
                </c:pt>
                <c:pt idx="638">
                  <c:v>Apprenant 639 ou 639'</c:v>
                </c:pt>
                <c:pt idx="639">
                  <c:v>Apprenant 640 ou 640'</c:v>
                </c:pt>
                <c:pt idx="640">
                  <c:v>Apprenant 641 ou 641'</c:v>
                </c:pt>
                <c:pt idx="641">
                  <c:v>Apprenant 642 ou 642'</c:v>
                </c:pt>
                <c:pt idx="642">
                  <c:v>Apprenant 643 ou 643'</c:v>
                </c:pt>
                <c:pt idx="643">
                  <c:v>Apprenant 644 ou 644'</c:v>
                </c:pt>
                <c:pt idx="644">
                  <c:v>Apprenant 645 ou 645'</c:v>
                </c:pt>
                <c:pt idx="645">
                  <c:v>Apprenant 646 ou 646'</c:v>
                </c:pt>
                <c:pt idx="646">
                  <c:v>Apprenant 647 ou 647'</c:v>
                </c:pt>
                <c:pt idx="647">
                  <c:v>Apprenant 648 ou 648'</c:v>
                </c:pt>
                <c:pt idx="648">
                  <c:v>Apprenant 649 ou 649'</c:v>
                </c:pt>
                <c:pt idx="649">
                  <c:v>Apprenant 650 ou 650'</c:v>
                </c:pt>
                <c:pt idx="650">
                  <c:v>Apprenant 651 ou 651'</c:v>
                </c:pt>
                <c:pt idx="651">
                  <c:v>Apprenant 652 ou 652'</c:v>
                </c:pt>
                <c:pt idx="652">
                  <c:v>Apprenant 653 ou 653'</c:v>
                </c:pt>
                <c:pt idx="653">
                  <c:v>Apprenant 654 ou 654'</c:v>
                </c:pt>
                <c:pt idx="654">
                  <c:v>Apprenant 655 ou 655'</c:v>
                </c:pt>
                <c:pt idx="655">
                  <c:v>Apprenant 656 ou 656'</c:v>
                </c:pt>
                <c:pt idx="656">
                  <c:v>Apprenant 657 ou 657'</c:v>
                </c:pt>
                <c:pt idx="657">
                  <c:v>Apprenant 658 ou 658'</c:v>
                </c:pt>
                <c:pt idx="658">
                  <c:v>Apprenant 659 ou 659'</c:v>
                </c:pt>
                <c:pt idx="659">
                  <c:v>Apprenant 660 ou 660'</c:v>
                </c:pt>
                <c:pt idx="660">
                  <c:v>Apprenant 661 ou 661'</c:v>
                </c:pt>
                <c:pt idx="661">
                  <c:v>Apprenant 662 ou 662'</c:v>
                </c:pt>
                <c:pt idx="662">
                  <c:v>Apprenant 663 ou 663'</c:v>
                </c:pt>
                <c:pt idx="663">
                  <c:v>Apprenant 664 ou 664'</c:v>
                </c:pt>
                <c:pt idx="664">
                  <c:v>Apprenant 665 ou 665'</c:v>
                </c:pt>
                <c:pt idx="665">
                  <c:v>Apprenant 666 ou 666'</c:v>
                </c:pt>
                <c:pt idx="666">
                  <c:v>Apprenant 667 ou 667'</c:v>
                </c:pt>
                <c:pt idx="667">
                  <c:v>Apprenant 668 ou 668'</c:v>
                </c:pt>
                <c:pt idx="668">
                  <c:v>Apprenant 669 ou 669'</c:v>
                </c:pt>
                <c:pt idx="669">
                  <c:v>Apprenant 670 ou 670'</c:v>
                </c:pt>
                <c:pt idx="670">
                  <c:v>Apprenant 671 ou 671'</c:v>
                </c:pt>
                <c:pt idx="671">
                  <c:v>Apprenant 672 ou 672'</c:v>
                </c:pt>
                <c:pt idx="672">
                  <c:v>Apprenant 673 ou 673'</c:v>
                </c:pt>
                <c:pt idx="673">
                  <c:v>Apprenant 674 ou 674'</c:v>
                </c:pt>
                <c:pt idx="674">
                  <c:v>Apprenant 675 ou 675'</c:v>
                </c:pt>
                <c:pt idx="675">
                  <c:v>Apprenant 676 ou 676'</c:v>
                </c:pt>
                <c:pt idx="676">
                  <c:v>Apprenant 677 ou 677'</c:v>
                </c:pt>
                <c:pt idx="677">
                  <c:v>Apprenant 678 ou 678'</c:v>
                </c:pt>
                <c:pt idx="678">
                  <c:v>Apprenant 679 ou 679'</c:v>
                </c:pt>
                <c:pt idx="679">
                  <c:v>Apprenant 680 ou 680'</c:v>
                </c:pt>
                <c:pt idx="680">
                  <c:v>Apprenant 681 ou 681'</c:v>
                </c:pt>
                <c:pt idx="681">
                  <c:v>Apprenant 682 ou 682'</c:v>
                </c:pt>
                <c:pt idx="682">
                  <c:v>Apprenant 683 ou 683'</c:v>
                </c:pt>
                <c:pt idx="683">
                  <c:v>Apprenant 684 ou 684'</c:v>
                </c:pt>
                <c:pt idx="684">
                  <c:v>Apprenant 685 ou 685'</c:v>
                </c:pt>
                <c:pt idx="685">
                  <c:v>Apprenant 686 ou 686'</c:v>
                </c:pt>
                <c:pt idx="686">
                  <c:v>Apprenant 687 ou 687'</c:v>
                </c:pt>
                <c:pt idx="687">
                  <c:v>Apprenant 688 ou 688'</c:v>
                </c:pt>
                <c:pt idx="688">
                  <c:v>Apprenant 689 ou 689'</c:v>
                </c:pt>
                <c:pt idx="689">
                  <c:v>Apprenant 690 ou 690'</c:v>
                </c:pt>
                <c:pt idx="690">
                  <c:v>Apprenant 691 ou 691'</c:v>
                </c:pt>
                <c:pt idx="691">
                  <c:v>Apprenant 692 ou 692'</c:v>
                </c:pt>
                <c:pt idx="692">
                  <c:v>Apprenant 693 ou 693'</c:v>
                </c:pt>
                <c:pt idx="693">
                  <c:v>Apprenant 694 ou 694'</c:v>
                </c:pt>
                <c:pt idx="694">
                  <c:v>Apprenant 695 ou 695'</c:v>
                </c:pt>
                <c:pt idx="695">
                  <c:v>Apprenant 696 ou 696'</c:v>
                </c:pt>
                <c:pt idx="696">
                  <c:v>Apprenant 697 ou 697'</c:v>
                </c:pt>
                <c:pt idx="697">
                  <c:v>Apprenant 698 ou 698'</c:v>
                </c:pt>
                <c:pt idx="698">
                  <c:v>Apprenant 699 ou 699'</c:v>
                </c:pt>
                <c:pt idx="699">
                  <c:v>Apprenant 700 ou 700'</c:v>
                </c:pt>
                <c:pt idx="700">
                  <c:v>Apprenant 701 ou 701'</c:v>
                </c:pt>
                <c:pt idx="701">
                  <c:v>Apprenant 702 ou 702'</c:v>
                </c:pt>
                <c:pt idx="702">
                  <c:v>Apprenant 703 ou 703'</c:v>
                </c:pt>
                <c:pt idx="703">
                  <c:v>Apprenant 704 ou 704'</c:v>
                </c:pt>
                <c:pt idx="704">
                  <c:v>Apprenant 705 ou 705'</c:v>
                </c:pt>
                <c:pt idx="705">
                  <c:v>Apprenant 706 ou 706'</c:v>
                </c:pt>
                <c:pt idx="706">
                  <c:v>Apprenant 707 ou 707'</c:v>
                </c:pt>
                <c:pt idx="707">
                  <c:v>Apprenant 708 ou 708'</c:v>
                </c:pt>
                <c:pt idx="708">
                  <c:v>Apprenant 709 ou 709'</c:v>
                </c:pt>
                <c:pt idx="709">
                  <c:v>Apprenant 710 ou 710'</c:v>
                </c:pt>
                <c:pt idx="710">
                  <c:v>Apprenant 711 ou 711'</c:v>
                </c:pt>
                <c:pt idx="711">
                  <c:v>Apprenant 712 ou 712'</c:v>
                </c:pt>
                <c:pt idx="712">
                  <c:v>Apprenant 713 ou 713'</c:v>
                </c:pt>
                <c:pt idx="713">
                  <c:v>Apprenant 714 ou 714'</c:v>
                </c:pt>
                <c:pt idx="714">
                  <c:v>Apprenant 715 ou 715'</c:v>
                </c:pt>
                <c:pt idx="715">
                  <c:v>Apprenant 716 ou 716'</c:v>
                </c:pt>
                <c:pt idx="716">
                  <c:v>Apprenant 717 ou 717'</c:v>
                </c:pt>
                <c:pt idx="717">
                  <c:v>Apprenant 718 ou 718'</c:v>
                </c:pt>
                <c:pt idx="718">
                  <c:v>Apprenant 719 ou 719'</c:v>
                </c:pt>
                <c:pt idx="719">
                  <c:v>Apprenant 720 ou 720'</c:v>
                </c:pt>
                <c:pt idx="720">
                  <c:v>Apprenant 721 ou 721'</c:v>
                </c:pt>
                <c:pt idx="721">
                  <c:v>Apprenant 722 ou 722'</c:v>
                </c:pt>
                <c:pt idx="722">
                  <c:v>Apprenant 723 ou 723'</c:v>
                </c:pt>
                <c:pt idx="723">
                  <c:v>Apprenant 724 ou 724'</c:v>
                </c:pt>
                <c:pt idx="724">
                  <c:v>Apprenant 725 ou 725'</c:v>
                </c:pt>
                <c:pt idx="725">
                  <c:v>Apprenant 726 ou 726'</c:v>
                </c:pt>
                <c:pt idx="726">
                  <c:v>Apprenant 727 ou 727'</c:v>
                </c:pt>
                <c:pt idx="727">
                  <c:v>Apprenant 728 ou 728'</c:v>
                </c:pt>
                <c:pt idx="728">
                  <c:v>Apprenant 729 ou 729'</c:v>
                </c:pt>
                <c:pt idx="729">
                  <c:v>Apprenant 730 ou 730'</c:v>
                </c:pt>
                <c:pt idx="730">
                  <c:v>Apprenant 731 ou 731'</c:v>
                </c:pt>
                <c:pt idx="731">
                  <c:v>Apprenant 732 ou 732'</c:v>
                </c:pt>
                <c:pt idx="732">
                  <c:v>Apprenant 733 ou 733'</c:v>
                </c:pt>
                <c:pt idx="733">
                  <c:v>Apprenant 734 ou 734'</c:v>
                </c:pt>
                <c:pt idx="734">
                  <c:v>Apprenant 735 ou 735'</c:v>
                </c:pt>
                <c:pt idx="735">
                  <c:v>Apprenant 736 ou 736'</c:v>
                </c:pt>
                <c:pt idx="736">
                  <c:v>Apprenant 737 ou 737'</c:v>
                </c:pt>
                <c:pt idx="737">
                  <c:v>Apprenant 738 ou 738'</c:v>
                </c:pt>
                <c:pt idx="738">
                  <c:v>Apprenant 739 ou 739'</c:v>
                </c:pt>
                <c:pt idx="739">
                  <c:v>Apprenant 740 ou 740'</c:v>
                </c:pt>
                <c:pt idx="740">
                  <c:v>Apprenant 741 ou 741'</c:v>
                </c:pt>
                <c:pt idx="741">
                  <c:v>Apprenant 742 ou 742'</c:v>
                </c:pt>
                <c:pt idx="742">
                  <c:v>Apprenant 743 ou 743'</c:v>
                </c:pt>
                <c:pt idx="743">
                  <c:v>Apprenant 744 ou 744'</c:v>
                </c:pt>
                <c:pt idx="744">
                  <c:v>Apprenant 745 ou 745'</c:v>
                </c:pt>
                <c:pt idx="745">
                  <c:v>Apprenant 746 ou 746'</c:v>
                </c:pt>
                <c:pt idx="746">
                  <c:v>Apprenant 747 ou 747'</c:v>
                </c:pt>
                <c:pt idx="747">
                  <c:v>Apprenant 748 ou 748'</c:v>
                </c:pt>
                <c:pt idx="748">
                  <c:v>Apprenant 749 ou 749'</c:v>
                </c:pt>
                <c:pt idx="749">
                  <c:v>Apprenant 750 ou 750'</c:v>
                </c:pt>
                <c:pt idx="750">
                  <c:v>Apprenant 751 ou 751'</c:v>
                </c:pt>
                <c:pt idx="751">
                  <c:v>Apprenant 752 ou 752'</c:v>
                </c:pt>
                <c:pt idx="752">
                  <c:v>Apprenant 753 ou 753'</c:v>
                </c:pt>
                <c:pt idx="753">
                  <c:v>Apprenant 754 ou 754'</c:v>
                </c:pt>
                <c:pt idx="754">
                  <c:v>Apprenant 755 ou 755'</c:v>
                </c:pt>
                <c:pt idx="755">
                  <c:v>Apprenant 756 ou 756'</c:v>
                </c:pt>
                <c:pt idx="756">
                  <c:v>Apprenant 757 ou 757'</c:v>
                </c:pt>
                <c:pt idx="757">
                  <c:v>Apprenant 758 ou 758'</c:v>
                </c:pt>
                <c:pt idx="758">
                  <c:v>Apprenant 759 ou 759'</c:v>
                </c:pt>
                <c:pt idx="759">
                  <c:v>Apprenant 760 ou 760'</c:v>
                </c:pt>
                <c:pt idx="760">
                  <c:v>Apprenant 761 ou 761'</c:v>
                </c:pt>
                <c:pt idx="761">
                  <c:v>Apprenant 762 ou 762'</c:v>
                </c:pt>
                <c:pt idx="762">
                  <c:v>Apprenant 763 ou 763'</c:v>
                </c:pt>
                <c:pt idx="763">
                  <c:v>Apprenant 764 ou 764'</c:v>
                </c:pt>
                <c:pt idx="764">
                  <c:v>Apprenant 765 ou 765'</c:v>
                </c:pt>
                <c:pt idx="765">
                  <c:v>Apprenant 766 ou 766'</c:v>
                </c:pt>
                <c:pt idx="766">
                  <c:v>Apprenant 767 ou 767'</c:v>
                </c:pt>
                <c:pt idx="767">
                  <c:v>Apprenant 768 ou 768'</c:v>
                </c:pt>
                <c:pt idx="768">
                  <c:v>Apprenant 769 ou 769'</c:v>
                </c:pt>
                <c:pt idx="769">
                  <c:v>Apprenant 770 ou 770'</c:v>
                </c:pt>
                <c:pt idx="770">
                  <c:v>Apprenant 771 ou 771'</c:v>
                </c:pt>
                <c:pt idx="771">
                  <c:v>Apprenant 772 ou 772'</c:v>
                </c:pt>
                <c:pt idx="772">
                  <c:v>Apprenant 773 ou 773'</c:v>
                </c:pt>
                <c:pt idx="773">
                  <c:v>Apprenant 774 ou 774'</c:v>
                </c:pt>
                <c:pt idx="774">
                  <c:v>Apprenant 775 ou 775'</c:v>
                </c:pt>
                <c:pt idx="775">
                  <c:v>Apprenant 776 ou 776'</c:v>
                </c:pt>
                <c:pt idx="776">
                  <c:v>Apprenant 777 ou 777'</c:v>
                </c:pt>
                <c:pt idx="777">
                  <c:v>Apprenant 778 ou 778'</c:v>
                </c:pt>
                <c:pt idx="778">
                  <c:v>Apprenant 779 ou 779'</c:v>
                </c:pt>
                <c:pt idx="779">
                  <c:v>Apprenant 780 ou 780'</c:v>
                </c:pt>
                <c:pt idx="780">
                  <c:v>Apprenant 781 ou 781'</c:v>
                </c:pt>
                <c:pt idx="781">
                  <c:v>Apprenant 782 ou 782'</c:v>
                </c:pt>
                <c:pt idx="782">
                  <c:v>Apprenant 783 ou 783'</c:v>
                </c:pt>
                <c:pt idx="783">
                  <c:v>Apprenant 784 ou 784'</c:v>
                </c:pt>
                <c:pt idx="784">
                  <c:v>Apprenant 785 ou 785'</c:v>
                </c:pt>
                <c:pt idx="785">
                  <c:v>Apprenant 786 ou 786'</c:v>
                </c:pt>
                <c:pt idx="786">
                  <c:v>Apprenant 787 ou 787'</c:v>
                </c:pt>
                <c:pt idx="787">
                  <c:v>Apprenant 788 ou 788'</c:v>
                </c:pt>
                <c:pt idx="788">
                  <c:v>Apprenant 789 ou 789'</c:v>
                </c:pt>
                <c:pt idx="789">
                  <c:v>Apprenant 790 ou 790'</c:v>
                </c:pt>
                <c:pt idx="790">
                  <c:v>Apprenant 791 ou 791'</c:v>
                </c:pt>
                <c:pt idx="791">
                  <c:v>Apprenant 792 ou 792'</c:v>
                </c:pt>
                <c:pt idx="792">
                  <c:v>Apprenant 793 ou 793'</c:v>
                </c:pt>
                <c:pt idx="793">
                  <c:v>Apprenant 794 ou 794'</c:v>
                </c:pt>
                <c:pt idx="794">
                  <c:v>Apprenant 795 ou 795'</c:v>
                </c:pt>
                <c:pt idx="795">
                  <c:v>Apprenant 796 ou 796'</c:v>
                </c:pt>
                <c:pt idx="796">
                  <c:v>Apprenant 797 ou 797'</c:v>
                </c:pt>
                <c:pt idx="797">
                  <c:v>Apprenant 798 ou 798'</c:v>
                </c:pt>
                <c:pt idx="798">
                  <c:v>Apprenant 799 ou 799'</c:v>
                </c:pt>
                <c:pt idx="799">
                  <c:v>Apprenant 800 ou 800'</c:v>
                </c:pt>
                <c:pt idx="800">
                  <c:v>Apprenant 801 ou 801'</c:v>
                </c:pt>
                <c:pt idx="801">
                  <c:v>Apprenant 802 ou 802'</c:v>
                </c:pt>
                <c:pt idx="802">
                  <c:v>Apprenant 803 ou 803'</c:v>
                </c:pt>
                <c:pt idx="803">
                  <c:v>Apprenant 804 ou 804'</c:v>
                </c:pt>
                <c:pt idx="804">
                  <c:v>Apprenant 805 ou 805'</c:v>
                </c:pt>
                <c:pt idx="805">
                  <c:v>Apprenant 806 ou 806'</c:v>
                </c:pt>
                <c:pt idx="806">
                  <c:v>Apprenant 807 ou 807'</c:v>
                </c:pt>
                <c:pt idx="807">
                  <c:v>Apprenant 808 ou 808'</c:v>
                </c:pt>
                <c:pt idx="808">
                  <c:v>Apprenant 809 ou 809'</c:v>
                </c:pt>
                <c:pt idx="809">
                  <c:v>Apprenant 810 ou 810'</c:v>
                </c:pt>
                <c:pt idx="810">
                  <c:v>Apprenant 811 ou 811'</c:v>
                </c:pt>
                <c:pt idx="811">
                  <c:v>Apprenant 812 ou 812'</c:v>
                </c:pt>
                <c:pt idx="812">
                  <c:v>Apprenant 813 ou 813'</c:v>
                </c:pt>
                <c:pt idx="813">
                  <c:v>Apprenant 814 ou 814'</c:v>
                </c:pt>
                <c:pt idx="814">
                  <c:v>Apprenant 815 ou 815'</c:v>
                </c:pt>
                <c:pt idx="815">
                  <c:v>Apprenant 816 ou 816'</c:v>
                </c:pt>
                <c:pt idx="816">
                  <c:v>Apprenant 817 ou 817'</c:v>
                </c:pt>
                <c:pt idx="817">
                  <c:v>Apprenant 818 ou 818'</c:v>
                </c:pt>
                <c:pt idx="818">
                  <c:v>Apprenant 819 ou 819'</c:v>
                </c:pt>
                <c:pt idx="819">
                  <c:v>Apprenant 820 ou 820'</c:v>
                </c:pt>
                <c:pt idx="820">
                  <c:v>Apprenant 821 ou 821'</c:v>
                </c:pt>
                <c:pt idx="821">
                  <c:v>Apprenant 822 ou 822'</c:v>
                </c:pt>
                <c:pt idx="822">
                  <c:v>Apprenant 823 ou 823'</c:v>
                </c:pt>
                <c:pt idx="823">
                  <c:v>Apprenant 824 ou 824'</c:v>
                </c:pt>
                <c:pt idx="824">
                  <c:v>Apprenant 825 ou 825'</c:v>
                </c:pt>
                <c:pt idx="825">
                  <c:v>Apprenant 826 ou 826'</c:v>
                </c:pt>
                <c:pt idx="826">
                  <c:v>Apprenant 827 ou 827'</c:v>
                </c:pt>
                <c:pt idx="827">
                  <c:v>Apprenant 828 ou 828'</c:v>
                </c:pt>
                <c:pt idx="828">
                  <c:v>Apprenant 829 ou 829'</c:v>
                </c:pt>
                <c:pt idx="829">
                  <c:v>Apprenant 830 ou 830'</c:v>
                </c:pt>
                <c:pt idx="830">
                  <c:v>Apprenant 831 ou 831'</c:v>
                </c:pt>
                <c:pt idx="831">
                  <c:v>Apprenant 832 ou 832'</c:v>
                </c:pt>
                <c:pt idx="832">
                  <c:v>Apprenant 833 ou 833'</c:v>
                </c:pt>
                <c:pt idx="833">
                  <c:v>Apprenant 834 ou 834'</c:v>
                </c:pt>
                <c:pt idx="834">
                  <c:v>Apprenant 835 ou 835'</c:v>
                </c:pt>
                <c:pt idx="835">
                  <c:v>Apprenant 836 ou 836'</c:v>
                </c:pt>
                <c:pt idx="836">
                  <c:v>Apprenant 837 ou 837'</c:v>
                </c:pt>
                <c:pt idx="837">
                  <c:v>Apprenant 838 ou 838'</c:v>
                </c:pt>
                <c:pt idx="838">
                  <c:v>Apprenant 839 ou 839'</c:v>
                </c:pt>
                <c:pt idx="839">
                  <c:v>Apprenant 840 ou 840'</c:v>
                </c:pt>
                <c:pt idx="840">
                  <c:v>Apprenant 841 ou 841'</c:v>
                </c:pt>
                <c:pt idx="841">
                  <c:v>Apprenant 842 ou 842'</c:v>
                </c:pt>
                <c:pt idx="842">
                  <c:v>Apprenant 843 ou 843'</c:v>
                </c:pt>
                <c:pt idx="843">
                  <c:v>Apprenant 844 ou 844'</c:v>
                </c:pt>
                <c:pt idx="844">
                  <c:v>Apprenant 845 ou 845'</c:v>
                </c:pt>
                <c:pt idx="845">
                  <c:v>Apprenant 846 ou 846'</c:v>
                </c:pt>
                <c:pt idx="846">
                  <c:v>Apprenant 847 ou 847'</c:v>
                </c:pt>
                <c:pt idx="847">
                  <c:v>Apprenant 848 ou 848'</c:v>
                </c:pt>
                <c:pt idx="848">
                  <c:v>Apprenant 849 ou 849'</c:v>
                </c:pt>
                <c:pt idx="849">
                  <c:v>Apprenant 850 ou 850'</c:v>
                </c:pt>
                <c:pt idx="850">
                  <c:v>Apprenant 851 ou 851'</c:v>
                </c:pt>
                <c:pt idx="851">
                  <c:v>Apprenant 852 ou 852'</c:v>
                </c:pt>
                <c:pt idx="852">
                  <c:v>Apprenant 853 ou 853'</c:v>
                </c:pt>
                <c:pt idx="853">
                  <c:v>Apprenant 854 ou 854'</c:v>
                </c:pt>
                <c:pt idx="854">
                  <c:v>Apprenant 855 ou 855'</c:v>
                </c:pt>
                <c:pt idx="855">
                  <c:v>Apprenant 856 ou 856'</c:v>
                </c:pt>
                <c:pt idx="856">
                  <c:v>Apprenant 857 ou 857'</c:v>
                </c:pt>
                <c:pt idx="857">
                  <c:v>Apprenant 858 ou 858'</c:v>
                </c:pt>
                <c:pt idx="858">
                  <c:v>Apprenant 859 ou 859'</c:v>
                </c:pt>
                <c:pt idx="859">
                  <c:v>Apprenant 860 ou 860'</c:v>
                </c:pt>
                <c:pt idx="860">
                  <c:v>Apprenant 861 ou 861'</c:v>
                </c:pt>
                <c:pt idx="861">
                  <c:v>Apprenant 862 ou 862'</c:v>
                </c:pt>
                <c:pt idx="862">
                  <c:v>Apprenant 863 ou 863'</c:v>
                </c:pt>
                <c:pt idx="863">
                  <c:v>Apprenant 864 ou 864'</c:v>
                </c:pt>
                <c:pt idx="864">
                  <c:v>Apprenant 865 ou 865'</c:v>
                </c:pt>
                <c:pt idx="865">
                  <c:v>Apprenant 866 ou 866'</c:v>
                </c:pt>
                <c:pt idx="866">
                  <c:v>Apprenant 867 ou 867'</c:v>
                </c:pt>
                <c:pt idx="867">
                  <c:v>Apprenant 868 ou 868'</c:v>
                </c:pt>
                <c:pt idx="868">
                  <c:v>Apprenant 869 ou 869'</c:v>
                </c:pt>
                <c:pt idx="869">
                  <c:v>Apprenant 870 ou 870'</c:v>
                </c:pt>
                <c:pt idx="870">
                  <c:v>Apprenant 871 ou 871'</c:v>
                </c:pt>
                <c:pt idx="871">
                  <c:v>Apprenant 872 ou 872'</c:v>
                </c:pt>
                <c:pt idx="872">
                  <c:v>Apprenant 873 ou 873'</c:v>
                </c:pt>
                <c:pt idx="873">
                  <c:v>Apprenant 874 ou 874'</c:v>
                </c:pt>
                <c:pt idx="874">
                  <c:v>Apprenant 875 ou 875'</c:v>
                </c:pt>
                <c:pt idx="875">
                  <c:v>Apprenant 876 ou 876'</c:v>
                </c:pt>
                <c:pt idx="876">
                  <c:v>Apprenant 877 ou 877'</c:v>
                </c:pt>
                <c:pt idx="877">
                  <c:v>Apprenant 878 ou 878'</c:v>
                </c:pt>
                <c:pt idx="878">
                  <c:v>Apprenant 879 ou 879'</c:v>
                </c:pt>
                <c:pt idx="879">
                  <c:v>Apprenant 880 ou 880'</c:v>
                </c:pt>
                <c:pt idx="880">
                  <c:v>Apprenant 881 ou 881'</c:v>
                </c:pt>
                <c:pt idx="881">
                  <c:v>Apprenant 882 ou 882'</c:v>
                </c:pt>
                <c:pt idx="882">
                  <c:v>Apprenant 883 ou 883'</c:v>
                </c:pt>
                <c:pt idx="883">
                  <c:v>Apprenant 884 ou 884'</c:v>
                </c:pt>
                <c:pt idx="884">
                  <c:v>Apprenant 885 ou 885'</c:v>
                </c:pt>
                <c:pt idx="885">
                  <c:v>Apprenant 886 ou 886'</c:v>
                </c:pt>
                <c:pt idx="886">
                  <c:v>Apprenant 887 ou 887'</c:v>
                </c:pt>
                <c:pt idx="887">
                  <c:v>Apprenant 888 ou 888'</c:v>
                </c:pt>
                <c:pt idx="888">
                  <c:v>Apprenant 889 ou 889'</c:v>
                </c:pt>
                <c:pt idx="889">
                  <c:v>Apprenant 890 ou 890'</c:v>
                </c:pt>
                <c:pt idx="890">
                  <c:v>Apprenant 891 ou 891'</c:v>
                </c:pt>
                <c:pt idx="891">
                  <c:v>Apprenant 892 ou 892'</c:v>
                </c:pt>
                <c:pt idx="892">
                  <c:v>Apprenant 893 ou 893'</c:v>
                </c:pt>
                <c:pt idx="893">
                  <c:v>Apprenant 894 ou 894'</c:v>
                </c:pt>
                <c:pt idx="894">
                  <c:v>Apprenant 895 ou 895'</c:v>
                </c:pt>
                <c:pt idx="895">
                  <c:v>Apprenant 896 ou 896'</c:v>
                </c:pt>
                <c:pt idx="896">
                  <c:v>Apprenant 897 ou 897'</c:v>
                </c:pt>
                <c:pt idx="897">
                  <c:v>Apprenant 898 ou 898'</c:v>
                </c:pt>
                <c:pt idx="898">
                  <c:v>Apprenant 899 ou 899'</c:v>
                </c:pt>
                <c:pt idx="899">
                  <c:v>Apprenant 900 ou 900'</c:v>
                </c:pt>
                <c:pt idx="900">
                  <c:v>Apprenant 901 ou 901'</c:v>
                </c:pt>
                <c:pt idx="901">
                  <c:v>Apprenant 902 ou 902'</c:v>
                </c:pt>
                <c:pt idx="902">
                  <c:v>Apprenant 903 ou 903'</c:v>
                </c:pt>
                <c:pt idx="903">
                  <c:v>Apprenant 904 ou 904'</c:v>
                </c:pt>
                <c:pt idx="904">
                  <c:v>Apprenant 905 ou 905'</c:v>
                </c:pt>
                <c:pt idx="905">
                  <c:v>Apprenant 906 ou 906'</c:v>
                </c:pt>
                <c:pt idx="906">
                  <c:v>Apprenant 907 ou 907'</c:v>
                </c:pt>
                <c:pt idx="907">
                  <c:v>Apprenant 908 ou 908'</c:v>
                </c:pt>
                <c:pt idx="908">
                  <c:v>Apprenant 909 ou 909'</c:v>
                </c:pt>
                <c:pt idx="909">
                  <c:v>Apprenant 910 ou 910'</c:v>
                </c:pt>
                <c:pt idx="910">
                  <c:v>Apprenant 911 ou 911'</c:v>
                </c:pt>
                <c:pt idx="911">
                  <c:v>Apprenant 912 ou 912'</c:v>
                </c:pt>
                <c:pt idx="912">
                  <c:v>Apprenant 913 ou 913'</c:v>
                </c:pt>
                <c:pt idx="913">
                  <c:v>Apprenant 914 ou 914'</c:v>
                </c:pt>
                <c:pt idx="914">
                  <c:v>Apprenant 915 ou 915'</c:v>
                </c:pt>
                <c:pt idx="915">
                  <c:v>Apprenant 916 ou 916'</c:v>
                </c:pt>
                <c:pt idx="916">
                  <c:v>Apprenant 917 ou 917'</c:v>
                </c:pt>
                <c:pt idx="917">
                  <c:v>Apprenant 918 ou 918'</c:v>
                </c:pt>
                <c:pt idx="918">
                  <c:v>Apprenant 919 ou 919'</c:v>
                </c:pt>
                <c:pt idx="919">
                  <c:v>Apprenant 920 ou 920'</c:v>
                </c:pt>
                <c:pt idx="920">
                  <c:v>Apprenant 921 ou 921'</c:v>
                </c:pt>
                <c:pt idx="921">
                  <c:v>Apprenant 922 ou 922'</c:v>
                </c:pt>
                <c:pt idx="922">
                  <c:v>Apprenant 923 ou 923'</c:v>
                </c:pt>
                <c:pt idx="923">
                  <c:v>Apprenant 924 ou 924'</c:v>
                </c:pt>
                <c:pt idx="924">
                  <c:v>Apprenant 925 ou 925'</c:v>
                </c:pt>
                <c:pt idx="925">
                  <c:v>Apprenant 926 ou 926'</c:v>
                </c:pt>
                <c:pt idx="926">
                  <c:v>Apprenant 927 ou 927'</c:v>
                </c:pt>
                <c:pt idx="927">
                  <c:v>Apprenant 928 ou 928'</c:v>
                </c:pt>
                <c:pt idx="928">
                  <c:v>Apprenant 929 ou 929'</c:v>
                </c:pt>
                <c:pt idx="929">
                  <c:v>Apprenant 930 ou 930'</c:v>
                </c:pt>
                <c:pt idx="930">
                  <c:v>Apprenant 931 ou 931'</c:v>
                </c:pt>
                <c:pt idx="931">
                  <c:v>Apprenant 932 ou 932'</c:v>
                </c:pt>
                <c:pt idx="932">
                  <c:v>Apprenant 933 ou 933'</c:v>
                </c:pt>
                <c:pt idx="933">
                  <c:v>Apprenant 934 ou 934'</c:v>
                </c:pt>
                <c:pt idx="934">
                  <c:v>Apprenant 935 ou 935'</c:v>
                </c:pt>
                <c:pt idx="935">
                  <c:v>Apprenant 936 ou 936'</c:v>
                </c:pt>
                <c:pt idx="936">
                  <c:v>Apprenant 937 ou 937'</c:v>
                </c:pt>
                <c:pt idx="937">
                  <c:v>Apprenant 938 ou 938'</c:v>
                </c:pt>
                <c:pt idx="938">
                  <c:v>Apprenant 939 ou 939'</c:v>
                </c:pt>
                <c:pt idx="939">
                  <c:v>Apprenant 940 ou 940'</c:v>
                </c:pt>
                <c:pt idx="940">
                  <c:v>Apprenant 941 ou 941'</c:v>
                </c:pt>
                <c:pt idx="941">
                  <c:v>Apprenant 942 ou 942'</c:v>
                </c:pt>
                <c:pt idx="942">
                  <c:v>Apprenant 943 ou 943'</c:v>
                </c:pt>
                <c:pt idx="943">
                  <c:v>Apprenant 944 ou 944'</c:v>
                </c:pt>
                <c:pt idx="944">
                  <c:v>Apprenant 945 ou 945'</c:v>
                </c:pt>
                <c:pt idx="945">
                  <c:v>Apprenant 946 ou 946'</c:v>
                </c:pt>
                <c:pt idx="946">
                  <c:v>Apprenant 947 ou 947'</c:v>
                </c:pt>
                <c:pt idx="947">
                  <c:v>Apprenant 948 ou 948'</c:v>
                </c:pt>
                <c:pt idx="948">
                  <c:v>Apprenant 949 ou 949'</c:v>
                </c:pt>
                <c:pt idx="949">
                  <c:v>Apprenant 950 ou 950'</c:v>
                </c:pt>
                <c:pt idx="950">
                  <c:v>Apprenant 951 ou 951'</c:v>
                </c:pt>
                <c:pt idx="951">
                  <c:v>Apprenant 952 ou 952'</c:v>
                </c:pt>
                <c:pt idx="952">
                  <c:v>Apprenant 953 ou 953'</c:v>
                </c:pt>
                <c:pt idx="953">
                  <c:v>Apprenant 954 ou 954'</c:v>
                </c:pt>
                <c:pt idx="954">
                  <c:v>Apprenant 955 ou 955'</c:v>
                </c:pt>
                <c:pt idx="955">
                  <c:v>Apprenant 956 ou 956'</c:v>
                </c:pt>
                <c:pt idx="956">
                  <c:v>Apprenant 957 ou 957'</c:v>
                </c:pt>
                <c:pt idx="957">
                  <c:v>Apprenant 958 ou 958'</c:v>
                </c:pt>
                <c:pt idx="958">
                  <c:v>Apprenant 959 ou 959'</c:v>
                </c:pt>
                <c:pt idx="959">
                  <c:v>Apprenant 960 ou 960'</c:v>
                </c:pt>
                <c:pt idx="960">
                  <c:v>Apprenant 961 ou 961'</c:v>
                </c:pt>
                <c:pt idx="961">
                  <c:v>Apprenant 962 ou 962'</c:v>
                </c:pt>
                <c:pt idx="962">
                  <c:v>Apprenant 963 ou 963'</c:v>
                </c:pt>
                <c:pt idx="963">
                  <c:v>Apprenant 964 ou 964'</c:v>
                </c:pt>
                <c:pt idx="964">
                  <c:v>Apprenant 965 ou 965'</c:v>
                </c:pt>
                <c:pt idx="965">
                  <c:v>Apprenant 966 ou 966'</c:v>
                </c:pt>
                <c:pt idx="966">
                  <c:v>Apprenant 967 ou 967'</c:v>
                </c:pt>
                <c:pt idx="967">
                  <c:v>Apprenant 968 ou 968'</c:v>
                </c:pt>
                <c:pt idx="968">
                  <c:v>Apprenant 969 ou 969'</c:v>
                </c:pt>
                <c:pt idx="969">
                  <c:v>Apprenant 970 ou 970'</c:v>
                </c:pt>
                <c:pt idx="970">
                  <c:v>Apprenant 971 ou 971'</c:v>
                </c:pt>
                <c:pt idx="971">
                  <c:v>Apprenant 972 ou 972'</c:v>
                </c:pt>
                <c:pt idx="972">
                  <c:v>Apprenant 973 ou 973'</c:v>
                </c:pt>
                <c:pt idx="973">
                  <c:v>Apprenant 974 ou 974'</c:v>
                </c:pt>
                <c:pt idx="974">
                  <c:v>Apprenant 975 ou 975'</c:v>
                </c:pt>
                <c:pt idx="975">
                  <c:v>Apprenant 976 ou 976'</c:v>
                </c:pt>
                <c:pt idx="976">
                  <c:v>Apprenant 977 ou 977'</c:v>
                </c:pt>
                <c:pt idx="977">
                  <c:v>Apprenant 978 ou 978'</c:v>
                </c:pt>
                <c:pt idx="978">
                  <c:v>Apprenant 979 ou 979'</c:v>
                </c:pt>
                <c:pt idx="979">
                  <c:v>Apprenant 980 ou 980'</c:v>
                </c:pt>
                <c:pt idx="980">
                  <c:v>Apprenant 981 ou 981'</c:v>
                </c:pt>
                <c:pt idx="981">
                  <c:v>Apprenant 982 ou 982'</c:v>
                </c:pt>
                <c:pt idx="982">
                  <c:v>Apprenant 983 ou 983'</c:v>
                </c:pt>
                <c:pt idx="983">
                  <c:v>Apprenant 984 ou 984'</c:v>
                </c:pt>
                <c:pt idx="984">
                  <c:v>Apprenant 985 ou 985'</c:v>
                </c:pt>
                <c:pt idx="985">
                  <c:v>Apprenant 986 ou 986'</c:v>
                </c:pt>
                <c:pt idx="986">
                  <c:v>Apprenant 987 ou 987'</c:v>
                </c:pt>
                <c:pt idx="987">
                  <c:v>Apprenant 988 ou 988'</c:v>
                </c:pt>
                <c:pt idx="988">
                  <c:v>Apprenant 989 ou 989'</c:v>
                </c:pt>
                <c:pt idx="989">
                  <c:v>Apprenant 990 ou 990'</c:v>
                </c:pt>
                <c:pt idx="990">
                  <c:v>Apprenant 991 ou 991'</c:v>
                </c:pt>
                <c:pt idx="991">
                  <c:v>Apprenant 992 ou 992'</c:v>
                </c:pt>
                <c:pt idx="992">
                  <c:v>Apprenant 993 ou 993'</c:v>
                </c:pt>
                <c:pt idx="993">
                  <c:v>Apprenant 994 ou 994'</c:v>
                </c:pt>
                <c:pt idx="994">
                  <c:v>Apprenant 995 ou 995'</c:v>
                </c:pt>
                <c:pt idx="995">
                  <c:v>Apprenant 996 ou 996'</c:v>
                </c:pt>
                <c:pt idx="996">
                  <c:v>Apprenant 997 ou 997'</c:v>
                </c:pt>
                <c:pt idx="997">
                  <c:v>Apprenant 998 ou 998'</c:v>
                </c:pt>
                <c:pt idx="998">
                  <c:v>Apprenant 999 ou 999'</c:v>
                </c:pt>
                <c:pt idx="999">
                  <c:v>Apprenant 1000 ou 1000'</c:v>
                </c:pt>
              </c:strCache>
            </c:strRef>
          </c:cat>
          <c:val>
            <c:numRef>
              <c:f>'Données brutes'!$I$13:$I$1012</c:f>
              <c:numCache>
                <c:formatCode>General</c:formatCode>
                <c:ptCount val="100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88-4EC1-A7F0-D2D5F6797F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120879"/>
        <c:axId val="1202120047"/>
      </c:lineChart>
      <c:catAx>
        <c:axId val="1202120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Score</a:t>
                </a:r>
              </a:p>
            </c:rich>
          </c:tx>
          <c:layout>
            <c:manualLayout>
              <c:xMode val="edge"/>
              <c:yMode val="edge"/>
              <c:x val="1.0084973005164127E-3"/>
              <c:y val="0.355011725346556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1748353342845951E-2"/>
          <c:y val="0.90959040938906655"/>
          <c:w val="3.25014893983291E-2"/>
          <c:h val="6.6752656421448758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 rot="0" vert="horz"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fr-FR" sz="1600" b="1" i="0" u="none" strike="noStrike" baseline="0">
                <a:solidFill>
                  <a:sysClr val="windowText" lastClr="000000"/>
                </a:solidFill>
                <a:effectLst/>
              </a:rPr>
              <a:t>Données descriptives des apprenants présents à tous les tests pour la pratique pédagogique habituelle et la nouvelle pratique pédagogique </a:t>
            </a:r>
            <a:r>
              <a:rPr lang="fr-FR" sz="1600" b="1" i="0" baseline="0">
                <a:solidFill>
                  <a:sysClr val="windowText" lastClr="000000"/>
                </a:solidFill>
                <a:effectLst/>
              </a:rPr>
              <a:t>au pré-test, au post-test immédiat et au post-test différé</a:t>
            </a:r>
            <a:endParaRPr lang="fr-FR" sz="1600" b="1">
              <a:solidFill>
                <a:sysClr val="windowText" lastClr="000000"/>
              </a:solidFill>
              <a:effectLst/>
            </a:endParaRPr>
          </a:p>
        </c:rich>
      </c:tx>
      <c:layout>
        <c:manualLayout>
          <c:xMode val="edge"/>
          <c:yMode val="edge"/>
          <c:x val="0.11376569634937329"/>
          <c:y val="4.098738514752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3449378629698534E-2"/>
          <c:y val="0.22429889626248686"/>
          <c:w val="0.66692737997914719"/>
          <c:h val="0.56277582580857333"/>
        </c:manualLayout>
      </c:layout>
      <c:lineChart>
        <c:grouping val="standard"/>
        <c:varyColors val="0"/>
        <c:ser>
          <c:idx val="1"/>
          <c:order val="0"/>
          <c:tx>
            <c:strRef>
              <c:f>'Données brutes'!$V$9</c:f>
              <c:strCache>
                <c:ptCount val="1"/>
                <c:pt idx="0">
                  <c:v>Premier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brutes'!$W$9,'Données brutes'!$AB$9,'Données brutes'!$X$9,'Données brutes'!$AC$9,'Données brutes'!$Y$9,'Données brutes'!$AD$9)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2-40B8-99EC-D31F63DBB1A1}"/>
            </c:ext>
          </c:extLst>
        </c:ser>
        <c:ser>
          <c:idx val="0"/>
          <c:order val="1"/>
          <c:tx>
            <c:strRef>
              <c:f>'Données brutes'!$V$8</c:f>
              <c:strCache>
                <c:ptCount val="1"/>
                <c:pt idx="0">
                  <c:v>Minimum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FFCA0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4-2A82-40B8-99EC-D31F63DBB1A1}"/>
              </c:ext>
            </c:extLst>
          </c:dPt>
          <c:dPt>
            <c:idx val="2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E-2A82-40B8-99EC-D31F63DBB1A1}"/>
              </c:ext>
            </c:extLst>
          </c:dPt>
          <c:dPt>
            <c:idx val="4"/>
            <c:marker>
              <c:symbol val="dash"/>
              <c:size val="12"/>
              <c:spPr>
                <a:solidFill>
                  <a:srgbClr val="0F375F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D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brutes'!$W$8,'Données brutes'!$AB$8,'Données brutes'!$X$8,'Données brutes'!$AC$8,'Données brutes'!$Y$8,'Données brutes'!$AD$8)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82-40B8-99EC-D31F63DBB1A1}"/>
            </c:ext>
          </c:extLst>
        </c:ser>
        <c:ser>
          <c:idx val="2"/>
          <c:order val="2"/>
          <c:tx>
            <c:strRef>
              <c:f>'Données brutes'!$V$10</c:f>
              <c:strCache>
                <c:ptCount val="1"/>
                <c:pt idx="0">
                  <c:v>Médiane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50"/>
            <c:spPr>
              <a:gradFill flip="none" rotWithShape="1">
                <a:gsLst>
                  <a:gs pos="45000">
                    <a:srgbClr val="0F375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0000">
                    <a:schemeClr val="bg1"/>
                  </a:gs>
                  <a:gs pos="30000">
                    <a:schemeClr val="bg1"/>
                  </a:gs>
                  <a:gs pos="31000">
                    <a:srgbClr val="0F375F"/>
                  </a:gs>
                  <a:gs pos="69000">
                    <a:srgbClr val="0F375F"/>
                  </a:gs>
                  <a:gs pos="100000">
                    <a:schemeClr val="bg1"/>
                  </a:gs>
                </a:gsLst>
                <a:lin ang="5400000" scaled="1"/>
                <a:tileRect/>
              </a:gradFill>
              <a:ln w="9525">
                <a:noFill/>
              </a:ln>
              <a:effectLst/>
            </c:spPr>
          </c:marker>
          <c:dPt>
            <c:idx val="0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1-2A82-40B8-99EC-D31F63DBB1A1}"/>
              </c:ext>
            </c:extLst>
          </c:dPt>
          <c:dPt>
            <c:idx val="1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2-2A82-40B8-99EC-D31F63DBB1A1}"/>
              </c:ext>
            </c:extLst>
          </c:dPt>
          <c:dPt>
            <c:idx val="2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7-2A82-40B8-99EC-D31F63DBB1A1}"/>
              </c:ext>
            </c:extLst>
          </c:dPt>
          <c:dPt>
            <c:idx val="3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9-2A82-40B8-99EC-D31F63DBB1A1}"/>
              </c:ext>
            </c:extLst>
          </c:dPt>
          <c:dPt>
            <c:idx val="4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0F375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0F375F"/>
                    </a:gs>
                    <a:gs pos="69000">
                      <a:srgbClr val="0F375F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8-2A82-40B8-99EC-D31F63DBB1A1}"/>
              </c:ext>
            </c:extLst>
          </c:dPt>
          <c:dPt>
            <c:idx val="5"/>
            <c:marker>
              <c:symbol val="dash"/>
              <c:size val="50"/>
              <c:spPr>
                <a:gradFill flip="none" rotWithShape="1">
                  <a:gsLst>
                    <a:gs pos="50000">
                      <a:srgbClr val="FFCA00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0000">
                      <a:schemeClr val="bg1"/>
                    </a:gs>
                    <a:gs pos="30000">
                      <a:schemeClr val="bg1"/>
                    </a:gs>
                    <a:gs pos="31000">
                      <a:srgbClr val="FFCA00"/>
                    </a:gs>
                    <a:gs pos="69000">
                      <a:srgbClr val="FFCA00"/>
                    </a:gs>
                    <a:gs pos="100000">
                      <a:schemeClr val="bg1"/>
                    </a:gs>
                  </a:gsLst>
                  <a:lin ang="5400000" scaled="1"/>
                  <a:tileRect/>
                </a:gra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A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brutes'!$W$10,'Données brutes'!$AB$10,'Données brutes'!$X$10,'Données brutes'!$AC$10,'Données brutes'!$Y$10,'Données brutes'!$AD$10)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82-40B8-99EC-D31F63DBB1A1}"/>
            </c:ext>
          </c:extLst>
        </c:ser>
        <c:ser>
          <c:idx val="4"/>
          <c:order val="3"/>
          <c:tx>
            <c:strRef>
              <c:f>'Données brutes'!$V$12</c:f>
              <c:strCache>
                <c:ptCount val="1"/>
                <c:pt idx="0">
                  <c:v>Maximum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ash"/>
            <c:size val="12"/>
            <c:spPr>
              <a:solidFill>
                <a:srgbClr val="0F375F"/>
              </a:solidFill>
              <a:ln w="9525">
                <a:noFill/>
              </a:ln>
              <a:effectLst/>
            </c:spPr>
          </c:marker>
          <c:dPt>
            <c:idx val="1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5-2A82-40B8-99EC-D31F63DBB1A1}"/>
              </c:ext>
            </c:extLst>
          </c:dPt>
          <c:dPt>
            <c:idx val="3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C-2A82-40B8-99EC-D31F63DBB1A1}"/>
              </c:ext>
            </c:extLst>
          </c:dPt>
          <c:dPt>
            <c:idx val="5"/>
            <c:marker>
              <c:symbol val="dash"/>
              <c:size val="12"/>
              <c:spPr>
                <a:solidFill>
                  <a:srgbClr val="FFCA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9B-2A82-40B8-99EC-D31F63DBB1A1}"/>
              </c:ext>
            </c:extLst>
          </c:dPt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brutes'!$W$12,'Données brutes'!$AB$12,'Données brutes'!$X$12,'Données brutes'!$AC$12,'Données brutes'!$Y$12,'Données brutes'!$AD$12)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A82-40B8-99EC-D31F63DBB1A1}"/>
            </c:ext>
          </c:extLst>
        </c:ser>
        <c:ser>
          <c:idx val="3"/>
          <c:order val="4"/>
          <c:tx>
            <c:strRef>
              <c:f>'Données brutes'!$V$11</c:f>
              <c:strCache>
                <c:ptCount val="1"/>
                <c:pt idx="0">
                  <c:v>Troisième quartile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('Données brutes'!$W$4,'Données brutes'!$AB$4,'Données brutes'!$X$4,'Données brutes'!$AC$4,'Données brutes'!$Y$4,'Données brutes'!$AD$4)</c:f>
              <c:strCache>
                <c:ptCount val="6"/>
                <c:pt idx="0">
                  <c:v>Pré-test</c:v>
                </c:pt>
                <c:pt idx="1">
                  <c:v>Pré-test</c:v>
                </c:pt>
                <c:pt idx="2">
                  <c:v>Post-test immédiat</c:v>
                </c:pt>
                <c:pt idx="3">
                  <c:v>Post-test immédiat</c:v>
                </c:pt>
                <c:pt idx="4">
                  <c:v>Post-test différé</c:v>
                </c:pt>
                <c:pt idx="5">
                  <c:v>Post-test différé</c:v>
                </c:pt>
              </c:strCache>
            </c:strRef>
          </c:cat>
          <c:val>
            <c:numRef>
              <c:f>('Données brutes'!$W$11,'Données brutes'!$AB$11,'Données brutes'!$X$11,'Données brutes'!$AC$11,'Données brutes'!$Y$11,'Données brutes'!$AD$11)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82-40B8-99EC-D31F63DBB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hiLowLines>
        <c:upDownBars>
          <c:gapWidth val="108"/>
          <c:upBars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202120879"/>
        <c:axId val="1202120047"/>
      </c:lineChart>
      <c:catAx>
        <c:axId val="120212087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2120047"/>
        <c:crosses val="autoZero"/>
        <c:auto val="1"/>
        <c:lblAlgn val="ctr"/>
        <c:lblOffset val="100"/>
        <c:tickMarkSkip val="1"/>
        <c:noMultiLvlLbl val="0"/>
      </c:catAx>
      <c:valAx>
        <c:axId val="120212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>
                    <a:solidFill>
                      <a:sysClr val="windowText" lastClr="000000"/>
                    </a:solidFill>
                  </a:rPr>
                  <a:t>Score</a:t>
                </a:r>
              </a:p>
            </c:rich>
          </c:tx>
          <c:layout>
            <c:manualLayout>
              <c:xMode val="edge"/>
              <c:yMode val="edge"/>
              <c:x val="2.0713200991310913E-2"/>
              <c:y val="0.422274563786120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 i="0" baseline="0">
                <a:effectLst/>
              </a:rPr>
              <a:t>Probabilités de réussite des apprenants </a:t>
            </a:r>
            <a:r>
              <a:rPr lang="fr-FR" sz="1600" b="0" i="0" u="none" strike="noStrike" baseline="0">
                <a:effectLst/>
              </a:rPr>
              <a:t>pour la pratique pédagogique habituelle et la nouvelle pratique pédagogique </a:t>
            </a:r>
            <a:r>
              <a:rPr lang="fr-FR" sz="1600" b="0" i="0" baseline="0">
                <a:effectLst/>
              </a:rPr>
              <a:t>au pré-test, au post-test immédiat et au post-test différé</a:t>
            </a:r>
            <a:endParaRPr lang="fr-FR" sz="1600">
              <a:effectLst/>
            </a:endParaRPr>
          </a:p>
        </c:rich>
      </c:tx>
      <c:layout>
        <c:manualLayout>
          <c:xMode val="edge"/>
          <c:yMode val="edge"/>
          <c:x val="0.11376577019166355"/>
          <c:y val="2.3432565427081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2466558904827735"/>
          <c:y val="0.23300144441452247"/>
          <c:w val="0.7905397150259641"/>
          <c:h val="0.520940865796411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'Probabilités de réussite'!$B$4</c:f>
              <c:strCache>
                <c:ptCount val="1"/>
                <c:pt idx="0">
                  <c:v>Pratique pédagogique habituelle</c:v>
                </c:pt>
              </c:strCache>
            </c:strRef>
          </c:tx>
          <c:spPr>
            <a:solidFill>
              <a:srgbClr val="0F375F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brutes'!$AR$7:$AT$7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'Données brutes'!$AR$7:$AT$7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gradFill>
                  <a:gsLst>
                    <a:gs pos="54000">
                      <a:schemeClr val="tx1">
                        <a:lumMod val="50000"/>
                        <a:lumOff val="50000"/>
                      </a:schemeClr>
                    </a:gs>
                    <a:gs pos="41000">
                      <a:schemeClr val="tx1"/>
                    </a:gs>
                    <a:gs pos="0">
                      <a:schemeClr val="tx1"/>
                    </a:gs>
                    <a:gs pos="100000">
                      <a:schemeClr val="tx1">
                        <a:lumMod val="50000"/>
                        <a:lumOff val="50000"/>
                      </a:schemeClr>
                    </a:gs>
                  </a:gsLst>
                  <a:lin ang="5400000" scaled="1"/>
                </a:gra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brutes'!$AR$5:$AT$5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C8-4784-9925-097B9D018AEE}"/>
            </c:ext>
          </c:extLst>
        </c:ser>
        <c:ser>
          <c:idx val="1"/>
          <c:order val="1"/>
          <c:tx>
            <c:strRef>
              <c:f>'Probabilités de réussite'!$B$5</c:f>
              <c:strCache>
                <c:ptCount val="1"/>
                <c:pt idx="0">
                  <c:v>Nouvelle pratique pédagogique</c:v>
                </c:pt>
              </c:strCache>
            </c:strRef>
          </c:tx>
          <c:spPr>
            <a:solidFill>
              <a:srgbClr val="FFCA00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'Données brutes'!$AW$7:$AY$7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plus>
            <c:minus>
              <c:numRef>
                <c:f>'Données brutes'!$AW$7:$AY$7</c:f>
                <c:numCache>
                  <c:formatCode>General</c:formatCode>
                  <c:ptCount val="3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Lit>
              <c:ptCount val="3"/>
              <c:pt idx="0">
                <c:v>Pré-test</c:v>
              </c:pt>
              <c:pt idx="1">
                <c:v>Post-test immédiat</c:v>
              </c:pt>
              <c:pt idx="2">
                <c:v>Post-test différé</c:v>
              </c:pt>
            </c:strLit>
          </c:cat>
          <c:val>
            <c:numRef>
              <c:f>'Données brutes'!$AW$5:$AY$5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C8-4784-9925-097B9D018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9"/>
        <c:overlap val="-27"/>
        <c:axId val="1202120879"/>
        <c:axId val="1202120047"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noMultiLvlLbl val="0"/>
      </c:catAx>
      <c:valAx>
        <c:axId val="120212004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1957071052251311E-2"/>
          <c:y val="0.85823946453380584"/>
          <c:w val="0.93450414175301011"/>
          <c:h val="0.12442178840103991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 sz="1100"/>
      </a:pPr>
      <a:endParaRPr lang="fr-FR"/>
    </a:p>
  </c:txPr>
  <c:printSettings>
    <c:headerFooter/>
    <c:pageMargins b="0.75" l="0.7" r="0.7" t="0.75" header="0.3" footer="0.3"/>
    <c:pageSetup paperSize="9"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des probabilités </a:t>
            </a:r>
            <a:r>
              <a:rPr lang="fr-FR" sz="1600" b="0" baseline="0"/>
              <a:t>de réussite des apprenants à court et moyen termes pour la 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2726600191728266"/>
          <c:y val="1.37174495510473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8900269498459651"/>
          <c:y val="0.21508713254764938"/>
          <c:w val="0.71180439414074381"/>
          <c:h val="0.5597234221199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réussite'!$C$3</c:f>
              <c:strCache>
                <c:ptCount val="1"/>
                <c:pt idx="0">
                  <c:v>Évolution à court terme
(post-test immédiat - pré-test)</c:v>
                </c:pt>
              </c:strCache>
            </c:strRef>
          </c:tx>
          <c:spPr>
            <a:solidFill>
              <a:srgbClr val="C6E3EE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brutes'!$BB$7,'Données brutes'!$BG$7)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brutes'!$BB$5,'Données brutes'!$BG$5)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1B-4E95-8FEC-860DCD19AB88}"/>
            </c:ext>
          </c:extLst>
        </c:ser>
        <c:ser>
          <c:idx val="1"/>
          <c:order val="1"/>
          <c:tx>
            <c:strRef>
              <c:f>'Évolutions des P. de réussite'!$D$3</c:f>
              <c:strCache>
                <c:ptCount val="1"/>
                <c:pt idx="0">
                  <c:v>Évolution à moyen terme
(post-test différé - pré-test)</c:v>
                </c:pt>
              </c:strCache>
            </c:strRef>
          </c:tx>
          <c:spPr>
            <a:solidFill>
              <a:srgbClr val="46B48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brutes'!$BC$7,'Données brutes'!$BH$7)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brutes'!$BC$5,'Données brutes'!$BH$5)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131B-4E95-8FEC-860DCD19AB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overlap val="33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1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373506985564808E-2"/>
          <c:y val="0.89322455468481077"/>
          <c:w val="0.95866438050008385"/>
          <c:h val="8.6943560981401227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600" b="0"/>
              <a:t>Évolutions de</a:t>
            </a:r>
            <a:r>
              <a:rPr lang="fr-FR" sz="1600" b="0" baseline="0"/>
              <a:t>s</a:t>
            </a:r>
            <a:r>
              <a:rPr lang="fr-FR" sz="1600" b="0"/>
              <a:t> probabilités </a:t>
            </a:r>
            <a:r>
              <a:rPr lang="fr-FR" sz="1600" b="0" baseline="0"/>
              <a:t>de réussite des apprenants après l'enseignement pour la</a:t>
            </a:r>
            <a:br>
              <a:rPr lang="fr-FR" sz="1600" b="0" baseline="0"/>
            </a:br>
            <a:r>
              <a:rPr lang="fr-FR" sz="1600" b="0" baseline="0"/>
              <a:t>pratique pédagogique habituelle et pour la nouvelle pratique pédagogique</a:t>
            </a:r>
            <a:endParaRPr lang="fr-FR" sz="1600" b="0"/>
          </a:p>
        </c:rich>
      </c:tx>
      <c:layout>
        <c:manualLayout>
          <c:xMode val="edge"/>
          <c:yMode val="edge"/>
          <c:x val="0.1533304720099822"/>
          <c:y val="1.3717380143919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16357994807702983"/>
          <c:y val="0.21339667426215281"/>
          <c:w val="0.75346592392058109"/>
          <c:h val="0.560711263020833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'Évolutions des P. de réussite'!$E$3</c:f>
              <c:strCache>
                <c:ptCount val="1"/>
                <c:pt idx="0">
                  <c:v>Évolution après l'enseignement
(post-test différé - post-test immédiat)</c:v>
                </c:pt>
              </c:strCache>
            </c:strRef>
          </c:tx>
          <c:spPr>
            <a:solidFill>
              <a:srgbClr val="C92E17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plus>
            <c:minus>
              <c:numRef>
                <c:f>('Données brutes'!$BD$7,'Données brutes'!$BI$7)</c:f>
                <c:numCache>
                  <c:formatCode>General</c:formatCode>
                  <c:ptCount val="2"/>
                  <c:pt idx="0">
                    <c:v>0</c:v>
                  </c:pt>
                  <c:pt idx="1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'Évolutions des P. de réussite'!$B$4:$B$5</c:f>
              <c:strCache>
                <c:ptCount val="2"/>
                <c:pt idx="0">
                  <c:v>Pratique pédagogique habituelle</c:v>
                </c:pt>
                <c:pt idx="1">
                  <c:v>Nouvelle pratique pédagogique</c:v>
                </c:pt>
              </c:strCache>
            </c:strRef>
          </c:cat>
          <c:val>
            <c:numRef>
              <c:f>('Données brutes'!$BD$5,'Données brutes'!$BI$5)</c:f>
              <c:numCache>
                <c:formatCode>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8360-4C67-8F29-BBC58089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1"/>
        <c:overlap val="42"/>
        <c:axId val="1202120879"/>
        <c:axId val="1202120047"/>
        <c:extLst/>
      </c:barChart>
      <c:catAx>
        <c:axId val="1202120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047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202120047"/>
        <c:scaling>
          <c:orientation val="minMax"/>
          <c:max val="0.4"/>
          <c:min val="-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\+0%;\-0%;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02120879"/>
        <c:crosses val="autoZero"/>
        <c:crossBetween val="between"/>
        <c:majorUnit val="0.2"/>
        <c:min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894474983994333"/>
          <c:y val="0.8935202365451389"/>
          <c:w val="0.63772039152171256"/>
          <c:h val="8.742974175347222E-2"/>
        </c:manualLayout>
      </c:layout>
      <c:overlay val="0"/>
      <c:spPr>
        <a:noFill/>
        <a:ln w="3175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38100" cap="flat" cmpd="sng" algn="ctr">
      <a:solidFill>
        <a:srgbClr val="FFCA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111646</xdr:colOff>
      <xdr:row>1</xdr:row>
      <xdr:rowOff>150246</xdr:rowOff>
    </xdr:from>
    <xdr:to>
      <xdr:col>4</xdr:col>
      <xdr:colOff>793023</xdr:colOff>
      <xdr:row>13</xdr:row>
      <xdr:rowOff>35105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C85ECDB-E921-4391-81A9-58B7986249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108857</xdr:colOff>
      <xdr:row>1</xdr:row>
      <xdr:rowOff>149678</xdr:rowOff>
    </xdr:from>
    <xdr:to>
      <xdr:col>9</xdr:col>
      <xdr:colOff>788329</xdr:colOff>
      <xdr:row>13</xdr:row>
      <xdr:rowOff>38347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39726B26-C3E1-4A79-B94A-65A494093A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194309</xdr:colOff>
      <xdr:row>1</xdr:row>
      <xdr:rowOff>92279</xdr:rowOff>
    </xdr:from>
    <xdr:to>
      <xdr:col>170</xdr:col>
      <xdr:colOff>1143000</xdr:colOff>
      <xdr:row>13</xdr:row>
      <xdr:rowOff>131989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253248B-87BC-46E8-9586-80E778D5A6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190500</xdr:colOff>
      <xdr:row>14</xdr:row>
      <xdr:rowOff>124369</xdr:rowOff>
    </xdr:from>
    <xdr:to>
      <xdr:col>170</xdr:col>
      <xdr:colOff>1143000</xdr:colOff>
      <xdr:row>38</xdr:row>
      <xdr:rowOff>187484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3997B42-0072-4607-8B64-AB701AD8D4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1139785</xdr:colOff>
      <xdr:row>5</xdr:row>
      <xdr:rowOff>314202</xdr:rowOff>
    </xdr:from>
    <xdr:to>
      <xdr:col>4</xdr:col>
      <xdr:colOff>2119748</xdr:colOff>
      <xdr:row>21</xdr:row>
      <xdr:rowOff>166255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D6C84B-F59A-43DF-ACC3-1A3A64C0F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0.78613</cdr:x>
      <cdr:y>0.36937</cdr:y>
    </cdr:from>
    <cdr:to>
      <cdr:x>0.97312</cdr:x>
      <cdr:y>0.67112</cdr:y>
    </cdr:to>
    <cdr:grpSp>
      <cdr:nvGrpSpPr>
        <cdr:cNvPr id="29" name="Groupe 28">
          <a:extLst xmlns:a="http://schemas.openxmlformats.org/drawingml/2006/main">
            <a:ext uri="{FF2B5EF4-FFF2-40B4-BE49-F238E27FC236}">
              <a16:creationId xmlns:a16="http://schemas.microsoft.com/office/drawing/2014/main" id="{5FADF24F-AC56-4DDC-ACBA-D9C000E9A614}"/>
            </a:ext>
          </a:extLst>
        </cdr:cNvPr>
        <cdr:cNvGrpSpPr/>
      </cdr:nvGrpSpPr>
      <cdr:grpSpPr>
        <a:xfrm xmlns:a="http://schemas.openxmlformats.org/drawingml/2006/main">
          <a:off x="9797157" y="1604996"/>
          <a:ext cx="2330366" cy="1311172"/>
          <a:chOff x="9777599" y="1588050"/>
          <a:chExt cx="2325790" cy="1297333"/>
        </a:xfrm>
      </cdr:grpSpPr>
      <cdr:sp macro="" textlink="">
        <cdr:nvSpPr>
          <cdr:cNvPr id="2" name="ZoneTexte 1">
            <a:extLst xmlns:a="http://schemas.openxmlformats.org/drawingml/2006/main">
              <a:ext uri="{FF2B5EF4-FFF2-40B4-BE49-F238E27FC236}">
                <a16:creationId xmlns:a16="http://schemas.microsoft.com/office/drawing/2014/main" id="{F3905DA2-02E7-4F4D-9524-4B58F062177E}"/>
              </a:ext>
            </a:extLst>
          </cdr:cNvPr>
          <cdr:cNvSpPr txBox="1"/>
        </cdr:nvSpPr>
        <cdr:spPr>
          <a:xfrm xmlns:a="http://schemas.openxmlformats.org/drawingml/2006/main">
            <a:off x="10571385" y="1602497"/>
            <a:ext cx="1351893" cy="1282886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none" rtlCol="0"/>
          <a:lstStyle xmlns:a="http://schemas.openxmlformats.org/drawingml/2006/main"/>
          <a:p xmlns:a="http://schemas.openxmlformats.org/drawingml/2006/main">
            <a:r>
              <a:rPr lang="fr-FR" sz="1400" b="1" i="0"/>
              <a:t>Maximum</a:t>
            </a:r>
          </a:p>
          <a:p xmlns:a="http://schemas.openxmlformats.org/drawingml/2006/main">
            <a:r>
              <a:rPr lang="fr-FR" sz="1400"/>
              <a:t>Troisième quartile</a:t>
            </a:r>
          </a:p>
          <a:p xmlns:a="http://schemas.openxmlformats.org/drawingml/2006/main">
            <a:r>
              <a:rPr lang="fr-FR" sz="1600" b="1"/>
              <a:t>Médiane</a:t>
            </a:r>
            <a:endParaRPr lang="fr-FR" sz="1400" b="1"/>
          </a:p>
          <a:p xmlns:a="http://schemas.openxmlformats.org/drawingml/2006/main">
            <a:r>
              <a:rPr lang="fr-FR" sz="1400"/>
              <a:t>Premier</a:t>
            </a:r>
            <a:r>
              <a:rPr lang="fr-FR" sz="1400" baseline="0"/>
              <a:t> quartile</a:t>
            </a:r>
          </a:p>
          <a:p xmlns:a="http://schemas.openxmlformats.org/drawingml/2006/main">
            <a:r>
              <a:rPr lang="fr-FR" sz="1400" b="1" baseline="0"/>
              <a:t>Minimum</a:t>
            </a:r>
            <a:endParaRPr lang="fr-FR" sz="1400" b="1"/>
          </a:p>
        </cdr:txBody>
      </cdr:sp>
      <cdr:sp macro="" textlink="">
        <cdr:nvSpPr>
          <cdr:cNvPr id="4" name="Rectangle 3">
            <a:extLst xmlns:a="http://schemas.openxmlformats.org/drawingml/2006/main">
              <a:ext uri="{FF2B5EF4-FFF2-40B4-BE49-F238E27FC236}">
                <a16:creationId xmlns:a16="http://schemas.microsoft.com/office/drawing/2014/main" id="{4D7959E2-762F-4332-8645-F64147878BBB}"/>
              </a:ext>
            </a:extLst>
          </cdr:cNvPr>
          <cdr:cNvSpPr/>
        </cdr:nvSpPr>
        <cdr:spPr>
          <a:xfrm xmlns:a="http://schemas.openxmlformats.org/drawingml/2006/main">
            <a:off x="9777599" y="1588050"/>
            <a:ext cx="2325790" cy="1253704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solidFill>
              <a:sysClr val="windowText" lastClr="000000"/>
            </a:solidFill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vertOverflow="clip"/>
          <a:lstStyle xmlns:a="http://schemas.openxmlformats.org/drawingml/2006/main"/>
          <a:p xmlns:a="http://schemas.openxmlformats.org/drawingml/2006/main">
            <a:endParaRPr lang="fr-FR"/>
          </a:p>
        </cdr:txBody>
      </cdr:sp>
      <cdr:pic>
        <cdr:nvPicPr>
          <cdr:cNvPr id="23" name="chart">
            <a:extLst xmlns:a="http://schemas.openxmlformats.org/drawingml/2006/main">
              <a:ext uri="{FF2B5EF4-FFF2-40B4-BE49-F238E27FC236}">
                <a16:creationId xmlns:a16="http://schemas.microsoft.com/office/drawing/2014/main" id="{52A42013-F9CD-4987-A77E-69DA907A9809}"/>
              </a:ext>
            </a:extLst>
          </cdr:cNvPr>
          <cdr:cNvPicPr>
            <a:picLocks xmlns:a="http://schemas.openxmlformats.org/drawingml/2006/main" noChangeAspect="1"/>
          </cdr:cNvPicPr>
        </cdr:nvPicPr>
        <cdr:blipFill>
          <a:blip xmlns:a="http://schemas.openxmlformats.org/drawingml/2006/main" xmlns:r="http://schemas.openxmlformats.org/officeDocument/2006/relationships" r:embed="rId1"/>
          <a:stretch xmlns:a="http://schemas.openxmlformats.org/drawingml/2006/main">
            <a:fillRect/>
          </a:stretch>
        </cdr:blipFill>
        <cdr:spPr>
          <a:xfrm xmlns:a="http://schemas.openxmlformats.org/drawingml/2006/main">
            <a:off x="9960735" y="1692691"/>
            <a:ext cx="462751" cy="1092319"/>
          </a:xfrm>
          <a:prstGeom xmlns:a="http://schemas.openxmlformats.org/drawingml/2006/main" prst="rect">
            <a:avLst/>
          </a:prstGeom>
        </cdr:spPr>
      </cdr:pic>
    </cdr:grpSp>
  </cdr:relSizeAnchor>
  <cdr:relSizeAnchor xmlns:cdr="http://schemas.openxmlformats.org/drawingml/2006/chartDrawing">
    <cdr:from>
      <cdr:x>0.15112</cdr:x>
      <cdr:y>0.86788</cdr:y>
    </cdr:from>
    <cdr:to>
      <cdr:x>0.66471</cdr:x>
      <cdr:y>0.93877</cdr:y>
    </cdr:to>
    <cdr:grpSp>
      <cdr:nvGrpSpPr>
        <cdr:cNvPr id="28" name="Groupe 27">
          <a:extLst xmlns:a="http://schemas.openxmlformats.org/drawingml/2006/main">
            <a:ext uri="{FF2B5EF4-FFF2-40B4-BE49-F238E27FC236}">
              <a16:creationId xmlns:a16="http://schemas.microsoft.com/office/drawing/2014/main" id="{9980FD42-D03F-4E7F-A84B-0D2F69EDD639}"/>
            </a:ext>
          </a:extLst>
        </cdr:cNvPr>
        <cdr:cNvGrpSpPr/>
      </cdr:nvGrpSpPr>
      <cdr:grpSpPr>
        <a:xfrm xmlns:a="http://schemas.openxmlformats.org/drawingml/2006/main">
          <a:off x="1883335" y="3771135"/>
          <a:ext cx="6400623" cy="308033"/>
          <a:chOff x="1907307" y="3883726"/>
          <a:chExt cx="6387853" cy="304798"/>
        </a:xfrm>
      </cdr:grpSpPr>
      <cdr:sp macro="" textlink="">
        <cdr:nvSpPr>
          <cdr:cNvPr id="24" name="ZoneTexte 1">
            <a:extLst xmlns:a="http://schemas.openxmlformats.org/drawingml/2006/main">
              <a:ext uri="{FF2B5EF4-FFF2-40B4-BE49-F238E27FC236}">
                <a16:creationId xmlns:a16="http://schemas.microsoft.com/office/drawing/2014/main" id="{BCB06B37-EEE7-4B85-B83A-8AD2D1E389DD}"/>
              </a:ext>
            </a:extLst>
          </cdr:cNvPr>
          <cdr:cNvSpPr txBox="1"/>
        </cdr:nvSpPr>
        <cdr:spPr>
          <a:xfrm xmlns:a="http://schemas.openxmlformats.org/drawingml/2006/main">
            <a:off x="1907307" y="3883726"/>
            <a:ext cx="6387853" cy="304798"/>
          </a:xfrm>
          <a:prstGeom xmlns:a="http://schemas.openxmlformats.org/drawingml/2006/main" prst="rect">
            <a:avLst/>
          </a:prstGeom>
          <a:ln xmlns:a="http://schemas.openxmlformats.org/drawingml/2006/main">
            <a:solidFill>
              <a:sysClr val="windowText" lastClr="000000"/>
            </a:solidFill>
          </a:ln>
        </cdr:spPr>
        <cdr:txBody>
          <a:bodyPr xmlns:a="http://schemas.openxmlformats.org/drawingml/2006/main" wrap="non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fr-FR" sz="1400" b="1" baseline="0"/>
              <a:t>               </a:t>
            </a:r>
            <a:r>
              <a:rPr lang="fr-FR" sz="1400" b="1"/>
              <a:t>Pratique</a:t>
            </a:r>
            <a:r>
              <a:rPr lang="fr-FR" sz="1400" b="1" baseline="0"/>
              <a:t> pédagogique habituelle	    Nouvelle pratique pédagogique</a:t>
            </a:r>
            <a:endParaRPr lang="fr-FR" sz="1400" b="1"/>
          </a:p>
        </cdr:txBody>
      </cdr:sp>
      <cdr:cxnSp macro="">
        <cdr:nvCxnSpPr>
          <cdr:cNvPr id="26" name="Connecteur droit 25">
            <a:extLst xmlns:a="http://schemas.openxmlformats.org/drawingml/2006/main">
              <a:ext uri="{FF2B5EF4-FFF2-40B4-BE49-F238E27FC236}">
                <a16:creationId xmlns:a16="http://schemas.microsoft.com/office/drawing/2014/main" id="{F40CE9AF-A346-40D9-99E2-61D62A2EBD1E}"/>
              </a:ext>
            </a:extLst>
          </cdr:cNvPr>
          <cdr:cNvCxnSpPr/>
        </cdr:nvCxnSpPr>
        <cdr:spPr>
          <a:xfrm xmlns:a="http://schemas.openxmlformats.org/drawingml/2006/main">
            <a:off x="2143743" y="4036126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0F375F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27" name="Connecteur droit 26">
            <a:extLst xmlns:a="http://schemas.openxmlformats.org/drawingml/2006/main">
              <a:ext uri="{FF2B5EF4-FFF2-40B4-BE49-F238E27FC236}">
                <a16:creationId xmlns:a16="http://schemas.microsoft.com/office/drawing/2014/main" id="{BAE90976-9447-4A53-89C6-5DF542263EBC}"/>
              </a:ext>
            </a:extLst>
          </cdr:cNvPr>
          <cdr:cNvCxnSpPr/>
        </cdr:nvCxnSpPr>
        <cdr:spPr>
          <a:xfrm xmlns:a="http://schemas.openxmlformats.org/drawingml/2006/main">
            <a:off x="5367234" y="4031508"/>
            <a:ext cx="360000" cy="0"/>
          </a:xfrm>
          <a:prstGeom xmlns:a="http://schemas.openxmlformats.org/drawingml/2006/main" prst="line">
            <a:avLst/>
          </a:prstGeom>
          <a:ln xmlns:a="http://schemas.openxmlformats.org/drawingml/2006/main" w="38100">
            <a:solidFill>
              <a:srgbClr val="FFCA00"/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132058</xdr:colOff>
      <xdr:row>1</xdr:row>
      <xdr:rowOff>142083</xdr:rowOff>
    </xdr:from>
    <xdr:to>
      <xdr:col>9</xdr:col>
      <xdr:colOff>1336130</xdr:colOff>
      <xdr:row>5</xdr:row>
      <xdr:rowOff>1360715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2B06B16A-8CB9-41C2-ADE7-BF7B2A27F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94257</xdr:colOff>
      <xdr:row>1</xdr:row>
      <xdr:rowOff>244154</xdr:rowOff>
    </xdr:from>
    <xdr:to>
      <xdr:col>8</xdr:col>
      <xdr:colOff>1615808</xdr:colOff>
      <xdr:row>9</xdr:row>
      <xdr:rowOff>92668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FEA411-4B73-4408-BDBD-E3F80CF7B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500717</xdr:colOff>
      <xdr:row>1</xdr:row>
      <xdr:rowOff>251872</xdr:rowOff>
    </xdr:from>
    <xdr:to>
      <xdr:col>13</xdr:col>
      <xdr:colOff>454399</xdr:colOff>
      <xdr:row>9</xdr:row>
      <xdr:rowOff>99922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947CB5C-15CA-44BF-B15E-2F3BA7F93D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8"/>
  <sheetViews>
    <sheetView showGridLines="0" tabSelected="1" zoomScale="106" zoomScaleNormal="106" workbookViewId="0">
      <selection activeCell="C3" sqref="C3"/>
    </sheetView>
  </sheetViews>
  <sheetFormatPr baseColWidth="10" defaultRowHeight="14.4" x14ac:dyDescent="0.3"/>
  <cols>
    <col min="1" max="1" width="24.88671875" customWidth="1"/>
    <col min="2" max="2" width="134.88671875" customWidth="1"/>
    <col min="3" max="3" width="11.44140625" customWidth="1"/>
    <col min="4" max="4" width="24.88671875" customWidth="1"/>
  </cols>
  <sheetData>
    <row r="1" spans="1:4" ht="69" customHeight="1" x14ac:dyDescent="0.3">
      <c r="A1" s="63" t="s">
        <v>2033</v>
      </c>
      <c r="B1" s="63"/>
      <c r="C1" s="63"/>
      <c r="D1" s="63"/>
    </row>
    <row r="2" spans="1:4" ht="19.2" customHeight="1" thickBot="1" x14ac:dyDescent="0.35">
      <c r="C2" s="26"/>
    </row>
    <row r="3" spans="1:4" ht="19.2" customHeight="1" x14ac:dyDescent="0.3">
      <c r="B3" s="44" t="s">
        <v>1006</v>
      </c>
      <c r="C3" s="59" t="s">
        <v>2049</v>
      </c>
    </row>
    <row r="4" spans="1:4" ht="19.2" customHeight="1" x14ac:dyDescent="0.3">
      <c r="B4" s="45" t="s">
        <v>4</v>
      </c>
      <c r="C4" s="60" t="s">
        <v>2049</v>
      </c>
    </row>
    <row r="5" spans="1:4" ht="19.2" customHeight="1" thickBot="1" x14ac:dyDescent="0.35">
      <c r="B5" s="46" t="s">
        <v>5</v>
      </c>
      <c r="C5" s="61" t="s">
        <v>2049</v>
      </c>
    </row>
    <row r="6" spans="1:4" ht="19.2" customHeight="1" x14ac:dyDescent="0.3">
      <c r="A6" s="25"/>
      <c r="B6" s="38"/>
      <c r="C6" s="40"/>
    </row>
    <row r="7" spans="1:4" ht="19.2" customHeight="1" x14ac:dyDescent="0.3">
      <c r="A7" s="25"/>
      <c r="B7" s="39" t="str">
        <f>IF(C3="?","",IF(AND(C3&lt;&gt;1,C3&lt;&gt;2),"","Variante 1 ou 2"))</f>
        <v/>
      </c>
      <c r="C7" s="41"/>
    </row>
    <row r="8" spans="1:4" ht="19.2" customHeight="1" x14ac:dyDescent="0.3">
      <c r="A8" s="25"/>
      <c r="B8" s="38" t="str">
        <f>IF(C3="?","",IF(AND(C3&lt;&gt;1,C3&lt;&gt;2),"","Nombre potentiel d'apprenants du groupe bénéficiant de la pratique pédagogique habituelle"))</f>
        <v/>
      </c>
      <c r="C8" s="62" t="str">
        <f>IF(C3="?"," ",IF(C3&lt;&gt;3,"?"," "))</f>
        <v xml:space="preserve"> </v>
      </c>
    </row>
    <row r="9" spans="1:4" ht="19.2" customHeight="1" x14ac:dyDescent="0.3">
      <c r="A9" s="25"/>
      <c r="B9" s="38" t="str">
        <f>IF(C3="?","",IF(AND(C3&lt;&gt;1,C3&lt;&gt;2),"","Nombre potentiel d'apprenants du groupe bénéficiant de la nouvelle pratique pédagogique"))</f>
        <v/>
      </c>
      <c r="C9" s="62" t="str">
        <f>IF(C3="?"," ",IF(C3&lt;&gt;3,"?"," "))</f>
        <v xml:space="preserve"> </v>
      </c>
    </row>
    <row r="10" spans="1:4" ht="19.2" customHeight="1" x14ac:dyDescent="0.3">
      <c r="A10" s="25"/>
      <c r="B10" s="38" t="str">
        <f>IF(C3="?","",IF(AND(C3&lt;&gt;1,C3&lt;&gt;2),"","Nombre d'apprenants du groupe bénéficiant de la pratique pédagogique habituelle effectivement présents aux trois tests"))</f>
        <v/>
      </c>
      <c r="C10" s="41" t="str">
        <f>IF(AND(COUNT('Données brutes'!W13:W1012)&lt;&gt;0,OR(C3=1,C3=2)),COUNT('Données brutes'!W13:W1012),"")</f>
        <v/>
      </c>
    </row>
    <row r="11" spans="1:4" ht="19.2" customHeight="1" x14ac:dyDescent="0.3">
      <c r="A11" s="25"/>
      <c r="B11" s="38" t="str">
        <f>IF(C3="?","",IF(AND(C3&lt;&gt;1,C3&lt;&gt;2),"","Nombre d'apprenants du groupe bénéficiant de la nouvelle pratique pédagogique effectivement présents aux trois tests"))</f>
        <v/>
      </c>
      <c r="C11" s="41" t="str">
        <f>IF(AND(COUNT('Données brutes'!AB13:AB1012)&lt;&gt;0,OR(C3=1,C3=2)),COUNT('Données brutes'!AB13:AB1012),"")</f>
        <v/>
      </c>
    </row>
    <row r="12" spans="1:4" ht="19.2" customHeight="1" x14ac:dyDescent="0.3">
      <c r="A12" s="25"/>
      <c r="B12" s="38" t="str">
        <f>IF(C3="?","",IF(AND(C3&lt;&gt;1,C3&lt;&gt;2),"","Taux de participation du groupe bénéficiant de la pratique pédagogique habituelle"))</f>
        <v/>
      </c>
      <c r="C12" s="42" t="str">
        <f>IF(AND(C8&lt;&gt;"?",C10&lt;&gt;""),C10/C8,"")</f>
        <v/>
      </c>
    </row>
    <row r="13" spans="1:4" ht="19.2" customHeight="1" x14ac:dyDescent="0.3">
      <c r="A13" s="25"/>
      <c r="B13" s="38" t="str">
        <f>IF(C3="?","",IF(AND(C3&lt;&gt;1,C3&lt;&gt;2),"","Taux de participation du groupe bénéficiant de la nouvelle pratique pédagogique"))</f>
        <v/>
      </c>
      <c r="C13" s="42" t="str">
        <f>IF(AND(C9&lt;&gt;"?",C11&lt;&gt;""),C11/C9,"")</f>
        <v/>
      </c>
    </row>
    <row r="14" spans="1:4" ht="19.2" customHeight="1" x14ac:dyDescent="0.35">
      <c r="A14" s="25"/>
      <c r="B14" s="24"/>
      <c r="C14" s="43"/>
    </row>
    <row r="15" spans="1:4" ht="19.2" customHeight="1" x14ac:dyDescent="0.3">
      <c r="A15" s="25"/>
      <c r="B15" s="39" t="str">
        <f>IF(C3="?","",IF(C3&lt;&gt;3,"","Variante 3"))</f>
        <v/>
      </c>
      <c r="C15" s="41"/>
    </row>
    <row r="16" spans="1:4" ht="19.2" customHeight="1" x14ac:dyDescent="0.3">
      <c r="A16" s="25"/>
      <c r="B16" s="38" t="str">
        <f>IF(C3="?","",IF(C3&lt;&gt;3,"","Nombre potentiel d'apprenants participant à l'évaluation"))</f>
        <v/>
      </c>
      <c r="C16" s="41" t="str">
        <f>IF(C3=" ","?",IF(C3&lt;&gt;3," ","?"))</f>
        <v xml:space="preserve"> </v>
      </c>
    </row>
    <row r="17" spans="1:4" ht="19.2" customHeight="1" x14ac:dyDescent="0.3">
      <c r="A17" s="25"/>
      <c r="B17" s="38" t="str">
        <f>IF(C3="?","",IF(C3&lt;&gt;3,"","Nombre d'apprenants effectivement présents aux six tests"))</f>
        <v/>
      </c>
      <c r="C17" s="41" t="str">
        <f>IF(AND(COUNT('Données brutes'!Y13:Y1012)&lt;&gt;0,C3=3),COUNT('Données brutes'!Y13:Y1012),"")</f>
        <v/>
      </c>
    </row>
    <row r="18" spans="1:4" ht="18" x14ac:dyDescent="0.3">
      <c r="A18" s="25"/>
      <c r="B18" s="38" t="str">
        <f>IF(C3="?","",IF(C3&lt;&gt;3,"","Taux de participation"))</f>
        <v/>
      </c>
      <c r="C18" s="42" t="str">
        <f>IF(AND(C16&lt;&gt;"?",C17&lt;&gt;""),C17/C16,"")</f>
        <v/>
      </c>
      <c r="D18" s="25"/>
    </row>
  </sheetData>
  <mergeCells count="1">
    <mergeCell ref="A1:D1"/>
  </mergeCells>
  <conditionalFormatting sqref="C16">
    <cfRule type="cellIs" dxfId="7" priority="16" operator="notBetween">
      <formula>2</formula>
      <formula>1000</formula>
    </cfRule>
  </conditionalFormatting>
  <conditionalFormatting sqref="C16">
    <cfRule type="containsText" dxfId="6" priority="7" operator="containsText" text=" ">
      <formula>NOT(ISERROR(SEARCH(" ",C16)))</formula>
    </cfRule>
  </conditionalFormatting>
  <conditionalFormatting sqref="C3">
    <cfRule type="cellIs" dxfId="5" priority="6" operator="notBetween">
      <formula>1</formula>
      <formula>3</formula>
    </cfRule>
  </conditionalFormatting>
  <conditionalFormatting sqref="C4">
    <cfRule type="cellIs" dxfId="4" priority="5" operator="notBetween">
      <formula>-100</formula>
      <formula>100</formula>
    </cfRule>
  </conditionalFormatting>
  <conditionalFormatting sqref="C5">
    <cfRule type="cellIs" dxfId="3" priority="4" operator="notBetween">
      <formula>-100</formula>
      <formula>100</formula>
    </cfRule>
  </conditionalFormatting>
  <conditionalFormatting sqref="C8:C9">
    <cfRule type="cellIs" dxfId="2" priority="3" operator="notBetween">
      <formula>2</formula>
      <formula>1000</formula>
    </cfRule>
  </conditionalFormatting>
  <conditionalFormatting sqref="C8">
    <cfRule type="containsText" dxfId="1" priority="2" operator="containsText" text=" ">
      <formula>NOT(ISERROR(SEARCH(" ",C8)))</formula>
    </cfRule>
  </conditionalFormatting>
  <conditionalFormatting sqref="C9">
    <cfRule type="containsText" dxfId="0" priority="1" operator="containsText" text=" ">
      <formula>NOT(ISERROR(SEARCH(" ",C9)))</formula>
    </cfRule>
  </conditionalFormatting>
  <pageMargins left="0.7" right="0.7" top="0.75" bottom="0.75" header="0.3" footer="0.3"/>
  <pageSetup paperSize="9"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12"/>
  <sheetViews>
    <sheetView showGridLines="0" zoomScale="70" zoomScaleNormal="70" zoomScaleSheetLayoutView="70" zoomScalePageLayoutView="55" workbookViewId="0">
      <selection activeCell="B13" sqref="B13"/>
    </sheetView>
  </sheetViews>
  <sheetFormatPr baseColWidth="10" defaultRowHeight="14.4" x14ac:dyDescent="0.3"/>
  <cols>
    <col min="1" max="1" width="26.6640625" style="4" customWidth="1"/>
    <col min="2" max="4" width="14.33203125" style="3" customWidth="1"/>
    <col min="5" max="5" width="28.5546875" style="3" customWidth="1"/>
    <col min="6" max="6" width="26.6640625" style="2" customWidth="1"/>
    <col min="7" max="9" width="14.33203125" style="3" customWidth="1"/>
    <col min="10" max="10" width="28.5546875" style="3" customWidth="1"/>
    <col min="11" max="11" width="26.6640625" style="1" customWidth="1"/>
    <col min="12" max="14" width="14.33203125" style="1" customWidth="1"/>
    <col min="15" max="15" width="28.5546875" style="3" customWidth="1"/>
    <col min="16" max="16" width="26.6640625" style="1" customWidth="1"/>
    <col min="17" max="19" width="14.33203125" style="1" customWidth="1"/>
    <col min="20" max="20" width="28.5546875" style="3" customWidth="1"/>
    <col min="21" max="21" width="75.6640625" style="5" customWidth="1"/>
    <col min="22" max="22" width="26.6640625" style="1" customWidth="1"/>
    <col min="23" max="25" width="14.33203125" style="1" customWidth="1"/>
    <col min="26" max="26" width="28.5546875" style="3" customWidth="1"/>
    <col min="27" max="27" width="26.6640625" style="1" customWidth="1"/>
    <col min="28" max="30" width="14.33203125" style="1" customWidth="1"/>
    <col min="31" max="31" width="28.5546875" style="3" customWidth="1"/>
    <col min="32" max="32" width="26.6640625" style="1" customWidth="1"/>
    <col min="33" max="35" width="14.33203125" style="1" customWidth="1"/>
    <col min="36" max="36" width="28.5546875" style="3" customWidth="1"/>
    <col min="37" max="37" width="26.6640625" style="1" customWidth="1"/>
    <col min="38" max="40" width="14.33203125" style="1" customWidth="1"/>
    <col min="41" max="41" width="28.5546875" style="3" customWidth="1"/>
    <col min="42" max="42" width="73" style="5" customWidth="1"/>
    <col min="43" max="43" width="26.6640625" style="1" customWidth="1"/>
    <col min="44" max="46" width="14.33203125" style="1" customWidth="1"/>
    <col min="47" max="47" width="28.5546875" style="3" customWidth="1"/>
    <col min="48" max="48" width="26.6640625" style="1" customWidth="1"/>
    <col min="49" max="51" width="14.33203125" style="1" customWidth="1"/>
    <col min="52" max="52" width="28.5546875" style="3" customWidth="1"/>
    <col min="53" max="53" width="26.6640625" style="1" customWidth="1"/>
    <col min="54" max="56" width="14.33203125" style="1" customWidth="1"/>
    <col min="57" max="57" width="28.5546875" style="3" customWidth="1"/>
    <col min="58" max="58" width="26.6640625" style="1" customWidth="1"/>
    <col min="59" max="61" width="14.33203125" style="1" customWidth="1"/>
    <col min="62" max="62" width="28.5546875" style="3" customWidth="1"/>
    <col min="63" max="63" width="80.33203125" style="5" customWidth="1"/>
    <col min="64" max="64" width="24.77734375" style="4" customWidth="1"/>
    <col min="65" max="67" width="23.5546875" style="4" customWidth="1"/>
    <col min="68" max="68" width="81.109375" style="5" customWidth="1"/>
    <col min="69" max="69" width="17.88671875" customWidth="1"/>
    <col min="70" max="71" width="26.88671875" style="4" customWidth="1"/>
    <col min="72" max="72" width="17.88671875" customWidth="1"/>
    <col min="73" max="75" width="17.88671875" style="5" customWidth="1"/>
    <col min="76" max="76" width="17.88671875" customWidth="1"/>
    <col min="78" max="16384" width="11.5546875" style="5"/>
  </cols>
  <sheetData>
    <row r="1" spans="1:72" s="10" customFormat="1" ht="22.2" customHeight="1" x14ac:dyDescent="0.3">
      <c r="A1" s="64" t="s">
        <v>2014</v>
      </c>
      <c r="B1" s="64"/>
      <c r="C1" s="64"/>
      <c r="D1" s="64"/>
      <c r="E1" s="64"/>
      <c r="F1" s="64" t="s">
        <v>2014</v>
      </c>
      <c r="G1" s="64"/>
      <c r="H1" s="64"/>
      <c r="I1" s="64"/>
      <c r="J1" s="64"/>
      <c r="K1" s="64" t="s">
        <v>2014</v>
      </c>
      <c r="L1" s="64"/>
      <c r="M1" s="64"/>
      <c r="N1" s="64"/>
      <c r="O1" s="64"/>
      <c r="P1" s="64" t="s">
        <v>2014</v>
      </c>
      <c r="Q1" s="64"/>
      <c r="R1" s="64"/>
      <c r="S1" s="64"/>
      <c r="T1" s="64"/>
      <c r="V1" s="64" t="s">
        <v>2027</v>
      </c>
      <c r="W1" s="64"/>
      <c r="X1" s="64"/>
      <c r="Y1" s="64"/>
      <c r="Z1" s="64"/>
      <c r="AA1" s="64" t="s">
        <v>2027</v>
      </c>
      <c r="AB1" s="64"/>
      <c r="AC1" s="64"/>
      <c r="AD1" s="64"/>
      <c r="AE1" s="64"/>
      <c r="AF1" s="64" t="s">
        <v>2027</v>
      </c>
      <c r="AG1" s="64"/>
      <c r="AH1" s="64"/>
      <c r="AI1" s="64"/>
      <c r="AJ1" s="64"/>
      <c r="AK1" s="64" t="s">
        <v>2027</v>
      </c>
      <c r="AL1" s="64"/>
      <c r="AM1" s="64"/>
      <c r="AN1" s="64"/>
      <c r="AO1" s="64"/>
      <c r="AQ1" s="64" t="s">
        <v>2028</v>
      </c>
      <c r="AR1" s="64"/>
      <c r="AS1" s="64"/>
      <c r="AT1" s="64"/>
      <c r="AU1" s="64"/>
      <c r="AV1" s="64" t="s">
        <v>2028</v>
      </c>
      <c r="AW1" s="64"/>
      <c r="AX1" s="64"/>
      <c r="AY1" s="64"/>
      <c r="AZ1" s="64"/>
      <c r="BA1" s="64" t="s">
        <v>2028</v>
      </c>
      <c r="BB1" s="64"/>
      <c r="BC1" s="64"/>
      <c r="BD1" s="64"/>
      <c r="BE1" s="64"/>
      <c r="BF1" s="64" t="s">
        <v>2028</v>
      </c>
      <c r="BG1" s="64"/>
      <c r="BH1" s="64"/>
      <c r="BI1" s="64"/>
      <c r="BJ1" s="64"/>
      <c r="BL1" s="19"/>
      <c r="BM1" s="64"/>
      <c r="BN1" s="64"/>
      <c r="BO1" s="64"/>
      <c r="BR1" s="19"/>
      <c r="BS1" s="19"/>
      <c r="BT1"/>
    </row>
    <row r="2" spans="1:72" s="18" customFormat="1" ht="22.2" customHeight="1" x14ac:dyDescent="0.3">
      <c r="A2" s="64" t="s">
        <v>2011</v>
      </c>
      <c r="B2" s="64"/>
      <c r="C2" s="64"/>
      <c r="D2" s="64"/>
      <c r="E2" s="64"/>
      <c r="F2" s="64" t="s">
        <v>2011</v>
      </c>
      <c r="G2" s="64"/>
      <c r="H2" s="64"/>
      <c r="I2" s="64"/>
      <c r="J2" s="64"/>
      <c r="K2" s="64" t="s">
        <v>2035</v>
      </c>
      <c r="L2" s="64"/>
      <c r="M2" s="64"/>
      <c r="N2" s="64"/>
      <c r="O2" s="64"/>
      <c r="P2" s="64" t="s">
        <v>2035</v>
      </c>
      <c r="Q2" s="64"/>
      <c r="R2" s="64"/>
      <c r="S2" s="64"/>
      <c r="T2" s="64"/>
      <c r="V2" s="64" t="s">
        <v>2011</v>
      </c>
      <c r="W2" s="64"/>
      <c r="X2" s="64"/>
      <c r="Y2" s="64"/>
      <c r="Z2" s="64"/>
      <c r="AA2" s="64" t="s">
        <v>2011</v>
      </c>
      <c r="AB2" s="64"/>
      <c r="AC2" s="64"/>
      <c r="AD2" s="64"/>
      <c r="AE2" s="64"/>
      <c r="AF2" s="64" t="s">
        <v>2035</v>
      </c>
      <c r="AG2" s="64"/>
      <c r="AH2" s="64"/>
      <c r="AI2" s="64"/>
      <c r="AJ2" s="64"/>
      <c r="AK2" s="64" t="s">
        <v>2035</v>
      </c>
      <c r="AL2" s="64"/>
      <c r="AM2" s="64"/>
      <c r="AN2" s="64"/>
      <c r="AO2" s="64"/>
      <c r="AQ2" s="64" t="s">
        <v>2026</v>
      </c>
      <c r="AR2" s="64"/>
      <c r="AS2" s="64"/>
      <c r="AT2" s="64"/>
      <c r="AU2" s="64"/>
      <c r="AV2" s="64" t="s">
        <v>2026</v>
      </c>
      <c r="AW2" s="64"/>
      <c r="AX2" s="64"/>
      <c r="AY2" s="64"/>
      <c r="AZ2" s="64"/>
      <c r="BA2" s="64" t="s">
        <v>2036</v>
      </c>
      <c r="BB2" s="64"/>
      <c r="BC2" s="64"/>
      <c r="BD2" s="64"/>
      <c r="BE2" s="64"/>
      <c r="BF2" s="64" t="s">
        <v>2036</v>
      </c>
      <c r="BG2" s="64"/>
      <c r="BH2" s="64"/>
      <c r="BI2" s="64"/>
      <c r="BJ2" s="64"/>
      <c r="BL2" s="19"/>
      <c r="BM2" s="64" t="s">
        <v>2016</v>
      </c>
      <c r="BN2" s="64"/>
      <c r="BO2" s="64"/>
      <c r="BR2" s="64" t="s">
        <v>2022</v>
      </c>
      <c r="BS2" s="64"/>
      <c r="BT2"/>
    </row>
    <row r="3" spans="1:72" s="10" customFormat="1" ht="22.2" customHeight="1" x14ac:dyDescent="0.3">
      <c r="A3" s="64" t="s">
        <v>1</v>
      </c>
      <c r="B3" s="64"/>
      <c r="C3" s="64"/>
      <c r="D3" s="64"/>
      <c r="E3" s="64"/>
      <c r="F3" s="64" t="s">
        <v>0</v>
      </c>
      <c r="G3" s="64"/>
      <c r="H3" s="64"/>
      <c r="I3" s="64"/>
      <c r="J3" s="64"/>
      <c r="K3" s="64" t="s">
        <v>2</v>
      </c>
      <c r="L3" s="64"/>
      <c r="M3" s="64"/>
      <c r="N3" s="64"/>
      <c r="O3" s="64"/>
      <c r="P3" s="64" t="s">
        <v>0</v>
      </c>
      <c r="Q3" s="64"/>
      <c r="R3" s="64"/>
      <c r="S3" s="64"/>
      <c r="T3" s="64"/>
      <c r="V3" s="64" t="s">
        <v>1</v>
      </c>
      <c r="W3" s="64"/>
      <c r="X3" s="64"/>
      <c r="Y3" s="64"/>
      <c r="Z3" s="64"/>
      <c r="AA3" s="64" t="s">
        <v>0</v>
      </c>
      <c r="AB3" s="64"/>
      <c r="AC3" s="64"/>
      <c r="AD3" s="64"/>
      <c r="AE3" s="64"/>
      <c r="AF3" s="64" t="s">
        <v>2</v>
      </c>
      <c r="AG3" s="64"/>
      <c r="AH3" s="64"/>
      <c r="AI3" s="64"/>
      <c r="AJ3" s="64"/>
      <c r="AK3" s="64" t="s">
        <v>0</v>
      </c>
      <c r="AL3" s="64"/>
      <c r="AM3" s="64"/>
      <c r="AN3" s="64"/>
      <c r="AO3" s="64"/>
      <c r="AQ3" s="64" t="s">
        <v>1</v>
      </c>
      <c r="AR3" s="64"/>
      <c r="AS3" s="64"/>
      <c r="AT3" s="64"/>
      <c r="AU3" s="64"/>
      <c r="AV3" s="64" t="s">
        <v>0</v>
      </c>
      <c r="AW3" s="64"/>
      <c r="AX3" s="64"/>
      <c r="AY3" s="64"/>
      <c r="AZ3" s="64"/>
      <c r="BA3" s="64" t="s">
        <v>2</v>
      </c>
      <c r="BB3" s="64"/>
      <c r="BC3" s="64"/>
      <c r="BD3" s="64"/>
      <c r="BE3" s="64"/>
      <c r="BF3" s="64" t="s">
        <v>0</v>
      </c>
      <c r="BG3" s="64"/>
      <c r="BH3" s="64"/>
      <c r="BI3" s="64"/>
      <c r="BJ3" s="64"/>
      <c r="BL3" s="19"/>
      <c r="BM3" s="19" t="s">
        <v>2015</v>
      </c>
      <c r="BN3" s="19" t="s">
        <v>2015</v>
      </c>
      <c r="BO3" s="19" t="s">
        <v>6</v>
      </c>
      <c r="BR3" s="19"/>
      <c r="BS3" s="19"/>
      <c r="BT3"/>
    </row>
    <row r="4" spans="1:72" s="9" customFormat="1" ht="109.8" customHeight="1" x14ac:dyDescent="0.3">
      <c r="A4" s="6"/>
      <c r="B4" s="7" t="s">
        <v>1003</v>
      </c>
      <c r="C4" s="7" t="s">
        <v>1004</v>
      </c>
      <c r="D4" s="7" t="s">
        <v>1005</v>
      </c>
      <c r="E4" s="6" t="s">
        <v>3</v>
      </c>
      <c r="F4" s="6"/>
      <c r="G4" s="7" t="s">
        <v>1003</v>
      </c>
      <c r="H4" s="7" t="s">
        <v>1004</v>
      </c>
      <c r="I4" s="7" t="s">
        <v>1005</v>
      </c>
      <c r="J4" s="6" t="s">
        <v>3</v>
      </c>
      <c r="K4" s="8"/>
      <c r="L4" s="7" t="s">
        <v>2030</v>
      </c>
      <c r="M4" s="7" t="s">
        <v>2031</v>
      </c>
      <c r="N4" s="7" t="s">
        <v>2038</v>
      </c>
      <c r="O4" s="6" t="s">
        <v>3</v>
      </c>
      <c r="P4" s="8"/>
      <c r="Q4" s="7" t="s">
        <v>2030</v>
      </c>
      <c r="R4" s="7" t="s">
        <v>2031</v>
      </c>
      <c r="S4" s="7" t="s">
        <v>2038</v>
      </c>
      <c r="T4" s="6" t="s">
        <v>3</v>
      </c>
      <c r="V4" s="8"/>
      <c r="W4" s="7" t="s">
        <v>1003</v>
      </c>
      <c r="X4" s="7" t="s">
        <v>1004</v>
      </c>
      <c r="Y4" s="7" t="s">
        <v>1005</v>
      </c>
      <c r="Z4" s="6" t="s">
        <v>3</v>
      </c>
      <c r="AA4" s="8"/>
      <c r="AB4" s="7" t="s">
        <v>1003</v>
      </c>
      <c r="AC4" s="7" t="s">
        <v>1004</v>
      </c>
      <c r="AD4" s="7" t="s">
        <v>1005</v>
      </c>
      <c r="AE4" s="6" t="s">
        <v>3</v>
      </c>
      <c r="AF4" s="8"/>
      <c r="AG4" s="7" t="s">
        <v>2030</v>
      </c>
      <c r="AH4" s="7" t="s">
        <v>2031</v>
      </c>
      <c r="AI4" s="7" t="s">
        <v>2038</v>
      </c>
      <c r="AJ4" s="6" t="s">
        <v>3</v>
      </c>
      <c r="AK4" s="8"/>
      <c r="AL4" s="7" t="s">
        <v>2030</v>
      </c>
      <c r="AM4" s="7" t="s">
        <v>2031</v>
      </c>
      <c r="AN4" s="7" t="s">
        <v>2038</v>
      </c>
      <c r="AO4" s="6" t="s">
        <v>3</v>
      </c>
      <c r="AQ4" s="8"/>
      <c r="AR4" s="7" t="s">
        <v>1003</v>
      </c>
      <c r="AS4" s="7" t="s">
        <v>1004</v>
      </c>
      <c r="AT4" s="7" t="s">
        <v>1005</v>
      </c>
      <c r="AU4" s="6" t="s">
        <v>3</v>
      </c>
      <c r="AV4" s="8"/>
      <c r="AW4" s="7" t="s">
        <v>1003</v>
      </c>
      <c r="AX4" s="7" t="s">
        <v>1004</v>
      </c>
      <c r="AY4" s="7" t="s">
        <v>1005</v>
      </c>
      <c r="AZ4" s="6" t="s">
        <v>3</v>
      </c>
      <c r="BA4" s="8"/>
      <c r="BB4" s="7" t="s">
        <v>2037</v>
      </c>
      <c r="BC4" s="7" t="s">
        <v>2031</v>
      </c>
      <c r="BD4" s="7" t="s">
        <v>2038</v>
      </c>
      <c r="BE4" s="6" t="s">
        <v>3</v>
      </c>
      <c r="BF4" s="8"/>
      <c r="BG4" s="7" t="s">
        <v>2030</v>
      </c>
      <c r="BH4" s="7" t="s">
        <v>2031</v>
      </c>
      <c r="BI4" s="7" t="s">
        <v>2038</v>
      </c>
      <c r="BJ4" s="6" t="s">
        <v>3</v>
      </c>
      <c r="BL4" s="7"/>
      <c r="BM4" s="7" t="s">
        <v>2017</v>
      </c>
      <c r="BN4" s="7" t="s">
        <v>2018</v>
      </c>
      <c r="BO4" s="7" t="s">
        <v>2023</v>
      </c>
      <c r="BR4" s="7" t="s">
        <v>2025</v>
      </c>
      <c r="BS4" s="7" t="s">
        <v>2024</v>
      </c>
      <c r="BT4"/>
    </row>
    <row r="5" spans="1:72" s="14" customFormat="1" ht="22.2" customHeight="1" x14ac:dyDescent="0.3">
      <c r="A5" s="11" t="s">
        <v>2013</v>
      </c>
      <c r="B5" s="12" t="str">
        <f>IF(COUNT(B13:B1012)=0,"",AVERAGE(B13:B1012))</f>
        <v/>
      </c>
      <c r="C5" s="12" t="str">
        <f>IF(COUNT(C13:C1012)=0,"",AVERAGE(C13:C1012))</f>
        <v/>
      </c>
      <c r="D5" s="12" t="str">
        <f>IF(COUNT(D13:D1012)=0,"",AVERAGE(D13:D1012))</f>
        <v/>
      </c>
      <c r="E5" s="13"/>
      <c r="F5" s="11" t="s">
        <v>2013</v>
      </c>
      <c r="G5" s="12" t="str">
        <f>IF(COUNT(G13:G1012)=0,"",AVERAGE(G13:G1012))</f>
        <v/>
      </c>
      <c r="H5" s="12" t="str">
        <f>IF(COUNT(H13:H1012)=0,"",AVERAGE(H13:H1012))</f>
        <v/>
      </c>
      <c r="I5" s="12" t="str">
        <f>IF(COUNT(I13:I1012)=0,"",AVERAGE(I13:I1012))</f>
        <v/>
      </c>
      <c r="J5" s="13"/>
      <c r="K5" s="11" t="s">
        <v>2013</v>
      </c>
      <c r="L5" s="12" t="str">
        <f>IF(COUNT(L13:L1012)=0,"",AVERAGE(L13:L1012))</f>
        <v/>
      </c>
      <c r="M5" s="12" t="str">
        <f>IF(COUNT(M13:M1012)=0,"",AVERAGE(M13:M1012))</f>
        <v/>
      </c>
      <c r="N5" s="12" t="str">
        <f>IF(COUNT(N13:N1012)=0,"",AVERAGE(N13:N1012))</f>
        <v/>
      </c>
      <c r="O5" s="13"/>
      <c r="P5" s="11" t="s">
        <v>2013</v>
      </c>
      <c r="Q5" s="12" t="str">
        <f>IF(COUNT(Q13:Q1012)=0,"",AVERAGE(Q13:Q1012))</f>
        <v/>
      </c>
      <c r="R5" s="12" t="str">
        <f>IF(COUNT(R13:R1012)=0,"",AVERAGE(R13:R1012))</f>
        <v/>
      </c>
      <c r="S5" s="12" t="str">
        <f>IF(COUNT(S13:S1012)=0,"",AVERAGE(S13:S1012))</f>
        <v/>
      </c>
      <c r="T5" s="13"/>
      <c r="V5" s="11" t="s">
        <v>2013</v>
      </c>
      <c r="W5" s="12" t="str">
        <f>IF(COUNT(W13:W1012)=0,"",AVERAGE(W13:W1012))</f>
        <v/>
      </c>
      <c r="X5" s="12" t="str">
        <f>IF(COUNT(X13:X1012)=0,"",AVERAGE(X13:X1012))</f>
        <v/>
      </c>
      <c r="Y5" s="12" t="str">
        <f>IF(COUNT(Y13:Y1012)=0,"",AVERAGE(Y13:Y1012))</f>
        <v/>
      </c>
      <c r="Z5" s="13"/>
      <c r="AA5" s="11" t="s">
        <v>2013</v>
      </c>
      <c r="AB5" s="12" t="str">
        <f>IF(COUNT(AB13:AB1012)=0,"",AVERAGE(AB13:AB1012))</f>
        <v/>
      </c>
      <c r="AC5" s="12" t="str">
        <f>IF(COUNT(AC13:AC1012)=0,"",AVERAGE(AC13:AC1012))</f>
        <v/>
      </c>
      <c r="AD5" s="12" t="str">
        <f>IF(COUNT(AD13:AD1012)=0,"",AVERAGE(AD13:AD1012))</f>
        <v/>
      </c>
      <c r="AE5" s="13"/>
      <c r="AF5" s="11" t="s">
        <v>2013</v>
      </c>
      <c r="AG5" s="12" t="str">
        <f>IF(COUNT(AG13:AG1012)=0,"",AVERAGE(AG13:AG1012))</f>
        <v/>
      </c>
      <c r="AH5" s="12" t="str">
        <f>IF(COUNT(AH13:AH1012)=0,"",AVERAGE(AH13:AH1012))</f>
        <v/>
      </c>
      <c r="AI5" s="12" t="str">
        <f>IF(COUNT(AI13:AI1012)=0,"",AVERAGE(AI13:AI1012))</f>
        <v/>
      </c>
      <c r="AJ5" s="13"/>
      <c r="AK5" s="11" t="s">
        <v>2013</v>
      </c>
      <c r="AL5" s="12" t="str">
        <f>IF(COUNT(AL13:AL1012)=0,"",AVERAGE(AL13:AL1012))</f>
        <v/>
      </c>
      <c r="AM5" s="12" t="str">
        <f>IF(COUNT(AM13:AM1012)=0,"",AVERAGE(AM13:AM1012))</f>
        <v/>
      </c>
      <c r="AN5" s="12" t="str">
        <f>IF(COUNT(AN13:AN1012)=0,"",AVERAGE(AN13:AN1012))</f>
        <v/>
      </c>
      <c r="AO5" s="13"/>
      <c r="AQ5" s="11" t="s">
        <v>2013</v>
      </c>
      <c r="AR5" s="47" t="str">
        <f>IF(COUNT(AR13:AR1012)=0,"",AVERAGE(AR13:AR1012))</f>
        <v/>
      </c>
      <c r="AS5" s="47" t="str">
        <f>IF(COUNT(AS13:AS1012)=0,"",AVERAGE(AS13:AS1012))</f>
        <v/>
      </c>
      <c r="AT5" s="47" t="str">
        <f>IF(COUNT(AT13:AT1012)=0,"",AVERAGE(AT13:AT1012))</f>
        <v/>
      </c>
      <c r="AU5" s="13"/>
      <c r="AV5" s="11" t="s">
        <v>2013</v>
      </c>
      <c r="AW5" s="47" t="str">
        <f>IF(COUNT(AW13:AW1012)=0,"",AVERAGE(AW13:AW1012))</f>
        <v/>
      </c>
      <c r="AX5" s="47" t="str">
        <f>IF(COUNT(AX13:AX1012)=0,"",AVERAGE(AX13:AX1012))</f>
        <v/>
      </c>
      <c r="AY5" s="47" t="str">
        <f>IF(COUNT(AY13:AY1012)=0,"",AVERAGE(AY13:AY1012))</f>
        <v/>
      </c>
      <c r="AZ5" s="13"/>
      <c r="BA5" s="11" t="s">
        <v>2013</v>
      </c>
      <c r="BB5" s="47" t="str">
        <f>IF(COUNT(BB13:BB1012)=0,"",AVERAGE(BB13:BB1012))</f>
        <v/>
      </c>
      <c r="BC5" s="47" t="str">
        <f>IF(COUNT(BC13:BC1012)=0,"",AVERAGE(BC13:BC1012))</f>
        <v/>
      </c>
      <c r="BD5" s="47" t="str">
        <f>IF(COUNT(BD13:BD1012)=0,"",AVERAGE(BD13:BD1012))</f>
        <v/>
      </c>
      <c r="BE5" s="13"/>
      <c r="BF5" s="11" t="s">
        <v>2013</v>
      </c>
      <c r="BG5" s="47" t="str">
        <f>IF(COUNT(BG13:BG1012)=0,"",AVERAGE(BG13:BG1012))</f>
        <v/>
      </c>
      <c r="BH5" s="47" t="str">
        <f>IF(COUNT(BH13:BH1012)=0,"",AVERAGE(BH13:BH1012))</f>
        <v/>
      </c>
      <c r="BI5" s="47" t="str">
        <f>IF(COUNT(BI13:BI1012)=0,"",AVERAGE(BI13:BI1012))</f>
        <v/>
      </c>
      <c r="BJ5" s="13"/>
      <c r="BL5" s="16" t="s">
        <v>2019</v>
      </c>
      <c r="BM5" s="16" t="str">
        <f>IF(AND('Choix pédagogiques'!C3&lt;&gt;1,'Choix pédagogiques'!C3&lt;&gt;2),"",SUM(BM13:BM1012))</f>
        <v/>
      </c>
      <c r="BN5" s="16" t="str">
        <f>IF(AND('Choix pédagogiques'!C3&lt;&gt;1,'Choix pédagogiques'!C3&lt;&gt;2),"",SUM(BN13:BN1012))</f>
        <v/>
      </c>
      <c r="BO5" s="16" t="str">
        <f>IF(OR(COUNT(BO13:BO1012)=0,'Choix pédagogiques'!C3&lt;&gt;3),"",SUM(BO13:BO1012))</f>
        <v/>
      </c>
      <c r="BR5" s="16"/>
      <c r="BS5" s="16"/>
      <c r="BT5"/>
    </row>
    <row r="6" spans="1:72" s="14" customFormat="1" ht="22.2" customHeight="1" x14ac:dyDescent="0.3">
      <c r="A6" s="17" t="s">
        <v>2034</v>
      </c>
      <c r="B6" s="15" t="str">
        <f>IF(COUNT(B13:B1012)&lt;2,"",_xlfn.STDEV.S(B13:B1012))</f>
        <v/>
      </c>
      <c r="C6" s="15" t="str">
        <f>IF(COUNT(C13:C1012)&lt;2,"",_xlfn.STDEV.S(C13:C1012))</f>
        <v/>
      </c>
      <c r="D6" s="15" t="str">
        <f>IF(COUNT(D13:D1012)&lt;2,"",_xlfn.STDEV.S(D13:D1012))</f>
        <v/>
      </c>
      <c r="E6" s="13"/>
      <c r="F6" s="17" t="s">
        <v>2034</v>
      </c>
      <c r="G6" s="15" t="str">
        <f>IF(COUNT(G13:G1012)&lt;2,"",_xlfn.STDEV.S(G13:G1012))</f>
        <v/>
      </c>
      <c r="H6" s="15" t="str">
        <f>IF(COUNT(H13:H1012)&lt;2,"",_xlfn.STDEV.S(H13:H1012))</f>
        <v/>
      </c>
      <c r="I6" s="15" t="str">
        <f>IF(COUNT(I13:I1012)&lt;2,"",_xlfn.STDEV.S(I13:I1012))</f>
        <v/>
      </c>
      <c r="J6" s="13"/>
      <c r="K6" s="17" t="s">
        <v>2034</v>
      </c>
      <c r="L6" s="15" t="str">
        <f>IF(COUNT(L13:L1012)&lt;2,"",_xlfn.STDEV.S(L13:L1012))</f>
        <v/>
      </c>
      <c r="M6" s="15" t="str">
        <f>IF(COUNT(M13:M1012)&lt;2,"",_xlfn.STDEV.S(M13:M1012))</f>
        <v/>
      </c>
      <c r="N6" s="15" t="str">
        <f>IF(COUNT(N13:N1012)&lt;2,"",_xlfn.STDEV.S(N13:N1012))</f>
        <v/>
      </c>
      <c r="O6" s="13"/>
      <c r="P6" s="17" t="s">
        <v>2034</v>
      </c>
      <c r="Q6" s="15" t="str">
        <f>IF(COUNT(Q13:Q1012)&lt;2,"",_xlfn.STDEV.S(Q13:Q1012))</f>
        <v/>
      </c>
      <c r="R6" s="15" t="str">
        <f>IF(COUNT(R13:R1012)&lt;2,"",_xlfn.STDEV.S(R13:R1012))</f>
        <v/>
      </c>
      <c r="S6" s="15" t="str">
        <f>IF(COUNT(S13:S1012)&lt;2,"",_xlfn.STDEV.S(S13:S1012))</f>
        <v/>
      </c>
      <c r="T6" s="13"/>
      <c r="V6" s="17" t="s">
        <v>2034</v>
      </c>
      <c r="W6" s="15" t="str">
        <f>IF(COUNT(W13:W1012)&lt;2,"",_xlfn.STDEV.S(W13:W1012))</f>
        <v/>
      </c>
      <c r="X6" s="15" t="str">
        <f>IF(COUNT(X13:X1012)&lt;2,"",_xlfn.STDEV.S(X13:X1012))</f>
        <v/>
      </c>
      <c r="Y6" s="15" t="str">
        <f>IF(COUNT(Y13:Y1012)&lt;2,"",_xlfn.STDEV.S(Y13:Y1012))</f>
        <v/>
      </c>
      <c r="Z6" s="13"/>
      <c r="AA6" s="17" t="s">
        <v>2034</v>
      </c>
      <c r="AB6" s="15" t="str">
        <f>IF(COUNT(AB13:AB1012)&lt;2,"",_xlfn.STDEV.S(AB13:AB1012))</f>
        <v/>
      </c>
      <c r="AC6" s="15" t="str">
        <f>IF(COUNT(AC13:AC1012)&lt;2,"",_xlfn.STDEV.S(AC13:AC1012))</f>
        <v/>
      </c>
      <c r="AD6" s="15" t="str">
        <f>IF(COUNT(AD13:AD1012)&lt;2,"",_xlfn.STDEV.S(AD13:AD1012))</f>
        <v/>
      </c>
      <c r="AE6" s="13"/>
      <c r="AF6" s="17" t="s">
        <v>2034</v>
      </c>
      <c r="AG6" s="15" t="str">
        <f>IF(COUNT(AG13:AG1012)&lt;2,"",_xlfn.STDEV.S(AG13:AG1012))</f>
        <v/>
      </c>
      <c r="AH6" s="15" t="str">
        <f>IF(COUNT(AH13:AH1012)&lt;2,"",_xlfn.STDEV.S(AH13:AH1012))</f>
        <v/>
      </c>
      <c r="AI6" s="15" t="str">
        <f>IF(COUNT(AI13:AI1012)&lt;2,"",_xlfn.STDEV.S(AI13:AI1012))</f>
        <v/>
      </c>
      <c r="AJ6" s="13"/>
      <c r="AK6" s="17" t="s">
        <v>2034</v>
      </c>
      <c r="AL6" s="15" t="str">
        <f>IF(COUNT(AL13:AL1012)&lt;2,"",_xlfn.STDEV.S(AL13:AL1012))</f>
        <v/>
      </c>
      <c r="AM6" s="15" t="str">
        <f>IF(COUNT(AM13:AM1012)&lt;2,"",_xlfn.STDEV.S(AM13:AM1012))</f>
        <v/>
      </c>
      <c r="AN6" s="15" t="str">
        <f>IF(COUNT(AN13:AN1012)&lt;2,"",_xlfn.STDEV.S(AN13:AN1012))</f>
        <v/>
      </c>
      <c r="AO6" s="13"/>
      <c r="AQ6" s="17" t="s">
        <v>2034</v>
      </c>
      <c r="AR6" s="48" t="str">
        <f>IF(COUNT(AR13:AR1012)&lt;2,"",_xlfn.STDEV.S(AR13:AR1012))</f>
        <v/>
      </c>
      <c r="AS6" s="48" t="str">
        <f>IF(COUNT(AS13:AS1012)&lt;2,"",_xlfn.STDEV.S(AS13:AS1012))</f>
        <v/>
      </c>
      <c r="AT6" s="48" t="str">
        <f>IF(COUNT(AT13:AT1012)&lt;2,"",_xlfn.STDEV.S(AT13:AT1012))</f>
        <v/>
      </c>
      <c r="AU6" s="13"/>
      <c r="AV6" s="17" t="s">
        <v>2034</v>
      </c>
      <c r="AW6" s="48" t="str">
        <f>IF(COUNT(AW13:AW1012)&lt;2,"",_xlfn.STDEV.S(AW13:AW1012))</f>
        <v/>
      </c>
      <c r="AX6" s="48" t="str">
        <f>IF(COUNT(AX13:AX1012)&lt;2,"",_xlfn.STDEV.S(AX13:AX1012))</f>
        <v/>
      </c>
      <c r="AY6" s="48" t="str">
        <f>IF(COUNT(AY13:AY1012)&lt;2,"",_xlfn.STDEV.S(AY13:AY1012))</f>
        <v/>
      </c>
      <c r="AZ6" s="13"/>
      <c r="BA6" s="17" t="s">
        <v>2034</v>
      </c>
      <c r="BB6" s="48" t="str">
        <f>IF(COUNT(BB13:BB1012)&lt;2,"",_xlfn.STDEV.S(BB13:BB1012))</f>
        <v/>
      </c>
      <c r="BC6" s="48" t="str">
        <f>IF(COUNT(BC13:BC1012)&lt;2,"",_xlfn.STDEV.S(BC13:BC1012))</f>
        <v/>
      </c>
      <c r="BD6" s="48" t="str">
        <f>IF(COUNT(BD13:BD1012)&lt;2,"",_xlfn.STDEV.S(BD13:BD1012))</f>
        <v/>
      </c>
      <c r="BE6" s="13"/>
      <c r="BF6" s="17" t="s">
        <v>2034</v>
      </c>
      <c r="BG6" s="48" t="str">
        <f>IF(COUNT(BG13:BG1012)&lt;2,"",_xlfn.STDEV.S(BG13:BG1012))</f>
        <v/>
      </c>
      <c r="BH6" s="48" t="str">
        <f>IF(COUNT(BH13:BH1012)&lt;2,"",_xlfn.STDEV.S(BH13:BH1012))</f>
        <v/>
      </c>
      <c r="BI6" s="48" t="str">
        <f>IF(COUNT(BI13:BI1012)&lt;2,"",_xlfn.STDEV.S(BI13:BI1012))</f>
        <v/>
      </c>
      <c r="BJ6" s="13"/>
      <c r="BL6" s="16" t="s">
        <v>2020</v>
      </c>
      <c r="BM6" s="16" t="str">
        <f>IF(AND('Choix pédagogiques'!C3&lt;&gt;1,'Choix pédagogiques'!C3&lt;&gt;2),"",'Choix pédagogiques'!C8)</f>
        <v/>
      </c>
      <c r="BN6" s="16" t="str">
        <f>IF(AND('Choix pédagogiques'!C3&lt;&gt;1,'Choix pédagogiques'!C3&lt;&gt;2),"",'Choix pédagogiques'!C9)</f>
        <v/>
      </c>
      <c r="BO6" s="16" t="str">
        <f>IF(OR(BO5="",'Choix pédagogiques'!C3&lt;&gt;3),"",'Choix pédagogiques'!C16)</f>
        <v/>
      </c>
      <c r="BR6" s="16"/>
      <c r="BS6" s="16"/>
      <c r="BT6"/>
    </row>
    <row r="7" spans="1:72" s="14" customFormat="1" ht="22.2" customHeight="1" x14ac:dyDescent="0.3">
      <c r="A7" s="17" t="s">
        <v>2012</v>
      </c>
      <c r="B7" s="15" t="str">
        <f>IF(OR('Choix pédagogiques'!$C$3=1,'Choix pédagogiques'!$C$3=2),IF(OR(COUNT(B13:B1012)&lt;2,'Choix pédagogiques'!$C10=""),"",IF(B6=0,0,_xlfn.CONFIDENCE.NORM(0.05,B6,'Choix pédagogiques'!$C10))),IF('Choix pédagogiques'!$C$3=3,IF(OR(COUNT(B13:B1012)&lt;2,'Choix pédagogiques'!$C17=""),"",IF(B6=0,0,_xlfn.CONFIDENCE.NORM(0.05,B6,'Choix pédagogiques'!$C17))),""))</f>
        <v/>
      </c>
      <c r="C7" s="15" t="str">
        <f>IF(OR('Choix pédagogiques'!$C$3=1,'Choix pédagogiques'!$C$3=2),IF(OR(COUNT(C13:C1012)&lt;2,'Choix pédagogiques'!$C10=""),"",IF(C6=0,0,_xlfn.CONFIDENCE.NORM(0.05,C6,'Choix pédagogiques'!$C10))),IF('Choix pédagogiques'!$C$3=3,IF(OR(COUNT(C13:C1012)&lt;2,'Choix pédagogiques'!$C17=""),"",IF(C6=0,0,_xlfn.CONFIDENCE.NORM(0.05,C6,'Choix pédagogiques'!$C17))),""))</f>
        <v/>
      </c>
      <c r="D7" s="15" t="str">
        <f>IF(OR('Choix pédagogiques'!$C$3=1,'Choix pédagogiques'!$C$3=2),IF(OR(COUNT(D13:D1012)&lt;2,'Choix pédagogiques'!$C10=""),"",IF(D6=0,0,_xlfn.CONFIDENCE.NORM(0.05,D6,'Choix pédagogiques'!$C10))),IF('Choix pédagogiques'!$C$3=3,IF(OR(COUNT(D13:D1012)&lt;2,'Choix pédagogiques'!$C17=""),"",IF(D6=0,0,_xlfn.CONFIDENCE.NORM(0.05,D6,'Choix pédagogiques'!$C17))),""))</f>
        <v/>
      </c>
      <c r="E7" s="13"/>
      <c r="F7" s="17" t="s">
        <v>2012</v>
      </c>
      <c r="G7" s="15" t="str">
        <f>IF(OR('Choix pédagogiques'!$C$3=1,'Choix pédagogiques'!$C$3=2),IF(OR(COUNT(G13:G1012)&lt;2,'Choix pédagogiques'!$C11=""),"",IF(G6=0,0,_xlfn.CONFIDENCE.NORM(0.05,G6,'Choix pédagogiques'!$C11))),IF('Choix pédagogiques'!$C$3=3,IF(OR(COUNT(G13:G1012)&lt;2,'Choix pédagogiques'!$C17=""),"",IF(G6=0,0,_xlfn.CONFIDENCE.NORM(0.05,G6,'Choix pédagogiques'!$C17))),""))</f>
        <v/>
      </c>
      <c r="H7" s="15" t="str">
        <f>IF(OR('Choix pédagogiques'!$C$3=1,'Choix pédagogiques'!$C$3=2),IF(OR(COUNT(H13:H1012)&lt;2,'Choix pédagogiques'!$C11=""),"",IF(H6=0,0,_xlfn.CONFIDENCE.NORM(0.05,H6,'Choix pédagogiques'!$C11))),IF('Choix pédagogiques'!$C$3=3,IF(OR(COUNT(H13:H1012)&lt;2,'Choix pédagogiques'!$C17=""),"",IF(H6=0,0,_xlfn.CONFIDENCE.NORM(0.05,H6,'Choix pédagogiques'!$C17))),""))</f>
        <v/>
      </c>
      <c r="I7" s="15" t="str">
        <f>IF(OR('Choix pédagogiques'!$C$3=1,'Choix pédagogiques'!$C$3=2),IF(OR(COUNT(I13:I1012)&lt;2,'Choix pédagogiques'!$C11=""),"",IF(I6=0,0,_xlfn.CONFIDENCE.NORM(0.05,I6,'Choix pédagogiques'!$C11))),IF('Choix pédagogiques'!$C$3=3,IF(OR(COUNT(I13:I1012)&lt;2,'Choix pédagogiques'!$C17=""),"",IF(I6=0,0,_xlfn.CONFIDENCE.NORM(0.05,I6,'Choix pédagogiques'!$C17))),""))</f>
        <v/>
      </c>
      <c r="J7" s="13"/>
      <c r="K7" s="17" t="s">
        <v>2012</v>
      </c>
      <c r="L7" s="15" t="str">
        <f>IF(OR('Choix pédagogiques'!$C$3=1,'Choix pédagogiques'!$C$3=2),IF(OR(COUNT(L13:L1012)&lt;2,'Choix pédagogiques'!$C10=""),"",IF(L6=0,0,_xlfn.CONFIDENCE.NORM(0.05,L6,'Choix pédagogiques'!$C10))),IF('Choix pédagogiques'!$C$3=3,IF(OR(COUNT(L13:L1012)&lt;2,'Choix pédagogiques'!$C17=""),"",IF(L6=0,0,_xlfn.CONFIDENCE.NORM(0.05,L6,'Choix pédagogiques'!$C17))),""))</f>
        <v/>
      </c>
      <c r="M7" s="15" t="str">
        <f>IF(OR('Choix pédagogiques'!$C$3=1,'Choix pédagogiques'!$C$3=2),IF(OR(COUNT(M13:M1012)&lt;2,'Choix pédagogiques'!$C10=""),"",IF(M6=0,0,_xlfn.CONFIDENCE.NORM(0.05,M6,'Choix pédagogiques'!$C10))),IF('Choix pédagogiques'!$C$3=3,IF(OR(COUNT(M13:M1012)&lt;2,'Choix pédagogiques'!$C17=""),"",IF(M6=0,0,_xlfn.CONFIDENCE.NORM(0.05,M6,'Choix pédagogiques'!$C17))),""))</f>
        <v/>
      </c>
      <c r="N7" s="15" t="str">
        <f>IF(OR('Choix pédagogiques'!$C$3=1,'Choix pédagogiques'!$C$3=2),IF(OR(COUNT(N13:N1012)&lt;2,'Choix pédagogiques'!$C10=""),"",IF(N6=0,0,_xlfn.CONFIDENCE.NORM(0.05,N6,'Choix pédagogiques'!$C10))),IF('Choix pédagogiques'!$C$3=3,IF(OR(COUNT(N13:N1012)&lt;2,'Choix pédagogiques'!$C17=""),"",IF(N6=0,0,_xlfn.CONFIDENCE.NORM(0.05,N6,'Choix pédagogiques'!$C17))),""))</f>
        <v/>
      </c>
      <c r="O7" s="13"/>
      <c r="P7" s="17" t="s">
        <v>2012</v>
      </c>
      <c r="Q7" s="15" t="str">
        <f>IF(OR('Choix pédagogiques'!$C$3=1,'Choix pédagogiques'!$C$3=2),IF(OR(COUNT(Q13:Q1012)&lt;2,'Choix pédagogiques'!$C11=""),"",IF(Q6=0,0,_xlfn.CONFIDENCE.NORM(0.05,Q6,'Choix pédagogiques'!$C11))),IF('Choix pédagogiques'!$C$3=3,IF(OR(COUNT(Q13:Q1012)&lt;2,'Choix pédagogiques'!$C17=""),"",IF(Q6=0,0,_xlfn.CONFIDENCE.NORM(0.05,Q6,'Choix pédagogiques'!$C17))),""))</f>
        <v/>
      </c>
      <c r="R7" s="15" t="str">
        <f>IF(OR('Choix pédagogiques'!$C$3=1,'Choix pédagogiques'!$C$3=2),IF(OR(COUNT(R13:R1012)&lt;2,'Choix pédagogiques'!$C11=""),"",IF(R6=0,0,_xlfn.CONFIDENCE.NORM(0.05,R6,'Choix pédagogiques'!$C11))),IF('Choix pédagogiques'!$C$3=3,IF(OR(COUNT(R13:R1012)&lt;2,'Choix pédagogiques'!$C17=""),"",IF(R6=0,0,_xlfn.CONFIDENCE.NORM(0.05,R6,'Choix pédagogiques'!$C17))),""))</f>
        <v/>
      </c>
      <c r="S7" s="15" t="str">
        <f>IF(OR('Choix pédagogiques'!$C$3=1,'Choix pédagogiques'!$C$3=2),IF(OR(COUNT(S13:S1012)&lt;2,'Choix pédagogiques'!$C11=""),"",IF(S6=0,0,_xlfn.CONFIDENCE.NORM(0.05,S6,'Choix pédagogiques'!$C11))),IF('Choix pédagogiques'!$C$3=3,IF(OR(COUNT(S13:S1012)&lt;2,'Choix pédagogiques'!$C17=""),"",IF(S6=0,0,_xlfn.CONFIDENCE.NORM(0.05,S6,'Choix pédagogiques'!$C17))),""))</f>
        <v/>
      </c>
      <c r="T7" s="13"/>
      <c r="V7" s="17" t="s">
        <v>2012</v>
      </c>
      <c r="W7" s="15" t="str">
        <f>IF(OR('Choix pédagogiques'!$C$3=1,'Choix pédagogiques'!$C$3=2),IF(OR(COUNT(W13:W1012)&lt;2,'Choix pédagogiques'!$C10=""),"",IF(W6=0,0,_xlfn.CONFIDENCE.NORM(0.05,W6,'Choix pédagogiques'!$C10))),IF('Choix pédagogiques'!$C$3=3,IF(OR(COUNT(W13:W1012)&lt;2,'Choix pédagogiques'!$C17=""),"",IF(W6=0,0,_xlfn.CONFIDENCE.NORM(0.05,W6,'Choix pédagogiques'!$C17))),""))</f>
        <v/>
      </c>
      <c r="X7" s="15" t="str">
        <f>IF(OR('Choix pédagogiques'!$C$3=1,'Choix pédagogiques'!$C$3=2),IF(OR(COUNT(X13:X1012)&lt;2,'Choix pédagogiques'!$C10=""),"",IF(X6=0,0,_xlfn.CONFIDENCE.NORM(0.05,X6,'Choix pédagogiques'!$C10))),IF('Choix pédagogiques'!$C$3=3,IF(OR(COUNT(X13:X1012)&lt;2,'Choix pédagogiques'!$C17=""),"",IF(X6=0,0,_xlfn.CONFIDENCE.NORM(0.05,X6,'Choix pédagogiques'!$C17))),""))</f>
        <v/>
      </c>
      <c r="Y7" s="15" t="str">
        <f>IF(OR('Choix pédagogiques'!$C$3=1,'Choix pédagogiques'!$C$3=2),IF(OR(COUNT(Y13:Y1012)&lt;2,'Choix pédagogiques'!$C10=""),"",IF(Y6=0,0,_xlfn.CONFIDENCE.NORM(0.05,Y6,'Choix pédagogiques'!$C10))),IF('Choix pédagogiques'!$C$3=3,IF(OR(COUNT(Y13:Y1012)&lt;2,'Choix pédagogiques'!$C17=""),"",IF(Y6=0,0,_xlfn.CONFIDENCE.NORM(0.05,Y6,'Choix pédagogiques'!$C17))),""))</f>
        <v/>
      </c>
      <c r="Z7" s="13"/>
      <c r="AA7" s="17" t="s">
        <v>2012</v>
      </c>
      <c r="AB7" s="15" t="str">
        <f>IF(OR('Choix pédagogiques'!$C$3=1,'Choix pédagogiques'!$C$3=2),IF(OR(COUNT(AB13:AB1012)&lt;2,'Choix pédagogiques'!$C11=""),"",IF(AB6=0,0,_xlfn.CONFIDENCE.NORM(0.05,AB6,'Choix pédagogiques'!$C11))),IF('Choix pédagogiques'!$C$3=3,IF(OR(COUNT(AB13:AB1012)&lt;2,'Choix pédagogiques'!$C17=""),"",IF(AB6=0,0,_xlfn.CONFIDENCE.NORM(0.05,AB6,'Choix pédagogiques'!$C17))),""))</f>
        <v/>
      </c>
      <c r="AC7" s="15" t="str">
        <f>IF(OR('Choix pédagogiques'!$C$3=1,'Choix pédagogiques'!$C$3=2),IF(OR(COUNT(AC13:AC1012)&lt;2,'Choix pédagogiques'!$C11=""),"",IF(AC6=0,0,_xlfn.CONFIDENCE.NORM(0.05,AC6,'Choix pédagogiques'!$C11))),IF('Choix pédagogiques'!$C$3=3,IF(OR(COUNT(AC13:AC1012)&lt;2,'Choix pédagogiques'!$C17=""),"",IF(AC6=0,0,_xlfn.CONFIDENCE.NORM(0.05,AC6,'Choix pédagogiques'!$C17))),""))</f>
        <v/>
      </c>
      <c r="AD7" s="15" t="str">
        <f>IF(OR('Choix pédagogiques'!$C$3=1,'Choix pédagogiques'!$C$3=2),IF(OR(COUNT(AD13:AD1012)&lt;2,'Choix pédagogiques'!$C11=""),"",IF(AD6=0,0,_xlfn.CONFIDENCE.NORM(0.05,AD6,'Choix pédagogiques'!$C11))),IF('Choix pédagogiques'!$C$3=3,IF(OR(COUNT(AD13:AD1012)&lt;2,'Choix pédagogiques'!$C17=""),"",IF(AD6=0,0,_xlfn.CONFIDENCE.NORM(0.05,AD6,'Choix pédagogiques'!$C17))),""))</f>
        <v/>
      </c>
      <c r="AE7" s="13"/>
      <c r="AF7" s="17" t="s">
        <v>2012</v>
      </c>
      <c r="AG7" s="15" t="str">
        <f>IF(OR('Choix pédagogiques'!$C$3=1,'Choix pédagogiques'!$C$3=2),IF(OR(COUNT(AG13:AG1012)&lt;2,'Choix pédagogiques'!$C10=""),"",IF(AG6=0,0,_xlfn.CONFIDENCE.NORM(0.05,AG6,'Choix pédagogiques'!$C10))),IF('Choix pédagogiques'!$C$3=3,IF(OR(COUNT(AG13:AG1012)&lt;2,'Choix pédagogiques'!$C17=""),"",IF(AG6=0,0,_xlfn.CONFIDENCE.NORM(0.05,AG6,'Choix pédagogiques'!$C17))),""))</f>
        <v/>
      </c>
      <c r="AH7" s="15" t="str">
        <f>IF(OR('Choix pédagogiques'!$C$3=1,'Choix pédagogiques'!$C$3=2),IF(OR(COUNT(AH13:AH1012)&lt;2,'Choix pédagogiques'!$C10=""),"",IF(AH6=0,0,_xlfn.CONFIDENCE.NORM(0.05,AH6,'Choix pédagogiques'!$C10))),IF('Choix pédagogiques'!$C$3=3,IF(OR(COUNT(AH13:AH1012)&lt;2,'Choix pédagogiques'!$C17=""),"",IF(AH6=0,0,_xlfn.CONFIDENCE.NORM(0.05,AH6,'Choix pédagogiques'!$C17))),""))</f>
        <v/>
      </c>
      <c r="AI7" s="15" t="str">
        <f>IF(OR('Choix pédagogiques'!$C$3=1,'Choix pédagogiques'!$C$3=2),IF(OR(COUNT(AI13:AI1012)&lt;2,'Choix pédagogiques'!$C10=""),"",IF(AI6=0,0,_xlfn.CONFIDENCE.NORM(0.05,AI6,'Choix pédagogiques'!$C10))),IF('Choix pédagogiques'!$C$3=3,IF(OR(COUNT(AI13:AI1012)&lt;2,'Choix pédagogiques'!$C17=""),"",IF(AI6=0,0,_xlfn.CONFIDENCE.NORM(0.05,AI6,'Choix pédagogiques'!$C17))),""))</f>
        <v/>
      </c>
      <c r="AJ7" s="13"/>
      <c r="AK7" s="17" t="s">
        <v>2012</v>
      </c>
      <c r="AL7" s="15" t="str">
        <f>IF(OR('Choix pédagogiques'!$C$3=1,'Choix pédagogiques'!$C$3=2),IF(OR(COUNT(AL13:AL1012)&lt;2,'Choix pédagogiques'!$C11=""),"",IF(AL6=0,0,_xlfn.CONFIDENCE.NORM(0.05,AL6,'Choix pédagogiques'!$C11))),IF('Choix pédagogiques'!$C$3=3,IF(OR(COUNT(AL13:AL1012)&lt;2,'Choix pédagogiques'!$C17=""),"",IF(AL6=0,0,_xlfn.CONFIDENCE.NORM(0.05,AL6,'Choix pédagogiques'!$C17))),""))</f>
        <v/>
      </c>
      <c r="AM7" s="15" t="str">
        <f>IF(OR('Choix pédagogiques'!$C$3=1,'Choix pédagogiques'!$C$3=2),IF(OR(COUNT(AM13:AM1012)&lt;2,'Choix pédagogiques'!$C11=""),"",IF(AM6=0,0,_xlfn.CONFIDENCE.NORM(0.05,AM6,'Choix pédagogiques'!$C11))),IF('Choix pédagogiques'!$C$3=3,IF(OR(COUNT(AM13:AM1012)&lt;2,'Choix pédagogiques'!$C17=""),"",IF(AM6=0,0,_xlfn.CONFIDENCE.NORM(0.05,AM6,'Choix pédagogiques'!$C17))),""))</f>
        <v/>
      </c>
      <c r="AN7" s="15" t="str">
        <f>IF(OR('Choix pédagogiques'!$C$3=1,'Choix pédagogiques'!$C$3=2),IF(OR(COUNT(AN13:AN1012)&lt;2,'Choix pédagogiques'!$C11=""),"",IF(AN6=0,0,_xlfn.CONFIDENCE.NORM(0.05,AN6,'Choix pédagogiques'!$C11))),IF('Choix pédagogiques'!$C$3=3,IF(OR(COUNT(AN13:AN1012)&lt;2,'Choix pédagogiques'!$C17=""),"",IF(AN6=0,0,_xlfn.CONFIDENCE.NORM(0.05,AN6,'Choix pédagogiques'!$C17))),""))</f>
        <v/>
      </c>
      <c r="AO7" s="13"/>
      <c r="AQ7" s="17" t="s">
        <v>2012</v>
      </c>
      <c r="AR7" s="48" t="str">
        <f>IF(OR('Choix pédagogiques'!$C$3=1,'Choix pédagogiques'!$C$3=2),IF(OR(COUNT(AR13:AR1012)&lt;2,'Choix pédagogiques'!$C10=""),"",IF(AR6=0,0,_xlfn.CONFIDENCE.NORM(0.05,AR6,'Choix pédagogiques'!$C10))),IF('Choix pédagogiques'!$C$3=3,IF(OR(COUNT(AR13:AR1012)&lt;2,'Choix pédagogiques'!$C17=""),"",IF(AR6=0,0,_xlfn.CONFIDENCE.NORM(0.05,AR6,'Choix pédagogiques'!$C17))),""))</f>
        <v/>
      </c>
      <c r="AS7" s="48" t="str">
        <f>IF(OR('Choix pédagogiques'!$C$3=1,'Choix pédagogiques'!$C$3=2),IF(OR(COUNT(AS13:AS1012)&lt;2,'Choix pédagogiques'!$C10=""),"",IF(AS6=0,0,_xlfn.CONFIDENCE.NORM(0.05,AS6,'Choix pédagogiques'!$C10))),IF('Choix pédagogiques'!$C$3=3,IF(OR(COUNT(AS13:AS1012)&lt;2,'Choix pédagogiques'!$C17=""),"",IF(AS6=0,0,_xlfn.CONFIDENCE.NORM(0.05,AS6,'Choix pédagogiques'!$C17))),""))</f>
        <v/>
      </c>
      <c r="AT7" s="48" t="str">
        <f>IF(OR('Choix pédagogiques'!$C$3=1,'Choix pédagogiques'!$C$3=2),IF(OR(COUNT(AT13:AT1012)&lt;2,'Choix pédagogiques'!$C10=""),"",IF(AT6=0,0,_xlfn.CONFIDENCE.NORM(0.05,AT6,'Choix pédagogiques'!$C10))),IF('Choix pédagogiques'!$C$3=3,IF(OR(COUNT(AT13:AT1012)&lt;2,'Choix pédagogiques'!$C17=""),"",IF(AT6=0,0,_xlfn.CONFIDENCE.NORM(0.05,AT6,'Choix pédagogiques'!$C17))),""))</f>
        <v/>
      </c>
      <c r="AU7" s="13"/>
      <c r="AV7" s="17" t="s">
        <v>2012</v>
      </c>
      <c r="AW7" s="48" t="str">
        <f>IF(OR('Choix pédagogiques'!$C$3=1,'Choix pédagogiques'!$C$3=2),IF(OR(COUNT(AW13:AW1012)&lt;2,'Choix pédagogiques'!$C11=""),"",IF(AW6=0,0,_xlfn.CONFIDENCE.NORM(0.05,AW6,'Choix pédagogiques'!$C11))),IF('Choix pédagogiques'!$C$3=3,IF(OR(COUNT(AW13:AW1012)&lt;2,'Choix pédagogiques'!$C17=""),"",IF(AW6=0,0,_xlfn.CONFIDENCE.NORM(0.05,AW6,'Choix pédagogiques'!$C17))),""))</f>
        <v/>
      </c>
      <c r="AX7" s="48" t="str">
        <f>IF(OR('Choix pédagogiques'!$C$3=1,'Choix pédagogiques'!$C$3=2),IF(OR(COUNT(AX13:AX1012)&lt;2,'Choix pédagogiques'!$C11=""),"",IF(AX6=0,0,_xlfn.CONFIDENCE.NORM(0.05,AX6,'Choix pédagogiques'!$C11))),IF('Choix pédagogiques'!$C$3=3,IF(OR(COUNT(AX13:AX1012)&lt;2,'Choix pédagogiques'!$C17=""),"",IF(AX6=0,0,_xlfn.CONFIDENCE.NORM(0.05,AX6,'Choix pédagogiques'!$C17))),""))</f>
        <v/>
      </c>
      <c r="AY7" s="48" t="str">
        <f>IF(OR('Choix pédagogiques'!$C$3=1,'Choix pédagogiques'!$C$3=2),IF(OR(COUNT(AY13:AY1012)&lt;2,'Choix pédagogiques'!$C11=""),"",IF(AY6=0,0,_xlfn.CONFIDENCE.NORM(0.05,AY6,'Choix pédagogiques'!$C11))),IF('Choix pédagogiques'!$C$3=3,IF(OR(COUNT(AY13:AY1012)&lt;2,'Choix pédagogiques'!$C17=""),"",IF(AY6=0,0,_xlfn.CONFIDENCE.NORM(0.05,AY6,'Choix pédagogiques'!$C17))),""))</f>
        <v/>
      </c>
      <c r="AZ7" s="13"/>
      <c r="BA7" s="17" t="s">
        <v>2012</v>
      </c>
      <c r="BB7" s="48" t="str">
        <f>IF(OR('Choix pédagogiques'!$C$3=1,'Choix pédagogiques'!$C$3=2),IF(OR(COUNT(BB13:BB1012)&lt;2,'Choix pédagogiques'!$C10=""),"",IF(BB6=0,0,_xlfn.CONFIDENCE.NORM(0.05,BB6,'Choix pédagogiques'!$C10))),IF('Choix pédagogiques'!$C$3=3,IF(OR(COUNT(BB13:BB1012)&lt;2,'Choix pédagogiques'!$C17=""),"",IF(BB6=0,0,_xlfn.CONFIDENCE.NORM(0.05,BB6,'Choix pédagogiques'!$C17))),""))</f>
        <v/>
      </c>
      <c r="BC7" s="48" t="str">
        <f>IF(OR('Choix pédagogiques'!$C$3=1,'Choix pédagogiques'!$C$3=2),IF(OR(COUNT(BC13:BC1012)&lt;2,'Choix pédagogiques'!$C10=""),"",IF(BC6=0,0,_xlfn.CONFIDENCE.NORM(0.05,BC6,'Choix pédagogiques'!$C10))),IF('Choix pédagogiques'!$C$3=3,IF(OR(COUNT(BC13:BC1012)&lt;2,'Choix pédagogiques'!$C17=""),"",IF(BC6=0,0,_xlfn.CONFIDENCE.NORM(0.05,BC6,'Choix pédagogiques'!$C17))),""))</f>
        <v/>
      </c>
      <c r="BD7" s="48" t="str">
        <f>IF(OR('Choix pédagogiques'!$C$3=1,'Choix pédagogiques'!$C$3=2),IF(OR(COUNT(BD13:BD1012)&lt;2,'Choix pédagogiques'!$C10=""),"",IF(BD6=0,0,_xlfn.CONFIDENCE.NORM(0.05,BD6,'Choix pédagogiques'!$C10))),IF('Choix pédagogiques'!$C$3=3,IF(OR(COUNT(BD13:BD1012)&lt;2,'Choix pédagogiques'!$C17=""),"",IF(BD6=0,0,_xlfn.CONFIDENCE.NORM(0.05,BD6,'Choix pédagogiques'!$C17))),""))</f>
        <v/>
      </c>
      <c r="BE7" s="13"/>
      <c r="BF7" s="17" t="s">
        <v>2012</v>
      </c>
      <c r="BG7" s="48" t="str">
        <f>IF(OR('Choix pédagogiques'!$C$3=1,'Choix pédagogiques'!$C$3=2),IF(OR(COUNT(BG13:BG1012)&lt;2,'Choix pédagogiques'!$C11=""),"",IF(BG6=0,0,_xlfn.CONFIDENCE.NORM(0.05,BG6,'Choix pédagogiques'!$C11))),IF('Choix pédagogiques'!$C$3=3,IF(OR(COUNT(BG13:BG1012)&lt;2,'Choix pédagogiques'!$C17=""),"",IF(BG6=0,0,_xlfn.CONFIDENCE.NORM(0.05,BG6,'Choix pédagogiques'!$C17))),""))</f>
        <v/>
      </c>
      <c r="BH7" s="48" t="str">
        <f>IF(OR('Choix pédagogiques'!$C$3=1,'Choix pédagogiques'!$C$3=2),IF(OR(COUNT(BH13:BH1012)&lt;2,'Choix pédagogiques'!$C11=""),"",IF(BH6=0,0,_xlfn.CONFIDENCE.NORM(0.05,BH6,'Choix pédagogiques'!$C11))),IF('Choix pédagogiques'!$C$3=3,IF(OR(COUNT(BH13:BH1012)&lt;2,'Choix pédagogiques'!$C17=""),"",IF(BH6=0,0,_xlfn.CONFIDENCE.NORM(0.05,BH6,'Choix pédagogiques'!$C17))),""))</f>
        <v/>
      </c>
      <c r="BI7" s="48" t="str">
        <f>IF(OR('Choix pédagogiques'!$C$3=1,'Choix pédagogiques'!$C$3=2),IF(OR(COUNT(BI13:BI1012)&lt;2,'Choix pédagogiques'!$C11=""),"",IF(BI6=0,0,_xlfn.CONFIDENCE.NORM(0.05,BI6,'Choix pédagogiques'!$C11))),IF('Choix pédagogiques'!$C$3=3,IF(OR(COUNT(BI13:BI1012)&lt;2,'Choix pédagogiques'!$C17=""),"",IF(BI6=0,0,_xlfn.CONFIDENCE.NORM(0.05,BI6,'Choix pédagogiques'!$C17))),""))</f>
        <v/>
      </c>
      <c r="BJ7" s="13"/>
      <c r="BL7" s="16" t="s">
        <v>2021</v>
      </c>
      <c r="BM7" s="20" t="str">
        <f>IF(OR('Choix pédagogiques'!$C$3=3,BM6="?",BM6=""),"",BM5/BM6)</f>
        <v/>
      </c>
      <c r="BN7" s="20" t="str">
        <f>IF(OR('Choix pédagogiques'!$C$3=3,BN6="?",BN6=""),"",BN5/BN6)</f>
        <v/>
      </c>
      <c r="BO7" s="20" t="str">
        <f>IF(OR('Choix pédagogiques'!$C$3=1,'Choix pédagogiques'!$C$3=2,BO6="?",BO6=""),"",BO5/BO6)</f>
        <v/>
      </c>
      <c r="BR7" s="20"/>
      <c r="BS7" s="20"/>
      <c r="BT7"/>
    </row>
    <row r="8" spans="1:72" s="54" customFormat="1" ht="22.2" customHeight="1" x14ac:dyDescent="0.3">
      <c r="A8" s="52" t="s">
        <v>2042</v>
      </c>
      <c r="B8" s="12" t="str">
        <f>IF(COUNT(B13:B1012)=0,"",MIN(B13:B1012))</f>
        <v/>
      </c>
      <c r="C8" s="12" t="str">
        <f t="shared" ref="C8:D8" si="0">IF(COUNT(C13:C1012)=0,"",MIN(C13:C1012))</f>
        <v/>
      </c>
      <c r="D8" s="12" t="str">
        <f t="shared" si="0"/>
        <v/>
      </c>
      <c r="E8" s="53"/>
      <c r="F8" s="52" t="s">
        <v>2042</v>
      </c>
      <c r="G8" s="12" t="str">
        <f>IF(COUNT(G13:G1012)=0,"",MIN(G13:G1012))</f>
        <v/>
      </c>
      <c r="H8" s="12" t="str">
        <f t="shared" ref="H8:I8" si="1">IF(COUNT(H13:H1012)=0,"",MIN(H13:H1012))</f>
        <v/>
      </c>
      <c r="I8" s="12" t="str">
        <f t="shared" si="1"/>
        <v/>
      </c>
      <c r="J8" s="53"/>
      <c r="K8" s="52" t="s">
        <v>2042</v>
      </c>
      <c r="L8" s="12" t="str">
        <f>IF(COUNT(L13:L1012)=0,"",MIN(L13:L1012))</f>
        <v/>
      </c>
      <c r="M8" s="12" t="str">
        <f t="shared" ref="M8:N8" si="2">IF(COUNT(M13:M1012)=0,"",MIN(M13:M1012))</f>
        <v/>
      </c>
      <c r="N8" s="12" t="str">
        <f t="shared" si="2"/>
        <v/>
      </c>
      <c r="O8" s="53"/>
      <c r="P8" s="52" t="s">
        <v>2042</v>
      </c>
      <c r="Q8" s="12" t="str">
        <f>IF(COUNT(Q13:Q1012)=0,"",MIN(Q13:Q1012))</f>
        <v/>
      </c>
      <c r="R8" s="12" t="str">
        <f t="shared" ref="R8:S8" si="3">IF(COUNT(R13:R1012)=0,"",MIN(R13:R1012))</f>
        <v/>
      </c>
      <c r="S8" s="12" t="str">
        <f t="shared" si="3"/>
        <v/>
      </c>
      <c r="T8" s="53"/>
      <c r="V8" s="52" t="s">
        <v>2042</v>
      </c>
      <c r="W8" s="12" t="str">
        <f>IF(COUNT(W13:W1012)=0,"",MIN(W13:W1012))</f>
        <v/>
      </c>
      <c r="X8" s="12" t="str">
        <f t="shared" ref="X8:Y8" si="4">IF(COUNT(X13:X1012)=0,"",MIN(X13:X1012))</f>
        <v/>
      </c>
      <c r="Y8" s="12" t="str">
        <f t="shared" si="4"/>
        <v/>
      </c>
      <c r="Z8" s="53"/>
      <c r="AA8" s="52" t="s">
        <v>2042</v>
      </c>
      <c r="AB8" s="12" t="str">
        <f>IF(COUNT(AB13:AB1012)=0,"",MIN(AB13:AB1012))</f>
        <v/>
      </c>
      <c r="AC8" s="12" t="str">
        <f t="shared" ref="AC8:AD8" si="5">IF(COUNT(AC13:AC1012)=0,"",MIN(AC13:AC1012))</f>
        <v/>
      </c>
      <c r="AD8" s="12" t="str">
        <f t="shared" si="5"/>
        <v/>
      </c>
      <c r="AE8" s="53"/>
      <c r="AF8" s="52" t="s">
        <v>2042</v>
      </c>
      <c r="AG8" s="12" t="str">
        <f>IF(COUNT(AG13:AG1012)=0,"",MIN(AG13:AG1012))</f>
        <v/>
      </c>
      <c r="AH8" s="12" t="str">
        <f t="shared" ref="AH8:AI8" si="6">IF(COUNT(AH13:AH1012)=0,"",MIN(AH13:AH1012))</f>
        <v/>
      </c>
      <c r="AI8" s="12" t="str">
        <f t="shared" si="6"/>
        <v/>
      </c>
      <c r="AJ8" s="53"/>
      <c r="AK8" s="52" t="s">
        <v>2042</v>
      </c>
      <c r="AL8" s="12" t="str">
        <f>IF(COUNT(AL13:AL1012)=0,"",MIN(AL13:AL1012))</f>
        <v/>
      </c>
      <c r="AM8" s="12" t="str">
        <f t="shared" ref="AM8:AN8" si="7">IF(COUNT(AM13:AM1012)=0,"",MIN(AM13:AM1012))</f>
        <v/>
      </c>
      <c r="AN8" s="12" t="str">
        <f t="shared" si="7"/>
        <v/>
      </c>
      <c r="AO8" s="53"/>
      <c r="AQ8" s="52" t="s">
        <v>2042</v>
      </c>
      <c r="AR8" s="12" t="str">
        <f>IF(COUNT(AR13:AR1012)=0,"",MIN(AR13:AR1012))</f>
        <v/>
      </c>
      <c r="AS8" s="12" t="str">
        <f t="shared" ref="AS8:AT8" si="8">IF(COUNT(AS13:AS1012)=0,"",MIN(AS13:AS1012))</f>
        <v/>
      </c>
      <c r="AT8" s="12" t="str">
        <f t="shared" si="8"/>
        <v/>
      </c>
      <c r="AU8" s="53"/>
      <c r="AV8" s="52" t="s">
        <v>2042</v>
      </c>
      <c r="AW8" s="12" t="str">
        <f>IF(COUNT(AW13:AW1012)=0,"",MIN(AW13:AW1012))</f>
        <v/>
      </c>
      <c r="AX8" s="12" t="str">
        <f t="shared" ref="AX8:AY8" si="9">IF(COUNT(AX13:AX1012)=0,"",MIN(AX13:AX1012))</f>
        <v/>
      </c>
      <c r="AY8" s="12" t="str">
        <f t="shared" si="9"/>
        <v/>
      </c>
      <c r="AZ8" s="53"/>
      <c r="BA8" s="52" t="s">
        <v>2042</v>
      </c>
      <c r="BB8" s="12" t="str">
        <f>IF(COUNT(BB13:BB1012)=0,"",MIN(BB13:BB1012))</f>
        <v/>
      </c>
      <c r="BC8" s="12" t="str">
        <f t="shared" ref="BC8:BD8" si="10">IF(COUNT(BC13:BC1012)=0,"",MIN(BC13:BC1012))</f>
        <v/>
      </c>
      <c r="BD8" s="12" t="str">
        <f t="shared" si="10"/>
        <v/>
      </c>
      <c r="BE8" s="53"/>
      <c r="BF8" s="52" t="s">
        <v>2042</v>
      </c>
      <c r="BG8" s="12" t="str">
        <f>IF(COUNT(BG13:BG1012)=0,"",MIN(BG13:BG1012))</f>
        <v/>
      </c>
      <c r="BH8" s="12" t="str">
        <f t="shared" ref="BH8:BI8" si="11">IF(COUNT(BH13:BH1012)=0,"",MIN(BH13:BH1012))</f>
        <v/>
      </c>
      <c r="BI8" s="12" t="str">
        <f t="shared" si="11"/>
        <v/>
      </c>
      <c r="BJ8" s="53"/>
      <c r="BL8" s="55"/>
      <c r="BM8" s="56"/>
      <c r="BN8" s="56"/>
      <c r="BO8" s="56"/>
      <c r="BR8" s="56"/>
      <c r="BS8" s="56"/>
      <c r="BT8" s="57"/>
    </row>
    <row r="9" spans="1:72" s="54" customFormat="1" ht="22.2" customHeight="1" x14ac:dyDescent="0.3">
      <c r="A9" s="52" t="s">
        <v>2040</v>
      </c>
      <c r="B9" s="12" t="str">
        <f>IF(COUNT(B13:B1012)=0,"",_xlfn.QUARTILE.INC(B13:B1012,1))</f>
        <v/>
      </c>
      <c r="C9" s="12" t="str">
        <f t="shared" ref="C9:D9" si="12">IF(COUNT(C13:C1012)=0,"",_xlfn.QUARTILE.INC(C13:C1012,1))</f>
        <v/>
      </c>
      <c r="D9" s="12" t="str">
        <f t="shared" si="12"/>
        <v/>
      </c>
      <c r="E9" s="53"/>
      <c r="F9" s="52" t="s">
        <v>2040</v>
      </c>
      <c r="G9" s="12" t="str">
        <f>IF(COUNT(G13:G1012)=0,"",_xlfn.QUARTILE.INC(G13:G1012,1))</f>
        <v/>
      </c>
      <c r="H9" s="12" t="str">
        <f t="shared" ref="H9:I9" si="13">IF(COUNT(H13:H1012)=0,"",_xlfn.QUARTILE.INC(H13:H1012,1))</f>
        <v/>
      </c>
      <c r="I9" s="12" t="str">
        <f t="shared" si="13"/>
        <v/>
      </c>
      <c r="J9" s="53"/>
      <c r="K9" s="52" t="s">
        <v>2040</v>
      </c>
      <c r="L9" s="12" t="str">
        <f>IF(COUNT(L13:L1012)=0,"",_xlfn.QUARTILE.INC(L13:L1012,1))</f>
        <v/>
      </c>
      <c r="M9" s="12" t="str">
        <f t="shared" ref="M9:N9" si="14">IF(COUNT(M13:M1012)=0,"",_xlfn.QUARTILE.INC(M13:M1012,1))</f>
        <v/>
      </c>
      <c r="N9" s="12" t="str">
        <f t="shared" si="14"/>
        <v/>
      </c>
      <c r="O9" s="53"/>
      <c r="P9" s="52" t="s">
        <v>2040</v>
      </c>
      <c r="Q9" s="12" t="str">
        <f>IF(COUNT(Q13:Q1012)=0,"",_xlfn.QUARTILE.INC(Q13:Q1012,1))</f>
        <v/>
      </c>
      <c r="R9" s="12" t="str">
        <f t="shared" ref="R9:S9" si="15">IF(COUNT(R13:R1012)=0,"",_xlfn.QUARTILE.INC(R13:R1012,1))</f>
        <v/>
      </c>
      <c r="S9" s="12" t="str">
        <f t="shared" si="15"/>
        <v/>
      </c>
      <c r="T9" s="53"/>
      <c r="V9" s="52" t="s">
        <v>2040</v>
      </c>
      <c r="W9" s="12" t="str">
        <f>IF(COUNT(W13:W1012)=0,"",_xlfn.QUARTILE.INC(W13:W1012,1))</f>
        <v/>
      </c>
      <c r="X9" s="12" t="str">
        <f t="shared" ref="X9:Y9" si="16">IF(COUNT(X13:X1012)=0,"",_xlfn.QUARTILE.INC(X13:X1012,1))</f>
        <v/>
      </c>
      <c r="Y9" s="12" t="str">
        <f t="shared" si="16"/>
        <v/>
      </c>
      <c r="Z9" s="53"/>
      <c r="AA9" s="52" t="s">
        <v>2040</v>
      </c>
      <c r="AB9" s="12" t="str">
        <f>IF(COUNT(AB13:AB1012)=0,"",_xlfn.QUARTILE.INC(AB13:AB1012,1))</f>
        <v/>
      </c>
      <c r="AC9" s="12" t="str">
        <f t="shared" ref="AC9:AD9" si="17">IF(COUNT(AC13:AC1012)=0,"",_xlfn.QUARTILE.INC(AC13:AC1012,1))</f>
        <v/>
      </c>
      <c r="AD9" s="12" t="str">
        <f t="shared" si="17"/>
        <v/>
      </c>
      <c r="AE9" s="53"/>
      <c r="AF9" s="52" t="s">
        <v>2040</v>
      </c>
      <c r="AG9" s="12" t="str">
        <f>IF(COUNT(AG13:AG1012)=0,"",_xlfn.QUARTILE.INC(AG13:AG1012,1))</f>
        <v/>
      </c>
      <c r="AH9" s="12" t="str">
        <f t="shared" ref="AH9:AI9" si="18">IF(COUNT(AH13:AH1012)=0,"",_xlfn.QUARTILE.INC(AH13:AH1012,1))</f>
        <v/>
      </c>
      <c r="AI9" s="12" t="str">
        <f t="shared" si="18"/>
        <v/>
      </c>
      <c r="AJ9" s="53"/>
      <c r="AK9" s="52" t="s">
        <v>2040</v>
      </c>
      <c r="AL9" s="12" t="str">
        <f>IF(COUNT(AL13:AL1012)=0,"",_xlfn.QUARTILE.INC(AL13:AL1012,1))</f>
        <v/>
      </c>
      <c r="AM9" s="12" t="str">
        <f t="shared" ref="AM9:AN9" si="19">IF(COUNT(AM13:AM1012)=0,"",_xlfn.QUARTILE.INC(AM13:AM1012,1))</f>
        <v/>
      </c>
      <c r="AN9" s="12" t="str">
        <f t="shared" si="19"/>
        <v/>
      </c>
      <c r="AO9" s="53"/>
      <c r="AQ9" s="52" t="s">
        <v>2040</v>
      </c>
      <c r="AR9" s="12" t="str">
        <f>IF(COUNT(AR13:AR1012)=0,"",_xlfn.QUARTILE.INC(AR13:AR1012,1))</f>
        <v/>
      </c>
      <c r="AS9" s="12" t="str">
        <f t="shared" ref="AS9:AT9" si="20">IF(COUNT(AS13:AS1012)=0,"",_xlfn.QUARTILE.INC(AS13:AS1012,1))</f>
        <v/>
      </c>
      <c r="AT9" s="12" t="str">
        <f t="shared" si="20"/>
        <v/>
      </c>
      <c r="AU9" s="53"/>
      <c r="AV9" s="52" t="s">
        <v>2040</v>
      </c>
      <c r="AW9" s="12" t="str">
        <f>IF(COUNT(AW13:AW1012)=0,"",_xlfn.QUARTILE.INC(AW13:AW1012,1))</f>
        <v/>
      </c>
      <c r="AX9" s="12" t="str">
        <f t="shared" ref="AX9:AY9" si="21">IF(COUNT(AX13:AX1012)=0,"",_xlfn.QUARTILE.INC(AX13:AX1012,1))</f>
        <v/>
      </c>
      <c r="AY9" s="12" t="str">
        <f t="shared" si="21"/>
        <v/>
      </c>
      <c r="AZ9" s="53"/>
      <c r="BA9" s="52" t="s">
        <v>2040</v>
      </c>
      <c r="BB9" s="12" t="str">
        <f>IF(COUNT(BB13:BB1012)=0,"",_xlfn.QUARTILE.INC(BB13:BB1012,1))</f>
        <v/>
      </c>
      <c r="BC9" s="12" t="str">
        <f t="shared" ref="BC9:BD9" si="22">IF(COUNT(BC13:BC1012)=0,"",_xlfn.QUARTILE.INC(BC13:BC1012,1))</f>
        <v/>
      </c>
      <c r="BD9" s="12" t="str">
        <f t="shared" si="22"/>
        <v/>
      </c>
      <c r="BE9" s="53"/>
      <c r="BF9" s="52" t="s">
        <v>2040</v>
      </c>
      <c r="BG9" s="12" t="str">
        <f>IF(COUNT(BG13:BG1012)=0,"",_xlfn.QUARTILE.INC(BG13:BG1012,1))</f>
        <v/>
      </c>
      <c r="BH9" s="12" t="str">
        <f t="shared" ref="BH9:BI9" si="23">IF(COUNT(BH13:BH1012)=0,"",_xlfn.QUARTILE.INC(BH13:BH1012,1))</f>
        <v/>
      </c>
      <c r="BI9" s="12" t="str">
        <f t="shared" si="23"/>
        <v/>
      </c>
      <c r="BJ9" s="53"/>
      <c r="BL9" s="55"/>
      <c r="BM9" s="56"/>
      <c r="BN9" s="56"/>
      <c r="BO9" s="56"/>
      <c r="BR9" s="56"/>
      <c r="BS9" s="56"/>
      <c r="BT9" s="57"/>
    </row>
    <row r="10" spans="1:72" s="54" customFormat="1" ht="22.2" customHeight="1" x14ac:dyDescent="0.3">
      <c r="A10" s="58" t="s">
        <v>2039</v>
      </c>
      <c r="B10" s="12" t="str">
        <f>IF(COUNT(B13:B1012)=0,"",MEDIAN(B13:B1012))</f>
        <v/>
      </c>
      <c r="C10" s="12" t="str">
        <f t="shared" ref="C10:D10" si="24">IF(COUNT(C13:C1012)=0,"",MEDIAN(C13:C1012))</f>
        <v/>
      </c>
      <c r="D10" s="12" t="str">
        <f t="shared" si="24"/>
        <v/>
      </c>
      <c r="E10" s="53"/>
      <c r="F10" s="58" t="s">
        <v>2039</v>
      </c>
      <c r="G10" s="12" t="str">
        <f>IF(COUNT(G13:G1012)=0,"",MEDIAN(G13:G1012))</f>
        <v/>
      </c>
      <c r="H10" s="12" t="str">
        <f t="shared" ref="H10:I10" si="25">IF(COUNT(H13:H1012)=0,"",MEDIAN(H13:H1012))</f>
        <v/>
      </c>
      <c r="I10" s="12" t="str">
        <f t="shared" si="25"/>
        <v/>
      </c>
      <c r="J10" s="53"/>
      <c r="K10" s="58" t="s">
        <v>2039</v>
      </c>
      <c r="L10" s="12" t="str">
        <f>IF(COUNT(L13:L1012)=0,"",MEDIAN(L13:L1012))</f>
        <v/>
      </c>
      <c r="M10" s="12" t="str">
        <f t="shared" ref="M10:N10" si="26">IF(COUNT(M13:M1012)=0,"",MEDIAN(M13:M1012))</f>
        <v/>
      </c>
      <c r="N10" s="12" t="str">
        <f t="shared" si="26"/>
        <v/>
      </c>
      <c r="O10" s="53"/>
      <c r="P10" s="58" t="s">
        <v>2039</v>
      </c>
      <c r="Q10" s="12" t="str">
        <f>IF(COUNT(Q13:Q1012)=0,"",MEDIAN(Q13:Q1012))</f>
        <v/>
      </c>
      <c r="R10" s="12" t="str">
        <f t="shared" ref="R10:S10" si="27">IF(COUNT(R13:R1012)=0,"",MEDIAN(R13:R1012))</f>
        <v/>
      </c>
      <c r="S10" s="12" t="str">
        <f t="shared" si="27"/>
        <v/>
      </c>
      <c r="T10" s="53"/>
      <c r="V10" s="58" t="s">
        <v>2039</v>
      </c>
      <c r="W10" s="12" t="str">
        <f>IF(COUNT(W13:W1012)=0,"",MEDIAN(W13:W1012))</f>
        <v/>
      </c>
      <c r="X10" s="12" t="str">
        <f t="shared" ref="X10:Y10" si="28">IF(COUNT(X13:X1012)=0,"",MEDIAN(X13:X1012))</f>
        <v/>
      </c>
      <c r="Y10" s="12" t="str">
        <f t="shared" si="28"/>
        <v/>
      </c>
      <c r="Z10" s="53"/>
      <c r="AA10" s="58" t="s">
        <v>2039</v>
      </c>
      <c r="AB10" s="12" t="str">
        <f>IF(COUNT(AB13:AB1012)=0,"",MEDIAN(AB13:AB1012))</f>
        <v/>
      </c>
      <c r="AC10" s="12" t="str">
        <f t="shared" ref="AC10:AD10" si="29">IF(COUNT(AC13:AC1012)=0,"",MEDIAN(AC13:AC1012))</f>
        <v/>
      </c>
      <c r="AD10" s="12" t="str">
        <f t="shared" si="29"/>
        <v/>
      </c>
      <c r="AE10" s="53"/>
      <c r="AF10" s="58" t="s">
        <v>2039</v>
      </c>
      <c r="AG10" s="12" t="str">
        <f>IF(COUNT(AG13:AG1012)=0,"",MEDIAN(AG13:AG1012))</f>
        <v/>
      </c>
      <c r="AH10" s="12" t="str">
        <f t="shared" ref="AH10:AI10" si="30">IF(COUNT(AH13:AH1012)=0,"",MEDIAN(AH13:AH1012))</f>
        <v/>
      </c>
      <c r="AI10" s="12" t="str">
        <f t="shared" si="30"/>
        <v/>
      </c>
      <c r="AJ10" s="53"/>
      <c r="AK10" s="58" t="s">
        <v>2039</v>
      </c>
      <c r="AL10" s="12" t="str">
        <f>IF(COUNT(AL13:AL1012)=0,"",MEDIAN(AL13:AL1012))</f>
        <v/>
      </c>
      <c r="AM10" s="12" t="str">
        <f t="shared" ref="AM10:AN10" si="31">IF(COUNT(AM13:AM1012)=0,"",MEDIAN(AM13:AM1012))</f>
        <v/>
      </c>
      <c r="AN10" s="12" t="str">
        <f t="shared" si="31"/>
        <v/>
      </c>
      <c r="AO10" s="53"/>
      <c r="AQ10" s="58" t="s">
        <v>2039</v>
      </c>
      <c r="AR10" s="12" t="str">
        <f>IF(COUNT(AR13:AR1012)=0,"",MEDIAN(AR13:AR1012))</f>
        <v/>
      </c>
      <c r="AS10" s="12" t="str">
        <f t="shared" ref="AS10:AT10" si="32">IF(COUNT(AS13:AS1012)=0,"",MEDIAN(AS13:AS1012))</f>
        <v/>
      </c>
      <c r="AT10" s="12" t="str">
        <f t="shared" si="32"/>
        <v/>
      </c>
      <c r="AU10" s="53"/>
      <c r="AV10" s="58" t="s">
        <v>2039</v>
      </c>
      <c r="AW10" s="12" t="str">
        <f>IF(COUNT(AW13:AW1012)=0,"",MEDIAN(AW13:AW1012))</f>
        <v/>
      </c>
      <c r="AX10" s="12" t="str">
        <f t="shared" ref="AX10:AY10" si="33">IF(COUNT(AX13:AX1012)=0,"",MEDIAN(AX13:AX1012))</f>
        <v/>
      </c>
      <c r="AY10" s="12" t="str">
        <f t="shared" si="33"/>
        <v/>
      </c>
      <c r="AZ10" s="53"/>
      <c r="BA10" s="58" t="s">
        <v>2039</v>
      </c>
      <c r="BB10" s="12" t="str">
        <f>IF(COUNT(BB13:BB1012)=0,"",MEDIAN(BB13:BB1012))</f>
        <v/>
      </c>
      <c r="BC10" s="12" t="str">
        <f t="shared" ref="BC10:BD10" si="34">IF(COUNT(BC13:BC1012)=0,"",MEDIAN(BC13:BC1012))</f>
        <v/>
      </c>
      <c r="BD10" s="12" t="str">
        <f t="shared" si="34"/>
        <v/>
      </c>
      <c r="BE10" s="53"/>
      <c r="BF10" s="58" t="s">
        <v>2039</v>
      </c>
      <c r="BG10" s="12" t="str">
        <f>IF(COUNT(BG13:BG1012)=0,"",MEDIAN(BG13:BG1012))</f>
        <v/>
      </c>
      <c r="BH10" s="12" t="str">
        <f t="shared" ref="BH10:BI10" si="35">IF(COUNT(BH13:BH1012)=0,"",MEDIAN(BH13:BH1012))</f>
        <v/>
      </c>
      <c r="BI10" s="12" t="str">
        <f t="shared" si="35"/>
        <v/>
      </c>
      <c r="BJ10" s="53"/>
      <c r="BL10" s="55"/>
      <c r="BM10" s="56"/>
      <c r="BN10" s="56"/>
      <c r="BO10" s="56"/>
      <c r="BR10" s="56"/>
      <c r="BS10" s="56"/>
      <c r="BT10" s="57"/>
    </row>
    <row r="11" spans="1:72" s="54" customFormat="1" ht="22.2" customHeight="1" x14ac:dyDescent="0.3">
      <c r="A11" s="52" t="s">
        <v>2041</v>
      </c>
      <c r="B11" s="12" t="str">
        <f>IF(COUNT(B13:B1012)=0,"",_xlfn.QUARTILE.INC(B13:B1012,3))</f>
        <v/>
      </c>
      <c r="C11" s="12" t="str">
        <f t="shared" ref="C11:D11" si="36">IF(COUNT(C13:C1012)=0,"",_xlfn.QUARTILE.INC(C13:C1012,3))</f>
        <v/>
      </c>
      <c r="D11" s="12" t="str">
        <f t="shared" si="36"/>
        <v/>
      </c>
      <c r="E11" s="53"/>
      <c r="F11" s="52" t="s">
        <v>2041</v>
      </c>
      <c r="G11" s="12" t="str">
        <f>IF(COUNT(G13:G1012)=0,"",_xlfn.QUARTILE.INC(G13:G1012,3))</f>
        <v/>
      </c>
      <c r="H11" s="12" t="str">
        <f t="shared" ref="H11:I11" si="37">IF(COUNT(H13:H1012)=0,"",_xlfn.QUARTILE.INC(H13:H1012,3))</f>
        <v/>
      </c>
      <c r="I11" s="12" t="str">
        <f t="shared" si="37"/>
        <v/>
      </c>
      <c r="J11" s="53"/>
      <c r="K11" s="52" t="s">
        <v>2041</v>
      </c>
      <c r="L11" s="12" t="str">
        <f>IF(COUNT(L13:L1012)=0,"",_xlfn.QUARTILE.INC(L13:L1012,3))</f>
        <v/>
      </c>
      <c r="M11" s="12" t="str">
        <f t="shared" ref="M11:N11" si="38">IF(COUNT(M13:M1012)=0,"",_xlfn.QUARTILE.INC(M13:M1012,3))</f>
        <v/>
      </c>
      <c r="N11" s="12" t="str">
        <f t="shared" si="38"/>
        <v/>
      </c>
      <c r="O11" s="53"/>
      <c r="P11" s="52" t="s">
        <v>2041</v>
      </c>
      <c r="Q11" s="12" t="str">
        <f>IF(COUNT(Q13:Q1012)=0,"",_xlfn.QUARTILE.INC(Q13:Q1012,3))</f>
        <v/>
      </c>
      <c r="R11" s="12" t="str">
        <f t="shared" ref="R11:S11" si="39">IF(COUNT(R13:R1012)=0,"",_xlfn.QUARTILE.INC(R13:R1012,3))</f>
        <v/>
      </c>
      <c r="S11" s="12" t="str">
        <f t="shared" si="39"/>
        <v/>
      </c>
      <c r="T11" s="53"/>
      <c r="V11" s="52" t="s">
        <v>2041</v>
      </c>
      <c r="W11" s="12" t="str">
        <f>IF(COUNT(W13:W1012)=0,"",_xlfn.QUARTILE.INC(W13:W1012,3))</f>
        <v/>
      </c>
      <c r="X11" s="12" t="str">
        <f t="shared" ref="X11:Y11" si="40">IF(COUNT(X13:X1012)=0,"",_xlfn.QUARTILE.INC(X13:X1012,3))</f>
        <v/>
      </c>
      <c r="Y11" s="12" t="str">
        <f t="shared" si="40"/>
        <v/>
      </c>
      <c r="Z11" s="53"/>
      <c r="AA11" s="52" t="s">
        <v>2041</v>
      </c>
      <c r="AB11" s="12" t="str">
        <f>IF(COUNT(AB13:AB1012)=0,"",_xlfn.QUARTILE.INC(AB13:AB1012,3))</f>
        <v/>
      </c>
      <c r="AC11" s="12" t="str">
        <f t="shared" ref="AC11:AD11" si="41">IF(COUNT(AC13:AC1012)=0,"",_xlfn.QUARTILE.INC(AC13:AC1012,3))</f>
        <v/>
      </c>
      <c r="AD11" s="12" t="str">
        <f t="shared" si="41"/>
        <v/>
      </c>
      <c r="AE11" s="53"/>
      <c r="AF11" s="52" t="s">
        <v>2041</v>
      </c>
      <c r="AG11" s="12" t="str">
        <f>IF(COUNT(AG13:AG1012)=0,"",_xlfn.QUARTILE.INC(AG13:AG1012,3))</f>
        <v/>
      </c>
      <c r="AH11" s="12" t="str">
        <f t="shared" ref="AH11:AI11" si="42">IF(COUNT(AH13:AH1012)=0,"",_xlfn.QUARTILE.INC(AH13:AH1012,3))</f>
        <v/>
      </c>
      <c r="AI11" s="12" t="str">
        <f t="shared" si="42"/>
        <v/>
      </c>
      <c r="AJ11" s="53"/>
      <c r="AK11" s="52" t="s">
        <v>2041</v>
      </c>
      <c r="AL11" s="12" t="str">
        <f>IF(COUNT(AL13:AL1012)=0,"",_xlfn.QUARTILE.INC(AL13:AL1012,3))</f>
        <v/>
      </c>
      <c r="AM11" s="12" t="str">
        <f t="shared" ref="AM11:AN11" si="43">IF(COUNT(AM13:AM1012)=0,"",_xlfn.QUARTILE.INC(AM13:AM1012,3))</f>
        <v/>
      </c>
      <c r="AN11" s="12" t="str">
        <f t="shared" si="43"/>
        <v/>
      </c>
      <c r="AO11" s="53"/>
      <c r="AQ11" s="52" t="s">
        <v>2041</v>
      </c>
      <c r="AR11" s="12" t="str">
        <f>IF(COUNT(AR13:AR1012)=0,"",_xlfn.QUARTILE.INC(AR13:AR1012,3))</f>
        <v/>
      </c>
      <c r="AS11" s="12" t="str">
        <f t="shared" ref="AS11:AT11" si="44">IF(COUNT(AS13:AS1012)=0,"",_xlfn.QUARTILE.INC(AS13:AS1012,3))</f>
        <v/>
      </c>
      <c r="AT11" s="12" t="str">
        <f t="shared" si="44"/>
        <v/>
      </c>
      <c r="AU11" s="53"/>
      <c r="AV11" s="52" t="s">
        <v>2041</v>
      </c>
      <c r="AW11" s="12" t="str">
        <f>IF(COUNT(AW13:AW1012)=0,"",_xlfn.QUARTILE.INC(AW13:AW1012,3))</f>
        <v/>
      </c>
      <c r="AX11" s="12" t="str">
        <f t="shared" ref="AX11:AY11" si="45">IF(COUNT(AX13:AX1012)=0,"",_xlfn.QUARTILE.INC(AX13:AX1012,3))</f>
        <v/>
      </c>
      <c r="AY11" s="12" t="str">
        <f t="shared" si="45"/>
        <v/>
      </c>
      <c r="AZ11" s="53"/>
      <c r="BA11" s="52" t="s">
        <v>2041</v>
      </c>
      <c r="BB11" s="12" t="str">
        <f>IF(COUNT(BB13:BB1012)=0,"",_xlfn.QUARTILE.INC(BB13:BB1012,3))</f>
        <v/>
      </c>
      <c r="BC11" s="12" t="str">
        <f t="shared" ref="BC11:BD11" si="46">IF(COUNT(BC13:BC1012)=0,"",_xlfn.QUARTILE.INC(BC13:BC1012,3))</f>
        <v/>
      </c>
      <c r="BD11" s="12" t="str">
        <f t="shared" si="46"/>
        <v/>
      </c>
      <c r="BE11" s="53"/>
      <c r="BF11" s="52" t="s">
        <v>2041</v>
      </c>
      <c r="BG11" s="12" t="str">
        <f>IF(COUNT(BG13:BG1012)=0,"",_xlfn.QUARTILE.INC(BG13:BG1012,3))</f>
        <v/>
      </c>
      <c r="BH11" s="12" t="str">
        <f t="shared" ref="BH11:BI11" si="47">IF(COUNT(BH13:BH1012)=0,"",_xlfn.QUARTILE.INC(BH13:BH1012,3))</f>
        <v/>
      </c>
      <c r="BI11" s="12" t="str">
        <f t="shared" si="47"/>
        <v/>
      </c>
      <c r="BJ11" s="53"/>
      <c r="BL11" s="55"/>
      <c r="BM11" s="56"/>
      <c r="BN11" s="56"/>
      <c r="BO11" s="56"/>
      <c r="BR11" s="56"/>
      <c r="BS11" s="56"/>
      <c r="BT11" s="57"/>
    </row>
    <row r="12" spans="1:72" s="54" customFormat="1" ht="22.2" customHeight="1" x14ac:dyDescent="0.3">
      <c r="A12" s="52" t="s">
        <v>2043</v>
      </c>
      <c r="B12" s="12" t="str">
        <f>IF(COUNT(B13:B1012)=0,"",MAX(B13:B1012))</f>
        <v/>
      </c>
      <c r="C12" s="12" t="str">
        <f t="shared" ref="C12:D12" si="48">IF(COUNT(C13:C1012)=0,"",MAX(C13:C1012))</f>
        <v/>
      </c>
      <c r="D12" s="12" t="str">
        <f t="shared" si="48"/>
        <v/>
      </c>
      <c r="E12" s="53"/>
      <c r="F12" s="52" t="s">
        <v>2043</v>
      </c>
      <c r="G12" s="12" t="str">
        <f>IF(COUNT(G13:G1012)=0,"",MAX(G13:G1012))</f>
        <v/>
      </c>
      <c r="H12" s="12" t="str">
        <f t="shared" ref="H12" si="49">IF(COUNT(H13:H1012)=0,"",MAX(H13:H1012))</f>
        <v/>
      </c>
      <c r="I12" s="12" t="str">
        <f t="shared" ref="I12" si="50">IF(COUNT(I13:I1012)=0,"",MAX(I13:I1012))</f>
        <v/>
      </c>
      <c r="J12" s="53"/>
      <c r="K12" s="52" t="s">
        <v>2043</v>
      </c>
      <c r="L12" s="12" t="str">
        <f>IF(COUNT(L13:L1012)=0,"",MAX(L13:L1012))</f>
        <v/>
      </c>
      <c r="M12" s="12" t="str">
        <f t="shared" ref="M12" si="51">IF(COUNT(M13:M1012)=0,"",MAX(M13:M1012))</f>
        <v/>
      </c>
      <c r="N12" s="12" t="str">
        <f t="shared" ref="N12" si="52">IF(COUNT(N13:N1012)=0,"",MAX(N13:N1012))</f>
        <v/>
      </c>
      <c r="O12" s="53"/>
      <c r="P12" s="52" t="s">
        <v>2043</v>
      </c>
      <c r="Q12" s="12" t="str">
        <f>IF(COUNT(Q13:Q1012)=0,"",MAX(Q13:Q1012))</f>
        <v/>
      </c>
      <c r="R12" s="12" t="str">
        <f t="shared" ref="R12" si="53">IF(COUNT(R13:R1012)=0,"",MAX(R13:R1012))</f>
        <v/>
      </c>
      <c r="S12" s="12" t="str">
        <f t="shared" ref="S12" si="54">IF(COUNT(S13:S1012)=0,"",MAX(S13:S1012))</f>
        <v/>
      </c>
      <c r="T12" s="53"/>
      <c r="V12" s="52" t="s">
        <v>2043</v>
      </c>
      <c r="W12" s="12" t="str">
        <f>IF(COUNT(W13:W1012)=0,"",MAX(W13:W1012))</f>
        <v/>
      </c>
      <c r="X12" s="12" t="str">
        <f t="shared" ref="X12" si="55">IF(COUNT(X13:X1012)=0,"",MAX(X13:X1012))</f>
        <v/>
      </c>
      <c r="Y12" s="12" t="str">
        <f t="shared" ref="Y12" si="56">IF(COUNT(Y13:Y1012)=0,"",MAX(Y13:Y1012))</f>
        <v/>
      </c>
      <c r="Z12" s="53"/>
      <c r="AA12" s="52" t="s">
        <v>2043</v>
      </c>
      <c r="AB12" s="12" t="str">
        <f>IF(COUNT(AB13:AB1012)=0,"",MAX(AB13:AB1012))</f>
        <v/>
      </c>
      <c r="AC12" s="12" t="str">
        <f t="shared" ref="AC12" si="57">IF(COUNT(AC13:AC1012)=0,"",MAX(AC13:AC1012))</f>
        <v/>
      </c>
      <c r="AD12" s="12" t="str">
        <f t="shared" ref="AD12" si="58">IF(COUNT(AD13:AD1012)=0,"",MAX(AD13:AD1012))</f>
        <v/>
      </c>
      <c r="AE12" s="53"/>
      <c r="AF12" s="52" t="s">
        <v>2043</v>
      </c>
      <c r="AG12" s="12" t="str">
        <f>IF(COUNT(AG13:AG1012)=0,"",MAX(AG13:AG1012))</f>
        <v/>
      </c>
      <c r="AH12" s="12" t="str">
        <f t="shared" ref="AH12" si="59">IF(COUNT(AH13:AH1012)=0,"",MAX(AH13:AH1012))</f>
        <v/>
      </c>
      <c r="AI12" s="12" t="str">
        <f t="shared" ref="AI12" si="60">IF(COUNT(AI13:AI1012)=0,"",MAX(AI13:AI1012))</f>
        <v/>
      </c>
      <c r="AJ12" s="53"/>
      <c r="AK12" s="52" t="s">
        <v>2043</v>
      </c>
      <c r="AL12" s="12" t="str">
        <f>IF(COUNT(AL13:AL1012)=0,"",MAX(AL13:AL1012))</f>
        <v/>
      </c>
      <c r="AM12" s="12" t="str">
        <f t="shared" ref="AM12" si="61">IF(COUNT(AM13:AM1012)=0,"",MAX(AM13:AM1012))</f>
        <v/>
      </c>
      <c r="AN12" s="12" t="str">
        <f t="shared" ref="AN12" si="62">IF(COUNT(AN13:AN1012)=0,"",MAX(AN13:AN1012))</f>
        <v/>
      </c>
      <c r="AO12" s="53"/>
      <c r="AQ12" s="52" t="s">
        <v>2043</v>
      </c>
      <c r="AR12" s="12" t="str">
        <f>IF(COUNT(AR13:AR1012)=0,"",MAX(AR13:AR1012))</f>
        <v/>
      </c>
      <c r="AS12" s="12" t="str">
        <f t="shared" ref="AS12" si="63">IF(COUNT(AS13:AS1012)=0,"",MAX(AS13:AS1012))</f>
        <v/>
      </c>
      <c r="AT12" s="12" t="str">
        <f t="shared" ref="AT12" si="64">IF(COUNT(AT13:AT1012)=0,"",MAX(AT13:AT1012))</f>
        <v/>
      </c>
      <c r="AU12" s="53"/>
      <c r="AV12" s="52" t="s">
        <v>2043</v>
      </c>
      <c r="AW12" s="12" t="str">
        <f>IF(COUNT(AW13:AW1012)=0,"",MAX(AW13:AW1012))</f>
        <v/>
      </c>
      <c r="AX12" s="12" t="str">
        <f t="shared" ref="AX12" si="65">IF(COUNT(AX13:AX1012)=0,"",MAX(AX13:AX1012))</f>
        <v/>
      </c>
      <c r="AY12" s="12" t="str">
        <f t="shared" ref="AY12" si="66">IF(COUNT(AY13:AY1012)=0,"",MAX(AY13:AY1012))</f>
        <v/>
      </c>
      <c r="AZ12" s="53"/>
      <c r="BA12" s="52" t="s">
        <v>2043</v>
      </c>
      <c r="BB12" s="12" t="str">
        <f>IF(COUNT(BB13:BB1012)=0,"",MAX(BB13:BB1012))</f>
        <v/>
      </c>
      <c r="BC12" s="12" t="str">
        <f t="shared" ref="BC12" si="67">IF(COUNT(BC13:BC1012)=0,"",MAX(BC13:BC1012))</f>
        <v/>
      </c>
      <c r="BD12" s="12" t="str">
        <f t="shared" ref="BD12" si="68">IF(COUNT(BD13:BD1012)=0,"",MAX(BD13:BD1012))</f>
        <v/>
      </c>
      <c r="BE12" s="53"/>
      <c r="BF12" s="52" t="s">
        <v>2043</v>
      </c>
      <c r="BG12" s="12" t="str">
        <f>IF(COUNT(BG13:BG1012)=0,"",MAX(BG13:BG1012))</f>
        <v/>
      </c>
      <c r="BH12" s="12" t="str">
        <f t="shared" ref="BH12" si="69">IF(COUNT(BH13:BH1012)=0,"",MAX(BH13:BH1012))</f>
        <v/>
      </c>
      <c r="BI12" s="12" t="str">
        <f t="shared" ref="BI12" si="70">IF(COUNT(BI13:BI1012)=0,"",MAX(BI13:BI1012))</f>
        <v/>
      </c>
      <c r="BJ12" s="53"/>
      <c r="BL12" s="55"/>
      <c r="BM12" s="56"/>
      <c r="BN12" s="56"/>
      <c r="BO12" s="56"/>
      <c r="BR12" s="56"/>
      <c r="BS12" s="56"/>
      <c r="BT12" s="57"/>
    </row>
    <row r="13" spans="1:72" s="23" customFormat="1" ht="18" customHeight="1" x14ac:dyDescent="0.3">
      <c r="A13" s="35" t="s">
        <v>1007</v>
      </c>
      <c r="B13" s="36"/>
      <c r="C13" s="36"/>
      <c r="D13" s="36"/>
      <c r="E13" s="37"/>
      <c r="F13" s="35" t="s">
        <v>1011</v>
      </c>
      <c r="G13" s="36"/>
      <c r="H13" s="36"/>
      <c r="I13" s="36"/>
      <c r="J13" s="37"/>
      <c r="K13" s="21" t="str">
        <f>IF($A13&lt;&gt;"",$A13,"")</f>
        <v>Apprenant 1</v>
      </c>
      <c r="L13" s="22" t="str">
        <f>IF(AND($B13&lt;&gt;"",$C13&lt;&gt;""),$C13-$B13,"")</f>
        <v/>
      </c>
      <c r="M13" s="22" t="str">
        <f>IF(AND($B13&lt;&gt;"",$D13&lt;&gt;""),$D13-$B13,"")</f>
        <v/>
      </c>
      <c r="N13" s="22" t="str">
        <f>IF(AND($C13&lt;&gt;"",$D13&lt;&gt;""),$D13-$C13,"")</f>
        <v/>
      </c>
      <c r="O13" s="22" t="str">
        <f>IF($E13&lt;&gt;"",$E13,"")</f>
        <v/>
      </c>
      <c r="P13" s="21" t="str">
        <f>IF($F13&lt;&gt;"",$F13,"")</f>
        <v>Apprenant 1 ou 1'</v>
      </c>
      <c r="Q13" s="22" t="str">
        <f>IF(AND($G13&lt;&gt;"",$H13&lt;&gt;""),$H13-$G13,"")</f>
        <v/>
      </c>
      <c r="R13" s="22" t="str">
        <f>IF(AND($G13&lt;&gt;"",$I13&lt;&gt;""),$I13-$G13,"")</f>
        <v/>
      </c>
      <c r="S13" s="22" t="str">
        <f>IF(AND($H13&lt;&gt;"",$I13&lt;&gt;""),$I13-$H13,"")</f>
        <v/>
      </c>
      <c r="T13" s="22" t="str">
        <f>IF($J13&lt;&gt;"",$J13,"")</f>
        <v/>
      </c>
      <c r="V13" s="21" t="str">
        <f>IF($A13&lt;&gt;"",$A13,"")</f>
        <v>Apprenant 1</v>
      </c>
      <c r="W13" s="22" t="str">
        <f>IF(AND(OR('Choix pédagogiques'!$C$3=1,'Choix pédagogiques'!$C$3=2),$BM13=1),B13,IF(AND('Choix pédagogiques'!$C$3=3,$BO13=1),B13,""))</f>
        <v/>
      </c>
      <c r="X13" s="22" t="str">
        <f>IF(AND(OR('Choix pédagogiques'!$C$3=1,'Choix pédagogiques'!$C$3=2),$BM13=1),C13,IF(AND('Choix pédagogiques'!$C$3=3,$BO13=1),C13,""))</f>
        <v/>
      </c>
      <c r="Y13" s="22" t="str">
        <f>IF(AND(OR('Choix pédagogiques'!$C$3=1,'Choix pédagogiques'!$C$3=2),$BM13=1),D13,IF(AND('Choix pédagogiques'!$C$3=3,$BO13=1),D13,""))</f>
        <v/>
      </c>
      <c r="Z13" s="22" t="str">
        <f>IF($E13&lt;&gt;"",$E13,"")</f>
        <v/>
      </c>
      <c r="AA13" s="21" t="str">
        <f>IF($F13&lt;&gt;"",$F13,"")</f>
        <v>Apprenant 1 ou 1'</v>
      </c>
      <c r="AB13" s="22" t="str">
        <f>IF(AND(OR('Choix pédagogiques'!$C$3=1,'Choix pédagogiques'!$C$3=2),$BN13=1),G13,IF(AND('Choix pédagogiques'!$C$3=3,$BO13=1),G13,""))</f>
        <v/>
      </c>
      <c r="AC13" s="22" t="str">
        <f>IF(AND(OR('Choix pédagogiques'!$C$3=1,'Choix pédagogiques'!$C$3=2),$BN13=1),H13,IF(AND('Choix pédagogiques'!$C$3=3,$BO13=1),H13,""))</f>
        <v/>
      </c>
      <c r="AD13" s="22" t="str">
        <f>IF(AND(OR('Choix pédagogiques'!$C$3=1,'Choix pédagogiques'!$C$3=2),$BN13=1),I13,IF(AND('Choix pédagogiques'!$C$3=3,$BO13=1),I13,""))</f>
        <v/>
      </c>
      <c r="AE13" s="22" t="str">
        <f>IF($J13&lt;&gt;"",$J13,"")</f>
        <v/>
      </c>
      <c r="AF13" s="21" t="str">
        <f>IF($A13&lt;&gt;"",$A13,"")</f>
        <v>Apprenant 1</v>
      </c>
      <c r="AG13" s="22" t="str">
        <f t="shared" ref="AG13:AG76" si="71">IF(AND($W13&lt;&gt;"",$X13&lt;&gt;""),$X13-$W13,"")</f>
        <v/>
      </c>
      <c r="AH13" s="22" t="str">
        <f t="shared" ref="AH13:AH76" si="72">IF(AND($W13&lt;&gt;"",$Y13&lt;&gt;""),$Y13-$W13,"")</f>
        <v/>
      </c>
      <c r="AI13" s="22" t="str">
        <f t="shared" ref="AI13:AI76" si="73">IF(AND($X13&lt;&gt;"",$Y13&lt;&gt;""),$Y13-$X13,"")</f>
        <v/>
      </c>
      <c r="AJ13" s="22" t="str">
        <f>IF($E13&lt;&gt;"",$E13,"")</f>
        <v/>
      </c>
      <c r="AK13" s="21" t="str">
        <f>IF($F13&lt;&gt;"",$F13,"")</f>
        <v>Apprenant 1 ou 1'</v>
      </c>
      <c r="AL13" s="22" t="str">
        <f t="shared" ref="AL13:AL76" si="74">IF(AND($AB13&lt;&gt;"",$AC13&lt;&gt;""),$AC13-$AB13,"")</f>
        <v/>
      </c>
      <c r="AM13" s="22" t="str">
        <f t="shared" ref="AM13:AM76" si="75">IF(AND($AB13&lt;&gt;"",$AD13&lt;&gt;""),$AD13-$AB13,"")</f>
        <v/>
      </c>
      <c r="AN13" s="22" t="str">
        <f t="shared" ref="AN13:AN76" si="76">IF(AND($AC13&lt;&gt;"",$AD13&lt;&gt;""),$AD13-$AC13,"")</f>
        <v/>
      </c>
      <c r="AO13" s="22" t="str">
        <f>IF($J13&lt;&gt;"",$J13,"")</f>
        <v/>
      </c>
      <c r="AQ13" s="21" t="str">
        <f>IF($A13&lt;&gt;"",$A13,"")</f>
        <v>Apprenant 1</v>
      </c>
      <c r="AR13" s="49" t="str">
        <f>IF(AND('Choix pédagogiques'!$C$4&lt;&gt;"?",'Choix pédagogiques'!$C$5&lt;&gt;"?",W13&lt;&gt;""),(W13-'Choix pédagogiques'!$C$4)/('Choix pédagogiques'!$C$5-'Choix pédagogiques'!$C$4),"")</f>
        <v/>
      </c>
      <c r="AS13" s="49" t="str">
        <f>IF(AND('Choix pédagogiques'!$C$4&lt;&gt;"?",'Choix pédagogiques'!$C$5&lt;&gt;"?",X13&lt;&gt;""),(X13-'Choix pédagogiques'!$C$4)/('Choix pédagogiques'!$C$5-'Choix pédagogiques'!$C$4),"")</f>
        <v/>
      </c>
      <c r="AT13" s="49" t="str">
        <f>IF(AND('Choix pédagogiques'!$C$4&lt;&gt;"?",'Choix pédagogiques'!$C$5&lt;&gt;"?",Y13&lt;&gt;""),(Y13-'Choix pédagogiques'!$C$4)/('Choix pédagogiques'!$C$5-'Choix pédagogiques'!$C$4),"")</f>
        <v/>
      </c>
      <c r="AU13" s="22" t="str">
        <f>IF($E13&lt;&gt;"",$E13,"")</f>
        <v/>
      </c>
      <c r="AV13" s="21" t="str">
        <f>IF($F13&lt;&gt;"",$F13,"")</f>
        <v>Apprenant 1 ou 1'</v>
      </c>
      <c r="AW13" s="49" t="str">
        <f>IF(AND('Choix pédagogiques'!$C$4&lt;&gt;"?",'Choix pédagogiques'!$C$5&lt;&gt;"?",AB13&lt;&gt;""),(AB13-'Choix pédagogiques'!$C$4)/('Choix pédagogiques'!$C$5-'Choix pédagogiques'!$C$4),"")</f>
        <v/>
      </c>
      <c r="AX13" s="49" t="str">
        <f>IF(AND('Choix pédagogiques'!$C$4&lt;&gt;"?",'Choix pédagogiques'!$C$5&lt;&gt;"?",AC13&lt;&gt;""),(AC13-'Choix pédagogiques'!$C$4)/('Choix pédagogiques'!$C$5-'Choix pédagogiques'!$C$4),"")</f>
        <v/>
      </c>
      <c r="AY13" s="49" t="str">
        <f>IF(AND('Choix pédagogiques'!$C$4&lt;&gt;"?",'Choix pédagogiques'!$C$5&lt;&gt;"?",AD13&lt;&gt;""),(AD13-'Choix pédagogiques'!$C$4)/('Choix pédagogiques'!$C$5-'Choix pédagogiques'!$C$4),"")</f>
        <v/>
      </c>
      <c r="AZ13" s="22" t="str">
        <f>IF($J13&lt;&gt;"",$J13,"")</f>
        <v/>
      </c>
      <c r="BA13" s="21" t="str">
        <f>IF($A13&lt;&gt;"",$A13,"")</f>
        <v>Apprenant 1</v>
      </c>
      <c r="BB13" s="49" t="str">
        <f t="shared" ref="BB13:BB76" si="77">IF(AND($AR13&lt;&gt;"",$AS13&lt;&gt;""),$AS13-$AR13,"")</f>
        <v/>
      </c>
      <c r="BC13" s="49" t="str">
        <f t="shared" ref="BC13:BC76" si="78">IF(AND($AR13&lt;&gt;"",$AT13&lt;&gt;""),$AT13-$AR13,"")</f>
        <v/>
      </c>
      <c r="BD13" s="49" t="str">
        <f t="shared" ref="BD13:BD76" si="79">IF(AND($AS13&lt;&gt;"",$AT13&lt;&gt;""),$AT13-$AS13,"")</f>
        <v/>
      </c>
      <c r="BE13" s="22" t="str">
        <f>IF($E13&lt;&gt;"",$E13,"")</f>
        <v/>
      </c>
      <c r="BF13" s="21" t="str">
        <f>IF($F13&lt;&gt;"",$F13,"")</f>
        <v>Apprenant 1 ou 1'</v>
      </c>
      <c r="BG13" s="49" t="str">
        <f t="shared" ref="BG13:BG76" si="80">IF(AND($AW13&lt;&gt;"",$AX13&lt;&gt;""),$AX13-$AW13,"")</f>
        <v/>
      </c>
      <c r="BH13" s="49" t="str">
        <f t="shared" ref="BH13:BH76" si="81">IF(AND($AW13&lt;&gt;"",$AY13&lt;&gt;""),$AY13-$AW13,"")</f>
        <v/>
      </c>
      <c r="BI13" s="49" t="str">
        <f t="shared" ref="BI13:BI76" si="82">IF(AND($AX13&lt;&gt;"",$AY13&lt;&gt;""),$AY13-$AX13,"")</f>
        <v/>
      </c>
      <c r="BJ13" s="22" t="str">
        <f>IF($J13&lt;&gt;"",$J13,"")</f>
        <v/>
      </c>
      <c r="BL13" s="21"/>
      <c r="BM13" s="21" t="str">
        <f>IF(OR(COUNT(B13:D1012)=0,AND('Choix pédagogiques'!$C$3&lt;&gt;1,'Choix pédagogiques'!$C$3&lt;&gt;2)),"",IF(AND(OR('Choix pédagogiques'!$C$3=1,'Choix pédagogiques'!$C$3=2),$B13&lt;&gt;"",$C13&lt;&gt;"",$D13&lt;&gt;""),1,0))</f>
        <v/>
      </c>
      <c r="BN13" s="21" t="str">
        <f>IF(OR(COUNT(G13:I1012)=0,AND('Choix pédagogiques'!$C$3&lt;&gt;1,'Choix pédagogiques'!$C$3&lt;&gt;2)),"",IF(AND(OR('Choix pédagogiques'!$C$3=1,'Choix pédagogiques'!$C$3=2),AND($G13&lt;&gt;"",$H13&lt;&gt;"",$I13&lt;&gt;"")),1,0))</f>
        <v/>
      </c>
      <c r="BO13" s="21" t="str">
        <f>IF(OR(COUNT(B13:D1012)=0,COUNT(G13:I1012)=0,'Choix pédagogiques'!C$3&lt;&gt;3),"",IF(AND('Choix pédagogiques'!$C$3=3,$B13&lt;&gt;"",$C13&lt;&gt;"",$D13&lt;&gt;"",$G13&lt;&gt;"",$H13&lt;&gt;"",$I13&lt;&gt;""),1,0))</f>
        <v/>
      </c>
      <c r="BR13" s="21">
        <v>977</v>
      </c>
      <c r="BS13" s="21">
        <v>1953</v>
      </c>
      <c r="BT13"/>
    </row>
    <row r="14" spans="1:72" s="23" customFormat="1" ht="18" customHeight="1" x14ac:dyDescent="0.3">
      <c r="A14" s="35" t="s">
        <v>1008</v>
      </c>
      <c r="B14" s="36"/>
      <c r="C14" s="36"/>
      <c r="D14" s="36"/>
      <c r="E14" s="37"/>
      <c r="F14" s="35" t="s">
        <v>1012</v>
      </c>
      <c r="G14" s="36"/>
      <c r="H14" s="36"/>
      <c r="I14" s="36"/>
      <c r="J14" s="37"/>
      <c r="K14" s="21" t="str">
        <f t="shared" ref="K14:K77" si="83">IF($A14&lt;&gt;"",$A14,"")</f>
        <v>Apprenant 2</v>
      </c>
      <c r="L14" s="22" t="str">
        <f t="shared" ref="L14:L77" si="84">IF(AND($B14&lt;&gt;"",$C14&lt;&gt;""),$C14-$B14,"")</f>
        <v/>
      </c>
      <c r="M14" s="22" t="str">
        <f t="shared" ref="M14:M77" si="85">IF(AND($B14&lt;&gt;"",$D14&lt;&gt;""),$D14-$B14,"")</f>
        <v/>
      </c>
      <c r="N14" s="22" t="str">
        <f t="shared" ref="N14:N77" si="86">IF(AND($C14&lt;&gt;"",$D14&lt;&gt;""),$D14-$C14,"")</f>
        <v/>
      </c>
      <c r="O14" s="22" t="str">
        <f t="shared" ref="O14:O77" si="87">IF($E14&lt;&gt;"",$E14,"")</f>
        <v/>
      </c>
      <c r="P14" s="21" t="str">
        <f t="shared" ref="P14:P77" si="88">IF($F14&lt;&gt;"",$F14,"")</f>
        <v>Apprenant 2 ou 2'</v>
      </c>
      <c r="Q14" s="22" t="str">
        <f t="shared" ref="Q14:Q77" si="89">IF(AND($G14&lt;&gt;"",$H14&lt;&gt;""),$H14-$G14,"")</f>
        <v/>
      </c>
      <c r="R14" s="22" t="str">
        <f t="shared" ref="R14:R77" si="90">IF(AND($G14&lt;&gt;"",$I14&lt;&gt;""),$I14-$G14,"")</f>
        <v/>
      </c>
      <c r="S14" s="22" t="str">
        <f t="shared" ref="S14:S77" si="91">IF(AND($H14&lt;&gt;"",$I14&lt;&gt;""),$I14-$H14,"")</f>
        <v/>
      </c>
      <c r="T14" s="22" t="str">
        <f t="shared" ref="T14:T77" si="92">IF($J14&lt;&gt;"",$J14,"")</f>
        <v/>
      </c>
      <c r="V14" s="21" t="str">
        <f t="shared" ref="V14:V77" si="93">IF($A14&lt;&gt;"",$A14,"")</f>
        <v>Apprenant 2</v>
      </c>
      <c r="W14" s="22" t="str">
        <f>IF(AND(OR('Choix pédagogiques'!$C$3=1,'Choix pédagogiques'!$C$3=2),$BM14=1),B14,IF(AND('Choix pédagogiques'!$C$3=3,$BO14=1),B14,""))</f>
        <v/>
      </c>
      <c r="X14" s="22" t="str">
        <f>IF(AND(OR('Choix pédagogiques'!$C$3=1,'Choix pédagogiques'!$C$3=2),$BM14=1),C14,IF(AND('Choix pédagogiques'!$C$3=3,$BO14=1),C14,""))</f>
        <v/>
      </c>
      <c r="Y14" s="22" t="str">
        <f>IF(AND(OR('Choix pédagogiques'!$C$3=1,'Choix pédagogiques'!$C$3=2),$BM14=1),D14,IF(AND('Choix pédagogiques'!$C$3=3,$BO14=1),D14,""))</f>
        <v/>
      </c>
      <c r="Z14" s="22" t="str">
        <f t="shared" ref="Z14:Z77" si="94">IF($E14&lt;&gt;"",$E14,"")</f>
        <v/>
      </c>
      <c r="AA14" s="21" t="str">
        <f t="shared" ref="AA14:AA77" si="95">IF($F14&lt;&gt;"",$F14,"")</f>
        <v>Apprenant 2 ou 2'</v>
      </c>
      <c r="AB14" s="22" t="str">
        <f>IF(AND(OR('Choix pédagogiques'!$C$3=1,'Choix pédagogiques'!$C$3=2),$BN14=1),G14,IF(AND('Choix pédagogiques'!$C$3=3,$BO14=1),G14,""))</f>
        <v/>
      </c>
      <c r="AC14" s="22" t="str">
        <f>IF(AND(OR('Choix pédagogiques'!$C$3=1,'Choix pédagogiques'!$C$3=2),$BN14=1),H14,IF(AND('Choix pédagogiques'!$C$3=3,$BO14=1),H14,""))</f>
        <v/>
      </c>
      <c r="AD14" s="22" t="str">
        <f>IF(AND(OR('Choix pédagogiques'!$C$3=1,'Choix pédagogiques'!$C$3=2),$BN14=1),I14,IF(AND('Choix pédagogiques'!$C$3=3,$BO14=1),I14,""))</f>
        <v/>
      </c>
      <c r="AE14" s="22" t="str">
        <f t="shared" ref="AE14:AE77" si="96">IF($J14&lt;&gt;"",$J14,"")</f>
        <v/>
      </c>
      <c r="AF14" s="21" t="str">
        <f t="shared" ref="AF14:AF77" si="97">IF($A14&lt;&gt;"",$A14,"")</f>
        <v>Apprenant 2</v>
      </c>
      <c r="AG14" s="22" t="str">
        <f t="shared" si="71"/>
        <v/>
      </c>
      <c r="AH14" s="22" t="str">
        <f t="shared" si="72"/>
        <v/>
      </c>
      <c r="AI14" s="22" t="str">
        <f t="shared" si="73"/>
        <v/>
      </c>
      <c r="AJ14" s="22" t="str">
        <f t="shared" ref="AJ14:AJ77" si="98">IF($E14&lt;&gt;"",$E14,"")</f>
        <v/>
      </c>
      <c r="AK14" s="21" t="str">
        <f t="shared" ref="AK14:AK77" si="99">IF($F14&lt;&gt;"",$F14,"")</f>
        <v>Apprenant 2 ou 2'</v>
      </c>
      <c r="AL14" s="22" t="str">
        <f t="shared" si="74"/>
        <v/>
      </c>
      <c r="AM14" s="22" t="str">
        <f t="shared" si="75"/>
        <v/>
      </c>
      <c r="AN14" s="22" t="str">
        <f t="shared" si="76"/>
        <v/>
      </c>
      <c r="AO14" s="22" t="str">
        <f t="shared" ref="AO14:AO77" si="100">IF($J14&lt;&gt;"",$J14,"")</f>
        <v/>
      </c>
      <c r="AQ14" s="21" t="str">
        <f t="shared" ref="AQ14:AQ77" si="101">IF($A14&lt;&gt;"",$A14,"")</f>
        <v>Apprenant 2</v>
      </c>
      <c r="AR14" s="49" t="str">
        <f>IF(AND('Choix pédagogiques'!$C$4&lt;&gt;"?",'Choix pédagogiques'!$C$5&lt;&gt;"?",W14&lt;&gt;""),(W14-'Choix pédagogiques'!$C$4)/('Choix pédagogiques'!$C$5-'Choix pédagogiques'!$C$4),"")</f>
        <v/>
      </c>
      <c r="AS14" s="49" t="str">
        <f>IF(AND('Choix pédagogiques'!$C$4&lt;&gt;"?",'Choix pédagogiques'!$C$5&lt;&gt;"?",X14&lt;&gt;""),(X14-'Choix pédagogiques'!$C$4)/('Choix pédagogiques'!$C$5-'Choix pédagogiques'!$C$4),"")</f>
        <v/>
      </c>
      <c r="AT14" s="49" t="str">
        <f>IF(AND('Choix pédagogiques'!$C$4&lt;&gt;"?",'Choix pédagogiques'!$C$5&lt;&gt;"?",Y14&lt;&gt;""),(Y14-'Choix pédagogiques'!$C$4)/('Choix pédagogiques'!$C$5-'Choix pédagogiques'!$C$4),"")</f>
        <v/>
      </c>
      <c r="AU14" s="22" t="str">
        <f t="shared" ref="AU14:AU77" si="102">IF($E14&lt;&gt;"",$E14,"")</f>
        <v/>
      </c>
      <c r="AV14" s="21" t="str">
        <f t="shared" ref="AV14:AV77" si="103">IF($F14&lt;&gt;"",$F14,"")</f>
        <v>Apprenant 2 ou 2'</v>
      </c>
      <c r="AW14" s="49" t="str">
        <f>IF(AND('Choix pédagogiques'!$C$4&lt;&gt;"?",'Choix pédagogiques'!$C$5&lt;&gt;"?",AB14&lt;&gt;""),(AB14-'Choix pédagogiques'!$C$4)/('Choix pédagogiques'!$C$5-'Choix pédagogiques'!$C$4),"")</f>
        <v/>
      </c>
      <c r="AX14" s="49" t="str">
        <f>IF(AND('Choix pédagogiques'!$C$4&lt;&gt;"?",'Choix pédagogiques'!$C$5&lt;&gt;"?",AC14&lt;&gt;""),(AC14-'Choix pédagogiques'!$C$4)/('Choix pédagogiques'!$C$5-'Choix pédagogiques'!$C$4),"")</f>
        <v/>
      </c>
      <c r="AY14" s="49" t="str">
        <f>IF(AND('Choix pédagogiques'!$C$4&lt;&gt;"?",'Choix pédagogiques'!$C$5&lt;&gt;"?",AD14&lt;&gt;""),(AD14-'Choix pédagogiques'!$C$4)/('Choix pédagogiques'!$C$5-'Choix pédagogiques'!$C$4),"")</f>
        <v/>
      </c>
      <c r="AZ14" s="22" t="str">
        <f t="shared" ref="AZ14:AZ77" si="104">IF($J14&lt;&gt;"",$J14,"")</f>
        <v/>
      </c>
      <c r="BA14" s="21" t="str">
        <f t="shared" ref="BA14:BA77" si="105">IF($A14&lt;&gt;"",$A14,"")</f>
        <v>Apprenant 2</v>
      </c>
      <c r="BB14" s="49" t="str">
        <f t="shared" si="77"/>
        <v/>
      </c>
      <c r="BC14" s="49" t="str">
        <f t="shared" si="78"/>
        <v/>
      </c>
      <c r="BD14" s="49" t="str">
        <f t="shared" si="79"/>
        <v/>
      </c>
      <c r="BE14" s="22" t="str">
        <f t="shared" ref="BE14:BE77" si="106">IF($E14&lt;&gt;"",$E14,"")</f>
        <v/>
      </c>
      <c r="BF14" s="21" t="str">
        <f t="shared" ref="BF14:BF77" si="107">IF($F14&lt;&gt;"",$F14,"")</f>
        <v>Apprenant 2 ou 2'</v>
      </c>
      <c r="BG14" s="49" t="str">
        <f t="shared" si="80"/>
        <v/>
      </c>
      <c r="BH14" s="49" t="str">
        <f t="shared" si="81"/>
        <v/>
      </c>
      <c r="BI14" s="49" t="str">
        <f t="shared" si="82"/>
        <v/>
      </c>
      <c r="BJ14" s="22" t="str">
        <f t="shared" ref="BJ14:BJ77" si="108">IF($J14&lt;&gt;"",$J14,"")</f>
        <v/>
      </c>
      <c r="BL14" s="21"/>
      <c r="BM14" s="21" t="str">
        <f>IF(OR(COUNT(B14:D1013)=0,AND('Choix pédagogiques'!$C$3&lt;&gt;1,'Choix pédagogiques'!$C$3&lt;&gt;2)),"",IF(AND(OR('Choix pédagogiques'!$C$3=1,'Choix pédagogiques'!$C$3=2),$B14&lt;&gt;"",$C14&lt;&gt;"",$D14&lt;&gt;""),1,0))</f>
        <v/>
      </c>
      <c r="BN14" s="21" t="str">
        <f>IF(OR(COUNT(G14:I1013)=0,AND('Choix pédagogiques'!$C$3&lt;&gt;1,'Choix pédagogiques'!$C$3&lt;&gt;2)),"",IF(AND(OR('Choix pédagogiques'!$C$3=1,'Choix pédagogiques'!$C$3=2),AND($G14&lt;&gt;"",$H14&lt;&gt;"",$I14&lt;&gt;"")),1,0))</f>
        <v/>
      </c>
      <c r="BO14" s="21" t="str">
        <f>IF(OR(COUNT(B14:D1013)=0,COUNT(G14:I1013)=0,'Choix pédagogiques'!C$3&lt;&gt;3),"",IF(AND('Choix pédagogiques'!$C$3=3,$B14&lt;&gt;"",$C14&lt;&gt;"",$D14&lt;&gt;"",$G14&lt;&gt;"",$H14&lt;&gt;"",$I14&lt;&gt;""),1,0))</f>
        <v/>
      </c>
      <c r="BR14" s="21">
        <v>429</v>
      </c>
      <c r="BS14" s="21">
        <v>1016</v>
      </c>
      <c r="BT14"/>
    </row>
    <row r="15" spans="1:72" s="23" customFormat="1" ht="18" customHeight="1" x14ac:dyDescent="0.3">
      <c r="A15" s="35" t="s">
        <v>1009</v>
      </c>
      <c r="B15" s="36"/>
      <c r="C15" s="36"/>
      <c r="D15" s="36"/>
      <c r="E15" s="37"/>
      <c r="F15" s="35" t="s">
        <v>1013</v>
      </c>
      <c r="G15" s="36"/>
      <c r="H15" s="36"/>
      <c r="I15" s="36"/>
      <c r="J15" s="37"/>
      <c r="K15" s="21" t="str">
        <f t="shared" si="83"/>
        <v>Apprenant 3</v>
      </c>
      <c r="L15" s="22" t="str">
        <f t="shared" si="84"/>
        <v/>
      </c>
      <c r="M15" s="22" t="str">
        <f t="shared" si="85"/>
        <v/>
      </c>
      <c r="N15" s="22" t="str">
        <f t="shared" si="86"/>
        <v/>
      </c>
      <c r="O15" s="22" t="str">
        <f t="shared" si="87"/>
        <v/>
      </c>
      <c r="P15" s="21" t="str">
        <f t="shared" si="88"/>
        <v>Apprenant 3 ou 3'</v>
      </c>
      <c r="Q15" s="22" t="str">
        <f t="shared" si="89"/>
        <v/>
      </c>
      <c r="R15" s="22" t="str">
        <f t="shared" si="90"/>
        <v/>
      </c>
      <c r="S15" s="22" t="str">
        <f t="shared" si="91"/>
        <v/>
      </c>
      <c r="T15" s="22" t="str">
        <f t="shared" si="92"/>
        <v/>
      </c>
      <c r="V15" s="21" t="str">
        <f t="shared" si="93"/>
        <v>Apprenant 3</v>
      </c>
      <c r="W15" s="22" t="str">
        <f>IF(AND(OR('Choix pédagogiques'!$C$3=1,'Choix pédagogiques'!$C$3=2),$BM15=1),B15,IF(AND('Choix pédagogiques'!$C$3=3,$BO15=1),B15,""))</f>
        <v/>
      </c>
      <c r="X15" s="22" t="str">
        <f>IF(AND(OR('Choix pédagogiques'!$C$3=1,'Choix pédagogiques'!$C$3=2),$BM15=1),C15,IF(AND('Choix pédagogiques'!$C$3=3,$BO15=1),C15,""))</f>
        <v/>
      </c>
      <c r="Y15" s="22" t="str">
        <f>IF(AND(OR('Choix pédagogiques'!$C$3=1,'Choix pédagogiques'!$C$3=2),$BM15=1),D15,IF(AND('Choix pédagogiques'!$C$3=3,$BO15=1),D15,""))</f>
        <v/>
      </c>
      <c r="Z15" s="22" t="str">
        <f t="shared" si="94"/>
        <v/>
      </c>
      <c r="AA15" s="21" t="str">
        <f t="shared" si="95"/>
        <v>Apprenant 3 ou 3'</v>
      </c>
      <c r="AB15" s="22" t="str">
        <f>IF(AND(OR('Choix pédagogiques'!$C$3=1,'Choix pédagogiques'!$C$3=2),$BN15=1),G15,IF(AND('Choix pédagogiques'!$C$3=3,$BO15=1),G15,""))</f>
        <v/>
      </c>
      <c r="AC15" s="22" t="str">
        <f>IF(AND(OR('Choix pédagogiques'!$C$3=1,'Choix pédagogiques'!$C$3=2),$BN15=1),H15,IF(AND('Choix pédagogiques'!$C$3=3,$BO15=1),H15,""))</f>
        <v/>
      </c>
      <c r="AD15" s="22" t="str">
        <f>IF(AND(OR('Choix pédagogiques'!$C$3=1,'Choix pédagogiques'!$C$3=2),$BN15=1),I15,IF(AND('Choix pédagogiques'!$C$3=3,$BO15=1),I15,""))</f>
        <v/>
      </c>
      <c r="AE15" s="22" t="str">
        <f t="shared" si="96"/>
        <v/>
      </c>
      <c r="AF15" s="21" t="str">
        <f t="shared" si="97"/>
        <v>Apprenant 3</v>
      </c>
      <c r="AG15" s="22" t="str">
        <f t="shared" si="71"/>
        <v/>
      </c>
      <c r="AH15" s="22" t="str">
        <f t="shared" si="72"/>
        <v/>
      </c>
      <c r="AI15" s="22" t="str">
        <f t="shared" si="73"/>
        <v/>
      </c>
      <c r="AJ15" s="22" t="str">
        <f t="shared" si="98"/>
        <v/>
      </c>
      <c r="AK15" s="21" t="str">
        <f t="shared" si="99"/>
        <v>Apprenant 3 ou 3'</v>
      </c>
      <c r="AL15" s="22" t="str">
        <f t="shared" si="74"/>
        <v/>
      </c>
      <c r="AM15" s="22" t="str">
        <f t="shared" si="75"/>
        <v/>
      </c>
      <c r="AN15" s="22" t="str">
        <f t="shared" si="76"/>
        <v/>
      </c>
      <c r="AO15" s="22" t="str">
        <f t="shared" si="100"/>
        <v/>
      </c>
      <c r="AQ15" s="21" t="str">
        <f t="shared" si="101"/>
        <v>Apprenant 3</v>
      </c>
      <c r="AR15" s="49" t="str">
        <f>IF(AND('Choix pédagogiques'!$C$4&lt;&gt;"?",'Choix pédagogiques'!$C$5&lt;&gt;"?",W15&lt;&gt;""),(W15-'Choix pédagogiques'!$C$4)/('Choix pédagogiques'!$C$5-'Choix pédagogiques'!$C$4),"")</f>
        <v/>
      </c>
      <c r="AS15" s="49" t="str">
        <f>IF(AND('Choix pédagogiques'!$C$4&lt;&gt;"?",'Choix pédagogiques'!$C$5&lt;&gt;"?",X15&lt;&gt;""),(X15-'Choix pédagogiques'!$C$4)/('Choix pédagogiques'!$C$5-'Choix pédagogiques'!$C$4),"")</f>
        <v/>
      </c>
      <c r="AT15" s="49" t="str">
        <f>IF(AND('Choix pédagogiques'!$C$4&lt;&gt;"?",'Choix pédagogiques'!$C$5&lt;&gt;"?",Y15&lt;&gt;""),(Y15-'Choix pédagogiques'!$C$4)/('Choix pédagogiques'!$C$5-'Choix pédagogiques'!$C$4),"")</f>
        <v/>
      </c>
      <c r="AU15" s="22" t="str">
        <f t="shared" si="102"/>
        <v/>
      </c>
      <c r="AV15" s="21" t="str">
        <f t="shared" si="103"/>
        <v>Apprenant 3 ou 3'</v>
      </c>
      <c r="AW15" s="49" t="str">
        <f>IF(AND('Choix pédagogiques'!$C$4&lt;&gt;"?",'Choix pédagogiques'!$C$5&lt;&gt;"?",AB15&lt;&gt;""),(AB15-'Choix pédagogiques'!$C$4)/('Choix pédagogiques'!$C$5-'Choix pédagogiques'!$C$4),"")</f>
        <v/>
      </c>
      <c r="AX15" s="49" t="str">
        <f>IF(AND('Choix pédagogiques'!$C$4&lt;&gt;"?",'Choix pédagogiques'!$C$5&lt;&gt;"?",AC15&lt;&gt;""),(AC15-'Choix pédagogiques'!$C$4)/('Choix pédagogiques'!$C$5-'Choix pédagogiques'!$C$4),"")</f>
        <v/>
      </c>
      <c r="AY15" s="49" t="str">
        <f>IF(AND('Choix pédagogiques'!$C$4&lt;&gt;"?",'Choix pédagogiques'!$C$5&lt;&gt;"?",AD15&lt;&gt;""),(AD15-'Choix pédagogiques'!$C$4)/('Choix pédagogiques'!$C$5-'Choix pédagogiques'!$C$4),"")</f>
        <v/>
      </c>
      <c r="AZ15" s="22" t="str">
        <f t="shared" si="104"/>
        <v/>
      </c>
      <c r="BA15" s="21" t="str">
        <f t="shared" si="105"/>
        <v>Apprenant 3</v>
      </c>
      <c r="BB15" s="49" t="str">
        <f t="shared" si="77"/>
        <v/>
      </c>
      <c r="BC15" s="49" t="str">
        <f t="shared" si="78"/>
        <v/>
      </c>
      <c r="BD15" s="49" t="str">
        <f t="shared" si="79"/>
        <v/>
      </c>
      <c r="BE15" s="22" t="str">
        <f t="shared" si="106"/>
        <v/>
      </c>
      <c r="BF15" s="21" t="str">
        <f t="shared" si="107"/>
        <v>Apprenant 3 ou 3'</v>
      </c>
      <c r="BG15" s="49" t="str">
        <f t="shared" si="80"/>
        <v/>
      </c>
      <c r="BH15" s="49" t="str">
        <f t="shared" si="81"/>
        <v/>
      </c>
      <c r="BI15" s="49" t="str">
        <f t="shared" si="82"/>
        <v/>
      </c>
      <c r="BJ15" s="22" t="str">
        <f t="shared" si="108"/>
        <v/>
      </c>
      <c r="BL15" s="21"/>
      <c r="BM15" s="21" t="str">
        <f>IF(OR(COUNT(B15:D1014)=0,AND('Choix pédagogiques'!$C$3&lt;&gt;1,'Choix pédagogiques'!$C$3&lt;&gt;2)),"",IF(AND(OR('Choix pédagogiques'!$C$3=1,'Choix pédagogiques'!$C$3=2),$B15&lt;&gt;"",$C15&lt;&gt;"",$D15&lt;&gt;""),1,0))</f>
        <v/>
      </c>
      <c r="BN15" s="21" t="str">
        <f>IF(OR(COUNT(G15:I1014)=0,AND('Choix pédagogiques'!$C$3&lt;&gt;1,'Choix pédagogiques'!$C$3&lt;&gt;2)),"",IF(AND(OR('Choix pédagogiques'!$C$3=1,'Choix pédagogiques'!$C$3=2),AND($G15&lt;&gt;"",$H15&lt;&gt;"",$I15&lt;&gt;"")),1,0))</f>
        <v/>
      </c>
      <c r="BO15" s="21" t="str">
        <f>IF(OR(COUNT(B15:D1014)=0,COUNT(G15:I1014)=0,'Choix pédagogiques'!C$3&lt;&gt;3),"",IF(AND('Choix pédagogiques'!$C$3=3,$B15&lt;&gt;"",$C15&lt;&gt;"",$D15&lt;&gt;"",$G15&lt;&gt;"",$H15&lt;&gt;"",$I15&lt;&gt;""),1,0))</f>
        <v/>
      </c>
      <c r="BR15" s="21">
        <v>758</v>
      </c>
      <c r="BS15" s="21">
        <v>1159</v>
      </c>
      <c r="BT15"/>
    </row>
    <row r="16" spans="1:72" s="23" customFormat="1" ht="18" customHeight="1" x14ac:dyDescent="0.3">
      <c r="A16" s="35" t="s">
        <v>1010</v>
      </c>
      <c r="B16" s="36"/>
      <c r="C16" s="36"/>
      <c r="D16" s="36"/>
      <c r="E16" s="37"/>
      <c r="F16" s="35" t="s">
        <v>1014</v>
      </c>
      <c r="G16" s="36"/>
      <c r="H16" s="36"/>
      <c r="I16" s="36"/>
      <c r="J16" s="37"/>
      <c r="K16" s="21" t="str">
        <f t="shared" si="83"/>
        <v>Apprenant 4</v>
      </c>
      <c r="L16" s="22" t="str">
        <f t="shared" si="84"/>
        <v/>
      </c>
      <c r="M16" s="22" t="str">
        <f t="shared" si="85"/>
        <v/>
      </c>
      <c r="N16" s="22" t="str">
        <f t="shared" si="86"/>
        <v/>
      </c>
      <c r="O16" s="22" t="str">
        <f t="shared" si="87"/>
        <v/>
      </c>
      <c r="P16" s="21" t="str">
        <f t="shared" si="88"/>
        <v>Apprenant 4 ou 4'</v>
      </c>
      <c r="Q16" s="22" t="str">
        <f t="shared" si="89"/>
        <v/>
      </c>
      <c r="R16" s="22" t="str">
        <f t="shared" si="90"/>
        <v/>
      </c>
      <c r="S16" s="22" t="str">
        <f t="shared" si="91"/>
        <v/>
      </c>
      <c r="T16" s="22" t="str">
        <f t="shared" si="92"/>
        <v/>
      </c>
      <c r="V16" s="21" t="str">
        <f t="shared" si="93"/>
        <v>Apprenant 4</v>
      </c>
      <c r="W16" s="22" t="str">
        <f>IF(AND(OR('Choix pédagogiques'!$C$3=1,'Choix pédagogiques'!$C$3=2),$BM16=1),B16,IF(AND('Choix pédagogiques'!$C$3=3,$BO16=1),B16,""))</f>
        <v/>
      </c>
      <c r="X16" s="22" t="str">
        <f>IF(AND(OR('Choix pédagogiques'!$C$3=1,'Choix pédagogiques'!$C$3=2),$BM16=1),C16,IF(AND('Choix pédagogiques'!$C$3=3,$BO16=1),C16,""))</f>
        <v/>
      </c>
      <c r="Y16" s="22" t="str">
        <f>IF(AND(OR('Choix pédagogiques'!$C$3=1,'Choix pédagogiques'!$C$3=2),$BM16=1),D16,IF(AND('Choix pédagogiques'!$C$3=3,$BO16=1),D16,""))</f>
        <v/>
      </c>
      <c r="Z16" s="22" t="str">
        <f t="shared" si="94"/>
        <v/>
      </c>
      <c r="AA16" s="21" t="str">
        <f t="shared" si="95"/>
        <v>Apprenant 4 ou 4'</v>
      </c>
      <c r="AB16" s="22" t="str">
        <f>IF(AND(OR('Choix pédagogiques'!$C$3=1,'Choix pédagogiques'!$C$3=2),$BN16=1),G16,IF(AND('Choix pédagogiques'!$C$3=3,$BO16=1),G16,""))</f>
        <v/>
      </c>
      <c r="AC16" s="22" t="str">
        <f>IF(AND(OR('Choix pédagogiques'!$C$3=1,'Choix pédagogiques'!$C$3=2),$BN16=1),H16,IF(AND('Choix pédagogiques'!$C$3=3,$BO16=1),H16,""))</f>
        <v/>
      </c>
      <c r="AD16" s="22" t="str">
        <f>IF(AND(OR('Choix pédagogiques'!$C$3=1,'Choix pédagogiques'!$C$3=2),$BN16=1),I16,IF(AND('Choix pédagogiques'!$C$3=3,$BO16=1),I16,""))</f>
        <v/>
      </c>
      <c r="AE16" s="22" t="str">
        <f t="shared" si="96"/>
        <v/>
      </c>
      <c r="AF16" s="21" t="str">
        <f t="shared" si="97"/>
        <v>Apprenant 4</v>
      </c>
      <c r="AG16" s="22" t="str">
        <f t="shared" si="71"/>
        <v/>
      </c>
      <c r="AH16" s="22" t="str">
        <f t="shared" si="72"/>
        <v/>
      </c>
      <c r="AI16" s="22" t="str">
        <f t="shared" si="73"/>
        <v/>
      </c>
      <c r="AJ16" s="22" t="str">
        <f t="shared" si="98"/>
        <v/>
      </c>
      <c r="AK16" s="21" t="str">
        <f t="shared" si="99"/>
        <v>Apprenant 4 ou 4'</v>
      </c>
      <c r="AL16" s="22" t="str">
        <f t="shared" si="74"/>
        <v/>
      </c>
      <c r="AM16" s="22" t="str">
        <f t="shared" si="75"/>
        <v/>
      </c>
      <c r="AN16" s="22" t="str">
        <f t="shared" si="76"/>
        <v/>
      </c>
      <c r="AO16" s="22" t="str">
        <f t="shared" si="100"/>
        <v/>
      </c>
      <c r="AQ16" s="21" t="str">
        <f t="shared" si="101"/>
        <v>Apprenant 4</v>
      </c>
      <c r="AR16" s="49" t="str">
        <f>IF(AND('Choix pédagogiques'!$C$4&lt;&gt;"?",'Choix pédagogiques'!$C$5&lt;&gt;"?",W16&lt;&gt;""),(W16-'Choix pédagogiques'!$C$4)/('Choix pédagogiques'!$C$5-'Choix pédagogiques'!$C$4),"")</f>
        <v/>
      </c>
      <c r="AS16" s="49" t="str">
        <f>IF(AND('Choix pédagogiques'!$C$4&lt;&gt;"?",'Choix pédagogiques'!$C$5&lt;&gt;"?",X16&lt;&gt;""),(X16-'Choix pédagogiques'!$C$4)/('Choix pédagogiques'!$C$5-'Choix pédagogiques'!$C$4),"")</f>
        <v/>
      </c>
      <c r="AT16" s="49" t="str">
        <f>IF(AND('Choix pédagogiques'!$C$4&lt;&gt;"?",'Choix pédagogiques'!$C$5&lt;&gt;"?",Y16&lt;&gt;""),(Y16-'Choix pédagogiques'!$C$4)/('Choix pédagogiques'!$C$5-'Choix pédagogiques'!$C$4),"")</f>
        <v/>
      </c>
      <c r="AU16" s="22" t="str">
        <f t="shared" si="102"/>
        <v/>
      </c>
      <c r="AV16" s="21" t="str">
        <f t="shared" si="103"/>
        <v>Apprenant 4 ou 4'</v>
      </c>
      <c r="AW16" s="49" t="str">
        <f>IF(AND('Choix pédagogiques'!$C$4&lt;&gt;"?",'Choix pédagogiques'!$C$5&lt;&gt;"?",AB16&lt;&gt;""),(AB16-'Choix pédagogiques'!$C$4)/('Choix pédagogiques'!$C$5-'Choix pédagogiques'!$C$4),"")</f>
        <v/>
      </c>
      <c r="AX16" s="49" t="str">
        <f>IF(AND('Choix pédagogiques'!$C$4&lt;&gt;"?",'Choix pédagogiques'!$C$5&lt;&gt;"?",AC16&lt;&gt;""),(AC16-'Choix pédagogiques'!$C$4)/('Choix pédagogiques'!$C$5-'Choix pédagogiques'!$C$4),"")</f>
        <v/>
      </c>
      <c r="AY16" s="49" t="str">
        <f>IF(AND('Choix pédagogiques'!$C$4&lt;&gt;"?",'Choix pédagogiques'!$C$5&lt;&gt;"?",AD16&lt;&gt;""),(AD16-'Choix pédagogiques'!$C$4)/('Choix pédagogiques'!$C$5-'Choix pédagogiques'!$C$4),"")</f>
        <v/>
      </c>
      <c r="AZ16" s="22" t="str">
        <f t="shared" si="104"/>
        <v/>
      </c>
      <c r="BA16" s="21" t="str">
        <f t="shared" si="105"/>
        <v>Apprenant 4</v>
      </c>
      <c r="BB16" s="49" t="str">
        <f t="shared" si="77"/>
        <v/>
      </c>
      <c r="BC16" s="49" t="str">
        <f t="shared" si="78"/>
        <v/>
      </c>
      <c r="BD16" s="49" t="str">
        <f t="shared" si="79"/>
        <v/>
      </c>
      <c r="BE16" s="22" t="str">
        <f t="shared" si="106"/>
        <v/>
      </c>
      <c r="BF16" s="21" t="str">
        <f t="shared" si="107"/>
        <v>Apprenant 4 ou 4'</v>
      </c>
      <c r="BG16" s="49" t="str">
        <f t="shared" si="80"/>
        <v/>
      </c>
      <c r="BH16" s="49" t="str">
        <f t="shared" si="81"/>
        <v/>
      </c>
      <c r="BI16" s="49" t="str">
        <f t="shared" si="82"/>
        <v/>
      </c>
      <c r="BJ16" s="22" t="str">
        <f t="shared" si="108"/>
        <v/>
      </c>
      <c r="BL16" s="21"/>
      <c r="BM16" s="21" t="str">
        <f>IF(OR(COUNT(B16:D1015)=0,AND('Choix pédagogiques'!$C$3&lt;&gt;1,'Choix pédagogiques'!$C$3&lt;&gt;2)),"",IF(AND(OR('Choix pédagogiques'!$C$3=1,'Choix pédagogiques'!$C$3=2),$B16&lt;&gt;"",$C16&lt;&gt;"",$D16&lt;&gt;""),1,0))</f>
        <v/>
      </c>
      <c r="BN16" s="21" t="str">
        <f>IF(OR(COUNT(G16:I1015)=0,AND('Choix pédagogiques'!$C$3&lt;&gt;1,'Choix pédagogiques'!$C$3&lt;&gt;2)),"",IF(AND(OR('Choix pédagogiques'!$C$3=1,'Choix pédagogiques'!$C$3=2),AND($G16&lt;&gt;"",$H16&lt;&gt;"",$I16&lt;&gt;"")),1,0))</f>
        <v/>
      </c>
      <c r="BO16" s="21" t="str">
        <f>IF(OR(COUNT(B16:D1015)=0,COUNT(G16:I1015)=0,'Choix pédagogiques'!C$3&lt;&gt;3),"",IF(AND('Choix pédagogiques'!$C$3=3,$B16&lt;&gt;"",$C16&lt;&gt;"",$D16&lt;&gt;"",$G16&lt;&gt;"",$H16&lt;&gt;"",$I16&lt;&gt;""),1,0))</f>
        <v/>
      </c>
      <c r="BR16" s="21">
        <v>747</v>
      </c>
      <c r="BS16" s="21">
        <v>1669</v>
      </c>
      <c r="BT16"/>
    </row>
    <row r="17" spans="1:72" s="23" customFormat="1" ht="18" customHeight="1" x14ac:dyDescent="0.3">
      <c r="A17" s="35" t="s">
        <v>7</v>
      </c>
      <c r="B17" s="36"/>
      <c r="C17" s="36"/>
      <c r="D17" s="36"/>
      <c r="E17" s="37"/>
      <c r="F17" s="35" t="s">
        <v>1015</v>
      </c>
      <c r="G17" s="36"/>
      <c r="H17" s="36"/>
      <c r="I17" s="36"/>
      <c r="J17" s="37"/>
      <c r="K17" s="21" t="str">
        <f t="shared" si="83"/>
        <v>Apprenant 5</v>
      </c>
      <c r="L17" s="22" t="str">
        <f t="shared" si="84"/>
        <v/>
      </c>
      <c r="M17" s="22" t="str">
        <f t="shared" si="85"/>
        <v/>
      </c>
      <c r="N17" s="22" t="str">
        <f t="shared" si="86"/>
        <v/>
      </c>
      <c r="O17" s="22" t="str">
        <f t="shared" si="87"/>
        <v/>
      </c>
      <c r="P17" s="21" t="str">
        <f t="shared" si="88"/>
        <v>Apprenant 5 ou 5'</v>
      </c>
      <c r="Q17" s="22" t="str">
        <f t="shared" si="89"/>
        <v/>
      </c>
      <c r="R17" s="22" t="str">
        <f t="shared" si="90"/>
        <v/>
      </c>
      <c r="S17" s="22" t="str">
        <f t="shared" si="91"/>
        <v/>
      </c>
      <c r="T17" s="22" t="str">
        <f t="shared" si="92"/>
        <v/>
      </c>
      <c r="V17" s="21" t="str">
        <f t="shared" si="93"/>
        <v>Apprenant 5</v>
      </c>
      <c r="W17" s="22" t="str">
        <f>IF(AND(OR('Choix pédagogiques'!$C$3=1,'Choix pédagogiques'!$C$3=2),$BM17=1),B17,IF(AND('Choix pédagogiques'!$C$3=3,$BO17=1),B17,""))</f>
        <v/>
      </c>
      <c r="X17" s="22" t="str">
        <f>IF(AND(OR('Choix pédagogiques'!$C$3=1,'Choix pédagogiques'!$C$3=2),$BM17=1),C17,IF(AND('Choix pédagogiques'!$C$3=3,$BO17=1),C17,""))</f>
        <v/>
      </c>
      <c r="Y17" s="22" t="str">
        <f>IF(AND(OR('Choix pédagogiques'!$C$3=1,'Choix pédagogiques'!$C$3=2),$BM17=1),D17,IF(AND('Choix pédagogiques'!$C$3=3,$BO17=1),D17,""))</f>
        <v/>
      </c>
      <c r="Z17" s="22" t="str">
        <f t="shared" si="94"/>
        <v/>
      </c>
      <c r="AA17" s="21" t="str">
        <f t="shared" si="95"/>
        <v>Apprenant 5 ou 5'</v>
      </c>
      <c r="AB17" s="22" t="str">
        <f>IF(AND(OR('Choix pédagogiques'!$C$3=1,'Choix pédagogiques'!$C$3=2),$BN17=1),G17,IF(AND('Choix pédagogiques'!$C$3=3,$BO17=1),G17,""))</f>
        <v/>
      </c>
      <c r="AC17" s="22" t="str">
        <f>IF(AND(OR('Choix pédagogiques'!$C$3=1,'Choix pédagogiques'!$C$3=2),$BN17=1),H17,IF(AND('Choix pédagogiques'!$C$3=3,$BO17=1),H17,""))</f>
        <v/>
      </c>
      <c r="AD17" s="22" t="str">
        <f>IF(AND(OR('Choix pédagogiques'!$C$3=1,'Choix pédagogiques'!$C$3=2),$BN17=1),I17,IF(AND('Choix pédagogiques'!$C$3=3,$BO17=1),I17,""))</f>
        <v/>
      </c>
      <c r="AE17" s="22" t="str">
        <f t="shared" si="96"/>
        <v/>
      </c>
      <c r="AF17" s="21" t="str">
        <f t="shared" si="97"/>
        <v>Apprenant 5</v>
      </c>
      <c r="AG17" s="22" t="str">
        <f t="shared" si="71"/>
        <v/>
      </c>
      <c r="AH17" s="22" t="str">
        <f t="shared" si="72"/>
        <v/>
      </c>
      <c r="AI17" s="22" t="str">
        <f t="shared" si="73"/>
        <v/>
      </c>
      <c r="AJ17" s="22" t="str">
        <f t="shared" si="98"/>
        <v/>
      </c>
      <c r="AK17" s="21" t="str">
        <f t="shared" si="99"/>
        <v>Apprenant 5 ou 5'</v>
      </c>
      <c r="AL17" s="22" t="str">
        <f t="shared" si="74"/>
        <v/>
      </c>
      <c r="AM17" s="22" t="str">
        <f t="shared" si="75"/>
        <v/>
      </c>
      <c r="AN17" s="22" t="str">
        <f t="shared" si="76"/>
        <v/>
      </c>
      <c r="AO17" s="22" t="str">
        <f t="shared" si="100"/>
        <v/>
      </c>
      <c r="AQ17" s="21" t="str">
        <f t="shared" si="101"/>
        <v>Apprenant 5</v>
      </c>
      <c r="AR17" s="49" t="str">
        <f>IF(AND('Choix pédagogiques'!$C$4&lt;&gt;"?",'Choix pédagogiques'!$C$5&lt;&gt;"?",W17&lt;&gt;""),(W17-'Choix pédagogiques'!$C$4)/('Choix pédagogiques'!$C$5-'Choix pédagogiques'!$C$4),"")</f>
        <v/>
      </c>
      <c r="AS17" s="49" t="str">
        <f>IF(AND('Choix pédagogiques'!$C$4&lt;&gt;"?",'Choix pédagogiques'!$C$5&lt;&gt;"?",X17&lt;&gt;""),(X17-'Choix pédagogiques'!$C$4)/('Choix pédagogiques'!$C$5-'Choix pédagogiques'!$C$4),"")</f>
        <v/>
      </c>
      <c r="AT17" s="49" t="str">
        <f>IF(AND('Choix pédagogiques'!$C$4&lt;&gt;"?",'Choix pédagogiques'!$C$5&lt;&gt;"?",Y17&lt;&gt;""),(Y17-'Choix pédagogiques'!$C$4)/('Choix pédagogiques'!$C$5-'Choix pédagogiques'!$C$4),"")</f>
        <v/>
      </c>
      <c r="AU17" s="22" t="str">
        <f t="shared" si="102"/>
        <v/>
      </c>
      <c r="AV17" s="21" t="str">
        <f t="shared" si="103"/>
        <v>Apprenant 5 ou 5'</v>
      </c>
      <c r="AW17" s="49" t="str">
        <f>IF(AND('Choix pédagogiques'!$C$4&lt;&gt;"?",'Choix pédagogiques'!$C$5&lt;&gt;"?",AB17&lt;&gt;""),(AB17-'Choix pédagogiques'!$C$4)/('Choix pédagogiques'!$C$5-'Choix pédagogiques'!$C$4),"")</f>
        <v/>
      </c>
      <c r="AX17" s="49" t="str">
        <f>IF(AND('Choix pédagogiques'!$C$4&lt;&gt;"?",'Choix pédagogiques'!$C$5&lt;&gt;"?",AC17&lt;&gt;""),(AC17-'Choix pédagogiques'!$C$4)/('Choix pédagogiques'!$C$5-'Choix pédagogiques'!$C$4),"")</f>
        <v/>
      </c>
      <c r="AY17" s="49" t="str">
        <f>IF(AND('Choix pédagogiques'!$C$4&lt;&gt;"?",'Choix pédagogiques'!$C$5&lt;&gt;"?",AD17&lt;&gt;""),(AD17-'Choix pédagogiques'!$C$4)/('Choix pédagogiques'!$C$5-'Choix pédagogiques'!$C$4),"")</f>
        <v/>
      </c>
      <c r="AZ17" s="22" t="str">
        <f t="shared" si="104"/>
        <v/>
      </c>
      <c r="BA17" s="21" t="str">
        <f t="shared" si="105"/>
        <v>Apprenant 5</v>
      </c>
      <c r="BB17" s="49" t="str">
        <f t="shared" si="77"/>
        <v/>
      </c>
      <c r="BC17" s="49" t="str">
        <f t="shared" si="78"/>
        <v/>
      </c>
      <c r="BD17" s="49" t="str">
        <f t="shared" si="79"/>
        <v/>
      </c>
      <c r="BE17" s="22" t="str">
        <f t="shared" si="106"/>
        <v/>
      </c>
      <c r="BF17" s="21" t="str">
        <f t="shared" si="107"/>
        <v>Apprenant 5 ou 5'</v>
      </c>
      <c r="BG17" s="49" t="str">
        <f t="shared" si="80"/>
        <v/>
      </c>
      <c r="BH17" s="49" t="str">
        <f t="shared" si="81"/>
        <v/>
      </c>
      <c r="BI17" s="49" t="str">
        <f t="shared" si="82"/>
        <v/>
      </c>
      <c r="BJ17" s="22" t="str">
        <f t="shared" si="108"/>
        <v/>
      </c>
      <c r="BL17" s="21"/>
      <c r="BM17" s="21" t="str">
        <f>IF(OR(COUNT(B17:D1016)=0,AND('Choix pédagogiques'!$C$3&lt;&gt;1,'Choix pédagogiques'!$C$3&lt;&gt;2)),"",IF(AND(OR('Choix pédagogiques'!$C$3=1,'Choix pédagogiques'!$C$3=2),$B17&lt;&gt;"",$C17&lt;&gt;"",$D17&lt;&gt;""),1,0))</f>
        <v/>
      </c>
      <c r="BN17" s="21" t="str">
        <f>IF(OR(COUNT(G17:I1016)=0,AND('Choix pédagogiques'!$C$3&lt;&gt;1,'Choix pédagogiques'!$C$3&lt;&gt;2)),"",IF(AND(OR('Choix pédagogiques'!$C$3=1,'Choix pédagogiques'!$C$3=2),AND($G17&lt;&gt;"",$H17&lt;&gt;"",$I17&lt;&gt;"")),1,0))</f>
        <v/>
      </c>
      <c r="BO17" s="21" t="str">
        <f>IF(OR(COUNT(B17:D1016)=0,COUNT(G17:I1016)=0,'Choix pédagogiques'!C$3&lt;&gt;3),"",IF(AND('Choix pédagogiques'!$C$3=3,$B17&lt;&gt;"",$C17&lt;&gt;"",$D17&lt;&gt;"",$G17&lt;&gt;"",$H17&lt;&gt;"",$I17&lt;&gt;""),1,0))</f>
        <v/>
      </c>
      <c r="BR17" s="21">
        <v>998</v>
      </c>
      <c r="BS17" s="21">
        <v>1374</v>
      </c>
      <c r="BT17"/>
    </row>
    <row r="18" spans="1:72" s="23" customFormat="1" ht="18" customHeight="1" x14ac:dyDescent="0.3">
      <c r="A18" s="35" t="s">
        <v>8</v>
      </c>
      <c r="B18" s="36"/>
      <c r="C18" s="36"/>
      <c r="D18" s="36"/>
      <c r="E18" s="37"/>
      <c r="F18" s="35" t="s">
        <v>1016</v>
      </c>
      <c r="G18" s="36"/>
      <c r="H18" s="36"/>
      <c r="I18" s="36"/>
      <c r="J18" s="37"/>
      <c r="K18" s="21" t="str">
        <f t="shared" si="83"/>
        <v>Apprenant 6</v>
      </c>
      <c r="L18" s="22" t="str">
        <f t="shared" si="84"/>
        <v/>
      </c>
      <c r="M18" s="22" t="str">
        <f t="shared" si="85"/>
        <v/>
      </c>
      <c r="N18" s="22" t="str">
        <f t="shared" si="86"/>
        <v/>
      </c>
      <c r="O18" s="22" t="str">
        <f t="shared" si="87"/>
        <v/>
      </c>
      <c r="P18" s="21" t="str">
        <f t="shared" si="88"/>
        <v>Apprenant 6 ou 6'</v>
      </c>
      <c r="Q18" s="22" t="str">
        <f t="shared" si="89"/>
        <v/>
      </c>
      <c r="R18" s="22" t="str">
        <f t="shared" si="90"/>
        <v/>
      </c>
      <c r="S18" s="22" t="str">
        <f t="shared" si="91"/>
        <v/>
      </c>
      <c r="T18" s="22" t="str">
        <f t="shared" si="92"/>
        <v/>
      </c>
      <c r="V18" s="21" t="str">
        <f t="shared" si="93"/>
        <v>Apprenant 6</v>
      </c>
      <c r="W18" s="22" t="str">
        <f>IF(AND(OR('Choix pédagogiques'!$C$3=1,'Choix pédagogiques'!$C$3=2),$BM18=1),B18,IF(AND('Choix pédagogiques'!$C$3=3,$BO18=1),B18,""))</f>
        <v/>
      </c>
      <c r="X18" s="22" t="str">
        <f>IF(AND(OR('Choix pédagogiques'!$C$3=1,'Choix pédagogiques'!$C$3=2),$BM18=1),C18,IF(AND('Choix pédagogiques'!$C$3=3,$BO18=1),C18,""))</f>
        <v/>
      </c>
      <c r="Y18" s="22" t="str">
        <f>IF(AND(OR('Choix pédagogiques'!$C$3=1,'Choix pédagogiques'!$C$3=2),$BM18=1),D18,IF(AND('Choix pédagogiques'!$C$3=3,$BO18=1),D18,""))</f>
        <v/>
      </c>
      <c r="Z18" s="22" t="str">
        <f t="shared" si="94"/>
        <v/>
      </c>
      <c r="AA18" s="21" t="str">
        <f t="shared" si="95"/>
        <v>Apprenant 6 ou 6'</v>
      </c>
      <c r="AB18" s="22" t="str">
        <f>IF(AND(OR('Choix pédagogiques'!$C$3=1,'Choix pédagogiques'!$C$3=2),$BN18=1),G18,IF(AND('Choix pédagogiques'!$C$3=3,$BO18=1),G18,""))</f>
        <v/>
      </c>
      <c r="AC18" s="22" t="str">
        <f>IF(AND(OR('Choix pédagogiques'!$C$3=1,'Choix pédagogiques'!$C$3=2),$BN18=1),H18,IF(AND('Choix pédagogiques'!$C$3=3,$BO18=1),H18,""))</f>
        <v/>
      </c>
      <c r="AD18" s="22" t="str">
        <f>IF(AND(OR('Choix pédagogiques'!$C$3=1,'Choix pédagogiques'!$C$3=2),$BN18=1),I18,IF(AND('Choix pédagogiques'!$C$3=3,$BO18=1),I18,""))</f>
        <v/>
      </c>
      <c r="AE18" s="22" t="str">
        <f t="shared" si="96"/>
        <v/>
      </c>
      <c r="AF18" s="21" t="str">
        <f t="shared" si="97"/>
        <v>Apprenant 6</v>
      </c>
      <c r="AG18" s="22" t="str">
        <f t="shared" si="71"/>
        <v/>
      </c>
      <c r="AH18" s="22" t="str">
        <f t="shared" si="72"/>
        <v/>
      </c>
      <c r="AI18" s="22" t="str">
        <f t="shared" si="73"/>
        <v/>
      </c>
      <c r="AJ18" s="22" t="str">
        <f t="shared" si="98"/>
        <v/>
      </c>
      <c r="AK18" s="21" t="str">
        <f t="shared" si="99"/>
        <v>Apprenant 6 ou 6'</v>
      </c>
      <c r="AL18" s="22" t="str">
        <f t="shared" si="74"/>
        <v/>
      </c>
      <c r="AM18" s="22" t="str">
        <f t="shared" si="75"/>
        <v/>
      </c>
      <c r="AN18" s="22" t="str">
        <f t="shared" si="76"/>
        <v/>
      </c>
      <c r="AO18" s="22" t="str">
        <f t="shared" si="100"/>
        <v/>
      </c>
      <c r="AQ18" s="21" t="str">
        <f t="shared" si="101"/>
        <v>Apprenant 6</v>
      </c>
      <c r="AR18" s="49" t="str">
        <f>IF(AND('Choix pédagogiques'!$C$4&lt;&gt;"?",'Choix pédagogiques'!$C$5&lt;&gt;"?",W18&lt;&gt;""),(W18-'Choix pédagogiques'!$C$4)/('Choix pédagogiques'!$C$5-'Choix pédagogiques'!$C$4),"")</f>
        <v/>
      </c>
      <c r="AS18" s="49" t="str">
        <f>IF(AND('Choix pédagogiques'!$C$4&lt;&gt;"?",'Choix pédagogiques'!$C$5&lt;&gt;"?",X18&lt;&gt;""),(X18-'Choix pédagogiques'!$C$4)/('Choix pédagogiques'!$C$5-'Choix pédagogiques'!$C$4),"")</f>
        <v/>
      </c>
      <c r="AT18" s="49" t="str">
        <f>IF(AND('Choix pédagogiques'!$C$4&lt;&gt;"?",'Choix pédagogiques'!$C$5&lt;&gt;"?",Y18&lt;&gt;""),(Y18-'Choix pédagogiques'!$C$4)/('Choix pédagogiques'!$C$5-'Choix pédagogiques'!$C$4),"")</f>
        <v/>
      </c>
      <c r="AU18" s="22" t="str">
        <f t="shared" si="102"/>
        <v/>
      </c>
      <c r="AV18" s="21" t="str">
        <f t="shared" si="103"/>
        <v>Apprenant 6 ou 6'</v>
      </c>
      <c r="AW18" s="49" t="str">
        <f>IF(AND('Choix pédagogiques'!$C$4&lt;&gt;"?",'Choix pédagogiques'!$C$5&lt;&gt;"?",AB18&lt;&gt;""),(AB18-'Choix pédagogiques'!$C$4)/('Choix pédagogiques'!$C$5-'Choix pédagogiques'!$C$4),"")</f>
        <v/>
      </c>
      <c r="AX18" s="49" t="str">
        <f>IF(AND('Choix pédagogiques'!$C$4&lt;&gt;"?",'Choix pédagogiques'!$C$5&lt;&gt;"?",AC18&lt;&gt;""),(AC18-'Choix pédagogiques'!$C$4)/('Choix pédagogiques'!$C$5-'Choix pédagogiques'!$C$4),"")</f>
        <v/>
      </c>
      <c r="AY18" s="49" t="str">
        <f>IF(AND('Choix pédagogiques'!$C$4&lt;&gt;"?",'Choix pédagogiques'!$C$5&lt;&gt;"?",AD18&lt;&gt;""),(AD18-'Choix pédagogiques'!$C$4)/('Choix pédagogiques'!$C$5-'Choix pédagogiques'!$C$4),"")</f>
        <v/>
      </c>
      <c r="AZ18" s="22" t="str">
        <f t="shared" si="104"/>
        <v/>
      </c>
      <c r="BA18" s="21" t="str">
        <f t="shared" si="105"/>
        <v>Apprenant 6</v>
      </c>
      <c r="BB18" s="49" t="str">
        <f t="shared" si="77"/>
        <v/>
      </c>
      <c r="BC18" s="49" t="str">
        <f t="shared" si="78"/>
        <v/>
      </c>
      <c r="BD18" s="49" t="str">
        <f t="shared" si="79"/>
        <v/>
      </c>
      <c r="BE18" s="22" t="str">
        <f t="shared" si="106"/>
        <v/>
      </c>
      <c r="BF18" s="21" t="str">
        <f t="shared" si="107"/>
        <v>Apprenant 6 ou 6'</v>
      </c>
      <c r="BG18" s="49" t="str">
        <f t="shared" si="80"/>
        <v/>
      </c>
      <c r="BH18" s="49" t="str">
        <f t="shared" si="81"/>
        <v/>
      </c>
      <c r="BI18" s="49" t="str">
        <f t="shared" si="82"/>
        <v/>
      </c>
      <c r="BJ18" s="22" t="str">
        <f t="shared" si="108"/>
        <v/>
      </c>
      <c r="BL18" s="21"/>
      <c r="BM18" s="21" t="str">
        <f>IF(OR(COUNT(B18:D1017)=0,AND('Choix pédagogiques'!$C$3&lt;&gt;1,'Choix pédagogiques'!$C$3&lt;&gt;2)),"",IF(AND(OR('Choix pédagogiques'!$C$3=1,'Choix pédagogiques'!$C$3=2),$B18&lt;&gt;"",$C18&lt;&gt;"",$D18&lt;&gt;""),1,0))</f>
        <v/>
      </c>
      <c r="BN18" s="21" t="str">
        <f>IF(OR(COUNT(G18:I1017)=0,AND('Choix pédagogiques'!$C$3&lt;&gt;1,'Choix pédagogiques'!$C$3&lt;&gt;2)),"",IF(AND(OR('Choix pédagogiques'!$C$3=1,'Choix pédagogiques'!$C$3=2),AND($G18&lt;&gt;"",$H18&lt;&gt;"",$I18&lt;&gt;"")),1,0))</f>
        <v/>
      </c>
      <c r="BO18" s="21" t="str">
        <f>IF(OR(COUNT(B18:D1017)=0,COUNT(G18:I1017)=0,'Choix pédagogiques'!C$3&lt;&gt;3),"",IF(AND('Choix pédagogiques'!$C$3=3,$B18&lt;&gt;"",$C18&lt;&gt;"",$D18&lt;&gt;"",$G18&lt;&gt;"",$H18&lt;&gt;"",$I18&lt;&gt;""),1,0))</f>
        <v/>
      </c>
      <c r="BR18" s="21">
        <v>566</v>
      </c>
      <c r="BS18" s="21">
        <v>1041</v>
      </c>
      <c r="BT18"/>
    </row>
    <row r="19" spans="1:72" s="23" customFormat="1" ht="18" customHeight="1" x14ac:dyDescent="0.3">
      <c r="A19" s="35" t="s">
        <v>9</v>
      </c>
      <c r="B19" s="36"/>
      <c r="C19" s="36"/>
      <c r="D19" s="36"/>
      <c r="E19" s="37"/>
      <c r="F19" s="35" t="s">
        <v>1017</v>
      </c>
      <c r="G19" s="36"/>
      <c r="H19" s="36"/>
      <c r="I19" s="36"/>
      <c r="J19" s="37"/>
      <c r="K19" s="21" t="str">
        <f t="shared" si="83"/>
        <v>Apprenant 7</v>
      </c>
      <c r="L19" s="22" t="str">
        <f t="shared" si="84"/>
        <v/>
      </c>
      <c r="M19" s="22" t="str">
        <f t="shared" si="85"/>
        <v/>
      </c>
      <c r="N19" s="22" t="str">
        <f t="shared" si="86"/>
        <v/>
      </c>
      <c r="O19" s="22" t="str">
        <f t="shared" si="87"/>
        <v/>
      </c>
      <c r="P19" s="21" t="str">
        <f t="shared" si="88"/>
        <v>Apprenant 7 ou 7'</v>
      </c>
      <c r="Q19" s="22" t="str">
        <f t="shared" si="89"/>
        <v/>
      </c>
      <c r="R19" s="22" t="str">
        <f t="shared" si="90"/>
        <v/>
      </c>
      <c r="S19" s="22" t="str">
        <f t="shared" si="91"/>
        <v/>
      </c>
      <c r="T19" s="22" t="str">
        <f t="shared" si="92"/>
        <v/>
      </c>
      <c r="V19" s="21" t="str">
        <f t="shared" si="93"/>
        <v>Apprenant 7</v>
      </c>
      <c r="W19" s="22" t="str">
        <f>IF(AND(OR('Choix pédagogiques'!$C$3=1,'Choix pédagogiques'!$C$3=2),$BM19=1),B19,IF(AND('Choix pédagogiques'!$C$3=3,$BO19=1),B19,""))</f>
        <v/>
      </c>
      <c r="X19" s="22" t="str">
        <f>IF(AND(OR('Choix pédagogiques'!$C$3=1,'Choix pédagogiques'!$C$3=2),$BM19=1),C19,IF(AND('Choix pédagogiques'!$C$3=3,$BO19=1),C19,""))</f>
        <v/>
      </c>
      <c r="Y19" s="22" t="str">
        <f>IF(AND(OR('Choix pédagogiques'!$C$3=1,'Choix pédagogiques'!$C$3=2),$BM19=1),D19,IF(AND('Choix pédagogiques'!$C$3=3,$BO19=1),D19,""))</f>
        <v/>
      </c>
      <c r="Z19" s="22" t="str">
        <f t="shared" si="94"/>
        <v/>
      </c>
      <c r="AA19" s="21" t="str">
        <f t="shared" si="95"/>
        <v>Apprenant 7 ou 7'</v>
      </c>
      <c r="AB19" s="22" t="str">
        <f>IF(AND(OR('Choix pédagogiques'!$C$3=1,'Choix pédagogiques'!$C$3=2),$BN19=1),G19,IF(AND('Choix pédagogiques'!$C$3=3,$BO19=1),G19,""))</f>
        <v/>
      </c>
      <c r="AC19" s="22" t="str">
        <f>IF(AND(OR('Choix pédagogiques'!$C$3=1,'Choix pédagogiques'!$C$3=2),$BN19=1),H19,IF(AND('Choix pédagogiques'!$C$3=3,$BO19=1),H19,""))</f>
        <v/>
      </c>
      <c r="AD19" s="22" t="str">
        <f>IF(AND(OR('Choix pédagogiques'!$C$3=1,'Choix pédagogiques'!$C$3=2),$BN19=1),I19,IF(AND('Choix pédagogiques'!$C$3=3,$BO19=1),I19,""))</f>
        <v/>
      </c>
      <c r="AE19" s="22" t="str">
        <f t="shared" si="96"/>
        <v/>
      </c>
      <c r="AF19" s="21" t="str">
        <f t="shared" si="97"/>
        <v>Apprenant 7</v>
      </c>
      <c r="AG19" s="22" t="str">
        <f t="shared" si="71"/>
        <v/>
      </c>
      <c r="AH19" s="22" t="str">
        <f t="shared" si="72"/>
        <v/>
      </c>
      <c r="AI19" s="22" t="str">
        <f t="shared" si="73"/>
        <v/>
      </c>
      <c r="AJ19" s="22" t="str">
        <f t="shared" si="98"/>
        <v/>
      </c>
      <c r="AK19" s="21" t="str">
        <f t="shared" si="99"/>
        <v>Apprenant 7 ou 7'</v>
      </c>
      <c r="AL19" s="22" t="str">
        <f t="shared" si="74"/>
        <v/>
      </c>
      <c r="AM19" s="22" t="str">
        <f t="shared" si="75"/>
        <v/>
      </c>
      <c r="AN19" s="22" t="str">
        <f t="shared" si="76"/>
        <v/>
      </c>
      <c r="AO19" s="22" t="str">
        <f t="shared" si="100"/>
        <v/>
      </c>
      <c r="AQ19" s="21" t="str">
        <f t="shared" si="101"/>
        <v>Apprenant 7</v>
      </c>
      <c r="AR19" s="49" t="str">
        <f>IF(AND('Choix pédagogiques'!$C$4&lt;&gt;"?",'Choix pédagogiques'!$C$5&lt;&gt;"?",W19&lt;&gt;""),(W19-'Choix pédagogiques'!$C$4)/('Choix pédagogiques'!$C$5-'Choix pédagogiques'!$C$4),"")</f>
        <v/>
      </c>
      <c r="AS19" s="49" t="str">
        <f>IF(AND('Choix pédagogiques'!$C$4&lt;&gt;"?",'Choix pédagogiques'!$C$5&lt;&gt;"?",X19&lt;&gt;""),(X19-'Choix pédagogiques'!$C$4)/('Choix pédagogiques'!$C$5-'Choix pédagogiques'!$C$4),"")</f>
        <v/>
      </c>
      <c r="AT19" s="49" t="str">
        <f>IF(AND('Choix pédagogiques'!$C$4&lt;&gt;"?",'Choix pédagogiques'!$C$5&lt;&gt;"?",Y19&lt;&gt;""),(Y19-'Choix pédagogiques'!$C$4)/('Choix pédagogiques'!$C$5-'Choix pédagogiques'!$C$4),"")</f>
        <v/>
      </c>
      <c r="AU19" s="22" t="str">
        <f t="shared" si="102"/>
        <v/>
      </c>
      <c r="AV19" s="21" t="str">
        <f t="shared" si="103"/>
        <v>Apprenant 7 ou 7'</v>
      </c>
      <c r="AW19" s="49" t="str">
        <f>IF(AND('Choix pédagogiques'!$C$4&lt;&gt;"?",'Choix pédagogiques'!$C$5&lt;&gt;"?",AB19&lt;&gt;""),(AB19-'Choix pédagogiques'!$C$4)/('Choix pédagogiques'!$C$5-'Choix pédagogiques'!$C$4),"")</f>
        <v/>
      </c>
      <c r="AX19" s="49" t="str">
        <f>IF(AND('Choix pédagogiques'!$C$4&lt;&gt;"?",'Choix pédagogiques'!$C$5&lt;&gt;"?",AC19&lt;&gt;""),(AC19-'Choix pédagogiques'!$C$4)/('Choix pédagogiques'!$C$5-'Choix pédagogiques'!$C$4),"")</f>
        <v/>
      </c>
      <c r="AY19" s="49" t="str">
        <f>IF(AND('Choix pédagogiques'!$C$4&lt;&gt;"?",'Choix pédagogiques'!$C$5&lt;&gt;"?",AD19&lt;&gt;""),(AD19-'Choix pédagogiques'!$C$4)/('Choix pédagogiques'!$C$5-'Choix pédagogiques'!$C$4),"")</f>
        <v/>
      </c>
      <c r="AZ19" s="22" t="str">
        <f t="shared" si="104"/>
        <v/>
      </c>
      <c r="BA19" s="21" t="str">
        <f t="shared" si="105"/>
        <v>Apprenant 7</v>
      </c>
      <c r="BB19" s="49" t="str">
        <f t="shared" si="77"/>
        <v/>
      </c>
      <c r="BC19" s="49" t="str">
        <f t="shared" si="78"/>
        <v/>
      </c>
      <c r="BD19" s="49" t="str">
        <f t="shared" si="79"/>
        <v/>
      </c>
      <c r="BE19" s="22" t="str">
        <f t="shared" si="106"/>
        <v/>
      </c>
      <c r="BF19" s="21" t="str">
        <f t="shared" si="107"/>
        <v>Apprenant 7 ou 7'</v>
      </c>
      <c r="BG19" s="49" t="str">
        <f t="shared" si="80"/>
        <v/>
      </c>
      <c r="BH19" s="49" t="str">
        <f t="shared" si="81"/>
        <v/>
      </c>
      <c r="BI19" s="49" t="str">
        <f t="shared" si="82"/>
        <v/>
      </c>
      <c r="BJ19" s="22" t="str">
        <f t="shared" si="108"/>
        <v/>
      </c>
      <c r="BL19" s="21"/>
      <c r="BM19" s="21" t="str">
        <f>IF(OR(COUNT(B19:D1018)=0,AND('Choix pédagogiques'!$C$3&lt;&gt;1,'Choix pédagogiques'!$C$3&lt;&gt;2)),"",IF(AND(OR('Choix pédagogiques'!$C$3=1,'Choix pédagogiques'!$C$3=2),$B19&lt;&gt;"",$C19&lt;&gt;"",$D19&lt;&gt;""),1,0))</f>
        <v/>
      </c>
      <c r="BN19" s="21" t="str">
        <f>IF(OR(COUNT(G19:I1018)=0,AND('Choix pédagogiques'!$C$3&lt;&gt;1,'Choix pédagogiques'!$C$3&lt;&gt;2)),"",IF(AND(OR('Choix pédagogiques'!$C$3=1,'Choix pédagogiques'!$C$3=2),AND($G19&lt;&gt;"",$H19&lt;&gt;"",$I19&lt;&gt;"")),1,0))</f>
        <v/>
      </c>
      <c r="BO19" s="21" t="str">
        <f>IF(OR(COUNT(B19:D1018)=0,COUNT(G19:I1018)=0,'Choix pédagogiques'!C$3&lt;&gt;3),"",IF(AND('Choix pédagogiques'!$C$3=3,$B19&lt;&gt;"",$C19&lt;&gt;"",$D19&lt;&gt;"",$G19&lt;&gt;"",$H19&lt;&gt;"",$I19&lt;&gt;""),1,0))</f>
        <v/>
      </c>
      <c r="BR19" s="21">
        <v>73</v>
      </c>
      <c r="BS19" s="21">
        <v>1579</v>
      </c>
      <c r="BT19"/>
    </row>
    <row r="20" spans="1:72" s="23" customFormat="1" ht="18" customHeight="1" x14ac:dyDescent="0.3">
      <c r="A20" s="35" t="s">
        <v>10</v>
      </c>
      <c r="B20" s="36"/>
      <c r="C20" s="36"/>
      <c r="D20" s="36"/>
      <c r="E20" s="37"/>
      <c r="F20" s="35" t="s">
        <v>1018</v>
      </c>
      <c r="G20" s="36"/>
      <c r="H20" s="36"/>
      <c r="I20" s="36"/>
      <c r="J20" s="37"/>
      <c r="K20" s="21" t="str">
        <f t="shared" si="83"/>
        <v>Apprenant 8</v>
      </c>
      <c r="L20" s="22" t="str">
        <f t="shared" si="84"/>
        <v/>
      </c>
      <c r="M20" s="22" t="str">
        <f t="shared" si="85"/>
        <v/>
      </c>
      <c r="N20" s="22" t="str">
        <f t="shared" si="86"/>
        <v/>
      </c>
      <c r="O20" s="22" t="str">
        <f t="shared" si="87"/>
        <v/>
      </c>
      <c r="P20" s="21" t="str">
        <f t="shared" si="88"/>
        <v>Apprenant 8 ou 8'</v>
      </c>
      <c r="Q20" s="22" t="str">
        <f t="shared" si="89"/>
        <v/>
      </c>
      <c r="R20" s="22" t="str">
        <f t="shared" si="90"/>
        <v/>
      </c>
      <c r="S20" s="22" t="str">
        <f t="shared" si="91"/>
        <v/>
      </c>
      <c r="T20" s="22" t="str">
        <f t="shared" si="92"/>
        <v/>
      </c>
      <c r="V20" s="21" t="str">
        <f t="shared" si="93"/>
        <v>Apprenant 8</v>
      </c>
      <c r="W20" s="22" t="str">
        <f>IF(AND(OR('Choix pédagogiques'!$C$3=1,'Choix pédagogiques'!$C$3=2),$BM20=1),B20,IF(AND('Choix pédagogiques'!$C$3=3,$BO20=1),B20,""))</f>
        <v/>
      </c>
      <c r="X20" s="22" t="str">
        <f>IF(AND(OR('Choix pédagogiques'!$C$3=1,'Choix pédagogiques'!$C$3=2),$BM20=1),C20,IF(AND('Choix pédagogiques'!$C$3=3,$BO20=1),C20,""))</f>
        <v/>
      </c>
      <c r="Y20" s="22" t="str">
        <f>IF(AND(OR('Choix pédagogiques'!$C$3=1,'Choix pédagogiques'!$C$3=2),$BM20=1),D20,IF(AND('Choix pédagogiques'!$C$3=3,$BO20=1),D20,""))</f>
        <v/>
      </c>
      <c r="Z20" s="22" t="str">
        <f t="shared" si="94"/>
        <v/>
      </c>
      <c r="AA20" s="21" t="str">
        <f t="shared" si="95"/>
        <v>Apprenant 8 ou 8'</v>
      </c>
      <c r="AB20" s="22" t="str">
        <f>IF(AND(OR('Choix pédagogiques'!$C$3=1,'Choix pédagogiques'!$C$3=2),$BN20=1),G20,IF(AND('Choix pédagogiques'!$C$3=3,$BO20=1),G20,""))</f>
        <v/>
      </c>
      <c r="AC20" s="22" t="str">
        <f>IF(AND(OR('Choix pédagogiques'!$C$3=1,'Choix pédagogiques'!$C$3=2),$BN20=1),H20,IF(AND('Choix pédagogiques'!$C$3=3,$BO20=1),H20,""))</f>
        <v/>
      </c>
      <c r="AD20" s="22" t="str">
        <f>IF(AND(OR('Choix pédagogiques'!$C$3=1,'Choix pédagogiques'!$C$3=2),$BN20=1),I20,IF(AND('Choix pédagogiques'!$C$3=3,$BO20=1),I20,""))</f>
        <v/>
      </c>
      <c r="AE20" s="22" t="str">
        <f t="shared" si="96"/>
        <v/>
      </c>
      <c r="AF20" s="21" t="str">
        <f t="shared" si="97"/>
        <v>Apprenant 8</v>
      </c>
      <c r="AG20" s="22" t="str">
        <f t="shared" si="71"/>
        <v/>
      </c>
      <c r="AH20" s="22" t="str">
        <f t="shared" si="72"/>
        <v/>
      </c>
      <c r="AI20" s="22" t="str">
        <f t="shared" si="73"/>
        <v/>
      </c>
      <c r="AJ20" s="22" t="str">
        <f t="shared" si="98"/>
        <v/>
      </c>
      <c r="AK20" s="21" t="str">
        <f t="shared" si="99"/>
        <v>Apprenant 8 ou 8'</v>
      </c>
      <c r="AL20" s="22" t="str">
        <f t="shared" si="74"/>
        <v/>
      </c>
      <c r="AM20" s="22" t="str">
        <f t="shared" si="75"/>
        <v/>
      </c>
      <c r="AN20" s="22" t="str">
        <f t="shared" si="76"/>
        <v/>
      </c>
      <c r="AO20" s="22" t="str">
        <f t="shared" si="100"/>
        <v/>
      </c>
      <c r="AQ20" s="21" t="str">
        <f t="shared" si="101"/>
        <v>Apprenant 8</v>
      </c>
      <c r="AR20" s="49" t="str">
        <f>IF(AND('Choix pédagogiques'!$C$4&lt;&gt;"?",'Choix pédagogiques'!$C$5&lt;&gt;"?",W20&lt;&gt;""),(W20-'Choix pédagogiques'!$C$4)/('Choix pédagogiques'!$C$5-'Choix pédagogiques'!$C$4),"")</f>
        <v/>
      </c>
      <c r="AS20" s="49" t="str">
        <f>IF(AND('Choix pédagogiques'!$C$4&lt;&gt;"?",'Choix pédagogiques'!$C$5&lt;&gt;"?",X20&lt;&gt;""),(X20-'Choix pédagogiques'!$C$4)/('Choix pédagogiques'!$C$5-'Choix pédagogiques'!$C$4),"")</f>
        <v/>
      </c>
      <c r="AT20" s="49" t="str">
        <f>IF(AND('Choix pédagogiques'!$C$4&lt;&gt;"?",'Choix pédagogiques'!$C$5&lt;&gt;"?",Y20&lt;&gt;""),(Y20-'Choix pédagogiques'!$C$4)/('Choix pédagogiques'!$C$5-'Choix pédagogiques'!$C$4),"")</f>
        <v/>
      </c>
      <c r="AU20" s="22" t="str">
        <f t="shared" si="102"/>
        <v/>
      </c>
      <c r="AV20" s="21" t="str">
        <f t="shared" si="103"/>
        <v>Apprenant 8 ou 8'</v>
      </c>
      <c r="AW20" s="49" t="str">
        <f>IF(AND('Choix pédagogiques'!$C$4&lt;&gt;"?",'Choix pédagogiques'!$C$5&lt;&gt;"?",AB20&lt;&gt;""),(AB20-'Choix pédagogiques'!$C$4)/('Choix pédagogiques'!$C$5-'Choix pédagogiques'!$C$4),"")</f>
        <v/>
      </c>
      <c r="AX20" s="49" t="str">
        <f>IF(AND('Choix pédagogiques'!$C$4&lt;&gt;"?",'Choix pédagogiques'!$C$5&lt;&gt;"?",AC20&lt;&gt;""),(AC20-'Choix pédagogiques'!$C$4)/('Choix pédagogiques'!$C$5-'Choix pédagogiques'!$C$4),"")</f>
        <v/>
      </c>
      <c r="AY20" s="49" t="str">
        <f>IF(AND('Choix pédagogiques'!$C$4&lt;&gt;"?",'Choix pédagogiques'!$C$5&lt;&gt;"?",AD20&lt;&gt;""),(AD20-'Choix pédagogiques'!$C$4)/('Choix pédagogiques'!$C$5-'Choix pédagogiques'!$C$4),"")</f>
        <v/>
      </c>
      <c r="AZ20" s="22" t="str">
        <f t="shared" si="104"/>
        <v/>
      </c>
      <c r="BA20" s="21" t="str">
        <f t="shared" si="105"/>
        <v>Apprenant 8</v>
      </c>
      <c r="BB20" s="49" t="str">
        <f t="shared" si="77"/>
        <v/>
      </c>
      <c r="BC20" s="49" t="str">
        <f t="shared" si="78"/>
        <v/>
      </c>
      <c r="BD20" s="49" t="str">
        <f t="shared" si="79"/>
        <v/>
      </c>
      <c r="BE20" s="22" t="str">
        <f t="shared" si="106"/>
        <v/>
      </c>
      <c r="BF20" s="21" t="str">
        <f t="shared" si="107"/>
        <v>Apprenant 8 ou 8'</v>
      </c>
      <c r="BG20" s="49" t="str">
        <f t="shared" si="80"/>
        <v/>
      </c>
      <c r="BH20" s="49" t="str">
        <f t="shared" si="81"/>
        <v/>
      </c>
      <c r="BI20" s="49" t="str">
        <f t="shared" si="82"/>
        <v/>
      </c>
      <c r="BJ20" s="22" t="str">
        <f t="shared" si="108"/>
        <v/>
      </c>
      <c r="BL20" s="21"/>
      <c r="BM20" s="21" t="str">
        <f>IF(OR(COUNT(B20:D1019)=0,AND('Choix pédagogiques'!$C$3&lt;&gt;1,'Choix pédagogiques'!$C$3&lt;&gt;2)),"",IF(AND(OR('Choix pédagogiques'!$C$3=1,'Choix pédagogiques'!$C$3=2),$B20&lt;&gt;"",$C20&lt;&gt;"",$D20&lt;&gt;""),1,0))</f>
        <v/>
      </c>
      <c r="BN20" s="21" t="str">
        <f>IF(OR(COUNT(G20:I1019)=0,AND('Choix pédagogiques'!$C$3&lt;&gt;1,'Choix pédagogiques'!$C$3&lt;&gt;2)),"",IF(AND(OR('Choix pédagogiques'!$C$3=1,'Choix pédagogiques'!$C$3=2),AND($G20&lt;&gt;"",$H20&lt;&gt;"",$I20&lt;&gt;"")),1,0))</f>
        <v/>
      </c>
      <c r="BO20" s="21" t="str">
        <f>IF(OR(COUNT(B20:D1019)=0,COUNT(G20:I1019)=0,'Choix pédagogiques'!C$3&lt;&gt;3),"",IF(AND('Choix pédagogiques'!$C$3=3,$B20&lt;&gt;"",$C20&lt;&gt;"",$D20&lt;&gt;"",$G20&lt;&gt;"",$H20&lt;&gt;"",$I20&lt;&gt;""),1,0))</f>
        <v/>
      </c>
      <c r="BR20" s="21">
        <v>241</v>
      </c>
      <c r="BS20" s="21">
        <v>1717</v>
      </c>
      <c r="BT20"/>
    </row>
    <row r="21" spans="1:72" s="23" customFormat="1" ht="18" customHeight="1" x14ac:dyDescent="0.3">
      <c r="A21" s="35" t="s">
        <v>11</v>
      </c>
      <c r="B21" s="36"/>
      <c r="C21" s="36"/>
      <c r="D21" s="36"/>
      <c r="E21" s="37"/>
      <c r="F21" s="35" t="s">
        <v>1019</v>
      </c>
      <c r="G21" s="36"/>
      <c r="H21" s="36"/>
      <c r="I21" s="36"/>
      <c r="J21" s="37"/>
      <c r="K21" s="21" t="str">
        <f t="shared" si="83"/>
        <v>Apprenant 9</v>
      </c>
      <c r="L21" s="22" t="str">
        <f t="shared" si="84"/>
        <v/>
      </c>
      <c r="M21" s="22" t="str">
        <f t="shared" si="85"/>
        <v/>
      </c>
      <c r="N21" s="22" t="str">
        <f t="shared" si="86"/>
        <v/>
      </c>
      <c r="O21" s="22" t="str">
        <f t="shared" si="87"/>
        <v/>
      </c>
      <c r="P21" s="21" t="str">
        <f t="shared" si="88"/>
        <v>Apprenant 9 ou 9'</v>
      </c>
      <c r="Q21" s="22" t="str">
        <f t="shared" si="89"/>
        <v/>
      </c>
      <c r="R21" s="22" t="str">
        <f t="shared" si="90"/>
        <v/>
      </c>
      <c r="S21" s="22" t="str">
        <f t="shared" si="91"/>
        <v/>
      </c>
      <c r="T21" s="22" t="str">
        <f t="shared" si="92"/>
        <v/>
      </c>
      <c r="V21" s="21" t="str">
        <f t="shared" si="93"/>
        <v>Apprenant 9</v>
      </c>
      <c r="W21" s="22" t="str">
        <f>IF(AND(OR('Choix pédagogiques'!$C$3=1,'Choix pédagogiques'!$C$3=2),$BM21=1),B21,IF(AND('Choix pédagogiques'!$C$3=3,$BO21=1),B21,""))</f>
        <v/>
      </c>
      <c r="X21" s="22" t="str">
        <f>IF(AND(OR('Choix pédagogiques'!$C$3=1,'Choix pédagogiques'!$C$3=2),$BM21=1),C21,IF(AND('Choix pédagogiques'!$C$3=3,$BO21=1),C21,""))</f>
        <v/>
      </c>
      <c r="Y21" s="22" t="str">
        <f>IF(AND(OR('Choix pédagogiques'!$C$3=1,'Choix pédagogiques'!$C$3=2),$BM21=1),D21,IF(AND('Choix pédagogiques'!$C$3=3,$BO21=1),D21,""))</f>
        <v/>
      </c>
      <c r="Z21" s="22" t="str">
        <f t="shared" si="94"/>
        <v/>
      </c>
      <c r="AA21" s="21" t="str">
        <f t="shared" si="95"/>
        <v>Apprenant 9 ou 9'</v>
      </c>
      <c r="AB21" s="22" t="str">
        <f>IF(AND(OR('Choix pédagogiques'!$C$3=1,'Choix pédagogiques'!$C$3=2),$BN21=1),G21,IF(AND('Choix pédagogiques'!$C$3=3,$BO21=1),G21,""))</f>
        <v/>
      </c>
      <c r="AC21" s="22" t="str">
        <f>IF(AND(OR('Choix pédagogiques'!$C$3=1,'Choix pédagogiques'!$C$3=2),$BN21=1),H21,IF(AND('Choix pédagogiques'!$C$3=3,$BO21=1),H21,""))</f>
        <v/>
      </c>
      <c r="AD21" s="22" t="str">
        <f>IF(AND(OR('Choix pédagogiques'!$C$3=1,'Choix pédagogiques'!$C$3=2),$BN21=1),I21,IF(AND('Choix pédagogiques'!$C$3=3,$BO21=1),I21,""))</f>
        <v/>
      </c>
      <c r="AE21" s="22" t="str">
        <f t="shared" si="96"/>
        <v/>
      </c>
      <c r="AF21" s="21" t="str">
        <f t="shared" si="97"/>
        <v>Apprenant 9</v>
      </c>
      <c r="AG21" s="22" t="str">
        <f t="shared" si="71"/>
        <v/>
      </c>
      <c r="AH21" s="22" t="str">
        <f t="shared" si="72"/>
        <v/>
      </c>
      <c r="AI21" s="22" t="str">
        <f t="shared" si="73"/>
        <v/>
      </c>
      <c r="AJ21" s="22" t="str">
        <f t="shared" si="98"/>
        <v/>
      </c>
      <c r="AK21" s="21" t="str">
        <f t="shared" si="99"/>
        <v>Apprenant 9 ou 9'</v>
      </c>
      <c r="AL21" s="22" t="str">
        <f t="shared" si="74"/>
        <v/>
      </c>
      <c r="AM21" s="22" t="str">
        <f t="shared" si="75"/>
        <v/>
      </c>
      <c r="AN21" s="22" t="str">
        <f t="shared" si="76"/>
        <v/>
      </c>
      <c r="AO21" s="22" t="str">
        <f t="shared" si="100"/>
        <v/>
      </c>
      <c r="AQ21" s="21" t="str">
        <f t="shared" si="101"/>
        <v>Apprenant 9</v>
      </c>
      <c r="AR21" s="49" t="str">
        <f>IF(AND('Choix pédagogiques'!$C$4&lt;&gt;"?",'Choix pédagogiques'!$C$5&lt;&gt;"?",W21&lt;&gt;""),(W21-'Choix pédagogiques'!$C$4)/('Choix pédagogiques'!$C$5-'Choix pédagogiques'!$C$4),"")</f>
        <v/>
      </c>
      <c r="AS21" s="49" t="str">
        <f>IF(AND('Choix pédagogiques'!$C$4&lt;&gt;"?",'Choix pédagogiques'!$C$5&lt;&gt;"?",X21&lt;&gt;""),(X21-'Choix pédagogiques'!$C$4)/('Choix pédagogiques'!$C$5-'Choix pédagogiques'!$C$4),"")</f>
        <v/>
      </c>
      <c r="AT21" s="49" t="str">
        <f>IF(AND('Choix pédagogiques'!$C$4&lt;&gt;"?",'Choix pédagogiques'!$C$5&lt;&gt;"?",Y21&lt;&gt;""),(Y21-'Choix pédagogiques'!$C$4)/('Choix pédagogiques'!$C$5-'Choix pédagogiques'!$C$4),"")</f>
        <v/>
      </c>
      <c r="AU21" s="22" t="str">
        <f t="shared" si="102"/>
        <v/>
      </c>
      <c r="AV21" s="21" t="str">
        <f t="shared" si="103"/>
        <v>Apprenant 9 ou 9'</v>
      </c>
      <c r="AW21" s="49" t="str">
        <f>IF(AND('Choix pédagogiques'!$C$4&lt;&gt;"?",'Choix pédagogiques'!$C$5&lt;&gt;"?",AB21&lt;&gt;""),(AB21-'Choix pédagogiques'!$C$4)/('Choix pédagogiques'!$C$5-'Choix pédagogiques'!$C$4),"")</f>
        <v/>
      </c>
      <c r="AX21" s="49" t="str">
        <f>IF(AND('Choix pédagogiques'!$C$4&lt;&gt;"?",'Choix pédagogiques'!$C$5&lt;&gt;"?",AC21&lt;&gt;""),(AC21-'Choix pédagogiques'!$C$4)/('Choix pédagogiques'!$C$5-'Choix pédagogiques'!$C$4),"")</f>
        <v/>
      </c>
      <c r="AY21" s="49" t="str">
        <f>IF(AND('Choix pédagogiques'!$C$4&lt;&gt;"?",'Choix pédagogiques'!$C$5&lt;&gt;"?",AD21&lt;&gt;""),(AD21-'Choix pédagogiques'!$C$4)/('Choix pédagogiques'!$C$5-'Choix pédagogiques'!$C$4),"")</f>
        <v/>
      </c>
      <c r="AZ21" s="22" t="str">
        <f t="shared" si="104"/>
        <v/>
      </c>
      <c r="BA21" s="21" t="str">
        <f t="shared" si="105"/>
        <v>Apprenant 9</v>
      </c>
      <c r="BB21" s="49" t="str">
        <f t="shared" si="77"/>
        <v/>
      </c>
      <c r="BC21" s="49" t="str">
        <f t="shared" si="78"/>
        <v/>
      </c>
      <c r="BD21" s="49" t="str">
        <f t="shared" si="79"/>
        <v/>
      </c>
      <c r="BE21" s="22" t="str">
        <f t="shared" si="106"/>
        <v/>
      </c>
      <c r="BF21" s="21" t="str">
        <f t="shared" si="107"/>
        <v>Apprenant 9 ou 9'</v>
      </c>
      <c r="BG21" s="49" t="str">
        <f t="shared" si="80"/>
        <v/>
      </c>
      <c r="BH21" s="49" t="str">
        <f t="shared" si="81"/>
        <v/>
      </c>
      <c r="BI21" s="49" t="str">
        <f t="shared" si="82"/>
        <v/>
      </c>
      <c r="BJ21" s="22" t="str">
        <f t="shared" si="108"/>
        <v/>
      </c>
      <c r="BL21" s="21"/>
      <c r="BM21" s="21" t="str">
        <f>IF(OR(COUNT(B21:D1020)=0,AND('Choix pédagogiques'!$C$3&lt;&gt;1,'Choix pédagogiques'!$C$3&lt;&gt;2)),"",IF(AND(OR('Choix pédagogiques'!$C$3=1,'Choix pédagogiques'!$C$3=2),$B21&lt;&gt;"",$C21&lt;&gt;"",$D21&lt;&gt;""),1,0))</f>
        <v/>
      </c>
      <c r="BN21" s="21" t="str">
        <f>IF(OR(COUNT(G21:I1020)=0,AND('Choix pédagogiques'!$C$3&lt;&gt;1,'Choix pédagogiques'!$C$3&lt;&gt;2)),"",IF(AND(OR('Choix pédagogiques'!$C$3=1,'Choix pédagogiques'!$C$3=2),AND($G21&lt;&gt;"",$H21&lt;&gt;"",$I21&lt;&gt;"")),1,0))</f>
        <v/>
      </c>
      <c r="BO21" s="21" t="str">
        <f>IF(OR(COUNT(B21:D1020)=0,COUNT(G21:I1020)=0,'Choix pédagogiques'!C$3&lt;&gt;3),"",IF(AND('Choix pédagogiques'!$C$3=3,$B21&lt;&gt;"",$C21&lt;&gt;"",$D21&lt;&gt;"",$G21&lt;&gt;"",$H21&lt;&gt;"",$I21&lt;&gt;""),1,0))</f>
        <v/>
      </c>
      <c r="BR21" s="21">
        <v>602</v>
      </c>
      <c r="BS21" s="21">
        <v>1555</v>
      </c>
      <c r="BT21"/>
    </row>
    <row r="22" spans="1:72" s="23" customFormat="1" ht="18" customHeight="1" x14ac:dyDescent="0.3">
      <c r="A22" s="35" t="s">
        <v>12</v>
      </c>
      <c r="B22" s="36"/>
      <c r="C22" s="36"/>
      <c r="D22" s="36"/>
      <c r="E22" s="37"/>
      <c r="F22" s="35" t="s">
        <v>1020</v>
      </c>
      <c r="G22" s="36"/>
      <c r="H22" s="36"/>
      <c r="I22" s="36"/>
      <c r="J22" s="37"/>
      <c r="K22" s="21" t="str">
        <f t="shared" si="83"/>
        <v>Apprenant 10</v>
      </c>
      <c r="L22" s="22" t="str">
        <f t="shared" si="84"/>
        <v/>
      </c>
      <c r="M22" s="22" t="str">
        <f t="shared" si="85"/>
        <v/>
      </c>
      <c r="N22" s="22" t="str">
        <f t="shared" si="86"/>
        <v/>
      </c>
      <c r="O22" s="22" t="str">
        <f t="shared" si="87"/>
        <v/>
      </c>
      <c r="P22" s="21" t="str">
        <f t="shared" si="88"/>
        <v>Apprenant 10 ou 10'</v>
      </c>
      <c r="Q22" s="22" t="str">
        <f t="shared" si="89"/>
        <v/>
      </c>
      <c r="R22" s="22" t="str">
        <f t="shared" si="90"/>
        <v/>
      </c>
      <c r="S22" s="22" t="str">
        <f t="shared" si="91"/>
        <v/>
      </c>
      <c r="T22" s="22" t="str">
        <f t="shared" si="92"/>
        <v/>
      </c>
      <c r="V22" s="21" t="str">
        <f t="shared" si="93"/>
        <v>Apprenant 10</v>
      </c>
      <c r="W22" s="22" t="str">
        <f>IF(AND(OR('Choix pédagogiques'!$C$3=1,'Choix pédagogiques'!$C$3=2),$BM22=1),B22,IF(AND('Choix pédagogiques'!$C$3=3,$BO22=1),B22,""))</f>
        <v/>
      </c>
      <c r="X22" s="22" t="str">
        <f>IF(AND(OR('Choix pédagogiques'!$C$3=1,'Choix pédagogiques'!$C$3=2),$BM22=1),C22,IF(AND('Choix pédagogiques'!$C$3=3,$BO22=1),C22,""))</f>
        <v/>
      </c>
      <c r="Y22" s="22" t="str">
        <f>IF(AND(OR('Choix pédagogiques'!$C$3=1,'Choix pédagogiques'!$C$3=2),$BM22=1),D22,IF(AND('Choix pédagogiques'!$C$3=3,$BO22=1),D22,""))</f>
        <v/>
      </c>
      <c r="Z22" s="22" t="str">
        <f t="shared" si="94"/>
        <v/>
      </c>
      <c r="AA22" s="21" t="str">
        <f t="shared" si="95"/>
        <v>Apprenant 10 ou 10'</v>
      </c>
      <c r="AB22" s="22" t="str">
        <f>IF(AND(OR('Choix pédagogiques'!$C$3=1,'Choix pédagogiques'!$C$3=2),$BN22=1),G22,IF(AND('Choix pédagogiques'!$C$3=3,$BO22=1),G22,""))</f>
        <v/>
      </c>
      <c r="AC22" s="22" t="str">
        <f>IF(AND(OR('Choix pédagogiques'!$C$3=1,'Choix pédagogiques'!$C$3=2),$BN22=1),H22,IF(AND('Choix pédagogiques'!$C$3=3,$BO22=1),H22,""))</f>
        <v/>
      </c>
      <c r="AD22" s="22" t="str">
        <f>IF(AND(OR('Choix pédagogiques'!$C$3=1,'Choix pédagogiques'!$C$3=2),$BN22=1),I22,IF(AND('Choix pédagogiques'!$C$3=3,$BO22=1),I22,""))</f>
        <v/>
      </c>
      <c r="AE22" s="22" t="str">
        <f t="shared" si="96"/>
        <v/>
      </c>
      <c r="AF22" s="21" t="str">
        <f t="shared" si="97"/>
        <v>Apprenant 10</v>
      </c>
      <c r="AG22" s="22" t="str">
        <f t="shared" si="71"/>
        <v/>
      </c>
      <c r="AH22" s="22" t="str">
        <f t="shared" si="72"/>
        <v/>
      </c>
      <c r="AI22" s="22" t="str">
        <f t="shared" si="73"/>
        <v/>
      </c>
      <c r="AJ22" s="22" t="str">
        <f t="shared" si="98"/>
        <v/>
      </c>
      <c r="AK22" s="21" t="str">
        <f t="shared" si="99"/>
        <v>Apprenant 10 ou 10'</v>
      </c>
      <c r="AL22" s="22" t="str">
        <f t="shared" si="74"/>
        <v/>
      </c>
      <c r="AM22" s="22" t="str">
        <f t="shared" si="75"/>
        <v/>
      </c>
      <c r="AN22" s="22" t="str">
        <f t="shared" si="76"/>
        <v/>
      </c>
      <c r="AO22" s="22" t="str">
        <f t="shared" si="100"/>
        <v/>
      </c>
      <c r="AQ22" s="21" t="str">
        <f t="shared" si="101"/>
        <v>Apprenant 10</v>
      </c>
      <c r="AR22" s="49" t="str">
        <f>IF(AND('Choix pédagogiques'!$C$4&lt;&gt;"?",'Choix pédagogiques'!$C$5&lt;&gt;"?",W22&lt;&gt;""),(W22-'Choix pédagogiques'!$C$4)/('Choix pédagogiques'!$C$5-'Choix pédagogiques'!$C$4),"")</f>
        <v/>
      </c>
      <c r="AS22" s="49" t="str">
        <f>IF(AND('Choix pédagogiques'!$C$4&lt;&gt;"?",'Choix pédagogiques'!$C$5&lt;&gt;"?",X22&lt;&gt;""),(X22-'Choix pédagogiques'!$C$4)/('Choix pédagogiques'!$C$5-'Choix pédagogiques'!$C$4),"")</f>
        <v/>
      </c>
      <c r="AT22" s="49" t="str">
        <f>IF(AND('Choix pédagogiques'!$C$4&lt;&gt;"?",'Choix pédagogiques'!$C$5&lt;&gt;"?",Y22&lt;&gt;""),(Y22-'Choix pédagogiques'!$C$4)/('Choix pédagogiques'!$C$5-'Choix pédagogiques'!$C$4),"")</f>
        <v/>
      </c>
      <c r="AU22" s="22" t="str">
        <f t="shared" si="102"/>
        <v/>
      </c>
      <c r="AV22" s="21" t="str">
        <f t="shared" si="103"/>
        <v>Apprenant 10 ou 10'</v>
      </c>
      <c r="AW22" s="49" t="str">
        <f>IF(AND('Choix pédagogiques'!$C$4&lt;&gt;"?",'Choix pédagogiques'!$C$5&lt;&gt;"?",AB22&lt;&gt;""),(AB22-'Choix pédagogiques'!$C$4)/('Choix pédagogiques'!$C$5-'Choix pédagogiques'!$C$4),"")</f>
        <v/>
      </c>
      <c r="AX22" s="49" t="str">
        <f>IF(AND('Choix pédagogiques'!$C$4&lt;&gt;"?",'Choix pédagogiques'!$C$5&lt;&gt;"?",AC22&lt;&gt;""),(AC22-'Choix pédagogiques'!$C$4)/('Choix pédagogiques'!$C$5-'Choix pédagogiques'!$C$4),"")</f>
        <v/>
      </c>
      <c r="AY22" s="49" t="str">
        <f>IF(AND('Choix pédagogiques'!$C$4&lt;&gt;"?",'Choix pédagogiques'!$C$5&lt;&gt;"?",AD22&lt;&gt;""),(AD22-'Choix pédagogiques'!$C$4)/('Choix pédagogiques'!$C$5-'Choix pédagogiques'!$C$4),"")</f>
        <v/>
      </c>
      <c r="AZ22" s="22" t="str">
        <f t="shared" si="104"/>
        <v/>
      </c>
      <c r="BA22" s="21" t="str">
        <f t="shared" si="105"/>
        <v>Apprenant 10</v>
      </c>
      <c r="BB22" s="49" t="str">
        <f t="shared" si="77"/>
        <v/>
      </c>
      <c r="BC22" s="49" t="str">
        <f t="shared" si="78"/>
        <v/>
      </c>
      <c r="BD22" s="49" t="str">
        <f t="shared" si="79"/>
        <v/>
      </c>
      <c r="BE22" s="22" t="str">
        <f t="shared" si="106"/>
        <v/>
      </c>
      <c r="BF22" s="21" t="str">
        <f t="shared" si="107"/>
        <v>Apprenant 10 ou 10'</v>
      </c>
      <c r="BG22" s="49" t="str">
        <f t="shared" si="80"/>
        <v/>
      </c>
      <c r="BH22" s="49" t="str">
        <f t="shared" si="81"/>
        <v/>
      </c>
      <c r="BI22" s="49" t="str">
        <f t="shared" si="82"/>
        <v/>
      </c>
      <c r="BJ22" s="22" t="str">
        <f t="shared" si="108"/>
        <v/>
      </c>
      <c r="BL22" s="21"/>
      <c r="BM22" s="21" t="str">
        <f>IF(OR(COUNT(B22:D1021)=0,AND('Choix pédagogiques'!$C$3&lt;&gt;1,'Choix pédagogiques'!$C$3&lt;&gt;2)),"",IF(AND(OR('Choix pédagogiques'!$C$3=1,'Choix pédagogiques'!$C$3=2),$B22&lt;&gt;"",$C22&lt;&gt;"",$D22&lt;&gt;""),1,0))</f>
        <v/>
      </c>
      <c r="BN22" s="21" t="str">
        <f>IF(OR(COUNT(G22:I1021)=0,AND('Choix pédagogiques'!$C$3&lt;&gt;1,'Choix pédagogiques'!$C$3&lt;&gt;2)),"",IF(AND(OR('Choix pédagogiques'!$C$3=1,'Choix pédagogiques'!$C$3=2),AND($G22&lt;&gt;"",$H22&lt;&gt;"",$I22&lt;&gt;"")),1,0))</f>
        <v/>
      </c>
      <c r="BO22" s="21" t="str">
        <f>IF(OR(COUNT(B22:D1021)=0,COUNT(G22:I1021)=0,'Choix pédagogiques'!C$3&lt;&gt;3),"",IF(AND('Choix pédagogiques'!$C$3=3,$B22&lt;&gt;"",$C22&lt;&gt;"",$D22&lt;&gt;"",$G22&lt;&gt;"",$H22&lt;&gt;"",$I22&lt;&gt;""),1,0))</f>
        <v/>
      </c>
      <c r="BR22" s="21">
        <v>75</v>
      </c>
      <c r="BS22" s="21">
        <v>1443</v>
      </c>
      <c r="BT22"/>
    </row>
    <row r="23" spans="1:72" s="23" customFormat="1" ht="18" customHeight="1" x14ac:dyDescent="0.3">
      <c r="A23" s="35" t="s">
        <v>13</v>
      </c>
      <c r="B23" s="36"/>
      <c r="C23" s="36"/>
      <c r="D23" s="36"/>
      <c r="E23" s="37"/>
      <c r="F23" s="35" t="s">
        <v>1021</v>
      </c>
      <c r="G23" s="36"/>
      <c r="H23" s="36"/>
      <c r="I23" s="36"/>
      <c r="J23" s="37"/>
      <c r="K23" s="21" t="str">
        <f t="shared" si="83"/>
        <v>Apprenant 11</v>
      </c>
      <c r="L23" s="22" t="str">
        <f t="shared" si="84"/>
        <v/>
      </c>
      <c r="M23" s="22" t="str">
        <f t="shared" si="85"/>
        <v/>
      </c>
      <c r="N23" s="22" t="str">
        <f t="shared" si="86"/>
        <v/>
      </c>
      <c r="O23" s="22" t="str">
        <f t="shared" si="87"/>
        <v/>
      </c>
      <c r="P23" s="21" t="str">
        <f t="shared" si="88"/>
        <v>Apprenant 11 ou 11'</v>
      </c>
      <c r="Q23" s="22" t="str">
        <f t="shared" si="89"/>
        <v/>
      </c>
      <c r="R23" s="22" t="str">
        <f t="shared" si="90"/>
        <v/>
      </c>
      <c r="S23" s="22" t="str">
        <f t="shared" si="91"/>
        <v/>
      </c>
      <c r="T23" s="22" t="str">
        <f t="shared" si="92"/>
        <v/>
      </c>
      <c r="V23" s="21" t="str">
        <f t="shared" si="93"/>
        <v>Apprenant 11</v>
      </c>
      <c r="W23" s="22" t="str">
        <f>IF(AND(OR('Choix pédagogiques'!$C$3=1,'Choix pédagogiques'!$C$3=2),$BM23=1),B23,IF(AND('Choix pédagogiques'!$C$3=3,$BO23=1),B23,""))</f>
        <v/>
      </c>
      <c r="X23" s="22" t="str">
        <f>IF(AND(OR('Choix pédagogiques'!$C$3=1,'Choix pédagogiques'!$C$3=2),$BM23=1),C23,IF(AND('Choix pédagogiques'!$C$3=3,$BO23=1),C23,""))</f>
        <v/>
      </c>
      <c r="Y23" s="22" t="str">
        <f>IF(AND(OR('Choix pédagogiques'!$C$3=1,'Choix pédagogiques'!$C$3=2),$BM23=1),D23,IF(AND('Choix pédagogiques'!$C$3=3,$BO23=1),D23,""))</f>
        <v/>
      </c>
      <c r="Z23" s="22" t="str">
        <f t="shared" si="94"/>
        <v/>
      </c>
      <c r="AA23" s="21" t="str">
        <f t="shared" si="95"/>
        <v>Apprenant 11 ou 11'</v>
      </c>
      <c r="AB23" s="22" t="str">
        <f>IF(AND(OR('Choix pédagogiques'!$C$3=1,'Choix pédagogiques'!$C$3=2),$BN23=1),G23,IF(AND('Choix pédagogiques'!$C$3=3,$BO23=1),G23,""))</f>
        <v/>
      </c>
      <c r="AC23" s="22" t="str">
        <f>IF(AND(OR('Choix pédagogiques'!$C$3=1,'Choix pédagogiques'!$C$3=2),$BN23=1),H23,IF(AND('Choix pédagogiques'!$C$3=3,$BO23=1),H23,""))</f>
        <v/>
      </c>
      <c r="AD23" s="22" t="str">
        <f>IF(AND(OR('Choix pédagogiques'!$C$3=1,'Choix pédagogiques'!$C$3=2),$BN23=1),I23,IF(AND('Choix pédagogiques'!$C$3=3,$BO23=1),I23,""))</f>
        <v/>
      </c>
      <c r="AE23" s="22" t="str">
        <f t="shared" si="96"/>
        <v/>
      </c>
      <c r="AF23" s="21" t="str">
        <f t="shared" si="97"/>
        <v>Apprenant 11</v>
      </c>
      <c r="AG23" s="22" t="str">
        <f t="shared" si="71"/>
        <v/>
      </c>
      <c r="AH23" s="22" t="str">
        <f t="shared" si="72"/>
        <v/>
      </c>
      <c r="AI23" s="22" t="str">
        <f t="shared" si="73"/>
        <v/>
      </c>
      <c r="AJ23" s="22" t="str">
        <f t="shared" si="98"/>
        <v/>
      </c>
      <c r="AK23" s="21" t="str">
        <f t="shared" si="99"/>
        <v>Apprenant 11 ou 11'</v>
      </c>
      <c r="AL23" s="22" t="str">
        <f t="shared" si="74"/>
        <v/>
      </c>
      <c r="AM23" s="22" t="str">
        <f t="shared" si="75"/>
        <v/>
      </c>
      <c r="AN23" s="22" t="str">
        <f t="shared" si="76"/>
        <v/>
      </c>
      <c r="AO23" s="22" t="str">
        <f t="shared" si="100"/>
        <v/>
      </c>
      <c r="AQ23" s="21" t="str">
        <f t="shared" si="101"/>
        <v>Apprenant 11</v>
      </c>
      <c r="AR23" s="49" t="str">
        <f>IF(AND('Choix pédagogiques'!$C$4&lt;&gt;"?",'Choix pédagogiques'!$C$5&lt;&gt;"?",W23&lt;&gt;""),(W23-'Choix pédagogiques'!$C$4)/('Choix pédagogiques'!$C$5-'Choix pédagogiques'!$C$4),"")</f>
        <v/>
      </c>
      <c r="AS23" s="49" t="str">
        <f>IF(AND('Choix pédagogiques'!$C$4&lt;&gt;"?",'Choix pédagogiques'!$C$5&lt;&gt;"?",X23&lt;&gt;""),(X23-'Choix pédagogiques'!$C$4)/('Choix pédagogiques'!$C$5-'Choix pédagogiques'!$C$4),"")</f>
        <v/>
      </c>
      <c r="AT23" s="49" t="str">
        <f>IF(AND('Choix pédagogiques'!$C$4&lt;&gt;"?",'Choix pédagogiques'!$C$5&lt;&gt;"?",Y23&lt;&gt;""),(Y23-'Choix pédagogiques'!$C$4)/('Choix pédagogiques'!$C$5-'Choix pédagogiques'!$C$4),"")</f>
        <v/>
      </c>
      <c r="AU23" s="22" t="str">
        <f t="shared" si="102"/>
        <v/>
      </c>
      <c r="AV23" s="21" t="str">
        <f t="shared" si="103"/>
        <v>Apprenant 11 ou 11'</v>
      </c>
      <c r="AW23" s="49" t="str">
        <f>IF(AND('Choix pédagogiques'!$C$4&lt;&gt;"?",'Choix pédagogiques'!$C$5&lt;&gt;"?",AB23&lt;&gt;""),(AB23-'Choix pédagogiques'!$C$4)/('Choix pédagogiques'!$C$5-'Choix pédagogiques'!$C$4),"")</f>
        <v/>
      </c>
      <c r="AX23" s="49" t="str">
        <f>IF(AND('Choix pédagogiques'!$C$4&lt;&gt;"?",'Choix pédagogiques'!$C$5&lt;&gt;"?",AC23&lt;&gt;""),(AC23-'Choix pédagogiques'!$C$4)/('Choix pédagogiques'!$C$5-'Choix pédagogiques'!$C$4),"")</f>
        <v/>
      </c>
      <c r="AY23" s="49" t="str">
        <f>IF(AND('Choix pédagogiques'!$C$4&lt;&gt;"?",'Choix pédagogiques'!$C$5&lt;&gt;"?",AD23&lt;&gt;""),(AD23-'Choix pédagogiques'!$C$4)/('Choix pédagogiques'!$C$5-'Choix pédagogiques'!$C$4),"")</f>
        <v/>
      </c>
      <c r="AZ23" s="22" t="str">
        <f t="shared" si="104"/>
        <v/>
      </c>
      <c r="BA23" s="21" t="str">
        <f t="shared" si="105"/>
        <v>Apprenant 11</v>
      </c>
      <c r="BB23" s="49" t="str">
        <f t="shared" si="77"/>
        <v/>
      </c>
      <c r="BC23" s="49" t="str">
        <f t="shared" si="78"/>
        <v/>
      </c>
      <c r="BD23" s="49" t="str">
        <f t="shared" si="79"/>
        <v/>
      </c>
      <c r="BE23" s="22" t="str">
        <f t="shared" si="106"/>
        <v/>
      </c>
      <c r="BF23" s="21" t="str">
        <f t="shared" si="107"/>
        <v>Apprenant 11 ou 11'</v>
      </c>
      <c r="BG23" s="49" t="str">
        <f t="shared" si="80"/>
        <v/>
      </c>
      <c r="BH23" s="49" t="str">
        <f t="shared" si="81"/>
        <v/>
      </c>
      <c r="BI23" s="49" t="str">
        <f t="shared" si="82"/>
        <v/>
      </c>
      <c r="BJ23" s="22" t="str">
        <f t="shared" si="108"/>
        <v/>
      </c>
      <c r="BL23" s="21"/>
      <c r="BM23" s="21" t="str">
        <f>IF(OR(COUNT(B23:D1022)=0,AND('Choix pédagogiques'!$C$3&lt;&gt;1,'Choix pédagogiques'!$C$3&lt;&gt;2)),"",IF(AND(OR('Choix pédagogiques'!$C$3=1,'Choix pédagogiques'!$C$3=2),$B23&lt;&gt;"",$C23&lt;&gt;"",$D23&lt;&gt;""),1,0))</f>
        <v/>
      </c>
      <c r="BN23" s="21" t="str">
        <f>IF(OR(COUNT(G23:I1022)=0,AND('Choix pédagogiques'!$C$3&lt;&gt;1,'Choix pédagogiques'!$C$3&lt;&gt;2)),"",IF(AND(OR('Choix pédagogiques'!$C$3=1,'Choix pédagogiques'!$C$3=2),AND($G23&lt;&gt;"",$H23&lt;&gt;"",$I23&lt;&gt;"")),1,0))</f>
        <v/>
      </c>
      <c r="BO23" s="21" t="str">
        <f>IF(OR(COUNT(B23:D1022)=0,COUNT(G23:I1022)=0,'Choix pédagogiques'!C$3&lt;&gt;3),"",IF(AND('Choix pédagogiques'!$C$3=3,$B23&lt;&gt;"",$C23&lt;&gt;"",$D23&lt;&gt;"",$G23&lt;&gt;"",$H23&lt;&gt;"",$I23&lt;&gt;""),1,0))</f>
        <v/>
      </c>
      <c r="BR23" s="21">
        <v>704</v>
      </c>
      <c r="BS23" s="21">
        <v>1675</v>
      </c>
      <c r="BT23"/>
    </row>
    <row r="24" spans="1:72" s="23" customFormat="1" ht="18" customHeight="1" x14ac:dyDescent="0.3">
      <c r="A24" s="35" t="s">
        <v>14</v>
      </c>
      <c r="B24" s="36"/>
      <c r="C24" s="36"/>
      <c r="D24" s="36"/>
      <c r="E24" s="37"/>
      <c r="F24" s="35" t="s">
        <v>1022</v>
      </c>
      <c r="G24" s="36"/>
      <c r="H24" s="36"/>
      <c r="I24" s="36"/>
      <c r="J24" s="37"/>
      <c r="K24" s="21" t="str">
        <f t="shared" si="83"/>
        <v>Apprenant 12</v>
      </c>
      <c r="L24" s="22" t="str">
        <f t="shared" si="84"/>
        <v/>
      </c>
      <c r="M24" s="22" t="str">
        <f t="shared" si="85"/>
        <v/>
      </c>
      <c r="N24" s="22" t="str">
        <f t="shared" si="86"/>
        <v/>
      </c>
      <c r="O24" s="22" t="str">
        <f t="shared" si="87"/>
        <v/>
      </c>
      <c r="P24" s="21" t="str">
        <f t="shared" si="88"/>
        <v>Apprenant 12 ou 12'</v>
      </c>
      <c r="Q24" s="22" t="str">
        <f t="shared" si="89"/>
        <v/>
      </c>
      <c r="R24" s="22" t="str">
        <f t="shared" si="90"/>
        <v/>
      </c>
      <c r="S24" s="22" t="str">
        <f t="shared" si="91"/>
        <v/>
      </c>
      <c r="T24" s="22" t="str">
        <f t="shared" si="92"/>
        <v/>
      </c>
      <c r="V24" s="21" t="str">
        <f t="shared" si="93"/>
        <v>Apprenant 12</v>
      </c>
      <c r="W24" s="22" t="str">
        <f>IF(AND(OR('Choix pédagogiques'!$C$3=1,'Choix pédagogiques'!$C$3=2),$BM24=1),B24,IF(AND('Choix pédagogiques'!$C$3=3,$BO24=1),B24,""))</f>
        <v/>
      </c>
      <c r="X24" s="22" t="str">
        <f>IF(AND(OR('Choix pédagogiques'!$C$3=1,'Choix pédagogiques'!$C$3=2),$BM24=1),C24,IF(AND('Choix pédagogiques'!$C$3=3,$BO24=1),C24,""))</f>
        <v/>
      </c>
      <c r="Y24" s="22" t="str">
        <f>IF(AND(OR('Choix pédagogiques'!$C$3=1,'Choix pédagogiques'!$C$3=2),$BM24=1),D24,IF(AND('Choix pédagogiques'!$C$3=3,$BO24=1),D24,""))</f>
        <v/>
      </c>
      <c r="Z24" s="22" t="str">
        <f t="shared" si="94"/>
        <v/>
      </c>
      <c r="AA24" s="21" t="str">
        <f t="shared" si="95"/>
        <v>Apprenant 12 ou 12'</v>
      </c>
      <c r="AB24" s="22" t="str">
        <f>IF(AND(OR('Choix pédagogiques'!$C$3=1,'Choix pédagogiques'!$C$3=2),$BN24=1),G24,IF(AND('Choix pédagogiques'!$C$3=3,$BO24=1),G24,""))</f>
        <v/>
      </c>
      <c r="AC24" s="22" t="str">
        <f>IF(AND(OR('Choix pédagogiques'!$C$3=1,'Choix pédagogiques'!$C$3=2),$BN24=1),H24,IF(AND('Choix pédagogiques'!$C$3=3,$BO24=1),H24,""))</f>
        <v/>
      </c>
      <c r="AD24" s="22" t="str">
        <f>IF(AND(OR('Choix pédagogiques'!$C$3=1,'Choix pédagogiques'!$C$3=2),$BN24=1),I24,IF(AND('Choix pédagogiques'!$C$3=3,$BO24=1),I24,""))</f>
        <v/>
      </c>
      <c r="AE24" s="22" t="str">
        <f t="shared" si="96"/>
        <v/>
      </c>
      <c r="AF24" s="21" t="str">
        <f t="shared" si="97"/>
        <v>Apprenant 12</v>
      </c>
      <c r="AG24" s="22" t="str">
        <f t="shared" si="71"/>
        <v/>
      </c>
      <c r="AH24" s="22" t="str">
        <f t="shared" si="72"/>
        <v/>
      </c>
      <c r="AI24" s="22" t="str">
        <f t="shared" si="73"/>
        <v/>
      </c>
      <c r="AJ24" s="22" t="str">
        <f t="shared" si="98"/>
        <v/>
      </c>
      <c r="AK24" s="21" t="str">
        <f t="shared" si="99"/>
        <v>Apprenant 12 ou 12'</v>
      </c>
      <c r="AL24" s="22" t="str">
        <f t="shared" si="74"/>
        <v/>
      </c>
      <c r="AM24" s="22" t="str">
        <f t="shared" si="75"/>
        <v/>
      </c>
      <c r="AN24" s="22" t="str">
        <f t="shared" si="76"/>
        <v/>
      </c>
      <c r="AO24" s="22" t="str">
        <f t="shared" si="100"/>
        <v/>
      </c>
      <c r="AQ24" s="21" t="str">
        <f t="shared" si="101"/>
        <v>Apprenant 12</v>
      </c>
      <c r="AR24" s="49" t="str">
        <f>IF(AND('Choix pédagogiques'!$C$4&lt;&gt;"?",'Choix pédagogiques'!$C$5&lt;&gt;"?",W24&lt;&gt;""),(W24-'Choix pédagogiques'!$C$4)/('Choix pédagogiques'!$C$5-'Choix pédagogiques'!$C$4),"")</f>
        <v/>
      </c>
      <c r="AS24" s="49" t="str">
        <f>IF(AND('Choix pédagogiques'!$C$4&lt;&gt;"?",'Choix pédagogiques'!$C$5&lt;&gt;"?",X24&lt;&gt;""),(X24-'Choix pédagogiques'!$C$4)/('Choix pédagogiques'!$C$5-'Choix pédagogiques'!$C$4),"")</f>
        <v/>
      </c>
      <c r="AT24" s="49" t="str">
        <f>IF(AND('Choix pédagogiques'!$C$4&lt;&gt;"?",'Choix pédagogiques'!$C$5&lt;&gt;"?",Y24&lt;&gt;""),(Y24-'Choix pédagogiques'!$C$4)/('Choix pédagogiques'!$C$5-'Choix pédagogiques'!$C$4),"")</f>
        <v/>
      </c>
      <c r="AU24" s="22" t="str">
        <f t="shared" si="102"/>
        <v/>
      </c>
      <c r="AV24" s="21" t="str">
        <f t="shared" si="103"/>
        <v>Apprenant 12 ou 12'</v>
      </c>
      <c r="AW24" s="49" t="str">
        <f>IF(AND('Choix pédagogiques'!$C$4&lt;&gt;"?",'Choix pédagogiques'!$C$5&lt;&gt;"?",AB24&lt;&gt;""),(AB24-'Choix pédagogiques'!$C$4)/('Choix pédagogiques'!$C$5-'Choix pédagogiques'!$C$4),"")</f>
        <v/>
      </c>
      <c r="AX24" s="49" t="str">
        <f>IF(AND('Choix pédagogiques'!$C$4&lt;&gt;"?",'Choix pédagogiques'!$C$5&lt;&gt;"?",AC24&lt;&gt;""),(AC24-'Choix pédagogiques'!$C$4)/('Choix pédagogiques'!$C$5-'Choix pédagogiques'!$C$4),"")</f>
        <v/>
      </c>
      <c r="AY24" s="49" t="str">
        <f>IF(AND('Choix pédagogiques'!$C$4&lt;&gt;"?",'Choix pédagogiques'!$C$5&lt;&gt;"?",AD24&lt;&gt;""),(AD24-'Choix pédagogiques'!$C$4)/('Choix pédagogiques'!$C$5-'Choix pédagogiques'!$C$4),"")</f>
        <v/>
      </c>
      <c r="AZ24" s="22" t="str">
        <f t="shared" si="104"/>
        <v/>
      </c>
      <c r="BA24" s="21" t="str">
        <f t="shared" si="105"/>
        <v>Apprenant 12</v>
      </c>
      <c r="BB24" s="49" t="str">
        <f t="shared" si="77"/>
        <v/>
      </c>
      <c r="BC24" s="49" t="str">
        <f t="shared" si="78"/>
        <v/>
      </c>
      <c r="BD24" s="49" t="str">
        <f t="shared" si="79"/>
        <v/>
      </c>
      <c r="BE24" s="22" t="str">
        <f t="shared" si="106"/>
        <v/>
      </c>
      <c r="BF24" s="21" t="str">
        <f t="shared" si="107"/>
        <v>Apprenant 12 ou 12'</v>
      </c>
      <c r="BG24" s="49" t="str">
        <f t="shared" si="80"/>
        <v/>
      </c>
      <c r="BH24" s="49" t="str">
        <f t="shared" si="81"/>
        <v/>
      </c>
      <c r="BI24" s="49" t="str">
        <f t="shared" si="82"/>
        <v/>
      </c>
      <c r="BJ24" s="22" t="str">
        <f t="shared" si="108"/>
        <v/>
      </c>
      <c r="BL24" s="21"/>
      <c r="BM24" s="21" t="str">
        <f>IF(OR(COUNT(B24:D1023)=0,AND('Choix pédagogiques'!$C$3&lt;&gt;1,'Choix pédagogiques'!$C$3&lt;&gt;2)),"",IF(AND(OR('Choix pédagogiques'!$C$3=1,'Choix pédagogiques'!$C$3=2),$B24&lt;&gt;"",$C24&lt;&gt;"",$D24&lt;&gt;""),1,0))</f>
        <v/>
      </c>
      <c r="BN24" s="21" t="str">
        <f>IF(OR(COUNT(G24:I1023)=0,AND('Choix pédagogiques'!$C$3&lt;&gt;1,'Choix pédagogiques'!$C$3&lt;&gt;2)),"",IF(AND(OR('Choix pédagogiques'!$C$3=1,'Choix pédagogiques'!$C$3=2),AND($G24&lt;&gt;"",$H24&lt;&gt;"",$I24&lt;&gt;"")),1,0))</f>
        <v/>
      </c>
      <c r="BO24" s="21" t="str">
        <f>IF(OR(COUNT(B24:D1023)=0,COUNT(G24:I1023)=0,'Choix pédagogiques'!C$3&lt;&gt;3),"",IF(AND('Choix pédagogiques'!$C$3=3,$B24&lt;&gt;"",$C24&lt;&gt;"",$D24&lt;&gt;"",$G24&lt;&gt;"",$H24&lt;&gt;"",$I24&lt;&gt;""),1,0))</f>
        <v/>
      </c>
      <c r="BR24" s="21">
        <v>808</v>
      </c>
      <c r="BS24" s="21">
        <v>1880</v>
      </c>
      <c r="BT24"/>
    </row>
    <row r="25" spans="1:72" s="23" customFormat="1" ht="18" customHeight="1" x14ac:dyDescent="0.3">
      <c r="A25" s="35" t="s">
        <v>15</v>
      </c>
      <c r="B25" s="36"/>
      <c r="C25" s="36"/>
      <c r="D25" s="36"/>
      <c r="E25" s="37"/>
      <c r="F25" s="35" t="s">
        <v>1023</v>
      </c>
      <c r="G25" s="36"/>
      <c r="H25" s="36"/>
      <c r="I25" s="36"/>
      <c r="J25" s="37"/>
      <c r="K25" s="21" t="str">
        <f t="shared" si="83"/>
        <v>Apprenant 13</v>
      </c>
      <c r="L25" s="22" t="str">
        <f t="shared" si="84"/>
        <v/>
      </c>
      <c r="M25" s="22" t="str">
        <f t="shared" si="85"/>
        <v/>
      </c>
      <c r="N25" s="22" t="str">
        <f t="shared" si="86"/>
        <v/>
      </c>
      <c r="O25" s="22" t="str">
        <f t="shared" si="87"/>
        <v/>
      </c>
      <c r="P25" s="21" t="str">
        <f t="shared" si="88"/>
        <v>Apprenant 13 ou 13'</v>
      </c>
      <c r="Q25" s="22" t="str">
        <f t="shared" si="89"/>
        <v/>
      </c>
      <c r="R25" s="22" t="str">
        <f t="shared" si="90"/>
        <v/>
      </c>
      <c r="S25" s="22" t="str">
        <f t="shared" si="91"/>
        <v/>
      </c>
      <c r="T25" s="22" t="str">
        <f t="shared" si="92"/>
        <v/>
      </c>
      <c r="V25" s="21" t="str">
        <f t="shared" si="93"/>
        <v>Apprenant 13</v>
      </c>
      <c r="W25" s="22" t="str">
        <f>IF(AND(OR('Choix pédagogiques'!$C$3=1,'Choix pédagogiques'!$C$3=2),$BM25=1),B25,IF(AND('Choix pédagogiques'!$C$3=3,$BO25=1),B25,""))</f>
        <v/>
      </c>
      <c r="X25" s="22" t="str">
        <f>IF(AND(OR('Choix pédagogiques'!$C$3=1,'Choix pédagogiques'!$C$3=2),$BM25=1),C25,IF(AND('Choix pédagogiques'!$C$3=3,$BO25=1),C25,""))</f>
        <v/>
      </c>
      <c r="Y25" s="22" t="str">
        <f>IF(AND(OR('Choix pédagogiques'!$C$3=1,'Choix pédagogiques'!$C$3=2),$BM25=1),D25,IF(AND('Choix pédagogiques'!$C$3=3,$BO25=1),D25,""))</f>
        <v/>
      </c>
      <c r="Z25" s="22" t="str">
        <f t="shared" si="94"/>
        <v/>
      </c>
      <c r="AA25" s="21" t="str">
        <f t="shared" si="95"/>
        <v>Apprenant 13 ou 13'</v>
      </c>
      <c r="AB25" s="22" t="str">
        <f>IF(AND(OR('Choix pédagogiques'!$C$3=1,'Choix pédagogiques'!$C$3=2),$BN25=1),G25,IF(AND('Choix pédagogiques'!$C$3=3,$BO25=1),G25,""))</f>
        <v/>
      </c>
      <c r="AC25" s="22" t="str">
        <f>IF(AND(OR('Choix pédagogiques'!$C$3=1,'Choix pédagogiques'!$C$3=2),$BN25=1),H25,IF(AND('Choix pédagogiques'!$C$3=3,$BO25=1),H25,""))</f>
        <v/>
      </c>
      <c r="AD25" s="22" t="str">
        <f>IF(AND(OR('Choix pédagogiques'!$C$3=1,'Choix pédagogiques'!$C$3=2),$BN25=1),I25,IF(AND('Choix pédagogiques'!$C$3=3,$BO25=1),I25,""))</f>
        <v/>
      </c>
      <c r="AE25" s="22" t="str">
        <f t="shared" si="96"/>
        <v/>
      </c>
      <c r="AF25" s="21" t="str">
        <f t="shared" si="97"/>
        <v>Apprenant 13</v>
      </c>
      <c r="AG25" s="22" t="str">
        <f t="shared" si="71"/>
        <v/>
      </c>
      <c r="AH25" s="22" t="str">
        <f t="shared" si="72"/>
        <v/>
      </c>
      <c r="AI25" s="22" t="str">
        <f t="shared" si="73"/>
        <v/>
      </c>
      <c r="AJ25" s="22" t="str">
        <f t="shared" si="98"/>
        <v/>
      </c>
      <c r="AK25" s="21" t="str">
        <f t="shared" si="99"/>
        <v>Apprenant 13 ou 13'</v>
      </c>
      <c r="AL25" s="22" t="str">
        <f t="shared" si="74"/>
        <v/>
      </c>
      <c r="AM25" s="22" t="str">
        <f t="shared" si="75"/>
        <v/>
      </c>
      <c r="AN25" s="22" t="str">
        <f t="shared" si="76"/>
        <v/>
      </c>
      <c r="AO25" s="22" t="str">
        <f t="shared" si="100"/>
        <v/>
      </c>
      <c r="AQ25" s="21" t="str">
        <f t="shared" si="101"/>
        <v>Apprenant 13</v>
      </c>
      <c r="AR25" s="49" t="str">
        <f>IF(AND('Choix pédagogiques'!$C$4&lt;&gt;"?",'Choix pédagogiques'!$C$5&lt;&gt;"?",W25&lt;&gt;""),(W25-'Choix pédagogiques'!$C$4)/('Choix pédagogiques'!$C$5-'Choix pédagogiques'!$C$4),"")</f>
        <v/>
      </c>
      <c r="AS25" s="49" t="str">
        <f>IF(AND('Choix pédagogiques'!$C$4&lt;&gt;"?",'Choix pédagogiques'!$C$5&lt;&gt;"?",X25&lt;&gt;""),(X25-'Choix pédagogiques'!$C$4)/('Choix pédagogiques'!$C$5-'Choix pédagogiques'!$C$4),"")</f>
        <v/>
      </c>
      <c r="AT25" s="49" t="str">
        <f>IF(AND('Choix pédagogiques'!$C$4&lt;&gt;"?",'Choix pédagogiques'!$C$5&lt;&gt;"?",Y25&lt;&gt;""),(Y25-'Choix pédagogiques'!$C$4)/('Choix pédagogiques'!$C$5-'Choix pédagogiques'!$C$4),"")</f>
        <v/>
      </c>
      <c r="AU25" s="22" t="str">
        <f t="shared" si="102"/>
        <v/>
      </c>
      <c r="AV25" s="21" t="str">
        <f t="shared" si="103"/>
        <v>Apprenant 13 ou 13'</v>
      </c>
      <c r="AW25" s="49" t="str">
        <f>IF(AND('Choix pédagogiques'!$C$4&lt;&gt;"?",'Choix pédagogiques'!$C$5&lt;&gt;"?",AB25&lt;&gt;""),(AB25-'Choix pédagogiques'!$C$4)/('Choix pédagogiques'!$C$5-'Choix pédagogiques'!$C$4),"")</f>
        <v/>
      </c>
      <c r="AX25" s="49" t="str">
        <f>IF(AND('Choix pédagogiques'!$C$4&lt;&gt;"?",'Choix pédagogiques'!$C$5&lt;&gt;"?",AC25&lt;&gt;""),(AC25-'Choix pédagogiques'!$C$4)/('Choix pédagogiques'!$C$5-'Choix pédagogiques'!$C$4),"")</f>
        <v/>
      </c>
      <c r="AY25" s="49" t="str">
        <f>IF(AND('Choix pédagogiques'!$C$4&lt;&gt;"?",'Choix pédagogiques'!$C$5&lt;&gt;"?",AD25&lt;&gt;""),(AD25-'Choix pédagogiques'!$C$4)/('Choix pédagogiques'!$C$5-'Choix pédagogiques'!$C$4),"")</f>
        <v/>
      </c>
      <c r="AZ25" s="22" t="str">
        <f t="shared" si="104"/>
        <v/>
      </c>
      <c r="BA25" s="21" t="str">
        <f t="shared" si="105"/>
        <v>Apprenant 13</v>
      </c>
      <c r="BB25" s="49" t="str">
        <f t="shared" si="77"/>
        <v/>
      </c>
      <c r="BC25" s="49" t="str">
        <f t="shared" si="78"/>
        <v/>
      </c>
      <c r="BD25" s="49" t="str">
        <f t="shared" si="79"/>
        <v/>
      </c>
      <c r="BE25" s="22" t="str">
        <f t="shared" si="106"/>
        <v/>
      </c>
      <c r="BF25" s="21" t="str">
        <f t="shared" si="107"/>
        <v>Apprenant 13 ou 13'</v>
      </c>
      <c r="BG25" s="49" t="str">
        <f t="shared" si="80"/>
        <v/>
      </c>
      <c r="BH25" s="49" t="str">
        <f t="shared" si="81"/>
        <v/>
      </c>
      <c r="BI25" s="49" t="str">
        <f t="shared" si="82"/>
        <v/>
      </c>
      <c r="BJ25" s="22" t="str">
        <f t="shared" si="108"/>
        <v/>
      </c>
      <c r="BL25" s="21"/>
      <c r="BM25" s="21" t="str">
        <f>IF(OR(COUNT(B25:D1024)=0,AND('Choix pédagogiques'!$C$3&lt;&gt;1,'Choix pédagogiques'!$C$3&lt;&gt;2)),"",IF(AND(OR('Choix pédagogiques'!$C$3=1,'Choix pédagogiques'!$C$3=2),$B25&lt;&gt;"",$C25&lt;&gt;"",$D25&lt;&gt;""),1,0))</f>
        <v/>
      </c>
      <c r="BN25" s="21" t="str">
        <f>IF(OR(COUNT(G25:I1024)=0,AND('Choix pédagogiques'!$C$3&lt;&gt;1,'Choix pédagogiques'!$C$3&lt;&gt;2)),"",IF(AND(OR('Choix pédagogiques'!$C$3=1,'Choix pédagogiques'!$C$3=2),AND($G25&lt;&gt;"",$H25&lt;&gt;"",$I25&lt;&gt;"")),1,0))</f>
        <v/>
      </c>
      <c r="BO25" s="21" t="str">
        <f>IF(OR(COUNT(B25:D1024)=0,COUNT(G25:I1024)=0,'Choix pédagogiques'!C$3&lt;&gt;3),"",IF(AND('Choix pédagogiques'!$C$3=3,$B25&lt;&gt;"",$C25&lt;&gt;"",$D25&lt;&gt;"",$G25&lt;&gt;"",$H25&lt;&gt;"",$I25&lt;&gt;""),1,0))</f>
        <v/>
      </c>
      <c r="BR25" s="21">
        <v>23</v>
      </c>
      <c r="BS25" s="21">
        <v>1863</v>
      </c>
      <c r="BT25"/>
    </row>
    <row r="26" spans="1:72" s="23" customFormat="1" ht="18" customHeight="1" x14ac:dyDescent="0.3">
      <c r="A26" s="35" t="s">
        <v>16</v>
      </c>
      <c r="B26" s="36"/>
      <c r="C26" s="36"/>
      <c r="D26" s="36"/>
      <c r="E26" s="37"/>
      <c r="F26" s="35" t="s">
        <v>1024</v>
      </c>
      <c r="G26" s="36"/>
      <c r="H26" s="36"/>
      <c r="I26" s="36"/>
      <c r="J26" s="37"/>
      <c r="K26" s="21" t="str">
        <f t="shared" si="83"/>
        <v>Apprenant 14</v>
      </c>
      <c r="L26" s="22" t="str">
        <f t="shared" si="84"/>
        <v/>
      </c>
      <c r="M26" s="22" t="str">
        <f t="shared" si="85"/>
        <v/>
      </c>
      <c r="N26" s="22" t="str">
        <f t="shared" si="86"/>
        <v/>
      </c>
      <c r="O26" s="22" t="str">
        <f t="shared" si="87"/>
        <v/>
      </c>
      <c r="P26" s="21" t="str">
        <f t="shared" si="88"/>
        <v>Apprenant 14 ou 14'</v>
      </c>
      <c r="Q26" s="22" t="str">
        <f t="shared" si="89"/>
        <v/>
      </c>
      <c r="R26" s="22" t="str">
        <f t="shared" si="90"/>
        <v/>
      </c>
      <c r="S26" s="22" t="str">
        <f t="shared" si="91"/>
        <v/>
      </c>
      <c r="T26" s="22" t="str">
        <f t="shared" si="92"/>
        <v/>
      </c>
      <c r="V26" s="21" t="str">
        <f t="shared" si="93"/>
        <v>Apprenant 14</v>
      </c>
      <c r="W26" s="22" t="str">
        <f>IF(AND(OR('Choix pédagogiques'!$C$3=1,'Choix pédagogiques'!$C$3=2),$BM26=1),B26,IF(AND('Choix pédagogiques'!$C$3=3,$BO26=1),B26,""))</f>
        <v/>
      </c>
      <c r="X26" s="22" t="str">
        <f>IF(AND(OR('Choix pédagogiques'!$C$3=1,'Choix pédagogiques'!$C$3=2),$BM26=1),C26,IF(AND('Choix pédagogiques'!$C$3=3,$BO26=1),C26,""))</f>
        <v/>
      </c>
      <c r="Y26" s="22" t="str">
        <f>IF(AND(OR('Choix pédagogiques'!$C$3=1,'Choix pédagogiques'!$C$3=2),$BM26=1),D26,IF(AND('Choix pédagogiques'!$C$3=3,$BO26=1),D26,""))</f>
        <v/>
      </c>
      <c r="Z26" s="22" t="str">
        <f t="shared" si="94"/>
        <v/>
      </c>
      <c r="AA26" s="21" t="str">
        <f t="shared" si="95"/>
        <v>Apprenant 14 ou 14'</v>
      </c>
      <c r="AB26" s="22" t="str">
        <f>IF(AND(OR('Choix pédagogiques'!$C$3=1,'Choix pédagogiques'!$C$3=2),$BN26=1),G26,IF(AND('Choix pédagogiques'!$C$3=3,$BO26=1),G26,""))</f>
        <v/>
      </c>
      <c r="AC26" s="22" t="str">
        <f>IF(AND(OR('Choix pédagogiques'!$C$3=1,'Choix pédagogiques'!$C$3=2),$BN26=1),H26,IF(AND('Choix pédagogiques'!$C$3=3,$BO26=1),H26,""))</f>
        <v/>
      </c>
      <c r="AD26" s="22" t="str">
        <f>IF(AND(OR('Choix pédagogiques'!$C$3=1,'Choix pédagogiques'!$C$3=2),$BN26=1),I26,IF(AND('Choix pédagogiques'!$C$3=3,$BO26=1),I26,""))</f>
        <v/>
      </c>
      <c r="AE26" s="22" t="str">
        <f t="shared" si="96"/>
        <v/>
      </c>
      <c r="AF26" s="21" t="str">
        <f t="shared" si="97"/>
        <v>Apprenant 14</v>
      </c>
      <c r="AG26" s="22" t="str">
        <f t="shared" si="71"/>
        <v/>
      </c>
      <c r="AH26" s="22" t="str">
        <f t="shared" si="72"/>
        <v/>
      </c>
      <c r="AI26" s="22" t="str">
        <f t="shared" si="73"/>
        <v/>
      </c>
      <c r="AJ26" s="22" t="str">
        <f t="shared" si="98"/>
        <v/>
      </c>
      <c r="AK26" s="21" t="str">
        <f t="shared" si="99"/>
        <v>Apprenant 14 ou 14'</v>
      </c>
      <c r="AL26" s="22" t="str">
        <f t="shared" si="74"/>
        <v/>
      </c>
      <c r="AM26" s="22" t="str">
        <f t="shared" si="75"/>
        <v/>
      </c>
      <c r="AN26" s="22" t="str">
        <f t="shared" si="76"/>
        <v/>
      </c>
      <c r="AO26" s="22" t="str">
        <f t="shared" si="100"/>
        <v/>
      </c>
      <c r="AQ26" s="21" t="str">
        <f t="shared" si="101"/>
        <v>Apprenant 14</v>
      </c>
      <c r="AR26" s="49" t="str">
        <f>IF(AND('Choix pédagogiques'!$C$4&lt;&gt;"?",'Choix pédagogiques'!$C$5&lt;&gt;"?",W26&lt;&gt;""),(W26-'Choix pédagogiques'!$C$4)/('Choix pédagogiques'!$C$5-'Choix pédagogiques'!$C$4),"")</f>
        <v/>
      </c>
      <c r="AS26" s="49" t="str">
        <f>IF(AND('Choix pédagogiques'!$C$4&lt;&gt;"?",'Choix pédagogiques'!$C$5&lt;&gt;"?",X26&lt;&gt;""),(X26-'Choix pédagogiques'!$C$4)/('Choix pédagogiques'!$C$5-'Choix pédagogiques'!$C$4),"")</f>
        <v/>
      </c>
      <c r="AT26" s="49" t="str">
        <f>IF(AND('Choix pédagogiques'!$C$4&lt;&gt;"?",'Choix pédagogiques'!$C$5&lt;&gt;"?",Y26&lt;&gt;""),(Y26-'Choix pédagogiques'!$C$4)/('Choix pédagogiques'!$C$5-'Choix pédagogiques'!$C$4),"")</f>
        <v/>
      </c>
      <c r="AU26" s="22" t="str">
        <f t="shared" si="102"/>
        <v/>
      </c>
      <c r="AV26" s="21" t="str">
        <f t="shared" si="103"/>
        <v>Apprenant 14 ou 14'</v>
      </c>
      <c r="AW26" s="49" t="str">
        <f>IF(AND('Choix pédagogiques'!$C$4&lt;&gt;"?",'Choix pédagogiques'!$C$5&lt;&gt;"?",AB26&lt;&gt;""),(AB26-'Choix pédagogiques'!$C$4)/('Choix pédagogiques'!$C$5-'Choix pédagogiques'!$C$4),"")</f>
        <v/>
      </c>
      <c r="AX26" s="49" t="str">
        <f>IF(AND('Choix pédagogiques'!$C$4&lt;&gt;"?",'Choix pédagogiques'!$C$5&lt;&gt;"?",AC26&lt;&gt;""),(AC26-'Choix pédagogiques'!$C$4)/('Choix pédagogiques'!$C$5-'Choix pédagogiques'!$C$4),"")</f>
        <v/>
      </c>
      <c r="AY26" s="49" t="str">
        <f>IF(AND('Choix pédagogiques'!$C$4&lt;&gt;"?",'Choix pédagogiques'!$C$5&lt;&gt;"?",AD26&lt;&gt;""),(AD26-'Choix pédagogiques'!$C$4)/('Choix pédagogiques'!$C$5-'Choix pédagogiques'!$C$4),"")</f>
        <v/>
      </c>
      <c r="AZ26" s="22" t="str">
        <f t="shared" si="104"/>
        <v/>
      </c>
      <c r="BA26" s="21" t="str">
        <f t="shared" si="105"/>
        <v>Apprenant 14</v>
      </c>
      <c r="BB26" s="49" t="str">
        <f t="shared" si="77"/>
        <v/>
      </c>
      <c r="BC26" s="49" t="str">
        <f t="shared" si="78"/>
        <v/>
      </c>
      <c r="BD26" s="49" t="str">
        <f t="shared" si="79"/>
        <v/>
      </c>
      <c r="BE26" s="22" t="str">
        <f t="shared" si="106"/>
        <v/>
      </c>
      <c r="BF26" s="21" t="str">
        <f t="shared" si="107"/>
        <v>Apprenant 14 ou 14'</v>
      </c>
      <c r="BG26" s="49" t="str">
        <f t="shared" si="80"/>
        <v/>
      </c>
      <c r="BH26" s="49" t="str">
        <f t="shared" si="81"/>
        <v/>
      </c>
      <c r="BI26" s="49" t="str">
        <f t="shared" si="82"/>
        <v/>
      </c>
      <c r="BJ26" s="22" t="str">
        <f t="shared" si="108"/>
        <v/>
      </c>
      <c r="BL26" s="21"/>
      <c r="BM26" s="21" t="str">
        <f>IF(OR(COUNT(B26:D1025)=0,AND('Choix pédagogiques'!$C$3&lt;&gt;1,'Choix pédagogiques'!$C$3&lt;&gt;2)),"",IF(AND(OR('Choix pédagogiques'!$C$3=1,'Choix pédagogiques'!$C$3=2),$B26&lt;&gt;"",$C26&lt;&gt;"",$D26&lt;&gt;""),1,0))</f>
        <v/>
      </c>
      <c r="BN26" s="21" t="str">
        <f>IF(OR(COUNT(G26:I1025)=0,AND('Choix pédagogiques'!$C$3&lt;&gt;1,'Choix pédagogiques'!$C$3&lt;&gt;2)),"",IF(AND(OR('Choix pédagogiques'!$C$3=1,'Choix pédagogiques'!$C$3=2),AND($G26&lt;&gt;"",$H26&lt;&gt;"",$I26&lt;&gt;"")),1,0))</f>
        <v/>
      </c>
      <c r="BO26" s="21" t="str">
        <f>IF(OR(COUNT(B26:D1025)=0,COUNT(G26:I1025)=0,'Choix pédagogiques'!C$3&lt;&gt;3),"",IF(AND('Choix pédagogiques'!$C$3=3,$B26&lt;&gt;"",$C26&lt;&gt;"",$D26&lt;&gt;"",$G26&lt;&gt;"",$H26&lt;&gt;"",$I26&lt;&gt;""),1,0))</f>
        <v/>
      </c>
      <c r="BR26" s="21">
        <v>130</v>
      </c>
      <c r="BS26" s="21">
        <v>1928</v>
      </c>
      <c r="BT26"/>
    </row>
    <row r="27" spans="1:72" s="23" customFormat="1" ht="18" customHeight="1" x14ac:dyDescent="0.3">
      <c r="A27" s="35" t="s">
        <v>17</v>
      </c>
      <c r="B27" s="36"/>
      <c r="C27" s="36"/>
      <c r="D27" s="36"/>
      <c r="E27" s="37"/>
      <c r="F27" s="35" t="s">
        <v>1025</v>
      </c>
      <c r="G27" s="36"/>
      <c r="H27" s="36"/>
      <c r="I27" s="36"/>
      <c r="J27" s="37"/>
      <c r="K27" s="21" t="str">
        <f t="shared" si="83"/>
        <v>Apprenant 15</v>
      </c>
      <c r="L27" s="22" t="str">
        <f t="shared" si="84"/>
        <v/>
      </c>
      <c r="M27" s="22" t="str">
        <f t="shared" si="85"/>
        <v/>
      </c>
      <c r="N27" s="22" t="str">
        <f t="shared" si="86"/>
        <v/>
      </c>
      <c r="O27" s="22" t="str">
        <f t="shared" si="87"/>
        <v/>
      </c>
      <c r="P27" s="21" t="str">
        <f t="shared" si="88"/>
        <v>Apprenant 15 ou 15'</v>
      </c>
      <c r="Q27" s="22" t="str">
        <f t="shared" si="89"/>
        <v/>
      </c>
      <c r="R27" s="22" t="str">
        <f t="shared" si="90"/>
        <v/>
      </c>
      <c r="S27" s="22" t="str">
        <f t="shared" si="91"/>
        <v/>
      </c>
      <c r="T27" s="22" t="str">
        <f t="shared" si="92"/>
        <v/>
      </c>
      <c r="V27" s="21" t="str">
        <f t="shared" si="93"/>
        <v>Apprenant 15</v>
      </c>
      <c r="W27" s="22" t="str">
        <f>IF(AND(OR('Choix pédagogiques'!$C$3=1,'Choix pédagogiques'!$C$3=2),$BM27=1),B27,IF(AND('Choix pédagogiques'!$C$3=3,$BO27=1),B27,""))</f>
        <v/>
      </c>
      <c r="X27" s="22" t="str">
        <f>IF(AND(OR('Choix pédagogiques'!$C$3=1,'Choix pédagogiques'!$C$3=2),$BM27=1),C27,IF(AND('Choix pédagogiques'!$C$3=3,$BO27=1),C27,""))</f>
        <v/>
      </c>
      <c r="Y27" s="22" t="str">
        <f>IF(AND(OR('Choix pédagogiques'!$C$3=1,'Choix pédagogiques'!$C$3=2),$BM27=1),D27,IF(AND('Choix pédagogiques'!$C$3=3,$BO27=1),D27,""))</f>
        <v/>
      </c>
      <c r="Z27" s="22" t="str">
        <f t="shared" si="94"/>
        <v/>
      </c>
      <c r="AA27" s="21" t="str">
        <f t="shared" si="95"/>
        <v>Apprenant 15 ou 15'</v>
      </c>
      <c r="AB27" s="22" t="str">
        <f>IF(AND(OR('Choix pédagogiques'!$C$3=1,'Choix pédagogiques'!$C$3=2),$BN27=1),G27,IF(AND('Choix pédagogiques'!$C$3=3,$BO27=1),G27,""))</f>
        <v/>
      </c>
      <c r="AC27" s="22" t="str">
        <f>IF(AND(OR('Choix pédagogiques'!$C$3=1,'Choix pédagogiques'!$C$3=2),$BN27=1),H27,IF(AND('Choix pédagogiques'!$C$3=3,$BO27=1),H27,""))</f>
        <v/>
      </c>
      <c r="AD27" s="22" t="str">
        <f>IF(AND(OR('Choix pédagogiques'!$C$3=1,'Choix pédagogiques'!$C$3=2),$BN27=1),I27,IF(AND('Choix pédagogiques'!$C$3=3,$BO27=1),I27,""))</f>
        <v/>
      </c>
      <c r="AE27" s="22" t="str">
        <f t="shared" si="96"/>
        <v/>
      </c>
      <c r="AF27" s="21" t="str">
        <f t="shared" si="97"/>
        <v>Apprenant 15</v>
      </c>
      <c r="AG27" s="22" t="str">
        <f t="shared" si="71"/>
        <v/>
      </c>
      <c r="AH27" s="22" t="str">
        <f t="shared" si="72"/>
        <v/>
      </c>
      <c r="AI27" s="22" t="str">
        <f t="shared" si="73"/>
        <v/>
      </c>
      <c r="AJ27" s="22" t="str">
        <f t="shared" si="98"/>
        <v/>
      </c>
      <c r="AK27" s="21" t="str">
        <f t="shared" si="99"/>
        <v>Apprenant 15 ou 15'</v>
      </c>
      <c r="AL27" s="22" t="str">
        <f t="shared" si="74"/>
        <v/>
      </c>
      <c r="AM27" s="22" t="str">
        <f t="shared" si="75"/>
        <v/>
      </c>
      <c r="AN27" s="22" t="str">
        <f t="shared" si="76"/>
        <v/>
      </c>
      <c r="AO27" s="22" t="str">
        <f t="shared" si="100"/>
        <v/>
      </c>
      <c r="AQ27" s="21" t="str">
        <f t="shared" si="101"/>
        <v>Apprenant 15</v>
      </c>
      <c r="AR27" s="49" t="str">
        <f>IF(AND('Choix pédagogiques'!$C$4&lt;&gt;"?",'Choix pédagogiques'!$C$5&lt;&gt;"?",W27&lt;&gt;""),(W27-'Choix pédagogiques'!$C$4)/('Choix pédagogiques'!$C$5-'Choix pédagogiques'!$C$4),"")</f>
        <v/>
      </c>
      <c r="AS27" s="49" t="str">
        <f>IF(AND('Choix pédagogiques'!$C$4&lt;&gt;"?",'Choix pédagogiques'!$C$5&lt;&gt;"?",X27&lt;&gt;""),(X27-'Choix pédagogiques'!$C$4)/('Choix pédagogiques'!$C$5-'Choix pédagogiques'!$C$4),"")</f>
        <v/>
      </c>
      <c r="AT27" s="49" t="str">
        <f>IF(AND('Choix pédagogiques'!$C$4&lt;&gt;"?",'Choix pédagogiques'!$C$5&lt;&gt;"?",Y27&lt;&gt;""),(Y27-'Choix pédagogiques'!$C$4)/('Choix pédagogiques'!$C$5-'Choix pédagogiques'!$C$4),"")</f>
        <v/>
      </c>
      <c r="AU27" s="22" t="str">
        <f t="shared" si="102"/>
        <v/>
      </c>
      <c r="AV27" s="21" t="str">
        <f t="shared" si="103"/>
        <v>Apprenant 15 ou 15'</v>
      </c>
      <c r="AW27" s="49" t="str">
        <f>IF(AND('Choix pédagogiques'!$C$4&lt;&gt;"?",'Choix pédagogiques'!$C$5&lt;&gt;"?",AB27&lt;&gt;""),(AB27-'Choix pédagogiques'!$C$4)/('Choix pédagogiques'!$C$5-'Choix pédagogiques'!$C$4),"")</f>
        <v/>
      </c>
      <c r="AX27" s="49" t="str">
        <f>IF(AND('Choix pédagogiques'!$C$4&lt;&gt;"?",'Choix pédagogiques'!$C$5&lt;&gt;"?",AC27&lt;&gt;""),(AC27-'Choix pédagogiques'!$C$4)/('Choix pédagogiques'!$C$5-'Choix pédagogiques'!$C$4),"")</f>
        <v/>
      </c>
      <c r="AY27" s="49" t="str">
        <f>IF(AND('Choix pédagogiques'!$C$4&lt;&gt;"?",'Choix pédagogiques'!$C$5&lt;&gt;"?",AD27&lt;&gt;""),(AD27-'Choix pédagogiques'!$C$4)/('Choix pédagogiques'!$C$5-'Choix pédagogiques'!$C$4),"")</f>
        <v/>
      </c>
      <c r="AZ27" s="22" t="str">
        <f t="shared" si="104"/>
        <v/>
      </c>
      <c r="BA27" s="21" t="str">
        <f t="shared" si="105"/>
        <v>Apprenant 15</v>
      </c>
      <c r="BB27" s="49" t="str">
        <f t="shared" si="77"/>
        <v/>
      </c>
      <c r="BC27" s="49" t="str">
        <f t="shared" si="78"/>
        <v/>
      </c>
      <c r="BD27" s="49" t="str">
        <f t="shared" si="79"/>
        <v/>
      </c>
      <c r="BE27" s="22" t="str">
        <f t="shared" si="106"/>
        <v/>
      </c>
      <c r="BF27" s="21" t="str">
        <f t="shared" si="107"/>
        <v>Apprenant 15 ou 15'</v>
      </c>
      <c r="BG27" s="49" t="str">
        <f t="shared" si="80"/>
        <v/>
      </c>
      <c r="BH27" s="49" t="str">
        <f t="shared" si="81"/>
        <v/>
      </c>
      <c r="BI27" s="49" t="str">
        <f t="shared" si="82"/>
        <v/>
      </c>
      <c r="BJ27" s="22" t="str">
        <f t="shared" si="108"/>
        <v/>
      </c>
      <c r="BL27" s="21"/>
      <c r="BM27" s="21" t="str">
        <f>IF(OR(COUNT(B27:D1026)=0,AND('Choix pédagogiques'!$C$3&lt;&gt;1,'Choix pédagogiques'!$C$3&lt;&gt;2)),"",IF(AND(OR('Choix pédagogiques'!$C$3=1,'Choix pédagogiques'!$C$3=2),$B27&lt;&gt;"",$C27&lt;&gt;"",$D27&lt;&gt;""),1,0))</f>
        <v/>
      </c>
      <c r="BN27" s="21" t="str">
        <f>IF(OR(COUNT(G27:I1026)=0,AND('Choix pédagogiques'!$C$3&lt;&gt;1,'Choix pédagogiques'!$C$3&lt;&gt;2)),"",IF(AND(OR('Choix pédagogiques'!$C$3=1,'Choix pédagogiques'!$C$3=2),AND($G27&lt;&gt;"",$H27&lt;&gt;"",$I27&lt;&gt;"")),1,0))</f>
        <v/>
      </c>
      <c r="BO27" s="21" t="str">
        <f>IF(OR(COUNT(B27:D1026)=0,COUNT(G27:I1026)=0,'Choix pédagogiques'!C$3&lt;&gt;3),"",IF(AND('Choix pédagogiques'!$C$3=3,$B27&lt;&gt;"",$C27&lt;&gt;"",$D27&lt;&gt;"",$G27&lt;&gt;"",$H27&lt;&gt;"",$I27&lt;&gt;""),1,0))</f>
        <v/>
      </c>
      <c r="BR27" s="21">
        <v>638</v>
      </c>
      <c r="BS27" s="21">
        <v>1944</v>
      </c>
      <c r="BT27"/>
    </row>
    <row r="28" spans="1:72" s="23" customFormat="1" ht="18" customHeight="1" x14ac:dyDescent="0.3">
      <c r="A28" s="35" t="s">
        <v>18</v>
      </c>
      <c r="B28" s="36"/>
      <c r="C28" s="36"/>
      <c r="D28" s="36"/>
      <c r="E28" s="37"/>
      <c r="F28" s="35" t="s">
        <v>1026</v>
      </c>
      <c r="G28" s="36"/>
      <c r="H28" s="36"/>
      <c r="I28" s="36"/>
      <c r="J28" s="37"/>
      <c r="K28" s="21" t="str">
        <f t="shared" si="83"/>
        <v>Apprenant 16</v>
      </c>
      <c r="L28" s="22" t="str">
        <f t="shared" si="84"/>
        <v/>
      </c>
      <c r="M28" s="22" t="str">
        <f t="shared" si="85"/>
        <v/>
      </c>
      <c r="N28" s="22" t="str">
        <f t="shared" si="86"/>
        <v/>
      </c>
      <c r="O28" s="22" t="str">
        <f t="shared" si="87"/>
        <v/>
      </c>
      <c r="P28" s="21" t="str">
        <f t="shared" si="88"/>
        <v>Apprenant 16 ou 16'</v>
      </c>
      <c r="Q28" s="22" t="str">
        <f t="shared" si="89"/>
        <v/>
      </c>
      <c r="R28" s="22" t="str">
        <f t="shared" si="90"/>
        <v/>
      </c>
      <c r="S28" s="22" t="str">
        <f t="shared" si="91"/>
        <v/>
      </c>
      <c r="T28" s="22" t="str">
        <f t="shared" si="92"/>
        <v/>
      </c>
      <c r="V28" s="21" t="str">
        <f t="shared" si="93"/>
        <v>Apprenant 16</v>
      </c>
      <c r="W28" s="22" t="str">
        <f>IF(AND(OR('Choix pédagogiques'!$C$3=1,'Choix pédagogiques'!$C$3=2),$BM28=1),B28,IF(AND('Choix pédagogiques'!$C$3=3,$BO28=1),B28,""))</f>
        <v/>
      </c>
      <c r="X28" s="22" t="str">
        <f>IF(AND(OR('Choix pédagogiques'!$C$3=1,'Choix pédagogiques'!$C$3=2),$BM28=1),C28,IF(AND('Choix pédagogiques'!$C$3=3,$BO28=1),C28,""))</f>
        <v/>
      </c>
      <c r="Y28" s="22" t="str">
        <f>IF(AND(OR('Choix pédagogiques'!$C$3=1,'Choix pédagogiques'!$C$3=2),$BM28=1),D28,IF(AND('Choix pédagogiques'!$C$3=3,$BO28=1),D28,""))</f>
        <v/>
      </c>
      <c r="Z28" s="22" t="str">
        <f t="shared" si="94"/>
        <v/>
      </c>
      <c r="AA28" s="21" t="str">
        <f t="shared" si="95"/>
        <v>Apprenant 16 ou 16'</v>
      </c>
      <c r="AB28" s="22" t="str">
        <f>IF(AND(OR('Choix pédagogiques'!$C$3=1,'Choix pédagogiques'!$C$3=2),$BN28=1),G28,IF(AND('Choix pédagogiques'!$C$3=3,$BO28=1),G28,""))</f>
        <v/>
      </c>
      <c r="AC28" s="22" t="str">
        <f>IF(AND(OR('Choix pédagogiques'!$C$3=1,'Choix pédagogiques'!$C$3=2),$BN28=1),H28,IF(AND('Choix pédagogiques'!$C$3=3,$BO28=1),H28,""))</f>
        <v/>
      </c>
      <c r="AD28" s="22" t="str">
        <f>IF(AND(OR('Choix pédagogiques'!$C$3=1,'Choix pédagogiques'!$C$3=2),$BN28=1),I28,IF(AND('Choix pédagogiques'!$C$3=3,$BO28=1),I28,""))</f>
        <v/>
      </c>
      <c r="AE28" s="22" t="str">
        <f t="shared" si="96"/>
        <v/>
      </c>
      <c r="AF28" s="21" t="str">
        <f t="shared" si="97"/>
        <v>Apprenant 16</v>
      </c>
      <c r="AG28" s="22" t="str">
        <f t="shared" si="71"/>
        <v/>
      </c>
      <c r="AH28" s="22" t="str">
        <f t="shared" si="72"/>
        <v/>
      </c>
      <c r="AI28" s="22" t="str">
        <f t="shared" si="73"/>
        <v/>
      </c>
      <c r="AJ28" s="22" t="str">
        <f t="shared" si="98"/>
        <v/>
      </c>
      <c r="AK28" s="21" t="str">
        <f t="shared" si="99"/>
        <v>Apprenant 16 ou 16'</v>
      </c>
      <c r="AL28" s="22" t="str">
        <f t="shared" si="74"/>
        <v/>
      </c>
      <c r="AM28" s="22" t="str">
        <f t="shared" si="75"/>
        <v/>
      </c>
      <c r="AN28" s="22" t="str">
        <f t="shared" si="76"/>
        <v/>
      </c>
      <c r="AO28" s="22" t="str">
        <f t="shared" si="100"/>
        <v/>
      </c>
      <c r="AQ28" s="21" t="str">
        <f t="shared" si="101"/>
        <v>Apprenant 16</v>
      </c>
      <c r="AR28" s="49" t="str">
        <f>IF(AND('Choix pédagogiques'!$C$4&lt;&gt;"?",'Choix pédagogiques'!$C$5&lt;&gt;"?",W28&lt;&gt;""),(W28-'Choix pédagogiques'!$C$4)/('Choix pédagogiques'!$C$5-'Choix pédagogiques'!$C$4),"")</f>
        <v/>
      </c>
      <c r="AS28" s="49" t="str">
        <f>IF(AND('Choix pédagogiques'!$C$4&lt;&gt;"?",'Choix pédagogiques'!$C$5&lt;&gt;"?",X28&lt;&gt;""),(X28-'Choix pédagogiques'!$C$4)/('Choix pédagogiques'!$C$5-'Choix pédagogiques'!$C$4),"")</f>
        <v/>
      </c>
      <c r="AT28" s="49" t="str">
        <f>IF(AND('Choix pédagogiques'!$C$4&lt;&gt;"?",'Choix pédagogiques'!$C$5&lt;&gt;"?",Y28&lt;&gt;""),(Y28-'Choix pédagogiques'!$C$4)/('Choix pédagogiques'!$C$5-'Choix pédagogiques'!$C$4),"")</f>
        <v/>
      </c>
      <c r="AU28" s="22" t="str">
        <f t="shared" si="102"/>
        <v/>
      </c>
      <c r="AV28" s="21" t="str">
        <f t="shared" si="103"/>
        <v>Apprenant 16 ou 16'</v>
      </c>
      <c r="AW28" s="49" t="str">
        <f>IF(AND('Choix pédagogiques'!$C$4&lt;&gt;"?",'Choix pédagogiques'!$C$5&lt;&gt;"?",AB28&lt;&gt;""),(AB28-'Choix pédagogiques'!$C$4)/('Choix pédagogiques'!$C$5-'Choix pédagogiques'!$C$4),"")</f>
        <v/>
      </c>
      <c r="AX28" s="49" t="str">
        <f>IF(AND('Choix pédagogiques'!$C$4&lt;&gt;"?",'Choix pédagogiques'!$C$5&lt;&gt;"?",AC28&lt;&gt;""),(AC28-'Choix pédagogiques'!$C$4)/('Choix pédagogiques'!$C$5-'Choix pédagogiques'!$C$4),"")</f>
        <v/>
      </c>
      <c r="AY28" s="49" t="str">
        <f>IF(AND('Choix pédagogiques'!$C$4&lt;&gt;"?",'Choix pédagogiques'!$C$5&lt;&gt;"?",AD28&lt;&gt;""),(AD28-'Choix pédagogiques'!$C$4)/('Choix pédagogiques'!$C$5-'Choix pédagogiques'!$C$4),"")</f>
        <v/>
      </c>
      <c r="AZ28" s="22" t="str">
        <f t="shared" si="104"/>
        <v/>
      </c>
      <c r="BA28" s="21" t="str">
        <f t="shared" si="105"/>
        <v>Apprenant 16</v>
      </c>
      <c r="BB28" s="49" t="str">
        <f t="shared" si="77"/>
        <v/>
      </c>
      <c r="BC28" s="49" t="str">
        <f t="shared" si="78"/>
        <v/>
      </c>
      <c r="BD28" s="49" t="str">
        <f t="shared" si="79"/>
        <v/>
      </c>
      <c r="BE28" s="22" t="str">
        <f t="shared" si="106"/>
        <v/>
      </c>
      <c r="BF28" s="21" t="str">
        <f t="shared" si="107"/>
        <v>Apprenant 16 ou 16'</v>
      </c>
      <c r="BG28" s="49" t="str">
        <f t="shared" si="80"/>
        <v/>
      </c>
      <c r="BH28" s="49" t="str">
        <f t="shared" si="81"/>
        <v/>
      </c>
      <c r="BI28" s="49" t="str">
        <f t="shared" si="82"/>
        <v/>
      </c>
      <c r="BJ28" s="22" t="str">
        <f t="shared" si="108"/>
        <v/>
      </c>
      <c r="BL28" s="21"/>
      <c r="BM28" s="21" t="str">
        <f>IF(OR(COUNT(B28:D1027)=0,AND('Choix pédagogiques'!$C$3&lt;&gt;1,'Choix pédagogiques'!$C$3&lt;&gt;2)),"",IF(AND(OR('Choix pédagogiques'!$C$3=1,'Choix pédagogiques'!$C$3=2),$B28&lt;&gt;"",$C28&lt;&gt;"",$D28&lt;&gt;""),1,0))</f>
        <v/>
      </c>
      <c r="BN28" s="21" t="str">
        <f>IF(OR(COUNT(G28:I1027)=0,AND('Choix pédagogiques'!$C$3&lt;&gt;1,'Choix pédagogiques'!$C$3&lt;&gt;2)),"",IF(AND(OR('Choix pédagogiques'!$C$3=1,'Choix pédagogiques'!$C$3=2),AND($G28&lt;&gt;"",$H28&lt;&gt;"",$I28&lt;&gt;"")),1,0))</f>
        <v/>
      </c>
      <c r="BO28" s="21" t="str">
        <f>IF(OR(COUNT(B28:D1027)=0,COUNT(G28:I1027)=0,'Choix pédagogiques'!C$3&lt;&gt;3),"",IF(AND('Choix pédagogiques'!$C$3=3,$B28&lt;&gt;"",$C28&lt;&gt;"",$D28&lt;&gt;"",$G28&lt;&gt;"",$H28&lt;&gt;"",$I28&lt;&gt;""),1,0))</f>
        <v/>
      </c>
      <c r="BR28" s="21">
        <v>96</v>
      </c>
      <c r="BS28" s="21">
        <v>1601</v>
      </c>
      <c r="BT28"/>
    </row>
    <row r="29" spans="1:72" s="23" customFormat="1" ht="18" customHeight="1" x14ac:dyDescent="0.3">
      <c r="A29" s="35" t="s">
        <v>19</v>
      </c>
      <c r="B29" s="36"/>
      <c r="C29" s="36"/>
      <c r="D29" s="36"/>
      <c r="E29" s="37"/>
      <c r="F29" s="35" t="s">
        <v>1027</v>
      </c>
      <c r="G29" s="36"/>
      <c r="H29" s="36"/>
      <c r="I29" s="36"/>
      <c r="J29" s="37"/>
      <c r="K29" s="21" t="str">
        <f t="shared" si="83"/>
        <v>Apprenant 17</v>
      </c>
      <c r="L29" s="22" t="str">
        <f t="shared" si="84"/>
        <v/>
      </c>
      <c r="M29" s="22" t="str">
        <f t="shared" si="85"/>
        <v/>
      </c>
      <c r="N29" s="22" t="str">
        <f t="shared" si="86"/>
        <v/>
      </c>
      <c r="O29" s="22" t="str">
        <f t="shared" si="87"/>
        <v/>
      </c>
      <c r="P29" s="21" t="str">
        <f t="shared" si="88"/>
        <v>Apprenant 17 ou 17'</v>
      </c>
      <c r="Q29" s="22" t="str">
        <f t="shared" si="89"/>
        <v/>
      </c>
      <c r="R29" s="22" t="str">
        <f t="shared" si="90"/>
        <v/>
      </c>
      <c r="S29" s="22" t="str">
        <f t="shared" si="91"/>
        <v/>
      </c>
      <c r="T29" s="22" t="str">
        <f t="shared" si="92"/>
        <v/>
      </c>
      <c r="V29" s="21" t="str">
        <f t="shared" si="93"/>
        <v>Apprenant 17</v>
      </c>
      <c r="W29" s="22" t="str">
        <f>IF(AND(OR('Choix pédagogiques'!$C$3=1,'Choix pédagogiques'!$C$3=2),$BM29=1),B29,IF(AND('Choix pédagogiques'!$C$3=3,$BO29=1),B29,""))</f>
        <v/>
      </c>
      <c r="X29" s="22" t="str">
        <f>IF(AND(OR('Choix pédagogiques'!$C$3=1,'Choix pédagogiques'!$C$3=2),$BM29=1),C29,IF(AND('Choix pédagogiques'!$C$3=3,$BO29=1),C29,""))</f>
        <v/>
      </c>
      <c r="Y29" s="22" t="str">
        <f>IF(AND(OR('Choix pédagogiques'!$C$3=1,'Choix pédagogiques'!$C$3=2),$BM29=1),D29,IF(AND('Choix pédagogiques'!$C$3=3,$BO29=1),D29,""))</f>
        <v/>
      </c>
      <c r="Z29" s="22" t="str">
        <f t="shared" si="94"/>
        <v/>
      </c>
      <c r="AA29" s="21" t="str">
        <f t="shared" si="95"/>
        <v>Apprenant 17 ou 17'</v>
      </c>
      <c r="AB29" s="22" t="str">
        <f>IF(AND(OR('Choix pédagogiques'!$C$3=1,'Choix pédagogiques'!$C$3=2),$BN29=1),G29,IF(AND('Choix pédagogiques'!$C$3=3,$BO29=1),G29,""))</f>
        <v/>
      </c>
      <c r="AC29" s="22" t="str">
        <f>IF(AND(OR('Choix pédagogiques'!$C$3=1,'Choix pédagogiques'!$C$3=2),$BN29=1),H29,IF(AND('Choix pédagogiques'!$C$3=3,$BO29=1),H29,""))</f>
        <v/>
      </c>
      <c r="AD29" s="22" t="str">
        <f>IF(AND(OR('Choix pédagogiques'!$C$3=1,'Choix pédagogiques'!$C$3=2),$BN29=1),I29,IF(AND('Choix pédagogiques'!$C$3=3,$BO29=1),I29,""))</f>
        <v/>
      </c>
      <c r="AE29" s="22" t="str">
        <f t="shared" si="96"/>
        <v/>
      </c>
      <c r="AF29" s="21" t="str">
        <f t="shared" si="97"/>
        <v>Apprenant 17</v>
      </c>
      <c r="AG29" s="22" t="str">
        <f t="shared" si="71"/>
        <v/>
      </c>
      <c r="AH29" s="22" t="str">
        <f t="shared" si="72"/>
        <v/>
      </c>
      <c r="AI29" s="22" t="str">
        <f t="shared" si="73"/>
        <v/>
      </c>
      <c r="AJ29" s="22" t="str">
        <f t="shared" si="98"/>
        <v/>
      </c>
      <c r="AK29" s="21" t="str">
        <f t="shared" si="99"/>
        <v>Apprenant 17 ou 17'</v>
      </c>
      <c r="AL29" s="22" t="str">
        <f t="shared" si="74"/>
        <v/>
      </c>
      <c r="AM29" s="22" t="str">
        <f t="shared" si="75"/>
        <v/>
      </c>
      <c r="AN29" s="22" t="str">
        <f t="shared" si="76"/>
        <v/>
      </c>
      <c r="AO29" s="22" t="str">
        <f t="shared" si="100"/>
        <v/>
      </c>
      <c r="AQ29" s="21" t="str">
        <f t="shared" si="101"/>
        <v>Apprenant 17</v>
      </c>
      <c r="AR29" s="49" t="str">
        <f>IF(AND('Choix pédagogiques'!$C$4&lt;&gt;"?",'Choix pédagogiques'!$C$5&lt;&gt;"?",W29&lt;&gt;""),(W29-'Choix pédagogiques'!$C$4)/('Choix pédagogiques'!$C$5-'Choix pédagogiques'!$C$4),"")</f>
        <v/>
      </c>
      <c r="AS29" s="49" t="str">
        <f>IF(AND('Choix pédagogiques'!$C$4&lt;&gt;"?",'Choix pédagogiques'!$C$5&lt;&gt;"?",X29&lt;&gt;""),(X29-'Choix pédagogiques'!$C$4)/('Choix pédagogiques'!$C$5-'Choix pédagogiques'!$C$4),"")</f>
        <v/>
      </c>
      <c r="AT29" s="49" t="str">
        <f>IF(AND('Choix pédagogiques'!$C$4&lt;&gt;"?",'Choix pédagogiques'!$C$5&lt;&gt;"?",Y29&lt;&gt;""),(Y29-'Choix pédagogiques'!$C$4)/('Choix pédagogiques'!$C$5-'Choix pédagogiques'!$C$4),"")</f>
        <v/>
      </c>
      <c r="AU29" s="22" t="str">
        <f t="shared" si="102"/>
        <v/>
      </c>
      <c r="AV29" s="21" t="str">
        <f t="shared" si="103"/>
        <v>Apprenant 17 ou 17'</v>
      </c>
      <c r="AW29" s="49" t="str">
        <f>IF(AND('Choix pédagogiques'!$C$4&lt;&gt;"?",'Choix pédagogiques'!$C$5&lt;&gt;"?",AB29&lt;&gt;""),(AB29-'Choix pédagogiques'!$C$4)/('Choix pédagogiques'!$C$5-'Choix pédagogiques'!$C$4),"")</f>
        <v/>
      </c>
      <c r="AX29" s="49" t="str">
        <f>IF(AND('Choix pédagogiques'!$C$4&lt;&gt;"?",'Choix pédagogiques'!$C$5&lt;&gt;"?",AC29&lt;&gt;""),(AC29-'Choix pédagogiques'!$C$4)/('Choix pédagogiques'!$C$5-'Choix pédagogiques'!$C$4),"")</f>
        <v/>
      </c>
      <c r="AY29" s="49" t="str">
        <f>IF(AND('Choix pédagogiques'!$C$4&lt;&gt;"?",'Choix pédagogiques'!$C$5&lt;&gt;"?",AD29&lt;&gt;""),(AD29-'Choix pédagogiques'!$C$4)/('Choix pédagogiques'!$C$5-'Choix pédagogiques'!$C$4),"")</f>
        <v/>
      </c>
      <c r="AZ29" s="22" t="str">
        <f t="shared" si="104"/>
        <v/>
      </c>
      <c r="BA29" s="21" t="str">
        <f t="shared" si="105"/>
        <v>Apprenant 17</v>
      </c>
      <c r="BB29" s="49" t="str">
        <f t="shared" si="77"/>
        <v/>
      </c>
      <c r="BC29" s="49" t="str">
        <f t="shared" si="78"/>
        <v/>
      </c>
      <c r="BD29" s="49" t="str">
        <f t="shared" si="79"/>
        <v/>
      </c>
      <c r="BE29" s="22" t="str">
        <f t="shared" si="106"/>
        <v/>
      </c>
      <c r="BF29" s="21" t="str">
        <f t="shared" si="107"/>
        <v>Apprenant 17 ou 17'</v>
      </c>
      <c r="BG29" s="49" t="str">
        <f t="shared" si="80"/>
        <v/>
      </c>
      <c r="BH29" s="49" t="str">
        <f t="shared" si="81"/>
        <v/>
      </c>
      <c r="BI29" s="49" t="str">
        <f t="shared" si="82"/>
        <v/>
      </c>
      <c r="BJ29" s="22" t="str">
        <f t="shared" si="108"/>
        <v/>
      </c>
      <c r="BL29" s="21"/>
      <c r="BM29" s="21" t="str">
        <f>IF(OR(COUNT(B29:D1028)=0,AND('Choix pédagogiques'!$C$3&lt;&gt;1,'Choix pédagogiques'!$C$3&lt;&gt;2)),"",IF(AND(OR('Choix pédagogiques'!$C$3=1,'Choix pédagogiques'!$C$3=2),$B29&lt;&gt;"",$C29&lt;&gt;"",$D29&lt;&gt;""),1,0))</f>
        <v/>
      </c>
      <c r="BN29" s="21" t="str">
        <f>IF(OR(COUNT(G29:I1028)=0,AND('Choix pédagogiques'!$C$3&lt;&gt;1,'Choix pédagogiques'!$C$3&lt;&gt;2)),"",IF(AND(OR('Choix pédagogiques'!$C$3=1,'Choix pédagogiques'!$C$3=2),AND($G29&lt;&gt;"",$H29&lt;&gt;"",$I29&lt;&gt;"")),1,0))</f>
        <v/>
      </c>
      <c r="BO29" s="21" t="str">
        <f>IF(OR(COUNT(B29:D1028)=0,COUNT(G29:I1028)=0,'Choix pédagogiques'!C$3&lt;&gt;3),"",IF(AND('Choix pédagogiques'!$C$3=3,$B29&lt;&gt;"",$C29&lt;&gt;"",$D29&lt;&gt;"",$G29&lt;&gt;"",$H29&lt;&gt;"",$I29&lt;&gt;""),1,0))</f>
        <v/>
      </c>
      <c r="BR29" s="21">
        <v>77</v>
      </c>
      <c r="BS29" s="21">
        <v>1473</v>
      </c>
      <c r="BT29"/>
    </row>
    <row r="30" spans="1:72" s="23" customFormat="1" ht="18" customHeight="1" x14ac:dyDescent="0.3">
      <c r="A30" s="35" t="s">
        <v>20</v>
      </c>
      <c r="B30" s="36"/>
      <c r="C30" s="36"/>
      <c r="D30" s="36"/>
      <c r="E30" s="37"/>
      <c r="F30" s="35" t="s">
        <v>1028</v>
      </c>
      <c r="G30" s="36"/>
      <c r="H30" s="36"/>
      <c r="I30" s="36"/>
      <c r="J30" s="37"/>
      <c r="K30" s="21" t="str">
        <f t="shared" si="83"/>
        <v>Apprenant 18</v>
      </c>
      <c r="L30" s="22" t="str">
        <f t="shared" si="84"/>
        <v/>
      </c>
      <c r="M30" s="22" t="str">
        <f t="shared" si="85"/>
        <v/>
      </c>
      <c r="N30" s="22" t="str">
        <f t="shared" si="86"/>
        <v/>
      </c>
      <c r="O30" s="22" t="str">
        <f t="shared" si="87"/>
        <v/>
      </c>
      <c r="P30" s="21" t="str">
        <f t="shared" si="88"/>
        <v>Apprenant 18 ou 18'</v>
      </c>
      <c r="Q30" s="22" t="str">
        <f t="shared" si="89"/>
        <v/>
      </c>
      <c r="R30" s="22" t="str">
        <f t="shared" si="90"/>
        <v/>
      </c>
      <c r="S30" s="22" t="str">
        <f t="shared" si="91"/>
        <v/>
      </c>
      <c r="T30" s="22" t="str">
        <f t="shared" si="92"/>
        <v/>
      </c>
      <c r="V30" s="21" t="str">
        <f t="shared" si="93"/>
        <v>Apprenant 18</v>
      </c>
      <c r="W30" s="22" t="str">
        <f>IF(AND(OR('Choix pédagogiques'!$C$3=1,'Choix pédagogiques'!$C$3=2),$BM30=1),B30,IF(AND('Choix pédagogiques'!$C$3=3,$BO30=1),B30,""))</f>
        <v/>
      </c>
      <c r="X30" s="22" t="str">
        <f>IF(AND(OR('Choix pédagogiques'!$C$3=1,'Choix pédagogiques'!$C$3=2),$BM30=1),C30,IF(AND('Choix pédagogiques'!$C$3=3,$BO30=1),C30,""))</f>
        <v/>
      </c>
      <c r="Y30" s="22" t="str">
        <f>IF(AND(OR('Choix pédagogiques'!$C$3=1,'Choix pédagogiques'!$C$3=2),$BM30=1),D30,IF(AND('Choix pédagogiques'!$C$3=3,$BO30=1),D30,""))</f>
        <v/>
      </c>
      <c r="Z30" s="22" t="str">
        <f t="shared" si="94"/>
        <v/>
      </c>
      <c r="AA30" s="21" t="str">
        <f t="shared" si="95"/>
        <v>Apprenant 18 ou 18'</v>
      </c>
      <c r="AB30" s="22" t="str">
        <f>IF(AND(OR('Choix pédagogiques'!$C$3=1,'Choix pédagogiques'!$C$3=2),$BN30=1),G30,IF(AND('Choix pédagogiques'!$C$3=3,$BO30=1),G30,""))</f>
        <v/>
      </c>
      <c r="AC30" s="22" t="str">
        <f>IF(AND(OR('Choix pédagogiques'!$C$3=1,'Choix pédagogiques'!$C$3=2),$BN30=1),H30,IF(AND('Choix pédagogiques'!$C$3=3,$BO30=1),H30,""))</f>
        <v/>
      </c>
      <c r="AD30" s="22" t="str">
        <f>IF(AND(OR('Choix pédagogiques'!$C$3=1,'Choix pédagogiques'!$C$3=2),$BN30=1),I30,IF(AND('Choix pédagogiques'!$C$3=3,$BO30=1),I30,""))</f>
        <v/>
      </c>
      <c r="AE30" s="22" t="str">
        <f t="shared" si="96"/>
        <v/>
      </c>
      <c r="AF30" s="21" t="str">
        <f t="shared" si="97"/>
        <v>Apprenant 18</v>
      </c>
      <c r="AG30" s="22" t="str">
        <f t="shared" si="71"/>
        <v/>
      </c>
      <c r="AH30" s="22" t="str">
        <f t="shared" si="72"/>
        <v/>
      </c>
      <c r="AI30" s="22" t="str">
        <f t="shared" si="73"/>
        <v/>
      </c>
      <c r="AJ30" s="22" t="str">
        <f t="shared" si="98"/>
        <v/>
      </c>
      <c r="AK30" s="21" t="str">
        <f t="shared" si="99"/>
        <v>Apprenant 18 ou 18'</v>
      </c>
      <c r="AL30" s="22" t="str">
        <f t="shared" si="74"/>
        <v/>
      </c>
      <c r="AM30" s="22" t="str">
        <f t="shared" si="75"/>
        <v/>
      </c>
      <c r="AN30" s="22" t="str">
        <f t="shared" si="76"/>
        <v/>
      </c>
      <c r="AO30" s="22" t="str">
        <f t="shared" si="100"/>
        <v/>
      </c>
      <c r="AQ30" s="21" t="str">
        <f t="shared" si="101"/>
        <v>Apprenant 18</v>
      </c>
      <c r="AR30" s="49" t="str">
        <f>IF(AND('Choix pédagogiques'!$C$4&lt;&gt;"?",'Choix pédagogiques'!$C$5&lt;&gt;"?",W30&lt;&gt;""),(W30-'Choix pédagogiques'!$C$4)/('Choix pédagogiques'!$C$5-'Choix pédagogiques'!$C$4),"")</f>
        <v/>
      </c>
      <c r="AS30" s="49" t="str">
        <f>IF(AND('Choix pédagogiques'!$C$4&lt;&gt;"?",'Choix pédagogiques'!$C$5&lt;&gt;"?",X30&lt;&gt;""),(X30-'Choix pédagogiques'!$C$4)/('Choix pédagogiques'!$C$5-'Choix pédagogiques'!$C$4),"")</f>
        <v/>
      </c>
      <c r="AT30" s="49" t="str">
        <f>IF(AND('Choix pédagogiques'!$C$4&lt;&gt;"?",'Choix pédagogiques'!$C$5&lt;&gt;"?",Y30&lt;&gt;""),(Y30-'Choix pédagogiques'!$C$4)/('Choix pédagogiques'!$C$5-'Choix pédagogiques'!$C$4),"")</f>
        <v/>
      </c>
      <c r="AU30" s="22" t="str">
        <f t="shared" si="102"/>
        <v/>
      </c>
      <c r="AV30" s="21" t="str">
        <f t="shared" si="103"/>
        <v>Apprenant 18 ou 18'</v>
      </c>
      <c r="AW30" s="49" t="str">
        <f>IF(AND('Choix pédagogiques'!$C$4&lt;&gt;"?",'Choix pédagogiques'!$C$5&lt;&gt;"?",AB30&lt;&gt;""),(AB30-'Choix pédagogiques'!$C$4)/('Choix pédagogiques'!$C$5-'Choix pédagogiques'!$C$4),"")</f>
        <v/>
      </c>
      <c r="AX30" s="49" t="str">
        <f>IF(AND('Choix pédagogiques'!$C$4&lt;&gt;"?",'Choix pédagogiques'!$C$5&lt;&gt;"?",AC30&lt;&gt;""),(AC30-'Choix pédagogiques'!$C$4)/('Choix pédagogiques'!$C$5-'Choix pédagogiques'!$C$4),"")</f>
        <v/>
      </c>
      <c r="AY30" s="49" t="str">
        <f>IF(AND('Choix pédagogiques'!$C$4&lt;&gt;"?",'Choix pédagogiques'!$C$5&lt;&gt;"?",AD30&lt;&gt;""),(AD30-'Choix pédagogiques'!$C$4)/('Choix pédagogiques'!$C$5-'Choix pédagogiques'!$C$4),"")</f>
        <v/>
      </c>
      <c r="AZ30" s="22" t="str">
        <f t="shared" si="104"/>
        <v/>
      </c>
      <c r="BA30" s="21" t="str">
        <f t="shared" si="105"/>
        <v>Apprenant 18</v>
      </c>
      <c r="BB30" s="49" t="str">
        <f t="shared" si="77"/>
        <v/>
      </c>
      <c r="BC30" s="49" t="str">
        <f t="shared" si="78"/>
        <v/>
      </c>
      <c r="BD30" s="49" t="str">
        <f t="shared" si="79"/>
        <v/>
      </c>
      <c r="BE30" s="22" t="str">
        <f t="shared" si="106"/>
        <v/>
      </c>
      <c r="BF30" s="21" t="str">
        <f t="shared" si="107"/>
        <v>Apprenant 18 ou 18'</v>
      </c>
      <c r="BG30" s="49" t="str">
        <f t="shared" si="80"/>
        <v/>
      </c>
      <c r="BH30" s="49" t="str">
        <f t="shared" si="81"/>
        <v/>
      </c>
      <c r="BI30" s="49" t="str">
        <f t="shared" si="82"/>
        <v/>
      </c>
      <c r="BJ30" s="22" t="str">
        <f t="shared" si="108"/>
        <v/>
      </c>
      <c r="BL30" s="21"/>
      <c r="BM30" s="21" t="str">
        <f>IF(OR(COUNT(B30:D1029)=0,AND('Choix pédagogiques'!$C$3&lt;&gt;1,'Choix pédagogiques'!$C$3&lt;&gt;2)),"",IF(AND(OR('Choix pédagogiques'!$C$3=1,'Choix pédagogiques'!$C$3=2),$B30&lt;&gt;"",$C30&lt;&gt;"",$D30&lt;&gt;""),1,0))</f>
        <v/>
      </c>
      <c r="BN30" s="21" t="str">
        <f>IF(OR(COUNT(G30:I1029)=0,AND('Choix pédagogiques'!$C$3&lt;&gt;1,'Choix pédagogiques'!$C$3&lt;&gt;2)),"",IF(AND(OR('Choix pédagogiques'!$C$3=1,'Choix pédagogiques'!$C$3=2),AND($G30&lt;&gt;"",$H30&lt;&gt;"",$I30&lt;&gt;"")),1,0))</f>
        <v/>
      </c>
      <c r="BO30" s="21" t="str">
        <f>IF(OR(COUNT(B30:D1029)=0,COUNT(G30:I1029)=0,'Choix pédagogiques'!C$3&lt;&gt;3),"",IF(AND('Choix pédagogiques'!$C$3=3,$B30&lt;&gt;"",$C30&lt;&gt;"",$D30&lt;&gt;"",$G30&lt;&gt;"",$H30&lt;&gt;"",$I30&lt;&gt;""),1,0))</f>
        <v/>
      </c>
      <c r="BR30" s="21">
        <v>826</v>
      </c>
      <c r="BS30" s="21">
        <v>1553</v>
      </c>
      <c r="BT30"/>
    </row>
    <row r="31" spans="1:72" s="23" customFormat="1" ht="18" customHeight="1" x14ac:dyDescent="0.3">
      <c r="A31" s="35" t="s">
        <v>21</v>
      </c>
      <c r="B31" s="36"/>
      <c r="C31" s="36"/>
      <c r="D31" s="36"/>
      <c r="E31" s="37"/>
      <c r="F31" s="35" t="s">
        <v>1029</v>
      </c>
      <c r="G31" s="36"/>
      <c r="H31" s="36"/>
      <c r="I31" s="36"/>
      <c r="J31" s="37"/>
      <c r="K31" s="21" t="str">
        <f t="shared" si="83"/>
        <v>Apprenant 19</v>
      </c>
      <c r="L31" s="22" t="str">
        <f t="shared" si="84"/>
        <v/>
      </c>
      <c r="M31" s="22" t="str">
        <f t="shared" si="85"/>
        <v/>
      </c>
      <c r="N31" s="22" t="str">
        <f t="shared" si="86"/>
        <v/>
      </c>
      <c r="O31" s="22" t="str">
        <f t="shared" si="87"/>
        <v/>
      </c>
      <c r="P31" s="21" t="str">
        <f t="shared" si="88"/>
        <v>Apprenant 19 ou 19'</v>
      </c>
      <c r="Q31" s="22" t="str">
        <f t="shared" si="89"/>
        <v/>
      </c>
      <c r="R31" s="22" t="str">
        <f t="shared" si="90"/>
        <v/>
      </c>
      <c r="S31" s="22" t="str">
        <f t="shared" si="91"/>
        <v/>
      </c>
      <c r="T31" s="22" t="str">
        <f t="shared" si="92"/>
        <v/>
      </c>
      <c r="V31" s="21" t="str">
        <f t="shared" si="93"/>
        <v>Apprenant 19</v>
      </c>
      <c r="W31" s="22" t="str">
        <f>IF(AND(OR('Choix pédagogiques'!$C$3=1,'Choix pédagogiques'!$C$3=2),$BM31=1),B31,IF(AND('Choix pédagogiques'!$C$3=3,$BO31=1),B31,""))</f>
        <v/>
      </c>
      <c r="X31" s="22" t="str">
        <f>IF(AND(OR('Choix pédagogiques'!$C$3=1,'Choix pédagogiques'!$C$3=2),$BM31=1),C31,IF(AND('Choix pédagogiques'!$C$3=3,$BO31=1),C31,""))</f>
        <v/>
      </c>
      <c r="Y31" s="22" t="str">
        <f>IF(AND(OR('Choix pédagogiques'!$C$3=1,'Choix pédagogiques'!$C$3=2),$BM31=1),D31,IF(AND('Choix pédagogiques'!$C$3=3,$BO31=1),D31,""))</f>
        <v/>
      </c>
      <c r="Z31" s="22" t="str">
        <f t="shared" si="94"/>
        <v/>
      </c>
      <c r="AA31" s="21" t="str">
        <f t="shared" si="95"/>
        <v>Apprenant 19 ou 19'</v>
      </c>
      <c r="AB31" s="22" t="str">
        <f>IF(AND(OR('Choix pédagogiques'!$C$3=1,'Choix pédagogiques'!$C$3=2),$BN31=1),G31,IF(AND('Choix pédagogiques'!$C$3=3,$BO31=1),G31,""))</f>
        <v/>
      </c>
      <c r="AC31" s="22" t="str">
        <f>IF(AND(OR('Choix pédagogiques'!$C$3=1,'Choix pédagogiques'!$C$3=2),$BN31=1),H31,IF(AND('Choix pédagogiques'!$C$3=3,$BO31=1),H31,""))</f>
        <v/>
      </c>
      <c r="AD31" s="22" t="str">
        <f>IF(AND(OR('Choix pédagogiques'!$C$3=1,'Choix pédagogiques'!$C$3=2),$BN31=1),I31,IF(AND('Choix pédagogiques'!$C$3=3,$BO31=1),I31,""))</f>
        <v/>
      </c>
      <c r="AE31" s="22" t="str">
        <f t="shared" si="96"/>
        <v/>
      </c>
      <c r="AF31" s="21" t="str">
        <f t="shared" si="97"/>
        <v>Apprenant 19</v>
      </c>
      <c r="AG31" s="22" t="str">
        <f t="shared" si="71"/>
        <v/>
      </c>
      <c r="AH31" s="22" t="str">
        <f t="shared" si="72"/>
        <v/>
      </c>
      <c r="AI31" s="22" t="str">
        <f t="shared" si="73"/>
        <v/>
      </c>
      <c r="AJ31" s="22" t="str">
        <f t="shared" si="98"/>
        <v/>
      </c>
      <c r="AK31" s="21" t="str">
        <f t="shared" si="99"/>
        <v>Apprenant 19 ou 19'</v>
      </c>
      <c r="AL31" s="22" t="str">
        <f t="shared" si="74"/>
        <v/>
      </c>
      <c r="AM31" s="22" t="str">
        <f t="shared" si="75"/>
        <v/>
      </c>
      <c r="AN31" s="22" t="str">
        <f t="shared" si="76"/>
        <v/>
      </c>
      <c r="AO31" s="22" t="str">
        <f t="shared" si="100"/>
        <v/>
      </c>
      <c r="AQ31" s="21" t="str">
        <f t="shared" si="101"/>
        <v>Apprenant 19</v>
      </c>
      <c r="AR31" s="49" t="str">
        <f>IF(AND('Choix pédagogiques'!$C$4&lt;&gt;"?",'Choix pédagogiques'!$C$5&lt;&gt;"?",W31&lt;&gt;""),(W31-'Choix pédagogiques'!$C$4)/('Choix pédagogiques'!$C$5-'Choix pédagogiques'!$C$4),"")</f>
        <v/>
      </c>
      <c r="AS31" s="49" t="str">
        <f>IF(AND('Choix pédagogiques'!$C$4&lt;&gt;"?",'Choix pédagogiques'!$C$5&lt;&gt;"?",X31&lt;&gt;""),(X31-'Choix pédagogiques'!$C$4)/('Choix pédagogiques'!$C$5-'Choix pédagogiques'!$C$4),"")</f>
        <v/>
      </c>
      <c r="AT31" s="49" t="str">
        <f>IF(AND('Choix pédagogiques'!$C$4&lt;&gt;"?",'Choix pédagogiques'!$C$5&lt;&gt;"?",Y31&lt;&gt;""),(Y31-'Choix pédagogiques'!$C$4)/('Choix pédagogiques'!$C$5-'Choix pédagogiques'!$C$4),"")</f>
        <v/>
      </c>
      <c r="AU31" s="22" t="str">
        <f t="shared" si="102"/>
        <v/>
      </c>
      <c r="AV31" s="21" t="str">
        <f t="shared" si="103"/>
        <v>Apprenant 19 ou 19'</v>
      </c>
      <c r="AW31" s="49" t="str">
        <f>IF(AND('Choix pédagogiques'!$C$4&lt;&gt;"?",'Choix pédagogiques'!$C$5&lt;&gt;"?",AB31&lt;&gt;""),(AB31-'Choix pédagogiques'!$C$4)/('Choix pédagogiques'!$C$5-'Choix pédagogiques'!$C$4),"")</f>
        <v/>
      </c>
      <c r="AX31" s="49" t="str">
        <f>IF(AND('Choix pédagogiques'!$C$4&lt;&gt;"?",'Choix pédagogiques'!$C$5&lt;&gt;"?",AC31&lt;&gt;""),(AC31-'Choix pédagogiques'!$C$4)/('Choix pédagogiques'!$C$5-'Choix pédagogiques'!$C$4),"")</f>
        <v/>
      </c>
      <c r="AY31" s="49" t="str">
        <f>IF(AND('Choix pédagogiques'!$C$4&lt;&gt;"?",'Choix pédagogiques'!$C$5&lt;&gt;"?",AD31&lt;&gt;""),(AD31-'Choix pédagogiques'!$C$4)/('Choix pédagogiques'!$C$5-'Choix pédagogiques'!$C$4),"")</f>
        <v/>
      </c>
      <c r="AZ31" s="22" t="str">
        <f t="shared" si="104"/>
        <v/>
      </c>
      <c r="BA31" s="21" t="str">
        <f t="shared" si="105"/>
        <v>Apprenant 19</v>
      </c>
      <c r="BB31" s="49" t="str">
        <f t="shared" si="77"/>
        <v/>
      </c>
      <c r="BC31" s="49" t="str">
        <f t="shared" si="78"/>
        <v/>
      </c>
      <c r="BD31" s="49" t="str">
        <f t="shared" si="79"/>
        <v/>
      </c>
      <c r="BE31" s="22" t="str">
        <f t="shared" si="106"/>
        <v/>
      </c>
      <c r="BF31" s="21" t="str">
        <f t="shared" si="107"/>
        <v>Apprenant 19 ou 19'</v>
      </c>
      <c r="BG31" s="49" t="str">
        <f t="shared" si="80"/>
        <v/>
      </c>
      <c r="BH31" s="49" t="str">
        <f t="shared" si="81"/>
        <v/>
      </c>
      <c r="BI31" s="49" t="str">
        <f t="shared" si="82"/>
        <v/>
      </c>
      <c r="BJ31" s="22" t="str">
        <f t="shared" si="108"/>
        <v/>
      </c>
      <c r="BL31" s="21"/>
      <c r="BM31" s="21" t="str">
        <f>IF(OR(COUNT(B31:D1030)=0,AND('Choix pédagogiques'!$C$3&lt;&gt;1,'Choix pédagogiques'!$C$3&lt;&gt;2)),"",IF(AND(OR('Choix pédagogiques'!$C$3=1,'Choix pédagogiques'!$C$3=2),$B31&lt;&gt;"",$C31&lt;&gt;"",$D31&lt;&gt;""),1,0))</f>
        <v/>
      </c>
      <c r="BN31" s="21" t="str">
        <f>IF(OR(COUNT(G31:I1030)=0,AND('Choix pédagogiques'!$C$3&lt;&gt;1,'Choix pédagogiques'!$C$3&lt;&gt;2)),"",IF(AND(OR('Choix pédagogiques'!$C$3=1,'Choix pédagogiques'!$C$3=2),AND($G31&lt;&gt;"",$H31&lt;&gt;"",$I31&lt;&gt;"")),1,0))</f>
        <v/>
      </c>
      <c r="BO31" s="21" t="str">
        <f>IF(OR(COUNT(B31:D1030)=0,COUNT(G31:I1030)=0,'Choix pédagogiques'!C$3&lt;&gt;3),"",IF(AND('Choix pédagogiques'!$C$3=3,$B31&lt;&gt;"",$C31&lt;&gt;"",$D31&lt;&gt;"",$G31&lt;&gt;"",$H31&lt;&gt;"",$I31&lt;&gt;""),1,0))</f>
        <v/>
      </c>
      <c r="BR31" s="21">
        <v>410</v>
      </c>
      <c r="BS31" s="21">
        <v>1246</v>
      </c>
      <c r="BT31"/>
    </row>
    <row r="32" spans="1:72" s="23" customFormat="1" ht="18" customHeight="1" x14ac:dyDescent="0.3">
      <c r="A32" s="35" t="s">
        <v>22</v>
      </c>
      <c r="B32" s="36"/>
      <c r="C32" s="36"/>
      <c r="D32" s="36"/>
      <c r="E32" s="37"/>
      <c r="F32" s="35" t="s">
        <v>1030</v>
      </c>
      <c r="G32" s="36"/>
      <c r="H32" s="36"/>
      <c r="I32" s="36"/>
      <c r="J32" s="37"/>
      <c r="K32" s="21" t="str">
        <f t="shared" si="83"/>
        <v>Apprenant 20</v>
      </c>
      <c r="L32" s="22" t="str">
        <f t="shared" si="84"/>
        <v/>
      </c>
      <c r="M32" s="22" t="str">
        <f t="shared" si="85"/>
        <v/>
      </c>
      <c r="N32" s="22" t="str">
        <f t="shared" si="86"/>
        <v/>
      </c>
      <c r="O32" s="22" t="str">
        <f t="shared" si="87"/>
        <v/>
      </c>
      <c r="P32" s="21" t="str">
        <f t="shared" si="88"/>
        <v>Apprenant 20 ou 20'</v>
      </c>
      <c r="Q32" s="22" t="str">
        <f t="shared" si="89"/>
        <v/>
      </c>
      <c r="R32" s="22" t="str">
        <f t="shared" si="90"/>
        <v/>
      </c>
      <c r="S32" s="22" t="str">
        <f t="shared" si="91"/>
        <v/>
      </c>
      <c r="T32" s="22" t="str">
        <f t="shared" si="92"/>
        <v/>
      </c>
      <c r="V32" s="21" t="str">
        <f t="shared" si="93"/>
        <v>Apprenant 20</v>
      </c>
      <c r="W32" s="22" t="str">
        <f>IF(AND(OR('Choix pédagogiques'!$C$3=1,'Choix pédagogiques'!$C$3=2),$BM32=1),B32,IF(AND('Choix pédagogiques'!$C$3=3,$BO32=1),B32,""))</f>
        <v/>
      </c>
      <c r="X32" s="22" t="str">
        <f>IF(AND(OR('Choix pédagogiques'!$C$3=1,'Choix pédagogiques'!$C$3=2),$BM32=1),C32,IF(AND('Choix pédagogiques'!$C$3=3,$BO32=1),C32,""))</f>
        <v/>
      </c>
      <c r="Y32" s="22" t="str">
        <f>IF(AND(OR('Choix pédagogiques'!$C$3=1,'Choix pédagogiques'!$C$3=2),$BM32=1),D32,IF(AND('Choix pédagogiques'!$C$3=3,$BO32=1),D32,""))</f>
        <v/>
      </c>
      <c r="Z32" s="22" t="str">
        <f t="shared" si="94"/>
        <v/>
      </c>
      <c r="AA32" s="21" t="str">
        <f t="shared" si="95"/>
        <v>Apprenant 20 ou 20'</v>
      </c>
      <c r="AB32" s="22" t="str">
        <f>IF(AND(OR('Choix pédagogiques'!$C$3=1,'Choix pédagogiques'!$C$3=2),$BN32=1),G32,IF(AND('Choix pédagogiques'!$C$3=3,$BO32=1),G32,""))</f>
        <v/>
      </c>
      <c r="AC32" s="22" t="str">
        <f>IF(AND(OR('Choix pédagogiques'!$C$3=1,'Choix pédagogiques'!$C$3=2),$BN32=1),H32,IF(AND('Choix pédagogiques'!$C$3=3,$BO32=1),H32,""))</f>
        <v/>
      </c>
      <c r="AD32" s="22" t="str">
        <f>IF(AND(OR('Choix pédagogiques'!$C$3=1,'Choix pédagogiques'!$C$3=2),$BN32=1),I32,IF(AND('Choix pédagogiques'!$C$3=3,$BO32=1),I32,""))</f>
        <v/>
      </c>
      <c r="AE32" s="22" t="str">
        <f t="shared" si="96"/>
        <v/>
      </c>
      <c r="AF32" s="21" t="str">
        <f t="shared" si="97"/>
        <v>Apprenant 20</v>
      </c>
      <c r="AG32" s="22" t="str">
        <f t="shared" si="71"/>
        <v/>
      </c>
      <c r="AH32" s="22" t="str">
        <f t="shared" si="72"/>
        <v/>
      </c>
      <c r="AI32" s="22" t="str">
        <f t="shared" si="73"/>
        <v/>
      </c>
      <c r="AJ32" s="22" t="str">
        <f t="shared" si="98"/>
        <v/>
      </c>
      <c r="AK32" s="21" t="str">
        <f t="shared" si="99"/>
        <v>Apprenant 20 ou 20'</v>
      </c>
      <c r="AL32" s="22" t="str">
        <f t="shared" si="74"/>
        <v/>
      </c>
      <c r="AM32" s="22" t="str">
        <f t="shared" si="75"/>
        <v/>
      </c>
      <c r="AN32" s="22" t="str">
        <f t="shared" si="76"/>
        <v/>
      </c>
      <c r="AO32" s="22" t="str">
        <f t="shared" si="100"/>
        <v/>
      </c>
      <c r="AQ32" s="21" t="str">
        <f t="shared" si="101"/>
        <v>Apprenant 20</v>
      </c>
      <c r="AR32" s="49" t="str">
        <f>IF(AND('Choix pédagogiques'!$C$4&lt;&gt;"?",'Choix pédagogiques'!$C$5&lt;&gt;"?",W32&lt;&gt;""),(W32-'Choix pédagogiques'!$C$4)/('Choix pédagogiques'!$C$5-'Choix pédagogiques'!$C$4),"")</f>
        <v/>
      </c>
      <c r="AS32" s="49" t="str">
        <f>IF(AND('Choix pédagogiques'!$C$4&lt;&gt;"?",'Choix pédagogiques'!$C$5&lt;&gt;"?",X32&lt;&gt;""),(X32-'Choix pédagogiques'!$C$4)/('Choix pédagogiques'!$C$5-'Choix pédagogiques'!$C$4),"")</f>
        <v/>
      </c>
      <c r="AT32" s="49" t="str">
        <f>IF(AND('Choix pédagogiques'!$C$4&lt;&gt;"?",'Choix pédagogiques'!$C$5&lt;&gt;"?",Y32&lt;&gt;""),(Y32-'Choix pédagogiques'!$C$4)/('Choix pédagogiques'!$C$5-'Choix pédagogiques'!$C$4),"")</f>
        <v/>
      </c>
      <c r="AU32" s="22" t="str">
        <f t="shared" si="102"/>
        <v/>
      </c>
      <c r="AV32" s="21" t="str">
        <f t="shared" si="103"/>
        <v>Apprenant 20 ou 20'</v>
      </c>
      <c r="AW32" s="49" t="str">
        <f>IF(AND('Choix pédagogiques'!$C$4&lt;&gt;"?",'Choix pédagogiques'!$C$5&lt;&gt;"?",AB32&lt;&gt;""),(AB32-'Choix pédagogiques'!$C$4)/('Choix pédagogiques'!$C$5-'Choix pédagogiques'!$C$4),"")</f>
        <v/>
      </c>
      <c r="AX32" s="49" t="str">
        <f>IF(AND('Choix pédagogiques'!$C$4&lt;&gt;"?",'Choix pédagogiques'!$C$5&lt;&gt;"?",AC32&lt;&gt;""),(AC32-'Choix pédagogiques'!$C$4)/('Choix pédagogiques'!$C$5-'Choix pédagogiques'!$C$4),"")</f>
        <v/>
      </c>
      <c r="AY32" s="49" t="str">
        <f>IF(AND('Choix pédagogiques'!$C$4&lt;&gt;"?",'Choix pédagogiques'!$C$5&lt;&gt;"?",AD32&lt;&gt;""),(AD32-'Choix pédagogiques'!$C$4)/('Choix pédagogiques'!$C$5-'Choix pédagogiques'!$C$4),"")</f>
        <v/>
      </c>
      <c r="AZ32" s="22" t="str">
        <f t="shared" si="104"/>
        <v/>
      </c>
      <c r="BA32" s="21" t="str">
        <f t="shared" si="105"/>
        <v>Apprenant 20</v>
      </c>
      <c r="BB32" s="49" t="str">
        <f t="shared" si="77"/>
        <v/>
      </c>
      <c r="BC32" s="49" t="str">
        <f t="shared" si="78"/>
        <v/>
      </c>
      <c r="BD32" s="49" t="str">
        <f t="shared" si="79"/>
        <v/>
      </c>
      <c r="BE32" s="22" t="str">
        <f t="shared" si="106"/>
        <v/>
      </c>
      <c r="BF32" s="21" t="str">
        <f t="shared" si="107"/>
        <v>Apprenant 20 ou 20'</v>
      </c>
      <c r="BG32" s="49" t="str">
        <f t="shared" si="80"/>
        <v/>
      </c>
      <c r="BH32" s="49" t="str">
        <f t="shared" si="81"/>
        <v/>
      </c>
      <c r="BI32" s="49" t="str">
        <f t="shared" si="82"/>
        <v/>
      </c>
      <c r="BJ32" s="22" t="str">
        <f t="shared" si="108"/>
        <v/>
      </c>
      <c r="BL32" s="21"/>
      <c r="BM32" s="21" t="str">
        <f>IF(OR(COUNT(B32:D1031)=0,AND('Choix pédagogiques'!$C$3&lt;&gt;1,'Choix pédagogiques'!$C$3&lt;&gt;2)),"",IF(AND(OR('Choix pédagogiques'!$C$3=1,'Choix pédagogiques'!$C$3=2),$B32&lt;&gt;"",$C32&lt;&gt;"",$D32&lt;&gt;""),1,0))</f>
        <v/>
      </c>
      <c r="BN32" s="21" t="str">
        <f>IF(OR(COUNT(G32:I1031)=0,AND('Choix pédagogiques'!$C$3&lt;&gt;1,'Choix pédagogiques'!$C$3&lt;&gt;2)),"",IF(AND(OR('Choix pédagogiques'!$C$3=1,'Choix pédagogiques'!$C$3=2),AND($G32&lt;&gt;"",$H32&lt;&gt;"",$I32&lt;&gt;"")),1,0))</f>
        <v/>
      </c>
      <c r="BO32" s="21" t="str">
        <f>IF(OR(COUNT(B32:D1031)=0,COUNT(G32:I1031)=0,'Choix pédagogiques'!C$3&lt;&gt;3),"",IF(AND('Choix pédagogiques'!$C$3=3,$B32&lt;&gt;"",$C32&lt;&gt;"",$D32&lt;&gt;"",$G32&lt;&gt;"",$H32&lt;&gt;"",$I32&lt;&gt;""),1,0))</f>
        <v/>
      </c>
      <c r="BR32" s="21">
        <v>649</v>
      </c>
      <c r="BS32" s="21">
        <v>1812</v>
      </c>
      <c r="BT32"/>
    </row>
    <row r="33" spans="1:72" s="23" customFormat="1" ht="18" customHeight="1" x14ac:dyDescent="0.3">
      <c r="A33" s="35" t="s">
        <v>23</v>
      </c>
      <c r="B33" s="36"/>
      <c r="C33" s="36"/>
      <c r="D33" s="36"/>
      <c r="E33" s="37"/>
      <c r="F33" s="35" t="s">
        <v>1031</v>
      </c>
      <c r="G33" s="36"/>
      <c r="H33" s="36"/>
      <c r="I33" s="36"/>
      <c r="J33" s="37"/>
      <c r="K33" s="21" t="str">
        <f t="shared" si="83"/>
        <v>Apprenant 21</v>
      </c>
      <c r="L33" s="22" t="str">
        <f t="shared" si="84"/>
        <v/>
      </c>
      <c r="M33" s="22" t="str">
        <f t="shared" si="85"/>
        <v/>
      </c>
      <c r="N33" s="22" t="str">
        <f t="shared" si="86"/>
        <v/>
      </c>
      <c r="O33" s="22" t="str">
        <f t="shared" si="87"/>
        <v/>
      </c>
      <c r="P33" s="21" t="str">
        <f t="shared" si="88"/>
        <v>Apprenant 21 ou 21'</v>
      </c>
      <c r="Q33" s="22" t="str">
        <f t="shared" si="89"/>
        <v/>
      </c>
      <c r="R33" s="22" t="str">
        <f t="shared" si="90"/>
        <v/>
      </c>
      <c r="S33" s="22" t="str">
        <f t="shared" si="91"/>
        <v/>
      </c>
      <c r="T33" s="22" t="str">
        <f t="shared" si="92"/>
        <v/>
      </c>
      <c r="V33" s="21" t="str">
        <f t="shared" si="93"/>
        <v>Apprenant 21</v>
      </c>
      <c r="W33" s="22" t="str">
        <f>IF(AND(OR('Choix pédagogiques'!$C$3=1,'Choix pédagogiques'!$C$3=2),$BM33=1),B33,IF(AND('Choix pédagogiques'!$C$3=3,$BO33=1),B33,""))</f>
        <v/>
      </c>
      <c r="X33" s="22" t="str">
        <f>IF(AND(OR('Choix pédagogiques'!$C$3=1,'Choix pédagogiques'!$C$3=2),$BM33=1),C33,IF(AND('Choix pédagogiques'!$C$3=3,$BO33=1),C33,""))</f>
        <v/>
      </c>
      <c r="Y33" s="22" t="str">
        <f>IF(AND(OR('Choix pédagogiques'!$C$3=1,'Choix pédagogiques'!$C$3=2),$BM33=1),D33,IF(AND('Choix pédagogiques'!$C$3=3,$BO33=1),D33,""))</f>
        <v/>
      </c>
      <c r="Z33" s="22" t="str">
        <f t="shared" si="94"/>
        <v/>
      </c>
      <c r="AA33" s="21" t="str">
        <f t="shared" si="95"/>
        <v>Apprenant 21 ou 21'</v>
      </c>
      <c r="AB33" s="22" t="str">
        <f>IF(AND(OR('Choix pédagogiques'!$C$3=1,'Choix pédagogiques'!$C$3=2),$BN33=1),G33,IF(AND('Choix pédagogiques'!$C$3=3,$BO33=1),G33,""))</f>
        <v/>
      </c>
      <c r="AC33" s="22" t="str">
        <f>IF(AND(OR('Choix pédagogiques'!$C$3=1,'Choix pédagogiques'!$C$3=2),$BN33=1),H33,IF(AND('Choix pédagogiques'!$C$3=3,$BO33=1),H33,""))</f>
        <v/>
      </c>
      <c r="AD33" s="22" t="str">
        <f>IF(AND(OR('Choix pédagogiques'!$C$3=1,'Choix pédagogiques'!$C$3=2),$BN33=1),I33,IF(AND('Choix pédagogiques'!$C$3=3,$BO33=1),I33,""))</f>
        <v/>
      </c>
      <c r="AE33" s="22" t="str">
        <f t="shared" si="96"/>
        <v/>
      </c>
      <c r="AF33" s="21" t="str">
        <f t="shared" si="97"/>
        <v>Apprenant 21</v>
      </c>
      <c r="AG33" s="22" t="str">
        <f t="shared" si="71"/>
        <v/>
      </c>
      <c r="AH33" s="22" t="str">
        <f t="shared" si="72"/>
        <v/>
      </c>
      <c r="AI33" s="22" t="str">
        <f t="shared" si="73"/>
        <v/>
      </c>
      <c r="AJ33" s="22" t="str">
        <f t="shared" si="98"/>
        <v/>
      </c>
      <c r="AK33" s="21" t="str">
        <f t="shared" si="99"/>
        <v>Apprenant 21 ou 21'</v>
      </c>
      <c r="AL33" s="22" t="str">
        <f t="shared" si="74"/>
        <v/>
      </c>
      <c r="AM33" s="22" t="str">
        <f t="shared" si="75"/>
        <v/>
      </c>
      <c r="AN33" s="22" t="str">
        <f t="shared" si="76"/>
        <v/>
      </c>
      <c r="AO33" s="22" t="str">
        <f t="shared" si="100"/>
        <v/>
      </c>
      <c r="AQ33" s="21" t="str">
        <f t="shared" si="101"/>
        <v>Apprenant 21</v>
      </c>
      <c r="AR33" s="49" t="str">
        <f>IF(AND('Choix pédagogiques'!$C$4&lt;&gt;"?",'Choix pédagogiques'!$C$5&lt;&gt;"?",W33&lt;&gt;""),(W33-'Choix pédagogiques'!$C$4)/('Choix pédagogiques'!$C$5-'Choix pédagogiques'!$C$4),"")</f>
        <v/>
      </c>
      <c r="AS33" s="49" t="str">
        <f>IF(AND('Choix pédagogiques'!$C$4&lt;&gt;"?",'Choix pédagogiques'!$C$5&lt;&gt;"?",X33&lt;&gt;""),(X33-'Choix pédagogiques'!$C$4)/('Choix pédagogiques'!$C$5-'Choix pédagogiques'!$C$4),"")</f>
        <v/>
      </c>
      <c r="AT33" s="49" t="str">
        <f>IF(AND('Choix pédagogiques'!$C$4&lt;&gt;"?",'Choix pédagogiques'!$C$5&lt;&gt;"?",Y33&lt;&gt;""),(Y33-'Choix pédagogiques'!$C$4)/('Choix pédagogiques'!$C$5-'Choix pédagogiques'!$C$4),"")</f>
        <v/>
      </c>
      <c r="AU33" s="22" t="str">
        <f t="shared" si="102"/>
        <v/>
      </c>
      <c r="AV33" s="21" t="str">
        <f t="shared" si="103"/>
        <v>Apprenant 21 ou 21'</v>
      </c>
      <c r="AW33" s="49" t="str">
        <f>IF(AND('Choix pédagogiques'!$C$4&lt;&gt;"?",'Choix pédagogiques'!$C$5&lt;&gt;"?",AB33&lt;&gt;""),(AB33-'Choix pédagogiques'!$C$4)/('Choix pédagogiques'!$C$5-'Choix pédagogiques'!$C$4),"")</f>
        <v/>
      </c>
      <c r="AX33" s="49" t="str">
        <f>IF(AND('Choix pédagogiques'!$C$4&lt;&gt;"?",'Choix pédagogiques'!$C$5&lt;&gt;"?",AC33&lt;&gt;""),(AC33-'Choix pédagogiques'!$C$4)/('Choix pédagogiques'!$C$5-'Choix pédagogiques'!$C$4),"")</f>
        <v/>
      </c>
      <c r="AY33" s="49" t="str">
        <f>IF(AND('Choix pédagogiques'!$C$4&lt;&gt;"?",'Choix pédagogiques'!$C$5&lt;&gt;"?",AD33&lt;&gt;""),(AD33-'Choix pédagogiques'!$C$4)/('Choix pédagogiques'!$C$5-'Choix pédagogiques'!$C$4),"")</f>
        <v/>
      </c>
      <c r="AZ33" s="22" t="str">
        <f t="shared" si="104"/>
        <v/>
      </c>
      <c r="BA33" s="21" t="str">
        <f t="shared" si="105"/>
        <v>Apprenant 21</v>
      </c>
      <c r="BB33" s="49" t="str">
        <f t="shared" si="77"/>
        <v/>
      </c>
      <c r="BC33" s="49" t="str">
        <f t="shared" si="78"/>
        <v/>
      </c>
      <c r="BD33" s="49" t="str">
        <f t="shared" si="79"/>
        <v/>
      </c>
      <c r="BE33" s="22" t="str">
        <f t="shared" si="106"/>
        <v/>
      </c>
      <c r="BF33" s="21" t="str">
        <f t="shared" si="107"/>
        <v>Apprenant 21 ou 21'</v>
      </c>
      <c r="BG33" s="49" t="str">
        <f t="shared" si="80"/>
        <v/>
      </c>
      <c r="BH33" s="49" t="str">
        <f t="shared" si="81"/>
        <v/>
      </c>
      <c r="BI33" s="49" t="str">
        <f t="shared" si="82"/>
        <v/>
      </c>
      <c r="BJ33" s="22" t="str">
        <f t="shared" si="108"/>
        <v/>
      </c>
      <c r="BL33" s="21"/>
      <c r="BM33" s="21" t="str">
        <f>IF(OR(COUNT(B33:D1032)=0,AND('Choix pédagogiques'!$C$3&lt;&gt;1,'Choix pédagogiques'!$C$3&lt;&gt;2)),"",IF(AND(OR('Choix pédagogiques'!$C$3=1,'Choix pédagogiques'!$C$3=2),$B33&lt;&gt;"",$C33&lt;&gt;"",$D33&lt;&gt;""),1,0))</f>
        <v/>
      </c>
      <c r="BN33" s="21" t="str">
        <f>IF(OR(COUNT(G33:I1032)=0,AND('Choix pédagogiques'!$C$3&lt;&gt;1,'Choix pédagogiques'!$C$3&lt;&gt;2)),"",IF(AND(OR('Choix pédagogiques'!$C$3=1,'Choix pédagogiques'!$C$3=2),AND($G33&lt;&gt;"",$H33&lt;&gt;"",$I33&lt;&gt;"")),1,0))</f>
        <v/>
      </c>
      <c r="BO33" s="21" t="str">
        <f>IF(OR(COUNT(B33:D1032)=0,COUNT(G33:I1032)=0,'Choix pédagogiques'!C$3&lt;&gt;3),"",IF(AND('Choix pédagogiques'!$C$3=3,$B33&lt;&gt;"",$C33&lt;&gt;"",$D33&lt;&gt;"",$G33&lt;&gt;"",$H33&lt;&gt;"",$I33&lt;&gt;""),1,0))</f>
        <v/>
      </c>
      <c r="BR33" s="21">
        <v>737</v>
      </c>
      <c r="BS33" s="21">
        <v>1823</v>
      </c>
      <c r="BT33"/>
    </row>
    <row r="34" spans="1:72" s="23" customFormat="1" ht="18" customHeight="1" x14ac:dyDescent="0.3">
      <c r="A34" s="35" t="s">
        <v>24</v>
      </c>
      <c r="B34" s="36"/>
      <c r="C34" s="36"/>
      <c r="D34" s="36"/>
      <c r="E34" s="37"/>
      <c r="F34" s="35" t="s">
        <v>1032</v>
      </c>
      <c r="G34" s="36"/>
      <c r="H34" s="36"/>
      <c r="I34" s="36"/>
      <c r="J34" s="37"/>
      <c r="K34" s="21" t="str">
        <f t="shared" si="83"/>
        <v>Apprenant 22</v>
      </c>
      <c r="L34" s="22" t="str">
        <f t="shared" si="84"/>
        <v/>
      </c>
      <c r="M34" s="22" t="str">
        <f t="shared" si="85"/>
        <v/>
      </c>
      <c r="N34" s="22" t="str">
        <f t="shared" si="86"/>
        <v/>
      </c>
      <c r="O34" s="22" t="str">
        <f t="shared" si="87"/>
        <v/>
      </c>
      <c r="P34" s="21" t="str">
        <f t="shared" si="88"/>
        <v>Apprenant 22 ou 22'</v>
      </c>
      <c r="Q34" s="22" t="str">
        <f t="shared" si="89"/>
        <v/>
      </c>
      <c r="R34" s="22" t="str">
        <f t="shared" si="90"/>
        <v/>
      </c>
      <c r="S34" s="22" t="str">
        <f t="shared" si="91"/>
        <v/>
      </c>
      <c r="T34" s="22" t="str">
        <f t="shared" si="92"/>
        <v/>
      </c>
      <c r="V34" s="21" t="str">
        <f t="shared" si="93"/>
        <v>Apprenant 22</v>
      </c>
      <c r="W34" s="22" t="str">
        <f>IF(AND(OR('Choix pédagogiques'!$C$3=1,'Choix pédagogiques'!$C$3=2),$BM34=1),B34,IF(AND('Choix pédagogiques'!$C$3=3,$BO34=1),B34,""))</f>
        <v/>
      </c>
      <c r="X34" s="22" t="str">
        <f>IF(AND(OR('Choix pédagogiques'!$C$3=1,'Choix pédagogiques'!$C$3=2),$BM34=1),C34,IF(AND('Choix pédagogiques'!$C$3=3,$BO34=1),C34,""))</f>
        <v/>
      </c>
      <c r="Y34" s="22" t="str">
        <f>IF(AND(OR('Choix pédagogiques'!$C$3=1,'Choix pédagogiques'!$C$3=2),$BM34=1),D34,IF(AND('Choix pédagogiques'!$C$3=3,$BO34=1),D34,""))</f>
        <v/>
      </c>
      <c r="Z34" s="22" t="str">
        <f t="shared" si="94"/>
        <v/>
      </c>
      <c r="AA34" s="21" t="str">
        <f t="shared" si="95"/>
        <v>Apprenant 22 ou 22'</v>
      </c>
      <c r="AB34" s="22" t="str">
        <f>IF(AND(OR('Choix pédagogiques'!$C$3=1,'Choix pédagogiques'!$C$3=2),$BN34=1),G34,IF(AND('Choix pédagogiques'!$C$3=3,$BO34=1),G34,""))</f>
        <v/>
      </c>
      <c r="AC34" s="22" t="str">
        <f>IF(AND(OR('Choix pédagogiques'!$C$3=1,'Choix pédagogiques'!$C$3=2),$BN34=1),H34,IF(AND('Choix pédagogiques'!$C$3=3,$BO34=1),H34,""))</f>
        <v/>
      </c>
      <c r="AD34" s="22" t="str">
        <f>IF(AND(OR('Choix pédagogiques'!$C$3=1,'Choix pédagogiques'!$C$3=2),$BN34=1),I34,IF(AND('Choix pédagogiques'!$C$3=3,$BO34=1),I34,""))</f>
        <v/>
      </c>
      <c r="AE34" s="22" t="str">
        <f t="shared" si="96"/>
        <v/>
      </c>
      <c r="AF34" s="21" t="str">
        <f t="shared" si="97"/>
        <v>Apprenant 22</v>
      </c>
      <c r="AG34" s="22" t="str">
        <f t="shared" si="71"/>
        <v/>
      </c>
      <c r="AH34" s="22" t="str">
        <f t="shared" si="72"/>
        <v/>
      </c>
      <c r="AI34" s="22" t="str">
        <f t="shared" si="73"/>
        <v/>
      </c>
      <c r="AJ34" s="22" t="str">
        <f t="shared" si="98"/>
        <v/>
      </c>
      <c r="AK34" s="21" t="str">
        <f t="shared" si="99"/>
        <v>Apprenant 22 ou 22'</v>
      </c>
      <c r="AL34" s="22" t="str">
        <f t="shared" si="74"/>
        <v/>
      </c>
      <c r="AM34" s="22" t="str">
        <f t="shared" si="75"/>
        <v/>
      </c>
      <c r="AN34" s="22" t="str">
        <f t="shared" si="76"/>
        <v/>
      </c>
      <c r="AO34" s="22" t="str">
        <f t="shared" si="100"/>
        <v/>
      </c>
      <c r="AQ34" s="21" t="str">
        <f t="shared" si="101"/>
        <v>Apprenant 22</v>
      </c>
      <c r="AR34" s="49" t="str">
        <f>IF(AND('Choix pédagogiques'!$C$4&lt;&gt;"?",'Choix pédagogiques'!$C$5&lt;&gt;"?",W34&lt;&gt;""),(W34-'Choix pédagogiques'!$C$4)/('Choix pédagogiques'!$C$5-'Choix pédagogiques'!$C$4),"")</f>
        <v/>
      </c>
      <c r="AS34" s="49" t="str">
        <f>IF(AND('Choix pédagogiques'!$C$4&lt;&gt;"?",'Choix pédagogiques'!$C$5&lt;&gt;"?",X34&lt;&gt;""),(X34-'Choix pédagogiques'!$C$4)/('Choix pédagogiques'!$C$5-'Choix pédagogiques'!$C$4),"")</f>
        <v/>
      </c>
      <c r="AT34" s="49" t="str">
        <f>IF(AND('Choix pédagogiques'!$C$4&lt;&gt;"?",'Choix pédagogiques'!$C$5&lt;&gt;"?",Y34&lt;&gt;""),(Y34-'Choix pédagogiques'!$C$4)/('Choix pédagogiques'!$C$5-'Choix pédagogiques'!$C$4),"")</f>
        <v/>
      </c>
      <c r="AU34" s="22" t="str">
        <f t="shared" si="102"/>
        <v/>
      </c>
      <c r="AV34" s="21" t="str">
        <f t="shared" si="103"/>
        <v>Apprenant 22 ou 22'</v>
      </c>
      <c r="AW34" s="49" t="str">
        <f>IF(AND('Choix pédagogiques'!$C$4&lt;&gt;"?",'Choix pédagogiques'!$C$5&lt;&gt;"?",AB34&lt;&gt;""),(AB34-'Choix pédagogiques'!$C$4)/('Choix pédagogiques'!$C$5-'Choix pédagogiques'!$C$4),"")</f>
        <v/>
      </c>
      <c r="AX34" s="49" t="str">
        <f>IF(AND('Choix pédagogiques'!$C$4&lt;&gt;"?",'Choix pédagogiques'!$C$5&lt;&gt;"?",AC34&lt;&gt;""),(AC34-'Choix pédagogiques'!$C$4)/('Choix pédagogiques'!$C$5-'Choix pédagogiques'!$C$4),"")</f>
        <v/>
      </c>
      <c r="AY34" s="49" t="str">
        <f>IF(AND('Choix pédagogiques'!$C$4&lt;&gt;"?",'Choix pédagogiques'!$C$5&lt;&gt;"?",AD34&lt;&gt;""),(AD34-'Choix pédagogiques'!$C$4)/('Choix pédagogiques'!$C$5-'Choix pédagogiques'!$C$4),"")</f>
        <v/>
      </c>
      <c r="AZ34" s="22" t="str">
        <f t="shared" si="104"/>
        <v/>
      </c>
      <c r="BA34" s="21" t="str">
        <f t="shared" si="105"/>
        <v>Apprenant 22</v>
      </c>
      <c r="BB34" s="49" t="str">
        <f t="shared" si="77"/>
        <v/>
      </c>
      <c r="BC34" s="49" t="str">
        <f t="shared" si="78"/>
        <v/>
      </c>
      <c r="BD34" s="49" t="str">
        <f t="shared" si="79"/>
        <v/>
      </c>
      <c r="BE34" s="22" t="str">
        <f t="shared" si="106"/>
        <v/>
      </c>
      <c r="BF34" s="21" t="str">
        <f t="shared" si="107"/>
        <v>Apprenant 22 ou 22'</v>
      </c>
      <c r="BG34" s="49" t="str">
        <f t="shared" si="80"/>
        <v/>
      </c>
      <c r="BH34" s="49" t="str">
        <f t="shared" si="81"/>
        <v/>
      </c>
      <c r="BI34" s="49" t="str">
        <f t="shared" si="82"/>
        <v/>
      </c>
      <c r="BJ34" s="22" t="str">
        <f t="shared" si="108"/>
        <v/>
      </c>
      <c r="BL34" s="21"/>
      <c r="BM34" s="21" t="str">
        <f>IF(OR(COUNT(B34:D1033)=0,AND('Choix pédagogiques'!$C$3&lt;&gt;1,'Choix pédagogiques'!$C$3&lt;&gt;2)),"",IF(AND(OR('Choix pédagogiques'!$C$3=1,'Choix pédagogiques'!$C$3=2),$B34&lt;&gt;"",$C34&lt;&gt;"",$D34&lt;&gt;""),1,0))</f>
        <v/>
      </c>
      <c r="BN34" s="21" t="str">
        <f>IF(OR(COUNT(G34:I1033)=0,AND('Choix pédagogiques'!$C$3&lt;&gt;1,'Choix pédagogiques'!$C$3&lt;&gt;2)),"",IF(AND(OR('Choix pédagogiques'!$C$3=1,'Choix pédagogiques'!$C$3=2),AND($G34&lt;&gt;"",$H34&lt;&gt;"",$I34&lt;&gt;"")),1,0))</f>
        <v/>
      </c>
      <c r="BO34" s="21" t="str">
        <f>IF(OR(COUNT(B34:D1033)=0,COUNT(G34:I1033)=0,'Choix pédagogiques'!C$3&lt;&gt;3),"",IF(AND('Choix pédagogiques'!$C$3=3,$B34&lt;&gt;"",$C34&lt;&gt;"",$D34&lt;&gt;"",$G34&lt;&gt;"",$H34&lt;&gt;"",$I34&lt;&gt;""),1,0))</f>
        <v/>
      </c>
      <c r="BR34" s="21">
        <v>748</v>
      </c>
      <c r="BS34" s="21">
        <v>1795</v>
      </c>
      <c r="BT34"/>
    </row>
    <row r="35" spans="1:72" s="23" customFormat="1" ht="18" customHeight="1" x14ac:dyDescent="0.3">
      <c r="A35" s="35" t="s">
        <v>25</v>
      </c>
      <c r="B35" s="36"/>
      <c r="C35" s="36"/>
      <c r="D35" s="36"/>
      <c r="E35" s="37"/>
      <c r="F35" s="35" t="s">
        <v>1033</v>
      </c>
      <c r="G35" s="36"/>
      <c r="H35" s="36"/>
      <c r="I35" s="36"/>
      <c r="J35" s="37"/>
      <c r="K35" s="21" t="str">
        <f t="shared" si="83"/>
        <v>Apprenant 23</v>
      </c>
      <c r="L35" s="22" t="str">
        <f t="shared" si="84"/>
        <v/>
      </c>
      <c r="M35" s="22" t="str">
        <f t="shared" si="85"/>
        <v/>
      </c>
      <c r="N35" s="22" t="str">
        <f t="shared" si="86"/>
        <v/>
      </c>
      <c r="O35" s="22" t="str">
        <f t="shared" si="87"/>
        <v/>
      </c>
      <c r="P35" s="21" t="str">
        <f t="shared" si="88"/>
        <v>Apprenant 23 ou 23'</v>
      </c>
      <c r="Q35" s="22" t="str">
        <f t="shared" si="89"/>
        <v/>
      </c>
      <c r="R35" s="22" t="str">
        <f t="shared" si="90"/>
        <v/>
      </c>
      <c r="S35" s="22" t="str">
        <f t="shared" si="91"/>
        <v/>
      </c>
      <c r="T35" s="22" t="str">
        <f t="shared" si="92"/>
        <v/>
      </c>
      <c r="V35" s="21" t="str">
        <f t="shared" si="93"/>
        <v>Apprenant 23</v>
      </c>
      <c r="W35" s="22" t="str">
        <f>IF(AND(OR('Choix pédagogiques'!$C$3=1,'Choix pédagogiques'!$C$3=2),$BM35=1),B35,IF(AND('Choix pédagogiques'!$C$3=3,$BO35=1),B35,""))</f>
        <v/>
      </c>
      <c r="X35" s="22" t="str">
        <f>IF(AND(OR('Choix pédagogiques'!$C$3=1,'Choix pédagogiques'!$C$3=2),$BM35=1),C35,IF(AND('Choix pédagogiques'!$C$3=3,$BO35=1),C35,""))</f>
        <v/>
      </c>
      <c r="Y35" s="22" t="str">
        <f>IF(AND(OR('Choix pédagogiques'!$C$3=1,'Choix pédagogiques'!$C$3=2),$BM35=1),D35,IF(AND('Choix pédagogiques'!$C$3=3,$BO35=1),D35,""))</f>
        <v/>
      </c>
      <c r="Z35" s="22" t="str">
        <f t="shared" si="94"/>
        <v/>
      </c>
      <c r="AA35" s="21" t="str">
        <f t="shared" si="95"/>
        <v>Apprenant 23 ou 23'</v>
      </c>
      <c r="AB35" s="22" t="str">
        <f>IF(AND(OR('Choix pédagogiques'!$C$3=1,'Choix pédagogiques'!$C$3=2),$BN35=1),G35,IF(AND('Choix pédagogiques'!$C$3=3,$BO35=1),G35,""))</f>
        <v/>
      </c>
      <c r="AC35" s="22" t="str">
        <f>IF(AND(OR('Choix pédagogiques'!$C$3=1,'Choix pédagogiques'!$C$3=2),$BN35=1),H35,IF(AND('Choix pédagogiques'!$C$3=3,$BO35=1),H35,""))</f>
        <v/>
      </c>
      <c r="AD35" s="22" t="str">
        <f>IF(AND(OR('Choix pédagogiques'!$C$3=1,'Choix pédagogiques'!$C$3=2),$BN35=1),I35,IF(AND('Choix pédagogiques'!$C$3=3,$BO35=1),I35,""))</f>
        <v/>
      </c>
      <c r="AE35" s="22" t="str">
        <f t="shared" si="96"/>
        <v/>
      </c>
      <c r="AF35" s="21" t="str">
        <f t="shared" si="97"/>
        <v>Apprenant 23</v>
      </c>
      <c r="AG35" s="22" t="str">
        <f t="shared" si="71"/>
        <v/>
      </c>
      <c r="AH35" s="22" t="str">
        <f t="shared" si="72"/>
        <v/>
      </c>
      <c r="AI35" s="22" t="str">
        <f t="shared" si="73"/>
        <v/>
      </c>
      <c r="AJ35" s="22" t="str">
        <f t="shared" si="98"/>
        <v/>
      </c>
      <c r="AK35" s="21" t="str">
        <f t="shared" si="99"/>
        <v>Apprenant 23 ou 23'</v>
      </c>
      <c r="AL35" s="22" t="str">
        <f t="shared" si="74"/>
        <v/>
      </c>
      <c r="AM35" s="22" t="str">
        <f t="shared" si="75"/>
        <v/>
      </c>
      <c r="AN35" s="22" t="str">
        <f t="shared" si="76"/>
        <v/>
      </c>
      <c r="AO35" s="22" t="str">
        <f t="shared" si="100"/>
        <v/>
      </c>
      <c r="AQ35" s="21" t="str">
        <f t="shared" si="101"/>
        <v>Apprenant 23</v>
      </c>
      <c r="AR35" s="49" t="str">
        <f>IF(AND('Choix pédagogiques'!$C$4&lt;&gt;"?",'Choix pédagogiques'!$C$5&lt;&gt;"?",W35&lt;&gt;""),(W35-'Choix pédagogiques'!$C$4)/('Choix pédagogiques'!$C$5-'Choix pédagogiques'!$C$4),"")</f>
        <v/>
      </c>
      <c r="AS35" s="49" t="str">
        <f>IF(AND('Choix pédagogiques'!$C$4&lt;&gt;"?",'Choix pédagogiques'!$C$5&lt;&gt;"?",X35&lt;&gt;""),(X35-'Choix pédagogiques'!$C$4)/('Choix pédagogiques'!$C$5-'Choix pédagogiques'!$C$4),"")</f>
        <v/>
      </c>
      <c r="AT35" s="49" t="str">
        <f>IF(AND('Choix pédagogiques'!$C$4&lt;&gt;"?",'Choix pédagogiques'!$C$5&lt;&gt;"?",Y35&lt;&gt;""),(Y35-'Choix pédagogiques'!$C$4)/('Choix pédagogiques'!$C$5-'Choix pédagogiques'!$C$4),"")</f>
        <v/>
      </c>
      <c r="AU35" s="22" t="str">
        <f t="shared" si="102"/>
        <v/>
      </c>
      <c r="AV35" s="21" t="str">
        <f t="shared" si="103"/>
        <v>Apprenant 23 ou 23'</v>
      </c>
      <c r="AW35" s="49" t="str">
        <f>IF(AND('Choix pédagogiques'!$C$4&lt;&gt;"?",'Choix pédagogiques'!$C$5&lt;&gt;"?",AB35&lt;&gt;""),(AB35-'Choix pédagogiques'!$C$4)/('Choix pédagogiques'!$C$5-'Choix pédagogiques'!$C$4),"")</f>
        <v/>
      </c>
      <c r="AX35" s="49" t="str">
        <f>IF(AND('Choix pédagogiques'!$C$4&lt;&gt;"?",'Choix pédagogiques'!$C$5&lt;&gt;"?",AC35&lt;&gt;""),(AC35-'Choix pédagogiques'!$C$4)/('Choix pédagogiques'!$C$5-'Choix pédagogiques'!$C$4),"")</f>
        <v/>
      </c>
      <c r="AY35" s="49" t="str">
        <f>IF(AND('Choix pédagogiques'!$C$4&lt;&gt;"?",'Choix pédagogiques'!$C$5&lt;&gt;"?",AD35&lt;&gt;""),(AD35-'Choix pédagogiques'!$C$4)/('Choix pédagogiques'!$C$5-'Choix pédagogiques'!$C$4),"")</f>
        <v/>
      </c>
      <c r="AZ35" s="22" t="str">
        <f t="shared" si="104"/>
        <v/>
      </c>
      <c r="BA35" s="21" t="str">
        <f t="shared" si="105"/>
        <v>Apprenant 23</v>
      </c>
      <c r="BB35" s="49" t="str">
        <f t="shared" si="77"/>
        <v/>
      </c>
      <c r="BC35" s="49" t="str">
        <f t="shared" si="78"/>
        <v/>
      </c>
      <c r="BD35" s="49" t="str">
        <f t="shared" si="79"/>
        <v/>
      </c>
      <c r="BE35" s="22" t="str">
        <f t="shared" si="106"/>
        <v/>
      </c>
      <c r="BF35" s="21" t="str">
        <f t="shared" si="107"/>
        <v>Apprenant 23 ou 23'</v>
      </c>
      <c r="BG35" s="49" t="str">
        <f t="shared" si="80"/>
        <v/>
      </c>
      <c r="BH35" s="49" t="str">
        <f t="shared" si="81"/>
        <v/>
      </c>
      <c r="BI35" s="49" t="str">
        <f t="shared" si="82"/>
        <v/>
      </c>
      <c r="BJ35" s="22" t="str">
        <f t="shared" si="108"/>
        <v/>
      </c>
      <c r="BL35" s="21"/>
      <c r="BM35" s="21" t="str">
        <f>IF(OR(COUNT(B35:D1034)=0,AND('Choix pédagogiques'!$C$3&lt;&gt;1,'Choix pédagogiques'!$C$3&lt;&gt;2)),"",IF(AND(OR('Choix pédagogiques'!$C$3=1,'Choix pédagogiques'!$C$3=2),$B35&lt;&gt;"",$C35&lt;&gt;"",$D35&lt;&gt;""),1,0))</f>
        <v/>
      </c>
      <c r="BN35" s="21" t="str">
        <f>IF(OR(COUNT(G35:I1034)=0,AND('Choix pédagogiques'!$C$3&lt;&gt;1,'Choix pédagogiques'!$C$3&lt;&gt;2)),"",IF(AND(OR('Choix pédagogiques'!$C$3=1,'Choix pédagogiques'!$C$3=2),AND($G35&lt;&gt;"",$H35&lt;&gt;"",$I35&lt;&gt;"")),1,0))</f>
        <v/>
      </c>
      <c r="BO35" s="21" t="str">
        <f>IF(OR(COUNT(B35:D1034)=0,COUNT(G35:I1034)=0,'Choix pédagogiques'!C$3&lt;&gt;3),"",IF(AND('Choix pédagogiques'!$C$3=3,$B35&lt;&gt;"",$C35&lt;&gt;"",$D35&lt;&gt;"",$G35&lt;&gt;"",$H35&lt;&gt;"",$I35&lt;&gt;""),1,0))</f>
        <v/>
      </c>
      <c r="BR35" s="21">
        <v>397</v>
      </c>
      <c r="BS35" s="21">
        <v>1614</v>
      </c>
      <c r="BT35"/>
    </row>
    <row r="36" spans="1:72" s="23" customFormat="1" ht="18" customHeight="1" x14ac:dyDescent="0.3">
      <c r="A36" s="35" t="s">
        <v>26</v>
      </c>
      <c r="B36" s="36"/>
      <c r="C36" s="36"/>
      <c r="D36" s="36"/>
      <c r="E36" s="37"/>
      <c r="F36" s="35" t="s">
        <v>1034</v>
      </c>
      <c r="G36" s="36"/>
      <c r="H36" s="36"/>
      <c r="I36" s="36"/>
      <c r="J36" s="37"/>
      <c r="K36" s="21" t="str">
        <f t="shared" si="83"/>
        <v>Apprenant 24</v>
      </c>
      <c r="L36" s="22" t="str">
        <f t="shared" si="84"/>
        <v/>
      </c>
      <c r="M36" s="22" t="str">
        <f t="shared" si="85"/>
        <v/>
      </c>
      <c r="N36" s="22" t="str">
        <f t="shared" si="86"/>
        <v/>
      </c>
      <c r="O36" s="22" t="str">
        <f t="shared" si="87"/>
        <v/>
      </c>
      <c r="P36" s="21" t="str">
        <f t="shared" si="88"/>
        <v>Apprenant 24 ou 24'</v>
      </c>
      <c r="Q36" s="22" t="str">
        <f t="shared" si="89"/>
        <v/>
      </c>
      <c r="R36" s="22" t="str">
        <f t="shared" si="90"/>
        <v/>
      </c>
      <c r="S36" s="22" t="str">
        <f t="shared" si="91"/>
        <v/>
      </c>
      <c r="T36" s="22" t="str">
        <f t="shared" si="92"/>
        <v/>
      </c>
      <c r="V36" s="21" t="str">
        <f t="shared" si="93"/>
        <v>Apprenant 24</v>
      </c>
      <c r="W36" s="22" t="str">
        <f>IF(AND(OR('Choix pédagogiques'!$C$3=1,'Choix pédagogiques'!$C$3=2),$BM36=1),B36,IF(AND('Choix pédagogiques'!$C$3=3,$BO36=1),B36,""))</f>
        <v/>
      </c>
      <c r="X36" s="22" t="str">
        <f>IF(AND(OR('Choix pédagogiques'!$C$3=1,'Choix pédagogiques'!$C$3=2),$BM36=1),C36,IF(AND('Choix pédagogiques'!$C$3=3,$BO36=1),C36,""))</f>
        <v/>
      </c>
      <c r="Y36" s="22" t="str">
        <f>IF(AND(OR('Choix pédagogiques'!$C$3=1,'Choix pédagogiques'!$C$3=2),$BM36=1),D36,IF(AND('Choix pédagogiques'!$C$3=3,$BO36=1),D36,""))</f>
        <v/>
      </c>
      <c r="Z36" s="22" t="str">
        <f t="shared" si="94"/>
        <v/>
      </c>
      <c r="AA36" s="21" t="str">
        <f t="shared" si="95"/>
        <v>Apprenant 24 ou 24'</v>
      </c>
      <c r="AB36" s="22" t="str">
        <f>IF(AND(OR('Choix pédagogiques'!$C$3=1,'Choix pédagogiques'!$C$3=2),$BN36=1),G36,IF(AND('Choix pédagogiques'!$C$3=3,$BO36=1),G36,""))</f>
        <v/>
      </c>
      <c r="AC36" s="22" t="str">
        <f>IF(AND(OR('Choix pédagogiques'!$C$3=1,'Choix pédagogiques'!$C$3=2),$BN36=1),H36,IF(AND('Choix pédagogiques'!$C$3=3,$BO36=1),H36,""))</f>
        <v/>
      </c>
      <c r="AD36" s="22" t="str">
        <f>IF(AND(OR('Choix pédagogiques'!$C$3=1,'Choix pédagogiques'!$C$3=2),$BN36=1),I36,IF(AND('Choix pédagogiques'!$C$3=3,$BO36=1),I36,""))</f>
        <v/>
      </c>
      <c r="AE36" s="22" t="str">
        <f t="shared" si="96"/>
        <v/>
      </c>
      <c r="AF36" s="21" t="str">
        <f t="shared" si="97"/>
        <v>Apprenant 24</v>
      </c>
      <c r="AG36" s="22" t="str">
        <f t="shared" si="71"/>
        <v/>
      </c>
      <c r="AH36" s="22" t="str">
        <f t="shared" si="72"/>
        <v/>
      </c>
      <c r="AI36" s="22" t="str">
        <f t="shared" si="73"/>
        <v/>
      </c>
      <c r="AJ36" s="22" t="str">
        <f t="shared" si="98"/>
        <v/>
      </c>
      <c r="AK36" s="21" t="str">
        <f t="shared" si="99"/>
        <v>Apprenant 24 ou 24'</v>
      </c>
      <c r="AL36" s="22" t="str">
        <f t="shared" si="74"/>
        <v/>
      </c>
      <c r="AM36" s="22" t="str">
        <f t="shared" si="75"/>
        <v/>
      </c>
      <c r="AN36" s="22" t="str">
        <f t="shared" si="76"/>
        <v/>
      </c>
      <c r="AO36" s="22" t="str">
        <f t="shared" si="100"/>
        <v/>
      </c>
      <c r="AQ36" s="21" t="str">
        <f t="shared" si="101"/>
        <v>Apprenant 24</v>
      </c>
      <c r="AR36" s="49" t="str">
        <f>IF(AND('Choix pédagogiques'!$C$4&lt;&gt;"?",'Choix pédagogiques'!$C$5&lt;&gt;"?",W36&lt;&gt;""),(W36-'Choix pédagogiques'!$C$4)/('Choix pédagogiques'!$C$5-'Choix pédagogiques'!$C$4),"")</f>
        <v/>
      </c>
      <c r="AS36" s="49" t="str">
        <f>IF(AND('Choix pédagogiques'!$C$4&lt;&gt;"?",'Choix pédagogiques'!$C$5&lt;&gt;"?",X36&lt;&gt;""),(X36-'Choix pédagogiques'!$C$4)/('Choix pédagogiques'!$C$5-'Choix pédagogiques'!$C$4),"")</f>
        <v/>
      </c>
      <c r="AT36" s="49" t="str">
        <f>IF(AND('Choix pédagogiques'!$C$4&lt;&gt;"?",'Choix pédagogiques'!$C$5&lt;&gt;"?",Y36&lt;&gt;""),(Y36-'Choix pédagogiques'!$C$4)/('Choix pédagogiques'!$C$5-'Choix pédagogiques'!$C$4),"")</f>
        <v/>
      </c>
      <c r="AU36" s="22" t="str">
        <f t="shared" si="102"/>
        <v/>
      </c>
      <c r="AV36" s="21" t="str">
        <f t="shared" si="103"/>
        <v>Apprenant 24 ou 24'</v>
      </c>
      <c r="AW36" s="49" t="str">
        <f>IF(AND('Choix pédagogiques'!$C$4&lt;&gt;"?",'Choix pédagogiques'!$C$5&lt;&gt;"?",AB36&lt;&gt;""),(AB36-'Choix pédagogiques'!$C$4)/('Choix pédagogiques'!$C$5-'Choix pédagogiques'!$C$4),"")</f>
        <v/>
      </c>
      <c r="AX36" s="49" t="str">
        <f>IF(AND('Choix pédagogiques'!$C$4&lt;&gt;"?",'Choix pédagogiques'!$C$5&lt;&gt;"?",AC36&lt;&gt;""),(AC36-'Choix pédagogiques'!$C$4)/('Choix pédagogiques'!$C$5-'Choix pédagogiques'!$C$4),"")</f>
        <v/>
      </c>
      <c r="AY36" s="49" t="str">
        <f>IF(AND('Choix pédagogiques'!$C$4&lt;&gt;"?",'Choix pédagogiques'!$C$5&lt;&gt;"?",AD36&lt;&gt;""),(AD36-'Choix pédagogiques'!$C$4)/('Choix pédagogiques'!$C$5-'Choix pédagogiques'!$C$4),"")</f>
        <v/>
      </c>
      <c r="AZ36" s="22" t="str">
        <f t="shared" si="104"/>
        <v/>
      </c>
      <c r="BA36" s="21" t="str">
        <f t="shared" si="105"/>
        <v>Apprenant 24</v>
      </c>
      <c r="BB36" s="49" t="str">
        <f t="shared" si="77"/>
        <v/>
      </c>
      <c r="BC36" s="49" t="str">
        <f t="shared" si="78"/>
        <v/>
      </c>
      <c r="BD36" s="49" t="str">
        <f t="shared" si="79"/>
        <v/>
      </c>
      <c r="BE36" s="22" t="str">
        <f t="shared" si="106"/>
        <v/>
      </c>
      <c r="BF36" s="21" t="str">
        <f t="shared" si="107"/>
        <v>Apprenant 24 ou 24'</v>
      </c>
      <c r="BG36" s="49" t="str">
        <f t="shared" si="80"/>
        <v/>
      </c>
      <c r="BH36" s="49" t="str">
        <f t="shared" si="81"/>
        <v/>
      </c>
      <c r="BI36" s="49" t="str">
        <f t="shared" si="82"/>
        <v/>
      </c>
      <c r="BJ36" s="22" t="str">
        <f t="shared" si="108"/>
        <v/>
      </c>
      <c r="BL36" s="21"/>
      <c r="BM36" s="21" t="str">
        <f>IF(OR(COUNT(B36:D1035)=0,AND('Choix pédagogiques'!$C$3&lt;&gt;1,'Choix pédagogiques'!$C$3&lt;&gt;2)),"",IF(AND(OR('Choix pédagogiques'!$C$3=1,'Choix pédagogiques'!$C$3=2),$B36&lt;&gt;"",$C36&lt;&gt;"",$D36&lt;&gt;""),1,0))</f>
        <v/>
      </c>
      <c r="BN36" s="21" t="str">
        <f>IF(OR(COUNT(G36:I1035)=0,AND('Choix pédagogiques'!$C$3&lt;&gt;1,'Choix pédagogiques'!$C$3&lt;&gt;2)),"",IF(AND(OR('Choix pédagogiques'!$C$3=1,'Choix pédagogiques'!$C$3=2),AND($G36&lt;&gt;"",$H36&lt;&gt;"",$I36&lt;&gt;"")),1,0))</f>
        <v/>
      </c>
      <c r="BO36" s="21" t="str">
        <f>IF(OR(COUNT(B36:D1035)=0,COUNT(G36:I1035)=0,'Choix pédagogiques'!C$3&lt;&gt;3),"",IF(AND('Choix pédagogiques'!$C$3=3,$B36&lt;&gt;"",$C36&lt;&gt;"",$D36&lt;&gt;"",$G36&lt;&gt;"",$H36&lt;&gt;"",$I36&lt;&gt;""),1,0))</f>
        <v/>
      </c>
      <c r="BR36" s="21">
        <v>859</v>
      </c>
      <c r="BS36" s="21">
        <v>1480</v>
      </c>
      <c r="BT36"/>
    </row>
    <row r="37" spans="1:72" s="23" customFormat="1" ht="18" customHeight="1" x14ac:dyDescent="0.3">
      <c r="A37" s="35" t="s">
        <v>27</v>
      </c>
      <c r="B37" s="36"/>
      <c r="C37" s="36"/>
      <c r="D37" s="36"/>
      <c r="E37" s="37"/>
      <c r="F37" s="35" t="s">
        <v>1035</v>
      </c>
      <c r="G37" s="36"/>
      <c r="H37" s="36"/>
      <c r="I37" s="36"/>
      <c r="J37" s="37"/>
      <c r="K37" s="21" t="str">
        <f t="shared" si="83"/>
        <v>Apprenant 25</v>
      </c>
      <c r="L37" s="22" t="str">
        <f t="shared" si="84"/>
        <v/>
      </c>
      <c r="M37" s="22" t="str">
        <f t="shared" si="85"/>
        <v/>
      </c>
      <c r="N37" s="22" t="str">
        <f t="shared" si="86"/>
        <v/>
      </c>
      <c r="O37" s="22" t="str">
        <f t="shared" si="87"/>
        <v/>
      </c>
      <c r="P37" s="21" t="str">
        <f t="shared" si="88"/>
        <v>Apprenant 25 ou 25'</v>
      </c>
      <c r="Q37" s="22" t="str">
        <f t="shared" si="89"/>
        <v/>
      </c>
      <c r="R37" s="22" t="str">
        <f t="shared" si="90"/>
        <v/>
      </c>
      <c r="S37" s="22" t="str">
        <f t="shared" si="91"/>
        <v/>
      </c>
      <c r="T37" s="22" t="str">
        <f t="shared" si="92"/>
        <v/>
      </c>
      <c r="V37" s="21" t="str">
        <f t="shared" si="93"/>
        <v>Apprenant 25</v>
      </c>
      <c r="W37" s="22" t="str">
        <f>IF(AND(OR('Choix pédagogiques'!$C$3=1,'Choix pédagogiques'!$C$3=2),$BM37=1),B37,IF(AND('Choix pédagogiques'!$C$3=3,$BO37=1),B37,""))</f>
        <v/>
      </c>
      <c r="X37" s="22" t="str">
        <f>IF(AND(OR('Choix pédagogiques'!$C$3=1,'Choix pédagogiques'!$C$3=2),$BM37=1),C37,IF(AND('Choix pédagogiques'!$C$3=3,$BO37=1),C37,""))</f>
        <v/>
      </c>
      <c r="Y37" s="22" t="str">
        <f>IF(AND(OR('Choix pédagogiques'!$C$3=1,'Choix pédagogiques'!$C$3=2),$BM37=1),D37,IF(AND('Choix pédagogiques'!$C$3=3,$BO37=1),D37,""))</f>
        <v/>
      </c>
      <c r="Z37" s="22" t="str">
        <f t="shared" si="94"/>
        <v/>
      </c>
      <c r="AA37" s="21" t="str">
        <f t="shared" si="95"/>
        <v>Apprenant 25 ou 25'</v>
      </c>
      <c r="AB37" s="22" t="str">
        <f>IF(AND(OR('Choix pédagogiques'!$C$3=1,'Choix pédagogiques'!$C$3=2),$BN37=1),G37,IF(AND('Choix pédagogiques'!$C$3=3,$BO37=1),G37,""))</f>
        <v/>
      </c>
      <c r="AC37" s="22" t="str">
        <f>IF(AND(OR('Choix pédagogiques'!$C$3=1,'Choix pédagogiques'!$C$3=2),$BN37=1),H37,IF(AND('Choix pédagogiques'!$C$3=3,$BO37=1),H37,""))</f>
        <v/>
      </c>
      <c r="AD37" s="22" t="str">
        <f>IF(AND(OR('Choix pédagogiques'!$C$3=1,'Choix pédagogiques'!$C$3=2),$BN37=1),I37,IF(AND('Choix pédagogiques'!$C$3=3,$BO37=1),I37,""))</f>
        <v/>
      </c>
      <c r="AE37" s="22" t="str">
        <f t="shared" si="96"/>
        <v/>
      </c>
      <c r="AF37" s="21" t="str">
        <f t="shared" si="97"/>
        <v>Apprenant 25</v>
      </c>
      <c r="AG37" s="22" t="str">
        <f t="shared" si="71"/>
        <v/>
      </c>
      <c r="AH37" s="22" t="str">
        <f t="shared" si="72"/>
        <v/>
      </c>
      <c r="AI37" s="22" t="str">
        <f t="shared" si="73"/>
        <v/>
      </c>
      <c r="AJ37" s="22" t="str">
        <f t="shared" si="98"/>
        <v/>
      </c>
      <c r="AK37" s="21" t="str">
        <f t="shared" si="99"/>
        <v>Apprenant 25 ou 25'</v>
      </c>
      <c r="AL37" s="22" t="str">
        <f t="shared" si="74"/>
        <v/>
      </c>
      <c r="AM37" s="22" t="str">
        <f t="shared" si="75"/>
        <v/>
      </c>
      <c r="AN37" s="22" t="str">
        <f t="shared" si="76"/>
        <v/>
      </c>
      <c r="AO37" s="22" t="str">
        <f t="shared" si="100"/>
        <v/>
      </c>
      <c r="AQ37" s="21" t="str">
        <f t="shared" si="101"/>
        <v>Apprenant 25</v>
      </c>
      <c r="AR37" s="49" t="str">
        <f>IF(AND('Choix pédagogiques'!$C$4&lt;&gt;"?",'Choix pédagogiques'!$C$5&lt;&gt;"?",W37&lt;&gt;""),(W37-'Choix pédagogiques'!$C$4)/('Choix pédagogiques'!$C$5-'Choix pédagogiques'!$C$4),"")</f>
        <v/>
      </c>
      <c r="AS37" s="49" t="str">
        <f>IF(AND('Choix pédagogiques'!$C$4&lt;&gt;"?",'Choix pédagogiques'!$C$5&lt;&gt;"?",X37&lt;&gt;""),(X37-'Choix pédagogiques'!$C$4)/('Choix pédagogiques'!$C$5-'Choix pédagogiques'!$C$4),"")</f>
        <v/>
      </c>
      <c r="AT37" s="49" t="str">
        <f>IF(AND('Choix pédagogiques'!$C$4&lt;&gt;"?",'Choix pédagogiques'!$C$5&lt;&gt;"?",Y37&lt;&gt;""),(Y37-'Choix pédagogiques'!$C$4)/('Choix pédagogiques'!$C$5-'Choix pédagogiques'!$C$4),"")</f>
        <v/>
      </c>
      <c r="AU37" s="22" t="str">
        <f t="shared" si="102"/>
        <v/>
      </c>
      <c r="AV37" s="21" t="str">
        <f t="shared" si="103"/>
        <v>Apprenant 25 ou 25'</v>
      </c>
      <c r="AW37" s="49" t="str">
        <f>IF(AND('Choix pédagogiques'!$C$4&lt;&gt;"?",'Choix pédagogiques'!$C$5&lt;&gt;"?",AB37&lt;&gt;""),(AB37-'Choix pédagogiques'!$C$4)/('Choix pédagogiques'!$C$5-'Choix pédagogiques'!$C$4),"")</f>
        <v/>
      </c>
      <c r="AX37" s="49" t="str">
        <f>IF(AND('Choix pédagogiques'!$C$4&lt;&gt;"?",'Choix pédagogiques'!$C$5&lt;&gt;"?",AC37&lt;&gt;""),(AC37-'Choix pédagogiques'!$C$4)/('Choix pédagogiques'!$C$5-'Choix pédagogiques'!$C$4),"")</f>
        <v/>
      </c>
      <c r="AY37" s="49" t="str">
        <f>IF(AND('Choix pédagogiques'!$C$4&lt;&gt;"?",'Choix pédagogiques'!$C$5&lt;&gt;"?",AD37&lt;&gt;""),(AD37-'Choix pédagogiques'!$C$4)/('Choix pédagogiques'!$C$5-'Choix pédagogiques'!$C$4),"")</f>
        <v/>
      </c>
      <c r="AZ37" s="22" t="str">
        <f t="shared" si="104"/>
        <v/>
      </c>
      <c r="BA37" s="21" t="str">
        <f t="shared" si="105"/>
        <v>Apprenant 25</v>
      </c>
      <c r="BB37" s="49" t="str">
        <f t="shared" si="77"/>
        <v/>
      </c>
      <c r="BC37" s="49" t="str">
        <f t="shared" si="78"/>
        <v/>
      </c>
      <c r="BD37" s="49" t="str">
        <f t="shared" si="79"/>
        <v/>
      </c>
      <c r="BE37" s="22" t="str">
        <f t="shared" si="106"/>
        <v/>
      </c>
      <c r="BF37" s="21" t="str">
        <f t="shared" si="107"/>
        <v>Apprenant 25 ou 25'</v>
      </c>
      <c r="BG37" s="49" t="str">
        <f t="shared" si="80"/>
        <v/>
      </c>
      <c r="BH37" s="49" t="str">
        <f t="shared" si="81"/>
        <v/>
      </c>
      <c r="BI37" s="49" t="str">
        <f t="shared" si="82"/>
        <v/>
      </c>
      <c r="BJ37" s="22" t="str">
        <f t="shared" si="108"/>
        <v/>
      </c>
      <c r="BL37" s="21"/>
      <c r="BM37" s="21" t="str">
        <f>IF(OR(COUNT(B37:D1036)=0,AND('Choix pédagogiques'!$C$3&lt;&gt;1,'Choix pédagogiques'!$C$3&lt;&gt;2)),"",IF(AND(OR('Choix pédagogiques'!$C$3=1,'Choix pédagogiques'!$C$3=2),$B37&lt;&gt;"",$C37&lt;&gt;"",$D37&lt;&gt;""),1,0))</f>
        <v/>
      </c>
      <c r="BN37" s="21" t="str">
        <f>IF(OR(COUNT(G37:I1036)=0,AND('Choix pédagogiques'!$C$3&lt;&gt;1,'Choix pédagogiques'!$C$3&lt;&gt;2)),"",IF(AND(OR('Choix pédagogiques'!$C$3=1,'Choix pédagogiques'!$C$3=2),AND($G37&lt;&gt;"",$H37&lt;&gt;"",$I37&lt;&gt;"")),1,0))</f>
        <v/>
      </c>
      <c r="BO37" s="21" t="str">
        <f>IF(OR(COUNT(B37:D1036)=0,COUNT(G37:I1036)=0,'Choix pédagogiques'!C$3&lt;&gt;3),"",IF(AND('Choix pédagogiques'!$C$3=3,$B37&lt;&gt;"",$C37&lt;&gt;"",$D37&lt;&gt;"",$G37&lt;&gt;"",$H37&lt;&gt;"",$I37&lt;&gt;""),1,0))</f>
        <v/>
      </c>
      <c r="BR37" s="21">
        <v>285</v>
      </c>
      <c r="BS37" s="21">
        <v>1664</v>
      </c>
      <c r="BT37"/>
    </row>
    <row r="38" spans="1:72" s="23" customFormat="1" ht="18" customHeight="1" x14ac:dyDescent="0.3">
      <c r="A38" s="35" t="s">
        <v>28</v>
      </c>
      <c r="B38" s="36"/>
      <c r="C38" s="36"/>
      <c r="D38" s="36"/>
      <c r="E38" s="37"/>
      <c r="F38" s="35" t="s">
        <v>1036</v>
      </c>
      <c r="G38" s="36"/>
      <c r="H38" s="36"/>
      <c r="I38" s="36"/>
      <c r="J38" s="37"/>
      <c r="K38" s="21" t="str">
        <f t="shared" si="83"/>
        <v>Apprenant 26</v>
      </c>
      <c r="L38" s="22" t="str">
        <f t="shared" si="84"/>
        <v/>
      </c>
      <c r="M38" s="22" t="str">
        <f t="shared" si="85"/>
        <v/>
      </c>
      <c r="N38" s="22" t="str">
        <f t="shared" si="86"/>
        <v/>
      </c>
      <c r="O38" s="22" t="str">
        <f t="shared" si="87"/>
        <v/>
      </c>
      <c r="P38" s="21" t="str">
        <f t="shared" si="88"/>
        <v>Apprenant 26 ou 26'</v>
      </c>
      <c r="Q38" s="22" t="str">
        <f t="shared" si="89"/>
        <v/>
      </c>
      <c r="R38" s="22" t="str">
        <f t="shared" si="90"/>
        <v/>
      </c>
      <c r="S38" s="22" t="str">
        <f t="shared" si="91"/>
        <v/>
      </c>
      <c r="T38" s="22" t="str">
        <f t="shared" si="92"/>
        <v/>
      </c>
      <c r="V38" s="21" t="str">
        <f t="shared" si="93"/>
        <v>Apprenant 26</v>
      </c>
      <c r="W38" s="22" t="str">
        <f>IF(AND(OR('Choix pédagogiques'!$C$3=1,'Choix pédagogiques'!$C$3=2),$BM38=1),B38,IF(AND('Choix pédagogiques'!$C$3=3,$BO38=1),B38,""))</f>
        <v/>
      </c>
      <c r="X38" s="22" t="str">
        <f>IF(AND(OR('Choix pédagogiques'!$C$3=1,'Choix pédagogiques'!$C$3=2),$BM38=1),C38,IF(AND('Choix pédagogiques'!$C$3=3,$BO38=1),C38,""))</f>
        <v/>
      </c>
      <c r="Y38" s="22" t="str">
        <f>IF(AND(OR('Choix pédagogiques'!$C$3=1,'Choix pédagogiques'!$C$3=2),$BM38=1),D38,IF(AND('Choix pédagogiques'!$C$3=3,$BO38=1),D38,""))</f>
        <v/>
      </c>
      <c r="Z38" s="22" t="str">
        <f t="shared" si="94"/>
        <v/>
      </c>
      <c r="AA38" s="21" t="str">
        <f t="shared" si="95"/>
        <v>Apprenant 26 ou 26'</v>
      </c>
      <c r="AB38" s="22" t="str">
        <f>IF(AND(OR('Choix pédagogiques'!$C$3=1,'Choix pédagogiques'!$C$3=2),$BN38=1),G38,IF(AND('Choix pédagogiques'!$C$3=3,$BO38=1),G38,""))</f>
        <v/>
      </c>
      <c r="AC38" s="22" t="str">
        <f>IF(AND(OR('Choix pédagogiques'!$C$3=1,'Choix pédagogiques'!$C$3=2),$BN38=1),H38,IF(AND('Choix pédagogiques'!$C$3=3,$BO38=1),H38,""))</f>
        <v/>
      </c>
      <c r="AD38" s="22" t="str">
        <f>IF(AND(OR('Choix pédagogiques'!$C$3=1,'Choix pédagogiques'!$C$3=2),$BN38=1),I38,IF(AND('Choix pédagogiques'!$C$3=3,$BO38=1),I38,""))</f>
        <v/>
      </c>
      <c r="AE38" s="22" t="str">
        <f t="shared" si="96"/>
        <v/>
      </c>
      <c r="AF38" s="21" t="str">
        <f t="shared" si="97"/>
        <v>Apprenant 26</v>
      </c>
      <c r="AG38" s="22" t="str">
        <f t="shared" si="71"/>
        <v/>
      </c>
      <c r="AH38" s="22" t="str">
        <f t="shared" si="72"/>
        <v/>
      </c>
      <c r="AI38" s="22" t="str">
        <f t="shared" si="73"/>
        <v/>
      </c>
      <c r="AJ38" s="22" t="str">
        <f t="shared" si="98"/>
        <v/>
      </c>
      <c r="AK38" s="21" t="str">
        <f t="shared" si="99"/>
        <v>Apprenant 26 ou 26'</v>
      </c>
      <c r="AL38" s="22" t="str">
        <f t="shared" si="74"/>
        <v/>
      </c>
      <c r="AM38" s="22" t="str">
        <f t="shared" si="75"/>
        <v/>
      </c>
      <c r="AN38" s="22" t="str">
        <f t="shared" si="76"/>
        <v/>
      </c>
      <c r="AO38" s="22" t="str">
        <f t="shared" si="100"/>
        <v/>
      </c>
      <c r="AQ38" s="21" t="str">
        <f t="shared" si="101"/>
        <v>Apprenant 26</v>
      </c>
      <c r="AR38" s="49" t="str">
        <f>IF(AND('Choix pédagogiques'!$C$4&lt;&gt;"?",'Choix pédagogiques'!$C$5&lt;&gt;"?",W38&lt;&gt;""),(W38-'Choix pédagogiques'!$C$4)/('Choix pédagogiques'!$C$5-'Choix pédagogiques'!$C$4),"")</f>
        <v/>
      </c>
      <c r="AS38" s="49" t="str">
        <f>IF(AND('Choix pédagogiques'!$C$4&lt;&gt;"?",'Choix pédagogiques'!$C$5&lt;&gt;"?",X38&lt;&gt;""),(X38-'Choix pédagogiques'!$C$4)/('Choix pédagogiques'!$C$5-'Choix pédagogiques'!$C$4),"")</f>
        <v/>
      </c>
      <c r="AT38" s="49" t="str">
        <f>IF(AND('Choix pédagogiques'!$C$4&lt;&gt;"?",'Choix pédagogiques'!$C$5&lt;&gt;"?",Y38&lt;&gt;""),(Y38-'Choix pédagogiques'!$C$4)/('Choix pédagogiques'!$C$5-'Choix pédagogiques'!$C$4),"")</f>
        <v/>
      </c>
      <c r="AU38" s="22" t="str">
        <f t="shared" si="102"/>
        <v/>
      </c>
      <c r="AV38" s="21" t="str">
        <f t="shared" si="103"/>
        <v>Apprenant 26 ou 26'</v>
      </c>
      <c r="AW38" s="49" t="str">
        <f>IF(AND('Choix pédagogiques'!$C$4&lt;&gt;"?",'Choix pédagogiques'!$C$5&lt;&gt;"?",AB38&lt;&gt;""),(AB38-'Choix pédagogiques'!$C$4)/('Choix pédagogiques'!$C$5-'Choix pédagogiques'!$C$4),"")</f>
        <v/>
      </c>
      <c r="AX38" s="49" t="str">
        <f>IF(AND('Choix pédagogiques'!$C$4&lt;&gt;"?",'Choix pédagogiques'!$C$5&lt;&gt;"?",AC38&lt;&gt;""),(AC38-'Choix pédagogiques'!$C$4)/('Choix pédagogiques'!$C$5-'Choix pédagogiques'!$C$4),"")</f>
        <v/>
      </c>
      <c r="AY38" s="49" t="str">
        <f>IF(AND('Choix pédagogiques'!$C$4&lt;&gt;"?",'Choix pédagogiques'!$C$5&lt;&gt;"?",AD38&lt;&gt;""),(AD38-'Choix pédagogiques'!$C$4)/('Choix pédagogiques'!$C$5-'Choix pédagogiques'!$C$4),"")</f>
        <v/>
      </c>
      <c r="AZ38" s="22" t="str">
        <f t="shared" si="104"/>
        <v/>
      </c>
      <c r="BA38" s="21" t="str">
        <f t="shared" si="105"/>
        <v>Apprenant 26</v>
      </c>
      <c r="BB38" s="49" t="str">
        <f t="shared" si="77"/>
        <v/>
      </c>
      <c r="BC38" s="49" t="str">
        <f t="shared" si="78"/>
        <v/>
      </c>
      <c r="BD38" s="49" t="str">
        <f t="shared" si="79"/>
        <v/>
      </c>
      <c r="BE38" s="22" t="str">
        <f t="shared" si="106"/>
        <v/>
      </c>
      <c r="BF38" s="21" t="str">
        <f t="shared" si="107"/>
        <v>Apprenant 26 ou 26'</v>
      </c>
      <c r="BG38" s="49" t="str">
        <f t="shared" si="80"/>
        <v/>
      </c>
      <c r="BH38" s="49" t="str">
        <f t="shared" si="81"/>
        <v/>
      </c>
      <c r="BI38" s="49" t="str">
        <f t="shared" si="82"/>
        <v/>
      </c>
      <c r="BJ38" s="22" t="str">
        <f t="shared" si="108"/>
        <v/>
      </c>
      <c r="BL38" s="21"/>
      <c r="BM38" s="21" t="str">
        <f>IF(OR(COUNT(B38:D1037)=0,AND('Choix pédagogiques'!$C$3&lt;&gt;1,'Choix pédagogiques'!$C$3&lt;&gt;2)),"",IF(AND(OR('Choix pédagogiques'!$C$3=1,'Choix pédagogiques'!$C$3=2),$B38&lt;&gt;"",$C38&lt;&gt;"",$D38&lt;&gt;""),1,0))</f>
        <v/>
      </c>
      <c r="BN38" s="21" t="str">
        <f>IF(OR(COUNT(G38:I1037)=0,AND('Choix pédagogiques'!$C$3&lt;&gt;1,'Choix pédagogiques'!$C$3&lt;&gt;2)),"",IF(AND(OR('Choix pédagogiques'!$C$3=1,'Choix pédagogiques'!$C$3=2),AND($G38&lt;&gt;"",$H38&lt;&gt;"",$I38&lt;&gt;"")),1,0))</f>
        <v/>
      </c>
      <c r="BO38" s="21" t="str">
        <f>IF(OR(COUNT(B38:D1037)=0,COUNT(G38:I1037)=0,'Choix pédagogiques'!C$3&lt;&gt;3),"",IF(AND('Choix pédagogiques'!$C$3=3,$B38&lt;&gt;"",$C38&lt;&gt;"",$D38&lt;&gt;"",$G38&lt;&gt;"",$H38&lt;&gt;"",$I38&lt;&gt;""),1,0))</f>
        <v/>
      </c>
      <c r="BR38" s="21">
        <v>458</v>
      </c>
      <c r="BS38" s="21">
        <v>1957</v>
      </c>
      <c r="BT38"/>
    </row>
    <row r="39" spans="1:72" s="23" customFormat="1" ht="18" customHeight="1" x14ac:dyDescent="0.3">
      <c r="A39" s="35" t="s">
        <v>29</v>
      </c>
      <c r="B39" s="36"/>
      <c r="C39" s="36"/>
      <c r="D39" s="36"/>
      <c r="E39" s="37"/>
      <c r="F39" s="35" t="s">
        <v>1037</v>
      </c>
      <c r="G39" s="36"/>
      <c r="H39" s="36"/>
      <c r="I39" s="36"/>
      <c r="J39" s="37"/>
      <c r="K39" s="21" t="str">
        <f t="shared" si="83"/>
        <v>Apprenant 27</v>
      </c>
      <c r="L39" s="22" t="str">
        <f t="shared" si="84"/>
        <v/>
      </c>
      <c r="M39" s="22" t="str">
        <f t="shared" si="85"/>
        <v/>
      </c>
      <c r="N39" s="22" t="str">
        <f t="shared" si="86"/>
        <v/>
      </c>
      <c r="O39" s="22" t="str">
        <f t="shared" si="87"/>
        <v/>
      </c>
      <c r="P39" s="21" t="str">
        <f t="shared" si="88"/>
        <v>Apprenant 27 ou 27'</v>
      </c>
      <c r="Q39" s="22" t="str">
        <f t="shared" si="89"/>
        <v/>
      </c>
      <c r="R39" s="22" t="str">
        <f t="shared" si="90"/>
        <v/>
      </c>
      <c r="S39" s="22" t="str">
        <f t="shared" si="91"/>
        <v/>
      </c>
      <c r="T39" s="22" t="str">
        <f t="shared" si="92"/>
        <v/>
      </c>
      <c r="V39" s="21" t="str">
        <f t="shared" si="93"/>
        <v>Apprenant 27</v>
      </c>
      <c r="W39" s="22" t="str">
        <f>IF(AND(OR('Choix pédagogiques'!$C$3=1,'Choix pédagogiques'!$C$3=2),$BM39=1),B39,IF(AND('Choix pédagogiques'!$C$3=3,$BO39=1),B39,""))</f>
        <v/>
      </c>
      <c r="X39" s="22" t="str">
        <f>IF(AND(OR('Choix pédagogiques'!$C$3=1,'Choix pédagogiques'!$C$3=2),$BM39=1),C39,IF(AND('Choix pédagogiques'!$C$3=3,$BO39=1),C39,""))</f>
        <v/>
      </c>
      <c r="Y39" s="22" t="str">
        <f>IF(AND(OR('Choix pédagogiques'!$C$3=1,'Choix pédagogiques'!$C$3=2),$BM39=1),D39,IF(AND('Choix pédagogiques'!$C$3=3,$BO39=1),D39,""))</f>
        <v/>
      </c>
      <c r="Z39" s="22" t="str">
        <f t="shared" si="94"/>
        <v/>
      </c>
      <c r="AA39" s="21" t="str">
        <f t="shared" si="95"/>
        <v>Apprenant 27 ou 27'</v>
      </c>
      <c r="AB39" s="22" t="str">
        <f>IF(AND(OR('Choix pédagogiques'!$C$3=1,'Choix pédagogiques'!$C$3=2),$BN39=1),G39,IF(AND('Choix pédagogiques'!$C$3=3,$BO39=1),G39,""))</f>
        <v/>
      </c>
      <c r="AC39" s="22" t="str">
        <f>IF(AND(OR('Choix pédagogiques'!$C$3=1,'Choix pédagogiques'!$C$3=2),$BN39=1),H39,IF(AND('Choix pédagogiques'!$C$3=3,$BO39=1),H39,""))</f>
        <v/>
      </c>
      <c r="AD39" s="22" t="str">
        <f>IF(AND(OR('Choix pédagogiques'!$C$3=1,'Choix pédagogiques'!$C$3=2),$BN39=1),I39,IF(AND('Choix pédagogiques'!$C$3=3,$BO39=1),I39,""))</f>
        <v/>
      </c>
      <c r="AE39" s="22" t="str">
        <f t="shared" si="96"/>
        <v/>
      </c>
      <c r="AF39" s="21" t="str">
        <f t="shared" si="97"/>
        <v>Apprenant 27</v>
      </c>
      <c r="AG39" s="22" t="str">
        <f t="shared" si="71"/>
        <v/>
      </c>
      <c r="AH39" s="22" t="str">
        <f t="shared" si="72"/>
        <v/>
      </c>
      <c r="AI39" s="22" t="str">
        <f t="shared" si="73"/>
        <v/>
      </c>
      <c r="AJ39" s="22" t="str">
        <f t="shared" si="98"/>
        <v/>
      </c>
      <c r="AK39" s="21" t="str">
        <f t="shared" si="99"/>
        <v>Apprenant 27 ou 27'</v>
      </c>
      <c r="AL39" s="22" t="str">
        <f t="shared" si="74"/>
        <v/>
      </c>
      <c r="AM39" s="22" t="str">
        <f t="shared" si="75"/>
        <v/>
      </c>
      <c r="AN39" s="22" t="str">
        <f t="shared" si="76"/>
        <v/>
      </c>
      <c r="AO39" s="22" t="str">
        <f t="shared" si="100"/>
        <v/>
      </c>
      <c r="AQ39" s="21" t="str">
        <f t="shared" si="101"/>
        <v>Apprenant 27</v>
      </c>
      <c r="AR39" s="49" t="str">
        <f>IF(AND('Choix pédagogiques'!$C$4&lt;&gt;"?",'Choix pédagogiques'!$C$5&lt;&gt;"?",W39&lt;&gt;""),(W39-'Choix pédagogiques'!$C$4)/('Choix pédagogiques'!$C$5-'Choix pédagogiques'!$C$4),"")</f>
        <v/>
      </c>
      <c r="AS39" s="49" t="str">
        <f>IF(AND('Choix pédagogiques'!$C$4&lt;&gt;"?",'Choix pédagogiques'!$C$5&lt;&gt;"?",X39&lt;&gt;""),(X39-'Choix pédagogiques'!$C$4)/('Choix pédagogiques'!$C$5-'Choix pédagogiques'!$C$4),"")</f>
        <v/>
      </c>
      <c r="AT39" s="49" t="str">
        <f>IF(AND('Choix pédagogiques'!$C$4&lt;&gt;"?",'Choix pédagogiques'!$C$5&lt;&gt;"?",Y39&lt;&gt;""),(Y39-'Choix pédagogiques'!$C$4)/('Choix pédagogiques'!$C$5-'Choix pédagogiques'!$C$4),"")</f>
        <v/>
      </c>
      <c r="AU39" s="22" t="str">
        <f t="shared" si="102"/>
        <v/>
      </c>
      <c r="AV39" s="21" t="str">
        <f t="shared" si="103"/>
        <v>Apprenant 27 ou 27'</v>
      </c>
      <c r="AW39" s="49" t="str">
        <f>IF(AND('Choix pédagogiques'!$C$4&lt;&gt;"?",'Choix pédagogiques'!$C$5&lt;&gt;"?",AB39&lt;&gt;""),(AB39-'Choix pédagogiques'!$C$4)/('Choix pédagogiques'!$C$5-'Choix pédagogiques'!$C$4),"")</f>
        <v/>
      </c>
      <c r="AX39" s="49" t="str">
        <f>IF(AND('Choix pédagogiques'!$C$4&lt;&gt;"?",'Choix pédagogiques'!$C$5&lt;&gt;"?",AC39&lt;&gt;""),(AC39-'Choix pédagogiques'!$C$4)/('Choix pédagogiques'!$C$5-'Choix pédagogiques'!$C$4),"")</f>
        <v/>
      </c>
      <c r="AY39" s="49" t="str">
        <f>IF(AND('Choix pédagogiques'!$C$4&lt;&gt;"?",'Choix pédagogiques'!$C$5&lt;&gt;"?",AD39&lt;&gt;""),(AD39-'Choix pédagogiques'!$C$4)/('Choix pédagogiques'!$C$5-'Choix pédagogiques'!$C$4),"")</f>
        <v/>
      </c>
      <c r="AZ39" s="22" t="str">
        <f t="shared" si="104"/>
        <v/>
      </c>
      <c r="BA39" s="21" t="str">
        <f t="shared" si="105"/>
        <v>Apprenant 27</v>
      </c>
      <c r="BB39" s="49" t="str">
        <f t="shared" si="77"/>
        <v/>
      </c>
      <c r="BC39" s="49" t="str">
        <f t="shared" si="78"/>
        <v/>
      </c>
      <c r="BD39" s="49" t="str">
        <f t="shared" si="79"/>
        <v/>
      </c>
      <c r="BE39" s="22" t="str">
        <f t="shared" si="106"/>
        <v/>
      </c>
      <c r="BF39" s="21" t="str">
        <f t="shared" si="107"/>
        <v>Apprenant 27 ou 27'</v>
      </c>
      <c r="BG39" s="49" t="str">
        <f t="shared" si="80"/>
        <v/>
      </c>
      <c r="BH39" s="49" t="str">
        <f t="shared" si="81"/>
        <v/>
      </c>
      <c r="BI39" s="49" t="str">
        <f t="shared" si="82"/>
        <v/>
      </c>
      <c r="BJ39" s="22" t="str">
        <f t="shared" si="108"/>
        <v/>
      </c>
      <c r="BL39" s="21"/>
      <c r="BM39" s="21" t="str">
        <f>IF(OR(COUNT(B39:D1038)=0,AND('Choix pédagogiques'!$C$3&lt;&gt;1,'Choix pédagogiques'!$C$3&lt;&gt;2)),"",IF(AND(OR('Choix pédagogiques'!$C$3=1,'Choix pédagogiques'!$C$3=2),$B39&lt;&gt;"",$C39&lt;&gt;"",$D39&lt;&gt;""),1,0))</f>
        <v/>
      </c>
      <c r="BN39" s="21" t="str">
        <f>IF(OR(COUNT(G39:I1038)=0,AND('Choix pédagogiques'!$C$3&lt;&gt;1,'Choix pédagogiques'!$C$3&lt;&gt;2)),"",IF(AND(OR('Choix pédagogiques'!$C$3=1,'Choix pédagogiques'!$C$3=2),AND($G39&lt;&gt;"",$H39&lt;&gt;"",$I39&lt;&gt;"")),1,0))</f>
        <v/>
      </c>
      <c r="BO39" s="21" t="str">
        <f>IF(OR(COUNT(B39:D1038)=0,COUNT(G39:I1038)=0,'Choix pédagogiques'!C$3&lt;&gt;3),"",IF(AND('Choix pédagogiques'!$C$3=3,$B39&lt;&gt;"",$C39&lt;&gt;"",$D39&lt;&gt;"",$G39&lt;&gt;"",$H39&lt;&gt;"",$I39&lt;&gt;""),1,0))</f>
        <v/>
      </c>
      <c r="BR39" s="21">
        <v>561</v>
      </c>
      <c r="BS39" s="21">
        <v>1565</v>
      </c>
      <c r="BT39"/>
    </row>
    <row r="40" spans="1:72" s="23" customFormat="1" ht="18" customHeight="1" x14ac:dyDescent="0.3">
      <c r="A40" s="35" t="s">
        <v>30</v>
      </c>
      <c r="B40" s="36"/>
      <c r="C40" s="36"/>
      <c r="D40" s="36"/>
      <c r="E40" s="37"/>
      <c r="F40" s="35" t="s">
        <v>1038</v>
      </c>
      <c r="G40" s="36"/>
      <c r="H40" s="36"/>
      <c r="I40" s="36"/>
      <c r="J40" s="37"/>
      <c r="K40" s="21" t="str">
        <f t="shared" si="83"/>
        <v>Apprenant 28</v>
      </c>
      <c r="L40" s="22" t="str">
        <f t="shared" si="84"/>
        <v/>
      </c>
      <c r="M40" s="22" t="str">
        <f t="shared" si="85"/>
        <v/>
      </c>
      <c r="N40" s="22" t="str">
        <f t="shared" si="86"/>
        <v/>
      </c>
      <c r="O40" s="22" t="str">
        <f t="shared" si="87"/>
        <v/>
      </c>
      <c r="P40" s="21" t="str">
        <f t="shared" si="88"/>
        <v>Apprenant 28 ou 28'</v>
      </c>
      <c r="Q40" s="22" t="str">
        <f t="shared" si="89"/>
        <v/>
      </c>
      <c r="R40" s="22" t="str">
        <f t="shared" si="90"/>
        <v/>
      </c>
      <c r="S40" s="22" t="str">
        <f t="shared" si="91"/>
        <v/>
      </c>
      <c r="T40" s="22" t="str">
        <f t="shared" si="92"/>
        <v/>
      </c>
      <c r="V40" s="21" t="str">
        <f t="shared" si="93"/>
        <v>Apprenant 28</v>
      </c>
      <c r="W40" s="22" t="str">
        <f>IF(AND(OR('Choix pédagogiques'!$C$3=1,'Choix pédagogiques'!$C$3=2),$BM40=1),B40,IF(AND('Choix pédagogiques'!$C$3=3,$BO40=1),B40,""))</f>
        <v/>
      </c>
      <c r="X40" s="22" t="str">
        <f>IF(AND(OR('Choix pédagogiques'!$C$3=1,'Choix pédagogiques'!$C$3=2),$BM40=1),C40,IF(AND('Choix pédagogiques'!$C$3=3,$BO40=1),C40,""))</f>
        <v/>
      </c>
      <c r="Y40" s="22" t="str">
        <f>IF(AND(OR('Choix pédagogiques'!$C$3=1,'Choix pédagogiques'!$C$3=2),$BM40=1),D40,IF(AND('Choix pédagogiques'!$C$3=3,$BO40=1),D40,""))</f>
        <v/>
      </c>
      <c r="Z40" s="22" t="str">
        <f t="shared" si="94"/>
        <v/>
      </c>
      <c r="AA40" s="21" t="str">
        <f t="shared" si="95"/>
        <v>Apprenant 28 ou 28'</v>
      </c>
      <c r="AB40" s="22" t="str">
        <f>IF(AND(OR('Choix pédagogiques'!$C$3=1,'Choix pédagogiques'!$C$3=2),$BN40=1),G40,IF(AND('Choix pédagogiques'!$C$3=3,$BO40=1),G40,""))</f>
        <v/>
      </c>
      <c r="AC40" s="22" t="str">
        <f>IF(AND(OR('Choix pédagogiques'!$C$3=1,'Choix pédagogiques'!$C$3=2),$BN40=1),H40,IF(AND('Choix pédagogiques'!$C$3=3,$BO40=1),H40,""))</f>
        <v/>
      </c>
      <c r="AD40" s="22" t="str">
        <f>IF(AND(OR('Choix pédagogiques'!$C$3=1,'Choix pédagogiques'!$C$3=2),$BN40=1),I40,IF(AND('Choix pédagogiques'!$C$3=3,$BO40=1),I40,""))</f>
        <v/>
      </c>
      <c r="AE40" s="22" t="str">
        <f t="shared" si="96"/>
        <v/>
      </c>
      <c r="AF40" s="21" t="str">
        <f t="shared" si="97"/>
        <v>Apprenant 28</v>
      </c>
      <c r="AG40" s="22" t="str">
        <f t="shared" si="71"/>
        <v/>
      </c>
      <c r="AH40" s="22" t="str">
        <f t="shared" si="72"/>
        <v/>
      </c>
      <c r="AI40" s="22" t="str">
        <f t="shared" si="73"/>
        <v/>
      </c>
      <c r="AJ40" s="22" t="str">
        <f t="shared" si="98"/>
        <v/>
      </c>
      <c r="AK40" s="21" t="str">
        <f t="shared" si="99"/>
        <v>Apprenant 28 ou 28'</v>
      </c>
      <c r="AL40" s="22" t="str">
        <f t="shared" si="74"/>
        <v/>
      </c>
      <c r="AM40" s="22" t="str">
        <f t="shared" si="75"/>
        <v/>
      </c>
      <c r="AN40" s="22" t="str">
        <f t="shared" si="76"/>
        <v/>
      </c>
      <c r="AO40" s="22" t="str">
        <f t="shared" si="100"/>
        <v/>
      </c>
      <c r="AQ40" s="21" t="str">
        <f t="shared" si="101"/>
        <v>Apprenant 28</v>
      </c>
      <c r="AR40" s="49" t="str">
        <f>IF(AND('Choix pédagogiques'!$C$4&lt;&gt;"?",'Choix pédagogiques'!$C$5&lt;&gt;"?",W40&lt;&gt;""),(W40-'Choix pédagogiques'!$C$4)/('Choix pédagogiques'!$C$5-'Choix pédagogiques'!$C$4),"")</f>
        <v/>
      </c>
      <c r="AS40" s="49" t="str">
        <f>IF(AND('Choix pédagogiques'!$C$4&lt;&gt;"?",'Choix pédagogiques'!$C$5&lt;&gt;"?",X40&lt;&gt;""),(X40-'Choix pédagogiques'!$C$4)/('Choix pédagogiques'!$C$5-'Choix pédagogiques'!$C$4),"")</f>
        <v/>
      </c>
      <c r="AT40" s="49" t="str">
        <f>IF(AND('Choix pédagogiques'!$C$4&lt;&gt;"?",'Choix pédagogiques'!$C$5&lt;&gt;"?",Y40&lt;&gt;""),(Y40-'Choix pédagogiques'!$C$4)/('Choix pédagogiques'!$C$5-'Choix pédagogiques'!$C$4),"")</f>
        <v/>
      </c>
      <c r="AU40" s="22" t="str">
        <f t="shared" si="102"/>
        <v/>
      </c>
      <c r="AV40" s="21" t="str">
        <f t="shared" si="103"/>
        <v>Apprenant 28 ou 28'</v>
      </c>
      <c r="AW40" s="49" t="str">
        <f>IF(AND('Choix pédagogiques'!$C$4&lt;&gt;"?",'Choix pédagogiques'!$C$5&lt;&gt;"?",AB40&lt;&gt;""),(AB40-'Choix pédagogiques'!$C$4)/('Choix pédagogiques'!$C$5-'Choix pédagogiques'!$C$4),"")</f>
        <v/>
      </c>
      <c r="AX40" s="49" t="str">
        <f>IF(AND('Choix pédagogiques'!$C$4&lt;&gt;"?",'Choix pédagogiques'!$C$5&lt;&gt;"?",AC40&lt;&gt;""),(AC40-'Choix pédagogiques'!$C$4)/('Choix pédagogiques'!$C$5-'Choix pédagogiques'!$C$4),"")</f>
        <v/>
      </c>
      <c r="AY40" s="49" t="str">
        <f>IF(AND('Choix pédagogiques'!$C$4&lt;&gt;"?",'Choix pédagogiques'!$C$5&lt;&gt;"?",AD40&lt;&gt;""),(AD40-'Choix pédagogiques'!$C$4)/('Choix pédagogiques'!$C$5-'Choix pédagogiques'!$C$4),"")</f>
        <v/>
      </c>
      <c r="AZ40" s="22" t="str">
        <f t="shared" si="104"/>
        <v/>
      </c>
      <c r="BA40" s="21" t="str">
        <f t="shared" si="105"/>
        <v>Apprenant 28</v>
      </c>
      <c r="BB40" s="49" t="str">
        <f t="shared" si="77"/>
        <v/>
      </c>
      <c r="BC40" s="49" t="str">
        <f t="shared" si="78"/>
        <v/>
      </c>
      <c r="BD40" s="49" t="str">
        <f t="shared" si="79"/>
        <v/>
      </c>
      <c r="BE40" s="22" t="str">
        <f t="shared" si="106"/>
        <v/>
      </c>
      <c r="BF40" s="21" t="str">
        <f t="shared" si="107"/>
        <v>Apprenant 28 ou 28'</v>
      </c>
      <c r="BG40" s="49" t="str">
        <f t="shared" si="80"/>
        <v/>
      </c>
      <c r="BH40" s="49" t="str">
        <f t="shared" si="81"/>
        <v/>
      </c>
      <c r="BI40" s="49" t="str">
        <f t="shared" si="82"/>
        <v/>
      </c>
      <c r="BJ40" s="22" t="str">
        <f t="shared" si="108"/>
        <v/>
      </c>
      <c r="BL40" s="21"/>
      <c r="BM40" s="21" t="str">
        <f>IF(OR(COUNT(B40:D1039)=0,AND('Choix pédagogiques'!$C$3&lt;&gt;1,'Choix pédagogiques'!$C$3&lt;&gt;2)),"",IF(AND(OR('Choix pédagogiques'!$C$3=1,'Choix pédagogiques'!$C$3=2),$B40&lt;&gt;"",$C40&lt;&gt;"",$D40&lt;&gt;""),1,0))</f>
        <v/>
      </c>
      <c r="BN40" s="21" t="str">
        <f>IF(OR(COUNT(G40:I1039)=0,AND('Choix pédagogiques'!$C$3&lt;&gt;1,'Choix pédagogiques'!$C$3&lt;&gt;2)),"",IF(AND(OR('Choix pédagogiques'!$C$3=1,'Choix pédagogiques'!$C$3=2),AND($G40&lt;&gt;"",$H40&lt;&gt;"",$I40&lt;&gt;"")),1,0))</f>
        <v/>
      </c>
      <c r="BO40" s="21" t="str">
        <f>IF(OR(COUNT(B40:D1039)=0,COUNT(G40:I1039)=0,'Choix pédagogiques'!C$3&lt;&gt;3),"",IF(AND('Choix pédagogiques'!$C$3=3,$B40&lt;&gt;"",$C40&lt;&gt;"",$D40&lt;&gt;"",$G40&lt;&gt;"",$H40&lt;&gt;"",$I40&lt;&gt;""),1,0))</f>
        <v/>
      </c>
      <c r="BR40" s="21">
        <v>265</v>
      </c>
      <c r="BS40" s="21">
        <v>1098</v>
      </c>
      <c r="BT40"/>
    </row>
    <row r="41" spans="1:72" s="23" customFormat="1" ht="18" customHeight="1" x14ac:dyDescent="0.3">
      <c r="A41" s="35" t="s">
        <v>31</v>
      </c>
      <c r="B41" s="36"/>
      <c r="C41" s="36"/>
      <c r="D41" s="36"/>
      <c r="E41" s="37"/>
      <c r="F41" s="35" t="s">
        <v>1039</v>
      </c>
      <c r="G41" s="36"/>
      <c r="H41" s="36"/>
      <c r="I41" s="36"/>
      <c r="J41" s="37"/>
      <c r="K41" s="21" t="str">
        <f t="shared" si="83"/>
        <v>Apprenant 29</v>
      </c>
      <c r="L41" s="22" t="str">
        <f t="shared" si="84"/>
        <v/>
      </c>
      <c r="M41" s="22" t="str">
        <f t="shared" si="85"/>
        <v/>
      </c>
      <c r="N41" s="22" t="str">
        <f t="shared" si="86"/>
        <v/>
      </c>
      <c r="O41" s="22" t="str">
        <f t="shared" si="87"/>
        <v/>
      </c>
      <c r="P41" s="21" t="str">
        <f t="shared" si="88"/>
        <v>Apprenant 29 ou 29'</v>
      </c>
      <c r="Q41" s="22" t="str">
        <f t="shared" si="89"/>
        <v/>
      </c>
      <c r="R41" s="22" t="str">
        <f t="shared" si="90"/>
        <v/>
      </c>
      <c r="S41" s="22" t="str">
        <f t="shared" si="91"/>
        <v/>
      </c>
      <c r="T41" s="22" t="str">
        <f t="shared" si="92"/>
        <v/>
      </c>
      <c r="V41" s="21" t="str">
        <f t="shared" si="93"/>
        <v>Apprenant 29</v>
      </c>
      <c r="W41" s="22" t="str">
        <f>IF(AND(OR('Choix pédagogiques'!$C$3=1,'Choix pédagogiques'!$C$3=2),$BM41=1),B41,IF(AND('Choix pédagogiques'!$C$3=3,$BO41=1),B41,""))</f>
        <v/>
      </c>
      <c r="X41" s="22" t="str">
        <f>IF(AND(OR('Choix pédagogiques'!$C$3=1,'Choix pédagogiques'!$C$3=2),$BM41=1),C41,IF(AND('Choix pédagogiques'!$C$3=3,$BO41=1),C41,""))</f>
        <v/>
      </c>
      <c r="Y41" s="22" t="str">
        <f>IF(AND(OR('Choix pédagogiques'!$C$3=1,'Choix pédagogiques'!$C$3=2),$BM41=1),D41,IF(AND('Choix pédagogiques'!$C$3=3,$BO41=1),D41,""))</f>
        <v/>
      </c>
      <c r="Z41" s="22" t="str">
        <f t="shared" si="94"/>
        <v/>
      </c>
      <c r="AA41" s="21" t="str">
        <f t="shared" si="95"/>
        <v>Apprenant 29 ou 29'</v>
      </c>
      <c r="AB41" s="22" t="str">
        <f>IF(AND(OR('Choix pédagogiques'!$C$3=1,'Choix pédagogiques'!$C$3=2),$BN41=1),G41,IF(AND('Choix pédagogiques'!$C$3=3,$BO41=1),G41,""))</f>
        <v/>
      </c>
      <c r="AC41" s="22" t="str">
        <f>IF(AND(OR('Choix pédagogiques'!$C$3=1,'Choix pédagogiques'!$C$3=2),$BN41=1),H41,IF(AND('Choix pédagogiques'!$C$3=3,$BO41=1),H41,""))</f>
        <v/>
      </c>
      <c r="AD41" s="22" t="str">
        <f>IF(AND(OR('Choix pédagogiques'!$C$3=1,'Choix pédagogiques'!$C$3=2),$BN41=1),I41,IF(AND('Choix pédagogiques'!$C$3=3,$BO41=1),I41,""))</f>
        <v/>
      </c>
      <c r="AE41" s="22" t="str">
        <f t="shared" si="96"/>
        <v/>
      </c>
      <c r="AF41" s="21" t="str">
        <f t="shared" si="97"/>
        <v>Apprenant 29</v>
      </c>
      <c r="AG41" s="22" t="str">
        <f t="shared" si="71"/>
        <v/>
      </c>
      <c r="AH41" s="22" t="str">
        <f t="shared" si="72"/>
        <v/>
      </c>
      <c r="AI41" s="22" t="str">
        <f t="shared" si="73"/>
        <v/>
      </c>
      <c r="AJ41" s="22" t="str">
        <f t="shared" si="98"/>
        <v/>
      </c>
      <c r="AK41" s="21" t="str">
        <f t="shared" si="99"/>
        <v>Apprenant 29 ou 29'</v>
      </c>
      <c r="AL41" s="22" t="str">
        <f t="shared" si="74"/>
        <v/>
      </c>
      <c r="AM41" s="22" t="str">
        <f t="shared" si="75"/>
        <v/>
      </c>
      <c r="AN41" s="22" t="str">
        <f t="shared" si="76"/>
        <v/>
      </c>
      <c r="AO41" s="22" t="str">
        <f t="shared" si="100"/>
        <v/>
      </c>
      <c r="AQ41" s="21" t="str">
        <f t="shared" si="101"/>
        <v>Apprenant 29</v>
      </c>
      <c r="AR41" s="49" t="str">
        <f>IF(AND('Choix pédagogiques'!$C$4&lt;&gt;"?",'Choix pédagogiques'!$C$5&lt;&gt;"?",W41&lt;&gt;""),(W41-'Choix pédagogiques'!$C$4)/('Choix pédagogiques'!$C$5-'Choix pédagogiques'!$C$4),"")</f>
        <v/>
      </c>
      <c r="AS41" s="49" t="str">
        <f>IF(AND('Choix pédagogiques'!$C$4&lt;&gt;"?",'Choix pédagogiques'!$C$5&lt;&gt;"?",X41&lt;&gt;""),(X41-'Choix pédagogiques'!$C$4)/('Choix pédagogiques'!$C$5-'Choix pédagogiques'!$C$4),"")</f>
        <v/>
      </c>
      <c r="AT41" s="49" t="str">
        <f>IF(AND('Choix pédagogiques'!$C$4&lt;&gt;"?",'Choix pédagogiques'!$C$5&lt;&gt;"?",Y41&lt;&gt;""),(Y41-'Choix pédagogiques'!$C$4)/('Choix pédagogiques'!$C$5-'Choix pédagogiques'!$C$4),"")</f>
        <v/>
      </c>
      <c r="AU41" s="22" t="str">
        <f t="shared" si="102"/>
        <v/>
      </c>
      <c r="AV41" s="21" t="str">
        <f t="shared" si="103"/>
        <v>Apprenant 29 ou 29'</v>
      </c>
      <c r="AW41" s="49" t="str">
        <f>IF(AND('Choix pédagogiques'!$C$4&lt;&gt;"?",'Choix pédagogiques'!$C$5&lt;&gt;"?",AB41&lt;&gt;""),(AB41-'Choix pédagogiques'!$C$4)/('Choix pédagogiques'!$C$5-'Choix pédagogiques'!$C$4),"")</f>
        <v/>
      </c>
      <c r="AX41" s="49" t="str">
        <f>IF(AND('Choix pédagogiques'!$C$4&lt;&gt;"?",'Choix pédagogiques'!$C$5&lt;&gt;"?",AC41&lt;&gt;""),(AC41-'Choix pédagogiques'!$C$4)/('Choix pédagogiques'!$C$5-'Choix pédagogiques'!$C$4),"")</f>
        <v/>
      </c>
      <c r="AY41" s="49" t="str">
        <f>IF(AND('Choix pédagogiques'!$C$4&lt;&gt;"?",'Choix pédagogiques'!$C$5&lt;&gt;"?",AD41&lt;&gt;""),(AD41-'Choix pédagogiques'!$C$4)/('Choix pédagogiques'!$C$5-'Choix pédagogiques'!$C$4),"")</f>
        <v/>
      </c>
      <c r="AZ41" s="22" t="str">
        <f t="shared" si="104"/>
        <v/>
      </c>
      <c r="BA41" s="21" t="str">
        <f t="shared" si="105"/>
        <v>Apprenant 29</v>
      </c>
      <c r="BB41" s="49" t="str">
        <f t="shared" si="77"/>
        <v/>
      </c>
      <c r="BC41" s="49" t="str">
        <f t="shared" si="78"/>
        <v/>
      </c>
      <c r="BD41" s="49" t="str">
        <f t="shared" si="79"/>
        <v/>
      </c>
      <c r="BE41" s="22" t="str">
        <f t="shared" si="106"/>
        <v/>
      </c>
      <c r="BF41" s="21" t="str">
        <f t="shared" si="107"/>
        <v>Apprenant 29 ou 29'</v>
      </c>
      <c r="BG41" s="49" t="str">
        <f t="shared" si="80"/>
        <v/>
      </c>
      <c r="BH41" s="49" t="str">
        <f t="shared" si="81"/>
        <v/>
      </c>
      <c r="BI41" s="49" t="str">
        <f t="shared" si="82"/>
        <v/>
      </c>
      <c r="BJ41" s="22" t="str">
        <f t="shared" si="108"/>
        <v/>
      </c>
      <c r="BL41" s="21"/>
      <c r="BM41" s="21" t="str">
        <f>IF(OR(COUNT(B41:D1040)=0,AND('Choix pédagogiques'!$C$3&lt;&gt;1,'Choix pédagogiques'!$C$3&lt;&gt;2)),"",IF(AND(OR('Choix pédagogiques'!$C$3=1,'Choix pédagogiques'!$C$3=2),$B41&lt;&gt;"",$C41&lt;&gt;"",$D41&lt;&gt;""),1,0))</f>
        <v/>
      </c>
      <c r="BN41" s="21" t="str">
        <f>IF(OR(COUNT(G41:I1040)=0,AND('Choix pédagogiques'!$C$3&lt;&gt;1,'Choix pédagogiques'!$C$3&lt;&gt;2)),"",IF(AND(OR('Choix pédagogiques'!$C$3=1,'Choix pédagogiques'!$C$3=2),AND($G41&lt;&gt;"",$H41&lt;&gt;"",$I41&lt;&gt;"")),1,0))</f>
        <v/>
      </c>
      <c r="BO41" s="21" t="str">
        <f>IF(OR(COUNT(B41:D1040)=0,COUNT(G41:I1040)=0,'Choix pédagogiques'!C$3&lt;&gt;3),"",IF(AND('Choix pédagogiques'!$C$3=3,$B41&lt;&gt;"",$C41&lt;&gt;"",$D41&lt;&gt;"",$G41&lt;&gt;"",$H41&lt;&gt;"",$I41&lt;&gt;""),1,0))</f>
        <v/>
      </c>
      <c r="BR41" s="21">
        <v>991</v>
      </c>
      <c r="BS41" s="21">
        <v>1097</v>
      </c>
      <c r="BT41"/>
    </row>
    <row r="42" spans="1:72" s="23" customFormat="1" ht="18" customHeight="1" x14ac:dyDescent="0.3">
      <c r="A42" s="35" t="s">
        <v>32</v>
      </c>
      <c r="B42" s="36"/>
      <c r="C42" s="36"/>
      <c r="D42" s="36"/>
      <c r="E42" s="37"/>
      <c r="F42" s="35" t="s">
        <v>1040</v>
      </c>
      <c r="G42" s="36"/>
      <c r="H42" s="36"/>
      <c r="I42" s="36"/>
      <c r="J42" s="37"/>
      <c r="K42" s="21" t="str">
        <f t="shared" si="83"/>
        <v>Apprenant 30</v>
      </c>
      <c r="L42" s="22" t="str">
        <f t="shared" si="84"/>
        <v/>
      </c>
      <c r="M42" s="22" t="str">
        <f t="shared" si="85"/>
        <v/>
      </c>
      <c r="N42" s="22" t="str">
        <f t="shared" si="86"/>
        <v/>
      </c>
      <c r="O42" s="22" t="str">
        <f t="shared" si="87"/>
        <v/>
      </c>
      <c r="P42" s="21" t="str">
        <f t="shared" si="88"/>
        <v>Apprenant 30 ou 30'</v>
      </c>
      <c r="Q42" s="22" t="str">
        <f t="shared" si="89"/>
        <v/>
      </c>
      <c r="R42" s="22" t="str">
        <f t="shared" si="90"/>
        <v/>
      </c>
      <c r="S42" s="22" t="str">
        <f t="shared" si="91"/>
        <v/>
      </c>
      <c r="T42" s="22" t="str">
        <f t="shared" si="92"/>
        <v/>
      </c>
      <c r="V42" s="21" t="str">
        <f t="shared" si="93"/>
        <v>Apprenant 30</v>
      </c>
      <c r="W42" s="22" t="str">
        <f>IF(AND(OR('Choix pédagogiques'!$C$3=1,'Choix pédagogiques'!$C$3=2),$BM42=1),B42,IF(AND('Choix pédagogiques'!$C$3=3,$BO42=1),B42,""))</f>
        <v/>
      </c>
      <c r="X42" s="22" t="str">
        <f>IF(AND(OR('Choix pédagogiques'!$C$3=1,'Choix pédagogiques'!$C$3=2),$BM42=1),C42,IF(AND('Choix pédagogiques'!$C$3=3,$BO42=1),C42,""))</f>
        <v/>
      </c>
      <c r="Y42" s="22" t="str">
        <f>IF(AND(OR('Choix pédagogiques'!$C$3=1,'Choix pédagogiques'!$C$3=2),$BM42=1),D42,IF(AND('Choix pédagogiques'!$C$3=3,$BO42=1),D42,""))</f>
        <v/>
      </c>
      <c r="Z42" s="22" t="str">
        <f t="shared" si="94"/>
        <v/>
      </c>
      <c r="AA42" s="21" t="str">
        <f t="shared" si="95"/>
        <v>Apprenant 30 ou 30'</v>
      </c>
      <c r="AB42" s="22" t="str">
        <f>IF(AND(OR('Choix pédagogiques'!$C$3=1,'Choix pédagogiques'!$C$3=2),$BN42=1),G42,IF(AND('Choix pédagogiques'!$C$3=3,$BO42=1),G42,""))</f>
        <v/>
      </c>
      <c r="AC42" s="22" t="str">
        <f>IF(AND(OR('Choix pédagogiques'!$C$3=1,'Choix pédagogiques'!$C$3=2),$BN42=1),H42,IF(AND('Choix pédagogiques'!$C$3=3,$BO42=1),H42,""))</f>
        <v/>
      </c>
      <c r="AD42" s="22" t="str">
        <f>IF(AND(OR('Choix pédagogiques'!$C$3=1,'Choix pédagogiques'!$C$3=2),$BN42=1),I42,IF(AND('Choix pédagogiques'!$C$3=3,$BO42=1),I42,""))</f>
        <v/>
      </c>
      <c r="AE42" s="22" t="str">
        <f t="shared" si="96"/>
        <v/>
      </c>
      <c r="AF42" s="21" t="str">
        <f t="shared" si="97"/>
        <v>Apprenant 30</v>
      </c>
      <c r="AG42" s="22" t="str">
        <f t="shared" si="71"/>
        <v/>
      </c>
      <c r="AH42" s="22" t="str">
        <f t="shared" si="72"/>
        <v/>
      </c>
      <c r="AI42" s="22" t="str">
        <f t="shared" si="73"/>
        <v/>
      </c>
      <c r="AJ42" s="22" t="str">
        <f t="shared" si="98"/>
        <v/>
      </c>
      <c r="AK42" s="21" t="str">
        <f t="shared" si="99"/>
        <v>Apprenant 30 ou 30'</v>
      </c>
      <c r="AL42" s="22" t="str">
        <f t="shared" si="74"/>
        <v/>
      </c>
      <c r="AM42" s="22" t="str">
        <f t="shared" si="75"/>
        <v/>
      </c>
      <c r="AN42" s="22" t="str">
        <f t="shared" si="76"/>
        <v/>
      </c>
      <c r="AO42" s="22" t="str">
        <f t="shared" si="100"/>
        <v/>
      </c>
      <c r="AQ42" s="21" t="str">
        <f t="shared" si="101"/>
        <v>Apprenant 30</v>
      </c>
      <c r="AR42" s="49" t="str">
        <f>IF(AND('Choix pédagogiques'!$C$4&lt;&gt;"?",'Choix pédagogiques'!$C$5&lt;&gt;"?",W42&lt;&gt;""),(W42-'Choix pédagogiques'!$C$4)/('Choix pédagogiques'!$C$5-'Choix pédagogiques'!$C$4),"")</f>
        <v/>
      </c>
      <c r="AS42" s="49" t="str">
        <f>IF(AND('Choix pédagogiques'!$C$4&lt;&gt;"?",'Choix pédagogiques'!$C$5&lt;&gt;"?",X42&lt;&gt;""),(X42-'Choix pédagogiques'!$C$4)/('Choix pédagogiques'!$C$5-'Choix pédagogiques'!$C$4),"")</f>
        <v/>
      </c>
      <c r="AT42" s="49" t="str">
        <f>IF(AND('Choix pédagogiques'!$C$4&lt;&gt;"?",'Choix pédagogiques'!$C$5&lt;&gt;"?",Y42&lt;&gt;""),(Y42-'Choix pédagogiques'!$C$4)/('Choix pédagogiques'!$C$5-'Choix pédagogiques'!$C$4),"")</f>
        <v/>
      </c>
      <c r="AU42" s="22" t="str">
        <f t="shared" si="102"/>
        <v/>
      </c>
      <c r="AV42" s="21" t="str">
        <f t="shared" si="103"/>
        <v>Apprenant 30 ou 30'</v>
      </c>
      <c r="AW42" s="49" t="str">
        <f>IF(AND('Choix pédagogiques'!$C$4&lt;&gt;"?",'Choix pédagogiques'!$C$5&lt;&gt;"?",AB42&lt;&gt;""),(AB42-'Choix pédagogiques'!$C$4)/('Choix pédagogiques'!$C$5-'Choix pédagogiques'!$C$4),"")</f>
        <v/>
      </c>
      <c r="AX42" s="49" t="str">
        <f>IF(AND('Choix pédagogiques'!$C$4&lt;&gt;"?",'Choix pédagogiques'!$C$5&lt;&gt;"?",AC42&lt;&gt;""),(AC42-'Choix pédagogiques'!$C$4)/('Choix pédagogiques'!$C$5-'Choix pédagogiques'!$C$4),"")</f>
        <v/>
      </c>
      <c r="AY42" s="49" t="str">
        <f>IF(AND('Choix pédagogiques'!$C$4&lt;&gt;"?",'Choix pédagogiques'!$C$5&lt;&gt;"?",AD42&lt;&gt;""),(AD42-'Choix pédagogiques'!$C$4)/('Choix pédagogiques'!$C$5-'Choix pédagogiques'!$C$4),"")</f>
        <v/>
      </c>
      <c r="AZ42" s="22" t="str">
        <f t="shared" si="104"/>
        <v/>
      </c>
      <c r="BA42" s="21" t="str">
        <f t="shared" si="105"/>
        <v>Apprenant 30</v>
      </c>
      <c r="BB42" s="49" t="str">
        <f t="shared" si="77"/>
        <v/>
      </c>
      <c r="BC42" s="49" t="str">
        <f t="shared" si="78"/>
        <v/>
      </c>
      <c r="BD42" s="49" t="str">
        <f t="shared" si="79"/>
        <v/>
      </c>
      <c r="BE42" s="22" t="str">
        <f t="shared" si="106"/>
        <v/>
      </c>
      <c r="BF42" s="21" t="str">
        <f t="shared" si="107"/>
        <v>Apprenant 30 ou 30'</v>
      </c>
      <c r="BG42" s="49" t="str">
        <f t="shared" si="80"/>
        <v/>
      </c>
      <c r="BH42" s="49" t="str">
        <f t="shared" si="81"/>
        <v/>
      </c>
      <c r="BI42" s="49" t="str">
        <f t="shared" si="82"/>
        <v/>
      </c>
      <c r="BJ42" s="22" t="str">
        <f t="shared" si="108"/>
        <v/>
      </c>
      <c r="BL42" s="21"/>
      <c r="BM42" s="21" t="str">
        <f>IF(OR(COUNT(B42:D1041)=0,AND('Choix pédagogiques'!$C$3&lt;&gt;1,'Choix pédagogiques'!$C$3&lt;&gt;2)),"",IF(AND(OR('Choix pédagogiques'!$C$3=1,'Choix pédagogiques'!$C$3=2),$B42&lt;&gt;"",$C42&lt;&gt;"",$D42&lt;&gt;""),1,0))</f>
        <v/>
      </c>
      <c r="BN42" s="21" t="str">
        <f>IF(OR(COUNT(G42:I1041)=0,AND('Choix pédagogiques'!$C$3&lt;&gt;1,'Choix pédagogiques'!$C$3&lt;&gt;2)),"",IF(AND(OR('Choix pédagogiques'!$C$3=1,'Choix pédagogiques'!$C$3=2),AND($G42&lt;&gt;"",$H42&lt;&gt;"",$I42&lt;&gt;"")),1,0))</f>
        <v/>
      </c>
      <c r="BO42" s="21" t="str">
        <f>IF(OR(COUNT(B42:D1041)=0,COUNT(G42:I1041)=0,'Choix pédagogiques'!C$3&lt;&gt;3),"",IF(AND('Choix pédagogiques'!$C$3=3,$B42&lt;&gt;"",$C42&lt;&gt;"",$D42&lt;&gt;"",$G42&lt;&gt;"",$H42&lt;&gt;"",$I42&lt;&gt;""),1,0))</f>
        <v/>
      </c>
      <c r="BR42" s="21">
        <v>683</v>
      </c>
      <c r="BS42" s="21">
        <v>1971</v>
      </c>
      <c r="BT42"/>
    </row>
    <row r="43" spans="1:72" s="23" customFormat="1" ht="18" customHeight="1" x14ac:dyDescent="0.3">
      <c r="A43" s="35" t="s">
        <v>33</v>
      </c>
      <c r="B43" s="36"/>
      <c r="C43" s="36"/>
      <c r="D43" s="36"/>
      <c r="E43" s="37"/>
      <c r="F43" s="35" t="s">
        <v>1041</v>
      </c>
      <c r="G43" s="36"/>
      <c r="H43" s="36"/>
      <c r="I43" s="36"/>
      <c r="J43" s="37"/>
      <c r="K43" s="21" t="str">
        <f t="shared" si="83"/>
        <v>Apprenant 31</v>
      </c>
      <c r="L43" s="22" t="str">
        <f t="shared" si="84"/>
        <v/>
      </c>
      <c r="M43" s="22" t="str">
        <f t="shared" si="85"/>
        <v/>
      </c>
      <c r="N43" s="22" t="str">
        <f t="shared" si="86"/>
        <v/>
      </c>
      <c r="O43" s="22" t="str">
        <f t="shared" si="87"/>
        <v/>
      </c>
      <c r="P43" s="21" t="str">
        <f t="shared" si="88"/>
        <v>Apprenant 31 ou 31'</v>
      </c>
      <c r="Q43" s="22" t="str">
        <f t="shared" si="89"/>
        <v/>
      </c>
      <c r="R43" s="22" t="str">
        <f t="shared" si="90"/>
        <v/>
      </c>
      <c r="S43" s="22" t="str">
        <f t="shared" si="91"/>
        <v/>
      </c>
      <c r="T43" s="22" t="str">
        <f t="shared" si="92"/>
        <v/>
      </c>
      <c r="V43" s="21" t="str">
        <f t="shared" si="93"/>
        <v>Apprenant 31</v>
      </c>
      <c r="W43" s="22" t="str">
        <f>IF(AND(OR('Choix pédagogiques'!$C$3=1,'Choix pédagogiques'!$C$3=2),$BM43=1),B43,IF(AND('Choix pédagogiques'!$C$3=3,$BO43=1),B43,""))</f>
        <v/>
      </c>
      <c r="X43" s="22" t="str">
        <f>IF(AND(OR('Choix pédagogiques'!$C$3=1,'Choix pédagogiques'!$C$3=2),$BM43=1),C43,IF(AND('Choix pédagogiques'!$C$3=3,$BO43=1),C43,""))</f>
        <v/>
      </c>
      <c r="Y43" s="22" t="str">
        <f>IF(AND(OR('Choix pédagogiques'!$C$3=1,'Choix pédagogiques'!$C$3=2),$BM43=1),D43,IF(AND('Choix pédagogiques'!$C$3=3,$BO43=1),D43,""))</f>
        <v/>
      </c>
      <c r="Z43" s="22" t="str">
        <f t="shared" si="94"/>
        <v/>
      </c>
      <c r="AA43" s="21" t="str">
        <f t="shared" si="95"/>
        <v>Apprenant 31 ou 31'</v>
      </c>
      <c r="AB43" s="22" t="str">
        <f>IF(AND(OR('Choix pédagogiques'!$C$3=1,'Choix pédagogiques'!$C$3=2),$BN43=1),G43,IF(AND('Choix pédagogiques'!$C$3=3,$BO43=1),G43,""))</f>
        <v/>
      </c>
      <c r="AC43" s="22" t="str">
        <f>IF(AND(OR('Choix pédagogiques'!$C$3=1,'Choix pédagogiques'!$C$3=2),$BN43=1),H43,IF(AND('Choix pédagogiques'!$C$3=3,$BO43=1),H43,""))</f>
        <v/>
      </c>
      <c r="AD43" s="22" t="str">
        <f>IF(AND(OR('Choix pédagogiques'!$C$3=1,'Choix pédagogiques'!$C$3=2),$BN43=1),I43,IF(AND('Choix pédagogiques'!$C$3=3,$BO43=1),I43,""))</f>
        <v/>
      </c>
      <c r="AE43" s="22" t="str">
        <f t="shared" si="96"/>
        <v/>
      </c>
      <c r="AF43" s="21" t="str">
        <f t="shared" si="97"/>
        <v>Apprenant 31</v>
      </c>
      <c r="AG43" s="22" t="str">
        <f t="shared" si="71"/>
        <v/>
      </c>
      <c r="AH43" s="22" t="str">
        <f t="shared" si="72"/>
        <v/>
      </c>
      <c r="AI43" s="22" t="str">
        <f t="shared" si="73"/>
        <v/>
      </c>
      <c r="AJ43" s="22" t="str">
        <f t="shared" si="98"/>
        <v/>
      </c>
      <c r="AK43" s="21" t="str">
        <f t="shared" si="99"/>
        <v>Apprenant 31 ou 31'</v>
      </c>
      <c r="AL43" s="22" t="str">
        <f t="shared" si="74"/>
        <v/>
      </c>
      <c r="AM43" s="22" t="str">
        <f t="shared" si="75"/>
        <v/>
      </c>
      <c r="AN43" s="22" t="str">
        <f t="shared" si="76"/>
        <v/>
      </c>
      <c r="AO43" s="22" t="str">
        <f t="shared" si="100"/>
        <v/>
      </c>
      <c r="AQ43" s="21" t="str">
        <f t="shared" si="101"/>
        <v>Apprenant 31</v>
      </c>
      <c r="AR43" s="49" t="str">
        <f>IF(AND('Choix pédagogiques'!$C$4&lt;&gt;"?",'Choix pédagogiques'!$C$5&lt;&gt;"?",W43&lt;&gt;""),(W43-'Choix pédagogiques'!$C$4)/('Choix pédagogiques'!$C$5-'Choix pédagogiques'!$C$4),"")</f>
        <v/>
      </c>
      <c r="AS43" s="49" t="str">
        <f>IF(AND('Choix pédagogiques'!$C$4&lt;&gt;"?",'Choix pédagogiques'!$C$5&lt;&gt;"?",X43&lt;&gt;""),(X43-'Choix pédagogiques'!$C$4)/('Choix pédagogiques'!$C$5-'Choix pédagogiques'!$C$4),"")</f>
        <v/>
      </c>
      <c r="AT43" s="49" t="str">
        <f>IF(AND('Choix pédagogiques'!$C$4&lt;&gt;"?",'Choix pédagogiques'!$C$5&lt;&gt;"?",Y43&lt;&gt;""),(Y43-'Choix pédagogiques'!$C$4)/('Choix pédagogiques'!$C$5-'Choix pédagogiques'!$C$4),"")</f>
        <v/>
      </c>
      <c r="AU43" s="22" t="str">
        <f t="shared" si="102"/>
        <v/>
      </c>
      <c r="AV43" s="21" t="str">
        <f t="shared" si="103"/>
        <v>Apprenant 31 ou 31'</v>
      </c>
      <c r="AW43" s="49" t="str">
        <f>IF(AND('Choix pédagogiques'!$C$4&lt;&gt;"?",'Choix pédagogiques'!$C$5&lt;&gt;"?",AB43&lt;&gt;""),(AB43-'Choix pédagogiques'!$C$4)/('Choix pédagogiques'!$C$5-'Choix pédagogiques'!$C$4),"")</f>
        <v/>
      </c>
      <c r="AX43" s="49" t="str">
        <f>IF(AND('Choix pédagogiques'!$C$4&lt;&gt;"?",'Choix pédagogiques'!$C$5&lt;&gt;"?",AC43&lt;&gt;""),(AC43-'Choix pédagogiques'!$C$4)/('Choix pédagogiques'!$C$5-'Choix pédagogiques'!$C$4),"")</f>
        <v/>
      </c>
      <c r="AY43" s="49" t="str">
        <f>IF(AND('Choix pédagogiques'!$C$4&lt;&gt;"?",'Choix pédagogiques'!$C$5&lt;&gt;"?",AD43&lt;&gt;""),(AD43-'Choix pédagogiques'!$C$4)/('Choix pédagogiques'!$C$5-'Choix pédagogiques'!$C$4),"")</f>
        <v/>
      </c>
      <c r="AZ43" s="22" t="str">
        <f t="shared" si="104"/>
        <v/>
      </c>
      <c r="BA43" s="21" t="str">
        <f t="shared" si="105"/>
        <v>Apprenant 31</v>
      </c>
      <c r="BB43" s="49" t="str">
        <f t="shared" si="77"/>
        <v/>
      </c>
      <c r="BC43" s="49" t="str">
        <f t="shared" si="78"/>
        <v/>
      </c>
      <c r="BD43" s="49" t="str">
        <f t="shared" si="79"/>
        <v/>
      </c>
      <c r="BE43" s="22" t="str">
        <f t="shared" si="106"/>
        <v/>
      </c>
      <c r="BF43" s="21" t="str">
        <f t="shared" si="107"/>
        <v>Apprenant 31 ou 31'</v>
      </c>
      <c r="BG43" s="49" t="str">
        <f t="shared" si="80"/>
        <v/>
      </c>
      <c r="BH43" s="49" t="str">
        <f t="shared" si="81"/>
        <v/>
      </c>
      <c r="BI43" s="49" t="str">
        <f t="shared" si="82"/>
        <v/>
      </c>
      <c r="BJ43" s="22" t="str">
        <f t="shared" si="108"/>
        <v/>
      </c>
      <c r="BL43" s="21"/>
      <c r="BM43" s="21" t="str">
        <f>IF(OR(COUNT(B43:D1042)=0,AND('Choix pédagogiques'!$C$3&lt;&gt;1,'Choix pédagogiques'!$C$3&lt;&gt;2)),"",IF(AND(OR('Choix pédagogiques'!$C$3=1,'Choix pédagogiques'!$C$3=2),$B43&lt;&gt;"",$C43&lt;&gt;"",$D43&lt;&gt;""),1,0))</f>
        <v/>
      </c>
      <c r="BN43" s="21" t="str">
        <f>IF(OR(COUNT(G43:I1042)=0,AND('Choix pédagogiques'!$C$3&lt;&gt;1,'Choix pédagogiques'!$C$3&lt;&gt;2)),"",IF(AND(OR('Choix pédagogiques'!$C$3=1,'Choix pédagogiques'!$C$3=2),AND($G43&lt;&gt;"",$H43&lt;&gt;"",$I43&lt;&gt;"")),1,0))</f>
        <v/>
      </c>
      <c r="BO43" s="21" t="str">
        <f>IF(OR(COUNT(B43:D1042)=0,COUNT(G43:I1042)=0,'Choix pédagogiques'!C$3&lt;&gt;3),"",IF(AND('Choix pédagogiques'!$C$3=3,$B43&lt;&gt;"",$C43&lt;&gt;"",$D43&lt;&gt;"",$G43&lt;&gt;"",$H43&lt;&gt;"",$I43&lt;&gt;""),1,0))</f>
        <v/>
      </c>
      <c r="BR43" s="21">
        <v>68</v>
      </c>
      <c r="BS43" s="21">
        <v>1102</v>
      </c>
      <c r="BT43"/>
    </row>
    <row r="44" spans="1:72" s="23" customFormat="1" ht="18" customHeight="1" x14ac:dyDescent="0.3">
      <c r="A44" s="35" t="s">
        <v>34</v>
      </c>
      <c r="B44" s="36"/>
      <c r="C44" s="36"/>
      <c r="D44" s="36"/>
      <c r="E44" s="37"/>
      <c r="F44" s="35" t="s">
        <v>1042</v>
      </c>
      <c r="G44" s="36"/>
      <c r="H44" s="36"/>
      <c r="I44" s="36"/>
      <c r="J44" s="37"/>
      <c r="K44" s="21" t="str">
        <f t="shared" si="83"/>
        <v>Apprenant 32</v>
      </c>
      <c r="L44" s="22" t="str">
        <f t="shared" si="84"/>
        <v/>
      </c>
      <c r="M44" s="22" t="str">
        <f t="shared" si="85"/>
        <v/>
      </c>
      <c r="N44" s="22" t="str">
        <f t="shared" si="86"/>
        <v/>
      </c>
      <c r="O44" s="22" t="str">
        <f t="shared" si="87"/>
        <v/>
      </c>
      <c r="P44" s="21" t="str">
        <f t="shared" si="88"/>
        <v>Apprenant 32 ou 32'</v>
      </c>
      <c r="Q44" s="22" t="str">
        <f t="shared" si="89"/>
        <v/>
      </c>
      <c r="R44" s="22" t="str">
        <f t="shared" si="90"/>
        <v/>
      </c>
      <c r="S44" s="22" t="str">
        <f t="shared" si="91"/>
        <v/>
      </c>
      <c r="T44" s="22" t="str">
        <f t="shared" si="92"/>
        <v/>
      </c>
      <c r="V44" s="21" t="str">
        <f t="shared" si="93"/>
        <v>Apprenant 32</v>
      </c>
      <c r="W44" s="22" t="str">
        <f>IF(AND(OR('Choix pédagogiques'!$C$3=1,'Choix pédagogiques'!$C$3=2),$BM44=1),B44,IF(AND('Choix pédagogiques'!$C$3=3,$BO44=1),B44,""))</f>
        <v/>
      </c>
      <c r="X44" s="22" t="str">
        <f>IF(AND(OR('Choix pédagogiques'!$C$3=1,'Choix pédagogiques'!$C$3=2),$BM44=1),C44,IF(AND('Choix pédagogiques'!$C$3=3,$BO44=1),C44,""))</f>
        <v/>
      </c>
      <c r="Y44" s="22" t="str">
        <f>IF(AND(OR('Choix pédagogiques'!$C$3=1,'Choix pédagogiques'!$C$3=2),$BM44=1),D44,IF(AND('Choix pédagogiques'!$C$3=3,$BO44=1),D44,""))</f>
        <v/>
      </c>
      <c r="Z44" s="22" t="str">
        <f t="shared" si="94"/>
        <v/>
      </c>
      <c r="AA44" s="21" t="str">
        <f t="shared" si="95"/>
        <v>Apprenant 32 ou 32'</v>
      </c>
      <c r="AB44" s="22" t="str">
        <f>IF(AND(OR('Choix pédagogiques'!$C$3=1,'Choix pédagogiques'!$C$3=2),$BN44=1),G44,IF(AND('Choix pédagogiques'!$C$3=3,$BO44=1),G44,""))</f>
        <v/>
      </c>
      <c r="AC44" s="22" t="str">
        <f>IF(AND(OR('Choix pédagogiques'!$C$3=1,'Choix pédagogiques'!$C$3=2),$BN44=1),H44,IF(AND('Choix pédagogiques'!$C$3=3,$BO44=1),H44,""))</f>
        <v/>
      </c>
      <c r="AD44" s="22" t="str">
        <f>IF(AND(OR('Choix pédagogiques'!$C$3=1,'Choix pédagogiques'!$C$3=2),$BN44=1),I44,IF(AND('Choix pédagogiques'!$C$3=3,$BO44=1),I44,""))</f>
        <v/>
      </c>
      <c r="AE44" s="22" t="str">
        <f t="shared" si="96"/>
        <v/>
      </c>
      <c r="AF44" s="21" t="str">
        <f t="shared" si="97"/>
        <v>Apprenant 32</v>
      </c>
      <c r="AG44" s="22" t="str">
        <f t="shared" si="71"/>
        <v/>
      </c>
      <c r="AH44" s="22" t="str">
        <f t="shared" si="72"/>
        <v/>
      </c>
      <c r="AI44" s="22" t="str">
        <f t="shared" si="73"/>
        <v/>
      </c>
      <c r="AJ44" s="22" t="str">
        <f t="shared" si="98"/>
        <v/>
      </c>
      <c r="AK44" s="21" t="str">
        <f t="shared" si="99"/>
        <v>Apprenant 32 ou 32'</v>
      </c>
      <c r="AL44" s="22" t="str">
        <f t="shared" si="74"/>
        <v/>
      </c>
      <c r="AM44" s="22" t="str">
        <f t="shared" si="75"/>
        <v/>
      </c>
      <c r="AN44" s="22" t="str">
        <f t="shared" si="76"/>
        <v/>
      </c>
      <c r="AO44" s="22" t="str">
        <f t="shared" si="100"/>
        <v/>
      </c>
      <c r="AQ44" s="21" t="str">
        <f t="shared" si="101"/>
        <v>Apprenant 32</v>
      </c>
      <c r="AR44" s="49" t="str">
        <f>IF(AND('Choix pédagogiques'!$C$4&lt;&gt;"?",'Choix pédagogiques'!$C$5&lt;&gt;"?",W44&lt;&gt;""),(W44-'Choix pédagogiques'!$C$4)/('Choix pédagogiques'!$C$5-'Choix pédagogiques'!$C$4),"")</f>
        <v/>
      </c>
      <c r="AS44" s="49" t="str">
        <f>IF(AND('Choix pédagogiques'!$C$4&lt;&gt;"?",'Choix pédagogiques'!$C$5&lt;&gt;"?",X44&lt;&gt;""),(X44-'Choix pédagogiques'!$C$4)/('Choix pédagogiques'!$C$5-'Choix pédagogiques'!$C$4),"")</f>
        <v/>
      </c>
      <c r="AT44" s="49" t="str">
        <f>IF(AND('Choix pédagogiques'!$C$4&lt;&gt;"?",'Choix pédagogiques'!$C$5&lt;&gt;"?",Y44&lt;&gt;""),(Y44-'Choix pédagogiques'!$C$4)/('Choix pédagogiques'!$C$5-'Choix pédagogiques'!$C$4),"")</f>
        <v/>
      </c>
      <c r="AU44" s="22" t="str">
        <f t="shared" si="102"/>
        <v/>
      </c>
      <c r="AV44" s="21" t="str">
        <f t="shared" si="103"/>
        <v>Apprenant 32 ou 32'</v>
      </c>
      <c r="AW44" s="49" t="str">
        <f>IF(AND('Choix pédagogiques'!$C$4&lt;&gt;"?",'Choix pédagogiques'!$C$5&lt;&gt;"?",AB44&lt;&gt;""),(AB44-'Choix pédagogiques'!$C$4)/('Choix pédagogiques'!$C$5-'Choix pédagogiques'!$C$4),"")</f>
        <v/>
      </c>
      <c r="AX44" s="49" t="str">
        <f>IF(AND('Choix pédagogiques'!$C$4&lt;&gt;"?",'Choix pédagogiques'!$C$5&lt;&gt;"?",AC44&lt;&gt;""),(AC44-'Choix pédagogiques'!$C$4)/('Choix pédagogiques'!$C$5-'Choix pédagogiques'!$C$4),"")</f>
        <v/>
      </c>
      <c r="AY44" s="49" t="str">
        <f>IF(AND('Choix pédagogiques'!$C$4&lt;&gt;"?",'Choix pédagogiques'!$C$5&lt;&gt;"?",AD44&lt;&gt;""),(AD44-'Choix pédagogiques'!$C$4)/('Choix pédagogiques'!$C$5-'Choix pédagogiques'!$C$4),"")</f>
        <v/>
      </c>
      <c r="AZ44" s="22" t="str">
        <f t="shared" si="104"/>
        <v/>
      </c>
      <c r="BA44" s="21" t="str">
        <f t="shared" si="105"/>
        <v>Apprenant 32</v>
      </c>
      <c r="BB44" s="49" t="str">
        <f t="shared" si="77"/>
        <v/>
      </c>
      <c r="BC44" s="49" t="str">
        <f t="shared" si="78"/>
        <v/>
      </c>
      <c r="BD44" s="49" t="str">
        <f t="shared" si="79"/>
        <v/>
      </c>
      <c r="BE44" s="22" t="str">
        <f t="shared" si="106"/>
        <v/>
      </c>
      <c r="BF44" s="21" t="str">
        <f t="shared" si="107"/>
        <v>Apprenant 32 ou 32'</v>
      </c>
      <c r="BG44" s="49" t="str">
        <f t="shared" si="80"/>
        <v/>
      </c>
      <c r="BH44" s="49" t="str">
        <f t="shared" si="81"/>
        <v/>
      </c>
      <c r="BI44" s="49" t="str">
        <f t="shared" si="82"/>
        <v/>
      </c>
      <c r="BJ44" s="22" t="str">
        <f t="shared" si="108"/>
        <v/>
      </c>
      <c r="BL44" s="21"/>
      <c r="BM44" s="21" t="str">
        <f>IF(OR(COUNT(B44:D1043)=0,AND('Choix pédagogiques'!$C$3&lt;&gt;1,'Choix pédagogiques'!$C$3&lt;&gt;2)),"",IF(AND(OR('Choix pédagogiques'!$C$3=1,'Choix pédagogiques'!$C$3=2),$B44&lt;&gt;"",$C44&lt;&gt;"",$D44&lt;&gt;""),1,0))</f>
        <v/>
      </c>
      <c r="BN44" s="21" t="str">
        <f>IF(OR(COUNT(G44:I1043)=0,AND('Choix pédagogiques'!$C$3&lt;&gt;1,'Choix pédagogiques'!$C$3&lt;&gt;2)),"",IF(AND(OR('Choix pédagogiques'!$C$3=1,'Choix pédagogiques'!$C$3=2),AND($G44&lt;&gt;"",$H44&lt;&gt;"",$I44&lt;&gt;"")),1,0))</f>
        <v/>
      </c>
      <c r="BO44" s="21" t="str">
        <f>IF(OR(COUNT(B44:D1043)=0,COUNT(G44:I1043)=0,'Choix pédagogiques'!C$3&lt;&gt;3),"",IF(AND('Choix pédagogiques'!$C$3=3,$B44&lt;&gt;"",$C44&lt;&gt;"",$D44&lt;&gt;"",$G44&lt;&gt;"",$H44&lt;&gt;"",$I44&lt;&gt;""),1,0))</f>
        <v/>
      </c>
      <c r="BR44" s="21">
        <v>148</v>
      </c>
      <c r="BS44" s="21">
        <v>1058</v>
      </c>
      <c r="BT44"/>
    </row>
    <row r="45" spans="1:72" s="23" customFormat="1" ht="18" customHeight="1" x14ac:dyDescent="0.3">
      <c r="A45" s="35" t="s">
        <v>35</v>
      </c>
      <c r="B45" s="36"/>
      <c r="C45" s="36"/>
      <c r="D45" s="36"/>
      <c r="E45" s="37"/>
      <c r="F45" s="35" t="s">
        <v>1043</v>
      </c>
      <c r="G45" s="36"/>
      <c r="H45" s="36"/>
      <c r="I45" s="36"/>
      <c r="J45" s="37"/>
      <c r="K45" s="21" t="str">
        <f t="shared" si="83"/>
        <v>Apprenant 33</v>
      </c>
      <c r="L45" s="22" t="str">
        <f t="shared" si="84"/>
        <v/>
      </c>
      <c r="M45" s="22" t="str">
        <f t="shared" si="85"/>
        <v/>
      </c>
      <c r="N45" s="22" t="str">
        <f t="shared" si="86"/>
        <v/>
      </c>
      <c r="O45" s="22" t="str">
        <f t="shared" si="87"/>
        <v/>
      </c>
      <c r="P45" s="21" t="str">
        <f t="shared" si="88"/>
        <v>Apprenant 33 ou 33'</v>
      </c>
      <c r="Q45" s="22" t="str">
        <f t="shared" si="89"/>
        <v/>
      </c>
      <c r="R45" s="22" t="str">
        <f t="shared" si="90"/>
        <v/>
      </c>
      <c r="S45" s="22" t="str">
        <f t="shared" si="91"/>
        <v/>
      </c>
      <c r="T45" s="22" t="str">
        <f t="shared" si="92"/>
        <v/>
      </c>
      <c r="V45" s="21" t="str">
        <f t="shared" si="93"/>
        <v>Apprenant 33</v>
      </c>
      <c r="W45" s="22" t="str">
        <f>IF(AND(OR('Choix pédagogiques'!$C$3=1,'Choix pédagogiques'!$C$3=2),$BM45=1),B45,IF(AND('Choix pédagogiques'!$C$3=3,$BO45=1),B45,""))</f>
        <v/>
      </c>
      <c r="X45" s="22" t="str">
        <f>IF(AND(OR('Choix pédagogiques'!$C$3=1,'Choix pédagogiques'!$C$3=2),$BM45=1),C45,IF(AND('Choix pédagogiques'!$C$3=3,$BO45=1),C45,""))</f>
        <v/>
      </c>
      <c r="Y45" s="22" t="str">
        <f>IF(AND(OR('Choix pédagogiques'!$C$3=1,'Choix pédagogiques'!$C$3=2),$BM45=1),D45,IF(AND('Choix pédagogiques'!$C$3=3,$BO45=1),D45,""))</f>
        <v/>
      </c>
      <c r="Z45" s="22" t="str">
        <f t="shared" si="94"/>
        <v/>
      </c>
      <c r="AA45" s="21" t="str">
        <f t="shared" si="95"/>
        <v>Apprenant 33 ou 33'</v>
      </c>
      <c r="AB45" s="22" t="str">
        <f>IF(AND(OR('Choix pédagogiques'!$C$3=1,'Choix pédagogiques'!$C$3=2),$BN45=1),G45,IF(AND('Choix pédagogiques'!$C$3=3,$BO45=1),G45,""))</f>
        <v/>
      </c>
      <c r="AC45" s="22" t="str">
        <f>IF(AND(OR('Choix pédagogiques'!$C$3=1,'Choix pédagogiques'!$C$3=2),$BN45=1),H45,IF(AND('Choix pédagogiques'!$C$3=3,$BO45=1),H45,""))</f>
        <v/>
      </c>
      <c r="AD45" s="22" t="str">
        <f>IF(AND(OR('Choix pédagogiques'!$C$3=1,'Choix pédagogiques'!$C$3=2),$BN45=1),I45,IF(AND('Choix pédagogiques'!$C$3=3,$BO45=1),I45,""))</f>
        <v/>
      </c>
      <c r="AE45" s="22" t="str">
        <f t="shared" si="96"/>
        <v/>
      </c>
      <c r="AF45" s="21" t="str">
        <f t="shared" si="97"/>
        <v>Apprenant 33</v>
      </c>
      <c r="AG45" s="22" t="str">
        <f t="shared" si="71"/>
        <v/>
      </c>
      <c r="AH45" s="22" t="str">
        <f t="shared" si="72"/>
        <v/>
      </c>
      <c r="AI45" s="22" t="str">
        <f t="shared" si="73"/>
        <v/>
      </c>
      <c r="AJ45" s="22" t="str">
        <f t="shared" si="98"/>
        <v/>
      </c>
      <c r="AK45" s="21" t="str">
        <f t="shared" si="99"/>
        <v>Apprenant 33 ou 33'</v>
      </c>
      <c r="AL45" s="22" t="str">
        <f t="shared" si="74"/>
        <v/>
      </c>
      <c r="AM45" s="22" t="str">
        <f t="shared" si="75"/>
        <v/>
      </c>
      <c r="AN45" s="22" t="str">
        <f t="shared" si="76"/>
        <v/>
      </c>
      <c r="AO45" s="22" t="str">
        <f t="shared" si="100"/>
        <v/>
      </c>
      <c r="AQ45" s="21" t="str">
        <f t="shared" si="101"/>
        <v>Apprenant 33</v>
      </c>
      <c r="AR45" s="49" t="str">
        <f>IF(AND('Choix pédagogiques'!$C$4&lt;&gt;"?",'Choix pédagogiques'!$C$5&lt;&gt;"?",W45&lt;&gt;""),(W45-'Choix pédagogiques'!$C$4)/('Choix pédagogiques'!$C$5-'Choix pédagogiques'!$C$4),"")</f>
        <v/>
      </c>
      <c r="AS45" s="49" t="str">
        <f>IF(AND('Choix pédagogiques'!$C$4&lt;&gt;"?",'Choix pédagogiques'!$C$5&lt;&gt;"?",X45&lt;&gt;""),(X45-'Choix pédagogiques'!$C$4)/('Choix pédagogiques'!$C$5-'Choix pédagogiques'!$C$4),"")</f>
        <v/>
      </c>
      <c r="AT45" s="49" t="str">
        <f>IF(AND('Choix pédagogiques'!$C$4&lt;&gt;"?",'Choix pédagogiques'!$C$5&lt;&gt;"?",Y45&lt;&gt;""),(Y45-'Choix pédagogiques'!$C$4)/('Choix pédagogiques'!$C$5-'Choix pédagogiques'!$C$4),"")</f>
        <v/>
      </c>
      <c r="AU45" s="22" t="str">
        <f t="shared" si="102"/>
        <v/>
      </c>
      <c r="AV45" s="21" t="str">
        <f t="shared" si="103"/>
        <v>Apprenant 33 ou 33'</v>
      </c>
      <c r="AW45" s="49" t="str">
        <f>IF(AND('Choix pédagogiques'!$C$4&lt;&gt;"?",'Choix pédagogiques'!$C$5&lt;&gt;"?",AB45&lt;&gt;""),(AB45-'Choix pédagogiques'!$C$4)/('Choix pédagogiques'!$C$5-'Choix pédagogiques'!$C$4),"")</f>
        <v/>
      </c>
      <c r="AX45" s="49" t="str">
        <f>IF(AND('Choix pédagogiques'!$C$4&lt;&gt;"?",'Choix pédagogiques'!$C$5&lt;&gt;"?",AC45&lt;&gt;""),(AC45-'Choix pédagogiques'!$C$4)/('Choix pédagogiques'!$C$5-'Choix pédagogiques'!$C$4),"")</f>
        <v/>
      </c>
      <c r="AY45" s="49" t="str">
        <f>IF(AND('Choix pédagogiques'!$C$4&lt;&gt;"?",'Choix pédagogiques'!$C$5&lt;&gt;"?",AD45&lt;&gt;""),(AD45-'Choix pédagogiques'!$C$4)/('Choix pédagogiques'!$C$5-'Choix pédagogiques'!$C$4),"")</f>
        <v/>
      </c>
      <c r="AZ45" s="22" t="str">
        <f t="shared" si="104"/>
        <v/>
      </c>
      <c r="BA45" s="21" t="str">
        <f t="shared" si="105"/>
        <v>Apprenant 33</v>
      </c>
      <c r="BB45" s="49" t="str">
        <f t="shared" si="77"/>
        <v/>
      </c>
      <c r="BC45" s="49" t="str">
        <f t="shared" si="78"/>
        <v/>
      </c>
      <c r="BD45" s="49" t="str">
        <f t="shared" si="79"/>
        <v/>
      </c>
      <c r="BE45" s="22" t="str">
        <f t="shared" si="106"/>
        <v/>
      </c>
      <c r="BF45" s="21" t="str">
        <f t="shared" si="107"/>
        <v>Apprenant 33 ou 33'</v>
      </c>
      <c r="BG45" s="49" t="str">
        <f t="shared" si="80"/>
        <v/>
      </c>
      <c r="BH45" s="49" t="str">
        <f t="shared" si="81"/>
        <v/>
      </c>
      <c r="BI45" s="49" t="str">
        <f t="shared" si="82"/>
        <v/>
      </c>
      <c r="BJ45" s="22" t="str">
        <f t="shared" si="108"/>
        <v/>
      </c>
      <c r="BL45" s="21"/>
      <c r="BM45" s="21" t="str">
        <f>IF(OR(COUNT(B45:D1044)=0,AND('Choix pédagogiques'!$C$3&lt;&gt;1,'Choix pédagogiques'!$C$3&lt;&gt;2)),"",IF(AND(OR('Choix pédagogiques'!$C$3=1,'Choix pédagogiques'!$C$3=2),$B45&lt;&gt;"",$C45&lt;&gt;"",$D45&lt;&gt;""),1,0))</f>
        <v/>
      </c>
      <c r="BN45" s="21" t="str">
        <f>IF(OR(COUNT(G45:I1044)=0,AND('Choix pédagogiques'!$C$3&lt;&gt;1,'Choix pédagogiques'!$C$3&lt;&gt;2)),"",IF(AND(OR('Choix pédagogiques'!$C$3=1,'Choix pédagogiques'!$C$3=2),AND($G45&lt;&gt;"",$H45&lt;&gt;"",$I45&lt;&gt;"")),1,0))</f>
        <v/>
      </c>
      <c r="BO45" s="21" t="str">
        <f>IF(OR(COUNT(B45:D1044)=0,COUNT(G45:I1044)=0,'Choix pédagogiques'!C$3&lt;&gt;3),"",IF(AND('Choix pédagogiques'!$C$3=3,$B45&lt;&gt;"",$C45&lt;&gt;"",$D45&lt;&gt;"",$G45&lt;&gt;"",$H45&lt;&gt;"",$I45&lt;&gt;""),1,0))</f>
        <v/>
      </c>
      <c r="BR45" s="21">
        <v>438</v>
      </c>
      <c r="BS45" s="21">
        <v>1188</v>
      </c>
      <c r="BT45"/>
    </row>
    <row r="46" spans="1:72" s="23" customFormat="1" ht="18" customHeight="1" x14ac:dyDescent="0.3">
      <c r="A46" s="35" t="s">
        <v>36</v>
      </c>
      <c r="B46" s="36"/>
      <c r="C46" s="36"/>
      <c r="D46" s="36"/>
      <c r="E46" s="37"/>
      <c r="F46" s="35" t="s">
        <v>1044</v>
      </c>
      <c r="G46" s="36"/>
      <c r="H46" s="36"/>
      <c r="I46" s="36"/>
      <c r="J46" s="37"/>
      <c r="K46" s="21" t="str">
        <f t="shared" si="83"/>
        <v>Apprenant 34</v>
      </c>
      <c r="L46" s="22" t="str">
        <f t="shared" si="84"/>
        <v/>
      </c>
      <c r="M46" s="22" t="str">
        <f t="shared" si="85"/>
        <v/>
      </c>
      <c r="N46" s="22" t="str">
        <f t="shared" si="86"/>
        <v/>
      </c>
      <c r="O46" s="22" t="str">
        <f t="shared" si="87"/>
        <v/>
      </c>
      <c r="P46" s="21" t="str">
        <f t="shared" si="88"/>
        <v>Apprenant 34 ou 34'</v>
      </c>
      <c r="Q46" s="22" t="str">
        <f t="shared" si="89"/>
        <v/>
      </c>
      <c r="R46" s="22" t="str">
        <f t="shared" si="90"/>
        <v/>
      </c>
      <c r="S46" s="22" t="str">
        <f t="shared" si="91"/>
        <v/>
      </c>
      <c r="T46" s="22" t="str">
        <f t="shared" si="92"/>
        <v/>
      </c>
      <c r="V46" s="21" t="str">
        <f t="shared" si="93"/>
        <v>Apprenant 34</v>
      </c>
      <c r="W46" s="22" t="str">
        <f>IF(AND(OR('Choix pédagogiques'!$C$3=1,'Choix pédagogiques'!$C$3=2),$BM46=1),B46,IF(AND('Choix pédagogiques'!$C$3=3,$BO46=1),B46,""))</f>
        <v/>
      </c>
      <c r="X46" s="22" t="str">
        <f>IF(AND(OR('Choix pédagogiques'!$C$3=1,'Choix pédagogiques'!$C$3=2),$BM46=1),C46,IF(AND('Choix pédagogiques'!$C$3=3,$BO46=1),C46,""))</f>
        <v/>
      </c>
      <c r="Y46" s="22" t="str">
        <f>IF(AND(OR('Choix pédagogiques'!$C$3=1,'Choix pédagogiques'!$C$3=2),$BM46=1),D46,IF(AND('Choix pédagogiques'!$C$3=3,$BO46=1),D46,""))</f>
        <v/>
      </c>
      <c r="Z46" s="22" t="str">
        <f t="shared" si="94"/>
        <v/>
      </c>
      <c r="AA46" s="21" t="str">
        <f t="shared" si="95"/>
        <v>Apprenant 34 ou 34'</v>
      </c>
      <c r="AB46" s="22" t="str">
        <f>IF(AND(OR('Choix pédagogiques'!$C$3=1,'Choix pédagogiques'!$C$3=2),$BN46=1),G46,IF(AND('Choix pédagogiques'!$C$3=3,$BO46=1),G46,""))</f>
        <v/>
      </c>
      <c r="AC46" s="22" t="str">
        <f>IF(AND(OR('Choix pédagogiques'!$C$3=1,'Choix pédagogiques'!$C$3=2),$BN46=1),H46,IF(AND('Choix pédagogiques'!$C$3=3,$BO46=1),H46,""))</f>
        <v/>
      </c>
      <c r="AD46" s="22" t="str">
        <f>IF(AND(OR('Choix pédagogiques'!$C$3=1,'Choix pédagogiques'!$C$3=2),$BN46=1),I46,IF(AND('Choix pédagogiques'!$C$3=3,$BO46=1),I46,""))</f>
        <v/>
      </c>
      <c r="AE46" s="22" t="str">
        <f t="shared" si="96"/>
        <v/>
      </c>
      <c r="AF46" s="21" t="str">
        <f t="shared" si="97"/>
        <v>Apprenant 34</v>
      </c>
      <c r="AG46" s="22" t="str">
        <f t="shared" si="71"/>
        <v/>
      </c>
      <c r="AH46" s="22" t="str">
        <f t="shared" si="72"/>
        <v/>
      </c>
      <c r="AI46" s="22" t="str">
        <f t="shared" si="73"/>
        <v/>
      </c>
      <c r="AJ46" s="22" t="str">
        <f t="shared" si="98"/>
        <v/>
      </c>
      <c r="AK46" s="21" t="str">
        <f t="shared" si="99"/>
        <v>Apprenant 34 ou 34'</v>
      </c>
      <c r="AL46" s="22" t="str">
        <f t="shared" si="74"/>
        <v/>
      </c>
      <c r="AM46" s="22" t="str">
        <f t="shared" si="75"/>
        <v/>
      </c>
      <c r="AN46" s="22" t="str">
        <f t="shared" si="76"/>
        <v/>
      </c>
      <c r="AO46" s="22" t="str">
        <f t="shared" si="100"/>
        <v/>
      </c>
      <c r="AQ46" s="21" t="str">
        <f t="shared" si="101"/>
        <v>Apprenant 34</v>
      </c>
      <c r="AR46" s="49" t="str">
        <f>IF(AND('Choix pédagogiques'!$C$4&lt;&gt;"?",'Choix pédagogiques'!$C$5&lt;&gt;"?",W46&lt;&gt;""),(W46-'Choix pédagogiques'!$C$4)/('Choix pédagogiques'!$C$5-'Choix pédagogiques'!$C$4),"")</f>
        <v/>
      </c>
      <c r="AS46" s="49" t="str">
        <f>IF(AND('Choix pédagogiques'!$C$4&lt;&gt;"?",'Choix pédagogiques'!$C$5&lt;&gt;"?",X46&lt;&gt;""),(X46-'Choix pédagogiques'!$C$4)/('Choix pédagogiques'!$C$5-'Choix pédagogiques'!$C$4),"")</f>
        <v/>
      </c>
      <c r="AT46" s="49" t="str">
        <f>IF(AND('Choix pédagogiques'!$C$4&lt;&gt;"?",'Choix pédagogiques'!$C$5&lt;&gt;"?",Y46&lt;&gt;""),(Y46-'Choix pédagogiques'!$C$4)/('Choix pédagogiques'!$C$5-'Choix pédagogiques'!$C$4),"")</f>
        <v/>
      </c>
      <c r="AU46" s="22" t="str">
        <f t="shared" si="102"/>
        <v/>
      </c>
      <c r="AV46" s="21" t="str">
        <f t="shared" si="103"/>
        <v>Apprenant 34 ou 34'</v>
      </c>
      <c r="AW46" s="49" t="str">
        <f>IF(AND('Choix pédagogiques'!$C$4&lt;&gt;"?",'Choix pédagogiques'!$C$5&lt;&gt;"?",AB46&lt;&gt;""),(AB46-'Choix pédagogiques'!$C$4)/('Choix pédagogiques'!$C$5-'Choix pédagogiques'!$C$4),"")</f>
        <v/>
      </c>
      <c r="AX46" s="49" t="str">
        <f>IF(AND('Choix pédagogiques'!$C$4&lt;&gt;"?",'Choix pédagogiques'!$C$5&lt;&gt;"?",AC46&lt;&gt;""),(AC46-'Choix pédagogiques'!$C$4)/('Choix pédagogiques'!$C$5-'Choix pédagogiques'!$C$4),"")</f>
        <v/>
      </c>
      <c r="AY46" s="49" t="str">
        <f>IF(AND('Choix pédagogiques'!$C$4&lt;&gt;"?",'Choix pédagogiques'!$C$5&lt;&gt;"?",AD46&lt;&gt;""),(AD46-'Choix pédagogiques'!$C$4)/('Choix pédagogiques'!$C$5-'Choix pédagogiques'!$C$4),"")</f>
        <v/>
      </c>
      <c r="AZ46" s="22" t="str">
        <f t="shared" si="104"/>
        <v/>
      </c>
      <c r="BA46" s="21" t="str">
        <f t="shared" si="105"/>
        <v>Apprenant 34</v>
      </c>
      <c r="BB46" s="49" t="str">
        <f t="shared" si="77"/>
        <v/>
      </c>
      <c r="BC46" s="49" t="str">
        <f t="shared" si="78"/>
        <v/>
      </c>
      <c r="BD46" s="49" t="str">
        <f t="shared" si="79"/>
        <v/>
      </c>
      <c r="BE46" s="22" t="str">
        <f t="shared" si="106"/>
        <v/>
      </c>
      <c r="BF46" s="21" t="str">
        <f t="shared" si="107"/>
        <v>Apprenant 34 ou 34'</v>
      </c>
      <c r="BG46" s="49" t="str">
        <f t="shared" si="80"/>
        <v/>
      </c>
      <c r="BH46" s="49" t="str">
        <f t="shared" si="81"/>
        <v/>
      </c>
      <c r="BI46" s="49" t="str">
        <f t="shared" si="82"/>
        <v/>
      </c>
      <c r="BJ46" s="22" t="str">
        <f t="shared" si="108"/>
        <v/>
      </c>
      <c r="BL46" s="21"/>
      <c r="BM46" s="21" t="str">
        <f>IF(OR(COUNT(B46:D1045)=0,AND('Choix pédagogiques'!$C$3&lt;&gt;1,'Choix pédagogiques'!$C$3&lt;&gt;2)),"",IF(AND(OR('Choix pédagogiques'!$C$3=1,'Choix pédagogiques'!$C$3=2),$B46&lt;&gt;"",$C46&lt;&gt;"",$D46&lt;&gt;""),1,0))</f>
        <v/>
      </c>
      <c r="BN46" s="21" t="str">
        <f>IF(OR(COUNT(G46:I1045)=0,AND('Choix pédagogiques'!$C$3&lt;&gt;1,'Choix pédagogiques'!$C$3&lt;&gt;2)),"",IF(AND(OR('Choix pédagogiques'!$C$3=1,'Choix pédagogiques'!$C$3=2),AND($G46&lt;&gt;"",$H46&lt;&gt;"",$I46&lt;&gt;"")),1,0))</f>
        <v/>
      </c>
      <c r="BO46" s="21" t="str">
        <f>IF(OR(COUNT(B46:D1045)=0,COUNT(G46:I1045)=0,'Choix pédagogiques'!C$3&lt;&gt;3),"",IF(AND('Choix pédagogiques'!$C$3=3,$B46&lt;&gt;"",$C46&lt;&gt;"",$D46&lt;&gt;"",$G46&lt;&gt;"",$H46&lt;&gt;"",$I46&lt;&gt;""),1,0))</f>
        <v/>
      </c>
      <c r="BR46" s="21">
        <v>169</v>
      </c>
      <c r="BS46" s="21">
        <v>1333</v>
      </c>
      <c r="BT46"/>
    </row>
    <row r="47" spans="1:72" s="23" customFormat="1" ht="18" customHeight="1" x14ac:dyDescent="0.3">
      <c r="A47" s="35" t="s">
        <v>37</v>
      </c>
      <c r="B47" s="36"/>
      <c r="C47" s="36"/>
      <c r="D47" s="36"/>
      <c r="E47" s="37"/>
      <c r="F47" s="35" t="s">
        <v>1045</v>
      </c>
      <c r="G47" s="36"/>
      <c r="H47" s="36"/>
      <c r="I47" s="36"/>
      <c r="J47" s="37"/>
      <c r="K47" s="21" t="str">
        <f t="shared" si="83"/>
        <v>Apprenant 35</v>
      </c>
      <c r="L47" s="22" t="str">
        <f t="shared" si="84"/>
        <v/>
      </c>
      <c r="M47" s="22" t="str">
        <f t="shared" si="85"/>
        <v/>
      </c>
      <c r="N47" s="22" t="str">
        <f t="shared" si="86"/>
        <v/>
      </c>
      <c r="O47" s="22" t="str">
        <f t="shared" si="87"/>
        <v/>
      </c>
      <c r="P47" s="21" t="str">
        <f t="shared" si="88"/>
        <v>Apprenant 35 ou 35'</v>
      </c>
      <c r="Q47" s="22" t="str">
        <f t="shared" si="89"/>
        <v/>
      </c>
      <c r="R47" s="22" t="str">
        <f t="shared" si="90"/>
        <v/>
      </c>
      <c r="S47" s="22" t="str">
        <f t="shared" si="91"/>
        <v/>
      </c>
      <c r="T47" s="22" t="str">
        <f t="shared" si="92"/>
        <v/>
      </c>
      <c r="V47" s="21" t="str">
        <f t="shared" si="93"/>
        <v>Apprenant 35</v>
      </c>
      <c r="W47" s="22" t="str">
        <f>IF(AND(OR('Choix pédagogiques'!$C$3=1,'Choix pédagogiques'!$C$3=2),$BM47=1),B47,IF(AND('Choix pédagogiques'!$C$3=3,$BO47=1),B47,""))</f>
        <v/>
      </c>
      <c r="X47" s="22" t="str">
        <f>IF(AND(OR('Choix pédagogiques'!$C$3=1,'Choix pédagogiques'!$C$3=2),$BM47=1),C47,IF(AND('Choix pédagogiques'!$C$3=3,$BO47=1),C47,""))</f>
        <v/>
      </c>
      <c r="Y47" s="22" t="str">
        <f>IF(AND(OR('Choix pédagogiques'!$C$3=1,'Choix pédagogiques'!$C$3=2),$BM47=1),D47,IF(AND('Choix pédagogiques'!$C$3=3,$BO47=1),D47,""))</f>
        <v/>
      </c>
      <c r="Z47" s="22" t="str">
        <f t="shared" si="94"/>
        <v/>
      </c>
      <c r="AA47" s="21" t="str">
        <f t="shared" si="95"/>
        <v>Apprenant 35 ou 35'</v>
      </c>
      <c r="AB47" s="22" t="str">
        <f>IF(AND(OR('Choix pédagogiques'!$C$3=1,'Choix pédagogiques'!$C$3=2),$BN47=1),G47,IF(AND('Choix pédagogiques'!$C$3=3,$BO47=1),G47,""))</f>
        <v/>
      </c>
      <c r="AC47" s="22" t="str">
        <f>IF(AND(OR('Choix pédagogiques'!$C$3=1,'Choix pédagogiques'!$C$3=2),$BN47=1),H47,IF(AND('Choix pédagogiques'!$C$3=3,$BO47=1),H47,""))</f>
        <v/>
      </c>
      <c r="AD47" s="22" t="str">
        <f>IF(AND(OR('Choix pédagogiques'!$C$3=1,'Choix pédagogiques'!$C$3=2),$BN47=1),I47,IF(AND('Choix pédagogiques'!$C$3=3,$BO47=1),I47,""))</f>
        <v/>
      </c>
      <c r="AE47" s="22" t="str">
        <f t="shared" si="96"/>
        <v/>
      </c>
      <c r="AF47" s="21" t="str">
        <f t="shared" si="97"/>
        <v>Apprenant 35</v>
      </c>
      <c r="AG47" s="22" t="str">
        <f t="shared" si="71"/>
        <v/>
      </c>
      <c r="AH47" s="22" t="str">
        <f t="shared" si="72"/>
        <v/>
      </c>
      <c r="AI47" s="22" t="str">
        <f t="shared" si="73"/>
        <v/>
      </c>
      <c r="AJ47" s="22" t="str">
        <f t="shared" si="98"/>
        <v/>
      </c>
      <c r="AK47" s="21" t="str">
        <f t="shared" si="99"/>
        <v>Apprenant 35 ou 35'</v>
      </c>
      <c r="AL47" s="22" t="str">
        <f t="shared" si="74"/>
        <v/>
      </c>
      <c r="AM47" s="22" t="str">
        <f t="shared" si="75"/>
        <v/>
      </c>
      <c r="AN47" s="22" t="str">
        <f t="shared" si="76"/>
        <v/>
      </c>
      <c r="AO47" s="22" t="str">
        <f t="shared" si="100"/>
        <v/>
      </c>
      <c r="AQ47" s="21" t="str">
        <f t="shared" si="101"/>
        <v>Apprenant 35</v>
      </c>
      <c r="AR47" s="49" t="str">
        <f>IF(AND('Choix pédagogiques'!$C$4&lt;&gt;"?",'Choix pédagogiques'!$C$5&lt;&gt;"?",W47&lt;&gt;""),(W47-'Choix pédagogiques'!$C$4)/('Choix pédagogiques'!$C$5-'Choix pédagogiques'!$C$4),"")</f>
        <v/>
      </c>
      <c r="AS47" s="49" t="str">
        <f>IF(AND('Choix pédagogiques'!$C$4&lt;&gt;"?",'Choix pédagogiques'!$C$5&lt;&gt;"?",X47&lt;&gt;""),(X47-'Choix pédagogiques'!$C$4)/('Choix pédagogiques'!$C$5-'Choix pédagogiques'!$C$4),"")</f>
        <v/>
      </c>
      <c r="AT47" s="49" t="str">
        <f>IF(AND('Choix pédagogiques'!$C$4&lt;&gt;"?",'Choix pédagogiques'!$C$5&lt;&gt;"?",Y47&lt;&gt;""),(Y47-'Choix pédagogiques'!$C$4)/('Choix pédagogiques'!$C$5-'Choix pédagogiques'!$C$4),"")</f>
        <v/>
      </c>
      <c r="AU47" s="22" t="str">
        <f t="shared" si="102"/>
        <v/>
      </c>
      <c r="AV47" s="21" t="str">
        <f t="shared" si="103"/>
        <v>Apprenant 35 ou 35'</v>
      </c>
      <c r="AW47" s="49" t="str">
        <f>IF(AND('Choix pédagogiques'!$C$4&lt;&gt;"?",'Choix pédagogiques'!$C$5&lt;&gt;"?",AB47&lt;&gt;""),(AB47-'Choix pédagogiques'!$C$4)/('Choix pédagogiques'!$C$5-'Choix pédagogiques'!$C$4),"")</f>
        <v/>
      </c>
      <c r="AX47" s="49" t="str">
        <f>IF(AND('Choix pédagogiques'!$C$4&lt;&gt;"?",'Choix pédagogiques'!$C$5&lt;&gt;"?",AC47&lt;&gt;""),(AC47-'Choix pédagogiques'!$C$4)/('Choix pédagogiques'!$C$5-'Choix pédagogiques'!$C$4),"")</f>
        <v/>
      </c>
      <c r="AY47" s="49" t="str">
        <f>IF(AND('Choix pédagogiques'!$C$4&lt;&gt;"?",'Choix pédagogiques'!$C$5&lt;&gt;"?",AD47&lt;&gt;""),(AD47-'Choix pédagogiques'!$C$4)/('Choix pédagogiques'!$C$5-'Choix pédagogiques'!$C$4),"")</f>
        <v/>
      </c>
      <c r="AZ47" s="22" t="str">
        <f t="shared" si="104"/>
        <v/>
      </c>
      <c r="BA47" s="21" t="str">
        <f t="shared" si="105"/>
        <v>Apprenant 35</v>
      </c>
      <c r="BB47" s="49" t="str">
        <f t="shared" si="77"/>
        <v/>
      </c>
      <c r="BC47" s="49" t="str">
        <f t="shared" si="78"/>
        <v/>
      </c>
      <c r="BD47" s="49" t="str">
        <f t="shared" si="79"/>
        <v/>
      </c>
      <c r="BE47" s="22" t="str">
        <f t="shared" si="106"/>
        <v/>
      </c>
      <c r="BF47" s="21" t="str">
        <f t="shared" si="107"/>
        <v>Apprenant 35 ou 35'</v>
      </c>
      <c r="BG47" s="49" t="str">
        <f t="shared" si="80"/>
        <v/>
      </c>
      <c r="BH47" s="49" t="str">
        <f t="shared" si="81"/>
        <v/>
      </c>
      <c r="BI47" s="49" t="str">
        <f t="shared" si="82"/>
        <v/>
      </c>
      <c r="BJ47" s="22" t="str">
        <f t="shared" si="108"/>
        <v/>
      </c>
      <c r="BL47" s="21"/>
      <c r="BM47" s="21" t="str">
        <f>IF(OR(COUNT(B47:D1046)=0,AND('Choix pédagogiques'!$C$3&lt;&gt;1,'Choix pédagogiques'!$C$3&lt;&gt;2)),"",IF(AND(OR('Choix pédagogiques'!$C$3=1,'Choix pédagogiques'!$C$3=2),$B47&lt;&gt;"",$C47&lt;&gt;"",$D47&lt;&gt;""),1,0))</f>
        <v/>
      </c>
      <c r="BN47" s="21" t="str">
        <f>IF(OR(COUNT(G47:I1046)=0,AND('Choix pédagogiques'!$C$3&lt;&gt;1,'Choix pédagogiques'!$C$3&lt;&gt;2)),"",IF(AND(OR('Choix pédagogiques'!$C$3=1,'Choix pédagogiques'!$C$3=2),AND($G47&lt;&gt;"",$H47&lt;&gt;"",$I47&lt;&gt;"")),1,0))</f>
        <v/>
      </c>
      <c r="BO47" s="21" t="str">
        <f>IF(OR(COUNT(B47:D1046)=0,COUNT(G47:I1046)=0,'Choix pédagogiques'!C$3&lt;&gt;3),"",IF(AND('Choix pédagogiques'!$C$3=3,$B47&lt;&gt;"",$C47&lt;&gt;"",$D47&lt;&gt;"",$G47&lt;&gt;"",$H47&lt;&gt;"",$I47&lt;&gt;""),1,0))</f>
        <v/>
      </c>
      <c r="BR47" s="21">
        <v>328</v>
      </c>
      <c r="BS47" s="21">
        <v>1384</v>
      </c>
      <c r="BT47"/>
    </row>
    <row r="48" spans="1:72" s="23" customFormat="1" ht="18" customHeight="1" x14ac:dyDescent="0.3">
      <c r="A48" s="35" t="s">
        <v>38</v>
      </c>
      <c r="B48" s="36"/>
      <c r="C48" s="36"/>
      <c r="D48" s="36"/>
      <c r="E48" s="37"/>
      <c r="F48" s="35" t="s">
        <v>1046</v>
      </c>
      <c r="G48" s="36"/>
      <c r="H48" s="36"/>
      <c r="I48" s="36"/>
      <c r="J48" s="37"/>
      <c r="K48" s="21" t="str">
        <f t="shared" si="83"/>
        <v>Apprenant 36</v>
      </c>
      <c r="L48" s="22" t="str">
        <f t="shared" si="84"/>
        <v/>
      </c>
      <c r="M48" s="22" t="str">
        <f t="shared" si="85"/>
        <v/>
      </c>
      <c r="N48" s="22" t="str">
        <f t="shared" si="86"/>
        <v/>
      </c>
      <c r="O48" s="22" t="str">
        <f t="shared" si="87"/>
        <v/>
      </c>
      <c r="P48" s="21" t="str">
        <f t="shared" si="88"/>
        <v>Apprenant 36 ou 36'</v>
      </c>
      <c r="Q48" s="22" t="str">
        <f t="shared" si="89"/>
        <v/>
      </c>
      <c r="R48" s="22" t="str">
        <f t="shared" si="90"/>
        <v/>
      </c>
      <c r="S48" s="22" t="str">
        <f t="shared" si="91"/>
        <v/>
      </c>
      <c r="T48" s="22" t="str">
        <f t="shared" si="92"/>
        <v/>
      </c>
      <c r="V48" s="21" t="str">
        <f t="shared" si="93"/>
        <v>Apprenant 36</v>
      </c>
      <c r="W48" s="22" t="str">
        <f>IF(AND(OR('Choix pédagogiques'!$C$3=1,'Choix pédagogiques'!$C$3=2),$BM48=1),B48,IF(AND('Choix pédagogiques'!$C$3=3,$BO48=1),B48,""))</f>
        <v/>
      </c>
      <c r="X48" s="22" t="str">
        <f>IF(AND(OR('Choix pédagogiques'!$C$3=1,'Choix pédagogiques'!$C$3=2),$BM48=1),C48,IF(AND('Choix pédagogiques'!$C$3=3,$BO48=1),C48,""))</f>
        <v/>
      </c>
      <c r="Y48" s="22" t="str">
        <f>IF(AND(OR('Choix pédagogiques'!$C$3=1,'Choix pédagogiques'!$C$3=2),$BM48=1),D48,IF(AND('Choix pédagogiques'!$C$3=3,$BO48=1),D48,""))</f>
        <v/>
      </c>
      <c r="Z48" s="22" t="str">
        <f t="shared" si="94"/>
        <v/>
      </c>
      <c r="AA48" s="21" t="str">
        <f t="shared" si="95"/>
        <v>Apprenant 36 ou 36'</v>
      </c>
      <c r="AB48" s="22" t="str">
        <f>IF(AND(OR('Choix pédagogiques'!$C$3=1,'Choix pédagogiques'!$C$3=2),$BN48=1),G48,IF(AND('Choix pédagogiques'!$C$3=3,$BO48=1),G48,""))</f>
        <v/>
      </c>
      <c r="AC48" s="22" t="str">
        <f>IF(AND(OR('Choix pédagogiques'!$C$3=1,'Choix pédagogiques'!$C$3=2),$BN48=1),H48,IF(AND('Choix pédagogiques'!$C$3=3,$BO48=1),H48,""))</f>
        <v/>
      </c>
      <c r="AD48" s="22" t="str">
        <f>IF(AND(OR('Choix pédagogiques'!$C$3=1,'Choix pédagogiques'!$C$3=2),$BN48=1),I48,IF(AND('Choix pédagogiques'!$C$3=3,$BO48=1),I48,""))</f>
        <v/>
      </c>
      <c r="AE48" s="22" t="str">
        <f t="shared" si="96"/>
        <v/>
      </c>
      <c r="AF48" s="21" t="str">
        <f t="shared" si="97"/>
        <v>Apprenant 36</v>
      </c>
      <c r="AG48" s="22" t="str">
        <f t="shared" si="71"/>
        <v/>
      </c>
      <c r="AH48" s="22" t="str">
        <f t="shared" si="72"/>
        <v/>
      </c>
      <c r="AI48" s="22" t="str">
        <f t="shared" si="73"/>
        <v/>
      </c>
      <c r="AJ48" s="22" t="str">
        <f t="shared" si="98"/>
        <v/>
      </c>
      <c r="AK48" s="21" t="str">
        <f t="shared" si="99"/>
        <v>Apprenant 36 ou 36'</v>
      </c>
      <c r="AL48" s="22" t="str">
        <f t="shared" si="74"/>
        <v/>
      </c>
      <c r="AM48" s="22" t="str">
        <f t="shared" si="75"/>
        <v/>
      </c>
      <c r="AN48" s="22" t="str">
        <f t="shared" si="76"/>
        <v/>
      </c>
      <c r="AO48" s="22" t="str">
        <f t="shared" si="100"/>
        <v/>
      </c>
      <c r="AQ48" s="21" t="str">
        <f t="shared" si="101"/>
        <v>Apprenant 36</v>
      </c>
      <c r="AR48" s="49" t="str">
        <f>IF(AND('Choix pédagogiques'!$C$4&lt;&gt;"?",'Choix pédagogiques'!$C$5&lt;&gt;"?",W48&lt;&gt;""),(W48-'Choix pédagogiques'!$C$4)/('Choix pédagogiques'!$C$5-'Choix pédagogiques'!$C$4),"")</f>
        <v/>
      </c>
      <c r="AS48" s="49" t="str">
        <f>IF(AND('Choix pédagogiques'!$C$4&lt;&gt;"?",'Choix pédagogiques'!$C$5&lt;&gt;"?",X48&lt;&gt;""),(X48-'Choix pédagogiques'!$C$4)/('Choix pédagogiques'!$C$5-'Choix pédagogiques'!$C$4),"")</f>
        <v/>
      </c>
      <c r="AT48" s="49" t="str">
        <f>IF(AND('Choix pédagogiques'!$C$4&lt;&gt;"?",'Choix pédagogiques'!$C$5&lt;&gt;"?",Y48&lt;&gt;""),(Y48-'Choix pédagogiques'!$C$4)/('Choix pédagogiques'!$C$5-'Choix pédagogiques'!$C$4),"")</f>
        <v/>
      </c>
      <c r="AU48" s="22" t="str">
        <f t="shared" si="102"/>
        <v/>
      </c>
      <c r="AV48" s="21" t="str">
        <f t="shared" si="103"/>
        <v>Apprenant 36 ou 36'</v>
      </c>
      <c r="AW48" s="49" t="str">
        <f>IF(AND('Choix pédagogiques'!$C$4&lt;&gt;"?",'Choix pédagogiques'!$C$5&lt;&gt;"?",AB48&lt;&gt;""),(AB48-'Choix pédagogiques'!$C$4)/('Choix pédagogiques'!$C$5-'Choix pédagogiques'!$C$4),"")</f>
        <v/>
      </c>
      <c r="AX48" s="49" t="str">
        <f>IF(AND('Choix pédagogiques'!$C$4&lt;&gt;"?",'Choix pédagogiques'!$C$5&lt;&gt;"?",AC48&lt;&gt;""),(AC48-'Choix pédagogiques'!$C$4)/('Choix pédagogiques'!$C$5-'Choix pédagogiques'!$C$4),"")</f>
        <v/>
      </c>
      <c r="AY48" s="49" t="str">
        <f>IF(AND('Choix pédagogiques'!$C$4&lt;&gt;"?",'Choix pédagogiques'!$C$5&lt;&gt;"?",AD48&lt;&gt;""),(AD48-'Choix pédagogiques'!$C$4)/('Choix pédagogiques'!$C$5-'Choix pédagogiques'!$C$4),"")</f>
        <v/>
      </c>
      <c r="AZ48" s="22" t="str">
        <f t="shared" si="104"/>
        <v/>
      </c>
      <c r="BA48" s="21" t="str">
        <f t="shared" si="105"/>
        <v>Apprenant 36</v>
      </c>
      <c r="BB48" s="49" t="str">
        <f t="shared" si="77"/>
        <v/>
      </c>
      <c r="BC48" s="49" t="str">
        <f t="shared" si="78"/>
        <v/>
      </c>
      <c r="BD48" s="49" t="str">
        <f t="shared" si="79"/>
        <v/>
      </c>
      <c r="BE48" s="22" t="str">
        <f t="shared" si="106"/>
        <v/>
      </c>
      <c r="BF48" s="21" t="str">
        <f t="shared" si="107"/>
        <v>Apprenant 36 ou 36'</v>
      </c>
      <c r="BG48" s="49" t="str">
        <f t="shared" si="80"/>
        <v/>
      </c>
      <c r="BH48" s="49" t="str">
        <f t="shared" si="81"/>
        <v/>
      </c>
      <c r="BI48" s="49" t="str">
        <f t="shared" si="82"/>
        <v/>
      </c>
      <c r="BJ48" s="22" t="str">
        <f t="shared" si="108"/>
        <v/>
      </c>
      <c r="BL48" s="21"/>
      <c r="BM48" s="21" t="str">
        <f>IF(OR(COUNT(B48:D1047)=0,AND('Choix pédagogiques'!$C$3&lt;&gt;1,'Choix pédagogiques'!$C$3&lt;&gt;2)),"",IF(AND(OR('Choix pédagogiques'!$C$3=1,'Choix pédagogiques'!$C$3=2),$B48&lt;&gt;"",$C48&lt;&gt;"",$D48&lt;&gt;""),1,0))</f>
        <v/>
      </c>
      <c r="BN48" s="21" t="str">
        <f>IF(OR(COUNT(G48:I1047)=0,AND('Choix pédagogiques'!$C$3&lt;&gt;1,'Choix pédagogiques'!$C$3&lt;&gt;2)),"",IF(AND(OR('Choix pédagogiques'!$C$3=1,'Choix pédagogiques'!$C$3=2),AND($G48&lt;&gt;"",$H48&lt;&gt;"",$I48&lt;&gt;"")),1,0))</f>
        <v/>
      </c>
      <c r="BO48" s="21" t="str">
        <f>IF(OR(COUNT(B48:D1047)=0,COUNT(G48:I1047)=0,'Choix pédagogiques'!C$3&lt;&gt;3),"",IF(AND('Choix pédagogiques'!$C$3=3,$B48&lt;&gt;"",$C48&lt;&gt;"",$D48&lt;&gt;"",$G48&lt;&gt;"",$H48&lt;&gt;"",$I48&lt;&gt;""),1,0))</f>
        <v/>
      </c>
      <c r="BR48" s="21">
        <v>762</v>
      </c>
      <c r="BS48" s="21">
        <v>1945</v>
      </c>
      <c r="BT48"/>
    </row>
    <row r="49" spans="1:72" s="23" customFormat="1" ht="18" customHeight="1" x14ac:dyDescent="0.3">
      <c r="A49" s="35" t="s">
        <v>39</v>
      </c>
      <c r="B49" s="36"/>
      <c r="C49" s="36"/>
      <c r="D49" s="36"/>
      <c r="E49" s="37"/>
      <c r="F49" s="35" t="s">
        <v>1047</v>
      </c>
      <c r="G49" s="36"/>
      <c r="H49" s="36"/>
      <c r="I49" s="36"/>
      <c r="J49" s="37"/>
      <c r="K49" s="21" t="str">
        <f t="shared" si="83"/>
        <v>Apprenant 37</v>
      </c>
      <c r="L49" s="22" t="str">
        <f t="shared" si="84"/>
        <v/>
      </c>
      <c r="M49" s="22" t="str">
        <f t="shared" si="85"/>
        <v/>
      </c>
      <c r="N49" s="22" t="str">
        <f t="shared" si="86"/>
        <v/>
      </c>
      <c r="O49" s="22" t="str">
        <f t="shared" si="87"/>
        <v/>
      </c>
      <c r="P49" s="21" t="str">
        <f t="shared" si="88"/>
        <v>Apprenant 37 ou 37'</v>
      </c>
      <c r="Q49" s="22" t="str">
        <f t="shared" si="89"/>
        <v/>
      </c>
      <c r="R49" s="22" t="str">
        <f t="shared" si="90"/>
        <v/>
      </c>
      <c r="S49" s="22" t="str">
        <f t="shared" si="91"/>
        <v/>
      </c>
      <c r="T49" s="22" t="str">
        <f t="shared" si="92"/>
        <v/>
      </c>
      <c r="V49" s="21" t="str">
        <f t="shared" si="93"/>
        <v>Apprenant 37</v>
      </c>
      <c r="W49" s="22" t="str">
        <f>IF(AND(OR('Choix pédagogiques'!$C$3=1,'Choix pédagogiques'!$C$3=2),$BM49=1),B49,IF(AND('Choix pédagogiques'!$C$3=3,$BO49=1),B49,""))</f>
        <v/>
      </c>
      <c r="X49" s="22" t="str">
        <f>IF(AND(OR('Choix pédagogiques'!$C$3=1,'Choix pédagogiques'!$C$3=2),$BM49=1),C49,IF(AND('Choix pédagogiques'!$C$3=3,$BO49=1),C49,""))</f>
        <v/>
      </c>
      <c r="Y49" s="22" t="str">
        <f>IF(AND(OR('Choix pédagogiques'!$C$3=1,'Choix pédagogiques'!$C$3=2),$BM49=1),D49,IF(AND('Choix pédagogiques'!$C$3=3,$BO49=1),D49,""))</f>
        <v/>
      </c>
      <c r="Z49" s="22" t="str">
        <f t="shared" si="94"/>
        <v/>
      </c>
      <c r="AA49" s="21" t="str">
        <f t="shared" si="95"/>
        <v>Apprenant 37 ou 37'</v>
      </c>
      <c r="AB49" s="22" t="str">
        <f>IF(AND(OR('Choix pédagogiques'!$C$3=1,'Choix pédagogiques'!$C$3=2),$BN49=1),G49,IF(AND('Choix pédagogiques'!$C$3=3,$BO49=1),G49,""))</f>
        <v/>
      </c>
      <c r="AC49" s="22" t="str">
        <f>IF(AND(OR('Choix pédagogiques'!$C$3=1,'Choix pédagogiques'!$C$3=2),$BN49=1),H49,IF(AND('Choix pédagogiques'!$C$3=3,$BO49=1),H49,""))</f>
        <v/>
      </c>
      <c r="AD49" s="22" t="str">
        <f>IF(AND(OR('Choix pédagogiques'!$C$3=1,'Choix pédagogiques'!$C$3=2),$BN49=1),I49,IF(AND('Choix pédagogiques'!$C$3=3,$BO49=1),I49,""))</f>
        <v/>
      </c>
      <c r="AE49" s="22" t="str">
        <f t="shared" si="96"/>
        <v/>
      </c>
      <c r="AF49" s="21" t="str">
        <f t="shared" si="97"/>
        <v>Apprenant 37</v>
      </c>
      <c r="AG49" s="22" t="str">
        <f t="shared" si="71"/>
        <v/>
      </c>
      <c r="AH49" s="22" t="str">
        <f t="shared" si="72"/>
        <v/>
      </c>
      <c r="AI49" s="22" t="str">
        <f t="shared" si="73"/>
        <v/>
      </c>
      <c r="AJ49" s="22" t="str">
        <f t="shared" si="98"/>
        <v/>
      </c>
      <c r="AK49" s="21" t="str">
        <f t="shared" si="99"/>
        <v>Apprenant 37 ou 37'</v>
      </c>
      <c r="AL49" s="22" t="str">
        <f t="shared" si="74"/>
        <v/>
      </c>
      <c r="AM49" s="22" t="str">
        <f t="shared" si="75"/>
        <v/>
      </c>
      <c r="AN49" s="22" t="str">
        <f t="shared" si="76"/>
        <v/>
      </c>
      <c r="AO49" s="22" t="str">
        <f t="shared" si="100"/>
        <v/>
      </c>
      <c r="AQ49" s="21" t="str">
        <f t="shared" si="101"/>
        <v>Apprenant 37</v>
      </c>
      <c r="AR49" s="49" t="str">
        <f>IF(AND('Choix pédagogiques'!$C$4&lt;&gt;"?",'Choix pédagogiques'!$C$5&lt;&gt;"?",W49&lt;&gt;""),(W49-'Choix pédagogiques'!$C$4)/('Choix pédagogiques'!$C$5-'Choix pédagogiques'!$C$4),"")</f>
        <v/>
      </c>
      <c r="AS49" s="49" t="str">
        <f>IF(AND('Choix pédagogiques'!$C$4&lt;&gt;"?",'Choix pédagogiques'!$C$5&lt;&gt;"?",X49&lt;&gt;""),(X49-'Choix pédagogiques'!$C$4)/('Choix pédagogiques'!$C$5-'Choix pédagogiques'!$C$4),"")</f>
        <v/>
      </c>
      <c r="AT49" s="49" t="str">
        <f>IF(AND('Choix pédagogiques'!$C$4&lt;&gt;"?",'Choix pédagogiques'!$C$5&lt;&gt;"?",Y49&lt;&gt;""),(Y49-'Choix pédagogiques'!$C$4)/('Choix pédagogiques'!$C$5-'Choix pédagogiques'!$C$4),"")</f>
        <v/>
      </c>
      <c r="AU49" s="22" t="str">
        <f t="shared" si="102"/>
        <v/>
      </c>
      <c r="AV49" s="21" t="str">
        <f t="shared" si="103"/>
        <v>Apprenant 37 ou 37'</v>
      </c>
      <c r="AW49" s="49" t="str">
        <f>IF(AND('Choix pédagogiques'!$C$4&lt;&gt;"?",'Choix pédagogiques'!$C$5&lt;&gt;"?",AB49&lt;&gt;""),(AB49-'Choix pédagogiques'!$C$4)/('Choix pédagogiques'!$C$5-'Choix pédagogiques'!$C$4),"")</f>
        <v/>
      </c>
      <c r="AX49" s="49" t="str">
        <f>IF(AND('Choix pédagogiques'!$C$4&lt;&gt;"?",'Choix pédagogiques'!$C$5&lt;&gt;"?",AC49&lt;&gt;""),(AC49-'Choix pédagogiques'!$C$4)/('Choix pédagogiques'!$C$5-'Choix pédagogiques'!$C$4),"")</f>
        <v/>
      </c>
      <c r="AY49" s="49" t="str">
        <f>IF(AND('Choix pédagogiques'!$C$4&lt;&gt;"?",'Choix pédagogiques'!$C$5&lt;&gt;"?",AD49&lt;&gt;""),(AD49-'Choix pédagogiques'!$C$4)/('Choix pédagogiques'!$C$5-'Choix pédagogiques'!$C$4),"")</f>
        <v/>
      </c>
      <c r="AZ49" s="22" t="str">
        <f t="shared" si="104"/>
        <v/>
      </c>
      <c r="BA49" s="21" t="str">
        <f t="shared" si="105"/>
        <v>Apprenant 37</v>
      </c>
      <c r="BB49" s="49" t="str">
        <f t="shared" si="77"/>
        <v/>
      </c>
      <c r="BC49" s="49" t="str">
        <f t="shared" si="78"/>
        <v/>
      </c>
      <c r="BD49" s="49" t="str">
        <f t="shared" si="79"/>
        <v/>
      </c>
      <c r="BE49" s="22" t="str">
        <f t="shared" si="106"/>
        <v/>
      </c>
      <c r="BF49" s="21" t="str">
        <f t="shared" si="107"/>
        <v>Apprenant 37 ou 37'</v>
      </c>
      <c r="BG49" s="49" t="str">
        <f t="shared" si="80"/>
        <v/>
      </c>
      <c r="BH49" s="49" t="str">
        <f t="shared" si="81"/>
        <v/>
      </c>
      <c r="BI49" s="49" t="str">
        <f t="shared" si="82"/>
        <v/>
      </c>
      <c r="BJ49" s="22" t="str">
        <f t="shared" si="108"/>
        <v/>
      </c>
      <c r="BL49" s="21"/>
      <c r="BM49" s="21" t="str">
        <f>IF(OR(COUNT(B49:D1048)=0,AND('Choix pédagogiques'!$C$3&lt;&gt;1,'Choix pédagogiques'!$C$3&lt;&gt;2)),"",IF(AND(OR('Choix pédagogiques'!$C$3=1,'Choix pédagogiques'!$C$3=2),$B49&lt;&gt;"",$C49&lt;&gt;"",$D49&lt;&gt;""),1,0))</f>
        <v/>
      </c>
      <c r="BN49" s="21" t="str">
        <f>IF(OR(COUNT(G49:I1048)=0,AND('Choix pédagogiques'!$C$3&lt;&gt;1,'Choix pédagogiques'!$C$3&lt;&gt;2)),"",IF(AND(OR('Choix pédagogiques'!$C$3=1,'Choix pédagogiques'!$C$3=2),AND($G49&lt;&gt;"",$H49&lt;&gt;"",$I49&lt;&gt;"")),1,0))</f>
        <v/>
      </c>
      <c r="BO49" s="21" t="str">
        <f>IF(OR(COUNT(B49:D1048)=0,COUNT(G49:I1048)=0,'Choix pédagogiques'!C$3&lt;&gt;3),"",IF(AND('Choix pédagogiques'!$C$3=3,$B49&lt;&gt;"",$C49&lt;&gt;"",$D49&lt;&gt;"",$G49&lt;&gt;"",$H49&lt;&gt;"",$I49&lt;&gt;""),1,0))</f>
        <v/>
      </c>
      <c r="BR49" s="21">
        <v>353</v>
      </c>
      <c r="BS49" s="21">
        <v>1287</v>
      </c>
      <c r="BT49"/>
    </row>
    <row r="50" spans="1:72" s="23" customFormat="1" ht="18" customHeight="1" x14ac:dyDescent="0.3">
      <c r="A50" s="35" t="s">
        <v>40</v>
      </c>
      <c r="B50" s="36"/>
      <c r="C50" s="36"/>
      <c r="D50" s="36"/>
      <c r="E50" s="37"/>
      <c r="F50" s="35" t="s">
        <v>1048</v>
      </c>
      <c r="G50" s="36"/>
      <c r="H50" s="36"/>
      <c r="I50" s="36"/>
      <c r="J50" s="37"/>
      <c r="K50" s="21" t="str">
        <f t="shared" si="83"/>
        <v>Apprenant 38</v>
      </c>
      <c r="L50" s="22" t="str">
        <f t="shared" si="84"/>
        <v/>
      </c>
      <c r="M50" s="22" t="str">
        <f t="shared" si="85"/>
        <v/>
      </c>
      <c r="N50" s="22" t="str">
        <f t="shared" si="86"/>
        <v/>
      </c>
      <c r="O50" s="22" t="str">
        <f t="shared" si="87"/>
        <v/>
      </c>
      <c r="P50" s="21" t="str">
        <f t="shared" si="88"/>
        <v>Apprenant 38 ou 38'</v>
      </c>
      <c r="Q50" s="22" t="str">
        <f t="shared" si="89"/>
        <v/>
      </c>
      <c r="R50" s="22" t="str">
        <f t="shared" si="90"/>
        <v/>
      </c>
      <c r="S50" s="22" t="str">
        <f t="shared" si="91"/>
        <v/>
      </c>
      <c r="T50" s="22" t="str">
        <f t="shared" si="92"/>
        <v/>
      </c>
      <c r="V50" s="21" t="str">
        <f t="shared" si="93"/>
        <v>Apprenant 38</v>
      </c>
      <c r="W50" s="22" t="str">
        <f>IF(AND(OR('Choix pédagogiques'!$C$3=1,'Choix pédagogiques'!$C$3=2),$BM50=1),B50,IF(AND('Choix pédagogiques'!$C$3=3,$BO50=1),B50,""))</f>
        <v/>
      </c>
      <c r="X50" s="22" t="str">
        <f>IF(AND(OR('Choix pédagogiques'!$C$3=1,'Choix pédagogiques'!$C$3=2),$BM50=1),C50,IF(AND('Choix pédagogiques'!$C$3=3,$BO50=1),C50,""))</f>
        <v/>
      </c>
      <c r="Y50" s="22" t="str">
        <f>IF(AND(OR('Choix pédagogiques'!$C$3=1,'Choix pédagogiques'!$C$3=2),$BM50=1),D50,IF(AND('Choix pédagogiques'!$C$3=3,$BO50=1),D50,""))</f>
        <v/>
      </c>
      <c r="Z50" s="22" t="str">
        <f t="shared" si="94"/>
        <v/>
      </c>
      <c r="AA50" s="21" t="str">
        <f t="shared" si="95"/>
        <v>Apprenant 38 ou 38'</v>
      </c>
      <c r="AB50" s="22" t="str">
        <f>IF(AND(OR('Choix pédagogiques'!$C$3=1,'Choix pédagogiques'!$C$3=2),$BN50=1),G50,IF(AND('Choix pédagogiques'!$C$3=3,$BO50=1),G50,""))</f>
        <v/>
      </c>
      <c r="AC50" s="22" t="str">
        <f>IF(AND(OR('Choix pédagogiques'!$C$3=1,'Choix pédagogiques'!$C$3=2),$BN50=1),H50,IF(AND('Choix pédagogiques'!$C$3=3,$BO50=1),H50,""))</f>
        <v/>
      </c>
      <c r="AD50" s="22" t="str">
        <f>IF(AND(OR('Choix pédagogiques'!$C$3=1,'Choix pédagogiques'!$C$3=2),$BN50=1),I50,IF(AND('Choix pédagogiques'!$C$3=3,$BO50=1),I50,""))</f>
        <v/>
      </c>
      <c r="AE50" s="22" t="str">
        <f t="shared" si="96"/>
        <v/>
      </c>
      <c r="AF50" s="21" t="str">
        <f t="shared" si="97"/>
        <v>Apprenant 38</v>
      </c>
      <c r="AG50" s="22" t="str">
        <f t="shared" si="71"/>
        <v/>
      </c>
      <c r="AH50" s="22" t="str">
        <f t="shared" si="72"/>
        <v/>
      </c>
      <c r="AI50" s="22" t="str">
        <f t="shared" si="73"/>
        <v/>
      </c>
      <c r="AJ50" s="22" t="str">
        <f t="shared" si="98"/>
        <v/>
      </c>
      <c r="AK50" s="21" t="str">
        <f t="shared" si="99"/>
        <v>Apprenant 38 ou 38'</v>
      </c>
      <c r="AL50" s="22" t="str">
        <f t="shared" si="74"/>
        <v/>
      </c>
      <c r="AM50" s="22" t="str">
        <f t="shared" si="75"/>
        <v/>
      </c>
      <c r="AN50" s="22" t="str">
        <f t="shared" si="76"/>
        <v/>
      </c>
      <c r="AO50" s="22" t="str">
        <f t="shared" si="100"/>
        <v/>
      </c>
      <c r="AQ50" s="21" t="str">
        <f t="shared" si="101"/>
        <v>Apprenant 38</v>
      </c>
      <c r="AR50" s="49" t="str">
        <f>IF(AND('Choix pédagogiques'!$C$4&lt;&gt;"?",'Choix pédagogiques'!$C$5&lt;&gt;"?",W50&lt;&gt;""),(W50-'Choix pédagogiques'!$C$4)/('Choix pédagogiques'!$C$5-'Choix pédagogiques'!$C$4),"")</f>
        <v/>
      </c>
      <c r="AS50" s="49" t="str">
        <f>IF(AND('Choix pédagogiques'!$C$4&lt;&gt;"?",'Choix pédagogiques'!$C$5&lt;&gt;"?",X50&lt;&gt;""),(X50-'Choix pédagogiques'!$C$4)/('Choix pédagogiques'!$C$5-'Choix pédagogiques'!$C$4),"")</f>
        <v/>
      </c>
      <c r="AT50" s="49" t="str">
        <f>IF(AND('Choix pédagogiques'!$C$4&lt;&gt;"?",'Choix pédagogiques'!$C$5&lt;&gt;"?",Y50&lt;&gt;""),(Y50-'Choix pédagogiques'!$C$4)/('Choix pédagogiques'!$C$5-'Choix pédagogiques'!$C$4),"")</f>
        <v/>
      </c>
      <c r="AU50" s="22" t="str">
        <f t="shared" si="102"/>
        <v/>
      </c>
      <c r="AV50" s="21" t="str">
        <f t="shared" si="103"/>
        <v>Apprenant 38 ou 38'</v>
      </c>
      <c r="AW50" s="49" t="str">
        <f>IF(AND('Choix pédagogiques'!$C$4&lt;&gt;"?",'Choix pédagogiques'!$C$5&lt;&gt;"?",AB50&lt;&gt;""),(AB50-'Choix pédagogiques'!$C$4)/('Choix pédagogiques'!$C$5-'Choix pédagogiques'!$C$4),"")</f>
        <v/>
      </c>
      <c r="AX50" s="49" t="str">
        <f>IF(AND('Choix pédagogiques'!$C$4&lt;&gt;"?",'Choix pédagogiques'!$C$5&lt;&gt;"?",AC50&lt;&gt;""),(AC50-'Choix pédagogiques'!$C$4)/('Choix pédagogiques'!$C$5-'Choix pédagogiques'!$C$4),"")</f>
        <v/>
      </c>
      <c r="AY50" s="49" t="str">
        <f>IF(AND('Choix pédagogiques'!$C$4&lt;&gt;"?",'Choix pédagogiques'!$C$5&lt;&gt;"?",AD50&lt;&gt;""),(AD50-'Choix pédagogiques'!$C$4)/('Choix pédagogiques'!$C$5-'Choix pédagogiques'!$C$4),"")</f>
        <v/>
      </c>
      <c r="AZ50" s="22" t="str">
        <f t="shared" si="104"/>
        <v/>
      </c>
      <c r="BA50" s="21" t="str">
        <f t="shared" si="105"/>
        <v>Apprenant 38</v>
      </c>
      <c r="BB50" s="49" t="str">
        <f t="shared" si="77"/>
        <v/>
      </c>
      <c r="BC50" s="49" t="str">
        <f t="shared" si="78"/>
        <v/>
      </c>
      <c r="BD50" s="49" t="str">
        <f t="shared" si="79"/>
        <v/>
      </c>
      <c r="BE50" s="22" t="str">
        <f t="shared" si="106"/>
        <v/>
      </c>
      <c r="BF50" s="21" t="str">
        <f t="shared" si="107"/>
        <v>Apprenant 38 ou 38'</v>
      </c>
      <c r="BG50" s="49" t="str">
        <f t="shared" si="80"/>
        <v/>
      </c>
      <c r="BH50" s="49" t="str">
        <f t="shared" si="81"/>
        <v/>
      </c>
      <c r="BI50" s="49" t="str">
        <f t="shared" si="82"/>
        <v/>
      </c>
      <c r="BJ50" s="22" t="str">
        <f t="shared" si="108"/>
        <v/>
      </c>
      <c r="BL50" s="21"/>
      <c r="BM50" s="21" t="str">
        <f>IF(OR(COUNT(B50:D1049)=0,AND('Choix pédagogiques'!$C$3&lt;&gt;1,'Choix pédagogiques'!$C$3&lt;&gt;2)),"",IF(AND(OR('Choix pédagogiques'!$C$3=1,'Choix pédagogiques'!$C$3=2),$B50&lt;&gt;"",$C50&lt;&gt;"",$D50&lt;&gt;""),1,0))</f>
        <v/>
      </c>
      <c r="BN50" s="21" t="str">
        <f>IF(OR(COUNT(G50:I1049)=0,AND('Choix pédagogiques'!$C$3&lt;&gt;1,'Choix pédagogiques'!$C$3&lt;&gt;2)),"",IF(AND(OR('Choix pédagogiques'!$C$3=1,'Choix pédagogiques'!$C$3=2),AND($G50&lt;&gt;"",$H50&lt;&gt;"",$I50&lt;&gt;"")),1,0))</f>
        <v/>
      </c>
      <c r="BO50" s="21" t="str">
        <f>IF(OR(COUNT(B50:D1049)=0,COUNT(G50:I1049)=0,'Choix pédagogiques'!C$3&lt;&gt;3),"",IF(AND('Choix pédagogiques'!$C$3=3,$B50&lt;&gt;"",$C50&lt;&gt;"",$D50&lt;&gt;"",$G50&lt;&gt;"",$H50&lt;&gt;"",$I50&lt;&gt;""),1,0))</f>
        <v/>
      </c>
      <c r="BR50" s="21">
        <v>701</v>
      </c>
      <c r="BS50" s="21">
        <v>1447</v>
      </c>
      <c r="BT50"/>
    </row>
    <row r="51" spans="1:72" s="23" customFormat="1" ht="18" customHeight="1" x14ac:dyDescent="0.3">
      <c r="A51" s="35" t="s">
        <v>41</v>
      </c>
      <c r="B51" s="36"/>
      <c r="C51" s="36"/>
      <c r="D51" s="36"/>
      <c r="E51" s="37"/>
      <c r="F51" s="35" t="s">
        <v>1049</v>
      </c>
      <c r="G51" s="36"/>
      <c r="H51" s="36"/>
      <c r="I51" s="36"/>
      <c r="J51" s="37"/>
      <c r="K51" s="21" t="str">
        <f t="shared" si="83"/>
        <v>Apprenant 39</v>
      </c>
      <c r="L51" s="22" t="str">
        <f t="shared" si="84"/>
        <v/>
      </c>
      <c r="M51" s="22" t="str">
        <f t="shared" si="85"/>
        <v/>
      </c>
      <c r="N51" s="22" t="str">
        <f t="shared" si="86"/>
        <v/>
      </c>
      <c r="O51" s="22" t="str">
        <f t="shared" si="87"/>
        <v/>
      </c>
      <c r="P51" s="21" t="str">
        <f t="shared" si="88"/>
        <v>Apprenant 39 ou 39'</v>
      </c>
      <c r="Q51" s="22" t="str">
        <f t="shared" si="89"/>
        <v/>
      </c>
      <c r="R51" s="22" t="str">
        <f t="shared" si="90"/>
        <v/>
      </c>
      <c r="S51" s="22" t="str">
        <f t="shared" si="91"/>
        <v/>
      </c>
      <c r="T51" s="22" t="str">
        <f t="shared" si="92"/>
        <v/>
      </c>
      <c r="V51" s="21" t="str">
        <f t="shared" si="93"/>
        <v>Apprenant 39</v>
      </c>
      <c r="W51" s="22" t="str">
        <f>IF(AND(OR('Choix pédagogiques'!$C$3=1,'Choix pédagogiques'!$C$3=2),$BM51=1),B51,IF(AND('Choix pédagogiques'!$C$3=3,$BO51=1),B51,""))</f>
        <v/>
      </c>
      <c r="X51" s="22" t="str">
        <f>IF(AND(OR('Choix pédagogiques'!$C$3=1,'Choix pédagogiques'!$C$3=2),$BM51=1),C51,IF(AND('Choix pédagogiques'!$C$3=3,$BO51=1),C51,""))</f>
        <v/>
      </c>
      <c r="Y51" s="22" t="str">
        <f>IF(AND(OR('Choix pédagogiques'!$C$3=1,'Choix pédagogiques'!$C$3=2),$BM51=1),D51,IF(AND('Choix pédagogiques'!$C$3=3,$BO51=1),D51,""))</f>
        <v/>
      </c>
      <c r="Z51" s="22" t="str">
        <f t="shared" si="94"/>
        <v/>
      </c>
      <c r="AA51" s="21" t="str">
        <f t="shared" si="95"/>
        <v>Apprenant 39 ou 39'</v>
      </c>
      <c r="AB51" s="22" t="str">
        <f>IF(AND(OR('Choix pédagogiques'!$C$3=1,'Choix pédagogiques'!$C$3=2),$BN51=1),G51,IF(AND('Choix pédagogiques'!$C$3=3,$BO51=1),G51,""))</f>
        <v/>
      </c>
      <c r="AC51" s="22" t="str">
        <f>IF(AND(OR('Choix pédagogiques'!$C$3=1,'Choix pédagogiques'!$C$3=2),$BN51=1),H51,IF(AND('Choix pédagogiques'!$C$3=3,$BO51=1),H51,""))</f>
        <v/>
      </c>
      <c r="AD51" s="22" t="str">
        <f>IF(AND(OR('Choix pédagogiques'!$C$3=1,'Choix pédagogiques'!$C$3=2),$BN51=1),I51,IF(AND('Choix pédagogiques'!$C$3=3,$BO51=1),I51,""))</f>
        <v/>
      </c>
      <c r="AE51" s="22" t="str">
        <f t="shared" si="96"/>
        <v/>
      </c>
      <c r="AF51" s="21" t="str">
        <f t="shared" si="97"/>
        <v>Apprenant 39</v>
      </c>
      <c r="AG51" s="22" t="str">
        <f t="shared" si="71"/>
        <v/>
      </c>
      <c r="AH51" s="22" t="str">
        <f t="shared" si="72"/>
        <v/>
      </c>
      <c r="AI51" s="22" t="str">
        <f t="shared" si="73"/>
        <v/>
      </c>
      <c r="AJ51" s="22" t="str">
        <f t="shared" si="98"/>
        <v/>
      </c>
      <c r="AK51" s="21" t="str">
        <f t="shared" si="99"/>
        <v>Apprenant 39 ou 39'</v>
      </c>
      <c r="AL51" s="22" t="str">
        <f t="shared" si="74"/>
        <v/>
      </c>
      <c r="AM51" s="22" t="str">
        <f t="shared" si="75"/>
        <v/>
      </c>
      <c r="AN51" s="22" t="str">
        <f t="shared" si="76"/>
        <v/>
      </c>
      <c r="AO51" s="22" t="str">
        <f t="shared" si="100"/>
        <v/>
      </c>
      <c r="AQ51" s="21" t="str">
        <f t="shared" si="101"/>
        <v>Apprenant 39</v>
      </c>
      <c r="AR51" s="49" t="str">
        <f>IF(AND('Choix pédagogiques'!$C$4&lt;&gt;"?",'Choix pédagogiques'!$C$5&lt;&gt;"?",W51&lt;&gt;""),(W51-'Choix pédagogiques'!$C$4)/('Choix pédagogiques'!$C$5-'Choix pédagogiques'!$C$4),"")</f>
        <v/>
      </c>
      <c r="AS51" s="49" t="str">
        <f>IF(AND('Choix pédagogiques'!$C$4&lt;&gt;"?",'Choix pédagogiques'!$C$5&lt;&gt;"?",X51&lt;&gt;""),(X51-'Choix pédagogiques'!$C$4)/('Choix pédagogiques'!$C$5-'Choix pédagogiques'!$C$4),"")</f>
        <v/>
      </c>
      <c r="AT51" s="49" t="str">
        <f>IF(AND('Choix pédagogiques'!$C$4&lt;&gt;"?",'Choix pédagogiques'!$C$5&lt;&gt;"?",Y51&lt;&gt;""),(Y51-'Choix pédagogiques'!$C$4)/('Choix pédagogiques'!$C$5-'Choix pédagogiques'!$C$4),"")</f>
        <v/>
      </c>
      <c r="AU51" s="22" t="str">
        <f t="shared" si="102"/>
        <v/>
      </c>
      <c r="AV51" s="21" t="str">
        <f t="shared" si="103"/>
        <v>Apprenant 39 ou 39'</v>
      </c>
      <c r="AW51" s="49" t="str">
        <f>IF(AND('Choix pédagogiques'!$C$4&lt;&gt;"?",'Choix pédagogiques'!$C$5&lt;&gt;"?",AB51&lt;&gt;""),(AB51-'Choix pédagogiques'!$C$4)/('Choix pédagogiques'!$C$5-'Choix pédagogiques'!$C$4),"")</f>
        <v/>
      </c>
      <c r="AX51" s="49" t="str">
        <f>IF(AND('Choix pédagogiques'!$C$4&lt;&gt;"?",'Choix pédagogiques'!$C$5&lt;&gt;"?",AC51&lt;&gt;""),(AC51-'Choix pédagogiques'!$C$4)/('Choix pédagogiques'!$C$5-'Choix pédagogiques'!$C$4),"")</f>
        <v/>
      </c>
      <c r="AY51" s="49" t="str">
        <f>IF(AND('Choix pédagogiques'!$C$4&lt;&gt;"?",'Choix pédagogiques'!$C$5&lt;&gt;"?",AD51&lt;&gt;""),(AD51-'Choix pédagogiques'!$C$4)/('Choix pédagogiques'!$C$5-'Choix pédagogiques'!$C$4),"")</f>
        <v/>
      </c>
      <c r="AZ51" s="22" t="str">
        <f t="shared" si="104"/>
        <v/>
      </c>
      <c r="BA51" s="21" t="str">
        <f t="shared" si="105"/>
        <v>Apprenant 39</v>
      </c>
      <c r="BB51" s="49" t="str">
        <f t="shared" si="77"/>
        <v/>
      </c>
      <c r="BC51" s="49" t="str">
        <f t="shared" si="78"/>
        <v/>
      </c>
      <c r="BD51" s="49" t="str">
        <f t="shared" si="79"/>
        <v/>
      </c>
      <c r="BE51" s="22" t="str">
        <f t="shared" si="106"/>
        <v/>
      </c>
      <c r="BF51" s="21" t="str">
        <f t="shared" si="107"/>
        <v>Apprenant 39 ou 39'</v>
      </c>
      <c r="BG51" s="49" t="str">
        <f t="shared" si="80"/>
        <v/>
      </c>
      <c r="BH51" s="49" t="str">
        <f t="shared" si="81"/>
        <v/>
      </c>
      <c r="BI51" s="49" t="str">
        <f t="shared" si="82"/>
        <v/>
      </c>
      <c r="BJ51" s="22" t="str">
        <f t="shared" si="108"/>
        <v/>
      </c>
      <c r="BL51" s="21"/>
      <c r="BM51" s="21" t="str">
        <f>IF(OR(COUNT(B51:D1050)=0,AND('Choix pédagogiques'!$C$3&lt;&gt;1,'Choix pédagogiques'!$C$3&lt;&gt;2)),"",IF(AND(OR('Choix pédagogiques'!$C$3=1,'Choix pédagogiques'!$C$3=2),$B51&lt;&gt;"",$C51&lt;&gt;"",$D51&lt;&gt;""),1,0))</f>
        <v/>
      </c>
      <c r="BN51" s="21" t="str">
        <f>IF(OR(COUNT(G51:I1050)=0,AND('Choix pédagogiques'!$C$3&lt;&gt;1,'Choix pédagogiques'!$C$3&lt;&gt;2)),"",IF(AND(OR('Choix pédagogiques'!$C$3=1,'Choix pédagogiques'!$C$3=2),AND($G51&lt;&gt;"",$H51&lt;&gt;"",$I51&lt;&gt;"")),1,0))</f>
        <v/>
      </c>
      <c r="BO51" s="21" t="str">
        <f>IF(OR(COUNT(B51:D1050)=0,COUNT(G51:I1050)=0,'Choix pédagogiques'!C$3&lt;&gt;3),"",IF(AND('Choix pédagogiques'!$C$3=3,$B51&lt;&gt;"",$C51&lt;&gt;"",$D51&lt;&gt;"",$G51&lt;&gt;"",$H51&lt;&gt;"",$I51&lt;&gt;""),1,0))</f>
        <v/>
      </c>
      <c r="BR51" s="21">
        <v>464</v>
      </c>
      <c r="BS51" s="21">
        <v>1740</v>
      </c>
      <c r="BT51"/>
    </row>
    <row r="52" spans="1:72" s="23" customFormat="1" ht="18" customHeight="1" x14ac:dyDescent="0.3">
      <c r="A52" s="35" t="s">
        <v>42</v>
      </c>
      <c r="B52" s="36"/>
      <c r="C52" s="36"/>
      <c r="D52" s="36"/>
      <c r="E52" s="37"/>
      <c r="F52" s="35" t="s">
        <v>1050</v>
      </c>
      <c r="G52" s="36"/>
      <c r="H52" s="36"/>
      <c r="I52" s="36"/>
      <c r="J52" s="37"/>
      <c r="K52" s="21" t="str">
        <f t="shared" si="83"/>
        <v>Apprenant 40</v>
      </c>
      <c r="L52" s="22" t="str">
        <f t="shared" si="84"/>
        <v/>
      </c>
      <c r="M52" s="22" t="str">
        <f t="shared" si="85"/>
        <v/>
      </c>
      <c r="N52" s="22" t="str">
        <f t="shared" si="86"/>
        <v/>
      </c>
      <c r="O52" s="22" t="str">
        <f t="shared" si="87"/>
        <v/>
      </c>
      <c r="P52" s="21" t="str">
        <f t="shared" si="88"/>
        <v>Apprenant 40 ou 40'</v>
      </c>
      <c r="Q52" s="22" t="str">
        <f t="shared" si="89"/>
        <v/>
      </c>
      <c r="R52" s="22" t="str">
        <f t="shared" si="90"/>
        <v/>
      </c>
      <c r="S52" s="22" t="str">
        <f t="shared" si="91"/>
        <v/>
      </c>
      <c r="T52" s="22" t="str">
        <f t="shared" si="92"/>
        <v/>
      </c>
      <c r="V52" s="21" t="str">
        <f t="shared" si="93"/>
        <v>Apprenant 40</v>
      </c>
      <c r="W52" s="22" t="str">
        <f>IF(AND(OR('Choix pédagogiques'!$C$3=1,'Choix pédagogiques'!$C$3=2),$BM52=1),B52,IF(AND('Choix pédagogiques'!$C$3=3,$BO52=1),B52,""))</f>
        <v/>
      </c>
      <c r="X52" s="22" t="str">
        <f>IF(AND(OR('Choix pédagogiques'!$C$3=1,'Choix pédagogiques'!$C$3=2),$BM52=1),C52,IF(AND('Choix pédagogiques'!$C$3=3,$BO52=1),C52,""))</f>
        <v/>
      </c>
      <c r="Y52" s="22" t="str">
        <f>IF(AND(OR('Choix pédagogiques'!$C$3=1,'Choix pédagogiques'!$C$3=2),$BM52=1),D52,IF(AND('Choix pédagogiques'!$C$3=3,$BO52=1),D52,""))</f>
        <v/>
      </c>
      <c r="Z52" s="22" t="str">
        <f t="shared" si="94"/>
        <v/>
      </c>
      <c r="AA52" s="21" t="str">
        <f t="shared" si="95"/>
        <v>Apprenant 40 ou 40'</v>
      </c>
      <c r="AB52" s="22" t="str">
        <f>IF(AND(OR('Choix pédagogiques'!$C$3=1,'Choix pédagogiques'!$C$3=2),$BN52=1),G52,IF(AND('Choix pédagogiques'!$C$3=3,$BO52=1),G52,""))</f>
        <v/>
      </c>
      <c r="AC52" s="22" t="str">
        <f>IF(AND(OR('Choix pédagogiques'!$C$3=1,'Choix pédagogiques'!$C$3=2),$BN52=1),H52,IF(AND('Choix pédagogiques'!$C$3=3,$BO52=1),H52,""))</f>
        <v/>
      </c>
      <c r="AD52" s="22" t="str">
        <f>IF(AND(OR('Choix pédagogiques'!$C$3=1,'Choix pédagogiques'!$C$3=2),$BN52=1),I52,IF(AND('Choix pédagogiques'!$C$3=3,$BO52=1),I52,""))</f>
        <v/>
      </c>
      <c r="AE52" s="22" t="str">
        <f t="shared" si="96"/>
        <v/>
      </c>
      <c r="AF52" s="21" t="str">
        <f t="shared" si="97"/>
        <v>Apprenant 40</v>
      </c>
      <c r="AG52" s="22" t="str">
        <f t="shared" si="71"/>
        <v/>
      </c>
      <c r="AH52" s="22" t="str">
        <f t="shared" si="72"/>
        <v/>
      </c>
      <c r="AI52" s="22" t="str">
        <f t="shared" si="73"/>
        <v/>
      </c>
      <c r="AJ52" s="22" t="str">
        <f t="shared" si="98"/>
        <v/>
      </c>
      <c r="AK52" s="21" t="str">
        <f t="shared" si="99"/>
        <v>Apprenant 40 ou 40'</v>
      </c>
      <c r="AL52" s="22" t="str">
        <f t="shared" si="74"/>
        <v/>
      </c>
      <c r="AM52" s="22" t="str">
        <f t="shared" si="75"/>
        <v/>
      </c>
      <c r="AN52" s="22" t="str">
        <f t="shared" si="76"/>
        <v/>
      </c>
      <c r="AO52" s="22" t="str">
        <f t="shared" si="100"/>
        <v/>
      </c>
      <c r="AQ52" s="21" t="str">
        <f t="shared" si="101"/>
        <v>Apprenant 40</v>
      </c>
      <c r="AR52" s="49" t="str">
        <f>IF(AND('Choix pédagogiques'!$C$4&lt;&gt;"?",'Choix pédagogiques'!$C$5&lt;&gt;"?",W52&lt;&gt;""),(W52-'Choix pédagogiques'!$C$4)/('Choix pédagogiques'!$C$5-'Choix pédagogiques'!$C$4),"")</f>
        <v/>
      </c>
      <c r="AS52" s="49" t="str">
        <f>IF(AND('Choix pédagogiques'!$C$4&lt;&gt;"?",'Choix pédagogiques'!$C$5&lt;&gt;"?",X52&lt;&gt;""),(X52-'Choix pédagogiques'!$C$4)/('Choix pédagogiques'!$C$5-'Choix pédagogiques'!$C$4),"")</f>
        <v/>
      </c>
      <c r="AT52" s="49" t="str">
        <f>IF(AND('Choix pédagogiques'!$C$4&lt;&gt;"?",'Choix pédagogiques'!$C$5&lt;&gt;"?",Y52&lt;&gt;""),(Y52-'Choix pédagogiques'!$C$4)/('Choix pédagogiques'!$C$5-'Choix pédagogiques'!$C$4),"")</f>
        <v/>
      </c>
      <c r="AU52" s="22" t="str">
        <f t="shared" si="102"/>
        <v/>
      </c>
      <c r="AV52" s="21" t="str">
        <f t="shared" si="103"/>
        <v>Apprenant 40 ou 40'</v>
      </c>
      <c r="AW52" s="49" t="str">
        <f>IF(AND('Choix pédagogiques'!$C$4&lt;&gt;"?",'Choix pédagogiques'!$C$5&lt;&gt;"?",AB52&lt;&gt;""),(AB52-'Choix pédagogiques'!$C$4)/('Choix pédagogiques'!$C$5-'Choix pédagogiques'!$C$4),"")</f>
        <v/>
      </c>
      <c r="AX52" s="49" t="str">
        <f>IF(AND('Choix pédagogiques'!$C$4&lt;&gt;"?",'Choix pédagogiques'!$C$5&lt;&gt;"?",AC52&lt;&gt;""),(AC52-'Choix pédagogiques'!$C$4)/('Choix pédagogiques'!$C$5-'Choix pédagogiques'!$C$4),"")</f>
        <v/>
      </c>
      <c r="AY52" s="49" t="str">
        <f>IF(AND('Choix pédagogiques'!$C$4&lt;&gt;"?",'Choix pédagogiques'!$C$5&lt;&gt;"?",AD52&lt;&gt;""),(AD52-'Choix pédagogiques'!$C$4)/('Choix pédagogiques'!$C$5-'Choix pédagogiques'!$C$4),"")</f>
        <v/>
      </c>
      <c r="AZ52" s="22" t="str">
        <f t="shared" si="104"/>
        <v/>
      </c>
      <c r="BA52" s="21" t="str">
        <f t="shared" si="105"/>
        <v>Apprenant 40</v>
      </c>
      <c r="BB52" s="49" t="str">
        <f t="shared" si="77"/>
        <v/>
      </c>
      <c r="BC52" s="49" t="str">
        <f t="shared" si="78"/>
        <v/>
      </c>
      <c r="BD52" s="49" t="str">
        <f t="shared" si="79"/>
        <v/>
      </c>
      <c r="BE52" s="22" t="str">
        <f t="shared" si="106"/>
        <v/>
      </c>
      <c r="BF52" s="21" t="str">
        <f t="shared" si="107"/>
        <v>Apprenant 40 ou 40'</v>
      </c>
      <c r="BG52" s="49" t="str">
        <f t="shared" si="80"/>
        <v/>
      </c>
      <c r="BH52" s="49" t="str">
        <f t="shared" si="81"/>
        <v/>
      </c>
      <c r="BI52" s="49" t="str">
        <f t="shared" si="82"/>
        <v/>
      </c>
      <c r="BJ52" s="22" t="str">
        <f t="shared" si="108"/>
        <v/>
      </c>
      <c r="BL52" s="21"/>
      <c r="BM52" s="21" t="str">
        <f>IF(OR(COUNT(B52:D1051)=0,AND('Choix pédagogiques'!$C$3&lt;&gt;1,'Choix pédagogiques'!$C$3&lt;&gt;2)),"",IF(AND(OR('Choix pédagogiques'!$C$3=1,'Choix pédagogiques'!$C$3=2),$B52&lt;&gt;"",$C52&lt;&gt;"",$D52&lt;&gt;""),1,0))</f>
        <v/>
      </c>
      <c r="BN52" s="21" t="str">
        <f>IF(OR(COUNT(G52:I1051)=0,AND('Choix pédagogiques'!$C$3&lt;&gt;1,'Choix pédagogiques'!$C$3&lt;&gt;2)),"",IF(AND(OR('Choix pédagogiques'!$C$3=1,'Choix pédagogiques'!$C$3=2),AND($G52&lt;&gt;"",$H52&lt;&gt;"",$I52&lt;&gt;"")),1,0))</f>
        <v/>
      </c>
      <c r="BO52" s="21" t="str">
        <f>IF(OR(COUNT(B52:D1051)=0,COUNT(G52:I1051)=0,'Choix pédagogiques'!C$3&lt;&gt;3),"",IF(AND('Choix pédagogiques'!$C$3=3,$B52&lt;&gt;"",$C52&lt;&gt;"",$D52&lt;&gt;"",$G52&lt;&gt;"",$H52&lt;&gt;"",$I52&lt;&gt;""),1,0))</f>
        <v/>
      </c>
      <c r="BR52" s="21">
        <v>628</v>
      </c>
      <c r="BS52" s="21">
        <v>1589</v>
      </c>
      <c r="BT52"/>
    </row>
    <row r="53" spans="1:72" s="23" customFormat="1" ht="18" customHeight="1" x14ac:dyDescent="0.3">
      <c r="A53" s="35" t="s">
        <v>43</v>
      </c>
      <c r="B53" s="36"/>
      <c r="C53" s="36"/>
      <c r="D53" s="36"/>
      <c r="E53" s="37"/>
      <c r="F53" s="35" t="s">
        <v>1051</v>
      </c>
      <c r="G53" s="36"/>
      <c r="H53" s="36"/>
      <c r="I53" s="36"/>
      <c r="J53" s="37"/>
      <c r="K53" s="21" t="str">
        <f t="shared" si="83"/>
        <v>Apprenant 41</v>
      </c>
      <c r="L53" s="22" t="str">
        <f t="shared" si="84"/>
        <v/>
      </c>
      <c r="M53" s="22" t="str">
        <f t="shared" si="85"/>
        <v/>
      </c>
      <c r="N53" s="22" t="str">
        <f t="shared" si="86"/>
        <v/>
      </c>
      <c r="O53" s="22" t="str">
        <f t="shared" si="87"/>
        <v/>
      </c>
      <c r="P53" s="21" t="str">
        <f t="shared" si="88"/>
        <v>Apprenant 41 ou 41'</v>
      </c>
      <c r="Q53" s="22" t="str">
        <f t="shared" si="89"/>
        <v/>
      </c>
      <c r="R53" s="22" t="str">
        <f t="shared" si="90"/>
        <v/>
      </c>
      <c r="S53" s="22" t="str">
        <f t="shared" si="91"/>
        <v/>
      </c>
      <c r="T53" s="22" t="str">
        <f t="shared" si="92"/>
        <v/>
      </c>
      <c r="V53" s="21" t="str">
        <f t="shared" si="93"/>
        <v>Apprenant 41</v>
      </c>
      <c r="W53" s="22" t="str">
        <f>IF(AND(OR('Choix pédagogiques'!$C$3=1,'Choix pédagogiques'!$C$3=2),$BM53=1),B53,IF(AND('Choix pédagogiques'!$C$3=3,$BO53=1),B53,""))</f>
        <v/>
      </c>
      <c r="X53" s="22" t="str">
        <f>IF(AND(OR('Choix pédagogiques'!$C$3=1,'Choix pédagogiques'!$C$3=2),$BM53=1),C53,IF(AND('Choix pédagogiques'!$C$3=3,$BO53=1),C53,""))</f>
        <v/>
      </c>
      <c r="Y53" s="22" t="str">
        <f>IF(AND(OR('Choix pédagogiques'!$C$3=1,'Choix pédagogiques'!$C$3=2),$BM53=1),D53,IF(AND('Choix pédagogiques'!$C$3=3,$BO53=1),D53,""))</f>
        <v/>
      </c>
      <c r="Z53" s="22" t="str">
        <f t="shared" si="94"/>
        <v/>
      </c>
      <c r="AA53" s="21" t="str">
        <f t="shared" si="95"/>
        <v>Apprenant 41 ou 41'</v>
      </c>
      <c r="AB53" s="22" t="str">
        <f>IF(AND(OR('Choix pédagogiques'!$C$3=1,'Choix pédagogiques'!$C$3=2),$BN53=1),G53,IF(AND('Choix pédagogiques'!$C$3=3,$BO53=1),G53,""))</f>
        <v/>
      </c>
      <c r="AC53" s="22" t="str">
        <f>IF(AND(OR('Choix pédagogiques'!$C$3=1,'Choix pédagogiques'!$C$3=2),$BN53=1),H53,IF(AND('Choix pédagogiques'!$C$3=3,$BO53=1),H53,""))</f>
        <v/>
      </c>
      <c r="AD53" s="22" t="str">
        <f>IF(AND(OR('Choix pédagogiques'!$C$3=1,'Choix pédagogiques'!$C$3=2),$BN53=1),I53,IF(AND('Choix pédagogiques'!$C$3=3,$BO53=1),I53,""))</f>
        <v/>
      </c>
      <c r="AE53" s="22" t="str">
        <f t="shared" si="96"/>
        <v/>
      </c>
      <c r="AF53" s="21" t="str">
        <f t="shared" si="97"/>
        <v>Apprenant 41</v>
      </c>
      <c r="AG53" s="22" t="str">
        <f t="shared" si="71"/>
        <v/>
      </c>
      <c r="AH53" s="22" t="str">
        <f t="shared" si="72"/>
        <v/>
      </c>
      <c r="AI53" s="22" t="str">
        <f t="shared" si="73"/>
        <v/>
      </c>
      <c r="AJ53" s="22" t="str">
        <f t="shared" si="98"/>
        <v/>
      </c>
      <c r="AK53" s="21" t="str">
        <f t="shared" si="99"/>
        <v>Apprenant 41 ou 41'</v>
      </c>
      <c r="AL53" s="22" t="str">
        <f t="shared" si="74"/>
        <v/>
      </c>
      <c r="AM53" s="22" t="str">
        <f t="shared" si="75"/>
        <v/>
      </c>
      <c r="AN53" s="22" t="str">
        <f t="shared" si="76"/>
        <v/>
      </c>
      <c r="AO53" s="22" t="str">
        <f t="shared" si="100"/>
        <v/>
      </c>
      <c r="AQ53" s="21" t="str">
        <f t="shared" si="101"/>
        <v>Apprenant 41</v>
      </c>
      <c r="AR53" s="49" t="str">
        <f>IF(AND('Choix pédagogiques'!$C$4&lt;&gt;"?",'Choix pédagogiques'!$C$5&lt;&gt;"?",W53&lt;&gt;""),(W53-'Choix pédagogiques'!$C$4)/('Choix pédagogiques'!$C$5-'Choix pédagogiques'!$C$4),"")</f>
        <v/>
      </c>
      <c r="AS53" s="49" t="str">
        <f>IF(AND('Choix pédagogiques'!$C$4&lt;&gt;"?",'Choix pédagogiques'!$C$5&lt;&gt;"?",X53&lt;&gt;""),(X53-'Choix pédagogiques'!$C$4)/('Choix pédagogiques'!$C$5-'Choix pédagogiques'!$C$4),"")</f>
        <v/>
      </c>
      <c r="AT53" s="49" t="str">
        <f>IF(AND('Choix pédagogiques'!$C$4&lt;&gt;"?",'Choix pédagogiques'!$C$5&lt;&gt;"?",Y53&lt;&gt;""),(Y53-'Choix pédagogiques'!$C$4)/('Choix pédagogiques'!$C$5-'Choix pédagogiques'!$C$4),"")</f>
        <v/>
      </c>
      <c r="AU53" s="22" t="str">
        <f t="shared" si="102"/>
        <v/>
      </c>
      <c r="AV53" s="21" t="str">
        <f t="shared" si="103"/>
        <v>Apprenant 41 ou 41'</v>
      </c>
      <c r="AW53" s="49" t="str">
        <f>IF(AND('Choix pédagogiques'!$C$4&lt;&gt;"?",'Choix pédagogiques'!$C$5&lt;&gt;"?",AB53&lt;&gt;""),(AB53-'Choix pédagogiques'!$C$4)/('Choix pédagogiques'!$C$5-'Choix pédagogiques'!$C$4),"")</f>
        <v/>
      </c>
      <c r="AX53" s="49" t="str">
        <f>IF(AND('Choix pédagogiques'!$C$4&lt;&gt;"?",'Choix pédagogiques'!$C$5&lt;&gt;"?",AC53&lt;&gt;""),(AC53-'Choix pédagogiques'!$C$4)/('Choix pédagogiques'!$C$5-'Choix pédagogiques'!$C$4),"")</f>
        <v/>
      </c>
      <c r="AY53" s="49" t="str">
        <f>IF(AND('Choix pédagogiques'!$C$4&lt;&gt;"?",'Choix pédagogiques'!$C$5&lt;&gt;"?",AD53&lt;&gt;""),(AD53-'Choix pédagogiques'!$C$4)/('Choix pédagogiques'!$C$5-'Choix pédagogiques'!$C$4),"")</f>
        <v/>
      </c>
      <c r="AZ53" s="22" t="str">
        <f t="shared" si="104"/>
        <v/>
      </c>
      <c r="BA53" s="21" t="str">
        <f t="shared" si="105"/>
        <v>Apprenant 41</v>
      </c>
      <c r="BB53" s="49" t="str">
        <f t="shared" si="77"/>
        <v/>
      </c>
      <c r="BC53" s="49" t="str">
        <f t="shared" si="78"/>
        <v/>
      </c>
      <c r="BD53" s="49" t="str">
        <f t="shared" si="79"/>
        <v/>
      </c>
      <c r="BE53" s="22" t="str">
        <f t="shared" si="106"/>
        <v/>
      </c>
      <c r="BF53" s="21" t="str">
        <f t="shared" si="107"/>
        <v>Apprenant 41 ou 41'</v>
      </c>
      <c r="BG53" s="49" t="str">
        <f t="shared" si="80"/>
        <v/>
      </c>
      <c r="BH53" s="49" t="str">
        <f t="shared" si="81"/>
        <v/>
      </c>
      <c r="BI53" s="49" t="str">
        <f t="shared" si="82"/>
        <v/>
      </c>
      <c r="BJ53" s="22" t="str">
        <f t="shared" si="108"/>
        <v/>
      </c>
      <c r="BL53" s="21"/>
      <c r="BM53" s="21" t="str">
        <f>IF(OR(COUNT(B53:D1052)=0,AND('Choix pédagogiques'!$C$3&lt;&gt;1,'Choix pédagogiques'!$C$3&lt;&gt;2)),"",IF(AND(OR('Choix pédagogiques'!$C$3=1,'Choix pédagogiques'!$C$3=2),$B53&lt;&gt;"",$C53&lt;&gt;"",$D53&lt;&gt;""),1,0))</f>
        <v/>
      </c>
      <c r="BN53" s="21" t="str">
        <f>IF(OR(COUNT(G53:I1052)=0,AND('Choix pédagogiques'!$C$3&lt;&gt;1,'Choix pédagogiques'!$C$3&lt;&gt;2)),"",IF(AND(OR('Choix pédagogiques'!$C$3=1,'Choix pédagogiques'!$C$3=2),AND($G53&lt;&gt;"",$H53&lt;&gt;"",$I53&lt;&gt;"")),1,0))</f>
        <v/>
      </c>
      <c r="BO53" s="21" t="str">
        <f>IF(OR(COUNT(B53:D1052)=0,COUNT(G53:I1052)=0,'Choix pédagogiques'!C$3&lt;&gt;3),"",IF(AND('Choix pédagogiques'!$C$3=3,$B53&lt;&gt;"",$C53&lt;&gt;"",$D53&lt;&gt;"",$G53&lt;&gt;"",$H53&lt;&gt;"",$I53&lt;&gt;""),1,0))</f>
        <v/>
      </c>
      <c r="BR53" s="21">
        <v>283</v>
      </c>
      <c r="BS53" s="21">
        <v>1299</v>
      </c>
      <c r="BT53"/>
    </row>
    <row r="54" spans="1:72" s="23" customFormat="1" ht="18" customHeight="1" x14ac:dyDescent="0.3">
      <c r="A54" s="35" t="s">
        <v>44</v>
      </c>
      <c r="B54" s="36"/>
      <c r="C54" s="36"/>
      <c r="D54" s="36"/>
      <c r="E54" s="37"/>
      <c r="F54" s="35" t="s">
        <v>1052</v>
      </c>
      <c r="G54" s="36"/>
      <c r="H54" s="36"/>
      <c r="I54" s="36"/>
      <c r="J54" s="37"/>
      <c r="K54" s="21" t="str">
        <f t="shared" si="83"/>
        <v>Apprenant 42</v>
      </c>
      <c r="L54" s="22" t="str">
        <f t="shared" si="84"/>
        <v/>
      </c>
      <c r="M54" s="22" t="str">
        <f t="shared" si="85"/>
        <v/>
      </c>
      <c r="N54" s="22" t="str">
        <f t="shared" si="86"/>
        <v/>
      </c>
      <c r="O54" s="22" t="str">
        <f t="shared" si="87"/>
        <v/>
      </c>
      <c r="P54" s="21" t="str">
        <f t="shared" si="88"/>
        <v>Apprenant 42 ou 42'</v>
      </c>
      <c r="Q54" s="22" t="str">
        <f t="shared" si="89"/>
        <v/>
      </c>
      <c r="R54" s="22" t="str">
        <f t="shared" si="90"/>
        <v/>
      </c>
      <c r="S54" s="22" t="str">
        <f t="shared" si="91"/>
        <v/>
      </c>
      <c r="T54" s="22" t="str">
        <f t="shared" si="92"/>
        <v/>
      </c>
      <c r="V54" s="21" t="str">
        <f t="shared" si="93"/>
        <v>Apprenant 42</v>
      </c>
      <c r="W54" s="22" t="str">
        <f>IF(AND(OR('Choix pédagogiques'!$C$3=1,'Choix pédagogiques'!$C$3=2),$BM54=1),B54,IF(AND('Choix pédagogiques'!$C$3=3,$BO54=1),B54,""))</f>
        <v/>
      </c>
      <c r="X54" s="22" t="str">
        <f>IF(AND(OR('Choix pédagogiques'!$C$3=1,'Choix pédagogiques'!$C$3=2),$BM54=1),C54,IF(AND('Choix pédagogiques'!$C$3=3,$BO54=1),C54,""))</f>
        <v/>
      </c>
      <c r="Y54" s="22" t="str">
        <f>IF(AND(OR('Choix pédagogiques'!$C$3=1,'Choix pédagogiques'!$C$3=2),$BM54=1),D54,IF(AND('Choix pédagogiques'!$C$3=3,$BO54=1),D54,""))</f>
        <v/>
      </c>
      <c r="Z54" s="22" t="str">
        <f t="shared" si="94"/>
        <v/>
      </c>
      <c r="AA54" s="21" t="str">
        <f t="shared" si="95"/>
        <v>Apprenant 42 ou 42'</v>
      </c>
      <c r="AB54" s="22" t="str">
        <f>IF(AND(OR('Choix pédagogiques'!$C$3=1,'Choix pédagogiques'!$C$3=2),$BN54=1),G54,IF(AND('Choix pédagogiques'!$C$3=3,$BO54=1),G54,""))</f>
        <v/>
      </c>
      <c r="AC54" s="22" t="str">
        <f>IF(AND(OR('Choix pédagogiques'!$C$3=1,'Choix pédagogiques'!$C$3=2),$BN54=1),H54,IF(AND('Choix pédagogiques'!$C$3=3,$BO54=1),H54,""))</f>
        <v/>
      </c>
      <c r="AD54" s="22" t="str">
        <f>IF(AND(OR('Choix pédagogiques'!$C$3=1,'Choix pédagogiques'!$C$3=2),$BN54=1),I54,IF(AND('Choix pédagogiques'!$C$3=3,$BO54=1),I54,""))</f>
        <v/>
      </c>
      <c r="AE54" s="22" t="str">
        <f t="shared" si="96"/>
        <v/>
      </c>
      <c r="AF54" s="21" t="str">
        <f t="shared" si="97"/>
        <v>Apprenant 42</v>
      </c>
      <c r="AG54" s="22" t="str">
        <f t="shared" si="71"/>
        <v/>
      </c>
      <c r="AH54" s="22" t="str">
        <f t="shared" si="72"/>
        <v/>
      </c>
      <c r="AI54" s="22" t="str">
        <f t="shared" si="73"/>
        <v/>
      </c>
      <c r="AJ54" s="22" t="str">
        <f t="shared" si="98"/>
        <v/>
      </c>
      <c r="AK54" s="21" t="str">
        <f t="shared" si="99"/>
        <v>Apprenant 42 ou 42'</v>
      </c>
      <c r="AL54" s="22" t="str">
        <f t="shared" si="74"/>
        <v/>
      </c>
      <c r="AM54" s="22" t="str">
        <f t="shared" si="75"/>
        <v/>
      </c>
      <c r="AN54" s="22" t="str">
        <f t="shared" si="76"/>
        <v/>
      </c>
      <c r="AO54" s="22" t="str">
        <f t="shared" si="100"/>
        <v/>
      </c>
      <c r="AQ54" s="21" t="str">
        <f t="shared" si="101"/>
        <v>Apprenant 42</v>
      </c>
      <c r="AR54" s="49" t="str">
        <f>IF(AND('Choix pédagogiques'!$C$4&lt;&gt;"?",'Choix pédagogiques'!$C$5&lt;&gt;"?",W54&lt;&gt;""),(W54-'Choix pédagogiques'!$C$4)/('Choix pédagogiques'!$C$5-'Choix pédagogiques'!$C$4),"")</f>
        <v/>
      </c>
      <c r="AS54" s="49" t="str">
        <f>IF(AND('Choix pédagogiques'!$C$4&lt;&gt;"?",'Choix pédagogiques'!$C$5&lt;&gt;"?",X54&lt;&gt;""),(X54-'Choix pédagogiques'!$C$4)/('Choix pédagogiques'!$C$5-'Choix pédagogiques'!$C$4),"")</f>
        <v/>
      </c>
      <c r="AT54" s="49" t="str">
        <f>IF(AND('Choix pédagogiques'!$C$4&lt;&gt;"?",'Choix pédagogiques'!$C$5&lt;&gt;"?",Y54&lt;&gt;""),(Y54-'Choix pédagogiques'!$C$4)/('Choix pédagogiques'!$C$5-'Choix pédagogiques'!$C$4),"")</f>
        <v/>
      </c>
      <c r="AU54" s="22" t="str">
        <f t="shared" si="102"/>
        <v/>
      </c>
      <c r="AV54" s="21" t="str">
        <f t="shared" si="103"/>
        <v>Apprenant 42 ou 42'</v>
      </c>
      <c r="AW54" s="49" t="str">
        <f>IF(AND('Choix pédagogiques'!$C$4&lt;&gt;"?",'Choix pédagogiques'!$C$5&lt;&gt;"?",AB54&lt;&gt;""),(AB54-'Choix pédagogiques'!$C$4)/('Choix pédagogiques'!$C$5-'Choix pédagogiques'!$C$4),"")</f>
        <v/>
      </c>
      <c r="AX54" s="49" t="str">
        <f>IF(AND('Choix pédagogiques'!$C$4&lt;&gt;"?",'Choix pédagogiques'!$C$5&lt;&gt;"?",AC54&lt;&gt;""),(AC54-'Choix pédagogiques'!$C$4)/('Choix pédagogiques'!$C$5-'Choix pédagogiques'!$C$4),"")</f>
        <v/>
      </c>
      <c r="AY54" s="49" t="str">
        <f>IF(AND('Choix pédagogiques'!$C$4&lt;&gt;"?",'Choix pédagogiques'!$C$5&lt;&gt;"?",AD54&lt;&gt;""),(AD54-'Choix pédagogiques'!$C$4)/('Choix pédagogiques'!$C$5-'Choix pédagogiques'!$C$4),"")</f>
        <v/>
      </c>
      <c r="AZ54" s="22" t="str">
        <f t="shared" si="104"/>
        <v/>
      </c>
      <c r="BA54" s="21" t="str">
        <f t="shared" si="105"/>
        <v>Apprenant 42</v>
      </c>
      <c r="BB54" s="49" t="str">
        <f t="shared" si="77"/>
        <v/>
      </c>
      <c r="BC54" s="49" t="str">
        <f t="shared" si="78"/>
        <v/>
      </c>
      <c r="BD54" s="49" t="str">
        <f t="shared" si="79"/>
        <v/>
      </c>
      <c r="BE54" s="22" t="str">
        <f t="shared" si="106"/>
        <v/>
      </c>
      <c r="BF54" s="21" t="str">
        <f t="shared" si="107"/>
        <v>Apprenant 42 ou 42'</v>
      </c>
      <c r="BG54" s="49" t="str">
        <f t="shared" si="80"/>
        <v/>
      </c>
      <c r="BH54" s="49" t="str">
        <f t="shared" si="81"/>
        <v/>
      </c>
      <c r="BI54" s="49" t="str">
        <f t="shared" si="82"/>
        <v/>
      </c>
      <c r="BJ54" s="22" t="str">
        <f t="shared" si="108"/>
        <v/>
      </c>
      <c r="BL54" s="21"/>
      <c r="BM54" s="21" t="str">
        <f>IF(OR(COUNT(B54:D1053)=0,AND('Choix pédagogiques'!$C$3&lt;&gt;1,'Choix pédagogiques'!$C$3&lt;&gt;2)),"",IF(AND(OR('Choix pédagogiques'!$C$3=1,'Choix pédagogiques'!$C$3=2),$B54&lt;&gt;"",$C54&lt;&gt;"",$D54&lt;&gt;""),1,0))</f>
        <v/>
      </c>
      <c r="BN54" s="21" t="str">
        <f>IF(OR(COUNT(G54:I1053)=0,AND('Choix pédagogiques'!$C$3&lt;&gt;1,'Choix pédagogiques'!$C$3&lt;&gt;2)),"",IF(AND(OR('Choix pédagogiques'!$C$3=1,'Choix pédagogiques'!$C$3=2),AND($G54&lt;&gt;"",$H54&lt;&gt;"",$I54&lt;&gt;"")),1,0))</f>
        <v/>
      </c>
      <c r="BO54" s="21" t="str">
        <f>IF(OR(COUNT(B54:D1053)=0,COUNT(G54:I1053)=0,'Choix pédagogiques'!C$3&lt;&gt;3),"",IF(AND('Choix pédagogiques'!$C$3=3,$B54&lt;&gt;"",$C54&lt;&gt;"",$D54&lt;&gt;"",$G54&lt;&gt;"",$H54&lt;&gt;"",$I54&lt;&gt;""),1,0))</f>
        <v/>
      </c>
      <c r="BR54" s="21">
        <v>420</v>
      </c>
      <c r="BS54" s="21">
        <v>1048</v>
      </c>
      <c r="BT54"/>
    </row>
    <row r="55" spans="1:72" s="23" customFormat="1" ht="18" customHeight="1" x14ac:dyDescent="0.3">
      <c r="A55" s="35" t="s">
        <v>45</v>
      </c>
      <c r="B55" s="36"/>
      <c r="C55" s="36"/>
      <c r="D55" s="36"/>
      <c r="E55" s="37"/>
      <c r="F55" s="35" t="s">
        <v>1053</v>
      </c>
      <c r="G55" s="36"/>
      <c r="H55" s="36"/>
      <c r="I55" s="36"/>
      <c r="J55" s="37"/>
      <c r="K55" s="21" t="str">
        <f t="shared" si="83"/>
        <v>Apprenant 43</v>
      </c>
      <c r="L55" s="22" t="str">
        <f t="shared" si="84"/>
        <v/>
      </c>
      <c r="M55" s="22" t="str">
        <f t="shared" si="85"/>
        <v/>
      </c>
      <c r="N55" s="22" t="str">
        <f t="shared" si="86"/>
        <v/>
      </c>
      <c r="O55" s="22" t="str">
        <f t="shared" si="87"/>
        <v/>
      </c>
      <c r="P55" s="21" t="str">
        <f t="shared" si="88"/>
        <v>Apprenant 43 ou 43'</v>
      </c>
      <c r="Q55" s="22" t="str">
        <f t="shared" si="89"/>
        <v/>
      </c>
      <c r="R55" s="22" t="str">
        <f t="shared" si="90"/>
        <v/>
      </c>
      <c r="S55" s="22" t="str">
        <f t="shared" si="91"/>
        <v/>
      </c>
      <c r="T55" s="22" t="str">
        <f t="shared" si="92"/>
        <v/>
      </c>
      <c r="V55" s="21" t="str">
        <f t="shared" si="93"/>
        <v>Apprenant 43</v>
      </c>
      <c r="W55" s="22" t="str">
        <f>IF(AND(OR('Choix pédagogiques'!$C$3=1,'Choix pédagogiques'!$C$3=2),$BM55=1),B55,IF(AND('Choix pédagogiques'!$C$3=3,$BO55=1),B55,""))</f>
        <v/>
      </c>
      <c r="X55" s="22" t="str">
        <f>IF(AND(OR('Choix pédagogiques'!$C$3=1,'Choix pédagogiques'!$C$3=2),$BM55=1),C55,IF(AND('Choix pédagogiques'!$C$3=3,$BO55=1),C55,""))</f>
        <v/>
      </c>
      <c r="Y55" s="22" t="str">
        <f>IF(AND(OR('Choix pédagogiques'!$C$3=1,'Choix pédagogiques'!$C$3=2),$BM55=1),D55,IF(AND('Choix pédagogiques'!$C$3=3,$BO55=1),D55,""))</f>
        <v/>
      </c>
      <c r="Z55" s="22" t="str">
        <f t="shared" si="94"/>
        <v/>
      </c>
      <c r="AA55" s="21" t="str">
        <f t="shared" si="95"/>
        <v>Apprenant 43 ou 43'</v>
      </c>
      <c r="AB55" s="22" t="str">
        <f>IF(AND(OR('Choix pédagogiques'!$C$3=1,'Choix pédagogiques'!$C$3=2),$BN55=1),G55,IF(AND('Choix pédagogiques'!$C$3=3,$BO55=1),G55,""))</f>
        <v/>
      </c>
      <c r="AC55" s="22" t="str">
        <f>IF(AND(OR('Choix pédagogiques'!$C$3=1,'Choix pédagogiques'!$C$3=2),$BN55=1),H55,IF(AND('Choix pédagogiques'!$C$3=3,$BO55=1),H55,""))</f>
        <v/>
      </c>
      <c r="AD55" s="22" t="str">
        <f>IF(AND(OR('Choix pédagogiques'!$C$3=1,'Choix pédagogiques'!$C$3=2),$BN55=1),I55,IF(AND('Choix pédagogiques'!$C$3=3,$BO55=1),I55,""))</f>
        <v/>
      </c>
      <c r="AE55" s="22" t="str">
        <f t="shared" si="96"/>
        <v/>
      </c>
      <c r="AF55" s="21" t="str">
        <f t="shared" si="97"/>
        <v>Apprenant 43</v>
      </c>
      <c r="AG55" s="22" t="str">
        <f t="shared" si="71"/>
        <v/>
      </c>
      <c r="AH55" s="22" t="str">
        <f t="shared" si="72"/>
        <v/>
      </c>
      <c r="AI55" s="22" t="str">
        <f t="shared" si="73"/>
        <v/>
      </c>
      <c r="AJ55" s="22" t="str">
        <f t="shared" si="98"/>
        <v/>
      </c>
      <c r="AK55" s="21" t="str">
        <f t="shared" si="99"/>
        <v>Apprenant 43 ou 43'</v>
      </c>
      <c r="AL55" s="22" t="str">
        <f t="shared" si="74"/>
        <v/>
      </c>
      <c r="AM55" s="22" t="str">
        <f t="shared" si="75"/>
        <v/>
      </c>
      <c r="AN55" s="22" t="str">
        <f t="shared" si="76"/>
        <v/>
      </c>
      <c r="AO55" s="22" t="str">
        <f t="shared" si="100"/>
        <v/>
      </c>
      <c r="AQ55" s="21" t="str">
        <f t="shared" si="101"/>
        <v>Apprenant 43</v>
      </c>
      <c r="AR55" s="49" t="str">
        <f>IF(AND('Choix pédagogiques'!$C$4&lt;&gt;"?",'Choix pédagogiques'!$C$5&lt;&gt;"?",W55&lt;&gt;""),(W55-'Choix pédagogiques'!$C$4)/('Choix pédagogiques'!$C$5-'Choix pédagogiques'!$C$4),"")</f>
        <v/>
      </c>
      <c r="AS55" s="49" t="str">
        <f>IF(AND('Choix pédagogiques'!$C$4&lt;&gt;"?",'Choix pédagogiques'!$C$5&lt;&gt;"?",X55&lt;&gt;""),(X55-'Choix pédagogiques'!$C$4)/('Choix pédagogiques'!$C$5-'Choix pédagogiques'!$C$4),"")</f>
        <v/>
      </c>
      <c r="AT55" s="49" t="str">
        <f>IF(AND('Choix pédagogiques'!$C$4&lt;&gt;"?",'Choix pédagogiques'!$C$5&lt;&gt;"?",Y55&lt;&gt;""),(Y55-'Choix pédagogiques'!$C$4)/('Choix pédagogiques'!$C$5-'Choix pédagogiques'!$C$4),"")</f>
        <v/>
      </c>
      <c r="AU55" s="22" t="str">
        <f t="shared" si="102"/>
        <v/>
      </c>
      <c r="AV55" s="21" t="str">
        <f t="shared" si="103"/>
        <v>Apprenant 43 ou 43'</v>
      </c>
      <c r="AW55" s="49" t="str">
        <f>IF(AND('Choix pédagogiques'!$C$4&lt;&gt;"?",'Choix pédagogiques'!$C$5&lt;&gt;"?",AB55&lt;&gt;""),(AB55-'Choix pédagogiques'!$C$4)/('Choix pédagogiques'!$C$5-'Choix pédagogiques'!$C$4),"")</f>
        <v/>
      </c>
      <c r="AX55" s="49" t="str">
        <f>IF(AND('Choix pédagogiques'!$C$4&lt;&gt;"?",'Choix pédagogiques'!$C$5&lt;&gt;"?",AC55&lt;&gt;""),(AC55-'Choix pédagogiques'!$C$4)/('Choix pédagogiques'!$C$5-'Choix pédagogiques'!$C$4),"")</f>
        <v/>
      </c>
      <c r="AY55" s="49" t="str">
        <f>IF(AND('Choix pédagogiques'!$C$4&lt;&gt;"?",'Choix pédagogiques'!$C$5&lt;&gt;"?",AD55&lt;&gt;""),(AD55-'Choix pédagogiques'!$C$4)/('Choix pédagogiques'!$C$5-'Choix pédagogiques'!$C$4),"")</f>
        <v/>
      </c>
      <c r="AZ55" s="22" t="str">
        <f t="shared" si="104"/>
        <v/>
      </c>
      <c r="BA55" s="21" t="str">
        <f t="shared" si="105"/>
        <v>Apprenant 43</v>
      </c>
      <c r="BB55" s="49" t="str">
        <f t="shared" si="77"/>
        <v/>
      </c>
      <c r="BC55" s="49" t="str">
        <f t="shared" si="78"/>
        <v/>
      </c>
      <c r="BD55" s="49" t="str">
        <f t="shared" si="79"/>
        <v/>
      </c>
      <c r="BE55" s="22" t="str">
        <f t="shared" si="106"/>
        <v/>
      </c>
      <c r="BF55" s="21" t="str">
        <f t="shared" si="107"/>
        <v>Apprenant 43 ou 43'</v>
      </c>
      <c r="BG55" s="49" t="str">
        <f t="shared" si="80"/>
        <v/>
      </c>
      <c r="BH55" s="49" t="str">
        <f t="shared" si="81"/>
        <v/>
      </c>
      <c r="BI55" s="49" t="str">
        <f t="shared" si="82"/>
        <v/>
      </c>
      <c r="BJ55" s="22" t="str">
        <f t="shared" si="108"/>
        <v/>
      </c>
      <c r="BL55" s="21"/>
      <c r="BM55" s="21" t="str">
        <f>IF(OR(COUNT(B55:D1054)=0,AND('Choix pédagogiques'!$C$3&lt;&gt;1,'Choix pédagogiques'!$C$3&lt;&gt;2)),"",IF(AND(OR('Choix pédagogiques'!$C$3=1,'Choix pédagogiques'!$C$3=2),$B55&lt;&gt;"",$C55&lt;&gt;"",$D55&lt;&gt;""),1,0))</f>
        <v/>
      </c>
      <c r="BN55" s="21" t="str">
        <f>IF(OR(COUNT(G55:I1054)=0,AND('Choix pédagogiques'!$C$3&lt;&gt;1,'Choix pédagogiques'!$C$3&lt;&gt;2)),"",IF(AND(OR('Choix pédagogiques'!$C$3=1,'Choix pédagogiques'!$C$3=2),AND($G55&lt;&gt;"",$H55&lt;&gt;"",$I55&lt;&gt;"")),1,0))</f>
        <v/>
      </c>
      <c r="BO55" s="21" t="str">
        <f>IF(OR(COUNT(B55:D1054)=0,COUNT(G55:I1054)=0,'Choix pédagogiques'!C$3&lt;&gt;3),"",IF(AND('Choix pédagogiques'!$C$3=3,$B55&lt;&gt;"",$C55&lt;&gt;"",$D55&lt;&gt;"",$G55&lt;&gt;"",$H55&lt;&gt;"",$I55&lt;&gt;""),1,0))</f>
        <v/>
      </c>
      <c r="BR55" s="21">
        <v>556</v>
      </c>
      <c r="BS55" s="21">
        <v>1110</v>
      </c>
      <c r="BT55"/>
    </row>
    <row r="56" spans="1:72" s="23" customFormat="1" ht="18" customHeight="1" x14ac:dyDescent="0.3">
      <c r="A56" s="35" t="s">
        <v>46</v>
      </c>
      <c r="B56" s="36"/>
      <c r="C56" s="36"/>
      <c r="D56" s="36"/>
      <c r="E56" s="37"/>
      <c r="F56" s="35" t="s">
        <v>1054</v>
      </c>
      <c r="G56" s="36"/>
      <c r="H56" s="36"/>
      <c r="I56" s="36"/>
      <c r="J56" s="37"/>
      <c r="K56" s="21" t="str">
        <f t="shared" si="83"/>
        <v>Apprenant 44</v>
      </c>
      <c r="L56" s="22" t="str">
        <f t="shared" si="84"/>
        <v/>
      </c>
      <c r="M56" s="22" t="str">
        <f t="shared" si="85"/>
        <v/>
      </c>
      <c r="N56" s="22" t="str">
        <f t="shared" si="86"/>
        <v/>
      </c>
      <c r="O56" s="22" t="str">
        <f t="shared" si="87"/>
        <v/>
      </c>
      <c r="P56" s="21" t="str">
        <f t="shared" si="88"/>
        <v>Apprenant 44 ou 44'</v>
      </c>
      <c r="Q56" s="22" t="str">
        <f t="shared" si="89"/>
        <v/>
      </c>
      <c r="R56" s="22" t="str">
        <f t="shared" si="90"/>
        <v/>
      </c>
      <c r="S56" s="22" t="str">
        <f t="shared" si="91"/>
        <v/>
      </c>
      <c r="T56" s="22" t="str">
        <f t="shared" si="92"/>
        <v/>
      </c>
      <c r="V56" s="21" t="str">
        <f t="shared" si="93"/>
        <v>Apprenant 44</v>
      </c>
      <c r="W56" s="22" t="str">
        <f>IF(AND(OR('Choix pédagogiques'!$C$3=1,'Choix pédagogiques'!$C$3=2),$BM56=1),B56,IF(AND('Choix pédagogiques'!$C$3=3,$BO56=1),B56,""))</f>
        <v/>
      </c>
      <c r="X56" s="22" t="str">
        <f>IF(AND(OR('Choix pédagogiques'!$C$3=1,'Choix pédagogiques'!$C$3=2),$BM56=1),C56,IF(AND('Choix pédagogiques'!$C$3=3,$BO56=1),C56,""))</f>
        <v/>
      </c>
      <c r="Y56" s="22" t="str">
        <f>IF(AND(OR('Choix pédagogiques'!$C$3=1,'Choix pédagogiques'!$C$3=2),$BM56=1),D56,IF(AND('Choix pédagogiques'!$C$3=3,$BO56=1),D56,""))</f>
        <v/>
      </c>
      <c r="Z56" s="22" t="str">
        <f t="shared" si="94"/>
        <v/>
      </c>
      <c r="AA56" s="21" t="str">
        <f t="shared" si="95"/>
        <v>Apprenant 44 ou 44'</v>
      </c>
      <c r="AB56" s="22" t="str">
        <f>IF(AND(OR('Choix pédagogiques'!$C$3=1,'Choix pédagogiques'!$C$3=2),$BN56=1),G56,IF(AND('Choix pédagogiques'!$C$3=3,$BO56=1),G56,""))</f>
        <v/>
      </c>
      <c r="AC56" s="22" t="str">
        <f>IF(AND(OR('Choix pédagogiques'!$C$3=1,'Choix pédagogiques'!$C$3=2),$BN56=1),H56,IF(AND('Choix pédagogiques'!$C$3=3,$BO56=1),H56,""))</f>
        <v/>
      </c>
      <c r="AD56" s="22" t="str">
        <f>IF(AND(OR('Choix pédagogiques'!$C$3=1,'Choix pédagogiques'!$C$3=2),$BN56=1),I56,IF(AND('Choix pédagogiques'!$C$3=3,$BO56=1),I56,""))</f>
        <v/>
      </c>
      <c r="AE56" s="22" t="str">
        <f t="shared" si="96"/>
        <v/>
      </c>
      <c r="AF56" s="21" t="str">
        <f t="shared" si="97"/>
        <v>Apprenant 44</v>
      </c>
      <c r="AG56" s="22" t="str">
        <f t="shared" si="71"/>
        <v/>
      </c>
      <c r="AH56" s="22" t="str">
        <f t="shared" si="72"/>
        <v/>
      </c>
      <c r="AI56" s="22" t="str">
        <f t="shared" si="73"/>
        <v/>
      </c>
      <c r="AJ56" s="22" t="str">
        <f t="shared" si="98"/>
        <v/>
      </c>
      <c r="AK56" s="21" t="str">
        <f t="shared" si="99"/>
        <v>Apprenant 44 ou 44'</v>
      </c>
      <c r="AL56" s="22" t="str">
        <f t="shared" si="74"/>
        <v/>
      </c>
      <c r="AM56" s="22" t="str">
        <f t="shared" si="75"/>
        <v/>
      </c>
      <c r="AN56" s="22" t="str">
        <f t="shared" si="76"/>
        <v/>
      </c>
      <c r="AO56" s="22" t="str">
        <f t="shared" si="100"/>
        <v/>
      </c>
      <c r="AQ56" s="21" t="str">
        <f t="shared" si="101"/>
        <v>Apprenant 44</v>
      </c>
      <c r="AR56" s="49" t="str">
        <f>IF(AND('Choix pédagogiques'!$C$4&lt;&gt;"?",'Choix pédagogiques'!$C$5&lt;&gt;"?",W56&lt;&gt;""),(W56-'Choix pédagogiques'!$C$4)/('Choix pédagogiques'!$C$5-'Choix pédagogiques'!$C$4),"")</f>
        <v/>
      </c>
      <c r="AS56" s="49" t="str">
        <f>IF(AND('Choix pédagogiques'!$C$4&lt;&gt;"?",'Choix pédagogiques'!$C$5&lt;&gt;"?",X56&lt;&gt;""),(X56-'Choix pédagogiques'!$C$4)/('Choix pédagogiques'!$C$5-'Choix pédagogiques'!$C$4),"")</f>
        <v/>
      </c>
      <c r="AT56" s="49" t="str">
        <f>IF(AND('Choix pédagogiques'!$C$4&lt;&gt;"?",'Choix pédagogiques'!$C$5&lt;&gt;"?",Y56&lt;&gt;""),(Y56-'Choix pédagogiques'!$C$4)/('Choix pédagogiques'!$C$5-'Choix pédagogiques'!$C$4),"")</f>
        <v/>
      </c>
      <c r="AU56" s="22" t="str">
        <f t="shared" si="102"/>
        <v/>
      </c>
      <c r="AV56" s="21" t="str">
        <f t="shared" si="103"/>
        <v>Apprenant 44 ou 44'</v>
      </c>
      <c r="AW56" s="49" t="str">
        <f>IF(AND('Choix pédagogiques'!$C$4&lt;&gt;"?",'Choix pédagogiques'!$C$5&lt;&gt;"?",AB56&lt;&gt;""),(AB56-'Choix pédagogiques'!$C$4)/('Choix pédagogiques'!$C$5-'Choix pédagogiques'!$C$4),"")</f>
        <v/>
      </c>
      <c r="AX56" s="49" t="str">
        <f>IF(AND('Choix pédagogiques'!$C$4&lt;&gt;"?",'Choix pédagogiques'!$C$5&lt;&gt;"?",AC56&lt;&gt;""),(AC56-'Choix pédagogiques'!$C$4)/('Choix pédagogiques'!$C$5-'Choix pédagogiques'!$C$4),"")</f>
        <v/>
      </c>
      <c r="AY56" s="49" t="str">
        <f>IF(AND('Choix pédagogiques'!$C$4&lt;&gt;"?",'Choix pédagogiques'!$C$5&lt;&gt;"?",AD56&lt;&gt;""),(AD56-'Choix pédagogiques'!$C$4)/('Choix pédagogiques'!$C$5-'Choix pédagogiques'!$C$4),"")</f>
        <v/>
      </c>
      <c r="AZ56" s="22" t="str">
        <f t="shared" si="104"/>
        <v/>
      </c>
      <c r="BA56" s="21" t="str">
        <f t="shared" si="105"/>
        <v>Apprenant 44</v>
      </c>
      <c r="BB56" s="49" t="str">
        <f t="shared" si="77"/>
        <v/>
      </c>
      <c r="BC56" s="49" t="str">
        <f t="shared" si="78"/>
        <v/>
      </c>
      <c r="BD56" s="49" t="str">
        <f t="shared" si="79"/>
        <v/>
      </c>
      <c r="BE56" s="22" t="str">
        <f t="shared" si="106"/>
        <v/>
      </c>
      <c r="BF56" s="21" t="str">
        <f t="shared" si="107"/>
        <v>Apprenant 44 ou 44'</v>
      </c>
      <c r="BG56" s="49" t="str">
        <f t="shared" si="80"/>
        <v/>
      </c>
      <c r="BH56" s="49" t="str">
        <f t="shared" si="81"/>
        <v/>
      </c>
      <c r="BI56" s="49" t="str">
        <f t="shared" si="82"/>
        <v/>
      </c>
      <c r="BJ56" s="22" t="str">
        <f t="shared" si="108"/>
        <v/>
      </c>
      <c r="BL56" s="21"/>
      <c r="BM56" s="21" t="str">
        <f>IF(OR(COUNT(B56:D1055)=0,AND('Choix pédagogiques'!$C$3&lt;&gt;1,'Choix pédagogiques'!$C$3&lt;&gt;2)),"",IF(AND(OR('Choix pédagogiques'!$C$3=1,'Choix pédagogiques'!$C$3=2),$B56&lt;&gt;"",$C56&lt;&gt;"",$D56&lt;&gt;""),1,0))</f>
        <v/>
      </c>
      <c r="BN56" s="21" t="str">
        <f>IF(OR(COUNT(G56:I1055)=0,AND('Choix pédagogiques'!$C$3&lt;&gt;1,'Choix pédagogiques'!$C$3&lt;&gt;2)),"",IF(AND(OR('Choix pédagogiques'!$C$3=1,'Choix pédagogiques'!$C$3=2),AND($G56&lt;&gt;"",$H56&lt;&gt;"",$I56&lt;&gt;"")),1,0))</f>
        <v/>
      </c>
      <c r="BO56" s="21" t="str">
        <f>IF(OR(COUNT(B56:D1055)=0,COUNT(G56:I1055)=0,'Choix pédagogiques'!C$3&lt;&gt;3),"",IF(AND('Choix pédagogiques'!$C$3=3,$B56&lt;&gt;"",$C56&lt;&gt;"",$D56&lt;&gt;"",$G56&lt;&gt;"",$H56&lt;&gt;"",$I56&lt;&gt;""),1,0))</f>
        <v/>
      </c>
      <c r="BR56" s="21">
        <v>191</v>
      </c>
      <c r="BS56" s="21">
        <v>1157</v>
      </c>
      <c r="BT56"/>
    </row>
    <row r="57" spans="1:72" s="23" customFormat="1" ht="18" customHeight="1" x14ac:dyDescent="0.3">
      <c r="A57" s="35" t="s">
        <v>47</v>
      </c>
      <c r="B57" s="36"/>
      <c r="C57" s="36"/>
      <c r="D57" s="36"/>
      <c r="E57" s="37"/>
      <c r="F57" s="35" t="s">
        <v>1055</v>
      </c>
      <c r="G57" s="36"/>
      <c r="H57" s="36"/>
      <c r="I57" s="36"/>
      <c r="J57" s="37"/>
      <c r="K57" s="21" t="str">
        <f t="shared" si="83"/>
        <v>Apprenant 45</v>
      </c>
      <c r="L57" s="22" t="str">
        <f t="shared" si="84"/>
        <v/>
      </c>
      <c r="M57" s="22" t="str">
        <f t="shared" si="85"/>
        <v/>
      </c>
      <c r="N57" s="22" t="str">
        <f t="shared" si="86"/>
        <v/>
      </c>
      <c r="O57" s="22" t="str">
        <f t="shared" si="87"/>
        <v/>
      </c>
      <c r="P57" s="21" t="str">
        <f t="shared" si="88"/>
        <v>Apprenant 45 ou 45'</v>
      </c>
      <c r="Q57" s="22" t="str">
        <f t="shared" si="89"/>
        <v/>
      </c>
      <c r="R57" s="22" t="str">
        <f t="shared" si="90"/>
        <v/>
      </c>
      <c r="S57" s="22" t="str">
        <f t="shared" si="91"/>
        <v/>
      </c>
      <c r="T57" s="22" t="str">
        <f t="shared" si="92"/>
        <v/>
      </c>
      <c r="V57" s="21" t="str">
        <f t="shared" si="93"/>
        <v>Apprenant 45</v>
      </c>
      <c r="W57" s="22" t="str">
        <f>IF(AND(OR('Choix pédagogiques'!$C$3=1,'Choix pédagogiques'!$C$3=2),$BM57=1),B57,IF(AND('Choix pédagogiques'!$C$3=3,$BO57=1),B57,""))</f>
        <v/>
      </c>
      <c r="X57" s="22" t="str">
        <f>IF(AND(OR('Choix pédagogiques'!$C$3=1,'Choix pédagogiques'!$C$3=2),$BM57=1),C57,IF(AND('Choix pédagogiques'!$C$3=3,$BO57=1),C57,""))</f>
        <v/>
      </c>
      <c r="Y57" s="22" t="str">
        <f>IF(AND(OR('Choix pédagogiques'!$C$3=1,'Choix pédagogiques'!$C$3=2),$BM57=1),D57,IF(AND('Choix pédagogiques'!$C$3=3,$BO57=1),D57,""))</f>
        <v/>
      </c>
      <c r="Z57" s="22" t="str">
        <f t="shared" si="94"/>
        <v/>
      </c>
      <c r="AA57" s="21" t="str">
        <f t="shared" si="95"/>
        <v>Apprenant 45 ou 45'</v>
      </c>
      <c r="AB57" s="22" t="str">
        <f>IF(AND(OR('Choix pédagogiques'!$C$3=1,'Choix pédagogiques'!$C$3=2),$BN57=1),G57,IF(AND('Choix pédagogiques'!$C$3=3,$BO57=1),G57,""))</f>
        <v/>
      </c>
      <c r="AC57" s="22" t="str">
        <f>IF(AND(OR('Choix pédagogiques'!$C$3=1,'Choix pédagogiques'!$C$3=2),$BN57=1),H57,IF(AND('Choix pédagogiques'!$C$3=3,$BO57=1),H57,""))</f>
        <v/>
      </c>
      <c r="AD57" s="22" t="str">
        <f>IF(AND(OR('Choix pédagogiques'!$C$3=1,'Choix pédagogiques'!$C$3=2),$BN57=1),I57,IF(AND('Choix pédagogiques'!$C$3=3,$BO57=1),I57,""))</f>
        <v/>
      </c>
      <c r="AE57" s="22" t="str">
        <f t="shared" si="96"/>
        <v/>
      </c>
      <c r="AF57" s="21" t="str">
        <f t="shared" si="97"/>
        <v>Apprenant 45</v>
      </c>
      <c r="AG57" s="22" t="str">
        <f t="shared" si="71"/>
        <v/>
      </c>
      <c r="AH57" s="22" t="str">
        <f t="shared" si="72"/>
        <v/>
      </c>
      <c r="AI57" s="22" t="str">
        <f t="shared" si="73"/>
        <v/>
      </c>
      <c r="AJ57" s="22" t="str">
        <f t="shared" si="98"/>
        <v/>
      </c>
      <c r="AK57" s="21" t="str">
        <f t="shared" si="99"/>
        <v>Apprenant 45 ou 45'</v>
      </c>
      <c r="AL57" s="22" t="str">
        <f t="shared" si="74"/>
        <v/>
      </c>
      <c r="AM57" s="22" t="str">
        <f t="shared" si="75"/>
        <v/>
      </c>
      <c r="AN57" s="22" t="str">
        <f t="shared" si="76"/>
        <v/>
      </c>
      <c r="AO57" s="22" t="str">
        <f t="shared" si="100"/>
        <v/>
      </c>
      <c r="AQ57" s="21" t="str">
        <f t="shared" si="101"/>
        <v>Apprenant 45</v>
      </c>
      <c r="AR57" s="49" t="str">
        <f>IF(AND('Choix pédagogiques'!$C$4&lt;&gt;"?",'Choix pédagogiques'!$C$5&lt;&gt;"?",W57&lt;&gt;""),(W57-'Choix pédagogiques'!$C$4)/('Choix pédagogiques'!$C$5-'Choix pédagogiques'!$C$4),"")</f>
        <v/>
      </c>
      <c r="AS57" s="49" t="str">
        <f>IF(AND('Choix pédagogiques'!$C$4&lt;&gt;"?",'Choix pédagogiques'!$C$5&lt;&gt;"?",X57&lt;&gt;""),(X57-'Choix pédagogiques'!$C$4)/('Choix pédagogiques'!$C$5-'Choix pédagogiques'!$C$4),"")</f>
        <v/>
      </c>
      <c r="AT57" s="49" t="str">
        <f>IF(AND('Choix pédagogiques'!$C$4&lt;&gt;"?",'Choix pédagogiques'!$C$5&lt;&gt;"?",Y57&lt;&gt;""),(Y57-'Choix pédagogiques'!$C$4)/('Choix pédagogiques'!$C$5-'Choix pédagogiques'!$C$4),"")</f>
        <v/>
      </c>
      <c r="AU57" s="22" t="str">
        <f t="shared" si="102"/>
        <v/>
      </c>
      <c r="AV57" s="21" t="str">
        <f t="shared" si="103"/>
        <v>Apprenant 45 ou 45'</v>
      </c>
      <c r="AW57" s="49" t="str">
        <f>IF(AND('Choix pédagogiques'!$C$4&lt;&gt;"?",'Choix pédagogiques'!$C$5&lt;&gt;"?",AB57&lt;&gt;""),(AB57-'Choix pédagogiques'!$C$4)/('Choix pédagogiques'!$C$5-'Choix pédagogiques'!$C$4),"")</f>
        <v/>
      </c>
      <c r="AX57" s="49" t="str">
        <f>IF(AND('Choix pédagogiques'!$C$4&lt;&gt;"?",'Choix pédagogiques'!$C$5&lt;&gt;"?",AC57&lt;&gt;""),(AC57-'Choix pédagogiques'!$C$4)/('Choix pédagogiques'!$C$5-'Choix pédagogiques'!$C$4),"")</f>
        <v/>
      </c>
      <c r="AY57" s="49" t="str">
        <f>IF(AND('Choix pédagogiques'!$C$4&lt;&gt;"?",'Choix pédagogiques'!$C$5&lt;&gt;"?",AD57&lt;&gt;""),(AD57-'Choix pédagogiques'!$C$4)/('Choix pédagogiques'!$C$5-'Choix pédagogiques'!$C$4),"")</f>
        <v/>
      </c>
      <c r="AZ57" s="22" t="str">
        <f t="shared" si="104"/>
        <v/>
      </c>
      <c r="BA57" s="21" t="str">
        <f t="shared" si="105"/>
        <v>Apprenant 45</v>
      </c>
      <c r="BB57" s="49" t="str">
        <f t="shared" si="77"/>
        <v/>
      </c>
      <c r="BC57" s="49" t="str">
        <f t="shared" si="78"/>
        <v/>
      </c>
      <c r="BD57" s="49" t="str">
        <f t="shared" si="79"/>
        <v/>
      </c>
      <c r="BE57" s="22" t="str">
        <f t="shared" si="106"/>
        <v/>
      </c>
      <c r="BF57" s="21" t="str">
        <f t="shared" si="107"/>
        <v>Apprenant 45 ou 45'</v>
      </c>
      <c r="BG57" s="49" t="str">
        <f t="shared" si="80"/>
        <v/>
      </c>
      <c r="BH57" s="49" t="str">
        <f t="shared" si="81"/>
        <v/>
      </c>
      <c r="BI57" s="49" t="str">
        <f t="shared" si="82"/>
        <v/>
      </c>
      <c r="BJ57" s="22" t="str">
        <f t="shared" si="108"/>
        <v/>
      </c>
      <c r="BL57" s="21"/>
      <c r="BM57" s="21" t="str">
        <f>IF(OR(COUNT(B57:D1056)=0,AND('Choix pédagogiques'!$C$3&lt;&gt;1,'Choix pédagogiques'!$C$3&lt;&gt;2)),"",IF(AND(OR('Choix pédagogiques'!$C$3=1,'Choix pédagogiques'!$C$3=2),$B57&lt;&gt;"",$C57&lt;&gt;"",$D57&lt;&gt;""),1,0))</f>
        <v/>
      </c>
      <c r="BN57" s="21" t="str">
        <f>IF(OR(COUNT(G57:I1056)=0,AND('Choix pédagogiques'!$C$3&lt;&gt;1,'Choix pédagogiques'!$C$3&lt;&gt;2)),"",IF(AND(OR('Choix pédagogiques'!$C$3=1,'Choix pédagogiques'!$C$3=2),AND($G57&lt;&gt;"",$H57&lt;&gt;"",$I57&lt;&gt;"")),1,0))</f>
        <v/>
      </c>
      <c r="BO57" s="21" t="str">
        <f>IF(OR(COUNT(B57:D1056)=0,COUNT(G57:I1056)=0,'Choix pédagogiques'!C$3&lt;&gt;3),"",IF(AND('Choix pédagogiques'!$C$3=3,$B57&lt;&gt;"",$C57&lt;&gt;"",$D57&lt;&gt;"",$G57&lt;&gt;"",$H57&lt;&gt;"",$I57&lt;&gt;""),1,0))</f>
        <v/>
      </c>
      <c r="BR57" s="21">
        <v>80</v>
      </c>
      <c r="BS57" s="21">
        <v>1206</v>
      </c>
      <c r="BT57"/>
    </row>
    <row r="58" spans="1:72" s="23" customFormat="1" ht="18" customHeight="1" x14ac:dyDescent="0.3">
      <c r="A58" s="35" t="s">
        <v>48</v>
      </c>
      <c r="B58" s="36"/>
      <c r="C58" s="36"/>
      <c r="D58" s="36"/>
      <c r="E58" s="37"/>
      <c r="F58" s="35" t="s">
        <v>1056</v>
      </c>
      <c r="G58" s="36"/>
      <c r="H58" s="36"/>
      <c r="I58" s="36"/>
      <c r="J58" s="37"/>
      <c r="K58" s="21" t="str">
        <f t="shared" si="83"/>
        <v>Apprenant 46</v>
      </c>
      <c r="L58" s="22" t="str">
        <f t="shared" si="84"/>
        <v/>
      </c>
      <c r="M58" s="22" t="str">
        <f t="shared" si="85"/>
        <v/>
      </c>
      <c r="N58" s="22" t="str">
        <f t="shared" si="86"/>
        <v/>
      </c>
      <c r="O58" s="22" t="str">
        <f t="shared" si="87"/>
        <v/>
      </c>
      <c r="P58" s="21" t="str">
        <f t="shared" si="88"/>
        <v>Apprenant 46 ou 46'</v>
      </c>
      <c r="Q58" s="22" t="str">
        <f t="shared" si="89"/>
        <v/>
      </c>
      <c r="R58" s="22" t="str">
        <f t="shared" si="90"/>
        <v/>
      </c>
      <c r="S58" s="22" t="str">
        <f t="shared" si="91"/>
        <v/>
      </c>
      <c r="T58" s="22" t="str">
        <f t="shared" si="92"/>
        <v/>
      </c>
      <c r="V58" s="21" t="str">
        <f t="shared" si="93"/>
        <v>Apprenant 46</v>
      </c>
      <c r="W58" s="22" t="str">
        <f>IF(AND(OR('Choix pédagogiques'!$C$3=1,'Choix pédagogiques'!$C$3=2),$BM58=1),B58,IF(AND('Choix pédagogiques'!$C$3=3,$BO58=1),B58,""))</f>
        <v/>
      </c>
      <c r="X58" s="22" t="str">
        <f>IF(AND(OR('Choix pédagogiques'!$C$3=1,'Choix pédagogiques'!$C$3=2),$BM58=1),C58,IF(AND('Choix pédagogiques'!$C$3=3,$BO58=1),C58,""))</f>
        <v/>
      </c>
      <c r="Y58" s="22" t="str">
        <f>IF(AND(OR('Choix pédagogiques'!$C$3=1,'Choix pédagogiques'!$C$3=2),$BM58=1),D58,IF(AND('Choix pédagogiques'!$C$3=3,$BO58=1),D58,""))</f>
        <v/>
      </c>
      <c r="Z58" s="22" t="str">
        <f t="shared" si="94"/>
        <v/>
      </c>
      <c r="AA58" s="21" t="str">
        <f t="shared" si="95"/>
        <v>Apprenant 46 ou 46'</v>
      </c>
      <c r="AB58" s="22" t="str">
        <f>IF(AND(OR('Choix pédagogiques'!$C$3=1,'Choix pédagogiques'!$C$3=2),$BN58=1),G58,IF(AND('Choix pédagogiques'!$C$3=3,$BO58=1),G58,""))</f>
        <v/>
      </c>
      <c r="AC58" s="22" t="str">
        <f>IF(AND(OR('Choix pédagogiques'!$C$3=1,'Choix pédagogiques'!$C$3=2),$BN58=1),H58,IF(AND('Choix pédagogiques'!$C$3=3,$BO58=1),H58,""))</f>
        <v/>
      </c>
      <c r="AD58" s="22" t="str">
        <f>IF(AND(OR('Choix pédagogiques'!$C$3=1,'Choix pédagogiques'!$C$3=2),$BN58=1),I58,IF(AND('Choix pédagogiques'!$C$3=3,$BO58=1),I58,""))</f>
        <v/>
      </c>
      <c r="AE58" s="22" t="str">
        <f t="shared" si="96"/>
        <v/>
      </c>
      <c r="AF58" s="21" t="str">
        <f t="shared" si="97"/>
        <v>Apprenant 46</v>
      </c>
      <c r="AG58" s="22" t="str">
        <f t="shared" si="71"/>
        <v/>
      </c>
      <c r="AH58" s="22" t="str">
        <f t="shared" si="72"/>
        <v/>
      </c>
      <c r="AI58" s="22" t="str">
        <f t="shared" si="73"/>
        <v/>
      </c>
      <c r="AJ58" s="22" t="str">
        <f t="shared" si="98"/>
        <v/>
      </c>
      <c r="AK58" s="21" t="str">
        <f t="shared" si="99"/>
        <v>Apprenant 46 ou 46'</v>
      </c>
      <c r="AL58" s="22" t="str">
        <f t="shared" si="74"/>
        <v/>
      </c>
      <c r="AM58" s="22" t="str">
        <f t="shared" si="75"/>
        <v/>
      </c>
      <c r="AN58" s="22" t="str">
        <f t="shared" si="76"/>
        <v/>
      </c>
      <c r="AO58" s="22" t="str">
        <f t="shared" si="100"/>
        <v/>
      </c>
      <c r="AQ58" s="21" t="str">
        <f t="shared" si="101"/>
        <v>Apprenant 46</v>
      </c>
      <c r="AR58" s="49" t="str">
        <f>IF(AND('Choix pédagogiques'!$C$4&lt;&gt;"?",'Choix pédagogiques'!$C$5&lt;&gt;"?",W58&lt;&gt;""),(W58-'Choix pédagogiques'!$C$4)/('Choix pédagogiques'!$C$5-'Choix pédagogiques'!$C$4),"")</f>
        <v/>
      </c>
      <c r="AS58" s="49" t="str">
        <f>IF(AND('Choix pédagogiques'!$C$4&lt;&gt;"?",'Choix pédagogiques'!$C$5&lt;&gt;"?",X58&lt;&gt;""),(X58-'Choix pédagogiques'!$C$4)/('Choix pédagogiques'!$C$5-'Choix pédagogiques'!$C$4),"")</f>
        <v/>
      </c>
      <c r="AT58" s="49" t="str">
        <f>IF(AND('Choix pédagogiques'!$C$4&lt;&gt;"?",'Choix pédagogiques'!$C$5&lt;&gt;"?",Y58&lt;&gt;""),(Y58-'Choix pédagogiques'!$C$4)/('Choix pédagogiques'!$C$5-'Choix pédagogiques'!$C$4),"")</f>
        <v/>
      </c>
      <c r="AU58" s="22" t="str">
        <f t="shared" si="102"/>
        <v/>
      </c>
      <c r="AV58" s="21" t="str">
        <f t="shared" si="103"/>
        <v>Apprenant 46 ou 46'</v>
      </c>
      <c r="AW58" s="49" t="str">
        <f>IF(AND('Choix pédagogiques'!$C$4&lt;&gt;"?",'Choix pédagogiques'!$C$5&lt;&gt;"?",AB58&lt;&gt;""),(AB58-'Choix pédagogiques'!$C$4)/('Choix pédagogiques'!$C$5-'Choix pédagogiques'!$C$4),"")</f>
        <v/>
      </c>
      <c r="AX58" s="49" t="str">
        <f>IF(AND('Choix pédagogiques'!$C$4&lt;&gt;"?",'Choix pédagogiques'!$C$5&lt;&gt;"?",AC58&lt;&gt;""),(AC58-'Choix pédagogiques'!$C$4)/('Choix pédagogiques'!$C$5-'Choix pédagogiques'!$C$4),"")</f>
        <v/>
      </c>
      <c r="AY58" s="49" t="str">
        <f>IF(AND('Choix pédagogiques'!$C$4&lt;&gt;"?",'Choix pédagogiques'!$C$5&lt;&gt;"?",AD58&lt;&gt;""),(AD58-'Choix pédagogiques'!$C$4)/('Choix pédagogiques'!$C$5-'Choix pédagogiques'!$C$4),"")</f>
        <v/>
      </c>
      <c r="AZ58" s="22" t="str">
        <f t="shared" si="104"/>
        <v/>
      </c>
      <c r="BA58" s="21" t="str">
        <f t="shared" si="105"/>
        <v>Apprenant 46</v>
      </c>
      <c r="BB58" s="49" t="str">
        <f t="shared" si="77"/>
        <v/>
      </c>
      <c r="BC58" s="49" t="str">
        <f t="shared" si="78"/>
        <v/>
      </c>
      <c r="BD58" s="49" t="str">
        <f t="shared" si="79"/>
        <v/>
      </c>
      <c r="BE58" s="22" t="str">
        <f t="shared" si="106"/>
        <v/>
      </c>
      <c r="BF58" s="21" t="str">
        <f t="shared" si="107"/>
        <v>Apprenant 46 ou 46'</v>
      </c>
      <c r="BG58" s="49" t="str">
        <f t="shared" si="80"/>
        <v/>
      </c>
      <c r="BH58" s="49" t="str">
        <f t="shared" si="81"/>
        <v/>
      </c>
      <c r="BI58" s="49" t="str">
        <f t="shared" si="82"/>
        <v/>
      </c>
      <c r="BJ58" s="22" t="str">
        <f t="shared" si="108"/>
        <v/>
      </c>
      <c r="BL58" s="21"/>
      <c r="BM58" s="21" t="str">
        <f>IF(OR(COUNT(B58:D1057)=0,AND('Choix pédagogiques'!$C$3&lt;&gt;1,'Choix pédagogiques'!$C$3&lt;&gt;2)),"",IF(AND(OR('Choix pédagogiques'!$C$3=1,'Choix pédagogiques'!$C$3=2),$B58&lt;&gt;"",$C58&lt;&gt;"",$D58&lt;&gt;""),1,0))</f>
        <v/>
      </c>
      <c r="BN58" s="21" t="str">
        <f>IF(OR(COUNT(G58:I1057)=0,AND('Choix pédagogiques'!$C$3&lt;&gt;1,'Choix pédagogiques'!$C$3&lt;&gt;2)),"",IF(AND(OR('Choix pédagogiques'!$C$3=1,'Choix pédagogiques'!$C$3=2),AND($G58&lt;&gt;"",$H58&lt;&gt;"",$I58&lt;&gt;"")),1,0))</f>
        <v/>
      </c>
      <c r="BO58" s="21" t="str">
        <f>IF(OR(COUNT(B58:D1057)=0,COUNT(G58:I1057)=0,'Choix pédagogiques'!C$3&lt;&gt;3),"",IF(AND('Choix pédagogiques'!$C$3=3,$B58&lt;&gt;"",$C58&lt;&gt;"",$D58&lt;&gt;"",$G58&lt;&gt;"",$H58&lt;&gt;"",$I58&lt;&gt;""),1,0))</f>
        <v/>
      </c>
      <c r="BR58" s="21">
        <v>789</v>
      </c>
      <c r="BS58" s="21">
        <v>1445</v>
      </c>
      <c r="BT58"/>
    </row>
    <row r="59" spans="1:72" s="23" customFormat="1" ht="18" customHeight="1" x14ac:dyDescent="0.3">
      <c r="A59" s="35" t="s">
        <v>49</v>
      </c>
      <c r="B59" s="36"/>
      <c r="C59" s="36"/>
      <c r="D59" s="36"/>
      <c r="E59" s="37"/>
      <c r="F59" s="35" t="s">
        <v>1057</v>
      </c>
      <c r="G59" s="36"/>
      <c r="H59" s="36"/>
      <c r="I59" s="36"/>
      <c r="J59" s="37"/>
      <c r="K59" s="21" t="str">
        <f t="shared" si="83"/>
        <v>Apprenant 47</v>
      </c>
      <c r="L59" s="22" t="str">
        <f t="shared" si="84"/>
        <v/>
      </c>
      <c r="M59" s="22" t="str">
        <f t="shared" si="85"/>
        <v/>
      </c>
      <c r="N59" s="22" t="str">
        <f t="shared" si="86"/>
        <v/>
      </c>
      <c r="O59" s="22" t="str">
        <f t="shared" si="87"/>
        <v/>
      </c>
      <c r="P59" s="21" t="str">
        <f t="shared" si="88"/>
        <v>Apprenant 47 ou 47'</v>
      </c>
      <c r="Q59" s="22" t="str">
        <f t="shared" si="89"/>
        <v/>
      </c>
      <c r="R59" s="22" t="str">
        <f t="shared" si="90"/>
        <v/>
      </c>
      <c r="S59" s="22" t="str">
        <f t="shared" si="91"/>
        <v/>
      </c>
      <c r="T59" s="22" t="str">
        <f t="shared" si="92"/>
        <v/>
      </c>
      <c r="V59" s="21" t="str">
        <f t="shared" si="93"/>
        <v>Apprenant 47</v>
      </c>
      <c r="W59" s="22" t="str">
        <f>IF(AND(OR('Choix pédagogiques'!$C$3=1,'Choix pédagogiques'!$C$3=2),$BM59=1),B59,IF(AND('Choix pédagogiques'!$C$3=3,$BO59=1),B59,""))</f>
        <v/>
      </c>
      <c r="X59" s="22" t="str">
        <f>IF(AND(OR('Choix pédagogiques'!$C$3=1,'Choix pédagogiques'!$C$3=2),$BM59=1),C59,IF(AND('Choix pédagogiques'!$C$3=3,$BO59=1),C59,""))</f>
        <v/>
      </c>
      <c r="Y59" s="22" t="str">
        <f>IF(AND(OR('Choix pédagogiques'!$C$3=1,'Choix pédagogiques'!$C$3=2),$BM59=1),D59,IF(AND('Choix pédagogiques'!$C$3=3,$BO59=1),D59,""))</f>
        <v/>
      </c>
      <c r="Z59" s="22" t="str">
        <f t="shared" si="94"/>
        <v/>
      </c>
      <c r="AA59" s="21" t="str">
        <f t="shared" si="95"/>
        <v>Apprenant 47 ou 47'</v>
      </c>
      <c r="AB59" s="22" t="str">
        <f>IF(AND(OR('Choix pédagogiques'!$C$3=1,'Choix pédagogiques'!$C$3=2),$BN59=1),G59,IF(AND('Choix pédagogiques'!$C$3=3,$BO59=1),G59,""))</f>
        <v/>
      </c>
      <c r="AC59" s="22" t="str">
        <f>IF(AND(OR('Choix pédagogiques'!$C$3=1,'Choix pédagogiques'!$C$3=2),$BN59=1),H59,IF(AND('Choix pédagogiques'!$C$3=3,$BO59=1),H59,""))</f>
        <v/>
      </c>
      <c r="AD59" s="22" t="str">
        <f>IF(AND(OR('Choix pédagogiques'!$C$3=1,'Choix pédagogiques'!$C$3=2),$BN59=1),I59,IF(AND('Choix pédagogiques'!$C$3=3,$BO59=1),I59,""))</f>
        <v/>
      </c>
      <c r="AE59" s="22" t="str">
        <f t="shared" si="96"/>
        <v/>
      </c>
      <c r="AF59" s="21" t="str">
        <f t="shared" si="97"/>
        <v>Apprenant 47</v>
      </c>
      <c r="AG59" s="22" t="str">
        <f t="shared" si="71"/>
        <v/>
      </c>
      <c r="AH59" s="22" t="str">
        <f t="shared" si="72"/>
        <v/>
      </c>
      <c r="AI59" s="22" t="str">
        <f t="shared" si="73"/>
        <v/>
      </c>
      <c r="AJ59" s="22" t="str">
        <f t="shared" si="98"/>
        <v/>
      </c>
      <c r="AK59" s="21" t="str">
        <f t="shared" si="99"/>
        <v>Apprenant 47 ou 47'</v>
      </c>
      <c r="AL59" s="22" t="str">
        <f t="shared" si="74"/>
        <v/>
      </c>
      <c r="AM59" s="22" t="str">
        <f t="shared" si="75"/>
        <v/>
      </c>
      <c r="AN59" s="22" t="str">
        <f t="shared" si="76"/>
        <v/>
      </c>
      <c r="AO59" s="22" t="str">
        <f t="shared" si="100"/>
        <v/>
      </c>
      <c r="AQ59" s="21" t="str">
        <f t="shared" si="101"/>
        <v>Apprenant 47</v>
      </c>
      <c r="AR59" s="49" t="str">
        <f>IF(AND('Choix pédagogiques'!$C$4&lt;&gt;"?",'Choix pédagogiques'!$C$5&lt;&gt;"?",W59&lt;&gt;""),(W59-'Choix pédagogiques'!$C$4)/('Choix pédagogiques'!$C$5-'Choix pédagogiques'!$C$4),"")</f>
        <v/>
      </c>
      <c r="AS59" s="49" t="str">
        <f>IF(AND('Choix pédagogiques'!$C$4&lt;&gt;"?",'Choix pédagogiques'!$C$5&lt;&gt;"?",X59&lt;&gt;""),(X59-'Choix pédagogiques'!$C$4)/('Choix pédagogiques'!$C$5-'Choix pédagogiques'!$C$4),"")</f>
        <v/>
      </c>
      <c r="AT59" s="49" t="str">
        <f>IF(AND('Choix pédagogiques'!$C$4&lt;&gt;"?",'Choix pédagogiques'!$C$5&lt;&gt;"?",Y59&lt;&gt;""),(Y59-'Choix pédagogiques'!$C$4)/('Choix pédagogiques'!$C$5-'Choix pédagogiques'!$C$4),"")</f>
        <v/>
      </c>
      <c r="AU59" s="22" t="str">
        <f t="shared" si="102"/>
        <v/>
      </c>
      <c r="AV59" s="21" t="str">
        <f t="shared" si="103"/>
        <v>Apprenant 47 ou 47'</v>
      </c>
      <c r="AW59" s="49" t="str">
        <f>IF(AND('Choix pédagogiques'!$C$4&lt;&gt;"?",'Choix pédagogiques'!$C$5&lt;&gt;"?",AB59&lt;&gt;""),(AB59-'Choix pédagogiques'!$C$4)/('Choix pédagogiques'!$C$5-'Choix pédagogiques'!$C$4),"")</f>
        <v/>
      </c>
      <c r="AX59" s="49" t="str">
        <f>IF(AND('Choix pédagogiques'!$C$4&lt;&gt;"?",'Choix pédagogiques'!$C$5&lt;&gt;"?",AC59&lt;&gt;""),(AC59-'Choix pédagogiques'!$C$4)/('Choix pédagogiques'!$C$5-'Choix pédagogiques'!$C$4),"")</f>
        <v/>
      </c>
      <c r="AY59" s="49" t="str">
        <f>IF(AND('Choix pédagogiques'!$C$4&lt;&gt;"?",'Choix pédagogiques'!$C$5&lt;&gt;"?",AD59&lt;&gt;""),(AD59-'Choix pédagogiques'!$C$4)/('Choix pédagogiques'!$C$5-'Choix pédagogiques'!$C$4),"")</f>
        <v/>
      </c>
      <c r="AZ59" s="22" t="str">
        <f t="shared" si="104"/>
        <v/>
      </c>
      <c r="BA59" s="21" t="str">
        <f t="shared" si="105"/>
        <v>Apprenant 47</v>
      </c>
      <c r="BB59" s="49" t="str">
        <f t="shared" si="77"/>
        <v/>
      </c>
      <c r="BC59" s="49" t="str">
        <f t="shared" si="78"/>
        <v/>
      </c>
      <c r="BD59" s="49" t="str">
        <f t="shared" si="79"/>
        <v/>
      </c>
      <c r="BE59" s="22" t="str">
        <f t="shared" si="106"/>
        <v/>
      </c>
      <c r="BF59" s="21" t="str">
        <f t="shared" si="107"/>
        <v>Apprenant 47 ou 47'</v>
      </c>
      <c r="BG59" s="49" t="str">
        <f t="shared" si="80"/>
        <v/>
      </c>
      <c r="BH59" s="49" t="str">
        <f t="shared" si="81"/>
        <v/>
      </c>
      <c r="BI59" s="49" t="str">
        <f t="shared" si="82"/>
        <v/>
      </c>
      <c r="BJ59" s="22" t="str">
        <f t="shared" si="108"/>
        <v/>
      </c>
      <c r="BL59" s="21"/>
      <c r="BM59" s="21" t="str">
        <f>IF(OR(COUNT(B59:D1058)=0,AND('Choix pédagogiques'!$C$3&lt;&gt;1,'Choix pédagogiques'!$C$3&lt;&gt;2)),"",IF(AND(OR('Choix pédagogiques'!$C$3=1,'Choix pédagogiques'!$C$3=2),$B59&lt;&gt;"",$C59&lt;&gt;"",$D59&lt;&gt;""),1,0))</f>
        <v/>
      </c>
      <c r="BN59" s="21" t="str">
        <f>IF(OR(COUNT(G59:I1058)=0,AND('Choix pédagogiques'!$C$3&lt;&gt;1,'Choix pédagogiques'!$C$3&lt;&gt;2)),"",IF(AND(OR('Choix pédagogiques'!$C$3=1,'Choix pédagogiques'!$C$3=2),AND($G59&lt;&gt;"",$H59&lt;&gt;"",$I59&lt;&gt;"")),1,0))</f>
        <v/>
      </c>
      <c r="BO59" s="21" t="str">
        <f>IF(OR(COUNT(B59:D1058)=0,COUNT(G59:I1058)=0,'Choix pédagogiques'!C$3&lt;&gt;3),"",IF(AND('Choix pédagogiques'!$C$3=3,$B59&lt;&gt;"",$C59&lt;&gt;"",$D59&lt;&gt;"",$G59&lt;&gt;"",$H59&lt;&gt;"",$I59&lt;&gt;""),1,0))</f>
        <v/>
      </c>
      <c r="BR59" s="21">
        <v>870</v>
      </c>
      <c r="BS59" s="21">
        <v>1332</v>
      </c>
      <c r="BT59"/>
    </row>
    <row r="60" spans="1:72" s="23" customFormat="1" ht="18" customHeight="1" x14ac:dyDescent="0.3">
      <c r="A60" s="35" t="s">
        <v>50</v>
      </c>
      <c r="B60" s="37"/>
      <c r="C60" s="37"/>
      <c r="D60" s="37"/>
      <c r="E60" s="37"/>
      <c r="F60" s="35" t="s">
        <v>1058</v>
      </c>
      <c r="G60" s="36"/>
      <c r="H60" s="36"/>
      <c r="I60" s="36"/>
      <c r="J60" s="37"/>
      <c r="K60" s="21" t="str">
        <f t="shared" si="83"/>
        <v>Apprenant 48</v>
      </c>
      <c r="L60" s="22" t="str">
        <f t="shared" si="84"/>
        <v/>
      </c>
      <c r="M60" s="22" t="str">
        <f t="shared" si="85"/>
        <v/>
      </c>
      <c r="N60" s="22" t="str">
        <f t="shared" si="86"/>
        <v/>
      </c>
      <c r="O60" s="22" t="str">
        <f t="shared" si="87"/>
        <v/>
      </c>
      <c r="P60" s="21" t="str">
        <f t="shared" si="88"/>
        <v>Apprenant 48 ou 48'</v>
      </c>
      <c r="Q60" s="22" t="str">
        <f t="shared" si="89"/>
        <v/>
      </c>
      <c r="R60" s="22" t="str">
        <f t="shared" si="90"/>
        <v/>
      </c>
      <c r="S60" s="22" t="str">
        <f t="shared" si="91"/>
        <v/>
      </c>
      <c r="T60" s="22" t="str">
        <f t="shared" si="92"/>
        <v/>
      </c>
      <c r="V60" s="21" t="str">
        <f t="shared" si="93"/>
        <v>Apprenant 48</v>
      </c>
      <c r="W60" s="22" t="str">
        <f>IF(AND(OR('Choix pédagogiques'!$C$3=1,'Choix pédagogiques'!$C$3=2),$BM60=1),B60,IF(AND('Choix pédagogiques'!$C$3=3,$BO60=1),B60,""))</f>
        <v/>
      </c>
      <c r="X60" s="22" t="str">
        <f>IF(AND(OR('Choix pédagogiques'!$C$3=1,'Choix pédagogiques'!$C$3=2),$BM60=1),C60,IF(AND('Choix pédagogiques'!$C$3=3,$BO60=1),C60,""))</f>
        <v/>
      </c>
      <c r="Y60" s="22" t="str">
        <f>IF(AND(OR('Choix pédagogiques'!$C$3=1,'Choix pédagogiques'!$C$3=2),$BM60=1),D60,IF(AND('Choix pédagogiques'!$C$3=3,$BO60=1),D60,""))</f>
        <v/>
      </c>
      <c r="Z60" s="22" t="str">
        <f t="shared" si="94"/>
        <v/>
      </c>
      <c r="AA60" s="21" t="str">
        <f t="shared" si="95"/>
        <v>Apprenant 48 ou 48'</v>
      </c>
      <c r="AB60" s="22" t="str">
        <f>IF(AND(OR('Choix pédagogiques'!$C$3=1,'Choix pédagogiques'!$C$3=2),$BN60=1),G60,IF(AND('Choix pédagogiques'!$C$3=3,$BO60=1),G60,""))</f>
        <v/>
      </c>
      <c r="AC60" s="22" t="str">
        <f>IF(AND(OR('Choix pédagogiques'!$C$3=1,'Choix pédagogiques'!$C$3=2),$BN60=1),H60,IF(AND('Choix pédagogiques'!$C$3=3,$BO60=1),H60,""))</f>
        <v/>
      </c>
      <c r="AD60" s="22" t="str">
        <f>IF(AND(OR('Choix pédagogiques'!$C$3=1,'Choix pédagogiques'!$C$3=2),$BN60=1),I60,IF(AND('Choix pédagogiques'!$C$3=3,$BO60=1),I60,""))</f>
        <v/>
      </c>
      <c r="AE60" s="22" t="str">
        <f t="shared" si="96"/>
        <v/>
      </c>
      <c r="AF60" s="21" t="str">
        <f t="shared" si="97"/>
        <v>Apprenant 48</v>
      </c>
      <c r="AG60" s="22" t="str">
        <f t="shared" si="71"/>
        <v/>
      </c>
      <c r="AH60" s="22" t="str">
        <f t="shared" si="72"/>
        <v/>
      </c>
      <c r="AI60" s="22" t="str">
        <f t="shared" si="73"/>
        <v/>
      </c>
      <c r="AJ60" s="22" t="str">
        <f t="shared" si="98"/>
        <v/>
      </c>
      <c r="AK60" s="21" t="str">
        <f t="shared" si="99"/>
        <v>Apprenant 48 ou 48'</v>
      </c>
      <c r="AL60" s="22" t="str">
        <f t="shared" si="74"/>
        <v/>
      </c>
      <c r="AM60" s="22" t="str">
        <f t="shared" si="75"/>
        <v/>
      </c>
      <c r="AN60" s="22" t="str">
        <f t="shared" si="76"/>
        <v/>
      </c>
      <c r="AO60" s="22" t="str">
        <f t="shared" si="100"/>
        <v/>
      </c>
      <c r="AQ60" s="21" t="str">
        <f t="shared" si="101"/>
        <v>Apprenant 48</v>
      </c>
      <c r="AR60" s="49" t="str">
        <f>IF(AND('Choix pédagogiques'!$C$4&lt;&gt;"?",'Choix pédagogiques'!$C$5&lt;&gt;"?",W60&lt;&gt;""),(W60-'Choix pédagogiques'!$C$4)/('Choix pédagogiques'!$C$5-'Choix pédagogiques'!$C$4),"")</f>
        <v/>
      </c>
      <c r="AS60" s="49" t="str">
        <f>IF(AND('Choix pédagogiques'!$C$4&lt;&gt;"?",'Choix pédagogiques'!$C$5&lt;&gt;"?",X60&lt;&gt;""),(X60-'Choix pédagogiques'!$C$4)/('Choix pédagogiques'!$C$5-'Choix pédagogiques'!$C$4),"")</f>
        <v/>
      </c>
      <c r="AT60" s="49" t="str">
        <f>IF(AND('Choix pédagogiques'!$C$4&lt;&gt;"?",'Choix pédagogiques'!$C$5&lt;&gt;"?",Y60&lt;&gt;""),(Y60-'Choix pédagogiques'!$C$4)/('Choix pédagogiques'!$C$5-'Choix pédagogiques'!$C$4),"")</f>
        <v/>
      </c>
      <c r="AU60" s="22" t="str">
        <f t="shared" si="102"/>
        <v/>
      </c>
      <c r="AV60" s="21" t="str">
        <f t="shared" si="103"/>
        <v>Apprenant 48 ou 48'</v>
      </c>
      <c r="AW60" s="49" t="str">
        <f>IF(AND('Choix pédagogiques'!$C$4&lt;&gt;"?",'Choix pédagogiques'!$C$5&lt;&gt;"?",AB60&lt;&gt;""),(AB60-'Choix pédagogiques'!$C$4)/('Choix pédagogiques'!$C$5-'Choix pédagogiques'!$C$4),"")</f>
        <v/>
      </c>
      <c r="AX60" s="49" t="str">
        <f>IF(AND('Choix pédagogiques'!$C$4&lt;&gt;"?",'Choix pédagogiques'!$C$5&lt;&gt;"?",AC60&lt;&gt;""),(AC60-'Choix pédagogiques'!$C$4)/('Choix pédagogiques'!$C$5-'Choix pédagogiques'!$C$4),"")</f>
        <v/>
      </c>
      <c r="AY60" s="49" t="str">
        <f>IF(AND('Choix pédagogiques'!$C$4&lt;&gt;"?",'Choix pédagogiques'!$C$5&lt;&gt;"?",AD60&lt;&gt;""),(AD60-'Choix pédagogiques'!$C$4)/('Choix pédagogiques'!$C$5-'Choix pédagogiques'!$C$4),"")</f>
        <v/>
      </c>
      <c r="AZ60" s="22" t="str">
        <f t="shared" si="104"/>
        <v/>
      </c>
      <c r="BA60" s="21" t="str">
        <f t="shared" si="105"/>
        <v>Apprenant 48</v>
      </c>
      <c r="BB60" s="49" t="str">
        <f t="shared" si="77"/>
        <v/>
      </c>
      <c r="BC60" s="49" t="str">
        <f t="shared" si="78"/>
        <v/>
      </c>
      <c r="BD60" s="49" t="str">
        <f t="shared" si="79"/>
        <v/>
      </c>
      <c r="BE60" s="22" t="str">
        <f t="shared" si="106"/>
        <v/>
      </c>
      <c r="BF60" s="21" t="str">
        <f t="shared" si="107"/>
        <v>Apprenant 48 ou 48'</v>
      </c>
      <c r="BG60" s="49" t="str">
        <f t="shared" si="80"/>
        <v/>
      </c>
      <c r="BH60" s="49" t="str">
        <f t="shared" si="81"/>
        <v/>
      </c>
      <c r="BI60" s="49" t="str">
        <f t="shared" si="82"/>
        <v/>
      </c>
      <c r="BJ60" s="22" t="str">
        <f t="shared" si="108"/>
        <v/>
      </c>
      <c r="BL60" s="21"/>
      <c r="BM60" s="21" t="str">
        <f>IF(OR(COUNT(B60:D1059)=0,AND('Choix pédagogiques'!$C$3&lt;&gt;1,'Choix pédagogiques'!$C$3&lt;&gt;2)),"",IF(AND(OR('Choix pédagogiques'!$C$3=1,'Choix pédagogiques'!$C$3=2),$B60&lt;&gt;"",$C60&lt;&gt;"",$D60&lt;&gt;""),1,0))</f>
        <v/>
      </c>
      <c r="BN60" s="21" t="str">
        <f>IF(OR(COUNT(G60:I1059)=0,AND('Choix pédagogiques'!$C$3&lt;&gt;1,'Choix pédagogiques'!$C$3&lt;&gt;2)),"",IF(AND(OR('Choix pédagogiques'!$C$3=1,'Choix pédagogiques'!$C$3=2),AND($G60&lt;&gt;"",$H60&lt;&gt;"",$I60&lt;&gt;"")),1,0))</f>
        <v/>
      </c>
      <c r="BO60" s="21" t="str">
        <f>IF(OR(COUNT(B60:D1059)=0,COUNT(G60:I1059)=0,'Choix pédagogiques'!C$3&lt;&gt;3),"",IF(AND('Choix pédagogiques'!$C$3=3,$B60&lt;&gt;"",$C60&lt;&gt;"",$D60&lt;&gt;"",$G60&lt;&gt;"",$H60&lt;&gt;"",$I60&lt;&gt;""),1,0))</f>
        <v/>
      </c>
      <c r="BR60" s="21">
        <v>915</v>
      </c>
      <c r="BS60" s="21">
        <v>1439</v>
      </c>
      <c r="BT60"/>
    </row>
    <row r="61" spans="1:72" s="23" customFormat="1" ht="18" customHeight="1" x14ac:dyDescent="0.3">
      <c r="A61" s="35" t="s">
        <v>51</v>
      </c>
      <c r="B61" s="37"/>
      <c r="C61" s="37"/>
      <c r="D61" s="37"/>
      <c r="E61" s="37"/>
      <c r="F61" s="35" t="s">
        <v>1059</v>
      </c>
      <c r="G61" s="36"/>
      <c r="H61" s="36"/>
      <c r="I61" s="36"/>
      <c r="J61" s="37"/>
      <c r="K61" s="21" t="str">
        <f t="shared" si="83"/>
        <v>Apprenant 49</v>
      </c>
      <c r="L61" s="22" t="str">
        <f t="shared" si="84"/>
        <v/>
      </c>
      <c r="M61" s="22" t="str">
        <f t="shared" si="85"/>
        <v/>
      </c>
      <c r="N61" s="22" t="str">
        <f t="shared" si="86"/>
        <v/>
      </c>
      <c r="O61" s="22" t="str">
        <f t="shared" si="87"/>
        <v/>
      </c>
      <c r="P61" s="21" t="str">
        <f t="shared" si="88"/>
        <v>Apprenant 49 ou 49'</v>
      </c>
      <c r="Q61" s="22" t="str">
        <f t="shared" si="89"/>
        <v/>
      </c>
      <c r="R61" s="22" t="str">
        <f t="shared" si="90"/>
        <v/>
      </c>
      <c r="S61" s="22" t="str">
        <f t="shared" si="91"/>
        <v/>
      </c>
      <c r="T61" s="22" t="str">
        <f t="shared" si="92"/>
        <v/>
      </c>
      <c r="V61" s="21" t="str">
        <f t="shared" si="93"/>
        <v>Apprenant 49</v>
      </c>
      <c r="W61" s="22" t="str">
        <f>IF(AND(OR('Choix pédagogiques'!$C$3=1,'Choix pédagogiques'!$C$3=2),$BM61=1),B61,IF(AND('Choix pédagogiques'!$C$3=3,$BO61=1),B61,""))</f>
        <v/>
      </c>
      <c r="X61" s="22" t="str">
        <f>IF(AND(OR('Choix pédagogiques'!$C$3=1,'Choix pédagogiques'!$C$3=2),$BM61=1),C61,IF(AND('Choix pédagogiques'!$C$3=3,$BO61=1),C61,""))</f>
        <v/>
      </c>
      <c r="Y61" s="22" t="str">
        <f>IF(AND(OR('Choix pédagogiques'!$C$3=1,'Choix pédagogiques'!$C$3=2),$BM61=1),D61,IF(AND('Choix pédagogiques'!$C$3=3,$BO61=1),D61,""))</f>
        <v/>
      </c>
      <c r="Z61" s="22" t="str">
        <f t="shared" si="94"/>
        <v/>
      </c>
      <c r="AA61" s="21" t="str">
        <f t="shared" si="95"/>
        <v>Apprenant 49 ou 49'</v>
      </c>
      <c r="AB61" s="22" t="str">
        <f>IF(AND(OR('Choix pédagogiques'!$C$3=1,'Choix pédagogiques'!$C$3=2),$BN61=1),G61,IF(AND('Choix pédagogiques'!$C$3=3,$BO61=1),G61,""))</f>
        <v/>
      </c>
      <c r="AC61" s="22" t="str">
        <f>IF(AND(OR('Choix pédagogiques'!$C$3=1,'Choix pédagogiques'!$C$3=2),$BN61=1),H61,IF(AND('Choix pédagogiques'!$C$3=3,$BO61=1),H61,""))</f>
        <v/>
      </c>
      <c r="AD61" s="22" t="str">
        <f>IF(AND(OR('Choix pédagogiques'!$C$3=1,'Choix pédagogiques'!$C$3=2),$BN61=1),I61,IF(AND('Choix pédagogiques'!$C$3=3,$BO61=1),I61,""))</f>
        <v/>
      </c>
      <c r="AE61" s="22" t="str">
        <f t="shared" si="96"/>
        <v/>
      </c>
      <c r="AF61" s="21" t="str">
        <f t="shared" si="97"/>
        <v>Apprenant 49</v>
      </c>
      <c r="AG61" s="22" t="str">
        <f t="shared" si="71"/>
        <v/>
      </c>
      <c r="AH61" s="22" t="str">
        <f t="shared" si="72"/>
        <v/>
      </c>
      <c r="AI61" s="22" t="str">
        <f t="shared" si="73"/>
        <v/>
      </c>
      <c r="AJ61" s="22" t="str">
        <f t="shared" si="98"/>
        <v/>
      </c>
      <c r="AK61" s="21" t="str">
        <f t="shared" si="99"/>
        <v>Apprenant 49 ou 49'</v>
      </c>
      <c r="AL61" s="22" t="str">
        <f t="shared" si="74"/>
        <v/>
      </c>
      <c r="AM61" s="22" t="str">
        <f t="shared" si="75"/>
        <v/>
      </c>
      <c r="AN61" s="22" t="str">
        <f t="shared" si="76"/>
        <v/>
      </c>
      <c r="AO61" s="22" t="str">
        <f t="shared" si="100"/>
        <v/>
      </c>
      <c r="AQ61" s="21" t="str">
        <f t="shared" si="101"/>
        <v>Apprenant 49</v>
      </c>
      <c r="AR61" s="49" t="str">
        <f>IF(AND('Choix pédagogiques'!$C$4&lt;&gt;"?",'Choix pédagogiques'!$C$5&lt;&gt;"?",W61&lt;&gt;""),(W61-'Choix pédagogiques'!$C$4)/('Choix pédagogiques'!$C$5-'Choix pédagogiques'!$C$4),"")</f>
        <v/>
      </c>
      <c r="AS61" s="49" t="str">
        <f>IF(AND('Choix pédagogiques'!$C$4&lt;&gt;"?",'Choix pédagogiques'!$C$5&lt;&gt;"?",X61&lt;&gt;""),(X61-'Choix pédagogiques'!$C$4)/('Choix pédagogiques'!$C$5-'Choix pédagogiques'!$C$4),"")</f>
        <v/>
      </c>
      <c r="AT61" s="49" t="str">
        <f>IF(AND('Choix pédagogiques'!$C$4&lt;&gt;"?",'Choix pédagogiques'!$C$5&lt;&gt;"?",Y61&lt;&gt;""),(Y61-'Choix pédagogiques'!$C$4)/('Choix pédagogiques'!$C$5-'Choix pédagogiques'!$C$4),"")</f>
        <v/>
      </c>
      <c r="AU61" s="22" t="str">
        <f t="shared" si="102"/>
        <v/>
      </c>
      <c r="AV61" s="21" t="str">
        <f t="shared" si="103"/>
        <v>Apprenant 49 ou 49'</v>
      </c>
      <c r="AW61" s="49" t="str">
        <f>IF(AND('Choix pédagogiques'!$C$4&lt;&gt;"?",'Choix pédagogiques'!$C$5&lt;&gt;"?",AB61&lt;&gt;""),(AB61-'Choix pédagogiques'!$C$4)/('Choix pédagogiques'!$C$5-'Choix pédagogiques'!$C$4),"")</f>
        <v/>
      </c>
      <c r="AX61" s="49" t="str">
        <f>IF(AND('Choix pédagogiques'!$C$4&lt;&gt;"?",'Choix pédagogiques'!$C$5&lt;&gt;"?",AC61&lt;&gt;""),(AC61-'Choix pédagogiques'!$C$4)/('Choix pédagogiques'!$C$5-'Choix pédagogiques'!$C$4),"")</f>
        <v/>
      </c>
      <c r="AY61" s="49" t="str">
        <f>IF(AND('Choix pédagogiques'!$C$4&lt;&gt;"?",'Choix pédagogiques'!$C$5&lt;&gt;"?",AD61&lt;&gt;""),(AD61-'Choix pédagogiques'!$C$4)/('Choix pédagogiques'!$C$5-'Choix pédagogiques'!$C$4),"")</f>
        <v/>
      </c>
      <c r="AZ61" s="22" t="str">
        <f t="shared" si="104"/>
        <v/>
      </c>
      <c r="BA61" s="21" t="str">
        <f t="shared" si="105"/>
        <v>Apprenant 49</v>
      </c>
      <c r="BB61" s="49" t="str">
        <f t="shared" si="77"/>
        <v/>
      </c>
      <c r="BC61" s="49" t="str">
        <f t="shared" si="78"/>
        <v/>
      </c>
      <c r="BD61" s="49" t="str">
        <f t="shared" si="79"/>
        <v/>
      </c>
      <c r="BE61" s="22" t="str">
        <f t="shared" si="106"/>
        <v/>
      </c>
      <c r="BF61" s="21" t="str">
        <f t="shared" si="107"/>
        <v>Apprenant 49 ou 49'</v>
      </c>
      <c r="BG61" s="49" t="str">
        <f t="shared" si="80"/>
        <v/>
      </c>
      <c r="BH61" s="49" t="str">
        <f t="shared" si="81"/>
        <v/>
      </c>
      <c r="BI61" s="49" t="str">
        <f t="shared" si="82"/>
        <v/>
      </c>
      <c r="BJ61" s="22" t="str">
        <f t="shared" si="108"/>
        <v/>
      </c>
      <c r="BL61" s="21"/>
      <c r="BM61" s="21" t="str">
        <f>IF(OR(COUNT(B61:D1060)=0,AND('Choix pédagogiques'!$C$3&lt;&gt;1,'Choix pédagogiques'!$C$3&lt;&gt;2)),"",IF(AND(OR('Choix pédagogiques'!$C$3=1,'Choix pédagogiques'!$C$3=2),$B61&lt;&gt;"",$C61&lt;&gt;"",$D61&lt;&gt;""),1,0))</f>
        <v/>
      </c>
      <c r="BN61" s="21" t="str">
        <f>IF(OR(COUNT(G61:I1060)=0,AND('Choix pédagogiques'!$C$3&lt;&gt;1,'Choix pédagogiques'!$C$3&lt;&gt;2)),"",IF(AND(OR('Choix pédagogiques'!$C$3=1,'Choix pédagogiques'!$C$3=2),AND($G61&lt;&gt;"",$H61&lt;&gt;"",$I61&lt;&gt;"")),1,0))</f>
        <v/>
      </c>
      <c r="BO61" s="21" t="str">
        <f>IF(OR(COUNT(B61:D1060)=0,COUNT(G61:I1060)=0,'Choix pédagogiques'!C$3&lt;&gt;3),"",IF(AND('Choix pédagogiques'!$C$3=3,$B61&lt;&gt;"",$C61&lt;&gt;"",$D61&lt;&gt;"",$G61&lt;&gt;"",$H61&lt;&gt;"",$I61&lt;&gt;""),1,0))</f>
        <v/>
      </c>
      <c r="BR61" s="21">
        <v>45</v>
      </c>
      <c r="BS61" s="21">
        <v>1846</v>
      </c>
      <c r="BT61"/>
    </row>
    <row r="62" spans="1:72" s="23" customFormat="1" ht="18" customHeight="1" x14ac:dyDescent="0.3">
      <c r="A62" s="35" t="s">
        <v>52</v>
      </c>
      <c r="B62" s="37"/>
      <c r="C62" s="37"/>
      <c r="D62" s="37"/>
      <c r="E62" s="37"/>
      <c r="F62" s="35" t="s">
        <v>1060</v>
      </c>
      <c r="G62" s="36"/>
      <c r="H62" s="36"/>
      <c r="I62" s="36"/>
      <c r="J62" s="37"/>
      <c r="K62" s="21" t="str">
        <f t="shared" si="83"/>
        <v>Apprenant 50</v>
      </c>
      <c r="L62" s="22" t="str">
        <f t="shared" si="84"/>
        <v/>
      </c>
      <c r="M62" s="22" t="str">
        <f t="shared" si="85"/>
        <v/>
      </c>
      <c r="N62" s="22" t="str">
        <f t="shared" si="86"/>
        <v/>
      </c>
      <c r="O62" s="22" t="str">
        <f t="shared" si="87"/>
        <v/>
      </c>
      <c r="P62" s="21" t="str">
        <f t="shared" si="88"/>
        <v>Apprenant 50 ou 50'</v>
      </c>
      <c r="Q62" s="22" t="str">
        <f t="shared" si="89"/>
        <v/>
      </c>
      <c r="R62" s="22" t="str">
        <f t="shared" si="90"/>
        <v/>
      </c>
      <c r="S62" s="22" t="str">
        <f t="shared" si="91"/>
        <v/>
      </c>
      <c r="T62" s="22" t="str">
        <f t="shared" si="92"/>
        <v/>
      </c>
      <c r="V62" s="21" t="str">
        <f t="shared" si="93"/>
        <v>Apprenant 50</v>
      </c>
      <c r="W62" s="22" t="str">
        <f>IF(AND(OR('Choix pédagogiques'!$C$3=1,'Choix pédagogiques'!$C$3=2),$BM62=1),B62,IF(AND('Choix pédagogiques'!$C$3=3,$BO62=1),B62,""))</f>
        <v/>
      </c>
      <c r="X62" s="22" t="str">
        <f>IF(AND(OR('Choix pédagogiques'!$C$3=1,'Choix pédagogiques'!$C$3=2),$BM62=1),C62,IF(AND('Choix pédagogiques'!$C$3=3,$BO62=1),C62,""))</f>
        <v/>
      </c>
      <c r="Y62" s="22" t="str">
        <f>IF(AND(OR('Choix pédagogiques'!$C$3=1,'Choix pédagogiques'!$C$3=2),$BM62=1),D62,IF(AND('Choix pédagogiques'!$C$3=3,$BO62=1),D62,""))</f>
        <v/>
      </c>
      <c r="Z62" s="22" t="str">
        <f t="shared" si="94"/>
        <v/>
      </c>
      <c r="AA62" s="21" t="str">
        <f t="shared" si="95"/>
        <v>Apprenant 50 ou 50'</v>
      </c>
      <c r="AB62" s="22" t="str">
        <f>IF(AND(OR('Choix pédagogiques'!$C$3=1,'Choix pédagogiques'!$C$3=2),$BN62=1),G62,IF(AND('Choix pédagogiques'!$C$3=3,$BO62=1),G62,""))</f>
        <v/>
      </c>
      <c r="AC62" s="22" t="str">
        <f>IF(AND(OR('Choix pédagogiques'!$C$3=1,'Choix pédagogiques'!$C$3=2),$BN62=1),H62,IF(AND('Choix pédagogiques'!$C$3=3,$BO62=1),H62,""))</f>
        <v/>
      </c>
      <c r="AD62" s="22" t="str">
        <f>IF(AND(OR('Choix pédagogiques'!$C$3=1,'Choix pédagogiques'!$C$3=2),$BN62=1),I62,IF(AND('Choix pédagogiques'!$C$3=3,$BO62=1),I62,""))</f>
        <v/>
      </c>
      <c r="AE62" s="22" t="str">
        <f t="shared" si="96"/>
        <v/>
      </c>
      <c r="AF62" s="21" t="str">
        <f t="shared" si="97"/>
        <v>Apprenant 50</v>
      </c>
      <c r="AG62" s="22" t="str">
        <f t="shared" si="71"/>
        <v/>
      </c>
      <c r="AH62" s="22" t="str">
        <f t="shared" si="72"/>
        <v/>
      </c>
      <c r="AI62" s="22" t="str">
        <f t="shared" si="73"/>
        <v/>
      </c>
      <c r="AJ62" s="22" t="str">
        <f t="shared" si="98"/>
        <v/>
      </c>
      <c r="AK62" s="21" t="str">
        <f t="shared" si="99"/>
        <v>Apprenant 50 ou 50'</v>
      </c>
      <c r="AL62" s="22" t="str">
        <f t="shared" si="74"/>
        <v/>
      </c>
      <c r="AM62" s="22" t="str">
        <f t="shared" si="75"/>
        <v/>
      </c>
      <c r="AN62" s="22" t="str">
        <f t="shared" si="76"/>
        <v/>
      </c>
      <c r="AO62" s="22" t="str">
        <f t="shared" si="100"/>
        <v/>
      </c>
      <c r="AQ62" s="21" t="str">
        <f t="shared" si="101"/>
        <v>Apprenant 50</v>
      </c>
      <c r="AR62" s="49" t="str">
        <f>IF(AND('Choix pédagogiques'!$C$4&lt;&gt;"?",'Choix pédagogiques'!$C$5&lt;&gt;"?",W62&lt;&gt;""),(W62-'Choix pédagogiques'!$C$4)/('Choix pédagogiques'!$C$5-'Choix pédagogiques'!$C$4),"")</f>
        <v/>
      </c>
      <c r="AS62" s="49" t="str">
        <f>IF(AND('Choix pédagogiques'!$C$4&lt;&gt;"?",'Choix pédagogiques'!$C$5&lt;&gt;"?",X62&lt;&gt;""),(X62-'Choix pédagogiques'!$C$4)/('Choix pédagogiques'!$C$5-'Choix pédagogiques'!$C$4),"")</f>
        <v/>
      </c>
      <c r="AT62" s="49" t="str">
        <f>IF(AND('Choix pédagogiques'!$C$4&lt;&gt;"?",'Choix pédagogiques'!$C$5&lt;&gt;"?",Y62&lt;&gt;""),(Y62-'Choix pédagogiques'!$C$4)/('Choix pédagogiques'!$C$5-'Choix pédagogiques'!$C$4),"")</f>
        <v/>
      </c>
      <c r="AU62" s="22" t="str">
        <f t="shared" si="102"/>
        <v/>
      </c>
      <c r="AV62" s="21" t="str">
        <f t="shared" si="103"/>
        <v>Apprenant 50 ou 50'</v>
      </c>
      <c r="AW62" s="49" t="str">
        <f>IF(AND('Choix pédagogiques'!$C$4&lt;&gt;"?",'Choix pédagogiques'!$C$5&lt;&gt;"?",AB62&lt;&gt;""),(AB62-'Choix pédagogiques'!$C$4)/('Choix pédagogiques'!$C$5-'Choix pédagogiques'!$C$4),"")</f>
        <v/>
      </c>
      <c r="AX62" s="49" t="str">
        <f>IF(AND('Choix pédagogiques'!$C$4&lt;&gt;"?",'Choix pédagogiques'!$C$5&lt;&gt;"?",AC62&lt;&gt;""),(AC62-'Choix pédagogiques'!$C$4)/('Choix pédagogiques'!$C$5-'Choix pédagogiques'!$C$4),"")</f>
        <v/>
      </c>
      <c r="AY62" s="49" t="str">
        <f>IF(AND('Choix pédagogiques'!$C$4&lt;&gt;"?",'Choix pédagogiques'!$C$5&lt;&gt;"?",AD62&lt;&gt;""),(AD62-'Choix pédagogiques'!$C$4)/('Choix pédagogiques'!$C$5-'Choix pédagogiques'!$C$4),"")</f>
        <v/>
      </c>
      <c r="AZ62" s="22" t="str">
        <f t="shared" si="104"/>
        <v/>
      </c>
      <c r="BA62" s="21" t="str">
        <f t="shared" si="105"/>
        <v>Apprenant 50</v>
      </c>
      <c r="BB62" s="49" t="str">
        <f t="shared" si="77"/>
        <v/>
      </c>
      <c r="BC62" s="49" t="str">
        <f t="shared" si="78"/>
        <v/>
      </c>
      <c r="BD62" s="49" t="str">
        <f t="shared" si="79"/>
        <v/>
      </c>
      <c r="BE62" s="22" t="str">
        <f t="shared" si="106"/>
        <v/>
      </c>
      <c r="BF62" s="21" t="str">
        <f t="shared" si="107"/>
        <v>Apprenant 50 ou 50'</v>
      </c>
      <c r="BG62" s="49" t="str">
        <f t="shared" si="80"/>
        <v/>
      </c>
      <c r="BH62" s="49" t="str">
        <f t="shared" si="81"/>
        <v/>
      </c>
      <c r="BI62" s="49" t="str">
        <f t="shared" si="82"/>
        <v/>
      </c>
      <c r="BJ62" s="22" t="str">
        <f t="shared" si="108"/>
        <v/>
      </c>
      <c r="BL62" s="21"/>
      <c r="BM62" s="21" t="str">
        <f>IF(OR(COUNT(B62:D1061)=0,AND('Choix pédagogiques'!$C$3&lt;&gt;1,'Choix pédagogiques'!$C$3&lt;&gt;2)),"",IF(AND(OR('Choix pédagogiques'!$C$3=1,'Choix pédagogiques'!$C$3=2),$B62&lt;&gt;"",$C62&lt;&gt;"",$D62&lt;&gt;""),1,0))</f>
        <v/>
      </c>
      <c r="BN62" s="21" t="str">
        <f>IF(OR(COUNT(G62:I1061)=0,AND('Choix pédagogiques'!$C$3&lt;&gt;1,'Choix pédagogiques'!$C$3&lt;&gt;2)),"",IF(AND(OR('Choix pédagogiques'!$C$3=1,'Choix pédagogiques'!$C$3=2),AND($G62&lt;&gt;"",$H62&lt;&gt;"",$I62&lt;&gt;"")),1,0))</f>
        <v/>
      </c>
      <c r="BO62" s="21" t="str">
        <f>IF(OR(COUNT(B62:D1061)=0,COUNT(G62:I1061)=0,'Choix pédagogiques'!C$3&lt;&gt;3),"",IF(AND('Choix pédagogiques'!$C$3=3,$B62&lt;&gt;"",$C62&lt;&gt;"",$D62&lt;&gt;"",$G62&lt;&gt;"",$H62&lt;&gt;"",$I62&lt;&gt;""),1,0))</f>
        <v/>
      </c>
      <c r="BR62" s="21">
        <v>608</v>
      </c>
      <c r="BS62" s="21">
        <v>1006</v>
      </c>
      <c r="BT62"/>
    </row>
    <row r="63" spans="1:72" s="23" customFormat="1" ht="18" customHeight="1" x14ac:dyDescent="0.3">
      <c r="A63" s="35" t="s">
        <v>53</v>
      </c>
      <c r="B63" s="37"/>
      <c r="C63" s="37"/>
      <c r="D63" s="37"/>
      <c r="E63" s="37"/>
      <c r="F63" s="35" t="s">
        <v>1061</v>
      </c>
      <c r="G63" s="36"/>
      <c r="H63" s="36"/>
      <c r="I63" s="36"/>
      <c r="J63" s="37"/>
      <c r="K63" s="21" t="str">
        <f t="shared" si="83"/>
        <v>Apprenant 51</v>
      </c>
      <c r="L63" s="22" t="str">
        <f t="shared" si="84"/>
        <v/>
      </c>
      <c r="M63" s="22" t="str">
        <f t="shared" si="85"/>
        <v/>
      </c>
      <c r="N63" s="22" t="str">
        <f t="shared" si="86"/>
        <v/>
      </c>
      <c r="O63" s="22" t="str">
        <f t="shared" si="87"/>
        <v/>
      </c>
      <c r="P63" s="21" t="str">
        <f t="shared" si="88"/>
        <v>Apprenant 51 ou 51'</v>
      </c>
      <c r="Q63" s="22" t="str">
        <f t="shared" si="89"/>
        <v/>
      </c>
      <c r="R63" s="22" t="str">
        <f t="shared" si="90"/>
        <v/>
      </c>
      <c r="S63" s="22" t="str">
        <f t="shared" si="91"/>
        <v/>
      </c>
      <c r="T63" s="22" t="str">
        <f t="shared" si="92"/>
        <v/>
      </c>
      <c r="V63" s="21" t="str">
        <f t="shared" si="93"/>
        <v>Apprenant 51</v>
      </c>
      <c r="W63" s="22" t="str">
        <f>IF(AND(OR('Choix pédagogiques'!$C$3=1,'Choix pédagogiques'!$C$3=2),$BM63=1),B63,IF(AND('Choix pédagogiques'!$C$3=3,$BO63=1),B63,""))</f>
        <v/>
      </c>
      <c r="X63" s="22" t="str">
        <f>IF(AND(OR('Choix pédagogiques'!$C$3=1,'Choix pédagogiques'!$C$3=2),$BM63=1),C63,IF(AND('Choix pédagogiques'!$C$3=3,$BO63=1),C63,""))</f>
        <v/>
      </c>
      <c r="Y63" s="22" t="str">
        <f>IF(AND(OR('Choix pédagogiques'!$C$3=1,'Choix pédagogiques'!$C$3=2),$BM63=1),D63,IF(AND('Choix pédagogiques'!$C$3=3,$BO63=1),D63,""))</f>
        <v/>
      </c>
      <c r="Z63" s="22" t="str">
        <f t="shared" si="94"/>
        <v/>
      </c>
      <c r="AA63" s="21" t="str">
        <f t="shared" si="95"/>
        <v>Apprenant 51 ou 51'</v>
      </c>
      <c r="AB63" s="22" t="str">
        <f>IF(AND(OR('Choix pédagogiques'!$C$3=1,'Choix pédagogiques'!$C$3=2),$BN63=1),G63,IF(AND('Choix pédagogiques'!$C$3=3,$BO63=1),G63,""))</f>
        <v/>
      </c>
      <c r="AC63" s="22" t="str">
        <f>IF(AND(OR('Choix pédagogiques'!$C$3=1,'Choix pédagogiques'!$C$3=2),$BN63=1),H63,IF(AND('Choix pédagogiques'!$C$3=3,$BO63=1),H63,""))</f>
        <v/>
      </c>
      <c r="AD63" s="22" t="str">
        <f>IF(AND(OR('Choix pédagogiques'!$C$3=1,'Choix pédagogiques'!$C$3=2),$BN63=1),I63,IF(AND('Choix pédagogiques'!$C$3=3,$BO63=1),I63,""))</f>
        <v/>
      </c>
      <c r="AE63" s="22" t="str">
        <f t="shared" si="96"/>
        <v/>
      </c>
      <c r="AF63" s="21" t="str">
        <f t="shared" si="97"/>
        <v>Apprenant 51</v>
      </c>
      <c r="AG63" s="22" t="str">
        <f t="shared" si="71"/>
        <v/>
      </c>
      <c r="AH63" s="22" t="str">
        <f t="shared" si="72"/>
        <v/>
      </c>
      <c r="AI63" s="22" t="str">
        <f t="shared" si="73"/>
        <v/>
      </c>
      <c r="AJ63" s="22" t="str">
        <f t="shared" si="98"/>
        <v/>
      </c>
      <c r="AK63" s="21" t="str">
        <f t="shared" si="99"/>
        <v>Apprenant 51 ou 51'</v>
      </c>
      <c r="AL63" s="22" t="str">
        <f t="shared" si="74"/>
        <v/>
      </c>
      <c r="AM63" s="22" t="str">
        <f t="shared" si="75"/>
        <v/>
      </c>
      <c r="AN63" s="22" t="str">
        <f t="shared" si="76"/>
        <v/>
      </c>
      <c r="AO63" s="22" t="str">
        <f t="shared" si="100"/>
        <v/>
      </c>
      <c r="AQ63" s="21" t="str">
        <f t="shared" si="101"/>
        <v>Apprenant 51</v>
      </c>
      <c r="AR63" s="49" t="str">
        <f>IF(AND('Choix pédagogiques'!$C$4&lt;&gt;"?",'Choix pédagogiques'!$C$5&lt;&gt;"?",W63&lt;&gt;""),(W63-'Choix pédagogiques'!$C$4)/('Choix pédagogiques'!$C$5-'Choix pédagogiques'!$C$4),"")</f>
        <v/>
      </c>
      <c r="AS63" s="49" t="str">
        <f>IF(AND('Choix pédagogiques'!$C$4&lt;&gt;"?",'Choix pédagogiques'!$C$5&lt;&gt;"?",X63&lt;&gt;""),(X63-'Choix pédagogiques'!$C$4)/('Choix pédagogiques'!$C$5-'Choix pédagogiques'!$C$4),"")</f>
        <v/>
      </c>
      <c r="AT63" s="49" t="str">
        <f>IF(AND('Choix pédagogiques'!$C$4&lt;&gt;"?",'Choix pédagogiques'!$C$5&lt;&gt;"?",Y63&lt;&gt;""),(Y63-'Choix pédagogiques'!$C$4)/('Choix pédagogiques'!$C$5-'Choix pédagogiques'!$C$4),"")</f>
        <v/>
      </c>
      <c r="AU63" s="22" t="str">
        <f t="shared" si="102"/>
        <v/>
      </c>
      <c r="AV63" s="21" t="str">
        <f t="shared" si="103"/>
        <v>Apprenant 51 ou 51'</v>
      </c>
      <c r="AW63" s="49" t="str">
        <f>IF(AND('Choix pédagogiques'!$C$4&lt;&gt;"?",'Choix pédagogiques'!$C$5&lt;&gt;"?",AB63&lt;&gt;""),(AB63-'Choix pédagogiques'!$C$4)/('Choix pédagogiques'!$C$5-'Choix pédagogiques'!$C$4),"")</f>
        <v/>
      </c>
      <c r="AX63" s="49" t="str">
        <f>IF(AND('Choix pédagogiques'!$C$4&lt;&gt;"?",'Choix pédagogiques'!$C$5&lt;&gt;"?",AC63&lt;&gt;""),(AC63-'Choix pédagogiques'!$C$4)/('Choix pédagogiques'!$C$5-'Choix pédagogiques'!$C$4),"")</f>
        <v/>
      </c>
      <c r="AY63" s="49" t="str">
        <f>IF(AND('Choix pédagogiques'!$C$4&lt;&gt;"?",'Choix pédagogiques'!$C$5&lt;&gt;"?",AD63&lt;&gt;""),(AD63-'Choix pédagogiques'!$C$4)/('Choix pédagogiques'!$C$5-'Choix pédagogiques'!$C$4),"")</f>
        <v/>
      </c>
      <c r="AZ63" s="22" t="str">
        <f t="shared" si="104"/>
        <v/>
      </c>
      <c r="BA63" s="21" t="str">
        <f t="shared" si="105"/>
        <v>Apprenant 51</v>
      </c>
      <c r="BB63" s="49" t="str">
        <f t="shared" si="77"/>
        <v/>
      </c>
      <c r="BC63" s="49" t="str">
        <f t="shared" si="78"/>
        <v/>
      </c>
      <c r="BD63" s="49" t="str">
        <f t="shared" si="79"/>
        <v/>
      </c>
      <c r="BE63" s="22" t="str">
        <f t="shared" si="106"/>
        <v/>
      </c>
      <c r="BF63" s="21" t="str">
        <f t="shared" si="107"/>
        <v>Apprenant 51 ou 51'</v>
      </c>
      <c r="BG63" s="49" t="str">
        <f t="shared" si="80"/>
        <v/>
      </c>
      <c r="BH63" s="49" t="str">
        <f t="shared" si="81"/>
        <v/>
      </c>
      <c r="BI63" s="49" t="str">
        <f t="shared" si="82"/>
        <v/>
      </c>
      <c r="BJ63" s="22" t="str">
        <f t="shared" si="108"/>
        <v/>
      </c>
      <c r="BL63" s="21"/>
      <c r="BM63" s="21" t="str">
        <f>IF(OR(COUNT(B63:D1062)=0,AND('Choix pédagogiques'!$C$3&lt;&gt;1,'Choix pédagogiques'!$C$3&lt;&gt;2)),"",IF(AND(OR('Choix pédagogiques'!$C$3=1,'Choix pédagogiques'!$C$3=2),$B63&lt;&gt;"",$C63&lt;&gt;"",$D63&lt;&gt;""),1,0))</f>
        <v/>
      </c>
      <c r="BN63" s="21" t="str">
        <f>IF(OR(COUNT(G63:I1062)=0,AND('Choix pédagogiques'!$C$3&lt;&gt;1,'Choix pédagogiques'!$C$3&lt;&gt;2)),"",IF(AND(OR('Choix pédagogiques'!$C$3=1,'Choix pédagogiques'!$C$3=2),AND($G63&lt;&gt;"",$H63&lt;&gt;"",$I63&lt;&gt;"")),1,0))</f>
        <v/>
      </c>
      <c r="BO63" s="21" t="str">
        <f>IF(OR(COUNT(B63:D1062)=0,COUNT(G63:I1062)=0,'Choix pédagogiques'!C$3&lt;&gt;3),"",IF(AND('Choix pédagogiques'!$C$3=3,$B63&lt;&gt;"",$C63&lt;&gt;"",$D63&lt;&gt;"",$G63&lt;&gt;"",$H63&lt;&gt;"",$I63&lt;&gt;""),1,0))</f>
        <v/>
      </c>
      <c r="BR63" s="21">
        <v>768</v>
      </c>
      <c r="BS63" s="21">
        <v>1194</v>
      </c>
      <c r="BT63"/>
    </row>
    <row r="64" spans="1:72" s="23" customFormat="1" ht="18" customHeight="1" x14ac:dyDescent="0.3">
      <c r="A64" s="35" t="s">
        <v>54</v>
      </c>
      <c r="B64" s="37"/>
      <c r="C64" s="37"/>
      <c r="D64" s="37"/>
      <c r="E64" s="37"/>
      <c r="F64" s="35" t="s">
        <v>1062</v>
      </c>
      <c r="G64" s="36"/>
      <c r="H64" s="36"/>
      <c r="I64" s="36"/>
      <c r="J64" s="37"/>
      <c r="K64" s="21" t="str">
        <f t="shared" si="83"/>
        <v>Apprenant 52</v>
      </c>
      <c r="L64" s="22" t="str">
        <f t="shared" si="84"/>
        <v/>
      </c>
      <c r="M64" s="22" t="str">
        <f t="shared" si="85"/>
        <v/>
      </c>
      <c r="N64" s="22" t="str">
        <f t="shared" si="86"/>
        <v/>
      </c>
      <c r="O64" s="22" t="str">
        <f t="shared" si="87"/>
        <v/>
      </c>
      <c r="P64" s="21" t="str">
        <f t="shared" si="88"/>
        <v>Apprenant 52 ou 52'</v>
      </c>
      <c r="Q64" s="22" t="str">
        <f t="shared" si="89"/>
        <v/>
      </c>
      <c r="R64" s="22" t="str">
        <f t="shared" si="90"/>
        <v/>
      </c>
      <c r="S64" s="22" t="str">
        <f t="shared" si="91"/>
        <v/>
      </c>
      <c r="T64" s="22" t="str">
        <f t="shared" si="92"/>
        <v/>
      </c>
      <c r="V64" s="21" t="str">
        <f t="shared" si="93"/>
        <v>Apprenant 52</v>
      </c>
      <c r="W64" s="22" t="str">
        <f>IF(AND(OR('Choix pédagogiques'!$C$3=1,'Choix pédagogiques'!$C$3=2),$BM64=1),B64,IF(AND('Choix pédagogiques'!$C$3=3,$BO64=1),B64,""))</f>
        <v/>
      </c>
      <c r="X64" s="22" t="str">
        <f>IF(AND(OR('Choix pédagogiques'!$C$3=1,'Choix pédagogiques'!$C$3=2),$BM64=1),C64,IF(AND('Choix pédagogiques'!$C$3=3,$BO64=1),C64,""))</f>
        <v/>
      </c>
      <c r="Y64" s="22" t="str">
        <f>IF(AND(OR('Choix pédagogiques'!$C$3=1,'Choix pédagogiques'!$C$3=2),$BM64=1),D64,IF(AND('Choix pédagogiques'!$C$3=3,$BO64=1),D64,""))</f>
        <v/>
      </c>
      <c r="Z64" s="22" t="str">
        <f t="shared" si="94"/>
        <v/>
      </c>
      <c r="AA64" s="21" t="str">
        <f t="shared" si="95"/>
        <v>Apprenant 52 ou 52'</v>
      </c>
      <c r="AB64" s="22" t="str">
        <f>IF(AND(OR('Choix pédagogiques'!$C$3=1,'Choix pédagogiques'!$C$3=2),$BN64=1),G64,IF(AND('Choix pédagogiques'!$C$3=3,$BO64=1),G64,""))</f>
        <v/>
      </c>
      <c r="AC64" s="22" t="str">
        <f>IF(AND(OR('Choix pédagogiques'!$C$3=1,'Choix pédagogiques'!$C$3=2),$BN64=1),H64,IF(AND('Choix pédagogiques'!$C$3=3,$BO64=1),H64,""))</f>
        <v/>
      </c>
      <c r="AD64" s="22" t="str">
        <f>IF(AND(OR('Choix pédagogiques'!$C$3=1,'Choix pédagogiques'!$C$3=2),$BN64=1),I64,IF(AND('Choix pédagogiques'!$C$3=3,$BO64=1),I64,""))</f>
        <v/>
      </c>
      <c r="AE64" s="22" t="str">
        <f t="shared" si="96"/>
        <v/>
      </c>
      <c r="AF64" s="21" t="str">
        <f t="shared" si="97"/>
        <v>Apprenant 52</v>
      </c>
      <c r="AG64" s="22" t="str">
        <f t="shared" si="71"/>
        <v/>
      </c>
      <c r="AH64" s="22" t="str">
        <f t="shared" si="72"/>
        <v/>
      </c>
      <c r="AI64" s="22" t="str">
        <f t="shared" si="73"/>
        <v/>
      </c>
      <c r="AJ64" s="22" t="str">
        <f t="shared" si="98"/>
        <v/>
      </c>
      <c r="AK64" s="21" t="str">
        <f t="shared" si="99"/>
        <v>Apprenant 52 ou 52'</v>
      </c>
      <c r="AL64" s="22" t="str">
        <f t="shared" si="74"/>
        <v/>
      </c>
      <c r="AM64" s="22" t="str">
        <f t="shared" si="75"/>
        <v/>
      </c>
      <c r="AN64" s="22" t="str">
        <f t="shared" si="76"/>
        <v/>
      </c>
      <c r="AO64" s="22" t="str">
        <f t="shared" si="100"/>
        <v/>
      </c>
      <c r="AQ64" s="21" t="str">
        <f t="shared" si="101"/>
        <v>Apprenant 52</v>
      </c>
      <c r="AR64" s="49" t="str">
        <f>IF(AND('Choix pédagogiques'!$C$4&lt;&gt;"?",'Choix pédagogiques'!$C$5&lt;&gt;"?",W64&lt;&gt;""),(W64-'Choix pédagogiques'!$C$4)/('Choix pédagogiques'!$C$5-'Choix pédagogiques'!$C$4),"")</f>
        <v/>
      </c>
      <c r="AS64" s="49" t="str">
        <f>IF(AND('Choix pédagogiques'!$C$4&lt;&gt;"?",'Choix pédagogiques'!$C$5&lt;&gt;"?",X64&lt;&gt;""),(X64-'Choix pédagogiques'!$C$4)/('Choix pédagogiques'!$C$5-'Choix pédagogiques'!$C$4),"")</f>
        <v/>
      </c>
      <c r="AT64" s="49" t="str">
        <f>IF(AND('Choix pédagogiques'!$C$4&lt;&gt;"?",'Choix pédagogiques'!$C$5&lt;&gt;"?",Y64&lt;&gt;""),(Y64-'Choix pédagogiques'!$C$4)/('Choix pédagogiques'!$C$5-'Choix pédagogiques'!$C$4),"")</f>
        <v/>
      </c>
      <c r="AU64" s="22" t="str">
        <f t="shared" si="102"/>
        <v/>
      </c>
      <c r="AV64" s="21" t="str">
        <f t="shared" si="103"/>
        <v>Apprenant 52 ou 52'</v>
      </c>
      <c r="AW64" s="49" t="str">
        <f>IF(AND('Choix pédagogiques'!$C$4&lt;&gt;"?",'Choix pédagogiques'!$C$5&lt;&gt;"?",AB64&lt;&gt;""),(AB64-'Choix pédagogiques'!$C$4)/('Choix pédagogiques'!$C$5-'Choix pédagogiques'!$C$4),"")</f>
        <v/>
      </c>
      <c r="AX64" s="49" t="str">
        <f>IF(AND('Choix pédagogiques'!$C$4&lt;&gt;"?",'Choix pédagogiques'!$C$5&lt;&gt;"?",AC64&lt;&gt;""),(AC64-'Choix pédagogiques'!$C$4)/('Choix pédagogiques'!$C$5-'Choix pédagogiques'!$C$4),"")</f>
        <v/>
      </c>
      <c r="AY64" s="49" t="str">
        <f>IF(AND('Choix pédagogiques'!$C$4&lt;&gt;"?",'Choix pédagogiques'!$C$5&lt;&gt;"?",AD64&lt;&gt;""),(AD64-'Choix pédagogiques'!$C$4)/('Choix pédagogiques'!$C$5-'Choix pédagogiques'!$C$4),"")</f>
        <v/>
      </c>
      <c r="AZ64" s="22" t="str">
        <f t="shared" si="104"/>
        <v/>
      </c>
      <c r="BA64" s="21" t="str">
        <f t="shared" si="105"/>
        <v>Apprenant 52</v>
      </c>
      <c r="BB64" s="49" t="str">
        <f t="shared" si="77"/>
        <v/>
      </c>
      <c r="BC64" s="49" t="str">
        <f t="shared" si="78"/>
        <v/>
      </c>
      <c r="BD64" s="49" t="str">
        <f t="shared" si="79"/>
        <v/>
      </c>
      <c r="BE64" s="22" t="str">
        <f t="shared" si="106"/>
        <v/>
      </c>
      <c r="BF64" s="21" t="str">
        <f t="shared" si="107"/>
        <v>Apprenant 52 ou 52'</v>
      </c>
      <c r="BG64" s="49" t="str">
        <f t="shared" si="80"/>
        <v/>
      </c>
      <c r="BH64" s="49" t="str">
        <f t="shared" si="81"/>
        <v/>
      </c>
      <c r="BI64" s="49" t="str">
        <f t="shared" si="82"/>
        <v/>
      </c>
      <c r="BJ64" s="22" t="str">
        <f t="shared" si="108"/>
        <v/>
      </c>
      <c r="BL64" s="21"/>
      <c r="BM64" s="21" t="str">
        <f>IF(OR(COUNT(B64:D1063)=0,AND('Choix pédagogiques'!$C$3&lt;&gt;1,'Choix pédagogiques'!$C$3&lt;&gt;2)),"",IF(AND(OR('Choix pédagogiques'!$C$3=1,'Choix pédagogiques'!$C$3=2),$B64&lt;&gt;"",$C64&lt;&gt;"",$D64&lt;&gt;""),1,0))</f>
        <v/>
      </c>
      <c r="BN64" s="21" t="str">
        <f>IF(OR(COUNT(G64:I1063)=0,AND('Choix pédagogiques'!$C$3&lt;&gt;1,'Choix pédagogiques'!$C$3&lt;&gt;2)),"",IF(AND(OR('Choix pédagogiques'!$C$3=1,'Choix pédagogiques'!$C$3=2),AND($G64&lt;&gt;"",$H64&lt;&gt;"",$I64&lt;&gt;"")),1,0))</f>
        <v/>
      </c>
      <c r="BO64" s="21" t="str">
        <f>IF(OR(COUNT(B64:D1063)=0,COUNT(G64:I1063)=0,'Choix pédagogiques'!C$3&lt;&gt;3),"",IF(AND('Choix pédagogiques'!$C$3=3,$B64&lt;&gt;"",$C64&lt;&gt;"",$D64&lt;&gt;"",$G64&lt;&gt;"",$H64&lt;&gt;"",$I64&lt;&gt;""),1,0))</f>
        <v/>
      </c>
      <c r="BR64" s="21">
        <v>593</v>
      </c>
      <c r="BS64" s="21">
        <v>1289</v>
      </c>
      <c r="BT64"/>
    </row>
    <row r="65" spans="1:72" s="23" customFormat="1" ht="18" customHeight="1" x14ac:dyDescent="0.3">
      <c r="A65" s="35" t="s">
        <v>55</v>
      </c>
      <c r="B65" s="37"/>
      <c r="C65" s="37"/>
      <c r="D65" s="37"/>
      <c r="E65" s="37"/>
      <c r="F65" s="35" t="s">
        <v>1063</v>
      </c>
      <c r="G65" s="36"/>
      <c r="H65" s="36"/>
      <c r="I65" s="36"/>
      <c r="J65" s="37"/>
      <c r="K65" s="21" t="str">
        <f t="shared" si="83"/>
        <v>Apprenant 53</v>
      </c>
      <c r="L65" s="22" t="str">
        <f t="shared" si="84"/>
        <v/>
      </c>
      <c r="M65" s="22" t="str">
        <f t="shared" si="85"/>
        <v/>
      </c>
      <c r="N65" s="22" t="str">
        <f t="shared" si="86"/>
        <v/>
      </c>
      <c r="O65" s="22" t="str">
        <f t="shared" si="87"/>
        <v/>
      </c>
      <c r="P65" s="21" t="str">
        <f t="shared" si="88"/>
        <v>Apprenant 53 ou 53'</v>
      </c>
      <c r="Q65" s="22" t="str">
        <f t="shared" si="89"/>
        <v/>
      </c>
      <c r="R65" s="22" t="str">
        <f t="shared" si="90"/>
        <v/>
      </c>
      <c r="S65" s="22" t="str">
        <f t="shared" si="91"/>
        <v/>
      </c>
      <c r="T65" s="22" t="str">
        <f t="shared" si="92"/>
        <v/>
      </c>
      <c r="V65" s="21" t="str">
        <f t="shared" si="93"/>
        <v>Apprenant 53</v>
      </c>
      <c r="W65" s="22" t="str">
        <f>IF(AND(OR('Choix pédagogiques'!$C$3=1,'Choix pédagogiques'!$C$3=2),$BM65=1),B65,IF(AND('Choix pédagogiques'!$C$3=3,$BO65=1),B65,""))</f>
        <v/>
      </c>
      <c r="X65" s="22" t="str">
        <f>IF(AND(OR('Choix pédagogiques'!$C$3=1,'Choix pédagogiques'!$C$3=2),$BM65=1),C65,IF(AND('Choix pédagogiques'!$C$3=3,$BO65=1),C65,""))</f>
        <v/>
      </c>
      <c r="Y65" s="22" t="str">
        <f>IF(AND(OR('Choix pédagogiques'!$C$3=1,'Choix pédagogiques'!$C$3=2),$BM65=1),D65,IF(AND('Choix pédagogiques'!$C$3=3,$BO65=1),D65,""))</f>
        <v/>
      </c>
      <c r="Z65" s="22" t="str">
        <f t="shared" si="94"/>
        <v/>
      </c>
      <c r="AA65" s="21" t="str">
        <f t="shared" si="95"/>
        <v>Apprenant 53 ou 53'</v>
      </c>
      <c r="AB65" s="22" t="str">
        <f>IF(AND(OR('Choix pédagogiques'!$C$3=1,'Choix pédagogiques'!$C$3=2),$BN65=1),G65,IF(AND('Choix pédagogiques'!$C$3=3,$BO65=1),G65,""))</f>
        <v/>
      </c>
      <c r="AC65" s="22" t="str">
        <f>IF(AND(OR('Choix pédagogiques'!$C$3=1,'Choix pédagogiques'!$C$3=2),$BN65=1),H65,IF(AND('Choix pédagogiques'!$C$3=3,$BO65=1),H65,""))</f>
        <v/>
      </c>
      <c r="AD65" s="22" t="str">
        <f>IF(AND(OR('Choix pédagogiques'!$C$3=1,'Choix pédagogiques'!$C$3=2),$BN65=1),I65,IF(AND('Choix pédagogiques'!$C$3=3,$BO65=1),I65,""))</f>
        <v/>
      </c>
      <c r="AE65" s="22" t="str">
        <f t="shared" si="96"/>
        <v/>
      </c>
      <c r="AF65" s="21" t="str">
        <f t="shared" si="97"/>
        <v>Apprenant 53</v>
      </c>
      <c r="AG65" s="22" t="str">
        <f t="shared" si="71"/>
        <v/>
      </c>
      <c r="AH65" s="22" t="str">
        <f t="shared" si="72"/>
        <v/>
      </c>
      <c r="AI65" s="22" t="str">
        <f t="shared" si="73"/>
        <v/>
      </c>
      <c r="AJ65" s="22" t="str">
        <f t="shared" si="98"/>
        <v/>
      </c>
      <c r="AK65" s="21" t="str">
        <f t="shared" si="99"/>
        <v>Apprenant 53 ou 53'</v>
      </c>
      <c r="AL65" s="22" t="str">
        <f t="shared" si="74"/>
        <v/>
      </c>
      <c r="AM65" s="22" t="str">
        <f t="shared" si="75"/>
        <v/>
      </c>
      <c r="AN65" s="22" t="str">
        <f t="shared" si="76"/>
        <v/>
      </c>
      <c r="AO65" s="22" t="str">
        <f t="shared" si="100"/>
        <v/>
      </c>
      <c r="AQ65" s="21" t="str">
        <f t="shared" si="101"/>
        <v>Apprenant 53</v>
      </c>
      <c r="AR65" s="49" t="str">
        <f>IF(AND('Choix pédagogiques'!$C$4&lt;&gt;"?",'Choix pédagogiques'!$C$5&lt;&gt;"?",W65&lt;&gt;""),(W65-'Choix pédagogiques'!$C$4)/('Choix pédagogiques'!$C$5-'Choix pédagogiques'!$C$4),"")</f>
        <v/>
      </c>
      <c r="AS65" s="49" t="str">
        <f>IF(AND('Choix pédagogiques'!$C$4&lt;&gt;"?",'Choix pédagogiques'!$C$5&lt;&gt;"?",X65&lt;&gt;""),(X65-'Choix pédagogiques'!$C$4)/('Choix pédagogiques'!$C$5-'Choix pédagogiques'!$C$4),"")</f>
        <v/>
      </c>
      <c r="AT65" s="49" t="str">
        <f>IF(AND('Choix pédagogiques'!$C$4&lt;&gt;"?",'Choix pédagogiques'!$C$5&lt;&gt;"?",Y65&lt;&gt;""),(Y65-'Choix pédagogiques'!$C$4)/('Choix pédagogiques'!$C$5-'Choix pédagogiques'!$C$4),"")</f>
        <v/>
      </c>
      <c r="AU65" s="22" t="str">
        <f t="shared" si="102"/>
        <v/>
      </c>
      <c r="AV65" s="21" t="str">
        <f t="shared" si="103"/>
        <v>Apprenant 53 ou 53'</v>
      </c>
      <c r="AW65" s="49" t="str">
        <f>IF(AND('Choix pédagogiques'!$C$4&lt;&gt;"?",'Choix pédagogiques'!$C$5&lt;&gt;"?",AB65&lt;&gt;""),(AB65-'Choix pédagogiques'!$C$4)/('Choix pédagogiques'!$C$5-'Choix pédagogiques'!$C$4),"")</f>
        <v/>
      </c>
      <c r="AX65" s="49" t="str">
        <f>IF(AND('Choix pédagogiques'!$C$4&lt;&gt;"?",'Choix pédagogiques'!$C$5&lt;&gt;"?",AC65&lt;&gt;""),(AC65-'Choix pédagogiques'!$C$4)/('Choix pédagogiques'!$C$5-'Choix pédagogiques'!$C$4),"")</f>
        <v/>
      </c>
      <c r="AY65" s="49" t="str">
        <f>IF(AND('Choix pédagogiques'!$C$4&lt;&gt;"?",'Choix pédagogiques'!$C$5&lt;&gt;"?",AD65&lt;&gt;""),(AD65-'Choix pédagogiques'!$C$4)/('Choix pédagogiques'!$C$5-'Choix pédagogiques'!$C$4),"")</f>
        <v/>
      </c>
      <c r="AZ65" s="22" t="str">
        <f t="shared" si="104"/>
        <v/>
      </c>
      <c r="BA65" s="21" t="str">
        <f t="shared" si="105"/>
        <v>Apprenant 53</v>
      </c>
      <c r="BB65" s="49" t="str">
        <f t="shared" si="77"/>
        <v/>
      </c>
      <c r="BC65" s="49" t="str">
        <f t="shared" si="78"/>
        <v/>
      </c>
      <c r="BD65" s="49" t="str">
        <f t="shared" si="79"/>
        <v/>
      </c>
      <c r="BE65" s="22" t="str">
        <f t="shared" si="106"/>
        <v/>
      </c>
      <c r="BF65" s="21" t="str">
        <f t="shared" si="107"/>
        <v>Apprenant 53 ou 53'</v>
      </c>
      <c r="BG65" s="49" t="str">
        <f t="shared" si="80"/>
        <v/>
      </c>
      <c r="BH65" s="49" t="str">
        <f t="shared" si="81"/>
        <v/>
      </c>
      <c r="BI65" s="49" t="str">
        <f t="shared" si="82"/>
        <v/>
      </c>
      <c r="BJ65" s="22" t="str">
        <f t="shared" si="108"/>
        <v/>
      </c>
      <c r="BL65" s="21"/>
      <c r="BM65" s="21" t="str">
        <f>IF(OR(COUNT(B65:D1064)=0,AND('Choix pédagogiques'!$C$3&lt;&gt;1,'Choix pédagogiques'!$C$3&lt;&gt;2)),"",IF(AND(OR('Choix pédagogiques'!$C$3=1,'Choix pédagogiques'!$C$3=2),$B65&lt;&gt;"",$C65&lt;&gt;"",$D65&lt;&gt;""),1,0))</f>
        <v/>
      </c>
      <c r="BN65" s="21" t="str">
        <f>IF(OR(COUNT(G65:I1064)=0,AND('Choix pédagogiques'!$C$3&lt;&gt;1,'Choix pédagogiques'!$C$3&lt;&gt;2)),"",IF(AND(OR('Choix pédagogiques'!$C$3=1,'Choix pédagogiques'!$C$3=2),AND($G65&lt;&gt;"",$H65&lt;&gt;"",$I65&lt;&gt;"")),1,0))</f>
        <v/>
      </c>
      <c r="BO65" s="21" t="str">
        <f>IF(OR(COUNT(B65:D1064)=0,COUNT(G65:I1064)=0,'Choix pédagogiques'!C$3&lt;&gt;3),"",IF(AND('Choix pédagogiques'!$C$3=3,$B65&lt;&gt;"",$C65&lt;&gt;"",$D65&lt;&gt;"",$G65&lt;&gt;"",$H65&lt;&gt;"",$I65&lt;&gt;""),1,0))</f>
        <v/>
      </c>
      <c r="BR65" s="21">
        <v>838</v>
      </c>
      <c r="BS65" s="21">
        <v>1477</v>
      </c>
      <c r="BT65"/>
    </row>
    <row r="66" spans="1:72" s="23" customFormat="1" ht="18" customHeight="1" x14ac:dyDescent="0.3">
      <c r="A66" s="35" t="s">
        <v>56</v>
      </c>
      <c r="B66" s="37"/>
      <c r="C66" s="37"/>
      <c r="D66" s="37"/>
      <c r="E66" s="37"/>
      <c r="F66" s="35" t="s">
        <v>1064</v>
      </c>
      <c r="G66" s="36"/>
      <c r="H66" s="36"/>
      <c r="I66" s="36"/>
      <c r="J66" s="37"/>
      <c r="K66" s="21" t="str">
        <f t="shared" si="83"/>
        <v>Apprenant 54</v>
      </c>
      <c r="L66" s="22" t="str">
        <f t="shared" si="84"/>
        <v/>
      </c>
      <c r="M66" s="22" t="str">
        <f t="shared" si="85"/>
        <v/>
      </c>
      <c r="N66" s="22" t="str">
        <f t="shared" si="86"/>
        <v/>
      </c>
      <c r="O66" s="22" t="str">
        <f t="shared" si="87"/>
        <v/>
      </c>
      <c r="P66" s="21" t="str">
        <f t="shared" si="88"/>
        <v>Apprenant 54 ou 54'</v>
      </c>
      <c r="Q66" s="22" t="str">
        <f t="shared" si="89"/>
        <v/>
      </c>
      <c r="R66" s="22" t="str">
        <f t="shared" si="90"/>
        <v/>
      </c>
      <c r="S66" s="22" t="str">
        <f t="shared" si="91"/>
        <v/>
      </c>
      <c r="T66" s="22" t="str">
        <f t="shared" si="92"/>
        <v/>
      </c>
      <c r="V66" s="21" t="str">
        <f t="shared" si="93"/>
        <v>Apprenant 54</v>
      </c>
      <c r="W66" s="22" t="str">
        <f>IF(AND(OR('Choix pédagogiques'!$C$3=1,'Choix pédagogiques'!$C$3=2),$BM66=1),B66,IF(AND('Choix pédagogiques'!$C$3=3,$BO66=1),B66,""))</f>
        <v/>
      </c>
      <c r="X66" s="22" t="str">
        <f>IF(AND(OR('Choix pédagogiques'!$C$3=1,'Choix pédagogiques'!$C$3=2),$BM66=1),C66,IF(AND('Choix pédagogiques'!$C$3=3,$BO66=1),C66,""))</f>
        <v/>
      </c>
      <c r="Y66" s="22" t="str">
        <f>IF(AND(OR('Choix pédagogiques'!$C$3=1,'Choix pédagogiques'!$C$3=2),$BM66=1),D66,IF(AND('Choix pédagogiques'!$C$3=3,$BO66=1),D66,""))</f>
        <v/>
      </c>
      <c r="Z66" s="22" t="str">
        <f t="shared" si="94"/>
        <v/>
      </c>
      <c r="AA66" s="21" t="str">
        <f t="shared" si="95"/>
        <v>Apprenant 54 ou 54'</v>
      </c>
      <c r="AB66" s="22" t="str">
        <f>IF(AND(OR('Choix pédagogiques'!$C$3=1,'Choix pédagogiques'!$C$3=2),$BN66=1),G66,IF(AND('Choix pédagogiques'!$C$3=3,$BO66=1),G66,""))</f>
        <v/>
      </c>
      <c r="AC66" s="22" t="str">
        <f>IF(AND(OR('Choix pédagogiques'!$C$3=1,'Choix pédagogiques'!$C$3=2),$BN66=1),H66,IF(AND('Choix pédagogiques'!$C$3=3,$BO66=1),H66,""))</f>
        <v/>
      </c>
      <c r="AD66" s="22" t="str">
        <f>IF(AND(OR('Choix pédagogiques'!$C$3=1,'Choix pédagogiques'!$C$3=2),$BN66=1),I66,IF(AND('Choix pédagogiques'!$C$3=3,$BO66=1),I66,""))</f>
        <v/>
      </c>
      <c r="AE66" s="22" t="str">
        <f t="shared" si="96"/>
        <v/>
      </c>
      <c r="AF66" s="21" t="str">
        <f t="shared" si="97"/>
        <v>Apprenant 54</v>
      </c>
      <c r="AG66" s="22" t="str">
        <f t="shared" si="71"/>
        <v/>
      </c>
      <c r="AH66" s="22" t="str">
        <f t="shared" si="72"/>
        <v/>
      </c>
      <c r="AI66" s="22" t="str">
        <f t="shared" si="73"/>
        <v/>
      </c>
      <c r="AJ66" s="22" t="str">
        <f t="shared" si="98"/>
        <v/>
      </c>
      <c r="AK66" s="21" t="str">
        <f t="shared" si="99"/>
        <v>Apprenant 54 ou 54'</v>
      </c>
      <c r="AL66" s="22" t="str">
        <f t="shared" si="74"/>
        <v/>
      </c>
      <c r="AM66" s="22" t="str">
        <f t="shared" si="75"/>
        <v/>
      </c>
      <c r="AN66" s="22" t="str">
        <f t="shared" si="76"/>
        <v/>
      </c>
      <c r="AO66" s="22" t="str">
        <f t="shared" si="100"/>
        <v/>
      </c>
      <c r="AQ66" s="21" t="str">
        <f t="shared" si="101"/>
        <v>Apprenant 54</v>
      </c>
      <c r="AR66" s="49" t="str">
        <f>IF(AND('Choix pédagogiques'!$C$4&lt;&gt;"?",'Choix pédagogiques'!$C$5&lt;&gt;"?",W66&lt;&gt;""),(W66-'Choix pédagogiques'!$C$4)/('Choix pédagogiques'!$C$5-'Choix pédagogiques'!$C$4),"")</f>
        <v/>
      </c>
      <c r="AS66" s="49" t="str">
        <f>IF(AND('Choix pédagogiques'!$C$4&lt;&gt;"?",'Choix pédagogiques'!$C$5&lt;&gt;"?",X66&lt;&gt;""),(X66-'Choix pédagogiques'!$C$4)/('Choix pédagogiques'!$C$5-'Choix pédagogiques'!$C$4),"")</f>
        <v/>
      </c>
      <c r="AT66" s="49" t="str">
        <f>IF(AND('Choix pédagogiques'!$C$4&lt;&gt;"?",'Choix pédagogiques'!$C$5&lt;&gt;"?",Y66&lt;&gt;""),(Y66-'Choix pédagogiques'!$C$4)/('Choix pédagogiques'!$C$5-'Choix pédagogiques'!$C$4),"")</f>
        <v/>
      </c>
      <c r="AU66" s="22" t="str">
        <f t="shared" si="102"/>
        <v/>
      </c>
      <c r="AV66" s="21" t="str">
        <f t="shared" si="103"/>
        <v>Apprenant 54 ou 54'</v>
      </c>
      <c r="AW66" s="49" t="str">
        <f>IF(AND('Choix pédagogiques'!$C$4&lt;&gt;"?",'Choix pédagogiques'!$C$5&lt;&gt;"?",AB66&lt;&gt;""),(AB66-'Choix pédagogiques'!$C$4)/('Choix pédagogiques'!$C$5-'Choix pédagogiques'!$C$4),"")</f>
        <v/>
      </c>
      <c r="AX66" s="49" t="str">
        <f>IF(AND('Choix pédagogiques'!$C$4&lt;&gt;"?",'Choix pédagogiques'!$C$5&lt;&gt;"?",AC66&lt;&gt;""),(AC66-'Choix pédagogiques'!$C$4)/('Choix pédagogiques'!$C$5-'Choix pédagogiques'!$C$4),"")</f>
        <v/>
      </c>
      <c r="AY66" s="49" t="str">
        <f>IF(AND('Choix pédagogiques'!$C$4&lt;&gt;"?",'Choix pédagogiques'!$C$5&lt;&gt;"?",AD66&lt;&gt;""),(AD66-'Choix pédagogiques'!$C$4)/('Choix pédagogiques'!$C$5-'Choix pédagogiques'!$C$4),"")</f>
        <v/>
      </c>
      <c r="AZ66" s="22" t="str">
        <f t="shared" si="104"/>
        <v/>
      </c>
      <c r="BA66" s="21" t="str">
        <f t="shared" si="105"/>
        <v>Apprenant 54</v>
      </c>
      <c r="BB66" s="49" t="str">
        <f t="shared" si="77"/>
        <v/>
      </c>
      <c r="BC66" s="49" t="str">
        <f t="shared" si="78"/>
        <v/>
      </c>
      <c r="BD66" s="49" t="str">
        <f t="shared" si="79"/>
        <v/>
      </c>
      <c r="BE66" s="22" t="str">
        <f t="shared" si="106"/>
        <v/>
      </c>
      <c r="BF66" s="21" t="str">
        <f t="shared" si="107"/>
        <v>Apprenant 54 ou 54'</v>
      </c>
      <c r="BG66" s="49" t="str">
        <f t="shared" si="80"/>
        <v/>
      </c>
      <c r="BH66" s="49" t="str">
        <f t="shared" si="81"/>
        <v/>
      </c>
      <c r="BI66" s="49" t="str">
        <f t="shared" si="82"/>
        <v/>
      </c>
      <c r="BJ66" s="22" t="str">
        <f t="shared" si="108"/>
        <v/>
      </c>
      <c r="BL66" s="21"/>
      <c r="BM66" s="21" t="str">
        <f>IF(OR(COUNT(B66:D1065)=0,AND('Choix pédagogiques'!$C$3&lt;&gt;1,'Choix pédagogiques'!$C$3&lt;&gt;2)),"",IF(AND(OR('Choix pédagogiques'!$C$3=1,'Choix pédagogiques'!$C$3=2),$B66&lt;&gt;"",$C66&lt;&gt;"",$D66&lt;&gt;""),1,0))</f>
        <v/>
      </c>
      <c r="BN66" s="21" t="str">
        <f>IF(OR(COUNT(G66:I1065)=0,AND('Choix pédagogiques'!$C$3&lt;&gt;1,'Choix pédagogiques'!$C$3&lt;&gt;2)),"",IF(AND(OR('Choix pédagogiques'!$C$3=1,'Choix pédagogiques'!$C$3=2),AND($G66&lt;&gt;"",$H66&lt;&gt;"",$I66&lt;&gt;"")),1,0))</f>
        <v/>
      </c>
      <c r="BO66" s="21" t="str">
        <f>IF(OR(COUNT(B66:D1065)=0,COUNT(G66:I1065)=0,'Choix pédagogiques'!C$3&lt;&gt;3),"",IF(AND('Choix pédagogiques'!$C$3=3,$B66&lt;&gt;"",$C66&lt;&gt;"",$D66&lt;&gt;"",$G66&lt;&gt;"",$H66&lt;&gt;"",$I66&lt;&gt;""),1,0))</f>
        <v/>
      </c>
      <c r="BR66" s="21">
        <v>679</v>
      </c>
      <c r="BS66" s="21">
        <v>1314</v>
      </c>
      <c r="BT66"/>
    </row>
    <row r="67" spans="1:72" s="23" customFormat="1" ht="18" customHeight="1" x14ac:dyDescent="0.3">
      <c r="A67" s="35" t="s">
        <v>57</v>
      </c>
      <c r="B67" s="37"/>
      <c r="C67" s="37"/>
      <c r="D67" s="37"/>
      <c r="E67" s="37"/>
      <c r="F67" s="35" t="s">
        <v>1065</v>
      </c>
      <c r="G67" s="36"/>
      <c r="H67" s="36"/>
      <c r="I67" s="36"/>
      <c r="J67" s="37"/>
      <c r="K67" s="21" t="str">
        <f t="shared" si="83"/>
        <v>Apprenant 55</v>
      </c>
      <c r="L67" s="22" t="str">
        <f t="shared" si="84"/>
        <v/>
      </c>
      <c r="M67" s="22" t="str">
        <f t="shared" si="85"/>
        <v/>
      </c>
      <c r="N67" s="22" t="str">
        <f t="shared" si="86"/>
        <v/>
      </c>
      <c r="O67" s="22" t="str">
        <f t="shared" si="87"/>
        <v/>
      </c>
      <c r="P67" s="21" t="str">
        <f t="shared" si="88"/>
        <v>Apprenant 55 ou 55'</v>
      </c>
      <c r="Q67" s="22" t="str">
        <f t="shared" si="89"/>
        <v/>
      </c>
      <c r="R67" s="22" t="str">
        <f t="shared" si="90"/>
        <v/>
      </c>
      <c r="S67" s="22" t="str">
        <f t="shared" si="91"/>
        <v/>
      </c>
      <c r="T67" s="22" t="str">
        <f t="shared" si="92"/>
        <v/>
      </c>
      <c r="V67" s="21" t="str">
        <f t="shared" si="93"/>
        <v>Apprenant 55</v>
      </c>
      <c r="W67" s="22" t="str">
        <f>IF(AND(OR('Choix pédagogiques'!$C$3=1,'Choix pédagogiques'!$C$3=2),$BM67=1),B67,IF(AND('Choix pédagogiques'!$C$3=3,$BO67=1),B67,""))</f>
        <v/>
      </c>
      <c r="X67" s="22" t="str">
        <f>IF(AND(OR('Choix pédagogiques'!$C$3=1,'Choix pédagogiques'!$C$3=2),$BM67=1),C67,IF(AND('Choix pédagogiques'!$C$3=3,$BO67=1),C67,""))</f>
        <v/>
      </c>
      <c r="Y67" s="22" t="str">
        <f>IF(AND(OR('Choix pédagogiques'!$C$3=1,'Choix pédagogiques'!$C$3=2),$BM67=1),D67,IF(AND('Choix pédagogiques'!$C$3=3,$BO67=1),D67,""))</f>
        <v/>
      </c>
      <c r="Z67" s="22" t="str">
        <f t="shared" si="94"/>
        <v/>
      </c>
      <c r="AA67" s="21" t="str">
        <f t="shared" si="95"/>
        <v>Apprenant 55 ou 55'</v>
      </c>
      <c r="AB67" s="22" t="str">
        <f>IF(AND(OR('Choix pédagogiques'!$C$3=1,'Choix pédagogiques'!$C$3=2),$BN67=1),G67,IF(AND('Choix pédagogiques'!$C$3=3,$BO67=1),G67,""))</f>
        <v/>
      </c>
      <c r="AC67" s="22" t="str">
        <f>IF(AND(OR('Choix pédagogiques'!$C$3=1,'Choix pédagogiques'!$C$3=2),$BN67=1),H67,IF(AND('Choix pédagogiques'!$C$3=3,$BO67=1),H67,""))</f>
        <v/>
      </c>
      <c r="AD67" s="22" t="str">
        <f>IF(AND(OR('Choix pédagogiques'!$C$3=1,'Choix pédagogiques'!$C$3=2),$BN67=1),I67,IF(AND('Choix pédagogiques'!$C$3=3,$BO67=1),I67,""))</f>
        <v/>
      </c>
      <c r="AE67" s="22" t="str">
        <f t="shared" si="96"/>
        <v/>
      </c>
      <c r="AF67" s="21" t="str">
        <f t="shared" si="97"/>
        <v>Apprenant 55</v>
      </c>
      <c r="AG67" s="22" t="str">
        <f t="shared" si="71"/>
        <v/>
      </c>
      <c r="AH67" s="22" t="str">
        <f t="shared" si="72"/>
        <v/>
      </c>
      <c r="AI67" s="22" t="str">
        <f t="shared" si="73"/>
        <v/>
      </c>
      <c r="AJ67" s="22" t="str">
        <f t="shared" si="98"/>
        <v/>
      </c>
      <c r="AK67" s="21" t="str">
        <f t="shared" si="99"/>
        <v>Apprenant 55 ou 55'</v>
      </c>
      <c r="AL67" s="22" t="str">
        <f t="shared" si="74"/>
        <v/>
      </c>
      <c r="AM67" s="22" t="str">
        <f t="shared" si="75"/>
        <v/>
      </c>
      <c r="AN67" s="22" t="str">
        <f t="shared" si="76"/>
        <v/>
      </c>
      <c r="AO67" s="22" t="str">
        <f t="shared" si="100"/>
        <v/>
      </c>
      <c r="AQ67" s="21" t="str">
        <f t="shared" si="101"/>
        <v>Apprenant 55</v>
      </c>
      <c r="AR67" s="49" t="str">
        <f>IF(AND('Choix pédagogiques'!$C$4&lt;&gt;"?",'Choix pédagogiques'!$C$5&lt;&gt;"?",W67&lt;&gt;""),(W67-'Choix pédagogiques'!$C$4)/('Choix pédagogiques'!$C$5-'Choix pédagogiques'!$C$4),"")</f>
        <v/>
      </c>
      <c r="AS67" s="49" t="str">
        <f>IF(AND('Choix pédagogiques'!$C$4&lt;&gt;"?",'Choix pédagogiques'!$C$5&lt;&gt;"?",X67&lt;&gt;""),(X67-'Choix pédagogiques'!$C$4)/('Choix pédagogiques'!$C$5-'Choix pédagogiques'!$C$4),"")</f>
        <v/>
      </c>
      <c r="AT67" s="49" t="str">
        <f>IF(AND('Choix pédagogiques'!$C$4&lt;&gt;"?",'Choix pédagogiques'!$C$5&lt;&gt;"?",Y67&lt;&gt;""),(Y67-'Choix pédagogiques'!$C$4)/('Choix pédagogiques'!$C$5-'Choix pédagogiques'!$C$4),"")</f>
        <v/>
      </c>
      <c r="AU67" s="22" t="str">
        <f t="shared" si="102"/>
        <v/>
      </c>
      <c r="AV67" s="21" t="str">
        <f t="shared" si="103"/>
        <v>Apprenant 55 ou 55'</v>
      </c>
      <c r="AW67" s="49" t="str">
        <f>IF(AND('Choix pédagogiques'!$C$4&lt;&gt;"?",'Choix pédagogiques'!$C$5&lt;&gt;"?",AB67&lt;&gt;""),(AB67-'Choix pédagogiques'!$C$4)/('Choix pédagogiques'!$C$5-'Choix pédagogiques'!$C$4),"")</f>
        <v/>
      </c>
      <c r="AX67" s="49" t="str">
        <f>IF(AND('Choix pédagogiques'!$C$4&lt;&gt;"?",'Choix pédagogiques'!$C$5&lt;&gt;"?",AC67&lt;&gt;""),(AC67-'Choix pédagogiques'!$C$4)/('Choix pédagogiques'!$C$5-'Choix pédagogiques'!$C$4),"")</f>
        <v/>
      </c>
      <c r="AY67" s="49" t="str">
        <f>IF(AND('Choix pédagogiques'!$C$4&lt;&gt;"?",'Choix pédagogiques'!$C$5&lt;&gt;"?",AD67&lt;&gt;""),(AD67-'Choix pédagogiques'!$C$4)/('Choix pédagogiques'!$C$5-'Choix pédagogiques'!$C$4),"")</f>
        <v/>
      </c>
      <c r="AZ67" s="22" t="str">
        <f t="shared" si="104"/>
        <v/>
      </c>
      <c r="BA67" s="21" t="str">
        <f t="shared" si="105"/>
        <v>Apprenant 55</v>
      </c>
      <c r="BB67" s="49" t="str">
        <f t="shared" si="77"/>
        <v/>
      </c>
      <c r="BC67" s="49" t="str">
        <f t="shared" si="78"/>
        <v/>
      </c>
      <c r="BD67" s="49" t="str">
        <f t="shared" si="79"/>
        <v/>
      </c>
      <c r="BE67" s="22" t="str">
        <f t="shared" si="106"/>
        <v/>
      </c>
      <c r="BF67" s="21" t="str">
        <f t="shared" si="107"/>
        <v>Apprenant 55 ou 55'</v>
      </c>
      <c r="BG67" s="49" t="str">
        <f t="shared" si="80"/>
        <v/>
      </c>
      <c r="BH67" s="49" t="str">
        <f t="shared" si="81"/>
        <v/>
      </c>
      <c r="BI67" s="49" t="str">
        <f t="shared" si="82"/>
        <v/>
      </c>
      <c r="BJ67" s="22" t="str">
        <f t="shared" si="108"/>
        <v/>
      </c>
      <c r="BL67" s="21"/>
      <c r="BM67" s="21" t="str">
        <f>IF(OR(COUNT(B67:D1066)=0,AND('Choix pédagogiques'!$C$3&lt;&gt;1,'Choix pédagogiques'!$C$3&lt;&gt;2)),"",IF(AND(OR('Choix pédagogiques'!$C$3=1,'Choix pédagogiques'!$C$3=2),$B67&lt;&gt;"",$C67&lt;&gt;"",$D67&lt;&gt;""),1,0))</f>
        <v/>
      </c>
      <c r="BN67" s="21" t="str">
        <f>IF(OR(COUNT(G67:I1066)=0,AND('Choix pédagogiques'!$C$3&lt;&gt;1,'Choix pédagogiques'!$C$3&lt;&gt;2)),"",IF(AND(OR('Choix pédagogiques'!$C$3=1,'Choix pédagogiques'!$C$3=2),AND($G67&lt;&gt;"",$H67&lt;&gt;"",$I67&lt;&gt;"")),1,0))</f>
        <v/>
      </c>
      <c r="BO67" s="21" t="str">
        <f>IF(OR(COUNT(B67:D1066)=0,COUNT(G67:I1066)=0,'Choix pédagogiques'!C$3&lt;&gt;3),"",IF(AND('Choix pédagogiques'!$C$3=3,$B67&lt;&gt;"",$C67&lt;&gt;"",$D67&lt;&gt;"",$G67&lt;&gt;"",$H67&lt;&gt;"",$I67&lt;&gt;""),1,0))</f>
        <v/>
      </c>
      <c r="BR67" s="21">
        <v>128</v>
      </c>
      <c r="BS67" s="21">
        <v>1651</v>
      </c>
      <c r="BT67"/>
    </row>
    <row r="68" spans="1:72" s="23" customFormat="1" ht="18" customHeight="1" x14ac:dyDescent="0.3">
      <c r="A68" s="35" t="s">
        <v>58</v>
      </c>
      <c r="B68" s="37"/>
      <c r="C68" s="37"/>
      <c r="D68" s="37"/>
      <c r="E68" s="37"/>
      <c r="F68" s="35" t="s">
        <v>1066</v>
      </c>
      <c r="G68" s="36"/>
      <c r="H68" s="36"/>
      <c r="I68" s="36"/>
      <c r="J68" s="37"/>
      <c r="K68" s="21" t="str">
        <f t="shared" si="83"/>
        <v>Apprenant 56</v>
      </c>
      <c r="L68" s="22" t="str">
        <f t="shared" si="84"/>
        <v/>
      </c>
      <c r="M68" s="22" t="str">
        <f t="shared" si="85"/>
        <v/>
      </c>
      <c r="N68" s="22" t="str">
        <f t="shared" si="86"/>
        <v/>
      </c>
      <c r="O68" s="22" t="str">
        <f t="shared" si="87"/>
        <v/>
      </c>
      <c r="P68" s="21" t="str">
        <f t="shared" si="88"/>
        <v>Apprenant 56 ou 56'</v>
      </c>
      <c r="Q68" s="22" t="str">
        <f t="shared" si="89"/>
        <v/>
      </c>
      <c r="R68" s="22" t="str">
        <f t="shared" si="90"/>
        <v/>
      </c>
      <c r="S68" s="22" t="str">
        <f t="shared" si="91"/>
        <v/>
      </c>
      <c r="T68" s="22" t="str">
        <f t="shared" si="92"/>
        <v/>
      </c>
      <c r="V68" s="21" t="str">
        <f t="shared" si="93"/>
        <v>Apprenant 56</v>
      </c>
      <c r="W68" s="22" t="str">
        <f>IF(AND(OR('Choix pédagogiques'!$C$3=1,'Choix pédagogiques'!$C$3=2),$BM68=1),B68,IF(AND('Choix pédagogiques'!$C$3=3,$BO68=1),B68,""))</f>
        <v/>
      </c>
      <c r="X68" s="22" t="str">
        <f>IF(AND(OR('Choix pédagogiques'!$C$3=1,'Choix pédagogiques'!$C$3=2),$BM68=1),C68,IF(AND('Choix pédagogiques'!$C$3=3,$BO68=1),C68,""))</f>
        <v/>
      </c>
      <c r="Y68" s="22" t="str">
        <f>IF(AND(OR('Choix pédagogiques'!$C$3=1,'Choix pédagogiques'!$C$3=2),$BM68=1),D68,IF(AND('Choix pédagogiques'!$C$3=3,$BO68=1),D68,""))</f>
        <v/>
      </c>
      <c r="Z68" s="22" t="str">
        <f t="shared" si="94"/>
        <v/>
      </c>
      <c r="AA68" s="21" t="str">
        <f t="shared" si="95"/>
        <v>Apprenant 56 ou 56'</v>
      </c>
      <c r="AB68" s="22" t="str">
        <f>IF(AND(OR('Choix pédagogiques'!$C$3=1,'Choix pédagogiques'!$C$3=2),$BN68=1),G68,IF(AND('Choix pédagogiques'!$C$3=3,$BO68=1),G68,""))</f>
        <v/>
      </c>
      <c r="AC68" s="22" t="str">
        <f>IF(AND(OR('Choix pédagogiques'!$C$3=1,'Choix pédagogiques'!$C$3=2),$BN68=1),H68,IF(AND('Choix pédagogiques'!$C$3=3,$BO68=1),H68,""))</f>
        <v/>
      </c>
      <c r="AD68" s="22" t="str">
        <f>IF(AND(OR('Choix pédagogiques'!$C$3=1,'Choix pédagogiques'!$C$3=2),$BN68=1),I68,IF(AND('Choix pédagogiques'!$C$3=3,$BO68=1),I68,""))</f>
        <v/>
      </c>
      <c r="AE68" s="22" t="str">
        <f t="shared" si="96"/>
        <v/>
      </c>
      <c r="AF68" s="21" t="str">
        <f t="shared" si="97"/>
        <v>Apprenant 56</v>
      </c>
      <c r="AG68" s="22" t="str">
        <f t="shared" si="71"/>
        <v/>
      </c>
      <c r="AH68" s="22" t="str">
        <f t="shared" si="72"/>
        <v/>
      </c>
      <c r="AI68" s="22" t="str">
        <f t="shared" si="73"/>
        <v/>
      </c>
      <c r="AJ68" s="22" t="str">
        <f t="shared" si="98"/>
        <v/>
      </c>
      <c r="AK68" s="21" t="str">
        <f t="shared" si="99"/>
        <v>Apprenant 56 ou 56'</v>
      </c>
      <c r="AL68" s="22" t="str">
        <f t="shared" si="74"/>
        <v/>
      </c>
      <c r="AM68" s="22" t="str">
        <f t="shared" si="75"/>
        <v/>
      </c>
      <c r="AN68" s="22" t="str">
        <f t="shared" si="76"/>
        <v/>
      </c>
      <c r="AO68" s="22" t="str">
        <f t="shared" si="100"/>
        <v/>
      </c>
      <c r="AQ68" s="21" t="str">
        <f t="shared" si="101"/>
        <v>Apprenant 56</v>
      </c>
      <c r="AR68" s="49" t="str">
        <f>IF(AND('Choix pédagogiques'!$C$4&lt;&gt;"?",'Choix pédagogiques'!$C$5&lt;&gt;"?",W68&lt;&gt;""),(W68-'Choix pédagogiques'!$C$4)/('Choix pédagogiques'!$C$5-'Choix pédagogiques'!$C$4),"")</f>
        <v/>
      </c>
      <c r="AS68" s="49" t="str">
        <f>IF(AND('Choix pédagogiques'!$C$4&lt;&gt;"?",'Choix pédagogiques'!$C$5&lt;&gt;"?",X68&lt;&gt;""),(X68-'Choix pédagogiques'!$C$4)/('Choix pédagogiques'!$C$5-'Choix pédagogiques'!$C$4),"")</f>
        <v/>
      </c>
      <c r="AT68" s="49" t="str">
        <f>IF(AND('Choix pédagogiques'!$C$4&lt;&gt;"?",'Choix pédagogiques'!$C$5&lt;&gt;"?",Y68&lt;&gt;""),(Y68-'Choix pédagogiques'!$C$4)/('Choix pédagogiques'!$C$5-'Choix pédagogiques'!$C$4),"")</f>
        <v/>
      </c>
      <c r="AU68" s="22" t="str">
        <f t="shared" si="102"/>
        <v/>
      </c>
      <c r="AV68" s="21" t="str">
        <f t="shared" si="103"/>
        <v>Apprenant 56 ou 56'</v>
      </c>
      <c r="AW68" s="49" t="str">
        <f>IF(AND('Choix pédagogiques'!$C$4&lt;&gt;"?",'Choix pédagogiques'!$C$5&lt;&gt;"?",AB68&lt;&gt;""),(AB68-'Choix pédagogiques'!$C$4)/('Choix pédagogiques'!$C$5-'Choix pédagogiques'!$C$4),"")</f>
        <v/>
      </c>
      <c r="AX68" s="49" t="str">
        <f>IF(AND('Choix pédagogiques'!$C$4&lt;&gt;"?",'Choix pédagogiques'!$C$5&lt;&gt;"?",AC68&lt;&gt;""),(AC68-'Choix pédagogiques'!$C$4)/('Choix pédagogiques'!$C$5-'Choix pédagogiques'!$C$4),"")</f>
        <v/>
      </c>
      <c r="AY68" s="49" t="str">
        <f>IF(AND('Choix pédagogiques'!$C$4&lt;&gt;"?",'Choix pédagogiques'!$C$5&lt;&gt;"?",AD68&lt;&gt;""),(AD68-'Choix pédagogiques'!$C$4)/('Choix pédagogiques'!$C$5-'Choix pédagogiques'!$C$4),"")</f>
        <v/>
      </c>
      <c r="AZ68" s="22" t="str">
        <f t="shared" si="104"/>
        <v/>
      </c>
      <c r="BA68" s="21" t="str">
        <f t="shared" si="105"/>
        <v>Apprenant 56</v>
      </c>
      <c r="BB68" s="49" t="str">
        <f t="shared" si="77"/>
        <v/>
      </c>
      <c r="BC68" s="49" t="str">
        <f t="shared" si="78"/>
        <v/>
      </c>
      <c r="BD68" s="49" t="str">
        <f t="shared" si="79"/>
        <v/>
      </c>
      <c r="BE68" s="22" t="str">
        <f t="shared" si="106"/>
        <v/>
      </c>
      <c r="BF68" s="21" t="str">
        <f t="shared" si="107"/>
        <v>Apprenant 56 ou 56'</v>
      </c>
      <c r="BG68" s="49" t="str">
        <f t="shared" si="80"/>
        <v/>
      </c>
      <c r="BH68" s="49" t="str">
        <f t="shared" si="81"/>
        <v/>
      </c>
      <c r="BI68" s="49" t="str">
        <f t="shared" si="82"/>
        <v/>
      </c>
      <c r="BJ68" s="22" t="str">
        <f t="shared" si="108"/>
        <v/>
      </c>
      <c r="BL68" s="21"/>
      <c r="BM68" s="21" t="str">
        <f>IF(OR(COUNT(B68:D1067)=0,AND('Choix pédagogiques'!$C$3&lt;&gt;1,'Choix pédagogiques'!$C$3&lt;&gt;2)),"",IF(AND(OR('Choix pédagogiques'!$C$3=1,'Choix pédagogiques'!$C$3=2),$B68&lt;&gt;"",$C68&lt;&gt;"",$D68&lt;&gt;""),1,0))</f>
        <v/>
      </c>
      <c r="BN68" s="21" t="str">
        <f>IF(OR(COUNT(G68:I1067)=0,AND('Choix pédagogiques'!$C$3&lt;&gt;1,'Choix pédagogiques'!$C$3&lt;&gt;2)),"",IF(AND(OR('Choix pédagogiques'!$C$3=1,'Choix pédagogiques'!$C$3=2),AND($G68&lt;&gt;"",$H68&lt;&gt;"",$I68&lt;&gt;"")),1,0))</f>
        <v/>
      </c>
      <c r="BO68" s="21" t="str">
        <f>IF(OR(COUNT(B68:D1067)=0,COUNT(G68:I1067)=0,'Choix pédagogiques'!C$3&lt;&gt;3),"",IF(AND('Choix pédagogiques'!$C$3=3,$B68&lt;&gt;"",$C68&lt;&gt;"",$D68&lt;&gt;"",$G68&lt;&gt;"",$H68&lt;&gt;"",$I68&lt;&gt;""),1,0))</f>
        <v/>
      </c>
      <c r="BR68" s="21">
        <v>200</v>
      </c>
      <c r="BS68" s="21">
        <v>1472</v>
      </c>
      <c r="BT68"/>
    </row>
    <row r="69" spans="1:72" s="23" customFormat="1" ht="18" customHeight="1" x14ac:dyDescent="0.3">
      <c r="A69" s="35" t="s">
        <v>59</v>
      </c>
      <c r="B69" s="37"/>
      <c r="C69" s="37"/>
      <c r="D69" s="37"/>
      <c r="E69" s="37"/>
      <c r="F69" s="35" t="s">
        <v>1067</v>
      </c>
      <c r="G69" s="36"/>
      <c r="H69" s="36"/>
      <c r="I69" s="36"/>
      <c r="J69" s="37"/>
      <c r="K69" s="21" t="str">
        <f t="shared" si="83"/>
        <v>Apprenant 57</v>
      </c>
      <c r="L69" s="22" t="str">
        <f t="shared" si="84"/>
        <v/>
      </c>
      <c r="M69" s="22" t="str">
        <f t="shared" si="85"/>
        <v/>
      </c>
      <c r="N69" s="22" t="str">
        <f t="shared" si="86"/>
        <v/>
      </c>
      <c r="O69" s="22" t="str">
        <f t="shared" si="87"/>
        <v/>
      </c>
      <c r="P69" s="21" t="str">
        <f t="shared" si="88"/>
        <v>Apprenant 57 ou 57'</v>
      </c>
      <c r="Q69" s="22" t="str">
        <f t="shared" si="89"/>
        <v/>
      </c>
      <c r="R69" s="22" t="str">
        <f t="shared" si="90"/>
        <v/>
      </c>
      <c r="S69" s="22" t="str">
        <f t="shared" si="91"/>
        <v/>
      </c>
      <c r="T69" s="22" t="str">
        <f t="shared" si="92"/>
        <v/>
      </c>
      <c r="V69" s="21" t="str">
        <f t="shared" si="93"/>
        <v>Apprenant 57</v>
      </c>
      <c r="W69" s="22" t="str">
        <f>IF(AND(OR('Choix pédagogiques'!$C$3=1,'Choix pédagogiques'!$C$3=2),$BM69=1),B69,IF(AND('Choix pédagogiques'!$C$3=3,$BO69=1),B69,""))</f>
        <v/>
      </c>
      <c r="X69" s="22" t="str">
        <f>IF(AND(OR('Choix pédagogiques'!$C$3=1,'Choix pédagogiques'!$C$3=2),$BM69=1),C69,IF(AND('Choix pédagogiques'!$C$3=3,$BO69=1),C69,""))</f>
        <v/>
      </c>
      <c r="Y69" s="22" t="str">
        <f>IF(AND(OR('Choix pédagogiques'!$C$3=1,'Choix pédagogiques'!$C$3=2),$BM69=1),D69,IF(AND('Choix pédagogiques'!$C$3=3,$BO69=1),D69,""))</f>
        <v/>
      </c>
      <c r="Z69" s="22" t="str">
        <f t="shared" si="94"/>
        <v/>
      </c>
      <c r="AA69" s="21" t="str">
        <f t="shared" si="95"/>
        <v>Apprenant 57 ou 57'</v>
      </c>
      <c r="AB69" s="22" t="str">
        <f>IF(AND(OR('Choix pédagogiques'!$C$3=1,'Choix pédagogiques'!$C$3=2),$BN69=1),G69,IF(AND('Choix pédagogiques'!$C$3=3,$BO69=1),G69,""))</f>
        <v/>
      </c>
      <c r="AC69" s="22" t="str">
        <f>IF(AND(OR('Choix pédagogiques'!$C$3=1,'Choix pédagogiques'!$C$3=2),$BN69=1),H69,IF(AND('Choix pédagogiques'!$C$3=3,$BO69=1),H69,""))</f>
        <v/>
      </c>
      <c r="AD69" s="22" t="str">
        <f>IF(AND(OR('Choix pédagogiques'!$C$3=1,'Choix pédagogiques'!$C$3=2),$BN69=1),I69,IF(AND('Choix pédagogiques'!$C$3=3,$BO69=1),I69,""))</f>
        <v/>
      </c>
      <c r="AE69" s="22" t="str">
        <f t="shared" si="96"/>
        <v/>
      </c>
      <c r="AF69" s="21" t="str">
        <f t="shared" si="97"/>
        <v>Apprenant 57</v>
      </c>
      <c r="AG69" s="22" t="str">
        <f t="shared" si="71"/>
        <v/>
      </c>
      <c r="AH69" s="22" t="str">
        <f t="shared" si="72"/>
        <v/>
      </c>
      <c r="AI69" s="22" t="str">
        <f t="shared" si="73"/>
        <v/>
      </c>
      <c r="AJ69" s="22" t="str">
        <f t="shared" si="98"/>
        <v/>
      </c>
      <c r="AK69" s="21" t="str">
        <f t="shared" si="99"/>
        <v>Apprenant 57 ou 57'</v>
      </c>
      <c r="AL69" s="22" t="str">
        <f t="shared" si="74"/>
        <v/>
      </c>
      <c r="AM69" s="22" t="str">
        <f t="shared" si="75"/>
        <v/>
      </c>
      <c r="AN69" s="22" t="str">
        <f t="shared" si="76"/>
        <v/>
      </c>
      <c r="AO69" s="22" t="str">
        <f t="shared" si="100"/>
        <v/>
      </c>
      <c r="AQ69" s="21" t="str">
        <f t="shared" si="101"/>
        <v>Apprenant 57</v>
      </c>
      <c r="AR69" s="49" t="str">
        <f>IF(AND('Choix pédagogiques'!$C$4&lt;&gt;"?",'Choix pédagogiques'!$C$5&lt;&gt;"?",W69&lt;&gt;""),(W69-'Choix pédagogiques'!$C$4)/('Choix pédagogiques'!$C$5-'Choix pédagogiques'!$C$4),"")</f>
        <v/>
      </c>
      <c r="AS69" s="49" t="str">
        <f>IF(AND('Choix pédagogiques'!$C$4&lt;&gt;"?",'Choix pédagogiques'!$C$5&lt;&gt;"?",X69&lt;&gt;""),(X69-'Choix pédagogiques'!$C$4)/('Choix pédagogiques'!$C$5-'Choix pédagogiques'!$C$4),"")</f>
        <v/>
      </c>
      <c r="AT69" s="49" t="str">
        <f>IF(AND('Choix pédagogiques'!$C$4&lt;&gt;"?",'Choix pédagogiques'!$C$5&lt;&gt;"?",Y69&lt;&gt;""),(Y69-'Choix pédagogiques'!$C$4)/('Choix pédagogiques'!$C$5-'Choix pédagogiques'!$C$4),"")</f>
        <v/>
      </c>
      <c r="AU69" s="22" t="str">
        <f t="shared" si="102"/>
        <v/>
      </c>
      <c r="AV69" s="21" t="str">
        <f t="shared" si="103"/>
        <v>Apprenant 57 ou 57'</v>
      </c>
      <c r="AW69" s="49" t="str">
        <f>IF(AND('Choix pédagogiques'!$C$4&lt;&gt;"?",'Choix pédagogiques'!$C$5&lt;&gt;"?",AB69&lt;&gt;""),(AB69-'Choix pédagogiques'!$C$4)/('Choix pédagogiques'!$C$5-'Choix pédagogiques'!$C$4),"")</f>
        <v/>
      </c>
      <c r="AX69" s="49" t="str">
        <f>IF(AND('Choix pédagogiques'!$C$4&lt;&gt;"?",'Choix pédagogiques'!$C$5&lt;&gt;"?",AC69&lt;&gt;""),(AC69-'Choix pédagogiques'!$C$4)/('Choix pédagogiques'!$C$5-'Choix pédagogiques'!$C$4),"")</f>
        <v/>
      </c>
      <c r="AY69" s="49" t="str">
        <f>IF(AND('Choix pédagogiques'!$C$4&lt;&gt;"?",'Choix pédagogiques'!$C$5&lt;&gt;"?",AD69&lt;&gt;""),(AD69-'Choix pédagogiques'!$C$4)/('Choix pédagogiques'!$C$5-'Choix pédagogiques'!$C$4),"")</f>
        <v/>
      </c>
      <c r="AZ69" s="22" t="str">
        <f t="shared" si="104"/>
        <v/>
      </c>
      <c r="BA69" s="21" t="str">
        <f t="shared" si="105"/>
        <v>Apprenant 57</v>
      </c>
      <c r="BB69" s="49" t="str">
        <f t="shared" si="77"/>
        <v/>
      </c>
      <c r="BC69" s="49" t="str">
        <f t="shared" si="78"/>
        <v/>
      </c>
      <c r="BD69" s="49" t="str">
        <f t="shared" si="79"/>
        <v/>
      </c>
      <c r="BE69" s="22" t="str">
        <f t="shared" si="106"/>
        <v/>
      </c>
      <c r="BF69" s="21" t="str">
        <f t="shared" si="107"/>
        <v>Apprenant 57 ou 57'</v>
      </c>
      <c r="BG69" s="49" t="str">
        <f t="shared" si="80"/>
        <v/>
      </c>
      <c r="BH69" s="49" t="str">
        <f t="shared" si="81"/>
        <v/>
      </c>
      <c r="BI69" s="49" t="str">
        <f t="shared" si="82"/>
        <v/>
      </c>
      <c r="BJ69" s="22" t="str">
        <f t="shared" si="108"/>
        <v/>
      </c>
      <c r="BL69" s="21"/>
      <c r="BM69" s="21" t="str">
        <f>IF(OR(COUNT(B69:D1068)=0,AND('Choix pédagogiques'!$C$3&lt;&gt;1,'Choix pédagogiques'!$C$3&lt;&gt;2)),"",IF(AND(OR('Choix pédagogiques'!$C$3=1,'Choix pédagogiques'!$C$3=2),$B69&lt;&gt;"",$C69&lt;&gt;"",$D69&lt;&gt;""),1,0))</f>
        <v/>
      </c>
      <c r="BN69" s="21" t="str">
        <f>IF(OR(COUNT(G69:I1068)=0,AND('Choix pédagogiques'!$C$3&lt;&gt;1,'Choix pédagogiques'!$C$3&lt;&gt;2)),"",IF(AND(OR('Choix pédagogiques'!$C$3=1,'Choix pédagogiques'!$C$3=2),AND($G69&lt;&gt;"",$H69&lt;&gt;"",$I69&lt;&gt;"")),1,0))</f>
        <v/>
      </c>
      <c r="BO69" s="21" t="str">
        <f>IF(OR(COUNT(B69:D1068)=0,COUNT(G69:I1068)=0,'Choix pédagogiques'!C$3&lt;&gt;3),"",IF(AND('Choix pédagogiques'!$C$3=3,$B69&lt;&gt;"",$C69&lt;&gt;"",$D69&lt;&gt;"",$G69&lt;&gt;"",$H69&lt;&gt;"",$I69&lt;&gt;""),1,0))</f>
        <v/>
      </c>
      <c r="BR69" s="21">
        <v>321</v>
      </c>
      <c r="BS69" s="21">
        <v>1435</v>
      </c>
      <c r="BT69"/>
    </row>
    <row r="70" spans="1:72" s="23" customFormat="1" ht="18" customHeight="1" x14ac:dyDescent="0.3">
      <c r="A70" s="35" t="s">
        <v>60</v>
      </c>
      <c r="B70" s="37"/>
      <c r="C70" s="37"/>
      <c r="D70" s="37"/>
      <c r="E70" s="37"/>
      <c r="F70" s="35" t="s">
        <v>1068</v>
      </c>
      <c r="G70" s="36"/>
      <c r="H70" s="36"/>
      <c r="I70" s="36"/>
      <c r="J70" s="37"/>
      <c r="K70" s="21" t="str">
        <f t="shared" si="83"/>
        <v>Apprenant 58</v>
      </c>
      <c r="L70" s="22" t="str">
        <f t="shared" si="84"/>
        <v/>
      </c>
      <c r="M70" s="22" t="str">
        <f t="shared" si="85"/>
        <v/>
      </c>
      <c r="N70" s="22" t="str">
        <f t="shared" si="86"/>
        <v/>
      </c>
      <c r="O70" s="22" t="str">
        <f t="shared" si="87"/>
        <v/>
      </c>
      <c r="P70" s="21" t="str">
        <f t="shared" si="88"/>
        <v>Apprenant 58 ou 58'</v>
      </c>
      <c r="Q70" s="22" t="str">
        <f t="shared" si="89"/>
        <v/>
      </c>
      <c r="R70" s="22" t="str">
        <f t="shared" si="90"/>
        <v/>
      </c>
      <c r="S70" s="22" t="str">
        <f t="shared" si="91"/>
        <v/>
      </c>
      <c r="T70" s="22" t="str">
        <f t="shared" si="92"/>
        <v/>
      </c>
      <c r="V70" s="21" t="str">
        <f t="shared" si="93"/>
        <v>Apprenant 58</v>
      </c>
      <c r="W70" s="22" t="str">
        <f>IF(AND(OR('Choix pédagogiques'!$C$3=1,'Choix pédagogiques'!$C$3=2),$BM70=1),B70,IF(AND('Choix pédagogiques'!$C$3=3,$BO70=1),B70,""))</f>
        <v/>
      </c>
      <c r="X70" s="22" t="str">
        <f>IF(AND(OR('Choix pédagogiques'!$C$3=1,'Choix pédagogiques'!$C$3=2),$BM70=1),C70,IF(AND('Choix pédagogiques'!$C$3=3,$BO70=1),C70,""))</f>
        <v/>
      </c>
      <c r="Y70" s="22" t="str">
        <f>IF(AND(OR('Choix pédagogiques'!$C$3=1,'Choix pédagogiques'!$C$3=2),$BM70=1),D70,IF(AND('Choix pédagogiques'!$C$3=3,$BO70=1),D70,""))</f>
        <v/>
      </c>
      <c r="Z70" s="22" t="str">
        <f t="shared" si="94"/>
        <v/>
      </c>
      <c r="AA70" s="21" t="str">
        <f t="shared" si="95"/>
        <v>Apprenant 58 ou 58'</v>
      </c>
      <c r="AB70" s="22" t="str">
        <f>IF(AND(OR('Choix pédagogiques'!$C$3=1,'Choix pédagogiques'!$C$3=2),$BN70=1),G70,IF(AND('Choix pédagogiques'!$C$3=3,$BO70=1),G70,""))</f>
        <v/>
      </c>
      <c r="AC70" s="22" t="str">
        <f>IF(AND(OR('Choix pédagogiques'!$C$3=1,'Choix pédagogiques'!$C$3=2),$BN70=1),H70,IF(AND('Choix pédagogiques'!$C$3=3,$BO70=1),H70,""))</f>
        <v/>
      </c>
      <c r="AD70" s="22" t="str">
        <f>IF(AND(OR('Choix pédagogiques'!$C$3=1,'Choix pédagogiques'!$C$3=2),$BN70=1),I70,IF(AND('Choix pédagogiques'!$C$3=3,$BO70=1),I70,""))</f>
        <v/>
      </c>
      <c r="AE70" s="22" t="str">
        <f t="shared" si="96"/>
        <v/>
      </c>
      <c r="AF70" s="21" t="str">
        <f t="shared" si="97"/>
        <v>Apprenant 58</v>
      </c>
      <c r="AG70" s="22" t="str">
        <f t="shared" si="71"/>
        <v/>
      </c>
      <c r="AH70" s="22" t="str">
        <f t="shared" si="72"/>
        <v/>
      </c>
      <c r="AI70" s="22" t="str">
        <f t="shared" si="73"/>
        <v/>
      </c>
      <c r="AJ70" s="22" t="str">
        <f t="shared" si="98"/>
        <v/>
      </c>
      <c r="AK70" s="21" t="str">
        <f t="shared" si="99"/>
        <v>Apprenant 58 ou 58'</v>
      </c>
      <c r="AL70" s="22" t="str">
        <f t="shared" si="74"/>
        <v/>
      </c>
      <c r="AM70" s="22" t="str">
        <f t="shared" si="75"/>
        <v/>
      </c>
      <c r="AN70" s="22" t="str">
        <f t="shared" si="76"/>
        <v/>
      </c>
      <c r="AO70" s="22" t="str">
        <f t="shared" si="100"/>
        <v/>
      </c>
      <c r="AQ70" s="21" t="str">
        <f t="shared" si="101"/>
        <v>Apprenant 58</v>
      </c>
      <c r="AR70" s="49" t="str">
        <f>IF(AND('Choix pédagogiques'!$C$4&lt;&gt;"?",'Choix pédagogiques'!$C$5&lt;&gt;"?",W70&lt;&gt;""),(W70-'Choix pédagogiques'!$C$4)/('Choix pédagogiques'!$C$5-'Choix pédagogiques'!$C$4),"")</f>
        <v/>
      </c>
      <c r="AS70" s="49" t="str">
        <f>IF(AND('Choix pédagogiques'!$C$4&lt;&gt;"?",'Choix pédagogiques'!$C$5&lt;&gt;"?",X70&lt;&gt;""),(X70-'Choix pédagogiques'!$C$4)/('Choix pédagogiques'!$C$5-'Choix pédagogiques'!$C$4),"")</f>
        <v/>
      </c>
      <c r="AT70" s="49" t="str">
        <f>IF(AND('Choix pédagogiques'!$C$4&lt;&gt;"?",'Choix pédagogiques'!$C$5&lt;&gt;"?",Y70&lt;&gt;""),(Y70-'Choix pédagogiques'!$C$4)/('Choix pédagogiques'!$C$5-'Choix pédagogiques'!$C$4),"")</f>
        <v/>
      </c>
      <c r="AU70" s="22" t="str">
        <f t="shared" si="102"/>
        <v/>
      </c>
      <c r="AV70" s="21" t="str">
        <f t="shared" si="103"/>
        <v>Apprenant 58 ou 58'</v>
      </c>
      <c r="AW70" s="49" t="str">
        <f>IF(AND('Choix pédagogiques'!$C$4&lt;&gt;"?",'Choix pédagogiques'!$C$5&lt;&gt;"?",AB70&lt;&gt;""),(AB70-'Choix pédagogiques'!$C$4)/('Choix pédagogiques'!$C$5-'Choix pédagogiques'!$C$4),"")</f>
        <v/>
      </c>
      <c r="AX70" s="49" t="str">
        <f>IF(AND('Choix pédagogiques'!$C$4&lt;&gt;"?",'Choix pédagogiques'!$C$5&lt;&gt;"?",AC70&lt;&gt;""),(AC70-'Choix pédagogiques'!$C$4)/('Choix pédagogiques'!$C$5-'Choix pédagogiques'!$C$4),"")</f>
        <v/>
      </c>
      <c r="AY70" s="49" t="str">
        <f>IF(AND('Choix pédagogiques'!$C$4&lt;&gt;"?",'Choix pédagogiques'!$C$5&lt;&gt;"?",AD70&lt;&gt;""),(AD70-'Choix pédagogiques'!$C$4)/('Choix pédagogiques'!$C$5-'Choix pédagogiques'!$C$4),"")</f>
        <v/>
      </c>
      <c r="AZ70" s="22" t="str">
        <f t="shared" si="104"/>
        <v/>
      </c>
      <c r="BA70" s="21" t="str">
        <f t="shared" si="105"/>
        <v>Apprenant 58</v>
      </c>
      <c r="BB70" s="49" t="str">
        <f t="shared" si="77"/>
        <v/>
      </c>
      <c r="BC70" s="49" t="str">
        <f t="shared" si="78"/>
        <v/>
      </c>
      <c r="BD70" s="49" t="str">
        <f t="shared" si="79"/>
        <v/>
      </c>
      <c r="BE70" s="22" t="str">
        <f t="shared" si="106"/>
        <v/>
      </c>
      <c r="BF70" s="21" t="str">
        <f t="shared" si="107"/>
        <v>Apprenant 58 ou 58'</v>
      </c>
      <c r="BG70" s="49" t="str">
        <f t="shared" si="80"/>
        <v/>
      </c>
      <c r="BH70" s="49" t="str">
        <f t="shared" si="81"/>
        <v/>
      </c>
      <c r="BI70" s="49" t="str">
        <f t="shared" si="82"/>
        <v/>
      </c>
      <c r="BJ70" s="22" t="str">
        <f t="shared" si="108"/>
        <v/>
      </c>
      <c r="BL70" s="21"/>
      <c r="BM70" s="21" t="str">
        <f>IF(OR(COUNT(B70:D1069)=0,AND('Choix pédagogiques'!$C$3&lt;&gt;1,'Choix pédagogiques'!$C$3&lt;&gt;2)),"",IF(AND(OR('Choix pédagogiques'!$C$3=1,'Choix pédagogiques'!$C$3=2),$B70&lt;&gt;"",$C70&lt;&gt;"",$D70&lt;&gt;""),1,0))</f>
        <v/>
      </c>
      <c r="BN70" s="21" t="str">
        <f>IF(OR(COUNT(G70:I1069)=0,AND('Choix pédagogiques'!$C$3&lt;&gt;1,'Choix pédagogiques'!$C$3&lt;&gt;2)),"",IF(AND(OR('Choix pédagogiques'!$C$3=1,'Choix pédagogiques'!$C$3=2),AND($G70&lt;&gt;"",$H70&lt;&gt;"",$I70&lt;&gt;"")),1,0))</f>
        <v/>
      </c>
      <c r="BO70" s="21" t="str">
        <f>IF(OR(COUNT(B70:D1069)=0,COUNT(G70:I1069)=0,'Choix pédagogiques'!C$3&lt;&gt;3),"",IF(AND('Choix pédagogiques'!$C$3=3,$B70&lt;&gt;"",$C70&lt;&gt;"",$D70&lt;&gt;"",$G70&lt;&gt;"",$H70&lt;&gt;"",$I70&lt;&gt;""),1,0))</f>
        <v/>
      </c>
      <c r="BR70" s="21">
        <v>707</v>
      </c>
      <c r="BS70" s="21">
        <v>1895</v>
      </c>
      <c r="BT70"/>
    </row>
    <row r="71" spans="1:72" s="23" customFormat="1" ht="18" customHeight="1" x14ac:dyDescent="0.3">
      <c r="A71" s="35" t="s">
        <v>61</v>
      </c>
      <c r="B71" s="37"/>
      <c r="C71" s="37"/>
      <c r="D71" s="37"/>
      <c r="E71" s="37"/>
      <c r="F71" s="35" t="s">
        <v>1069</v>
      </c>
      <c r="G71" s="36"/>
      <c r="H71" s="36"/>
      <c r="I71" s="36"/>
      <c r="J71" s="37"/>
      <c r="K71" s="21" t="str">
        <f t="shared" si="83"/>
        <v>Apprenant 59</v>
      </c>
      <c r="L71" s="22" t="str">
        <f t="shared" si="84"/>
        <v/>
      </c>
      <c r="M71" s="22" t="str">
        <f t="shared" si="85"/>
        <v/>
      </c>
      <c r="N71" s="22" t="str">
        <f t="shared" si="86"/>
        <v/>
      </c>
      <c r="O71" s="22" t="str">
        <f t="shared" si="87"/>
        <v/>
      </c>
      <c r="P71" s="21" t="str">
        <f t="shared" si="88"/>
        <v>Apprenant 59 ou 59'</v>
      </c>
      <c r="Q71" s="22" t="str">
        <f t="shared" si="89"/>
        <v/>
      </c>
      <c r="R71" s="22" t="str">
        <f t="shared" si="90"/>
        <v/>
      </c>
      <c r="S71" s="22" t="str">
        <f t="shared" si="91"/>
        <v/>
      </c>
      <c r="T71" s="22" t="str">
        <f t="shared" si="92"/>
        <v/>
      </c>
      <c r="V71" s="21" t="str">
        <f t="shared" si="93"/>
        <v>Apprenant 59</v>
      </c>
      <c r="W71" s="22" t="str">
        <f>IF(AND(OR('Choix pédagogiques'!$C$3=1,'Choix pédagogiques'!$C$3=2),$BM71=1),B71,IF(AND('Choix pédagogiques'!$C$3=3,$BO71=1),B71,""))</f>
        <v/>
      </c>
      <c r="X71" s="22" t="str">
        <f>IF(AND(OR('Choix pédagogiques'!$C$3=1,'Choix pédagogiques'!$C$3=2),$BM71=1),C71,IF(AND('Choix pédagogiques'!$C$3=3,$BO71=1),C71,""))</f>
        <v/>
      </c>
      <c r="Y71" s="22" t="str">
        <f>IF(AND(OR('Choix pédagogiques'!$C$3=1,'Choix pédagogiques'!$C$3=2),$BM71=1),D71,IF(AND('Choix pédagogiques'!$C$3=3,$BO71=1),D71,""))</f>
        <v/>
      </c>
      <c r="Z71" s="22" t="str">
        <f t="shared" si="94"/>
        <v/>
      </c>
      <c r="AA71" s="21" t="str">
        <f t="shared" si="95"/>
        <v>Apprenant 59 ou 59'</v>
      </c>
      <c r="AB71" s="22" t="str">
        <f>IF(AND(OR('Choix pédagogiques'!$C$3=1,'Choix pédagogiques'!$C$3=2),$BN71=1),G71,IF(AND('Choix pédagogiques'!$C$3=3,$BO71=1),G71,""))</f>
        <v/>
      </c>
      <c r="AC71" s="22" t="str">
        <f>IF(AND(OR('Choix pédagogiques'!$C$3=1,'Choix pédagogiques'!$C$3=2),$BN71=1),H71,IF(AND('Choix pédagogiques'!$C$3=3,$BO71=1),H71,""))</f>
        <v/>
      </c>
      <c r="AD71" s="22" t="str">
        <f>IF(AND(OR('Choix pédagogiques'!$C$3=1,'Choix pédagogiques'!$C$3=2),$BN71=1),I71,IF(AND('Choix pédagogiques'!$C$3=3,$BO71=1),I71,""))</f>
        <v/>
      </c>
      <c r="AE71" s="22" t="str">
        <f t="shared" si="96"/>
        <v/>
      </c>
      <c r="AF71" s="21" t="str">
        <f t="shared" si="97"/>
        <v>Apprenant 59</v>
      </c>
      <c r="AG71" s="22" t="str">
        <f t="shared" si="71"/>
        <v/>
      </c>
      <c r="AH71" s="22" t="str">
        <f t="shared" si="72"/>
        <v/>
      </c>
      <c r="AI71" s="22" t="str">
        <f t="shared" si="73"/>
        <v/>
      </c>
      <c r="AJ71" s="22" t="str">
        <f t="shared" si="98"/>
        <v/>
      </c>
      <c r="AK71" s="21" t="str">
        <f t="shared" si="99"/>
        <v>Apprenant 59 ou 59'</v>
      </c>
      <c r="AL71" s="22" t="str">
        <f t="shared" si="74"/>
        <v/>
      </c>
      <c r="AM71" s="22" t="str">
        <f t="shared" si="75"/>
        <v/>
      </c>
      <c r="AN71" s="22" t="str">
        <f t="shared" si="76"/>
        <v/>
      </c>
      <c r="AO71" s="22" t="str">
        <f t="shared" si="100"/>
        <v/>
      </c>
      <c r="AQ71" s="21" t="str">
        <f t="shared" si="101"/>
        <v>Apprenant 59</v>
      </c>
      <c r="AR71" s="49" t="str">
        <f>IF(AND('Choix pédagogiques'!$C$4&lt;&gt;"?",'Choix pédagogiques'!$C$5&lt;&gt;"?",W71&lt;&gt;""),(W71-'Choix pédagogiques'!$C$4)/('Choix pédagogiques'!$C$5-'Choix pédagogiques'!$C$4),"")</f>
        <v/>
      </c>
      <c r="AS71" s="49" t="str">
        <f>IF(AND('Choix pédagogiques'!$C$4&lt;&gt;"?",'Choix pédagogiques'!$C$5&lt;&gt;"?",X71&lt;&gt;""),(X71-'Choix pédagogiques'!$C$4)/('Choix pédagogiques'!$C$5-'Choix pédagogiques'!$C$4),"")</f>
        <v/>
      </c>
      <c r="AT71" s="49" t="str">
        <f>IF(AND('Choix pédagogiques'!$C$4&lt;&gt;"?",'Choix pédagogiques'!$C$5&lt;&gt;"?",Y71&lt;&gt;""),(Y71-'Choix pédagogiques'!$C$4)/('Choix pédagogiques'!$C$5-'Choix pédagogiques'!$C$4),"")</f>
        <v/>
      </c>
      <c r="AU71" s="22" t="str">
        <f t="shared" si="102"/>
        <v/>
      </c>
      <c r="AV71" s="21" t="str">
        <f t="shared" si="103"/>
        <v>Apprenant 59 ou 59'</v>
      </c>
      <c r="AW71" s="49" t="str">
        <f>IF(AND('Choix pédagogiques'!$C$4&lt;&gt;"?",'Choix pédagogiques'!$C$5&lt;&gt;"?",AB71&lt;&gt;""),(AB71-'Choix pédagogiques'!$C$4)/('Choix pédagogiques'!$C$5-'Choix pédagogiques'!$C$4),"")</f>
        <v/>
      </c>
      <c r="AX71" s="49" t="str">
        <f>IF(AND('Choix pédagogiques'!$C$4&lt;&gt;"?",'Choix pédagogiques'!$C$5&lt;&gt;"?",AC71&lt;&gt;""),(AC71-'Choix pédagogiques'!$C$4)/('Choix pédagogiques'!$C$5-'Choix pédagogiques'!$C$4),"")</f>
        <v/>
      </c>
      <c r="AY71" s="49" t="str">
        <f>IF(AND('Choix pédagogiques'!$C$4&lt;&gt;"?",'Choix pédagogiques'!$C$5&lt;&gt;"?",AD71&lt;&gt;""),(AD71-'Choix pédagogiques'!$C$4)/('Choix pédagogiques'!$C$5-'Choix pédagogiques'!$C$4),"")</f>
        <v/>
      </c>
      <c r="AZ71" s="22" t="str">
        <f t="shared" si="104"/>
        <v/>
      </c>
      <c r="BA71" s="21" t="str">
        <f t="shared" si="105"/>
        <v>Apprenant 59</v>
      </c>
      <c r="BB71" s="49" t="str">
        <f t="shared" si="77"/>
        <v/>
      </c>
      <c r="BC71" s="49" t="str">
        <f t="shared" si="78"/>
        <v/>
      </c>
      <c r="BD71" s="49" t="str">
        <f t="shared" si="79"/>
        <v/>
      </c>
      <c r="BE71" s="22" t="str">
        <f t="shared" si="106"/>
        <v/>
      </c>
      <c r="BF71" s="21" t="str">
        <f t="shared" si="107"/>
        <v>Apprenant 59 ou 59'</v>
      </c>
      <c r="BG71" s="49" t="str">
        <f t="shared" si="80"/>
        <v/>
      </c>
      <c r="BH71" s="49" t="str">
        <f t="shared" si="81"/>
        <v/>
      </c>
      <c r="BI71" s="49" t="str">
        <f t="shared" si="82"/>
        <v/>
      </c>
      <c r="BJ71" s="22" t="str">
        <f t="shared" si="108"/>
        <v/>
      </c>
      <c r="BL71" s="21"/>
      <c r="BM71" s="21" t="str">
        <f>IF(OR(COUNT(B71:D1070)=0,AND('Choix pédagogiques'!$C$3&lt;&gt;1,'Choix pédagogiques'!$C$3&lt;&gt;2)),"",IF(AND(OR('Choix pédagogiques'!$C$3=1,'Choix pédagogiques'!$C$3=2),$B71&lt;&gt;"",$C71&lt;&gt;"",$D71&lt;&gt;""),1,0))</f>
        <v/>
      </c>
      <c r="BN71" s="21" t="str">
        <f>IF(OR(COUNT(G71:I1070)=0,AND('Choix pédagogiques'!$C$3&lt;&gt;1,'Choix pédagogiques'!$C$3&lt;&gt;2)),"",IF(AND(OR('Choix pédagogiques'!$C$3=1,'Choix pédagogiques'!$C$3=2),AND($G71&lt;&gt;"",$H71&lt;&gt;"",$I71&lt;&gt;"")),1,0))</f>
        <v/>
      </c>
      <c r="BO71" s="21" t="str">
        <f>IF(OR(COUNT(B71:D1070)=0,COUNT(G71:I1070)=0,'Choix pédagogiques'!C$3&lt;&gt;3),"",IF(AND('Choix pédagogiques'!$C$3=3,$B71&lt;&gt;"",$C71&lt;&gt;"",$D71&lt;&gt;"",$G71&lt;&gt;"",$H71&lt;&gt;"",$I71&lt;&gt;""),1,0))</f>
        <v/>
      </c>
      <c r="BR71" s="21">
        <v>370</v>
      </c>
      <c r="BS71" s="21">
        <v>1373</v>
      </c>
      <c r="BT71"/>
    </row>
    <row r="72" spans="1:72" s="23" customFormat="1" ht="18" customHeight="1" x14ac:dyDescent="0.3">
      <c r="A72" s="35" t="s">
        <v>62</v>
      </c>
      <c r="B72" s="37"/>
      <c r="C72" s="37"/>
      <c r="D72" s="37"/>
      <c r="E72" s="37"/>
      <c r="F72" s="35" t="s">
        <v>1070</v>
      </c>
      <c r="G72" s="36"/>
      <c r="H72" s="36"/>
      <c r="I72" s="36"/>
      <c r="J72" s="37"/>
      <c r="K72" s="21" t="str">
        <f t="shared" si="83"/>
        <v>Apprenant 60</v>
      </c>
      <c r="L72" s="22" t="str">
        <f t="shared" si="84"/>
        <v/>
      </c>
      <c r="M72" s="22" t="str">
        <f t="shared" si="85"/>
        <v/>
      </c>
      <c r="N72" s="22" t="str">
        <f t="shared" si="86"/>
        <v/>
      </c>
      <c r="O72" s="22" t="str">
        <f t="shared" si="87"/>
        <v/>
      </c>
      <c r="P72" s="21" t="str">
        <f t="shared" si="88"/>
        <v>Apprenant 60 ou 60'</v>
      </c>
      <c r="Q72" s="22" t="str">
        <f t="shared" si="89"/>
        <v/>
      </c>
      <c r="R72" s="22" t="str">
        <f t="shared" si="90"/>
        <v/>
      </c>
      <c r="S72" s="22" t="str">
        <f t="shared" si="91"/>
        <v/>
      </c>
      <c r="T72" s="22" t="str">
        <f t="shared" si="92"/>
        <v/>
      </c>
      <c r="V72" s="21" t="str">
        <f t="shared" si="93"/>
        <v>Apprenant 60</v>
      </c>
      <c r="W72" s="22" t="str">
        <f>IF(AND(OR('Choix pédagogiques'!$C$3=1,'Choix pédagogiques'!$C$3=2),$BM72=1),B72,IF(AND('Choix pédagogiques'!$C$3=3,$BO72=1),B72,""))</f>
        <v/>
      </c>
      <c r="X72" s="22" t="str">
        <f>IF(AND(OR('Choix pédagogiques'!$C$3=1,'Choix pédagogiques'!$C$3=2),$BM72=1),C72,IF(AND('Choix pédagogiques'!$C$3=3,$BO72=1),C72,""))</f>
        <v/>
      </c>
      <c r="Y72" s="22" t="str">
        <f>IF(AND(OR('Choix pédagogiques'!$C$3=1,'Choix pédagogiques'!$C$3=2),$BM72=1),D72,IF(AND('Choix pédagogiques'!$C$3=3,$BO72=1),D72,""))</f>
        <v/>
      </c>
      <c r="Z72" s="22" t="str">
        <f t="shared" si="94"/>
        <v/>
      </c>
      <c r="AA72" s="21" t="str">
        <f t="shared" si="95"/>
        <v>Apprenant 60 ou 60'</v>
      </c>
      <c r="AB72" s="22" t="str">
        <f>IF(AND(OR('Choix pédagogiques'!$C$3=1,'Choix pédagogiques'!$C$3=2),$BN72=1),G72,IF(AND('Choix pédagogiques'!$C$3=3,$BO72=1),G72,""))</f>
        <v/>
      </c>
      <c r="AC72" s="22" t="str">
        <f>IF(AND(OR('Choix pédagogiques'!$C$3=1,'Choix pédagogiques'!$C$3=2),$BN72=1),H72,IF(AND('Choix pédagogiques'!$C$3=3,$BO72=1),H72,""))</f>
        <v/>
      </c>
      <c r="AD72" s="22" t="str">
        <f>IF(AND(OR('Choix pédagogiques'!$C$3=1,'Choix pédagogiques'!$C$3=2),$BN72=1),I72,IF(AND('Choix pédagogiques'!$C$3=3,$BO72=1),I72,""))</f>
        <v/>
      </c>
      <c r="AE72" s="22" t="str">
        <f t="shared" si="96"/>
        <v/>
      </c>
      <c r="AF72" s="21" t="str">
        <f t="shared" si="97"/>
        <v>Apprenant 60</v>
      </c>
      <c r="AG72" s="22" t="str">
        <f t="shared" si="71"/>
        <v/>
      </c>
      <c r="AH72" s="22" t="str">
        <f t="shared" si="72"/>
        <v/>
      </c>
      <c r="AI72" s="22" t="str">
        <f t="shared" si="73"/>
        <v/>
      </c>
      <c r="AJ72" s="22" t="str">
        <f t="shared" si="98"/>
        <v/>
      </c>
      <c r="AK72" s="21" t="str">
        <f t="shared" si="99"/>
        <v>Apprenant 60 ou 60'</v>
      </c>
      <c r="AL72" s="22" t="str">
        <f t="shared" si="74"/>
        <v/>
      </c>
      <c r="AM72" s="22" t="str">
        <f t="shared" si="75"/>
        <v/>
      </c>
      <c r="AN72" s="22" t="str">
        <f t="shared" si="76"/>
        <v/>
      </c>
      <c r="AO72" s="22" t="str">
        <f t="shared" si="100"/>
        <v/>
      </c>
      <c r="AQ72" s="21" t="str">
        <f t="shared" si="101"/>
        <v>Apprenant 60</v>
      </c>
      <c r="AR72" s="49" t="str">
        <f>IF(AND('Choix pédagogiques'!$C$4&lt;&gt;"?",'Choix pédagogiques'!$C$5&lt;&gt;"?",W72&lt;&gt;""),(W72-'Choix pédagogiques'!$C$4)/('Choix pédagogiques'!$C$5-'Choix pédagogiques'!$C$4),"")</f>
        <v/>
      </c>
      <c r="AS72" s="49" t="str">
        <f>IF(AND('Choix pédagogiques'!$C$4&lt;&gt;"?",'Choix pédagogiques'!$C$5&lt;&gt;"?",X72&lt;&gt;""),(X72-'Choix pédagogiques'!$C$4)/('Choix pédagogiques'!$C$5-'Choix pédagogiques'!$C$4),"")</f>
        <v/>
      </c>
      <c r="AT72" s="49" t="str">
        <f>IF(AND('Choix pédagogiques'!$C$4&lt;&gt;"?",'Choix pédagogiques'!$C$5&lt;&gt;"?",Y72&lt;&gt;""),(Y72-'Choix pédagogiques'!$C$4)/('Choix pédagogiques'!$C$5-'Choix pédagogiques'!$C$4),"")</f>
        <v/>
      </c>
      <c r="AU72" s="22" t="str">
        <f t="shared" si="102"/>
        <v/>
      </c>
      <c r="AV72" s="21" t="str">
        <f t="shared" si="103"/>
        <v>Apprenant 60 ou 60'</v>
      </c>
      <c r="AW72" s="49" t="str">
        <f>IF(AND('Choix pédagogiques'!$C$4&lt;&gt;"?",'Choix pédagogiques'!$C$5&lt;&gt;"?",AB72&lt;&gt;""),(AB72-'Choix pédagogiques'!$C$4)/('Choix pédagogiques'!$C$5-'Choix pédagogiques'!$C$4),"")</f>
        <v/>
      </c>
      <c r="AX72" s="49" t="str">
        <f>IF(AND('Choix pédagogiques'!$C$4&lt;&gt;"?",'Choix pédagogiques'!$C$5&lt;&gt;"?",AC72&lt;&gt;""),(AC72-'Choix pédagogiques'!$C$4)/('Choix pédagogiques'!$C$5-'Choix pédagogiques'!$C$4),"")</f>
        <v/>
      </c>
      <c r="AY72" s="49" t="str">
        <f>IF(AND('Choix pédagogiques'!$C$4&lt;&gt;"?",'Choix pédagogiques'!$C$5&lt;&gt;"?",AD72&lt;&gt;""),(AD72-'Choix pédagogiques'!$C$4)/('Choix pédagogiques'!$C$5-'Choix pédagogiques'!$C$4),"")</f>
        <v/>
      </c>
      <c r="AZ72" s="22" t="str">
        <f t="shared" si="104"/>
        <v/>
      </c>
      <c r="BA72" s="21" t="str">
        <f t="shared" si="105"/>
        <v>Apprenant 60</v>
      </c>
      <c r="BB72" s="49" t="str">
        <f t="shared" si="77"/>
        <v/>
      </c>
      <c r="BC72" s="49" t="str">
        <f t="shared" si="78"/>
        <v/>
      </c>
      <c r="BD72" s="49" t="str">
        <f t="shared" si="79"/>
        <v/>
      </c>
      <c r="BE72" s="22" t="str">
        <f t="shared" si="106"/>
        <v/>
      </c>
      <c r="BF72" s="21" t="str">
        <f t="shared" si="107"/>
        <v>Apprenant 60 ou 60'</v>
      </c>
      <c r="BG72" s="49" t="str">
        <f t="shared" si="80"/>
        <v/>
      </c>
      <c r="BH72" s="49" t="str">
        <f t="shared" si="81"/>
        <v/>
      </c>
      <c r="BI72" s="49" t="str">
        <f t="shared" si="82"/>
        <v/>
      </c>
      <c r="BJ72" s="22" t="str">
        <f t="shared" si="108"/>
        <v/>
      </c>
      <c r="BL72" s="21"/>
      <c r="BM72" s="21" t="str">
        <f>IF(OR(COUNT(B72:D1071)=0,AND('Choix pédagogiques'!$C$3&lt;&gt;1,'Choix pédagogiques'!$C$3&lt;&gt;2)),"",IF(AND(OR('Choix pédagogiques'!$C$3=1,'Choix pédagogiques'!$C$3=2),$B72&lt;&gt;"",$C72&lt;&gt;"",$D72&lt;&gt;""),1,0))</f>
        <v/>
      </c>
      <c r="BN72" s="21" t="str">
        <f>IF(OR(COUNT(G72:I1071)=0,AND('Choix pédagogiques'!$C$3&lt;&gt;1,'Choix pédagogiques'!$C$3&lt;&gt;2)),"",IF(AND(OR('Choix pédagogiques'!$C$3=1,'Choix pédagogiques'!$C$3=2),AND($G72&lt;&gt;"",$H72&lt;&gt;"",$I72&lt;&gt;"")),1,0))</f>
        <v/>
      </c>
      <c r="BO72" s="21" t="str">
        <f>IF(OR(COUNT(B72:D1071)=0,COUNT(G72:I1071)=0,'Choix pédagogiques'!C$3&lt;&gt;3),"",IF(AND('Choix pédagogiques'!$C$3=3,$B72&lt;&gt;"",$C72&lt;&gt;"",$D72&lt;&gt;"",$G72&lt;&gt;"",$H72&lt;&gt;"",$I72&lt;&gt;""),1,0))</f>
        <v/>
      </c>
      <c r="BR72" s="21">
        <v>617</v>
      </c>
      <c r="BS72" s="21">
        <v>1948</v>
      </c>
      <c r="BT72"/>
    </row>
    <row r="73" spans="1:72" s="23" customFormat="1" ht="18" customHeight="1" x14ac:dyDescent="0.3">
      <c r="A73" s="35" t="s">
        <v>63</v>
      </c>
      <c r="B73" s="37"/>
      <c r="C73" s="37"/>
      <c r="D73" s="37"/>
      <c r="E73" s="37"/>
      <c r="F73" s="35" t="s">
        <v>1071</v>
      </c>
      <c r="G73" s="36"/>
      <c r="H73" s="36"/>
      <c r="I73" s="36"/>
      <c r="J73" s="37"/>
      <c r="K73" s="21" t="str">
        <f t="shared" si="83"/>
        <v>Apprenant 61</v>
      </c>
      <c r="L73" s="22" t="str">
        <f t="shared" si="84"/>
        <v/>
      </c>
      <c r="M73" s="22" t="str">
        <f t="shared" si="85"/>
        <v/>
      </c>
      <c r="N73" s="22" t="str">
        <f t="shared" si="86"/>
        <v/>
      </c>
      <c r="O73" s="22" t="str">
        <f t="shared" si="87"/>
        <v/>
      </c>
      <c r="P73" s="21" t="str">
        <f t="shared" si="88"/>
        <v>Apprenant 61 ou 61'</v>
      </c>
      <c r="Q73" s="22" t="str">
        <f t="shared" si="89"/>
        <v/>
      </c>
      <c r="R73" s="22" t="str">
        <f t="shared" si="90"/>
        <v/>
      </c>
      <c r="S73" s="22" t="str">
        <f t="shared" si="91"/>
        <v/>
      </c>
      <c r="T73" s="22" t="str">
        <f t="shared" si="92"/>
        <v/>
      </c>
      <c r="V73" s="21" t="str">
        <f t="shared" si="93"/>
        <v>Apprenant 61</v>
      </c>
      <c r="W73" s="22" t="str">
        <f>IF(AND(OR('Choix pédagogiques'!$C$3=1,'Choix pédagogiques'!$C$3=2),$BM73=1),B73,IF(AND('Choix pédagogiques'!$C$3=3,$BO73=1),B73,""))</f>
        <v/>
      </c>
      <c r="X73" s="22" t="str">
        <f>IF(AND(OR('Choix pédagogiques'!$C$3=1,'Choix pédagogiques'!$C$3=2),$BM73=1),C73,IF(AND('Choix pédagogiques'!$C$3=3,$BO73=1),C73,""))</f>
        <v/>
      </c>
      <c r="Y73" s="22" t="str">
        <f>IF(AND(OR('Choix pédagogiques'!$C$3=1,'Choix pédagogiques'!$C$3=2),$BM73=1),D73,IF(AND('Choix pédagogiques'!$C$3=3,$BO73=1),D73,""))</f>
        <v/>
      </c>
      <c r="Z73" s="22" t="str">
        <f t="shared" si="94"/>
        <v/>
      </c>
      <c r="AA73" s="21" t="str">
        <f t="shared" si="95"/>
        <v>Apprenant 61 ou 61'</v>
      </c>
      <c r="AB73" s="22" t="str">
        <f>IF(AND(OR('Choix pédagogiques'!$C$3=1,'Choix pédagogiques'!$C$3=2),$BN73=1),G73,IF(AND('Choix pédagogiques'!$C$3=3,$BO73=1),G73,""))</f>
        <v/>
      </c>
      <c r="AC73" s="22" t="str">
        <f>IF(AND(OR('Choix pédagogiques'!$C$3=1,'Choix pédagogiques'!$C$3=2),$BN73=1),H73,IF(AND('Choix pédagogiques'!$C$3=3,$BO73=1),H73,""))</f>
        <v/>
      </c>
      <c r="AD73" s="22" t="str">
        <f>IF(AND(OR('Choix pédagogiques'!$C$3=1,'Choix pédagogiques'!$C$3=2),$BN73=1),I73,IF(AND('Choix pédagogiques'!$C$3=3,$BO73=1),I73,""))</f>
        <v/>
      </c>
      <c r="AE73" s="22" t="str">
        <f t="shared" si="96"/>
        <v/>
      </c>
      <c r="AF73" s="21" t="str">
        <f t="shared" si="97"/>
        <v>Apprenant 61</v>
      </c>
      <c r="AG73" s="22" t="str">
        <f t="shared" si="71"/>
        <v/>
      </c>
      <c r="AH73" s="22" t="str">
        <f t="shared" si="72"/>
        <v/>
      </c>
      <c r="AI73" s="22" t="str">
        <f t="shared" si="73"/>
        <v/>
      </c>
      <c r="AJ73" s="22" t="str">
        <f t="shared" si="98"/>
        <v/>
      </c>
      <c r="AK73" s="21" t="str">
        <f t="shared" si="99"/>
        <v>Apprenant 61 ou 61'</v>
      </c>
      <c r="AL73" s="22" t="str">
        <f t="shared" si="74"/>
        <v/>
      </c>
      <c r="AM73" s="22" t="str">
        <f t="shared" si="75"/>
        <v/>
      </c>
      <c r="AN73" s="22" t="str">
        <f t="shared" si="76"/>
        <v/>
      </c>
      <c r="AO73" s="22" t="str">
        <f t="shared" si="100"/>
        <v/>
      </c>
      <c r="AQ73" s="21" t="str">
        <f t="shared" si="101"/>
        <v>Apprenant 61</v>
      </c>
      <c r="AR73" s="49" t="str">
        <f>IF(AND('Choix pédagogiques'!$C$4&lt;&gt;"?",'Choix pédagogiques'!$C$5&lt;&gt;"?",W73&lt;&gt;""),(W73-'Choix pédagogiques'!$C$4)/('Choix pédagogiques'!$C$5-'Choix pédagogiques'!$C$4),"")</f>
        <v/>
      </c>
      <c r="AS73" s="49" t="str">
        <f>IF(AND('Choix pédagogiques'!$C$4&lt;&gt;"?",'Choix pédagogiques'!$C$5&lt;&gt;"?",X73&lt;&gt;""),(X73-'Choix pédagogiques'!$C$4)/('Choix pédagogiques'!$C$5-'Choix pédagogiques'!$C$4),"")</f>
        <v/>
      </c>
      <c r="AT73" s="49" t="str">
        <f>IF(AND('Choix pédagogiques'!$C$4&lt;&gt;"?",'Choix pédagogiques'!$C$5&lt;&gt;"?",Y73&lt;&gt;""),(Y73-'Choix pédagogiques'!$C$4)/('Choix pédagogiques'!$C$5-'Choix pédagogiques'!$C$4),"")</f>
        <v/>
      </c>
      <c r="AU73" s="22" t="str">
        <f t="shared" si="102"/>
        <v/>
      </c>
      <c r="AV73" s="21" t="str">
        <f t="shared" si="103"/>
        <v>Apprenant 61 ou 61'</v>
      </c>
      <c r="AW73" s="49" t="str">
        <f>IF(AND('Choix pédagogiques'!$C$4&lt;&gt;"?",'Choix pédagogiques'!$C$5&lt;&gt;"?",AB73&lt;&gt;""),(AB73-'Choix pédagogiques'!$C$4)/('Choix pédagogiques'!$C$5-'Choix pédagogiques'!$C$4),"")</f>
        <v/>
      </c>
      <c r="AX73" s="49" t="str">
        <f>IF(AND('Choix pédagogiques'!$C$4&lt;&gt;"?",'Choix pédagogiques'!$C$5&lt;&gt;"?",AC73&lt;&gt;""),(AC73-'Choix pédagogiques'!$C$4)/('Choix pédagogiques'!$C$5-'Choix pédagogiques'!$C$4),"")</f>
        <v/>
      </c>
      <c r="AY73" s="49" t="str">
        <f>IF(AND('Choix pédagogiques'!$C$4&lt;&gt;"?",'Choix pédagogiques'!$C$5&lt;&gt;"?",AD73&lt;&gt;""),(AD73-'Choix pédagogiques'!$C$4)/('Choix pédagogiques'!$C$5-'Choix pédagogiques'!$C$4),"")</f>
        <v/>
      </c>
      <c r="AZ73" s="22" t="str">
        <f t="shared" si="104"/>
        <v/>
      </c>
      <c r="BA73" s="21" t="str">
        <f t="shared" si="105"/>
        <v>Apprenant 61</v>
      </c>
      <c r="BB73" s="49" t="str">
        <f t="shared" si="77"/>
        <v/>
      </c>
      <c r="BC73" s="49" t="str">
        <f t="shared" si="78"/>
        <v/>
      </c>
      <c r="BD73" s="49" t="str">
        <f t="shared" si="79"/>
        <v/>
      </c>
      <c r="BE73" s="22" t="str">
        <f t="shared" si="106"/>
        <v/>
      </c>
      <c r="BF73" s="21" t="str">
        <f t="shared" si="107"/>
        <v>Apprenant 61 ou 61'</v>
      </c>
      <c r="BG73" s="49" t="str">
        <f t="shared" si="80"/>
        <v/>
      </c>
      <c r="BH73" s="49" t="str">
        <f t="shared" si="81"/>
        <v/>
      </c>
      <c r="BI73" s="49" t="str">
        <f t="shared" si="82"/>
        <v/>
      </c>
      <c r="BJ73" s="22" t="str">
        <f t="shared" si="108"/>
        <v/>
      </c>
      <c r="BL73" s="21"/>
      <c r="BM73" s="21" t="str">
        <f>IF(OR(COUNT(B73:D1072)=0,AND('Choix pédagogiques'!$C$3&lt;&gt;1,'Choix pédagogiques'!$C$3&lt;&gt;2)),"",IF(AND(OR('Choix pédagogiques'!$C$3=1,'Choix pédagogiques'!$C$3=2),$B73&lt;&gt;"",$C73&lt;&gt;"",$D73&lt;&gt;""),1,0))</f>
        <v/>
      </c>
      <c r="BN73" s="21" t="str">
        <f>IF(OR(COUNT(G73:I1072)=0,AND('Choix pédagogiques'!$C$3&lt;&gt;1,'Choix pédagogiques'!$C$3&lt;&gt;2)),"",IF(AND(OR('Choix pédagogiques'!$C$3=1,'Choix pédagogiques'!$C$3=2),AND($G73&lt;&gt;"",$H73&lt;&gt;"",$I73&lt;&gt;"")),1,0))</f>
        <v/>
      </c>
      <c r="BO73" s="21" t="str">
        <f>IF(OR(COUNT(B73:D1072)=0,COUNT(G73:I1072)=0,'Choix pédagogiques'!C$3&lt;&gt;3),"",IF(AND('Choix pédagogiques'!$C$3=3,$B73&lt;&gt;"",$C73&lt;&gt;"",$D73&lt;&gt;"",$G73&lt;&gt;"",$H73&lt;&gt;"",$I73&lt;&gt;""),1,0))</f>
        <v/>
      </c>
      <c r="BR73" s="21">
        <v>603</v>
      </c>
      <c r="BS73" s="21">
        <v>1673</v>
      </c>
      <c r="BT73"/>
    </row>
    <row r="74" spans="1:72" s="23" customFormat="1" ht="18" customHeight="1" x14ac:dyDescent="0.3">
      <c r="A74" s="35" t="s">
        <v>64</v>
      </c>
      <c r="B74" s="37"/>
      <c r="C74" s="37"/>
      <c r="D74" s="37"/>
      <c r="E74" s="37"/>
      <c r="F74" s="35" t="s">
        <v>1072</v>
      </c>
      <c r="G74" s="36"/>
      <c r="H74" s="36"/>
      <c r="I74" s="36"/>
      <c r="J74" s="37"/>
      <c r="K74" s="21" t="str">
        <f t="shared" si="83"/>
        <v>Apprenant 62</v>
      </c>
      <c r="L74" s="22" t="str">
        <f t="shared" si="84"/>
        <v/>
      </c>
      <c r="M74" s="22" t="str">
        <f t="shared" si="85"/>
        <v/>
      </c>
      <c r="N74" s="22" t="str">
        <f t="shared" si="86"/>
        <v/>
      </c>
      <c r="O74" s="22" t="str">
        <f t="shared" si="87"/>
        <v/>
      </c>
      <c r="P74" s="21" t="str">
        <f t="shared" si="88"/>
        <v>Apprenant 62 ou 62'</v>
      </c>
      <c r="Q74" s="22" t="str">
        <f t="shared" si="89"/>
        <v/>
      </c>
      <c r="R74" s="22" t="str">
        <f t="shared" si="90"/>
        <v/>
      </c>
      <c r="S74" s="22" t="str">
        <f t="shared" si="91"/>
        <v/>
      </c>
      <c r="T74" s="22" t="str">
        <f t="shared" si="92"/>
        <v/>
      </c>
      <c r="V74" s="21" t="str">
        <f t="shared" si="93"/>
        <v>Apprenant 62</v>
      </c>
      <c r="W74" s="22" t="str">
        <f>IF(AND(OR('Choix pédagogiques'!$C$3=1,'Choix pédagogiques'!$C$3=2),$BM74=1),B74,IF(AND('Choix pédagogiques'!$C$3=3,$BO74=1),B74,""))</f>
        <v/>
      </c>
      <c r="X74" s="22" t="str">
        <f>IF(AND(OR('Choix pédagogiques'!$C$3=1,'Choix pédagogiques'!$C$3=2),$BM74=1),C74,IF(AND('Choix pédagogiques'!$C$3=3,$BO74=1),C74,""))</f>
        <v/>
      </c>
      <c r="Y74" s="22" t="str">
        <f>IF(AND(OR('Choix pédagogiques'!$C$3=1,'Choix pédagogiques'!$C$3=2),$BM74=1),D74,IF(AND('Choix pédagogiques'!$C$3=3,$BO74=1),D74,""))</f>
        <v/>
      </c>
      <c r="Z74" s="22" t="str">
        <f t="shared" si="94"/>
        <v/>
      </c>
      <c r="AA74" s="21" t="str">
        <f t="shared" si="95"/>
        <v>Apprenant 62 ou 62'</v>
      </c>
      <c r="AB74" s="22" t="str">
        <f>IF(AND(OR('Choix pédagogiques'!$C$3=1,'Choix pédagogiques'!$C$3=2),$BN74=1),G74,IF(AND('Choix pédagogiques'!$C$3=3,$BO74=1),G74,""))</f>
        <v/>
      </c>
      <c r="AC74" s="22" t="str">
        <f>IF(AND(OR('Choix pédagogiques'!$C$3=1,'Choix pédagogiques'!$C$3=2),$BN74=1),H74,IF(AND('Choix pédagogiques'!$C$3=3,$BO74=1),H74,""))</f>
        <v/>
      </c>
      <c r="AD74" s="22" t="str">
        <f>IF(AND(OR('Choix pédagogiques'!$C$3=1,'Choix pédagogiques'!$C$3=2),$BN74=1),I74,IF(AND('Choix pédagogiques'!$C$3=3,$BO74=1),I74,""))</f>
        <v/>
      </c>
      <c r="AE74" s="22" t="str">
        <f t="shared" si="96"/>
        <v/>
      </c>
      <c r="AF74" s="21" t="str">
        <f t="shared" si="97"/>
        <v>Apprenant 62</v>
      </c>
      <c r="AG74" s="22" t="str">
        <f t="shared" si="71"/>
        <v/>
      </c>
      <c r="AH74" s="22" t="str">
        <f t="shared" si="72"/>
        <v/>
      </c>
      <c r="AI74" s="22" t="str">
        <f t="shared" si="73"/>
        <v/>
      </c>
      <c r="AJ74" s="22" t="str">
        <f t="shared" si="98"/>
        <v/>
      </c>
      <c r="AK74" s="21" t="str">
        <f t="shared" si="99"/>
        <v>Apprenant 62 ou 62'</v>
      </c>
      <c r="AL74" s="22" t="str">
        <f t="shared" si="74"/>
        <v/>
      </c>
      <c r="AM74" s="22" t="str">
        <f t="shared" si="75"/>
        <v/>
      </c>
      <c r="AN74" s="22" t="str">
        <f t="shared" si="76"/>
        <v/>
      </c>
      <c r="AO74" s="22" t="str">
        <f t="shared" si="100"/>
        <v/>
      </c>
      <c r="AQ74" s="21" t="str">
        <f t="shared" si="101"/>
        <v>Apprenant 62</v>
      </c>
      <c r="AR74" s="49" t="str">
        <f>IF(AND('Choix pédagogiques'!$C$4&lt;&gt;"?",'Choix pédagogiques'!$C$5&lt;&gt;"?",W74&lt;&gt;""),(W74-'Choix pédagogiques'!$C$4)/('Choix pédagogiques'!$C$5-'Choix pédagogiques'!$C$4),"")</f>
        <v/>
      </c>
      <c r="AS74" s="49" t="str">
        <f>IF(AND('Choix pédagogiques'!$C$4&lt;&gt;"?",'Choix pédagogiques'!$C$5&lt;&gt;"?",X74&lt;&gt;""),(X74-'Choix pédagogiques'!$C$4)/('Choix pédagogiques'!$C$5-'Choix pédagogiques'!$C$4),"")</f>
        <v/>
      </c>
      <c r="AT74" s="49" t="str">
        <f>IF(AND('Choix pédagogiques'!$C$4&lt;&gt;"?",'Choix pédagogiques'!$C$5&lt;&gt;"?",Y74&lt;&gt;""),(Y74-'Choix pédagogiques'!$C$4)/('Choix pédagogiques'!$C$5-'Choix pédagogiques'!$C$4),"")</f>
        <v/>
      </c>
      <c r="AU74" s="22" t="str">
        <f t="shared" si="102"/>
        <v/>
      </c>
      <c r="AV74" s="21" t="str">
        <f t="shared" si="103"/>
        <v>Apprenant 62 ou 62'</v>
      </c>
      <c r="AW74" s="49" t="str">
        <f>IF(AND('Choix pédagogiques'!$C$4&lt;&gt;"?",'Choix pédagogiques'!$C$5&lt;&gt;"?",AB74&lt;&gt;""),(AB74-'Choix pédagogiques'!$C$4)/('Choix pédagogiques'!$C$5-'Choix pédagogiques'!$C$4),"")</f>
        <v/>
      </c>
      <c r="AX74" s="49" t="str">
        <f>IF(AND('Choix pédagogiques'!$C$4&lt;&gt;"?",'Choix pédagogiques'!$C$5&lt;&gt;"?",AC74&lt;&gt;""),(AC74-'Choix pédagogiques'!$C$4)/('Choix pédagogiques'!$C$5-'Choix pédagogiques'!$C$4),"")</f>
        <v/>
      </c>
      <c r="AY74" s="49" t="str">
        <f>IF(AND('Choix pédagogiques'!$C$4&lt;&gt;"?",'Choix pédagogiques'!$C$5&lt;&gt;"?",AD74&lt;&gt;""),(AD74-'Choix pédagogiques'!$C$4)/('Choix pédagogiques'!$C$5-'Choix pédagogiques'!$C$4),"")</f>
        <v/>
      </c>
      <c r="AZ74" s="22" t="str">
        <f t="shared" si="104"/>
        <v/>
      </c>
      <c r="BA74" s="21" t="str">
        <f t="shared" si="105"/>
        <v>Apprenant 62</v>
      </c>
      <c r="BB74" s="49" t="str">
        <f t="shared" si="77"/>
        <v/>
      </c>
      <c r="BC74" s="49" t="str">
        <f t="shared" si="78"/>
        <v/>
      </c>
      <c r="BD74" s="49" t="str">
        <f t="shared" si="79"/>
        <v/>
      </c>
      <c r="BE74" s="22" t="str">
        <f t="shared" si="106"/>
        <v/>
      </c>
      <c r="BF74" s="21" t="str">
        <f t="shared" si="107"/>
        <v>Apprenant 62 ou 62'</v>
      </c>
      <c r="BG74" s="49" t="str">
        <f t="shared" si="80"/>
        <v/>
      </c>
      <c r="BH74" s="49" t="str">
        <f t="shared" si="81"/>
        <v/>
      </c>
      <c r="BI74" s="49" t="str">
        <f t="shared" si="82"/>
        <v/>
      </c>
      <c r="BJ74" s="22" t="str">
        <f t="shared" si="108"/>
        <v/>
      </c>
      <c r="BL74" s="21"/>
      <c r="BM74" s="21" t="str">
        <f>IF(OR(COUNT(B74:D1073)=0,AND('Choix pédagogiques'!$C$3&lt;&gt;1,'Choix pédagogiques'!$C$3&lt;&gt;2)),"",IF(AND(OR('Choix pédagogiques'!$C$3=1,'Choix pédagogiques'!$C$3=2),$B74&lt;&gt;"",$C74&lt;&gt;"",$D74&lt;&gt;""),1,0))</f>
        <v/>
      </c>
      <c r="BN74" s="21" t="str">
        <f>IF(OR(COUNT(G74:I1073)=0,AND('Choix pédagogiques'!$C$3&lt;&gt;1,'Choix pédagogiques'!$C$3&lt;&gt;2)),"",IF(AND(OR('Choix pédagogiques'!$C$3=1,'Choix pédagogiques'!$C$3=2),AND($G74&lt;&gt;"",$H74&lt;&gt;"",$I74&lt;&gt;"")),1,0))</f>
        <v/>
      </c>
      <c r="BO74" s="21" t="str">
        <f>IF(OR(COUNT(B74:D1073)=0,COUNT(G74:I1073)=0,'Choix pédagogiques'!C$3&lt;&gt;3),"",IF(AND('Choix pédagogiques'!$C$3=3,$B74&lt;&gt;"",$C74&lt;&gt;"",$D74&lt;&gt;"",$G74&lt;&gt;"",$H74&lt;&gt;"",$I74&lt;&gt;""),1,0))</f>
        <v/>
      </c>
      <c r="BR74" s="21">
        <v>236</v>
      </c>
      <c r="BS74" s="21">
        <v>1009</v>
      </c>
      <c r="BT74"/>
    </row>
    <row r="75" spans="1:72" s="23" customFormat="1" ht="18" customHeight="1" x14ac:dyDescent="0.3">
      <c r="A75" s="35" t="s">
        <v>65</v>
      </c>
      <c r="B75" s="37"/>
      <c r="C75" s="37"/>
      <c r="D75" s="37"/>
      <c r="E75" s="37"/>
      <c r="F75" s="35" t="s">
        <v>1073</v>
      </c>
      <c r="G75" s="36"/>
      <c r="H75" s="36"/>
      <c r="I75" s="36"/>
      <c r="J75" s="37"/>
      <c r="K75" s="21" t="str">
        <f t="shared" si="83"/>
        <v>Apprenant 63</v>
      </c>
      <c r="L75" s="22" t="str">
        <f t="shared" si="84"/>
        <v/>
      </c>
      <c r="M75" s="22" t="str">
        <f t="shared" si="85"/>
        <v/>
      </c>
      <c r="N75" s="22" t="str">
        <f t="shared" si="86"/>
        <v/>
      </c>
      <c r="O75" s="22" t="str">
        <f t="shared" si="87"/>
        <v/>
      </c>
      <c r="P75" s="21" t="str">
        <f t="shared" si="88"/>
        <v>Apprenant 63 ou 63'</v>
      </c>
      <c r="Q75" s="22" t="str">
        <f t="shared" si="89"/>
        <v/>
      </c>
      <c r="R75" s="22" t="str">
        <f t="shared" si="90"/>
        <v/>
      </c>
      <c r="S75" s="22" t="str">
        <f t="shared" si="91"/>
        <v/>
      </c>
      <c r="T75" s="22" t="str">
        <f t="shared" si="92"/>
        <v/>
      </c>
      <c r="V75" s="21" t="str">
        <f t="shared" si="93"/>
        <v>Apprenant 63</v>
      </c>
      <c r="W75" s="22" t="str">
        <f>IF(AND(OR('Choix pédagogiques'!$C$3=1,'Choix pédagogiques'!$C$3=2),$BM75=1),B75,IF(AND('Choix pédagogiques'!$C$3=3,$BO75=1),B75,""))</f>
        <v/>
      </c>
      <c r="X75" s="22" t="str">
        <f>IF(AND(OR('Choix pédagogiques'!$C$3=1,'Choix pédagogiques'!$C$3=2),$BM75=1),C75,IF(AND('Choix pédagogiques'!$C$3=3,$BO75=1),C75,""))</f>
        <v/>
      </c>
      <c r="Y75" s="22" t="str">
        <f>IF(AND(OR('Choix pédagogiques'!$C$3=1,'Choix pédagogiques'!$C$3=2),$BM75=1),D75,IF(AND('Choix pédagogiques'!$C$3=3,$BO75=1),D75,""))</f>
        <v/>
      </c>
      <c r="Z75" s="22" t="str">
        <f t="shared" si="94"/>
        <v/>
      </c>
      <c r="AA75" s="21" t="str">
        <f t="shared" si="95"/>
        <v>Apprenant 63 ou 63'</v>
      </c>
      <c r="AB75" s="22" t="str">
        <f>IF(AND(OR('Choix pédagogiques'!$C$3=1,'Choix pédagogiques'!$C$3=2),$BN75=1),G75,IF(AND('Choix pédagogiques'!$C$3=3,$BO75=1),G75,""))</f>
        <v/>
      </c>
      <c r="AC75" s="22" t="str">
        <f>IF(AND(OR('Choix pédagogiques'!$C$3=1,'Choix pédagogiques'!$C$3=2),$BN75=1),H75,IF(AND('Choix pédagogiques'!$C$3=3,$BO75=1),H75,""))</f>
        <v/>
      </c>
      <c r="AD75" s="22" t="str">
        <f>IF(AND(OR('Choix pédagogiques'!$C$3=1,'Choix pédagogiques'!$C$3=2),$BN75=1),I75,IF(AND('Choix pédagogiques'!$C$3=3,$BO75=1),I75,""))</f>
        <v/>
      </c>
      <c r="AE75" s="22" t="str">
        <f t="shared" si="96"/>
        <v/>
      </c>
      <c r="AF75" s="21" t="str">
        <f t="shared" si="97"/>
        <v>Apprenant 63</v>
      </c>
      <c r="AG75" s="22" t="str">
        <f t="shared" si="71"/>
        <v/>
      </c>
      <c r="AH75" s="22" t="str">
        <f t="shared" si="72"/>
        <v/>
      </c>
      <c r="AI75" s="22" t="str">
        <f t="shared" si="73"/>
        <v/>
      </c>
      <c r="AJ75" s="22" t="str">
        <f t="shared" si="98"/>
        <v/>
      </c>
      <c r="AK75" s="21" t="str">
        <f t="shared" si="99"/>
        <v>Apprenant 63 ou 63'</v>
      </c>
      <c r="AL75" s="22" t="str">
        <f t="shared" si="74"/>
        <v/>
      </c>
      <c r="AM75" s="22" t="str">
        <f t="shared" si="75"/>
        <v/>
      </c>
      <c r="AN75" s="22" t="str">
        <f t="shared" si="76"/>
        <v/>
      </c>
      <c r="AO75" s="22" t="str">
        <f t="shared" si="100"/>
        <v/>
      </c>
      <c r="AQ75" s="21" t="str">
        <f t="shared" si="101"/>
        <v>Apprenant 63</v>
      </c>
      <c r="AR75" s="49" t="str">
        <f>IF(AND('Choix pédagogiques'!$C$4&lt;&gt;"?",'Choix pédagogiques'!$C$5&lt;&gt;"?",W75&lt;&gt;""),(W75-'Choix pédagogiques'!$C$4)/('Choix pédagogiques'!$C$5-'Choix pédagogiques'!$C$4),"")</f>
        <v/>
      </c>
      <c r="AS75" s="49" t="str">
        <f>IF(AND('Choix pédagogiques'!$C$4&lt;&gt;"?",'Choix pédagogiques'!$C$5&lt;&gt;"?",X75&lt;&gt;""),(X75-'Choix pédagogiques'!$C$4)/('Choix pédagogiques'!$C$5-'Choix pédagogiques'!$C$4),"")</f>
        <v/>
      </c>
      <c r="AT75" s="49" t="str">
        <f>IF(AND('Choix pédagogiques'!$C$4&lt;&gt;"?",'Choix pédagogiques'!$C$5&lt;&gt;"?",Y75&lt;&gt;""),(Y75-'Choix pédagogiques'!$C$4)/('Choix pédagogiques'!$C$5-'Choix pédagogiques'!$C$4),"")</f>
        <v/>
      </c>
      <c r="AU75" s="22" t="str">
        <f t="shared" si="102"/>
        <v/>
      </c>
      <c r="AV75" s="21" t="str">
        <f t="shared" si="103"/>
        <v>Apprenant 63 ou 63'</v>
      </c>
      <c r="AW75" s="49" t="str">
        <f>IF(AND('Choix pédagogiques'!$C$4&lt;&gt;"?",'Choix pédagogiques'!$C$5&lt;&gt;"?",AB75&lt;&gt;""),(AB75-'Choix pédagogiques'!$C$4)/('Choix pédagogiques'!$C$5-'Choix pédagogiques'!$C$4),"")</f>
        <v/>
      </c>
      <c r="AX75" s="49" t="str">
        <f>IF(AND('Choix pédagogiques'!$C$4&lt;&gt;"?",'Choix pédagogiques'!$C$5&lt;&gt;"?",AC75&lt;&gt;""),(AC75-'Choix pédagogiques'!$C$4)/('Choix pédagogiques'!$C$5-'Choix pédagogiques'!$C$4),"")</f>
        <v/>
      </c>
      <c r="AY75" s="49" t="str">
        <f>IF(AND('Choix pédagogiques'!$C$4&lt;&gt;"?",'Choix pédagogiques'!$C$5&lt;&gt;"?",AD75&lt;&gt;""),(AD75-'Choix pédagogiques'!$C$4)/('Choix pédagogiques'!$C$5-'Choix pédagogiques'!$C$4),"")</f>
        <v/>
      </c>
      <c r="AZ75" s="22" t="str">
        <f t="shared" si="104"/>
        <v/>
      </c>
      <c r="BA75" s="21" t="str">
        <f t="shared" si="105"/>
        <v>Apprenant 63</v>
      </c>
      <c r="BB75" s="49" t="str">
        <f t="shared" si="77"/>
        <v/>
      </c>
      <c r="BC75" s="49" t="str">
        <f t="shared" si="78"/>
        <v/>
      </c>
      <c r="BD75" s="49" t="str">
        <f t="shared" si="79"/>
        <v/>
      </c>
      <c r="BE75" s="22" t="str">
        <f t="shared" si="106"/>
        <v/>
      </c>
      <c r="BF75" s="21" t="str">
        <f t="shared" si="107"/>
        <v>Apprenant 63 ou 63'</v>
      </c>
      <c r="BG75" s="49" t="str">
        <f t="shared" si="80"/>
        <v/>
      </c>
      <c r="BH75" s="49" t="str">
        <f t="shared" si="81"/>
        <v/>
      </c>
      <c r="BI75" s="49" t="str">
        <f t="shared" si="82"/>
        <v/>
      </c>
      <c r="BJ75" s="22" t="str">
        <f t="shared" si="108"/>
        <v/>
      </c>
      <c r="BL75" s="21"/>
      <c r="BM75" s="21" t="str">
        <f>IF(OR(COUNT(B75:D1074)=0,AND('Choix pédagogiques'!$C$3&lt;&gt;1,'Choix pédagogiques'!$C$3&lt;&gt;2)),"",IF(AND(OR('Choix pédagogiques'!$C$3=1,'Choix pédagogiques'!$C$3=2),$B75&lt;&gt;"",$C75&lt;&gt;"",$D75&lt;&gt;""),1,0))</f>
        <v/>
      </c>
      <c r="BN75" s="21" t="str">
        <f>IF(OR(COUNT(G75:I1074)=0,AND('Choix pédagogiques'!$C$3&lt;&gt;1,'Choix pédagogiques'!$C$3&lt;&gt;2)),"",IF(AND(OR('Choix pédagogiques'!$C$3=1,'Choix pédagogiques'!$C$3=2),AND($G75&lt;&gt;"",$H75&lt;&gt;"",$I75&lt;&gt;"")),1,0))</f>
        <v/>
      </c>
      <c r="BO75" s="21" t="str">
        <f>IF(OR(COUNT(B75:D1074)=0,COUNT(G75:I1074)=0,'Choix pédagogiques'!C$3&lt;&gt;3),"",IF(AND('Choix pédagogiques'!$C$3=3,$B75&lt;&gt;"",$C75&lt;&gt;"",$D75&lt;&gt;"",$G75&lt;&gt;"",$H75&lt;&gt;"",$I75&lt;&gt;""),1,0))</f>
        <v/>
      </c>
      <c r="BR75" s="21">
        <v>330</v>
      </c>
      <c r="BS75" s="21">
        <v>1371</v>
      </c>
      <c r="BT75"/>
    </row>
    <row r="76" spans="1:72" s="23" customFormat="1" ht="18" customHeight="1" x14ac:dyDescent="0.3">
      <c r="A76" s="35" t="s">
        <v>66</v>
      </c>
      <c r="B76" s="37"/>
      <c r="C76" s="37"/>
      <c r="D76" s="37"/>
      <c r="E76" s="37"/>
      <c r="F76" s="35" t="s">
        <v>1074</v>
      </c>
      <c r="G76" s="36"/>
      <c r="H76" s="36"/>
      <c r="I76" s="36"/>
      <c r="J76" s="37"/>
      <c r="K76" s="21" t="str">
        <f t="shared" si="83"/>
        <v>Apprenant 64</v>
      </c>
      <c r="L76" s="22" t="str">
        <f t="shared" si="84"/>
        <v/>
      </c>
      <c r="M76" s="22" t="str">
        <f t="shared" si="85"/>
        <v/>
      </c>
      <c r="N76" s="22" t="str">
        <f t="shared" si="86"/>
        <v/>
      </c>
      <c r="O76" s="22" t="str">
        <f t="shared" si="87"/>
        <v/>
      </c>
      <c r="P76" s="21" t="str">
        <f t="shared" si="88"/>
        <v>Apprenant 64 ou 64'</v>
      </c>
      <c r="Q76" s="22" t="str">
        <f t="shared" si="89"/>
        <v/>
      </c>
      <c r="R76" s="22" t="str">
        <f t="shared" si="90"/>
        <v/>
      </c>
      <c r="S76" s="22" t="str">
        <f t="shared" si="91"/>
        <v/>
      </c>
      <c r="T76" s="22" t="str">
        <f t="shared" si="92"/>
        <v/>
      </c>
      <c r="V76" s="21" t="str">
        <f t="shared" si="93"/>
        <v>Apprenant 64</v>
      </c>
      <c r="W76" s="22" t="str">
        <f>IF(AND(OR('Choix pédagogiques'!$C$3=1,'Choix pédagogiques'!$C$3=2),$BM76=1),B76,IF(AND('Choix pédagogiques'!$C$3=3,$BO76=1),B76,""))</f>
        <v/>
      </c>
      <c r="X76" s="22" t="str">
        <f>IF(AND(OR('Choix pédagogiques'!$C$3=1,'Choix pédagogiques'!$C$3=2),$BM76=1),C76,IF(AND('Choix pédagogiques'!$C$3=3,$BO76=1),C76,""))</f>
        <v/>
      </c>
      <c r="Y76" s="22" t="str">
        <f>IF(AND(OR('Choix pédagogiques'!$C$3=1,'Choix pédagogiques'!$C$3=2),$BM76=1),D76,IF(AND('Choix pédagogiques'!$C$3=3,$BO76=1),D76,""))</f>
        <v/>
      </c>
      <c r="Z76" s="22" t="str">
        <f t="shared" si="94"/>
        <v/>
      </c>
      <c r="AA76" s="21" t="str">
        <f t="shared" si="95"/>
        <v>Apprenant 64 ou 64'</v>
      </c>
      <c r="AB76" s="22" t="str">
        <f>IF(AND(OR('Choix pédagogiques'!$C$3=1,'Choix pédagogiques'!$C$3=2),$BN76=1),G76,IF(AND('Choix pédagogiques'!$C$3=3,$BO76=1),G76,""))</f>
        <v/>
      </c>
      <c r="AC76" s="22" t="str">
        <f>IF(AND(OR('Choix pédagogiques'!$C$3=1,'Choix pédagogiques'!$C$3=2),$BN76=1),H76,IF(AND('Choix pédagogiques'!$C$3=3,$BO76=1),H76,""))</f>
        <v/>
      </c>
      <c r="AD76" s="22" t="str">
        <f>IF(AND(OR('Choix pédagogiques'!$C$3=1,'Choix pédagogiques'!$C$3=2),$BN76=1),I76,IF(AND('Choix pédagogiques'!$C$3=3,$BO76=1),I76,""))</f>
        <v/>
      </c>
      <c r="AE76" s="22" t="str">
        <f t="shared" si="96"/>
        <v/>
      </c>
      <c r="AF76" s="21" t="str">
        <f t="shared" si="97"/>
        <v>Apprenant 64</v>
      </c>
      <c r="AG76" s="22" t="str">
        <f t="shared" si="71"/>
        <v/>
      </c>
      <c r="AH76" s="22" t="str">
        <f t="shared" si="72"/>
        <v/>
      </c>
      <c r="AI76" s="22" t="str">
        <f t="shared" si="73"/>
        <v/>
      </c>
      <c r="AJ76" s="22" t="str">
        <f t="shared" si="98"/>
        <v/>
      </c>
      <c r="AK76" s="21" t="str">
        <f t="shared" si="99"/>
        <v>Apprenant 64 ou 64'</v>
      </c>
      <c r="AL76" s="22" t="str">
        <f t="shared" si="74"/>
        <v/>
      </c>
      <c r="AM76" s="22" t="str">
        <f t="shared" si="75"/>
        <v/>
      </c>
      <c r="AN76" s="22" t="str">
        <f t="shared" si="76"/>
        <v/>
      </c>
      <c r="AO76" s="22" t="str">
        <f t="shared" si="100"/>
        <v/>
      </c>
      <c r="AQ76" s="21" t="str">
        <f t="shared" si="101"/>
        <v>Apprenant 64</v>
      </c>
      <c r="AR76" s="49" t="str">
        <f>IF(AND('Choix pédagogiques'!$C$4&lt;&gt;"?",'Choix pédagogiques'!$C$5&lt;&gt;"?",W76&lt;&gt;""),(W76-'Choix pédagogiques'!$C$4)/('Choix pédagogiques'!$C$5-'Choix pédagogiques'!$C$4),"")</f>
        <v/>
      </c>
      <c r="AS76" s="49" t="str">
        <f>IF(AND('Choix pédagogiques'!$C$4&lt;&gt;"?",'Choix pédagogiques'!$C$5&lt;&gt;"?",X76&lt;&gt;""),(X76-'Choix pédagogiques'!$C$4)/('Choix pédagogiques'!$C$5-'Choix pédagogiques'!$C$4),"")</f>
        <v/>
      </c>
      <c r="AT76" s="49" t="str">
        <f>IF(AND('Choix pédagogiques'!$C$4&lt;&gt;"?",'Choix pédagogiques'!$C$5&lt;&gt;"?",Y76&lt;&gt;""),(Y76-'Choix pédagogiques'!$C$4)/('Choix pédagogiques'!$C$5-'Choix pédagogiques'!$C$4),"")</f>
        <v/>
      </c>
      <c r="AU76" s="22" t="str">
        <f t="shared" si="102"/>
        <v/>
      </c>
      <c r="AV76" s="21" t="str">
        <f t="shared" si="103"/>
        <v>Apprenant 64 ou 64'</v>
      </c>
      <c r="AW76" s="49" t="str">
        <f>IF(AND('Choix pédagogiques'!$C$4&lt;&gt;"?",'Choix pédagogiques'!$C$5&lt;&gt;"?",AB76&lt;&gt;""),(AB76-'Choix pédagogiques'!$C$4)/('Choix pédagogiques'!$C$5-'Choix pédagogiques'!$C$4),"")</f>
        <v/>
      </c>
      <c r="AX76" s="49" t="str">
        <f>IF(AND('Choix pédagogiques'!$C$4&lt;&gt;"?",'Choix pédagogiques'!$C$5&lt;&gt;"?",AC76&lt;&gt;""),(AC76-'Choix pédagogiques'!$C$4)/('Choix pédagogiques'!$C$5-'Choix pédagogiques'!$C$4),"")</f>
        <v/>
      </c>
      <c r="AY76" s="49" t="str">
        <f>IF(AND('Choix pédagogiques'!$C$4&lt;&gt;"?",'Choix pédagogiques'!$C$5&lt;&gt;"?",AD76&lt;&gt;""),(AD76-'Choix pédagogiques'!$C$4)/('Choix pédagogiques'!$C$5-'Choix pédagogiques'!$C$4),"")</f>
        <v/>
      </c>
      <c r="AZ76" s="22" t="str">
        <f t="shared" si="104"/>
        <v/>
      </c>
      <c r="BA76" s="21" t="str">
        <f t="shared" si="105"/>
        <v>Apprenant 64</v>
      </c>
      <c r="BB76" s="49" t="str">
        <f t="shared" si="77"/>
        <v/>
      </c>
      <c r="BC76" s="49" t="str">
        <f t="shared" si="78"/>
        <v/>
      </c>
      <c r="BD76" s="49" t="str">
        <f t="shared" si="79"/>
        <v/>
      </c>
      <c r="BE76" s="22" t="str">
        <f t="shared" si="106"/>
        <v/>
      </c>
      <c r="BF76" s="21" t="str">
        <f t="shared" si="107"/>
        <v>Apprenant 64 ou 64'</v>
      </c>
      <c r="BG76" s="49" t="str">
        <f t="shared" si="80"/>
        <v/>
      </c>
      <c r="BH76" s="49" t="str">
        <f t="shared" si="81"/>
        <v/>
      </c>
      <c r="BI76" s="49" t="str">
        <f t="shared" si="82"/>
        <v/>
      </c>
      <c r="BJ76" s="22" t="str">
        <f t="shared" si="108"/>
        <v/>
      </c>
      <c r="BL76" s="21"/>
      <c r="BM76" s="21" t="str">
        <f>IF(OR(COUNT(B76:D1075)=0,AND('Choix pédagogiques'!$C$3&lt;&gt;1,'Choix pédagogiques'!$C$3&lt;&gt;2)),"",IF(AND(OR('Choix pédagogiques'!$C$3=1,'Choix pédagogiques'!$C$3=2),$B76&lt;&gt;"",$C76&lt;&gt;"",$D76&lt;&gt;""),1,0))</f>
        <v/>
      </c>
      <c r="BN76" s="21" t="str">
        <f>IF(OR(COUNT(G76:I1075)=0,AND('Choix pédagogiques'!$C$3&lt;&gt;1,'Choix pédagogiques'!$C$3&lt;&gt;2)),"",IF(AND(OR('Choix pédagogiques'!$C$3=1,'Choix pédagogiques'!$C$3=2),AND($G76&lt;&gt;"",$H76&lt;&gt;"",$I76&lt;&gt;"")),1,0))</f>
        <v/>
      </c>
      <c r="BO76" s="21" t="str">
        <f>IF(OR(COUNT(B76:D1075)=0,COUNT(G76:I1075)=0,'Choix pédagogiques'!C$3&lt;&gt;3),"",IF(AND('Choix pédagogiques'!$C$3=3,$B76&lt;&gt;"",$C76&lt;&gt;"",$D76&lt;&gt;"",$G76&lt;&gt;"",$H76&lt;&gt;"",$I76&lt;&gt;""),1,0))</f>
        <v/>
      </c>
      <c r="BR76" s="21">
        <v>905</v>
      </c>
      <c r="BS76" s="21">
        <v>1979</v>
      </c>
      <c r="BT76"/>
    </row>
    <row r="77" spans="1:72" s="23" customFormat="1" ht="18" customHeight="1" x14ac:dyDescent="0.3">
      <c r="A77" s="35" t="s">
        <v>67</v>
      </c>
      <c r="B77" s="37"/>
      <c r="C77" s="37"/>
      <c r="D77" s="37"/>
      <c r="E77" s="37"/>
      <c r="F77" s="35" t="s">
        <v>1075</v>
      </c>
      <c r="G77" s="36"/>
      <c r="H77" s="36"/>
      <c r="I77" s="36"/>
      <c r="J77" s="37"/>
      <c r="K77" s="21" t="str">
        <f t="shared" si="83"/>
        <v>Apprenant 65</v>
      </c>
      <c r="L77" s="22" t="str">
        <f t="shared" si="84"/>
        <v/>
      </c>
      <c r="M77" s="22" t="str">
        <f t="shared" si="85"/>
        <v/>
      </c>
      <c r="N77" s="22" t="str">
        <f t="shared" si="86"/>
        <v/>
      </c>
      <c r="O77" s="22" t="str">
        <f t="shared" si="87"/>
        <v/>
      </c>
      <c r="P77" s="21" t="str">
        <f t="shared" si="88"/>
        <v>Apprenant 65 ou 65'</v>
      </c>
      <c r="Q77" s="22" t="str">
        <f t="shared" si="89"/>
        <v/>
      </c>
      <c r="R77" s="22" t="str">
        <f t="shared" si="90"/>
        <v/>
      </c>
      <c r="S77" s="22" t="str">
        <f t="shared" si="91"/>
        <v/>
      </c>
      <c r="T77" s="22" t="str">
        <f t="shared" si="92"/>
        <v/>
      </c>
      <c r="V77" s="21" t="str">
        <f t="shared" si="93"/>
        <v>Apprenant 65</v>
      </c>
      <c r="W77" s="22" t="str">
        <f>IF(AND(OR('Choix pédagogiques'!$C$3=1,'Choix pédagogiques'!$C$3=2),$BM77=1),B77,IF(AND('Choix pédagogiques'!$C$3=3,$BO77=1),B77,""))</f>
        <v/>
      </c>
      <c r="X77" s="22" t="str">
        <f>IF(AND(OR('Choix pédagogiques'!$C$3=1,'Choix pédagogiques'!$C$3=2),$BM77=1),C77,IF(AND('Choix pédagogiques'!$C$3=3,$BO77=1),C77,""))</f>
        <v/>
      </c>
      <c r="Y77" s="22" t="str">
        <f>IF(AND(OR('Choix pédagogiques'!$C$3=1,'Choix pédagogiques'!$C$3=2),$BM77=1),D77,IF(AND('Choix pédagogiques'!$C$3=3,$BO77=1),D77,""))</f>
        <v/>
      </c>
      <c r="Z77" s="22" t="str">
        <f t="shared" si="94"/>
        <v/>
      </c>
      <c r="AA77" s="21" t="str">
        <f t="shared" si="95"/>
        <v>Apprenant 65 ou 65'</v>
      </c>
      <c r="AB77" s="22" t="str">
        <f>IF(AND(OR('Choix pédagogiques'!$C$3=1,'Choix pédagogiques'!$C$3=2),$BN77=1),G77,IF(AND('Choix pédagogiques'!$C$3=3,$BO77=1),G77,""))</f>
        <v/>
      </c>
      <c r="AC77" s="22" t="str">
        <f>IF(AND(OR('Choix pédagogiques'!$C$3=1,'Choix pédagogiques'!$C$3=2),$BN77=1),H77,IF(AND('Choix pédagogiques'!$C$3=3,$BO77=1),H77,""))</f>
        <v/>
      </c>
      <c r="AD77" s="22" t="str">
        <f>IF(AND(OR('Choix pédagogiques'!$C$3=1,'Choix pédagogiques'!$C$3=2),$BN77=1),I77,IF(AND('Choix pédagogiques'!$C$3=3,$BO77=1),I77,""))</f>
        <v/>
      </c>
      <c r="AE77" s="22" t="str">
        <f t="shared" si="96"/>
        <v/>
      </c>
      <c r="AF77" s="21" t="str">
        <f t="shared" si="97"/>
        <v>Apprenant 65</v>
      </c>
      <c r="AG77" s="22" t="str">
        <f t="shared" ref="AG77:AG140" si="109">IF(AND($W77&lt;&gt;"",$X77&lt;&gt;""),$X77-$W77,"")</f>
        <v/>
      </c>
      <c r="AH77" s="22" t="str">
        <f t="shared" ref="AH77:AH140" si="110">IF(AND($W77&lt;&gt;"",$Y77&lt;&gt;""),$Y77-$W77,"")</f>
        <v/>
      </c>
      <c r="AI77" s="22" t="str">
        <f t="shared" ref="AI77:AI140" si="111">IF(AND($X77&lt;&gt;"",$Y77&lt;&gt;""),$Y77-$X77,"")</f>
        <v/>
      </c>
      <c r="AJ77" s="22" t="str">
        <f t="shared" si="98"/>
        <v/>
      </c>
      <c r="AK77" s="21" t="str">
        <f t="shared" si="99"/>
        <v>Apprenant 65 ou 65'</v>
      </c>
      <c r="AL77" s="22" t="str">
        <f t="shared" ref="AL77:AL140" si="112">IF(AND($AB77&lt;&gt;"",$AC77&lt;&gt;""),$AC77-$AB77,"")</f>
        <v/>
      </c>
      <c r="AM77" s="22" t="str">
        <f t="shared" ref="AM77:AM140" si="113">IF(AND($AB77&lt;&gt;"",$AD77&lt;&gt;""),$AD77-$AB77,"")</f>
        <v/>
      </c>
      <c r="AN77" s="22" t="str">
        <f t="shared" ref="AN77:AN140" si="114">IF(AND($AC77&lt;&gt;"",$AD77&lt;&gt;""),$AD77-$AC77,"")</f>
        <v/>
      </c>
      <c r="AO77" s="22" t="str">
        <f t="shared" si="100"/>
        <v/>
      </c>
      <c r="AQ77" s="21" t="str">
        <f t="shared" si="101"/>
        <v>Apprenant 65</v>
      </c>
      <c r="AR77" s="49" t="str">
        <f>IF(AND('Choix pédagogiques'!$C$4&lt;&gt;"?",'Choix pédagogiques'!$C$5&lt;&gt;"?",W77&lt;&gt;""),(W77-'Choix pédagogiques'!$C$4)/('Choix pédagogiques'!$C$5-'Choix pédagogiques'!$C$4),"")</f>
        <v/>
      </c>
      <c r="AS77" s="49" t="str">
        <f>IF(AND('Choix pédagogiques'!$C$4&lt;&gt;"?",'Choix pédagogiques'!$C$5&lt;&gt;"?",X77&lt;&gt;""),(X77-'Choix pédagogiques'!$C$4)/('Choix pédagogiques'!$C$5-'Choix pédagogiques'!$C$4),"")</f>
        <v/>
      </c>
      <c r="AT77" s="49" t="str">
        <f>IF(AND('Choix pédagogiques'!$C$4&lt;&gt;"?",'Choix pédagogiques'!$C$5&lt;&gt;"?",Y77&lt;&gt;""),(Y77-'Choix pédagogiques'!$C$4)/('Choix pédagogiques'!$C$5-'Choix pédagogiques'!$C$4),"")</f>
        <v/>
      </c>
      <c r="AU77" s="22" t="str">
        <f t="shared" si="102"/>
        <v/>
      </c>
      <c r="AV77" s="21" t="str">
        <f t="shared" si="103"/>
        <v>Apprenant 65 ou 65'</v>
      </c>
      <c r="AW77" s="49" t="str">
        <f>IF(AND('Choix pédagogiques'!$C$4&lt;&gt;"?",'Choix pédagogiques'!$C$5&lt;&gt;"?",AB77&lt;&gt;""),(AB77-'Choix pédagogiques'!$C$4)/('Choix pédagogiques'!$C$5-'Choix pédagogiques'!$C$4),"")</f>
        <v/>
      </c>
      <c r="AX77" s="49" t="str">
        <f>IF(AND('Choix pédagogiques'!$C$4&lt;&gt;"?",'Choix pédagogiques'!$C$5&lt;&gt;"?",AC77&lt;&gt;""),(AC77-'Choix pédagogiques'!$C$4)/('Choix pédagogiques'!$C$5-'Choix pédagogiques'!$C$4),"")</f>
        <v/>
      </c>
      <c r="AY77" s="49" t="str">
        <f>IF(AND('Choix pédagogiques'!$C$4&lt;&gt;"?",'Choix pédagogiques'!$C$5&lt;&gt;"?",AD77&lt;&gt;""),(AD77-'Choix pédagogiques'!$C$4)/('Choix pédagogiques'!$C$5-'Choix pédagogiques'!$C$4),"")</f>
        <v/>
      </c>
      <c r="AZ77" s="22" t="str">
        <f t="shared" si="104"/>
        <v/>
      </c>
      <c r="BA77" s="21" t="str">
        <f t="shared" si="105"/>
        <v>Apprenant 65</v>
      </c>
      <c r="BB77" s="49" t="str">
        <f t="shared" ref="BB77:BB140" si="115">IF(AND($AR77&lt;&gt;"",$AS77&lt;&gt;""),$AS77-$AR77,"")</f>
        <v/>
      </c>
      <c r="BC77" s="49" t="str">
        <f t="shared" ref="BC77:BC140" si="116">IF(AND($AR77&lt;&gt;"",$AT77&lt;&gt;""),$AT77-$AR77,"")</f>
        <v/>
      </c>
      <c r="BD77" s="49" t="str">
        <f t="shared" ref="BD77:BD140" si="117">IF(AND($AS77&lt;&gt;"",$AT77&lt;&gt;""),$AT77-$AS77,"")</f>
        <v/>
      </c>
      <c r="BE77" s="22" t="str">
        <f t="shared" si="106"/>
        <v/>
      </c>
      <c r="BF77" s="21" t="str">
        <f t="shared" si="107"/>
        <v>Apprenant 65 ou 65'</v>
      </c>
      <c r="BG77" s="49" t="str">
        <f t="shared" ref="BG77:BG140" si="118">IF(AND($AW77&lt;&gt;"",$AX77&lt;&gt;""),$AX77-$AW77,"")</f>
        <v/>
      </c>
      <c r="BH77" s="49" t="str">
        <f t="shared" ref="BH77:BH140" si="119">IF(AND($AW77&lt;&gt;"",$AY77&lt;&gt;""),$AY77-$AW77,"")</f>
        <v/>
      </c>
      <c r="BI77" s="49" t="str">
        <f t="shared" ref="BI77:BI140" si="120">IF(AND($AX77&lt;&gt;"",$AY77&lt;&gt;""),$AY77-$AX77,"")</f>
        <v/>
      </c>
      <c r="BJ77" s="22" t="str">
        <f t="shared" si="108"/>
        <v/>
      </c>
      <c r="BL77" s="21"/>
      <c r="BM77" s="21" t="str">
        <f>IF(OR(COUNT(B77:D1076)=0,AND('Choix pédagogiques'!$C$3&lt;&gt;1,'Choix pédagogiques'!$C$3&lt;&gt;2)),"",IF(AND(OR('Choix pédagogiques'!$C$3=1,'Choix pédagogiques'!$C$3=2),$B77&lt;&gt;"",$C77&lt;&gt;"",$D77&lt;&gt;""),1,0))</f>
        <v/>
      </c>
      <c r="BN77" s="21" t="str">
        <f>IF(OR(COUNT(G77:I1076)=0,AND('Choix pédagogiques'!$C$3&lt;&gt;1,'Choix pédagogiques'!$C$3&lt;&gt;2)),"",IF(AND(OR('Choix pédagogiques'!$C$3=1,'Choix pédagogiques'!$C$3=2),AND($G77&lt;&gt;"",$H77&lt;&gt;"",$I77&lt;&gt;"")),1,0))</f>
        <v/>
      </c>
      <c r="BO77" s="21" t="str">
        <f>IF(OR(COUNT(B77:D1076)=0,COUNT(G77:I1076)=0,'Choix pédagogiques'!C$3&lt;&gt;3),"",IF(AND('Choix pédagogiques'!$C$3=3,$B77&lt;&gt;"",$C77&lt;&gt;"",$D77&lt;&gt;"",$G77&lt;&gt;"",$H77&lt;&gt;"",$I77&lt;&gt;""),1,0))</f>
        <v/>
      </c>
      <c r="BR77" s="21">
        <v>275</v>
      </c>
      <c r="BS77" s="21">
        <v>1295</v>
      </c>
      <c r="BT77"/>
    </row>
    <row r="78" spans="1:72" s="23" customFormat="1" ht="18" customHeight="1" x14ac:dyDescent="0.3">
      <c r="A78" s="35" t="s">
        <v>68</v>
      </c>
      <c r="B78" s="37"/>
      <c r="C78" s="37"/>
      <c r="D78" s="37"/>
      <c r="E78" s="37"/>
      <c r="F78" s="35" t="s">
        <v>1076</v>
      </c>
      <c r="G78" s="36"/>
      <c r="H78" s="36"/>
      <c r="I78" s="36"/>
      <c r="J78" s="37"/>
      <c r="K78" s="21" t="str">
        <f t="shared" ref="K78:K141" si="121">IF($A78&lt;&gt;"",$A78,"")</f>
        <v>Apprenant 66</v>
      </c>
      <c r="L78" s="22" t="str">
        <f t="shared" ref="L78:L141" si="122">IF(AND($B78&lt;&gt;"",$C78&lt;&gt;""),$C78-$B78,"")</f>
        <v/>
      </c>
      <c r="M78" s="22" t="str">
        <f t="shared" ref="M78:M141" si="123">IF(AND($B78&lt;&gt;"",$D78&lt;&gt;""),$D78-$B78,"")</f>
        <v/>
      </c>
      <c r="N78" s="22" t="str">
        <f t="shared" ref="N78:N141" si="124">IF(AND($C78&lt;&gt;"",$D78&lt;&gt;""),$D78-$C78,"")</f>
        <v/>
      </c>
      <c r="O78" s="22" t="str">
        <f t="shared" ref="O78:O141" si="125">IF($E78&lt;&gt;"",$E78,"")</f>
        <v/>
      </c>
      <c r="P78" s="21" t="str">
        <f t="shared" ref="P78:P141" si="126">IF($F78&lt;&gt;"",$F78,"")</f>
        <v>Apprenant 66 ou 66'</v>
      </c>
      <c r="Q78" s="22" t="str">
        <f t="shared" ref="Q78:Q141" si="127">IF(AND($G78&lt;&gt;"",$H78&lt;&gt;""),$H78-$G78,"")</f>
        <v/>
      </c>
      <c r="R78" s="22" t="str">
        <f t="shared" ref="R78:R141" si="128">IF(AND($G78&lt;&gt;"",$I78&lt;&gt;""),$I78-$G78,"")</f>
        <v/>
      </c>
      <c r="S78" s="22" t="str">
        <f t="shared" ref="S78:S141" si="129">IF(AND($H78&lt;&gt;"",$I78&lt;&gt;""),$I78-$H78,"")</f>
        <v/>
      </c>
      <c r="T78" s="22" t="str">
        <f t="shared" ref="T78:T141" si="130">IF($J78&lt;&gt;"",$J78,"")</f>
        <v/>
      </c>
      <c r="V78" s="21" t="str">
        <f t="shared" ref="V78:V141" si="131">IF($A78&lt;&gt;"",$A78,"")</f>
        <v>Apprenant 66</v>
      </c>
      <c r="W78" s="22" t="str">
        <f>IF(AND(OR('Choix pédagogiques'!$C$3=1,'Choix pédagogiques'!$C$3=2),$BM78=1),B78,IF(AND('Choix pédagogiques'!$C$3=3,$BO78=1),B78,""))</f>
        <v/>
      </c>
      <c r="X78" s="22" t="str">
        <f>IF(AND(OR('Choix pédagogiques'!$C$3=1,'Choix pédagogiques'!$C$3=2),$BM78=1),C78,IF(AND('Choix pédagogiques'!$C$3=3,$BO78=1),C78,""))</f>
        <v/>
      </c>
      <c r="Y78" s="22" t="str">
        <f>IF(AND(OR('Choix pédagogiques'!$C$3=1,'Choix pédagogiques'!$C$3=2),$BM78=1),D78,IF(AND('Choix pédagogiques'!$C$3=3,$BO78=1),D78,""))</f>
        <v/>
      </c>
      <c r="Z78" s="22" t="str">
        <f t="shared" ref="Z78:Z141" si="132">IF($E78&lt;&gt;"",$E78,"")</f>
        <v/>
      </c>
      <c r="AA78" s="21" t="str">
        <f t="shared" ref="AA78:AA141" si="133">IF($F78&lt;&gt;"",$F78,"")</f>
        <v>Apprenant 66 ou 66'</v>
      </c>
      <c r="AB78" s="22" t="str">
        <f>IF(AND(OR('Choix pédagogiques'!$C$3=1,'Choix pédagogiques'!$C$3=2),$BN78=1),G78,IF(AND('Choix pédagogiques'!$C$3=3,$BO78=1),G78,""))</f>
        <v/>
      </c>
      <c r="AC78" s="22" t="str">
        <f>IF(AND(OR('Choix pédagogiques'!$C$3=1,'Choix pédagogiques'!$C$3=2),$BN78=1),H78,IF(AND('Choix pédagogiques'!$C$3=3,$BO78=1),H78,""))</f>
        <v/>
      </c>
      <c r="AD78" s="22" t="str">
        <f>IF(AND(OR('Choix pédagogiques'!$C$3=1,'Choix pédagogiques'!$C$3=2),$BN78=1),I78,IF(AND('Choix pédagogiques'!$C$3=3,$BO78=1),I78,""))</f>
        <v/>
      </c>
      <c r="AE78" s="22" t="str">
        <f t="shared" ref="AE78:AE141" si="134">IF($J78&lt;&gt;"",$J78,"")</f>
        <v/>
      </c>
      <c r="AF78" s="21" t="str">
        <f t="shared" ref="AF78:AF141" si="135">IF($A78&lt;&gt;"",$A78,"")</f>
        <v>Apprenant 66</v>
      </c>
      <c r="AG78" s="22" t="str">
        <f t="shared" si="109"/>
        <v/>
      </c>
      <c r="AH78" s="22" t="str">
        <f t="shared" si="110"/>
        <v/>
      </c>
      <c r="AI78" s="22" t="str">
        <f t="shared" si="111"/>
        <v/>
      </c>
      <c r="AJ78" s="22" t="str">
        <f t="shared" ref="AJ78:AJ141" si="136">IF($E78&lt;&gt;"",$E78,"")</f>
        <v/>
      </c>
      <c r="AK78" s="21" t="str">
        <f t="shared" ref="AK78:AK141" si="137">IF($F78&lt;&gt;"",$F78,"")</f>
        <v>Apprenant 66 ou 66'</v>
      </c>
      <c r="AL78" s="22" t="str">
        <f t="shared" si="112"/>
        <v/>
      </c>
      <c r="AM78" s="22" t="str">
        <f t="shared" si="113"/>
        <v/>
      </c>
      <c r="AN78" s="22" t="str">
        <f t="shared" si="114"/>
        <v/>
      </c>
      <c r="AO78" s="22" t="str">
        <f t="shared" ref="AO78:AO141" si="138">IF($J78&lt;&gt;"",$J78,"")</f>
        <v/>
      </c>
      <c r="AQ78" s="21" t="str">
        <f t="shared" ref="AQ78:AQ141" si="139">IF($A78&lt;&gt;"",$A78,"")</f>
        <v>Apprenant 66</v>
      </c>
      <c r="AR78" s="49" t="str">
        <f>IF(AND('Choix pédagogiques'!$C$4&lt;&gt;"?",'Choix pédagogiques'!$C$5&lt;&gt;"?",W78&lt;&gt;""),(W78-'Choix pédagogiques'!$C$4)/('Choix pédagogiques'!$C$5-'Choix pédagogiques'!$C$4),"")</f>
        <v/>
      </c>
      <c r="AS78" s="49" t="str">
        <f>IF(AND('Choix pédagogiques'!$C$4&lt;&gt;"?",'Choix pédagogiques'!$C$5&lt;&gt;"?",X78&lt;&gt;""),(X78-'Choix pédagogiques'!$C$4)/('Choix pédagogiques'!$C$5-'Choix pédagogiques'!$C$4),"")</f>
        <v/>
      </c>
      <c r="AT78" s="49" t="str">
        <f>IF(AND('Choix pédagogiques'!$C$4&lt;&gt;"?",'Choix pédagogiques'!$C$5&lt;&gt;"?",Y78&lt;&gt;""),(Y78-'Choix pédagogiques'!$C$4)/('Choix pédagogiques'!$C$5-'Choix pédagogiques'!$C$4),"")</f>
        <v/>
      </c>
      <c r="AU78" s="22" t="str">
        <f t="shared" ref="AU78:AU141" si="140">IF($E78&lt;&gt;"",$E78,"")</f>
        <v/>
      </c>
      <c r="AV78" s="21" t="str">
        <f t="shared" ref="AV78:AV141" si="141">IF($F78&lt;&gt;"",$F78,"")</f>
        <v>Apprenant 66 ou 66'</v>
      </c>
      <c r="AW78" s="49" t="str">
        <f>IF(AND('Choix pédagogiques'!$C$4&lt;&gt;"?",'Choix pédagogiques'!$C$5&lt;&gt;"?",AB78&lt;&gt;""),(AB78-'Choix pédagogiques'!$C$4)/('Choix pédagogiques'!$C$5-'Choix pédagogiques'!$C$4),"")</f>
        <v/>
      </c>
      <c r="AX78" s="49" t="str">
        <f>IF(AND('Choix pédagogiques'!$C$4&lt;&gt;"?",'Choix pédagogiques'!$C$5&lt;&gt;"?",AC78&lt;&gt;""),(AC78-'Choix pédagogiques'!$C$4)/('Choix pédagogiques'!$C$5-'Choix pédagogiques'!$C$4),"")</f>
        <v/>
      </c>
      <c r="AY78" s="49" t="str">
        <f>IF(AND('Choix pédagogiques'!$C$4&lt;&gt;"?",'Choix pédagogiques'!$C$5&lt;&gt;"?",AD78&lt;&gt;""),(AD78-'Choix pédagogiques'!$C$4)/('Choix pédagogiques'!$C$5-'Choix pédagogiques'!$C$4),"")</f>
        <v/>
      </c>
      <c r="AZ78" s="22" t="str">
        <f t="shared" ref="AZ78:AZ141" si="142">IF($J78&lt;&gt;"",$J78,"")</f>
        <v/>
      </c>
      <c r="BA78" s="21" t="str">
        <f t="shared" ref="BA78:BA141" si="143">IF($A78&lt;&gt;"",$A78,"")</f>
        <v>Apprenant 66</v>
      </c>
      <c r="BB78" s="49" t="str">
        <f t="shared" si="115"/>
        <v/>
      </c>
      <c r="BC78" s="49" t="str">
        <f t="shared" si="116"/>
        <v/>
      </c>
      <c r="BD78" s="49" t="str">
        <f t="shared" si="117"/>
        <v/>
      </c>
      <c r="BE78" s="22" t="str">
        <f t="shared" ref="BE78:BE141" si="144">IF($E78&lt;&gt;"",$E78,"")</f>
        <v/>
      </c>
      <c r="BF78" s="21" t="str">
        <f t="shared" ref="BF78:BF141" si="145">IF($F78&lt;&gt;"",$F78,"")</f>
        <v>Apprenant 66 ou 66'</v>
      </c>
      <c r="BG78" s="49" t="str">
        <f t="shared" si="118"/>
        <v/>
      </c>
      <c r="BH78" s="49" t="str">
        <f t="shared" si="119"/>
        <v/>
      </c>
      <c r="BI78" s="49" t="str">
        <f t="shared" si="120"/>
        <v/>
      </c>
      <c r="BJ78" s="22" t="str">
        <f t="shared" ref="BJ78:BJ141" si="146">IF($J78&lt;&gt;"",$J78,"")</f>
        <v/>
      </c>
      <c r="BL78" s="21"/>
      <c r="BM78" s="21" t="str">
        <f>IF(OR(COUNT(B78:D1077)=0,AND('Choix pédagogiques'!$C$3&lt;&gt;1,'Choix pédagogiques'!$C$3&lt;&gt;2)),"",IF(AND(OR('Choix pédagogiques'!$C$3=1,'Choix pédagogiques'!$C$3=2),$B78&lt;&gt;"",$C78&lt;&gt;"",$D78&lt;&gt;""),1,0))</f>
        <v/>
      </c>
      <c r="BN78" s="21" t="str">
        <f>IF(OR(COUNT(G78:I1077)=0,AND('Choix pédagogiques'!$C$3&lt;&gt;1,'Choix pédagogiques'!$C$3&lt;&gt;2)),"",IF(AND(OR('Choix pédagogiques'!$C$3=1,'Choix pédagogiques'!$C$3=2),AND($G78&lt;&gt;"",$H78&lt;&gt;"",$I78&lt;&gt;"")),1,0))</f>
        <v/>
      </c>
      <c r="BO78" s="21" t="str">
        <f>IF(OR(COUNT(B78:D1077)=0,COUNT(G78:I1077)=0,'Choix pédagogiques'!C$3&lt;&gt;3),"",IF(AND('Choix pédagogiques'!$C$3=3,$B78&lt;&gt;"",$C78&lt;&gt;"",$D78&lt;&gt;"",$G78&lt;&gt;"",$H78&lt;&gt;"",$I78&lt;&gt;""),1,0))</f>
        <v/>
      </c>
      <c r="BR78" s="21">
        <v>594</v>
      </c>
      <c r="BS78" s="21">
        <v>1330</v>
      </c>
      <c r="BT78"/>
    </row>
    <row r="79" spans="1:72" s="23" customFormat="1" ht="18" customHeight="1" x14ac:dyDescent="0.3">
      <c r="A79" s="35" t="s">
        <v>69</v>
      </c>
      <c r="B79" s="37"/>
      <c r="C79" s="37"/>
      <c r="D79" s="37"/>
      <c r="E79" s="37"/>
      <c r="F79" s="35" t="s">
        <v>1077</v>
      </c>
      <c r="G79" s="36"/>
      <c r="H79" s="36"/>
      <c r="I79" s="36"/>
      <c r="J79" s="37"/>
      <c r="K79" s="21" t="str">
        <f t="shared" si="121"/>
        <v>Apprenant 67</v>
      </c>
      <c r="L79" s="22" t="str">
        <f t="shared" si="122"/>
        <v/>
      </c>
      <c r="M79" s="22" t="str">
        <f t="shared" si="123"/>
        <v/>
      </c>
      <c r="N79" s="22" t="str">
        <f t="shared" si="124"/>
        <v/>
      </c>
      <c r="O79" s="22" t="str">
        <f t="shared" si="125"/>
        <v/>
      </c>
      <c r="P79" s="21" t="str">
        <f t="shared" si="126"/>
        <v>Apprenant 67 ou 67'</v>
      </c>
      <c r="Q79" s="22" t="str">
        <f t="shared" si="127"/>
        <v/>
      </c>
      <c r="R79" s="22" t="str">
        <f t="shared" si="128"/>
        <v/>
      </c>
      <c r="S79" s="22" t="str">
        <f t="shared" si="129"/>
        <v/>
      </c>
      <c r="T79" s="22" t="str">
        <f t="shared" si="130"/>
        <v/>
      </c>
      <c r="V79" s="21" t="str">
        <f t="shared" si="131"/>
        <v>Apprenant 67</v>
      </c>
      <c r="W79" s="22" t="str">
        <f>IF(AND(OR('Choix pédagogiques'!$C$3=1,'Choix pédagogiques'!$C$3=2),$BM79=1),B79,IF(AND('Choix pédagogiques'!$C$3=3,$BO79=1),B79,""))</f>
        <v/>
      </c>
      <c r="X79" s="22" t="str">
        <f>IF(AND(OR('Choix pédagogiques'!$C$3=1,'Choix pédagogiques'!$C$3=2),$BM79=1),C79,IF(AND('Choix pédagogiques'!$C$3=3,$BO79=1),C79,""))</f>
        <v/>
      </c>
      <c r="Y79" s="22" t="str">
        <f>IF(AND(OR('Choix pédagogiques'!$C$3=1,'Choix pédagogiques'!$C$3=2),$BM79=1),D79,IF(AND('Choix pédagogiques'!$C$3=3,$BO79=1),D79,""))</f>
        <v/>
      </c>
      <c r="Z79" s="22" t="str">
        <f t="shared" si="132"/>
        <v/>
      </c>
      <c r="AA79" s="21" t="str">
        <f t="shared" si="133"/>
        <v>Apprenant 67 ou 67'</v>
      </c>
      <c r="AB79" s="22" t="str">
        <f>IF(AND(OR('Choix pédagogiques'!$C$3=1,'Choix pédagogiques'!$C$3=2),$BN79=1),G79,IF(AND('Choix pédagogiques'!$C$3=3,$BO79=1),G79,""))</f>
        <v/>
      </c>
      <c r="AC79" s="22" t="str">
        <f>IF(AND(OR('Choix pédagogiques'!$C$3=1,'Choix pédagogiques'!$C$3=2),$BN79=1),H79,IF(AND('Choix pédagogiques'!$C$3=3,$BO79=1),H79,""))</f>
        <v/>
      </c>
      <c r="AD79" s="22" t="str">
        <f>IF(AND(OR('Choix pédagogiques'!$C$3=1,'Choix pédagogiques'!$C$3=2),$BN79=1),I79,IF(AND('Choix pédagogiques'!$C$3=3,$BO79=1),I79,""))</f>
        <v/>
      </c>
      <c r="AE79" s="22" t="str">
        <f t="shared" si="134"/>
        <v/>
      </c>
      <c r="AF79" s="21" t="str">
        <f t="shared" si="135"/>
        <v>Apprenant 67</v>
      </c>
      <c r="AG79" s="22" t="str">
        <f t="shared" si="109"/>
        <v/>
      </c>
      <c r="AH79" s="22" t="str">
        <f t="shared" si="110"/>
        <v/>
      </c>
      <c r="AI79" s="22" t="str">
        <f t="shared" si="111"/>
        <v/>
      </c>
      <c r="AJ79" s="22" t="str">
        <f t="shared" si="136"/>
        <v/>
      </c>
      <c r="AK79" s="21" t="str">
        <f t="shared" si="137"/>
        <v>Apprenant 67 ou 67'</v>
      </c>
      <c r="AL79" s="22" t="str">
        <f t="shared" si="112"/>
        <v/>
      </c>
      <c r="AM79" s="22" t="str">
        <f t="shared" si="113"/>
        <v/>
      </c>
      <c r="AN79" s="22" t="str">
        <f t="shared" si="114"/>
        <v/>
      </c>
      <c r="AO79" s="22" t="str">
        <f t="shared" si="138"/>
        <v/>
      </c>
      <c r="AQ79" s="21" t="str">
        <f t="shared" si="139"/>
        <v>Apprenant 67</v>
      </c>
      <c r="AR79" s="49" t="str">
        <f>IF(AND('Choix pédagogiques'!$C$4&lt;&gt;"?",'Choix pédagogiques'!$C$5&lt;&gt;"?",W79&lt;&gt;""),(W79-'Choix pédagogiques'!$C$4)/('Choix pédagogiques'!$C$5-'Choix pédagogiques'!$C$4),"")</f>
        <v/>
      </c>
      <c r="AS79" s="49" t="str">
        <f>IF(AND('Choix pédagogiques'!$C$4&lt;&gt;"?",'Choix pédagogiques'!$C$5&lt;&gt;"?",X79&lt;&gt;""),(X79-'Choix pédagogiques'!$C$4)/('Choix pédagogiques'!$C$5-'Choix pédagogiques'!$C$4),"")</f>
        <v/>
      </c>
      <c r="AT79" s="49" t="str">
        <f>IF(AND('Choix pédagogiques'!$C$4&lt;&gt;"?",'Choix pédagogiques'!$C$5&lt;&gt;"?",Y79&lt;&gt;""),(Y79-'Choix pédagogiques'!$C$4)/('Choix pédagogiques'!$C$5-'Choix pédagogiques'!$C$4),"")</f>
        <v/>
      </c>
      <c r="AU79" s="22" t="str">
        <f t="shared" si="140"/>
        <v/>
      </c>
      <c r="AV79" s="21" t="str">
        <f t="shared" si="141"/>
        <v>Apprenant 67 ou 67'</v>
      </c>
      <c r="AW79" s="49" t="str">
        <f>IF(AND('Choix pédagogiques'!$C$4&lt;&gt;"?",'Choix pédagogiques'!$C$5&lt;&gt;"?",AB79&lt;&gt;""),(AB79-'Choix pédagogiques'!$C$4)/('Choix pédagogiques'!$C$5-'Choix pédagogiques'!$C$4),"")</f>
        <v/>
      </c>
      <c r="AX79" s="49" t="str">
        <f>IF(AND('Choix pédagogiques'!$C$4&lt;&gt;"?",'Choix pédagogiques'!$C$5&lt;&gt;"?",AC79&lt;&gt;""),(AC79-'Choix pédagogiques'!$C$4)/('Choix pédagogiques'!$C$5-'Choix pédagogiques'!$C$4),"")</f>
        <v/>
      </c>
      <c r="AY79" s="49" t="str">
        <f>IF(AND('Choix pédagogiques'!$C$4&lt;&gt;"?",'Choix pédagogiques'!$C$5&lt;&gt;"?",AD79&lt;&gt;""),(AD79-'Choix pédagogiques'!$C$4)/('Choix pédagogiques'!$C$5-'Choix pédagogiques'!$C$4),"")</f>
        <v/>
      </c>
      <c r="AZ79" s="22" t="str">
        <f t="shared" si="142"/>
        <v/>
      </c>
      <c r="BA79" s="21" t="str">
        <f t="shared" si="143"/>
        <v>Apprenant 67</v>
      </c>
      <c r="BB79" s="49" t="str">
        <f t="shared" si="115"/>
        <v/>
      </c>
      <c r="BC79" s="49" t="str">
        <f t="shared" si="116"/>
        <v/>
      </c>
      <c r="BD79" s="49" t="str">
        <f t="shared" si="117"/>
        <v/>
      </c>
      <c r="BE79" s="22" t="str">
        <f t="shared" si="144"/>
        <v/>
      </c>
      <c r="BF79" s="21" t="str">
        <f t="shared" si="145"/>
        <v>Apprenant 67 ou 67'</v>
      </c>
      <c r="BG79" s="49" t="str">
        <f t="shared" si="118"/>
        <v/>
      </c>
      <c r="BH79" s="49" t="str">
        <f t="shared" si="119"/>
        <v/>
      </c>
      <c r="BI79" s="49" t="str">
        <f t="shared" si="120"/>
        <v/>
      </c>
      <c r="BJ79" s="22" t="str">
        <f t="shared" si="146"/>
        <v/>
      </c>
      <c r="BL79" s="21"/>
      <c r="BM79" s="21" t="str">
        <f>IF(OR(COUNT(B79:D1078)=0,AND('Choix pédagogiques'!$C$3&lt;&gt;1,'Choix pédagogiques'!$C$3&lt;&gt;2)),"",IF(AND(OR('Choix pédagogiques'!$C$3=1,'Choix pédagogiques'!$C$3=2),$B79&lt;&gt;"",$C79&lt;&gt;"",$D79&lt;&gt;""),1,0))</f>
        <v/>
      </c>
      <c r="BN79" s="21" t="str">
        <f>IF(OR(COUNT(G79:I1078)=0,AND('Choix pédagogiques'!$C$3&lt;&gt;1,'Choix pédagogiques'!$C$3&lt;&gt;2)),"",IF(AND(OR('Choix pédagogiques'!$C$3=1,'Choix pédagogiques'!$C$3=2),AND($G79&lt;&gt;"",$H79&lt;&gt;"",$I79&lt;&gt;"")),1,0))</f>
        <v/>
      </c>
      <c r="BO79" s="21" t="str">
        <f>IF(OR(COUNT(B79:D1078)=0,COUNT(G79:I1078)=0,'Choix pédagogiques'!C$3&lt;&gt;3),"",IF(AND('Choix pédagogiques'!$C$3=3,$B79&lt;&gt;"",$C79&lt;&gt;"",$D79&lt;&gt;"",$G79&lt;&gt;"",$H79&lt;&gt;"",$I79&lt;&gt;""),1,0))</f>
        <v/>
      </c>
      <c r="BR79" s="21">
        <v>314</v>
      </c>
      <c r="BS79" s="21">
        <v>1387</v>
      </c>
      <c r="BT79"/>
    </row>
    <row r="80" spans="1:72" s="23" customFormat="1" ht="18" customHeight="1" x14ac:dyDescent="0.3">
      <c r="A80" s="35" t="s">
        <v>70</v>
      </c>
      <c r="B80" s="37"/>
      <c r="C80" s="37"/>
      <c r="D80" s="37"/>
      <c r="E80" s="37"/>
      <c r="F80" s="35" t="s">
        <v>1078</v>
      </c>
      <c r="G80" s="36"/>
      <c r="H80" s="36"/>
      <c r="I80" s="36"/>
      <c r="J80" s="37"/>
      <c r="K80" s="21" t="str">
        <f t="shared" si="121"/>
        <v>Apprenant 68</v>
      </c>
      <c r="L80" s="22" t="str">
        <f t="shared" si="122"/>
        <v/>
      </c>
      <c r="M80" s="22" t="str">
        <f t="shared" si="123"/>
        <v/>
      </c>
      <c r="N80" s="22" t="str">
        <f t="shared" si="124"/>
        <v/>
      </c>
      <c r="O80" s="22" t="str">
        <f t="shared" si="125"/>
        <v/>
      </c>
      <c r="P80" s="21" t="str">
        <f t="shared" si="126"/>
        <v>Apprenant 68 ou 68'</v>
      </c>
      <c r="Q80" s="22" t="str">
        <f t="shared" si="127"/>
        <v/>
      </c>
      <c r="R80" s="22" t="str">
        <f t="shared" si="128"/>
        <v/>
      </c>
      <c r="S80" s="22" t="str">
        <f t="shared" si="129"/>
        <v/>
      </c>
      <c r="T80" s="22" t="str">
        <f t="shared" si="130"/>
        <v/>
      </c>
      <c r="V80" s="21" t="str">
        <f t="shared" si="131"/>
        <v>Apprenant 68</v>
      </c>
      <c r="W80" s="22" t="str">
        <f>IF(AND(OR('Choix pédagogiques'!$C$3=1,'Choix pédagogiques'!$C$3=2),$BM80=1),B80,IF(AND('Choix pédagogiques'!$C$3=3,$BO80=1),B80,""))</f>
        <v/>
      </c>
      <c r="X80" s="22" t="str">
        <f>IF(AND(OR('Choix pédagogiques'!$C$3=1,'Choix pédagogiques'!$C$3=2),$BM80=1),C80,IF(AND('Choix pédagogiques'!$C$3=3,$BO80=1),C80,""))</f>
        <v/>
      </c>
      <c r="Y80" s="22" t="str">
        <f>IF(AND(OR('Choix pédagogiques'!$C$3=1,'Choix pédagogiques'!$C$3=2),$BM80=1),D80,IF(AND('Choix pédagogiques'!$C$3=3,$BO80=1),D80,""))</f>
        <v/>
      </c>
      <c r="Z80" s="22" t="str">
        <f t="shared" si="132"/>
        <v/>
      </c>
      <c r="AA80" s="21" t="str">
        <f t="shared" si="133"/>
        <v>Apprenant 68 ou 68'</v>
      </c>
      <c r="AB80" s="22" t="str">
        <f>IF(AND(OR('Choix pédagogiques'!$C$3=1,'Choix pédagogiques'!$C$3=2),$BN80=1),G80,IF(AND('Choix pédagogiques'!$C$3=3,$BO80=1),G80,""))</f>
        <v/>
      </c>
      <c r="AC80" s="22" t="str">
        <f>IF(AND(OR('Choix pédagogiques'!$C$3=1,'Choix pédagogiques'!$C$3=2),$BN80=1),H80,IF(AND('Choix pédagogiques'!$C$3=3,$BO80=1),H80,""))</f>
        <v/>
      </c>
      <c r="AD80" s="22" t="str">
        <f>IF(AND(OR('Choix pédagogiques'!$C$3=1,'Choix pédagogiques'!$C$3=2),$BN80=1),I80,IF(AND('Choix pédagogiques'!$C$3=3,$BO80=1),I80,""))</f>
        <v/>
      </c>
      <c r="AE80" s="22" t="str">
        <f t="shared" si="134"/>
        <v/>
      </c>
      <c r="AF80" s="21" t="str">
        <f t="shared" si="135"/>
        <v>Apprenant 68</v>
      </c>
      <c r="AG80" s="22" t="str">
        <f t="shared" si="109"/>
        <v/>
      </c>
      <c r="AH80" s="22" t="str">
        <f t="shared" si="110"/>
        <v/>
      </c>
      <c r="AI80" s="22" t="str">
        <f t="shared" si="111"/>
        <v/>
      </c>
      <c r="AJ80" s="22" t="str">
        <f t="shared" si="136"/>
        <v/>
      </c>
      <c r="AK80" s="21" t="str">
        <f t="shared" si="137"/>
        <v>Apprenant 68 ou 68'</v>
      </c>
      <c r="AL80" s="22" t="str">
        <f t="shared" si="112"/>
        <v/>
      </c>
      <c r="AM80" s="22" t="str">
        <f t="shared" si="113"/>
        <v/>
      </c>
      <c r="AN80" s="22" t="str">
        <f t="shared" si="114"/>
        <v/>
      </c>
      <c r="AO80" s="22" t="str">
        <f t="shared" si="138"/>
        <v/>
      </c>
      <c r="AQ80" s="21" t="str">
        <f t="shared" si="139"/>
        <v>Apprenant 68</v>
      </c>
      <c r="AR80" s="49" t="str">
        <f>IF(AND('Choix pédagogiques'!$C$4&lt;&gt;"?",'Choix pédagogiques'!$C$5&lt;&gt;"?",W80&lt;&gt;""),(W80-'Choix pédagogiques'!$C$4)/('Choix pédagogiques'!$C$5-'Choix pédagogiques'!$C$4),"")</f>
        <v/>
      </c>
      <c r="AS80" s="49" t="str">
        <f>IF(AND('Choix pédagogiques'!$C$4&lt;&gt;"?",'Choix pédagogiques'!$C$5&lt;&gt;"?",X80&lt;&gt;""),(X80-'Choix pédagogiques'!$C$4)/('Choix pédagogiques'!$C$5-'Choix pédagogiques'!$C$4),"")</f>
        <v/>
      </c>
      <c r="AT80" s="49" t="str">
        <f>IF(AND('Choix pédagogiques'!$C$4&lt;&gt;"?",'Choix pédagogiques'!$C$5&lt;&gt;"?",Y80&lt;&gt;""),(Y80-'Choix pédagogiques'!$C$4)/('Choix pédagogiques'!$C$5-'Choix pédagogiques'!$C$4),"")</f>
        <v/>
      </c>
      <c r="AU80" s="22" t="str">
        <f t="shared" si="140"/>
        <v/>
      </c>
      <c r="AV80" s="21" t="str">
        <f t="shared" si="141"/>
        <v>Apprenant 68 ou 68'</v>
      </c>
      <c r="AW80" s="49" t="str">
        <f>IF(AND('Choix pédagogiques'!$C$4&lt;&gt;"?",'Choix pédagogiques'!$C$5&lt;&gt;"?",AB80&lt;&gt;""),(AB80-'Choix pédagogiques'!$C$4)/('Choix pédagogiques'!$C$5-'Choix pédagogiques'!$C$4),"")</f>
        <v/>
      </c>
      <c r="AX80" s="49" t="str">
        <f>IF(AND('Choix pédagogiques'!$C$4&lt;&gt;"?",'Choix pédagogiques'!$C$5&lt;&gt;"?",AC80&lt;&gt;""),(AC80-'Choix pédagogiques'!$C$4)/('Choix pédagogiques'!$C$5-'Choix pédagogiques'!$C$4),"")</f>
        <v/>
      </c>
      <c r="AY80" s="49" t="str">
        <f>IF(AND('Choix pédagogiques'!$C$4&lt;&gt;"?",'Choix pédagogiques'!$C$5&lt;&gt;"?",AD80&lt;&gt;""),(AD80-'Choix pédagogiques'!$C$4)/('Choix pédagogiques'!$C$5-'Choix pédagogiques'!$C$4),"")</f>
        <v/>
      </c>
      <c r="AZ80" s="22" t="str">
        <f t="shared" si="142"/>
        <v/>
      </c>
      <c r="BA80" s="21" t="str">
        <f t="shared" si="143"/>
        <v>Apprenant 68</v>
      </c>
      <c r="BB80" s="49" t="str">
        <f t="shared" si="115"/>
        <v/>
      </c>
      <c r="BC80" s="49" t="str">
        <f t="shared" si="116"/>
        <v/>
      </c>
      <c r="BD80" s="49" t="str">
        <f t="shared" si="117"/>
        <v/>
      </c>
      <c r="BE80" s="22" t="str">
        <f t="shared" si="144"/>
        <v/>
      </c>
      <c r="BF80" s="21" t="str">
        <f t="shared" si="145"/>
        <v>Apprenant 68 ou 68'</v>
      </c>
      <c r="BG80" s="49" t="str">
        <f t="shared" si="118"/>
        <v/>
      </c>
      <c r="BH80" s="49" t="str">
        <f t="shared" si="119"/>
        <v/>
      </c>
      <c r="BI80" s="49" t="str">
        <f t="shared" si="120"/>
        <v/>
      </c>
      <c r="BJ80" s="22" t="str">
        <f t="shared" si="146"/>
        <v/>
      </c>
      <c r="BL80" s="21"/>
      <c r="BM80" s="21" t="str">
        <f>IF(OR(COUNT(B80:D1079)=0,AND('Choix pédagogiques'!$C$3&lt;&gt;1,'Choix pédagogiques'!$C$3&lt;&gt;2)),"",IF(AND(OR('Choix pédagogiques'!$C$3=1,'Choix pédagogiques'!$C$3=2),$B80&lt;&gt;"",$C80&lt;&gt;"",$D80&lt;&gt;""),1,0))</f>
        <v/>
      </c>
      <c r="BN80" s="21" t="str">
        <f>IF(OR(COUNT(G80:I1079)=0,AND('Choix pédagogiques'!$C$3&lt;&gt;1,'Choix pédagogiques'!$C$3&lt;&gt;2)),"",IF(AND(OR('Choix pédagogiques'!$C$3=1,'Choix pédagogiques'!$C$3=2),AND($G80&lt;&gt;"",$H80&lt;&gt;"",$I80&lt;&gt;"")),1,0))</f>
        <v/>
      </c>
      <c r="BO80" s="21" t="str">
        <f>IF(OR(COUNT(B80:D1079)=0,COUNT(G80:I1079)=0,'Choix pédagogiques'!C$3&lt;&gt;3),"",IF(AND('Choix pédagogiques'!$C$3=3,$B80&lt;&gt;"",$C80&lt;&gt;"",$D80&lt;&gt;"",$G80&lt;&gt;"",$H80&lt;&gt;"",$I80&lt;&gt;""),1,0))</f>
        <v/>
      </c>
      <c r="BR80" s="21">
        <v>811</v>
      </c>
      <c r="BS80" s="21">
        <v>1556</v>
      </c>
      <c r="BT80"/>
    </row>
    <row r="81" spans="1:72" s="23" customFormat="1" ht="18" customHeight="1" x14ac:dyDescent="0.3">
      <c r="A81" s="35" t="s">
        <v>71</v>
      </c>
      <c r="B81" s="37"/>
      <c r="C81" s="37"/>
      <c r="D81" s="37"/>
      <c r="E81" s="37"/>
      <c r="F81" s="35" t="s">
        <v>1079</v>
      </c>
      <c r="G81" s="36"/>
      <c r="H81" s="36"/>
      <c r="I81" s="36"/>
      <c r="J81" s="37"/>
      <c r="K81" s="21" t="str">
        <f t="shared" si="121"/>
        <v>Apprenant 69</v>
      </c>
      <c r="L81" s="22" t="str">
        <f t="shared" si="122"/>
        <v/>
      </c>
      <c r="M81" s="22" t="str">
        <f t="shared" si="123"/>
        <v/>
      </c>
      <c r="N81" s="22" t="str">
        <f t="shared" si="124"/>
        <v/>
      </c>
      <c r="O81" s="22" t="str">
        <f t="shared" si="125"/>
        <v/>
      </c>
      <c r="P81" s="21" t="str">
        <f t="shared" si="126"/>
        <v>Apprenant 69 ou 69'</v>
      </c>
      <c r="Q81" s="22" t="str">
        <f t="shared" si="127"/>
        <v/>
      </c>
      <c r="R81" s="22" t="str">
        <f t="shared" si="128"/>
        <v/>
      </c>
      <c r="S81" s="22" t="str">
        <f t="shared" si="129"/>
        <v/>
      </c>
      <c r="T81" s="22" t="str">
        <f t="shared" si="130"/>
        <v/>
      </c>
      <c r="V81" s="21" t="str">
        <f t="shared" si="131"/>
        <v>Apprenant 69</v>
      </c>
      <c r="W81" s="22" t="str">
        <f>IF(AND(OR('Choix pédagogiques'!$C$3=1,'Choix pédagogiques'!$C$3=2),$BM81=1),B81,IF(AND('Choix pédagogiques'!$C$3=3,$BO81=1),B81,""))</f>
        <v/>
      </c>
      <c r="X81" s="22" t="str">
        <f>IF(AND(OR('Choix pédagogiques'!$C$3=1,'Choix pédagogiques'!$C$3=2),$BM81=1),C81,IF(AND('Choix pédagogiques'!$C$3=3,$BO81=1),C81,""))</f>
        <v/>
      </c>
      <c r="Y81" s="22" t="str">
        <f>IF(AND(OR('Choix pédagogiques'!$C$3=1,'Choix pédagogiques'!$C$3=2),$BM81=1),D81,IF(AND('Choix pédagogiques'!$C$3=3,$BO81=1),D81,""))</f>
        <v/>
      </c>
      <c r="Z81" s="22" t="str">
        <f t="shared" si="132"/>
        <v/>
      </c>
      <c r="AA81" s="21" t="str">
        <f t="shared" si="133"/>
        <v>Apprenant 69 ou 69'</v>
      </c>
      <c r="AB81" s="22" t="str">
        <f>IF(AND(OR('Choix pédagogiques'!$C$3=1,'Choix pédagogiques'!$C$3=2),$BN81=1),G81,IF(AND('Choix pédagogiques'!$C$3=3,$BO81=1),G81,""))</f>
        <v/>
      </c>
      <c r="AC81" s="22" t="str">
        <f>IF(AND(OR('Choix pédagogiques'!$C$3=1,'Choix pédagogiques'!$C$3=2),$BN81=1),H81,IF(AND('Choix pédagogiques'!$C$3=3,$BO81=1),H81,""))</f>
        <v/>
      </c>
      <c r="AD81" s="22" t="str">
        <f>IF(AND(OR('Choix pédagogiques'!$C$3=1,'Choix pédagogiques'!$C$3=2),$BN81=1),I81,IF(AND('Choix pédagogiques'!$C$3=3,$BO81=1),I81,""))</f>
        <v/>
      </c>
      <c r="AE81" s="22" t="str">
        <f t="shared" si="134"/>
        <v/>
      </c>
      <c r="AF81" s="21" t="str">
        <f t="shared" si="135"/>
        <v>Apprenant 69</v>
      </c>
      <c r="AG81" s="22" t="str">
        <f t="shared" si="109"/>
        <v/>
      </c>
      <c r="AH81" s="22" t="str">
        <f t="shared" si="110"/>
        <v/>
      </c>
      <c r="AI81" s="22" t="str">
        <f t="shared" si="111"/>
        <v/>
      </c>
      <c r="AJ81" s="22" t="str">
        <f t="shared" si="136"/>
        <v/>
      </c>
      <c r="AK81" s="21" t="str">
        <f t="shared" si="137"/>
        <v>Apprenant 69 ou 69'</v>
      </c>
      <c r="AL81" s="22" t="str">
        <f t="shared" si="112"/>
        <v/>
      </c>
      <c r="AM81" s="22" t="str">
        <f t="shared" si="113"/>
        <v/>
      </c>
      <c r="AN81" s="22" t="str">
        <f t="shared" si="114"/>
        <v/>
      </c>
      <c r="AO81" s="22" t="str">
        <f t="shared" si="138"/>
        <v/>
      </c>
      <c r="AQ81" s="21" t="str">
        <f t="shared" si="139"/>
        <v>Apprenant 69</v>
      </c>
      <c r="AR81" s="49" t="str">
        <f>IF(AND('Choix pédagogiques'!$C$4&lt;&gt;"?",'Choix pédagogiques'!$C$5&lt;&gt;"?",W81&lt;&gt;""),(W81-'Choix pédagogiques'!$C$4)/('Choix pédagogiques'!$C$5-'Choix pédagogiques'!$C$4),"")</f>
        <v/>
      </c>
      <c r="AS81" s="49" t="str">
        <f>IF(AND('Choix pédagogiques'!$C$4&lt;&gt;"?",'Choix pédagogiques'!$C$5&lt;&gt;"?",X81&lt;&gt;""),(X81-'Choix pédagogiques'!$C$4)/('Choix pédagogiques'!$C$5-'Choix pédagogiques'!$C$4),"")</f>
        <v/>
      </c>
      <c r="AT81" s="49" t="str">
        <f>IF(AND('Choix pédagogiques'!$C$4&lt;&gt;"?",'Choix pédagogiques'!$C$5&lt;&gt;"?",Y81&lt;&gt;""),(Y81-'Choix pédagogiques'!$C$4)/('Choix pédagogiques'!$C$5-'Choix pédagogiques'!$C$4),"")</f>
        <v/>
      </c>
      <c r="AU81" s="22" t="str">
        <f t="shared" si="140"/>
        <v/>
      </c>
      <c r="AV81" s="21" t="str">
        <f t="shared" si="141"/>
        <v>Apprenant 69 ou 69'</v>
      </c>
      <c r="AW81" s="49" t="str">
        <f>IF(AND('Choix pédagogiques'!$C$4&lt;&gt;"?",'Choix pédagogiques'!$C$5&lt;&gt;"?",AB81&lt;&gt;""),(AB81-'Choix pédagogiques'!$C$4)/('Choix pédagogiques'!$C$5-'Choix pédagogiques'!$C$4),"")</f>
        <v/>
      </c>
      <c r="AX81" s="49" t="str">
        <f>IF(AND('Choix pédagogiques'!$C$4&lt;&gt;"?",'Choix pédagogiques'!$C$5&lt;&gt;"?",AC81&lt;&gt;""),(AC81-'Choix pédagogiques'!$C$4)/('Choix pédagogiques'!$C$5-'Choix pédagogiques'!$C$4),"")</f>
        <v/>
      </c>
      <c r="AY81" s="49" t="str">
        <f>IF(AND('Choix pédagogiques'!$C$4&lt;&gt;"?",'Choix pédagogiques'!$C$5&lt;&gt;"?",AD81&lt;&gt;""),(AD81-'Choix pédagogiques'!$C$4)/('Choix pédagogiques'!$C$5-'Choix pédagogiques'!$C$4),"")</f>
        <v/>
      </c>
      <c r="AZ81" s="22" t="str">
        <f t="shared" si="142"/>
        <v/>
      </c>
      <c r="BA81" s="21" t="str">
        <f t="shared" si="143"/>
        <v>Apprenant 69</v>
      </c>
      <c r="BB81" s="49" t="str">
        <f t="shared" si="115"/>
        <v/>
      </c>
      <c r="BC81" s="49" t="str">
        <f t="shared" si="116"/>
        <v/>
      </c>
      <c r="BD81" s="49" t="str">
        <f t="shared" si="117"/>
        <v/>
      </c>
      <c r="BE81" s="22" t="str">
        <f t="shared" si="144"/>
        <v/>
      </c>
      <c r="BF81" s="21" t="str">
        <f t="shared" si="145"/>
        <v>Apprenant 69 ou 69'</v>
      </c>
      <c r="BG81" s="49" t="str">
        <f t="shared" si="118"/>
        <v/>
      </c>
      <c r="BH81" s="49" t="str">
        <f t="shared" si="119"/>
        <v/>
      </c>
      <c r="BI81" s="49" t="str">
        <f t="shared" si="120"/>
        <v/>
      </c>
      <c r="BJ81" s="22" t="str">
        <f t="shared" si="146"/>
        <v/>
      </c>
      <c r="BL81" s="21"/>
      <c r="BM81" s="21" t="str">
        <f>IF(OR(COUNT(B81:D1080)=0,AND('Choix pédagogiques'!$C$3&lt;&gt;1,'Choix pédagogiques'!$C$3&lt;&gt;2)),"",IF(AND(OR('Choix pédagogiques'!$C$3=1,'Choix pédagogiques'!$C$3=2),$B81&lt;&gt;"",$C81&lt;&gt;"",$D81&lt;&gt;""),1,0))</f>
        <v/>
      </c>
      <c r="BN81" s="21" t="str">
        <f>IF(OR(COUNT(G81:I1080)=0,AND('Choix pédagogiques'!$C$3&lt;&gt;1,'Choix pédagogiques'!$C$3&lt;&gt;2)),"",IF(AND(OR('Choix pédagogiques'!$C$3=1,'Choix pédagogiques'!$C$3=2),AND($G81&lt;&gt;"",$H81&lt;&gt;"",$I81&lt;&gt;"")),1,0))</f>
        <v/>
      </c>
      <c r="BO81" s="21" t="str">
        <f>IF(OR(COUNT(B81:D1080)=0,COUNT(G81:I1080)=0,'Choix pédagogiques'!C$3&lt;&gt;3),"",IF(AND('Choix pédagogiques'!$C$3=3,$B81&lt;&gt;"",$C81&lt;&gt;"",$D81&lt;&gt;"",$G81&lt;&gt;"",$H81&lt;&gt;"",$I81&lt;&gt;""),1,0))</f>
        <v/>
      </c>
      <c r="BR81" s="21">
        <v>340</v>
      </c>
      <c r="BS81" s="21">
        <v>1845</v>
      </c>
      <c r="BT81"/>
    </row>
    <row r="82" spans="1:72" s="23" customFormat="1" ht="18" customHeight="1" x14ac:dyDescent="0.3">
      <c r="A82" s="35" t="s">
        <v>72</v>
      </c>
      <c r="B82" s="37"/>
      <c r="C82" s="37"/>
      <c r="D82" s="37"/>
      <c r="E82" s="37"/>
      <c r="F82" s="35" t="s">
        <v>1080</v>
      </c>
      <c r="G82" s="37"/>
      <c r="H82" s="37"/>
      <c r="I82" s="37"/>
      <c r="J82" s="37"/>
      <c r="K82" s="21" t="str">
        <f t="shared" si="121"/>
        <v>Apprenant 70</v>
      </c>
      <c r="L82" s="22" t="str">
        <f t="shared" si="122"/>
        <v/>
      </c>
      <c r="M82" s="22" t="str">
        <f t="shared" si="123"/>
        <v/>
      </c>
      <c r="N82" s="22" t="str">
        <f t="shared" si="124"/>
        <v/>
      </c>
      <c r="O82" s="22" t="str">
        <f t="shared" si="125"/>
        <v/>
      </c>
      <c r="P82" s="21" t="str">
        <f t="shared" si="126"/>
        <v>Apprenant 70 ou 70'</v>
      </c>
      <c r="Q82" s="22" t="str">
        <f t="shared" si="127"/>
        <v/>
      </c>
      <c r="R82" s="22" t="str">
        <f t="shared" si="128"/>
        <v/>
      </c>
      <c r="S82" s="22" t="str">
        <f t="shared" si="129"/>
        <v/>
      </c>
      <c r="T82" s="22" t="str">
        <f t="shared" si="130"/>
        <v/>
      </c>
      <c r="V82" s="21" t="str">
        <f t="shared" si="131"/>
        <v>Apprenant 70</v>
      </c>
      <c r="W82" s="22" t="str">
        <f>IF(AND(OR('Choix pédagogiques'!$C$3=1,'Choix pédagogiques'!$C$3=2),$BM82=1),B82,IF(AND('Choix pédagogiques'!$C$3=3,$BO82=1),B82,""))</f>
        <v/>
      </c>
      <c r="X82" s="22" t="str">
        <f>IF(AND(OR('Choix pédagogiques'!$C$3=1,'Choix pédagogiques'!$C$3=2),$BM82=1),C82,IF(AND('Choix pédagogiques'!$C$3=3,$BO82=1),C82,""))</f>
        <v/>
      </c>
      <c r="Y82" s="22" t="str">
        <f>IF(AND(OR('Choix pédagogiques'!$C$3=1,'Choix pédagogiques'!$C$3=2),$BM82=1),D82,IF(AND('Choix pédagogiques'!$C$3=3,$BO82=1),D82,""))</f>
        <v/>
      </c>
      <c r="Z82" s="22" t="str">
        <f t="shared" si="132"/>
        <v/>
      </c>
      <c r="AA82" s="21" t="str">
        <f t="shared" si="133"/>
        <v>Apprenant 70 ou 70'</v>
      </c>
      <c r="AB82" s="22" t="str">
        <f>IF(AND(OR('Choix pédagogiques'!$C$3=1,'Choix pédagogiques'!$C$3=2),$BN82=1),G82,IF(AND('Choix pédagogiques'!$C$3=3,$BO82=1),G82,""))</f>
        <v/>
      </c>
      <c r="AC82" s="22" t="str">
        <f>IF(AND(OR('Choix pédagogiques'!$C$3=1,'Choix pédagogiques'!$C$3=2),$BN82=1),H82,IF(AND('Choix pédagogiques'!$C$3=3,$BO82=1),H82,""))</f>
        <v/>
      </c>
      <c r="AD82" s="22" t="str">
        <f>IF(AND(OR('Choix pédagogiques'!$C$3=1,'Choix pédagogiques'!$C$3=2),$BN82=1),I82,IF(AND('Choix pédagogiques'!$C$3=3,$BO82=1),I82,""))</f>
        <v/>
      </c>
      <c r="AE82" s="22" t="str">
        <f t="shared" si="134"/>
        <v/>
      </c>
      <c r="AF82" s="21" t="str">
        <f t="shared" si="135"/>
        <v>Apprenant 70</v>
      </c>
      <c r="AG82" s="22" t="str">
        <f t="shared" si="109"/>
        <v/>
      </c>
      <c r="AH82" s="22" t="str">
        <f t="shared" si="110"/>
        <v/>
      </c>
      <c r="AI82" s="22" t="str">
        <f t="shared" si="111"/>
        <v/>
      </c>
      <c r="AJ82" s="22" t="str">
        <f t="shared" si="136"/>
        <v/>
      </c>
      <c r="AK82" s="21" t="str">
        <f t="shared" si="137"/>
        <v>Apprenant 70 ou 70'</v>
      </c>
      <c r="AL82" s="22" t="str">
        <f t="shared" si="112"/>
        <v/>
      </c>
      <c r="AM82" s="22" t="str">
        <f t="shared" si="113"/>
        <v/>
      </c>
      <c r="AN82" s="22" t="str">
        <f t="shared" si="114"/>
        <v/>
      </c>
      <c r="AO82" s="22" t="str">
        <f t="shared" si="138"/>
        <v/>
      </c>
      <c r="AQ82" s="21" t="str">
        <f t="shared" si="139"/>
        <v>Apprenant 70</v>
      </c>
      <c r="AR82" s="49" t="str">
        <f>IF(AND('Choix pédagogiques'!$C$4&lt;&gt;"?",'Choix pédagogiques'!$C$5&lt;&gt;"?",W82&lt;&gt;""),(W82-'Choix pédagogiques'!$C$4)/('Choix pédagogiques'!$C$5-'Choix pédagogiques'!$C$4),"")</f>
        <v/>
      </c>
      <c r="AS82" s="49" t="str">
        <f>IF(AND('Choix pédagogiques'!$C$4&lt;&gt;"?",'Choix pédagogiques'!$C$5&lt;&gt;"?",X82&lt;&gt;""),(X82-'Choix pédagogiques'!$C$4)/('Choix pédagogiques'!$C$5-'Choix pédagogiques'!$C$4),"")</f>
        <v/>
      </c>
      <c r="AT82" s="49" t="str">
        <f>IF(AND('Choix pédagogiques'!$C$4&lt;&gt;"?",'Choix pédagogiques'!$C$5&lt;&gt;"?",Y82&lt;&gt;""),(Y82-'Choix pédagogiques'!$C$4)/('Choix pédagogiques'!$C$5-'Choix pédagogiques'!$C$4),"")</f>
        <v/>
      </c>
      <c r="AU82" s="22" t="str">
        <f t="shared" si="140"/>
        <v/>
      </c>
      <c r="AV82" s="21" t="str">
        <f t="shared" si="141"/>
        <v>Apprenant 70 ou 70'</v>
      </c>
      <c r="AW82" s="49" t="str">
        <f>IF(AND('Choix pédagogiques'!$C$4&lt;&gt;"?",'Choix pédagogiques'!$C$5&lt;&gt;"?",AB82&lt;&gt;""),(AB82-'Choix pédagogiques'!$C$4)/('Choix pédagogiques'!$C$5-'Choix pédagogiques'!$C$4),"")</f>
        <v/>
      </c>
      <c r="AX82" s="49" t="str">
        <f>IF(AND('Choix pédagogiques'!$C$4&lt;&gt;"?",'Choix pédagogiques'!$C$5&lt;&gt;"?",AC82&lt;&gt;""),(AC82-'Choix pédagogiques'!$C$4)/('Choix pédagogiques'!$C$5-'Choix pédagogiques'!$C$4),"")</f>
        <v/>
      </c>
      <c r="AY82" s="49" t="str">
        <f>IF(AND('Choix pédagogiques'!$C$4&lt;&gt;"?",'Choix pédagogiques'!$C$5&lt;&gt;"?",AD82&lt;&gt;""),(AD82-'Choix pédagogiques'!$C$4)/('Choix pédagogiques'!$C$5-'Choix pédagogiques'!$C$4),"")</f>
        <v/>
      </c>
      <c r="AZ82" s="22" t="str">
        <f t="shared" si="142"/>
        <v/>
      </c>
      <c r="BA82" s="21" t="str">
        <f t="shared" si="143"/>
        <v>Apprenant 70</v>
      </c>
      <c r="BB82" s="49" t="str">
        <f t="shared" si="115"/>
        <v/>
      </c>
      <c r="BC82" s="49" t="str">
        <f t="shared" si="116"/>
        <v/>
      </c>
      <c r="BD82" s="49" t="str">
        <f t="shared" si="117"/>
        <v/>
      </c>
      <c r="BE82" s="22" t="str">
        <f t="shared" si="144"/>
        <v/>
      </c>
      <c r="BF82" s="21" t="str">
        <f t="shared" si="145"/>
        <v>Apprenant 70 ou 70'</v>
      </c>
      <c r="BG82" s="49" t="str">
        <f t="shared" si="118"/>
        <v/>
      </c>
      <c r="BH82" s="49" t="str">
        <f t="shared" si="119"/>
        <v/>
      </c>
      <c r="BI82" s="49" t="str">
        <f t="shared" si="120"/>
        <v/>
      </c>
      <c r="BJ82" s="22" t="str">
        <f t="shared" si="146"/>
        <v/>
      </c>
      <c r="BL82" s="21"/>
      <c r="BM82" s="21" t="str">
        <f>IF(OR(COUNT(B82:D1081)=0,AND('Choix pédagogiques'!$C$3&lt;&gt;1,'Choix pédagogiques'!$C$3&lt;&gt;2)),"",IF(AND(OR('Choix pédagogiques'!$C$3=1,'Choix pédagogiques'!$C$3=2),$B82&lt;&gt;"",$C82&lt;&gt;"",$D82&lt;&gt;""),1,0))</f>
        <v/>
      </c>
      <c r="BN82" s="21" t="str">
        <f>IF(OR(COUNT(G82:I1081)=0,AND('Choix pédagogiques'!$C$3&lt;&gt;1,'Choix pédagogiques'!$C$3&lt;&gt;2)),"",IF(AND(OR('Choix pédagogiques'!$C$3=1,'Choix pédagogiques'!$C$3=2),AND($G82&lt;&gt;"",$H82&lt;&gt;"",$I82&lt;&gt;"")),1,0))</f>
        <v/>
      </c>
      <c r="BO82" s="21" t="str">
        <f>IF(OR(COUNT(B82:D1081)=0,COUNT(G82:I1081)=0,'Choix pédagogiques'!C$3&lt;&gt;3),"",IF(AND('Choix pédagogiques'!$C$3=3,$B82&lt;&gt;"",$C82&lt;&gt;"",$D82&lt;&gt;"",$G82&lt;&gt;"",$H82&lt;&gt;"",$I82&lt;&gt;""),1,0))</f>
        <v/>
      </c>
      <c r="BR82" s="21">
        <v>93</v>
      </c>
      <c r="BS82" s="21">
        <v>1994</v>
      </c>
      <c r="BT82"/>
    </row>
    <row r="83" spans="1:72" s="23" customFormat="1" ht="18" customHeight="1" x14ac:dyDescent="0.3">
      <c r="A83" s="35" t="s">
        <v>73</v>
      </c>
      <c r="B83" s="37"/>
      <c r="C83" s="37"/>
      <c r="D83" s="37"/>
      <c r="E83" s="37"/>
      <c r="F83" s="35" t="s">
        <v>1081</v>
      </c>
      <c r="G83" s="37"/>
      <c r="H83" s="37"/>
      <c r="I83" s="37"/>
      <c r="J83" s="37"/>
      <c r="K83" s="21" t="str">
        <f t="shared" si="121"/>
        <v>Apprenant 71</v>
      </c>
      <c r="L83" s="22" t="str">
        <f t="shared" si="122"/>
        <v/>
      </c>
      <c r="M83" s="22" t="str">
        <f t="shared" si="123"/>
        <v/>
      </c>
      <c r="N83" s="22" t="str">
        <f t="shared" si="124"/>
        <v/>
      </c>
      <c r="O83" s="22" t="str">
        <f t="shared" si="125"/>
        <v/>
      </c>
      <c r="P83" s="21" t="str">
        <f t="shared" si="126"/>
        <v>Apprenant 71 ou 71'</v>
      </c>
      <c r="Q83" s="22" t="str">
        <f t="shared" si="127"/>
        <v/>
      </c>
      <c r="R83" s="22" t="str">
        <f t="shared" si="128"/>
        <v/>
      </c>
      <c r="S83" s="22" t="str">
        <f t="shared" si="129"/>
        <v/>
      </c>
      <c r="T83" s="22" t="str">
        <f t="shared" si="130"/>
        <v/>
      </c>
      <c r="V83" s="21" t="str">
        <f t="shared" si="131"/>
        <v>Apprenant 71</v>
      </c>
      <c r="W83" s="22" t="str">
        <f>IF(AND(OR('Choix pédagogiques'!$C$3=1,'Choix pédagogiques'!$C$3=2),$BM83=1),B83,IF(AND('Choix pédagogiques'!$C$3=3,$BO83=1),B83,""))</f>
        <v/>
      </c>
      <c r="X83" s="22" t="str">
        <f>IF(AND(OR('Choix pédagogiques'!$C$3=1,'Choix pédagogiques'!$C$3=2),$BM83=1),C83,IF(AND('Choix pédagogiques'!$C$3=3,$BO83=1),C83,""))</f>
        <v/>
      </c>
      <c r="Y83" s="22" t="str">
        <f>IF(AND(OR('Choix pédagogiques'!$C$3=1,'Choix pédagogiques'!$C$3=2),$BM83=1),D83,IF(AND('Choix pédagogiques'!$C$3=3,$BO83=1),D83,""))</f>
        <v/>
      </c>
      <c r="Z83" s="22" t="str">
        <f t="shared" si="132"/>
        <v/>
      </c>
      <c r="AA83" s="21" t="str">
        <f t="shared" si="133"/>
        <v>Apprenant 71 ou 71'</v>
      </c>
      <c r="AB83" s="22" t="str">
        <f>IF(AND(OR('Choix pédagogiques'!$C$3=1,'Choix pédagogiques'!$C$3=2),$BN83=1),G83,IF(AND('Choix pédagogiques'!$C$3=3,$BO83=1),G83,""))</f>
        <v/>
      </c>
      <c r="AC83" s="22" t="str">
        <f>IF(AND(OR('Choix pédagogiques'!$C$3=1,'Choix pédagogiques'!$C$3=2),$BN83=1),H83,IF(AND('Choix pédagogiques'!$C$3=3,$BO83=1),H83,""))</f>
        <v/>
      </c>
      <c r="AD83" s="22" t="str">
        <f>IF(AND(OR('Choix pédagogiques'!$C$3=1,'Choix pédagogiques'!$C$3=2),$BN83=1),I83,IF(AND('Choix pédagogiques'!$C$3=3,$BO83=1),I83,""))</f>
        <v/>
      </c>
      <c r="AE83" s="22" t="str">
        <f t="shared" si="134"/>
        <v/>
      </c>
      <c r="AF83" s="21" t="str">
        <f t="shared" si="135"/>
        <v>Apprenant 71</v>
      </c>
      <c r="AG83" s="22" t="str">
        <f t="shared" si="109"/>
        <v/>
      </c>
      <c r="AH83" s="22" t="str">
        <f t="shared" si="110"/>
        <v/>
      </c>
      <c r="AI83" s="22" t="str">
        <f t="shared" si="111"/>
        <v/>
      </c>
      <c r="AJ83" s="22" t="str">
        <f t="shared" si="136"/>
        <v/>
      </c>
      <c r="AK83" s="21" t="str">
        <f t="shared" si="137"/>
        <v>Apprenant 71 ou 71'</v>
      </c>
      <c r="AL83" s="22" t="str">
        <f t="shared" si="112"/>
        <v/>
      </c>
      <c r="AM83" s="22" t="str">
        <f t="shared" si="113"/>
        <v/>
      </c>
      <c r="AN83" s="22" t="str">
        <f t="shared" si="114"/>
        <v/>
      </c>
      <c r="AO83" s="22" t="str">
        <f t="shared" si="138"/>
        <v/>
      </c>
      <c r="AQ83" s="21" t="str">
        <f t="shared" si="139"/>
        <v>Apprenant 71</v>
      </c>
      <c r="AR83" s="49" t="str">
        <f>IF(AND('Choix pédagogiques'!$C$4&lt;&gt;"?",'Choix pédagogiques'!$C$5&lt;&gt;"?",W83&lt;&gt;""),(W83-'Choix pédagogiques'!$C$4)/('Choix pédagogiques'!$C$5-'Choix pédagogiques'!$C$4),"")</f>
        <v/>
      </c>
      <c r="AS83" s="49" t="str">
        <f>IF(AND('Choix pédagogiques'!$C$4&lt;&gt;"?",'Choix pédagogiques'!$C$5&lt;&gt;"?",X83&lt;&gt;""),(X83-'Choix pédagogiques'!$C$4)/('Choix pédagogiques'!$C$5-'Choix pédagogiques'!$C$4),"")</f>
        <v/>
      </c>
      <c r="AT83" s="49" t="str">
        <f>IF(AND('Choix pédagogiques'!$C$4&lt;&gt;"?",'Choix pédagogiques'!$C$5&lt;&gt;"?",Y83&lt;&gt;""),(Y83-'Choix pédagogiques'!$C$4)/('Choix pédagogiques'!$C$5-'Choix pédagogiques'!$C$4),"")</f>
        <v/>
      </c>
      <c r="AU83" s="22" t="str">
        <f t="shared" si="140"/>
        <v/>
      </c>
      <c r="AV83" s="21" t="str">
        <f t="shared" si="141"/>
        <v>Apprenant 71 ou 71'</v>
      </c>
      <c r="AW83" s="49" t="str">
        <f>IF(AND('Choix pédagogiques'!$C$4&lt;&gt;"?",'Choix pédagogiques'!$C$5&lt;&gt;"?",AB83&lt;&gt;""),(AB83-'Choix pédagogiques'!$C$4)/('Choix pédagogiques'!$C$5-'Choix pédagogiques'!$C$4),"")</f>
        <v/>
      </c>
      <c r="AX83" s="49" t="str">
        <f>IF(AND('Choix pédagogiques'!$C$4&lt;&gt;"?",'Choix pédagogiques'!$C$5&lt;&gt;"?",AC83&lt;&gt;""),(AC83-'Choix pédagogiques'!$C$4)/('Choix pédagogiques'!$C$5-'Choix pédagogiques'!$C$4),"")</f>
        <v/>
      </c>
      <c r="AY83" s="49" t="str">
        <f>IF(AND('Choix pédagogiques'!$C$4&lt;&gt;"?",'Choix pédagogiques'!$C$5&lt;&gt;"?",AD83&lt;&gt;""),(AD83-'Choix pédagogiques'!$C$4)/('Choix pédagogiques'!$C$5-'Choix pédagogiques'!$C$4),"")</f>
        <v/>
      </c>
      <c r="AZ83" s="22" t="str">
        <f t="shared" si="142"/>
        <v/>
      </c>
      <c r="BA83" s="21" t="str">
        <f t="shared" si="143"/>
        <v>Apprenant 71</v>
      </c>
      <c r="BB83" s="49" t="str">
        <f t="shared" si="115"/>
        <v/>
      </c>
      <c r="BC83" s="49" t="str">
        <f t="shared" si="116"/>
        <v/>
      </c>
      <c r="BD83" s="49" t="str">
        <f t="shared" si="117"/>
        <v/>
      </c>
      <c r="BE83" s="22" t="str">
        <f t="shared" si="144"/>
        <v/>
      </c>
      <c r="BF83" s="21" t="str">
        <f t="shared" si="145"/>
        <v>Apprenant 71 ou 71'</v>
      </c>
      <c r="BG83" s="49" t="str">
        <f t="shared" si="118"/>
        <v/>
      </c>
      <c r="BH83" s="49" t="str">
        <f t="shared" si="119"/>
        <v/>
      </c>
      <c r="BI83" s="49" t="str">
        <f t="shared" si="120"/>
        <v/>
      </c>
      <c r="BJ83" s="22" t="str">
        <f t="shared" si="146"/>
        <v/>
      </c>
      <c r="BL83" s="21"/>
      <c r="BM83" s="21" t="str">
        <f>IF(OR(COUNT(B83:D1082)=0,AND('Choix pédagogiques'!$C$3&lt;&gt;1,'Choix pédagogiques'!$C$3&lt;&gt;2)),"",IF(AND(OR('Choix pédagogiques'!$C$3=1,'Choix pédagogiques'!$C$3=2),$B83&lt;&gt;"",$C83&lt;&gt;"",$D83&lt;&gt;""),1,0))</f>
        <v/>
      </c>
      <c r="BN83" s="21" t="str">
        <f>IF(OR(COUNT(G83:I1082)=0,AND('Choix pédagogiques'!$C$3&lt;&gt;1,'Choix pédagogiques'!$C$3&lt;&gt;2)),"",IF(AND(OR('Choix pédagogiques'!$C$3=1,'Choix pédagogiques'!$C$3=2),AND($G83&lt;&gt;"",$H83&lt;&gt;"",$I83&lt;&gt;"")),1,0))</f>
        <v/>
      </c>
      <c r="BO83" s="21" t="str">
        <f>IF(OR(COUNT(B83:D1082)=0,COUNT(G83:I1082)=0,'Choix pédagogiques'!C$3&lt;&gt;3),"",IF(AND('Choix pédagogiques'!$C$3=3,$B83&lt;&gt;"",$C83&lt;&gt;"",$D83&lt;&gt;"",$G83&lt;&gt;"",$H83&lt;&gt;"",$I83&lt;&gt;""),1,0))</f>
        <v/>
      </c>
      <c r="BR83" s="21">
        <v>856</v>
      </c>
      <c r="BS83" s="21">
        <v>1946</v>
      </c>
      <c r="BT83"/>
    </row>
    <row r="84" spans="1:72" s="23" customFormat="1" ht="18" customHeight="1" x14ac:dyDescent="0.3">
      <c r="A84" s="35" t="s">
        <v>74</v>
      </c>
      <c r="B84" s="37"/>
      <c r="C84" s="37"/>
      <c r="D84" s="37"/>
      <c r="E84" s="37"/>
      <c r="F84" s="35" t="s">
        <v>1082</v>
      </c>
      <c r="G84" s="37"/>
      <c r="H84" s="37"/>
      <c r="I84" s="37"/>
      <c r="J84" s="37"/>
      <c r="K84" s="21" t="str">
        <f t="shared" si="121"/>
        <v>Apprenant 72</v>
      </c>
      <c r="L84" s="22" t="str">
        <f t="shared" si="122"/>
        <v/>
      </c>
      <c r="M84" s="22" t="str">
        <f t="shared" si="123"/>
        <v/>
      </c>
      <c r="N84" s="22" t="str">
        <f t="shared" si="124"/>
        <v/>
      </c>
      <c r="O84" s="22" t="str">
        <f t="shared" si="125"/>
        <v/>
      </c>
      <c r="P84" s="21" t="str">
        <f t="shared" si="126"/>
        <v>Apprenant 72 ou 72'</v>
      </c>
      <c r="Q84" s="22" t="str">
        <f t="shared" si="127"/>
        <v/>
      </c>
      <c r="R84" s="22" t="str">
        <f t="shared" si="128"/>
        <v/>
      </c>
      <c r="S84" s="22" t="str">
        <f t="shared" si="129"/>
        <v/>
      </c>
      <c r="T84" s="22" t="str">
        <f t="shared" si="130"/>
        <v/>
      </c>
      <c r="V84" s="21" t="str">
        <f t="shared" si="131"/>
        <v>Apprenant 72</v>
      </c>
      <c r="W84" s="22" t="str">
        <f>IF(AND(OR('Choix pédagogiques'!$C$3=1,'Choix pédagogiques'!$C$3=2),$BM84=1),B84,IF(AND('Choix pédagogiques'!$C$3=3,$BO84=1),B84,""))</f>
        <v/>
      </c>
      <c r="X84" s="22" t="str">
        <f>IF(AND(OR('Choix pédagogiques'!$C$3=1,'Choix pédagogiques'!$C$3=2),$BM84=1),C84,IF(AND('Choix pédagogiques'!$C$3=3,$BO84=1),C84,""))</f>
        <v/>
      </c>
      <c r="Y84" s="22" t="str">
        <f>IF(AND(OR('Choix pédagogiques'!$C$3=1,'Choix pédagogiques'!$C$3=2),$BM84=1),D84,IF(AND('Choix pédagogiques'!$C$3=3,$BO84=1),D84,""))</f>
        <v/>
      </c>
      <c r="Z84" s="22" t="str">
        <f t="shared" si="132"/>
        <v/>
      </c>
      <c r="AA84" s="21" t="str">
        <f t="shared" si="133"/>
        <v>Apprenant 72 ou 72'</v>
      </c>
      <c r="AB84" s="22" t="str">
        <f>IF(AND(OR('Choix pédagogiques'!$C$3=1,'Choix pédagogiques'!$C$3=2),$BN84=1),G84,IF(AND('Choix pédagogiques'!$C$3=3,$BO84=1),G84,""))</f>
        <v/>
      </c>
      <c r="AC84" s="22" t="str">
        <f>IF(AND(OR('Choix pédagogiques'!$C$3=1,'Choix pédagogiques'!$C$3=2),$BN84=1),H84,IF(AND('Choix pédagogiques'!$C$3=3,$BO84=1),H84,""))</f>
        <v/>
      </c>
      <c r="AD84" s="22" t="str">
        <f>IF(AND(OR('Choix pédagogiques'!$C$3=1,'Choix pédagogiques'!$C$3=2),$BN84=1),I84,IF(AND('Choix pédagogiques'!$C$3=3,$BO84=1),I84,""))</f>
        <v/>
      </c>
      <c r="AE84" s="22" t="str">
        <f t="shared" si="134"/>
        <v/>
      </c>
      <c r="AF84" s="21" t="str">
        <f t="shared" si="135"/>
        <v>Apprenant 72</v>
      </c>
      <c r="AG84" s="22" t="str">
        <f t="shared" si="109"/>
        <v/>
      </c>
      <c r="AH84" s="22" t="str">
        <f t="shared" si="110"/>
        <v/>
      </c>
      <c r="AI84" s="22" t="str">
        <f t="shared" si="111"/>
        <v/>
      </c>
      <c r="AJ84" s="22" t="str">
        <f t="shared" si="136"/>
        <v/>
      </c>
      <c r="AK84" s="21" t="str">
        <f t="shared" si="137"/>
        <v>Apprenant 72 ou 72'</v>
      </c>
      <c r="AL84" s="22" t="str">
        <f t="shared" si="112"/>
        <v/>
      </c>
      <c r="AM84" s="22" t="str">
        <f t="shared" si="113"/>
        <v/>
      </c>
      <c r="AN84" s="22" t="str">
        <f t="shared" si="114"/>
        <v/>
      </c>
      <c r="AO84" s="22" t="str">
        <f t="shared" si="138"/>
        <v/>
      </c>
      <c r="AQ84" s="21" t="str">
        <f t="shared" si="139"/>
        <v>Apprenant 72</v>
      </c>
      <c r="AR84" s="49" t="str">
        <f>IF(AND('Choix pédagogiques'!$C$4&lt;&gt;"?",'Choix pédagogiques'!$C$5&lt;&gt;"?",W84&lt;&gt;""),(W84-'Choix pédagogiques'!$C$4)/('Choix pédagogiques'!$C$5-'Choix pédagogiques'!$C$4),"")</f>
        <v/>
      </c>
      <c r="AS84" s="49" t="str">
        <f>IF(AND('Choix pédagogiques'!$C$4&lt;&gt;"?",'Choix pédagogiques'!$C$5&lt;&gt;"?",X84&lt;&gt;""),(X84-'Choix pédagogiques'!$C$4)/('Choix pédagogiques'!$C$5-'Choix pédagogiques'!$C$4),"")</f>
        <v/>
      </c>
      <c r="AT84" s="49" t="str">
        <f>IF(AND('Choix pédagogiques'!$C$4&lt;&gt;"?",'Choix pédagogiques'!$C$5&lt;&gt;"?",Y84&lt;&gt;""),(Y84-'Choix pédagogiques'!$C$4)/('Choix pédagogiques'!$C$5-'Choix pédagogiques'!$C$4),"")</f>
        <v/>
      </c>
      <c r="AU84" s="22" t="str">
        <f t="shared" si="140"/>
        <v/>
      </c>
      <c r="AV84" s="21" t="str">
        <f t="shared" si="141"/>
        <v>Apprenant 72 ou 72'</v>
      </c>
      <c r="AW84" s="49" t="str">
        <f>IF(AND('Choix pédagogiques'!$C$4&lt;&gt;"?",'Choix pédagogiques'!$C$5&lt;&gt;"?",AB84&lt;&gt;""),(AB84-'Choix pédagogiques'!$C$4)/('Choix pédagogiques'!$C$5-'Choix pédagogiques'!$C$4),"")</f>
        <v/>
      </c>
      <c r="AX84" s="49" t="str">
        <f>IF(AND('Choix pédagogiques'!$C$4&lt;&gt;"?",'Choix pédagogiques'!$C$5&lt;&gt;"?",AC84&lt;&gt;""),(AC84-'Choix pédagogiques'!$C$4)/('Choix pédagogiques'!$C$5-'Choix pédagogiques'!$C$4),"")</f>
        <v/>
      </c>
      <c r="AY84" s="49" t="str">
        <f>IF(AND('Choix pédagogiques'!$C$4&lt;&gt;"?",'Choix pédagogiques'!$C$5&lt;&gt;"?",AD84&lt;&gt;""),(AD84-'Choix pédagogiques'!$C$4)/('Choix pédagogiques'!$C$5-'Choix pédagogiques'!$C$4),"")</f>
        <v/>
      </c>
      <c r="AZ84" s="22" t="str">
        <f t="shared" si="142"/>
        <v/>
      </c>
      <c r="BA84" s="21" t="str">
        <f t="shared" si="143"/>
        <v>Apprenant 72</v>
      </c>
      <c r="BB84" s="49" t="str">
        <f t="shared" si="115"/>
        <v/>
      </c>
      <c r="BC84" s="49" t="str">
        <f t="shared" si="116"/>
        <v/>
      </c>
      <c r="BD84" s="49" t="str">
        <f t="shared" si="117"/>
        <v/>
      </c>
      <c r="BE84" s="22" t="str">
        <f t="shared" si="144"/>
        <v/>
      </c>
      <c r="BF84" s="21" t="str">
        <f t="shared" si="145"/>
        <v>Apprenant 72 ou 72'</v>
      </c>
      <c r="BG84" s="49" t="str">
        <f t="shared" si="118"/>
        <v/>
      </c>
      <c r="BH84" s="49" t="str">
        <f t="shared" si="119"/>
        <v/>
      </c>
      <c r="BI84" s="49" t="str">
        <f t="shared" si="120"/>
        <v/>
      </c>
      <c r="BJ84" s="22" t="str">
        <f t="shared" si="146"/>
        <v/>
      </c>
      <c r="BL84" s="21"/>
      <c r="BM84" s="21" t="str">
        <f>IF(OR(COUNT(B84:D1083)=0,AND('Choix pédagogiques'!$C$3&lt;&gt;1,'Choix pédagogiques'!$C$3&lt;&gt;2)),"",IF(AND(OR('Choix pédagogiques'!$C$3=1,'Choix pédagogiques'!$C$3=2),$B84&lt;&gt;"",$C84&lt;&gt;"",$D84&lt;&gt;""),1,0))</f>
        <v/>
      </c>
      <c r="BN84" s="21" t="str">
        <f>IF(OR(COUNT(G84:I1083)=0,AND('Choix pédagogiques'!$C$3&lt;&gt;1,'Choix pédagogiques'!$C$3&lt;&gt;2)),"",IF(AND(OR('Choix pédagogiques'!$C$3=1,'Choix pédagogiques'!$C$3=2),AND($G84&lt;&gt;"",$H84&lt;&gt;"",$I84&lt;&gt;"")),1,0))</f>
        <v/>
      </c>
      <c r="BO84" s="21" t="str">
        <f>IF(OR(COUNT(B84:D1083)=0,COUNT(G84:I1083)=0,'Choix pédagogiques'!C$3&lt;&gt;3),"",IF(AND('Choix pédagogiques'!$C$3=3,$B84&lt;&gt;"",$C84&lt;&gt;"",$D84&lt;&gt;"",$G84&lt;&gt;"",$H84&lt;&gt;"",$I84&lt;&gt;""),1,0))</f>
        <v/>
      </c>
      <c r="BR84" s="21">
        <v>301</v>
      </c>
      <c r="BS84" s="21">
        <v>1807</v>
      </c>
      <c r="BT84"/>
    </row>
    <row r="85" spans="1:72" s="23" customFormat="1" ht="18" customHeight="1" x14ac:dyDescent="0.3">
      <c r="A85" s="35" t="s">
        <v>75</v>
      </c>
      <c r="B85" s="37"/>
      <c r="C85" s="37"/>
      <c r="D85" s="37"/>
      <c r="E85" s="37"/>
      <c r="F85" s="35" t="s">
        <v>1083</v>
      </c>
      <c r="G85" s="37"/>
      <c r="H85" s="37"/>
      <c r="I85" s="37"/>
      <c r="J85" s="37"/>
      <c r="K85" s="21" t="str">
        <f t="shared" si="121"/>
        <v>Apprenant 73</v>
      </c>
      <c r="L85" s="22" t="str">
        <f t="shared" si="122"/>
        <v/>
      </c>
      <c r="M85" s="22" t="str">
        <f t="shared" si="123"/>
        <v/>
      </c>
      <c r="N85" s="22" t="str">
        <f t="shared" si="124"/>
        <v/>
      </c>
      <c r="O85" s="22" t="str">
        <f t="shared" si="125"/>
        <v/>
      </c>
      <c r="P85" s="21" t="str">
        <f t="shared" si="126"/>
        <v>Apprenant 73 ou 73'</v>
      </c>
      <c r="Q85" s="22" t="str">
        <f t="shared" si="127"/>
        <v/>
      </c>
      <c r="R85" s="22" t="str">
        <f t="shared" si="128"/>
        <v/>
      </c>
      <c r="S85" s="22" t="str">
        <f t="shared" si="129"/>
        <v/>
      </c>
      <c r="T85" s="22" t="str">
        <f t="shared" si="130"/>
        <v/>
      </c>
      <c r="V85" s="21" t="str">
        <f t="shared" si="131"/>
        <v>Apprenant 73</v>
      </c>
      <c r="W85" s="22" t="str">
        <f>IF(AND(OR('Choix pédagogiques'!$C$3=1,'Choix pédagogiques'!$C$3=2),$BM85=1),B85,IF(AND('Choix pédagogiques'!$C$3=3,$BO85=1),B85,""))</f>
        <v/>
      </c>
      <c r="X85" s="22" t="str">
        <f>IF(AND(OR('Choix pédagogiques'!$C$3=1,'Choix pédagogiques'!$C$3=2),$BM85=1),C85,IF(AND('Choix pédagogiques'!$C$3=3,$BO85=1),C85,""))</f>
        <v/>
      </c>
      <c r="Y85" s="22" t="str">
        <f>IF(AND(OR('Choix pédagogiques'!$C$3=1,'Choix pédagogiques'!$C$3=2),$BM85=1),D85,IF(AND('Choix pédagogiques'!$C$3=3,$BO85=1),D85,""))</f>
        <v/>
      </c>
      <c r="Z85" s="22" t="str">
        <f t="shared" si="132"/>
        <v/>
      </c>
      <c r="AA85" s="21" t="str">
        <f t="shared" si="133"/>
        <v>Apprenant 73 ou 73'</v>
      </c>
      <c r="AB85" s="22" t="str">
        <f>IF(AND(OR('Choix pédagogiques'!$C$3=1,'Choix pédagogiques'!$C$3=2),$BN85=1),G85,IF(AND('Choix pédagogiques'!$C$3=3,$BO85=1),G85,""))</f>
        <v/>
      </c>
      <c r="AC85" s="22" t="str">
        <f>IF(AND(OR('Choix pédagogiques'!$C$3=1,'Choix pédagogiques'!$C$3=2),$BN85=1),H85,IF(AND('Choix pédagogiques'!$C$3=3,$BO85=1),H85,""))</f>
        <v/>
      </c>
      <c r="AD85" s="22" t="str">
        <f>IF(AND(OR('Choix pédagogiques'!$C$3=1,'Choix pédagogiques'!$C$3=2),$BN85=1),I85,IF(AND('Choix pédagogiques'!$C$3=3,$BO85=1),I85,""))</f>
        <v/>
      </c>
      <c r="AE85" s="22" t="str">
        <f t="shared" si="134"/>
        <v/>
      </c>
      <c r="AF85" s="21" t="str">
        <f t="shared" si="135"/>
        <v>Apprenant 73</v>
      </c>
      <c r="AG85" s="22" t="str">
        <f t="shared" si="109"/>
        <v/>
      </c>
      <c r="AH85" s="22" t="str">
        <f t="shared" si="110"/>
        <v/>
      </c>
      <c r="AI85" s="22" t="str">
        <f t="shared" si="111"/>
        <v/>
      </c>
      <c r="AJ85" s="22" t="str">
        <f t="shared" si="136"/>
        <v/>
      </c>
      <c r="AK85" s="21" t="str">
        <f t="shared" si="137"/>
        <v>Apprenant 73 ou 73'</v>
      </c>
      <c r="AL85" s="22" t="str">
        <f t="shared" si="112"/>
        <v/>
      </c>
      <c r="AM85" s="22" t="str">
        <f t="shared" si="113"/>
        <v/>
      </c>
      <c r="AN85" s="22" t="str">
        <f t="shared" si="114"/>
        <v/>
      </c>
      <c r="AO85" s="22" t="str">
        <f t="shared" si="138"/>
        <v/>
      </c>
      <c r="AQ85" s="21" t="str">
        <f t="shared" si="139"/>
        <v>Apprenant 73</v>
      </c>
      <c r="AR85" s="49" t="str">
        <f>IF(AND('Choix pédagogiques'!$C$4&lt;&gt;"?",'Choix pédagogiques'!$C$5&lt;&gt;"?",W85&lt;&gt;""),(W85-'Choix pédagogiques'!$C$4)/('Choix pédagogiques'!$C$5-'Choix pédagogiques'!$C$4),"")</f>
        <v/>
      </c>
      <c r="AS85" s="49" t="str">
        <f>IF(AND('Choix pédagogiques'!$C$4&lt;&gt;"?",'Choix pédagogiques'!$C$5&lt;&gt;"?",X85&lt;&gt;""),(X85-'Choix pédagogiques'!$C$4)/('Choix pédagogiques'!$C$5-'Choix pédagogiques'!$C$4),"")</f>
        <v/>
      </c>
      <c r="AT85" s="49" t="str">
        <f>IF(AND('Choix pédagogiques'!$C$4&lt;&gt;"?",'Choix pédagogiques'!$C$5&lt;&gt;"?",Y85&lt;&gt;""),(Y85-'Choix pédagogiques'!$C$4)/('Choix pédagogiques'!$C$5-'Choix pédagogiques'!$C$4),"")</f>
        <v/>
      </c>
      <c r="AU85" s="22" t="str">
        <f t="shared" si="140"/>
        <v/>
      </c>
      <c r="AV85" s="21" t="str">
        <f t="shared" si="141"/>
        <v>Apprenant 73 ou 73'</v>
      </c>
      <c r="AW85" s="49" t="str">
        <f>IF(AND('Choix pédagogiques'!$C$4&lt;&gt;"?",'Choix pédagogiques'!$C$5&lt;&gt;"?",AB85&lt;&gt;""),(AB85-'Choix pédagogiques'!$C$4)/('Choix pédagogiques'!$C$5-'Choix pédagogiques'!$C$4),"")</f>
        <v/>
      </c>
      <c r="AX85" s="49" t="str">
        <f>IF(AND('Choix pédagogiques'!$C$4&lt;&gt;"?",'Choix pédagogiques'!$C$5&lt;&gt;"?",AC85&lt;&gt;""),(AC85-'Choix pédagogiques'!$C$4)/('Choix pédagogiques'!$C$5-'Choix pédagogiques'!$C$4),"")</f>
        <v/>
      </c>
      <c r="AY85" s="49" t="str">
        <f>IF(AND('Choix pédagogiques'!$C$4&lt;&gt;"?",'Choix pédagogiques'!$C$5&lt;&gt;"?",AD85&lt;&gt;""),(AD85-'Choix pédagogiques'!$C$4)/('Choix pédagogiques'!$C$5-'Choix pédagogiques'!$C$4),"")</f>
        <v/>
      </c>
      <c r="AZ85" s="22" t="str">
        <f t="shared" si="142"/>
        <v/>
      </c>
      <c r="BA85" s="21" t="str">
        <f t="shared" si="143"/>
        <v>Apprenant 73</v>
      </c>
      <c r="BB85" s="49" t="str">
        <f t="shared" si="115"/>
        <v/>
      </c>
      <c r="BC85" s="49" t="str">
        <f t="shared" si="116"/>
        <v/>
      </c>
      <c r="BD85" s="49" t="str">
        <f t="shared" si="117"/>
        <v/>
      </c>
      <c r="BE85" s="22" t="str">
        <f t="shared" si="144"/>
        <v/>
      </c>
      <c r="BF85" s="21" t="str">
        <f t="shared" si="145"/>
        <v>Apprenant 73 ou 73'</v>
      </c>
      <c r="BG85" s="49" t="str">
        <f t="shared" si="118"/>
        <v/>
      </c>
      <c r="BH85" s="49" t="str">
        <f t="shared" si="119"/>
        <v/>
      </c>
      <c r="BI85" s="49" t="str">
        <f t="shared" si="120"/>
        <v/>
      </c>
      <c r="BJ85" s="22" t="str">
        <f t="shared" si="146"/>
        <v/>
      </c>
      <c r="BL85" s="21"/>
      <c r="BM85" s="21" t="str">
        <f>IF(OR(COUNT(B85:D1084)=0,AND('Choix pédagogiques'!$C$3&lt;&gt;1,'Choix pédagogiques'!$C$3&lt;&gt;2)),"",IF(AND(OR('Choix pédagogiques'!$C$3=1,'Choix pédagogiques'!$C$3=2),$B85&lt;&gt;"",$C85&lt;&gt;"",$D85&lt;&gt;""),1,0))</f>
        <v/>
      </c>
      <c r="BN85" s="21" t="str">
        <f>IF(OR(COUNT(G85:I1084)=0,AND('Choix pédagogiques'!$C$3&lt;&gt;1,'Choix pédagogiques'!$C$3&lt;&gt;2)),"",IF(AND(OR('Choix pédagogiques'!$C$3=1,'Choix pédagogiques'!$C$3=2),AND($G85&lt;&gt;"",$H85&lt;&gt;"",$I85&lt;&gt;"")),1,0))</f>
        <v/>
      </c>
      <c r="BO85" s="21" t="str">
        <f>IF(OR(COUNT(B85:D1084)=0,COUNT(G85:I1084)=0,'Choix pédagogiques'!C$3&lt;&gt;3),"",IF(AND('Choix pédagogiques'!$C$3=3,$B85&lt;&gt;"",$C85&lt;&gt;"",$D85&lt;&gt;"",$G85&lt;&gt;"",$H85&lt;&gt;"",$I85&lt;&gt;""),1,0))</f>
        <v/>
      </c>
      <c r="BR85" s="21">
        <v>437</v>
      </c>
      <c r="BS85" s="21">
        <v>1615</v>
      </c>
      <c r="BT85"/>
    </row>
    <row r="86" spans="1:72" s="23" customFormat="1" ht="18" customHeight="1" x14ac:dyDescent="0.3">
      <c r="A86" s="35" t="s">
        <v>76</v>
      </c>
      <c r="B86" s="37"/>
      <c r="C86" s="37"/>
      <c r="D86" s="37"/>
      <c r="E86" s="37"/>
      <c r="F86" s="35" t="s">
        <v>1084</v>
      </c>
      <c r="G86" s="37"/>
      <c r="H86" s="37"/>
      <c r="I86" s="37"/>
      <c r="J86" s="37"/>
      <c r="K86" s="21" t="str">
        <f t="shared" si="121"/>
        <v>Apprenant 74</v>
      </c>
      <c r="L86" s="22" t="str">
        <f t="shared" si="122"/>
        <v/>
      </c>
      <c r="M86" s="22" t="str">
        <f t="shared" si="123"/>
        <v/>
      </c>
      <c r="N86" s="22" t="str">
        <f t="shared" si="124"/>
        <v/>
      </c>
      <c r="O86" s="22" t="str">
        <f t="shared" si="125"/>
        <v/>
      </c>
      <c r="P86" s="21" t="str">
        <f t="shared" si="126"/>
        <v>Apprenant 74 ou 74'</v>
      </c>
      <c r="Q86" s="22" t="str">
        <f t="shared" si="127"/>
        <v/>
      </c>
      <c r="R86" s="22" t="str">
        <f t="shared" si="128"/>
        <v/>
      </c>
      <c r="S86" s="22" t="str">
        <f t="shared" si="129"/>
        <v/>
      </c>
      <c r="T86" s="22" t="str">
        <f t="shared" si="130"/>
        <v/>
      </c>
      <c r="V86" s="21" t="str">
        <f t="shared" si="131"/>
        <v>Apprenant 74</v>
      </c>
      <c r="W86" s="22" t="str">
        <f>IF(AND(OR('Choix pédagogiques'!$C$3=1,'Choix pédagogiques'!$C$3=2),$BM86=1),B86,IF(AND('Choix pédagogiques'!$C$3=3,$BO86=1),B86,""))</f>
        <v/>
      </c>
      <c r="X86" s="22" t="str">
        <f>IF(AND(OR('Choix pédagogiques'!$C$3=1,'Choix pédagogiques'!$C$3=2),$BM86=1),C86,IF(AND('Choix pédagogiques'!$C$3=3,$BO86=1),C86,""))</f>
        <v/>
      </c>
      <c r="Y86" s="22" t="str">
        <f>IF(AND(OR('Choix pédagogiques'!$C$3=1,'Choix pédagogiques'!$C$3=2),$BM86=1),D86,IF(AND('Choix pédagogiques'!$C$3=3,$BO86=1),D86,""))</f>
        <v/>
      </c>
      <c r="Z86" s="22" t="str">
        <f t="shared" si="132"/>
        <v/>
      </c>
      <c r="AA86" s="21" t="str">
        <f t="shared" si="133"/>
        <v>Apprenant 74 ou 74'</v>
      </c>
      <c r="AB86" s="22" t="str">
        <f>IF(AND(OR('Choix pédagogiques'!$C$3=1,'Choix pédagogiques'!$C$3=2),$BN86=1),G86,IF(AND('Choix pédagogiques'!$C$3=3,$BO86=1),G86,""))</f>
        <v/>
      </c>
      <c r="AC86" s="22" t="str">
        <f>IF(AND(OR('Choix pédagogiques'!$C$3=1,'Choix pédagogiques'!$C$3=2),$BN86=1),H86,IF(AND('Choix pédagogiques'!$C$3=3,$BO86=1),H86,""))</f>
        <v/>
      </c>
      <c r="AD86" s="22" t="str">
        <f>IF(AND(OR('Choix pédagogiques'!$C$3=1,'Choix pédagogiques'!$C$3=2),$BN86=1),I86,IF(AND('Choix pédagogiques'!$C$3=3,$BO86=1),I86,""))</f>
        <v/>
      </c>
      <c r="AE86" s="22" t="str">
        <f t="shared" si="134"/>
        <v/>
      </c>
      <c r="AF86" s="21" t="str">
        <f t="shared" si="135"/>
        <v>Apprenant 74</v>
      </c>
      <c r="AG86" s="22" t="str">
        <f t="shared" si="109"/>
        <v/>
      </c>
      <c r="AH86" s="22" t="str">
        <f t="shared" si="110"/>
        <v/>
      </c>
      <c r="AI86" s="22" t="str">
        <f t="shared" si="111"/>
        <v/>
      </c>
      <c r="AJ86" s="22" t="str">
        <f t="shared" si="136"/>
        <v/>
      </c>
      <c r="AK86" s="21" t="str">
        <f t="shared" si="137"/>
        <v>Apprenant 74 ou 74'</v>
      </c>
      <c r="AL86" s="22" t="str">
        <f t="shared" si="112"/>
        <v/>
      </c>
      <c r="AM86" s="22" t="str">
        <f t="shared" si="113"/>
        <v/>
      </c>
      <c r="AN86" s="22" t="str">
        <f t="shared" si="114"/>
        <v/>
      </c>
      <c r="AO86" s="22" t="str">
        <f t="shared" si="138"/>
        <v/>
      </c>
      <c r="AQ86" s="21" t="str">
        <f t="shared" si="139"/>
        <v>Apprenant 74</v>
      </c>
      <c r="AR86" s="49" t="str">
        <f>IF(AND('Choix pédagogiques'!$C$4&lt;&gt;"?",'Choix pédagogiques'!$C$5&lt;&gt;"?",W86&lt;&gt;""),(W86-'Choix pédagogiques'!$C$4)/('Choix pédagogiques'!$C$5-'Choix pédagogiques'!$C$4),"")</f>
        <v/>
      </c>
      <c r="AS86" s="49" t="str">
        <f>IF(AND('Choix pédagogiques'!$C$4&lt;&gt;"?",'Choix pédagogiques'!$C$5&lt;&gt;"?",X86&lt;&gt;""),(X86-'Choix pédagogiques'!$C$4)/('Choix pédagogiques'!$C$5-'Choix pédagogiques'!$C$4),"")</f>
        <v/>
      </c>
      <c r="AT86" s="49" t="str">
        <f>IF(AND('Choix pédagogiques'!$C$4&lt;&gt;"?",'Choix pédagogiques'!$C$5&lt;&gt;"?",Y86&lt;&gt;""),(Y86-'Choix pédagogiques'!$C$4)/('Choix pédagogiques'!$C$5-'Choix pédagogiques'!$C$4),"")</f>
        <v/>
      </c>
      <c r="AU86" s="22" t="str">
        <f t="shared" si="140"/>
        <v/>
      </c>
      <c r="AV86" s="21" t="str">
        <f t="shared" si="141"/>
        <v>Apprenant 74 ou 74'</v>
      </c>
      <c r="AW86" s="49" t="str">
        <f>IF(AND('Choix pédagogiques'!$C$4&lt;&gt;"?",'Choix pédagogiques'!$C$5&lt;&gt;"?",AB86&lt;&gt;""),(AB86-'Choix pédagogiques'!$C$4)/('Choix pédagogiques'!$C$5-'Choix pédagogiques'!$C$4),"")</f>
        <v/>
      </c>
      <c r="AX86" s="49" t="str">
        <f>IF(AND('Choix pédagogiques'!$C$4&lt;&gt;"?",'Choix pédagogiques'!$C$5&lt;&gt;"?",AC86&lt;&gt;""),(AC86-'Choix pédagogiques'!$C$4)/('Choix pédagogiques'!$C$5-'Choix pédagogiques'!$C$4),"")</f>
        <v/>
      </c>
      <c r="AY86" s="49" t="str">
        <f>IF(AND('Choix pédagogiques'!$C$4&lt;&gt;"?",'Choix pédagogiques'!$C$5&lt;&gt;"?",AD86&lt;&gt;""),(AD86-'Choix pédagogiques'!$C$4)/('Choix pédagogiques'!$C$5-'Choix pédagogiques'!$C$4),"")</f>
        <v/>
      </c>
      <c r="AZ86" s="22" t="str">
        <f t="shared" si="142"/>
        <v/>
      </c>
      <c r="BA86" s="21" t="str">
        <f t="shared" si="143"/>
        <v>Apprenant 74</v>
      </c>
      <c r="BB86" s="49" t="str">
        <f t="shared" si="115"/>
        <v/>
      </c>
      <c r="BC86" s="49" t="str">
        <f t="shared" si="116"/>
        <v/>
      </c>
      <c r="BD86" s="49" t="str">
        <f t="shared" si="117"/>
        <v/>
      </c>
      <c r="BE86" s="22" t="str">
        <f t="shared" si="144"/>
        <v/>
      </c>
      <c r="BF86" s="21" t="str">
        <f t="shared" si="145"/>
        <v>Apprenant 74 ou 74'</v>
      </c>
      <c r="BG86" s="49" t="str">
        <f t="shared" si="118"/>
        <v/>
      </c>
      <c r="BH86" s="49" t="str">
        <f t="shared" si="119"/>
        <v/>
      </c>
      <c r="BI86" s="49" t="str">
        <f t="shared" si="120"/>
        <v/>
      </c>
      <c r="BJ86" s="22" t="str">
        <f t="shared" si="146"/>
        <v/>
      </c>
      <c r="BL86" s="21"/>
      <c r="BM86" s="21" t="str">
        <f>IF(OR(COUNT(B86:D1085)=0,AND('Choix pédagogiques'!$C$3&lt;&gt;1,'Choix pédagogiques'!$C$3&lt;&gt;2)),"",IF(AND(OR('Choix pédagogiques'!$C$3=1,'Choix pédagogiques'!$C$3=2),$B86&lt;&gt;"",$C86&lt;&gt;"",$D86&lt;&gt;""),1,0))</f>
        <v/>
      </c>
      <c r="BN86" s="21" t="str">
        <f>IF(OR(COUNT(G86:I1085)=0,AND('Choix pédagogiques'!$C$3&lt;&gt;1,'Choix pédagogiques'!$C$3&lt;&gt;2)),"",IF(AND(OR('Choix pédagogiques'!$C$3=1,'Choix pédagogiques'!$C$3=2),AND($G86&lt;&gt;"",$H86&lt;&gt;"",$I86&lt;&gt;"")),1,0))</f>
        <v/>
      </c>
      <c r="BO86" s="21" t="str">
        <f>IF(OR(COUNT(B86:D1085)=0,COUNT(G86:I1085)=0,'Choix pédagogiques'!C$3&lt;&gt;3),"",IF(AND('Choix pédagogiques'!$C$3=3,$B86&lt;&gt;"",$C86&lt;&gt;"",$D86&lt;&gt;"",$G86&lt;&gt;"",$H86&lt;&gt;"",$I86&lt;&gt;""),1,0))</f>
        <v/>
      </c>
      <c r="BR86" s="21">
        <v>487</v>
      </c>
      <c r="BS86" s="21">
        <v>1512</v>
      </c>
      <c r="BT86"/>
    </row>
    <row r="87" spans="1:72" s="23" customFormat="1" ht="18" customHeight="1" x14ac:dyDescent="0.3">
      <c r="A87" s="35" t="s">
        <v>77</v>
      </c>
      <c r="B87" s="37"/>
      <c r="C87" s="37"/>
      <c r="D87" s="37"/>
      <c r="E87" s="37"/>
      <c r="F87" s="35" t="s">
        <v>1085</v>
      </c>
      <c r="G87" s="37"/>
      <c r="H87" s="37"/>
      <c r="I87" s="37"/>
      <c r="J87" s="37"/>
      <c r="K87" s="21" t="str">
        <f t="shared" si="121"/>
        <v>Apprenant 75</v>
      </c>
      <c r="L87" s="22" t="str">
        <f t="shared" si="122"/>
        <v/>
      </c>
      <c r="M87" s="22" t="str">
        <f t="shared" si="123"/>
        <v/>
      </c>
      <c r="N87" s="22" t="str">
        <f t="shared" si="124"/>
        <v/>
      </c>
      <c r="O87" s="22" t="str">
        <f t="shared" si="125"/>
        <v/>
      </c>
      <c r="P87" s="21" t="str">
        <f t="shared" si="126"/>
        <v>Apprenant 75 ou 75'</v>
      </c>
      <c r="Q87" s="22" t="str">
        <f t="shared" si="127"/>
        <v/>
      </c>
      <c r="R87" s="22" t="str">
        <f t="shared" si="128"/>
        <v/>
      </c>
      <c r="S87" s="22" t="str">
        <f t="shared" si="129"/>
        <v/>
      </c>
      <c r="T87" s="22" t="str">
        <f t="shared" si="130"/>
        <v/>
      </c>
      <c r="V87" s="21" t="str">
        <f t="shared" si="131"/>
        <v>Apprenant 75</v>
      </c>
      <c r="W87" s="22" t="str">
        <f>IF(AND(OR('Choix pédagogiques'!$C$3=1,'Choix pédagogiques'!$C$3=2),$BM87=1),B87,IF(AND('Choix pédagogiques'!$C$3=3,$BO87=1),B87,""))</f>
        <v/>
      </c>
      <c r="X87" s="22" t="str">
        <f>IF(AND(OR('Choix pédagogiques'!$C$3=1,'Choix pédagogiques'!$C$3=2),$BM87=1),C87,IF(AND('Choix pédagogiques'!$C$3=3,$BO87=1),C87,""))</f>
        <v/>
      </c>
      <c r="Y87" s="22" t="str">
        <f>IF(AND(OR('Choix pédagogiques'!$C$3=1,'Choix pédagogiques'!$C$3=2),$BM87=1),D87,IF(AND('Choix pédagogiques'!$C$3=3,$BO87=1),D87,""))</f>
        <v/>
      </c>
      <c r="Z87" s="22" t="str">
        <f t="shared" si="132"/>
        <v/>
      </c>
      <c r="AA87" s="21" t="str">
        <f t="shared" si="133"/>
        <v>Apprenant 75 ou 75'</v>
      </c>
      <c r="AB87" s="22" t="str">
        <f>IF(AND(OR('Choix pédagogiques'!$C$3=1,'Choix pédagogiques'!$C$3=2),$BN87=1),G87,IF(AND('Choix pédagogiques'!$C$3=3,$BO87=1),G87,""))</f>
        <v/>
      </c>
      <c r="AC87" s="22" t="str">
        <f>IF(AND(OR('Choix pédagogiques'!$C$3=1,'Choix pédagogiques'!$C$3=2),$BN87=1),H87,IF(AND('Choix pédagogiques'!$C$3=3,$BO87=1),H87,""))</f>
        <v/>
      </c>
      <c r="AD87" s="22" t="str">
        <f>IF(AND(OR('Choix pédagogiques'!$C$3=1,'Choix pédagogiques'!$C$3=2),$BN87=1),I87,IF(AND('Choix pédagogiques'!$C$3=3,$BO87=1),I87,""))</f>
        <v/>
      </c>
      <c r="AE87" s="22" t="str">
        <f t="shared" si="134"/>
        <v/>
      </c>
      <c r="AF87" s="21" t="str">
        <f t="shared" si="135"/>
        <v>Apprenant 75</v>
      </c>
      <c r="AG87" s="22" t="str">
        <f t="shared" si="109"/>
        <v/>
      </c>
      <c r="AH87" s="22" t="str">
        <f t="shared" si="110"/>
        <v/>
      </c>
      <c r="AI87" s="22" t="str">
        <f t="shared" si="111"/>
        <v/>
      </c>
      <c r="AJ87" s="22" t="str">
        <f t="shared" si="136"/>
        <v/>
      </c>
      <c r="AK87" s="21" t="str">
        <f t="shared" si="137"/>
        <v>Apprenant 75 ou 75'</v>
      </c>
      <c r="AL87" s="22" t="str">
        <f t="shared" si="112"/>
        <v/>
      </c>
      <c r="AM87" s="22" t="str">
        <f t="shared" si="113"/>
        <v/>
      </c>
      <c r="AN87" s="22" t="str">
        <f t="shared" si="114"/>
        <v/>
      </c>
      <c r="AO87" s="22" t="str">
        <f t="shared" si="138"/>
        <v/>
      </c>
      <c r="AQ87" s="21" t="str">
        <f t="shared" si="139"/>
        <v>Apprenant 75</v>
      </c>
      <c r="AR87" s="49" t="str">
        <f>IF(AND('Choix pédagogiques'!$C$4&lt;&gt;"?",'Choix pédagogiques'!$C$5&lt;&gt;"?",W87&lt;&gt;""),(W87-'Choix pédagogiques'!$C$4)/('Choix pédagogiques'!$C$5-'Choix pédagogiques'!$C$4),"")</f>
        <v/>
      </c>
      <c r="AS87" s="49" t="str">
        <f>IF(AND('Choix pédagogiques'!$C$4&lt;&gt;"?",'Choix pédagogiques'!$C$5&lt;&gt;"?",X87&lt;&gt;""),(X87-'Choix pédagogiques'!$C$4)/('Choix pédagogiques'!$C$5-'Choix pédagogiques'!$C$4),"")</f>
        <v/>
      </c>
      <c r="AT87" s="49" t="str">
        <f>IF(AND('Choix pédagogiques'!$C$4&lt;&gt;"?",'Choix pédagogiques'!$C$5&lt;&gt;"?",Y87&lt;&gt;""),(Y87-'Choix pédagogiques'!$C$4)/('Choix pédagogiques'!$C$5-'Choix pédagogiques'!$C$4),"")</f>
        <v/>
      </c>
      <c r="AU87" s="22" t="str">
        <f t="shared" si="140"/>
        <v/>
      </c>
      <c r="AV87" s="21" t="str">
        <f t="shared" si="141"/>
        <v>Apprenant 75 ou 75'</v>
      </c>
      <c r="AW87" s="49" t="str">
        <f>IF(AND('Choix pédagogiques'!$C$4&lt;&gt;"?",'Choix pédagogiques'!$C$5&lt;&gt;"?",AB87&lt;&gt;""),(AB87-'Choix pédagogiques'!$C$4)/('Choix pédagogiques'!$C$5-'Choix pédagogiques'!$C$4),"")</f>
        <v/>
      </c>
      <c r="AX87" s="49" t="str">
        <f>IF(AND('Choix pédagogiques'!$C$4&lt;&gt;"?",'Choix pédagogiques'!$C$5&lt;&gt;"?",AC87&lt;&gt;""),(AC87-'Choix pédagogiques'!$C$4)/('Choix pédagogiques'!$C$5-'Choix pédagogiques'!$C$4),"")</f>
        <v/>
      </c>
      <c r="AY87" s="49" t="str">
        <f>IF(AND('Choix pédagogiques'!$C$4&lt;&gt;"?",'Choix pédagogiques'!$C$5&lt;&gt;"?",AD87&lt;&gt;""),(AD87-'Choix pédagogiques'!$C$4)/('Choix pédagogiques'!$C$5-'Choix pédagogiques'!$C$4),"")</f>
        <v/>
      </c>
      <c r="AZ87" s="22" t="str">
        <f t="shared" si="142"/>
        <v/>
      </c>
      <c r="BA87" s="21" t="str">
        <f t="shared" si="143"/>
        <v>Apprenant 75</v>
      </c>
      <c r="BB87" s="49" t="str">
        <f t="shared" si="115"/>
        <v/>
      </c>
      <c r="BC87" s="49" t="str">
        <f t="shared" si="116"/>
        <v/>
      </c>
      <c r="BD87" s="49" t="str">
        <f t="shared" si="117"/>
        <v/>
      </c>
      <c r="BE87" s="22" t="str">
        <f t="shared" si="144"/>
        <v/>
      </c>
      <c r="BF87" s="21" t="str">
        <f t="shared" si="145"/>
        <v>Apprenant 75 ou 75'</v>
      </c>
      <c r="BG87" s="49" t="str">
        <f t="shared" si="118"/>
        <v/>
      </c>
      <c r="BH87" s="49" t="str">
        <f t="shared" si="119"/>
        <v/>
      </c>
      <c r="BI87" s="49" t="str">
        <f t="shared" si="120"/>
        <v/>
      </c>
      <c r="BJ87" s="22" t="str">
        <f t="shared" si="146"/>
        <v/>
      </c>
      <c r="BL87" s="21"/>
      <c r="BM87" s="21" t="str">
        <f>IF(OR(COUNT(B87:D1086)=0,AND('Choix pédagogiques'!$C$3&lt;&gt;1,'Choix pédagogiques'!$C$3&lt;&gt;2)),"",IF(AND(OR('Choix pédagogiques'!$C$3=1,'Choix pédagogiques'!$C$3=2),$B87&lt;&gt;"",$C87&lt;&gt;"",$D87&lt;&gt;""),1,0))</f>
        <v/>
      </c>
      <c r="BN87" s="21" t="str">
        <f>IF(OR(COUNT(G87:I1086)=0,AND('Choix pédagogiques'!$C$3&lt;&gt;1,'Choix pédagogiques'!$C$3&lt;&gt;2)),"",IF(AND(OR('Choix pédagogiques'!$C$3=1,'Choix pédagogiques'!$C$3=2),AND($G87&lt;&gt;"",$H87&lt;&gt;"",$I87&lt;&gt;"")),1,0))</f>
        <v/>
      </c>
      <c r="BO87" s="21" t="str">
        <f>IF(OR(COUNT(B87:D1086)=0,COUNT(G87:I1086)=0,'Choix pédagogiques'!C$3&lt;&gt;3),"",IF(AND('Choix pédagogiques'!$C$3=3,$B87&lt;&gt;"",$C87&lt;&gt;"",$D87&lt;&gt;"",$G87&lt;&gt;"",$H87&lt;&gt;"",$I87&lt;&gt;""),1,0))</f>
        <v/>
      </c>
      <c r="BR87" s="21">
        <v>872</v>
      </c>
      <c r="BS87" s="21">
        <v>1279</v>
      </c>
      <c r="BT87"/>
    </row>
    <row r="88" spans="1:72" s="23" customFormat="1" ht="18" customHeight="1" x14ac:dyDescent="0.3">
      <c r="A88" s="35" t="s">
        <v>78</v>
      </c>
      <c r="B88" s="37"/>
      <c r="C88" s="37"/>
      <c r="D88" s="37"/>
      <c r="E88" s="37"/>
      <c r="F88" s="35" t="s">
        <v>1086</v>
      </c>
      <c r="G88" s="37"/>
      <c r="H88" s="37"/>
      <c r="I88" s="37"/>
      <c r="J88" s="37"/>
      <c r="K88" s="21" t="str">
        <f t="shared" si="121"/>
        <v>Apprenant 76</v>
      </c>
      <c r="L88" s="22" t="str">
        <f t="shared" si="122"/>
        <v/>
      </c>
      <c r="M88" s="22" t="str">
        <f t="shared" si="123"/>
        <v/>
      </c>
      <c r="N88" s="22" t="str">
        <f t="shared" si="124"/>
        <v/>
      </c>
      <c r="O88" s="22" t="str">
        <f t="shared" si="125"/>
        <v/>
      </c>
      <c r="P88" s="21" t="str">
        <f t="shared" si="126"/>
        <v>Apprenant 76 ou 76'</v>
      </c>
      <c r="Q88" s="22" t="str">
        <f t="shared" si="127"/>
        <v/>
      </c>
      <c r="R88" s="22" t="str">
        <f t="shared" si="128"/>
        <v/>
      </c>
      <c r="S88" s="22" t="str">
        <f t="shared" si="129"/>
        <v/>
      </c>
      <c r="T88" s="22" t="str">
        <f t="shared" si="130"/>
        <v/>
      </c>
      <c r="V88" s="21" t="str">
        <f t="shared" si="131"/>
        <v>Apprenant 76</v>
      </c>
      <c r="W88" s="22" t="str">
        <f>IF(AND(OR('Choix pédagogiques'!$C$3=1,'Choix pédagogiques'!$C$3=2),$BM88=1),B88,IF(AND('Choix pédagogiques'!$C$3=3,$BO88=1),B88,""))</f>
        <v/>
      </c>
      <c r="X88" s="22" t="str">
        <f>IF(AND(OR('Choix pédagogiques'!$C$3=1,'Choix pédagogiques'!$C$3=2),$BM88=1),C88,IF(AND('Choix pédagogiques'!$C$3=3,$BO88=1),C88,""))</f>
        <v/>
      </c>
      <c r="Y88" s="22" t="str">
        <f>IF(AND(OR('Choix pédagogiques'!$C$3=1,'Choix pédagogiques'!$C$3=2),$BM88=1),D88,IF(AND('Choix pédagogiques'!$C$3=3,$BO88=1),D88,""))</f>
        <v/>
      </c>
      <c r="Z88" s="22" t="str">
        <f t="shared" si="132"/>
        <v/>
      </c>
      <c r="AA88" s="21" t="str">
        <f t="shared" si="133"/>
        <v>Apprenant 76 ou 76'</v>
      </c>
      <c r="AB88" s="22" t="str">
        <f>IF(AND(OR('Choix pédagogiques'!$C$3=1,'Choix pédagogiques'!$C$3=2),$BN88=1),G88,IF(AND('Choix pédagogiques'!$C$3=3,$BO88=1),G88,""))</f>
        <v/>
      </c>
      <c r="AC88" s="22" t="str">
        <f>IF(AND(OR('Choix pédagogiques'!$C$3=1,'Choix pédagogiques'!$C$3=2),$BN88=1),H88,IF(AND('Choix pédagogiques'!$C$3=3,$BO88=1),H88,""))</f>
        <v/>
      </c>
      <c r="AD88" s="22" t="str">
        <f>IF(AND(OR('Choix pédagogiques'!$C$3=1,'Choix pédagogiques'!$C$3=2),$BN88=1),I88,IF(AND('Choix pédagogiques'!$C$3=3,$BO88=1),I88,""))</f>
        <v/>
      </c>
      <c r="AE88" s="22" t="str">
        <f t="shared" si="134"/>
        <v/>
      </c>
      <c r="AF88" s="21" t="str">
        <f t="shared" si="135"/>
        <v>Apprenant 76</v>
      </c>
      <c r="AG88" s="22" t="str">
        <f t="shared" si="109"/>
        <v/>
      </c>
      <c r="AH88" s="22" t="str">
        <f t="shared" si="110"/>
        <v/>
      </c>
      <c r="AI88" s="22" t="str">
        <f t="shared" si="111"/>
        <v/>
      </c>
      <c r="AJ88" s="22" t="str">
        <f t="shared" si="136"/>
        <v/>
      </c>
      <c r="AK88" s="21" t="str">
        <f t="shared" si="137"/>
        <v>Apprenant 76 ou 76'</v>
      </c>
      <c r="AL88" s="22" t="str">
        <f t="shared" si="112"/>
        <v/>
      </c>
      <c r="AM88" s="22" t="str">
        <f t="shared" si="113"/>
        <v/>
      </c>
      <c r="AN88" s="22" t="str">
        <f t="shared" si="114"/>
        <v/>
      </c>
      <c r="AO88" s="22" t="str">
        <f t="shared" si="138"/>
        <v/>
      </c>
      <c r="AQ88" s="21" t="str">
        <f t="shared" si="139"/>
        <v>Apprenant 76</v>
      </c>
      <c r="AR88" s="49" t="str">
        <f>IF(AND('Choix pédagogiques'!$C$4&lt;&gt;"?",'Choix pédagogiques'!$C$5&lt;&gt;"?",W88&lt;&gt;""),(W88-'Choix pédagogiques'!$C$4)/('Choix pédagogiques'!$C$5-'Choix pédagogiques'!$C$4),"")</f>
        <v/>
      </c>
      <c r="AS88" s="49" t="str">
        <f>IF(AND('Choix pédagogiques'!$C$4&lt;&gt;"?",'Choix pédagogiques'!$C$5&lt;&gt;"?",X88&lt;&gt;""),(X88-'Choix pédagogiques'!$C$4)/('Choix pédagogiques'!$C$5-'Choix pédagogiques'!$C$4),"")</f>
        <v/>
      </c>
      <c r="AT88" s="49" t="str">
        <f>IF(AND('Choix pédagogiques'!$C$4&lt;&gt;"?",'Choix pédagogiques'!$C$5&lt;&gt;"?",Y88&lt;&gt;""),(Y88-'Choix pédagogiques'!$C$4)/('Choix pédagogiques'!$C$5-'Choix pédagogiques'!$C$4),"")</f>
        <v/>
      </c>
      <c r="AU88" s="22" t="str">
        <f t="shared" si="140"/>
        <v/>
      </c>
      <c r="AV88" s="21" t="str">
        <f t="shared" si="141"/>
        <v>Apprenant 76 ou 76'</v>
      </c>
      <c r="AW88" s="49" t="str">
        <f>IF(AND('Choix pédagogiques'!$C$4&lt;&gt;"?",'Choix pédagogiques'!$C$5&lt;&gt;"?",AB88&lt;&gt;""),(AB88-'Choix pédagogiques'!$C$4)/('Choix pédagogiques'!$C$5-'Choix pédagogiques'!$C$4),"")</f>
        <v/>
      </c>
      <c r="AX88" s="49" t="str">
        <f>IF(AND('Choix pédagogiques'!$C$4&lt;&gt;"?",'Choix pédagogiques'!$C$5&lt;&gt;"?",AC88&lt;&gt;""),(AC88-'Choix pédagogiques'!$C$4)/('Choix pédagogiques'!$C$5-'Choix pédagogiques'!$C$4),"")</f>
        <v/>
      </c>
      <c r="AY88" s="49" t="str">
        <f>IF(AND('Choix pédagogiques'!$C$4&lt;&gt;"?",'Choix pédagogiques'!$C$5&lt;&gt;"?",AD88&lt;&gt;""),(AD88-'Choix pédagogiques'!$C$4)/('Choix pédagogiques'!$C$5-'Choix pédagogiques'!$C$4),"")</f>
        <v/>
      </c>
      <c r="AZ88" s="22" t="str">
        <f t="shared" si="142"/>
        <v/>
      </c>
      <c r="BA88" s="21" t="str">
        <f t="shared" si="143"/>
        <v>Apprenant 76</v>
      </c>
      <c r="BB88" s="49" t="str">
        <f t="shared" si="115"/>
        <v/>
      </c>
      <c r="BC88" s="49" t="str">
        <f t="shared" si="116"/>
        <v/>
      </c>
      <c r="BD88" s="49" t="str">
        <f t="shared" si="117"/>
        <v/>
      </c>
      <c r="BE88" s="22" t="str">
        <f t="shared" si="144"/>
        <v/>
      </c>
      <c r="BF88" s="21" t="str">
        <f t="shared" si="145"/>
        <v>Apprenant 76 ou 76'</v>
      </c>
      <c r="BG88" s="49" t="str">
        <f t="shared" si="118"/>
        <v/>
      </c>
      <c r="BH88" s="49" t="str">
        <f t="shared" si="119"/>
        <v/>
      </c>
      <c r="BI88" s="49" t="str">
        <f t="shared" si="120"/>
        <v/>
      </c>
      <c r="BJ88" s="22" t="str">
        <f t="shared" si="146"/>
        <v/>
      </c>
      <c r="BL88" s="21"/>
      <c r="BM88" s="21" t="str">
        <f>IF(OR(COUNT(B88:D1087)=0,AND('Choix pédagogiques'!$C$3&lt;&gt;1,'Choix pédagogiques'!$C$3&lt;&gt;2)),"",IF(AND(OR('Choix pédagogiques'!$C$3=1,'Choix pédagogiques'!$C$3=2),$B88&lt;&gt;"",$C88&lt;&gt;"",$D88&lt;&gt;""),1,0))</f>
        <v/>
      </c>
      <c r="BN88" s="21" t="str">
        <f>IF(OR(COUNT(G88:I1087)=0,AND('Choix pédagogiques'!$C$3&lt;&gt;1,'Choix pédagogiques'!$C$3&lt;&gt;2)),"",IF(AND(OR('Choix pédagogiques'!$C$3=1,'Choix pédagogiques'!$C$3=2),AND($G88&lt;&gt;"",$H88&lt;&gt;"",$I88&lt;&gt;"")),1,0))</f>
        <v/>
      </c>
      <c r="BO88" s="21" t="str">
        <f>IF(OR(COUNT(B88:D1087)=0,COUNT(G88:I1087)=0,'Choix pédagogiques'!C$3&lt;&gt;3),"",IF(AND('Choix pédagogiques'!$C$3=3,$B88&lt;&gt;"",$C88&lt;&gt;"",$D88&lt;&gt;"",$G88&lt;&gt;"",$H88&lt;&gt;"",$I88&lt;&gt;""),1,0))</f>
        <v/>
      </c>
      <c r="BR88" s="21">
        <v>222</v>
      </c>
      <c r="BS88" s="21">
        <v>1677</v>
      </c>
      <c r="BT88"/>
    </row>
    <row r="89" spans="1:72" s="23" customFormat="1" ht="18" customHeight="1" x14ac:dyDescent="0.3">
      <c r="A89" s="35" t="s">
        <v>79</v>
      </c>
      <c r="B89" s="37"/>
      <c r="C89" s="37"/>
      <c r="D89" s="37"/>
      <c r="E89" s="37"/>
      <c r="F89" s="35" t="s">
        <v>1087</v>
      </c>
      <c r="G89" s="37"/>
      <c r="H89" s="37"/>
      <c r="I89" s="37"/>
      <c r="J89" s="37"/>
      <c r="K89" s="21" t="str">
        <f t="shared" si="121"/>
        <v>Apprenant 77</v>
      </c>
      <c r="L89" s="22" t="str">
        <f t="shared" si="122"/>
        <v/>
      </c>
      <c r="M89" s="22" t="str">
        <f t="shared" si="123"/>
        <v/>
      </c>
      <c r="N89" s="22" t="str">
        <f t="shared" si="124"/>
        <v/>
      </c>
      <c r="O89" s="22" t="str">
        <f t="shared" si="125"/>
        <v/>
      </c>
      <c r="P89" s="21" t="str">
        <f t="shared" si="126"/>
        <v>Apprenant 77 ou 77'</v>
      </c>
      <c r="Q89" s="22" t="str">
        <f t="shared" si="127"/>
        <v/>
      </c>
      <c r="R89" s="22" t="str">
        <f t="shared" si="128"/>
        <v/>
      </c>
      <c r="S89" s="22" t="str">
        <f t="shared" si="129"/>
        <v/>
      </c>
      <c r="T89" s="22" t="str">
        <f t="shared" si="130"/>
        <v/>
      </c>
      <c r="V89" s="21" t="str">
        <f t="shared" si="131"/>
        <v>Apprenant 77</v>
      </c>
      <c r="W89" s="22" t="str">
        <f>IF(AND(OR('Choix pédagogiques'!$C$3=1,'Choix pédagogiques'!$C$3=2),$BM89=1),B89,IF(AND('Choix pédagogiques'!$C$3=3,$BO89=1),B89,""))</f>
        <v/>
      </c>
      <c r="X89" s="22" t="str">
        <f>IF(AND(OR('Choix pédagogiques'!$C$3=1,'Choix pédagogiques'!$C$3=2),$BM89=1),C89,IF(AND('Choix pédagogiques'!$C$3=3,$BO89=1),C89,""))</f>
        <v/>
      </c>
      <c r="Y89" s="22" t="str">
        <f>IF(AND(OR('Choix pédagogiques'!$C$3=1,'Choix pédagogiques'!$C$3=2),$BM89=1),D89,IF(AND('Choix pédagogiques'!$C$3=3,$BO89=1),D89,""))</f>
        <v/>
      </c>
      <c r="Z89" s="22" t="str">
        <f t="shared" si="132"/>
        <v/>
      </c>
      <c r="AA89" s="21" t="str">
        <f t="shared" si="133"/>
        <v>Apprenant 77 ou 77'</v>
      </c>
      <c r="AB89" s="22" t="str">
        <f>IF(AND(OR('Choix pédagogiques'!$C$3=1,'Choix pédagogiques'!$C$3=2),$BN89=1),G89,IF(AND('Choix pédagogiques'!$C$3=3,$BO89=1),G89,""))</f>
        <v/>
      </c>
      <c r="AC89" s="22" t="str">
        <f>IF(AND(OR('Choix pédagogiques'!$C$3=1,'Choix pédagogiques'!$C$3=2),$BN89=1),H89,IF(AND('Choix pédagogiques'!$C$3=3,$BO89=1),H89,""))</f>
        <v/>
      </c>
      <c r="AD89" s="22" t="str">
        <f>IF(AND(OR('Choix pédagogiques'!$C$3=1,'Choix pédagogiques'!$C$3=2),$BN89=1),I89,IF(AND('Choix pédagogiques'!$C$3=3,$BO89=1),I89,""))</f>
        <v/>
      </c>
      <c r="AE89" s="22" t="str">
        <f t="shared" si="134"/>
        <v/>
      </c>
      <c r="AF89" s="21" t="str">
        <f t="shared" si="135"/>
        <v>Apprenant 77</v>
      </c>
      <c r="AG89" s="22" t="str">
        <f t="shared" si="109"/>
        <v/>
      </c>
      <c r="AH89" s="22" t="str">
        <f t="shared" si="110"/>
        <v/>
      </c>
      <c r="AI89" s="22" t="str">
        <f t="shared" si="111"/>
        <v/>
      </c>
      <c r="AJ89" s="22" t="str">
        <f t="shared" si="136"/>
        <v/>
      </c>
      <c r="AK89" s="21" t="str">
        <f t="shared" si="137"/>
        <v>Apprenant 77 ou 77'</v>
      </c>
      <c r="AL89" s="22" t="str">
        <f t="shared" si="112"/>
        <v/>
      </c>
      <c r="AM89" s="22" t="str">
        <f t="shared" si="113"/>
        <v/>
      </c>
      <c r="AN89" s="22" t="str">
        <f t="shared" si="114"/>
        <v/>
      </c>
      <c r="AO89" s="22" t="str">
        <f t="shared" si="138"/>
        <v/>
      </c>
      <c r="AQ89" s="21" t="str">
        <f t="shared" si="139"/>
        <v>Apprenant 77</v>
      </c>
      <c r="AR89" s="49" t="str">
        <f>IF(AND('Choix pédagogiques'!$C$4&lt;&gt;"?",'Choix pédagogiques'!$C$5&lt;&gt;"?",W89&lt;&gt;""),(W89-'Choix pédagogiques'!$C$4)/('Choix pédagogiques'!$C$5-'Choix pédagogiques'!$C$4),"")</f>
        <v/>
      </c>
      <c r="AS89" s="49" t="str">
        <f>IF(AND('Choix pédagogiques'!$C$4&lt;&gt;"?",'Choix pédagogiques'!$C$5&lt;&gt;"?",X89&lt;&gt;""),(X89-'Choix pédagogiques'!$C$4)/('Choix pédagogiques'!$C$5-'Choix pédagogiques'!$C$4),"")</f>
        <v/>
      </c>
      <c r="AT89" s="49" t="str">
        <f>IF(AND('Choix pédagogiques'!$C$4&lt;&gt;"?",'Choix pédagogiques'!$C$5&lt;&gt;"?",Y89&lt;&gt;""),(Y89-'Choix pédagogiques'!$C$4)/('Choix pédagogiques'!$C$5-'Choix pédagogiques'!$C$4),"")</f>
        <v/>
      </c>
      <c r="AU89" s="22" t="str">
        <f t="shared" si="140"/>
        <v/>
      </c>
      <c r="AV89" s="21" t="str">
        <f t="shared" si="141"/>
        <v>Apprenant 77 ou 77'</v>
      </c>
      <c r="AW89" s="49" t="str">
        <f>IF(AND('Choix pédagogiques'!$C$4&lt;&gt;"?",'Choix pédagogiques'!$C$5&lt;&gt;"?",AB89&lt;&gt;""),(AB89-'Choix pédagogiques'!$C$4)/('Choix pédagogiques'!$C$5-'Choix pédagogiques'!$C$4),"")</f>
        <v/>
      </c>
      <c r="AX89" s="49" t="str">
        <f>IF(AND('Choix pédagogiques'!$C$4&lt;&gt;"?",'Choix pédagogiques'!$C$5&lt;&gt;"?",AC89&lt;&gt;""),(AC89-'Choix pédagogiques'!$C$4)/('Choix pédagogiques'!$C$5-'Choix pédagogiques'!$C$4),"")</f>
        <v/>
      </c>
      <c r="AY89" s="49" t="str">
        <f>IF(AND('Choix pédagogiques'!$C$4&lt;&gt;"?",'Choix pédagogiques'!$C$5&lt;&gt;"?",AD89&lt;&gt;""),(AD89-'Choix pédagogiques'!$C$4)/('Choix pédagogiques'!$C$5-'Choix pédagogiques'!$C$4),"")</f>
        <v/>
      </c>
      <c r="AZ89" s="22" t="str">
        <f t="shared" si="142"/>
        <v/>
      </c>
      <c r="BA89" s="21" t="str">
        <f t="shared" si="143"/>
        <v>Apprenant 77</v>
      </c>
      <c r="BB89" s="49" t="str">
        <f t="shared" si="115"/>
        <v/>
      </c>
      <c r="BC89" s="49" t="str">
        <f t="shared" si="116"/>
        <v/>
      </c>
      <c r="BD89" s="49" t="str">
        <f t="shared" si="117"/>
        <v/>
      </c>
      <c r="BE89" s="22" t="str">
        <f t="shared" si="144"/>
        <v/>
      </c>
      <c r="BF89" s="21" t="str">
        <f t="shared" si="145"/>
        <v>Apprenant 77 ou 77'</v>
      </c>
      <c r="BG89" s="49" t="str">
        <f t="shared" si="118"/>
        <v/>
      </c>
      <c r="BH89" s="49" t="str">
        <f t="shared" si="119"/>
        <v/>
      </c>
      <c r="BI89" s="49" t="str">
        <f t="shared" si="120"/>
        <v/>
      </c>
      <c r="BJ89" s="22" t="str">
        <f t="shared" si="146"/>
        <v/>
      </c>
      <c r="BL89" s="21"/>
      <c r="BM89" s="21" t="str">
        <f>IF(OR(COUNT(B89:D1088)=0,AND('Choix pédagogiques'!$C$3&lt;&gt;1,'Choix pédagogiques'!$C$3&lt;&gt;2)),"",IF(AND(OR('Choix pédagogiques'!$C$3=1,'Choix pédagogiques'!$C$3=2),$B89&lt;&gt;"",$C89&lt;&gt;"",$D89&lt;&gt;""),1,0))</f>
        <v/>
      </c>
      <c r="BN89" s="21" t="str">
        <f>IF(OR(COUNT(G89:I1088)=0,AND('Choix pédagogiques'!$C$3&lt;&gt;1,'Choix pédagogiques'!$C$3&lt;&gt;2)),"",IF(AND(OR('Choix pédagogiques'!$C$3=1,'Choix pédagogiques'!$C$3=2),AND($G89&lt;&gt;"",$H89&lt;&gt;"",$I89&lt;&gt;"")),1,0))</f>
        <v/>
      </c>
      <c r="BO89" s="21" t="str">
        <f>IF(OR(COUNT(B89:D1088)=0,COUNT(G89:I1088)=0,'Choix pédagogiques'!C$3&lt;&gt;3),"",IF(AND('Choix pédagogiques'!$C$3=3,$B89&lt;&gt;"",$C89&lt;&gt;"",$D89&lt;&gt;"",$G89&lt;&gt;"",$H89&lt;&gt;"",$I89&lt;&gt;""),1,0))</f>
        <v/>
      </c>
      <c r="BR89" s="21">
        <v>97</v>
      </c>
      <c r="BS89" s="21">
        <v>1105</v>
      </c>
      <c r="BT89"/>
    </row>
    <row r="90" spans="1:72" s="23" customFormat="1" ht="18" customHeight="1" x14ac:dyDescent="0.3">
      <c r="A90" s="35" t="s">
        <v>80</v>
      </c>
      <c r="B90" s="37"/>
      <c r="C90" s="37"/>
      <c r="D90" s="37"/>
      <c r="E90" s="37"/>
      <c r="F90" s="35" t="s">
        <v>1088</v>
      </c>
      <c r="G90" s="37"/>
      <c r="H90" s="37"/>
      <c r="I90" s="37"/>
      <c r="J90" s="37"/>
      <c r="K90" s="21" t="str">
        <f t="shared" si="121"/>
        <v>Apprenant 78</v>
      </c>
      <c r="L90" s="22" t="str">
        <f t="shared" si="122"/>
        <v/>
      </c>
      <c r="M90" s="22" t="str">
        <f t="shared" si="123"/>
        <v/>
      </c>
      <c r="N90" s="22" t="str">
        <f t="shared" si="124"/>
        <v/>
      </c>
      <c r="O90" s="22" t="str">
        <f t="shared" si="125"/>
        <v/>
      </c>
      <c r="P90" s="21" t="str">
        <f t="shared" si="126"/>
        <v>Apprenant 78 ou 78'</v>
      </c>
      <c r="Q90" s="22" t="str">
        <f t="shared" si="127"/>
        <v/>
      </c>
      <c r="R90" s="22" t="str">
        <f t="shared" si="128"/>
        <v/>
      </c>
      <c r="S90" s="22" t="str">
        <f t="shared" si="129"/>
        <v/>
      </c>
      <c r="T90" s="22" t="str">
        <f t="shared" si="130"/>
        <v/>
      </c>
      <c r="V90" s="21" t="str">
        <f t="shared" si="131"/>
        <v>Apprenant 78</v>
      </c>
      <c r="W90" s="22" t="str">
        <f>IF(AND(OR('Choix pédagogiques'!$C$3=1,'Choix pédagogiques'!$C$3=2),$BM90=1),B90,IF(AND('Choix pédagogiques'!$C$3=3,$BO90=1),B90,""))</f>
        <v/>
      </c>
      <c r="X90" s="22" t="str">
        <f>IF(AND(OR('Choix pédagogiques'!$C$3=1,'Choix pédagogiques'!$C$3=2),$BM90=1),C90,IF(AND('Choix pédagogiques'!$C$3=3,$BO90=1),C90,""))</f>
        <v/>
      </c>
      <c r="Y90" s="22" t="str">
        <f>IF(AND(OR('Choix pédagogiques'!$C$3=1,'Choix pédagogiques'!$C$3=2),$BM90=1),D90,IF(AND('Choix pédagogiques'!$C$3=3,$BO90=1),D90,""))</f>
        <v/>
      </c>
      <c r="Z90" s="22" t="str">
        <f t="shared" si="132"/>
        <v/>
      </c>
      <c r="AA90" s="21" t="str">
        <f t="shared" si="133"/>
        <v>Apprenant 78 ou 78'</v>
      </c>
      <c r="AB90" s="22" t="str">
        <f>IF(AND(OR('Choix pédagogiques'!$C$3=1,'Choix pédagogiques'!$C$3=2),$BN90=1),G90,IF(AND('Choix pédagogiques'!$C$3=3,$BO90=1),G90,""))</f>
        <v/>
      </c>
      <c r="AC90" s="22" t="str">
        <f>IF(AND(OR('Choix pédagogiques'!$C$3=1,'Choix pédagogiques'!$C$3=2),$BN90=1),H90,IF(AND('Choix pédagogiques'!$C$3=3,$BO90=1),H90,""))</f>
        <v/>
      </c>
      <c r="AD90" s="22" t="str">
        <f>IF(AND(OR('Choix pédagogiques'!$C$3=1,'Choix pédagogiques'!$C$3=2),$BN90=1),I90,IF(AND('Choix pédagogiques'!$C$3=3,$BO90=1),I90,""))</f>
        <v/>
      </c>
      <c r="AE90" s="22" t="str">
        <f t="shared" si="134"/>
        <v/>
      </c>
      <c r="AF90" s="21" t="str">
        <f t="shared" si="135"/>
        <v>Apprenant 78</v>
      </c>
      <c r="AG90" s="22" t="str">
        <f t="shared" si="109"/>
        <v/>
      </c>
      <c r="AH90" s="22" t="str">
        <f t="shared" si="110"/>
        <v/>
      </c>
      <c r="AI90" s="22" t="str">
        <f t="shared" si="111"/>
        <v/>
      </c>
      <c r="AJ90" s="22" t="str">
        <f t="shared" si="136"/>
        <v/>
      </c>
      <c r="AK90" s="21" t="str">
        <f t="shared" si="137"/>
        <v>Apprenant 78 ou 78'</v>
      </c>
      <c r="AL90" s="22" t="str">
        <f t="shared" si="112"/>
        <v/>
      </c>
      <c r="AM90" s="22" t="str">
        <f t="shared" si="113"/>
        <v/>
      </c>
      <c r="AN90" s="22" t="str">
        <f t="shared" si="114"/>
        <v/>
      </c>
      <c r="AO90" s="22" t="str">
        <f t="shared" si="138"/>
        <v/>
      </c>
      <c r="AQ90" s="21" t="str">
        <f t="shared" si="139"/>
        <v>Apprenant 78</v>
      </c>
      <c r="AR90" s="49" t="str">
        <f>IF(AND('Choix pédagogiques'!$C$4&lt;&gt;"?",'Choix pédagogiques'!$C$5&lt;&gt;"?",W90&lt;&gt;""),(W90-'Choix pédagogiques'!$C$4)/('Choix pédagogiques'!$C$5-'Choix pédagogiques'!$C$4),"")</f>
        <v/>
      </c>
      <c r="AS90" s="49" t="str">
        <f>IF(AND('Choix pédagogiques'!$C$4&lt;&gt;"?",'Choix pédagogiques'!$C$5&lt;&gt;"?",X90&lt;&gt;""),(X90-'Choix pédagogiques'!$C$4)/('Choix pédagogiques'!$C$5-'Choix pédagogiques'!$C$4),"")</f>
        <v/>
      </c>
      <c r="AT90" s="49" t="str">
        <f>IF(AND('Choix pédagogiques'!$C$4&lt;&gt;"?",'Choix pédagogiques'!$C$5&lt;&gt;"?",Y90&lt;&gt;""),(Y90-'Choix pédagogiques'!$C$4)/('Choix pédagogiques'!$C$5-'Choix pédagogiques'!$C$4),"")</f>
        <v/>
      </c>
      <c r="AU90" s="22" t="str">
        <f t="shared" si="140"/>
        <v/>
      </c>
      <c r="AV90" s="21" t="str">
        <f t="shared" si="141"/>
        <v>Apprenant 78 ou 78'</v>
      </c>
      <c r="AW90" s="49" t="str">
        <f>IF(AND('Choix pédagogiques'!$C$4&lt;&gt;"?",'Choix pédagogiques'!$C$5&lt;&gt;"?",AB90&lt;&gt;""),(AB90-'Choix pédagogiques'!$C$4)/('Choix pédagogiques'!$C$5-'Choix pédagogiques'!$C$4),"")</f>
        <v/>
      </c>
      <c r="AX90" s="49" t="str">
        <f>IF(AND('Choix pédagogiques'!$C$4&lt;&gt;"?",'Choix pédagogiques'!$C$5&lt;&gt;"?",AC90&lt;&gt;""),(AC90-'Choix pédagogiques'!$C$4)/('Choix pédagogiques'!$C$5-'Choix pédagogiques'!$C$4),"")</f>
        <v/>
      </c>
      <c r="AY90" s="49" t="str">
        <f>IF(AND('Choix pédagogiques'!$C$4&lt;&gt;"?",'Choix pédagogiques'!$C$5&lt;&gt;"?",AD90&lt;&gt;""),(AD90-'Choix pédagogiques'!$C$4)/('Choix pédagogiques'!$C$5-'Choix pédagogiques'!$C$4),"")</f>
        <v/>
      </c>
      <c r="AZ90" s="22" t="str">
        <f t="shared" si="142"/>
        <v/>
      </c>
      <c r="BA90" s="21" t="str">
        <f t="shared" si="143"/>
        <v>Apprenant 78</v>
      </c>
      <c r="BB90" s="49" t="str">
        <f t="shared" si="115"/>
        <v/>
      </c>
      <c r="BC90" s="49" t="str">
        <f t="shared" si="116"/>
        <v/>
      </c>
      <c r="BD90" s="49" t="str">
        <f t="shared" si="117"/>
        <v/>
      </c>
      <c r="BE90" s="22" t="str">
        <f t="shared" si="144"/>
        <v/>
      </c>
      <c r="BF90" s="21" t="str">
        <f t="shared" si="145"/>
        <v>Apprenant 78 ou 78'</v>
      </c>
      <c r="BG90" s="49" t="str">
        <f t="shared" si="118"/>
        <v/>
      </c>
      <c r="BH90" s="49" t="str">
        <f t="shared" si="119"/>
        <v/>
      </c>
      <c r="BI90" s="49" t="str">
        <f t="shared" si="120"/>
        <v/>
      </c>
      <c r="BJ90" s="22" t="str">
        <f t="shared" si="146"/>
        <v/>
      </c>
      <c r="BL90" s="21"/>
      <c r="BM90" s="21" t="str">
        <f>IF(OR(COUNT(B90:D1089)=0,AND('Choix pédagogiques'!$C$3&lt;&gt;1,'Choix pédagogiques'!$C$3&lt;&gt;2)),"",IF(AND(OR('Choix pédagogiques'!$C$3=1,'Choix pédagogiques'!$C$3=2),$B90&lt;&gt;"",$C90&lt;&gt;"",$D90&lt;&gt;""),1,0))</f>
        <v/>
      </c>
      <c r="BN90" s="21" t="str">
        <f>IF(OR(COUNT(G90:I1089)=0,AND('Choix pédagogiques'!$C$3&lt;&gt;1,'Choix pédagogiques'!$C$3&lt;&gt;2)),"",IF(AND(OR('Choix pédagogiques'!$C$3=1,'Choix pédagogiques'!$C$3=2),AND($G90&lt;&gt;"",$H90&lt;&gt;"",$I90&lt;&gt;"")),1,0))</f>
        <v/>
      </c>
      <c r="BO90" s="21" t="str">
        <f>IF(OR(COUNT(B90:D1089)=0,COUNT(G90:I1089)=0,'Choix pédagogiques'!C$3&lt;&gt;3),"",IF(AND('Choix pédagogiques'!$C$3=3,$B90&lt;&gt;"",$C90&lt;&gt;"",$D90&lt;&gt;"",$G90&lt;&gt;"",$H90&lt;&gt;"",$I90&lt;&gt;""),1,0))</f>
        <v/>
      </c>
      <c r="BR90" s="21">
        <v>157</v>
      </c>
      <c r="BS90" s="21">
        <v>1881</v>
      </c>
      <c r="BT90"/>
    </row>
    <row r="91" spans="1:72" s="23" customFormat="1" ht="18" customHeight="1" x14ac:dyDescent="0.3">
      <c r="A91" s="35" t="s">
        <v>81</v>
      </c>
      <c r="B91" s="37"/>
      <c r="C91" s="37"/>
      <c r="D91" s="37"/>
      <c r="E91" s="37"/>
      <c r="F91" s="35" t="s">
        <v>1089</v>
      </c>
      <c r="G91" s="37"/>
      <c r="H91" s="37"/>
      <c r="I91" s="37"/>
      <c r="J91" s="37"/>
      <c r="K91" s="21" t="str">
        <f t="shared" si="121"/>
        <v>Apprenant 79</v>
      </c>
      <c r="L91" s="22" t="str">
        <f t="shared" si="122"/>
        <v/>
      </c>
      <c r="M91" s="22" t="str">
        <f t="shared" si="123"/>
        <v/>
      </c>
      <c r="N91" s="22" t="str">
        <f t="shared" si="124"/>
        <v/>
      </c>
      <c r="O91" s="22" t="str">
        <f t="shared" si="125"/>
        <v/>
      </c>
      <c r="P91" s="21" t="str">
        <f t="shared" si="126"/>
        <v>Apprenant 79 ou 79'</v>
      </c>
      <c r="Q91" s="22" t="str">
        <f t="shared" si="127"/>
        <v/>
      </c>
      <c r="R91" s="22" t="str">
        <f t="shared" si="128"/>
        <v/>
      </c>
      <c r="S91" s="22" t="str">
        <f t="shared" si="129"/>
        <v/>
      </c>
      <c r="T91" s="22" t="str">
        <f t="shared" si="130"/>
        <v/>
      </c>
      <c r="V91" s="21" t="str">
        <f t="shared" si="131"/>
        <v>Apprenant 79</v>
      </c>
      <c r="W91" s="22" t="str">
        <f>IF(AND(OR('Choix pédagogiques'!$C$3=1,'Choix pédagogiques'!$C$3=2),$BM91=1),B91,IF(AND('Choix pédagogiques'!$C$3=3,$BO91=1),B91,""))</f>
        <v/>
      </c>
      <c r="X91" s="22" t="str">
        <f>IF(AND(OR('Choix pédagogiques'!$C$3=1,'Choix pédagogiques'!$C$3=2),$BM91=1),C91,IF(AND('Choix pédagogiques'!$C$3=3,$BO91=1),C91,""))</f>
        <v/>
      </c>
      <c r="Y91" s="22" t="str">
        <f>IF(AND(OR('Choix pédagogiques'!$C$3=1,'Choix pédagogiques'!$C$3=2),$BM91=1),D91,IF(AND('Choix pédagogiques'!$C$3=3,$BO91=1),D91,""))</f>
        <v/>
      </c>
      <c r="Z91" s="22" t="str">
        <f t="shared" si="132"/>
        <v/>
      </c>
      <c r="AA91" s="21" t="str">
        <f t="shared" si="133"/>
        <v>Apprenant 79 ou 79'</v>
      </c>
      <c r="AB91" s="22" t="str">
        <f>IF(AND(OR('Choix pédagogiques'!$C$3=1,'Choix pédagogiques'!$C$3=2),$BN91=1),G91,IF(AND('Choix pédagogiques'!$C$3=3,$BO91=1),G91,""))</f>
        <v/>
      </c>
      <c r="AC91" s="22" t="str">
        <f>IF(AND(OR('Choix pédagogiques'!$C$3=1,'Choix pédagogiques'!$C$3=2),$BN91=1),H91,IF(AND('Choix pédagogiques'!$C$3=3,$BO91=1),H91,""))</f>
        <v/>
      </c>
      <c r="AD91" s="22" t="str">
        <f>IF(AND(OR('Choix pédagogiques'!$C$3=1,'Choix pédagogiques'!$C$3=2),$BN91=1),I91,IF(AND('Choix pédagogiques'!$C$3=3,$BO91=1),I91,""))</f>
        <v/>
      </c>
      <c r="AE91" s="22" t="str">
        <f t="shared" si="134"/>
        <v/>
      </c>
      <c r="AF91" s="21" t="str">
        <f t="shared" si="135"/>
        <v>Apprenant 79</v>
      </c>
      <c r="AG91" s="22" t="str">
        <f t="shared" si="109"/>
        <v/>
      </c>
      <c r="AH91" s="22" t="str">
        <f t="shared" si="110"/>
        <v/>
      </c>
      <c r="AI91" s="22" t="str">
        <f t="shared" si="111"/>
        <v/>
      </c>
      <c r="AJ91" s="22" t="str">
        <f t="shared" si="136"/>
        <v/>
      </c>
      <c r="AK91" s="21" t="str">
        <f t="shared" si="137"/>
        <v>Apprenant 79 ou 79'</v>
      </c>
      <c r="AL91" s="22" t="str">
        <f t="shared" si="112"/>
        <v/>
      </c>
      <c r="AM91" s="22" t="str">
        <f t="shared" si="113"/>
        <v/>
      </c>
      <c r="AN91" s="22" t="str">
        <f t="shared" si="114"/>
        <v/>
      </c>
      <c r="AO91" s="22" t="str">
        <f t="shared" si="138"/>
        <v/>
      </c>
      <c r="AQ91" s="21" t="str">
        <f t="shared" si="139"/>
        <v>Apprenant 79</v>
      </c>
      <c r="AR91" s="49" t="str">
        <f>IF(AND('Choix pédagogiques'!$C$4&lt;&gt;"?",'Choix pédagogiques'!$C$5&lt;&gt;"?",W91&lt;&gt;""),(W91-'Choix pédagogiques'!$C$4)/('Choix pédagogiques'!$C$5-'Choix pédagogiques'!$C$4),"")</f>
        <v/>
      </c>
      <c r="AS91" s="49" t="str">
        <f>IF(AND('Choix pédagogiques'!$C$4&lt;&gt;"?",'Choix pédagogiques'!$C$5&lt;&gt;"?",X91&lt;&gt;""),(X91-'Choix pédagogiques'!$C$4)/('Choix pédagogiques'!$C$5-'Choix pédagogiques'!$C$4),"")</f>
        <v/>
      </c>
      <c r="AT91" s="49" t="str">
        <f>IF(AND('Choix pédagogiques'!$C$4&lt;&gt;"?",'Choix pédagogiques'!$C$5&lt;&gt;"?",Y91&lt;&gt;""),(Y91-'Choix pédagogiques'!$C$4)/('Choix pédagogiques'!$C$5-'Choix pédagogiques'!$C$4),"")</f>
        <v/>
      </c>
      <c r="AU91" s="22" t="str">
        <f t="shared" si="140"/>
        <v/>
      </c>
      <c r="AV91" s="21" t="str">
        <f t="shared" si="141"/>
        <v>Apprenant 79 ou 79'</v>
      </c>
      <c r="AW91" s="49" t="str">
        <f>IF(AND('Choix pédagogiques'!$C$4&lt;&gt;"?",'Choix pédagogiques'!$C$5&lt;&gt;"?",AB91&lt;&gt;""),(AB91-'Choix pédagogiques'!$C$4)/('Choix pédagogiques'!$C$5-'Choix pédagogiques'!$C$4),"")</f>
        <v/>
      </c>
      <c r="AX91" s="49" t="str">
        <f>IF(AND('Choix pédagogiques'!$C$4&lt;&gt;"?",'Choix pédagogiques'!$C$5&lt;&gt;"?",AC91&lt;&gt;""),(AC91-'Choix pédagogiques'!$C$4)/('Choix pédagogiques'!$C$5-'Choix pédagogiques'!$C$4),"")</f>
        <v/>
      </c>
      <c r="AY91" s="49" t="str">
        <f>IF(AND('Choix pédagogiques'!$C$4&lt;&gt;"?",'Choix pédagogiques'!$C$5&lt;&gt;"?",AD91&lt;&gt;""),(AD91-'Choix pédagogiques'!$C$4)/('Choix pédagogiques'!$C$5-'Choix pédagogiques'!$C$4),"")</f>
        <v/>
      </c>
      <c r="AZ91" s="22" t="str">
        <f t="shared" si="142"/>
        <v/>
      </c>
      <c r="BA91" s="21" t="str">
        <f t="shared" si="143"/>
        <v>Apprenant 79</v>
      </c>
      <c r="BB91" s="49" t="str">
        <f t="shared" si="115"/>
        <v/>
      </c>
      <c r="BC91" s="49" t="str">
        <f t="shared" si="116"/>
        <v/>
      </c>
      <c r="BD91" s="49" t="str">
        <f t="shared" si="117"/>
        <v/>
      </c>
      <c r="BE91" s="22" t="str">
        <f t="shared" si="144"/>
        <v/>
      </c>
      <c r="BF91" s="21" t="str">
        <f t="shared" si="145"/>
        <v>Apprenant 79 ou 79'</v>
      </c>
      <c r="BG91" s="49" t="str">
        <f t="shared" si="118"/>
        <v/>
      </c>
      <c r="BH91" s="49" t="str">
        <f t="shared" si="119"/>
        <v/>
      </c>
      <c r="BI91" s="49" t="str">
        <f t="shared" si="120"/>
        <v/>
      </c>
      <c r="BJ91" s="22" t="str">
        <f t="shared" si="146"/>
        <v/>
      </c>
      <c r="BL91" s="21"/>
      <c r="BM91" s="21" t="str">
        <f>IF(OR(COUNT(B91:D1090)=0,AND('Choix pédagogiques'!$C$3&lt;&gt;1,'Choix pédagogiques'!$C$3&lt;&gt;2)),"",IF(AND(OR('Choix pédagogiques'!$C$3=1,'Choix pédagogiques'!$C$3=2),$B91&lt;&gt;"",$C91&lt;&gt;"",$D91&lt;&gt;""),1,0))</f>
        <v/>
      </c>
      <c r="BN91" s="21" t="str">
        <f>IF(OR(COUNT(G91:I1090)=0,AND('Choix pédagogiques'!$C$3&lt;&gt;1,'Choix pédagogiques'!$C$3&lt;&gt;2)),"",IF(AND(OR('Choix pédagogiques'!$C$3=1,'Choix pédagogiques'!$C$3=2),AND($G91&lt;&gt;"",$H91&lt;&gt;"",$I91&lt;&gt;"")),1,0))</f>
        <v/>
      </c>
      <c r="BO91" s="21" t="str">
        <f>IF(OR(COUNT(B91:D1090)=0,COUNT(G91:I1090)=0,'Choix pédagogiques'!C$3&lt;&gt;3),"",IF(AND('Choix pédagogiques'!$C$3=3,$B91&lt;&gt;"",$C91&lt;&gt;"",$D91&lt;&gt;"",$G91&lt;&gt;"",$H91&lt;&gt;"",$I91&lt;&gt;""),1,0))</f>
        <v/>
      </c>
      <c r="BR91" s="21">
        <v>26</v>
      </c>
      <c r="BS91" s="21">
        <v>1471</v>
      </c>
      <c r="BT91"/>
    </row>
    <row r="92" spans="1:72" s="23" customFormat="1" ht="18" customHeight="1" x14ac:dyDescent="0.3">
      <c r="A92" s="35" t="s">
        <v>82</v>
      </c>
      <c r="B92" s="37"/>
      <c r="C92" s="37"/>
      <c r="D92" s="37"/>
      <c r="E92" s="37"/>
      <c r="F92" s="35" t="s">
        <v>1090</v>
      </c>
      <c r="G92" s="37"/>
      <c r="H92" s="37"/>
      <c r="I92" s="37"/>
      <c r="J92" s="37"/>
      <c r="K92" s="21" t="str">
        <f t="shared" si="121"/>
        <v>Apprenant 80</v>
      </c>
      <c r="L92" s="22" t="str">
        <f t="shared" si="122"/>
        <v/>
      </c>
      <c r="M92" s="22" t="str">
        <f t="shared" si="123"/>
        <v/>
      </c>
      <c r="N92" s="22" t="str">
        <f t="shared" si="124"/>
        <v/>
      </c>
      <c r="O92" s="22" t="str">
        <f t="shared" si="125"/>
        <v/>
      </c>
      <c r="P92" s="21" t="str">
        <f t="shared" si="126"/>
        <v>Apprenant 80 ou 80'</v>
      </c>
      <c r="Q92" s="22" t="str">
        <f t="shared" si="127"/>
        <v/>
      </c>
      <c r="R92" s="22" t="str">
        <f t="shared" si="128"/>
        <v/>
      </c>
      <c r="S92" s="22" t="str">
        <f t="shared" si="129"/>
        <v/>
      </c>
      <c r="T92" s="22" t="str">
        <f t="shared" si="130"/>
        <v/>
      </c>
      <c r="V92" s="21" t="str">
        <f t="shared" si="131"/>
        <v>Apprenant 80</v>
      </c>
      <c r="W92" s="22" t="str">
        <f>IF(AND(OR('Choix pédagogiques'!$C$3=1,'Choix pédagogiques'!$C$3=2),$BM92=1),B92,IF(AND('Choix pédagogiques'!$C$3=3,$BO92=1),B92,""))</f>
        <v/>
      </c>
      <c r="X92" s="22" t="str">
        <f>IF(AND(OR('Choix pédagogiques'!$C$3=1,'Choix pédagogiques'!$C$3=2),$BM92=1),C92,IF(AND('Choix pédagogiques'!$C$3=3,$BO92=1),C92,""))</f>
        <v/>
      </c>
      <c r="Y92" s="22" t="str">
        <f>IF(AND(OR('Choix pédagogiques'!$C$3=1,'Choix pédagogiques'!$C$3=2),$BM92=1),D92,IF(AND('Choix pédagogiques'!$C$3=3,$BO92=1),D92,""))</f>
        <v/>
      </c>
      <c r="Z92" s="22" t="str">
        <f t="shared" si="132"/>
        <v/>
      </c>
      <c r="AA92" s="21" t="str">
        <f t="shared" si="133"/>
        <v>Apprenant 80 ou 80'</v>
      </c>
      <c r="AB92" s="22" t="str">
        <f>IF(AND(OR('Choix pédagogiques'!$C$3=1,'Choix pédagogiques'!$C$3=2),$BN92=1),G92,IF(AND('Choix pédagogiques'!$C$3=3,$BO92=1),G92,""))</f>
        <v/>
      </c>
      <c r="AC92" s="22" t="str">
        <f>IF(AND(OR('Choix pédagogiques'!$C$3=1,'Choix pédagogiques'!$C$3=2),$BN92=1),H92,IF(AND('Choix pédagogiques'!$C$3=3,$BO92=1),H92,""))</f>
        <v/>
      </c>
      <c r="AD92" s="22" t="str">
        <f>IF(AND(OR('Choix pédagogiques'!$C$3=1,'Choix pédagogiques'!$C$3=2),$BN92=1),I92,IF(AND('Choix pédagogiques'!$C$3=3,$BO92=1),I92,""))</f>
        <v/>
      </c>
      <c r="AE92" s="22" t="str">
        <f t="shared" si="134"/>
        <v/>
      </c>
      <c r="AF92" s="21" t="str">
        <f t="shared" si="135"/>
        <v>Apprenant 80</v>
      </c>
      <c r="AG92" s="22" t="str">
        <f t="shared" si="109"/>
        <v/>
      </c>
      <c r="AH92" s="22" t="str">
        <f t="shared" si="110"/>
        <v/>
      </c>
      <c r="AI92" s="22" t="str">
        <f t="shared" si="111"/>
        <v/>
      </c>
      <c r="AJ92" s="22" t="str">
        <f t="shared" si="136"/>
        <v/>
      </c>
      <c r="AK92" s="21" t="str">
        <f t="shared" si="137"/>
        <v>Apprenant 80 ou 80'</v>
      </c>
      <c r="AL92" s="22" t="str">
        <f t="shared" si="112"/>
        <v/>
      </c>
      <c r="AM92" s="22" t="str">
        <f t="shared" si="113"/>
        <v/>
      </c>
      <c r="AN92" s="22" t="str">
        <f t="shared" si="114"/>
        <v/>
      </c>
      <c r="AO92" s="22" t="str">
        <f t="shared" si="138"/>
        <v/>
      </c>
      <c r="AQ92" s="21" t="str">
        <f t="shared" si="139"/>
        <v>Apprenant 80</v>
      </c>
      <c r="AR92" s="49" t="str">
        <f>IF(AND('Choix pédagogiques'!$C$4&lt;&gt;"?",'Choix pédagogiques'!$C$5&lt;&gt;"?",W92&lt;&gt;""),(W92-'Choix pédagogiques'!$C$4)/('Choix pédagogiques'!$C$5-'Choix pédagogiques'!$C$4),"")</f>
        <v/>
      </c>
      <c r="AS92" s="49" t="str">
        <f>IF(AND('Choix pédagogiques'!$C$4&lt;&gt;"?",'Choix pédagogiques'!$C$5&lt;&gt;"?",X92&lt;&gt;""),(X92-'Choix pédagogiques'!$C$4)/('Choix pédagogiques'!$C$5-'Choix pédagogiques'!$C$4),"")</f>
        <v/>
      </c>
      <c r="AT92" s="49" t="str">
        <f>IF(AND('Choix pédagogiques'!$C$4&lt;&gt;"?",'Choix pédagogiques'!$C$5&lt;&gt;"?",Y92&lt;&gt;""),(Y92-'Choix pédagogiques'!$C$4)/('Choix pédagogiques'!$C$5-'Choix pédagogiques'!$C$4),"")</f>
        <v/>
      </c>
      <c r="AU92" s="22" t="str">
        <f t="shared" si="140"/>
        <v/>
      </c>
      <c r="AV92" s="21" t="str">
        <f t="shared" si="141"/>
        <v>Apprenant 80 ou 80'</v>
      </c>
      <c r="AW92" s="49" t="str">
        <f>IF(AND('Choix pédagogiques'!$C$4&lt;&gt;"?",'Choix pédagogiques'!$C$5&lt;&gt;"?",AB92&lt;&gt;""),(AB92-'Choix pédagogiques'!$C$4)/('Choix pédagogiques'!$C$5-'Choix pédagogiques'!$C$4),"")</f>
        <v/>
      </c>
      <c r="AX92" s="49" t="str">
        <f>IF(AND('Choix pédagogiques'!$C$4&lt;&gt;"?",'Choix pédagogiques'!$C$5&lt;&gt;"?",AC92&lt;&gt;""),(AC92-'Choix pédagogiques'!$C$4)/('Choix pédagogiques'!$C$5-'Choix pédagogiques'!$C$4),"")</f>
        <v/>
      </c>
      <c r="AY92" s="49" t="str">
        <f>IF(AND('Choix pédagogiques'!$C$4&lt;&gt;"?",'Choix pédagogiques'!$C$5&lt;&gt;"?",AD92&lt;&gt;""),(AD92-'Choix pédagogiques'!$C$4)/('Choix pédagogiques'!$C$5-'Choix pédagogiques'!$C$4),"")</f>
        <v/>
      </c>
      <c r="AZ92" s="22" t="str">
        <f t="shared" si="142"/>
        <v/>
      </c>
      <c r="BA92" s="21" t="str">
        <f t="shared" si="143"/>
        <v>Apprenant 80</v>
      </c>
      <c r="BB92" s="49" t="str">
        <f t="shared" si="115"/>
        <v/>
      </c>
      <c r="BC92" s="49" t="str">
        <f t="shared" si="116"/>
        <v/>
      </c>
      <c r="BD92" s="49" t="str">
        <f t="shared" si="117"/>
        <v/>
      </c>
      <c r="BE92" s="22" t="str">
        <f t="shared" si="144"/>
        <v/>
      </c>
      <c r="BF92" s="21" t="str">
        <f t="shared" si="145"/>
        <v>Apprenant 80 ou 80'</v>
      </c>
      <c r="BG92" s="49" t="str">
        <f t="shared" si="118"/>
        <v/>
      </c>
      <c r="BH92" s="49" t="str">
        <f t="shared" si="119"/>
        <v/>
      </c>
      <c r="BI92" s="49" t="str">
        <f t="shared" si="120"/>
        <v/>
      </c>
      <c r="BJ92" s="22" t="str">
        <f t="shared" si="146"/>
        <v/>
      </c>
      <c r="BL92" s="21"/>
      <c r="BM92" s="21" t="str">
        <f>IF(OR(COUNT(B92:D1091)=0,AND('Choix pédagogiques'!$C$3&lt;&gt;1,'Choix pédagogiques'!$C$3&lt;&gt;2)),"",IF(AND(OR('Choix pédagogiques'!$C$3=1,'Choix pédagogiques'!$C$3=2),$B92&lt;&gt;"",$C92&lt;&gt;"",$D92&lt;&gt;""),1,0))</f>
        <v/>
      </c>
      <c r="BN92" s="21" t="str">
        <f>IF(OR(COUNT(G92:I1091)=0,AND('Choix pédagogiques'!$C$3&lt;&gt;1,'Choix pédagogiques'!$C$3&lt;&gt;2)),"",IF(AND(OR('Choix pédagogiques'!$C$3=1,'Choix pédagogiques'!$C$3=2),AND($G92&lt;&gt;"",$H92&lt;&gt;"",$I92&lt;&gt;"")),1,0))</f>
        <v/>
      </c>
      <c r="BO92" s="21" t="str">
        <f>IF(OR(COUNT(B92:D1091)=0,COUNT(G92:I1091)=0,'Choix pédagogiques'!C$3&lt;&gt;3),"",IF(AND('Choix pédagogiques'!$C$3=3,$B92&lt;&gt;"",$C92&lt;&gt;"",$D92&lt;&gt;"",$G92&lt;&gt;"",$H92&lt;&gt;"",$I92&lt;&gt;""),1,0))</f>
        <v/>
      </c>
      <c r="BR92" s="21">
        <v>755</v>
      </c>
      <c r="BS92" s="21">
        <v>1778</v>
      </c>
      <c r="BT92"/>
    </row>
    <row r="93" spans="1:72" s="23" customFormat="1" ht="18" customHeight="1" x14ac:dyDescent="0.3">
      <c r="A93" s="35" t="s">
        <v>83</v>
      </c>
      <c r="B93" s="37"/>
      <c r="C93" s="37"/>
      <c r="D93" s="37"/>
      <c r="E93" s="37"/>
      <c r="F93" s="35" t="s">
        <v>1091</v>
      </c>
      <c r="G93" s="37"/>
      <c r="H93" s="37"/>
      <c r="I93" s="37"/>
      <c r="J93" s="37"/>
      <c r="K93" s="21" t="str">
        <f t="shared" si="121"/>
        <v>Apprenant 81</v>
      </c>
      <c r="L93" s="22" t="str">
        <f t="shared" si="122"/>
        <v/>
      </c>
      <c r="M93" s="22" t="str">
        <f t="shared" si="123"/>
        <v/>
      </c>
      <c r="N93" s="22" t="str">
        <f t="shared" si="124"/>
        <v/>
      </c>
      <c r="O93" s="22" t="str">
        <f t="shared" si="125"/>
        <v/>
      </c>
      <c r="P93" s="21" t="str">
        <f t="shared" si="126"/>
        <v>Apprenant 81 ou 81'</v>
      </c>
      <c r="Q93" s="22" t="str">
        <f t="shared" si="127"/>
        <v/>
      </c>
      <c r="R93" s="22" t="str">
        <f t="shared" si="128"/>
        <v/>
      </c>
      <c r="S93" s="22" t="str">
        <f t="shared" si="129"/>
        <v/>
      </c>
      <c r="T93" s="22" t="str">
        <f t="shared" si="130"/>
        <v/>
      </c>
      <c r="V93" s="21" t="str">
        <f t="shared" si="131"/>
        <v>Apprenant 81</v>
      </c>
      <c r="W93" s="22" t="str">
        <f>IF(AND(OR('Choix pédagogiques'!$C$3=1,'Choix pédagogiques'!$C$3=2),$BM93=1),B93,IF(AND('Choix pédagogiques'!$C$3=3,$BO93=1),B93,""))</f>
        <v/>
      </c>
      <c r="X93" s="22" t="str">
        <f>IF(AND(OR('Choix pédagogiques'!$C$3=1,'Choix pédagogiques'!$C$3=2),$BM93=1),C93,IF(AND('Choix pédagogiques'!$C$3=3,$BO93=1),C93,""))</f>
        <v/>
      </c>
      <c r="Y93" s="22" t="str">
        <f>IF(AND(OR('Choix pédagogiques'!$C$3=1,'Choix pédagogiques'!$C$3=2),$BM93=1),D93,IF(AND('Choix pédagogiques'!$C$3=3,$BO93=1),D93,""))</f>
        <v/>
      </c>
      <c r="Z93" s="22" t="str">
        <f t="shared" si="132"/>
        <v/>
      </c>
      <c r="AA93" s="21" t="str">
        <f t="shared" si="133"/>
        <v>Apprenant 81 ou 81'</v>
      </c>
      <c r="AB93" s="22" t="str">
        <f>IF(AND(OR('Choix pédagogiques'!$C$3=1,'Choix pédagogiques'!$C$3=2),$BN93=1),G93,IF(AND('Choix pédagogiques'!$C$3=3,$BO93=1),G93,""))</f>
        <v/>
      </c>
      <c r="AC93" s="22" t="str">
        <f>IF(AND(OR('Choix pédagogiques'!$C$3=1,'Choix pédagogiques'!$C$3=2),$BN93=1),H93,IF(AND('Choix pédagogiques'!$C$3=3,$BO93=1),H93,""))</f>
        <v/>
      </c>
      <c r="AD93" s="22" t="str">
        <f>IF(AND(OR('Choix pédagogiques'!$C$3=1,'Choix pédagogiques'!$C$3=2),$BN93=1),I93,IF(AND('Choix pédagogiques'!$C$3=3,$BO93=1),I93,""))</f>
        <v/>
      </c>
      <c r="AE93" s="22" t="str">
        <f t="shared" si="134"/>
        <v/>
      </c>
      <c r="AF93" s="21" t="str">
        <f t="shared" si="135"/>
        <v>Apprenant 81</v>
      </c>
      <c r="AG93" s="22" t="str">
        <f t="shared" si="109"/>
        <v/>
      </c>
      <c r="AH93" s="22" t="str">
        <f t="shared" si="110"/>
        <v/>
      </c>
      <c r="AI93" s="22" t="str">
        <f t="shared" si="111"/>
        <v/>
      </c>
      <c r="AJ93" s="22" t="str">
        <f t="shared" si="136"/>
        <v/>
      </c>
      <c r="AK93" s="21" t="str">
        <f t="shared" si="137"/>
        <v>Apprenant 81 ou 81'</v>
      </c>
      <c r="AL93" s="22" t="str">
        <f t="shared" si="112"/>
        <v/>
      </c>
      <c r="AM93" s="22" t="str">
        <f t="shared" si="113"/>
        <v/>
      </c>
      <c r="AN93" s="22" t="str">
        <f t="shared" si="114"/>
        <v/>
      </c>
      <c r="AO93" s="22" t="str">
        <f t="shared" si="138"/>
        <v/>
      </c>
      <c r="AQ93" s="21" t="str">
        <f t="shared" si="139"/>
        <v>Apprenant 81</v>
      </c>
      <c r="AR93" s="49" t="str">
        <f>IF(AND('Choix pédagogiques'!$C$4&lt;&gt;"?",'Choix pédagogiques'!$C$5&lt;&gt;"?",W93&lt;&gt;""),(W93-'Choix pédagogiques'!$C$4)/('Choix pédagogiques'!$C$5-'Choix pédagogiques'!$C$4),"")</f>
        <v/>
      </c>
      <c r="AS93" s="49" t="str">
        <f>IF(AND('Choix pédagogiques'!$C$4&lt;&gt;"?",'Choix pédagogiques'!$C$5&lt;&gt;"?",X93&lt;&gt;""),(X93-'Choix pédagogiques'!$C$4)/('Choix pédagogiques'!$C$5-'Choix pédagogiques'!$C$4),"")</f>
        <v/>
      </c>
      <c r="AT93" s="49" t="str">
        <f>IF(AND('Choix pédagogiques'!$C$4&lt;&gt;"?",'Choix pédagogiques'!$C$5&lt;&gt;"?",Y93&lt;&gt;""),(Y93-'Choix pédagogiques'!$C$4)/('Choix pédagogiques'!$C$5-'Choix pédagogiques'!$C$4),"")</f>
        <v/>
      </c>
      <c r="AU93" s="22" t="str">
        <f t="shared" si="140"/>
        <v/>
      </c>
      <c r="AV93" s="21" t="str">
        <f t="shared" si="141"/>
        <v>Apprenant 81 ou 81'</v>
      </c>
      <c r="AW93" s="49" t="str">
        <f>IF(AND('Choix pédagogiques'!$C$4&lt;&gt;"?",'Choix pédagogiques'!$C$5&lt;&gt;"?",AB93&lt;&gt;""),(AB93-'Choix pédagogiques'!$C$4)/('Choix pédagogiques'!$C$5-'Choix pédagogiques'!$C$4),"")</f>
        <v/>
      </c>
      <c r="AX93" s="49" t="str">
        <f>IF(AND('Choix pédagogiques'!$C$4&lt;&gt;"?",'Choix pédagogiques'!$C$5&lt;&gt;"?",AC93&lt;&gt;""),(AC93-'Choix pédagogiques'!$C$4)/('Choix pédagogiques'!$C$5-'Choix pédagogiques'!$C$4),"")</f>
        <v/>
      </c>
      <c r="AY93" s="49" t="str">
        <f>IF(AND('Choix pédagogiques'!$C$4&lt;&gt;"?",'Choix pédagogiques'!$C$5&lt;&gt;"?",AD93&lt;&gt;""),(AD93-'Choix pédagogiques'!$C$4)/('Choix pédagogiques'!$C$5-'Choix pédagogiques'!$C$4),"")</f>
        <v/>
      </c>
      <c r="AZ93" s="22" t="str">
        <f t="shared" si="142"/>
        <v/>
      </c>
      <c r="BA93" s="21" t="str">
        <f t="shared" si="143"/>
        <v>Apprenant 81</v>
      </c>
      <c r="BB93" s="49" t="str">
        <f t="shared" si="115"/>
        <v/>
      </c>
      <c r="BC93" s="49" t="str">
        <f t="shared" si="116"/>
        <v/>
      </c>
      <c r="BD93" s="49" t="str">
        <f t="shared" si="117"/>
        <v/>
      </c>
      <c r="BE93" s="22" t="str">
        <f t="shared" si="144"/>
        <v/>
      </c>
      <c r="BF93" s="21" t="str">
        <f t="shared" si="145"/>
        <v>Apprenant 81 ou 81'</v>
      </c>
      <c r="BG93" s="49" t="str">
        <f t="shared" si="118"/>
        <v/>
      </c>
      <c r="BH93" s="49" t="str">
        <f t="shared" si="119"/>
        <v/>
      </c>
      <c r="BI93" s="49" t="str">
        <f t="shared" si="120"/>
        <v/>
      </c>
      <c r="BJ93" s="22" t="str">
        <f t="shared" si="146"/>
        <v/>
      </c>
      <c r="BL93" s="21"/>
      <c r="BM93" s="21" t="str">
        <f>IF(OR(COUNT(B93:D1092)=0,AND('Choix pédagogiques'!$C$3&lt;&gt;1,'Choix pédagogiques'!$C$3&lt;&gt;2)),"",IF(AND(OR('Choix pédagogiques'!$C$3=1,'Choix pédagogiques'!$C$3=2),$B93&lt;&gt;"",$C93&lt;&gt;"",$D93&lt;&gt;""),1,0))</f>
        <v/>
      </c>
      <c r="BN93" s="21" t="str">
        <f>IF(OR(COUNT(G93:I1092)=0,AND('Choix pédagogiques'!$C$3&lt;&gt;1,'Choix pédagogiques'!$C$3&lt;&gt;2)),"",IF(AND(OR('Choix pédagogiques'!$C$3=1,'Choix pédagogiques'!$C$3=2),AND($G93&lt;&gt;"",$H93&lt;&gt;"",$I93&lt;&gt;"")),1,0))</f>
        <v/>
      </c>
      <c r="BO93" s="21" t="str">
        <f>IF(OR(COUNT(B93:D1092)=0,COUNT(G93:I1092)=0,'Choix pédagogiques'!C$3&lt;&gt;3),"",IF(AND('Choix pédagogiques'!$C$3=3,$B93&lt;&gt;"",$C93&lt;&gt;"",$D93&lt;&gt;"",$G93&lt;&gt;"",$H93&lt;&gt;"",$I93&lt;&gt;""),1,0))</f>
        <v/>
      </c>
      <c r="BR93" s="21">
        <v>296</v>
      </c>
      <c r="BS93" s="21">
        <v>1195</v>
      </c>
      <c r="BT93"/>
    </row>
    <row r="94" spans="1:72" s="23" customFormat="1" ht="18" customHeight="1" x14ac:dyDescent="0.3">
      <c r="A94" s="35" t="s">
        <v>84</v>
      </c>
      <c r="B94" s="37"/>
      <c r="C94" s="37"/>
      <c r="D94" s="37"/>
      <c r="E94" s="37"/>
      <c r="F94" s="35" t="s">
        <v>1092</v>
      </c>
      <c r="G94" s="37"/>
      <c r="H94" s="37"/>
      <c r="I94" s="37"/>
      <c r="J94" s="37"/>
      <c r="K94" s="21" t="str">
        <f t="shared" si="121"/>
        <v>Apprenant 82</v>
      </c>
      <c r="L94" s="22" t="str">
        <f t="shared" si="122"/>
        <v/>
      </c>
      <c r="M94" s="22" t="str">
        <f t="shared" si="123"/>
        <v/>
      </c>
      <c r="N94" s="22" t="str">
        <f t="shared" si="124"/>
        <v/>
      </c>
      <c r="O94" s="22" t="str">
        <f t="shared" si="125"/>
        <v/>
      </c>
      <c r="P94" s="21" t="str">
        <f t="shared" si="126"/>
        <v>Apprenant 82 ou 82'</v>
      </c>
      <c r="Q94" s="22" t="str">
        <f t="shared" si="127"/>
        <v/>
      </c>
      <c r="R94" s="22" t="str">
        <f t="shared" si="128"/>
        <v/>
      </c>
      <c r="S94" s="22" t="str">
        <f t="shared" si="129"/>
        <v/>
      </c>
      <c r="T94" s="22" t="str">
        <f t="shared" si="130"/>
        <v/>
      </c>
      <c r="V94" s="21" t="str">
        <f t="shared" si="131"/>
        <v>Apprenant 82</v>
      </c>
      <c r="W94" s="22" t="str">
        <f>IF(AND(OR('Choix pédagogiques'!$C$3=1,'Choix pédagogiques'!$C$3=2),$BM94=1),B94,IF(AND('Choix pédagogiques'!$C$3=3,$BO94=1),B94,""))</f>
        <v/>
      </c>
      <c r="X94" s="22" t="str">
        <f>IF(AND(OR('Choix pédagogiques'!$C$3=1,'Choix pédagogiques'!$C$3=2),$BM94=1),C94,IF(AND('Choix pédagogiques'!$C$3=3,$BO94=1),C94,""))</f>
        <v/>
      </c>
      <c r="Y94" s="22" t="str">
        <f>IF(AND(OR('Choix pédagogiques'!$C$3=1,'Choix pédagogiques'!$C$3=2),$BM94=1),D94,IF(AND('Choix pédagogiques'!$C$3=3,$BO94=1),D94,""))</f>
        <v/>
      </c>
      <c r="Z94" s="22" t="str">
        <f t="shared" si="132"/>
        <v/>
      </c>
      <c r="AA94" s="21" t="str">
        <f t="shared" si="133"/>
        <v>Apprenant 82 ou 82'</v>
      </c>
      <c r="AB94" s="22" t="str">
        <f>IF(AND(OR('Choix pédagogiques'!$C$3=1,'Choix pédagogiques'!$C$3=2),$BN94=1),G94,IF(AND('Choix pédagogiques'!$C$3=3,$BO94=1),G94,""))</f>
        <v/>
      </c>
      <c r="AC94" s="22" t="str">
        <f>IF(AND(OR('Choix pédagogiques'!$C$3=1,'Choix pédagogiques'!$C$3=2),$BN94=1),H94,IF(AND('Choix pédagogiques'!$C$3=3,$BO94=1),H94,""))</f>
        <v/>
      </c>
      <c r="AD94" s="22" t="str">
        <f>IF(AND(OR('Choix pédagogiques'!$C$3=1,'Choix pédagogiques'!$C$3=2),$BN94=1),I94,IF(AND('Choix pédagogiques'!$C$3=3,$BO94=1),I94,""))</f>
        <v/>
      </c>
      <c r="AE94" s="22" t="str">
        <f t="shared" si="134"/>
        <v/>
      </c>
      <c r="AF94" s="21" t="str">
        <f t="shared" si="135"/>
        <v>Apprenant 82</v>
      </c>
      <c r="AG94" s="22" t="str">
        <f t="shared" si="109"/>
        <v/>
      </c>
      <c r="AH94" s="22" t="str">
        <f t="shared" si="110"/>
        <v/>
      </c>
      <c r="AI94" s="22" t="str">
        <f t="shared" si="111"/>
        <v/>
      </c>
      <c r="AJ94" s="22" t="str">
        <f t="shared" si="136"/>
        <v/>
      </c>
      <c r="AK94" s="21" t="str">
        <f t="shared" si="137"/>
        <v>Apprenant 82 ou 82'</v>
      </c>
      <c r="AL94" s="22" t="str">
        <f t="shared" si="112"/>
        <v/>
      </c>
      <c r="AM94" s="22" t="str">
        <f t="shared" si="113"/>
        <v/>
      </c>
      <c r="AN94" s="22" t="str">
        <f t="shared" si="114"/>
        <v/>
      </c>
      <c r="AO94" s="22" t="str">
        <f t="shared" si="138"/>
        <v/>
      </c>
      <c r="AQ94" s="21" t="str">
        <f t="shared" si="139"/>
        <v>Apprenant 82</v>
      </c>
      <c r="AR94" s="49" t="str">
        <f>IF(AND('Choix pédagogiques'!$C$4&lt;&gt;"?",'Choix pédagogiques'!$C$5&lt;&gt;"?",W94&lt;&gt;""),(W94-'Choix pédagogiques'!$C$4)/('Choix pédagogiques'!$C$5-'Choix pédagogiques'!$C$4),"")</f>
        <v/>
      </c>
      <c r="AS94" s="49" t="str">
        <f>IF(AND('Choix pédagogiques'!$C$4&lt;&gt;"?",'Choix pédagogiques'!$C$5&lt;&gt;"?",X94&lt;&gt;""),(X94-'Choix pédagogiques'!$C$4)/('Choix pédagogiques'!$C$5-'Choix pédagogiques'!$C$4),"")</f>
        <v/>
      </c>
      <c r="AT94" s="49" t="str">
        <f>IF(AND('Choix pédagogiques'!$C$4&lt;&gt;"?",'Choix pédagogiques'!$C$5&lt;&gt;"?",Y94&lt;&gt;""),(Y94-'Choix pédagogiques'!$C$4)/('Choix pédagogiques'!$C$5-'Choix pédagogiques'!$C$4),"")</f>
        <v/>
      </c>
      <c r="AU94" s="22" t="str">
        <f t="shared" si="140"/>
        <v/>
      </c>
      <c r="AV94" s="21" t="str">
        <f t="shared" si="141"/>
        <v>Apprenant 82 ou 82'</v>
      </c>
      <c r="AW94" s="49" t="str">
        <f>IF(AND('Choix pédagogiques'!$C$4&lt;&gt;"?",'Choix pédagogiques'!$C$5&lt;&gt;"?",AB94&lt;&gt;""),(AB94-'Choix pédagogiques'!$C$4)/('Choix pédagogiques'!$C$5-'Choix pédagogiques'!$C$4),"")</f>
        <v/>
      </c>
      <c r="AX94" s="49" t="str">
        <f>IF(AND('Choix pédagogiques'!$C$4&lt;&gt;"?",'Choix pédagogiques'!$C$5&lt;&gt;"?",AC94&lt;&gt;""),(AC94-'Choix pédagogiques'!$C$4)/('Choix pédagogiques'!$C$5-'Choix pédagogiques'!$C$4),"")</f>
        <v/>
      </c>
      <c r="AY94" s="49" t="str">
        <f>IF(AND('Choix pédagogiques'!$C$4&lt;&gt;"?",'Choix pédagogiques'!$C$5&lt;&gt;"?",AD94&lt;&gt;""),(AD94-'Choix pédagogiques'!$C$4)/('Choix pédagogiques'!$C$5-'Choix pédagogiques'!$C$4),"")</f>
        <v/>
      </c>
      <c r="AZ94" s="22" t="str">
        <f t="shared" si="142"/>
        <v/>
      </c>
      <c r="BA94" s="21" t="str">
        <f t="shared" si="143"/>
        <v>Apprenant 82</v>
      </c>
      <c r="BB94" s="49" t="str">
        <f t="shared" si="115"/>
        <v/>
      </c>
      <c r="BC94" s="49" t="str">
        <f t="shared" si="116"/>
        <v/>
      </c>
      <c r="BD94" s="49" t="str">
        <f t="shared" si="117"/>
        <v/>
      </c>
      <c r="BE94" s="22" t="str">
        <f t="shared" si="144"/>
        <v/>
      </c>
      <c r="BF94" s="21" t="str">
        <f t="shared" si="145"/>
        <v>Apprenant 82 ou 82'</v>
      </c>
      <c r="BG94" s="49" t="str">
        <f t="shared" si="118"/>
        <v/>
      </c>
      <c r="BH94" s="49" t="str">
        <f t="shared" si="119"/>
        <v/>
      </c>
      <c r="BI94" s="49" t="str">
        <f t="shared" si="120"/>
        <v/>
      </c>
      <c r="BJ94" s="22" t="str">
        <f t="shared" si="146"/>
        <v/>
      </c>
      <c r="BL94" s="21"/>
      <c r="BM94" s="21" t="str">
        <f>IF(OR(COUNT(B94:D1093)=0,AND('Choix pédagogiques'!$C$3&lt;&gt;1,'Choix pédagogiques'!$C$3&lt;&gt;2)),"",IF(AND(OR('Choix pédagogiques'!$C$3=1,'Choix pédagogiques'!$C$3=2),$B94&lt;&gt;"",$C94&lt;&gt;"",$D94&lt;&gt;""),1,0))</f>
        <v/>
      </c>
      <c r="BN94" s="21" t="str">
        <f>IF(OR(COUNT(G94:I1093)=0,AND('Choix pédagogiques'!$C$3&lt;&gt;1,'Choix pédagogiques'!$C$3&lt;&gt;2)),"",IF(AND(OR('Choix pédagogiques'!$C$3=1,'Choix pédagogiques'!$C$3=2),AND($G94&lt;&gt;"",$H94&lt;&gt;"",$I94&lt;&gt;"")),1,0))</f>
        <v/>
      </c>
      <c r="BO94" s="21" t="str">
        <f>IF(OR(COUNT(B94:D1093)=0,COUNT(G94:I1093)=0,'Choix pédagogiques'!C$3&lt;&gt;3),"",IF(AND('Choix pédagogiques'!$C$3=3,$B94&lt;&gt;"",$C94&lt;&gt;"",$D94&lt;&gt;"",$G94&lt;&gt;"",$H94&lt;&gt;"",$I94&lt;&gt;""),1,0))</f>
        <v/>
      </c>
      <c r="BR94" s="21">
        <v>213</v>
      </c>
      <c r="BS94" s="21">
        <v>1449</v>
      </c>
      <c r="BT94"/>
    </row>
    <row r="95" spans="1:72" s="23" customFormat="1" ht="18" customHeight="1" x14ac:dyDescent="0.3">
      <c r="A95" s="35" t="s">
        <v>85</v>
      </c>
      <c r="B95" s="37"/>
      <c r="C95" s="37"/>
      <c r="D95" s="37"/>
      <c r="E95" s="37"/>
      <c r="F95" s="35" t="s">
        <v>1093</v>
      </c>
      <c r="G95" s="37"/>
      <c r="H95" s="37"/>
      <c r="I95" s="37"/>
      <c r="J95" s="37"/>
      <c r="K95" s="21" t="str">
        <f t="shared" si="121"/>
        <v>Apprenant 83</v>
      </c>
      <c r="L95" s="22" t="str">
        <f t="shared" si="122"/>
        <v/>
      </c>
      <c r="M95" s="22" t="str">
        <f t="shared" si="123"/>
        <v/>
      </c>
      <c r="N95" s="22" t="str">
        <f t="shared" si="124"/>
        <v/>
      </c>
      <c r="O95" s="22" t="str">
        <f t="shared" si="125"/>
        <v/>
      </c>
      <c r="P95" s="21" t="str">
        <f t="shared" si="126"/>
        <v>Apprenant 83 ou 83'</v>
      </c>
      <c r="Q95" s="22" t="str">
        <f t="shared" si="127"/>
        <v/>
      </c>
      <c r="R95" s="22" t="str">
        <f t="shared" si="128"/>
        <v/>
      </c>
      <c r="S95" s="22" t="str">
        <f t="shared" si="129"/>
        <v/>
      </c>
      <c r="T95" s="22" t="str">
        <f t="shared" si="130"/>
        <v/>
      </c>
      <c r="V95" s="21" t="str">
        <f t="shared" si="131"/>
        <v>Apprenant 83</v>
      </c>
      <c r="W95" s="22" t="str">
        <f>IF(AND(OR('Choix pédagogiques'!$C$3=1,'Choix pédagogiques'!$C$3=2),$BM95=1),B95,IF(AND('Choix pédagogiques'!$C$3=3,$BO95=1),B95,""))</f>
        <v/>
      </c>
      <c r="X95" s="22" t="str">
        <f>IF(AND(OR('Choix pédagogiques'!$C$3=1,'Choix pédagogiques'!$C$3=2),$BM95=1),C95,IF(AND('Choix pédagogiques'!$C$3=3,$BO95=1),C95,""))</f>
        <v/>
      </c>
      <c r="Y95" s="22" t="str">
        <f>IF(AND(OR('Choix pédagogiques'!$C$3=1,'Choix pédagogiques'!$C$3=2),$BM95=1),D95,IF(AND('Choix pédagogiques'!$C$3=3,$BO95=1),D95,""))</f>
        <v/>
      </c>
      <c r="Z95" s="22" t="str">
        <f t="shared" si="132"/>
        <v/>
      </c>
      <c r="AA95" s="21" t="str">
        <f t="shared" si="133"/>
        <v>Apprenant 83 ou 83'</v>
      </c>
      <c r="AB95" s="22" t="str">
        <f>IF(AND(OR('Choix pédagogiques'!$C$3=1,'Choix pédagogiques'!$C$3=2),$BN95=1),G95,IF(AND('Choix pédagogiques'!$C$3=3,$BO95=1),G95,""))</f>
        <v/>
      </c>
      <c r="AC95" s="22" t="str">
        <f>IF(AND(OR('Choix pédagogiques'!$C$3=1,'Choix pédagogiques'!$C$3=2),$BN95=1),H95,IF(AND('Choix pédagogiques'!$C$3=3,$BO95=1),H95,""))</f>
        <v/>
      </c>
      <c r="AD95" s="22" t="str">
        <f>IF(AND(OR('Choix pédagogiques'!$C$3=1,'Choix pédagogiques'!$C$3=2),$BN95=1),I95,IF(AND('Choix pédagogiques'!$C$3=3,$BO95=1),I95,""))</f>
        <v/>
      </c>
      <c r="AE95" s="22" t="str">
        <f t="shared" si="134"/>
        <v/>
      </c>
      <c r="AF95" s="21" t="str">
        <f t="shared" si="135"/>
        <v>Apprenant 83</v>
      </c>
      <c r="AG95" s="22" t="str">
        <f t="shared" si="109"/>
        <v/>
      </c>
      <c r="AH95" s="22" t="str">
        <f t="shared" si="110"/>
        <v/>
      </c>
      <c r="AI95" s="22" t="str">
        <f t="shared" si="111"/>
        <v/>
      </c>
      <c r="AJ95" s="22" t="str">
        <f t="shared" si="136"/>
        <v/>
      </c>
      <c r="AK95" s="21" t="str">
        <f t="shared" si="137"/>
        <v>Apprenant 83 ou 83'</v>
      </c>
      <c r="AL95" s="22" t="str">
        <f t="shared" si="112"/>
        <v/>
      </c>
      <c r="AM95" s="22" t="str">
        <f t="shared" si="113"/>
        <v/>
      </c>
      <c r="AN95" s="22" t="str">
        <f t="shared" si="114"/>
        <v/>
      </c>
      <c r="AO95" s="22" t="str">
        <f t="shared" si="138"/>
        <v/>
      </c>
      <c r="AQ95" s="21" t="str">
        <f t="shared" si="139"/>
        <v>Apprenant 83</v>
      </c>
      <c r="AR95" s="49" t="str">
        <f>IF(AND('Choix pédagogiques'!$C$4&lt;&gt;"?",'Choix pédagogiques'!$C$5&lt;&gt;"?",W95&lt;&gt;""),(W95-'Choix pédagogiques'!$C$4)/('Choix pédagogiques'!$C$5-'Choix pédagogiques'!$C$4),"")</f>
        <v/>
      </c>
      <c r="AS95" s="49" t="str">
        <f>IF(AND('Choix pédagogiques'!$C$4&lt;&gt;"?",'Choix pédagogiques'!$C$5&lt;&gt;"?",X95&lt;&gt;""),(X95-'Choix pédagogiques'!$C$4)/('Choix pédagogiques'!$C$5-'Choix pédagogiques'!$C$4),"")</f>
        <v/>
      </c>
      <c r="AT95" s="49" t="str">
        <f>IF(AND('Choix pédagogiques'!$C$4&lt;&gt;"?",'Choix pédagogiques'!$C$5&lt;&gt;"?",Y95&lt;&gt;""),(Y95-'Choix pédagogiques'!$C$4)/('Choix pédagogiques'!$C$5-'Choix pédagogiques'!$C$4),"")</f>
        <v/>
      </c>
      <c r="AU95" s="22" t="str">
        <f t="shared" si="140"/>
        <v/>
      </c>
      <c r="AV95" s="21" t="str">
        <f t="shared" si="141"/>
        <v>Apprenant 83 ou 83'</v>
      </c>
      <c r="AW95" s="49" t="str">
        <f>IF(AND('Choix pédagogiques'!$C$4&lt;&gt;"?",'Choix pédagogiques'!$C$5&lt;&gt;"?",AB95&lt;&gt;""),(AB95-'Choix pédagogiques'!$C$4)/('Choix pédagogiques'!$C$5-'Choix pédagogiques'!$C$4),"")</f>
        <v/>
      </c>
      <c r="AX95" s="49" t="str">
        <f>IF(AND('Choix pédagogiques'!$C$4&lt;&gt;"?",'Choix pédagogiques'!$C$5&lt;&gt;"?",AC95&lt;&gt;""),(AC95-'Choix pédagogiques'!$C$4)/('Choix pédagogiques'!$C$5-'Choix pédagogiques'!$C$4),"")</f>
        <v/>
      </c>
      <c r="AY95" s="49" t="str">
        <f>IF(AND('Choix pédagogiques'!$C$4&lt;&gt;"?",'Choix pédagogiques'!$C$5&lt;&gt;"?",AD95&lt;&gt;""),(AD95-'Choix pédagogiques'!$C$4)/('Choix pédagogiques'!$C$5-'Choix pédagogiques'!$C$4),"")</f>
        <v/>
      </c>
      <c r="AZ95" s="22" t="str">
        <f t="shared" si="142"/>
        <v/>
      </c>
      <c r="BA95" s="21" t="str">
        <f t="shared" si="143"/>
        <v>Apprenant 83</v>
      </c>
      <c r="BB95" s="49" t="str">
        <f t="shared" si="115"/>
        <v/>
      </c>
      <c r="BC95" s="49" t="str">
        <f t="shared" si="116"/>
        <v/>
      </c>
      <c r="BD95" s="49" t="str">
        <f t="shared" si="117"/>
        <v/>
      </c>
      <c r="BE95" s="22" t="str">
        <f t="shared" si="144"/>
        <v/>
      </c>
      <c r="BF95" s="21" t="str">
        <f t="shared" si="145"/>
        <v>Apprenant 83 ou 83'</v>
      </c>
      <c r="BG95" s="49" t="str">
        <f t="shared" si="118"/>
        <v/>
      </c>
      <c r="BH95" s="49" t="str">
        <f t="shared" si="119"/>
        <v/>
      </c>
      <c r="BI95" s="49" t="str">
        <f t="shared" si="120"/>
        <v/>
      </c>
      <c r="BJ95" s="22" t="str">
        <f t="shared" si="146"/>
        <v/>
      </c>
      <c r="BL95" s="21"/>
      <c r="BM95" s="21" t="str">
        <f>IF(OR(COUNT(B95:D1094)=0,AND('Choix pédagogiques'!$C$3&lt;&gt;1,'Choix pédagogiques'!$C$3&lt;&gt;2)),"",IF(AND(OR('Choix pédagogiques'!$C$3=1,'Choix pédagogiques'!$C$3=2),$B95&lt;&gt;"",$C95&lt;&gt;"",$D95&lt;&gt;""),1,0))</f>
        <v/>
      </c>
      <c r="BN95" s="21" t="str">
        <f>IF(OR(COUNT(G95:I1094)=0,AND('Choix pédagogiques'!$C$3&lt;&gt;1,'Choix pédagogiques'!$C$3&lt;&gt;2)),"",IF(AND(OR('Choix pédagogiques'!$C$3=1,'Choix pédagogiques'!$C$3=2),AND($G95&lt;&gt;"",$H95&lt;&gt;"",$I95&lt;&gt;"")),1,0))</f>
        <v/>
      </c>
      <c r="BO95" s="21" t="str">
        <f>IF(OR(COUNT(B95:D1094)=0,COUNT(G95:I1094)=0,'Choix pédagogiques'!C$3&lt;&gt;3),"",IF(AND('Choix pédagogiques'!$C$3=3,$B95&lt;&gt;"",$C95&lt;&gt;"",$D95&lt;&gt;"",$G95&lt;&gt;"",$H95&lt;&gt;"",$I95&lt;&gt;""),1,0))</f>
        <v/>
      </c>
      <c r="BR95" s="21">
        <v>249</v>
      </c>
      <c r="BS95" s="21">
        <v>1467</v>
      </c>
      <c r="BT95"/>
    </row>
    <row r="96" spans="1:72" s="23" customFormat="1" ht="18" customHeight="1" x14ac:dyDescent="0.3">
      <c r="A96" s="35" t="s">
        <v>86</v>
      </c>
      <c r="B96" s="37"/>
      <c r="C96" s="37"/>
      <c r="D96" s="37"/>
      <c r="E96" s="37"/>
      <c r="F96" s="35" t="s">
        <v>1094</v>
      </c>
      <c r="G96" s="37"/>
      <c r="H96" s="37"/>
      <c r="I96" s="37"/>
      <c r="J96" s="37"/>
      <c r="K96" s="21" t="str">
        <f t="shared" si="121"/>
        <v>Apprenant 84</v>
      </c>
      <c r="L96" s="22" t="str">
        <f t="shared" si="122"/>
        <v/>
      </c>
      <c r="M96" s="22" t="str">
        <f t="shared" si="123"/>
        <v/>
      </c>
      <c r="N96" s="22" t="str">
        <f t="shared" si="124"/>
        <v/>
      </c>
      <c r="O96" s="22" t="str">
        <f t="shared" si="125"/>
        <v/>
      </c>
      <c r="P96" s="21" t="str">
        <f t="shared" si="126"/>
        <v>Apprenant 84 ou 84'</v>
      </c>
      <c r="Q96" s="22" t="str">
        <f t="shared" si="127"/>
        <v/>
      </c>
      <c r="R96" s="22" t="str">
        <f t="shared" si="128"/>
        <v/>
      </c>
      <c r="S96" s="22" t="str">
        <f t="shared" si="129"/>
        <v/>
      </c>
      <c r="T96" s="22" t="str">
        <f t="shared" si="130"/>
        <v/>
      </c>
      <c r="V96" s="21" t="str">
        <f t="shared" si="131"/>
        <v>Apprenant 84</v>
      </c>
      <c r="W96" s="22" t="str">
        <f>IF(AND(OR('Choix pédagogiques'!$C$3=1,'Choix pédagogiques'!$C$3=2),$BM96=1),B96,IF(AND('Choix pédagogiques'!$C$3=3,$BO96=1),B96,""))</f>
        <v/>
      </c>
      <c r="X96" s="22" t="str">
        <f>IF(AND(OR('Choix pédagogiques'!$C$3=1,'Choix pédagogiques'!$C$3=2),$BM96=1),C96,IF(AND('Choix pédagogiques'!$C$3=3,$BO96=1),C96,""))</f>
        <v/>
      </c>
      <c r="Y96" s="22" t="str">
        <f>IF(AND(OR('Choix pédagogiques'!$C$3=1,'Choix pédagogiques'!$C$3=2),$BM96=1),D96,IF(AND('Choix pédagogiques'!$C$3=3,$BO96=1),D96,""))</f>
        <v/>
      </c>
      <c r="Z96" s="22" t="str">
        <f t="shared" si="132"/>
        <v/>
      </c>
      <c r="AA96" s="21" t="str">
        <f t="shared" si="133"/>
        <v>Apprenant 84 ou 84'</v>
      </c>
      <c r="AB96" s="22" t="str">
        <f>IF(AND(OR('Choix pédagogiques'!$C$3=1,'Choix pédagogiques'!$C$3=2),$BN96=1),G96,IF(AND('Choix pédagogiques'!$C$3=3,$BO96=1),G96,""))</f>
        <v/>
      </c>
      <c r="AC96" s="22" t="str">
        <f>IF(AND(OR('Choix pédagogiques'!$C$3=1,'Choix pédagogiques'!$C$3=2),$BN96=1),H96,IF(AND('Choix pédagogiques'!$C$3=3,$BO96=1),H96,""))</f>
        <v/>
      </c>
      <c r="AD96" s="22" t="str">
        <f>IF(AND(OR('Choix pédagogiques'!$C$3=1,'Choix pédagogiques'!$C$3=2),$BN96=1),I96,IF(AND('Choix pédagogiques'!$C$3=3,$BO96=1),I96,""))</f>
        <v/>
      </c>
      <c r="AE96" s="22" t="str">
        <f t="shared" si="134"/>
        <v/>
      </c>
      <c r="AF96" s="21" t="str">
        <f t="shared" si="135"/>
        <v>Apprenant 84</v>
      </c>
      <c r="AG96" s="22" t="str">
        <f t="shared" si="109"/>
        <v/>
      </c>
      <c r="AH96" s="22" t="str">
        <f t="shared" si="110"/>
        <v/>
      </c>
      <c r="AI96" s="22" t="str">
        <f t="shared" si="111"/>
        <v/>
      </c>
      <c r="AJ96" s="22" t="str">
        <f t="shared" si="136"/>
        <v/>
      </c>
      <c r="AK96" s="21" t="str">
        <f t="shared" si="137"/>
        <v>Apprenant 84 ou 84'</v>
      </c>
      <c r="AL96" s="22" t="str">
        <f t="shared" si="112"/>
        <v/>
      </c>
      <c r="AM96" s="22" t="str">
        <f t="shared" si="113"/>
        <v/>
      </c>
      <c r="AN96" s="22" t="str">
        <f t="shared" si="114"/>
        <v/>
      </c>
      <c r="AO96" s="22" t="str">
        <f t="shared" si="138"/>
        <v/>
      </c>
      <c r="AQ96" s="21" t="str">
        <f t="shared" si="139"/>
        <v>Apprenant 84</v>
      </c>
      <c r="AR96" s="49" t="str">
        <f>IF(AND('Choix pédagogiques'!$C$4&lt;&gt;"?",'Choix pédagogiques'!$C$5&lt;&gt;"?",W96&lt;&gt;""),(W96-'Choix pédagogiques'!$C$4)/('Choix pédagogiques'!$C$5-'Choix pédagogiques'!$C$4),"")</f>
        <v/>
      </c>
      <c r="AS96" s="49" t="str">
        <f>IF(AND('Choix pédagogiques'!$C$4&lt;&gt;"?",'Choix pédagogiques'!$C$5&lt;&gt;"?",X96&lt;&gt;""),(X96-'Choix pédagogiques'!$C$4)/('Choix pédagogiques'!$C$5-'Choix pédagogiques'!$C$4),"")</f>
        <v/>
      </c>
      <c r="AT96" s="49" t="str">
        <f>IF(AND('Choix pédagogiques'!$C$4&lt;&gt;"?",'Choix pédagogiques'!$C$5&lt;&gt;"?",Y96&lt;&gt;""),(Y96-'Choix pédagogiques'!$C$4)/('Choix pédagogiques'!$C$5-'Choix pédagogiques'!$C$4),"")</f>
        <v/>
      </c>
      <c r="AU96" s="22" t="str">
        <f t="shared" si="140"/>
        <v/>
      </c>
      <c r="AV96" s="21" t="str">
        <f t="shared" si="141"/>
        <v>Apprenant 84 ou 84'</v>
      </c>
      <c r="AW96" s="49" t="str">
        <f>IF(AND('Choix pédagogiques'!$C$4&lt;&gt;"?",'Choix pédagogiques'!$C$5&lt;&gt;"?",AB96&lt;&gt;""),(AB96-'Choix pédagogiques'!$C$4)/('Choix pédagogiques'!$C$5-'Choix pédagogiques'!$C$4),"")</f>
        <v/>
      </c>
      <c r="AX96" s="49" t="str">
        <f>IF(AND('Choix pédagogiques'!$C$4&lt;&gt;"?",'Choix pédagogiques'!$C$5&lt;&gt;"?",AC96&lt;&gt;""),(AC96-'Choix pédagogiques'!$C$4)/('Choix pédagogiques'!$C$5-'Choix pédagogiques'!$C$4),"")</f>
        <v/>
      </c>
      <c r="AY96" s="49" t="str">
        <f>IF(AND('Choix pédagogiques'!$C$4&lt;&gt;"?",'Choix pédagogiques'!$C$5&lt;&gt;"?",AD96&lt;&gt;""),(AD96-'Choix pédagogiques'!$C$4)/('Choix pédagogiques'!$C$5-'Choix pédagogiques'!$C$4),"")</f>
        <v/>
      </c>
      <c r="AZ96" s="22" t="str">
        <f t="shared" si="142"/>
        <v/>
      </c>
      <c r="BA96" s="21" t="str">
        <f t="shared" si="143"/>
        <v>Apprenant 84</v>
      </c>
      <c r="BB96" s="49" t="str">
        <f t="shared" si="115"/>
        <v/>
      </c>
      <c r="BC96" s="49" t="str">
        <f t="shared" si="116"/>
        <v/>
      </c>
      <c r="BD96" s="49" t="str">
        <f t="shared" si="117"/>
        <v/>
      </c>
      <c r="BE96" s="22" t="str">
        <f t="shared" si="144"/>
        <v/>
      </c>
      <c r="BF96" s="21" t="str">
        <f t="shared" si="145"/>
        <v>Apprenant 84 ou 84'</v>
      </c>
      <c r="BG96" s="49" t="str">
        <f t="shared" si="118"/>
        <v/>
      </c>
      <c r="BH96" s="49" t="str">
        <f t="shared" si="119"/>
        <v/>
      </c>
      <c r="BI96" s="49" t="str">
        <f t="shared" si="120"/>
        <v/>
      </c>
      <c r="BJ96" s="22" t="str">
        <f t="shared" si="146"/>
        <v/>
      </c>
      <c r="BL96" s="21"/>
      <c r="BM96" s="21" t="str">
        <f>IF(OR(COUNT(B96:D1095)=0,AND('Choix pédagogiques'!$C$3&lt;&gt;1,'Choix pédagogiques'!$C$3&lt;&gt;2)),"",IF(AND(OR('Choix pédagogiques'!$C$3=1,'Choix pédagogiques'!$C$3=2),$B96&lt;&gt;"",$C96&lt;&gt;"",$D96&lt;&gt;""),1,0))</f>
        <v/>
      </c>
      <c r="BN96" s="21" t="str">
        <f>IF(OR(COUNT(G96:I1095)=0,AND('Choix pédagogiques'!$C$3&lt;&gt;1,'Choix pédagogiques'!$C$3&lt;&gt;2)),"",IF(AND(OR('Choix pédagogiques'!$C$3=1,'Choix pédagogiques'!$C$3=2),AND($G96&lt;&gt;"",$H96&lt;&gt;"",$I96&lt;&gt;"")),1,0))</f>
        <v/>
      </c>
      <c r="BO96" s="21" t="str">
        <f>IF(OR(COUNT(B96:D1095)=0,COUNT(G96:I1095)=0,'Choix pédagogiques'!C$3&lt;&gt;3),"",IF(AND('Choix pédagogiques'!$C$3=3,$B96&lt;&gt;"",$C96&lt;&gt;"",$D96&lt;&gt;"",$G96&lt;&gt;"",$H96&lt;&gt;"",$I96&lt;&gt;""),1,0))</f>
        <v/>
      </c>
      <c r="BR96" s="21">
        <v>393</v>
      </c>
      <c r="BS96" s="21">
        <v>1741</v>
      </c>
      <c r="BT96"/>
    </row>
    <row r="97" spans="1:72" s="23" customFormat="1" ht="18" customHeight="1" x14ac:dyDescent="0.3">
      <c r="A97" s="35" t="s">
        <v>87</v>
      </c>
      <c r="B97" s="37"/>
      <c r="C97" s="37"/>
      <c r="D97" s="37"/>
      <c r="E97" s="37"/>
      <c r="F97" s="35" t="s">
        <v>1095</v>
      </c>
      <c r="G97" s="37"/>
      <c r="H97" s="37"/>
      <c r="I97" s="37"/>
      <c r="J97" s="37"/>
      <c r="K97" s="21" t="str">
        <f t="shared" si="121"/>
        <v>Apprenant 85</v>
      </c>
      <c r="L97" s="22" t="str">
        <f t="shared" si="122"/>
        <v/>
      </c>
      <c r="M97" s="22" t="str">
        <f t="shared" si="123"/>
        <v/>
      </c>
      <c r="N97" s="22" t="str">
        <f t="shared" si="124"/>
        <v/>
      </c>
      <c r="O97" s="22" t="str">
        <f t="shared" si="125"/>
        <v/>
      </c>
      <c r="P97" s="21" t="str">
        <f t="shared" si="126"/>
        <v>Apprenant 85 ou 85'</v>
      </c>
      <c r="Q97" s="22" t="str">
        <f t="shared" si="127"/>
        <v/>
      </c>
      <c r="R97" s="22" t="str">
        <f t="shared" si="128"/>
        <v/>
      </c>
      <c r="S97" s="22" t="str">
        <f t="shared" si="129"/>
        <v/>
      </c>
      <c r="T97" s="22" t="str">
        <f t="shared" si="130"/>
        <v/>
      </c>
      <c r="V97" s="21" t="str">
        <f t="shared" si="131"/>
        <v>Apprenant 85</v>
      </c>
      <c r="W97" s="22" t="str">
        <f>IF(AND(OR('Choix pédagogiques'!$C$3=1,'Choix pédagogiques'!$C$3=2),$BM97=1),B97,IF(AND('Choix pédagogiques'!$C$3=3,$BO97=1),B97,""))</f>
        <v/>
      </c>
      <c r="X97" s="22" t="str">
        <f>IF(AND(OR('Choix pédagogiques'!$C$3=1,'Choix pédagogiques'!$C$3=2),$BM97=1),C97,IF(AND('Choix pédagogiques'!$C$3=3,$BO97=1),C97,""))</f>
        <v/>
      </c>
      <c r="Y97" s="22" t="str">
        <f>IF(AND(OR('Choix pédagogiques'!$C$3=1,'Choix pédagogiques'!$C$3=2),$BM97=1),D97,IF(AND('Choix pédagogiques'!$C$3=3,$BO97=1),D97,""))</f>
        <v/>
      </c>
      <c r="Z97" s="22" t="str">
        <f t="shared" si="132"/>
        <v/>
      </c>
      <c r="AA97" s="21" t="str">
        <f t="shared" si="133"/>
        <v>Apprenant 85 ou 85'</v>
      </c>
      <c r="AB97" s="22" t="str">
        <f>IF(AND(OR('Choix pédagogiques'!$C$3=1,'Choix pédagogiques'!$C$3=2),$BN97=1),G97,IF(AND('Choix pédagogiques'!$C$3=3,$BO97=1),G97,""))</f>
        <v/>
      </c>
      <c r="AC97" s="22" t="str">
        <f>IF(AND(OR('Choix pédagogiques'!$C$3=1,'Choix pédagogiques'!$C$3=2),$BN97=1),H97,IF(AND('Choix pédagogiques'!$C$3=3,$BO97=1),H97,""))</f>
        <v/>
      </c>
      <c r="AD97" s="22" t="str">
        <f>IF(AND(OR('Choix pédagogiques'!$C$3=1,'Choix pédagogiques'!$C$3=2),$BN97=1),I97,IF(AND('Choix pédagogiques'!$C$3=3,$BO97=1),I97,""))</f>
        <v/>
      </c>
      <c r="AE97" s="22" t="str">
        <f t="shared" si="134"/>
        <v/>
      </c>
      <c r="AF97" s="21" t="str">
        <f t="shared" si="135"/>
        <v>Apprenant 85</v>
      </c>
      <c r="AG97" s="22" t="str">
        <f t="shared" si="109"/>
        <v/>
      </c>
      <c r="AH97" s="22" t="str">
        <f t="shared" si="110"/>
        <v/>
      </c>
      <c r="AI97" s="22" t="str">
        <f t="shared" si="111"/>
        <v/>
      </c>
      <c r="AJ97" s="22" t="str">
        <f t="shared" si="136"/>
        <v/>
      </c>
      <c r="AK97" s="21" t="str">
        <f t="shared" si="137"/>
        <v>Apprenant 85 ou 85'</v>
      </c>
      <c r="AL97" s="22" t="str">
        <f t="shared" si="112"/>
        <v/>
      </c>
      <c r="AM97" s="22" t="str">
        <f t="shared" si="113"/>
        <v/>
      </c>
      <c r="AN97" s="22" t="str">
        <f t="shared" si="114"/>
        <v/>
      </c>
      <c r="AO97" s="22" t="str">
        <f t="shared" si="138"/>
        <v/>
      </c>
      <c r="AQ97" s="21" t="str">
        <f t="shared" si="139"/>
        <v>Apprenant 85</v>
      </c>
      <c r="AR97" s="49" t="str">
        <f>IF(AND('Choix pédagogiques'!$C$4&lt;&gt;"?",'Choix pédagogiques'!$C$5&lt;&gt;"?",W97&lt;&gt;""),(W97-'Choix pédagogiques'!$C$4)/('Choix pédagogiques'!$C$5-'Choix pédagogiques'!$C$4),"")</f>
        <v/>
      </c>
      <c r="AS97" s="49" t="str">
        <f>IF(AND('Choix pédagogiques'!$C$4&lt;&gt;"?",'Choix pédagogiques'!$C$5&lt;&gt;"?",X97&lt;&gt;""),(X97-'Choix pédagogiques'!$C$4)/('Choix pédagogiques'!$C$5-'Choix pédagogiques'!$C$4),"")</f>
        <v/>
      </c>
      <c r="AT97" s="49" t="str">
        <f>IF(AND('Choix pédagogiques'!$C$4&lt;&gt;"?",'Choix pédagogiques'!$C$5&lt;&gt;"?",Y97&lt;&gt;""),(Y97-'Choix pédagogiques'!$C$4)/('Choix pédagogiques'!$C$5-'Choix pédagogiques'!$C$4),"")</f>
        <v/>
      </c>
      <c r="AU97" s="22" t="str">
        <f t="shared" si="140"/>
        <v/>
      </c>
      <c r="AV97" s="21" t="str">
        <f t="shared" si="141"/>
        <v>Apprenant 85 ou 85'</v>
      </c>
      <c r="AW97" s="49" t="str">
        <f>IF(AND('Choix pédagogiques'!$C$4&lt;&gt;"?",'Choix pédagogiques'!$C$5&lt;&gt;"?",AB97&lt;&gt;""),(AB97-'Choix pédagogiques'!$C$4)/('Choix pédagogiques'!$C$5-'Choix pédagogiques'!$C$4),"")</f>
        <v/>
      </c>
      <c r="AX97" s="49" t="str">
        <f>IF(AND('Choix pédagogiques'!$C$4&lt;&gt;"?",'Choix pédagogiques'!$C$5&lt;&gt;"?",AC97&lt;&gt;""),(AC97-'Choix pédagogiques'!$C$4)/('Choix pédagogiques'!$C$5-'Choix pédagogiques'!$C$4),"")</f>
        <v/>
      </c>
      <c r="AY97" s="49" t="str">
        <f>IF(AND('Choix pédagogiques'!$C$4&lt;&gt;"?",'Choix pédagogiques'!$C$5&lt;&gt;"?",AD97&lt;&gt;""),(AD97-'Choix pédagogiques'!$C$4)/('Choix pédagogiques'!$C$5-'Choix pédagogiques'!$C$4),"")</f>
        <v/>
      </c>
      <c r="AZ97" s="22" t="str">
        <f t="shared" si="142"/>
        <v/>
      </c>
      <c r="BA97" s="21" t="str">
        <f t="shared" si="143"/>
        <v>Apprenant 85</v>
      </c>
      <c r="BB97" s="49" t="str">
        <f t="shared" si="115"/>
        <v/>
      </c>
      <c r="BC97" s="49" t="str">
        <f t="shared" si="116"/>
        <v/>
      </c>
      <c r="BD97" s="49" t="str">
        <f t="shared" si="117"/>
        <v/>
      </c>
      <c r="BE97" s="22" t="str">
        <f t="shared" si="144"/>
        <v/>
      </c>
      <c r="BF97" s="21" t="str">
        <f t="shared" si="145"/>
        <v>Apprenant 85 ou 85'</v>
      </c>
      <c r="BG97" s="49" t="str">
        <f t="shared" si="118"/>
        <v/>
      </c>
      <c r="BH97" s="49" t="str">
        <f t="shared" si="119"/>
        <v/>
      </c>
      <c r="BI97" s="49" t="str">
        <f t="shared" si="120"/>
        <v/>
      </c>
      <c r="BJ97" s="22" t="str">
        <f t="shared" si="146"/>
        <v/>
      </c>
      <c r="BL97" s="21"/>
      <c r="BM97" s="21" t="str">
        <f>IF(OR(COUNT(B97:D1096)=0,AND('Choix pédagogiques'!$C$3&lt;&gt;1,'Choix pédagogiques'!$C$3&lt;&gt;2)),"",IF(AND(OR('Choix pédagogiques'!$C$3=1,'Choix pédagogiques'!$C$3=2),$B97&lt;&gt;"",$C97&lt;&gt;"",$D97&lt;&gt;""),1,0))</f>
        <v/>
      </c>
      <c r="BN97" s="21" t="str">
        <f>IF(OR(COUNT(G97:I1096)=0,AND('Choix pédagogiques'!$C$3&lt;&gt;1,'Choix pédagogiques'!$C$3&lt;&gt;2)),"",IF(AND(OR('Choix pédagogiques'!$C$3=1,'Choix pédagogiques'!$C$3=2),AND($G97&lt;&gt;"",$H97&lt;&gt;"",$I97&lt;&gt;"")),1,0))</f>
        <v/>
      </c>
      <c r="BO97" s="21" t="str">
        <f>IF(OR(COUNT(B97:D1096)=0,COUNT(G97:I1096)=0,'Choix pédagogiques'!C$3&lt;&gt;3),"",IF(AND('Choix pédagogiques'!$C$3=3,$B97&lt;&gt;"",$C97&lt;&gt;"",$D97&lt;&gt;"",$G97&lt;&gt;"",$H97&lt;&gt;"",$I97&lt;&gt;""),1,0))</f>
        <v/>
      </c>
      <c r="BR97" s="21">
        <v>558</v>
      </c>
      <c r="BS97" s="21">
        <v>1782</v>
      </c>
      <c r="BT97"/>
    </row>
    <row r="98" spans="1:72" s="23" customFormat="1" ht="18" customHeight="1" x14ac:dyDescent="0.3">
      <c r="A98" s="35" t="s">
        <v>88</v>
      </c>
      <c r="B98" s="37"/>
      <c r="C98" s="37"/>
      <c r="D98" s="37"/>
      <c r="E98" s="37"/>
      <c r="F98" s="35" t="s">
        <v>1096</v>
      </c>
      <c r="G98" s="37"/>
      <c r="H98" s="37"/>
      <c r="I98" s="37"/>
      <c r="J98" s="37"/>
      <c r="K98" s="21" t="str">
        <f t="shared" si="121"/>
        <v>Apprenant 86</v>
      </c>
      <c r="L98" s="22" t="str">
        <f t="shared" si="122"/>
        <v/>
      </c>
      <c r="M98" s="22" t="str">
        <f t="shared" si="123"/>
        <v/>
      </c>
      <c r="N98" s="22" t="str">
        <f t="shared" si="124"/>
        <v/>
      </c>
      <c r="O98" s="22" t="str">
        <f t="shared" si="125"/>
        <v/>
      </c>
      <c r="P98" s="21" t="str">
        <f t="shared" si="126"/>
        <v>Apprenant 86 ou 86'</v>
      </c>
      <c r="Q98" s="22" t="str">
        <f t="shared" si="127"/>
        <v/>
      </c>
      <c r="R98" s="22" t="str">
        <f t="shared" si="128"/>
        <v/>
      </c>
      <c r="S98" s="22" t="str">
        <f t="shared" si="129"/>
        <v/>
      </c>
      <c r="T98" s="22" t="str">
        <f t="shared" si="130"/>
        <v/>
      </c>
      <c r="V98" s="21" t="str">
        <f t="shared" si="131"/>
        <v>Apprenant 86</v>
      </c>
      <c r="W98" s="22" t="str">
        <f>IF(AND(OR('Choix pédagogiques'!$C$3=1,'Choix pédagogiques'!$C$3=2),$BM98=1),B98,IF(AND('Choix pédagogiques'!$C$3=3,$BO98=1),B98,""))</f>
        <v/>
      </c>
      <c r="X98" s="22" t="str">
        <f>IF(AND(OR('Choix pédagogiques'!$C$3=1,'Choix pédagogiques'!$C$3=2),$BM98=1),C98,IF(AND('Choix pédagogiques'!$C$3=3,$BO98=1),C98,""))</f>
        <v/>
      </c>
      <c r="Y98" s="22" t="str">
        <f>IF(AND(OR('Choix pédagogiques'!$C$3=1,'Choix pédagogiques'!$C$3=2),$BM98=1),D98,IF(AND('Choix pédagogiques'!$C$3=3,$BO98=1),D98,""))</f>
        <v/>
      </c>
      <c r="Z98" s="22" t="str">
        <f t="shared" si="132"/>
        <v/>
      </c>
      <c r="AA98" s="21" t="str">
        <f t="shared" si="133"/>
        <v>Apprenant 86 ou 86'</v>
      </c>
      <c r="AB98" s="22" t="str">
        <f>IF(AND(OR('Choix pédagogiques'!$C$3=1,'Choix pédagogiques'!$C$3=2),$BN98=1),G98,IF(AND('Choix pédagogiques'!$C$3=3,$BO98=1),G98,""))</f>
        <v/>
      </c>
      <c r="AC98" s="22" t="str">
        <f>IF(AND(OR('Choix pédagogiques'!$C$3=1,'Choix pédagogiques'!$C$3=2),$BN98=1),H98,IF(AND('Choix pédagogiques'!$C$3=3,$BO98=1),H98,""))</f>
        <v/>
      </c>
      <c r="AD98" s="22" t="str">
        <f>IF(AND(OR('Choix pédagogiques'!$C$3=1,'Choix pédagogiques'!$C$3=2),$BN98=1),I98,IF(AND('Choix pédagogiques'!$C$3=3,$BO98=1),I98,""))</f>
        <v/>
      </c>
      <c r="AE98" s="22" t="str">
        <f t="shared" si="134"/>
        <v/>
      </c>
      <c r="AF98" s="21" t="str">
        <f t="shared" si="135"/>
        <v>Apprenant 86</v>
      </c>
      <c r="AG98" s="22" t="str">
        <f t="shared" si="109"/>
        <v/>
      </c>
      <c r="AH98" s="22" t="str">
        <f t="shared" si="110"/>
        <v/>
      </c>
      <c r="AI98" s="22" t="str">
        <f t="shared" si="111"/>
        <v/>
      </c>
      <c r="AJ98" s="22" t="str">
        <f t="shared" si="136"/>
        <v/>
      </c>
      <c r="AK98" s="21" t="str">
        <f t="shared" si="137"/>
        <v>Apprenant 86 ou 86'</v>
      </c>
      <c r="AL98" s="22" t="str">
        <f t="shared" si="112"/>
        <v/>
      </c>
      <c r="AM98" s="22" t="str">
        <f t="shared" si="113"/>
        <v/>
      </c>
      <c r="AN98" s="22" t="str">
        <f t="shared" si="114"/>
        <v/>
      </c>
      <c r="AO98" s="22" t="str">
        <f t="shared" si="138"/>
        <v/>
      </c>
      <c r="AQ98" s="21" t="str">
        <f t="shared" si="139"/>
        <v>Apprenant 86</v>
      </c>
      <c r="AR98" s="49" t="str">
        <f>IF(AND('Choix pédagogiques'!$C$4&lt;&gt;"?",'Choix pédagogiques'!$C$5&lt;&gt;"?",W98&lt;&gt;""),(W98-'Choix pédagogiques'!$C$4)/('Choix pédagogiques'!$C$5-'Choix pédagogiques'!$C$4),"")</f>
        <v/>
      </c>
      <c r="AS98" s="49" t="str">
        <f>IF(AND('Choix pédagogiques'!$C$4&lt;&gt;"?",'Choix pédagogiques'!$C$5&lt;&gt;"?",X98&lt;&gt;""),(X98-'Choix pédagogiques'!$C$4)/('Choix pédagogiques'!$C$5-'Choix pédagogiques'!$C$4),"")</f>
        <v/>
      </c>
      <c r="AT98" s="49" t="str">
        <f>IF(AND('Choix pédagogiques'!$C$4&lt;&gt;"?",'Choix pédagogiques'!$C$5&lt;&gt;"?",Y98&lt;&gt;""),(Y98-'Choix pédagogiques'!$C$4)/('Choix pédagogiques'!$C$5-'Choix pédagogiques'!$C$4),"")</f>
        <v/>
      </c>
      <c r="AU98" s="22" t="str">
        <f t="shared" si="140"/>
        <v/>
      </c>
      <c r="AV98" s="21" t="str">
        <f t="shared" si="141"/>
        <v>Apprenant 86 ou 86'</v>
      </c>
      <c r="AW98" s="49" t="str">
        <f>IF(AND('Choix pédagogiques'!$C$4&lt;&gt;"?",'Choix pédagogiques'!$C$5&lt;&gt;"?",AB98&lt;&gt;""),(AB98-'Choix pédagogiques'!$C$4)/('Choix pédagogiques'!$C$5-'Choix pédagogiques'!$C$4),"")</f>
        <v/>
      </c>
      <c r="AX98" s="49" t="str">
        <f>IF(AND('Choix pédagogiques'!$C$4&lt;&gt;"?",'Choix pédagogiques'!$C$5&lt;&gt;"?",AC98&lt;&gt;""),(AC98-'Choix pédagogiques'!$C$4)/('Choix pédagogiques'!$C$5-'Choix pédagogiques'!$C$4),"")</f>
        <v/>
      </c>
      <c r="AY98" s="49" t="str">
        <f>IF(AND('Choix pédagogiques'!$C$4&lt;&gt;"?",'Choix pédagogiques'!$C$5&lt;&gt;"?",AD98&lt;&gt;""),(AD98-'Choix pédagogiques'!$C$4)/('Choix pédagogiques'!$C$5-'Choix pédagogiques'!$C$4),"")</f>
        <v/>
      </c>
      <c r="AZ98" s="22" t="str">
        <f t="shared" si="142"/>
        <v/>
      </c>
      <c r="BA98" s="21" t="str">
        <f t="shared" si="143"/>
        <v>Apprenant 86</v>
      </c>
      <c r="BB98" s="49" t="str">
        <f t="shared" si="115"/>
        <v/>
      </c>
      <c r="BC98" s="49" t="str">
        <f t="shared" si="116"/>
        <v/>
      </c>
      <c r="BD98" s="49" t="str">
        <f t="shared" si="117"/>
        <v/>
      </c>
      <c r="BE98" s="22" t="str">
        <f t="shared" si="144"/>
        <v/>
      </c>
      <c r="BF98" s="21" t="str">
        <f t="shared" si="145"/>
        <v>Apprenant 86 ou 86'</v>
      </c>
      <c r="BG98" s="49" t="str">
        <f t="shared" si="118"/>
        <v/>
      </c>
      <c r="BH98" s="49" t="str">
        <f t="shared" si="119"/>
        <v/>
      </c>
      <c r="BI98" s="49" t="str">
        <f t="shared" si="120"/>
        <v/>
      </c>
      <c r="BJ98" s="22" t="str">
        <f t="shared" si="146"/>
        <v/>
      </c>
      <c r="BL98" s="21"/>
      <c r="BM98" s="21" t="str">
        <f>IF(OR(COUNT(B98:D1097)=0,AND('Choix pédagogiques'!$C$3&lt;&gt;1,'Choix pédagogiques'!$C$3&lt;&gt;2)),"",IF(AND(OR('Choix pédagogiques'!$C$3=1,'Choix pédagogiques'!$C$3=2),$B98&lt;&gt;"",$C98&lt;&gt;"",$D98&lt;&gt;""),1,0))</f>
        <v/>
      </c>
      <c r="BN98" s="21" t="str">
        <f>IF(OR(COUNT(G98:I1097)=0,AND('Choix pédagogiques'!$C$3&lt;&gt;1,'Choix pédagogiques'!$C$3&lt;&gt;2)),"",IF(AND(OR('Choix pédagogiques'!$C$3=1,'Choix pédagogiques'!$C$3=2),AND($G98&lt;&gt;"",$H98&lt;&gt;"",$I98&lt;&gt;"")),1,0))</f>
        <v/>
      </c>
      <c r="BO98" s="21" t="str">
        <f>IF(OR(COUNT(B98:D1097)=0,COUNT(G98:I1097)=0,'Choix pédagogiques'!C$3&lt;&gt;3),"",IF(AND('Choix pédagogiques'!$C$3=3,$B98&lt;&gt;"",$C98&lt;&gt;"",$D98&lt;&gt;"",$G98&lt;&gt;"",$H98&lt;&gt;"",$I98&lt;&gt;""),1,0))</f>
        <v/>
      </c>
      <c r="BR98" s="21">
        <v>109</v>
      </c>
      <c r="BS98" s="21">
        <v>1183</v>
      </c>
      <c r="BT98"/>
    </row>
    <row r="99" spans="1:72" s="23" customFormat="1" ht="18" customHeight="1" x14ac:dyDescent="0.3">
      <c r="A99" s="35" t="s">
        <v>89</v>
      </c>
      <c r="B99" s="37"/>
      <c r="C99" s="37"/>
      <c r="D99" s="37"/>
      <c r="E99" s="37"/>
      <c r="F99" s="35" t="s">
        <v>1097</v>
      </c>
      <c r="G99" s="37"/>
      <c r="H99" s="37"/>
      <c r="I99" s="37"/>
      <c r="J99" s="37"/>
      <c r="K99" s="21" t="str">
        <f t="shared" si="121"/>
        <v>Apprenant 87</v>
      </c>
      <c r="L99" s="22" t="str">
        <f t="shared" si="122"/>
        <v/>
      </c>
      <c r="M99" s="22" t="str">
        <f t="shared" si="123"/>
        <v/>
      </c>
      <c r="N99" s="22" t="str">
        <f t="shared" si="124"/>
        <v/>
      </c>
      <c r="O99" s="22" t="str">
        <f t="shared" si="125"/>
        <v/>
      </c>
      <c r="P99" s="21" t="str">
        <f t="shared" si="126"/>
        <v>Apprenant 87 ou 87'</v>
      </c>
      <c r="Q99" s="22" t="str">
        <f t="shared" si="127"/>
        <v/>
      </c>
      <c r="R99" s="22" t="str">
        <f t="shared" si="128"/>
        <v/>
      </c>
      <c r="S99" s="22" t="str">
        <f t="shared" si="129"/>
        <v/>
      </c>
      <c r="T99" s="22" t="str">
        <f t="shared" si="130"/>
        <v/>
      </c>
      <c r="V99" s="21" t="str">
        <f t="shared" si="131"/>
        <v>Apprenant 87</v>
      </c>
      <c r="W99" s="22" t="str">
        <f>IF(AND(OR('Choix pédagogiques'!$C$3=1,'Choix pédagogiques'!$C$3=2),$BM99=1),B99,IF(AND('Choix pédagogiques'!$C$3=3,$BO99=1),B99,""))</f>
        <v/>
      </c>
      <c r="X99" s="22" t="str">
        <f>IF(AND(OR('Choix pédagogiques'!$C$3=1,'Choix pédagogiques'!$C$3=2),$BM99=1),C99,IF(AND('Choix pédagogiques'!$C$3=3,$BO99=1),C99,""))</f>
        <v/>
      </c>
      <c r="Y99" s="22" t="str">
        <f>IF(AND(OR('Choix pédagogiques'!$C$3=1,'Choix pédagogiques'!$C$3=2),$BM99=1),D99,IF(AND('Choix pédagogiques'!$C$3=3,$BO99=1),D99,""))</f>
        <v/>
      </c>
      <c r="Z99" s="22" t="str">
        <f t="shared" si="132"/>
        <v/>
      </c>
      <c r="AA99" s="21" t="str">
        <f t="shared" si="133"/>
        <v>Apprenant 87 ou 87'</v>
      </c>
      <c r="AB99" s="22" t="str">
        <f>IF(AND(OR('Choix pédagogiques'!$C$3=1,'Choix pédagogiques'!$C$3=2),$BN99=1),G99,IF(AND('Choix pédagogiques'!$C$3=3,$BO99=1),G99,""))</f>
        <v/>
      </c>
      <c r="AC99" s="22" t="str">
        <f>IF(AND(OR('Choix pédagogiques'!$C$3=1,'Choix pédagogiques'!$C$3=2),$BN99=1),H99,IF(AND('Choix pédagogiques'!$C$3=3,$BO99=1),H99,""))</f>
        <v/>
      </c>
      <c r="AD99" s="22" t="str">
        <f>IF(AND(OR('Choix pédagogiques'!$C$3=1,'Choix pédagogiques'!$C$3=2),$BN99=1),I99,IF(AND('Choix pédagogiques'!$C$3=3,$BO99=1),I99,""))</f>
        <v/>
      </c>
      <c r="AE99" s="22" t="str">
        <f t="shared" si="134"/>
        <v/>
      </c>
      <c r="AF99" s="21" t="str">
        <f t="shared" si="135"/>
        <v>Apprenant 87</v>
      </c>
      <c r="AG99" s="22" t="str">
        <f t="shared" si="109"/>
        <v/>
      </c>
      <c r="AH99" s="22" t="str">
        <f t="shared" si="110"/>
        <v/>
      </c>
      <c r="AI99" s="22" t="str">
        <f t="shared" si="111"/>
        <v/>
      </c>
      <c r="AJ99" s="22" t="str">
        <f t="shared" si="136"/>
        <v/>
      </c>
      <c r="AK99" s="21" t="str">
        <f t="shared" si="137"/>
        <v>Apprenant 87 ou 87'</v>
      </c>
      <c r="AL99" s="22" t="str">
        <f t="shared" si="112"/>
        <v/>
      </c>
      <c r="AM99" s="22" t="str">
        <f t="shared" si="113"/>
        <v/>
      </c>
      <c r="AN99" s="22" t="str">
        <f t="shared" si="114"/>
        <v/>
      </c>
      <c r="AO99" s="22" t="str">
        <f t="shared" si="138"/>
        <v/>
      </c>
      <c r="AQ99" s="21" t="str">
        <f t="shared" si="139"/>
        <v>Apprenant 87</v>
      </c>
      <c r="AR99" s="49" t="str">
        <f>IF(AND('Choix pédagogiques'!$C$4&lt;&gt;"?",'Choix pédagogiques'!$C$5&lt;&gt;"?",W99&lt;&gt;""),(W99-'Choix pédagogiques'!$C$4)/('Choix pédagogiques'!$C$5-'Choix pédagogiques'!$C$4),"")</f>
        <v/>
      </c>
      <c r="AS99" s="49" t="str">
        <f>IF(AND('Choix pédagogiques'!$C$4&lt;&gt;"?",'Choix pédagogiques'!$C$5&lt;&gt;"?",X99&lt;&gt;""),(X99-'Choix pédagogiques'!$C$4)/('Choix pédagogiques'!$C$5-'Choix pédagogiques'!$C$4),"")</f>
        <v/>
      </c>
      <c r="AT99" s="49" t="str">
        <f>IF(AND('Choix pédagogiques'!$C$4&lt;&gt;"?",'Choix pédagogiques'!$C$5&lt;&gt;"?",Y99&lt;&gt;""),(Y99-'Choix pédagogiques'!$C$4)/('Choix pédagogiques'!$C$5-'Choix pédagogiques'!$C$4),"")</f>
        <v/>
      </c>
      <c r="AU99" s="22" t="str">
        <f t="shared" si="140"/>
        <v/>
      </c>
      <c r="AV99" s="21" t="str">
        <f t="shared" si="141"/>
        <v>Apprenant 87 ou 87'</v>
      </c>
      <c r="AW99" s="49" t="str">
        <f>IF(AND('Choix pédagogiques'!$C$4&lt;&gt;"?",'Choix pédagogiques'!$C$5&lt;&gt;"?",AB99&lt;&gt;""),(AB99-'Choix pédagogiques'!$C$4)/('Choix pédagogiques'!$C$5-'Choix pédagogiques'!$C$4),"")</f>
        <v/>
      </c>
      <c r="AX99" s="49" t="str">
        <f>IF(AND('Choix pédagogiques'!$C$4&lt;&gt;"?",'Choix pédagogiques'!$C$5&lt;&gt;"?",AC99&lt;&gt;""),(AC99-'Choix pédagogiques'!$C$4)/('Choix pédagogiques'!$C$5-'Choix pédagogiques'!$C$4),"")</f>
        <v/>
      </c>
      <c r="AY99" s="49" t="str">
        <f>IF(AND('Choix pédagogiques'!$C$4&lt;&gt;"?",'Choix pédagogiques'!$C$5&lt;&gt;"?",AD99&lt;&gt;""),(AD99-'Choix pédagogiques'!$C$4)/('Choix pédagogiques'!$C$5-'Choix pédagogiques'!$C$4),"")</f>
        <v/>
      </c>
      <c r="AZ99" s="22" t="str">
        <f t="shared" si="142"/>
        <v/>
      </c>
      <c r="BA99" s="21" t="str">
        <f t="shared" si="143"/>
        <v>Apprenant 87</v>
      </c>
      <c r="BB99" s="49" t="str">
        <f t="shared" si="115"/>
        <v/>
      </c>
      <c r="BC99" s="49" t="str">
        <f t="shared" si="116"/>
        <v/>
      </c>
      <c r="BD99" s="49" t="str">
        <f t="shared" si="117"/>
        <v/>
      </c>
      <c r="BE99" s="22" t="str">
        <f t="shared" si="144"/>
        <v/>
      </c>
      <c r="BF99" s="21" t="str">
        <f t="shared" si="145"/>
        <v>Apprenant 87 ou 87'</v>
      </c>
      <c r="BG99" s="49" t="str">
        <f t="shared" si="118"/>
        <v/>
      </c>
      <c r="BH99" s="49" t="str">
        <f t="shared" si="119"/>
        <v/>
      </c>
      <c r="BI99" s="49" t="str">
        <f t="shared" si="120"/>
        <v/>
      </c>
      <c r="BJ99" s="22" t="str">
        <f t="shared" si="146"/>
        <v/>
      </c>
      <c r="BL99" s="21"/>
      <c r="BM99" s="21" t="str">
        <f>IF(OR(COUNT(B99:D1098)=0,AND('Choix pédagogiques'!$C$3&lt;&gt;1,'Choix pédagogiques'!$C$3&lt;&gt;2)),"",IF(AND(OR('Choix pédagogiques'!$C$3=1,'Choix pédagogiques'!$C$3=2),$B99&lt;&gt;"",$C99&lt;&gt;"",$D99&lt;&gt;""),1,0))</f>
        <v/>
      </c>
      <c r="BN99" s="21" t="str">
        <f>IF(OR(COUNT(G99:I1098)=0,AND('Choix pédagogiques'!$C$3&lt;&gt;1,'Choix pédagogiques'!$C$3&lt;&gt;2)),"",IF(AND(OR('Choix pédagogiques'!$C$3=1,'Choix pédagogiques'!$C$3=2),AND($G99&lt;&gt;"",$H99&lt;&gt;"",$I99&lt;&gt;"")),1,0))</f>
        <v/>
      </c>
      <c r="BO99" s="21" t="str">
        <f>IF(OR(COUNT(B99:D1098)=0,COUNT(G99:I1098)=0,'Choix pédagogiques'!C$3&lt;&gt;3),"",IF(AND('Choix pédagogiques'!$C$3=3,$B99&lt;&gt;"",$C99&lt;&gt;"",$D99&lt;&gt;"",$G99&lt;&gt;"",$H99&lt;&gt;"",$I99&lt;&gt;""),1,0))</f>
        <v/>
      </c>
      <c r="BR99" s="21">
        <v>551</v>
      </c>
      <c r="BS99" s="21">
        <v>1193</v>
      </c>
      <c r="BT99"/>
    </row>
    <row r="100" spans="1:72" s="23" customFormat="1" ht="18" customHeight="1" x14ac:dyDescent="0.3">
      <c r="A100" s="35" t="s">
        <v>90</v>
      </c>
      <c r="B100" s="37"/>
      <c r="C100" s="37"/>
      <c r="D100" s="37"/>
      <c r="E100" s="37"/>
      <c r="F100" s="35" t="s">
        <v>1098</v>
      </c>
      <c r="G100" s="37"/>
      <c r="H100" s="37"/>
      <c r="I100" s="37"/>
      <c r="J100" s="37"/>
      <c r="K100" s="21" t="str">
        <f t="shared" si="121"/>
        <v>Apprenant 88</v>
      </c>
      <c r="L100" s="22" t="str">
        <f t="shared" si="122"/>
        <v/>
      </c>
      <c r="M100" s="22" t="str">
        <f t="shared" si="123"/>
        <v/>
      </c>
      <c r="N100" s="22" t="str">
        <f t="shared" si="124"/>
        <v/>
      </c>
      <c r="O100" s="22" t="str">
        <f t="shared" si="125"/>
        <v/>
      </c>
      <c r="P100" s="21" t="str">
        <f t="shared" si="126"/>
        <v>Apprenant 88 ou 88'</v>
      </c>
      <c r="Q100" s="22" t="str">
        <f t="shared" si="127"/>
        <v/>
      </c>
      <c r="R100" s="22" t="str">
        <f t="shared" si="128"/>
        <v/>
      </c>
      <c r="S100" s="22" t="str">
        <f t="shared" si="129"/>
        <v/>
      </c>
      <c r="T100" s="22" t="str">
        <f t="shared" si="130"/>
        <v/>
      </c>
      <c r="V100" s="21" t="str">
        <f t="shared" si="131"/>
        <v>Apprenant 88</v>
      </c>
      <c r="W100" s="22" t="str">
        <f>IF(AND(OR('Choix pédagogiques'!$C$3=1,'Choix pédagogiques'!$C$3=2),$BM100=1),B100,IF(AND('Choix pédagogiques'!$C$3=3,$BO100=1),B100,""))</f>
        <v/>
      </c>
      <c r="X100" s="22" t="str">
        <f>IF(AND(OR('Choix pédagogiques'!$C$3=1,'Choix pédagogiques'!$C$3=2),$BM100=1),C100,IF(AND('Choix pédagogiques'!$C$3=3,$BO100=1),C100,""))</f>
        <v/>
      </c>
      <c r="Y100" s="22" t="str">
        <f>IF(AND(OR('Choix pédagogiques'!$C$3=1,'Choix pédagogiques'!$C$3=2),$BM100=1),D100,IF(AND('Choix pédagogiques'!$C$3=3,$BO100=1),D100,""))</f>
        <v/>
      </c>
      <c r="Z100" s="22" t="str">
        <f t="shared" si="132"/>
        <v/>
      </c>
      <c r="AA100" s="21" t="str">
        <f t="shared" si="133"/>
        <v>Apprenant 88 ou 88'</v>
      </c>
      <c r="AB100" s="22" t="str">
        <f>IF(AND(OR('Choix pédagogiques'!$C$3=1,'Choix pédagogiques'!$C$3=2),$BN100=1),G100,IF(AND('Choix pédagogiques'!$C$3=3,$BO100=1),G100,""))</f>
        <v/>
      </c>
      <c r="AC100" s="22" t="str">
        <f>IF(AND(OR('Choix pédagogiques'!$C$3=1,'Choix pédagogiques'!$C$3=2),$BN100=1),H100,IF(AND('Choix pédagogiques'!$C$3=3,$BO100=1),H100,""))</f>
        <v/>
      </c>
      <c r="AD100" s="22" t="str">
        <f>IF(AND(OR('Choix pédagogiques'!$C$3=1,'Choix pédagogiques'!$C$3=2),$BN100=1),I100,IF(AND('Choix pédagogiques'!$C$3=3,$BO100=1),I100,""))</f>
        <v/>
      </c>
      <c r="AE100" s="22" t="str">
        <f t="shared" si="134"/>
        <v/>
      </c>
      <c r="AF100" s="21" t="str">
        <f t="shared" si="135"/>
        <v>Apprenant 88</v>
      </c>
      <c r="AG100" s="22" t="str">
        <f t="shared" si="109"/>
        <v/>
      </c>
      <c r="AH100" s="22" t="str">
        <f t="shared" si="110"/>
        <v/>
      </c>
      <c r="AI100" s="22" t="str">
        <f t="shared" si="111"/>
        <v/>
      </c>
      <c r="AJ100" s="22" t="str">
        <f t="shared" si="136"/>
        <v/>
      </c>
      <c r="AK100" s="21" t="str">
        <f t="shared" si="137"/>
        <v>Apprenant 88 ou 88'</v>
      </c>
      <c r="AL100" s="22" t="str">
        <f t="shared" si="112"/>
        <v/>
      </c>
      <c r="AM100" s="22" t="str">
        <f t="shared" si="113"/>
        <v/>
      </c>
      <c r="AN100" s="22" t="str">
        <f t="shared" si="114"/>
        <v/>
      </c>
      <c r="AO100" s="22" t="str">
        <f t="shared" si="138"/>
        <v/>
      </c>
      <c r="AQ100" s="21" t="str">
        <f t="shared" si="139"/>
        <v>Apprenant 88</v>
      </c>
      <c r="AR100" s="49" t="str">
        <f>IF(AND('Choix pédagogiques'!$C$4&lt;&gt;"?",'Choix pédagogiques'!$C$5&lt;&gt;"?",W100&lt;&gt;""),(W100-'Choix pédagogiques'!$C$4)/('Choix pédagogiques'!$C$5-'Choix pédagogiques'!$C$4),"")</f>
        <v/>
      </c>
      <c r="AS100" s="49" t="str">
        <f>IF(AND('Choix pédagogiques'!$C$4&lt;&gt;"?",'Choix pédagogiques'!$C$5&lt;&gt;"?",X100&lt;&gt;""),(X100-'Choix pédagogiques'!$C$4)/('Choix pédagogiques'!$C$5-'Choix pédagogiques'!$C$4),"")</f>
        <v/>
      </c>
      <c r="AT100" s="49" t="str">
        <f>IF(AND('Choix pédagogiques'!$C$4&lt;&gt;"?",'Choix pédagogiques'!$C$5&lt;&gt;"?",Y100&lt;&gt;""),(Y100-'Choix pédagogiques'!$C$4)/('Choix pédagogiques'!$C$5-'Choix pédagogiques'!$C$4),"")</f>
        <v/>
      </c>
      <c r="AU100" s="22" t="str">
        <f t="shared" si="140"/>
        <v/>
      </c>
      <c r="AV100" s="21" t="str">
        <f t="shared" si="141"/>
        <v>Apprenant 88 ou 88'</v>
      </c>
      <c r="AW100" s="49" t="str">
        <f>IF(AND('Choix pédagogiques'!$C$4&lt;&gt;"?",'Choix pédagogiques'!$C$5&lt;&gt;"?",AB100&lt;&gt;""),(AB100-'Choix pédagogiques'!$C$4)/('Choix pédagogiques'!$C$5-'Choix pédagogiques'!$C$4),"")</f>
        <v/>
      </c>
      <c r="AX100" s="49" t="str">
        <f>IF(AND('Choix pédagogiques'!$C$4&lt;&gt;"?",'Choix pédagogiques'!$C$5&lt;&gt;"?",AC100&lt;&gt;""),(AC100-'Choix pédagogiques'!$C$4)/('Choix pédagogiques'!$C$5-'Choix pédagogiques'!$C$4),"")</f>
        <v/>
      </c>
      <c r="AY100" s="49" t="str">
        <f>IF(AND('Choix pédagogiques'!$C$4&lt;&gt;"?",'Choix pédagogiques'!$C$5&lt;&gt;"?",AD100&lt;&gt;""),(AD100-'Choix pédagogiques'!$C$4)/('Choix pédagogiques'!$C$5-'Choix pédagogiques'!$C$4),"")</f>
        <v/>
      </c>
      <c r="AZ100" s="22" t="str">
        <f t="shared" si="142"/>
        <v/>
      </c>
      <c r="BA100" s="21" t="str">
        <f t="shared" si="143"/>
        <v>Apprenant 88</v>
      </c>
      <c r="BB100" s="49" t="str">
        <f t="shared" si="115"/>
        <v/>
      </c>
      <c r="BC100" s="49" t="str">
        <f t="shared" si="116"/>
        <v/>
      </c>
      <c r="BD100" s="49" t="str">
        <f t="shared" si="117"/>
        <v/>
      </c>
      <c r="BE100" s="22" t="str">
        <f t="shared" si="144"/>
        <v/>
      </c>
      <c r="BF100" s="21" t="str">
        <f t="shared" si="145"/>
        <v>Apprenant 88 ou 88'</v>
      </c>
      <c r="BG100" s="49" t="str">
        <f t="shared" si="118"/>
        <v/>
      </c>
      <c r="BH100" s="49" t="str">
        <f t="shared" si="119"/>
        <v/>
      </c>
      <c r="BI100" s="49" t="str">
        <f t="shared" si="120"/>
        <v/>
      </c>
      <c r="BJ100" s="22" t="str">
        <f t="shared" si="146"/>
        <v/>
      </c>
      <c r="BL100" s="21"/>
      <c r="BM100" s="21" t="str">
        <f>IF(OR(COUNT(B100:D1099)=0,AND('Choix pédagogiques'!$C$3&lt;&gt;1,'Choix pédagogiques'!$C$3&lt;&gt;2)),"",IF(AND(OR('Choix pédagogiques'!$C$3=1,'Choix pédagogiques'!$C$3=2),$B100&lt;&gt;"",$C100&lt;&gt;"",$D100&lt;&gt;""),1,0))</f>
        <v/>
      </c>
      <c r="BN100" s="21" t="str">
        <f>IF(OR(COUNT(G100:I1099)=0,AND('Choix pédagogiques'!$C$3&lt;&gt;1,'Choix pédagogiques'!$C$3&lt;&gt;2)),"",IF(AND(OR('Choix pédagogiques'!$C$3=1,'Choix pédagogiques'!$C$3=2),AND($G100&lt;&gt;"",$H100&lt;&gt;"",$I100&lt;&gt;"")),1,0))</f>
        <v/>
      </c>
      <c r="BO100" s="21" t="str">
        <f>IF(OR(COUNT(B100:D1099)=0,COUNT(G100:I1099)=0,'Choix pédagogiques'!C$3&lt;&gt;3),"",IF(AND('Choix pédagogiques'!$C$3=3,$B100&lt;&gt;"",$C100&lt;&gt;"",$D100&lt;&gt;"",$G100&lt;&gt;"",$H100&lt;&gt;"",$I100&lt;&gt;""),1,0))</f>
        <v/>
      </c>
      <c r="BR100" s="21">
        <v>828</v>
      </c>
      <c r="BS100" s="21">
        <v>1738</v>
      </c>
      <c r="BT100"/>
    </row>
    <row r="101" spans="1:72" s="23" customFormat="1" ht="18" customHeight="1" x14ac:dyDescent="0.3">
      <c r="A101" s="35" t="s">
        <v>91</v>
      </c>
      <c r="B101" s="37"/>
      <c r="C101" s="37"/>
      <c r="D101" s="37"/>
      <c r="E101" s="37"/>
      <c r="F101" s="35" t="s">
        <v>1099</v>
      </c>
      <c r="G101" s="37"/>
      <c r="H101" s="37"/>
      <c r="I101" s="37"/>
      <c r="J101" s="37"/>
      <c r="K101" s="21" t="str">
        <f t="shared" si="121"/>
        <v>Apprenant 89</v>
      </c>
      <c r="L101" s="22" t="str">
        <f t="shared" si="122"/>
        <v/>
      </c>
      <c r="M101" s="22" t="str">
        <f t="shared" si="123"/>
        <v/>
      </c>
      <c r="N101" s="22" t="str">
        <f t="shared" si="124"/>
        <v/>
      </c>
      <c r="O101" s="22" t="str">
        <f t="shared" si="125"/>
        <v/>
      </c>
      <c r="P101" s="21" t="str">
        <f t="shared" si="126"/>
        <v>Apprenant 89 ou 89'</v>
      </c>
      <c r="Q101" s="22" t="str">
        <f t="shared" si="127"/>
        <v/>
      </c>
      <c r="R101" s="22" t="str">
        <f t="shared" si="128"/>
        <v/>
      </c>
      <c r="S101" s="22" t="str">
        <f t="shared" si="129"/>
        <v/>
      </c>
      <c r="T101" s="22" t="str">
        <f t="shared" si="130"/>
        <v/>
      </c>
      <c r="V101" s="21" t="str">
        <f t="shared" si="131"/>
        <v>Apprenant 89</v>
      </c>
      <c r="W101" s="22" t="str">
        <f>IF(AND(OR('Choix pédagogiques'!$C$3=1,'Choix pédagogiques'!$C$3=2),$BM101=1),B101,IF(AND('Choix pédagogiques'!$C$3=3,$BO101=1),B101,""))</f>
        <v/>
      </c>
      <c r="X101" s="22" t="str">
        <f>IF(AND(OR('Choix pédagogiques'!$C$3=1,'Choix pédagogiques'!$C$3=2),$BM101=1),C101,IF(AND('Choix pédagogiques'!$C$3=3,$BO101=1),C101,""))</f>
        <v/>
      </c>
      <c r="Y101" s="22" t="str">
        <f>IF(AND(OR('Choix pédagogiques'!$C$3=1,'Choix pédagogiques'!$C$3=2),$BM101=1),D101,IF(AND('Choix pédagogiques'!$C$3=3,$BO101=1),D101,""))</f>
        <v/>
      </c>
      <c r="Z101" s="22" t="str">
        <f t="shared" si="132"/>
        <v/>
      </c>
      <c r="AA101" s="21" t="str">
        <f t="shared" si="133"/>
        <v>Apprenant 89 ou 89'</v>
      </c>
      <c r="AB101" s="22" t="str">
        <f>IF(AND(OR('Choix pédagogiques'!$C$3=1,'Choix pédagogiques'!$C$3=2),$BN101=1),G101,IF(AND('Choix pédagogiques'!$C$3=3,$BO101=1),G101,""))</f>
        <v/>
      </c>
      <c r="AC101" s="22" t="str">
        <f>IF(AND(OR('Choix pédagogiques'!$C$3=1,'Choix pédagogiques'!$C$3=2),$BN101=1),H101,IF(AND('Choix pédagogiques'!$C$3=3,$BO101=1),H101,""))</f>
        <v/>
      </c>
      <c r="AD101" s="22" t="str">
        <f>IF(AND(OR('Choix pédagogiques'!$C$3=1,'Choix pédagogiques'!$C$3=2),$BN101=1),I101,IF(AND('Choix pédagogiques'!$C$3=3,$BO101=1),I101,""))</f>
        <v/>
      </c>
      <c r="AE101" s="22" t="str">
        <f t="shared" si="134"/>
        <v/>
      </c>
      <c r="AF101" s="21" t="str">
        <f t="shared" si="135"/>
        <v>Apprenant 89</v>
      </c>
      <c r="AG101" s="22" t="str">
        <f t="shared" si="109"/>
        <v/>
      </c>
      <c r="AH101" s="22" t="str">
        <f t="shared" si="110"/>
        <v/>
      </c>
      <c r="AI101" s="22" t="str">
        <f t="shared" si="111"/>
        <v/>
      </c>
      <c r="AJ101" s="22" t="str">
        <f t="shared" si="136"/>
        <v/>
      </c>
      <c r="AK101" s="21" t="str">
        <f t="shared" si="137"/>
        <v>Apprenant 89 ou 89'</v>
      </c>
      <c r="AL101" s="22" t="str">
        <f t="shared" si="112"/>
        <v/>
      </c>
      <c r="AM101" s="22" t="str">
        <f t="shared" si="113"/>
        <v/>
      </c>
      <c r="AN101" s="22" t="str">
        <f t="shared" si="114"/>
        <v/>
      </c>
      <c r="AO101" s="22" t="str">
        <f t="shared" si="138"/>
        <v/>
      </c>
      <c r="AQ101" s="21" t="str">
        <f t="shared" si="139"/>
        <v>Apprenant 89</v>
      </c>
      <c r="AR101" s="49" t="str">
        <f>IF(AND('Choix pédagogiques'!$C$4&lt;&gt;"?",'Choix pédagogiques'!$C$5&lt;&gt;"?",W101&lt;&gt;""),(W101-'Choix pédagogiques'!$C$4)/('Choix pédagogiques'!$C$5-'Choix pédagogiques'!$C$4),"")</f>
        <v/>
      </c>
      <c r="AS101" s="49" t="str">
        <f>IF(AND('Choix pédagogiques'!$C$4&lt;&gt;"?",'Choix pédagogiques'!$C$5&lt;&gt;"?",X101&lt;&gt;""),(X101-'Choix pédagogiques'!$C$4)/('Choix pédagogiques'!$C$5-'Choix pédagogiques'!$C$4),"")</f>
        <v/>
      </c>
      <c r="AT101" s="49" t="str">
        <f>IF(AND('Choix pédagogiques'!$C$4&lt;&gt;"?",'Choix pédagogiques'!$C$5&lt;&gt;"?",Y101&lt;&gt;""),(Y101-'Choix pédagogiques'!$C$4)/('Choix pédagogiques'!$C$5-'Choix pédagogiques'!$C$4),"")</f>
        <v/>
      </c>
      <c r="AU101" s="22" t="str">
        <f t="shared" si="140"/>
        <v/>
      </c>
      <c r="AV101" s="21" t="str">
        <f t="shared" si="141"/>
        <v>Apprenant 89 ou 89'</v>
      </c>
      <c r="AW101" s="49" t="str">
        <f>IF(AND('Choix pédagogiques'!$C$4&lt;&gt;"?",'Choix pédagogiques'!$C$5&lt;&gt;"?",AB101&lt;&gt;""),(AB101-'Choix pédagogiques'!$C$4)/('Choix pédagogiques'!$C$5-'Choix pédagogiques'!$C$4),"")</f>
        <v/>
      </c>
      <c r="AX101" s="49" t="str">
        <f>IF(AND('Choix pédagogiques'!$C$4&lt;&gt;"?",'Choix pédagogiques'!$C$5&lt;&gt;"?",AC101&lt;&gt;""),(AC101-'Choix pédagogiques'!$C$4)/('Choix pédagogiques'!$C$5-'Choix pédagogiques'!$C$4),"")</f>
        <v/>
      </c>
      <c r="AY101" s="49" t="str">
        <f>IF(AND('Choix pédagogiques'!$C$4&lt;&gt;"?",'Choix pédagogiques'!$C$5&lt;&gt;"?",AD101&lt;&gt;""),(AD101-'Choix pédagogiques'!$C$4)/('Choix pédagogiques'!$C$5-'Choix pédagogiques'!$C$4),"")</f>
        <v/>
      </c>
      <c r="AZ101" s="22" t="str">
        <f t="shared" si="142"/>
        <v/>
      </c>
      <c r="BA101" s="21" t="str">
        <f t="shared" si="143"/>
        <v>Apprenant 89</v>
      </c>
      <c r="BB101" s="49" t="str">
        <f t="shared" si="115"/>
        <v/>
      </c>
      <c r="BC101" s="49" t="str">
        <f t="shared" si="116"/>
        <v/>
      </c>
      <c r="BD101" s="49" t="str">
        <f t="shared" si="117"/>
        <v/>
      </c>
      <c r="BE101" s="22" t="str">
        <f t="shared" si="144"/>
        <v/>
      </c>
      <c r="BF101" s="21" t="str">
        <f t="shared" si="145"/>
        <v>Apprenant 89 ou 89'</v>
      </c>
      <c r="BG101" s="49" t="str">
        <f t="shared" si="118"/>
        <v/>
      </c>
      <c r="BH101" s="49" t="str">
        <f t="shared" si="119"/>
        <v/>
      </c>
      <c r="BI101" s="49" t="str">
        <f t="shared" si="120"/>
        <v/>
      </c>
      <c r="BJ101" s="22" t="str">
        <f t="shared" si="146"/>
        <v/>
      </c>
      <c r="BL101" s="21"/>
      <c r="BM101" s="21" t="str">
        <f>IF(OR(COUNT(B101:D1100)=0,AND('Choix pédagogiques'!$C$3&lt;&gt;1,'Choix pédagogiques'!$C$3&lt;&gt;2)),"",IF(AND(OR('Choix pédagogiques'!$C$3=1,'Choix pédagogiques'!$C$3=2),$B101&lt;&gt;"",$C101&lt;&gt;"",$D101&lt;&gt;""),1,0))</f>
        <v/>
      </c>
      <c r="BN101" s="21" t="str">
        <f>IF(OR(COUNT(G101:I1100)=0,AND('Choix pédagogiques'!$C$3&lt;&gt;1,'Choix pédagogiques'!$C$3&lt;&gt;2)),"",IF(AND(OR('Choix pédagogiques'!$C$3=1,'Choix pédagogiques'!$C$3=2),AND($G101&lt;&gt;"",$H101&lt;&gt;"",$I101&lt;&gt;"")),1,0))</f>
        <v/>
      </c>
      <c r="BO101" s="21" t="str">
        <f>IF(OR(COUNT(B101:D1100)=0,COUNT(G101:I1100)=0,'Choix pédagogiques'!C$3&lt;&gt;3),"",IF(AND('Choix pédagogiques'!$C$3=3,$B101&lt;&gt;"",$C101&lt;&gt;"",$D101&lt;&gt;"",$G101&lt;&gt;"",$H101&lt;&gt;"",$I101&lt;&gt;""),1,0))</f>
        <v/>
      </c>
      <c r="BR101" s="21">
        <v>188</v>
      </c>
      <c r="BS101" s="21">
        <v>1390</v>
      </c>
      <c r="BT101"/>
    </row>
    <row r="102" spans="1:72" s="23" customFormat="1" ht="18" customHeight="1" x14ac:dyDescent="0.3">
      <c r="A102" s="35" t="s">
        <v>92</v>
      </c>
      <c r="B102" s="37"/>
      <c r="C102" s="37"/>
      <c r="D102" s="37"/>
      <c r="E102" s="37"/>
      <c r="F102" s="35" t="s">
        <v>1100</v>
      </c>
      <c r="G102" s="37"/>
      <c r="H102" s="37"/>
      <c r="I102" s="37"/>
      <c r="J102" s="37"/>
      <c r="K102" s="21" t="str">
        <f t="shared" si="121"/>
        <v>Apprenant 90</v>
      </c>
      <c r="L102" s="22" t="str">
        <f t="shared" si="122"/>
        <v/>
      </c>
      <c r="M102" s="22" t="str">
        <f t="shared" si="123"/>
        <v/>
      </c>
      <c r="N102" s="22" t="str">
        <f t="shared" si="124"/>
        <v/>
      </c>
      <c r="O102" s="22" t="str">
        <f t="shared" si="125"/>
        <v/>
      </c>
      <c r="P102" s="21" t="str">
        <f t="shared" si="126"/>
        <v>Apprenant 90 ou 90'</v>
      </c>
      <c r="Q102" s="22" t="str">
        <f t="shared" si="127"/>
        <v/>
      </c>
      <c r="R102" s="22" t="str">
        <f t="shared" si="128"/>
        <v/>
      </c>
      <c r="S102" s="22" t="str">
        <f t="shared" si="129"/>
        <v/>
      </c>
      <c r="T102" s="22" t="str">
        <f t="shared" si="130"/>
        <v/>
      </c>
      <c r="V102" s="21" t="str">
        <f t="shared" si="131"/>
        <v>Apprenant 90</v>
      </c>
      <c r="W102" s="22" t="str">
        <f>IF(AND(OR('Choix pédagogiques'!$C$3=1,'Choix pédagogiques'!$C$3=2),$BM102=1),B102,IF(AND('Choix pédagogiques'!$C$3=3,$BO102=1),B102,""))</f>
        <v/>
      </c>
      <c r="X102" s="22" t="str">
        <f>IF(AND(OR('Choix pédagogiques'!$C$3=1,'Choix pédagogiques'!$C$3=2),$BM102=1),C102,IF(AND('Choix pédagogiques'!$C$3=3,$BO102=1),C102,""))</f>
        <v/>
      </c>
      <c r="Y102" s="22" t="str">
        <f>IF(AND(OR('Choix pédagogiques'!$C$3=1,'Choix pédagogiques'!$C$3=2),$BM102=1),D102,IF(AND('Choix pédagogiques'!$C$3=3,$BO102=1),D102,""))</f>
        <v/>
      </c>
      <c r="Z102" s="22" t="str">
        <f t="shared" si="132"/>
        <v/>
      </c>
      <c r="AA102" s="21" t="str">
        <f t="shared" si="133"/>
        <v>Apprenant 90 ou 90'</v>
      </c>
      <c r="AB102" s="22" t="str">
        <f>IF(AND(OR('Choix pédagogiques'!$C$3=1,'Choix pédagogiques'!$C$3=2),$BN102=1),G102,IF(AND('Choix pédagogiques'!$C$3=3,$BO102=1),G102,""))</f>
        <v/>
      </c>
      <c r="AC102" s="22" t="str">
        <f>IF(AND(OR('Choix pédagogiques'!$C$3=1,'Choix pédagogiques'!$C$3=2),$BN102=1),H102,IF(AND('Choix pédagogiques'!$C$3=3,$BO102=1),H102,""))</f>
        <v/>
      </c>
      <c r="AD102" s="22" t="str">
        <f>IF(AND(OR('Choix pédagogiques'!$C$3=1,'Choix pédagogiques'!$C$3=2),$BN102=1),I102,IF(AND('Choix pédagogiques'!$C$3=3,$BO102=1),I102,""))</f>
        <v/>
      </c>
      <c r="AE102" s="22" t="str">
        <f t="shared" si="134"/>
        <v/>
      </c>
      <c r="AF102" s="21" t="str">
        <f t="shared" si="135"/>
        <v>Apprenant 90</v>
      </c>
      <c r="AG102" s="22" t="str">
        <f t="shared" si="109"/>
        <v/>
      </c>
      <c r="AH102" s="22" t="str">
        <f t="shared" si="110"/>
        <v/>
      </c>
      <c r="AI102" s="22" t="str">
        <f t="shared" si="111"/>
        <v/>
      </c>
      <c r="AJ102" s="22" t="str">
        <f t="shared" si="136"/>
        <v/>
      </c>
      <c r="AK102" s="21" t="str">
        <f t="shared" si="137"/>
        <v>Apprenant 90 ou 90'</v>
      </c>
      <c r="AL102" s="22" t="str">
        <f t="shared" si="112"/>
        <v/>
      </c>
      <c r="AM102" s="22" t="str">
        <f t="shared" si="113"/>
        <v/>
      </c>
      <c r="AN102" s="22" t="str">
        <f t="shared" si="114"/>
        <v/>
      </c>
      <c r="AO102" s="22" t="str">
        <f t="shared" si="138"/>
        <v/>
      </c>
      <c r="AQ102" s="21" t="str">
        <f t="shared" si="139"/>
        <v>Apprenant 90</v>
      </c>
      <c r="AR102" s="49" t="str">
        <f>IF(AND('Choix pédagogiques'!$C$4&lt;&gt;"?",'Choix pédagogiques'!$C$5&lt;&gt;"?",W102&lt;&gt;""),(W102-'Choix pédagogiques'!$C$4)/('Choix pédagogiques'!$C$5-'Choix pédagogiques'!$C$4),"")</f>
        <v/>
      </c>
      <c r="AS102" s="49" t="str">
        <f>IF(AND('Choix pédagogiques'!$C$4&lt;&gt;"?",'Choix pédagogiques'!$C$5&lt;&gt;"?",X102&lt;&gt;""),(X102-'Choix pédagogiques'!$C$4)/('Choix pédagogiques'!$C$5-'Choix pédagogiques'!$C$4),"")</f>
        <v/>
      </c>
      <c r="AT102" s="49" t="str">
        <f>IF(AND('Choix pédagogiques'!$C$4&lt;&gt;"?",'Choix pédagogiques'!$C$5&lt;&gt;"?",Y102&lt;&gt;""),(Y102-'Choix pédagogiques'!$C$4)/('Choix pédagogiques'!$C$5-'Choix pédagogiques'!$C$4),"")</f>
        <v/>
      </c>
      <c r="AU102" s="22" t="str">
        <f t="shared" si="140"/>
        <v/>
      </c>
      <c r="AV102" s="21" t="str">
        <f t="shared" si="141"/>
        <v>Apprenant 90 ou 90'</v>
      </c>
      <c r="AW102" s="49" t="str">
        <f>IF(AND('Choix pédagogiques'!$C$4&lt;&gt;"?",'Choix pédagogiques'!$C$5&lt;&gt;"?",AB102&lt;&gt;""),(AB102-'Choix pédagogiques'!$C$4)/('Choix pédagogiques'!$C$5-'Choix pédagogiques'!$C$4),"")</f>
        <v/>
      </c>
      <c r="AX102" s="49" t="str">
        <f>IF(AND('Choix pédagogiques'!$C$4&lt;&gt;"?",'Choix pédagogiques'!$C$5&lt;&gt;"?",AC102&lt;&gt;""),(AC102-'Choix pédagogiques'!$C$4)/('Choix pédagogiques'!$C$5-'Choix pédagogiques'!$C$4),"")</f>
        <v/>
      </c>
      <c r="AY102" s="49" t="str">
        <f>IF(AND('Choix pédagogiques'!$C$4&lt;&gt;"?",'Choix pédagogiques'!$C$5&lt;&gt;"?",AD102&lt;&gt;""),(AD102-'Choix pédagogiques'!$C$4)/('Choix pédagogiques'!$C$5-'Choix pédagogiques'!$C$4),"")</f>
        <v/>
      </c>
      <c r="AZ102" s="22" t="str">
        <f t="shared" si="142"/>
        <v/>
      </c>
      <c r="BA102" s="21" t="str">
        <f t="shared" si="143"/>
        <v>Apprenant 90</v>
      </c>
      <c r="BB102" s="49" t="str">
        <f t="shared" si="115"/>
        <v/>
      </c>
      <c r="BC102" s="49" t="str">
        <f t="shared" si="116"/>
        <v/>
      </c>
      <c r="BD102" s="49" t="str">
        <f t="shared" si="117"/>
        <v/>
      </c>
      <c r="BE102" s="22" t="str">
        <f t="shared" si="144"/>
        <v/>
      </c>
      <c r="BF102" s="21" t="str">
        <f t="shared" si="145"/>
        <v>Apprenant 90 ou 90'</v>
      </c>
      <c r="BG102" s="49" t="str">
        <f t="shared" si="118"/>
        <v/>
      </c>
      <c r="BH102" s="49" t="str">
        <f t="shared" si="119"/>
        <v/>
      </c>
      <c r="BI102" s="49" t="str">
        <f t="shared" si="120"/>
        <v/>
      </c>
      <c r="BJ102" s="22" t="str">
        <f t="shared" si="146"/>
        <v/>
      </c>
      <c r="BL102" s="21"/>
      <c r="BM102" s="21" t="str">
        <f>IF(OR(COUNT(B102:D1101)=0,AND('Choix pédagogiques'!$C$3&lt;&gt;1,'Choix pédagogiques'!$C$3&lt;&gt;2)),"",IF(AND(OR('Choix pédagogiques'!$C$3=1,'Choix pédagogiques'!$C$3=2),$B102&lt;&gt;"",$C102&lt;&gt;"",$D102&lt;&gt;""),1,0))</f>
        <v/>
      </c>
      <c r="BN102" s="21" t="str">
        <f>IF(OR(COUNT(G102:I1101)=0,AND('Choix pédagogiques'!$C$3&lt;&gt;1,'Choix pédagogiques'!$C$3&lt;&gt;2)),"",IF(AND(OR('Choix pédagogiques'!$C$3=1,'Choix pédagogiques'!$C$3=2),AND($G102&lt;&gt;"",$H102&lt;&gt;"",$I102&lt;&gt;"")),1,0))</f>
        <v/>
      </c>
      <c r="BO102" s="21" t="str">
        <f>IF(OR(COUNT(B102:D1101)=0,COUNT(G102:I1101)=0,'Choix pédagogiques'!C$3&lt;&gt;3),"",IF(AND('Choix pédagogiques'!$C$3=3,$B102&lt;&gt;"",$C102&lt;&gt;"",$D102&lt;&gt;"",$G102&lt;&gt;"",$H102&lt;&gt;"",$I102&lt;&gt;""),1,0))</f>
        <v/>
      </c>
      <c r="BR102" s="21">
        <v>71</v>
      </c>
      <c r="BS102" s="21">
        <v>1720</v>
      </c>
      <c r="BT102"/>
    </row>
    <row r="103" spans="1:72" s="23" customFormat="1" ht="18" customHeight="1" x14ac:dyDescent="0.3">
      <c r="A103" s="35" t="s">
        <v>93</v>
      </c>
      <c r="B103" s="37"/>
      <c r="C103" s="37"/>
      <c r="D103" s="37"/>
      <c r="E103" s="37"/>
      <c r="F103" s="35" t="s">
        <v>1101</v>
      </c>
      <c r="G103" s="37"/>
      <c r="H103" s="37"/>
      <c r="I103" s="37"/>
      <c r="J103" s="37"/>
      <c r="K103" s="21" t="str">
        <f t="shared" si="121"/>
        <v>Apprenant 91</v>
      </c>
      <c r="L103" s="22" t="str">
        <f t="shared" si="122"/>
        <v/>
      </c>
      <c r="M103" s="22" t="str">
        <f t="shared" si="123"/>
        <v/>
      </c>
      <c r="N103" s="22" t="str">
        <f t="shared" si="124"/>
        <v/>
      </c>
      <c r="O103" s="22" t="str">
        <f t="shared" si="125"/>
        <v/>
      </c>
      <c r="P103" s="21" t="str">
        <f t="shared" si="126"/>
        <v>Apprenant 91 ou 91'</v>
      </c>
      <c r="Q103" s="22" t="str">
        <f t="shared" si="127"/>
        <v/>
      </c>
      <c r="R103" s="22" t="str">
        <f t="shared" si="128"/>
        <v/>
      </c>
      <c r="S103" s="22" t="str">
        <f t="shared" si="129"/>
        <v/>
      </c>
      <c r="T103" s="22" t="str">
        <f t="shared" si="130"/>
        <v/>
      </c>
      <c r="V103" s="21" t="str">
        <f t="shared" si="131"/>
        <v>Apprenant 91</v>
      </c>
      <c r="W103" s="22" t="str">
        <f>IF(AND(OR('Choix pédagogiques'!$C$3=1,'Choix pédagogiques'!$C$3=2),$BM103=1),B103,IF(AND('Choix pédagogiques'!$C$3=3,$BO103=1),B103,""))</f>
        <v/>
      </c>
      <c r="X103" s="22" t="str">
        <f>IF(AND(OR('Choix pédagogiques'!$C$3=1,'Choix pédagogiques'!$C$3=2),$BM103=1),C103,IF(AND('Choix pédagogiques'!$C$3=3,$BO103=1),C103,""))</f>
        <v/>
      </c>
      <c r="Y103" s="22" t="str">
        <f>IF(AND(OR('Choix pédagogiques'!$C$3=1,'Choix pédagogiques'!$C$3=2),$BM103=1),D103,IF(AND('Choix pédagogiques'!$C$3=3,$BO103=1),D103,""))</f>
        <v/>
      </c>
      <c r="Z103" s="22" t="str">
        <f t="shared" si="132"/>
        <v/>
      </c>
      <c r="AA103" s="21" t="str">
        <f t="shared" si="133"/>
        <v>Apprenant 91 ou 91'</v>
      </c>
      <c r="AB103" s="22" t="str">
        <f>IF(AND(OR('Choix pédagogiques'!$C$3=1,'Choix pédagogiques'!$C$3=2),$BN103=1),G103,IF(AND('Choix pédagogiques'!$C$3=3,$BO103=1),G103,""))</f>
        <v/>
      </c>
      <c r="AC103" s="22" t="str">
        <f>IF(AND(OR('Choix pédagogiques'!$C$3=1,'Choix pédagogiques'!$C$3=2),$BN103=1),H103,IF(AND('Choix pédagogiques'!$C$3=3,$BO103=1),H103,""))</f>
        <v/>
      </c>
      <c r="AD103" s="22" t="str">
        <f>IF(AND(OR('Choix pédagogiques'!$C$3=1,'Choix pédagogiques'!$C$3=2),$BN103=1),I103,IF(AND('Choix pédagogiques'!$C$3=3,$BO103=1),I103,""))</f>
        <v/>
      </c>
      <c r="AE103" s="22" t="str">
        <f t="shared" si="134"/>
        <v/>
      </c>
      <c r="AF103" s="21" t="str">
        <f t="shared" si="135"/>
        <v>Apprenant 91</v>
      </c>
      <c r="AG103" s="22" t="str">
        <f t="shared" si="109"/>
        <v/>
      </c>
      <c r="AH103" s="22" t="str">
        <f t="shared" si="110"/>
        <v/>
      </c>
      <c r="AI103" s="22" t="str">
        <f t="shared" si="111"/>
        <v/>
      </c>
      <c r="AJ103" s="22" t="str">
        <f t="shared" si="136"/>
        <v/>
      </c>
      <c r="AK103" s="21" t="str">
        <f t="shared" si="137"/>
        <v>Apprenant 91 ou 91'</v>
      </c>
      <c r="AL103" s="22" t="str">
        <f t="shared" si="112"/>
        <v/>
      </c>
      <c r="AM103" s="22" t="str">
        <f t="shared" si="113"/>
        <v/>
      </c>
      <c r="AN103" s="22" t="str">
        <f t="shared" si="114"/>
        <v/>
      </c>
      <c r="AO103" s="22" t="str">
        <f t="shared" si="138"/>
        <v/>
      </c>
      <c r="AQ103" s="21" t="str">
        <f t="shared" si="139"/>
        <v>Apprenant 91</v>
      </c>
      <c r="AR103" s="49" t="str">
        <f>IF(AND('Choix pédagogiques'!$C$4&lt;&gt;"?",'Choix pédagogiques'!$C$5&lt;&gt;"?",W103&lt;&gt;""),(W103-'Choix pédagogiques'!$C$4)/('Choix pédagogiques'!$C$5-'Choix pédagogiques'!$C$4),"")</f>
        <v/>
      </c>
      <c r="AS103" s="49" t="str">
        <f>IF(AND('Choix pédagogiques'!$C$4&lt;&gt;"?",'Choix pédagogiques'!$C$5&lt;&gt;"?",X103&lt;&gt;""),(X103-'Choix pédagogiques'!$C$4)/('Choix pédagogiques'!$C$5-'Choix pédagogiques'!$C$4),"")</f>
        <v/>
      </c>
      <c r="AT103" s="49" t="str">
        <f>IF(AND('Choix pédagogiques'!$C$4&lt;&gt;"?",'Choix pédagogiques'!$C$5&lt;&gt;"?",Y103&lt;&gt;""),(Y103-'Choix pédagogiques'!$C$4)/('Choix pédagogiques'!$C$5-'Choix pédagogiques'!$C$4),"")</f>
        <v/>
      </c>
      <c r="AU103" s="22" t="str">
        <f t="shared" si="140"/>
        <v/>
      </c>
      <c r="AV103" s="21" t="str">
        <f t="shared" si="141"/>
        <v>Apprenant 91 ou 91'</v>
      </c>
      <c r="AW103" s="49" t="str">
        <f>IF(AND('Choix pédagogiques'!$C$4&lt;&gt;"?",'Choix pédagogiques'!$C$5&lt;&gt;"?",AB103&lt;&gt;""),(AB103-'Choix pédagogiques'!$C$4)/('Choix pédagogiques'!$C$5-'Choix pédagogiques'!$C$4),"")</f>
        <v/>
      </c>
      <c r="AX103" s="49" t="str">
        <f>IF(AND('Choix pédagogiques'!$C$4&lt;&gt;"?",'Choix pédagogiques'!$C$5&lt;&gt;"?",AC103&lt;&gt;""),(AC103-'Choix pédagogiques'!$C$4)/('Choix pédagogiques'!$C$5-'Choix pédagogiques'!$C$4),"")</f>
        <v/>
      </c>
      <c r="AY103" s="49" t="str">
        <f>IF(AND('Choix pédagogiques'!$C$4&lt;&gt;"?",'Choix pédagogiques'!$C$5&lt;&gt;"?",AD103&lt;&gt;""),(AD103-'Choix pédagogiques'!$C$4)/('Choix pédagogiques'!$C$5-'Choix pédagogiques'!$C$4),"")</f>
        <v/>
      </c>
      <c r="AZ103" s="22" t="str">
        <f t="shared" si="142"/>
        <v/>
      </c>
      <c r="BA103" s="21" t="str">
        <f t="shared" si="143"/>
        <v>Apprenant 91</v>
      </c>
      <c r="BB103" s="49" t="str">
        <f t="shared" si="115"/>
        <v/>
      </c>
      <c r="BC103" s="49" t="str">
        <f t="shared" si="116"/>
        <v/>
      </c>
      <c r="BD103" s="49" t="str">
        <f t="shared" si="117"/>
        <v/>
      </c>
      <c r="BE103" s="22" t="str">
        <f t="shared" si="144"/>
        <v/>
      </c>
      <c r="BF103" s="21" t="str">
        <f t="shared" si="145"/>
        <v>Apprenant 91 ou 91'</v>
      </c>
      <c r="BG103" s="49" t="str">
        <f t="shared" si="118"/>
        <v/>
      </c>
      <c r="BH103" s="49" t="str">
        <f t="shared" si="119"/>
        <v/>
      </c>
      <c r="BI103" s="49" t="str">
        <f t="shared" si="120"/>
        <v/>
      </c>
      <c r="BJ103" s="22" t="str">
        <f t="shared" si="146"/>
        <v/>
      </c>
      <c r="BL103" s="21"/>
      <c r="BM103" s="21" t="str">
        <f>IF(OR(COUNT(B103:D1102)=0,AND('Choix pédagogiques'!$C$3&lt;&gt;1,'Choix pédagogiques'!$C$3&lt;&gt;2)),"",IF(AND(OR('Choix pédagogiques'!$C$3=1,'Choix pédagogiques'!$C$3=2),$B103&lt;&gt;"",$C103&lt;&gt;"",$D103&lt;&gt;""),1,0))</f>
        <v/>
      </c>
      <c r="BN103" s="21" t="str">
        <f>IF(OR(COUNT(G103:I1102)=0,AND('Choix pédagogiques'!$C$3&lt;&gt;1,'Choix pédagogiques'!$C$3&lt;&gt;2)),"",IF(AND(OR('Choix pédagogiques'!$C$3=1,'Choix pédagogiques'!$C$3=2),AND($G103&lt;&gt;"",$H103&lt;&gt;"",$I103&lt;&gt;"")),1,0))</f>
        <v/>
      </c>
      <c r="BO103" s="21" t="str">
        <f>IF(OR(COUNT(B103:D1102)=0,COUNT(G103:I1102)=0,'Choix pédagogiques'!C$3&lt;&gt;3),"",IF(AND('Choix pédagogiques'!$C$3=3,$B103&lt;&gt;"",$C103&lt;&gt;"",$D103&lt;&gt;"",$G103&lt;&gt;"",$H103&lt;&gt;"",$I103&lt;&gt;""),1,0))</f>
        <v/>
      </c>
      <c r="BR103" s="21">
        <v>854</v>
      </c>
      <c r="BS103" s="21">
        <v>1779</v>
      </c>
      <c r="BT103"/>
    </row>
    <row r="104" spans="1:72" s="23" customFormat="1" ht="18" customHeight="1" x14ac:dyDescent="0.3">
      <c r="A104" s="35" t="s">
        <v>94</v>
      </c>
      <c r="B104" s="37"/>
      <c r="C104" s="37"/>
      <c r="D104" s="37"/>
      <c r="E104" s="37"/>
      <c r="F104" s="35" t="s">
        <v>1102</v>
      </c>
      <c r="G104" s="37"/>
      <c r="H104" s="37"/>
      <c r="I104" s="37"/>
      <c r="J104" s="37"/>
      <c r="K104" s="21" t="str">
        <f t="shared" si="121"/>
        <v>Apprenant 92</v>
      </c>
      <c r="L104" s="22" t="str">
        <f t="shared" si="122"/>
        <v/>
      </c>
      <c r="M104" s="22" t="str">
        <f t="shared" si="123"/>
        <v/>
      </c>
      <c r="N104" s="22" t="str">
        <f t="shared" si="124"/>
        <v/>
      </c>
      <c r="O104" s="22" t="str">
        <f t="shared" si="125"/>
        <v/>
      </c>
      <c r="P104" s="21" t="str">
        <f t="shared" si="126"/>
        <v>Apprenant 92 ou 92'</v>
      </c>
      <c r="Q104" s="22" t="str">
        <f t="shared" si="127"/>
        <v/>
      </c>
      <c r="R104" s="22" t="str">
        <f t="shared" si="128"/>
        <v/>
      </c>
      <c r="S104" s="22" t="str">
        <f t="shared" si="129"/>
        <v/>
      </c>
      <c r="T104" s="22" t="str">
        <f t="shared" si="130"/>
        <v/>
      </c>
      <c r="V104" s="21" t="str">
        <f t="shared" si="131"/>
        <v>Apprenant 92</v>
      </c>
      <c r="W104" s="22" t="str">
        <f>IF(AND(OR('Choix pédagogiques'!$C$3=1,'Choix pédagogiques'!$C$3=2),$BM104=1),B104,IF(AND('Choix pédagogiques'!$C$3=3,$BO104=1),B104,""))</f>
        <v/>
      </c>
      <c r="X104" s="22" t="str">
        <f>IF(AND(OR('Choix pédagogiques'!$C$3=1,'Choix pédagogiques'!$C$3=2),$BM104=1),C104,IF(AND('Choix pédagogiques'!$C$3=3,$BO104=1),C104,""))</f>
        <v/>
      </c>
      <c r="Y104" s="22" t="str">
        <f>IF(AND(OR('Choix pédagogiques'!$C$3=1,'Choix pédagogiques'!$C$3=2),$BM104=1),D104,IF(AND('Choix pédagogiques'!$C$3=3,$BO104=1),D104,""))</f>
        <v/>
      </c>
      <c r="Z104" s="22" t="str">
        <f t="shared" si="132"/>
        <v/>
      </c>
      <c r="AA104" s="21" t="str">
        <f t="shared" si="133"/>
        <v>Apprenant 92 ou 92'</v>
      </c>
      <c r="AB104" s="22" t="str">
        <f>IF(AND(OR('Choix pédagogiques'!$C$3=1,'Choix pédagogiques'!$C$3=2),$BN104=1),G104,IF(AND('Choix pédagogiques'!$C$3=3,$BO104=1),G104,""))</f>
        <v/>
      </c>
      <c r="AC104" s="22" t="str">
        <f>IF(AND(OR('Choix pédagogiques'!$C$3=1,'Choix pédagogiques'!$C$3=2),$BN104=1),H104,IF(AND('Choix pédagogiques'!$C$3=3,$BO104=1),H104,""))</f>
        <v/>
      </c>
      <c r="AD104" s="22" t="str">
        <f>IF(AND(OR('Choix pédagogiques'!$C$3=1,'Choix pédagogiques'!$C$3=2),$BN104=1),I104,IF(AND('Choix pédagogiques'!$C$3=3,$BO104=1),I104,""))</f>
        <v/>
      </c>
      <c r="AE104" s="22" t="str">
        <f t="shared" si="134"/>
        <v/>
      </c>
      <c r="AF104" s="21" t="str">
        <f t="shared" si="135"/>
        <v>Apprenant 92</v>
      </c>
      <c r="AG104" s="22" t="str">
        <f t="shared" si="109"/>
        <v/>
      </c>
      <c r="AH104" s="22" t="str">
        <f t="shared" si="110"/>
        <v/>
      </c>
      <c r="AI104" s="22" t="str">
        <f t="shared" si="111"/>
        <v/>
      </c>
      <c r="AJ104" s="22" t="str">
        <f t="shared" si="136"/>
        <v/>
      </c>
      <c r="AK104" s="21" t="str">
        <f t="shared" si="137"/>
        <v>Apprenant 92 ou 92'</v>
      </c>
      <c r="AL104" s="22" t="str">
        <f t="shared" si="112"/>
        <v/>
      </c>
      <c r="AM104" s="22" t="str">
        <f t="shared" si="113"/>
        <v/>
      </c>
      <c r="AN104" s="22" t="str">
        <f t="shared" si="114"/>
        <v/>
      </c>
      <c r="AO104" s="22" t="str">
        <f t="shared" si="138"/>
        <v/>
      </c>
      <c r="AQ104" s="21" t="str">
        <f t="shared" si="139"/>
        <v>Apprenant 92</v>
      </c>
      <c r="AR104" s="49" t="str">
        <f>IF(AND('Choix pédagogiques'!$C$4&lt;&gt;"?",'Choix pédagogiques'!$C$5&lt;&gt;"?",W104&lt;&gt;""),(W104-'Choix pédagogiques'!$C$4)/('Choix pédagogiques'!$C$5-'Choix pédagogiques'!$C$4),"")</f>
        <v/>
      </c>
      <c r="AS104" s="49" t="str">
        <f>IF(AND('Choix pédagogiques'!$C$4&lt;&gt;"?",'Choix pédagogiques'!$C$5&lt;&gt;"?",X104&lt;&gt;""),(X104-'Choix pédagogiques'!$C$4)/('Choix pédagogiques'!$C$5-'Choix pédagogiques'!$C$4),"")</f>
        <v/>
      </c>
      <c r="AT104" s="49" t="str">
        <f>IF(AND('Choix pédagogiques'!$C$4&lt;&gt;"?",'Choix pédagogiques'!$C$5&lt;&gt;"?",Y104&lt;&gt;""),(Y104-'Choix pédagogiques'!$C$4)/('Choix pédagogiques'!$C$5-'Choix pédagogiques'!$C$4),"")</f>
        <v/>
      </c>
      <c r="AU104" s="22" t="str">
        <f t="shared" si="140"/>
        <v/>
      </c>
      <c r="AV104" s="21" t="str">
        <f t="shared" si="141"/>
        <v>Apprenant 92 ou 92'</v>
      </c>
      <c r="AW104" s="49" t="str">
        <f>IF(AND('Choix pédagogiques'!$C$4&lt;&gt;"?",'Choix pédagogiques'!$C$5&lt;&gt;"?",AB104&lt;&gt;""),(AB104-'Choix pédagogiques'!$C$4)/('Choix pédagogiques'!$C$5-'Choix pédagogiques'!$C$4),"")</f>
        <v/>
      </c>
      <c r="AX104" s="49" t="str">
        <f>IF(AND('Choix pédagogiques'!$C$4&lt;&gt;"?",'Choix pédagogiques'!$C$5&lt;&gt;"?",AC104&lt;&gt;""),(AC104-'Choix pédagogiques'!$C$4)/('Choix pédagogiques'!$C$5-'Choix pédagogiques'!$C$4),"")</f>
        <v/>
      </c>
      <c r="AY104" s="49" t="str">
        <f>IF(AND('Choix pédagogiques'!$C$4&lt;&gt;"?",'Choix pédagogiques'!$C$5&lt;&gt;"?",AD104&lt;&gt;""),(AD104-'Choix pédagogiques'!$C$4)/('Choix pédagogiques'!$C$5-'Choix pédagogiques'!$C$4),"")</f>
        <v/>
      </c>
      <c r="AZ104" s="22" t="str">
        <f t="shared" si="142"/>
        <v/>
      </c>
      <c r="BA104" s="21" t="str">
        <f t="shared" si="143"/>
        <v>Apprenant 92</v>
      </c>
      <c r="BB104" s="49" t="str">
        <f t="shared" si="115"/>
        <v/>
      </c>
      <c r="BC104" s="49" t="str">
        <f t="shared" si="116"/>
        <v/>
      </c>
      <c r="BD104" s="49" t="str">
        <f t="shared" si="117"/>
        <v/>
      </c>
      <c r="BE104" s="22" t="str">
        <f t="shared" si="144"/>
        <v/>
      </c>
      <c r="BF104" s="21" t="str">
        <f t="shared" si="145"/>
        <v>Apprenant 92 ou 92'</v>
      </c>
      <c r="BG104" s="49" t="str">
        <f t="shared" si="118"/>
        <v/>
      </c>
      <c r="BH104" s="49" t="str">
        <f t="shared" si="119"/>
        <v/>
      </c>
      <c r="BI104" s="49" t="str">
        <f t="shared" si="120"/>
        <v/>
      </c>
      <c r="BJ104" s="22" t="str">
        <f t="shared" si="146"/>
        <v/>
      </c>
      <c r="BL104" s="21"/>
      <c r="BM104" s="21" t="str">
        <f>IF(OR(COUNT(B104:D1103)=0,AND('Choix pédagogiques'!$C$3&lt;&gt;1,'Choix pédagogiques'!$C$3&lt;&gt;2)),"",IF(AND(OR('Choix pédagogiques'!$C$3=1,'Choix pédagogiques'!$C$3=2),$B104&lt;&gt;"",$C104&lt;&gt;"",$D104&lt;&gt;""),1,0))</f>
        <v/>
      </c>
      <c r="BN104" s="21" t="str">
        <f>IF(OR(COUNT(G104:I1103)=0,AND('Choix pédagogiques'!$C$3&lt;&gt;1,'Choix pédagogiques'!$C$3&lt;&gt;2)),"",IF(AND(OR('Choix pédagogiques'!$C$3=1,'Choix pédagogiques'!$C$3=2),AND($G104&lt;&gt;"",$H104&lt;&gt;"",$I104&lt;&gt;"")),1,0))</f>
        <v/>
      </c>
      <c r="BO104" s="21" t="str">
        <f>IF(OR(COUNT(B104:D1103)=0,COUNT(G104:I1103)=0,'Choix pédagogiques'!C$3&lt;&gt;3),"",IF(AND('Choix pédagogiques'!$C$3=3,$B104&lt;&gt;"",$C104&lt;&gt;"",$D104&lt;&gt;"",$G104&lt;&gt;"",$H104&lt;&gt;"",$I104&lt;&gt;""),1,0))</f>
        <v/>
      </c>
      <c r="BR104" s="21">
        <v>50</v>
      </c>
      <c r="BS104" s="21">
        <v>1784</v>
      </c>
      <c r="BT104"/>
    </row>
    <row r="105" spans="1:72" s="23" customFormat="1" ht="18" customHeight="1" x14ac:dyDescent="0.3">
      <c r="A105" s="35" t="s">
        <v>95</v>
      </c>
      <c r="B105" s="37"/>
      <c r="C105" s="37"/>
      <c r="D105" s="37"/>
      <c r="E105" s="37"/>
      <c r="F105" s="35" t="s">
        <v>1103</v>
      </c>
      <c r="G105" s="37"/>
      <c r="H105" s="37"/>
      <c r="I105" s="37"/>
      <c r="J105" s="37"/>
      <c r="K105" s="21" t="str">
        <f t="shared" si="121"/>
        <v>Apprenant 93</v>
      </c>
      <c r="L105" s="22" t="str">
        <f t="shared" si="122"/>
        <v/>
      </c>
      <c r="M105" s="22" t="str">
        <f t="shared" si="123"/>
        <v/>
      </c>
      <c r="N105" s="22" t="str">
        <f t="shared" si="124"/>
        <v/>
      </c>
      <c r="O105" s="22" t="str">
        <f t="shared" si="125"/>
        <v/>
      </c>
      <c r="P105" s="21" t="str">
        <f t="shared" si="126"/>
        <v>Apprenant 93 ou 93'</v>
      </c>
      <c r="Q105" s="22" t="str">
        <f t="shared" si="127"/>
        <v/>
      </c>
      <c r="R105" s="22" t="str">
        <f t="shared" si="128"/>
        <v/>
      </c>
      <c r="S105" s="22" t="str">
        <f t="shared" si="129"/>
        <v/>
      </c>
      <c r="T105" s="22" t="str">
        <f t="shared" si="130"/>
        <v/>
      </c>
      <c r="V105" s="21" t="str">
        <f t="shared" si="131"/>
        <v>Apprenant 93</v>
      </c>
      <c r="W105" s="22" t="str">
        <f>IF(AND(OR('Choix pédagogiques'!$C$3=1,'Choix pédagogiques'!$C$3=2),$BM105=1),B105,IF(AND('Choix pédagogiques'!$C$3=3,$BO105=1),B105,""))</f>
        <v/>
      </c>
      <c r="X105" s="22" t="str">
        <f>IF(AND(OR('Choix pédagogiques'!$C$3=1,'Choix pédagogiques'!$C$3=2),$BM105=1),C105,IF(AND('Choix pédagogiques'!$C$3=3,$BO105=1),C105,""))</f>
        <v/>
      </c>
      <c r="Y105" s="22" t="str">
        <f>IF(AND(OR('Choix pédagogiques'!$C$3=1,'Choix pédagogiques'!$C$3=2),$BM105=1),D105,IF(AND('Choix pédagogiques'!$C$3=3,$BO105=1),D105,""))</f>
        <v/>
      </c>
      <c r="Z105" s="22" t="str">
        <f t="shared" si="132"/>
        <v/>
      </c>
      <c r="AA105" s="21" t="str">
        <f t="shared" si="133"/>
        <v>Apprenant 93 ou 93'</v>
      </c>
      <c r="AB105" s="22" t="str">
        <f>IF(AND(OR('Choix pédagogiques'!$C$3=1,'Choix pédagogiques'!$C$3=2),$BN105=1),G105,IF(AND('Choix pédagogiques'!$C$3=3,$BO105=1),G105,""))</f>
        <v/>
      </c>
      <c r="AC105" s="22" t="str">
        <f>IF(AND(OR('Choix pédagogiques'!$C$3=1,'Choix pédagogiques'!$C$3=2),$BN105=1),H105,IF(AND('Choix pédagogiques'!$C$3=3,$BO105=1),H105,""))</f>
        <v/>
      </c>
      <c r="AD105" s="22" t="str">
        <f>IF(AND(OR('Choix pédagogiques'!$C$3=1,'Choix pédagogiques'!$C$3=2),$BN105=1),I105,IF(AND('Choix pédagogiques'!$C$3=3,$BO105=1),I105,""))</f>
        <v/>
      </c>
      <c r="AE105" s="22" t="str">
        <f t="shared" si="134"/>
        <v/>
      </c>
      <c r="AF105" s="21" t="str">
        <f t="shared" si="135"/>
        <v>Apprenant 93</v>
      </c>
      <c r="AG105" s="22" t="str">
        <f t="shared" si="109"/>
        <v/>
      </c>
      <c r="AH105" s="22" t="str">
        <f t="shared" si="110"/>
        <v/>
      </c>
      <c r="AI105" s="22" t="str">
        <f t="shared" si="111"/>
        <v/>
      </c>
      <c r="AJ105" s="22" t="str">
        <f t="shared" si="136"/>
        <v/>
      </c>
      <c r="AK105" s="21" t="str">
        <f t="shared" si="137"/>
        <v>Apprenant 93 ou 93'</v>
      </c>
      <c r="AL105" s="22" t="str">
        <f t="shared" si="112"/>
        <v/>
      </c>
      <c r="AM105" s="22" t="str">
        <f t="shared" si="113"/>
        <v/>
      </c>
      <c r="AN105" s="22" t="str">
        <f t="shared" si="114"/>
        <v/>
      </c>
      <c r="AO105" s="22" t="str">
        <f t="shared" si="138"/>
        <v/>
      </c>
      <c r="AQ105" s="21" t="str">
        <f t="shared" si="139"/>
        <v>Apprenant 93</v>
      </c>
      <c r="AR105" s="49" t="str">
        <f>IF(AND('Choix pédagogiques'!$C$4&lt;&gt;"?",'Choix pédagogiques'!$C$5&lt;&gt;"?",W105&lt;&gt;""),(W105-'Choix pédagogiques'!$C$4)/('Choix pédagogiques'!$C$5-'Choix pédagogiques'!$C$4),"")</f>
        <v/>
      </c>
      <c r="AS105" s="49" t="str">
        <f>IF(AND('Choix pédagogiques'!$C$4&lt;&gt;"?",'Choix pédagogiques'!$C$5&lt;&gt;"?",X105&lt;&gt;""),(X105-'Choix pédagogiques'!$C$4)/('Choix pédagogiques'!$C$5-'Choix pédagogiques'!$C$4),"")</f>
        <v/>
      </c>
      <c r="AT105" s="49" t="str">
        <f>IF(AND('Choix pédagogiques'!$C$4&lt;&gt;"?",'Choix pédagogiques'!$C$5&lt;&gt;"?",Y105&lt;&gt;""),(Y105-'Choix pédagogiques'!$C$4)/('Choix pédagogiques'!$C$5-'Choix pédagogiques'!$C$4),"")</f>
        <v/>
      </c>
      <c r="AU105" s="22" t="str">
        <f t="shared" si="140"/>
        <v/>
      </c>
      <c r="AV105" s="21" t="str">
        <f t="shared" si="141"/>
        <v>Apprenant 93 ou 93'</v>
      </c>
      <c r="AW105" s="49" t="str">
        <f>IF(AND('Choix pédagogiques'!$C$4&lt;&gt;"?",'Choix pédagogiques'!$C$5&lt;&gt;"?",AB105&lt;&gt;""),(AB105-'Choix pédagogiques'!$C$4)/('Choix pédagogiques'!$C$5-'Choix pédagogiques'!$C$4),"")</f>
        <v/>
      </c>
      <c r="AX105" s="49" t="str">
        <f>IF(AND('Choix pédagogiques'!$C$4&lt;&gt;"?",'Choix pédagogiques'!$C$5&lt;&gt;"?",AC105&lt;&gt;""),(AC105-'Choix pédagogiques'!$C$4)/('Choix pédagogiques'!$C$5-'Choix pédagogiques'!$C$4),"")</f>
        <v/>
      </c>
      <c r="AY105" s="49" t="str">
        <f>IF(AND('Choix pédagogiques'!$C$4&lt;&gt;"?",'Choix pédagogiques'!$C$5&lt;&gt;"?",AD105&lt;&gt;""),(AD105-'Choix pédagogiques'!$C$4)/('Choix pédagogiques'!$C$5-'Choix pédagogiques'!$C$4),"")</f>
        <v/>
      </c>
      <c r="AZ105" s="22" t="str">
        <f t="shared" si="142"/>
        <v/>
      </c>
      <c r="BA105" s="21" t="str">
        <f t="shared" si="143"/>
        <v>Apprenant 93</v>
      </c>
      <c r="BB105" s="49" t="str">
        <f t="shared" si="115"/>
        <v/>
      </c>
      <c r="BC105" s="49" t="str">
        <f t="shared" si="116"/>
        <v/>
      </c>
      <c r="BD105" s="49" t="str">
        <f t="shared" si="117"/>
        <v/>
      </c>
      <c r="BE105" s="22" t="str">
        <f t="shared" si="144"/>
        <v/>
      </c>
      <c r="BF105" s="21" t="str">
        <f t="shared" si="145"/>
        <v>Apprenant 93 ou 93'</v>
      </c>
      <c r="BG105" s="49" t="str">
        <f t="shared" si="118"/>
        <v/>
      </c>
      <c r="BH105" s="49" t="str">
        <f t="shared" si="119"/>
        <v/>
      </c>
      <c r="BI105" s="49" t="str">
        <f t="shared" si="120"/>
        <v/>
      </c>
      <c r="BJ105" s="22" t="str">
        <f t="shared" si="146"/>
        <v/>
      </c>
      <c r="BL105" s="21"/>
      <c r="BM105" s="21" t="str">
        <f>IF(OR(COUNT(B105:D1104)=0,AND('Choix pédagogiques'!$C$3&lt;&gt;1,'Choix pédagogiques'!$C$3&lt;&gt;2)),"",IF(AND(OR('Choix pédagogiques'!$C$3=1,'Choix pédagogiques'!$C$3=2),$B105&lt;&gt;"",$C105&lt;&gt;"",$D105&lt;&gt;""),1,0))</f>
        <v/>
      </c>
      <c r="BN105" s="21" t="str">
        <f>IF(OR(COUNT(G105:I1104)=0,AND('Choix pédagogiques'!$C$3&lt;&gt;1,'Choix pédagogiques'!$C$3&lt;&gt;2)),"",IF(AND(OR('Choix pédagogiques'!$C$3=1,'Choix pédagogiques'!$C$3=2),AND($G105&lt;&gt;"",$H105&lt;&gt;"",$I105&lt;&gt;"")),1,0))</f>
        <v/>
      </c>
      <c r="BO105" s="21" t="str">
        <f>IF(OR(COUNT(B105:D1104)=0,COUNT(G105:I1104)=0,'Choix pédagogiques'!C$3&lt;&gt;3),"",IF(AND('Choix pédagogiques'!$C$3=3,$B105&lt;&gt;"",$C105&lt;&gt;"",$D105&lt;&gt;"",$G105&lt;&gt;"",$H105&lt;&gt;"",$I105&lt;&gt;""),1,0))</f>
        <v/>
      </c>
      <c r="BR105" s="21">
        <v>278</v>
      </c>
      <c r="BS105" s="21">
        <v>1053</v>
      </c>
      <c r="BT105"/>
    </row>
    <row r="106" spans="1:72" s="23" customFormat="1" ht="18" customHeight="1" x14ac:dyDescent="0.3">
      <c r="A106" s="35" t="s">
        <v>96</v>
      </c>
      <c r="B106" s="37"/>
      <c r="C106" s="37"/>
      <c r="D106" s="37"/>
      <c r="E106" s="37"/>
      <c r="F106" s="35" t="s">
        <v>1104</v>
      </c>
      <c r="G106" s="37"/>
      <c r="H106" s="37"/>
      <c r="I106" s="37"/>
      <c r="J106" s="37"/>
      <c r="K106" s="21" t="str">
        <f t="shared" si="121"/>
        <v>Apprenant 94</v>
      </c>
      <c r="L106" s="22" t="str">
        <f t="shared" si="122"/>
        <v/>
      </c>
      <c r="M106" s="22" t="str">
        <f t="shared" si="123"/>
        <v/>
      </c>
      <c r="N106" s="22" t="str">
        <f t="shared" si="124"/>
        <v/>
      </c>
      <c r="O106" s="22" t="str">
        <f t="shared" si="125"/>
        <v/>
      </c>
      <c r="P106" s="21" t="str">
        <f t="shared" si="126"/>
        <v>Apprenant 94 ou 94'</v>
      </c>
      <c r="Q106" s="22" t="str">
        <f t="shared" si="127"/>
        <v/>
      </c>
      <c r="R106" s="22" t="str">
        <f t="shared" si="128"/>
        <v/>
      </c>
      <c r="S106" s="22" t="str">
        <f t="shared" si="129"/>
        <v/>
      </c>
      <c r="T106" s="22" t="str">
        <f t="shared" si="130"/>
        <v/>
      </c>
      <c r="V106" s="21" t="str">
        <f t="shared" si="131"/>
        <v>Apprenant 94</v>
      </c>
      <c r="W106" s="22" t="str">
        <f>IF(AND(OR('Choix pédagogiques'!$C$3=1,'Choix pédagogiques'!$C$3=2),$BM106=1),B106,IF(AND('Choix pédagogiques'!$C$3=3,$BO106=1),B106,""))</f>
        <v/>
      </c>
      <c r="X106" s="22" t="str">
        <f>IF(AND(OR('Choix pédagogiques'!$C$3=1,'Choix pédagogiques'!$C$3=2),$BM106=1),C106,IF(AND('Choix pédagogiques'!$C$3=3,$BO106=1),C106,""))</f>
        <v/>
      </c>
      <c r="Y106" s="22" t="str">
        <f>IF(AND(OR('Choix pédagogiques'!$C$3=1,'Choix pédagogiques'!$C$3=2),$BM106=1),D106,IF(AND('Choix pédagogiques'!$C$3=3,$BO106=1),D106,""))</f>
        <v/>
      </c>
      <c r="Z106" s="22" t="str">
        <f t="shared" si="132"/>
        <v/>
      </c>
      <c r="AA106" s="21" t="str">
        <f t="shared" si="133"/>
        <v>Apprenant 94 ou 94'</v>
      </c>
      <c r="AB106" s="22" t="str">
        <f>IF(AND(OR('Choix pédagogiques'!$C$3=1,'Choix pédagogiques'!$C$3=2),$BN106=1),G106,IF(AND('Choix pédagogiques'!$C$3=3,$BO106=1),G106,""))</f>
        <v/>
      </c>
      <c r="AC106" s="22" t="str">
        <f>IF(AND(OR('Choix pédagogiques'!$C$3=1,'Choix pédagogiques'!$C$3=2),$BN106=1),H106,IF(AND('Choix pédagogiques'!$C$3=3,$BO106=1),H106,""))</f>
        <v/>
      </c>
      <c r="AD106" s="22" t="str">
        <f>IF(AND(OR('Choix pédagogiques'!$C$3=1,'Choix pédagogiques'!$C$3=2),$BN106=1),I106,IF(AND('Choix pédagogiques'!$C$3=3,$BO106=1),I106,""))</f>
        <v/>
      </c>
      <c r="AE106" s="22" t="str">
        <f t="shared" si="134"/>
        <v/>
      </c>
      <c r="AF106" s="21" t="str">
        <f t="shared" si="135"/>
        <v>Apprenant 94</v>
      </c>
      <c r="AG106" s="22" t="str">
        <f t="shared" si="109"/>
        <v/>
      </c>
      <c r="AH106" s="22" t="str">
        <f t="shared" si="110"/>
        <v/>
      </c>
      <c r="AI106" s="22" t="str">
        <f t="shared" si="111"/>
        <v/>
      </c>
      <c r="AJ106" s="22" t="str">
        <f t="shared" si="136"/>
        <v/>
      </c>
      <c r="AK106" s="21" t="str">
        <f t="shared" si="137"/>
        <v>Apprenant 94 ou 94'</v>
      </c>
      <c r="AL106" s="22" t="str">
        <f t="shared" si="112"/>
        <v/>
      </c>
      <c r="AM106" s="22" t="str">
        <f t="shared" si="113"/>
        <v/>
      </c>
      <c r="AN106" s="22" t="str">
        <f t="shared" si="114"/>
        <v/>
      </c>
      <c r="AO106" s="22" t="str">
        <f t="shared" si="138"/>
        <v/>
      </c>
      <c r="AQ106" s="21" t="str">
        <f t="shared" si="139"/>
        <v>Apprenant 94</v>
      </c>
      <c r="AR106" s="49" t="str">
        <f>IF(AND('Choix pédagogiques'!$C$4&lt;&gt;"?",'Choix pédagogiques'!$C$5&lt;&gt;"?",W106&lt;&gt;""),(W106-'Choix pédagogiques'!$C$4)/('Choix pédagogiques'!$C$5-'Choix pédagogiques'!$C$4),"")</f>
        <v/>
      </c>
      <c r="AS106" s="49" t="str">
        <f>IF(AND('Choix pédagogiques'!$C$4&lt;&gt;"?",'Choix pédagogiques'!$C$5&lt;&gt;"?",X106&lt;&gt;""),(X106-'Choix pédagogiques'!$C$4)/('Choix pédagogiques'!$C$5-'Choix pédagogiques'!$C$4),"")</f>
        <v/>
      </c>
      <c r="AT106" s="49" t="str">
        <f>IF(AND('Choix pédagogiques'!$C$4&lt;&gt;"?",'Choix pédagogiques'!$C$5&lt;&gt;"?",Y106&lt;&gt;""),(Y106-'Choix pédagogiques'!$C$4)/('Choix pédagogiques'!$C$5-'Choix pédagogiques'!$C$4),"")</f>
        <v/>
      </c>
      <c r="AU106" s="22" t="str">
        <f t="shared" si="140"/>
        <v/>
      </c>
      <c r="AV106" s="21" t="str">
        <f t="shared" si="141"/>
        <v>Apprenant 94 ou 94'</v>
      </c>
      <c r="AW106" s="49" t="str">
        <f>IF(AND('Choix pédagogiques'!$C$4&lt;&gt;"?",'Choix pédagogiques'!$C$5&lt;&gt;"?",AB106&lt;&gt;""),(AB106-'Choix pédagogiques'!$C$4)/('Choix pédagogiques'!$C$5-'Choix pédagogiques'!$C$4),"")</f>
        <v/>
      </c>
      <c r="AX106" s="49" t="str">
        <f>IF(AND('Choix pédagogiques'!$C$4&lt;&gt;"?",'Choix pédagogiques'!$C$5&lt;&gt;"?",AC106&lt;&gt;""),(AC106-'Choix pédagogiques'!$C$4)/('Choix pédagogiques'!$C$5-'Choix pédagogiques'!$C$4),"")</f>
        <v/>
      </c>
      <c r="AY106" s="49" t="str">
        <f>IF(AND('Choix pédagogiques'!$C$4&lt;&gt;"?",'Choix pédagogiques'!$C$5&lt;&gt;"?",AD106&lt;&gt;""),(AD106-'Choix pédagogiques'!$C$4)/('Choix pédagogiques'!$C$5-'Choix pédagogiques'!$C$4),"")</f>
        <v/>
      </c>
      <c r="AZ106" s="22" t="str">
        <f t="shared" si="142"/>
        <v/>
      </c>
      <c r="BA106" s="21" t="str">
        <f t="shared" si="143"/>
        <v>Apprenant 94</v>
      </c>
      <c r="BB106" s="49" t="str">
        <f t="shared" si="115"/>
        <v/>
      </c>
      <c r="BC106" s="49" t="str">
        <f t="shared" si="116"/>
        <v/>
      </c>
      <c r="BD106" s="49" t="str">
        <f t="shared" si="117"/>
        <v/>
      </c>
      <c r="BE106" s="22" t="str">
        <f t="shared" si="144"/>
        <v/>
      </c>
      <c r="BF106" s="21" t="str">
        <f t="shared" si="145"/>
        <v>Apprenant 94 ou 94'</v>
      </c>
      <c r="BG106" s="49" t="str">
        <f t="shared" si="118"/>
        <v/>
      </c>
      <c r="BH106" s="49" t="str">
        <f t="shared" si="119"/>
        <v/>
      </c>
      <c r="BI106" s="49" t="str">
        <f t="shared" si="120"/>
        <v/>
      </c>
      <c r="BJ106" s="22" t="str">
        <f t="shared" si="146"/>
        <v/>
      </c>
      <c r="BL106" s="21"/>
      <c r="BM106" s="21" t="str">
        <f>IF(OR(COUNT(B106:D1105)=0,AND('Choix pédagogiques'!$C$3&lt;&gt;1,'Choix pédagogiques'!$C$3&lt;&gt;2)),"",IF(AND(OR('Choix pédagogiques'!$C$3=1,'Choix pédagogiques'!$C$3=2),$B106&lt;&gt;"",$C106&lt;&gt;"",$D106&lt;&gt;""),1,0))</f>
        <v/>
      </c>
      <c r="BN106" s="21" t="str">
        <f>IF(OR(COUNT(G106:I1105)=0,AND('Choix pédagogiques'!$C$3&lt;&gt;1,'Choix pédagogiques'!$C$3&lt;&gt;2)),"",IF(AND(OR('Choix pédagogiques'!$C$3=1,'Choix pédagogiques'!$C$3=2),AND($G106&lt;&gt;"",$H106&lt;&gt;"",$I106&lt;&gt;"")),1,0))</f>
        <v/>
      </c>
      <c r="BO106" s="21" t="str">
        <f>IF(OR(COUNT(B106:D1105)=0,COUNT(G106:I1105)=0,'Choix pédagogiques'!C$3&lt;&gt;3),"",IF(AND('Choix pédagogiques'!$C$3=3,$B106&lt;&gt;"",$C106&lt;&gt;"",$D106&lt;&gt;"",$G106&lt;&gt;"",$H106&lt;&gt;"",$I106&lt;&gt;""),1,0))</f>
        <v/>
      </c>
      <c r="BR106" s="21">
        <v>753</v>
      </c>
      <c r="BS106" s="21">
        <v>1909</v>
      </c>
      <c r="BT106"/>
    </row>
    <row r="107" spans="1:72" s="23" customFormat="1" ht="18" customHeight="1" x14ac:dyDescent="0.3">
      <c r="A107" s="35" t="s">
        <v>97</v>
      </c>
      <c r="B107" s="37"/>
      <c r="C107" s="37"/>
      <c r="D107" s="37"/>
      <c r="E107" s="37"/>
      <c r="F107" s="35" t="s">
        <v>1105</v>
      </c>
      <c r="G107" s="37"/>
      <c r="H107" s="37"/>
      <c r="I107" s="37"/>
      <c r="J107" s="37"/>
      <c r="K107" s="21" t="str">
        <f t="shared" si="121"/>
        <v>Apprenant 95</v>
      </c>
      <c r="L107" s="22" t="str">
        <f t="shared" si="122"/>
        <v/>
      </c>
      <c r="M107" s="22" t="str">
        <f t="shared" si="123"/>
        <v/>
      </c>
      <c r="N107" s="22" t="str">
        <f t="shared" si="124"/>
        <v/>
      </c>
      <c r="O107" s="22" t="str">
        <f t="shared" si="125"/>
        <v/>
      </c>
      <c r="P107" s="21" t="str">
        <f t="shared" si="126"/>
        <v>Apprenant 95 ou 95'</v>
      </c>
      <c r="Q107" s="22" t="str">
        <f t="shared" si="127"/>
        <v/>
      </c>
      <c r="R107" s="22" t="str">
        <f t="shared" si="128"/>
        <v/>
      </c>
      <c r="S107" s="22" t="str">
        <f t="shared" si="129"/>
        <v/>
      </c>
      <c r="T107" s="22" t="str">
        <f t="shared" si="130"/>
        <v/>
      </c>
      <c r="V107" s="21" t="str">
        <f t="shared" si="131"/>
        <v>Apprenant 95</v>
      </c>
      <c r="W107" s="22" t="str">
        <f>IF(AND(OR('Choix pédagogiques'!$C$3=1,'Choix pédagogiques'!$C$3=2),$BM107=1),B107,IF(AND('Choix pédagogiques'!$C$3=3,$BO107=1),B107,""))</f>
        <v/>
      </c>
      <c r="X107" s="22" t="str">
        <f>IF(AND(OR('Choix pédagogiques'!$C$3=1,'Choix pédagogiques'!$C$3=2),$BM107=1),C107,IF(AND('Choix pédagogiques'!$C$3=3,$BO107=1),C107,""))</f>
        <v/>
      </c>
      <c r="Y107" s="22" t="str">
        <f>IF(AND(OR('Choix pédagogiques'!$C$3=1,'Choix pédagogiques'!$C$3=2),$BM107=1),D107,IF(AND('Choix pédagogiques'!$C$3=3,$BO107=1),D107,""))</f>
        <v/>
      </c>
      <c r="Z107" s="22" t="str">
        <f t="shared" si="132"/>
        <v/>
      </c>
      <c r="AA107" s="21" t="str">
        <f t="shared" si="133"/>
        <v>Apprenant 95 ou 95'</v>
      </c>
      <c r="AB107" s="22" t="str">
        <f>IF(AND(OR('Choix pédagogiques'!$C$3=1,'Choix pédagogiques'!$C$3=2),$BN107=1),G107,IF(AND('Choix pédagogiques'!$C$3=3,$BO107=1),G107,""))</f>
        <v/>
      </c>
      <c r="AC107" s="22" t="str">
        <f>IF(AND(OR('Choix pédagogiques'!$C$3=1,'Choix pédagogiques'!$C$3=2),$BN107=1),H107,IF(AND('Choix pédagogiques'!$C$3=3,$BO107=1),H107,""))</f>
        <v/>
      </c>
      <c r="AD107" s="22" t="str">
        <f>IF(AND(OR('Choix pédagogiques'!$C$3=1,'Choix pédagogiques'!$C$3=2),$BN107=1),I107,IF(AND('Choix pédagogiques'!$C$3=3,$BO107=1),I107,""))</f>
        <v/>
      </c>
      <c r="AE107" s="22" t="str">
        <f t="shared" si="134"/>
        <v/>
      </c>
      <c r="AF107" s="21" t="str">
        <f t="shared" si="135"/>
        <v>Apprenant 95</v>
      </c>
      <c r="AG107" s="22" t="str">
        <f t="shared" si="109"/>
        <v/>
      </c>
      <c r="AH107" s="22" t="str">
        <f t="shared" si="110"/>
        <v/>
      </c>
      <c r="AI107" s="22" t="str">
        <f t="shared" si="111"/>
        <v/>
      </c>
      <c r="AJ107" s="22" t="str">
        <f t="shared" si="136"/>
        <v/>
      </c>
      <c r="AK107" s="21" t="str">
        <f t="shared" si="137"/>
        <v>Apprenant 95 ou 95'</v>
      </c>
      <c r="AL107" s="22" t="str">
        <f t="shared" si="112"/>
        <v/>
      </c>
      <c r="AM107" s="22" t="str">
        <f t="shared" si="113"/>
        <v/>
      </c>
      <c r="AN107" s="22" t="str">
        <f t="shared" si="114"/>
        <v/>
      </c>
      <c r="AO107" s="22" t="str">
        <f t="shared" si="138"/>
        <v/>
      </c>
      <c r="AQ107" s="21" t="str">
        <f t="shared" si="139"/>
        <v>Apprenant 95</v>
      </c>
      <c r="AR107" s="49" t="str">
        <f>IF(AND('Choix pédagogiques'!$C$4&lt;&gt;"?",'Choix pédagogiques'!$C$5&lt;&gt;"?",W107&lt;&gt;""),(W107-'Choix pédagogiques'!$C$4)/('Choix pédagogiques'!$C$5-'Choix pédagogiques'!$C$4),"")</f>
        <v/>
      </c>
      <c r="AS107" s="49" t="str">
        <f>IF(AND('Choix pédagogiques'!$C$4&lt;&gt;"?",'Choix pédagogiques'!$C$5&lt;&gt;"?",X107&lt;&gt;""),(X107-'Choix pédagogiques'!$C$4)/('Choix pédagogiques'!$C$5-'Choix pédagogiques'!$C$4),"")</f>
        <v/>
      </c>
      <c r="AT107" s="49" t="str">
        <f>IF(AND('Choix pédagogiques'!$C$4&lt;&gt;"?",'Choix pédagogiques'!$C$5&lt;&gt;"?",Y107&lt;&gt;""),(Y107-'Choix pédagogiques'!$C$4)/('Choix pédagogiques'!$C$5-'Choix pédagogiques'!$C$4),"")</f>
        <v/>
      </c>
      <c r="AU107" s="22" t="str">
        <f t="shared" si="140"/>
        <v/>
      </c>
      <c r="AV107" s="21" t="str">
        <f t="shared" si="141"/>
        <v>Apprenant 95 ou 95'</v>
      </c>
      <c r="AW107" s="49" t="str">
        <f>IF(AND('Choix pédagogiques'!$C$4&lt;&gt;"?",'Choix pédagogiques'!$C$5&lt;&gt;"?",AB107&lt;&gt;""),(AB107-'Choix pédagogiques'!$C$4)/('Choix pédagogiques'!$C$5-'Choix pédagogiques'!$C$4),"")</f>
        <v/>
      </c>
      <c r="AX107" s="49" t="str">
        <f>IF(AND('Choix pédagogiques'!$C$4&lt;&gt;"?",'Choix pédagogiques'!$C$5&lt;&gt;"?",AC107&lt;&gt;""),(AC107-'Choix pédagogiques'!$C$4)/('Choix pédagogiques'!$C$5-'Choix pédagogiques'!$C$4),"")</f>
        <v/>
      </c>
      <c r="AY107" s="49" t="str">
        <f>IF(AND('Choix pédagogiques'!$C$4&lt;&gt;"?",'Choix pédagogiques'!$C$5&lt;&gt;"?",AD107&lt;&gt;""),(AD107-'Choix pédagogiques'!$C$4)/('Choix pédagogiques'!$C$5-'Choix pédagogiques'!$C$4),"")</f>
        <v/>
      </c>
      <c r="AZ107" s="22" t="str">
        <f t="shared" si="142"/>
        <v/>
      </c>
      <c r="BA107" s="21" t="str">
        <f t="shared" si="143"/>
        <v>Apprenant 95</v>
      </c>
      <c r="BB107" s="49" t="str">
        <f t="shared" si="115"/>
        <v/>
      </c>
      <c r="BC107" s="49" t="str">
        <f t="shared" si="116"/>
        <v/>
      </c>
      <c r="BD107" s="49" t="str">
        <f t="shared" si="117"/>
        <v/>
      </c>
      <c r="BE107" s="22" t="str">
        <f t="shared" si="144"/>
        <v/>
      </c>
      <c r="BF107" s="21" t="str">
        <f t="shared" si="145"/>
        <v>Apprenant 95 ou 95'</v>
      </c>
      <c r="BG107" s="49" t="str">
        <f t="shared" si="118"/>
        <v/>
      </c>
      <c r="BH107" s="49" t="str">
        <f t="shared" si="119"/>
        <v/>
      </c>
      <c r="BI107" s="49" t="str">
        <f t="shared" si="120"/>
        <v/>
      </c>
      <c r="BJ107" s="22" t="str">
        <f t="shared" si="146"/>
        <v/>
      </c>
      <c r="BL107" s="21"/>
      <c r="BM107" s="21" t="str">
        <f>IF(OR(COUNT(B107:D1106)=0,AND('Choix pédagogiques'!$C$3&lt;&gt;1,'Choix pédagogiques'!$C$3&lt;&gt;2)),"",IF(AND(OR('Choix pédagogiques'!$C$3=1,'Choix pédagogiques'!$C$3=2),$B107&lt;&gt;"",$C107&lt;&gt;"",$D107&lt;&gt;""),1,0))</f>
        <v/>
      </c>
      <c r="BN107" s="21" t="str">
        <f>IF(OR(COUNT(G107:I1106)=0,AND('Choix pédagogiques'!$C$3&lt;&gt;1,'Choix pédagogiques'!$C$3&lt;&gt;2)),"",IF(AND(OR('Choix pédagogiques'!$C$3=1,'Choix pédagogiques'!$C$3=2),AND($G107&lt;&gt;"",$H107&lt;&gt;"",$I107&lt;&gt;"")),1,0))</f>
        <v/>
      </c>
      <c r="BO107" s="21" t="str">
        <f>IF(OR(COUNT(B107:D1106)=0,COUNT(G107:I1106)=0,'Choix pédagogiques'!C$3&lt;&gt;3),"",IF(AND('Choix pédagogiques'!$C$3=3,$B107&lt;&gt;"",$C107&lt;&gt;"",$D107&lt;&gt;"",$G107&lt;&gt;"",$H107&lt;&gt;"",$I107&lt;&gt;""),1,0))</f>
        <v/>
      </c>
      <c r="BR107" s="21">
        <v>34</v>
      </c>
      <c r="BS107" s="21">
        <v>1686</v>
      </c>
      <c r="BT107"/>
    </row>
    <row r="108" spans="1:72" s="23" customFormat="1" ht="18" customHeight="1" x14ac:dyDescent="0.3">
      <c r="A108" s="35" t="s">
        <v>98</v>
      </c>
      <c r="B108" s="37"/>
      <c r="C108" s="37"/>
      <c r="D108" s="37"/>
      <c r="E108" s="37"/>
      <c r="F108" s="35" t="s">
        <v>1106</v>
      </c>
      <c r="G108" s="37"/>
      <c r="H108" s="37"/>
      <c r="I108" s="37"/>
      <c r="J108" s="37"/>
      <c r="K108" s="21" t="str">
        <f t="shared" si="121"/>
        <v>Apprenant 96</v>
      </c>
      <c r="L108" s="22" t="str">
        <f t="shared" si="122"/>
        <v/>
      </c>
      <c r="M108" s="22" t="str">
        <f t="shared" si="123"/>
        <v/>
      </c>
      <c r="N108" s="22" t="str">
        <f t="shared" si="124"/>
        <v/>
      </c>
      <c r="O108" s="22" t="str">
        <f t="shared" si="125"/>
        <v/>
      </c>
      <c r="P108" s="21" t="str">
        <f t="shared" si="126"/>
        <v>Apprenant 96 ou 96'</v>
      </c>
      <c r="Q108" s="22" t="str">
        <f t="shared" si="127"/>
        <v/>
      </c>
      <c r="R108" s="22" t="str">
        <f t="shared" si="128"/>
        <v/>
      </c>
      <c r="S108" s="22" t="str">
        <f t="shared" si="129"/>
        <v/>
      </c>
      <c r="T108" s="22" t="str">
        <f t="shared" si="130"/>
        <v/>
      </c>
      <c r="V108" s="21" t="str">
        <f t="shared" si="131"/>
        <v>Apprenant 96</v>
      </c>
      <c r="W108" s="22" t="str">
        <f>IF(AND(OR('Choix pédagogiques'!$C$3=1,'Choix pédagogiques'!$C$3=2),$BM108=1),B108,IF(AND('Choix pédagogiques'!$C$3=3,$BO108=1),B108,""))</f>
        <v/>
      </c>
      <c r="X108" s="22" t="str">
        <f>IF(AND(OR('Choix pédagogiques'!$C$3=1,'Choix pédagogiques'!$C$3=2),$BM108=1),C108,IF(AND('Choix pédagogiques'!$C$3=3,$BO108=1),C108,""))</f>
        <v/>
      </c>
      <c r="Y108" s="22" t="str">
        <f>IF(AND(OR('Choix pédagogiques'!$C$3=1,'Choix pédagogiques'!$C$3=2),$BM108=1),D108,IF(AND('Choix pédagogiques'!$C$3=3,$BO108=1),D108,""))</f>
        <v/>
      </c>
      <c r="Z108" s="22" t="str">
        <f t="shared" si="132"/>
        <v/>
      </c>
      <c r="AA108" s="21" t="str">
        <f t="shared" si="133"/>
        <v>Apprenant 96 ou 96'</v>
      </c>
      <c r="AB108" s="22" t="str">
        <f>IF(AND(OR('Choix pédagogiques'!$C$3=1,'Choix pédagogiques'!$C$3=2),$BN108=1),G108,IF(AND('Choix pédagogiques'!$C$3=3,$BO108=1),G108,""))</f>
        <v/>
      </c>
      <c r="AC108" s="22" t="str">
        <f>IF(AND(OR('Choix pédagogiques'!$C$3=1,'Choix pédagogiques'!$C$3=2),$BN108=1),H108,IF(AND('Choix pédagogiques'!$C$3=3,$BO108=1),H108,""))</f>
        <v/>
      </c>
      <c r="AD108" s="22" t="str">
        <f>IF(AND(OR('Choix pédagogiques'!$C$3=1,'Choix pédagogiques'!$C$3=2),$BN108=1),I108,IF(AND('Choix pédagogiques'!$C$3=3,$BO108=1),I108,""))</f>
        <v/>
      </c>
      <c r="AE108" s="22" t="str">
        <f t="shared" si="134"/>
        <v/>
      </c>
      <c r="AF108" s="21" t="str">
        <f t="shared" si="135"/>
        <v>Apprenant 96</v>
      </c>
      <c r="AG108" s="22" t="str">
        <f t="shared" si="109"/>
        <v/>
      </c>
      <c r="AH108" s="22" t="str">
        <f t="shared" si="110"/>
        <v/>
      </c>
      <c r="AI108" s="22" t="str">
        <f t="shared" si="111"/>
        <v/>
      </c>
      <c r="AJ108" s="22" t="str">
        <f t="shared" si="136"/>
        <v/>
      </c>
      <c r="AK108" s="21" t="str">
        <f t="shared" si="137"/>
        <v>Apprenant 96 ou 96'</v>
      </c>
      <c r="AL108" s="22" t="str">
        <f t="shared" si="112"/>
        <v/>
      </c>
      <c r="AM108" s="22" t="str">
        <f t="shared" si="113"/>
        <v/>
      </c>
      <c r="AN108" s="22" t="str">
        <f t="shared" si="114"/>
        <v/>
      </c>
      <c r="AO108" s="22" t="str">
        <f t="shared" si="138"/>
        <v/>
      </c>
      <c r="AQ108" s="21" t="str">
        <f t="shared" si="139"/>
        <v>Apprenant 96</v>
      </c>
      <c r="AR108" s="49" t="str">
        <f>IF(AND('Choix pédagogiques'!$C$4&lt;&gt;"?",'Choix pédagogiques'!$C$5&lt;&gt;"?",W108&lt;&gt;""),(W108-'Choix pédagogiques'!$C$4)/('Choix pédagogiques'!$C$5-'Choix pédagogiques'!$C$4),"")</f>
        <v/>
      </c>
      <c r="AS108" s="49" t="str">
        <f>IF(AND('Choix pédagogiques'!$C$4&lt;&gt;"?",'Choix pédagogiques'!$C$5&lt;&gt;"?",X108&lt;&gt;""),(X108-'Choix pédagogiques'!$C$4)/('Choix pédagogiques'!$C$5-'Choix pédagogiques'!$C$4),"")</f>
        <v/>
      </c>
      <c r="AT108" s="49" t="str">
        <f>IF(AND('Choix pédagogiques'!$C$4&lt;&gt;"?",'Choix pédagogiques'!$C$5&lt;&gt;"?",Y108&lt;&gt;""),(Y108-'Choix pédagogiques'!$C$4)/('Choix pédagogiques'!$C$5-'Choix pédagogiques'!$C$4),"")</f>
        <v/>
      </c>
      <c r="AU108" s="22" t="str">
        <f t="shared" si="140"/>
        <v/>
      </c>
      <c r="AV108" s="21" t="str">
        <f t="shared" si="141"/>
        <v>Apprenant 96 ou 96'</v>
      </c>
      <c r="AW108" s="49" t="str">
        <f>IF(AND('Choix pédagogiques'!$C$4&lt;&gt;"?",'Choix pédagogiques'!$C$5&lt;&gt;"?",AB108&lt;&gt;""),(AB108-'Choix pédagogiques'!$C$4)/('Choix pédagogiques'!$C$5-'Choix pédagogiques'!$C$4),"")</f>
        <v/>
      </c>
      <c r="AX108" s="49" t="str">
        <f>IF(AND('Choix pédagogiques'!$C$4&lt;&gt;"?",'Choix pédagogiques'!$C$5&lt;&gt;"?",AC108&lt;&gt;""),(AC108-'Choix pédagogiques'!$C$4)/('Choix pédagogiques'!$C$5-'Choix pédagogiques'!$C$4),"")</f>
        <v/>
      </c>
      <c r="AY108" s="49" t="str">
        <f>IF(AND('Choix pédagogiques'!$C$4&lt;&gt;"?",'Choix pédagogiques'!$C$5&lt;&gt;"?",AD108&lt;&gt;""),(AD108-'Choix pédagogiques'!$C$4)/('Choix pédagogiques'!$C$5-'Choix pédagogiques'!$C$4),"")</f>
        <v/>
      </c>
      <c r="AZ108" s="22" t="str">
        <f t="shared" si="142"/>
        <v/>
      </c>
      <c r="BA108" s="21" t="str">
        <f t="shared" si="143"/>
        <v>Apprenant 96</v>
      </c>
      <c r="BB108" s="49" t="str">
        <f t="shared" si="115"/>
        <v/>
      </c>
      <c r="BC108" s="49" t="str">
        <f t="shared" si="116"/>
        <v/>
      </c>
      <c r="BD108" s="49" t="str">
        <f t="shared" si="117"/>
        <v/>
      </c>
      <c r="BE108" s="22" t="str">
        <f t="shared" si="144"/>
        <v/>
      </c>
      <c r="BF108" s="21" t="str">
        <f t="shared" si="145"/>
        <v>Apprenant 96 ou 96'</v>
      </c>
      <c r="BG108" s="49" t="str">
        <f t="shared" si="118"/>
        <v/>
      </c>
      <c r="BH108" s="49" t="str">
        <f t="shared" si="119"/>
        <v/>
      </c>
      <c r="BI108" s="49" t="str">
        <f t="shared" si="120"/>
        <v/>
      </c>
      <c r="BJ108" s="22" t="str">
        <f t="shared" si="146"/>
        <v/>
      </c>
      <c r="BL108" s="21"/>
      <c r="BM108" s="21" t="str">
        <f>IF(OR(COUNT(B108:D1107)=0,AND('Choix pédagogiques'!$C$3&lt;&gt;1,'Choix pédagogiques'!$C$3&lt;&gt;2)),"",IF(AND(OR('Choix pédagogiques'!$C$3=1,'Choix pédagogiques'!$C$3=2),$B108&lt;&gt;"",$C108&lt;&gt;"",$D108&lt;&gt;""),1,0))</f>
        <v/>
      </c>
      <c r="BN108" s="21" t="str">
        <f>IF(OR(COUNT(G108:I1107)=0,AND('Choix pédagogiques'!$C$3&lt;&gt;1,'Choix pédagogiques'!$C$3&lt;&gt;2)),"",IF(AND(OR('Choix pédagogiques'!$C$3=1,'Choix pédagogiques'!$C$3=2),AND($G108&lt;&gt;"",$H108&lt;&gt;"",$I108&lt;&gt;"")),1,0))</f>
        <v/>
      </c>
      <c r="BO108" s="21" t="str">
        <f>IF(OR(COUNT(B108:D1107)=0,COUNT(G108:I1107)=0,'Choix pédagogiques'!C$3&lt;&gt;3),"",IF(AND('Choix pédagogiques'!$C$3=3,$B108&lt;&gt;"",$C108&lt;&gt;"",$D108&lt;&gt;"",$G108&lt;&gt;"",$H108&lt;&gt;"",$I108&lt;&gt;""),1,0))</f>
        <v/>
      </c>
      <c r="BR108" s="21">
        <v>531</v>
      </c>
      <c r="BS108" s="21">
        <v>1169</v>
      </c>
      <c r="BT108"/>
    </row>
    <row r="109" spans="1:72" s="23" customFormat="1" ht="18" customHeight="1" x14ac:dyDescent="0.3">
      <c r="A109" s="35" t="s">
        <v>99</v>
      </c>
      <c r="B109" s="37"/>
      <c r="C109" s="37"/>
      <c r="D109" s="37"/>
      <c r="E109" s="37"/>
      <c r="F109" s="35" t="s">
        <v>1107</v>
      </c>
      <c r="G109" s="37"/>
      <c r="H109" s="37"/>
      <c r="I109" s="37"/>
      <c r="J109" s="37"/>
      <c r="K109" s="21" t="str">
        <f t="shared" si="121"/>
        <v>Apprenant 97</v>
      </c>
      <c r="L109" s="22" t="str">
        <f t="shared" si="122"/>
        <v/>
      </c>
      <c r="M109" s="22" t="str">
        <f t="shared" si="123"/>
        <v/>
      </c>
      <c r="N109" s="22" t="str">
        <f t="shared" si="124"/>
        <v/>
      </c>
      <c r="O109" s="22" t="str">
        <f t="shared" si="125"/>
        <v/>
      </c>
      <c r="P109" s="21" t="str">
        <f t="shared" si="126"/>
        <v>Apprenant 97 ou 97'</v>
      </c>
      <c r="Q109" s="22" t="str">
        <f t="shared" si="127"/>
        <v/>
      </c>
      <c r="R109" s="22" t="str">
        <f t="shared" si="128"/>
        <v/>
      </c>
      <c r="S109" s="22" t="str">
        <f t="shared" si="129"/>
        <v/>
      </c>
      <c r="T109" s="22" t="str">
        <f t="shared" si="130"/>
        <v/>
      </c>
      <c r="V109" s="21" t="str">
        <f t="shared" si="131"/>
        <v>Apprenant 97</v>
      </c>
      <c r="W109" s="22" t="str">
        <f>IF(AND(OR('Choix pédagogiques'!$C$3=1,'Choix pédagogiques'!$C$3=2),$BM109=1),B109,IF(AND('Choix pédagogiques'!$C$3=3,$BO109=1),B109,""))</f>
        <v/>
      </c>
      <c r="X109" s="22" t="str">
        <f>IF(AND(OR('Choix pédagogiques'!$C$3=1,'Choix pédagogiques'!$C$3=2),$BM109=1),C109,IF(AND('Choix pédagogiques'!$C$3=3,$BO109=1),C109,""))</f>
        <v/>
      </c>
      <c r="Y109" s="22" t="str">
        <f>IF(AND(OR('Choix pédagogiques'!$C$3=1,'Choix pédagogiques'!$C$3=2),$BM109=1),D109,IF(AND('Choix pédagogiques'!$C$3=3,$BO109=1),D109,""))</f>
        <v/>
      </c>
      <c r="Z109" s="22" t="str">
        <f t="shared" si="132"/>
        <v/>
      </c>
      <c r="AA109" s="21" t="str">
        <f t="shared" si="133"/>
        <v>Apprenant 97 ou 97'</v>
      </c>
      <c r="AB109" s="22" t="str">
        <f>IF(AND(OR('Choix pédagogiques'!$C$3=1,'Choix pédagogiques'!$C$3=2),$BN109=1),G109,IF(AND('Choix pédagogiques'!$C$3=3,$BO109=1),G109,""))</f>
        <v/>
      </c>
      <c r="AC109" s="22" t="str">
        <f>IF(AND(OR('Choix pédagogiques'!$C$3=1,'Choix pédagogiques'!$C$3=2),$BN109=1),H109,IF(AND('Choix pédagogiques'!$C$3=3,$BO109=1),H109,""))</f>
        <v/>
      </c>
      <c r="AD109" s="22" t="str">
        <f>IF(AND(OR('Choix pédagogiques'!$C$3=1,'Choix pédagogiques'!$C$3=2),$BN109=1),I109,IF(AND('Choix pédagogiques'!$C$3=3,$BO109=1),I109,""))</f>
        <v/>
      </c>
      <c r="AE109" s="22" t="str">
        <f t="shared" si="134"/>
        <v/>
      </c>
      <c r="AF109" s="21" t="str">
        <f t="shared" si="135"/>
        <v>Apprenant 97</v>
      </c>
      <c r="AG109" s="22" t="str">
        <f t="shared" si="109"/>
        <v/>
      </c>
      <c r="AH109" s="22" t="str">
        <f t="shared" si="110"/>
        <v/>
      </c>
      <c r="AI109" s="22" t="str">
        <f t="shared" si="111"/>
        <v/>
      </c>
      <c r="AJ109" s="22" t="str">
        <f t="shared" si="136"/>
        <v/>
      </c>
      <c r="AK109" s="21" t="str">
        <f t="shared" si="137"/>
        <v>Apprenant 97 ou 97'</v>
      </c>
      <c r="AL109" s="22" t="str">
        <f t="shared" si="112"/>
        <v/>
      </c>
      <c r="AM109" s="22" t="str">
        <f t="shared" si="113"/>
        <v/>
      </c>
      <c r="AN109" s="22" t="str">
        <f t="shared" si="114"/>
        <v/>
      </c>
      <c r="AO109" s="22" t="str">
        <f t="shared" si="138"/>
        <v/>
      </c>
      <c r="AQ109" s="21" t="str">
        <f t="shared" si="139"/>
        <v>Apprenant 97</v>
      </c>
      <c r="AR109" s="49" t="str">
        <f>IF(AND('Choix pédagogiques'!$C$4&lt;&gt;"?",'Choix pédagogiques'!$C$5&lt;&gt;"?",W109&lt;&gt;""),(W109-'Choix pédagogiques'!$C$4)/('Choix pédagogiques'!$C$5-'Choix pédagogiques'!$C$4),"")</f>
        <v/>
      </c>
      <c r="AS109" s="49" t="str">
        <f>IF(AND('Choix pédagogiques'!$C$4&lt;&gt;"?",'Choix pédagogiques'!$C$5&lt;&gt;"?",X109&lt;&gt;""),(X109-'Choix pédagogiques'!$C$4)/('Choix pédagogiques'!$C$5-'Choix pédagogiques'!$C$4),"")</f>
        <v/>
      </c>
      <c r="AT109" s="49" t="str">
        <f>IF(AND('Choix pédagogiques'!$C$4&lt;&gt;"?",'Choix pédagogiques'!$C$5&lt;&gt;"?",Y109&lt;&gt;""),(Y109-'Choix pédagogiques'!$C$4)/('Choix pédagogiques'!$C$5-'Choix pédagogiques'!$C$4),"")</f>
        <v/>
      </c>
      <c r="AU109" s="22" t="str">
        <f t="shared" si="140"/>
        <v/>
      </c>
      <c r="AV109" s="21" t="str">
        <f t="shared" si="141"/>
        <v>Apprenant 97 ou 97'</v>
      </c>
      <c r="AW109" s="49" t="str">
        <f>IF(AND('Choix pédagogiques'!$C$4&lt;&gt;"?",'Choix pédagogiques'!$C$5&lt;&gt;"?",AB109&lt;&gt;""),(AB109-'Choix pédagogiques'!$C$4)/('Choix pédagogiques'!$C$5-'Choix pédagogiques'!$C$4),"")</f>
        <v/>
      </c>
      <c r="AX109" s="49" t="str">
        <f>IF(AND('Choix pédagogiques'!$C$4&lt;&gt;"?",'Choix pédagogiques'!$C$5&lt;&gt;"?",AC109&lt;&gt;""),(AC109-'Choix pédagogiques'!$C$4)/('Choix pédagogiques'!$C$5-'Choix pédagogiques'!$C$4),"")</f>
        <v/>
      </c>
      <c r="AY109" s="49" t="str">
        <f>IF(AND('Choix pédagogiques'!$C$4&lt;&gt;"?",'Choix pédagogiques'!$C$5&lt;&gt;"?",AD109&lt;&gt;""),(AD109-'Choix pédagogiques'!$C$4)/('Choix pédagogiques'!$C$5-'Choix pédagogiques'!$C$4),"")</f>
        <v/>
      </c>
      <c r="AZ109" s="22" t="str">
        <f t="shared" si="142"/>
        <v/>
      </c>
      <c r="BA109" s="21" t="str">
        <f t="shared" si="143"/>
        <v>Apprenant 97</v>
      </c>
      <c r="BB109" s="49" t="str">
        <f t="shared" si="115"/>
        <v/>
      </c>
      <c r="BC109" s="49" t="str">
        <f t="shared" si="116"/>
        <v/>
      </c>
      <c r="BD109" s="49" t="str">
        <f t="shared" si="117"/>
        <v/>
      </c>
      <c r="BE109" s="22" t="str">
        <f t="shared" si="144"/>
        <v/>
      </c>
      <c r="BF109" s="21" t="str">
        <f t="shared" si="145"/>
        <v>Apprenant 97 ou 97'</v>
      </c>
      <c r="BG109" s="49" t="str">
        <f t="shared" si="118"/>
        <v/>
      </c>
      <c r="BH109" s="49" t="str">
        <f t="shared" si="119"/>
        <v/>
      </c>
      <c r="BI109" s="49" t="str">
        <f t="shared" si="120"/>
        <v/>
      </c>
      <c r="BJ109" s="22" t="str">
        <f t="shared" si="146"/>
        <v/>
      </c>
      <c r="BL109" s="21"/>
      <c r="BM109" s="21" t="str">
        <f>IF(OR(COUNT(B109:D1108)=0,AND('Choix pédagogiques'!$C$3&lt;&gt;1,'Choix pédagogiques'!$C$3&lt;&gt;2)),"",IF(AND(OR('Choix pédagogiques'!$C$3=1,'Choix pédagogiques'!$C$3=2),$B109&lt;&gt;"",$C109&lt;&gt;"",$D109&lt;&gt;""),1,0))</f>
        <v/>
      </c>
      <c r="BN109" s="21" t="str">
        <f>IF(OR(COUNT(G109:I1108)=0,AND('Choix pédagogiques'!$C$3&lt;&gt;1,'Choix pédagogiques'!$C$3&lt;&gt;2)),"",IF(AND(OR('Choix pédagogiques'!$C$3=1,'Choix pédagogiques'!$C$3=2),AND($G109&lt;&gt;"",$H109&lt;&gt;"",$I109&lt;&gt;"")),1,0))</f>
        <v/>
      </c>
      <c r="BO109" s="21" t="str">
        <f>IF(OR(COUNT(B109:D1108)=0,COUNT(G109:I1108)=0,'Choix pédagogiques'!C$3&lt;&gt;3),"",IF(AND('Choix pédagogiques'!$C$3=3,$B109&lt;&gt;"",$C109&lt;&gt;"",$D109&lt;&gt;"",$G109&lt;&gt;"",$H109&lt;&gt;"",$I109&lt;&gt;""),1,0))</f>
        <v/>
      </c>
      <c r="BR109" s="21">
        <v>810</v>
      </c>
      <c r="BS109" s="21">
        <v>1317</v>
      </c>
      <c r="BT109"/>
    </row>
    <row r="110" spans="1:72" s="23" customFormat="1" ht="18" customHeight="1" x14ac:dyDescent="0.3">
      <c r="A110" s="35" t="s">
        <v>100</v>
      </c>
      <c r="B110" s="37"/>
      <c r="C110" s="37"/>
      <c r="D110" s="37"/>
      <c r="E110" s="37"/>
      <c r="F110" s="35" t="s">
        <v>1108</v>
      </c>
      <c r="G110" s="37"/>
      <c r="H110" s="37"/>
      <c r="I110" s="37"/>
      <c r="J110" s="37"/>
      <c r="K110" s="21" t="str">
        <f t="shared" si="121"/>
        <v>Apprenant 98</v>
      </c>
      <c r="L110" s="22" t="str">
        <f t="shared" si="122"/>
        <v/>
      </c>
      <c r="M110" s="22" t="str">
        <f t="shared" si="123"/>
        <v/>
      </c>
      <c r="N110" s="22" t="str">
        <f t="shared" si="124"/>
        <v/>
      </c>
      <c r="O110" s="22" t="str">
        <f t="shared" si="125"/>
        <v/>
      </c>
      <c r="P110" s="21" t="str">
        <f t="shared" si="126"/>
        <v>Apprenant 98 ou 98'</v>
      </c>
      <c r="Q110" s="22" t="str">
        <f t="shared" si="127"/>
        <v/>
      </c>
      <c r="R110" s="22" t="str">
        <f t="shared" si="128"/>
        <v/>
      </c>
      <c r="S110" s="22" t="str">
        <f t="shared" si="129"/>
        <v/>
      </c>
      <c r="T110" s="22" t="str">
        <f t="shared" si="130"/>
        <v/>
      </c>
      <c r="V110" s="21" t="str">
        <f t="shared" si="131"/>
        <v>Apprenant 98</v>
      </c>
      <c r="W110" s="22" t="str">
        <f>IF(AND(OR('Choix pédagogiques'!$C$3=1,'Choix pédagogiques'!$C$3=2),$BM110=1),B110,IF(AND('Choix pédagogiques'!$C$3=3,$BO110=1),B110,""))</f>
        <v/>
      </c>
      <c r="X110" s="22" t="str">
        <f>IF(AND(OR('Choix pédagogiques'!$C$3=1,'Choix pédagogiques'!$C$3=2),$BM110=1),C110,IF(AND('Choix pédagogiques'!$C$3=3,$BO110=1),C110,""))</f>
        <v/>
      </c>
      <c r="Y110" s="22" t="str">
        <f>IF(AND(OR('Choix pédagogiques'!$C$3=1,'Choix pédagogiques'!$C$3=2),$BM110=1),D110,IF(AND('Choix pédagogiques'!$C$3=3,$BO110=1),D110,""))</f>
        <v/>
      </c>
      <c r="Z110" s="22" t="str">
        <f t="shared" si="132"/>
        <v/>
      </c>
      <c r="AA110" s="21" t="str">
        <f t="shared" si="133"/>
        <v>Apprenant 98 ou 98'</v>
      </c>
      <c r="AB110" s="22" t="str">
        <f>IF(AND(OR('Choix pédagogiques'!$C$3=1,'Choix pédagogiques'!$C$3=2),$BN110=1),G110,IF(AND('Choix pédagogiques'!$C$3=3,$BO110=1),G110,""))</f>
        <v/>
      </c>
      <c r="AC110" s="22" t="str">
        <f>IF(AND(OR('Choix pédagogiques'!$C$3=1,'Choix pédagogiques'!$C$3=2),$BN110=1),H110,IF(AND('Choix pédagogiques'!$C$3=3,$BO110=1),H110,""))</f>
        <v/>
      </c>
      <c r="AD110" s="22" t="str">
        <f>IF(AND(OR('Choix pédagogiques'!$C$3=1,'Choix pédagogiques'!$C$3=2),$BN110=1),I110,IF(AND('Choix pédagogiques'!$C$3=3,$BO110=1),I110,""))</f>
        <v/>
      </c>
      <c r="AE110" s="22" t="str">
        <f t="shared" si="134"/>
        <v/>
      </c>
      <c r="AF110" s="21" t="str">
        <f t="shared" si="135"/>
        <v>Apprenant 98</v>
      </c>
      <c r="AG110" s="22" t="str">
        <f t="shared" si="109"/>
        <v/>
      </c>
      <c r="AH110" s="22" t="str">
        <f t="shared" si="110"/>
        <v/>
      </c>
      <c r="AI110" s="22" t="str">
        <f t="shared" si="111"/>
        <v/>
      </c>
      <c r="AJ110" s="22" t="str">
        <f t="shared" si="136"/>
        <v/>
      </c>
      <c r="AK110" s="21" t="str">
        <f t="shared" si="137"/>
        <v>Apprenant 98 ou 98'</v>
      </c>
      <c r="AL110" s="22" t="str">
        <f t="shared" si="112"/>
        <v/>
      </c>
      <c r="AM110" s="22" t="str">
        <f t="shared" si="113"/>
        <v/>
      </c>
      <c r="AN110" s="22" t="str">
        <f t="shared" si="114"/>
        <v/>
      </c>
      <c r="AO110" s="22" t="str">
        <f t="shared" si="138"/>
        <v/>
      </c>
      <c r="AQ110" s="21" t="str">
        <f t="shared" si="139"/>
        <v>Apprenant 98</v>
      </c>
      <c r="AR110" s="49" t="str">
        <f>IF(AND('Choix pédagogiques'!$C$4&lt;&gt;"?",'Choix pédagogiques'!$C$5&lt;&gt;"?",W110&lt;&gt;""),(W110-'Choix pédagogiques'!$C$4)/('Choix pédagogiques'!$C$5-'Choix pédagogiques'!$C$4),"")</f>
        <v/>
      </c>
      <c r="AS110" s="49" t="str">
        <f>IF(AND('Choix pédagogiques'!$C$4&lt;&gt;"?",'Choix pédagogiques'!$C$5&lt;&gt;"?",X110&lt;&gt;""),(X110-'Choix pédagogiques'!$C$4)/('Choix pédagogiques'!$C$5-'Choix pédagogiques'!$C$4),"")</f>
        <v/>
      </c>
      <c r="AT110" s="49" t="str">
        <f>IF(AND('Choix pédagogiques'!$C$4&lt;&gt;"?",'Choix pédagogiques'!$C$5&lt;&gt;"?",Y110&lt;&gt;""),(Y110-'Choix pédagogiques'!$C$4)/('Choix pédagogiques'!$C$5-'Choix pédagogiques'!$C$4),"")</f>
        <v/>
      </c>
      <c r="AU110" s="22" t="str">
        <f t="shared" si="140"/>
        <v/>
      </c>
      <c r="AV110" s="21" t="str">
        <f t="shared" si="141"/>
        <v>Apprenant 98 ou 98'</v>
      </c>
      <c r="AW110" s="49" t="str">
        <f>IF(AND('Choix pédagogiques'!$C$4&lt;&gt;"?",'Choix pédagogiques'!$C$5&lt;&gt;"?",AB110&lt;&gt;""),(AB110-'Choix pédagogiques'!$C$4)/('Choix pédagogiques'!$C$5-'Choix pédagogiques'!$C$4),"")</f>
        <v/>
      </c>
      <c r="AX110" s="49" t="str">
        <f>IF(AND('Choix pédagogiques'!$C$4&lt;&gt;"?",'Choix pédagogiques'!$C$5&lt;&gt;"?",AC110&lt;&gt;""),(AC110-'Choix pédagogiques'!$C$4)/('Choix pédagogiques'!$C$5-'Choix pédagogiques'!$C$4),"")</f>
        <v/>
      </c>
      <c r="AY110" s="49" t="str">
        <f>IF(AND('Choix pédagogiques'!$C$4&lt;&gt;"?",'Choix pédagogiques'!$C$5&lt;&gt;"?",AD110&lt;&gt;""),(AD110-'Choix pédagogiques'!$C$4)/('Choix pédagogiques'!$C$5-'Choix pédagogiques'!$C$4),"")</f>
        <v/>
      </c>
      <c r="AZ110" s="22" t="str">
        <f t="shared" si="142"/>
        <v/>
      </c>
      <c r="BA110" s="21" t="str">
        <f t="shared" si="143"/>
        <v>Apprenant 98</v>
      </c>
      <c r="BB110" s="49" t="str">
        <f t="shared" si="115"/>
        <v/>
      </c>
      <c r="BC110" s="49" t="str">
        <f t="shared" si="116"/>
        <v/>
      </c>
      <c r="BD110" s="49" t="str">
        <f t="shared" si="117"/>
        <v/>
      </c>
      <c r="BE110" s="22" t="str">
        <f t="shared" si="144"/>
        <v/>
      </c>
      <c r="BF110" s="21" t="str">
        <f t="shared" si="145"/>
        <v>Apprenant 98 ou 98'</v>
      </c>
      <c r="BG110" s="49" t="str">
        <f t="shared" si="118"/>
        <v/>
      </c>
      <c r="BH110" s="49" t="str">
        <f t="shared" si="119"/>
        <v/>
      </c>
      <c r="BI110" s="49" t="str">
        <f t="shared" si="120"/>
        <v/>
      </c>
      <c r="BJ110" s="22" t="str">
        <f t="shared" si="146"/>
        <v/>
      </c>
      <c r="BL110" s="21"/>
      <c r="BM110" s="21" t="str">
        <f>IF(OR(COUNT(B110:D1109)=0,AND('Choix pédagogiques'!$C$3&lt;&gt;1,'Choix pédagogiques'!$C$3&lt;&gt;2)),"",IF(AND(OR('Choix pédagogiques'!$C$3=1,'Choix pédagogiques'!$C$3=2),$B110&lt;&gt;"",$C110&lt;&gt;"",$D110&lt;&gt;""),1,0))</f>
        <v/>
      </c>
      <c r="BN110" s="21" t="str">
        <f>IF(OR(COUNT(G110:I1109)=0,AND('Choix pédagogiques'!$C$3&lt;&gt;1,'Choix pédagogiques'!$C$3&lt;&gt;2)),"",IF(AND(OR('Choix pédagogiques'!$C$3=1,'Choix pédagogiques'!$C$3=2),AND($G110&lt;&gt;"",$H110&lt;&gt;"",$I110&lt;&gt;"")),1,0))</f>
        <v/>
      </c>
      <c r="BO110" s="21" t="str">
        <f>IF(OR(COUNT(B110:D1109)=0,COUNT(G110:I1109)=0,'Choix pédagogiques'!C$3&lt;&gt;3),"",IF(AND('Choix pédagogiques'!$C$3=3,$B110&lt;&gt;"",$C110&lt;&gt;"",$D110&lt;&gt;"",$G110&lt;&gt;"",$H110&lt;&gt;"",$I110&lt;&gt;""),1,0))</f>
        <v/>
      </c>
      <c r="BR110" s="21">
        <v>488</v>
      </c>
      <c r="BS110" s="21">
        <v>1787</v>
      </c>
      <c r="BT110"/>
    </row>
    <row r="111" spans="1:72" s="23" customFormat="1" ht="18" customHeight="1" x14ac:dyDescent="0.3">
      <c r="A111" s="35" t="s">
        <v>101</v>
      </c>
      <c r="B111" s="37"/>
      <c r="C111" s="37"/>
      <c r="D111" s="37"/>
      <c r="E111" s="37"/>
      <c r="F111" s="35" t="s">
        <v>1109</v>
      </c>
      <c r="G111" s="37"/>
      <c r="H111" s="37"/>
      <c r="I111" s="37"/>
      <c r="J111" s="37"/>
      <c r="K111" s="21" t="str">
        <f t="shared" si="121"/>
        <v>Apprenant 99</v>
      </c>
      <c r="L111" s="22" t="str">
        <f t="shared" si="122"/>
        <v/>
      </c>
      <c r="M111" s="22" t="str">
        <f t="shared" si="123"/>
        <v/>
      </c>
      <c r="N111" s="22" t="str">
        <f t="shared" si="124"/>
        <v/>
      </c>
      <c r="O111" s="22" t="str">
        <f t="shared" si="125"/>
        <v/>
      </c>
      <c r="P111" s="21" t="str">
        <f t="shared" si="126"/>
        <v>Apprenant 99 ou 99'</v>
      </c>
      <c r="Q111" s="22" t="str">
        <f t="shared" si="127"/>
        <v/>
      </c>
      <c r="R111" s="22" t="str">
        <f t="shared" si="128"/>
        <v/>
      </c>
      <c r="S111" s="22" t="str">
        <f t="shared" si="129"/>
        <v/>
      </c>
      <c r="T111" s="22" t="str">
        <f t="shared" si="130"/>
        <v/>
      </c>
      <c r="V111" s="21" t="str">
        <f t="shared" si="131"/>
        <v>Apprenant 99</v>
      </c>
      <c r="W111" s="22" t="str">
        <f>IF(AND(OR('Choix pédagogiques'!$C$3=1,'Choix pédagogiques'!$C$3=2),$BM111=1),B111,IF(AND('Choix pédagogiques'!$C$3=3,$BO111=1),B111,""))</f>
        <v/>
      </c>
      <c r="X111" s="22" t="str">
        <f>IF(AND(OR('Choix pédagogiques'!$C$3=1,'Choix pédagogiques'!$C$3=2),$BM111=1),C111,IF(AND('Choix pédagogiques'!$C$3=3,$BO111=1),C111,""))</f>
        <v/>
      </c>
      <c r="Y111" s="22" t="str">
        <f>IF(AND(OR('Choix pédagogiques'!$C$3=1,'Choix pédagogiques'!$C$3=2),$BM111=1),D111,IF(AND('Choix pédagogiques'!$C$3=3,$BO111=1),D111,""))</f>
        <v/>
      </c>
      <c r="Z111" s="22" t="str">
        <f t="shared" si="132"/>
        <v/>
      </c>
      <c r="AA111" s="21" t="str">
        <f t="shared" si="133"/>
        <v>Apprenant 99 ou 99'</v>
      </c>
      <c r="AB111" s="22" t="str">
        <f>IF(AND(OR('Choix pédagogiques'!$C$3=1,'Choix pédagogiques'!$C$3=2),$BN111=1),G111,IF(AND('Choix pédagogiques'!$C$3=3,$BO111=1),G111,""))</f>
        <v/>
      </c>
      <c r="AC111" s="22" t="str">
        <f>IF(AND(OR('Choix pédagogiques'!$C$3=1,'Choix pédagogiques'!$C$3=2),$BN111=1),H111,IF(AND('Choix pédagogiques'!$C$3=3,$BO111=1),H111,""))</f>
        <v/>
      </c>
      <c r="AD111" s="22" t="str">
        <f>IF(AND(OR('Choix pédagogiques'!$C$3=1,'Choix pédagogiques'!$C$3=2),$BN111=1),I111,IF(AND('Choix pédagogiques'!$C$3=3,$BO111=1),I111,""))</f>
        <v/>
      </c>
      <c r="AE111" s="22" t="str">
        <f t="shared" si="134"/>
        <v/>
      </c>
      <c r="AF111" s="21" t="str">
        <f t="shared" si="135"/>
        <v>Apprenant 99</v>
      </c>
      <c r="AG111" s="22" t="str">
        <f t="shared" si="109"/>
        <v/>
      </c>
      <c r="AH111" s="22" t="str">
        <f t="shared" si="110"/>
        <v/>
      </c>
      <c r="AI111" s="22" t="str">
        <f t="shared" si="111"/>
        <v/>
      </c>
      <c r="AJ111" s="22" t="str">
        <f t="shared" si="136"/>
        <v/>
      </c>
      <c r="AK111" s="21" t="str">
        <f t="shared" si="137"/>
        <v>Apprenant 99 ou 99'</v>
      </c>
      <c r="AL111" s="22" t="str">
        <f t="shared" si="112"/>
        <v/>
      </c>
      <c r="AM111" s="22" t="str">
        <f t="shared" si="113"/>
        <v/>
      </c>
      <c r="AN111" s="22" t="str">
        <f t="shared" si="114"/>
        <v/>
      </c>
      <c r="AO111" s="22" t="str">
        <f t="shared" si="138"/>
        <v/>
      </c>
      <c r="AQ111" s="21" t="str">
        <f t="shared" si="139"/>
        <v>Apprenant 99</v>
      </c>
      <c r="AR111" s="49" t="str">
        <f>IF(AND('Choix pédagogiques'!$C$4&lt;&gt;"?",'Choix pédagogiques'!$C$5&lt;&gt;"?",W111&lt;&gt;""),(W111-'Choix pédagogiques'!$C$4)/('Choix pédagogiques'!$C$5-'Choix pédagogiques'!$C$4),"")</f>
        <v/>
      </c>
      <c r="AS111" s="49" t="str">
        <f>IF(AND('Choix pédagogiques'!$C$4&lt;&gt;"?",'Choix pédagogiques'!$C$5&lt;&gt;"?",X111&lt;&gt;""),(X111-'Choix pédagogiques'!$C$4)/('Choix pédagogiques'!$C$5-'Choix pédagogiques'!$C$4),"")</f>
        <v/>
      </c>
      <c r="AT111" s="49" t="str">
        <f>IF(AND('Choix pédagogiques'!$C$4&lt;&gt;"?",'Choix pédagogiques'!$C$5&lt;&gt;"?",Y111&lt;&gt;""),(Y111-'Choix pédagogiques'!$C$4)/('Choix pédagogiques'!$C$5-'Choix pédagogiques'!$C$4),"")</f>
        <v/>
      </c>
      <c r="AU111" s="22" t="str">
        <f t="shared" si="140"/>
        <v/>
      </c>
      <c r="AV111" s="21" t="str">
        <f t="shared" si="141"/>
        <v>Apprenant 99 ou 99'</v>
      </c>
      <c r="AW111" s="49" t="str">
        <f>IF(AND('Choix pédagogiques'!$C$4&lt;&gt;"?",'Choix pédagogiques'!$C$5&lt;&gt;"?",AB111&lt;&gt;""),(AB111-'Choix pédagogiques'!$C$4)/('Choix pédagogiques'!$C$5-'Choix pédagogiques'!$C$4),"")</f>
        <v/>
      </c>
      <c r="AX111" s="49" t="str">
        <f>IF(AND('Choix pédagogiques'!$C$4&lt;&gt;"?",'Choix pédagogiques'!$C$5&lt;&gt;"?",AC111&lt;&gt;""),(AC111-'Choix pédagogiques'!$C$4)/('Choix pédagogiques'!$C$5-'Choix pédagogiques'!$C$4),"")</f>
        <v/>
      </c>
      <c r="AY111" s="49" t="str">
        <f>IF(AND('Choix pédagogiques'!$C$4&lt;&gt;"?",'Choix pédagogiques'!$C$5&lt;&gt;"?",AD111&lt;&gt;""),(AD111-'Choix pédagogiques'!$C$4)/('Choix pédagogiques'!$C$5-'Choix pédagogiques'!$C$4),"")</f>
        <v/>
      </c>
      <c r="AZ111" s="22" t="str">
        <f t="shared" si="142"/>
        <v/>
      </c>
      <c r="BA111" s="21" t="str">
        <f t="shared" si="143"/>
        <v>Apprenant 99</v>
      </c>
      <c r="BB111" s="49" t="str">
        <f t="shared" si="115"/>
        <v/>
      </c>
      <c r="BC111" s="49" t="str">
        <f t="shared" si="116"/>
        <v/>
      </c>
      <c r="BD111" s="49" t="str">
        <f t="shared" si="117"/>
        <v/>
      </c>
      <c r="BE111" s="22" t="str">
        <f t="shared" si="144"/>
        <v/>
      </c>
      <c r="BF111" s="21" t="str">
        <f t="shared" si="145"/>
        <v>Apprenant 99 ou 99'</v>
      </c>
      <c r="BG111" s="49" t="str">
        <f t="shared" si="118"/>
        <v/>
      </c>
      <c r="BH111" s="49" t="str">
        <f t="shared" si="119"/>
        <v/>
      </c>
      <c r="BI111" s="49" t="str">
        <f t="shared" si="120"/>
        <v/>
      </c>
      <c r="BJ111" s="22" t="str">
        <f t="shared" si="146"/>
        <v/>
      </c>
      <c r="BL111" s="21"/>
      <c r="BM111" s="21" t="str">
        <f>IF(OR(COUNT(B111:D1110)=0,AND('Choix pédagogiques'!$C$3&lt;&gt;1,'Choix pédagogiques'!$C$3&lt;&gt;2)),"",IF(AND(OR('Choix pédagogiques'!$C$3=1,'Choix pédagogiques'!$C$3=2),$B111&lt;&gt;"",$C111&lt;&gt;"",$D111&lt;&gt;""),1,0))</f>
        <v/>
      </c>
      <c r="BN111" s="21" t="str">
        <f>IF(OR(COUNT(G111:I1110)=0,AND('Choix pédagogiques'!$C$3&lt;&gt;1,'Choix pédagogiques'!$C$3&lt;&gt;2)),"",IF(AND(OR('Choix pédagogiques'!$C$3=1,'Choix pédagogiques'!$C$3=2),AND($G111&lt;&gt;"",$H111&lt;&gt;"",$I111&lt;&gt;"")),1,0))</f>
        <v/>
      </c>
      <c r="BO111" s="21" t="str">
        <f>IF(OR(COUNT(B111:D1110)=0,COUNT(G111:I1110)=0,'Choix pédagogiques'!C$3&lt;&gt;3),"",IF(AND('Choix pédagogiques'!$C$3=3,$B111&lt;&gt;"",$C111&lt;&gt;"",$D111&lt;&gt;"",$G111&lt;&gt;"",$H111&lt;&gt;"",$I111&lt;&gt;""),1,0))</f>
        <v/>
      </c>
      <c r="BR111" s="21">
        <v>562</v>
      </c>
      <c r="BS111" s="21">
        <v>1121</v>
      </c>
      <c r="BT111"/>
    </row>
    <row r="112" spans="1:72" s="23" customFormat="1" ht="18" customHeight="1" x14ac:dyDescent="0.3">
      <c r="A112" s="35" t="s">
        <v>102</v>
      </c>
      <c r="B112" s="37"/>
      <c r="C112" s="37"/>
      <c r="D112" s="37"/>
      <c r="E112" s="37"/>
      <c r="F112" s="35" t="s">
        <v>1110</v>
      </c>
      <c r="G112" s="37"/>
      <c r="H112" s="37"/>
      <c r="I112" s="37"/>
      <c r="J112" s="37"/>
      <c r="K112" s="21" t="str">
        <f t="shared" si="121"/>
        <v>Apprenant 100</v>
      </c>
      <c r="L112" s="22" t="str">
        <f t="shared" si="122"/>
        <v/>
      </c>
      <c r="M112" s="22" t="str">
        <f t="shared" si="123"/>
        <v/>
      </c>
      <c r="N112" s="22" t="str">
        <f t="shared" si="124"/>
        <v/>
      </c>
      <c r="O112" s="22" t="str">
        <f t="shared" si="125"/>
        <v/>
      </c>
      <c r="P112" s="21" t="str">
        <f t="shared" si="126"/>
        <v>Apprenant 100 ou 100'</v>
      </c>
      <c r="Q112" s="22" t="str">
        <f t="shared" si="127"/>
        <v/>
      </c>
      <c r="R112" s="22" t="str">
        <f t="shared" si="128"/>
        <v/>
      </c>
      <c r="S112" s="22" t="str">
        <f t="shared" si="129"/>
        <v/>
      </c>
      <c r="T112" s="22" t="str">
        <f t="shared" si="130"/>
        <v/>
      </c>
      <c r="V112" s="21" t="str">
        <f t="shared" si="131"/>
        <v>Apprenant 100</v>
      </c>
      <c r="W112" s="22" t="str">
        <f>IF(AND(OR('Choix pédagogiques'!$C$3=1,'Choix pédagogiques'!$C$3=2),$BM112=1),B112,IF(AND('Choix pédagogiques'!$C$3=3,$BO112=1),B112,""))</f>
        <v/>
      </c>
      <c r="X112" s="22" t="str">
        <f>IF(AND(OR('Choix pédagogiques'!$C$3=1,'Choix pédagogiques'!$C$3=2),$BM112=1),C112,IF(AND('Choix pédagogiques'!$C$3=3,$BO112=1),C112,""))</f>
        <v/>
      </c>
      <c r="Y112" s="22" t="str">
        <f>IF(AND(OR('Choix pédagogiques'!$C$3=1,'Choix pédagogiques'!$C$3=2),$BM112=1),D112,IF(AND('Choix pédagogiques'!$C$3=3,$BO112=1),D112,""))</f>
        <v/>
      </c>
      <c r="Z112" s="22" t="str">
        <f t="shared" si="132"/>
        <v/>
      </c>
      <c r="AA112" s="21" t="str">
        <f t="shared" si="133"/>
        <v>Apprenant 100 ou 100'</v>
      </c>
      <c r="AB112" s="22" t="str">
        <f>IF(AND(OR('Choix pédagogiques'!$C$3=1,'Choix pédagogiques'!$C$3=2),$BN112=1),G112,IF(AND('Choix pédagogiques'!$C$3=3,$BO112=1),G112,""))</f>
        <v/>
      </c>
      <c r="AC112" s="22" t="str">
        <f>IF(AND(OR('Choix pédagogiques'!$C$3=1,'Choix pédagogiques'!$C$3=2),$BN112=1),H112,IF(AND('Choix pédagogiques'!$C$3=3,$BO112=1),H112,""))</f>
        <v/>
      </c>
      <c r="AD112" s="22" t="str">
        <f>IF(AND(OR('Choix pédagogiques'!$C$3=1,'Choix pédagogiques'!$C$3=2),$BN112=1),I112,IF(AND('Choix pédagogiques'!$C$3=3,$BO112=1),I112,""))</f>
        <v/>
      </c>
      <c r="AE112" s="22" t="str">
        <f t="shared" si="134"/>
        <v/>
      </c>
      <c r="AF112" s="21" t="str">
        <f t="shared" si="135"/>
        <v>Apprenant 100</v>
      </c>
      <c r="AG112" s="22" t="str">
        <f t="shared" si="109"/>
        <v/>
      </c>
      <c r="AH112" s="22" t="str">
        <f t="shared" si="110"/>
        <v/>
      </c>
      <c r="AI112" s="22" t="str">
        <f t="shared" si="111"/>
        <v/>
      </c>
      <c r="AJ112" s="22" t="str">
        <f t="shared" si="136"/>
        <v/>
      </c>
      <c r="AK112" s="21" t="str">
        <f t="shared" si="137"/>
        <v>Apprenant 100 ou 100'</v>
      </c>
      <c r="AL112" s="22" t="str">
        <f t="shared" si="112"/>
        <v/>
      </c>
      <c r="AM112" s="22" t="str">
        <f t="shared" si="113"/>
        <v/>
      </c>
      <c r="AN112" s="22" t="str">
        <f t="shared" si="114"/>
        <v/>
      </c>
      <c r="AO112" s="22" t="str">
        <f t="shared" si="138"/>
        <v/>
      </c>
      <c r="AQ112" s="21" t="str">
        <f t="shared" si="139"/>
        <v>Apprenant 100</v>
      </c>
      <c r="AR112" s="49" t="str">
        <f>IF(AND('Choix pédagogiques'!$C$4&lt;&gt;"?",'Choix pédagogiques'!$C$5&lt;&gt;"?",W112&lt;&gt;""),(W112-'Choix pédagogiques'!$C$4)/('Choix pédagogiques'!$C$5-'Choix pédagogiques'!$C$4),"")</f>
        <v/>
      </c>
      <c r="AS112" s="49" t="str">
        <f>IF(AND('Choix pédagogiques'!$C$4&lt;&gt;"?",'Choix pédagogiques'!$C$5&lt;&gt;"?",X112&lt;&gt;""),(X112-'Choix pédagogiques'!$C$4)/('Choix pédagogiques'!$C$5-'Choix pédagogiques'!$C$4),"")</f>
        <v/>
      </c>
      <c r="AT112" s="49" t="str">
        <f>IF(AND('Choix pédagogiques'!$C$4&lt;&gt;"?",'Choix pédagogiques'!$C$5&lt;&gt;"?",Y112&lt;&gt;""),(Y112-'Choix pédagogiques'!$C$4)/('Choix pédagogiques'!$C$5-'Choix pédagogiques'!$C$4),"")</f>
        <v/>
      </c>
      <c r="AU112" s="22" t="str">
        <f t="shared" si="140"/>
        <v/>
      </c>
      <c r="AV112" s="21" t="str">
        <f t="shared" si="141"/>
        <v>Apprenant 100 ou 100'</v>
      </c>
      <c r="AW112" s="49" t="str">
        <f>IF(AND('Choix pédagogiques'!$C$4&lt;&gt;"?",'Choix pédagogiques'!$C$5&lt;&gt;"?",AB112&lt;&gt;""),(AB112-'Choix pédagogiques'!$C$4)/('Choix pédagogiques'!$C$5-'Choix pédagogiques'!$C$4),"")</f>
        <v/>
      </c>
      <c r="AX112" s="49" t="str">
        <f>IF(AND('Choix pédagogiques'!$C$4&lt;&gt;"?",'Choix pédagogiques'!$C$5&lt;&gt;"?",AC112&lt;&gt;""),(AC112-'Choix pédagogiques'!$C$4)/('Choix pédagogiques'!$C$5-'Choix pédagogiques'!$C$4),"")</f>
        <v/>
      </c>
      <c r="AY112" s="49" t="str">
        <f>IF(AND('Choix pédagogiques'!$C$4&lt;&gt;"?",'Choix pédagogiques'!$C$5&lt;&gt;"?",AD112&lt;&gt;""),(AD112-'Choix pédagogiques'!$C$4)/('Choix pédagogiques'!$C$5-'Choix pédagogiques'!$C$4),"")</f>
        <v/>
      </c>
      <c r="AZ112" s="22" t="str">
        <f t="shared" si="142"/>
        <v/>
      </c>
      <c r="BA112" s="21" t="str">
        <f t="shared" si="143"/>
        <v>Apprenant 100</v>
      </c>
      <c r="BB112" s="49" t="str">
        <f t="shared" si="115"/>
        <v/>
      </c>
      <c r="BC112" s="49" t="str">
        <f t="shared" si="116"/>
        <v/>
      </c>
      <c r="BD112" s="49" t="str">
        <f t="shared" si="117"/>
        <v/>
      </c>
      <c r="BE112" s="22" t="str">
        <f t="shared" si="144"/>
        <v/>
      </c>
      <c r="BF112" s="21" t="str">
        <f t="shared" si="145"/>
        <v>Apprenant 100 ou 100'</v>
      </c>
      <c r="BG112" s="49" t="str">
        <f t="shared" si="118"/>
        <v/>
      </c>
      <c r="BH112" s="49" t="str">
        <f t="shared" si="119"/>
        <v/>
      </c>
      <c r="BI112" s="49" t="str">
        <f t="shared" si="120"/>
        <v/>
      </c>
      <c r="BJ112" s="22" t="str">
        <f t="shared" si="146"/>
        <v/>
      </c>
      <c r="BL112" s="21"/>
      <c r="BM112" s="21" t="str">
        <f>IF(OR(COUNT(B112:D1111)=0,AND('Choix pédagogiques'!$C$3&lt;&gt;1,'Choix pédagogiques'!$C$3&lt;&gt;2)),"",IF(AND(OR('Choix pédagogiques'!$C$3=1,'Choix pédagogiques'!$C$3=2),$B112&lt;&gt;"",$C112&lt;&gt;"",$D112&lt;&gt;""),1,0))</f>
        <v/>
      </c>
      <c r="BN112" s="21" t="str">
        <f>IF(OR(COUNT(G112:I1111)=0,AND('Choix pédagogiques'!$C$3&lt;&gt;1,'Choix pédagogiques'!$C$3&lt;&gt;2)),"",IF(AND(OR('Choix pédagogiques'!$C$3=1,'Choix pédagogiques'!$C$3=2),AND($G112&lt;&gt;"",$H112&lt;&gt;"",$I112&lt;&gt;"")),1,0))</f>
        <v/>
      </c>
      <c r="BO112" s="21" t="str">
        <f>IF(OR(COUNT(B112:D1111)=0,COUNT(G112:I1111)=0,'Choix pédagogiques'!C$3&lt;&gt;3),"",IF(AND('Choix pédagogiques'!$C$3=3,$B112&lt;&gt;"",$C112&lt;&gt;"",$D112&lt;&gt;"",$G112&lt;&gt;"",$H112&lt;&gt;"",$I112&lt;&gt;""),1,0))</f>
        <v/>
      </c>
      <c r="BR112" s="21">
        <v>484</v>
      </c>
      <c r="BS112" s="21">
        <v>1813</v>
      </c>
      <c r="BT112"/>
    </row>
    <row r="113" spans="1:72" s="23" customFormat="1" ht="18" customHeight="1" x14ac:dyDescent="0.3">
      <c r="A113" s="35" t="s">
        <v>103</v>
      </c>
      <c r="B113" s="37"/>
      <c r="C113" s="37"/>
      <c r="D113" s="37"/>
      <c r="E113" s="37"/>
      <c r="F113" s="35" t="s">
        <v>1111</v>
      </c>
      <c r="G113" s="37"/>
      <c r="H113" s="37"/>
      <c r="I113" s="37"/>
      <c r="J113" s="37"/>
      <c r="K113" s="21" t="str">
        <f t="shared" si="121"/>
        <v>Apprenant 101</v>
      </c>
      <c r="L113" s="22" t="str">
        <f t="shared" si="122"/>
        <v/>
      </c>
      <c r="M113" s="22" t="str">
        <f t="shared" si="123"/>
        <v/>
      </c>
      <c r="N113" s="22" t="str">
        <f t="shared" si="124"/>
        <v/>
      </c>
      <c r="O113" s="22" t="str">
        <f t="shared" si="125"/>
        <v/>
      </c>
      <c r="P113" s="21" t="str">
        <f t="shared" si="126"/>
        <v>Apprenant 101 ou 101'</v>
      </c>
      <c r="Q113" s="22" t="str">
        <f t="shared" si="127"/>
        <v/>
      </c>
      <c r="R113" s="22" t="str">
        <f t="shared" si="128"/>
        <v/>
      </c>
      <c r="S113" s="22" t="str">
        <f t="shared" si="129"/>
        <v/>
      </c>
      <c r="T113" s="22" t="str">
        <f t="shared" si="130"/>
        <v/>
      </c>
      <c r="V113" s="21" t="str">
        <f t="shared" si="131"/>
        <v>Apprenant 101</v>
      </c>
      <c r="W113" s="22" t="str">
        <f>IF(AND(OR('Choix pédagogiques'!$C$3=1,'Choix pédagogiques'!$C$3=2),$BM113=1),B113,IF(AND('Choix pédagogiques'!$C$3=3,$BO113=1),B113,""))</f>
        <v/>
      </c>
      <c r="X113" s="22" t="str">
        <f>IF(AND(OR('Choix pédagogiques'!$C$3=1,'Choix pédagogiques'!$C$3=2),$BM113=1),C113,IF(AND('Choix pédagogiques'!$C$3=3,$BO113=1),C113,""))</f>
        <v/>
      </c>
      <c r="Y113" s="22" t="str">
        <f>IF(AND(OR('Choix pédagogiques'!$C$3=1,'Choix pédagogiques'!$C$3=2),$BM113=1),D113,IF(AND('Choix pédagogiques'!$C$3=3,$BO113=1),D113,""))</f>
        <v/>
      </c>
      <c r="Z113" s="22" t="str">
        <f t="shared" si="132"/>
        <v/>
      </c>
      <c r="AA113" s="21" t="str">
        <f t="shared" si="133"/>
        <v>Apprenant 101 ou 101'</v>
      </c>
      <c r="AB113" s="22" t="str">
        <f>IF(AND(OR('Choix pédagogiques'!$C$3=1,'Choix pédagogiques'!$C$3=2),$BN113=1),G113,IF(AND('Choix pédagogiques'!$C$3=3,$BO113=1),G113,""))</f>
        <v/>
      </c>
      <c r="AC113" s="22" t="str">
        <f>IF(AND(OR('Choix pédagogiques'!$C$3=1,'Choix pédagogiques'!$C$3=2),$BN113=1),H113,IF(AND('Choix pédagogiques'!$C$3=3,$BO113=1),H113,""))</f>
        <v/>
      </c>
      <c r="AD113" s="22" t="str">
        <f>IF(AND(OR('Choix pédagogiques'!$C$3=1,'Choix pédagogiques'!$C$3=2),$BN113=1),I113,IF(AND('Choix pédagogiques'!$C$3=3,$BO113=1),I113,""))</f>
        <v/>
      </c>
      <c r="AE113" s="22" t="str">
        <f t="shared" si="134"/>
        <v/>
      </c>
      <c r="AF113" s="21" t="str">
        <f t="shared" si="135"/>
        <v>Apprenant 101</v>
      </c>
      <c r="AG113" s="22" t="str">
        <f t="shared" si="109"/>
        <v/>
      </c>
      <c r="AH113" s="22" t="str">
        <f t="shared" si="110"/>
        <v/>
      </c>
      <c r="AI113" s="22" t="str">
        <f t="shared" si="111"/>
        <v/>
      </c>
      <c r="AJ113" s="22" t="str">
        <f t="shared" si="136"/>
        <v/>
      </c>
      <c r="AK113" s="21" t="str">
        <f t="shared" si="137"/>
        <v>Apprenant 101 ou 101'</v>
      </c>
      <c r="AL113" s="22" t="str">
        <f t="shared" si="112"/>
        <v/>
      </c>
      <c r="AM113" s="22" t="str">
        <f t="shared" si="113"/>
        <v/>
      </c>
      <c r="AN113" s="22" t="str">
        <f t="shared" si="114"/>
        <v/>
      </c>
      <c r="AO113" s="22" t="str">
        <f t="shared" si="138"/>
        <v/>
      </c>
      <c r="AQ113" s="21" t="str">
        <f t="shared" si="139"/>
        <v>Apprenant 101</v>
      </c>
      <c r="AR113" s="49" t="str">
        <f>IF(AND('Choix pédagogiques'!$C$4&lt;&gt;"?",'Choix pédagogiques'!$C$5&lt;&gt;"?",W113&lt;&gt;""),(W113-'Choix pédagogiques'!$C$4)/('Choix pédagogiques'!$C$5-'Choix pédagogiques'!$C$4),"")</f>
        <v/>
      </c>
      <c r="AS113" s="49" t="str">
        <f>IF(AND('Choix pédagogiques'!$C$4&lt;&gt;"?",'Choix pédagogiques'!$C$5&lt;&gt;"?",X113&lt;&gt;""),(X113-'Choix pédagogiques'!$C$4)/('Choix pédagogiques'!$C$5-'Choix pédagogiques'!$C$4),"")</f>
        <v/>
      </c>
      <c r="AT113" s="49" t="str">
        <f>IF(AND('Choix pédagogiques'!$C$4&lt;&gt;"?",'Choix pédagogiques'!$C$5&lt;&gt;"?",Y113&lt;&gt;""),(Y113-'Choix pédagogiques'!$C$4)/('Choix pédagogiques'!$C$5-'Choix pédagogiques'!$C$4),"")</f>
        <v/>
      </c>
      <c r="AU113" s="22" t="str">
        <f t="shared" si="140"/>
        <v/>
      </c>
      <c r="AV113" s="21" t="str">
        <f t="shared" si="141"/>
        <v>Apprenant 101 ou 101'</v>
      </c>
      <c r="AW113" s="49" t="str">
        <f>IF(AND('Choix pédagogiques'!$C$4&lt;&gt;"?",'Choix pédagogiques'!$C$5&lt;&gt;"?",AB113&lt;&gt;""),(AB113-'Choix pédagogiques'!$C$4)/('Choix pédagogiques'!$C$5-'Choix pédagogiques'!$C$4),"")</f>
        <v/>
      </c>
      <c r="AX113" s="49" t="str">
        <f>IF(AND('Choix pédagogiques'!$C$4&lt;&gt;"?",'Choix pédagogiques'!$C$5&lt;&gt;"?",AC113&lt;&gt;""),(AC113-'Choix pédagogiques'!$C$4)/('Choix pédagogiques'!$C$5-'Choix pédagogiques'!$C$4),"")</f>
        <v/>
      </c>
      <c r="AY113" s="49" t="str">
        <f>IF(AND('Choix pédagogiques'!$C$4&lt;&gt;"?",'Choix pédagogiques'!$C$5&lt;&gt;"?",AD113&lt;&gt;""),(AD113-'Choix pédagogiques'!$C$4)/('Choix pédagogiques'!$C$5-'Choix pédagogiques'!$C$4),"")</f>
        <v/>
      </c>
      <c r="AZ113" s="22" t="str">
        <f t="shared" si="142"/>
        <v/>
      </c>
      <c r="BA113" s="21" t="str">
        <f t="shared" si="143"/>
        <v>Apprenant 101</v>
      </c>
      <c r="BB113" s="49" t="str">
        <f t="shared" si="115"/>
        <v/>
      </c>
      <c r="BC113" s="49" t="str">
        <f t="shared" si="116"/>
        <v/>
      </c>
      <c r="BD113" s="49" t="str">
        <f t="shared" si="117"/>
        <v/>
      </c>
      <c r="BE113" s="22" t="str">
        <f t="shared" si="144"/>
        <v/>
      </c>
      <c r="BF113" s="21" t="str">
        <f t="shared" si="145"/>
        <v>Apprenant 101 ou 101'</v>
      </c>
      <c r="BG113" s="49" t="str">
        <f t="shared" si="118"/>
        <v/>
      </c>
      <c r="BH113" s="49" t="str">
        <f t="shared" si="119"/>
        <v/>
      </c>
      <c r="BI113" s="49" t="str">
        <f t="shared" si="120"/>
        <v/>
      </c>
      <c r="BJ113" s="22" t="str">
        <f t="shared" si="146"/>
        <v/>
      </c>
      <c r="BL113" s="21"/>
      <c r="BM113" s="21" t="str">
        <f>IF(OR(COUNT(B113:D1112)=0,AND('Choix pédagogiques'!$C$3&lt;&gt;1,'Choix pédagogiques'!$C$3&lt;&gt;2)),"",IF(AND(OR('Choix pédagogiques'!$C$3=1,'Choix pédagogiques'!$C$3=2),$B113&lt;&gt;"",$C113&lt;&gt;"",$D113&lt;&gt;""),1,0))</f>
        <v/>
      </c>
      <c r="BN113" s="21" t="str">
        <f>IF(OR(COUNT(G113:I1112)=0,AND('Choix pédagogiques'!$C$3&lt;&gt;1,'Choix pédagogiques'!$C$3&lt;&gt;2)),"",IF(AND(OR('Choix pédagogiques'!$C$3=1,'Choix pédagogiques'!$C$3=2),AND($G113&lt;&gt;"",$H113&lt;&gt;"",$I113&lt;&gt;"")),1,0))</f>
        <v/>
      </c>
      <c r="BO113" s="21" t="str">
        <f>IF(OR(COUNT(B113:D1112)=0,COUNT(G113:I1112)=0,'Choix pédagogiques'!C$3&lt;&gt;3),"",IF(AND('Choix pédagogiques'!$C$3=3,$B113&lt;&gt;"",$C113&lt;&gt;"",$D113&lt;&gt;"",$G113&lt;&gt;"",$H113&lt;&gt;"",$I113&lt;&gt;""),1,0))</f>
        <v/>
      </c>
      <c r="BR113" s="21">
        <v>924</v>
      </c>
      <c r="BS113" s="21">
        <v>1114</v>
      </c>
      <c r="BT113"/>
    </row>
    <row r="114" spans="1:72" s="23" customFormat="1" ht="18" customHeight="1" x14ac:dyDescent="0.3">
      <c r="A114" s="35" t="s">
        <v>104</v>
      </c>
      <c r="B114" s="37"/>
      <c r="C114" s="37"/>
      <c r="D114" s="37"/>
      <c r="E114" s="37"/>
      <c r="F114" s="35" t="s">
        <v>1112</v>
      </c>
      <c r="G114" s="37"/>
      <c r="H114" s="37"/>
      <c r="I114" s="37"/>
      <c r="J114" s="37"/>
      <c r="K114" s="21" t="str">
        <f t="shared" si="121"/>
        <v>Apprenant 102</v>
      </c>
      <c r="L114" s="22" t="str">
        <f t="shared" si="122"/>
        <v/>
      </c>
      <c r="M114" s="22" t="str">
        <f t="shared" si="123"/>
        <v/>
      </c>
      <c r="N114" s="22" t="str">
        <f t="shared" si="124"/>
        <v/>
      </c>
      <c r="O114" s="22" t="str">
        <f t="shared" si="125"/>
        <v/>
      </c>
      <c r="P114" s="21" t="str">
        <f t="shared" si="126"/>
        <v>Apprenant 102 ou 102'</v>
      </c>
      <c r="Q114" s="22" t="str">
        <f t="shared" si="127"/>
        <v/>
      </c>
      <c r="R114" s="22" t="str">
        <f t="shared" si="128"/>
        <v/>
      </c>
      <c r="S114" s="22" t="str">
        <f t="shared" si="129"/>
        <v/>
      </c>
      <c r="T114" s="22" t="str">
        <f t="shared" si="130"/>
        <v/>
      </c>
      <c r="V114" s="21" t="str">
        <f t="shared" si="131"/>
        <v>Apprenant 102</v>
      </c>
      <c r="W114" s="22" t="str">
        <f>IF(AND(OR('Choix pédagogiques'!$C$3=1,'Choix pédagogiques'!$C$3=2),$BM114=1),B114,IF(AND('Choix pédagogiques'!$C$3=3,$BO114=1),B114,""))</f>
        <v/>
      </c>
      <c r="X114" s="22" t="str">
        <f>IF(AND(OR('Choix pédagogiques'!$C$3=1,'Choix pédagogiques'!$C$3=2),$BM114=1),C114,IF(AND('Choix pédagogiques'!$C$3=3,$BO114=1),C114,""))</f>
        <v/>
      </c>
      <c r="Y114" s="22" t="str">
        <f>IF(AND(OR('Choix pédagogiques'!$C$3=1,'Choix pédagogiques'!$C$3=2),$BM114=1),D114,IF(AND('Choix pédagogiques'!$C$3=3,$BO114=1),D114,""))</f>
        <v/>
      </c>
      <c r="Z114" s="22" t="str">
        <f t="shared" si="132"/>
        <v/>
      </c>
      <c r="AA114" s="21" t="str">
        <f t="shared" si="133"/>
        <v>Apprenant 102 ou 102'</v>
      </c>
      <c r="AB114" s="22" t="str">
        <f>IF(AND(OR('Choix pédagogiques'!$C$3=1,'Choix pédagogiques'!$C$3=2),$BN114=1),G114,IF(AND('Choix pédagogiques'!$C$3=3,$BO114=1),G114,""))</f>
        <v/>
      </c>
      <c r="AC114" s="22" t="str">
        <f>IF(AND(OR('Choix pédagogiques'!$C$3=1,'Choix pédagogiques'!$C$3=2),$BN114=1),H114,IF(AND('Choix pédagogiques'!$C$3=3,$BO114=1),H114,""))</f>
        <v/>
      </c>
      <c r="AD114" s="22" t="str">
        <f>IF(AND(OR('Choix pédagogiques'!$C$3=1,'Choix pédagogiques'!$C$3=2),$BN114=1),I114,IF(AND('Choix pédagogiques'!$C$3=3,$BO114=1),I114,""))</f>
        <v/>
      </c>
      <c r="AE114" s="22" t="str">
        <f t="shared" si="134"/>
        <v/>
      </c>
      <c r="AF114" s="21" t="str">
        <f t="shared" si="135"/>
        <v>Apprenant 102</v>
      </c>
      <c r="AG114" s="22" t="str">
        <f t="shared" si="109"/>
        <v/>
      </c>
      <c r="AH114" s="22" t="str">
        <f t="shared" si="110"/>
        <v/>
      </c>
      <c r="AI114" s="22" t="str">
        <f t="shared" si="111"/>
        <v/>
      </c>
      <c r="AJ114" s="22" t="str">
        <f t="shared" si="136"/>
        <v/>
      </c>
      <c r="AK114" s="21" t="str">
        <f t="shared" si="137"/>
        <v>Apprenant 102 ou 102'</v>
      </c>
      <c r="AL114" s="22" t="str">
        <f t="shared" si="112"/>
        <v/>
      </c>
      <c r="AM114" s="22" t="str">
        <f t="shared" si="113"/>
        <v/>
      </c>
      <c r="AN114" s="22" t="str">
        <f t="shared" si="114"/>
        <v/>
      </c>
      <c r="AO114" s="22" t="str">
        <f t="shared" si="138"/>
        <v/>
      </c>
      <c r="AQ114" s="21" t="str">
        <f t="shared" si="139"/>
        <v>Apprenant 102</v>
      </c>
      <c r="AR114" s="49" t="str">
        <f>IF(AND('Choix pédagogiques'!$C$4&lt;&gt;"?",'Choix pédagogiques'!$C$5&lt;&gt;"?",W114&lt;&gt;""),(W114-'Choix pédagogiques'!$C$4)/('Choix pédagogiques'!$C$5-'Choix pédagogiques'!$C$4),"")</f>
        <v/>
      </c>
      <c r="AS114" s="49" t="str">
        <f>IF(AND('Choix pédagogiques'!$C$4&lt;&gt;"?",'Choix pédagogiques'!$C$5&lt;&gt;"?",X114&lt;&gt;""),(X114-'Choix pédagogiques'!$C$4)/('Choix pédagogiques'!$C$5-'Choix pédagogiques'!$C$4),"")</f>
        <v/>
      </c>
      <c r="AT114" s="49" t="str">
        <f>IF(AND('Choix pédagogiques'!$C$4&lt;&gt;"?",'Choix pédagogiques'!$C$5&lt;&gt;"?",Y114&lt;&gt;""),(Y114-'Choix pédagogiques'!$C$4)/('Choix pédagogiques'!$C$5-'Choix pédagogiques'!$C$4),"")</f>
        <v/>
      </c>
      <c r="AU114" s="22" t="str">
        <f t="shared" si="140"/>
        <v/>
      </c>
      <c r="AV114" s="21" t="str">
        <f t="shared" si="141"/>
        <v>Apprenant 102 ou 102'</v>
      </c>
      <c r="AW114" s="49" t="str">
        <f>IF(AND('Choix pédagogiques'!$C$4&lt;&gt;"?",'Choix pédagogiques'!$C$5&lt;&gt;"?",AB114&lt;&gt;""),(AB114-'Choix pédagogiques'!$C$4)/('Choix pédagogiques'!$C$5-'Choix pédagogiques'!$C$4),"")</f>
        <v/>
      </c>
      <c r="AX114" s="49" t="str">
        <f>IF(AND('Choix pédagogiques'!$C$4&lt;&gt;"?",'Choix pédagogiques'!$C$5&lt;&gt;"?",AC114&lt;&gt;""),(AC114-'Choix pédagogiques'!$C$4)/('Choix pédagogiques'!$C$5-'Choix pédagogiques'!$C$4),"")</f>
        <v/>
      </c>
      <c r="AY114" s="49" t="str">
        <f>IF(AND('Choix pédagogiques'!$C$4&lt;&gt;"?",'Choix pédagogiques'!$C$5&lt;&gt;"?",AD114&lt;&gt;""),(AD114-'Choix pédagogiques'!$C$4)/('Choix pédagogiques'!$C$5-'Choix pédagogiques'!$C$4),"")</f>
        <v/>
      </c>
      <c r="AZ114" s="22" t="str">
        <f t="shared" si="142"/>
        <v/>
      </c>
      <c r="BA114" s="21" t="str">
        <f t="shared" si="143"/>
        <v>Apprenant 102</v>
      </c>
      <c r="BB114" s="49" t="str">
        <f t="shared" si="115"/>
        <v/>
      </c>
      <c r="BC114" s="49" t="str">
        <f t="shared" si="116"/>
        <v/>
      </c>
      <c r="BD114" s="49" t="str">
        <f t="shared" si="117"/>
        <v/>
      </c>
      <c r="BE114" s="22" t="str">
        <f t="shared" si="144"/>
        <v/>
      </c>
      <c r="BF114" s="21" t="str">
        <f t="shared" si="145"/>
        <v>Apprenant 102 ou 102'</v>
      </c>
      <c r="BG114" s="49" t="str">
        <f t="shared" si="118"/>
        <v/>
      </c>
      <c r="BH114" s="49" t="str">
        <f t="shared" si="119"/>
        <v/>
      </c>
      <c r="BI114" s="49" t="str">
        <f t="shared" si="120"/>
        <v/>
      </c>
      <c r="BJ114" s="22" t="str">
        <f t="shared" si="146"/>
        <v/>
      </c>
      <c r="BL114" s="21"/>
      <c r="BM114" s="21" t="str">
        <f>IF(OR(COUNT(B114:D1113)=0,AND('Choix pédagogiques'!$C$3&lt;&gt;1,'Choix pédagogiques'!$C$3&lt;&gt;2)),"",IF(AND(OR('Choix pédagogiques'!$C$3=1,'Choix pédagogiques'!$C$3=2),$B114&lt;&gt;"",$C114&lt;&gt;"",$D114&lt;&gt;""),1,0))</f>
        <v/>
      </c>
      <c r="BN114" s="21" t="str">
        <f>IF(OR(COUNT(G114:I1113)=0,AND('Choix pédagogiques'!$C$3&lt;&gt;1,'Choix pédagogiques'!$C$3&lt;&gt;2)),"",IF(AND(OR('Choix pédagogiques'!$C$3=1,'Choix pédagogiques'!$C$3=2),AND($G114&lt;&gt;"",$H114&lt;&gt;"",$I114&lt;&gt;"")),1,0))</f>
        <v/>
      </c>
      <c r="BO114" s="21" t="str">
        <f>IF(OR(COUNT(B114:D1113)=0,COUNT(G114:I1113)=0,'Choix pédagogiques'!C$3&lt;&gt;3),"",IF(AND('Choix pédagogiques'!$C$3=3,$B114&lt;&gt;"",$C114&lt;&gt;"",$D114&lt;&gt;"",$G114&lt;&gt;"",$H114&lt;&gt;"",$I114&lt;&gt;""),1,0))</f>
        <v/>
      </c>
      <c r="BR114" s="21">
        <v>630</v>
      </c>
      <c r="BS114" s="21">
        <v>1088</v>
      </c>
      <c r="BT114"/>
    </row>
    <row r="115" spans="1:72" s="23" customFormat="1" ht="18" customHeight="1" x14ac:dyDescent="0.3">
      <c r="A115" s="35" t="s">
        <v>105</v>
      </c>
      <c r="B115" s="37"/>
      <c r="C115" s="37"/>
      <c r="D115" s="37"/>
      <c r="E115" s="37"/>
      <c r="F115" s="35" t="s">
        <v>1113</v>
      </c>
      <c r="G115" s="37"/>
      <c r="H115" s="37"/>
      <c r="I115" s="37"/>
      <c r="J115" s="37"/>
      <c r="K115" s="21" t="str">
        <f t="shared" si="121"/>
        <v>Apprenant 103</v>
      </c>
      <c r="L115" s="22" t="str">
        <f t="shared" si="122"/>
        <v/>
      </c>
      <c r="M115" s="22" t="str">
        <f t="shared" si="123"/>
        <v/>
      </c>
      <c r="N115" s="22" t="str">
        <f t="shared" si="124"/>
        <v/>
      </c>
      <c r="O115" s="22" t="str">
        <f t="shared" si="125"/>
        <v/>
      </c>
      <c r="P115" s="21" t="str">
        <f t="shared" si="126"/>
        <v>Apprenant 103 ou 103'</v>
      </c>
      <c r="Q115" s="22" t="str">
        <f t="shared" si="127"/>
        <v/>
      </c>
      <c r="R115" s="22" t="str">
        <f t="shared" si="128"/>
        <v/>
      </c>
      <c r="S115" s="22" t="str">
        <f t="shared" si="129"/>
        <v/>
      </c>
      <c r="T115" s="22" t="str">
        <f t="shared" si="130"/>
        <v/>
      </c>
      <c r="V115" s="21" t="str">
        <f t="shared" si="131"/>
        <v>Apprenant 103</v>
      </c>
      <c r="W115" s="22" t="str">
        <f>IF(AND(OR('Choix pédagogiques'!$C$3=1,'Choix pédagogiques'!$C$3=2),$BM115=1),B115,IF(AND('Choix pédagogiques'!$C$3=3,$BO115=1),B115,""))</f>
        <v/>
      </c>
      <c r="X115" s="22" t="str">
        <f>IF(AND(OR('Choix pédagogiques'!$C$3=1,'Choix pédagogiques'!$C$3=2),$BM115=1),C115,IF(AND('Choix pédagogiques'!$C$3=3,$BO115=1),C115,""))</f>
        <v/>
      </c>
      <c r="Y115" s="22" t="str">
        <f>IF(AND(OR('Choix pédagogiques'!$C$3=1,'Choix pédagogiques'!$C$3=2),$BM115=1),D115,IF(AND('Choix pédagogiques'!$C$3=3,$BO115=1),D115,""))</f>
        <v/>
      </c>
      <c r="Z115" s="22" t="str">
        <f t="shared" si="132"/>
        <v/>
      </c>
      <c r="AA115" s="21" t="str">
        <f t="shared" si="133"/>
        <v>Apprenant 103 ou 103'</v>
      </c>
      <c r="AB115" s="22" t="str">
        <f>IF(AND(OR('Choix pédagogiques'!$C$3=1,'Choix pédagogiques'!$C$3=2),$BN115=1),G115,IF(AND('Choix pédagogiques'!$C$3=3,$BO115=1),G115,""))</f>
        <v/>
      </c>
      <c r="AC115" s="22" t="str">
        <f>IF(AND(OR('Choix pédagogiques'!$C$3=1,'Choix pédagogiques'!$C$3=2),$BN115=1),H115,IF(AND('Choix pédagogiques'!$C$3=3,$BO115=1),H115,""))</f>
        <v/>
      </c>
      <c r="AD115" s="22" t="str">
        <f>IF(AND(OR('Choix pédagogiques'!$C$3=1,'Choix pédagogiques'!$C$3=2),$BN115=1),I115,IF(AND('Choix pédagogiques'!$C$3=3,$BO115=1),I115,""))</f>
        <v/>
      </c>
      <c r="AE115" s="22" t="str">
        <f t="shared" si="134"/>
        <v/>
      </c>
      <c r="AF115" s="21" t="str">
        <f t="shared" si="135"/>
        <v>Apprenant 103</v>
      </c>
      <c r="AG115" s="22" t="str">
        <f t="shared" si="109"/>
        <v/>
      </c>
      <c r="AH115" s="22" t="str">
        <f t="shared" si="110"/>
        <v/>
      </c>
      <c r="AI115" s="22" t="str">
        <f t="shared" si="111"/>
        <v/>
      </c>
      <c r="AJ115" s="22" t="str">
        <f t="shared" si="136"/>
        <v/>
      </c>
      <c r="AK115" s="21" t="str">
        <f t="shared" si="137"/>
        <v>Apprenant 103 ou 103'</v>
      </c>
      <c r="AL115" s="22" t="str">
        <f t="shared" si="112"/>
        <v/>
      </c>
      <c r="AM115" s="22" t="str">
        <f t="shared" si="113"/>
        <v/>
      </c>
      <c r="AN115" s="22" t="str">
        <f t="shared" si="114"/>
        <v/>
      </c>
      <c r="AO115" s="22" t="str">
        <f t="shared" si="138"/>
        <v/>
      </c>
      <c r="AQ115" s="21" t="str">
        <f t="shared" si="139"/>
        <v>Apprenant 103</v>
      </c>
      <c r="AR115" s="49" t="str">
        <f>IF(AND('Choix pédagogiques'!$C$4&lt;&gt;"?",'Choix pédagogiques'!$C$5&lt;&gt;"?",W115&lt;&gt;""),(W115-'Choix pédagogiques'!$C$4)/('Choix pédagogiques'!$C$5-'Choix pédagogiques'!$C$4),"")</f>
        <v/>
      </c>
      <c r="AS115" s="49" t="str">
        <f>IF(AND('Choix pédagogiques'!$C$4&lt;&gt;"?",'Choix pédagogiques'!$C$5&lt;&gt;"?",X115&lt;&gt;""),(X115-'Choix pédagogiques'!$C$4)/('Choix pédagogiques'!$C$5-'Choix pédagogiques'!$C$4),"")</f>
        <v/>
      </c>
      <c r="AT115" s="49" t="str">
        <f>IF(AND('Choix pédagogiques'!$C$4&lt;&gt;"?",'Choix pédagogiques'!$C$5&lt;&gt;"?",Y115&lt;&gt;""),(Y115-'Choix pédagogiques'!$C$4)/('Choix pédagogiques'!$C$5-'Choix pédagogiques'!$C$4),"")</f>
        <v/>
      </c>
      <c r="AU115" s="22" t="str">
        <f t="shared" si="140"/>
        <v/>
      </c>
      <c r="AV115" s="21" t="str">
        <f t="shared" si="141"/>
        <v>Apprenant 103 ou 103'</v>
      </c>
      <c r="AW115" s="49" t="str">
        <f>IF(AND('Choix pédagogiques'!$C$4&lt;&gt;"?",'Choix pédagogiques'!$C$5&lt;&gt;"?",AB115&lt;&gt;""),(AB115-'Choix pédagogiques'!$C$4)/('Choix pédagogiques'!$C$5-'Choix pédagogiques'!$C$4),"")</f>
        <v/>
      </c>
      <c r="AX115" s="49" t="str">
        <f>IF(AND('Choix pédagogiques'!$C$4&lt;&gt;"?",'Choix pédagogiques'!$C$5&lt;&gt;"?",AC115&lt;&gt;""),(AC115-'Choix pédagogiques'!$C$4)/('Choix pédagogiques'!$C$5-'Choix pédagogiques'!$C$4),"")</f>
        <v/>
      </c>
      <c r="AY115" s="49" t="str">
        <f>IF(AND('Choix pédagogiques'!$C$4&lt;&gt;"?",'Choix pédagogiques'!$C$5&lt;&gt;"?",AD115&lt;&gt;""),(AD115-'Choix pédagogiques'!$C$4)/('Choix pédagogiques'!$C$5-'Choix pédagogiques'!$C$4),"")</f>
        <v/>
      </c>
      <c r="AZ115" s="22" t="str">
        <f t="shared" si="142"/>
        <v/>
      </c>
      <c r="BA115" s="21" t="str">
        <f t="shared" si="143"/>
        <v>Apprenant 103</v>
      </c>
      <c r="BB115" s="49" t="str">
        <f t="shared" si="115"/>
        <v/>
      </c>
      <c r="BC115" s="49" t="str">
        <f t="shared" si="116"/>
        <v/>
      </c>
      <c r="BD115" s="49" t="str">
        <f t="shared" si="117"/>
        <v/>
      </c>
      <c r="BE115" s="22" t="str">
        <f t="shared" si="144"/>
        <v/>
      </c>
      <c r="BF115" s="21" t="str">
        <f t="shared" si="145"/>
        <v>Apprenant 103 ou 103'</v>
      </c>
      <c r="BG115" s="49" t="str">
        <f t="shared" si="118"/>
        <v/>
      </c>
      <c r="BH115" s="49" t="str">
        <f t="shared" si="119"/>
        <v/>
      </c>
      <c r="BI115" s="49" t="str">
        <f t="shared" si="120"/>
        <v/>
      </c>
      <c r="BJ115" s="22" t="str">
        <f t="shared" si="146"/>
        <v/>
      </c>
      <c r="BL115" s="21"/>
      <c r="BM115" s="21" t="str">
        <f>IF(OR(COUNT(B115:D1114)=0,AND('Choix pédagogiques'!$C$3&lt;&gt;1,'Choix pédagogiques'!$C$3&lt;&gt;2)),"",IF(AND(OR('Choix pédagogiques'!$C$3=1,'Choix pédagogiques'!$C$3=2),$B115&lt;&gt;"",$C115&lt;&gt;"",$D115&lt;&gt;""),1,0))</f>
        <v/>
      </c>
      <c r="BN115" s="21" t="str">
        <f>IF(OR(COUNT(G115:I1114)=0,AND('Choix pédagogiques'!$C$3&lt;&gt;1,'Choix pédagogiques'!$C$3&lt;&gt;2)),"",IF(AND(OR('Choix pédagogiques'!$C$3=1,'Choix pédagogiques'!$C$3=2),AND($G115&lt;&gt;"",$H115&lt;&gt;"",$I115&lt;&gt;"")),1,0))</f>
        <v/>
      </c>
      <c r="BO115" s="21" t="str">
        <f>IF(OR(COUNT(B115:D1114)=0,COUNT(G115:I1114)=0,'Choix pédagogiques'!C$3&lt;&gt;3),"",IF(AND('Choix pédagogiques'!$C$3=3,$B115&lt;&gt;"",$C115&lt;&gt;"",$D115&lt;&gt;"",$G115&lt;&gt;"",$H115&lt;&gt;"",$I115&lt;&gt;""),1,0))</f>
        <v/>
      </c>
      <c r="BR115" s="21">
        <v>470</v>
      </c>
      <c r="BS115" s="21">
        <v>1315</v>
      </c>
      <c r="BT115"/>
    </row>
    <row r="116" spans="1:72" s="23" customFormat="1" ht="18" customHeight="1" x14ac:dyDescent="0.3">
      <c r="A116" s="35" t="s">
        <v>106</v>
      </c>
      <c r="B116" s="37"/>
      <c r="C116" s="37"/>
      <c r="D116" s="37"/>
      <c r="E116" s="37"/>
      <c r="F116" s="35" t="s">
        <v>1114</v>
      </c>
      <c r="G116" s="37"/>
      <c r="H116" s="37"/>
      <c r="I116" s="37"/>
      <c r="J116" s="37"/>
      <c r="K116" s="21" t="str">
        <f t="shared" si="121"/>
        <v>Apprenant 104</v>
      </c>
      <c r="L116" s="22" t="str">
        <f t="shared" si="122"/>
        <v/>
      </c>
      <c r="M116" s="22" t="str">
        <f t="shared" si="123"/>
        <v/>
      </c>
      <c r="N116" s="22" t="str">
        <f t="shared" si="124"/>
        <v/>
      </c>
      <c r="O116" s="22" t="str">
        <f t="shared" si="125"/>
        <v/>
      </c>
      <c r="P116" s="21" t="str">
        <f t="shared" si="126"/>
        <v>Apprenant 104 ou 104'</v>
      </c>
      <c r="Q116" s="22" t="str">
        <f t="shared" si="127"/>
        <v/>
      </c>
      <c r="R116" s="22" t="str">
        <f t="shared" si="128"/>
        <v/>
      </c>
      <c r="S116" s="22" t="str">
        <f t="shared" si="129"/>
        <v/>
      </c>
      <c r="T116" s="22" t="str">
        <f t="shared" si="130"/>
        <v/>
      </c>
      <c r="V116" s="21" t="str">
        <f t="shared" si="131"/>
        <v>Apprenant 104</v>
      </c>
      <c r="W116" s="22" t="str">
        <f>IF(AND(OR('Choix pédagogiques'!$C$3=1,'Choix pédagogiques'!$C$3=2),$BM116=1),B116,IF(AND('Choix pédagogiques'!$C$3=3,$BO116=1),B116,""))</f>
        <v/>
      </c>
      <c r="X116" s="22" t="str">
        <f>IF(AND(OR('Choix pédagogiques'!$C$3=1,'Choix pédagogiques'!$C$3=2),$BM116=1),C116,IF(AND('Choix pédagogiques'!$C$3=3,$BO116=1),C116,""))</f>
        <v/>
      </c>
      <c r="Y116" s="22" t="str">
        <f>IF(AND(OR('Choix pédagogiques'!$C$3=1,'Choix pédagogiques'!$C$3=2),$BM116=1),D116,IF(AND('Choix pédagogiques'!$C$3=3,$BO116=1),D116,""))</f>
        <v/>
      </c>
      <c r="Z116" s="22" t="str">
        <f t="shared" si="132"/>
        <v/>
      </c>
      <c r="AA116" s="21" t="str">
        <f t="shared" si="133"/>
        <v>Apprenant 104 ou 104'</v>
      </c>
      <c r="AB116" s="22" t="str">
        <f>IF(AND(OR('Choix pédagogiques'!$C$3=1,'Choix pédagogiques'!$C$3=2),$BN116=1),G116,IF(AND('Choix pédagogiques'!$C$3=3,$BO116=1),G116,""))</f>
        <v/>
      </c>
      <c r="AC116" s="22" t="str">
        <f>IF(AND(OR('Choix pédagogiques'!$C$3=1,'Choix pédagogiques'!$C$3=2),$BN116=1),H116,IF(AND('Choix pédagogiques'!$C$3=3,$BO116=1),H116,""))</f>
        <v/>
      </c>
      <c r="AD116" s="22" t="str">
        <f>IF(AND(OR('Choix pédagogiques'!$C$3=1,'Choix pédagogiques'!$C$3=2),$BN116=1),I116,IF(AND('Choix pédagogiques'!$C$3=3,$BO116=1),I116,""))</f>
        <v/>
      </c>
      <c r="AE116" s="22" t="str">
        <f t="shared" si="134"/>
        <v/>
      </c>
      <c r="AF116" s="21" t="str">
        <f t="shared" si="135"/>
        <v>Apprenant 104</v>
      </c>
      <c r="AG116" s="22" t="str">
        <f t="shared" si="109"/>
        <v/>
      </c>
      <c r="AH116" s="22" t="str">
        <f t="shared" si="110"/>
        <v/>
      </c>
      <c r="AI116" s="22" t="str">
        <f t="shared" si="111"/>
        <v/>
      </c>
      <c r="AJ116" s="22" t="str">
        <f t="shared" si="136"/>
        <v/>
      </c>
      <c r="AK116" s="21" t="str">
        <f t="shared" si="137"/>
        <v>Apprenant 104 ou 104'</v>
      </c>
      <c r="AL116" s="22" t="str">
        <f t="shared" si="112"/>
        <v/>
      </c>
      <c r="AM116" s="22" t="str">
        <f t="shared" si="113"/>
        <v/>
      </c>
      <c r="AN116" s="22" t="str">
        <f t="shared" si="114"/>
        <v/>
      </c>
      <c r="AO116" s="22" t="str">
        <f t="shared" si="138"/>
        <v/>
      </c>
      <c r="AQ116" s="21" t="str">
        <f t="shared" si="139"/>
        <v>Apprenant 104</v>
      </c>
      <c r="AR116" s="49" t="str">
        <f>IF(AND('Choix pédagogiques'!$C$4&lt;&gt;"?",'Choix pédagogiques'!$C$5&lt;&gt;"?",W116&lt;&gt;""),(W116-'Choix pédagogiques'!$C$4)/('Choix pédagogiques'!$C$5-'Choix pédagogiques'!$C$4),"")</f>
        <v/>
      </c>
      <c r="AS116" s="49" t="str">
        <f>IF(AND('Choix pédagogiques'!$C$4&lt;&gt;"?",'Choix pédagogiques'!$C$5&lt;&gt;"?",X116&lt;&gt;""),(X116-'Choix pédagogiques'!$C$4)/('Choix pédagogiques'!$C$5-'Choix pédagogiques'!$C$4),"")</f>
        <v/>
      </c>
      <c r="AT116" s="49" t="str">
        <f>IF(AND('Choix pédagogiques'!$C$4&lt;&gt;"?",'Choix pédagogiques'!$C$5&lt;&gt;"?",Y116&lt;&gt;""),(Y116-'Choix pédagogiques'!$C$4)/('Choix pédagogiques'!$C$5-'Choix pédagogiques'!$C$4),"")</f>
        <v/>
      </c>
      <c r="AU116" s="22" t="str">
        <f t="shared" si="140"/>
        <v/>
      </c>
      <c r="AV116" s="21" t="str">
        <f t="shared" si="141"/>
        <v>Apprenant 104 ou 104'</v>
      </c>
      <c r="AW116" s="49" t="str">
        <f>IF(AND('Choix pédagogiques'!$C$4&lt;&gt;"?",'Choix pédagogiques'!$C$5&lt;&gt;"?",AB116&lt;&gt;""),(AB116-'Choix pédagogiques'!$C$4)/('Choix pédagogiques'!$C$5-'Choix pédagogiques'!$C$4),"")</f>
        <v/>
      </c>
      <c r="AX116" s="49" t="str">
        <f>IF(AND('Choix pédagogiques'!$C$4&lt;&gt;"?",'Choix pédagogiques'!$C$5&lt;&gt;"?",AC116&lt;&gt;""),(AC116-'Choix pédagogiques'!$C$4)/('Choix pédagogiques'!$C$5-'Choix pédagogiques'!$C$4),"")</f>
        <v/>
      </c>
      <c r="AY116" s="49" t="str">
        <f>IF(AND('Choix pédagogiques'!$C$4&lt;&gt;"?",'Choix pédagogiques'!$C$5&lt;&gt;"?",AD116&lt;&gt;""),(AD116-'Choix pédagogiques'!$C$4)/('Choix pédagogiques'!$C$5-'Choix pédagogiques'!$C$4),"")</f>
        <v/>
      </c>
      <c r="AZ116" s="22" t="str">
        <f t="shared" si="142"/>
        <v/>
      </c>
      <c r="BA116" s="21" t="str">
        <f t="shared" si="143"/>
        <v>Apprenant 104</v>
      </c>
      <c r="BB116" s="49" t="str">
        <f t="shared" si="115"/>
        <v/>
      </c>
      <c r="BC116" s="49" t="str">
        <f t="shared" si="116"/>
        <v/>
      </c>
      <c r="BD116" s="49" t="str">
        <f t="shared" si="117"/>
        <v/>
      </c>
      <c r="BE116" s="22" t="str">
        <f t="shared" si="144"/>
        <v/>
      </c>
      <c r="BF116" s="21" t="str">
        <f t="shared" si="145"/>
        <v>Apprenant 104 ou 104'</v>
      </c>
      <c r="BG116" s="49" t="str">
        <f t="shared" si="118"/>
        <v/>
      </c>
      <c r="BH116" s="49" t="str">
        <f t="shared" si="119"/>
        <v/>
      </c>
      <c r="BI116" s="49" t="str">
        <f t="shared" si="120"/>
        <v/>
      </c>
      <c r="BJ116" s="22" t="str">
        <f t="shared" si="146"/>
        <v/>
      </c>
      <c r="BL116" s="21"/>
      <c r="BM116" s="21" t="str">
        <f>IF(OR(COUNT(B116:D1115)=0,AND('Choix pédagogiques'!$C$3&lt;&gt;1,'Choix pédagogiques'!$C$3&lt;&gt;2)),"",IF(AND(OR('Choix pédagogiques'!$C$3=1,'Choix pédagogiques'!$C$3=2),$B116&lt;&gt;"",$C116&lt;&gt;"",$D116&lt;&gt;""),1,0))</f>
        <v/>
      </c>
      <c r="BN116" s="21" t="str">
        <f>IF(OR(COUNT(G116:I1115)=0,AND('Choix pédagogiques'!$C$3&lt;&gt;1,'Choix pédagogiques'!$C$3&lt;&gt;2)),"",IF(AND(OR('Choix pédagogiques'!$C$3=1,'Choix pédagogiques'!$C$3=2),AND($G116&lt;&gt;"",$H116&lt;&gt;"",$I116&lt;&gt;"")),1,0))</f>
        <v/>
      </c>
      <c r="BO116" s="21" t="str">
        <f>IF(OR(COUNT(B116:D1115)=0,COUNT(G116:I1115)=0,'Choix pédagogiques'!C$3&lt;&gt;3),"",IF(AND('Choix pédagogiques'!$C$3=3,$B116&lt;&gt;"",$C116&lt;&gt;"",$D116&lt;&gt;"",$G116&lt;&gt;"",$H116&lt;&gt;"",$I116&lt;&gt;""),1,0))</f>
        <v/>
      </c>
      <c r="BR116" s="21">
        <v>576</v>
      </c>
      <c r="BS116" s="21">
        <v>1793</v>
      </c>
      <c r="BT116"/>
    </row>
    <row r="117" spans="1:72" s="23" customFormat="1" ht="18" customHeight="1" x14ac:dyDescent="0.3">
      <c r="A117" s="35" t="s">
        <v>107</v>
      </c>
      <c r="B117" s="37"/>
      <c r="C117" s="37"/>
      <c r="D117" s="37"/>
      <c r="E117" s="37"/>
      <c r="F117" s="35" t="s">
        <v>1115</v>
      </c>
      <c r="G117" s="37"/>
      <c r="H117" s="37"/>
      <c r="I117" s="37"/>
      <c r="J117" s="37"/>
      <c r="K117" s="21" t="str">
        <f t="shared" si="121"/>
        <v>Apprenant 105</v>
      </c>
      <c r="L117" s="22" t="str">
        <f t="shared" si="122"/>
        <v/>
      </c>
      <c r="M117" s="22" t="str">
        <f t="shared" si="123"/>
        <v/>
      </c>
      <c r="N117" s="22" t="str">
        <f t="shared" si="124"/>
        <v/>
      </c>
      <c r="O117" s="22" t="str">
        <f t="shared" si="125"/>
        <v/>
      </c>
      <c r="P117" s="21" t="str">
        <f t="shared" si="126"/>
        <v>Apprenant 105 ou 105'</v>
      </c>
      <c r="Q117" s="22" t="str">
        <f t="shared" si="127"/>
        <v/>
      </c>
      <c r="R117" s="22" t="str">
        <f t="shared" si="128"/>
        <v/>
      </c>
      <c r="S117" s="22" t="str">
        <f t="shared" si="129"/>
        <v/>
      </c>
      <c r="T117" s="22" t="str">
        <f t="shared" si="130"/>
        <v/>
      </c>
      <c r="V117" s="21" t="str">
        <f t="shared" si="131"/>
        <v>Apprenant 105</v>
      </c>
      <c r="W117" s="22" t="str">
        <f>IF(AND(OR('Choix pédagogiques'!$C$3=1,'Choix pédagogiques'!$C$3=2),$BM117=1),B117,IF(AND('Choix pédagogiques'!$C$3=3,$BO117=1),B117,""))</f>
        <v/>
      </c>
      <c r="X117" s="22" t="str">
        <f>IF(AND(OR('Choix pédagogiques'!$C$3=1,'Choix pédagogiques'!$C$3=2),$BM117=1),C117,IF(AND('Choix pédagogiques'!$C$3=3,$BO117=1),C117,""))</f>
        <v/>
      </c>
      <c r="Y117" s="22" t="str">
        <f>IF(AND(OR('Choix pédagogiques'!$C$3=1,'Choix pédagogiques'!$C$3=2),$BM117=1),D117,IF(AND('Choix pédagogiques'!$C$3=3,$BO117=1),D117,""))</f>
        <v/>
      </c>
      <c r="Z117" s="22" t="str">
        <f t="shared" si="132"/>
        <v/>
      </c>
      <c r="AA117" s="21" t="str">
        <f t="shared" si="133"/>
        <v>Apprenant 105 ou 105'</v>
      </c>
      <c r="AB117" s="22" t="str">
        <f>IF(AND(OR('Choix pédagogiques'!$C$3=1,'Choix pédagogiques'!$C$3=2),$BN117=1),G117,IF(AND('Choix pédagogiques'!$C$3=3,$BO117=1),G117,""))</f>
        <v/>
      </c>
      <c r="AC117" s="22" t="str">
        <f>IF(AND(OR('Choix pédagogiques'!$C$3=1,'Choix pédagogiques'!$C$3=2),$BN117=1),H117,IF(AND('Choix pédagogiques'!$C$3=3,$BO117=1),H117,""))</f>
        <v/>
      </c>
      <c r="AD117" s="22" t="str">
        <f>IF(AND(OR('Choix pédagogiques'!$C$3=1,'Choix pédagogiques'!$C$3=2),$BN117=1),I117,IF(AND('Choix pédagogiques'!$C$3=3,$BO117=1),I117,""))</f>
        <v/>
      </c>
      <c r="AE117" s="22" t="str">
        <f t="shared" si="134"/>
        <v/>
      </c>
      <c r="AF117" s="21" t="str">
        <f t="shared" si="135"/>
        <v>Apprenant 105</v>
      </c>
      <c r="AG117" s="22" t="str">
        <f t="shared" si="109"/>
        <v/>
      </c>
      <c r="AH117" s="22" t="str">
        <f t="shared" si="110"/>
        <v/>
      </c>
      <c r="AI117" s="22" t="str">
        <f t="shared" si="111"/>
        <v/>
      </c>
      <c r="AJ117" s="22" t="str">
        <f t="shared" si="136"/>
        <v/>
      </c>
      <c r="AK117" s="21" t="str">
        <f t="shared" si="137"/>
        <v>Apprenant 105 ou 105'</v>
      </c>
      <c r="AL117" s="22" t="str">
        <f t="shared" si="112"/>
        <v/>
      </c>
      <c r="AM117" s="22" t="str">
        <f t="shared" si="113"/>
        <v/>
      </c>
      <c r="AN117" s="22" t="str">
        <f t="shared" si="114"/>
        <v/>
      </c>
      <c r="AO117" s="22" t="str">
        <f t="shared" si="138"/>
        <v/>
      </c>
      <c r="AQ117" s="21" t="str">
        <f t="shared" si="139"/>
        <v>Apprenant 105</v>
      </c>
      <c r="AR117" s="49" t="str">
        <f>IF(AND('Choix pédagogiques'!$C$4&lt;&gt;"?",'Choix pédagogiques'!$C$5&lt;&gt;"?",W117&lt;&gt;""),(W117-'Choix pédagogiques'!$C$4)/('Choix pédagogiques'!$C$5-'Choix pédagogiques'!$C$4),"")</f>
        <v/>
      </c>
      <c r="AS117" s="49" t="str">
        <f>IF(AND('Choix pédagogiques'!$C$4&lt;&gt;"?",'Choix pédagogiques'!$C$5&lt;&gt;"?",X117&lt;&gt;""),(X117-'Choix pédagogiques'!$C$4)/('Choix pédagogiques'!$C$5-'Choix pédagogiques'!$C$4),"")</f>
        <v/>
      </c>
      <c r="AT117" s="49" t="str">
        <f>IF(AND('Choix pédagogiques'!$C$4&lt;&gt;"?",'Choix pédagogiques'!$C$5&lt;&gt;"?",Y117&lt;&gt;""),(Y117-'Choix pédagogiques'!$C$4)/('Choix pédagogiques'!$C$5-'Choix pédagogiques'!$C$4),"")</f>
        <v/>
      </c>
      <c r="AU117" s="22" t="str">
        <f t="shared" si="140"/>
        <v/>
      </c>
      <c r="AV117" s="21" t="str">
        <f t="shared" si="141"/>
        <v>Apprenant 105 ou 105'</v>
      </c>
      <c r="AW117" s="49" t="str">
        <f>IF(AND('Choix pédagogiques'!$C$4&lt;&gt;"?",'Choix pédagogiques'!$C$5&lt;&gt;"?",AB117&lt;&gt;""),(AB117-'Choix pédagogiques'!$C$4)/('Choix pédagogiques'!$C$5-'Choix pédagogiques'!$C$4),"")</f>
        <v/>
      </c>
      <c r="AX117" s="49" t="str">
        <f>IF(AND('Choix pédagogiques'!$C$4&lt;&gt;"?",'Choix pédagogiques'!$C$5&lt;&gt;"?",AC117&lt;&gt;""),(AC117-'Choix pédagogiques'!$C$4)/('Choix pédagogiques'!$C$5-'Choix pédagogiques'!$C$4),"")</f>
        <v/>
      </c>
      <c r="AY117" s="49" t="str">
        <f>IF(AND('Choix pédagogiques'!$C$4&lt;&gt;"?",'Choix pédagogiques'!$C$5&lt;&gt;"?",AD117&lt;&gt;""),(AD117-'Choix pédagogiques'!$C$4)/('Choix pédagogiques'!$C$5-'Choix pédagogiques'!$C$4),"")</f>
        <v/>
      </c>
      <c r="AZ117" s="22" t="str">
        <f t="shared" si="142"/>
        <v/>
      </c>
      <c r="BA117" s="21" t="str">
        <f t="shared" si="143"/>
        <v>Apprenant 105</v>
      </c>
      <c r="BB117" s="49" t="str">
        <f t="shared" si="115"/>
        <v/>
      </c>
      <c r="BC117" s="49" t="str">
        <f t="shared" si="116"/>
        <v/>
      </c>
      <c r="BD117" s="49" t="str">
        <f t="shared" si="117"/>
        <v/>
      </c>
      <c r="BE117" s="22" t="str">
        <f t="shared" si="144"/>
        <v/>
      </c>
      <c r="BF117" s="21" t="str">
        <f t="shared" si="145"/>
        <v>Apprenant 105 ou 105'</v>
      </c>
      <c r="BG117" s="49" t="str">
        <f t="shared" si="118"/>
        <v/>
      </c>
      <c r="BH117" s="49" t="str">
        <f t="shared" si="119"/>
        <v/>
      </c>
      <c r="BI117" s="49" t="str">
        <f t="shared" si="120"/>
        <v/>
      </c>
      <c r="BJ117" s="22" t="str">
        <f t="shared" si="146"/>
        <v/>
      </c>
      <c r="BL117" s="21"/>
      <c r="BM117" s="21" t="str">
        <f>IF(OR(COUNT(B117:D1116)=0,AND('Choix pédagogiques'!$C$3&lt;&gt;1,'Choix pédagogiques'!$C$3&lt;&gt;2)),"",IF(AND(OR('Choix pédagogiques'!$C$3=1,'Choix pédagogiques'!$C$3=2),$B117&lt;&gt;"",$C117&lt;&gt;"",$D117&lt;&gt;""),1,0))</f>
        <v/>
      </c>
      <c r="BN117" s="21" t="str">
        <f>IF(OR(COUNT(G117:I1116)=0,AND('Choix pédagogiques'!$C$3&lt;&gt;1,'Choix pédagogiques'!$C$3&lt;&gt;2)),"",IF(AND(OR('Choix pédagogiques'!$C$3=1,'Choix pédagogiques'!$C$3=2),AND($G117&lt;&gt;"",$H117&lt;&gt;"",$I117&lt;&gt;"")),1,0))</f>
        <v/>
      </c>
      <c r="BO117" s="21" t="str">
        <f>IF(OR(COUNT(B117:D1116)=0,COUNT(G117:I1116)=0,'Choix pédagogiques'!C$3&lt;&gt;3),"",IF(AND('Choix pédagogiques'!$C$3=3,$B117&lt;&gt;"",$C117&lt;&gt;"",$D117&lt;&gt;"",$G117&lt;&gt;"",$H117&lt;&gt;"",$I117&lt;&gt;""),1,0))</f>
        <v/>
      </c>
      <c r="BR117" s="21">
        <v>571</v>
      </c>
      <c r="BS117" s="21">
        <v>1864</v>
      </c>
      <c r="BT117"/>
    </row>
    <row r="118" spans="1:72" s="23" customFormat="1" ht="18" customHeight="1" x14ac:dyDescent="0.3">
      <c r="A118" s="35" t="s">
        <v>108</v>
      </c>
      <c r="B118" s="37"/>
      <c r="C118" s="37"/>
      <c r="D118" s="37"/>
      <c r="E118" s="37"/>
      <c r="F118" s="35" t="s">
        <v>1116</v>
      </c>
      <c r="G118" s="37"/>
      <c r="H118" s="37"/>
      <c r="I118" s="37"/>
      <c r="J118" s="37"/>
      <c r="K118" s="21" t="str">
        <f t="shared" si="121"/>
        <v>Apprenant 106</v>
      </c>
      <c r="L118" s="22" t="str">
        <f t="shared" si="122"/>
        <v/>
      </c>
      <c r="M118" s="22" t="str">
        <f t="shared" si="123"/>
        <v/>
      </c>
      <c r="N118" s="22" t="str">
        <f t="shared" si="124"/>
        <v/>
      </c>
      <c r="O118" s="22" t="str">
        <f t="shared" si="125"/>
        <v/>
      </c>
      <c r="P118" s="21" t="str">
        <f t="shared" si="126"/>
        <v>Apprenant 106 ou 106'</v>
      </c>
      <c r="Q118" s="22" t="str">
        <f t="shared" si="127"/>
        <v/>
      </c>
      <c r="R118" s="22" t="str">
        <f t="shared" si="128"/>
        <v/>
      </c>
      <c r="S118" s="22" t="str">
        <f t="shared" si="129"/>
        <v/>
      </c>
      <c r="T118" s="22" t="str">
        <f t="shared" si="130"/>
        <v/>
      </c>
      <c r="V118" s="21" t="str">
        <f t="shared" si="131"/>
        <v>Apprenant 106</v>
      </c>
      <c r="W118" s="22" t="str">
        <f>IF(AND(OR('Choix pédagogiques'!$C$3=1,'Choix pédagogiques'!$C$3=2),$BM118=1),B118,IF(AND('Choix pédagogiques'!$C$3=3,$BO118=1),B118,""))</f>
        <v/>
      </c>
      <c r="X118" s="22" t="str">
        <f>IF(AND(OR('Choix pédagogiques'!$C$3=1,'Choix pédagogiques'!$C$3=2),$BM118=1),C118,IF(AND('Choix pédagogiques'!$C$3=3,$BO118=1),C118,""))</f>
        <v/>
      </c>
      <c r="Y118" s="22" t="str">
        <f>IF(AND(OR('Choix pédagogiques'!$C$3=1,'Choix pédagogiques'!$C$3=2),$BM118=1),D118,IF(AND('Choix pédagogiques'!$C$3=3,$BO118=1),D118,""))</f>
        <v/>
      </c>
      <c r="Z118" s="22" t="str">
        <f t="shared" si="132"/>
        <v/>
      </c>
      <c r="AA118" s="21" t="str">
        <f t="shared" si="133"/>
        <v>Apprenant 106 ou 106'</v>
      </c>
      <c r="AB118" s="22" t="str">
        <f>IF(AND(OR('Choix pédagogiques'!$C$3=1,'Choix pédagogiques'!$C$3=2),$BN118=1),G118,IF(AND('Choix pédagogiques'!$C$3=3,$BO118=1),G118,""))</f>
        <v/>
      </c>
      <c r="AC118" s="22" t="str">
        <f>IF(AND(OR('Choix pédagogiques'!$C$3=1,'Choix pédagogiques'!$C$3=2),$BN118=1),H118,IF(AND('Choix pédagogiques'!$C$3=3,$BO118=1),H118,""))</f>
        <v/>
      </c>
      <c r="AD118" s="22" t="str">
        <f>IF(AND(OR('Choix pédagogiques'!$C$3=1,'Choix pédagogiques'!$C$3=2),$BN118=1),I118,IF(AND('Choix pédagogiques'!$C$3=3,$BO118=1),I118,""))</f>
        <v/>
      </c>
      <c r="AE118" s="22" t="str">
        <f t="shared" si="134"/>
        <v/>
      </c>
      <c r="AF118" s="21" t="str">
        <f t="shared" si="135"/>
        <v>Apprenant 106</v>
      </c>
      <c r="AG118" s="22" t="str">
        <f t="shared" si="109"/>
        <v/>
      </c>
      <c r="AH118" s="22" t="str">
        <f t="shared" si="110"/>
        <v/>
      </c>
      <c r="AI118" s="22" t="str">
        <f t="shared" si="111"/>
        <v/>
      </c>
      <c r="AJ118" s="22" t="str">
        <f t="shared" si="136"/>
        <v/>
      </c>
      <c r="AK118" s="21" t="str">
        <f t="shared" si="137"/>
        <v>Apprenant 106 ou 106'</v>
      </c>
      <c r="AL118" s="22" t="str">
        <f t="shared" si="112"/>
        <v/>
      </c>
      <c r="AM118" s="22" t="str">
        <f t="shared" si="113"/>
        <v/>
      </c>
      <c r="AN118" s="22" t="str">
        <f t="shared" si="114"/>
        <v/>
      </c>
      <c r="AO118" s="22" t="str">
        <f t="shared" si="138"/>
        <v/>
      </c>
      <c r="AQ118" s="21" t="str">
        <f t="shared" si="139"/>
        <v>Apprenant 106</v>
      </c>
      <c r="AR118" s="49" t="str">
        <f>IF(AND('Choix pédagogiques'!$C$4&lt;&gt;"?",'Choix pédagogiques'!$C$5&lt;&gt;"?",W118&lt;&gt;""),(W118-'Choix pédagogiques'!$C$4)/('Choix pédagogiques'!$C$5-'Choix pédagogiques'!$C$4),"")</f>
        <v/>
      </c>
      <c r="AS118" s="49" t="str">
        <f>IF(AND('Choix pédagogiques'!$C$4&lt;&gt;"?",'Choix pédagogiques'!$C$5&lt;&gt;"?",X118&lt;&gt;""),(X118-'Choix pédagogiques'!$C$4)/('Choix pédagogiques'!$C$5-'Choix pédagogiques'!$C$4),"")</f>
        <v/>
      </c>
      <c r="AT118" s="49" t="str">
        <f>IF(AND('Choix pédagogiques'!$C$4&lt;&gt;"?",'Choix pédagogiques'!$C$5&lt;&gt;"?",Y118&lt;&gt;""),(Y118-'Choix pédagogiques'!$C$4)/('Choix pédagogiques'!$C$5-'Choix pédagogiques'!$C$4),"")</f>
        <v/>
      </c>
      <c r="AU118" s="22" t="str">
        <f t="shared" si="140"/>
        <v/>
      </c>
      <c r="AV118" s="21" t="str">
        <f t="shared" si="141"/>
        <v>Apprenant 106 ou 106'</v>
      </c>
      <c r="AW118" s="49" t="str">
        <f>IF(AND('Choix pédagogiques'!$C$4&lt;&gt;"?",'Choix pédagogiques'!$C$5&lt;&gt;"?",AB118&lt;&gt;""),(AB118-'Choix pédagogiques'!$C$4)/('Choix pédagogiques'!$C$5-'Choix pédagogiques'!$C$4),"")</f>
        <v/>
      </c>
      <c r="AX118" s="49" t="str">
        <f>IF(AND('Choix pédagogiques'!$C$4&lt;&gt;"?",'Choix pédagogiques'!$C$5&lt;&gt;"?",AC118&lt;&gt;""),(AC118-'Choix pédagogiques'!$C$4)/('Choix pédagogiques'!$C$5-'Choix pédagogiques'!$C$4),"")</f>
        <v/>
      </c>
      <c r="AY118" s="49" t="str">
        <f>IF(AND('Choix pédagogiques'!$C$4&lt;&gt;"?",'Choix pédagogiques'!$C$5&lt;&gt;"?",AD118&lt;&gt;""),(AD118-'Choix pédagogiques'!$C$4)/('Choix pédagogiques'!$C$5-'Choix pédagogiques'!$C$4),"")</f>
        <v/>
      </c>
      <c r="AZ118" s="22" t="str">
        <f t="shared" si="142"/>
        <v/>
      </c>
      <c r="BA118" s="21" t="str">
        <f t="shared" si="143"/>
        <v>Apprenant 106</v>
      </c>
      <c r="BB118" s="49" t="str">
        <f t="shared" si="115"/>
        <v/>
      </c>
      <c r="BC118" s="49" t="str">
        <f t="shared" si="116"/>
        <v/>
      </c>
      <c r="BD118" s="49" t="str">
        <f t="shared" si="117"/>
        <v/>
      </c>
      <c r="BE118" s="22" t="str">
        <f t="shared" si="144"/>
        <v/>
      </c>
      <c r="BF118" s="21" t="str">
        <f t="shared" si="145"/>
        <v>Apprenant 106 ou 106'</v>
      </c>
      <c r="BG118" s="49" t="str">
        <f t="shared" si="118"/>
        <v/>
      </c>
      <c r="BH118" s="49" t="str">
        <f t="shared" si="119"/>
        <v/>
      </c>
      <c r="BI118" s="49" t="str">
        <f t="shared" si="120"/>
        <v/>
      </c>
      <c r="BJ118" s="22" t="str">
        <f t="shared" si="146"/>
        <v/>
      </c>
      <c r="BL118" s="21"/>
      <c r="BM118" s="21" t="str">
        <f>IF(OR(COUNT(B118:D1117)=0,AND('Choix pédagogiques'!$C$3&lt;&gt;1,'Choix pédagogiques'!$C$3&lt;&gt;2)),"",IF(AND(OR('Choix pédagogiques'!$C$3=1,'Choix pédagogiques'!$C$3=2),$B118&lt;&gt;"",$C118&lt;&gt;"",$D118&lt;&gt;""),1,0))</f>
        <v/>
      </c>
      <c r="BN118" s="21" t="str">
        <f>IF(OR(COUNT(G118:I1117)=0,AND('Choix pédagogiques'!$C$3&lt;&gt;1,'Choix pédagogiques'!$C$3&lt;&gt;2)),"",IF(AND(OR('Choix pédagogiques'!$C$3=1,'Choix pédagogiques'!$C$3=2),AND($G118&lt;&gt;"",$H118&lt;&gt;"",$I118&lt;&gt;"")),1,0))</f>
        <v/>
      </c>
      <c r="BO118" s="21" t="str">
        <f>IF(OR(COUNT(B118:D1117)=0,COUNT(G118:I1117)=0,'Choix pédagogiques'!C$3&lt;&gt;3),"",IF(AND('Choix pédagogiques'!$C$3=3,$B118&lt;&gt;"",$C118&lt;&gt;"",$D118&lt;&gt;"",$G118&lt;&gt;"",$H118&lt;&gt;"",$I118&lt;&gt;""),1,0))</f>
        <v/>
      </c>
      <c r="BR118" s="21">
        <v>102</v>
      </c>
      <c r="BS118" s="21">
        <v>1318</v>
      </c>
      <c r="BT118"/>
    </row>
    <row r="119" spans="1:72" s="23" customFormat="1" ht="18" customHeight="1" x14ac:dyDescent="0.3">
      <c r="A119" s="35" t="s">
        <v>109</v>
      </c>
      <c r="B119" s="37"/>
      <c r="C119" s="37"/>
      <c r="D119" s="37"/>
      <c r="E119" s="37"/>
      <c r="F119" s="35" t="s">
        <v>1117</v>
      </c>
      <c r="G119" s="37"/>
      <c r="H119" s="37"/>
      <c r="I119" s="37"/>
      <c r="J119" s="37"/>
      <c r="K119" s="21" t="str">
        <f t="shared" si="121"/>
        <v>Apprenant 107</v>
      </c>
      <c r="L119" s="22" t="str">
        <f t="shared" si="122"/>
        <v/>
      </c>
      <c r="M119" s="22" t="str">
        <f t="shared" si="123"/>
        <v/>
      </c>
      <c r="N119" s="22" t="str">
        <f t="shared" si="124"/>
        <v/>
      </c>
      <c r="O119" s="22" t="str">
        <f t="shared" si="125"/>
        <v/>
      </c>
      <c r="P119" s="21" t="str">
        <f t="shared" si="126"/>
        <v>Apprenant 107 ou 107'</v>
      </c>
      <c r="Q119" s="22" t="str">
        <f t="shared" si="127"/>
        <v/>
      </c>
      <c r="R119" s="22" t="str">
        <f t="shared" si="128"/>
        <v/>
      </c>
      <c r="S119" s="22" t="str">
        <f t="shared" si="129"/>
        <v/>
      </c>
      <c r="T119" s="22" t="str">
        <f t="shared" si="130"/>
        <v/>
      </c>
      <c r="V119" s="21" t="str">
        <f t="shared" si="131"/>
        <v>Apprenant 107</v>
      </c>
      <c r="W119" s="22" t="str">
        <f>IF(AND(OR('Choix pédagogiques'!$C$3=1,'Choix pédagogiques'!$C$3=2),$BM119=1),B119,IF(AND('Choix pédagogiques'!$C$3=3,$BO119=1),B119,""))</f>
        <v/>
      </c>
      <c r="X119" s="22" t="str">
        <f>IF(AND(OR('Choix pédagogiques'!$C$3=1,'Choix pédagogiques'!$C$3=2),$BM119=1),C119,IF(AND('Choix pédagogiques'!$C$3=3,$BO119=1),C119,""))</f>
        <v/>
      </c>
      <c r="Y119" s="22" t="str">
        <f>IF(AND(OR('Choix pédagogiques'!$C$3=1,'Choix pédagogiques'!$C$3=2),$BM119=1),D119,IF(AND('Choix pédagogiques'!$C$3=3,$BO119=1),D119,""))</f>
        <v/>
      </c>
      <c r="Z119" s="22" t="str">
        <f t="shared" si="132"/>
        <v/>
      </c>
      <c r="AA119" s="21" t="str">
        <f t="shared" si="133"/>
        <v>Apprenant 107 ou 107'</v>
      </c>
      <c r="AB119" s="22" t="str">
        <f>IF(AND(OR('Choix pédagogiques'!$C$3=1,'Choix pédagogiques'!$C$3=2),$BN119=1),G119,IF(AND('Choix pédagogiques'!$C$3=3,$BO119=1),G119,""))</f>
        <v/>
      </c>
      <c r="AC119" s="22" t="str">
        <f>IF(AND(OR('Choix pédagogiques'!$C$3=1,'Choix pédagogiques'!$C$3=2),$BN119=1),H119,IF(AND('Choix pédagogiques'!$C$3=3,$BO119=1),H119,""))</f>
        <v/>
      </c>
      <c r="AD119" s="22" t="str">
        <f>IF(AND(OR('Choix pédagogiques'!$C$3=1,'Choix pédagogiques'!$C$3=2),$BN119=1),I119,IF(AND('Choix pédagogiques'!$C$3=3,$BO119=1),I119,""))</f>
        <v/>
      </c>
      <c r="AE119" s="22" t="str">
        <f t="shared" si="134"/>
        <v/>
      </c>
      <c r="AF119" s="21" t="str">
        <f t="shared" si="135"/>
        <v>Apprenant 107</v>
      </c>
      <c r="AG119" s="22" t="str">
        <f t="shared" si="109"/>
        <v/>
      </c>
      <c r="AH119" s="22" t="str">
        <f t="shared" si="110"/>
        <v/>
      </c>
      <c r="AI119" s="22" t="str">
        <f t="shared" si="111"/>
        <v/>
      </c>
      <c r="AJ119" s="22" t="str">
        <f t="shared" si="136"/>
        <v/>
      </c>
      <c r="AK119" s="21" t="str">
        <f t="shared" si="137"/>
        <v>Apprenant 107 ou 107'</v>
      </c>
      <c r="AL119" s="22" t="str">
        <f t="shared" si="112"/>
        <v/>
      </c>
      <c r="AM119" s="22" t="str">
        <f t="shared" si="113"/>
        <v/>
      </c>
      <c r="AN119" s="22" t="str">
        <f t="shared" si="114"/>
        <v/>
      </c>
      <c r="AO119" s="22" t="str">
        <f t="shared" si="138"/>
        <v/>
      </c>
      <c r="AQ119" s="21" t="str">
        <f t="shared" si="139"/>
        <v>Apprenant 107</v>
      </c>
      <c r="AR119" s="49" t="str">
        <f>IF(AND('Choix pédagogiques'!$C$4&lt;&gt;"?",'Choix pédagogiques'!$C$5&lt;&gt;"?",W119&lt;&gt;""),(W119-'Choix pédagogiques'!$C$4)/('Choix pédagogiques'!$C$5-'Choix pédagogiques'!$C$4),"")</f>
        <v/>
      </c>
      <c r="AS119" s="49" t="str">
        <f>IF(AND('Choix pédagogiques'!$C$4&lt;&gt;"?",'Choix pédagogiques'!$C$5&lt;&gt;"?",X119&lt;&gt;""),(X119-'Choix pédagogiques'!$C$4)/('Choix pédagogiques'!$C$5-'Choix pédagogiques'!$C$4),"")</f>
        <v/>
      </c>
      <c r="AT119" s="49" t="str">
        <f>IF(AND('Choix pédagogiques'!$C$4&lt;&gt;"?",'Choix pédagogiques'!$C$5&lt;&gt;"?",Y119&lt;&gt;""),(Y119-'Choix pédagogiques'!$C$4)/('Choix pédagogiques'!$C$5-'Choix pédagogiques'!$C$4),"")</f>
        <v/>
      </c>
      <c r="AU119" s="22" t="str">
        <f t="shared" si="140"/>
        <v/>
      </c>
      <c r="AV119" s="21" t="str">
        <f t="shared" si="141"/>
        <v>Apprenant 107 ou 107'</v>
      </c>
      <c r="AW119" s="49" t="str">
        <f>IF(AND('Choix pédagogiques'!$C$4&lt;&gt;"?",'Choix pédagogiques'!$C$5&lt;&gt;"?",AB119&lt;&gt;""),(AB119-'Choix pédagogiques'!$C$4)/('Choix pédagogiques'!$C$5-'Choix pédagogiques'!$C$4),"")</f>
        <v/>
      </c>
      <c r="AX119" s="49" t="str">
        <f>IF(AND('Choix pédagogiques'!$C$4&lt;&gt;"?",'Choix pédagogiques'!$C$5&lt;&gt;"?",AC119&lt;&gt;""),(AC119-'Choix pédagogiques'!$C$4)/('Choix pédagogiques'!$C$5-'Choix pédagogiques'!$C$4),"")</f>
        <v/>
      </c>
      <c r="AY119" s="49" t="str">
        <f>IF(AND('Choix pédagogiques'!$C$4&lt;&gt;"?",'Choix pédagogiques'!$C$5&lt;&gt;"?",AD119&lt;&gt;""),(AD119-'Choix pédagogiques'!$C$4)/('Choix pédagogiques'!$C$5-'Choix pédagogiques'!$C$4),"")</f>
        <v/>
      </c>
      <c r="AZ119" s="22" t="str">
        <f t="shared" si="142"/>
        <v/>
      </c>
      <c r="BA119" s="21" t="str">
        <f t="shared" si="143"/>
        <v>Apprenant 107</v>
      </c>
      <c r="BB119" s="49" t="str">
        <f t="shared" si="115"/>
        <v/>
      </c>
      <c r="BC119" s="49" t="str">
        <f t="shared" si="116"/>
        <v/>
      </c>
      <c r="BD119" s="49" t="str">
        <f t="shared" si="117"/>
        <v/>
      </c>
      <c r="BE119" s="22" t="str">
        <f t="shared" si="144"/>
        <v/>
      </c>
      <c r="BF119" s="21" t="str">
        <f t="shared" si="145"/>
        <v>Apprenant 107 ou 107'</v>
      </c>
      <c r="BG119" s="49" t="str">
        <f t="shared" si="118"/>
        <v/>
      </c>
      <c r="BH119" s="49" t="str">
        <f t="shared" si="119"/>
        <v/>
      </c>
      <c r="BI119" s="49" t="str">
        <f t="shared" si="120"/>
        <v/>
      </c>
      <c r="BJ119" s="22" t="str">
        <f t="shared" si="146"/>
        <v/>
      </c>
      <c r="BL119" s="21"/>
      <c r="BM119" s="21" t="str">
        <f>IF(OR(COUNT(B119:D1118)=0,AND('Choix pédagogiques'!$C$3&lt;&gt;1,'Choix pédagogiques'!$C$3&lt;&gt;2)),"",IF(AND(OR('Choix pédagogiques'!$C$3=1,'Choix pédagogiques'!$C$3=2),$B119&lt;&gt;"",$C119&lt;&gt;"",$D119&lt;&gt;""),1,0))</f>
        <v/>
      </c>
      <c r="BN119" s="21" t="str">
        <f>IF(OR(COUNT(G119:I1118)=0,AND('Choix pédagogiques'!$C$3&lt;&gt;1,'Choix pédagogiques'!$C$3&lt;&gt;2)),"",IF(AND(OR('Choix pédagogiques'!$C$3=1,'Choix pédagogiques'!$C$3=2),AND($G119&lt;&gt;"",$H119&lt;&gt;"",$I119&lt;&gt;"")),1,0))</f>
        <v/>
      </c>
      <c r="BO119" s="21" t="str">
        <f>IF(OR(COUNT(B119:D1118)=0,COUNT(G119:I1118)=0,'Choix pédagogiques'!C$3&lt;&gt;3),"",IF(AND('Choix pédagogiques'!$C$3=3,$B119&lt;&gt;"",$C119&lt;&gt;"",$D119&lt;&gt;"",$G119&lt;&gt;"",$H119&lt;&gt;"",$I119&lt;&gt;""),1,0))</f>
        <v/>
      </c>
      <c r="BR119" s="21">
        <v>860</v>
      </c>
      <c r="BS119" s="21">
        <v>1404</v>
      </c>
      <c r="BT119"/>
    </row>
    <row r="120" spans="1:72" s="23" customFormat="1" ht="18" customHeight="1" x14ac:dyDescent="0.3">
      <c r="A120" s="35" t="s">
        <v>110</v>
      </c>
      <c r="B120" s="37"/>
      <c r="C120" s="37"/>
      <c r="D120" s="37"/>
      <c r="E120" s="37"/>
      <c r="F120" s="35" t="s">
        <v>1118</v>
      </c>
      <c r="G120" s="37"/>
      <c r="H120" s="37"/>
      <c r="I120" s="37"/>
      <c r="J120" s="37"/>
      <c r="K120" s="21" t="str">
        <f t="shared" si="121"/>
        <v>Apprenant 108</v>
      </c>
      <c r="L120" s="22" t="str">
        <f t="shared" si="122"/>
        <v/>
      </c>
      <c r="M120" s="22" t="str">
        <f t="shared" si="123"/>
        <v/>
      </c>
      <c r="N120" s="22" t="str">
        <f t="shared" si="124"/>
        <v/>
      </c>
      <c r="O120" s="22" t="str">
        <f t="shared" si="125"/>
        <v/>
      </c>
      <c r="P120" s="21" t="str">
        <f t="shared" si="126"/>
        <v>Apprenant 108 ou 108'</v>
      </c>
      <c r="Q120" s="22" t="str">
        <f t="shared" si="127"/>
        <v/>
      </c>
      <c r="R120" s="22" t="str">
        <f t="shared" si="128"/>
        <v/>
      </c>
      <c r="S120" s="22" t="str">
        <f t="shared" si="129"/>
        <v/>
      </c>
      <c r="T120" s="22" t="str">
        <f t="shared" si="130"/>
        <v/>
      </c>
      <c r="V120" s="21" t="str">
        <f t="shared" si="131"/>
        <v>Apprenant 108</v>
      </c>
      <c r="W120" s="22" t="str">
        <f>IF(AND(OR('Choix pédagogiques'!$C$3=1,'Choix pédagogiques'!$C$3=2),$BM120=1),B120,IF(AND('Choix pédagogiques'!$C$3=3,$BO120=1),B120,""))</f>
        <v/>
      </c>
      <c r="X120" s="22" t="str">
        <f>IF(AND(OR('Choix pédagogiques'!$C$3=1,'Choix pédagogiques'!$C$3=2),$BM120=1),C120,IF(AND('Choix pédagogiques'!$C$3=3,$BO120=1),C120,""))</f>
        <v/>
      </c>
      <c r="Y120" s="22" t="str">
        <f>IF(AND(OR('Choix pédagogiques'!$C$3=1,'Choix pédagogiques'!$C$3=2),$BM120=1),D120,IF(AND('Choix pédagogiques'!$C$3=3,$BO120=1),D120,""))</f>
        <v/>
      </c>
      <c r="Z120" s="22" t="str">
        <f t="shared" si="132"/>
        <v/>
      </c>
      <c r="AA120" s="21" t="str">
        <f t="shared" si="133"/>
        <v>Apprenant 108 ou 108'</v>
      </c>
      <c r="AB120" s="22" t="str">
        <f>IF(AND(OR('Choix pédagogiques'!$C$3=1,'Choix pédagogiques'!$C$3=2),$BN120=1),G120,IF(AND('Choix pédagogiques'!$C$3=3,$BO120=1),G120,""))</f>
        <v/>
      </c>
      <c r="AC120" s="22" t="str">
        <f>IF(AND(OR('Choix pédagogiques'!$C$3=1,'Choix pédagogiques'!$C$3=2),$BN120=1),H120,IF(AND('Choix pédagogiques'!$C$3=3,$BO120=1),H120,""))</f>
        <v/>
      </c>
      <c r="AD120" s="22" t="str">
        <f>IF(AND(OR('Choix pédagogiques'!$C$3=1,'Choix pédagogiques'!$C$3=2),$BN120=1),I120,IF(AND('Choix pédagogiques'!$C$3=3,$BO120=1),I120,""))</f>
        <v/>
      </c>
      <c r="AE120" s="22" t="str">
        <f t="shared" si="134"/>
        <v/>
      </c>
      <c r="AF120" s="21" t="str">
        <f t="shared" si="135"/>
        <v>Apprenant 108</v>
      </c>
      <c r="AG120" s="22" t="str">
        <f t="shared" si="109"/>
        <v/>
      </c>
      <c r="AH120" s="22" t="str">
        <f t="shared" si="110"/>
        <v/>
      </c>
      <c r="AI120" s="22" t="str">
        <f t="shared" si="111"/>
        <v/>
      </c>
      <c r="AJ120" s="22" t="str">
        <f t="shared" si="136"/>
        <v/>
      </c>
      <c r="AK120" s="21" t="str">
        <f t="shared" si="137"/>
        <v>Apprenant 108 ou 108'</v>
      </c>
      <c r="AL120" s="22" t="str">
        <f t="shared" si="112"/>
        <v/>
      </c>
      <c r="AM120" s="22" t="str">
        <f t="shared" si="113"/>
        <v/>
      </c>
      <c r="AN120" s="22" t="str">
        <f t="shared" si="114"/>
        <v/>
      </c>
      <c r="AO120" s="22" t="str">
        <f t="shared" si="138"/>
        <v/>
      </c>
      <c r="AQ120" s="21" t="str">
        <f t="shared" si="139"/>
        <v>Apprenant 108</v>
      </c>
      <c r="AR120" s="49" t="str">
        <f>IF(AND('Choix pédagogiques'!$C$4&lt;&gt;"?",'Choix pédagogiques'!$C$5&lt;&gt;"?",W120&lt;&gt;""),(W120-'Choix pédagogiques'!$C$4)/('Choix pédagogiques'!$C$5-'Choix pédagogiques'!$C$4),"")</f>
        <v/>
      </c>
      <c r="AS120" s="49" t="str">
        <f>IF(AND('Choix pédagogiques'!$C$4&lt;&gt;"?",'Choix pédagogiques'!$C$5&lt;&gt;"?",X120&lt;&gt;""),(X120-'Choix pédagogiques'!$C$4)/('Choix pédagogiques'!$C$5-'Choix pédagogiques'!$C$4),"")</f>
        <v/>
      </c>
      <c r="AT120" s="49" t="str">
        <f>IF(AND('Choix pédagogiques'!$C$4&lt;&gt;"?",'Choix pédagogiques'!$C$5&lt;&gt;"?",Y120&lt;&gt;""),(Y120-'Choix pédagogiques'!$C$4)/('Choix pédagogiques'!$C$5-'Choix pédagogiques'!$C$4),"")</f>
        <v/>
      </c>
      <c r="AU120" s="22" t="str">
        <f t="shared" si="140"/>
        <v/>
      </c>
      <c r="AV120" s="21" t="str">
        <f t="shared" si="141"/>
        <v>Apprenant 108 ou 108'</v>
      </c>
      <c r="AW120" s="49" t="str">
        <f>IF(AND('Choix pédagogiques'!$C$4&lt;&gt;"?",'Choix pédagogiques'!$C$5&lt;&gt;"?",AB120&lt;&gt;""),(AB120-'Choix pédagogiques'!$C$4)/('Choix pédagogiques'!$C$5-'Choix pédagogiques'!$C$4),"")</f>
        <v/>
      </c>
      <c r="AX120" s="49" t="str">
        <f>IF(AND('Choix pédagogiques'!$C$4&lt;&gt;"?",'Choix pédagogiques'!$C$5&lt;&gt;"?",AC120&lt;&gt;""),(AC120-'Choix pédagogiques'!$C$4)/('Choix pédagogiques'!$C$5-'Choix pédagogiques'!$C$4),"")</f>
        <v/>
      </c>
      <c r="AY120" s="49" t="str">
        <f>IF(AND('Choix pédagogiques'!$C$4&lt;&gt;"?",'Choix pédagogiques'!$C$5&lt;&gt;"?",AD120&lt;&gt;""),(AD120-'Choix pédagogiques'!$C$4)/('Choix pédagogiques'!$C$5-'Choix pédagogiques'!$C$4),"")</f>
        <v/>
      </c>
      <c r="AZ120" s="22" t="str">
        <f t="shared" si="142"/>
        <v/>
      </c>
      <c r="BA120" s="21" t="str">
        <f t="shared" si="143"/>
        <v>Apprenant 108</v>
      </c>
      <c r="BB120" s="49" t="str">
        <f t="shared" si="115"/>
        <v/>
      </c>
      <c r="BC120" s="49" t="str">
        <f t="shared" si="116"/>
        <v/>
      </c>
      <c r="BD120" s="49" t="str">
        <f t="shared" si="117"/>
        <v/>
      </c>
      <c r="BE120" s="22" t="str">
        <f t="shared" si="144"/>
        <v/>
      </c>
      <c r="BF120" s="21" t="str">
        <f t="shared" si="145"/>
        <v>Apprenant 108 ou 108'</v>
      </c>
      <c r="BG120" s="49" t="str">
        <f t="shared" si="118"/>
        <v/>
      </c>
      <c r="BH120" s="49" t="str">
        <f t="shared" si="119"/>
        <v/>
      </c>
      <c r="BI120" s="49" t="str">
        <f t="shared" si="120"/>
        <v/>
      </c>
      <c r="BJ120" s="22" t="str">
        <f t="shared" si="146"/>
        <v/>
      </c>
      <c r="BL120" s="21"/>
      <c r="BM120" s="21" t="str">
        <f>IF(OR(COUNT(B120:D1119)=0,AND('Choix pédagogiques'!$C$3&lt;&gt;1,'Choix pédagogiques'!$C$3&lt;&gt;2)),"",IF(AND(OR('Choix pédagogiques'!$C$3=1,'Choix pédagogiques'!$C$3=2),$B120&lt;&gt;"",$C120&lt;&gt;"",$D120&lt;&gt;""),1,0))</f>
        <v/>
      </c>
      <c r="BN120" s="21" t="str">
        <f>IF(OR(COUNT(G120:I1119)=0,AND('Choix pédagogiques'!$C$3&lt;&gt;1,'Choix pédagogiques'!$C$3&lt;&gt;2)),"",IF(AND(OR('Choix pédagogiques'!$C$3=1,'Choix pédagogiques'!$C$3=2),AND($G120&lt;&gt;"",$H120&lt;&gt;"",$I120&lt;&gt;"")),1,0))</f>
        <v/>
      </c>
      <c r="BO120" s="21" t="str">
        <f>IF(OR(COUNT(B120:D1119)=0,COUNT(G120:I1119)=0,'Choix pédagogiques'!C$3&lt;&gt;3),"",IF(AND('Choix pédagogiques'!$C$3=3,$B120&lt;&gt;"",$C120&lt;&gt;"",$D120&lt;&gt;"",$G120&lt;&gt;"",$H120&lt;&gt;"",$I120&lt;&gt;""),1,0))</f>
        <v/>
      </c>
      <c r="BR120" s="21">
        <v>632</v>
      </c>
      <c r="BS120" s="21">
        <v>1942</v>
      </c>
      <c r="BT120"/>
    </row>
    <row r="121" spans="1:72" s="23" customFormat="1" ht="18" customHeight="1" x14ac:dyDescent="0.3">
      <c r="A121" s="35" t="s">
        <v>111</v>
      </c>
      <c r="B121" s="37"/>
      <c r="C121" s="37"/>
      <c r="D121" s="37"/>
      <c r="E121" s="37"/>
      <c r="F121" s="35" t="s">
        <v>1119</v>
      </c>
      <c r="G121" s="37"/>
      <c r="H121" s="37"/>
      <c r="I121" s="37"/>
      <c r="J121" s="37"/>
      <c r="K121" s="21" t="str">
        <f t="shared" si="121"/>
        <v>Apprenant 109</v>
      </c>
      <c r="L121" s="22" t="str">
        <f t="shared" si="122"/>
        <v/>
      </c>
      <c r="M121" s="22" t="str">
        <f t="shared" si="123"/>
        <v/>
      </c>
      <c r="N121" s="22" t="str">
        <f t="shared" si="124"/>
        <v/>
      </c>
      <c r="O121" s="22" t="str">
        <f t="shared" si="125"/>
        <v/>
      </c>
      <c r="P121" s="21" t="str">
        <f t="shared" si="126"/>
        <v>Apprenant 109 ou 109'</v>
      </c>
      <c r="Q121" s="22" t="str">
        <f t="shared" si="127"/>
        <v/>
      </c>
      <c r="R121" s="22" t="str">
        <f t="shared" si="128"/>
        <v/>
      </c>
      <c r="S121" s="22" t="str">
        <f t="shared" si="129"/>
        <v/>
      </c>
      <c r="T121" s="22" t="str">
        <f t="shared" si="130"/>
        <v/>
      </c>
      <c r="V121" s="21" t="str">
        <f t="shared" si="131"/>
        <v>Apprenant 109</v>
      </c>
      <c r="W121" s="22" t="str">
        <f>IF(AND(OR('Choix pédagogiques'!$C$3=1,'Choix pédagogiques'!$C$3=2),$BM121=1),B121,IF(AND('Choix pédagogiques'!$C$3=3,$BO121=1),B121,""))</f>
        <v/>
      </c>
      <c r="X121" s="22" t="str">
        <f>IF(AND(OR('Choix pédagogiques'!$C$3=1,'Choix pédagogiques'!$C$3=2),$BM121=1),C121,IF(AND('Choix pédagogiques'!$C$3=3,$BO121=1),C121,""))</f>
        <v/>
      </c>
      <c r="Y121" s="22" t="str">
        <f>IF(AND(OR('Choix pédagogiques'!$C$3=1,'Choix pédagogiques'!$C$3=2),$BM121=1),D121,IF(AND('Choix pédagogiques'!$C$3=3,$BO121=1),D121,""))</f>
        <v/>
      </c>
      <c r="Z121" s="22" t="str">
        <f t="shared" si="132"/>
        <v/>
      </c>
      <c r="AA121" s="21" t="str">
        <f t="shared" si="133"/>
        <v>Apprenant 109 ou 109'</v>
      </c>
      <c r="AB121" s="22" t="str">
        <f>IF(AND(OR('Choix pédagogiques'!$C$3=1,'Choix pédagogiques'!$C$3=2),$BN121=1),G121,IF(AND('Choix pédagogiques'!$C$3=3,$BO121=1),G121,""))</f>
        <v/>
      </c>
      <c r="AC121" s="22" t="str">
        <f>IF(AND(OR('Choix pédagogiques'!$C$3=1,'Choix pédagogiques'!$C$3=2),$BN121=1),H121,IF(AND('Choix pédagogiques'!$C$3=3,$BO121=1),H121,""))</f>
        <v/>
      </c>
      <c r="AD121" s="22" t="str">
        <f>IF(AND(OR('Choix pédagogiques'!$C$3=1,'Choix pédagogiques'!$C$3=2),$BN121=1),I121,IF(AND('Choix pédagogiques'!$C$3=3,$BO121=1),I121,""))</f>
        <v/>
      </c>
      <c r="AE121" s="22" t="str">
        <f t="shared" si="134"/>
        <v/>
      </c>
      <c r="AF121" s="21" t="str">
        <f t="shared" si="135"/>
        <v>Apprenant 109</v>
      </c>
      <c r="AG121" s="22" t="str">
        <f t="shared" si="109"/>
        <v/>
      </c>
      <c r="AH121" s="22" t="str">
        <f t="shared" si="110"/>
        <v/>
      </c>
      <c r="AI121" s="22" t="str">
        <f t="shared" si="111"/>
        <v/>
      </c>
      <c r="AJ121" s="22" t="str">
        <f t="shared" si="136"/>
        <v/>
      </c>
      <c r="AK121" s="21" t="str">
        <f t="shared" si="137"/>
        <v>Apprenant 109 ou 109'</v>
      </c>
      <c r="AL121" s="22" t="str">
        <f t="shared" si="112"/>
        <v/>
      </c>
      <c r="AM121" s="22" t="str">
        <f t="shared" si="113"/>
        <v/>
      </c>
      <c r="AN121" s="22" t="str">
        <f t="shared" si="114"/>
        <v/>
      </c>
      <c r="AO121" s="22" t="str">
        <f t="shared" si="138"/>
        <v/>
      </c>
      <c r="AQ121" s="21" t="str">
        <f t="shared" si="139"/>
        <v>Apprenant 109</v>
      </c>
      <c r="AR121" s="49" t="str">
        <f>IF(AND('Choix pédagogiques'!$C$4&lt;&gt;"?",'Choix pédagogiques'!$C$5&lt;&gt;"?",W121&lt;&gt;""),(W121-'Choix pédagogiques'!$C$4)/('Choix pédagogiques'!$C$5-'Choix pédagogiques'!$C$4),"")</f>
        <v/>
      </c>
      <c r="AS121" s="49" t="str">
        <f>IF(AND('Choix pédagogiques'!$C$4&lt;&gt;"?",'Choix pédagogiques'!$C$5&lt;&gt;"?",X121&lt;&gt;""),(X121-'Choix pédagogiques'!$C$4)/('Choix pédagogiques'!$C$5-'Choix pédagogiques'!$C$4),"")</f>
        <v/>
      </c>
      <c r="AT121" s="49" t="str">
        <f>IF(AND('Choix pédagogiques'!$C$4&lt;&gt;"?",'Choix pédagogiques'!$C$5&lt;&gt;"?",Y121&lt;&gt;""),(Y121-'Choix pédagogiques'!$C$4)/('Choix pédagogiques'!$C$5-'Choix pédagogiques'!$C$4),"")</f>
        <v/>
      </c>
      <c r="AU121" s="22" t="str">
        <f t="shared" si="140"/>
        <v/>
      </c>
      <c r="AV121" s="21" t="str">
        <f t="shared" si="141"/>
        <v>Apprenant 109 ou 109'</v>
      </c>
      <c r="AW121" s="49" t="str">
        <f>IF(AND('Choix pédagogiques'!$C$4&lt;&gt;"?",'Choix pédagogiques'!$C$5&lt;&gt;"?",AB121&lt;&gt;""),(AB121-'Choix pédagogiques'!$C$4)/('Choix pédagogiques'!$C$5-'Choix pédagogiques'!$C$4),"")</f>
        <v/>
      </c>
      <c r="AX121" s="49" t="str">
        <f>IF(AND('Choix pédagogiques'!$C$4&lt;&gt;"?",'Choix pédagogiques'!$C$5&lt;&gt;"?",AC121&lt;&gt;""),(AC121-'Choix pédagogiques'!$C$4)/('Choix pédagogiques'!$C$5-'Choix pédagogiques'!$C$4),"")</f>
        <v/>
      </c>
      <c r="AY121" s="49" t="str">
        <f>IF(AND('Choix pédagogiques'!$C$4&lt;&gt;"?",'Choix pédagogiques'!$C$5&lt;&gt;"?",AD121&lt;&gt;""),(AD121-'Choix pédagogiques'!$C$4)/('Choix pédagogiques'!$C$5-'Choix pédagogiques'!$C$4),"")</f>
        <v/>
      </c>
      <c r="AZ121" s="22" t="str">
        <f t="shared" si="142"/>
        <v/>
      </c>
      <c r="BA121" s="21" t="str">
        <f t="shared" si="143"/>
        <v>Apprenant 109</v>
      </c>
      <c r="BB121" s="49" t="str">
        <f t="shared" si="115"/>
        <v/>
      </c>
      <c r="BC121" s="49" t="str">
        <f t="shared" si="116"/>
        <v/>
      </c>
      <c r="BD121" s="49" t="str">
        <f t="shared" si="117"/>
        <v/>
      </c>
      <c r="BE121" s="22" t="str">
        <f t="shared" si="144"/>
        <v/>
      </c>
      <c r="BF121" s="21" t="str">
        <f t="shared" si="145"/>
        <v>Apprenant 109 ou 109'</v>
      </c>
      <c r="BG121" s="49" t="str">
        <f t="shared" si="118"/>
        <v/>
      </c>
      <c r="BH121" s="49" t="str">
        <f t="shared" si="119"/>
        <v/>
      </c>
      <c r="BI121" s="49" t="str">
        <f t="shared" si="120"/>
        <v/>
      </c>
      <c r="BJ121" s="22" t="str">
        <f t="shared" si="146"/>
        <v/>
      </c>
      <c r="BL121" s="21"/>
      <c r="BM121" s="21" t="str">
        <f>IF(OR(COUNT(B121:D1120)=0,AND('Choix pédagogiques'!$C$3&lt;&gt;1,'Choix pédagogiques'!$C$3&lt;&gt;2)),"",IF(AND(OR('Choix pédagogiques'!$C$3=1,'Choix pédagogiques'!$C$3=2),$B121&lt;&gt;"",$C121&lt;&gt;"",$D121&lt;&gt;""),1,0))</f>
        <v/>
      </c>
      <c r="BN121" s="21" t="str">
        <f>IF(OR(COUNT(G121:I1120)=0,AND('Choix pédagogiques'!$C$3&lt;&gt;1,'Choix pédagogiques'!$C$3&lt;&gt;2)),"",IF(AND(OR('Choix pédagogiques'!$C$3=1,'Choix pédagogiques'!$C$3=2),AND($G121&lt;&gt;"",$H121&lt;&gt;"",$I121&lt;&gt;"")),1,0))</f>
        <v/>
      </c>
      <c r="BO121" s="21" t="str">
        <f>IF(OR(COUNT(B121:D1120)=0,COUNT(G121:I1120)=0,'Choix pédagogiques'!C$3&lt;&gt;3),"",IF(AND('Choix pédagogiques'!$C$3=3,$B121&lt;&gt;"",$C121&lt;&gt;"",$D121&lt;&gt;"",$G121&lt;&gt;"",$H121&lt;&gt;"",$I121&lt;&gt;""),1,0))</f>
        <v/>
      </c>
      <c r="BR121" s="21">
        <v>546</v>
      </c>
      <c r="BS121" s="21">
        <v>1410</v>
      </c>
      <c r="BT121"/>
    </row>
    <row r="122" spans="1:72" s="23" customFormat="1" ht="18" customHeight="1" x14ac:dyDescent="0.3">
      <c r="A122" s="35" t="s">
        <v>112</v>
      </c>
      <c r="B122" s="37"/>
      <c r="C122" s="37"/>
      <c r="D122" s="37"/>
      <c r="E122" s="37"/>
      <c r="F122" s="35" t="s">
        <v>1120</v>
      </c>
      <c r="G122" s="37"/>
      <c r="H122" s="37"/>
      <c r="I122" s="37"/>
      <c r="J122" s="37"/>
      <c r="K122" s="21" t="str">
        <f t="shared" si="121"/>
        <v>Apprenant 110</v>
      </c>
      <c r="L122" s="22" t="str">
        <f t="shared" si="122"/>
        <v/>
      </c>
      <c r="M122" s="22" t="str">
        <f t="shared" si="123"/>
        <v/>
      </c>
      <c r="N122" s="22" t="str">
        <f t="shared" si="124"/>
        <v/>
      </c>
      <c r="O122" s="22" t="str">
        <f t="shared" si="125"/>
        <v/>
      </c>
      <c r="P122" s="21" t="str">
        <f t="shared" si="126"/>
        <v>Apprenant 110 ou 110'</v>
      </c>
      <c r="Q122" s="22" t="str">
        <f t="shared" si="127"/>
        <v/>
      </c>
      <c r="R122" s="22" t="str">
        <f t="shared" si="128"/>
        <v/>
      </c>
      <c r="S122" s="22" t="str">
        <f t="shared" si="129"/>
        <v/>
      </c>
      <c r="T122" s="22" t="str">
        <f t="shared" si="130"/>
        <v/>
      </c>
      <c r="V122" s="21" t="str">
        <f t="shared" si="131"/>
        <v>Apprenant 110</v>
      </c>
      <c r="W122" s="22" t="str">
        <f>IF(AND(OR('Choix pédagogiques'!$C$3=1,'Choix pédagogiques'!$C$3=2),$BM122=1),B122,IF(AND('Choix pédagogiques'!$C$3=3,$BO122=1),B122,""))</f>
        <v/>
      </c>
      <c r="X122" s="22" t="str">
        <f>IF(AND(OR('Choix pédagogiques'!$C$3=1,'Choix pédagogiques'!$C$3=2),$BM122=1),C122,IF(AND('Choix pédagogiques'!$C$3=3,$BO122=1),C122,""))</f>
        <v/>
      </c>
      <c r="Y122" s="22" t="str">
        <f>IF(AND(OR('Choix pédagogiques'!$C$3=1,'Choix pédagogiques'!$C$3=2),$BM122=1),D122,IF(AND('Choix pédagogiques'!$C$3=3,$BO122=1),D122,""))</f>
        <v/>
      </c>
      <c r="Z122" s="22" t="str">
        <f t="shared" si="132"/>
        <v/>
      </c>
      <c r="AA122" s="21" t="str">
        <f t="shared" si="133"/>
        <v>Apprenant 110 ou 110'</v>
      </c>
      <c r="AB122" s="22" t="str">
        <f>IF(AND(OR('Choix pédagogiques'!$C$3=1,'Choix pédagogiques'!$C$3=2),$BN122=1),G122,IF(AND('Choix pédagogiques'!$C$3=3,$BO122=1),G122,""))</f>
        <v/>
      </c>
      <c r="AC122" s="22" t="str">
        <f>IF(AND(OR('Choix pédagogiques'!$C$3=1,'Choix pédagogiques'!$C$3=2),$BN122=1),H122,IF(AND('Choix pédagogiques'!$C$3=3,$BO122=1),H122,""))</f>
        <v/>
      </c>
      <c r="AD122" s="22" t="str">
        <f>IF(AND(OR('Choix pédagogiques'!$C$3=1,'Choix pédagogiques'!$C$3=2),$BN122=1),I122,IF(AND('Choix pédagogiques'!$C$3=3,$BO122=1),I122,""))</f>
        <v/>
      </c>
      <c r="AE122" s="22" t="str">
        <f t="shared" si="134"/>
        <v/>
      </c>
      <c r="AF122" s="21" t="str">
        <f t="shared" si="135"/>
        <v>Apprenant 110</v>
      </c>
      <c r="AG122" s="22" t="str">
        <f t="shared" si="109"/>
        <v/>
      </c>
      <c r="AH122" s="22" t="str">
        <f t="shared" si="110"/>
        <v/>
      </c>
      <c r="AI122" s="22" t="str">
        <f t="shared" si="111"/>
        <v/>
      </c>
      <c r="AJ122" s="22" t="str">
        <f t="shared" si="136"/>
        <v/>
      </c>
      <c r="AK122" s="21" t="str">
        <f t="shared" si="137"/>
        <v>Apprenant 110 ou 110'</v>
      </c>
      <c r="AL122" s="22" t="str">
        <f t="shared" si="112"/>
        <v/>
      </c>
      <c r="AM122" s="22" t="str">
        <f t="shared" si="113"/>
        <v/>
      </c>
      <c r="AN122" s="22" t="str">
        <f t="shared" si="114"/>
        <v/>
      </c>
      <c r="AO122" s="22" t="str">
        <f t="shared" si="138"/>
        <v/>
      </c>
      <c r="AQ122" s="21" t="str">
        <f t="shared" si="139"/>
        <v>Apprenant 110</v>
      </c>
      <c r="AR122" s="49" t="str">
        <f>IF(AND('Choix pédagogiques'!$C$4&lt;&gt;"?",'Choix pédagogiques'!$C$5&lt;&gt;"?",W122&lt;&gt;""),(W122-'Choix pédagogiques'!$C$4)/('Choix pédagogiques'!$C$5-'Choix pédagogiques'!$C$4),"")</f>
        <v/>
      </c>
      <c r="AS122" s="49" t="str">
        <f>IF(AND('Choix pédagogiques'!$C$4&lt;&gt;"?",'Choix pédagogiques'!$C$5&lt;&gt;"?",X122&lt;&gt;""),(X122-'Choix pédagogiques'!$C$4)/('Choix pédagogiques'!$C$5-'Choix pédagogiques'!$C$4),"")</f>
        <v/>
      </c>
      <c r="AT122" s="49" t="str">
        <f>IF(AND('Choix pédagogiques'!$C$4&lt;&gt;"?",'Choix pédagogiques'!$C$5&lt;&gt;"?",Y122&lt;&gt;""),(Y122-'Choix pédagogiques'!$C$4)/('Choix pédagogiques'!$C$5-'Choix pédagogiques'!$C$4),"")</f>
        <v/>
      </c>
      <c r="AU122" s="22" t="str">
        <f t="shared" si="140"/>
        <v/>
      </c>
      <c r="AV122" s="21" t="str">
        <f t="shared" si="141"/>
        <v>Apprenant 110 ou 110'</v>
      </c>
      <c r="AW122" s="49" t="str">
        <f>IF(AND('Choix pédagogiques'!$C$4&lt;&gt;"?",'Choix pédagogiques'!$C$5&lt;&gt;"?",AB122&lt;&gt;""),(AB122-'Choix pédagogiques'!$C$4)/('Choix pédagogiques'!$C$5-'Choix pédagogiques'!$C$4),"")</f>
        <v/>
      </c>
      <c r="AX122" s="49" t="str">
        <f>IF(AND('Choix pédagogiques'!$C$4&lt;&gt;"?",'Choix pédagogiques'!$C$5&lt;&gt;"?",AC122&lt;&gt;""),(AC122-'Choix pédagogiques'!$C$4)/('Choix pédagogiques'!$C$5-'Choix pédagogiques'!$C$4),"")</f>
        <v/>
      </c>
      <c r="AY122" s="49" t="str">
        <f>IF(AND('Choix pédagogiques'!$C$4&lt;&gt;"?",'Choix pédagogiques'!$C$5&lt;&gt;"?",AD122&lt;&gt;""),(AD122-'Choix pédagogiques'!$C$4)/('Choix pédagogiques'!$C$5-'Choix pédagogiques'!$C$4),"")</f>
        <v/>
      </c>
      <c r="AZ122" s="22" t="str">
        <f t="shared" si="142"/>
        <v/>
      </c>
      <c r="BA122" s="21" t="str">
        <f t="shared" si="143"/>
        <v>Apprenant 110</v>
      </c>
      <c r="BB122" s="49" t="str">
        <f t="shared" si="115"/>
        <v/>
      </c>
      <c r="BC122" s="49" t="str">
        <f t="shared" si="116"/>
        <v/>
      </c>
      <c r="BD122" s="49" t="str">
        <f t="shared" si="117"/>
        <v/>
      </c>
      <c r="BE122" s="22" t="str">
        <f t="shared" si="144"/>
        <v/>
      </c>
      <c r="BF122" s="21" t="str">
        <f t="shared" si="145"/>
        <v>Apprenant 110 ou 110'</v>
      </c>
      <c r="BG122" s="49" t="str">
        <f t="shared" si="118"/>
        <v/>
      </c>
      <c r="BH122" s="49" t="str">
        <f t="shared" si="119"/>
        <v/>
      </c>
      <c r="BI122" s="49" t="str">
        <f t="shared" si="120"/>
        <v/>
      </c>
      <c r="BJ122" s="22" t="str">
        <f t="shared" si="146"/>
        <v/>
      </c>
      <c r="BL122" s="21"/>
      <c r="BM122" s="21" t="str">
        <f>IF(OR(COUNT(B122:D1121)=0,AND('Choix pédagogiques'!$C$3&lt;&gt;1,'Choix pédagogiques'!$C$3&lt;&gt;2)),"",IF(AND(OR('Choix pédagogiques'!$C$3=1,'Choix pédagogiques'!$C$3=2),$B122&lt;&gt;"",$C122&lt;&gt;"",$D122&lt;&gt;""),1,0))</f>
        <v/>
      </c>
      <c r="BN122" s="21" t="str">
        <f>IF(OR(COUNT(G122:I1121)=0,AND('Choix pédagogiques'!$C$3&lt;&gt;1,'Choix pédagogiques'!$C$3&lt;&gt;2)),"",IF(AND(OR('Choix pédagogiques'!$C$3=1,'Choix pédagogiques'!$C$3=2),AND($G122&lt;&gt;"",$H122&lt;&gt;"",$I122&lt;&gt;"")),1,0))</f>
        <v/>
      </c>
      <c r="BO122" s="21" t="str">
        <f>IF(OR(COUNT(B122:D1121)=0,COUNT(G122:I1121)=0,'Choix pédagogiques'!C$3&lt;&gt;3),"",IF(AND('Choix pédagogiques'!$C$3=3,$B122&lt;&gt;"",$C122&lt;&gt;"",$D122&lt;&gt;"",$G122&lt;&gt;"",$H122&lt;&gt;"",$I122&lt;&gt;""),1,0))</f>
        <v/>
      </c>
      <c r="BR122" s="21">
        <v>760</v>
      </c>
      <c r="BS122" s="21">
        <v>1937</v>
      </c>
      <c r="BT122"/>
    </row>
    <row r="123" spans="1:72" s="23" customFormat="1" ht="18" customHeight="1" x14ac:dyDescent="0.3">
      <c r="A123" s="35" t="s">
        <v>113</v>
      </c>
      <c r="B123" s="37"/>
      <c r="C123" s="37"/>
      <c r="D123" s="37"/>
      <c r="E123" s="37"/>
      <c r="F123" s="35" t="s">
        <v>1121</v>
      </c>
      <c r="G123" s="37"/>
      <c r="H123" s="37"/>
      <c r="I123" s="37"/>
      <c r="J123" s="37"/>
      <c r="K123" s="21" t="str">
        <f t="shared" si="121"/>
        <v>Apprenant 111</v>
      </c>
      <c r="L123" s="22" t="str">
        <f t="shared" si="122"/>
        <v/>
      </c>
      <c r="M123" s="22" t="str">
        <f t="shared" si="123"/>
        <v/>
      </c>
      <c r="N123" s="22" t="str">
        <f t="shared" si="124"/>
        <v/>
      </c>
      <c r="O123" s="22" t="str">
        <f t="shared" si="125"/>
        <v/>
      </c>
      <c r="P123" s="21" t="str">
        <f t="shared" si="126"/>
        <v>Apprenant 111 ou 111'</v>
      </c>
      <c r="Q123" s="22" t="str">
        <f t="shared" si="127"/>
        <v/>
      </c>
      <c r="R123" s="22" t="str">
        <f t="shared" si="128"/>
        <v/>
      </c>
      <c r="S123" s="22" t="str">
        <f t="shared" si="129"/>
        <v/>
      </c>
      <c r="T123" s="22" t="str">
        <f t="shared" si="130"/>
        <v/>
      </c>
      <c r="V123" s="21" t="str">
        <f t="shared" si="131"/>
        <v>Apprenant 111</v>
      </c>
      <c r="W123" s="22" t="str">
        <f>IF(AND(OR('Choix pédagogiques'!$C$3=1,'Choix pédagogiques'!$C$3=2),$BM123=1),B123,IF(AND('Choix pédagogiques'!$C$3=3,$BO123=1),B123,""))</f>
        <v/>
      </c>
      <c r="X123" s="22" t="str">
        <f>IF(AND(OR('Choix pédagogiques'!$C$3=1,'Choix pédagogiques'!$C$3=2),$BM123=1),C123,IF(AND('Choix pédagogiques'!$C$3=3,$BO123=1),C123,""))</f>
        <v/>
      </c>
      <c r="Y123" s="22" t="str">
        <f>IF(AND(OR('Choix pédagogiques'!$C$3=1,'Choix pédagogiques'!$C$3=2),$BM123=1),D123,IF(AND('Choix pédagogiques'!$C$3=3,$BO123=1),D123,""))</f>
        <v/>
      </c>
      <c r="Z123" s="22" t="str">
        <f t="shared" si="132"/>
        <v/>
      </c>
      <c r="AA123" s="21" t="str">
        <f t="shared" si="133"/>
        <v>Apprenant 111 ou 111'</v>
      </c>
      <c r="AB123" s="22" t="str">
        <f>IF(AND(OR('Choix pédagogiques'!$C$3=1,'Choix pédagogiques'!$C$3=2),$BN123=1),G123,IF(AND('Choix pédagogiques'!$C$3=3,$BO123=1),G123,""))</f>
        <v/>
      </c>
      <c r="AC123" s="22" t="str">
        <f>IF(AND(OR('Choix pédagogiques'!$C$3=1,'Choix pédagogiques'!$C$3=2),$BN123=1),H123,IF(AND('Choix pédagogiques'!$C$3=3,$BO123=1),H123,""))</f>
        <v/>
      </c>
      <c r="AD123" s="22" t="str">
        <f>IF(AND(OR('Choix pédagogiques'!$C$3=1,'Choix pédagogiques'!$C$3=2),$BN123=1),I123,IF(AND('Choix pédagogiques'!$C$3=3,$BO123=1),I123,""))</f>
        <v/>
      </c>
      <c r="AE123" s="22" t="str">
        <f t="shared" si="134"/>
        <v/>
      </c>
      <c r="AF123" s="21" t="str">
        <f t="shared" si="135"/>
        <v>Apprenant 111</v>
      </c>
      <c r="AG123" s="22" t="str">
        <f t="shared" si="109"/>
        <v/>
      </c>
      <c r="AH123" s="22" t="str">
        <f t="shared" si="110"/>
        <v/>
      </c>
      <c r="AI123" s="22" t="str">
        <f t="shared" si="111"/>
        <v/>
      </c>
      <c r="AJ123" s="22" t="str">
        <f t="shared" si="136"/>
        <v/>
      </c>
      <c r="AK123" s="21" t="str">
        <f t="shared" si="137"/>
        <v>Apprenant 111 ou 111'</v>
      </c>
      <c r="AL123" s="22" t="str">
        <f t="shared" si="112"/>
        <v/>
      </c>
      <c r="AM123" s="22" t="str">
        <f t="shared" si="113"/>
        <v/>
      </c>
      <c r="AN123" s="22" t="str">
        <f t="shared" si="114"/>
        <v/>
      </c>
      <c r="AO123" s="22" t="str">
        <f t="shared" si="138"/>
        <v/>
      </c>
      <c r="AQ123" s="21" t="str">
        <f t="shared" si="139"/>
        <v>Apprenant 111</v>
      </c>
      <c r="AR123" s="49" t="str">
        <f>IF(AND('Choix pédagogiques'!$C$4&lt;&gt;"?",'Choix pédagogiques'!$C$5&lt;&gt;"?",W123&lt;&gt;""),(W123-'Choix pédagogiques'!$C$4)/('Choix pédagogiques'!$C$5-'Choix pédagogiques'!$C$4),"")</f>
        <v/>
      </c>
      <c r="AS123" s="49" t="str">
        <f>IF(AND('Choix pédagogiques'!$C$4&lt;&gt;"?",'Choix pédagogiques'!$C$5&lt;&gt;"?",X123&lt;&gt;""),(X123-'Choix pédagogiques'!$C$4)/('Choix pédagogiques'!$C$5-'Choix pédagogiques'!$C$4),"")</f>
        <v/>
      </c>
      <c r="AT123" s="49" t="str">
        <f>IF(AND('Choix pédagogiques'!$C$4&lt;&gt;"?",'Choix pédagogiques'!$C$5&lt;&gt;"?",Y123&lt;&gt;""),(Y123-'Choix pédagogiques'!$C$4)/('Choix pédagogiques'!$C$5-'Choix pédagogiques'!$C$4),"")</f>
        <v/>
      </c>
      <c r="AU123" s="22" t="str">
        <f t="shared" si="140"/>
        <v/>
      </c>
      <c r="AV123" s="21" t="str">
        <f t="shared" si="141"/>
        <v>Apprenant 111 ou 111'</v>
      </c>
      <c r="AW123" s="49" t="str">
        <f>IF(AND('Choix pédagogiques'!$C$4&lt;&gt;"?",'Choix pédagogiques'!$C$5&lt;&gt;"?",AB123&lt;&gt;""),(AB123-'Choix pédagogiques'!$C$4)/('Choix pédagogiques'!$C$5-'Choix pédagogiques'!$C$4),"")</f>
        <v/>
      </c>
      <c r="AX123" s="49" t="str">
        <f>IF(AND('Choix pédagogiques'!$C$4&lt;&gt;"?",'Choix pédagogiques'!$C$5&lt;&gt;"?",AC123&lt;&gt;""),(AC123-'Choix pédagogiques'!$C$4)/('Choix pédagogiques'!$C$5-'Choix pédagogiques'!$C$4),"")</f>
        <v/>
      </c>
      <c r="AY123" s="49" t="str">
        <f>IF(AND('Choix pédagogiques'!$C$4&lt;&gt;"?",'Choix pédagogiques'!$C$5&lt;&gt;"?",AD123&lt;&gt;""),(AD123-'Choix pédagogiques'!$C$4)/('Choix pédagogiques'!$C$5-'Choix pédagogiques'!$C$4),"")</f>
        <v/>
      </c>
      <c r="AZ123" s="22" t="str">
        <f t="shared" si="142"/>
        <v/>
      </c>
      <c r="BA123" s="21" t="str">
        <f t="shared" si="143"/>
        <v>Apprenant 111</v>
      </c>
      <c r="BB123" s="49" t="str">
        <f t="shared" si="115"/>
        <v/>
      </c>
      <c r="BC123" s="49" t="str">
        <f t="shared" si="116"/>
        <v/>
      </c>
      <c r="BD123" s="49" t="str">
        <f t="shared" si="117"/>
        <v/>
      </c>
      <c r="BE123" s="22" t="str">
        <f t="shared" si="144"/>
        <v/>
      </c>
      <c r="BF123" s="21" t="str">
        <f t="shared" si="145"/>
        <v>Apprenant 111 ou 111'</v>
      </c>
      <c r="BG123" s="49" t="str">
        <f t="shared" si="118"/>
        <v/>
      </c>
      <c r="BH123" s="49" t="str">
        <f t="shared" si="119"/>
        <v/>
      </c>
      <c r="BI123" s="49" t="str">
        <f t="shared" si="120"/>
        <v/>
      </c>
      <c r="BJ123" s="22" t="str">
        <f t="shared" si="146"/>
        <v/>
      </c>
      <c r="BL123" s="21"/>
      <c r="BM123" s="21" t="str">
        <f>IF(OR(COUNT(B123:D1122)=0,AND('Choix pédagogiques'!$C$3&lt;&gt;1,'Choix pédagogiques'!$C$3&lt;&gt;2)),"",IF(AND(OR('Choix pédagogiques'!$C$3=1,'Choix pédagogiques'!$C$3=2),$B123&lt;&gt;"",$C123&lt;&gt;"",$D123&lt;&gt;""),1,0))</f>
        <v/>
      </c>
      <c r="BN123" s="21" t="str">
        <f>IF(OR(COUNT(G123:I1122)=0,AND('Choix pédagogiques'!$C$3&lt;&gt;1,'Choix pédagogiques'!$C$3&lt;&gt;2)),"",IF(AND(OR('Choix pédagogiques'!$C$3=1,'Choix pédagogiques'!$C$3=2),AND($G123&lt;&gt;"",$H123&lt;&gt;"",$I123&lt;&gt;"")),1,0))</f>
        <v/>
      </c>
      <c r="BO123" s="21" t="str">
        <f>IF(OR(COUNT(B123:D1122)=0,COUNT(G123:I1122)=0,'Choix pédagogiques'!C$3&lt;&gt;3),"",IF(AND('Choix pédagogiques'!$C$3=3,$B123&lt;&gt;"",$C123&lt;&gt;"",$D123&lt;&gt;"",$G123&lt;&gt;"",$H123&lt;&gt;"",$I123&lt;&gt;""),1,0))</f>
        <v/>
      </c>
      <c r="BR123" s="21">
        <v>882</v>
      </c>
      <c r="BS123" s="21">
        <v>1834</v>
      </c>
      <c r="BT123"/>
    </row>
    <row r="124" spans="1:72" s="23" customFormat="1" ht="18" customHeight="1" x14ac:dyDescent="0.3">
      <c r="A124" s="35" t="s">
        <v>114</v>
      </c>
      <c r="B124" s="37"/>
      <c r="C124" s="37"/>
      <c r="D124" s="37"/>
      <c r="E124" s="37"/>
      <c r="F124" s="35" t="s">
        <v>1122</v>
      </c>
      <c r="G124" s="37"/>
      <c r="H124" s="37"/>
      <c r="I124" s="37"/>
      <c r="J124" s="37"/>
      <c r="K124" s="21" t="str">
        <f t="shared" si="121"/>
        <v>Apprenant 112</v>
      </c>
      <c r="L124" s="22" t="str">
        <f t="shared" si="122"/>
        <v/>
      </c>
      <c r="M124" s="22" t="str">
        <f t="shared" si="123"/>
        <v/>
      </c>
      <c r="N124" s="22" t="str">
        <f t="shared" si="124"/>
        <v/>
      </c>
      <c r="O124" s="22" t="str">
        <f t="shared" si="125"/>
        <v/>
      </c>
      <c r="P124" s="21" t="str">
        <f t="shared" si="126"/>
        <v>Apprenant 112 ou 112'</v>
      </c>
      <c r="Q124" s="22" t="str">
        <f t="shared" si="127"/>
        <v/>
      </c>
      <c r="R124" s="22" t="str">
        <f t="shared" si="128"/>
        <v/>
      </c>
      <c r="S124" s="22" t="str">
        <f t="shared" si="129"/>
        <v/>
      </c>
      <c r="T124" s="22" t="str">
        <f t="shared" si="130"/>
        <v/>
      </c>
      <c r="V124" s="21" t="str">
        <f t="shared" si="131"/>
        <v>Apprenant 112</v>
      </c>
      <c r="W124" s="22" t="str">
        <f>IF(AND(OR('Choix pédagogiques'!$C$3=1,'Choix pédagogiques'!$C$3=2),$BM124=1),B124,IF(AND('Choix pédagogiques'!$C$3=3,$BO124=1),B124,""))</f>
        <v/>
      </c>
      <c r="X124" s="22" t="str">
        <f>IF(AND(OR('Choix pédagogiques'!$C$3=1,'Choix pédagogiques'!$C$3=2),$BM124=1),C124,IF(AND('Choix pédagogiques'!$C$3=3,$BO124=1),C124,""))</f>
        <v/>
      </c>
      <c r="Y124" s="22" t="str">
        <f>IF(AND(OR('Choix pédagogiques'!$C$3=1,'Choix pédagogiques'!$C$3=2),$BM124=1),D124,IF(AND('Choix pédagogiques'!$C$3=3,$BO124=1),D124,""))</f>
        <v/>
      </c>
      <c r="Z124" s="22" t="str">
        <f t="shared" si="132"/>
        <v/>
      </c>
      <c r="AA124" s="21" t="str">
        <f t="shared" si="133"/>
        <v>Apprenant 112 ou 112'</v>
      </c>
      <c r="AB124" s="22" t="str">
        <f>IF(AND(OR('Choix pédagogiques'!$C$3=1,'Choix pédagogiques'!$C$3=2),$BN124=1),G124,IF(AND('Choix pédagogiques'!$C$3=3,$BO124=1),G124,""))</f>
        <v/>
      </c>
      <c r="AC124" s="22" t="str">
        <f>IF(AND(OR('Choix pédagogiques'!$C$3=1,'Choix pédagogiques'!$C$3=2),$BN124=1),H124,IF(AND('Choix pédagogiques'!$C$3=3,$BO124=1),H124,""))</f>
        <v/>
      </c>
      <c r="AD124" s="22" t="str">
        <f>IF(AND(OR('Choix pédagogiques'!$C$3=1,'Choix pédagogiques'!$C$3=2),$BN124=1),I124,IF(AND('Choix pédagogiques'!$C$3=3,$BO124=1),I124,""))</f>
        <v/>
      </c>
      <c r="AE124" s="22" t="str">
        <f t="shared" si="134"/>
        <v/>
      </c>
      <c r="AF124" s="21" t="str">
        <f t="shared" si="135"/>
        <v>Apprenant 112</v>
      </c>
      <c r="AG124" s="22" t="str">
        <f t="shared" si="109"/>
        <v/>
      </c>
      <c r="AH124" s="22" t="str">
        <f t="shared" si="110"/>
        <v/>
      </c>
      <c r="AI124" s="22" t="str">
        <f t="shared" si="111"/>
        <v/>
      </c>
      <c r="AJ124" s="22" t="str">
        <f t="shared" si="136"/>
        <v/>
      </c>
      <c r="AK124" s="21" t="str">
        <f t="shared" si="137"/>
        <v>Apprenant 112 ou 112'</v>
      </c>
      <c r="AL124" s="22" t="str">
        <f t="shared" si="112"/>
        <v/>
      </c>
      <c r="AM124" s="22" t="str">
        <f t="shared" si="113"/>
        <v/>
      </c>
      <c r="AN124" s="22" t="str">
        <f t="shared" si="114"/>
        <v/>
      </c>
      <c r="AO124" s="22" t="str">
        <f t="shared" si="138"/>
        <v/>
      </c>
      <c r="AQ124" s="21" t="str">
        <f t="shared" si="139"/>
        <v>Apprenant 112</v>
      </c>
      <c r="AR124" s="49" t="str">
        <f>IF(AND('Choix pédagogiques'!$C$4&lt;&gt;"?",'Choix pédagogiques'!$C$5&lt;&gt;"?",W124&lt;&gt;""),(W124-'Choix pédagogiques'!$C$4)/('Choix pédagogiques'!$C$5-'Choix pédagogiques'!$C$4),"")</f>
        <v/>
      </c>
      <c r="AS124" s="49" t="str">
        <f>IF(AND('Choix pédagogiques'!$C$4&lt;&gt;"?",'Choix pédagogiques'!$C$5&lt;&gt;"?",X124&lt;&gt;""),(X124-'Choix pédagogiques'!$C$4)/('Choix pédagogiques'!$C$5-'Choix pédagogiques'!$C$4),"")</f>
        <v/>
      </c>
      <c r="AT124" s="49" t="str">
        <f>IF(AND('Choix pédagogiques'!$C$4&lt;&gt;"?",'Choix pédagogiques'!$C$5&lt;&gt;"?",Y124&lt;&gt;""),(Y124-'Choix pédagogiques'!$C$4)/('Choix pédagogiques'!$C$5-'Choix pédagogiques'!$C$4),"")</f>
        <v/>
      </c>
      <c r="AU124" s="22" t="str">
        <f t="shared" si="140"/>
        <v/>
      </c>
      <c r="AV124" s="21" t="str">
        <f t="shared" si="141"/>
        <v>Apprenant 112 ou 112'</v>
      </c>
      <c r="AW124" s="49" t="str">
        <f>IF(AND('Choix pédagogiques'!$C$4&lt;&gt;"?",'Choix pédagogiques'!$C$5&lt;&gt;"?",AB124&lt;&gt;""),(AB124-'Choix pédagogiques'!$C$4)/('Choix pédagogiques'!$C$5-'Choix pédagogiques'!$C$4),"")</f>
        <v/>
      </c>
      <c r="AX124" s="49" t="str">
        <f>IF(AND('Choix pédagogiques'!$C$4&lt;&gt;"?",'Choix pédagogiques'!$C$5&lt;&gt;"?",AC124&lt;&gt;""),(AC124-'Choix pédagogiques'!$C$4)/('Choix pédagogiques'!$C$5-'Choix pédagogiques'!$C$4),"")</f>
        <v/>
      </c>
      <c r="AY124" s="49" t="str">
        <f>IF(AND('Choix pédagogiques'!$C$4&lt;&gt;"?",'Choix pédagogiques'!$C$5&lt;&gt;"?",AD124&lt;&gt;""),(AD124-'Choix pédagogiques'!$C$4)/('Choix pédagogiques'!$C$5-'Choix pédagogiques'!$C$4),"")</f>
        <v/>
      </c>
      <c r="AZ124" s="22" t="str">
        <f t="shared" si="142"/>
        <v/>
      </c>
      <c r="BA124" s="21" t="str">
        <f t="shared" si="143"/>
        <v>Apprenant 112</v>
      </c>
      <c r="BB124" s="49" t="str">
        <f t="shared" si="115"/>
        <v/>
      </c>
      <c r="BC124" s="49" t="str">
        <f t="shared" si="116"/>
        <v/>
      </c>
      <c r="BD124" s="49" t="str">
        <f t="shared" si="117"/>
        <v/>
      </c>
      <c r="BE124" s="22" t="str">
        <f t="shared" si="144"/>
        <v/>
      </c>
      <c r="BF124" s="21" t="str">
        <f t="shared" si="145"/>
        <v>Apprenant 112 ou 112'</v>
      </c>
      <c r="BG124" s="49" t="str">
        <f t="shared" si="118"/>
        <v/>
      </c>
      <c r="BH124" s="49" t="str">
        <f t="shared" si="119"/>
        <v/>
      </c>
      <c r="BI124" s="49" t="str">
        <f t="shared" si="120"/>
        <v/>
      </c>
      <c r="BJ124" s="22" t="str">
        <f t="shared" si="146"/>
        <v/>
      </c>
      <c r="BL124" s="21"/>
      <c r="BM124" s="21" t="str">
        <f>IF(OR(COUNT(B124:D1123)=0,AND('Choix pédagogiques'!$C$3&lt;&gt;1,'Choix pédagogiques'!$C$3&lt;&gt;2)),"",IF(AND(OR('Choix pédagogiques'!$C$3=1,'Choix pédagogiques'!$C$3=2),$B124&lt;&gt;"",$C124&lt;&gt;"",$D124&lt;&gt;""),1,0))</f>
        <v/>
      </c>
      <c r="BN124" s="21" t="str">
        <f>IF(OR(COUNT(G124:I1123)=0,AND('Choix pédagogiques'!$C$3&lt;&gt;1,'Choix pédagogiques'!$C$3&lt;&gt;2)),"",IF(AND(OR('Choix pédagogiques'!$C$3=1,'Choix pédagogiques'!$C$3=2),AND($G124&lt;&gt;"",$H124&lt;&gt;"",$I124&lt;&gt;"")),1,0))</f>
        <v/>
      </c>
      <c r="BO124" s="21" t="str">
        <f>IF(OR(COUNT(B124:D1123)=0,COUNT(G124:I1123)=0,'Choix pédagogiques'!C$3&lt;&gt;3),"",IF(AND('Choix pédagogiques'!$C$3=3,$B124&lt;&gt;"",$C124&lt;&gt;"",$D124&lt;&gt;"",$G124&lt;&gt;"",$H124&lt;&gt;"",$I124&lt;&gt;""),1,0))</f>
        <v/>
      </c>
      <c r="BR124" s="21">
        <v>235</v>
      </c>
      <c r="BS124" s="21">
        <v>1550</v>
      </c>
      <c r="BT124"/>
    </row>
    <row r="125" spans="1:72" s="23" customFormat="1" ht="18" customHeight="1" x14ac:dyDescent="0.3">
      <c r="A125" s="35" t="s">
        <v>115</v>
      </c>
      <c r="B125" s="37"/>
      <c r="C125" s="37"/>
      <c r="D125" s="37"/>
      <c r="E125" s="37"/>
      <c r="F125" s="35" t="s">
        <v>1123</v>
      </c>
      <c r="G125" s="37"/>
      <c r="H125" s="37"/>
      <c r="I125" s="37"/>
      <c r="J125" s="37"/>
      <c r="K125" s="21" t="str">
        <f t="shared" si="121"/>
        <v>Apprenant 113</v>
      </c>
      <c r="L125" s="22" t="str">
        <f t="shared" si="122"/>
        <v/>
      </c>
      <c r="M125" s="22" t="str">
        <f t="shared" si="123"/>
        <v/>
      </c>
      <c r="N125" s="22" t="str">
        <f t="shared" si="124"/>
        <v/>
      </c>
      <c r="O125" s="22" t="str">
        <f t="shared" si="125"/>
        <v/>
      </c>
      <c r="P125" s="21" t="str">
        <f t="shared" si="126"/>
        <v>Apprenant 113 ou 113'</v>
      </c>
      <c r="Q125" s="22" t="str">
        <f t="shared" si="127"/>
        <v/>
      </c>
      <c r="R125" s="22" t="str">
        <f t="shared" si="128"/>
        <v/>
      </c>
      <c r="S125" s="22" t="str">
        <f t="shared" si="129"/>
        <v/>
      </c>
      <c r="T125" s="22" t="str">
        <f t="shared" si="130"/>
        <v/>
      </c>
      <c r="V125" s="21" t="str">
        <f t="shared" si="131"/>
        <v>Apprenant 113</v>
      </c>
      <c r="W125" s="22" t="str">
        <f>IF(AND(OR('Choix pédagogiques'!$C$3=1,'Choix pédagogiques'!$C$3=2),$BM125=1),B125,IF(AND('Choix pédagogiques'!$C$3=3,$BO125=1),B125,""))</f>
        <v/>
      </c>
      <c r="X125" s="22" t="str">
        <f>IF(AND(OR('Choix pédagogiques'!$C$3=1,'Choix pédagogiques'!$C$3=2),$BM125=1),C125,IF(AND('Choix pédagogiques'!$C$3=3,$BO125=1),C125,""))</f>
        <v/>
      </c>
      <c r="Y125" s="22" t="str">
        <f>IF(AND(OR('Choix pédagogiques'!$C$3=1,'Choix pédagogiques'!$C$3=2),$BM125=1),D125,IF(AND('Choix pédagogiques'!$C$3=3,$BO125=1),D125,""))</f>
        <v/>
      </c>
      <c r="Z125" s="22" t="str">
        <f t="shared" si="132"/>
        <v/>
      </c>
      <c r="AA125" s="21" t="str">
        <f t="shared" si="133"/>
        <v>Apprenant 113 ou 113'</v>
      </c>
      <c r="AB125" s="22" t="str">
        <f>IF(AND(OR('Choix pédagogiques'!$C$3=1,'Choix pédagogiques'!$C$3=2),$BN125=1),G125,IF(AND('Choix pédagogiques'!$C$3=3,$BO125=1),G125,""))</f>
        <v/>
      </c>
      <c r="AC125" s="22" t="str">
        <f>IF(AND(OR('Choix pédagogiques'!$C$3=1,'Choix pédagogiques'!$C$3=2),$BN125=1),H125,IF(AND('Choix pédagogiques'!$C$3=3,$BO125=1),H125,""))</f>
        <v/>
      </c>
      <c r="AD125" s="22" t="str">
        <f>IF(AND(OR('Choix pédagogiques'!$C$3=1,'Choix pédagogiques'!$C$3=2),$BN125=1),I125,IF(AND('Choix pédagogiques'!$C$3=3,$BO125=1),I125,""))</f>
        <v/>
      </c>
      <c r="AE125" s="22" t="str">
        <f t="shared" si="134"/>
        <v/>
      </c>
      <c r="AF125" s="21" t="str">
        <f t="shared" si="135"/>
        <v>Apprenant 113</v>
      </c>
      <c r="AG125" s="22" t="str">
        <f t="shared" si="109"/>
        <v/>
      </c>
      <c r="AH125" s="22" t="str">
        <f t="shared" si="110"/>
        <v/>
      </c>
      <c r="AI125" s="22" t="str">
        <f t="shared" si="111"/>
        <v/>
      </c>
      <c r="AJ125" s="22" t="str">
        <f t="shared" si="136"/>
        <v/>
      </c>
      <c r="AK125" s="21" t="str">
        <f t="shared" si="137"/>
        <v>Apprenant 113 ou 113'</v>
      </c>
      <c r="AL125" s="22" t="str">
        <f t="shared" si="112"/>
        <v/>
      </c>
      <c r="AM125" s="22" t="str">
        <f t="shared" si="113"/>
        <v/>
      </c>
      <c r="AN125" s="22" t="str">
        <f t="shared" si="114"/>
        <v/>
      </c>
      <c r="AO125" s="22" t="str">
        <f t="shared" si="138"/>
        <v/>
      </c>
      <c r="AQ125" s="21" t="str">
        <f t="shared" si="139"/>
        <v>Apprenant 113</v>
      </c>
      <c r="AR125" s="49" t="str">
        <f>IF(AND('Choix pédagogiques'!$C$4&lt;&gt;"?",'Choix pédagogiques'!$C$5&lt;&gt;"?",W125&lt;&gt;""),(W125-'Choix pédagogiques'!$C$4)/('Choix pédagogiques'!$C$5-'Choix pédagogiques'!$C$4),"")</f>
        <v/>
      </c>
      <c r="AS125" s="49" t="str">
        <f>IF(AND('Choix pédagogiques'!$C$4&lt;&gt;"?",'Choix pédagogiques'!$C$5&lt;&gt;"?",X125&lt;&gt;""),(X125-'Choix pédagogiques'!$C$4)/('Choix pédagogiques'!$C$5-'Choix pédagogiques'!$C$4),"")</f>
        <v/>
      </c>
      <c r="AT125" s="49" t="str">
        <f>IF(AND('Choix pédagogiques'!$C$4&lt;&gt;"?",'Choix pédagogiques'!$C$5&lt;&gt;"?",Y125&lt;&gt;""),(Y125-'Choix pédagogiques'!$C$4)/('Choix pédagogiques'!$C$5-'Choix pédagogiques'!$C$4),"")</f>
        <v/>
      </c>
      <c r="AU125" s="22" t="str">
        <f t="shared" si="140"/>
        <v/>
      </c>
      <c r="AV125" s="21" t="str">
        <f t="shared" si="141"/>
        <v>Apprenant 113 ou 113'</v>
      </c>
      <c r="AW125" s="49" t="str">
        <f>IF(AND('Choix pédagogiques'!$C$4&lt;&gt;"?",'Choix pédagogiques'!$C$5&lt;&gt;"?",AB125&lt;&gt;""),(AB125-'Choix pédagogiques'!$C$4)/('Choix pédagogiques'!$C$5-'Choix pédagogiques'!$C$4),"")</f>
        <v/>
      </c>
      <c r="AX125" s="49" t="str">
        <f>IF(AND('Choix pédagogiques'!$C$4&lt;&gt;"?",'Choix pédagogiques'!$C$5&lt;&gt;"?",AC125&lt;&gt;""),(AC125-'Choix pédagogiques'!$C$4)/('Choix pédagogiques'!$C$5-'Choix pédagogiques'!$C$4),"")</f>
        <v/>
      </c>
      <c r="AY125" s="49" t="str">
        <f>IF(AND('Choix pédagogiques'!$C$4&lt;&gt;"?",'Choix pédagogiques'!$C$5&lt;&gt;"?",AD125&lt;&gt;""),(AD125-'Choix pédagogiques'!$C$4)/('Choix pédagogiques'!$C$5-'Choix pédagogiques'!$C$4),"")</f>
        <v/>
      </c>
      <c r="AZ125" s="22" t="str">
        <f t="shared" si="142"/>
        <v/>
      </c>
      <c r="BA125" s="21" t="str">
        <f t="shared" si="143"/>
        <v>Apprenant 113</v>
      </c>
      <c r="BB125" s="49" t="str">
        <f t="shared" si="115"/>
        <v/>
      </c>
      <c r="BC125" s="49" t="str">
        <f t="shared" si="116"/>
        <v/>
      </c>
      <c r="BD125" s="49" t="str">
        <f t="shared" si="117"/>
        <v/>
      </c>
      <c r="BE125" s="22" t="str">
        <f t="shared" si="144"/>
        <v/>
      </c>
      <c r="BF125" s="21" t="str">
        <f t="shared" si="145"/>
        <v>Apprenant 113 ou 113'</v>
      </c>
      <c r="BG125" s="49" t="str">
        <f t="shared" si="118"/>
        <v/>
      </c>
      <c r="BH125" s="49" t="str">
        <f t="shared" si="119"/>
        <v/>
      </c>
      <c r="BI125" s="49" t="str">
        <f t="shared" si="120"/>
        <v/>
      </c>
      <c r="BJ125" s="22" t="str">
        <f t="shared" si="146"/>
        <v/>
      </c>
      <c r="BL125" s="21"/>
      <c r="BM125" s="21" t="str">
        <f>IF(OR(COUNT(B125:D1124)=0,AND('Choix pédagogiques'!$C$3&lt;&gt;1,'Choix pédagogiques'!$C$3&lt;&gt;2)),"",IF(AND(OR('Choix pédagogiques'!$C$3=1,'Choix pédagogiques'!$C$3=2),$B125&lt;&gt;"",$C125&lt;&gt;"",$D125&lt;&gt;""),1,0))</f>
        <v/>
      </c>
      <c r="BN125" s="21" t="str">
        <f>IF(OR(COUNT(G125:I1124)=0,AND('Choix pédagogiques'!$C$3&lt;&gt;1,'Choix pédagogiques'!$C$3&lt;&gt;2)),"",IF(AND(OR('Choix pédagogiques'!$C$3=1,'Choix pédagogiques'!$C$3=2),AND($G125&lt;&gt;"",$H125&lt;&gt;"",$I125&lt;&gt;"")),1,0))</f>
        <v/>
      </c>
      <c r="BO125" s="21" t="str">
        <f>IF(OR(COUNT(B125:D1124)=0,COUNT(G125:I1124)=0,'Choix pédagogiques'!C$3&lt;&gt;3),"",IF(AND('Choix pédagogiques'!$C$3=3,$B125&lt;&gt;"",$C125&lt;&gt;"",$D125&lt;&gt;"",$G125&lt;&gt;"",$H125&lt;&gt;"",$I125&lt;&gt;""),1,0))</f>
        <v/>
      </c>
      <c r="BR125" s="21">
        <v>513</v>
      </c>
      <c r="BS125" s="21">
        <v>1448</v>
      </c>
      <c r="BT125"/>
    </row>
    <row r="126" spans="1:72" s="23" customFormat="1" ht="18" customHeight="1" x14ac:dyDescent="0.3">
      <c r="A126" s="35" t="s">
        <v>116</v>
      </c>
      <c r="B126" s="37"/>
      <c r="C126" s="37"/>
      <c r="D126" s="37"/>
      <c r="E126" s="37"/>
      <c r="F126" s="35" t="s">
        <v>1124</v>
      </c>
      <c r="G126" s="37"/>
      <c r="H126" s="37"/>
      <c r="I126" s="37"/>
      <c r="J126" s="37"/>
      <c r="K126" s="21" t="str">
        <f t="shared" si="121"/>
        <v>Apprenant 114</v>
      </c>
      <c r="L126" s="22" t="str">
        <f t="shared" si="122"/>
        <v/>
      </c>
      <c r="M126" s="22" t="str">
        <f t="shared" si="123"/>
        <v/>
      </c>
      <c r="N126" s="22" t="str">
        <f t="shared" si="124"/>
        <v/>
      </c>
      <c r="O126" s="22" t="str">
        <f t="shared" si="125"/>
        <v/>
      </c>
      <c r="P126" s="21" t="str">
        <f t="shared" si="126"/>
        <v>Apprenant 114 ou 114'</v>
      </c>
      <c r="Q126" s="22" t="str">
        <f t="shared" si="127"/>
        <v/>
      </c>
      <c r="R126" s="22" t="str">
        <f t="shared" si="128"/>
        <v/>
      </c>
      <c r="S126" s="22" t="str">
        <f t="shared" si="129"/>
        <v/>
      </c>
      <c r="T126" s="22" t="str">
        <f t="shared" si="130"/>
        <v/>
      </c>
      <c r="V126" s="21" t="str">
        <f t="shared" si="131"/>
        <v>Apprenant 114</v>
      </c>
      <c r="W126" s="22" t="str">
        <f>IF(AND(OR('Choix pédagogiques'!$C$3=1,'Choix pédagogiques'!$C$3=2),$BM126=1),B126,IF(AND('Choix pédagogiques'!$C$3=3,$BO126=1),B126,""))</f>
        <v/>
      </c>
      <c r="X126" s="22" t="str">
        <f>IF(AND(OR('Choix pédagogiques'!$C$3=1,'Choix pédagogiques'!$C$3=2),$BM126=1),C126,IF(AND('Choix pédagogiques'!$C$3=3,$BO126=1),C126,""))</f>
        <v/>
      </c>
      <c r="Y126" s="22" t="str">
        <f>IF(AND(OR('Choix pédagogiques'!$C$3=1,'Choix pédagogiques'!$C$3=2),$BM126=1),D126,IF(AND('Choix pédagogiques'!$C$3=3,$BO126=1),D126,""))</f>
        <v/>
      </c>
      <c r="Z126" s="22" t="str">
        <f t="shared" si="132"/>
        <v/>
      </c>
      <c r="AA126" s="21" t="str">
        <f t="shared" si="133"/>
        <v>Apprenant 114 ou 114'</v>
      </c>
      <c r="AB126" s="22" t="str">
        <f>IF(AND(OR('Choix pédagogiques'!$C$3=1,'Choix pédagogiques'!$C$3=2),$BN126=1),G126,IF(AND('Choix pédagogiques'!$C$3=3,$BO126=1),G126,""))</f>
        <v/>
      </c>
      <c r="AC126" s="22" t="str">
        <f>IF(AND(OR('Choix pédagogiques'!$C$3=1,'Choix pédagogiques'!$C$3=2),$BN126=1),H126,IF(AND('Choix pédagogiques'!$C$3=3,$BO126=1),H126,""))</f>
        <v/>
      </c>
      <c r="AD126" s="22" t="str">
        <f>IF(AND(OR('Choix pédagogiques'!$C$3=1,'Choix pédagogiques'!$C$3=2),$BN126=1),I126,IF(AND('Choix pédagogiques'!$C$3=3,$BO126=1),I126,""))</f>
        <v/>
      </c>
      <c r="AE126" s="22" t="str">
        <f t="shared" si="134"/>
        <v/>
      </c>
      <c r="AF126" s="21" t="str">
        <f t="shared" si="135"/>
        <v>Apprenant 114</v>
      </c>
      <c r="AG126" s="22" t="str">
        <f t="shared" si="109"/>
        <v/>
      </c>
      <c r="AH126" s="22" t="str">
        <f t="shared" si="110"/>
        <v/>
      </c>
      <c r="AI126" s="22" t="str">
        <f t="shared" si="111"/>
        <v/>
      </c>
      <c r="AJ126" s="22" t="str">
        <f t="shared" si="136"/>
        <v/>
      </c>
      <c r="AK126" s="21" t="str">
        <f t="shared" si="137"/>
        <v>Apprenant 114 ou 114'</v>
      </c>
      <c r="AL126" s="22" t="str">
        <f t="shared" si="112"/>
        <v/>
      </c>
      <c r="AM126" s="22" t="str">
        <f t="shared" si="113"/>
        <v/>
      </c>
      <c r="AN126" s="22" t="str">
        <f t="shared" si="114"/>
        <v/>
      </c>
      <c r="AO126" s="22" t="str">
        <f t="shared" si="138"/>
        <v/>
      </c>
      <c r="AQ126" s="21" t="str">
        <f t="shared" si="139"/>
        <v>Apprenant 114</v>
      </c>
      <c r="AR126" s="49" t="str">
        <f>IF(AND('Choix pédagogiques'!$C$4&lt;&gt;"?",'Choix pédagogiques'!$C$5&lt;&gt;"?",W126&lt;&gt;""),(W126-'Choix pédagogiques'!$C$4)/('Choix pédagogiques'!$C$5-'Choix pédagogiques'!$C$4),"")</f>
        <v/>
      </c>
      <c r="AS126" s="49" t="str">
        <f>IF(AND('Choix pédagogiques'!$C$4&lt;&gt;"?",'Choix pédagogiques'!$C$5&lt;&gt;"?",X126&lt;&gt;""),(X126-'Choix pédagogiques'!$C$4)/('Choix pédagogiques'!$C$5-'Choix pédagogiques'!$C$4),"")</f>
        <v/>
      </c>
      <c r="AT126" s="49" t="str">
        <f>IF(AND('Choix pédagogiques'!$C$4&lt;&gt;"?",'Choix pédagogiques'!$C$5&lt;&gt;"?",Y126&lt;&gt;""),(Y126-'Choix pédagogiques'!$C$4)/('Choix pédagogiques'!$C$5-'Choix pédagogiques'!$C$4),"")</f>
        <v/>
      </c>
      <c r="AU126" s="22" t="str">
        <f t="shared" si="140"/>
        <v/>
      </c>
      <c r="AV126" s="21" t="str">
        <f t="shared" si="141"/>
        <v>Apprenant 114 ou 114'</v>
      </c>
      <c r="AW126" s="49" t="str">
        <f>IF(AND('Choix pédagogiques'!$C$4&lt;&gt;"?",'Choix pédagogiques'!$C$5&lt;&gt;"?",AB126&lt;&gt;""),(AB126-'Choix pédagogiques'!$C$4)/('Choix pédagogiques'!$C$5-'Choix pédagogiques'!$C$4),"")</f>
        <v/>
      </c>
      <c r="AX126" s="49" t="str">
        <f>IF(AND('Choix pédagogiques'!$C$4&lt;&gt;"?",'Choix pédagogiques'!$C$5&lt;&gt;"?",AC126&lt;&gt;""),(AC126-'Choix pédagogiques'!$C$4)/('Choix pédagogiques'!$C$5-'Choix pédagogiques'!$C$4),"")</f>
        <v/>
      </c>
      <c r="AY126" s="49" t="str">
        <f>IF(AND('Choix pédagogiques'!$C$4&lt;&gt;"?",'Choix pédagogiques'!$C$5&lt;&gt;"?",AD126&lt;&gt;""),(AD126-'Choix pédagogiques'!$C$4)/('Choix pédagogiques'!$C$5-'Choix pédagogiques'!$C$4),"")</f>
        <v/>
      </c>
      <c r="AZ126" s="22" t="str">
        <f t="shared" si="142"/>
        <v/>
      </c>
      <c r="BA126" s="21" t="str">
        <f t="shared" si="143"/>
        <v>Apprenant 114</v>
      </c>
      <c r="BB126" s="49" t="str">
        <f t="shared" si="115"/>
        <v/>
      </c>
      <c r="BC126" s="49" t="str">
        <f t="shared" si="116"/>
        <v/>
      </c>
      <c r="BD126" s="49" t="str">
        <f t="shared" si="117"/>
        <v/>
      </c>
      <c r="BE126" s="22" t="str">
        <f t="shared" si="144"/>
        <v/>
      </c>
      <c r="BF126" s="21" t="str">
        <f t="shared" si="145"/>
        <v>Apprenant 114 ou 114'</v>
      </c>
      <c r="BG126" s="49" t="str">
        <f t="shared" si="118"/>
        <v/>
      </c>
      <c r="BH126" s="49" t="str">
        <f t="shared" si="119"/>
        <v/>
      </c>
      <c r="BI126" s="49" t="str">
        <f t="shared" si="120"/>
        <v/>
      </c>
      <c r="BJ126" s="22" t="str">
        <f t="shared" si="146"/>
        <v/>
      </c>
      <c r="BL126" s="21"/>
      <c r="BM126" s="21" t="str">
        <f>IF(OR(COUNT(B126:D1125)=0,AND('Choix pédagogiques'!$C$3&lt;&gt;1,'Choix pédagogiques'!$C$3&lt;&gt;2)),"",IF(AND(OR('Choix pédagogiques'!$C$3=1,'Choix pédagogiques'!$C$3=2),$B126&lt;&gt;"",$C126&lt;&gt;"",$D126&lt;&gt;""),1,0))</f>
        <v/>
      </c>
      <c r="BN126" s="21" t="str">
        <f>IF(OR(COUNT(G126:I1125)=0,AND('Choix pédagogiques'!$C$3&lt;&gt;1,'Choix pédagogiques'!$C$3&lt;&gt;2)),"",IF(AND(OR('Choix pédagogiques'!$C$3=1,'Choix pédagogiques'!$C$3=2),AND($G126&lt;&gt;"",$H126&lt;&gt;"",$I126&lt;&gt;"")),1,0))</f>
        <v/>
      </c>
      <c r="BO126" s="21" t="str">
        <f>IF(OR(COUNT(B126:D1125)=0,COUNT(G126:I1125)=0,'Choix pédagogiques'!C$3&lt;&gt;3),"",IF(AND('Choix pédagogiques'!$C$3=3,$B126&lt;&gt;"",$C126&lt;&gt;"",$D126&lt;&gt;"",$G126&lt;&gt;"",$H126&lt;&gt;"",$I126&lt;&gt;""),1,0))</f>
        <v/>
      </c>
      <c r="BR126" s="21">
        <v>729</v>
      </c>
      <c r="BS126" s="21">
        <v>1469</v>
      </c>
      <c r="BT126"/>
    </row>
    <row r="127" spans="1:72" s="23" customFormat="1" ht="18" customHeight="1" x14ac:dyDescent="0.3">
      <c r="A127" s="35" t="s">
        <v>117</v>
      </c>
      <c r="B127" s="37"/>
      <c r="C127" s="37"/>
      <c r="D127" s="37"/>
      <c r="E127" s="37"/>
      <c r="F127" s="35" t="s">
        <v>1125</v>
      </c>
      <c r="G127" s="37"/>
      <c r="H127" s="37"/>
      <c r="I127" s="37"/>
      <c r="J127" s="37"/>
      <c r="K127" s="21" t="str">
        <f t="shared" si="121"/>
        <v>Apprenant 115</v>
      </c>
      <c r="L127" s="22" t="str">
        <f t="shared" si="122"/>
        <v/>
      </c>
      <c r="M127" s="22" t="str">
        <f t="shared" si="123"/>
        <v/>
      </c>
      <c r="N127" s="22" t="str">
        <f t="shared" si="124"/>
        <v/>
      </c>
      <c r="O127" s="22" t="str">
        <f t="shared" si="125"/>
        <v/>
      </c>
      <c r="P127" s="21" t="str">
        <f t="shared" si="126"/>
        <v>Apprenant 115 ou 115'</v>
      </c>
      <c r="Q127" s="22" t="str">
        <f t="shared" si="127"/>
        <v/>
      </c>
      <c r="R127" s="22" t="str">
        <f t="shared" si="128"/>
        <v/>
      </c>
      <c r="S127" s="22" t="str">
        <f t="shared" si="129"/>
        <v/>
      </c>
      <c r="T127" s="22" t="str">
        <f t="shared" si="130"/>
        <v/>
      </c>
      <c r="V127" s="21" t="str">
        <f t="shared" si="131"/>
        <v>Apprenant 115</v>
      </c>
      <c r="W127" s="22" t="str">
        <f>IF(AND(OR('Choix pédagogiques'!$C$3=1,'Choix pédagogiques'!$C$3=2),$BM127=1),B127,IF(AND('Choix pédagogiques'!$C$3=3,$BO127=1),B127,""))</f>
        <v/>
      </c>
      <c r="X127" s="22" t="str">
        <f>IF(AND(OR('Choix pédagogiques'!$C$3=1,'Choix pédagogiques'!$C$3=2),$BM127=1),C127,IF(AND('Choix pédagogiques'!$C$3=3,$BO127=1),C127,""))</f>
        <v/>
      </c>
      <c r="Y127" s="22" t="str">
        <f>IF(AND(OR('Choix pédagogiques'!$C$3=1,'Choix pédagogiques'!$C$3=2),$BM127=1),D127,IF(AND('Choix pédagogiques'!$C$3=3,$BO127=1),D127,""))</f>
        <v/>
      </c>
      <c r="Z127" s="22" t="str">
        <f t="shared" si="132"/>
        <v/>
      </c>
      <c r="AA127" s="21" t="str">
        <f t="shared" si="133"/>
        <v>Apprenant 115 ou 115'</v>
      </c>
      <c r="AB127" s="22" t="str">
        <f>IF(AND(OR('Choix pédagogiques'!$C$3=1,'Choix pédagogiques'!$C$3=2),$BN127=1),G127,IF(AND('Choix pédagogiques'!$C$3=3,$BO127=1),G127,""))</f>
        <v/>
      </c>
      <c r="AC127" s="22" t="str">
        <f>IF(AND(OR('Choix pédagogiques'!$C$3=1,'Choix pédagogiques'!$C$3=2),$BN127=1),H127,IF(AND('Choix pédagogiques'!$C$3=3,$BO127=1),H127,""))</f>
        <v/>
      </c>
      <c r="AD127" s="22" t="str">
        <f>IF(AND(OR('Choix pédagogiques'!$C$3=1,'Choix pédagogiques'!$C$3=2),$BN127=1),I127,IF(AND('Choix pédagogiques'!$C$3=3,$BO127=1),I127,""))</f>
        <v/>
      </c>
      <c r="AE127" s="22" t="str">
        <f t="shared" si="134"/>
        <v/>
      </c>
      <c r="AF127" s="21" t="str">
        <f t="shared" si="135"/>
        <v>Apprenant 115</v>
      </c>
      <c r="AG127" s="22" t="str">
        <f t="shared" si="109"/>
        <v/>
      </c>
      <c r="AH127" s="22" t="str">
        <f t="shared" si="110"/>
        <v/>
      </c>
      <c r="AI127" s="22" t="str">
        <f t="shared" si="111"/>
        <v/>
      </c>
      <c r="AJ127" s="22" t="str">
        <f t="shared" si="136"/>
        <v/>
      </c>
      <c r="AK127" s="21" t="str">
        <f t="shared" si="137"/>
        <v>Apprenant 115 ou 115'</v>
      </c>
      <c r="AL127" s="22" t="str">
        <f t="shared" si="112"/>
        <v/>
      </c>
      <c r="AM127" s="22" t="str">
        <f t="shared" si="113"/>
        <v/>
      </c>
      <c r="AN127" s="22" t="str">
        <f t="shared" si="114"/>
        <v/>
      </c>
      <c r="AO127" s="22" t="str">
        <f t="shared" si="138"/>
        <v/>
      </c>
      <c r="AQ127" s="21" t="str">
        <f t="shared" si="139"/>
        <v>Apprenant 115</v>
      </c>
      <c r="AR127" s="49" t="str">
        <f>IF(AND('Choix pédagogiques'!$C$4&lt;&gt;"?",'Choix pédagogiques'!$C$5&lt;&gt;"?",W127&lt;&gt;""),(W127-'Choix pédagogiques'!$C$4)/('Choix pédagogiques'!$C$5-'Choix pédagogiques'!$C$4),"")</f>
        <v/>
      </c>
      <c r="AS127" s="49" t="str">
        <f>IF(AND('Choix pédagogiques'!$C$4&lt;&gt;"?",'Choix pédagogiques'!$C$5&lt;&gt;"?",X127&lt;&gt;""),(X127-'Choix pédagogiques'!$C$4)/('Choix pédagogiques'!$C$5-'Choix pédagogiques'!$C$4),"")</f>
        <v/>
      </c>
      <c r="AT127" s="49" t="str">
        <f>IF(AND('Choix pédagogiques'!$C$4&lt;&gt;"?",'Choix pédagogiques'!$C$5&lt;&gt;"?",Y127&lt;&gt;""),(Y127-'Choix pédagogiques'!$C$4)/('Choix pédagogiques'!$C$5-'Choix pédagogiques'!$C$4),"")</f>
        <v/>
      </c>
      <c r="AU127" s="22" t="str">
        <f t="shared" si="140"/>
        <v/>
      </c>
      <c r="AV127" s="21" t="str">
        <f t="shared" si="141"/>
        <v>Apprenant 115 ou 115'</v>
      </c>
      <c r="AW127" s="49" t="str">
        <f>IF(AND('Choix pédagogiques'!$C$4&lt;&gt;"?",'Choix pédagogiques'!$C$5&lt;&gt;"?",AB127&lt;&gt;""),(AB127-'Choix pédagogiques'!$C$4)/('Choix pédagogiques'!$C$5-'Choix pédagogiques'!$C$4),"")</f>
        <v/>
      </c>
      <c r="AX127" s="49" t="str">
        <f>IF(AND('Choix pédagogiques'!$C$4&lt;&gt;"?",'Choix pédagogiques'!$C$5&lt;&gt;"?",AC127&lt;&gt;""),(AC127-'Choix pédagogiques'!$C$4)/('Choix pédagogiques'!$C$5-'Choix pédagogiques'!$C$4),"")</f>
        <v/>
      </c>
      <c r="AY127" s="49" t="str">
        <f>IF(AND('Choix pédagogiques'!$C$4&lt;&gt;"?",'Choix pédagogiques'!$C$5&lt;&gt;"?",AD127&lt;&gt;""),(AD127-'Choix pédagogiques'!$C$4)/('Choix pédagogiques'!$C$5-'Choix pédagogiques'!$C$4),"")</f>
        <v/>
      </c>
      <c r="AZ127" s="22" t="str">
        <f t="shared" si="142"/>
        <v/>
      </c>
      <c r="BA127" s="21" t="str">
        <f t="shared" si="143"/>
        <v>Apprenant 115</v>
      </c>
      <c r="BB127" s="49" t="str">
        <f t="shared" si="115"/>
        <v/>
      </c>
      <c r="BC127" s="49" t="str">
        <f t="shared" si="116"/>
        <v/>
      </c>
      <c r="BD127" s="49" t="str">
        <f t="shared" si="117"/>
        <v/>
      </c>
      <c r="BE127" s="22" t="str">
        <f t="shared" si="144"/>
        <v/>
      </c>
      <c r="BF127" s="21" t="str">
        <f t="shared" si="145"/>
        <v>Apprenant 115 ou 115'</v>
      </c>
      <c r="BG127" s="49" t="str">
        <f t="shared" si="118"/>
        <v/>
      </c>
      <c r="BH127" s="49" t="str">
        <f t="shared" si="119"/>
        <v/>
      </c>
      <c r="BI127" s="49" t="str">
        <f t="shared" si="120"/>
        <v/>
      </c>
      <c r="BJ127" s="22" t="str">
        <f t="shared" si="146"/>
        <v/>
      </c>
      <c r="BL127" s="21"/>
      <c r="BM127" s="21" t="str">
        <f>IF(OR(COUNT(B127:D1126)=0,AND('Choix pédagogiques'!$C$3&lt;&gt;1,'Choix pédagogiques'!$C$3&lt;&gt;2)),"",IF(AND(OR('Choix pédagogiques'!$C$3=1,'Choix pédagogiques'!$C$3=2),$B127&lt;&gt;"",$C127&lt;&gt;"",$D127&lt;&gt;""),1,0))</f>
        <v/>
      </c>
      <c r="BN127" s="21" t="str">
        <f>IF(OR(COUNT(G127:I1126)=0,AND('Choix pédagogiques'!$C$3&lt;&gt;1,'Choix pédagogiques'!$C$3&lt;&gt;2)),"",IF(AND(OR('Choix pédagogiques'!$C$3=1,'Choix pédagogiques'!$C$3=2),AND($G127&lt;&gt;"",$H127&lt;&gt;"",$I127&lt;&gt;"")),1,0))</f>
        <v/>
      </c>
      <c r="BO127" s="21" t="str">
        <f>IF(OR(COUNT(B127:D1126)=0,COUNT(G127:I1126)=0,'Choix pédagogiques'!C$3&lt;&gt;3),"",IF(AND('Choix pédagogiques'!$C$3=3,$B127&lt;&gt;"",$C127&lt;&gt;"",$D127&lt;&gt;"",$G127&lt;&gt;"",$H127&lt;&gt;"",$I127&lt;&gt;""),1,0))</f>
        <v/>
      </c>
      <c r="BR127" s="21">
        <v>196</v>
      </c>
      <c r="BS127" s="21">
        <v>1089</v>
      </c>
      <c r="BT127"/>
    </row>
    <row r="128" spans="1:72" s="23" customFormat="1" ht="18" customHeight="1" x14ac:dyDescent="0.3">
      <c r="A128" s="35" t="s">
        <v>118</v>
      </c>
      <c r="B128" s="37"/>
      <c r="C128" s="37"/>
      <c r="D128" s="37"/>
      <c r="E128" s="37"/>
      <c r="F128" s="35" t="s">
        <v>1126</v>
      </c>
      <c r="G128" s="37"/>
      <c r="H128" s="37"/>
      <c r="I128" s="37"/>
      <c r="J128" s="37"/>
      <c r="K128" s="21" t="str">
        <f t="shared" si="121"/>
        <v>Apprenant 116</v>
      </c>
      <c r="L128" s="22" t="str">
        <f t="shared" si="122"/>
        <v/>
      </c>
      <c r="M128" s="22" t="str">
        <f t="shared" si="123"/>
        <v/>
      </c>
      <c r="N128" s="22" t="str">
        <f t="shared" si="124"/>
        <v/>
      </c>
      <c r="O128" s="22" t="str">
        <f t="shared" si="125"/>
        <v/>
      </c>
      <c r="P128" s="21" t="str">
        <f t="shared" si="126"/>
        <v>Apprenant 116 ou 116'</v>
      </c>
      <c r="Q128" s="22" t="str">
        <f t="shared" si="127"/>
        <v/>
      </c>
      <c r="R128" s="22" t="str">
        <f t="shared" si="128"/>
        <v/>
      </c>
      <c r="S128" s="22" t="str">
        <f t="shared" si="129"/>
        <v/>
      </c>
      <c r="T128" s="22" t="str">
        <f t="shared" si="130"/>
        <v/>
      </c>
      <c r="V128" s="21" t="str">
        <f t="shared" si="131"/>
        <v>Apprenant 116</v>
      </c>
      <c r="W128" s="22" t="str">
        <f>IF(AND(OR('Choix pédagogiques'!$C$3=1,'Choix pédagogiques'!$C$3=2),$BM128=1),B128,IF(AND('Choix pédagogiques'!$C$3=3,$BO128=1),B128,""))</f>
        <v/>
      </c>
      <c r="X128" s="22" t="str">
        <f>IF(AND(OR('Choix pédagogiques'!$C$3=1,'Choix pédagogiques'!$C$3=2),$BM128=1),C128,IF(AND('Choix pédagogiques'!$C$3=3,$BO128=1),C128,""))</f>
        <v/>
      </c>
      <c r="Y128" s="22" t="str">
        <f>IF(AND(OR('Choix pédagogiques'!$C$3=1,'Choix pédagogiques'!$C$3=2),$BM128=1),D128,IF(AND('Choix pédagogiques'!$C$3=3,$BO128=1),D128,""))</f>
        <v/>
      </c>
      <c r="Z128" s="22" t="str">
        <f t="shared" si="132"/>
        <v/>
      </c>
      <c r="AA128" s="21" t="str">
        <f t="shared" si="133"/>
        <v>Apprenant 116 ou 116'</v>
      </c>
      <c r="AB128" s="22" t="str">
        <f>IF(AND(OR('Choix pédagogiques'!$C$3=1,'Choix pédagogiques'!$C$3=2),$BN128=1),G128,IF(AND('Choix pédagogiques'!$C$3=3,$BO128=1),G128,""))</f>
        <v/>
      </c>
      <c r="AC128" s="22" t="str">
        <f>IF(AND(OR('Choix pédagogiques'!$C$3=1,'Choix pédagogiques'!$C$3=2),$BN128=1),H128,IF(AND('Choix pédagogiques'!$C$3=3,$BO128=1),H128,""))</f>
        <v/>
      </c>
      <c r="AD128" s="22" t="str">
        <f>IF(AND(OR('Choix pédagogiques'!$C$3=1,'Choix pédagogiques'!$C$3=2),$BN128=1),I128,IF(AND('Choix pédagogiques'!$C$3=3,$BO128=1),I128,""))</f>
        <v/>
      </c>
      <c r="AE128" s="22" t="str">
        <f t="shared" si="134"/>
        <v/>
      </c>
      <c r="AF128" s="21" t="str">
        <f t="shared" si="135"/>
        <v>Apprenant 116</v>
      </c>
      <c r="AG128" s="22" t="str">
        <f t="shared" si="109"/>
        <v/>
      </c>
      <c r="AH128" s="22" t="str">
        <f t="shared" si="110"/>
        <v/>
      </c>
      <c r="AI128" s="22" t="str">
        <f t="shared" si="111"/>
        <v/>
      </c>
      <c r="AJ128" s="22" t="str">
        <f t="shared" si="136"/>
        <v/>
      </c>
      <c r="AK128" s="21" t="str">
        <f t="shared" si="137"/>
        <v>Apprenant 116 ou 116'</v>
      </c>
      <c r="AL128" s="22" t="str">
        <f t="shared" si="112"/>
        <v/>
      </c>
      <c r="AM128" s="22" t="str">
        <f t="shared" si="113"/>
        <v/>
      </c>
      <c r="AN128" s="22" t="str">
        <f t="shared" si="114"/>
        <v/>
      </c>
      <c r="AO128" s="22" t="str">
        <f t="shared" si="138"/>
        <v/>
      </c>
      <c r="AQ128" s="21" t="str">
        <f t="shared" si="139"/>
        <v>Apprenant 116</v>
      </c>
      <c r="AR128" s="49" t="str">
        <f>IF(AND('Choix pédagogiques'!$C$4&lt;&gt;"?",'Choix pédagogiques'!$C$5&lt;&gt;"?",W128&lt;&gt;""),(W128-'Choix pédagogiques'!$C$4)/('Choix pédagogiques'!$C$5-'Choix pédagogiques'!$C$4),"")</f>
        <v/>
      </c>
      <c r="AS128" s="49" t="str">
        <f>IF(AND('Choix pédagogiques'!$C$4&lt;&gt;"?",'Choix pédagogiques'!$C$5&lt;&gt;"?",X128&lt;&gt;""),(X128-'Choix pédagogiques'!$C$4)/('Choix pédagogiques'!$C$5-'Choix pédagogiques'!$C$4),"")</f>
        <v/>
      </c>
      <c r="AT128" s="49" t="str">
        <f>IF(AND('Choix pédagogiques'!$C$4&lt;&gt;"?",'Choix pédagogiques'!$C$5&lt;&gt;"?",Y128&lt;&gt;""),(Y128-'Choix pédagogiques'!$C$4)/('Choix pédagogiques'!$C$5-'Choix pédagogiques'!$C$4),"")</f>
        <v/>
      </c>
      <c r="AU128" s="22" t="str">
        <f t="shared" si="140"/>
        <v/>
      </c>
      <c r="AV128" s="21" t="str">
        <f t="shared" si="141"/>
        <v>Apprenant 116 ou 116'</v>
      </c>
      <c r="AW128" s="49" t="str">
        <f>IF(AND('Choix pédagogiques'!$C$4&lt;&gt;"?",'Choix pédagogiques'!$C$5&lt;&gt;"?",AB128&lt;&gt;""),(AB128-'Choix pédagogiques'!$C$4)/('Choix pédagogiques'!$C$5-'Choix pédagogiques'!$C$4),"")</f>
        <v/>
      </c>
      <c r="AX128" s="49" t="str">
        <f>IF(AND('Choix pédagogiques'!$C$4&lt;&gt;"?",'Choix pédagogiques'!$C$5&lt;&gt;"?",AC128&lt;&gt;""),(AC128-'Choix pédagogiques'!$C$4)/('Choix pédagogiques'!$C$5-'Choix pédagogiques'!$C$4),"")</f>
        <v/>
      </c>
      <c r="AY128" s="49" t="str">
        <f>IF(AND('Choix pédagogiques'!$C$4&lt;&gt;"?",'Choix pédagogiques'!$C$5&lt;&gt;"?",AD128&lt;&gt;""),(AD128-'Choix pédagogiques'!$C$4)/('Choix pédagogiques'!$C$5-'Choix pédagogiques'!$C$4),"")</f>
        <v/>
      </c>
      <c r="AZ128" s="22" t="str">
        <f t="shared" si="142"/>
        <v/>
      </c>
      <c r="BA128" s="21" t="str">
        <f t="shared" si="143"/>
        <v>Apprenant 116</v>
      </c>
      <c r="BB128" s="49" t="str">
        <f t="shared" si="115"/>
        <v/>
      </c>
      <c r="BC128" s="49" t="str">
        <f t="shared" si="116"/>
        <v/>
      </c>
      <c r="BD128" s="49" t="str">
        <f t="shared" si="117"/>
        <v/>
      </c>
      <c r="BE128" s="22" t="str">
        <f t="shared" si="144"/>
        <v/>
      </c>
      <c r="BF128" s="21" t="str">
        <f t="shared" si="145"/>
        <v>Apprenant 116 ou 116'</v>
      </c>
      <c r="BG128" s="49" t="str">
        <f t="shared" si="118"/>
        <v/>
      </c>
      <c r="BH128" s="49" t="str">
        <f t="shared" si="119"/>
        <v/>
      </c>
      <c r="BI128" s="49" t="str">
        <f t="shared" si="120"/>
        <v/>
      </c>
      <c r="BJ128" s="22" t="str">
        <f t="shared" si="146"/>
        <v/>
      </c>
      <c r="BL128" s="21"/>
      <c r="BM128" s="21" t="str">
        <f>IF(OR(COUNT(B128:D1127)=0,AND('Choix pédagogiques'!$C$3&lt;&gt;1,'Choix pédagogiques'!$C$3&lt;&gt;2)),"",IF(AND(OR('Choix pédagogiques'!$C$3=1,'Choix pédagogiques'!$C$3=2),$B128&lt;&gt;"",$C128&lt;&gt;"",$D128&lt;&gt;""),1,0))</f>
        <v/>
      </c>
      <c r="BN128" s="21" t="str">
        <f>IF(OR(COUNT(G128:I1127)=0,AND('Choix pédagogiques'!$C$3&lt;&gt;1,'Choix pédagogiques'!$C$3&lt;&gt;2)),"",IF(AND(OR('Choix pédagogiques'!$C$3=1,'Choix pédagogiques'!$C$3=2),AND($G128&lt;&gt;"",$H128&lt;&gt;"",$I128&lt;&gt;"")),1,0))</f>
        <v/>
      </c>
      <c r="BO128" s="21" t="str">
        <f>IF(OR(COUNT(B128:D1127)=0,COUNT(G128:I1127)=0,'Choix pédagogiques'!C$3&lt;&gt;3),"",IF(AND('Choix pédagogiques'!$C$3=3,$B128&lt;&gt;"",$C128&lt;&gt;"",$D128&lt;&gt;"",$G128&lt;&gt;"",$H128&lt;&gt;"",$I128&lt;&gt;""),1,0))</f>
        <v/>
      </c>
      <c r="BR128" s="21">
        <v>245</v>
      </c>
      <c r="BS128" s="21">
        <v>1710</v>
      </c>
      <c r="BT128"/>
    </row>
    <row r="129" spans="1:72" s="23" customFormat="1" ht="18" customHeight="1" x14ac:dyDescent="0.3">
      <c r="A129" s="35" t="s">
        <v>119</v>
      </c>
      <c r="B129" s="37"/>
      <c r="C129" s="37"/>
      <c r="D129" s="37"/>
      <c r="E129" s="37"/>
      <c r="F129" s="35" t="s">
        <v>1127</v>
      </c>
      <c r="G129" s="37"/>
      <c r="H129" s="37"/>
      <c r="I129" s="37"/>
      <c r="J129" s="37"/>
      <c r="K129" s="21" t="str">
        <f t="shared" si="121"/>
        <v>Apprenant 117</v>
      </c>
      <c r="L129" s="22" t="str">
        <f t="shared" si="122"/>
        <v/>
      </c>
      <c r="M129" s="22" t="str">
        <f t="shared" si="123"/>
        <v/>
      </c>
      <c r="N129" s="22" t="str">
        <f t="shared" si="124"/>
        <v/>
      </c>
      <c r="O129" s="22" t="str">
        <f t="shared" si="125"/>
        <v/>
      </c>
      <c r="P129" s="21" t="str">
        <f t="shared" si="126"/>
        <v>Apprenant 117 ou 117'</v>
      </c>
      <c r="Q129" s="22" t="str">
        <f t="shared" si="127"/>
        <v/>
      </c>
      <c r="R129" s="22" t="str">
        <f t="shared" si="128"/>
        <v/>
      </c>
      <c r="S129" s="22" t="str">
        <f t="shared" si="129"/>
        <v/>
      </c>
      <c r="T129" s="22" t="str">
        <f t="shared" si="130"/>
        <v/>
      </c>
      <c r="V129" s="21" t="str">
        <f t="shared" si="131"/>
        <v>Apprenant 117</v>
      </c>
      <c r="W129" s="22" t="str">
        <f>IF(AND(OR('Choix pédagogiques'!$C$3=1,'Choix pédagogiques'!$C$3=2),$BM129=1),B129,IF(AND('Choix pédagogiques'!$C$3=3,$BO129=1),B129,""))</f>
        <v/>
      </c>
      <c r="X129" s="22" t="str">
        <f>IF(AND(OR('Choix pédagogiques'!$C$3=1,'Choix pédagogiques'!$C$3=2),$BM129=1),C129,IF(AND('Choix pédagogiques'!$C$3=3,$BO129=1),C129,""))</f>
        <v/>
      </c>
      <c r="Y129" s="22" t="str">
        <f>IF(AND(OR('Choix pédagogiques'!$C$3=1,'Choix pédagogiques'!$C$3=2),$BM129=1),D129,IF(AND('Choix pédagogiques'!$C$3=3,$BO129=1),D129,""))</f>
        <v/>
      </c>
      <c r="Z129" s="22" t="str">
        <f t="shared" si="132"/>
        <v/>
      </c>
      <c r="AA129" s="21" t="str">
        <f t="shared" si="133"/>
        <v>Apprenant 117 ou 117'</v>
      </c>
      <c r="AB129" s="22" t="str">
        <f>IF(AND(OR('Choix pédagogiques'!$C$3=1,'Choix pédagogiques'!$C$3=2),$BN129=1),G129,IF(AND('Choix pédagogiques'!$C$3=3,$BO129=1),G129,""))</f>
        <v/>
      </c>
      <c r="AC129" s="22" t="str">
        <f>IF(AND(OR('Choix pédagogiques'!$C$3=1,'Choix pédagogiques'!$C$3=2),$BN129=1),H129,IF(AND('Choix pédagogiques'!$C$3=3,$BO129=1),H129,""))</f>
        <v/>
      </c>
      <c r="AD129" s="22" t="str">
        <f>IF(AND(OR('Choix pédagogiques'!$C$3=1,'Choix pédagogiques'!$C$3=2),$BN129=1),I129,IF(AND('Choix pédagogiques'!$C$3=3,$BO129=1),I129,""))</f>
        <v/>
      </c>
      <c r="AE129" s="22" t="str">
        <f t="shared" si="134"/>
        <v/>
      </c>
      <c r="AF129" s="21" t="str">
        <f t="shared" si="135"/>
        <v>Apprenant 117</v>
      </c>
      <c r="AG129" s="22" t="str">
        <f t="shared" si="109"/>
        <v/>
      </c>
      <c r="AH129" s="22" t="str">
        <f t="shared" si="110"/>
        <v/>
      </c>
      <c r="AI129" s="22" t="str">
        <f t="shared" si="111"/>
        <v/>
      </c>
      <c r="AJ129" s="22" t="str">
        <f t="shared" si="136"/>
        <v/>
      </c>
      <c r="AK129" s="21" t="str">
        <f t="shared" si="137"/>
        <v>Apprenant 117 ou 117'</v>
      </c>
      <c r="AL129" s="22" t="str">
        <f t="shared" si="112"/>
        <v/>
      </c>
      <c r="AM129" s="22" t="str">
        <f t="shared" si="113"/>
        <v/>
      </c>
      <c r="AN129" s="22" t="str">
        <f t="shared" si="114"/>
        <v/>
      </c>
      <c r="AO129" s="22" t="str">
        <f t="shared" si="138"/>
        <v/>
      </c>
      <c r="AQ129" s="21" t="str">
        <f t="shared" si="139"/>
        <v>Apprenant 117</v>
      </c>
      <c r="AR129" s="49" t="str">
        <f>IF(AND('Choix pédagogiques'!$C$4&lt;&gt;"?",'Choix pédagogiques'!$C$5&lt;&gt;"?",W129&lt;&gt;""),(W129-'Choix pédagogiques'!$C$4)/('Choix pédagogiques'!$C$5-'Choix pédagogiques'!$C$4),"")</f>
        <v/>
      </c>
      <c r="AS129" s="49" t="str">
        <f>IF(AND('Choix pédagogiques'!$C$4&lt;&gt;"?",'Choix pédagogiques'!$C$5&lt;&gt;"?",X129&lt;&gt;""),(X129-'Choix pédagogiques'!$C$4)/('Choix pédagogiques'!$C$5-'Choix pédagogiques'!$C$4),"")</f>
        <v/>
      </c>
      <c r="AT129" s="49" t="str">
        <f>IF(AND('Choix pédagogiques'!$C$4&lt;&gt;"?",'Choix pédagogiques'!$C$5&lt;&gt;"?",Y129&lt;&gt;""),(Y129-'Choix pédagogiques'!$C$4)/('Choix pédagogiques'!$C$5-'Choix pédagogiques'!$C$4),"")</f>
        <v/>
      </c>
      <c r="AU129" s="22" t="str">
        <f t="shared" si="140"/>
        <v/>
      </c>
      <c r="AV129" s="21" t="str">
        <f t="shared" si="141"/>
        <v>Apprenant 117 ou 117'</v>
      </c>
      <c r="AW129" s="49" t="str">
        <f>IF(AND('Choix pédagogiques'!$C$4&lt;&gt;"?",'Choix pédagogiques'!$C$5&lt;&gt;"?",AB129&lt;&gt;""),(AB129-'Choix pédagogiques'!$C$4)/('Choix pédagogiques'!$C$5-'Choix pédagogiques'!$C$4),"")</f>
        <v/>
      </c>
      <c r="AX129" s="49" t="str">
        <f>IF(AND('Choix pédagogiques'!$C$4&lt;&gt;"?",'Choix pédagogiques'!$C$5&lt;&gt;"?",AC129&lt;&gt;""),(AC129-'Choix pédagogiques'!$C$4)/('Choix pédagogiques'!$C$5-'Choix pédagogiques'!$C$4),"")</f>
        <v/>
      </c>
      <c r="AY129" s="49" t="str">
        <f>IF(AND('Choix pédagogiques'!$C$4&lt;&gt;"?",'Choix pédagogiques'!$C$5&lt;&gt;"?",AD129&lt;&gt;""),(AD129-'Choix pédagogiques'!$C$4)/('Choix pédagogiques'!$C$5-'Choix pédagogiques'!$C$4),"")</f>
        <v/>
      </c>
      <c r="AZ129" s="22" t="str">
        <f t="shared" si="142"/>
        <v/>
      </c>
      <c r="BA129" s="21" t="str">
        <f t="shared" si="143"/>
        <v>Apprenant 117</v>
      </c>
      <c r="BB129" s="49" t="str">
        <f t="shared" si="115"/>
        <v/>
      </c>
      <c r="BC129" s="49" t="str">
        <f t="shared" si="116"/>
        <v/>
      </c>
      <c r="BD129" s="49" t="str">
        <f t="shared" si="117"/>
        <v/>
      </c>
      <c r="BE129" s="22" t="str">
        <f t="shared" si="144"/>
        <v/>
      </c>
      <c r="BF129" s="21" t="str">
        <f t="shared" si="145"/>
        <v>Apprenant 117 ou 117'</v>
      </c>
      <c r="BG129" s="49" t="str">
        <f t="shared" si="118"/>
        <v/>
      </c>
      <c r="BH129" s="49" t="str">
        <f t="shared" si="119"/>
        <v/>
      </c>
      <c r="BI129" s="49" t="str">
        <f t="shared" si="120"/>
        <v/>
      </c>
      <c r="BJ129" s="22" t="str">
        <f t="shared" si="146"/>
        <v/>
      </c>
      <c r="BL129" s="21"/>
      <c r="BM129" s="21" t="str">
        <f>IF(OR(COUNT(B129:D1128)=0,AND('Choix pédagogiques'!$C$3&lt;&gt;1,'Choix pédagogiques'!$C$3&lt;&gt;2)),"",IF(AND(OR('Choix pédagogiques'!$C$3=1,'Choix pédagogiques'!$C$3=2),$B129&lt;&gt;"",$C129&lt;&gt;"",$D129&lt;&gt;""),1,0))</f>
        <v/>
      </c>
      <c r="BN129" s="21" t="str">
        <f>IF(OR(COUNT(G129:I1128)=0,AND('Choix pédagogiques'!$C$3&lt;&gt;1,'Choix pédagogiques'!$C$3&lt;&gt;2)),"",IF(AND(OR('Choix pédagogiques'!$C$3=1,'Choix pédagogiques'!$C$3=2),AND($G129&lt;&gt;"",$H129&lt;&gt;"",$I129&lt;&gt;"")),1,0))</f>
        <v/>
      </c>
      <c r="BO129" s="21" t="str">
        <f>IF(OR(COUNT(B129:D1128)=0,COUNT(G129:I1128)=0,'Choix pédagogiques'!C$3&lt;&gt;3),"",IF(AND('Choix pédagogiques'!$C$3=3,$B129&lt;&gt;"",$C129&lt;&gt;"",$D129&lt;&gt;"",$G129&lt;&gt;"",$H129&lt;&gt;"",$I129&lt;&gt;""),1,0))</f>
        <v/>
      </c>
      <c r="BR129" s="21">
        <v>125</v>
      </c>
      <c r="BS129" s="21">
        <v>1653</v>
      </c>
      <c r="BT129"/>
    </row>
    <row r="130" spans="1:72" s="23" customFormat="1" ht="18" customHeight="1" x14ac:dyDescent="0.3">
      <c r="A130" s="35" t="s">
        <v>120</v>
      </c>
      <c r="B130" s="37"/>
      <c r="C130" s="37"/>
      <c r="D130" s="37"/>
      <c r="E130" s="37"/>
      <c r="F130" s="35" t="s">
        <v>1128</v>
      </c>
      <c r="G130" s="37"/>
      <c r="H130" s="37"/>
      <c r="I130" s="37"/>
      <c r="J130" s="37"/>
      <c r="K130" s="21" t="str">
        <f t="shared" si="121"/>
        <v>Apprenant 118</v>
      </c>
      <c r="L130" s="22" t="str">
        <f t="shared" si="122"/>
        <v/>
      </c>
      <c r="M130" s="22" t="str">
        <f t="shared" si="123"/>
        <v/>
      </c>
      <c r="N130" s="22" t="str">
        <f t="shared" si="124"/>
        <v/>
      </c>
      <c r="O130" s="22" t="str">
        <f t="shared" si="125"/>
        <v/>
      </c>
      <c r="P130" s="21" t="str">
        <f t="shared" si="126"/>
        <v>Apprenant 118 ou 118'</v>
      </c>
      <c r="Q130" s="22" t="str">
        <f t="shared" si="127"/>
        <v/>
      </c>
      <c r="R130" s="22" t="str">
        <f t="shared" si="128"/>
        <v/>
      </c>
      <c r="S130" s="22" t="str">
        <f t="shared" si="129"/>
        <v/>
      </c>
      <c r="T130" s="22" t="str">
        <f t="shared" si="130"/>
        <v/>
      </c>
      <c r="V130" s="21" t="str">
        <f t="shared" si="131"/>
        <v>Apprenant 118</v>
      </c>
      <c r="W130" s="22" t="str">
        <f>IF(AND(OR('Choix pédagogiques'!$C$3=1,'Choix pédagogiques'!$C$3=2),$BM130=1),B130,IF(AND('Choix pédagogiques'!$C$3=3,$BO130=1),B130,""))</f>
        <v/>
      </c>
      <c r="X130" s="22" t="str">
        <f>IF(AND(OR('Choix pédagogiques'!$C$3=1,'Choix pédagogiques'!$C$3=2),$BM130=1),C130,IF(AND('Choix pédagogiques'!$C$3=3,$BO130=1),C130,""))</f>
        <v/>
      </c>
      <c r="Y130" s="22" t="str">
        <f>IF(AND(OR('Choix pédagogiques'!$C$3=1,'Choix pédagogiques'!$C$3=2),$BM130=1),D130,IF(AND('Choix pédagogiques'!$C$3=3,$BO130=1),D130,""))</f>
        <v/>
      </c>
      <c r="Z130" s="22" t="str">
        <f t="shared" si="132"/>
        <v/>
      </c>
      <c r="AA130" s="21" t="str">
        <f t="shared" si="133"/>
        <v>Apprenant 118 ou 118'</v>
      </c>
      <c r="AB130" s="22" t="str">
        <f>IF(AND(OR('Choix pédagogiques'!$C$3=1,'Choix pédagogiques'!$C$3=2),$BN130=1),G130,IF(AND('Choix pédagogiques'!$C$3=3,$BO130=1),G130,""))</f>
        <v/>
      </c>
      <c r="AC130" s="22" t="str">
        <f>IF(AND(OR('Choix pédagogiques'!$C$3=1,'Choix pédagogiques'!$C$3=2),$BN130=1),H130,IF(AND('Choix pédagogiques'!$C$3=3,$BO130=1),H130,""))</f>
        <v/>
      </c>
      <c r="AD130" s="22" t="str">
        <f>IF(AND(OR('Choix pédagogiques'!$C$3=1,'Choix pédagogiques'!$C$3=2),$BN130=1),I130,IF(AND('Choix pédagogiques'!$C$3=3,$BO130=1),I130,""))</f>
        <v/>
      </c>
      <c r="AE130" s="22" t="str">
        <f t="shared" si="134"/>
        <v/>
      </c>
      <c r="AF130" s="21" t="str">
        <f t="shared" si="135"/>
        <v>Apprenant 118</v>
      </c>
      <c r="AG130" s="22" t="str">
        <f t="shared" si="109"/>
        <v/>
      </c>
      <c r="AH130" s="22" t="str">
        <f t="shared" si="110"/>
        <v/>
      </c>
      <c r="AI130" s="22" t="str">
        <f t="shared" si="111"/>
        <v/>
      </c>
      <c r="AJ130" s="22" t="str">
        <f t="shared" si="136"/>
        <v/>
      </c>
      <c r="AK130" s="21" t="str">
        <f t="shared" si="137"/>
        <v>Apprenant 118 ou 118'</v>
      </c>
      <c r="AL130" s="22" t="str">
        <f t="shared" si="112"/>
        <v/>
      </c>
      <c r="AM130" s="22" t="str">
        <f t="shared" si="113"/>
        <v/>
      </c>
      <c r="AN130" s="22" t="str">
        <f t="shared" si="114"/>
        <v/>
      </c>
      <c r="AO130" s="22" t="str">
        <f t="shared" si="138"/>
        <v/>
      </c>
      <c r="AQ130" s="21" t="str">
        <f t="shared" si="139"/>
        <v>Apprenant 118</v>
      </c>
      <c r="AR130" s="49" t="str">
        <f>IF(AND('Choix pédagogiques'!$C$4&lt;&gt;"?",'Choix pédagogiques'!$C$5&lt;&gt;"?",W130&lt;&gt;""),(W130-'Choix pédagogiques'!$C$4)/('Choix pédagogiques'!$C$5-'Choix pédagogiques'!$C$4),"")</f>
        <v/>
      </c>
      <c r="AS130" s="49" t="str">
        <f>IF(AND('Choix pédagogiques'!$C$4&lt;&gt;"?",'Choix pédagogiques'!$C$5&lt;&gt;"?",X130&lt;&gt;""),(X130-'Choix pédagogiques'!$C$4)/('Choix pédagogiques'!$C$5-'Choix pédagogiques'!$C$4),"")</f>
        <v/>
      </c>
      <c r="AT130" s="49" t="str">
        <f>IF(AND('Choix pédagogiques'!$C$4&lt;&gt;"?",'Choix pédagogiques'!$C$5&lt;&gt;"?",Y130&lt;&gt;""),(Y130-'Choix pédagogiques'!$C$4)/('Choix pédagogiques'!$C$5-'Choix pédagogiques'!$C$4),"")</f>
        <v/>
      </c>
      <c r="AU130" s="22" t="str">
        <f t="shared" si="140"/>
        <v/>
      </c>
      <c r="AV130" s="21" t="str">
        <f t="shared" si="141"/>
        <v>Apprenant 118 ou 118'</v>
      </c>
      <c r="AW130" s="49" t="str">
        <f>IF(AND('Choix pédagogiques'!$C$4&lt;&gt;"?",'Choix pédagogiques'!$C$5&lt;&gt;"?",AB130&lt;&gt;""),(AB130-'Choix pédagogiques'!$C$4)/('Choix pédagogiques'!$C$5-'Choix pédagogiques'!$C$4),"")</f>
        <v/>
      </c>
      <c r="AX130" s="49" t="str">
        <f>IF(AND('Choix pédagogiques'!$C$4&lt;&gt;"?",'Choix pédagogiques'!$C$5&lt;&gt;"?",AC130&lt;&gt;""),(AC130-'Choix pédagogiques'!$C$4)/('Choix pédagogiques'!$C$5-'Choix pédagogiques'!$C$4),"")</f>
        <v/>
      </c>
      <c r="AY130" s="49" t="str">
        <f>IF(AND('Choix pédagogiques'!$C$4&lt;&gt;"?",'Choix pédagogiques'!$C$5&lt;&gt;"?",AD130&lt;&gt;""),(AD130-'Choix pédagogiques'!$C$4)/('Choix pédagogiques'!$C$5-'Choix pédagogiques'!$C$4),"")</f>
        <v/>
      </c>
      <c r="AZ130" s="22" t="str">
        <f t="shared" si="142"/>
        <v/>
      </c>
      <c r="BA130" s="21" t="str">
        <f t="shared" si="143"/>
        <v>Apprenant 118</v>
      </c>
      <c r="BB130" s="49" t="str">
        <f t="shared" si="115"/>
        <v/>
      </c>
      <c r="BC130" s="49" t="str">
        <f t="shared" si="116"/>
        <v/>
      </c>
      <c r="BD130" s="49" t="str">
        <f t="shared" si="117"/>
        <v/>
      </c>
      <c r="BE130" s="22" t="str">
        <f t="shared" si="144"/>
        <v/>
      </c>
      <c r="BF130" s="21" t="str">
        <f t="shared" si="145"/>
        <v>Apprenant 118 ou 118'</v>
      </c>
      <c r="BG130" s="49" t="str">
        <f t="shared" si="118"/>
        <v/>
      </c>
      <c r="BH130" s="49" t="str">
        <f t="shared" si="119"/>
        <v/>
      </c>
      <c r="BI130" s="49" t="str">
        <f t="shared" si="120"/>
        <v/>
      </c>
      <c r="BJ130" s="22" t="str">
        <f t="shared" si="146"/>
        <v/>
      </c>
      <c r="BL130" s="21"/>
      <c r="BM130" s="21" t="str">
        <f>IF(OR(COUNT(B130:D1129)=0,AND('Choix pédagogiques'!$C$3&lt;&gt;1,'Choix pédagogiques'!$C$3&lt;&gt;2)),"",IF(AND(OR('Choix pédagogiques'!$C$3=1,'Choix pédagogiques'!$C$3=2),$B130&lt;&gt;"",$C130&lt;&gt;"",$D130&lt;&gt;""),1,0))</f>
        <v/>
      </c>
      <c r="BN130" s="21" t="str">
        <f>IF(OR(COUNT(G130:I1129)=0,AND('Choix pédagogiques'!$C$3&lt;&gt;1,'Choix pédagogiques'!$C$3&lt;&gt;2)),"",IF(AND(OR('Choix pédagogiques'!$C$3=1,'Choix pédagogiques'!$C$3=2),AND($G130&lt;&gt;"",$H130&lt;&gt;"",$I130&lt;&gt;"")),1,0))</f>
        <v/>
      </c>
      <c r="BO130" s="21" t="str">
        <f>IF(OR(COUNT(B130:D1129)=0,COUNT(G130:I1129)=0,'Choix pédagogiques'!C$3&lt;&gt;3),"",IF(AND('Choix pédagogiques'!$C$3=3,$B130&lt;&gt;"",$C130&lt;&gt;"",$D130&lt;&gt;"",$G130&lt;&gt;"",$H130&lt;&gt;"",$I130&lt;&gt;""),1,0))</f>
        <v/>
      </c>
      <c r="BR130" s="21">
        <v>980</v>
      </c>
      <c r="BS130" s="21">
        <v>1774</v>
      </c>
      <c r="BT130"/>
    </row>
    <row r="131" spans="1:72" s="23" customFormat="1" ht="18" customHeight="1" x14ac:dyDescent="0.3">
      <c r="A131" s="35" t="s">
        <v>121</v>
      </c>
      <c r="B131" s="37"/>
      <c r="C131" s="37"/>
      <c r="D131" s="37"/>
      <c r="E131" s="37"/>
      <c r="F131" s="35" t="s">
        <v>1129</v>
      </c>
      <c r="G131" s="37"/>
      <c r="H131" s="37"/>
      <c r="I131" s="37"/>
      <c r="J131" s="37"/>
      <c r="K131" s="21" t="str">
        <f t="shared" si="121"/>
        <v>Apprenant 119</v>
      </c>
      <c r="L131" s="22" t="str">
        <f t="shared" si="122"/>
        <v/>
      </c>
      <c r="M131" s="22" t="str">
        <f t="shared" si="123"/>
        <v/>
      </c>
      <c r="N131" s="22" t="str">
        <f t="shared" si="124"/>
        <v/>
      </c>
      <c r="O131" s="22" t="str">
        <f t="shared" si="125"/>
        <v/>
      </c>
      <c r="P131" s="21" t="str">
        <f t="shared" si="126"/>
        <v>Apprenant 119 ou 119'</v>
      </c>
      <c r="Q131" s="22" t="str">
        <f t="shared" si="127"/>
        <v/>
      </c>
      <c r="R131" s="22" t="str">
        <f t="shared" si="128"/>
        <v/>
      </c>
      <c r="S131" s="22" t="str">
        <f t="shared" si="129"/>
        <v/>
      </c>
      <c r="T131" s="22" t="str">
        <f t="shared" si="130"/>
        <v/>
      </c>
      <c r="V131" s="21" t="str">
        <f t="shared" si="131"/>
        <v>Apprenant 119</v>
      </c>
      <c r="W131" s="22" t="str">
        <f>IF(AND(OR('Choix pédagogiques'!$C$3=1,'Choix pédagogiques'!$C$3=2),$BM131=1),B131,IF(AND('Choix pédagogiques'!$C$3=3,$BO131=1),B131,""))</f>
        <v/>
      </c>
      <c r="X131" s="22" t="str">
        <f>IF(AND(OR('Choix pédagogiques'!$C$3=1,'Choix pédagogiques'!$C$3=2),$BM131=1),C131,IF(AND('Choix pédagogiques'!$C$3=3,$BO131=1),C131,""))</f>
        <v/>
      </c>
      <c r="Y131" s="22" t="str">
        <f>IF(AND(OR('Choix pédagogiques'!$C$3=1,'Choix pédagogiques'!$C$3=2),$BM131=1),D131,IF(AND('Choix pédagogiques'!$C$3=3,$BO131=1),D131,""))</f>
        <v/>
      </c>
      <c r="Z131" s="22" t="str">
        <f t="shared" si="132"/>
        <v/>
      </c>
      <c r="AA131" s="21" t="str">
        <f t="shared" si="133"/>
        <v>Apprenant 119 ou 119'</v>
      </c>
      <c r="AB131" s="22" t="str">
        <f>IF(AND(OR('Choix pédagogiques'!$C$3=1,'Choix pédagogiques'!$C$3=2),$BN131=1),G131,IF(AND('Choix pédagogiques'!$C$3=3,$BO131=1),G131,""))</f>
        <v/>
      </c>
      <c r="AC131" s="22" t="str">
        <f>IF(AND(OR('Choix pédagogiques'!$C$3=1,'Choix pédagogiques'!$C$3=2),$BN131=1),H131,IF(AND('Choix pédagogiques'!$C$3=3,$BO131=1),H131,""))</f>
        <v/>
      </c>
      <c r="AD131" s="22" t="str">
        <f>IF(AND(OR('Choix pédagogiques'!$C$3=1,'Choix pédagogiques'!$C$3=2),$BN131=1),I131,IF(AND('Choix pédagogiques'!$C$3=3,$BO131=1),I131,""))</f>
        <v/>
      </c>
      <c r="AE131" s="22" t="str">
        <f t="shared" si="134"/>
        <v/>
      </c>
      <c r="AF131" s="21" t="str">
        <f t="shared" si="135"/>
        <v>Apprenant 119</v>
      </c>
      <c r="AG131" s="22" t="str">
        <f t="shared" si="109"/>
        <v/>
      </c>
      <c r="AH131" s="22" t="str">
        <f t="shared" si="110"/>
        <v/>
      </c>
      <c r="AI131" s="22" t="str">
        <f t="shared" si="111"/>
        <v/>
      </c>
      <c r="AJ131" s="22" t="str">
        <f t="shared" si="136"/>
        <v/>
      </c>
      <c r="AK131" s="21" t="str">
        <f t="shared" si="137"/>
        <v>Apprenant 119 ou 119'</v>
      </c>
      <c r="AL131" s="22" t="str">
        <f t="shared" si="112"/>
        <v/>
      </c>
      <c r="AM131" s="22" t="str">
        <f t="shared" si="113"/>
        <v/>
      </c>
      <c r="AN131" s="22" t="str">
        <f t="shared" si="114"/>
        <v/>
      </c>
      <c r="AO131" s="22" t="str">
        <f t="shared" si="138"/>
        <v/>
      </c>
      <c r="AQ131" s="21" t="str">
        <f t="shared" si="139"/>
        <v>Apprenant 119</v>
      </c>
      <c r="AR131" s="49" t="str">
        <f>IF(AND('Choix pédagogiques'!$C$4&lt;&gt;"?",'Choix pédagogiques'!$C$5&lt;&gt;"?",W131&lt;&gt;""),(W131-'Choix pédagogiques'!$C$4)/('Choix pédagogiques'!$C$5-'Choix pédagogiques'!$C$4),"")</f>
        <v/>
      </c>
      <c r="AS131" s="49" t="str">
        <f>IF(AND('Choix pédagogiques'!$C$4&lt;&gt;"?",'Choix pédagogiques'!$C$5&lt;&gt;"?",X131&lt;&gt;""),(X131-'Choix pédagogiques'!$C$4)/('Choix pédagogiques'!$C$5-'Choix pédagogiques'!$C$4),"")</f>
        <v/>
      </c>
      <c r="AT131" s="49" t="str">
        <f>IF(AND('Choix pédagogiques'!$C$4&lt;&gt;"?",'Choix pédagogiques'!$C$5&lt;&gt;"?",Y131&lt;&gt;""),(Y131-'Choix pédagogiques'!$C$4)/('Choix pédagogiques'!$C$5-'Choix pédagogiques'!$C$4),"")</f>
        <v/>
      </c>
      <c r="AU131" s="22" t="str">
        <f t="shared" si="140"/>
        <v/>
      </c>
      <c r="AV131" s="21" t="str">
        <f t="shared" si="141"/>
        <v>Apprenant 119 ou 119'</v>
      </c>
      <c r="AW131" s="49" t="str">
        <f>IF(AND('Choix pédagogiques'!$C$4&lt;&gt;"?",'Choix pédagogiques'!$C$5&lt;&gt;"?",AB131&lt;&gt;""),(AB131-'Choix pédagogiques'!$C$4)/('Choix pédagogiques'!$C$5-'Choix pédagogiques'!$C$4),"")</f>
        <v/>
      </c>
      <c r="AX131" s="49" t="str">
        <f>IF(AND('Choix pédagogiques'!$C$4&lt;&gt;"?",'Choix pédagogiques'!$C$5&lt;&gt;"?",AC131&lt;&gt;""),(AC131-'Choix pédagogiques'!$C$4)/('Choix pédagogiques'!$C$5-'Choix pédagogiques'!$C$4),"")</f>
        <v/>
      </c>
      <c r="AY131" s="49" t="str">
        <f>IF(AND('Choix pédagogiques'!$C$4&lt;&gt;"?",'Choix pédagogiques'!$C$5&lt;&gt;"?",AD131&lt;&gt;""),(AD131-'Choix pédagogiques'!$C$4)/('Choix pédagogiques'!$C$5-'Choix pédagogiques'!$C$4),"")</f>
        <v/>
      </c>
      <c r="AZ131" s="22" t="str">
        <f t="shared" si="142"/>
        <v/>
      </c>
      <c r="BA131" s="21" t="str">
        <f t="shared" si="143"/>
        <v>Apprenant 119</v>
      </c>
      <c r="BB131" s="49" t="str">
        <f t="shared" si="115"/>
        <v/>
      </c>
      <c r="BC131" s="49" t="str">
        <f t="shared" si="116"/>
        <v/>
      </c>
      <c r="BD131" s="49" t="str">
        <f t="shared" si="117"/>
        <v/>
      </c>
      <c r="BE131" s="22" t="str">
        <f t="shared" si="144"/>
        <v/>
      </c>
      <c r="BF131" s="21" t="str">
        <f t="shared" si="145"/>
        <v>Apprenant 119 ou 119'</v>
      </c>
      <c r="BG131" s="49" t="str">
        <f t="shared" si="118"/>
        <v/>
      </c>
      <c r="BH131" s="49" t="str">
        <f t="shared" si="119"/>
        <v/>
      </c>
      <c r="BI131" s="49" t="str">
        <f t="shared" si="120"/>
        <v/>
      </c>
      <c r="BJ131" s="22" t="str">
        <f t="shared" si="146"/>
        <v/>
      </c>
      <c r="BL131" s="21"/>
      <c r="BM131" s="21" t="str">
        <f>IF(OR(COUNT(B131:D1130)=0,AND('Choix pédagogiques'!$C$3&lt;&gt;1,'Choix pédagogiques'!$C$3&lt;&gt;2)),"",IF(AND(OR('Choix pédagogiques'!$C$3=1,'Choix pédagogiques'!$C$3=2),$B131&lt;&gt;"",$C131&lt;&gt;"",$D131&lt;&gt;""),1,0))</f>
        <v/>
      </c>
      <c r="BN131" s="21" t="str">
        <f>IF(OR(COUNT(G131:I1130)=0,AND('Choix pédagogiques'!$C$3&lt;&gt;1,'Choix pédagogiques'!$C$3&lt;&gt;2)),"",IF(AND(OR('Choix pédagogiques'!$C$3=1,'Choix pédagogiques'!$C$3=2),AND($G131&lt;&gt;"",$H131&lt;&gt;"",$I131&lt;&gt;"")),1,0))</f>
        <v/>
      </c>
      <c r="BO131" s="21" t="str">
        <f>IF(OR(COUNT(B131:D1130)=0,COUNT(G131:I1130)=0,'Choix pédagogiques'!C$3&lt;&gt;3),"",IF(AND('Choix pédagogiques'!$C$3=3,$B131&lt;&gt;"",$C131&lt;&gt;"",$D131&lt;&gt;"",$G131&lt;&gt;"",$H131&lt;&gt;"",$I131&lt;&gt;""),1,0))</f>
        <v/>
      </c>
      <c r="BR131" s="21">
        <v>645</v>
      </c>
      <c r="BS131" s="21">
        <v>1117</v>
      </c>
      <c r="BT131"/>
    </row>
    <row r="132" spans="1:72" s="23" customFormat="1" ht="18" customHeight="1" x14ac:dyDescent="0.3">
      <c r="A132" s="35" t="s">
        <v>122</v>
      </c>
      <c r="B132" s="37"/>
      <c r="C132" s="37"/>
      <c r="D132" s="37"/>
      <c r="E132" s="37"/>
      <c r="F132" s="35" t="s">
        <v>1130</v>
      </c>
      <c r="G132" s="37"/>
      <c r="H132" s="37"/>
      <c r="I132" s="37"/>
      <c r="J132" s="37"/>
      <c r="K132" s="21" t="str">
        <f t="shared" si="121"/>
        <v>Apprenant 120</v>
      </c>
      <c r="L132" s="22" t="str">
        <f t="shared" si="122"/>
        <v/>
      </c>
      <c r="M132" s="22" t="str">
        <f t="shared" si="123"/>
        <v/>
      </c>
      <c r="N132" s="22" t="str">
        <f t="shared" si="124"/>
        <v/>
      </c>
      <c r="O132" s="22" t="str">
        <f t="shared" si="125"/>
        <v/>
      </c>
      <c r="P132" s="21" t="str">
        <f t="shared" si="126"/>
        <v>Apprenant 120 ou 120'</v>
      </c>
      <c r="Q132" s="22" t="str">
        <f t="shared" si="127"/>
        <v/>
      </c>
      <c r="R132" s="22" t="str">
        <f t="shared" si="128"/>
        <v/>
      </c>
      <c r="S132" s="22" t="str">
        <f t="shared" si="129"/>
        <v/>
      </c>
      <c r="T132" s="22" t="str">
        <f t="shared" si="130"/>
        <v/>
      </c>
      <c r="V132" s="21" t="str">
        <f t="shared" si="131"/>
        <v>Apprenant 120</v>
      </c>
      <c r="W132" s="22" t="str">
        <f>IF(AND(OR('Choix pédagogiques'!$C$3=1,'Choix pédagogiques'!$C$3=2),$BM132=1),B132,IF(AND('Choix pédagogiques'!$C$3=3,$BO132=1),B132,""))</f>
        <v/>
      </c>
      <c r="X132" s="22" t="str">
        <f>IF(AND(OR('Choix pédagogiques'!$C$3=1,'Choix pédagogiques'!$C$3=2),$BM132=1),C132,IF(AND('Choix pédagogiques'!$C$3=3,$BO132=1),C132,""))</f>
        <v/>
      </c>
      <c r="Y132" s="22" t="str">
        <f>IF(AND(OR('Choix pédagogiques'!$C$3=1,'Choix pédagogiques'!$C$3=2),$BM132=1),D132,IF(AND('Choix pédagogiques'!$C$3=3,$BO132=1),D132,""))</f>
        <v/>
      </c>
      <c r="Z132" s="22" t="str">
        <f t="shared" si="132"/>
        <v/>
      </c>
      <c r="AA132" s="21" t="str">
        <f t="shared" si="133"/>
        <v>Apprenant 120 ou 120'</v>
      </c>
      <c r="AB132" s="22" t="str">
        <f>IF(AND(OR('Choix pédagogiques'!$C$3=1,'Choix pédagogiques'!$C$3=2),$BN132=1),G132,IF(AND('Choix pédagogiques'!$C$3=3,$BO132=1),G132,""))</f>
        <v/>
      </c>
      <c r="AC132" s="22" t="str">
        <f>IF(AND(OR('Choix pédagogiques'!$C$3=1,'Choix pédagogiques'!$C$3=2),$BN132=1),H132,IF(AND('Choix pédagogiques'!$C$3=3,$BO132=1),H132,""))</f>
        <v/>
      </c>
      <c r="AD132" s="22" t="str">
        <f>IF(AND(OR('Choix pédagogiques'!$C$3=1,'Choix pédagogiques'!$C$3=2),$BN132=1),I132,IF(AND('Choix pédagogiques'!$C$3=3,$BO132=1),I132,""))</f>
        <v/>
      </c>
      <c r="AE132" s="22" t="str">
        <f t="shared" si="134"/>
        <v/>
      </c>
      <c r="AF132" s="21" t="str">
        <f t="shared" si="135"/>
        <v>Apprenant 120</v>
      </c>
      <c r="AG132" s="22" t="str">
        <f t="shared" si="109"/>
        <v/>
      </c>
      <c r="AH132" s="22" t="str">
        <f t="shared" si="110"/>
        <v/>
      </c>
      <c r="AI132" s="22" t="str">
        <f t="shared" si="111"/>
        <v/>
      </c>
      <c r="AJ132" s="22" t="str">
        <f t="shared" si="136"/>
        <v/>
      </c>
      <c r="AK132" s="21" t="str">
        <f t="shared" si="137"/>
        <v>Apprenant 120 ou 120'</v>
      </c>
      <c r="AL132" s="22" t="str">
        <f t="shared" si="112"/>
        <v/>
      </c>
      <c r="AM132" s="22" t="str">
        <f t="shared" si="113"/>
        <v/>
      </c>
      <c r="AN132" s="22" t="str">
        <f t="shared" si="114"/>
        <v/>
      </c>
      <c r="AO132" s="22" t="str">
        <f t="shared" si="138"/>
        <v/>
      </c>
      <c r="AQ132" s="21" t="str">
        <f t="shared" si="139"/>
        <v>Apprenant 120</v>
      </c>
      <c r="AR132" s="49" t="str">
        <f>IF(AND('Choix pédagogiques'!$C$4&lt;&gt;"?",'Choix pédagogiques'!$C$5&lt;&gt;"?",W132&lt;&gt;""),(W132-'Choix pédagogiques'!$C$4)/('Choix pédagogiques'!$C$5-'Choix pédagogiques'!$C$4),"")</f>
        <v/>
      </c>
      <c r="AS132" s="49" t="str">
        <f>IF(AND('Choix pédagogiques'!$C$4&lt;&gt;"?",'Choix pédagogiques'!$C$5&lt;&gt;"?",X132&lt;&gt;""),(X132-'Choix pédagogiques'!$C$4)/('Choix pédagogiques'!$C$5-'Choix pédagogiques'!$C$4),"")</f>
        <v/>
      </c>
      <c r="AT132" s="49" t="str">
        <f>IF(AND('Choix pédagogiques'!$C$4&lt;&gt;"?",'Choix pédagogiques'!$C$5&lt;&gt;"?",Y132&lt;&gt;""),(Y132-'Choix pédagogiques'!$C$4)/('Choix pédagogiques'!$C$5-'Choix pédagogiques'!$C$4),"")</f>
        <v/>
      </c>
      <c r="AU132" s="22" t="str">
        <f t="shared" si="140"/>
        <v/>
      </c>
      <c r="AV132" s="21" t="str">
        <f t="shared" si="141"/>
        <v>Apprenant 120 ou 120'</v>
      </c>
      <c r="AW132" s="49" t="str">
        <f>IF(AND('Choix pédagogiques'!$C$4&lt;&gt;"?",'Choix pédagogiques'!$C$5&lt;&gt;"?",AB132&lt;&gt;""),(AB132-'Choix pédagogiques'!$C$4)/('Choix pédagogiques'!$C$5-'Choix pédagogiques'!$C$4),"")</f>
        <v/>
      </c>
      <c r="AX132" s="49" t="str">
        <f>IF(AND('Choix pédagogiques'!$C$4&lt;&gt;"?",'Choix pédagogiques'!$C$5&lt;&gt;"?",AC132&lt;&gt;""),(AC132-'Choix pédagogiques'!$C$4)/('Choix pédagogiques'!$C$5-'Choix pédagogiques'!$C$4),"")</f>
        <v/>
      </c>
      <c r="AY132" s="49" t="str">
        <f>IF(AND('Choix pédagogiques'!$C$4&lt;&gt;"?",'Choix pédagogiques'!$C$5&lt;&gt;"?",AD132&lt;&gt;""),(AD132-'Choix pédagogiques'!$C$4)/('Choix pédagogiques'!$C$5-'Choix pédagogiques'!$C$4),"")</f>
        <v/>
      </c>
      <c r="AZ132" s="22" t="str">
        <f t="shared" si="142"/>
        <v/>
      </c>
      <c r="BA132" s="21" t="str">
        <f t="shared" si="143"/>
        <v>Apprenant 120</v>
      </c>
      <c r="BB132" s="49" t="str">
        <f t="shared" si="115"/>
        <v/>
      </c>
      <c r="BC132" s="49" t="str">
        <f t="shared" si="116"/>
        <v/>
      </c>
      <c r="BD132" s="49" t="str">
        <f t="shared" si="117"/>
        <v/>
      </c>
      <c r="BE132" s="22" t="str">
        <f t="shared" si="144"/>
        <v/>
      </c>
      <c r="BF132" s="21" t="str">
        <f t="shared" si="145"/>
        <v>Apprenant 120 ou 120'</v>
      </c>
      <c r="BG132" s="49" t="str">
        <f t="shared" si="118"/>
        <v/>
      </c>
      <c r="BH132" s="49" t="str">
        <f t="shared" si="119"/>
        <v/>
      </c>
      <c r="BI132" s="49" t="str">
        <f t="shared" si="120"/>
        <v/>
      </c>
      <c r="BJ132" s="22" t="str">
        <f t="shared" si="146"/>
        <v/>
      </c>
      <c r="BL132" s="21"/>
      <c r="BM132" s="21" t="str">
        <f>IF(OR(COUNT(B132:D1131)=0,AND('Choix pédagogiques'!$C$3&lt;&gt;1,'Choix pédagogiques'!$C$3&lt;&gt;2)),"",IF(AND(OR('Choix pédagogiques'!$C$3=1,'Choix pédagogiques'!$C$3=2),$B132&lt;&gt;"",$C132&lt;&gt;"",$D132&lt;&gt;""),1,0))</f>
        <v/>
      </c>
      <c r="BN132" s="21" t="str">
        <f>IF(OR(COUNT(G132:I1131)=0,AND('Choix pédagogiques'!$C$3&lt;&gt;1,'Choix pédagogiques'!$C$3&lt;&gt;2)),"",IF(AND(OR('Choix pédagogiques'!$C$3=1,'Choix pédagogiques'!$C$3=2),AND($G132&lt;&gt;"",$H132&lt;&gt;"",$I132&lt;&gt;"")),1,0))</f>
        <v/>
      </c>
      <c r="BO132" s="21" t="str">
        <f>IF(OR(COUNT(B132:D1131)=0,COUNT(G132:I1131)=0,'Choix pédagogiques'!C$3&lt;&gt;3),"",IF(AND('Choix pédagogiques'!$C$3=3,$B132&lt;&gt;"",$C132&lt;&gt;"",$D132&lt;&gt;"",$G132&lt;&gt;"",$H132&lt;&gt;"",$I132&lt;&gt;""),1,0))</f>
        <v/>
      </c>
      <c r="BR132" s="21">
        <v>523</v>
      </c>
      <c r="BS132" s="21">
        <v>1723</v>
      </c>
      <c r="BT132"/>
    </row>
    <row r="133" spans="1:72" s="23" customFormat="1" ht="18" customHeight="1" x14ac:dyDescent="0.3">
      <c r="A133" s="35" t="s">
        <v>123</v>
      </c>
      <c r="B133" s="37"/>
      <c r="C133" s="37"/>
      <c r="D133" s="37"/>
      <c r="E133" s="37"/>
      <c r="F133" s="35" t="s">
        <v>1131</v>
      </c>
      <c r="G133" s="37"/>
      <c r="H133" s="37"/>
      <c r="I133" s="37"/>
      <c r="J133" s="37"/>
      <c r="K133" s="21" t="str">
        <f t="shared" si="121"/>
        <v>Apprenant 121</v>
      </c>
      <c r="L133" s="22" t="str">
        <f t="shared" si="122"/>
        <v/>
      </c>
      <c r="M133" s="22" t="str">
        <f t="shared" si="123"/>
        <v/>
      </c>
      <c r="N133" s="22" t="str">
        <f t="shared" si="124"/>
        <v/>
      </c>
      <c r="O133" s="22" t="str">
        <f t="shared" si="125"/>
        <v/>
      </c>
      <c r="P133" s="21" t="str">
        <f t="shared" si="126"/>
        <v>Apprenant 121 ou 121'</v>
      </c>
      <c r="Q133" s="22" t="str">
        <f t="shared" si="127"/>
        <v/>
      </c>
      <c r="R133" s="22" t="str">
        <f t="shared" si="128"/>
        <v/>
      </c>
      <c r="S133" s="22" t="str">
        <f t="shared" si="129"/>
        <v/>
      </c>
      <c r="T133" s="22" t="str">
        <f t="shared" si="130"/>
        <v/>
      </c>
      <c r="V133" s="21" t="str">
        <f t="shared" si="131"/>
        <v>Apprenant 121</v>
      </c>
      <c r="W133" s="22" t="str">
        <f>IF(AND(OR('Choix pédagogiques'!$C$3=1,'Choix pédagogiques'!$C$3=2),$BM133=1),B133,IF(AND('Choix pédagogiques'!$C$3=3,$BO133=1),B133,""))</f>
        <v/>
      </c>
      <c r="X133" s="22" t="str">
        <f>IF(AND(OR('Choix pédagogiques'!$C$3=1,'Choix pédagogiques'!$C$3=2),$BM133=1),C133,IF(AND('Choix pédagogiques'!$C$3=3,$BO133=1),C133,""))</f>
        <v/>
      </c>
      <c r="Y133" s="22" t="str">
        <f>IF(AND(OR('Choix pédagogiques'!$C$3=1,'Choix pédagogiques'!$C$3=2),$BM133=1),D133,IF(AND('Choix pédagogiques'!$C$3=3,$BO133=1),D133,""))</f>
        <v/>
      </c>
      <c r="Z133" s="22" t="str">
        <f t="shared" si="132"/>
        <v/>
      </c>
      <c r="AA133" s="21" t="str">
        <f t="shared" si="133"/>
        <v>Apprenant 121 ou 121'</v>
      </c>
      <c r="AB133" s="22" t="str">
        <f>IF(AND(OR('Choix pédagogiques'!$C$3=1,'Choix pédagogiques'!$C$3=2),$BN133=1),G133,IF(AND('Choix pédagogiques'!$C$3=3,$BO133=1),G133,""))</f>
        <v/>
      </c>
      <c r="AC133" s="22" t="str">
        <f>IF(AND(OR('Choix pédagogiques'!$C$3=1,'Choix pédagogiques'!$C$3=2),$BN133=1),H133,IF(AND('Choix pédagogiques'!$C$3=3,$BO133=1),H133,""))</f>
        <v/>
      </c>
      <c r="AD133" s="22" t="str">
        <f>IF(AND(OR('Choix pédagogiques'!$C$3=1,'Choix pédagogiques'!$C$3=2),$BN133=1),I133,IF(AND('Choix pédagogiques'!$C$3=3,$BO133=1),I133,""))</f>
        <v/>
      </c>
      <c r="AE133" s="22" t="str">
        <f t="shared" si="134"/>
        <v/>
      </c>
      <c r="AF133" s="21" t="str">
        <f t="shared" si="135"/>
        <v>Apprenant 121</v>
      </c>
      <c r="AG133" s="22" t="str">
        <f t="shared" si="109"/>
        <v/>
      </c>
      <c r="AH133" s="22" t="str">
        <f t="shared" si="110"/>
        <v/>
      </c>
      <c r="AI133" s="22" t="str">
        <f t="shared" si="111"/>
        <v/>
      </c>
      <c r="AJ133" s="22" t="str">
        <f t="shared" si="136"/>
        <v/>
      </c>
      <c r="AK133" s="21" t="str">
        <f t="shared" si="137"/>
        <v>Apprenant 121 ou 121'</v>
      </c>
      <c r="AL133" s="22" t="str">
        <f t="shared" si="112"/>
        <v/>
      </c>
      <c r="AM133" s="22" t="str">
        <f t="shared" si="113"/>
        <v/>
      </c>
      <c r="AN133" s="22" t="str">
        <f t="shared" si="114"/>
        <v/>
      </c>
      <c r="AO133" s="22" t="str">
        <f t="shared" si="138"/>
        <v/>
      </c>
      <c r="AQ133" s="21" t="str">
        <f t="shared" si="139"/>
        <v>Apprenant 121</v>
      </c>
      <c r="AR133" s="49" t="str">
        <f>IF(AND('Choix pédagogiques'!$C$4&lt;&gt;"?",'Choix pédagogiques'!$C$5&lt;&gt;"?",W133&lt;&gt;""),(W133-'Choix pédagogiques'!$C$4)/('Choix pédagogiques'!$C$5-'Choix pédagogiques'!$C$4),"")</f>
        <v/>
      </c>
      <c r="AS133" s="49" t="str">
        <f>IF(AND('Choix pédagogiques'!$C$4&lt;&gt;"?",'Choix pédagogiques'!$C$5&lt;&gt;"?",X133&lt;&gt;""),(X133-'Choix pédagogiques'!$C$4)/('Choix pédagogiques'!$C$5-'Choix pédagogiques'!$C$4),"")</f>
        <v/>
      </c>
      <c r="AT133" s="49" t="str">
        <f>IF(AND('Choix pédagogiques'!$C$4&lt;&gt;"?",'Choix pédagogiques'!$C$5&lt;&gt;"?",Y133&lt;&gt;""),(Y133-'Choix pédagogiques'!$C$4)/('Choix pédagogiques'!$C$5-'Choix pédagogiques'!$C$4),"")</f>
        <v/>
      </c>
      <c r="AU133" s="22" t="str">
        <f t="shared" si="140"/>
        <v/>
      </c>
      <c r="AV133" s="21" t="str">
        <f t="shared" si="141"/>
        <v>Apprenant 121 ou 121'</v>
      </c>
      <c r="AW133" s="49" t="str">
        <f>IF(AND('Choix pédagogiques'!$C$4&lt;&gt;"?",'Choix pédagogiques'!$C$5&lt;&gt;"?",AB133&lt;&gt;""),(AB133-'Choix pédagogiques'!$C$4)/('Choix pédagogiques'!$C$5-'Choix pédagogiques'!$C$4),"")</f>
        <v/>
      </c>
      <c r="AX133" s="49" t="str">
        <f>IF(AND('Choix pédagogiques'!$C$4&lt;&gt;"?",'Choix pédagogiques'!$C$5&lt;&gt;"?",AC133&lt;&gt;""),(AC133-'Choix pédagogiques'!$C$4)/('Choix pédagogiques'!$C$5-'Choix pédagogiques'!$C$4),"")</f>
        <v/>
      </c>
      <c r="AY133" s="49" t="str">
        <f>IF(AND('Choix pédagogiques'!$C$4&lt;&gt;"?",'Choix pédagogiques'!$C$5&lt;&gt;"?",AD133&lt;&gt;""),(AD133-'Choix pédagogiques'!$C$4)/('Choix pédagogiques'!$C$5-'Choix pédagogiques'!$C$4),"")</f>
        <v/>
      </c>
      <c r="AZ133" s="22" t="str">
        <f t="shared" si="142"/>
        <v/>
      </c>
      <c r="BA133" s="21" t="str">
        <f t="shared" si="143"/>
        <v>Apprenant 121</v>
      </c>
      <c r="BB133" s="49" t="str">
        <f t="shared" si="115"/>
        <v/>
      </c>
      <c r="BC133" s="49" t="str">
        <f t="shared" si="116"/>
        <v/>
      </c>
      <c r="BD133" s="49" t="str">
        <f t="shared" si="117"/>
        <v/>
      </c>
      <c r="BE133" s="22" t="str">
        <f t="shared" si="144"/>
        <v/>
      </c>
      <c r="BF133" s="21" t="str">
        <f t="shared" si="145"/>
        <v>Apprenant 121 ou 121'</v>
      </c>
      <c r="BG133" s="49" t="str">
        <f t="shared" si="118"/>
        <v/>
      </c>
      <c r="BH133" s="49" t="str">
        <f t="shared" si="119"/>
        <v/>
      </c>
      <c r="BI133" s="49" t="str">
        <f t="shared" si="120"/>
        <v/>
      </c>
      <c r="BJ133" s="22" t="str">
        <f t="shared" si="146"/>
        <v/>
      </c>
      <c r="BL133" s="21"/>
      <c r="BM133" s="21" t="str">
        <f>IF(OR(COUNT(B133:D1132)=0,AND('Choix pédagogiques'!$C$3&lt;&gt;1,'Choix pédagogiques'!$C$3&lt;&gt;2)),"",IF(AND(OR('Choix pédagogiques'!$C$3=1,'Choix pédagogiques'!$C$3=2),$B133&lt;&gt;"",$C133&lt;&gt;"",$D133&lt;&gt;""),1,0))</f>
        <v/>
      </c>
      <c r="BN133" s="21" t="str">
        <f>IF(OR(COUNT(G133:I1132)=0,AND('Choix pédagogiques'!$C$3&lt;&gt;1,'Choix pédagogiques'!$C$3&lt;&gt;2)),"",IF(AND(OR('Choix pédagogiques'!$C$3=1,'Choix pédagogiques'!$C$3=2),AND($G133&lt;&gt;"",$H133&lt;&gt;"",$I133&lt;&gt;"")),1,0))</f>
        <v/>
      </c>
      <c r="BO133" s="21" t="str">
        <f>IF(OR(COUNT(B133:D1132)=0,COUNT(G133:I1132)=0,'Choix pédagogiques'!C$3&lt;&gt;3),"",IF(AND('Choix pédagogiques'!$C$3=3,$B133&lt;&gt;"",$C133&lt;&gt;"",$D133&lt;&gt;"",$G133&lt;&gt;"",$H133&lt;&gt;"",$I133&lt;&gt;""),1,0))</f>
        <v/>
      </c>
      <c r="BR133" s="21">
        <v>279</v>
      </c>
      <c r="BS133" s="21">
        <v>1411</v>
      </c>
      <c r="BT133"/>
    </row>
    <row r="134" spans="1:72" s="23" customFormat="1" ht="18" customHeight="1" x14ac:dyDescent="0.3">
      <c r="A134" s="35" t="s">
        <v>124</v>
      </c>
      <c r="B134" s="37"/>
      <c r="C134" s="37"/>
      <c r="D134" s="37"/>
      <c r="E134" s="37"/>
      <c r="F134" s="35" t="s">
        <v>1132</v>
      </c>
      <c r="G134" s="37"/>
      <c r="H134" s="37"/>
      <c r="I134" s="37"/>
      <c r="J134" s="37"/>
      <c r="K134" s="21" t="str">
        <f t="shared" si="121"/>
        <v>Apprenant 122</v>
      </c>
      <c r="L134" s="22" t="str">
        <f t="shared" si="122"/>
        <v/>
      </c>
      <c r="M134" s="22" t="str">
        <f t="shared" si="123"/>
        <v/>
      </c>
      <c r="N134" s="22" t="str">
        <f t="shared" si="124"/>
        <v/>
      </c>
      <c r="O134" s="22" t="str">
        <f t="shared" si="125"/>
        <v/>
      </c>
      <c r="P134" s="21" t="str">
        <f t="shared" si="126"/>
        <v>Apprenant 122 ou 122'</v>
      </c>
      <c r="Q134" s="22" t="str">
        <f t="shared" si="127"/>
        <v/>
      </c>
      <c r="R134" s="22" t="str">
        <f t="shared" si="128"/>
        <v/>
      </c>
      <c r="S134" s="22" t="str">
        <f t="shared" si="129"/>
        <v/>
      </c>
      <c r="T134" s="22" t="str">
        <f t="shared" si="130"/>
        <v/>
      </c>
      <c r="V134" s="21" t="str">
        <f t="shared" si="131"/>
        <v>Apprenant 122</v>
      </c>
      <c r="W134" s="22" t="str">
        <f>IF(AND(OR('Choix pédagogiques'!$C$3=1,'Choix pédagogiques'!$C$3=2),$BM134=1),B134,IF(AND('Choix pédagogiques'!$C$3=3,$BO134=1),B134,""))</f>
        <v/>
      </c>
      <c r="X134" s="22" t="str">
        <f>IF(AND(OR('Choix pédagogiques'!$C$3=1,'Choix pédagogiques'!$C$3=2),$BM134=1),C134,IF(AND('Choix pédagogiques'!$C$3=3,$BO134=1),C134,""))</f>
        <v/>
      </c>
      <c r="Y134" s="22" t="str">
        <f>IF(AND(OR('Choix pédagogiques'!$C$3=1,'Choix pédagogiques'!$C$3=2),$BM134=1),D134,IF(AND('Choix pédagogiques'!$C$3=3,$BO134=1),D134,""))</f>
        <v/>
      </c>
      <c r="Z134" s="22" t="str">
        <f t="shared" si="132"/>
        <v/>
      </c>
      <c r="AA134" s="21" t="str">
        <f t="shared" si="133"/>
        <v>Apprenant 122 ou 122'</v>
      </c>
      <c r="AB134" s="22" t="str">
        <f>IF(AND(OR('Choix pédagogiques'!$C$3=1,'Choix pédagogiques'!$C$3=2),$BN134=1),G134,IF(AND('Choix pédagogiques'!$C$3=3,$BO134=1),G134,""))</f>
        <v/>
      </c>
      <c r="AC134" s="22" t="str">
        <f>IF(AND(OR('Choix pédagogiques'!$C$3=1,'Choix pédagogiques'!$C$3=2),$BN134=1),H134,IF(AND('Choix pédagogiques'!$C$3=3,$BO134=1),H134,""))</f>
        <v/>
      </c>
      <c r="AD134" s="22" t="str">
        <f>IF(AND(OR('Choix pédagogiques'!$C$3=1,'Choix pédagogiques'!$C$3=2),$BN134=1),I134,IF(AND('Choix pédagogiques'!$C$3=3,$BO134=1),I134,""))</f>
        <v/>
      </c>
      <c r="AE134" s="22" t="str">
        <f t="shared" si="134"/>
        <v/>
      </c>
      <c r="AF134" s="21" t="str">
        <f t="shared" si="135"/>
        <v>Apprenant 122</v>
      </c>
      <c r="AG134" s="22" t="str">
        <f t="shared" si="109"/>
        <v/>
      </c>
      <c r="AH134" s="22" t="str">
        <f t="shared" si="110"/>
        <v/>
      </c>
      <c r="AI134" s="22" t="str">
        <f t="shared" si="111"/>
        <v/>
      </c>
      <c r="AJ134" s="22" t="str">
        <f t="shared" si="136"/>
        <v/>
      </c>
      <c r="AK134" s="21" t="str">
        <f t="shared" si="137"/>
        <v>Apprenant 122 ou 122'</v>
      </c>
      <c r="AL134" s="22" t="str">
        <f t="shared" si="112"/>
        <v/>
      </c>
      <c r="AM134" s="22" t="str">
        <f t="shared" si="113"/>
        <v/>
      </c>
      <c r="AN134" s="22" t="str">
        <f t="shared" si="114"/>
        <v/>
      </c>
      <c r="AO134" s="22" t="str">
        <f t="shared" si="138"/>
        <v/>
      </c>
      <c r="AQ134" s="21" t="str">
        <f t="shared" si="139"/>
        <v>Apprenant 122</v>
      </c>
      <c r="AR134" s="49" t="str">
        <f>IF(AND('Choix pédagogiques'!$C$4&lt;&gt;"?",'Choix pédagogiques'!$C$5&lt;&gt;"?",W134&lt;&gt;""),(W134-'Choix pédagogiques'!$C$4)/('Choix pédagogiques'!$C$5-'Choix pédagogiques'!$C$4),"")</f>
        <v/>
      </c>
      <c r="AS134" s="49" t="str">
        <f>IF(AND('Choix pédagogiques'!$C$4&lt;&gt;"?",'Choix pédagogiques'!$C$5&lt;&gt;"?",X134&lt;&gt;""),(X134-'Choix pédagogiques'!$C$4)/('Choix pédagogiques'!$C$5-'Choix pédagogiques'!$C$4),"")</f>
        <v/>
      </c>
      <c r="AT134" s="49" t="str">
        <f>IF(AND('Choix pédagogiques'!$C$4&lt;&gt;"?",'Choix pédagogiques'!$C$5&lt;&gt;"?",Y134&lt;&gt;""),(Y134-'Choix pédagogiques'!$C$4)/('Choix pédagogiques'!$C$5-'Choix pédagogiques'!$C$4),"")</f>
        <v/>
      </c>
      <c r="AU134" s="22" t="str">
        <f t="shared" si="140"/>
        <v/>
      </c>
      <c r="AV134" s="21" t="str">
        <f t="shared" si="141"/>
        <v>Apprenant 122 ou 122'</v>
      </c>
      <c r="AW134" s="49" t="str">
        <f>IF(AND('Choix pédagogiques'!$C$4&lt;&gt;"?",'Choix pédagogiques'!$C$5&lt;&gt;"?",AB134&lt;&gt;""),(AB134-'Choix pédagogiques'!$C$4)/('Choix pédagogiques'!$C$5-'Choix pédagogiques'!$C$4),"")</f>
        <v/>
      </c>
      <c r="AX134" s="49" t="str">
        <f>IF(AND('Choix pédagogiques'!$C$4&lt;&gt;"?",'Choix pédagogiques'!$C$5&lt;&gt;"?",AC134&lt;&gt;""),(AC134-'Choix pédagogiques'!$C$4)/('Choix pédagogiques'!$C$5-'Choix pédagogiques'!$C$4),"")</f>
        <v/>
      </c>
      <c r="AY134" s="49" t="str">
        <f>IF(AND('Choix pédagogiques'!$C$4&lt;&gt;"?",'Choix pédagogiques'!$C$5&lt;&gt;"?",AD134&lt;&gt;""),(AD134-'Choix pédagogiques'!$C$4)/('Choix pédagogiques'!$C$5-'Choix pédagogiques'!$C$4),"")</f>
        <v/>
      </c>
      <c r="AZ134" s="22" t="str">
        <f t="shared" si="142"/>
        <v/>
      </c>
      <c r="BA134" s="21" t="str">
        <f t="shared" si="143"/>
        <v>Apprenant 122</v>
      </c>
      <c r="BB134" s="49" t="str">
        <f t="shared" si="115"/>
        <v/>
      </c>
      <c r="BC134" s="49" t="str">
        <f t="shared" si="116"/>
        <v/>
      </c>
      <c r="BD134" s="49" t="str">
        <f t="shared" si="117"/>
        <v/>
      </c>
      <c r="BE134" s="22" t="str">
        <f t="shared" si="144"/>
        <v/>
      </c>
      <c r="BF134" s="21" t="str">
        <f t="shared" si="145"/>
        <v>Apprenant 122 ou 122'</v>
      </c>
      <c r="BG134" s="49" t="str">
        <f t="shared" si="118"/>
        <v/>
      </c>
      <c r="BH134" s="49" t="str">
        <f t="shared" si="119"/>
        <v/>
      </c>
      <c r="BI134" s="49" t="str">
        <f t="shared" si="120"/>
        <v/>
      </c>
      <c r="BJ134" s="22" t="str">
        <f t="shared" si="146"/>
        <v/>
      </c>
      <c r="BL134" s="21"/>
      <c r="BM134" s="21" t="str">
        <f>IF(OR(COUNT(B134:D1133)=0,AND('Choix pédagogiques'!$C$3&lt;&gt;1,'Choix pédagogiques'!$C$3&lt;&gt;2)),"",IF(AND(OR('Choix pédagogiques'!$C$3=1,'Choix pédagogiques'!$C$3=2),$B134&lt;&gt;"",$C134&lt;&gt;"",$D134&lt;&gt;""),1,0))</f>
        <v/>
      </c>
      <c r="BN134" s="21" t="str">
        <f>IF(OR(COUNT(G134:I1133)=0,AND('Choix pédagogiques'!$C$3&lt;&gt;1,'Choix pédagogiques'!$C$3&lt;&gt;2)),"",IF(AND(OR('Choix pédagogiques'!$C$3=1,'Choix pédagogiques'!$C$3=2),AND($G134&lt;&gt;"",$H134&lt;&gt;"",$I134&lt;&gt;"")),1,0))</f>
        <v/>
      </c>
      <c r="BO134" s="21" t="str">
        <f>IF(OR(COUNT(B134:D1133)=0,COUNT(G134:I1133)=0,'Choix pédagogiques'!C$3&lt;&gt;3),"",IF(AND('Choix pédagogiques'!$C$3=3,$B134&lt;&gt;"",$C134&lt;&gt;"",$D134&lt;&gt;"",$G134&lt;&gt;"",$H134&lt;&gt;"",$I134&lt;&gt;""),1,0))</f>
        <v/>
      </c>
      <c r="BR134" s="21">
        <v>336</v>
      </c>
      <c r="BS134" s="21">
        <v>1358</v>
      </c>
      <c r="BT134"/>
    </row>
    <row r="135" spans="1:72" s="23" customFormat="1" ht="18" customHeight="1" x14ac:dyDescent="0.3">
      <c r="A135" s="35" t="s">
        <v>125</v>
      </c>
      <c r="B135" s="37"/>
      <c r="C135" s="37"/>
      <c r="D135" s="37"/>
      <c r="E135" s="37"/>
      <c r="F135" s="35" t="s">
        <v>1133</v>
      </c>
      <c r="G135" s="37"/>
      <c r="H135" s="37"/>
      <c r="I135" s="37"/>
      <c r="J135" s="37"/>
      <c r="K135" s="21" t="str">
        <f t="shared" si="121"/>
        <v>Apprenant 123</v>
      </c>
      <c r="L135" s="22" t="str">
        <f t="shared" si="122"/>
        <v/>
      </c>
      <c r="M135" s="22" t="str">
        <f t="shared" si="123"/>
        <v/>
      </c>
      <c r="N135" s="22" t="str">
        <f t="shared" si="124"/>
        <v/>
      </c>
      <c r="O135" s="22" t="str">
        <f t="shared" si="125"/>
        <v/>
      </c>
      <c r="P135" s="21" t="str">
        <f t="shared" si="126"/>
        <v>Apprenant 123 ou 123'</v>
      </c>
      <c r="Q135" s="22" t="str">
        <f t="shared" si="127"/>
        <v/>
      </c>
      <c r="R135" s="22" t="str">
        <f t="shared" si="128"/>
        <v/>
      </c>
      <c r="S135" s="22" t="str">
        <f t="shared" si="129"/>
        <v/>
      </c>
      <c r="T135" s="22" t="str">
        <f t="shared" si="130"/>
        <v/>
      </c>
      <c r="V135" s="21" t="str">
        <f t="shared" si="131"/>
        <v>Apprenant 123</v>
      </c>
      <c r="W135" s="22" t="str">
        <f>IF(AND(OR('Choix pédagogiques'!$C$3=1,'Choix pédagogiques'!$C$3=2),$BM135=1),B135,IF(AND('Choix pédagogiques'!$C$3=3,$BO135=1),B135,""))</f>
        <v/>
      </c>
      <c r="X135" s="22" t="str">
        <f>IF(AND(OR('Choix pédagogiques'!$C$3=1,'Choix pédagogiques'!$C$3=2),$BM135=1),C135,IF(AND('Choix pédagogiques'!$C$3=3,$BO135=1),C135,""))</f>
        <v/>
      </c>
      <c r="Y135" s="22" t="str">
        <f>IF(AND(OR('Choix pédagogiques'!$C$3=1,'Choix pédagogiques'!$C$3=2),$BM135=1),D135,IF(AND('Choix pédagogiques'!$C$3=3,$BO135=1),D135,""))</f>
        <v/>
      </c>
      <c r="Z135" s="22" t="str">
        <f t="shared" si="132"/>
        <v/>
      </c>
      <c r="AA135" s="21" t="str">
        <f t="shared" si="133"/>
        <v>Apprenant 123 ou 123'</v>
      </c>
      <c r="AB135" s="22" t="str">
        <f>IF(AND(OR('Choix pédagogiques'!$C$3=1,'Choix pédagogiques'!$C$3=2),$BN135=1),G135,IF(AND('Choix pédagogiques'!$C$3=3,$BO135=1),G135,""))</f>
        <v/>
      </c>
      <c r="AC135" s="22" t="str">
        <f>IF(AND(OR('Choix pédagogiques'!$C$3=1,'Choix pédagogiques'!$C$3=2),$BN135=1),H135,IF(AND('Choix pédagogiques'!$C$3=3,$BO135=1),H135,""))</f>
        <v/>
      </c>
      <c r="AD135" s="22" t="str">
        <f>IF(AND(OR('Choix pédagogiques'!$C$3=1,'Choix pédagogiques'!$C$3=2),$BN135=1),I135,IF(AND('Choix pédagogiques'!$C$3=3,$BO135=1),I135,""))</f>
        <v/>
      </c>
      <c r="AE135" s="22" t="str">
        <f t="shared" si="134"/>
        <v/>
      </c>
      <c r="AF135" s="21" t="str">
        <f t="shared" si="135"/>
        <v>Apprenant 123</v>
      </c>
      <c r="AG135" s="22" t="str">
        <f t="shared" si="109"/>
        <v/>
      </c>
      <c r="AH135" s="22" t="str">
        <f t="shared" si="110"/>
        <v/>
      </c>
      <c r="AI135" s="22" t="str">
        <f t="shared" si="111"/>
        <v/>
      </c>
      <c r="AJ135" s="22" t="str">
        <f t="shared" si="136"/>
        <v/>
      </c>
      <c r="AK135" s="21" t="str">
        <f t="shared" si="137"/>
        <v>Apprenant 123 ou 123'</v>
      </c>
      <c r="AL135" s="22" t="str">
        <f t="shared" si="112"/>
        <v/>
      </c>
      <c r="AM135" s="22" t="str">
        <f t="shared" si="113"/>
        <v/>
      </c>
      <c r="AN135" s="22" t="str">
        <f t="shared" si="114"/>
        <v/>
      </c>
      <c r="AO135" s="22" t="str">
        <f t="shared" si="138"/>
        <v/>
      </c>
      <c r="AQ135" s="21" t="str">
        <f t="shared" si="139"/>
        <v>Apprenant 123</v>
      </c>
      <c r="AR135" s="49" t="str">
        <f>IF(AND('Choix pédagogiques'!$C$4&lt;&gt;"?",'Choix pédagogiques'!$C$5&lt;&gt;"?",W135&lt;&gt;""),(W135-'Choix pédagogiques'!$C$4)/('Choix pédagogiques'!$C$5-'Choix pédagogiques'!$C$4),"")</f>
        <v/>
      </c>
      <c r="AS135" s="49" t="str">
        <f>IF(AND('Choix pédagogiques'!$C$4&lt;&gt;"?",'Choix pédagogiques'!$C$5&lt;&gt;"?",X135&lt;&gt;""),(X135-'Choix pédagogiques'!$C$4)/('Choix pédagogiques'!$C$5-'Choix pédagogiques'!$C$4),"")</f>
        <v/>
      </c>
      <c r="AT135" s="49" t="str">
        <f>IF(AND('Choix pédagogiques'!$C$4&lt;&gt;"?",'Choix pédagogiques'!$C$5&lt;&gt;"?",Y135&lt;&gt;""),(Y135-'Choix pédagogiques'!$C$4)/('Choix pédagogiques'!$C$5-'Choix pédagogiques'!$C$4),"")</f>
        <v/>
      </c>
      <c r="AU135" s="22" t="str">
        <f t="shared" si="140"/>
        <v/>
      </c>
      <c r="AV135" s="21" t="str">
        <f t="shared" si="141"/>
        <v>Apprenant 123 ou 123'</v>
      </c>
      <c r="AW135" s="49" t="str">
        <f>IF(AND('Choix pédagogiques'!$C$4&lt;&gt;"?",'Choix pédagogiques'!$C$5&lt;&gt;"?",AB135&lt;&gt;""),(AB135-'Choix pédagogiques'!$C$4)/('Choix pédagogiques'!$C$5-'Choix pédagogiques'!$C$4),"")</f>
        <v/>
      </c>
      <c r="AX135" s="49" t="str">
        <f>IF(AND('Choix pédagogiques'!$C$4&lt;&gt;"?",'Choix pédagogiques'!$C$5&lt;&gt;"?",AC135&lt;&gt;""),(AC135-'Choix pédagogiques'!$C$4)/('Choix pédagogiques'!$C$5-'Choix pédagogiques'!$C$4),"")</f>
        <v/>
      </c>
      <c r="AY135" s="49" t="str">
        <f>IF(AND('Choix pédagogiques'!$C$4&lt;&gt;"?",'Choix pédagogiques'!$C$5&lt;&gt;"?",AD135&lt;&gt;""),(AD135-'Choix pédagogiques'!$C$4)/('Choix pédagogiques'!$C$5-'Choix pédagogiques'!$C$4),"")</f>
        <v/>
      </c>
      <c r="AZ135" s="22" t="str">
        <f t="shared" si="142"/>
        <v/>
      </c>
      <c r="BA135" s="21" t="str">
        <f t="shared" si="143"/>
        <v>Apprenant 123</v>
      </c>
      <c r="BB135" s="49" t="str">
        <f t="shared" si="115"/>
        <v/>
      </c>
      <c r="BC135" s="49" t="str">
        <f t="shared" si="116"/>
        <v/>
      </c>
      <c r="BD135" s="49" t="str">
        <f t="shared" si="117"/>
        <v/>
      </c>
      <c r="BE135" s="22" t="str">
        <f t="shared" si="144"/>
        <v/>
      </c>
      <c r="BF135" s="21" t="str">
        <f t="shared" si="145"/>
        <v>Apprenant 123 ou 123'</v>
      </c>
      <c r="BG135" s="49" t="str">
        <f t="shared" si="118"/>
        <v/>
      </c>
      <c r="BH135" s="49" t="str">
        <f t="shared" si="119"/>
        <v/>
      </c>
      <c r="BI135" s="49" t="str">
        <f t="shared" si="120"/>
        <v/>
      </c>
      <c r="BJ135" s="22" t="str">
        <f t="shared" si="146"/>
        <v/>
      </c>
      <c r="BL135" s="21"/>
      <c r="BM135" s="21" t="str">
        <f>IF(OR(COUNT(B135:D1134)=0,AND('Choix pédagogiques'!$C$3&lt;&gt;1,'Choix pédagogiques'!$C$3&lt;&gt;2)),"",IF(AND(OR('Choix pédagogiques'!$C$3=1,'Choix pédagogiques'!$C$3=2),$B135&lt;&gt;"",$C135&lt;&gt;"",$D135&lt;&gt;""),1,0))</f>
        <v/>
      </c>
      <c r="BN135" s="21" t="str">
        <f>IF(OR(COUNT(G135:I1134)=0,AND('Choix pédagogiques'!$C$3&lt;&gt;1,'Choix pédagogiques'!$C$3&lt;&gt;2)),"",IF(AND(OR('Choix pédagogiques'!$C$3=1,'Choix pédagogiques'!$C$3=2),AND($G135&lt;&gt;"",$H135&lt;&gt;"",$I135&lt;&gt;"")),1,0))</f>
        <v/>
      </c>
      <c r="BO135" s="21" t="str">
        <f>IF(OR(COUNT(B135:D1134)=0,COUNT(G135:I1134)=0,'Choix pédagogiques'!C$3&lt;&gt;3),"",IF(AND('Choix pédagogiques'!$C$3=3,$B135&lt;&gt;"",$C135&lt;&gt;"",$D135&lt;&gt;"",$G135&lt;&gt;"",$H135&lt;&gt;"",$I135&lt;&gt;""),1,0))</f>
        <v/>
      </c>
      <c r="BR135" s="21">
        <v>781</v>
      </c>
      <c r="BS135" s="21">
        <v>1351</v>
      </c>
      <c r="BT135"/>
    </row>
    <row r="136" spans="1:72" s="23" customFormat="1" ht="18" customHeight="1" x14ac:dyDescent="0.3">
      <c r="A136" s="35" t="s">
        <v>126</v>
      </c>
      <c r="B136" s="37"/>
      <c r="C136" s="37"/>
      <c r="D136" s="37"/>
      <c r="E136" s="37"/>
      <c r="F136" s="35" t="s">
        <v>1134</v>
      </c>
      <c r="G136" s="37"/>
      <c r="H136" s="37"/>
      <c r="I136" s="37"/>
      <c r="J136" s="37"/>
      <c r="K136" s="21" t="str">
        <f t="shared" si="121"/>
        <v>Apprenant 124</v>
      </c>
      <c r="L136" s="22" t="str">
        <f t="shared" si="122"/>
        <v/>
      </c>
      <c r="M136" s="22" t="str">
        <f t="shared" si="123"/>
        <v/>
      </c>
      <c r="N136" s="22" t="str">
        <f t="shared" si="124"/>
        <v/>
      </c>
      <c r="O136" s="22" t="str">
        <f t="shared" si="125"/>
        <v/>
      </c>
      <c r="P136" s="21" t="str">
        <f t="shared" si="126"/>
        <v>Apprenant 124 ou 124'</v>
      </c>
      <c r="Q136" s="22" t="str">
        <f t="shared" si="127"/>
        <v/>
      </c>
      <c r="R136" s="22" t="str">
        <f t="shared" si="128"/>
        <v/>
      </c>
      <c r="S136" s="22" t="str">
        <f t="shared" si="129"/>
        <v/>
      </c>
      <c r="T136" s="22" t="str">
        <f t="shared" si="130"/>
        <v/>
      </c>
      <c r="V136" s="21" t="str">
        <f t="shared" si="131"/>
        <v>Apprenant 124</v>
      </c>
      <c r="W136" s="22" t="str">
        <f>IF(AND(OR('Choix pédagogiques'!$C$3=1,'Choix pédagogiques'!$C$3=2),$BM136=1),B136,IF(AND('Choix pédagogiques'!$C$3=3,$BO136=1),B136,""))</f>
        <v/>
      </c>
      <c r="X136" s="22" t="str">
        <f>IF(AND(OR('Choix pédagogiques'!$C$3=1,'Choix pédagogiques'!$C$3=2),$BM136=1),C136,IF(AND('Choix pédagogiques'!$C$3=3,$BO136=1),C136,""))</f>
        <v/>
      </c>
      <c r="Y136" s="22" t="str">
        <f>IF(AND(OR('Choix pédagogiques'!$C$3=1,'Choix pédagogiques'!$C$3=2),$BM136=1),D136,IF(AND('Choix pédagogiques'!$C$3=3,$BO136=1),D136,""))</f>
        <v/>
      </c>
      <c r="Z136" s="22" t="str">
        <f t="shared" si="132"/>
        <v/>
      </c>
      <c r="AA136" s="21" t="str">
        <f t="shared" si="133"/>
        <v>Apprenant 124 ou 124'</v>
      </c>
      <c r="AB136" s="22" t="str">
        <f>IF(AND(OR('Choix pédagogiques'!$C$3=1,'Choix pédagogiques'!$C$3=2),$BN136=1),G136,IF(AND('Choix pédagogiques'!$C$3=3,$BO136=1),G136,""))</f>
        <v/>
      </c>
      <c r="AC136" s="22" t="str">
        <f>IF(AND(OR('Choix pédagogiques'!$C$3=1,'Choix pédagogiques'!$C$3=2),$BN136=1),H136,IF(AND('Choix pédagogiques'!$C$3=3,$BO136=1),H136,""))</f>
        <v/>
      </c>
      <c r="AD136" s="22" t="str">
        <f>IF(AND(OR('Choix pédagogiques'!$C$3=1,'Choix pédagogiques'!$C$3=2),$BN136=1),I136,IF(AND('Choix pédagogiques'!$C$3=3,$BO136=1),I136,""))</f>
        <v/>
      </c>
      <c r="AE136" s="22" t="str">
        <f t="shared" si="134"/>
        <v/>
      </c>
      <c r="AF136" s="21" t="str">
        <f t="shared" si="135"/>
        <v>Apprenant 124</v>
      </c>
      <c r="AG136" s="22" t="str">
        <f t="shared" si="109"/>
        <v/>
      </c>
      <c r="AH136" s="22" t="str">
        <f t="shared" si="110"/>
        <v/>
      </c>
      <c r="AI136" s="22" t="str">
        <f t="shared" si="111"/>
        <v/>
      </c>
      <c r="AJ136" s="22" t="str">
        <f t="shared" si="136"/>
        <v/>
      </c>
      <c r="AK136" s="21" t="str">
        <f t="shared" si="137"/>
        <v>Apprenant 124 ou 124'</v>
      </c>
      <c r="AL136" s="22" t="str">
        <f t="shared" si="112"/>
        <v/>
      </c>
      <c r="AM136" s="22" t="str">
        <f t="shared" si="113"/>
        <v/>
      </c>
      <c r="AN136" s="22" t="str">
        <f t="shared" si="114"/>
        <v/>
      </c>
      <c r="AO136" s="22" t="str">
        <f t="shared" si="138"/>
        <v/>
      </c>
      <c r="AQ136" s="21" t="str">
        <f t="shared" si="139"/>
        <v>Apprenant 124</v>
      </c>
      <c r="AR136" s="49" t="str">
        <f>IF(AND('Choix pédagogiques'!$C$4&lt;&gt;"?",'Choix pédagogiques'!$C$5&lt;&gt;"?",W136&lt;&gt;""),(W136-'Choix pédagogiques'!$C$4)/('Choix pédagogiques'!$C$5-'Choix pédagogiques'!$C$4),"")</f>
        <v/>
      </c>
      <c r="AS136" s="49" t="str">
        <f>IF(AND('Choix pédagogiques'!$C$4&lt;&gt;"?",'Choix pédagogiques'!$C$5&lt;&gt;"?",X136&lt;&gt;""),(X136-'Choix pédagogiques'!$C$4)/('Choix pédagogiques'!$C$5-'Choix pédagogiques'!$C$4),"")</f>
        <v/>
      </c>
      <c r="AT136" s="49" t="str">
        <f>IF(AND('Choix pédagogiques'!$C$4&lt;&gt;"?",'Choix pédagogiques'!$C$5&lt;&gt;"?",Y136&lt;&gt;""),(Y136-'Choix pédagogiques'!$C$4)/('Choix pédagogiques'!$C$5-'Choix pédagogiques'!$C$4),"")</f>
        <v/>
      </c>
      <c r="AU136" s="22" t="str">
        <f t="shared" si="140"/>
        <v/>
      </c>
      <c r="AV136" s="21" t="str">
        <f t="shared" si="141"/>
        <v>Apprenant 124 ou 124'</v>
      </c>
      <c r="AW136" s="49" t="str">
        <f>IF(AND('Choix pédagogiques'!$C$4&lt;&gt;"?",'Choix pédagogiques'!$C$5&lt;&gt;"?",AB136&lt;&gt;""),(AB136-'Choix pédagogiques'!$C$4)/('Choix pédagogiques'!$C$5-'Choix pédagogiques'!$C$4),"")</f>
        <v/>
      </c>
      <c r="AX136" s="49" t="str">
        <f>IF(AND('Choix pédagogiques'!$C$4&lt;&gt;"?",'Choix pédagogiques'!$C$5&lt;&gt;"?",AC136&lt;&gt;""),(AC136-'Choix pédagogiques'!$C$4)/('Choix pédagogiques'!$C$5-'Choix pédagogiques'!$C$4),"")</f>
        <v/>
      </c>
      <c r="AY136" s="49" t="str">
        <f>IF(AND('Choix pédagogiques'!$C$4&lt;&gt;"?",'Choix pédagogiques'!$C$5&lt;&gt;"?",AD136&lt;&gt;""),(AD136-'Choix pédagogiques'!$C$4)/('Choix pédagogiques'!$C$5-'Choix pédagogiques'!$C$4),"")</f>
        <v/>
      </c>
      <c r="AZ136" s="22" t="str">
        <f t="shared" si="142"/>
        <v/>
      </c>
      <c r="BA136" s="21" t="str">
        <f t="shared" si="143"/>
        <v>Apprenant 124</v>
      </c>
      <c r="BB136" s="49" t="str">
        <f t="shared" si="115"/>
        <v/>
      </c>
      <c r="BC136" s="49" t="str">
        <f t="shared" si="116"/>
        <v/>
      </c>
      <c r="BD136" s="49" t="str">
        <f t="shared" si="117"/>
        <v/>
      </c>
      <c r="BE136" s="22" t="str">
        <f t="shared" si="144"/>
        <v/>
      </c>
      <c r="BF136" s="21" t="str">
        <f t="shared" si="145"/>
        <v>Apprenant 124 ou 124'</v>
      </c>
      <c r="BG136" s="49" t="str">
        <f t="shared" si="118"/>
        <v/>
      </c>
      <c r="BH136" s="49" t="str">
        <f t="shared" si="119"/>
        <v/>
      </c>
      <c r="BI136" s="49" t="str">
        <f t="shared" si="120"/>
        <v/>
      </c>
      <c r="BJ136" s="22" t="str">
        <f t="shared" si="146"/>
        <v/>
      </c>
      <c r="BL136" s="21"/>
      <c r="BM136" s="21" t="str">
        <f>IF(OR(COUNT(B136:D1135)=0,AND('Choix pédagogiques'!$C$3&lt;&gt;1,'Choix pédagogiques'!$C$3&lt;&gt;2)),"",IF(AND(OR('Choix pédagogiques'!$C$3=1,'Choix pédagogiques'!$C$3=2),$B136&lt;&gt;"",$C136&lt;&gt;"",$D136&lt;&gt;""),1,0))</f>
        <v/>
      </c>
      <c r="BN136" s="21" t="str">
        <f>IF(OR(COUNT(G136:I1135)=0,AND('Choix pédagogiques'!$C$3&lt;&gt;1,'Choix pédagogiques'!$C$3&lt;&gt;2)),"",IF(AND(OR('Choix pédagogiques'!$C$3=1,'Choix pédagogiques'!$C$3=2),AND($G136&lt;&gt;"",$H136&lt;&gt;"",$I136&lt;&gt;"")),1,0))</f>
        <v/>
      </c>
      <c r="BO136" s="21" t="str">
        <f>IF(OR(COUNT(B136:D1135)=0,COUNT(G136:I1135)=0,'Choix pédagogiques'!C$3&lt;&gt;3),"",IF(AND('Choix pédagogiques'!$C$3=3,$B136&lt;&gt;"",$C136&lt;&gt;"",$D136&lt;&gt;"",$G136&lt;&gt;"",$H136&lt;&gt;"",$I136&lt;&gt;""),1,0))</f>
        <v/>
      </c>
      <c r="BR136" s="21">
        <v>105</v>
      </c>
      <c r="BS136" s="21">
        <v>1520</v>
      </c>
      <c r="BT136"/>
    </row>
    <row r="137" spans="1:72" s="23" customFormat="1" ht="18" customHeight="1" x14ac:dyDescent="0.3">
      <c r="A137" s="35" t="s">
        <v>127</v>
      </c>
      <c r="B137" s="37"/>
      <c r="C137" s="37"/>
      <c r="D137" s="37"/>
      <c r="E137" s="37"/>
      <c r="F137" s="35" t="s">
        <v>1135</v>
      </c>
      <c r="G137" s="37"/>
      <c r="H137" s="37"/>
      <c r="I137" s="37"/>
      <c r="J137" s="37"/>
      <c r="K137" s="21" t="str">
        <f t="shared" si="121"/>
        <v>Apprenant 125</v>
      </c>
      <c r="L137" s="22" t="str">
        <f t="shared" si="122"/>
        <v/>
      </c>
      <c r="M137" s="22" t="str">
        <f t="shared" si="123"/>
        <v/>
      </c>
      <c r="N137" s="22" t="str">
        <f t="shared" si="124"/>
        <v/>
      </c>
      <c r="O137" s="22" t="str">
        <f t="shared" si="125"/>
        <v/>
      </c>
      <c r="P137" s="21" t="str">
        <f t="shared" si="126"/>
        <v>Apprenant 125 ou 125'</v>
      </c>
      <c r="Q137" s="22" t="str">
        <f t="shared" si="127"/>
        <v/>
      </c>
      <c r="R137" s="22" t="str">
        <f t="shared" si="128"/>
        <v/>
      </c>
      <c r="S137" s="22" t="str">
        <f t="shared" si="129"/>
        <v/>
      </c>
      <c r="T137" s="22" t="str">
        <f t="shared" si="130"/>
        <v/>
      </c>
      <c r="V137" s="21" t="str">
        <f t="shared" si="131"/>
        <v>Apprenant 125</v>
      </c>
      <c r="W137" s="22" t="str">
        <f>IF(AND(OR('Choix pédagogiques'!$C$3=1,'Choix pédagogiques'!$C$3=2),$BM137=1),B137,IF(AND('Choix pédagogiques'!$C$3=3,$BO137=1),B137,""))</f>
        <v/>
      </c>
      <c r="X137" s="22" t="str">
        <f>IF(AND(OR('Choix pédagogiques'!$C$3=1,'Choix pédagogiques'!$C$3=2),$BM137=1),C137,IF(AND('Choix pédagogiques'!$C$3=3,$BO137=1),C137,""))</f>
        <v/>
      </c>
      <c r="Y137" s="22" t="str">
        <f>IF(AND(OR('Choix pédagogiques'!$C$3=1,'Choix pédagogiques'!$C$3=2),$BM137=1),D137,IF(AND('Choix pédagogiques'!$C$3=3,$BO137=1),D137,""))</f>
        <v/>
      </c>
      <c r="Z137" s="22" t="str">
        <f t="shared" si="132"/>
        <v/>
      </c>
      <c r="AA137" s="21" t="str">
        <f t="shared" si="133"/>
        <v>Apprenant 125 ou 125'</v>
      </c>
      <c r="AB137" s="22" t="str">
        <f>IF(AND(OR('Choix pédagogiques'!$C$3=1,'Choix pédagogiques'!$C$3=2),$BN137=1),G137,IF(AND('Choix pédagogiques'!$C$3=3,$BO137=1),G137,""))</f>
        <v/>
      </c>
      <c r="AC137" s="22" t="str">
        <f>IF(AND(OR('Choix pédagogiques'!$C$3=1,'Choix pédagogiques'!$C$3=2),$BN137=1),H137,IF(AND('Choix pédagogiques'!$C$3=3,$BO137=1),H137,""))</f>
        <v/>
      </c>
      <c r="AD137" s="22" t="str">
        <f>IF(AND(OR('Choix pédagogiques'!$C$3=1,'Choix pédagogiques'!$C$3=2),$BN137=1),I137,IF(AND('Choix pédagogiques'!$C$3=3,$BO137=1),I137,""))</f>
        <v/>
      </c>
      <c r="AE137" s="22" t="str">
        <f t="shared" si="134"/>
        <v/>
      </c>
      <c r="AF137" s="21" t="str">
        <f t="shared" si="135"/>
        <v>Apprenant 125</v>
      </c>
      <c r="AG137" s="22" t="str">
        <f t="shared" si="109"/>
        <v/>
      </c>
      <c r="AH137" s="22" t="str">
        <f t="shared" si="110"/>
        <v/>
      </c>
      <c r="AI137" s="22" t="str">
        <f t="shared" si="111"/>
        <v/>
      </c>
      <c r="AJ137" s="22" t="str">
        <f t="shared" si="136"/>
        <v/>
      </c>
      <c r="AK137" s="21" t="str">
        <f t="shared" si="137"/>
        <v>Apprenant 125 ou 125'</v>
      </c>
      <c r="AL137" s="22" t="str">
        <f t="shared" si="112"/>
        <v/>
      </c>
      <c r="AM137" s="22" t="str">
        <f t="shared" si="113"/>
        <v/>
      </c>
      <c r="AN137" s="22" t="str">
        <f t="shared" si="114"/>
        <v/>
      </c>
      <c r="AO137" s="22" t="str">
        <f t="shared" si="138"/>
        <v/>
      </c>
      <c r="AQ137" s="21" t="str">
        <f t="shared" si="139"/>
        <v>Apprenant 125</v>
      </c>
      <c r="AR137" s="49" t="str">
        <f>IF(AND('Choix pédagogiques'!$C$4&lt;&gt;"?",'Choix pédagogiques'!$C$5&lt;&gt;"?",W137&lt;&gt;""),(W137-'Choix pédagogiques'!$C$4)/('Choix pédagogiques'!$C$5-'Choix pédagogiques'!$C$4),"")</f>
        <v/>
      </c>
      <c r="AS137" s="49" t="str">
        <f>IF(AND('Choix pédagogiques'!$C$4&lt;&gt;"?",'Choix pédagogiques'!$C$5&lt;&gt;"?",X137&lt;&gt;""),(X137-'Choix pédagogiques'!$C$4)/('Choix pédagogiques'!$C$5-'Choix pédagogiques'!$C$4),"")</f>
        <v/>
      </c>
      <c r="AT137" s="49" t="str">
        <f>IF(AND('Choix pédagogiques'!$C$4&lt;&gt;"?",'Choix pédagogiques'!$C$5&lt;&gt;"?",Y137&lt;&gt;""),(Y137-'Choix pédagogiques'!$C$4)/('Choix pédagogiques'!$C$5-'Choix pédagogiques'!$C$4),"")</f>
        <v/>
      </c>
      <c r="AU137" s="22" t="str">
        <f t="shared" si="140"/>
        <v/>
      </c>
      <c r="AV137" s="21" t="str">
        <f t="shared" si="141"/>
        <v>Apprenant 125 ou 125'</v>
      </c>
      <c r="AW137" s="49" t="str">
        <f>IF(AND('Choix pédagogiques'!$C$4&lt;&gt;"?",'Choix pédagogiques'!$C$5&lt;&gt;"?",AB137&lt;&gt;""),(AB137-'Choix pédagogiques'!$C$4)/('Choix pédagogiques'!$C$5-'Choix pédagogiques'!$C$4),"")</f>
        <v/>
      </c>
      <c r="AX137" s="49" t="str">
        <f>IF(AND('Choix pédagogiques'!$C$4&lt;&gt;"?",'Choix pédagogiques'!$C$5&lt;&gt;"?",AC137&lt;&gt;""),(AC137-'Choix pédagogiques'!$C$4)/('Choix pédagogiques'!$C$5-'Choix pédagogiques'!$C$4),"")</f>
        <v/>
      </c>
      <c r="AY137" s="49" t="str">
        <f>IF(AND('Choix pédagogiques'!$C$4&lt;&gt;"?",'Choix pédagogiques'!$C$5&lt;&gt;"?",AD137&lt;&gt;""),(AD137-'Choix pédagogiques'!$C$4)/('Choix pédagogiques'!$C$5-'Choix pédagogiques'!$C$4),"")</f>
        <v/>
      </c>
      <c r="AZ137" s="22" t="str">
        <f t="shared" si="142"/>
        <v/>
      </c>
      <c r="BA137" s="21" t="str">
        <f t="shared" si="143"/>
        <v>Apprenant 125</v>
      </c>
      <c r="BB137" s="49" t="str">
        <f t="shared" si="115"/>
        <v/>
      </c>
      <c r="BC137" s="49" t="str">
        <f t="shared" si="116"/>
        <v/>
      </c>
      <c r="BD137" s="49" t="str">
        <f t="shared" si="117"/>
        <v/>
      </c>
      <c r="BE137" s="22" t="str">
        <f t="shared" si="144"/>
        <v/>
      </c>
      <c r="BF137" s="21" t="str">
        <f t="shared" si="145"/>
        <v>Apprenant 125 ou 125'</v>
      </c>
      <c r="BG137" s="49" t="str">
        <f t="shared" si="118"/>
        <v/>
      </c>
      <c r="BH137" s="49" t="str">
        <f t="shared" si="119"/>
        <v/>
      </c>
      <c r="BI137" s="49" t="str">
        <f t="shared" si="120"/>
        <v/>
      </c>
      <c r="BJ137" s="22" t="str">
        <f t="shared" si="146"/>
        <v/>
      </c>
      <c r="BL137" s="21"/>
      <c r="BM137" s="21" t="str">
        <f>IF(OR(COUNT(B137:D1136)=0,AND('Choix pédagogiques'!$C$3&lt;&gt;1,'Choix pédagogiques'!$C$3&lt;&gt;2)),"",IF(AND(OR('Choix pédagogiques'!$C$3=1,'Choix pédagogiques'!$C$3=2),$B137&lt;&gt;"",$C137&lt;&gt;"",$D137&lt;&gt;""),1,0))</f>
        <v/>
      </c>
      <c r="BN137" s="21" t="str">
        <f>IF(OR(COUNT(G137:I1136)=0,AND('Choix pédagogiques'!$C$3&lt;&gt;1,'Choix pédagogiques'!$C$3&lt;&gt;2)),"",IF(AND(OR('Choix pédagogiques'!$C$3=1,'Choix pédagogiques'!$C$3=2),AND($G137&lt;&gt;"",$H137&lt;&gt;"",$I137&lt;&gt;"")),1,0))</f>
        <v/>
      </c>
      <c r="BO137" s="21" t="str">
        <f>IF(OR(COUNT(B137:D1136)=0,COUNT(G137:I1136)=0,'Choix pédagogiques'!C$3&lt;&gt;3),"",IF(AND('Choix pédagogiques'!$C$3=3,$B137&lt;&gt;"",$C137&lt;&gt;"",$D137&lt;&gt;"",$G137&lt;&gt;"",$H137&lt;&gt;"",$I137&lt;&gt;""),1,0))</f>
        <v/>
      </c>
      <c r="BR137" s="21">
        <v>341</v>
      </c>
      <c r="BS137" s="21">
        <v>1850</v>
      </c>
      <c r="BT137"/>
    </row>
    <row r="138" spans="1:72" s="23" customFormat="1" ht="18" customHeight="1" x14ac:dyDescent="0.3">
      <c r="A138" s="35" t="s">
        <v>128</v>
      </c>
      <c r="B138" s="37"/>
      <c r="C138" s="37"/>
      <c r="D138" s="37"/>
      <c r="E138" s="37"/>
      <c r="F138" s="35" t="s">
        <v>1136</v>
      </c>
      <c r="G138" s="37"/>
      <c r="H138" s="37"/>
      <c r="I138" s="37"/>
      <c r="J138" s="37"/>
      <c r="K138" s="21" t="str">
        <f t="shared" si="121"/>
        <v>Apprenant 126</v>
      </c>
      <c r="L138" s="22" t="str">
        <f t="shared" si="122"/>
        <v/>
      </c>
      <c r="M138" s="22" t="str">
        <f t="shared" si="123"/>
        <v/>
      </c>
      <c r="N138" s="22" t="str">
        <f t="shared" si="124"/>
        <v/>
      </c>
      <c r="O138" s="22" t="str">
        <f t="shared" si="125"/>
        <v/>
      </c>
      <c r="P138" s="21" t="str">
        <f t="shared" si="126"/>
        <v>Apprenant 126 ou 126'</v>
      </c>
      <c r="Q138" s="22" t="str">
        <f t="shared" si="127"/>
        <v/>
      </c>
      <c r="R138" s="22" t="str">
        <f t="shared" si="128"/>
        <v/>
      </c>
      <c r="S138" s="22" t="str">
        <f t="shared" si="129"/>
        <v/>
      </c>
      <c r="T138" s="22" t="str">
        <f t="shared" si="130"/>
        <v/>
      </c>
      <c r="V138" s="21" t="str">
        <f t="shared" si="131"/>
        <v>Apprenant 126</v>
      </c>
      <c r="W138" s="22" t="str">
        <f>IF(AND(OR('Choix pédagogiques'!$C$3=1,'Choix pédagogiques'!$C$3=2),$BM138=1),B138,IF(AND('Choix pédagogiques'!$C$3=3,$BO138=1),B138,""))</f>
        <v/>
      </c>
      <c r="X138" s="22" t="str">
        <f>IF(AND(OR('Choix pédagogiques'!$C$3=1,'Choix pédagogiques'!$C$3=2),$BM138=1),C138,IF(AND('Choix pédagogiques'!$C$3=3,$BO138=1),C138,""))</f>
        <v/>
      </c>
      <c r="Y138" s="22" t="str">
        <f>IF(AND(OR('Choix pédagogiques'!$C$3=1,'Choix pédagogiques'!$C$3=2),$BM138=1),D138,IF(AND('Choix pédagogiques'!$C$3=3,$BO138=1),D138,""))</f>
        <v/>
      </c>
      <c r="Z138" s="22" t="str">
        <f t="shared" si="132"/>
        <v/>
      </c>
      <c r="AA138" s="21" t="str">
        <f t="shared" si="133"/>
        <v>Apprenant 126 ou 126'</v>
      </c>
      <c r="AB138" s="22" t="str">
        <f>IF(AND(OR('Choix pédagogiques'!$C$3=1,'Choix pédagogiques'!$C$3=2),$BN138=1),G138,IF(AND('Choix pédagogiques'!$C$3=3,$BO138=1),G138,""))</f>
        <v/>
      </c>
      <c r="AC138" s="22" t="str">
        <f>IF(AND(OR('Choix pédagogiques'!$C$3=1,'Choix pédagogiques'!$C$3=2),$BN138=1),H138,IF(AND('Choix pédagogiques'!$C$3=3,$BO138=1),H138,""))</f>
        <v/>
      </c>
      <c r="AD138" s="22" t="str">
        <f>IF(AND(OR('Choix pédagogiques'!$C$3=1,'Choix pédagogiques'!$C$3=2),$BN138=1),I138,IF(AND('Choix pédagogiques'!$C$3=3,$BO138=1),I138,""))</f>
        <v/>
      </c>
      <c r="AE138" s="22" t="str">
        <f t="shared" si="134"/>
        <v/>
      </c>
      <c r="AF138" s="21" t="str">
        <f t="shared" si="135"/>
        <v>Apprenant 126</v>
      </c>
      <c r="AG138" s="22" t="str">
        <f t="shared" si="109"/>
        <v/>
      </c>
      <c r="AH138" s="22" t="str">
        <f t="shared" si="110"/>
        <v/>
      </c>
      <c r="AI138" s="22" t="str">
        <f t="shared" si="111"/>
        <v/>
      </c>
      <c r="AJ138" s="22" t="str">
        <f t="shared" si="136"/>
        <v/>
      </c>
      <c r="AK138" s="21" t="str">
        <f t="shared" si="137"/>
        <v>Apprenant 126 ou 126'</v>
      </c>
      <c r="AL138" s="22" t="str">
        <f t="shared" si="112"/>
        <v/>
      </c>
      <c r="AM138" s="22" t="str">
        <f t="shared" si="113"/>
        <v/>
      </c>
      <c r="AN138" s="22" t="str">
        <f t="shared" si="114"/>
        <v/>
      </c>
      <c r="AO138" s="22" t="str">
        <f t="shared" si="138"/>
        <v/>
      </c>
      <c r="AQ138" s="21" t="str">
        <f t="shared" si="139"/>
        <v>Apprenant 126</v>
      </c>
      <c r="AR138" s="49" t="str">
        <f>IF(AND('Choix pédagogiques'!$C$4&lt;&gt;"?",'Choix pédagogiques'!$C$5&lt;&gt;"?",W138&lt;&gt;""),(W138-'Choix pédagogiques'!$C$4)/('Choix pédagogiques'!$C$5-'Choix pédagogiques'!$C$4),"")</f>
        <v/>
      </c>
      <c r="AS138" s="49" t="str">
        <f>IF(AND('Choix pédagogiques'!$C$4&lt;&gt;"?",'Choix pédagogiques'!$C$5&lt;&gt;"?",X138&lt;&gt;""),(X138-'Choix pédagogiques'!$C$4)/('Choix pédagogiques'!$C$5-'Choix pédagogiques'!$C$4),"")</f>
        <v/>
      </c>
      <c r="AT138" s="49" t="str">
        <f>IF(AND('Choix pédagogiques'!$C$4&lt;&gt;"?",'Choix pédagogiques'!$C$5&lt;&gt;"?",Y138&lt;&gt;""),(Y138-'Choix pédagogiques'!$C$4)/('Choix pédagogiques'!$C$5-'Choix pédagogiques'!$C$4),"")</f>
        <v/>
      </c>
      <c r="AU138" s="22" t="str">
        <f t="shared" si="140"/>
        <v/>
      </c>
      <c r="AV138" s="21" t="str">
        <f t="shared" si="141"/>
        <v>Apprenant 126 ou 126'</v>
      </c>
      <c r="AW138" s="49" t="str">
        <f>IF(AND('Choix pédagogiques'!$C$4&lt;&gt;"?",'Choix pédagogiques'!$C$5&lt;&gt;"?",AB138&lt;&gt;""),(AB138-'Choix pédagogiques'!$C$4)/('Choix pédagogiques'!$C$5-'Choix pédagogiques'!$C$4),"")</f>
        <v/>
      </c>
      <c r="AX138" s="49" t="str">
        <f>IF(AND('Choix pédagogiques'!$C$4&lt;&gt;"?",'Choix pédagogiques'!$C$5&lt;&gt;"?",AC138&lt;&gt;""),(AC138-'Choix pédagogiques'!$C$4)/('Choix pédagogiques'!$C$5-'Choix pédagogiques'!$C$4),"")</f>
        <v/>
      </c>
      <c r="AY138" s="49" t="str">
        <f>IF(AND('Choix pédagogiques'!$C$4&lt;&gt;"?",'Choix pédagogiques'!$C$5&lt;&gt;"?",AD138&lt;&gt;""),(AD138-'Choix pédagogiques'!$C$4)/('Choix pédagogiques'!$C$5-'Choix pédagogiques'!$C$4),"")</f>
        <v/>
      </c>
      <c r="AZ138" s="22" t="str">
        <f t="shared" si="142"/>
        <v/>
      </c>
      <c r="BA138" s="21" t="str">
        <f t="shared" si="143"/>
        <v>Apprenant 126</v>
      </c>
      <c r="BB138" s="49" t="str">
        <f t="shared" si="115"/>
        <v/>
      </c>
      <c r="BC138" s="49" t="str">
        <f t="shared" si="116"/>
        <v/>
      </c>
      <c r="BD138" s="49" t="str">
        <f t="shared" si="117"/>
        <v/>
      </c>
      <c r="BE138" s="22" t="str">
        <f t="shared" si="144"/>
        <v/>
      </c>
      <c r="BF138" s="21" t="str">
        <f t="shared" si="145"/>
        <v>Apprenant 126 ou 126'</v>
      </c>
      <c r="BG138" s="49" t="str">
        <f t="shared" si="118"/>
        <v/>
      </c>
      <c r="BH138" s="49" t="str">
        <f t="shared" si="119"/>
        <v/>
      </c>
      <c r="BI138" s="49" t="str">
        <f t="shared" si="120"/>
        <v/>
      </c>
      <c r="BJ138" s="22" t="str">
        <f t="shared" si="146"/>
        <v/>
      </c>
      <c r="BL138" s="21"/>
      <c r="BM138" s="21" t="str">
        <f>IF(OR(COUNT(B138:D1137)=0,AND('Choix pédagogiques'!$C$3&lt;&gt;1,'Choix pédagogiques'!$C$3&lt;&gt;2)),"",IF(AND(OR('Choix pédagogiques'!$C$3=1,'Choix pédagogiques'!$C$3=2),$B138&lt;&gt;"",$C138&lt;&gt;"",$D138&lt;&gt;""),1,0))</f>
        <v/>
      </c>
      <c r="BN138" s="21" t="str">
        <f>IF(OR(COUNT(G138:I1137)=0,AND('Choix pédagogiques'!$C$3&lt;&gt;1,'Choix pédagogiques'!$C$3&lt;&gt;2)),"",IF(AND(OR('Choix pédagogiques'!$C$3=1,'Choix pédagogiques'!$C$3=2),AND($G138&lt;&gt;"",$H138&lt;&gt;"",$I138&lt;&gt;"")),1,0))</f>
        <v/>
      </c>
      <c r="BO138" s="21" t="str">
        <f>IF(OR(COUNT(B138:D1137)=0,COUNT(G138:I1137)=0,'Choix pédagogiques'!C$3&lt;&gt;3),"",IF(AND('Choix pédagogiques'!$C$3=3,$B138&lt;&gt;"",$C138&lt;&gt;"",$D138&lt;&gt;"",$G138&lt;&gt;"",$H138&lt;&gt;"",$I138&lt;&gt;""),1,0))</f>
        <v/>
      </c>
      <c r="BR138" s="21">
        <v>180</v>
      </c>
      <c r="BS138" s="21">
        <v>1202</v>
      </c>
      <c r="BT138"/>
    </row>
    <row r="139" spans="1:72" s="23" customFormat="1" ht="18" customHeight="1" x14ac:dyDescent="0.3">
      <c r="A139" s="35" t="s">
        <v>129</v>
      </c>
      <c r="B139" s="37"/>
      <c r="C139" s="37"/>
      <c r="D139" s="37"/>
      <c r="E139" s="37"/>
      <c r="F139" s="35" t="s">
        <v>1137</v>
      </c>
      <c r="G139" s="37"/>
      <c r="H139" s="37"/>
      <c r="I139" s="37"/>
      <c r="J139" s="37"/>
      <c r="K139" s="21" t="str">
        <f t="shared" si="121"/>
        <v>Apprenant 127</v>
      </c>
      <c r="L139" s="22" t="str">
        <f t="shared" si="122"/>
        <v/>
      </c>
      <c r="M139" s="22" t="str">
        <f t="shared" si="123"/>
        <v/>
      </c>
      <c r="N139" s="22" t="str">
        <f t="shared" si="124"/>
        <v/>
      </c>
      <c r="O139" s="22" t="str">
        <f t="shared" si="125"/>
        <v/>
      </c>
      <c r="P139" s="21" t="str">
        <f t="shared" si="126"/>
        <v>Apprenant 127 ou 127'</v>
      </c>
      <c r="Q139" s="22" t="str">
        <f t="shared" si="127"/>
        <v/>
      </c>
      <c r="R139" s="22" t="str">
        <f t="shared" si="128"/>
        <v/>
      </c>
      <c r="S139" s="22" t="str">
        <f t="shared" si="129"/>
        <v/>
      </c>
      <c r="T139" s="22" t="str">
        <f t="shared" si="130"/>
        <v/>
      </c>
      <c r="V139" s="21" t="str">
        <f t="shared" si="131"/>
        <v>Apprenant 127</v>
      </c>
      <c r="W139" s="22" t="str">
        <f>IF(AND(OR('Choix pédagogiques'!$C$3=1,'Choix pédagogiques'!$C$3=2),$BM139=1),B139,IF(AND('Choix pédagogiques'!$C$3=3,$BO139=1),B139,""))</f>
        <v/>
      </c>
      <c r="X139" s="22" t="str">
        <f>IF(AND(OR('Choix pédagogiques'!$C$3=1,'Choix pédagogiques'!$C$3=2),$BM139=1),C139,IF(AND('Choix pédagogiques'!$C$3=3,$BO139=1),C139,""))</f>
        <v/>
      </c>
      <c r="Y139" s="22" t="str">
        <f>IF(AND(OR('Choix pédagogiques'!$C$3=1,'Choix pédagogiques'!$C$3=2),$BM139=1),D139,IF(AND('Choix pédagogiques'!$C$3=3,$BO139=1),D139,""))</f>
        <v/>
      </c>
      <c r="Z139" s="22" t="str">
        <f t="shared" si="132"/>
        <v/>
      </c>
      <c r="AA139" s="21" t="str">
        <f t="shared" si="133"/>
        <v>Apprenant 127 ou 127'</v>
      </c>
      <c r="AB139" s="22" t="str">
        <f>IF(AND(OR('Choix pédagogiques'!$C$3=1,'Choix pédagogiques'!$C$3=2),$BN139=1),G139,IF(AND('Choix pédagogiques'!$C$3=3,$BO139=1),G139,""))</f>
        <v/>
      </c>
      <c r="AC139" s="22" t="str">
        <f>IF(AND(OR('Choix pédagogiques'!$C$3=1,'Choix pédagogiques'!$C$3=2),$BN139=1),H139,IF(AND('Choix pédagogiques'!$C$3=3,$BO139=1),H139,""))</f>
        <v/>
      </c>
      <c r="AD139" s="22" t="str">
        <f>IF(AND(OR('Choix pédagogiques'!$C$3=1,'Choix pédagogiques'!$C$3=2),$BN139=1),I139,IF(AND('Choix pédagogiques'!$C$3=3,$BO139=1),I139,""))</f>
        <v/>
      </c>
      <c r="AE139" s="22" t="str">
        <f t="shared" si="134"/>
        <v/>
      </c>
      <c r="AF139" s="21" t="str">
        <f t="shared" si="135"/>
        <v>Apprenant 127</v>
      </c>
      <c r="AG139" s="22" t="str">
        <f t="shared" si="109"/>
        <v/>
      </c>
      <c r="AH139" s="22" t="str">
        <f t="shared" si="110"/>
        <v/>
      </c>
      <c r="AI139" s="22" t="str">
        <f t="shared" si="111"/>
        <v/>
      </c>
      <c r="AJ139" s="22" t="str">
        <f t="shared" si="136"/>
        <v/>
      </c>
      <c r="AK139" s="21" t="str">
        <f t="shared" si="137"/>
        <v>Apprenant 127 ou 127'</v>
      </c>
      <c r="AL139" s="22" t="str">
        <f t="shared" si="112"/>
        <v/>
      </c>
      <c r="AM139" s="22" t="str">
        <f t="shared" si="113"/>
        <v/>
      </c>
      <c r="AN139" s="22" t="str">
        <f t="shared" si="114"/>
        <v/>
      </c>
      <c r="AO139" s="22" t="str">
        <f t="shared" si="138"/>
        <v/>
      </c>
      <c r="AQ139" s="21" t="str">
        <f t="shared" si="139"/>
        <v>Apprenant 127</v>
      </c>
      <c r="AR139" s="49" t="str">
        <f>IF(AND('Choix pédagogiques'!$C$4&lt;&gt;"?",'Choix pédagogiques'!$C$5&lt;&gt;"?",W139&lt;&gt;""),(W139-'Choix pédagogiques'!$C$4)/('Choix pédagogiques'!$C$5-'Choix pédagogiques'!$C$4),"")</f>
        <v/>
      </c>
      <c r="AS139" s="49" t="str">
        <f>IF(AND('Choix pédagogiques'!$C$4&lt;&gt;"?",'Choix pédagogiques'!$C$5&lt;&gt;"?",X139&lt;&gt;""),(X139-'Choix pédagogiques'!$C$4)/('Choix pédagogiques'!$C$5-'Choix pédagogiques'!$C$4),"")</f>
        <v/>
      </c>
      <c r="AT139" s="49" t="str">
        <f>IF(AND('Choix pédagogiques'!$C$4&lt;&gt;"?",'Choix pédagogiques'!$C$5&lt;&gt;"?",Y139&lt;&gt;""),(Y139-'Choix pédagogiques'!$C$4)/('Choix pédagogiques'!$C$5-'Choix pédagogiques'!$C$4),"")</f>
        <v/>
      </c>
      <c r="AU139" s="22" t="str">
        <f t="shared" si="140"/>
        <v/>
      </c>
      <c r="AV139" s="21" t="str">
        <f t="shared" si="141"/>
        <v>Apprenant 127 ou 127'</v>
      </c>
      <c r="AW139" s="49" t="str">
        <f>IF(AND('Choix pédagogiques'!$C$4&lt;&gt;"?",'Choix pédagogiques'!$C$5&lt;&gt;"?",AB139&lt;&gt;""),(AB139-'Choix pédagogiques'!$C$4)/('Choix pédagogiques'!$C$5-'Choix pédagogiques'!$C$4),"")</f>
        <v/>
      </c>
      <c r="AX139" s="49" t="str">
        <f>IF(AND('Choix pédagogiques'!$C$4&lt;&gt;"?",'Choix pédagogiques'!$C$5&lt;&gt;"?",AC139&lt;&gt;""),(AC139-'Choix pédagogiques'!$C$4)/('Choix pédagogiques'!$C$5-'Choix pédagogiques'!$C$4),"")</f>
        <v/>
      </c>
      <c r="AY139" s="49" t="str">
        <f>IF(AND('Choix pédagogiques'!$C$4&lt;&gt;"?",'Choix pédagogiques'!$C$5&lt;&gt;"?",AD139&lt;&gt;""),(AD139-'Choix pédagogiques'!$C$4)/('Choix pédagogiques'!$C$5-'Choix pédagogiques'!$C$4),"")</f>
        <v/>
      </c>
      <c r="AZ139" s="22" t="str">
        <f t="shared" si="142"/>
        <v/>
      </c>
      <c r="BA139" s="21" t="str">
        <f t="shared" si="143"/>
        <v>Apprenant 127</v>
      </c>
      <c r="BB139" s="49" t="str">
        <f t="shared" si="115"/>
        <v/>
      </c>
      <c r="BC139" s="49" t="str">
        <f t="shared" si="116"/>
        <v/>
      </c>
      <c r="BD139" s="49" t="str">
        <f t="shared" si="117"/>
        <v/>
      </c>
      <c r="BE139" s="22" t="str">
        <f t="shared" si="144"/>
        <v/>
      </c>
      <c r="BF139" s="21" t="str">
        <f t="shared" si="145"/>
        <v>Apprenant 127 ou 127'</v>
      </c>
      <c r="BG139" s="49" t="str">
        <f t="shared" si="118"/>
        <v/>
      </c>
      <c r="BH139" s="49" t="str">
        <f t="shared" si="119"/>
        <v/>
      </c>
      <c r="BI139" s="49" t="str">
        <f t="shared" si="120"/>
        <v/>
      </c>
      <c r="BJ139" s="22" t="str">
        <f t="shared" si="146"/>
        <v/>
      </c>
      <c r="BL139" s="21"/>
      <c r="BM139" s="21" t="str">
        <f>IF(OR(COUNT(B139:D1138)=0,AND('Choix pédagogiques'!$C$3&lt;&gt;1,'Choix pédagogiques'!$C$3&lt;&gt;2)),"",IF(AND(OR('Choix pédagogiques'!$C$3=1,'Choix pédagogiques'!$C$3=2),$B139&lt;&gt;"",$C139&lt;&gt;"",$D139&lt;&gt;""),1,0))</f>
        <v/>
      </c>
      <c r="BN139" s="21" t="str">
        <f>IF(OR(COUNT(G139:I1138)=0,AND('Choix pédagogiques'!$C$3&lt;&gt;1,'Choix pédagogiques'!$C$3&lt;&gt;2)),"",IF(AND(OR('Choix pédagogiques'!$C$3=1,'Choix pédagogiques'!$C$3=2),AND($G139&lt;&gt;"",$H139&lt;&gt;"",$I139&lt;&gt;"")),1,0))</f>
        <v/>
      </c>
      <c r="BO139" s="21" t="str">
        <f>IF(OR(COUNT(B139:D1138)=0,COUNT(G139:I1138)=0,'Choix pédagogiques'!C$3&lt;&gt;3),"",IF(AND('Choix pédagogiques'!$C$3=3,$B139&lt;&gt;"",$C139&lt;&gt;"",$D139&lt;&gt;"",$G139&lt;&gt;"",$H139&lt;&gt;"",$I139&lt;&gt;""),1,0))</f>
        <v/>
      </c>
      <c r="BR139" s="21">
        <v>739</v>
      </c>
      <c r="BS139" s="21">
        <v>1145</v>
      </c>
      <c r="BT139"/>
    </row>
    <row r="140" spans="1:72" s="23" customFormat="1" ht="18" customHeight="1" x14ac:dyDescent="0.3">
      <c r="A140" s="35" t="s">
        <v>130</v>
      </c>
      <c r="B140" s="37"/>
      <c r="C140" s="37"/>
      <c r="D140" s="37"/>
      <c r="E140" s="37"/>
      <c r="F140" s="35" t="s">
        <v>1138</v>
      </c>
      <c r="G140" s="37"/>
      <c r="H140" s="37"/>
      <c r="I140" s="37"/>
      <c r="J140" s="37"/>
      <c r="K140" s="21" t="str">
        <f t="shared" si="121"/>
        <v>Apprenant 128</v>
      </c>
      <c r="L140" s="22" t="str">
        <f t="shared" si="122"/>
        <v/>
      </c>
      <c r="M140" s="22" t="str">
        <f t="shared" si="123"/>
        <v/>
      </c>
      <c r="N140" s="22" t="str">
        <f t="shared" si="124"/>
        <v/>
      </c>
      <c r="O140" s="22" t="str">
        <f t="shared" si="125"/>
        <v/>
      </c>
      <c r="P140" s="21" t="str">
        <f t="shared" si="126"/>
        <v>Apprenant 128 ou 128'</v>
      </c>
      <c r="Q140" s="22" t="str">
        <f t="shared" si="127"/>
        <v/>
      </c>
      <c r="R140" s="22" t="str">
        <f t="shared" si="128"/>
        <v/>
      </c>
      <c r="S140" s="22" t="str">
        <f t="shared" si="129"/>
        <v/>
      </c>
      <c r="T140" s="22" t="str">
        <f t="shared" si="130"/>
        <v/>
      </c>
      <c r="V140" s="21" t="str">
        <f t="shared" si="131"/>
        <v>Apprenant 128</v>
      </c>
      <c r="W140" s="22" t="str">
        <f>IF(AND(OR('Choix pédagogiques'!$C$3=1,'Choix pédagogiques'!$C$3=2),$BM140=1),B140,IF(AND('Choix pédagogiques'!$C$3=3,$BO140=1),B140,""))</f>
        <v/>
      </c>
      <c r="X140" s="22" t="str">
        <f>IF(AND(OR('Choix pédagogiques'!$C$3=1,'Choix pédagogiques'!$C$3=2),$BM140=1),C140,IF(AND('Choix pédagogiques'!$C$3=3,$BO140=1),C140,""))</f>
        <v/>
      </c>
      <c r="Y140" s="22" t="str">
        <f>IF(AND(OR('Choix pédagogiques'!$C$3=1,'Choix pédagogiques'!$C$3=2),$BM140=1),D140,IF(AND('Choix pédagogiques'!$C$3=3,$BO140=1),D140,""))</f>
        <v/>
      </c>
      <c r="Z140" s="22" t="str">
        <f t="shared" si="132"/>
        <v/>
      </c>
      <c r="AA140" s="21" t="str">
        <f t="shared" si="133"/>
        <v>Apprenant 128 ou 128'</v>
      </c>
      <c r="AB140" s="22" t="str">
        <f>IF(AND(OR('Choix pédagogiques'!$C$3=1,'Choix pédagogiques'!$C$3=2),$BN140=1),G140,IF(AND('Choix pédagogiques'!$C$3=3,$BO140=1),G140,""))</f>
        <v/>
      </c>
      <c r="AC140" s="22" t="str">
        <f>IF(AND(OR('Choix pédagogiques'!$C$3=1,'Choix pédagogiques'!$C$3=2),$BN140=1),H140,IF(AND('Choix pédagogiques'!$C$3=3,$BO140=1),H140,""))</f>
        <v/>
      </c>
      <c r="AD140" s="22" t="str">
        <f>IF(AND(OR('Choix pédagogiques'!$C$3=1,'Choix pédagogiques'!$C$3=2),$BN140=1),I140,IF(AND('Choix pédagogiques'!$C$3=3,$BO140=1),I140,""))</f>
        <v/>
      </c>
      <c r="AE140" s="22" t="str">
        <f t="shared" si="134"/>
        <v/>
      </c>
      <c r="AF140" s="21" t="str">
        <f t="shared" si="135"/>
        <v>Apprenant 128</v>
      </c>
      <c r="AG140" s="22" t="str">
        <f t="shared" si="109"/>
        <v/>
      </c>
      <c r="AH140" s="22" t="str">
        <f t="shared" si="110"/>
        <v/>
      </c>
      <c r="AI140" s="22" t="str">
        <f t="shared" si="111"/>
        <v/>
      </c>
      <c r="AJ140" s="22" t="str">
        <f t="shared" si="136"/>
        <v/>
      </c>
      <c r="AK140" s="21" t="str">
        <f t="shared" si="137"/>
        <v>Apprenant 128 ou 128'</v>
      </c>
      <c r="AL140" s="22" t="str">
        <f t="shared" si="112"/>
        <v/>
      </c>
      <c r="AM140" s="22" t="str">
        <f t="shared" si="113"/>
        <v/>
      </c>
      <c r="AN140" s="22" t="str">
        <f t="shared" si="114"/>
        <v/>
      </c>
      <c r="AO140" s="22" t="str">
        <f t="shared" si="138"/>
        <v/>
      </c>
      <c r="AQ140" s="21" t="str">
        <f t="shared" si="139"/>
        <v>Apprenant 128</v>
      </c>
      <c r="AR140" s="49" t="str">
        <f>IF(AND('Choix pédagogiques'!$C$4&lt;&gt;"?",'Choix pédagogiques'!$C$5&lt;&gt;"?",W140&lt;&gt;""),(W140-'Choix pédagogiques'!$C$4)/('Choix pédagogiques'!$C$5-'Choix pédagogiques'!$C$4),"")</f>
        <v/>
      </c>
      <c r="AS140" s="49" t="str">
        <f>IF(AND('Choix pédagogiques'!$C$4&lt;&gt;"?",'Choix pédagogiques'!$C$5&lt;&gt;"?",X140&lt;&gt;""),(X140-'Choix pédagogiques'!$C$4)/('Choix pédagogiques'!$C$5-'Choix pédagogiques'!$C$4),"")</f>
        <v/>
      </c>
      <c r="AT140" s="49" t="str">
        <f>IF(AND('Choix pédagogiques'!$C$4&lt;&gt;"?",'Choix pédagogiques'!$C$5&lt;&gt;"?",Y140&lt;&gt;""),(Y140-'Choix pédagogiques'!$C$4)/('Choix pédagogiques'!$C$5-'Choix pédagogiques'!$C$4),"")</f>
        <v/>
      </c>
      <c r="AU140" s="22" t="str">
        <f t="shared" si="140"/>
        <v/>
      </c>
      <c r="AV140" s="21" t="str">
        <f t="shared" si="141"/>
        <v>Apprenant 128 ou 128'</v>
      </c>
      <c r="AW140" s="49" t="str">
        <f>IF(AND('Choix pédagogiques'!$C$4&lt;&gt;"?",'Choix pédagogiques'!$C$5&lt;&gt;"?",AB140&lt;&gt;""),(AB140-'Choix pédagogiques'!$C$4)/('Choix pédagogiques'!$C$5-'Choix pédagogiques'!$C$4),"")</f>
        <v/>
      </c>
      <c r="AX140" s="49" t="str">
        <f>IF(AND('Choix pédagogiques'!$C$4&lt;&gt;"?",'Choix pédagogiques'!$C$5&lt;&gt;"?",AC140&lt;&gt;""),(AC140-'Choix pédagogiques'!$C$4)/('Choix pédagogiques'!$C$5-'Choix pédagogiques'!$C$4),"")</f>
        <v/>
      </c>
      <c r="AY140" s="49" t="str">
        <f>IF(AND('Choix pédagogiques'!$C$4&lt;&gt;"?",'Choix pédagogiques'!$C$5&lt;&gt;"?",AD140&lt;&gt;""),(AD140-'Choix pédagogiques'!$C$4)/('Choix pédagogiques'!$C$5-'Choix pédagogiques'!$C$4),"")</f>
        <v/>
      </c>
      <c r="AZ140" s="22" t="str">
        <f t="shared" si="142"/>
        <v/>
      </c>
      <c r="BA140" s="21" t="str">
        <f t="shared" si="143"/>
        <v>Apprenant 128</v>
      </c>
      <c r="BB140" s="49" t="str">
        <f t="shared" si="115"/>
        <v/>
      </c>
      <c r="BC140" s="49" t="str">
        <f t="shared" si="116"/>
        <v/>
      </c>
      <c r="BD140" s="49" t="str">
        <f t="shared" si="117"/>
        <v/>
      </c>
      <c r="BE140" s="22" t="str">
        <f t="shared" si="144"/>
        <v/>
      </c>
      <c r="BF140" s="21" t="str">
        <f t="shared" si="145"/>
        <v>Apprenant 128 ou 128'</v>
      </c>
      <c r="BG140" s="49" t="str">
        <f t="shared" si="118"/>
        <v/>
      </c>
      <c r="BH140" s="49" t="str">
        <f t="shared" si="119"/>
        <v/>
      </c>
      <c r="BI140" s="49" t="str">
        <f t="shared" si="120"/>
        <v/>
      </c>
      <c r="BJ140" s="22" t="str">
        <f t="shared" si="146"/>
        <v/>
      </c>
      <c r="BL140" s="21"/>
      <c r="BM140" s="21" t="str">
        <f>IF(OR(COUNT(B140:D1139)=0,AND('Choix pédagogiques'!$C$3&lt;&gt;1,'Choix pédagogiques'!$C$3&lt;&gt;2)),"",IF(AND(OR('Choix pédagogiques'!$C$3=1,'Choix pédagogiques'!$C$3=2),$B140&lt;&gt;"",$C140&lt;&gt;"",$D140&lt;&gt;""),1,0))</f>
        <v/>
      </c>
      <c r="BN140" s="21" t="str">
        <f>IF(OR(COUNT(G140:I1139)=0,AND('Choix pédagogiques'!$C$3&lt;&gt;1,'Choix pédagogiques'!$C$3&lt;&gt;2)),"",IF(AND(OR('Choix pédagogiques'!$C$3=1,'Choix pédagogiques'!$C$3=2),AND($G140&lt;&gt;"",$H140&lt;&gt;"",$I140&lt;&gt;"")),1,0))</f>
        <v/>
      </c>
      <c r="BO140" s="21" t="str">
        <f>IF(OR(COUNT(B140:D1139)=0,COUNT(G140:I1139)=0,'Choix pédagogiques'!C$3&lt;&gt;3),"",IF(AND('Choix pédagogiques'!$C$3=3,$B140&lt;&gt;"",$C140&lt;&gt;"",$D140&lt;&gt;"",$G140&lt;&gt;"",$H140&lt;&gt;"",$I140&lt;&gt;""),1,0))</f>
        <v/>
      </c>
      <c r="BR140" s="21">
        <v>797</v>
      </c>
      <c r="BS140" s="21">
        <v>1502</v>
      </c>
      <c r="BT140"/>
    </row>
    <row r="141" spans="1:72" s="23" customFormat="1" ht="18" customHeight="1" x14ac:dyDescent="0.3">
      <c r="A141" s="35" t="s">
        <v>131</v>
      </c>
      <c r="B141" s="37"/>
      <c r="C141" s="37"/>
      <c r="D141" s="37"/>
      <c r="E141" s="37"/>
      <c r="F141" s="35" t="s">
        <v>1139</v>
      </c>
      <c r="G141" s="37"/>
      <c r="H141" s="37"/>
      <c r="I141" s="37"/>
      <c r="J141" s="37"/>
      <c r="K141" s="21" t="str">
        <f t="shared" si="121"/>
        <v>Apprenant 129</v>
      </c>
      <c r="L141" s="22" t="str">
        <f t="shared" si="122"/>
        <v/>
      </c>
      <c r="M141" s="22" t="str">
        <f t="shared" si="123"/>
        <v/>
      </c>
      <c r="N141" s="22" t="str">
        <f t="shared" si="124"/>
        <v/>
      </c>
      <c r="O141" s="22" t="str">
        <f t="shared" si="125"/>
        <v/>
      </c>
      <c r="P141" s="21" t="str">
        <f t="shared" si="126"/>
        <v>Apprenant 129 ou 129'</v>
      </c>
      <c r="Q141" s="22" t="str">
        <f t="shared" si="127"/>
        <v/>
      </c>
      <c r="R141" s="22" t="str">
        <f t="shared" si="128"/>
        <v/>
      </c>
      <c r="S141" s="22" t="str">
        <f t="shared" si="129"/>
        <v/>
      </c>
      <c r="T141" s="22" t="str">
        <f t="shared" si="130"/>
        <v/>
      </c>
      <c r="V141" s="21" t="str">
        <f t="shared" si="131"/>
        <v>Apprenant 129</v>
      </c>
      <c r="W141" s="22" t="str">
        <f>IF(AND(OR('Choix pédagogiques'!$C$3=1,'Choix pédagogiques'!$C$3=2),$BM141=1),B141,IF(AND('Choix pédagogiques'!$C$3=3,$BO141=1),B141,""))</f>
        <v/>
      </c>
      <c r="X141" s="22" t="str">
        <f>IF(AND(OR('Choix pédagogiques'!$C$3=1,'Choix pédagogiques'!$C$3=2),$BM141=1),C141,IF(AND('Choix pédagogiques'!$C$3=3,$BO141=1),C141,""))</f>
        <v/>
      </c>
      <c r="Y141" s="22" t="str">
        <f>IF(AND(OR('Choix pédagogiques'!$C$3=1,'Choix pédagogiques'!$C$3=2),$BM141=1),D141,IF(AND('Choix pédagogiques'!$C$3=3,$BO141=1),D141,""))</f>
        <v/>
      </c>
      <c r="Z141" s="22" t="str">
        <f t="shared" si="132"/>
        <v/>
      </c>
      <c r="AA141" s="21" t="str">
        <f t="shared" si="133"/>
        <v>Apprenant 129 ou 129'</v>
      </c>
      <c r="AB141" s="22" t="str">
        <f>IF(AND(OR('Choix pédagogiques'!$C$3=1,'Choix pédagogiques'!$C$3=2),$BN141=1),G141,IF(AND('Choix pédagogiques'!$C$3=3,$BO141=1),G141,""))</f>
        <v/>
      </c>
      <c r="AC141" s="22" t="str">
        <f>IF(AND(OR('Choix pédagogiques'!$C$3=1,'Choix pédagogiques'!$C$3=2),$BN141=1),H141,IF(AND('Choix pédagogiques'!$C$3=3,$BO141=1),H141,""))</f>
        <v/>
      </c>
      <c r="AD141" s="22" t="str">
        <f>IF(AND(OR('Choix pédagogiques'!$C$3=1,'Choix pédagogiques'!$C$3=2),$BN141=1),I141,IF(AND('Choix pédagogiques'!$C$3=3,$BO141=1),I141,""))</f>
        <v/>
      </c>
      <c r="AE141" s="22" t="str">
        <f t="shared" si="134"/>
        <v/>
      </c>
      <c r="AF141" s="21" t="str">
        <f t="shared" si="135"/>
        <v>Apprenant 129</v>
      </c>
      <c r="AG141" s="22" t="str">
        <f t="shared" ref="AG141:AG204" si="147">IF(AND($W141&lt;&gt;"",$X141&lt;&gt;""),$X141-$W141,"")</f>
        <v/>
      </c>
      <c r="AH141" s="22" t="str">
        <f t="shared" ref="AH141:AH204" si="148">IF(AND($W141&lt;&gt;"",$Y141&lt;&gt;""),$Y141-$W141,"")</f>
        <v/>
      </c>
      <c r="AI141" s="22" t="str">
        <f t="shared" ref="AI141:AI204" si="149">IF(AND($X141&lt;&gt;"",$Y141&lt;&gt;""),$Y141-$X141,"")</f>
        <v/>
      </c>
      <c r="AJ141" s="22" t="str">
        <f t="shared" si="136"/>
        <v/>
      </c>
      <c r="AK141" s="21" t="str">
        <f t="shared" si="137"/>
        <v>Apprenant 129 ou 129'</v>
      </c>
      <c r="AL141" s="22" t="str">
        <f t="shared" ref="AL141:AL204" si="150">IF(AND($AB141&lt;&gt;"",$AC141&lt;&gt;""),$AC141-$AB141,"")</f>
        <v/>
      </c>
      <c r="AM141" s="22" t="str">
        <f t="shared" ref="AM141:AM204" si="151">IF(AND($AB141&lt;&gt;"",$AD141&lt;&gt;""),$AD141-$AB141,"")</f>
        <v/>
      </c>
      <c r="AN141" s="22" t="str">
        <f t="shared" ref="AN141:AN204" si="152">IF(AND($AC141&lt;&gt;"",$AD141&lt;&gt;""),$AD141-$AC141,"")</f>
        <v/>
      </c>
      <c r="AO141" s="22" t="str">
        <f t="shared" si="138"/>
        <v/>
      </c>
      <c r="AQ141" s="21" t="str">
        <f t="shared" si="139"/>
        <v>Apprenant 129</v>
      </c>
      <c r="AR141" s="49" t="str">
        <f>IF(AND('Choix pédagogiques'!$C$4&lt;&gt;"?",'Choix pédagogiques'!$C$5&lt;&gt;"?",W141&lt;&gt;""),(W141-'Choix pédagogiques'!$C$4)/('Choix pédagogiques'!$C$5-'Choix pédagogiques'!$C$4),"")</f>
        <v/>
      </c>
      <c r="AS141" s="49" t="str">
        <f>IF(AND('Choix pédagogiques'!$C$4&lt;&gt;"?",'Choix pédagogiques'!$C$5&lt;&gt;"?",X141&lt;&gt;""),(X141-'Choix pédagogiques'!$C$4)/('Choix pédagogiques'!$C$5-'Choix pédagogiques'!$C$4),"")</f>
        <v/>
      </c>
      <c r="AT141" s="49" t="str">
        <f>IF(AND('Choix pédagogiques'!$C$4&lt;&gt;"?",'Choix pédagogiques'!$C$5&lt;&gt;"?",Y141&lt;&gt;""),(Y141-'Choix pédagogiques'!$C$4)/('Choix pédagogiques'!$C$5-'Choix pédagogiques'!$C$4),"")</f>
        <v/>
      </c>
      <c r="AU141" s="22" t="str">
        <f t="shared" si="140"/>
        <v/>
      </c>
      <c r="AV141" s="21" t="str">
        <f t="shared" si="141"/>
        <v>Apprenant 129 ou 129'</v>
      </c>
      <c r="AW141" s="49" t="str">
        <f>IF(AND('Choix pédagogiques'!$C$4&lt;&gt;"?",'Choix pédagogiques'!$C$5&lt;&gt;"?",AB141&lt;&gt;""),(AB141-'Choix pédagogiques'!$C$4)/('Choix pédagogiques'!$C$5-'Choix pédagogiques'!$C$4),"")</f>
        <v/>
      </c>
      <c r="AX141" s="49" t="str">
        <f>IF(AND('Choix pédagogiques'!$C$4&lt;&gt;"?",'Choix pédagogiques'!$C$5&lt;&gt;"?",AC141&lt;&gt;""),(AC141-'Choix pédagogiques'!$C$4)/('Choix pédagogiques'!$C$5-'Choix pédagogiques'!$C$4),"")</f>
        <v/>
      </c>
      <c r="AY141" s="49" t="str">
        <f>IF(AND('Choix pédagogiques'!$C$4&lt;&gt;"?",'Choix pédagogiques'!$C$5&lt;&gt;"?",AD141&lt;&gt;""),(AD141-'Choix pédagogiques'!$C$4)/('Choix pédagogiques'!$C$5-'Choix pédagogiques'!$C$4),"")</f>
        <v/>
      </c>
      <c r="AZ141" s="22" t="str">
        <f t="shared" si="142"/>
        <v/>
      </c>
      <c r="BA141" s="21" t="str">
        <f t="shared" si="143"/>
        <v>Apprenant 129</v>
      </c>
      <c r="BB141" s="49" t="str">
        <f t="shared" ref="BB141:BB204" si="153">IF(AND($AR141&lt;&gt;"",$AS141&lt;&gt;""),$AS141-$AR141,"")</f>
        <v/>
      </c>
      <c r="BC141" s="49" t="str">
        <f t="shared" ref="BC141:BC204" si="154">IF(AND($AR141&lt;&gt;"",$AT141&lt;&gt;""),$AT141-$AR141,"")</f>
        <v/>
      </c>
      <c r="BD141" s="49" t="str">
        <f t="shared" ref="BD141:BD204" si="155">IF(AND($AS141&lt;&gt;"",$AT141&lt;&gt;""),$AT141-$AS141,"")</f>
        <v/>
      </c>
      <c r="BE141" s="22" t="str">
        <f t="shared" si="144"/>
        <v/>
      </c>
      <c r="BF141" s="21" t="str">
        <f t="shared" si="145"/>
        <v>Apprenant 129 ou 129'</v>
      </c>
      <c r="BG141" s="49" t="str">
        <f t="shared" ref="BG141:BG204" si="156">IF(AND($AW141&lt;&gt;"",$AX141&lt;&gt;""),$AX141-$AW141,"")</f>
        <v/>
      </c>
      <c r="BH141" s="49" t="str">
        <f t="shared" ref="BH141:BH204" si="157">IF(AND($AW141&lt;&gt;"",$AY141&lt;&gt;""),$AY141-$AW141,"")</f>
        <v/>
      </c>
      <c r="BI141" s="49" t="str">
        <f t="shared" ref="BI141:BI204" si="158">IF(AND($AX141&lt;&gt;"",$AY141&lt;&gt;""),$AY141-$AX141,"")</f>
        <v/>
      </c>
      <c r="BJ141" s="22" t="str">
        <f t="shared" si="146"/>
        <v/>
      </c>
      <c r="BL141" s="21"/>
      <c r="BM141" s="21" t="str">
        <f>IF(OR(COUNT(B141:D1140)=0,AND('Choix pédagogiques'!$C$3&lt;&gt;1,'Choix pédagogiques'!$C$3&lt;&gt;2)),"",IF(AND(OR('Choix pédagogiques'!$C$3=1,'Choix pédagogiques'!$C$3=2),$B141&lt;&gt;"",$C141&lt;&gt;"",$D141&lt;&gt;""),1,0))</f>
        <v/>
      </c>
      <c r="BN141" s="21" t="str">
        <f>IF(OR(COUNT(G141:I1140)=0,AND('Choix pédagogiques'!$C$3&lt;&gt;1,'Choix pédagogiques'!$C$3&lt;&gt;2)),"",IF(AND(OR('Choix pédagogiques'!$C$3=1,'Choix pédagogiques'!$C$3=2),AND($G141&lt;&gt;"",$H141&lt;&gt;"",$I141&lt;&gt;"")),1,0))</f>
        <v/>
      </c>
      <c r="BO141" s="21" t="str">
        <f>IF(OR(COUNT(B141:D1140)=0,COUNT(G141:I1140)=0,'Choix pédagogiques'!C$3&lt;&gt;3),"",IF(AND('Choix pédagogiques'!$C$3=3,$B141&lt;&gt;"",$C141&lt;&gt;"",$D141&lt;&gt;"",$G141&lt;&gt;"",$H141&lt;&gt;"",$I141&lt;&gt;""),1,0))</f>
        <v/>
      </c>
      <c r="BR141" s="21">
        <v>533</v>
      </c>
      <c r="BS141" s="21">
        <v>1244</v>
      </c>
      <c r="BT141"/>
    </row>
    <row r="142" spans="1:72" s="23" customFormat="1" ht="18" customHeight="1" x14ac:dyDescent="0.3">
      <c r="A142" s="35" t="s">
        <v>132</v>
      </c>
      <c r="B142" s="37"/>
      <c r="C142" s="37"/>
      <c r="D142" s="37"/>
      <c r="E142" s="37"/>
      <c r="F142" s="35" t="s">
        <v>1140</v>
      </c>
      <c r="G142" s="37"/>
      <c r="H142" s="37"/>
      <c r="I142" s="37"/>
      <c r="J142" s="37"/>
      <c r="K142" s="21" t="str">
        <f t="shared" ref="K142:K205" si="159">IF($A142&lt;&gt;"",$A142,"")</f>
        <v>Apprenant 130</v>
      </c>
      <c r="L142" s="22" t="str">
        <f t="shared" ref="L142:L205" si="160">IF(AND($B142&lt;&gt;"",$C142&lt;&gt;""),$C142-$B142,"")</f>
        <v/>
      </c>
      <c r="M142" s="22" t="str">
        <f t="shared" ref="M142:M205" si="161">IF(AND($B142&lt;&gt;"",$D142&lt;&gt;""),$D142-$B142,"")</f>
        <v/>
      </c>
      <c r="N142" s="22" t="str">
        <f t="shared" ref="N142:N205" si="162">IF(AND($C142&lt;&gt;"",$D142&lt;&gt;""),$D142-$C142,"")</f>
        <v/>
      </c>
      <c r="O142" s="22" t="str">
        <f t="shared" ref="O142:O205" si="163">IF($E142&lt;&gt;"",$E142,"")</f>
        <v/>
      </c>
      <c r="P142" s="21" t="str">
        <f t="shared" ref="P142:P205" si="164">IF($F142&lt;&gt;"",$F142,"")</f>
        <v>Apprenant 130 ou 130'</v>
      </c>
      <c r="Q142" s="22" t="str">
        <f t="shared" ref="Q142:Q205" si="165">IF(AND($G142&lt;&gt;"",$H142&lt;&gt;""),$H142-$G142,"")</f>
        <v/>
      </c>
      <c r="R142" s="22" t="str">
        <f t="shared" ref="R142:R205" si="166">IF(AND($G142&lt;&gt;"",$I142&lt;&gt;""),$I142-$G142,"")</f>
        <v/>
      </c>
      <c r="S142" s="22" t="str">
        <f t="shared" ref="S142:S205" si="167">IF(AND($H142&lt;&gt;"",$I142&lt;&gt;""),$I142-$H142,"")</f>
        <v/>
      </c>
      <c r="T142" s="22" t="str">
        <f t="shared" ref="T142:T205" si="168">IF($J142&lt;&gt;"",$J142,"")</f>
        <v/>
      </c>
      <c r="V142" s="21" t="str">
        <f t="shared" ref="V142:V205" si="169">IF($A142&lt;&gt;"",$A142,"")</f>
        <v>Apprenant 130</v>
      </c>
      <c r="W142" s="22" t="str">
        <f>IF(AND(OR('Choix pédagogiques'!$C$3=1,'Choix pédagogiques'!$C$3=2),$BM142=1),B142,IF(AND('Choix pédagogiques'!$C$3=3,$BO142=1),B142,""))</f>
        <v/>
      </c>
      <c r="X142" s="22" t="str">
        <f>IF(AND(OR('Choix pédagogiques'!$C$3=1,'Choix pédagogiques'!$C$3=2),$BM142=1),C142,IF(AND('Choix pédagogiques'!$C$3=3,$BO142=1),C142,""))</f>
        <v/>
      </c>
      <c r="Y142" s="22" t="str">
        <f>IF(AND(OR('Choix pédagogiques'!$C$3=1,'Choix pédagogiques'!$C$3=2),$BM142=1),D142,IF(AND('Choix pédagogiques'!$C$3=3,$BO142=1),D142,""))</f>
        <v/>
      </c>
      <c r="Z142" s="22" t="str">
        <f t="shared" ref="Z142:Z205" si="170">IF($E142&lt;&gt;"",$E142,"")</f>
        <v/>
      </c>
      <c r="AA142" s="21" t="str">
        <f t="shared" ref="AA142:AA205" si="171">IF($F142&lt;&gt;"",$F142,"")</f>
        <v>Apprenant 130 ou 130'</v>
      </c>
      <c r="AB142" s="22" t="str">
        <f>IF(AND(OR('Choix pédagogiques'!$C$3=1,'Choix pédagogiques'!$C$3=2),$BN142=1),G142,IF(AND('Choix pédagogiques'!$C$3=3,$BO142=1),G142,""))</f>
        <v/>
      </c>
      <c r="AC142" s="22" t="str">
        <f>IF(AND(OR('Choix pédagogiques'!$C$3=1,'Choix pédagogiques'!$C$3=2),$BN142=1),H142,IF(AND('Choix pédagogiques'!$C$3=3,$BO142=1),H142,""))</f>
        <v/>
      </c>
      <c r="AD142" s="22" t="str">
        <f>IF(AND(OR('Choix pédagogiques'!$C$3=1,'Choix pédagogiques'!$C$3=2),$BN142=1),I142,IF(AND('Choix pédagogiques'!$C$3=3,$BO142=1),I142,""))</f>
        <v/>
      </c>
      <c r="AE142" s="22" t="str">
        <f t="shared" ref="AE142:AE205" si="172">IF($J142&lt;&gt;"",$J142,"")</f>
        <v/>
      </c>
      <c r="AF142" s="21" t="str">
        <f t="shared" ref="AF142:AF205" si="173">IF($A142&lt;&gt;"",$A142,"")</f>
        <v>Apprenant 130</v>
      </c>
      <c r="AG142" s="22" t="str">
        <f t="shared" si="147"/>
        <v/>
      </c>
      <c r="AH142" s="22" t="str">
        <f t="shared" si="148"/>
        <v/>
      </c>
      <c r="AI142" s="22" t="str">
        <f t="shared" si="149"/>
        <v/>
      </c>
      <c r="AJ142" s="22" t="str">
        <f t="shared" ref="AJ142:AJ205" si="174">IF($E142&lt;&gt;"",$E142,"")</f>
        <v/>
      </c>
      <c r="AK142" s="21" t="str">
        <f t="shared" ref="AK142:AK205" si="175">IF($F142&lt;&gt;"",$F142,"")</f>
        <v>Apprenant 130 ou 130'</v>
      </c>
      <c r="AL142" s="22" t="str">
        <f t="shared" si="150"/>
        <v/>
      </c>
      <c r="AM142" s="22" t="str">
        <f t="shared" si="151"/>
        <v/>
      </c>
      <c r="AN142" s="22" t="str">
        <f t="shared" si="152"/>
        <v/>
      </c>
      <c r="AO142" s="22" t="str">
        <f t="shared" ref="AO142:AO205" si="176">IF($J142&lt;&gt;"",$J142,"")</f>
        <v/>
      </c>
      <c r="AQ142" s="21" t="str">
        <f t="shared" ref="AQ142:AQ205" si="177">IF($A142&lt;&gt;"",$A142,"")</f>
        <v>Apprenant 130</v>
      </c>
      <c r="AR142" s="49" t="str">
        <f>IF(AND('Choix pédagogiques'!$C$4&lt;&gt;"?",'Choix pédagogiques'!$C$5&lt;&gt;"?",W142&lt;&gt;""),(W142-'Choix pédagogiques'!$C$4)/('Choix pédagogiques'!$C$5-'Choix pédagogiques'!$C$4),"")</f>
        <v/>
      </c>
      <c r="AS142" s="49" t="str">
        <f>IF(AND('Choix pédagogiques'!$C$4&lt;&gt;"?",'Choix pédagogiques'!$C$5&lt;&gt;"?",X142&lt;&gt;""),(X142-'Choix pédagogiques'!$C$4)/('Choix pédagogiques'!$C$5-'Choix pédagogiques'!$C$4),"")</f>
        <v/>
      </c>
      <c r="AT142" s="49" t="str">
        <f>IF(AND('Choix pédagogiques'!$C$4&lt;&gt;"?",'Choix pédagogiques'!$C$5&lt;&gt;"?",Y142&lt;&gt;""),(Y142-'Choix pédagogiques'!$C$4)/('Choix pédagogiques'!$C$5-'Choix pédagogiques'!$C$4),"")</f>
        <v/>
      </c>
      <c r="AU142" s="22" t="str">
        <f t="shared" ref="AU142:AU205" si="178">IF($E142&lt;&gt;"",$E142,"")</f>
        <v/>
      </c>
      <c r="AV142" s="21" t="str">
        <f t="shared" ref="AV142:AV205" si="179">IF($F142&lt;&gt;"",$F142,"")</f>
        <v>Apprenant 130 ou 130'</v>
      </c>
      <c r="AW142" s="49" t="str">
        <f>IF(AND('Choix pédagogiques'!$C$4&lt;&gt;"?",'Choix pédagogiques'!$C$5&lt;&gt;"?",AB142&lt;&gt;""),(AB142-'Choix pédagogiques'!$C$4)/('Choix pédagogiques'!$C$5-'Choix pédagogiques'!$C$4),"")</f>
        <v/>
      </c>
      <c r="AX142" s="49" t="str">
        <f>IF(AND('Choix pédagogiques'!$C$4&lt;&gt;"?",'Choix pédagogiques'!$C$5&lt;&gt;"?",AC142&lt;&gt;""),(AC142-'Choix pédagogiques'!$C$4)/('Choix pédagogiques'!$C$5-'Choix pédagogiques'!$C$4),"")</f>
        <v/>
      </c>
      <c r="AY142" s="49" t="str">
        <f>IF(AND('Choix pédagogiques'!$C$4&lt;&gt;"?",'Choix pédagogiques'!$C$5&lt;&gt;"?",AD142&lt;&gt;""),(AD142-'Choix pédagogiques'!$C$4)/('Choix pédagogiques'!$C$5-'Choix pédagogiques'!$C$4),"")</f>
        <v/>
      </c>
      <c r="AZ142" s="22" t="str">
        <f t="shared" ref="AZ142:AZ205" si="180">IF($J142&lt;&gt;"",$J142,"")</f>
        <v/>
      </c>
      <c r="BA142" s="21" t="str">
        <f t="shared" ref="BA142:BA205" si="181">IF($A142&lt;&gt;"",$A142,"")</f>
        <v>Apprenant 130</v>
      </c>
      <c r="BB142" s="49" t="str">
        <f t="shared" si="153"/>
        <v/>
      </c>
      <c r="BC142" s="49" t="str">
        <f t="shared" si="154"/>
        <v/>
      </c>
      <c r="BD142" s="49" t="str">
        <f t="shared" si="155"/>
        <v/>
      </c>
      <c r="BE142" s="22" t="str">
        <f t="shared" ref="BE142:BE205" si="182">IF($E142&lt;&gt;"",$E142,"")</f>
        <v/>
      </c>
      <c r="BF142" s="21" t="str">
        <f t="shared" ref="BF142:BF205" si="183">IF($F142&lt;&gt;"",$F142,"")</f>
        <v>Apprenant 130 ou 130'</v>
      </c>
      <c r="BG142" s="49" t="str">
        <f t="shared" si="156"/>
        <v/>
      </c>
      <c r="BH142" s="49" t="str">
        <f t="shared" si="157"/>
        <v/>
      </c>
      <c r="BI142" s="49" t="str">
        <f t="shared" si="158"/>
        <v/>
      </c>
      <c r="BJ142" s="22" t="str">
        <f t="shared" ref="BJ142:BJ205" si="184">IF($J142&lt;&gt;"",$J142,"")</f>
        <v/>
      </c>
      <c r="BL142" s="21"/>
      <c r="BM142" s="21" t="str">
        <f>IF(OR(COUNT(B142:D1141)=0,AND('Choix pédagogiques'!$C$3&lt;&gt;1,'Choix pédagogiques'!$C$3&lt;&gt;2)),"",IF(AND(OR('Choix pédagogiques'!$C$3=1,'Choix pédagogiques'!$C$3=2),$B142&lt;&gt;"",$C142&lt;&gt;"",$D142&lt;&gt;""),1,0))</f>
        <v/>
      </c>
      <c r="BN142" s="21" t="str">
        <f>IF(OR(COUNT(G142:I1141)=0,AND('Choix pédagogiques'!$C$3&lt;&gt;1,'Choix pédagogiques'!$C$3&lt;&gt;2)),"",IF(AND(OR('Choix pédagogiques'!$C$3=1,'Choix pédagogiques'!$C$3=2),AND($G142&lt;&gt;"",$H142&lt;&gt;"",$I142&lt;&gt;"")),1,0))</f>
        <v/>
      </c>
      <c r="BO142" s="21" t="str">
        <f>IF(OR(COUNT(B142:D1141)=0,COUNT(G142:I1141)=0,'Choix pédagogiques'!C$3&lt;&gt;3),"",IF(AND('Choix pédagogiques'!$C$3=3,$B142&lt;&gt;"",$C142&lt;&gt;"",$D142&lt;&gt;"",$G142&lt;&gt;"",$H142&lt;&gt;"",$I142&lt;&gt;""),1,0))</f>
        <v/>
      </c>
      <c r="BR142" s="21">
        <v>817</v>
      </c>
      <c r="BS142" s="21">
        <v>1634</v>
      </c>
      <c r="BT142"/>
    </row>
    <row r="143" spans="1:72" s="23" customFormat="1" ht="18" customHeight="1" x14ac:dyDescent="0.3">
      <c r="A143" s="35" t="s">
        <v>133</v>
      </c>
      <c r="B143" s="37"/>
      <c r="C143" s="37"/>
      <c r="D143" s="37"/>
      <c r="E143" s="37"/>
      <c r="F143" s="35" t="s">
        <v>1141</v>
      </c>
      <c r="G143" s="37"/>
      <c r="H143" s="37"/>
      <c r="I143" s="37"/>
      <c r="J143" s="37"/>
      <c r="K143" s="21" t="str">
        <f t="shared" si="159"/>
        <v>Apprenant 131</v>
      </c>
      <c r="L143" s="22" t="str">
        <f t="shared" si="160"/>
        <v/>
      </c>
      <c r="M143" s="22" t="str">
        <f t="shared" si="161"/>
        <v/>
      </c>
      <c r="N143" s="22" t="str">
        <f t="shared" si="162"/>
        <v/>
      </c>
      <c r="O143" s="22" t="str">
        <f t="shared" si="163"/>
        <v/>
      </c>
      <c r="P143" s="21" t="str">
        <f t="shared" si="164"/>
        <v>Apprenant 131 ou 131'</v>
      </c>
      <c r="Q143" s="22" t="str">
        <f t="shared" si="165"/>
        <v/>
      </c>
      <c r="R143" s="22" t="str">
        <f t="shared" si="166"/>
        <v/>
      </c>
      <c r="S143" s="22" t="str">
        <f t="shared" si="167"/>
        <v/>
      </c>
      <c r="T143" s="22" t="str">
        <f t="shared" si="168"/>
        <v/>
      </c>
      <c r="V143" s="21" t="str">
        <f t="shared" si="169"/>
        <v>Apprenant 131</v>
      </c>
      <c r="W143" s="22" t="str">
        <f>IF(AND(OR('Choix pédagogiques'!$C$3=1,'Choix pédagogiques'!$C$3=2),$BM143=1),B143,IF(AND('Choix pédagogiques'!$C$3=3,$BO143=1),B143,""))</f>
        <v/>
      </c>
      <c r="X143" s="22" t="str">
        <f>IF(AND(OR('Choix pédagogiques'!$C$3=1,'Choix pédagogiques'!$C$3=2),$BM143=1),C143,IF(AND('Choix pédagogiques'!$C$3=3,$BO143=1),C143,""))</f>
        <v/>
      </c>
      <c r="Y143" s="22" t="str">
        <f>IF(AND(OR('Choix pédagogiques'!$C$3=1,'Choix pédagogiques'!$C$3=2),$BM143=1),D143,IF(AND('Choix pédagogiques'!$C$3=3,$BO143=1),D143,""))</f>
        <v/>
      </c>
      <c r="Z143" s="22" t="str">
        <f t="shared" si="170"/>
        <v/>
      </c>
      <c r="AA143" s="21" t="str">
        <f t="shared" si="171"/>
        <v>Apprenant 131 ou 131'</v>
      </c>
      <c r="AB143" s="22" t="str">
        <f>IF(AND(OR('Choix pédagogiques'!$C$3=1,'Choix pédagogiques'!$C$3=2),$BN143=1),G143,IF(AND('Choix pédagogiques'!$C$3=3,$BO143=1),G143,""))</f>
        <v/>
      </c>
      <c r="AC143" s="22" t="str">
        <f>IF(AND(OR('Choix pédagogiques'!$C$3=1,'Choix pédagogiques'!$C$3=2),$BN143=1),H143,IF(AND('Choix pédagogiques'!$C$3=3,$BO143=1),H143,""))</f>
        <v/>
      </c>
      <c r="AD143" s="22" t="str">
        <f>IF(AND(OR('Choix pédagogiques'!$C$3=1,'Choix pédagogiques'!$C$3=2),$BN143=1),I143,IF(AND('Choix pédagogiques'!$C$3=3,$BO143=1),I143,""))</f>
        <v/>
      </c>
      <c r="AE143" s="22" t="str">
        <f t="shared" si="172"/>
        <v/>
      </c>
      <c r="AF143" s="21" t="str">
        <f t="shared" si="173"/>
        <v>Apprenant 131</v>
      </c>
      <c r="AG143" s="22" t="str">
        <f t="shared" si="147"/>
        <v/>
      </c>
      <c r="AH143" s="22" t="str">
        <f t="shared" si="148"/>
        <v/>
      </c>
      <c r="AI143" s="22" t="str">
        <f t="shared" si="149"/>
        <v/>
      </c>
      <c r="AJ143" s="22" t="str">
        <f t="shared" si="174"/>
        <v/>
      </c>
      <c r="AK143" s="21" t="str">
        <f t="shared" si="175"/>
        <v>Apprenant 131 ou 131'</v>
      </c>
      <c r="AL143" s="22" t="str">
        <f t="shared" si="150"/>
        <v/>
      </c>
      <c r="AM143" s="22" t="str">
        <f t="shared" si="151"/>
        <v/>
      </c>
      <c r="AN143" s="22" t="str">
        <f t="shared" si="152"/>
        <v/>
      </c>
      <c r="AO143" s="22" t="str">
        <f t="shared" si="176"/>
        <v/>
      </c>
      <c r="AQ143" s="21" t="str">
        <f t="shared" si="177"/>
        <v>Apprenant 131</v>
      </c>
      <c r="AR143" s="49" t="str">
        <f>IF(AND('Choix pédagogiques'!$C$4&lt;&gt;"?",'Choix pédagogiques'!$C$5&lt;&gt;"?",W143&lt;&gt;""),(W143-'Choix pédagogiques'!$C$4)/('Choix pédagogiques'!$C$5-'Choix pédagogiques'!$C$4),"")</f>
        <v/>
      </c>
      <c r="AS143" s="49" t="str">
        <f>IF(AND('Choix pédagogiques'!$C$4&lt;&gt;"?",'Choix pédagogiques'!$C$5&lt;&gt;"?",X143&lt;&gt;""),(X143-'Choix pédagogiques'!$C$4)/('Choix pédagogiques'!$C$5-'Choix pédagogiques'!$C$4),"")</f>
        <v/>
      </c>
      <c r="AT143" s="49" t="str">
        <f>IF(AND('Choix pédagogiques'!$C$4&lt;&gt;"?",'Choix pédagogiques'!$C$5&lt;&gt;"?",Y143&lt;&gt;""),(Y143-'Choix pédagogiques'!$C$4)/('Choix pédagogiques'!$C$5-'Choix pédagogiques'!$C$4),"")</f>
        <v/>
      </c>
      <c r="AU143" s="22" t="str">
        <f t="shared" si="178"/>
        <v/>
      </c>
      <c r="AV143" s="21" t="str">
        <f t="shared" si="179"/>
        <v>Apprenant 131 ou 131'</v>
      </c>
      <c r="AW143" s="49" t="str">
        <f>IF(AND('Choix pédagogiques'!$C$4&lt;&gt;"?",'Choix pédagogiques'!$C$5&lt;&gt;"?",AB143&lt;&gt;""),(AB143-'Choix pédagogiques'!$C$4)/('Choix pédagogiques'!$C$5-'Choix pédagogiques'!$C$4),"")</f>
        <v/>
      </c>
      <c r="AX143" s="49" t="str">
        <f>IF(AND('Choix pédagogiques'!$C$4&lt;&gt;"?",'Choix pédagogiques'!$C$5&lt;&gt;"?",AC143&lt;&gt;""),(AC143-'Choix pédagogiques'!$C$4)/('Choix pédagogiques'!$C$5-'Choix pédagogiques'!$C$4),"")</f>
        <v/>
      </c>
      <c r="AY143" s="49" t="str">
        <f>IF(AND('Choix pédagogiques'!$C$4&lt;&gt;"?",'Choix pédagogiques'!$C$5&lt;&gt;"?",AD143&lt;&gt;""),(AD143-'Choix pédagogiques'!$C$4)/('Choix pédagogiques'!$C$5-'Choix pédagogiques'!$C$4),"")</f>
        <v/>
      </c>
      <c r="AZ143" s="22" t="str">
        <f t="shared" si="180"/>
        <v/>
      </c>
      <c r="BA143" s="21" t="str">
        <f t="shared" si="181"/>
        <v>Apprenant 131</v>
      </c>
      <c r="BB143" s="49" t="str">
        <f t="shared" si="153"/>
        <v/>
      </c>
      <c r="BC143" s="49" t="str">
        <f t="shared" si="154"/>
        <v/>
      </c>
      <c r="BD143" s="49" t="str">
        <f t="shared" si="155"/>
        <v/>
      </c>
      <c r="BE143" s="22" t="str">
        <f t="shared" si="182"/>
        <v/>
      </c>
      <c r="BF143" s="21" t="str">
        <f t="shared" si="183"/>
        <v>Apprenant 131 ou 131'</v>
      </c>
      <c r="BG143" s="49" t="str">
        <f t="shared" si="156"/>
        <v/>
      </c>
      <c r="BH143" s="49" t="str">
        <f t="shared" si="157"/>
        <v/>
      </c>
      <c r="BI143" s="49" t="str">
        <f t="shared" si="158"/>
        <v/>
      </c>
      <c r="BJ143" s="22" t="str">
        <f t="shared" si="184"/>
        <v/>
      </c>
      <c r="BL143" s="21"/>
      <c r="BM143" s="21" t="str">
        <f>IF(OR(COUNT(B143:D1142)=0,AND('Choix pédagogiques'!$C$3&lt;&gt;1,'Choix pédagogiques'!$C$3&lt;&gt;2)),"",IF(AND(OR('Choix pédagogiques'!$C$3=1,'Choix pédagogiques'!$C$3=2),$B143&lt;&gt;"",$C143&lt;&gt;"",$D143&lt;&gt;""),1,0))</f>
        <v/>
      </c>
      <c r="BN143" s="21" t="str">
        <f>IF(OR(COUNT(G143:I1142)=0,AND('Choix pédagogiques'!$C$3&lt;&gt;1,'Choix pédagogiques'!$C$3&lt;&gt;2)),"",IF(AND(OR('Choix pédagogiques'!$C$3=1,'Choix pédagogiques'!$C$3=2),AND($G143&lt;&gt;"",$H143&lt;&gt;"",$I143&lt;&gt;"")),1,0))</f>
        <v/>
      </c>
      <c r="BO143" s="21" t="str">
        <f>IF(OR(COUNT(B143:D1142)=0,COUNT(G143:I1142)=0,'Choix pédagogiques'!C$3&lt;&gt;3),"",IF(AND('Choix pédagogiques'!$C$3=3,$B143&lt;&gt;"",$C143&lt;&gt;"",$D143&lt;&gt;"",$G143&lt;&gt;"",$H143&lt;&gt;"",$I143&lt;&gt;""),1,0))</f>
        <v/>
      </c>
      <c r="BR143" s="21">
        <v>703</v>
      </c>
      <c r="BS143" s="21">
        <v>1826</v>
      </c>
      <c r="BT143"/>
    </row>
    <row r="144" spans="1:72" s="23" customFormat="1" ht="18" customHeight="1" x14ac:dyDescent="0.3">
      <c r="A144" s="35" t="s">
        <v>134</v>
      </c>
      <c r="B144" s="37"/>
      <c r="C144" s="37"/>
      <c r="D144" s="37"/>
      <c r="E144" s="37"/>
      <c r="F144" s="35" t="s">
        <v>1142</v>
      </c>
      <c r="G144" s="37"/>
      <c r="H144" s="37"/>
      <c r="I144" s="37"/>
      <c r="J144" s="37"/>
      <c r="K144" s="21" t="str">
        <f t="shared" si="159"/>
        <v>Apprenant 132</v>
      </c>
      <c r="L144" s="22" t="str">
        <f t="shared" si="160"/>
        <v/>
      </c>
      <c r="M144" s="22" t="str">
        <f t="shared" si="161"/>
        <v/>
      </c>
      <c r="N144" s="22" t="str">
        <f t="shared" si="162"/>
        <v/>
      </c>
      <c r="O144" s="22" t="str">
        <f t="shared" si="163"/>
        <v/>
      </c>
      <c r="P144" s="21" t="str">
        <f t="shared" si="164"/>
        <v>Apprenant 132 ou 132'</v>
      </c>
      <c r="Q144" s="22" t="str">
        <f t="shared" si="165"/>
        <v/>
      </c>
      <c r="R144" s="22" t="str">
        <f t="shared" si="166"/>
        <v/>
      </c>
      <c r="S144" s="22" t="str">
        <f t="shared" si="167"/>
        <v/>
      </c>
      <c r="T144" s="22" t="str">
        <f t="shared" si="168"/>
        <v/>
      </c>
      <c r="V144" s="21" t="str">
        <f t="shared" si="169"/>
        <v>Apprenant 132</v>
      </c>
      <c r="W144" s="22" t="str">
        <f>IF(AND(OR('Choix pédagogiques'!$C$3=1,'Choix pédagogiques'!$C$3=2),$BM144=1),B144,IF(AND('Choix pédagogiques'!$C$3=3,$BO144=1),B144,""))</f>
        <v/>
      </c>
      <c r="X144" s="22" t="str">
        <f>IF(AND(OR('Choix pédagogiques'!$C$3=1,'Choix pédagogiques'!$C$3=2),$BM144=1),C144,IF(AND('Choix pédagogiques'!$C$3=3,$BO144=1),C144,""))</f>
        <v/>
      </c>
      <c r="Y144" s="22" t="str">
        <f>IF(AND(OR('Choix pédagogiques'!$C$3=1,'Choix pédagogiques'!$C$3=2),$BM144=1),D144,IF(AND('Choix pédagogiques'!$C$3=3,$BO144=1),D144,""))</f>
        <v/>
      </c>
      <c r="Z144" s="22" t="str">
        <f t="shared" si="170"/>
        <v/>
      </c>
      <c r="AA144" s="21" t="str">
        <f t="shared" si="171"/>
        <v>Apprenant 132 ou 132'</v>
      </c>
      <c r="AB144" s="22" t="str">
        <f>IF(AND(OR('Choix pédagogiques'!$C$3=1,'Choix pédagogiques'!$C$3=2),$BN144=1),G144,IF(AND('Choix pédagogiques'!$C$3=3,$BO144=1),G144,""))</f>
        <v/>
      </c>
      <c r="AC144" s="22" t="str">
        <f>IF(AND(OR('Choix pédagogiques'!$C$3=1,'Choix pédagogiques'!$C$3=2),$BN144=1),H144,IF(AND('Choix pédagogiques'!$C$3=3,$BO144=1),H144,""))</f>
        <v/>
      </c>
      <c r="AD144" s="22" t="str">
        <f>IF(AND(OR('Choix pédagogiques'!$C$3=1,'Choix pédagogiques'!$C$3=2),$BN144=1),I144,IF(AND('Choix pédagogiques'!$C$3=3,$BO144=1),I144,""))</f>
        <v/>
      </c>
      <c r="AE144" s="22" t="str">
        <f t="shared" si="172"/>
        <v/>
      </c>
      <c r="AF144" s="21" t="str">
        <f t="shared" si="173"/>
        <v>Apprenant 132</v>
      </c>
      <c r="AG144" s="22" t="str">
        <f t="shared" si="147"/>
        <v/>
      </c>
      <c r="AH144" s="22" t="str">
        <f t="shared" si="148"/>
        <v/>
      </c>
      <c r="AI144" s="22" t="str">
        <f t="shared" si="149"/>
        <v/>
      </c>
      <c r="AJ144" s="22" t="str">
        <f t="shared" si="174"/>
        <v/>
      </c>
      <c r="AK144" s="21" t="str">
        <f t="shared" si="175"/>
        <v>Apprenant 132 ou 132'</v>
      </c>
      <c r="AL144" s="22" t="str">
        <f t="shared" si="150"/>
        <v/>
      </c>
      <c r="AM144" s="22" t="str">
        <f t="shared" si="151"/>
        <v/>
      </c>
      <c r="AN144" s="22" t="str">
        <f t="shared" si="152"/>
        <v/>
      </c>
      <c r="AO144" s="22" t="str">
        <f t="shared" si="176"/>
        <v/>
      </c>
      <c r="AQ144" s="21" t="str">
        <f t="shared" si="177"/>
        <v>Apprenant 132</v>
      </c>
      <c r="AR144" s="49" t="str">
        <f>IF(AND('Choix pédagogiques'!$C$4&lt;&gt;"?",'Choix pédagogiques'!$C$5&lt;&gt;"?",W144&lt;&gt;""),(W144-'Choix pédagogiques'!$C$4)/('Choix pédagogiques'!$C$5-'Choix pédagogiques'!$C$4),"")</f>
        <v/>
      </c>
      <c r="AS144" s="49" t="str">
        <f>IF(AND('Choix pédagogiques'!$C$4&lt;&gt;"?",'Choix pédagogiques'!$C$5&lt;&gt;"?",X144&lt;&gt;""),(X144-'Choix pédagogiques'!$C$4)/('Choix pédagogiques'!$C$5-'Choix pédagogiques'!$C$4),"")</f>
        <v/>
      </c>
      <c r="AT144" s="49" t="str">
        <f>IF(AND('Choix pédagogiques'!$C$4&lt;&gt;"?",'Choix pédagogiques'!$C$5&lt;&gt;"?",Y144&lt;&gt;""),(Y144-'Choix pédagogiques'!$C$4)/('Choix pédagogiques'!$C$5-'Choix pédagogiques'!$C$4),"")</f>
        <v/>
      </c>
      <c r="AU144" s="22" t="str">
        <f t="shared" si="178"/>
        <v/>
      </c>
      <c r="AV144" s="21" t="str">
        <f t="shared" si="179"/>
        <v>Apprenant 132 ou 132'</v>
      </c>
      <c r="AW144" s="49" t="str">
        <f>IF(AND('Choix pédagogiques'!$C$4&lt;&gt;"?",'Choix pédagogiques'!$C$5&lt;&gt;"?",AB144&lt;&gt;""),(AB144-'Choix pédagogiques'!$C$4)/('Choix pédagogiques'!$C$5-'Choix pédagogiques'!$C$4),"")</f>
        <v/>
      </c>
      <c r="AX144" s="49" t="str">
        <f>IF(AND('Choix pédagogiques'!$C$4&lt;&gt;"?",'Choix pédagogiques'!$C$5&lt;&gt;"?",AC144&lt;&gt;""),(AC144-'Choix pédagogiques'!$C$4)/('Choix pédagogiques'!$C$5-'Choix pédagogiques'!$C$4),"")</f>
        <v/>
      </c>
      <c r="AY144" s="49" t="str">
        <f>IF(AND('Choix pédagogiques'!$C$4&lt;&gt;"?",'Choix pédagogiques'!$C$5&lt;&gt;"?",AD144&lt;&gt;""),(AD144-'Choix pédagogiques'!$C$4)/('Choix pédagogiques'!$C$5-'Choix pédagogiques'!$C$4),"")</f>
        <v/>
      </c>
      <c r="AZ144" s="22" t="str">
        <f t="shared" si="180"/>
        <v/>
      </c>
      <c r="BA144" s="21" t="str">
        <f t="shared" si="181"/>
        <v>Apprenant 132</v>
      </c>
      <c r="BB144" s="49" t="str">
        <f t="shared" si="153"/>
        <v/>
      </c>
      <c r="BC144" s="49" t="str">
        <f t="shared" si="154"/>
        <v/>
      </c>
      <c r="BD144" s="49" t="str">
        <f t="shared" si="155"/>
        <v/>
      </c>
      <c r="BE144" s="22" t="str">
        <f t="shared" si="182"/>
        <v/>
      </c>
      <c r="BF144" s="21" t="str">
        <f t="shared" si="183"/>
        <v>Apprenant 132 ou 132'</v>
      </c>
      <c r="BG144" s="49" t="str">
        <f t="shared" si="156"/>
        <v/>
      </c>
      <c r="BH144" s="49" t="str">
        <f t="shared" si="157"/>
        <v/>
      </c>
      <c r="BI144" s="49" t="str">
        <f t="shared" si="158"/>
        <v/>
      </c>
      <c r="BJ144" s="22" t="str">
        <f t="shared" si="184"/>
        <v/>
      </c>
      <c r="BL144" s="21"/>
      <c r="BM144" s="21" t="str">
        <f>IF(OR(COUNT(B144:D1143)=0,AND('Choix pédagogiques'!$C$3&lt;&gt;1,'Choix pédagogiques'!$C$3&lt;&gt;2)),"",IF(AND(OR('Choix pédagogiques'!$C$3=1,'Choix pédagogiques'!$C$3=2),$B144&lt;&gt;"",$C144&lt;&gt;"",$D144&lt;&gt;""),1,0))</f>
        <v/>
      </c>
      <c r="BN144" s="21" t="str">
        <f>IF(OR(COUNT(G144:I1143)=0,AND('Choix pédagogiques'!$C$3&lt;&gt;1,'Choix pédagogiques'!$C$3&lt;&gt;2)),"",IF(AND(OR('Choix pédagogiques'!$C$3=1,'Choix pédagogiques'!$C$3=2),AND($G144&lt;&gt;"",$H144&lt;&gt;"",$I144&lt;&gt;"")),1,0))</f>
        <v/>
      </c>
      <c r="BO144" s="21" t="str">
        <f>IF(OR(COUNT(B144:D1143)=0,COUNT(G144:I1143)=0,'Choix pédagogiques'!C$3&lt;&gt;3),"",IF(AND('Choix pédagogiques'!$C$3=3,$B144&lt;&gt;"",$C144&lt;&gt;"",$D144&lt;&gt;"",$G144&lt;&gt;"",$H144&lt;&gt;"",$I144&lt;&gt;""),1,0))</f>
        <v/>
      </c>
      <c r="BR144" s="21">
        <v>976</v>
      </c>
      <c r="BS144" s="21">
        <v>1415</v>
      </c>
      <c r="BT144"/>
    </row>
    <row r="145" spans="1:72" s="23" customFormat="1" ht="18" customHeight="1" x14ac:dyDescent="0.3">
      <c r="A145" s="35" t="s">
        <v>135</v>
      </c>
      <c r="B145" s="37"/>
      <c r="C145" s="37"/>
      <c r="D145" s="37"/>
      <c r="E145" s="37"/>
      <c r="F145" s="35" t="s">
        <v>1143</v>
      </c>
      <c r="G145" s="37"/>
      <c r="H145" s="37"/>
      <c r="I145" s="37"/>
      <c r="J145" s="37"/>
      <c r="K145" s="21" t="str">
        <f t="shared" si="159"/>
        <v>Apprenant 133</v>
      </c>
      <c r="L145" s="22" t="str">
        <f t="shared" si="160"/>
        <v/>
      </c>
      <c r="M145" s="22" t="str">
        <f t="shared" si="161"/>
        <v/>
      </c>
      <c r="N145" s="22" t="str">
        <f t="shared" si="162"/>
        <v/>
      </c>
      <c r="O145" s="22" t="str">
        <f t="shared" si="163"/>
        <v/>
      </c>
      <c r="P145" s="21" t="str">
        <f t="shared" si="164"/>
        <v>Apprenant 133 ou 133'</v>
      </c>
      <c r="Q145" s="22" t="str">
        <f t="shared" si="165"/>
        <v/>
      </c>
      <c r="R145" s="22" t="str">
        <f t="shared" si="166"/>
        <v/>
      </c>
      <c r="S145" s="22" t="str">
        <f t="shared" si="167"/>
        <v/>
      </c>
      <c r="T145" s="22" t="str">
        <f t="shared" si="168"/>
        <v/>
      </c>
      <c r="V145" s="21" t="str">
        <f t="shared" si="169"/>
        <v>Apprenant 133</v>
      </c>
      <c r="W145" s="22" t="str">
        <f>IF(AND(OR('Choix pédagogiques'!$C$3=1,'Choix pédagogiques'!$C$3=2),$BM145=1),B145,IF(AND('Choix pédagogiques'!$C$3=3,$BO145=1),B145,""))</f>
        <v/>
      </c>
      <c r="X145" s="22" t="str">
        <f>IF(AND(OR('Choix pédagogiques'!$C$3=1,'Choix pédagogiques'!$C$3=2),$BM145=1),C145,IF(AND('Choix pédagogiques'!$C$3=3,$BO145=1),C145,""))</f>
        <v/>
      </c>
      <c r="Y145" s="22" t="str">
        <f>IF(AND(OR('Choix pédagogiques'!$C$3=1,'Choix pédagogiques'!$C$3=2),$BM145=1),D145,IF(AND('Choix pédagogiques'!$C$3=3,$BO145=1),D145,""))</f>
        <v/>
      </c>
      <c r="Z145" s="22" t="str">
        <f t="shared" si="170"/>
        <v/>
      </c>
      <c r="AA145" s="21" t="str">
        <f t="shared" si="171"/>
        <v>Apprenant 133 ou 133'</v>
      </c>
      <c r="AB145" s="22" t="str">
        <f>IF(AND(OR('Choix pédagogiques'!$C$3=1,'Choix pédagogiques'!$C$3=2),$BN145=1),G145,IF(AND('Choix pédagogiques'!$C$3=3,$BO145=1),G145,""))</f>
        <v/>
      </c>
      <c r="AC145" s="22" t="str">
        <f>IF(AND(OR('Choix pédagogiques'!$C$3=1,'Choix pédagogiques'!$C$3=2),$BN145=1),H145,IF(AND('Choix pédagogiques'!$C$3=3,$BO145=1),H145,""))</f>
        <v/>
      </c>
      <c r="AD145" s="22" t="str">
        <f>IF(AND(OR('Choix pédagogiques'!$C$3=1,'Choix pédagogiques'!$C$3=2),$BN145=1),I145,IF(AND('Choix pédagogiques'!$C$3=3,$BO145=1),I145,""))</f>
        <v/>
      </c>
      <c r="AE145" s="22" t="str">
        <f t="shared" si="172"/>
        <v/>
      </c>
      <c r="AF145" s="21" t="str">
        <f t="shared" si="173"/>
        <v>Apprenant 133</v>
      </c>
      <c r="AG145" s="22" t="str">
        <f t="shared" si="147"/>
        <v/>
      </c>
      <c r="AH145" s="22" t="str">
        <f t="shared" si="148"/>
        <v/>
      </c>
      <c r="AI145" s="22" t="str">
        <f t="shared" si="149"/>
        <v/>
      </c>
      <c r="AJ145" s="22" t="str">
        <f t="shared" si="174"/>
        <v/>
      </c>
      <c r="AK145" s="21" t="str">
        <f t="shared" si="175"/>
        <v>Apprenant 133 ou 133'</v>
      </c>
      <c r="AL145" s="22" t="str">
        <f t="shared" si="150"/>
        <v/>
      </c>
      <c r="AM145" s="22" t="str">
        <f t="shared" si="151"/>
        <v/>
      </c>
      <c r="AN145" s="22" t="str">
        <f t="shared" si="152"/>
        <v/>
      </c>
      <c r="AO145" s="22" t="str">
        <f t="shared" si="176"/>
        <v/>
      </c>
      <c r="AQ145" s="21" t="str">
        <f t="shared" si="177"/>
        <v>Apprenant 133</v>
      </c>
      <c r="AR145" s="49" t="str">
        <f>IF(AND('Choix pédagogiques'!$C$4&lt;&gt;"?",'Choix pédagogiques'!$C$5&lt;&gt;"?",W145&lt;&gt;""),(W145-'Choix pédagogiques'!$C$4)/('Choix pédagogiques'!$C$5-'Choix pédagogiques'!$C$4),"")</f>
        <v/>
      </c>
      <c r="AS145" s="49" t="str">
        <f>IF(AND('Choix pédagogiques'!$C$4&lt;&gt;"?",'Choix pédagogiques'!$C$5&lt;&gt;"?",X145&lt;&gt;""),(X145-'Choix pédagogiques'!$C$4)/('Choix pédagogiques'!$C$5-'Choix pédagogiques'!$C$4),"")</f>
        <v/>
      </c>
      <c r="AT145" s="49" t="str">
        <f>IF(AND('Choix pédagogiques'!$C$4&lt;&gt;"?",'Choix pédagogiques'!$C$5&lt;&gt;"?",Y145&lt;&gt;""),(Y145-'Choix pédagogiques'!$C$4)/('Choix pédagogiques'!$C$5-'Choix pédagogiques'!$C$4),"")</f>
        <v/>
      </c>
      <c r="AU145" s="22" t="str">
        <f t="shared" si="178"/>
        <v/>
      </c>
      <c r="AV145" s="21" t="str">
        <f t="shared" si="179"/>
        <v>Apprenant 133 ou 133'</v>
      </c>
      <c r="AW145" s="49" t="str">
        <f>IF(AND('Choix pédagogiques'!$C$4&lt;&gt;"?",'Choix pédagogiques'!$C$5&lt;&gt;"?",AB145&lt;&gt;""),(AB145-'Choix pédagogiques'!$C$4)/('Choix pédagogiques'!$C$5-'Choix pédagogiques'!$C$4),"")</f>
        <v/>
      </c>
      <c r="AX145" s="49" t="str">
        <f>IF(AND('Choix pédagogiques'!$C$4&lt;&gt;"?",'Choix pédagogiques'!$C$5&lt;&gt;"?",AC145&lt;&gt;""),(AC145-'Choix pédagogiques'!$C$4)/('Choix pédagogiques'!$C$5-'Choix pédagogiques'!$C$4),"")</f>
        <v/>
      </c>
      <c r="AY145" s="49" t="str">
        <f>IF(AND('Choix pédagogiques'!$C$4&lt;&gt;"?",'Choix pédagogiques'!$C$5&lt;&gt;"?",AD145&lt;&gt;""),(AD145-'Choix pédagogiques'!$C$4)/('Choix pédagogiques'!$C$5-'Choix pédagogiques'!$C$4),"")</f>
        <v/>
      </c>
      <c r="AZ145" s="22" t="str">
        <f t="shared" si="180"/>
        <v/>
      </c>
      <c r="BA145" s="21" t="str">
        <f t="shared" si="181"/>
        <v>Apprenant 133</v>
      </c>
      <c r="BB145" s="49" t="str">
        <f t="shared" si="153"/>
        <v/>
      </c>
      <c r="BC145" s="49" t="str">
        <f t="shared" si="154"/>
        <v/>
      </c>
      <c r="BD145" s="49" t="str">
        <f t="shared" si="155"/>
        <v/>
      </c>
      <c r="BE145" s="22" t="str">
        <f t="shared" si="182"/>
        <v/>
      </c>
      <c r="BF145" s="21" t="str">
        <f t="shared" si="183"/>
        <v>Apprenant 133 ou 133'</v>
      </c>
      <c r="BG145" s="49" t="str">
        <f t="shared" si="156"/>
        <v/>
      </c>
      <c r="BH145" s="49" t="str">
        <f t="shared" si="157"/>
        <v/>
      </c>
      <c r="BI145" s="49" t="str">
        <f t="shared" si="158"/>
        <v/>
      </c>
      <c r="BJ145" s="22" t="str">
        <f t="shared" si="184"/>
        <v/>
      </c>
      <c r="BL145" s="21"/>
      <c r="BM145" s="21" t="str">
        <f>IF(OR(COUNT(B145:D1144)=0,AND('Choix pédagogiques'!$C$3&lt;&gt;1,'Choix pédagogiques'!$C$3&lt;&gt;2)),"",IF(AND(OR('Choix pédagogiques'!$C$3=1,'Choix pédagogiques'!$C$3=2),$B145&lt;&gt;"",$C145&lt;&gt;"",$D145&lt;&gt;""),1,0))</f>
        <v/>
      </c>
      <c r="BN145" s="21" t="str">
        <f>IF(OR(COUNT(G145:I1144)=0,AND('Choix pédagogiques'!$C$3&lt;&gt;1,'Choix pédagogiques'!$C$3&lt;&gt;2)),"",IF(AND(OR('Choix pédagogiques'!$C$3=1,'Choix pédagogiques'!$C$3=2),AND($G145&lt;&gt;"",$H145&lt;&gt;"",$I145&lt;&gt;"")),1,0))</f>
        <v/>
      </c>
      <c r="BO145" s="21" t="str">
        <f>IF(OR(COUNT(B145:D1144)=0,COUNT(G145:I1144)=0,'Choix pédagogiques'!C$3&lt;&gt;3),"",IF(AND('Choix pédagogiques'!$C$3=3,$B145&lt;&gt;"",$C145&lt;&gt;"",$D145&lt;&gt;"",$G145&lt;&gt;"",$H145&lt;&gt;"",$I145&lt;&gt;""),1,0))</f>
        <v/>
      </c>
      <c r="BR145" s="21">
        <v>214</v>
      </c>
      <c r="BS145" s="21">
        <v>1209</v>
      </c>
      <c r="BT145"/>
    </row>
    <row r="146" spans="1:72" s="23" customFormat="1" ht="18" customHeight="1" x14ac:dyDescent="0.3">
      <c r="A146" s="35" t="s">
        <v>136</v>
      </c>
      <c r="B146" s="37"/>
      <c r="C146" s="37"/>
      <c r="D146" s="37"/>
      <c r="E146" s="37"/>
      <c r="F146" s="35" t="s">
        <v>1144</v>
      </c>
      <c r="G146" s="37"/>
      <c r="H146" s="37"/>
      <c r="I146" s="37"/>
      <c r="J146" s="37"/>
      <c r="K146" s="21" t="str">
        <f t="shared" si="159"/>
        <v>Apprenant 134</v>
      </c>
      <c r="L146" s="22" t="str">
        <f t="shared" si="160"/>
        <v/>
      </c>
      <c r="M146" s="22" t="str">
        <f t="shared" si="161"/>
        <v/>
      </c>
      <c r="N146" s="22" t="str">
        <f t="shared" si="162"/>
        <v/>
      </c>
      <c r="O146" s="22" t="str">
        <f t="shared" si="163"/>
        <v/>
      </c>
      <c r="P146" s="21" t="str">
        <f t="shared" si="164"/>
        <v>Apprenant 134 ou 134'</v>
      </c>
      <c r="Q146" s="22" t="str">
        <f t="shared" si="165"/>
        <v/>
      </c>
      <c r="R146" s="22" t="str">
        <f t="shared" si="166"/>
        <v/>
      </c>
      <c r="S146" s="22" t="str">
        <f t="shared" si="167"/>
        <v/>
      </c>
      <c r="T146" s="22" t="str">
        <f t="shared" si="168"/>
        <v/>
      </c>
      <c r="V146" s="21" t="str">
        <f t="shared" si="169"/>
        <v>Apprenant 134</v>
      </c>
      <c r="W146" s="22" t="str">
        <f>IF(AND(OR('Choix pédagogiques'!$C$3=1,'Choix pédagogiques'!$C$3=2),$BM146=1),B146,IF(AND('Choix pédagogiques'!$C$3=3,$BO146=1),B146,""))</f>
        <v/>
      </c>
      <c r="X146" s="22" t="str">
        <f>IF(AND(OR('Choix pédagogiques'!$C$3=1,'Choix pédagogiques'!$C$3=2),$BM146=1),C146,IF(AND('Choix pédagogiques'!$C$3=3,$BO146=1),C146,""))</f>
        <v/>
      </c>
      <c r="Y146" s="22" t="str">
        <f>IF(AND(OR('Choix pédagogiques'!$C$3=1,'Choix pédagogiques'!$C$3=2),$BM146=1),D146,IF(AND('Choix pédagogiques'!$C$3=3,$BO146=1),D146,""))</f>
        <v/>
      </c>
      <c r="Z146" s="22" t="str">
        <f t="shared" si="170"/>
        <v/>
      </c>
      <c r="AA146" s="21" t="str">
        <f t="shared" si="171"/>
        <v>Apprenant 134 ou 134'</v>
      </c>
      <c r="AB146" s="22" t="str">
        <f>IF(AND(OR('Choix pédagogiques'!$C$3=1,'Choix pédagogiques'!$C$3=2),$BN146=1),G146,IF(AND('Choix pédagogiques'!$C$3=3,$BO146=1),G146,""))</f>
        <v/>
      </c>
      <c r="AC146" s="22" t="str">
        <f>IF(AND(OR('Choix pédagogiques'!$C$3=1,'Choix pédagogiques'!$C$3=2),$BN146=1),H146,IF(AND('Choix pédagogiques'!$C$3=3,$BO146=1),H146,""))</f>
        <v/>
      </c>
      <c r="AD146" s="22" t="str">
        <f>IF(AND(OR('Choix pédagogiques'!$C$3=1,'Choix pédagogiques'!$C$3=2),$BN146=1),I146,IF(AND('Choix pédagogiques'!$C$3=3,$BO146=1),I146,""))</f>
        <v/>
      </c>
      <c r="AE146" s="22" t="str">
        <f t="shared" si="172"/>
        <v/>
      </c>
      <c r="AF146" s="21" t="str">
        <f t="shared" si="173"/>
        <v>Apprenant 134</v>
      </c>
      <c r="AG146" s="22" t="str">
        <f t="shared" si="147"/>
        <v/>
      </c>
      <c r="AH146" s="22" t="str">
        <f t="shared" si="148"/>
        <v/>
      </c>
      <c r="AI146" s="22" t="str">
        <f t="shared" si="149"/>
        <v/>
      </c>
      <c r="AJ146" s="22" t="str">
        <f t="shared" si="174"/>
        <v/>
      </c>
      <c r="AK146" s="21" t="str">
        <f t="shared" si="175"/>
        <v>Apprenant 134 ou 134'</v>
      </c>
      <c r="AL146" s="22" t="str">
        <f t="shared" si="150"/>
        <v/>
      </c>
      <c r="AM146" s="22" t="str">
        <f t="shared" si="151"/>
        <v/>
      </c>
      <c r="AN146" s="22" t="str">
        <f t="shared" si="152"/>
        <v/>
      </c>
      <c r="AO146" s="22" t="str">
        <f t="shared" si="176"/>
        <v/>
      </c>
      <c r="AQ146" s="21" t="str">
        <f t="shared" si="177"/>
        <v>Apprenant 134</v>
      </c>
      <c r="AR146" s="49" t="str">
        <f>IF(AND('Choix pédagogiques'!$C$4&lt;&gt;"?",'Choix pédagogiques'!$C$5&lt;&gt;"?",W146&lt;&gt;""),(W146-'Choix pédagogiques'!$C$4)/('Choix pédagogiques'!$C$5-'Choix pédagogiques'!$C$4),"")</f>
        <v/>
      </c>
      <c r="AS146" s="49" t="str">
        <f>IF(AND('Choix pédagogiques'!$C$4&lt;&gt;"?",'Choix pédagogiques'!$C$5&lt;&gt;"?",X146&lt;&gt;""),(X146-'Choix pédagogiques'!$C$4)/('Choix pédagogiques'!$C$5-'Choix pédagogiques'!$C$4),"")</f>
        <v/>
      </c>
      <c r="AT146" s="49" t="str">
        <f>IF(AND('Choix pédagogiques'!$C$4&lt;&gt;"?",'Choix pédagogiques'!$C$5&lt;&gt;"?",Y146&lt;&gt;""),(Y146-'Choix pédagogiques'!$C$4)/('Choix pédagogiques'!$C$5-'Choix pédagogiques'!$C$4),"")</f>
        <v/>
      </c>
      <c r="AU146" s="22" t="str">
        <f t="shared" si="178"/>
        <v/>
      </c>
      <c r="AV146" s="21" t="str">
        <f t="shared" si="179"/>
        <v>Apprenant 134 ou 134'</v>
      </c>
      <c r="AW146" s="49" t="str">
        <f>IF(AND('Choix pédagogiques'!$C$4&lt;&gt;"?",'Choix pédagogiques'!$C$5&lt;&gt;"?",AB146&lt;&gt;""),(AB146-'Choix pédagogiques'!$C$4)/('Choix pédagogiques'!$C$5-'Choix pédagogiques'!$C$4),"")</f>
        <v/>
      </c>
      <c r="AX146" s="49" t="str">
        <f>IF(AND('Choix pédagogiques'!$C$4&lt;&gt;"?",'Choix pédagogiques'!$C$5&lt;&gt;"?",AC146&lt;&gt;""),(AC146-'Choix pédagogiques'!$C$4)/('Choix pédagogiques'!$C$5-'Choix pédagogiques'!$C$4),"")</f>
        <v/>
      </c>
      <c r="AY146" s="49" t="str">
        <f>IF(AND('Choix pédagogiques'!$C$4&lt;&gt;"?",'Choix pédagogiques'!$C$5&lt;&gt;"?",AD146&lt;&gt;""),(AD146-'Choix pédagogiques'!$C$4)/('Choix pédagogiques'!$C$5-'Choix pédagogiques'!$C$4),"")</f>
        <v/>
      </c>
      <c r="AZ146" s="22" t="str">
        <f t="shared" si="180"/>
        <v/>
      </c>
      <c r="BA146" s="21" t="str">
        <f t="shared" si="181"/>
        <v>Apprenant 134</v>
      </c>
      <c r="BB146" s="49" t="str">
        <f t="shared" si="153"/>
        <v/>
      </c>
      <c r="BC146" s="49" t="str">
        <f t="shared" si="154"/>
        <v/>
      </c>
      <c r="BD146" s="49" t="str">
        <f t="shared" si="155"/>
        <v/>
      </c>
      <c r="BE146" s="22" t="str">
        <f t="shared" si="182"/>
        <v/>
      </c>
      <c r="BF146" s="21" t="str">
        <f t="shared" si="183"/>
        <v>Apprenant 134 ou 134'</v>
      </c>
      <c r="BG146" s="49" t="str">
        <f t="shared" si="156"/>
        <v/>
      </c>
      <c r="BH146" s="49" t="str">
        <f t="shared" si="157"/>
        <v/>
      </c>
      <c r="BI146" s="49" t="str">
        <f t="shared" si="158"/>
        <v/>
      </c>
      <c r="BJ146" s="22" t="str">
        <f t="shared" si="184"/>
        <v/>
      </c>
      <c r="BL146" s="21"/>
      <c r="BM146" s="21" t="str">
        <f>IF(OR(COUNT(B146:D1145)=0,AND('Choix pédagogiques'!$C$3&lt;&gt;1,'Choix pédagogiques'!$C$3&lt;&gt;2)),"",IF(AND(OR('Choix pédagogiques'!$C$3=1,'Choix pédagogiques'!$C$3=2),$B146&lt;&gt;"",$C146&lt;&gt;"",$D146&lt;&gt;""),1,0))</f>
        <v/>
      </c>
      <c r="BN146" s="21" t="str">
        <f>IF(OR(COUNT(G146:I1145)=0,AND('Choix pédagogiques'!$C$3&lt;&gt;1,'Choix pédagogiques'!$C$3&lt;&gt;2)),"",IF(AND(OR('Choix pédagogiques'!$C$3=1,'Choix pédagogiques'!$C$3=2),AND($G146&lt;&gt;"",$H146&lt;&gt;"",$I146&lt;&gt;"")),1,0))</f>
        <v/>
      </c>
      <c r="BO146" s="21" t="str">
        <f>IF(OR(COUNT(B146:D1145)=0,COUNT(G146:I1145)=0,'Choix pédagogiques'!C$3&lt;&gt;3),"",IF(AND('Choix pédagogiques'!$C$3=3,$B146&lt;&gt;"",$C146&lt;&gt;"",$D146&lt;&gt;"",$G146&lt;&gt;"",$H146&lt;&gt;"",$I146&lt;&gt;""),1,0))</f>
        <v/>
      </c>
      <c r="BR146" s="21">
        <v>730</v>
      </c>
      <c r="BS146" s="21">
        <v>1633</v>
      </c>
      <c r="BT146"/>
    </row>
    <row r="147" spans="1:72" s="23" customFormat="1" ht="18" customHeight="1" x14ac:dyDescent="0.3">
      <c r="A147" s="35" t="s">
        <v>137</v>
      </c>
      <c r="B147" s="37"/>
      <c r="C147" s="37"/>
      <c r="D147" s="37"/>
      <c r="E147" s="37"/>
      <c r="F147" s="35" t="s">
        <v>1145</v>
      </c>
      <c r="G147" s="37"/>
      <c r="H147" s="37"/>
      <c r="I147" s="37"/>
      <c r="J147" s="37"/>
      <c r="K147" s="21" t="str">
        <f t="shared" si="159"/>
        <v>Apprenant 135</v>
      </c>
      <c r="L147" s="22" t="str">
        <f t="shared" si="160"/>
        <v/>
      </c>
      <c r="M147" s="22" t="str">
        <f t="shared" si="161"/>
        <v/>
      </c>
      <c r="N147" s="22" t="str">
        <f t="shared" si="162"/>
        <v/>
      </c>
      <c r="O147" s="22" t="str">
        <f t="shared" si="163"/>
        <v/>
      </c>
      <c r="P147" s="21" t="str">
        <f t="shared" si="164"/>
        <v>Apprenant 135 ou 135'</v>
      </c>
      <c r="Q147" s="22" t="str">
        <f t="shared" si="165"/>
        <v/>
      </c>
      <c r="R147" s="22" t="str">
        <f t="shared" si="166"/>
        <v/>
      </c>
      <c r="S147" s="22" t="str">
        <f t="shared" si="167"/>
        <v/>
      </c>
      <c r="T147" s="22" t="str">
        <f t="shared" si="168"/>
        <v/>
      </c>
      <c r="V147" s="21" t="str">
        <f t="shared" si="169"/>
        <v>Apprenant 135</v>
      </c>
      <c r="W147" s="22" t="str">
        <f>IF(AND(OR('Choix pédagogiques'!$C$3=1,'Choix pédagogiques'!$C$3=2),$BM147=1),B147,IF(AND('Choix pédagogiques'!$C$3=3,$BO147=1),B147,""))</f>
        <v/>
      </c>
      <c r="X147" s="22" t="str">
        <f>IF(AND(OR('Choix pédagogiques'!$C$3=1,'Choix pédagogiques'!$C$3=2),$BM147=1),C147,IF(AND('Choix pédagogiques'!$C$3=3,$BO147=1),C147,""))</f>
        <v/>
      </c>
      <c r="Y147" s="22" t="str">
        <f>IF(AND(OR('Choix pédagogiques'!$C$3=1,'Choix pédagogiques'!$C$3=2),$BM147=1),D147,IF(AND('Choix pédagogiques'!$C$3=3,$BO147=1),D147,""))</f>
        <v/>
      </c>
      <c r="Z147" s="22" t="str">
        <f t="shared" si="170"/>
        <v/>
      </c>
      <c r="AA147" s="21" t="str">
        <f t="shared" si="171"/>
        <v>Apprenant 135 ou 135'</v>
      </c>
      <c r="AB147" s="22" t="str">
        <f>IF(AND(OR('Choix pédagogiques'!$C$3=1,'Choix pédagogiques'!$C$3=2),$BN147=1),G147,IF(AND('Choix pédagogiques'!$C$3=3,$BO147=1),G147,""))</f>
        <v/>
      </c>
      <c r="AC147" s="22" t="str">
        <f>IF(AND(OR('Choix pédagogiques'!$C$3=1,'Choix pédagogiques'!$C$3=2),$BN147=1),H147,IF(AND('Choix pédagogiques'!$C$3=3,$BO147=1),H147,""))</f>
        <v/>
      </c>
      <c r="AD147" s="22" t="str">
        <f>IF(AND(OR('Choix pédagogiques'!$C$3=1,'Choix pédagogiques'!$C$3=2),$BN147=1),I147,IF(AND('Choix pédagogiques'!$C$3=3,$BO147=1),I147,""))</f>
        <v/>
      </c>
      <c r="AE147" s="22" t="str">
        <f t="shared" si="172"/>
        <v/>
      </c>
      <c r="AF147" s="21" t="str">
        <f t="shared" si="173"/>
        <v>Apprenant 135</v>
      </c>
      <c r="AG147" s="22" t="str">
        <f t="shared" si="147"/>
        <v/>
      </c>
      <c r="AH147" s="22" t="str">
        <f t="shared" si="148"/>
        <v/>
      </c>
      <c r="AI147" s="22" t="str">
        <f t="shared" si="149"/>
        <v/>
      </c>
      <c r="AJ147" s="22" t="str">
        <f t="shared" si="174"/>
        <v/>
      </c>
      <c r="AK147" s="21" t="str">
        <f t="shared" si="175"/>
        <v>Apprenant 135 ou 135'</v>
      </c>
      <c r="AL147" s="22" t="str">
        <f t="shared" si="150"/>
        <v/>
      </c>
      <c r="AM147" s="22" t="str">
        <f t="shared" si="151"/>
        <v/>
      </c>
      <c r="AN147" s="22" t="str">
        <f t="shared" si="152"/>
        <v/>
      </c>
      <c r="AO147" s="22" t="str">
        <f t="shared" si="176"/>
        <v/>
      </c>
      <c r="AQ147" s="21" t="str">
        <f t="shared" si="177"/>
        <v>Apprenant 135</v>
      </c>
      <c r="AR147" s="49" t="str">
        <f>IF(AND('Choix pédagogiques'!$C$4&lt;&gt;"?",'Choix pédagogiques'!$C$5&lt;&gt;"?",W147&lt;&gt;""),(W147-'Choix pédagogiques'!$C$4)/('Choix pédagogiques'!$C$5-'Choix pédagogiques'!$C$4),"")</f>
        <v/>
      </c>
      <c r="AS147" s="49" t="str">
        <f>IF(AND('Choix pédagogiques'!$C$4&lt;&gt;"?",'Choix pédagogiques'!$C$5&lt;&gt;"?",X147&lt;&gt;""),(X147-'Choix pédagogiques'!$C$4)/('Choix pédagogiques'!$C$5-'Choix pédagogiques'!$C$4),"")</f>
        <v/>
      </c>
      <c r="AT147" s="49" t="str">
        <f>IF(AND('Choix pédagogiques'!$C$4&lt;&gt;"?",'Choix pédagogiques'!$C$5&lt;&gt;"?",Y147&lt;&gt;""),(Y147-'Choix pédagogiques'!$C$4)/('Choix pédagogiques'!$C$5-'Choix pédagogiques'!$C$4),"")</f>
        <v/>
      </c>
      <c r="AU147" s="22" t="str">
        <f t="shared" si="178"/>
        <v/>
      </c>
      <c r="AV147" s="21" t="str">
        <f t="shared" si="179"/>
        <v>Apprenant 135 ou 135'</v>
      </c>
      <c r="AW147" s="49" t="str">
        <f>IF(AND('Choix pédagogiques'!$C$4&lt;&gt;"?",'Choix pédagogiques'!$C$5&lt;&gt;"?",AB147&lt;&gt;""),(AB147-'Choix pédagogiques'!$C$4)/('Choix pédagogiques'!$C$5-'Choix pédagogiques'!$C$4),"")</f>
        <v/>
      </c>
      <c r="AX147" s="49" t="str">
        <f>IF(AND('Choix pédagogiques'!$C$4&lt;&gt;"?",'Choix pédagogiques'!$C$5&lt;&gt;"?",AC147&lt;&gt;""),(AC147-'Choix pédagogiques'!$C$4)/('Choix pédagogiques'!$C$5-'Choix pédagogiques'!$C$4),"")</f>
        <v/>
      </c>
      <c r="AY147" s="49" t="str">
        <f>IF(AND('Choix pédagogiques'!$C$4&lt;&gt;"?",'Choix pédagogiques'!$C$5&lt;&gt;"?",AD147&lt;&gt;""),(AD147-'Choix pédagogiques'!$C$4)/('Choix pédagogiques'!$C$5-'Choix pédagogiques'!$C$4),"")</f>
        <v/>
      </c>
      <c r="AZ147" s="22" t="str">
        <f t="shared" si="180"/>
        <v/>
      </c>
      <c r="BA147" s="21" t="str">
        <f t="shared" si="181"/>
        <v>Apprenant 135</v>
      </c>
      <c r="BB147" s="49" t="str">
        <f t="shared" si="153"/>
        <v/>
      </c>
      <c r="BC147" s="49" t="str">
        <f t="shared" si="154"/>
        <v/>
      </c>
      <c r="BD147" s="49" t="str">
        <f t="shared" si="155"/>
        <v/>
      </c>
      <c r="BE147" s="22" t="str">
        <f t="shared" si="182"/>
        <v/>
      </c>
      <c r="BF147" s="21" t="str">
        <f t="shared" si="183"/>
        <v>Apprenant 135 ou 135'</v>
      </c>
      <c r="BG147" s="49" t="str">
        <f t="shared" si="156"/>
        <v/>
      </c>
      <c r="BH147" s="49" t="str">
        <f t="shared" si="157"/>
        <v/>
      </c>
      <c r="BI147" s="49" t="str">
        <f t="shared" si="158"/>
        <v/>
      </c>
      <c r="BJ147" s="22" t="str">
        <f t="shared" si="184"/>
        <v/>
      </c>
      <c r="BL147" s="21"/>
      <c r="BM147" s="21" t="str">
        <f>IF(OR(COUNT(B147:D1146)=0,AND('Choix pédagogiques'!$C$3&lt;&gt;1,'Choix pédagogiques'!$C$3&lt;&gt;2)),"",IF(AND(OR('Choix pédagogiques'!$C$3=1,'Choix pédagogiques'!$C$3=2),$B147&lt;&gt;"",$C147&lt;&gt;"",$D147&lt;&gt;""),1,0))</f>
        <v/>
      </c>
      <c r="BN147" s="21" t="str">
        <f>IF(OR(COUNT(G147:I1146)=0,AND('Choix pédagogiques'!$C$3&lt;&gt;1,'Choix pédagogiques'!$C$3&lt;&gt;2)),"",IF(AND(OR('Choix pédagogiques'!$C$3=1,'Choix pédagogiques'!$C$3=2),AND($G147&lt;&gt;"",$H147&lt;&gt;"",$I147&lt;&gt;"")),1,0))</f>
        <v/>
      </c>
      <c r="BO147" s="21" t="str">
        <f>IF(OR(COUNT(B147:D1146)=0,COUNT(G147:I1146)=0,'Choix pédagogiques'!C$3&lt;&gt;3),"",IF(AND('Choix pédagogiques'!$C$3=3,$B147&lt;&gt;"",$C147&lt;&gt;"",$D147&lt;&gt;"",$G147&lt;&gt;"",$H147&lt;&gt;"",$I147&lt;&gt;""),1,0))</f>
        <v/>
      </c>
      <c r="BR147" s="21">
        <v>499</v>
      </c>
      <c r="BS147" s="21">
        <v>1886</v>
      </c>
      <c r="BT147"/>
    </row>
    <row r="148" spans="1:72" s="23" customFormat="1" ht="18" customHeight="1" x14ac:dyDescent="0.3">
      <c r="A148" s="35" t="s">
        <v>138</v>
      </c>
      <c r="B148" s="37"/>
      <c r="C148" s="37"/>
      <c r="D148" s="37"/>
      <c r="E148" s="37"/>
      <c r="F148" s="35" t="s">
        <v>1146</v>
      </c>
      <c r="G148" s="37"/>
      <c r="H148" s="37"/>
      <c r="I148" s="37"/>
      <c r="J148" s="37"/>
      <c r="K148" s="21" t="str">
        <f t="shared" si="159"/>
        <v>Apprenant 136</v>
      </c>
      <c r="L148" s="22" t="str">
        <f t="shared" si="160"/>
        <v/>
      </c>
      <c r="M148" s="22" t="str">
        <f t="shared" si="161"/>
        <v/>
      </c>
      <c r="N148" s="22" t="str">
        <f t="shared" si="162"/>
        <v/>
      </c>
      <c r="O148" s="22" t="str">
        <f t="shared" si="163"/>
        <v/>
      </c>
      <c r="P148" s="21" t="str">
        <f t="shared" si="164"/>
        <v>Apprenant 136 ou 136'</v>
      </c>
      <c r="Q148" s="22" t="str">
        <f t="shared" si="165"/>
        <v/>
      </c>
      <c r="R148" s="22" t="str">
        <f t="shared" si="166"/>
        <v/>
      </c>
      <c r="S148" s="22" t="str">
        <f t="shared" si="167"/>
        <v/>
      </c>
      <c r="T148" s="22" t="str">
        <f t="shared" si="168"/>
        <v/>
      </c>
      <c r="V148" s="21" t="str">
        <f t="shared" si="169"/>
        <v>Apprenant 136</v>
      </c>
      <c r="W148" s="22" t="str">
        <f>IF(AND(OR('Choix pédagogiques'!$C$3=1,'Choix pédagogiques'!$C$3=2),$BM148=1),B148,IF(AND('Choix pédagogiques'!$C$3=3,$BO148=1),B148,""))</f>
        <v/>
      </c>
      <c r="X148" s="22" t="str">
        <f>IF(AND(OR('Choix pédagogiques'!$C$3=1,'Choix pédagogiques'!$C$3=2),$BM148=1),C148,IF(AND('Choix pédagogiques'!$C$3=3,$BO148=1),C148,""))</f>
        <v/>
      </c>
      <c r="Y148" s="22" t="str">
        <f>IF(AND(OR('Choix pédagogiques'!$C$3=1,'Choix pédagogiques'!$C$3=2),$BM148=1),D148,IF(AND('Choix pédagogiques'!$C$3=3,$BO148=1),D148,""))</f>
        <v/>
      </c>
      <c r="Z148" s="22" t="str">
        <f t="shared" si="170"/>
        <v/>
      </c>
      <c r="AA148" s="21" t="str">
        <f t="shared" si="171"/>
        <v>Apprenant 136 ou 136'</v>
      </c>
      <c r="AB148" s="22" t="str">
        <f>IF(AND(OR('Choix pédagogiques'!$C$3=1,'Choix pédagogiques'!$C$3=2),$BN148=1),G148,IF(AND('Choix pédagogiques'!$C$3=3,$BO148=1),G148,""))</f>
        <v/>
      </c>
      <c r="AC148" s="22" t="str">
        <f>IF(AND(OR('Choix pédagogiques'!$C$3=1,'Choix pédagogiques'!$C$3=2),$BN148=1),H148,IF(AND('Choix pédagogiques'!$C$3=3,$BO148=1),H148,""))</f>
        <v/>
      </c>
      <c r="AD148" s="22" t="str">
        <f>IF(AND(OR('Choix pédagogiques'!$C$3=1,'Choix pédagogiques'!$C$3=2),$BN148=1),I148,IF(AND('Choix pédagogiques'!$C$3=3,$BO148=1),I148,""))</f>
        <v/>
      </c>
      <c r="AE148" s="22" t="str">
        <f t="shared" si="172"/>
        <v/>
      </c>
      <c r="AF148" s="21" t="str">
        <f t="shared" si="173"/>
        <v>Apprenant 136</v>
      </c>
      <c r="AG148" s="22" t="str">
        <f t="shared" si="147"/>
        <v/>
      </c>
      <c r="AH148" s="22" t="str">
        <f t="shared" si="148"/>
        <v/>
      </c>
      <c r="AI148" s="22" t="str">
        <f t="shared" si="149"/>
        <v/>
      </c>
      <c r="AJ148" s="22" t="str">
        <f t="shared" si="174"/>
        <v/>
      </c>
      <c r="AK148" s="21" t="str">
        <f t="shared" si="175"/>
        <v>Apprenant 136 ou 136'</v>
      </c>
      <c r="AL148" s="22" t="str">
        <f t="shared" si="150"/>
        <v/>
      </c>
      <c r="AM148" s="22" t="str">
        <f t="shared" si="151"/>
        <v/>
      </c>
      <c r="AN148" s="22" t="str">
        <f t="shared" si="152"/>
        <v/>
      </c>
      <c r="AO148" s="22" t="str">
        <f t="shared" si="176"/>
        <v/>
      </c>
      <c r="AQ148" s="21" t="str">
        <f t="shared" si="177"/>
        <v>Apprenant 136</v>
      </c>
      <c r="AR148" s="49" t="str">
        <f>IF(AND('Choix pédagogiques'!$C$4&lt;&gt;"?",'Choix pédagogiques'!$C$5&lt;&gt;"?",W148&lt;&gt;""),(W148-'Choix pédagogiques'!$C$4)/('Choix pédagogiques'!$C$5-'Choix pédagogiques'!$C$4),"")</f>
        <v/>
      </c>
      <c r="AS148" s="49" t="str">
        <f>IF(AND('Choix pédagogiques'!$C$4&lt;&gt;"?",'Choix pédagogiques'!$C$5&lt;&gt;"?",X148&lt;&gt;""),(X148-'Choix pédagogiques'!$C$4)/('Choix pédagogiques'!$C$5-'Choix pédagogiques'!$C$4),"")</f>
        <v/>
      </c>
      <c r="AT148" s="49" t="str">
        <f>IF(AND('Choix pédagogiques'!$C$4&lt;&gt;"?",'Choix pédagogiques'!$C$5&lt;&gt;"?",Y148&lt;&gt;""),(Y148-'Choix pédagogiques'!$C$4)/('Choix pédagogiques'!$C$5-'Choix pédagogiques'!$C$4),"")</f>
        <v/>
      </c>
      <c r="AU148" s="22" t="str">
        <f t="shared" si="178"/>
        <v/>
      </c>
      <c r="AV148" s="21" t="str">
        <f t="shared" si="179"/>
        <v>Apprenant 136 ou 136'</v>
      </c>
      <c r="AW148" s="49" t="str">
        <f>IF(AND('Choix pédagogiques'!$C$4&lt;&gt;"?",'Choix pédagogiques'!$C$5&lt;&gt;"?",AB148&lt;&gt;""),(AB148-'Choix pédagogiques'!$C$4)/('Choix pédagogiques'!$C$5-'Choix pédagogiques'!$C$4),"")</f>
        <v/>
      </c>
      <c r="AX148" s="49" t="str">
        <f>IF(AND('Choix pédagogiques'!$C$4&lt;&gt;"?",'Choix pédagogiques'!$C$5&lt;&gt;"?",AC148&lt;&gt;""),(AC148-'Choix pédagogiques'!$C$4)/('Choix pédagogiques'!$C$5-'Choix pédagogiques'!$C$4),"")</f>
        <v/>
      </c>
      <c r="AY148" s="49" t="str">
        <f>IF(AND('Choix pédagogiques'!$C$4&lt;&gt;"?",'Choix pédagogiques'!$C$5&lt;&gt;"?",AD148&lt;&gt;""),(AD148-'Choix pédagogiques'!$C$4)/('Choix pédagogiques'!$C$5-'Choix pédagogiques'!$C$4),"")</f>
        <v/>
      </c>
      <c r="AZ148" s="22" t="str">
        <f t="shared" si="180"/>
        <v/>
      </c>
      <c r="BA148" s="21" t="str">
        <f t="shared" si="181"/>
        <v>Apprenant 136</v>
      </c>
      <c r="BB148" s="49" t="str">
        <f t="shared" si="153"/>
        <v/>
      </c>
      <c r="BC148" s="49" t="str">
        <f t="shared" si="154"/>
        <v/>
      </c>
      <c r="BD148" s="49" t="str">
        <f t="shared" si="155"/>
        <v/>
      </c>
      <c r="BE148" s="22" t="str">
        <f t="shared" si="182"/>
        <v/>
      </c>
      <c r="BF148" s="21" t="str">
        <f t="shared" si="183"/>
        <v>Apprenant 136 ou 136'</v>
      </c>
      <c r="BG148" s="49" t="str">
        <f t="shared" si="156"/>
        <v/>
      </c>
      <c r="BH148" s="49" t="str">
        <f t="shared" si="157"/>
        <v/>
      </c>
      <c r="BI148" s="49" t="str">
        <f t="shared" si="158"/>
        <v/>
      </c>
      <c r="BJ148" s="22" t="str">
        <f t="shared" si="184"/>
        <v/>
      </c>
      <c r="BL148" s="21"/>
      <c r="BM148" s="21" t="str">
        <f>IF(OR(COUNT(B148:D1147)=0,AND('Choix pédagogiques'!$C$3&lt;&gt;1,'Choix pédagogiques'!$C$3&lt;&gt;2)),"",IF(AND(OR('Choix pédagogiques'!$C$3=1,'Choix pédagogiques'!$C$3=2),$B148&lt;&gt;"",$C148&lt;&gt;"",$D148&lt;&gt;""),1,0))</f>
        <v/>
      </c>
      <c r="BN148" s="21" t="str">
        <f>IF(OR(COUNT(G148:I1147)=0,AND('Choix pédagogiques'!$C$3&lt;&gt;1,'Choix pédagogiques'!$C$3&lt;&gt;2)),"",IF(AND(OR('Choix pédagogiques'!$C$3=1,'Choix pédagogiques'!$C$3=2),AND($G148&lt;&gt;"",$H148&lt;&gt;"",$I148&lt;&gt;"")),1,0))</f>
        <v/>
      </c>
      <c r="BO148" s="21" t="str">
        <f>IF(OR(COUNT(B148:D1147)=0,COUNT(G148:I1147)=0,'Choix pédagogiques'!C$3&lt;&gt;3),"",IF(AND('Choix pédagogiques'!$C$3=3,$B148&lt;&gt;"",$C148&lt;&gt;"",$D148&lt;&gt;"",$G148&lt;&gt;"",$H148&lt;&gt;"",$I148&lt;&gt;""),1,0))</f>
        <v/>
      </c>
      <c r="BR148" s="21">
        <v>569</v>
      </c>
      <c r="BS148" s="21">
        <v>1962</v>
      </c>
      <c r="BT148"/>
    </row>
    <row r="149" spans="1:72" s="23" customFormat="1" ht="18" customHeight="1" x14ac:dyDescent="0.3">
      <c r="A149" s="35" t="s">
        <v>139</v>
      </c>
      <c r="B149" s="37"/>
      <c r="C149" s="37"/>
      <c r="D149" s="37"/>
      <c r="E149" s="37"/>
      <c r="F149" s="35" t="s">
        <v>1147</v>
      </c>
      <c r="G149" s="37"/>
      <c r="H149" s="37"/>
      <c r="I149" s="37"/>
      <c r="J149" s="37"/>
      <c r="K149" s="21" t="str">
        <f t="shared" si="159"/>
        <v>Apprenant 137</v>
      </c>
      <c r="L149" s="22" t="str">
        <f t="shared" si="160"/>
        <v/>
      </c>
      <c r="M149" s="22" t="str">
        <f t="shared" si="161"/>
        <v/>
      </c>
      <c r="N149" s="22" t="str">
        <f t="shared" si="162"/>
        <v/>
      </c>
      <c r="O149" s="22" t="str">
        <f t="shared" si="163"/>
        <v/>
      </c>
      <c r="P149" s="21" t="str">
        <f t="shared" si="164"/>
        <v>Apprenant 137 ou 137'</v>
      </c>
      <c r="Q149" s="22" t="str">
        <f t="shared" si="165"/>
        <v/>
      </c>
      <c r="R149" s="22" t="str">
        <f t="shared" si="166"/>
        <v/>
      </c>
      <c r="S149" s="22" t="str">
        <f t="shared" si="167"/>
        <v/>
      </c>
      <c r="T149" s="22" t="str">
        <f t="shared" si="168"/>
        <v/>
      </c>
      <c r="V149" s="21" t="str">
        <f t="shared" si="169"/>
        <v>Apprenant 137</v>
      </c>
      <c r="W149" s="22" t="str">
        <f>IF(AND(OR('Choix pédagogiques'!$C$3=1,'Choix pédagogiques'!$C$3=2),$BM149=1),B149,IF(AND('Choix pédagogiques'!$C$3=3,$BO149=1),B149,""))</f>
        <v/>
      </c>
      <c r="X149" s="22" t="str">
        <f>IF(AND(OR('Choix pédagogiques'!$C$3=1,'Choix pédagogiques'!$C$3=2),$BM149=1),C149,IF(AND('Choix pédagogiques'!$C$3=3,$BO149=1),C149,""))</f>
        <v/>
      </c>
      <c r="Y149" s="22" t="str">
        <f>IF(AND(OR('Choix pédagogiques'!$C$3=1,'Choix pédagogiques'!$C$3=2),$BM149=1),D149,IF(AND('Choix pédagogiques'!$C$3=3,$BO149=1),D149,""))</f>
        <v/>
      </c>
      <c r="Z149" s="22" t="str">
        <f t="shared" si="170"/>
        <v/>
      </c>
      <c r="AA149" s="21" t="str">
        <f t="shared" si="171"/>
        <v>Apprenant 137 ou 137'</v>
      </c>
      <c r="AB149" s="22" t="str">
        <f>IF(AND(OR('Choix pédagogiques'!$C$3=1,'Choix pédagogiques'!$C$3=2),$BN149=1),G149,IF(AND('Choix pédagogiques'!$C$3=3,$BO149=1),G149,""))</f>
        <v/>
      </c>
      <c r="AC149" s="22" t="str">
        <f>IF(AND(OR('Choix pédagogiques'!$C$3=1,'Choix pédagogiques'!$C$3=2),$BN149=1),H149,IF(AND('Choix pédagogiques'!$C$3=3,$BO149=1),H149,""))</f>
        <v/>
      </c>
      <c r="AD149" s="22" t="str">
        <f>IF(AND(OR('Choix pédagogiques'!$C$3=1,'Choix pédagogiques'!$C$3=2),$BN149=1),I149,IF(AND('Choix pédagogiques'!$C$3=3,$BO149=1),I149,""))</f>
        <v/>
      </c>
      <c r="AE149" s="22" t="str">
        <f t="shared" si="172"/>
        <v/>
      </c>
      <c r="AF149" s="21" t="str">
        <f t="shared" si="173"/>
        <v>Apprenant 137</v>
      </c>
      <c r="AG149" s="22" t="str">
        <f t="shared" si="147"/>
        <v/>
      </c>
      <c r="AH149" s="22" t="str">
        <f t="shared" si="148"/>
        <v/>
      </c>
      <c r="AI149" s="22" t="str">
        <f t="shared" si="149"/>
        <v/>
      </c>
      <c r="AJ149" s="22" t="str">
        <f t="shared" si="174"/>
        <v/>
      </c>
      <c r="AK149" s="21" t="str">
        <f t="shared" si="175"/>
        <v>Apprenant 137 ou 137'</v>
      </c>
      <c r="AL149" s="22" t="str">
        <f t="shared" si="150"/>
        <v/>
      </c>
      <c r="AM149" s="22" t="str">
        <f t="shared" si="151"/>
        <v/>
      </c>
      <c r="AN149" s="22" t="str">
        <f t="shared" si="152"/>
        <v/>
      </c>
      <c r="AO149" s="22" t="str">
        <f t="shared" si="176"/>
        <v/>
      </c>
      <c r="AQ149" s="21" t="str">
        <f t="shared" si="177"/>
        <v>Apprenant 137</v>
      </c>
      <c r="AR149" s="49" t="str">
        <f>IF(AND('Choix pédagogiques'!$C$4&lt;&gt;"?",'Choix pédagogiques'!$C$5&lt;&gt;"?",W149&lt;&gt;""),(W149-'Choix pédagogiques'!$C$4)/('Choix pédagogiques'!$C$5-'Choix pédagogiques'!$C$4),"")</f>
        <v/>
      </c>
      <c r="AS149" s="49" t="str">
        <f>IF(AND('Choix pédagogiques'!$C$4&lt;&gt;"?",'Choix pédagogiques'!$C$5&lt;&gt;"?",X149&lt;&gt;""),(X149-'Choix pédagogiques'!$C$4)/('Choix pédagogiques'!$C$5-'Choix pédagogiques'!$C$4),"")</f>
        <v/>
      </c>
      <c r="AT149" s="49" t="str">
        <f>IF(AND('Choix pédagogiques'!$C$4&lt;&gt;"?",'Choix pédagogiques'!$C$5&lt;&gt;"?",Y149&lt;&gt;""),(Y149-'Choix pédagogiques'!$C$4)/('Choix pédagogiques'!$C$5-'Choix pédagogiques'!$C$4),"")</f>
        <v/>
      </c>
      <c r="AU149" s="22" t="str">
        <f t="shared" si="178"/>
        <v/>
      </c>
      <c r="AV149" s="21" t="str">
        <f t="shared" si="179"/>
        <v>Apprenant 137 ou 137'</v>
      </c>
      <c r="AW149" s="49" t="str">
        <f>IF(AND('Choix pédagogiques'!$C$4&lt;&gt;"?",'Choix pédagogiques'!$C$5&lt;&gt;"?",AB149&lt;&gt;""),(AB149-'Choix pédagogiques'!$C$4)/('Choix pédagogiques'!$C$5-'Choix pédagogiques'!$C$4),"")</f>
        <v/>
      </c>
      <c r="AX149" s="49" t="str">
        <f>IF(AND('Choix pédagogiques'!$C$4&lt;&gt;"?",'Choix pédagogiques'!$C$5&lt;&gt;"?",AC149&lt;&gt;""),(AC149-'Choix pédagogiques'!$C$4)/('Choix pédagogiques'!$C$5-'Choix pédagogiques'!$C$4),"")</f>
        <v/>
      </c>
      <c r="AY149" s="49" t="str">
        <f>IF(AND('Choix pédagogiques'!$C$4&lt;&gt;"?",'Choix pédagogiques'!$C$5&lt;&gt;"?",AD149&lt;&gt;""),(AD149-'Choix pédagogiques'!$C$4)/('Choix pédagogiques'!$C$5-'Choix pédagogiques'!$C$4),"")</f>
        <v/>
      </c>
      <c r="AZ149" s="22" t="str">
        <f t="shared" si="180"/>
        <v/>
      </c>
      <c r="BA149" s="21" t="str">
        <f t="shared" si="181"/>
        <v>Apprenant 137</v>
      </c>
      <c r="BB149" s="49" t="str">
        <f t="shared" si="153"/>
        <v/>
      </c>
      <c r="BC149" s="49" t="str">
        <f t="shared" si="154"/>
        <v/>
      </c>
      <c r="BD149" s="49" t="str">
        <f t="shared" si="155"/>
        <v/>
      </c>
      <c r="BE149" s="22" t="str">
        <f t="shared" si="182"/>
        <v/>
      </c>
      <c r="BF149" s="21" t="str">
        <f t="shared" si="183"/>
        <v>Apprenant 137 ou 137'</v>
      </c>
      <c r="BG149" s="49" t="str">
        <f t="shared" si="156"/>
        <v/>
      </c>
      <c r="BH149" s="49" t="str">
        <f t="shared" si="157"/>
        <v/>
      </c>
      <c r="BI149" s="49" t="str">
        <f t="shared" si="158"/>
        <v/>
      </c>
      <c r="BJ149" s="22" t="str">
        <f t="shared" si="184"/>
        <v/>
      </c>
      <c r="BL149" s="21"/>
      <c r="BM149" s="21" t="str">
        <f>IF(OR(COUNT(B149:D1148)=0,AND('Choix pédagogiques'!$C$3&lt;&gt;1,'Choix pédagogiques'!$C$3&lt;&gt;2)),"",IF(AND(OR('Choix pédagogiques'!$C$3=1,'Choix pédagogiques'!$C$3=2),$B149&lt;&gt;"",$C149&lt;&gt;"",$D149&lt;&gt;""),1,0))</f>
        <v/>
      </c>
      <c r="BN149" s="21" t="str">
        <f>IF(OR(COUNT(G149:I1148)=0,AND('Choix pédagogiques'!$C$3&lt;&gt;1,'Choix pédagogiques'!$C$3&lt;&gt;2)),"",IF(AND(OR('Choix pédagogiques'!$C$3=1,'Choix pédagogiques'!$C$3=2),AND($G149&lt;&gt;"",$H149&lt;&gt;"",$I149&lt;&gt;"")),1,0))</f>
        <v/>
      </c>
      <c r="BO149" s="21" t="str">
        <f>IF(OR(COUNT(B149:D1148)=0,COUNT(G149:I1148)=0,'Choix pédagogiques'!C$3&lt;&gt;3),"",IF(AND('Choix pédagogiques'!$C$3=3,$B149&lt;&gt;"",$C149&lt;&gt;"",$D149&lt;&gt;"",$G149&lt;&gt;"",$H149&lt;&gt;"",$I149&lt;&gt;""),1,0))</f>
        <v/>
      </c>
      <c r="BR149" s="21">
        <v>794</v>
      </c>
      <c r="BS149" s="21">
        <v>1424</v>
      </c>
      <c r="BT149"/>
    </row>
    <row r="150" spans="1:72" s="23" customFormat="1" ht="18" customHeight="1" x14ac:dyDescent="0.3">
      <c r="A150" s="35" t="s">
        <v>140</v>
      </c>
      <c r="B150" s="37"/>
      <c r="C150" s="37"/>
      <c r="D150" s="37"/>
      <c r="E150" s="37"/>
      <c r="F150" s="35" t="s">
        <v>1148</v>
      </c>
      <c r="G150" s="37"/>
      <c r="H150" s="37"/>
      <c r="I150" s="37"/>
      <c r="J150" s="37"/>
      <c r="K150" s="21" t="str">
        <f t="shared" si="159"/>
        <v>Apprenant 138</v>
      </c>
      <c r="L150" s="22" t="str">
        <f t="shared" si="160"/>
        <v/>
      </c>
      <c r="M150" s="22" t="str">
        <f t="shared" si="161"/>
        <v/>
      </c>
      <c r="N150" s="22" t="str">
        <f t="shared" si="162"/>
        <v/>
      </c>
      <c r="O150" s="22" t="str">
        <f t="shared" si="163"/>
        <v/>
      </c>
      <c r="P150" s="21" t="str">
        <f t="shared" si="164"/>
        <v>Apprenant 138 ou 138'</v>
      </c>
      <c r="Q150" s="22" t="str">
        <f t="shared" si="165"/>
        <v/>
      </c>
      <c r="R150" s="22" t="str">
        <f t="shared" si="166"/>
        <v/>
      </c>
      <c r="S150" s="22" t="str">
        <f t="shared" si="167"/>
        <v/>
      </c>
      <c r="T150" s="22" t="str">
        <f t="shared" si="168"/>
        <v/>
      </c>
      <c r="V150" s="21" t="str">
        <f t="shared" si="169"/>
        <v>Apprenant 138</v>
      </c>
      <c r="W150" s="22" t="str">
        <f>IF(AND(OR('Choix pédagogiques'!$C$3=1,'Choix pédagogiques'!$C$3=2),$BM150=1),B150,IF(AND('Choix pédagogiques'!$C$3=3,$BO150=1),B150,""))</f>
        <v/>
      </c>
      <c r="X150" s="22" t="str">
        <f>IF(AND(OR('Choix pédagogiques'!$C$3=1,'Choix pédagogiques'!$C$3=2),$BM150=1),C150,IF(AND('Choix pédagogiques'!$C$3=3,$BO150=1),C150,""))</f>
        <v/>
      </c>
      <c r="Y150" s="22" t="str">
        <f>IF(AND(OR('Choix pédagogiques'!$C$3=1,'Choix pédagogiques'!$C$3=2),$BM150=1),D150,IF(AND('Choix pédagogiques'!$C$3=3,$BO150=1),D150,""))</f>
        <v/>
      </c>
      <c r="Z150" s="22" t="str">
        <f t="shared" si="170"/>
        <v/>
      </c>
      <c r="AA150" s="21" t="str">
        <f t="shared" si="171"/>
        <v>Apprenant 138 ou 138'</v>
      </c>
      <c r="AB150" s="22" t="str">
        <f>IF(AND(OR('Choix pédagogiques'!$C$3=1,'Choix pédagogiques'!$C$3=2),$BN150=1),G150,IF(AND('Choix pédagogiques'!$C$3=3,$BO150=1),G150,""))</f>
        <v/>
      </c>
      <c r="AC150" s="22" t="str">
        <f>IF(AND(OR('Choix pédagogiques'!$C$3=1,'Choix pédagogiques'!$C$3=2),$BN150=1),H150,IF(AND('Choix pédagogiques'!$C$3=3,$BO150=1),H150,""))</f>
        <v/>
      </c>
      <c r="AD150" s="22" t="str">
        <f>IF(AND(OR('Choix pédagogiques'!$C$3=1,'Choix pédagogiques'!$C$3=2),$BN150=1),I150,IF(AND('Choix pédagogiques'!$C$3=3,$BO150=1),I150,""))</f>
        <v/>
      </c>
      <c r="AE150" s="22" t="str">
        <f t="shared" si="172"/>
        <v/>
      </c>
      <c r="AF150" s="21" t="str">
        <f t="shared" si="173"/>
        <v>Apprenant 138</v>
      </c>
      <c r="AG150" s="22" t="str">
        <f t="shared" si="147"/>
        <v/>
      </c>
      <c r="AH150" s="22" t="str">
        <f t="shared" si="148"/>
        <v/>
      </c>
      <c r="AI150" s="22" t="str">
        <f t="shared" si="149"/>
        <v/>
      </c>
      <c r="AJ150" s="22" t="str">
        <f t="shared" si="174"/>
        <v/>
      </c>
      <c r="AK150" s="21" t="str">
        <f t="shared" si="175"/>
        <v>Apprenant 138 ou 138'</v>
      </c>
      <c r="AL150" s="22" t="str">
        <f t="shared" si="150"/>
        <v/>
      </c>
      <c r="AM150" s="22" t="str">
        <f t="shared" si="151"/>
        <v/>
      </c>
      <c r="AN150" s="22" t="str">
        <f t="shared" si="152"/>
        <v/>
      </c>
      <c r="AO150" s="22" t="str">
        <f t="shared" si="176"/>
        <v/>
      </c>
      <c r="AQ150" s="21" t="str">
        <f t="shared" si="177"/>
        <v>Apprenant 138</v>
      </c>
      <c r="AR150" s="49" t="str">
        <f>IF(AND('Choix pédagogiques'!$C$4&lt;&gt;"?",'Choix pédagogiques'!$C$5&lt;&gt;"?",W150&lt;&gt;""),(W150-'Choix pédagogiques'!$C$4)/('Choix pédagogiques'!$C$5-'Choix pédagogiques'!$C$4),"")</f>
        <v/>
      </c>
      <c r="AS150" s="49" t="str">
        <f>IF(AND('Choix pédagogiques'!$C$4&lt;&gt;"?",'Choix pédagogiques'!$C$5&lt;&gt;"?",X150&lt;&gt;""),(X150-'Choix pédagogiques'!$C$4)/('Choix pédagogiques'!$C$5-'Choix pédagogiques'!$C$4),"")</f>
        <v/>
      </c>
      <c r="AT150" s="49" t="str">
        <f>IF(AND('Choix pédagogiques'!$C$4&lt;&gt;"?",'Choix pédagogiques'!$C$5&lt;&gt;"?",Y150&lt;&gt;""),(Y150-'Choix pédagogiques'!$C$4)/('Choix pédagogiques'!$C$5-'Choix pédagogiques'!$C$4),"")</f>
        <v/>
      </c>
      <c r="AU150" s="22" t="str">
        <f t="shared" si="178"/>
        <v/>
      </c>
      <c r="AV150" s="21" t="str">
        <f t="shared" si="179"/>
        <v>Apprenant 138 ou 138'</v>
      </c>
      <c r="AW150" s="49" t="str">
        <f>IF(AND('Choix pédagogiques'!$C$4&lt;&gt;"?",'Choix pédagogiques'!$C$5&lt;&gt;"?",AB150&lt;&gt;""),(AB150-'Choix pédagogiques'!$C$4)/('Choix pédagogiques'!$C$5-'Choix pédagogiques'!$C$4),"")</f>
        <v/>
      </c>
      <c r="AX150" s="49" t="str">
        <f>IF(AND('Choix pédagogiques'!$C$4&lt;&gt;"?",'Choix pédagogiques'!$C$5&lt;&gt;"?",AC150&lt;&gt;""),(AC150-'Choix pédagogiques'!$C$4)/('Choix pédagogiques'!$C$5-'Choix pédagogiques'!$C$4),"")</f>
        <v/>
      </c>
      <c r="AY150" s="49" t="str">
        <f>IF(AND('Choix pédagogiques'!$C$4&lt;&gt;"?",'Choix pédagogiques'!$C$5&lt;&gt;"?",AD150&lt;&gt;""),(AD150-'Choix pédagogiques'!$C$4)/('Choix pédagogiques'!$C$5-'Choix pédagogiques'!$C$4),"")</f>
        <v/>
      </c>
      <c r="AZ150" s="22" t="str">
        <f t="shared" si="180"/>
        <v/>
      </c>
      <c r="BA150" s="21" t="str">
        <f t="shared" si="181"/>
        <v>Apprenant 138</v>
      </c>
      <c r="BB150" s="49" t="str">
        <f t="shared" si="153"/>
        <v/>
      </c>
      <c r="BC150" s="49" t="str">
        <f t="shared" si="154"/>
        <v/>
      </c>
      <c r="BD150" s="49" t="str">
        <f t="shared" si="155"/>
        <v/>
      </c>
      <c r="BE150" s="22" t="str">
        <f t="shared" si="182"/>
        <v/>
      </c>
      <c r="BF150" s="21" t="str">
        <f t="shared" si="183"/>
        <v>Apprenant 138 ou 138'</v>
      </c>
      <c r="BG150" s="49" t="str">
        <f t="shared" si="156"/>
        <v/>
      </c>
      <c r="BH150" s="49" t="str">
        <f t="shared" si="157"/>
        <v/>
      </c>
      <c r="BI150" s="49" t="str">
        <f t="shared" si="158"/>
        <v/>
      </c>
      <c r="BJ150" s="22" t="str">
        <f t="shared" si="184"/>
        <v/>
      </c>
      <c r="BL150" s="21"/>
      <c r="BM150" s="21" t="str">
        <f>IF(OR(COUNT(B150:D1149)=0,AND('Choix pédagogiques'!$C$3&lt;&gt;1,'Choix pédagogiques'!$C$3&lt;&gt;2)),"",IF(AND(OR('Choix pédagogiques'!$C$3=1,'Choix pédagogiques'!$C$3=2),$B150&lt;&gt;"",$C150&lt;&gt;"",$D150&lt;&gt;""),1,0))</f>
        <v/>
      </c>
      <c r="BN150" s="21" t="str">
        <f>IF(OR(COUNT(G150:I1149)=0,AND('Choix pédagogiques'!$C$3&lt;&gt;1,'Choix pédagogiques'!$C$3&lt;&gt;2)),"",IF(AND(OR('Choix pédagogiques'!$C$3=1,'Choix pédagogiques'!$C$3=2),AND($G150&lt;&gt;"",$H150&lt;&gt;"",$I150&lt;&gt;"")),1,0))</f>
        <v/>
      </c>
      <c r="BO150" s="21" t="str">
        <f>IF(OR(COUNT(B150:D1149)=0,COUNT(G150:I1149)=0,'Choix pédagogiques'!C$3&lt;&gt;3),"",IF(AND('Choix pédagogiques'!$C$3=3,$B150&lt;&gt;"",$C150&lt;&gt;"",$D150&lt;&gt;"",$G150&lt;&gt;"",$H150&lt;&gt;"",$I150&lt;&gt;""),1,0))</f>
        <v/>
      </c>
      <c r="BR150" s="21">
        <v>153</v>
      </c>
      <c r="BS150" s="21">
        <v>1043</v>
      </c>
      <c r="BT150"/>
    </row>
    <row r="151" spans="1:72" s="23" customFormat="1" ht="18" customHeight="1" x14ac:dyDescent="0.3">
      <c r="A151" s="35" t="s">
        <v>141</v>
      </c>
      <c r="B151" s="37"/>
      <c r="C151" s="37"/>
      <c r="D151" s="37"/>
      <c r="E151" s="37"/>
      <c r="F151" s="35" t="s">
        <v>1149</v>
      </c>
      <c r="G151" s="37"/>
      <c r="H151" s="37"/>
      <c r="I151" s="37"/>
      <c r="J151" s="37"/>
      <c r="K151" s="21" t="str">
        <f t="shared" si="159"/>
        <v>Apprenant 139</v>
      </c>
      <c r="L151" s="22" t="str">
        <f t="shared" si="160"/>
        <v/>
      </c>
      <c r="M151" s="22" t="str">
        <f t="shared" si="161"/>
        <v/>
      </c>
      <c r="N151" s="22" t="str">
        <f t="shared" si="162"/>
        <v/>
      </c>
      <c r="O151" s="22" t="str">
        <f t="shared" si="163"/>
        <v/>
      </c>
      <c r="P151" s="21" t="str">
        <f t="shared" si="164"/>
        <v>Apprenant 139 ou 139'</v>
      </c>
      <c r="Q151" s="22" t="str">
        <f t="shared" si="165"/>
        <v/>
      </c>
      <c r="R151" s="22" t="str">
        <f t="shared" si="166"/>
        <v/>
      </c>
      <c r="S151" s="22" t="str">
        <f t="shared" si="167"/>
        <v/>
      </c>
      <c r="T151" s="22" t="str">
        <f t="shared" si="168"/>
        <v/>
      </c>
      <c r="V151" s="21" t="str">
        <f t="shared" si="169"/>
        <v>Apprenant 139</v>
      </c>
      <c r="W151" s="22" t="str">
        <f>IF(AND(OR('Choix pédagogiques'!$C$3=1,'Choix pédagogiques'!$C$3=2),$BM151=1),B151,IF(AND('Choix pédagogiques'!$C$3=3,$BO151=1),B151,""))</f>
        <v/>
      </c>
      <c r="X151" s="22" t="str">
        <f>IF(AND(OR('Choix pédagogiques'!$C$3=1,'Choix pédagogiques'!$C$3=2),$BM151=1),C151,IF(AND('Choix pédagogiques'!$C$3=3,$BO151=1),C151,""))</f>
        <v/>
      </c>
      <c r="Y151" s="22" t="str">
        <f>IF(AND(OR('Choix pédagogiques'!$C$3=1,'Choix pédagogiques'!$C$3=2),$BM151=1),D151,IF(AND('Choix pédagogiques'!$C$3=3,$BO151=1),D151,""))</f>
        <v/>
      </c>
      <c r="Z151" s="22" t="str">
        <f t="shared" si="170"/>
        <v/>
      </c>
      <c r="AA151" s="21" t="str">
        <f t="shared" si="171"/>
        <v>Apprenant 139 ou 139'</v>
      </c>
      <c r="AB151" s="22" t="str">
        <f>IF(AND(OR('Choix pédagogiques'!$C$3=1,'Choix pédagogiques'!$C$3=2),$BN151=1),G151,IF(AND('Choix pédagogiques'!$C$3=3,$BO151=1),G151,""))</f>
        <v/>
      </c>
      <c r="AC151" s="22" t="str">
        <f>IF(AND(OR('Choix pédagogiques'!$C$3=1,'Choix pédagogiques'!$C$3=2),$BN151=1),H151,IF(AND('Choix pédagogiques'!$C$3=3,$BO151=1),H151,""))</f>
        <v/>
      </c>
      <c r="AD151" s="22" t="str">
        <f>IF(AND(OR('Choix pédagogiques'!$C$3=1,'Choix pédagogiques'!$C$3=2),$BN151=1),I151,IF(AND('Choix pédagogiques'!$C$3=3,$BO151=1),I151,""))</f>
        <v/>
      </c>
      <c r="AE151" s="22" t="str">
        <f t="shared" si="172"/>
        <v/>
      </c>
      <c r="AF151" s="21" t="str">
        <f t="shared" si="173"/>
        <v>Apprenant 139</v>
      </c>
      <c r="AG151" s="22" t="str">
        <f t="shared" si="147"/>
        <v/>
      </c>
      <c r="AH151" s="22" t="str">
        <f t="shared" si="148"/>
        <v/>
      </c>
      <c r="AI151" s="22" t="str">
        <f t="shared" si="149"/>
        <v/>
      </c>
      <c r="AJ151" s="22" t="str">
        <f t="shared" si="174"/>
        <v/>
      </c>
      <c r="AK151" s="21" t="str">
        <f t="shared" si="175"/>
        <v>Apprenant 139 ou 139'</v>
      </c>
      <c r="AL151" s="22" t="str">
        <f t="shared" si="150"/>
        <v/>
      </c>
      <c r="AM151" s="22" t="str">
        <f t="shared" si="151"/>
        <v/>
      </c>
      <c r="AN151" s="22" t="str">
        <f t="shared" si="152"/>
        <v/>
      </c>
      <c r="AO151" s="22" t="str">
        <f t="shared" si="176"/>
        <v/>
      </c>
      <c r="AQ151" s="21" t="str">
        <f t="shared" si="177"/>
        <v>Apprenant 139</v>
      </c>
      <c r="AR151" s="49" t="str">
        <f>IF(AND('Choix pédagogiques'!$C$4&lt;&gt;"?",'Choix pédagogiques'!$C$5&lt;&gt;"?",W151&lt;&gt;""),(W151-'Choix pédagogiques'!$C$4)/('Choix pédagogiques'!$C$5-'Choix pédagogiques'!$C$4),"")</f>
        <v/>
      </c>
      <c r="AS151" s="49" t="str">
        <f>IF(AND('Choix pédagogiques'!$C$4&lt;&gt;"?",'Choix pédagogiques'!$C$5&lt;&gt;"?",X151&lt;&gt;""),(X151-'Choix pédagogiques'!$C$4)/('Choix pédagogiques'!$C$5-'Choix pédagogiques'!$C$4),"")</f>
        <v/>
      </c>
      <c r="AT151" s="49" t="str">
        <f>IF(AND('Choix pédagogiques'!$C$4&lt;&gt;"?",'Choix pédagogiques'!$C$5&lt;&gt;"?",Y151&lt;&gt;""),(Y151-'Choix pédagogiques'!$C$4)/('Choix pédagogiques'!$C$5-'Choix pédagogiques'!$C$4),"")</f>
        <v/>
      </c>
      <c r="AU151" s="22" t="str">
        <f t="shared" si="178"/>
        <v/>
      </c>
      <c r="AV151" s="21" t="str">
        <f t="shared" si="179"/>
        <v>Apprenant 139 ou 139'</v>
      </c>
      <c r="AW151" s="49" t="str">
        <f>IF(AND('Choix pédagogiques'!$C$4&lt;&gt;"?",'Choix pédagogiques'!$C$5&lt;&gt;"?",AB151&lt;&gt;""),(AB151-'Choix pédagogiques'!$C$4)/('Choix pédagogiques'!$C$5-'Choix pédagogiques'!$C$4),"")</f>
        <v/>
      </c>
      <c r="AX151" s="49" t="str">
        <f>IF(AND('Choix pédagogiques'!$C$4&lt;&gt;"?",'Choix pédagogiques'!$C$5&lt;&gt;"?",AC151&lt;&gt;""),(AC151-'Choix pédagogiques'!$C$4)/('Choix pédagogiques'!$C$5-'Choix pédagogiques'!$C$4),"")</f>
        <v/>
      </c>
      <c r="AY151" s="49" t="str">
        <f>IF(AND('Choix pédagogiques'!$C$4&lt;&gt;"?",'Choix pédagogiques'!$C$5&lt;&gt;"?",AD151&lt;&gt;""),(AD151-'Choix pédagogiques'!$C$4)/('Choix pédagogiques'!$C$5-'Choix pédagogiques'!$C$4),"")</f>
        <v/>
      </c>
      <c r="AZ151" s="22" t="str">
        <f t="shared" si="180"/>
        <v/>
      </c>
      <c r="BA151" s="21" t="str">
        <f t="shared" si="181"/>
        <v>Apprenant 139</v>
      </c>
      <c r="BB151" s="49" t="str">
        <f t="shared" si="153"/>
        <v/>
      </c>
      <c r="BC151" s="49" t="str">
        <f t="shared" si="154"/>
        <v/>
      </c>
      <c r="BD151" s="49" t="str">
        <f t="shared" si="155"/>
        <v/>
      </c>
      <c r="BE151" s="22" t="str">
        <f t="shared" si="182"/>
        <v/>
      </c>
      <c r="BF151" s="21" t="str">
        <f t="shared" si="183"/>
        <v>Apprenant 139 ou 139'</v>
      </c>
      <c r="BG151" s="49" t="str">
        <f t="shared" si="156"/>
        <v/>
      </c>
      <c r="BH151" s="49" t="str">
        <f t="shared" si="157"/>
        <v/>
      </c>
      <c r="BI151" s="49" t="str">
        <f t="shared" si="158"/>
        <v/>
      </c>
      <c r="BJ151" s="22" t="str">
        <f t="shared" si="184"/>
        <v/>
      </c>
      <c r="BL151" s="21"/>
      <c r="BM151" s="21" t="str">
        <f>IF(OR(COUNT(B151:D1150)=0,AND('Choix pédagogiques'!$C$3&lt;&gt;1,'Choix pédagogiques'!$C$3&lt;&gt;2)),"",IF(AND(OR('Choix pédagogiques'!$C$3=1,'Choix pédagogiques'!$C$3=2),$B151&lt;&gt;"",$C151&lt;&gt;"",$D151&lt;&gt;""),1,0))</f>
        <v/>
      </c>
      <c r="BN151" s="21" t="str">
        <f>IF(OR(COUNT(G151:I1150)=0,AND('Choix pédagogiques'!$C$3&lt;&gt;1,'Choix pédagogiques'!$C$3&lt;&gt;2)),"",IF(AND(OR('Choix pédagogiques'!$C$3=1,'Choix pédagogiques'!$C$3=2),AND($G151&lt;&gt;"",$H151&lt;&gt;"",$I151&lt;&gt;"")),1,0))</f>
        <v/>
      </c>
      <c r="BO151" s="21" t="str">
        <f>IF(OR(COUNT(B151:D1150)=0,COUNT(G151:I1150)=0,'Choix pédagogiques'!C$3&lt;&gt;3),"",IF(AND('Choix pédagogiques'!$C$3=3,$B151&lt;&gt;"",$C151&lt;&gt;"",$D151&lt;&gt;"",$G151&lt;&gt;"",$H151&lt;&gt;"",$I151&lt;&gt;""),1,0))</f>
        <v/>
      </c>
      <c r="BR151" s="21">
        <v>329</v>
      </c>
      <c r="BS151" s="21">
        <v>1243</v>
      </c>
      <c r="BT151"/>
    </row>
    <row r="152" spans="1:72" s="23" customFormat="1" ht="18" customHeight="1" x14ac:dyDescent="0.3">
      <c r="A152" s="35" t="s">
        <v>142</v>
      </c>
      <c r="B152" s="37"/>
      <c r="C152" s="37"/>
      <c r="D152" s="37"/>
      <c r="E152" s="37"/>
      <c r="F152" s="35" t="s">
        <v>1150</v>
      </c>
      <c r="G152" s="37"/>
      <c r="H152" s="37"/>
      <c r="I152" s="37"/>
      <c r="J152" s="37"/>
      <c r="K152" s="21" t="str">
        <f t="shared" si="159"/>
        <v>Apprenant 140</v>
      </c>
      <c r="L152" s="22" t="str">
        <f t="shared" si="160"/>
        <v/>
      </c>
      <c r="M152" s="22" t="str">
        <f t="shared" si="161"/>
        <v/>
      </c>
      <c r="N152" s="22" t="str">
        <f t="shared" si="162"/>
        <v/>
      </c>
      <c r="O152" s="22" t="str">
        <f t="shared" si="163"/>
        <v/>
      </c>
      <c r="P152" s="21" t="str">
        <f t="shared" si="164"/>
        <v>Apprenant 140 ou 140'</v>
      </c>
      <c r="Q152" s="22" t="str">
        <f t="shared" si="165"/>
        <v/>
      </c>
      <c r="R152" s="22" t="str">
        <f t="shared" si="166"/>
        <v/>
      </c>
      <c r="S152" s="22" t="str">
        <f t="shared" si="167"/>
        <v/>
      </c>
      <c r="T152" s="22" t="str">
        <f t="shared" si="168"/>
        <v/>
      </c>
      <c r="V152" s="21" t="str">
        <f t="shared" si="169"/>
        <v>Apprenant 140</v>
      </c>
      <c r="W152" s="22" t="str">
        <f>IF(AND(OR('Choix pédagogiques'!$C$3=1,'Choix pédagogiques'!$C$3=2),$BM152=1),B152,IF(AND('Choix pédagogiques'!$C$3=3,$BO152=1),B152,""))</f>
        <v/>
      </c>
      <c r="X152" s="22" t="str">
        <f>IF(AND(OR('Choix pédagogiques'!$C$3=1,'Choix pédagogiques'!$C$3=2),$BM152=1),C152,IF(AND('Choix pédagogiques'!$C$3=3,$BO152=1),C152,""))</f>
        <v/>
      </c>
      <c r="Y152" s="22" t="str">
        <f>IF(AND(OR('Choix pédagogiques'!$C$3=1,'Choix pédagogiques'!$C$3=2),$BM152=1),D152,IF(AND('Choix pédagogiques'!$C$3=3,$BO152=1),D152,""))</f>
        <v/>
      </c>
      <c r="Z152" s="22" t="str">
        <f t="shared" si="170"/>
        <v/>
      </c>
      <c r="AA152" s="21" t="str">
        <f t="shared" si="171"/>
        <v>Apprenant 140 ou 140'</v>
      </c>
      <c r="AB152" s="22" t="str">
        <f>IF(AND(OR('Choix pédagogiques'!$C$3=1,'Choix pédagogiques'!$C$3=2),$BN152=1),G152,IF(AND('Choix pédagogiques'!$C$3=3,$BO152=1),G152,""))</f>
        <v/>
      </c>
      <c r="AC152" s="22" t="str">
        <f>IF(AND(OR('Choix pédagogiques'!$C$3=1,'Choix pédagogiques'!$C$3=2),$BN152=1),H152,IF(AND('Choix pédagogiques'!$C$3=3,$BO152=1),H152,""))</f>
        <v/>
      </c>
      <c r="AD152" s="22" t="str">
        <f>IF(AND(OR('Choix pédagogiques'!$C$3=1,'Choix pédagogiques'!$C$3=2),$BN152=1),I152,IF(AND('Choix pédagogiques'!$C$3=3,$BO152=1),I152,""))</f>
        <v/>
      </c>
      <c r="AE152" s="22" t="str">
        <f t="shared" si="172"/>
        <v/>
      </c>
      <c r="AF152" s="21" t="str">
        <f t="shared" si="173"/>
        <v>Apprenant 140</v>
      </c>
      <c r="AG152" s="22" t="str">
        <f t="shared" si="147"/>
        <v/>
      </c>
      <c r="AH152" s="22" t="str">
        <f t="shared" si="148"/>
        <v/>
      </c>
      <c r="AI152" s="22" t="str">
        <f t="shared" si="149"/>
        <v/>
      </c>
      <c r="AJ152" s="22" t="str">
        <f t="shared" si="174"/>
        <v/>
      </c>
      <c r="AK152" s="21" t="str">
        <f t="shared" si="175"/>
        <v>Apprenant 140 ou 140'</v>
      </c>
      <c r="AL152" s="22" t="str">
        <f t="shared" si="150"/>
        <v/>
      </c>
      <c r="AM152" s="22" t="str">
        <f t="shared" si="151"/>
        <v/>
      </c>
      <c r="AN152" s="22" t="str">
        <f t="shared" si="152"/>
        <v/>
      </c>
      <c r="AO152" s="22" t="str">
        <f t="shared" si="176"/>
        <v/>
      </c>
      <c r="AQ152" s="21" t="str">
        <f t="shared" si="177"/>
        <v>Apprenant 140</v>
      </c>
      <c r="AR152" s="49" t="str">
        <f>IF(AND('Choix pédagogiques'!$C$4&lt;&gt;"?",'Choix pédagogiques'!$C$5&lt;&gt;"?",W152&lt;&gt;""),(W152-'Choix pédagogiques'!$C$4)/('Choix pédagogiques'!$C$5-'Choix pédagogiques'!$C$4),"")</f>
        <v/>
      </c>
      <c r="AS152" s="49" t="str">
        <f>IF(AND('Choix pédagogiques'!$C$4&lt;&gt;"?",'Choix pédagogiques'!$C$5&lt;&gt;"?",X152&lt;&gt;""),(X152-'Choix pédagogiques'!$C$4)/('Choix pédagogiques'!$C$5-'Choix pédagogiques'!$C$4),"")</f>
        <v/>
      </c>
      <c r="AT152" s="49" t="str">
        <f>IF(AND('Choix pédagogiques'!$C$4&lt;&gt;"?",'Choix pédagogiques'!$C$5&lt;&gt;"?",Y152&lt;&gt;""),(Y152-'Choix pédagogiques'!$C$4)/('Choix pédagogiques'!$C$5-'Choix pédagogiques'!$C$4),"")</f>
        <v/>
      </c>
      <c r="AU152" s="22" t="str">
        <f t="shared" si="178"/>
        <v/>
      </c>
      <c r="AV152" s="21" t="str">
        <f t="shared" si="179"/>
        <v>Apprenant 140 ou 140'</v>
      </c>
      <c r="AW152" s="49" t="str">
        <f>IF(AND('Choix pédagogiques'!$C$4&lt;&gt;"?",'Choix pédagogiques'!$C$5&lt;&gt;"?",AB152&lt;&gt;""),(AB152-'Choix pédagogiques'!$C$4)/('Choix pédagogiques'!$C$5-'Choix pédagogiques'!$C$4),"")</f>
        <v/>
      </c>
      <c r="AX152" s="49" t="str">
        <f>IF(AND('Choix pédagogiques'!$C$4&lt;&gt;"?",'Choix pédagogiques'!$C$5&lt;&gt;"?",AC152&lt;&gt;""),(AC152-'Choix pédagogiques'!$C$4)/('Choix pédagogiques'!$C$5-'Choix pédagogiques'!$C$4),"")</f>
        <v/>
      </c>
      <c r="AY152" s="49" t="str">
        <f>IF(AND('Choix pédagogiques'!$C$4&lt;&gt;"?",'Choix pédagogiques'!$C$5&lt;&gt;"?",AD152&lt;&gt;""),(AD152-'Choix pédagogiques'!$C$4)/('Choix pédagogiques'!$C$5-'Choix pédagogiques'!$C$4),"")</f>
        <v/>
      </c>
      <c r="AZ152" s="22" t="str">
        <f t="shared" si="180"/>
        <v/>
      </c>
      <c r="BA152" s="21" t="str">
        <f t="shared" si="181"/>
        <v>Apprenant 140</v>
      </c>
      <c r="BB152" s="49" t="str">
        <f t="shared" si="153"/>
        <v/>
      </c>
      <c r="BC152" s="49" t="str">
        <f t="shared" si="154"/>
        <v/>
      </c>
      <c r="BD152" s="49" t="str">
        <f t="shared" si="155"/>
        <v/>
      </c>
      <c r="BE152" s="22" t="str">
        <f t="shared" si="182"/>
        <v/>
      </c>
      <c r="BF152" s="21" t="str">
        <f t="shared" si="183"/>
        <v>Apprenant 140 ou 140'</v>
      </c>
      <c r="BG152" s="49" t="str">
        <f t="shared" si="156"/>
        <v/>
      </c>
      <c r="BH152" s="49" t="str">
        <f t="shared" si="157"/>
        <v/>
      </c>
      <c r="BI152" s="49" t="str">
        <f t="shared" si="158"/>
        <v/>
      </c>
      <c r="BJ152" s="22" t="str">
        <f t="shared" si="184"/>
        <v/>
      </c>
      <c r="BL152" s="21"/>
      <c r="BM152" s="21" t="str">
        <f>IF(OR(COUNT(B152:D1151)=0,AND('Choix pédagogiques'!$C$3&lt;&gt;1,'Choix pédagogiques'!$C$3&lt;&gt;2)),"",IF(AND(OR('Choix pédagogiques'!$C$3=1,'Choix pédagogiques'!$C$3=2),$B152&lt;&gt;"",$C152&lt;&gt;"",$D152&lt;&gt;""),1,0))</f>
        <v/>
      </c>
      <c r="BN152" s="21" t="str">
        <f>IF(OR(COUNT(G152:I1151)=0,AND('Choix pédagogiques'!$C$3&lt;&gt;1,'Choix pédagogiques'!$C$3&lt;&gt;2)),"",IF(AND(OR('Choix pédagogiques'!$C$3=1,'Choix pédagogiques'!$C$3=2),AND($G152&lt;&gt;"",$H152&lt;&gt;"",$I152&lt;&gt;"")),1,0))</f>
        <v/>
      </c>
      <c r="BO152" s="21" t="str">
        <f>IF(OR(COUNT(B152:D1151)=0,COUNT(G152:I1151)=0,'Choix pédagogiques'!C$3&lt;&gt;3),"",IF(AND('Choix pédagogiques'!$C$3=3,$B152&lt;&gt;"",$C152&lt;&gt;"",$D152&lt;&gt;"",$G152&lt;&gt;"",$H152&lt;&gt;"",$I152&lt;&gt;""),1,0))</f>
        <v/>
      </c>
      <c r="BR152" s="21">
        <v>332</v>
      </c>
      <c r="BS152" s="21">
        <v>1422</v>
      </c>
      <c r="BT152"/>
    </row>
    <row r="153" spans="1:72" s="23" customFormat="1" ht="18" customHeight="1" x14ac:dyDescent="0.3">
      <c r="A153" s="35" t="s">
        <v>143</v>
      </c>
      <c r="B153" s="37"/>
      <c r="C153" s="37"/>
      <c r="D153" s="37"/>
      <c r="E153" s="37"/>
      <c r="F153" s="35" t="s">
        <v>1151</v>
      </c>
      <c r="G153" s="37"/>
      <c r="H153" s="37"/>
      <c r="I153" s="37"/>
      <c r="J153" s="37"/>
      <c r="K153" s="21" t="str">
        <f t="shared" si="159"/>
        <v>Apprenant 141</v>
      </c>
      <c r="L153" s="22" t="str">
        <f t="shared" si="160"/>
        <v/>
      </c>
      <c r="M153" s="22" t="str">
        <f t="shared" si="161"/>
        <v/>
      </c>
      <c r="N153" s="22" t="str">
        <f t="shared" si="162"/>
        <v/>
      </c>
      <c r="O153" s="22" t="str">
        <f t="shared" si="163"/>
        <v/>
      </c>
      <c r="P153" s="21" t="str">
        <f t="shared" si="164"/>
        <v>Apprenant 141 ou 141'</v>
      </c>
      <c r="Q153" s="22" t="str">
        <f t="shared" si="165"/>
        <v/>
      </c>
      <c r="R153" s="22" t="str">
        <f t="shared" si="166"/>
        <v/>
      </c>
      <c r="S153" s="22" t="str">
        <f t="shared" si="167"/>
        <v/>
      </c>
      <c r="T153" s="22" t="str">
        <f t="shared" si="168"/>
        <v/>
      </c>
      <c r="V153" s="21" t="str">
        <f t="shared" si="169"/>
        <v>Apprenant 141</v>
      </c>
      <c r="W153" s="22" t="str">
        <f>IF(AND(OR('Choix pédagogiques'!$C$3=1,'Choix pédagogiques'!$C$3=2),$BM153=1),B153,IF(AND('Choix pédagogiques'!$C$3=3,$BO153=1),B153,""))</f>
        <v/>
      </c>
      <c r="X153" s="22" t="str">
        <f>IF(AND(OR('Choix pédagogiques'!$C$3=1,'Choix pédagogiques'!$C$3=2),$BM153=1),C153,IF(AND('Choix pédagogiques'!$C$3=3,$BO153=1),C153,""))</f>
        <v/>
      </c>
      <c r="Y153" s="22" t="str">
        <f>IF(AND(OR('Choix pédagogiques'!$C$3=1,'Choix pédagogiques'!$C$3=2),$BM153=1),D153,IF(AND('Choix pédagogiques'!$C$3=3,$BO153=1),D153,""))</f>
        <v/>
      </c>
      <c r="Z153" s="22" t="str">
        <f t="shared" si="170"/>
        <v/>
      </c>
      <c r="AA153" s="21" t="str">
        <f t="shared" si="171"/>
        <v>Apprenant 141 ou 141'</v>
      </c>
      <c r="AB153" s="22" t="str">
        <f>IF(AND(OR('Choix pédagogiques'!$C$3=1,'Choix pédagogiques'!$C$3=2),$BN153=1),G153,IF(AND('Choix pédagogiques'!$C$3=3,$BO153=1),G153,""))</f>
        <v/>
      </c>
      <c r="AC153" s="22" t="str">
        <f>IF(AND(OR('Choix pédagogiques'!$C$3=1,'Choix pédagogiques'!$C$3=2),$BN153=1),H153,IF(AND('Choix pédagogiques'!$C$3=3,$BO153=1),H153,""))</f>
        <v/>
      </c>
      <c r="AD153" s="22" t="str">
        <f>IF(AND(OR('Choix pédagogiques'!$C$3=1,'Choix pédagogiques'!$C$3=2),$BN153=1),I153,IF(AND('Choix pédagogiques'!$C$3=3,$BO153=1),I153,""))</f>
        <v/>
      </c>
      <c r="AE153" s="22" t="str">
        <f t="shared" si="172"/>
        <v/>
      </c>
      <c r="AF153" s="21" t="str">
        <f t="shared" si="173"/>
        <v>Apprenant 141</v>
      </c>
      <c r="AG153" s="22" t="str">
        <f t="shared" si="147"/>
        <v/>
      </c>
      <c r="AH153" s="22" t="str">
        <f t="shared" si="148"/>
        <v/>
      </c>
      <c r="AI153" s="22" t="str">
        <f t="shared" si="149"/>
        <v/>
      </c>
      <c r="AJ153" s="22" t="str">
        <f t="shared" si="174"/>
        <v/>
      </c>
      <c r="AK153" s="21" t="str">
        <f t="shared" si="175"/>
        <v>Apprenant 141 ou 141'</v>
      </c>
      <c r="AL153" s="22" t="str">
        <f t="shared" si="150"/>
        <v/>
      </c>
      <c r="AM153" s="22" t="str">
        <f t="shared" si="151"/>
        <v/>
      </c>
      <c r="AN153" s="22" t="str">
        <f t="shared" si="152"/>
        <v/>
      </c>
      <c r="AO153" s="22" t="str">
        <f t="shared" si="176"/>
        <v/>
      </c>
      <c r="AQ153" s="21" t="str">
        <f t="shared" si="177"/>
        <v>Apprenant 141</v>
      </c>
      <c r="AR153" s="49" t="str">
        <f>IF(AND('Choix pédagogiques'!$C$4&lt;&gt;"?",'Choix pédagogiques'!$C$5&lt;&gt;"?",W153&lt;&gt;""),(W153-'Choix pédagogiques'!$C$4)/('Choix pédagogiques'!$C$5-'Choix pédagogiques'!$C$4),"")</f>
        <v/>
      </c>
      <c r="AS153" s="49" t="str">
        <f>IF(AND('Choix pédagogiques'!$C$4&lt;&gt;"?",'Choix pédagogiques'!$C$5&lt;&gt;"?",X153&lt;&gt;""),(X153-'Choix pédagogiques'!$C$4)/('Choix pédagogiques'!$C$5-'Choix pédagogiques'!$C$4),"")</f>
        <v/>
      </c>
      <c r="AT153" s="49" t="str">
        <f>IF(AND('Choix pédagogiques'!$C$4&lt;&gt;"?",'Choix pédagogiques'!$C$5&lt;&gt;"?",Y153&lt;&gt;""),(Y153-'Choix pédagogiques'!$C$4)/('Choix pédagogiques'!$C$5-'Choix pédagogiques'!$C$4),"")</f>
        <v/>
      </c>
      <c r="AU153" s="22" t="str">
        <f t="shared" si="178"/>
        <v/>
      </c>
      <c r="AV153" s="21" t="str">
        <f t="shared" si="179"/>
        <v>Apprenant 141 ou 141'</v>
      </c>
      <c r="AW153" s="49" t="str">
        <f>IF(AND('Choix pédagogiques'!$C$4&lt;&gt;"?",'Choix pédagogiques'!$C$5&lt;&gt;"?",AB153&lt;&gt;""),(AB153-'Choix pédagogiques'!$C$4)/('Choix pédagogiques'!$C$5-'Choix pédagogiques'!$C$4),"")</f>
        <v/>
      </c>
      <c r="AX153" s="49" t="str">
        <f>IF(AND('Choix pédagogiques'!$C$4&lt;&gt;"?",'Choix pédagogiques'!$C$5&lt;&gt;"?",AC153&lt;&gt;""),(AC153-'Choix pédagogiques'!$C$4)/('Choix pédagogiques'!$C$5-'Choix pédagogiques'!$C$4),"")</f>
        <v/>
      </c>
      <c r="AY153" s="49" t="str">
        <f>IF(AND('Choix pédagogiques'!$C$4&lt;&gt;"?",'Choix pédagogiques'!$C$5&lt;&gt;"?",AD153&lt;&gt;""),(AD153-'Choix pédagogiques'!$C$4)/('Choix pédagogiques'!$C$5-'Choix pédagogiques'!$C$4),"")</f>
        <v/>
      </c>
      <c r="AZ153" s="22" t="str">
        <f t="shared" si="180"/>
        <v/>
      </c>
      <c r="BA153" s="21" t="str">
        <f t="shared" si="181"/>
        <v>Apprenant 141</v>
      </c>
      <c r="BB153" s="49" t="str">
        <f t="shared" si="153"/>
        <v/>
      </c>
      <c r="BC153" s="49" t="str">
        <f t="shared" si="154"/>
        <v/>
      </c>
      <c r="BD153" s="49" t="str">
        <f t="shared" si="155"/>
        <v/>
      </c>
      <c r="BE153" s="22" t="str">
        <f t="shared" si="182"/>
        <v/>
      </c>
      <c r="BF153" s="21" t="str">
        <f t="shared" si="183"/>
        <v>Apprenant 141 ou 141'</v>
      </c>
      <c r="BG153" s="49" t="str">
        <f t="shared" si="156"/>
        <v/>
      </c>
      <c r="BH153" s="49" t="str">
        <f t="shared" si="157"/>
        <v/>
      </c>
      <c r="BI153" s="49" t="str">
        <f t="shared" si="158"/>
        <v/>
      </c>
      <c r="BJ153" s="22" t="str">
        <f t="shared" si="184"/>
        <v/>
      </c>
      <c r="BL153" s="21"/>
      <c r="BM153" s="21" t="str">
        <f>IF(OR(COUNT(B153:D1152)=0,AND('Choix pédagogiques'!$C$3&lt;&gt;1,'Choix pédagogiques'!$C$3&lt;&gt;2)),"",IF(AND(OR('Choix pédagogiques'!$C$3=1,'Choix pédagogiques'!$C$3=2),$B153&lt;&gt;"",$C153&lt;&gt;"",$D153&lt;&gt;""),1,0))</f>
        <v/>
      </c>
      <c r="BN153" s="21" t="str">
        <f>IF(OR(COUNT(G153:I1152)=0,AND('Choix pédagogiques'!$C$3&lt;&gt;1,'Choix pédagogiques'!$C$3&lt;&gt;2)),"",IF(AND(OR('Choix pédagogiques'!$C$3=1,'Choix pédagogiques'!$C$3=2),AND($G153&lt;&gt;"",$H153&lt;&gt;"",$I153&lt;&gt;"")),1,0))</f>
        <v/>
      </c>
      <c r="BO153" s="21" t="str">
        <f>IF(OR(COUNT(B153:D1152)=0,COUNT(G153:I1152)=0,'Choix pédagogiques'!C$3&lt;&gt;3),"",IF(AND('Choix pédagogiques'!$C$3=3,$B153&lt;&gt;"",$C153&lt;&gt;"",$D153&lt;&gt;"",$G153&lt;&gt;"",$H153&lt;&gt;"",$I153&lt;&gt;""),1,0))</f>
        <v/>
      </c>
      <c r="BR153" s="21">
        <v>516</v>
      </c>
      <c r="BS153" s="21">
        <v>1570</v>
      </c>
      <c r="BT153"/>
    </row>
    <row r="154" spans="1:72" s="23" customFormat="1" ht="18" customHeight="1" x14ac:dyDescent="0.3">
      <c r="A154" s="35" t="s">
        <v>144</v>
      </c>
      <c r="B154" s="37"/>
      <c r="C154" s="37"/>
      <c r="D154" s="37"/>
      <c r="E154" s="37"/>
      <c r="F154" s="35" t="s">
        <v>1152</v>
      </c>
      <c r="G154" s="37"/>
      <c r="H154" s="37"/>
      <c r="I154" s="37"/>
      <c r="J154" s="37"/>
      <c r="K154" s="21" t="str">
        <f t="shared" si="159"/>
        <v>Apprenant 142</v>
      </c>
      <c r="L154" s="22" t="str">
        <f t="shared" si="160"/>
        <v/>
      </c>
      <c r="M154" s="22" t="str">
        <f t="shared" si="161"/>
        <v/>
      </c>
      <c r="N154" s="22" t="str">
        <f t="shared" si="162"/>
        <v/>
      </c>
      <c r="O154" s="22" t="str">
        <f t="shared" si="163"/>
        <v/>
      </c>
      <c r="P154" s="21" t="str">
        <f t="shared" si="164"/>
        <v>Apprenant 142 ou 142'</v>
      </c>
      <c r="Q154" s="22" t="str">
        <f t="shared" si="165"/>
        <v/>
      </c>
      <c r="R154" s="22" t="str">
        <f t="shared" si="166"/>
        <v/>
      </c>
      <c r="S154" s="22" t="str">
        <f t="shared" si="167"/>
        <v/>
      </c>
      <c r="T154" s="22" t="str">
        <f t="shared" si="168"/>
        <v/>
      </c>
      <c r="V154" s="21" t="str">
        <f t="shared" si="169"/>
        <v>Apprenant 142</v>
      </c>
      <c r="W154" s="22" t="str">
        <f>IF(AND(OR('Choix pédagogiques'!$C$3=1,'Choix pédagogiques'!$C$3=2),$BM154=1),B154,IF(AND('Choix pédagogiques'!$C$3=3,$BO154=1),B154,""))</f>
        <v/>
      </c>
      <c r="X154" s="22" t="str">
        <f>IF(AND(OR('Choix pédagogiques'!$C$3=1,'Choix pédagogiques'!$C$3=2),$BM154=1),C154,IF(AND('Choix pédagogiques'!$C$3=3,$BO154=1),C154,""))</f>
        <v/>
      </c>
      <c r="Y154" s="22" t="str">
        <f>IF(AND(OR('Choix pédagogiques'!$C$3=1,'Choix pédagogiques'!$C$3=2),$BM154=1),D154,IF(AND('Choix pédagogiques'!$C$3=3,$BO154=1),D154,""))</f>
        <v/>
      </c>
      <c r="Z154" s="22" t="str">
        <f t="shared" si="170"/>
        <v/>
      </c>
      <c r="AA154" s="21" t="str">
        <f t="shared" si="171"/>
        <v>Apprenant 142 ou 142'</v>
      </c>
      <c r="AB154" s="22" t="str">
        <f>IF(AND(OR('Choix pédagogiques'!$C$3=1,'Choix pédagogiques'!$C$3=2),$BN154=1),G154,IF(AND('Choix pédagogiques'!$C$3=3,$BO154=1),G154,""))</f>
        <v/>
      </c>
      <c r="AC154" s="22" t="str">
        <f>IF(AND(OR('Choix pédagogiques'!$C$3=1,'Choix pédagogiques'!$C$3=2),$BN154=1),H154,IF(AND('Choix pédagogiques'!$C$3=3,$BO154=1),H154,""))</f>
        <v/>
      </c>
      <c r="AD154" s="22" t="str">
        <f>IF(AND(OR('Choix pédagogiques'!$C$3=1,'Choix pédagogiques'!$C$3=2),$BN154=1),I154,IF(AND('Choix pédagogiques'!$C$3=3,$BO154=1),I154,""))</f>
        <v/>
      </c>
      <c r="AE154" s="22" t="str">
        <f t="shared" si="172"/>
        <v/>
      </c>
      <c r="AF154" s="21" t="str">
        <f t="shared" si="173"/>
        <v>Apprenant 142</v>
      </c>
      <c r="AG154" s="22" t="str">
        <f t="shared" si="147"/>
        <v/>
      </c>
      <c r="AH154" s="22" t="str">
        <f t="shared" si="148"/>
        <v/>
      </c>
      <c r="AI154" s="22" t="str">
        <f t="shared" si="149"/>
        <v/>
      </c>
      <c r="AJ154" s="22" t="str">
        <f t="shared" si="174"/>
        <v/>
      </c>
      <c r="AK154" s="21" t="str">
        <f t="shared" si="175"/>
        <v>Apprenant 142 ou 142'</v>
      </c>
      <c r="AL154" s="22" t="str">
        <f t="shared" si="150"/>
        <v/>
      </c>
      <c r="AM154" s="22" t="str">
        <f t="shared" si="151"/>
        <v/>
      </c>
      <c r="AN154" s="22" t="str">
        <f t="shared" si="152"/>
        <v/>
      </c>
      <c r="AO154" s="22" t="str">
        <f t="shared" si="176"/>
        <v/>
      </c>
      <c r="AQ154" s="21" t="str">
        <f t="shared" si="177"/>
        <v>Apprenant 142</v>
      </c>
      <c r="AR154" s="49" t="str">
        <f>IF(AND('Choix pédagogiques'!$C$4&lt;&gt;"?",'Choix pédagogiques'!$C$5&lt;&gt;"?",W154&lt;&gt;""),(W154-'Choix pédagogiques'!$C$4)/('Choix pédagogiques'!$C$5-'Choix pédagogiques'!$C$4),"")</f>
        <v/>
      </c>
      <c r="AS154" s="49" t="str">
        <f>IF(AND('Choix pédagogiques'!$C$4&lt;&gt;"?",'Choix pédagogiques'!$C$5&lt;&gt;"?",X154&lt;&gt;""),(X154-'Choix pédagogiques'!$C$4)/('Choix pédagogiques'!$C$5-'Choix pédagogiques'!$C$4),"")</f>
        <v/>
      </c>
      <c r="AT154" s="49" t="str">
        <f>IF(AND('Choix pédagogiques'!$C$4&lt;&gt;"?",'Choix pédagogiques'!$C$5&lt;&gt;"?",Y154&lt;&gt;""),(Y154-'Choix pédagogiques'!$C$4)/('Choix pédagogiques'!$C$5-'Choix pédagogiques'!$C$4),"")</f>
        <v/>
      </c>
      <c r="AU154" s="22" t="str">
        <f t="shared" si="178"/>
        <v/>
      </c>
      <c r="AV154" s="21" t="str">
        <f t="shared" si="179"/>
        <v>Apprenant 142 ou 142'</v>
      </c>
      <c r="AW154" s="49" t="str">
        <f>IF(AND('Choix pédagogiques'!$C$4&lt;&gt;"?",'Choix pédagogiques'!$C$5&lt;&gt;"?",AB154&lt;&gt;""),(AB154-'Choix pédagogiques'!$C$4)/('Choix pédagogiques'!$C$5-'Choix pédagogiques'!$C$4),"")</f>
        <v/>
      </c>
      <c r="AX154" s="49" t="str">
        <f>IF(AND('Choix pédagogiques'!$C$4&lt;&gt;"?",'Choix pédagogiques'!$C$5&lt;&gt;"?",AC154&lt;&gt;""),(AC154-'Choix pédagogiques'!$C$4)/('Choix pédagogiques'!$C$5-'Choix pédagogiques'!$C$4),"")</f>
        <v/>
      </c>
      <c r="AY154" s="49" t="str">
        <f>IF(AND('Choix pédagogiques'!$C$4&lt;&gt;"?",'Choix pédagogiques'!$C$5&lt;&gt;"?",AD154&lt;&gt;""),(AD154-'Choix pédagogiques'!$C$4)/('Choix pédagogiques'!$C$5-'Choix pédagogiques'!$C$4),"")</f>
        <v/>
      </c>
      <c r="AZ154" s="22" t="str">
        <f t="shared" si="180"/>
        <v/>
      </c>
      <c r="BA154" s="21" t="str">
        <f t="shared" si="181"/>
        <v>Apprenant 142</v>
      </c>
      <c r="BB154" s="49" t="str">
        <f t="shared" si="153"/>
        <v/>
      </c>
      <c r="BC154" s="49" t="str">
        <f t="shared" si="154"/>
        <v/>
      </c>
      <c r="BD154" s="49" t="str">
        <f t="shared" si="155"/>
        <v/>
      </c>
      <c r="BE154" s="22" t="str">
        <f t="shared" si="182"/>
        <v/>
      </c>
      <c r="BF154" s="21" t="str">
        <f t="shared" si="183"/>
        <v>Apprenant 142 ou 142'</v>
      </c>
      <c r="BG154" s="49" t="str">
        <f t="shared" si="156"/>
        <v/>
      </c>
      <c r="BH154" s="49" t="str">
        <f t="shared" si="157"/>
        <v/>
      </c>
      <c r="BI154" s="49" t="str">
        <f t="shared" si="158"/>
        <v/>
      </c>
      <c r="BJ154" s="22" t="str">
        <f t="shared" si="184"/>
        <v/>
      </c>
      <c r="BL154" s="21"/>
      <c r="BM154" s="21" t="str">
        <f>IF(OR(COUNT(B154:D1153)=0,AND('Choix pédagogiques'!$C$3&lt;&gt;1,'Choix pédagogiques'!$C$3&lt;&gt;2)),"",IF(AND(OR('Choix pédagogiques'!$C$3=1,'Choix pédagogiques'!$C$3=2),$B154&lt;&gt;"",$C154&lt;&gt;"",$D154&lt;&gt;""),1,0))</f>
        <v/>
      </c>
      <c r="BN154" s="21" t="str">
        <f>IF(OR(COUNT(G154:I1153)=0,AND('Choix pédagogiques'!$C$3&lt;&gt;1,'Choix pédagogiques'!$C$3&lt;&gt;2)),"",IF(AND(OR('Choix pédagogiques'!$C$3=1,'Choix pédagogiques'!$C$3=2),AND($G154&lt;&gt;"",$H154&lt;&gt;"",$I154&lt;&gt;"")),1,0))</f>
        <v/>
      </c>
      <c r="BO154" s="21" t="str">
        <f>IF(OR(COUNT(B154:D1153)=0,COUNT(G154:I1153)=0,'Choix pédagogiques'!C$3&lt;&gt;3),"",IF(AND('Choix pédagogiques'!$C$3=3,$B154&lt;&gt;"",$C154&lt;&gt;"",$D154&lt;&gt;"",$G154&lt;&gt;"",$H154&lt;&gt;"",$I154&lt;&gt;""),1,0))</f>
        <v/>
      </c>
      <c r="BR154" s="21">
        <v>79</v>
      </c>
      <c r="BS154" s="21">
        <v>1919</v>
      </c>
      <c r="BT154"/>
    </row>
    <row r="155" spans="1:72" s="23" customFormat="1" ht="18" customHeight="1" x14ac:dyDescent="0.3">
      <c r="A155" s="35" t="s">
        <v>145</v>
      </c>
      <c r="B155" s="37"/>
      <c r="C155" s="37"/>
      <c r="D155" s="37"/>
      <c r="E155" s="37"/>
      <c r="F155" s="35" t="s">
        <v>1153</v>
      </c>
      <c r="G155" s="37"/>
      <c r="H155" s="37"/>
      <c r="I155" s="37"/>
      <c r="J155" s="37"/>
      <c r="K155" s="21" t="str">
        <f t="shared" si="159"/>
        <v>Apprenant 143</v>
      </c>
      <c r="L155" s="22" t="str">
        <f t="shared" si="160"/>
        <v/>
      </c>
      <c r="M155" s="22" t="str">
        <f t="shared" si="161"/>
        <v/>
      </c>
      <c r="N155" s="22" t="str">
        <f t="shared" si="162"/>
        <v/>
      </c>
      <c r="O155" s="22" t="str">
        <f t="shared" si="163"/>
        <v/>
      </c>
      <c r="P155" s="21" t="str">
        <f t="shared" si="164"/>
        <v>Apprenant 143 ou 143'</v>
      </c>
      <c r="Q155" s="22" t="str">
        <f t="shared" si="165"/>
        <v/>
      </c>
      <c r="R155" s="22" t="str">
        <f t="shared" si="166"/>
        <v/>
      </c>
      <c r="S155" s="22" t="str">
        <f t="shared" si="167"/>
        <v/>
      </c>
      <c r="T155" s="22" t="str">
        <f t="shared" si="168"/>
        <v/>
      </c>
      <c r="V155" s="21" t="str">
        <f t="shared" si="169"/>
        <v>Apprenant 143</v>
      </c>
      <c r="W155" s="22" t="str">
        <f>IF(AND(OR('Choix pédagogiques'!$C$3=1,'Choix pédagogiques'!$C$3=2),$BM155=1),B155,IF(AND('Choix pédagogiques'!$C$3=3,$BO155=1),B155,""))</f>
        <v/>
      </c>
      <c r="X155" s="22" t="str">
        <f>IF(AND(OR('Choix pédagogiques'!$C$3=1,'Choix pédagogiques'!$C$3=2),$BM155=1),C155,IF(AND('Choix pédagogiques'!$C$3=3,$BO155=1),C155,""))</f>
        <v/>
      </c>
      <c r="Y155" s="22" t="str">
        <f>IF(AND(OR('Choix pédagogiques'!$C$3=1,'Choix pédagogiques'!$C$3=2),$BM155=1),D155,IF(AND('Choix pédagogiques'!$C$3=3,$BO155=1),D155,""))</f>
        <v/>
      </c>
      <c r="Z155" s="22" t="str">
        <f t="shared" si="170"/>
        <v/>
      </c>
      <c r="AA155" s="21" t="str">
        <f t="shared" si="171"/>
        <v>Apprenant 143 ou 143'</v>
      </c>
      <c r="AB155" s="22" t="str">
        <f>IF(AND(OR('Choix pédagogiques'!$C$3=1,'Choix pédagogiques'!$C$3=2),$BN155=1),G155,IF(AND('Choix pédagogiques'!$C$3=3,$BO155=1),G155,""))</f>
        <v/>
      </c>
      <c r="AC155" s="22" t="str">
        <f>IF(AND(OR('Choix pédagogiques'!$C$3=1,'Choix pédagogiques'!$C$3=2),$BN155=1),H155,IF(AND('Choix pédagogiques'!$C$3=3,$BO155=1),H155,""))</f>
        <v/>
      </c>
      <c r="AD155" s="22" t="str">
        <f>IF(AND(OR('Choix pédagogiques'!$C$3=1,'Choix pédagogiques'!$C$3=2),$BN155=1),I155,IF(AND('Choix pédagogiques'!$C$3=3,$BO155=1),I155,""))</f>
        <v/>
      </c>
      <c r="AE155" s="22" t="str">
        <f t="shared" si="172"/>
        <v/>
      </c>
      <c r="AF155" s="21" t="str">
        <f t="shared" si="173"/>
        <v>Apprenant 143</v>
      </c>
      <c r="AG155" s="22" t="str">
        <f t="shared" si="147"/>
        <v/>
      </c>
      <c r="AH155" s="22" t="str">
        <f t="shared" si="148"/>
        <v/>
      </c>
      <c r="AI155" s="22" t="str">
        <f t="shared" si="149"/>
        <v/>
      </c>
      <c r="AJ155" s="22" t="str">
        <f t="shared" si="174"/>
        <v/>
      </c>
      <c r="AK155" s="21" t="str">
        <f t="shared" si="175"/>
        <v>Apprenant 143 ou 143'</v>
      </c>
      <c r="AL155" s="22" t="str">
        <f t="shared" si="150"/>
        <v/>
      </c>
      <c r="AM155" s="22" t="str">
        <f t="shared" si="151"/>
        <v/>
      </c>
      <c r="AN155" s="22" t="str">
        <f t="shared" si="152"/>
        <v/>
      </c>
      <c r="AO155" s="22" t="str">
        <f t="shared" si="176"/>
        <v/>
      </c>
      <c r="AQ155" s="21" t="str">
        <f t="shared" si="177"/>
        <v>Apprenant 143</v>
      </c>
      <c r="AR155" s="49" t="str">
        <f>IF(AND('Choix pédagogiques'!$C$4&lt;&gt;"?",'Choix pédagogiques'!$C$5&lt;&gt;"?",W155&lt;&gt;""),(W155-'Choix pédagogiques'!$C$4)/('Choix pédagogiques'!$C$5-'Choix pédagogiques'!$C$4),"")</f>
        <v/>
      </c>
      <c r="AS155" s="49" t="str">
        <f>IF(AND('Choix pédagogiques'!$C$4&lt;&gt;"?",'Choix pédagogiques'!$C$5&lt;&gt;"?",X155&lt;&gt;""),(X155-'Choix pédagogiques'!$C$4)/('Choix pédagogiques'!$C$5-'Choix pédagogiques'!$C$4),"")</f>
        <v/>
      </c>
      <c r="AT155" s="49" t="str">
        <f>IF(AND('Choix pédagogiques'!$C$4&lt;&gt;"?",'Choix pédagogiques'!$C$5&lt;&gt;"?",Y155&lt;&gt;""),(Y155-'Choix pédagogiques'!$C$4)/('Choix pédagogiques'!$C$5-'Choix pédagogiques'!$C$4),"")</f>
        <v/>
      </c>
      <c r="AU155" s="22" t="str">
        <f t="shared" si="178"/>
        <v/>
      </c>
      <c r="AV155" s="21" t="str">
        <f t="shared" si="179"/>
        <v>Apprenant 143 ou 143'</v>
      </c>
      <c r="AW155" s="49" t="str">
        <f>IF(AND('Choix pédagogiques'!$C$4&lt;&gt;"?",'Choix pédagogiques'!$C$5&lt;&gt;"?",AB155&lt;&gt;""),(AB155-'Choix pédagogiques'!$C$4)/('Choix pédagogiques'!$C$5-'Choix pédagogiques'!$C$4),"")</f>
        <v/>
      </c>
      <c r="AX155" s="49" t="str">
        <f>IF(AND('Choix pédagogiques'!$C$4&lt;&gt;"?",'Choix pédagogiques'!$C$5&lt;&gt;"?",AC155&lt;&gt;""),(AC155-'Choix pédagogiques'!$C$4)/('Choix pédagogiques'!$C$5-'Choix pédagogiques'!$C$4),"")</f>
        <v/>
      </c>
      <c r="AY155" s="49" t="str">
        <f>IF(AND('Choix pédagogiques'!$C$4&lt;&gt;"?",'Choix pédagogiques'!$C$5&lt;&gt;"?",AD155&lt;&gt;""),(AD155-'Choix pédagogiques'!$C$4)/('Choix pédagogiques'!$C$5-'Choix pédagogiques'!$C$4),"")</f>
        <v/>
      </c>
      <c r="AZ155" s="22" t="str">
        <f t="shared" si="180"/>
        <v/>
      </c>
      <c r="BA155" s="21" t="str">
        <f t="shared" si="181"/>
        <v>Apprenant 143</v>
      </c>
      <c r="BB155" s="49" t="str">
        <f t="shared" si="153"/>
        <v/>
      </c>
      <c r="BC155" s="49" t="str">
        <f t="shared" si="154"/>
        <v/>
      </c>
      <c r="BD155" s="49" t="str">
        <f t="shared" si="155"/>
        <v/>
      </c>
      <c r="BE155" s="22" t="str">
        <f t="shared" si="182"/>
        <v/>
      </c>
      <c r="BF155" s="21" t="str">
        <f t="shared" si="183"/>
        <v>Apprenant 143 ou 143'</v>
      </c>
      <c r="BG155" s="49" t="str">
        <f t="shared" si="156"/>
        <v/>
      </c>
      <c r="BH155" s="49" t="str">
        <f t="shared" si="157"/>
        <v/>
      </c>
      <c r="BI155" s="49" t="str">
        <f t="shared" si="158"/>
        <v/>
      </c>
      <c r="BJ155" s="22" t="str">
        <f t="shared" si="184"/>
        <v/>
      </c>
      <c r="BL155" s="21"/>
      <c r="BM155" s="21" t="str">
        <f>IF(OR(COUNT(B155:D1154)=0,AND('Choix pédagogiques'!$C$3&lt;&gt;1,'Choix pédagogiques'!$C$3&lt;&gt;2)),"",IF(AND(OR('Choix pédagogiques'!$C$3=1,'Choix pédagogiques'!$C$3=2),$B155&lt;&gt;"",$C155&lt;&gt;"",$D155&lt;&gt;""),1,0))</f>
        <v/>
      </c>
      <c r="BN155" s="21" t="str">
        <f>IF(OR(COUNT(G155:I1154)=0,AND('Choix pédagogiques'!$C$3&lt;&gt;1,'Choix pédagogiques'!$C$3&lt;&gt;2)),"",IF(AND(OR('Choix pédagogiques'!$C$3=1,'Choix pédagogiques'!$C$3=2),AND($G155&lt;&gt;"",$H155&lt;&gt;"",$I155&lt;&gt;"")),1,0))</f>
        <v/>
      </c>
      <c r="BO155" s="21" t="str">
        <f>IF(OR(COUNT(B155:D1154)=0,COUNT(G155:I1154)=0,'Choix pédagogiques'!C$3&lt;&gt;3),"",IF(AND('Choix pédagogiques'!$C$3=3,$B155&lt;&gt;"",$C155&lt;&gt;"",$D155&lt;&gt;"",$G155&lt;&gt;"",$H155&lt;&gt;"",$I155&lt;&gt;""),1,0))</f>
        <v/>
      </c>
      <c r="BR155" s="21">
        <v>650</v>
      </c>
      <c r="BS155" s="21">
        <v>1650</v>
      </c>
      <c r="BT155"/>
    </row>
    <row r="156" spans="1:72" s="23" customFormat="1" ht="18" customHeight="1" x14ac:dyDescent="0.3">
      <c r="A156" s="35" t="s">
        <v>146</v>
      </c>
      <c r="B156" s="37"/>
      <c r="C156" s="37"/>
      <c r="D156" s="37"/>
      <c r="E156" s="37"/>
      <c r="F156" s="35" t="s">
        <v>1154</v>
      </c>
      <c r="G156" s="37"/>
      <c r="H156" s="37"/>
      <c r="I156" s="37"/>
      <c r="J156" s="37"/>
      <c r="K156" s="21" t="str">
        <f t="shared" si="159"/>
        <v>Apprenant 144</v>
      </c>
      <c r="L156" s="22" t="str">
        <f t="shared" si="160"/>
        <v/>
      </c>
      <c r="M156" s="22" t="str">
        <f t="shared" si="161"/>
        <v/>
      </c>
      <c r="N156" s="22" t="str">
        <f t="shared" si="162"/>
        <v/>
      </c>
      <c r="O156" s="22" t="str">
        <f t="shared" si="163"/>
        <v/>
      </c>
      <c r="P156" s="21" t="str">
        <f t="shared" si="164"/>
        <v>Apprenant 144 ou 144'</v>
      </c>
      <c r="Q156" s="22" t="str">
        <f t="shared" si="165"/>
        <v/>
      </c>
      <c r="R156" s="22" t="str">
        <f t="shared" si="166"/>
        <v/>
      </c>
      <c r="S156" s="22" t="str">
        <f t="shared" si="167"/>
        <v/>
      </c>
      <c r="T156" s="22" t="str">
        <f t="shared" si="168"/>
        <v/>
      </c>
      <c r="V156" s="21" t="str">
        <f t="shared" si="169"/>
        <v>Apprenant 144</v>
      </c>
      <c r="W156" s="22" t="str">
        <f>IF(AND(OR('Choix pédagogiques'!$C$3=1,'Choix pédagogiques'!$C$3=2),$BM156=1),B156,IF(AND('Choix pédagogiques'!$C$3=3,$BO156=1),B156,""))</f>
        <v/>
      </c>
      <c r="X156" s="22" t="str">
        <f>IF(AND(OR('Choix pédagogiques'!$C$3=1,'Choix pédagogiques'!$C$3=2),$BM156=1),C156,IF(AND('Choix pédagogiques'!$C$3=3,$BO156=1),C156,""))</f>
        <v/>
      </c>
      <c r="Y156" s="22" t="str">
        <f>IF(AND(OR('Choix pédagogiques'!$C$3=1,'Choix pédagogiques'!$C$3=2),$BM156=1),D156,IF(AND('Choix pédagogiques'!$C$3=3,$BO156=1),D156,""))</f>
        <v/>
      </c>
      <c r="Z156" s="22" t="str">
        <f t="shared" si="170"/>
        <v/>
      </c>
      <c r="AA156" s="21" t="str">
        <f t="shared" si="171"/>
        <v>Apprenant 144 ou 144'</v>
      </c>
      <c r="AB156" s="22" t="str">
        <f>IF(AND(OR('Choix pédagogiques'!$C$3=1,'Choix pédagogiques'!$C$3=2),$BN156=1),G156,IF(AND('Choix pédagogiques'!$C$3=3,$BO156=1),G156,""))</f>
        <v/>
      </c>
      <c r="AC156" s="22" t="str">
        <f>IF(AND(OR('Choix pédagogiques'!$C$3=1,'Choix pédagogiques'!$C$3=2),$BN156=1),H156,IF(AND('Choix pédagogiques'!$C$3=3,$BO156=1),H156,""))</f>
        <v/>
      </c>
      <c r="AD156" s="22" t="str">
        <f>IF(AND(OR('Choix pédagogiques'!$C$3=1,'Choix pédagogiques'!$C$3=2),$BN156=1),I156,IF(AND('Choix pédagogiques'!$C$3=3,$BO156=1),I156,""))</f>
        <v/>
      </c>
      <c r="AE156" s="22" t="str">
        <f t="shared" si="172"/>
        <v/>
      </c>
      <c r="AF156" s="21" t="str">
        <f t="shared" si="173"/>
        <v>Apprenant 144</v>
      </c>
      <c r="AG156" s="22" t="str">
        <f t="shared" si="147"/>
        <v/>
      </c>
      <c r="AH156" s="22" t="str">
        <f t="shared" si="148"/>
        <v/>
      </c>
      <c r="AI156" s="22" t="str">
        <f t="shared" si="149"/>
        <v/>
      </c>
      <c r="AJ156" s="22" t="str">
        <f t="shared" si="174"/>
        <v/>
      </c>
      <c r="AK156" s="21" t="str">
        <f t="shared" si="175"/>
        <v>Apprenant 144 ou 144'</v>
      </c>
      <c r="AL156" s="22" t="str">
        <f t="shared" si="150"/>
        <v/>
      </c>
      <c r="AM156" s="22" t="str">
        <f t="shared" si="151"/>
        <v/>
      </c>
      <c r="AN156" s="22" t="str">
        <f t="shared" si="152"/>
        <v/>
      </c>
      <c r="AO156" s="22" t="str">
        <f t="shared" si="176"/>
        <v/>
      </c>
      <c r="AQ156" s="21" t="str">
        <f t="shared" si="177"/>
        <v>Apprenant 144</v>
      </c>
      <c r="AR156" s="49" t="str">
        <f>IF(AND('Choix pédagogiques'!$C$4&lt;&gt;"?",'Choix pédagogiques'!$C$5&lt;&gt;"?",W156&lt;&gt;""),(W156-'Choix pédagogiques'!$C$4)/('Choix pédagogiques'!$C$5-'Choix pédagogiques'!$C$4),"")</f>
        <v/>
      </c>
      <c r="AS156" s="49" t="str">
        <f>IF(AND('Choix pédagogiques'!$C$4&lt;&gt;"?",'Choix pédagogiques'!$C$5&lt;&gt;"?",X156&lt;&gt;""),(X156-'Choix pédagogiques'!$C$4)/('Choix pédagogiques'!$C$5-'Choix pédagogiques'!$C$4),"")</f>
        <v/>
      </c>
      <c r="AT156" s="49" t="str">
        <f>IF(AND('Choix pédagogiques'!$C$4&lt;&gt;"?",'Choix pédagogiques'!$C$5&lt;&gt;"?",Y156&lt;&gt;""),(Y156-'Choix pédagogiques'!$C$4)/('Choix pédagogiques'!$C$5-'Choix pédagogiques'!$C$4),"")</f>
        <v/>
      </c>
      <c r="AU156" s="22" t="str">
        <f t="shared" si="178"/>
        <v/>
      </c>
      <c r="AV156" s="21" t="str">
        <f t="shared" si="179"/>
        <v>Apprenant 144 ou 144'</v>
      </c>
      <c r="AW156" s="49" t="str">
        <f>IF(AND('Choix pédagogiques'!$C$4&lt;&gt;"?",'Choix pédagogiques'!$C$5&lt;&gt;"?",AB156&lt;&gt;""),(AB156-'Choix pédagogiques'!$C$4)/('Choix pédagogiques'!$C$5-'Choix pédagogiques'!$C$4),"")</f>
        <v/>
      </c>
      <c r="AX156" s="49" t="str">
        <f>IF(AND('Choix pédagogiques'!$C$4&lt;&gt;"?",'Choix pédagogiques'!$C$5&lt;&gt;"?",AC156&lt;&gt;""),(AC156-'Choix pédagogiques'!$C$4)/('Choix pédagogiques'!$C$5-'Choix pédagogiques'!$C$4),"")</f>
        <v/>
      </c>
      <c r="AY156" s="49" t="str">
        <f>IF(AND('Choix pédagogiques'!$C$4&lt;&gt;"?",'Choix pédagogiques'!$C$5&lt;&gt;"?",AD156&lt;&gt;""),(AD156-'Choix pédagogiques'!$C$4)/('Choix pédagogiques'!$C$5-'Choix pédagogiques'!$C$4),"")</f>
        <v/>
      </c>
      <c r="AZ156" s="22" t="str">
        <f t="shared" si="180"/>
        <v/>
      </c>
      <c r="BA156" s="21" t="str">
        <f t="shared" si="181"/>
        <v>Apprenant 144</v>
      </c>
      <c r="BB156" s="49" t="str">
        <f t="shared" si="153"/>
        <v/>
      </c>
      <c r="BC156" s="49" t="str">
        <f t="shared" si="154"/>
        <v/>
      </c>
      <c r="BD156" s="49" t="str">
        <f t="shared" si="155"/>
        <v/>
      </c>
      <c r="BE156" s="22" t="str">
        <f t="shared" si="182"/>
        <v/>
      </c>
      <c r="BF156" s="21" t="str">
        <f t="shared" si="183"/>
        <v>Apprenant 144 ou 144'</v>
      </c>
      <c r="BG156" s="49" t="str">
        <f t="shared" si="156"/>
        <v/>
      </c>
      <c r="BH156" s="49" t="str">
        <f t="shared" si="157"/>
        <v/>
      </c>
      <c r="BI156" s="49" t="str">
        <f t="shared" si="158"/>
        <v/>
      </c>
      <c r="BJ156" s="22" t="str">
        <f t="shared" si="184"/>
        <v/>
      </c>
      <c r="BL156" s="21"/>
      <c r="BM156" s="21" t="str">
        <f>IF(OR(COUNT(B156:D1155)=0,AND('Choix pédagogiques'!$C$3&lt;&gt;1,'Choix pédagogiques'!$C$3&lt;&gt;2)),"",IF(AND(OR('Choix pédagogiques'!$C$3=1,'Choix pédagogiques'!$C$3=2),$B156&lt;&gt;"",$C156&lt;&gt;"",$D156&lt;&gt;""),1,0))</f>
        <v/>
      </c>
      <c r="BN156" s="21" t="str">
        <f>IF(OR(COUNT(G156:I1155)=0,AND('Choix pédagogiques'!$C$3&lt;&gt;1,'Choix pédagogiques'!$C$3&lt;&gt;2)),"",IF(AND(OR('Choix pédagogiques'!$C$3=1,'Choix pédagogiques'!$C$3=2),AND($G156&lt;&gt;"",$H156&lt;&gt;"",$I156&lt;&gt;"")),1,0))</f>
        <v/>
      </c>
      <c r="BO156" s="21" t="str">
        <f>IF(OR(COUNT(B156:D1155)=0,COUNT(G156:I1155)=0,'Choix pédagogiques'!C$3&lt;&gt;3),"",IF(AND('Choix pédagogiques'!$C$3=3,$B156&lt;&gt;"",$C156&lt;&gt;"",$D156&lt;&gt;"",$G156&lt;&gt;"",$H156&lt;&gt;"",$I156&lt;&gt;""),1,0))</f>
        <v/>
      </c>
      <c r="BR156" s="21">
        <v>315</v>
      </c>
      <c r="BS156" s="21">
        <v>1500</v>
      </c>
      <c r="BT156"/>
    </row>
    <row r="157" spans="1:72" s="23" customFormat="1" ht="18" customHeight="1" x14ac:dyDescent="0.3">
      <c r="A157" s="35" t="s">
        <v>147</v>
      </c>
      <c r="B157" s="37"/>
      <c r="C157" s="37"/>
      <c r="D157" s="37"/>
      <c r="E157" s="37"/>
      <c r="F157" s="35" t="s">
        <v>1155</v>
      </c>
      <c r="G157" s="37"/>
      <c r="H157" s="37"/>
      <c r="I157" s="37"/>
      <c r="J157" s="37"/>
      <c r="K157" s="21" t="str">
        <f t="shared" si="159"/>
        <v>Apprenant 145</v>
      </c>
      <c r="L157" s="22" t="str">
        <f t="shared" si="160"/>
        <v/>
      </c>
      <c r="M157" s="22" t="str">
        <f t="shared" si="161"/>
        <v/>
      </c>
      <c r="N157" s="22" t="str">
        <f t="shared" si="162"/>
        <v/>
      </c>
      <c r="O157" s="22" t="str">
        <f t="shared" si="163"/>
        <v/>
      </c>
      <c r="P157" s="21" t="str">
        <f t="shared" si="164"/>
        <v>Apprenant 145 ou 145'</v>
      </c>
      <c r="Q157" s="22" t="str">
        <f t="shared" si="165"/>
        <v/>
      </c>
      <c r="R157" s="22" t="str">
        <f t="shared" si="166"/>
        <v/>
      </c>
      <c r="S157" s="22" t="str">
        <f t="shared" si="167"/>
        <v/>
      </c>
      <c r="T157" s="22" t="str">
        <f t="shared" si="168"/>
        <v/>
      </c>
      <c r="V157" s="21" t="str">
        <f t="shared" si="169"/>
        <v>Apprenant 145</v>
      </c>
      <c r="W157" s="22" t="str">
        <f>IF(AND(OR('Choix pédagogiques'!$C$3=1,'Choix pédagogiques'!$C$3=2),$BM157=1),B157,IF(AND('Choix pédagogiques'!$C$3=3,$BO157=1),B157,""))</f>
        <v/>
      </c>
      <c r="X157" s="22" t="str">
        <f>IF(AND(OR('Choix pédagogiques'!$C$3=1,'Choix pédagogiques'!$C$3=2),$BM157=1),C157,IF(AND('Choix pédagogiques'!$C$3=3,$BO157=1),C157,""))</f>
        <v/>
      </c>
      <c r="Y157" s="22" t="str">
        <f>IF(AND(OR('Choix pédagogiques'!$C$3=1,'Choix pédagogiques'!$C$3=2),$BM157=1),D157,IF(AND('Choix pédagogiques'!$C$3=3,$BO157=1),D157,""))</f>
        <v/>
      </c>
      <c r="Z157" s="22" t="str">
        <f t="shared" si="170"/>
        <v/>
      </c>
      <c r="AA157" s="21" t="str">
        <f t="shared" si="171"/>
        <v>Apprenant 145 ou 145'</v>
      </c>
      <c r="AB157" s="22" t="str">
        <f>IF(AND(OR('Choix pédagogiques'!$C$3=1,'Choix pédagogiques'!$C$3=2),$BN157=1),G157,IF(AND('Choix pédagogiques'!$C$3=3,$BO157=1),G157,""))</f>
        <v/>
      </c>
      <c r="AC157" s="22" t="str">
        <f>IF(AND(OR('Choix pédagogiques'!$C$3=1,'Choix pédagogiques'!$C$3=2),$BN157=1),H157,IF(AND('Choix pédagogiques'!$C$3=3,$BO157=1),H157,""))</f>
        <v/>
      </c>
      <c r="AD157" s="22" t="str">
        <f>IF(AND(OR('Choix pédagogiques'!$C$3=1,'Choix pédagogiques'!$C$3=2),$BN157=1),I157,IF(AND('Choix pédagogiques'!$C$3=3,$BO157=1),I157,""))</f>
        <v/>
      </c>
      <c r="AE157" s="22" t="str">
        <f t="shared" si="172"/>
        <v/>
      </c>
      <c r="AF157" s="21" t="str">
        <f t="shared" si="173"/>
        <v>Apprenant 145</v>
      </c>
      <c r="AG157" s="22" t="str">
        <f t="shared" si="147"/>
        <v/>
      </c>
      <c r="AH157" s="22" t="str">
        <f t="shared" si="148"/>
        <v/>
      </c>
      <c r="AI157" s="22" t="str">
        <f t="shared" si="149"/>
        <v/>
      </c>
      <c r="AJ157" s="22" t="str">
        <f t="shared" si="174"/>
        <v/>
      </c>
      <c r="AK157" s="21" t="str">
        <f t="shared" si="175"/>
        <v>Apprenant 145 ou 145'</v>
      </c>
      <c r="AL157" s="22" t="str">
        <f t="shared" si="150"/>
        <v/>
      </c>
      <c r="AM157" s="22" t="str">
        <f t="shared" si="151"/>
        <v/>
      </c>
      <c r="AN157" s="22" t="str">
        <f t="shared" si="152"/>
        <v/>
      </c>
      <c r="AO157" s="22" t="str">
        <f t="shared" si="176"/>
        <v/>
      </c>
      <c r="AQ157" s="21" t="str">
        <f t="shared" si="177"/>
        <v>Apprenant 145</v>
      </c>
      <c r="AR157" s="49" t="str">
        <f>IF(AND('Choix pédagogiques'!$C$4&lt;&gt;"?",'Choix pédagogiques'!$C$5&lt;&gt;"?",W157&lt;&gt;""),(W157-'Choix pédagogiques'!$C$4)/('Choix pédagogiques'!$C$5-'Choix pédagogiques'!$C$4),"")</f>
        <v/>
      </c>
      <c r="AS157" s="49" t="str">
        <f>IF(AND('Choix pédagogiques'!$C$4&lt;&gt;"?",'Choix pédagogiques'!$C$5&lt;&gt;"?",X157&lt;&gt;""),(X157-'Choix pédagogiques'!$C$4)/('Choix pédagogiques'!$C$5-'Choix pédagogiques'!$C$4),"")</f>
        <v/>
      </c>
      <c r="AT157" s="49" t="str">
        <f>IF(AND('Choix pédagogiques'!$C$4&lt;&gt;"?",'Choix pédagogiques'!$C$5&lt;&gt;"?",Y157&lt;&gt;""),(Y157-'Choix pédagogiques'!$C$4)/('Choix pédagogiques'!$C$5-'Choix pédagogiques'!$C$4),"")</f>
        <v/>
      </c>
      <c r="AU157" s="22" t="str">
        <f t="shared" si="178"/>
        <v/>
      </c>
      <c r="AV157" s="21" t="str">
        <f t="shared" si="179"/>
        <v>Apprenant 145 ou 145'</v>
      </c>
      <c r="AW157" s="49" t="str">
        <f>IF(AND('Choix pédagogiques'!$C$4&lt;&gt;"?",'Choix pédagogiques'!$C$5&lt;&gt;"?",AB157&lt;&gt;""),(AB157-'Choix pédagogiques'!$C$4)/('Choix pédagogiques'!$C$5-'Choix pédagogiques'!$C$4),"")</f>
        <v/>
      </c>
      <c r="AX157" s="49" t="str">
        <f>IF(AND('Choix pédagogiques'!$C$4&lt;&gt;"?",'Choix pédagogiques'!$C$5&lt;&gt;"?",AC157&lt;&gt;""),(AC157-'Choix pédagogiques'!$C$4)/('Choix pédagogiques'!$C$5-'Choix pédagogiques'!$C$4),"")</f>
        <v/>
      </c>
      <c r="AY157" s="49" t="str">
        <f>IF(AND('Choix pédagogiques'!$C$4&lt;&gt;"?",'Choix pédagogiques'!$C$5&lt;&gt;"?",AD157&lt;&gt;""),(AD157-'Choix pédagogiques'!$C$4)/('Choix pédagogiques'!$C$5-'Choix pédagogiques'!$C$4),"")</f>
        <v/>
      </c>
      <c r="AZ157" s="22" t="str">
        <f t="shared" si="180"/>
        <v/>
      </c>
      <c r="BA157" s="21" t="str">
        <f t="shared" si="181"/>
        <v>Apprenant 145</v>
      </c>
      <c r="BB157" s="49" t="str">
        <f t="shared" si="153"/>
        <v/>
      </c>
      <c r="BC157" s="49" t="str">
        <f t="shared" si="154"/>
        <v/>
      </c>
      <c r="BD157" s="49" t="str">
        <f t="shared" si="155"/>
        <v/>
      </c>
      <c r="BE157" s="22" t="str">
        <f t="shared" si="182"/>
        <v/>
      </c>
      <c r="BF157" s="21" t="str">
        <f t="shared" si="183"/>
        <v>Apprenant 145 ou 145'</v>
      </c>
      <c r="BG157" s="49" t="str">
        <f t="shared" si="156"/>
        <v/>
      </c>
      <c r="BH157" s="49" t="str">
        <f t="shared" si="157"/>
        <v/>
      </c>
      <c r="BI157" s="49" t="str">
        <f t="shared" si="158"/>
        <v/>
      </c>
      <c r="BJ157" s="22" t="str">
        <f t="shared" si="184"/>
        <v/>
      </c>
      <c r="BL157" s="21"/>
      <c r="BM157" s="21" t="str">
        <f>IF(OR(COUNT(B157:D1156)=0,AND('Choix pédagogiques'!$C$3&lt;&gt;1,'Choix pédagogiques'!$C$3&lt;&gt;2)),"",IF(AND(OR('Choix pédagogiques'!$C$3=1,'Choix pédagogiques'!$C$3=2),$B157&lt;&gt;"",$C157&lt;&gt;"",$D157&lt;&gt;""),1,0))</f>
        <v/>
      </c>
      <c r="BN157" s="21" t="str">
        <f>IF(OR(COUNT(G157:I1156)=0,AND('Choix pédagogiques'!$C$3&lt;&gt;1,'Choix pédagogiques'!$C$3&lt;&gt;2)),"",IF(AND(OR('Choix pédagogiques'!$C$3=1,'Choix pédagogiques'!$C$3=2),AND($G157&lt;&gt;"",$H157&lt;&gt;"",$I157&lt;&gt;"")),1,0))</f>
        <v/>
      </c>
      <c r="BO157" s="21" t="str">
        <f>IF(OR(COUNT(B157:D1156)=0,COUNT(G157:I1156)=0,'Choix pédagogiques'!C$3&lt;&gt;3),"",IF(AND('Choix pédagogiques'!$C$3=3,$B157&lt;&gt;"",$C157&lt;&gt;"",$D157&lt;&gt;"",$G157&lt;&gt;"",$H157&lt;&gt;"",$I157&lt;&gt;""),1,0))</f>
        <v/>
      </c>
      <c r="BR157" s="21">
        <v>308</v>
      </c>
      <c r="BS157" s="21">
        <v>1204</v>
      </c>
      <c r="BT157"/>
    </row>
    <row r="158" spans="1:72" s="23" customFormat="1" ht="18" customHeight="1" x14ac:dyDescent="0.3">
      <c r="A158" s="35" t="s">
        <v>148</v>
      </c>
      <c r="B158" s="37"/>
      <c r="C158" s="37"/>
      <c r="D158" s="37"/>
      <c r="E158" s="37"/>
      <c r="F158" s="35" t="s">
        <v>1156</v>
      </c>
      <c r="G158" s="37"/>
      <c r="H158" s="37"/>
      <c r="I158" s="37"/>
      <c r="J158" s="37"/>
      <c r="K158" s="21" t="str">
        <f t="shared" si="159"/>
        <v>Apprenant 146</v>
      </c>
      <c r="L158" s="22" t="str">
        <f t="shared" si="160"/>
        <v/>
      </c>
      <c r="M158" s="22" t="str">
        <f t="shared" si="161"/>
        <v/>
      </c>
      <c r="N158" s="22" t="str">
        <f t="shared" si="162"/>
        <v/>
      </c>
      <c r="O158" s="22" t="str">
        <f t="shared" si="163"/>
        <v/>
      </c>
      <c r="P158" s="21" t="str">
        <f t="shared" si="164"/>
        <v>Apprenant 146 ou 146'</v>
      </c>
      <c r="Q158" s="22" t="str">
        <f t="shared" si="165"/>
        <v/>
      </c>
      <c r="R158" s="22" t="str">
        <f t="shared" si="166"/>
        <v/>
      </c>
      <c r="S158" s="22" t="str">
        <f t="shared" si="167"/>
        <v/>
      </c>
      <c r="T158" s="22" t="str">
        <f t="shared" si="168"/>
        <v/>
      </c>
      <c r="V158" s="21" t="str">
        <f t="shared" si="169"/>
        <v>Apprenant 146</v>
      </c>
      <c r="W158" s="22" t="str">
        <f>IF(AND(OR('Choix pédagogiques'!$C$3=1,'Choix pédagogiques'!$C$3=2),$BM158=1),B158,IF(AND('Choix pédagogiques'!$C$3=3,$BO158=1),B158,""))</f>
        <v/>
      </c>
      <c r="X158" s="22" t="str">
        <f>IF(AND(OR('Choix pédagogiques'!$C$3=1,'Choix pédagogiques'!$C$3=2),$BM158=1),C158,IF(AND('Choix pédagogiques'!$C$3=3,$BO158=1),C158,""))</f>
        <v/>
      </c>
      <c r="Y158" s="22" t="str">
        <f>IF(AND(OR('Choix pédagogiques'!$C$3=1,'Choix pédagogiques'!$C$3=2),$BM158=1),D158,IF(AND('Choix pédagogiques'!$C$3=3,$BO158=1),D158,""))</f>
        <v/>
      </c>
      <c r="Z158" s="22" t="str">
        <f t="shared" si="170"/>
        <v/>
      </c>
      <c r="AA158" s="21" t="str">
        <f t="shared" si="171"/>
        <v>Apprenant 146 ou 146'</v>
      </c>
      <c r="AB158" s="22" t="str">
        <f>IF(AND(OR('Choix pédagogiques'!$C$3=1,'Choix pédagogiques'!$C$3=2),$BN158=1),G158,IF(AND('Choix pédagogiques'!$C$3=3,$BO158=1),G158,""))</f>
        <v/>
      </c>
      <c r="AC158" s="22" t="str">
        <f>IF(AND(OR('Choix pédagogiques'!$C$3=1,'Choix pédagogiques'!$C$3=2),$BN158=1),H158,IF(AND('Choix pédagogiques'!$C$3=3,$BO158=1),H158,""))</f>
        <v/>
      </c>
      <c r="AD158" s="22" t="str">
        <f>IF(AND(OR('Choix pédagogiques'!$C$3=1,'Choix pédagogiques'!$C$3=2),$BN158=1),I158,IF(AND('Choix pédagogiques'!$C$3=3,$BO158=1),I158,""))</f>
        <v/>
      </c>
      <c r="AE158" s="22" t="str">
        <f t="shared" si="172"/>
        <v/>
      </c>
      <c r="AF158" s="21" t="str">
        <f t="shared" si="173"/>
        <v>Apprenant 146</v>
      </c>
      <c r="AG158" s="22" t="str">
        <f t="shared" si="147"/>
        <v/>
      </c>
      <c r="AH158" s="22" t="str">
        <f t="shared" si="148"/>
        <v/>
      </c>
      <c r="AI158" s="22" t="str">
        <f t="shared" si="149"/>
        <v/>
      </c>
      <c r="AJ158" s="22" t="str">
        <f t="shared" si="174"/>
        <v/>
      </c>
      <c r="AK158" s="21" t="str">
        <f t="shared" si="175"/>
        <v>Apprenant 146 ou 146'</v>
      </c>
      <c r="AL158" s="22" t="str">
        <f t="shared" si="150"/>
        <v/>
      </c>
      <c r="AM158" s="22" t="str">
        <f t="shared" si="151"/>
        <v/>
      </c>
      <c r="AN158" s="22" t="str">
        <f t="shared" si="152"/>
        <v/>
      </c>
      <c r="AO158" s="22" t="str">
        <f t="shared" si="176"/>
        <v/>
      </c>
      <c r="AQ158" s="21" t="str">
        <f t="shared" si="177"/>
        <v>Apprenant 146</v>
      </c>
      <c r="AR158" s="49" t="str">
        <f>IF(AND('Choix pédagogiques'!$C$4&lt;&gt;"?",'Choix pédagogiques'!$C$5&lt;&gt;"?",W158&lt;&gt;""),(W158-'Choix pédagogiques'!$C$4)/('Choix pédagogiques'!$C$5-'Choix pédagogiques'!$C$4),"")</f>
        <v/>
      </c>
      <c r="AS158" s="49" t="str">
        <f>IF(AND('Choix pédagogiques'!$C$4&lt;&gt;"?",'Choix pédagogiques'!$C$5&lt;&gt;"?",X158&lt;&gt;""),(X158-'Choix pédagogiques'!$C$4)/('Choix pédagogiques'!$C$5-'Choix pédagogiques'!$C$4),"")</f>
        <v/>
      </c>
      <c r="AT158" s="49" t="str">
        <f>IF(AND('Choix pédagogiques'!$C$4&lt;&gt;"?",'Choix pédagogiques'!$C$5&lt;&gt;"?",Y158&lt;&gt;""),(Y158-'Choix pédagogiques'!$C$4)/('Choix pédagogiques'!$C$5-'Choix pédagogiques'!$C$4),"")</f>
        <v/>
      </c>
      <c r="AU158" s="22" t="str">
        <f t="shared" si="178"/>
        <v/>
      </c>
      <c r="AV158" s="21" t="str">
        <f t="shared" si="179"/>
        <v>Apprenant 146 ou 146'</v>
      </c>
      <c r="AW158" s="49" t="str">
        <f>IF(AND('Choix pédagogiques'!$C$4&lt;&gt;"?",'Choix pédagogiques'!$C$5&lt;&gt;"?",AB158&lt;&gt;""),(AB158-'Choix pédagogiques'!$C$4)/('Choix pédagogiques'!$C$5-'Choix pédagogiques'!$C$4),"")</f>
        <v/>
      </c>
      <c r="AX158" s="49" t="str">
        <f>IF(AND('Choix pédagogiques'!$C$4&lt;&gt;"?",'Choix pédagogiques'!$C$5&lt;&gt;"?",AC158&lt;&gt;""),(AC158-'Choix pédagogiques'!$C$4)/('Choix pédagogiques'!$C$5-'Choix pédagogiques'!$C$4),"")</f>
        <v/>
      </c>
      <c r="AY158" s="49" t="str">
        <f>IF(AND('Choix pédagogiques'!$C$4&lt;&gt;"?",'Choix pédagogiques'!$C$5&lt;&gt;"?",AD158&lt;&gt;""),(AD158-'Choix pédagogiques'!$C$4)/('Choix pédagogiques'!$C$5-'Choix pédagogiques'!$C$4),"")</f>
        <v/>
      </c>
      <c r="AZ158" s="22" t="str">
        <f t="shared" si="180"/>
        <v/>
      </c>
      <c r="BA158" s="21" t="str">
        <f t="shared" si="181"/>
        <v>Apprenant 146</v>
      </c>
      <c r="BB158" s="49" t="str">
        <f t="shared" si="153"/>
        <v/>
      </c>
      <c r="BC158" s="49" t="str">
        <f t="shared" si="154"/>
        <v/>
      </c>
      <c r="BD158" s="49" t="str">
        <f t="shared" si="155"/>
        <v/>
      </c>
      <c r="BE158" s="22" t="str">
        <f t="shared" si="182"/>
        <v/>
      </c>
      <c r="BF158" s="21" t="str">
        <f t="shared" si="183"/>
        <v>Apprenant 146 ou 146'</v>
      </c>
      <c r="BG158" s="49" t="str">
        <f t="shared" si="156"/>
        <v/>
      </c>
      <c r="BH158" s="49" t="str">
        <f t="shared" si="157"/>
        <v/>
      </c>
      <c r="BI158" s="49" t="str">
        <f t="shared" si="158"/>
        <v/>
      </c>
      <c r="BJ158" s="22" t="str">
        <f t="shared" si="184"/>
        <v/>
      </c>
      <c r="BL158" s="21"/>
      <c r="BM158" s="21" t="str">
        <f>IF(OR(COUNT(B158:D1157)=0,AND('Choix pédagogiques'!$C$3&lt;&gt;1,'Choix pédagogiques'!$C$3&lt;&gt;2)),"",IF(AND(OR('Choix pédagogiques'!$C$3=1,'Choix pédagogiques'!$C$3=2),$B158&lt;&gt;"",$C158&lt;&gt;"",$D158&lt;&gt;""),1,0))</f>
        <v/>
      </c>
      <c r="BN158" s="21" t="str">
        <f>IF(OR(COUNT(G158:I1157)=0,AND('Choix pédagogiques'!$C$3&lt;&gt;1,'Choix pédagogiques'!$C$3&lt;&gt;2)),"",IF(AND(OR('Choix pédagogiques'!$C$3=1,'Choix pédagogiques'!$C$3=2),AND($G158&lt;&gt;"",$H158&lt;&gt;"",$I158&lt;&gt;"")),1,0))</f>
        <v/>
      </c>
      <c r="BO158" s="21" t="str">
        <f>IF(OR(COUNT(B158:D1157)=0,COUNT(G158:I1157)=0,'Choix pédagogiques'!C$3&lt;&gt;3),"",IF(AND('Choix pédagogiques'!$C$3=3,$B158&lt;&gt;"",$C158&lt;&gt;"",$D158&lt;&gt;"",$G158&lt;&gt;"",$H158&lt;&gt;"",$I158&lt;&gt;""),1,0))</f>
        <v/>
      </c>
      <c r="BR158" s="21">
        <v>585</v>
      </c>
      <c r="BS158" s="21">
        <v>1626</v>
      </c>
      <c r="BT158"/>
    </row>
    <row r="159" spans="1:72" s="23" customFormat="1" ht="18" customHeight="1" x14ac:dyDescent="0.3">
      <c r="A159" s="35" t="s">
        <v>149</v>
      </c>
      <c r="B159" s="37"/>
      <c r="C159" s="37"/>
      <c r="D159" s="37"/>
      <c r="E159" s="37"/>
      <c r="F159" s="35" t="s">
        <v>1157</v>
      </c>
      <c r="G159" s="37"/>
      <c r="H159" s="37"/>
      <c r="I159" s="37"/>
      <c r="J159" s="37"/>
      <c r="K159" s="21" t="str">
        <f t="shared" si="159"/>
        <v>Apprenant 147</v>
      </c>
      <c r="L159" s="22" t="str">
        <f t="shared" si="160"/>
        <v/>
      </c>
      <c r="M159" s="22" t="str">
        <f t="shared" si="161"/>
        <v/>
      </c>
      <c r="N159" s="22" t="str">
        <f t="shared" si="162"/>
        <v/>
      </c>
      <c r="O159" s="22" t="str">
        <f t="shared" si="163"/>
        <v/>
      </c>
      <c r="P159" s="21" t="str">
        <f t="shared" si="164"/>
        <v>Apprenant 147 ou 147'</v>
      </c>
      <c r="Q159" s="22" t="str">
        <f t="shared" si="165"/>
        <v/>
      </c>
      <c r="R159" s="22" t="str">
        <f t="shared" si="166"/>
        <v/>
      </c>
      <c r="S159" s="22" t="str">
        <f t="shared" si="167"/>
        <v/>
      </c>
      <c r="T159" s="22" t="str">
        <f t="shared" si="168"/>
        <v/>
      </c>
      <c r="V159" s="21" t="str">
        <f t="shared" si="169"/>
        <v>Apprenant 147</v>
      </c>
      <c r="W159" s="22" t="str">
        <f>IF(AND(OR('Choix pédagogiques'!$C$3=1,'Choix pédagogiques'!$C$3=2),$BM159=1),B159,IF(AND('Choix pédagogiques'!$C$3=3,$BO159=1),B159,""))</f>
        <v/>
      </c>
      <c r="X159" s="22" t="str">
        <f>IF(AND(OR('Choix pédagogiques'!$C$3=1,'Choix pédagogiques'!$C$3=2),$BM159=1),C159,IF(AND('Choix pédagogiques'!$C$3=3,$BO159=1),C159,""))</f>
        <v/>
      </c>
      <c r="Y159" s="22" t="str">
        <f>IF(AND(OR('Choix pédagogiques'!$C$3=1,'Choix pédagogiques'!$C$3=2),$BM159=1),D159,IF(AND('Choix pédagogiques'!$C$3=3,$BO159=1),D159,""))</f>
        <v/>
      </c>
      <c r="Z159" s="22" t="str">
        <f t="shared" si="170"/>
        <v/>
      </c>
      <c r="AA159" s="21" t="str">
        <f t="shared" si="171"/>
        <v>Apprenant 147 ou 147'</v>
      </c>
      <c r="AB159" s="22" t="str">
        <f>IF(AND(OR('Choix pédagogiques'!$C$3=1,'Choix pédagogiques'!$C$3=2),$BN159=1),G159,IF(AND('Choix pédagogiques'!$C$3=3,$BO159=1),G159,""))</f>
        <v/>
      </c>
      <c r="AC159" s="22" t="str">
        <f>IF(AND(OR('Choix pédagogiques'!$C$3=1,'Choix pédagogiques'!$C$3=2),$BN159=1),H159,IF(AND('Choix pédagogiques'!$C$3=3,$BO159=1),H159,""))</f>
        <v/>
      </c>
      <c r="AD159" s="22" t="str">
        <f>IF(AND(OR('Choix pédagogiques'!$C$3=1,'Choix pédagogiques'!$C$3=2),$BN159=1),I159,IF(AND('Choix pédagogiques'!$C$3=3,$BO159=1),I159,""))</f>
        <v/>
      </c>
      <c r="AE159" s="22" t="str">
        <f t="shared" si="172"/>
        <v/>
      </c>
      <c r="AF159" s="21" t="str">
        <f t="shared" si="173"/>
        <v>Apprenant 147</v>
      </c>
      <c r="AG159" s="22" t="str">
        <f t="shared" si="147"/>
        <v/>
      </c>
      <c r="AH159" s="22" t="str">
        <f t="shared" si="148"/>
        <v/>
      </c>
      <c r="AI159" s="22" t="str">
        <f t="shared" si="149"/>
        <v/>
      </c>
      <c r="AJ159" s="22" t="str">
        <f t="shared" si="174"/>
        <v/>
      </c>
      <c r="AK159" s="21" t="str">
        <f t="shared" si="175"/>
        <v>Apprenant 147 ou 147'</v>
      </c>
      <c r="AL159" s="22" t="str">
        <f t="shared" si="150"/>
        <v/>
      </c>
      <c r="AM159" s="22" t="str">
        <f t="shared" si="151"/>
        <v/>
      </c>
      <c r="AN159" s="22" t="str">
        <f t="shared" si="152"/>
        <v/>
      </c>
      <c r="AO159" s="22" t="str">
        <f t="shared" si="176"/>
        <v/>
      </c>
      <c r="AQ159" s="21" t="str">
        <f t="shared" si="177"/>
        <v>Apprenant 147</v>
      </c>
      <c r="AR159" s="49" t="str">
        <f>IF(AND('Choix pédagogiques'!$C$4&lt;&gt;"?",'Choix pédagogiques'!$C$5&lt;&gt;"?",W159&lt;&gt;""),(W159-'Choix pédagogiques'!$C$4)/('Choix pédagogiques'!$C$5-'Choix pédagogiques'!$C$4),"")</f>
        <v/>
      </c>
      <c r="AS159" s="49" t="str">
        <f>IF(AND('Choix pédagogiques'!$C$4&lt;&gt;"?",'Choix pédagogiques'!$C$5&lt;&gt;"?",X159&lt;&gt;""),(X159-'Choix pédagogiques'!$C$4)/('Choix pédagogiques'!$C$5-'Choix pédagogiques'!$C$4),"")</f>
        <v/>
      </c>
      <c r="AT159" s="49" t="str">
        <f>IF(AND('Choix pédagogiques'!$C$4&lt;&gt;"?",'Choix pédagogiques'!$C$5&lt;&gt;"?",Y159&lt;&gt;""),(Y159-'Choix pédagogiques'!$C$4)/('Choix pédagogiques'!$C$5-'Choix pédagogiques'!$C$4),"")</f>
        <v/>
      </c>
      <c r="AU159" s="22" t="str">
        <f t="shared" si="178"/>
        <v/>
      </c>
      <c r="AV159" s="21" t="str">
        <f t="shared" si="179"/>
        <v>Apprenant 147 ou 147'</v>
      </c>
      <c r="AW159" s="49" t="str">
        <f>IF(AND('Choix pédagogiques'!$C$4&lt;&gt;"?",'Choix pédagogiques'!$C$5&lt;&gt;"?",AB159&lt;&gt;""),(AB159-'Choix pédagogiques'!$C$4)/('Choix pédagogiques'!$C$5-'Choix pédagogiques'!$C$4),"")</f>
        <v/>
      </c>
      <c r="AX159" s="49" t="str">
        <f>IF(AND('Choix pédagogiques'!$C$4&lt;&gt;"?",'Choix pédagogiques'!$C$5&lt;&gt;"?",AC159&lt;&gt;""),(AC159-'Choix pédagogiques'!$C$4)/('Choix pédagogiques'!$C$5-'Choix pédagogiques'!$C$4),"")</f>
        <v/>
      </c>
      <c r="AY159" s="49" t="str">
        <f>IF(AND('Choix pédagogiques'!$C$4&lt;&gt;"?",'Choix pédagogiques'!$C$5&lt;&gt;"?",AD159&lt;&gt;""),(AD159-'Choix pédagogiques'!$C$4)/('Choix pédagogiques'!$C$5-'Choix pédagogiques'!$C$4),"")</f>
        <v/>
      </c>
      <c r="AZ159" s="22" t="str">
        <f t="shared" si="180"/>
        <v/>
      </c>
      <c r="BA159" s="21" t="str">
        <f t="shared" si="181"/>
        <v>Apprenant 147</v>
      </c>
      <c r="BB159" s="49" t="str">
        <f t="shared" si="153"/>
        <v/>
      </c>
      <c r="BC159" s="49" t="str">
        <f t="shared" si="154"/>
        <v/>
      </c>
      <c r="BD159" s="49" t="str">
        <f t="shared" si="155"/>
        <v/>
      </c>
      <c r="BE159" s="22" t="str">
        <f t="shared" si="182"/>
        <v/>
      </c>
      <c r="BF159" s="21" t="str">
        <f t="shared" si="183"/>
        <v>Apprenant 147 ou 147'</v>
      </c>
      <c r="BG159" s="49" t="str">
        <f t="shared" si="156"/>
        <v/>
      </c>
      <c r="BH159" s="49" t="str">
        <f t="shared" si="157"/>
        <v/>
      </c>
      <c r="BI159" s="49" t="str">
        <f t="shared" si="158"/>
        <v/>
      </c>
      <c r="BJ159" s="22" t="str">
        <f t="shared" si="184"/>
        <v/>
      </c>
      <c r="BL159" s="21"/>
      <c r="BM159" s="21" t="str">
        <f>IF(OR(COUNT(B159:D1158)=0,AND('Choix pédagogiques'!$C$3&lt;&gt;1,'Choix pédagogiques'!$C$3&lt;&gt;2)),"",IF(AND(OR('Choix pédagogiques'!$C$3=1,'Choix pédagogiques'!$C$3=2),$B159&lt;&gt;"",$C159&lt;&gt;"",$D159&lt;&gt;""),1,0))</f>
        <v/>
      </c>
      <c r="BN159" s="21" t="str">
        <f>IF(OR(COUNT(G159:I1158)=0,AND('Choix pédagogiques'!$C$3&lt;&gt;1,'Choix pédagogiques'!$C$3&lt;&gt;2)),"",IF(AND(OR('Choix pédagogiques'!$C$3=1,'Choix pédagogiques'!$C$3=2),AND($G159&lt;&gt;"",$H159&lt;&gt;"",$I159&lt;&gt;"")),1,0))</f>
        <v/>
      </c>
      <c r="BO159" s="21" t="str">
        <f>IF(OR(COUNT(B159:D1158)=0,COUNT(G159:I1158)=0,'Choix pédagogiques'!C$3&lt;&gt;3),"",IF(AND('Choix pédagogiques'!$C$3=3,$B159&lt;&gt;"",$C159&lt;&gt;"",$D159&lt;&gt;"",$G159&lt;&gt;"",$H159&lt;&gt;"",$I159&lt;&gt;""),1,0))</f>
        <v/>
      </c>
      <c r="BR159" s="21">
        <v>146</v>
      </c>
      <c r="BS159" s="21">
        <v>1985</v>
      </c>
      <c r="BT159"/>
    </row>
    <row r="160" spans="1:72" s="23" customFormat="1" ht="18" customHeight="1" x14ac:dyDescent="0.3">
      <c r="A160" s="35" t="s">
        <v>150</v>
      </c>
      <c r="B160" s="37"/>
      <c r="C160" s="37"/>
      <c r="D160" s="37"/>
      <c r="E160" s="37"/>
      <c r="F160" s="35" t="s">
        <v>1158</v>
      </c>
      <c r="G160" s="37"/>
      <c r="H160" s="37"/>
      <c r="I160" s="37"/>
      <c r="J160" s="37"/>
      <c r="K160" s="21" t="str">
        <f t="shared" si="159"/>
        <v>Apprenant 148</v>
      </c>
      <c r="L160" s="22" t="str">
        <f t="shared" si="160"/>
        <v/>
      </c>
      <c r="M160" s="22" t="str">
        <f t="shared" si="161"/>
        <v/>
      </c>
      <c r="N160" s="22" t="str">
        <f t="shared" si="162"/>
        <v/>
      </c>
      <c r="O160" s="22" t="str">
        <f t="shared" si="163"/>
        <v/>
      </c>
      <c r="P160" s="21" t="str">
        <f t="shared" si="164"/>
        <v>Apprenant 148 ou 148'</v>
      </c>
      <c r="Q160" s="22" t="str">
        <f t="shared" si="165"/>
        <v/>
      </c>
      <c r="R160" s="22" t="str">
        <f t="shared" si="166"/>
        <v/>
      </c>
      <c r="S160" s="22" t="str">
        <f t="shared" si="167"/>
        <v/>
      </c>
      <c r="T160" s="22" t="str">
        <f t="shared" si="168"/>
        <v/>
      </c>
      <c r="V160" s="21" t="str">
        <f t="shared" si="169"/>
        <v>Apprenant 148</v>
      </c>
      <c r="W160" s="22" t="str">
        <f>IF(AND(OR('Choix pédagogiques'!$C$3=1,'Choix pédagogiques'!$C$3=2),$BM160=1),B160,IF(AND('Choix pédagogiques'!$C$3=3,$BO160=1),B160,""))</f>
        <v/>
      </c>
      <c r="X160" s="22" t="str">
        <f>IF(AND(OR('Choix pédagogiques'!$C$3=1,'Choix pédagogiques'!$C$3=2),$BM160=1),C160,IF(AND('Choix pédagogiques'!$C$3=3,$BO160=1),C160,""))</f>
        <v/>
      </c>
      <c r="Y160" s="22" t="str">
        <f>IF(AND(OR('Choix pédagogiques'!$C$3=1,'Choix pédagogiques'!$C$3=2),$BM160=1),D160,IF(AND('Choix pédagogiques'!$C$3=3,$BO160=1),D160,""))</f>
        <v/>
      </c>
      <c r="Z160" s="22" t="str">
        <f t="shared" si="170"/>
        <v/>
      </c>
      <c r="AA160" s="21" t="str">
        <f t="shared" si="171"/>
        <v>Apprenant 148 ou 148'</v>
      </c>
      <c r="AB160" s="22" t="str">
        <f>IF(AND(OR('Choix pédagogiques'!$C$3=1,'Choix pédagogiques'!$C$3=2),$BN160=1),G160,IF(AND('Choix pédagogiques'!$C$3=3,$BO160=1),G160,""))</f>
        <v/>
      </c>
      <c r="AC160" s="22" t="str">
        <f>IF(AND(OR('Choix pédagogiques'!$C$3=1,'Choix pédagogiques'!$C$3=2),$BN160=1),H160,IF(AND('Choix pédagogiques'!$C$3=3,$BO160=1),H160,""))</f>
        <v/>
      </c>
      <c r="AD160" s="22" t="str">
        <f>IF(AND(OR('Choix pédagogiques'!$C$3=1,'Choix pédagogiques'!$C$3=2),$BN160=1),I160,IF(AND('Choix pédagogiques'!$C$3=3,$BO160=1),I160,""))</f>
        <v/>
      </c>
      <c r="AE160" s="22" t="str">
        <f t="shared" si="172"/>
        <v/>
      </c>
      <c r="AF160" s="21" t="str">
        <f t="shared" si="173"/>
        <v>Apprenant 148</v>
      </c>
      <c r="AG160" s="22" t="str">
        <f t="shared" si="147"/>
        <v/>
      </c>
      <c r="AH160" s="22" t="str">
        <f t="shared" si="148"/>
        <v/>
      </c>
      <c r="AI160" s="22" t="str">
        <f t="shared" si="149"/>
        <v/>
      </c>
      <c r="AJ160" s="22" t="str">
        <f t="shared" si="174"/>
        <v/>
      </c>
      <c r="AK160" s="21" t="str">
        <f t="shared" si="175"/>
        <v>Apprenant 148 ou 148'</v>
      </c>
      <c r="AL160" s="22" t="str">
        <f t="shared" si="150"/>
        <v/>
      </c>
      <c r="AM160" s="22" t="str">
        <f t="shared" si="151"/>
        <v/>
      </c>
      <c r="AN160" s="22" t="str">
        <f t="shared" si="152"/>
        <v/>
      </c>
      <c r="AO160" s="22" t="str">
        <f t="shared" si="176"/>
        <v/>
      </c>
      <c r="AQ160" s="21" t="str">
        <f t="shared" si="177"/>
        <v>Apprenant 148</v>
      </c>
      <c r="AR160" s="49" t="str">
        <f>IF(AND('Choix pédagogiques'!$C$4&lt;&gt;"?",'Choix pédagogiques'!$C$5&lt;&gt;"?",W160&lt;&gt;""),(W160-'Choix pédagogiques'!$C$4)/('Choix pédagogiques'!$C$5-'Choix pédagogiques'!$C$4),"")</f>
        <v/>
      </c>
      <c r="AS160" s="49" t="str">
        <f>IF(AND('Choix pédagogiques'!$C$4&lt;&gt;"?",'Choix pédagogiques'!$C$5&lt;&gt;"?",X160&lt;&gt;""),(X160-'Choix pédagogiques'!$C$4)/('Choix pédagogiques'!$C$5-'Choix pédagogiques'!$C$4),"")</f>
        <v/>
      </c>
      <c r="AT160" s="49" t="str">
        <f>IF(AND('Choix pédagogiques'!$C$4&lt;&gt;"?",'Choix pédagogiques'!$C$5&lt;&gt;"?",Y160&lt;&gt;""),(Y160-'Choix pédagogiques'!$C$4)/('Choix pédagogiques'!$C$5-'Choix pédagogiques'!$C$4),"")</f>
        <v/>
      </c>
      <c r="AU160" s="22" t="str">
        <f t="shared" si="178"/>
        <v/>
      </c>
      <c r="AV160" s="21" t="str">
        <f t="shared" si="179"/>
        <v>Apprenant 148 ou 148'</v>
      </c>
      <c r="AW160" s="49" t="str">
        <f>IF(AND('Choix pédagogiques'!$C$4&lt;&gt;"?",'Choix pédagogiques'!$C$5&lt;&gt;"?",AB160&lt;&gt;""),(AB160-'Choix pédagogiques'!$C$4)/('Choix pédagogiques'!$C$5-'Choix pédagogiques'!$C$4),"")</f>
        <v/>
      </c>
      <c r="AX160" s="49" t="str">
        <f>IF(AND('Choix pédagogiques'!$C$4&lt;&gt;"?",'Choix pédagogiques'!$C$5&lt;&gt;"?",AC160&lt;&gt;""),(AC160-'Choix pédagogiques'!$C$4)/('Choix pédagogiques'!$C$5-'Choix pédagogiques'!$C$4),"")</f>
        <v/>
      </c>
      <c r="AY160" s="49" t="str">
        <f>IF(AND('Choix pédagogiques'!$C$4&lt;&gt;"?",'Choix pédagogiques'!$C$5&lt;&gt;"?",AD160&lt;&gt;""),(AD160-'Choix pédagogiques'!$C$4)/('Choix pédagogiques'!$C$5-'Choix pédagogiques'!$C$4),"")</f>
        <v/>
      </c>
      <c r="AZ160" s="22" t="str">
        <f t="shared" si="180"/>
        <v/>
      </c>
      <c r="BA160" s="21" t="str">
        <f t="shared" si="181"/>
        <v>Apprenant 148</v>
      </c>
      <c r="BB160" s="49" t="str">
        <f t="shared" si="153"/>
        <v/>
      </c>
      <c r="BC160" s="49" t="str">
        <f t="shared" si="154"/>
        <v/>
      </c>
      <c r="BD160" s="49" t="str">
        <f t="shared" si="155"/>
        <v/>
      </c>
      <c r="BE160" s="22" t="str">
        <f t="shared" si="182"/>
        <v/>
      </c>
      <c r="BF160" s="21" t="str">
        <f t="shared" si="183"/>
        <v>Apprenant 148 ou 148'</v>
      </c>
      <c r="BG160" s="49" t="str">
        <f t="shared" si="156"/>
        <v/>
      </c>
      <c r="BH160" s="49" t="str">
        <f t="shared" si="157"/>
        <v/>
      </c>
      <c r="BI160" s="49" t="str">
        <f t="shared" si="158"/>
        <v/>
      </c>
      <c r="BJ160" s="22" t="str">
        <f t="shared" si="184"/>
        <v/>
      </c>
      <c r="BL160" s="21"/>
      <c r="BM160" s="21" t="str">
        <f>IF(OR(COUNT(B160:D1159)=0,AND('Choix pédagogiques'!$C$3&lt;&gt;1,'Choix pédagogiques'!$C$3&lt;&gt;2)),"",IF(AND(OR('Choix pédagogiques'!$C$3=1,'Choix pédagogiques'!$C$3=2),$B160&lt;&gt;"",$C160&lt;&gt;"",$D160&lt;&gt;""),1,0))</f>
        <v/>
      </c>
      <c r="BN160" s="21" t="str">
        <f>IF(OR(COUNT(G160:I1159)=0,AND('Choix pédagogiques'!$C$3&lt;&gt;1,'Choix pédagogiques'!$C$3&lt;&gt;2)),"",IF(AND(OR('Choix pédagogiques'!$C$3=1,'Choix pédagogiques'!$C$3=2),AND($G160&lt;&gt;"",$H160&lt;&gt;"",$I160&lt;&gt;"")),1,0))</f>
        <v/>
      </c>
      <c r="BO160" s="21" t="str">
        <f>IF(OR(COUNT(B160:D1159)=0,COUNT(G160:I1159)=0,'Choix pédagogiques'!C$3&lt;&gt;3),"",IF(AND('Choix pédagogiques'!$C$3=3,$B160&lt;&gt;"",$C160&lt;&gt;"",$D160&lt;&gt;"",$G160&lt;&gt;"",$H160&lt;&gt;"",$I160&lt;&gt;""),1,0))</f>
        <v/>
      </c>
      <c r="BR160" s="21">
        <v>311</v>
      </c>
      <c r="BS160" s="21">
        <v>1932</v>
      </c>
      <c r="BT160"/>
    </row>
    <row r="161" spans="1:72" s="23" customFormat="1" ht="18" customHeight="1" x14ac:dyDescent="0.3">
      <c r="A161" s="35" t="s">
        <v>151</v>
      </c>
      <c r="B161" s="37"/>
      <c r="C161" s="37"/>
      <c r="D161" s="37"/>
      <c r="E161" s="37"/>
      <c r="F161" s="35" t="s">
        <v>1159</v>
      </c>
      <c r="G161" s="37"/>
      <c r="H161" s="37"/>
      <c r="I161" s="37"/>
      <c r="J161" s="37"/>
      <c r="K161" s="21" t="str">
        <f t="shared" si="159"/>
        <v>Apprenant 149</v>
      </c>
      <c r="L161" s="22" t="str">
        <f t="shared" si="160"/>
        <v/>
      </c>
      <c r="M161" s="22" t="str">
        <f t="shared" si="161"/>
        <v/>
      </c>
      <c r="N161" s="22" t="str">
        <f t="shared" si="162"/>
        <v/>
      </c>
      <c r="O161" s="22" t="str">
        <f t="shared" si="163"/>
        <v/>
      </c>
      <c r="P161" s="21" t="str">
        <f t="shared" si="164"/>
        <v>Apprenant 149 ou 149'</v>
      </c>
      <c r="Q161" s="22" t="str">
        <f t="shared" si="165"/>
        <v/>
      </c>
      <c r="R161" s="22" t="str">
        <f t="shared" si="166"/>
        <v/>
      </c>
      <c r="S161" s="22" t="str">
        <f t="shared" si="167"/>
        <v/>
      </c>
      <c r="T161" s="22" t="str">
        <f t="shared" si="168"/>
        <v/>
      </c>
      <c r="V161" s="21" t="str">
        <f t="shared" si="169"/>
        <v>Apprenant 149</v>
      </c>
      <c r="W161" s="22" t="str">
        <f>IF(AND(OR('Choix pédagogiques'!$C$3=1,'Choix pédagogiques'!$C$3=2),$BM161=1),B161,IF(AND('Choix pédagogiques'!$C$3=3,$BO161=1),B161,""))</f>
        <v/>
      </c>
      <c r="X161" s="22" t="str">
        <f>IF(AND(OR('Choix pédagogiques'!$C$3=1,'Choix pédagogiques'!$C$3=2),$BM161=1),C161,IF(AND('Choix pédagogiques'!$C$3=3,$BO161=1),C161,""))</f>
        <v/>
      </c>
      <c r="Y161" s="22" t="str">
        <f>IF(AND(OR('Choix pédagogiques'!$C$3=1,'Choix pédagogiques'!$C$3=2),$BM161=1),D161,IF(AND('Choix pédagogiques'!$C$3=3,$BO161=1),D161,""))</f>
        <v/>
      </c>
      <c r="Z161" s="22" t="str">
        <f t="shared" si="170"/>
        <v/>
      </c>
      <c r="AA161" s="21" t="str">
        <f t="shared" si="171"/>
        <v>Apprenant 149 ou 149'</v>
      </c>
      <c r="AB161" s="22" t="str">
        <f>IF(AND(OR('Choix pédagogiques'!$C$3=1,'Choix pédagogiques'!$C$3=2),$BN161=1),G161,IF(AND('Choix pédagogiques'!$C$3=3,$BO161=1),G161,""))</f>
        <v/>
      </c>
      <c r="AC161" s="22" t="str">
        <f>IF(AND(OR('Choix pédagogiques'!$C$3=1,'Choix pédagogiques'!$C$3=2),$BN161=1),H161,IF(AND('Choix pédagogiques'!$C$3=3,$BO161=1),H161,""))</f>
        <v/>
      </c>
      <c r="AD161" s="22" t="str">
        <f>IF(AND(OR('Choix pédagogiques'!$C$3=1,'Choix pédagogiques'!$C$3=2),$BN161=1),I161,IF(AND('Choix pédagogiques'!$C$3=3,$BO161=1),I161,""))</f>
        <v/>
      </c>
      <c r="AE161" s="22" t="str">
        <f t="shared" si="172"/>
        <v/>
      </c>
      <c r="AF161" s="21" t="str">
        <f t="shared" si="173"/>
        <v>Apprenant 149</v>
      </c>
      <c r="AG161" s="22" t="str">
        <f t="shared" si="147"/>
        <v/>
      </c>
      <c r="AH161" s="22" t="str">
        <f t="shared" si="148"/>
        <v/>
      </c>
      <c r="AI161" s="22" t="str">
        <f t="shared" si="149"/>
        <v/>
      </c>
      <c r="AJ161" s="22" t="str">
        <f t="shared" si="174"/>
        <v/>
      </c>
      <c r="AK161" s="21" t="str">
        <f t="shared" si="175"/>
        <v>Apprenant 149 ou 149'</v>
      </c>
      <c r="AL161" s="22" t="str">
        <f t="shared" si="150"/>
        <v/>
      </c>
      <c r="AM161" s="22" t="str">
        <f t="shared" si="151"/>
        <v/>
      </c>
      <c r="AN161" s="22" t="str">
        <f t="shared" si="152"/>
        <v/>
      </c>
      <c r="AO161" s="22" t="str">
        <f t="shared" si="176"/>
        <v/>
      </c>
      <c r="AQ161" s="21" t="str">
        <f t="shared" si="177"/>
        <v>Apprenant 149</v>
      </c>
      <c r="AR161" s="49" t="str">
        <f>IF(AND('Choix pédagogiques'!$C$4&lt;&gt;"?",'Choix pédagogiques'!$C$5&lt;&gt;"?",W161&lt;&gt;""),(W161-'Choix pédagogiques'!$C$4)/('Choix pédagogiques'!$C$5-'Choix pédagogiques'!$C$4),"")</f>
        <v/>
      </c>
      <c r="AS161" s="49" t="str">
        <f>IF(AND('Choix pédagogiques'!$C$4&lt;&gt;"?",'Choix pédagogiques'!$C$5&lt;&gt;"?",X161&lt;&gt;""),(X161-'Choix pédagogiques'!$C$4)/('Choix pédagogiques'!$C$5-'Choix pédagogiques'!$C$4),"")</f>
        <v/>
      </c>
      <c r="AT161" s="49" t="str">
        <f>IF(AND('Choix pédagogiques'!$C$4&lt;&gt;"?",'Choix pédagogiques'!$C$5&lt;&gt;"?",Y161&lt;&gt;""),(Y161-'Choix pédagogiques'!$C$4)/('Choix pédagogiques'!$C$5-'Choix pédagogiques'!$C$4),"")</f>
        <v/>
      </c>
      <c r="AU161" s="22" t="str">
        <f t="shared" si="178"/>
        <v/>
      </c>
      <c r="AV161" s="21" t="str">
        <f t="shared" si="179"/>
        <v>Apprenant 149 ou 149'</v>
      </c>
      <c r="AW161" s="49" t="str">
        <f>IF(AND('Choix pédagogiques'!$C$4&lt;&gt;"?",'Choix pédagogiques'!$C$5&lt;&gt;"?",AB161&lt;&gt;""),(AB161-'Choix pédagogiques'!$C$4)/('Choix pédagogiques'!$C$5-'Choix pédagogiques'!$C$4),"")</f>
        <v/>
      </c>
      <c r="AX161" s="49" t="str">
        <f>IF(AND('Choix pédagogiques'!$C$4&lt;&gt;"?",'Choix pédagogiques'!$C$5&lt;&gt;"?",AC161&lt;&gt;""),(AC161-'Choix pédagogiques'!$C$4)/('Choix pédagogiques'!$C$5-'Choix pédagogiques'!$C$4),"")</f>
        <v/>
      </c>
      <c r="AY161" s="49" t="str">
        <f>IF(AND('Choix pédagogiques'!$C$4&lt;&gt;"?",'Choix pédagogiques'!$C$5&lt;&gt;"?",AD161&lt;&gt;""),(AD161-'Choix pédagogiques'!$C$4)/('Choix pédagogiques'!$C$5-'Choix pédagogiques'!$C$4),"")</f>
        <v/>
      </c>
      <c r="AZ161" s="22" t="str">
        <f t="shared" si="180"/>
        <v/>
      </c>
      <c r="BA161" s="21" t="str">
        <f t="shared" si="181"/>
        <v>Apprenant 149</v>
      </c>
      <c r="BB161" s="49" t="str">
        <f t="shared" si="153"/>
        <v/>
      </c>
      <c r="BC161" s="49" t="str">
        <f t="shared" si="154"/>
        <v/>
      </c>
      <c r="BD161" s="49" t="str">
        <f t="shared" si="155"/>
        <v/>
      </c>
      <c r="BE161" s="22" t="str">
        <f t="shared" si="182"/>
        <v/>
      </c>
      <c r="BF161" s="21" t="str">
        <f t="shared" si="183"/>
        <v>Apprenant 149 ou 149'</v>
      </c>
      <c r="BG161" s="49" t="str">
        <f t="shared" si="156"/>
        <v/>
      </c>
      <c r="BH161" s="49" t="str">
        <f t="shared" si="157"/>
        <v/>
      </c>
      <c r="BI161" s="49" t="str">
        <f t="shared" si="158"/>
        <v/>
      </c>
      <c r="BJ161" s="22" t="str">
        <f t="shared" si="184"/>
        <v/>
      </c>
      <c r="BL161" s="21"/>
      <c r="BM161" s="21" t="str">
        <f>IF(OR(COUNT(B161:D1160)=0,AND('Choix pédagogiques'!$C$3&lt;&gt;1,'Choix pédagogiques'!$C$3&lt;&gt;2)),"",IF(AND(OR('Choix pédagogiques'!$C$3=1,'Choix pédagogiques'!$C$3=2),$B161&lt;&gt;"",$C161&lt;&gt;"",$D161&lt;&gt;""),1,0))</f>
        <v/>
      </c>
      <c r="BN161" s="21" t="str">
        <f>IF(OR(COUNT(G161:I1160)=0,AND('Choix pédagogiques'!$C$3&lt;&gt;1,'Choix pédagogiques'!$C$3&lt;&gt;2)),"",IF(AND(OR('Choix pédagogiques'!$C$3=1,'Choix pédagogiques'!$C$3=2),AND($G161&lt;&gt;"",$H161&lt;&gt;"",$I161&lt;&gt;"")),1,0))</f>
        <v/>
      </c>
      <c r="BO161" s="21" t="str">
        <f>IF(OR(COUNT(B161:D1160)=0,COUNT(G161:I1160)=0,'Choix pédagogiques'!C$3&lt;&gt;3),"",IF(AND('Choix pédagogiques'!$C$3=3,$B161&lt;&gt;"",$C161&lt;&gt;"",$D161&lt;&gt;"",$G161&lt;&gt;"",$H161&lt;&gt;"",$I161&lt;&gt;""),1,0))</f>
        <v/>
      </c>
      <c r="BR161" s="21">
        <v>501</v>
      </c>
      <c r="BS161" s="21">
        <v>1858</v>
      </c>
      <c r="BT161"/>
    </row>
    <row r="162" spans="1:72" s="23" customFormat="1" ht="18" customHeight="1" x14ac:dyDescent="0.3">
      <c r="A162" s="35" t="s">
        <v>152</v>
      </c>
      <c r="B162" s="37"/>
      <c r="C162" s="37"/>
      <c r="D162" s="37"/>
      <c r="E162" s="37"/>
      <c r="F162" s="35" t="s">
        <v>1160</v>
      </c>
      <c r="G162" s="37"/>
      <c r="H162" s="37"/>
      <c r="I162" s="37"/>
      <c r="J162" s="37"/>
      <c r="K162" s="21" t="str">
        <f t="shared" si="159"/>
        <v>Apprenant 150</v>
      </c>
      <c r="L162" s="22" t="str">
        <f t="shared" si="160"/>
        <v/>
      </c>
      <c r="M162" s="22" t="str">
        <f t="shared" si="161"/>
        <v/>
      </c>
      <c r="N162" s="22" t="str">
        <f t="shared" si="162"/>
        <v/>
      </c>
      <c r="O162" s="22" t="str">
        <f t="shared" si="163"/>
        <v/>
      </c>
      <c r="P162" s="21" t="str">
        <f t="shared" si="164"/>
        <v>Apprenant 150 ou 150'</v>
      </c>
      <c r="Q162" s="22" t="str">
        <f t="shared" si="165"/>
        <v/>
      </c>
      <c r="R162" s="22" t="str">
        <f t="shared" si="166"/>
        <v/>
      </c>
      <c r="S162" s="22" t="str">
        <f t="shared" si="167"/>
        <v/>
      </c>
      <c r="T162" s="22" t="str">
        <f t="shared" si="168"/>
        <v/>
      </c>
      <c r="V162" s="21" t="str">
        <f t="shared" si="169"/>
        <v>Apprenant 150</v>
      </c>
      <c r="W162" s="22" t="str">
        <f>IF(AND(OR('Choix pédagogiques'!$C$3=1,'Choix pédagogiques'!$C$3=2),$BM162=1),B162,IF(AND('Choix pédagogiques'!$C$3=3,$BO162=1),B162,""))</f>
        <v/>
      </c>
      <c r="X162" s="22" t="str">
        <f>IF(AND(OR('Choix pédagogiques'!$C$3=1,'Choix pédagogiques'!$C$3=2),$BM162=1),C162,IF(AND('Choix pédagogiques'!$C$3=3,$BO162=1),C162,""))</f>
        <v/>
      </c>
      <c r="Y162" s="22" t="str">
        <f>IF(AND(OR('Choix pédagogiques'!$C$3=1,'Choix pédagogiques'!$C$3=2),$BM162=1),D162,IF(AND('Choix pédagogiques'!$C$3=3,$BO162=1),D162,""))</f>
        <v/>
      </c>
      <c r="Z162" s="22" t="str">
        <f t="shared" si="170"/>
        <v/>
      </c>
      <c r="AA162" s="21" t="str">
        <f t="shared" si="171"/>
        <v>Apprenant 150 ou 150'</v>
      </c>
      <c r="AB162" s="22" t="str">
        <f>IF(AND(OR('Choix pédagogiques'!$C$3=1,'Choix pédagogiques'!$C$3=2),$BN162=1),G162,IF(AND('Choix pédagogiques'!$C$3=3,$BO162=1),G162,""))</f>
        <v/>
      </c>
      <c r="AC162" s="22" t="str">
        <f>IF(AND(OR('Choix pédagogiques'!$C$3=1,'Choix pédagogiques'!$C$3=2),$BN162=1),H162,IF(AND('Choix pédagogiques'!$C$3=3,$BO162=1),H162,""))</f>
        <v/>
      </c>
      <c r="AD162" s="22" t="str">
        <f>IF(AND(OR('Choix pédagogiques'!$C$3=1,'Choix pédagogiques'!$C$3=2),$BN162=1),I162,IF(AND('Choix pédagogiques'!$C$3=3,$BO162=1),I162,""))</f>
        <v/>
      </c>
      <c r="AE162" s="22" t="str">
        <f t="shared" si="172"/>
        <v/>
      </c>
      <c r="AF162" s="21" t="str">
        <f t="shared" si="173"/>
        <v>Apprenant 150</v>
      </c>
      <c r="AG162" s="22" t="str">
        <f t="shared" si="147"/>
        <v/>
      </c>
      <c r="AH162" s="22" t="str">
        <f t="shared" si="148"/>
        <v/>
      </c>
      <c r="AI162" s="22" t="str">
        <f t="shared" si="149"/>
        <v/>
      </c>
      <c r="AJ162" s="22" t="str">
        <f t="shared" si="174"/>
        <v/>
      </c>
      <c r="AK162" s="21" t="str">
        <f t="shared" si="175"/>
        <v>Apprenant 150 ou 150'</v>
      </c>
      <c r="AL162" s="22" t="str">
        <f t="shared" si="150"/>
        <v/>
      </c>
      <c r="AM162" s="22" t="str">
        <f t="shared" si="151"/>
        <v/>
      </c>
      <c r="AN162" s="22" t="str">
        <f t="shared" si="152"/>
        <v/>
      </c>
      <c r="AO162" s="22" t="str">
        <f t="shared" si="176"/>
        <v/>
      </c>
      <c r="AQ162" s="21" t="str">
        <f t="shared" si="177"/>
        <v>Apprenant 150</v>
      </c>
      <c r="AR162" s="49" t="str">
        <f>IF(AND('Choix pédagogiques'!$C$4&lt;&gt;"?",'Choix pédagogiques'!$C$5&lt;&gt;"?",W162&lt;&gt;""),(W162-'Choix pédagogiques'!$C$4)/('Choix pédagogiques'!$C$5-'Choix pédagogiques'!$C$4),"")</f>
        <v/>
      </c>
      <c r="AS162" s="49" t="str">
        <f>IF(AND('Choix pédagogiques'!$C$4&lt;&gt;"?",'Choix pédagogiques'!$C$5&lt;&gt;"?",X162&lt;&gt;""),(X162-'Choix pédagogiques'!$C$4)/('Choix pédagogiques'!$C$5-'Choix pédagogiques'!$C$4),"")</f>
        <v/>
      </c>
      <c r="AT162" s="49" t="str">
        <f>IF(AND('Choix pédagogiques'!$C$4&lt;&gt;"?",'Choix pédagogiques'!$C$5&lt;&gt;"?",Y162&lt;&gt;""),(Y162-'Choix pédagogiques'!$C$4)/('Choix pédagogiques'!$C$5-'Choix pédagogiques'!$C$4),"")</f>
        <v/>
      </c>
      <c r="AU162" s="22" t="str">
        <f t="shared" si="178"/>
        <v/>
      </c>
      <c r="AV162" s="21" t="str">
        <f t="shared" si="179"/>
        <v>Apprenant 150 ou 150'</v>
      </c>
      <c r="AW162" s="49" t="str">
        <f>IF(AND('Choix pédagogiques'!$C$4&lt;&gt;"?",'Choix pédagogiques'!$C$5&lt;&gt;"?",AB162&lt;&gt;""),(AB162-'Choix pédagogiques'!$C$4)/('Choix pédagogiques'!$C$5-'Choix pédagogiques'!$C$4),"")</f>
        <v/>
      </c>
      <c r="AX162" s="49" t="str">
        <f>IF(AND('Choix pédagogiques'!$C$4&lt;&gt;"?",'Choix pédagogiques'!$C$5&lt;&gt;"?",AC162&lt;&gt;""),(AC162-'Choix pédagogiques'!$C$4)/('Choix pédagogiques'!$C$5-'Choix pédagogiques'!$C$4),"")</f>
        <v/>
      </c>
      <c r="AY162" s="49" t="str">
        <f>IF(AND('Choix pédagogiques'!$C$4&lt;&gt;"?",'Choix pédagogiques'!$C$5&lt;&gt;"?",AD162&lt;&gt;""),(AD162-'Choix pédagogiques'!$C$4)/('Choix pédagogiques'!$C$5-'Choix pédagogiques'!$C$4),"")</f>
        <v/>
      </c>
      <c r="AZ162" s="22" t="str">
        <f t="shared" si="180"/>
        <v/>
      </c>
      <c r="BA162" s="21" t="str">
        <f t="shared" si="181"/>
        <v>Apprenant 150</v>
      </c>
      <c r="BB162" s="49" t="str">
        <f t="shared" si="153"/>
        <v/>
      </c>
      <c r="BC162" s="49" t="str">
        <f t="shared" si="154"/>
        <v/>
      </c>
      <c r="BD162" s="49" t="str">
        <f t="shared" si="155"/>
        <v/>
      </c>
      <c r="BE162" s="22" t="str">
        <f t="shared" si="182"/>
        <v/>
      </c>
      <c r="BF162" s="21" t="str">
        <f t="shared" si="183"/>
        <v>Apprenant 150 ou 150'</v>
      </c>
      <c r="BG162" s="49" t="str">
        <f t="shared" si="156"/>
        <v/>
      </c>
      <c r="BH162" s="49" t="str">
        <f t="shared" si="157"/>
        <v/>
      </c>
      <c r="BI162" s="49" t="str">
        <f t="shared" si="158"/>
        <v/>
      </c>
      <c r="BJ162" s="22" t="str">
        <f t="shared" si="184"/>
        <v/>
      </c>
      <c r="BL162" s="21"/>
      <c r="BM162" s="21" t="str">
        <f>IF(OR(COUNT(B162:D1161)=0,AND('Choix pédagogiques'!$C$3&lt;&gt;1,'Choix pédagogiques'!$C$3&lt;&gt;2)),"",IF(AND(OR('Choix pédagogiques'!$C$3=1,'Choix pédagogiques'!$C$3=2),$B162&lt;&gt;"",$C162&lt;&gt;"",$D162&lt;&gt;""),1,0))</f>
        <v/>
      </c>
      <c r="BN162" s="21" t="str">
        <f>IF(OR(COUNT(G162:I1161)=0,AND('Choix pédagogiques'!$C$3&lt;&gt;1,'Choix pédagogiques'!$C$3&lt;&gt;2)),"",IF(AND(OR('Choix pédagogiques'!$C$3=1,'Choix pédagogiques'!$C$3=2),AND($G162&lt;&gt;"",$H162&lt;&gt;"",$I162&lt;&gt;"")),1,0))</f>
        <v/>
      </c>
      <c r="BO162" s="21" t="str">
        <f>IF(OR(COUNT(B162:D1161)=0,COUNT(G162:I1161)=0,'Choix pédagogiques'!C$3&lt;&gt;3),"",IF(AND('Choix pédagogiques'!$C$3=3,$B162&lt;&gt;"",$C162&lt;&gt;"",$D162&lt;&gt;"",$G162&lt;&gt;"",$H162&lt;&gt;"",$I162&lt;&gt;""),1,0))</f>
        <v/>
      </c>
      <c r="BR162" s="21">
        <v>575</v>
      </c>
      <c r="BS162" s="21">
        <v>1418</v>
      </c>
      <c r="BT162"/>
    </row>
    <row r="163" spans="1:72" s="23" customFormat="1" ht="18" customHeight="1" x14ac:dyDescent="0.3">
      <c r="A163" s="35" t="s">
        <v>153</v>
      </c>
      <c r="B163" s="37"/>
      <c r="C163" s="37"/>
      <c r="D163" s="37"/>
      <c r="E163" s="37"/>
      <c r="F163" s="35" t="s">
        <v>1161</v>
      </c>
      <c r="G163" s="37"/>
      <c r="H163" s="37"/>
      <c r="I163" s="37"/>
      <c r="J163" s="37"/>
      <c r="K163" s="21" t="str">
        <f t="shared" si="159"/>
        <v>Apprenant 151</v>
      </c>
      <c r="L163" s="22" t="str">
        <f t="shared" si="160"/>
        <v/>
      </c>
      <c r="M163" s="22" t="str">
        <f t="shared" si="161"/>
        <v/>
      </c>
      <c r="N163" s="22" t="str">
        <f t="shared" si="162"/>
        <v/>
      </c>
      <c r="O163" s="22" t="str">
        <f t="shared" si="163"/>
        <v/>
      </c>
      <c r="P163" s="21" t="str">
        <f t="shared" si="164"/>
        <v>Apprenant 151 ou 151'</v>
      </c>
      <c r="Q163" s="22" t="str">
        <f t="shared" si="165"/>
        <v/>
      </c>
      <c r="R163" s="22" t="str">
        <f t="shared" si="166"/>
        <v/>
      </c>
      <c r="S163" s="22" t="str">
        <f t="shared" si="167"/>
        <v/>
      </c>
      <c r="T163" s="22" t="str">
        <f t="shared" si="168"/>
        <v/>
      </c>
      <c r="V163" s="21" t="str">
        <f t="shared" si="169"/>
        <v>Apprenant 151</v>
      </c>
      <c r="W163" s="22" t="str">
        <f>IF(AND(OR('Choix pédagogiques'!$C$3=1,'Choix pédagogiques'!$C$3=2),$BM163=1),B163,IF(AND('Choix pédagogiques'!$C$3=3,$BO163=1),B163,""))</f>
        <v/>
      </c>
      <c r="X163" s="22" t="str">
        <f>IF(AND(OR('Choix pédagogiques'!$C$3=1,'Choix pédagogiques'!$C$3=2),$BM163=1),C163,IF(AND('Choix pédagogiques'!$C$3=3,$BO163=1),C163,""))</f>
        <v/>
      </c>
      <c r="Y163" s="22" t="str">
        <f>IF(AND(OR('Choix pédagogiques'!$C$3=1,'Choix pédagogiques'!$C$3=2),$BM163=1),D163,IF(AND('Choix pédagogiques'!$C$3=3,$BO163=1),D163,""))</f>
        <v/>
      </c>
      <c r="Z163" s="22" t="str">
        <f t="shared" si="170"/>
        <v/>
      </c>
      <c r="AA163" s="21" t="str">
        <f t="shared" si="171"/>
        <v>Apprenant 151 ou 151'</v>
      </c>
      <c r="AB163" s="22" t="str">
        <f>IF(AND(OR('Choix pédagogiques'!$C$3=1,'Choix pédagogiques'!$C$3=2),$BN163=1),G163,IF(AND('Choix pédagogiques'!$C$3=3,$BO163=1),G163,""))</f>
        <v/>
      </c>
      <c r="AC163" s="22" t="str">
        <f>IF(AND(OR('Choix pédagogiques'!$C$3=1,'Choix pédagogiques'!$C$3=2),$BN163=1),H163,IF(AND('Choix pédagogiques'!$C$3=3,$BO163=1),H163,""))</f>
        <v/>
      </c>
      <c r="AD163" s="22" t="str">
        <f>IF(AND(OR('Choix pédagogiques'!$C$3=1,'Choix pédagogiques'!$C$3=2),$BN163=1),I163,IF(AND('Choix pédagogiques'!$C$3=3,$BO163=1),I163,""))</f>
        <v/>
      </c>
      <c r="AE163" s="22" t="str">
        <f t="shared" si="172"/>
        <v/>
      </c>
      <c r="AF163" s="21" t="str">
        <f t="shared" si="173"/>
        <v>Apprenant 151</v>
      </c>
      <c r="AG163" s="22" t="str">
        <f t="shared" si="147"/>
        <v/>
      </c>
      <c r="AH163" s="22" t="str">
        <f t="shared" si="148"/>
        <v/>
      </c>
      <c r="AI163" s="22" t="str">
        <f t="shared" si="149"/>
        <v/>
      </c>
      <c r="AJ163" s="22" t="str">
        <f t="shared" si="174"/>
        <v/>
      </c>
      <c r="AK163" s="21" t="str">
        <f t="shared" si="175"/>
        <v>Apprenant 151 ou 151'</v>
      </c>
      <c r="AL163" s="22" t="str">
        <f t="shared" si="150"/>
        <v/>
      </c>
      <c r="AM163" s="22" t="str">
        <f t="shared" si="151"/>
        <v/>
      </c>
      <c r="AN163" s="22" t="str">
        <f t="shared" si="152"/>
        <v/>
      </c>
      <c r="AO163" s="22" t="str">
        <f t="shared" si="176"/>
        <v/>
      </c>
      <c r="AQ163" s="21" t="str">
        <f t="shared" si="177"/>
        <v>Apprenant 151</v>
      </c>
      <c r="AR163" s="49" t="str">
        <f>IF(AND('Choix pédagogiques'!$C$4&lt;&gt;"?",'Choix pédagogiques'!$C$5&lt;&gt;"?",W163&lt;&gt;""),(W163-'Choix pédagogiques'!$C$4)/('Choix pédagogiques'!$C$5-'Choix pédagogiques'!$C$4),"")</f>
        <v/>
      </c>
      <c r="AS163" s="49" t="str">
        <f>IF(AND('Choix pédagogiques'!$C$4&lt;&gt;"?",'Choix pédagogiques'!$C$5&lt;&gt;"?",X163&lt;&gt;""),(X163-'Choix pédagogiques'!$C$4)/('Choix pédagogiques'!$C$5-'Choix pédagogiques'!$C$4),"")</f>
        <v/>
      </c>
      <c r="AT163" s="49" t="str">
        <f>IF(AND('Choix pédagogiques'!$C$4&lt;&gt;"?",'Choix pédagogiques'!$C$5&lt;&gt;"?",Y163&lt;&gt;""),(Y163-'Choix pédagogiques'!$C$4)/('Choix pédagogiques'!$C$5-'Choix pédagogiques'!$C$4),"")</f>
        <v/>
      </c>
      <c r="AU163" s="22" t="str">
        <f t="shared" si="178"/>
        <v/>
      </c>
      <c r="AV163" s="21" t="str">
        <f t="shared" si="179"/>
        <v>Apprenant 151 ou 151'</v>
      </c>
      <c r="AW163" s="49" t="str">
        <f>IF(AND('Choix pédagogiques'!$C$4&lt;&gt;"?",'Choix pédagogiques'!$C$5&lt;&gt;"?",AB163&lt;&gt;""),(AB163-'Choix pédagogiques'!$C$4)/('Choix pédagogiques'!$C$5-'Choix pédagogiques'!$C$4),"")</f>
        <v/>
      </c>
      <c r="AX163" s="49" t="str">
        <f>IF(AND('Choix pédagogiques'!$C$4&lt;&gt;"?",'Choix pédagogiques'!$C$5&lt;&gt;"?",AC163&lt;&gt;""),(AC163-'Choix pédagogiques'!$C$4)/('Choix pédagogiques'!$C$5-'Choix pédagogiques'!$C$4),"")</f>
        <v/>
      </c>
      <c r="AY163" s="49" t="str">
        <f>IF(AND('Choix pédagogiques'!$C$4&lt;&gt;"?",'Choix pédagogiques'!$C$5&lt;&gt;"?",AD163&lt;&gt;""),(AD163-'Choix pédagogiques'!$C$4)/('Choix pédagogiques'!$C$5-'Choix pédagogiques'!$C$4),"")</f>
        <v/>
      </c>
      <c r="AZ163" s="22" t="str">
        <f t="shared" si="180"/>
        <v/>
      </c>
      <c r="BA163" s="21" t="str">
        <f t="shared" si="181"/>
        <v>Apprenant 151</v>
      </c>
      <c r="BB163" s="49" t="str">
        <f t="shared" si="153"/>
        <v/>
      </c>
      <c r="BC163" s="49" t="str">
        <f t="shared" si="154"/>
        <v/>
      </c>
      <c r="BD163" s="49" t="str">
        <f t="shared" si="155"/>
        <v/>
      </c>
      <c r="BE163" s="22" t="str">
        <f t="shared" si="182"/>
        <v/>
      </c>
      <c r="BF163" s="21" t="str">
        <f t="shared" si="183"/>
        <v>Apprenant 151 ou 151'</v>
      </c>
      <c r="BG163" s="49" t="str">
        <f t="shared" si="156"/>
        <v/>
      </c>
      <c r="BH163" s="49" t="str">
        <f t="shared" si="157"/>
        <v/>
      </c>
      <c r="BI163" s="49" t="str">
        <f t="shared" si="158"/>
        <v/>
      </c>
      <c r="BJ163" s="22" t="str">
        <f t="shared" si="184"/>
        <v/>
      </c>
      <c r="BL163" s="21"/>
      <c r="BM163" s="21" t="str">
        <f>IF(OR(COUNT(B163:D1162)=0,AND('Choix pédagogiques'!$C$3&lt;&gt;1,'Choix pédagogiques'!$C$3&lt;&gt;2)),"",IF(AND(OR('Choix pédagogiques'!$C$3=1,'Choix pédagogiques'!$C$3=2),$B163&lt;&gt;"",$C163&lt;&gt;"",$D163&lt;&gt;""),1,0))</f>
        <v/>
      </c>
      <c r="BN163" s="21" t="str">
        <f>IF(OR(COUNT(G163:I1162)=0,AND('Choix pédagogiques'!$C$3&lt;&gt;1,'Choix pédagogiques'!$C$3&lt;&gt;2)),"",IF(AND(OR('Choix pédagogiques'!$C$3=1,'Choix pédagogiques'!$C$3=2),AND($G163&lt;&gt;"",$H163&lt;&gt;"",$I163&lt;&gt;"")),1,0))</f>
        <v/>
      </c>
      <c r="BO163" s="21" t="str">
        <f>IF(OR(COUNT(B163:D1162)=0,COUNT(G163:I1162)=0,'Choix pédagogiques'!C$3&lt;&gt;3),"",IF(AND('Choix pédagogiques'!$C$3=3,$B163&lt;&gt;"",$C163&lt;&gt;"",$D163&lt;&gt;"",$G163&lt;&gt;"",$H163&lt;&gt;"",$I163&lt;&gt;""),1,0))</f>
        <v/>
      </c>
      <c r="BR163" s="21">
        <v>270</v>
      </c>
      <c r="BS163" s="21">
        <v>1489</v>
      </c>
      <c r="BT163"/>
    </row>
    <row r="164" spans="1:72" s="23" customFormat="1" ht="18" customHeight="1" x14ac:dyDescent="0.3">
      <c r="A164" s="35" t="s">
        <v>154</v>
      </c>
      <c r="B164" s="37"/>
      <c r="C164" s="37"/>
      <c r="D164" s="37"/>
      <c r="E164" s="37"/>
      <c r="F164" s="35" t="s">
        <v>1162</v>
      </c>
      <c r="G164" s="37"/>
      <c r="H164" s="37"/>
      <c r="I164" s="37"/>
      <c r="J164" s="37"/>
      <c r="K164" s="21" t="str">
        <f t="shared" si="159"/>
        <v>Apprenant 152</v>
      </c>
      <c r="L164" s="22" t="str">
        <f t="shared" si="160"/>
        <v/>
      </c>
      <c r="M164" s="22" t="str">
        <f t="shared" si="161"/>
        <v/>
      </c>
      <c r="N164" s="22" t="str">
        <f t="shared" si="162"/>
        <v/>
      </c>
      <c r="O164" s="22" t="str">
        <f t="shared" si="163"/>
        <v/>
      </c>
      <c r="P164" s="21" t="str">
        <f t="shared" si="164"/>
        <v>Apprenant 152 ou 152'</v>
      </c>
      <c r="Q164" s="22" t="str">
        <f t="shared" si="165"/>
        <v/>
      </c>
      <c r="R164" s="22" t="str">
        <f t="shared" si="166"/>
        <v/>
      </c>
      <c r="S164" s="22" t="str">
        <f t="shared" si="167"/>
        <v/>
      </c>
      <c r="T164" s="22" t="str">
        <f t="shared" si="168"/>
        <v/>
      </c>
      <c r="V164" s="21" t="str">
        <f t="shared" si="169"/>
        <v>Apprenant 152</v>
      </c>
      <c r="W164" s="22" t="str">
        <f>IF(AND(OR('Choix pédagogiques'!$C$3=1,'Choix pédagogiques'!$C$3=2),$BM164=1),B164,IF(AND('Choix pédagogiques'!$C$3=3,$BO164=1),B164,""))</f>
        <v/>
      </c>
      <c r="X164" s="22" t="str">
        <f>IF(AND(OR('Choix pédagogiques'!$C$3=1,'Choix pédagogiques'!$C$3=2),$BM164=1),C164,IF(AND('Choix pédagogiques'!$C$3=3,$BO164=1),C164,""))</f>
        <v/>
      </c>
      <c r="Y164" s="22" t="str">
        <f>IF(AND(OR('Choix pédagogiques'!$C$3=1,'Choix pédagogiques'!$C$3=2),$BM164=1),D164,IF(AND('Choix pédagogiques'!$C$3=3,$BO164=1),D164,""))</f>
        <v/>
      </c>
      <c r="Z164" s="22" t="str">
        <f t="shared" si="170"/>
        <v/>
      </c>
      <c r="AA164" s="21" t="str">
        <f t="shared" si="171"/>
        <v>Apprenant 152 ou 152'</v>
      </c>
      <c r="AB164" s="22" t="str">
        <f>IF(AND(OR('Choix pédagogiques'!$C$3=1,'Choix pédagogiques'!$C$3=2),$BN164=1),G164,IF(AND('Choix pédagogiques'!$C$3=3,$BO164=1),G164,""))</f>
        <v/>
      </c>
      <c r="AC164" s="22" t="str">
        <f>IF(AND(OR('Choix pédagogiques'!$C$3=1,'Choix pédagogiques'!$C$3=2),$BN164=1),H164,IF(AND('Choix pédagogiques'!$C$3=3,$BO164=1),H164,""))</f>
        <v/>
      </c>
      <c r="AD164" s="22" t="str">
        <f>IF(AND(OR('Choix pédagogiques'!$C$3=1,'Choix pédagogiques'!$C$3=2),$BN164=1),I164,IF(AND('Choix pédagogiques'!$C$3=3,$BO164=1),I164,""))</f>
        <v/>
      </c>
      <c r="AE164" s="22" t="str">
        <f t="shared" si="172"/>
        <v/>
      </c>
      <c r="AF164" s="21" t="str">
        <f t="shared" si="173"/>
        <v>Apprenant 152</v>
      </c>
      <c r="AG164" s="22" t="str">
        <f t="shared" si="147"/>
        <v/>
      </c>
      <c r="AH164" s="22" t="str">
        <f t="shared" si="148"/>
        <v/>
      </c>
      <c r="AI164" s="22" t="str">
        <f t="shared" si="149"/>
        <v/>
      </c>
      <c r="AJ164" s="22" t="str">
        <f t="shared" si="174"/>
        <v/>
      </c>
      <c r="AK164" s="21" t="str">
        <f t="shared" si="175"/>
        <v>Apprenant 152 ou 152'</v>
      </c>
      <c r="AL164" s="22" t="str">
        <f t="shared" si="150"/>
        <v/>
      </c>
      <c r="AM164" s="22" t="str">
        <f t="shared" si="151"/>
        <v/>
      </c>
      <c r="AN164" s="22" t="str">
        <f t="shared" si="152"/>
        <v/>
      </c>
      <c r="AO164" s="22" t="str">
        <f t="shared" si="176"/>
        <v/>
      </c>
      <c r="AQ164" s="21" t="str">
        <f t="shared" si="177"/>
        <v>Apprenant 152</v>
      </c>
      <c r="AR164" s="49" t="str">
        <f>IF(AND('Choix pédagogiques'!$C$4&lt;&gt;"?",'Choix pédagogiques'!$C$5&lt;&gt;"?",W164&lt;&gt;""),(W164-'Choix pédagogiques'!$C$4)/('Choix pédagogiques'!$C$5-'Choix pédagogiques'!$C$4),"")</f>
        <v/>
      </c>
      <c r="AS164" s="49" t="str">
        <f>IF(AND('Choix pédagogiques'!$C$4&lt;&gt;"?",'Choix pédagogiques'!$C$5&lt;&gt;"?",X164&lt;&gt;""),(X164-'Choix pédagogiques'!$C$4)/('Choix pédagogiques'!$C$5-'Choix pédagogiques'!$C$4),"")</f>
        <v/>
      </c>
      <c r="AT164" s="49" t="str">
        <f>IF(AND('Choix pédagogiques'!$C$4&lt;&gt;"?",'Choix pédagogiques'!$C$5&lt;&gt;"?",Y164&lt;&gt;""),(Y164-'Choix pédagogiques'!$C$4)/('Choix pédagogiques'!$C$5-'Choix pédagogiques'!$C$4),"")</f>
        <v/>
      </c>
      <c r="AU164" s="22" t="str">
        <f t="shared" si="178"/>
        <v/>
      </c>
      <c r="AV164" s="21" t="str">
        <f t="shared" si="179"/>
        <v>Apprenant 152 ou 152'</v>
      </c>
      <c r="AW164" s="49" t="str">
        <f>IF(AND('Choix pédagogiques'!$C$4&lt;&gt;"?",'Choix pédagogiques'!$C$5&lt;&gt;"?",AB164&lt;&gt;""),(AB164-'Choix pédagogiques'!$C$4)/('Choix pédagogiques'!$C$5-'Choix pédagogiques'!$C$4),"")</f>
        <v/>
      </c>
      <c r="AX164" s="49" t="str">
        <f>IF(AND('Choix pédagogiques'!$C$4&lt;&gt;"?",'Choix pédagogiques'!$C$5&lt;&gt;"?",AC164&lt;&gt;""),(AC164-'Choix pédagogiques'!$C$4)/('Choix pédagogiques'!$C$5-'Choix pédagogiques'!$C$4),"")</f>
        <v/>
      </c>
      <c r="AY164" s="49" t="str">
        <f>IF(AND('Choix pédagogiques'!$C$4&lt;&gt;"?",'Choix pédagogiques'!$C$5&lt;&gt;"?",AD164&lt;&gt;""),(AD164-'Choix pédagogiques'!$C$4)/('Choix pédagogiques'!$C$5-'Choix pédagogiques'!$C$4),"")</f>
        <v/>
      </c>
      <c r="AZ164" s="22" t="str">
        <f t="shared" si="180"/>
        <v/>
      </c>
      <c r="BA164" s="21" t="str">
        <f t="shared" si="181"/>
        <v>Apprenant 152</v>
      </c>
      <c r="BB164" s="49" t="str">
        <f t="shared" si="153"/>
        <v/>
      </c>
      <c r="BC164" s="49" t="str">
        <f t="shared" si="154"/>
        <v/>
      </c>
      <c r="BD164" s="49" t="str">
        <f t="shared" si="155"/>
        <v/>
      </c>
      <c r="BE164" s="22" t="str">
        <f t="shared" si="182"/>
        <v/>
      </c>
      <c r="BF164" s="21" t="str">
        <f t="shared" si="183"/>
        <v>Apprenant 152 ou 152'</v>
      </c>
      <c r="BG164" s="49" t="str">
        <f t="shared" si="156"/>
        <v/>
      </c>
      <c r="BH164" s="49" t="str">
        <f t="shared" si="157"/>
        <v/>
      </c>
      <c r="BI164" s="49" t="str">
        <f t="shared" si="158"/>
        <v/>
      </c>
      <c r="BJ164" s="22" t="str">
        <f t="shared" si="184"/>
        <v/>
      </c>
      <c r="BL164" s="21"/>
      <c r="BM164" s="21" t="str">
        <f>IF(OR(COUNT(B164:D1163)=0,AND('Choix pédagogiques'!$C$3&lt;&gt;1,'Choix pédagogiques'!$C$3&lt;&gt;2)),"",IF(AND(OR('Choix pédagogiques'!$C$3=1,'Choix pédagogiques'!$C$3=2),$B164&lt;&gt;"",$C164&lt;&gt;"",$D164&lt;&gt;""),1,0))</f>
        <v/>
      </c>
      <c r="BN164" s="21" t="str">
        <f>IF(OR(COUNT(G164:I1163)=0,AND('Choix pédagogiques'!$C$3&lt;&gt;1,'Choix pédagogiques'!$C$3&lt;&gt;2)),"",IF(AND(OR('Choix pédagogiques'!$C$3=1,'Choix pédagogiques'!$C$3=2),AND($G164&lt;&gt;"",$H164&lt;&gt;"",$I164&lt;&gt;"")),1,0))</f>
        <v/>
      </c>
      <c r="BO164" s="21" t="str">
        <f>IF(OR(COUNT(B164:D1163)=0,COUNT(G164:I1163)=0,'Choix pédagogiques'!C$3&lt;&gt;3),"",IF(AND('Choix pédagogiques'!$C$3=3,$B164&lt;&gt;"",$C164&lt;&gt;"",$D164&lt;&gt;"",$G164&lt;&gt;"",$H164&lt;&gt;"",$I164&lt;&gt;""),1,0))</f>
        <v/>
      </c>
      <c r="BR164" s="21">
        <v>474</v>
      </c>
      <c r="BS164" s="21">
        <v>1079</v>
      </c>
      <c r="BT164"/>
    </row>
    <row r="165" spans="1:72" s="23" customFormat="1" ht="18" customHeight="1" x14ac:dyDescent="0.3">
      <c r="A165" s="35" t="s">
        <v>155</v>
      </c>
      <c r="B165" s="37"/>
      <c r="C165" s="37"/>
      <c r="D165" s="37"/>
      <c r="E165" s="37"/>
      <c r="F165" s="35" t="s">
        <v>1163</v>
      </c>
      <c r="G165" s="37"/>
      <c r="H165" s="37"/>
      <c r="I165" s="37"/>
      <c r="J165" s="37"/>
      <c r="K165" s="21" t="str">
        <f t="shared" si="159"/>
        <v>Apprenant 153</v>
      </c>
      <c r="L165" s="22" t="str">
        <f t="shared" si="160"/>
        <v/>
      </c>
      <c r="M165" s="22" t="str">
        <f t="shared" si="161"/>
        <v/>
      </c>
      <c r="N165" s="22" t="str">
        <f t="shared" si="162"/>
        <v/>
      </c>
      <c r="O165" s="22" t="str">
        <f t="shared" si="163"/>
        <v/>
      </c>
      <c r="P165" s="21" t="str">
        <f t="shared" si="164"/>
        <v>Apprenant 153 ou 153'</v>
      </c>
      <c r="Q165" s="22" t="str">
        <f t="shared" si="165"/>
        <v/>
      </c>
      <c r="R165" s="22" t="str">
        <f t="shared" si="166"/>
        <v/>
      </c>
      <c r="S165" s="22" t="str">
        <f t="shared" si="167"/>
        <v/>
      </c>
      <c r="T165" s="22" t="str">
        <f t="shared" si="168"/>
        <v/>
      </c>
      <c r="V165" s="21" t="str">
        <f t="shared" si="169"/>
        <v>Apprenant 153</v>
      </c>
      <c r="W165" s="22" t="str">
        <f>IF(AND(OR('Choix pédagogiques'!$C$3=1,'Choix pédagogiques'!$C$3=2),$BM165=1),B165,IF(AND('Choix pédagogiques'!$C$3=3,$BO165=1),B165,""))</f>
        <v/>
      </c>
      <c r="X165" s="22" t="str">
        <f>IF(AND(OR('Choix pédagogiques'!$C$3=1,'Choix pédagogiques'!$C$3=2),$BM165=1),C165,IF(AND('Choix pédagogiques'!$C$3=3,$BO165=1),C165,""))</f>
        <v/>
      </c>
      <c r="Y165" s="22" t="str">
        <f>IF(AND(OR('Choix pédagogiques'!$C$3=1,'Choix pédagogiques'!$C$3=2),$BM165=1),D165,IF(AND('Choix pédagogiques'!$C$3=3,$BO165=1),D165,""))</f>
        <v/>
      </c>
      <c r="Z165" s="22" t="str">
        <f t="shared" si="170"/>
        <v/>
      </c>
      <c r="AA165" s="21" t="str">
        <f t="shared" si="171"/>
        <v>Apprenant 153 ou 153'</v>
      </c>
      <c r="AB165" s="22" t="str">
        <f>IF(AND(OR('Choix pédagogiques'!$C$3=1,'Choix pédagogiques'!$C$3=2),$BN165=1),G165,IF(AND('Choix pédagogiques'!$C$3=3,$BO165=1),G165,""))</f>
        <v/>
      </c>
      <c r="AC165" s="22" t="str">
        <f>IF(AND(OR('Choix pédagogiques'!$C$3=1,'Choix pédagogiques'!$C$3=2),$BN165=1),H165,IF(AND('Choix pédagogiques'!$C$3=3,$BO165=1),H165,""))</f>
        <v/>
      </c>
      <c r="AD165" s="22" t="str">
        <f>IF(AND(OR('Choix pédagogiques'!$C$3=1,'Choix pédagogiques'!$C$3=2),$BN165=1),I165,IF(AND('Choix pédagogiques'!$C$3=3,$BO165=1),I165,""))</f>
        <v/>
      </c>
      <c r="AE165" s="22" t="str">
        <f t="shared" si="172"/>
        <v/>
      </c>
      <c r="AF165" s="21" t="str">
        <f t="shared" si="173"/>
        <v>Apprenant 153</v>
      </c>
      <c r="AG165" s="22" t="str">
        <f t="shared" si="147"/>
        <v/>
      </c>
      <c r="AH165" s="22" t="str">
        <f t="shared" si="148"/>
        <v/>
      </c>
      <c r="AI165" s="22" t="str">
        <f t="shared" si="149"/>
        <v/>
      </c>
      <c r="AJ165" s="22" t="str">
        <f t="shared" si="174"/>
        <v/>
      </c>
      <c r="AK165" s="21" t="str">
        <f t="shared" si="175"/>
        <v>Apprenant 153 ou 153'</v>
      </c>
      <c r="AL165" s="22" t="str">
        <f t="shared" si="150"/>
        <v/>
      </c>
      <c r="AM165" s="22" t="str">
        <f t="shared" si="151"/>
        <v/>
      </c>
      <c r="AN165" s="22" t="str">
        <f t="shared" si="152"/>
        <v/>
      </c>
      <c r="AO165" s="22" t="str">
        <f t="shared" si="176"/>
        <v/>
      </c>
      <c r="AQ165" s="21" t="str">
        <f t="shared" si="177"/>
        <v>Apprenant 153</v>
      </c>
      <c r="AR165" s="49" t="str">
        <f>IF(AND('Choix pédagogiques'!$C$4&lt;&gt;"?",'Choix pédagogiques'!$C$5&lt;&gt;"?",W165&lt;&gt;""),(W165-'Choix pédagogiques'!$C$4)/('Choix pédagogiques'!$C$5-'Choix pédagogiques'!$C$4),"")</f>
        <v/>
      </c>
      <c r="AS165" s="49" t="str">
        <f>IF(AND('Choix pédagogiques'!$C$4&lt;&gt;"?",'Choix pédagogiques'!$C$5&lt;&gt;"?",X165&lt;&gt;""),(X165-'Choix pédagogiques'!$C$4)/('Choix pédagogiques'!$C$5-'Choix pédagogiques'!$C$4),"")</f>
        <v/>
      </c>
      <c r="AT165" s="49" t="str">
        <f>IF(AND('Choix pédagogiques'!$C$4&lt;&gt;"?",'Choix pédagogiques'!$C$5&lt;&gt;"?",Y165&lt;&gt;""),(Y165-'Choix pédagogiques'!$C$4)/('Choix pédagogiques'!$C$5-'Choix pédagogiques'!$C$4),"")</f>
        <v/>
      </c>
      <c r="AU165" s="22" t="str">
        <f t="shared" si="178"/>
        <v/>
      </c>
      <c r="AV165" s="21" t="str">
        <f t="shared" si="179"/>
        <v>Apprenant 153 ou 153'</v>
      </c>
      <c r="AW165" s="49" t="str">
        <f>IF(AND('Choix pédagogiques'!$C$4&lt;&gt;"?",'Choix pédagogiques'!$C$5&lt;&gt;"?",AB165&lt;&gt;""),(AB165-'Choix pédagogiques'!$C$4)/('Choix pédagogiques'!$C$5-'Choix pédagogiques'!$C$4),"")</f>
        <v/>
      </c>
      <c r="AX165" s="49" t="str">
        <f>IF(AND('Choix pédagogiques'!$C$4&lt;&gt;"?",'Choix pédagogiques'!$C$5&lt;&gt;"?",AC165&lt;&gt;""),(AC165-'Choix pédagogiques'!$C$4)/('Choix pédagogiques'!$C$5-'Choix pédagogiques'!$C$4),"")</f>
        <v/>
      </c>
      <c r="AY165" s="49" t="str">
        <f>IF(AND('Choix pédagogiques'!$C$4&lt;&gt;"?",'Choix pédagogiques'!$C$5&lt;&gt;"?",AD165&lt;&gt;""),(AD165-'Choix pédagogiques'!$C$4)/('Choix pédagogiques'!$C$5-'Choix pédagogiques'!$C$4),"")</f>
        <v/>
      </c>
      <c r="AZ165" s="22" t="str">
        <f t="shared" si="180"/>
        <v/>
      </c>
      <c r="BA165" s="21" t="str">
        <f t="shared" si="181"/>
        <v>Apprenant 153</v>
      </c>
      <c r="BB165" s="49" t="str">
        <f t="shared" si="153"/>
        <v/>
      </c>
      <c r="BC165" s="49" t="str">
        <f t="shared" si="154"/>
        <v/>
      </c>
      <c r="BD165" s="49" t="str">
        <f t="shared" si="155"/>
        <v/>
      </c>
      <c r="BE165" s="22" t="str">
        <f t="shared" si="182"/>
        <v/>
      </c>
      <c r="BF165" s="21" t="str">
        <f t="shared" si="183"/>
        <v>Apprenant 153 ou 153'</v>
      </c>
      <c r="BG165" s="49" t="str">
        <f t="shared" si="156"/>
        <v/>
      </c>
      <c r="BH165" s="49" t="str">
        <f t="shared" si="157"/>
        <v/>
      </c>
      <c r="BI165" s="49" t="str">
        <f t="shared" si="158"/>
        <v/>
      </c>
      <c r="BJ165" s="22" t="str">
        <f t="shared" si="184"/>
        <v/>
      </c>
      <c r="BL165" s="21"/>
      <c r="BM165" s="21" t="str">
        <f>IF(OR(COUNT(B165:D1164)=0,AND('Choix pédagogiques'!$C$3&lt;&gt;1,'Choix pédagogiques'!$C$3&lt;&gt;2)),"",IF(AND(OR('Choix pédagogiques'!$C$3=1,'Choix pédagogiques'!$C$3=2),$B165&lt;&gt;"",$C165&lt;&gt;"",$D165&lt;&gt;""),1,0))</f>
        <v/>
      </c>
      <c r="BN165" s="21" t="str">
        <f>IF(OR(COUNT(G165:I1164)=0,AND('Choix pédagogiques'!$C$3&lt;&gt;1,'Choix pédagogiques'!$C$3&lt;&gt;2)),"",IF(AND(OR('Choix pédagogiques'!$C$3=1,'Choix pédagogiques'!$C$3=2),AND($G165&lt;&gt;"",$H165&lt;&gt;"",$I165&lt;&gt;"")),1,0))</f>
        <v/>
      </c>
      <c r="BO165" s="21" t="str">
        <f>IF(OR(COUNT(B165:D1164)=0,COUNT(G165:I1164)=0,'Choix pédagogiques'!C$3&lt;&gt;3),"",IF(AND('Choix pédagogiques'!$C$3=3,$B165&lt;&gt;"",$C165&lt;&gt;"",$D165&lt;&gt;"",$G165&lt;&gt;"",$H165&lt;&gt;"",$I165&lt;&gt;""),1,0))</f>
        <v/>
      </c>
      <c r="BR165" s="21">
        <v>985</v>
      </c>
      <c r="BS165" s="21">
        <v>1967</v>
      </c>
      <c r="BT165"/>
    </row>
    <row r="166" spans="1:72" s="23" customFormat="1" ht="18" customHeight="1" x14ac:dyDescent="0.3">
      <c r="A166" s="35" t="s">
        <v>156</v>
      </c>
      <c r="B166" s="37"/>
      <c r="C166" s="37"/>
      <c r="D166" s="37"/>
      <c r="E166" s="37"/>
      <c r="F166" s="35" t="s">
        <v>1164</v>
      </c>
      <c r="G166" s="37"/>
      <c r="H166" s="37"/>
      <c r="I166" s="37"/>
      <c r="J166" s="37"/>
      <c r="K166" s="21" t="str">
        <f t="shared" si="159"/>
        <v>Apprenant 154</v>
      </c>
      <c r="L166" s="22" t="str">
        <f t="shared" si="160"/>
        <v/>
      </c>
      <c r="M166" s="22" t="str">
        <f t="shared" si="161"/>
        <v/>
      </c>
      <c r="N166" s="22" t="str">
        <f t="shared" si="162"/>
        <v/>
      </c>
      <c r="O166" s="22" t="str">
        <f t="shared" si="163"/>
        <v/>
      </c>
      <c r="P166" s="21" t="str">
        <f t="shared" si="164"/>
        <v>Apprenant 154 ou 154'</v>
      </c>
      <c r="Q166" s="22" t="str">
        <f t="shared" si="165"/>
        <v/>
      </c>
      <c r="R166" s="22" t="str">
        <f t="shared" si="166"/>
        <v/>
      </c>
      <c r="S166" s="22" t="str">
        <f t="shared" si="167"/>
        <v/>
      </c>
      <c r="T166" s="22" t="str">
        <f t="shared" si="168"/>
        <v/>
      </c>
      <c r="V166" s="21" t="str">
        <f t="shared" si="169"/>
        <v>Apprenant 154</v>
      </c>
      <c r="W166" s="22" t="str">
        <f>IF(AND(OR('Choix pédagogiques'!$C$3=1,'Choix pédagogiques'!$C$3=2),$BM166=1),B166,IF(AND('Choix pédagogiques'!$C$3=3,$BO166=1),B166,""))</f>
        <v/>
      </c>
      <c r="X166" s="22" t="str">
        <f>IF(AND(OR('Choix pédagogiques'!$C$3=1,'Choix pédagogiques'!$C$3=2),$BM166=1),C166,IF(AND('Choix pédagogiques'!$C$3=3,$BO166=1),C166,""))</f>
        <v/>
      </c>
      <c r="Y166" s="22" t="str">
        <f>IF(AND(OR('Choix pédagogiques'!$C$3=1,'Choix pédagogiques'!$C$3=2),$BM166=1),D166,IF(AND('Choix pédagogiques'!$C$3=3,$BO166=1),D166,""))</f>
        <v/>
      </c>
      <c r="Z166" s="22" t="str">
        <f t="shared" si="170"/>
        <v/>
      </c>
      <c r="AA166" s="21" t="str">
        <f t="shared" si="171"/>
        <v>Apprenant 154 ou 154'</v>
      </c>
      <c r="AB166" s="22" t="str">
        <f>IF(AND(OR('Choix pédagogiques'!$C$3=1,'Choix pédagogiques'!$C$3=2),$BN166=1),G166,IF(AND('Choix pédagogiques'!$C$3=3,$BO166=1),G166,""))</f>
        <v/>
      </c>
      <c r="AC166" s="22" t="str">
        <f>IF(AND(OR('Choix pédagogiques'!$C$3=1,'Choix pédagogiques'!$C$3=2),$BN166=1),H166,IF(AND('Choix pédagogiques'!$C$3=3,$BO166=1),H166,""))</f>
        <v/>
      </c>
      <c r="AD166" s="22" t="str">
        <f>IF(AND(OR('Choix pédagogiques'!$C$3=1,'Choix pédagogiques'!$C$3=2),$BN166=1),I166,IF(AND('Choix pédagogiques'!$C$3=3,$BO166=1),I166,""))</f>
        <v/>
      </c>
      <c r="AE166" s="22" t="str">
        <f t="shared" si="172"/>
        <v/>
      </c>
      <c r="AF166" s="21" t="str">
        <f t="shared" si="173"/>
        <v>Apprenant 154</v>
      </c>
      <c r="AG166" s="22" t="str">
        <f t="shared" si="147"/>
        <v/>
      </c>
      <c r="AH166" s="22" t="str">
        <f t="shared" si="148"/>
        <v/>
      </c>
      <c r="AI166" s="22" t="str">
        <f t="shared" si="149"/>
        <v/>
      </c>
      <c r="AJ166" s="22" t="str">
        <f t="shared" si="174"/>
        <v/>
      </c>
      <c r="AK166" s="21" t="str">
        <f t="shared" si="175"/>
        <v>Apprenant 154 ou 154'</v>
      </c>
      <c r="AL166" s="22" t="str">
        <f t="shared" si="150"/>
        <v/>
      </c>
      <c r="AM166" s="22" t="str">
        <f t="shared" si="151"/>
        <v/>
      </c>
      <c r="AN166" s="22" t="str">
        <f t="shared" si="152"/>
        <v/>
      </c>
      <c r="AO166" s="22" t="str">
        <f t="shared" si="176"/>
        <v/>
      </c>
      <c r="AQ166" s="21" t="str">
        <f t="shared" si="177"/>
        <v>Apprenant 154</v>
      </c>
      <c r="AR166" s="49" t="str">
        <f>IF(AND('Choix pédagogiques'!$C$4&lt;&gt;"?",'Choix pédagogiques'!$C$5&lt;&gt;"?",W166&lt;&gt;""),(W166-'Choix pédagogiques'!$C$4)/('Choix pédagogiques'!$C$5-'Choix pédagogiques'!$C$4),"")</f>
        <v/>
      </c>
      <c r="AS166" s="49" t="str">
        <f>IF(AND('Choix pédagogiques'!$C$4&lt;&gt;"?",'Choix pédagogiques'!$C$5&lt;&gt;"?",X166&lt;&gt;""),(X166-'Choix pédagogiques'!$C$4)/('Choix pédagogiques'!$C$5-'Choix pédagogiques'!$C$4),"")</f>
        <v/>
      </c>
      <c r="AT166" s="49" t="str">
        <f>IF(AND('Choix pédagogiques'!$C$4&lt;&gt;"?",'Choix pédagogiques'!$C$5&lt;&gt;"?",Y166&lt;&gt;""),(Y166-'Choix pédagogiques'!$C$4)/('Choix pédagogiques'!$C$5-'Choix pédagogiques'!$C$4),"")</f>
        <v/>
      </c>
      <c r="AU166" s="22" t="str">
        <f t="shared" si="178"/>
        <v/>
      </c>
      <c r="AV166" s="21" t="str">
        <f t="shared" si="179"/>
        <v>Apprenant 154 ou 154'</v>
      </c>
      <c r="AW166" s="49" t="str">
        <f>IF(AND('Choix pédagogiques'!$C$4&lt;&gt;"?",'Choix pédagogiques'!$C$5&lt;&gt;"?",AB166&lt;&gt;""),(AB166-'Choix pédagogiques'!$C$4)/('Choix pédagogiques'!$C$5-'Choix pédagogiques'!$C$4),"")</f>
        <v/>
      </c>
      <c r="AX166" s="49" t="str">
        <f>IF(AND('Choix pédagogiques'!$C$4&lt;&gt;"?",'Choix pédagogiques'!$C$5&lt;&gt;"?",AC166&lt;&gt;""),(AC166-'Choix pédagogiques'!$C$4)/('Choix pédagogiques'!$C$5-'Choix pédagogiques'!$C$4),"")</f>
        <v/>
      </c>
      <c r="AY166" s="49" t="str">
        <f>IF(AND('Choix pédagogiques'!$C$4&lt;&gt;"?",'Choix pédagogiques'!$C$5&lt;&gt;"?",AD166&lt;&gt;""),(AD166-'Choix pédagogiques'!$C$4)/('Choix pédagogiques'!$C$5-'Choix pédagogiques'!$C$4),"")</f>
        <v/>
      </c>
      <c r="AZ166" s="22" t="str">
        <f t="shared" si="180"/>
        <v/>
      </c>
      <c r="BA166" s="21" t="str">
        <f t="shared" si="181"/>
        <v>Apprenant 154</v>
      </c>
      <c r="BB166" s="49" t="str">
        <f t="shared" si="153"/>
        <v/>
      </c>
      <c r="BC166" s="49" t="str">
        <f t="shared" si="154"/>
        <v/>
      </c>
      <c r="BD166" s="49" t="str">
        <f t="shared" si="155"/>
        <v/>
      </c>
      <c r="BE166" s="22" t="str">
        <f t="shared" si="182"/>
        <v/>
      </c>
      <c r="BF166" s="21" t="str">
        <f t="shared" si="183"/>
        <v>Apprenant 154 ou 154'</v>
      </c>
      <c r="BG166" s="49" t="str">
        <f t="shared" si="156"/>
        <v/>
      </c>
      <c r="BH166" s="49" t="str">
        <f t="shared" si="157"/>
        <v/>
      </c>
      <c r="BI166" s="49" t="str">
        <f t="shared" si="158"/>
        <v/>
      </c>
      <c r="BJ166" s="22" t="str">
        <f t="shared" si="184"/>
        <v/>
      </c>
      <c r="BL166" s="21"/>
      <c r="BM166" s="21" t="str">
        <f>IF(OR(COUNT(B166:D1165)=0,AND('Choix pédagogiques'!$C$3&lt;&gt;1,'Choix pédagogiques'!$C$3&lt;&gt;2)),"",IF(AND(OR('Choix pédagogiques'!$C$3=1,'Choix pédagogiques'!$C$3=2),$B166&lt;&gt;"",$C166&lt;&gt;"",$D166&lt;&gt;""),1,0))</f>
        <v/>
      </c>
      <c r="BN166" s="21" t="str">
        <f>IF(OR(COUNT(G166:I1165)=0,AND('Choix pédagogiques'!$C$3&lt;&gt;1,'Choix pédagogiques'!$C$3&lt;&gt;2)),"",IF(AND(OR('Choix pédagogiques'!$C$3=1,'Choix pédagogiques'!$C$3=2),AND($G166&lt;&gt;"",$H166&lt;&gt;"",$I166&lt;&gt;"")),1,0))</f>
        <v/>
      </c>
      <c r="BO166" s="21" t="str">
        <f>IF(OR(COUNT(B166:D1165)=0,COUNT(G166:I1165)=0,'Choix pédagogiques'!C$3&lt;&gt;3),"",IF(AND('Choix pédagogiques'!$C$3=3,$B166&lt;&gt;"",$C166&lt;&gt;"",$D166&lt;&gt;"",$G166&lt;&gt;"",$H166&lt;&gt;"",$I166&lt;&gt;""),1,0))</f>
        <v/>
      </c>
      <c r="BR166" s="21">
        <v>261</v>
      </c>
      <c r="BS166" s="21">
        <v>1419</v>
      </c>
      <c r="BT166"/>
    </row>
    <row r="167" spans="1:72" s="23" customFormat="1" ht="18" customHeight="1" x14ac:dyDescent="0.3">
      <c r="A167" s="35" t="s">
        <v>157</v>
      </c>
      <c r="B167" s="37"/>
      <c r="C167" s="37"/>
      <c r="D167" s="37"/>
      <c r="E167" s="37"/>
      <c r="F167" s="35" t="s">
        <v>1165</v>
      </c>
      <c r="G167" s="37"/>
      <c r="H167" s="37"/>
      <c r="I167" s="37"/>
      <c r="J167" s="37"/>
      <c r="K167" s="21" t="str">
        <f t="shared" si="159"/>
        <v>Apprenant 155</v>
      </c>
      <c r="L167" s="22" t="str">
        <f t="shared" si="160"/>
        <v/>
      </c>
      <c r="M167" s="22" t="str">
        <f t="shared" si="161"/>
        <v/>
      </c>
      <c r="N167" s="22" t="str">
        <f t="shared" si="162"/>
        <v/>
      </c>
      <c r="O167" s="22" t="str">
        <f t="shared" si="163"/>
        <v/>
      </c>
      <c r="P167" s="21" t="str">
        <f t="shared" si="164"/>
        <v>Apprenant 155 ou 155'</v>
      </c>
      <c r="Q167" s="22" t="str">
        <f t="shared" si="165"/>
        <v/>
      </c>
      <c r="R167" s="22" t="str">
        <f t="shared" si="166"/>
        <v/>
      </c>
      <c r="S167" s="22" t="str">
        <f t="shared" si="167"/>
        <v/>
      </c>
      <c r="T167" s="22" t="str">
        <f t="shared" si="168"/>
        <v/>
      </c>
      <c r="V167" s="21" t="str">
        <f t="shared" si="169"/>
        <v>Apprenant 155</v>
      </c>
      <c r="W167" s="22" t="str">
        <f>IF(AND(OR('Choix pédagogiques'!$C$3=1,'Choix pédagogiques'!$C$3=2),$BM167=1),B167,IF(AND('Choix pédagogiques'!$C$3=3,$BO167=1),B167,""))</f>
        <v/>
      </c>
      <c r="X167" s="22" t="str">
        <f>IF(AND(OR('Choix pédagogiques'!$C$3=1,'Choix pédagogiques'!$C$3=2),$BM167=1),C167,IF(AND('Choix pédagogiques'!$C$3=3,$BO167=1),C167,""))</f>
        <v/>
      </c>
      <c r="Y167" s="22" t="str">
        <f>IF(AND(OR('Choix pédagogiques'!$C$3=1,'Choix pédagogiques'!$C$3=2),$BM167=1),D167,IF(AND('Choix pédagogiques'!$C$3=3,$BO167=1),D167,""))</f>
        <v/>
      </c>
      <c r="Z167" s="22" t="str">
        <f t="shared" si="170"/>
        <v/>
      </c>
      <c r="AA167" s="21" t="str">
        <f t="shared" si="171"/>
        <v>Apprenant 155 ou 155'</v>
      </c>
      <c r="AB167" s="22" t="str">
        <f>IF(AND(OR('Choix pédagogiques'!$C$3=1,'Choix pédagogiques'!$C$3=2),$BN167=1),G167,IF(AND('Choix pédagogiques'!$C$3=3,$BO167=1),G167,""))</f>
        <v/>
      </c>
      <c r="AC167" s="22" t="str">
        <f>IF(AND(OR('Choix pédagogiques'!$C$3=1,'Choix pédagogiques'!$C$3=2),$BN167=1),H167,IF(AND('Choix pédagogiques'!$C$3=3,$BO167=1),H167,""))</f>
        <v/>
      </c>
      <c r="AD167" s="22" t="str">
        <f>IF(AND(OR('Choix pédagogiques'!$C$3=1,'Choix pédagogiques'!$C$3=2),$BN167=1),I167,IF(AND('Choix pédagogiques'!$C$3=3,$BO167=1),I167,""))</f>
        <v/>
      </c>
      <c r="AE167" s="22" t="str">
        <f t="shared" si="172"/>
        <v/>
      </c>
      <c r="AF167" s="21" t="str">
        <f t="shared" si="173"/>
        <v>Apprenant 155</v>
      </c>
      <c r="AG167" s="22" t="str">
        <f t="shared" si="147"/>
        <v/>
      </c>
      <c r="AH167" s="22" t="str">
        <f t="shared" si="148"/>
        <v/>
      </c>
      <c r="AI167" s="22" t="str">
        <f t="shared" si="149"/>
        <v/>
      </c>
      <c r="AJ167" s="22" t="str">
        <f t="shared" si="174"/>
        <v/>
      </c>
      <c r="AK167" s="21" t="str">
        <f t="shared" si="175"/>
        <v>Apprenant 155 ou 155'</v>
      </c>
      <c r="AL167" s="22" t="str">
        <f t="shared" si="150"/>
        <v/>
      </c>
      <c r="AM167" s="22" t="str">
        <f t="shared" si="151"/>
        <v/>
      </c>
      <c r="AN167" s="22" t="str">
        <f t="shared" si="152"/>
        <v/>
      </c>
      <c r="AO167" s="22" t="str">
        <f t="shared" si="176"/>
        <v/>
      </c>
      <c r="AQ167" s="21" t="str">
        <f t="shared" si="177"/>
        <v>Apprenant 155</v>
      </c>
      <c r="AR167" s="49" t="str">
        <f>IF(AND('Choix pédagogiques'!$C$4&lt;&gt;"?",'Choix pédagogiques'!$C$5&lt;&gt;"?",W167&lt;&gt;""),(W167-'Choix pédagogiques'!$C$4)/('Choix pédagogiques'!$C$5-'Choix pédagogiques'!$C$4),"")</f>
        <v/>
      </c>
      <c r="AS167" s="49" t="str">
        <f>IF(AND('Choix pédagogiques'!$C$4&lt;&gt;"?",'Choix pédagogiques'!$C$5&lt;&gt;"?",X167&lt;&gt;""),(X167-'Choix pédagogiques'!$C$4)/('Choix pédagogiques'!$C$5-'Choix pédagogiques'!$C$4),"")</f>
        <v/>
      </c>
      <c r="AT167" s="49" t="str">
        <f>IF(AND('Choix pédagogiques'!$C$4&lt;&gt;"?",'Choix pédagogiques'!$C$5&lt;&gt;"?",Y167&lt;&gt;""),(Y167-'Choix pédagogiques'!$C$4)/('Choix pédagogiques'!$C$5-'Choix pédagogiques'!$C$4),"")</f>
        <v/>
      </c>
      <c r="AU167" s="22" t="str">
        <f t="shared" si="178"/>
        <v/>
      </c>
      <c r="AV167" s="21" t="str">
        <f t="shared" si="179"/>
        <v>Apprenant 155 ou 155'</v>
      </c>
      <c r="AW167" s="49" t="str">
        <f>IF(AND('Choix pédagogiques'!$C$4&lt;&gt;"?",'Choix pédagogiques'!$C$5&lt;&gt;"?",AB167&lt;&gt;""),(AB167-'Choix pédagogiques'!$C$4)/('Choix pédagogiques'!$C$5-'Choix pédagogiques'!$C$4),"")</f>
        <v/>
      </c>
      <c r="AX167" s="49" t="str">
        <f>IF(AND('Choix pédagogiques'!$C$4&lt;&gt;"?",'Choix pédagogiques'!$C$5&lt;&gt;"?",AC167&lt;&gt;""),(AC167-'Choix pédagogiques'!$C$4)/('Choix pédagogiques'!$C$5-'Choix pédagogiques'!$C$4),"")</f>
        <v/>
      </c>
      <c r="AY167" s="49" t="str">
        <f>IF(AND('Choix pédagogiques'!$C$4&lt;&gt;"?",'Choix pédagogiques'!$C$5&lt;&gt;"?",AD167&lt;&gt;""),(AD167-'Choix pédagogiques'!$C$4)/('Choix pédagogiques'!$C$5-'Choix pédagogiques'!$C$4),"")</f>
        <v/>
      </c>
      <c r="AZ167" s="22" t="str">
        <f t="shared" si="180"/>
        <v/>
      </c>
      <c r="BA167" s="21" t="str">
        <f t="shared" si="181"/>
        <v>Apprenant 155</v>
      </c>
      <c r="BB167" s="49" t="str">
        <f t="shared" si="153"/>
        <v/>
      </c>
      <c r="BC167" s="49" t="str">
        <f t="shared" si="154"/>
        <v/>
      </c>
      <c r="BD167" s="49" t="str">
        <f t="shared" si="155"/>
        <v/>
      </c>
      <c r="BE167" s="22" t="str">
        <f t="shared" si="182"/>
        <v/>
      </c>
      <c r="BF167" s="21" t="str">
        <f t="shared" si="183"/>
        <v>Apprenant 155 ou 155'</v>
      </c>
      <c r="BG167" s="49" t="str">
        <f t="shared" si="156"/>
        <v/>
      </c>
      <c r="BH167" s="49" t="str">
        <f t="shared" si="157"/>
        <v/>
      </c>
      <c r="BI167" s="49" t="str">
        <f t="shared" si="158"/>
        <v/>
      </c>
      <c r="BJ167" s="22" t="str">
        <f t="shared" si="184"/>
        <v/>
      </c>
      <c r="BL167" s="21"/>
      <c r="BM167" s="21" t="str">
        <f>IF(OR(COUNT(B167:D1166)=0,AND('Choix pédagogiques'!$C$3&lt;&gt;1,'Choix pédagogiques'!$C$3&lt;&gt;2)),"",IF(AND(OR('Choix pédagogiques'!$C$3=1,'Choix pédagogiques'!$C$3=2),$B167&lt;&gt;"",$C167&lt;&gt;"",$D167&lt;&gt;""),1,0))</f>
        <v/>
      </c>
      <c r="BN167" s="21" t="str">
        <f>IF(OR(COUNT(G167:I1166)=0,AND('Choix pédagogiques'!$C$3&lt;&gt;1,'Choix pédagogiques'!$C$3&lt;&gt;2)),"",IF(AND(OR('Choix pédagogiques'!$C$3=1,'Choix pédagogiques'!$C$3=2),AND($G167&lt;&gt;"",$H167&lt;&gt;"",$I167&lt;&gt;"")),1,0))</f>
        <v/>
      </c>
      <c r="BO167" s="21" t="str">
        <f>IF(OR(COUNT(B167:D1166)=0,COUNT(G167:I1166)=0,'Choix pédagogiques'!C$3&lt;&gt;3),"",IF(AND('Choix pédagogiques'!$C$3=3,$B167&lt;&gt;"",$C167&lt;&gt;"",$D167&lt;&gt;"",$G167&lt;&gt;"",$H167&lt;&gt;"",$I167&lt;&gt;""),1,0))</f>
        <v/>
      </c>
      <c r="BR167" s="21">
        <v>564</v>
      </c>
      <c r="BS167" s="21">
        <v>1476</v>
      </c>
      <c r="BT167"/>
    </row>
    <row r="168" spans="1:72" s="23" customFormat="1" ht="18" customHeight="1" x14ac:dyDescent="0.3">
      <c r="A168" s="35" t="s">
        <v>158</v>
      </c>
      <c r="B168" s="37"/>
      <c r="C168" s="37"/>
      <c r="D168" s="37"/>
      <c r="E168" s="37"/>
      <c r="F168" s="35" t="s">
        <v>1166</v>
      </c>
      <c r="G168" s="37"/>
      <c r="H168" s="37"/>
      <c r="I168" s="37"/>
      <c r="J168" s="37"/>
      <c r="K168" s="21" t="str">
        <f t="shared" si="159"/>
        <v>Apprenant 156</v>
      </c>
      <c r="L168" s="22" t="str">
        <f t="shared" si="160"/>
        <v/>
      </c>
      <c r="M168" s="22" t="str">
        <f t="shared" si="161"/>
        <v/>
      </c>
      <c r="N168" s="22" t="str">
        <f t="shared" si="162"/>
        <v/>
      </c>
      <c r="O168" s="22" t="str">
        <f t="shared" si="163"/>
        <v/>
      </c>
      <c r="P168" s="21" t="str">
        <f t="shared" si="164"/>
        <v>Apprenant 156 ou 156'</v>
      </c>
      <c r="Q168" s="22" t="str">
        <f t="shared" si="165"/>
        <v/>
      </c>
      <c r="R168" s="22" t="str">
        <f t="shared" si="166"/>
        <v/>
      </c>
      <c r="S168" s="22" t="str">
        <f t="shared" si="167"/>
        <v/>
      </c>
      <c r="T168" s="22" t="str">
        <f t="shared" si="168"/>
        <v/>
      </c>
      <c r="V168" s="21" t="str">
        <f t="shared" si="169"/>
        <v>Apprenant 156</v>
      </c>
      <c r="W168" s="22" t="str">
        <f>IF(AND(OR('Choix pédagogiques'!$C$3=1,'Choix pédagogiques'!$C$3=2),$BM168=1),B168,IF(AND('Choix pédagogiques'!$C$3=3,$BO168=1),B168,""))</f>
        <v/>
      </c>
      <c r="X168" s="22" t="str">
        <f>IF(AND(OR('Choix pédagogiques'!$C$3=1,'Choix pédagogiques'!$C$3=2),$BM168=1),C168,IF(AND('Choix pédagogiques'!$C$3=3,$BO168=1),C168,""))</f>
        <v/>
      </c>
      <c r="Y168" s="22" t="str">
        <f>IF(AND(OR('Choix pédagogiques'!$C$3=1,'Choix pédagogiques'!$C$3=2),$BM168=1),D168,IF(AND('Choix pédagogiques'!$C$3=3,$BO168=1),D168,""))</f>
        <v/>
      </c>
      <c r="Z168" s="22" t="str">
        <f t="shared" si="170"/>
        <v/>
      </c>
      <c r="AA168" s="21" t="str">
        <f t="shared" si="171"/>
        <v>Apprenant 156 ou 156'</v>
      </c>
      <c r="AB168" s="22" t="str">
        <f>IF(AND(OR('Choix pédagogiques'!$C$3=1,'Choix pédagogiques'!$C$3=2),$BN168=1),G168,IF(AND('Choix pédagogiques'!$C$3=3,$BO168=1),G168,""))</f>
        <v/>
      </c>
      <c r="AC168" s="22" t="str">
        <f>IF(AND(OR('Choix pédagogiques'!$C$3=1,'Choix pédagogiques'!$C$3=2),$BN168=1),H168,IF(AND('Choix pédagogiques'!$C$3=3,$BO168=1),H168,""))</f>
        <v/>
      </c>
      <c r="AD168" s="22" t="str">
        <f>IF(AND(OR('Choix pédagogiques'!$C$3=1,'Choix pédagogiques'!$C$3=2),$BN168=1),I168,IF(AND('Choix pédagogiques'!$C$3=3,$BO168=1),I168,""))</f>
        <v/>
      </c>
      <c r="AE168" s="22" t="str">
        <f t="shared" si="172"/>
        <v/>
      </c>
      <c r="AF168" s="21" t="str">
        <f t="shared" si="173"/>
        <v>Apprenant 156</v>
      </c>
      <c r="AG168" s="22" t="str">
        <f t="shared" si="147"/>
        <v/>
      </c>
      <c r="AH168" s="22" t="str">
        <f t="shared" si="148"/>
        <v/>
      </c>
      <c r="AI168" s="22" t="str">
        <f t="shared" si="149"/>
        <v/>
      </c>
      <c r="AJ168" s="22" t="str">
        <f t="shared" si="174"/>
        <v/>
      </c>
      <c r="AK168" s="21" t="str">
        <f t="shared" si="175"/>
        <v>Apprenant 156 ou 156'</v>
      </c>
      <c r="AL168" s="22" t="str">
        <f t="shared" si="150"/>
        <v/>
      </c>
      <c r="AM168" s="22" t="str">
        <f t="shared" si="151"/>
        <v/>
      </c>
      <c r="AN168" s="22" t="str">
        <f t="shared" si="152"/>
        <v/>
      </c>
      <c r="AO168" s="22" t="str">
        <f t="shared" si="176"/>
        <v/>
      </c>
      <c r="AQ168" s="21" t="str">
        <f t="shared" si="177"/>
        <v>Apprenant 156</v>
      </c>
      <c r="AR168" s="49" t="str">
        <f>IF(AND('Choix pédagogiques'!$C$4&lt;&gt;"?",'Choix pédagogiques'!$C$5&lt;&gt;"?",W168&lt;&gt;""),(W168-'Choix pédagogiques'!$C$4)/('Choix pédagogiques'!$C$5-'Choix pédagogiques'!$C$4),"")</f>
        <v/>
      </c>
      <c r="AS168" s="49" t="str">
        <f>IF(AND('Choix pédagogiques'!$C$4&lt;&gt;"?",'Choix pédagogiques'!$C$5&lt;&gt;"?",X168&lt;&gt;""),(X168-'Choix pédagogiques'!$C$4)/('Choix pédagogiques'!$C$5-'Choix pédagogiques'!$C$4),"")</f>
        <v/>
      </c>
      <c r="AT168" s="49" t="str">
        <f>IF(AND('Choix pédagogiques'!$C$4&lt;&gt;"?",'Choix pédagogiques'!$C$5&lt;&gt;"?",Y168&lt;&gt;""),(Y168-'Choix pédagogiques'!$C$4)/('Choix pédagogiques'!$C$5-'Choix pédagogiques'!$C$4),"")</f>
        <v/>
      </c>
      <c r="AU168" s="22" t="str">
        <f t="shared" si="178"/>
        <v/>
      </c>
      <c r="AV168" s="21" t="str">
        <f t="shared" si="179"/>
        <v>Apprenant 156 ou 156'</v>
      </c>
      <c r="AW168" s="49" t="str">
        <f>IF(AND('Choix pédagogiques'!$C$4&lt;&gt;"?",'Choix pédagogiques'!$C$5&lt;&gt;"?",AB168&lt;&gt;""),(AB168-'Choix pédagogiques'!$C$4)/('Choix pédagogiques'!$C$5-'Choix pédagogiques'!$C$4),"")</f>
        <v/>
      </c>
      <c r="AX168" s="49" t="str">
        <f>IF(AND('Choix pédagogiques'!$C$4&lt;&gt;"?",'Choix pédagogiques'!$C$5&lt;&gt;"?",AC168&lt;&gt;""),(AC168-'Choix pédagogiques'!$C$4)/('Choix pédagogiques'!$C$5-'Choix pédagogiques'!$C$4),"")</f>
        <v/>
      </c>
      <c r="AY168" s="49" t="str">
        <f>IF(AND('Choix pédagogiques'!$C$4&lt;&gt;"?",'Choix pédagogiques'!$C$5&lt;&gt;"?",AD168&lt;&gt;""),(AD168-'Choix pédagogiques'!$C$4)/('Choix pédagogiques'!$C$5-'Choix pédagogiques'!$C$4),"")</f>
        <v/>
      </c>
      <c r="AZ168" s="22" t="str">
        <f t="shared" si="180"/>
        <v/>
      </c>
      <c r="BA168" s="21" t="str">
        <f t="shared" si="181"/>
        <v>Apprenant 156</v>
      </c>
      <c r="BB168" s="49" t="str">
        <f t="shared" si="153"/>
        <v/>
      </c>
      <c r="BC168" s="49" t="str">
        <f t="shared" si="154"/>
        <v/>
      </c>
      <c r="BD168" s="49" t="str">
        <f t="shared" si="155"/>
        <v/>
      </c>
      <c r="BE168" s="22" t="str">
        <f t="shared" si="182"/>
        <v/>
      </c>
      <c r="BF168" s="21" t="str">
        <f t="shared" si="183"/>
        <v>Apprenant 156 ou 156'</v>
      </c>
      <c r="BG168" s="49" t="str">
        <f t="shared" si="156"/>
        <v/>
      </c>
      <c r="BH168" s="49" t="str">
        <f t="shared" si="157"/>
        <v/>
      </c>
      <c r="BI168" s="49" t="str">
        <f t="shared" si="158"/>
        <v/>
      </c>
      <c r="BJ168" s="22" t="str">
        <f t="shared" si="184"/>
        <v/>
      </c>
      <c r="BL168" s="21"/>
      <c r="BM168" s="21" t="str">
        <f>IF(OR(COUNT(B168:D1167)=0,AND('Choix pédagogiques'!$C$3&lt;&gt;1,'Choix pédagogiques'!$C$3&lt;&gt;2)),"",IF(AND(OR('Choix pédagogiques'!$C$3=1,'Choix pédagogiques'!$C$3=2),$B168&lt;&gt;"",$C168&lt;&gt;"",$D168&lt;&gt;""),1,0))</f>
        <v/>
      </c>
      <c r="BN168" s="21" t="str">
        <f>IF(OR(COUNT(G168:I1167)=0,AND('Choix pédagogiques'!$C$3&lt;&gt;1,'Choix pédagogiques'!$C$3&lt;&gt;2)),"",IF(AND(OR('Choix pédagogiques'!$C$3=1,'Choix pédagogiques'!$C$3=2),AND($G168&lt;&gt;"",$H168&lt;&gt;"",$I168&lt;&gt;"")),1,0))</f>
        <v/>
      </c>
      <c r="BO168" s="21" t="str">
        <f>IF(OR(COUNT(B168:D1167)=0,COUNT(G168:I1167)=0,'Choix pédagogiques'!C$3&lt;&gt;3),"",IF(AND('Choix pédagogiques'!$C$3=3,$B168&lt;&gt;"",$C168&lt;&gt;"",$D168&lt;&gt;"",$G168&lt;&gt;"",$H168&lt;&gt;"",$I168&lt;&gt;""),1,0))</f>
        <v/>
      </c>
      <c r="BR168" s="21">
        <v>711</v>
      </c>
      <c r="BS168" s="21">
        <v>1808</v>
      </c>
      <c r="BT168"/>
    </row>
    <row r="169" spans="1:72" s="23" customFormat="1" ht="18" customHeight="1" x14ac:dyDescent="0.3">
      <c r="A169" s="35" t="s">
        <v>159</v>
      </c>
      <c r="B169" s="37"/>
      <c r="C169" s="37"/>
      <c r="D169" s="37"/>
      <c r="E169" s="37"/>
      <c r="F169" s="35" t="s">
        <v>1167</v>
      </c>
      <c r="G169" s="37"/>
      <c r="H169" s="37"/>
      <c r="I169" s="37"/>
      <c r="J169" s="37"/>
      <c r="K169" s="21" t="str">
        <f t="shared" si="159"/>
        <v>Apprenant 157</v>
      </c>
      <c r="L169" s="22" t="str">
        <f t="shared" si="160"/>
        <v/>
      </c>
      <c r="M169" s="22" t="str">
        <f t="shared" si="161"/>
        <v/>
      </c>
      <c r="N169" s="22" t="str">
        <f t="shared" si="162"/>
        <v/>
      </c>
      <c r="O169" s="22" t="str">
        <f t="shared" si="163"/>
        <v/>
      </c>
      <c r="P169" s="21" t="str">
        <f t="shared" si="164"/>
        <v>Apprenant 157 ou 157'</v>
      </c>
      <c r="Q169" s="22" t="str">
        <f t="shared" si="165"/>
        <v/>
      </c>
      <c r="R169" s="22" t="str">
        <f t="shared" si="166"/>
        <v/>
      </c>
      <c r="S169" s="22" t="str">
        <f t="shared" si="167"/>
        <v/>
      </c>
      <c r="T169" s="22" t="str">
        <f t="shared" si="168"/>
        <v/>
      </c>
      <c r="V169" s="21" t="str">
        <f t="shared" si="169"/>
        <v>Apprenant 157</v>
      </c>
      <c r="W169" s="22" t="str">
        <f>IF(AND(OR('Choix pédagogiques'!$C$3=1,'Choix pédagogiques'!$C$3=2),$BM169=1),B169,IF(AND('Choix pédagogiques'!$C$3=3,$BO169=1),B169,""))</f>
        <v/>
      </c>
      <c r="X169" s="22" t="str">
        <f>IF(AND(OR('Choix pédagogiques'!$C$3=1,'Choix pédagogiques'!$C$3=2),$BM169=1),C169,IF(AND('Choix pédagogiques'!$C$3=3,$BO169=1),C169,""))</f>
        <v/>
      </c>
      <c r="Y169" s="22" t="str">
        <f>IF(AND(OR('Choix pédagogiques'!$C$3=1,'Choix pédagogiques'!$C$3=2),$BM169=1),D169,IF(AND('Choix pédagogiques'!$C$3=3,$BO169=1),D169,""))</f>
        <v/>
      </c>
      <c r="Z169" s="22" t="str">
        <f t="shared" si="170"/>
        <v/>
      </c>
      <c r="AA169" s="21" t="str">
        <f t="shared" si="171"/>
        <v>Apprenant 157 ou 157'</v>
      </c>
      <c r="AB169" s="22" t="str">
        <f>IF(AND(OR('Choix pédagogiques'!$C$3=1,'Choix pédagogiques'!$C$3=2),$BN169=1),G169,IF(AND('Choix pédagogiques'!$C$3=3,$BO169=1),G169,""))</f>
        <v/>
      </c>
      <c r="AC169" s="22" t="str">
        <f>IF(AND(OR('Choix pédagogiques'!$C$3=1,'Choix pédagogiques'!$C$3=2),$BN169=1),H169,IF(AND('Choix pédagogiques'!$C$3=3,$BO169=1),H169,""))</f>
        <v/>
      </c>
      <c r="AD169" s="22" t="str">
        <f>IF(AND(OR('Choix pédagogiques'!$C$3=1,'Choix pédagogiques'!$C$3=2),$BN169=1),I169,IF(AND('Choix pédagogiques'!$C$3=3,$BO169=1),I169,""))</f>
        <v/>
      </c>
      <c r="AE169" s="22" t="str">
        <f t="shared" si="172"/>
        <v/>
      </c>
      <c r="AF169" s="21" t="str">
        <f t="shared" si="173"/>
        <v>Apprenant 157</v>
      </c>
      <c r="AG169" s="22" t="str">
        <f t="shared" si="147"/>
        <v/>
      </c>
      <c r="AH169" s="22" t="str">
        <f t="shared" si="148"/>
        <v/>
      </c>
      <c r="AI169" s="22" t="str">
        <f t="shared" si="149"/>
        <v/>
      </c>
      <c r="AJ169" s="22" t="str">
        <f t="shared" si="174"/>
        <v/>
      </c>
      <c r="AK169" s="21" t="str">
        <f t="shared" si="175"/>
        <v>Apprenant 157 ou 157'</v>
      </c>
      <c r="AL169" s="22" t="str">
        <f t="shared" si="150"/>
        <v/>
      </c>
      <c r="AM169" s="22" t="str">
        <f t="shared" si="151"/>
        <v/>
      </c>
      <c r="AN169" s="22" t="str">
        <f t="shared" si="152"/>
        <v/>
      </c>
      <c r="AO169" s="22" t="str">
        <f t="shared" si="176"/>
        <v/>
      </c>
      <c r="AQ169" s="21" t="str">
        <f t="shared" si="177"/>
        <v>Apprenant 157</v>
      </c>
      <c r="AR169" s="49" t="str">
        <f>IF(AND('Choix pédagogiques'!$C$4&lt;&gt;"?",'Choix pédagogiques'!$C$5&lt;&gt;"?",W169&lt;&gt;""),(W169-'Choix pédagogiques'!$C$4)/('Choix pédagogiques'!$C$5-'Choix pédagogiques'!$C$4),"")</f>
        <v/>
      </c>
      <c r="AS169" s="49" t="str">
        <f>IF(AND('Choix pédagogiques'!$C$4&lt;&gt;"?",'Choix pédagogiques'!$C$5&lt;&gt;"?",X169&lt;&gt;""),(X169-'Choix pédagogiques'!$C$4)/('Choix pédagogiques'!$C$5-'Choix pédagogiques'!$C$4),"")</f>
        <v/>
      </c>
      <c r="AT169" s="49" t="str">
        <f>IF(AND('Choix pédagogiques'!$C$4&lt;&gt;"?",'Choix pédagogiques'!$C$5&lt;&gt;"?",Y169&lt;&gt;""),(Y169-'Choix pédagogiques'!$C$4)/('Choix pédagogiques'!$C$5-'Choix pédagogiques'!$C$4),"")</f>
        <v/>
      </c>
      <c r="AU169" s="22" t="str">
        <f t="shared" si="178"/>
        <v/>
      </c>
      <c r="AV169" s="21" t="str">
        <f t="shared" si="179"/>
        <v>Apprenant 157 ou 157'</v>
      </c>
      <c r="AW169" s="49" t="str">
        <f>IF(AND('Choix pédagogiques'!$C$4&lt;&gt;"?",'Choix pédagogiques'!$C$5&lt;&gt;"?",AB169&lt;&gt;""),(AB169-'Choix pédagogiques'!$C$4)/('Choix pédagogiques'!$C$5-'Choix pédagogiques'!$C$4),"")</f>
        <v/>
      </c>
      <c r="AX169" s="49" t="str">
        <f>IF(AND('Choix pédagogiques'!$C$4&lt;&gt;"?",'Choix pédagogiques'!$C$5&lt;&gt;"?",AC169&lt;&gt;""),(AC169-'Choix pédagogiques'!$C$4)/('Choix pédagogiques'!$C$5-'Choix pédagogiques'!$C$4),"")</f>
        <v/>
      </c>
      <c r="AY169" s="49" t="str">
        <f>IF(AND('Choix pédagogiques'!$C$4&lt;&gt;"?",'Choix pédagogiques'!$C$5&lt;&gt;"?",AD169&lt;&gt;""),(AD169-'Choix pédagogiques'!$C$4)/('Choix pédagogiques'!$C$5-'Choix pédagogiques'!$C$4),"")</f>
        <v/>
      </c>
      <c r="AZ169" s="22" t="str">
        <f t="shared" si="180"/>
        <v/>
      </c>
      <c r="BA169" s="21" t="str">
        <f t="shared" si="181"/>
        <v>Apprenant 157</v>
      </c>
      <c r="BB169" s="49" t="str">
        <f t="shared" si="153"/>
        <v/>
      </c>
      <c r="BC169" s="49" t="str">
        <f t="shared" si="154"/>
        <v/>
      </c>
      <c r="BD169" s="49" t="str">
        <f t="shared" si="155"/>
        <v/>
      </c>
      <c r="BE169" s="22" t="str">
        <f t="shared" si="182"/>
        <v/>
      </c>
      <c r="BF169" s="21" t="str">
        <f t="shared" si="183"/>
        <v>Apprenant 157 ou 157'</v>
      </c>
      <c r="BG169" s="49" t="str">
        <f t="shared" si="156"/>
        <v/>
      </c>
      <c r="BH169" s="49" t="str">
        <f t="shared" si="157"/>
        <v/>
      </c>
      <c r="BI169" s="49" t="str">
        <f t="shared" si="158"/>
        <v/>
      </c>
      <c r="BJ169" s="22" t="str">
        <f t="shared" si="184"/>
        <v/>
      </c>
      <c r="BL169" s="21"/>
      <c r="BM169" s="21" t="str">
        <f>IF(OR(COUNT(B169:D1168)=0,AND('Choix pédagogiques'!$C$3&lt;&gt;1,'Choix pédagogiques'!$C$3&lt;&gt;2)),"",IF(AND(OR('Choix pédagogiques'!$C$3=1,'Choix pédagogiques'!$C$3=2),$B169&lt;&gt;"",$C169&lt;&gt;"",$D169&lt;&gt;""),1,0))</f>
        <v/>
      </c>
      <c r="BN169" s="21" t="str">
        <f>IF(OR(COUNT(G169:I1168)=0,AND('Choix pédagogiques'!$C$3&lt;&gt;1,'Choix pédagogiques'!$C$3&lt;&gt;2)),"",IF(AND(OR('Choix pédagogiques'!$C$3=1,'Choix pédagogiques'!$C$3=2),AND($G169&lt;&gt;"",$H169&lt;&gt;"",$I169&lt;&gt;"")),1,0))</f>
        <v/>
      </c>
      <c r="BO169" s="21" t="str">
        <f>IF(OR(COUNT(B169:D1168)=0,COUNT(G169:I1168)=0,'Choix pédagogiques'!C$3&lt;&gt;3),"",IF(AND('Choix pédagogiques'!$C$3=3,$B169&lt;&gt;"",$C169&lt;&gt;"",$D169&lt;&gt;"",$G169&lt;&gt;"",$H169&lt;&gt;"",$I169&lt;&gt;""),1,0))</f>
        <v/>
      </c>
      <c r="BR169" s="21">
        <v>643</v>
      </c>
      <c r="BS169" s="21">
        <v>1417</v>
      </c>
      <c r="BT169"/>
    </row>
    <row r="170" spans="1:72" s="23" customFormat="1" ht="18" customHeight="1" x14ac:dyDescent="0.3">
      <c r="A170" s="35" t="s">
        <v>160</v>
      </c>
      <c r="B170" s="37"/>
      <c r="C170" s="37"/>
      <c r="D170" s="37"/>
      <c r="E170" s="37"/>
      <c r="F170" s="35" t="s">
        <v>1168</v>
      </c>
      <c r="G170" s="37"/>
      <c r="H170" s="37"/>
      <c r="I170" s="37"/>
      <c r="J170" s="37"/>
      <c r="K170" s="21" t="str">
        <f t="shared" si="159"/>
        <v>Apprenant 158</v>
      </c>
      <c r="L170" s="22" t="str">
        <f t="shared" si="160"/>
        <v/>
      </c>
      <c r="M170" s="22" t="str">
        <f t="shared" si="161"/>
        <v/>
      </c>
      <c r="N170" s="22" t="str">
        <f t="shared" si="162"/>
        <v/>
      </c>
      <c r="O170" s="22" t="str">
        <f t="shared" si="163"/>
        <v/>
      </c>
      <c r="P170" s="21" t="str">
        <f t="shared" si="164"/>
        <v>Apprenant 158 ou 158'</v>
      </c>
      <c r="Q170" s="22" t="str">
        <f t="shared" si="165"/>
        <v/>
      </c>
      <c r="R170" s="22" t="str">
        <f t="shared" si="166"/>
        <v/>
      </c>
      <c r="S170" s="22" t="str">
        <f t="shared" si="167"/>
        <v/>
      </c>
      <c r="T170" s="22" t="str">
        <f t="shared" si="168"/>
        <v/>
      </c>
      <c r="V170" s="21" t="str">
        <f t="shared" si="169"/>
        <v>Apprenant 158</v>
      </c>
      <c r="W170" s="22" t="str">
        <f>IF(AND(OR('Choix pédagogiques'!$C$3=1,'Choix pédagogiques'!$C$3=2),$BM170=1),B170,IF(AND('Choix pédagogiques'!$C$3=3,$BO170=1),B170,""))</f>
        <v/>
      </c>
      <c r="X170" s="22" t="str">
        <f>IF(AND(OR('Choix pédagogiques'!$C$3=1,'Choix pédagogiques'!$C$3=2),$BM170=1),C170,IF(AND('Choix pédagogiques'!$C$3=3,$BO170=1),C170,""))</f>
        <v/>
      </c>
      <c r="Y170" s="22" t="str">
        <f>IF(AND(OR('Choix pédagogiques'!$C$3=1,'Choix pédagogiques'!$C$3=2),$BM170=1),D170,IF(AND('Choix pédagogiques'!$C$3=3,$BO170=1),D170,""))</f>
        <v/>
      </c>
      <c r="Z170" s="22" t="str">
        <f t="shared" si="170"/>
        <v/>
      </c>
      <c r="AA170" s="21" t="str">
        <f t="shared" si="171"/>
        <v>Apprenant 158 ou 158'</v>
      </c>
      <c r="AB170" s="22" t="str">
        <f>IF(AND(OR('Choix pédagogiques'!$C$3=1,'Choix pédagogiques'!$C$3=2),$BN170=1),G170,IF(AND('Choix pédagogiques'!$C$3=3,$BO170=1),G170,""))</f>
        <v/>
      </c>
      <c r="AC170" s="22" t="str">
        <f>IF(AND(OR('Choix pédagogiques'!$C$3=1,'Choix pédagogiques'!$C$3=2),$BN170=1),H170,IF(AND('Choix pédagogiques'!$C$3=3,$BO170=1),H170,""))</f>
        <v/>
      </c>
      <c r="AD170" s="22" t="str">
        <f>IF(AND(OR('Choix pédagogiques'!$C$3=1,'Choix pédagogiques'!$C$3=2),$BN170=1),I170,IF(AND('Choix pédagogiques'!$C$3=3,$BO170=1),I170,""))</f>
        <v/>
      </c>
      <c r="AE170" s="22" t="str">
        <f t="shared" si="172"/>
        <v/>
      </c>
      <c r="AF170" s="21" t="str">
        <f t="shared" si="173"/>
        <v>Apprenant 158</v>
      </c>
      <c r="AG170" s="22" t="str">
        <f t="shared" si="147"/>
        <v/>
      </c>
      <c r="AH170" s="22" t="str">
        <f t="shared" si="148"/>
        <v/>
      </c>
      <c r="AI170" s="22" t="str">
        <f t="shared" si="149"/>
        <v/>
      </c>
      <c r="AJ170" s="22" t="str">
        <f t="shared" si="174"/>
        <v/>
      </c>
      <c r="AK170" s="21" t="str">
        <f t="shared" si="175"/>
        <v>Apprenant 158 ou 158'</v>
      </c>
      <c r="AL170" s="22" t="str">
        <f t="shared" si="150"/>
        <v/>
      </c>
      <c r="AM170" s="22" t="str">
        <f t="shared" si="151"/>
        <v/>
      </c>
      <c r="AN170" s="22" t="str">
        <f t="shared" si="152"/>
        <v/>
      </c>
      <c r="AO170" s="22" t="str">
        <f t="shared" si="176"/>
        <v/>
      </c>
      <c r="AQ170" s="21" t="str">
        <f t="shared" si="177"/>
        <v>Apprenant 158</v>
      </c>
      <c r="AR170" s="49" t="str">
        <f>IF(AND('Choix pédagogiques'!$C$4&lt;&gt;"?",'Choix pédagogiques'!$C$5&lt;&gt;"?",W170&lt;&gt;""),(W170-'Choix pédagogiques'!$C$4)/('Choix pédagogiques'!$C$5-'Choix pédagogiques'!$C$4),"")</f>
        <v/>
      </c>
      <c r="AS170" s="49" t="str">
        <f>IF(AND('Choix pédagogiques'!$C$4&lt;&gt;"?",'Choix pédagogiques'!$C$5&lt;&gt;"?",X170&lt;&gt;""),(X170-'Choix pédagogiques'!$C$4)/('Choix pédagogiques'!$C$5-'Choix pédagogiques'!$C$4),"")</f>
        <v/>
      </c>
      <c r="AT170" s="49" t="str">
        <f>IF(AND('Choix pédagogiques'!$C$4&lt;&gt;"?",'Choix pédagogiques'!$C$5&lt;&gt;"?",Y170&lt;&gt;""),(Y170-'Choix pédagogiques'!$C$4)/('Choix pédagogiques'!$C$5-'Choix pédagogiques'!$C$4),"")</f>
        <v/>
      </c>
      <c r="AU170" s="22" t="str">
        <f t="shared" si="178"/>
        <v/>
      </c>
      <c r="AV170" s="21" t="str">
        <f t="shared" si="179"/>
        <v>Apprenant 158 ou 158'</v>
      </c>
      <c r="AW170" s="49" t="str">
        <f>IF(AND('Choix pédagogiques'!$C$4&lt;&gt;"?",'Choix pédagogiques'!$C$5&lt;&gt;"?",AB170&lt;&gt;""),(AB170-'Choix pédagogiques'!$C$4)/('Choix pédagogiques'!$C$5-'Choix pédagogiques'!$C$4),"")</f>
        <v/>
      </c>
      <c r="AX170" s="49" t="str">
        <f>IF(AND('Choix pédagogiques'!$C$4&lt;&gt;"?",'Choix pédagogiques'!$C$5&lt;&gt;"?",AC170&lt;&gt;""),(AC170-'Choix pédagogiques'!$C$4)/('Choix pédagogiques'!$C$5-'Choix pédagogiques'!$C$4),"")</f>
        <v/>
      </c>
      <c r="AY170" s="49" t="str">
        <f>IF(AND('Choix pédagogiques'!$C$4&lt;&gt;"?",'Choix pédagogiques'!$C$5&lt;&gt;"?",AD170&lt;&gt;""),(AD170-'Choix pédagogiques'!$C$4)/('Choix pédagogiques'!$C$5-'Choix pédagogiques'!$C$4),"")</f>
        <v/>
      </c>
      <c r="AZ170" s="22" t="str">
        <f t="shared" si="180"/>
        <v/>
      </c>
      <c r="BA170" s="21" t="str">
        <f t="shared" si="181"/>
        <v>Apprenant 158</v>
      </c>
      <c r="BB170" s="49" t="str">
        <f t="shared" si="153"/>
        <v/>
      </c>
      <c r="BC170" s="49" t="str">
        <f t="shared" si="154"/>
        <v/>
      </c>
      <c r="BD170" s="49" t="str">
        <f t="shared" si="155"/>
        <v/>
      </c>
      <c r="BE170" s="22" t="str">
        <f t="shared" si="182"/>
        <v/>
      </c>
      <c r="BF170" s="21" t="str">
        <f t="shared" si="183"/>
        <v>Apprenant 158 ou 158'</v>
      </c>
      <c r="BG170" s="49" t="str">
        <f t="shared" si="156"/>
        <v/>
      </c>
      <c r="BH170" s="49" t="str">
        <f t="shared" si="157"/>
        <v/>
      </c>
      <c r="BI170" s="49" t="str">
        <f t="shared" si="158"/>
        <v/>
      </c>
      <c r="BJ170" s="22" t="str">
        <f t="shared" si="184"/>
        <v/>
      </c>
      <c r="BL170" s="21"/>
      <c r="BM170" s="21" t="str">
        <f>IF(OR(COUNT(B170:D1169)=0,AND('Choix pédagogiques'!$C$3&lt;&gt;1,'Choix pédagogiques'!$C$3&lt;&gt;2)),"",IF(AND(OR('Choix pédagogiques'!$C$3=1,'Choix pédagogiques'!$C$3=2),$B170&lt;&gt;"",$C170&lt;&gt;"",$D170&lt;&gt;""),1,0))</f>
        <v/>
      </c>
      <c r="BN170" s="21" t="str">
        <f>IF(OR(COUNT(G170:I1169)=0,AND('Choix pédagogiques'!$C$3&lt;&gt;1,'Choix pédagogiques'!$C$3&lt;&gt;2)),"",IF(AND(OR('Choix pédagogiques'!$C$3=1,'Choix pédagogiques'!$C$3=2),AND($G170&lt;&gt;"",$H170&lt;&gt;"",$I170&lt;&gt;"")),1,0))</f>
        <v/>
      </c>
      <c r="BO170" s="21" t="str">
        <f>IF(OR(COUNT(B170:D1169)=0,COUNT(G170:I1169)=0,'Choix pédagogiques'!C$3&lt;&gt;3),"",IF(AND('Choix pédagogiques'!$C$3=3,$B170&lt;&gt;"",$C170&lt;&gt;"",$D170&lt;&gt;"",$G170&lt;&gt;"",$H170&lt;&gt;"",$I170&lt;&gt;""),1,0))</f>
        <v/>
      </c>
      <c r="BR170" s="21">
        <v>442</v>
      </c>
      <c r="BS170" s="21">
        <v>1865</v>
      </c>
      <c r="BT170"/>
    </row>
    <row r="171" spans="1:72" s="23" customFormat="1" ht="18" customHeight="1" x14ac:dyDescent="0.3">
      <c r="A171" s="35" t="s">
        <v>161</v>
      </c>
      <c r="B171" s="37"/>
      <c r="C171" s="37"/>
      <c r="D171" s="37"/>
      <c r="E171" s="37"/>
      <c r="F171" s="35" t="s">
        <v>1169</v>
      </c>
      <c r="G171" s="37"/>
      <c r="H171" s="37"/>
      <c r="I171" s="37"/>
      <c r="J171" s="37"/>
      <c r="K171" s="21" t="str">
        <f t="shared" si="159"/>
        <v>Apprenant 159</v>
      </c>
      <c r="L171" s="22" t="str">
        <f t="shared" si="160"/>
        <v/>
      </c>
      <c r="M171" s="22" t="str">
        <f t="shared" si="161"/>
        <v/>
      </c>
      <c r="N171" s="22" t="str">
        <f t="shared" si="162"/>
        <v/>
      </c>
      <c r="O171" s="22" t="str">
        <f t="shared" si="163"/>
        <v/>
      </c>
      <c r="P171" s="21" t="str">
        <f t="shared" si="164"/>
        <v>Apprenant 159 ou 159'</v>
      </c>
      <c r="Q171" s="22" t="str">
        <f t="shared" si="165"/>
        <v/>
      </c>
      <c r="R171" s="22" t="str">
        <f t="shared" si="166"/>
        <v/>
      </c>
      <c r="S171" s="22" t="str">
        <f t="shared" si="167"/>
        <v/>
      </c>
      <c r="T171" s="22" t="str">
        <f t="shared" si="168"/>
        <v/>
      </c>
      <c r="V171" s="21" t="str">
        <f t="shared" si="169"/>
        <v>Apprenant 159</v>
      </c>
      <c r="W171" s="22" t="str">
        <f>IF(AND(OR('Choix pédagogiques'!$C$3=1,'Choix pédagogiques'!$C$3=2),$BM171=1),B171,IF(AND('Choix pédagogiques'!$C$3=3,$BO171=1),B171,""))</f>
        <v/>
      </c>
      <c r="X171" s="22" t="str">
        <f>IF(AND(OR('Choix pédagogiques'!$C$3=1,'Choix pédagogiques'!$C$3=2),$BM171=1),C171,IF(AND('Choix pédagogiques'!$C$3=3,$BO171=1),C171,""))</f>
        <v/>
      </c>
      <c r="Y171" s="22" t="str">
        <f>IF(AND(OR('Choix pédagogiques'!$C$3=1,'Choix pédagogiques'!$C$3=2),$BM171=1),D171,IF(AND('Choix pédagogiques'!$C$3=3,$BO171=1),D171,""))</f>
        <v/>
      </c>
      <c r="Z171" s="22" t="str">
        <f t="shared" si="170"/>
        <v/>
      </c>
      <c r="AA171" s="21" t="str">
        <f t="shared" si="171"/>
        <v>Apprenant 159 ou 159'</v>
      </c>
      <c r="AB171" s="22" t="str">
        <f>IF(AND(OR('Choix pédagogiques'!$C$3=1,'Choix pédagogiques'!$C$3=2),$BN171=1),G171,IF(AND('Choix pédagogiques'!$C$3=3,$BO171=1),G171,""))</f>
        <v/>
      </c>
      <c r="AC171" s="22" t="str">
        <f>IF(AND(OR('Choix pédagogiques'!$C$3=1,'Choix pédagogiques'!$C$3=2),$BN171=1),H171,IF(AND('Choix pédagogiques'!$C$3=3,$BO171=1),H171,""))</f>
        <v/>
      </c>
      <c r="AD171" s="22" t="str">
        <f>IF(AND(OR('Choix pédagogiques'!$C$3=1,'Choix pédagogiques'!$C$3=2),$BN171=1),I171,IF(AND('Choix pédagogiques'!$C$3=3,$BO171=1),I171,""))</f>
        <v/>
      </c>
      <c r="AE171" s="22" t="str">
        <f t="shared" si="172"/>
        <v/>
      </c>
      <c r="AF171" s="21" t="str">
        <f t="shared" si="173"/>
        <v>Apprenant 159</v>
      </c>
      <c r="AG171" s="22" t="str">
        <f t="shared" si="147"/>
        <v/>
      </c>
      <c r="AH171" s="22" t="str">
        <f t="shared" si="148"/>
        <v/>
      </c>
      <c r="AI171" s="22" t="str">
        <f t="shared" si="149"/>
        <v/>
      </c>
      <c r="AJ171" s="22" t="str">
        <f t="shared" si="174"/>
        <v/>
      </c>
      <c r="AK171" s="21" t="str">
        <f t="shared" si="175"/>
        <v>Apprenant 159 ou 159'</v>
      </c>
      <c r="AL171" s="22" t="str">
        <f t="shared" si="150"/>
        <v/>
      </c>
      <c r="AM171" s="22" t="str">
        <f t="shared" si="151"/>
        <v/>
      </c>
      <c r="AN171" s="22" t="str">
        <f t="shared" si="152"/>
        <v/>
      </c>
      <c r="AO171" s="22" t="str">
        <f t="shared" si="176"/>
        <v/>
      </c>
      <c r="AQ171" s="21" t="str">
        <f t="shared" si="177"/>
        <v>Apprenant 159</v>
      </c>
      <c r="AR171" s="49" t="str">
        <f>IF(AND('Choix pédagogiques'!$C$4&lt;&gt;"?",'Choix pédagogiques'!$C$5&lt;&gt;"?",W171&lt;&gt;""),(W171-'Choix pédagogiques'!$C$4)/('Choix pédagogiques'!$C$5-'Choix pédagogiques'!$C$4),"")</f>
        <v/>
      </c>
      <c r="AS171" s="49" t="str">
        <f>IF(AND('Choix pédagogiques'!$C$4&lt;&gt;"?",'Choix pédagogiques'!$C$5&lt;&gt;"?",X171&lt;&gt;""),(X171-'Choix pédagogiques'!$C$4)/('Choix pédagogiques'!$C$5-'Choix pédagogiques'!$C$4),"")</f>
        <v/>
      </c>
      <c r="AT171" s="49" t="str">
        <f>IF(AND('Choix pédagogiques'!$C$4&lt;&gt;"?",'Choix pédagogiques'!$C$5&lt;&gt;"?",Y171&lt;&gt;""),(Y171-'Choix pédagogiques'!$C$4)/('Choix pédagogiques'!$C$5-'Choix pédagogiques'!$C$4),"")</f>
        <v/>
      </c>
      <c r="AU171" s="22" t="str">
        <f t="shared" si="178"/>
        <v/>
      </c>
      <c r="AV171" s="21" t="str">
        <f t="shared" si="179"/>
        <v>Apprenant 159 ou 159'</v>
      </c>
      <c r="AW171" s="49" t="str">
        <f>IF(AND('Choix pédagogiques'!$C$4&lt;&gt;"?",'Choix pédagogiques'!$C$5&lt;&gt;"?",AB171&lt;&gt;""),(AB171-'Choix pédagogiques'!$C$4)/('Choix pédagogiques'!$C$5-'Choix pédagogiques'!$C$4),"")</f>
        <v/>
      </c>
      <c r="AX171" s="49" t="str">
        <f>IF(AND('Choix pédagogiques'!$C$4&lt;&gt;"?",'Choix pédagogiques'!$C$5&lt;&gt;"?",AC171&lt;&gt;""),(AC171-'Choix pédagogiques'!$C$4)/('Choix pédagogiques'!$C$5-'Choix pédagogiques'!$C$4),"")</f>
        <v/>
      </c>
      <c r="AY171" s="49" t="str">
        <f>IF(AND('Choix pédagogiques'!$C$4&lt;&gt;"?",'Choix pédagogiques'!$C$5&lt;&gt;"?",AD171&lt;&gt;""),(AD171-'Choix pédagogiques'!$C$4)/('Choix pédagogiques'!$C$5-'Choix pédagogiques'!$C$4),"")</f>
        <v/>
      </c>
      <c r="AZ171" s="22" t="str">
        <f t="shared" si="180"/>
        <v/>
      </c>
      <c r="BA171" s="21" t="str">
        <f t="shared" si="181"/>
        <v>Apprenant 159</v>
      </c>
      <c r="BB171" s="49" t="str">
        <f t="shared" si="153"/>
        <v/>
      </c>
      <c r="BC171" s="49" t="str">
        <f t="shared" si="154"/>
        <v/>
      </c>
      <c r="BD171" s="49" t="str">
        <f t="shared" si="155"/>
        <v/>
      </c>
      <c r="BE171" s="22" t="str">
        <f t="shared" si="182"/>
        <v/>
      </c>
      <c r="BF171" s="21" t="str">
        <f t="shared" si="183"/>
        <v>Apprenant 159 ou 159'</v>
      </c>
      <c r="BG171" s="49" t="str">
        <f t="shared" si="156"/>
        <v/>
      </c>
      <c r="BH171" s="49" t="str">
        <f t="shared" si="157"/>
        <v/>
      </c>
      <c r="BI171" s="49" t="str">
        <f t="shared" si="158"/>
        <v/>
      </c>
      <c r="BJ171" s="22" t="str">
        <f t="shared" si="184"/>
        <v/>
      </c>
      <c r="BL171" s="21"/>
      <c r="BM171" s="21" t="str">
        <f>IF(OR(COUNT(B171:D1170)=0,AND('Choix pédagogiques'!$C$3&lt;&gt;1,'Choix pédagogiques'!$C$3&lt;&gt;2)),"",IF(AND(OR('Choix pédagogiques'!$C$3=1,'Choix pédagogiques'!$C$3=2),$B171&lt;&gt;"",$C171&lt;&gt;"",$D171&lt;&gt;""),1,0))</f>
        <v/>
      </c>
      <c r="BN171" s="21" t="str">
        <f>IF(OR(COUNT(G171:I1170)=0,AND('Choix pédagogiques'!$C$3&lt;&gt;1,'Choix pédagogiques'!$C$3&lt;&gt;2)),"",IF(AND(OR('Choix pédagogiques'!$C$3=1,'Choix pédagogiques'!$C$3=2),AND($G171&lt;&gt;"",$H171&lt;&gt;"",$I171&lt;&gt;"")),1,0))</f>
        <v/>
      </c>
      <c r="BO171" s="21" t="str">
        <f>IF(OR(COUNT(B171:D1170)=0,COUNT(G171:I1170)=0,'Choix pédagogiques'!C$3&lt;&gt;3),"",IF(AND('Choix pédagogiques'!$C$3=3,$B171&lt;&gt;"",$C171&lt;&gt;"",$D171&lt;&gt;"",$G171&lt;&gt;"",$H171&lt;&gt;"",$I171&lt;&gt;""),1,0))</f>
        <v/>
      </c>
      <c r="BR171" s="21">
        <v>171</v>
      </c>
      <c r="BS171" s="21">
        <v>1514</v>
      </c>
      <c r="BT171"/>
    </row>
    <row r="172" spans="1:72" s="23" customFormat="1" ht="18" customHeight="1" x14ac:dyDescent="0.3">
      <c r="A172" s="35" t="s">
        <v>162</v>
      </c>
      <c r="B172" s="37"/>
      <c r="C172" s="37"/>
      <c r="D172" s="37"/>
      <c r="E172" s="37"/>
      <c r="F172" s="35" t="s">
        <v>1170</v>
      </c>
      <c r="G172" s="37"/>
      <c r="H172" s="37"/>
      <c r="I172" s="37"/>
      <c r="J172" s="37"/>
      <c r="K172" s="21" t="str">
        <f t="shared" si="159"/>
        <v>Apprenant 160</v>
      </c>
      <c r="L172" s="22" t="str">
        <f t="shared" si="160"/>
        <v/>
      </c>
      <c r="M172" s="22" t="str">
        <f t="shared" si="161"/>
        <v/>
      </c>
      <c r="N172" s="22" t="str">
        <f t="shared" si="162"/>
        <v/>
      </c>
      <c r="O172" s="22" t="str">
        <f t="shared" si="163"/>
        <v/>
      </c>
      <c r="P172" s="21" t="str">
        <f t="shared" si="164"/>
        <v>Apprenant 160 ou 160'</v>
      </c>
      <c r="Q172" s="22" t="str">
        <f t="shared" si="165"/>
        <v/>
      </c>
      <c r="R172" s="22" t="str">
        <f t="shared" si="166"/>
        <v/>
      </c>
      <c r="S172" s="22" t="str">
        <f t="shared" si="167"/>
        <v/>
      </c>
      <c r="T172" s="22" t="str">
        <f t="shared" si="168"/>
        <v/>
      </c>
      <c r="V172" s="21" t="str">
        <f t="shared" si="169"/>
        <v>Apprenant 160</v>
      </c>
      <c r="W172" s="22" t="str">
        <f>IF(AND(OR('Choix pédagogiques'!$C$3=1,'Choix pédagogiques'!$C$3=2),$BM172=1),B172,IF(AND('Choix pédagogiques'!$C$3=3,$BO172=1),B172,""))</f>
        <v/>
      </c>
      <c r="X172" s="22" t="str">
        <f>IF(AND(OR('Choix pédagogiques'!$C$3=1,'Choix pédagogiques'!$C$3=2),$BM172=1),C172,IF(AND('Choix pédagogiques'!$C$3=3,$BO172=1),C172,""))</f>
        <v/>
      </c>
      <c r="Y172" s="22" t="str">
        <f>IF(AND(OR('Choix pédagogiques'!$C$3=1,'Choix pédagogiques'!$C$3=2),$BM172=1),D172,IF(AND('Choix pédagogiques'!$C$3=3,$BO172=1),D172,""))</f>
        <v/>
      </c>
      <c r="Z172" s="22" t="str">
        <f t="shared" si="170"/>
        <v/>
      </c>
      <c r="AA172" s="21" t="str">
        <f t="shared" si="171"/>
        <v>Apprenant 160 ou 160'</v>
      </c>
      <c r="AB172" s="22" t="str">
        <f>IF(AND(OR('Choix pédagogiques'!$C$3=1,'Choix pédagogiques'!$C$3=2),$BN172=1),G172,IF(AND('Choix pédagogiques'!$C$3=3,$BO172=1),G172,""))</f>
        <v/>
      </c>
      <c r="AC172" s="22" t="str">
        <f>IF(AND(OR('Choix pédagogiques'!$C$3=1,'Choix pédagogiques'!$C$3=2),$BN172=1),H172,IF(AND('Choix pédagogiques'!$C$3=3,$BO172=1),H172,""))</f>
        <v/>
      </c>
      <c r="AD172" s="22" t="str">
        <f>IF(AND(OR('Choix pédagogiques'!$C$3=1,'Choix pédagogiques'!$C$3=2),$BN172=1),I172,IF(AND('Choix pédagogiques'!$C$3=3,$BO172=1),I172,""))</f>
        <v/>
      </c>
      <c r="AE172" s="22" t="str">
        <f t="shared" si="172"/>
        <v/>
      </c>
      <c r="AF172" s="21" t="str">
        <f t="shared" si="173"/>
        <v>Apprenant 160</v>
      </c>
      <c r="AG172" s="22" t="str">
        <f t="shared" si="147"/>
        <v/>
      </c>
      <c r="AH172" s="22" t="str">
        <f t="shared" si="148"/>
        <v/>
      </c>
      <c r="AI172" s="22" t="str">
        <f t="shared" si="149"/>
        <v/>
      </c>
      <c r="AJ172" s="22" t="str">
        <f t="shared" si="174"/>
        <v/>
      </c>
      <c r="AK172" s="21" t="str">
        <f t="shared" si="175"/>
        <v>Apprenant 160 ou 160'</v>
      </c>
      <c r="AL172" s="22" t="str">
        <f t="shared" si="150"/>
        <v/>
      </c>
      <c r="AM172" s="22" t="str">
        <f t="shared" si="151"/>
        <v/>
      </c>
      <c r="AN172" s="22" t="str">
        <f t="shared" si="152"/>
        <v/>
      </c>
      <c r="AO172" s="22" t="str">
        <f t="shared" si="176"/>
        <v/>
      </c>
      <c r="AQ172" s="21" t="str">
        <f t="shared" si="177"/>
        <v>Apprenant 160</v>
      </c>
      <c r="AR172" s="49" t="str">
        <f>IF(AND('Choix pédagogiques'!$C$4&lt;&gt;"?",'Choix pédagogiques'!$C$5&lt;&gt;"?",W172&lt;&gt;""),(W172-'Choix pédagogiques'!$C$4)/('Choix pédagogiques'!$C$5-'Choix pédagogiques'!$C$4),"")</f>
        <v/>
      </c>
      <c r="AS172" s="49" t="str">
        <f>IF(AND('Choix pédagogiques'!$C$4&lt;&gt;"?",'Choix pédagogiques'!$C$5&lt;&gt;"?",X172&lt;&gt;""),(X172-'Choix pédagogiques'!$C$4)/('Choix pédagogiques'!$C$5-'Choix pédagogiques'!$C$4),"")</f>
        <v/>
      </c>
      <c r="AT172" s="49" t="str">
        <f>IF(AND('Choix pédagogiques'!$C$4&lt;&gt;"?",'Choix pédagogiques'!$C$5&lt;&gt;"?",Y172&lt;&gt;""),(Y172-'Choix pédagogiques'!$C$4)/('Choix pédagogiques'!$C$5-'Choix pédagogiques'!$C$4),"")</f>
        <v/>
      </c>
      <c r="AU172" s="22" t="str">
        <f t="shared" si="178"/>
        <v/>
      </c>
      <c r="AV172" s="21" t="str">
        <f t="shared" si="179"/>
        <v>Apprenant 160 ou 160'</v>
      </c>
      <c r="AW172" s="49" t="str">
        <f>IF(AND('Choix pédagogiques'!$C$4&lt;&gt;"?",'Choix pédagogiques'!$C$5&lt;&gt;"?",AB172&lt;&gt;""),(AB172-'Choix pédagogiques'!$C$4)/('Choix pédagogiques'!$C$5-'Choix pédagogiques'!$C$4),"")</f>
        <v/>
      </c>
      <c r="AX172" s="49" t="str">
        <f>IF(AND('Choix pédagogiques'!$C$4&lt;&gt;"?",'Choix pédagogiques'!$C$5&lt;&gt;"?",AC172&lt;&gt;""),(AC172-'Choix pédagogiques'!$C$4)/('Choix pédagogiques'!$C$5-'Choix pédagogiques'!$C$4),"")</f>
        <v/>
      </c>
      <c r="AY172" s="49" t="str">
        <f>IF(AND('Choix pédagogiques'!$C$4&lt;&gt;"?",'Choix pédagogiques'!$C$5&lt;&gt;"?",AD172&lt;&gt;""),(AD172-'Choix pédagogiques'!$C$4)/('Choix pédagogiques'!$C$5-'Choix pédagogiques'!$C$4),"")</f>
        <v/>
      </c>
      <c r="AZ172" s="22" t="str">
        <f t="shared" si="180"/>
        <v/>
      </c>
      <c r="BA172" s="21" t="str">
        <f t="shared" si="181"/>
        <v>Apprenant 160</v>
      </c>
      <c r="BB172" s="49" t="str">
        <f t="shared" si="153"/>
        <v/>
      </c>
      <c r="BC172" s="49" t="str">
        <f t="shared" si="154"/>
        <v/>
      </c>
      <c r="BD172" s="49" t="str">
        <f t="shared" si="155"/>
        <v/>
      </c>
      <c r="BE172" s="22" t="str">
        <f t="shared" si="182"/>
        <v/>
      </c>
      <c r="BF172" s="21" t="str">
        <f t="shared" si="183"/>
        <v>Apprenant 160 ou 160'</v>
      </c>
      <c r="BG172" s="49" t="str">
        <f t="shared" si="156"/>
        <v/>
      </c>
      <c r="BH172" s="49" t="str">
        <f t="shared" si="157"/>
        <v/>
      </c>
      <c r="BI172" s="49" t="str">
        <f t="shared" si="158"/>
        <v/>
      </c>
      <c r="BJ172" s="22" t="str">
        <f t="shared" si="184"/>
        <v/>
      </c>
      <c r="BL172" s="21"/>
      <c r="BM172" s="21" t="str">
        <f>IF(OR(COUNT(B172:D1171)=0,AND('Choix pédagogiques'!$C$3&lt;&gt;1,'Choix pédagogiques'!$C$3&lt;&gt;2)),"",IF(AND(OR('Choix pédagogiques'!$C$3=1,'Choix pédagogiques'!$C$3=2),$B172&lt;&gt;"",$C172&lt;&gt;"",$D172&lt;&gt;""),1,0))</f>
        <v/>
      </c>
      <c r="BN172" s="21" t="str">
        <f>IF(OR(COUNT(G172:I1171)=0,AND('Choix pédagogiques'!$C$3&lt;&gt;1,'Choix pédagogiques'!$C$3&lt;&gt;2)),"",IF(AND(OR('Choix pédagogiques'!$C$3=1,'Choix pédagogiques'!$C$3=2),AND($G172&lt;&gt;"",$H172&lt;&gt;"",$I172&lt;&gt;"")),1,0))</f>
        <v/>
      </c>
      <c r="BO172" s="21" t="str">
        <f>IF(OR(COUNT(B172:D1171)=0,COUNT(G172:I1171)=0,'Choix pédagogiques'!C$3&lt;&gt;3),"",IF(AND('Choix pédagogiques'!$C$3=3,$B172&lt;&gt;"",$C172&lt;&gt;"",$D172&lt;&gt;"",$G172&lt;&gt;"",$H172&lt;&gt;"",$I172&lt;&gt;""),1,0))</f>
        <v/>
      </c>
      <c r="BR172" s="21">
        <v>476</v>
      </c>
      <c r="BS172" s="21">
        <v>1926</v>
      </c>
      <c r="BT172"/>
    </row>
    <row r="173" spans="1:72" s="23" customFormat="1" ht="18" customHeight="1" x14ac:dyDescent="0.3">
      <c r="A173" s="35" t="s">
        <v>163</v>
      </c>
      <c r="B173" s="37"/>
      <c r="C173" s="37"/>
      <c r="D173" s="37"/>
      <c r="E173" s="37"/>
      <c r="F173" s="35" t="s">
        <v>1171</v>
      </c>
      <c r="G173" s="37"/>
      <c r="H173" s="37"/>
      <c r="I173" s="37"/>
      <c r="J173" s="37"/>
      <c r="K173" s="21" t="str">
        <f t="shared" si="159"/>
        <v>Apprenant 161</v>
      </c>
      <c r="L173" s="22" t="str">
        <f t="shared" si="160"/>
        <v/>
      </c>
      <c r="M173" s="22" t="str">
        <f t="shared" si="161"/>
        <v/>
      </c>
      <c r="N173" s="22" t="str">
        <f t="shared" si="162"/>
        <v/>
      </c>
      <c r="O173" s="22" t="str">
        <f t="shared" si="163"/>
        <v/>
      </c>
      <c r="P173" s="21" t="str">
        <f t="shared" si="164"/>
        <v>Apprenant 161 ou 161'</v>
      </c>
      <c r="Q173" s="22" t="str">
        <f t="shared" si="165"/>
        <v/>
      </c>
      <c r="R173" s="22" t="str">
        <f t="shared" si="166"/>
        <v/>
      </c>
      <c r="S173" s="22" t="str">
        <f t="shared" si="167"/>
        <v/>
      </c>
      <c r="T173" s="22" t="str">
        <f t="shared" si="168"/>
        <v/>
      </c>
      <c r="V173" s="21" t="str">
        <f t="shared" si="169"/>
        <v>Apprenant 161</v>
      </c>
      <c r="W173" s="22" t="str">
        <f>IF(AND(OR('Choix pédagogiques'!$C$3=1,'Choix pédagogiques'!$C$3=2),$BM173=1),B173,IF(AND('Choix pédagogiques'!$C$3=3,$BO173=1),B173,""))</f>
        <v/>
      </c>
      <c r="X173" s="22" t="str">
        <f>IF(AND(OR('Choix pédagogiques'!$C$3=1,'Choix pédagogiques'!$C$3=2),$BM173=1),C173,IF(AND('Choix pédagogiques'!$C$3=3,$BO173=1),C173,""))</f>
        <v/>
      </c>
      <c r="Y173" s="22" t="str">
        <f>IF(AND(OR('Choix pédagogiques'!$C$3=1,'Choix pédagogiques'!$C$3=2),$BM173=1),D173,IF(AND('Choix pédagogiques'!$C$3=3,$BO173=1),D173,""))</f>
        <v/>
      </c>
      <c r="Z173" s="22" t="str">
        <f t="shared" si="170"/>
        <v/>
      </c>
      <c r="AA173" s="21" t="str">
        <f t="shared" si="171"/>
        <v>Apprenant 161 ou 161'</v>
      </c>
      <c r="AB173" s="22" t="str">
        <f>IF(AND(OR('Choix pédagogiques'!$C$3=1,'Choix pédagogiques'!$C$3=2),$BN173=1),G173,IF(AND('Choix pédagogiques'!$C$3=3,$BO173=1),G173,""))</f>
        <v/>
      </c>
      <c r="AC173" s="22" t="str">
        <f>IF(AND(OR('Choix pédagogiques'!$C$3=1,'Choix pédagogiques'!$C$3=2),$BN173=1),H173,IF(AND('Choix pédagogiques'!$C$3=3,$BO173=1),H173,""))</f>
        <v/>
      </c>
      <c r="AD173" s="22" t="str">
        <f>IF(AND(OR('Choix pédagogiques'!$C$3=1,'Choix pédagogiques'!$C$3=2),$BN173=1),I173,IF(AND('Choix pédagogiques'!$C$3=3,$BO173=1),I173,""))</f>
        <v/>
      </c>
      <c r="AE173" s="22" t="str">
        <f t="shared" si="172"/>
        <v/>
      </c>
      <c r="AF173" s="21" t="str">
        <f t="shared" si="173"/>
        <v>Apprenant 161</v>
      </c>
      <c r="AG173" s="22" t="str">
        <f t="shared" si="147"/>
        <v/>
      </c>
      <c r="AH173" s="22" t="str">
        <f t="shared" si="148"/>
        <v/>
      </c>
      <c r="AI173" s="22" t="str">
        <f t="shared" si="149"/>
        <v/>
      </c>
      <c r="AJ173" s="22" t="str">
        <f t="shared" si="174"/>
        <v/>
      </c>
      <c r="AK173" s="21" t="str">
        <f t="shared" si="175"/>
        <v>Apprenant 161 ou 161'</v>
      </c>
      <c r="AL173" s="22" t="str">
        <f t="shared" si="150"/>
        <v/>
      </c>
      <c r="AM173" s="22" t="str">
        <f t="shared" si="151"/>
        <v/>
      </c>
      <c r="AN173" s="22" t="str">
        <f t="shared" si="152"/>
        <v/>
      </c>
      <c r="AO173" s="22" t="str">
        <f t="shared" si="176"/>
        <v/>
      </c>
      <c r="AQ173" s="21" t="str">
        <f t="shared" si="177"/>
        <v>Apprenant 161</v>
      </c>
      <c r="AR173" s="49" t="str">
        <f>IF(AND('Choix pédagogiques'!$C$4&lt;&gt;"?",'Choix pédagogiques'!$C$5&lt;&gt;"?",W173&lt;&gt;""),(W173-'Choix pédagogiques'!$C$4)/('Choix pédagogiques'!$C$5-'Choix pédagogiques'!$C$4),"")</f>
        <v/>
      </c>
      <c r="AS173" s="49" t="str">
        <f>IF(AND('Choix pédagogiques'!$C$4&lt;&gt;"?",'Choix pédagogiques'!$C$5&lt;&gt;"?",X173&lt;&gt;""),(X173-'Choix pédagogiques'!$C$4)/('Choix pédagogiques'!$C$5-'Choix pédagogiques'!$C$4),"")</f>
        <v/>
      </c>
      <c r="AT173" s="49" t="str">
        <f>IF(AND('Choix pédagogiques'!$C$4&lt;&gt;"?",'Choix pédagogiques'!$C$5&lt;&gt;"?",Y173&lt;&gt;""),(Y173-'Choix pédagogiques'!$C$4)/('Choix pédagogiques'!$C$5-'Choix pédagogiques'!$C$4),"")</f>
        <v/>
      </c>
      <c r="AU173" s="22" t="str">
        <f t="shared" si="178"/>
        <v/>
      </c>
      <c r="AV173" s="21" t="str">
        <f t="shared" si="179"/>
        <v>Apprenant 161 ou 161'</v>
      </c>
      <c r="AW173" s="49" t="str">
        <f>IF(AND('Choix pédagogiques'!$C$4&lt;&gt;"?",'Choix pédagogiques'!$C$5&lt;&gt;"?",AB173&lt;&gt;""),(AB173-'Choix pédagogiques'!$C$4)/('Choix pédagogiques'!$C$5-'Choix pédagogiques'!$C$4),"")</f>
        <v/>
      </c>
      <c r="AX173" s="49" t="str">
        <f>IF(AND('Choix pédagogiques'!$C$4&lt;&gt;"?",'Choix pédagogiques'!$C$5&lt;&gt;"?",AC173&lt;&gt;""),(AC173-'Choix pédagogiques'!$C$4)/('Choix pédagogiques'!$C$5-'Choix pédagogiques'!$C$4),"")</f>
        <v/>
      </c>
      <c r="AY173" s="49" t="str">
        <f>IF(AND('Choix pédagogiques'!$C$4&lt;&gt;"?",'Choix pédagogiques'!$C$5&lt;&gt;"?",AD173&lt;&gt;""),(AD173-'Choix pédagogiques'!$C$4)/('Choix pédagogiques'!$C$5-'Choix pédagogiques'!$C$4),"")</f>
        <v/>
      </c>
      <c r="AZ173" s="22" t="str">
        <f t="shared" si="180"/>
        <v/>
      </c>
      <c r="BA173" s="21" t="str">
        <f t="shared" si="181"/>
        <v>Apprenant 161</v>
      </c>
      <c r="BB173" s="49" t="str">
        <f t="shared" si="153"/>
        <v/>
      </c>
      <c r="BC173" s="49" t="str">
        <f t="shared" si="154"/>
        <v/>
      </c>
      <c r="BD173" s="49" t="str">
        <f t="shared" si="155"/>
        <v/>
      </c>
      <c r="BE173" s="22" t="str">
        <f t="shared" si="182"/>
        <v/>
      </c>
      <c r="BF173" s="21" t="str">
        <f t="shared" si="183"/>
        <v>Apprenant 161 ou 161'</v>
      </c>
      <c r="BG173" s="49" t="str">
        <f t="shared" si="156"/>
        <v/>
      </c>
      <c r="BH173" s="49" t="str">
        <f t="shared" si="157"/>
        <v/>
      </c>
      <c r="BI173" s="49" t="str">
        <f t="shared" si="158"/>
        <v/>
      </c>
      <c r="BJ173" s="22" t="str">
        <f t="shared" si="184"/>
        <v/>
      </c>
      <c r="BL173" s="21"/>
      <c r="BM173" s="21" t="str">
        <f>IF(OR(COUNT(B173:D1172)=0,AND('Choix pédagogiques'!$C$3&lt;&gt;1,'Choix pédagogiques'!$C$3&lt;&gt;2)),"",IF(AND(OR('Choix pédagogiques'!$C$3=1,'Choix pédagogiques'!$C$3=2),$B173&lt;&gt;"",$C173&lt;&gt;"",$D173&lt;&gt;""),1,0))</f>
        <v/>
      </c>
      <c r="BN173" s="21" t="str">
        <f>IF(OR(COUNT(G173:I1172)=0,AND('Choix pédagogiques'!$C$3&lt;&gt;1,'Choix pédagogiques'!$C$3&lt;&gt;2)),"",IF(AND(OR('Choix pédagogiques'!$C$3=1,'Choix pédagogiques'!$C$3=2),AND($G173&lt;&gt;"",$H173&lt;&gt;"",$I173&lt;&gt;"")),1,0))</f>
        <v/>
      </c>
      <c r="BO173" s="21" t="str">
        <f>IF(OR(COUNT(B173:D1172)=0,COUNT(G173:I1172)=0,'Choix pédagogiques'!C$3&lt;&gt;3),"",IF(AND('Choix pédagogiques'!$C$3=3,$B173&lt;&gt;"",$C173&lt;&gt;"",$D173&lt;&gt;"",$G173&lt;&gt;"",$H173&lt;&gt;"",$I173&lt;&gt;""),1,0))</f>
        <v/>
      </c>
      <c r="BR173" s="21">
        <v>192</v>
      </c>
      <c r="BS173" s="21">
        <v>1884</v>
      </c>
      <c r="BT173"/>
    </row>
    <row r="174" spans="1:72" s="23" customFormat="1" ht="18" customHeight="1" x14ac:dyDescent="0.3">
      <c r="A174" s="35" t="s">
        <v>164</v>
      </c>
      <c r="B174" s="37"/>
      <c r="C174" s="37"/>
      <c r="D174" s="37"/>
      <c r="E174" s="37"/>
      <c r="F174" s="35" t="s">
        <v>1172</v>
      </c>
      <c r="G174" s="37"/>
      <c r="H174" s="37"/>
      <c r="I174" s="37"/>
      <c r="J174" s="37"/>
      <c r="K174" s="21" t="str">
        <f t="shared" si="159"/>
        <v>Apprenant 162</v>
      </c>
      <c r="L174" s="22" t="str">
        <f t="shared" si="160"/>
        <v/>
      </c>
      <c r="M174" s="22" t="str">
        <f t="shared" si="161"/>
        <v/>
      </c>
      <c r="N174" s="22" t="str">
        <f t="shared" si="162"/>
        <v/>
      </c>
      <c r="O174" s="22" t="str">
        <f t="shared" si="163"/>
        <v/>
      </c>
      <c r="P174" s="21" t="str">
        <f t="shared" si="164"/>
        <v>Apprenant 162 ou 162'</v>
      </c>
      <c r="Q174" s="22" t="str">
        <f t="shared" si="165"/>
        <v/>
      </c>
      <c r="R174" s="22" t="str">
        <f t="shared" si="166"/>
        <v/>
      </c>
      <c r="S174" s="22" t="str">
        <f t="shared" si="167"/>
        <v/>
      </c>
      <c r="T174" s="22" t="str">
        <f t="shared" si="168"/>
        <v/>
      </c>
      <c r="V174" s="21" t="str">
        <f t="shared" si="169"/>
        <v>Apprenant 162</v>
      </c>
      <c r="W174" s="22" t="str">
        <f>IF(AND(OR('Choix pédagogiques'!$C$3=1,'Choix pédagogiques'!$C$3=2),$BM174=1),B174,IF(AND('Choix pédagogiques'!$C$3=3,$BO174=1),B174,""))</f>
        <v/>
      </c>
      <c r="X174" s="22" t="str">
        <f>IF(AND(OR('Choix pédagogiques'!$C$3=1,'Choix pédagogiques'!$C$3=2),$BM174=1),C174,IF(AND('Choix pédagogiques'!$C$3=3,$BO174=1),C174,""))</f>
        <v/>
      </c>
      <c r="Y174" s="22" t="str">
        <f>IF(AND(OR('Choix pédagogiques'!$C$3=1,'Choix pédagogiques'!$C$3=2),$BM174=1),D174,IF(AND('Choix pédagogiques'!$C$3=3,$BO174=1),D174,""))</f>
        <v/>
      </c>
      <c r="Z174" s="22" t="str">
        <f t="shared" si="170"/>
        <v/>
      </c>
      <c r="AA174" s="21" t="str">
        <f t="shared" si="171"/>
        <v>Apprenant 162 ou 162'</v>
      </c>
      <c r="AB174" s="22" t="str">
        <f>IF(AND(OR('Choix pédagogiques'!$C$3=1,'Choix pédagogiques'!$C$3=2),$BN174=1),G174,IF(AND('Choix pédagogiques'!$C$3=3,$BO174=1),G174,""))</f>
        <v/>
      </c>
      <c r="AC174" s="22" t="str">
        <f>IF(AND(OR('Choix pédagogiques'!$C$3=1,'Choix pédagogiques'!$C$3=2),$BN174=1),H174,IF(AND('Choix pédagogiques'!$C$3=3,$BO174=1),H174,""))</f>
        <v/>
      </c>
      <c r="AD174" s="22" t="str">
        <f>IF(AND(OR('Choix pédagogiques'!$C$3=1,'Choix pédagogiques'!$C$3=2),$BN174=1),I174,IF(AND('Choix pédagogiques'!$C$3=3,$BO174=1),I174,""))</f>
        <v/>
      </c>
      <c r="AE174" s="22" t="str">
        <f t="shared" si="172"/>
        <v/>
      </c>
      <c r="AF174" s="21" t="str">
        <f t="shared" si="173"/>
        <v>Apprenant 162</v>
      </c>
      <c r="AG174" s="22" t="str">
        <f t="shared" si="147"/>
        <v/>
      </c>
      <c r="AH174" s="22" t="str">
        <f t="shared" si="148"/>
        <v/>
      </c>
      <c r="AI174" s="22" t="str">
        <f t="shared" si="149"/>
        <v/>
      </c>
      <c r="AJ174" s="22" t="str">
        <f t="shared" si="174"/>
        <v/>
      </c>
      <c r="AK174" s="21" t="str">
        <f t="shared" si="175"/>
        <v>Apprenant 162 ou 162'</v>
      </c>
      <c r="AL174" s="22" t="str">
        <f t="shared" si="150"/>
        <v/>
      </c>
      <c r="AM174" s="22" t="str">
        <f t="shared" si="151"/>
        <v/>
      </c>
      <c r="AN174" s="22" t="str">
        <f t="shared" si="152"/>
        <v/>
      </c>
      <c r="AO174" s="22" t="str">
        <f t="shared" si="176"/>
        <v/>
      </c>
      <c r="AQ174" s="21" t="str">
        <f t="shared" si="177"/>
        <v>Apprenant 162</v>
      </c>
      <c r="AR174" s="49" t="str">
        <f>IF(AND('Choix pédagogiques'!$C$4&lt;&gt;"?",'Choix pédagogiques'!$C$5&lt;&gt;"?",W174&lt;&gt;""),(W174-'Choix pédagogiques'!$C$4)/('Choix pédagogiques'!$C$5-'Choix pédagogiques'!$C$4),"")</f>
        <v/>
      </c>
      <c r="AS174" s="49" t="str">
        <f>IF(AND('Choix pédagogiques'!$C$4&lt;&gt;"?",'Choix pédagogiques'!$C$5&lt;&gt;"?",X174&lt;&gt;""),(X174-'Choix pédagogiques'!$C$4)/('Choix pédagogiques'!$C$5-'Choix pédagogiques'!$C$4),"")</f>
        <v/>
      </c>
      <c r="AT174" s="49" t="str">
        <f>IF(AND('Choix pédagogiques'!$C$4&lt;&gt;"?",'Choix pédagogiques'!$C$5&lt;&gt;"?",Y174&lt;&gt;""),(Y174-'Choix pédagogiques'!$C$4)/('Choix pédagogiques'!$C$5-'Choix pédagogiques'!$C$4),"")</f>
        <v/>
      </c>
      <c r="AU174" s="22" t="str">
        <f t="shared" si="178"/>
        <v/>
      </c>
      <c r="AV174" s="21" t="str">
        <f t="shared" si="179"/>
        <v>Apprenant 162 ou 162'</v>
      </c>
      <c r="AW174" s="49" t="str">
        <f>IF(AND('Choix pédagogiques'!$C$4&lt;&gt;"?",'Choix pédagogiques'!$C$5&lt;&gt;"?",AB174&lt;&gt;""),(AB174-'Choix pédagogiques'!$C$4)/('Choix pédagogiques'!$C$5-'Choix pédagogiques'!$C$4),"")</f>
        <v/>
      </c>
      <c r="AX174" s="49" t="str">
        <f>IF(AND('Choix pédagogiques'!$C$4&lt;&gt;"?",'Choix pédagogiques'!$C$5&lt;&gt;"?",AC174&lt;&gt;""),(AC174-'Choix pédagogiques'!$C$4)/('Choix pédagogiques'!$C$5-'Choix pédagogiques'!$C$4),"")</f>
        <v/>
      </c>
      <c r="AY174" s="49" t="str">
        <f>IF(AND('Choix pédagogiques'!$C$4&lt;&gt;"?",'Choix pédagogiques'!$C$5&lt;&gt;"?",AD174&lt;&gt;""),(AD174-'Choix pédagogiques'!$C$4)/('Choix pédagogiques'!$C$5-'Choix pédagogiques'!$C$4),"")</f>
        <v/>
      </c>
      <c r="AZ174" s="22" t="str">
        <f t="shared" si="180"/>
        <v/>
      </c>
      <c r="BA174" s="21" t="str">
        <f t="shared" si="181"/>
        <v>Apprenant 162</v>
      </c>
      <c r="BB174" s="49" t="str">
        <f t="shared" si="153"/>
        <v/>
      </c>
      <c r="BC174" s="49" t="str">
        <f t="shared" si="154"/>
        <v/>
      </c>
      <c r="BD174" s="49" t="str">
        <f t="shared" si="155"/>
        <v/>
      </c>
      <c r="BE174" s="22" t="str">
        <f t="shared" si="182"/>
        <v/>
      </c>
      <c r="BF174" s="21" t="str">
        <f t="shared" si="183"/>
        <v>Apprenant 162 ou 162'</v>
      </c>
      <c r="BG174" s="49" t="str">
        <f t="shared" si="156"/>
        <v/>
      </c>
      <c r="BH174" s="49" t="str">
        <f t="shared" si="157"/>
        <v/>
      </c>
      <c r="BI174" s="49" t="str">
        <f t="shared" si="158"/>
        <v/>
      </c>
      <c r="BJ174" s="22" t="str">
        <f t="shared" si="184"/>
        <v/>
      </c>
      <c r="BL174" s="21"/>
      <c r="BM174" s="21" t="str">
        <f>IF(OR(COUNT(B174:D1173)=0,AND('Choix pédagogiques'!$C$3&lt;&gt;1,'Choix pédagogiques'!$C$3&lt;&gt;2)),"",IF(AND(OR('Choix pédagogiques'!$C$3=1,'Choix pédagogiques'!$C$3=2),$B174&lt;&gt;"",$C174&lt;&gt;"",$D174&lt;&gt;""),1,0))</f>
        <v/>
      </c>
      <c r="BN174" s="21" t="str">
        <f>IF(OR(COUNT(G174:I1173)=0,AND('Choix pédagogiques'!$C$3&lt;&gt;1,'Choix pédagogiques'!$C$3&lt;&gt;2)),"",IF(AND(OR('Choix pédagogiques'!$C$3=1,'Choix pédagogiques'!$C$3=2),AND($G174&lt;&gt;"",$H174&lt;&gt;"",$I174&lt;&gt;"")),1,0))</f>
        <v/>
      </c>
      <c r="BO174" s="21" t="str">
        <f>IF(OR(COUNT(B174:D1173)=0,COUNT(G174:I1173)=0,'Choix pédagogiques'!C$3&lt;&gt;3),"",IF(AND('Choix pédagogiques'!$C$3=3,$B174&lt;&gt;"",$C174&lt;&gt;"",$D174&lt;&gt;"",$G174&lt;&gt;"",$H174&lt;&gt;"",$I174&lt;&gt;""),1,0))</f>
        <v/>
      </c>
      <c r="BR174" s="21">
        <v>212</v>
      </c>
      <c r="BS174" s="21">
        <v>1036</v>
      </c>
      <c r="BT174"/>
    </row>
    <row r="175" spans="1:72" s="23" customFormat="1" ht="18" customHeight="1" x14ac:dyDescent="0.3">
      <c r="A175" s="35" t="s">
        <v>165</v>
      </c>
      <c r="B175" s="37"/>
      <c r="C175" s="37"/>
      <c r="D175" s="37"/>
      <c r="E175" s="37"/>
      <c r="F175" s="35" t="s">
        <v>1173</v>
      </c>
      <c r="G175" s="37"/>
      <c r="H175" s="37"/>
      <c r="I175" s="37"/>
      <c r="J175" s="37"/>
      <c r="K175" s="21" t="str">
        <f t="shared" si="159"/>
        <v>Apprenant 163</v>
      </c>
      <c r="L175" s="22" t="str">
        <f t="shared" si="160"/>
        <v/>
      </c>
      <c r="M175" s="22" t="str">
        <f t="shared" si="161"/>
        <v/>
      </c>
      <c r="N175" s="22" t="str">
        <f t="shared" si="162"/>
        <v/>
      </c>
      <c r="O175" s="22" t="str">
        <f t="shared" si="163"/>
        <v/>
      </c>
      <c r="P175" s="21" t="str">
        <f t="shared" si="164"/>
        <v>Apprenant 163 ou 163'</v>
      </c>
      <c r="Q175" s="22" t="str">
        <f t="shared" si="165"/>
        <v/>
      </c>
      <c r="R175" s="22" t="str">
        <f t="shared" si="166"/>
        <v/>
      </c>
      <c r="S175" s="22" t="str">
        <f t="shared" si="167"/>
        <v/>
      </c>
      <c r="T175" s="22" t="str">
        <f t="shared" si="168"/>
        <v/>
      </c>
      <c r="V175" s="21" t="str">
        <f t="shared" si="169"/>
        <v>Apprenant 163</v>
      </c>
      <c r="W175" s="22" t="str">
        <f>IF(AND(OR('Choix pédagogiques'!$C$3=1,'Choix pédagogiques'!$C$3=2),$BM175=1),B175,IF(AND('Choix pédagogiques'!$C$3=3,$BO175=1),B175,""))</f>
        <v/>
      </c>
      <c r="X175" s="22" t="str">
        <f>IF(AND(OR('Choix pédagogiques'!$C$3=1,'Choix pédagogiques'!$C$3=2),$BM175=1),C175,IF(AND('Choix pédagogiques'!$C$3=3,$BO175=1),C175,""))</f>
        <v/>
      </c>
      <c r="Y175" s="22" t="str">
        <f>IF(AND(OR('Choix pédagogiques'!$C$3=1,'Choix pédagogiques'!$C$3=2),$BM175=1),D175,IF(AND('Choix pédagogiques'!$C$3=3,$BO175=1),D175,""))</f>
        <v/>
      </c>
      <c r="Z175" s="22" t="str">
        <f t="shared" si="170"/>
        <v/>
      </c>
      <c r="AA175" s="21" t="str">
        <f t="shared" si="171"/>
        <v>Apprenant 163 ou 163'</v>
      </c>
      <c r="AB175" s="22" t="str">
        <f>IF(AND(OR('Choix pédagogiques'!$C$3=1,'Choix pédagogiques'!$C$3=2),$BN175=1),G175,IF(AND('Choix pédagogiques'!$C$3=3,$BO175=1),G175,""))</f>
        <v/>
      </c>
      <c r="AC175" s="22" t="str">
        <f>IF(AND(OR('Choix pédagogiques'!$C$3=1,'Choix pédagogiques'!$C$3=2),$BN175=1),H175,IF(AND('Choix pédagogiques'!$C$3=3,$BO175=1),H175,""))</f>
        <v/>
      </c>
      <c r="AD175" s="22" t="str">
        <f>IF(AND(OR('Choix pédagogiques'!$C$3=1,'Choix pédagogiques'!$C$3=2),$BN175=1),I175,IF(AND('Choix pédagogiques'!$C$3=3,$BO175=1),I175,""))</f>
        <v/>
      </c>
      <c r="AE175" s="22" t="str">
        <f t="shared" si="172"/>
        <v/>
      </c>
      <c r="AF175" s="21" t="str">
        <f t="shared" si="173"/>
        <v>Apprenant 163</v>
      </c>
      <c r="AG175" s="22" t="str">
        <f t="shared" si="147"/>
        <v/>
      </c>
      <c r="AH175" s="22" t="str">
        <f t="shared" si="148"/>
        <v/>
      </c>
      <c r="AI175" s="22" t="str">
        <f t="shared" si="149"/>
        <v/>
      </c>
      <c r="AJ175" s="22" t="str">
        <f t="shared" si="174"/>
        <v/>
      </c>
      <c r="AK175" s="21" t="str">
        <f t="shared" si="175"/>
        <v>Apprenant 163 ou 163'</v>
      </c>
      <c r="AL175" s="22" t="str">
        <f t="shared" si="150"/>
        <v/>
      </c>
      <c r="AM175" s="22" t="str">
        <f t="shared" si="151"/>
        <v/>
      </c>
      <c r="AN175" s="22" t="str">
        <f t="shared" si="152"/>
        <v/>
      </c>
      <c r="AO175" s="22" t="str">
        <f t="shared" si="176"/>
        <v/>
      </c>
      <c r="AQ175" s="21" t="str">
        <f t="shared" si="177"/>
        <v>Apprenant 163</v>
      </c>
      <c r="AR175" s="49" t="str">
        <f>IF(AND('Choix pédagogiques'!$C$4&lt;&gt;"?",'Choix pédagogiques'!$C$5&lt;&gt;"?",W175&lt;&gt;""),(W175-'Choix pédagogiques'!$C$4)/('Choix pédagogiques'!$C$5-'Choix pédagogiques'!$C$4),"")</f>
        <v/>
      </c>
      <c r="AS175" s="49" t="str">
        <f>IF(AND('Choix pédagogiques'!$C$4&lt;&gt;"?",'Choix pédagogiques'!$C$5&lt;&gt;"?",X175&lt;&gt;""),(X175-'Choix pédagogiques'!$C$4)/('Choix pédagogiques'!$C$5-'Choix pédagogiques'!$C$4),"")</f>
        <v/>
      </c>
      <c r="AT175" s="49" t="str">
        <f>IF(AND('Choix pédagogiques'!$C$4&lt;&gt;"?",'Choix pédagogiques'!$C$5&lt;&gt;"?",Y175&lt;&gt;""),(Y175-'Choix pédagogiques'!$C$4)/('Choix pédagogiques'!$C$5-'Choix pédagogiques'!$C$4),"")</f>
        <v/>
      </c>
      <c r="AU175" s="22" t="str">
        <f t="shared" si="178"/>
        <v/>
      </c>
      <c r="AV175" s="21" t="str">
        <f t="shared" si="179"/>
        <v>Apprenant 163 ou 163'</v>
      </c>
      <c r="AW175" s="49" t="str">
        <f>IF(AND('Choix pédagogiques'!$C$4&lt;&gt;"?",'Choix pédagogiques'!$C$5&lt;&gt;"?",AB175&lt;&gt;""),(AB175-'Choix pédagogiques'!$C$4)/('Choix pédagogiques'!$C$5-'Choix pédagogiques'!$C$4),"")</f>
        <v/>
      </c>
      <c r="AX175" s="49" t="str">
        <f>IF(AND('Choix pédagogiques'!$C$4&lt;&gt;"?",'Choix pédagogiques'!$C$5&lt;&gt;"?",AC175&lt;&gt;""),(AC175-'Choix pédagogiques'!$C$4)/('Choix pédagogiques'!$C$5-'Choix pédagogiques'!$C$4),"")</f>
        <v/>
      </c>
      <c r="AY175" s="49" t="str">
        <f>IF(AND('Choix pédagogiques'!$C$4&lt;&gt;"?",'Choix pédagogiques'!$C$5&lt;&gt;"?",AD175&lt;&gt;""),(AD175-'Choix pédagogiques'!$C$4)/('Choix pédagogiques'!$C$5-'Choix pédagogiques'!$C$4),"")</f>
        <v/>
      </c>
      <c r="AZ175" s="22" t="str">
        <f t="shared" si="180"/>
        <v/>
      </c>
      <c r="BA175" s="21" t="str">
        <f t="shared" si="181"/>
        <v>Apprenant 163</v>
      </c>
      <c r="BB175" s="49" t="str">
        <f t="shared" si="153"/>
        <v/>
      </c>
      <c r="BC175" s="49" t="str">
        <f t="shared" si="154"/>
        <v/>
      </c>
      <c r="BD175" s="49" t="str">
        <f t="shared" si="155"/>
        <v/>
      </c>
      <c r="BE175" s="22" t="str">
        <f t="shared" si="182"/>
        <v/>
      </c>
      <c r="BF175" s="21" t="str">
        <f t="shared" si="183"/>
        <v>Apprenant 163 ou 163'</v>
      </c>
      <c r="BG175" s="49" t="str">
        <f t="shared" si="156"/>
        <v/>
      </c>
      <c r="BH175" s="49" t="str">
        <f t="shared" si="157"/>
        <v/>
      </c>
      <c r="BI175" s="49" t="str">
        <f t="shared" si="158"/>
        <v/>
      </c>
      <c r="BJ175" s="22" t="str">
        <f t="shared" si="184"/>
        <v/>
      </c>
      <c r="BL175" s="21"/>
      <c r="BM175" s="21" t="str">
        <f>IF(OR(COUNT(B175:D1174)=0,AND('Choix pédagogiques'!$C$3&lt;&gt;1,'Choix pédagogiques'!$C$3&lt;&gt;2)),"",IF(AND(OR('Choix pédagogiques'!$C$3=1,'Choix pédagogiques'!$C$3=2),$B175&lt;&gt;"",$C175&lt;&gt;"",$D175&lt;&gt;""),1,0))</f>
        <v/>
      </c>
      <c r="BN175" s="21" t="str">
        <f>IF(OR(COUNT(G175:I1174)=0,AND('Choix pédagogiques'!$C$3&lt;&gt;1,'Choix pédagogiques'!$C$3&lt;&gt;2)),"",IF(AND(OR('Choix pédagogiques'!$C$3=1,'Choix pédagogiques'!$C$3=2),AND($G175&lt;&gt;"",$H175&lt;&gt;"",$I175&lt;&gt;"")),1,0))</f>
        <v/>
      </c>
      <c r="BO175" s="21" t="str">
        <f>IF(OR(COUNT(B175:D1174)=0,COUNT(G175:I1174)=0,'Choix pédagogiques'!C$3&lt;&gt;3),"",IF(AND('Choix pédagogiques'!$C$3=3,$B175&lt;&gt;"",$C175&lt;&gt;"",$D175&lt;&gt;"",$G175&lt;&gt;"",$H175&lt;&gt;"",$I175&lt;&gt;""),1,0))</f>
        <v/>
      </c>
      <c r="BR175" s="21">
        <v>982</v>
      </c>
      <c r="BS175" s="21">
        <v>1210</v>
      </c>
      <c r="BT175"/>
    </row>
    <row r="176" spans="1:72" s="23" customFormat="1" ht="18" customHeight="1" x14ac:dyDescent="0.3">
      <c r="A176" s="35" t="s">
        <v>166</v>
      </c>
      <c r="B176" s="37"/>
      <c r="C176" s="37"/>
      <c r="D176" s="37"/>
      <c r="E176" s="37"/>
      <c r="F176" s="35" t="s">
        <v>1174</v>
      </c>
      <c r="G176" s="37"/>
      <c r="H176" s="37"/>
      <c r="I176" s="37"/>
      <c r="J176" s="37"/>
      <c r="K176" s="21" t="str">
        <f t="shared" si="159"/>
        <v>Apprenant 164</v>
      </c>
      <c r="L176" s="22" t="str">
        <f t="shared" si="160"/>
        <v/>
      </c>
      <c r="M176" s="22" t="str">
        <f t="shared" si="161"/>
        <v/>
      </c>
      <c r="N176" s="22" t="str">
        <f t="shared" si="162"/>
        <v/>
      </c>
      <c r="O176" s="22" t="str">
        <f t="shared" si="163"/>
        <v/>
      </c>
      <c r="P176" s="21" t="str">
        <f t="shared" si="164"/>
        <v>Apprenant 164 ou 164'</v>
      </c>
      <c r="Q176" s="22" t="str">
        <f t="shared" si="165"/>
        <v/>
      </c>
      <c r="R176" s="22" t="str">
        <f t="shared" si="166"/>
        <v/>
      </c>
      <c r="S176" s="22" t="str">
        <f t="shared" si="167"/>
        <v/>
      </c>
      <c r="T176" s="22" t="str">
        <f t="shared" si="168"/>
        <v/>
      </c>
      <c r="V176" s="21" t="str">
        <f t="shared" si="169"/>
        <v>Apprenant 164</v>
      </c>
      <c r="W176" s="22" t="str">
        <f>IF(AND(OR('Choix pédagogiques'!$C$3=1,'Choix pédagogiques'!$C$3=2),$BM176=1),B176,IF(AND('Choix pédagogiques'!$C$3=3,$BO176=1),B176,""))</f>
        <v/>
      </c>
      <c r="X176" s="22" t="str">
        <f>IF(AND(OR('Choix pédagogiques'!$C$3=1,'Choix pédagogiques'!$C$3=2),$BM176=1),C176,IF(AND('Choix pédagogiques'!$C$3=3,$BO176=1),C176,""))</f>
        <v/>
      </c>
      <c r="Y176" s="22" t="str">
        <f>IF(AND(OR('Choix pédagogiques'!$C$3=1,'Choix pédagogiques'!$C$3=2),$BM176=1),D176,IF(AND('Choix pédagogiques'!$C$3=3,$BO176=1),D176,""))</f>
        <v/>
      </c>
      <c r="Z176" s="22" t="str">
        <f t="shared" si="170"/>
        <v/>
      </c>
      <c r="AA176" s="21" t="str">
        <f t="shared" si="171"/>
        <v>Apprenant 164 ou 164'</v>
      </c>
      <c r="AB176" s="22" t="str">
        <f>IF(AND(OR('Choix pédagogiques'!$C$3=1,'Choix pédagogiques'!$C$3=2),$BN176=1),G176,IF(AND('Choix pédagogiques'!$C$3=3,$BO176=1),G176,""))</f>
        <v/>
      </c>
      <c r="AC176" s="22" t="str">
        <f>IF(AND(OR('Choix pédagogiques'!$C$3=1,'Choix pédagogiques'!$C$3=2),$BN176=1),H176,IF(AND('Choix pédagogiques'!$C$3=3,$BO176=1),H176,""))</f>
        <v/>
      </c>
      <c r="AD176" s="22" t="str">
        <f>IF(AND(OR('Choix pédagogiques'!$C$3=1,'Choix pédagogiques'!$C$3=2),$BN176=1),I176,IF(AND('Choix pédagogiques'!$C$3=3,$BO176=1),I176,""))</f>
        <v/>
      </c>
      <c r="AE176" s="22" t="str">
        <f t="shared" si="172"/>
        <v/>
      </c>
      <c r="AF176" s="21" t="str">
        <f t="shared" si="173"/>
        <v>Apprenant 164</v>
      </c>
      <c r="AG176" s="22" t="str">
        <f t="shared" si="147"/>
        <v/>
      </c>
      <c r="AH176" s="22" t="str">
        <f t="shared" si="148"/>
        <v/>
      </c>
      <c r="AI176" s="22" t="str">
        <f t="shared" si="149"/>
        <v/>
      </c>
      <c r="AJ176" s="22" t="str">
        <f t="shared" si="174"/>
        <v/>
      </c>
      <c r="AK176" s="21" t="str">
        <f t="shared" si="175"/>
        <v>Apprenant 164 ou 164'</v>
      </c>
      <c r="AL176" s="22" t="str">
        <f t="shared" si="150"/>
        <v/>
      </c>
      <c r="AM176" s="22" t="str">
        <f t="shared" si="151"/>
        <v/>
      </c>
      <c r="AN176" s="22" t="str">
        <f t="shared" si="152"/>
        <v/>
      </c>
      <c r="AO176" s="22" t="str">
        <f t="shared" si="176"/>
        <v/>
      </c>
      <c r="AQ176" s="21" t="str">
        <f t="shared" si="177"/>
        <v>Apprenant 164</v>
      </c>
      <c r="AR176" s="49" t="str">
        <f>IF(AND('Choix pédagogiques'!$C$4&lt;&gt;"?",'Choix pédagogiques'!$C$5&lt;&gt;"?",W176&lt;&gt;""),(W176-'Choix pédagogiques'!$C$4)/('Choix pédagogiques'!$C$5-'Choix pédagogiques'!$C$4),"")</f>
        <v/>
      </c>
      <c r="AS176" s="49" t="str">
        <f>IF(AND('Choix pédagogiques'!$C$4&lt;&gt;"?",'Choix pédagogiques'!$C$5&lt;&gt;"?",X176&lt;&gt;""),(X176-'Choix pédagogiques'!$C$4)/('Choix pédagogiques'!$C$5-'Choix pédagogiques'!$C$4),"")</f>
        <v/>
      </c>
      <c r="AT176" s="49" t="str">
        <f>IF(AND('Choix pédagogiques'!$C$4&lt;&gt;"?",'Choix pédagogiques'!$C$5&lt;&gt;"?",Y176&lt;&gt;""),(Y176-'Choix pédagogiques'!$C$4)/('Choix pédagogiques'!$C$5-'Choix pédagogiques'!$C$4),"")</f>
        <v/>
      </c>
      <c r="AU176" s="22" t="str">
        <f t="shared" si="178"/>
        <v/>
      </c>
      <c r="AV176" s="21" t="str">
        <f t="shared" si="179"/>
        <v>Apprenant 164 ou 164'</v>
      </c>
      <c r="AW176" s="49" t="str">
        <f>IF(AND('Choix pédagogiques'!$C$4&lt;&gt;"?",'Choix pédagogiques'!$C$5&lt;&gt;"?",AB176&lt;&gt;""),(AB176-'Choix pédagogiques'!$C$4)/('Choix pédagogiques'!$C$5-'Choix pédagogiques'!$C$4),"")</f>
        <v/>
      </c>
      <c r="AX176" s="49" t="str">
        <f>IF(AND('Choix pédagogiques'!$C$4&lt;&gt;"?",'Choix pédagogiques'!$C$5&lt;&gt;"?",AC176&lt;&gt;""),(AC176-'Choix pédagogiques'!$C$4)/('Choix pédagogiques'!$C$5-'Choix pédagogiques'!$C$4),"")</f>
        <v/>
      </c>
      <c r="AY176" s="49" t="str">
        <f>IF(AND('Choix pédagogiques'!$C$4&lt;&gt;"?",'Choix pédagogiques'!$C$5&lt;&gt;"?",AD176&lt;&gt;""),(AD176-'Choix pédagogiques'!$C$4)/('Choix pédagogiques'!$C$5-'Choix pédagogiques'!$C$4),"")</f>
        <v/>
      </c>
      <c r="AZ176" s="22" t="str">
        <f t="shared" si="180"/>
        <v/>
      </c>
      <c r="BA176" s="21" t="str">
        <f t="shared" si="181"/>
        <v>Apprenant 164</v>
      </c>
      <c r="BB176" s="49" t="str">
        <f t="shared" si="153"/>
        <v/>
      </c>
      <c r="BC176" s="49" t="str">
        <f t="shared" si="154"/>
        <v/>
      </c>
      <c r="BD176" s="49" t="str">
        <f t="shared" si="155"/>
        <v/>
      </c>
      <c r="BE176" s="22" t="str">
        <f t="shared" si="182"/>
        <v/>
      </c>
      <c r="BF176" s="21" t="str">
        <f t="shared" si="183"/>
        <v>Apprenant 164 ou 164'</v>
      </c>
      <c r="BG176" s="49" t="str">
        <f t="shared" si="156"/>
        <v/>
      </c>
      <c r="BH176" s="49" t="str">
        <f t="shared" si="157"/>
        <v/>
      </c>
      <c r="BI176" s="49" t="str">
        <f t="shared" si="158"/>
        <v/>
      </c>
      <c r="BJ176" s="22" t="str">
        <f t="shared" si="184"/>
        <v/>
      </c>
      <c r="BL176" s="21"/>
      <c r="BM176" s="21" t="str">
        <f>IF(OR(COUNT(B176:D1175)=0,AND('Choix pédagogiques'!$C$3&lt;&gt;1,'Choix pédagogiques'!$C$3&lt;&gt;2)),"",IF(AND(OR('Choix pédagogiques'!$C$3=1,'Choix pédagogiques'!$C$3=2),$B176&lt;&gt;"",$C176&lt;&gt;"",$D176&lt;&gt;""),1,0))</f>
        <v/>
      </c>
      <c r="BN176" s="21" t="str">
        <f>IF(OR(COUNT(G176:I1175)=0,AND('Choix pédagogiques'!$C$3&lt;&gt;1,'Choix pédagogiques'!$C$3&lt;&gt;2)),"",IF(AND(OR('Choix pédagogiques'!$C$3=1,'Choix pédagogiques'!$C$3=2),AND($G176&lt;&gt;"",$H176&lt;&gt;"",$I176&lt;&gt;"")),1,0))</f>
        <v/>
      </c>
      <c r="BO176" s="21" t="str">
        <f>IF(OR(COUNT(B176:D1175)=0,COUNT(G176:I1175)=0,'Choix pédagogiques'!C$3&lt;&gt;3),"",IF(AND('Choix pédagogiques'!$C$3=3,$B176&lt;&gt;"",$C176&lt;&gt;"",$D176&lt;&gt;"",$G176&lt;&gt;"",$H176&lt;&gt;"",$I176&lt;&gt;""),1,0))</f>
        <v/>
      </c>
      <c r="BR176" s="21">
        <v>229</v>
      </c>
      <c r="BS176" s="21">
        <v>1574</v>
      </c>
      <c r="BT176"/>
    </row>
    <row r="177" spans="1:72" s="23" customFormat="1" ht="18" customHeight="1" x14ac:dyDescent="0.3">
      <c r="A177" s="35" t="s">
        <v>167</v>
      </c>
      <c r="B177" s="37"/>
      <c r="C177" s="37"/>
      <c r="D177" s="37"/>
      <c r="E177" s="37"/>
      <c r="F177" s="35" t="s">
        <v>1175</v>
      </c>
      <c r="G177" s="37"/>
      <c r="H177" s="37"/>
      <c r="I177" s="37"/>
      <c r="J177" s="37"/>
      <c r="K177" s="21" t="str">
        <f t="shared" si="159"/>
        <v>Apprenant 165</v>
      </c>
      <c r="L177" s="22" t="str">
        <f t="shared" si="160"/>
        <v/>
      </c>
      <c r="M177" s="22" t="str">
        <f t="shared" si="161"/>
        <v/>
      </c>
      <c r="N177" s="22" t="str">
        <f t="shared" si="162"/>
        <v/>
      </c>
      <c r="O177" s="22" t="str">
        <f t="shared" si="163"/>
        <v/>
      </c>
      <c r="P177" s="21" t="str">
        <f t="shared" si="164"/>
        <v>Apprenant 165 ou 165'</v>
      </c>
      <c r="Q177" s="22" t="str">
        <f t="shared" si="165"/>
        <v/>
      </c>
      <c r="R177" s="22" t="str">
        <f t="shared" si="166"/>
        <v/>
      </c>
      <c r="S177" s="22" t="str">
        <f t="shared" si="167"/>
        <v/>
      </c>
      <c r="T177" s="22" t="str">
        <f t="shared" si="168"/>
        <v/>
      </c>
      <c r="V177" s="21" t="str">
        <f t="shared" si="169"/>
        <v>Apprenant 165</v>
      </c>
      <c r="W177" s="22" t="str">
        <f>IF(AND(OR('Choix pédagogiques'!$C$3=1,'Choix pédagogiques'!$C$3=2),$BM177=1),B177,IF(AND('Choix pédagogiques'!$C$3=3,$BO177=1),B177,""))</f>
        <v/>
      </c>
      <c r="X177" s="22" t="str">
        <f>IF(AND(OR('Choix pédagogiques'!$C$3=1,'Choix pédagogiques'!$C$3=2),$BM177=1),C177,IF(AND('Choix pédagogiques'!$C$3=3,$BO177=1),C177,""))</f>
        <v/>
      </c>
      <c r="Y177" s="22" t="str">
        <f>IF(AND(OR('Choix pédagogiques'!$C$3=1,'Choix pédagogiques'!$C$3=2),$BM177=1),D177,IF(AND('Choix pédagogiques'!$C$3=3,$BO177=1),D177,""))</f>
        <v/>
      </c>
      <c r="Z177" s="22" t="str">
        <f t="shared" si="170"/>
        <v/>
      </c>
      <c r="AA177" s="21" t="str">
        <f t="shared" si="171"/>
        <v>Apprenant 165 ou 165'</v>
      </c>
      <c r="AB177" s="22" t="str">
        <f>IF(AND(OR('Choix pédagogiques'!$C$3=1,'Choix pédagogiques'!$C$3=2),$BN177=1),G177,IF(AND('Choix pédagogiques'!$C$3=3,$BO177=1),G177,""))</f>
        <v/>
      </c>
      <c r="AC177" s="22" t="str">
        <f>IF(AND(OR('Choix pédagogiques'!$C$3=1,'Choix pédagogiques'!$C$3=2),$BN177=1),H177,IF(AND('Choix pédagogiques'!$C$3=3,$BO177=1),H177,""))</f>
        <v/>
      </c>
      <c r="AD177" s="22" t="str">
        <f>IF(AND(OR('Choix pédagogiques'!$C$3=1,'Choix pédagogiques'!$C$3=2),$BN177=1),I177,IF(AND('Choix pédagogiques'!$C$3=3,$BO177=1),I177,""))</f>
        <v/>
      </c>
      <c r="AE177" s="22" t="str">
        <f t="shared" si="172"/>
        <v/>
      </c>
      <c r="AF177" s="21" t="str">
        <f t="shared" si="173"/>
        <v>Apprenant 165</v>
      </c>
      <c r="AG177" s="22" t="str">
        <f t="shared" si="147"/>
        <v/>
      </c>
      <c r="AH177" s="22" t="str">
        <f t="shared" si="148"/>
        <v/>
      </c>
      <c r="AI177" s="22" t="str">
        <f t="shared" si="149"/>
        <v/>
      </c>
      <c r="AJ177" s="22" t="str">
        <f t="shared" si="174"/>
        <v/>
      </c>
      <c r="AK177" s="21" t="str">
        <f t="shared" si="175"/>
        <v>Apprenant 165 ou 165'</v>
      </c>
      <c r="AL177" s="22" t="str">
        <f t="shared" si="150"/>
        <v/>
      </c>
      <c r="AM177" s="22" t="str">
        <f t="shared" si="151"/>
        <v/>
      </c>
      <c r="AN177" s="22" t="str">
        <f t="shared" si="152"/>
        <v/>
      </c>
      <c r="AO177" s="22" t="str">
        <f t="shared" si="176"/>
        <v/>
      </c>
      <c r="AQ177" s="21" t="str">
        <f t="shared" si="177"/>
        <v>Apprenant 165</v>
      </c>
      <c r="AR177" s="49" t="str">
        <f>IF(AND('Choix pédagogiques'!$C$4&lt;&gt;"?",'Choix pédagogiques'!$C$5&lt;&gt;"?",W177&lt;&gt;""),(W177-'Choix pédagogiques'!$C$4)/('Choix pédagogiques'!$C$5-'Choix pédagogiques'!$C$4),"")</f>
        <v/>
      </c>
      <c r="AS177" s="49" t="str">
        <f>IF(AND('Choix pédagogiques'!$C$4&lt;&gt;"?",'Choix pédagogiques'!$C$5&lt;&gt;"?",X177&lt;&gt;""),(X177-'Choix pédagogiques'!$C$4)/('Choix pédagogiques'!$C$5-'Choix pédagogiques'!$C$4),"")</f>
        <v/>
      </c>
      <c r="AT177" s="49" t="str">
        <f>IF(AND('Choix pédagogiques'!$C$4&lt;&gt;"?",'Choix pédagogiques'!$C$5&lt;&gt;"?",Y177&lt;&gt;""),(Y177-'Choix pédagogiques'!$C$4)/('Choix pédagogiques'!$C$5-'Choix pédagogiques'!$C$4),"")</f>
        <v/>
      </c>
      <c r="AU177" s="22" t="str">
        <f t="shared" si="178"/>
        <v/>
      </c>
      <c r="AV177" s="21" t="str">
        <f t="shared" si="179"/>
        <v>Apprenant 165 ou 165'</v>
      </c>
      <c r="AW177" s="49" t="str">
        <f>IF(AND('Choix pédagogiques'!$C$4&lt;&gt;"?",'Choix pédagogiques'!$C$5&lt;&gt;"?",AB177&lt;&gt;""),(AB177-'Choix pédagogiques'!$C$4)/('Choix pédagogiques'!$C$5-'Choix pédagogiques'!$C$4),"")</f>
        <v/>
      </c>
      <c r="AX177" s="49" t="str">
        <f>IF(AND('Choix pédagogiques'!$C$4&lt;&gt;"?",'Choix pédagogiques'!$C$5&lt;&gt;"?",AC177&lt;&gt;""),(AC177-'Choix pédagogiques'!$C$4)/('Choix pédagogiques'!$C$5-'Choix pédagogiques'!$C$4),"")</f>
        <v/>
      </c>
      <c r="AY177" s="49" t="str">
        <f>IF(AND('Choix pédagogiques'!$C$4&lt;&gt;"?",'Choix pédagogiques'!$C$5&lt;&gt;"?",AD177&lt;&gt;""),(AD177-'Choix pédagogiques'!$C$4)/('Choix pédagogiques'!$C$5-'Choix pédagogiques'!$C$4),"")</f>
        <v/>
      </c>
      <c r="AZ177" s="22" t="str">
        <f t="shared" si="180"/>
        <v/>
      </c>
      <c r="BA177" s="21" t="str">
        <f t="shared" si="181"/>
        <v>Apprenant 165</v>
      </c>
      <c r="BB177" s="49" t="str">
        <f t="shared" si="153"/>
        <v/>
      </c>
      <c r="BC177" s="49" t="str">
        <f t="shared" si="154"/>
        <v/>
      </c>
      <c r="BD177" s="49" t="str">
        <f t="shared" si="155"/>
        <v/>
      </c>
      <c r="BE177" s="22" t="str">
        <f t="shared" si="182"/>
        <v/>
      </c>
      <c r="BF177" s="21" t="str">
        <f t="shared" si="183"/>
        <v>Apprenant 165 ou 165'</v>
      </c>
      <c r="BG177" s="49" t="str">
        <f t="shared" si="156"/>
        <v/>
      </c>
      <c r="BH177" s="49" t="str">
        <f t="shared" si="157"/>
        <v/>
      </c>
      <c r="BI177" s="49" t="str">
        <f t="shared" si="158"/>
        <v/>
      </c>
      <c r="BJ177" s="22" t="str">
        <f t="shared" si="184"/>
        <v/>
      </c>
      <c r="BL177" s="21"/>
      <c r="BM177" s="21" t="str">
        <f>IF(OR(COUNT(B177:D1176)=0,AND('Choix pédagogiques'!$C$3&lt;&gt;1,'Choix pédagogiques'!$C$3&lt;&gt;2)),"",IF(AND(OR('Choix pédagogiques'!$C$3=1,'Choix pédagogiques'!$C$3=2),$B177&lt;&gt;"",$C177&lt;&gt;"",$D177&lt;&gt;""),1,0))</f>
        <v/>
      </c>
      <c r="BN177" s="21" t="str">
        <f>IF(OR(COUNT(G177:I1176)=0,AND('Choix pédagogiques'!$C$3&lt;&gt;1,'Choix pédagogiques'!$C$3&lt;&gt;2)),"",IF(AND(OR('Choix pédagogiques'!$C$3=1,'Choix pédagogiques'!$C$3=2),AND($G177&lt;&gt;"",$H177&lt;&gt;"",$I177&lt;&gt;"")),1,0))</f>
        <v/>
      </c>
      <c r="BO177" s="21" t="str">
        <f>IF(OR(COUNT(B177:D1176)=0,COUNT(G177:I1176)=0,'Choix pédagogiques'!C$3&lt;&gt;3),"",IF(AND('Choix pédagogiques'!$C$3=3,$B177&lt;&gt;"",$C177&lt;&gt;"",$D177&lt;&gt;"",$G177&lt;&gt;"",$H177&lt;&gt;"",$I177&lt;&gt;""),1,0))</f>
        <v/>
      </c>
      <c r="BR177" s="21">
        <v>206</v>
      </c>
      <c r="BS177" s="21">
        <v>1211</v>
      </c>
      <c r="BT177"/>
    </row>
    <row r="178" spans="1:72" s="23" customFormat="1" ht="18" customHeight="1" x14ac:dyDescent="0.3">
      <c r="A178" s="35" t="s">
        <v>168</v>
      </c>
      <c r="B178" s="37"/>
      <c r="C178" s="37"/>
      <c r="D178" s="37"/>
      <c r="E178" s="37"/>
      <c r="F178" s="35" t="s">
        <v>1176</v>
      </c>
      <c r="G178" s="37"/>
      <c r="H178" s="37"/>
      <c r="I178" s="37"/>
      <c r="J178" s="37"/>
      <c r="K178" s="21" t="str">
        <f t="shared" si="159"/>
        <v>Apprenant 166</v>
      </c>
      <c r="L178" s="22" t="str">
        <f t="shared" si="160"/>
        <v/>
      </c>
      <c r="M178" s="22" t="str">
        <f t="shared" si="161"/>
        <v/>
      </c>
      <c r="N178" s="22" t="str">
        <f t="shared" si="162"/>
        <v/>
      </c>
      <c r="O178" s="22" t="str">
        <f t="shared" si="163"/>
        <v/>
      </c>
      <c r="P178" s="21" t="str">
        <f t="shared" si="164"/>
        <v>Apprenant 166 ou 166'</v>
      </c>
      <c r="Q178" s="22" t="str">
        <f t="shared" si="165"/>
        <v/>
      </c>
      <c r="R178" s="22" t="str">
        <f t="shared" si="166"/>
        <v/>
      </c>
      <c r="S178" s="22" t="str">
        <f t="shared" si="167"/>
        <v/>
      </c>
      <c r="T178" s="22" t="str">
        <f t="shared" si="168"/>
        <v/>
      </c>
      <c r="V178" s="21" t="str">
        <f t="shared" si="169"/>
        <v>Apprenant 166</v>
      </c>
      <c r="W178" s="22" t="str">
        <f>IF(AND(OR('Choix pédagogiques'!$C$3=1,'Choix pédagogiques'!$C$3=2),$BM178=1),B178,IF(AND('Choix pédagogiques'!$C$3=3,$BO178=1),B178,""))</f>
        <v/>
      </c>
      <c r="X178" s="22" t="str">
        <f>IF(AND(OR('Choix pédagogiques'!$C$3=1,'Choix pédagogiques'!$C$3=2),$BM178=1),C178,IF(AND('Choix pédagogiques'!$C$3=3,$BO178=1),C178,""))</f>
        <v/>
      </c>
      <c r="Y178" s="22" t="str">
        <f>IF(AND(OR('Choix pédagogiques'!$C$3=1,'Choix pédagogiques'!$C$3=2),$BM178=1),D178,IF(AND('Choix pédagogiques'!$C$3=3,$BO178=1),D178,""))</f>
        <v/>
      </c>
      <c r="Z178" s="22" t="str">
        <f t="shared" si="170"/>
        <v/>
      </c>
      <c r="AA178" s="21" t="str">
        <f t="shared" si="171"/>
        <v>Apprenant 166 ou 166'</v>
      </c>
      <c r="AB178" s="22" t="str">
        <f>IF(AND(OR('Choix pédagogiques'!$C$3=1,'Choix pédagogiques'!$C$3=2),$BN178=1),G178,IF(AND('Choix pédagogiques'!$C$3=3,$BO178=1),G178,""))</f>
        <v/>
      </c>
      <c r="AC178" s="22" t="str">
        <f>IF(AND(OR('Choix pédagogiques'!$C$3=1,'Choix pédagogiques'!$C$3=2),$BN178=1),H178,IF(AND('Choix pédagogiques'!$C$3=3,$BO178=1),H178,""))</f>
        <v/>
      </c>
      <c r="AD178" s="22" t="str">
        <f>IF(AND(OR('Choix pédagogiques'!$C$3=1,'Choix pédagogiques'!$C$3=2),$BN178=1),I178,IF(AND('Choix pédagogiques'!$C$3=3,$BO178=1),I178,""))</f>
        <v/>
      </c>
      <c r="AE178" s="22" t="str">
        <f t="shared" si="172"/>
        <v/>
      </c>
      <c r="AF178" s="21" t="str">
        <f t="shared" si="173"/>
        <v>Apprenant 166</v>
      </c>
      <c r="AG178" s="22" t="str">
        <f t="shared" si="147"/>
        <v/>
      </c>
      <c r="AH178" s="22" t="str">
        <f t="shared" si="148"/>
        <v/>
      </c>
      <c r="AI178" s="22" t="str">
        <f t="shared" si="149"/>
        <v/>
      </c>
      <c r="AJ178" s="22" t="str">
        <f t="shared" si="174"/>
        <v/>
      </c>
      <c r="AK178" s="21" t="str">
        <f t="shared" si="175"/>
        <v>Apprenant 166 ou 166'</v>
      </c>
      <c r="AL178" s="22" t="str">
        <f t="shared" si="150"/>
        <v/>
      </c>
      <c r="AM178" s="22" t="str">
        <f t="shared" si="151"/>
        <v/>
      </c>
      <c r="AN178" s="22" t="str">
        <f t="shared" si="152"/>
        <v/>
      </c>
      <c r="AO178" s="22" t="str">
        <f t="shared" si="176"/>
        <v/>
      </c>
      <c r="AQ178" s="21" t="str">
        <f t="shared" si="177"/>
        <v>Apprenant 166</v>
      </c>
      <c r="AR178" s="49" t="str">
        <f>IF(AND('Choix pédagogiques'!$C$4&lt;&gt;"?",'Choix pédagogiques'!$C$5&lt;&gt;"?",W178&lt;&gt;""),(W178-'Choix pédagogiques'!$C$4)/('Choix pédagogiques'!$C$5-'Choix pédagogiques'!$C$4),"")</f>
        <v/>
      </c>
      <c r="AS178" s="49" t="str">
        <f>IF(AND('Choix pédagogiques'!$C$4&lt;&gt;"?",'Choix pédagogiques'!$C$5&lt;&gt;"?",X178&lt;&gt;""),(X178-'Choix pédagogiques'!$C$4)/('Choix pédagogiques'!$C$5-'Choix pédagogiques'!$C$4),"")</f>
        <v/>
      </c>
      <c r="AT178" s="49" t="str">
        <f>IF(AND('Choix pédagogiques'!$C$4&lt;&gt;"?",'Choix pédagogiques'!$C$5&lt;&gt;"?",Y178&lt;&gt;""),(Y178-'Choix pédagogiques'!$C$4)/('Choix pédagogiques'!$C$5-'Choix pédagogiques'!$C$4),"")</f>
        <v/>
      </c>
      <c r="AU178" s="22" t="str">
        <f t="shared" si="178"/>
        <v/>
      </c>
      <c r="AV178" s="21" t="str">
        <f t="shared" si="179"/>
        <v>Apprenant 166 ou 166'</v>
      </c>
      <c r="AW178" s="49" t="str">
        <f>IF(AND('Choix pédagogiques'!$C$4&lt;&gt;"?",'Choix pédagogiques'!$C$5&lt;&gt;"?",AB178&lt;&gt;""),(AB178-'Choix pédagogiques'!$C$4)/('Choix pédagogiques'!$C$5-'Choix pédagogiques'!$C$4),"")</f>
        <v/>
      </c>
      <c r="AX178" s="49" t="str">
        <f>IF(AND('Choix pédagogiques'!$C$4&lt;&gt;"?",'Choix pédagogiques'!$C$5&lt;&gt;"?",AC178&lt;&gt;""),(AC178-'Choix pédagogiques'!$C$4)/('Choix pédagogiques'!$C$5-'Choix pédagogiques'!$C$4),"")</f>
        <v/>
      </c>
      <c r="AY178" s="49" t="str">
        <f>IF(AND('Choix pédagogiques'!$C$4&lt;&gt;"?",'Choix pédagogiques'!$C$5&lt;&gt;"?",AD178&lt;&gt;""),(AD178-'Choix pédagogiques'!$C$4)/('Choix pédagogiques'!$C$5-'Choix pédagogiques'!$C$4),"")</f>
        <v/>
      </c>
      <c r="AZ178" s="22" t="str">
        <f t="shared" si="180"/>
        <v/>
      </c>
      <c r="BA178" s="21" t="str">
        <f t="shared" si="181"/>
        <v>Apprenant 166</v>
      </c>
      <c r="BB178" s="49" t="str">
        <f t="shared" si="153"/>
        <v/>
      </c>
      <c r="BC178" s="49" t="str">
        <f t="shared" si="154"/>
        <v/>
      </c>
      <c r="BD178" s="49" t="str">
        <f t="shared" si="155"/>
        <v/>
      </c>
      <c r="BE178" s="22" t="str">
        <f t="shared" si="182"/>
        <v/>
      </c>
      <c r="BF178" s="21" t="str">
        <f t="shared" si="183"/>
        <v>Apprenant 166 ou 166'</v>
      </c>
      <c r="BG178" s="49" t="str">
        <f t="shared" si="156"/>
        <v/>
      </c>
      <c r="BH178" s="49" t="str">
        <f t="shared" si="157"/>
        <v/>
      </c>
      <c r="BI178" s="49" t="str">
        <f t="shared" si="158"/>
        <v/>
      </c>
      <c r="BJ178" s="22" t="str">
        <f t="shared" si="184"/>
        <v/>
      </c>
      <c r="BL178" s="21"/>
      <c r="BM178" s="21" t="str">
        <f>IF(OR(COUNT(B178:D1177)=0,AND('Choix pédagogiques'!$C$3&lt;&gt;1,'Choix pédagogiques'!$C$3&lt;&gt;2)),"",IF(AND(OR('Choix pédagogiques'!$C$3=1,'Choix pédagogiques'!$C$3=2),$B178&lt;&gt;"",$C178&lt;&gt;"",$D178&lt;&gt;""),1,0))</f>
        <v/>
      </c>
      <c r="BN178" s="21" t="str">
        <f>IF(OR(COUNT(G178:I1177)=0,AND('Choix pédagogiques'!$C$3&lt;&gt;1,'Choix pédagogiques'!$C$3&lt;&gt;2)),"",IF(AND(OR('Choix pédagogiques'!$C$3=1,'Choix pédagogiques'!$C$3=2),AND($G178&lt;&gt;"",$H178&lt;&gt;"",$I178&lt;&gt;"")),1,0))</f>
        <v/>
      </c>
      <c r="BO178" s="21" t="str">
        <f>IF(OR(COUNT(B178:D1177)=0,COUNT(G178:I1177)=0,'Choix pédagogiques'!C$3&lt;&gt;3),"",IF(AND('Choix pédagogiques'!$C$3=3,$B178&lt;&gt;"",$C178&lt;&gt;"",$D178&lt;&gt;"",$G178&lt;&gt;"",$H178&lt;&gt;"",$I178&lt;&gt;""),1,0))</f>
        <v/>
      </c>
      <c r="BR178" s="21">
        <v>530</v>
      </c>
      <c r="BS178" s="21">
        <v>1676</v>
      </c>
      <c r="BT178"/>
    </row>
    <row r="179" spans="1:72" s="23" customFormat="1" ht="18" customHeight="1" x14ac:dyDescent="0.3">
      <c r="A179" s="35" t="s">
        <v>169</v>
      </c>
      <c r="B179" s="37"/>
      <c r="C179" s="37"/>
      <c r="D179" s="37"/>
      <c r="E179" s="37"/>
      <c r="F179" s="35" t="s">
        <v>1177</v>
      </c>
      <c r="G179" s="37"/>
      <c r="H179" s="37"/>
      <c r="I179" s="37"/>
      <c r="J179" s="37"/>
      <c r="K179" s="21" t="str">
        <f t="shared" si="159"/>
        <v>Apprenant 167</v>
      </c>
      <c r="L179" s="22" t="str">
        <f t="shared" si="160"/>
        <v/>
      </c>
      <c r="M179" s="22" t="str">
        <f t="shared" si="161"/>
        <v/>
      </c>
      <c r="N179" s="22" t="str">
        <f t="shared" si="162"/>
        <v/>
      </c>
      <c r="O179" s="22" t="str">
        <f t="shared" si="163"/>
        <v/>
      </c>
      <c r="P179" s="21" t="str">
        <f t="shared" si="164"/>
        <v>Apprenant 167 ou 167'</v>
      </c>
      <c r="Q179" s="22" t="str">
        <f t="shared" si="165"/>
        <v/>
      </c>
      <c r="R179" s="22" t="str">
        <f t="shared" si="166"/>
        <v/>
      </c>
      <c r="S179" s="22" t="str">
        <f t="shared" si="167"/>
        <v/>
      </c>
      <c r="T179" s="22" t="str">
        <f t="shared" si="168"/>
        <v/>
      </c>
      <c r="V179" s="21" t="str">
        <f t="shared" si="169"/>
        <v>Apprenant 167</v>
      </c>
      <c r="W179" s="22" t="str">
        <f>IF(AND(OR('Choix pédagogiques'!$C$3=1,'Choix pédagogiques'!$C$3=2),$BM179=1),B179,IF(AND('Choix pédagogiques'!$C$3=3,$BO179=1),B179,""))</f>
        <v/>
      </c>
      <c r="X179" s="22" t="str">
        <f>IF(AND(OR('Choix pédagogiques'!$C$3=1,'Choix pédagogiques'!$C$3=2),$BM179=1),C179,IF(AND('Choix pédagogiques'!$C$3=3,$BO179=1),C179,""))</f>
        <v/>
      </c>
      <c r="Y179" s="22" t="str">
        <f>IF(AND(OR('Choix pédagogiques'!$C$3=1,'Choix pédagogiques'!$C$3=2),$BM179=1),D179,IF(AND('Choix pédagogiques'!$C$3=3,$BO179=1),D179,""))</f>
        <v/>
      </c>
      <c r="Z179" s="22" t="str">
        <f t="shared" si="170"/>
        <v/>
      </c>
      <c r="AA179" s="21" t="str">
        <f t="shared" si="171"/>
        <v>Apprenant 167 ou 167'</v>
      </c>
      <c r="AB179" s="22" t="str">
        <f>IF(AND(OR('Choix pédagogiques'!$C$3=1,'Choix pédagogiques'!$C$3=2),$BN179=1),G179,IF(AND('Choix pédagogiques'!$C$3=3,$BO179=1),G179,""))</f>
        <v/>
      </c>
      <c r="AC179" s="22" t="str">
        <f>IF(AND(OR('Choix pédagogiques'!$C$3=1,'Choix pédagogiques'!$C$3=2),$BN179=1),H179,IF(AND('Choix pédagogiques'!$C$3=3,$BO179=1),H179,""))</f>
        <v/>
      </c>
      <c r="AD179" s="22" t="str">
        <f>IF(AND(OR('Choix pédagogiques'!$C$3=1,'Choix pédagogiques'!$C$3=2),$BN179=1),I179,IF(AND('Choix pédagogiques'!$C$3=3,$BO179=1),I179,""))</f>
        <v/>
      </c>
      <c r="AE179" s="22" t="str">
        <f t="shared" si="172"/>
        <v/>
      </c>
      <c r="AF179" s="21" t="str">
        <f t="shared" si="173"/>
        <v>Apprenant 167</v>
      </c>
      <c r="AG179" s="22" t="str">
        <f t="shared" si="147"/>
        <v/>
      </c>
      <c r="AH179" s="22" t="str">
        <f t="shared" si="148"/>
        <v/>
      </c>
      <c r="AI179" s="22" t="str">
        <f t="shared" si="149"/>
        <v/>
      </c>
      <c r="AJ179" s="22" t="str">
        <f t="shared" si="174"/>
        <v/>
      </c>
      <c r="AK179" s="21" t="str">
        <f t="shared" si="175"/>
        <v>Apprenant 167 ou 167'</v>
      </c>
      <c r="AL179" s="22" t="str">
        <f t="shared" si="150"/>
        <v/>
      </c>
      <c r="AM179" s="22" t="str">
        <f t="shared" si="151"/>
        <v/>
      </c>
      <c r="AN179" s="22" t="str">
        <f t="shared" si="152"/>
        <v/>
      </c>
      <c r="AO179" s="22" t="str">
        <f t="shared" si="176"/>
        <v/>
      </c>
      <c r="AQ179" s="21" t="str">
        <f t="shared" si="177"/>
        <v>Apprenant 167</v>
      </c>
      <c r="AR179" s="49" t="str">
        <f>IF(AND('Choix pédagogiques'!$C$4&lt;&gt;"?",'Choix pédagogiques'!$C$5&lt;&gt;"?",W179&lt;&gt;""),(W179-'Choix pédagogiques'!$C$4)/('Choix pédagogiques'!$C$5-'Choix pédagogiques'!$C$4),"")</f>
        <v/>
      </c>
      <c r="AS179" s="49" t="str">
        <f>IF(AND('Choix pédagogiques'!$C$4&lt;&gt;"?",'Choix pédagogiques'!$C$5&lt;&gt;"?",X179&lt;&gt;""),(X179-'Choix pédagogiques'!$C$4)/('Choix pédagogiques'!$C$5-'Choix pédagogiques'!$C$4),"")</f>
        <v/>
      </c>
      <c r="AT179" s="49" t="str">
        <f>IF(AND('Choix pédagogiques'!$C$4&lt;&gt;"?",'Choix pédagogiques'!$C$5&lt;&gt;"?",Y179&lt;&gt;""),(Y179-'Choix pédagogiques'!$C$4)/('Choix pédagogiques'!$C$5-'Choix pédagogiques'!$C$4),"")</f>
        <v/>
      </c>
      <c r="AU179" s="22" t="str">
        <f t="shared" si="178"/>
        <v/>
      </c>
      <c r="AV179" s="21" t="str">
        <f t="shared" si="179"/>
        <v>Apprenant 167 ou 167'</v>
      </c>
      <c r="AW179" s="49" t="str">
        <f>IF(AND('Choix pédagogiques'!$C$4&lt;&gt;"?",'Choix pédagogiques'!$C$5&lt;&gt;"?",AB179&lt;&gt;""),(AB179-'Choix pédagogiques'!$C$4)/('Choix pédagogiques'!$C$5-'Choix pédagogiques'!$C$4),"")</f>
        <v/>
      </c>
      <c r="AX179" s="49" t="str">
        <f>IF(AND('Choix pédagogiques'!$C$4&lt;&gt;"?",'Choix pédagogiques'!$C$5&lt;&gt;"?",AC179&lt;&gt;""),(AC179-'Choix pédagogiques'!$C$4)/('Choix pédagogiques'!$C$5-'Choix pédagogiques'!$C$4),"")</f>
        <v/>
      </c>
      <c r="AY179" s="49" t="str">
        <f>IF(AND('Choix pédagogiques'!$C$4&lt;&gt;"?",'Choix pédagogiques'!$C$5&lt;&gt;"?",AD179&lt;&gt;""),(AD179-'Choix pédagogiques'!$C$4)/('Choix pédagogiques'!$C$5-'Choix pédagogiques'!$C$4),"")</f>
        <v/>
      </c>
      <c r="AZ179" s="22" t="str">
        <f t="shared" si="180"/>
        <v/>
      </c>
      <c r="BA179" s="21" t="str">
        <f t="shared" si="181"/>
        <v>Apprenant 167</v>
      </c>
      <c r="BB179" s="49" t="str">
        <f t="shared" si="153"/>
        <v/>
      </c>
      <c r="BC179" s="49" t="str">
        <f t="shared" si="154"/>
        <v/>
      </c>
      <c r="BD179" s="49" t="str">
        <f t="shared" si="155"/>
        <v/>
      </c>
      <c r="BE179" s="22" t="str">
        <f t="shared" si="182"/>
        <v/>
      </c>
      <c r="BF179" s="21" t="str">
        <f t="shared" si="183"/>
        <v>Apprenant 167 ou 167'</v>
      </c>
      <c r="BG179" s="49" t="str">
        <f t="shared" si="156"/>
        <v/>
      </c>
      <c r="BH179" s="49" t="str">
        <f t="shared" si="157"/>
        <v/>
      </c>
      <c r="BI179" s="49" t="str">
        <f t="shared" si="158"/>
        <v/>
      </c>
      <c r="BJ179" s="22" t="str">
        <f t="shared" si="184"/>
        <v/>
      </c>
      <c r="BL179" s="21"/>
      <c r="BM179" s="21" t="str">
        <f>IF(OR(COUNT(B179:D1178)=0,AND('Choix pédagogiques'!$C$3&lt;&gt;1,'Choix pédagogiques'!$C$3&lt;&gt;2)),"",IF(AND(OR('Choix pédagogiques'!$C$3=1,'Choix pédagogiques'!$C$3=2),$B179&lt;&gt;"",$C179&lt;&gt;"",$D179&lt;&gt;""),1,0))</f>
        <v/>
      </c>
      <c r="BN179" s="21" t="str">
        <f>IF(OR(COUNT(G179:I1178)=0,AND('Choix pédagogiques'!$C$3&lt;&gt;1,'Choix pédagogiques'!$C$3&lt;&gt;2)),"",IF(AND(OR('Choix pédagogiques'!$C$3=1,'Choix pédagogiques'!$C$3=2),AND($G179&lt;&gt;"",$H179&lt;&gt;"",$I179&lt;&gt;"")),1,0))</f>
        <v/>
      </c>
      <c r="BO179" s="21" t="str">
        <f>IF(OR(COUNT(B179:D1178)=0,COUNT(G179:I1178)=0,'Choix pédagogiques'!C$3&lt;&gt;3),"",IF(AND('Choix pédagogiques'!$C$3=3,$B179&lt;&gt;"",$C179&lt;&gt;"",$D179&lt;&gt;"",$G179&lt;&gt;"",$H179&lt;&gt;"",$I179&lt;&gt;""),1,0))</f>
        <v/>
      </c>
      <c r="BR179" s="21">
        <v>392</v>
      </c>
      <c r="BS179" s="21">
        <v>1082</v>
      </c>
      <c r="BT179"/>
    </row>
    <row r="180" spans="1:72" s="23" customFormat="1" ht="18" customHeight="1" x14ac:dyDescent="0.3">
      <c r="A180" s="35" t="s">
        <v>170</v>
      </c>
      <c r="B180" s="37"/>
      <c r="C180" s="37"/>
      <c r="D180" s="37"/>
      <c r="E180" s="37"/>
      <c r="F180" s="35" t="s">
        <v>1178</v>
      </c>
      <c r="G180" s="37"/>
      <c r="H180" s="37"/>
      <c r="I180" s="37"/>
      <c r="J180" s="37"/>
      <c r="K180" s="21" t="str">
        <f t="shared" si="159"/>
        <v>Apprenant 168</v>
      </c>
      <c r="L180" s="22" t="str">
        <f t="shared" si="160"/>
        <v/>
      </c>
      <c r="M180" s="22" t="str">
        <f t="shared" si="161"/>
        <v/>
      </c>
      <c r="N180" s="22" t="str">
        <f t="shared" si="162"/>
        <v/>
      </c>
      <c r="O180" s="22" t="str">
        <f t="shared" si="163"/>
        <v/>
      </c>
      <c r="P180" s="21" t="str">
        <f t="shared" si="164"/>
        <v>Apprenant 168 ou 168'</v>
      </c>
      <c r="Q180" s="22" t="str">
        <f t="shared" si="165"/>
        <v/>
      </c>
      <c r="R180" s="22" t="str">
        <f t="shared" si="166"/>
        <v/>
      </c>
      <c r="S180" s="22" t="str">
        <f t="shared" si="167"/>
        <v/>
      </c>
      <c r="T180" s="22" t="str">
        <f t="shared" si="168"/>
        <v/>
      </c>
      <c r="V180" s="21" t="str">
        <f t="shared" si="169"/>
        <v>Apprenant 168</v>
      </c>
      <c r="W180" s="22" t="str">
        <f>IF(AND(OR('Choix pédagogiques'!$C$3=1,'Choix pédagogiques'!$C$3=2),$BM180=1),B180,IF(AND('Choix pédagogiques'!$C$3=3,$BO180=1),B180,""))</f>
        <v/>
      </c>
      <c r="X180" s="22" t="str">
        <f>IF(AND(OR('Choix pédagogiques'!$C$3=1,'Choix pédagogiques'!$C$3=2),$BM180=1),C180,IF(AND('Choix pédagogiques'!$C$3=3,$BO180=1),C180,""))</f>
        <v/>
      </c>
      <c r="Y180" s="22" t="str">
        <f>IF(AND(OR('Choix pédagogiques'!$C$3=1,'Choix pédagogiques'!$C$3=2),$BM180=1),D180,IF(AND('Choix pédagogiques'!$C$3=3,$BO180=1),D180,""))</f>
        <v/>
      </c>
      <c r="Z180" s="22" t="str">
        <f t="shared" si="170"/>
        <v/>
      </c>
      <c r="AA180" s="21" t="str">
        <f t="shared" si="171"/>
        <v>Apprenant 168 ou 168'</v>
      </c>
      <c r="AB180" s="22" t="str">
        <f>IF(AND(OR('Choix pédagogiques'!$C$3=1,'Choix pédagogiques'!$C$3=2),$BN180=1),G180,IF(AND('Choix pédagogiques'!$C$3=3,$BO180=1),G180,""))</f>
        <v/>
      </c>
      <c r="AC180" s="22" t="str">
        <f>IF(AND(OR('Choix pédagogiques'!$C$3=1,'Choix pédagogiques'!$C$3=2),$BN180=1),H180,IF(AND('Choix pédagogiques'!$C$3=3,$BO180=1),H180,""))</f>
        <v/>
      </c>
      <c r="AD180" s="22" t="str">
        <f>IF(AND(OR('Choix pédagogiques'!$C$3=1,'Choix pédagogiques'!$C$3=2),$BN180=1),I180,IF(AND('Choix pédagogiques'!$C$3=3,$BO180=1),I180,""))</f>
        <v/>
      </c>
      <c r="AE180" s="22" t="str">
        <f t="shared" si="172"/>
        <v/>
      </c>
      <c r="AF180" s="21" t="str">
        <f t="shared" si="173"/>
        <v>Apprenant 168</v>
      </c>
      <c r="AG180" s="22" t="str">
        <f t="shared" si="147"/>
        <v/>
      </c>
      <c r="AH180" s="22" t="str">
        <f t="shared" si="148"/>
        <v/>
      </c>
      <c r="AI180" s="22" t="str">
        <f t="shared" si="149"/>
        <v/>
      </c>
      <c r="AJ180" s="22" t="str">
        <f t="shared" si="174"/>
        <v/>
      </c>
      <c r="AK180" s="21" t="str">
        <f t="shared" si="175"/>
        <v>Apprenant 168 ou 168'</v>
      </c>
      <c r="AL180" s="22" t="str">
        <f t="shared" si="150"/>
        <v/>
      </c>
      <c r="AM180" s="22" t="str">
        <f t="shared" si="151"/>
        <v/>
      </c>
      <c r="AN180" s="22" t="str">
        <f t="shared" si="152"/>
        <v/>
      </c>
      <c r="AO180" s="22" t="str">
        <f t="shared" si="176"/>
        <v/>
      </c>
      <c r="AQ180" s="21" t="str">
        <f t="shared" si="177"/>
        <v>Apprenant 168</v>
      </c>
      <c r="AR180" s="49" t="str">
        <f>IF(AND('Choix pédagogiques'!$C$4&lt;&gt;"?",'Choix pédagogiques'!$C$5&lt;&gt;"?",W180&lt;&gt;""),(W180-'Choix pédagogiques'!$C$4)/('Choix pédagogiques'!$C$5-'Choix pédagogiques'!$C$4),"")</f>
        <v/>
      </c>
      <c r="AS180" s="49" t="str">
        <f>IF(AND('Choix pédagogiques'!$C$4&lt;&gt;"?",'Choix pédagogiques'!$C$5&lt;&gt;"?",X180&lt;&gt;""),(X180-'Choix pédagogiques'!$C$4)/('Choix pédagogiques'!$C$5-'Choix pédagogiques'!$C$4),"")</f>
        <v/>
      </c>
      <c r="AT180" s="49" t="str">
        <f>IF(AND('Choix pédagogiques'!$C$4&lt;&gt;"?",'Choix pédagogiques'!$C$5&lt;&gt;"?",Y180&lt;&gt;""),(Y180-'Choix pédagogiques'!$C$4)/('Choix pédagogiques'!$C$5-'Choix pédagogiques'!$C$4),"")</f>
        <v/>
      </c>
      <c r="AU180" s="22" t="str">
        <f t="shared" si="178"/>
        <v/>
      </c>
      <c r="AV180" s="21" t="str">
        <f t="shared" si="179"/>
        <v>Apprenant 168 ou 168'</v>
      </c>
      <c r="AW180" s="49" t="str">
        <f>IF(AND('Choix pédagogiques'!$C$4&lt;&gt;"?",'Choix pédagogiques'!$C$5&lt;&gt;"?",AB180&lt;&gt;""),(AB180-'Choix pédagogiques'!$C$4)/('Choix pédagogiques'!$C$5-'Choix pédagogiques'!$C$4),"")</f>
        <v/>
      </c>
      <c r="AX180" s="49" t="str">
        <f>IF(AND('Choix pédagogiques'!$C$4&lt;&gt;"?",'Choix pédagogiques'!$C$5&lt;&gt;"?",AC180&lt;&gt;""),(AC180-'Choix pédagogiques'!$C$4)/('Choix pédagogiques'!$C$5-'Choix pédagogiques'!$C$4),"")</f>
        <v/>
      </c>
      <c r="AY180" s="49" t="str">
        <f>IF(AND('Choix pédagogiques'!$C$4&lt;&gt;"?",'Choix pédagogiques'!$C$5&lt;&gt;"?",AD180&lt;&gt;""),(AD180-'Choix pédagogiques'!$C$4)/('Choix pédagogiques'!$C$5-'Choix pédagogiques'!$C$4),"")</f>
        <v/>
      </c>
      <c r="AZ180" s="22" t="str">
        <f t="shared" si="180"/>
        <v/>
      </c>
      <c r="BA180" s="21" t="str">
        <f t="shared" si="181"/>
        <v>Apprenant 168</v>
      </c>
      <c r="BB180" s="49" t="str">
        <f t="shared" si="153"/>
        <v/>
      </c>
      <c r="BC180" s="49" t="str">
        <f t="shared" si="154"/>
        <v/>
      </c>
      <c r="BD180" s="49" t="str">
        <f t="shared" si="155"/>
        <v/>
      </c>
      <c r="BE180" s="22" t="str">
        <f t="shared" si="182"/>
        <v/>
      </c>
      <c r="BF180" s="21" t="str">
        <f t="shared" si="183"/>
        <v>Apprenant 168 ou 168'</v>
      </c>
      <c r="BG180" s="49" t="str">
        <f t="shared" si="156"/>
        <v/>
      </c>
      <c r="BH180" s="49" t="str">
        <f t="shared" si="157"/>
        <v/>
      </c>
      <c r="BI180" s="49" t="str">
        <f t="shared" si="158"/>
        <v/>
      </c>
      <c r="BJ180" s="22" t="str">
        <f t="shared" si="184"/>
        <v/>
      </c>
      <c r="BL180" s="21"/>
      <c r="BM180" s="21" t="str">
        <f>IF(OR(COUNT(B180:D1179)=0,AND('Choix pédagogiques'!$C$3&lt;&gt;1,'Choix pédagogiques'!$C$3&lt;&gt;2)),"",IF(AND(OR('Choix pédagogiques'!$C$3=1,'Choix pédagogiques'!$C$3=2),$B180&lt;&gt;"",$C180&lt;&gt;"",$D180&lt;&gt;""),1,0))</f>
        <v/>
      </c>
      <c r="BN180" s="21" t="str">
        <f>IF(OR(COUNT(G180:I1179)=0,AND('Choix pédagogiques'!$C$3&lt;&gt;1,'Choix pédagogiques'!$C$3&lt;&gt;2)),"",IF(AND(OR('Choix pédagogiques'!$C$3=1,'Choix pédagogiques'!$C$3=2),AND($G180&lt;&gt;"",$H180&lt;&gt;"",$I180&lt;&gt;"")),1,0))</f>
        <v/>
      </c>
      <c r="BO180" s="21" t="str">
        <f>IF(OR(COUNT(B180:D1179)=0,COUNT(G180:I1179)=0,'Choix pédagogiques'!C$3&lt;&gt;3),"",IF(AND('Choix pédagogiques'!$C$3=3,$B180&lt;&gt;"",$C180&lt;&gt;"",$D180&lt;&gt;"",$G180&lt;&gt;"",$H180&lt;&gt;"",$I180&lt;&gt;""),1,0))</f>
        <v/>
      </c>
      <c r="BR180" s="21">
        <v>685</v>
      </c>
      <c r="BS180" s="21">
        <v>1071</v>
      </c>
      <c r="BT180"/>
    </row>
    <row r="181" spans="1:72" s="23" customFormat="1" ht="18" customHeight="1" x14ac:dyDescent="0.3">
      <c r="A181" s="35" t="s">
        <v>171</v>
      </c>
      <c r="B181" s="37"/>
      <c r="C181" s="37"/>
      <c r="D181" s="37"/>
      <c r="E181" s="37"/>
      <c r="F181" s="35" t="s">
        <v>1179</v>
      </c>
      <c r="G181" s="37"/>
      <c r="H181" s="37"/>
      <c r="I181" s="37"/>
      <c r="J181" s="37"/>
      <c r="K181" s="21" t="str">
        <f t="shared" si="159"/>
        <v>Apprenant 169</v>
      </c>
      <c r="L181" s="22" t="str">
        <f t="shared" si="160"/>
        <v/>
      </c>
      <c r="M181" s="22" t="str">
        <f t="shared" si="161"/>
        <v/>
      </c>
      <c r="N181" s="22" t="str">
        <f t="shared" si="162"/>
        <v/>
      </c>
      <c r="O181" s="22" t="str">
        <f t="shared" si="163"/>
        <v/>
      </c>
      <c r="P181" s="21" t="str">
        <f t="shared" si="164"/>
        <v>Apprenant 169 ou 169'</v>
      </c>
      <c r="Q181" s="22" t="str">
        <f t="shared" si="165"/>
        <v/>
      </c>
      <c r="R181" s="22" t="str">
        <f t="shared" si="166"/>
        <v/>
      </c>
      <c r="S181" s="22" t="str">
        <f t="shared" si="167"/>
        <v/>
      </c>
      <c r="T181" s="22" t="str">
        <f t="shared" si="168"/>
        <v/>
      </c>
      <c r="V181" s="21" t="str">
        <f t="shared" si="169"/>
        <v>Apprenant 169</v>
      </c>
      <c r="W181" s="22" t="str">
        <f>IF(AND(OR('Choix pédagogiques'!$C$3=1,'Choix pédagogiques'!$C$3=2),$BM181=1),B181,IF(AND('Choix pédagogiques'!$C$3=3,$BO181=1),B181,""))</f>
        <v/>
      </c>
      <c r="X181" s="22" t="str">
        <f>IF(AND(OR('Choix pédagogiques'!$C$3=1,'Choix pédagogiques'!$C$3=2),$BM181=1),C181,IF(AND('Choix pédagogiques'!$C$3=3,$BO181=1),C181,""))</f>
        <v/>
      </c>
      <c r="Y181" s="22" t="str">
        <f>IF(AND(OR('Choix pédagogiques'!$C$3=1,'Choix pédagogiques'!$C$3=2),$BM181=1),D181,IF(AND('Choix pédagogiques'!$C$3=3,$BO181=1),D181,""))</f>
        <v/>
      </c>
      <c r="Z181" s="22" t="str">
        <f t="shared" si="170"/>
        <v/>
      </c>
      <c r="AA181" s="21" t="str">
        <f t="shared" si="171"/>
        <v>Apprenant 169 ou 169'</v>
      </c>
      <c r="AB181" s="22" t="str">
        <f>IF(AND(OR('Choix pédagogiques'!$C$3=1,'Choix pédagogiques'!$C$3=2),$BN181=1),G181,IF(AND('Choix pédagogiques'!$C$3=3,$BO181=1),G181,""))</f>
        <v/>
      </c>
      <c r="AC181" s="22" t="str">
        <f>IF(AND(OR('Choix pédagogiques'!$C$3=1,'Choix pédagogiques'!$C$3=2),$BN181=1),H181,IF(AND('Choix pédagogiques'!$C$3=3,$BO181=1),H181,""))</f>
        <v/>
      </c>
      <c r="AD181" s="22" t="str">
        <f>IF(AND(OR('Choix pédagogiques'!$C$3=1,'Choix pédagogiques'!$C$3=2),$BN181=1),I181,IF(AND('Choix pédagogiques'!$C$3=3,$BO181=1),I181,""))</f>
        <v/>
      </c>
      <c r="AE181" s="22" t="str">
        <f t="shared" si="172"/>
        <v/>
      </c>
      <c r="AF181" s="21" t="str">
        <f t="shared" si="173"/>
        <v>Apprenant 169</v>
      </c>
      <c r="AG181" s="22" t="str">
        <f t="shared" si="147"/>
        <v/>
      </c>
      <c r="AH181" s="22" t="str">
        <f t="shared" si="148"/>
        <v/>
      </c>
      <c r="AI181" s="22" t="str">
        <f t="shared" si="149"/>
        <v/>
      </c>
      <c r="AJ181" s="22" t="str">
        <f t="shared" si="174"/>
        <v/>
      </c>
      <c r="AK181" s="21" t="str">
        <f t="shared" si="175"/>
        <v>Apprenant 169 ou 169'</v>
      </c>
      <c r="AL181" s="22" t="str">
        <f t="shared" si="150"/>
        <v/>
      </c>
      <c r="AM181" s="22" t="str">
        <f t="shared" si="151"/>
        <v/>
      </c>
      <c r="AN181" s="22" t="str">
        <f t="shared" si="152"/>
        <v/>
      </c>
      <c r="AO181" s="22" t="str">
        <f t="shared" si="176"/>
        <v/>
      </c>
      <c r="AQ181" s="21" t="str">
        <f t="shared" si="177"/>
        <v>Apprenant 169</v>
      </c>
      <c r="AR181" s="49" t="str">
        <f>IF(AND('Choix pédagogiques'!$C$4&lt;&gt;"?",'Choix pédagogiques'!$C$5&lt;&gt;"?",W181&lt;&gt;""),(W181-'Choix pédagogiques'!$C$4)/('Choix pédagogiques'!$C$5-'Choix pédagogiques'!$C$4),"")</f>
        <v/>
      </c>
      <c r="AS181" s="49" t="str">
        <f>IF(AND('Choix pédagogiques'!$C$4&lt;&gt;"?",'Choix pédagogiques'!$C$5&lt;&gt;"?",X181&lt;&gt;""),(X181-'Choix pédagogiques'!$C$4)/('Choix pédagogiques'!$C$5-'Choix pédagogiques'!$C$4),"")</f>
        <v/>
      </c>
      <c r="AT181" s="49" t="str">
        <f>IF(AND('Choix pédagogiques'!$C$4&lt;&gt;"?",'Choix pédagogiques'!$C$5&lt;&gt;"?",Y181&lt;&gt;""),(Y181-'Choix pédagogiques'!$C$4)/('Choix pédagogiques'!$C$5-'Choix pédagogiques'!$C$4),"")</f>
        <v/>
      </c>
      <c r="AU181" s="22" t="str">
        <f t="shared" si="178"/>
        <v/>
      </c>
      <c r="AV181" s="21" t="str">
        <f t="shared" si="179"/>
        <v>Apprenant 169 ou 169'</v>
      </c>
      <c r="AW181" s="49" t="str">
        <f>IF(AND('Choix pédagogiques'!$C$4&lt;&gt;"?",'Choix pédagogiques'!$C$5&lt;&gt;"?",AB181&lt;&gt;""),(AB181-'Choix pédagogiques'!$C$4)/('Choix pédagogiques'!$C$5-'Choix pédagogiques'!$C$4),"")</f>
        <v/>
      </c>
      <c r="AX181" s="49" t="str">
        <f>IF(AND('Choix pédagogiques'!$C$4&lt;&gt;"?",'Choix pédagogiques'!$C$5&lt;&gt;"?",AC181&lt;&gt;""),(AC181-'Choix pédagogiques'!$C$4)/('Choix pédagogiques'!$C$5-'Choix pédagogiques'!$C$4),"")</f>
        <v/>
      </c>
      <c r="AY181" s="49" t="str">
        <f>IF(AND('Choix pédagogiques'!$C$4&lt;&gt;"?",'Choix pédagogiques'!$C$5&lt;&gt;"?",AD181&lt;&gt;""),(AD181-'Choix pédagogiques'!$C$4)/('Choix pédagogiques'!$C$5-'Choix pédagogiques'!$C$4),"")</f>
        <v/>
      </c>
      <c r="AZ181" s="22" t="str">
        <f t="shared" si="180"/>
        <v/>
      </c>
      <c r="BA181" s="21" t="str">
        <f t="shared" si="181"/>
        <v>Apprenant 169</v>
      </c>
      <c r="BB181" s="49" t="str">
        <f t="shared" si="153"/>
        <v/>
      </c>
      <c r="BC181" s="49" t="str">
        <f t="shared" si="154"/>
        <v/>
      </c>
      <c r="BD181" s="49" t="str">
        <f t="shared" si="155"/>
        <v/>
      </c>
      <c r="BE181" s="22" t="str">
        <f t="shared" si="182"/>
        <v/>
      </c>
      <c r="BF181" s="21" t="str">
        <f t="shared" si="183"/>
        <v>Apprenant 169 ou 169'</v>
      </c>
      <c r="BG181" s="49" t="str">
        <f t="shared" si="156"/>
        <v/>
      </c>
      <c r="BH181" s="49" t="str">
        <f t="shared" si="157"/>
        <v/>
      </c>
      <c r="BI181" s="49" t="str">
        <f t="shared" si="158"/>
        <v/>
      </c>
      <c r="BJ181" s="22" t="str">
        <f t="shared" si="184"/>
        <v/>
      </c>
      <c r="BL181" s="21"/>
      <c r="BM181" s="21" t="str">
        <f>IF(OR(COUNT(B181:D1180)=0,AND('Choix pédagogiques'!$C$3&lt;&gt;1,'Choix pédagogiques'!$C$3&lt;&gt;2)),"",IF(AND(OR('Choix pédagogiques'!$C$3=1,'Choix pédagogiques'!$C$3=2),$B181&lt;&gt;"",$C181&lt;&gt;"",$D181&lt;&gt;""),1,0))</f>
        <v/>
      </c>
      <c r="BN181" s="21" t="str">
        <f>IF(OR(COUNT(G181:I1180)=0,AND('Choix pédagogiques'!$C$3&lt;&gt;1,'Choix pédagogiques'!$C$3&lt;&gt;2)),"",IF(AND(OR('Choix pédagogiques'!$C$3=1,'Choix pédagogiques'!$C$3=2),AND($G181&lt;&gt;"",$H181&lt;&gt;"",$I181&lt;&gt;"")),1,0))</f>
        <v/>
      </c>
      <c r="BO181" s="21" t="str">
        <f>IF(OR(COUNT(B181:D1180)=0,COUNT(G181:I1180)=0,'Choix pédagogiques'!C$3&lt;&gt;3),"",IF(AND('Choix pédagogiques'!$C$3=3,$B181&lt;&gt;"",$C181&lt;&gt;"",$D181&lt;&gt;"",$G181&lt;&gt;"",$H181&lt;&gt;"",$I181&lt;&gt;""),1,0))</f>
        <v/>
      </c>
      <c r="BR181" s="21">
        <v>498</v>
      </c>
      <c r="BS181" s="21">
        <v>1877</v>
      </c>
      <c r="BT181"/>
    </row>
    <row r="182" spans="1:72" s="23" customFormat="1" ht="18" customHeight="1" x14ac:dyDescent="0.3">
      <c r="A182" s="35" t="s">
        <v>172</v>
      </c>
      <c r="B182" s="37"/>
      <c r="C182" s="37"/>
      <c r="D182" s="37"/>
      <c r="E182" s="37"/>
      <c r="F182" s="35" t="s">
        <v>1180</v>
      </c>
      <c r="G182" s="37"/>
      <c r="H182" s="37"/>
      <c r="I182" s="37"/>
      <c r="J182" s="37"/>
      <c r="K182" s="21" t="str">
        <f t="shared" si="159"/>
        <v>Apprenant 170</v>
      </c>
      <c r="L182" s="22" t="str">
        <f t="shared" si="160"/>
        <v/>
      </c>
      <c r="M182" s="22" t="str">
        <f t="shared" si="161"/>
        <v/>
      </c>
      <c r="N182" s="22" t="str">
        <f t="shared" si="162"/>
        <v/>
      </c>
      <c r="O182" s="22" t="str">
        <f t="shared" si="163"/>
        <v/>
      </c>
      <c r="P182" s="21" t="str">
        <f t="shared" si="164"/>
        <v>Apprenant 170 ou 170'</v>
      </c>
      <c r="Q182" s="22" t="str">
        <f t="shared" si="165"/>
        <v/>
      </c>
      <c r="R182" s="22" t="str">
        <f t="shared" si="166"/>
        <v/>
      </c>
      <c r="S182" s="22" t="str">
        <f t="shared" si="167"/>
        <v/>
      </c>
      <c r="T182" s="22" t="str">
        <f t="shared" si="168"/>
        <v/>
      </c>
      <c r="V182" s="21" t="str">
        <f t="shared" si="169"/>
        <v>Apprenant 170</v>
      </c>
      <c r="W182" s="22" t="str">
        <f>IF(AND(OR('Choix pédagogiques'!$C$3=1,'Choix pédagogiques'!$C$3=2),$BM182=1),B182,IF(AND('Choix pédagogiques'!$C$3=3,$BO182=1),B182,""))</f>
        <v/>
      </c>
      <c r="X182" s="22" t="str">
        <f>IF(AND(OR('Choix pédagogiques'!$C$3=1,'Choix pédagogiques'!$C$3=2),$BM182=1),C182,IF(AND('Choix pédagogiques'!$C$3=3,$BO182=1),C182,""))</f>
        <v/>
      </c>
      <c r="Y182" s="22" t="str">
        <f>IF(AND(OR('Choix pédagogiques'!$C$3=1,'Choix pédagogiques'!$C$3=2),$BM182=1),D182,IF(AND('Choix pédagogiques'!$C$3=3,$BO182=1),D182,""))</f>
        <v/>
      </c>
      <c r="Z182" s="22" t="str">
        <f t="shared" si="170"/>
        <v/>
      </c>
      <c r="AA182" s="21" t="str">
        <f t="shared" si="171"/>
        <v>Apprenant 170 ou 170'</v>
      </c>
      <c r="AB182" s="22" t="str">
        <f>IF(AND(OR('Choix pédagogiques'!$C$3=1,'Choix pédagogiques'!$C$3=2),$BN182=1),G182,IF(AND('Choix pédagogiques'!$C$3=3,$BO182=1),G182,""))</f>
        <v/>
      </c>
      <c r="AC182" s="22" t="str">
        <f>IF(AND(OR('Choix pédagogiques'!$C$3=1,'Choix pédagogiques'!$C$3=2),$BN182=1),H182,IF(AND('Choix pédagogiques'!$C$3=3,$BO182=1),H182,""))</f>
        <v/>
      </c>
      <c r="AD182" s="22" t="str">
        <f>IF(AND(OR('Choix pédagogiques'!$C$3=1,'Choix pédagogiques'!$C$3=2),$BN182=1),I182,IF(AND('Choix pédagogiques'!$C$3=3,$BO182=1),I182,""))</f>
        <v/>
      </c>
      <c r="AE182" s="22" t="str">
        <f t="shared" si="172"/>
        <v/>
      </c>
      <c r="AF182" s="21" t="str">
        <f t="shared" si="173"/>
        <v>Apprenant 170</v>
      </c>
      <c r="AG182" s="22" t="str">
        <f t="shared" si="147"/>
        <v/>
      </c>
      <c r="AH182" s="22" t="str">
        <f t="shared" si="148"/>
        <v/>
      </c>
      <c r="AI182" s="22" t="str">
        <f t="shared" si="149"/>
        <v/>
      </c>
      <c r="AJ182" s="22" t="str">
        <f t="shared" si="174"/>
        <v/>
      </c>
      <c r="AK182" s="21" t="str">
        <f t="shared" si="175"/>
        <v>Apprenant 170 ou 170'</v>
      </c>
      <c r="AL182" s="22" t="str">
        <f t="shared" si="150"/>
        <v/>
      </c>
      <c r="AM182" s="22" t="str">
        <f t="shared" si="151"/>
        <v/>
      </c>
      <c r="AN182" s="22" t="str">
        <f t="shared" si="152"/>
        <v/>
      </c>
      <c r="AO182" s="22" t="str">
        <f t="shared" si="176"/>
        <v/>
      </c>
      <c r="AQ182" s="21" t="str">
        <f t="shared" si="177"/>
        <v>Apprenant 170</v>
      </c>
      <c r="AR182" s="49" t="str">
        <f>IF(AND('Choix pédagogiques'!$C$4&lt;&gt;"?",'Choix pédagogiques'!$C$5&lt;&gt;"?",W182&lt;&gt;""),(W182-'Choix pédagogiques'!$C$4)/('Choix pédagogiques'!$C$5-'Choix pédagogiques'!$C$4),"")</f>
        <v/>
      </c>
      <c r="AS182" s="49" t="str">
        <f>IF(AND('Choix pédagogiques'!$C$4&lt;&gt;"?",'Choix pédagogiques'!$C$5&lt;&gt;"?",X182&lt;&gt;""),(X182-'Choix pédagogiques'!$C$4)/('Choix pédagogiques'!$C$5-'Choix pédagogiques'!$C$4),"")</f>
        <v/>
      </c>
      <c r="AT182" s="49" t="str">
        <f>IF(AND('Choix pédagogiques'!$C$4&lt;&gt;"?",'Choix pédagogiques'!$C$5&lt;&gt;"?",Y182&lt;&gt;""),(Y182-'Choix pédagogiques'!$C$4)/('Choix pédagogiques'!$C$5-'Choix pédagogiques'!$C$4),"")</f>
        <v/>
      </c>
      <c r="AU182" s="22" t="str">
        <f t="shared" si="178"/>
        <v/>
      </c>
      <c r="AV182" s="21" t="str">
        <f t="shared" si="179"/>
        <v>Apprenant 170 ou 170'</v>
      </c>
      <c r="AW182" s="49" t="str">
        <f>IF(AND('Choix pédagogiques'!$C$4&lt;&gt;"?",'Choix pédagogiques'!$C$5&lt;&gt;"?",AB182&lt;&gt;""),(AB182-'Choix pédagogiques'!$C$4)/('Choix pédagogiques'!$C$5-'Choix pédagogiques'!$C$4),"")</f>
        <v/>
      </c>
      <c r="AX182" s="49" t="str">
        <f>IF(AND('Choix pédagogiques'!$C$4&lt;&gt;"?",'Choix pédagogiques'!$C$5&lt;&gt;"?",AC182&lt;&gt;""),(AC182-'Choix pédagogiques'!$C$4)/('Choix pédagogiques'!$C$5-'Choix pédagogiques'!$C$4),"")</f>
        <v/>
      </c>
      <c r="AY182" s="49" t="str">
        <f>IF(AND('Choix pédagogiques'!$C$4&lt;&gt;"?",'Choix pédagogiques'!$C$5&lt;&gt;"?",AD182&lt;&gt;""),(AD182-'Choix pédagogiques'!$C$4)/('Choix pédagogiques'!$C$5-'Choix pédagogiques'!$C$4),"")</f>
        <v/>
      </c>
      <c r="AZ182" s="22" t="str">
        <f t="shared" si="180"/>
        <v/>
      </c>
      <c r="BA182" s="21" t="str">
        <f t="shared" si="181"/>
        <v>Apprenant 170</v>
      </c>
      <c r="BB182" s="49" t="str">
        <f t="shared" si="153"/>
        <v/>
      </c>
      <c r="BC182" s="49" t="str">
        <f t="shared" si="154"/>
        <v/>
      </c>
      <c r="BD182" s="49" t="str">
        <f t="shared" si="155"/>
        <v/>
      </c>
      <c r="BE182" s="22" t="str">
        <f t="shared" si="182"/>
        <v/>
      </c>
      <c r="BF182" s="21" t="str">
        <f t="shared" si="183"/>
        <v>Apprenant 170 ou 170'</v>
      </c>
      <c r="BG182" s="49" t="str">
        <f t="shared" si="156"/>
        <v/>
      </c>
      <c r="BH182" s="49" t="str">
        <f t="shared" si="157"/>
        <v/>
      </c>
      <c r="BI182" s="49" t="str">
        <f t="shared" si="158"/>
        <v/>
      </c>
      <c r="BJ182" s="22" t="str">
        <f t="shared" si="184"/>
        <v/>
      </c>
      <c r="BL182" s="21"/>
      <c r="BM182" s="21" t="str">
        <f>IF(OR(COUNT(B182:D1181)=0,AND('Choix pédagogiques'!$C$3&lt;&gt;1,'Choix pédagogiques'!$C$3&lt;&gt;2)),"",IF(AND(OR('Choix pédagogiques'!$C$3=1,'Choix pédagogiques'!$C$3=2),$B182&lt;&gt;"",$C182&lt;&gt;"",$D182&lt;&gt;""),1,0))</f>
        <v/>
      </c>
      <c r="BN182" s="21" t="str">
        <f>IF(OR(COUNT(G182:I1181)=0,AND('Choix pédagogiques'!$C$3&lt;&gt;1,'Choix pédagogiques'!$C$3&lt;&gt;2)),"",IF(AND(OR('Choix pédagogiques'!$C$3=1,'Choix pédagogiques'!$C$3=2),AND($G182&lt;&gt;"",$H182&lt;&gt;"",$I182&lt;&gt;"")),1,0))</f>
        <v/>
      </c>
      <c r="BO182" s="21" t="str">
        <f>IF(OR(COUNT(B182:D1181)=0,COUNT(G182:I1181)=0,'Choix pédagogiques'!C$3&lt;&gt;3),"",IF(AND('Choix pédagogiques'!$C$3=3,$B182&lt;&gt;"",$C182&lt;&gt;"",$D182&lt;&gt;"",$G182&lt;&gt;"",$H182&lt;&gt;"",$I182&lt;&gt;""),1,0))</f>
        <v/>
      </c>
      <c r="BR182" s="21">
        <v>90</v>
      </c>
      <c r="BS182" s="21">
        <v>1975</v>
      </c>
      <c r="BT182"/>
    </row>
    <row r="183" spans="1:72" s="23" customFormat="1" ht="18" customHeight="1" x14ac:dyDescent="0.3">
      <c r="A183" s="35" t="s">
        <v>173</v>
      </c>
      <c r="B183" s="37"/>
      <c r="C183" s="37"/>
      <c r="D183" s="37"/>
      <c r="E183" s="37"/>
      <c r="F183" s="35" t="s">
        <v>1181</v>
      </c>
      <c r="G183" s="37"/>
      <c r="H183" s="37"/>
      <c r="I183" s="37"/>
      <c r="J183" s="37"/>
      <c r="K183" s="21" t="str">
        <f t="shared" si="159"/>
        <v>Apprenant 171</v>
      </c>
      <c r="L183" s="22" t="str">
        <f t="shared" si="160"/>
        <v/>
      </c>
      <c r="M183" s="22" t="str">
        <f t="shared" si="161"/>
        <v/>
      </c>
      <c r="N183" s="22" t="str">
        <f t="shared" si="162"/>
        <v/>
      </c>
      <c r="O183" s="22" t="str">
        <f t="shared" si="163"/>
        <v/>
      </c>
      <c r="P183" s="21" t="str">
        <f t="shared" si="164"/>
        <v>Apprenant 171 ou 171'</v>
      </c>
      <c r="Q183" s="22" t="str">
        <f t="shared" si="165"/>
        <v/>
      </c>
      <c r="R183" s="22" t="str">
        <f t="shared" si="166"/>
        <v/>
      </c>
      <c r="S183" s="22" t="str">
        <f t="shared" si="167"/>
        <v/>
      </c>
      <c r="T183" s="22" t="str">
        <f t="shared" si="168"/>
        <v/>
      </c>
      <c r="V183" s="21" t="str">
        <f t="shared" si="169"/>
        <v>Apprenant 171</v>
      </c>
      <c r="W183" s="22" t="str">
        <f>IF(AND(OR('Choix pédagogiques'!$C$3=1,'Choix pédagogiques'!$C$3=2),$BM183=1),B183,IF(AND('Choix pédagogiques'!$C$3=3,$BO183=1),B183,""))</f>
        <v/>
      </c>
      <c r="X183" s="22" t="str">
        <f>IF(AND(OR('Choix pédagogiques'!$C$3=1,'Choix pédagogiques'!$C$3=2),$BM183=1),C183,IF(AND('Choix pédagogiques'!$C$3=3,$BO183=1),C183,""))</f>
        <v/>
      </c>
      <c r="Y183" s="22" t="str">
        <f>IF(AND(OR('Choix pédagogiques'!$C$3=1,'Choix pédagogiques'!$C$3=2),$BM183=1),D183,IF(AND('Choix pédagogiques'!$C$3=3,$BO183=1),D183,""))</f>
        <v/>
      </c>
      <c r="Z183" s="22" t="str">
        <f t="shared" si="170"/>
        <v/>
      </c>
      <c r="AA183" s="21" t="str">
        <f t="shared" si="171"/>
        <v>Apprenant 171 ou 171'</v>
      </c>
      <c r="AB183" s="22" t="str">
        <f>IF(AND(OR('Choix pédagogiques'!$C$3=1,'Choix pédagogiques'!$C$3=2),$BN183=1),G183,IF(AND('Choix pédagogiques'!$C$3=3,$BO183=1),G183,""))</f>
        <v/>
      </c>
      <c r="AC183" s="22" t="str">
        <f>IF(AND(OR('Choix pédagogiques'!$C$3=1,'Choix pédagogiques'!$C$3=2),$BN183=1),H183,IF(AND('Choix pédagogiques'!$C$3=3,$BO183=1),H183,""))</f>
        <v/>
      </c>
      <c r="AD183" s="22" t="str">
        <f>IF(AND(OR('Choix pédagogiques'!$C$3=1,'Choix pédagogiques'!$C$3=2),$BN183=1),I183,IF(AND('Choix pédagogiques'!$C$3=3,$BO183=1),I183,""))</f>
        <v/>
      </c>
      <c r="AE183" s="22" t="str">
        <f t="shared" si="172"/>
        <v/>
      </c>
      <c r="AF183" s="21" t="str">
        <f t="shared" si="173"/>
        <v>Apprenant 171</v>
      </c>
      <c r="AG183" s="22" t="str">
        <f t="shared" si="147"/>
        <v/>
      </c>
      <c r="AH183" s="22" t="str">
        <f t="shared" si="148"/>
        <v/>
      </c>
      <c r="AI183" s="22" t="str">
        <f t="shared" si="149"/>
        <v/>
      </c>
      <c r="AJ183" s="22" t="str">
        <f t="shared" si="174"/>
        <v/>
      </c>
      <c r="AK183" s="21" t="str">
        <f t="shared" si="175"/>
        <v>Apprenant 171 ou 171'</v>
      </c>
      <c r="AL183" s="22" t="str">
        <f t="shared" si="150"/>
        <v/>
      </c>
      <c r="AM183" s="22" t="str">
        <f t="shared" si="151"/>
        <v/>
      </c>
      <c r="AN183" s="22" t="str">
        <f t="shared" si="152"/>
        <v/>
      </c>
      <c r="AO183" s="22" t="str">
        <f t="shared" si="176"/>
        <v/>
      </c>
      <c r="AQ183" s="21" t="str">
        <f t="shared" si="177"/>
        <v>Apprenant 171</v>
      </c>
      <c r="AR183" s="49" t="str">
        <f>IF(AND('Choix pédagogiques'!$C$4&lt;&gt;"?",'Choix pédagogiques'!$C$5&lt;&gt;"?",W183&lt;&gt;""),(W183-'Choix pédagogiques'!$C$4)/('Choix pédagogiques'!$C$5-'Choix pédagogiques'!$C$4),"")</f>
        <v/>
      </c>
      <c r="AS183" s="49" t="str">
        <f>IF(AND('Choix pédagogiques'!$C$4&lt;&gt;"?",'Choix pédagogiques'!$C$5&lt;&gt;"?",X183&lt;&gt;""),(X183-'Choix pédagogiques'!$C$4)/('Choix pédagogiques'!$C$5-'Choix pédagogiques'!$C$4),"")</f>
        <v/>
      </c>
      <c r="AT183" s="49" t="str">
        <f>IF(AND('Choix pédagogiques'!$C$4&lt;&gt;"?",'Choix pédagogiques'!$C$5&lt;&gt;"?",Y183&lt;&gt;""),(Y183-'Choix pédagogiques'!$C$4)/('Choix pédagogiques'!$C$5-'Choix pédagogiques'!$C$4),"")</f>
        <v/>
      </c>
      <c r="AU183" s="22" t="str">
        <f t="shared" si="178"/>
        <v/>
      </c>
      <c r="AV183" s="21" t="str">
        <f t="shared" si="179"/>
        <v>Apprenant 171 ou 171'</v>
      </c>
      <c r="AW183" s="49" t="str">
        <f>IF(AND('Choix pédagogiques'!$C$4&lt;&gt;"?",'Choix pédagogiques'!$C$5&lt;&gt;"?",AB183&lt;&gt;""),(AB183-'Choix pédagogiques'!$C$4)/('Choix pédagogiques'!$C$5-'Choix pédagogiques'!$C$4),"")</f>
        <v/>
      </c>
      <c r="AX183" s="49" t="str">
        <f>IF(AND('Choix pédagogiques'!$C$4&lt;&gt;"?",'Choix pédagogiques'!$C$5&lt;&gt;"?",AC183&lt;&gt;""),(AC183-'Choix pédagogiques'!$C$4)/('Choix pédagogiques'!$C$5-'Choix pédagogiques'!$C$4),"")</f>
        <v/>
      </c>
      <c r="AY183" s="49" t="str">
        <f>IF(AND('Choix pédagogiques'!$C$4&lt;&gt;"?",'Choix pédagogiques'!$C$5&lt;&gt;"?",AD183&lt;&gt;""),(AD183-'Choix pédagogiques'!$C$4)/('Choix pédagogiques'!$C$5-'Choix pédagogiques'!$C$4),"")</f>
        <v/>
      </c>
      <c r="AZ183" s="22" t="str">
        <f t="shared" si="180"/>
        <v/>
      </c>
      <c r="BA183" s="21" t="str">
        <f t="shared" si="181"/>
        <v>Apprenant 171</v>
      </c>
      <c r="BB183" s="49" t="str">
        <f t="shared" si="153"/>
        <v/>
      </c>
      <c r="BC183" s="49" t="str">
        <f t="shared" si="154"/>
        <v/>
      </c>
      <c r="BD183" s="49" t="str">
        <f t="shared" si="155"/>
        <v/>
      </c>
      <c r="BE183" s="22" t="str">
        <f t="shared" si="182"/>
        <v/>
      </c>
      <c r="BF183" s="21" t="str">
        <f t="shared" si="183"/>
        <v>Apprenant 171 ou 171'</v>
      </c>
      <c r="BG183" s="49" t="str">
        <f t="shared" si="156"/>
        <v/>
      </c>
      <c r="BH183" s="49" t="str">
        <f t="shared" si="157"/>
        <v/>
      </c>
      <c r="BI183" s="49" t="str">
        <f t="shared" si="158"/>
        <v/>
      </c>
      <c r="BJ183" s="22" t="str">
        <f t="shared" si="184"/>
        <v/>
      </c>
      <c r="BL183" s="21"/>
      <c r="BM183" s="21" t="str">
        <f>IF(OR(COUNT(B183:D1182)=0,AND('Choix pédagogiques'!$C$3&lt;&gt;1,'Choix pédagogiques'!$C$3&lt;&gt;2)),"",IF(AND(OR('Choix pédagogiques'!$C$3=1,'Choix pédagogiques'!$C$3=2),$B183&lt;&gt;"",$C183&lt;&gt;"",$D183&lt;&gt;""),1,0))</f>
        <v/>
      </c>
      <c r="BN183" s="21" t="str">
        <f>IF(OR(COUNT(G183:I1182)=0,AND('Choix pédagogiques'!$C$3&lt;&gt;1,'Choix pédagogiques'!$C$3&lt;&gt;2)),"",IF(AND(OR('Choix pédagogiques'!$C$3=1,'Choix pédagogiques'!$C$3=2),AND($G183&lt;&gt;"",$H183&lt;&gt;"",$I183&lt;&gt;"")),1,0))</f>
        <v/>
      </c>
      <c r="BO183" s="21" t="str">
        <f>IF(OR(COUNT(B183:D1182)=0,COUNT(G183:I1182)=0,'Choix pédagogiques'!C$3&lt;&gt;3),"",IF(AND('Choix pédagogiques'!$C$3=3,$B183&lt;&gt;"",$C183&lt;&gt;"",$D183&lt;&gt;"",$G183&lt;&gt;"",$H183&lt;&gt;"",$I183&lt;&gt;""),1,0))</f>
        <v/>
      </c>
      <c r="BR183" s="21">
        <v>757</v>
      </c>
      <c r="BS183" s="21">
        <v>1625</v>
      </c>
      <c r="BT183"/>
    </row>
    <row r="184" spans="1:72" s="23" customFormat="1" ht="18" customHeight="1" x14ac:dyDescent="0.3">
      <c r="A184" s="35" t="s">
        <v>174</v>
      </c>
      <c r="B184" s="37"/>
      <c r="C184" s="37"/>
      <c r="D184" s="37"/>
      <c r="E184" s="37"/>
      <c r="F184" s="35" t="s">
        <v>1182</v>
      </c>
      <c r="G184" s="37"/>
      <c r="H184" s="37"/>
      <c r="I184" s="37"/>
      <c r="J184" s="37"/>
      <c r="K184" s="21" t="str">
        <f t="shared" si="159"/>
        <v>Apprenant 172</v>
      </c>
      <c r="L184" s="22" t="str">
        <f t="shared" si="160"/>
        <v/>
      </c>
      <c r="M184" s="22" t="str">
        <f t="shared" si="161"/>
        <v/>
      </c>
      <c r="N184" s="22" t="str">
        <f t="shared" si="162"/>
        <v/>
      </c>
      <c r="O184" s="22" t="str">
        <f t="shared" si="163"/>
        <v/>
      </c>
      <c r="P184" s="21" t="str">
        <f t="shared" si="164"/>
        <v>Apprenant 172 ou 172'</v>
      </c>
      <c r="Q184" s="22" t="str">
        <f t="shared" si="165"/>
        <v/>
      </c>
      <c r="R184" s="22" t="str">
        <f t="shared" si="166"/>
        <v/>
      </c>
      <c r="S184" s="22" t="str">
        <f t="shared" si="167"/>
        <v/>
      </c>
      <c r="T184" s="22" t="str">
        <f t="shared" si="168"/>
        <v/>
      </c>
      <c r="V184" s="21" t="str">
        <f t="shared" si="169"/>
        <v>Apprenant 172</v>
      </c>
      <c r="W184" s="22" t="str">
        <f>IF(AND(OR('Choix pédagogiques'!$C$3=1,'Choix pédagogiques'!$C$3=2),$BM184=1),B184,IF(AND('Choix pédagogiques'!$C$3=3,$BO184=1),B184,""))</f>
        <v/>
      </c>
      <c r="X184" s="22" t="str">
        <f>IF(AND(OR('Choix pédagogiques'!$C$3=1,'Choix pédagogiques'!$C$3=2),$BM184=1),C184,IF(AND('Choix pédagogiques'!$C$3=3,$BO184=1),C184,""))</f>
        <v/>
      </c>
      <c r="Y184" s="22" t="str">
        <f>IF(AND(OR('Choix pédagogiques'!$C$3=1,'Choix pédagogiques'!$C$3=2),$BM184=1),D184,IF(AND('Choix pédagogiques'!$C$3=3,$BO184=1),D184,""))</f>
        <v/>
      </c>
      <c r="Z184" s="22" t="str">
        <f t="shared" si="170"/>
        <v/>
      </c>
      <c r="AA184" s="21" t="str">
        <f t="shared" si="171"/>
        <v>Apprenant 172 ou 172'</v>
      </c>
      <c r="AB184" s="22" t="str">
        <f>IF(AND(OR('Choix pédagogiques'!$C$3=1,'Choix pédagogiques'!$C$3=2),$BN184=1),G184,IF(AND('Choix pédagogiques'!$C$3=3,$BO184=1),G184,""))</f>
        <v/>
      </c>
      <c r="AC184" s="22" t="str">
        <f>IF(AND(OR('Choix pédagogiques'!$C$3=1,'Choix pédagogiques'!$C$3=2),$BN184=1),H184,IF(AND('Choix pédagogiques'!$C$3=3,$BO184=1),H184,""))</f>
        <v/>
      </c>
      <c r="AD184" s="22" t="str">
        <f>IF(AND(OR('Choix pédagogiques'!$C$3=1,'Choix pédagogiques'!$C$3=2),$BN184=1),I184,IF(AND('Choix pédagogiques'!$C$3=3,$BO184=1),I184,""))</f>
        <v/>
      </c>
      <c r="AE184" s="22" t="str">
        <f t="shared" si="172"/>
        <v/>
      </c>
      <c r="AF184" s="21" t="str">
        <f t="shared" si="173"/>
        <v>Apprenant 172</v>
      </c>
      <c r="AG184" s="22" t="str">
        <f t="shared" si="147"/>
        <v/>
      </c>
      <c r="AH184" s="22" t="str">
        <f t="shared" si="148"/>
        <v/>
      </c>
      <c r="AI184" s="22" t="str">
        <f t="shared" si="149"/>
        <v/>
      </c>
      <c r="AJ184" s="22" t="str">
        <f t="shared" si="174"/>
        <v/>
      </c>
      <c r="AK184" s="21" t="str">
        <f t="shared" si="175"/>
        <v>Apprenant 172 ou 172'</v>
      </c>
      <c r="AL184" s="22" t="str">
        <f t="shared" si="150"/>
        <v/>
      </c>
      <c r="AM184" s="22" t="str">
        <f t="shared" si="151"/>
        <v/>
      </c>
      <c r="AN184" s="22" t="str">
        <f t="shared" si="152"/>
        <v/>
      </c>
      <c r="AO184" s="22" t="str">
        <f t="shared" si="176"/>
        <v/>
      </c>
      <c r="AQ184" s="21" t="str">
        <f t="shared" si="177"/>
        <v>Apprenant 172</v>
      </c>
      <c r="AR184" s="49" t="str">
        <f>IF(AND('Choix pédagogiques'!$C$4&lt;&gt;"?",'Choix pédagogiques'!$C$5&lt;&gt;"?",W184&lt;&gt;""),(W184-'Choix pédagogiques'!$C$4)/('Choix pédagogiques'!$C$5-'Choix pédagogiques'!$C$4),"")</f>
        <v/>
      </c>
      <c r="AS184" s="49" t="str">
        <f>IF(AND('Choix pédagogiques'!$C$4&lt;&gt;"?",'Choix pédagogiques'!$C$5&lt;&gt;"?",X184&lt;&gt;""),(X184-'Choix pédagogiques'!$C$4)/('Choix pédagogiques'!$C$5-'Choix pédagogiques'!$C$4),"")</f>
        <v/>
      </c>
      <c r="AT184" s="49" t="str">
        <f>IF(AND('Choix pédagogiques'!$C$4&lt;&gt;"?",'Choix pédagogiques'!$C$5&lt;&gt;"?",Y184&lt;&gt;""),(Y184-'Choix pédagogiques'!$C$4)/('Choix pédagogiques'!$C$5-'Choix pédagogiques'!$C$4),"")</f>
        <v/>
      </c>
      <c r="AU184" s="22" t="str">
        <f t="shared" si="178"/>
        <v/>
      </c>
      <c r="AV184" s="21" t="str">
        <f t="shared" si="179"/>
        <v>Apprenant 172 ou 172'</v>
      </c>
      <c r="AW184" s="49" t="str">
        <f>IF(AND('Choix pédagogiques'!$C$4&lt;&gt;"?",'Choix pédagogiques'!$C$5&lt;&gt;"?",AB184&lt;&gt;""),(AB184-'Choix pédagogiques'!$C$4)/('Choix pédagogiques'!$C$5-'Choix pédagogiques'!$C$4),"")</f>
        <v/>
      </c>
      <c r="AX184" s="49" t="str">
        <f>IF(AND('Choix pédagogiques'!$C$4&lt;&gt;"?",'Choix pédagogiques'!$C$5&lt;&gt;"?",AC184&lt;&gt;""),(AC184-'Choix pédagogiques'!$C$4)/('Choix pédagogiques'!$C$5-'Choix pédagogiques'!$C$4),"")</f>
        <v/>
      </c>
      <c r="AY184" s="49" t="str">
        <f>IF(AND('Choix pédagogiques'!$C$4&lt;&gt;"?",'Choix pédagogiques'!$C$5&lt;&gt;"?",AD184&lt;&gt;""),(AD184-'Choix pédagogiques'!$C$4)/('Choix pédagogiques'!$C$5-'Choix pédagogiques'!$C$4),"")</f>
        <v/>
      </c>
      <c r="AZ184" s="22" t="str">
        <f t="shared" si="180"/>
        <v/>
      </c>
      <c r="BA184" s="21" t="str">
        <f t="shared" si="181"/>
        <v>Apprenant 172</v>
      </c>
      <c r="BB184" s="49" t="str">
        <f t="shared" si="153"/>
        <v/>
      </c>
      <c r="BC184" s="49" t="str">
        <f t="shared" si="154"/>
        <v/>
      </c>
      <c r="BD184" s="49" t="str">
        <f t="shared" si="155"/>
        <v/>
      </c>
      <c r="BE184" s="22" t="str">
        <f t="shared" si="182"/>
        <v/>
      </c>
      <c r="BF184" s="21" t="str">
        <f t="shared" si="183"/>
        <v>Apprenant 172 ou 172'</v>
      </c>
      <c r="BG184" s="49" t="str">
        <f t="shared" si="156"/>
        <v/>
      </c>
      <c r="BH184" s="49" t="str">
        <f t="shared" si="157"/>
        <v/>
      </c>
      <c r="BI184" s="49" t="str">
        <f t="shared" si="158"/>
        <v/>
      </c>
      <c r="BJ184" s="22" t="str">
        <f t="shared" si="184"/>
        <v/>
      </c>
      <c r="BL184" s="21"/>
      <c r="BM184" s="21" t="str">
        <f>IF(OR(COUNT(B184:D1183)=0,AND('Choix pédagogiques'!$C$3&lt;&gt;1,'Choix pédagogiques'!$C$3&lt;&gt;2)),"",IF(AND(OR('Choix pédagogiques'!$C$3=1,'Choix pédagogiques'!$C$3=2),$B184&lt;&gt;"",$C184&lt;&gt;"",$D184&lt;&gt;""),1,0))</f>
        <v/>
      </c>
      <c r="BN184" s="21" t="str">
        <f>IF(OR(COUNT(G184:I1183)=0,AND('Choix pédagogiques'!$C$3&lt;&gt;1,'Choix pédagogiques'!$C$3&lt;&gt;2)),"",IF(AND(OR('Choix pédagogiques'!$C$3=1,'Choix pédagogiques'!$C$3=2),AND($G184&lt;&gt;"",$H184&lt;&gt;"",$I184&lt;&gt;"")),1,0))</f>
        <v/>
      </c>
      <c r="BO184" s="21" t="str">
        <f>IF(OR(COUNT(B184:D1183)=0,COUNT(G184:I1183)=0,'Choix pédagogiques'!C$3&lt;&gt;3),"",IF(AND('Choix pédagogiques'!$C$3=3,$B184&lt;&gt;"",$C184&lt;&gt;"",$D184&lt;&gt;"",$G184&lt;&gt;"",$H184&lt;&gt;"",$I184&lt;&gt;""),1,0))</f>
        <v/>
      </c>
      <c r="BR184" s="21">
        <v>16</v>
      </c>
      <c r="BS184" s="21">
        <v>1737</v>
      </c>
      <c r="BT184"/>
    </row>
    <row r="185" spans="1:72" s="23" customFormat="1" ht="18" customHeight="1" x14ac:dyDescent="0.3">
      <c r="A185" s="35" t="s">
        <v>175</v>
      </c>
      <c r="B185" s="37"/>
      <c r="C185" s="37"/>
      <c r="D185" s="37"/>
      <c r="E185" s="37"/>
      <c r="F185" s="35" t="s">
        <v>1183</v>
      </c>
      <c r="G185" s="37"/>
      <c r="H185" s="37"/>
      <c r="I185" s="37"/>
      <c r="J185" s="37"/>
      <c r="K185" s="21" t="str">
        <f t="shared" si="159"/>
        <v>Apprenant 173</v>
      </c>
      <c r="L185" s="22" t="str">
        <f t="shared" si="160"/>
        <v/>
      </c>
      <c r="M185" s="22" t="str">
        <f t="shared" si="161"/>
        <v/>
      </c>
      <c r="N185" s="22" t="str">
        <f t="shared" si="162"/>
        <v/>
      </c>
      <c r="O185" s="22" t="str">
        <f t="shared" si="163"/>
        <v/>
      </c>
      <c r="P185" s="21" t="str">
        <f t="shared" si="164"/>
        <v>Apprenant 173 ou 173'</v>
      </c>
      <c r="Q185" s="22" t="str">
        <f t="shared" si="165"/>
        <v/>
      </c>
      <c r="R185" s="22" t="str">
        <f t="shared" si="166"/>
        <v/>
      </c>
      <c r="S185" s="22" t="str">
        <f t="shared" si="167"/>
        <v/>
      </c>
      <c r="T185" s="22" t="str">
        <f t="shared" si="168"/>
        <v/>
      </c>
      <c r="V185" s="21" t="str">
        <f t="shared" si="169"/>
        <v>Apprenant 173</v>
      </c>
      <c r="W185" s="22" t="str">
        <f>IF(AND(OR('Choix pédagogiques'!$C$3=1,'Choix pédagogiques'!$C$3=2),$BM185=1),B185,IF(AND('Choix pédagogiques'!$C$3=3,$BO185=1),B185,""))</f>
        <v/>
      </c>
      <c r="X185" s="22" t="str">
        <f>IF(AND(OR('Choix pédagogiques'!$C$3=1,'Choix pédagogiques'!$C$3=2),$BM185=1),C185,IF(AND('Choix pédagogiques'!$C$3=3,$BO185=1),C185,""))</f>
        <v/>
      </c>
      <c r="Y185" s="22" t="str">
        <f>IF(AND(OR('Choix pédagogiques'!$C$3=1,'Choix pédagogiques'!$C$3=2),$BM185=1),D185,IF(AND('Choix pédagogiques'!$C$3=3,$BO185=1),D185,""))</f>
        <v/>
      </c>
      <c r="Z185" s="22" t="str">
        <f t="shared" si="170"/>
        <v/>
      </c>
      <c r="AA185" s="21" t="str">
        <f t="shared" si="171"/>
        <v>Apprenant 173 ou 173'</v>
      </c>
      <c r="AB185" s="22" t="str">
        <f>IF(AND(OR('Choix pédagogiques'!$C$3=1,'Choix pédagogiques'!$C$3=2),$BN185=1),G185,IF(AND('Choix pédagogiques'!$C$3=3,$BO185=1),G185,""))</f>
        <v/>
      </c>
      <c r="AC185" s="22" t="str">
        <f>IF(AND(OR('Choix pédagogiques'!$C$3=1,'Choix pédagogiques'!$C$3=2),$BN185=1),H185,IF(AND('Choix pédagogiques'!$C$3=3,$BO185=1),H185,""))</f>
        <v/>
      </c>
      <c r="AD185" s="22" t="str">
        <f>IF(AND(OR('Choix pédagogiques'!$C$3=1,'Choix pédagogiques'!$C$3=2),$BN185=1),I185,IF(AND('Choix pédagogiques'!$C$3=3,$BO185=1),I185,""))</f>
        <v/>
      </c>
      <c r="AE185" s="22" t="str">
        <f t="shared" si="172"/>
        <v/>
      </c>
      <c r="AF185" s="21" t="str">
        <f t="shared" si="173"/>
        <v>Apprenant 173</v>
      </c>
      <c r="AG185" s="22" t="str">
        <f t="shared" si="147"/>
        <v/>
      </c>
      <c r="AH185" s="22" t="str">
        <f t="shared" si="148"/>
        <v/>
      </c>
      <c r="AI185" s="22" t="str">
        <f t="shared" si="149"/>
        <v/>
      </c>
      <c r="AJ185" s="22" t="str">
        <f t="shared" si="174"/>
        <v/>
      </c>
      <c r="AK185" s="21" t="str">
        <f t="shared" si="175"/>
        <v>Apprenant 173 ou 173'</v>
      </c>
      <c r="AL185" s="22" t="str">
        <f t="shared" si="150"/>
        <v/>
      </c>
      <c r="AM185" s="22" t="str">
        <f t="shared" si="151"/>
        <v/>
      </c>
      <c r="AN185" s="22" t="str">
        <f t="shared" si="152"/>
        <v/>
      </c>
      <c r="AO185" s="22" t="str">
        <f t="shared" si="176"/>
        <v/>
      </c>
      <c r="AQ185" s="21" t="str">
        <f t="shared" si="177"/>
        <v>Apprenant 173</v>
      </c>
      <c r="AR185" s="49" t="str">
        <f>IF(AND('Choix pédagogiques'!$C$4&lt;&gt;"?",'Choix pédagogiques'!$C$5&lt;&gt;"?",W185&lt;&gt;""),(W185-'Choix pédagogiques'!$C$4)/('Choix pédagogiques'!$C$5-'Choix pédagogiques'!$C$4),"")</f>
        <v/>
      </c>
      <c r="AS185" s="49" t="str">
        <f>IF(AND('Choix pédagogiques'!$C$4&lt;&gt;"?",'Choix pédagogiques'!$C$5&lt;&gt;"?",X185&lt;&gt;""),(X185-'Choix pédagogiques'!$C$4)/('Choix pédagogiques'!$C$5-'Choix pédagogiques'!$C$4),"")</f>
        <v/>
      </c>
      <c r="AT185" s="49" t="str">
        <f>IF(AND('Choix pédagogiques'!$C$4&lt;&gt;"?",'Choix pédagogiques'!$C$5&lt;&gt;"?",Y185&lt;&gt;""),(Y185-'Choix pédagogiques'!$C$4)/('Choix pédagogiques'!$C$5-'Choix pédagogiques'!$C$4),"")</f>
        <v/>
      </c>
      <c r="AU185" s="22" t="str">
        <f t="shared" si="178"/>
        <v/>
      </c>
      <c r="AV185" s="21" t="str">
        <f t="shared" si="179"/>
        <v>Apprenant 173 ou 173'</v>
      </c>
      <c r="AW185" s="49" t="str">
        <f>IF(AND('Choix pédagogiques'!$C$4&lt;&gt;"?",'Choix pédagogiques'!$C$5&lt;&gt;"?",AB185&lt;&gt;""),(AB185-'Choix pédagogiques'!$C$4)/('Choix pédagogiques'!$C$5-'Choix pédagogiques'!$C$4),"")</f>
        <v/>
      </c>
      <c r="AX185" s="49" t="str">
        <f>IF(AND('Choix pédagogiques'!$C$4&lt;&gt;"?",'Choix pédagogiques'!$C$5&lt;&gt;"?",AC185&lt;&gt;""),(AC185-'Choix pédagogiques'!$C$4)/('Choix pédagogiques'!$C$5-'Choix pédagogiques'!$C$4),"")</f>
        <v/>
      </c>
      <c r="AY185" s="49" t="str">
        <f>IF(AND('Choix pédagogiques'!$C$4&lt;&gt;"?",'Choix pédagogiques'!$C$5&lt;&gt;"?",AD185&lt;&gt;""),(AD185-'Choix pédagogiques'!$C$4)/('Choix pédagogiques'!$C$5-'Choix pédagogiques'!$C$4),"")</f>
        <v/>
      </c>
      <c r="AZ185" s="22" t="str">
        <f t="shared" si="180"/>
        <v/>
      </c>
      <c r="BA185" s="21" t="str">
        <f t="shared" si="181"/>
        <v>Apprenant 173</v>
      </c>
      <c r="BB185" s="49" t="str">
        <f t="shared" si="153"/>
        <v/>
      </c>
      <c r="BC185" s="49" t="str">
        <f t="shared" si="154"/>
        <v/>
      </c>
      <c r="BD185" s="49" t="str">
        <f t="shared" si="155"/>
        <v/>
      </c>
      <c r="BE185" s="22" t="str">
        <f t="shared" si="182"/>
        <v/>
      </c>
      <c r="BF185" s="21" t="str">
        <f t="shared" si="183"/>
        <v>Apprenant 173 ou 173'</v>
      </c>
      <c r="BG185" s="49" t="str">
        <f t="shared" si="156"/>
        <v/>
      </c>
      <c r="BH185" s="49" t="str">
        <f t="shared" si="157"/>
        <v/>
      </c>
      <c r="BI185" s="49" t="str">
        <f t="shared" si="158"/>
        <v/>
      </c>
      <c r="BJ185" s="22" t="str">
        <f t="shared" si="184"/>
        <v/>
      </c>
      <c r="BL185" s="21"/>
      <c r="BM185" s="21" t="str">
        <f>IF(OR(COUNT(B185:D1184)=0,AND('Choix pédagogiques'!$C$3&lt;&gt;1,'Choix pédagogiques'!$C$3&lt;&gt;2)),"",IF(AND(OR('Choix pédagogiques'!$C$3=1,'Choix pédagogiques'!$C$3=2),$B185&lt;&gt;"",$C185&lt;&gt;"",$D185&lt;&gt;""),1,0))</f>
        <v/>
      </c>
      <c r="BN185" s="21" t="str">
        <f>IF(OR(COUNT(G185:I1184)=0,AND('Choix pédagogiques'!$C$3&lt;&gt;1,'Choix pédagogiques'!$C$3&lt;&gt;2)),"",IF(AND(OR('Choix pédagogiques'!$C$3=1,'Choix pédagogiques'!$C$3=2),AND($G185&lt;&gt;"",$H185&lt;&gt;"",$I185&lt;&gt;"")),1,0))</f>
        <v/>
      </c>
      <c r="BO185" s="21" t="str">
        <f>IF(OR(COUNT(B185:D1184)=0,COUNT(G185:I1184)=0,'Choix pédagogiques'!C$3&lt;&gt;3),"",IF(AND('Choix pédagogiques'!$C$3=3,$B185&lt;&gt;"",$C185&lt;&gt;"",$D185&lt;&gt;"",$G185&lt;&gt;"",$H185&lt;&gt;"",$I185&lt;&gt;""),1,0))</f>
        <v/>
      </c>
      <c r="BR185" s="21">
        <v>189</v>
      </c>
      <c r="BS185" s="21">
        <v>1974</v>
      </c>
      <c r="BT185"/>
    </row>
    <row r="186" spans="1:72" s="23" customFormat="1" ht="18" customHeight="1" x14ac:dyDescent="0.3">
      <c r="A186" s="35" t="s">
        <v>176</v>
      </c>
      <c r="B186" s="37"/>
      <c r="C186" s="37"/>
      <c r="D186" s="37"/>
      <c r="E186" s="37"/>
      <c r="F186" s="35" t="s">
        <v>1184</v>
      </c>
      <c r="G186" s="37"/>
      <c r="H186" s="37"/>
      <c r="I186" s="37"/>
      <c r="J186" s="37"/>
      <c r="K186" s="21" t="str">
        <f t="shared" si="159"/>
        <v>Apprenant 174</v>
      </c>
      <c r="L186" s="22" t="str">
        <f t="shared" si="160"/>
        <v/>
      </c>
      <c r="M186" s="22" t="str">
        <f t="shared" si="161"/>
        <v/>
      </c>
      <c r="N186" s="22" t="str">
        <f t="shared" si="162"/>
        <v/>
      </c>
      <c r="O186" s="22" t="str">
        <f t="shared" si="163"/>
        <v/>
      </c>
      <c r="P186" s="21" t="str">
        <f t="shared" si="164"/>
        <v>Apprenant 174 ou 174'</v>
      </c>
      <c r="Q186" s="22" t="str">
        <f t="shared" si="165"/>
        <v/>
      </c>
      <c r="R186" s="22" t="str">
        <f t="shared" si="166"/>
        <v/>
      </c>
      <c r="S186" s="22" t="str">
        <f t="shared" si="167"/>
        <v/>
      </c>
      <c r="T186" s="22" t="str">
        <f t="shared" si="168"/>
        <v/>
      </c>
      <c r="V186" s="21" t="str">
        <f t="shared" si="169"/>
        <v>Apprenant 174</v>
      </c>
      <c r="W186" s="22" t="str">
        <f>IF(AND(OR('Choix pédagogiques'!$C$3=1,'Choix pédagogiques'!$C$3=2),$BM186=1),B186,IF(AND('Choix pédagogiques'!$C$3=3,$BO186=1),B186,""))</f>
        <v/>
      </c>
      <c r="X186" s="22" t="str">
        <f>IF(AND(OR('Choix pédagogiques'!$C$3=1,'Choix pédagogiques'!$C$3=2),$BM186=1),C186,IF(AND('Choix pédagogiques'!$C$3=3,$BO186=1),C186,""))</f>
        <v/>
      </c>
      <c r="Y186" s="22" t="str">
        <f>IF(AND(OR('Choix pédagogiques'!$C$3=1,'Choix pédagogiques'!$C$3=2),$BM186=1),D186,IF(AND('Choix pédagogiques'!$C$3=3,$BO186=1),D186,""))</f>
        <v/>
      </c>
      <c r="Z186" s="22" t="str">
        <f t="shared" si="170"/>
        <v/>
      </c>
      <c r="AA186" s="21" t="str">
        <f t="shared" si="171"/>
        <v>Apprenant 174 ou 174'</v>
      </c>
      <c r="AB186" s="22" t="str">
        <f>IF(AND(OR('Choix pédagogiques'!$C$3=1,'Choix pédagogiques'!$C$3=2),$BN186=1),G186,IF(AND('Choix pédagogiques'!$C$3=3,$BO186=1),G186,""))</f>
        <v/>
      </c>
      <c r="AC186" s="22" t="str">
        <f>IF(AND(OR('Choix pédagogiques'!$C$3=1,'Choix pédagogiques'!$C$3=2),$BN186=1),H186,IF(AND('Choix pédagogiques'!$C$3=3,$BO186=1),H186,""))</f>
        <v/>
      </c>
      <c r="AD186" s="22" t="str">
        <f>IF(AND(OR('Choix pédagogiques'!$C$3=1,'Choix pédagogiques'!$C$3=2),$BN186=1),I186,IF(AND('Choix pédagogiques'!$C$3=3,$BO186=1),I186,""))</f>
        <v/>
      </c>
      <c r="AE186" s="22" t="str">
        <f t="shared" si="172"/>
        <v/>
      </c>
      <c r="AF186" s="21" t="str">
        <f t="shared" si="173"/>
        <v>Apprenant 174</v>
      </c>
      <c r="AG186" s="22" t="str">
        <f t="shared" si="147"/>
        <v/>
      </c>
      <c r="AH186" s="22" t="str">
        <f t="shared" si="148"/>
        <v/>
      </c>
      <c r="AI186" s="22" t="str">
        <f t="shared" si="149"/>
        <v/>
      </c>
      <c r="AJ186" s="22" t="str">
        <f t="shared" si="174"/>
        <v/>
      </c>
      <c r="AK186" s="21" t="str">
        <f t="shared" si="175"/>
        <v>Apprenant 174 ou 174'</v>
      </c>
      <c r="AL186" s="22" t="str">
        <f t="shared" si="150"/>
        <v/>
      </c>
      <c r="AM186" s="22" t="str">
        <f t="shared" si="151"/>
        <v/>
      </c>
      <c r="AN186" s="22" t="str">
        <f t="shared" si="152"/>
        <v/>
      </c>
      <c r="AO186" s="22" t="str">
        <f t="shared" si="176"/>
        <v/>
      </c>
      <c r="AQ186" s="21" t="str">
        <f t="shared" si="177"/>
        <v>Apprenant 174</v>
      </c>
      <c r="AR186" s="49" t="str">
        <f>IF(AND('Choix pédagogiques'!$C$4&lt;&gt;"?",'Choix pédagogiques'!$C$5&lt;&gt;"?",W186&lt;&gt;""),(W186-'Choix pédagogiques'!$C$4)/('Choix pédagogiques'!$C$5-'Choix pédagogiques'!$C$4),"")</f>
        <v/>
      </c>
      <c r="AS186" s="49" t="str">
        <f>IF(AND('Choix pédagogiques'!$C$4&lt;&gt;"?",'Choix pédagogiques'!$C$5&lt;&gt;"?",X186&lt;&gt;""),(X186-'Choix pédagogiques'!$C$4)/('Choix pédagogiques'!$C$5-'Choix pédagogiques'!$C$4),"")</f>
        <v/>
      </c>
      <c r="AT186" s="49" t="str">
        <f>IF(AND('Choix pédagogiques'!$C$4&lt;&gt;"?",'Choix pédagogiques'!$C$5&lt;&gt;"?",Y186&lt;&gt;""),(Y186-'Choix pédagogiques'!$C$4)/('Choix pédagogiques'!$C$5-'Choix pédagogiques'!$C$4),"")</f>
        <v/>
      </c>
      <c r="AU186" s="22" t="str">
        <f t="shared" si="178"/>
        <v/>
      </c>
      <c r="AV186" s="21" t="str">
        <f t="shared" si="179"/>
        <v>Apprenant 174 ou 174'</v>
      </c>
      <c r="AW186" s="49" t="str">
        <f>IF(AND('Choix pédagogiques'!$C$4&lt;&gt;"?",'Choix pédagogiques'!$C$5&lt;&gt;"?",AB186&lt;&gt;""),(AB186-'Choix pédagogiques'!$C$4)/('Choix pédagogiques'!$C$5-'Choix pédagogiques'!$C$4),"")</f>
        <v/>
      </c>
      <c r="AX186" s="49" t="str">
        <f>IF(AND('Choix pédagogiques'!$C$4&lt;&gt;"?",'Choix pédagogiques'!$C$5&lt;&gt;"?",AC186&lt;&gt;""),(AC186-'Choix pédagogiques'!$C$4)/('Choix pédagogiques'!$C$5-'Choix pédagogiques'!$C$4),"")</f>
        <v/>
      </c>
      <c r="AY186" s="49" t="str">
        <f>IF(AND('Choix pédagogiques'!$C$4&lt;&gt;"?",'Choix pédagogiques'!$C$5&lt;&gt;"?",AD186&lt;&gt;""),(AD186-'Choix pédagogiques'!$C$4)/('Choix pédagogiques'!$C$5-'Choix pédagogiques'!$C$4),"")</f>
        <v/>
      </c>
      <c r="AZ186" s="22" t="str">
        <f t="shared" si="180"/>
        <v/>
      </c>
      <c r="BA186" s="21" t="str">
        <f t="shared" si="181"/>
        <v>Apprenant 174</v>
      </c>
      <c r="BB186" s="49" t="str">
        <f t="shared" si="153"/>
        <v/>
      </c>
      <c r="BC186" s="49" t="str">
        <f t="shared" si="154"/>
        <v/>
      </c>
      <c r="BD186" s="49" t="str">
        <f t="shared" si="155"/>
        <v/>
      </c>
      <c r="BE186" s="22" t="str">
        <f t="shared" si="182"/>
        <v/>
      </c>
      <c r="BF186" s="21" t="str">
        <f t="shared" si="183"/>
        <v>Apprenant 174 ou 174'</v>
      </c>
      <c r="BG186" s="49" t="str">
        <f t="shared" si="156"/>
        <v/>
      </c>
      <c r="BH186" s="49" t="str">
        <f t="shared" si="157"/>
        <v/>
      </c>
      <c r="BI186" s="49" t="str">
        <f t="shared" si="158"/>
        <v/>
      </c>
      <c r="BJ186" s="22" t="str">
        <f t="shared" si="184"/>
        <v/>
      </c>
      <c r="BL186" s="21"/>
      <c r="BM186" s="21" t="str">
        <f>IF(OR(COUNT(B186:D1185)=0,AND('Choix pédagogiques'!$C$3&lt;&gt;1,'Choix pédagogiques'!$C$3&lt;&gt;2)),"",IF(AND(OR('Choix pédagogiques'!$C$3=1,'Choix pédagogiques'!$C$3=2),$B186&lt;&gt;"",$C186&lt;&gt;"",$D186&lt;&gt;""),1,0))</f>
        <v/>
      </c>
      <c r="BN186" s="21" t="str">
        <f>IF(OR(COUNT(G186:I1185)=0,AND('Choix pédagogiques'!$C$3&lt;&gt;1,'Choix pédagogiques'!$C$3&lt;&gt;2)),"",IF(AND(OR('Choix pédagogiques'!$C$3=1,'Choix pédagogiques'!$C$3=2),AND($G186&lt;&gt;"",$H186&lt;&gt;"",$I186&lt;&gt;"")),1,0))</f>
        <v/>
      </c>
      <c r="BO186" s="21" t="str">
        <f>IF(OR(COUNT(B186:D1185)=0,COUNT(G186:I1185)=0,'Choix pédagogiques'!C$3&lt;&gt;3),"",IF(AND('Choix pédagogiques'!$C$3=3,$B186&lt;&gt;"",$C186&lt;&gt;"",$D186&lt;&gt;"",$G186&lt;&gt;"",$H186&lt;&gt;"",$I186&lt;&gt;""),1,0))</f>
        <v/>
      </c>
      <c r="BR186" s="21">
        <v>183</v>
      </c>
      <c r="BS186" s="21">
        <v>1007</v>
      </c>
      <c r="BT186"/>
    </row>
    <row r="187" spans="1:72" s="23" customFormat="1" ht="18" customHeight="1" x14ac:dyDescent="0.3">
      <c r="A187" s="35" t="s">
        <v>177</v>
      </c>
      <c r="B187" s="37"/>
      <c r="C187" s="37"/>
      <c r="D187" s="37"/>
      <c r="E187" s="37"/>
      <c r="F187" s="35" t="s">
        <v>1185</v>
      </c>
      <c r="G187" s="37"/>
      <c r="H187" s="37"/>
      <c r="I187" s="37"/>
      <c r="J187" s="37"/>
      <c r="K187" s="21" t="str">
        <f t="shared" si="159"/>
        <v>Apprenant 175</v>
      </c>
      <c r="L187" s="22" t="str">
        <f t="shared" si="160"/>
        <v/>
      </c>
      <c r="M187" s="22" t="str">
        <f t="shared" si="161"/>
        <v/>
      </c>
      <c r="N187" s="22" t="str">
        <f t="shared" si="162"/>
        <v/>
      </c>
      <c r="O187" s="22" t="str">
        <f t="shared" si="163"/>
        <v/>
      </c>
      <c r="P187" s="21" t="str">
        <f t="shared" si="164"/>
        <v>Apprenant 175 ou 175'</v>
      </c>
      <c r="Q187" s="22" t="str">
        <f t="shared" si="165"/>
        <v/>
      </c>
      <c r="R187" s="22" t="str">
        <f t="shared" si="166"/>
        <v/>
      </c>
      <c r="S187" s="22" t="str">
        <f t="shared" si="167"/>
        <v/>
      </c>
      <c r="T187" s="22" t="str">
        <f t="shared" si="168"/>
        <v/>
      </c>
      <c r="V187" s="21" t="str">
        <f t="shared" si="169"/>
        <v>Apprenant 175</v>
      </c>
      <c r="W187" s="22" t="str">
        <f>IF(AND(OR('Choix pédagogiques'!$C$3=1,'Choix pédagogiques'!$C$3=2),$BM187=1),B187,IF(AND('Choix pédagogiques'!$C$3=3,$BO187=1),B187,""))</f>
        <v/>
      </c>
      <c r="X187" s="22" t="str">
        <f>IF(AND(OR('Choix pédagogiques'!$C$3=1,'Choix pédagogiques'!$C$3=2),$BM187=1),C187,IF(AND('Choix pédagogiques'!$C$3=3,$BO187=1),C187,""))</f>
        <v/>
      </c>
      <c r="Y187" s="22" t="str">
        <f>IF(AND(OR('Choix pédagogiques'!$C$3=1,'Choix pédagogiques'!$C$3=2),$BM187=1),D187,IF(AND('Choix pédagogiques'!$C$3=3,$BO187=1),D187,""))</f>
        <v/>
      </c>
      <c r="Z187" s="22" t="str">
        <f t="shared" si="170"/>
        <v/>
      </c>
      <c r="AA187" s="21" t="str">
        <f t="shared" si="171"/>
        <v>Apprenant 175 ou 175'</v>
      </c>
      <c r="AB187" s="22" t="str">
        <f>IF(AND(OR('Choix pédagogiques'!$C$3=1,'Choix pédagogiques'!$C$3=2),$BN187=1),G187,IF(AND('Choix pédagogiques'!$C$3=3,$BO187=1),G187,""))</f>
        <v/>
      </c>
      <c r="AC187" s="22" t="str">
        <f>IF(AND(OR('Choix pédagogiques'!$C$3=1,'Choix pédagogiques'!$C$3=2),$BN187=1),H187,IF(AND('Choix pédagogiques'!$C$3=3,$BO187=1),H187,""))</f>
        <v/>
      </c>
      <c r="AD187" s="22" t="str">
        <f>IF(AND(OR('Choix pédagogiques'!$C$3=1,'Choix pédagogiques'!$C$3=2),$BN187=1),I187,IF(AND('Choix pédagogiques'!$C$3=3,$BO187=1),I187,""))</f>
        <v/>
      </c>
      <c r="AE187" s="22" t="str">
        <f t="shared" si="172"/>
        <v/>
      </c>
      <c r="AF187" s="21" t="str">
        <f t="shared" si="173"/>
        <v>Apprenant 175</v>
      </c>
      <c r="AG187" s="22" t="str">
        <f t="shared" si="147"/>
        <v/>
      </c>
      <c r="AH187" s="22" t="str">
        <f t="shared" si="148"/>
        <v/>
      </c>
      <c r="AI187" s="22" t="str">
        <f t="shared" si="149"/>
        <v/>
      </c>
      <c r="AJ187" s="22" t="str">
        <f t="shared" si="174"/>
        <v/>
      </c>
      <c r="AK187" s="21" t="str">
        <f t="shared" si="175"/>
        <v>Apprenant 175 ou 175'</v>
      </c>
      <c r="AL187" s="22" t="str">
        <f t="shared" si="150"/>
        <v/>
      </c>
      <c r="AM187" s="22" t="str">
        <f t="shared" si="151"/>
        <v/>
      </c>
      <c r="AN187" s="22" t="str">
        <f t="shared" si="152"/>
        <v/>
      </c>
      <c r="AO187" s="22" t="str">
        <f t="shared" si="176"/>
        <v/>
      </c>
      <c r="AQ187" s="21" t="str">
        <f t="shared" si="177"/>
        <v>Apprenant 175</v>
      </c>
      <c r="AR187" s="49" t="str">
        <f>IF(AND('Choix pédagogiques'!$C$4&lt;&gt;"?",'Choix pédagogiques'!$C$5&lt;&gt;"?",W187&lt;&gt;""),(W187-'Choix pédagogiques'!$C$4)/('Choix pédagogiques'!$C$5-'Choix pédagogiques'!$C$4),"")</f>
        <v/>
      </c>
      <c r="AS187" s="49" t="str">
        <f>IF(AND('Choix pédagogiques'!$C$4&lt;&gt;"?",'Choix pédagogiques'!$C$5&lt;&gt;"?",X187&lt;&gt;""),(X187-'Choix pédagogiques'!$C$4)/('Choix pédagogiques'!$C$5-'Choix pédagogiques'!$C$4),"")</f>
        <v/>
      </c>
      <c r="AT187" s="49" t="str">
        <f>IF(AND('Choix pédagogiques'!$C$4&lt;&gt;"?",'Choix pédagogiques'!$C$5&lt;&gt;"?",Y187&lt;&gt;""),(Y187-'Choix pédagogiques'!$C$4)/('Choix pédagogiques'!$C$5-'Choix pédagogiques'!$C$4),"")</f>
        <v/>
      </c>
      <c r="AU187" s="22" t="str">
        <f t="shared" si="178"/>
        <v/>
      </c>
      <c r="AV187" s="21" t="str">
        <f t="shared" si="179"/>
        <v>Apprenant 175 ou 175'</v>
      </c>
      <c r="AW187" s="49" t="str">
        <f>IF(AND('Choix pédagogiques'!$C$4&lt;&gt;"?",'Choix pédagogiques'!$C$5&lt;&gt;"?",AB187&lt;&gt;""),(AB187-'Choix pédagogiques'!$C$4)/('Choix pédagogiques'!$C$5-'Choix pédagogiques'!$C$4),"")</f>
        <v/>
      </c>
      <c r="AX187" s="49" t="str">
        <f>IF(AND('Choix pédagogiques'!$C$4&lt;&gt;"?",'Choix pédagogiques'!$C$5&lt;&gt;"?",AC187&lt;&gt;""),(AC187-'Choix pédagogiques'!$C$4)/('Choix pédagogiques'!$C$5-'Choix pédagogiques'!$C$4),"")</f>
        <v/>
      </c>
      <c r="AY187" s="49" t="str">
        <f>IF(AND('Choix pédagogiques'!$C$4&lt;&gt;"?",'Choix pédagogiques'!$C$5&lt;&gt;"?",AD187&lt;&gt;""),(AD187-'Choix pédagogiques'!$C$4)/('Choix pédagogiques'!$C$5-'Choix pédagogiques'!$C$4),"")</f>
        <v/>
      </c>
      <c r="AZ187" s="22" t="str">
        <f t="shared" si="180"/>
        <v/>
      </c>
      <c r="BA187" s="21" t="str">
        <f t="shared" si="181"/>
        <v>Apprenant 175</v>
      </c>
      <c r="BB187" s="49" t="str">
        <f t="shared" si="153"/>
        <v/>
      </c>
      <c r="BC187" s="49" t="str">
        <f t="shared" si="154"/>
        <v/>
      </c>
      <c r="BD187" s="49" t="str">
        <f t="shared" si="155"/>
        <v/>
      </c>
      <c r="BE187" s="22" t="str">
        <f t="shared" si="182"/>
        <v/>
      </c>
      <c r="BF187" s="21" t="str">
        <f t="shared" si="183"/>
        <v>Apprenant 175 ou 175'</v>
      </c>
      <c r="BG187" s="49" t="str">
        <f t="shared" si="156"/>
        <v/>
      </c>
      <c r="BH187" s="49" t="str">
        <f t="shared" si="157"/>
        <v/>
      </c>
      <c r="BI187" s="49" t="str">
        <f t="shared" si="158"/>
        <v/>
      </c>
      <c r="BJ187" s="22" t="str">
        <f t="shared" si="184"/>
        <v/>
      </c>
      <c r="BL187" s="21"/>
      <c r="BM187" s="21" t="str">
        <f>IF(OR(COUNT(B187:D1186)=0,AND('Choix pédagogiques'!$C$3&lt;&gt;1,'Choix pédagogiques'!$C$3&lt;&gt;2)),"",IF(AND(OR('Choix pédagogiques'!$C$3=1,'Choix pédagogiques'!$C$3=2),$B187&lt;&gt;"",$C187&lt;&gt;"",$D187&lt;&gt;""),1,0))</f>
        <v/>
      </c>
      <c r="BN187" s="21" t="str">
        <f>IF(OR(COUNT(G187:I1186)=0,AND('Choix pédagogiques'!$C$3&lt;&gt;1,'Choix pédagogiques'!$C$3&lt;&gt;2)),"",IF(AND(OR('Choix pédagogiques'!$C$3=1,'Choix pédagogiques'!$C$3=2),AND($G187&lt;&gt;"",$H187&lt;&gt;"",$I187&lt;&gt;"")),1,0))</f>
        <v/>
      </c>
      <c r="BO187" s="21" t="str">
        <f>IF(OR(COUNT(B187:D1186)=0,COUNT(G187:I1186)=0,'Choix pédagogiques'!C$3&lt;&gt;3),"",IF(AND('Choix pédagogiques'!$C$3=3,$B187&lt;&gt;"",$C187&lt;&gt;"",$D187&lt;&gt;"",$G187&lt;&gt;"",$H187&lt;&gt;"",$I187&lt;&gt;""),1,0))</f>
        <v/>
      </c>
      <c r="BR187" s="21">
        <v>969</v>
      </c>
      <c r="BS187" s="21">
        <v>1938</v>
      </c>
      <c r="BT187"/>
    </row>
    <row r="188" spans="1:72" s="23" customFormat="1" ht="18" customHeight="1" x14ac:dyDescent="0.3">
      <c r="A188" s="35" t="s">
        <v>178</v>
      </c>
      <c r="B188" s="37"/>
      <c r="C188" s="37"/>
      <c r="D188" s="37"/>
      <c r="E188" s="37"/>
      <c r="F188" s="35" t="s">
        <v>1186</v>
      </c>
      <c r="G188" s="37"/>
      <c r="H188" s="37"/>
      <c r="I188" s="37"/>
      <c r="J188" s="37"/>
      <c r="K188" s="21" t="str">
        <f t="shared" si="159"/>
        <v>Apprenant 176</v>
      </c>
      <c r="L188" s="22" t="str">
        <f t="shared" si="160"/>
        <v/>
      </c>
      <c r="M188" s="22" t="str">
        <f t="shared" si="161"/>
        <v/>
      </c>
      <c r="N188" s="22" t="str">
        <f t="shared" si="162"/>
        <v/>
      </c>
      <c r="O188" s="22" t="str">
        <f t="shared" si="163"/>
        <v/>
      </c>
      <c r="P188" s="21" t="str">
        <f t="shared" si="164"/>
        <v>Apprenant 176 ou 176'</v>
      </c>
      <c r="Q188" s="22" t="str">
        <f t="shared" si="165"/>
        <v/>
      </c>
      <c r="R188" s="22" t="str">
        <f t="shared" si="166"/>
        <v/>
      </c>
      <c r="S188" s="22" t="str">
        <f t="shared" si="167"/>
        <v/>
      </c>
      <c r="T188" s="22" t="str">
        <f t="shared" si="168"/>
        <v/>
      </c>
      <c r="V188" s="21" t="str">
        <f t="shared" si="169"/>
        <v>Apprenant 176</v>
      </c>
      <c r="W188" s="22" t="str">
        <f>IF(AND(OR('Choix pédagogiques'!$C$3=1,'Choix pédagogiques'!$C$3=2),$BM188=1),B188,IF(AND('Choix pédagogiques'!$C$3=3,$BO188=1),B188,""))</f>
        <v/>
      </c>
      <c r="X188" s="22" t="str">
        <f>IF(AND(OR('Choix pédagogiques'!$C$3=1,'Choix pédagogiques'!$C$3=2),$BM188=1),C188,IF(AND('Choix pédagogiques'!$C$3=3,$BO188=1),C188,""))</f>
        <v/>
      </c>
      <c r="Y188" s="22" t="str">
        <f>IF(AND(OR('Choix pédagogiques'!$C$3=1,'Choix pédagogiques'!$C$3=2),$BM188=1),D188,IF(AND('Choix pédagogiques'!$C$3=3,$BO188=1),D188,""))</f>
        <v/>
      </c>
      <c r="Z188" s="22" t="str">
        <f t="shared" si="170"/>
        <v/>
      </c>
      <c r="AA188" s="21" t="str">
        <f t="shared" si="171"/>
        <v>Apprenant 176 ou 176'</v>
      </c>
      <c r="AB188" s="22" t="str">
        <f>IF(AND(OR('Choix pédagogiques'!$C$3=1,'Choix pédagogiques'!$C$3=2),$BN188=1),G188,IF(AND('Choix pédagogiques'!$C$3=3,$BO188=1),G188,""))</f>
        <v/>
      </c>
      <c r="AC188" s="22" t="str">
        <f>IF(AND(OR('Choix pédagogiques'!$C$3=1,'Choix pédagogiques'!$C$3=2),$BN188=1),H188,IF(AND('Choix pédagogiques'!$C$3=3,$BO188=1),H188,""))</f>
        <v/>
      </c>
      <c r="AD188" s="22" t="str">
        <f>IF(AND(OR('Choix pédagogiques'!$C$3=1,'Choix pédagogiques'!$C$3=2),$BN188=1),I188,IF(AND('Choix pédagogiques'!$C$3=3,$BO188=1),I188,""))</f>
        <v/>
      </c>
      <c r="AE188" s="22" t="str">
        <f t="shared" si="172"/>
        <v/>
      </c>
      <c r="AF188" s="21" t="str">
        <f t="shared" si="173"/>
        <v>Apprenant 176</v>
      </c>
      <c r="AG188" s="22" t="str">
        <f t="shared" si="147"/>
        <v/>
      </c>
      <c r="AH188" s="22" t="str">
        <f t="shared" si="148"/>
        <v/>
      </c>
      <c r="AI188" s="22" t="str">
        <f t="shared" si="149"/>
        <v/>
      </c>
      <c r="AJ188" s="22" t="str">
        <f t="shared" si="174"/>
        <v/>
      </c>
      <c r="AK188" s="21" t="str">
        <f t="shared" si="175"/>
        <v>Apprenant 176 ou 176'</v>
      </c>
      <c r="AL188" s="22" t="str">
        <f t="shared" si="150"/>
        <v/>
      </c>
      <c r="AM188" s="22" t="str">
        <f t="shared" si="151"/>
        <v/>
      </c>
      <c r="AN188" s="22" t="str">
        <f t="shared" si="152"/>
        <v/>
      </c>
      <c r="AO188" s="22" t="str">
        <f t="shared" si="176"/>
        <v/>
      </c>
      <c r="AQ188" s="21" t="str">
        <f t="shared" si="177"/>
        <v>Apprenant 176</v>
      </c>
      <c r="AR188" s="49" t="str">
        <f>IF(AND('Choix pédagogiques'!$C$4&lt;&gt;"?",'Choix pédagogiques'!$C$5&lt;&gt;"?",W188&lt;&gt;""),(W188-'Choix pédagogiques'!$C$4)/('Choix pédagogiques'!$C$5-'Choix pédagogiques'!$C$4),"")</f>
        <v/>
      </c>
      <c r="AS188" s="49" t="str">
        <f>IF(AND('Choix pédagogiques'!$C$4&lt;&gt;"?",'Choix pédagogiques'!$C$5&lt;&gt;"?",X188&lt;&gt;""),(X188-'Choix pédagogiques'!$C$4)/('Choix pédagogiques'!$C$5-'Choix pédagogiques'!$C$4),"")</f>
        <v/>
      </c>
      <c r="AT188" s="49" t="str">
        <f>IF(AND('Choix pédagogiques'!$C$4&lt;&gt;"?",'Choix pédagogiques'!$C$5&lt;&gt;"?",Y188&lt;&gt;""),(Y188-'Choix pédagogiques'!$C$4)/('Choix pédagogiques'!$C$5-'Choix pédagogiques'!$C$4),"")</f>
        <v/>
      </c>
      <c r="AU188" s="22" t="str">
        <f t="shared" si="178"/>
        <v/>
      </c>
      <c r="AV188" s="21" t="str">
        <f t="shared" si="179"/>
        <v>Apprenant 176 ou 176'</v>
      </c>
      <c r="AW188" s="49" t="str">
        <f>IF(AND('Choix pédagogiques'!$C$4&lt;&gt;"?",'Choix pédagogiques'!$C$5&lt;&gt;"?",AB188&lt;&gt;""),(AB188-'Choix pédagogiques'!$C$4)/('Choix pédagogiques'!$C$5-'Choix pédagogiques'!$C$4),"")</f>
        <v/>
      </c>
      <c r="AX188" s="49" t="str">
        <f>IF(AND('Choix pédagogiques'!$C$4&lt;&gt;"?",'Choix pédagogiques'!$C$5&lt;&gt;"?",AC188&lt;&gt;""),(AC188-'Choix pédagogiques'!$C$4)/('Choix pédagogiques'!$C$5-'Choix pédagogiques'!$C$4),"")</f>
        <v/>
      </c>
      <c r="AY188" s="49" t="str">
        <f>IF(AND('Choix pédagogiques'!$C$4&lt;&gt;"?",'Choix pédagogiques'!$C$5&lt;&gt;"?",AD188&lt;&gt;""),(AD188-'Choix pédagogiques'!$C$4)/('Choix pédagogiques'!$C$5-'Choix pédagogiques'!$C$4),"")</f>
        <v/>
      </c>
      <c r="AZ188" s="22" t="str">
        <f t="shared" si="180"/>
        <v/>
      </c>
      <c r="BA188" s="21" t="str">
        <f t="shared" si="181"/>
        <v>Apprenant 176</v>
      </c>
      <c r="BB188" s="49" t="str">
        <f t="shared" si="153"/>
        <v/>
      </c>
      <c r="BC188" s="49" t="str">
        <f t="shared" si="154"/>
        <v/>
      </c>
      <c r="BD188" s="49" t="str">
        <f t="shared" si="155"/>
        <v/>
      </c>
      <c r="BE188" s="22" t="str">
        <f t="shared" si="182"/>
        <v/>
      </c>
      <c r="BF188" s="21" t="str">
        <f t="shared" si="183"/>
        <v>Apprenant 176 ou 176'</v>
      </c>
      <c r="BG188" s="49" t="str">
        <f t="shared" si="156"/>
        <v/>
      </c>
      <c r="BH188" s="49" t="str">
        <f t="shared" si="157"/>
        <v/>
      </c>
      <c r="BI188" s="49" t="str">
        <f t="shared" si="158"/>
        <v/>
      </c>
      <c r="BJ188" s="22" t="str">
        <f t="shared" si="184"/>
        <v/>
      </c>
      <c r="BL188" s="21"/>
      <c r="BM188" s="21" t="str">
        <f>IF(OR(COUNT(B188:D1187)=0,AND('Choix pédagogiques'!$C$3&lt;&gt;1,'Choix pédagogiques'!$C$3&lt;&gt;2)),"",IF(AND(OR('Choix pédagogiques'!$C$3=1,'Choix pédagogiques'!$C$3=2),$B188&lt;&gt;"",$C188&lt;&gt;"",$D188&lt;&gt;""),1,0))</f>
        <v/>
      </c>
      <c r="BN188" s="21" t="str">
        <f>IF(OR(COUNT(G188:I1187)=0,AND('Choix pédagogiques'!$C$3&lt;&gt;1,'Choix pédagogiques'!$C$3&lt;&gt;2)),"",IF(AND(OR('Choix pédagogiques'!$C$3=1,'Choix pédagogiques'!$C$3=2),AND($G188&lt;&gt;"",$H188&lt;&gt;"",$I188&lt;&gt;"")),1,0))</f>
        <v/>
      </c>
      <c r="BO188" s="21" t="str">
        <f>IF(OR(COUNT(B188:D1187)=0,COUNT(G188:I1187)=0,'Choix pédagogiques'!C$3&lt;&gt;3),"",IF(AND('Choix pédagogiques'!$C$3=3,$B188&lt;&gt;"",$C188&lt;&gt;"",$D188&lt;&gt;"",$G188&lt;&gt;"",$H188&lt;&gt;"",$I188&lt;&gt;""),1,0))</f>
        <v/>
      </c>
      <c r="BR188" s="21">
        <v>613</v>
      </c>
      <c r="BS188" s="21">
        <v>1223</v>
      </c>
      <c r="BT188"/>
    </row>
    <row r="189" spans="1:72" s="23" customFormat="1" ht="18" customHeight="1" x14ac:dyDescent="0.3">
      <c r="A189" s="35" t="s">
        <v>179</v>
      </c>
      <c r="B189" s="37"/>
      <c r="C189" s="37"/>
      <c r="D189" s="37"/>
      <c r="E189" s="37"/>
      <c r="F189" s="35" t="s">
        <v>1187</v>
      </c>
      <c r="G189" s="37"/>
      <c r="H189" s="37"/>
      <c r="I189" s="37"/>
      <c r="J189" s="37"/>
      <c r="K189" s="21" t="str">
        <f t="shared" si="159"/>
        <v>Apprenant 177</v>
      </c>
      <c r="L189" s="22" t="str">
        <f t="shared" si="160"/>
        <v/>
      </c>
      <c r="M189" s="22" t="str">
        <f t="shared" si="161"/>
        <v/>
      </c>
      <c r="N189" s="22" t="str">
        <f t="shared" si="162"/>
        <v/>
      </c>
      <c r="O189" s="22" t="str">
        <f t="shared" si="163"/>
        <v/>
      </c>
      <c r="P189" s="21" t="str">
        <f t="shared" si="164"/>
        <v>Apprenant 177 ou 177'</v>
      </c>
      <c r="Q189" s="22" t="str">
        <f t="shared" si="165"/>
        <v/>
      </c>
      <c r="R189" s="22" t="str">
        <f t="shared" si="166"/>
        <v/>
      </c>
      <c r="S189" s="22" t="str">
        <f t="shared" si="167"/>
        <v/>
      </c>
      <c r="T189" s="22" t="str">
        <f t="shared" si="168"/>
        <v/>
      </c>
      <c r="V189" s="21" t="str">
        <f t="shared" si="169"/>
        <v>Apprenant 177</v>
      </c>
      <c r="W189" s="22" t="str">
        <f>IF(AND(OR('Choix pédagogiques'!$C$3=1,'Choix pédagogiques'!$C$3=2),$BM189=1),B189,IF(AND('Choix pédagogiques'!$C$3=3,$BO189=1),B189,""))</f>
        <v/>
      </c>
      <c r="X189" s="22" t="str">
        <f>IF(AND(OR('Choix pédagogiques'!$C$3=1,'Choix pédagogiques'!$C$3=2),$BM189=1),C189,IF(AND('Choix pédagogiques'!$C$3=3,$BO189=1),C189,""))</f>
        <v/>
      </c>
      <c r="Y189" s="22" t="str">
        <f>IF(AND(OR('Choix pédagogiques'!$C$3=1,'Choix pédagogiques'!$C$3=2),$BM189=1),D189,IF(AND('Choix pédagogiques'!$C$3=3,$BO189=1),D189,""))</f>
        <v/>
      </c>
      <c r="Z189" s="22" t="str">
        <f t="shared" si="170"/>
        <v/>
      </c>
      <c r="AA189" s="21" t="str">
        <f t="shared" si="171"/>
        <v>Apprenant 177 ou 177'</v>
      </c>
      <c r="AB189" s="22" t="str">
        <f>IF(AND(OR('Choix pédagogiques'!$C$3=1,'Choix pédagogiques'!$C$3=2),$BN189=1),G189,IF(AND('Choix pédagogiques'!$C$3=3,$BO189=1),G189,""))</f>
        <v/>
      </c>
      <c r="AC189" s="22" t="str">
        <f>IF(AND(OR('Choix pédagogiques'!$C$3=1,'Choix pédagogiques'!$C$3=2),$BN189=1),H189,IF(AND('Choix pédagogiques'!$C$3=3,$BO189=1),H189,""))</f>
        <v/>
      </c>
      <c r="AD189" s="22" t="str">
        <f>IF(AND(OR('Choix pédagogiques'!$C$3=1,'Choix pédagogiques'!$C$3=2),$BN189=1),I189,IF(AND('Choix pédagogiques'!$C$3=3,$BO189=1),I189,""))</f>
        <v/>
      </c>
      <c r="AE189" s="22" t="str">
        <f t="shared" si="172"/>
        <v/>
      </c>
      <c r="AF189" s="21" t="str">
        <f t="shared" si="173"/>
        <v>Apprenant 177</v>
      </c>
      <c r="AG189" s="22" t="str">
        <f t="shared" si="147"/>
        <v/>
      </c>
      <c r="AH189" s="22" t="str">
        <f t="shared" si="148"/>
        <v/>
      </c>
      <c r="AI189" s="22" t="str">
        <f t="shared" si="149"/>
        <v/>
      </c>
      <c r="AJ189" s="22" t="str">
        <f t="shared" si="174"/>
        <v/>
      </c>
      <c r="AK189" s="21" t="str">
        <f t="shared" si="175"/>
        <v>Apprenant 177 ou 177'</v>
      </c>
      <c r="AL189" s="22" t="str">
        <f t="shared" si="150"/>
        <v/>
      </c>
      <c r="AM189" s="22" t="str">
        <f t="shared" si="151"/>
        <v/>
      </c>
      <c r="AN189" s="22" t="str">
        <f t="shared" si="152"/>
        <v/>
      </c>
      <c r="AO189" s="22" t="str">
        <f t="shared" si="176"/>
        <v/>
      </c>
      <c r="AQ189" s="21" t="str">
        <f t="shared" si="177"/>
        <v>Apprenant 177</v>
      </c>
      <c r="AR189" s="49" t="str">
        <f>IF(AND('Choix pédagogiques'!$C$4&lt;&gt;"?",'Choix pédagogiques'!$C$5&lt;&gt;"?",W189&lt;&gt;""),(W189-'Choix pédagogiques'!$C$4)/('Choix pédagogiques'!$C$5-'Choix pédagogiques'!$C$4),"")</f>
        <v/>
      </c>
      <c r="AS189" s="49" t="str">
        <f>IF(AND('Choix pédagogiques'!$C$4&lt;&gt;"?",'Choix pédagogiques'!$C$5&lt;&gt;"?",X189&lt;&gt;""),(X189-'Choix pédagogiques'!$C$4)/('Choix pédagogiques'!$C$5-'Choix pédagogiques'!$C$4),"")</f>
        <v/>
      </c>
      <c r="AT189" s="49" t="str">
        <f>IF(AND('Choix pédagogiques'!$C$4&lt;&gt;"?",'Choix pédagogiques'!$C$5&lt;&gt;"?",Y189&lt;&gt;""),(Y189-'Choix pédagogiques'!$C$4)/('Choix pédagogiques'!$C$5-'Choix pédagogiques'!$C$4),"")</f>
        <v/>
      </c>
      <c r="AU189" s="22" t="str">
        <f t="shared" si="178"/>
        <v/>
      </c>
      <c r="AV189" s="21" t="str">
        <f t="shared" si="179"/>
        <v>Apprenant 177 ou 177'</v>
      </c>
      <c r="AW189" s="49" t="str">
        <f>IF(AND('Choix pédagogiques'!$C$4&lt;&gt;"?",'Choix pédagogiques'!$C$5&lt;&gt;"?",AB189&lt;&gt;""),(AB189-'Choix pédagogiques'!$C$4)/('Choix pédagogiques'!$C$5-'Choix pédagogiques'!$C$4),"")</f>
        <v/>
      </c>
      <c r="AX189" s="49" t="str">
        <f>IF(AND('Choix pédagogiques'!$C$4&lt;&gt;"?",'Choix pédagogiques'!$C$5&lt;&gt;"?",AC189&lt;&gt;""),(AC189-'Choix pédagogiques'!$C$4)/('Choix pédagogiques'!$C$5-'Choix pédagogiques'!$C$4),"")</f>
        <v/>
      </c>
      <c r="AY189" s="49" t="str">
        <f>IF(AND('Choix pédagogiques'!$C$4&lt;&gt;"?",'Choix pédagogiques'!$C$5&lt;&gt;"?",AD189&lt;&gt;""),(AD189-'Choix pédagogiques'!$C$4)/('Choix pédagogiques'!$C$5-'Choix pédagogiques'!$C$4),"")</f>
        <v/>
      </c>
      <c r="AZ189" s="22" t="str">
        <f t="shared" si="180"/>
        <v/>
      </c>
      <c r="BA189" s="21" t="str">
        <f t="shared" si="181"/>
        <v>Apprenant 177</v>
      </c>
      <c r="BB189" s="49" t="str">
        <f t="shared" si="153"/>
        <v/>
      </c>
      <c r="BC189" s="49" t="str">
        <f t="shared" si="154"/>
        <v/>
      </c>
      <c r="BD189" s="49" t="str">
        <f t="shared" si="155"/>
        <v/>
      </c>
      <c r="BE189" s="22" t="str">
        <f t="shared" si="182"/>
        <v/>
      </c>
      <c r="BF189" s="21" t="str">
        <f t="shared" si="183"/>
        <v>Apprenant 177 ou 177'</v>
      </c>
      <c r="BG189" s="49" t="str">
        <f t="shared" si="156"/>
        <v/>
      </c>
      <c r="BH189" s="49" t="str">
        <f t="shared" si="157"/>
        <v/>
      </c>
      <c r="BI189" s="49" t="str">
        <f t="shared" si="158"/>
        <v/>
      </c>
      <c r="BJ189" s="22" t="str">
        <f t="shared" si="184"/>
        <v/>
      </c>
      <c r="BL189" s="21"/>
      <c r="BM189" s="21" t="str">
        <f>IF(OR(COUNT(B189:D1188)=0,AND('Choix pédagogiques'!$C$3&lt;&gt;1,'Choix pédagogiques'!$C$3&lt;&gt;2)),"",IF(AND(OR('Choix pédagogiques'!$C$3=1,'Choix pédagogiques'!$C$3=2),$B189&lt;&gt;"",$C189&lt;&gt;"",$D189&lt;&gt;""),1,0))</f>
        <v/>
      </c>
      <c r="BN189" s="21" t="str">
        <f>IF(OR(COUNT(G189:I1188)=0,AND('Choix pédagogiques'!$C$3&lt;&gt;1,'Choix pédagogiques'!$C$3&lt;&gt;2)),"",IF(AND(OR('Choix pédagogiques'!$C$3=1,'Choix pédagogiques'!$C$3=2),AND($G189&lt;&gt;"",$H189&lt;&gt;"",$I189&lt;&gt;"")),1,0))</f>
        <v/>
      </c>
      <c r="BO189" s="21" t="str">
        <f>IF(OR(COUNT(B189:D1188)=0,COUNT(G189:I1188)=0,'Choix pédagogiques'!C$3&lt;&gt;3),"",IF(AND('Choix pédagogiques'!$C$3=3,$B189&lt;&gt;"",$C189&lt;&gt;"",$D189&lt;&gt;"",$G189&lt;&gt;"",$H189&lt;&gt;"",$I189&lt;&gt;""),1,0))</f>
        <v/>
      </c>
      <c r="BR189" s="21">
        <v>557</v>
      </c>
      <c r="BS189" s="21">
        <v>1064</v>
      </c>
      <c r="BT189"/>
    </row>
    <row r="190" spans="1:72" s="23" customFormat="1" ht="18" customHeight="1" x14ac:dyDescent="0.3">
      <c r="A190" s="35" t="s">
        <v>180</v>
      </c>
      <c r="B190" s="37"/>
      <c r="C190" s="37"/>
      <c r="D190" s="37"/>
      <c r="E190" s="37"/>
      <c r="F190" s="35" t="s">
        <v>1188</v>
      </c>
      <c r="G190" s="37"/>
      <c r="H190" s="37"/>
      <c r="I190" s="37"/>
      <c r="J190" s="37"/>
      <c r="K190" s="21" t="str">
        <f t="shared" si="159"/>
        <v>Apprenant 178</v>
      </c>
      <c r="L190" s="22" t="str">
        <f t="shared" si="160"/>
        <v/>
      </c>
      <c r="M190" s="22" t="str">
        <f t="shared" si="161"/>
        <v/>
      </c>
      <c r="N190" s="22" t="str">
        <f t="shared" si="162"/>
        <v/>
      </c>
      <c r="O190" s="22" t="str">
        <f t="shared" si="163"/>
        <v/>
      </c>
      <c r="P190" s="21" t="str">
        <f t="shared" si="164"/>
        <v>Apprenant 178 ou 178'</v>
      </c>
      <c r="Q190" s="22" t="str">
        <f t="shared" si="165"/>
        <v/>
      </c>
      <c r="R190" s="22" t="str">
        <f t="shared" si="166"/>
        <v/>
      </c>
      <c r="S190" s="22" t="str">
        <f t="shared" si="167"/>
        <v/>
      </c>
      <c r="T190" s="22" t="str">
        <f t="shared" si="168"/>
        <v/>
      </c>
      <c r="V190" s="21" t="str">
        <f t="shared" si="169"/>
        <v>Apprenant 178</v>
      </c>
      <c r="W190" s="22" t="str">
        <f>IF(AND(OR('Choix pédagogiques'!$C$3=1,'Choix pédagogiques'!$C$3=2),$BM190=1),B190,IF(AND('Choix pédagogiques'!$C$3=3,$BO190=1),B190,""))</f>
        <v/>
      </c>
      <c r="X190" s="22" t="str">
        <f>IF(AND(OR('Choix pédagogiques'!$C$3=1,'Choix pédagogiques'!$C$3=2),$BM190=1),C190,IF(AND('Choix pédagogiques'!$C$3=3,$BO190=1),C190,""))</f>
        <v/>
      </c>
      <c r="Y190" s="22" t="str">
        <f>IF(AND(OR('Choix pédagogiques'!$C$3=1,'Choix pédagogiques'!$C$3=2),$BM190=1),D190,IF(AND('Choix pédagogiques'!$C$3=3,$BO190=1),D190,""))</f>
        <v/>
      </c>
      <c r="Z190" s="22" t="str">
        <f t="shared" si="170"/>
        <v/>
      </c>
      <c r="AA190" s="21" t="str">
        <f t="shared" si="171"/>
        <v>Apprenant 178 ou 178'</v>
      </c>
      <c r="AB190" s="22" t="str">
        <f>IF(AND(OR('Choix pédagogiques'!$C$3=1,'Choix pédagogiques'!$C$3=2),$BN190=1),G190,IF(AND('Choix pédagogiques'!$C$3=3,$BO190=1),G190,""))</f>
        <v/>
      </c>
      <c r="AC190" s="22" t="str">
        <f>IF(AND(OR('Choix pédagogiques'!$C$3=1,'Choix pédagogiques'!$C$3=2),$BN190=1),H190,IF(AND('Choix pédagogiques'!$C$3=3,$BO190=1),H190,""))</f>
        <v/>
      </c>
      <c r="AD190" s="22" t="str">
        <f>IF(AND(OR('Choix pédagogiques'!$C$3=1,'Choix pédagogiques'!$C$3=2),$BN190=1),I190,IF(AND('Choix pédagogiques'!$C$3=3,$BO190=1),I190,""))</f>
        <v/>
      </c>
      <c r="AE190" s="22" t="str">
        <f t="shared" si="172"/>
        <v/>
      </c>
      <c r="AF190" s="21" t="str">
        <f t="shared" si="173"/>
        <v>Apprenant 178</v>
      </c>
      <c r="AG190" s="22" t="str">
        <f t="shared" si="147"/>
        <v/>
      </c>
      <c r="AH190" s="22" t="str">
        <f t="shared" si="148"/>
        <v/>
      </c>
      <c r="AI190" s="22" t="str">
        <f t="shared" si="149"/>
        <v/>
      </c>
      <c r="AJ190" s="22" t="str">
        <f t="shared" si="174"/>
        <v/>
      </c>
      <c r="AK190" s="21" t="str">
        <f t="shared" si="175"/>
        <v>Apprenant 178 ou 178'</v>
      </c>
      <c r="AL190" s="22" t="str">
        <f t="shared" si="150"/>
        <v/>
      </c>
      <c r="AM190" s="22" t="str">
        <f t="shared" si="151"/>
        <v/>
      </c>
      <c r="AN190" s="22" t="str">
        <f t="shared" si="152"/>
        <v/>
      </c>
      <c r="AO190" s="22" t="str">
        <f t="shared" si="176"/>
        <v/>
      </c>
      <c r="AQ190" s="21" t="str">
        <f t="shared" si="177"/>
        <v>Apprenant 178</v>
      </c>
      <c r="AR190" s="49" t="str">
        <f>IF(AND('Choix pédagogiques'!$C$4&lt;&gt;"?",'Choix pédagogiques'!$C$5&lt;&gt;"?",W190&lt;&gt;""),(W190-'Choix pédagogiques'!$C$4)/('Choix pédagogiques'!$C$5-'Choix pédagogiques'!$C$4),"")</f>
        <v/>
      </c>
      <c r="AS190" s="49" t="str">
        <f>IF(AND('Choix pédagogiques'!$C$4&lt;&gt;"?",'Choix pédagogiques'!$C$5&lt;&gt;"?",X190&lt;&gt;""),(X190-'Choix pédagogiques'!$C$4)/('Choix pédagogiques'!$C$5-'Choix pédagogiques'!$C$4),"")</f>
        <v/>
      </c>
      <c r="AT190" s="49" t="str">
        <f>IF(AND('Choix pédagogiques'!$C$4&lt;&gt;"?",'Choix pédagogiques'!$C$5&lt;&gt;"?",Y190&lt;&gt;""),(Y190-'Choix pédagogiques'!$C$4)/('Choix pédagogiques'!$C$5-'Choix pédagogiques'!$C$4),"")</f>
        <v/>
      </c>
      <c r="AU190" s="22" t="str">
        <f t="shared" si="178"/>
        <v/>
      </c>
      <c r="AV190" s="21" t="str">
        <f t="shared" si="179"/>
        <v>Apprenant 178 ou 178'</v>
      </c>
      <c r="AW190" s="49" t="str">
        <f>IF(AND('Choix pédagogiques'!$C$4&lt;&gt;"?",'Choix pédagogiques'!$C$5&lt;&gt;"?",AB190&lt;&gt;""),(AB190-'Choix pédagogiques'!$C$4)/('Choix pédagogiques'!$C$5-'Choix pédagogiques'!$C$4),"")</f>
        <v/>
      </c>
      <c r="AX190" s="49" t="str">
        <f>IF(AND('Choix pédagogiques'!$C$4&lt;&gt;"?",'Choix pédagogiques'!$C$5&lt;&gt;"?",AC190&lt;&gt;""),(AC190-'Choix pédagogiques'!$C$4)/('Choix pédagogiques'!$C$5-'Choix pédagogiques'!$C$4),"")</f>
        <v/>
      </c>
      <c r="AY190" s="49" t="str">
        <f>IF(AND('Choix pédagogiques'!$C$4&lt;&gt;"?",'Choix pédagogiques'!$C$5&lt;&gt;"?",AD190&lt;&gt;""),(AD190-'Choix pédagogiques'!$C$4)/('Choix pédagogiques'!$C$5-'Choix pédagogiques'!$C$4),"")</f>
        <v/>
      </c>
      <c r="AZ190" s="22" t="str">
        <f t="shared" si="180"/>
        <v/>
      </c>
      <c r="BA190" s="21" t="str">
        <f t="shared" si="181"/>
        <v>Apprenant 178</v>
      </c>
      <c r="BB190" s="49" t="str">
        <f t="shared" si="153"/>
        <v/>
      </c>
      <c r="BC190" s="49" t="str">
        <f t="shared" si="154"/>
        <v/>
      </c>
      <c r="BD190" s="49" t="str">
        <f t="shared" si="155"/>
        <v/>
      </c>
      <c r="BE190" s="22" t="str">
        <f t="shared" si="182"/>
        <v/>
      </c>
      <c r="BF190" s="21" t="str">
        <f t="shared" si="183"/>
        <v>Apprenant 178 ou 178'</v>
      </c>
      <c r="BG190" s="49" t="str">
        <f t="shared" si="156"/>
        <v/>
      </c>
      <c r="BH190" s="49" t="str">
        <f t="shared" si="157"/>
        <v/>
      </c>
      <c r="BI190" s="49" t="str">
        <f t="shared" si="158"/>
        <v/>
      </c>
      <c r="BJ190" s="22" t="str">
        <f t="shared" si="184"/>
        <v/>
      </c>
      <c r="BL190" s="21"/>
      <c r="BM190" s="21" t="str">
        <f>IF(OR(COUNT(B190:D1189)=0,AND('Choix pédagogiques'!$C$3&lt;&gt;1,'Choix pédagogiques'!$C$3&lt;&gt;2)),"",IF(AND(OR('Choix pédagogiques'!$C$3=1,'Choix pédagogiques'!$C$3=2),$B190&lt;&gt;"",$C190&lt;&gt;"",$D190&lt;&gt;""),1,0))</f>
        <v/>
      </c>
      <c r="BN190" s="21" t="str">
        <f>IF(OR(COUNT(G190:I1189)=0,AND('Choix pédagogiques'!$C$3&lt;&gt;1,'Choix pédagogiques'!$C$3&lt;&gt;2)),"",IF(AND(OR('Choix pédagogiques'!$C$3=1,'Choix pédagogiques'!$C$3=2),AND($G190&lt;&gt;"",$H190&lt;&gt;"",$I190&lt;&gt;"")),1,0))</f>
        <v/>
      </c>
      <c r="BO190" s="21" t="str">
        <f>IF(OR(COUNT(B190:D1189)=0,COUNT(G190:I1189)=0,'Choix pédagogiques'!C$3&lt;&gt;3),"",IF(AND('Choix pédagogiques'!$C$3=3,$B190&lt;&gt;"",$C190&lt;&gt;"",$D190&lt;&gt;"",$G190&lt;&gt;"",$H190&lt;&gt;"",$I190&lt;&gt;""),1,0))</f>
        <v/>
      </c>
      <c r="BR190" s="21">
        <v>54</v>
      </c>
      <c r="BS190" s="21">
        <v>1509</v>
      </c>
      <c r="BT190"/>
    </row>
    <row r="191" spans="1:72" s="23" customFormat="1" ht="18" customHeight="1" x14ac:dyDescent="0.3">
      <c r="A191" s="35" t="s">
        <v>181</v>
      </c>
      <c r="B191" s="37"/>
      <c r="C191" s="37"/>
      <c r="D191" s="37"/>
      <c r="E191" s="37"/>
      <c r="F191" s="35" t="s">
        <v>1189</v>
      </c>
      <c r="G191" s="37"/>
      <c r="H191" s="37"/>
      <c r="I191" s="37"/>
      <c r="J191" s="37"/>
      <c r="K191" s="21" t="str">
        <f t="shared" si="159"/>
        <v>Apprenant 179</v>
      </c>
      <c r="L191" s="22" t="str">
        <f t="shared" si="160"/>
        <v/>
      </c>
      <c r="M191" s="22" t="str">
        <f t="shared" si="161"/>
        <v/>
      </c>
      <c r="N191" s="22" t="str">
        <f t="shared" si="162"/>
        <v/>
      </c>
      <c r="O191" s="22" t="str">
        <f t="shared" si="163"/>
        <v/>
      </c>
      <c r="P191" s="21" t="str">
        <f t="shared" si="164"/>
        <v>Apprenant 179 ou 179'</v>
      </c>
      <c r="Q191" s="22" t="str">
        <f t="shared" si="165"/>
        <v/>
      </c>
      <c r="R191" s="22" t="str">
        <f t="shared" si="166"/>
        <v/>
      </c>
      <c r="S191" s="22" t="str">
        <f t="shared" si="167"/>
        <v/>
      </c>
      <c r="T191" s="22" t="str">
        <f t="shared" si="168"/>
        <v/>
      </c>
      <c r="V191" s="21" t="str">
        <f t="shared" si="169"/>
        <v>Apprenant 179</v>
      </c>
      <c r="W191" s="22" t="str">
        <f>IF(AND(OR('Choix pédagogiques'!$C$3=1,'Choix pédagogiques'!$C$3=2),$BM191=1),B191,IF(AND('Choix pédagogiques'!$C$3=3,$BO191=1),B191,""))</f>
        <v/>
      </c>
      <c r="X191" s="22" t="str">
        <f>IF(AND(OR('Choix pédagogiques'!$C$3=1,'Choix pédagogiques'!$C$3=2),$BM191=1),C191,IF(AND('Choix pédagogiques'!$C$3=3,$BO191=1),C191,""))</f>
        <v/>
      </c>
      <c r="Y191" s="22" t="str">
        <f>IF(AND(OR('Choix pédagogiques'!$C$3=1,'Choix pédagogiques'!$C$3=2),$BM191=1),D191,IF(AND('Choix pédagogiques'!$C$3=3,$BO191=1),D191,""))</f>
        <v/>
      </c>
      <c r="Z191" s="22" t="str">
        <f t="shared" si="170"/>
        <v/>
      </c>
      <c r="AA191" s="21" t="str">
        <f t="shared" si="171"/>
        <v>Apprenant 179 ou 179'</v>
      </c>
      <c r="AB191" s="22" t="str">
        <f>IF(AND(OR('Choix pédagogiques'!$C$3=1,'Choix pédagogiques'!$C$3=2),$BN191=1),G191,IF(AND('Choix pédagogiques'!$C$3=3,$BO191=1),G191,""))</f>
        <v/>
      </c>
      <c r="AC191" s="22" t="str">
        <f>IF(AND(OR('Choix pédagogiques'!$C$3=1,'Choix pédagogiques'!$C$3=2),$BN191=1),H191,IF(AND('Choix pédagogiques'!$C$3=3,$BO191=1),H191,""))</f>
        <v/>
      </c>
      <c r="AD191" s="22" t="str">
        <f>IF(AND(OR('Choix pédagogiques'!$C$3=1,'Choix pédagogiques'!$C$3=2),$BN191=1),I191,IF(AND('Choix pédagogiques'!$C$3=3,$BO191=1),I191,""))</f>
        <v/>
      </c>
      <c r="AE191" s="22" t="str">
        <f t="shared" si="172"/>
        <v/>
      </c>
      <c r="AF191" s="21" t="str">
        <f t="shared" si="173"/>
        <v>Apprenant 179</v>
      </c>
      <c r="AG191" s="22" t="str">
        <f t="shared" si="147"/>
        <v/>
      </c>
      <c r="AH191" s="22" t="str">
        <f t="shared" si="148"/>
        <v/>
      </c>
      <c r="AI191" s="22" t="str">
        <f t="shared" si="149"/>
        <v/>
      </c>
      <c r="AJ191" s="22" t="str">
        <f t="shared" si="174"/>
        <v/>
      </c>
      <c r="AK191" s="21" t="str">
        <f t="shared" si="175"/>
        <v>Apprenant 179 ou 179'</v>
      </c>
      <c r="AL191" s="22" t="str">
        <f t="shared" si="150"/>
        <v/>
      </c>
      <c r="AM191" s="22" t="str">
        <f t="shared" si="151"/>
        <v/>
      </c>
      <c r="AN191" s="22" t="str">
        <f t="shared" si="152"/>
        <v/>
      </c>
      <c r="AO191" s="22" t="str">
        <f t="shared" si="176"/>
        <v/>
      </c>
      <c r="AQ191" s="21" t="str">
        <f t="shared" si="177"/>
        <v>Apprenant 179</v>
      </c>
      <c r="AR191" s="49" t="str">
        <f>IF(AND('Choix pédagogiques'!$C$4&lt;&gt;"?",'Choix pédagogiques'!$C$5&lt;&gt;"?",W191&lt;&gt;""),(W191-'Choix pédagogiques'!$C$4)/('Choix pédagogiques'!$C$5-'Choix pédagogiques'!$C$4),"")</f>
        <v/>
      </c>
      <c r="AS191" s="49" t="str">
        <f>IF(AND('Choix pédagogiques'!$C$4&lt;&gt;"?",'Choix pédagogiques'!$C$5&lt;&gt;"?",X191&lt;&gt;""),(X191-'Choix pédagogiques'!$C$4)/('Choix pédagogiques'!$C$5-'Choix pédagogiques'!$C$4),"")</f>
        <v/>
      </c>
      <c r="AT191" s="49" t="str">
        <f>IF(AND('Choix pédagogiques'!$C$4&lt;&gt;"?",'Choix pédagogiques'!$C$5&lt;&gt;"?",Y191&lt;&gt;""),(Y191-'Choix pédagogiques'!$C$4)/('Choix pédagogiques'!$C$5-'Choix pédagogiques'!$C$4),"")</f>
        <v/>
      </c>
      <c r="AU191" s="22" t="str">
        <f t="shared" si="178"/>
        <v/>
      </c>
      <c r="AV191" s="21" t="str">
        <f t="shared" si="179"/>
        <v>Apprenant 179 ou 179'</v>
      </c>
      <c r="AW191" s="49" t="str">
        <f>IF(AND('Choix pédagogiques'!$C$4&lt;&gt;"?",'Choix pédagogiques'!$C$5&lt;&gt;"?",AB191&lt;&gt;""),(AB191-'Choix pédagogiques'!$C$4)/('Choix pédagogiques'!$C$5-'Choix pédagogiques'!$C$4),"")</f>
        <v/>
      </c>
      <c r="AX191" s="49" t="str">
        <f>IF(AND('Choix pédagogiques'!$C$4&lt;&gt;"?",'Choix pédagogiques'!$C$5&lt;&gt;"?",AC191&lt;&gt;""),(AC191-'Choix pédagogiques'!$C$4)/('Choix pédagogiques'!$C$5-'Choix pédagogiques'!$C$4),"")</f>
        <v/>
      </c>
      <c r="AY191" s="49" t="str">
        <f>IF(AND('Choix pédagogiques'!$C$4&lt;&gt;"?",'Choix pédagogiques'!$C$5&lt;&gt;"?",AD191&lt;&gt;""),(AD191-'Choix pédagogiques'!$C$4)/('Choix pédagogiques'!$C$5-'Choix pédagogiques'!$C$4),"")</f>
        <v/>
      </c>
      <c r="AZ191" s="22" t="str">
        <f t="shared" si="180"/>
        <v/>
      </c>
      <c r="BA191" s="21" t="str">
        <f t="shared" si="181"/>
        <v>Apprenant 179</v>
      </c>
      <c r="BB191" s="49" t="str">
        <f t="shared" si="153"/>
        <v/>
      </c>
      <c r="BC191" s="49" t="str">
        <f t="shared" si="154"/>
        <v/>
      </c>
      <c r="BD191" s="49" t="str">
        <f t="shared" si="155"/>
        <v/>
      </c>
      <c r="BE191" s="22" t="str">
        <f t="shared" si="182"/>
        <v/>
      </c>
      <c r="BF191" s="21" t="str">
        <f t="shared" si="183"/>
        <v>Apprenant 179 ou 179'</v>
      </c>
      <c r="BG191" s="49" t="str">
        <f t="shared" si="156"/>
        <v/>
      </c>
      <c r="BH191" s="49" t="str">
        <f t="shared" si="157"/>
        <v/>
      </c>
      <c r="BI191" s="49" t="str">
        <f t="shared" si="158"/>
        <v/>
      </c>
      <c r="BJ191" s="22" t="str">
        <f t="shared" si="184"/>
        <v/>
      </c>
      <c r="BL191" s="21"/>
      <c r="BM191" s="21" t="str">
        <f>IF(OR(COUNT(B191:D1190)=0,AND('Choix pédagogiques'!$C$3&lt;&gt;1,'Choix pédagogiques'!$C$3&lt;&gt;2)),"",IF(AND(OR('Choix pédagogiques'!$C$3=1,'Choix pédagogiques'!$C$3=2),$B191&lt;&gt;"",$C191&lt;&gt;"",$D191&lt;&gt;""),1,0))</f>
        <v/>
      </c>
      <c r="BN191" s="21" t="str">
        <f>IF(OR(COUNT(G191:I1190)=0,AND('Choix pédagogiques'!$C$3&lt;&gt;1,'Choix pédagogiques'!$C$3&lt;&gt;2)),"",IF(AND(OR('Choix pédagogiques'!$C$3=1,'Choix pédagogiques'!$C$3=2),AND($G191&lt;&gt;"",$H191&lt;&gt;"",$I191&lt;&gt;"")),1,0))</f>
        <v/>
      </c>
      <c r="BO191" s="21" t="str">
        <f>IF(OR(COUNT(B191:D1190)=0,COUNT(G191:I1190)=0,'Choix pédagogiques'!C$3&lt;&gt;3),"",IF(AND('Choix pédagogiques'!$C$3=3,$B191&lt;&gt;"",$C191&lt;&gt;"",$D191&lt;&gt;"",$G191&lt;&gt;"",$H191&lt;&gt;"",$I191&lt;&gt;""),1,0))</f>
        <v/>
      </c>
      <c r="BR191" s="21">
        <v>754</v>
      </c>
      <c r="BS191" s="21">
        <v>1552</v>
      </c>
      <c r="BT191"/>
    </row>
    <row r="192" spans="1:72" s="23" customFormat="1" ht="18" customHeight="1" x14ac:dyDescent="0.3">
      <c r="A192" s="35" t="s">
        <v>182</v>
      </c>
      <c r="B192" s="37"/>
      <c r="C192" s="37"/>
      <c r="D192" s="37"/>
      <c r="E192" s="37"/>
      <c r="F192" s="35" t="s">
        <v>1190</v>
      </c>
      <c r="G192" s="37"/>
      <c r="H192" s="37"/>
      <c r="I192" s="37"/>
      <c r="J192" s="37"/>
      <c r="K192" s="21" t="str">
        <f t="shared" si="159"/>
        <v>Apprenant 180</v>
      </c>
      <c r="L192" s="22" t="str">
        <f t="shared" si="160"/>
        <v/>
      </c>
      <c r="M192" s="22" t="str">
        <f t="shared" si="161"/>
        <v/>
      </c>
      <c r="N192" s="22" t="str">
        <f t="shared" si="162"/>
        <v/>
      </c>
      <c r="O192" s="22" t="str">
        <f t="shared" si="163"/>
        <v/>
      </c>
      <c r="P192" s="21" t="str">
        <f t="shared" si="164"/>
        <v>Apprenant 180 ou 180'</v>
      </c>
      <c r="Q192" s="22" t="str">
        <f t="shared" si="165"/>
        <v/>
      </c>
      <c r="R192" s="22" t="str">
        <f t="shared" si="166"/>
        <v/>
      </c>
      <c r="S192" s="22" t="str">
        <f t="shared" si="167"/>
        <v/>
      </c>
      <c r="T192" s="22" t="str">
        <f t="shared" si="168"/>
        <v/>
      </c>
      <c r="V192" s="21" t="str">
        <f t="shared" si="169"/>
        <v>Apprenant 180</v>
      </c>
      <c r="W192" s="22" t="str">
        <f>IF(AND(OR('Choix pédagogiques'!$C$3=1,'Choix pédagogiques'!$C$3=2),$BM192=1),B192,IF(AND('Choix pédagogiques'!$C$3=3,$BO192=1),B192,""))</f>
        <v/>
      </c>
      <c r="X192" s="22" t="str">
        <f>IF(AND(OR('Choix pédagogiques'!$C$3=1,'Choix pédagogiques'!$C$3=2),$BM192=1),C192,IF(AND('Choix pédagogiques'!$C$3=3,$BO192=1),C192,""))</f>
        <v/>
      </c>
      <c r="Y192" s="22" t="str">
        <f>IF(AND(OR('Choix pédagogiques'!$C$3=1,'Choix pédagogiques'!$C$3=2),$BM192=1),D192,IF(AND('Choix pédagogiques'!$C$3=3,$BO192=1),D192,""))</f>
        <v/>
      </c>
      <c r="Z192" s="22" t="str">
        <f t="shared" si="170"/>
        <v/>
      </c>
      <c r="AA192" s="21" t="str">
        <f t="shared" si="171"/>
        <v>Apprenant 180 ou 180'</v>
      </c>
      <c r="AB192" s="22" t="str">
        <f>IF(AND(OR('Choix pédagogiques'!$C$3=1,'Choix pédagogiques'!$C$3=2),$BN192=1),G192,IF(AND('Choix pédagogiques'!$C$3=3,$BO192=1),G192,""))</f>
        <v/>
      </c>
      <c r="AC192" s="22" t="str">
        <f>IF(AND(OR('Choix pédagogiques'!$C$3=1,'Choix pédagogiques'!$C$3=2),$BN192=1),H192,IF(AND('Choix pédagogiques'!$C$3=3,$BO192=1),H192,""))</f>
        <v/>
      </c>
      <c r="AD192" s="22" t="str">
        <f>IF(AND(OR('Choix pédagogiques'!$C$3=1,'Choix pédagogiques'!$C$3=2),$BN192=1),I192,IF(AND('Choix pédagogiques'!$C$3=3,$BO192=1),I192,""))</f>
        <v/>
      </c>
      <c r="AE192" s="22" t="str">
        <f t="shared" si="172"/>
        <v/>
      </c>
      <c r="AF192" s="21" t="str">
        <f t="shared" si="173"/>
        <v>Apprenant 180</v>
      </c>
      <c r="AG192" s="22" t="str">
        <f t="shared" si="147"/>
        <v/>
      </c>
      <c r="AH192" s="22" t="str">
        <f t="shared" si="148"/>
        <v/>
      </c>
      <c r="AI192" s="22" t="str">
        <f t="shared" si="149"/>
        <v/>
      </c>
      <c r="AJ192" s="22" t="str">
        <f t="shared" si="174"/>
        <v/>
      </c>
      <c r="AK192" s="21" t="str">
        <f t="shared" si="175"/>
        <v>Apprenant 180 ou 180'</v>
      </c>
      <c r="AL192" s="22" t="str">
        <f t="shared" si="150"/>
        <v/>
      </c>
      <c r="AM192" s="22" t="str">
        <f t="shared" si="151"/>
        <v/>
      </c>
      <c r="AN192" s="22" t="str">
        <f t="shared" si="152"/>
        <v/>
      </c>
      <c r="AO192" s="22" t="str">
        <f t="shared" si="176"/>
        <v/>
      </c>
      <c r="AQ192" s="21" t="str">
        <f t="shared" si="177"/>
        <v>Apprenant 180</v>
      </c>
      <c r="AR192" s="49" t="str">
        <f>IF(AND('Choix pédagogiques'!$C$4&lt;&gt;"?",'Choix pédagogiques'!$C$5&lt;&gt;"?",W192&lt;&gt;""),(W192-'Choix pédagogiques'!$C$4)/('Choix pédagogiques'!$C$5-'Choix pédagogiques'!$C$4),"")</f>
        <v/>
      </c>
      <c r="AS192" s="49" t="str">
        <f>IF(AND('Choix pédagogiques'!$C$4&lt;&gt;"?",'Choix pédagogiques'!$C$5&lt;&gt;"?",X192&lt;&gt;""),(X192-'Choix pédagogiques'!$C$4)/('Choix pédagogiques'!$C$5-'Choix pédagogiques'!$C$4),"")</f>
        <v/>
      </c>
      <c r="AT192" s="49" t="str">
        <f>IF(AND('Choix pédagogiques'!$C$4&lt;&gt;"?",'Choix pédagogiques'!$C$5&lt;&gt;"?",Y192&lt;&gt;""),(Y192-'Choix pédagogiques'!$C$4)/('Choix pédagogiques'!$C$5-'Choix pédagogiques'!$C$4),"")</f>
        <v/>
      </c>
      <c r="AU192" s="22" t="str">
        <f t="shared" si="178"/>
        <v/>
      </c>
      <c r="AV192" s="21" t="str">
        <f t="shared" si="179"/>
        <v>Apprenant 180 ou 180'</v>
      </c>
      <c r="AW192" s="49" t="str">
        <f>IF(AND('Choix pédagogiques'!$C$4&lt;&gt;"?",'Choix pédagogiques'!$C$5&lt;&gt;"?",AB192&lt;&gt;""),(AB192-'Choix pédagogiques'!$C$4)/('Choix pédagogiques'!$C$5-'Choix pédagogiques'!$C$4),"")</f>
        <v/>
      </c>
      <c r="AX192" s="49" t="str">
        <f>IF(AND('Choix pédagogiques'!$C$4&lt;&gt;"?",'Choix pédagogiques'!$C$5&lt;&gt;"?",AC192&lt;&gt;""),(AC192-'Choix pédagogiques'!$C$4)/('Choix pédagogiques'!$C$5-'Choix pédagogiques'!$C$4),"")</f>
        <v/>
      </c>
      <c r="AY192" s="49" t="str">
        <f>IF(AND('Choix pédagogiques'!$C$4&lt;&gt;"?",'Choix pédagogiques'!$C$5&lt;&gt;"?",AD192&lt;&gt;""),(AD192-'Choix pédagogiques'!$C$4)/('Choix pédagogiques'!$C$5-'Choix pédagogiques'!$C$4),"")</f>
        <v/>
      </c>
      <c r="AZ192" s="22" t="str">
        <f t="shared" si="180"/>
        <v/>
      </c>
      <c r="BA192" s="21" t="str">
        <f t="shared" si="181"/>
        <v>Apprenant 180</v>
      </c>
      <c r="BB192" s="49" t="str">
        <f t="shared" si="153"/>
        <v/>
      </c>
      <c r="BC192" s="49" t="str">
        <f t="shared" si="154"/>
        <v/>
      </c>
      <c r="BD192" s="49" t="str">
        <f t="shared" si="155"/>
        <v/>
      </c>
      <c r="BE192" s="22" t="str">
        <f t="shared" si="182"/>
        <v/>
      </c>
      <c r="BF192" s="21" t="str">
        <f t="shared" si="183"/>
        <v>Apprenant 180 ou 180'</v>
      </c>
      <c r="BG192" s="49" t="str">
        <f t="shared" si="156"/>
        <v/>
      </c>
      <c r="BH192" s="49" t="str">
        <f t="shared" si="157"/>
        <v/>
      </c>
      <c r="BI192" s="49" t="str">
        <f t="shared" si="158"/>
        <v/>
      </c>
      <c r="BJ192" s="22" t="str">
        <f t="shared" si="184"/>
        <v/>
      </c>
      <c r="BL192" s="21"/>
      <c r="BM192" s="21" t="str">
        <f>IF(OR(COUNT(B192:D1191)=0,AND('Choix pédagogiques'!$C$3&lt;&gt;1,'Choix pédagogiques'!$C$3&lt;&gt;2)),"",IF(AND(OR('Choix pédagogiques'!$C$3=1,'Choix pédagogiques'!$C$3=2),$B192&lt;&gt;"",$C192&lt;&gt;"",$D192&lt;&gt;""),1,0))</f>
        <v/>
      </c>
      <c r="BN192" s="21" t="str">
        <f>IF(OR(COUNT(G192:I1191)=0,AND('Choix pédagogiques'!$C$3&lt;&gt;1,'Choix pédagogiques'!$C$3&lt;&gt;2)),"",IF(AND(OR('Choix pédagogiques'!$C$3=1,'Choix pédagogiques'!$C$3=2),AND($G192&lt;&gt;"",$H192&lt;&gt;"",$I192&lt;&gt;"")),1,0))</f>
        <v/>
      </c>
      <c r="BO192" s="21" t="str">
        <f>IF(OR(COUNT(B192:D1191)=0,COUNT(G192:I1191)=0,'Choix pédagogiques'!C$3&lt;&gt;3),"",IF(AND('Choix pédagogiques'!$C$3=3,$B192&lt;&gt;"",$C192&lt;&gt;"",$D192&lt;&gt;"",$G192&lt;&gt;"",$H192&lt;&gt;"",$I192&lt;&gt;""),1,0))</f>
        <v/>
      </c>
      <c r="BR192" s="21">
        <v>891</v>
      </c>
      <c r="BS192" s="21">
        <v>1352</v>
      </c>
      <c r="BT192"/>
    </row>
    <row r="193" spans="1:72" s="23" customFormat="1" ht="18" customHeight="1" x14ac:dyDescent="0.3">
      <c r="A193" s="35" t="s">
        <v>183</v>
      </c>
      <c r="B193" s="37"/>
      <c r="C193" s="37"/>
      <c r="D193" s="37"/>
      <c r="E193" s="37"/>
      <c r="F193" s="35" t="s">
        <v>1191</v>
      </c>
      <c r="G193" s="37"/>
      <c r="H193" s="37"/>
      <c r="I193" s="37"/>
      <c r="J193" s="37"/>
      <c r="K193" s="21" t="str">
        <f t="shared" si="159"/>
        <v>Apprenant 181</v>
      </c>
      <c r="L193" s="22" t="str">
        <f t="shared" si="160"/>
        <v/>
      </c>
      <c r="M193" s="22" t="str">
        <f t="shared" si="161"/>
        <v/>
      </c>
      <c r="N193" s="22" t="str">
        <f t="shared" si="162"/>
        <v/>
      </c>
      <c r="O193" s="22" t="str">
        <f t="shared" si="163"/>
        <v/>
      </c>
      <c r="P193" s="21" t="str">
        <f t="shared" si="164"/>
        <v>Apprenant 181 ou 181'</v>
      </c>
      <c r="Q193" s="22" t="str">
        <f t="shared" si="165"/>
        <v/>
      </c>
      <c r="R193" s="22" t="str">
        <f t="shared" si="166"/>
        <v/>
      </c>
      <c r="S193" s="22" t="str">
        <f t="shared" si="167"/>
        <v/>
      </c>
      <c r="T193" s="22" t="str">
        <f t="shared" si="168"/>
        <v/>
      </c>
      <c r="V193" s="21" t="str">
        <f t="shared" si="169"/>
        <v>Apprenant 181</v>
      </c>
      <c r="W193" s="22" t="str">
        <f>IF(AND(OR('Choix pédagogiques'!$C$3=1,'Choix pédagogiques'!$C$3=2),$BM193=1),B193,IF(AND('Choix pédagogiques'!$C$3=3,$BO193=1),B193,""))</f>
        <v/>
      </c>
      <c r="X193" s="22" t="str">
        <f>IF(AND(OR('Choix pédagogiques'!$C$3=1,'Choix pédagogiques'!$C$3=2),$BM193=1),C193,IF(AND('Choix pédagogiques'!$C$3=3,$BO193=1),C193,""))</f>
        <v/>
      </c>
      <c r="Y193" s="22" t="str">
        <f>IF(AND(OR('Choix pédagogiques'!$C$3=1,'Choix pédagogiques'!$C$3=2),$BM193=1),D193,IF(AND('Choix pédagogiques'!$C$3=3,$BO193=1),D193,""))</f>
        <v/>
      </c>
      <c r="Z193" s="22" t="str">
        <f t="shared" si="170"/>
        <v/>
      </c>
      <c r="AA193" s="21" t="str">
        <f t="shared" si="171"/>
        <v>Apprenant 181 ou 181'</v>
      </c>
      <c r="AB193" s="22" t="str">
        <f>IF(AND(OR('Choix pédagogiques'!$C$3=1,'Choix pédagogiques'!$C$3=2),$BN193=1),G193,IF(AND('Choix pédagogiques'!$C$3=3,$BO193=1),G193,""))</f>
        <v/>
      </c>
      <c r="AC193" s="22" t="str">
        <f>IF(AND(OR('Choix pédagogiques'!$C$3=1,'Choix pédagogiques'!$C$3=2),$BN193=1),H193,IF(AND('Choix pédagogiques'!$C$3=3,$BO193=1),H193,""))</f>
        <v/>
      </c>
      <c r="AD193" s="22" t="str">
        <f>IF(AND(OR('Choix pédagogiques'!$C$3=1,'Choix pédagogiques'!$C$3=2),$BN193=1),I193,IF(AND('Choix pédagogiques'!$C$3=3,$BO193=1),I193,""))</f>
        <v/>
      </c>
      <c r="AE193" s="22" t="str">
        <f t="shared" si="172"/>
        <v/>
      </c>
      <c r="AF193" s="21" t="str">
        <f t="shared" si="173"/>
        <v>Apprenant 181</v>
      </c>
      <c r="AG193" s="22" t="str">
        <f t="shared" si="147"/>
        <v/>
      </c>
      <c r="AH193" s="22" t="str">
        <f t="shared" si="148"/>
        <v/>
      </c>
      <c r="AI193" s="22" t="str">
        <f t="shared" si="149"/>
        <v/>
      </c>
      <c r="AJ193" s="22" t="str">
        <f t="shared" si="174"/>
        <v/>
      </c>
      <c r="AK193" s="21" t="str">
        <f t="shared" si="175"/>
        <v>Apprenant 181 ou 181'</v>
      </c>
      <c r="AL193" s="22" t="str">
        <f t="shared" si="150"/>
        <v/>
      </c>
      <c r="AM193" s="22" t="str">
        <f t="shared" si="151"/>
        <v/>
      </c>
      <c r="AN193" s="22" t="str">
        <f t="shared" si="152"/>
        <v/>
      </c>
      <c r="AO193" s="22" t="str">
        <f t="shared" si="176"/>
        <v/>
      </c>
      <c r="AQ193" s="21" t="str">
        <f t="shared" si="177"/>
        <v>Apprenant 181</v>
      </c>
      <c r="AR193" s="49" t="str">
        <f>IF(AND('Choix pédagogiques'!$C$4&lt;&gt;"?",'Choix pédagogiques'!$C$5&lt;&gt;"?",W193&lt;&gt;""),(W193-'Choix pédagogiques'!$C$4)/('Choix pédagogiques'!$C$5-'Choix pédagogiques'!$C$4),"")</f>
        <v/>
      </c>
      <c r="AS193" s="49" t="str">
        <f>IF(AND('Choix pédagogiques'!$C$4&lt;&gt;"?",'Choix pédagogiques'!$C$5&lt;&gt;"?",X193&lt;&gt;""),(X193-'Choix pédagogiques'!$C$4)/('Choix pédagogiques'!$C$5-'Choix pédagogiques'!$C$4),"")</f>
        <v/>
      </c>
      <c r="AT193" s="49" t="str">
        <f>IF(AND('Choix pédagogiques'!$C$4&lt;&gt;"?",'Choix pédagogiques'!$C$5&lt;&gt;"?",Y193&lt;&gt;""),(Y193-'Choix pédagogiques'!$C$4)/('Choix pédagogiques'!$C$5-'Choix pédagogiques'!$C$4),"")</f>
        <v/>
      </c>
      <c r="AU193" s="22" t="str">
        <f t="shared" si="178"/>
        <v/>
      </c>
      <c r="AV193" s="21" t="str">
        <f t="shared" si="179"/>
        <v>Apprenant 181 ou 181'</v>
      </c>
      <c r="AW193" s="49" t="str">
        <f>IF(AND('Choix pédagogiques'!$C$4&lt;&gt;"?",'Choix pédagogiques'!$C$5&lt;&gt;"?",AB193&lt;&gt;""),(AB193-'Choix pédagogiques'!$C$4)/('Choix pédagogiques'!$C$5-'Choix pédagogiques'!$C$4),"")</f>
        <v/>
      </c>
      <c r="AX193" s="49" t="str">
        <f>IF(AND('Choix pédagogiques'!$C$4&lt;&gt;"?",'Choix pédagogiques'!$C$5&lt;&gt;"?",AC193&lt;&gt;""),(AC193-'Choix pédagogiques'!$C$4)/('Choix pédagogiques'!$C$5-'Choix pédagogiques'!$C$4),"")</f>
        <v/>
      </c>
      <c r="AY193" s="49" t="str">
        <f>IF(AND('Choix pédagogiques'!$C$4&lt;&gt;"?",'Choix pédagogiques'!$C$5&lt;&gt;"?",AD193&lt;&gt;""),(AD193-'Choix pédagogiques'!$C$4)/('Choix pédagogiques'!$C$5-'Choix pédagogiques'!$C$4),"")</f>
        <v/>
      </c>
      <c r="AZ193" s="22" t="str">
        <f t="shared" si="180"/>
        <v/>
      </c>
      <c r="BA193" s="21" t="str">
        <f t="shared" si="181"/>
        <v>Apprenant 181</v>
      </c>
      <c r="BB193" s="49" t="str">
        <f t="shared" si="153"/>
        <v/>
      </c>
      <c r="BC193" s="49" t="str">
        <f t="shared" si="154"/>
        <v/>
      </c>
      <c r="BD193" s="49" t="str">
        <f t="shared" si="155"/>
        <v/>
      </c>
      <c r="BE193" s="22" t="str">
        <f t="shared" si="182"/>
        <v/>
      </c>
      <c r="BF193" s="21" t="str">
        <f t="shared" si="183"/>
        <v>Apprenant 181 ou 181'</v>
      </c>
      <c r="BG193" s="49" t="str">
        <f t="shared" si="156"/>
        <v/>
      </c>
      <c r="BH193" s="49" t="str">
        <f t="shared" si="157"/>
        <v/>
      </c>
      <c r="BI193" s="49" t="str">
        <f t="shared" si="158"/>
        <v/>
      </c>
      <c r="BJ193" s="22" t="str">
        <f t="shared" si="184"/>
        <v/>
      </c>
      <c r="BL193" s="21"/>
      <c r="BM193" s="21" t="str">
        <f>IF(OR(COUNT(B193:D1192)=0,AND('Choix pédagogiques'!$C$3&lt;&gt;1,'Choix pédagogiques'!$C$3&lt;&gt;2)),"",IF(AND(OR('Choix pédagogiques'!$C$3=1,'Choix pédagogiques'!$C$3=2),$B193&lt;&gt;"",$C193&lt;&gt;"",$D193&lt;&gt;""),1,0))</f>
        <v/>
      </c>
      <c r="BN193" s="21" t="str">
        <f>IF(OR(COUNT(G193:I1192)=0,AND('Choix pédagogiques'!$C$3&lt;&gt;1,'Choix pédagogiques'!$C$3&lt;&gt;2)),"",IF(AND(OR('Choix pédagogiques'!$C$3=1,'Choix pédagogiques'!$C$3=2),AND($G193&lt;&gt;"",$H193&lt;&gt;"",$I193&lt;&gt;"")),1,0))</f>
        <v/>
      </c>
      <c r="BO193" s="21" t="str">
        <f>IF(OR(COUNT(B193:D1192)=0,COUNT(G193:I1192)=0,'Choix pédagogiques'!C$3&lt;&gt;3),"",IF(AND('Choix pédagogiques'!$C$3=3,$B193&lt;&gt;"",$C193&lt;&gt;"",$D193&lt;&gt;"",$G193&lt;&gt;"",$H193&lt;&gt;"",$I193&lt;&gt;""),1,0))</f>
        <v/>
      </c>
      <c r="BR193" s="21">
        <v>202</v>
      </c>
      <c r="BS193" s="21">
        <v>1522</v>
      </c>
      <c r="BT193"/>
    </row>
    <row r="194" spans="1:72" s="23" customFormat="1" ht="18" customHeight="1" x14ac:dyDescent="0.3">
      <c r="A194" s="35" t="s">
        <v>184</v>
      </c>
      <c r="B194" s="37"/>
      <c r="C194" s="37"/>
      <c r="D194" s="37"/>
      <c r="E194" s="37"/>
      <c r="F194" s="35" t="s">
        <v>1192</v>
      </c>
      <c r="G194" s="37"/>
      <c r="H194" s="37"/>
      <c r="I194" s="37"/>
      <c r="J194" s="37"/>
      <c r="K194" s="21" t="str">
        <f t="shared" si="159"/>
        <v>Apprenant 182</v>
      </c>
      <c r="L194" s="22" t="str">
        <f t="shared" si="160"/>
        <v/>
      </c>
      <c r="M194" s="22" t="str">
        <f t="shared" si="161"/>
        <v/>
      </c>
      <c r="N194" s="22" t="str">
        <f t="shared" si="162"/>
        <v/>
      </c>
      <c r="O194" s="22" t="str">
        <f t="shared" si="163"/>
        <v/>
      </c>
      <c r="P194" s="21" t="str">
        <f t="shared" si="164"/>
        <v>Apprenant 182 ou 182'</v>
      </c>
      <c r="Q194" s="22" t="str">
        <f t="shared" si="165"/>
        <v/>
      </c>
      <c r="R194" s="22" t="str">
        <f t="shared" si="166"/>
        <v/>
      </c>
      <c r="S194" s="22" t="str">
        <f t="shared" si="167"/>
        <v/>
      </c>
      <c r="T194" s="22" t="str">
        <f t="shared" si="168"/>
        <v/>
      </c>
      <c r="V194" s="21" t="str">
        <f t="shared" si="169"/>
        <v>Apprenant 182</v>
      </c>
      <c r="W194" s="22" t="str">
        <f>IF(AND(OR('Choix pédagogiques'!$C$3=1,'Choix pédagogiques'!$C$3=2),$BM194=1),B194,IF(AND('Choix pédagogiques'!$C$3=3,$BO194=1),B194,""))</f>
        <v/>
      </c>
      <c r="X194" s="22" t="str">
        <f>IF(AND(OR('Choix pédagogiques'!$C$3=1,'Choix pédagogiques'!$C$3=2),$BM194=1),C194,IF(AND('Choix pédagogiques'!$C$3=3,$BO194=1),C194,""))</f>
        <v/>
      </c>
      <c r="Y194" s="22" t="str">
        <f>IF(AND(OR('Choix pédagogiques'!$C$3=1,'Choix pédagogiques'!$C$3=2),$BM194=1),D194,IF(AND('Choix pédagogiques'!$C$3=3,$BO194=1),D194,""))</f>
        <v/>
      </c>
      <c r="Z194" s="22" t="str">
        <f t="shared" si="170"/>
        <v/>
      </c>
      <c r="AA194" s="21" t="str">
        <f t="shared" si="171"/>
        <v>Apprenant 182 ou 182'</v>
      </c>
      <c r="AB194" s="22" t="str">
        <f>IF(AND(OR('Choix pédagogiques'!$C$3=1,'Choix pédagogiques'!$C$3=2),$BN194=1),G194,IF(AND('Choix pédagogiques'!$C$3=3,$BO194=1),G194,""))</f>
        <v/>
      </c>
      <c r="AC194" s="22" t="str">
        <f>IF(AND(OR('Choix pédagogiques'!$C$3=1,'Choix pédagogiques'!$C$3=2),$BN194=1),H194,IF(AND('Choix pédagogiques'!$C$3=3,$BO194=1),H194,""))</f>
        <v/>
      </c>
      <c r="AD194" s="22" t="str">
        <f>IF(AND(OR('Choix pédagogiques'!$C$3=1,'Choix pédagogiques'!$C$3=2),$BN194=1),I194,IF(AND('Choix pédagogiques'!$C$3=3,$BO194=1),I194,""))</f>
        <v/>
      </c>
      <c r="AE194" s="22" t="str">
        <f t="shared" si="172"/>
        <v/>
      </c>
      <c r="AF194" s="21" t="str">
        <f t="shared" si="173"/>
        <v>Apprenant 182</v>
      </c>
      <c r="AG194" s="22" t="str">
        <f t="shared" si="147"/>
        <v/>
      </c>
      <c r="AH194" s="22" t="str">
        <f t="shared" si="148"/>
        <v/>
      </c>
      <c r="AI194" s="22" t="str">
        <f t="shared" si="149"/>
        <v/>
      </c>
      <c r="AJ194" s="22" t="str">
        <f t="shared" si="174"/>
        <v/>
      </c>
      <c r="AK194" s="21" t="str">
        <f t="shared" si="175"/>
        <v>Apprenant 182 ou 182'</v>
      </c>
      <c r="AL194" s="22" t="str">
        <f t="shared" si="150"/>
        <v/>
      </c>
      <c r="AM194" s="22" t="str">
        <f t="shared" si="151"/>
        <v/>
      </c>
      <c r="AN194" s="22" t="str">
        <f t="shared" si="152"/>
        <v/>
      </c>
      <c r="AO194" s="22" t="str">
        <f t="shared" si="176"/>
        <v/>
      </c>
      <c r="AQ194" s="21" t="str">
        <f t="shared" si="177"/>
        <v>Apprenant 182</v>
      </c>
      <c r="AR194" s="49" t="str">
        <f>IF(AND('Choix pédagogiques'!$C$4&lt;&gt;"?",'Choix pédagogiques'!$C$5&lt;&gt;"?",W194&lt;&gt;""),(W194-'Choix pédagogiques'!$C$4)/('Choix pédagogiques'!$C$5-'Choix pédagogiques'!$C$4),"")</f>
        <v/>
      </c>
      <c r="AS194" s="49" t="str">
        <f>IF(AND('Choix pédagogiques'!$C$4&lt;&gt;"?",'Choix pédagogiques'!$C$5&lt;&gt;"?",X194&lt;&gt;""),(X194-'Choix pédagogiques'!$C$4)/('Choix pédagogiques'!$C$5-'Choix pédagogiques'!$C$4),"")</f>
        <v/>
      </c>
      <c r="AT194" s="49" t="str">
        <f>IF(AND('Choix pédagogiques'!$C$4&lt;&gt;"?",'Choix pédagogiques'!$C$5&lt;&gt;"?",Y194&lt;&gt;""),(Y194-'Choix pédagogiques'!$C$4)/('Choix pédagogiques'!$C$5-'Choix pédagogiques'!$C$4),"")</f>
        <v/>
      </c>
      <c r="AU194" s="22" t="str">
        <f t="shared" si="178"/>
        <v/>
      </c>
      <c r="AV194" s="21" t="str">
        <f t="shared" si="179"/>
        <v>Apprenant 182 ou 182'</v>
      </c>
      <c r="AW194" s="49" t="str">
        <f>IF(AND('Choix pédagogiques'!$C$4&lt;&gt;"?",'Choix pédagogiques'!$C$5&lt;&gt;"?",AB194&lt;&gt;""),(AB194-'Choix pédagogiques'!$C$4)/('Choix pédagogiques'!$C$5-'Choix pédagogiques'!$C$4),"")</f>
        <v/>
      </c>
      <c r="AX194" s="49" t="str">
        <f>IF(AND('Choix pédagogiques'!$C$4&lt;&gt;"?",'Choix pédagogiques'!$C$5&lt;&gt;"?",AC194&lt;&gt;""),(AC194-'Choix pédagogiques'!$C$4)/('Choix pédagogiques'!$C$5-'Choix pédagogiques'!$C$4),"")</f>
        <v/>
      </c>
      <c r="AY194" s="49" t="str">
        <f>IF(AND('Choix pédagogiques'!$C$4&lt;&gt;"?",'Choix pédagogiques'!$C$5&lt;&gt;"?",AD194&lt;&gt;""),(AD194-'Choix pédagogiques'!$C$4)/('Choix pédagogiques'!$C$5-'Choix pédagogiques'!$C$4),"")</f>
        <v/>
      </c>
      <c r="AZ194" s="22" t="str">
        <f t="shared" si="180"/>
        <v/>
      </c>
      <c r="BA194" s="21" t="str">
        <f t="shared" si="181"/>
        <v>Apprenant 182</v>
      </c>
      <c r="BB194" s="49" t="str">
        <f t="shared" si="153"/>
        <v/>
      </c>
      <c r="BC194" s="49" t="str">
        <f t="shared" si="154"/>
        <v/>
      </c>
      <c r="BD194" s="49" t="str">
        <f t="shared" si="155"/>
        <v/>
      </c>
      <c r="BE194" s="22" t="str">
        <f t="shared" si="182"/>
        <v/>
      </c>
      <c r="BF194" s="21" t="str">
        <f t="shared" si="183"/>
        <v>Apprenant 182 ou 182'</v>
      </c>
      <c r="BG194" s="49" t="str">
        <f t="shared" si="156"/>
        <v/>
      </c>
      <c r="BH194" s="49" t="str">
        <f t="shared" si="157"/>
        <v/>
      </c>
      <c r="BI194" s="49" t="str">
        <f t="shared" si="158"/>
        <v/>
      </c>
      <c r="BJ194" s="22" t="str">
        <f t="shared" si="184"/>
        <v/>
      </c>
      <c r="BL194" s="21"/>
      <c r="BM194" s="21" t="str">
        <f>IF(OR(COUNT(B194:D1193)=0,AND('Choix pédagogiques'!$C$3&lt;&gt;1,'Choix pédagogiques'!$C$3&lt;&gt;2)),"",IF(AND(OR('Choix pédagogiques'!$C$3=1,'Choix pédagogiques'!$C$3=2),$B194&lt;&gt;"",$C194&lt;&gt;"",$D194&lt;&gt;""),1,0))</f>
        <v/>
      </c>
      <c r="BN194" s="21" t="str">
        <f>IF(OR(COUNT(G194:I1193)=0,AND('Choix pédagogiques'!$C$3&lt;&gt;1,'Choix pédagogiques'!$C$3&lt;&gt;2)),"",IF(AND(OR('Choix pédagogiques'!$C$3=1,'Choix pédagogiques'!$C$3=2),AND($G194&lt;&gt;"",$H194&lt;&gt;"",$I194&lt;&gt;"")),1,0))</f>
        <v/>
      </c>
      <c r="BO194" s="21" t="str">
        <f>IF(OR(COUNT(B194:D1193)=0,COUNT(G194:I1193)=0,'Choix pédagogiques'!C$3&lt;&gt;3),"",IF(AND('Choix pédagogiques'!$C$3=3,$B194&lt;&gt;"",$C194&lt;&gt;"",$D194&lt;&gt;"",$G194&lt;&gt;"",$H194&lt;&gt;"",$I194&lt;&gt;""),1,0))</f>
        <v/>
      </c>
      <c r="BR194" s="21">
        <v>743</v>
      </c>
      <c r="BS194" s="21">
        <v>1887</v>
      </c>
      <c r="BT194"/>
    </row>
    <row r="195" spans="1:72" s="23" customFormat="1" ht="18" customHeight="1" x14ac:dyDescent="0.3">
      <c r="A195" s="35" t="s">
        <v>185</v>
      </c>
      <c r="B195" s="37"/>
      <c r="C195" s="37"/>
      <c r="D195" s="37"/>
      <c r="E195" s="37"/>
      <c r="F195" s="35" t="s">
        <v>1193</v>
      </c>
      <c r="G195" s="37"/>
      <c r="H195" s="37"/>
      <c r="I195" s="37"/>
      <c r="J195" s="37"/>
      <c r="K195" s="21" t="str">
        <f t="shared" si="159"/>
        <v>Apprenant 183</v>
      </c>
      <c r="L195" s="22" t="str">
        <f t="shared" si="160"/>
        <v/>
      </c>
      <c r="M195" s="22" t="str">
        <f t="shared" si="161"/>
        <v/>
      </c>
      <c r="N195" s="22" t="str">
        <f t="shared" si="162"/>
        <v/>
      </c>
      <c r="O195" s="22" t="str">
        <f t="shared" si="163"/>
        <v/>
      </c>
      <c r="P195" s="21" t="str">
        <f t="shared" si="164"/>
        <v>Apprenant 183 ou 183'</v>
      </c>
      <c r="Q195" s="22" t="str">
        <f t="shared" si="165"/>
        <v/>
      </c>
      <c r="R195" s="22" t="str">
        <f t="shared" si="166"/>
        <v/>
      </c>
      <c r="S195" s="22" t="str">
        <f t="shared" si="167"/>
        <v/>
      </c>
      <c r="T195" s="22" t="str">
        <f t="shared" si="168"/>
        <v/>
      </c>
      <c r="V195" s="21" t="str">
        <f t="shared" si="169"/>
        <v>Apprenant 183</v>
      </c>
      <c r="W195" s="22" t="str">
        <f>IF(AND(OR('Choix pédagogiques'!$C$3=1,'Choix pédagogiques'!$C$3=2),$BM195=1),B195,IF(AND('Choix pédagogiques'!$C$3=3,$BO195=1),B195,""))</f>
        <v/>
      </c>
      <c r="X195" s="22" t="str">
        <f>IF(AND(OR('Choix pédagogiques'!$C$3=1,'Choix pédagogiques'!$C$3=2),$BM195=1),C195,IF(AND('Choix pédagogiques'!$C$3=3,$BO195=1),C195,""))</f>
        <v/>
      </c>
      <c r="Y195" s="22" t="str">
        <f>IF(AND(OR('Choix pédagogiques'!$C$3=1,'Choix pédagogiques'!$C$3=2),$BM195=1),D195,IF(AND('Choix pédagogiques'!$C$3=3,$BO195=1),D195,""))</f>
        <v/>
      </c>
      <c r="Z195" s="22" t="str">
        <f t="shared" si="170"/>
        <v/>
      </c>
      <c r="AA195" s="21" t="str">
        <f t="shared" si="171"/>
        <v>Apprenant 183 ou 183'</v>
      </c>
      <c r="AB195" s="22" t="str">
        <f>IF(AND(OR('Choix pédagogiques'!$C$3=1,'Choix pédagogiques'!$C$3=2),$BN195=1),G195,IF(AND('Choix pédagogiques'!$C$3=3,$BO195=1),G195,""))</f>
        <v/>
      </c>
      <c r="AC195" s="22" t="str">
        <f>IF(AND(OR('Choix pédagogiques'!$C$3=1,'Choix pédagogiques'!$C$3=2),$BN195=1),H195,IF(AND('Choix pédagogiques'!$C$3=3,$BO195=1),H195,""))</f>
        <v/>
      </c>
      <c r="AD195" s="22" t="str">
        <f>IF(AND(OR('Choix pédagogiques'!$C$3=1,'Choix pédagogiques'!$C$3=2),$BN195=1),I195,IF(AND('Choix pédagogiques'!$C$3=3,$BO195=1),I195,""))</f>
        <v/>
      </c>
      <c r="AE195" s="22" t="str">
        <f t="shared" si="172"/>
        <v/>
      </c>
      <c r="AF195" s="21" t="str">
        <f t="shared" si="173"/>
        <v>Apprenant 183</v>
      </c>
      <c r="AG195" s="22" t="str">
        <f t="shared" si="147"/>
        <v/>
      </c>
      <c r="AH195" s="22" t="str">
        <f t="shared" si="148"/>
        <v/>
      </c>
      <c r="AI195" s="22" t="str">
        <f t="shared" si="149"/>
        <v/>
      </c>
      <c r="AJ195" s="22" t="str">
        <f t="shared" si="174"/>
        <v/>
      </c>
      <c r="AK195" s="21" t="str">
        <f t="shared" si="175"/>
        <v>Apprenant 183 ou 183'</v>
      </c>
      <c r="AL195" s="22" t="str">
        <f t="shared" si="150"/>
        <v/>
      </c>
      <c r="AM195" s="22" t="str">
        <f t="shared" si="151"/>
        <v/>
      </c>
      <c r="AN195" s="22" t="str">
        <f t="shared" si="152"/>
        <v/>
      </c>
      <c r="AO195" s="22" t="str">
        <f t="shared" si="176"/>
        <v/>
      </c>
      <c r="AQ195" s="21" t="str">
        <f t="shared" si="177"/>
        <v>Apprenant 183</v>
      </c>
      <c r="AR195" s="49" t="str">
        <f>IF(AND('Choix pédagogiques'!$C$4&lt;&gt;"?",'Choix pédagogiques'!$C$5&lt;&gt;"?",W195&lt;&gt;""),(W195-'Choix pédagogiques'!$C$4)/('Choix pédagogiques'!$C$5-'Choix pédagogiques'!$C$4),"")</f>
        <v/>
      </c>
      <c r="AS195" s="49" t="str">
        <f>IF(AND('Choix pédagogiques'!$C$4&lt;&gt;"?",'Choix pédagogiques'!$C$5&lt;&gt;"?",X195&lt;&gt;""),(X195-'Choix pédagogiques'!$C$4)/('Choix pédagogiques'!$C$5-'Choix pédagogiques'!$C$4),"")</f>
        <v/>
      </c>
      <c r="AT195" s="49" t="str">
        <f>IF(AND('Choix pédagogiques'!$C$4&lt;&gt;"?",'Choix pédagogiques'!$C$5&lt;&gt;"?",Y195&lt;&gt;""),(Y195-'Choix pédagogiques'!$C$4)/('Choix pédagogiques'!$C$5-'Choix pédagogiques'!$C$4),"")</f>
        <v/>
      </c>
      <c r="AU195" s="22" t="str">
        <f t="shared" si="178"/>
        <v/>
      </c>
      <c r="AV195" s="21" t="str">
        <f t="shared" si="179"/>
        <v>Apprenant 183 ou 183'</v>
      </c>
      <c r="AW195" s="49" t="str">
        <f>IF(AND('Choix pédagogiques'!$C$4&lt;&gt;"?",'Choix pédagogiques'!$C$5&lt;&gt;"?",AB195&lt;&gt;""),(AB195-'Choix pédagogiques'!$C$4)/('Choix pédagogiques'!$C$5-'Choix pédagogiques'!$C$4),"")</f>
        <v/>
      </c>
      <c r="AX195" s="49" t="str">
        <f>IF(AND('Choix pédagogiques'!$C$4&lt;&gt;"?",'Choix pédagogiques'!$C$5&lt;&gt;"?",AC195&lt;&gt;""),(AC195-'Choix pédagogiques'!$C$4)/('Choix pédagogiques'!$C$5-'Choix pédagogiques'!$C$4),"")</f>
        <v/>
      </c>
      <c r="AY195" s="49" t="str">
        <f>IF(AND('Choix pédagogiques'!$C$4&lt;&gt;"?",'Choix pédagogiques'!$C$5&lt;&gt;"?",AD195&lt;&gt;""),(AD195-'Choix pédagogiques'!$C$4)/('Choix pédagogiques'!$C$5-'Choix pédagogiques'!$C$4),"")</f>
        <v/>
      </c>
      <c r="AZ195" s="22" t="str">
        <f t="shared" si="180"/>
        <v/>
      </c>
      <c r="BA195" s="21" t="str">
        <f t="shared" si="181"/>
        <v>Apprenant 183</v>
      </c>
      <c r="BB195" s="49" t="str">
        <f t="shared" si="153"/>
        <v/>
      </c>
      <c r="BC195" s="49" t="str">
        <f t="shared" si="154"/>
        <v/>
      </c>
      <c r="BD195" s="49" t="str">
        <f t="shared" si="155"/>
        <v/>
      </c>
      <c r="BE195" s="22" t="str">
        <f t="shared" si="182"/>
        <v/>
      </c>
      <c r="BF195" s="21" t="str">
        <f t="shared" si="183"/>
        <v>Apprenant 183 ou 183'</v>
      </c>
      <c r="BG195" s="49" t="str">
        <f t="shared" si="156"/>
        <v/>
      </c>
      <c r="BH195" s="49" t="str">
        <f t="shared" si="157"/>
        <v/>
      </c>
      <c r="BI195" s="49" t="str">
        <f t="shared" si="158"/>
        <v/>
      </c>
      <c r="BJ195" s="22" t="str">
        <f t="shared" si="184"/>
        <v/>
      </c>
      <c r="BL195" s="21"/>
      <c r="BM195" s="21" t="str">
        <f>IF(OR(COUNT(B195:D1194)=0,AND('Choix pédagogiques'!$C$3&lt;&gt;1,'Choix pédagogiques'!$C$3&lt;&gt;2)),"",IF(AND(OR('Choix pédagogiques'!$C$3=1,'Choix pédagogiques'!$C$3=2),$B195&lt;&gt;"",$C195&lt;&gt;"",$D195&lt;&gt;""),1,0))</f>
        <v/>
      </c>
      <c r="BN195" s="21" t="str">
        <f>IF(OR(COUNT(G195:I1194)=0,AND('Choix pédagogiques'!$C$3&lt;&gt;1,'Choix pédagogiques'!$C$3&lt;&gt;2)),"",IF(AND(OR('Choix pédagogiques'!$C$3=1,'Choix pédagogiques'!$C$3=2),AND($G195&lt;&gt;"",$H195&lt;&gt;"",$I195&lt;&gt;"")),1,0))</f>
        <v/>
      </c>
      <c r="BO195" s="21" t="str">
        <f>IF(OR(COUNT(B195:D1194)=0,COUNT(G195:I1194)=0,'Choix pédagogiques'!C$3&lt;&gt;3),"",IF(AND('Choix pédagogiques'!$C$3=3,$B195&lt;&gt;"",$C195&lt;&gt;"",$D195&lt;&gt;"",$G195&lt;&gt;"",$H195&lt;&gt;"",$I195&lt;&gt;""),1,0))</f>
        <v/>
      </c>
      <c r="BR195" s="21">
        <v>740</v>
      </c>
      <c r="BS195" s="21">
        <v>1497</v>
      </c>
      <c r="BT195"/>
    </row>
    <row r="196" spans="1:72" s="23" customFormat="1" ht="18" customHeight="1" x14ac:dyDescent="0.3">
      <c r="A196" s="35" t="s">
        <v>186</v>
      </c>
      <c r="B196" s="37"/>
      <c r="C196" s="37"/>
      <c r="D196" s="37"/>
      <c r="E196" s="37"/>
      <c r="F196" s="35" t="s">
        <v>1194</v>
      </c>
      <c r="G196" s="37"/>
      <c r="H196" s="37"/>
      <c r="I196" s="37"/>
      <c r="J196" s="37"/>
      <c r="K196" s="21" t="str">
        <f t="shared" si="159"/>
        <v>Apprenant 184</v>
      </c>
      <c r="L196" s="22" t="str">
        <f t="shared" si="160"/>
        <v/>
      </c>
      <c r="M196" s="22" t="str">
        <f t="shared" si="161"/>
        <v/>
      </c>
      <c r="N196" s="22" t="str">
        <f t="shared" si="162"/>
        <v/>
      </c>
      <c r="O196" s="22" t="str">
        <f t="shared" si="163"/>
        <v/>
      </c>
      <c r="P196" s="21" t="str">
        <f t="shared" si="164"/>
        <v>Apprenant 184 ou 184'</v>
      </c>
      <c r="Q196" s="22" t="str">
        <f t="shared" si="165"/>
        <v/>
      </c>
      <c r="R196" s="22" t="str">
        <f t="shared" si="166"/>
        <v/>
      </c>
      <c r="S196" s="22" t="str">
        <f t="shared" si="167"/>
        <v/>
      </c>
      <c r="T196" s="22" t="str">
        <f t="shared" si="168"/>
        <v/>
      </c>
      <c r="V196" s="21" t="str">
        <f t="shared" si="169"/>
        <v>Apprenant 184</v>
      </c>
      <c r="W196" s="22" t="str">
        <f>IF(AND(OR('Choix pédagogiques'!$C$3=1,'Choix pédagogiques'!$C$3=2),$BM196=1),B196,IF(AND('Choix pédagogiques'!$C$3=3,$BO196=1),B196,""))</f>
        <v/>
      </c>
      <c r="X196" s="22" t="str">
        <f>IF(AND(OR('Choix pédagogiques'!$C$3=1,'Choix pédagogiques'!$C$3=2),$BM196=1),C196,IF(AND('Choix pédagogiques'!$C$3=3,$BO196=1),C196,""))</f>
        <v/>
      </c>
      <c r="Y196" s="22" t="str">
        <f>IF(AND(OR('Choix pédagogiques'!$C$3=1,'Choix pédagogiques'!$C$3=2),$BM196=1),D196,IF(AND('Choix pédagogiques'!$C$3=3,$BO196=1),D196,""))</f>
        <v/>
      </c>
      <c r="Z196" s="22" t="str">
        <f t="shared" si="170"/>
        <v/>
      </c>
      <c r="AA196" s="21" t="str">
        <f t="shared" si="171"/>
        <v>Apprenant 184 ou 184'</v>
      </c>
      <c r="AB196" s="22" t="str">
        <f>IF(AND(OR('Choix pédagogiques'!$C$3=1,'Choix pédagogiques'!$C$3=2),$BN196=1),G196,IF(AND('Choix pédagogiques'!$C$3=3,$BO196=1),G196,""))</f>
        <v/>
      </c>
      <c r="AC196" s="22" t="str">
        <f>IF(AND(OR('Choix pédagogiques'!$C$3=1,'Choix pédagogiques'!$C$3=2),$BN196=1),H196,IF(AND('Choix pédagogiques'!$C$3=3,$BO196=1),H196,""))</f>
        <v/>
      </c>
      <c r="AD196" s="22" t="str">
        <f>IF(AND(OR('Choix pédagogiques'!$C$3=1,'Choix pédagogiques'!$C$3=2),$BN196=1),I196,IF(AND('Choix pédagogiques'!$C$3=3,$BO196=1),I196,""))</f>
        <v/>
      </c>
      <c r="AE196" s="22" t="str">
        <f t="shared" si="172"/>
        <v/>
      </c>
      <c r="AF196" s="21" t="str">
        <f t="shared" si="173"/>
        <v>Apprenant 184</v>
      </c>
      <c r="AG196" s="22" t="str">
        <f t="shared" si="147"/>
        <v/>
      </c>
      <c r="AH196" s="22" t="str">
        <f t="shared" si="148"/>
        <v/>
      </c>
      <c r="AI196" s="22" t="str">
        <f t="shared" si="149"/>
        <v/>
      </c>
      <c r="AJ196" s="22" t="str">
        <f t="shared" si="174"/>
        <v/>
      </c>
      <c r="AK196" s="21" t="str">
        <f t="shared" si="175"/>
        <v>Apprenant 184 ou 184'</v>
      </c>
      <c r="AL196" s="22" t="str">
        <f t="shared" si="150"/>
        <v/>
      </c>
      <c r="AM196" s="22" t="str">
        <f t="shared" si="151"/>
        <v/>
      </c>
      <c r="AN196" s="22" t="str">
        <f t="shared" si="152"/>
        <v/>
      </c>
      <c r="AO196" s="22" t="str">
        <f t="shared" si="176"/>
        <v/>
      </c>
      <c r="AQ196" s="21" t="str">
        <f t="shared" si="177"/>
        <v>Apprenant 184</v>
      </c>
      <c r="AR196" s="49" t="str">
        <f>IF(AND('Choix pédagogiques'!$C$4&lt;&gt;"?",'Choix pédagogiques'!$C$5&lt;&gt;"?",W196&lt;&gt;""),(W196-'Choix pédagogiques'!$C$4)/('Choix pédagogiques'!$C$5-'Choix pédagogiques'!$C$4),"")</f>
        <v/>
      </c>
      <c r="AS196" s="49" t="str">
        <f>IF(AND('Choix pédagogiques'!$C$4&lt;&gt;"?",'Choix pédagogiques'!$C$5&lt;&gt;"?",X196&lt;&gt;""),(X196-'Choix pédagogiques'!$C$4)/('Choix pédagogiques'!$C$5-'Choix pédagogiques'!$C$4),"")</f>
        <v/>
      </c>
      <c r="AT196" s="49" t="str">
        <f>IF(AND('Choix pédagogiques'!$C$4&lt;&gt;"?",'Choix pédagogiques'!$C$5&lt;&gt;"?",Y196&lt;&gt;""),(Y196-'Choix pédagogiques'!$C$4)/('Choix pédagogiques'!$C$5-'Choix pédagogiques'!$C$4),"")</f>
        <v/>
      </c>
      <c r="AU196" s="22" t="str">
        <f t="shared" si="178"/>
        <v/>
      </c>
      <c r="AV196" s="21" t="str">
        <f t="shared" si="179"/>
        <v>Apprenant 184 ou 184'</v>
      </c>
      <c r="AW196" s="49" t="str">
        <f>IF(AND('Choix pédagogiques'!$C$4&lt;&gt;"?",'Choix pédagogiques'!$C$5&lt;&gt;"?",AB196&lt;&gt;""),(AB196-'Choix pédagogiques'!$C$4)/('Choix pédagogiques'!$C$5-'Choix pédagogiques'!$C$4),"")</f>
        <v/>
      </c>
      <c r="AX196" s="49" t="str">
        <f>IF(AND('Choix pédagogiques'!$C$4&lt;&gt;"?",'Choix pédagogiques'!$C$5&lt;&gt;"?",AC196&lt;&gt;""),(AC196-'Choix pédagogiques'!$C$4)/('Choix pédagogiques'!$C$5-'Choix pédagogiques'!$C$4),"")</f>
        <v/>
      </c>
      <c r="AY196" s="49" t="str">
        <f>IF(AND('Choix pédagogiques'!$C$4&lt;&gt;"?",'Choix pédagogiques'!$C$5&lt;&gt;"?",AD196&lt;&gt;""),(AD196-'Choix pédagogiques'!$C$4)/('Choix pédagogiques'!$C$5-'Choix pédagogiques'!$C$4),"")</f>
        <v/>
      </c>
      <c r="AZ196" s="22" t="str">
        <f t="shared" si="180"/>
        <v/>
      </c>
      <c r="BA196" s="21" t="str">
        <f t="shared" si="181"/>
        <v>Apprenant 184</v>
      </c>
      <c r="BB196" s="49" t="str">
        <f t="shared" si="153"/>
        <v/>
      </c>
      <c r="BC196" s="49" t="str">
        <f t="shared" si="154"/>
        <v/>
      </c>
      <c r="BD196" s="49" t="str">
        <f t="shared" si="155"/>
        <v/>
      </c>
      <c r="BE196" s="22" t="str">
        <f t="shared" si="182"/>
        <v/>
      </c>
      <c r="BF196" s="21" t="str">
        <f t="shared" si="183"/>
        <v>Apprenant 184 ou 184'</v>
      </c>
      <c r="BG196" s="49" t="str">
        <f t="shared" si="156"/>
        <v/>
      </c>
      <c r="BH196" s="49" t="str">
        <f t="shared" si="157"/>
        <v/>
      </c>
      <c r="BI196" s="49" t="str">
        <f t="shared" si="158"/>
        <v/>
      </c>
      <c r="BJ196" s="22" t="str">
        <f t="shared" si="184"/>
        <v/>
      </c>
      <c r="BL196" s="21"/>
      <c r="BM196" s="21" t="str">
        <f>IF(OR(COUNT(B196:D1195)=0,AND('Choix pédagogiques'!$C$3&lt;&gt;1,'Choix pédagogiques'!$C$3&lt;&gt;2)),"",IF(AND(OR('Choix pédagogiques'!$C$3=1,'Choix pédagogiques'!$C$3=2),$B196&lt;&gt;"",$C196&lt;&gt;"",$D196&lt;&gt;""),1,0))</f>
        <v/>
      </c>
      <c r="BN196" s="21" t="str">
        <f>IF(OR(COUNT(G196:I1195)=0,AND('Choix pédagogiques'!$C$3&lt;&gt;1,'Choix pédagogiques'!$C$3&lt;&gt;2)),"",IF(AND(OR('Choix pédagogiques'!$C$3=1,'Choix pédagogiques'!$C$3=2),AND($G196&lt;&gt;"",$H196&lt;&gt;"",$I196&lt;&gt;"")),1,0))</f>
        <v/>
      </c>
      <c r="BO196" s="21" t="str">
        <f>IF(OR(COUNT(B196:D1195)=0,COUNT(G196:I1195)=0,'Choix pédagogiques'!C$3&lt;&gt;3),"",IF(AND('Choix pédagogiques'!$C$3=3,$B196&lt;&gt;"",$C196&lt;&gt;"",$D196&lt;&gt;"",$G196&lt;&gt;"",$H196&lt;&gt;"",$I196&lt;&gt;""),1,0))</f>
        <v/>
      </c>
      <c r="BR196" s="21">
        <v>360</v>
      </c>
      <c r="BS196" s="21">
        <v>1396</v>
      </c>
      <c r="BT196"/>
    </row>
    <row r="197" spans="1:72" s="23" customFormat="1" ht="18" customHeight="1" x14ac:dyDescent="0.3">
      <c r="A197" s="35" t="s">
        <v>187</v>
      </c>
      <c r="B197" s="37"/>
      <c r="C197" s="37"/>
      <c r="D197" s="37"/>
      <c r="E197" s="37"/>
      <c r="F197" s="35" t="s">
        <v>1195</v>
      </c>
      <c r="G197" s="37"/>
      <c r="H197" s="37"/>
      <c r="I197" s="37"/>
      <c r="J197" s="37"/>
      <c r="K197" s="21" t="str">
        <f t="shared" si="159"/>
        <v>Apprenant 185</v>
      </c>
      <c r="L197" s="22" t="str">
        <f t="shared" si="160"/>
        <v/>
      </c>
      <c r="M197" s="22" t="str">
        <f t="shared" si="161"/>
        <v/>
      </c>
      <c r="N197" s="22" t="str">
        <f t="shared" si="162"/>
        <v/>
      </c>
      <c r="O197" s="22" t="str">
        <f t="shared" si="163"/>
        <v/>
      </c>
      <c r="P197" s="21" t="str">
        <f t="shared" si="164"/>
        <v>Apprenant 185 ou 185'</v>
      </c>
      <c r="Q197" s="22" t="str">
        <f t="shared" si="165"/>
        <v/>
      </c>
      <c r="R197" s="22" t="str">
        <f t="shared" si="166"/>
        <v/>
      </c>
      <c r="S197" s="22" t="str">
        <f t="shared" si="167"/>
        <v/>
      </c>
      <c r="T197" s="22" t="str">
        <f t="shared" si="168"/>
        <v/>
      </c>
      <c r="V197" s="21" t="str">
        <f t="shared" si="169"/>
        <v>Apprenant 185</v>
      </c>
      <c r="W197" s="22" t="str">
        <f>IF(AND(OR('Choix pédagogiques'!$C$3=1,'Choix pédagogiques'!$C$3=2),$BM197=1),B197,IF(AND('Choix pédagogiques'!$C$3=3,$BO197=1),B197,""))</f>
        <v/>
      </c>
      <c r="X197" s="22" t="str">
        <f>IF(AND(OR('Choix pédagogiques'!$C$3=1,'Choix pédagogiques'!$C$3=2),$BM197=1),C197,IF(AND('Choix pédagogiques'!$C$3=3,$BO197=1),C197,""))</f>
        <v/>
      </c>
      <c r="Y197" s="22" t="str">
        <f>IF(AND(OR('Choix pédagogiques'!$C$3=1,'Choix pédagogiques'!$C$3=2),$BM197=1),D197,IF(AND('Choix pédagogiques'!$C$3=3,$BO197=1),D197,""))</f>
        <v/>
      </c>
      <c r="Z197" s="22" t="str">
        <f t="shared" si="170"/>
        <v/>
      </c>
      <c r="AA197" s="21" t="str">
        <f t="shared" si="171"/>
        <v>Apprenant 185 ou 185'</v>
      </c>
      <c r="AB197" s="22" t="str">
        <f>IF(AND(OR('Choix pédagogiques'!$C$3=1,'Choix pédagogiques'!$C$3=2),$BN197=1),G197,IF(AND('Choix pédagogiques'!$C$3=3,$BO197=1),G197,""))</f>
        <v/>
      </c>
      <c r="AC197" s="22" t="str">
        <f>IF(AND(OR('Choix pédagogiques'!$C$3=1,'Choix pédagogiques'!$C$3=2),$BN197=1),H197,IF(AND('Choix pédagogiques'!$C$3=3,$BO197=1),H197,""))</f>
        <v/>
      </c>
      <c r="AD197" s="22" t="str">
        <f>IF(AND(OR('Choix pédagogiques'!$C$3=1,'Choix pédagogiques'!$C$3=2),$BN197=1),I197,IF(AND('Choix pédagogiques'!$C$3=3,$BO197=1),I197,""))</f>
        <v/>
      </c>
      <c r="AE197" s="22" t="str">
        <f t="shared" si="172"/>
        <v/>
      </c>
      <c r="AF197" s="21" t="str">
        <f t="shared" si="173"/>
        <v>Apprenant 185</v>
      </c>
      <c r="AG197" s="22" t="str">
        <f t="shared" si="147"/>
        <v/>
      </c>
      <c r="AH197" s="22" t="str">
        <f t="shared" si="148"/>
        <v/>
      </c>
      <c r="AI197" s="22" t="str">
        <f t="shared" si="149"/>
        <v/>
      </c>
      <c r="AJ197" s="22" t="str">
        <f t="shared" si="174"/>
        <v/>
      </c>
      <c r="AK197" s="21" t="str">
        <f t="shared" si="175"/>
        <v>Apprenant 185 ou 185'</v>
      </c>
      <c r="AL197" s="22" t="str">
        <f t="shared" si="150"/>
        <v/>
      </c>
      <c r="AM197" s="22" t="str">
        <f t="shared" si="151"/>
        <v/>
      </c>
      <c r="AN197" s="22" t="str">
        <f t="shared" si="152"/>
        <v/>
      </c>
      <c r="AO197" s="22" t="str">
        <f t="shared" si="176"/>
        <v/>
      </c>
      <c r="AQ197" s="21" t="str">
        <f t="shared" si="177"/>
        <v>Apprenant 185</v>
      </c>
      <c r="AR197" s="49" t="str">
        <f>IF(AND('Choix pédagogiques'!$C$4&lt;&gt;"?",'Choix pédagogiques'!$C$5&lt;&gt;"?",W197&lt;&gt;""),(W197-'Choix pédagogiques'!$C$4)/('Choix pédagogiques'!$C$5-'Choix pédagogiques'!$C$4),"")</f>
        <v/>
      </c>
      <c r="AS197" s="49" t="str">
        <f>IF(AND('Choix pédagogiques'!$C$4&lt;&gt;"?",'Choix pédagogiques'!$C$5&lt;&gt;"?",X197&lt;&gt;""),(X197-'Choix pédagogiques'!$C$4)/('Choix pédagogiques'!$C$5-'Choix pédagogiques'!$C$4),"")</f>
        <v/>
      </c>
      <c r="AT197" s="49" t="str">
        <f>IF(AND('Choix pédagogiques'!$C$4&lt;&gt;"?",'Choix pédagogiques'!$C$5&lt;&gt;"?",Y197&lt;&gt;""),(Y197-'Choix pédagogiques'!$C$4)/('Choix pédagogiques'!$C$5-'Choix pédagogiques'!$C$4),"")</f>
        <v/>
      </c>
      <c r="AU197" s="22" t="str">
        <f t="shared" si="178"/>
        <v/>
      </c>
      <c r="AV197" s="21" t="str">
        <f t="shared" si="179"/>
        <v>Apprenant 185 ou 185'</v>
      </c>
      <c r="AW197" s="49" t="str">
        <f>IF(AND('Choix pédagogiques'!$C$4&lt;&gt;"?",'Choix pédagogiques'!$C$5&lt;&gt;"?",AB197&lt;&gt;""),(AB197-'Choix pédagogiques'!$C$4)/('Choix pédagogiques'!$C$5-'Choix pédagogiques'!$C$4),"")</f>
        <v/>
      </c>
      <c r="AX197" s="49" t="str">
        <f>IF(AND('Choix pédagogiques'!$C$4&lt;&gt;"?",'Choix pédagogiques'!$C$5&lt;&gt;"?",AC197&lt;&gt;""),(AC197-'Choix pédagogiques'!$C$4)/('Choix pédagogiques'!$C$5-'Choix pédagogiques'!$C$4),"")</f>
        <v/>
      </c>
      <c r="AY197" s="49" t="str">
        <f>IF(AND('Choix pédagogiques'!$C$4&lt;&gt;"?",'Choix pédagogiques'!$C$5&lt;&gt;"?",AD197&lt;&gt;""),(AD197-'Choix pédagogiques'!$C$4)/('Choix pédagogiques'!$C$5-'Choix pédagogiques'!$C$4),"")</f>
        <v/>
      </c>
      <c r="AZ197" s="22" t="str">
        <f t="shared" si="180"/>
        <v/>
      </c>
      <c r="BA197" s="21" t="str">
        <f t="shared" si="181"/>
        <v>Apprenant 185</v>
      </c>
      <c r="BB197" s="49" t="str">
        <f t="shared" si="153"/>
        <v/>
      </c>
      <c r="BC197" s="49" t="str">
        <f t="shared" si="154"/>
        <v/>
      </c>
      <c r="BD197" s="49" t="str">
        <f t="shared" si="155"/>
        <v/>
      </c>
      <c r="BE197" s="22" t="str">
        <f t="shared" si="182"/>
        <v/>
      </c>
      <c r="BF197" s="21" t="str">
        <f t="shared" si="183"/>
        <v>Apprenant 185 ou 185'</v>
      </c>
      <c r="BG197" s="49" t="str">
        <f t="shared" si="156"/>
        <v/>
      </c>
      <c r="BH197" s="49" t="str">
        <f t="shared" si="157"/>
        <v/>
      </c>
      <c r="BI197" s="49" t="str">
        <f t="shared" si="158"/>
        <v/>
      </c>
      <c r="BJ197" s="22" t="str">
        <f t="shared" si="184"/>
        <v/>
      </c>
      <c r="BL197" s="21"/>
      <c r="BM197" s="21" t="str">
        <f>IF(OR(COUNT(B197:D1196)=0,AND('Choix pédagogiques'!$C$3&lt;&gt;1,'Choix pédagogiques'!$C$3&lt;&gt;2)),"",IF(AND(OR('Choix pédagogiques'!$C$3=1,'Choix pédagogiques'!$C$3=2),$B197&lt;&gt;"",$C197&lt;&gt;"",$D197&lt;&gt;""),1,0))</f>
        <v/>
      </c>
      <c r="BN197" s="21" t="str">
        <f>IF(OR(COUNT(G197:I1196)=0,AND('Choix pédagogiques'!$C$3&lt;&gt;1,'Choix pédagogiques'!$C$3&lt;&gt;2)),"",IF(AND(OR('Choix pédagogiques'!$C$3=1,'Choix pédagogiques'!$C$3=2),AND($G197&lt;&gt;"",$H197&lt;&gt;"",$I197&lt;&gt;"")),1,0))</f>
        <v/>
      </c>
      <c r="BO197" s="21" t="str">
        <f>IF(OR(COUNT(B197:D1196)=0,COUNT(G197:I1196)=0,'Choix pédagogiques'!C$3&lt;&gt;3),"",IF(AND('Choix pédagogiques'!$C$3=3,$B197&lt;&gt;"",$C197&lt;&gt;"",$D197&lt;&gt;"",$G197&lt;&gt;"",$H197&lt;&gt;"",$I197&lt;&gt;""),1,0))</f>
        <v/>
      </c>
      <c r="BR197" s="21">
        <v>949</v>
      </c>
      <c r="BS197" s="21">
        <v>1595</v>
      </c>
      <c r="BT197"/>
    </row>
    <row r="198" spans="1:72" s="23" customFormat="1" ht="18" customHeight="1" x14ac:dyDescent="0.3">
      <c r="A198" s="35" t="s">
        <v>188</v>
      </c>
      <c r="B198" s="37"/>
      <c r="C198" s="37"/>
      <c r="D198" s="37"/>
      <c r="E198" s="37"/>
      <c r="F198" s="35" t="s">
        <v>1196</v>
      </c>
      <c r="G198" s="37"/>
      <c r="H198" s="37"/>
      <c r="I198" s="37"/>
      <c r="J198" s="37"/>
      <c r="K198" s="21" t="str">
        <f t="shared" si="159"/>
        <v>Apprenant 186</v>
      </c>
      <c r="L198" s="22" t="str">
        <f t="shared" si="160"/>
        <v/>
      </c>
      <c r="M198" s="22" t="str">
        <f t="shared" si="161"/>
        <v/>
      </c>
      <c r="N198" s="22" t="str">
        <f t="shared" si="162"/>
        <v/>
      </c>
      <c r="O198" s="22" t="str">
        <f t="shared" si="163"/>
        <v/>
      </c>
      <c r="P198" s="21" t="str">
        <f t="shared" si="164"/>
        <v>Apprenant 186 ou 186'</v>
      </c>
      <c r="Q198" s="22" t="str">
        <f t="shared" si="165"/>
        <v/>
      </c>
      <c r="R198" s="22" t="str">
        <f t="shared" si="166"/>
        <v/>
      </c>
      <c r="S198" s="22" t="str">
        <f t="shared" si="167"/>
        <v/>
      </c>
      <c r="T198" s="22" t="str">
        <f t="shared" si="168"/>
        <v/>
      </c>
      <c r="V198" s="21" t="str">
        <f t="shared" si="169"/>
        <v>Apprenant 186</v>
      </c>
      <c r="W198" s="22" t="str">
        <f>IF(AND(OR('Choix pédagogiques'!$C$3=1,'Choix pédagogiques'!$C$3=2),$BM198=1),B198,IF(AND('Choix pédagogiques'!$C$3=3,$BO198=1),B198,""))</f>
        <v/>
      </c>
      <c r="X198" s="22" t="str">
        <f>IF(AND(OR('Choix pédagogiques'!$C$3=1,'Choix pédagogiques'!$C$3=2),$BM198=1),C198,IF(AND('Choix pédagogiques'!$C$3=3,$BO198=1),C198,""))</f>
        <v/>
      </c>
      <c r="Y198" s="22" t="str">
        <f>IF(AND(OR('Choix pédagogiques'!$C$3=1,'Choix pédagogiques'!$C$3=2),$BM198=1),D198,IF(AND('Choix pédagogiques'!$C$3=3,$BO198=1),D198,""))</f>
        <v/>
      </c>
      <c r="Z198" s="22" t="str">
        <f t="shared" si="170"/>
        <v/>
      </c>
      <c r="AA198" s="21" t="str">
        <f t="shared" si="171"/>
        <v>Apprenant 186 ou 186'</v>
      </c>
      <c r="AB198" s="22" t="str">
        <f>IF(AND(OR('Choix pédagogiques'!$C$3=1,'Choix pédagogiques'!$C$3=2),$BN198=1),G198,IF(AND('Choix pédagogiques'!$C$3=3,$BO198=1),G198,""))</f>
        <v/>
      </c>
      <c r="AC198" s="22" t="str">
        <f>IF(AND(OR('Choix pédagogiques'!$C$3=1,'Choix pédagogiques'!$C$3=2),$BN198=1),H198,IF(AND('Choix pédagogiques'!$C$3=3,$BO198=1),H198,""))</f>
        <v/>
      </c>
      <c r="AD198" s="22" t="str">
        <f>IF(AND(OR('Choix pédagogiques'!$C$3=1,'Choix pédagogiques'!$C$3=2),$BN198=1),I198,IF(AND('Choix pédagogiques'!$C$3=3,$BO198=1),I198,""))</f>
        <v/>
      </c>
      <c r="AE198" s="22" t="str">
        <f t="shared" si="172"/>
        <v/>
      </c>
      <c r="AF198" s="21" t="str">
        <f t="shared" si="173"/>
        <v>Apprenant 186</v>
      </c>
      <c r="AG198" s="22" t="str">
        <f t="shared" si="147"/>
        <v/>
      </c>
      <c r="AH198" s="22" t="str">
        <f t="shared" si="148"/>
        <v/>
      </c>
      <c r="AI198" s="22" t="str">
        <f t="shared" si="149"/>
        <v/>
      </c>
      <c r="AJ198" s="22" t="str">
        <f t="shared" si="174"/>
        <v/>
      </c>
      <c r="AK198" s="21" t="str">
        <f t="shared" si="175"/>
        <v>Apprenant 186 ou 186'</v>
      </c>
      <c r="AL198" s="22" t="str">
        <f t="shared" si="150"/>
        <v/>
      </c>
      <c r="AM198" s="22" t="str">
        <f t="shared" si="151"/>
        <v/>
      </c>
      <c r="AN198" s="22" t="str">
        <f t="shared" si="152"/>
        <v/>
      </c>
      <c r="AO198" s="22" t="str">
        <f t="shared" si="176"/>
        <v/>
      </c>
      <c r="AQ198" s="21" t="str">
        <f t="shared" si="177"/>
        <v>Apprenant 186</v>
      </c>
      <c r="AR198" s="49" t="str">
        <f>IF(AND('Choix pédagogiques'!$C$4&lt;&gt;"?",'Choix pédagogiques'!$C$5&lt;&gt;"?",W198&lt;&gt;""),(W198-'Choix pédagogiques'!$C$4)/('Choix pédagogiques'!$C$5-'Choix pédagogiques'!$C$4),"")</f>
        <v/>
      </c>
      <c r="AS198" s="49" t="str">
        <f>IF(AND('Choix pédagogiques'!$C$4&lt;&gt;"?",'Choix pédagogiques'!$C$5&lt;&gt;"?",X198&lt;&gt;""),(X198-'Choix pédagogiques'!$C$4)/('Choix pédagogiques'!$C$5-'Choix pédagogiques'!$C$4),"")</f>
        <v/>
      </c>
      <c r="AT198" s="49" t="str">
        <f>IF(AND('Choix pédagogiques'!$C$4&lt;&gt;"?",'Choix pédagogiques'!$C$5&lt;&gt;"?",Y198&lt;&gt;""),(Y198-'Choix pédagogiques'!$C$4)/('Choix pédagogiques'!$C$5-'Choix pédagogiques'!$C$4),"")</f>
        <v/>
      </c>
      <c r="AU198" s="22" t="str">
        <f t="shared" si="178"/>
        <v/>
      </c>
      <c r="AV198" s="21" t="str">
        <f t="shared" si="179"/>
        <v>Apprenant 186 ou 186'</v>
      </c>
      <c r="AW198" s="49" t="str">
        <f>IF(AND('Choix pédagogiques'!$C$4&lt;&gt;"?",'Choix pédagogiques'!$C$5&lt;&gt;"?",AB198&lt;&gt;""),(AB198-'Choix pédagogiques'!$C$4)/('Choix pédagogiques'!$C$5-'Choix pédagogiques'!$C$4),"")</f>
        <v/>
      </c>
      <c r="AX198" s="49" t="str">
        <f>IF(AND('Choix pédagogiques'!$C$4&lt;&gt;"?",'Choix pédagogiques'!$C$5&lt;&gt;"?",AC198&lt;&gt;""),(AC198-'Choix pédagogiques'!$C$4)/('Choix pédagogiques'!$C$5-'Choix pédagogiques'!$C$4),"")</f>
        <v/>
      </c>
      <c r="AY198" s="49" t="str">
        <f>IF(AND('Choix pédagogiques'!$C$4&lt;&gt;"?",'Choix pédagogiques'!$C$5&lt;&gt;"?",AD198&lt;&gt;""),(AD198-'Choix pédagogiques'!$C$4)/('Choix pédagogiques'!$C$5-'Choix pédagogiques'!$C$4),"")</f>
        <v/>
      </c>
      <c r="AZ198" s="22" t="str">
        <f t="shared" si="180"/>
        <v/>
      </c>
      <c r="BA198" s="21" t="str">
        <f t="shared" si="181"/>
        <v>Apprenant 186</v>
      </c>
      <c r="BB198" s="49" t="str">
        <f t="shared" si="153"/>
        <v/>
      </c>
      <c r="BC198" s="49" t="str">
        <f t="shared" si="154"/>
        <v/>
      </c>
      <c r="BD198" s="49" t="str">
        <f t="shared" si="155"/>
        <v/>
      </c>
      <c r="BE198" s="22" t="str">
        <f t="shared" si="182"/>
        <v/>
      </c>
      <c r="BF198" s="21" t="str">
        <f t="shared" si="183"/>
        <v>Apprenant 186 ou 186'</v>
      </c>
      <c r="BG198" s="49" t="str">
        <f t="shared" si="156"/>
        <v/>
      </c>
      <c r="BH198" s="49" t="str">
        <f t="shared" si="157"/>
        <v/>
      </c>
      <c r="BI198" s="49" t="str">
        <f t="shared" si="158"/>
        <v/>
      </c>
      <c r="BJ198" s="22" t="str">
        <f t="shared" si="184"/>
        <v/>
      </c>
      <c r="BL198" s="21"/>
      <c r="BM198" s="21" t="str">
        <f>IF(OR(COUNT(B198:D1197)=0,AND('Choix pédagogiques'!$C$3&lt;&gt;1,'Choix pédagogiques'!$C$3&lt;&gt;2)),"",IF(AND(OR('Choix pédagogiques'!$C$3=1,'Choix pédagogiques'!$C$3=2),$B198&lt;&gt;"",$C198&lt;&gt;"",$D198&lt;&gt;""),1,0))</f>
        <v/>
      </c>
      <c r="BN198" s="21" t="str">
        <f>IF(OR(COUNT(G198:I1197)=0,AND('Choix pédagogiques'!$C$3&lt;&gt;1,'Choix pédagogiques'!$C$3&lt;&gt;2)),"",IF(AND(OR('Choix pédagogiques'!$C$3=1,'Choix pédagogiques'!$C$3=2),AND($G198&lt;&gt;"",$H198&lt;&gt;"",$I198&lt;&gt;"")),1,0))</f>
        <v/>
      </c>
      <c r="BO198" s="21" t="str">
        <f>IF(OR(COUNT(B198:D1197)=0,COUNT(G198:I1197)=0,'Choix pédagogiques'!C$3&lt;&gt;3),"",IF(AND('Choix pédagogiques'!$C$3=3,$B198&lt;&gt;"",$C198&lt;&gt;"",$D198&lt;&gt;"",$G198&lt;&gt;"",$H198&lt;&gt;"",$I198&lt;&gt;""),1,0))</f>
        <v/>
      </c>
      <c r="BR198" s="21">
        <v>132</v>
      </c>
      <c r="BS198" s="21">
        <v>1873</v>
      </c>
      <c r="BT198"/>
    </row>
    <row r="199" spans="1:72" s="23" customFormat="1" ht="18" customHeight="1" x14ac:dyDescent="0.3">
      <c r="A199" s="35" t="s">
        <v>189</v>
      </c>
      <c r="B199" s="37"/>
      <c r="C199" s="37"/>
      <c r="D199" s="37"/>
      <c r="E199" s="37"/>
      <c r="F199" s="35" t="s">
        <v>1197</v>
      </c>
      <c r="G199" s="37"/>
      <c r="H199" s="37"/>
      <c r="I199" s="37"/>
      <c r="J199" s="37"/>
      <c r="K199" s="21" t="str">
        <f t="shared" si="159"/>
        <v>Apprenant 187</v>
      </c>
      <c r="L199" s="22" t="str">
        <f t="shared" si="160"/>
        <v/>
      </c>
      <c r="M199" s="22" t="str">
        <f t="shared" si="161"/>
        <v/>
      </c>
      <c r="N199" s="22" t="str">
        <f t="shared" si="162"/>
        <v/>
      </c>
      <c r="O199" s="22" t="str">
        <f t="shared" si="163"/>
        <v/>
      </c>
      <c r="P199" s="21" t="str">
        <f t="shared" si="164"/>
        <v>Apprenant 187 ou 187'</v>
      </c>
      <c r="Q199" s="22" t="str">
        <f t="shared" si="165"/>
        <v/>
      </c>
      <c r="R199" s="22" t="str">
        <f t="shared" si="166"/>
        <v/>
      </c>
      <c r="S199" s="22" t="str">
        <f t="shared" si="167"/>
        <v/>
      </c>
      <c r="T199" s="22" t="str">
        <f t="shared" si="168"/>
        <v/>
      </c>
      <c r="V199" s="21" t="str">
        <f t="shared" si="169"/>
        <v>Apprenant 187</v>
      </c>
      <c r="W199" s="22" t="str">
        <f>IF(AND(OR('Choix pédagogiques'!$C$3=1,'Choix pédagogiques'!$C$3=2),$BM199=1),B199,IF(AND('Choix pédagogiques'!$C$3=3,$BO199=1),B199,""))</f>
        <v/>
      </c>
      <c r="X199" s="22" t="str">
        <f>IF(AND(OR('Choix pédagogiques'!$C$3=1,'Choix pédagogiques'!$C$3=2),$BM199=1),C199,IF(AND('Choix pédagogiques'!$C$3=3,$BO199=1),C199,""))</f>
        <v/>
      </c>
      <c r="Y199" s="22" t="str">
        <f>IF(AND(OR('Choix pédagogiques'!$C$3=1,'Choix pédagogiques'!$C$3=2),$BM199=1),D199,IF(AND('Choix pédagogiques'!$C$3=3,$BO199=1),D199,""))</f>
        <v/>
      </c>
      <c r="Z199" s="22" t="str">
        <f t="shared" si="170"/>
        <v/>
      </c>
      <c r="AA199" s="21" t="str">
        <f t="shared" si="171"/>
        <v>Apprenant 187 ou 187'</v>
      </c>
      <c r="AB199" s="22" t="str">
        <f>IF(AND(OR('Choix pédagogiques'!$C$3=1,'Choix pédagogiques'!$C$3=2),$BN199=1),G199,IF(AND('Choix pédagogiques'!$C$3=3,$BO199=1),G199,""))</f>
        <v/>
      </c>
      <c r="AC199" s="22" t="str">
        <f>IF(AND(OR('Choix pédagogiques'!$C$3=1,'Choix pédagogiques'!$C$3=2),$BN199=1),H199,IF(AND('Choix pédagogiques'!$C$3=3,$BO199=1),H199,""))</f>
        <v/>
      </c>
      <c r="AD199" s="22" t="str">
        <f>IF(AND(OR('Choix pédagogiques'!$C$3=1,'Choix pédagogiques'!$C$3=2),$BN199=1),I199,IF(AND('Choix pédagogiques'!$C$3=3,$BO199=1),I199,""))</f>
        <v/>
      </c>
      <c r="AE199" s="22" t="str">
        <f t="shared" si="172"/>
        <v/>
      </c>
      <c r="AF199" s="21" t="str">
        <f t="shared" si="173"/>
        <v>Apprenant 187</v>
      </c>
      <c r="AG199" s="22" t="str">
        <f t="shared" si="147"/>
        <v/>
      </c>
      <c r="AH199" s="22" t="str">
        <f t="shared" si="148"/>
        <v/>
      </c>
      <c r="AI199" s="22" t="str">
        <f t="shared" si="149"/>
        <v/>
      </c>
      <c r="AJ199" s="22" t="str">
        <f t="shared" si="174"/>
        <v/>
      </c>
      <c r="AK199" s="21" t="str">
        <f t="shared" si="175"/>
        <v>Apprenant 187 ou 187'</v>
      </c>
      <c r="AL199" s="22" t="str">
        <f t="shared" si="150"/>
        <v/>
      </c>
      <c r="AM199" s="22" t="str">
        <f t="shared" si="151"/>
        <v/>
      </c>
      <c r="AN199" s="22" t="str">
        <f t="shared" si="152"/>
        <v/>
      </c>
      <c r="AO199" s="22" t="str">
        <f t="shared" si="176"/>
        <v/>
      </c>
      <c r="AQ199" s="21" t="str">
        <f t="shared" si="177"/>
        <v>Apprenant 187</v>
      </c>
      <c r="AR199" s="49" t="str">
        <f>IF(AND('Choix pédagogiques'!$C$4&lt;&gt;"?",'Choix pédagogiques'!$C$5&lt;&gt;"?",W199&lt;&gt;""),(W199-'Choix pédagogiques'!$C$4)/('Choix pédagogiques'!$C$5-'Choix pédagogiques'!$C$4),"")</f>
        <v/>
      </c>
      <c r="AS199" s="49" t="str">
        <f>IF(AND('Choix pédagogiques'!$C$4&lt;&gt;"?",'Choix pédagogiques'!$C$5&lt;&gt;"?",X199&lt;&gt;""),(X199-'Choix pédagogiques'!$C$4)/('Choix pédagogiques'!$C$5-'Choix pédagogiques'!$C$4),"")</f>
        <v/>
      </c>
      <c r="AT199" s="49" t="str">
        <f>IF(AND('Choix pédagogiques'!$C$4&lt;&gt;"?",'Choix pédagogiques'!$C$5&lt;&gt;"?",Y199&lt;&gt;""),(Y199-'Choix pédagogiques'!$C$4)/('Choix pédagogiques'!$C$5-'Choix pédagogiques'!$C$4),"")</f>
        <v/>
      </c>
      <c r="AU199" s="22" t="str">
        <f t="shared" si="178"/>
        <v/>
      </c>
      <c r="AV199" s="21" t="str">
        <f t="shared" si="179"/>
        <v>Apprenant 187 ou 187'</v>
      </c>
      <c r="AW199" s="49" t="str">
        <f>IF(AND('Choix pédagogiques'!$C$4&lt;&gt;"?",'Choix pédagogiques'!$C$5&lt;&gt;"?",AB199&lt;&gt;""),(AB199-'Choix pédagogiques'!$C$4)/('Choix pédagogiques'!$C$5-'Choix pédagogiques'!$C$4),"")</f>
        <v/>
      </c>
      <c r="AX199" s="49" t="str">
        <f>IF(AND('Choix pédagogiques'!$C$4&lt;&gt;"?",'Choix pédagogiques'!$C$5&lt;&gt;"?",AC199&lt;&gt;""),(AC199-'Choix pédagogiques'!$C$4)/('Choix pédagogiques'!$C$5-'Choix pédagogiques'!$C$4),"")</f>
        <v/>
      </c>
      <c r="AY199" s="49" t="str">
        <f>IF(AND('Choix pédagogiques'!$C$4&lt;&gt;"?",'Choix pédagogiques'!$C$5&lt;&gt;"?",AD199&lt;&gt;""),(AD199-'Choix pédagogiques'!$C$4)/('Choix pédagogiques'!$C$5-'Choix pédagogiques'!$C$4),"")</f>
        <v/>
      </c>
      <c r="AZ199" s="22" t="str">
        <f t="shared" si="180"/>
        <v/>
      </c>
      <c r="BA199" s="21" t="str">
        <f t="shared" si="181"/>
        <v>Apprenant 187</v>
      </c>
      <c r="BB199" s="49" t="str">
        <f t="shared" si="153"/>
        <v/>
      </c>
      <c r="BC199" s="49" t="str">
        <f t="shared" si="154"/>
        <v/>
      </c>
      <c r="BD199" s="49" t="str">
        <f t="shared" si="155"/>
        <v/>
      </c>
      <c r="BE199" s="22" t="str">
        <f t="shared" si="182"/>
        <v/>
      </c>
      <c r="BF199" s="21" t="str">
        <f t="shared" si="183"/>
        <v>Apprenant 187 ou 187'</v>
      </c>
      <c r="BG199" s="49" t="str">
        <f t="shared" si="156"/>
        <v/>
      </c>
      <c r="BH199" s="49" t="str">
        <f t="shared" si="157"/>
        <v/>
      </c>
      <c r="BI199" s="49" t="str">
        <f t="shared" si="158"/>
        <v/>
      </c>
      <c r="BJ199" s="22" t="str">
        <f t="shared" si="184"/>
        <v/>
      </c>
      <c r="BL199" s="21"/>
      <c r="BM199" s="21" t="str">
        <f>IF(OR(COUNT(B199:D1198)=0,AND('Choix pédagogiques'!$C$3&lt;&gt;1,'Choix pédagogiques'!$C$3&lt;&gt;2)),"",IF(AND(OR('Choix pédagogiques'!$C$3=1,'Choix pédagogiques'!$C$3=2),$B199&lt;&gt;"",$C199&lt;&gt;"",$D199&lt;&gt;""),1,0))</f>
        <v/>
      </c>
      <c r="BN199" s="21" t="str">
        <f>IF(OR(COUNT(G199:I1198)=0,AND('Choix pédagogiques'!$C$3&lt;&gt;1,'Choix pédagogiques'!$C$3&lt;&gt;2)),"",IF(AND(OR('Choix pédagogiques'!$C$3=1,'Choix pédagogiques'!$C$3=2),AND($G199&lt;&gt;"",$H199&lt;&gt;"",$I199&lt;&gt;"")),1,0))</f>
        <v/>
      </c>
      <c r="BO199" s="21" t="str">
        <f>IF(OR(COUNT(B199:D1198)=0,COUNT(G199:I1198)=0,'Choix pédagogiques'!C$3&lt;&gt;3),"",IF(AND('Choix pédagogiques'!$C$3=3,$B199&lt;&gt;"",$C199&lt;&gt;"",$D199&lt;&gt;"",$G199&lt;&gt;"",$H199&lt;&gt;"",$I199&lt;&gt;""),1,0))</f>
        <v/>
      </c>
      <c r="BR199" s="21">
        <v>147</v>
      </c>
      <c r="BS199" s="21">
        <v>1167</v>
      </c>
      <c r="BT199"/>
    </row>
    <row r="200" spans="1:72" s="23" customFormat="1" ht="18" customHeight="1" x14ac:dyDescent="0.3">
      <c r="A200" s="35" t="s">
        <v>190</v>
      </c>
      <c r="B200" s="37"/>
      <c r="C200" s="37"/>
      <c r="D200" s="37"/>
      <c r="E200" s="37"/>
      <c r="F200" s="35" t="s">
        <v>1198</v>
      </c>
      <c r="G200" s="37"/>
      <c r="H200" s="37"/>
      <c r="I200" s="37"/>
      <c r="J200" s="37"/>
      <c r="K200" s="21" t="str">
        <f t="shared" si="159"/>
        <v>Apprenant 188</v>
      </c>
      <c r="L200" s="22" t="str">
        <f t="shared" si="160"/>
        <v/>
      </c>
      <c r="M200" s="22" t="str">
        <f t="shared" si="161"/>
        <v/>
      </c>
      <c r="N200" s="22" t="str">
        <f t="shared" si="162"/>
        <v/>
      </c>
      <c r="O200" s="22" t="str">
        <f t="shared" si="163"/>
        <v/>
      </c>
      <c r="P200" s="21" t="str">
        <f t="shared" si="164"/>
        <v>Apprenant 188 ou 188'</v>
      </c>
      <c r="Q200" s="22" t="str">
        <f t="shared" si="165"/>
        <v/>
      </c>
      <c r="R200" s="22" t="str">
        <f t="shared" si="166"/>
        <v/>
      </c>
      <c r="S200" s="22" t="str">
        <f t="shared" si="167"/>
        <v/>
      </c>
      <c r="T200" s="22" t="str">
        <f t="shared" si="168"/>
        <v/>
      </c>
      <c r="V200" s="21" t="str">
        <f t="shared" si="169"/>
        <v>Apprenant 188</v>
      </c>
      <c r="W200" s="22" t="str">
        <f>IF(AND(OR('Choix pédagogiques'!$C$3=1,'Choix pédagogiques'!$C$3=2),$BM200=1),B200,IF(AND('Choix pédagogiques'!$C$3=3,$BO200=1),B200,""))</f>
        <v/>
      </c>
      <c r="X200" s="22" t="str">
        <f>IF(AND(OR('Choix pédagogiques'!$C$3=1,'Choix pédagogiques'!$C$3=2),$BM200=1),C200,IF(AND('Choix pédagogiques'!$C$3=3,$BO200=1),C200,""))</f>
        <v/>
      </c>
      <c r="Y200" s="22" t="str">
        <f>IF(AND(OR('Choix pédagogiques'!$C$3=1,'Choix pédagogiques'!$C$3=2),$BM200=1),D200,IF(AND('Choix pédagogiques'!$C$3=3,$BO200=1),D200,""))</f>
        <v/>
      </c>
      <c r="Z200" s="22" t="str">
        <f t="shared" si="170"/>
        <v/>
      </c>
      <c r="AA200" s="21" t="str">
        <f t="shared" si="171"/>
        <v>Apprenant 188 ou 188'</v>
      </c>
      <c r="AB200" s="22" t="str">
        <f>IF(AND(OR('Choix pédagogiques'!$C$3=1,'Choix pédagogiques'!$C$3=2),$BN200=1),G200,IF(AND('Choix pédagogiques'!$C$3=3,$BO200=1),G200,""))</f>
        <v/>
      </c>
      <c r="AC200" s="22" t="str">
        <f>IF(AND(OR('Choix pédagogiques'!$C$3=1,'Choix pédagogiques'!$C$3=2),$BN200=1),H200,IF(AND('Choix pédagogiques'!$C$3=3,$BO200=1),H200,""))</f>
        <v/>
      </c>
      <c r="AD200" s="22" t="str">
        <f>IF(AND(OR('Choix pédagogiques'!$C$3=1,'Choix pédagogiques'!$C$3=2),$BN200=1),I200,IF(AND('Choix pédagogiques'!$C$3=3,$BO200=1),I200,""))</f>
        <v/>
      </c>
      <c r="AE200" s="22" t="str">
        <f t="shared" si="172"/>
        <v/>
      </c>
      <c r="AF200" s="21" t="str">
        <f t="shared" si="173"/>
        <v>Apprenant 188</v>
      </c>
      <c r="AG200" s="22" t="str">
        <f t="shared" si="147"/>
        <v/>
      </c>
      <c r="AH200" s="22" t="str">
        <f t="shared" si="148"/>
        <v/>
      </c>
      <c r="AI200" s="22" t="str">
        <f t="shared" si="149"/>
        <v/>
      </c>
      <c r="AJ200" s="22" t="str">
        <f t="shared" si="174"/>
        <v/>
      </c>
      <c r="AK200" s="21" t="str">
        <f t="shared" si="175"/>
        <v>Apprenant 188 ou 188'</v>
      </c>
      <c r="AL200" s="22" t="str">
        <f t="shared" si="150"/>
        <v/>
      </c>
      <c r="AM200" s="22" t="str">
        <f t="shared" si="151"/>
        <v/>
      </c>
      <c r="AN200" s="22" t="str">
        <f t="shared" si="152"/>
        <v/>
      </c>
      <c r="AO200" s="22" t="str">
        <f t="shared" si="176"/>
        <v/>
      </c>
      <c r="AQ200" s="21" t="str">
        <f t="shared" si="177"/>
        <v>Apprenant 188</v>
      </c>
      <c r="AR200" s="49" t="str">
        <f>IF(AND('Choix pédagogiques'!$C$4&lt;&gt;"?",'Choix pédagogiques'!$C$5&lt;&gt;"?",W200&lt;&gt;""),(W200-'Choix pédagogiques'!$C$4)/('Choix pédagogiques'!$C$5-'Choix pédagogiques'!$C$4),"")</f>
        <v/>
      </c>
      <c r="AS200" s="49" t="str">
        <f>IF(AND('Choix pédagogiques'!$C$4&lt;&gt;"?",'Choix pédagogiques'!$C$5&lt;&gt;"?",X200&lt;&gt;""),(X200-'Choix pédagogiques'!$C$4)/('Choix pédagogiques'!$C$5-'Choix pédagogiques'!$C$4),"")</f>
        <v/>
      </c>
      <c r="AT200" s="49" t="str">
        <f>IF(AND('Choix pédagogiques'!$C$4&lt;&gt;"?",'Choix pédagogiques'!$C$5&lt;&gt;"?",Y200&lt;&gt;""),(Y200-'Choix pédagogiques'!$C$4)/('Choix pédagogiques'!$C$5-'Choix pédagogiques'!$C$4),"")</f>
        <v/>
      </c>
      <c r="AU200" s="22" t="str">
        <f t="shared" si="178"/>
        <v/>
      </c>
      <c r="AV200" s="21" t="str">
        <f t="shared" si="179"/>
        <v>Apprenant 188 ou 188'</v>
      </c>
      <c r="AW200" s="49" t="str">
        <f>IF(AND('Choix pédagogiques'!$C$4&lt;&gt;"?",'Choix pédagogiques'!$C$5&lt;&gt;"?",AB200&lt;&gt;""),(AB200-'Choix pédagogiques'!$C$4)/('Choix pédagogiques'!$C$5-'Choix pédagogiques'!$C$4),"")</f>
        <v/>
      </c>
      <c r="AX200" s="49" t="str">
        <f>IF(AND('Choix pédagogiques'!$C$4&lt;&gt;"?",'Choix pédagogiques'!$C$5&lt;&gt;"?",AC200&lt;&gt;""),(AC200-'Choix pédagogiques'!$C$4)/('Choix pédagogiques'!$C$5-'Choix pédagogiques'!$C$4),"")</f>
        <v/>
      </c>
      <c r="AY200" s="49" t="str">
        <f>IF(AND('Choix pédagogiques'!$C$4&lt;&gt;"?",'Choix pédagogiques'!$C$5&lt;&gt;"?",AD200&lt;&gt;""),(AD200-'Choix pédagogiques'!$C$4)/('Choix pédagogiques'!$C$5-'Choix pédagogiques'!$C$4),"")</f>
        <v/>
      </c>
      <c r="AZ200" s="22" t="str">
        <f t="shared" si="180"/>
        <v/>
      </c>
      <c r="BA200" s="21" t="str">
        <f t="shared" si="181"/>
        <v>Apprenant 188</v>
      </c>
      <c r="BB200" s="49" t="str">
        <f t="shared" si="153"/>
        <v/>
      </c>
      <c r="BC200" s="49" t="str">
        <f t="shared" si="154"/>
        <v/>
      </c>
      <c r="BD200" s="49" t="str">
        <f t="shared" si="155"/>
        <v/>
      </c>
      <c r="BE200" s="22" t="str">
        <f t="shared" si="182"/>
        <v/>
      </c>
      <c r="BF200" s="21" t="str">
        <f t="shared" si="183"/>
        <v>Apprenant 188 ou 188'</v>
      </c>
      <c r="BG200" s="49" t="str">
        <f t="shared" si="156"/>
        <v/>
      </c>
      <c r="BH200" s="49" t="str">
        <f t="shared" si="157"/>
        <v/>
      </c>
      <c r="BI200" s="49" t="str">
        <f t="shared" si="158"/>
        <v/>
      </c>
      <c r="BJ200" s="22" t="str">
        <f t="shared" si="184"/>
        <v/>
      </c>
      <c r="BL200" s="21"/>
      <c r="BM200" s="21" t="str">
        <f>IF(OR(COUNT(B200:D1199)=0,AND('Choix pédagogiques'!$C$3&lt;&gt;1,'Choix pédagogiques'!$C$3&lt;&gt;2)),"",IF(AND(OR('Choix pédagogiques'!$C$3=1,'Choix pédagogiques'!$C$3=2),$B200&lt;&gt;"",$C200&lt;&gt;"",$D200&lt;&gt;""),1,0))</f>
        <v/>
      </c>
      <c r="BN200" s="21" t="str">
        <f>IF(OR(COUNT(G200:I1199)=0,AND('Choix pédagogiques'!$C$3&lt;&gt;1,'Choix pédagogiques'!$C$3&lt;&gt;2)),"",IF(AND(OR('Choix pédagogiques'!$C$3=1,'Choix pédagogiques'!$C$3=2),AND($G200&lt;&gt;"",$H200&lt;&gt;"",$I200&lt;&gt;"")),1,0))</f>
        <v/>
      </c>
      <c r="BO200" s="21" t="str">
        <f>IF(OR(COUNT(B200:D1199)=0,COUNT(G200:I1199)=0,'Choix pédagogiques'!C$3&lt;&gt;3),"",IF(AND('Choix pédagogiques'!$C$3=3,$B200&lt;&gt;"",$C200&lt;&gt;"",$D200&lt;&gt;"",$G200&lt;&gt;"",$H200&lt;&gt;"",$I200&lt;&gt;""),1,0))</f>
        <v/>
      </c>
      <c r="BR200" s="21">
        <v>581</v>
      </c>
      <c r="BS200" s="21">
        <v>1583</v>
      </c>
      <c r="BT200"/>
    </row>
    <row r="201" spans="1:72" s="23" customFormat="1" ht="18" customHeight="1" x14ac:dyDescent="0.3">
      <c r="A201" s="35" t="s">
        <v>191</v>
      </c>
      <c r="B201" s="37"/>
      <c r="C201" s="37"/>
      <c r="D201" s="37"/>
      <c r="E201" s="37"/>
      <c r="F201" s="35" t="s">
        <v>1199</v>
      </c>
      <c r="G201" s="37"/>
      <c r="H201" s="37"/>
      <c r="I201" s="37"/>
      <c r="J201" s="37"/>
      <c r="K201" s="21" t="str">
        <f t="shared" si="159"/>
        <v>Apprenant 189</v>
      </c>
      <c r="L201" s="22" t="str">
        <f t="shared" si="160"/>
        <v/>
      </c>
      <c r="M201" s="22" t="str">
        <f t="shared" si="161"/>
        <v/>
      </c>
      <c r="N201" s="22" t="str">
        <f t="shared" si="162"/>
        <v/>
      </c>
      <c r="O201" s="22" t="str">
        <f t="shared" si="163"/>
        <v/>
      </c>
      <c r="P201" s="21" t="str">
        <f t="shared" si="164"/>
        <v>Apprenant 189 ou 189'</v>
      </c>
      <c r="Q201" s="22" t="str">
        <f t="shared" si="165"/>
        <v/>
      </c>
      <c r="R201" s="22" t="str">
        <f t="shared" si="166"/>
        <v/>
      </c>
      <c r="S201" s="22" t="str">
        <f t="shared" si="167"/>
        <v/>
      </c>
      <c r="T201" s="22" t="str">
        <f t="shared" si="168"/>
        <v/>
      </c>
      <c r="V201" s="21" t="str">
        <f t="shared" si="169"/>
        <v>Apprenant 189</v>
      </c>
      <c r="W201" s="22" t="str">
        <f>IF(AND(OR('Choix pédagogiques'!$C$3=1,'Choix pédagogiques'!$C$3=2),$BM201=1),B201,IF(AND('Choix pédagogiques'!$C$3=3,$BO201=1),B201,""))</f>
        <v/>
      </c>
      <c r="X201" s="22" t="str">
        <f>IF(AND(OR('Choix pédagogiques'!$C$3=1,'Choix pédagogiques'!$C$3=2),$BM201=1),C201,IF(AND('Choix pédagogiques'!$C$3=3,$BO201=1),C201,""))</f>
        <v/>
      </c>
      <c r="Y201" s="22" t="str">
        <f>IF(AND(OR('Choix pédagogiques'!$C$3=1,'Choix pédagogiques'!$C$3=2),$BM201=1),D201,IF(AND('Choix pédagogiques'!$C$3=3,$BO201=1),D201,""))</f>
        <v/>
      </c>
      <c r="Z201" s="22" t="str">
        <f t="shared" si="170"/>
        <v/>
      </c>
      <c r="AA201" s="21" t="str">
        <f t="shared" si="171"/>
        <v>Apprenant 189 ou 189'</v>
      </c>
      <c r="AB201" s="22" t="str">
        <f>IF(AND(OR('Choix pédagogiques'!$C$3=1,'Choix pédagogiques'!$C$3=2),$BN201=1),G201,IF(AND('Choix pédagogiques'!$C$3=3,$BO201=1),G201,""))</f>
        <v/>
      </c>
      <c r="AC201" s="22" t="str">
        <f>IF(AND(OR('Choix pédagogiques'!$C$3=1,'Choix pédagogiques'!$C$3=2),$BN201=1),H201,IF(AND('Choix pédagogiques'!$C$3=3,$BO201=1),H201,""))</f>
        <v/>
      </c>
      <c r="AD201" s="22" t="str">
        <f>IF(AND(OR('Choix pédagogiques'!$C$3=1,'Choix pédagogiques'!$C$3=2),$BN201=1),I201,IF(AND('Choix pédagogiques'!$C$3=3,$BO201=1),I201,""))</f>
        <v/>
      </c>
      <c r="AE201" s="22" t="str">
        <f t="shared" si="172"/>
        <v/>
      </c>
      <c r="AF201" s="21" t="str">
        <f t="shared" si="173"/>
        <v>Apprenant 189</v>
      </c>
      <c r="AG201" s="22" t="str">
        <f t="shared" si="147"/>
        <v/>
      </c>
      <c r="AH201" s="22" t="str">
        <f t="shared" si="148"/>
        <v/>
      </c>
      <c r="AI201" s="22" t="str">
        <f t="shared" si="149"/>
        <v/>
      </c>
      <c r="AJ201" s="22" t="str">
        <f t="shared" si="174"/>
        <v/>
      </c>
      <c r="AK201" s="21" t="str">
        <f t="shared" si="175"/>
        <v>Apprenant 189 ou 189'</v>
      </c>
      <c r="AL201" s="22" t="str">
        <f t="shared" si="150"/>
        <v/>
      </c>
      <c r="AM201" s="22" t="str">
        <f t="shared" si="151"/>
        <v/>
      </c>
      <c r="AN201" s="22" t="str">
        <f t="shared" si="152"/>
        <v/>
      </c>
      <c r="AO201" s="22" t="str">
        <f t="shared" si="176"/>
        <v/>
      </c>
      <c r="AQ201" s="21" t="str">
        <f t="shared" si="177"/>
        <v>Apprenant 189</v>
      </c>
      <c r="AR201" s="49" t="str">
        <f>IF(AND('Choix pédagogiques'!$C$4&lt;&gt;"?",'Choix pédagogiques'!$C$5&lt;&gt;"?",W201&lt;&gt;""),(W201-'Choix pédagogiques'!$C$4)/('Choix pédagogiques'!$C$5-'Choix pédagogiques'!$C$4),"")</f>
        <v/>
      </c>
      <c r="AS201" s="49" t="str">
        <f>IF(AND('Choix pédagogiques'!$C$4&lt;&gt;"?",'Choix pédagogiques'!$C$5&lt;&gt;"?",X201&lt;&gt;""),(X201-'Choix pédagogiques'!$C$4)/('Choix pédagogiques'!$C$5-'Choix pédagogiques'!$C$4),"")</f>
        <v/>
      </c>
      <c r="AT201" s="49" t="str">
        <f>IF(AND('Choix pédagogiques'!$C$4&lt;&gt;"?",'Choix pédagogiques'!$C$5&lt;&gt;"?",Y201&lt;&gt;""),(Y201-'Choix pédagogiques'!$C$4)/('Choix pédagogiques'!$C$5-'Choix pédagogiques'!$C$4),"")</f>
        <v/>
      </c>
      <c r="AU201" s="22" t="str">
        <f t="shared" si="178"/>
        <v/>
      </c>
      <c r="AV201" s="21" t="str">
        <f t="shared" si="179"/>
        <v>Apprenant 189 ou 189'</v>
      </c>
      <c r="AW201" s="49" t="str">
        <f>IF(AND('Choix pédagogiques'!$C$4&lt;&gt;"?",'Choix pédagogiques'!$C$5&lt;&gt;"?",AB201&lt;&gt;""),(AB201-'Choix pédagogiques'!$C$4)/('Choix pédagogiques'!$C$5-'Choix pédagogiques'!$C$4),"")</f>
        <v/>
      </c>
      <c r="AX201" s="49" t="str">
        <f>IF(AND('Choix pédagogiques'!$C$4&lt;&gt;"?",'Choix pédagogiques'!$C$5&lt;&gt;"?",AC201&lt;&gt;""),(AC201-'Choix pédagogiques'!$C$4)/('Choix pédagogiques'!$C$5-'Choix pédagogiques'!$C$4),"")</f>
        <v/>
      </c>
      <c r="AY201" s="49" t="str">
        <f>IF(AND('Choix pédagogiques'!$C$4&lt;&gt;"?",'Choix pédagogiques'!$C$5&lt;&gt;"?",AD201&lt;&gt;""),(AD201-'Choix pédagogiques'!$C$4)/('Choix pédagogiques'!$C$5-'Choix pédagogiques'!$C$4),"")</f>
        <v/>
      </c>
      <c r="AZ201" s="22" t="str">
        <f t="shared" si="180"/>
        <v/>
      </c>
      <c r="BA201" s="21" t="str">
        <f t="shared" si="181"/>
        <v>Apprenant 189</v>
      </c>
      <c r="BB201" s="49" t="str">
        <f t="shared" si="153"/>
        <v/>
      </c>
      <c r="BC201" s="49" t="str">
        <f t="shared" si="154"/>
        <v/>
      </c>
      <c r="BD201" s="49" t="str">
        <f t="shared" si="155"/>
        <v/>
      </c>
      <c r="BE201" s="22" t="str">
        <f t="shared" si="182"/>
        <v/>
      </c>
      <c r="BF201" s="21" t="str">
        <f t="shared" si="183"/>
        <v>Apprenant 189 ou 189'</v>
      </c>
      <c r="BG201" s="49" t="str">
        <f t="shared" si="156"/>
        <v/>
      </c>
      <c r="BH201" s="49" t="str">
        <f t="shared" si="157"/>
        <v/>
      </c>
      <c r="BI201" s="49" t="str">
        <f t="shared" si="158"/>
        <v/>
      </c>
      <c r="BJ201" s="22" t="str">
        <f t="shared" si="184"/>
        <v/>
      </c>
      <c r="BL201" s="21"/>
      <c r="BM201" s="21" t="str">
        <f>IF(OR(COUNT(B201:D1200)=0,AND('Choix pédagogiques'!$C$3&lt;&gt;1,'Choix pédagogiques'!$C$3&lt;&gt;2)),"",IF(AND(OR('Choix pédagogiques'!$C$3=1,'Choix pédagogiques'!$C$3=2),$B201&lt;&gt;"",$C201&lt;&gt;"",$D201&lt;&gt;""),1,0))</f>
        <v/>
      </c>
      <c r="BN201" s="21" t="str">
        <f>IF(OR(COUNT(G201:I1200)=0,AND('Choix pédagogiques'!$C$3&lt;&gt;1,'Choix pédagogiques'!$C$3&lt;&gt;2)),"",IF(AND(OR('Choix pédagogiques'!$C$3=1,'Choix pédagogiques'!$C$3=2),AND($G201&lt;&gt;"",$H201&lt;&gt;"",$I201&lt;&gt;"")),1,0))</f>
        <v/>
      </c>
      <c r="BO201" s="21" t="str">
        <f>IF(OR(COUNT(B201:D1200)=0,COUNT(G201:I1200)=0,'Choix pédagogiques'!C$3&lt;&gt;3),"",IF(AND('Choix pédagogiques'!$C$3=3,$B201&lt;&gt;"",$C201&lt;&gt;"",$D201&lt;&gt;"",$G201&lt;&gt;"",$H201&lt;&gt;"",$I201&lt;&gt;""),1,0))</f>
        <v/>
      </c>
      <c r="BR201" s="21">
        <v>724</v>
      </c>
      <c r="BS201" s="21">
        <v>1725</v>
      </c>
      <c r="BT201"/>
    </row>
    <row r="202" spans="1:72" s="23" customFormat="1" ht="18" customHeight="1" x14ac:dyDescent="0.3">
      <c r="A202" s="35" t="s">
        <v>192</v>
      </c>
      <c r="B202" s="37"/>
      <c r="C202" s="37"/>
      <c r="D202" s="37"/>
      <c r="E202" s="37"/>
      <c r="F202" s="35" t="s">
        <v>1200</v>
      </c>
      <c r="G202" s="37"/>
      <c r="H202" s="37"/>
      <c r="I202" s="37"/>
      <c r="J202" s="37"/>
      <c r="K202" s="21" t="str">
        <f t="shared" si="159"/>
        <v>Apprenant 190</v>
      </c>
      <c r="L202" s="22" t="str">
        <f t="shared" si="160"/>
        <v/>
      </c>
      <c r="M202" s="22" t="str">
        <f t="shared" si="161"/>
        <v/>
      </c>
      <c r="N202" s="22" t="str">
        <f t="shared" si="162"/>
        <v/>
      </c>
      <c r="O202" s="22" t="str">
        <f t="shared" si="163"/>
        <v/>
      </c>
      <c r="P202" s="21" t="str">
        <f t="shared" si="164"/>
        <v>Apprenant 190 ou 190'</v>
      </c>
      <c r="Q202" s="22" t="str">
        <f t="shared" si="165"/>
        <v/>
      </c>
      <c r="R202" s="22" t="str">
        <f t="shared" si="166"/>
        <v/>
      </c>
      <c r="S202" s="22" t="str">
        <f t="shared" si="167"/>
        <v/>
      </c>
      <c r="T202" s="22" t="str">
        <f t="shared" si="168"/>
        <v/>
      </c>
      <c r="V202" s="21" t="str">
        <f t="shared" si="169"/>
        <v>Apprenant 190</v>
      </c>
      <c r="W202" s="22" t="str">
        <f>IF(AND(OR('Choix pédagogiques'!$C$3=1,'Choix pédagogiques'!$C$3=2),$BM202=1),B202,IF(AND('Choix pédagogiques'!$C$3=3,$BO202=1),B202,""))</f>
        <v/>
      </c>
      <c r="X202" s="22" t="str">
        <f>IF(AND(OR('Choix pédagogiques'!$C$3=1,'Choix pédagogiques'!$C$3=2),$BM202=1),C202,IF(AND('Choix pédagogiques'!$C$3=3,$BO202=1),C202,""))</f>
        <v/>
      </c>
      <c r="Y202" s="22" t="str">
        <f>IF(AND(OR('Choix pédagogiques'!$C$3=1,'Choix pédagogiques'!$C$3=2),$BM202=1),D202,IF(AND('Choix pédagogiques'!$C$3=3,$BO202=1),D202,""))</f>
        <v/>
      </c>
      <c r="Z202" s="22" t="str">
        <f t="shared" si="170"/>
        <v/>
      </c>
      <c r="AA202" s="21" t="str">
        <f t="shared" si="171"/>
        <v>Apprenant 190 ou 190'</v>
      </c>
      <c r="AB202" s="22" t="str">
        <f>IF(AND(OR('Choix pédagogiques'!$C$3=1,'Choix pédagogiques'!$C$3=2),$BN202=1),G202,IF(AND('Choix pédagogiques'!$C$3=3,$BO202=1),G202,""))</f>
        <v/>
      </c>
      <c r="AC202" s="22" t="str">
        <f>IF(AND(OR('Choix pédagogiques'!$C$3=1,'Choix pédagogiques'!$C$3=2),$BN202=1),H202,IF(AND('Choix pédagogiques'!$C$3=3,$BO202=1),H202,""))</f>
        <v/>
      </c>
      <c r="AD202" s="22" t="str">
        <f>IF(AND(OR('Choix pédagogiques'!$C$3=1,'Choix pédagogiques'!$C$3=2),$BN202=1),I202,IF(AND('Choix pédagogiques'!$C$3=3,$BO202=1),I202,""))</f>
        <v/>
      </c>
      <c r="AE202" s="22" t="str">
        <f t="shared" si="172"/>
        <v/>
      </c>
      <c r="AF202" s="21" t="str">
        <f t="shared" si="173"/>
        <v>Apprenant 190</v>
      </c>
      <c r="AG202" s="22" t="str">
        <f t="shared" si="147"/>
        <v/>
      </c>
      <c r="AH202" s="22" t="str">
        <f t="shared" si="148"/>
        <v/>
      </c>
      <c r="AI202" s="22" t="str">
        <f t="shared" si="149"/>
        <v/>
      </c>
      <c r="AJ202" s="22" t="str">
        <f t="shared" si="174"/>
        <v/>
      </c>
      <c r="AK202" s="21" t="str">
        <f t="shared" si="175"/>
        <v>Apprenant 190 ou 190'</v>
      </c>
      <c r="AL202" s="22" t="str">
        <f t="shared" si="150"/>
        <v/>
      </c>
      <c r="AM202" s="22" t="str">
        <f t="shared" si="151"/>
        <v/>
      </c>
      <c r="AN202" s="22" t="str">
        <f t="shared" si="152"/>
        <v/>
      </c>
      <c r="AO202" s="22" t="str">
        <f t="shared" si="176"/>
        <v/>
      </c>
      <c r="AQ202" s="21" t="str">
        <f t="shared" si="177"/>
        <v>Apprenant 190</v>
      </c>
      <c r="AR202" s="49" t="str">
        <f>IF(AND('Choix pédagogiques'!$C$4&lt;&gt;"?",'Choix pédagogiques'!$C$5&lt;&gt;"?",W202&lt;&gt;""),(W202-'Choix pédagogiques'!$C$4)/('Choix pédagogiques'!$C$5-'Choix pédagogiques'!$C$4),"")</f>
        <v/>
      </c>
      <c r="AS202" s="49" t="str">
        <f>IF(AND('Choix pédagogiques'!$C$4&lt;&gt;"?",'Choix pédagogiques'!$C$5&lt;&gt;"?",X202&lt;&gt;""),(X202-'Choix pédagogiques'!$C$4)/('Choix pédagogiques'!$C$5-'Choix pédagogiques'!$C$4),"")</f>
        <v/>
      </c>
      <c r="AT202" s="49" t="str">
        <f>IF(AND('Choix pédagogiques'!$C$4&lt;&gt;"?",'Choix pédagogiques'!$C$5&lt;&gt;"?",Y202&lt;&gt;""),(Y202-'Choix pédagogiques'!$C$4)/('Choix pédagogiques'!$C$5-'Choix pédagogiques'!$C$4),"")</f>
        <v/>
      </c>
      <c r="AU202" s="22" t="str">
        <f t="shared" si="178"/>
        <v/>
      </c>
      <c r="AV202" s="21" t="str">
        <f t="shared" si="179"/>
        <v>Apprenant 190 ou 190'</v>
      </c>
      <c r="AW202" s="49" t="str">
        <f>IF(AND('Choix pédagogiques'!$C$4&lt;&gt;"?",'Choix pédagogiques'!$C$5&lt;&gt;"?",AB202&lt;&gt;""),(AB202-'Choix pédagogiques'!$C$4)/('Choix pédagogiques'!$C$5-'Choix pédagogiques'!$C$4),"")</f>
        <v/>
      </c>
      <c r="AX202" s="49" t="str">
        <f>IF(AND('Choix pédagogiques'!$C$4&lt;&gt;"?",'Choix pédagogiques'!$C$5&lt;&gt;"?",AC202&lt;&gt;""),(AC202-'Choix pédagogiques'!$C$4)/('Choix pédagogiques'!$C$5-'Choix pédagogiques'!$C$4),"")</f>
        <v/>
      </c>
      <c r="AY202" s="49" t="str">
        <f>IF(AND('Choix pédagogiques'!$C$4&lt;&gt;"?",'Choix pédagogiques'!$C$5&lt;&gt;"?",AD202&lt;&gt;""),(AD202-'Choix pédagogiques'!$C$4)/('Choix pédagogiques'!$C$5-'Choix pédagogiques'!$C$4),"")</f>
        <v/>
      </c>
      <c r="AZ202" s="22" t="str">
        <f t="shared" si="180"/>
        <v/>
      </c>
      <c r="BA202" s="21" t="str">
        <f t="shared" si="181"/>
        <v>Apprenant 190</v>
      </c>
      <c r="BB202" s="49" t="str">
        <f t="shared" si="153"/>
        <v/>
      </c>
      <c r="BC202" s="49" t="str">
        <f t="shared" si="154"/>
        <v/>
      </c>
      <c r="BD202" s="49" t="str">
        <f t="shared" si="155"/>
        <v/>
      </c>
      <c r="BE202" s="22" t="str">
        <f t="shared" si="182"/>
        <v/>
      </c>
      <c r="BF202" s="21" t="str">
        <f t="shared" si="183"/>
        <v>Apprenant 190 ou 190'</v>
      </c>
      <c r="BG202" s="49" t="str">
        <f t="shared" si="156"/>
        <v/>
      </c>
      <c r="BH202" s="49" t="str">
        <f t="shared" si="157"/>
        <v/>
      </c>
      <c r="BI202" s="49" t="str">
        <f t="shared" si="158"/>
        <v/>
      </c>
      <c r="BJ202" s="22" t="str">
        <f t="shared" si="184"/>
        <v/>
      </c>
      <c r="BL202" s="21"/>
      <c r="BM202" s="21" t="str">
        <f>IF(OR(COUNT(B202:D1201)=0,AND('Choix pédagogiques'!$C$3&lt;&gt;1,'Choix pédagogiques'!$C$3&lt;&gt;2)),"",IF(AND(OR('Choix pédagogiques'!$C$3=1,'Choix pédagogiques'!$C$3=2),$B202&lt;&gt;"",$C202&lt;&gt;"",$D202&lt;&gt;""),1,0))</f>
        <v/>
      </c>
      <c r="BN202" s="21" t="str">
        <f>IF(OR(COUNT(G202:I1201)=0,AND('Choix pédagogiques'!$C$3&lt;&gt;1,'Choix pédagogiques'!$C$3&lt;&gt;2)),"",IF(AND(OR('Choix pédagogiques'!$C$3=1,'Choix pédagogiques'!$C$3=2),AND($G202&lt;&gt;"",$H202&lt;&gt;"",$I202&lt;&gt;"")),1,0))</f>
        <v/>
      </c>
      <c r="BO202" s="21" t="str">
        <f>IF(OR(COUNT(B202:D1201)=0,COUNT(G202:I1201)=0,'Choix pédagogiques'!C$3&lt;&gt;3),"",IF(AND('Choix pédagogiques'!$C$3=3,$B202&lt;&gt;"",$C202&lt;&gt;"",$D202&lt;&gt;"",$G202&lt;&gt;"",$H202&lt;&gt;"",$I202&lt;&gt;""),1,0))</f>
        <v/>
      </c>
      <c r="BR202" s="21">
        <v>29</v>
      </c>
      <c r="BS202" s="21">
        <v>1421</v>
      </c>
      <c r="BT202"/>
    </row>
    <row r="203" spans="1:72" s="23" customFormat="1" ht="18" customHeight="1" x14ac:dyDescent="0.3">
      <c r="A203" s="35" t="s">
        <v>193</v>
      </c>
      <c r="B203" s="37"/>
      <c r="C203" s="37"/>
      <c r="D203" s="37"/>
      <c r="E203" s="37"/>
      <c r="F203" s="35" t="s">
        <v>1201</v>
      </c>
      <c r="G203" s="37"/>
      <c r="H203" s="37"/>
      <c r="I203" s="37"/>
      <c r="J203" s="37"/>
      <c r="K203" s="21" t="str">
        <f t="shared" si="159"/>
        <v>Apprenant 191</v>
      </c>
      <c r="L203" s="22" t="str">
        <f t="shared" si="160"/>
        <v/>
      </c>
      <c r="M203" s="22" t="str">
        <f t="shared" si="161"/>
        <v/>
      </c>
      <c r="N203" s="22" t="str">
        <f t="shared" si="162"/>
        <v/>
      </c>
      <c r="O203" s="22" t="str">
        <f t="shared" si="163"/>
        <v/>
      </c>
      <c r="P203" s="21" t="str">
        <f t="shared" si="164"/>
        <v>Apprenant 191 ou 191'</v>
      </c>
      <c r="Q203" s="22" t="str">
        <f t="shared" si="165"/>
        <v/>
      </c>
      <c r="R203" s="22" t="str">
        <f t="shared" si="166"/>
        <v/>
      </c>
      <c r="S203" s="22" t="str">
        <f t="shared" si="167"/>
        <v/>
      </c>
      <c r="T203" s="22" t="str">
        <f t="shared" si="168"/>
        <v/>
      </c>
      <c r="V203" s="21" t="str">
        <f t="shared" si="169"/>
        <v>Apprenant 191</v>
      </c>
      <c r="W203" s="22" t="str">
        <f>IF(AND(OR('Choix pédagogiques'!$C$3=1,'Choix pédagogiques'!$C$3=2),$BM203=1),B203,IF(AND('Choix pédagogiques'!$C$3=3,$BO203=1),B203,""))</f>
        <v/>
      </c>
      <c r="X203" s="22" t="str">
        <f>IF(AND(OR('Choix pédagogiques'!$C$3=1,'Choix pédagogiques'!$C$3=2),$BM203=1),C203,IF(AND('Choix pédagogiques'!$C$3=3,$BO203=1),C203,""))</f>
        <v/>
      </c>
      <c r="Y203" s="22" t="str">
        <f>IF(AND(OR('Choix pédagogiques'!$C$3=1,'Choix pédagogiques'!$C$3=2),$BM203=1),D203,IF(AND('Choix pédagogiques'!$C$3=3,$BO203=1),D203,""))</f>
        <v/>
      </c>
      <c r="Z203" s="22" t="str">
        <f t="shared" si="170"/>
        <v/>
      </c>
      <c r="AA203" s="21" t="str">
        <f t="shared" si="171"/>
        <v>Apprenant 191 ou 191'</v>
      </c>
      <c r="AB203" s="22" t="str">
        <f>IF(AND(OR('Choix pédagogiques'!$C$3=1,'Choix pédagogiques'!$C$3=2),$BN203=1),G203,IF(AND('Choix pédagogiques'!$C$3=3,$BO203=1),G203,""))</f>
        <v/>
      </c>
      <c r="AC203" s="22" t="str">
        <f>IF(AND(OR('Choix pédagogiques'!$C$3=1,'Choix pédagogiques'!$C$3=2),$BN203=1),H203,IF(AND('Choix pédagogiques'!$C$3=3,$BO203=1),H203,""))</f>
        <v/>
      </c>
      <c r="AD203" s="22" t="str">
        <f>IF(AND(OR('Choix pédagogiques'!$C$3=1,'Choix pédagogiques'!$C$3=2),$BN203=1),I203,IF(AND('Choix pédagogiques'!$C$3=3,$BO203=1),I203,""))</f>
        <v/>
      </c>
      <c r="AE203" s="22" t="str">
        <f t="shared" si="172"/>
        <v/>
      </c>
      <c r="AF203" s="21" t="str">
        <f t="shared" si="173"/>
        <v>Apprenant 191</v>
      </c>
      <c r="AG203" s="22" t="str">
        <f t="shared" si="147"/>
        <v/>
      </c>
      <c r="AH203" s="22" t="str">
        <f t="shared" si="148"/>
        <v/>
      </c>
      <c r="AI203" s="22" t="str">
        <f t="shared" si="149"/>
        <v/>
      </c>
      <c r="AJ203" s="22" t="str">
        <f t="shared" si="174"/>
        <v/>
      </c>
      <c r="AK203" s="21" t="str">
        <f t="shared" si="175"/>
        <v>Apprenant 191 ou 191'</v>
      </c>
      <c r="AL203" s="22" t="str">
        <f t="shared" si="150"/>
        <v/>
      </c>
      <c r="AM203" s="22" t="str">
        <f t="shared" si="151"/>
        <v/>
      </c>
      <c r="AN203" s="22" t="str">
        <f t="shared" si="152"/>
        <v/>
      </c>
      <c r="AO203" s="22" t="str">
        <f t="shared" si="176"/>
        <v/>
      </c>
      <c r="AQ203" s="21" t="str">
        <f t="shared" si="177"/>
        <v>Apprenant 191</v>
      </c>
      <c r="AR203" s="49" t="str">
        <f>IF(AND('Choix pédagogiques'!$C$4&lt;&gt;"?",'Choix pédagogiques'!$C$5&lt;&gt;"?",W203&lt;&gt;""),(W203-'Choix pédagogiques'!$C$4)/('Choix pédagogiques'!$C$5-'Choix pédagogiques'!$C$4),"")</f>
        <v/>
      </c>
      <c r="AS203" s="49" t="str">
        <f>IF(AND('Choix pédagogiques'!$C$4&lt;&gt;"?",'Choix pédagogiques'!$C$5&lt;&gt;"?",X203&lt;&gt;""),(X203-'Choix pédagogiques'!$C$4)/('Choix pédagogiques'!$C$5-'Choix pédagogiques'!$C$4),"")</f>
        <v/>
      </c>
      <c r="AT203" s="49" t="str">
        <f>IF(AND('Choix pédagogiques'!$C$4&lt;&gt;"?",'Choix pédagogiques'!$C$5&lt;&gt;"?",Y203&lt;&gt;""),(Y203-'Choix pédagogiques'!$C$4)/('Choix pédagogiques'!$C$5-'Choix pédagogiques'!$C$4),"")</f>
        <v/>
      </c>
      <c r="AU203" s="22" t="str">
        <f t="shared" si="178"/>
        <v/>
      </c>
      <c r="AV203" s="21" t="str">
        <f t="shared" si="179"/>
        <v>Apprenant 191 ou 191'</v>
      </c>
      <c r="AW203" s="49" t="str">
        <f>IF(AND('Choix pédagogiques'!$C$4&lt;&gt;"?",'Choix pédagogiques'!$C$5&lt;&gt;"?",AB203&lt;&gt;""),(AB203-'Choix pédagogiques'!$C$4)/('Choix pédagogiques'!$C$5-'Choix pédagogiques'!$C$4),"")</f>
        <v/>
      </c>
      <c r="AX203" s="49" t="str">
        <f>IF(AND('Choix pédagogiques'!$C$4&lt;&gt;"?",'Choix pédagogiques'!$C$5&lt;&gt;"?",AC203&lt;&gt;""),(AC203-'Choix pédagogiques'!$C$4)/('Choix pédagogiques'!$C$5-'Choix pédagogiques'!$C$4),"")</f>
        <v/>
      </c>
      <c r="AY203" s="49" t="str">
        <f>IF(AND('Choix pédagogiques'!$C$4&lt;&gt;"?",'Choix pédagogiques'!$C$5&lt;&gt;"?",AD203&lt;&gt;""),(AD203-'Choix pédagogiques'!$C$4)/('Choix pédagogiques'!$C$5-'Choix pédagogiques'!$C$4),"")</f>
        <v/>
      </c>
      <c r="AZ203" s="22" t="str">
        <f t="shared" si="180"/>
        <v/>
      </c>
      <c r="BA203" s="21" t="str">
        <f t="shared" si="181"/>
        <v>Apprenant 191</v>
      </c>
      <c r="BB203" s="49" t="str">
        <f t="shared" si="153"/>
        <v/>
      </c>
      <c r="BC203" s="49" t="str">
        <f t="shared" si="154"/>
        <v/>
      </c>
      <c r="BD203" s="49" t="str">
        <f t="shared" si="155"/>
        <v/>
      </c>
      <c r="BE203" s="22" t="str">
        <f t="shared" si="182"/>
        <v/>
      </c>
      <c r="BF203" s="21" t="str">
        <f t="shared" si="183"/>
        <v>Apprenant 191 ou 191'</v>
      </c>
      <c r="BG203" s="49" t="str">
        <f t="shared" si="156"/>
        <v/>
      </c>
      <c r="BH203" s="49" t="str">
        <f t="shared" si="157"/>
        <v/>
      </c>
      <c r="BI203" s="49" t="str">
        <f t="shared" si="158"/>
        <v/>
      </c>
      <c r="BJ203" s="22" t="str">
        <f t="shared" si="184"/>
        <v/>
      </c>
      <c r="BL203" s="21"/>
      <c r="BM203" s="21" t="str">
        <f>IF(OR(COUNT(B203:D1202)=0,AND('Choix pédagogiques'!$C$3&lt;&gt;1,'Choix pédagogiques'!$C$3&lt;&gt;2)),"",IF(AND(OR('Choix pédagogiques'!$C$3=1,'Choix pédagogiques'!$C$3=2),$B203&lt;&gt;"",$C203&lt;&gt;"",$D203&lt;&gt;""),1,0))</f>
        <v/>
      </c>
      <c r="BN203" s="21" t="str">
        <f>IF(OR(COUNT(G203:I1202)=0,AND('Choix pédagogiques'!$C$3&lt;&gt;1,'Choix pédagogiques'!$C$3&lt;&gt;2)),"",IF(AND(OR('Choix pédagogiques'!$C$3=1,'Choix pédagogiques'!$C$3=2),AND($G203&lt;&gt;"",$H203&lt;&gt;"",$I203&lt;&gt;"")),1,0))</f>
        <v/>
      </c>
      <c r="BO203" s="21" t="str">
        <f>IF(OR(COUNT(B203:D1202)=0,COUNT(G203:I1202)=0,'Choix pédagogiques'!C$3&lt;&gt;3),"",IF(AND('Choix pédagogiques'!$C$3=3,$B203&lt;&gt;"",$C203&lt;&gt;"",$D203&lt;&gt;"",$G203&lt;&gt;"",$H203&lt;&gt;"",$I203&lt;&gt;""),1,0))</f>
        <v/>
      </c>
      <c r="BR203" s="21">
        <v>269</v>
      </c>
      <c r="BS203" s="21">
        <v>1924</v>
      </c>
      <c r="BT203"/>
    </row>
    <row r="204" spans="1:72" s="23" customFormat="1" ht="18" customHeight="1" x14ac:dyDescent="0.3">
      <c r="A204" s="35" t="s">
        <v>194</v>
      </c>
      <c r="B204" s="37"/>
      <c r="C204" s="37"/>
      <c r="D204" s="37"/>
      <c r="E204" s="37"/>
      <c r="F204" s="35" t="s">
        <v>1202</v>
      </c>
      <c r="G204" s="37"/>
      <c r="H204" s="37"/>
      <c r="I204" s="37"/>
      <c r="J204" s="37"/>
      <c r="K204" s="21" t="str">
        <f t="shared" si="159"/>
        <v>Apprenant 192</v>
      </c>
      <c r="L204" s="22" t="str">
        <f t="shared" si="160"/>
        <v/>
      </c>
      <c r="M204" s="22" t="str">
        <f t="shared" si="161"/>
        <v/>
      </c>
      <c r="N204" s="22" t="str">
        <f t="shared" si="162"/>
        <v/>
      </c>
      <c r="O204" s="22" t="str">
        <f t="shared" si="163"/>
        <v/>
      </c>
      <c r="P204" s="21" t="str">
        <f t="shared" si="164"/>
        <v>Apprenant 192 ou 192'</v>
      </c>
      <c r="Q204" s="22" t="str">
        <f t="shared" si="165"/>
        <v/>
      </c>
      <c r="R204" s="22" t="str">
        <f t="shared" si="166"/>
        <v/>
      </c>
      <c r="S204" s="22" t="str">
        <f t="shared" si="167"/>
        <v/>
      </c>
      <c r="T204" s="22" t="str">
        <f t="shared" si="168"/>
        <v/>
      </c>
      <c r="V204" s="21" t="str">
        <f t="shared" si="169"/>
        <v>Apprenant 192</v>
      </c>
      <c r="W204" s="22" t="str">
        <f>IF(AND(OR('Choix pédagogiques'!$C$3=1,'Choix pédagogiques'!$C$3=2),$BM204=1),B204,IF(AND('Choix pédagogiques'!$C$3=3,$BO204=1),B204,""))</f>
        <v/>
      </c>
      <c r="X204" s="22" t="str">
        <f>IF(AND(OR('Choix pédagogiques'!$C$3=1,'Choix pédagogiques'!$C$3=2),$BM204=1),C204,IF(AND('Choix pédagogiques'!$C$3=3,$BO204=1),C204,""))</f>
        <v/>
      </c>
      <c r="Y204" s="22" t="str">
        <f>IF(AND(OR('Choix pédagogiques'!$C$3=1,'Choix pédagogiques'!$C$3=2),$BM204=1),D204,IF(AND('Choix pédagogiques'!$C$3=3,$BO204=1),D204,""))</f>
        <v/>
      </c>
      <c r="Z204" s="22" t="str">
        <f t="shared" si="170"/>
        <v/>
      </c>
      <c r="AA204" s="21" t="str">
        <f t="shared" si="171"/>
        <v>Apprenant 192 ou 192'</v>
      </c>
      <c r="AB204" s="22" t="str">
        <f>IF(AND(OR('Choix pédagogiques'!$C$3=1,'Choix pédagogiques'!$C$3=2),$BN204=1),G204,IF(AND('Choix pédagogiques'!$C$3=3,$BO204=1),G204,""))</f>
        <v/>
      </c>
      <c r="AC204" s="22" t="str">
        <f>IF(AND(OR('Choix pédagogiques'!$C$3=1,'Choix pédagogiques'!$C$3=2),$BN204=1),H204,IF(AND('Choix pédagogiques'!$C$3=3,$BO204=1),H204,""))</f>
        <v/>
      </c>
      <c r="AD204" s="22" t="str">
        <f>IF(AND(OR('Choix pédagogiques'!$C$3=1,'Choix pédagogiques'!$C$3=2),$BN204=1),I204,IF(AND('Choix pédagogiques'!$C$3=3,$BO204=1),I204,""))</f>
        <v/>
      </c>
      <c r="AE204" s="22" t="str">
        <f t="shared" si="172"/>
        <v/>
      </c>
      <c r="AF204" s="21" t="str">
        <f t="shared" si="173"/>
        <v>Apprenant 192</v>
      </c>
      <c r="AG204" s="22" t="str">
        <f t="shared" si="147"/>
        <v/>
      </c>
      <c r="AH204" s="22" t="str">
        <f t="shared" si="148"/>
        <v/>
      </c>
      <c r="AI204" s="22" t="str">
        <f t="shared" si="149"/>
        <v/>
      </c>
      <c r="AJ204" s="22" t="str">
        <f t="shared" si="174"/>
        <v/>
      </c>
      <c r="AK204" s="21" t="str">
        <f t="shared" si="175"/>
        <v>Apprenant 192 ou 192'</v>
      </c>
      <c r="AL204" s="22" t="str">
        <f t="shared" si="150"/>
        <v/>
      </c>
      <c r="AM204" s="22" t="str">
        <f t="shared" si="151"/>
        <v/>
      </c>
      <c r="AN204" s="22" t="str">
        <f t="shared" si="152"/>
        <v/>
      </c>
      <c r="AO204" s="22" t="str">
        <f t="shared" si="176"/>
        <v/>
      </c>
      <c r="AQ204" s="21" t="str">
        <f t="shared" si="177"/>
        <v>Apprenant 192</v>
      </c>
      <c r="AR204" s="49" t="str">
        <f>IF(AND('Choix pédagogiques'!$C$4&lt;&gt;"?",'Choix pédagogiques'!$C$5&lt;&gt;"?",W204&lt;&gt;""),(W204-'Choix pédagogiques'!$C$4)/('Choix pédagogiques'!$C$5-'Choix pédagogiques'!$C$4),"")</f>
        <v/>
      </c>
      <c r="AS204" s="49" t="str">
        <f>IF(AND('Choix pédagogiques'!$C$4&lt;&gt;"?",'Choix pédagogiques'!$C$5&lt;&gt;"?",X204&lt;&gt;""),(X204-'Choix pédagogiques'!$C$4)/('Choix pédagogiques'!$C$5-'Choix pédagogiques'!$C$4),"")</f>
        <v/>
      </c>
      <c r="AT204" s="49" t="str">
        <f>IF(AND('Choix pédagogiques'!$C$4&lt;&gt;"?",'Choix pédagogiques'!$C$5&lt;&gt;"?",Y204&lt;&gt;""),(Y204-'Choix pédagogiques'!$C$4)/('Choix pédagogiques'!$C$5-'Choix pédagogiques'!$C$4),"")</f>
        <v/>
      </c>
      <c r="AU204" s="22" t="str">
        <f t="shared" si="178"/>
        <v/>
      </c>
      <c r="AV204" s="21" t="str">
        <f t="shared" si="179"/>
        <v>Apprenant 192 ou 192'</v>
      </c>
      <c r="AW204" s="49" t="str">
        <f>IF(AND('Choix pédagogiques'!$C$4&lt;&gt;"?",'Choix pédagogiques'!$C$5&lt;&gt;"?",AB204&lt;&gt;""),(AB204-'Choix pédagogiques'!$C$4)/('Choix pédagogiques'!$C$5-'Choix pédagogiques'!$C$4),"")</f>
        <v/>
      </c>
      <c r="AX204" s="49" t="str">
        <f>IF(AND('Choix pédagogiques'!$C$4&lt;&gt;"?",'Choix pédagogiques'!$C$5&lt;&gt;"?",AC204&lt;&gt;""),(AC204-'Choix pédagogiques'!$C$4)/('Choix pédagogiques'!$C$5-'Choix pédagogiques'!$C$4),"")</f>
        <v/>
      </c>
      <c r="AY204" s="49" t="str">
        <f>IF(AND('Choix pédagogiques'!$C$4&lt;&gt;"?",'Choix pédagogiques'!$C$5&lt;&gt;"?",AD204&lt;&gt;""),(AD204-'Choix pédagogiques'!$C$4)/('Choix pédagogiques'!$C$5-'Choix pédagogiques'!$C$4),"")</f>
        <v/>
      </c>
      <c r="AZ204" s="22" t="str">
        <f t="shared" si="180"/>
        <v/>
      </c>
      <c r="BA204" s="21" t="str">
        <f t="shared" si="181"/>
        <v>Apprenant 192</v>
      </c>
      <c r="BB204" s="49" t="str">
        <f t="shared" si="153"/>
        <v/>
      </c>
      <c r="BC204" s="49" t="str">
        <f t="shared" si="154"/>
        <v/>
      </c>
      <c r="BD204" s="49" t="str">
        <f t="shared" si="155"/>
        <v/>
      </c>
      <c r="BE204" s="22" t="str">
        <f t="shared" si="182"/>
        <v/>
      </c>
      <c r="BF204" s="21" t="str">
        <f t="shared" si="183"/>
        <v>Apprenant 192 ou 192'</v>
      </c>
      <c r="BG204" s="49" t="str">
        <f t="shared" si="156"/>
        <v/>
      </c>
      <c r="BH204" s="49" t="str">
        <f t="shared" si="157"/>
        <v/>
      </c>
      <c r="BI204" s="49" t="str">
        <f t="shared" si="158"/>
        <v/>
      </c>
      <c r="BJ204" s="22" t="str">
        <f t="shared" si="184"/>
        <v/>
      </c>
      <c r="BL204" s="21"/>
      <c r="BM204" s="21" t="str">
        <f>IF(OR(COUNT(B204:D1203)=0,AND('Choix pédagogiques'!$C$3&lt;&gt;1,'Choix pédagogiques'!$C$3&lt;&gt;2)),"",IF(AND(OR('Choix pédagogiques'!$C$3=1,'Choix pédagogiques'!$C$3=2),$B204&lt;&gt;"",$C204&lt;&gt;"",$D204&lt;&gt;""),1,0))</f>
        <v/>
      </c>
      <c r="BN204" s="21" t="str">
        <f>IF(OR(COUNT(G204:I1203)=0,AND('Choix pédagogiques'!$C$3&lt;&gt;1,'Choix pédagogiques'!$C$3&lt;&gt;2)),"",IF(AND(OR('Choix pédagogiques'!$C$3=1,'Choix pédagogiques'!$C$3=2),AND($G204&lt;&gt;"",$H204&lt;&gt;"",$I204&lt;&gt;"")),1,0))</f>
        <v/>
      </c>
      <c r="BO204" s="21" t="str">
        <f>IF(OR(COUNT(B204:D1203)=0,COUNT(G204:I1203)=0,'Choix pédagogiques'!C$3&lt;&gt;3),"",IF(AND('Choix pédagogiques'!$C$3=3,$B204&lt;&gt;"",$C204&lt;&gt;"",$D204&lt;&gt;"",$G204&lt;&gt;"",$H204&lt;&gt;"",$I204&lt;&gt;""),1,0))</f>
        <v/>
      </c>
      <c r="BR204" s="21">
        <v>502</v>
      </c>
      <c r="BS204" s="21">
        <v>1950</v>
      </c>
      <c r="BT204"/>
    </row>
    <row r="205" spans="1:72" s="23" customFormat="1" ht="18" customHeight="1" x14ac:dyDescent="0.3">
      <c r="A205" s="35" t="s">
        <v>195</v>
      </c>
      <c r="B205" s="37"/>
      <c r="C205" s="37"/>
      <c r="D205" s="37"/>
      <c r="E205" s="37"/>
      <c r="F205" s="35" t="s">
        <v>1203</v>
      </c>
      <c r="G205" s="37"/>
      <c r="H205" s="37"/>
      <c r="I205" s="37"/>
      <c r="J205" s="37"/>
      <c r="K205" s="21" t="str">
        <f t="shared" si="159"/>
        <v>Apprenant 193</v>
      </c>
      <c r="L205" s="22" t="str">
        <f t="shared" si="160"/>
        <v/>
      </c>
      <c r="M205" s="22" t="str">
        <f t="shared" si="161"/>
        <v/>
      </c>
      <c r="N205" s="22" t="str">
        <f t="shared" si="162"/>
        <v/>
      </c>
      <c r="O205" s="22" t="str">
        <f t="shared" si="163"/>
        <v/>
      </c>
      <c r="P205" s="21" t="str">
        <f t="shared" si="164"/>
        <v>Apprenant 193 ou 193'</v>
      </c>
      <c r="Q205" s="22" t="str">
        <f t="shared" si="165"/>
        <v/>
      </c>
      <c r="R205" s="22" t="str">
        <f t="shared" si="166"/>
        <v/>
      </c>
      <c r="S205" s="22" t="str">
        <f t="shared" si="167"/>
        <v/>
      </c>
      <c r="T205" s="22" t="str">
        <f t="shared" si="168"/>
        <v/>
      </c>
      <c r="V205" s="21" t="str">
        <f t="shared" si="169"/>
        <v>Apprenant 193</v>
      </c>
      <c r="W205" s="22" t="str">
        <f>IF(AND(OR('Choix pédagogiques'!$C$3=1,'Choix pédagogiques'!$C$3=2),$BM205=1),B205,IF(AND('Choix pédagogiques'!$C$3=3,$BO205=1),B205,""))</f>
        <v/>
      </c>
      <c r="X205" s="22" t="str">
        <f>IF(AND(OR('Choix pédagogiques'!$C$3=1,'Choix pédagogiques'!$C$3=2),$BM205=1),C205,IF(AND('Choix pédagogiques'!$C$3=3,$BO205=1),C205,""))</f>
        <v/>
      </c>
      <c r="Y205" s="22" t="str">
        <f>IF(AND(OR('Choix pédagogiques'!$C$3=1,'Choix pédagogiques'!$C$3=2),$BM205=1),D205,IF(AND('Choix pédagogiques'!$C$3=3,$BO205=1),D205,""))</f>
        <v/>
      </c>
      <c r="Z205" s="22" t="str">
        <f t="shared" si="170"/>
        <v/>
      </c>
      <c r="AA205" s="21" t="str">
        <f t="shared" si="171"/>
        <v>Apprenant 193 ou 193'</v>
      </c>
      <c r="AB205" s="22" t="str">
        <f>IF(AND(OR('Choix pédagogiques'!$C$3=1,'Choix pédagogiques'!$C$3=2),$BN205=1),G205,IF(AND('Choix pédagogiques'!$C$3=3,$BO205=1),G205,""))</f>
        <v/>
      </c>
      <c r="AC205" s="22" t="str">
        <f>IF(AND(OR('Choix pédagogiques'!$C$3=1,'Choix pédagogiques'!$C$3=2),$BN205=1),H205,IF(AND('Choix pédagogiques'!$C$3=3,$BO205=1),H205,""))</f>
        <v/>
      </c>
      <c r="AD205" s="22" t="str">
        <f>IF(AND(OR('Choix pédagogiques'!$C$3=1,'Choix pédagogiques'!$C$3=2),$BN205=1),I205,IF(AND('Choix pédagogiques'!$C$3=3,$BO205=1),I205,""))</f>
        <v/>
      </c>
      <c r="AE205" s="22" t="str">
        <f t="shared" si="172"/>
        <v/>
      </c>
      <c r="AF205" s="21" t="str">
        <f t="shared" si="173"/>
        <v>Apprenant 193</v>
      </c>
      <c r="AG205" s="22" t="str">
        <f t="shared" ref="AG205:AG268" si="185">IF(AND($W205&lt;&gt;"",$X205&lt;&gt;""),$X205-$W205,"")</f>
        <v/>
      </c>
      <c r="AH205" s="22" t="str">
        <f t="shared" ref="AH205:AH268" si="186">IF(AND($W205&lt;&gt;"",$Y205&lt;&gt;""),$Y205-$W205,"")</f>
        <v/>
      </c>
      <c r="AI205" s="22" t="str">
        <f t="shared" ref="AI205:AI268" si="187">IF(AND($X205&lt;&gt;"",$Y205&lt;&gt;""),$Y205-$X205,"")</f>
        <v/>
      </c>
      <c r="AJ205" s="22" t="str">
        <f t="shared" si="174"/>
        <v/>
      </c>
      <c r="AK205" s="21" t="str">
        <f t="shared" si="175"/>
        <v>Apprenant 193 ou 193'</v>
      </c>
      <c r="AL205" s="22" t="str">
        <f t="shared" ref="AL205:AL268" si="188">IF(AND($AB205&lt;&gt;"",$AC205&lt;&gt;""),$AC205-$AB205,"")</f>
        <v/>
      </c>
      <c r="AM205" s="22" t="str">
        <f t="shared" ref="AM205:AM268" si="189">IF(AND($AB205&lt;&gt;"",$AD205&lt;&gt;""),$AD205-$AB205,"")</f>
        <v/>
      </c>
      <c r="AN205" s="22" t="str">
        <f t="shared" ref="AN205:AN268" si="190">IF(AND($AC205&lt;&gt;"",$AD205&lt;&gt;""),$AD205-$AC205,"")</f>
        <v/>
      </c>
      <c r="AO205" s="22" t="str">
        <f t="shared" si="176"/>
        <v/>
      </c>
      <c r="AQ205" s="21" t="str">
        <f t="shared" si="177"/>
        <v>Apprenant 193</v>
      </c>
      <c r="AR205" s="49" t="str">
        <f>IF(AND('Choix pédagogiques'!$C$4&lt;&gt;"?",'Choix pédagogiques'!$C$5&lt;&gt;"?",W205&lt;&gt;""),(W205-'Choix pédagogiques'!$C$4)/('Choix pédagogiques'!$C$5-'Choix pédagogiques'!$C$4),"")</f>
        <v/>
      </c>
      <c r="AS205" s="49" t="str">
        <f>IF(AND('Choix pédagogiques'!$C$4&lt;&gt;"?",'Choix pédagogiques'!$C$5&lt;&gt;"?",X205&lt;&gt;""),(X205-'Choix pédagogiques'!$C$4)/('Choix pédagogiques'!$C$5-'Choix pédagogiques'!$C$4),"")</f>
        <v/>
      </c>
      <c r="AT205" s="49" t="str">
        <f>IF(AND('Choix pédagogiques'!$C$4&lt;&gt;"?",'Choix pédagogiques'!$C$5&lt;&gt;"?",Y205&lt;&gt;""),(Y205-'Choix pédagogiques'!$C$4)/('Choix pédagogiques'!$C$5-'Choix pédagogiques'!$C$4),"")</f>
        <v/>
      </c>
      <c r="AU205" s="22" t="str">
        <f t="shared" si="178"/>
        <v/>
      </c>
      <c r="AV205" s="21" t="str">
        <f t="shared" si="179"/>
        <v>Apprenant 193 ou 193'</v>
      </c>
      <c r="AW205" s="49" t="str">
        <f>IF(AND('Choix pédagogiques'!$C$4&lt;&gt;"?",'Choix pédagogiques'!$C$5&lt;&gt;"?",AB205&lt;&gt;""),(AB205-'Choix pédagogiques'!$C$4)/('Choix pédagogiques'!$C$5-'Choix pédagogiques'!$C$4),"")</f>
        <v/>
      </c>
      <c r="AX205" s="49" t="str">
        <f>IF(AND('Choix pédagogiques'!$C$4&lt;&gt;"?",'Choix pédagogiques'!$C$5&lt;&gt;"?",AC205&lt;&gt;""),(AC205-'Choix pédagogiques'!$C$4)/('Choix pédagogiques'!$C$5-'Choix pédagogiques'!$C$4),"")</f>
        <v/>
      </c>
      <c r="AY205" s="49" t="str">
        <f>IF(AND('Choix pédagogiques'!$C$4&lt;&gt;"?",'Choix pédagogiques'!$C$5&lt;&gt;"?",AD205&lt;&gt;""),(AD205-'Choix pédagogiques'!$C$4)/('Choix pédagogiques'!$C$5-'Choix pédagogiques'!$C$4),"")</f>
        <v/>
      </c>
      <c r="AZ205" s="22" t="str">
        <f t="shared" si="180"/>
        <v/>
      </c>
      <c r="BA205" s="21" t="str">
        <f t="shared" si="181"/>
        <v>Apprenant 193</v>
      </c>
      <c r="BB205" s="49" t="str">
        <f t="shared" ref="BB205:BB268" si="191">IF(AND($AR205&lt;&gt;"",$AS205&lt;&gt;""),$AS205-$AR205,"")</f>
        <v/>
      </c>
      <c r="BC205" s="49" t="str">
        <f t="shared" ref="BC205:BC268" si="192">IF(AND($AR205&lt;&gt;"",$AT205&lt;&gt;""),$AT205-$AR205,"")</f>
        <v/>
      </c>
      <c r="BD205" s="49" t="str">
        <f t="shared" ref="BD205:BD268" si="193">IF(AND($AS205&lt;&gt;"",$AT205&lt;&gt;""),$AT205-$AS205,"")</f>
        <v/>
      </c>
      <c r="BE205" s="22" t="str">
        <f t="shared" si="182"/>
        <v/>
      </c>
      <c r="BF205" s="21" t="str">
        <f t="shared" si="183"/>
        <v>Apprenant 193 ou 193'</v>
      </c>
      <c r="BG205" s="49" t="str">
        <f t="shared" ref="BG205:BG268" si="194">IF(AND($AW205&lt;&gt;"",$AX205&lt;&gt;""),$AX205-$AW205,"")</f>
        <v/>
      </c>
      <c r="BH205" s="49" t="str">
        <f t="shared" ref="BH205:BH268" si="195">IF(AND($AW205&lt;&gt;"",$AY205&lt;&gt;""),$AY205-$AW205,"")</f>
        <v/>
      </c>
      <c r="BI205" s="49" t="str">
        <f t="shared" ref="BI205:BI268" si="196">IF(AND($AX205&lt;&gt;"",$AY205&lt;&gt;""),$AY205-$AX205,"")</f>
        <v/>
      </c>
      <c r="BJ205" s="22" t="str">
        <f t="shared" si="184"/>
        <v/>
      </c>
      <c r="BL205" s="21"/>
      <c r="BM205" s="21" t="str">
        <f>IF(OR(COUNT(B205:D1204)=0,AND('Choix pédagogiques'!$C$3&lt;&gt;1,'Choix pédagogiques'!$C$3&lt;&gt;2)),"",IF(AND(OR('Choix pédagogiques'!$C$3=1,'Choix pédagogiques'!$C$3=2),$B205&lt;&gt;"",$C205&lt;&gt;"",$D205&lt;&gt;""),1,0))</f>
        <v/>
      </c>
      <c r="BN205" s="21" t="str">
        <f>IF(OR(COUNT(G205:I1204)=0,AND('Choix pédagogiques'!$C$3&lt;&gt;1,'Choix pédagogiques'!$C$3&lt;&gt;2)),"",IF(AND(OR('Choix pédagogiques'!$C$3=1,'Choix pédagogiques'!$C$3=2),AND($G205&lt;&gt;"",$H205&lt;&gt;"",$I205&lt;&gt;"")),1,0))</f>
        <v/>
      </c>
      <c r="BO205" s="21" t="str">
        <f>IF(OR(COUNT(B205:D1204)=0,COUNT(G205:I1204)=0,'Choix pédagogiques'!C$3&lt;&gt;3),"",IF(AND('Choix pédagogiques'!$C$3=3,$B205&lt;&gt;"",$C205&lt;&gt;"",$D205&lt;&gt;"",$G205&lt;&gt;"",$H205&lt;&gt;"",$I205&lt;&gt;""),1,0))</f>
        <v/>
      </c>
      <c r="BR205" s="21">
        <v>806</v>
      </c>
      <c r="BS205" s="21">
        <v>1752</v>
      </c>
      <c r="BT205"/>
    </row>
    <row r="206" spans="1:72" s="23" customFormat="1" ht="18" customHeight="1" x14ac:dyDescent="0.3">
      <c r="A206" s="35" t="s">
        <v>196</v>
      </c>
      <c r="B206" s="37"/>
      <c r="C206" s="37"/>
      <c r="D206" s="37"/>
      <c r="E206" s="37"/>
      <c r="F206" s="35" t="s">
        <v>1204</v>
      </c>
      <c r="G206" s="37"/>
      <c r="H206" s="37"/>
      <c r="I206" s="37"/>
      <c r="J206" s="37"/>
      <c r="K206" s="21" t="str">
        <f t="shared" ref="K206:K269" si="197">IF($A206&lt;&gt;"",$A206,"")</f>
        <v>Apprenant 194</v>
      </c>
      <c r="L206" s="22" t="str">
        <f t="shared" ref="L206:L269" si="198">IF(AND($B206&lt;&gt;"",$C206&lt;&gt;""),$C206-$B206,"")</f>
        <v/>
      </c>
      <c r="M206" s="22" t="str">
        <f t="shared" ref="M206:M269" si="199">IF(AND($B206&lt;&gt;"",$D206&lt;&gt;""),$D206-$B206,"")</f>
        <v/>
      </c>
      <c r="N206" s="22" t="str">
        <f t="shared" ref="N206:N269" si="200">IF(AND($C206&lt;&gt;"",$D206&lt;&gt;""),$D206-$C206,"")</f>
        <v/>
      </c>
      <c r="O206" s="22" t="str">
        <f t="shared" ref="O206:O269" si="201">IF($E206&lt;&gt;"",$E206,"")</f>
        <v/>
      </c>
      <c r="P206" s="21" t="str">
        <f t="shared" ref="P206:P269" si="202">IF($F206&lt;&gt;"",$F206,"")</f>
        <v>Apprenant 194 ou 194'</v>
      </c>
      <c r="Q206" s="22" t="str">
        <f t="shared" ref="Q206:Q269" si="203">IF(AND($G206&lt;&gt;"",$H206&lt;&gt;""),$H206-$G206,"")</f>
        <v/>
      </c>
      <c r="R206" s="22" t="str">
        <f t="shared" ref="R206:R269" si="204">IF(AND($G206&lt;&gt;"",$I206&lt;&gt;""),$I206-$G206,"")</f>
        <v/>
      </c>
      <c r="S206" s="22" t="str">
        <f t="shared" ref="S206:S269" si="205">IF(AND($H206&lt;&gt;"",$I206&lt;&gt;""),$I206-$H206,"")</f>
        <v/>
      </c>
      <c r="T206" s="22" t="str">
        <f t="shared" ref="T206:T269" si="206">IF($J206&lt;&gt;"",$J206,"")</f>
        <v/>
      </c>
      <c r="V206" s="21" t="str">
        <f t="shared" ref="V206:V269" si="207">IF($A206&lt;&gt;"",$A206,"")</f>
        <v>Apprenant 194</v>
      </c>
      <c r="W206" s="22" t="str">
        <f>IF(AND(OR('Choix pédagogiques'!$C$3=1,'Choix pédagogiques'!$C$3=2),$BM206=1),B206,IF(AND('Choix pédagogiques'!$C$3=3,$BO206=1),B206,""))</f>
        <v/>
      </c>
      <c r="X206" s="22" t="str">
        <f>IF(AND(OR('Choix pédagogiques'!$C$3=1,'Choix pédagogiques'!$C$3=2),$BM206=1),C206,IF(AND('Choix pédagogiques'!$C$3=3,$BO206=1),C206,""))</f>
        <v/>
      </c>
      <c r="Y206" s="22" t="str">
        <f>IF(AND(OR('Choix pédagogiques'!$C$3=1,'Choix pédagogiques'!$C$3=2),$BM206=1),D206,IF(AND('Choix pédagogiques'!$C$3=3,$BO206=1),D206,""))</f>
        <v/>
      </c>
      <c r="Z206" s="22" t="str">
        <f t="shared" ref="Z206:Z269" si="208">IF($E206&lt;&gt;"",$E206,"")</f>
        <v/>
      </c>
      <c r="AA206" s="21" t="str">
        <f t="shared" ref="AA206:AA269" si="209">IF($F206&lt;&gt;"",$F206,"")</f>
        <v>Apprenant 194 ou 194'</v>
      </c>
      <c r="AB206" s="22" t="str">
        <f>IF(AND(OR('Choix pédagogiques'!$C$3=1,'Choix pédagogiques'!$C$3=2),$BN206=1),G206,IF(AND('Choix pédagogiques'!$C$3=3,$BO206=1),G206,""))</f>
        <v/>
      </c>
      <c r="AC206" s="22" t="str">
        <f>IF(AND(OR('Choix pédagogiques'!$C$3=1,'Choix pédagogiques'!$C$3=2),$BN206=1),H206,IF(AND('Choix pédagogiques'!$C$3=3,$BO206=1),H206,""))</f>
        <v/>
      </c>
      <c r="AD206" s="22" t="str">
        <f>IF(AND(OR('Choix pédagogiques'!$C$3=1,'Choix pédagogiques'!$C$3=2),$BN206=1),I206,IF(AND('Choix pédagogiques'!$C$3=3,$BO206=1),I206,""))</f>
        <v/>
      </c>
      <c r="AE206" s="22" t="str">
        <f t="shared" ref="AE206:AE269" si="210">IF($J206&lt;&gt;"",$J206,"")</f>
        <v/>
      </c>
      <c r="AF206" s="21" t="str">
        <f t="shared" ref="AF206:AF269" si="211">IF($A206&lt;&gt;"",$A206,"")</f>
        <v>Apprenant 194</v>
      </c>
      <c r="AG206" s="22" t="str">
        <f t="shared" si="185"/>
        <v/>
      </c>
      <c r="AH206" s="22" t="str">
        <f t="shared" si="186"/>
        <v/>
      </c>
      <c r="AI206" s="22" t="str">
        <f t="shared" si="187"/>
        <v/>
      </c>
      <c r="AJ206" s="22" t="str">
        <f t="shared" ref="AJ206:AJ269" si="212">IF($E206&lt;&gt;"",$E206,"")</f>
        <v/>
      </c>
      <c r="AK206" s="21" t="str">
        <f t="shared" ref="AK206:AK269" si="213">IF($F206&lt;&gt;"",$F206,"")</f>
        <v>Apprenant 194 ou 194'</v>
      </c>
      <c r="AL206" s="22" t="str">
        <f t="shared" si="188"/>
        <v/>
      </c>
      <c r="AM206" s="22" t="str">
        <f t="shared" si="189"/>
        <v/>
      </c>
      <c r="AN206" s="22" t="str">
        <f t="shared" si="190"/>
        <v/>
      </c>
      <c r="AO206" s="22" t="str">
        <f t="shared" ref="AO206:AO269" si="214">IF($J206&lt;&gt;"",$J206,"")</f>
        <v/>
      </c>
      <c r="AQ206" s="21" t="str">
        <f t="shared" ref="AQ206:AQ269" si="215">IF($A206&lt;&gt;"",$A206,"")</f>
        <v>Apprenant 194</v>
      </c>
      <c r="AR206" s="49" t="str">
        <f>IF(AND('Choix pédagogiques'!$C$4&lt;&gt;"?",'Choix pédagogiques'!$C$5&lt;&gt;"?",W206&lt;&gt;""),(W206-'Choix pédagogiques'!$C$4)/('Choix pédagogiques'!$C$5-'Choix pédagogiques'!$C$4),"")</f>
        <v/>
      </c>
      <c r="AS206" s="49" t="str">
        <f>IF(AND('Choix pédagogiques'!$C$4&lt;&gt;"?",'Choix pédagogiques'!$C$5&lt;&gt;"?",X206&lt;&gt;""),(X206-'Choix pédagogiques'!$C$4)/('Choix pédagogiques'!$C$5-'Choix pédagogiques'!$C$4),"")</f>
        <v/>
      </c>
      <c r="AT206" s="49" t="str">
        <f>IF(AND('Choix pédagogiques'!$C$4&lt;&gt;"?",'Choix pédagogiques'!$C$5&lt;&gt;"?",Y206&lt;&gt;""),(Y206-'Choix pédagogiques'!$C$4)/('Choix pédagogiques'!$C$5-'Choix pédagogiques'!$C$4),"")</f>
        <v/>
      </c>
      <c r="AU206" s="22" t="str">
        <f t="shared" ref="AU206:AU269" si="216">IF($E206&lt;&gt;"",$E206,"")</f>
        <v/>
      </c>
      <c r="AV206" s="21" t="str">
        <f t="shared" ref="AV206:AV269" si="217">IF($F206&lt;&gt;"",$F206,"")</f>
        <v>Apprenant 194 ou 194'</v>
      </c>
      <c r="AW206" s="49" t="str">
        <f>IF(AND('Choix pédagogiques'!$C$4&lt;&gt;"?",'Choix pédagogiques'!$C$5&lt;&gt;"?",AB206&lt;&gt;""),(AB206-'Choix pédagogiques'!$C$4)/('Choix pédagogiques'!$C$5-'Choix pédagogiques'!$C$4),"")</f>
        <v/>
      </c>
      <c r="AX206" s="49" t="str">
        <f>IF(AND('Choix pédagogiques'!$C$4&lt;&gt;"?",'Choix pédagogiques'!$C$5&lt;&gt;"?",AC206&lt;&gt;""),(AC206-'Choix pédagogiques'!$C$4)/('Choix pédagogiques'!$C$5-'Choix pédagogiques'!$C$4),"")</f>
        <v/>
      </c>
      <c r="AY206" s="49" t="str">
        <f>IF(AND('Choix pédagogiques'!$C$4&lt;&gt;"?",'Choix pédagogiques'!$C$5&lt;&gt;"?",AD206&lt;&gt;""),(AD206-'Choix pédagogiques'!$C$4)/('Choix pédagogiques'!$C$5-'Choix pédagogiques'!$C$4),"")</f>
        <v/>
      </c>
      <c r="AZ206" s="22" t="str">
        <f t="shared" ref="AZ206:AZ269" si="218">IF($J206&lt;&gt;"",$J206,"")</f>
        <v/>
      </c>
      <c r="BA206" s="21" t="str">
        <f t="shared" ref="BA206:BA269" si="219">IF($A206&lt;&gt;"",$A206,"")</f>
        <v>Apprenant 194</v>
      </c>
      <c r="BB206" s="49" t="str">
        <f t="shared" si="191"/>
        <v/>
      </c>
      <c r="BC206" s="49" t="str">
        <f t="shared" si="192"/>
        <v/>
      </c>
      <c r="BD206" s="49" t="str">
        <f t="shared" si="193"/>
        <v/>
      </c>
      <c r="BE206" s="22" t="str">
        <f t="shared" ref="BE206:BE269" si="220">IF($E206&lt;&gt;"",$E206,"")</f>
        <v/>
      </c>
      <c r="BF206" s="21" t="str">
        <f t="shared" ref="BF206:BF269" si="221">IF($F206&lt;&gt;"",$F206,"")</f>
        <v>Apprenant 194 ou 194'</v>
      </c>
      <c r="BG206" s="49" t="str">
        <f t="shared" si="194"/>
        <v/>
      </c>
      <c r="BH206" s="49" t="str">
        <f t="shared" si="195"/>
        <v/>
      </c>
      <c r="BI206" s="49" t="str">
        <f t="shared" si="196"/>
        <v/>
      </c>
      <c r="BJ206" s="22" t="str">
        <f t="shared" ref="BJ206:BJ269" si="222">IF($J206&lt;&gt;"",$J206,"")</f>
        <v/>
      </c>
      <c r="BL206" s="21"/>
      <c r="BM206" s="21" t="str">
        <f>IF(OR(COUNT(B206:D1205)=0,AND('Choix pédagogiques'!$C$3&lt;&gt;1,'Choix pédagogiques'!$C$3&lt;&gt;2)),"",IF(AND(OR('Choix pédagogiques'!$C$3=1,'Choix pédagogiques'!$C$3=2),$B206&lt;&gt;"",$C206&lt;&gt;"",$D206&lt;&gt;""),1,0))</f>
        <v/>
      </c>
      <c r="BN206" s="21" t="str">
        <f>IF(OR(COUNT(G206:I1205)=0,AND('Choix pédagogiques'!$C$3&lt;&gt;1,'Choix pédagogiques'!$C$3&lt;&gt;2)),"",IF(AND(OR('Choix pédagogiques'!$C$3=1,'Choix pédagogiques'!$C$3=2),AND($G206&lt;&gt;"",$H206&lt;&gt;"",$I206&lt;&gt;"")),1,0))</f>
        <v/>
      </c>
      <c r="BO206" s="21" t="str">
        <f>IF(OR(COUNT(B206:D1205)=0,COUNT(G206:I1205)=0,'Choix pédagogiques'!C$3&lt;&gt;3),"",IF(AND('Choix pédagogiques'!$C$3=3,$B206&lt;&gt;"",$C206&lt;&gt;"",$D206&lt;&gt;"",$G206&lt;&gt;"",$H206&lt;&gt;"",$I206&lt;&gt;""),1,0))</f>
        <v/>
      </c>
      <c r="BR206" s="21">
        <v>412</v>
      </c>
      <c r="BS206" s="21">
        <v>1806</v>
      </c>
      <c r="BT206"/>
    </row>
    <row r="207" spans="1:72" s="23" customFormat="1" ht="18" customHeight="1" x14ac:dyDescent="0.3">
      <c r="A207" s="35" t="s">
        <v>197</v>
      </c>
      <c r="B207" s="37"/>
      <c r="C207" s="37"/>
      <c r="D207" s="37"/>
      <c r="E207" s="37"/>
      <c r="F207" s="35" t="s">
        <v>1205</v>
      </c>
      <c r="G207" s="37"/>
      <c r="H207" s="37"/>
      <c r="I207" s="37"/>
      <c r="J207" s="37"/>
      <c r="K207" s="21" t="str">
        <f t="shared" si="197"/>
        <v>Apprenant 195</v>
      </c>
      <c r="L207" s="22" t="str">
        <f t="shared" si="198"/>
        <v/>
      </c>
      <c r="M207" s="22" t="str">
        <f t="shared" si="199"/>
        <v/>
      </c>
      <c r="N207" s="22" t="str">
        <f t="shared" si="200"/>
        <v/>
      </c>
      <c r="O207" s="22" t="str">
        <f t="shared" si="201"/>
        <v/>
      </c>
      <c r="P207" s="21" t="str">
        <f t="shared" si="202"/>
        <v>Apprenant 195 ou 195'</v>
      </c>
      <c r="Q207" s="22" t="str">
        <f t="shared" si="203"/>
        <v/>
      </c>
      <c r="R207" s="22" t="str">
        <f t="shared" si="204"/>
        <v/>
      </c>
      <c r="S207" s="22" t="str">
        <f t="shared" si="205"/>
        <v/>
      </c>
      <c r="T207" s="22" t="str">
        <f t="shared" si="206"/>
        <v/>
      </c>
      <c r="V207" s="21" t="str">
        <f t="shared" si="207"/>
        <v>Apprenant 195</v>
      </c>
      <c r="W207" s="22" t="str">
        <f>IF(AND(OR('Choix pédagogiques'!$C$3=1,'Choix pédagogiques'!$C$3=2),$BM207=1),B207,IF(AND('Choix pédagogiques'!$C$3=3,$BO207=1),B207,""))</f>
        <v/>
      </c>
      <c r="X207" s="22" t="str">
        <f>IF(AND(OR('Choix pédagogiques'!$C$3=1,'Choix pédagogiques'!$C$3=2),$BM207=1),C207,IF(AND('Choix pédagogiques'!$C$3=3,$BO207=1),C207,""))</f>
        <v/>
      </c>
      <c r="Y207" s="22" t="str">
        <f>IF(AND(OR('Choix pédagogiques'!$C$3=1,'Choix pédagogiques'!$C$3=2),$BM207=1),D207,IF(AND('Choix pédagogiques'!$C$3=3,$BO207=1),D207,""))</f>
        <v/>
      </c>
      <c r="Z207" s="22" t="str">
        <f t="shared" si="208"/>
        <v/>
      </c>
      <c r="AA207" s="21" t="str">
        <f t="shared" si="209"/>
        <v>Apprenant 195 ou 195'</v>
      </c>
      <c r="AB207" s="22" t="str">
        <f>IF(AND(OR('Choix pédagogiques'!$C$3=1,'Choix pédagogiques'!$C$3=2),$BN207=1),G207,IF(AND('Choix pédagogiques'!$C$3=3,$BO207=1),G207,""))</f>
        <v/>
      </c>
      <c r="AC207" s="22" t="str">
        <f>IF(AND(OR('Choix pédagogiques'!$C$3=1,'Choix pédagogiques'!$C$3=2),$BN207=1),H207,IF(AND('Choix pédagogiques'!$C$3=3,$BO207=1),H207,""))</f>
        <v/>
      </c>
      <c r="AD207" s="22" t="str">
        <f>IF(AND(OR('Choix pédagogiques'!$C$3=1,'Choix pédagogiques'!$C$3=2),$BN207=1),I207,IF(AND('Choix pédagogiques'!$C$3=3,$BO207=1),I207,""))</f>
        <v/>
      </c>
      <c r="AE207" s="22" t="str">
        <f t="shared" si="210"/>
        <v/>
      </c>
      <c r="AF207" s="21" t="str">
        <f t="shared" si="211"/>
        <v>Apprenant 195</v>
      </c>
      <c r="AG207" s="22" t="str">
        <f t="shared" si="185"/>
        <v/>
      </c>
      <c r="AH207" s="22" t="str">
        <f t="shared" si="186"/>
        <v/>
      </c>
      <c r="AI207" s="22" t="str">
        <f t="shared" si="187"/>
        <v/>
      </c>
      <c r="AJ207" s="22" t="str">
        <f t="shared" si="212"/>
        <v/>
      </c>
      <c r="AK207" s="21" t="str">
        <f t="shared" si="213"/>
        <v>Apprenant 195 ou 195'</v>
      </c>
      <c r="AL207" s="22" t="str">
        <f t="shared" si="188"/>
        <v/>
      </c>
      <c r="AM207" s="22" t="str">
        <f t="shared" si="189"/>
        <v/>
      </c>
      <c r="AN207" s="22" t="str">
        <f t="shared" si="190"/>
        <v/>
      </c>
      <c r="AO207" s="22" t="str">
        <f t="shared" si="214"/>
        <v/>
      </c>
      <c r="AQ207" s="21" t="str">
        <f t="shared" si="215"/>
        <v>Apprenant 195</v>
      </c>
      <c r="AR207" s="49" t="str">
        <f>IF(AND('Choix pédagogiques'!$C$4&lt;&gt;"?",'Choix pédagogiques'!$C$5&lt;&gt;"?",W207&lt;&gt;""),(W207-'Choix pédagogiques'!$C$4)/('Choix pédagogiques'!$C$5-'Choix pédagogiques'!$C$4),"")</f>
        <v/>
      </c>
      <c r="AS207" s="49" t="str">
        <f>IF(AND('Choix pédagogiques'!$C$4&lt;&gt;"?",'Choix pédagogiques'!$C$5&lt;&gt;"?",X207&lt;&gt;""),(X207-'Choix pédagogiques'!$C$4)/('Choix pédagogiques'!$C$5-'Choix pédagogiques'!$C$4),"")</f>
        <v/>
      </c>
      <c r="AT207" s="49" t="str">
        <f>IF(AND('Choix pédagogiques'!$C$4&lt;&gt;"?",'Choix pédagogiques'!$C$5&lt;&gt;"?",Y207&lt;&gt;""),(Y207-'Choix pédagogiques'!$C$4)/('Choix pédagogiques'!$C$5-'Choix pédagogiques'!$C$4),"")</f>
        <v/>
      </c>
      <c r="AU207" s="22" t="str">
        <f t="shared" si="216"/>
        <v/>
      </c>
      <c r="AV207" s="21" t="str">
        <f t="shared" si="217"/>
        <v>Apprenant 195 ou 195'</v>
      </c>
      <c r="AW207" s="49" t="str">
        <f>IF(AND('Choix pédagogiques'!$C$4&lt;&gt;"?",'Choix pédagogiques'!$C$5&lt;&gt;"?",AB207&lt;&gt;""),(AB207-'Choix pédagogiques'!$C$4)/('Choix pédagogiques'!$C$5-'Choix pédagogiques'!$C$4),"")</f>
        <v/>
      </c>
      <c r="AX207" s="49" t="str">
        <f>IF(AND('Choix pédagogiques'!$C$4&lt;&gt;"?",'Choix pédagogiques'!$C$5&lt;&gt;"?",AC207&lt;&gt;""),(AC207-'Choix pédagogiques'!$C$4)/('Choix pédagogiques'!$C$5-'Choix pédagogiques'!$C$4),"")</f>
        <v/>
      </c>
      <c r="AY207" s="49" t="str">
        <f>IF(AND('Choix pédagogiques'!$C$4&lt;&gt;"?",'Choix pédagogiques'!$C$5&lt;&gt;"?",AD207&lt;&gt;""),(AD207-'Choix pédagogiques'!$C$4)/('Choix pédagogiques'!$C$5-'Choix pédagogiques'!$C$4),"")</f>
        <v/>
      </c>
      <c r="AZ207" s="22" t="str">
        <f t="shared" si="218"/>
        <v/>
      </c>
      <c r="BA207" s="21" t="str">
        <f t="shared" si="219"/>
        <v>Apprenant 195</v>
      </c>
      <c r="BB207" s="49" t="str">
        <f t="shared" si="191"/>
        <v/>
      </c>
      <c r="BC207" s="49" t="str">
        <f t="shared" si="192"/>
        <v/>
      </c>
      <c r="BD207" s="49" t="str">
        <f t="shared" si="193"/>
        <v/>
      </c>
      <c r="BE207" s="22" t="str">
        <f t="shared" si="220"/>
        <v/>
      </c>
      <c r="BF207" s="21" t="str">
        <f t="shared" si="221"/>
        <v>Apprenant 195 ou 195'</v>
      </c>
      <c r="BG207" s="49" t="str">
        <f t="shared" si="194"/>
        <v/>
      </c>
      <c r="BH207" s="49" t="str">
        <f t="shared" si="195"/>
        <v/>
      </c>
      <c r="BI207" s="49" t="str">
        <f t="shared" si="196"/>
        <v/>
      </c>
      <c r="BJ207" s="22" t="str">
        <f t="shared" si="222"/>
        <v/>
      </c>
      <c r="BL207" s="21"/>
      <c r="BM207" s="21" t="str">
        <f>IF(OR(COUNT(B207:D1206)=0,AND('Choix pédagogiques'!$C$3&lt;&gt;1,'Choix pédagogiques'!$C$3&lt;&gt;2)),"",IF(AND(OR('Choix pédagogiques'!$C$3=1,'Choix pédagogiques'!$C$3=2),$B207&lt;&gt;"",$C207&lt;&gt;"",$D207&lt;&gt;""),1,0))</f>
        <v/>
      </c>
      <c r="BN207" s="21" t="str">
        <f>IF(OR(COUNT(G207:I1206)=0,AND('Choix pédagogiques'!$C$3&lt;&gt;1,'Choix pédagogiques'!$C$3&lt;&gt;2)),"",IF(AND(OR('Choix pédagogiques'!$C$3=1,'Choix pédagogiques'!$C$3=2),AND($G207&lt;&gt;"",$H207&lt;&gt;"",$I207&lt;&gt;"")),1,0))</f>
        <v/>
      </c>
      <c r="BO207" s="21" t="str">
        <f>IF(OR(COUNT(B207:D1206)=0,COUNT(G207:I1206)=0,'Choix pédagogiques'!C$3&lt;&gt;3),"",IF(AND('Choix pédagogiques'!$C$3=3,$B207&lt;&gt;"",$C207&lt;&gt;"",$D207&lt;&gt;"",$G207&lt;&gt;"",$H207&lt;&gt;"",$I207&lt;&gt;""),1,0))</f>
        <v/>
      </c>
      <c r="BR207" s="21">
        <v>107</v>
      </c>
      <c r="BS207" s="21">
        <v>1213</v>
      </c>
      <c r="BT207"/>
    </row>
    <row r="208" spans="1:72" s="23" customFormat="1" ht="18" customHeight="1" x14ac:dyDescent="0.3">
      <c r="A208" s="35" t="s">
        <v>198</v>
      </c>
      <c r="B208" s="37"/>
      <c r="C208" s="37"/>
      <c r="D208" s="37"/>
      <c r="E208" s="37"/>
      <c r="F208" s="35" t="s">
        <v>1206</v>
      </c>
      <c r="G208" s="37"/>
      <c r="H208" s="37"/>
      <c r="I208" s="37"/>
      <c r="J208" s="37"/>
      <c r="K208" s="21" t="str">
        <f t="shared" si="197"/>
        <v>Apprenant 196</v>
      </c>
      <c r="L208" s="22" t="str">
        <f t="shared" si="198"/>
        <v/>
      </c>
      <c r="M208" s="22" t="str">
        <f t="shared" si="199"/>
        <v/>
      </c>
      <c r="N208" s="22" t="str">
        <f t="shared" si="200"/>
        <v/>
      </c>
      <c r="O208" s="22" t="str">
        <f t="shared" si="201"/>
        <v/>
      </c>
      <c r="P208" s="21" t="str">
        <f t="shared" si="202"/>
        <v>Apprenant 196 ou 196'</v>
      </c>
      <c r="Q208" s="22" t="str">
        <f t="shared" si="203"/>
        <v/>
      </c>
      <c r="R208" s="22" t="str">
        <f t="shared" si="204"/>
        <v/>
      </c>
      <c r="S208" s="22" t="str">
        <f t="shared" si="205"/>
        <v/>
      </c>
      <c r="T208" s="22" t="str">
        <f t="shared" si="206"/>
        <v/>
      </c>
      <c r="V208" s="21" t="str">
        <f t="shared" si="207"/>
        <v>Apprenant 196</v>
      </c>
      <c r="W208" s="22" t="str">
        <f>IF(AND(OR('Choix pédagogiques'!$C$3=1,'Choix pédagogiques'!$C$3=2),$BM208=1),B208,IF(AND('Choix pédagogiques'!$C$3=3,$BO208=1),B208,""))</f>
        <v/>
      </c>
      <c r="X208" s="22" t="str">
        <f>IF(AND(OR('Choix pédagogiques'!$C$3=1,'Choix pédagogiques'!$C$3=2),$BM208=1),C208,IF(AND('Choix pédagogiques'!$C$3=3,$BO208=1),C208,""))</f>
        <v/>
      </c>
      <c r="Y208" s="22" t="str">
        <f>IF(AND(OR('Choix pédagogiques'!$C$3=1,'Choix pédagogiques'!$C$3=2),$BM208=1),D208,IF(AND('Choix pédagogiques'!$C$3=3,$BO208=1),D208,""))</f>
        <v/>
      </c>
      <c r="Z208" s="22" t="str">
        <f t="shared" si="208"/>
        <v/>
      </c>
      <c r="AA208" s="21" t="str">
        <f t="shared" si="209"/>
        <v>Apprenant 196 ou 196'</v>
      </c>
      <c r="AB208" s="22" t="str">
        <f>IF(AND(OR('Choix pédagogiques'!$C$3=1,'Choix pédagogiques'!$C$3=2),$BN208=1),G208,IF(AND('Choix pédagogiques'!$C$3=3,$BO208=1),G208,""))</f>
        <v/>
      </c>
      <c r="AC208" s="22" t="str">
        <f>IF(AND(OR('Choix pédagogiques'!$C$3=1,'Choix pédagogiques'!$C$3=2),$BN208=1),H208,IF(AND('Choix pédagogiques'!$C$3=3,$BO208=1),H208,""))</f>
        <v/>
      </c>
      <c r="AD208" s="22" t="str">
        <f>IF(AND(OR('Choix pédagogiques'!$C$3=1,'Choix pédagogiques'!$C$3=2),$BN208=1),I208,IF(AND('Choix pédagogiques'!$C$3=3,$BO208=1),I208,""))</f>
        <v/>
      </c>
      <c r="AE208" s="22" t="str">
        <f t="shared" si="210"/>
        <v/>
      </c>
      <c r="AF208" s="21" t="str">
        <f t="shared" si="211"/>
        <v>Apprenant 196</v>
      </c>
      <c r="AG208" s="22" t="str">
        <f t="shared" si="185"/>
        <v/>
      </c>
      <c r="AH208" s="22" t="str">
        <f t="shared" si="186"/>
        <v/>
      </c>
      <c r="AI208" s="22" t="str">
        <f t="shared" si="187"/>
        <v/>
      </c>
      <c r="AJ208" s="22" t="str">
        <f t="shared" si="212"/>
        <v/>
      </c>
      <c r="AK208" s="21" t="str">
        <f t="shared" si="213"/>
        <v>Apprenant 196 ou 196'</v>
      </c>
      <c r="AL208" s="22" t="str">
        <f t="shared" si="188"/>
        <v/>
      </c>
      <c r="AM208" s="22" t="str">
        <f t="shared" si="189"/>
        <v/>
      </c>
      <c r="AN208" s="22" t="str">
        <f t="shared" si="190"/>
        <v/>
      </c>
      <c r="AO208" s="22" t="str">
        <f t="shared" si="214"/>
        <v/>
      </c>
      <c r="AQ208" s="21" t="str">
        <f t="shared" si="215"/>
        <v>Apprenant 196</v>
      </c>
      <c r="AR208" s="49" t="str">
        <f>IF(AND('Choix pédagogiques'!$C$4&lt;&gt;"?",'Choix pédagogiques'!$C$5&lt;&gt;"?",W208&lt;&gt;""),(W208-'Choix pédagogiques'!$C$4)/('Choix pédagogiques'!$C$5-'Choix pédagogiques'!$C$4),"")</f>
        <v/>
      </c>
      <c r="AS208" s="49" t="str">
        <f>IF(AND('Choix pédagogiques'!$C$4&lt;&gt;"?",'Choix pédagogiques'!$C$5&lt;&gt;"?",X208&lt;&gt;""),(X208-'Choix pédagogiques'!$C$4)/('Choix pédagogiques'!$C$5-'Choix pédagogiques'!$C$4),"")</f>
        <v/>
      </c>
      <c r="AT208" s="49" t="str">
        <f>IF(AND('Choix pédagogiques'!$C$4&lt;&gt;"?",'Choix pédagogiques'!$C$5&lt;&gt;"?",Y208&lt;&gt;""),(Y208-'Choix pédagogiques'!$C$4)/('Choix pédagogiques'!$C$5-'Choix pédagogiques'!$C$4),"")</f>
        <v/>
      </c>
      <c r="AU208" s="22" t="str">
        <f t="shared" si="216"/>
        <v/>
      </c>
      <c r="AV208" s="21" t="str">
        <f t="shared" si="217"/>
        <v>Apprenant 196 ou 196'</v>
      </c>
      <c r="AW208" s="49" t="str">
        <f>IF(AND('Choix pédagogiques'!$C$4&lt;&gt;"?",'Choix pédagogiques'!$C$5&lt;&gt;"?",AB208&lt;&gt;""),(AB208-'Choix pédagogiques'!$C$4)/('Choix pédagogiques'!$C$5-'Choix pédagogiques'!$C$4),"")</f>
        <v/>
      </c>
      <c r="AX208" s="49" t="str">
        <f>IF(AND('Choix pédagogiques'!$C$4&lt;&gt;"?",'Choix pédagogiques'!$C$5&lt;&gt;"?",AC208&lt;&gt;""),(AC208-'Choix pédagogiques'!$C$4)/('Choix pédagogiques'!$C$5-'Choix pédagogiques'!$C$4),"")</f>
        <v/>
      </c>
      <c r="AY208" s="49" t="str">
        <f>IF(AND('Choix pédagogiques'!$C$4&lt;&gt;"?",'Choix pédagogiques'!$C$5&lt;&gt;"?",AD208&lt;&gt;""),(AD208-'Choix pédagogiques'!$C$4)/('Choix pédagogiques'!$C$5-'Choix pédagogiques'!$C$4),"")</f>
        <v/>
      </c>
      <c r="AZ208" s="22" t="str">
        <f t="shared" si="218"/>
        <v/>
      </c>
      <c r="BA208" s="21" t="str">
        <f t="shared" si="219"/>
        <v>Apprenant 196</v>
      </c>
      <c r="BB208" s="49" t="str">
        <f t="shared" si="191"/>
        <v/>
      </c>
      <c r="BC208" s="49" t="str">
        <f t="shared" si="192"/>
        <v/>
      </c>
      <c r="BD208" s="49" t="str">
        <f t="shared" si="193"/>
        <v/>
      </c>
      <c r="BE208" s="22" t="str">
        <f t="shared" si="220"/>
        <v/>
      </c>
      <c r="BF208" s="21" t="str">
        <f t="shared" si="221"/>
        <v>Apprenant 196 ou 196'</v>
      </c>
      <c r="BG208" s="49" t="str">
        <f t="shared" si="194"/>
        <v/>
      </c>
      <c r="BH208" s="49" t="str">
        <f t="shared" si="195"/>
        <v/>
      </c>
      <c r="BI208" s="49" t="str">
        <f t="shared" si="196"/>
        <v/>
      </c>
      <c r="BJ208" s="22" t="str">
        <f t="shared" si="222"/>
        <v/>
      </c>
      <c r="BL208" s="21"/>
      <c r="BM208" s="21" t="str">
        <f>IF(OR(COUNT(B208:D1207)=0,AND('Choix pédagogiques'!$C$3&lt;&gt;1,'Choix pédagogiques'!$C$3&lt;&gt;2)),"",IF(AND(OR('Choix pédagogiques'!$C$3=1,'Choix pédagogiques'!$C$3=2),$B208&lt;&gt;"",$C208&lt;&gt;"",$D208&lt;&gt;""),1,0))</f>
        <v/>
      </c>
      <c r="BN208" s="21" t="str">
        <f>IF(OR(COUNT(G208:I1207)=0,AND('Choix pédagogiques'!$C$3&lt;&gt;1,'Choix pédagogiques'!$C$3&lt;&gt;2)),"",IF(AND(OR('Choix pédagogiques'!$C$3=1,'Choix pédagogiques'!$C$3=2),AND($G208&lt;&gt;"",$H208&lt;&gt;"",$I208&lt;&gt;"")),1,0))</f>
        <v/>
      </c>
      <c r="BO208" s="21" t="str">
        <f>IF(OR(COUNT(B208:D1207)=0,COUNT(G208:I1207)=0,'Choix pédagogiques'!C$3&lt;&gt;3),"",IF(AND('Choix pédagogiques'!$C$3=3,$B208&lt;&gt;"",$C208&lt;&gt;"",$D208&lt;&gt;"",$G208&lt;&gt;"",$H208&lt;&gt;"",$I208&lt;&gt;""),1,0))</f>
        <v/>
      </c>
      <c r="BR208" s="21">
        <v>938</v>
      </c>
      <c r="BS208" s="21">
        <v>1283</v>
      </c>
      <c r="BT208"/>
    </row>
    <row r="209" spans="1:72" s="23" customFormat="1" ht="18" customHeight="1" x14ac:dyDescent="0.3">
      <c r="A209" s="35" t="s">
        <v>199</v>
      </c>
      <c r="B209" s="37"/>
      <c r="C209" s="37"/>
      <c r="D209" s="37"/>
      <c r="E209" s="37"/>
      <c r="F209" s="35" t="s">
        <v>1207</v>
      </c>
      <c r="G209" s="37"/>
      <c r="H209" s="37"/>
      <c r="I209" s="37"/>
      <c r="J209" s="37"/>
      <c r="K209" s="21" t="str">
        <f t="shared" si="197"/>
        <v>Apprenant 197</v>
      </c>
      <c r="L209" s="22" t="str">
        <f t="shared" si="198"/>
        <v/>
      </c>
      <c r="M209" s="22" t="str">
        <f t="shared" si="199"/>
        <v/>
      </c>
      <c r="N209" s="22" t="str">
        <f t="shared" si="200"/>
        <v/>
      </c>
      <c r="O209" s="22" t="str">
        <f t="shared" si="201"/>
        <v/>
      </c>
      <c r="P209" s="21" t="str">
        <f t="shared" si="202"/>
        <v>Apprenant 197 ou 197'</v>
      </c>
      <c r="Q209" s="22" t="str">
        <f t="shared" si="203"/>
        <v/>
      </c>
      <c r="R209" s="22" t="str">
        <f t="shared" si="204"/>
        <v/>
      </c>
      <c r="S209" s="22" t="str">
        <f t="shared" si="205"/>
        <v/>
      </c>
      <c r="T209" s="22" t="str">
        <f t="shared" si="206"/>
        <v/>
      </c>
      <c r="V209" s="21" t="str">
        <f t="shared" si="207"/>
        <v>Apprenant 197</v>
      </c>
      <c r="W209" s="22" t="str">
        <f>IF(AND(OR('Choix pédagogiques'!$C$3=1,'Choix pédagogiques'!$C$3=2),$BM209=1),B209,IF(AND('Choix pédagogiques'!$C$3=3,$BO209=1),B209,""))</f>
        <v/>
      </c>
      <c r="X209" s="22" t="str">
        <f>IF(AND(OR('Choix pédagogiques'!$C$3=1,'Choix pédagogiques'!$C$3=2),$BM209=1),C209,IF(AND('Choix pédagogiques'!$C$3=3,$BO209=1),C209,""))</f>
        <v/>
      </c>
      <c r="Y209" s="22" t="str">
        <f>IF(AND(OR('Choix pédagogiques'!$C$3=1,'Choix pédagogiques'!$C$3=2),$BM209=1),D209,IF(AND('Choix pédagogiques'!$C$3=3,$BO209=1),D209,""))</f>
        <v/>
      </c>
      <c r="Z209" s="22" t="str">
        <f t="shared" si="208"/>
        <v/>
      </c>
      <c r="AA209" s="21" t="str">
        <f t="shared" si="209"/>
        <v>Apprenant 197 ou 197'</v>
      </c>
      <c r="AB209" s="22" t="str">
        <f>IF(AND(OR('Choix pédagogiques'!$C$3=1,'Choix pédagogiques'!$C$3=2),$BN209=1),G209,IF(AND('Choix pédagogiques'!$C$3=3,$BO209=1),G209,""))</f>
        <v/>
      </c>
      <c r="AC209" s="22" t="str">
        <f>IF(AND(OR('Choix pédagogiques'!$C$3=1,'Choix pédagogiques'!$C$3=2),$BN209=1),H209,IF(AND('Choix pédagogiques'!$C$3=3,$BO209=1),H209,""))</f>
        <v/>
      </c>
      <c r="AD209" s="22" t="str">
        <f>IF(AND(OR('Choix pédagogiques'!$C$3=1,'Choix pédagogiques'!$C$3=2),$BN209=1),I209,IF(AND('Choix pédagogiques'!$C$3=3,$BO209=1),I209,""))</f>
        <v/>
      </c>
      <c r="AE209" s="22" t="str">
        <f t="shared" si="210"/>
        <v/>
      </c>
      <c r="AF209" s="21" t="str">
        <f t="shared" si="211"/>
        <v>Apprenant 197</v>
      </c>
      <c r="AG209" s="22" t="str">
        <f t="shared" si="185"/>
        <v/>
      </c>
      <c r="AH209" s="22" t="str">
        <f t="shared" si="186"/>
        <v/>
      </c>
      <c r="AI209" s="22" t="str">
        <f t="shared" si="187"/>
        <v/>
      </c>
      <c r="AJ209" s="22" t="str">
        <f t="shared" si="212"/>
        <v/>
      </c>
      <c r="AK209" s="21" t="str">
        <f t="shared" si="213"/>
        <v>Apprenant 197 ou 197'</v>
      </c>
      <c r="AL209" s="22" t="str">
        <f t="shared" si="188"/>
        <v/>
      </c>
      <c r="AM209" s="22" t="str">
        <f t="shared" si="189"/>
        <v/>
      </c>
      <c r="AN209" s="22" t="str">
        <f t="shared" si="190"/>
        <v/>
      </c>
      <c r="AO209" s="22" t="str">
        <f t="shared" si="214"/>
        <v/>
      </c>
      <c r="AQ209" s="21" t="str">
        <f t="shared" si="215"/>
        <v>Apprenant 197</v>
      </c>
      <c r="AR209" s="49" t="str">
        <f>IF(AND('Choix pédagogiques'!$C$4&lt;&gt;"?",'Choix pédagogiques'!$C$5&lt;&gt;"?",W209&lt;&gt;""),(W209-'Choix pédagogiques'!$C$4)/('Choix pédagogiques'!$C$5-'Choix pédagogiques'!$C$4),"")</f>
        <v/>
      </c>
      <c r="AS209" s="49" t="str">
        <f>IF(AND('Choix pédagogiques'!$C$4&lt;&gt;"?",'Choix pédagogiques'!$C$5&lt;&gt;"?",X209&lt;&gt;""),(X209-'Choix pédagogiques'!$C$4)/('Choix pédagogiques'!$C$5-'Choix pédagogiques'!$C$4),"")</f>
        <v/>
      </c>
      <c r="AT209" s="49" t="str">
        <f>IF(AND('Choix pédagogiques'!$C$4&lt;&gt;"?",'Choix pédagogiques'!$C$5&lt;&gt;"?",Y209&lt;&gt;""),(Y209-'Choix pédagogiques'!$C$4)/('Choix pédagogiques'!$C$5-'Choix pédagogiques'!$C$4),"")</f>
        <v/>
      </c>
      <c r="AU209" s="22" t="str">
        <f t="shared" si="216"/>
        <v/>
      </c>
      <c r="AV209" s="21" t="str">
        <f t="shared" si="217"/>
        <v>Apprenant 197 ou 197'</v>
      </c>
      <c r="AW209" s="49" t="str">
        <f>IF(AND('Choix pédagogiques'!$C$4&lt;&gt;"?",'Choix pédagogiques'!$C$5&lt;&gt;"?",AB209&lt;&gt;""),(AB209-'Choix pédagogiques'!$C$4)/('Choix pédagogiques'!$C$5-'Choix pédagogiques'!$C$4),"")</f>
        <v/>
      </c>
      <c r="AX209" s="49" t="str">
        <f>IF(AND('Choix pédagogiques'!$C$4&lt;&gt;"?",'Choix pédagogiques'!$C$5&lt;&gt;"?",AC209&lt;&gt;""),(AC209-'Choix pédagogiques'!$C$4)/('Choix pédagogiques'!$C$5-'Choix pédagogiques'!$C$4),"")</f>
        <v/>
      </c>
      <c r="AY209" s="49" t="str">
        <f>IF(AND('Choix pédagogiques'!$C$4&lt;&gt;"?",'Choix pédagogiques'!$C$5&lt;&gt;"?",AD209&lt;&gt;""),(AD209-'Choix pédagogiques'!$C$4)/('Choix pédagogiques'!$C$5-'Choix pédagogiques'!$C$4),"")</f>
        <v/>
      </c>
      <c r="AZ209" s="22" t="str">
        <f t="shared" si="218"/>
        <v/>
      </c>
      <c r="BA209" s="21" t="str">
        <f t="shared" si="219"/>
        <v>Apprenant 197</v>
      </c>
      <c r="BB209" s="49" t="str">
        <f t="shared" si="191"/>
        <v/>
      </c>
      <c r="BC209" s="49" t="str">
        <f t="shared" si="192"/>
        <v/>
      </c>
      <c r="BD209" s="49" t="str">
        <f t="shared" si="193"/>
        <v/>
      </c>
      <c r="BE209" s="22" t="str">
        <f t="shared" si="220"/>
        <v/>
      </c>
      <c r="BF209" s="21" t="str">
        <f t="shared" si="221"/>
        <v>Apprenant 197 ou 197'</v>
      </c>
      <c r="BG209" s="49" t="str">
        <f t="shared" si="194"/>
        <v/>
      </c>
      <c r="BH209" s="49" t="str">
        <f t="shared" si="195"/>
        <v/>
      </c>
      <c r="BI209" s="49" t="str">
        <f t="shared" si="196"/>
        <v/>
      </c>
      <c r="BJ209" s="22" t="str">
        <f t="shared" si="222"/>
        <v/>
      </c>
      <c r="BL209" s="21"/>
      <c r="BM209" s="21" t="str">
        <f>IF(OR(COUNT(B209:D1208)=0,AND('Choix pédagogiques'!$C$3&lt;&gt;1,'Choix pédagogiques'!$C$3&lt;&gt;2)),"",IF(AND(OR('Choix pédagogiques'!$C$3=1,'Choix pédagogiques'!$C$3=2),$B209&lt;&gt;"",$C209&lt;&gt;"",$D209&lt;&gt;""),1,0))</f>
        <v/>
      </c>
      <c r="BN209" s="21" t="str">
        <f>IF(OR(COUNT(G209:I1208)=0,AND('Choix pédagogiques'!$C$3&lt;&gt;1,'Choix pédagogiques'!$C$3&lt;&gt;2)),"",IF(AND(OR('Choix pédagogiques'!$C$3=1,'Choix pédagogiques'!$C$3=2),AND($G209&lt;&gt;"",$H209&lt;&gt;"",$I209&lt;&gt;"")),1,0))</f>
        <v/>
      </c>
      <c r="BO209" s="21" t="str">
        <f>IF(OR(COUNT(B209:D1208)=0,COUNT(G209:I1208)=0,'Choix pédagogiques'!C$3&lt;&gt;3),"",IF(AND('Choix pédagogiques'!$C$3=3,$B209&lt;&gt;"",$C209&lt;&gt;"",$D209&lt;&gt;"",$G209&lt;&gt;"",$H209&lt;&gt;"",$I209&lt;&gt;""),1,0))</f>
        <v/>
      </c>
      <c r="BR209" s="21">
        <v>555</v>
      </c>
      <c r="BS209" s="21">
        <v>1434</v>
      </c>
      <c r="BT209"/>
    </row>
    <row r="210" spans="1:72" s="23" customFormat="1" ht="18" customHeight="1" x14ac:dyDescent="0.3">
      <c r="A210" s="35" t="s">
        <v>200</v>
      </c>
      <c r="B210" s="37"/>
      <c r="C210" s="37"/>
      <c r="D210" s="37"/>
      <c r="E210" s="37"/>
      <c r="F210" s="35" t="s">
        <v>1208</v>
      </c>
      <c r="G210" s="37"/>
      <c r="H210" s="37"/>
      <c r="I210" s="37"/>
      <c r="J210" s="37"/>
      <c r="K210" s="21" t="str">
        <f t="shared" si="197"/>
        <v>Apprenant 198</v>
      </c>
      <c r="L210" s="22" t="str">
        <f t="shared" si="198"/>
        <v/>
      </c>
      <c r="M210" s="22" t="str">
        <f t="shared" si="199"/>
        <v/>
      </c>
      <c r="N210" s="22" t="str">
        <f t="shared" si="200"/>
        <v/>
      </c>
      <c r="O210" s="22" t="str">
        <f t="shared" si="201"/>
        <v/>
      </c>
      <c r="P210" s="21" t="str">
        <f t="shared" si="202"/>
        <v>Apprenant 198 ou 198'</v>
      </c>
      <c r="Q210" s="22" t="str">
        <f t="shared" si="203"/>
        <v/>
      </c>
      <c r="R210" s="22" t="str">
        <f t="shared" si="204"/>
        <v/>
      </c>
      <c r="S210" s="22" t="str">
        <f t="shared" si="205"/>
        <v/>
      </c>
      <c r="T210" s="22" t="str">
        <f t="shared" si="206"/>
        <v/>
      </c>
      <c r="V210" s="21" t="str">
        <f t="shared" si="207"/>
        <v>Apprenant 198</v>
      </c>
      <c r="W210" s="22" t="str">
        <f>IF(AND(OR('Choix pédagogiques'!$C$3=1,'Choix pédagogiques'!$C$3=2),$BM210=1),B210,IF(AND('Choix pédagogiques'!$C$3=3,$BO210=1),B210,""))</f>
        <v/>
      </c>
      <c r="X210" s="22" t="str">
        <f>IF(AND(OR('Choix pédagogiques'!$C$3=1,'Choix pédagogiques'!$C$3=2),$BM210=1),C210,IF(AND('Choix pédagogiques'!$C$3=3,$BO210=1),C210,""))</f>
        <v/>
      </c>
      <c r="Y210" s="22" t="str">
        <f>IF(AND(OR('Choix pédagogiques'!$C$3=1,'Choix pédagogiques'!$C$3=2),$BM210=1),D210,IF(AND('Choix pédagogiques'!$C$3=3,$BO210=1),D210,""))</f>
        <v/>
      </c>
      <c r="Z210" s="22" t="str">
        <f t="shared" si="208"/>
        <v/>
      </c>
      <c r="AA210" s="21" t="str">
        <f t="shared" si="209"/>
        <v>Apprenant 198 ou 198'</v>
      </c>
      <c r="AB210" s="22" t="str">
        <f>IF(AND(OR('Choix pédagogiques'!$C$3=1,'Choix pédagogiques'!$C$3=2),$BN210=1),G210,IF(AND('Choix pédagogiques'!$C$3=3,$BO210=1),G210,""))</f>
        <v/>
      </c>
      <c r="AC210" s="22" t="str">
        <f>IF(AND(OR('Choix pédagogiques'!$C$3=1,'Choix pédagogiques'!$C$3=2),$BN210=1),H210,IF(AND('Choix pédagogiques'!$C$3=3,$BO210=1),H210,""))</f>
        <v/>
      </c>
      <c r="AD210" s="22" t="str">
        <f>IF(AND(OR('Choix pédagogiques'!$C$3=1,'Choix pédagogiques'!$C$3=2),$BN210=1),I210,IF(AND('Choix pédagogiques'!$C$3=3,$BO210=1),I210,""))</f>
        <v/>
      </c>
      <c r="AE210" s="22" t="str">
        <f t="shared" si="210"/>
        <v/>
      </c>
      <c r="AF210" s="21" t="str">
        <f t="shared" si="211"/>
        <v>Apprenant 198</v>
      </c>
      <c r="AG210" s="22" t="str">
        <f t="shared" si="185"/>
        <v/>
      </c>
      <c r="AH210" s="22" t="str">
        <f t="shared" si="186"/>
        <v/>
      </c>
      <c r="AI210" s="22" t="str">
        <f t="shared" si="187"/>
        <v/>
      </c>
      <c r="AJ210" s="22" t="str">
        <f t="shared" si="212"/>
        <v/>
      </c>
      <c r="AK210" s="21" t="str">
        <f t="shared" si="213"/>
        <v>Apprenant 198 ou 198'</v>
      </c>
      <c r="AL210" s="22" t="str">
        <f t="shared" si="188"/>
        <v/>
      </c>
      <c r="AM210" s="22" t="str">
        <f t="shared" si="189"/>
        <v/>
      </c>
      <c r="AN210" s="22" t="str">
        <f t="shared" si="190"/>
        <v/>
      </c>
      <c r="AO210" s="22" t="str">
        <f t="shared" si="214"/>
        <v/>
      </c>
      <c r="AQ210" s="21" t="str">
        <f t="shared" si="215"/>
        <v>Apprenant 198</v>
      </c>
      <c r="AR210" s="49" t="str">
        <f>IF(AND('Choix pédagogiques'!$C$4&lt;&gt;"?",'Choix pédagogiques'!$C$5&lt;&gt;"?",W210&lt;&gt;""),(W210-'Choix pédagogiques'!$C$4)/('Choix pédagogiques'!$C$5-'Choix pédagogiques'!$C$4),"")</f>
        <v/>
      </c>
      <c r="AS210" s="49" t="str">
        <f>IF(AND('Choix pédagogiques'!$C$4&lt;&gt;"?",'Choix pédagogiques'!$C$5&lt;&gt;"?",X210&lt;&gt;""),(X210-'Choix pédagogiques'!$C$4)/('Choix pédagogiques'!$C$5-'Choix pédagogiques'!$C$4),"")</f>
        <v/>
      </c>
      <c r="AT210" s="49" t="str">
        <f>IF(AND('Choix pédagogiques'!$C$4&lt;&gt;"?",'Choix pédagogiques'!$C$5&lt;&gt;"?",Y210&lt;&gt;""),(Y210-'Choix pédagogiques'!$C$4)/('Choix pédagogiques'!$C$5-'Choix pédagogiques'!$C$4),"")</f>
        <v/>
      </c>
      <c r="AU210" s="22" t="str">
        <f t="shared" si="216"/>
        <v/>
      </c>
      <c r="AV210" s="21" t="str">
        <f t="shared" si="217"/>
        <v>Apprenant 198 ou 198'</v>
      </c>
      <c r="AW210" s="49" t="str">
        <f>IF(AND('Choix pédagogiques'!$C$4&lt;&gt;"?",'Choix pédagogiques'!$C$5&lt;&gt;"?",AB210&lt;&gt;""),(AB210-'Choix pédagogiques'!$C$4)/('Choix pédagogiques'!$C$5-'Choix pédagogiques'!$C$4),"")</f>
        <v/>
      </c>
      <c r="AX210" s="49" t="str">
        <f>IF(AND('Choix pédagogiques'!$C$4&lt;&gt;"?",'Choix pédagogiques'!$C$5&lt;&gt;"?",AC210&lt;&gt;""),(AC210-'Choix pédagogiques'!$C$4)/('Choix pédagogiques'!$C$5-'Choix pédagogiques'!$C$4),"")</f>
        <v/>
      </c>
      <c r="AY210" s="49" t="str">
        <f>IF(AND('Choix pédagogiques'!$C$4&lt;&gt;"?",'Choix pédagogiques'!$C$5&lt;&gt;"?",AD210&lt;&gt;""),(AD210-'Choix pédagogiques'!$C$4)/('Choix pédagogiques'!$C$5-'Choix pédagogiques'!$C$4),"")</f>
        <v/>
      </c>
      <c r="AZ210" s="22" t="str">
        <f t="shared" si="218"/>
        <v/>
      </c>
      <c r="BA210" s="21" t="str">
        <f t="shared" si="219"/>
        <v>Apprenant 198</v>
      </c>
      <c r="BB210" s="49" t="str">
        <f t="shared" si="191"/>
        <v/>
      </c>
      <c r="BC210" s="49" t="str">
        <f t="shared" si="192"/>
        <v/>
      </c>
      <c r="BD210" s="49" t="str">
        <f t="shared" si="193"/>
        <v/>
      </c>
      <c r="BE210" s="22" t="str">
        <f t="shared" si="220"/>
        <v/>
      </c>
      <c r="BF210" s="21" t="str">
        <f t="shared" si="221"/>
        <v>Apprenant 198 ou 198'</v>
      </c>
      <c r="BG210" s="49" t="str">
        <f t="shared" si="194"/>
        <v/>
      </c>
      <c r="BH210" s="49" t="str">
        <f t="shared" si="195"/>
        <v/>
      </c>
      <c r="BI210" s="49" t="str">
        <f t="shared" si="196"/>
        <v/>
      </c>
      <c r="BJ210" s="22" t="str">
        <f t="shared" si="222"/>
        <v/>
      </c>
      <c r="BL210" s="21"/>
      <c r="BM210" s="21" t="str">
        <f>IF(OR(COUNT(B210:D1209)=0,AND('Choix pédagogiques'!$C$3&lt;&gt;1,'Choix pédagogiques'!$C$3&lt;&gt;2)),"",IF(AND(OR('Choix pédagogiques'!$C$3=1,'Choix pédagogiques'!$C$3=2),$B210&lt;&gt;"",$C210&lt;&gt;"",$D210&lt;&gt;""),1,0))</f>
        <v/>
      </c>
      <c r="BN210" s="21" t="str">
        <f>IF(OR(COUNT(G210:I1209)=0,AND('Choix pédagogiques'!$C$3&lt;&gt;1,'Choix pédagogiques'!$C$3&lt;&gt;2)),"",IF(AND(OR('Choix pédagogiques'!$C$3=1,'Choix pédagogiques'!$C$3=2),AND($G210&lt;&gt;"",$H210&lt;&gt;"",$I210&lt;&gt;"")),1,0))</f>
        <v/>
      </c>
      <c r="BO210" s="21" t="str">
        <f>IF(OR(COUNT(B210:D1209)=0,COUNT(G210:I1209)=0,'Choix pédagogiques'!C$3&lt;&gt;3),"",IF(AND('Choix pédagogiques'!$C$3=3,$B210&lt;&gt;"",$C210&lt;&gt;"",$D210&lt;&gt;"",$G210&lt;&gt;"",$H210&lt;&gt;"",$I210&lt;&gt;""),1,0))</f>
        <v/>
      </c>
      <c r="BR210" s="21">
        <v>94</v>
      </c>
      <c r="BS210" s="21">
        <v>1855</v>
      </c>
      <c r="BT210"/>
    </row>
    <row r="211" spans="1:72" s="23" customFormat="1" ht="18" customHeight="1" x14ac:dyDescent="0.3">
      <c r="A211" s="35" t="s">
        <v>201</v>
      </c>
      <c r="B211" s="37"/>
      <c r="C211" s="37"/>
      <c r="D211" s="37"/>
      <c r="E211" s="37"/>
      <c r="F211" s="35" t="s">
        <v>1209</v>
      </c>
      <c r="G211" s="37"/>
      <c r="H211" s="37"/>
      <c r="I211" s="37"/>
      <c r="J211" s="37"/>
      <c r="K211" s="21" t="str">
        <f t="shared" si="197"/>
        <v>Apprenant 199</v>
      </c>
      <c r="L211" s="22" t="str">
        <f t="shared" si="198"/>
        <v/>
      </c>
      <c r="M211" s="22" t="str">
        <f t="shared" si="199"/>
        <v/>
      </c>
      <c r="N211" s="22" t="str">
        <f t="shared" si="200"/>
        <v/>
      </c>
      <c r="O211" s="22" t="str">
        <f t="shared" si="201"/>
        <v/>
      </c>
      <c r="P211" s="21" t="str">
        <f t="shared" si="202"/>
        <v>Apprenant 199 ou 199'</v>
      </c>
      <c r="Q211" s="22" t="str">
        <f t="shared" si="203"/>
        <v/>
      </c>
      <c r="R211" s="22" t="str">
        <f t="shared" si="204"/>
        <v/>
      </c>
      <c r="S211" s="22" t="str">
        <f t="shared" si="205"/>
        <v/>
      </c>
      <c r="T211" s="22" t="str">
        <f t="shared" si="206"/>
        <v/>
      </c>
      <c r="V211" s="21" t="str">
        <f t="shared" si="207"/>
        <v>Apprenant 199</v>
      </c>
      <c r="W211" s="22" t="str">
        <f>IF(AND(OR('Choix pédagogiques'!$C$3=1,'Choix pédagogiques'!$C$3=2),$BM211=1),B211,IF(AND('Choix pédagogiques'!$C$3=3,$BO211=1),B211,""))</f>
        <v/>
      </c>
      <c r="X211" s="22" t="str">
        <f>IF(AND(OR('Choix pédagogiques'!$C$3=1,'Choix pédagogiques'!$C$3=2),$BM211=1),C211,IF(AND('Choix pédagogiques'!$C$3=3,$BO211=1),C211,""))</f>
        <v/>
      </c>
      <c r="Y211" s="22" t="str">
        <f>IF(AND(OR('Choix pédagogiques'!$C$3=1,'Choix pédagogiques'!$C$3=2),$BM211=1),D211,IF(AND('Choix pédagogiques'!$C$3=3,$BO211=1),D211,""))</f>
        <v/>
      </c>
      <c r="Z211" s="22" t="str">
        <f t="shared" si="208"/>
        <v/>
      </c>
      <c r="AA211" s="21" t="str">
        <f t="shared" si="209"/>
        <v>Apprenant 199 ou 199'</v>
      </c>
      <c r="AB211" s="22" t="str">
        <f>IF(AND(OR('Choix pédagogiques'!$C$3=1,'Choix pédagogiques'!$C$3=2),$BN211=1),G211,IF(AND('Choix pédagogiques'!$C$3=3,$BO211=1),G211,""))</f>
        <v/>
      </c>
      <c r="AC211" s="22" t="str">
        <f>IF(AND(OR('Choix pédagogiques'!$C$3=1,'Choix pédagogiques'!$C$3=2),$BN211=1),H211,IF(AND('Choix pédagogiques'!$C$3=3,$BO211=1),H211,""))</f>
        <v/>
      </c>
      <c r="AD211" s="22" t="str">
        <f>IF(AND(OR('Choix pédagogiques'!$C$3=1,'Choix pédagogiques'!$C$3=2),$BN211=1),I211,IF(AND('Choix pédagogiques'!$C$3=3,$BO211=1),I211,""))</f>
        <v/>
      </c>
      <c r="AE211" s="22" t="str">
        <f t="shared" si="210"/>
        <v/>
      </c>
      <c r="AF211" s="21" t="str">
        <f t="shared" si="211"/>
        <v>Apprenant 199</v>
      </c>
      <c r="AG211" s="22" t="str">
        <f t="shared" si="185"/>
        <v/>
      </c>
      <c r="AH211" s="22" t="str">
        <f t="shared" si="186"/>
        <v/>
      </c>
      <c r="AI211" s="22" t="str">
        <f t="shared" si="187"/>
        <v/>
      </c>
      <c r="AJ211" s="22" t="str">
        <f t="shared" si="212"/>
        <v/>
      </c>
      <c r="AK211" s="21" t="str">
        <f t="shared" si="213"/>
        <v>Apprenant 199 ou 199'</v>
      </c>
      <c r="AL211" s="22" t="str">
        <f t="shared" si="188"/>
        <v/>
      </c>
      <c r="AM211" s="22" t="str">
        <f t="shared" si="189"/>
        <v/>
      </c>
      <c r="AN211" s="22" t="str">
        <f t="shared" si="190"/>
        <v/>
      </c>
      <c r="AO211" s="22" t="str">
        <f t="shared" si="214"/>
        <v/>
      </c>
      <c r="AQ211" s="21" t="str">
        <f t="shared" si="215"/>
        <v>Apprenant 199</v>
      </c>
      <c r="AR211" s="49" t="str">
        <f>IF(AND('Choix pédagogiques'!$C$4&lt;&gt;"?",'Choix pédagogiques'!$C$5&lt;&gt;"?",W211&lt;&gt;""),(W211-'Choix pédagogiques'!$C$4)/('Choix pédagogiques'!$C$5-'Choix pédagogiques'!$C$4),"")</f>
        <v/>
      </c>
      <c r="AS211" s="49" t="str">
        <f>IF(AND('Choix pédagogiques'!$C$4&lt;&gt;"?",'Choix pédagogiques'!$C$5&lt;&gt;"?",X211&lt;&gt;""),(X211-'Choix pédagogiques'!$C$4)/('Choix pédagogiques'!$C$5-'Choix pédagogiques'!$C$4),"")</f>
        <v/>
      </c>
      <c r="AT211" s="49" t="str">
        <f>IF(AND('Choix pédagogiques'!$C$4&lt;&gt;"?",'Choix pédagogiques'!$C$5&lt;&gt;"?",Y211&lt;&gt;""),(Y211-'Choix pédagogiques'!$C$4)/('Choix pédagogiques'!$C$5-'Choix pédagogiques'!$C$4),"")</f>
        <v/>
      </c>
      <c r="AU211" s="22" t="str">
        <f t="shared" si="216"/>
        <v/>
      </c>
      <c r="AV211" s="21" t="str">
        <f t="shared" si="217"/>
        <v>Apprenant 199 ou 199'</v>
      </c>
      <c r="AW211" s="49" t="str">
        <f>IF(AND('Choix pédagogiques'!$C$4&lt;&gt;"?",'Choix pédagogiques'!$C$5&lt;&gt;"?",AB211&lt;&gt;""),(AB211-'Choix pédagogiques'!$C$4)/('Choix pédagogiques'!$C$5-'Choix pédagogiques'!$C$4),"")</f>
        <v/>
      </c>
      <c r="AX211" s="49" t="str">
        <f>IF(AND('Choix pédagogiques'!$C$4&lt;&gt;"?",'Choix pédagogiques'!$C$5&lt;&gt;"?",AC211&lt;&gt;""),(AC211-'Choix pédagogiques'!$C$4)/('Choix pédagogiques'!$C$5-'Choix pédagogiques'!$C$4),"")</f>
        <v/>
      </c>
      <c r="AY211" s="49" t="str">
        <f>IF(AND('Choix pédagogiques'!$C$4&lt;&gt;"?",'Choix pédagogiques'!$C$5&lt;&gt;"?",AD211&lt;&gt;""),(AD211-'Choix pédagogiques'!$C$4)/('Choix pédagogiques'!$C$5-'Choix pédagogiques'!$C$4),"")</f>
        <v/>
      </c>
      <c r="AZ211" s="22" t="str">
        <f t="shared" si="218"/>
        <v/>
      </c>
      <c r="BA211" s="21" t="str">
        <f t="shared" si="219"/>
        <v>Apprenant 199</v>
      </c>
      <c r="BB211" s="49" t="str">
        <f t="shared" si="191"/>
        <v/>
      </c>
      <c r="BC211" s="49" t="str">
        <f t="shared" si="192"/>
        <v/>
      </c>
      <c r="BD211" s="49" t="str">
        <f t="shared" si="193"/>
        <v/>
      </c>
      <c r="BE211" s="22" t="str">
        <f t="shared" si="220"/>
        <v/>
      </c>
      <c r="BF211" s="21" t="str">
        <f t="shared" si="221"/>
        <v>Apprenant 199 ou 199'</v>
      </c>
      <c r="BG211" s="49" t="str">
        <f t="shared" si="194"/>
        <v/>
      </c>
      <c r="BH211" s="49" t="str">
        <f t="shared" si="195"/>
        <v/>
      </c>
      <c r="BI211" s="49" t="str">
        <f t="shared" si="196"/>
        <v/>
      </c>
      <c r="BJ211" s="22" t="str">
        <f t="shared" si="222"/>
        <v/>
      </c>
      <c r="BL211" s="21"/>
      <c r="BM211" s="21" t="str">
        <f>IF(OR(COUNT(B211:D1210)=0,AND('Choix pédagogiques'!$C$3&lt;&gt;1,'Choix pédagogiques'!$C$3&lt;&gt;2)),"",IF(AND(OR('Choix pédagogiques'!$C$3=1,'Choix pédagogiques'!$C$3=2),$B211&lt;&gt;"",$C211&lt;&gt;"",$D211&lt;&gt;""),1,0))</f>
        <v/>
      </c>
      <c r="BN211" s="21" t="str">
        <f>IF(OR(COUNT(G211:I1210)=0,AND('Choix pédagogiques'!$C$3&lt;&gt;1,'Choix pédagogiques'!$C$3&lt;&gt;2)),"",IF(AND(OR('Choix pédagogiques'!$C$3=1,'Choix pédagogiques'!$C$3=2),AND($G211&lt;&gt;"",$H211&lt;&gt;"",$I211&lt;&gt;"")),1,0))</f>
        <v/>
      </c>
      <c r="BO211" s="21" t="str">
        <f>IF(OR(COUNT(B211:D1210)=0,COUNT(G211:I1210)=0,'Choix pédagogiques'!C$3&lt;&gt;3),"",IF(AND('Choix pédagogiques'!$C$3=3,$B211&lt;&gt;"",$C211&lt;&gt;"",$D211&lt;&gt;"",$G211&lt;&gt;"",$H211&lt;&gt;"",$I211&lt;&gt;""),1,0))</f>
        <v/>
      </c>
      <c r="BR211" s="21">
        <v>926</v>
      </c>
      <c r="BS211" s="21">
        <v>1356</v>
      </c>
      <c r="BT211"/>
    </row>
    <row r="212" spans="1:72" s="23" customFormat="1" ht="18" customHeight="1" x14ac:dyDescent="0.3">
      <c r="A212" s="35" t="s">
        <v>202</v>
      </c>
      <c r="B212" s="37"/>
      <c r="C212" s="37"/>
      <c r="D212" s="37"/>
      <c r="E212" s="37"/>
      <c r="F212" s="35" t="s">
        <v>1210</v>
      </c>
      <c r="G212" s="37"/>
      <c r="H212" s="37"/>
      <c r="I212" s="37"/>
      <c r="J212" s="37"/>
      <c r="K212" s="21" t="str">
        <f t="shared" si="197"/>
        <v>Apprenant 200</v>
      </c>
      <c r="L212" s="22" t="str">
        <f t="shared" si="198"/>
        <v/>
      </c>
      <c r="M212" s="22" t="str">
        <f t="shared" si="199"/>
        <v/>
      </c>
      <c r="N212" s="22" t="str">
        <f t="shared" si="200"/>
        <v/>
      </c>
      <c r="O212" s="22" t="str">
        <f t="shared" si="201"/>
        <v/>
      </c>
      <c r="P212" s="21" t="str">
        <f t="shared" si="202"/>
        <v>Apprenant 200 ou 200'</v>
      </c>
      <c r="Q212" s="22" t="str">
        <f t="shared" si="203"/>
        <v/>
      </c>
      <c r="R212" s="22" t="str">
        <f t="shared" si="204"/>
        <v/>
      </c>
      <c r="S212" s="22" t="str">
        <f t="shared" si="205"/>
        <v/>
      </c>
      <c r="T212" s="22" t="str">
        <f t="shared" si="206"/>
        <v/>
      </c>
      <c r="V212" s="21" t="str">
        <f t="shared" si="207"/>
        <v>Apprenant 200</v>
      </c>
      <c r="W212" s="22" t="str">
        <f>IF(AND(OR('Choix pédagogiques'!$C$3=1,'Choix pédagogiques'!$C$3=2),$BM212=1),B212,IF(AND('Choix pédagogiques'!$C$3=3,$BO212=1),B212,""))</f>
        <v/>
      </c>
      <c r="X212" s="22" t="str">
        <f>IF(AND(OR('Choix pédagogiques'!$C$3=1,'Choix pédagogiques'!$C$3=2),$BM212=1),C212,IF(AND('Choix pédagogiques'!$C$3=3,$BO212=1),C212,""))</f>
        <v/>
      </c>
      <c r="Y212" s="22" t="str">
        <f>IF(AND(OR('Choix pédagogiques'!$C$3=1,'Choix pédagogiques'!$C$3=2),$BM212=1),D212,IF(AND('Choix pédagogiques'!$C$3=3,$BO212=1),D212,""))</f>
        <v/>
      </c>
      <c r="Z212" s="22" t="str">
        <f t="shared" si="208"/>
        <v/>
      </c>
      <c r="AA212" s="21" t="str">
        <f t="shared" si="209"/>
        <v>Apprenant 200 ou 200'</v>
      </c>
      <c r="AB212" s="22" t="str">
        <f>IF(AND(OR('Choix pédagogiques'!$C$3=1,'Choix pédagogiques'!$C$3=2),$BN212=1),G212,IF(AND('Choix pédagogiques'!$C$3=3,$BO212=1),G212,""))</f>
        <v/>
      </c>
      <c r="AC212" s="22" t="str">
        <f>IF(AND(OR('Choix pédagogiques'!$C$3=1,'Choix pédagogiques'!$C$3=2),$BN212=1),H212,IF(AND('Choix pédagogiques'!$C$3=3,$BO212=1),H212,""))</f>
        <v/>
      </c>
      <c r="AD212" s="22" t="str">
        <f>IF(AND(OR('Choix pédagogiques'!$C$3=1,'Choix pédagogiques'!$C$3=2),$BN212=1),I212,IF(AND('Choix pédagogiques'!$C$3=3,$BO212=1),I212,""))</f>
        <v/>
      </c>
      <c r="AE212" s="22" t="str">
        <f t="shared" si="210"/>
        <v/>
      </c>
      <c r="AF212" s="21" t="str">
        <f t="shared" si="211"/>
        <v>Apprenant 200</v>
      </c>
      <c r="AG212" s="22" t="str">
        <f t="shared" si="185"/>
        <v/>
      </c>
      <c r="AH212" s="22" t="str">
        <f t="shared" si="186"/>
        <v/>
      </c>
      <c r="AI212" s="22" t="str">
        <f t="shared" si="187"/>
        <v/>
      </c>
      <c r="AJ212" s="22" t="str">
        <f t="shared" si="212"/>
        <v/>
      </c>
      <c r="AK212" s="21" t="str">
        <f t="shared" si="213"/>
        <v>Apprenant 200 ou 200'</v>
      </c>
      <c r="AL212" s="22" t="str">
        <f t="shared" si="188"/>
        <v/>
      </c>
      <c r="AM212" s="22" t="str">
        <f t="shared" si="189"/>
        <v/>
      </c>
      <c r="AN212" s="22" t="str">
        <f t="shared" si="190"/>
        <v/>
      </c>
      <c r="AO212" s="22" t="str">
        <f t="shared" si="214"/>
        <v/>
      </c>
      <c r="AQ212" s="21" t="str">
        <f t="shared" si="215"/>
        <v>Apprenant 200</v>
      </c>
      <c r="AR212" s="49" t="str">
        <f>IF(AND('Choix pédagogiques'!$C$4&lt;&gt;"?",'Choix pédagogiques'!$C$5&lt;&gt;"?",W212&lt;&gt;""),(W212-'Choix pédagogiques'!$C$4)/('Choix pédagogiques'!$C$5-'Choix pédagogiques'!$C$4),"")</f>
        <v/>
      </c>
      <c r="AS212" s="49" t="str">
        <f>IF(AND('Choix pédagogiques'!$C$4&lt;&gt;"?",'Choix pédagogiques'!$C$5&lt;&gt;"?",X212&lt;&gt;""),(X212-'Choix pédagogiques'!$C$4)/('Choix pédagogiques'!$C$5-'Choix pédagogiques'!$C$4),"")</f>
        <v/>
      </c>
      <c r="AT212" s="49" t="str">
        <f>IF(AND('Choix pédagogiques'!$C$4&lt;&gt;"?",'Choix pédagogiques'!$C$5&lt;&gt;"?",Y212&lt;&gt;""),(Y212-'Choix pédagogiques'!$C$4)/('Choix pédagogiques'!$C$5-'Choix pédagogiques'!$C$4),"")</f>
        <v/>
      </c>
      <c r="AU212" s="22" t="str">
        <f t="shared" si="216"/>
        <v/>
      </c>
      <c r="AV212" s="21" t="str">
        <f t="shared" si="217"/>
        <v>Apprenant 200 ou 200'</v>
      </c>
      <c r="AW212" s="49" t="str">
        <f>IF(AND('Choix pédagogiques'!$C$4&lt;&gt;"?",'Choix pédagogiques'!$C$5&lt;&gt;"?",AB212&lt;&gt;""),(AB212-'Choix pédagogiques'!$C$4)/('Choix pédagogiques'!$C$5-'Choix pédagogiques'!$C$4),"")</f>
        <v/>
      </c>
      <c r="AX212" s="49" t="str">
        <f>IF(AND('Choix pédagogiques'!$C$4&lt;&gt;"?",'Choix pédagogiques'!$C$5&lt;&gt;"?",AC212&lt;&gt;""),(AC212-'Choix pédagogiques'!$C$4)/('Choix pédagogiques'!$C$5-'Choix pédagogiques'!$C$4),"")</f>
        <v/>
      </c>
      <c r="AY212" s="49" t="str">
        <f>IF(AND('Choix pédagogiques'!$C$4&lt;&gt;"?",'Choix pédagogiques'!$C$5&lt;&gt;"?",AD212&lt;&gt;""),(AD212-'Choix pédagogiques'!$C$4)/('Choix pédagogiques'!$C$5-'Choix pédagogiques'!$C$4),"")</f>
        <v/>
      </c>
      <c r="AZ212" s="22" t="str">
        <f t="shared" si="218"/>
        <v/>
      </c>
      <c r="BA212" s="21" t="str">
        <f t="shared" si="219"/>
        <v>Apprenant 200</v>
      </c>
      <c r="BB212" s="49" t="str">
        <f t="shared" si="191"/>
        <v/>
      </c>
      <c r="BC212" s="49" t="str">
        <f t="shared" si="192"/>
        <v/>
      </c>
      <c r="BD212" s="49" t="str">
        <f t="shared" si="193"/>
        <v/>
      </c>
      <c r="BE212" s="22" t="str">
        <f t="shared" si="220"/>
        <v/>
      </c>
      <c r="BF212" s="21" t="str">
        <f t="shared" si="221"/>
        <v>Apprenant 200 ou 200'</v>
      </c>
      <c r="BG212" s="49" t="str">
        <f t="shared" si="194"/>
        <v/>
      </c>
      <c r="BH212" s="49" t="str">
        <f t="shared" si="195"/>
        <v/>
      </c>
      <c r="BI212" s="49" t="str">
        <f t="shared" si="196"/>
        <v/>
      </c>
      <c r="BJ212" s="22" t="str">
        <f t="shared" si="222"/>
        <v/>
      </c>
      <c r="BL212" s="21"/>
      <c r="BM212" s="21" t="str">
        <f>IF(OR(COUNT(B212:D1211)=0,AND('Choix pédagogiques'!$C$3&lt;&gt;1,'Choix pédagogiques'!$C$3&lt;&gt;2)),"",IF(AND(OR('Choix pédagogiques'!$C$3=1,'Choix pédagogiques'!$C$3=2),$B212&lt;&gt;"",$C212&lt;&gt;"",$D212&lt;&gt;""),1,0))</f>
        <v/>
      </c>
      <c r="BN212" s="21" t="str">
        <f>IF(OR(COUNT(G212:I1211)=0,AND('Choix pédagogiques'!$C$3&lt;&gt;1,'Choix pédagogiques'!$C$3&lt;&gt;2)),"",IF(AND(OR('Choix pédagogiques'!$C$3=1,'Choix pédagogiques'!$C$3=2),AND($G212&lt;&gt;"",$H212&lt;&gt;"",$I212&lt;&gt;"")),1,0))</f>
        <v/>
      </c>
      <c r="BO212" s="21" t="str">
        <f>IF(OR(COUNT(B212:D1211)=0,COUNT(G212:I1211)=0,'Choix pédagogiques'!C$3&lt;&gt;3),"",IF(AND('Choix pédagogiques'!$C$3=3,$B212&lt;&gt;"",$C212&lt;&gt;"",$D212&lt;&gt;"",$G212&lt;&gt;"",$H212&lt;&gt;"",$I212&lt;&gt;""),1,0))</f>
        <v/>
      </c>
      <c r="BR212" s="21">
        <v>934</v>
      </c>
      <c r="BS212" s="21">
        <v>1328</v>
      </c>
      <c r="BT212"/>
    </row>
    <row r="213" spans="1:72" s="23" customFormat="1" ht="18" customHeight="1" x14ac:dyDescent="0.3">
      <c r="A213" s="35" t="s">
        <v>203</v>
      </c>
      <c r="B213" s="37"/>
      <c r="C213" s="37"/>
      <c r="D213" s="37"/>
      <c r="E213" s="37"/>
      <c r="F213" s="35" t="s">
        <v>1211</v>
      </c>
      <c r="G213" s="37"/>
      <c r="H213" s="37"/>
      <c r="I213" s="37"/>
      <c r="J213" s="37"/>
      <c r="K213" s="21" t="str">
        <f t="shared" si="197"/>
        <v>Apprenant 201</v>
      </c>
      <c r="L213" s="22" t="str">
        <f t="shared" si="198"/>
        <v/>
      </c>
      <c r="M213" s="22" t="str">
        <f t="shared" si="199"/>
        <v/>
      </c>
      <c r="N213" s="22" t="str">
        <f t="shared" si="200"/>
        <v/>
      </c>
      <c r="O213" s="22" t="str">
        <f t="shared" si="201"/>
        <v/>
      </c>
      <c r="P213" s="21" t="str">
        <f t="shared" si="202"/>
        <v>Apprenant 201 ou 201'</v>
      </c>
      <c r="Q213" s="22" t="str">
        <f t="shared" si="203"/>
        <v/>
      </c>
      <c r="R213" s="22" t="str">
        <f t="shared" si="204"/>
        <v/>
      </c>
      <c r="S213" s="22" t="str">
        <f t="shared" si="205"/>
        <v/>
      </c>
      <c r="T213" s="22" t="str">
        <f t="shared" si="206"/>
        <v/>
      </c>
      <c r="V213" s="21" t="str">
        <f t="shared" si="207"/>
        <v>Apprenant 201</v>
      </c>
      <c r="W213" s="22" t="str">
        <f>IF(AND(OR('Choix pédagogiques'!$C$3=1,'Choix pédagogiques'!$C$3=2),$BM213=1),B213,IF(AND('Choix pédagogiques'!$C$3=3,$BO213=1),B213,""))</f>
        <v/>
      </c>
      <c r="X213" s="22" t="str">
        <f>IF(AND(OR('Choix pédagogiques'!$C$3=1,'Choix pédagogiques'!$C$3=2),$BM213=1),C213,IF(AND('Choix pédagogiques'!$C$3=3,$BO213=1),C213,""))</f>
        <v/>
      </c>
      <c r="Y213" s="22" t="str">
        <f>IF(AND(OR('Choix pédagogiques'!$C$3=1,'Choix pédagogiques'!$C$3=2),$BM213=1),D213,IF(AND('Choix pédagogiques'!$C$3=3,$BO213=1),D213,""))</f>
        <v/>
      </c>
      <c r="Z213" s="22" t="str">
        <f t="shared" si="208"/>
        <v/>
      </c>
      <c r="AA213" s="21" t="str">
        <f t="shared" si="209"/>
        <v>Apprenant 201 ou 201'</v>
      </c>
      <c r="AB213" s="22" t="str">
        <f>IF(AND(OR('Choix pédagogiques'!$C$3=1,'Choix pédagogiques'!$C$3=2),$BN213=1),G213,IF(AND('Choix pédagogiques'!$C$3=3,$BO213=1),G213,""))</f>
        <v/>
      </c>
      <c r="AC213" s="22" t="str">
        <f>IF(AND(OR('Choix pédagogiques'!$C$3=1,'Choix pédagogiques'!$C$3=2),$BN213=1),H213,IF(AND('Choix pédagogiques'!$C$3=3,$BO213=1),H213,""))</f>
        <v/>
      </c>
      <c r="AD213" s="22" t="str">
        <f>IF(AND(OR('Choix pédagogiques'!$C$3=1,'Choix pédagogiques'!$C$3=2),$BN213=1),I213,IF(AND('Choix pédagogiques'!$C$3=3,$BO213=1),I213,""))</f>
        <v/>
      </c>
      <c r="AE213" s="22" t="str">
        <f t="shared" si="210"/>
        <v/>
      </c>
      <c r="AF213" s="21" t="str">
        <f t="shared" si="211"/>
        <v>Apprenant 201</v>
      </c>
      <c r="AG213" s="22" t="str">
        <f t="shared" si="185"/>
        <v/>
      </c>
      <c r="AH213" s="22" t="str">
        <f t="shared" si="186"/>
        <v/>
      </c>
      <c r="AI213" s="22" t="str">
        <f t="shared" si="187"/>
        <v/>
      </c>
      <c r="AJ213" s="22" t="str">
        <f t="shared" si="212"/>
        <v/>
      </c>
      <c r="AK213" s="21" t="str">
        <f t="shared" si="213"/>
        <v>Apprenant 201 ou 201'</v>
      </c>
      <c r="AL213" s="22" t="str">
        <f t="shared" si="188"/>
        <v/>
      </c>
      <c r="AM213" s="22" t="str">
        <f t="shared" si="189"/>
        <v/>
      </c>
      <c r="AN213" s="22" t="str">
        <f t="shared" si="190"/>
        <v/>
      </c>
      <c r="AO213" s="22" t="str">
        <f t="shared" si="214"/>
        <v/>
      </c>
      <c r="AQ213" s="21" t="str">
        <f t="shared" si="215"/>
        <v>Apprenant 201</v>
      </c>
      <c r="AR213" s="49" t="str">
        <f>IF(AND('Choix pédagogiques'!$C$4&lt;&gt;"?",'Choix pédagogiques'!$C$5&lt;&gt;"?",W213&lt;&gt;""),(W213-'Choix pédagogiques'!$C$4)/('Choix pédagogiques'!$C$5-'Choix pédagogiques'!$C$4),"")</f>
        <v/>
      </c>
      <c r="AS213" s="49" t="str">
        <f>IF(AND('Choix pédagogiques'!$C$4&lt;&gt;"?",'Choix pédagogiques'!$C$5&lt;&gt;"?",X213&lt;&gt;""),(X213-'Choix pédagogiques'!$C$4)/('Choix pédagogiques'!$C$5-'Choix pédagogiques'!$C$4),"")</f>
        <v/>
      </c>
      <c r="AT213" s="49" t="str">
        <f>IF(AND('Choix pédagogiques'!$C$4&lt;&gt;"?",'Choix pédagogiques'!$C$5&lt;&gt;"?",Y213&lt;&gt;""),(Y213-'Choix pédagogiques'!$C$4)/('Choix pédagogiques'!$C$5-'Choix pédagogiques'!$C$4),"")</f>
        <v/>
      </c>
      <c r="AU213" s="22" t="str">
        <f t="shared" si="216"/>
        <v/>
      </c>
      <c r="AV213" s="21" t="str">
        <f t="shared" si="217"/>
        <v>Apprenant 201 ou 201'</v>
      </c>
      <c r="AW213" s="49" t="str">
        <f>IF(AND('Choix pédagogiques'!$C$4&lt;&gt;"?",'Choix pédagogiques'!$C$5&lt;&gt;"?",AB213&lt;&gt;""),(AB213-'Choix pédagogiques'!$C$4)/('Choix pédagogiques'!$C$5-'Choix pédagogiques'!$C$4),"")</f>
        <v/>
      </c>
      <c r="AX213" s="49" t="str">
        <f>IF(AND('Choix pédagogiques'!$C$4&lt;&gt;"?",'Choix pédagogiques'!$C$5&lt;&gt;"?",AC213&lt;&gt;""),(AC213-'Choix pédagogiques'!$C$4)/('Choix pédagogiques'!$C$5-'Choix pédagogiques'!$C$4),"")</f>
        <v/>
      </c>
      <c r="AY213" s="49" t="str">
        <f>IF(AND('Choix pédagogiques'!$C$4&lt;&gt;"?",'Choix pédagogiques'!$C$5&lt;&gt;"?",AD213&lt;&gt;""),(AD213-'Choix pédagogiques'!$C$4)/('Choix pédagogiques'!$C$5-'Choix pédagogiques'!$C$4),"")</f>
        <v/>
      </c>
      <c r="AZ213" s="22" t="str">
        <f t="shared" si="218"/>
        <v/>
      </c>
      <c r="BA213" s="21" t="str">
        <f t="shared" si="219"/>
        <v>Apprenant 201</v>
      </c>
      <c r="BB213" s="49" t="str">
        <f t="shared" si="191"/>
        <v/>
      </c>
      <c r="BC213" s="49" t="str">
        <f t="shared" si="192"/>
        <v/>
      </c>
      <c r="BD213" s="49" t="str">
        <f t="shared" si="193"/>
        <v/>
      </c>
      <c r="BE213" s="22" t="str">
        <f t="shared" si="220"/>
        <v/>
      </c>
      <c r="BF213" s="21" t="str">
        <f t="shared" si="221"/>
        <v>Apprenant 201 ou 201'</v>
      </c>
      <c r="BG213" s="49" t="str">
        <f t="shared" si="194"/>
        <v/>
      </c>
      <c r="BH213" s="49" t="str">
        <f t="shared" si="195"/>
        <v/>
      </c>
      <c r="BI213" s="49" t="str">
        <f t="shared" si="196"/>
        <v/>
      </c>
      <c r="BJ213" s="22" t="str">
        <f t="shared" si="222"/>
        <v/>
      </c>
      <c r="BL213" s="21"/>
      <c r="BM213" s="21" t="str">
        <f>IF(OR(COUNT(B213:D1212)=0,AND('Choix pédagogiques'!$C$3&lt;&gt;1,'Choix pédagogiques'!$C$3&lt;&gt;2)),"",IF(AND(OR('Choix pédagogiques'!$C$3=1,'Choix pédagogiques'!$C$3=2),$B213&lt;&gt;"",$C213&lt;&gt;"",$D213&lt;&gt;""),1,0))</f>
        <v/>
      </c>
      <c r="BN213" s="21" t="str">
        <f>IF(OR(COUNT(G213:I1212)=0,AND('Choix pédagogiques'!$C$3&lt;&gt;1,'Choix pédagogiques'!$C$3&lt;&gt;2)),"",IF(AND(OR('Choix pédagogiques'!$C$3=1,'Choix pédagogiques'!$C$3=2),AND($G213&lt;&gt;"",$H213&lt;&gt;"",$I213&lt;&gt;"")),1,0))</f>
        <v/>
      </c>
      <c r="BO213" s="21" t="str">
        <f>IF(OR(COUNT(B213:D1212)=0,COUNT(G213:I1212)=0,'Choix pédagogiques'!C$3&lt;&gt;3),"",IF(AND('Choix pédagogiques'!$C$3=3,$B213&lt;&gt;"",$C213&lt;&gt;"",$D213&lt;&gt;"",$G213&lt;&gt;"",$H213&lt;&gt;"",$I213&lt;&gt;""),1,0))</f>
        <v/>
      </c>
      <c r="BR213" s="21">
        <v>495</v>
      </c>
      <c r="BS213" s="21">
        <v>1719</v>
      </c>
      <c r="BT213"/>
    </row>
    <row r="214" spans="1:72" s="23" customFormat="1" ht="18" customHeight="1" x14ac:dyDescent="0.3">
      <c r="A214" s="35" t="s">
        <v>204</v>
      </c>
      <c r="B214" s="37"/>
      <c r="C214" s="37"/>
      <c r="D214" s="37"/>
      <c r="E214" s="37"/>
      <c r="F214" s="35" t="s">
        <v>1212</v>
      </c>
      <c r="G214" s="37"/>
      <c r="H214" s="37"/>
      <c r="I214" s="37"/>
      <c r="J214" s="37"/>
      <c r="K214" s="21" t="str">
        <f t="shared" si="197"/>
        <v>Apprenant 202</v>
      </c>
      <c r="L214" s="22" t="str">
        <f t="shared" si="198"/>
        <v/>
      </c>
      <c r="M214" s="22" t="str">
        <f t="shared" si="199"/>
        <v/>
      </c>
      <c r="N214" s="22" t="str">
        <f t="shared" si="200"/>
        <v/>
      </c>
      <c r="O214" s="22" t="str">
        <f t="shared" si="201"/>
        <v/>
      </c>
      <c r="P214" s="21" t="str">
        <f t="shared" si="202"/>
        <v>Apprenant 202 ou 202'</v>
      </c>
      <c r="Q214" s="22" t="str">
        <f t="shared" si="203"/>
        <v/>
      </c>
      <c r="R214" s="22" t="str">
        <f t="shared" si="204"/>
        <v/>
      </c>
      <c r="S214" s="22" t="str">
        <f t="shared" si="205"/>
        <v/>
      </c>
      <c r="T214" s="22" t="str">
        <f t="shared" si="206"/>
        <v/>
      </c>
      <c r="V214" s="21" t="str">
        <f t="shared" si="207"/>
        <v>Apprenant 202</v>
      </c>
      <c r="W214" s="22" t="str">
        <f>IF(AND(OR('Choix pédagogiques'!$C$3=1,'Choix pédagogiques'!$C$3=2),$BM214=1),B214,IF(AND('Choix pédagogiques'!$C$3=3,$BO214=1),B214,""))</f>
        <v/>
      </c>
      <c r="X214" s="22" t="str">
        <f>IF(AND(OR('Choix pédagogiques'!$C$3=1,'Choix pédagogiques'!$C$3=2),$BM214=1),C214,IF(AND('Choix pédagogiques'!$C$3=3,$BO214=1),C214,""))</f>
        <v/>
      </c>
      <c r="Y214" s="22" t="str">
        <f>IF(AND(OR('Choix pédagogiques'!$C$3=1,'Choix pédagogiques'!$C$3=2),$BM214=1),D214,IF(AND('Choix pédagogiques'!$C$3=3,$BO214=1),D214,""))</f>
        <v/>
      </c>
      <c r="Z214" s="22" t="str">
        <f t="shared" si="208"/>
        <v/>
      </c>
      <c r="AA214" s="21" t="str">
        <f t="shared" si="209"/>
        <v>Apprenant 202 ou 202'</v>
      </c>
      <c r="AB214" s="22" t="str">
        <f>IF(AND(OR('Choix pédagogiques'!$C$3=1,'Choix pédagogiques'!$C$3=2),$BN214=1),G214,IF(AND('Choix pédagogiques'!$C$3=3,$BO214=1),G214,""))</f>
        <v/>
      </c>
      <c r="AC214" s="22" t="str">
        <f>IF(AND(OR('Choix pédagogiques'!$C$3=1,'Choix pédagogiques'!$C$3=2),$BN214=1),H214,IF(AND('Choix pédagogiques'!$C$3=3,$BO214=1),H214,""))</f>
        <v/>
      </c>
      <c r="AD214" s="22" t="str">
        <f>IF(AND(OR('Choix pédagogiques'!$C$3=1,'Choix pédagogiques'!$C$3=2),$BN214=1),I214,IF(AND('Choix pédagogiques'!$C$3=3,$BO214=1),I214,""))</f>
        <v/>
      </c>
      <c r="AE214" s="22" t="str">
        <f t="shared" si="210"/>
        <v/>
      </c>
      <c r="AF214" s="21" t="str">
        <f t="shared" si="211"/>
        <v>Apprenant 202</v>
      </c>
      <c r="AG214" s="22" t="str">
        <f t="shared" si="185"/>
        <v/>
      </c>
      <c r="AH214" s="22" t="str">
        <f t="shared" si="186"/>
        <v/>
      </c>
      <c r="AI214" s="22" t="str">
        <f t="shared" si="187"/>
        <v/>
      </c>
      <c r="AJ214" s="22" t="str">
        <f t="shared" si="212"/>
        <v/>
      </c>
      <c r="AK214" s="21" t="str">
        <f t="shared" si="213"/>
        <v>Apprenant 202 ou 202'</v>
      </c>
      <c r="AL214" s="22" t="str">
        <f t="shared" si="188"/>
        <v/>
      </c>
      <c r="AM214" s="22" t="str">
        <f t="shared" si="189"/>
        <v/>
      </c>
      <c r="AN214" s="22" t="str">
        <f t="shared" si="190"/>
        <v/>
      </c>
      <c r="AO214" s="22" t="str">
        <f t="shared" si="214"/>
        <v/>
      </c>
      <c r="AQ214" s="21" t="str">
        <f t="shared" si="215"/>
        <v>Apprenant 202</v>
      </c>
      <c r="AR214" s="49" t="str">
        <f>IF(AND('Choix pédagogiques'!$C$4&lt;&gt;"?",'Choix pédagogiques'!$C$5&lt;&gt;"?",W214&lt;&gt;""),(W214-'Choix pédagogiques'!$C$4)/('Choix pédagogiques'!$C$5-'Choix pédagogiques'!$C$4),"")</f>
        <v/>
      </c>
      <c r="AS214" s="49" t="str">
        <f>IF(AND('Choix pédagogiques'!$C$4&lt;&gt;"?",'Choix pédagogiques'!$C$5&lt;&gt;"?",X214&lt;&gt;""),(X214-'Choix pédagogiques'!$C$4)/('Choix pédagogiques'!$C$5-'Choix pédagogiques'!$C$4),"")</f>
        <v/>
      </c>
      <c r="AT214" s="49" t="str">
        <f>IF(AND('Choix pédagogiques'!$C$4&lt;&gt;"?",'Choix pédagogiques'!$C$5&lt;&gt;"?",Y214&lt;&gt;""),(Y214-'Choix pédagogiques'!$C$4)/('Choix pédagogiques'!$C$5-'Choix pédagogiques'!$C$4),"")</f>
        <v/>
      </c>
      <c r="AU214" s="22" t="str">
        <f t="shared" si="216"/>
        <v/>
      </c>
      <c r="AV214" s="21" t="str">
        <f t="shared" si="217"/>
        <v>Apprenant 202 ou 202'</v>
      </c>
      <c r="AW214" s="49" t="str">
        <f>IF(AND('Choix pédagogiques'!$C$4&lt;&gt;"?",'Choix pédagogiques'!$C$5&lt;&gt;"?",AB214&lt;&gt;""),(AB214-'Choix pédagogiques'!$C$4)/('Choix pédagogiques'!$C$5-'Choix pédagogiques'!$C$4),"")</f>
        <v/>
      </c>
      <c r="AX214" s="49" t="str">
        <f>IF(AND('Choix pédagogiques'!$C$4&lt;&gt;"?",'Choix pédagogiques'!$C$5&lt;&gt;"?",AC214&lt;&gt;""),(AC214-'Choix pédagogiques'!$C$4)/('Choix pédagogiques'!$C$5-'Choix pédagogiques'!$C$4),"")</f>
        <v/>
      </c>
      <c r="AY214" s="49" t="str">
        <f>IF(AND('Choix pédagogiques'!$C$4&lt;&gt;"?",'Choix pédagogiques'!$C$5&lt;&gt;"?",AD214&lt;&gt;""),(AD214-'Choix pédagogiques'!$C$4)/('Choix pédagogiques'!$C$5-'Choix pédagogiques'!$C$4),"")</f>
        <v/>
      </c>
      <c r="AZ214" s="22" t="str">
        <f t="shared" si="218"/>
        <v/>
      </c>
      <c r="BA214" s="21" t="str">
        <f t="shared" si="219"/>
        <v>Apprenant 202</v>
      </c>
      <c r="BB214" s="49" t="str">
        <f t="shared" si="191"/>
        <v/>
      </c>
      <c r="BC214" s="49" t="str">
        <f t="shared" si="192"/>
        <v/>
      </c>
      <c r="BD214" s="49" t="str">
        <f t="shared" si="193"/>
        <v/>
      </c>
      <c r="BE214" s="22" t="str">
        <f t="shared" si="220"/>
        <v/>
      </c>
      <c r="BF214" s="21" t="str">
        <f t="shared" si="221"/>
        <v>Apprenant 202 ou 202'</v>
      </c>
      <c r="BG214" s="49" t="str">
        <f t="shared" si="194"/>
        <v/>
      </c>
      <c r="BH214" s="49" t="str">
        <f t="shared" si="195"/>
        <v/>
      </c>
      <c r="BI214" s="49" t="str">
        <f t="shared" si="196"/>
        <v/>
      </c>
      <c r="BJ214" s="22" t="str">
        <f t="shared" si="222"/>
        <v/>
      </c>
      <c r="BL214" s="21"/>
      <c r="BM214" s="21" t="str">
        <f>IF(OR(COUNT(B214:D1213)=0,AND('Choix pédagogiques'!$C$3&lt;&gt;1,'Choix pédagogiques'!$C$3&lt;&gt;2)),"",IF(AND(OR('Choix pédagogiques'!$C$3=1,'Choix pédagogiques'!$C$3=2),$B214&lt;&gt;"",$C214&lt;&gt;"",$D214&lt;&gt;""),1,0))</f>
        <v/>
      </c>
      <c r="BN214" s="21" t="str">
        <f>IF(OR(COUNT(G214:I1213)=0,AND('Choix pédagogiques'!$C$3&lt;&gt;1,'Choix pédagogiques'!$C$3&lt;&gt;2)),"",IF(AND(OR('Choix pédagogiques'!$C$3=1,'Choix pédagogiques'!$C$3=2),AND($G214&lt;&gt;"",$H214&lt;&gt;"",$I214&lt;&gt;"")),1,0))</f>
        <v/>
      </c>
      <c r="BO214" s="21" t="str">
        <f>IF(OR(COUNT(B214:D1213)=0,COUNT(G214:I1213)=0,'Choix pédagogiques'!C$3&lt;&gt;3),"",IF(AND('Choix pédagogiques'!$C$3=3,$B214&lt;&gt;"",$C214&lt;&gt;"",$D214&lt;&gt;"",$G214&lt;&gt;"",$H214&lt;&gt;"",$I214&lt;&gt;""),1,0))</f>
        <v/>
      </c>
      <c r="BR214" s="21">
        <v>745</v>
      </c>
      <c r="BS214" s="21">
        <v>1095</v>
      </c>
      <c r="BT214"/>
    </row>
    <row r="215" spans="1:72" s="23" customFormat="1" ht="18" customHeight="1" x14ac:dyDescent="0.3">
      <c r="A215" s="35" t="s">
        <v>205</v>
      </c>
      <c r="B215" s="37"/>
      <c r="C215" s="37"/>
      <c r="D215" s="37"/>
      <c r="E215" s="37"/>
      <c r="F215" s="35" t="s">
        <v>1213</v>
      </c>
      <c r="G215" s="37"/>
      <c r="H215" s="37"/>
      <c r="I215" s="37"/>
      <c r="J215" s="37"/>
      <c r="K215" s="21" t="str">
        <f t="shared" si="197"/>
        <v>Apprenant 203</v>
      </c>
      <c r="L215" s="22" t="str">
        <f t="shared" si="198"/>
        <v/>
      </c>
      <c r="M215" s="22" t="str">
        <f t="shared" si="199"/>
        <v/>
      </c>
      <c r="N215" s="22" t="str">
        <f t="shared" si="200"/>
        <v/>
      </c>
      <c r="O215" s="22" t="str">
        <f t="shared" si="201"/>
        <v/>
      </c>
      <c r="P215" s="21" t="str">
        <f t="shared" si="202"/>
        <v>Apprenant 203 ou 203'</v>
      </c>
      <c r="Q215" s="22" t="str">
        <f t="shared" si="203"/>
        <v/>
      </c>
      <c r="R215" s="22" t="str">
        <f t="shared" si="204"/>
        <v/>
      </c>
      <c r="S215" s="22" t="str">
        <f t="shared" si="205"/>
        <v/>
      </c>
      <c r="T215" s="22" t="str">
        <f t="shared" si="206"/>
        <v/>
      </c>
      <c r="V215" s="21" t="str">
        <f t="shared" si="207"/>
        <v>Apprenant 203</v>
      </c>
      <c r="W215" s="22" t="str">
        <f>IF(AND(OR('Choix pédagogiques'!$C$3=1,'Choix pédagogiques'!$C$3=2),$BM215=1),B215,IF(AND('Choix pédagogiques'!$C$3=3,$BO215=1),B215,""))</f>
        <v/>
      </c>
      <c r="X215" s="22" t="str">
        <f>IF(AND(OR('Choix pédagogiques'!$C$3=1,'Choix pédagogiques'!$C$3=2),$BM215=1),C215,IF(AND('Choix pédagogiques'!$C$3=3,$BO215=1),C215,""))</f>
        <v/>
      </c>
      <c r="Y215" s="22" t="str">
        <f>IF(AND(OR('Choix pédagogiques'!$C$3=1,'Choix pédagogiques'!$C$3=2),$BM215=1),D215,IF(AND('Choix pédagogiques'!$C$3=3,$BO215=1),D215,""))</f>
        <v/>
      </c>
      <c r="Z215" s="22" t="str">
        <f t="shared" si="208"/>
        <v/>
      </c>
      <c r="AA215" s="21" t="str">
        <f t="shared" si="209"/>
        <v>Apprenant 203 ou 203'</v>
      </c>
      <c r="AB215" s="22" t="str">
        <f>IF(AND(OR('Choix pédagogiques'!$C$3=1,'Choix pédagogiques'!$C$3=2),$BN215=1),G215,IF(AND('Choix pédagogiques'!$C$3=3,$BO215=1),G215,""))</f>
        <v/>
      </c>
      <c r="AC215" s="22" t="str">
        <f>IF(AND(OR('Choix pédagogiques'!$C$3=1,'Choix pédagogiques'!$C$3=2),$BN215=1),H215,IF(AND('Choix pédagogiques'!$C$3=3,$BO215=1),H215,""))</f>
        <v/>
      </c>
      <c r="AD215" s="22" t="str">
        <f>IF(AND(OR('Choix pédagogiques'!$C$3=1,'Choix pédagogiques'!$C$3=2),$BN215=1),I215,IF(AND('Choix pédagogiques'!$C$3=3,$BO215=1),I215,""))</f>
        <v/>
      </c>
      <c r="AE215" s="22" t="str">
        <f t="shared" si="210"/>
        <v/>
      </c>
      <c r="AF215" s="21" t="str">
        <f t="shared" si="211"/>
        <v>Apprenant 203</v>
      </c>
      <c r="AG215" s="22" t="str">
        <f t="shared" si="185"/>
        <v/>
      </c>
      <c r="AH215" s="22" t="str">
        <f t="shared" si="186"/>
        <v/>
      </c>
      <c r="AI215" s="22" t="str">
        <f t="shared" si="187"/>
        <v/>
      </c>
      <c r="AJ215" s="22" t="str">
        <f t="shared" si="212"/>
        <v/>
      </c>
      <c r="AK215" s="21" t="str">
        <f t="shared" si="213"/>
        <v>Apprenant 203 ou 203'</v>
      </c>
      <c r="AL215" s="22" t="str">
        <f t="shared" si="188"/>
        <v/>
      </c>
      <c r="AM215" s="22" t="str">
        <f t="shared" si="189"/>
        <v/>
      </c>
      <c r="AN215" s="22" t="str">
        <f t="shared" si="190"/>
        <v/>
      </c>
      <c r="AO215" s="22" t="str">
        <f t="shared" si="214"/>
        <v/>
      </c>
      <c r="AQ215" s="21" t="str">
        <f t="shared" si="215"/>
        <v>Apprenant 203</v>
      </c>
      <c r="AR215" s="49" t="str">
        <f>IF(AND('Choix pédagogiques'!$C$4&lt;&gt;"?",'Choix pédagogiques'!$C$5&lt;&gt;"?",W215&lt;&gt;""),(W215-'Choix pédagogiques'!$C$4)/('Choix pédagogiques'!$C$5-'Choix pédagogiques'!$C$4),"")</f>
        <v/>
      </c>
      <c r="AS215" s="49" t="str">
        <f>IF(AND('Choix pédagogiques'!$C$4&lt;&gt;"?",'Choix pédagogiques'!$C$5&lt;&gt;"?",X215&lt;&gt;""),(X215-'Choix pédagogiques'!$C$4)/('Choix pédagogiques'!$C$5-'Choix pédagogiques'!$C$4),"")</f>
        <v/>
      </c>
      <c r="AT215" s="49" t="str">
        <f>IF(AND('Choix pédagogiques'!$C$4&lt;&gt;"?",'Choix pédagogiques'!$C$5&lt;&gt;"?",Y215&lt;&gt;""),(Y215-'Choix pédagogiques'!$C$4)/('Choix pédagogiques'!$C$5-'Choix pédagogiques'!$C$4),"")</f>
        <v/>
      </c>
      <c r="AU215" s="22" t="str">
        <f t="shared" si="216"/>
        <v/>
      </c>
      <c r="AV215" s="21" t="str">
        <f t="shared" si="217"/>
        <v>Apprenant 203 ou 203'</v>
      </c>
      <c r="AW215" s="49" t="str">
        <f>IF(AND('Choix pédagogiques'!$C$4&lt;&gt;"?",'Choix pédagogiques'!$C$5&lt;&gt;"?",AB215&lt;&gt;""),(AB215-'Choix pédagogiques'!$C$4)/('Choix pédagogiques'!$C$5-'Choix pédagogiques'!$C$4),"")</f>
        <v/>
      </c>
      <c r="AX215" s="49" t="str">
        <f>IF(AND('Choix pédagogiques'!$C$4&lt;&gt;"?",'Choix pédagogiques'!$C$5&lt;&gt;"?",AC215&lt;&gt;""),(AC215-'Choix pédagogiques'!$C$4)/('Choix pédagogiques'!$C$5-'Choix pédagogiques'!$C$4),"")</f>
        <v/>
      </c>
      <c r="AY215" s="49" t="str">
        <f>IF(AND('Choix pédagogiques'!$C$4&lt;&gt;"?",'Choix pédagogiques'!$C$5&lt;&gt;"?",AD215&lt;&gt;""),(AD215-'Choix pédagogiques'!$C$4)/('Choix pédagogiques'!$C$5-'Choix pédagogiques'!$C$4),"")</f>
        <v/>
      </c>
      <c r="AZ215" s="22" t="str">
        <f t="shared" si="218"/>
        <v/>
      </c>
      <c r="BA215" s="21" t="str">
        <f t="shared" si="219"/>
        <v>Apprenant 203</v>
      </c>
      <c r="BB215" s="49" t="str">
        <f t="shared" si="191"/>
        <v/>
      </c>
      <c r="BC215" s="49" t="str">
        <f t="shared" si="192"/>
        <v/>
      </c>
      <c r="BD215" s="49" t="str">
        <f t="shared" si="193"/>
        <v/>
      </c>
      <c r="BE215" s="22" t="str">
        <f t="shared" si="220"/>
        <v/>
      </c>
      <c r="BF215" s="21" t="str">
        <f t="shared" si="221"/>
        <v>Apprenant 203 ou 203'</v>
      </c>
      <c r="BG215" s="49" t="str">
        <f t="shared" si="194"/>
        <v/>
      </c>
      <c r="BH215" s="49" t="str">
        <f t="shared" si="195"/>
        <v/>
      </c>
      <c r="BI215" s="49" t="str">
        <f t="shared" si="196"/>
        <v/>
      </c>
      <c r="BJ215" s="22" t="str">
        <f t="shared" si="222"/>
        <v/>
      </c>
      <c r="BL215" s="21"/>
      <c r="BM215" s="21" t="str">
        <f>IF(OR(COUNT(B215:D1214)=0,AND('Choix pédagogiques'!$C$3&lt;&gt;1,'Choix pédagogiques'!$C$3&lt;&gt;2)),"",IF(AND(OR('Choix pédagogiques'!$C$3=1,'Choix pédagogiques'!$C$3=2),$B215&lt;&gt;"",$C215&lt;&gt;"",$D215&lt;&gt;""),1,0))</f>
        <v/>
      </c>
      <c r="BN215" s="21" t="str">
        <f>IF(OR(COUNT(G215:I1214)=0,AND('Choix pédagogiques'!$C$3&lt;&gt;1,'Choix pédagogiques'!$C$3&lt;&gt;2)),"",IF(AND(OR('Choix pédagogiques'!$C$3=1,'Choix pédagogiques'!$C$3=2),AND($G215&lt;&gt;"",$H215&lt;&gt;"",$I215&lt;&gt;"")),1,0))</f>
        <v/>
      </c>
      <c r="BO215" s="21" t="str">
        <f>IF(OR(COUNT(B215:D1214)=0,COUNT(G215:I1214)=0,'Choix pédagogiques'!C$3&lt;&gt;3),"",IF(AND('Choix pédagogiques'!$C$3=3,$B215&lt;&gt;"",$C215&lt;&gt;"",$D215&lt;&gt;"",$G215&lt;&gt;"",$H215&lt;&gt;"",$I215&lt;&gt;""),1,0))</f>
        <v/>
      </c>
      <c r="BR215" s="21">
        <v>867</v>
      </c>
      <c r="BS215" s="21">
        <v>1800</v>
      </c>
      <c r="BT215"/>
    </row>
    <row r="216" spans="1:72" s="23" customFormat="1" ht="18" customHeight="1" x14ac:dyDescent="0.3">
      <c r="A216" s="35" t="s">
        <v>206</v>
      </c>
      <c r="B216" s="37"/>
      <c r="C216" s="37"/>
      <c r="D216" s="37"/>
      <c r="E216" s="37"/>
      <c r="F216" s="35" t="s">
        <v>1214</v>
      </c>
      <c r="G216" s="37"/>
      <c r="H216" s="37"/>
      <c r="I216" s="37"/>
      <c r="J216" s="37"/>
      <c r="K216" s="21" t="str">
        <f t="shared" si="197"/>
        <v>Apprenant 204</v>
      </c>
      <c r="L216" s="22" t="str">
        <f t="shared" si="198"/>
        <v/>
      </c>
      <c r="M216" s="22" t="str">
        <f t="shared" si="199"/>
        <v/>
      </c>
      <c r="N216" s="22" t="str">
        <f t="shared" si="200"/>
        <v/>
      </c>
      <c r="O216" s="22" t="str">
        <f t="shared" si="201"/>
        <v/>
      </c>
      <c r="P216" s="21" t="str">
        <f t="shared" si="202"/>
        <v>Apprenant 204 ou 204'</v>
      </c>
      <c r="Q216" s="22" t="str">
        <f t="shared" si="203"/>
        <v/>
      </c>
      <c r="R216" s="22" t="str">
        <f t="shared" si="204"/>
        <v/>
      </c>
      <c r="S216" s="22" t="str">
        <f t="shared" si="205"/>
        <v/>
      </c>
      <c r="T216" s="22" t="str">
        <f t="shared" si="206"/>
        <v/>
      </c>
      <c r="V216" s="21" t="str">
        <f t="shared" si="207"/>
        <v>Apprenant 204</v>
      </c>
      <c r="W216" s="22" t="str">
        <f>IF(AND(OR('Choix pédagogiques'!$C$3=1,'Choix pédagogiques'!$C$3=2),$BM216=1),B216,IF(AND('Choix pédagogiques'!$C$3=3,$BO216=1),B216,""))</f>
        <v/>
      </c>
      <c r="X216" s="22" t="str">
        <f>IF(AND(OR('Choix pédagogiques'!$C$3=1,'Choix pédagogiques'!$C$3=2),$BM216=1),C216,IF(AND('Choix pédagogiques'!$C$3=3,$BO216=1),C216,""))</f>
        <v/>
      </c>
      <c r="Y216" s="22" t="str">
        <f>IF(AND(OR('Choix pédagogiques'!$C$3=1,'Choix pédagogiques'!$C$3=2),$BM216=1),D216,IF(AND('Choix pédagogiques'!$C$3=3,$BO216=1),D216,""))</f>
        <v/>
      </c>
      <c r="Z216" s="22" t="str">
        <f t="shared" si="208"/>
        <v/>
      </c>
      <c r="AA216" s="21" t="str">
        <f t="shared" si="209"/>
        <v>Apprenant 204 ou 204'</v>
      </c>
      <c r="AB216" s="22" t="str">
        <f>IF(AND(OR('Choix pédagogiques'!$C$3=1,'Choix pédagogiques'!$C$3=2),$BN216=1),G216,IF(AND('Choix pédagogiques'!$C$3=3,$BO216=1),G216,""))</f>
        <v/>
      </c>
      <c r="AC216" s="22" t="str">
        <f>IF(AND(OR('Choix pédagogiques'!$C$3=1,'Choix pédagogiques'!$C$3=2),$BN216=1),H216,IF(AND('Choix pédagogiques'!$C$3=3,$BO216=1),H216,""))</f>
        <v/>
      </c>
      <c r="AD216" s="22" t="str">
        <f>IF(AND(OR('Choix pédagogiques'!$C$3=1,'Choix pédagogiques'!$C$3=2),$BN216=1),I216,IF(AND('Choix pédagogiques'!$C$3=3,$BO216=1),I216,""))</f>
        <v/>
      </c>
      <c r="AE216" s="22" t="str">
        <f t="shared" si="210"/>
        <v/>
      </c>
      <c r="AF216" s="21" t="str">
        <f t="shared" si="211"/>
        <v>Apprenant 204</v>
      </c>
      <c r="AG216" s="22" t="str">
        <f t="shared" si="185"/>
        <v/>
      </c>
      <c r="AH216" s="22" t="str">
        <f t="shared" si="186"/>
        <v/>
      </c>
      <c r="AI216" s="22" t="str">
        <f t="shared" si="187"/>
        <v/>
      </c>
      <c r="AJ216" s="22" t="str">
        <f t="shared" si="212"/>
        <v/>
      </c>
      <c r="AK216" s="21" t="str">
        <f t="shared" si="213"/>
        <v>Apprenant 204 ou 204'</v>
      </c>
      <c r="AL216" s="22" t="str">
        <f t="shared" si="188"/>
        <v/>
      </c>
      <c r="AM216" s="22" t="str">
        <f t="shared" si="189"/>
        <v/>
      </c>
      <c r="AN216" s="22" t="str">
        <f t="shared" si="190"/>
        <v/>
      </c>
      <c r="AO216" s="22" t="str">
        <f t="shared" si="214"/>
        <v/>
      </c>
      <c r="AQ216" s="21" t="str">
        <f t="shared" si="215"/>
        <v>Apprenant 204</v>
      </c>
      <c r="AR216" s="49" t="str">
        <f>IF(AND('Choix pédagogiques'!$C$4&lt;&gt;"?",'Choix pédagogiques'!$C$5&lt;&gt;"?",W216&lt;&gt;""),(W216-'Choix pédagogiques'!$C$4)/('Choix pédagogiques'!$C$5-'Choix pédagogiques'!$C$4),"")</f>
        <v/>
      </c>
      <c r="AS216" s="49" t="str">
        <f>IF(AND('Choix pédagogiques'!$C$4&lt;&gt;"?",'Choix pédagogiques'!$C$5&lt;&gt;"?",X216&lt;&gt;""),(X216-'Choix pédagogiques'!$C$4)/('Choix pédagogiques'!$C$5-'Choix pédagogiques'!$C$4),"")</f>
        <v/>
      </c>
      <c r="AT216" s="49" t="str">
        <f>IF(AND('Choix pédagogiques'!$C$4&lt;&gt;"?",'Choix pédagogiques'!$C$5&lt;&gt;"?",Y216&lt;&gt;""),(Y216-'Choix pédagogiques'!$C$4)/('Choix pédagogiques'!$C$5-'Choix pédagogiques'!$C$4),"")</f>
        <v/>
      </c>
      <c r="AU216" s="22" t="str">
        <f t="shared" si="216"/>
        <v/>
      </c>
      <c r="AV216" s="21" t="str">
        <f t="shared" si="217"/>
        <v>Apprenant 204 ou 204'</v>
      </c>
      <c r="AW216" s="49" t="str">
        <f>IF(AND('Choix pédagogiques'!$C$4&lt;&gt;"?",'Choix pédagogiques'!$C$5&lt;&gt;"?",AB216&lt;&gt;""),(AB216-'Choix pédagogiques'!$C$4)/('Choix pédagogiques'!$C$5-'Choix pédagogiques'!$C$4),"")</f>
        <v/>
      </c>
      <c r="AX216" s="49" t="str">
        <f>IF(AND('Choix pédagogiques'!$C$4&lt;&gt;"?",'Choix pédagogiques'!$C$5&lt;&gt;"?",AC216&lt;&gt;""),(AC216-'Choix pédagogiques'!$C$4)/('Choix pédagogiques'!$C$5-'Choix pédagogiques'!$C$4),"")</f>
        <v/>
      </c>
      <c r="AY216" s="49" t="str">
        <f>IF(AND('Choix pédagogiques'!$C$4&lt;&gt;"?",'Choix pédagogiques'!$C$5&lt;&gt;"?",AD216&lt;&gt;""),(AD216-'Choix pédagogiques'!$C$4)/('Choix pédagogiques'!$C$5-'Choix pédagogiques'!$C$4),"")</f>
        <v/>
      </c>
      <c r="AZ216" s="22" t="str">
        <f t="shared" si="218"/>
        <v/>
      </c>
      <c r="BA216" s="21" t="str">
        <f t="shared" si="219"/>
        <v>Apprenant 204</v>
      </c>
      <c r="BB216" s="49" t="str">
        <f t="shared" si="191"/>
        <v/>
      </c>
      <c r="BC216" s="49" t="str">
        <f t="shared" si="192"/>
        <v/>
      </c>
      <c r="BD216" s="49" t="str">
        <f t="shared" si="193"/>
        <v/>
      </c>
      <c r="BE216" s="22" t="str">
        <f t="shared" si="220"/>
        <v/>
      </c>
      <c r="BF216" s="21" t="str">
        <f t="shared" si="221"/>
        <v>Apprenant 204 ou 204'</v>
      </c>
      <c r="BG216" s="49" t="str">
        <f t="shared" si="194"/>
        <v/>
      </c>
      <c r="BH216" s="49" t="str">
        <f t="shared" si="195"/>
        <v/>
      </c>
      <c r="BI216" s="49" t="str">
        <f t="shared" si="196"/>
        <v/>
      </c>
      <c r="BJ216" s="22" t="str">
        <f t="shared" si="222"/>
        <v/>
      </c>
      <c r="BL216" s="21"/>
      <c r="BM216" s="21" t="str">
        <f>IF(OR(COUNT(B216:D1215)=0,AND('Choix pédagogiques'!$C$3&lt;&gt;1,'Choix pédagogiques'!$C$3&lt;&gt;2)),"",IF(AND(OR('Choix pédagogiques'!$C$3=1,'Choix pédagogiques'!$C$3=2),$B216&lt;&gt;"",$C216&lt;&gt;"",$D216&lt;&gt;""),1,0))</f>
        <v/>
      </c>
      <c r="BN216" s="21" t="str">
        <f>IF(OR(COUNT(G216:I1215)=0,AND('Choix pédagogiques'!$C$3&lt;&gt;1,'Choix pédagogiques'!$C$3&lt;&gt;2)),"",IF(AND(OR('Choix pédagogiques'!$C$3=1,'Choix pédagogiques'!$C$3=2),AND($G216&lt;&gt;"",$H216&lt;&gt;"",$I216&lt;&gt;"")),1,0))</f>
        <v/>
      </c>
      <c r="BO216" s="21" t="str">
        <f>IF(OR(COUNT(B216:D1215)=0,COUNT(G216:I1215)=0,'Choix pédagogiques'!C$3&lt;&gt;3),"",IF(AND('Choix pédagogiques'!$C$3=3,$B216&lt;&gt;"",$C216&lt;&gt;"",$D216&lt;&gt;"",$G216&lt;&gt;"",$H216&lt;&gt;"",$I216&lt;&gt;""),1,0))</f>
        <v/>
      </c>
      <c r="BR216" s="21">
        <v>935</v>
      </c>
      <c r="BS216" s="21">
        <v>1961</v>
      </c>
      <c r="BT216"/>
    </row>
    <row r="217" spans="1:72" s="23" customFormat="1" ht="18" customHeight="1" x14ac:dyDescent="0.3">
      <c r="A217" s="35" t="s">
        <v>207</v>
      </c>
      <c r="B217" s="37"/>
      <c r="C217" s="37"/>
      <c r="D217" s="37"/>
      <c r="E217" s="37"/>
      <c r="F217" s="35" t="s">
        <v>1215</v>
      </c>
      <c r="G217" s="37"/>
      <c r="H217" s="37"/>
      <c r="I217" s="37"/>
      <c r="J217" s="37"/>
      <c r="K217" s="21" t="str">
        <f t="shared" si="197"/>
        <v>Apprenant 205</v>
      </c>
      <c r="L217" s="22" t="str">
        <f t="shared" si="198"/>
        <v/>
      </c>
      <c r="M217" s="22" t="str">
        <f t="shared" si="199"/>
        <v/>
      </c>
      <c r="N217" s="22" t="str">
        <f t="shared" si="200"/>
        <v/>
      </c>
      <c r="O217" s="22" t="str">
        <f t="shared" si="201"/>
        <v/>
      </c>
      <c r="P217" s="21" t="str">
        <f t="shared" si="202"/>
        <v>Apprenant 205 ou 205'</v>
      </c>
      <c r="Q217" s="22" t="str">
        <f t="shared" si="203"/>
        <v/>
      </c>
      <c r="R217" s="22" t="str">
        <f t="shared" si="204"/>
        <v/>
      </c>
      <c r="S217" s="22" t="str">
        <f t="shared" si="205"/>
        <v/>
      </c>
      <c r="T217" s="22" t="str">
        <f t="shared" si="206"/>
        <v/>
      </c>
      <c r="V217" s="21" t="str">
        <f t="shared" si="207"/>
        <v>Apprenant 205</v>
      </c>
      <c r="W217" s="22" t="str">
        <f>IF(AND(OR('Choix pédagogiques'!$C$3=1,'Choix pédagogiques'!$C$3=2),$BM217=1),B217,IF(AND('Choix pédagogiques'!$C$3=3,$BO217=1),B217,""))</f>
        <v/>
      </c>
      <c r="X217" s="22" t="str">
        <f>IF(AND(OR('Choix pédagogiques'!$C$3=1,'Choix pédagogiques'!$C$3=2),$BM217=1),C217,IF(AND('Choix pédagogiques'!$C$3=3,$BO217=1),C217,""))</f>
        <v/>
      </c>
      <c r="Y217" s="22" t="str">
        <f>IF(AND(OR('Choix pédagogiques'!$C$3=1,'Choix pédagogiques'!$C$3=2),$BM217=1),D217,IF(AND('Choix pédagogiques'!$C$3=3,$BO217=1),D217,""))</f>
        <v/>
      </c>
      <c r="Z217" s="22" t="str">
        <f t="shared" si="208"/>
        <v/>
      </c>
      <c r="AA217" s="21" t="str">
        <f t="shared" si="209"/>
        <v>Apprenant 205 ou 205'</v>
      </c>
      <c r="AB217" s="22" t="str">
        <f>IF(AND(OR('Choix pédagogiques'!$C$3=1,'Choix pédagogiques'!$C$3=2),$BN217=1),G217,IF(AND('Choix pédagogiques'!$C$3=3,$BO217=1),G217,""))</f>
        <v/>
      </c>
      <c r="AC217" s="22" t="str">
        <f>IF(AND(OR('Choix pédagogiques'!$C$3=1,'Choix pédagogiques'!$C$3=2),$BN217=1),H217,IF(AND('Choix pédagogiques'!$C$3=3,$BO217=1),H217,""))</f>
        <v/>
      </c>
      <c r="AD217" s="22" t="str">
        <f>IF(AND(OR('Choix pédagogiques'!$C$3=1,'Choix pédagogiques'!$C$3=2),$BN217=1),I217,IF(AND('Choix pédagogiques'!$C$3=3,$BO217=1),I217,""))</f>
        <v/>
      </c>
      <c r="AE217" s="22" t="str">
        <f t="shared" si="210"/>
        <v/>
      </c>
      <c r="AF217" s="21" t="str">
        <f t="shared" si="211"/>
        <v>Apprenant 205</v>
      </c>
      <c r="AG217" s="22" t="str">
        <f t="shared" si="185"/>
        <v/>
      </c>
      <c r="AH217" s="22" t="str">
        <f t="shared" si="186"/>
        <v/>
      </c>
      <c r="AI217" s="22" t="str">
        <f t="shared" si="187"/>
        <v/>
      </c>
      <c r="AJ217" s="22" t="str">
        <f t="shared" si="212"/>
        <v/>
      </c>
      <c r="AK217" s="21" t="str">
        <f t="shared" si="213"/>
        <v>Apprenant 205 ou 205'</v>
      </c>
      <c r="AL217" s="22" t="str">
        <f t="shared" si="188"/>
        <v/>
      </c>
      <c r="AM217" s="22" t="str">
        <f t="shared" si="189"/>
        <v/>
      </c>
      <c r="AN217" s="22" t="str">
        <f t="shared" si="190"/>
        <v/>
      </c>
      <c r="AO217" s="22" t="str">
        <f t="shared" si="214"/>
        <v/>
      </c>
      <c r="AQ217" s="21" t="str">
        <f t="shared" si="215"/>
        <v>Apprenant 205</v>
      </c>
      <c r="AR217" s="49" t="str">
        <f>IF(AND('Choix pédagogiques'!$C$4&lt;&gt;"?",'Choix pédagogiques'!$C$5&lt;&gt;"?",W217&lt;&gt;""),(W217-'Choix pédagogiques'!$C$4)/('Choix pédagogiques'!$C$5-'Choix pédagogiques'!$C$4),"")</f>
        <v/>
      </c>
      <c r="AS217" s="49" t="str">
        <f>IF(AND('Choix pédagogiques'!$C$4&lt;&gt;"?",'Choix pédagogiques'!$C$5&lt;&gt;"?",X217&lt;&gt;""),(X217-'Choix pédagogiques'!$C$4)/('Choix pédagogiques'!$C$5-'Choix pédagogiques'!$C$4),"")</f>
        <v/>
      </c>
      <c r="AT217" s="49" t="str">
        <f>IF(AND('Choix pédagogiques'!$C$4&lt;&gt;"?",'Choix pédagogiques'!$C$5&lt;&gt;"?",Y217&lt;&gt;""),(Y217-'Choix pédagogiques'!$C$4)/('Choix pédagogiques'!$C$5-'Choix pédagogiques'!$C$4),"")</f>
        <v/>
      </c>
      <c r="AU217" s="22" t="str">
        <f t="shared" si="216"/>
        <v/>
      </c>
      <c r="AV217" s="21" t="str">
        <f t="shared" si="217"/>
        <v>Apprenant 205 ou 205'</v>
      </c>
      <c r="AW217" s="49" t="str">
        <f>IF(AND('Choix pédagogiques'!$C$4&lt;&gt;"?",'Choix pédagogiques'!$C$5&lt;&gt;"?",AB217&lt;&gt;""),(AB217-'Choix pédagogiques'!$C$4)/('Choix pédagogiques'!$C$5-'Choix pédagogiques'!$C$4),"")</f>
        <v/>
      </c>
      <c r="AX217" s="49" t="str">
        <f>IF(AND('Choix pédagogiques'!$C$4&lt;&gt;"?",'Choix pédagogiques'!$C$5&lt;&gt;"?",AC217&lt;&gt;""),(AC217-'Choix pédagogiques'!$C$4)/('Choix pédagogiques'!$C$5-'Choix pédagogiques'!$C$4),"")</f>
        <v/>
      </c>
      <c r="AY217" s="49" t="str">
        <f>IF(AND('Choix pédagogiques'!$C$4&lt;&gt;"?",'Choix pédagogiques'!$C$5&lt;&gt;"?",AD217&lt;&gt;""),(AD217-'Choix pédagogiques'!$C$4)/('Choix pédagogiques'!$C$5-'Choix pédagogiques'!$C$4),"")</f>
        <v/>
      </c>
      <c r="AZ217" s="22" t="str">
        <f t="shared" si="218"/>
        <v/>
      </c>
      <c r="BA217" s="21" t="str">
        <f t="shared" si="219"/>
        <v>Apprenant 205</v>
      </c>
      <c r="BB217" s="49" t="str">
        <f t="shared" si="191"/>
        <v/>
      </c>
      <c r="BC217" s="49" t="str">
        <f t="shared" si="192"/>
        <v/>
      </c>
      <c r="BD217" s="49" t="str">
        <f t="shared" si="193"/>
        <v/>
      </c>
      <c r="BE217" s="22" t="str">
        <f t="shared" si="220"/>
        <v/>
      </c>
      <c r="BF217" s="21" t="str">
        <f t="shared" si="221"/>
        <v>Apprenant 205 ou 205'</v>
      </c>
      <c r="BG217" s="49" t="str">
        <f t="shared" si="194"/>
        <v/>
      </c>
      <c r="BH217" s="49" t="str">
        <f t="shared" si="195"/>
        <v/>
      </c>
      <c r="BI217" s="49" t="str">
        <f t="shared" si="196"/>
        <v/>
      </c>
      <c r="BJ217" s="22" t="str">
        <f t="shared" si="222"/>
        <v/>
      </c>
      <c r="BL217" s="21"/>
      <c r="BM217" s="21" t="str">
        <f>IF(OR(COUNT(B217:D1216)=0,AND('Choix pédagogiques'!$C$3&lt;&gt;1,'Choix pédagogiques'!$C$3&lt;&gt;2)),"",IF(AND(OR('Choix pédagogiques'!$C$3=1,'Choix pédagogiques'!$C$3=2),$B217&lt;&gt;"",$C217&lt;&gt;"",$D217&lt;&gt;""),1,0))</f>
        <v/>
      </c>
      <c r="BN217" s="21" t="str">
        <f>IF(OR(COUNT(G217:I1216)=0,AND('Choix pédagogiques'!$C$3&lt;&gt;1,'Choix pédagogiques'!$C$3&lt;&gt;2)),"",IF(AND(OR('Choix pédagogiques'!$C$3=1,'Choix pédagogiques'!$C$3=2),AND($G217&lt;&gt;"",$H217&lt;&gt;"",$I217&lt;&gt;"")),1,0))</f>
        <v/>
      </c>
      <c r="BO217" s="21" t="str">
        <f>IF(OR(COUNT(B217:D1216)=0,COUNT(G217:I1216)=0,'Choix pédagogiques'!C$3&lt;&gt;3),"",IF(AND('Choix pédagogiques'!$C$3=3,$B217&lt;&gt;"",$C217&lt;&gt;"",$D217&lt;&gt;"",$G217&lt;&gt;"",$H217&lt;&gt;"",$I217&lt;&gt;""),1,0))</f>
        <v/>
      </c>
      <c r="BR217" s="21">
        <v>823</v>
      </c>
      <c r="BS217" s="21">
        <v>1590</v>
      </c>
      <c r="BT217"/>
    </row>
    <row r="218" spans="1:72" s="23" customFormat="1" ht="18" customHeight="1" x14ac:dyDescent="0.3">
      <c r="A218" s="35" t="s">
        <v>208</v>
      </c>
      <c r="B218" s="37"/>
      <c r="C218" s="37"/>
      <c r="D218" s="37"/>
      <c r="E218" s="37"/>
      <c r="F218" s="35" t="s">
        <v>1216</v>
      </c>
      <c r="G218" s="37"/>
      <c r="H218" s="37"/>
      <c r="I218" s="37"/>
      <c r="J218" s="37"/>
      <c r="K218" s="21" t="str">
        <f t="shared" si="197"/>
        <v>Apprenant 206</v>
      </c>
      <c r="L218" s="22" t="str">
        <f t="shared" si="198"/>
        <v/>
      </c>
      <c r="M218" s="22" t="str">
        <f t="shared" si="199"/>
        <v/>
      </c>
      <c r="N218" s="22" t="str">
        <f t="shared" si="200"/>
        <v/>
      </c>
      <c r="O218" s="22" t="str">
        <f t="shared" si="201"/>
        <v/>
      </c>
      <c r="P218" s="21" t="str">
        <f t="shared" si="202"/>
        <v>Apprenant 206 ou 206'</v>
      </c>
      <c r="Q218" s="22" t="str">
        <f t="shared" si="203"/>
        <v/>
      </c>
      <c r="R218" s="22" t="str">
        <f t="shared" si="204"/>
        <v/>
      </c>
      <c r="S218" s="22" t="str">
        <f t="shared" si="205"/>
        <v/>
      </c>
      <c r="T218" s="22" t="str">
        <f t="shared" si="206"/>
        <v/>
      </c>
      <c r="V218" s="21" t="str">
        <f t="shared" si="207"/>
        <v>Apprenant 206</v>
      </c>
      <c r="W218" s="22" t="str">
        <f>IF(AND(OR('Choix pédagogiques'!$C$3=1,'Choix pédagogiques'!$C$3=2),$BM218=1),B218,IF(AND('Choix pédagogiques'!$C$3=3,$BO218=1),B218,""))</f>
        <v/>
      </c>
      <c r="X218" s="22" t="str">
        <f>IF(AND(OR('Choix pédagogiques'!$C$3=1,'Choix pédagogiques'!$C$3=2),$BM218=1),C218,IF(AND('Choix pédagogiques'!$C$3=3,$BO218=1),C218,""))</f>
        <v/>
      </c>
      <c r="Y218" s="22" t="str">
        <f>IF(AND(OR('Choix pédagogiques'!$C$3=1,'Choix pédagogiques'!$C$3=2),$BM218=1),D218,IF(AND('Choix pédagogiques'!$C$3=3,$BO218=1),D218,""))</f>
        <v/>
      </c>
      <c r="Z218" s="22" t="str">
        <f t="shared" si="208"/>
        <v/>
      </c>
      <c r="AA218" s="21" t="str">
        <f t="shared" si="209"/>
        <v>Apprenant 206 ou 206'</v>
      </c>
      <c r="AB218" s="22" t="str">
        <f>IF(AND(OR('Choix pédagogiques'!$C$3=1,'Choix pédagogiques'!$C$3=2),$BN218=1),G218,IF(AND('Choix pédagogiques'!$C$3=3,$BO218=1),G218,""))</f>
        <v/>
      </c>
      <c r="AC218" s="22" t="str">
        <f>IF(AND(OR('Choix pédagogiques'!$C$3=1,'Choix pédagogiques'!$C$3=2),$BN218=1),H218,IF(AND('Choix pédagogiques'!$C$3=3,$BO218=1),H218,""))</f>
        <v/>
      </c>
      <c r="AD218" s="22" t="str">
        <f>IF(AND(OR('Choix pédagogiques'!$C$3=1,'Choix pédagogiques'!$C$3=2),$BN218=1),I218,IF(AND('Choix pédagogiques'!$C$3=3,$BO218=1),I218,""))</f>
        <v/>
      </c>
      <c r="AE218" s="22" t="str">
        <f t="shared" si="210"/>
        <v/>
      </c>
      <c r="AF218" s="21" t="str">
        <f t="shared" si="211"/>
        <v>Apprenant 206</v>
      </c>
      <c r="AG218" s="22" t="str">
        <f t="shared" si="185"/>
        <v/>
      </c>
      <c r="AH218" s="22" t="str">
        <f t="shared" si="186"/>
        <v/>
      </c>
      <c r="AI218" s="22" t="str">
        <f t="shared" si="187"/>
        <v/>
      </c>
      <c r="AJ218" s="22" t="str">
        <f t="shared" si="212"/>
        <v/>
      </c>
      <c r="AK218" s="21" t="str">
        <f t="shared" si="213"/>
        <v>Apprenant 206 ou 206'</v>
      </c>
      <c r="AL218" s="22" t="str">
        <f t="shared" si="188"/>
        <v/>
      </c>
      <c r="AM218" s="22" t="str">
        <f t="shared" si="189"/>
        <v/>
      </c>
      <c r="AN218" s="22" t="str">
        <f t="shared" si="190"/>
        <v/>
      </c>
      <c r="AO218" s="22" t="str">
        <f t="shared" si="214"/>
        <v/>
      </c>
      <c r="AQ218" s="21" t="str">
        <f t="shared" si="215"/>
        <v>Apprenant 206</v>
      </c>
      <c r="AR218" s="49" t="str">
        <f>IF(AND('Choix pédagogiques'!$C$4&lt;&gt;"?",'Choix pédagogiques'!$C$5&lt;&gt;"?",W218&lt;&gt;""),(W218-'Choix pédagogiques'!$C$4)/('Choix pédagogiques'!$C$5-'Choix pédagogiques'!$C$4),"")</f>
        <v/>
      </c>
      <c r="AS218" s="49" t="str">
        <f>IF(AND('Choix pédagogiques'!$C$4&lt;&gt;"?",'Choix pédagogiques'!$C$5&lt;&gt;"?",X218&lt;&gt;""),(X218-'Choix pédagogiques'!$C$4)/('Choix pédagogiques'!$C$5-'Choix pédagogiques'!$C$4),"")</f>
        <v/>
      </c>
      <c r="AT218" s="49" t="str">
        <f>IF(AND('Choix pédagogiques'!$C$4&lt;&gt;"?",'Choix pédagogiques'!$C$5&lt;&gt;"?",Y218&lt;&gt;""),(Y218-'Choix pédagogiques'!$C$4)/('Choix pédagogiques'!$C$5-'Choix pédagogiques'!$C$4),"")</f>
        <v/>
      </c>
      <c r="AU218" s="22" t="str">
        <f t="shared" si="216"/>
        <v/>
      </c>
      <c r="AV218" s="21" t="str">
        <f t="shared" si="217"/>
        <v>Apprenant 206 ou 206'</v>
      </c>
      <c r="AW218" s="49" t="str">
        <f>IF(AND('Choix pédagogiques'!$C$4&lt;&gt;"?",'Choix pédagogiques'!$C$5&lt;&gt;"?",AB218&lt;&gt;""),(AB218-'Choix pédagogiques'!$C$4)/('Choix pédagogiques'!$C$5-'Choix pédagogiques'!$C$4),"")</f>
        <v/>
      </c>
      <c r="AX218" s="49" t="str">
        <f>IF(AND('Choix pédagogiques'!$C$4&lt;&gt;"?",'Choix pédagogiques'!$C$5&lt;&gt;"?",AC218&lt;&gt;""),(AC218-'Choix pédagogiques'!$C$4)/('Choix pédagogiques'!$C$5-'Choix pédagogiques'!$C$4),"")</f>
        <v/>
      </c>
      <c r="AY218" s="49" t="str">
        <f>IF(AND('Choix pédagogiques'!$C$4&lt;&gt;"?",'Choix pédagogiques'!$C$5&lt;&gt;"?",AD218&lt;&gt;""),(AD218-'Choix pédagogiques'!$C$4)/('Choix pédagogiques'!$C$5-'Choix pédagogiques'!$C$4),"")</f>
        <v/>
      </c>
      <c r="AZ218" s="22" t="str">
        <f t="shared" si="218"/>
        <v/>
      </c>
      <c r="BA218" s="21" t="str">
        <f t="shared" si="219"/>
        <v>Apprenant 206</v>
      </c>
      <c r="BB218" s="49" t="str">
        <f t="shared" si="191"/>
        <v/>
      </c>
      <c r="BC218" s="49" t="str">
        <f t="shared" si="192"/>
        <v/>
      </c>
      <c r="BD218" s="49" t="str">
        <f t="shared" si="193"/>
        <v/>
      </c>
      <c r="BE218" s="22" t="str">
        <f t="shared" si="220"/>
        <v/>
      </c>
      <c r="BF218" s="21" t="str">
        <f t="shared" si="221"/>
        <v>Apprenant 206 ou 206'</v>
      </c>
      <c r="BG218" s="49" t="str">
        <f t="shared" si="194"/>
        <v/>
      </c>
      <c r="BH218" s="49" t="str">
        <f t="shared" si="195"/>
        <v/>
      </c>
      <c r="BI218" s="49" t="str">
        <f t="shared" si="196"/>
        <v/>
      </c>
      <c r="BJ218" s="22" t="str">
        <f t="shared" si="222"/>
        <v/>
      </c>
      <c r="BL218" s="21"/>
      <c r="BM218" s="21" t="str">
        <f>IF(OR(COUNT(B218:D1217)=0,AND('Choix pédagogiques'!$C$3&lt;&gt;1,'Choix pédagogiques'!$C$3&lt;&gt;2)),"",IF(AND(OR('Choix pédagogiques'!$C$3=1,'Choix pédagogiques'!$C$3=2),$B218&lt;&gt;"",$C218&lt;&gt;"",$D218&lt;&gt;""),1,0))</f>
        <v/>
      </c>
      <c r="BN218" s="21" t="str">
        <f>IF(OR(COUNT(G218:I1217)=0,AND('Choix pédagogiques'!$C$3&lt;&gt;1,'Choix pédagogiques'!$C$3&lt;&gt;2)),"",IF(AND(OR('Choix pédagogiques'!$C$3=1,'Choix pédagogiques'!$C$3=2),AND($G218&lt;&gt;"",$H218&lt;&gt;"",$I218&lt;&gt;"")),1,0))</f>
        <v/>
      </c>
      <c r="BO218" s="21" t="str">
        <f>IF(OR(COUNT(B218:D1217)=0,COUNT(G218:I1217)=0,'Choix pédagogiques'!C$3&lt;&gt;3),"",IF(AND('Choix pédagogiques'!$C$3=3,$B218&lt;&gt;"",$C218&lt;&gt;"",$D218&lt;&gt;"",$G218&lt;&gt;"",$H218&lt;&gt;"",$I218&lt;&gt;""),1,0))</f>
        <v/>
      </c>
      <c r="BR218" s="21">
        <v>104</v>
      </c>
      <c r="BS218" s="21">
        <v>1023</v>
      </c>
      <c r="BT218"/>
    </row>
    <row r="219" spans="1:72" s="23" customFormat="1" ht="18" customHeight="1" x14ac:dyDescent="0.3">
      <c r="A219" s="35" t="s">
        <v>209</v>
      </c>
      <c r="B219" s="37"/>
      <c r="C219" s="37"/>
      <c r="D219" s="37"/>
      <c r="E219" s="37"/>
      <c r="F219" s="35" t="s">
        <v>1217</v>
      </c>
      <c r="G219" s="37"/>
      <c r="H219" s="37"/>
      <c r="I219" s="37"/>
      <c r="J219" s="37"/>
      <c r="K219" s="21" t="str">
        <f t="shared" si="197"/>
        <v>Apprenant 207</v>
      </c>
      <c r="L219" s="22" t="str">
        <f t="shared" si="198"/>
        <v/>
      </c>
      <c r="M219" s="22" t="str">
        <f t="shared" si="199"/>
        <v/>
      </c>
      <c r="N219" s="22" t="str">
        <f t="shared" si="200"/>
        <v/>
      </c>
      <c r="O219" s="22" t="str">
        <f t="shared" si="201"/>
        <v/>
      </c>
      <c r="P219" s="21" t="str">
        <f t="shared" si="202"/>
        <v>Apprenant 207 ou 207'</v>
      </c>
      <c r="Q219" s="22" t="str">
        <f t="shared" si="203"/>
        <v/>
      </c>
      <c r="R219" s="22" t="str">
        <f t="shared" si="204"/>
        <v/>
      </c>
      <c r="S219" s="22" t="str">
        <f t="shared" si="205"/>
        <v/>
      </c>
      <c r="T219" s="22" t="str">
        <f t="shared" si="206"/>
        <v/>
      </c>
      <c r="V219" s="21" t="str">
        <f t="shared" si="207"/>
        <v>Apprenant 207</v>
      </c>
      <c r="W219" s="22" t="str">
        <f>IF(AND(OR('Choix pédagogiques'!$C$3=1,'Choix pédagogiques'!$C$3=2),$BM219=1),B219,IF(AND('Choix pédagogiques'!$C$3=3,$BO219=1),B219,""))</f>
        <v/>
      </c>
      <c r="X219" s="22" t="str">
        <f>IF(AND(OR('Choix pédagogiques'!$C$3=1,'Choix pédagogiques'!$C$3=2),$BM219=1),C219,IF(AND('Choix pédagogiques'!$C$3=3,$BO219=1),C219,""))</f>
        <v/>
      </c>
      <c r="Y219" s="22" t="str">
        <f>IF(AND(OR('Choix pédagogiques'!$C$3=1,'Choix pédagogiques'!$C$3=2),$BM219=1),D219,IF(AND('Choix pédagogiques'!$C$3=3,$BO219=1),D219,""))</f>
        <v/>
      </c>
      <c r="Z219" s="22" t="str">
        <f t="shared" si="208"/>
        <v/>
      </c>
      <c r="AA219" s="21" t="str">
        <f t="shared" si="209"/>
        <v>Apprenant 207 ou 207'</v>
      </c>
      <c r="AB219" s="22" t="str">
        <f>IF(AND(OR('Choix pédagogiques'!$C$3=1,'Choix pédagogiques'!$C$3=2),$BN219=1),G219,IF(AND('Choix pédagogiques'!$C$3=3,$BO219=1),G219,""))</f>
        <v/>
      </c>
      <c r="AC219" s="22" t="str">
        <f>IF(AND(OR('Choix pédagogiques'!$C$3=1,'Choix pédagogiques'!$C$3=2),$BN219=1),H219,IF(AND('Choix pédagogiques'!$C$3=3,$BO219=1),H219,""))</f>
        <v/>
      </c>
      <c r="AD219" s="22" t="str">
        <f>IF(AND(OR('Choix pédagogiques'!$C$3=1,'Choix pédagogiques'!$C$3=2),$BN219=1),I219,IF(AND('Choix pédagogiques'!$C$3=3,$BO219=1),I219,""))</f>
        <v/>
      </c>
      <c r="AE219" s="22" t="str">
        <f t="shared" si="210"/>
        <v/>
      </c>
      <c r="AF219" s="21" t="str">
        <f t="shared" si="211"/>
        <v>Apprenant 207</v>
      </c>
      <c r="AG219" s="22" t="str">
        <f t="shared" si="185"/>
        <v/>
      </c>
      <c r="AH219" s="22" t="str">
        <f t="shared" si="186"/>
        <v/>
      </c>
      <c r="AI219" s="22" t="str">
        <f t="shared" si="187"/>
        <v/>
      </c>
      <c r="AJ219" s="22" t="str">
        <f t="shared" si="212"/>
        <v/>
      </c>
      <c r="AK219" s="21" t="str">
        <f t="shared" si="213"/>
        <v>Apprenant 207 ou 207'</v>
      </c>
      <c r="AL219" s="22" t="str">
        <f t="shared" si="188"/>
        <v/>
      </c>
      <c r="AM219" s="22" t="str">
        <f t="shared" si="189"/>
        <v/>
      </c>
      <c r="AN219" s="22" t="str">
        <f t="shared" si="190"/>
        <v/>
      </c>
      <c r="AO219" s="22" t="str">
        <f t="shared" si="214"/>
        <v/>
      </c>
      <c r="AQ219" s="21" t="str">
        <f t="shared" si="215"/>
        <v>Apprenant 207</v>
      </c>
      <c r="AR219" s="49" t="str">
        <f>IF(AND('Choix pédagogiques'!$C$4&lt;&gt;"?",'Choix pédagogiques'!$C$5&lt;&gt;"?",W219&lt;&gt;""),(W219-'Choix pédagogiques'!$C$4)/('Choix pédagogiques'!$C$5-'Choix pédagogiques'!$C$4),"")</f>
        <v/>
      </c>
      <c r="AS219" s="49" t="str">
        <f>IF(AND('Choix pédagogiques'!$C$4&lt;&gt;"?",'Choix pédagogiques'!$C$5&lt;&gt;"?",X219&lt;&gt;""),(X219-'Choix pédagogiques'!$C$4)/('Choix pédagogiques'!$C$5-'Choix pédagogiques'!$C$4),"")</f>
        <v/>
      </c>
      <c r="AT219" s="49" t="str">
        <f>IF(AND('Choix pédagogiques'!$C$4&lt;&gt;"?",'Choix pédagogiques'!$C$5&lt;&gt;"?",Y219&lt;&gt;""),(Y219-'Choix pédagogiques'!$C$4)/('Choix pédagogiques'!$C$5-'Choix pédagogiques'!$C$4),"")</f>
        <v/>
      </c>
      <c r="AU219" s="22" t="str">
        <f t="shared" si="216"/>
        <v/>
      </c>
      <c r="AV219" s="21" t="str">
        <f t="shared" si="217"/>
        <v>Apprenant 207 ou 207'</v>
      </c>
      <c r="AW219" s="49" t="str">
        <f>IF(AND('Choix pédagogiques'!$C$4&lt;&gt;"?",'Choix pédagogiques'!$C$5&lt;&gt;"?",AB219&lt;&gt;""),(AB219-'Choix pédagogiques'!$C$4)/('Choix pédagogiques'!$C$5-'Choix pédagogiques'!$C$4),"")</f>
        <v/>
      </c>
      <c r="AX219" s="49" t="str">
        <f>IF(AND('Choix pédagogiques'!$C$4&lt;&gt;"?",'Choix pédagogiques'!$C$5&lt;&gt;"?",AC219&lt;&gt;""),(AC219-'Choix pédagogiques'!$C$4)/('Choix pédagogiques'!$C$5-'Choix pédagogiques'!$C$4),"")</f>
        <v/>
      </c>
      <c r="AY219" s="49" t="str">
        <f>IF(AND('Choix pédagogiques'!$C$4&lt;&gt;"?",'Choix pédagogiques'!$C$5&lt;&gt;"?",AD219&lt;&gt;""),(AD219-'Choix pédagogiques'!$C$4)/('Choix pédagogiques'!$C$5-'Choix pédagogiques'!$C$4),"")</f>
        <v/>
      </c>
      <c r="AZ219" s="22" t="str">
        <f t="shared" si="218"/>
        <v/>
      </c>
      <c r="BA219" s="21" t="str">
        <f t="shared" si="219"/>
        <v>Apprenant 207</v>
      </c>
      <c r="BB219" s="49" t="str">
        <f t="shared" si="191"/>
        <v/>
      </c>
      <c r="BC219" s="49" t="str">
        <f t="shared" si="192"/>
        <v/>
      </c>
      <c r="BD219" s="49" t="str">
        <f t="shared" si="193"/>
        <v/>
      </c>
      <c r="BE219" s="22" t="str">
        <f t="shared" si="220"/>
        <v/>
      </c>
      <c r="BF219" s="21" t="str">
        <f t="shared" si="221"/>
        <v>Apprenant 207 ou 207'</v>
      </c>
      <c r="BG219" s="49" t="str">
        <f t="shared" si="194"/>
        <v/>
      </c>
      <c r="BH219" s="49" t="str">
        <f t="shared" si="195"/>
        <v/>
      </c>
      <c r="BI219" s="49" t="str">
        <f t="shared" si="196"/>
        <v/>
      </c>
      <c r="BJ219" s="22" t="str">
        <f t="shared" si="222"/>
        <v/>
      </c>
      <c r="BL219" s="21"/>
      <c r="BM219" s="21" t="str">
        <f>IF(OR(COUNT(B219:D1218)=0,AND('Choix pédagogiques'!$C$3&lt;&gt;1,'Choix pédagogiques'!$C$3&lt;&gt;2)),"",IF(AND(OR('Choix pédagogiques'!$C$3=1,'Choix pédagogiques'!$C$3=2),$B219&lt;&gt;"",$C219&lt;&gt;"",$D219&lt;&gt;""),1,0))</f>
        <v/>
      </c>
      <c r="BN219" s="21" t="str">
        <f>IF(OR(COUNT(G219:I1218)=0,AND('Choix pédagogiques'!$C$3&lt;&gt;1,'Choix pédagogiques'!$C$3&lt;&gt;2)),"",IF(AND(OR('Choix pédagogiques'!$C$3=1,'Choix pédagogiques'!$C$3=2),AND($G219&lt;&gt;"",$H219&lt;&gt;"",$I219&lt;&gt;"")),1,0))</f>
        <v/>
      </c>
      <c r="BO219" s="21" t="str">
        <f>IF(OR(COUNT(B219:D1218)=0,COUNT(G219:I1218)=0,'Choix pédagogiques'!C$3&lt;&gt;3),"",IF(AND('Choix pédagogiques'!$C$3=3,$B219&lt;&gt;"",$C219&lt;&gt;"",$D219&lt;&gt;"",$G219&lt;&gt;"",$H219&lt;&gt;"",$I219&lt;&gt;""),1,0))</f>
        <v/>
      </c>
      <c r="BR219" s="21">
        <v>680</v>
      </c>
      <c r="BS219" s="21">
        <v>1316</v>
      </c>
      <c r="BT219"/>
    </row>
    <row r="220" spans="1:72" s="23" customFormat="1" ht="18" customHeight="1" x14ac:dyDescent="0.3">
      <c r="A220" s="35" t="s">
        <v>210</v>
      </c>
      <c r="B220" s="37"/>
      <c r="C220" s="37"/>
      <c r="D220" s="37"/>
      <c r="E220" s="37"/>
      <c r="F220" s="35" t="s">
        <v>1218</v>
      </c>
      <c r="G220" s="37"/>
      <c r="H220" s="37"/>
      <c r="I220" s="37"/>
      <c r="J220" s="37"/>
      <c r="K220" s="21" t="str">
        <f t="shared" si="197"/>
        <v>Apprenant 208</v>
      </c>
      <c r="L220" s="22" t="str">
        <f t="shared" si="198"/>
        <v/>
      </c>
      <c r="M220" s="22" t="str">
        <f t="shared" si="199"/>
        <v/>
      </c>
      <c r="N220" s="22" t="str">
        <f t="shared" si="200"/>
        <v/>
      </c>
      <c r="O220" s="22" t="str">
        <f t="shared" si="201"/>
        <v/>
      </c>
      <c r="P220" s="21" t="str">
        <f t="shared" si="202"/>
        <v>Apprenant 208 ou 208'</v>
      </c>
      <c r="Q220" s="22" t="str">
        <f t="shared" si="203"/>
        <v/>
      </c>
      <c r="R220" s="22" t="str">
        <f t="shared" si="204"/>
        <v/>
      </c>
      <c r="S220" s="22" t="str">
        <f t="shared" si="205"/>
        <v/>
      </c>
      <c r="T220" s="22" t="str">
        <f t="shared" si="206"/>
        <v/>
      </c>
      <c r="V220" s="21" t="str">
        <f t="shared" si="207"/>
        <v>Apprenant 208</v>
      </c>
      <c r="W220" s="22" t="str">
        <f>IF(AND(OR('Choix pédagogiques'!$C$3=1,'Choix pédagogiques'!$C$3=2),$BM220=1),B220,IF(AND('Choix pédagogiques'!$C$3=3,$BO220=1),B220,""))</f>
        <v/>
      </c>
      <c r="X220" s="22" t="str">
        <f>IF(AND(OR('Choix pédagogiques'!$C$3=1,'Choix pédagogiques'!$C$3=2),$BM220=1),C220,IF(AND('Choix pédagogiques'!$C$3=3,$BO220=1),C220,""))</f>
        <v/>
      </c>
      <c r="Y220" s="22" t="str">
        <f>IF(AND(OR('Choix pédagogiques'!$C$3=1,'Choix pédagogiques'!$C$3=2),$BM220=1),D220,IF(AND('Choix pédagogiques'!$C$3=3,$BO220=1),D220,""))</f>
        <v/>
      </c>
      <c r="Z220" s="22" t="str">
        <f t="shared" si="208"/>
        <v/>
      </c>
      <c r="AA220" s="21" t="str">
        <f t="shared" si="209"/>
        <v>Apprenant 208 ou 208'</v>
      </c>
      <c r="AB220" s="22" t="str">
        <f>IF(AND(OR('Choix pédagogiques'!$C$3=1,'Choix pédagogiques'!$C$3=2),$BN220=1),G220,IF(AND('Choix pédagogiques'!$C$3=3,$BO220=1),G220,""))</f>
        <v/>
      </c>
      <c r="AC220" s="22" t="str">
        <f>IF(AND(OR('Choix pédagogiques'!$C$3=1,'Choix pédagogiques'!$C$3=2),$BN220=1),H220,IF(AND('Choix pédagogiques'!$C$3=3,$BO220=1),H220,""))</f>
        <v/>
      </c>
      <c r="AD220" s="22" t="str">
        <f>IF(AND(OR('Choix pédagogiques'!$C$3=1,'Choix pédagogiques'!$C$3=2),$BN220=1),I220,IF(AND('Choix pédagogiques'!$C$3=3,$BO220=1),I220,""))</f>
        <v/>
      </c>
      <c r="AE220" s="22" t="str">
        <f t="shared" si="210"/>
        <v/>
      </c>
      <c r="AF220" s="21" t="str">
        <f t="shared" si="211"/>
        <v>Apprenant 208</v>
      </c>
      <c r="AG220" s="22" t="str">
        <f t="shared" si="185"/>
        <v/>
      </c>
      <c r="AH220" s="22" t="str">
        <f t="shared" si="186"/>
        <v/>
      </c>
      <c r="AI220" s="22" t="str">
        <f t="shared" si="187"/>
        <v/>
      </c>
      <c r="AJ220" s="22" t="str">
        <f t="shared" si="212"/>
        <v/>
      </c>
      <c r="AK220" s="21" t="str">
        <f t="shared" si="213"/>
        <v>Apprenant 208 ou 208'</v>
      </c>
      <c r="AL220" s="22" t="str">
        <f t="shared" si="188"/>
        <v/>
      </c>
      <c r="AM220" s="22" t="str">
        <f t="shared" si="189"/>
        <v/>
      </c>
      <c r="AN220" s="22" t="str">
        <f t="shared" si="190"/>
        <v/>
      </c>
      <c r="AO220" s="22" t="str">
        <f t="shared" si="214"/>
        <v/>
      </c>
      <c r="AQ220" s="21" t="str">
        <f t="shared" si="215"/>
        <v>Apprenant 208</v>
      </c>
      <c r="AR220" s="49" t="str">
        <f>IF(AND('Choix pédagogiques'!$C$4&lt;&gt;"?",'Choix pédagogiques'!$C$5&lt;&gt;"?",W220&lt;&gt;""),(W220-'Choix pédagogiques'!$C$4)/('Choix pédagogiques'!$C$5-'Choix pédagogiques'!$C$4),"")</f>
        <v/>
      </c>
      <c r="AS220" s="49" t="str">
        <f>IF(AND('Choix pédagogiques'!$C$4&lt;&gt;"?",'Choix pédagogiques'!$C$5&lt;&gt;"?",X220&lt;&gt;""),(X220-'Choix pédagogiques'!$C$4)/('Choix pédagogiques'!$C$5-'Choix pédagogiques'!$C$4),"")</f>
        <v/>
      </c>
      <c r="AT220" s="49" t="str">
        <f>IF(AND('Choix pédagogiques'!$C$4&lt;&gt;"?",'Choix pédagogiques'!$C$5&lt;&gt;"?",Y220&lt;&gt;""),(Y220-'Choix pédagogiques'!$C$4)/('Choix pédagogiques'!$C$5-'Choix pédagogiques'!$C$4),"")</f>
        <v/>
      </c>
      <c r="AU220" s="22" t="str">
        <f t="shared" si="216"/>
        <v/>
      </c>
      <c r="AV220" s="21" t="str">
        <f t="shared" si="217"/>
        <v>Apprenant 208 ou 208'</v>
      </c>
      <c r="AW220" s="49" t="str">
        <f>IF(AND('Choix pédagogiques'!$C$4&lt;&gt;"?",'Choix pédagogiques'!$C$5&lt;&gt;"?",AB220&lt;&gt;""),(AB220-'Choix pédagogiques'!$C$4)/('Choix pédagogiques'!$C$5-'Choix pédagogiques'!$C$4),"")</f>
        <v/>
      </c>
      <c r="AX220" s="49" t="str">
        <f>IF(AND('Choix pédagogiques'!$C$4&lt;&gt;"?",'Choix pédagogiques'!$C$5&lt;&gt;"?",AC220&lt;&gt;""),(AC220-'Choix pédagogiques'!$C$4)/('Choix pédagogiques'!$C$5-'Choix pédagogiques'!$C$4),"")</f>
        <v/>
      </c>
      <c r="AY220" s="49" t="str">
        <f>IF(AND('Choix pédagogiques'!$C$4&lt;&gt;"?",'Choix pédagogiques'!$C$5&lt;&gt;"?",AD220&lt;&gt;""),(AD220-'Choix pédagogiques'!$C$4)/('Choix pédagogiques'!$C$5-'Choix pédagogiques'!$C$4),"")</f>
        <v/>
      </c>
      <c r="AZ220" s="22" t="str">
        <f t="shared" si="218"/>
        <v/>
      </c>
      <c r="BA220" s="21" t="str">
        <f t="shared" si="219"/>
        <v>Apprenant 208</v>
      </c>
      <c r="BB220" s="49" t="str">
        <f t="shared" si="191"/>
        <v/>
      </c>
      <c r="BC220" s="49" t="str">
        <f t="shared" si="192"/>
        <v/>
      </c>
      <c r="BD220" s="49" t="str">
        <f t="shared" si="193"/>
        <v/>
      </c>
      <c r="BE220" s="22" t="str">
        <f t="shared" si="220"/>
        <v/>
      </c>
      <c r="BF220" s="21" t="str">
        <f t="shared" si="221"/>
        <v>Apprenant 208 ou 208'</v>
      </c>
      <c r="BG220" s="49" t="str">
        <f t="shared" si="194"/>
        <v/>
      </c>
      <c r="BH220" s="49" t="str">
        <f t="shared" si="195"/>
        <v/>
      </c>
      <c r="BI220" s="49" t="str">
        <f t="shared" si="196"/>
        <v/>
      </c>
      <c r="BJ220" s="22" t="str">
        <f t="shared" si="222"/>
        <v/>
      </c>
      <c r="BL220" s="21"/>
      <c r="BM220" s="21" t="str">
        <f>IF(OR(COUNT(B220:D1219)=0,AND('Choix pédagogiques'!$C$3&lt;&gt;1,'Choix pédagogiques'!$C$3&lt;&gt;2)),"",IF(AND(OR('Choix pédagogiques'!$C$3=1,'Choix pédagogiques'!$C$3=2),$B220&lt;&gt;"",$C220&lt;&gt;"",$D220&lt;&gt;""),1,0))</f>
        <v/>
      </c>
      <c r="BN220" s="21" t="str">
        <f>IF(OR(COUNT(G220:I1219)=0,AND('Choix pédagogiques'!$C$3&lt;&gt;1,'Choix pédagogiques'!$C$3&lt;&gt;2)),"",IF(AND(OR('Choix pédagogiques'!$C$3=1,'Choix pédagogiques'!$C$3=2),AND($G220&lt;&gt;"",$H220&lt;&gt;"",$I220&lt;&gt;"")),1,0))</f>
        <v/>
      </c>
      <c r="BO220" s="21" t="str">
        <f>IF(OR(COUNT(B220:D1219)=0,COUNT(G220:I1219)=0,'Choix pédagogiques'!C$3&lt;&gt;3),"",IF(AND('Choix pédagogiques'!$C$3=3,$B220&lt;&gt;"",$C220&lt;&gt;"",$D220&lt;&gt;"",$G220&lt;&gt;"",$H220&lt;&gt;"",$I220&lt;&gt;""),1,0))</f>
        <v/>
      </c>
      <c r="BR220" s="21">
        <v>290</v>
      </c>
      <c r="BS220" s="21">
        <v>1482</v>
      </c>
      <c r="BT220"/>
    </row>
    <row r="221" spans="1:72" s="23" customFormat="1" ht="18" customHeight="1" x14ac:dyDescent="0.3">
      <c r="A221" s="35" t="s">
        <v>211</v>
      </c>
      <c r="B221" s="37"/>
      <c r="C221" s="37"/>
      <c r="D221" s="37"/>
      <c r="E221" s="37"/>
      <c r="F221" s="35" t="s">
        <v>1219</v>
      </c>
      <c r="G221" s="37"/>
      <c r="H221" s="37"/>
      <c r="I221" s="37"/>
      <c r="J221" s="37"/>
      <c r="K221" s="21" t="str">
        <f t="shared" si="197"/>
        <v>Apprenant 209</v>
      </c>
      <c r="L221" s="22" t="str">
        <f t="shared" si="198"/>
        <v/>
      </c>
      <c r="M221" s="22" t="str">
        <f t="shared" si="199"/>
        <v/>
      </c>
      <c r="N221" s="22" t="str">
        <f t="shared" si="200"/>
        <v/>
      </c>
      <c r="O221" s="22" t="str">
        <f t="shared" si="201"/>
        <v/>
      </c>
      <c r="P221" s="21" t="str">
        <f t="shared" si="202"/>
        <v>Apprenant 209 ou 209'</v>
      </c>
      <c r="Q221" s="22" t="str">
        <f t="shared" si="203"/>
        <v/>
      </c>
      <c r="R221" s="22" t="str">
        <f t="shared" si="204"/>
        <v/>
      </c>
      <c r="S221" s="22" t="str">
        <f t="shared" si="205"/>
        <v/>
      </c>
      <c r="T221" s="22" t="str">
        <f t="shared" si="206"/>
        <v/>
      </c>
      <c r="V221" s="21" t="str">
        <f t="shared" si="207"/>
        <v>Apprenant 209</v>
      </c>
      <c r="W221" s="22" t="str">
        <f>IF(AND(OR('Choix pédagogiques'!$C$3=1,'Choix pédagogiques'!$C$3=2),$BM221=1),B221,IF(AND('Choix pédagogiques'!$C$3=3,$BO221=1),B221,""))</f>
        <v/>
      </c>
      <c r="X221" s="22" t="str">
        <f>IF(AND(OR('Choix pédagogiques'!$C$3=1,'Choix pédagogiques'!$C$3=2),$BM221=1),C221,IF(AND('Choix pédagogiques'!$C$3=3,$BO221=1),C221,""))</f>
        <v/>
      </c>
      <c r="Y221" s="22" t="str">
        <f>IF(AND(OR('Choix pédagogiques'!$C$3=1,'Choix pédagogiques'!$C$3=2),$BM221=1),D221,IF(AND('Choix pédagogiques'!$C$3=3,$BO221=1),D221,""))</f>
        <v/>
      </c>
      <c r="Z221" s="22" t="str">
        <f t="shared" si="208"/>
        <v/>
      </c>
      <c r="AA221" s="21" t="str">
        <f t="shared" si="209"/>
        <v>Apprenant 209 ou 209'</v>
      </c>
      <c r="AB221" s="22" t="str">
        <f>IF(AND(OR('Choix pédagogiques'!$C$3=1,'Choix pédagogiques'!$C$3=2),$BN221=1),G221,IF(AND('Choix pédagogiques'!$C$3=3,$BO221=1),G221,""))</f>
        <v/>
      </c>
      <c r="AC221" s="22" t="str">
        <f>IF(AND(OR('Choix pédagogiques'!$C$3=1,'Choix pédagogiques'!$C$3=2),$BN221=1),H221,IF(AND('Choix pédagogiques'!$C$3=3,$BO221=1),H221,""))</f>
        <v/>
      </c>
      <c r="AD221" s="22" t="str">
        <f>IF(AND(OR('Choix pédagogiques'!$C$3=1,'Choix pédagogiques'!$C$3=2),$BN221=1),I221,IF(AND('Choix pédagogiques'!$C$3=3,$BO221=1),I221,""))</f>
        <v/>
      </c>
      <c r="AE221" s="22" t="str">
        <f t="shared" si="210"/>
        <v/>
      </c>
      <c r="AF221" s="21" t="str">
        <f t="shared" si="211"/>
        <v>Apprenant 209</v>
      </c>
      <c r="AG221" s="22" t="str">
        <f t="shared" si="185"/>
        <v/>
      </c>
      <c r="AH221" s="22" t="str">
        <f t="shared" si="186"/>
        <v/>
      </c>
      <c r="AI221" s="22" t="str">
        <f t="shared" si="187"/>
        <v/>
      </c>
      <c r="AJ221" s="22" t="str">
        <f t="shared" si="212"/>
        <v/>
      </c>
      <c r="AK221" s="21" t="str">
        <f t="shared" si="213"/>
        <v>Apprenant 209 ou 209'</v>
      </c>
      <c r="AL221" s="22" t="str">
        <f t="shared" si="188"/>
        <v/>
      </c>
      <c r="AM221" s="22" t="str">
        <f t="shared" si="189"/>
        <v/>
      </c>
      <c r="AN221" s="22" t="str">
        <f t="shared" si="190"/>
        <v/>
      </c>
      <c r="AO221" s="22" t="str">
        <f t="shared" si="214"/>
        <v/>
      </c>
      <c r="AQ221" s="21" t="str">
        <f t="shared" si="215"/>
        <v>Apprenant 209</v>
      </c>
      <c r="AR221" s="49" t="str">
        <f>IF(AND('Choix pédagogiques'!$C$4&lt;&gt;"?",'Choix pédagogiques'!$C$5&lt;&gt;"?",W221&lt;&gt;""),(W221-'Choix pédagogiques'!$C$4)/('Choix pédagogiques'!$C$5-'Choix pédagogiques'!$C$4),"")</f>
        <v/>
      </c>
      <c r="AS221" s="49" t="str">
        <f>IF(AND('Choix pédagogiques'!$C$4&lt;&gt;"?",'Choix pédagogiques'!$C$5&lt;&gt;"?",X221&lt;&gt;""),(X221-'Choix pédagogiques'!$C$4)/('Choix pédagogiques'!$C$5-'Choix pédagogiques'!$C$4),"")</f>
        <v/>
      </c>
      <c r="AT221" s="49" t="str">
        <f>IF(AND('Choix pédagogiques'!$C$4&lt;&gt;"?",'Choix pédagogiques'!$C$5&lt;&gt;"?",Y221&lt;&gt;""),(Y221-'Choix pédagogiques'!$C$4)/('Choix pédagogiques'!$C$5-'Choix pédagogiques'!$C$4),"")</f>
        <v/>
      </c>
      <c r="AU221" s="22" t="str">
        <f t="shared" si="216"/>
        <v/>
      </c>
      <c r="AV221" s="21" t="str">
        <f t="shared" si="217"/>
        <v>Apprenant 209 ou 209'</v>
      </c>
      <c r="AW221" s="49" t="str">
        <f>IF(AND('Choix pédagogiques'!$C$4&lt;&gt;"?",'Choix pédagogiques'!$C$5&lt;&gt;"?",AB221&lt;&gt;""),(AB221-'Choix pédagogiques'!$C$4)/('Choix pédagogiques'!$C$5-'Choix pédagogiques'!$C$4),"")</f>
        <v/>
      </c>
      <c r="AX221" s="49" t="str">
        <f>IF(AND('Choix pédagogiques'!$C$4&lt;&gt;"?",'Choix pédagogiques'!$C$5&lt;&gt;"?",AC221&lt;&gt;""),(AC221-'Choix pédagogiques'!$C$4)/('Choix pédagogiques'!$C$5-'Choix pédagogiques'!$C$4),"")</f>
        <v/>
      </c>
      <c r="AY221" s="49" t="str">
        <f>IF(AND('Choix pédagogiques'!$C$4&lt;&gt;"?",'Choix pédagogiques'!$C$5&lt;&gt;"?",AD221&lt;&gt;""),(AD221-'Choix pédagogiques'!$C$4)/('Choix pédagogiques'!$C$5-'Choix pédagogiques'!$C$4),"")</f>
        <v/>
      </c>
      <c r="AZ221" s="22" t="str">
        <f t="shared" si="218"/>
        <v/>
      </c>
      <c r="BA221" s="21" t="str">
        <f t="shared" si="219"/>
        <v>Apprenant 209</v>
      </c>
      <c r="BB221" s="49" t="str">
        <f t="shared" si="191"/>
        <v/>
      </c>
      <c r="BC221" s="49" t="str">
        <f t="shared" si="192"/>
        <v/>
      </c>
      <c r="BD221" s="49" t="str">
        <f t="shared" si="193"/>
        <v/>
      </c>
      <c r="BE221" s="22" t="str">
        <f t="shared" si="220"/>
        <v/>
      </c>
      <c r="BF221" s="21" t="str">
        <f t="shared" si="221"/>
        <v>Apprenant 209 ou 209'</v>
      </c>
      <c r="BG221" s="49" t="str">
        <f t="shared" si="194"/>
        <v/>
      </c>
      <c r="BH221" s="49" t="str">
        <f t="shared" si="195"/>
        <v/>
      </c>
      <c r="BI221" s="49" t="str">
        <f t="shared" si="196"/>
        <v/>
      </c>
      <c r="BJ221" s="22" t="str">
        <f t="shared" si="222"/>
        <v/>
      </c>
      <c r="BL221" s="21"/>
      <c r="BM221" s="21" t="str">
        <f>IF(OR(COUNT(B221:D1220)=0,AND('Choix pédagogiques'!$C$3&lt;&gt;1,'Choix pédagogiques'!$C$3&lt;&gt;2)),"",IF(AND(OR('Choix pédagogiques'!$C$3=1,'Choix pédagogiques'!$C$3=2),$B221&lt;&gt;"",$C221&lt;&gt;"",$D221&lt;&gt;""),1,0))</f>
        <v/>
      </c>
      <c r="BN221" s="21" t="str">
        <f>IF(OR(COUNT(G221:I1220)=0,AND('Choix pédagogiques'!$C$3&lt;&gt;1,'Choix pédagogiques'!$C$3&lt;&gt;2)),"",IF(AND(OR('Choix pédagogiques'!$C$3=1,'Choix pédagogiques'!$C$3=2),AND($G221&lt;&gt;"",$H221&lt;&gt;"",$I221&lt;&gt;"")),1,0))</f>
        <v/>
      </c>
      <c r="BO221" s="21" t="str">
        <f>IF(OR(COUNT(B221:D1220)=0,COUNT(G221:I1220)=0,'Choix pédagogiques'!C$3&lt;&gt;3),"",IF(AND('Choix pédagogiques'!$C$3=3,$B221&lt;&gt;"",$C221&lt;&gt;"",$D221&lt;&gt;"",$G221&lt;&gt;"",$H221&lt;&gt;"",$I221&lt;&gt;""),1,0))</f>
        <v/>
      </c>
      <c r="BR221" s="21">
        <v>209</v>
      </c>
      <c r="BS221" s="21">
        <v>1118</v>
      </c>
      <c r="BT221"/>
    </row>
    <row r="222" spans="1:72" s="23" customFormat="1" ht="18" customHeight="1" x14ac:dyDescent="0.3">
      <c r="A222" s="35" t="s">
        <v>212</v>
      </c>
      <c r="B222" s="37"/>
      <c r="C222" s="37"/>
      <c r="D222" s="37"/>
      <c r="E222" s="37"/>
      <c r="F222" s="35" t="s">
        <v>1220</v>
      </c>
      <c r="G222" s="37"/>
      <c r="H222" s="37"/>
      <c r="I222" s="37"/>
      <c r="J222" s="37"/>
      <c r="K222" s="21" t="str">
        <f t="shared" si="197"/>
        <v>Apprenant 210</v>
      </c>
      <c r="L222" s="22" t="str">
        <f t="shared" si="198"/>
        <v/>
      </c>
      <c r="M222" s="22" t="str">
        <f t="shared" si="199"/>
        <v/>
      </c>
      <c r="N222" s="22" t="str">
        <f t="shared" si="200"/>
        <v/>
      </c>
      <c r="O222" s="22" t="str">
        <f t="shared" si="201"/>
        <v/>
      </c>
      <c r="P222" s="21" t="str">
        <f t="shared" si="202"/>
        <v>Apprenant 210 ou 210'</v>
      </c>
      <c r="Q222" s="22" t="str">
        <f t="shared" si="203"/>
        <v/>
      </c>
      <c r="R222" s="22" t="str">
        <f t="shared" si="204"/>
        <v/>
      </c>
      <c r="S222" s="22" t="str">
        <f t="shared" si="205"/>
        <v/>
      </c>
      <c r="T222" s="22" t="str">
        <f t="shared" si="206"/>
        <v/>
      </c>
      <c r="V222" s="21" t="str">
        <f t="shared" si="207"/>
        <v>Apprenant 210</v>
      </c>
      <c r="W222" s="22" t="str">
        <f>IF(AND(OR('Choix pédagogiques'!$C$3=1,'Choix pédagogiques'!$C$3=2),$BM222=1),B222,IF(AND('Choix pédagogiques'!$C$3=3,$BO222=1),B222,""))</f>
        <v/>
      </c>
      <c r="X222" s="22" t="str">
        <f>IF(AND(OR('Choix pédagogiques'!$C$3=1,'Choix pédagogiques'!$C$3=2),$BM222=1),C222,IF(AND('Choix pédagogiques'!$C$3=3,$BO222=1),C222,""))</f>
        <v/>
      </c>
      <c r="Y222" s="22" t="str">
        <f>IF(AND(OR('Choix pédagogiques'!$C$3=1,'Choix pédagogiques'!$C$3=2),$BM222=1),D222,IF(AND('Choix pédagogiques'!$C$3=3,$BO222=1),D222,""))</f>
        <v/>
      </c>
      <c r="Z222" s="22" t="str">
        <f t="shared" si="208"/>
        <v/>
      </c>
      <c r="AA222" s="21" t="str">
        <f t="shared" si="209"/>
        <v>Apprenant 210 ou 210'</v>
      </c>
      <c r="AB222" s="22" t="str">
        <f>IF(AND(OR('Choix pédagogiques'!$C$3=1,'Choix pédagogiques'!$C$3=2),$BN222=1),G222,IF(AND('Choix pédagogiques'!$C$3=3,$BO222=1),G222,""))</f>
        <v/>
      </c>
      <c r="AC222" s="22" t="str">
        <f>IF(AND(OR('Choix pédagogiques'!$C$3=1,'Choix pédagogiques'!$C$3=2),$BN222=1),H222,IF(AND('Choix pédagogiques'!$C$3=3,$BO222=1),H222,""))</f>
        <v/>
      </c>
      <c r="AD222" s="22" t="str">
        <f>IF(AND(OR('Choix pédagogiques'!$C$3=1,'Choix pédagogiques'!$C$3=2),$BN222=1),I222,IF(AND('Choix pédagogiques'!$C$3=3,$BO222=1),I222,""))</f>
        <v/>
      </c>
      <c r="AE222" s="22" t="str">
        <f t="shared" si="210"/>
        <v/>
      </c>
      <c r="AF222" s="21" t="str">
        <f t="shared" si="211"/>
        <v>Apprenant 210</v>
      </c>
      <c r="AG222" s="22" t="str">
        <f t="shared" si="185"/>
        <v/>
      </c>
      <c r="AH222" s="22" t="str">
        <f t="shared" si="186"/>
        <v/>
      </c>
      <c r="AI222" s="22" t="str">
        <f t="shared" si="187"/>
        <v/>
      </c>
      <c r="AJ222" s="22" t="str">
        <f t="shared" si="212"/>
        <v/>
      </c>
      <c r="AK222" s="21" t="str">
        <f t="shared" si="213"/>
        <v>Apprenant 210 ou 210'</v>
      </c>
      <c r="AL222" s="22" t="str">
        <f t="shared" si="188"/>
        <v/>
      </c>
      <c r="AM222" s="22" t="str">
        <f t="shared" si="189"/>
        <v/>
      </c>
      <c r="AN222" s="22" t="str">
        <f t="shared" si="190"/>
        <v/>
      </c>
      <c r="AO222" s="22" t="str">
        <f t="shared" si="214"/>
        <v/>
      </c>
      <c r="AQ222" s="21" t="str">
        <f t="shared" si="215"/>
        <v>Apprenant 210</v>
      </c>
      <c r="AR222" s="49" t="str">
        <f>IF(AND('Choix pédagogiques'!$C$4&lt;&gt;"?",'Choix pédagogiques'!$C$5&lt;&gt;"?",W222&lt;&gt;""),(W222-'Choix pédagogiques'!$C$4)/('Choix pédagogiques'!$C$5-'Choix pédagogiques'!$C$4),"")</f>
        <v/>
      </c>
      <c r="AS222" s="49" t="str">
        <f>IF(AND('Choix pédagogiques'!$C$4&lt;&gt;"?",'Choix pédagogiques'!$C$5&lt;&gt;"?",X222&lt;&gt;""),(X222-'Choix pédagogiques'!$C$4)/('Choix pédagogiques'!$C$5-'Choix pédagogiques'!$C$4),"")</f>
        <v/>
      </c>
      <c r="AT222" s="49" t="str">
        <f>IF(AND('Choix pédagogiques'!$C$4&lt;&gt;"?",'Choix pédagogiques'!$C$5&lt;&gt;"?",Y222&lt;&gt;""),(Y222-'Choix pédagogiques'!$C$4)/('Choix pédagogiques'!$C$5-'Choix pédagogiques'!$C$4),"")</f>
        <v/>
      </c>
      <c r="AU222" s="22" t="str">
        <f t="shared" si="216"/>
        <v/>
      </c>
      <c r="AV222" s="21" t="str">
        <f t="shared" si="217"/>
        <v>Apprenant 210 ou 210'</v>
      </c>
      <c r="AW222" s="49" t="str">
        <f>IF(AND('Choix pédagogiques'!$C$4&lt;&gt;"?",'Choix pédagogiques'!$C$5&lt;&gt;"?",AB222&lt;&gt;""),(AB222-'Choix pédagogiques'!$C$4)/('Choix pédagogiques'!$C$5-'Choix pédagogiques'!$C$4),"")</f>
        <v/>
      </c>
      <c r="AX222" s="49" t="str">
        <f>IF(AND('Choix pédagogiques'!$C$4&lt;&gt;"?",'Choix pédagogiques'!$C$5&lt;&gt;"?",AC222&lt;&gt;""),(AC222-'Choix pédagogiques'!$C$4)/('Choix pédagogiques'!$C$5-'Choix pédagogiques'!$C$4),"")</f>
        <v/>
      </c>
      <c r="AY222" s="49" t="str">
        <f>IF(AND('Choix pédagogiques'!$C$4&lt;&gt;"?",'Choix pédagogiques'!$C$5&lt;&gt;"?",AD222&lt;&gt;""),(AD222-'Choix pédagogiques'!$C$4)/('Choix pédagogiques'!$C$5-'Choix pédagogiques'!$C$4),"")</f>
        <v/>
      </c>
      <c r="AZ222" s="22" t="str">
        <f t="shared" si="218"/>
        <v/>
      </c>
      <c r="BA222" s="21" t="str">
        <f t="shared" si="219"/>
        <v>Apprenant 210</v>
      </c>
      <c r="BB222" s="49" t="str">
        <f t="shared" si="191"/>
        <v/>
      </c>
      <c r="BC222" s="49" t="str">
        <f t="shared" si="192"/>
        <v/>
      </c>
      <c r="BD222" s="49" t="str">
        <f t="shared" si="193"/>
        <v/>
      </c>
      <c r="BE222" s="22" t="str">
        <f t="shared" si="220"/>
        <v/>
      </c>
      <c r="BF222" s="21" t="str">
        <f t="shared" si="221"/>
        <v>Apprenant 210 ou 210'</v>
      </c>
      <c r="BG222" s="49" t="str">
        <f t="shared" si="194"/>
        <v/>
      </c>
      <c r="BH222" s="49" t="str">
        <f t="shared" si="195"/>
        <v/>
      </c>
      <c r="BI222" s="49" t="str">
        <f t="shared" si="196"/>
        <v/>
      </c>
      <c r="BJ222" s="22" t="str">
        <f t="shared" si="222"/>
        <v/>
      </c>
      <c r="BL222" s="21"/>
      <c r="BM222" s="21" t="str">
        <f>IF(OR(COUNT(B222:D1221)=0,AND('Choix pédagogiques'!$C$3&lt;&gt;1,'Choix pédagogiques'!$C$3&lt;&gt;2)),"",IF(AND(OR('Choix pédagogiques'!$C$3=1,'Choix pédagogiques'!$C$3=2),$B222&lt;&gt;"",$C222&lt;&gt;"",$D222&lt;&gt;""),1,0))</f>
        <v/>
      </c>
      <c r="BN222" s="21" t="str">
        <f>IF(OR(COUNT(G222:I1221)=0,AND('Choix pédagogiques'!$C$3&lt;&gt;1,'Choix pédagogiques'!$C$3&lt;&gt;2)),"",IF(AND(OR('Choix pédagogiques'!$C$3=1,'Choix pédagogiques'!$C$3=2),AND($G222&lt;&gt;"",$H222&lt;&gt;"",$I222&lt;&gt;"")),1,0))</f>
        <v/>
      </c>
      <c r="BO222" s="21" t="str">
        <f>IF(OR(COUNT(B222:D1221)=0,COUNT(G222:I1221)=0,'Choix pédagogiques'!C$3&lt;&gt;3),"",IF(AND('Choix pédagogiques'!$C$3=3,$B222&lt;&gt;"",$C222&lt;&gt;"",$D222&lt;&gt;"",$G222&lt;&gt;"",$H222&lt;&gt;"",$I222&lt;&gt;""),1,0))</f>
        <v/>
      </c>
      <c r="BR222" s="21">
        <v>615</v>
      </c>
      <c r="BS222" s="21">
        <v>1596</v>
      </c>
      <c r="BT222"/>
    </row>
    <row r="223" spans="1:72" s="23" customFormat="1" ht="18" customHeight="1" x14ac:dyDescent="0.3">
      <c r="A223" s="35" t="s">
        <v>213</v>
      </c>
      <c r="B223" s="37"/>
      <c r="C223" s="37"/>
      <c r="D223" s="37"/>
      <c r="E223" s="37"/>
      <c r="F223" s="35" t="s">
        <v>1221</v>
      </c>
      <c r="G223" s="37"/>
      <c r="H223" s="37"/>
      <c r="I223" s="37"/>
      <c r="J223" s="37"/>
      <c r="K223" s="21" t="str">
        <f t="shared" si="197"/>
        <v>Apprenant 211</v>
      </c>
      <c r="L223" s="22" t="str">
        <f t="shared" si="198"/>
        <v/>
      </c>
      <c r="M223" s="22" t="str">
        <f t="shared" si="199"/>
        <v/>
      </c>
      <c r="N223" s="22" t="str">
        <f t="shared" si="200"/>
        <v/>
      </c>
      <c r="O223" s="22" t="str">
        <f t="shared" si="201"/>
        <v/>
      </c>
      <c r="P223" s="21" t="str">
        <f t="shared" si="202"/>
        <v>Apprenant 211 ou 211'</v>
      </c>
      <c r="Q223" s="22" t="str">
        <f t="shared" si="203"/>
        <v/>
      </c>
      <c r="R223" s="22" t="str">
        <f t="shared" si="204"/>
        <v/>
      </c>
      <c r="S223" s="22" t="str">
        <f t="shared" si="205"/>
        <v/>
      </c>
      <c r="T223" s="22" t="str">
        <f t="shared" si="206"/>
        <v/>
      </c>
      <c r="V223" s="21" t="str">
        <f t="shared" si="207"/>
        <v>Apprenant 211</v>
      </c>
      <c r="W223" s="22" t="str">
        <f>IF(AND(OR('Choix pédagogiques'!$C$3=1,'Choix pédagogiques'!$C$3=2),$BM223=1),B223,IF(AND('Choix pédagogiques'!$C$3=3,$BO223=1),B223,""))</f>
        <v/>
      </c>
      <c r="X223" s="22" t="str">
        <f>IF(AND(OR('Choix pédagogiques'!$C$3=1,'Choix pédagogiques'!$C$3=2),$BM223=1),C223,IF(AND('Choix pédagogiques'!$C$3=3,$BO223=1),C223,""))</f>
        <v/>
      </c>
      <c r="Y223" s="22" t="str">
        <f>IF(AND(OR('Choix pédagogiques'!$C$3=1,'Choix pédagogiques'!$C$3=2),$BM223=1),D223,IF(AND('Choix pédagogiques'!$C$3=3,$BO223=1),D223,""))</f>
        <v/>
      </c>
      <c r="Z223" s="22" t="str">
        <f t="shared" si="208"/>
        <v/>
      </c>
      <c r="AA223" s="21" t="str">
        <f t="shared" si="209"/>
        <v>Apprenant 211 ou 211'</v>
      </c>
      <c r="AB223" s="22" t="str">
        <f>IF(AND(OR('Choix pédagogiques'!$C$3=1,'Choix pédagogiques'!$C$3=2),$BN223=1),G223,IF(AND('Choix pédagogiques'!$C$3=3,$BO223=1),G223,""))</f>
        <v/>
      </c>
      <c r="AC223" s="22" t="str">
        <f>IF(AND(OR('Choix pédagogiques'!$C$3=1,'Choix pédagogiques'!$C$3=2),$BN223=1),H223,IF(AND('Choix pédagogiques'!$C$3=3,$BO223=1),H223,""))</f>
        <v/>
      </c>
      <c r="AD223" s="22" t="str">
        <f>IF(AND(OR('Choix pédagogiques'!$C$3=1,'Choix pédagogiques'!$C$3=2),$BN223=1),I223,IF(AND('Choix pédagogiques'!$C$3=3,$BO223=1),I223,""))</f>
        <v/>
      </c>
      <c r="AE223" s="22" t="str">
        <f t="shared" si="210"/>
        <v/>
      </c>
      <c r="AF223" s="21" t="str">
        <f t="shared" si="211"/>
        <v>Apprenant 211</v>
      </c>
      <c r="AG223" s="22" t="str">
        <f t="shared" si="185"/>
        <v/>
      </c>
      <c r="AH223" s="22" t="str">
        <f t="shared" si="186"/>
        <v/>
      </c>
      <c r="AI223" s="22" t="str">
        <f t="shared" si="187"/>
        <v/>
      </c>
      <c r="AJ223" s="22" t="str">
        <f t="shared" si="212"/>
        <v/>
      </c>
      <c r="AK223" s="21" t="str">
        <f t="shared" si="213"/>
        <v>Apprenant 211 ou 211'</v>
      </c>
      <c r="AL223" s="22" t="str">
        <f t="shared" si="188"/>
        <v/>
      </c>
      <c r="AM223" s="22" t="str">
        <f t="shared" si="189"/>
        <v/>
      </c>
      <c r="AN223" s="22" t="str">
        <f t="shared" si="190"/>
        <v/>
      </c>
      <c r="AO223" s="22" t="str">
        <f t="shared" si="214"/>
        <v/>
      </c>
      <c r="AQ223" s="21" t="str">
        <f t="shared" si="215"/>
        <v>Apprenant 211</v>
      </c>
      <c r="AR223" s="49" t="str">
        <f>IF(AND('Choix pédagogiques'!$C$4&lt;&gt;"?",'Choix pédagogiques'!$C$5&lt;&gt;"?",W223&lt;&gt;""),(W223-'Choix pédagogiques'!$C$4)/('Choix pédagogiques'!$C$5-'Choix pédagogiques'!$C$4),"")</f>
        <v/>
      </c>
      <c r="AS223" s="49" t="str">
        <f>IF(AND('Choix pédagogiques'!$C$4&lt;&gt;"?",'Choix pédagogiques'!$C$5&lt;&gt;"?",X223&lt;&gt;""),(X223-'Choix pédagogiques'!$C$4)/('Choix pédagogiques'!$C$5-'Choix pédagogiques'!$C$4),"")</f>
        <v/>
      </c>
      <c r="AT223" s="49" t="str">
        <f>IF(AND('Choix pédagogiques'!$C$4&lt;&gt;"?",'Choix pédagogiques'!$C$5&lt;&gt;"?",Y223&lt;&gt;""),(Y223-'Choix pédagogiques'!$C$4)/('Choix pédagogiques'!$C$5-'Choix pédagogiques'!$C$4),"")</f>
        <v/>
      </c>
      <c r="AU223" s="22" t="str">
        <f t="shared" si="216"/>
        <v/>
      </c>
      <c r="AV223" s="21" t="str">
        <f t="shared" si="217"/>
        <v>Apprenant 211 ou 211'</v>
      </c>
      <c r="AW223" s="49" t="str">
        <f>IF(AND('Choix pédagogiques'!$C$4&lt;&gt;"?",'Choix pédagogiques'!$C$5&lt;&gt;"?",AB223&lt;&gt;""),(AB223-'Choix pédagogiques'!$C$4)/('Choix pédagogiques'!$C$5-'Choix pédagogiques'!$C$4),"")</f>
        <v/>
      </c>
      <c r="AX223" s="49" t="str">
        <f>IF(AND('Choix pédagogiques'!$C$4&lt;&gt;"?",'Choix pédagogiques'!$C$5&lt;&gt;"?",AC223&lt;&gt;""),(AC223-'Choix pédagogiques'!$C$4)/('Choix pédagogiques'!$C$5-'Choix pédagogiques'!$C$4),"")</f>
        <v/>
      </c>
      <c r="AY223" s="49" t="str">
        <f>IF(AND('Choix pédagogiques'!$C$4&lt;&gt;"?",'Choix pédagogiques'!$C$5&lt;&gt;"?",AD223&lt;&gt;""),(AD223-'Choix pédagogiques'!$C$4)/('Choix pédagogiques'!$C$5-'Choix pédagogiques'!$C$4),"")</f>
        <v/>
      </c>
      <c r="AZ223" s="22" t="str">
        <f t="shared" si="218"/>
        <v/>
      </c>
      <c r="BA223" s="21" t="str">
        <f t="shared" si="219"/>
        <v>Apprenant 211</v>
      </c>
      <c r="BB223" s="49" t="str">
        <f t="shared" si="191"/>
        <v/>
      </c>
      <c r="BC223" s="49" t="str">
        <f t="shared" si="192"/>
        <v/>
      </c>
      <c r="BD223" s="49" t="str">
        <f t="shared" si="193"/>
        <v/>
      </c>
      <c r="BE223" s="22" t="str">
        <f t="shared" si="220"/>
        <v/>
      </c>
      <c r="BF223" s="21" t="str">
        <f t="shared" si="221"/>
        <v>Apprenant 211 ou 211'</v>
      </c>
      <c r="BG223" s="49" t="str">
        <f t="shared" si="194"/>
        <v/>
      </c>
      <c r="BH223" s="49" t="str">
        <f t="shared" si="195"/>
        <v/>
      </c>
      <c r="BI223" s="49" t="str">
        <f t="shared" si="196"/>
        <v/>
      </c>
      <c r="BJ223" s="22" t="str">
        <f t="shared" si="222"/>
        <v/>
      </c>
      <c r="BL223" s="21"/>
      <c r="BM223" s="21" t="str">
        <f>IF(OR(COUNT(B223:D1222)=0,AND('Choix pédagogiques'!$C$3&lt;&gt;1,'Choix pédagogiques'!$C$3&lt;&gt;2)),"",IF(AND(OR('Choix pédagogiques'!$C$3=1,'Choix pédagogiques'!$C$3=2),$B223&lt;&gt;"",$C223&lt;&gt;"",$D223&lt;&gt;""),1,0))</f>
        <v/>
      </c>
      <c r="BN223" s="21" t="str">
        <f>IF(OR(COUNT(G223:I1222)=0,AND('Choix pédagogiques'!$C$3&lt;&gt;1,'Choix pédagogiques'!$C$3&lt;&gt;2)),"",IF(AND(OR('Choix pédagogiques'!$C$3=1,'Choix pédagogiques'!$C$3=2),AND($G223&lt;&gt;"",$H223&lt;&gt;"",$I223&lt;&gt;"")),1,0))</f>
        <v/>
      </c>
      <c r="BO223" s="21" t="str">
        <f>IF(OR(COUNT(B223:D1222)=0,COUNT(G223:I1222)=0,'Choix pédagogiques'!C$3&lt;&gt;3),"",IF(AND('Choix pédagogiques'!$C$3=3,$B223&lt;&gt;"",$C223&lt;&gt;"",$D223&lt;&gt;"",$G223&lt;&gt;"",$H223&lt;&gt;"",$I223&lt;&gt;""),1,0))</f>
        <v/>
      </c>
      <c r="BR223" s="21">
        <v>937</v>
      </c>
      <c r="BS223" s="21">
        <v>1495</v>
      </c>
      <c r="BT223"/>
    </row>
    <row r="224" spans="1:72" s="23" customFormat="1" ht="18" customHeight="1" x14ac:dyDescent="0.3">
      <c r="A224" s="35" t="s">
        <v>214</v>
      </c>
      <c r="B224" s="37"/>
      <c r="C224" s="37"/>
      <c r="D224" s="37"/>
      <c r="E224" s="37"/>
      <c r="F224" s="35" t="s">
        <v>1222</v>
      </c>
      <c r="G224" s="37"/>
      <c r="H224" s="37"/>
      <c r="I224" s="37"/>
      <c r="J224" s="37"/>
      <c r="K224" s="21" t="str">
        <f t="shared" si="197"/>
        <v>Apprenant 212</v>
      </c>
      <c r="L224" s="22" t="str">
        <f t="shared" si="198"/>
        <v/>
      </c>
      <c r="M224" s="22" t="str">
        <f t="shared" si="199"/>
        <v/>
      </c>
      <c r="N224" s="22" t="str">
        <f t="shared" si="200"/>
        <v/>
      </c>
      <c r="O224" s="22" t="str">
        <f t="shared" si="201"/>
        <v/>
      </c>
      <c r="P224" s="21" t="str">
        <f t="shared" si="202"/>
        <v>Apprenant 212 ou 212'</v>
      </c>
      <c r="Q224" s="22" t="str">
        <f t="shared" si="203"/>
        <v/>
      </c>
      <c r="R224" s="22" t="str">
        <f t="shared" si="204"/>
        <v/>
      </c>
      <c r="S224" s="22" t="str">
        <f t="shared" si="205"/>
        <v/>
      </c>
      <c r="T224" s="22" t="str">
        <f t="shared" si="206"/>
        <v/>
      </c>
      <c r="V224" s="21" t="str">
        <f t="shared" si="207"/>
        <v>Apprenant 212</v>
      </c>
      <c r="W224" s="22" t="str">
        <f>IF(AND(OR('Choix pédagogiques'!$C$3=1,'Choix pédagogiques'!$C$3=2),$BM224=1),B224,IF(AND('Choix pédagogiques'!$C$3=3,$BO224=1),B224,""))</f>
        <v/>
      </c>
      <c r="X224" s="22" t="str">
        <f>IF(AND(OR('Choix pédagogiques'!$C$3=1,'Choix pédagogiques'!$C$3=2),$BM224=1),C224,IF(AND('Choix pédagogiques'!$C$3=3,$BO224=1),C224,""))</f>
        <v/>
      </c>
      <c r="Y224" s="22" t="str">
        <f>IF(AND(OR('Choix pédagogiques'!$C$3=1,'Choix pédagogiques'!$C$3=2),$BM224=1),D224,IF(AND('Choix pédagogiques'!$C$3=3,$BO224=1),D224,""))</f>
        <v/>
      </c>
      <c r="Z224" s="22" t="str">
        <f t="shared" si="208"/>
        <v/>
      </c>
      <c r="AA224" s="21" t="str">
        <f t="shared" si="209"/>
        <v>Apprenant 212 ou 212'</v>
      </c>
      <c r="AB224" s="22" t="str">
        <f>IF(AND(OR('Choix pédagogiques'!$C$3=1,'Choix pédagogiques'!$C$3=2),$BN224=1),G224,IF(AND('Choix pédagogiques'!$C$3=3,$BO224=1),G224,""))</f>
        <v/>
      </c>
      <c r="AC224" s="22" t="str">
        <f>IF(AND(OR('Choix pédagogiques'!$C$3=1,'Choix pédagogiques'!$C$3=2),$BN224=1),H224,IF(AND('Choix pédagogiques'!$C$3=3,$BO224=1),H224,""))</f>
        <v/>
      </c>
      <c r="AD224" s="22" t="str">
        <f>IF(AND(OR('Choix pédagogiques'!$C$3=1,'Choix pédagogiques'!$C$3=2),$BN224=1),I224,IF(AND('Choix pédagogiques'!$C$3=3,$BO224=1),I224,""))</f>
        <v/>
      </c>
      <c r="AE224" s="22" t="str">
        <f t="shared" si="210"/>
        <v/>
      </c>
      <c r="AF224" s="21" t="str">
        <f t="shared" si="211"/>
        <v>Apprenant 212</v>
      </c>
      <c r="AG224" s="22" t="str">
        <f t="shared" si="185"/>
        <v/>
      </c>
      <c r="AH224" s="22" t="str">
        <f t="shared" si="186"/>
        <v/>
      </c>
      <c r="AI224" s="22" t="str">
        <f t="shared" si="187"/>
        <v/>
      </c>
      <c r="AJ224" s="22" t="str">
        <f t="shared" si="212"/>
        <v/>
      </c>
      <c r="AK224" s="21" t="str">
        <f t="shared" si="213"/>
        <v>Apprenant 212 ou 212'</v>
      </c>
      <c r="AL224" s="22" t="str">
        <f t="shared" si="188"/>
        <v/>
      </c>
      <c r="AM224" s="22" t="str">
        <f t="shared" si="189"/>
        <v/>
      </c>
      <c r="AN224" s="22" t="str">
        <f t="shared" si="190"/>
        <v/>
      </c>
      <c r="AO224" s="22" t="str">
        <f t="shared" si="214"/>
        <v/>
      </c>
      <c r="AQ224" s="21" t="str">
        <f t="shared" si="215"/>
        <v>Apprenant 212</v>
      </c>
      <c r="AR224" s="49" t="str">
        <f>IF(AND('Choix pédagogiques'!$C$4&lt;&gt;"?",'Choix pédagogiques'!$C$5&lt;&gt;"?",W224&lt;&gt;""),(W224-'Choix pédagogiques'!$C$4)/('Choix pédagogiques'!$C$5-'Choix pédagogiques'!$C$4),"")</f>
        <v/>
      </c>
      <c r="AS224" s="49" t="str">
        <f>IF(AND('Choix pédagogiques'!$C$4&lt;&gt;"?",'Choix pédagogiques'!$C$5&lt;&gt;"?",X224&lt;&gt;""),(X224-'Choix pédagogiques'!$C$4)/('Choix pédagogiques'!$C$5-'Choix pédagogiques'!$C$4),"")</f>
        <v/>
      </c>
      <c r="AT224" s="49" t="str">
        <f>IF(AND('Choix pédagogiques'!$C$4&lt;&gt;"?",'Choix pédagogiques'!$C$5&lt;&gt;"?",Y224&lt;&gt;""),(Y224-'Choix pédagogiques'!$C$4)/('Choix pédagogiques'!$C$5-'Choix pédagogiques'!$C$4),"")</f>
        <v/>
      </c>
      <c r="AU224" s="22" t="str">
        <f t="shared" si="216"/>
        <v/>
      </c>
      <c r="AV224" s="21" t="str">
        <f t="shared" si="217"/>
        <v>Apprenant 212 ou 212'</v>
      </c>
      <c r="AW224" s="49" t="str">
        <f>IF(AND('Choix pédagogiques'!$C$4&lt;&gt;"?",'Choix pédagogiques'!$C$5&lt;&gt;"?",AB224&lt;&gt;""),(AB224-'Choix pédagogiques'!$C$4)/('Choix pédagogiques'!$C$5-'Choix pédagogiques'!$C$4),"")</f>
        <v/>
      </c>
      <c r="AX224" s="49" t="str">
        <f>IF(AND('Choix pédagogiques'!$C$4&lt;&gt;"?",'Choix pédagogiques'!$C$5&lt;&gt;"?",AC224&lt;&gt;""),(AC224-'Choix pédagogiques'!$C$4)/('Choix pédagogiques'!$C$5-'Choix pédagogiques'!$C$4),"")</f>
        <v/>
      </c>
      <c r="AY224" s="49" t="str">
        <f>IF(AND('Choix pédagogiques'!$C$4&lt;&gt;"?",'Choix pédagogiques'!$C$5&lt;&gt;"?",AD224&lt;&gt;""),(AD224-'Choix pédagogiques'!$C$4)/('Choix pédagogiques'!$C$5-'Choix pédagogiques'!$C$4),"")</f>
        <v/>
      </c>
      <c r="AZ224" s="22" t="str">
        <f t="shared" si="218"/>
        <v/>
      </c>
      <c r="BA224" s="21" t="str">
        <f t="shared" si="219"/>
        <v>Apprenant 212</v>
      </c>
      <c r="BB224" s="49" t="str">
        <f t="shared" si="191"/>
        <v/>
      </c>
      <c r="BC224" s="49" t="str">
        <f t="shared" si="192"/>
        <v/>
      </c>
      <c r="BD224" s="49" t="str">
        <f t="shared" si="193"/>
        <v/>
      </c>
      <c r="BE224" s="22" t="str">
        <f t="shared" si="220"/>
        <v/>
      </c>
      <c r="BF224" s="21" t="str">
        <f t="shared" si="221"/>
        <v>Apprenant 212 ou 212'</v>
      </c>
      <c r="BG224" s="49" t="str">
        <f t="shared" si="194"/>
        <v/>
      </c>
      <c r="BH224" s="49" t="str">
        <f t="shared" si="195"/>
        <v/>
      </c>
      <c r="BI224" s="49" t="str">
        <f t="shared" si="196"/>
        <v/>
      </c>
      <c r="BJ224" s="22" t="str">
        <f t="shared" si="222"/>
        <v/>
      </c>
      <c r="BL224" s="21"/>
      <c r="BM224" s="21" t="str">
        <f>IF(OR(COUNT(B224:D1223)=0,AND('Choix pédagogiques'!$C$3&lt;&gt;1,'Choix pédagogiques'!$C$3&lt;&gt;2)),"",IF(AND(OR('Choix pédagogiques'!$C$3=1,'Choix pédagogiques'!$C$3=2),$B224&lt;&gt;"",$C224&lt;&gt;"",$D224&lt;&gt;""),1,0))</f>
        <v/>
      </c>
      <c r="BN224" s="21" t="str">
        <f>IF(OR(COUNT(G224:I1223)=0,AND('Choix pédagogiques'!$C$3&lt;&gt;1,'Choix pédagogiques'!$C$3&lt;&gt;2)),"",IF(AND(OR('Choix pédagogiques'!$C$3=1,'Choix pédagogiques'!$C$3=2),AND($G224&lt;&gt;"",$H224&lt;&gt;"",$I224&lt;&gt;"")),1,0))</f>
        <v/>
      </c>
      <c r="BO224" s="21" t="str">
        <f>IF(OR(COUNT(B224:D1223)=0,COUNT(G224:I1223)=0,'Choix pédagogiques'!C$3&lt;&gt;3),"",IF(AND('Choix pédagogiques'!$C$3=3,$B224&lt;&gt;"",$C224&lt;&gt;"",$D224&lt;&gt;"",$G224&lt;&gt;"",$H224&lt;&gt;"",$I224&lt;&gt;""),1,0))</f>
        <v/>
      </c>
      <c r="BR224" s="21">
        <v>359</v>
      </c>
      <c r="BS224" s="21">
        <v>1835</v>
      </c>
      <c r="BT224"/>
    </row>
    <row r="225" spans="1:72" s="23" customFormat="1" ht="18" customHeight="1" x14ac:dyDescent="0.3">
      <c r="A225" s="35" t="s">
        <v>215</v>
      </c>
      <c r="B225" s="37"/>
      <c r="C225" s="37"/>
      <c r="D225" s="37"/>
      <c r="E225" s="37"/>
      <c r="F225" s="35" t="s">
        <v>1223</v>
      </c>
      <c r="G225" s="37"/>
      <c r="H225" s="37"/>
      <c r="I225" s="37"/>
      <c r="J225" s="37"/>
      <c r="K225" s="21" t="str">
        <f t="shared" si="197"/>
        <v>Apprenant 213</v>
      </c>
      <c r="L225" s="22" t="str">
        <f t="shared" si="198"/>
        <v/>
      </c>
      <c r="M225" s="22" t="str">
        <f t="shared" si="199"/>
        <v/>
      </c>
      <c r="N225" s="22" t="str">
        <f t="shared" si="200"/>
        <v/>
      </c>
      <c r="O225" s="22" t="str">
        <f t="shared" si="201"/>
        <v/>
      </c>
      <c r="P225" s="21" t="str">
        <f t="shared" si="202"/>
        <v>Apprenant 213 ou 213'</v>
      </c>
      <c r="Q225" s="22" t="str">
        <f t="shared" si="203"/>
        <v/>
      </c>
      <c r="R225" s="22" t="str">
        <f t="shared" si="204"/>
        <v/>
      </c>
      <c r="S225" s="22" t="str">
        <f t="shared" si="205"/>
        <v/>
      </c>
      <c r="T225" s="22" t="str">
        <f t="shared" si="206"/>
        <v/>
      </c>
      <c r="V225" s="21" t="str">
        <f t="shared" si="207"/>
        <v>Apprenant 213</v>
      </c>
      <c r="W225" s="22" t="str">
        <f>IF(AND(OR('Choix pédagogiques'!$C$3=1,'Choix pédagogiques'!$C$3=2),$BM225=1),B225,IF(AND('Choix pédagogiques'!$C$3=3,$BO225=1),B225,""))</f>
        <v/>
      </c>
      <c r="X225" s="22" t="str">
        <f>IF(AND(OR('Choix pédagogiques'!$C$3=1,'Choix pédagogiques'!$C$3=2),$BM225=1),C225,IF(AND('Choix pédagogiques'!$C$3=3,$BO225=1),C225,""))</f>
        <v/>
      </c>
      <c r="Y225" s="22" t="str">
        <f>IF(AND(OR('Choix pédagogiques'!$C$3=1,'Choix pédagogiques'!$C$3=2),$BM225=1),D225,IF(AND('Choix pédagogiques'!$C$3=3,$BO225=1),D225,""))</f>
        <v/>
      </c>
      <c r="Z225" s="22" t="str">
        <f t="shared" si="208"/>
        <v/>
      </c>
      <c r="AA225" s="21" t="str">
        <f t="shared" si="209"/>
        <v>Apprenant 213 ou 213'</v>
      </c>
      <c r="AB225" s="22" t="str">
        <f>IF(AND(OR('Choix pédagogiques'!$C$3=1,'Choix pédagogiques'!$C$3=2),$BN225=1),G225,IF(AND('Choix pédagogiques'!$C$3=3,$BO225=1),G225,""))</f>
        <v/>
      </c>
      <c r="AC225" s="22" t="str">
        <f>IF(AND(OR('Choix pédagogiques'!$C$3=1,'Choix pédagogiques'!$C$3=2),$BN225=1),H225,IF(AND('Choix pédagogiques'!$C$3=3,$BO225=1),H225,""))</f>
        <v/>
      </c>
      <c r="AD225" s="22" t="str">
        <f>IF(AND(OR('Choix pédagogiques'!$C$3=1,'Choix pédagogiques'!$C$3=2),$BN225=1),I225,IF(AND('Choix pédagogiques'!$C$3=3,$BO225=1),I225,""))</f>
        <v/>
      </c>
      <c r="AE225" s="22" t="str">
        <f t="shared" si="210"/>
        <v/>
      </c>
      <c r="AF225" s="21" t="str">
        <f t="shared" si="211"/>
        <v>Apprenant 213</v>
      </c>
      <c r="AG225" s="22" t="str">
        <f t="shared" si="185"/>
        <v/>
      </c>
      <c r="AH225" s="22" t="str">
        <f t="shared" si="186"/>
        <v/>
      </c>
      <c r="AI225" s="22" t="str">
        <f t="shared" si="187"/>
        <v/>
      </c>
      <c r="AJ225" s="22" t="str">
        <f t="shared" si="212"/>
        <v/>
      </c>
      <c r="AK225" s="21" t="str">
        <f t="shared" si="213"/>
        <v>Apprenant 213 ou 213'</v>
      </c>
      <c r="AL225" s="22" t="str">
        <f t="shared" si="188"/>
        <v/>
      </c>
      <c r="AM225" s="22" t="str">
        <f t="shared" si="189"/>
        <v/>
      </c>
      <c r="AN225" s="22" t="str">
        <f t="shared" si="190"/>
        <v/>
      </c>
      <c r="AO225" s="22" t="str">
        <f t="shared" si="214"/>
        <v/>
      </c>
      <c r="AQ225" s="21" t="str">
        <f t="shared" si="215"/>
        <v>Apprenant 213</v>
      </c>
      <c r="AR225" s="49" t="str">
        <f>IF(AND('Choix pédagogiques'!$C$4&lt;&gt;"?",'Choix pédagogiques'!$C$5&lt;&gt;"?",W225&lt;&gt;""),(W225-'Choix pédagogiques'!$C$4)/('Choix pédagogiques'!$C$5-'Choix pédagogiques'!$C$4),"")</f>
        <v/>
      </c>
      <c r="AS225" s="49" t="str">
        <f>IF(AND('Choix pédagogiques'!$C$4&lt;&gt;"?",'Choix pédagogiques'!$C$5&lt;&gt;"?",X225&lt;&gt;""),(X225-'Choix pédagogiques'!$C$4)/('Choix pédagogiques'!$C$5-'Choix pédagogiques'!$C$4),"")</f>
        <v/>
      </c>
      <c r="AT225" s="49" t="str">
        <f>IF(AND('Choix pédagogiques'!$C$4&lt;&gt;"?",'Choix pédagogiques'!$C$5&lt;&gt;"?",Y225&lt;&gt;""),(Y225-'Choix pédagogiques'!$C$4)/('Choix pédagogiques'!$C$5-'Choix pédagogiques'!$C$4),"")</f>
        <v/>
      </c>
      <c r="AU225" s="22" t="str">
        <f t="shared" si="216"/>
        <v/>
      </c>
      <c r="AV225" s="21" t="str">
        <f t="shared" si="217"/>
        <v>Apprenant 213 ou 213'</v>
      </c>
      <c r="AW225" s="49" t="str">
        <f>IF(AND('Choix pédagogiques'!$C$4&lt;&gt;"?",'Choix pédagogiques'!$C$5&lt;&gt;"?",AB225&lt;&gt;""),(AB225-'Choix pédagogiques'!$C$4)/('Choix pédagogiques'!$C$5-'Choix pédagogiques'!$C$4),"")</f>
        <v/>
      </c>
      <c r="AX225" s="49" t="str">
        <f>IF(AND('Choix pédagogiques'!$C$4&lt;&gt;"?",'Choix pédagogiques'!$C$5&lt;&gt;"?",AC225&lt;&gt;""),(AC225-'Choix pédagogiques'!$C$4)/('Choix pédagogiques'!$C$5-'Choix pédagogiques'!$C$4),"")</f>
        <v/>
      </c>
      <c r="AY225" s="49" t="str">
        <f>IF(AND('Choix pédagogiques'!$C$4&lt;&gt;"?",'Choix pédagogiques'!$C$5&lt;&gt;"?",AD225&lt;&gt;""),(AD225-'Choix pédagogiques'!$C$4)/('Choix pédagogiques'!$C$5-'Choix pédagogiques'!$C$4),"")</f>
        <v/>
      </c>
      <c r="AZ225" s="22" t="str">
        <f t="shared" si="218"/>
        <v/>
      </c>
      <c r="BA225" s="21" t="str">
        <f t="shared" si="219"/>
        <v>Apprenant 213</v>
      </c>
      <c r="BB225" s="49" t="str">
        <f t="shared" si="191"/>
        <v/>
      </c>
      <c r="BC225" s="49" t="str">
        <f t="shared" si="192"/>
        <v/>
      </c>
      <c r="BD225" s="49" t="str">
        <f t="shared" si="193"/>
        <v/>
      </c>
      <c r="BE225" s="22" t="str">
        <f t="shared" si="220"/>
        <v/>
      </c>
      <c r="BF225" s="21" t="str">
        <f t="shared" si="221"/>
        <v>Apprenant 213 ou 213'</v>
      </c>
      <c r="BG225" s="49" t="str">
        <f t="shared" si="194"/>
        <v/>
      </c>
      <c r="BH225" s="49" t="str">
        <f t="shared" si="195"/>
        <v/>
      </c>
      <c r="BI225" s="49" t="str">
        <f t="shared" si="196"/>
        <v/>
      </c>
      <c r="BJ225" s="22" t="str">
        <f t="shared" si="222"/>
        <v/>
      </c>
      <c r="BL225" s="21"/>
      <c r="BM225" s="21" t="str">
        <f>IF(OR(COUNT(B225:D1224)=0,AND('Choix pédagogiques'!$C$3&lt;&gt;1,'Choix pédagogiques'!$C$3&lt;&gt;2)),"",IF(AND(OR('Choix pédagogiques'!$C$3=1,'Choix pédagogiques'!$C$3=2),$B225&lt;&gt;"",$C225&lt;&gt;"",$D225&lt;&gt;""),1,0))</f>
        <v/>
      </c>
      <c r="BN225" s="21" t="str">
        <f>IF(OR(COUNT(G225:I1224)=0,AND('Choix pédagogiques'!$C$3&lt;&gt;1,'Choix pédagogiques'!$C$3&lt;&gt;2)),"",IF(AND(OR('Choix pédagogiques'!$C$3=1,'Choix pédagogiques'!$C$3=2),AND($G225&lt;&gt;"",$H225&lt;&gt;"",$I225&lt;&gt;"")),1,0))</f>
        <v/>
      </c>
      <c r="BO225" s="21" t="str">
        <f>IF(OR(COUNT(B225:D1224)=0,COUNT(G225:I1224)=0,'Choix pédagogiques'!C$3&lt;&gt;3),"",IF(AND('Choix pédagogiques'!$C$3=3,$B225&lt;&gt;"",$C225&lt;&gt;"",$D225&lt;&gt;"",$G225&lt;&gt;"",$H225&lt;&gt;"",$I225&lt;&gt;""),1,0))</f>
        <v/>
      </c>
      <c r="BR225" s="21">
        <v>990</v>
      </c>
      <c r="BS225" s="21">
        <v>1533</v>
      </c>
      <c r="BT225"/>
    </row>
    <row r="226" spans="1:72" s="23" customFormat="1" ht="18" customHeight="1" x14ac:dyDescent="0.3">
      <c r="A226" s="35" t="s">
        <v>216</v>
      </c>
      <c r="B226" s="37"/>
      <c r="C226" s="37"/>
      <c r="D226" s="37"/>
      <c r="E226" s="37"/>
      <c r="F226" s="35" t="s">
        <v>1224</v>
      </c>
      <c r="G226" s="37"/>
      <c r="H226" s="37"/>
      <c r="I226" s="37"/>
      <c r="J226" s="37"/>
      <c r="K226" s="21" t="str">
        <f t="shared" si="197"/>
        <v>Apprenant 214</v>
      </c>
      <c r="L226" s="22" t="str">
        <f t="shared" si="198"/>
        <v/>
      </c>
      <c r="M226" s="22" t="str">
        <f t="shared" si="199"/>
        <v/>
      </c>
      <c r="N226" s="22" t="str">
        <f t="shared" si="200"/>
        <v/>
      </c>
      <c r="O226" s="22" t="str">
        <f t="shared" si="201"/>
        <v/>
      </c>
      <c r="P226" s="21" t="str">
        <f t="shared" si="202"/>
        <v>Apprenant 214 ou 214'</v>
      </c>
      <c r="Q226" s="22" t="str">
        <f t="shared" si="203"/>
        <v/>
      </c>
      <c r="R226" s="22" t="str">
        <f t="shared" si="204"/>
        <v/>
      </c>
      <c r="S226" s="22" t="str">
        <f t="shared" si="205"/>
        <v/>
      </c>
      <c r="T226" s="22" t="str">
        <f t="shared" si="206"/>
        <v/>
      </c>
      <c r="V226" s="21" t="str">
        <f t="shared" si="207"/>
        <v>Apprenant 214</v>
      </c>
      <c r="W226" s="22" t="str">
        <f>IF(AND(OR('Choix pédagogiques'!$C$3=1,'Choix pédagogiques'!$C$3=2),$BM226=1),B226,IF(AND('Choix pédagogiques'!$C$3=3,$BO226=1),B226,""))</f>
        <v/>
      </c>
      <c r="X226" s="22" t="str">
        <f>IF(AND(OR('Choix pédagogiques'!$C$3=1,'Choix pédagogiques'!$C$3=2),$BM226=1),C226,IF(AND('Choix pédagogiques'!$C$3=3,$BO226=1),C226,""))</f>
        <v/>
      </c>
      <c r="Y226" s="22" t="str">
        <f>IF(AND(OR('Choix pédagogiques'!$C$3=1,'Choix pédagogiques'!$C$3=2),$BM226=1),D226,IF(AND('Choix pédagogiques'!$C$3=3,$BO226=1),D226,""))</f>
        <v/>
      </c>
      <c r="Z226" s="22" t="str">
        <f t="shared" si="208"/>
        <v/>
      </c>
      <c r="AA226" s="21" t="str">
        <f t="shared" si="209"/>
        <v>Apprenant 214 ou 214'</v>
      </c>
      <c r="AB226" s="22" t="str">
        <f>IF(AND(OR('Choix pédagogiques'!$C$3=1,'Choix pédagogiques'!$C$3=2),$BN226=1),G226,IF(AND('Choix pédagogiques'!$C$3=3,$BO226=1),G226,""))</f>
        <v/>
      </c>
      <c r="AC226" s="22" t="str">
        <f>IF(AND(OR('Choix pédagogiques'!$C$3=1,'Choix pédagogiques'!$C$3=2),$BN226=1),H226,IF(AND('Choix pédagogiques'!$C$3=3,$BO226=1),H226,""))</f>
        <v/>
      </c>
      <c r="AD226" s="22" t="str">
        <f>IF(AND(OR('Choix pédagogiques'!$C$3=1,'Choix pédagogiques'!$C$3=2),$BN226=1),I226,IF(AND('Choix pédagogiques'!$C$3=3,$BO226=1),I226,""))</f>
        <v/>
      </c>
      <c r="AE226" s="22" t="str">
        <f t="shared" si="210"/>
        <v/>
      </c>
      <c r="AF226" s="21" t="str">
        <f t="shared" si="211"/>
        <v>Apprenant 214</v>
      </c>
      <c r="AG226" s="22" t="str">
        <f t="shared" si="185"/>
        <v/>
      </c>
      <c r="AH226" s="22" t="str">
        <f t="shared" si="186"/>
        <v/>
      </c>
      <c r="AI226" s="22" t="str">
        <f t="shared" si="187"/>
        <v/>
      </c>
      <c r="AJ226" s="22" t="str">
        <f t="shared" si="212"/>
        <v/>
      </c>
      <c r="AK226" s="21" t="str">
        <f t="shared" si="213"/>
        <v>Apprenant 214 ou 214'</v>
      </c>
      <c r="AL226" s="22" t="str">
        <f t="shared" si="188"/>
        <v/>
      </c>
      <c r="AM226" s="22" t="str">
        <f t="shared" si="189"/>
        <v/>
      </c>
      <c r="AN226" s="22" t="str">
        <f t="shared" si="190"/>
        <v/>
      </c>
      <c r="AO226" s="22" t="str">
        <f t="shared" si="214"/>
        <v/>
      </c>
      <c r="AQ226" s="21" t="str">
        <f t="shared" si="215"/>
        <v>Apprenant 214</v>
      </c>
      <c r="AR226" s="49" t="str">
        <f>IF(AND('Choix pédagogiques'!$C$4&lt;&gt;"?",'Choix pédagogiques'!$C$5&lt;&gt;"?",W226&lt;&gt;""),(W226-'Choix pédagogiques'!$C$4)/('Choix pédagogiques'!$C$5-'Choix pédagogiques'!$C$4),"")</f>
        <v/>
      </c>
      <c r="AS226" s="49" t="str">
        <f>IF(AND('Choix pédagogiques'!$C$4&lt;&gt;"?",'Choix pédagogiques'!$C$5&lt;&gt;"?",X226&lt;&gt;""),(X226-'Choix pédagogiques'!$C$4)/('Choix pédagogiques'!$C$5-'Choix pédagogiques'!$C$4),"")</f>
        <v/>
      </c>
      <c r="AT226" s="49" t="str">
        <f>IF(AND('Choix pédagogiques'!$C$4&lt;&gt;"?",'Choix pédagogiques'!$C$5&lt;&gt;"?",Y226&lt;&gt;""),(Y226-'Choix pédagogiques'!$C$4)/('Choix pédagogiques'!$C$5-'Choix pédagogiques'!$C$4),"")</f>
        <v/>
      </c>
      <c r="AU226" s="22" t="str">
        <f t="shared" si="216"/>
        <v/>
      </c>
      <c r="AV226" s="21" t="str">
        <f t="shared" si="217"/>
        <v>Apprenant 214 ou 214'</v>
      </c>
      <c r="AW226" s="49" t="str">
        <f>IF(AND('Choix pédagogiques'!$C$4&lt;&gt;"?",'Choix pédagogiques'!$C$5&lt;&gt;"?",AB226&lt;&gt;""),(AB226-'Choix pédagogiques'!$C$4)/('Choix pédagogiques'!$C$5-'Choix pédagogiques'!$C$4),"")</f>
        <v/>
      </c>
      <c r="AX226" s="49" t="str">
        <f>IF(AND('Choix pédagogiques'!$C$4&lt;&gt;"?",'Choix pédagogiques'!$C$5&lt;&gt;"?",AC226&lt;&gt;""),(AC226-'Choix pédagogiques'!$C$4)/('Choix pédagogiques'!$C$5-'Choix pédagogiques'!$C$4),"")</f>
        <v/>
      </c>
      <c r="AY226" s="49" t="str">
        <f>IF(AND('Choix pédagogiques'!$C$4&lt;&gt;"?",'Choix pédagogiques'!$C$5&lt;&gt;"?",AD226&lt;&gt;""),(AD226-'Choix pédagogiques'!$C$4)/('Choix pédagogiques'!$C$5-'Choix pédagogiques'!$C$4),"")</f>
        <v/>
      </c>
      <c r="AZ226" s="22" t="str">
        <f t="shared" si="218"/>
        <v/>
      </c>
      <c r="BA226" s="21" t="str">
        <f t="shared" si="219"/>
        <v>Apprenant 214</v>
      </c>
      <c r="BB226" s="49" t="str">
        <f t="shared" si="191"/>
        <v/>
      </c>
      <c r="BC226" s="49" t="str">
        <f t="shared" si="192"/>
        <v/>
      </c>
      <c r="BD226" s="49" t="str">
        <f t="shared" si="193"/>
        <v/>
      </c>
      <c r="BE226" s="22" t="str">
        <f t="shared" si="220"/>
        <v/>
      </c>
      <c r="BF226" s="21" t="str">
        <f t="shared" si="221"/>
        <v>Apprenant 214 ou 214'</v>
      </c>
      <c r="BG226" s="49" t="str">
        <f t="shared" si="194"/>
        <v/>
      </c>
      <c r="BH226" s="49" t="str">
        <f t="shared" si="195"/>
        <v/>
      </c>
      <c r="BI226" s="49" t="str">
        <f t="shared" si="196"/>
        <v/>
      </c>
      <c r="BJ226" s="22" t="str">
        <f t="shared" si="222"/>
        <v/>
      </c>
      <c r="BL226" s="21"/>
      <c r="BM226" s="21" t="str">
        <f>IF(OR(COUNT(B226:D1225)=0,AND('Choix pédagogiques'!$C$3&lt;&gt;1,'Choix pédagogiques'!$C$3&lt;&gt;2)),"",IF(AND(OR('Choix pédagogiques'!$C$3=1,'Choix pédagogiques'!$C$3=2),$B226&lt;&gt;"",$C226&lt;&gt;"",$D226&lt;&gt;""),1,0))</f>
        <v/>
      </c>
      <c r="BN226" s="21" t="str">
        <f>IF(OR(COUNT(G226:I1225)=0,AND('Choix pédagogiques'!$C$3&lt;&gt;1,'Choix pédagogiques'!$C$3&lt;&gt;2)),"",IF(AND(OR('Choix pédagogiques'!$C$3=1,'Choix pédagogiques'!$C$3=2),AND($G226&lt;&gt;"",$H226&lt;&gt;"",$I226&lt;&gt;"")),1,0))</f>
        <v/>
      </c>
      <c r="BO226" s="21" t="str">
        <f>IF(OR(COUNT(B226:D1225)=0,COUNT(G226:I1225)=0,'Choix pédagogiques'!C$3&lt;&gt;3),"",IF(AND('Choix pédagogiques'!$C$3=3,$B226&lt;&gt;"",$C226&lt;&gt;"",$D226&lt;&gt;"",$G226&lt;&gt;"",$H226&lt;&gt;"",$I226&lt;&gt;""),1,0))</f>
        <v/>
      </c>
      <c r="BR226" s="21">
        <v>974</v>
      </c>
      <c r="BS226" s="21">
        <v>1660</v>
      </c>
      <c r="BT226"/>
    </row>
    <row r="227" spans="1:72" s="23" customFormat="1" ht="18" customHeight="1" x14ac:dyDescent="0.3">
      <c r="A227" s="35" t="s">
        <v>217</v>
      </c>
      <c r="B227" s="37"/>
      <c r="C227" s="37"/>
      <c r="D227" s="37"/>
      <c r="E227" s="37"/>
      <c r="F227" s="35" t="s">
        <v>1225</v>
      </c>
      <c r="G227" s="37"/>
      <c r="H227" s="37"/>
      <c r="I227" s="37"/>
      <c r="J227" s="37"/>
      <c r="K227" s="21" t="str">
        <f t="shared" si="197"/>
        <v>Apprenant 215</v>
      </c>
      <c r="L227" s="22" t="str">
        <f t="shared" si="198"/>
        <v/>
      </c>
      <c r="M227" s="22" t="str">
        <f t="shared" si="199"/>
        <v/>
      </c>
      <c r="N227" s="22" t="str">
        <f t="shared" si="200"/>
        <v/>
      </c>
      <c r="O227" s="22" t="str">
        <f t="shared" si="201"/>
        <v/>
      </c>
      <c r="P227" s="21" t="str">
        <f t="shared" si="202"/>
        <v>Apprenant 215 ou 215'</v>
      </c>
      <c r="Q227" s="22" t="str">
        <f t="shared" si="203"/>
        <v/>
      </c>
      <c r="R227" s="22" t="str">
        <f t="shared" si="204"/>
        <v/>
      </c>
      <c r="S227" s="22" t="str">
        <f t="shared" si="205"/>
        <v/>
      </c>
      <c r="T227" s="22" t="str">
        <f t="shared" si="206"/>
        <v/>
      </c>
      <c r="V227" s="21" t="str">
        <f t="shared" si="207"/>
        <v>Apprenant 215</v>
      </c>
      <c r="W227" s="22" t="str">
        <f>IF(AND(OR('Choix pédagogiques'!$C$3=1,'Choix pédagogiques'!$C$3=2),$BM227=1),B227,IF(AND('Choix pédagogiques'!$C$3=3,$BO227=1),B227,""))</f>
        <v/>
      </c>
      <c r="X227" s="22" t="str">
        <f>IF(AND(OR('Choix pédagogiques'!$C$3=1,'Choix pédagogiques'!$C$3=2),$BM227=1),C227,IF(AND('Choix pédagogiques'!$C$3=3,$BO227=1),C227,""))</f>
        <v/>
      </c>
      <c r="Y227" s="22" t="str">
        <f>IF(AND(OR('Choix pédagogiques'!$C$3=1,'Choix pédagogiques'!$C$3=2),$BM227=1),D227,IF(AND('Choix pédagogiques'!$C$3=3,$BO227=1),D227,""))</f>
        <v/>
      </c>
      <c r="Z227" s="22" t="str">
        <f t="shared" si="208"/>
        <v/>
      </c>
      <c r="AA227" s="21" t="str">
        <f t="shared" si="209"/>
        <v>Apprenant 215 ou 215'</v>
      </c>
      <c r="AB227" s="22" t="str">
        <f>IF(AND(OR('Choix pédagogiques'!$C$3=1,'Choix pédagogiques'!$C$3=2),$BN227=1),G227,IF(AND('Choix pédagogiques'!$C$3=3,$BO227=1),G227,""))</f>
        <v/>
      </c>
      <c r="AC227" s="22" t="str">
        <f>IF(AND(OR('Choix pédagogiques'!$C$3=1,'Choix pédagogiques'!$C$3=2),$BN227=1),H227,IF(AND('Choix pédagogiques'!$C$3=3,$BO227=1),H227,""))</f>
        <v/>
      </c>
      <c r="AD227" s="22" t="str">
        <f>IF(AND(OR('Choix pédagogiques'!$C$3=1,'Choix pédagogiques'!$C$3=2),$BN227=1),I227,IF(AND('Choix pédagogiques'!$C$3=3,$BO227=1),I227,""))</f>
        <v/>
      </c>
      <c r="AE227" s="22" t="str">
        <f t="shared" si="210"/>
        <v/>
      </c>
      <c r="AF227" s="21" t="str">
        <f t="shared" si="211"/>
        <v>Apprenant 215</v>
      </c>
      <c r="AG227" s="22" t="str">
        <f t="shared" si="185"/>
        <v/>
      </c>
      <c r="AH227" s="22" t="str">
        <f t="shared" si="186"/>
        <v/>
      </c>
      <c r="AI227" s="22" t="str">
        <f t="shared" si="187"/>
        <v/>
      </c>
      <c r="AJ227" s="22" t="str">
        <f t="shared" si="212"/>
        <v/>
      </c>
      <c r="AK227" s="21" t="str">
        <f t="shared" si="213"/>
        <v>Apprenant 215 ou 215'</v>
      </c>
      <c r="AL227" s="22" t="str">
        <f t="shared" si="188"/>
        <v/>
      </c>
      <c r="AM227" s="22" t="str">
        <f t="shared" si="189"/>
        <v/>
      </c>
      <c r="AN227" s="22" t="str">
        <f t="shared" si="190"/>
        <v/>
      </c>
      <c r="AO227" s="22" t="str">
        <f t="shared" si="214"/>
        <v/>
      </c>
      <c r="AQ227" s="21" t="str">
        <f t="shared" si="215"/>
        <v>Apprenant 215</v>
      </c>
      <c r="AR227" s="49" t="str">
        <f>IF(AND('Choix pédagogiques'!$C$4&lt;&gt;"?",'Choix pédagogiques'!$C$5&lt;&gt;"?",W227&lt;&gt;""),(W227-'Choix pédagogiques'!$C$4)/('Choix pédagogiques'!$C$5-'Choix pédagogiques'!$C$4),"")</f>
        <v/>
      </c>
      <c r="AS227" s="49" t="str">
        <f>IF(AND('Choix pédagogiques'!$C$4&lt;&gt;"?",'Choix pédagogiques'!$C$5&lt;&gt;"?",X227&lt;&gt;""),(X227-'Choix pédagogiques'!$C$4)/('Choix pédagogiques'!$C$5-'Choix pédagogiques'!$C$4),"")</f>
        <v/>
      </c>
      <c r="AT227" s="49" t="str">
        <f>IF(AND('Choix pédagogiques'!$C$4&lt;&gt;"?",'Choix pédagogiques'!$C$5&lt;&gt;"?",Y227&lt;&gt;""),(Y227-'Choix pédagogiques'!$C$4)/('Choix pédagogiques'!$C$5-'Choix pédagogiques'!$C$4),"")</f>
        <v/>
      </c>
      <c r="AU227" s="22" t="str">
        <f t="shared" si="216"/>
        <v/>
      </c>
      <c r="AV227" s="21" t="str">
        <f t="shared" si="217"/>
        <v>Apprenant 215 ou 215'</v>
      </c>
      <c r="AW227" s="49" t="str">
        <f>IF(AND('Choix pédagogiques'!$C$4&lt;&gt;"?",'Choix pédagogiques'!$C$5&lt;&gt;"?",AB227&lt;&gt;""),(AB227-'Choix pédagogiques'!$C$4)/('Choix pédagogiques'!$C$5-'Choix pédagogiques'!$C$4),"")</f>
        <v/>
      </c>
      <c r="AX227" s="49" t="str">
        <f>IF(AND('Choix pédagogiques'!$C$4&lt;&gt;"?",'Choix pédagogiques'!$C$5&lt;&gt;"?",AC227&lt;&gt;""),(AC227-'Choix pédagogiques'!$C$4)/('Choix pédagogiques'!$C$5-'Choix pédagogiques'!$C$4),"")</f>
        <v/>
      </c>
      <c r="AY227" s="49" t="str">
        <f>IF(AND('Choix pédagogiques'!$C$4&lt;&gt;"?",'Choix pédagogiques'!$C$5&lt;&gt;"?",AD227&lt;&gt;""),(AD227-'Choix pédagogiques'!$C$4)/('Choix pédagogiques'!$C$5-'Choix pédagogiques'!$C$4),"")</f>
        <v/>
      </c>
      <c r="AZ227" s="22" t="str">
        <f t="shared" si="218"/>
        <v/>
      </c>
      <c r="BA227" s="21" t="str">
        <f t="shared" si="219"/>
        <v>Apprenant 215</v>
      </c>
      <c r="BB227" s="49" t="str">
        <f t="shared" si="191"/>
        <v/>
      </c>
      <c r="BC227" s="49" t="str">
        <f t="shared" si="192"/>
        <v/>
      </c>
      <c r="BD227" s="49" t="str">
        <f t="shared" si="193"/>
        <v/>
      </c>
      <c r="BE227" s="22" t="str">
        <f t="shared" si="220"/>
        <v/>
      </c>
      <c r="BF227" s="21" t="str">
        <f t="shared" si="221"/>
        <v>Apprenant 215 ou 215'</v>
      </c>
      <c r="BG227" s="49" t="str">
        <f t="shared" si="194"/>
        <v/>
      </c>
      <c r="BH227" s="49" t="str">
        <f t="shared" si="195"/>
        <v/>
      </c>
      <c r="BI227" s="49" t="str">
        <f t="shared" si="196"/>
        <v/>
      </c>
      <c r="BJ227" s="22" t="str">
        <f t="shared" si="222"/>
        <v/>
      </c>
      <c r="BL227" s="21"/>
      <c r="BM227" s="21" t="str">
        <f>IF(OR(COUNT(B227:D1226)=0,AND('Choix pédagogiques'!$C$3&lt;&gt;1,'Choix pédagogiques'!$C$3&lt;&gt;2)),"",IF(AND(OR('Choix pédagogiques'!$C$3=1,'Choix pédagogiques'!$C$3=2),$B227&lt;&gt;"",$C227&lt;&gt;"",$D227&lt;&gt;""),1,0))</f>
        <v/>
      </c>
      <c r="BN227" s="21" t="str">
        <f>IF(OR(COUNT(G227:I1226)=0,AND('Choix pédagogiques'!$C$3&lt;&gt;1,'Choix pédagogiques'!$C$3&lt;&gt;2)),"",IF(AND(OR('Choix pédagogiques'!$C$3=1,'Choix pédagogiques'!$C$3=2),AND($G227&lt;&gt;"",$H227&lt;&gt;"",$I227&lt;&gt;"")),1,0))</f>
        <v/>
      </c>
      <c r="BO227" s="21" t="str">
        <f>IF(OR(COUNT(B227:D1226)=0,COUNT(G227:I1226)=0,'Choix pédagogiques'!C$3&lt;&gt;3),"",IF(AND('Choix pédagogiques'!$C$3=3,$B227&lt;&gt;"",$C227&lt;&gt;"",$D227&lt;&gt;"",$G227&lt;&gt;"",$H227&lt;&gt;"",$I227&lt;&gt;""),1,0))</f>
        <v/>
      </c>
      <c r="BR227" s="21">
        <v>405</v>
      </c>
      <c r="BS227" s="21">
        <v>1739</v>
      </c>
      <c r="BT227"/>
    </row>
    <row r="228" spans="1:72" s="23" customFormat="1" ht="18" customHeight="1" x14ac:dyDescent="0.3">
      <c r="A228" s="35" t="s">
        <v>218</v>
      </c>
      <c r="B228" s="37"/>
      <c r="C228" s="37"/>
      <c r="D228" s="37"/>
      <c r="E228" s="37"/>
      <c r="F228" s="35" t="s">
        <v>1226</v>
      </c>
      <c r="G228" s="37"/>
      <c r="H228" s="37"/>
      <c r="I228" s="37"/>
      <c r="J228" s="37"/>
      <c r="K228" s="21" t="str">
        <f t="shared" si="197"/>
        <v>Apprenant 216</v>
      </c>
      <c r="L228" s="22" t="str">
        <f t="shared" si="198"/>
        <v/>
      </c>
      <c r="M228" s="22" t="str">
        <f t="shared" si="199"/>
        <v/>
      </c>
      <c r="N228" s="22" t="str">
        <f t="shared" si="200"/>
        <v/>
      </c>
      <c r="O228" s="22" t="str">
        <f t="shared" si="201"/>
        <v/>
      </c>
      <c r="P228" s="21" t="str">
        <f t="shared" si="202"/>
        <v>Apprenant 216 ou 216'</v>
      </c>
      <c r="Q228" s="22" t="str">
        <f t="shared" si="203"/>
        <v/>
      </c>
      <c r="R228" s="22" t="str">
        <f t="shared" si="204"/>
        <v/>
      </c>
      <c r="S228" s="22" t="str">
        <f t="shared" si="205"/>
        <v/>
      </c>
      <c r="T228" s="22" t="str">
        <f t="shared" si="206"/>
        <v/>
      </c>
      <c r="V228" s="21" t="str">
        <f t="shared" si="207"/>
        <v>Apprenant 216</v>
      </c>
      <c r="W228" s="22" t="str">
        <f>IF(AND(OR('Choix pédagogiques'!$C$3=1,'Choix pédagogiques'!$C$3=2),$BM228=1),B228,IF(AND('Choix pédagogiques'!$C$3=3,$BO228=1),B228,""))</f>
        <v/>
      </c>
      <c r="X228" s="22" t="str">
        <f>IF(AND(OR('Choix pédagogiques'!$C$3=1,'Choix pédagogiques'!$C$3=2),$BM228=1),C228,IF(AND('Choix pédagogiques'!$C$3=3,$BO228=1),C228,""))</f>
        <v/>
      </c>
      <c r="Y228" s="22" t="str">
        <f>IF(AND(OR('Choix pédagogiques'!$C$3=1,'Choix pédagogiques'!$C$3=2),$BM228=1),D228,IF(AND('Choix pédagogiques'!$C$3=3,$BO228=1),D228,""))</f>
        <v/>
      </c>
      <c r="Z228" s="22" t="str">
        <f t="shared" si="208"/>
        <v/>
      </c>
      <c r="AA228" s="21" t="str">
        <f t="shared" si="209"/>
        <v>Apprenant 216 ou 216'</v>
      </c>
      <c r="AB228" s="22" t="str">
        <f>IF(AND(OR('Choix pédagogiques'!$C$3=1,'Choix pédagogiques'!$C$3=2),$BN228=1),G228,IF(AND('Choix pédagogiques'!$C$3=3,$BO228=1),G228,""))</f>
        <v/>
      </c>
      <c r="AC228" s="22" t="str">
        <f>IF(AND(OR('Choix pédagogiques'!$C$3=1,'Choix pédagogiques'!$C$3=2),$BN228=1),H228,IF(AND('Choix pédagogiques'!$C$3=3,$BO228=1),H228,""))</f>
        <v/>
      </c>
      <c r="AD228" s="22" t="str">
        <f>IF(AND(OR('Choix pédagogiques'!$C$3=1,'Choix pédagogiques'!$C$3=2),$BN228=1),I228,IF(AND('Choix pédagogiques'!$C$3=3,$BO228=1),I228,""))</f>
        <v/>
      </c>
      <c r="AE228" s="22" t="str">
        <f t="shared" si="210"/>
        <v/>
      </c>
      <c r="AF228" s="21" t="str">
        <f t="shared" si="211"/>
        <v>Apprenant 216</v>
      </c>
      <c r="AG228" s="22" t="str">
        <f t="shared" si="185"/>
        <v/>
      </c>
      <c r="AH228" s="22" t="str">
        <f t="shared" si="186"/>
        <v/>
      </c>
      <c r="AI228" s="22" t="str">
        <f t="shared" si="187"/>
        <v/>
      </c>
      <c r="AJ228" s="22" t="str">
        <f t="shared" si="212"/>
        <v/>
      </c>
      <c r="AK228" s="21" t="str">
        <f t="shared" si="213"/>
        <v>Apprenant 216 ou 216'</v>
      </c>
      <c r="AL228" s="22" t="str">
        <f t="shared" si="188"/>
        <v/>
      </c>
      <c r="AM228" s="22" t="str">
        <f t="shared" si="189"/>
        <v/>
      </c>
      <c r="AN228" s="22" t="str">
        <f t="shared" si="190"/>
        <v/>
      </c>
      <c r="AO228" s="22" t="str">
        <f t="shared" si="214"/>
        <v/>
      </c>
      <c r="AQ228" s="21" t="str">
        <f t="shared" si="215"/>
        <v>Apprenant 216</v>
      </c>
      <c r="AR228" s="49" t="str">
        <f>IF(AND('Choix pédagogiques'!$C$4&lt;&gt;"?",'Choix pédagogiques'!$C$5&lt;&gt;"?",W228&lt;&gt;""),(W228-'Choix pédagogiques'!$C$4)/('Choix pédagogiques'!$C$5-'Choix pédagogiques'!$C$4),"")</f>
        <v/>
      </c>
      <c r="AS228" s="49" t="str">
        <f>IF(AND('Choix pédagogiques'!$C$4&lt;&gt;"?",'Choix pédagogiques'!$C$5&lt;&gt;"?",X228&lt;&gt;""),(X228-'Choix pédagogiques'!$C$4)/('Choix pédagogiques'!$C$5-'Choix pédagogiques'!$C$4),"")</f>
        <v/>
      </c>
      <c r="AT228" s="49" t="str">
        <f>IF(AND('Choix pédagogiques'!$C$4&lt;&gt;"?",'Choix pédagogiques'!$C$5&lt;&gt;"?",Y228&lt;&gt;""),(Y228-'Choix pédagogiques'!$C$4)/('Choix pédagogiques'!$C$5-'Choix pédagogiques'!$C$4),"")</f>
        <v/>
      </c>
      <c r="AU228" s="22" t="str">
        <f t="shared" si="216"/>
        <v/>
      </c>
      <c r="AV228" s="21" t="str">
        <f t="shared" si="217"/>
        <v>Apprenant 216 ou 216'</v>
      </c>
      <c r="AW228" s="49" t="str">
        <f>IF(AND('Choix pédagogiques'!$C$4&lt;&gt;"?",'Choix pédagogiques'!$C$5&lt;&gt;"?",AB228&lt;&gt;""),(AB228-'Choix pédagogiques'!$C$4)/('Choix pédagogiques'!$C$5-'Choix pédagogiques'!$C$4),"")</f>
        <v/>
      </c>
      <c r="AX228" s="49" t="str">
        <f>IF(AND('Choix pédagogiques'!$C$4&lt;&gt;"?",'Choix pédagogiques'!$C$5&lt;&gt;"?",AC228&lt;&gt;""),(AC228-'Choix pédagogiques'!$C$4)/('Choix pédagogiques'!$C$5-'Choix pédagogiques'!$C$4),"")</f>
        <v/>
      </c>
      <c r="AY228" s="49" t="str">
        <f>IF(AND('Choix pédagogiques'!$C$4&lt;&gt;"?",'Choix pédagogiques'!$C$5&lt;&gt;"?",AD228&lt;&gt;""),(AD228-'Choix pédagogiques'!$C$4)/('Choix pédagogiques'!$C$5-'Choix pédagogiques'!$C$4),"")</f>
        <v/>
      </c>
      <c r="AZ228" s="22" t="str">
        <f t="shared" si="218"/>
        <v/>
      </c>
      <c r="BA228" s="21" t="str">
        <f t="shared" si="219"/>
        <v>Apprenant 216</v>
      </c>
      <c r="BB228" s="49" t="str">
        <f t="shared" si="191"/>
        <v/>
      </c>
      <c r="BC228" s="49" t="str">
        <f t="shared" si="192"/>
        <v/>
      </c>
      <c r="BD228" s="49" t="str">
        <f t="shared" si="193"/>
        <v/>
      </c>
      <c r="BE228" s="22" t="str">
        <f t="shared" si="220"/>
        <v/>
      </c>
      <c r="BF228" s="21" t="str">
        <f t="shared" si="221"/>
        <v>Apprenant 216 ou 216'</v>
      </c>
      <c r="BG228" s="49" t="str">
        <f t="shared" si="194"/>
        <v/>
      </c>
      <c r="BH228" s="49" t="str">
        <f t="shared" si="195"/>
        <v/>
      </c>
      <c r="BI228" s="49" t="str">
        <f t="shared" si="196"/>
        <v/>
      </c>
      <c r="BJ228" s="22" t="str">
        <f t="shared" si="222"/>
        <v/>
      </c>
      <c r="BL228" s="21"/>
      <c r="BM228" s="21" t="str">
        <f>IF(OR(COUNT(B228:D1227)=0,AND('Choix pédagogiques'!$C$3&lt;&gt;1,'Choix pédagogiques'!$C$3&lt;&gt;2)),"",IF(AND(OR('Choix pédagogiques'!$C$3=1,'Choix pédagogiques'!$C$3=2),$B228&lt;&gt;"",$C228&lt;&gt;"",$D228&lt;&gt;""),1,0))</f>
        <v/>
      </c>
      <c r="BN228" s="21" t="str">
        <f>IF(OR(COUNT(G228:I1227)=0,AND('Choix pédagogiques'!$C$3&lt;&gt;1,'Choix pédagogiques'!$C$3&lt;&gt;2)),"",IF(AND(OR('Choix pédagogiques'!$C$3=1,'Choix pédagogiques'!$C$3=2),AND($G228&lt;&gt;"",$H228&lt;&gt;"",$I228&lt;&gt;"")),1,0))</f>
        <v/>
      </c>
      <c r="BO228" s="21" t="str">
        <f>IF(OR(COUNT(B228:D1227)=0,COUNT(G228:I1227)=0,'Choix pédagogiques'!C$3&lt;&gt;3),"",IF(AND('Choix pédagogiques'!$C$3=3,$B228&lt;&gt;"",$C228&lt;&gt;"",$D228&lt;&gt;"",$G228&lt;&gt;"",$H228&lt;&gt;"",$I228&lt;&gt;""),1,0))</f>
        <v/>
      </c>
      <c r="BR228" s="21">
        <v>59</v>
      </c>
      <c r="BS228" s="21">
        <v>1485</v>
      </c>
      <c r="BT228"/>
    </row>
    <row r="229" spans="1:72" s="23" customFormat="1" ht="18" customHeight="1" x14ac:dyDescent="0.3">
      <c r="A229" s="35" t="s">
        <v>219</v>
      </c>
      <c r="B229" s="37"/>
      <c r="C229" s="37"/>
      <c r="D229" s="37"/>
      <c r="E229" s="37"/>
      <c r="F229" s="35" t="s">
        <v>1227</v>
      </c>
      <c r="G229" s="37"/>
      <c r="H229" s="37"/>
      <c r="I229" s="37"/>
      <c r="J229" s="37"/>
      <c r="K229" s="21" t="str">
        <f t="shared" si="197"/>
        <v>Apprenant 217</v>
      </c>
      <c r="L229" s="22" t="str">
        <f t="shared" si="198"/>
        <v/>
      </c>
      <c r="M229" s="22" t="str">
        <f t="shared" si="199"/>
        <v/>
      </c>
      <c r="N229" s="22" t="str">
        <f t="shared" si="200"/>
        <v/>
      </c>
      <c r="O229" s="22" t="str">
        <f t="shared" si="201"/>
        <v/>
      </c>
      <c r="P229" s="21" t="str">
        <f t="shared" si="202"/>
        <v>Apprenant 217 ou 217'</v>
      </c>
      <c r="Q229" s="22" t="str">
        <f t="shared" si="203"/>
        <v/>
      </c>
      <c r="R229" s="22" t="str">
        <f t="shared" si="204"/>
        <v/>
      </c>
      <c r="S229" s="22" t="str">
        <f t="shared" si="205"/>
        <v/>
      </c>
      <c r="T229" s="22" t="str">
        <f t="shared" si="206"/>
        <v/>
      </c>
      <c r="V229" s="21" t="str">
        <f t="shared" si="207"/>
        <v>Apprenant 217</v>
      </c>
      <c r="W229" s="22" t="str">
        <f>IF(AND(OR('Choix pédagogiques'!$C$3=1,'Choix pédagogiques'!$C$3=2),$BM229=1),B229,IF(AND('Choix pédagogiques'!$C$3=3,$BO229=1),B229,""))</f>
        <v/>
      </c>
      <c r="X229" s="22" t="str">
        <f>IF(AND(OR('Choix pédagogiques'!$C$3=1,'Choix pédagogiques'!$C$3=2),$BM229=1),C229,IF(AND('Choix pédagogiques'!$C$3=3,$BO229=1),C229,""))</f>
        <v/>
      </c>
      <c r="Y229" s="22" t="str">
        <f>IF(AND(OR('Choix pédagogiques'!$C$3=1,'Choix pédagogiques'!$C$3=2),$BM229=1),D229,IF(AND('Choix pédagogiques'!$C$3=3,$BO229=1),D229,""))</f>
        <v/>
      </c>
      <c r="Z229" s="22" t="str">
        <f t="shared" si="208"/>
        <v/>
      </c>
      <c r="AA229" s="21" t="str">
        <f t="shared" si="209"/>
        <v>Apprenant 217 ou 217'</v>
      </c>
      <c r="AB229" s="22" t="str">
        <f>IF(AND(OR('Choix pédagogiques'!$C$3=1,'Choix pédagogiques'!$C$3=2),$BN229=1),G229,IF(AND('Choix pédagogiques'!$C$3=3,$BO229=1),G229,""))</f>
        <v/>
      </c>
      <c r="AC229" s="22" t="str">
        <f>IF(AND(OR('Choix pédagogiques'!$C$3=1,'Choix pédagogiques'!$C$3=2),$BN229=1),H229,IF(AND('Choix pédagogiques'!$C$3=3,$BO229=1),H229,""))</f>
        <v/>
      </c>
      <c r="AD229" s="22" t="str">
        <f>IF(AND(OR('Choix pédagogiques'!$C$3=1,'Choix pédagogiques'!$C$3=2),$BN229=1),I229,IF(AND('Choix pédagogiques'!$C$3=3,$BO229=1),I229,""))</f>
        <v/>
      </c>
      <c r="AE229" s="22" t="str">
        <f t="shared" si="210"/>
        <v/>
      </c>
      <c r="AF229" s="21" t="str">
        <f t="shared" si="211"/>
        <v>Apprenant 217</v>
      </c>
      <c r="AG229" s="22" t="str">
        <f t="shared" si="185"/>
        <v/>
      </c>
      <c r="AH229" s="22" t="str">
        <f t="shared" si="186"/>
        <v/>
      </c>
      <c r="AI229" s="22" t="str">
        <f t="shared" si="187"/>
        <v/>
      </c>
      <c r="AJ229" s="22" t="str">
        <f t="shared" si="212"/>
        <v/>
      </c>
      <c r="AK229" s="21" t="str">
        <f t="shared" si="213"/>
        <v>Apprenant 217 ou 217'</v>
      </c>
      <c r="AL229" s="22" t="str">
        <f t="shared" si="188"/>
        <v/>
      </c>
      <c r="AM229" s="22" t="str">
        <f t="shared" si="189"/>
        <v/>
      </c>
      <c r="AN229" s="22" t="str">
        <f t="shared" si="190"/>
        <v/>
      </c>
      <c r="AO229" s="22" t="str">
        <f t="shared" si="214"/>
        <v/>
      </c>
      <c r="AQ229" s="21" t="str">
        <f t="shared" si="215"/>
        <v>Apprenant 217</v>
      </c>
      <c r="AR229" s="49" t="str">
        <f>IF(AND('Choix pédagogiques'!$C$4&lt;&gt;"?",'Choix pédagogiques'!$C$5&lt;&gt;"?",W229&lt;&gt;""),(W229-'Choix pédagogiques'!$C$4)/('Choix pédagogiques'!$C$5-'Choix pédagogiques'!$C$4),"")</f>
        <v/>
      </c>
      <c r="AS229" s="49" t="str">
        <f>IF(AND('Choix pédagogiques'!$C$4&lt;&gt;"?",'Choix pédagogiques'!$C$5&lt;&gt;"?",X229&lt;&gt;""),(X229-'Choix pédagogiques'!$C$4)/('Choix pédagogiques'!$C$5-'Choix pédagogiques'!$C$4),"")</f>
        <v/>
      </c>
      <c r="AT229" s="49" t="str">
        <f>IF(AND('Choix pédagogiques'!$C$4&lt;&gt;"?",'Choix pédagogiques'!$C$5&lt;&gt;"?",Y229&lt;&gt;""),(Y229-'Choix pédagogiques'!$C$4)/('Choix pédagogiques'!$C$5-'Choix pédagogiques'!$C$4),"")</f>
        <v/>
      </c>
      <c r="AU229" s="22" t="str">
        <f t="shared" si="216"/>
        <v/>
      </c>
      <c r="AV229" s="21" t="str">
        <f t="shared" si="217"/>
        <v>Apprenant 217 ou 217'</v>
      </c>
      <c r="AW229" s="49" t="str">
        <f>IF(AND('Choix pédagogiques'!$C$4&lt;&gt;"?",'Choix pédagogiques'!$C$5&lt;&gt;"?",AB229&lt;&gt;""),(AB229-'Choix pédagogiques'!$C$4)/('Choix pédagogiques'!$C$5-'Choix pédagogiques'!$C$4),"")</f>
        <v/>
      </c>
      <c r="AX229" s="49" t="str">
        <f>IF(AND('Choix pédagogiques'!$C$4&lt;&gt;"?",'Choix pédagogiques'!$C$5&lt;&gt;"?",AC229&lt;&gt;""),(AC229-'Choix pédagogiques'!$C$4)/('Choix pédagogiques'!$C$5-'Choix pédagogiques'!$C$4),"")</f>
        <v/>
      </c>
      <c r="AY229" s="49" t="str">
        <f>IF(AND('Choix pédagogiques'!$C$4&lt;&gt;"?",'Choix pédagogiques'!$C$5&lt;&gt;"?",AD229&lt;&gt;""),(AD229-'Choix pédagogiques'!$C$4)/('Choix pédagogiques'!$C$5-'Choix pédagogiques'!$C$4),"")</f>
        <v/>
      </c>
      <c r="AZ229" s="22" t="str">
        <f t="shared" si="218"/>
        <v/>
      </c>
      <c r="BA229" s="21" t="str">
        <f t="shared" si="219"/>
        <v>Apprenant 217</v>
      </c>
      <c r="BB229" s="49" t="str">
        <f t="shared" si="191"/>
        <v/>
      </c>
      <c r="BC229" s="49" t="str">
        <f t="shared" si="192"/>
        <v/>
      </c>
      <c r="BD229" s="49" t="str">
        <f t="shared" si="193"/>
        <v/>
      </c>
      <c r="BE229" s="22" t="str">
        <f t="shared" si="220"/>
        <v/>
      </c>
      <c r="BF229" s="21" t="str">
        <f t="shared" si="221"/>
        <v>Apprenant 217 ou 217'</v>
      </c>
      <c r="BG229" s="49" t="str">
        <f t="shared" si="194"/>
        <v/>
      </c>
      <c r="BH229" s="49" t="str">
        <f t="shared" si="195"/>
        <v/>
      </c>
      <c r="BI229" s="49" t="str">
        <f t="shared" si="196"/>
        <v/>
      </c>
      <c r="BJ229" s="22" t="str">
        <f t="shared" si="222"/>
        <v/>
      </c>
      <c r="BL229" s="21"/>
      <c r="BM229" s="21" t="str">
        <f>IF(OR(COUNT(B229:D1228)=0,AND('Choix pédagogiques'!$C$3&lt;&gt;1,'Choix pédagogiques'!$C$3&lt;&gt;2)),"",IF(AND(OR('Choix pédagogiques'!$C$3=1,'Choix pédagogiques'!$C$3=2),$B229&lt;&gt;"",$C229&lt;&gt;"",$D229&lt;&gt;""),1,0))</f>
        <v/>
      </c>
      <c r="BN229" s="21" t="str">
        <f>IF(OR(COUNT(G229:I1228)=0,AND('Choix pédagogiques'!$C$3&lt;&gt;1,'Choix pédagogiques'!$C$3&lt;&gt;2)),"",IF(AND(OR('Choix pédagogiques'!$C$3=1,'Choix pédagogiques'!$C$3=2),AND($G229&lt;&gt;"",$H229&lt;&gt;"",$I229&lt;&gt;"")),1,0))</f>
        <v/>
      </c>
      <c r="BO229" s="21" t="str">
        <f>IF(OR(COUNT(B229:D1228)=0,COUNT(G229:I1228)=0,'Choix pédagogiques'!C$3&lt;&gt;3),"",IF(AND('Choix pédagogiques'!$C$3=3,$B229&lt;&gt;"",$C229&lt;&gt;"",$D229&lt;&gt;"",$G229&lt;&gt;"",$H229&lt;&gt;"",$I229&lt;&gt;""),1,0))</f>
        <v/>
      </c>
      <c r="BR229" s="21">
        <v>172</v>
      </c>
      <c r="BS229" s="21">
        <v>1292</v>
      </c>
      <c r="BT229"/>
    </row>
    <row r="230" spans="1:72" s="23" customFormat="1" ht="18" customHeight="1" x14ac:dyDescent="0.3">
      <c r="A230" s="35" t="s">
        <v>220</v>
      </c>
      <c r="B230" s="37"/>
      <c r="C230" s="37"/>
      <c r="D230" s="37"/>
      <c r="E230" s="37"/>
      <c r="F230" s="35" t="s">
        <v>1228</v>
      </c>
      <c r="G230" s="37"/>
      <c r="H230" s="37"/>
      <c r="I230" s="37"/>
      <c r="J230" s="37"/>
      <c r="K230" s="21" t="str">
        <f t="shared" si="197"/>
        <v>Apprenant 218</v>
      </c>
      <c r="L230" s="22" t="str">
        <f t="shared" si="198"/>
        <v/>
      </c>
      <c r="M230" s="22" t="str">
        <f t="shared" si="199"/>
        <v/>
      </c>
      <c r="N230" s="22" t="str">
        <f t="shared" si="200"/>
        <v/>
      </c>
      <c r="O230" s="22" t="str">
        <f t="shared" si="201"/>
        <v/>
      </c>
      <c r="P230" s="21" t="str">
        <f t="shared" si="202"/>
        <v>Apprenant 218 ou 218'</v>
      </c>
      <c r="Q230" s="22" t="str">
        <f t="shared" si="203"/>
        <v/>
      </c>
      <c r="R230" s="22" t="str">
        <f t="shared" si="204"/>
        <v/>
      </c>
      <c r="S230" s="22" t="str">
        <f t="shared" si="205"/>
        <v/>
      </c>
      <c r="T230" s="22" t="str">
        <f t="shared" si="206"/>
        <v/>
      </c>
      <c r="V230" s="21" t="str">
        <f t="shared" si="207"/>
        <v>Apprenant 218</v>
      </c>
      <c r="W230" s="22" t="str">
        <f>IF(AND(OR('Choix pédagogiques'!$C$3=1,'Choix pédagogiques'!$C$3=2),$BM230=1),B230,IF(AND('Choix pédagogiques'!$C$3=3,$BO230=1),B230,""))</f>
        <v/>
      </c>
      <c r="X230" s="22" t="str">
        <f>IF(AND(OR('Choix pédagogiques'!$C$3=1,'Choix pédagogiques'!$C$3=2),$BM230=1),C230,IF(AND('Choix pédagogiques'!$C$3=3,$BO230=1),C230,""))</f>
        <v/>
      </c>
      <c r="Y230" s="22" t="str">
        <f>IF(AND(OR('Choix pédagogiques'!$C$3=1,'Choix pédagogiques'!$C$3=2),$BM230=1),D230,IF(AND('Choix pédagogiques'!$C$3=3,$BO230=1),D230,""))</f>
        <v/>
      </c>
      <c r="Z230" s="22" t="str">
        <f t="shared" si="208"/>
        <v/>
      </c>
      <c r="AA230" s="21" t="str">
        <f t="shared" si="209"/>
        <v>Apprenant 218 ou 218'</v>
      </c>
      <c r="AB230" s="22" t="str">
        <f>IF(AND(OR('Choix pédagogiques'!$C$3=1,'Choix pédagogiques'!$C$3=2),$BN230=1),G230,IF(AND('Choix pédagogiques'!$C$3=3,$BO230=1),G230,""))</f>
        <v/>
      </c>
      <c r="AC230" s="22" t="str">
        <f>IF(AND(OR('Choix pédagogiques'!$C$3=1,'Choix pédagogiques'!$C$3=2),$BN230=1),H230,IF(AND('Choix pédagogiques'!$C$3=3,$BO230=1),H230,""))</f>
        <v/>
      </c>
      <c r="AD230" s="22" t="str">
        <f>IF(AND(OR('Choix pédagogiques'!$C$3=1,'Choix pédagogiques'!$C$3=2),$BN230=1),I230,IF(AND('Choix pédagogiques'!$C$3=3,$BO230=1),I230,""))</f>
        <v/>
      </c>
      <c r="AE230" s="22" t="str">
        <f t="shared" si="210"/>
        <v/>
      </c>
      <c r="AF230" s="21" t="str">
        <f t="shared" si="211"/>
        <v>Apprenant 218</v>
      </c>
      <c r="AG230" s="22" t="str">
        <f t="shared" si="185"/>
        <v/>
      </c>
      <c r="AH230" s="22" t="str">
        <f t="shared" si="186"/>
        <v/>
      </c>
      <c r="AI230" s="22" t="str">
        <f t="shared" si="187"/>
        <v/>
      </c>
      <c r="AJ230" s="22" t="str">
        <f t="shared" si="212"/>
        <v/>
      </c>
      <c r="AK230" s="21" t="str">
        <f t="shared" si="213"/>
        <v>Apprenant 218 ou 218'</v>
      </c>
      <c r="AL230" s="22" t="str">
        <f t="shared" si="188"/>
        <v/>
      </c>
      <c r="AM230" s="22" t="str">
        <f t="shared" si="189"/>
        <v/>
      </c>
      <c r="AN230" s="22" t="str">
        <f t="shared" si="190"/>
        <v/>
      </c>
      <c r="AO230" s="22" t="str">
        <f t="shared" si="214"/>
        <v/>
      </c>
      <c r="AQ230" s="21" t="str">
        <f t="shared" si="215"/>
        <v>Apprenant 218</v>
      </c>
      <c r="AR230" s="49" t="str">
        <f>IF(AND('Choix pédagogiques'!$C$4&lt;&gt;"?",'Choix pédagogiques'!$C$5&lt;&gt;"?",W230&lt;&gt;""),(W230-'Choix pédagogiques'!$C$4)/('Choix pédagogiques'!$C$5-'Choix pédagogiques'!$C$4),"")</f>
        <v/>
      </c>
      <c r="AS230" s="49" t="str">
        <f>IF(AND('Choix pédagogiques'!$C$4&lt;&gt;"?",'Choix pédagogiques'!$C$5&lt;&gt;"?",X230&lt;&gt;""),(X230-'Choix pédagogiques'!$C$4)/('Choix pédagogiques'!$C$5-'Choix pédagogiques'!$C$4),"")</f>
        <v/>
      </c>
      <c r="AT230" s="49" t="str">
        <f>IF(AND('Choix pédagogiques'!$C$4&lt;&gt;"?",'Choix pédagogiques'!$C$5&lt;&gt;"?",Y230&lt;&gt;""),(Y230-'Choix pédagogiques'!$C$4)/('Choix pédagogiques'!$C$5-'Choix pédagogiques'!$C$4),"")</f>
        <v/>
      </c>
      <c r="AU230" s="22" t="str">
        <f t="shared" si="216"/>
        <v/>
      </c>
      <c r="AV230" s="21" t="str">
        <f t="shared" si="217"/>
        <v>Apprenant 218 ou 218'</v>
      </c>
      <c r="AW230" s="49" t="str">
        <f>IF(AND('Choix pédagogiques'!$C$4&lt;&gt;"?",'Choix pédagogiques'!$C$5&lt;&gt;"?",AB230&lt;&gt;""),(AB230-'Choix pédagogiques'!$C$4)/('Choix pédagogiques'!$C$5-'Choix pédagogiques'!$C$4),"")</f>
        <v/>
      </c>
      <c r="AX230" s="49" t="str">
        <f>IF(AND('Choix pédagogiques'!$C$4&lt;&gt;"?",'Choix pédagogiques'!$C$5&lt;&gt;"?",AC230&lt;&gt;""),(AC230-'Choix pédagogiques'!$C$4)/('Choix pédagogiques'!$C$5-'Choix pédagogiques'!$C$4),"")</f>
        <v/>
      </c>
      <c r="AY230" s="49" t="str">
        <f>IF(AND('Choix pédagogiques'!$C$4&lt;&gt;"?",'Choix pédagogiques'!$C$5&lt;&gt;"?",AD230&lt;&gt;""),(AD230-'Choix pédagogiques'!$C$4)/('Choix pédagogiques'!$C$5-'Choix pédagogiques'!$C$4),"")</f>
        <v/>
      </c>
      <c r="AZ230" s="22" t="str">
        <f t="shared" si="218"/>
        <v/>
      </c>
      <c r="BA230" s="21" t="str">
        <f t="shared" si="219"/>
        <v>Apprenant 218</v>
      </c>
      <c r="BB230" s="49" t="str">
        <f t="shared" si="191"/>
        <v/>
      </c>
      <c r="BC230" s="49" t="str">
        <f t="shared" si="192"/>
        <v/>
      </c>
      <c r="BD230" s="49" t="str">
        <f t="shared" si="193"/>
        <v/>
      </c>
      <c r="BE230" s="22" t="str">
        <f t="shared" si="220"/>
        <v/>
      </c>
      <c r="BF230" s="21" t="str">
        <f t="shared" si="221"/>
        <v>Apprenant 218 ou 218'</v>
      </c>
      <c r="BG230" s="49" t="str">
        <f t="shared" si="194"/>
        <v/>
      </c>
      <c r="BH230" s="49" t="str">
        <f t="shared" si="195"/>
        <v/>
      </c>
      <c r="BI230" s="49" t="str">
        <f t="shared" si="196"/>
        <v/>
      </c>
      <c r="BJ230" s="22" t="str">
        <f t="shared" si="222"/>
        <v/>
      </c>
      <c r="BL230" s="21"/>
      <c r="BM230" s="21" t="str">
        <f>IF(OR(COUNT(B230:D1229)=0,AND('Choix pédagogiques'!$C$3&lt;&gt;1,'Choix pédagogiques'!$C$3&lt;&gt;2)),"",IF(AND(OR('Choix pédagogiques'!$C$3=1,'Choix pédagogiques'!$C$3=2),$B230&lt;&gt;"",$C230&lt;&gt;"",$D230&lt;&gt;""),1,0))</f>
        <v/>
      </c>
      <c r="BN230" s="21" t="str">
        <f>IF(OR(COUNT(G230:I1229)=0,AND('Choix pédagogiques'!$C$3&lt;&gt;1,'Choix pédagogiques'!$C$3&lt;&gt;2)),"",IF(AND(OR('Choix pédagogiques'!$C$3=1,'Choix pédagogiques'!$C$3=2),AND($G230&lt;&gt;"",$H230&lt;&gt;"",$I230&lt;&gt;"")),1,0))</f>
        <v/>
      </c>
      <c r="BO230" s="21" t="str">
        <f>IF(OR(COUNT(B230:D1229)=0,COUNT(G230:I1229)=0,'Choix pédagogiques'!C$3&lt;&gt;3),"",IF(AND('Choix pédagogiques'!$C$3=3,$B230&lt;&gt;"",$C230&lt;&gt;"",$D230&lt;&gt;"",$G230&lt;&gt;"",$H230&lt;&gt;"",$I230&lt;&gt;""),1,0))</f>
        <v/>
      </c>
      <c r="BR230" s="21">
        <v>877</v>
      </c>
      <c r="BS230" s="21">
        <v>1027</v>
      </c>
      <c r="BT230"/>
    </row>
    <row r="231" spans="1:72" s="23" customFormat="1" ht="18" customHeight="1" x14ac:dyDescent="0.3">
      <c r="A231" s="35" t="s">
        <v>221</v>
      </c>
      <c r="B231" s="37"/>
      <c r="C231" s="37"/>
      <c r="D231" s="37"/>
      <c r="E231" s="37"/>
      <c r="F231" s="35" t="s">
        <v>1229</v>
      </c>
      <c r="G231" s="37"/>
      <c r="H231" s="37"/>
      <c r="I231" s="37"/>
      <c r="J231" s="37"/>
      <c r="K231" s="21" t="str">
        <f t="shared" si="197"/>
        <v>Apprenant 219</v>
      </c>
      <c r="L231" s="22" t="str">
        <f t="shared" si="198"/>
        <v/>
      </c>
      <c r="M231" s="22" t="str">
        <f t="shared" si="199"/>
        <v/>
      </c>
      <c r="N231" s="22" t="str">
        <f t="shared" si="200"/>
        <v/>
      </c>
      <c r="O231" s="22" t="str">
        <f t="shared" si="201"/>
        <v/>
      </c>
      <c r="P231" s="21" t="str">
        <f t="shared" si="202"/>
        <v>Apprenant 219 ou 219'</v>
      </c>
      <c r="Q231" s="22" t="str">
        <f t="shared" si="203"/>
        <v/>
      </c>
      <c r="R231" s="22" t="str">
        <f t="shared" si="204"/>
        <v/>
      </c>
      <c r="S231" s="22" t="str">
        <f t="shared" si="205"/>
        <v/>
      </c>
      <c r="T231" s="22" t="str">
        <f t="shared" si="206"/>
        <v/>
      </c>
      <c r="V231" s="21" t="str">
        <f t="shared" si="207"/>
        <v>Apprenant 219</v>
      </c>
      <c r="W231" s="22" t="str">
        <f>IF(AND(OR('Choix pédagogiques'!$C$3=1,'Choix pédagogiques'!$C$3=2),$BM231=1),B231,IF(AND('Choix pédagogiques'!$C$3=3,$BO231=1),B231,""))</f>
        <v/>
      </c>
      <c r="X231" s="22" t="str">
        <f>IF(AND(OR('Choix pédagogiques'!$C$3=1,'Choix pédagogiques'!$C$3=2),$BM231=1),C231,IF(AND('Choix pédagogiques'!$C$3=3,$BO231=1),C231,""))</f>
        <v/>
      </c>
      <c r="Y231" s="22" t="str">
        <f>IF(AND(OR('Choix pédagogiques'!$C$3=1,'Choix pédagogiques'!$C$3=2),$BM231=1),D231,IF(AND('Choix pédagogiques'!$C$3=3,$BO231=1),D231,""))</f>
        <v/>
      </c>
      <c r="Z231" s="22" t="str">
        <f t="shared" si="208"/>
        <v/>
      </c>
      <c r="AA231" s="21" t="str">
        <f t="shared" si="209"/>
        <v>Apprenant 219 ou 219'</v>
      </c>
      <c r="AB231" s="22" t="str">
        <f>IF(AND(OR('Choix pédagogiques'!$C$3=1,'Choix pédagogiques'!$C$3=2),$BN231=1),G231,IF(AND('Choix pédagogiques'!$C$3=3,$BO231=1),G231,""))</f>
        <v/>
      </c>
      <c r="AC231" s="22" t="str">
        <f>IF(AND(OR('Choix pédagogiques'!$C$3=1,'Choix pédagogiques'!$C$3=2),$BN231=1),H231,IF(AND('Choix pédagogiques'!$C$3=3,$BO231=1),H231,""))</f>
        <v/>
      </c>
      <c r="AD231" s="22" t="str">
        <f>IF(AND(OR('Choix pédagogiques'!$C$3=1,'Choix pédagogiques'!$C$3=2),$BN231=1),I231,IF(AND('Choix pédagogiques'!$C$3=3,$BO231=1),I231,""))</f>
        <v/>
      </c>
      <c r="AE231" s="22" t="str">
        <f t="shared" si="210"/>
        <v/>
      </c>
      <c r="AF231" s="21" t="str">
        <f t="shared" si="211"/>
        <v>Apprenant 219</v>
      </c>
      <c r="AG231" s="22" t="str">
        <f t="shared" si="185"/>
        <v/>
      </c>
      <c r="AH231" s="22" t="str">
        <f t="shared" si="186"/>
        <v/>
      </c>
      <c r="AI231" s="22" t="str">
        <f t="shared" si="187"/>
        <v/>
      </c>
      <c r="AJ231" s="22" t="str">
        <f t="shared" si="212"/>
        <v/>
      </c>
      <c r="AK231" s="21" t="str">
        <f t="shared" si="213"/>
        <v>Apprenant 219 ou 219'</v>
      </c>
      <c r="AL231" s="22" t="str">
        <f t="shared" si="188"/>
        <v/>
      </c>
      <c r="AM231" s="22" t="str">
        <f t="shared" si="189"/>
        <v/>
      </c>
      <c r="AN231" s="22" t="str">
        <f t="shared" si="190"/>
        <v/>
      </c>
      <c r="AO231" s="22" t="str">
        <f t="shared" si="214"/>
        <v/>
      </c>
      <c r="AQ231" s="21" t="str">
        <f t="shared" si="215"/>
        <v>Apprenant 219</v>
      </c>
      <c r="AR231" s="49" t="str">
        <f>IF(AND('Choix pédagogiques'!$C$4&lt;&gt;"?",'Choix pédagogiques'!$C$5&lt;&gt;"?",W231&lt;&gt;""),(W231-'Choix pédagogiques'!$C$4)/('Choix pédagogiques'!$C$5-'Choix pédagogiques'!$C$4),"")</f>
        <v/>
      </c>
      <c r="AS231" s="49" t="str">
        <f>IF(AND('Choix pédagogiques'!$C$4&lt;&gt;"?",'Choix pédagogiques'!$C$5&lt;&gt;"?",X231&lt;&gt;""),(X231-'Choix pédagogiques'!$C$4)/('Choix pédagogiques'!$C$5-'Choix pédagogiques'!$C$4),"")</f>
        <v/>
      </c>
      <c r="AT231" s="49" t="str">
        <f>IF(AND('Choix pédagogiques'!$C$4&lt;&gt;"?",'Choix pédagogiques'!$C$5&lt;&gt;"?",Y231&lt;&gt;""),(Y231-'Choix pédagogiques'!$C$4)/('Choix pédagogiques'!$C$5-'Choix pédagogiques'!$C$4),"")</f>
        <v/>
      </c>
      <c r="AU231" s="22" t="str">
        <f t="shared" si="216"/>
        <v/>
      </c>
      <c r="AV231" s="21" t="str">
        <f t="shared" si="217"/>
        <v>Apprenant 219 ou 219'</v>
      </c>
      <c r="AW231" s="49" t="str">
        <f>IF(AND('Choix pédagogiques'!$C$4&lt;&gt;"?",'Choix pédagogiques'!$C$5&lt;&gt;"?",AB231&lt;&gt;""),(AB231-'Choix pédagogiques'!$C$4)/('Choix pédagogiques'!$C$5-'Choix pédagogiques'!$C$4),"")</f>
        <v/>
      </c>
      <c r="AX231" s="49" t="str">
        <f>IF(AND('Choix pédagogiques'!$C$4&lt;&gt;"?",'Choix pédagogiques'!$C$5&lt;&gt;"?",AC231&lt;&gt;""),(AC231-'Choix pédagogiques'!$C$4)/('Choix pédagogiques'!$C$5-'Choix pédagogiques'!$C$4),"")</f>
        <v/>
      </c>
      <c r="AY231" s="49" t="str">
        <f>IF(AND('Choix pédagogiques'!$C$4&lt;&gt;"?",'Choix pédagogiques'!$C$5&lt;&gt;"?",AD231&lt;&gt;""),(AD231-'Choix pédagogiques'!$C$4)/('Choix pédagogiques'!$C$5-'Choix pédagogiques'!$C$4),"")</f>
        <v/>
      </c>
      <c r="AZ231" s="22" t="str">
        <f t="shared" si="218"/>
        <v/>
      </c>
      <c r="BA231" s="21" t="str">
        <f t="shared" si="219"/>
        <v>Apprenant 219</v>
      </c>
      <c r="BB231" s="49" t="str">
        <f t="shared" si="191"/>
        <v/>
      </c>
      <c r="BC231" s="49" t="str">
        <f t="shared" si="192"/>
        <v/>
      </c>
      <c r="BD231" s="49" t="str">
        <f t="shared" si="193"/>
        <v/>
      </c>
      <c r="BE231" s="22" t="str">
        <f t="shared" si="220"/>
        <v/>
      </c>
      <c r="BF231" s="21" t="str">
        <f t="shared" si="221"/>
        <v>Apprenant 219 ou 219'</v>
      </c>
      <c r="BG231" s="49" t="str">
        <f t="shared" si="194"/>
        <v/>
      </c>
      <c r="BH231" s="49" t="str">
        <f t="shared" si="195"/>
        <v/>
      </c>
      <c r="BI231" s="49" t="str">
        <f t="shared" si="196"/>
        <v/>
      </c>
      <c r="BJ231" s="22" t="str">
        <f t="shared" si="222"/>
        <v/>
      </c>
      <c r="BL231" s="21"/>
      <c r="BM231" s="21" t="str">
        <f>IF(OR(COUNT(B231:D1230)=0,AND('Choix pédagogiques'!$C$3&lt;&gt;1,'Choix pédagogiques'!$C$3&lt;&gt;2)),"",IF(AND(OR('Choix pédagogiques'!$C$3=1,'Choix pédagogiques'!$C$3=2),$B231&lt;&gt;"",$C231&lt;&gt;"",$D231&lt;&gt;""),1,0))</f>
        <v/>
      </c>
      <c r="BN231" s="21" t="str">
        <f>IF(OR(COUNT(G231:I1230)=0,AND('Choix pédagogiques'!$C$3&lt;&gt;1,'Choix pédagogiques'!$C$3&lt;&gt;2)),"",IF(AND(OR('Choix pédagogiques'!$C$3=1,'Choix pédagogiques'!$C$3=2),AND($G231&lt;&gt;"",$H231&lt;&gt;"",$I231&lt;&gt;"")),1,0))</f>
        <v/>
      </c>
      <c r="BO231" s="21" t="str">
        <f>IF(OR(COUNT(B231:D1230)=0,COUNT(G231:I1230)=0,'Choix pédagogiques'!C$3&lt;&gt;3),"",IF(AND('Choix pédagogiques'!$C$3=3,$B231&lt;&gt;"",$C231&lt;&gt;"",$D231&lt;&gt;"",$G231&lt;&gt;"",$H231&lt;&gt;"",$I231&lt;&gt;""),1,0))</f>
        <v/>
      </c>
      <c r="BR231" s="21">
        <v>255</v>
      </c>
      <c r="BS231" s="21">
        <v>1231</v>
      </c>
      <c r="BT231"/>
    </row>
    <row r="232" spans="1:72" s="23" customFormat="1" ht="18" customHeight="1" x14ac:dyDescent="0.3">
      <c r="A232" s="35" t="s">
        <v>222</v>
      </c>
      <c r="B232" s="37"/>
      <c r="C232" s="37"/>
      <c r="D232" s="37"/>
      <c r="E232" s="37"/>
      <c r="F232" s="35" t="s">
        <v>1230</v>
      </c>
      <c r="G232" s="37"/>
      <c r="H232" s="37"/>
      <c r="I232" s="37"/>
      <c r="J232" s="37"/>
      <c r="K232" s="21" t="str">
        <f t="shared" si="197"/>
        <v>Apprenant 220</v>
      </c>
      <c r="L232" s="22" t="str">
        <f t="shared" si="198"/>
        <v/>
      </c>
      <c r="M232" s="22" t="str">
        <f t="shared" si="199"/>
        <v/>
      </c>
      <c r="N232" s="22" t="str">
        <f t="shared" si="200"/>
        <v/>
      </c>
      <c r="O232" s="22" t="str">
        <f t="shared" si="201"/>
        <v/>
      </c>
      <c r="P232" s="21" t="str">
        <f t="shared" si="202"/>
        <v>Apprenant 220 ou 220'</v>
      </c>
      <c r="Q232" s="22" t="str">
        <f t="shared" si="203"/>
        <v/>
      </c>
      <c r="R232" s="22" t="str">
        <f t="shared" si="204"/>
        <v/>
      </c>
      <c r="S232" s="22" t="str">
        <f t="shared" si="205"/>
        <v/>
      </c>
      <c r="T232" s="22" t="str">
        <f t="shared" si="206"/>
        <v/>
      </c>
      <c r="V232" s="21" t="str">
        <f t="shared" si="207"/>
        <v>Apprenant 220</v>
      </c>
      <c r="W232" s="22" t="str">
        <f>IF(AND(OR('Choix pédagogiques'!$C$3=1,'Choix pédagogiques'!$C$3=2),$BM232=1),B232,IF(AND('Choix pédagogiques'!$C$3=3,$BO232=1),B232,""))</f>
        <v/>
      </c>
      <c r="X232" s="22" t="str">
        <f>IF(AND(OR('Choix pédagogiques'!$C$3=1,'Choix pédagogiques'!$C$3=2),$BM232=1),C232,IF(AND('Choix pédagogiques'!$C$3=3,$BO232=1),C232,""))</f>
        <v/>
      </c>
      <c r="Y232" s="22" t="str">
        <f>IF(AND(OR('Choix pédagogiques'!$C$3=1,'Choix pédagogiques'!$C$3=2),$BM232=1),D232,IF(AND('Choix pédagogiques'!$C$3=3,$BO232=1),D232,""))</f>
        <v/>
      </c>
      <c r="Z232" s="22" t="str">
        <f t="shared" si="208"/>
        <v/>
      </c>
      <c r="AA232" s="21" t="str">
        <f t="shared" si="209"/>
        <v>Apprenant 220 ou 220'</v>
      </c>
      <c r="AB232" s="22" t="str">
        <f>IF(AND(OR('Choix pédagogiques'!$C$3=1,'Choix pédagogiques'!$C$3=2),$BN232=1),G232,IF(AND('Choix pédagogiques'!$C$3=3,$BO232=1),G232,""))</f>
        <v/>
      </c>
      <c r="AC232" s="22" t="str">
        <f>IF(AND(OR('Choix pédagogiques'!$C$3=1,'Choix pédagogiques'!$C$3=2),$BN232=1),H232,IF(AND('Choix pédagogiques'!$C$3=3,$BO232=1),H232,""))</f>
        <v/>
      </c>
      <c r="AD232" s="22" t="str">
        <f>IF(AND(OR('Choix pédagogiques'!$C$3=1,'Choix pédagogiques'!$C$3=2),$BN232=1),I232,IF(AND('Choix pédagogiques'!$C$3=3,$BO232=1),I232,""))</f>
        <v/>
      </c>
      <c r="AE232" s="22" t="str">
        <f t="shared" si="210"/>
        <v/>
      </c>
      <c r="AF232" s="21" t="str">
        <f t="shared" si="211"/>
        <v>Apprenant 220</v>
      </c>
      <c r="AG232" s="22" t="str">
        <f t="shared" si="185"/>
        <v/>
      </c>
      <c r="AH232" s="22" t="str">
        <f t="shared" si="186"/>
        <v/>
      </c>
      <c r="AI232" s="22" t="str">
        <f t="shared" si="187"/>
        <v/>
      </c>
      <c r="AJ232" s="22" t="str">
        <f t="shared" si="212"/>
        <v/>
      </c>
      <c r="AK232" s="21" t="str">
        <f t="shared" si="213"/>
        <v>Apprenant 220 ou 220'</v>
      </c>
      <c r="AL232" s="22" t="str">
        <f t="shared" si="188"/>
        <v/>
      </c>
      <c r="AM232" s="22" t="str">
        <f t="shared" si="189"/>
        <v/>
      </c>
      <c r="AN232" s="22" t="str">
        <f t="shared" si="190"/>
        <v/>
      </c>
      <c r="AO232" s="22" t="str">
        <f t="shared" si="214"/>
        <v/>
      </c>
      <c r="AQ232" s="21" t="str">
        <f t="shared" si="215"/>
        <v>Apprenant 220</v>
      </c>
      <c r="AR232" s="49" t="str">
        <f>IF(AND('Choix pédagogiques'!$C$4&lt;&gt;"?",'Choix pédagogiques'!$C$5&lt;&gt;"?",W232&lt;&gt;""),(W232-'Choix pédagogiques'!$C$4)/('Choix pédagogiques'!$C$5-'Choix pédagogiques'!$C$4),"")</f>
        <v/>
      </c>
      <c r="AS232" s="49" t="str">
        <f>IF(AND('Choix pédagogiques'!$C$4&lt;&gt;"?",'Choix pédagogiques'!$C$5&lt;&gt;"?",X232&lt;&gt;""),(X232-'Choix pédagogiques'!$C$4)/('Choix pédagogiques'!$C$5-'Choix pédagogiques'!$C$4),"")</f>
        <v/>
      </c>
      <c r="AT232" s="49" t="str">
        <f>IF(AND('Choix pédagogiques'!$C$4&lt;&gt;"?",'Choix pédagogiques'!$C$5&lt;&gt;"?",Y232&lt;&gt;""),(Y232-'Choix pédagogiques'!$C$4)/('Choix pédagogiques'!$C$5-'Choix pédagogiques'!$C$4),"")</f>
        <v/>
      </c>
      <c r="AU232" s="22" t="str">
        <f t="shared" si="216"/>
        <v/>
      </c>
      <c r="AV232" s="21" t="str">
        <f t="shared" si="217"/>
        <v>Apprenant 220 ou 220'</v>
      </c>
      <c r="AW232" s="49" t="str">
        <f>IF(AND('Choix pédagogiques'!$C$4&lt;&gt;"?",'Choix pédagogiques'!$C$5&lt;&gt;"?",AB232&lt;&gt;""),(AB232-'Choix pédagogiques'!$C$4)/('Choix pédagogiques'!$C$5-'Choix pédagogiques'!$C$4),"")</f>
        <v/>
      </c>
      <c r="AX232" s="49" t="str">
        <f>IF(AND('Choix pédagogiques'!$C$4&lt;&gt;"?",'Choix pédagogiques'!$C$5&lt;&gt;"?",AC232&lt;&gt;""),(AC232-'Choix pédagogiques'!$C$4)/('Choix pédagogiques'!$C$5-'Choix pédagogiques'!$C$4),"")</f>
        <v/>
      </c>
      <c r="AY232" s="49" t="str">
        <f>IF(AND('Choix pédagogiques'!$C$4&lt;&gt;"?",'Choix pédagogiques'!$C$5&lt;&gt;"?",AD232&lt;&gt;""),(AD232-'Choix pédagogiques'!$C$4)/('Choix pédagogiques'!$C$5-'Choix pédagogiques'!$C$4),"")</f>
        <v/>
      </c>
      <c r="AZ232" s="22" t="str">
        <f t="shared" si="218"/>
        <v/>
      </c>
      <c r="BA232" s="21" t="str">
        <f t="shared" si="219"/>
        <v>Apprenant 220</v>
      </c>
      <c r="BB232" s="49" t="str">
        <f t="shared" si="191"/>
        <v/>
      </c>
      <c r="BC232" s="49" t="str">
        <f t="shared" si="192"/>
        <v/>
      </c>
      <c r="BD232" s="49" t="str">
        <f t="shared" si="193"/>
        <v/>
      </c>
      <c r="BE232" s="22" t="str">
        <f t="shared" si="220"/>
        <v/>
      </c>
      <c r="BF232" s="21" t="str">
        <f t="shared" si="221"/>
        <v>Apprenant 220 ou 220'</v>
      </c>
      <c r="BG232" s="49" t="str">
        <f t="shared" si="194"/>
        <v/>
      </c>
      <c r="BH232" s="49" t="str">
        <f t="shared" si="195"/>
        <v/>
      </c>
      <c r="BI232" s="49" t="str">
        <f t="shared" si="196"/>
        <v/>
      </c>
      <c r="BJ232" s="22" t="str">
        <f t="shared" si="222"/>
        <v/>
      </c>
      <c r="BL232" s="21"/>
      <c r="BM232" s="21" t="str">
        <f>IF(OR(COUNT(B232:D1231)=0,AND('Choix pédagogiques'!$C$3&lt;&gt;1,'Choix pédagogiques'!$C$3&lt;&gt;2)),"",IF(AND(OR('Choix pédagogiques'!$C$3=1,'Choix pédagogiques'!$C$3=2),$B232&lt;&gt;"",$C232&lt;&gt;"",$D232&lt;&gt;""),1,0))</f>
        <v/>
      </c>
      <c r="BN232" s="21" t="str">
        <f>IF(OR(COUNT(G232:I1231)=0,AND('Choix pédagogiques'!$C$3&lt;&gt;1,'Choix pédagogiques'!$C$3&lt;&gt;2)),"",IF(AND(OR('Choix pédagogiques'!$C$3=1,'Choix pédagogiques'!$C$3=2),AND($G232&lt;&gt;"",$H232&lt;&gt;"",$I232&lt;&gt;"")),1,0))</f>
        <v/>
      </c>
      <c r="BO232" s="21" t="str">
        <f>IF(OR(COUNT(B232:D1231)=0,COUNT(G232:I1231)=0,'Choix pédagogiques'!C$3&lt;&gt;3),"",IF(AND('Choix pédagogiques'!$C$3=3,$B232&lt;&gt;"",$C232&lt;&gt;"",$D232&lt;&gt;"",$G232&lt;&gt;"",$H232&lt;&gt;"",$I232&lt;&gt;""),1,0))</f>
        <v/>
      </c>
      <c r="BR232" s="21">
        <v>542</v>
      </c>
      <c r="BS232" s="21">
        <v>1511</v>
      </c>
      <c r="BT232"/>
    </row>
    <row r="233" spans="1:72" s="23" customFormat="1" ht="18" customHeight="1" x14ac:dyDescent="0.3">
      <c r="A233" s="35" t="s">
        <v>223</v>
      </c>
      <c r="B233" s="37"/>
      <c r="C233" s="37"/>
      <c r="D233" s="37"/>
      <c r="E233" s="37"/>
      <c r="F233" s="35" t="s">
        <v>1231</v>
      </c>
      <c r="G233" s="37"/>
      <c r="H233" s="37"/>
      <c r="I233" s="37"/>
      <c r="J233" s="37"/>
      <c r="K233" s="21" t="str">
        <f t="shared" si="197"/>
        <v>Apprenant 221</v>
      </c>
      <c r="L233" s="22" t="str">
        <f t="shared" si="198"/>
        <v/>
      </c>
      <c r="M233" s="22" t="str">
        <f t="shared" si="199"/>
        <v/>
      </c>
      <c r="N233" s="22" t="str">
        <f t="shared" si="200"/>
        <v/>
      </c>
      <c r="O233" s="22" t="str">
        <f t="shared" si="201"/>
        <v/>
      </c>
      <c r="P233" s="21" t="str">
        <f t="shared" si="202"/>
        <v>Apprenant 221 ou 221'</v>
      </c>
      <c r="Q233" s="22" t="str">
        <f t="shared" si="203"/>
        <v/>
      </c>
      <c r="R233" s="22" t="str">
        <f t="shared" si="204"/>
        <v/>
      </c>
      <c r="S233" s="22" t="str">
        <f t="shared" si="205"/>
        <v/>
      </c>
      <c r="T233" s="22" t="str">
        <f t="shared" si="206"/>
        <v/>
      </c>
      <c r="V233" s="21" t="str">
        <f t="shared" si="207"/>
        <v>Apprenant 221</v>
      </c>
      <c r="W233" s="22" t="str">
        <f>IF(AND(OR('Choix pédagogiques'!$C$3=1,'Choix pédagogiques'!$C$3=2),$BM233=1),B233,IF(AND('Choix pédagogiques'!$C$3=3,$BO233=1),B233,""))</f>
        <v/>
      </c>
      <c r="X233" s="22" t="str">
        <f>IF(AND(OR('Choix pédagogiques'!$C$3=1,'Choix pédagogiques'!$C$3=2),$BM233=1),C233,IF(AND('Choix pédagogiques'!$C$3=3,$BO233=1),C233,""))</f>
        <v/>
      </c>
      <c r="Y233" s="22" t="str">
        <f>IF(AND(OR('Choix pédagogiques'!$C$3=1,'Choix pédagogiques'!$C$3=2),$BM233=1),D233,IF(AND('Choix pédagogiques'!$C$3=3,$BO233=1),D233,""))</f>
        <v/>
      </c>
      <c r="Z233" s="22" t="str">
        <f t="shared" si="208"/>
        <v/>
      </c>
      <c r="AA233" s="21" t="str">
        <f t="shared" si="209"/>
        <v>Apprenant 221 ou 221'</v>
      </c>
      <c r="AB233" s="22" t="str">
        <f>IF(AND(OR('Choix pédagogiques'!$C$3=1,'Choix pédagogiques'!$C$3=2),$BN233=1),G233,IF(AND('Choix pédagogiques'!$C$3=3,$BO233=1),G233,""))</f>
        <v/>
      </c>
      <c r="AC233" s="22" t="str">
        <f>IF(AND(OR('Choix pédagogiques'!$C$3=1,'Choix pédagogiques'!$C$3=2),$BN233=1),H233,IF(AND('Choix pédagogiques'!$C$3=3,$BO233=1),H233,""))</f>
        <v/>
      </c>
      <c r="AD233" s="22" t="str">
        <f>IF(AND(OR('Choix pédagogiques'!$C$3=1,'Choix pédagogiques'!$C$3=2),$BN233=1),I233,IF(AND('Choix pédagogiques'!$C$3=3,$BO233=1),I233,""))</f>
        <v/>
      </c>
      <c r="AE233" s="22" t="str">
        <f t="shared" si="210"/>
        <v/>
      </c>
      <c r="AF233" s="21" t="str">
        <f t="shared" si="211"/>
        <v>Apprenant 221</v>
      </c>
      <c r="AG233" s="22" t="str">
        <f t="shared" si="185"/>
        <v/>
      </c>
      <c r="AH233" s="22" t="str">
        <f t="shared" si="186"/>
        <v/>
      </c>
      <c r="AI233" s="22" t="str">
        <f t="shared" si="187"/>
        <v/>
      </c>
      <c r="AJ233" s="22" t="str">
        <f t="shared" si="212"/>
        <v/>
      </c>
      <c r="AK233" s="21" t="str">
        <f t="shared" si="213"/>
        <v>Apprenant 221 ou 221'</v>
      </c>
      <c r="AL233" s="22" t="str">
        <f t="shared" si="188"/>
        <v/>
      </c>
      <c r="AM233" s="22" t="str">
        <f t="shared" si="189"/>
        <v/>
      </c>
      <c r="AN233" s="22" t="str">
        <f t="shared" si="190"/>
        <v/>
      </c>
      <c r="AO233" s="22" t="str">
        <f t="shared" si="214"/>
        <v/>
      </c>
      <c r="AQ233" s="21" t="str">
        <f t="shared" si="215"/>
        <v>Apprenant 221</v>
      </c>
      <c r="AR233" s="49" t="str">
        <f>IF(AND('Choix pédagogiques'!$C$4&lt;&gt;"?",'Choix pédagogiques'!$C$5&lt;&gt;"?",W233&lt;&gt;""),(W233-'Choix pédagogiques'!$C$4)/('Choix pédagogiques'!$C$5-'Choix pédagogiques'!$C$4),"")</f>
        <v/>
      </c>
      <c r="AS233" s="49" t="str">
        <f>IF(AND('Choix pédagogiques'!$C$4&lt;&gt;"?",'Choix pédagogiques'!$C$5&lt;&gt;"?",X233&lt;&gt;""),(X233-'Choix pédagogiques'!$C$4)/('Choix pédagogiques'!$C$5-'Choix pédagogiques'!$C$4),"")</f>
        <v/>
      </c>
      <c r="AT233" s="49" t="str">
        <f>IF(AND('Choix pédagogiques'!$C$4&lt;&gt;"?",'Choix pédagogiques'!$C$5&lt;&gt;"?",Y233&lt;&gt;""),(Y233-'Choix pédagogiques'!$C$4)/('Choix pédagogiques'!$C$5-'Choix pédagogiques'!$C$4),"")</f>
        <v/>
      </c>
      <c r="AU233" s="22" t="str">
        <f t="shared" si="216"/>
        <v/>
      </c>
      <c r="AV233" s="21" t="str">
        <f t="shared" si="217"/>
        <v>Apprenant 221 ou 221'</v>
      </c>
      <c r="AW233" s="49" t="str">
        <f>IF(AND('Choix pédagogiques'!$C$4&lt;&gt;"?",'Choix pédagogiques'!$C$5&lt;&gt;"?",AB233&lt;&gt;""),(AB233-'Choix pédagogiques'!$C$4)/('Choix pédagogiques'!$C$5-'Choix pédagogiques'!$C$4),"")</f>
        <v/>
      </c>
      <c r="AX233" s="49" t="str">
        <f>IF(AND('Choix pédagogiques'!$C$4&lt;&gt;"?",'Choix pédagogiques'!$C$5&lt;&gt;"?",AC233&lt;&gt;""),(AC233-'Choix pédagogiques'!$C$4)/('Choix pédagogiques'!$C$5-'Choix pédagogiques'!$C$4),"")</f>
        <v/>
      </c>
      <c r="AY233" s="49" t="str">
        <f>IF(AND('Choix pédagogiques'!$C$4&lt;&gt;"?",'Choix pédagogiques'!$C$5&lt;&gt;"?",AD233&lt;&gt;""),(AD233-'Choix pédagogiques'!$C$4)/('Choix pédagogiques'!$C$5-'Choix pédagogiques'!$C$4),"")</f>
        <v/>
      </c>
      <c r="AZ233" s="22" t="str">
        <f t="shared" si="218"/>
        <v/>
      </c>
      <c r="BA233" s="21" t="str">
        <f t="shared" si="219"/>
        <v>Apprenant 221</v>
      </c>
      <c r="BB233" s="49" t="str">
        <f t="shared" si="191"/>
        <v/>
      </c>
      <c r="BC233" s="49" t="str">
        <f t="shared" si="192"/>
        <v/>
      </c>
      <c r="BD233" s="49" t="str">
        <f t="shared" si="193"/>
        <v/>
      </c>
      <c r="BE233" s="22" t="str">
        <f t="shared" si="220"/>
        <v/>
      </c>
      <c r="BF233" s="21" t="str">
        <f t="shared" si="221"/>
        <v>Apprenant 221 ou 221'</v>
      </c>
      <c r="BG233" s="49" t="str">
        <f t="shared" si="194"/>
        <v/>
      </c>
      <c r="BH233" s="49" t="str">
        <f t="shared" si="195"/>
        <v/>
      </c>
      <c r="BI233" s="49" t="str">
        <f t="shared" si="196"/>
        <v/>
      </c>
      <c r="BJ233" s="22" t="str">
        <f t="shared" si="222"/>
        <v/>
      </c>
      <c r="BL233" s="21"/>
      <c r="BM233" s="21" t="str">
        <f>IF(OR(COUNT(B233:D1232)=0,AND('Choix pédagogiques'!$C$3&lt;&gt;1,'Choix pédagogiques'!$C$3&lt;&gt;2)),"",IF(AND(OR('Choix pédagogiques'!$C$3=1,'Choix pédagogiques'!$C$3=2),$B233&lt;&gt;"",$C233&lt;&gt;"",$D233&lt;&gt;""),1,0))</f>
        <v/>
      </c>
      <c r="BN233" s="21" t="str">
        <f>IF(OR(COUNT(G233:I1232)=0,AND('Choix pédagogiques'!$C$3&lt;&gt;1,'Choix pédagogiques'!$C$3&lt;&gt;2)),"",IF(AND(OR('Choix pédagogiques'!$C$3=1,'Choix pédagogiques'!$C$3=2),AND($G233&lt;&gt;"",$H233&lt;&gt;"",$I233&lt;&gt;"")),1,0))</f>
        <v/>
      </c>
      <c r="BO233" s="21" t="str">
        <f>IF(OR(COUNT(B233:D1232)=0,COUNT(G233:I1232)=0,'Choix pédagogiques'!C$3&lt;&gt;3),"",IF(AND('Choix pédagogiques'!$C$3=3,$B233&lt;&gt;"",$C233&lt;&gt;"",$D233&lt;&gt;"",$G233&lt;&gt;"",$H233&lt;&gt;"",$I233&lt;&gt;""),1,0))</f>
        <v/>
      </c>
      <c r="BR233" s="21">
        <v>92</v>
      </c>
      <c r="BS233" s="21">
        <v>1833</v>
      </c>
      <c r="BT233"/>
    </row>
    <row r="234" spans="1:72" s="23" customFormat="1" ht="18" customHeight="1" x14ac:dyDescent="0.3">
      <c r="A234" s="35" t="s">
        <v>224</v>
      </c>
      <c r="B234" s="37"/>
      <c r="C234" s="37"/>
      <c r="D234" s="37"/>
      <c r="E234" s="37"/>
      <c r="F234" s="35" t="s">
        <v>1232</v>
      </c>
      <c r="G234" s="37"/>
      <c r="H234" s="37"/>
      <c r="I234" s="37"/>
      <c r="J234" s="37"/>
      <c r="K234" s="21" t="str">
        <f t="shared" si="197"/>
        <v>Apprenant 222</v>
      </c>
      <c r="L234" s="22" t="str">
        <f t="shared" si="198"/>
        <v/>
      </c>
      <c r="M234" s="22" t="str">
        <f t="shared" si="199"/>
        <v/>
      </c>
      <c r="N234" s="22" t="str">
        <f t="shared" si="200"/>
        <v/>
      </c>
      <c r="O234" s="22" t="str">
        <f t="shared" si="201"/>
        <v/>
      </c>
      <c r="P234" s="21" t="str">
        <f t="shared" si="202"/>
        <v>Apprenant 222 ou 222'</v>
      </c>
      <c r="Q234" s="22" t="str">
        <f t="shared" si="203"/>
        <v/>
      </c>
      <c r="R234" s="22" t="str">
        <f t="shared" si="204"/>
        <v/>
      </c>
      <c r="S234" s="22" t="str">
        <f t="shared" si="205"/>
        <v/>
      </c>
      <c r="T234" s="22" t="str">
        <f t="shared" si="206"/>
        <v/>
      </c>
      <c r="V234" s="21" t="str">
        <f t="shared" si="207"/>
        <v>Apprenant 222</v>
      </c>
      <c r="W234" s="22" t="str">
        <f>IF(AND(OR('Choix pédagogiques'!$C$3=1,'Choix pédagogiques'!$C$3=2),$BM234=1),B234,IF(AND('Choix pédagogiques'!$C$3=3,$BO234=1),B234,""))</f>
        <v/>
      </c>
      <c r="X234" s="22" t="str">
        <f>IF(AND(OR('Choix pédagogiques'!$C$3=1,'Choix pédagogiques'!$C$3=2),$BM234=1),C234,IF(AND('Choix pédagogiques'!$C$3=3,$BO234=1),C234,""))</f>
        <v/>
      </c>
      <c r="Y234" s="22" t="str">
        <f>IF(AND(OR('Choix pédagogiques'!$C$3=1,'Choix pédagogiques'!$C$3=2),$BM234=1),D234,IF(AND('Choix pédagogiques'!$C$3=3,$BO234=1),D234,""))</f>
        <v/>
      </c>
      <c r="Z234" s="22" t="str">
        <f t="shared" si="208"/>
        <v/>
      </c>
      <c r="AA234" s="21" t="str">
        <f t="shared" si="209"/>
        <v>Apprenant 222 ou 222'</v>
      </c>
      <c r="AB234" s="22" t="str">
        <f>IF(AND(OR('Choix pédagogiques'!$C$3=1,'Choix pédagogiques'!$C$3=2),$BN234=1),G234,IF(AND('Choix pédagogiques'!$C$3=3,$BO234=1),G234,""))</f>
        <v/>
      </c>
      <c r="AC234" s="22" t="str">
        <f>IF(AND(OR('Choix pédagogiques'!$C$3=1,'Choix pédagogiques'!$C$3=2),$BN234=1),H234,IF(AND('Choix pédagogiques'!$C$3=3,$BO234=1),H234,""))</f>
        <v/>
      </c>
      <c r="AD234" s="22" t="str">
        <f>IF(AND(OR('Choix pédagogiques'!$C$3=1,'Choix pédagogiques'!$C$3=2),$BN234=1),I234,IF(AND('Choix pédagogiques'!$C$3=3,$BO234=1),I234,""))</f>
        <v/>
      </c>
      <c r="AE234" s="22" t="str">
        <f t="shared" si="210"/>
        <v/>
      </c>
      <c r="AF234" s="21" t="str">
        <f t="shared" si="211"/>
        <v>Apprenant 222</v>
      </c>
      <c r="AG234" s="22" t="str">
        <f t="shared" si="185"/>
        <v/>
      </c>
      <c r="AH234" s="22" t="str">
        <f t="shared" si="186"/>
        <v/>
      </c>
      <c r="AI234" s="22" t="str">
        <f t="shared" si="187"/>
        <v/>
      </c>
      <c r="AJ234" s="22" t="str">
        <f t="shared" si="212"/>
        <v/>
      </c>
      <c r="AK234" s="21" t="str">
        <f t="shared" si="213"/>
        <v>Apprenant 222 ou 222'</v>
      </c>
      <c r="AL234" s="22" t="str">
        <f t="shared" si="188"/>
        <v/>
      </c>
      <c r="AM234" s="22" t="str">
        <f t="shared" si="189"/>
        <v/>
      </c>
      <c r="AN234" s="22" t="str">
        <f t="shared" si="190"/>
        <v/>
      </c>
      <c r="AO234" s="22" t="str">
        <f t="shared" si="214"/>
        <v/>
      </c>
      <c r="AQ234" s="21" t="str">
        <f t="shared" si="215"/>
        <v>Apprenant 222</v>
      </c>
      <c r="AR234" s="49" t="str">
        <f>IF(AND('Choix pédagogiques'!$C$4&lt;&gt;"?",'Choix pédagogiques'!$C$5&lt;&gt;"?",W234&lt;&gt;""),(W234-'Choix pédagogiques'!$C$4)/('Choix pédagogiques'!$C$5-'Choix pédagogiques'!$C$4),"")</f>
        <v/>
      </c>
      <c r="AS234" s="49" t="str">
        <f>IF(AND('Choix pédagogiques'!$C$4&lt;&gt;"?",'Choix pédagogiques'!$C$5&lt;&gt;"?",X234&lt;&gt;""),(X234-'Choix pédagogiques'!$C$4)/('Choix pédagogiques'!$C$5-'Choix pédagogiques'!$C$4),"")</f>
        <v/>
      </c>
      <c r="AT234" s="49" t="str">
        <f>IF(AND('Choix pédagogiques'!$C$4&lt;&gt;"?",'Choix pédagogiques'!$C$5&lt;&gt;"?",Y234&lt;&gt;""),(Y234-'Choix pédagogiques'!$C$4)/('Choix pédagogiques'!$C$5-'Choix pédagogiques'!$C$4),"")</f>
        <v/>
      </c>
      <c r="AU234" s="22" t="str">
        <f t="shared" si="216"/>
        <v/>
      </c>
      <c r="AV234" s="21" t="str">
        <f t="shared" si="217"/>
        <v>Apprenant 222 ou 222'</v>
      </c>
      <c r="AW234" s="49" t="str">
        <f>IF(AND('Choix pédagogiques'!$C$4&lt;&gt;"?",'Choix pédagogiques'!$C$5&lt;&gt;"?",AB234&lt;&gt;""),(AB234-'Choix pédagogiques'!$C$4)/('Choix pédagogiques'!$C$5-'Choix pédagogiques'!$C$4),"")</f>
        <v/>
      </c>
      <c r="AX234" s="49" t="str">
        <f>IF(AND('Choix pédagogiques'!$C$4&lt;&gt;"?",'Choix pédagogiques'!$C$5&lt;&gt;"?",AC234&lt;&gt;""),(AC234-'Choix pédagogiques'!$C$4)/('Choix pédagogiques'!$C$5-'Choix pédagogiques'!$C$4),"")</f>
        <v/>
      </c>
      <c r="AY234" s="49" t="str">
        <f>IF(AND('Choix pédagogiques'!$C$4&lt;&gt;"?",'Choix pédagogiques'!$C$5&lt;&gt;"?",AD234&lt;&gt;""),(AD234-'Choix pédagogiques'!$C$4)/('Choix pédagogiques'!$C$5-'Choix pédagogiques'!$C$4),"")</f>
        <v/>
      </c>
      <c r="AZ234" s="22" t="str">
        <f t="shared" si="218"/>
        <v/>
      </c>
      <c r="BA234" s="21" t="str">
        <f t="shared" si="219"/>
        <v>Apprenant 222</v>
      </c>
      <c r="BB234" s="49" t="str">
        <f t="shared" si="191"/>
        <v/>
      </c>
      <c r="BC234" s="49" t="str">
        <f t="shared" si="192"/>
        <v/>
      </c>
      <c r="BD234" s="49" t="str">
        <f t="shared" si="193"/>
        <v/>
      </c>
      <c r="BE234" s="22" t="str">
        <f t="shared" si="220"/>
        <v/>
      </c>
      <c r="BF234" s="21" t="str">
        <f t="shared" si="221"/>
        <v>Apprenant 222 ou 222'</v>
      </c>
      <c r="BG234" s="49" t="str">
        <f t="shared" si="194"/>
        <v/>
      </c>
      <c r="BH234" s="49" t="str">
        <f t="shared" si="195"/>
        <v/>
      </c>
      <c r="BI234" s="49" t="str">
        <f t="shared" si="196"/>
        <v/>
      </c>
      <c r="BJ234" s="22" t="str">
        <f t="shared" si="222"/>
        <v/>
      </c>
      <c r="BL234" s="21"/>
      <c r="BM234" s="21" t="str">
        <f>IF(OR(COUNT(B234:D1233)=0,AND('Choix pédagogiques'!$C$3&lt;&gt;1,'Choix pédagogiques'!$C$3&lt;&gt;2)),"",IF(AND(OR('Choix pédagogiques'!$C$3=1,'Choix pédagogiques'!$C$3=2),$B234&lt;&gt;"",$C234&lt;&gt;"",$D234&lt;&gt;""),1,0))</f>
        <v/>
      </c>
      <c r="BN234" s="21" t="str">
        <f>IF(OR(COUNT(G234:I1233)=0,AND('Choix pédagogiques'!$C$3&lt;&gt;1,'Choix pédagogiques'!$C$3&lt;&gt;2)),"",IF(AND(OR('Choix pédagogiques'!$C$3=1,'Choix pédagogiques'!$C$3=2),AND($G234&lt;&gt;"",$H234&lt;&gt;"",$I234&lt;&gt;"")),1,0))</f>
        <v/>
      </c>
      <c r="BO234" s="21" t="str">
        <f>IF(OR(COUNT(B234:D1233)=0,COUNT(G234:I1233)=0,'Choix pédagogiques'!C$3&lt;&gt;3),"",IF(AND('Choix pédagogiques'!$C$3=3,$B234&lt;&gt;"",$C234&lt;&gt;"",$D234&lt;&gt;"",$G234&lt;&gt;"",$H234&lt;&gt;"",$I234&lt;&gt;""),1,0))</f>
        <v/>
      </c>
      <c r="BR234" s="21">
        <v>404</v>
      </c>
      <c r="BS234" s="21">
        <v>1270</v>
      </c>
      <c r="BT234"/>
    </row>
    <row r="235" spans="1:72" s="23" customFormat="1" ht="18" customHeight="1" x14ac:dyDescent="0.3">
      <c r="A235" s="35" t="s">
        <v>225</v>
      </c>
      <c r="B235" s="37"/>
      <c r="C235" s="37"/>
      <c r="D235" s="37"/>
      <c r="E235" s="37"/>
      <c r="F235" s="35" t="s">
        <v>1233</v>
      </c>
      <c r="G235" s="37"/>
      <c r="H235" s="37"/>
      <c r="I235" s="37"/>
      <c r="J235" s="37"/>
      <c r="K235" s="21" t="str">
        <f t="shared" si="197"/>
        <v>Apprenant 223</v>
      </c>
      <c r="L235" s="22" t="str">
        <f t="shared" si="198"/>
        <v/>
      </c>
      <c r="M235" s="22" t="str">
        <f t="shared" si="199"/>
        <v/>
      </c>
      <c r="N235" s="22" t="str">
        <f t="shared" si="200"/>
        <v/>
      </c>
      <c r="O235" s="22" t="str">
        <f t="shared" si="201"/>
        <v/>
      </c>
      <c r="P235" s="21" t="str">
        <f t="shared" si="202"/>
        <v>Apprenant 223 ou 223'</v>
      </c>
      <c r="Q235" s="22" t="str">
        <f t="shared" si="203"/>
        <v/>
      </c>
      <c r="R235" s="22" t="str">
        <f t="shared" si="204"/>
        <v/>
      </c>
      <c r="S235" s="22" t="str">
        <f t="shared" si="205"/>
        <v/>
      </c>
      <c r="T235" s="22" t="str">
        <f t="shared" si="206"/>
        <v/>
      </c>
      <c r="V235" s="21" t="str">
        <f t="shared" si="207"/>
        <v>Apprenant 223</v>
      </c>
      <c r="W235" s="22" t="str">
        <f>IF(AND(OR('Choix pédagogiques'!$C$3=1,'Choix pédagogiques'!$C$3=2),$BM235=1),B235,IF(AND('Choix pédagogiques'!$C$3=3,$BO235=1),B235,""))</f>
        <v/>
      </c>
      <c r="X235" s="22" t="str">
        <f>IF(AND(OR('Choix pédagogiques'!$C$3=1,'Choix pédagogiques'!$C$3=2),$BM235=1),C235,IF(AND('Choix pédagogiques'!$C$3=3,$BO235=1),C235,""))</f>
        <v/>
      </c>
      <c r="Y235" s="22" t="str">
        <f>IF(AND(OR('Choix pédagogiques'!$C$3=1,'Choix pédagogiques'!$C$3=2),$BM235=1),D235,IF(AND('Choix pédagogiques'!$C$3=3,$BO235=1),D235,""))</f>
        <v/>
      </c>
      <c r="Z235" s="22" t="str">
        <f t="shared" si="208"/>
        <v/>
      </c>
      <c r="AA235" s="21" t="str">
        <f t="shared" si="209"/>
        <v>Apprenant 223 ou 223'</v>
      </c>
      <c r="AB235" s="22" t="str">
        <f>IF(AND(OR('Choix pédagogiques'!$C$3=1,'Choix pédagogiques'!$C$3=2),$BN235=1),G235,IF(AND('Choix pédagogiques'!$C$3=3,$BO235=1),G235,""))</f>
        <v/>
      </c>
      <c r="AC235" s="22" t="str">
        <f>IF(AND(OR('Choix pédagogiques'!$C$3=1,'Choix pédagogiques'!$C$3=2),$BN235=1),H235,IF(AND('Choix pédagogiques'!$C$3=3,$BO235=1),H235,""))</f>
        <v/>
      </c>
      <c r="AD235" s="22" t="str">
        <f>IF(AND(OR('Choix pédagogiques'!$C$3=1,'Choix pédagogiques'!$C$3=2),$BN235=1),I235,IF(AND('Choix pédagogiques'!$C$3=3,$BO235=1),I235,""))</f>
        <v/>
      </c>
      <c r="AE235" s="22" t="str">
        <f t="shared" si="210"/>
        <v/>
      </c>
      <c r="AF235" s="21" t="str">
        <f t="shared" si="211"/>
        <v>Apprenant 223</v>
      </c>
      <c r="AG235" s="22" t="str">
        <f t="shared" si="185"/>
        <v/>
      </c>
      <c r="AH235" s="22" t="str">
        <f t="shared" si="186"/>
        <v/>
      </c>
      <c r="AI235" s="22" t="str">
        <f t="shared" si="187"/>
        <v/>
      </c>
      <c r="AJ235" s="22" t="str">
        <f t="shared" si="212"/>
        <v/>
      </c>
      <c r="AK235" s="21" t="str">
        <f t="shared" si="213"/>
        <v>Apprenant 223 ou 223'</v>
      </c>
      <c r="AL235" s="22" t="str">
        <f t="shared" si="188"/>
        <v/>
      </c>
      <c r="AM235" s="22" t="str">
        <f t="shared" si="189"/>
        <v/>
      </c>
      <c r="AN235" s="22" t="str">
        <f t="shared" si="190"/>
        <v/>
      </c>
      <c r="AO235" s="22" t="str">
        <f t="shared" si="214"/>
        <v/>
      </c>
      <c r="AQ235" s="21" t="str">
        <f t="shared" si="215"/>
        <v>Apprenant 223</v>
      </c>
      <c r="AR235" s="49" t="str">
        <f>IF(AND('Choix pédagogiques'!$C$4&lt;&gt;"?",'Choix pédagogiques'!$C$5&lt;&gt;"?",W235&lt;&gt;""),(W235-'Choix pédagogiques'!$C$4)/('Choix pédagogiques'!$C$5-'Choix pédagogiques'!$C$4),"")</f>
        <v/>
      </c>
      <c r="AS235" s="49" t="str">
        <f>IF(AND('Choix pédagogiques'!$C$4&lt;&gt;"?",'Choix pédagogiques'!$C$5&lt;&gt;"?",X235&lt;&gt;""),(X235-'Choix pédagogiques'!$C$4)/('Choix pédagogiques'!$C$5-'Choix pédagogiques'!$C$4),"")</f>
        <v/>
      </c>
      <c r="AT235" s="49" t="str">
        <f>IF(AND('Choix pédagogiques'!$C$4&lt;&gt;"?",'Choix pédagogiques'!$C$5&lt;&gt;"?",Y235&lt;&gt;""),(Y235-'Choix pédagogiques'!$C$4)/('Choix pédagogiques'!$C$5-'Choix pédagogiques'!$C$4),"")</f>
        <v/>
      </c>
      <c r="AU235" s="22" t="str">
        <f t="shared" si="216"/>
        <v/>
      </c>
      <c r="AV235" s="21" t="str">
        <f t="shared" si="217"/>
        <v>Apprenant 223 ou 223'</v>
      </c>
      <c r="AW235" s="49" t="str">
        <f>IF(AND('Choix pédagogiques'!$C$4&lt;&gt;"?",'Choix pédagogiques'!$C$5&lt;&gt;"?",AB235&lt;&gt;""),(AB235-'Choix pédagogiques'!$C$4)/('Choix pédagogiques'!$C$5-'Choix pédagogiques'!$C$4),"")</f>
        <v/>
      </c>
      <c r="AX235" s="49" t="str">
        <f>IF(AND('Choix pédagogiques'!$C$4&lt;&gt;"?",'Choix pédagogiques'!$C$5&lt;&gt;"?",AC235&lt;&gt;""),(AC235-'Choix pédagogiques'!$C$4)/('Choix pédagogiques'!$C$5-'Choix pédagogiques'!$C$4),"")</f>
        <v/>
      </c>
      <c r="AY235" s="49" t="str">
        <f>IF(AND('Choix pédagogiques'!$C$4&lt;&gt;"?",'Choix pédagogiques'!$C$5&lt;&gt;"?",AD235&lt;&gt;""),(AD235-'Choix pédagogiques'!$C$4)/('Choix pédagogiques'!$C$5-'Choix pédagogiques'!$C$4),"")</f>
        <v/>
      </c>
      <c r="AZ235" s="22" t="str">
        <f t="shared" si="218"/>
        <v/>
      </c>
      <c r="BA235" s="21" t="str">
        <f t="shared" si="219"/>
        <v>Apprenant 223</v>
      </c>
      <c r="BB235" s="49" t="str">
        <f t="shared" si="191"/>
        <v/>
      </c>
      <c r="BC235" s="49" t="str">
        <f t="shared" si="192"/>
        <v/>
      </c>
      <c r="BD235" s="49" t="str">
        <f t="shared" si="193"/>
        <v/>
      </c>
      <c r="BE235" s="22" t="str">
        <f t="shared" si="220"/>
        <v/>
      </c>
      <c r="BF235" s="21" t="str">
        <f t="shared" si="221"/>
        <v>Apprenant 223 ou 223'</v>
      </c>
      <c r="BG235" s="49" t="str">
        <f t="shared" si="194"/>
        <v/>
      </c>
      <c r="BH235" s="49" t="str">
        <f t="shared" si="195"/>
        <v/>
      </c>
      <c r="BI235" s="49" t="str">
        <f t="shared" si="196"/>
        <v/>
      </c>
      <c r="BJ235" s="22" t="str">
        <f t="shared" si="222"/>
        <v/>
      </c>
      <c r="BL235" s="21"/>
      <c r="BM235" s="21" t="str">
        <f>IF(OR(COUNT(B235:D1234)=0,AND('Choix pédagogiques'!$C$3&lt;&gt;1,'Choix pédagogiques'!$C$3&lt;&gt;2)),"",IF(AND(OR('Choix pédagogiques'!$C$3=1,'Choix pédagogiques'!$C$3=2),$B235&lt;&gt;"",$C235&lt;&gt;"",$D235&lt;&gt;""),1,0))</f>
        <v/>
      </c>
      <c r="BN235" s="21" t="str">
        <f>IF(OR(COUNT(G235:I1234)=0,AND('Choix pédagogiques'!$C$3&lt;&gt;1,'Choix pédagogiques'!$C$3&lt;&gt;2)),"",IF(AND(OR('Choix pédagogiques'!$C$3=1,'Choix pédagogiques'!$C$3=2),AND($G235&lt;&gt;"",$H235&lt;&gt;"",$I235&lt;&gt;"")),1,0))</f>
        <v/>
      </c>
      <c r="BO235" s="21" t="str">
        <f>IF(OR(COUNT(B235:D1234)=0,COUNT(G235:I1234)=0,'Choix pédagogiques'!C$3&lt;&gt;3),"",IF(AND('Choix pédagogiques'!$C$3=3,$B235&lt;&gt;"",$C235&lt;&gt;"",$D235&lt;&gt;"",$G235&lt;&gt;"",$H235&lt;&gt;"",$I235&lt;&gt;""),1,0))</f>
        <v/>
      </c>
      <c r="BR235" s="21">
        <v>482</v>
      </c>
      <c r="BS235" s="21">
        <v>1073</v>
      </c>
      <c r="BT235"/>
    </row>
    <row r="236" spans="1:72" s="23" customFormat="1" ht="18" customHeight="1" x14ac:dyDescent="0.3">
      <c r="A236" s="35" t="s">
        <v>226</v>
      </c>
      <c r="B236" s="37"/>
      <c r="C236" s="37"/>
      <c r="D236" s="37"/>
      <c r="E236" s="37"/>
      <c r="F236" s="35" t="s">
        <v>1234</v>
      </c>
      <c r="G236" s="37"/>
      <c r="H236" s="37"/>
      <c r="I236" s="37"/>
      <c r="J236" s="37"/>
      <c r="K236" s="21" t="str">
        <f t="shared" si="197"/>
        <v>Apprenant 224</v>
      </c>
      <c r="L236" s="22" t="str">
        <f t="shared" si="198"/>
        <v/>
      </c>
      <c r="M236" s="22" t="str">
        <f t="shared" si="199"/>
        <v/>
      </c>
      <c r="N236" s="22" t="str">
        <f t="shared" si="200"/>
        <v/>
      </c>
      <c r="O236" s="22" t="str">
        <f t="shared" si="201"/>
        <v/>
      </c>
      <c r="P236" s="21" t="str">
        <f t="shared" si="202"/>
        <v>Apprenant 224 ou 224'</v>
      </c>
      <c r="Q236" s="22" t="str">
        <f t="shared" si="203"/>
        <v/>
      </c>
      <c r="R236" s="22" t="str">
        <f t="shared" si="204"/>
        <v/>
      </c>
      <c r="S236" s="22" t="str">
        <f t="shared" si="205"/>
        <v/>
      </c>
      <c r="T236" s="22" t="str">
        <f t="shared" si="206"/>
        <v/>
      </c>
      <c r="V236" s="21" t="str">
        <f t="shared" si="207"/>
        <v>Apprenant 224</v>
      </c>
      <c r="W236" s="22" t="str">
        <f>IF(AND(OR('Choix pédagogiques'!$C$3=1,'Choix pédagogiques'!$C$3=2),$BM236=1),B236,IF(AND('Choix pédagogiques'!$C$3=3,$BO236=1),B236,""))</f>
        <v/>
      </c>
      <c r="X236" s="22" t="str">
        <f>IF(AND(OR('Choix pédagogiques'!$C$3=1,'Choix pédagogiques'!$C$3=2),$BM236=1),C236,IF(AND('Choix pédagogiques'!$C$3=3,$BO236=1),C236,""))</f>
        <v/>
      </c>
      <c r="Y236" s="22" t="str">
        <f>IF(AND(OR('Choix pédagogiques'!$C$3=1,'Choix pédagogiques'!$C$3=2),$BM236=1),D236,IF(AND('Choix pédagogiques'!$C$3=3,$BO236=1),D236,""))</f>
        <v/>
      </c>
      <c r="Z236" s="22" t="str">
        <f t="shared" si="208"/>
        <v/>
      </c>
      <c r="AA236" s="21" t="str">
        <f t="shared" si="209"/>
        <v>Apprenant 224 ou 224'</v>
      </c>
      <c r="AB236" s="22" t="str">
        <f>IF(AND(OR('Choix pédagogiques'!$C$3=1,'Choix pédagogiques'!$C$3=2),$BN236=1),G236,IF(AND('Choix pédagogiques'!$C$3=3,$BO236=1),G236,""))</f>
        <v/>
      </c>
      <c r="AC236" s="22" t="str">
        <f>IF(AND(OR('Choix pédagogiques'!$C$3=1,'Choix pédagogiques'!$C$3=2),$BN236=1),H236,IF(AND('Choix pédagogiques'!$C$3=3,$BO236=1),H236,""))</f>
        <v/>
      </c>
      <c r="AD236" s="22" t="str">
        <f>IF(AND(OR('Choix pédagogiques'!$C$3=1,'Choix pédagogiques'!$C$3=2),$BN236=1),I236,IF(AND('Choix pédagogiques'!$C$3=3,$BO236=1),I236,""))</f>
        <v/>
      </c>
      <c r="AE236" s="22" t="str">
        <f t="shared" si="210"/>
        <v/>
      </c>
      <c r="AF236" s="21" t="str">
        <f t="shared" si="211"/>
        <v>Apprenant 224</v>
      </c>
      <c r="AG236" s="22" t="str">
        <f t="shared" si="185"/>
        <v/>
      </c>
      <c r="AH236" s="22" t="str">
        <f t="shared" si="186"/>
        <v/>
      </c>
      <c r="AI236" s="22" t="str">
        <f t="shared" si="187"/>
        <v/>
      </c>
      <c r="AJ236" s="22" t="str">
        <f t="shared" si="212"/>
        <v/>
      </c>
      <c r="AK236" s="21" t="str">
        <f t="shared" si="213"/>
        <v>Apprenant 224 ou 224'</v>
      </c>
      <c r="AL236" s="22" t="str">
        <f t="shared" si="188"/>
        <v/>
      </c>
      <c r="AM236" s="22" t="str">
        <f t="shared" si="189"/>
        <v/>
      </c>
      <c r="AN236" s="22" t="str">
        <f t="shared" si="190"/>
        <v/>
      </c>
      <c r="AO236" s="22" t="str">
        <f t="shared" si="214"/>
        <v/>
      </c>
      <c r="AQ236" s="21" t="str">
        <f t="shared" si="215"/>
        <v>Apprenant 224</v>
      </c>
      <c r="AR236" s="49" t="str">
        <f>IF(AND('Choix pédagogiques'!$C$4&lt;&gt;"?",'Choix pédagogiques'!$C$5&lt;&gt;"?",W236&lt;&gt;""),(W236-'Choix pédagogiques'!$C$4)/('Choix pédagogiques'!$C$5-'Choix pédagogiques'!$C$4),"")</f>
        <v/>
      </c>
      <c r="AS236" s="49" t="str">
        <f>IF(AND('Choix pédagogiques'!$C$4&lt;&gt;"?",'Choix pédagogiques'!$C$5&lt;&gt;"?",X236&lt;&gt;""),(X236-'Choix pédagogiques'!$C$4)/('Choix pédagogiques'!$C$5-'Choix pédagogiques'!$C$4),"")</f>
        <v/>
      </c>
      <c r="AT236" s="49" t="str">
        <f>IF(AND('Choix pédagogiques'!$C$4&lt;&gt;"?",'Choix pédagogiques'!$C$5&lt;&gt;"?",Y236&lt;&gt;""),(Y236-'Choix pédagogiques'!$C$4)/('Choix pédagogiques'!$C$5-'Choix pédagogiques'!$C$4),"")</f>
        <v/>
      </c>
      <c r="AU236" s="22" t="str">
        <f t="shared" si="216"/>
        <v/>
      </c>
      <c r="AV236" s="21" t="str">
        <f t="shared" si="217"/>
        <v>Apprenant 224 ou 224'</v>
      </c>
      <c r="AW236" s="49" t="str">
        <f>IF(AND('Choix pédagogiques'!$C$4&lt;&gt;"?",'Choix pédagogiques'!$C$5&lt;&gt;"?",AB236&lt;&gt;""),(AB236-'Choix pédagogiques'!$C$4)/('Choix pédagogiques'!$C$5-'Choix pédagogiques'!$C$4),"")</f>
        <v/>
      </c>
      <c r="AX236" s="49" t="str">
        <f>IF(AND('Choix pédagogiques'!$C$4&lt;&gt;"?",'Choix pédagogiques'!$C$5&lt;&gt;"?",AC236&lt;&gt;""),(AC236-'Choix pédagogiques'!$C$4)/('Choix pédagogiques'!$C$5-'Choix pédagogiques'!$C$4),"")</f>
        <v/>
      </c>
      <c r="AY236" s="49" t="str">
        <f>IF(AND('Choix pédagogiques'!$C$4&lt;&gt;"?",'Choix pédagogiques'!$C$5&lt;&gt;"?",AD236&lt;&gt;""),(AD236-'Choix pédagogiques'!$C$4)/('Choix pédagogiques'!$C$5-'Choix pédagogiques'!$C$4),"")</f>
        <v/>
      </c>
      <c r="AZ236" s="22" t="str">
        <f t="shared" si="218"/>
        <v/>
      </c>
      <c r="BA236" s="21" t="str">
        <f t="shared" si="219"/>
        <v>Apprenant 224</v>
      </c>
      <c r="BB236" s="49" t="str">
        <f t="shared" si="191"/>
        <v/>
      </c>
      <c r="BC236" s="49" t="str">
        <f t="shared" si="192"/>
        <v/>
      </c>
      <c r="BD236" s="49" t="str">
        <f t="shared" si="193"/>
        <v/>
      </c>
      <c r="BE236" s="22" t="str">
        <f t="shared" si="220"/>
        <v/>
      </c>
      <c r="BF236" s="21" t="str">
        <f t="shared" si="221"/>
        <v>Apprenant 224 ou 224'</v>
      </c>
      <c r="BG236" s="49" t="str">
        <f t="shared" si="194"/>
        <v/>
      </c>
      <c r="BH236" s="49" t="str">
        <f t="shared" si="195"/>
        <v/>
      </c>
      <c r="BI236" s="49" t="str">
        <f t="shared" si="196"/>
        <v/>
      </c>
      <c r="BJ236" s="22" t="str">
        <f t="shared" si="222"/>
        <v/>
      </c>
      <c r="BL236" s="21"/>
      <c r="BM236" s="21" t="str">
        <f>IF(OR(COUNT(B236:D1235)=0,AND('Choix pédagogiques'!$C$3&lt;&gt;1,'Choix pédagogiques'!$C$3&lt;&gt;2)),"",IF(AND(OR('Choix pédagogiques'!$C$3=1,'Choix pédagogiques'!$C$3=2),$B236&lt;&gt;"",$C236&lt;&gt;"",$D236&lt;&gt;""),1,0))</f>
        <v/>
      </c>
      <c r="BN236" s="21" t="str">
        <f>IF(OR(COUNT(G236:I1235)=0,AND('Choix pédagogiques'!$C$3&lt;&gt;1,'Choix pédagogiques'!$C$3&lt;&gt;2)),"",IF(AND(OR('Choix pédagogiques'!$C$3=1,'Choix pédagogiques'!$C$3=2),AND($G236&lt;&gt;"",$H236&lt;&gt;"",$I236&lt;&gt;"")),1,0))</f>
        <v/>
      </c>
      <c r="BO236" s="21" t="str">
        <f>IF(OR(COUNT(B236:D1235)=0,COUNT(G236:I1235)=0,'Choix pédagogiques'!C$3&lt;&gt;3),"",IF(AND('Choix pédagogiques'!$C$3=3,$B236&lt;&gt;"",$C236&lt;&gt;"",$D236&lt;&gt;"",$G236&lt;&gt;"",$H236&lt;&gt;"",$I236&lt;&gt;""),1,0))</f>
        <v/>
      </c>
      <c r="BR236" s="21">
        <v>722</v>
      </c>
      <c r="BS236" s="21">
        <v>1326</v>
      </c>
      <c r="BT236"/>
    </row>
    <row r="237" spans="1:72" s="23" customFormat="1" ht="18" customHeight="1" x14ac:dyDescent="0.3">
      <c r="A237" s="35" t="s">
        <v>227</v>
      </c>
      <c r="B237" s="37"/>
      <c r="C237" s="37"/>
      <c r="D237" s="37"/>
      <c r="E237" s="37"/>
      <c r="F237" s="35" t="s">
        <v>1235</v>
      </c>
      <c r="G237" s="37"/>
      <c r="H237" s="37"/>
      <c r="I237" s="37"/>
      <c r="J237" s="37"/>
      <c r="K237" s="21" t="str">
        <f t="shared" si="197"/>
        <v>Apprenant 225</v>
      </c>
      <c r="L237" s="22" t="str">
        <f t="shared" si="198"/>
        <v/>
      </c>
      <c r="M237" s="22" t="str">
        <f t="shared" si="199"/>
        <v/>
      </c>
      <c r="N237" s="22" t="str">
        <f t="shared" si="200"/>
        <v/>
      </c>
      <c r="O237" s="22" t="str">
        <f t="shared" si="201"/>
        <v/>
      </c>
      <c r="P237" s="21" t="str">
        <f t="shared" si="202"/>
        <v>Apprenant 225 ou 225'</v>
      </c>
      <c r="Q237" s="22" t="str">
        <f t="shared" si="203"/>
        <v/>
      </c>
      <c r="R237" s="22" t="str">
        <f t="shared" si="204"/>
        <v/>
      </c>
      <c r="S237" s="22" t="str">
        <f t="shared" si="205"/>
        <v/>
      </c>
      <c r="T237" s="22" t="str">
        <f t="shared" si="206"/>
        <v/>
      </c>
      <c r="V237" s="21" t="str">
        <f t="shared" si="207"/>
        <v>Apprenant 225</v>
      </c>
      <c r="W237" s="22" t="str">
        <f>IF(AND(OR('Choix pédagogiques'!$C$3=1,'Choix pédagogiques'!$C$3=2),$BM237=1),B237,IF(AND('Choix pédagogiques'!$C$3=3,$BO237=1),B237,""))</f>
        <v/>
      </c>
      <c r="X237" s="22" t="str">
        <f>IF(AND(OR('Choix pédagogiques'!$C$3=1,'Choix pédagogiques'!$C$3=2),$BM237=1),C237,IF(AND('Choix pédagogiques'!$C$3=3,$BO237=1),C237,""))</f>
        <v/>
      </c>
      <c r="Y237" s="22" t="str">
        <f>IF(AND(OR('Choix pédagogiques'!$C$3=1,'Choix pédagogiques'!$C$3=2),$BM237=1),D237,IF(AND('Choix pédagogiques'!$C$3=3,$BO237=1),D237,""))</f>
        <v/>
      </c>
      <c r="Z237" s="22" t="str">
        <f t="shared" si="208"/>
        <v/>
      </c>
      <c r="AA237" s="21" t="str">
        <f t="shared" si="209"/>
        <v>Apprenant 225 ou 225'</v>
      </c>
      <c r="AB237" s="22" t="str">
        <f>IF(AND(OR('Choix pédagogiques'!$C$3=1,'Choix pédagogiques'!$C$3=2),$BN237=1),G237,IF(AND('Choix pédagogiques'!$C$3=3,$BO237=1),G237,""))</f>
        <v/>
      </c>
      <c r="AC237" s="22" t="str">
        <f>IF(AND(OR('Choix pédagogiques'!$C$3=1,'Choix pédagogiques'!$C$3=2),$BN237=1),H237,IF(AND('Choix pédagogiques'!$C$3=3,$BO237=1),H237,""))</f>
        <v/>
      </c>
      <c r="AD237" s="22" t="str">
        <f>IF(AND(OR('Choix pédagogiques'!$C$3=1,'Choix pédagogiques'!$C$3=2),$BN237=1),I237,IF(AND('Choix pédagogiques'!$C$3=3,$BO237=1),I237,""))</f>
        <v/>
      </c>
      <c r="AE237" s="22" t="str">
        <f t="shared" si="210"/>
        <v/>
      </c>
      <c r="AF237" s="21" t="str">
        <f t="shared" si="211"/>
        <v>Apprenant 225</v>
      </c>
      <c r="AG237" s="22" t="str">
        <f t="shared" si="185"/>
        <v/>
      </c>
      <c r="AH237" s="22" t="str">
        <f t="shared" si="186"/>
        <v/>
      </c>
      <c r="AI237" s="22" t="str">
        <f t="shared" si="187"/>
        <v/>
      </c>
      <c r="AJ237" s="22" t="str">
        <f t="shared" si="212"/>
        <v/>
      </c>
      <c r="AK237" s="21" t="str">
        <f t="shared" si="213"/>
        <v>Apprenant 225 ou 225'</v>
      </c>
      <c r="AL237" s="22" t="str">
        <f t="shared" si="188"/>
        <v/>
      </c>
      <c r="AM237" s="22" t="str">
        <f t="shared" si="189"/>
        <v/>
      </c>
      <c r="AN237" s="22" t="str">
        <f t="shared" si="190"/>
        <v/>
      </c>
      <c r="AO237" s="22" t="str">
        <f t="shared" si="214"/>
        <v/>
      </c>
      <c r="AQ237" s="21" t="str">
        <f t="shared" si="215"/>
        <v>Apprenant 225</v>
      </c>
      <c r="AR237" s="49" t="str">
        <f>IF(AND('Choix pédagogiques'!$C$4&lt;&gt;"?",'Choix pédagogiques'!$C$5&lt;&gt;"?",W237&lt;&gt;""),(W237-'Choix pédagogiques'!$C$4)/('Choix pédagogiques'!$C$5-'Choix pédagogiques'!$C$4),"")</f>
        <v/>
      </c>
      <c r="AS237" s="49" t="str">
        <f>IF(AND('Choix pédagogiques'!$C$4&lt;&gt;"?",'Choix pédagogiques'!$C$5&lt;&gt;"?",X237&lt;&gt;""),(X237-'Choix pédagogiques'!$C$4)/('Choix pédagogiques'!$C$5-'Choix pédagogiques'!$C$4),"")</f>
        <v/>
      </c>
      <c r="AT237" s="49" t="str">
        <f>IF(AND('Choix pédagogiques'!$C$4&lt;&gt;"?",'Choix pédagogiques'!$C$5&lt;&gt;"?",Y237&lt;&gt;""),(Y237-'Choix pédagogiques'!$C$4)/('Choix pédagogiques'!$C$5-'Choix pédagogiques'!$C$4),"")</f>
        <v/>
      </c>
      <c r="AU237" s="22" t="str">
        <f t="shared" si="216"/>
        <v/>
      </c>
      <c r="AV237" s="21" t="str">
        <f t="shared" si="217"/>
        <v>Apprenant 225 ou 225'</v>
      </c>
      <c r="AW237" s="49" t="str">
        <f>IF(AND('Choix pédagogiques'!$C$4&lt;&gt;"?",'Choix pédagogiques'!$C$5&lt;&gt;"?",AB237&lt;&gt;""),(AB237-'Choix pédagogiques'!$C$4)/('Choix pédagogiques'!$C$5-'Choix pédagogiques'!$C$4),"")</f>
        <v/>
      </c>
      <c r="AX237" s="49" t="str">
        <f>IF(AND('Choix pédagogiques'!$C$4&lt;&gt;"?",'Choix pédagogiques'!$C$5&lt;&gt;"?",AC237&lt;&gt;""),(AC237-'Choix pédagogiques'!$C$4)/('Choix pédagogiques'!$C$5-'Choix pédagogiques'!$C$4),"")</f>
        <v/>
      </c>
      <c r="AY237" s="49" t="str">
        <f>IF(AND('Choix pédagogiques'!$C$4&lt;&gt;"?",'Choix pédagogiques'!$C$5&lt;&gt;"?",AD237&lt;&gt;""),(AD237-'Choix pédagogiques'!$C$4)/('Choix pédagogiques'!$C$5-'Choix pédagogiques'!$C$4),"")</f>
        <v/>
      </c>
      <c r="AZ237" s="22" t="str">
        <f t="shared" si="218"/>
        <v/>
      </c>
      <c r="BA237" s="21" t="str">
        <f t="shared" si="219"/>
        <v>Apprenant 225</v>
      </c>
      <c r="BB237" s="49" t="str">
        <f t="shared" si="191"/>
        <v/>
      </c>
      <c r="BC237" s="49" t="str">
        <f t="shared" si="192"/>
        <v/>
      </c>
      <c r="BD237" s="49" t="str">
        <f t="shared" si="193"/>
        <v/>
      </c>
      <c r="BE237" s="22" t="str">
        <f t="shared" si="220"/>
        <v/>
      </c>
      <c r="BF237" s="21" t="str">
        <f t="shared" si="221"/>
        <v>Apprenant 225 ou 225'</v>
      </c>
      <c r="BG237" s="49" t="str">
        <f t="shared" si="194"/>
        <v/>
      </c>
      <c r="BH237" s="49" t="str">
        <f t="shared" si="195"/>
        <v/>
      </c>
      <c r="BI237" s="49" t="str">
        <f t="shared" si="196"/>
        <v/>
      </c>
      <c r="BJ237" s="22" t="str">
        <f t="shared" si="222"/>
        <v/>
      </c>
      <c r="BL237" s="21"/>
      <c r="BM237" s="21" t="str">
        <f>IF(OR(COUNT(B237:D1236)=0,AND('Choix pédagogiques'!$C$3&lt;&gt;1,'Choix pédagogiques'!$C$3&lt;&gt;2)),"",IF(AND(OR('Choix pédagogiques'!$C$3=1,'Choix pédagogiques'!$C$3=2),$B237&lt;&gt;"",$C237&lt;&gt;"",$D237&lt;&gt;""),1,0))</f>
        <v/>
      </c>
      <c r="BN237" s="21" t="str">
        <f>IF(OR(COUNT(G237:I1236)=0,AND('Choix pédagogiques'!$C$3&lt;&gt;1,'Choix pédagogiques'!$C$3&lt;&gt;2)),"",IF(AND(OR('Choix pédagogiques'!$C$3=1,'Choix pédagogiques'!$C$3=2),AND($G237&lt;&gt;"",$H237&lt;&gt;"",$I237&lt;&gt;"")),1,0))</f>
        <v/>
      </c>
      <c r="BO237" s="21" t="str">
        <f>IF(OR(COUNT(B237:D1236)=0,COUNT(G237:I1236)=0,'Choix pédagogiques'!C$3&lt;&gt;3),"",IF(AND('Choix pédagogiques'!$C$3=3,$B237&lt;&gt;"",$C237&lt;&gt;"",$D237&lt;&gt;"",$G237&lt;&gt;"",$H237&lt;&gt;"",$I237&lt;&gt;""),1,0))</f>
        <v/>
      </c>
      <c r="BR237" s="21">
        <v>618</v>
      </c>
      <c r="BS237" s="21">
        <v>1038</v>
      </c>
      <c r="BT237"/>
    </row>
    <row r="238" spans="1:72" s="23" customFormat="1" ht="18" customHeight="1" x14ac:dyDescent="0.3">
      <c r="A238" s="35" t="s">
        <v>228</v>
      </c>
      <c r="B238" s="37"/>
      <c r="C238" s="37"/>
      <c r="D238" s="37"/>
      <c r="E238" s="37"/>
      <c r="F238" s="35" t="s">
        <v>1236</v>
      </c>
      <c r="G238" s="37"/>
      <c r="H238" s="37"/>
      <c r="I238" s="37"/>
      <c r="J238" s="37"/>
      <c r="K238" s="21" t="str">
        <f t="shared" si="197"/>
        <v>Apprenant 226</v>
      </c>
      <c r="L238" s="22" t="str">
        <f t="shared" si="198"/>
        <v/>
      </c>
      <c r="M238" s="22" t="str">
        <f t="shared" si="199"/>
        <v/>
      </c>
      <c r="N238" s="22" t="str">
        <f t="shared" si="200"/>
        <v/>
      </c>
      <c r="O238" s="22" t="str">
        <f t="shared" si="201"/>
        <v/>
      </c>
      <c r="P238" s="21" t="str">
        <f t="shared" si="202"/>
        <v>Apprenant 226 ou 226'</v>
      </c>
      <c r="Q238" s="22" t="str">
        <f t="shared" si="203"/>
        <v/>
      </c>
      <c r="R238" s="22" t="str">
        <f t="shared" si="204"/>
        <v/>
      </c>
      <c r="S238" s="22" t="str">
        <f t="shared" si="205"/>
        <v/>
      </c>
      <c r="T238" s="22" t="str">
        <f t="shared" si="206"/>
        <v/>
      </c>
      <c r="V238" s="21" t="str">
        <f t="shared" si="207"/>
        <v>Apprenant 226</v>
      </c>
      <c r="W238" s="22" t="str">
        <f>IF(AND(OR('Choix pédagogiques'!$C$3=1,'Choix pédagogiques'!$C$3=2),$BM238=1),B238,IF(AND('Choix pédagogiques'!$C$3=3,$BO238=1),B238,""))</f>
        <v/>
      </c>
      <c r="X238" s="22" t="str">
        <f>IF(AND(OR('Choix pédagogiques'!$C$3=1,'Choix pédagogiques'!$C$3=2),$BM238=1),C238,IF(AND('Choix pédagogiques'!$C$3=3,$BO238=1),C238,""))</f>
        <v/>
      </c>
      <c r="Y238" s="22" t="str">
        <f>IF(AND(OR('Choix pédagogiques'!$C$3=1,'Choix pédagogiques'!$C$3=2),$BM238=1),D238,IF(AND('Choix pédagogiques'!$C$3=3,$BO238=1),D238,""))</f>
        <v/>
      </c>
      <c r="Z238" s="22" t="str">
        <f t="shared" si="208"/>
        <v/>
      </c>
      <c r="AA238" s="21" t="str">
        <f t="shared" si="209"/>
        <v>Apprenant 226 ou 226'</v>
      </c>
      <c r="AB238" s="22" t="str">
        <f>IF(AND(OR('Choix pédagogiques'!$C$3=1,'Choix pédagogiques'!$C$3=2),$BN238=1),G238,IF(AND('Choix pédagogiques'!$C$3=3,$BO238=1),G238,""))</f>
        <v/>
      </c>
      <c r="AC238" s="22" t="str">
        <f>IF(AND(OR('Choix pédagogiques'!$C$3=1,'Choix pédagogiques'!$C$3=2),$BN238=1),H238,IF(AND('Choix pédagogiques'!$C$3=3,$BO238=1),H238,""))</f>
        <v/>
      </c>
      <c r="AD238" s="22" t="str">
        <f>IF(AND(OR('Choix pédagogiques'!$C$3=1,'Choix pédagogiques'!$C$3=2),$BN238=1),I238,IF(AND('Choix pédagogiques'!$C$3=3,$BO238=1),I238,""))</f>
        <v/>
      </c>
      <c r="AE238" s="22" t="str">
        <f t="shared" si="210"/>
        <v/>
      </c>
      <c r="AF238" s="21" t="str">
        <f t="shared" si="211"/>
        <v>Apprenant 226</v>
      </c>
      <c r="AG238" s="22" t="str">
        <f t="shared" si="185"/>
        <v/>
      </c>
      <c r="AH238" s="22" t="str">
        <f t="shared" si="186"/>
        <v/>
      </c>
      <c r="AI238" s="22" t="str">
        <f t="shared" si="187"/>
        <v/>
      </c>
      <c r="AJ238" s="22" t="str">
        <f t="shared" si="212"/>
        <v/>
      </c>
      <c r="AK238" s="21" t="str">
        <f t="shared" si="213"/>
        <v>Apprenant 226 ou 226'</v>
      </c>
      <c r="AL238" s="22" t="str">
        <f t="shared" si="188"/>
        <v/>
      </c>
      <c r="AM238" s="22" t="str">
        <f t="shared" si="189"/>
        <v/>
      </c>
      <c r="AN238" s="22" t="str">
        <f t="shared" si="190"/>
        <v/>
      </c>
      <c r="AO238" s="22" t="str">
        <f t="shared" si="214"/>
        <v/>
      </c>
      <c r="AQ238" s="21" t="str">
        <f t="shared" si="215"/>
        <v>Apprenant 226</v>
      </c>
      <c r="AR238" s="49" t="str">
        <f>IF(AND('Choix pédagogiques'!$C$4&lt;&gt;"?",'Choix pédagogiques'!$C$5&lt;&gt;"?",W238&lt;&gt;""),(W238-'Choix pédagogiques'!$C$4)/('Choix pédagogiques'!$C$5-'Choix pédagogiques'!$C$4),"")</f>
        <v/>
      </c>
      <c r="AS238" s="49" t="str">
        <f>IF(AND('Choix pédagogiques'!$C$4&lt;&gt;"?",'Choix pédagogiques'!$C$5&lt;&gt;"?",X238&lt;&gt;""),(X238-'Choix pédagogiques'!$C$4)/('Choix pédagogiques'!$C$5-'Choix pédagogiques'!$C$4),"")</f>
        <v/>
      </c>
      <c r="AT238" s="49" t="str">
        <f>IF(AND('Choix pédagogiques'!$C$4&lt;&gt;"?",'Choix pédagogiques'!$C$5&lt;&gt;"?",Y238&lt;&gt;""),(Y238-'Choix pédagogiques'!$C$4)/('Choix pédagogiques'!$C$5-'Choix pédagogiques'!$C$4),"")</f>
        <v/>
      </c>
      <c r="AU238" s="22" t="str">
        <f t="shared" si="216"/>
        <v/>
      </c>
      <c r="AV238" s="21" t="str">
        <f t="shared" si="217"/>
        <v>Apprenant 226 ou 226'</v>
      </c>
      <c r="AW238" s="49" t="str">
        <f>IF(AND('Choix pédagogiques'!$C$4&lt;&gt;"?",'Choix pédagogiques'!$C$5&lt;&gt;"?",AB238&lt;&gt;""),(AB238-'Choix pédagogiques'!$C$4)/('Choix pédagogiques'!$C$5-'Choix pédagogiques'!$C$4),"")</f>
        <v/>
      </c>
      <c r="AX238" s="49" t="str">
        <f>IF(AND('Choix pédagogiques'!$C$4&lt;&gt;"?",'Choix pédagogiques'!$C$5&lt;&gt;"?",AC238&lt;&gt;""),(AC238-'Choix pédagogiques'!$C$4)/('Choix pédagogiques'!$C$5-'Choix pédagogiques'!$C$4),"")</f>
        <v/>
      </c>
      <c r="AY238" s="49" t="str">
        <f>IF(AND('Choix pédagogiques'!$C$4&lt;&gt;"?",'Choix pédagogiques'!$C$5&lt;&gt;"?",AD238&lt;&gt;""),(AD238-'Choix pédagogiques'!$C$4)/('Choix pédagogiques'!$C$5-'Choix pédagogiques'!$C$4),"")</f>
        <v/>
      </c>
      <c r="AZ238" s="22" t="str">
        <f t="shared" si="218"/>
        <v/>
      </c>
      <c r="BA238" s="21" t="str">
        <f t="shared" si="219"/>
        <v>Apprenant 226</v>
      </c>
      <c r="BB238" s="49" t="str">
        <f t="shared" si="191"/>
        <v/>
      </c>
      <c r="BC238" s="49" t="str">
        <f t="shared" si="192"/>
        <v/>
      </c>
      <c r="BD238" s="49" t="str">
        <f t="shared" si="193"/>
        <v/>
      </c>
      <c r="BE238" s="22" t="str">
        <f t="shared" si="220"/>
        <v/>
      </c>
      <c r="BF238" s="21" t="str">
        <f t="shared" si="221"/>
        <v>Apprenant 226 ou 226'</v>
      </c>
      <c r="BG238" s="49" t="str">
        <f t="shared" si="194"/>
        <v/>
      </c>
      <c r="BH238" s="49" t="str">
        <f t="shared" si="195"/>
        <v/>
      </c>
      <c r="BI238" s="49" t="str">
        <f t="shared" si="196"/>
        <v/>
      </c>
      <c r="BJ238" s="22" t="str">
        <f t="shared" si="222"/>
        <v/>
      </c>
      <c r="BL238" s="21"/>
      <c r="BM238" s="21" t="str">
        <f>IF(OR(COUNT(B238:D1237)=0,AND('Choix pédagogiques'!$C$3&lt;&gt;1,'Choix pédagogiques'!$C$3&lt;&gt;2)),"",IF(AND(OR('Choix pédagogiques'!$C$3=1,'Choix pédagogiques'!$C$3=2),$B238&lt;&gt;"",$C238&lt;&gt;"",$D238&lt;&gt;""),1,0))</f>
        <v/>
      </c>
      <c r="BN238" s="21" t="str">
        <f>IF(OR(COUNT(G238:I1237)=0,AND('Choix pédagogiques'!$C$3&lt;&gt;1,'Choix pédagogiques'!$C$3&lt;&gt;2)),"",IF(AND(OR('Choix pédagogiques'!$C$3=1,'Choix pédagogiques'!$C$3=2),AND($G238&lt;&gt;"",$H238&lt;&gt;"",$I238&lt;&gt;"")),1,0))</f>
        <v/>
      </c>
      <c r="BO238" s="21" t="str">
        <f>IF(OR(COUNT(B238:D1237)=0,COUNT(G238:I1237)=0,'Choix pédagogiques'!C$3&lt;&gt;3),"",IF(AND('Choix pédagogiques'!$C$3=3,$B238&lt;&gt;"",$C238&lt;&gt;"",$D238&lt;&gt;"",$G238&lt;&gt;"",$H238&lt;&gt;"",$I238&lt;&gt;""),1,0))</f>
        <v/>
      </c>
      <c r="BR238" s="21">
        <v>390</v>
      </c>
      <c r="BS238" s="21">
        <v>1409</v>
      </c>
      <c r="BT238"/>
    </row>
    <row r="239" spans="1:72" s="23" customFormat="1" ht="18" customHeight="1" x14ac:dyDescent="0.3">
      <c r="A239" s="35" t="s">
        <v>229</v>
      </c>
      <c r="B239" s="37"/>
      <c r="C239" s="37"/>
      <c r="D239" s="37"/>
      <c r="E239" s="37"/>
      <c r="F239" s="35" t="s">
        <v>1237</v>
      </c>
      <c r="G239" s="37"/>
      <c r="H239" s="37"/>
      <c r="I239" s="37"/>
      <c r="J239" s="37"/>
      <c r="K239" s="21" t="str">
        <f t="shared" si="197"/>
        <v>Apprenant 227</v>
      </c>
      <c r="L239" s="22" t="str">
        <f t="shared" si="198"/>
        <v/>
      </c>
      <c r="M239" s="22" t="str">
        <f t="shared" si="199"/>
        <v/>
      </c>
      <c r="N239" s="22" t="str">
        <f t="shared" si="200"/>
        <v/>
      </c>
      <c r="O239" s="22" t="str">
        <f t="shared" si="201"/>
        <v/>
      </c>
      <c r="P239" s="21" t="str">
        <f t="shared" si="202"/>
        <v>Apprenant 227 ou 227'</v>
      </c>
      <c r="Q239" s="22" t="str">
        <f t="shared" si="203"/>
        <v/>
      </c>
      <c r="R239" s="22" t="str">
        <f t="shared" si="204"/>
        <v/>
      </c>
      <c r="S239" s="22" t="str">
        <f t="shared" si="205"/>
        <v/>
      </c>
      <c r="T239" s="22" t="str">
        <f t="shared" si="206"/>
        <v/>
      </c>
      <c r="V239" s="21" t="str">
        <f t="shared" si="207"/>
        <v>Apprenant 227</v>
      </c>
      <c r="W239" s="22" t="str">
        <f>IF(AND(OR('Choix pédagogiques'!$C$3=1,'Choix pédagogiques'!$C$3=2),$BM239=1),B239,IF(AND('Choix pédagogiques'!$C$3=3,$BO239=1),B239,""))</f>
        <v/>
      </c>
      <c r="X239" s="22" t="str">
        <f>IF(AND(OR('Choix pédagogiques'!$C$3=1,'Choix pédagogiques'!$C$3=2),$BM239=1),C239,IF(AND('Choix pédagogiques'!$C$3=3,$BO239=1),C239,""))</f>
        <v/>
      </c>
      <c r="Y239" s="22" t="str">
        <f>IF(AND(OR('Choix pédagogiques'!$C$3=1,'Choix pédagogiques'!$C$3=2),$BM239=1),D239,IF(AND('Choix pédagogiques'!$C$3=3,$BO239=1),D239,""))</f>
        <v/>
      </c>
      <c r="Z239" s="22" t="str">
        <f t="shared" si="208"/>
        <v/>
      </c>
      <c r="AA239" s="21" t="str">
        <f t="shared" si="209"/>
        <v>Apprenant 227 ou 227'</v>
      </c>
      <c r="AB239" s="22" t="str">
        <f>IF(AND(OR('Choix pédagogiques'!$C$3=1,'Choix pédagogiques'!$C$3=2),$BN239=1),G239,IF(AND('Choix pédagogiques'!$C$3=3,$BO239=1),G239,""))</f>
        <v/>
      </c>
      <c r="AC239" s="22" t="str">
        <f>IF(AND(OR('Choix pédagogiques'!$C$3=1,'Choix pédagogiques'!$C$3=2),$BN239=1),H239,IF(AND('Choix pédagogiques'!$C$3=3,$BO239=1),H239,""))</f>
        <v/>
      </c>
      <c r="AD239" s="22" t="str">
        <f>IF(AND(OR('Choix pédagogiques'!$C$3=1,'Choix pédagogiques'!$C$3=2),$BN239=1),I239,IF(AND('Choix pédagogiques'!$C$3=3,$BO239=1),I239,""))</f>
        <v/>
      </c>
      <c r="AE239" s="22" t="str">
        <f t="shared" si="210"/>
        <v/>
      </c>
      <c r="AF239" s="21" t="str">
        <f t="shared" si="211"/>
        <v>Apprenant 227</v>
      </c>
      <c r="AG239" s="22" t="str">
        <f t="shared" si="185"/>
        <v/>
      </c>
      <c r="AH239" s="22" t="str">
        <f t="shared" si="186"/>
        <v/>
      </c>
      <c r="AI239" s="22" t="str">
        <f t="shared" si="187"/>
        <v/>
      </c>
      <c r="AJ239" s="22" t="str">
        <f t="shared" si="212"/>
        <v/>
      </c>
      <c r="AK239" s="21" t="str">
        <f t="shared" si="213"/>
        <v>Apprenant 227 ou 227'</v>
      </c>
      <c r="AL239" s="22" t="str">
        <f t="shared" si="188"/>
        <v/>
      </c>
      <c r="AM239" s="22" t="str">
        <f t="shared" si="189"/>
        <v/>
      </c>
      <c r="AN239" s="22" t="str">
        <f t="shared" si="190"/>
        <v/>
      </c>
      <c r="AO239" s="22" t="str">
        <f t="shared" si="214"/>
        <v/>
      </c>
      <c r="AQ239" s="21" t="str">
        <f t="shared" si="215"/>
        <v>Apprenant 227</v>
      </c>
      <c r="AR239" s="49" t="str">
        <f>IF(AND('Choix pédagogiques'!$C$4&lt;&gt;"?",'Choix pédagogiques'!$C$5&lt;&gt;"?",W239&lt;&gt;""),(W239-'Choix pédagogiques'!$C$4)/('Choix pédagogiques'!$C$5-'Choix pédagogiques'!$C$4),"")</f>
        <v/>
      </c>
      <c r="AS239" s="49" t="str">
        <f>IF(AND('Choix pédagogiques'!$C$4&lt;&gt;"?",'Choix pédagogiques'!$C$5&lt;&gt;"?",X239&lt;&gt;""),(X239-'Choix pédagogiques'!$C$4)/('Choix pédagogiques'!$C$5-'Choix pédagogiques'!$C$4),"")</f>
        <v/>
      </c>
      <c r="AT239" s="49" t="str">
        <f>IF(AND('Choix pédagogiques'!$C$4&lt;&gt;"?",'Choix pédagogiques'!$C$5&lt;&gt;"?",Y239&lt;&gt;""),(Y239-'Choix pédagogiques'!$C$4)/('Choix pédagogiques'!$C$5-'Choix pédagogiques'!$C$4),"")</f>
        <v/>
      </c>
      <c r="AU239" s="22" t="str">
        <f t="shared" si="216"/>
        <v/>
      </c>
      <c r="AV239" s="21" t="str">
        <f t="shared" si="217"/>
        <v>Apprenant 227 ou 227'</v>
      </c>
      <c r="AW239" s="49" t="str">
        <f>IF(AND('Choix pédagogiques'!$C$4&lt;&gt;"?",'Choix pédagogiques'!$C$5&lt;&gt;"?",AB239&lt;&gt;""),(AB239-'Choix pédagogiques'!$C$4)/('Choix pédagogiques'!$C$5-'Choix pédagogiques'!$C$4),"")</f>
        <v/>
      </c>
      <c r="AX239" s="49" t="str">
        <f>IF(AND('Choix pédagogiques'!$C$4&lt;&gt;"?",'Choix pédagogiques'!$C$5&lt;&gt;"?",AC239&lt;&gt;""),(AC239-'Choix pédagogiques'!$C$4)/('Choix pédagogiques'!$C$5-'Choix pédagogiques'!$C$4),"")</f>
        <v/>
      </c>
      <c r="AY239" s="49" t="str">
        <f>IF(AND('Choix pédagogiques'!$C$4&lt;&gt;"?",'Choix pédagogiques'!$C$5&lt;&gt;"?",AD239&lt;&gt;""),(AD239-'Choix pédagogiques'!$C$4)/('Choix pédagogiques'!$C$5-'Choix pédagogiques'!$C$4),"")</f>
        <v/>
      </c>
      <c r="AZ239" s="22" t="str">
        <f t="shared" si="218"/>
        <v/>
      </c>
      <c r="BA239" s="21" t="str">
        <f t="shared" si="219"/>
        <v>Apprenant 227</v>
      </c>
      <c r="BB239" s="49" t="str">
        <f t="shared" si="191"/>
        <v/>
      </c>
      <c r="BC239" s="49" t="str">
        <f t="shared" si="192"/>
        <v/>
      </c>
      <c r="BD239" s="49" t="str">
        <f t="shared" si="193"/>
        <v/>
      </c>
      <c r="BE239" s="22" t="str">
        <f t="shared" si="220"/>
        <v/>
      </c>
      <c r="BF239" s="21" t="str">
        <f t="shared" si="221"/>
        <v>Apprenant 227 ou 227'</v>
      </c>
      <c r="BG239" s="49" t="str">
        <f t="shared" si="194"/>
        <v/>
      </c>
      <c r="BH239" s="49" t="str">
        <f t="shared" si="195"/>
        <v/>
      </c>
      <c r="BI239" s="49" t="str">
        <f t="shared" si="196"/>
        <v/>
      </c>
      <c r="BJ239" s="22" t="str">
        <f t="shared" si="222"/>
        <v/>
      </c>
      <c r="BL239" s="21"/>
      <c r="BM239" s="21" t="str">
        <f>IF(OR(COUNT(B239:D1238)=0,AND('Choix pédagogiques'!$C$3&lt;&gt;1,'Choix pédagogiques'!$C$3&lt;&gt;2)),"",IF(AND(OR('Choix pédagogiques'!$C$3=1,'Choix pédagogiques'!$C$3=2),$B239&lt;&gt;"",$C239&lt;&gt;"",$D239&lt;&gt;""),1,0))</f>
        <v/>
      </c>
      <c r="BN239" s="21" t="str">
        <f>IF(OR(COUNT(G239:I1238)=0,AND('Choix pédagogiques'!$C$3&lt;&gt;1,'Choix pédagogiques'!$C$3&lt;&gt;2)),"",IF(AND(OR('Choix pédagogiques'!$C$3=1,'Choix pédagogiques'!$C$3=2),AND($G239&lt;&gt;"",$H239&lt;&gt;"",$I239&lt;&gt;"")),1,0))</f>
        <v/>
      </c>
      <c r="BO239" s="21" t="str">
        <f>IF(OR(COUNT(B239:D1238)=0,COUNT(G239:I1238)=0,'Choix pédagogiques'!C$3&lt;&gt;3),"",IF(AND('Choix pédagogiques'!$C$3=3,$B239&lt;&gt;"",$C239&lt;&gt;"",$D239&lt;&gt;"",$G239&lt;&gt;"",$H239&lt;&gt;"",$I239&lt;&gt;""),1,0))</f>
        <v/>
      </c>
      <c r="BR239" s="21">
        <v>238</v>
      </c>
      <c r="BS239" s="21">
        <v>1150</v>
      </c>
      <c r="BT239"/>
    </row>
    <row r="240" spans="1:72" s="23" customFormat="1" ht="18" customHeight="1" x14ac:dyDescent="0.3">
      <c r="A240" s="35" t="s">
        <v>230</v>
      </c>
      <c r="B240" s="37"/>
      <c r="C240" s="37"/>
      <c r="D240" s="37"/>
      <c r="E240" s="37"/>
      <c r="F240" s="35" t="s">
        <v>1238</v>
      </c>
      <c r="G240" s="37"/>
      <c r="H240" s="37"/>
      <c r="I240" s="37"/>
      <c r="J240" s="37"/>
      <c r="K240" s="21" t="str">
        <f t="shared" si="197"/>
        <v>Apprenant 228</v>
      </c>
      <c r="L240" s="22" t="str">
        <f t="shared" si="198"/>
        <v/>
      </c>
      <c r="M240" s="22" t="str">
        <f t="shared" si="199"/>
        <v/>
      </c>
      <c r="N240" s="22" t="str">
        <f t="shared" si="200"/>
        <v/>
      </c>
      <c r="O240" s="22" t="str">
        <f t="shared" si="201"/>
        <v/>
      </c>
      <c r="P240" s="21" t="str">
        <f t="shared" si="202"/>
        <v>Apprenant 228 ou 228'</v>
      </c>
      <c r="Q240" s="22" t="str">
        <f t="shared" si="203"/>
        <v/>
      </c>
      <c r="R240" s="22" t="str">
        <f t="shared" si="204"/>
        <v/>
      </c>
      <c r="S240" s="22" t="str">
        <f t="shared" si="205"/>
        <v/>
      </c>
      <c r="T240" s="22" t="str">
        <f t="shared" si="206"/>
        <v/>
      </c>
      <c r="V240" s="21" t="str">
        <f t="shared" si="207"/>
        <v>Apprenant 228</v>
      </c>
      <c r="W240" s="22" t="str">
        <f>IF(AND(OR('Choix pédagogiques'!$C$3=1,'Choix pédagogiques'!$C$3=2),$BM240=1),B240,IF(AND('Choix pédagogiques'!$C$3=3,$BO240=1),B240,""))</f>
        <v/>
      </c>
      <c r="X240" s="22" t="str">
        <f>IF(AND(OR('Choix pédagogiques'!$C$3=1,'Choix pédagogiques'!$C$3=2),$BM240=1),C240,IF(AND('Choix pédagogiques'!$C$3=3,$BO240=1),C240,""))</f>
        <v/>
      </c>
      <c r="Y240" s="22" t="str">
        <f>IF(AND(OR('Choix pédagogiques'!$C$3=1,'Choix pédagogiques'!$C$3=2),$BM240=1),D240,IF(AND('Choix pédagogiques'!$C$3=3,$BO240=1),D240,""))</f>
        <v/>
      </c>
      <c r="Z240" s="22" t="str">
        <f t="shared" si="208"/>
        <v/>
      </c>
      <c r="AA240" s="21" t="str">
        <f t="shared" si="209"/>
        <v>Apprenant 228 ou 228'</v>
      </c>
      <c r="AB240" s="22" t="str">
        <f>IF(AND(OR('Choix pédagogiques'!$C$3=1,'Choix pédagogiques'!$C$3=2),$BN240=1),G240,IF(AND('Choix pédagogiques'!$C$3=3,$BO240=1),G240,""))</f>
        <v/>
      </c>
      <c r="AC240" s="22" t="str">
        <f>IF(AND(OR('Choix pédagogiques'!$C$3=1,'Choix pédagogiques'!$C$3=2),$BN240=1),H240,IF(AND('Choix pédagogiques'!$C$3=3,$BO240=1),H240,""))</f>
        <v/>
      </c>
      <c r="AD240" s="22" t="str">
        <f>IF(AND(OR('Choix pédagogiques'!$C$3=1,'Choix pédagogiques'!$C$3=2),$BN240=1),I240,IF(AND('Choix pédagogiques'!$C$3=3,$BO240=1),I240,""))</f>
        <v/>
      </c>
      <c r="AE240" s="22" t="str">
        <f t="shared" si="210"/>
        <v/>
      </c>
      <c r="AF240" s="21" t="str">
        <f t="shared" si="211"/>
        <v>Apprenant 228</v>
      </c>
      <c r="AG240" s="22" t="str">
        <f t="shared" si="185"/>
        <v/>
      </c>
      <c r="AH240" s="22" t="str">
        <f t="shared" si="186"/>
        <v/>
      </c>
      <c r="AI240" s="22" t="str">
        <f t="shared" si="187"/>
        <v/>
      </c>
      <c r="AJ240" s="22" t="str">
        <f t="shared" si="212"/>
        <v/>
      </c>
      <c r="AK240" s="21" t="str">
        <f t="shared" si="213"/>
        <v>Apprenant 228 ou 228'</v>
      </c>
      <c r="AL240" s="22" t="str">
        <f t="shared" si="188"/>
        <v/>
      </c>
      <c r="AM240" s="22" t="str">
        <f t="shared" si="189"/>
        <v/>
      </c>
      <c r="AN240" s="22" t="str">
        <f t="shared" si="190"/>
        <v/>
      </c>
      <c r="AO240" s="22" t="str">
        <f t="shared" si="214"/>
        <v/>
      </c>
      <c r="AQ240" s="21" t="str">
        <f t="shared" si="215"/>
        <v>Apprenant 228</v>
      </c>
      <c r="AR240" s="49" t="str">
        <f>IF(AND('Choix pédagogiques'!$C$4&lt;&gt;"?",'Choix pédagogiques'!$C$5&lt;&gt;"?",W240&lt;&gt;""),(W240-'Choix pédagogiques'!$C$4)/('Choix pédagogiques'!$C$5-'Choix pédagogiques'!$C$4),"")</f>
        <v/>
      </c>
      <c r="AS240" s="49" t="str">
        <f>IF(AND('Choix pédagogiques'!$C$4&lt;&gt;"?",'Choix pédagogiques'!$C$5&lt;&gt;"?",X240&lt;&gt;""),(X240-'Choix pédagogiques'!$C$4)/('Choix pédagogiques'!$C$5-'Choix pédagogiques'!$C$4),"")</f>
        <v/>
      </c>
      <c r="AT240" s="49" t="str">
        <f>IF(AND('Choix pédagogiques'!$C$4&lt;&gt;"?",'Choix pédagogiques'!$C$5&lt;&gt;"?",Y240&lt;&gt;""),(Y240-'Choix pédagogiques'!$C$4)/('Choix pédagogiques'!$C$5-'Choix pédagogiques'!$C$4),"")</f>
        <v/>
      </c>
      <c r="AU240" s="22" t="str">
        <f t="shared" si="216"/>
        <v/>
      </c>
      <c r="AV240" s="21" t="str">
        <f t="shared" si="217"/>
        <v>Apprenant 228 ou 228'</v>
      </c>
      <c r="AW240" s="49" t="str">
        <f>IF(AND('Choix pédagogiques'!$C$4&lt;&gt;"?",'Choix pédagogiques'!$C$5&lt;&gt;"?",AB240&lt;&gt;""),(AB240-'Choix pédagogiques'!$C$4)/('Choix pédagogiques'!$C$5-'Choix pédagogiques'!$C$4),"")</f>
        <v/>
      </c>
      <c r="AX240" s="49" t="str">
        <f>IF(AND('Choix pédagogiques'!$C$4&lt;&gt;"?",'Choix pédagogiques'!$C$5&lt;&gt;"?",AC240&lt;&gt;""),(AC240-'Choix pédagogiques'!$C$4)/('Choix pédagogiques'!$C$5-'Choix pédagogiques'!$C$4),"")</f>
        <v/>
      </c>
      <c r="AY240" s="49" t="str">
        <f>IF(AND('Choix pédagogiques'!$C$4&lt;&gt;"?",'Choix pédagogiques'!$C$5&lt;&gt;"?",AD240&lt;&gt;""),(AD240-'Choix pédagogiques'!$C$4)/('Choix pédagogiques'!$C$5-'Choix pédagogiques'!$C$4),"")</f>
        <v/>
      </c>
      <c r="AZ240" s="22" t="str">
        <f t="shared" si="218"/>
        <v/>
      </c>
      <c r="BA240" s="21" t="str">
        <f t="shared" si="219"/>
        <v>Apprenant 228</v>
      </c>
      <c r="BB240" s="49" t="str">
        <f t="shared" si="191"/>
        <v/>
      </c>
      <c r="BC240" s="49" t="str">
        <f t="shared" si="192"/>
        <v/>
      </c>
      <c r="BD240" s="49" t="str">
        <f t="shared" si="193"/>
        <v/>
      </c>
      <c r="BE240" s="22" t="str">
        <f t="shared" si="220"/>
        <v/>
      </c>
      <c r="BF240" s="21" t="str">
        <f t="shared" si="221"/>
        <v>Apprenant 228 ou 228'</v>
      </c>
      <c r="BG240" s="49" t="str">
        <f t="shared" si="194"/>
        <v/>
      </c>
      <c r="BH240" s="49" t="str">
        <f t="shared" si="195"/>
        <v/>
      </c>
      <c r="BI240" s="49" t="str">
        <f t="shared" si="196"/>
        <v/>
      </c>
      <c r="BJ240" s="22" t="str">
        <f t="shared" si="222"/>
        <v/>
      </c>
      <c r="BL240" s="21"/>
      <c r="BM240" s="21" t="str">
        <f>IF(OR(COUNT(B240:D1239)=0,AND('Choix pédagogiques'!$C$3&lt;&gt;1,'Choix pédagogiques'!$C$3&lt;&gt;2)),"",IF(AND(OR('Choix pédagogiques'!$C$3=1,'Choix pédagogiques'!$C$3=2),$B240&lt;&gt;"",$C240&lt;&gt;"",$D240&lt;&gt;""),1,0))</f>
        <v/>
      </c>
      <c r="BN240" s="21" t="str">
        <f>IF(OR(COUNT(G240:I1239)=0,AND('Choix pédagogiques'!$C$3&lt;&gt;1,'Choix pédagogiques'!$C$3&lt;&gt;2)),"",IF(AND(OR('Choix pédagogiques'!$C$3=1,'Choix pédagogiques'!$C$3=2),AND($G240&lt;&gt;"",$H240&lt;&gt;"",$I240&lt;&gt;"")),1,0))</f>
        <v/>
      </c>
      <c r="BO240" s="21" t="str">
        <f>IF(OR(COUNT(B240:D1239)=0,COUNT(G240:I1239)=0,'Choix pédagogiques'!C$3&lt;&gt;3),"",IF(AND('Choix pédagogiques'!$C$3=3,$B240&lt;&gt;"",$C240&lt;&gt;"",$D240&lt;&gt;"",$G240&lt;&gt;"",$H240&lt;&gt;"",$I240&lt;&gt;""),1,0))</f>
        <v/>
      </c>
      <c r="BR240" s="21">
        <v>699</v>
      </c>
      <c r="BS240" s="21">
        <v>1847</v>
      </c>
      <c r="BT240"/>
    </row>
    <row r="241" spans="1:72" s="23" customFormat="1" ht="18" customHeight="1" x14ac:dyDescent="0.3">
      <c r="A241" s="35" t="s">
        <v>231</v>
      </c>
      <c r="B241" s="37"/>
      <c r="C241" s="37"/>
      <c r="D241" s="37"/>
      <c r="E241" s="37"/>
      <c r="F241" s="35" t="s">
        <v>1239</v>
      </c>
      <c r="G241" s="37"/>
      <c r="H241" s="37"/>
      <c r="I241" s="37"/>
      <c r="J241" s="37"/>
      <c r="K241" s="21" t="str">
        <f t="shared" si="197"/>
        <v>Apprenant 229</v>
      </c>
      <c r="L241" s="22" t="str">
        <f t="shared" si="198"/>
        <v/>
      </c>
      <c r="M241" s="22" t="str">
        <f t="shared" si="199"/>
        <v/>
      </c>
      <c r="N241" s="22" t="str">
        <f t="shared" si="200"/>
        <v/>
      </c>
      <c r="O241" s="22" t="str">
        <f t="shared" si="201"/>
        <v/>
      </c>
      <c r="P241" s="21" t="str">
        <f t="shared" si="202"/>
        <v>Apprenant 229 ou 229'</v>
      </c>
      <c r="Q241" s="22" t="str">
        <f t="shared" si="203"/>
        <v/>
      </c>
      <c r="R241" s="22" t="str">
        <f t="shared" si="204"/>
        <v/>
      </c>
      <c r="S241" s="22" t="str">
        <f t="shared" si="205"/>
        <v/>
      </c>
      <c r="T241" s="22" t="str">
        <f t="shared" si="206"/>
        <v/>
      </c>
      <c r="V241" s="21" t="str">
        <f t="shared" si="207"/>
        <v>Apprenant 229</v>
      </c>
      <c r="W241" s="22" t="str">
        <f>IF(AND(OR('Choix pédagogiques'!$C$3=1,'Choix pédagogiques'!$C$3=2),$BM241=1),B241,IF(AND('Choix pédagogiques'!$C$3=3,$BO241=1),B241,""))</f>
        <v/>
      </c>
      <c r="X241" s="22" t="str">
        <f>IF(AND(OR('Choix pédagogiques'!$C$3=1,'Choix pédagogiques'!$C$3=2),$BM241=1),C241,IF(AND('Choix pédagogiques'!$C$3=3,$BO241=1),C241,""))</f>
        <v/>
      </c>
      <c r="Y241" s="22" t="str">
        <f>IF(AND(OR('Choix pédagogiques'!$C$3=1,'Choix pédagogiques'!$C$3=2),$BM241=1),D241,IF(AND('Choix pédagogiques'!$C$3=3,$BO241=1),D241,""))</f>
        <v/>
      </c>
      <c r="Z241" s="22" t="str">
        <f t="shared" si="208"/>
        <v/>
      </c>
      <c r="AA241" s="21" t="str">
        <f t="shared" si="209"/>
        <v>Apprenant 229 ou 229'</v>
      </c>
      <c r="AB241" s="22" t="str">
        <f>IF(AND(OR('Choix pédagogiques'!$C$3=1,'Choix pédagogiques'!$C$3=2),$BN241=1),G241,IF(AND('Choix pédagogiques'!$C$3=3,$BO241=1),G241,""))</f>
        <v/>
      </c>
      <c r="AC241" s="22" t="str">
        <f>IF(AND(OR('Choix pédagogiques'!$C$3=1,'Choix pédagogiques'!$C$3=2),$BN241=1),H241,IF(AND('Choix pédagogiques'!$C$3=3,$BO241=1),H241,""))</f>
        <v/>
      </c>
      <c r="AD241" s="22" t="str">
        <f>IF(AND(OR('Choix pédagogiques'!$C$3=1,'Choix pédagogiques'!$C$3=2),$BN241=1),I241,IF(AND('Choix pédagogiques'!$C$3=3,$BO241=1),I241,""))</f>
        <v/>
      </c>
      <c r="AE241" s="22" t="str">
        <f t="shared" si="210"/>
        <v/>
      </c>
      <c r="AF241" s="21" t="str">
        <f t="shared" si="211"/>
        <v>Apprenant 229</v>
      </c>
      <c r="AG241" s="22" t="str">
        <f t="shared" si="185"/>
        <v/>
      </c>
      <c r="AH241" s="22" t="str">
        <f t="shared" si="186"/>
        <v/>
      </c>
      <c r="AI241" s="22" t="str">
        <f t="shared" si="187"/>
        <v/>
      </c>
      <c r="AJ241" s="22" t="str">
        <f t="shared" si="212"/>
        <v/>
      </c>
      <c r="AK241" s="21" t="str">
        <f t="shared" si="213"/>
        <v>Apprenant 229 ou 229'</v>
      </c>
      <c r="AL241" s="22" t="str">
        <f t="shared" si="188"/>
        <v/>
      </c>
      <c r="AM241" s="22" t="str">
        <f t="shared" si="189"/>
        <v/>
      </c>
      <c r="AN241" s="22" t="str">
        <f t="shared" si="190"/>
        <v/>
      </c>
      <c r="AO241" s="22" t="str">
        <f t="shared" si="214"/>
        <v/>
      </c>
      <c r="AQ241" s="21" t="str">
        <f t="shared" si="215"/>
        <v>Apprenant 229</v>
      </c>
      <c r="AR241" s="49" t="str">
        <f>IF(AND('Choix pédagogiques'!$C$4&lt;&gt;"?",'Choix pédagogiques'!$C$5&lt;&gt;"?",W241&lt;&gt;""),(W241-'Choix pédagogiques'!$C$4)/('Choix pédagogiques'!$C$5-'Choix pédagogiques'!$C$4),"")</f>
        <v/>
      </c>
      <c r="AS241" s="49" t="str">
        <f>IF(AND('Choix pédagogiques'!$C$4&lt;&gt;"?",'Choix pédagogiques'!$C$5&lt;&gt;"?",X241&lt;&gt;""),(X241-'Choix pédagogiques'!$C$4)/('Choix pédagogiques'!$C$5-'Choix pédagogiques'!$C$4),"")</f>
        <v/>
      </c>
      <c r="AT241" s="49" t="str">
        <f>IF(AND('Choix pédagogiques'!$C$4&lt;&gt;"?",'Choix pédagogiques'!$C$5&lt;&gt;"?",Y241&lt;&gt;""),(Y241-'Choix pédagogiques'!$C$4)/('Choix pédagogiques'!$C$5-'Choix pédagogiques'!$C$4),"")</f>
        <v/>
      </c>
      <c r="AU241" s="22" t="str">
        <f t="shared" si="216"/>
        <v/>
      </c>
      <c r="AV241" s="21" t="str">
        <f t="shared" si="217"/>
        <v>Apprenant 229 ou 229'</v>
      </c>
      <c r="AW241" s="49" t="str">
        <f>IF(AND('Choix pédagogiques'!$C$4&lt;&gt;"?",'Choix pédagogiques'!$C$5&lt;&gt;"?",AB241&lt;&gt;""),(AB241-'Choix pédagogiques'!$C$4)/('Choix pédagogiques'!$C$5-'Choix pédagogiques'!$C$4),"")</f>
        <v/>
      </c>
      <c r="AX241" s="49" t="str">
        <f>IF(AND('Choix pédagogiques'!$C$4&lt;&gt;"?",'Choix pédagogiques'!$C$5&lt;&gt;"?",AC241&lt;&gt;""),(AC241-'Choix pédagogiques'!$C$4)/('Choix pédagogiques'!$C$5-'Choix pédagogiques'!$C$4),"")</f>
        <v/>
      </c>
      <c r="AY241" s="49" t="str">
        <f>IF(AND('Choix pédagogiques'!$C$4&lt;&gt;"?",'Choix pédagogiques'!$C$5&lt;&gt;"?",AD241&lt;&gt;""),(AD241-'Choix pédagogiques'!$C$4)/('Choix pédagogiques'!$C$5-'Choix pédagogiques'!$C$4),"")</f>
        <v/>
      </c>
      <c r="AZ241" s="22" t="str">
        <f t="shared" si="218"/>
        <v/>
      </c>
      <c r="BA241" s="21" t="str">
        <f t="shared" si="219"/>
        <v>Apprenant 229</v>
      </c>
      <c r="BB241" s="49" t="str">
        <f t="shared" si="191"/>
        <v/>
      </c>
      <c r="BC241" s="49" t="str">
        <f t="shared" si="192"/>
        <v/>
      </c>
      <c r="BD241" s="49" t="str">
        <f t="shared" si="193"/>
        <v/>
      </c>
      <c r="BE241" s="22" t="str">
        <f t="shared" si="220"/>
        <v/>
      </c>
      <c r="BF241" s="21" t="str">
        <f t="shared" si="221"/>
        <v>Apprenant 229 ou 229'</v>
      </c>
      <c r="BG241" s="49" t="str">
        <f t="shared" si="194"/>
        <v/>
      </c>
      <c r="BH241" s="49" t="str">
        <f t="shared" si="195"/>
        <v/>
      </c>
      <c r="BI241" s="49" t="str">
        <f t="shared" si="196"/>
        <v/>
      </c>
      <c r="BJ241" s="22" t="str">
        <f t="shared" si="222"/>
        <v/>
      </c>
      <c r="BL241" s="21"/>
      <c r="BM241" s="21" t="str">
        <f>IF(OR(COUNT(B241:D1240)=0,AND('Choix pédagogiques'!$C$3&lt;&gt;1,'Choix pédagogiques'!$C$3&lt;&gt;2)),"",IF(AND(OR('Choix pédagogiques'!$C$3=1,'Choix pédagogiques'!$C$3=2),$B241&lt;&gt;"",$C241&lt;&gt;"",$D241&lt;&gt;""),1,0))</f>
        <v/>
      </c>
      <c r="BN241" s="21" t="str">
        <f>IF(OR(COUNT(G241:I1240)=0,AND('Choix pédagogiques'!$C$3&lt;&gt;1,'Choix pédagogiques'!$C$3&lt;&gt;2)),"",IF(AND(OR('Choix pédagogiques'!$C$3=1,'Choix pédagogiques'!$C$3=2),AND($G241&lt;&gt;"",$H241&lt;&gt;"",$I241&lt;&gt;"")),1,0))</f>
        <v/>
      </c>
      <c r="BO241" s="21" t="str">
        <f>IF(OR(COUNT(B241:D1240)=0,COUNT(G241:I1240)=0,'Choix pédagogiques'!C$3&lt;&gt;3),"",IF(AND('Choix pédagogiques'!$C$3=3,$B241&lt;&gt;"",$C241&lt;&gt;"",$D241&lt;&gt;"",$G241&lt;&gt;"",$H241&lt;&gt;"",$I241&lt;&gt;""),1,0))</f>
        <v/>
      </c>
      <c r="BR241" s="21">
        <v>135</v>
      </c>
      <c r="BS241" s="21">
        <v>1346</v>
      </c>
      <c r="BT241"/>
    </row>
    <row r="242" spans="1:72" s="23" customFormat="1" ht="18" customHeight="1" x14ac:dyDescent="0.3">
      <c r="A242" s="35" t="s">
        <v>232</v>
      </c>
      <c r="B242" s="37"/>
      <c r="C242" s="37"/>
      <c r="D242" s="37"/>
      <c r="E242" s="37"/>
      <c r="F242" s="35" t="s">
        <v>1240</v>
      </c>
      <c r="G242" s="37"/>
      <c r="H242" s="37"/>
      <c r="I242" s="37"/>
      <c r="J242" s="37"/>
      <c r="K242" s="21" t="str">
        <f t="shared" si="197"/>
        <v>Apprenant 230</v>
      </c>
      <c r="L242" s="22" t="str">
        <f t="shared" si="198"/>
        <v/>
      </c>
      <c r="M242" s="22" t="str">
        <f t="shared" si="199"/>
        <v/>
      </c>
      <c r="N242" s="22" t="str">
        <f t="shared" si="200"/>
        <v/>
      </c>
      <c r="O242" s="22" t="str">
        <f t="shared" si="201"/>
        <v/>
      </c>
      <c r="P242" s="21" t="str">
        <f t="shared" si="202"/>
        <v>Apprenant 230 ou 230'</v>
      </c>
      <c r="Q242" s="22" t="str">
        <f t="shared" si="203"/>
        <v/>
      </c>
      <c r="R242" s="22" t="str">
        <f t="shared" si="204"/>
        <v/>
      </c>
      <c r="S242" s="22" t="str">
        <f t="shared" si="205"/>
        <v/>
      </c>
      <c r="T242" s="22" t="str">
        <f t="shared" si="206"/>
        <v/>
      </c>
      <c r="V242" s="21" t="str">
        <f t="shared" si="207"/>
        <v>Apprenant 230</v>
      </c>
      <c r="W242" s="22" t="str">
        <f>IF(AND(OR('Choix pédagogiques'!$C$3=1,'Choix pédagogiques'!$C$3=2),$BM242=1),B242,IF(AND('Choix pédagogiques'!$C$3=3,$BO242=1),B242,""))</f>
        <v/>
      </c>
      <c r="X242" s="22" t="str">
        <f>IF(AND(OR('Choix pédagogiques'!$C$3=1,'Choix pédagogiques'!$C$3=2),$BM242=1),C242,IF(AND('Choix pédagogiques'!$C$3=3,$BO242=1),C242,""))</f>
        <v/>
      </c>
      <c r="Y242" s="22" t="str">
        <f>IF(AND(OR('Choix pédagogiques'!$C$3=1,'Choix pédagogiques'!$C$3=2),$BM242=1),D242,IF(AND('Choix pédagogiques'!$C$3=3,$BO242=1),D242,""))</f>
        <v/>
      </c>
      <c r="Z242" s="22" t="str">
        <f t="shared" si="208"/>
        <v/>
      </c>
      <c r="AA242" s="21" t="str">
        <f t="shared" si="209"/>
        <v>Apprenant 230 ou 230'</v>
      </c>
      <c r="AB242" s="22" t="str">
        <f>IF(AND(OR('Choix pédagogiques'!$C$3=1,'Choix pédagogiques'!$C$3=2),$BN242=1),G242,IF(AND('Choix pédagogiques'!$C$3=3,$BO242=1),G242,""))</f>
        <v/>
      </c>
      <c r="AC242" s="22" t="str">
        <f>IF(AND(OR('Choix pédagogiques'!$C$3=1,'Choix pédagogiques'!$C$3=2),$BN242=1),H242,IF(AND('Choix pédagogiques'!$C$3=3,$BO242=1),H242,""))</f>
        <v/>
      </c>
      <c r="AD242" s="22" t="str">
        <f>IF(AND(OR('Choix pédagogiques'!$C$3=1,'Choix pédagogiques'!$C$3=2),$BN242=1),I242,IF(AND('Choix pédagogiques'!$C$3=3,$BO242=1),I242,""))</f>
        <v/>
      </c>
      <c r="AE242" s="22" t="str">
        <f t="shared" si="210"/>
        <v/>
      </c>
      <c r="AF242" s="21" t="str">
        <f t="shared" si="211"/>
        <v>Apprenant 230</v>
      </c>
      <c r="AG242" s="22" t="str">
        <f t="shared" si="185"/>
        <v/>
      </c>
      <c r="AH242" s="22" t="str">
        <f t="shared" si="186"/>
        <v/>
      </c>
      <c r="AI242" s="22" t="str">
        <f t="shared" si="187"/>
        <v/>
      </c>
      <c r="AJ242" s="22" t="str">
        <f t="shared" si="212"/>
        <v/>
      </c>
      <c r="AK242" s="21" t="str">
        <f t="shared" si="213"/>
        <v>Apprenant 230 ou 230'</v>
      </c>
      <c r="AL242" s="22" t="str">
        <f t="shared" si="188"/>
        <v/>
      </c>
      <c r="AM242" s="22" t="str">
        <f t="shared" si="189"/>
        <v/>
      </c>
      <c r="AN242" s="22" t="str">
        <f t="shared" si="190"/>
        <v/>
      </c>
      <c r="AO242" s="22" t="str">
        <f t="shared" si="214"/>
        <v/>
      </c>
      <c r="AQ242" s="21" t="str">
        <f t="shared" si="215"/>
        <v>Apprenant 230</v>
      </c>
      <c r="AR242" s="49" t="str">
        <f>IF(AND('Choix pédagogiques'!$C$4&lt;&gt;"?",'Choix pédagogiques'!$C$5&lt;&gt;"?",W242&lt;&gt;""),(W242-'Choix pédagogiques'!$C$4)/('Choix pédagogiques'!$C$5-'Choix pédagogiques'!$C$4),"")</f>
        <v/>
      </c>
      <c r="AS242" s="49" t="str">
        <f>IF(AND('Choix pédagogiques'!$C$4&lt;&gt;"?",'Choix pédagogiques'!$C$5&lt;&gt;"?",X242&lt;&gt;""),(X242-'Choix pédagogiques'!$C$4)/('Choix pédagogiques'!$C$5-'Choix pédagogiques'!$C$4),"")</f>
        <v/>
      </c>
      <c r="AT242" s="49" t="str">
        <f>IF(AND('Choix pédagogiques'!$C$4&lt;&gt;"?",'Choix pédagogiques'!$C$5&lt;&gt;"?",Y242&lt;&gt;""),(Y242-'Choix pédagogiques'!$C$4)/('Choix pédagogiques'!$C$5-'Choix pédagogiques'!$C$4),"")</f>
        <v/>
      </c>
      <c r="AU242" s="22" t="str">
        <f t="shared" si="216"/>
        <v/>
      </c>
      <c r="AV242" s="21" t="str">
        <f t="shared" si="217"/>
        <v>Apprenant 230 ou 230'</v>
      </c>
      <c r="AW242" s="49" t="str">
        <f>IF(AND('Choix pédagogiques'!$C$4&lt;&gt;"?",'Choix pédagogiques'!$C$5&lt;&gt;"?",AB242&lt;&gt;""),(AB242-'Choix pédagogiques'!$C$4)/('Choix pédagogiques'!$C$5-'Choix pédagogiques'!$C$4),"")</f>
        <v/>
      </c>
      <c r="AX242" s="49" t="str">
        <f>IF(AND('Choix pédagogiques'!$C$4&lt;&gt;"?",'Choix pédagogiques'!$C$5&lt;&gt;"?",AC242&lt;&gt;""),(AC242-'Choix pédagogiques'!$C$4)/('Choix pédagogiques'!$C$5-'Choix pédagogiques'!$C$4),"")</f>
        <v/>
      </c>
      <c r="AY242" s="49" t="str">
        <f>IF(AND('Choix pédagogiques'!$C$4&lt;&gt;"?",'Choix pédagogiques'!$C$5&lt;&gt;"?",AD242&lt;&gt;""),(AD242-'Choix pédagogiques'!$C$4)/('Choix pédagogiques'!$C$5-'Choix pédagogiques'!$C$4),"")</f>
        <v/>
      </c>
      <c r="AZ242" s="22" t="str">
        <f t="shared" si="218"/>
        <v/>
      </c>
      <c r="BA242" s="21" t="str">
        <f t="shared" si="219"/>
        <v>Apprenant 230</v>
      </c>
      <c r="BB242" s="49" t="str">
        <f t="shared" si="191"/>
        <v/>
      </c>
      <c r="BC242" s="49" t="str">
        <f t="shared" si="192"/>
        <v/>
      </c>
      <c r="BD242" s="49" t="str">
        <f t="shared" si="193"/>
        <v/>
      </c>
      <c r="BE242" s="22" t="str">
        <f t="shared" si="220"/>
        <v/>
      </c>
      <c r="BF242" s="21" t="str">
        <f t="shared" si="221"/>
        <v>Apprenant 230 ou 230'</v>
      </c>
      <c r="BG242" s="49" t="str">
        <f t="shared" si="194"/>
        <v/>
      </c>
      <c r="BH242" s="49" t="str">
        <f t="shared" si="195"/>
        <v/>
      </c>
      <c r="BI242" s="49" t="str">
        <f t="shared" si="196"/>
        <v/>
      </c>
      <c r="BJ242" s="22" t="str">
        <f t="shared" si="222"/>
        <v/>
      </c>
      <c r="BL242" s="21"/>
      <c r="BM242" s="21" t="str">
        <f>IF(OR(COUNT(B242:D1241)=0,AND('Choix pédagogiques'!$C$3&lt;&gt;1,'Choix pédagogiques'!$C$3&lt;&gt;2)),"",IF(AND(OR('Choix pédagogiques'!$C$3=1,'Choix pédagogiques'!$C$3=2),$B242&lt;&gt;"",$C242&lt;&gt;"",$D242&lt;&gt;""),1,0))</f>
        <v/>
      </c>
      <c r="BN242" s="21" t="str">
        <f>IF(OR(COUNT(G242:I1241)=0,AND('Choix pédagogiques'!$C$3&lt;&gt;1,'Choix pédagogiques'!$C$3&lt;&gt;2)),"",IF(AND(OR('Choix pédagogiques'!$C$3=1,'Choix pédagogiques'!$C$3=2),AND($G242&lt;&gt;"",$H242&lt;&gt;"",$I242&lt;&gt;"")),1,0))</f>
        <v/>
      </c>
      <c r="BO242" s="21" t="str">
        <f>IF(OR(COUNT(B242:D1241)=0,COUNT(G242:I1241)=0,'Choix pédagogiques'!C$3&lt;&gt;3),"",IF(AND('Choix pédagogiques'!$C$3=3,$B242&lt;&gt;"",$C242&lt;&gt;"",$D242&lt;&gt;"",$G242&lt;&gt;"",$H242&lt;&gt;"",$I242&lt;&gt;""),1,0))</f>
        <v/>
      </c>
      <c r="BR242" s="21">
        <v>869</v>
      </c>
      <c r="BS242" s="21">
        <v>1900</v>
      </c>
      <c r="BT242"/>
    </row>
    <row r="243" spans="1:72" s="23" customFormat="1" ht="18" customHeight="1" x14ac:dyDescent="0.3">
      <c r="A243" s="35" t="s">
        <v>233</v>
      </c>
      <c r="B243" s="37"/>
      <c r="C243" s="37"/>
      <c r="D243" s="37"/>
      <c r="E243" s="37"/>
      <c r="F243" s="35" t="s">
        <v>1241</v>
      </c>
      <c r="G243" s="37"/>
      <c r="H243" s="37"/>
      <c r="I243" s="37"/>
      <c r="J243" s="37"/>
      <c r="K243" s="21" t="str">
        <f t="shared" si="197"/>
        <v>Apprenant 231</v>
      </c>
      <c r="L243" s="22" t="str">
        <f t="shared" si="198"/>
        <v/>
      </c>
      <c r="M243" s="22" t="str">
        <f t="shared" si="199"/>
        <v/>
      </c>
      <c r="N243" s="22" t="str">
        <f t="shared" si="200"/>
        <v/>
      </c>
      <c r="O243" s="22" t="str">
        <f t="shared" si="201"/>
        <v/>
      </c>
      <c r="P243" s="21" t="str">
        <f t="shared" si="202"/>
        <v>Apprenant 231 ou 231'</v>
      </c>
      <c r="Q243" s="22" t="str">
        <f t="shared" si="203"/>
        <v/>
      </c>
      <c r="R243" s="22" t="str">
        <f t="shared" si="204"/>
        <v/>
      </c>
      <c r="S243" s="22" t="str">
        <f t="shared" si="205"/>
        <v/>
      </c>
      <c r="T243" s="22" t="str">
        <f t="shared" si="206"/>
        <v/>
      </c>
      <c r="V243" s="21" t="str">
        <f t="shared" si="207"/>
        <v>Apprenant 231</v>
      </c>
      <c r="W243" s="22" t="str">
        <f>IF(AND(OR('Choix pédagogiques'!$C$3=1,'Choix pédagogiques'!$C$3=2),$BM243=1),B243,IF(AND('Choix pédagogiques'!$C$3=3,$BO243=1),B243,""))</f>
        <v/>
      </c>
      <c r="X243" s="22" t="str">
        <f>IF(AND(OR('Choix pédagogiques'!$C$3=1,'Choix pédagogiques'!$C$3=2),$BM243=1),C243,IF(AND('Choix pédagogiques'!$C$3=3,$BO243=1),C243,""))</f>
        <v/>
      </c>
      <c r="Y243" s="22" t="str">
        <f>IF(AND(OR('Choix pédagogiques'!$C$3=1,'Choix pédagogiques'!$C$3=2),$BM243=1),D243,IF(AND('Choix pédagogiques'!$C$3=3,$BO243=1),D243,""))</f>
        <v/>
      </c>
      <c r="Z243" s="22" t="str">
        <f t="shared" si="208"/>
        <v/>
      </c>
      <c r="AA243" s="21" t="str">
        <f t="shared" si="209"/>
        <v>Apprenant 231 ou 231'</v>
      </c>
      <c r="AB243" s="22" t="str">
        <f>IF(AND(OR('Choix pédagogiques'!$C$3=1,'Choix pédagogiques'!$C$3=2),$BN243=1),G243,IF(AND('Choix pédagogiques'!$C$3=3,$BO243=1),G243,""))</f>
        <v/>
      </c>
      <c r="AC243" s="22" t="str">
        <f>IF(AND(OR('Choix pédagogiques'!$C$3=1,'Choix pédagogiques'!$C$3=2),$BN243=1),H243,IF(AND('Choix pédagogiques'!$C$3=3,$BO243=1),H243,""))</f>
        <v/>
      </c>
      <c r="AD243" s="22" t="str">
        <f>IF(AND(OR('Choix pédagogiques'!$C$3=1,'Choix pédagogiques'!$C$3=2),$BN243=1),I243,IF(AND('Choix pédagogiques'!$C$3=3,$BO243=1),I243,""))</f>
        <v/>
      </c>
      <c r="AE243" s="22" t="str">
        <f t="shared" si="210"/>
        <v/>
      </c>
      <c r="AF243" s="21" t="str">
        <f t="shared" si="211"/>
        <v>Apprenant 231</v>
      </c>
      <c r="AG243" s="22" t="str">
        <f t="shared" si="185"/>
        <v/>
      </c>
      <c r="AH243" s="22" t="str">
        <f t="shared" si="186"/>
        <v/>
      </c>
      <c r="AI243" s="22" t="str">
        <f t="shared" si="187"/>
        <v/>
      </c>
      <c r="AJ243" s="22" t="str">
        <f t="shared" si="212"/>
        <v/>
      </c>
      <c r="AK243" s="21" t="str">
        <f t="shared" si="213"/>
        <v>Apprenant 231 ou 231'</v>
      </c>
      <c r="AL243" s="22" t="str">
        <f t="shared" si="188"/>
        <v/>
      </c>
      <c r="AM243" s="22" t="str">
        <f t="shared" si="189"/>
        <v/>
      </c>
      <c r="AN243" s="22" t="str">
        <f t="shared" si="190"/>
        <v/>
      </c>
      <c r="AO243" s="22" t="str">
        <f t="shared" si="214"/>
        <v/>
      </c>
      <c r="AQ243" s="21" t="str">
        <f t="shared" si="215"/>
        <v>Apprenant 231</v>
      </c>
      <c r="AR243" s="49" t="str">
        <f>IF(AND('Choix pédagogiques'!$C$4&lt;&gt;"?",'Choix pédagogiques'!$C$5&lt;&gt;"?",W243&lt;&gt;""),(W243-'Choix pédagogiques'!$C$4)/('Choix pédagogiques'!$C$5-'Choix pédagogiques'!$C$4),"")</f>
        <v/>
      </c>
      <c r="AS243" s="49" t="str">
        <f>IF(AND('Choix pédagogiques'!$C$4&lt;&gt;"?",'Choix pédagogiques'!$C$5&lt;&gt;"?",X243&lt;&gt;""),(X243-'Choix pédagogiques'!$C$4)/('Choix pédagogiques'!$C$5-'Choix pédagogiques'!$C$4),"")</f>
        <v/>
      </c>
      <c r="AT243" s="49" t="str">
        <f>IF(AND('Choix pédagogiques'!$C$4&lt;&gt;"?",'Choix pédagogiques'!$C$5&lt;&gt;"?",Y243&lt;&gt;""),(Y243-'Choix pédagogiques'!$C$4)/('Choix pédagogiques'!$C$5-'Choix pédagogiques'!$C$4),"")</f>
        <v/>
      </c>
      <c r="AU243" s="22" t="str">
        <f t="shared" si="216"/>
        <v/>
      </c>
      <c r="AV243" s="21" t="str">
        <f t="shared" si="217"/>
        <v>Apprenant 231 ou 231'</v>
      </c>
      <c r="AW243" s="49" t="str">
        <f>IF(AND('Choix pédagogiques'!$C$4&lt;&gt;"?",'Choix pédagogiques'!$C$5&lt;&gt;"?",AB243&lt;&gt;""),(AB243-'Choix pédagogiques'!$C$4)/('Choix pédagogiques'!$C$5-'Choix pédagogiques'!$C$4),"")</f>
        <v/>
      </c>
      <c r="AX243" s="49" t="str">
        <f>IF(AND('Choix pédagogiques'!$C$4&lt;&gt;"?",'Choix pédagogiques'!$C$5&lt;&gt;"?",AC243&lt;&gt;""),(AC243-'Choix pédagogiques'!$C$4)/('Choix pédagogiques'!$C$5-'Choix pédagogiques'!$C$4),"")</f>
        <v/>
      </c>
      <c r="AY243" s="49" t="str">
        <f>IF(AND('Choix pédagogiques'!$C$4&lt;&gt;"?",'Choix pédagogiques'!$C$5&lt;&gt;"?",AD243&lt;&gt;""),(AD243-'Choix pédagogiques'!$C$4)/('Choix pédagogiques'!$C$5-'Choix pédagogiques'!$C$4),"")</f>
        <v/>
      </c>
      <c r="AZ243" s="22" t="str">
        <f t="shared" si="218"/>
        <v/>
      </c>
      <c r="BA243" s="21" t="str">
        <f t="shared" si="219"/>
        <v>Apprenant 231</v>
      </c>
      <c r="BB243" s="49" t="str">
        <f t="shared" si="191"/>
        <v/>
      </c>
      <c r="BC243" s="49" t="str">
        <f t="shared" si="192"/>
        <v/>
      </c>
      <c r="BD243" s="49" t="str">
        <f t="shared" si="193"/>
        <v/>
      </c>
      <c r="BE243" s="22" t="str">
        <f t="shared" si="220"/>
        <v/>
      </c>
      <c r="BF243" s="21" t="str">
        <f t="shared" si="221"/>
        <v>Apprenant 231 ou 231'</v>
      </c>
      <c r="BG243" s="49" t="str">
        <f t="shared" si="194"/>
        <v/>
      </c>
      <c r="BH243" s="49" t="str">
        <f t="shared" si="195"/>
        <v/>
      </c>
      <c r="BI243" s="49" t="str">
        <f t="shared" si="196"/>
        <v/>
      </c>
      <c r="BJ243" s="22" t="str">
        <f t="shared" si="222"/>
        <v/>
      </c>
      <c r="BL243" s="21"/>
      <c r="BM243" s="21" t="str">
        <f>IF(OR(COUNT(B243:D1242)=0,AND('Choix pédagogiques'!$C$3&lt;&gt;1,'Choix pédagogiques'!$C$3&lt;&gt;2)),"",IF(AND(OR('Choix pédagogiques'!$C$3=1,'Choix pédagogiques'!$C$3=2),$B243&lt;&gt;"",$C243&lt;&gt;"",$D243&lt;&gt;""),1,0))</f>
        <v/>
      </c>
      <c r="BN243" s="21" t="str">
        <f>IF(OR(COUNT(G243:I1242)=0,AND('Choix pédagogiques'!$C$3&lt;&gt;1,'Choix pédagogiques'!$C$3&lt;&gt;2)),"",IF(AND(OR('Choix pédagogiques'!$C$3=1,'Choix pédagogiques'!$C$3=2),AND($G243&lt;&gt;"",$H243&lt;&gt;"",$I243&lt;&gt;"")),1,0))</f>
        <v/>
      </c>
      <c r="BO243" s="21" t="str">
        <f>IF(OR(COUNT(B243:D1242)=0,COUNT(G243:I1242)=0,'Choix pédagogiques'!C$3&lt;&gt;3),"",IF(AND('Choix pédagogiques'!$C$3=3,$B243&lt;&gt;"",$C243&lt;&gt;"",$D243&lt;&gt;"",$G243&lt;&gt;"",$H243&lt;&gt;"",$I243&lt;&gt;""),1,0))</f>
        <v/>
      </c>
      <c r="BR243" s="21">
        <v>664</v>
      </c>
      <c r="BS243" s="21">
        <v>1767</v>
      </c>
      <c r="BT243"/>
    </row>
    <row r="244" spans="1:72" s="23" customFormat="1" ht="18" customHeight="1" x14ac:dyDescent="0.3">
      <c r="A244" s="35" t="s">
        <v>234</v>
      </c>
      <c r="B244" s="37"/>
      <c r="C244" s="37"/>
      <c r="D244" s="37"/>
      <c r="E244" s="37"/>
      <c r="F244" s="35" t="s">
        <v>1242</v>
      </c>
      <c r="G244" s="37"/>
      <c r="H244" s="37"/>
      <c r="I244" s="37"/>
      <c r="J244" s="37"/>
      <c r="K244" s="21" t="str">
        <f t="shared" si="197"/>
        <v>Apprenant 232</v>
      </c>
      <c r="L244" s="22" t="str">
        <f t="shared" si="198"/>
        <v/>
      </c>
      <c r="M244" s="22" t="str">
        <f t="shared" si="199"/>
        <v/>
      </c>
      <c r="N244" s="22" t="str">
        <f t="shared" si="200"/>
        <v/>
      </c>
      <c r="O244" s="22" t="str">
        <f t="shared" si="201"/>
        <v/>
      </c>
      <c r="P244" s="21" t="str">
        <f t="shared" si="202"/>
        <v>Apprenant 232 ou 232'</v>
      </c>
      <c r="Q244" s="22" t="str">
        <f t="shared" si="203"/>
        <v/>
      </c>
      <c r="R244" s="22" t="str">
        <f t="shared" si="204"/>
        <v/>
      </c>
      <c r="S244" s="22" t="str">
        <f t="shared" si="205"/>
        <v/>
      </c>
      <c r="T244" s="22" t="str">
        <f t="shared" si="206"/>
        <v/>
      </c>
      <c r="V244" s="21" t="str">
        <f t="shared" si="207"/>
        <v>Apprenant 232</v>
      </c>
      <c r="W244" s="22" t="str">
        <f>IF(AND(OR('Choix pédagogiques'!$C$3=1,'Choix pédagogiques'!$C$3=2),$BM244=1),B244,IF(AND('Choix pédagogiques'!$C$3=3,$BO244=1),B244,""))</f>
        <v/>
      </c>
      <c r="X244" s="22" t="str">
        <f>IF(AND(OR('Choix pédagogiques'!$C$3=1,'Choix pédagogiques'!$C$3=2),$BM244=1),C244,IF(AND('Choix pédagogiques'!$C$3=3,$BO244=1),C244,""))</f>
        <v/>
      </c>
      <c r="Y244" s="22" t="str">
        <f>IF(AND(OR('Choix pédagogiques'!$C$3=1,'Choix pédagogiques'!$C$3=2),$BM244=1),D244,IF(AND('Choix pédagogiques'!$C$3=3,$BO244=1),D244,""))</f>
        <v/>
      </c>
      <c r="Z244" s="22" t="str">
        <f t="shared" si="208"/>
        <v/>
      </c>
      <c r="AA244" s="21" t="str">
        <f t="shared" si="209"/>
        <v>Apprenant 232 ou 232'</v>
      </c>
      <c r="AB244" s="22" t="str">
        <f>IF(AND(OR('Choix pédagogiques'!$C$3=1,'Choix pédagogiques'!$C$3=2),$BN244=1),G244,IF(AND('Choix pédagogiques'!$C$3=3,$BO244=1),G244,""))</f>
        <v/>
      </c>
      <c r="AC244" s="22" t="str">
        <f>IF(AND(OR('Choix pédagogiques'!$C$3=1,'Choix pédagogiques'!$C$3=2),$BN244=1),H244,IF(AND('Choix pédagogiques'!$C$3=3,$BO244=1),H244,""))</f>
        <v/>
      </c>
      <c r="AD244" s="22" t="str">
        <f>IF(AND(OR('Choix pédagogiques'!$C$3=1,'Choix pédagogiques'!$C$3=2),$BN244=1),I244,IF(AND('Choix pédagogiques'!$C$3=3,$BO244=1),I244,""))</f>
        <v/>
      </c>
      <c r="AE244" s="22" t="str">
        <f t="shared" si="210"/>
        <v/>
      </c>
      <c r="AF244" s="21" t="str">
        <f t="shared" si="211"/>
        <v>Apprenant 232</v>
      </c>
      <c r="AG244" s="22" t="str">
        <f t="shared" si="185"/>
        <v/>
      </c>
      <c r="AH244" s="22" t="str">
        <f t="shared" si="186"/>
        <v/>
      </c>
      <c r="AI244" s="22" t="str">
        <f t="shared" si="187"/>
        <v/>
      </c>
      <c r="AJ244" s="22" t="str">
        <f t="shared" si="212"/>
        <v/>
      </c>
      <c r="AK244" s="21" t="str">
        <f t="shared" si="213"/>
        <v>Apprenant 232 ou 232'</v>
      </c>
      <c r="AL244" s="22" t="str">
        <f t="shared" si="188"/>
        <v/>
      </c>
      <c r="AM244" s="22" t="str">
        <f t="shared" si="189"/>
        <v/>
      </c>
      <c r="AN244" s="22" t="str">
        <f t="shared" si="190"/>
        <v/>
      </c>
      <c r="AO244" s="22" t="str">
        <f t="shared" si="214"/>
        <v/>
      </c>
      <c r="AQ244" s="21" t="str">
        <f t="shared" si="215"/>
        <v>Apprenant 232</v>
      </c>
      <c r="AR244" s="49" t="str">
        <f>IF(AND('Choix pédagogiques'!$C$4&lt;&gt;"?",'Choix pédagogiques'!$C$5&lt;&gt;"?",W244&lt;&gt;""),(W244-'Choix pédagogiques'!$C$4)/('Choix pédagogiques'!$C$5-'Choix pédagogiques'!$C$4),"")</f>
        <v/>
      </c>
      <c r="AS244" s="49" t="str">
        <f>IF(AND('Choix pédagogiques'!$C$4&lt;&gt;"?",'Choix pédagogiques'!$C$5&lt;&gt;"?",X244&lt;&gt;""),(X244-'Choix pédagogiques'!$C$4)/('Choix pédagogiques'!$C$5-'Choix pédagogiques'!$C$4),"")</f>
        <v/>
      </c>
      <c r="AT244" s="49" t="str">
        <f>IF(AND('Choix pédagogiques'!$C$4&lt;&gt;"?",'Choix pédagogiques'!$C$5&lt;&gt;"?",Y244&lt;&gt;""),(Y244-'Choix pédagogiques'!$C$4)/('Choix pédagogiques'!$C$5-'Choix pédagogiques'!$C$4),"")</f>
        <v/>
      </c>
      <c r="AU244" s="22" t="str">
        <f t="shared" si="216"/>
        <v/>
      </c>
      <c r="AV244" s="21" t="str">
        <f t="shared" si="217"/>
        <v>Apprenant 232 ou 232'</v>
      </c>
      <c r="AW244" s="49" t="str">
        <f>IF(AND('Choix pédagogiques'!$C$4&lt;&gt;"?",'Choix pédagogiques'!$C$5&lt;&gt;"?",AB244&lt;&gt;""),(AB244-'Choix pédagogiques'!$C$4)/('Choix pédagogiques'!$C$5-'Choix pédagogiques'!$C$4),"")</f>
        <v/>
      </c>
      <c r="AX244" s="49" t="str">
        <f>IF(AND('Choix pédagogiques'!$C$4&lt;&gt;"?",'Choix pédagogiques'!$C$5&lt;&gt;"?",AC244&lt;&gt;""),(AC244-'Choix pédagogiques'!$C$4)/('Choix pédagogiques'!$C$5-'Choix pédagogiques'!$C$4),"")</f>
        <v/>
      </c>
      <c r="AY244" s="49" t="str">
        <f>IF(AND('Choix pédagogiques'!$C$4&lt;&gt;"?",'Choix pédagogiques'!$C$5&lt;&gt;"?",AD244&lt;&gt;""),(AD244-'Choix pédagogiques'!$C$4)/('Choix pédagogiques'!$C$5-'Choix pédagogiques'!$C$4),"")</f>
        <v/>
      </c>
      <c r="AZ244" s="22" t="str">
        <f t="shared" si="218"/>
        <v/>
      </c>
      <c r="BA244" s="21" t="str">
        <f t="shared" si="219"/>
        <v>Apprenant 232</v>
      </c>
      <c r="BB244" s="49" t="str">
        <f t="shared" si="191"/>
        <v/>
      </c>
      <c r="BC244" s="49" t="str">
        <f t="shared" si="192"/>
        <v/>
      </c>
      <c r="BD244" s="49" t="str">
        <f t="shared" si="193"/>
        <v/>
      </c>
      <c r="BE244" s="22" t="str">
        <f t="shared" si="220"/>
        <v/>
      </c>
      <c r="BF244" s="21" t="str">
        <f t="shared" si="221"/>
        <v>Apprenant 232 ou 232'</v>
      </c>
      <c r="BG244" s="49" t="str">
        <f t="shared" si="194"/>
        <v/>
      </c>
      <c r="BH244" s="49" t="str">
        <f t="shared" si="195"/>
        <v/>
      </c>
      <c r="BI244" s="49" t="str">
        <f t="shared" si="196"/>
        <v/>
      </c>
      <c r="BJ244" s="22" t="str">
        <f t="shared" si="222"/>
        <v/>
      </c>
      <c r="BL244" s="21"/>
      <c r="BM244" s="21" t="str">
        <f>IF(OR(COUNT(B244:D1243)=0,AND('Choix pédagogiques'!$C$3&lt;&gt;1,'Choix pédagogiques'!$C$3&lt;&gt;2)),"",IF(AND(OR('Choix pédagogiques'!$C$3=1,'Choix pédagogiques'!$C$3=2),$B244&lt;&gt;"",$C244&lt;&gt;"",$D244&lt;&gt;""),1,0))</f>
        <v/>
      </c>
      <c r="BN244" s="21" t="str">
        <f>IF(OR(COUNT(G244:I1243)=0,AND('Choix pédagogiques'!$C$3&lt;&gt;1,'Choix pédagogiques'!$C$3&lt;&gt;2)),"",IF(AND(OR('Choix pédagogiques'!$C$3=1,'Choix pédagogiques'!$C$3=2),AND($G244&lt;&gt;"",$H244&lt;&gt;"",$I244&lt;&gt;"")),1,0))</f>
        <v/>
      </c>
      <c r="BO244" s="21" t="str">
        <f>IF(OR(COUNT(B244:D1243)=0,COUNT(G244:I1243)=0,'Choix pédagogiques'!C$3&lt;&gt;3),"",IF(AND('Choix pédagogiques'!$C$3=3,$B244&lt;&gt;"",$C244&lt;&gt;"",$D244&lt;&gt;"",$G244&lt;&gt;"",$H244&lt;&gt;"",$I244&lt;&gt;""),1,0))</f>
        <v/>
      </c>
      <c r="BR244" s="21">
        <v>471</v>
      </c>
      <c r="BS244" s="21">
        <v>1057</v>
      </c>
      <c r="BT244"/>
    </row>
    <row r="245" spans="1:72" s="23" customFormat="1" ht="18" customHeight="1" x14ac:dyDescent="0.3">
      <c r="A245" s="35" t="s">
        <v>235</v>
      </c>
      <c r="B245" s="37"/>
      <c r="C245" s="37"/>
      <c r="D245" s="37"/>
      <c r="E245" s="37"/>
      <c r="F245" s="35" t="s">
        <v>1243</v>
      </c>
      <c r="G245" s="37"/>
      <c r="H245" s="37"/>
      <c r="I245" s="37"/>
      <c r="J245" s="37"/>
      <c r="K245" s="21" t="str">
        <f t="shared" si="197"/>
        <v>Apprenant 233</v>
      </c>
      <c r="L245" s="22" t="str">
        <f t="shared" si="198"/>
        <v/>
      </c>
      <c r="M245" s="22" t="str">
        <f t="shared" si="199"/>
        <v/>
      </c>
      <c r="N245" s="22" t="str">
        <f t="shared" si="200"/>
        <v/>
      </c>
      <c r="O245" s="22" t="str">
        <f t="shared" si="201"/>
        <v/>
      </c>
      <c r="P245" s="21" t="str">
        <f t="shared" si="202"/>
        <v>Apprenant 233 ou 233'</v>
      </c>
      <c r="Q245" s="22" t="str">
        <f t="shared" si="203"/>
        <v/>
      </c>
      <c r="R245" s="22" t="str">
        <f t="shared" si="204"/>
        <v/>
      </c>
      <c r="S245" s="22" t="str">
        <f t="shared" si="205"/>
        <v/>
      </c>
      <c r="T245" s="22" t="str">
        <f t="shared" si="206"/>
        <v/>
      </c>
      <c r="V245" s="21" t="str">
        <f t="shared" si="207"/>
        <v>Apprenant 233</v>
      </c>
      <c r="W245" s="22" t="str">
        <f>IF(AND(OR('Choix pédagogiques'!$C$3=1,'Choix pédagogiques'!$C$3=2),$BM245=1),B245,IF(AND('Choix pédagogiques'!$C$3=3,$BO245=1),B245,""))</f>
        <v/>
      </c>
      <c r="X245" s="22" t="str">
        <f>IF(AND(OR('Choix pédagogiques'!$C$3=1,'Choix pédagogiques'!$C$3=2),$BM245=1),C245,IF(AND('Choix pédagogiques'!$C$3=3,$BO245=1),C245,""))</f>
        <v/>
      </c>
      <c r="Y245" s="22" t="str">
        <f>IF(AND(OR('Choix pédagogiques'!$C$3=1,'Choix pédagogiques'!$C$3=2),$BM245=1),D245,IF(AND('Choix pédagogiques'!$C$3=3,$BO245=1),D245,""))</f>
        <v/>
      </c>
      <c r="Z245" s="22" t="str">
        <f t="shared" si="208"/>
        <v/>
      </c>
      <c r="AA245" s="21" t="str">
        <f t="shared" si="209"/>
        <v>Apprenant 233 ou 233'</v>
      </c>
      <c r="AB245" s="22" t="str">
        <f>IF(AND(OR('Choix pédagogiques'!$C$3=1,'Choix pédagogiques'!$C$3=2),$BN245=1),G245,IF(AND('Choix pédagogiques'!$C$3=3,$BO245=1),G245,""))</f>
        <v/>
      </c>
      <c r="AC245" s="22" t="str">
        <f>IF(AND(OR('Choix pédagogiques'!$C$3=1,'Choix pédagogiques'!$C$3=2),$BN245=1),H245,IF(AND('Choix pédagogiques'!$C$3=3,$BO245=1),H245,""))</f>
        <v/>
      </c>
      <c r="AD245" s="22" t="str">
        <f>IF(AND(OR('Choix pédagogiques'!$C$3=1,'Choix pédagogiques'!$C$3=2),$BN245=1),I245,IF(AND('Choix pédagogiques'!$C$3=3,$BO245=1),I245,""))</f>
        <v/>
      </c>
      <c r="AE245" s="22" t="str">
        <f t="shared" si="210"/>
        <v/>
      </c>
      <c r="AF245" s="21" t="str">
        <f t="shared" si="211"/>
        <v>Apprenant 233</v>
      </c>
      <c r="AG245" s="22" t="str">
        <f t="shared" si="185"/>
        <v/>
      </c>
      <c r="AH245" s="22" t="str">
        <f t="shared" si="186"/>
        <v/>
      </c>
      <c r="AI245" s="22" t="str">
        <f t="shared" si="187"/>
        <v/>
      </c>
      <c r="AJ245" s="22" t="str">
        <f t="shared" si="212"/>
        <v/>
      </c>
      <c r="AK245" s="21" t="str">
        <f t="shared" si="213"/>
        <v>Apprenant 233 ou 233'</v>
      </c>
      <c r="AL245" s="22" t="str">
        <f t="shared" si="188"/>
        <v/>
      </c>
      <c r="AM245" s="22" t="str">
        <f t="shared" si="189"/>
        <v/>
      </c>
      <c r="AN245" s="22" t="str">
        <f t="shared" si="190"/>
        <v/>
      </c>
      <c r="AO245" s="22" t="str">
        <f t="shared" si="214"/>
        <v/>
      </c>
      <c r="AQ245" s="21" t="str">
        <f t="shared" si="215"/>
        <v>Apprenant 233</v>
      </c>
      <c r="AR245" s="49" t="str">
        <f>IF(AND('Choix pédagogiques'!$C$4&lt;&gt;"?",'Choix pédagogiques'!$C$5&lt;&gt;"?",W245&lt;&gt;""),(W245-'Choix pédagogiques'!$C$4)/('Choix pédagogiques'!$C$5-'Choix pédagogiques'!$C$4),"")</f>
        <v/>
      </c>
      <c r="AS245" s="49" t="str">
        <f>IF(AND('Choix pédagogiques'!$C$4&lt;&gt;"?",'Choix pédagogiques'!$C$5&lt;&gt;"?",X245&lt;&gt;""),(X245-'Choix pédagogiques'!$C$4)/('Choix pédagogiques'!$C$5-'Choix pédagogiques'!$C$4),"")</f>
        <v/>
      </c>
      <c r="AT245" s="49" t="str">
        <f>IF(AND('Choix pédagogiques'!$C$4&lt;&gt;"?",'Choix pédagogiques'!$C$5&lt;&gt;"?",Y245&lt;&gt;""),(Y245-'Choix pédagogiques'!$C$4)/('Choix pédagogiques'!$C$5-'Choix pédagogiques'!$C$4),"")</f>
        <v/>
      </c>
      <c r="AU245" s="22" t="str">
        <f t="shared" si="216"/>
        <v/>
      </c>
      <c r="AV245" s="21" t="str">
        <f t="shared" si="217"/>
        <v>Apprenant 233 ou 233'</v>
      </c>
      <c r="AW245" s="49" t="str">
        <f>IF(AND('Choix pédagogiques'!$C$4&lt;&gt;"?",'Choix pédagogiques'!$C$5&lt;&gt;"?",AB245&lt;&gt;""),(AB245-'Choix pédagogiques'!$C$4)/('Choix pédagogiques'!$C$5-'Choix pédagogiques'!$C$4),"")</f>
        <v/>
      </c>
      <c r="AX245" s="49" t="str">
        <f>IF(AND('Choix pédagogiques'!$C$4&lt;&gt;"?",'Choix pédagogiques'!$C$5&lt;&gt;"?",AC245&lt;&gt;""),(AC245-'Choix pédagogiques'!$C$4)/('Choix pédagogiques'!$C$5-'Choix pédagogiques'!$C$4),"")</f>
        <v/>
      </c>
      <c r="AY245" s="49" t="str">
        <f>IF(AND('Choix pédagogiques'!$C$4&lt;&gt;"?",'Choix pédagogiques'!$C$5&lt;&gt;"?",AD245&lt;&gt;""),(AD245-'Choix pédagogiques'!$C$4)/('Choix pédagogiques'!$C$5-'Choix pédagogiques'!$C$4),"")</f>
        <v/>
      </c>
      <c r="AZ245" s="22" t="str">
        <f t="shared" si="218"/>
        <v/>
      </c>
      <c r="BA245" s="21" t="str">
        <f t="shared" si="219"/>
        <v>Apprenant 233</v>
      </c>
      <c r="BB245" s="49" t="str">
        <f t="shared" si="191"/>
        <v/>
      </c>
      <c r="BC245" s="49" t="str">
        <f t="shared" si="192"/>
        <v/>
      </c>
      <c r="BD245" s="49" t="str">
        <f t="shared" si="193"/>
        <v/>
      </c>
      <c r="BE245" s="22" t="str">
        <f t="shared" si="220"/>
        <v/>
      </c>
      <c r="BF245" s="21" t="str">
        <f t="shared" si="221"/>
        <v>Apprenant 233 ou 233'</v>
      </c>
      <c r="BG245" s="49" t="str">
        <f t="shared" si="194"/>
        <v/>
      </c>
      <c r="BH245" s="49" t="str">
        <f t="shared" si="195"/>
        <v/>
      </c>
      <c r="BI245" s="49" t="str">
        <f t="shared" si="196"/>
        <v/>
      </c>
      <c r="BJ245" s="22" t="str">
        <f t="shared" si="222"/>
        <v/>
      </c>
      <c r="BL245" s="21"/>
      <c r="BM245" s="21" t="str">
        <f>IF(OR(COUNT(B245:D1244)=0,AND('Choix pédagogiques'!$C$3&lt;&gt;1,'Choix pédagogiques'!$C$3&lt;&gt;2)),"",IF(AND(OR('Choix pédagogiques'!$C$3=1,'Choix pédagogiques'!$C$3=2),$B245&lt;&gt;"",$C245&lt;&gt;"",$D245&lt;&gt;""),1,0))</f>
        <v/>
      </c>
      <c r="BN245" s="21" t="str">
        <f>IF(OR(COUNT(G245:I1244)=0,AND('Choix pédagogiques'!$C$3&lt;&gt;1,'Choix pédagogiques'!$C$3&lt;&gt;2)),"",IF(AND(OR('Choix pédagogiques'!$C$3=1,'Choix pédagogiques'!$C$3=2),AND($G245&lt;&gt;"",$H245&lt;&gt;"",$I245&lt;&gt;"")),1,0))</f>
        <v/>
      </c>
      <c r="BO245" s="21" t="str">
        <f>IF(OR(COUNT(B245:D1244)=0,COUNT(G245:I1244)=0,'Choix pédagogiques'!C$3&lt;&gt;3),"",IF(AND('Choix pédagogiques'!$C$3=3,$B245&lt;&gt;"",$C245&lt;&gt;"",$D245&lt;&gt;"",$G245&lt;&gt;"",$H245&lt;&gt;"",$I245&lt;&gt;""),1,0))</f>
        <v/>
      </c>
      <c r="BR245" s="21">
        <v>363</v>
      </c>
      <c r="BS245" s="21">
        <v>1320</v>
      </c>
      <c r="BT245"/>
    </row>
    <row r="246" spans="1:72" s="23" customFormat="1" ht="18" customHeight="1" x14ac:dyDescent="0.3">
      <c r="A246" s="35" t="s">
        <v>236</v>
      </c>
      <c r="B246" s="37"/>
      <c r="C246" s="37"/>
      <c r="D246" s="37"/>
      <c r="E246" s="37"/>
      <c r="F246" s="35" t="s">
        <v>1244</v>
      </c>
      <c r="G246" s="37"/>
      <c r="H246" s="37"/>
      <c r="I246" s="37"/>
      <c r="J246" s="37"/>
      <c r="K246" s="21" t="str">
        <f t="shared" si="197"/>
        <v>Apprenant 234</v>
      </c>
      <c r="L246" s="22" t="str">
        <f t="shared" si="198"/>
        <v/>
      </c>
      <c r="M246" s="22" t="str">
        <f t="shared" si="199"/>
        <v/>
      </c>
      <c r="N246" s="22" t="str">
        <f t="shared" si="200"/>
        <v/>
      </c>
      <c r="O246" s="22" t="str">
        <f t="shared" si="201"/>
        <v/>
      </c>
      <c r="P246" s="21" t="str">
        <f t="shared" si="202"/>
        <v>Apprenant 234 ou 234'</v>
      </c>
      <c r="Q246" s="22" t="str">
        <f t="shared" si="203"/>
        <v/>
      </c>
      <c r="R246" s="22" t="str">
        <f t="shared" si="204"/>
        <v/>
      </c>
      <c r="S246" s="22" t="str">
        <f t="shared" si="205"/>
        <v/>
      </c>
      <c r="T246" s="22" t="str">
        <f t="shared" si="206"/>
        <v/>
      </c>
      <c r="V246" s="21" t="str">
        <f t="shared" si="207"/>
        <v>Apprenant 234</v>
      </c>
      <c r="W246" s="22" t="str">
        <f>IF(AND(OR('Choix pédagogiques'!$C$3=1,'Choix pédagogiques'!$C$3=2),$BM246=1),B246,IF(AND('Choix pédagogiques'!$C$3=3,$BO246=1),B246,""))</f>
        <v/>
      </c>
      <c r="X246" s="22" t="str">
        <f>IF(AND(OR('Choix pédagogiques'!$C$3=1,'Choix pédagogiques'!$C$3=2),$BM246=1),C246,IF(AND('Choix pédagogiques'!$C$3=3,$BO246=1),C246,""))</f>
        <v/>
      </c>
      <c r="Y246" s="22" t="str">
        <f>IF(AND(OR('Choix pédagogiques'!$C$3=1,'Choix pédagogiques'!$C$3=2),$BM246=1),D246,IF(AND('Choix pédagogiques'!$C$3=3,$BO246=1),D246,""))</f>
        <v/>
      </c>
      <c r="Z246" s="22" t="str">
        <f t="shared" si="208"/>
        <v/>
      </c>
      <c r="AA246" s="21" t="str">
        <f t="shared" si="209"/>
        <v>Apprenant 234 ou 234'</v>
      </c>
      <c r="AB246" s="22" t="str">
        <f>IF(AND(OR('Choix pédagogiques'!$C$3=1,'Choix pédagogiques'!$C$3=2),$BN246=1),G246,IF(AND('Choix pédagogiques'!$C$3=3,$BO246=1),G246,""))</f>
        <v/>
      </c>
      <c r="AC246" s="22" t="str">
        <f>IF(AND(OR('Choix pédagogiques'!$C$3=1,'Choix pédagogiques'!$C$3=2),$BN246=1),H246,IF(AND('Choix pédagogiques'!$C$3=3,$BO246=1),H246,""))</f>
        <v/>
      </c>
      <c r="AD246" s="22" t="str">
        <f>IF(AND(OR('Choix pédagogiques'!$C$3=1,'Choix pédagogiques'!$C$3=2),$BN246=1),I246,IF(AND('Choix pédagogiques'!$C$3=3,$BO246=1),I246,""))</f>
        <v/>
      </c>
      <c r="AE246" s="22" t="str">
        <f t="shared" si="210"/>
        <v/>
      </c>
      <c r="AF246" s="21" t="str">
        <f t="shared" si="211"/>
        <v>Apprenant 234</v>
      </c>
      <c r="AG246" s="22" t="str">
        <f t="shared" si="185"/>
        <v/>
      </c>
      <c r="AH246" s="22" t="str">
        <f t="shared" si="186"/>
        <v/>
      </c>
      <c r="AI246" s="22" t="str">
        <f t="shared" si="187"/>
        <v/>
      </c>
      <c r="AJ246" s="22" t="str">
        <f t="shared" si="212"/>
        <v/>
      </c>
      <c r="AK246" s="21" t="str">
        <f t="shared" si="213"/>
        <v>Apprenant 234 ou 234'</v>
      </c>
      <c r="AL246" s="22" t="str">
        <f t="shared" si="188"/>
        <v/>
      </c>
      <c r="AM246" s="22" t="str">
        <f t="shared" si="189"/>
        <v/>
      </c>
      <c r="AN246" s="22" t="str">
        <f t="shared" si="190"/>
        <v/>
      </c>
      <c r="AO246" s="22" t="str">
        <f t="shared" si="214"/>
        <v/>
      </c>
      <c r="AQ246" s="21" t="str">
        <f t="shared" si="215"/>
        <v>Apprenant 234</v>
      </c>
      <c r="AR246" s="49" t="str">
        <f>IF(AND('Choix pédagogiques'!$C$4&lt;&gt;"?",'Choix pédagogiques'!$C$5&lt;&gt;"?",W246&lt;&gt;""),(W246-'Choix pédagogiques'!$C$4)/('Choix pédagogiques'!$C$5-'Choix pédagogiques'!$C$4),"")</f>
        <v/>
      </c>
      <c r="AS246" s="49" t="str">
        <f>IF(AND('Choix pédagogiques'!$C$4&lt;&gt;"?",'Choix pédagogiques'!$C$5&lt;&gt;"?",X246&lt;&gt;""),(X246-'Choix pédagogiques'!$C$4)/('Choix pédagogiques'!$C$5-'Choix pédagogiques'!$C$4),"")</f>
        <v/>
      </c>
      <c r="AT246" s="49" t="str">
        <f>IF(AND('Choix pédagogiques'!$C$4&lt;&gt;"?",'Choix pédagogiques'!$C$5&lt;&gt;"?",Y246&lt;&gt;""),(Y246-'Choix pédagogiques'!$C$4)/('Choix pédagogiques'!$C$5-'Choix pédagogiques'!$C$4),"")</f>
        <v/>
      </c>
      <c r="AU246" s="22" t="str">
        <f t="shared" si="216"/>
        <v/>
      </c>
      <c r="AV246" s="21" t="str">
        <f t="shared" si="217"/>
        <v>Apprenant 234 ou 234'</v>
      </c>
      <c r="AW246" s="49" t="str">
        <f>IF(AND('Choix pédagogiques'!$C$4&lt;&gt;"?",'Choix pédagogiques'!$C$5&lt;&gt;"?",AB246&lt;&gt;""),(AB246-'Choix pédagogiques'!$C$4)/('Choix pédagogiques'!$C$5-'Choix pédagogiques'!$C$4),"")</f>
        <v/>
      </c>
      <c r="AX246" s="49" t="str">
        <f>IF(AND('Choix pédagogiques'!$C$4&lt;&gt;"?",'Choix pédagogiques'!$C$5&lt;&gt;"?",AC246&lt;&gt;""),(AC246-'Choix pédagogiques'!$C$4)/('Choix pédagogiques'!$C$5-'Choix pédagogiques'!$C$4),"")</f>
        <v/>
      </c>
      <c r="AY246" s="49" t="str">
        <f>IF(AND('Choix pédagogiques'!$C$4&lt;&gt;"?",'Choix pédagogiques'!$C$5&lt;&gt;"?",AD246&lt;&gt;""),(AD246-'Choix pédagogiques'!$C$4)/('Choix pédagogiques'!$C$5-'Choix pédagogiques'!$C$4),"")</f>
        <v/>
      </c>
      <c r="AZ246" s="22" t="str">
        <f t="shared" si="218"/>
        <v/>
      </c>
      <c r="BA246" s="21" t="str">
        <f t="shared" si="219"/>
        <v>Apprenant 234</v>
      </c>
      <c r="BB246" s="49" t="str">
        <f t="shared" si="191"/>
        <v/>
      </c>
      <c r="BC246" s="49" t="str">
        <f t="shared" si="192"/>
        <v/>
      </c>
      <c r="BD246" s="49" t="str">
        <f t="shared" si="193"/>
        <v/>
      </c>
      <c r="BE246" s="22" t="str">
        <f t="shared" si="220"/>
        <v/>
      </c>
      <c r="BF246" s="21" t="str">
        <f t="shared" si="221"/>
        <v>Apprenant 234 ou 234'</v>
      </c>
      <c r="BG246" s="49" t="str">
        <f t="shared" si="194"/>
        <v/>
      </c>
      <c r="BH246" s="49" t="str">
        <f t="shared" si="195"/>
        <v/>
      </c>
      <c r="BI246" s="49" t="str">
        <f t="shared" si="196"/>
        <v/>
      </c>
      <c r="BJ246" s="22" t="str">
        <f t="shared" si="222"/>
        <v/>
      </c>
      <c r="BL246" s="21"/>
      <c r="BM246" s="21" t="str">
        <f>IF(OR(COUNT(B246:D1245)=0,AND('Choix pédagogiques'!$C$3&lt;&gt;1,'Choix pédagogiques'!$C$3&lt;&gt;2)),"",IF(AND(OR('Choix pédagogiques'!$C$3=1,'Choix pédagogiques'!$C$3=2),$B246&lt;&gt;"",$C246&lt;&gt;"",$D246&lt;&gt;""),1,0))</f>
        <v/>
      </c>
      <c r="BN246" s="21" t="str">
        <f>IF(OR(COUNT(G246:I1245)=0,AND('Choix pédagogiques'!$C$3&lt;&gt;1,'Choix pédagogiques'!$C$3&lt;&gt;2)),"",IF(AND(OR('Choix pédagogiques'!$C$3=1,'Choix pédagogiques'!$C$3=2),AND($G246&lt;&gt;"",$H246&lt;&gt;"",$I246&lt;&gt;"")),1,0))</f>
        <v/>
      </c>
      <c r="BO246" s="21" t="str">
        <f>IF(OR(COUNT(B246:D1245)=0,COUNT(G246:I1245)=0,'Choix pédagogiques'!C$3&lt;&gt;3),"",IF(AND('Choix pédagogiques'!$C$3=3,$B246&lt;&gt;"",$C246&lt;&gt;"",$D246&lt;&gt;"",$G246&lt;&gt;"",$H246&lt;&gt;"",$I246&lt;&gt;""),1,0))</f>
        <v/>
      </c>
      <c r="BR246" s="21">
        <v>610</v>
      </c>
      <c r="BS246" s="21">
        <v>1963</v>
      </c>
      <c r="BT246"/>
    </row>
    <row r="247" spans="1:72" s="23" customFormat="1" ht="18" customHeight="1" x14ac:dyDescent="0.3">
      <c r="A247" s="35" t="s">
        <v>237</v>
      </c>
      <c r="B247" s="37"/>
      <c r="C247" s="37"/>
      <c r="D247" s="37"/>
      <c r="E247" s="37"/>
      <c r="F247" s="35" t="s">
        <v>1245</v>
      </c>
      <c r="G247" s="37"/>
      <c r="H247" s="37"/>
      <c r="I247" s="37"/>
      <c r="J247" s="37"/>
      <c r="K247" s="21" t="str">
        <f t="shared" si="197"/>
        <v>Apprenant 235</v>
      </c>
      <c r="L247" s="22" t="str">
        <f t="shared" si="198"/>
        <v/>
      </c>
      <c r="M247" s="22" t="str">
        <f t="shared" si="199"/>
        <v/>
      </c>
      <c r="N247" s="22" t="str">
        <f t="shared" si="200"/>
        <v/>
      </c>
      <c r="O247" s="22" t="str">
        <f t="shared" si="201"/>
        <v/>
      </c>
      <c r="P247" s="21" t="str">
        <f t="shared" si="202"/>
        <v>Apprenant 235 ou 235'</v>
      </c>
      <c r="Q247" s="22" t="str">
        <f t="shared" si="203"/>
        <v/>
      </c>
      <c r="R247" s="22" t="str">
        <f t="shared" si="204"/>
        <v/>
      </c>
      <c r="S247" s="22" t="str">
        <f t="shared" si="205"/>
        <v/>
      </c>
      <c r="T247" s="22" t="str">
        <f t="shared" si="206"/>
        <v/>
      </c>
      <c r="V247" s="21" t="str">
        <f t="shared" si="207"/>
        <v>Apprenant 235</v>
      </c>
      <c r="W247" s="22" t="str">
        <f>IF(AND(OR('Choix pédagogiques'!$C$3=1,'Choix pédagogiques'!$C$3=2),$BM247=1),B247,IF(AND('Choix pédagogiques'!$C$3=3,$BO247=1),B247,""))</f>
        <v/>
      </c>
      <c r="X247" s="22" t="str">
        <f>IF(AND(OR('Choix pédagogiques'!$C$3=1,'Choix pédagogiques'!$C$3=2),$BM247=1),C247,IF(AND('Choix pédagogiques'!$C$3=3,$BO247=1),C247,""))</f>
        <v/>
      </c>
      <c r="Y247" s="22" t="str">
        <f>IF(AND(OR('Choix pédagogiques'!$C$3=1,'Choix pédagogiques'!$C$3=2),$BM247=1),D247,IF(AND('Choix pédagogiques'!$C$3=3,$BO247=1),D247,""))</f>
        <v/>
      </c>
      <c r="Z247" s="22" t="str">
        <f t="shared" si="208"/>
        <v/>
      </c>
      <c r="AA247" s="21" t="str">
        <f t="shared" si="209"/>
        <v>Apprenant 235 ou 235'</v>
      </c>
      <c r="AB247" s="22" t="str">
        <f>IF(AND(OR('Choix pédagogiques'!$C$3=1,'Choix pédagogiques'!$C$3=2),$BN247=1),G247,IF(AND('Choix pédagogiques'!$C$3=3,$BO247=1),G247,""))</f>
        <v/>
      </c>
      <c r="AC247" s="22" t="str">
        <f>IF(AND(OR('Choix pédagogiques'!$C$3=1,'Choix pédagogiques'!$C$3=2),$BN247=1),H247,IF(AND('Choix pédagogiques'!$C$3=3,$BO247=1),H247,""))</f>
        <v/>
      </c>
      <c r="AD247" s="22" t="str">
        <f>IF(AND(OR('Choix pédagogiques'!$C$3=1,'Choix pédagogiques'!$C$3=2),$BN247=1),I247,IF(AND('Choix pédagogiques'!$C$3=3,$BO247=1),I247,""))</f>
        <v/>
      </c>
      <c r="AE247" s="22" t="str">
        <f t="shared" si="210"/>
        <v/>
      </c>
      <c r="AF247" s="21" t="str">
        <f t="shared" si="211"/>
        <v>Apprenant 235</v>
      </c>
      <c r="AG247" s="22" t="str">
        <f t="shared" si="185"/>
        <v/>
      </c>
      <c r="AH247" s="22" t="str">
        <f t="shared" si="186"/>
        <v/>
      </c>
      <c r="AI247" s="22" t="str">
        <f t="shared" si="187"/>
        <v/>
      </c>
      <c r="AJ247" s="22" t="str">
        <f t="shared" si="212"/>
        <v/>
      </c>
      <c r="AK247" s="21" t="str">
        <f t="shared" si="213"/>
        <v>Apprenant 235 ou 235'</v>
      </c>
      <c r="AL247" s="22" t="str">
        <f t="shared" si="188"/>
        <v/>
      </c>
      <c r="AM247" s="22" t="str">
        <f t="shared" si="189"/>
        <v/>
      </c>
      <c r="AN247" s="22" t="str">
        <f t="shared" si="190"/>
        <v/>
      </c>
      <c r="AO247" s="22" t="str">
        <f t="shared" si="214"/>
        <v/>
      </c>
      <c r="AQ247" s="21" t="str">
        <f t="shared" si="215"/>
        <v>Apprenant 235</v>
      </c>
      <c r="AR247" s="49" t="str">
        <f>IF(AND('Choix pédagogiques'!$C$4&lt;&gt;"?",'Choix pédagogiques'!$C$5&lt;&gt;"?",W247&lt;&gt;""),(W247-'Choix pédagogiques'!$C$4)/('Choix pédagogiques'!$C$5-'Choix pédagogiques'!$C$4),"")</f>
        <v/>
      </c>
      <c r="AS247" s="49" t="str">
        <f>IF(AND('Choix pédagogiques'!$C$4&lt;&gt;"?",'Choix pédagogiques'!$C$5&lt;&gt;"?",X247&lt;&gt;""),(X247-'Choix pédagogiques'!$C$4)/('Choix pédagogiques'!$C$5-'Choix pédagogiques'!$C$4),"")</f>
        <v/>
      </c>
      <c r="AT247" s="49" t="str">
        <f>IF(AND('Choix pédagogiques'!$C$4&lt;&gt;"?",'Choix pédagogiques'!$C$5&lt;&gt;"?",Y247&lt;&gt;""),(Y247-'Choix pédagogiques'!$C$4)/('Choix pédagogiques'!$C$5-'Choix pédagogiques'!$C$4),"")</f>
        <v/>
      </c>
      <c r="AU247" s="22" t="str">
        <f t="shared" si="216"/>
        <v/>
      </c>
      <c r="AV247" s="21" t="str">
        <f t="shared" si="217"/>
        <v>Apprenant 235 ou 235'</v>
      </c>
      <c r="AW247" s="49" t="str">
        <f>IF(AND('Choix pédagogiques'!$C$4&lt;&gt;"?",'Choix pédagogiques'!$C$5&lt;&gt;"?",AB247&lt;&gt;""),(AB247-'Choix pédagogiques'!$C$4)/('Choix pédagogiques'!$C$5-'Choix pédagogiques'!$C$4),"")</f>
        <v/>
      </c>
      <c r="AX247" s="49" t="str">
        <f>IF(AND('Choix pédagogiques'!$C$4&lt;&gt;"?",'Choix pédagogiques'!$C$5&lt;&gt;"?",AC247&lt;&gt;""),(AC247-'Choix pédagogiques'!$C$4)/('Choix pédagogiques'!$C$5-'Choix pédagogiques'!$C$4),"")</f>
        <v/>
      </c>
      <c r="AY247" s="49" t="str">
        <f>IF(AND('Choix pédagogiques'!$C$4&lt;&gt;"?",'Choix pédagogiques'!$C$5&lt;&gt;"?",AD247&lt;&gt;""),(AD247-'Choix pédagogiques'!$C$4)/('Choix pédagogiques'!$C$5-'Choix pédagogiques'!$C$4),"")</f>
        <v/>
      </c>
      <c r="AZ247" s="22" t="str">
        <f t="shared" si="218"/>
        <v/>
      </c>
      <c r="BA247" s="21" t="str">
        <f t="shared" si="219"/>
        <v>Apprenant 235</v>
      </c>
      <c r="BB247" s="49" t="str">
        <f t="shared" si="191"/>
        <v/>
      </c>
      <c r="BC247" s="49" t="str">
        <f t="shared" si="192"/>
        <v/>
      </c>
      <c r="BD247" s="49" t="str">
        <f t="shared" si="193"/>
        <v/>
      </c>
      <c r="BE247" s="22" t="str">
        <f t="shared" si="220"/>
        <v/>
      </c>
      <c r="BF247" s="21" t="str">
        <f t="shared" si="221"/>
        <v>Apprenant 235 ou 235'</v>
      </c>
      <c r="BG247" s="49" t="str">
        <f t="shared" si="194"/>
        <v/>
      </c>
      <c r="BH247" s="49" t="str">
        <f t="shared" si="195"/>
        <v/>
      </c>
      <c r="BI247" s="49" t="str">
        <f t="shared" si="196"/>
        <v/>
      </c>
      <c r="BJ247" s="22" t="str">
        <f t="shared" si="222"/>
        <v/>
      </c>
      <c r="BL247" s="21"/>
      <c r="BM247" s="21" t="str">
        <f>IF(OR(COUNT(B247:D1246)=0,AND('Choix pédagogiques'!$C$3&lt;&gt;1,'Choix pédagogiques'!$C$3&lt;&gt;2)),"",IF(AND(OR('Choix pédagogiques'!$C$3=1,'Choix pédagogiques'!$C$3=2),$B247&lt;&gt;"",$C247&lt;&gt;"",$D247&lt;&gt;""),1,0))</f>
        <v/>
      </c>
      <c r="BN247" s="21" t="str">
        <f>IF(OR(COUNT(G247:I1246)=0,AND('Choix pédagogiques'!$C$3&lt;&gt;1,'Choix pédagogiques'!$C$3&lt;&gt;2)),"",IF(AND(OR('Choix pédagogiques'!$C$3=1,'Choix pédagogiques'!$C$3=2),AND($G247&lt;&gt;"",$H247&lt;&gt;"",$I247&lt;&gt;"")),1,0))</f>
        <v/>
      </c>
      <c r="BO247" s="21" t="str">
        <f>IF(OR(COUNT(B247:D1246)=0,COUNT(G247:I1246)=0,'Choix pédagogiques'!C$3&lt;&gt;3),"",IF(AND('Choix pédagogiques'!$C$3=3,$B247&lt;&gt;"",$C247&lt;&gt;"",$D247&lt;&gt;"",$G247&lt;&gt;"",$H247&lt;&gt;"",$I247&lt;&gt;""),1,0))</f>
        <v/>
      </c>
      <c r="BR247" s="21">
        <v>62</v>
      </c>
      <c r="BS247" s="21">
        <v>1525</v>
      </c>
      <c r="BT247"/>
    </row>
    <row r="248" spans="1:72" s="23" customFormat="1" ht="18" customHeight="1" x14ac:dyDescent="0.3">
      <c r="A248" s="35" t="s">
        <v>238</v>
      </c>
      <c r="B248" s="37"/>
      <c r="C248" s="37"/>
      <c r="D248" s="37"/>
      <c r="E248" s="37"/>
      <c r="F248" s="35" t="s">
        <v>1246</v>
      </c>
      <c r="G248" s="37"/>
      <c r="H248" s="37"/>
      <c r="I248" s="37"/>
      <c r="J248" s="37"/>
      <c r="K248" s="21" t="str">
        <f t="shared" si="197"/>
        <v>Apprenant 236</v>
      </c>
      <c r="L248" s="22" t="str">
        <f t="shared" si="198"/>
        <v/>
      </c>
      <c r="M248" s="22" t="str">
        <f t="shared" si="199"/>
        <v/>
      </c>
      <c r="N248" s="22" t="str">
        <f t="shared" si="200"/>
        <v/>
      </c>
      <c r="O248" s="22" t="str">
        <f t="shared" si="201"/>
        <v/>
      </c>
      <c r="P248" s="21" t="str">
        <f t="shared" si="202"/>
        <v>Apprenant 236 ou 236'</v>
      </c>
      <c r="Q248" s="22" t="str">
        <f t="shared" si="203"/>
        <v/>
      </c>
      <c r="R248" s="22" t="str">
        <f t="shared" si="204"/>
        <v/>
      </c>
      <c r="S248" s="22" t="str">
        <f t="shared" si="205"/>
        <v/>
      </c>
      <c r="T248" s="22" t="str">
        <f t="shared" si="206"/>
        <v/>
      </c>
      <c r="V248" s="21" t="str">
        <f t="shared" si="207"/>
        <v>Apprenant 236</v>
      </c>
      <c r="W248" s="22" t="str">
        <f>IF(AND(OR('Choix pédagogiques'!$C$3=1,'Choix pédagogiques'!$C$3=2),$BM248=1),B248,IF(AND('Choix pédagogiques'!$C$3=3,$BO248=1),B248,""))</f>
        <v/>
      </c>
      <c r="X248" s="22" t="str">
        <f>IF(AND(OR('Choix pédagogiques'!$C$3=1,'Choix pédagogiques'!$C$3=2),$BM248=1),C248,IF(AND('Choix pédagogiques'!$C$3=3,$BO248=1),C248,""))</f>
        <v/>
      </c>
      <c r="Y248" s="22" t="str">
        <f>IF(AND(OR('Choix pédagogiques'!$C$3=1,'Choix pédagogiques'!$C$3=2),$BM248=1),D248,IF(AND('Choix pédagogiques'!$C$3=3,$BO248=1),D248,""))</f>
        <v/>
      </c>
      <c r="Z248" s="22" t="str">
        <f t="shared" si="208"/>
        <v/>
      </c>
      <c r="AA248" s="21" t="str">
        <f t="shared" si="209"/>
        <v>Apprenant 236 ou 236'</v>
      </c>
      <c r="AB248" s="22" t="str">
        <f>IF(AND(OR('Choix pédagogiques'!$C$3=1,'Choix pédagogiques'!$C$3=2),$BN248=1),G248,IF(AND('Choix pédagogiques'!$C$3=3,$BO248=1),G248,""))</f>
        <v/>
      </c>
      <c r="AC248" s="22" t="str">
        <f>IF(AND(OR('Choix pédagogiques'!$C$3=1,'Choix pédagogiques'!$C$3=2),$BN248=1),H248,IF(AND('Choix pédagogiques'!$C$3=3,$BO248=1),H248,""))</f>
        <v/>
      </c>
      <c r="AD248" s="22" t="str">
        <f>IF(AND(OR('Choix pédagogiques'!$C$3=1,'Choix pédagogiques'!$C$3=2),$BN248=1),I248,IF(AND('Choix pédagogiques'!$C$3=3,$BO248=1),I248,""))</f>
        <v/>
      </c>
      <c r="AE248" s="22" t="str">
        <f t="shared" si="210"/>
        <v/>
      </c>
      <c r="AF248" s="21" t="str">
        <f t="shared" si="211"/>
        <v>Apprenant 236</v>
      </c>
      <c r="AG248" s="22" t="str">
        <f t="shared" si="185"/>
        <v/>
      </c>
      <c r="AH248" s="22" t="str">
        <f t="shared" si="186"/>
        <v/>
      </c>
      <c r="AI248" s="22" t="str">
        <f t="shared" si="187"/>
        <v/>
      </c>
      <c r="AJ248" s="22" t="str">
        <f t="shared" si="212"/>
        <v/>
      </c>
      <c r="AK248" s="21" t="str">
        <f t="shared" si="213"/>
        <v>Apprenant 236 ou 236'</v>
      </c>
      <c r="AL248" s="22" t="str">
        <f t="shared" si="188"/>
        <v/>
      </c>
      <c r="AM248" s="22" t="str">
        <f t="shared" si="189"/>
        <v/>
      </c>
      <c r="AN248" s="22" t="str">
        <f t="shared" si="190"/>
        <v/>
      </c>
      <c r="AO248" s="22" t="str">
        <f t="shared" si="214"/>
        <v/>
      </c>
      <c r="AQ248" s="21" t="str">
        <f t="shared" si="215"/>
        <v>Apprenant 236</v>
      </c>
      <c r="AR248" s="49" t="str">
        <f>IF(AND('Choix pédagogiques'!$C$4&lt;&gt;"?",'Choix pédagogiques'!$C$5&lt;&gt;"?",W248&lt;&gt;""),(W248-'Choix pédagogiques'!$C$4)/('Choix pédagogiques'!$C$5-'Choix pédagogiques'!$C$4),"")</f>
        <v/>
      </c>
      <c r="AS248" s="49" t="str">
        <f>IF(AND('Choix pédagogiques'!$C$4&lt;&gt;"?",'Choix pédagogiques'!$C$5&lt;&gt;"?",X248&lt;&gt;""),(X248-'Choix pédagogiques'!$C$4)/('Choix pédagogiques'!$C$5-'Choix pédagogiques'!$C$4),"")</f>
        <v/>
      </c>
      <c r="AT248" s="49" t="str">
        <f>IF(AND('Choix pédagogiques'!$C$4&lt;&gt;"?",'Choix pédagogiques'!$C$5&lt;&gt;"?",Y248&lt;&gt;""),(Y248-'Choix pédagogiques'!$C$4)/('Choix pédagogiques'!$C$5-'Choix pédagogiques'!$C$4),"")</f>
        <v/>
      </c>
      <c r="AU248" s="22" t="str">
        <f t="shared" si="216"/>
        <v/>
      </c>
      <c r="AV248" s="21" t="str">
        <f t="shared" si="217"/>
        <v>Apprenant 236 ou 236'</v>
      </c>
      <c r="AW248" s="49" t="str">
        <f>IF(AND('Choix pédagogiques'!$C$4&lt;&gt;"?",'Choix pédagogiques'!$C$5&lt;&gt;"?",AB248&lt;&gt;""),(AB248-'Choix pédagogiques'!$C$4)/('Choix pédagogiques'!$C$5-'Choix pédagogiques'!$C$4),"")</f>
        <v/>
      </c>
      <c r="AX248" s="49" t="str">
        <f>IF(AND('Choix pédagogiques'!$C$4&lt;&gt;"?",'Choix pédagogiques'!$C$5&lt;&gt;"?",AC248&lt;&gt;""),(AC248-'Choix pédagogiques'!$C$4)/('Choix pédagogiques'!$C$5-'Choix pédagogiques'!$C$4),"")</f>
        <v/>
      </c>
      <c r="AY248" s="49" t="str">
        <f>IF(AND('Choix pédagogiques'!$C$4&lt;&gt;"?",'Choix pédagogiques'!$C$5&lt;&gt;"?",AD248&lt;&gt;""),(AD248-'Choix pédagogiques'!$C$4)/('Choix pédagogiques'!$C$5-'Choix pédagogiques'!$C$4),"")</f>
        <v/>
      </c>
      <c r="AZ248" s="22" t="str">
        <f t="shared" si="218"/>
        <v/>
      </c>
      <c r="BA248" s="21" t="str">
        <f t="shared" si="219"/>
        <v>Apprenant 236</v>
      </c>
      <c r="BB248" s="49" t="str">
        <f t="shared" si="191"/>
        <v/>
      </c>
      <c r="BC248" s="49" t="str">
        <f t="shared" si="192"/>
        <v/>
      </c>
      <c r="BD248" s="49" t="str">
        <f t="shared" si="193"/>
        <v/>
      </c>
      <c r="BE248" s="22" t="str">
        <f t="shared" si="220"/>
        <v/>
      </c>
      <c r="BF248" s="21" t="str">
        <f t="shared" si="221"/>
        <v>Apprenant 236 ou 236'</v>
      </c>
      <c r="BG248" s="49" t="str">
        <f t="shared" si="194"/>
        <v/>
      </c>
      <c r="BH248" s="49" t="str">
        <f t="shared" si="195"/>
        <v/>
      </c>
      <c r="BI248" s="49" t="str">
        <f t="shared" si="196"/>
        <v/>
      </c>
      <c r="BJ248" s="22" t="str">
        <f t="shared" si="222"/>
        <v/>
      </c>
      <c r="BL248" s="21"/>
      <c r="BM248" s="21" t="str">
        <f>IF(OR(COUNT(B248:D1247)=0,AND('Choix pédagogiques'!$C$3&lt;&gt;1,'Choix pédagogiques'!$C$3&lt;&gt;2)),"",IF(AND(OR('Choix pédagogiques'!$C$3=1,'Choix pédagogiques'!$C$3=2),$B248&lt;&gt;"",$C248&lt;&gt;"",$D248&lt;&gt;""),1,0))</f>
        <v/>
      </c>
      <c r="BN248" s="21" t="str">
        <f>IF(OR(COUNT(G248:I1247)=0,AND('Choix pédagogiques'!$C$3&lt;&gt;1,'Choix pédagogiques'!$C$3&lt;&gt;2)),"",IF(AND(OR('Choix pédagogiques'!$C$3=1,'Choix pédagogiques'!$C$3=2),AND($G248&lt;&gt;"",$H248&lt;&gt;"",$I248&lt;&gt;"")),1,0))</f>
        <v/>
      </c>
      <c r="BO248" s="21" t="str">
        <f>IF(OR(COUNT(B248:D1247)=0,COUNT(G248:I1247)=0,'Choix pédagogiques'!C$3&lt;&gt;3),"",IF(AND('Choix pédagogiques'!$C$3=3,$B248&lt;&gt;"",$C248&lt;&gt;"",$D248&lt;&gt;"",$G248&lt;&gt;"",$H248&lt;&gt;"",$I248&lt;&gt;""),1,0))</f>
        <v/>
      </c>
      <c r="BR248" s="21">
        <v>968</v>
      </c>
      <c r="BS248" s="21">
        <v>1452</v>
      </c>
      <c r="BT248"/>
    </row>
    <row r="249" spans="1:72" s="23" customFormat="1" ht="18" customHeight="1" x14ac:dyDescent="0.3">
      <c r="A249" s="35" t="s">
        <v>239</v>
      </c>
      <c r="B249" s="37"/>
      <c r="C249" s="37"/>
      <c r="D249" s="37"/>
      <c r="E249" s="37"/>
      <c r="F249" s="35" t="s">
        <v>1247</v>
      </c>
      <c r="G249" s="37"/>
      <c r="H249" s="37"/>
      <c r="I249" s="37"/>
      <c r="J249" s="37"/>
      <c r="K249" s="21" t="str">
        <f t="shared" si="197"/>
        <v>Apprenant 237</v>
      </c>
      <c r="L249" s="22" t="str">
        <f t="shared" si="198"/>
        <v/>
      </c>
      <c r="M249" s="22" t="str">
        <f t="shared" si="199"/>
        <v/>
      </c>
      <c r="N249" s="22" t="str">
        <f t="shared" si="200"/>
        <v/>
      </c>
      <c r="O249" s="22" t="str">
        <f t="shared" si="201"/>
        <v/>
      </c>
      <c r="P249" s="21" t="str">
        <f t="shared" si="202"/>
        <v>Apprenant 237 ou 237'</v>
      </c>
      <c r="Q249" s="22" t="str">
        <f t="shared" si="203"/>
        <v/>
      </c>
      <c r="R249" s="22" t="str">
        <f t="shared" si="204"/>
        <v/>
      </c>
      <c r="S249" s="22" t="str">
        <f t="shared" si="205"/>
        <v/>
      </c>
      <c r="T249" s="22" t="str">
        <f t="shared" si="206"/>
        <v/>
      </c>
      <c r="V249" s="21" t="str">
        <f t="shared" si="207"/>
        <v>Apprenant 237</v>
      </c>
      <c r="W249" s="22" t="str">
        <f>IF(AND(OR('Choix pédagogiques'!$C$3=1,'Choix pédagogiques'!$C$3=2),$BM249=1),B249,IF(AND('Choix pédagogiques'!$C$3=3,$BO249=1),B249,""))</f>
        <v/>
      </c>
      <c r="X249" s="22" t="str">
        <f>IF(AND(OR('Choix pédagogiques'!$C$3=1,'Choix pédagogiques'!$C$3=2),$BM249=1),C249,IF(AND('Choix pédagogiques'!$C$3=3,$BO249=1),C249,""))</f>
        <v/>
      </c>
      <c r="Y249" s="22" t="str">
        <f>IF(AND(OR('Choix pédagogiques'!$C$3=1,'Choix pédagogiques'!$C$3=2),$BM249=1),D249,IF(AND('Choix pédagogiques'!$C$3=3,$BO249=1),D249,""))</f>
        <v/>
      </c>
      <c r="Z249" s="22" t="str">
        <f t="shared" si="208"/>
        <v/>
      </c>
      <c r="AA249" s="21" t="str">
        <f t="shared" si="209"/>
        <v>Apprenant 237 ou 237'</v>
      </c>
      <c r="AB249" s="22" t="str">
        <f>IF(AND(OR('Choix pédagogiques'!$C$3=1,'Choix pédagogiques'!$C$3=2),$BN249=1),G249,IF(AND('Choix pédagogiques'!$C$3=3,$BO249=1),G249,""))</f>
        <v/>
      </c>
      <c r="AC249" s="22" t="str">
        <f>IF(AND(OR('Choix pédagogiques'!$C$3=1,'Choix pédagogiques'!$C$3=2),$BN249=1),H249,IF(AND('Choix pédagogiques'!$C$3=3,$BO249=1),H249,""))</f>
        <v/>
      </c>
      <c r="AD249" s="22" t="str">
        <f>IF(AND(OR('Choix pédagogiques'!$C$3=1,'Choix pédagogiques'!$C$3=2),$BN249=1),I249,IF(AND('Choix pédagogiques'!$C$3=3,$BO249=1),I249,""))</f>
        <v/>
      </c>
      <c r="AE249" s="22" t="str">
        <f t="shared" si="210"/>
        <v/>
      </c>
      <c r="AF249" s="21" t="str">
        <f t="shared" si="211"/>
        <v>Apprenant 237</v>
      </c>
      <c r="AG249" s="22" t="str">
        <f t="shared" si="185"/>
        <v/>
      </c>
      <c r="AH249" s="22" t="str">
        <f t="shared" si="186"/>
        <v/>
      </c>
      <c r="AI249" s="22" t="str">
        <f t="shared" si="187"/>
        <v/>
      </c>
      <c r="AJ249" s="22" t="str">
        <f t="shared" si="212"/>
        <v/>
      </c>
      <c r="AK249" s="21" t="str">
        <f t="shared" si="213"/>
        <v>Apprenant 237 ou 237'</v>
      </c>
      <c r="AL249" s="22" t="str">
        <f t="shared" si="188"/>
        <v/>
      </c>
      <c r="AM249" s="22" t="str">
        <f t="shared" si="189"/>
        <v/>
      </c>
      <c r="AN249" s="22" t="str">
        <f t="shared" si="190"/>
        <v/>
      </c>
      <c r="AO249" s="22" t="str">
        <f t="shared" si="214"/>
        <v/>
      </c>
      <c r="AQ249" s="21" t="str">
        <f t="shared" si="215"/>
        <v>Apprenant 237</v>
      </c>
      <c r="AR249" s="49" t="str">
        <f>IF(AND('Choix pédagogiques'!$C$4&lt;&gt;"?",'Choix pédagogiques'!$C$5&lt;&gt;"?",W249&lt;&gt;""),(W249-'Choix pédagogiques'!$C$4)/('Choix pédagogiques'!$C$5-'Choix pédagogiques'!$C$4),"")</f>
        <v/>
      </c>
      <c r="AS249" s="49" t="str">
        <f>IF(AND('Choix pédagogiques'!$C$4&lt;&gt;"?",'Choix pédagogiques'!$C$5&lt;&gt;"?",X249&lt;&gt;""),(X249-'Choix pédagogiques'!$C$4)/('Choix pédagogiques'!$C$5-'Choix pédagogiques'!$C$4),"")</f>
        <v/>
      </c>
      <c r="AT249" s="49" t="str">
        <f>IF(AND('Choix pédagogiques'!$C$4&lt;&gt;"?",'Choix pédagogiques'!$C$5&lt;&gt;"?",Y249&lt;&gt;""),(Y249-'Choix pédagogiques'!$C$4)/('Choix pédagogiques'!$C$5-'Choix pédagogiques'!$C$4),"")</f>
        <v/>
      </c>
      <c r="AU249" s="22" t="str">
        <f t="shared" si="216"/>
        <v/>
      </c>
      <c r="AV249" s="21" t="str">
        <f t="shared" si="217"/>
        <v>Apprenant 237 ou 237'</v>
      </c>
      <c r="AW249" s="49" t="str">
        <f>IF(AND('Choix pédagogiques'!$C$4&lt;&gt;"?",'Choix pédagogiques'!$C$5&lt;&gt;"?",AB249&lt;&gt;""),(AB249-'Choix pédagogiques'!$C$4)/('Choix pédagogiques'!$C$5-'Choix pédagogiques'!$C$4),"")</f>
        <v/>
      </c>
      <c r="AX249" s="49" t="str">
        <f>IF(AND('Choix pédagogiques'!$C$4&lt;&gt;"?",'Choix pédagogiques'!$C$5&lt;&gt;"?",AC249&lt;&gt;""),(AC249-'Choix pédagogiques'!$C$4)/('Choix pédagogiques'!$C$5-'Choix pédagogiques'!$C$4),"")</f>
        <v/>
      </c>
      <c r="AY249" s="49" t="str">
        <f>IF(AND('Choix pédagogiques'!$C$4&lt;&gt;"?",'Choix pédagogiques'!$C$5&lt;&gt;"?",AD249&lt;&gt;""),(AD249-'Choix pédagogiques'!$C$4)/('Choix pédagogiques'!$C$5-'Choix pédagogiques'!$C$4),"")</f>
        <v/>
      </c>
      <c r="AZ249" s="22" t="str">
        <f t="shared" si="218"/>
        <v/>
      </c>
      <c r="BA249" s="21" t="str">
        <f t="shared" si="219"/>
        <v>Apprenant 237</v>
      </c>
      <c r="BB249" s="49" t="str">
        <f t="shared" si="191"/>
        <v/>
      </c>
      <c r="BC249" s="49" t="str">
        <f t="shared" si="192"/>
        <v/>
      </c>
      <c r="BD249" s="49" t="str">
        <f t="shared" si="193"/>
        <v/>
      </c>
      <c r="BE249" s="22" t="str">
        <f t="shared" si="220"/>
        <v/>
      </c>
      <c r="BF249" s="21" t="str">
        <f t="shared" si="221"/>
        <v>Apprenant 237 ou 237'</v>
      </c>
      <c r="BG249" s="49" t="str">
        <f t="shared" si="194"/>
        <v/>
      </c>
      <c r="BH249" s="49" t="str">
        <f t="shared" si="195"/>
        <v/>
      </c>
      <c r="BI249" s="49" t="str">
        <f t="shared" si="196"/>
        <v/>
      </c>
      <c r="BJ249" s="22" t="str">
        <f t="shared" si="222"/>
        <v/>
      </c>
      <c r="BL249" s="21"/>
      <c r="BM249" s="21" t="str">
        <f>IF(OR(COUNT(B249:D1248)=0,AND('Choix pédagogiques'!$C$3&lt;&gt;1,'Choix pédagogiques'!$C$3&lt;&gt;2)),"",IF(AND(OR('Choix pédagogiques'!$C$3=1,'Choix pédagogiques'!$C$3=2),$B249&lt;&gt;"",$C249&lt;&gt;"",$D249&lt;&gt;""),1,0))</f>
        <v/>
      </c>
      <c r="BN249" s="21" t="str">
        <f>IF(OR(COUNT(G249:I1248)=0,AND('Choix pédagogiques'!$C$3&lt;&gt;1,'Choix pédagogiques'!$C$3&lt;&gt;2)),"",IF(AND(OR('Choix pédagogiques'!$C$3=1,'Choix pédagogiques'!$C$3=2),AND($G249&lt;&gt;"",$H249&lt;&gt;"",$I249&lt;&gt;"")),1,0))</f>
        <v/>
      </c>
      <c r="BO249" s="21" t="str">
        <f>IF(OR(COUNT(B249:D1248)=0,COUNT(G249:I1248)=0,'Choix pédagogiques'!C$3&lt;&gt;3),"",IF(AND('Choix pédagogiques'!$C$3=3,$B249&lt;&gt;"",$C249&lt;&gt;"",$D249&lt;&gt;"",$G249&lt;&gt;"",$H249&lt;&gt;"",$I249&lt;&gt;""),1,0))</f>
        <v/>
      </c>
      <c r="BR249" s="21">
        <v>448</v>
      </c>
      <c r="BS249" s="21">
        <v>1986</v>
      </c>
      <c r="BT249"/>
    </row>
    <row r="250" spans="1:72" s="23" customFormat="1" ht="18" customHeight="1" x14ac:dyDescent="0.3">
      <c r="A250" s="35" t="s">
        <v>240</v>
      </c>
      <c r="B250" s="37"/>
      <c r="C250" s="37"/>
      <c r="D250" s="37"/>
      <c r="E250" s="37"/>
      <c r="F250" s="35" t="s">
        <v>1248</v>
      </c>
      <c r="G250" s="37"/>
      <c r="H250" s="37"/>
      <c r="I250" s="37"/>
      <c r="J250" s="37"/>
      <c r="K250" s="21" t="str">
        <f t="shared" si="197"/>
        <v>Apprenant 238</v>
      </c>
      <c r="L250" s="22" t="str">
        <f t="shared" si="198"/>
        <v/>
      </c>
      <c r="M250" s="22" t="str">
        <f t="shared" si="199"/>
        <v/>
      </c>
      <c r="N250" s="22" t="str">
        <f t="shared" si="200"/>
        <v/>
      </c>
      <c r="O250" s="22" t="str">
        <f t="shared" si="201"/>
        <v/>
      </c>
      <c r="P250" s="21" t="str">
        <f t="shared" si="202"/>
        <v>Apprenant 238 ou 238'</v>
      </c>
      <c r="Q250" s="22" t="str">
        <f t="shared" si="203"/>
        <v/>
      </c>
      <c r="R250" s="22" t="str">
        <f t="shared" si="204"/>
        <v/>
      </c>
      <c r="S250" s="22" t="str">
        <f t="shared" si="205"/>
        <v/>
      </c>
      <c r="T250" s="22" t="str">
        <f t="shared" si="206"/>
        <v/>
      </c>
      <c r="V250" s="21" t="str">
        <f t="shared" si="207"/>
        <v>Apprenant 238</v>
      </c>
      <c r="W250" s="22" t="str">
        <f>IF(AND(OR('Choix pédagogiques'!$C$3=1,'Choix pédagogiques'!$C$3=2),$BM250=1),B250,IF(AND('Choix pédagogiques'!$C$3=3,$BO250=1),B250,""))</f>
        <v/>
      </c>
      <c r="X250" s="22" t="str">
        <f>IF(AND(OR('Choix pédagogiques'!$C$3=1,'Choix pédagogiques'!$C$3=2),$BM250=1),C250,IF(AND('Choix pédagogiques'!$C$3=3,$BO250=1),C250,""))</f>
        <v/>
      </c>
      <c r="Y250" s="22" t="str">
        <f>IF(AND(OR('Choix pédagogiques'!$C$3=1,'Choix pédagogiques'!$C$3=2),$BM250=1),D250,IF(AND('Choix pédagogiques'!$C$3=3,$BO250=1),D250,""))</f>
        <v/>
      </c>
      <c r="Z250" s="22" t="str">
        <f t="shared" si="208"/>
        <v/>
      </c>
      <c r="AA250" s="21" t="str">
        <f t="shared" si="209"/>
        <v>Apprenant 238 ou 238'</v>
      </c>
      <c r="AB250" s="22" t="str">
        <f>IF(AND(OR('Choix pédagogiques'!$C$3=1,'Choix pédagogiques'!$C$3=2),$BN250=1),G250,IF(AND('Choix pédagogiques'!$C$3=3,$BO250=1),G250,""))</f>
        <v/>
      </c>
      <c r="AC250" s="22" t="str">
        <f>IF(AND(OR('Choix pédagogiques'!$C$3=1,'Choix pédagogiques'!$C$3=2),$BN250=1),H250,IF(AND('Choix pédagogiques'!$C$3=3,$BO250=1),H250,""))</f>
        <v/>
      </c>
      <c r="AD250" s="22" t="str">
        <f>IF(AND(OR('Choix pédagogiques'!$C$3=1,'Choix pédagogiques'!$C$3=2),$BN250=1),I250,IF(AND('Choix pédagogiques'!$C$3=3,$BO250=1),I250,""))</f>
        <v/>
      </c>
      <c r="AE250" s="22" t="str">
        <f t="shared" si="210"/>
        <v/>
      </c>
      <c r="AF250" s="21" t="str">
        <f t="shared" si="211"/>
        <v>Apprenant 238</v>
      </c>
      <c r="AG250" s="22" t="str">
        <f t="shared" si="185"/>
        <v/>
      </c>
      <c r="AH250" s="22" t="str">
        <f t="shared" si="186"/>
        <v/>
      </c>
      <c r="AI250" s="22" t="str">
        <f t="shared" si="187"/>
        <v/>
      </c>
      <c r="AJ250" s="22" t="str">
        <f t="shared" si="212"/>
        <v/>
      </c>
      <c r="AK250" s="21" t="str">
        <f t="shared" si="213"/>
        <v>Apprenant 238 ou 238'</v>
      </c>
      <c r="AL250" s="22" t="str">
        <f t="shared" si="188"/>
        <v/>
      </c>
      <c r="AM250" s="22" t="str">
        <f t="shared" si="189"/>
        <v/>
      </c>
      <c r="AN250" s="22" t="str">
        <f t="shared" si="190"/>
        <v/>
      </c>
      <c r="AO250" s="22" t="str">
        <f t="shared" si="214"/>
        <v/>
      </c>
      <c r="AQ250" s="21" t="str">
        <f t="shared" si="215"/>
        <v>Apprenant 238</v>
      </c>
      <c r="AR250" s="49" t="str">
        <f>IF(AND('Choix pédagogiques'!$C$4&lt;&gt;"?",'Choix pédagogiques'!$C$5&lt;&gt;"?",W250&lt;&gt;""),(W250-'Choix pédagogiques'!$C$4)/('Choix pédagogiques'!$C$5-'Choix pédagogiques'!$C$4),"")</f>
        <v/>
      </c>
      <c r="AS250" s="49" t="str">
        <f>IF(AND('Choix pédagogiques'!$C$4&lt;&gt;"?",'Choix pédagogiques'!$C$5&lt;&gt;"?",X250&lt;&gt;""),(X250-'Choix pédagogiques'!$C$4)/('Choix pédagogiques'!$C$5-'Choix pédagogiques'!$C$4),"")</f>
        <v/>
      </c>
      <c r="AT250" s="49" t="str">
        <f>IF(AND('Choix pédagogiques'!$C$4&lt;&gt;"?",'Choix pédagogiques'!$C$5&lt;&gt;"?",Y250&lt;&gt;""),(Y250-'Choix pédagogiques'!$C$4)/('Choix pédagogiques'!$C$5-'Choix pédagogiques'!$C$4),"")</f>
        <v/>
      </c>
      <c r="AU250" s="22" t="str">
        <f t="shared" si="216"/>
        <v/>
      </c>
      <c r="AV250" s="21" t="str">
        <f t="shared" si="217"/>
        <v>Apprenant 238 ou 238'</v>
      </c>
      <c r="AW250" s="49" t="str">
        <f>IF(AND('Choix pédagogiques'!$C$4&lt;&gt;"?",'Choix pédagogiques'!$C$5&lt;&gt;"?",AB250&lt;&gt;""),(AB250-'Choix pédagogiques'!$C$4)/('Choix pédagogiques'!$C$5-'Choix pédagogiques'!$C$4),"")</f>
        <v/>
      </c>
      <c r="AX250" s="49" t="str">
        <f>IF(AND('Choix pédagogiques'!$C$4&lt;&gt;"?",'Choix pédagogiques'!$C$5&lt;&gt;"?",AC250&lt;&gt;""),(AC250-'Choix pédagogiques'!$C$4)/('Choix pédagogiques'!$C$5-'Choix pédagogiques'!$C$4),"")</f>
        <v/>
      </c>
      <c r="AY250" s="49" t="str">
        <f>IF(AND('Choix pédagogiques'!$C$4&lt;&gt;"?",'Choix pédagogiques'!$C$5&lt;&gt;"?",AD250&lt;&gt;""),(AD250-'Choix pédagogiques'!$C$4)/('Choix pédagogiques'!$C$5-'Choix pédagogiques'!$C$4),"")</f>
        <v/>
      </c>
      <c r="AZ250" s="22" t="str">
        <f t="shared" si="218"/>
        <v/>
      </c>
      <c r="BA250" s="21" t="str">
        <f t="shared" si="219"/>
        <v>Apprenant 238</v>
      </c>
      <c r="BB250" s="49" t="str">
        <f t="shared" si="191"/>
        <v/>
      </c>
      <c r="BC250" s="49" t="str">
        <f t="shared" si="192"/>
        <v/>
      </c>
      <c r="BD250" s="49" t="str">
        <f t="shared" si="193"/>
        <v/>
      </c>
      <c r="BE250" s="22" t="str">
        <f t="shared" si="220"/>
        <v/>
      </c>
      <c r="BF250" s="21" t="str">
        <f t="shared" si="221"/>
        <v>Apprenant 238 ou 238'</v>
      </c>
      <c r="BG250" s="49" t="str">
        <f t="shared" si="194"/>
        <v/>
      </c>
      <c r="BH250" s="49" t="str">
        <f t="shared" si="195"/>
        <v/>
      </c>
      <c r="BI250" s="49" t="str">
        <f t="shared" si="196"/>
        <v/>
      </c>
      <c r="BJ250" s="22" t="str">
        <f t="shared" si="222"/>
        <v/>
      </c>
      <c r="BL250" s="21"/>
      <c r="BM250" s="21" t="str">
        <f>IF(OR(COUNT(B250:D1249)=0,AND('Choix pédagogiques'!$C$3&lt;&gt;1,'Choix pédagogiques'!$C$3&lt;&gt;2)),"",IF(AND(OR('Choix pédagogiques'!$C$3=1,'Choix pédagogiques'!$C$3=2),$B250&lt;&gt;"",$C250&lt;&gt;"",$D250&lt;&gt;""),1,0))</f>
        <v/>
      </c>
      <c r="BN250" s="21" t="str">
        <f>IF(OR(COUNT(G250:I1249)=0,AND('Choix pédagogiques'!$C$3&lt;&gt;1,'Choix pédagogiques'!$C$3&lt;&gt;2)),"",IF(AND(OR('Choix pédagogiques'!$C$3=1,'Choix pédagogiques'!$C$3=2),AND($G250&lt;&gt;"",$H250&lt;&gt;"",$I250&lt;&gt;"")),1,0))</f>
        <v/>
      </c>
      <c r="BO250" s="21" t="str">
        <f>IF(OR(COUNT(B250:D1249)=0,COUNT(G250:I1249)=0,'Choix pédagogiques'!C$3&lt;&gt;3),"",IF(AND('Choix pédagogiques'!$C$3=3,$B250&lt;&gt;"",$C250&lt;&gt;"",$D250&lt;&gt;"",$G250&lt;&gt;"",$H250&lt;&gt;"",$I250&lt;&gt;""),1,0))</f>
        <v/>
      </c>
      <c r="BR250" s="21">
        <v>634</v>
      </c>
      <c r="BS250" s="21">
        <v>1523</v>
      </c>
      <c r="BT250"/>
    </row>
    <row r="251" spans="1:72" s="23" customFormat="1" ht="18" customHeight="1" x14ac:dyDescent="0.3">
      <c r="A251" s="35" t="s">
        <v>241</v>
      </c>
      <c r="B251" s="37"/>
      <c r="C251" s="37"/>
      <c r="D251" s="37"/>
      <c r="E251" s="37"/>
      <c r="F251" s="35" t="s">
        <v>1249</v>
      </c>
      <c r="G251" s="37"/>
      <c r="H251" s="37"/>
      <c r="I251" s="37"/>
      <c r="J251" s="37"/>
      <c r="K251" s="21" t="str">
        <f t="shared" si="197"/>
        <v>Apprenant 239</v>
      </c>
      <c r="L251" s="22" t="str">
        <f t="shared" si="198"/>
        <v/>
      </c>
      <c r="M251" s="22" t="str">
        <f t="shared" si="199"/>
        <v/>
      </c>
      <c r="N251" s="22" t="str">
        <f t="shared" si="200"/>
        <v/>
      </c>
      <c r="O251" s="22" t="str">
        <f t="shared" si="201"/>
        <v/>
      </c>
      <c r="P251" s="21" t="str">
        <f t="shared" si="202"/>
        <v>Apprenant 239 ou 239'</v>
      </c>
      <c r="Q251" s="22" t="str">
        <f t="shared" si="203"/>
        <v/>
      </c>
      <c r="R251" s="22" t="str">
        <f t="shared" si="204"/>
        <v/>
      </c>
      <c r="S251" s="22" t="str">
        <f t="shared" si="205"/>
        <v/>
      </c>
      <c r="T251" s="22" t="str">
        <f t="shared" si="206"/>
        <v/>
      </c>
      <c r="V251" s="21" t="str">
        <f t="shared" si="207"/>
        <v>Apprenant 239</v>
      </c>
      <c r="W251" s="22" t="str">
        <f>IF(AND(OR('Choix pédagogiques'!$C$3=1,'Choix pédagogiques'!$C$3=2),$BM251=1),B251,IF(AND('Choix pédagogiques'!$C$3=3,$BO251=1),B251,""))</f>
        <v/>
      </c>
      <c r="X251" s="22" t="str">
        <f>IF(AND(OR('Choix pédagogiques'!$C$3=1,'Choix pédagogiques'!$C$3=2),$BM251=1),C251,IF(AND('Choix pédagogiques'!$C$3=3,$BO251=1),C251,""))</f>
        <v/>
      </c>
      <c r="Y251" s="22" t="str">
        <f>IF(AND(OR('Choix pédagogiques'!$C$3=1,'Choix pédagogiques'!$C$3=2),$BM251=1),D251,IF(AND('Choix pédagogiques'!$C$3=3,$BO251=1),D251,""))</f>
        <v/>
      </c>
      <c r="Z251" s="22" t="str">
        <f t="shared" si="208"/>
        <v/>
      </c>
      <c r="AA251" s="21" t="str">
        <f t="shared" si="209"/>
        <v>Apprenant 239 ou 239'</v>
      </c>
      <c r="AB251" s="22" t="str">
        <f>IF(AND(OR('Choix pédagogiques'!$C$3=1,'Choix pédagogiques'!$C$3=2),$BN251=1),G251,IF(AND('Choix pédagogiques'!$C$3=3,$BO251=1),G251,""))</f>
        <v/>
      </c>
      <c r="AC251" s="22" t="str">
        <f>IF(AND(OR('Choix pédagogiques'!$C$3=1,'Choix pédagogiques'!$C$3=2),$BN251=1),H251,IF(AND('Choix pédagogiques'!$C$3=3,$BO251=1),H251,""))</f>
        <v/>
      </c>
      <c r="AD251" s="22" t="str">
        <f>IF(AND(OR('Choix pédagogiques'!$C$3=1,'Choix pédagogiques'!$C$3=2),$BN251=1),I251,IF(AND('Choix pédagogiques'!$C$3=3,$BO251=1),I251,""))</f>
        <v/>
      </c>
      <c r="AE251" s="22" t="str">
        <f t="shared" si="210"/>
        <v/>
      </c>
      <c r="AF251" s="21" t="str">
        <f t="shared" si="211"/>
        <v>Apprenant 239</v>
      </c>
      <c r="AG251" s="22" t="str">
        <f t="shared" si="185"/>
        <v/>
      </c>
      <c r="AH251" s="22" t="str">
        <f t="shared" si="186"/>
        <v/>
      </c>
      <c r="AI251" s="22" t="str">
        <f t="shared" si="187"/>
        <v/>
      </c>
      <c r="AJ251" s="22" t="str">
        <f t="shared" si="212"/>
        <v/>
      </c>
      <c r="AK251" s="21" t="str">
        <f t="shared" si="213"/>
        <v>Apprenant 239 ou 239'</v>
      </c>
      <c r="AL251" s="22" t="str">
        <f t="shared" si="188"/>
        <v/>
      </c>
      <c r="AM251" s="22" t="str">
        <f t="shared" si="189"/>
        <v/>
      </c>
      <c r="AN251" s="22" t="str">
        <f t="shared" si="190"/>
        <v/>
      </c>
      <c r="AO251" s="22" t="str">
        <f t="shared" si="214"/>
        <v/>
      </c>
      <c r="AQ251" s="21" t="str">
        <f t="shared" si="215"/>
        <v>Apprenant 239</v>
      </c>
      <c r="AR251" s="49" t="str">
        <f>IF(AND('Choix pédagogiques'!$C$4&lt;&gt;"?",'Choix pédagogiques'!$C$5&lt;&gt;"?",W251&lt;&gt;""),(W251-'Choix pédagogiques'!$C$4)/('Choix pédagogiques'!$C$5-'Choix pédagogiques'!$C$4),"")</f>
        <v/>
      </c>
      <c r="AS251" s="49" t="str">
        <f>IF(AND('Choix pédagogiques'!$C$4&lt;&gt;"?",'Choix pédagogiques'!$C$5&lt;&gt;"?",X251&lt;&gt;""),(X251-'Choix pédagogiques'!$C$4)/('Choix pédagogiques'!$C$5-'Choix pédagogiques'!$C$4),"")</f>
        <v/>
      </c>
      <c r="AT251" s="49" t="str">
        <f>IF(AND('Choix pédagogiques'!$C$4&lt;&gt;"?",'Choix pédagogiques'!$C$5&lt;&gt;"?",Y251&lt;&gt;""),(Y251-'Choix pédagogiques'!$C$4)/('Choix pédagogiques'!$C$5-'Choix pédagogiques'!$C$4),"")</f>
        <v/>
      </c>
      <c r="AU251" s="22" t="str">
        <f t="shared" si="216"/>
        <v/>
      </c>
      <c r="AV251" s="21" t="str">
        <f t="shared" si="217"/>
        <v>Apprenant 239 ou 239'</v>
      </c>
      <c r="AW251" s="49" t="str">
        <f>IF(AND('Choix pédagogiques'!$C$4&lt;&gt;"?",'Choix pédagogiques'!$C$5&lt;&gt;"?",AB251&lt;&gt;""),(AB251-'Choix pédagogiques'!$C$4)/('Choix pédagogiques'!$C$5-'Choix pédagogiques'!$C$4),"")</f>
        <v/>
      </c>
      <c r="AX251" s="49" t="str">
        <f>IF(AND('Choix pédagogiques'!$C$4&lt;&gt;"?",'Choix pédagogiques'!$C$5&lt;&gt;"?",AC251&lt;&gt;""),(AC251-'Choix pédagogiques'!$C$4)/('Choix pédagogiques'!$C$5-'Choix pédagogiques'!$C$4),"")</f>
        <v/>
      </c>
      <c r="AY251" s="49" t="str">
        <f>IF(AND('Choix pédagogiques'!$C$4&lt;&gt;"?",'Choix pédagogiques'!$C$5&lt;&gt;"?",AD251&lt;&gt;""),(AD251-'Choix pédagogiques'!$C$4)/('Choix pédagogiques'!$C$5-'Choix pédagogiques'!$C$4),"")</f>
        <v/>
      </c>
      <c r="AZ251" s="22" t="str">
        <f t="shared" si="218"/>
        <v/>
      </c>
      <c r="BA251" s="21" t="str">
        <f t="shared" si="219"/>
        <v>Apprenant 239</v>
      </c>
      <c r="BB251" s="49" t="str">
        <f t="shared" si="191"/>
        <v/>
      </c>
      <c r="BC251" s="49" t="str">
        <f t="shared" si="192"/>
        <v/>
      </c>
      <c r="BD251" s="49" t="str">
        <f t="shared" si="193"/>
        <v/>
      </c>
      <c r="BE251" s="22" t="str">
        <f t="shared" si="220"/>
        <v/>
      </c>
      <c r="BF251" s="21" t="str">
        <f t="shared" si="221"/>
        <v>Apprenant 239 ou 239'</v>
      </c>
      <c r="BG251" s="49" t="str">
        <f t="shared" si="194"/>
        <v/>
      </c>
      <c r="BH251" s="49" t="str">
        <f t="shared" si="195"/>
        <v/>
      </c>
      <c r="BI251" s="49" t="str">
        <f t="shared" si="196"/>
        <v/>
      </c>
      <c r="BJ251" s="22" t="str">
        <f t="shared" si="222"/>
        <v/>
      </c>
      <c r="BL251" s="21"/>
      <c r="BM251" s="21" t="str">
        <f>IF(OR(COUNT(B251:D1250)=0,AND('Choix pédagogiques'!$C$3&lt;&gt;1,'Choix pédagogiques'!$C$3&lt;&gt;2)),"",IF(AND(OR('Choix pédagogiques'!$C$3=1,'Choix pédagogiques'!$C$3=2),$B251&lt;&gt;"",$C251&lt;&gt;"",$D251&lt;&gt;""),1,0))</f>
        <v/>
      </c>
      <c r="BN251" s="21" t="str">
        <f>IF(OR(COUNT(G251:I1250)=0,AND('Choix pédagogiques'!$C$3&lt;&gt;1,'Choix pédagogiques'!$C$3&lt;&gt;2)),"",IF(AND(OR('Choix pédagogiques'!$C$3=1,'Choix pédagogiques'!$C$3=2),AND($G251&lt;&gt;"",$H251&lt;&gt;"",$I251&lt;&gt;"")),1,0))</f>
        <v/>
      </c>
      <c r="BO251" s="21" t="str">
        <f>IF(OR(COUNT(B251:D1250)=0,COUNT(G251:I1250)=0,'Choix pédagogiques'!C$3&lt;&gt;3),"",IF(AND('Choix pédagogiques'!$C$3=3,$B251&lt;&gt;"",$C251&lt;&gt;"",$D251&lt;&gt;"",$G251&lt;&gt;"",$H251&lt;&gt;"",$I251&lt;&gt;""),1,0))</f>
        <v/>
      </c>
      <c r="BR251" s="21">
        <v>243</v>
      </c>
      <c r="BS251" s="21">
        <v>1139</v>
      </c>
      <c r="BT251"/>
    </row>
    <row r="252" spans="1:72" s="23" customFormat="1" ht="18" customHeight="1" x14ac:dyDescent="0.3">
      <c r="A252" s="35" t="s">
        <v>242</v>
      </c>
      <c r="B252" s="37"/>
      <c r="C252" s="37"/>
      <c r="D252" s="37"/>
      <c r="E252" s="37"/>
      <c r="F252" s="35" t="s">
        <v>1250</v>
      </c>
      <c r="G252" s="37"/>
      <c r="H252" s="37"/>
      <c r="I252" s="37"/>
      <c r="J252" s="37"/>
      <c r="K252" s="21" t="str">
        <f t="shared" si="197"/>
        <v>Apprenant 240</v>
      </c>
      <c r="L252" s="22" t="str">
        <f t="shared" si="198"/>
        <v/>
      </c>
      <c r="M252" s="22" t="str">
        <f t="shared" si="199"/>
        <v/>
      </c>
      <c r="N252" s="22" t="str">
        <f t="shared" si="200"/>
        <v/>
      </c>
      <c r="O252" s="22" t="str">
        <f t="shared" si="201"/>
        <v/>
      </c>
      <c r="P252" s="21" t="str">
        <f t="shared" si="202"/>
        <v>Apprenant 240 ou 240'</v>
      </c>
      <c r="Q252" s="22" t="str">
        <f t="shared" si="203"/>
        <v/>
      </c>
      <c r="R252" s="22" t="str">
        <f t="shared" si="204"/>
        <v/>
      </c>
      <c r="S252" s="22" t="str">
        <f t="shared" si="205"/>
        <v/>
      </c>
      <c r="T252" s="22" t="str">
        <f t="shared" si="206"/>
        <v/>
      </c>
      <c r="V252" s="21" t="str">
        <f t="shared" si="207"/>
        <v>Apprenant 240</v>
      </c>
      <c r="W252" s="22" t="str">
        <f>IF(AND(OR('Choix pédagogiques'!$C$3=1,'Choix pédagogiques'!$C$3=2),$BM252=1),B252,IF(AND('Choix pédagogiques'!$C$3=3,$BO252=1),B252,""))</f>
        <v/>
      </c>
      <c r="X252" s="22" t="str">
        <f>IF(AND(OR('Choix pédagogiques'!$C$3=1,'Choix pédagogiques'!$C$3=2),$BM252=1),C252,IF(AND('Choix pédagogiques'!$C$3=3,$BO252=1),C252,""))</f>
        <v/>
      </c>
      <c r="Y252" s="22" t="str">
        <f>IF(AND(OR('Choix pédagogiques'!$C$3=1,'Choix pédagogiques'!$C$3=2),$BM252=1),D252,IF(AND('Choix pédagogiques'!$C$3=3,$BO252=1),D252,""))</f>
        <v/>
      </c>
      <c r="Z252" s="22" t="str">
        <f t="shared" si="208"/>
        <v/>
      </c>
      <c r="AA252" s="21" t="str">
        <f t="shared" si="209"/>
        <v>Apprenant 240 ou 240'</v>
      </c>
      <c r="AB252" s="22" t="str">
        <f>IF(AND(OR('Choix pédagogiques'!$C$3=1,'Choix pédagogiques'!$C$3=2),$BN252=1),G252,IF(AND('Choix pédagogiques'!$C$3=3,$BO252=1),G252,""))</f>
        <v/>
      </c>
      <c r="AC252" s="22" t="str">
        <f>IF(AND(OR('Choix pédagogiques'!$C$3=1,'Choix pédagogiques'!$C$3=2),$BN252=1),H252,IF(AND('Choix pédagogiques'!$C$3=3,$BO252=1),H252,""))</f>
        <v/>
      </c>
      <c r="AD252" s="22" t="str">
        <f>IF(AND(OR('Choix pédagogiques'!$C$3=1,'Choix pédagogiques'!$C$3=2),$BN252=1),I252,IF(AND('Choix pédagogiques'!$C$3=3,$BO252=1),I252,""))</f>
        <v/>
      </c>
      <c r="AE252" s="22" t="str">
        <f t="shared" si="210"/>
        <v/>
      </c>
      <c r="AF252" s="21" t="str">
        <f t="shared" si="211"/>
        <v>Apprenant 240</v>
      </c>
      <c r="AG252" s="22" t="str">
        <f t="shared" si="185"/>
        <v/>
      </c>
      <c r="AH252" s="22" t="str">
        <f t="shared" si="186"/>
        <v/>
      </c>
      <c r="AI252" s="22" t="str">
        <f t="shared" si="187"/>
        <v/>
      </c>
      <c r="AJ252" s="22" t="str">
        <f t="shared" si="212"/>
        <v/>
      </c>
      <c r="AK252" s="21" t="str">
        <f t="shared" si="213"/>
        <v>Apprenant 240 ou 240'</v>
      </c>
      <c r="AL252" s="22" t="str">
        <f t="shared" si="188"/>
        <v/>
      </c>
      <c r="AM252" s="22" t="str">
        <f t="shared" si="189"/>
        <v/>
      </c>
      <c r="AN252" s="22" t="str">
        <f t="shared" si="190"/>
        <v/>
      </c>
      <c r="AO252" s="22" t="str">
        <f t="shared" si="214"/>
        <v/>
      </c>
      <c r="AQ252" s="21" t="str">
        <f t="shared" si="215"/>
        <v>Apprenant 240</v>
      </c>
      <c r="AR252" s="49" t="str">
        <f>IF(AND('Choix pédagogiques'!$C$4&lt;&gt;"?",'Choix pédagogiques'!$C$5&lt;&gt;"?",W252&lt;&gt;""),(W252-'Choix pédagogiques'!$C$4)/('Choix pédagogiques'!$C$5-'Choix pédagogiques'!$C$4),"")</f>
        <v/>
      </c>
      <c r="AS252" s="49" t="str">
        <f>IF(AND('Choix pédagogiques'!$C$4&lt;&gt;"?",'Choix pédagogiques'!$C$5&lt;&gt;"?",X252&lt;&gt;""),(X252-'Choix pédagogiques'!$C$4)/('Choix pédagogiques'!$C$5-'Choix pédagogiques'!$C$4),"")</f>
        <v/>
      </c>
      <c r="AT252" s="49" t="str">
        <f>IF(AND('Choix pédagogiques'!$C$4&lt;&gt;"?",'Choix pédagogiques'!$C$5&lt;&gt;"?",Y252&lt;&gt;""),(Y252-'Choix pédagogiques'!$C$4)/('Choix pédagogiques'!$C$5-'Choix pédagogiques'!$C$4),"")</f>
        <v/>
      </c>
      <c r="AU252" s="22" t="str">
        <f t="shared" si="216"/>
        <v/>
      </c>
      <c r="AV252" s="21" t="str">
        <f t="shared" si="217"/>
        <v>Apprenant 240 ou 240'</v>
      </c>
      <c r="AW252" s="49" t="str">
        <f>IF(AND('Choix pédagogiques'!$C$4&lt;&gt;"?",'Choix pédagogiques'!$C$5&lt;&gt;"?",AB252&lt;&gt;""),(AB252-'Choix pédagogiques'!$C$4)/('Choix pédagogiques'!$C$5-'Choix pédagogiques'!$C$4),"")</f>
        <v/>
      </c>
      <c r="AX252" s="49" t="str">
        <f>IF(AND('Choix pédagogiques'!$C$4&lt;&gt;"?",'Choix pédagogiques'!$C$5&lt;&gt;"?",AC252&lt;&gt;""),(AC252-'Choix pédagogiques'!$C$4)/('Choix pédagogiques'!$C$5-'Choix pédagogiques'!$C$4),"")</f>
        <v/>
      </c>
      <c r="AY252" s="49" t="str">
        <f>IF(AND('Choix pédagogiques'!$C$4&lt;&gt;"?",'Choix pédagogiques'!$C$5&lt;&gt;"?",AD252&lt;&gt;""),(AD252-'Choix pédagogiques'!$C$4)/('Choix pédagogiques'!$C$5-'Choix pédagogiques'!$C$4),"")</f>
        <v/>
      </c>
      <c r="AZ252" s="22" t="str">
        <f t="shared" si="218"/>
        <v/>
      </c>
      <c r="BA252" s="21" t="str">
        <f t="shared" si="219"/>
        <v>Apprenant 240</v>
      </c>
      <c r="BB252" s="49" t="str">
        <f t="shared" si="191"/>
        <v/>
      </c>
      <c r="BC252" s="49" t="str">
        <f t="shared" si="192"/>
        <v/>
      </c>
      <c r="BD252" s="49" t="str">
        <f t="shared" si="193"/>
        <v/>
      </c>
      <c r="BE252" s="22" t="str">
        <f t="shared" si="220"/>
        <v/>
      </c>
      <c r="BF252" s="21" t="str">
        <f t="shared" si="221"/>
        <v>Apprenant 240 ou 240'</v>
      </c>
      <c r="BG252" s="49" t="str">
        <f t="shared" si="194"/>
        <v/>
      </c>
      <c r="BH252" s="49" t="str">
        <f t="shared" si="195"/>
        <v/>
      </c>
      <c r="BI252" s="49" t="str">
        <f t="shared" si="196"/>
        <v/>
      </c>
      <c r="BJ252" s="22" t="str">
        <f t="shared" si="222"/>
        <v/>
      </c>
      <c r="BL252" s="21"/>
      <c r="BM252" s="21" t="str">
        <f>IF(OR(COUNT(B252:D1251)=0,AND('Choix pédagogiques'!$C$3&lt;&gt;1,'Choix pédagogiques'!$C$3&lt;&gt;2)),"",IF(AND(OR('Choix pédagogiques'!$C$3=1,'Choix pédagogiques'!$C$3=2),$B252&lt;&gt;"",$C252&lt;&gt;"",$D252&lt;&gt;""),1,0))</f>
        <v/>
      </c>
      <c r="BN252" s="21" t="str">
        <f>IF(OR(COUNT(G252:I1251)=0,AND('Choix pédagogiques'!$C$3&lt;&gt;1,'Choix pédagogiques'!$C$3&lt;&gt;2)),"",IF(AND(OR('Choix pédagogiques'!$C$3=1,'Choix pédagogiques'!$C$3=2),AND($G252&lt;&gt;"",$H252&lt;&gt;"",$I252&lt;&gt;"")),1,0))</f>
        <v/>
      </c>
      <c r="BO252" s="21" t="str">
        <f>IF(OR(COUNT(B252:D1251)=0,COUNT(G252:I1251)=0,'Choix pédagogiques'!C$3&lt;&gt;3),"",IF(AND('Choix pédagogiques'!$C$3=3,$B252&lt;&gt;"",$C252&lt;&gt;"",$D252&lt;&gt;"",$G252&lt;&gt;"",$H252&lt;&gt;"",$I252&lt;&gt;""),1,0))</f>
        <v/>
      </c>
      <c r="BR252" s="21">
        <v>671</v>
      </c>
      <c r="BS252" s="21">
        <v>1397</v>
      </c>
      <c r="BT252"/>
    </row>
    <row r="253" spans="1:72" s="23" customFormat="1" ht="18" customHeight="1" x14ac:dyDescent="0.3">
      <c r="A253" s="35" t="s">
        <v>243</v>
      </c>
      <c r="B253" s="37"/>
      <c r="C253" s="37"/>
      <c r="D253" s="37"/>
      <c r="E253" s="37"/>
      <c r="F253" s="35" t="s">
        <v>1251</v>
      </c>
      <c r="G253" s="37"/>
      <c r="H253" s="37"/>
      <c r="I253" s="37"/>
      <c r="J253" s="37"/>
      <c r="K253" s="21" t="str">
        <f t="shared" si="197"/>
        <v>Apprenant 241</v>
      </c>
      <c r="L253" s="22" t="str">
        <f t="shared" si="198"/>
        <v/>
      </c>
      <c r="M253" s="22" t="str">
        <f t="shared" si="199"/>
        <v/>
      </c>
      <c r="N253" s="22" t="str">
        <f t="shared" si="200"/>
        <v/>
      </c>
      <c r="O253" s="22" t="str">
        <f t="shared" si="201"/>
        <v/>
      </c>
      <c r="P253" s="21" t="str">
        <f t="shared" si="202"/>
        <v>Apprenant 241 ou 241'</v>
      </c>
      <c r="Q253" s="22" t="str">
        <f t="shared" si="203"/>
        <v/>
      </c>
      <c r="R253" s="22" t="str">
        <f t="shared" si="204"/>
        <v/>
      </c>
      <c r="S253" s="22" t="str">
        <f t="shared" si="205"/>
        <v/>
      </c>
      <c r="T253" s="22" t="str">
        <f t="shared" si="206"/>
        <v/>
      </c>
      <c r="V253" s="21" t="str">
        <f t="shared" si="207"/>
        <v>Apprenant 241</v>
      </c>
      <c r="W253" s="22" t="str">
        <f>IF(AND(OR('Choix pédagogiques'!$C$3=1,'Choix pédagogiques'!$C$3=2),$BM253=1),B253,IF(AND('Choix pédagogiques'!$C$3=3,$BO253=1),B253,""))</f>
        <v/>
      </c>
      <c r="X253" s="22" t="str">
        <f>IF(AND(OR('Choix pédagogiques'!$C$3=1,'Choix pédagogiques'!$C$3=2),$BM253=1),C253,IF(AND('Choix pédagogiques'!$C$3=3,$BO253=1),C253,""))</f>
        <v/>
      </c>
      <c r="Y253" s="22" t="str">
        <f>IF(AND(OR('Choix pédagogiques'!$C$3=1,'Choix pédagogiques'!$C$3=2),$BM253=1),D253,IF(AND('Choix pédagogiques'!$C$3=3,$BO253=1),D253,""))</f>
        <v/>
      </c>
      <c r="Z253" s="22" t="str">
        <f t="shared" si="208"/>
        <v/>
      </c>
      <c r="AA253" s="21" t="str">
        <f t="shared" si="209"/>
        <v>Apprenant 241 ou 241'</v>
      </c>
      <c r="AB253" s="22" t="str">
        <f>IF(AND(OR('Choix pédagogiques'!$C$3=1,'Choix pédagogiques'!$C$3=2),$BN253=1),G253,IF(AND('Choix pédagogiques'!$C$3=3,$BO253=1),G253,""))</f>
        <v/>
      </c>
      <c r="AC253" s="22" t="str">
        <f>IF(AND(OR('Choix pédagogiques'!$C$3=1,'Choix pédagogiques'!$C$3=2),$BN253=1),H253,IF(AND('Choix pédagogiques'!$C$3=3,$BO253=1),H253,""))</f>
        <v/>
      </c>
      <c r="AD253" s="22" t="str">
        <f>IF(AND(OR('Choix pédagogiques'!$C$3=1,'Choix pédagogiques'!$C$3=2),$BN253=1),I253,IF(AND('Choix pédagogiques'!$C$3=3,$BO253=1),I253,""))</f>
        <v/>
      </c>
      <c r="AE253" s="22" t="str">
        <f t="shared" si="210"/>
        <v/>
      </c>
      <c r="AF253" s="21" t="str">
        <f t="shared" si="211"/>
        <v>Apprenant 241</v>
      </c>
      <c r="AG253" s="22" t="str">
        <f t="shared" si="185"/>
        <v/>
      </c>
      <c r="AH253" s="22" t="str">
        <f t="shared" si="186"/>
        <v/>
      </c>
      <c r="AI253" s="22" t="str">
        <f t="shared" si="187"/>
        <v/>
      </c>
      <c r="AJ253" s="22" t="str">
        <f t="shared" si="212"/>
        <v/>
      </c>
      <c r="AK253" s="21" t="str">
        <f t="shared" si="213"/>
        <v>Apprenant 241 ou 241'</v>
      </c>
      <c r="AL253" s="22" t="str">
        <f t="shared" si="188"/>
        <v/>
      </c>
      <c r="AM253" s="22" t="str">
        <f t="shared" si="189"/>
        <v/>
      </c>
      <c r="AN253" s="22" t="str">
        <f t="shared" si="190"/>
        <v/>
      </c>
      <c r="AO253" s="22" t="str">
        <f t="shared" si="214"/>
        <v/>
      </c>
      <c r="AQ253" s="21" t="str">
        <f t="shared" si="215"/>
        <v>Apprenant 241</v>
      </c>
      <c r="AR253" s="49" t="str">
        <f>IF(AND('Choix pédagogiques'!$C$4&lt;&gt;"?",'Choix pédagogiques'!$C$5&lt;&gt;"?",W253&lt;&gt;""),(W253-'Choix pédagogiques'!$C$4)/('Choix pédagogiques'!$C$5-'Choix pédagogiques'!$C$4),"")</f>
        <v/>
      </c>
      <c r="AS253" s="49" t="str">
        <f>IF(AND('Choix pédagogiques'!$C$4&lt;&gt;"?",'Choix pédagogiques'!$C$5&lt;&gt;"?",X253&lt;&gt;""),(X253-'Choix pédagogiques'!$C$4)/('Choix pédagogiques'!$C$5-'Choix pédagogiques'!$C$4),"")</f>
        <v/>
      </c>
      <c r="AT253" s="49" t="str">
        <f>IF(AND('Choix pédagogiques'!$C$4&lt;&gt;"?",'Choix pédagogiques'!$C$5&lt;&gt;"?",Y253&lt;&gt;""),(Y253-'Choix pédagogiques'!$C$4)/('Choix pédagogiques'!$C$5-'Choix pédagogiques'!$C$4),"")</f>
        <v/>
      </c>
      <c r="AU253" s="22" t="str">
        <f t="shared" si="216"/>
        <v/>
      </c>
      <c r="AV253" s="21" t="str">
        <f t="shared" si="217"/>
        <v>Apprenant 241 ou 241'</v>
      </c>
      <c r="AW253" s="49" t="str">
        <f>IF(AND('Choix pédagogiques'!$C$4&lt;&gt;"?",'Choix pédagogiques'!$C$5&lt;&gt;"?",AB253&lt;&gt;""),(AB253-'Choix pédagogiques'!$C$4)/('Choix pédagogiques'!$C$5-'Choix pédagogiques'!$C$4),"")</f>
        <v/>
      </c>
      <c r="AX253" s="49" t="str">
        <f>IF(AND('Choix pédagogiques'!$C$4&lt;&gt;"?",'Choix pédagogiques'!$C$5&lt;&gt;"?",AC253&lt;&gt;""),(AC253-'Choix pédagogiques'!$C$4)/('Choix pédagogiques'!$C$5-'Choix pédagogiques'!$C$4),"")</f>
        <v/>
      </c>
      <c r="AY253" s="49" t="str">
        <f>IF(AND('Choix pédagogiques'!$C$4&lt;&gt;"?",'Choix pédagogiques'!$C$5&lt;&gt;"?",AD253&lt;&gt;""),(AD253-'Choix pédagogiques'!$C$4)/('Choix pédagogiques'!$C$5-'Choix pédagogiques'!$C$4),"")</f>
        <v/>
      </c>
      <c r="AZ253" s="22" t="str">
        <f t="shared" si="218"/>
        <v/>
      </c>
      <c r="BA253" s="21" t="str">
        <f t="shared" si="219"/>
        <v>Apprenant 241</v>
      </c>
      <c r="BB253" s="49" t="str">
        <f t="shared" si="191"/>
        <v/>
      </c>
      <c r="BC253" s="49" t="str">
        <f t="shared" si="192"/>
        <v/>
      </c>
      <c r="BD253" s="49" t="str">
        <f t="shared" si="193"/>
        <v/>
      </c>
      <c r="BE253" s="22" t="str">
        <f t="shared" si="220"/>
        <v/>
      </c>
      <c r="BF253" s="21" t="str">
        <f t="shared" si="221"/>
        <v>Apprenant 241 ou 241'</v>
      </c>
      <c r="BG253" s="49" t="str">
        <f t="shared" si="194"/>
        <v/>
      </c>
      <c r="BH253" s="49" t="str">
        <f t="shared" si="195"/>
        <v/>
      </c>
      <c r="BI253" s="49" t="str">
        <f t="shared" si="196"/>
        <v/>
      </c>
      <c r="BJ253" s="22" t="str">
        <f t="shared" si="222"/>
        <v/>
      </c>
      <c r="BL253" s="21"/>
      <c r="BM253" s="21" t="str">
        <f>IF(OR(COUNT(B253:D1252)=0,AND('Choix pédagogiques'!$C$3&lt;&gt;1,'Choix pédagogiques'!$C$3&lt;&gt;2)),"",IF(AND(OR('Choix pédagogiques'!$C$3=1,'Choix pédagogiques'!$C$3=2),$B253&lt;&gt;"",$C253&lt;&gt;"",$D253&lt;&gt;""),1,0))</f>
        <v/>
      </c>
      <c r="BN253" s="21" t="str">
        <f>IF(OR(COUNT(G253:I1252)=0,AND('Choix pédagogiques'!$C$3&lt;&gt;1,'Choix pédagogiques'!$C$3&lt;&gt;2)),"",IF(AND(OR('Choix pédagogiques'!$C$3=1,'Choix pédagogiques'!$C$3=2),AND($G253&lt;&gt;"",$H253&lt;&gt;"",$I253&lt;&gt;"")),1,0))</f>
        <v/>
      </c>
      <c r="BO253" s="21" t="str">
        <f>IF(OR(COUNT(B253:D1252)=0,COUNT(G253:I1252)=0,'Choix pédagogiques'!C$3&lt;&gt;3),"",IF(AND('Choix pédagogiques'!$C$3=3,$B253&lt;&gt;"",$C253&lt;&gt;"",$D253&lt;&gt;"",$G253&lt;&gt;"",$H253&lt;&gt;"",$I253&lt;&gt;""),1,0))</f>
        <v/>
      </c>
      <c r="BR253" s="21">
        <v>716</v>
      </c>
      <c r="BS253" s="21">
        <v>1661</v>
      </c>
      <c r="BT253"/>
    </row>
    <row r="254" spans="1:72" s="23" customFormat="1" ht="18" customHeight="1" x14ac:dyDescent="0.3">
      <c r="A254" s="35" t="s">
        <v>244</v>
      </c>
      <c r="B254" s="37"/>
      <c r="C254" s="37"/>
      <c r="D254" s="37"/>
      <c r="E254" s="37"/>
      <c r="F254" s="35" t="s">
        <v>1252</v>
      </c>
      <c r="G254" s="37"/>
      <c r="H254" s="37"/>
      <c r="I254" s="37"/>
      <c r="J254" s="37"/>
      <c r="K254" s="21" t="str">
        <f t="shared" si="197"/>
        <v>Apprenant 242</v>
      </c>
      <c r="L254" s="22" t="str">
        <f t="shared" si="198"/>
        <v/>
      </c>
      <c r="M254" s="22" t="str">
        <f t="shared" si="199"/>
        <v/>
      </c>
      <c r="N254" s="22" t="str">
        <f t="shared" si="200"/>
        <v/>
      </c>
      <c r="O254" s="22" t="str">
        <f t="shared" si="201"/>
        <v/>
      </c>
      <c r="P254" s="21" t="str">
        <f t="shared" si="202"/>
        <v>Apprenant 242 ou 242'</v>
      </c>
      <c r="Q254" s="22" t="str">
        <f t="shared" si="203"/>
        <v/>
      </c>
      <c r="R254" s="22" t="str">
        <f t="shared" si="204"/>
        <v/>
      </c>
      <c r="S254" s="22" t="str">
        <f t="shared" si="205"/>
        <v/>
      </c>
      <c r="T254" s="22" t="str">
        <f t="shared" si="206"/>
        <v/>
      </c>
      <c r="V254" s="21" t="str">
        <f t="shared" si="207"/>
        <v>Apprenant 242</v>
      </c>
      <c r="W254" s="22" t="str">
        <f>IF(AND(OR('Choix pédagogiques'!$C$3=1,'Choix pédagogiques'!$C$3=2),$BM254=1),B254,IF(AND('Choix pédagogiques'!$C$3=3,$BO254=1),B254,""))</f>
        <v/>
      </c>
      <c r="X254" s="22" t="str">
        <f>IF(AND(OR('Choix pédagogiques'!$C$3=1,'Choix pédagogiques'!$C$3=2),$BM254=1),C254,IF(AND('Choix pédagogiques'!$C$3=3,$BO254=1),C254,""))</f>
        <v/>
      </c>
      <c r="Y254" s="22" t="str">
        <f>IF(AND(OR('Choix pédagogiques'!$C$3=1,'Choix pédagogiques'!$C$3=2),$BM254=1),D254,IF(AND('Choix pédagogiques'!$C$3=3,$BO254=1),D254,""))</f>
        <v/>
      </c>
      <c r="Z254" s="22" t="str">
        <f t="shared" si="208"/>
        <v/>
      </c>
      <c r="AA254" s="21" t="str">
        <f t="shared" si="209"/>
        <v>Apprenant 242 ou 242'</v>
      </c>
      <c r="AB254" s="22" t="str">
        <f>IF(AND(OR('Choix pédagogiques'!$C$3=1,'Choix pédagogiques'!$C$3=2),$BN254=1),G254,IF(AND('Choix pédagogiques'!$C$3=3,$BO254=1),G254,""))</f>
        <v/>
      </c>
      <c r="AC254" s="22" t="str">
        <f>IF(AND(OR('Choix pédagogiques'!$C$3=1,'Choix pédagogiques'!$C$3=2),$BN254=1),H254,IF(AND('Choix pédagogiques'!$C$3=3,$BO254=1),H254,""))</f>
        <v/>
      </c>
      <c r="AD254" s="22" t="str">
        <f>IF(AND(OR('Choix pédagogiques'!$C$3=1,'Choix pédagogiques'!$C$3=2),$BN254=1),I254,IF(AND('Choix pédagogiques'!$C$3=3,$BO254=1),I254,""))</f>
        <v/>
      </c>
      <c r="AE254" s="22" t="str">
        <f t="shared" si="210"/>
        <v/>
      </c>
      <c r="AF254" s="21" t="str">
        <f t="shared" si="211"/>
        <v>Apprenant 242</v>
      </c>
      <c r="AG254" s="22" t="str">
        <f t="shared" si="185"/>
        <v/>
      </c>
      <c r="AH254" s="22" t="str">
        <f t="shared" si="186"/>
        <v/>
      </c>
      <c r="AI254" s="22" t="str">
        <f t="shared" si="187"/>
        <v/>
      </c>
      <c r="AJ254" s="22" t="str">
        <f t="shared" si="212"/>
        <v/>
      </c>
      <c r="AK254" s="21" t="str">
        <f t="shared" si="213"/>
        <v>Apprenant 242 ou 242'</v>
      </c>
      <c r="AL254" s="22" t="str">
        <f t="shared" si="188"/>
        <v/>
      </c>
      <c r="AM254" s="22" t="str">
        <f t="shared" si="189"/>
        <v/>
      </c>
      <c r="AN254" s="22" t="str">
        <f t="shared" si="190"/>
        <v/>
      </c>
      <c r="AO254" s="22" t="str">
        <f t="shared" si="214"/>
        <v/>
      </c>
      <c r="AQ254" s="21" t="str">
        <f t="shared" si="215"/>
        <v>Apprenant 242</v>
      </c>
      <c r="AR254" s="49" t="str">
        <f>IF(AND('Choix pédagogiques'!$C$4&lt;&gt;"?",'Choix pédagogiques'!$C$5&lt;&gt;"?",W254&lt;&gt;""),(W254-'Choix pédagogiques'!$C$4)/('Choix pédagogiques'!$C$5-'Choix pédagogiques'!$C$4),"")</f>
        <v/>
      </c>
      <c r="AS254" s="49" t="str">
        <f>IF(AND('Choix pédagogiques'!$C$4&lt;&gt;"?",'Choix pédagogiques'!$C$5&lt;&gt;"?",X254&lt;&gt;""),(X254-'Choix pédagogiques'!$C$4)/('Choix pédagogiques'!$C$5-'Choix pédagogiques'!$C$4),"")</f>
        <v/>
      </c>
      <c r="AT254" s="49" t="str">
        <f>IF(AND('Choix pédagogiques'!$C$4&lt;&gt;"?",'Choix pédagogiques'!$C$5&lt;&gt;"?",Y254&lt;&gt;""),(Y254-'Choix pédagogiques'!$C$4)/('Choix pédagogiques'!$C$5-'Choix pédagogiques'!$C$4),"")</f>
        <v/>
      </c>
      <c r="AU254" s="22" t="str">
        <f t="shared" si="216"/>
        <v/>
      </c>
      <c r="AV254" s="21" t="str">
        <f t="shared" si="217"/>
        <v>Apprenant 242 ou 242'</v>
      </c>
      <c r="AW254" s="49" t="str">
        <f>IF(AND('Choix pédagogiques'!$C$4&lt;&gt;"?",'Choix pédagogiques'!$C$5&lt;&gt;"?",AB254&lt;&gt;""),(AB254-'Choix pédagogiques'!$C$4)/('Choix pédagogiques'!$C$5-'Choix pédagogiques'!$C$4),"")</f>
        <v/>
      </c>
      <c r="AX254" s="49" t="str">
        <f>IF(AND('Choix pédagogiques'!$C$4&lt;&gt;"?",'Choix pédagogiques'!$C$5&lt;&gt;"?",AC254&lt;&gt;""),(AC254-'Choix pédagogiques'!$C$4)/('Choix pédagogiques'!$C$5-'Choix pédagogiques'!$C$4),"")</f>
        <v/>
      </c>
      <c r="AY254" s="49" t="str">
        <f>IF(AND('Choix pédagogiques'!$C$4&lt;&gt;"?",'Choix pédagogiques'!$C$5&lt;&gt;"?",AD254&lt;&gt;""),(AD254-'Choix pédagogiques'!$C$4)/('Choix pédagogiques'!$C$5-'Choix pédagogiques'!$C$4),"")</f>
        <v/>
      </c>
      <c r="AZ254" s="22" t="str">
        <f t="shared" si="218"/>
        <v/>
      </c>
      <c r="BA254" s="21" t="str">
        <f t="shared" si="219"/>
        <v>Apprenant 242</v>
      </c>
      <c r="BB254" s="49" t="str">
        <f t="shared" si="191"/>
        <v/>
      </c>
      <c r="BC254" s="49" t="str">
        <f t="shared" si="192"/>
        <v/>
      </c>
      <c r="BD254" s="49" t="str">
        <f t="shared" si="193"/>
        <v/>
      </c>
      <c r="BE254" s="22" t="str">
        <f t="shared" si="220"/>
        <v/>
      </c>
      <c r="BF254" s="21" t="str">
        <f t="shared" si="221"/>
        <v>Apprenant 242 ou 242'</v>
      </c>
      <c r="BG254" s="49" t="str">
        <f t="shared" si="194"/>
        <v/>
      </c>
      <c r="BH254" s="49" t="str">
        <f t="shared" si="195"/>
        <v/>
      </c>
      <c r="BI254" s="49" t="str">
        <f t="shared" si="196"/>
        <v/>
      </c>
      <c r="BJ254" s="22" t="str">
        <f t="shared" si="222"/>
        <v/>
      </c>
      <c r="BL254" s="21"/>
      <c r="BM254" s="21" t="str">
        <f>IF(OR(COUNT(B254:D1253)=0,AND('Choix pédagogiques'!$C$3&lt;&gt;1,'Choix pédagogiques'!$C$3&lt;&gt;2)),"",IF(AND(OR('Choix pédagogiques'!$C$3=1,'Choix pédagogiques'!$C$3=2),$B254&lt;&gt;"",$C254&lt;&gt;"",$D254&lt;&gt;""),1,0))</f>
        <v/>
      </c>
      <c r="BN254" s="21" t="str">
        <f>IF(OR(COUNT(G254:I1253)=0,AND('Choix pédagogiques'!$C$3&lt;&gt;1,'Choix pédagogiques'!$C$3&lt;&gt;2)),"",IF(AND(OR('Choix pédagogiques'!$C$3=1,'Choix pédagogiques'!$C$3=2),AND($G254&lt;&gt;"",$H254&lt;&gt;"",$I254&lt;&gt;"")),1,0))</f>
        <v/>
      </c>
      <c r="BO254" s="21" t="str">
        <f>IF(OR(COUNT(B254:D1253)=0,COUNT(G254:I1253)=0,'Choix pédagogiques'!C$3&lt;&gt;3),"",IF(AND('Choix pédagogiques'!$C$3=3,$B254&lt;&gt;"",$C254&lt;&gt;"",$D254&lt;&gt;"",$G254&lt;&gt;"",$H254&lt;&gt;"",$I254&lt;&gt;""),1,0))</f>
        <v/>
      </c>
      <c r="BR254" s="21">
        <v>655</v>
      </c>
      <c r="BS254" s="21">
        <v>1083</v>
      </c>
      <c r="BT254"/>
    </row>
    <row r="255" spans="1:72" s="23" customFormat="1" ht="18" customHeight="1" x14ac:dyDescent="0.3">
      <c r="A255" s="35" t="s">
        <v>245</v>
      </c>
      <c r="B255" s="37"/>
      <c r="C255" s="37"/>
      <c r="D255" s="37"/>
      <c r="E255" s="37"/>
      <c r="F255" s="35" t="s">
        <v>1253</v>
      </c>
      <c r="G255" s="37"/>
      <c r="H255" s="37"/>
      <c r="I255" s="37"/>
      <c r="J255" s="37"/>
      <c r="K255" s="21" t="str">
        <f t="shared" si="197"/>
        <v>Apprenant 243</v>
      </c>
      <c r="L255" s="22" t="str">
        <f t="shared" si="198"/>
        <v/>
      </c>
      <c r="M255" s="22" t="str">
        <f t="shared" si="199"/>
        <v/>
      </c>
      <c r="N255" s="22" t="str">
        <f t="shared" si="200"/>
        <v/>
      </c>
      <c r="O255" s="22" t="str">
        <f t="shared" si="201"/>
        <v/>
      </c>
      <c r="P255" s="21" t="str">
        <f t="shared" si="202"/>
        <v>Apprenant 243 ou 243'</v>
      </c>
      <c r="Q255" s="22" t="str">
        <f t="shared" si="203"/>
        <v/>
      </c>
      <c r="R255" s="22" t="str">
        <f t="shared" si="204"/>
        <v/>
      </c>
      <c r="S255" s="22" t="str">
        <f t="shared" si="205"/>
        <v/>
      </c>
      <c r="T255" s="22" t="str">
        <f t="shared" si="206"/>
        <v/>
      </c>
      <c r="V255" s="21" t="str">
        <f t="shared" si="207"/>
        <v>Apprenant 243</v>
      </c>
      <c r="W255" s="22" t="str">
        <f>IF(AND(OR('Choix pédagogiques'!$C$3=1,'Choix pédagogiques'!$C$3=2),$BM255=1),B255,IF(AND('Choix pédagogiques'!$C$3=3,$BO255=1),B255,""))</f>
        <v/>
      </c>
      <c r="X255" s="22" t="str">
        <f>IF(AND(OR('Choix pédagogiques'!$C$3=1,'Choix pédagogiques'!$C$3=2),$BM255=1),C255,IF(AND('Choix pédagogiques'!$C$3=3,$BO255=1),C255,""))</f>
        <v/>
      </c>
      <c r="Y255" s="22" t="str">
        <f>IF(AND(OR('Choix pédagogiques'!$C$3=1,'Choix pédagogiques'!$C$3=2),$BM255=1),D255,IF(AND('Choix pédagogiques'!$C$3=3,$BO255=1),D255,""))</f>
        <v/>
      </c>
      <c r="Z255" s="22" t="str">
        <f t="shared" si="208"/>
        <v/>
      </c>
      <c r="AA255" s="21" t="str">
        <f t="shared" si="209"/>
        <v>Apprenant 243 ou 243'</v>
      </c>
      <c r="AB255" s="22" t="str">
        <f>IF(AND(OR('Choix pédagogiques'!$C$3=1,'Choix pédagogiques'!$C$3=2),$BN255=1),G255,IF(AND('Choix pédagogiques'!$C$3=3,$BO255=1),G255,""))</f>
        <v/>
      </c>
      <c r="AC255" s="22" t="str">
        <f>IF(AND(OR('Choix pédagogiques'!$C$3=1,'Choix pédagogiques'!$C$3=2),$BN255=1),H255,IF(AND('Choix pédagogiques'!$C$3=3,$BO255=1),H255,""))</f>
        <v/>
      </c>
      <c r="AD255" s="22" t="str">
        <f>IF(AND(OR('Choix pédagogiques'!$C$3=1,'Choix pédagogiques'!$C$3=2),$BN255=1),I255,IF(AND('Choix pédagogiques'!$C$3=3,$BO255=1),I255,""))</f>
        <v/>
      </c>
      <c r="AE255" s="22" t="str">
        <f t="shared" si="210"/>
        <v/>
      </c>
      <c r="AF255" s="21" t="str">
        <f t="shared" si="211"/>
        <v>Apprenant 243</v>
      </c>
      <c r="AG255" s="22" t="str">
        <f t="shared" si="185"/>
        <v/>
      </c>
      <c r="AH255" s="22" t="str">
        <f t="shared" si="186"/>
        <v/>
      </c>
      <c r="AI255" s="22" t="str">
        <f t="shared" si="187"/>
        <v/>
      </c>
      <c r="AJ255" s="22" t="str">
        <f t="shared" si="212"/>
        <v/>
      </c>
      <c r="AK255" s="21" t="str">
        <f t="shared" si="213"/>
        <v>Apprenant 243 ou 243'</v>
      </c>
      <c r="AL255" s="22" t="str">
        <f t="shared" si="188"/>
        <v/>
      </c>
      <c r="AM255" s="22" t="str">
        <f t="shared" si="189"/>
        <v/>
      </c>
      <c r="AN255" s="22" t="str">
        <f t="shared" si="190"/>
        <v/>
      </c>
      <c r="AO255" s="22" t="str">
        <f t="shared" si="214"/>
        <v/>
      </c>
      <c r="AQ255" s="21" t="str">
        <f t="shared" si="215"/>
        <v>Apprenant 243</v>
      </c>
      <c r="AR255" s="49" t="str">
        <f>IF(AND('Choix pédagogiques'!$C$4&lt;&gt;"?",'Choix pédagogiques'!$C$5&lt;&gt;"?",W255&lt;&gt;""),(W255-'Choix pédagogiques'!$C$4)/('Choix pédagogiques'!$C$5-'Choix pédagogiques'!$C$4),"")</f>
        <v/>
      </c>
      <c r="AS255" s="49" t="str">
        <f>IF(AND('Choix pédagogiques'!$C$4&lt;&gt;"?",'Choix pédagogiques'!$C$5&lt;&gt;"?",X255&lt;&gt;""),(X255-'Choix pédagogiques'!$C$4)/('Choix pédagogiques'!$C$5-'Choix pédagogiques'!$C$4),"")</f>
        <v/>
      </c>
      <c r="AT255" s="49" t="str">
        <f>IF(AND('Choix pédagogiques'!$C$4&lt;&gt;"?",'Choix pédagogiques'!$C$5&lt;&gt;"?",Y255&lt;&gt;""),(Y255-'Choix pédagogiques'!$C$4)/('Choix pédagogiques'!$C$5-'Choix pédagogiques'!$C$4),"")</f>
        <v/>
      </c>
      <c r="AU255" s="22" t="str">
        <f t="shared" si="216"/>
        <v/>
      </c>
      <c r="AV255" s="21" t="str">
        <f t="shared" si="217"/>
        <v>Apprenant 243 ou 243'</v>
      </c>
      <c r="AW255" s="49" t="str">
        <f>IF(AND('Choix pédagogiques'!$C$4&lt;&gt;"?",'Choix pédagogiques'!$C$5&lt;&gt;"?",AB255&lt;&gt;""),(AB255-'Choix pédagogiques'!$C$4)/('Choix pédagogiques'!$C$5-'Choix pédagogiques'!$C$4),"")</f>
        <v/>
      </c>
      <c r="AX255" s="49" t="str">
        <f>IF(AND('Choix pédagogiques'!$C$4&lt;&gt;"?",'Choix pédagogiques'!$C$5&lt;&gt;"?",AC255&lt;&gt;""),(AC255-'Choix pédagogiques'!$C$4)/('Choix pédagogiques'!$C$5-'Choix pédagogiques'!$C$4),"")</f>
        <v/>
      </c>
      <c r="AY255" s="49" t="str">
        <f>IF(AND('Choix pédagogiques'!$C$4&lt;&gt;"?",'Choix pédagogiques'!$C$5&lt;&gt;"?",AD255&lt;&gt;""),(AD255-'Choix pédagogiques'!$C$4)/('Choix pédagogiques'!$C$5-'Choix pédagogiques'!$C$4),"")</f>
        <v/>
      </c>
      <c r="AZ255" s="22" t="str">
        <f t="shared" si="218"/>
        <v/>
      </c>
      <c r="BA255" s="21" t="str">
        <f t="shared" si="219"/>
        <v>Apprenant 243</v>
      </c>
      <c r="BB255" s="49" t="str">
        <f t="shared" si="191"/>
        <v/>
      </c>
      <c r="BC255" s="49" t="str">
        <f t="shared" si="192"/>
        <v/>
      </c>
      <c r="BD255" s="49" t="str">
        <f t="shared" si="193"/>
        <v/>
      </c>
      <c r="BE255" s="22" t="str">
        <f t="shared" si="220"/>
        <v/>
      </c>
      <c r="BF255" s="21" t="str">
        <f t="shared" si="221"/>
        <v>Apprenant 243 ou 243'</v>
      </c>
      <c r="BG255" s="49" t="str">
        <f t="shared" si="194"/>
        <v/>
      </c>
      <c r="BH255" s="49" t="str">
        <f t="shared" si="195"/>
        <v/>
      </c>
      <c r="BI255" s="49" t="str">
        <f t="shared" si="196"/>
        <v/>
      </c>
      <c r="BJ255" s="22" t="str">
        <f t="shared" si="222"/>
        <v/>
      </c>
      <c r="BL255" s="21"/>
      <c r="BM255" s="21" t="str">
        <f>IF(OR(COUNT(B255:D1254)=0,AND('Choix pédagogiques'!$C$3&lt;&gt;1,'Choix pédagogiques'!$C$3&lt;&gt;2)),"",IF(AND(OR('Choix pédagogiques'!$C$3=1,'Choix pédagogiques'!$C$3=2),$B255&lt;&gt;"",$C255&lt;&gt;"",$D255&lt;&gt;""),1,0))</f>
        <v/>
      </c>
      <c r="BN255" s="21" t="str">
        <f>IF(OR(COUNT(G255:I1254)=0,AND('Choix pédagogiques'!$C$3&lt;&gt;1,'Choix pédagogiques'!$C$3&lt;&gt;2)),"",IF(AND(OR('Choix pédagogiques'!$C$3=1,'Choix pédagogiques'!$C$3=2),AND($G255&lt;&gt;"",$H255&lt;&gt;"",$I255&lt;&gt;"")),1,0))</f>
        <v/>
      </c>
      <c r="BO255" s="21" t="str">
        <f>IF(OR(COUNT(B255:D1254)=0,COUNT(G255:I1254)=0,'Choix pédagogiques'!C$3&lt;&gt;3),"",IF(AND('Choix pédagogiques'!$C$3=3,$B255&lt;&gt;"",$C255&lt;&gt;"",$D255&lt;&gt;"",$G255&lt;&gt;"",$H255&lt;&gt;"",$I255&lt;&gt;""),1,0))</f>
        <v/>
      </c>
      <c r="BR255" s="21">
        <v>521</v>
      </c>
      <c r="BS255" s="21">
        <v>1303</v>
      </c>
      <c r="BT255"/>
    </row>
    <row r="256" spans="1:72" s="23" customFormat="1" ht="18" customHeight="1" x14ac:dyDescent="0.3">
      <c r="A256" s="35" t="s">
        <v>246</v>
      </c>
      <c r="B256" s="37"/>
      <c r="C256" s="37"/>
      <c r="D256" s="37"/>
      <c r="E256" s="37"/>
      <c r="F256" s="35" t="s">
        <v>1254</v>
      </c>
      <c r="G256" s="37"/>
      <c r="H256" s="37"/>
      <c r="I256" s="37"/>
      <c r="J256" s="37"/>
      <c r="K256" s="21" t="str">
        <f t="shared" si="197"/>
        <v>Apprenant 244</v>
      </c>
      <c r="L256" s="22" t="str">
        <f t="shared" si="198"/>
        <v/>
      </c>
      <c r="M256" s="22" t="str">
        <f t="shared" si="199"/>
        <v/>
      </c>
      <c r="N256" s="22" t="str">
        <f t="shared" si="200"/>
        <v/>
      </c>
      <c r="O256" s="22" t="str">
        <f t="shared" si="201"/>
        <v/>
      </c>
      <c r="P256" s="21" t="str">
        <f t="shared" si="202"/>
        <v>Apprenant 244 ou 244'</v>
      </c>
      <c r="Q256" s="22" t="str">
        <f t="shared" si="203"/>
        <v/>
      </c>
      <c r="R256" s="22" t="str">
        <f t="shared" si="204"/>
        <v/>
      </c>
      <c r="S256" s="22" t="str">
        <f t="shared" si="205"/>
        <v/>
      </c>
      <c r="T256" s="22" t="str">
        <f t="shared" si="206"/>
        <v/>
      </c>
      <c r="V256" s="21" t="str">
        <f t="shared" si="207"/>
        <v>Apprenant 244</v>
      </c>
      <c r="W256" s="22" t="str">
        <f>IF(AND(OR('Choix pédagogiques'!$C$3=1,'Choix pédagogiques'!$C$3=2),$BM256=1),B256,IF(AND('Choix pédagogiques'!$C$3=3,$BO256=1),B256,""))</f>
        <v/>
      </c>
      <c r="X256" s="22" t="str">
        <f>IF(AND(OR('Choix pédagogiques'!$C$3=1,'Choix pédagogiques'!$C$3=2),$BM256=1),C256,IF(AND('Choix pédagogiques'!$C$3=3,$BO256=1),C256,""))</f>
        <v/>
      </c>
      <c r="Y256" s="22" t="str">
        <f>IF(AND(OR('Choix pédagogiques'!$C$3=1,'Choix pédagogiques'!$C$3=2),$BM256=1),D256,IF(AND('Choix pédagogiques'!$C$3=3,$BO256=1),D256,""))</f>
        <v/>
      </c>
      <c r="Z256" s="22" t="str">
        <f t="shared" si="208"/>
        <v/>
      </c>
      <c r="AA256" s="21" t="str">
        <f t="shared" si="209"/>
        <v>Apprenant 244 ou 244'</v>
      </c>
      <c r="AB256" s="22" t="str">
        <f>IF(AND(OR('Choix pédagogiques'!$C$3=1,'Choix pédagogiques'!$C$3=2),$BN256=1),G256,IF(AND('Choix pédagogiques'!$C$3=3,$BO256=1),G256,""))</f>
        <v/>
      </c>
      <c r="AC256" s="22" t="str">
        <f>IF(AND(OR('Choix pédagogiques'!$C$3=1,'Choix pédagogiques'!$C$3=2),$BN256=1),H256,IF(AND('Choix pédagogiques'!$C$3=3,$BO256=1),H256,""))</f>
        <v/>
      </c>
      <c r="AD256" s="22" t="str">
        <f>IF(AND(OR('Choix pédagogiques'!$C$3=1,'Choix pédagogiques'!$C$3=2),$BN256=1),I256,IF(AND('Choix pédagogiques'!$C$3=3,$BO256=1),I256,""))</f>
        <v/>
      </c>
      <c r="AE256" s="22" t="str">
        <f t="shared" si="210"/>
        <v/>
      </c>
      <c r="AF256" s="21" t="str">
        <f t="shared" si="211"/>
        <v>Apprenant 244</v>
      </c>
      <c r="AG256" s="22" t="str">
        <f t="shared" si="185"/>
        <v/>
      </c>
      <c r="AH256" s="22" t="str">
        <f t="shared" si="186"/>
        <v/>
      </c>
      <c r="AI256" s="22" t="str">
        <f t="shared" si="187"/>
        <v/>
      </c>
      <c r="AJ256" s="22" t="str">
        <f t="shared" si="212"/>
        <v/>
      </c>
      <c r="AK256" s="21" t="str">
        <f t="shared" si="213"/>
        <v>Apprenant 244 ou 244'</v>
      </c>
      <c r="AL256" s="22" t="str">
        <f t="shared" si="188"/>
        <v/>
      </c>
      <c r="AM256" s="22" t="str">
        <f t="shared" si="189"/>
        <v/>
      </c>
      <c r="AN256" s="22" t="str">
        <f t="shared" si="190"/>
        <v/>
      </c>
      <c r="AO256" s="22" t="str">
        <f t="shared" si="214"/>
        <v/>
      </c>
      <c r="AQ256" s="21" t="str">
        <f t="shared" si="215"/>
        <v>Apprenant 244</v>
      </c>
      <c r="AR256" s="49" t="str">
        <f>IF(AND('Choix pédagogiques'!$C$4&lt;&gt;"?",'Choix pédagogiques'!$C$5&lt;&gt;"?",W256&lt;&gt;""),(W256-'Choix pédagogiques'!$C$4)/('Choix pédagogiques'!$C$5-'Choix pédagogiques'!$C$4),"")</f>
        <v/>
      </c>
      <c r="AS256" s="49" t="str">
        <f>IF(AND('Choix pédagogiques'!$C$4&lt;&gt;"?",'Choix pédagogiques'!$C$5&lt;&gt;"?",X256&lt;&gt;""),(X256-'Choix pédagogiques'!$C$4)/('Choix pédagogiques'!$C$5-'Choix pédagogiques'!$C$4),"")</f>
        <v/>
      </c>
      <c r="AT256" s="49" t="str">
        <f>IF(AND('Choix pédagogiques'!$C$4&lt;&gt;"?",'Choix pédagogiques'!$C$5&lt;&gt;"?",Y256&lt;&gt;""),(Y256-'Choix pédagogiques'!$C$4)/('Choix pédagogiques'!$C$5-'Choix pédagogiques'!$C$4),"")</f>
        <v/>
      </c>
      <c r="AU256" s="22" t="str">
        <f t="shared" si="216"/>
        <v/>
      </c>
      <c r="AV256" s="21" t="str">
        <f t="shared" si="217"/>
        <v>Apprenant 244 ou 244'</v>
      </c>
      <c r="AW256" s="49" t="str">
        <f>IF(AND('Choix pédagogiques'!$C$4&lt;&gt;"?",'Choix pédagogiques'!$C$5&lt;&gt;"?",AB256&lt;&gt;""),(AB256-'Choix pédagogiques'!$C$4)/('Choix pédagogiques'!$C$5-'Choix pédagogiques'!$C$4),"")</f>
        <v/>
      </c>
      <c r="AX256" s="49" t="str">
        <f>IF(AND('Choix pédagogiques'!$C$4&lt;&gt;"?",'Choix pédagogiques'!$C$5&lt;&gt;"?",AC256&lt;&gt;""),(AC256-'Choix pédagogiques'!$C$4)/('Choix pédagogiques'!$C$5-'Choix pédagogiques'!$C$4),"")</f>
        <v/>
      </c>
      <c r="AY256" s="49" t="str">
        <f>IF(AND('Choix pédagogiques'!$C$4&lt;&gt;"?",'Choix pédagogiques'!$C$5&lt;&gt;"?",AD256&lt;&gt;""),(AD256-'Choix pédagogiques'!$C$4)/('Choix pédagogiques'!$C$5-'Choix pédagogiques'!$C$4),"")</f>
        <v/>
      </c>
      <c r="AZ256" s="22" t="str">
        <f t="shared" si="218"/>
        <v/>
      </c>
      <c r="BA256" s="21" t="str">
        <f t="shared" si="219"/>
        <v>Apprenant 244</v>
      </c>
      <c r="BB256" s="49" t="str">
        <f t="shared" si="191"/>
        <v/>
      </c>
      <c r="BC256" s="49" t="str">
        <f t="shared" si="192"/>
        <v/>
      </c>
      <c r="BD256" s="49" t="str">
        <f t="shared" si="193"/>
        <v/>
      </c>
      <c r="BE256" s="22" t="str">
        <f t="shared" si="220"/>
        <v/>
      </c>
      <c r="BF256" s="21" t="str">
        <f t="shared" si="221"/>
        <v>Apprenant 244 ou 244'</v>
      </c>
      <c r="BG256" s="49" t="str">
        <f t="shared" si="194"/>
        <v/>
      </c>
      <c r="BH256" s="49" t="str">
        <f t="shared" si="195"/>
        <v/>
      </c>
      <c r="BI256" s="49" t="str">
        <f t="shared" si="196"/>
        <v/>
      </c>
      <c r="BJ256" s="22" t="str">
        <f t="shared" si="222"/>
        <v/>
      </c>
      <c r="BL256" s="21"/>
      <c r="BM256" s="21" t="str">
        <f>IF(OR(COUNT(B256:D1255)=0,AND('Choix pédagogiques'!$C$3&lt;&gt;1,'Choix pédagogiques'!$C$3&lt;&gt;2)),"",IF(AND(OR('Choix pédagogiques'!$C$3=1,'Choix pédagogiques'!$C$3=2),$B256&lt;&gt;"",$C256&lt;&gt;"",$D256&lt;&gt;""),1,0))</f>
        <v/>
      </c>
      <c r="BN256" s="21" t="str">
        <f>IF(OR(COUNT(G256:I1255)=0,AND('Choix pédagogiques'!$C$3&lt;&gt;1,'Choix pédagogiques'!$C$3&lt;&gt;2)),"",IF(AND(OR('Choix pédagogiques'!$C$3=1,'Choix pédagogiques'!$C$3=2),AND($G256&lt;&gt;"",$H256&lt;&gt;"",$I256&lt;&gt;"")),1,0))</f>
        <v/>
      </c>
      <c r="BO256" s="21" t="str">
        <f>IF(OR(COUNT(B256:D1255)=0,COUNT(G256:I1255)=0,'Choix pédagogiques'!C$3&lt;&gt;3),"",IF(AND('Choix pédagogiques'!$C$3=3,$B256&lt;&gt;"",$C256&lt;&gt;"",$D256&lt;&gt;"",$G256&lt;&gt;"",$H256&lt;&gt;"",$I256&lt;&gt;""),1,0))</f>
        <v/>
      </c>
      <c r="BR256" s="21">
        <v>469</v>
      </c>
      <c r="BS256" s="21">
        <v>1735</v>
      </c>
      <c r="BT256"/>
    </row>
    <row r="257" spans="1:72" s="23" customFormat="1" ht="18" customHeight="1" x14ac:dyDescent="0.3">
      <c r="A257" s="35" t="s">
        <v>247</v>
      </c>
      <c r="B257" s="37"/>
      <c r="C257" s="37"/>
      <c r="D257" s="37"/>
      <c r="E257" s="37"/>
      <c r="F257" s="35" t="s">
        <v>1255</v>
      </c>
      <c r="G257" s="37"/>
      <c r="H257" s="37"/>
      <c r="I257" s="37"/>
      <c r="J257" s="37"/>
      <c r="K257" s="21" t="str">
        <f t="shared" si="197"/>
        <v>Apprenant 245</v>
      </c>
      <c r="L257" s="22" t="str">
        <f t="shared" si="198"/>
        <v/>
      </c>
      <c r="M257" s="22" t="str">
        <f t="shared" si="199"/>
        <v/>
      </c>
      <c r="N257" s="22" t="str">
        <f t="shared" si="200"/>
        <v/>
      </c>
      <c r="O257" s="22" t="str">
        <f t="shared" si="201"/>
        <v/>
      </c>
      <c r="P257" s="21" t="str">
        <f t="shared" si="202"/>
        <v>Apprenant 245 ou 245'</v>
      </c>
      <c r="Q257" s="22" t="str">
        <f t="shared" si="203"/>
        <v/>
      </c>
      <c r="R257" s="22" t="str">
        <f t="shared" si="204"/>
        <v/>
      </c>
      <c r="S257" s="22" t="str">
        <f t="shared" si="205"/>
        <v/>
      </c>
      <c r="T257" s="22" t="str">
        <f t="shared" si="206"/>
        <v/>
      </c>
      <c r="V257" s="21" t="str">
        <f t="shared" si="207"/>
        <v>Apprenant 245</v>
      </c>
      <c r="W257" s="22" t="str">
        <f>IF(AND(OR('Choix pédagogiques'!$C$3=1,'Choix pédagogiques'!$C$3=2),$BM257=1),B257,IF(AND('Choix pédagogiques'!$C$3=3,$BO257=1),B257,""))</f>
        <v/>
      </c>
      <c r="X257" s="22" t="str">
        <f>IF(AND(OR('Choix pédagogiques'!$C$3=1,'Choix pédagogiques'!$C$3=2),$BM257=1),C257,IF(AND('Choix pédagogiques'!$C$3=3,$BO257=1),C257,""))</f>
        <v/>
      </c>
      <c r="Y257" s="22" t="str">
        <f>IF(AND(OR('Choix pédagogiques'!$C$3=1,'Choix pédagogiques'!$C$3=2),$BM257=1),D257,IF(AND('Choix pédagogiques'!$C$3=3,$BO257=1),D257,""))</f>
        <v/>
      </c>
      <c r="Z257" s="22" t="str">
        <f t="shared" si="208"/>
        <v/>
      </c>
      <c r="AA257" s="21" t="str">
        <f t="shared" si="209"/>
        <v>Apprenant 245 ou 245'</v>
      </c>
      <c r="AB257" s="22" t="str">
        <f>IF(AND(OR('Choix pédagogiques'!$C$3=1,'Choix pédagogiques'!$C$3=2),$BN257=1),G257,IF(AND('Choix pédagogiques'!$C$3=3,$BO257=1),G257,""))</f>
        <v/>
      </c>
      <c r="AC257" s="22" t="str">
        <f>IF(AND(OR('Choix pédagogiques'!$C$3=1,'Choix pédagogiques'!$C$3=2),$BN257=1),H257,IF(AND('Choix pédagogiques'!$C$3=3,$BO257=1),H257,""))</f>
        <v/>
      </c>
      <c r="AD257" s="22" t="str">
        <f>IF(AND(OR('Choix pédagogiques'!$C$3=1,'Choix pédagogiques'!$C$3=2),$BN257=1),I257,IF(AND('Choix pédagogiques'!$C$3=3,$BO257=1),I257,""))</f>
        <v/>
      </c>
      <c r="AE257" s="22" t="str">
        <f t="shared" si="210"/>
        <v/>
      </c>
      <c r="AF257" s="21" t="str">
        <f t="shared" si="211"/>
        <v>Apprenant 245</v>
      </c>
      <c r="AG257" s="22" t="str">
        <f t="shared" si="185"/>
        <v/>
      </c>
      <c r="AH257" s="22" t="str">
        <f t="shared" si="186"/>
        <v/>
      </c>
      <c r="AI257" s="22" t="str">
        <f t="shared" si="187"/>
        <v/>
      </c>
      <c r="AJ257" s="22" t="str">
        <f t="shared" si="212"/>
        <v/>
      </c>
      <c r="AK257" s="21" t="str">
        <f t="shared" si="213"/>
        <v>Apprenant 245 ou 245'</v>
      </c>
      <c r="AL257" s="22" t="str">
        <f t="shared" si="188"/>
        <v/>
      </c>
      <c r="AM257" s="22" t="str">
        <f t="shared" si="189"/>
        <v/>
      </c>
      <c r="AN257" s="22" t="str">
        <f t="shared" si="190"/>
        <v/>
      </c>
      <c r="AO257" s="22" t="str">
        <f t="shared" si="214"/>
        <v/>
      </c>
      <c r="AQ257" s="21" t="str">
        <f t="shared" si="215"/>
        <v>Apprenant 245</v>
      </c>
      <c r="AR257" s="49" t="str">
        <f>IF(AND('Choix pédagogiques'!$C$4&lt;&gt;"?",'Choix pédagogiques'!$C$5&lt;&gt;"?",W257&lt;&gt;""),(W257-'Choix pédagogiques'!$C$4)/('Choix pédagogiques'!$C$5-'Choix pédagogiques'!$C$4),"")</f>
        <v/>
      </c>
      <c r="AS257" s="49" t="str">
        <f>IF(AND('Choix pédagogiques'!$C$4&lt;&gt;"?",'Choix pédagogiques'!$C$5&lt;&gt;"?",X257&lt;&gt;""),(X257-'Choix pédagogiques'!$C$4)/('Choix pédagogiques'!$C$5-'Choix pédagogiques'!$C$4),"")</f>
        <v/>
      </c>
      <c r="AT257" s="49" t="str">
        <f>IF(AND('Choix pédagogiques'!$C$4&lt;&gt;"?",'Choix pédagogiques'!$C$5&lt;&gt;"?",Y257&lt;&gt;""),(Y257-'Choix pédagogiques'!$C$4)/('Choix pédagogiques'!$C$5-'Choix pédagogiques'!$C$4),"")</f>
        <v/>
      </c>
      <c r="AU257" s="22" t="str">
        <f t="shared" si="216"/>
        <v/>
      </c>
      <c r="AV257" s="21" t="str">
        <f t="shared" si="217"/>
        <v>Apprenant 245 ou 245'</v>
      </c>
      <c r="AW257" s="49" t="str">
        <f>IF(AND('Choix pédagogiques'!$C$4&lt;&gt;"?",'Choix pédagogiques'!$C$5&lt;&gt;"?",AB257&lt;&gt;""),(AB257-'Choix pédagogiques'!$C$4)/('Choix pédagogiques'!$C$5-'Choix pédagogiques'!$C$4),"")</f>
        <v/>
      </c>
      <c r="AX257" s="49" t="str">
        <f>IF(AND('Choix pédagogiques'!$C$4&lt;&gt;"?",'Choix pédagogiques'!$C$5&lt;&gt;"?",AC257&lt;&gt;""),(AC257-'Choix pédagogiques'!$C$4)/('Choix pédagogiques'!$C$5-'Choix pédagogiques'!$C$4),"")</f>
        <v/>
      </c>
      <c r="AY257" s="49" t="str">
        <f>IF(AND('Choix pédagogiques'!$C$4&lt;&gt;"?",'Choix pédagogiques'!$C$5&lt;&gt;"?",AD257&lt;&gt;""),(AD257-'Choix pédagogiques'!$C$4)/('Choix pédagogiques'!$C$5-'Choix pédagogiques'!$C$4),"")</f>
        <v/>
      </c>
      <c r="AZ257" s="22" t="str">
        <f t="shared" si="218"/>
        <v/>
      </c>
      <c r="BA257" s="21" t="str">
        <f t="shared" si="219"/>
        <v>Apprenant 245</v>
      </c>
      <c r="BB257" s="49" t="str">
        <f t="shared" si="191"/>
        <v/>
      </c>
      <c r="BC257" s="49" t="str">
        <f t="shared" si="192"/>
        <v/>
      </c>
      <c r="BD257" s="49" t="str">
        <f t="shared" si="193"/>
        <v/>
      </c>
      <c r="BE257" s="22" t="str">
        <f t="shared" si="220"/>
        <v/>
      </c>
      <c r="BF257" s="21" t="str">
        <f t="shared" si="221"/>
        <v>Apprenant 245 ou 245'</v>
      </c>
      <c r="BG257" s="49" t="str">
        <f t="shared" si="194"/>
        <v/>
      </c>
      <c r="BH257" s="49" t="str">
        <f t="shared" si="195"/>
        <v/>
      </c>
      <c r="BI257" s="49" t="str">
        <f t="shared" si="196"/>
        <v/>
      </c>
      <c r="BJ257" s="22" t="str">
        <f t="shared" si="222"/>
        <v/>
      </c>
      <c r="BL257" s="21"/>
      <c r="BM257" s="21" t="str">
        <f>IF(OR(COUNT(B257:D1256)=0,AND('Choix pédagogiques'!$C$3&lt;&gt;1,'Choix pédagogiques'!$C$3&lt;&gt;2)),"",IF(AND(OR('Choix pédagogiques'!$C$3=1,'Choix pédagogiques'!$C$3=2),$B257&lt;&gt;"",$C257&lt;&gt;"",$D257&lt;&gt;""),1,0))</f>
        <v/>
      </c>
      <c r="BN257" s="21" t="str">
        <f>IF(OR(COUNT(G257:I1256)=0,AND('Choix pédagogiques'!$C$3&lt;&gt;1,'Choix pédagogiques'!$C$3&lt;&gt;2)),"",IF(AND(OR('Choix pédagogiques'!$C$3=1,'Choix pédagogiques'!$C$3=2),AND($G257&lt;&gt;"",$H257&lt;&gt;"",$I257&lt;&gt;"")),1,0))</f>
        <v/>
      </c>
      <c r="BO257" s="21" t="str">
        <f>IF(OR(COUNT(B257:D1256)=0,COUNT(G257:I1256)=0,'Choix pédagogiques'!C$3&lt;&gt;3),"",IF(AND('Choix pédagogiques'!$C$3=3,$B257&lt;&gt;"",$C257&lt;&gt;"",$D257&lt;&gt;"",$G257&lt;&gt;"",$H257&lt;&gt;"",$I257&lt;&gt;""),1,0))</f>
        <v/>
      </c>
      <c r="BR257" s="21">
        <v>881</v>
      </c>
      <c r="BS257" s="21">
        <v>1582</v>
      </c>
      <c r="BT257"/>
    </row>
    <row r="258" spans="1:72" s="23" customFormat="1" ht="18" customHeight="1" x14ac:dyDescent="0.3">
      <c r="A258" s="35" t="s">
        <v>248</v>
      </c>
      <c r="B258" s="37"/>
      <c r="C258" s="37"/>
      <c r="D258" s="37"/>
      <c r="E258" s="37"/>
      <c r="F258" s="35" t="s">
        <v>1256</v>
      </c>
      <c r="G258" s="37"/>
      <c r="H258" s="37"/>
      <c r="I258" s="37"/>
      <c r="J258" s="37"/>
      <c r="K258" s="21" t="str">
        <f t="shared" si="197"/>
        <v>Apprenant 246</v>
      </c>
      <c r="L258" s="22" t="str">
        <f t="shared" si="198"/>
        <v/>
      </c>
      <c r="M258" s="22" t="str">
        <f t="shared" si="199"/>
        <v/>
      </c>
      <c r="N258" s="22" t="str">
        <f t="shared" si="200"/>
        <v/>
      </c>
      <c r="O258" s="22" t="str">
        <f t="shared" si="201"/>
        <v/>
      </c>
      <c r="P258" s="21" t="str">
        <f t="shared" si="202"/>
        <v>Apprenant 246 ou 246'</v>
      </c>
      <c r="Q258" s="22" t="str">
        <f t="shared" si="203"/>
        <v/>
      </c>
      <c r="R258" s="22" t="str">
        <f t="shared" si="204"/>
        <v/>
      </c>
      <c r="S258" s="22" t="str">
        <f t="shared" si="205"/>
        <v/>
      </c>
      <c r="T258" s="22" t="str">
        <f t="shared" si="206"/>
        <v/>
      </c>
      <c r="V258" s="21" t="str">
        <f t="shared" si="207"/>
        <v>Apprenant 246</v>
      </c>
      <c r="W258" s="22" t="str">
        <f>IF(AND(OR('Choix pédagogiques'!$C$3=1,'Choix pédagogiques'!$C$3=2),$BM258=1),B258,IF(AND('Choix pédagogiques'!$C$3=3,$BO258=1),B258,""))</f>
        <v/>
      </c>
      <c r="X258" s="22" t="str">
        <f>IF(AND(OR('Choix pédagogiques'!$C$3=1,'Choix pédagogiques'!$C$3=2),$BM258=1),C258,IF(AND('Choix pédagogiques'!$C$3=3,$BO258=1),C258,""))</f>
        <v/>
      </c>
      <c r="Y258" s="22" t="str">
        <f>IF(AND(OR('Choix pédagogiques'!$C$3=1,'Choix pédagogiques'!$C$3=2),$BM258=1),D258,IF(AND('Choix pédagogiques'!$C$3=3,$BO258=1),D258,""))</f>
        <v/>
      </c>
      <c r="Z258" s="22" t="str">
        <f t="shared" si="208"/>
        <v/>
      </c>
      <c r="AA258" s="21" t="str">
        <f t="shared" si="209"/>
        <v>Apprenant 246 ou 246'</v>
      </c>
      <c r="AB258" s="22" t="str">
        <f>IF(AND(OR('Choix pédagogiques'!$C$3=1,'Choix pédagogiques'!$C$3=2),$BN258=1),G258,IF(AND('Choix pédagogiques'!$C$3=3,$BO258=1),G258,""))</f>
        <v/>
      </c>
      <c r="AC258" s="22" t="str">
        <f>IF(AND(OR('Choix pédagogiques'!$C$3=1,'Choix pédagogiques'!$C$3=2),$BN258=1),H258,IF(AND('Choix pédagogiques'!$C$3=3,$BO258=1),H258,""))</f>
        <v/>
      </c>
      <c r="AD258" s="22" t="str">
        <f>IF(AND(OR('Choix pédagogiques'!$C$3=1,'Choix pédagogiques'!$C$3=2),$BN258=1),I258,IF(AND('Choix pédagogiques'!$C$3=3,$BO258=1),I258,""))</f>
        <v/>
      </c>
      <c r="AE258" s="22" t="str">
        <f t="shared" si="210"/>
        <v/>
      </c>
      <c r="AF258" s="21" t="str">
        <f t="shared" si="211"/>
        <v>Apprenant 246</v>
      </c>
      <c r="AG258" s="22" t="str">
        <f t="shared" si="185"/>
        <v/>
      </c>
      <c r="AH258" s="22" t="str">
        <f t="shared" si="186"/>
        <v/>
      </c>
      <c r="AI258" s="22" t="str">
        <f t="shared" si="187"/>
        <v/>
      </c>
      <c r="AJ258" s="22" t="str">
        <f t="shared" si="212"/>
        <v/>
      </c>
      <c r="AK258" s="21" t="str">
        <f t="shared" si="213"/>
        <v>Apprenant 246 ou 246'</v>
      </c>
      <c r="AL258" s="22" t="str">
        <f t="shared" si="188"/>
        <v/>
      </c>
      <c r="AM258" s="22" t="str">
        <f t="shared" si="189"/>
        <v/>
      </c>
      <c r="AN258" s="22" t="str">
        <f t="shared" si="190"/>
        <v/>
      </c>
      <c r="AO258" s="22" t="str">
        <f t="shared" si="214"/>
        <v/>
      </c>
      <c r="AQ258" s="21" t="str">
        <f t="shared" si="215"/>
        <v>Apprenant 246</v>
      </c>
      <c r="AR258" s="49" t="str">
        <f>IF(AND('Choix pédagogiques'!$C$4&lt;&gt;"?",'Choix pédagogiques'!$C$5&lt;&gt;"?",W258&lt;&gt;""),(W258-'Choix pédagogiques'!$C$4)/('Choix pédagogiques'!$C$5-'Choix pédagogiques'!$C$4),"")</f>
        <v/>
      </c>
      <c r="AS258" s="49" t="str">
        <f>IF(AND('Choix pédagogiques'!$C$4&lt;&gt;"?",'Choix pédagogiques'!$C$5&lt;&gt;"?",X258&lt;&gt;""),(X258-'Choix pédagogiques'!$C$4)/('Choix pédagogiques'!$C$5-'Choix pédagogiques'!$C$4),"")</f>
        <v/>
      </c>
      <c r="AT258" s="49" t="str">
        <f>IF(AND('Choix pédagogiques'!$C$4&lt;&gt;"?",'Choix pédagogiques'!$C$5&lt;&gt;"?",Y258&lt;&gt;""),(Y258-'Choix pédagogiques'!$C$4)/('Choix pédagogiques'!$C$5-'Choix pédagogiques'!$C$4),"")</f>
        <v/>
      </c>
      <c r="AU258" s="22" t="str">
        <f t="shared" si="216"/>
        <v/>
      </c>
      <c r="AV258" s="21" t="str">
        <f t="shared" si="217"/>
        <v>Apprenant 246 ou 246'</v>
      </c>
      <c r="AW258" s="49" t="str">
        <f>IF(AND('Choix pédagogiques'!$C$4&lt;&gt;"?",'Choix pédagogiques'!$C$5&lt;&gt;"?",AB258&lt;&gt;""),(AB258-'Choix pédagogiques'!$C$4)/('Choix pédagogiques'!$C$5-'Choix pédagogiques'!$C$4),"")</f>
        <v/>
      </c>
      <c r="AX258" s="49" t="str">
        <f>IF(AND('Choix pédagogiques'!$C$4&lt;&gt;"?",'Choix pédagogiques'!$C$5&lt;&gt;"?",AC258&lt;&gt;""),(AC258-'Choix pédagogiques'!$C$4)/('Choix pédagogiques'!$C$5-'Choix pédagogiques'!$C$4),"")</f>
        <v/>
      </c>
      <c r="AY258" s="49" t="str">
        <f>IF(AND('Choix pédagogiques'!$C$4&lt;&gt;"?",'Choix pédagogiques'!$C$5&lt;&gt;"?",AD258&lt;&gt;""),(AD258-'Choix pédagogiques'!$C$4)/('Choix pédagogiques'!$C$5-'Choix pédagogiques'!$C$4),"")</f>
        <v/>
      </c>
      <c r="AZ258" s="22" t="str">
        <f t="shared" si="218"/>
        <v/>
      </c>
      <c r="BA258" s="21" t="str">
        <f t="shared" si="219"/>
        <v>Apprenant 246</v>
      </c>
      <c r="BB258" s="49" t="str">
        <f t="shared" si="191"/>
        <v/>
      </c>
      <c r="BC258" s="49" t="str">
        <f t="shared" si="192"/>
        <v/>
      </c>
      <c r="BD258" s="49" t="str">
        <f t="shared" si="193"/>
        <v/>
      </c>
      <c r="BE258" s="22" t="str">
        <f t="shared" si="220"/>
        <v/>
      </c>
      <c r="BF258" s="21" t="str">
        <f t="shared" si="221"/>
        <v>Apprenant 246 ou 246'</v>
      </c>
      <c r="BG258" s="49" t="str">
        <f t="shared" si="194"/>
        <v/>
      </c>
      <c r="BH258" s="49" t="str">
        <f t="shared" si="195"/>
        <v/>
      </c>
      <c r="BI258" s="49" t="str">
        <f t="shared" si="196"/>
        <v/>
      </c>
      <c r="BJ258" s="22" t="str">
        <f t="shared" si="222"/>
        <v/>
      </c>
      <c r="BL258" s="21"/>
      <c r="BM258" s="21" t="str">
        <f>IF(OR(COUNT(B258:D1257)=0,AND('Choix pédagogiques'!$C$3&lt;&gt;1,'Choix pédagogiques'!$C$3&lt;&gt;2)),"",IF(AND(OR('Choix pédagogiques'!$C$3=1,'Choix pédagogiques'!$C$3=2),$B258&lt;&gt;"",$C258&lt;&gt;"",$D258&lt;&gt;""),1,0))</f>
        <v/>
      </c>
      <c r="BN258" s="21" t="str">
        <f>IF(OR(COUNT(G258:I1257)=0,AND('Choix pédagogiques'!$C$3&lt;&gt;1,'Choix pédagogiques'!$C$3&lt;&gt;2)),"",IF(AND(OR('Choix pédagogiques'!$C$3=1,'Choix pédagogiques'!$C$3=2),AND($G258&lt;&gt;"",$H258&lt;&gt;"",$I258&lt;&gt;"")),1,0))</f>
        <v/>
      </c>
      <c r="BO258" s="21" t="str">
        <f>IF(OR(COUNT(B258:D1257)=0,COUNT(G258:I1257)=0,'Choix pédagogiques'!C$3&lt;&gt;3),"",IF(AND('Choix pédagogiques'!$C$3=3,$B258&lt;&gt;"",$C258&lt;&gt;"",$D258&lt;&gt;"",$G258&lt;&gt;"",$H258&lt;&gt;"",$I258&lt;&gt;""),1,0))</f>
        <v/>
      </c>
      <c r="BR258" s="21">
        <v>13</v>
      </c>
      <c r="BS258" s="21">
        <v>1104</v>
      </c>
      <c r="BT258"/>
    </row>
    <row r="259" spans="1:72" s="23" customFormat="1" ht="18" customHeight="1" x14ac:dyDescent="0.3">
      <c r="A259" s="35" t="s">
        <v>249</v>
      </c>
      <c r="B259" s="37"/>
      <c r="C259" s="37"/>
      <c r="D259" s="37"/>
      <c r="E259" s="37"/>
      <c r="F259" s="35" t="s">
        <v>1257</v>
      </c>
      <c r="G259" s="37"/>
      <c r="H259" s="37"/>
      <c r="I259" s="37"/>
      <c r="J259" s="37"/>
      <c r="K259" s="21" t="str">
        <f t="shared" si="197"/>
        <v>Apprenant 247</v>
      </c>
      <c r="L259" s="22" t="str">
        <f t="shared" si="198"/>
        <v/>
      </c>
      <c r="M259" s="22" t="str">
        <f t="shared" si="199"/>
        <v/>
      </c>
      <c r="N259" s="22" t="str">
        <f t="shared" si="200"/>
        <v/>
      </c>
      <c r="O259" s="22" t="str">
        <f t="shared" si="201"/>
        <v/>
      </c>
      <c r="P259" s="21" t="str">
        <f t="shared" si="202"/>
        <v>Apprenant 247 ou 247'</v>
      </c>
      <c r="Q259" s="22" t="str">
        <f t="shared" si="203"/>
        <v/>
      </c>
      <c r="R259" s="22" t="str">
        <f t="shared" si="204"/>
        <v/>
      </c>
      <c r="S259" s="22" t="str">
        <f t="shared" si="205"/>
        <v/>
      </c>
      <c r="T259" s="22" t="str">
        <f t="shared" si="206"/>
        <v/>
      </c>
      <c r="V259" s="21" t="str">
        <f t="shared" si="207"/>
        <v>Apprenant 247</v>
      </c>
      <c r="W259" s="22" t="str">
        <f>IF(AND(OR('Choix pédagogiques'!$C$3=1,'Choix pédagogiques'!$C$3=2),$BM259=1),B259,IF(AND('Choix pédagogiques'!$C$3=3,$BO259=1),B259,""))</f>
        <v/>
      </c>
      <c r="X259" s="22" t="str">
        <f>IF(AND(OR('Choix pédagogiques'!$C$3=1,'Choix pédagogiques'!$C$3=2),$BM259=1),C259,IF(AND('Choix pédagogiques'!$C$3=3,$BO259=1),C259,""))</f>
        <v/>
      </c>
      <c r="Y259" s="22" t="str">
        <f>IF(AND(OR('Choix pédagogiques'!$C$3=1,'Choix pédagogiques'!$C$3=2),$BM259=1),D259,IF(AND('Choix pédagogiques'!$C$3=3,$BO259=1),D259,""))</f>
        <v/>
      </c>
      <c r="Z259" s="22" t="str">
        <f t="shared" si="208"/>
        <v/>
      </c>
      <c r="AA259" s="21" t="str">
        <f t="shared" si="209"/>
        <v>Apprenant 247 ou 247'</v>
      </c>
      <c r="AB259" s="22" t="str">
        <f>IF(AND(OR('Choix pédagogiques'!$C$3=1,'Choix pédagogiques'!$C$3=2),$BN259=1),G259,IF(AND('Choix pédagogiques'!$C$3=3,$BO259=1),G259,""))</f>
        <v/>
      </c>
      <c r="AC259" s="22" t="str">
        <f>IF(AND(OR('Choix pédagogiques'!$C$3=1,'Choix pédagogiques'!$C$3=2),$BN259=1),H259,IF(AND('Choix pédagogiques'!$C$3=3,$BO259=1),H259,""))</f>
        <v/>
      </c>
      <c r="AD259" s="22" t="str">
        <f>IF(AND(OR('Choix pédagogiques'!$C$3=1,'Choix pédagogiques'!$C$3=2),$BN259=1),I259,IF(AND('Choix pédagogiques'!$C$3=3,$BO259=1),I259,""))</f>
        <v/>
      </c>
      <c r="AE259" s="22" t="str">
        <f t="shared" si="210"/>
        <v/>
      </c>
      <c r="AF259" s="21" t="str">
        <f t="shared" si="211"/>
        <v>Apprenant 247</v>
      </c>
      <c r="AG259" s="22" t="str">
        <f t="shared" si="185"/>
        <v/>
      </c>
      <c r="AH259" s="22" t="str">
        <f t="shared" si="186"/>
        <v/>
      </c>
      <c r="AI259" s="22" t="str">
        <f t="shared" si="187"/>
        <v/>
      </c>
      <c r="AJ259" s="22" t="str">
        <f t="shared" si="212"/>
        <v/>
      </c>
      <c r="AK259" s="21" t="str">
        <f t="shared" si="213"/>
        <v>Apprenant 247 ou 247'</v>
      </c>
      <c r="AL259" s="22" t="str">
        <f t="shared" si="188"/>
        <v/>
      </c>
      <c r="AM259" s="22" t="str">
        <f t="shared" si="189"/>
        <v/>
      </c>
      <c r="AN259" s="22" t="str">
        <f t="shared" si="190"/>
        <v/>
      </c>
      <c r="AO259" s="22" t="str">
        <f t="shared" si="214"/>
        <v/>
      </c>
      <c r="AQ259" s="21" t="str">
        <f t="shared" si="215"/>
        <v>Apprenant 247</v>
      </c>
      <c r="AR259" s="49" t="str">
        <f>IF(AND('Choix pédagogiques'!$C$4&lt;&gt;"?",'Choix pédagogiques'!$C$5&lt;&gt;"?",W259&lt;&gt;""),(W259-'Choix pédagogiques'!$C$4)/('Choix pédagogiques'!$C$5-'Choix pédagogiques'!$C$4),"")</f>
        <v/>
      </c>
      <c r="AS259" s="49" t="str">
        <f>IF(AND('Choix pédagogiques'!$C$4&lt;&gt;"?",'Choix pédagogiques'!$C$5&lt;&gt;"?",X259&lt;&gt;""),(X259-'Choix pédagogiques'!$C$4)/('Choix pédagogiques'!$C$5-'Choix pédagogiques'!$C$4),"")</f>
        <v/>
      </c>
      <c r="AT259" s="49" t="str">
        <f>IF(AND('Choix pédagogiques'!$C$4&lt;&gt;"?",'Choix pédagogiques'!$C$5&lt;&gt;"?",Y259&lt;&gt;""),(Y259-'Choix pédagogiques'!$C$4)/('Choix pédagogiques'!$C$5-'Choix pédagogiques'!$C$4),"")</f>
        <v/>
      </c>
      <c r="AU259" s="22" t="str">
        <f t="shared" si="216"/>
        <v/>
      </c>
      <c r="AV259" s="21" t="str">
        <f t="shared" si="217"/>
        <v>Apprenant 247 ou 247'</v>
      </c>
      <c r="AW259" s="49" t="str">
        <f>IF(AND('Choix pédagogiques'!$C$4&lt;&gt;"?",'Choix pédagogiques'!$C$5&lt;&gt;"?",AB259&lt;&gt;""),(AB259-'Choix pédagogiques'!$C$4)/('Choix pédagogiques'!$C$5-'Choix pédagogiques'!$C$4),"")</f>
        <v/>
      </c>
      <c r="AX259" s="49" t="str">
        <f>IF(AND('Choix pédagogiques'!$C$4&lt;&gt;"?",'Choix pédagogiques'!$C$5&lt;&gt;"?",AC259&lt;&gt;""),(AC259-'Choix pédagogiques'!$C$4)/('Choix pédagogiques'!$C$5-'Choix pédagogiques'!$C$4),"")</f>
        <v/>
      </c>
      <c r="AY259" s="49" t="str">
        <f>IF(AND('Choix pédagogiques'!$C$4&lt;&gt;"?",'Choix pédagogiques'!$C$5&lt;&gt;"?",AD259&lt;&gt;""),(AD259-'Choix pédagogiques'!$C$4)/('Choix pédagogiques'!$C$5-'Choix pédagogiques'!$C$4),"")</f>
        <v/>
      </c>
      <c r="AZ259" s="22" t="str">
        <f t="shared" si="218"/>
        <v/>
      </c>
      <c r="BA259" s="21" t="str">
        <f t="shared" si="219"/>
        <v>Apprenant 247</v>
      </c>
      <c r="BB259" s="49" t="str">
        <f t="shared" si="191"/>
        <v/>
      </c>
      <c r="BC259" s="49" t="str">
        <f t="shared" si="192"/>
        <v/>
      </c>
      <c r="BD259" s="49" t="str">
        <f t="shared" si="193"/>
        <v/>
      </c>
      <c r="BE259" s="22" t="str">
        <f t="shared" si="220"/>
        <v/>
      </c>
      <c r="BF259" s="21" t="str">
        <f t="shared" si="221"/>
        <v>Apprenant 247 ou 247'</v>
      </c>
      <c r="BG259" s="49" t="str">
        <f t="shared" si="194"/>
        <v/>
      </c>
      <c r="BH259" s="49" t="str">
        <f t="shared" si="195"/>
        <v/>
      </c>
      <c r="BI259" s="49" t="str">
        <f t="shared" si="196"/>
        <v/>
      </c>
      <c r="BJ259" s="22" t="str">
        <f t="shared" si="222"/>
        <v/>
      </c>
      <c r="BL259" s="21"/>
      <c r="BM259" s="21" t="str">
        <f>IF(OR(COUNT(B259:D1258)=0,AND('Choix pédagogiques'!$C$3&lt;&gt;1,'Choix pédagogiques'!$C$3&lt;&gt;2)),"",IF(AND(OR('Choix pédagogiques'!$C$3=1,'Choix pédagogiques'!$C$3=2),$B259&lt;&gt;"",$C259&lt;&gt;"",$D259&lt;&gt;""),1,0))</f>
        <v/>
      </c>
      <c r="BN259" s="21" t="str">
        <f>IF(OR(COUNT(G259:I1258)=0,AND('Choix pédagogiques'!$C$3&lt;&gt;1,'Choix pédagogiques'!$C$3&lt;&gt;2)),"",IF(AND(OR('Choix pédagogiques'!$C$3=1,'Choix pédagogiques'!$C$3=2),AND($G259&lt;&gt;"",$H259&lt;&gt;"",$I259&lt;&gt;"")),1,0))</f>
        <v/>
      </c>
      <c r="BO259" s="21" t="str">
        <f>IF(OR(COUNT(B259:D1258)=0,COUNT(G259:I1258)=0,'Choix pédagogiques'!C$3&lt;&gt;3),"",IF(AND('Choix pédagogiques'!$C$3=3,$B259&lt;&gt;"",$C259&lt;&gt;"",$D259&lt;&gt;"",$G259&lt;&gt;"",$H259&lt;&gt;"",$I259&lt;&gt;""),1,0))</f>
        <v/>
      </c>
      <c r="BR259" s="21">
        <v>907</v>
      </c>
      <c r="BS259" s="21">
        <v>1457</v>
      </c>
      <c r="BT259"/>
    </row>
    <row r="260" spans="1:72" s="23" customFormat="1" ht="18" customHeight="1" x14ac:dyDescent="0.3">
      <c r="A260" s="35" t="s">
        <v>250</v>
      </c>
      <c r="B260" s="37"/>
      <c r="C260" s="37"/>
      <c r="D260" s="37"/>
      <c r="E260" s="37"/>
      <c r="F260" s="35" t="s">
        <v>1258</v>
      </c>
      <c r="G260" s="37"/>
      <c r="H260" s="37"/>
      <c r="I260" s="37"/>
      <c r="J260" s="37"/>
      <c r="K260" s="21" t="str">
        <f t="shared" si="197"/>
        <v>Apprenant 248</v>
      </c>
      <c r="L260" s="22" t="str">
        <f t="shared" si="198"/>
        <v/>
      </c>
      <c r="M260" s="22" t="str">
        <f t="shared" si="199"/>
        <v/>
      </c>
      <c r="N260" s="22" t="str">
        <f t="shared" si="200"/>
        <v/>
      </c>
      <c r="O260" s="22" t="str">
        <f t="shared" si="201"/>
        <v/>
      </c>
      <c r="P260" s="21" t="str">
        <f t="shared" si="202"/>
        <v>Apprenant 248 ou 248'</v>
      </c>
      <c r="Q260" s="22" t="str">
        <f t="shared" si="203"/>
        <v/>
      </c>
      <c r="R260" s="22" t="str">
        <f t="shared" si="204"/>
        <v/>
      </c>
      <c r="S260" s="22" t="str">
        <f t="shared" si="205"/>
        <v/>
      </c>
      <c r="T260" s="22" t="str">
        <f t="shared" si="206"/>
        <v/>
      </c>
      <c r="V260" s="21" t="str">
        <f t="shared" si="207"/>
        <v>Apprenant 248</v>
      </c>
      <c r="W260" s="22" t="str">
        <f>IF(AND(OR('Choix pédagogiques'!$C$3=1,'Choix pédagogiques'!$C$3=2),$BM260=1),B260,IF(AND('Choix pédagogiques'!$C$3=3,$BO260=1),B260,""))</f>
        <v/>
      </c>
      <c r="X260" s="22" t="str">
        <f>IF(AND(OR('Choix pédagogiques'!$C$3=1,'Choix pédagogiques'!$C$3=2),$BM260=1),C260,IF(AND('Choix pédagogiques'!$C$3=3,$BO260=1),C260,""))</f>
        <v/>
      </c>
      <c r="Y260" s="22" t="str">
        <f>IF(AND(OR('Choix pédagogiques'!$C$3=1,'Choix pédagogiques'!$C$3=2),$BM260=1),D260,IF(AND('Choix pédagogiques'!$C$3=3,$BO260=1),D260,""))</f>
        <v/>
      </c>
      <c r="Z260" s="22" t="str">
        <f t="shared" si="208"/>
        <v/>
      </c>
      <c r="AA260" s="21" t="str">
        <f t="shared" si="209"/>
        <v>Apprenant 248 ou 248'</v>
      </c>
      <c r="AB260" s="22" t="str">
        <f>IF(AND(OR('Choix pédagogiques'!$C$3=1,'Choix pédagogiques'!$C$3=2),$BN260=1),G260,IF(AND('Choix pédagogiques'!$C$3=3,$BO260=1),G260,""))</f>
        <v/>
      </c>
      <c r="AC260" s="22" t="str">
        <f>IF(AND(OR('Choix pédagogiques'!$C$3=1,'Choix pédagogiques'!$C$3=2),$BN260=1),H260,IF(AND('Choix pédagogiques'!$C$3=3,$BO260=1),H260,""))</f>
        <v/>
      </c>
      <c r="AD260" s="22" t="str">
        <f>IF(AND(OR('Choix pédagogiques'!$C$3=1,'Choix pédagogiques'!$C$3=2),$BN260=1),I260,IF(AND('Choix pédagogiques'!$C$3=3,$BO260=1),I260,""))</f>
        <v/>
      </c>
      <c r="AE260" s="22" t="str">
        <f t="shared" si="210"/>
        <v/>
      </c>
      <c r="AF260" s="21" t="str">
        <f t="shared" si="211"/>
        <v>Apprenant 248</v>
      </c>
      <c r="AG260" s="22" t="str">
        <f t="shared" si="185"/>
        <v/>
      </c>
      <c r="AH260" s="22" t="str">
        <f t="shared" si="186"/>
        <v/>
      </c>
      <c r="AI260" s="22" t="str">
        <f t="shared" si="187"/>
        <v/>
      </c>
      <c r="AJ260" s="22" t="str">
        <f t="shared" si="212"/>
        <v/>
      </c>
      <c r="AK260" s="21" t="str">
        <f t="shared" si="213"/>
        <v>Apprenant 248 ou 248'</v>
      </c>
      <c r="AL260" s="22" t="str">
        <f t="shared" si="188"/>
        <v/>
      </c>
      <c r="AM260" s="22" t="str">
        <f t="shared" si="189"/>
        <v/>
      </c>
      <c r="AN260" s="22" t="str">
        <f t="shared" si="190"/>
        <v/>
      </c>
      <c r="AO260" s="22" t="str">
        <f t="shared" si="214"/>
        <v/>
      </c>
      <c r="AQ260" s="21" t="str">
        <f t="shared" si="215"/>
        <v>Apprenant 248</v>
      </c>
      <c r="AR260" s="49" t="str">
        <f>IF(AND('Choix pédagogiques'!$C$4&lt;&gt;"?",'Choix pédagogiques'!$C$5&lt;&gt;"?",W260&lt;&gt;""),(W260-'Choix pédagogiques'!$C$4)/('Choix pédagogiques'!$C$5-'Choix pédagogiques'!$C$4),"")</f>
        <v/>
      </c>
      <c r="AS260" s="49" t="str">
        <f>IF(AND('Choix pédagogiques'!$C$4&lt;&gt;"?",'Choix pédagogiques'!$C$5&lt;&gt;"?",X260&lt;&gt;""),(X260-'Choix pédagogiques'!$C$4)/('Choix pédagogiques'!$C$5-'Choix pédagogiques'!$C$4),"")</f>
        <v/>
      </c>
      <c r="AT260" s="49" t="str">
        <f>IF(AND('Choix pédagogiques'!$C$4&lt;&gt;"?",'Choix pédagogiques'!$C$5&lt;&gt;"?",Y260&lt;&gt;""),(Y260-'Choix pédagogiques'!$C$4)/('Choix pédagogiques'!$C$5-'Choix pédagogiques'!$C$4),"")</f>
        <v/>
      </c>
      <c r="AU260" s="22" t="str">
        <f t="shared" si="216"/>
        <v/>
      </c>
      <c r="AV260" s="21" t="str">
        <f t="shared" si="217"/>
        <v>Apprenant 248 ou 248'</v>
      </c>
      <c r="AW260" s="49" t="str">
        <f>IF(AND('Choix pédagogiques'!$C$4&lt;&gt;"?",'Choix pédagogiques'!$C$5&lt;&gt;"?",AB260&lt;&gt;""),(AB260-'Choix pédagogiques'!$C$4)/('Choix pédagogiques'!$C$5-'Choix pédagogiques'!$C$4),"")</f>
        <v/>
      </c>
      <c r="AX260" s="49" t="str">
        <f>IF(AND('Choix pédagogiques'!$C$4&lt;&gt;"?",'Choix pédagogiques'!$C$5&lt;&gt;"?",AC260&lt;&gt;""),(AC260-'Choix pédagogiques'!$C$4)/('Choix pédagogiques'!$C$5-'Choix pédagogiques'!$C$4),"")</f>
        <v/>
      </c>
      <c r="AY260" s="49" t="str">
        <f>IF(AND('Choix pédagogiques'!$C$4&lt;&gt;"?",'Choix pédagogiques'!$C$5&lt;&gt;"?",AD260&lt;&gt;""),(AD260-'Choix pédagogiques'!$C$4)/('Choix pédagogiques'!$C$5-'Choix pédagogiques'!$C$4),"")</f>
        <v/>
      </c>
      <c r="AZ260" s="22" t="str">
        <f t="shared" si="218"/>
        <v/>
      </c>
      <c r="BA260" s="21" t="str">
        <f t="shared" si="219"/>
        <v>Apprenant 248</v>
      </c>
      <c r="BB260" s="49" t="str">
        <f t="shared" si="191"/>
        <v/>
      </c>
      <c r="BC260" s="49" t="str">
        <f t="shared" si="192"/>
        <v/>
      </c>
      <c r="BD260" s="49" t="str">
        <f t="shared" si="193"/>
        <v/>
      </c>
      <c r="BE260" s="22" t="str">
        <f t="shared" si="220"/>
        <v/>
      </c>
      <c r="BF260" s="21" t="str">
        <f t="shared" si="221"/>
        <v>Apprenant 248 ou 248'</v>
      </c>
      <c r="BG260" s="49" t="str">
        <f t="shared" si="194"/>
        <v/>
      </c>
      <c r="BH260" s="49" t="str">
        <f t="shared" si="195"/>
        <v/>
      </c>
      <c r="BI260" s="49" t="str">
        <f t="shared" si="196"/>
        <v/>
      </c>
      <c r="BJ260" s="22" t="str">
        <f t="shared" si="222"/>
        <v/>
      </c>
      <c r="BL260" s="21"/>
      <c r="BM260" s="21" t="str">
        <f>IF(OR(COUNT(B260:D1259)=0,AND('Choix pédagogiques'!$C$3&lt;&gt;1,'Choix pédagogiques'!$C$3&lt;&gt;2)),"",IF(AND(OR('Choix pédagogiques'!$C$3=1,'Choix pédagogiques'!$C$3=2),$B260&lt;&gt;"",$C260&lt;&gt;"",$D260&lt;&gt;""),1,0))</f>
        <v/>
      </c>
      <c r="BN260" s="21" t="str">
        <f>IF(OR(COUNT(G260:I1259)=0,AND('Choix pédagogiques'!$C$3&lt;&gt;1,'Choix pédagogiques'!$C$3&lt;&gt;2)),"",IF(AND(OR('Choix pédagogiques'!$C$3=1,'Choix pédagogiques'!$C$3=2),AND($G260&lt;&gt;"",$H260&lt;&gt;"",$I260&lt;&gt;"")),1,0))</f>
        <v/>
      </c>
      <c r="BO260" s="21" t="str">
        <f>IF(OR(COUNT(B260:D1259)=0,COUNT(G260:I1259)=0,'Choix pédagogiques'!C$3&lt;&gt;3),"",IF(AND('Choix pédagogiques'!$C$3=3,$B260&lt;&gt;"",$C260&lt;&gt;"",$D260&lt;&gt;"",$G260&lt;&gt;"",$H260&lt;&gt;"",$I260&lt;&gt;""),1,0))</f>
        <v/>
      </c>
      <c r="BR260" s="21">
        <v>461</v>
      </c>
      <c r="BS260" s="21">
        <v>1357</v>
      </c>
      <c r="BT260"/>
    </row>
    <row r="261" spans="1:72" s="23" customFormat="1" ht="18" customHeight="1" x14ac:dyDescent="0.3">
      <c r="A261" s="35" t="s">
        <v>251</v>
      </c>
      <c r="B261" s="37"/>
      <c r="C261" s="37"/>
      <c r="D261" s="37"/>
      <c r="E261" s="37"/>
      <c r="F261" s="35" t="s">
        <v>1259</v>
      </c>
      <c r="G261" s="37"/>
      <c r="H261" s="37"/>
      <c r="I261" s="37"/>
      <c r="J261" s="37"/>
      <c r="K261" s="21" t="str">
        <f t="shared" si="197"/>
        <v>Apprenant 249</v>
      </c>
      <c r="L261" s="22" t="str">
        <f t="shared" si="198"/>
        <v/>
      </c>
      <c r="M261" s="22" t="str">
        <f t="shared" si="199"/>
        <v/>
      </c>
      <c r="N261" s="22" t="str">
        <f t="shared" si="200"/>
        <v/>
      </c>
      <c r="O261" s="22" t="str">
        <f t="shared" si="201"/>
        <v/>
      </c>
      <c r="P261" s="21" t="str">
        <f t="shared" si="202"/>
        <v>Apprenant 249 ou 249'</v>
      </c>
      <c r="Q261" s="22" t="str">
        <f t="shared" si="203"/>
        <v/>
      </c>
      <c r="R261" s="22" t="str">
        <f t="shared" si="204"/>
        <v/>
      </c>
      <c r="S261" s="22" t="str">
        <f t="shared" si="205"/>
        <v/>
      </c>
      <c r="T261" s="22" t="str">
        <f t="shared" si="206"/>
        <v/>
      </c>
      <c r="V261" s="21" t="str">
        <f t="shared" si="207"/>
        <v>Apprenant 249</v>
      </c>
      <c r="W261" s="22" t="str">
        <f>IF(AND(OR('Choix pédagogiques'!$C$3=1,'Choix pédagogiques'!$C$3=2),$BM261=1),B261,IF(AND('Choix pédagogiques'!$C$3=3,$BO261=1),B261,""))</f>
        <v/>
      </c>
      <c r="X261" s="22" t="str">
        <f>IF(AND(OR('Choix pédagogiques'!$C$3=1,'Choix pédagogiques'!$C$3=2),$BM261=1),C261,IF(AND('Choix pédagogiques'!$C$3=3,$BO261=1),C261,""))</f>
        <v/>
      </c>
      <c r="Y261" s="22" t="str">
        <f>IF(AND(OR('Choix pédagogiques'!$C$3=1,'Choix pédagogiques'!$C$3=2),$BM261=1),D261,IF(AND('Choix pédagogiques'!$C$3=3,$BO261=1),D261,""))</f>
        <v/>
      </c>
      <c r="Z261" s="22" t="str">
        <f t="shared" si="208"/>
        <v/>
      </c>
      <c r="AA261" s="21" t="str">
        <f t="shared" si="209"/>
        <v>Apprenant 249 ou 249'</v>
      </c>
      <c r="AB261" s="22" t="str">
        <f>IF(AND(OR('Choix pédagogiques'!$C$3=1,'Choix pédagogiques'!$C$3=2),$BN261=1),G261,IF(AND('Choix pédagogiques'!$C$3=3,$BO261=1),G261,""))</f>
        <v/>
      </c>
      <c r="AC261" s="22" t="str">
        <f>IF(AND(OR('Choix pédagogiques'!$C$3=1,'Choix pédagogiques'!$C$3=2),$BN261=1),H261,IF(AND('Choix pédagogiques'!$C$3=3,$BO261=1),H261,""))</f>
        <v/>
      </c>
      <c r="AD261" s="22" t="str">
        <f>IF(AND(OR('Choix pédagogiques'!$C$3=1,'Choix pédagogiques'!$C$3=2),$BN261=1),I261,IF(AND('Choix pédagogiques'!$C$3=3,$BO261=1),I261,""))</f>
        <v/>
      </c>
      <c r="AE261" s="22" t="str">
        <f t="shared" si="210"/>
        <v/>
      </c>
      <c r="AF261" s="21" t="str">
        <f t="shared" si="211"/>
        <v>Apprenant 249</v>
      </c>
      <c r="AG261" s="22" t="str">
        <f t="shared" si="185"/>
        <v/>
      </c>
      <c r="AH261" s="22" t="str">
        <f t="shared" si="186"/>
        <v/>
      </c>
      <c r="AI261" s="22" t="str">
        <f t="shared" si="187"/>
        <v/>
      </c>
      <c r="AJ261" s="22" t="str">
        <f t="shared" si="212"/>
        <v/>
      </c>
      <c r="AK261" s="21" t="str">
        <f t="shared" si="213"/>
        <v>Apprenant 249 ou 249'</v>
      </c>
      <c r="AL261" s="22" t="str">
        <f t="shared" si="188"/>
        <v/>
      </c>
      <c r="AM261" s="22" t="str">
        <f t="shared" si="189"/>
        <v/>
      </c>
      <c r="AN261" s="22" t="str">
        <f t="shared" si="190"/>
        <v/>
      </c>
      <c r="AO261" s="22" t="str">
        <f t="shared" si="214"/>
        <v/>
      </c>
      <c r="AQ261" s="21" t="str">
        <f t="shared" si="215"/>
        <v>Apprenant 249</v>
      </c>
      <c r="AR261" s="49" t="str">
        <f>IF(AND('Choix pédagogiques'!$C$4&lt;&gt;"?",'Choix pédagogiques'!$C$5&lt;&gt;"?",W261&lt;&gt;""),(W261-'Choix pédagogiques'!$C$4)/('Choix pédagogiques'!$C$5-'Choix pédagogiques'!$C$4),"")</f>
        <v/>
      </c>
      <c r="AS261" s="49" t="str">
        <f>IF(AND('Choix pédagogiques'!$C$4&lt;&gt;"?",'Choix pédagogiques'!$C$5&lt;&gt;"?",X261&lt;&gt;""),(X261-'Choix pédagogiques'!$C$4)/('Choix pédagogiques'!$C$5-'Choix pédagogiques'!$C$4),"")</f>
        <v/>
      </c>
      <c r="AT261" s="49" t="str">
        <f>IF(AND('Choix pédagogiques'!$C$4&lt;&gt;"?",'Choix pédagogiques'!$C$5&lt;&gt;"?",Y261&lt;&gt;""),(Y261-'Choix pédagogiques'!$C$4)/('Choix pédagogiques'!$C$5-'Choix pédagogiques'!$C$4),"")</f>
        <v/>
      </c>
      <c r="AU261" s="22" t="str">
        <f t="shared" si="216"/>
        <v/>
      </c>
      <c r="AV261" s="21" t="str">
        <f t="shared" si="217"/>
        <v>Apprenant 249 ou 249'</v>
      </c>
      <c r="AW261" s="49" t="str">
        <f>IF(AND('Choix pédagogiques'!$C$4&lt;&gt;"?",'Choix pédagogiques'!$C$5&lt;&gt;"?",AB261&lt;&gt;""),(AB261-'Choix pédagogiques'!$C$4)/('Choix pédagogiques'!$C$5-'Choix pédagogiques'!$C$4),"")</f>
        <v/>
      </c>
      <c r="AX261" s="49" t="str">
        <f>IF(AND('Choix pédagogiques'!$C$4&lt;&gt;"?",'Choix pédagogiques'!$C$5&lt;&gt;"?",AC261&lt;&gt;""),(AC261-'Choix pédagogiques'!$C$4)/('Choix pédagogiques'!$C$5-'Choix pédagogiques'!$C$4),"")</f>
        <v/>
      </c>
      <c r="AY261" s="49" t="str">
        <f>IF(AND('Choix pédagogiques'!$C$4&lt;&gt;"?",'Choix pédagogiques'!$C$5&lt;&gt;"?",AD261&lt;&gt;""),(AD261-'Choix pédagogiques'!$C$4)/('Choix pédagogiques'!$C$5-'Choix pédagogiques'!$C$4),"")</f>
        <v/>
      </c>
      <c r="AZ261" s="22" t="str">
        <f t="shared" si="218"/>
        <v/>
      </c>
      <c r="BA261" s="21" t="str">
        <f t="shared" si="219"/>
        <v>Apprenant 249</v>
      </c>
      <c r="BB261" s="49" t="str">
        <f t="shared" si="191"/>
        <v/>
      </c>
      <c r="BC261" s="49" t="str">
        <f t="shared" si="192"/>
        <v/>
      </c>
      <c r="BD261" s="49" t="str">
        <f t="shared" si="193"/>
        <v/>
      </c>
      <c r="BE261" s="22" t="str">
        <f t="shared" si="220"/>
        <v/>
      </c>
      <c r="BF261" s="21" t="str">
        <f t="shared" si="221"/>
        <v>Apprenant 249 ou 249'</v>
      </c>
      <c r="BG261" s="49" t="str">
        <f t="shared" si="194"/>
        <v/>
      </c>
      <c r="BH261" s="49" t="str">
        <f t="shared" si="195"/>
        <v/>
      </c>
      <c r="BI261" s="49" t="str">
        <f t="shared" si="196"/>
        <v/>
      </c>
      <c r="BJ261" s="22" t="str">
        <f t="shared" si="222"/>
        <v/>
      </c>
      <c r="BL261" s="21"/>
      <c r="BM261" s="21" t="str">
        <f>IF(OR(COUNT(B261:D1260)=0,AND('Choix pédagogiques'!$C$3&lt;&gt;1,'Choix pédagogiques'!$C$3&lt;&gt;2)),"",IF(AND(OR('Choix pédagogiques'!$C$3=1,'Choix pédagogiques'!$C$3=2),$B261&lt;&gt;"",$C261&lt;&gt;"",$D261&lt;&gt;""),1,0))</f>
        <v/>
      </c>
      <c r="BN261" s="21" t="str">
        <f>IF(OR(COUNT(G261:I1260)=0,AND('Choix pédagogiques'!$C$3&lt;&gt;1,'Choix pédagogiques'!$C$3&lt;&gt;2)),"",IF(AND(OR('Choix pédagogiques'!$C$3=1,'Choix pédagogiques'!$C$3=2),AND($G261&lt;&gt;"",$H261&lt;&gt;"",$I261&lt;&gt;"")),1,0))</f>
        <v/>
      </c>
      <c r="BO261" s="21" t="str">
        <f>IF(OR(COUNT(B261:D1260)=0,COUNT(G261:I1260)=0,'Choix pédagogiques'!C$3&lt;&gt;3),"",IF(AND('Choix pédagogiques'!$C$3=3,$B261&lt;&gt;"",$C261&lt;&gt;"",$D261&lt;&gt;"",$G261&lt;&gt;"",$H261&lt;&gt;"",$I261&lt;&gt;""),1,0))</f>
        <v/>
      </c>
      <c r="BR261" s="21">
        <v>319</v>
      </c>
      <c r="BS261" s="21">
        <v>1033</v>
      </c>
      <c r="BT261"/>
    </row>
    <row r="262" spans="1:72" s="23" customFormat="1" ht="18" customHeight="1" x14ac:dyDescent="0.3">
      <c r="A262" s="35" t="s">
        <v>252</v>
      </c>
      <c r="B262" s="37"/>
      <c r="C262" s="37"/>
      <c r="D262" s="37"/>
      <c r="E262" s="37"/>
      <c r="F262" s="35" t="s">
        <v>1260</v>
      </c>
      <c r="G262" s="37"/>
      <c r="H262" s="37"/>
      <c r="I262" s="37"/>
      <c r="J262" s="37"/>
      <c r="K262" s="21" t="str">
        <f t="shared" si="197"/>
        <v>Apprenant 250</v>
      </c>
      <c r="L262" s="22" t="str">
        <f t="shared" si="198"/>
        <v/>
      </c>
      <c r="M262" s="22" t="str">
        <f t="shared" si="199"/>
        <v/>
      </c>
      <c r="N262" s="22" t="str">
        <f t="shared" si="200"/>
        <v/>
      </c>
      <c r="O262" s="22" t="str">
        <f t="shared" si="201"/>
        <v/>
      </c>
      <c r="P262" s="21" t="str">
        <f t="shared" si="202"/>
        <v>Apprenant 250 ou 250'</v>
      </c>
      <c r="Q262" s="22" t="str">
        <f t="shared" si="203"/>
        <v/>
      </c>
      <c r="R262" s="22" t="str">
        <f t="shared" si="204"/>
        <v/>
      </c>
      <c r="S262" s="22" t="str">
        <f t="shared" si="205"/>
        <v/>
      </c>
      <c r="T262" s="22" t="str">
        <f t="shared" si="206"/>
        <v/>
      </c>
      <c r="V262" s="21" t="str">
        <f t="shared" si="207"/>
        <v>Apprenant 250</v>
      </c>
      <c r="W262" s="22" t="str">
        <f>IF(AND(OR('Choix pédagogiques'!$C$3=1,'Choix pédagogiques'!$C$3=2),$BM262=1),B262,IF(AND('Choix pédagogiques'!$C$3=3,$BO262=1),B262,""))</f>
        <v/>
      </c>
      <c r="X262" s="22" t="str">
        <f>IF(AND(OR('Choix pédagogiques'!$C$3=1,'Choix pédagogiques'!$C$3=2),$BM262=1),C262,IF(AND('Choix pédagogiques'!$C$3=3,$BO262=1),C262,""))</f>
        <v/>
      </c>
      <c r="Y262" s="22" t="str">
        <f>IF(AND(OR('Choix pédagogiques'!$C$3=1,'Choix pédagogiques'!$C$3=2),$BM262=1),D262,IF(AND('Choix pédagogiques'!$C$3=3,$BO262=1),D262,""))</f>
        <v/>
      </c>
      <c r="Z262" s="22" t="str">
        <f t="shared" si="208"/>
        <v/>
      </c>
      <c r="AA262" s="21" t="str">
        <f t="shared" si="209"/>
        <v>Apprenant 250 ou 250'</v>
      </c>
      <c r="AB262" s="22" t="str">
        <f>IF(AND(OR('Choix pédagogiques'!$C$3=1,'Choix pédagogiques'!$C$3=2),$BN262=1),G262,IF(AND('Choix pédagogiques'!$C$3=3,$BO262=1),G262,""))</f>
        <v/>
      </c>
      <c r="AC262" s="22" t="str">
        <f>IF(AND(OR('Choix pédagogiques'!$C$3=1,'Choix pédagogiques'!$C$3=2),$BN262=1),H262,IF(AND('Choix pédagogiques'!$C$3=3,$BO262=1),H262,""))</f>
        <v/>
      </c>
      <c r="AD262" s="22" t="str">
        <f>IF(AND(OR('Choix pédagogiques'!$C$3=1,'Choix pédagogiques'!$C$3=2),$BN262=1),I262,IF(AND('Choix pédagogiques'!$C$3=3,$BO262=1),I262,""))</f>
        <v/>
      </c>
      <c r="AE262" s="22" t="str">
        <f t="shared" si="210"/>
        <v/>
      </c>
      <c r="AF262" s="21" t="str">
        <f t="shared" si="211"/>
        <v>Apprenant 250</v>
      </c>
      <c r="AG262" s="22" t="str">
        <f t="shared" si="185"/>
        <v/>
      </c>
      <c r="AH262" s="22" t="str">
        <f t="shared" si="186"/>
        <v/>
      </c>
      <c r="AI262" s="22" t="str">
        <f t="shared" si="187"/>
        <v/>
      </c>
      <c r="AJ262" s="22" t="str">
        <f t="shared" si="212"/>
        <v/>
      </c>
      <c r="AK262" s="21" t="str">
        <f t="shared" si="213"/>
        <v>Apprenant 250 ou 250'</v>
      </c>
      <c r="AL262" s="22" t="str">
        <f t="shared" si="188"/>
        <v/>
      </c>
      <c r="AM262" s="22" t="str">
        <f t="shared" si="189"/>
        <v/>
      </c>
      <c r="AN262" s="22" t="str">
        <f t="shared" si="190"/>
        <v/>
      </c>
      <c r="AO262" s="22" t="str">
        <f t="shared" si="214"/>
        <v/>
      </c>
      <c r="AQ262" s="21" t="str">
        <f t="shared" si="215"/>
        <v>Apprenant 250</v>
      </c>
      <c r="AR262" s="49" t="str">
        <f>IF(AND('Choix pédagogiques'!$C$4&lt;&gt;"?",'Choix pédagogiques'!$C$5&lt;&gt;"?",W262&lt;&gt;""),(W262-'Choix pédagogiques'!$C$4)/('Choix pédagogiques'!$C$5-'Choix pédagogiques'!$C$4),"")</f>
        <v/>
      </c>
      <c r="AS262" s="49" t="str">
        <f>IF(AND('Choix pédagogiques'!$C$4&lt;&gt;"?",'Choix pédagogiques'!$C$5&lt;&gt;"?",X262&lt;&gt;""),(X262-'Choix pédagogiques'!$C$4)/('Choix pédagogiques'!$C$5-'Choix pédagogiques'!$C$4),"")</f>
        <v/>
      </c>
      <c r="AT262" s="49" t="str">
        <f>IF(AND('Choix pédagogiques'!$C$4&lt;&gt;"?",'Choix pédagogiques'!$C$5&lt;&gt;"?",Y262&lt;&gt;""),(Y262-'Choix pédagogiques'!$C$4)/('Choix pédagogiques'!$C$5-'Choix pédagogiques'!$C$4),"")</f>
        <v/>
      </c>
      <c r="AU262" s="22" t="str">
        <f t="shared" si="216"/>
        <v/>
      </c>
      <c r="AV262" s="21" t="str">
        <f t="shared" si="217"/>
        <v>Apprenant 250 ou 250'</v>
      </c>
      <c r="AW262" s="49" t="str">
        <f>IF(AND('Choix pédagogiques'!$C$4&lt;&gt;"?",'Choix pédagogiques'!$C$5&lt;&gt;"?",AB262&lt;&gt;""),(AB262-'Choix pédagogiques'!$C$4)/('Choix pédagogiques'!$C$5-'Choix pédagogiques'!$C$4),"")</f>
        <v/>
      </c>
      <c r="AX262" s="49" t="str">
        <f>IF(AND('Choix pédagogiques'!$C$4&lt;&gt;"?",'Choix pédagogiques'!$C$5&lt;&gt;"?",AC262&lt;&gt;""),(AC262-'Choix pédagogiques'!$C$4)/('Choix pédagogiques'!$C$5-'Choix pédagogiques'!$C$4),"")</f>
        <v/>
      </c>
      <c r="AY262" s="49" t="str">
        <f>IF(AND('Choix pédagogiques'!$C$4&lt;&gt;"?",'Choix pédagogiques'!$C$5&lt;&gt;"?",AD262&lt;&gt;""),(AD262-'Choix pédagogiques'!$C$4)/('Choix pédagogiques'!$C$5-'Choix pédagogiques'!$C$4),"")</f>
        <v/>
      </c>
      <c r="AZ262" s="22" t="str">
        <f t="shared" si="218"/>
        <v/>
      </c>
      <c r="BA262" s="21" t="str">
        <f t="shared" si="219"/>
        <v>Apprenant 250</v>
      </c>
      <c r="BB262" s="49" t="str">
        <f t="shared" si="191"/>
        <v/>
      </c>
      <c r="BC262" s="49" t="str">
        <f t="shared" si="192"/>
        <v/>
      </c>
      <c r="BD262" s="49" t="str">
        <f t="shared" si="193"/>
        <v/>
      </c>
      <c r="BE262" s="22" t="str">
        <f t="shared" si="220"/>
        <v/>
      </c>
      <c r="BF262" s="21" t="str">
        <f t="shared" si="221"/>
        <v>Apprenant 250 ou 250'</v>
      </c>
      <c r="BG262" s="49" t="str">
        <f t="shared" si="194"/>
        <v/>
      </c>
      <c r="BH262" s="49" t="str">
        <f t="shared" si="195"/>
        <v/>
      </c>
      <c r="BI262" s="49" t="str">
        <f t="shared" si="196"/>
        <v/>
      </c>
      <c r="BJ262" s="22" t="str">
        <f t="shared" si="222"/>
        <v/>
      </c>
      <c r="BL262" s="21"/>
      <c r="BM262" s="21" t="str">
        <f>IF(OR(COUNT(B262:D1261)=0,AND('Choix pédagogiques'!$C$3&lt;&gt;1,'Choix pédagogiques'!$C$3&lt;&gt;2)),"",IF(AND(OR('Choix pédagogiques'!$C$3=1,'Choix pédagogiques'!$C$3=2),$B262&lt;&gt;"",$C262&lt;&gt;"",$D262&lt;&gt;""),1,0))</f>
        <v/>
      </c>
      <c r="BN262" s="21" t="str">
        <f>IF(OR(COUNT(G262:I1261)=0,AND('Choix pédagogiques'!$C$3&lt;&gt;1,'Choix pédagogiques'!$C$3&lt;&gt;2)),"",IF(AND(OR('Choix pédagogiques'!$C$3=1,'Choix pédagogiques'!$C$3=2),AND($G262&lt;&gt;"",$H262&lt;&gt;"",$I262&lt;&gt;"")),1,0))</f>
        <v/>
      </c>
      <c r="BO262" s="21" t="str">
        <f>IF(OR(COUNT(B262:D1261)=0,COUNT(G262:I1261)=0,'Choix pédagogiques'!C$3&lt;&gt;3),"",IF(AND('Choix pédagogiques'!$C$3=3,$B262&lt;&gt;"",$C262&lt;&gt;"",$D262&lt;&gt;"",$G262&lt;&gt;"",$H262&lt;&gt;"",$I262&lt;&gt;""),1,0))</f>
        <v/>
      </c>
      <c r="BR262" s="21">
        <v>248</v>
      </c>
      <c r="BS262" s="21">
        <v>1152</v>
      </c>
      <c r="BT262"/>
    </row>
    <row r="263" spans="1:72" s="23" customFormat="1" ht="18" customHeight="1" x14ac:dyDescent="0.3">
      <c r="A263" s="35" t="s">
        <v>253</v>
      </c>
      <c r="B263" s="37"/>
      <c r="C263" s="37"/>
      <c r="D263" s="37"/>
      <c r="E263" s="37"/>
      <c r="F263" s="35" t="s">
        <v>1261</v>
      </c>
      <c r="G263" s="37"/>
      <c r="H263" s="37"/>
      <c r="I263" s="37"/>
      <c r="J263" s="37"/>
      <c r="K263" s="21" t="str">
        <f t="shared" si="197"/>
        <v>Apprenant 251</v>
      </c>
      <c r="L263" s="22" t="str">
        <f t="shared" si="198"/>
        <v/>
      </c>
      <c r="M263" s="22" t="str">
        <f t="shared" si="199"/>
        <v/>
      </c>
      <c r="N263" s="22" t="str">
        <f t="shared" si="200"/>
        <v/>
      </c>
      <c r="O263" s="22" t="str">
        <f t="shared" si="201"/>
        <v/>
      </c>
      <c r="P263" s="21" t="str">
        <f t="shared" si="202"/>
        <v>Apprenant 251 ou 251'</v>
      </c>
      <c r="Q263" s="22" t="str">
        <f t="shared" si="203"/>
        <v/>
      </c>
      <c r="R263" s="22" t="str">
        <f t="shared" si="204"/>
        <v/>
      </c>
      <c r="S263" s="22" t="str">
        <f t="shared" si="205"/>
        <v/>
      </c>
      <c r="T263" s="22" t="str">
        <f t="shared" si="206"/>
        <v/>
      </c>
      <c r="V263" s="21" t="str">
        <f t="shared" si="207"/>
        <v>Apprenant 251</v>
      </c>
      <c r="W263" s="22" t="str">
        <f>IF(AND(OR('Choix pédagogiques'!$C$3=1,'Choix pédagogiques'!$C$3=2),$BM263=1),B263,IF(AND('Choix pédagogiques'!$C$3=3,$BO263=1),B263,""))</f>
        <v/>
      </c>
      <c r="X263" s="22" t="str">
        <f>IF(AND(OR('Choix pédagogiques'!$C$3=1,'Choix pédagogiques'!$C$3=2),$BM263=1),C263,IF(AND('Choix pédagogiques'!$C$3=3,$BO263=1),C263,""))</f>
        <v/>
      </c>
      <c r="Y263" s="22" t="str">
        <f>IF(AND(OR('Choix pédagogiques'!$C$3=1,'Choix pédagogiques'!$C$3=2),$BM263=1),D263,IF(AND('Choix pédagogiques'!$C$3=3,$BO263=1),D263,""))</f>
        <v/>
      </c>
      <c r="Z263" s="22" t="str">
        <f t="shared" si="208"/>
        <v/>
      </c>
      <c r="AA263" s="21" t="str">
        <f t="shared" si="209"/>
        <v>Apprenant 251 ou 251'</v>
      </c>
      <c r="AB263" s="22" t="str">
        <f>IF(AND(OR('Choix pédagogiques'!$C$3=1,'Choix pédagogiques'!$C$3=2),$BN263=1),G263,IF(AND('Choix pédagogiques'!$C$3=3,$BO263=1),G263,""))</f>
        <v/>
      </c>
      <c r="AC263" s="22" t="str">
        <f>IF(AND(OR('Choix pédagogiques'!$C$3=1,'Choix pédagogiques'!$C$3=2),$BN263=1),H263,IF(AND('Choix pédagogiques'!$C$3=3,$BO263=1),H263,""))</f>
        <v/>
      </c>
      <c r="AD263" s="22" t="str">
        <f>IF(AND(OR('Choix pédagogiques'!$C$3=1,'Choix pédagogiques'!$C$3=2),$BN263=1),I263,IF(AND('Choix pédagogiques'!$C$3=3,$BO263=1),I263,""))</f>
        <v/>
      </c>
      <c r="AE263" s="22" t="str">
        <f t="shared" si="210"/>
        <v/>
      </c>
      <c r="AF263" s="21" t="str">
        <f t="shared" si="211"/>
        <v>Apprenant 251</v>
      </c>
      <c r="AG263" s="22" t="str">
        <f t="shared" si="185"/>
        <v/>
      </c>
      <c r="AH263" s="22" t="str">
        <f t="shared" si="186"/>
        <v/>
      </c>
      <c r="AI263" s="22" t="str">
        <f t="shared" si="187"/>
        <v/>
      </c>
      <c r="AJ263" s="22" t="str">
        <f t="shared" si="212"/>
        <v/>
      </c>
      <c r="AK263" s="21" t="str">
        <f t="shared" si="213"/>
        <v>Apprenant 251 ou 251'</v>
      </c>
      <c r="AL263" s="22" t="str">
        <f t="shared" si="188"/>
        <v/>
      </c>
      <c r="AM263" s="22" t="str">
        <f t="shared" si="189"/>
        <v/>
      </c>
      <c r="AN263" s="22" t="str">
        <f t="shared" si="190"/>
        <v/>
      </c>
      <c r="AO263" s="22" t="str">
        <f t="shared" si="214"/>
        <v/>
      </c>
      <c r="AQ263" s="21" t="str">
        <f t="shared" si="215"/>
        <v>Apprenant 251</v>
      </c>
      <c r="AR263" s="49" t="str">
        <f>IF(AND('Choix pédagogiques'!$C$4&lt;&gt;"?",'Choix pédagogiques'!$C$5&lt;&gt;"?",W263&lt;&gt;""),(W263-'Choix pédagogiques'!$C$4)/('Choix pédagogiques'!$C$5-'Choix pédagogiques'!$C$4),"")</f>
        <v/>
      </c>
      <c r="AS263" s="49" t="str">
        <f>IF(AND('Choix pédagogiques'!$C$4&lt;&gt;"?",'Choix pédagogiques'!$C$5&lt;&gt;"?",X263&lt;&gt;""),(X263-'Choix pédagogiques'!$C$4)/('Choix pédagogiques'!$C$5-'Choix pédagogiques'!$C$4),"")</f>
        <v/>
      </c>
      <c r="AT263" s="49" t="str">
        <f>IF(AND('Choix pédagogiques'!$C$4&lt;&gt;"?",'Choix pédagogiques'!$C$5&lt;&gt;"?",Y263&lt;&gt;""),(Y263-'Choix pédagogiques'!$C$4)/('Choix pédagogiques'!$C$5-'Choix pédagogiques'!$C$4),"")</f>
        <v/>
      </c>
      <c r="AU263" s="22" t="str">
        <f t="shared" si="216"/>
        <v/>
      </c>
      <c r="AV263" s="21" t="str">
        <f t="shared" si="217"/>
        <v>Apprenant 251 ou 251'</v>
      </c>
      <c r="AW263" s="49" t="str">
        <f>IF(AND('Choix pédagogiques'!$C$4&lt;&gt;"?",'Choix pédagogiques'!$C$5&lt;&gt;"?",AB263&lt;&gt;""),(AB263-'Choix pédagogiques'!$C$4)/('Choix pédagogiques'!$C$5-'Choix pédagogiques'!$C$4),"")</f>
        <v/>
      </c>
      <c r="AX263" s="49" t="str">
        <f>IF(AND('Choix pédagogiques'!$C$4&lt;&gt;"?",'Choix pédagogiques'!$C$5&lt;&gt;"?",AC263&lt;&gt;""),(AC263-'Choix pédagogiques'!$C$4)/('Choix pédagogiques'!$C$5-'Choix pédagogiques'!$C$4),"")</f>
        <v/>
      </c>
      <c r="AY263" s="49" t="str">
        <f>IF(AND('Choix pédagogiques'!$C$4&lt;&gt;"?",'Choix pédagogiques'!$C$5&lt;&gt;"?",AD263&lt;&gt;""),(AD263-'Choix pédagogiques'!$C$4)/('Choix pédagogiques'!$C$5-'Choix pédagogiques'!$C$4),"")</f>
        <v/>
      </c>
      <c r="AZ263" s="22" t="str">
        <f t="shared" si="218"/>
        <v/>
      </c>
      <c r="BA263" s="21" t="str">
        <f t="shared" si="219"/>
        <v>Apprenant 251</v>
      </c>
      <c r="BB263" s="49" t="str">
        <f t="shared" si="191"/>
        <v/>
      </c>
      <c r="BC263" s="49" t="str">
        <f t="shared" si="192"/>
        <v/>
      </c>
      <c r="BD263" s="49" t="str">
        <f t="shared" si="193"/>
        <v/>
      </c>
      <c r="BE263" s="22" t="str">
        <f t="shared" si="220"/>
        <v/>
      </c>
      <c r="BF263" s="21" t="str">
        <f t="shared" si="221"/>
        <v>Apprenant 251 ou 251'</v>
      </c>
      <c r="BG263" s="49" t="str">
        <f t="shared" si="194"/>
        <v/>
      </c>
      <c r="BH263" s="49" t="str">
        <f t="shared" si="195"/>
        <v/>
      </c>
      <c r="BI263" s="49" t="str">
        <f t="shared" si="196"/>
        <v/>
      </c>
      <c r="BJ263" s="22" t="str">
        <f t="shared" si="222"/>
        <v/>
      </c>
      <c r="BL263" s="21"/>
      <c r="BM263" s="21" t="str">
        <f>IF(OR(COUNT(B263:D1262)=0,AND('Choix pédagogiques'!$C$3&lt;&gt;1,'Choix pédagogiques'!$C$3&lt;&gt;2)),"",IF(AND(OR('Choix pédagogiques'!$C$3=1,'Choix pédagogiques'!$C$3=2),$B263&lt;&gt;"",$C263&lt;&gt;"",$D263&lt;&gt;""),1,0))</f>
        <v/>
      </c>
      <c r="BN263" s="21" t="str">
        <f>IF(OR(COUNT(G263:I1262)=0,AND('Choix pédagogiques'!$C$3&lt;&gt;1,'Choix pédagogiques'!$C$3&lt;&gt;2)),"",IF(AND(OR('Choix pédagogiques'!$C$3=1,'Choix pédagogiques'!$C$3=2),AND($G263&lt;&gt;"",$H263&lt;&gt;"",$I263&lt;&gt;"")),1,0))</f>
        <v/>
      </c>
      <c r="BO263" s="21" t="str">
        <f>IF(OR(COUNT(B263:D1262)=0,COUNT(G263:I1262)=0,'Choix pédagogiques'!C$3&lt;&gt;3),"",IF(AND('Choix pédagogiques'!$C$3=3,$B263&lt;&gt;"",$C263&lt;&gt;"",$D263&lt;&gt;"",$G263&lt;&gt;"",$H263&lt;&gt;"",$I263&lt;&gt;""),1,0))</f>
        <v/>
      </c>
      <c r="BR263" s="21">
        <v>309</v>
      </c>
      <c r="BS263" s="21">
        <v>1714</v>
      </c>
      <c r="BT263"/>
    </row>
    <row r="264" spans="1:72" s="23" customFormat="1" ht="18" customHeight="1" x14ac:dyDescent="0.3">
      <c r="A264" s="35" t="s">
        <v>254</v>
      </c>
      <c r="B264" s="37"/>
      <c r="C264" s="37"/>
      <c r="D264" s="37"/>
      <c r="E264" s="37"/>
      <c r="F264" s="35" t="s">
        <v>1262</v>
      </c>
      <c r="G264" s="37"/>
      <c r="H264" s="37"/>
      <c r="I264" s="37"/>
      <c r="J264" s="37"/>
      <c r="K264" s="21" t="str">
        <f t="shared" si="197"/>
        <v>Apprenant 252</v>
      </c>
      <c r="L264" s="22" t="str">
        <f t="shared" si="198"/>
        <v/>
      </c>
      <c r="M264" s="22" t="str">
        <f t="shared" si="199"/>
        <v/>
      </c>
      <c r="N264" s="22" t="str">
        <f t="shared" si="200"/>
        <v/>
      </c>
      <c r="O264" s="22" t="str">
        <f t="shared" si="201"/>
        <v/>
      </c>
      <c r="P264" s="21" t="str">
        <f t="shared" si="202"/>
        <v>Apprenant 252 ou 252'</v>
      </c>
      <c r="Q264" s="22" t="str">
        <f t="shared" si="203"/>
        <v/>
      </c>
      <c r="R264" s="22" t="str">
        <f t="shared" si="204"/>
        <v/>
      </c>
      <c r="S264" s="22" t="str">
        <f t="shared" si="205"/>
        <v/>
      </c>
      <c r="T264" s="22" t="str">
        <f t="shared" si="206"/>
        <v/>
      </c>
      <c r="V264" s="21" t="str">
        <f t="shared" si="207"/>
        <v>Apprenant 252</v>
      </c>
      <c r="W264" s="22" t="str">
        <f>IF(AND(OR('Choix pédagogiques'!$C$3=1,'Choix pédagogiques'!$C$3=2),$BM264=1),B264,IF(AND('Choix pédagogiques'!$C$3=3,$BO264=1),B264,""))</f>
        <v/>
      </c>
      <c r="X264" s="22" t="str">
        <f>IF(AND(OR('Choix pédagogiques'!$C$3=1,'Choix pédagogiques'!$C$3=2),$BM264=1),C264,IF(AND('Choix pédagogiques'!$C$3=3,$BO264=1),C264,""))</f>
        <v/>
      </c>
      <c r="Y264" s="22" t="str">
        <f>IF(AND(OR('Choix pédagogiques'!$C$3=1,'Choix pédagogiques'!$C$3=2),$BM264=1),D264,IF(AND('Choix pédagogiques'!$C$3=3,$BO264=1),D264,""))</f>
        <v/>
      </c>
      <c r="Z264" s="22" t="str">
        <f t="shared" si="208"/>
        <v/>
      </c>
      <c r="AA264" s="21" t="str">
        <f t="shared" si="209"/>
        <v>Apprenant 252 ou 252'</v>
      </c>
      <c r="AB264" s="22" t="str">
        <f>IF(AND(OR('Choix pédagogiques'!$C$3=1,'Choix pédagogiques'!$C$3=2),$BN264=1),G264,IF(AND('Choix pédagogiques'!$C$3=3,$BO264=1),G264,""))</f>
        <v/>
      </c>
      <c r="AC264" s="22" t="str">
        <f>IF(AND(OR('Choix pédagogiques'!$C$3=1,'Choix pédagogiques'!$C$3=2),$BN264=1),H264,IF(AND('Choix pédagogiques'!$C$3=3,$BO264=1),H264,""))</f>
        <v/>
      </c>
      <c r="AD264" s="22" t="str">
        <f>IF(AND(OR('Choix pédagogiques'!$C$3=1,'Choix pédagogiques'!$C$3=2),$BN264=1),I264,IF(AND('Choix pédagogiques'!$C$3=3,$BO264=1),I264,""))</f>
        <v/>
      </c>
      <c r="AE264" s="22" t="str">
        <f t="shared" si="210"/>
        <v/>
      </c>
      <c r="AF264" s="21" t="str">
        <f t="shared" si="211"/>
        <v>Apprenant 252</v>
      </c>
      <c r="AG264" s="22" t="str">
        <f t="shared" si="185"/>
        <v/>
      </c>
      <c r="AH264" s="22" t="str">
        <f t="shared" si="186"/>
        <v/>
      </c>
      <c r="AI264" s="22" t="str">
        <f t="shared" si="187"/>
        <v/>
      </c>
      <c r="AJ264" s="22" t="str">
        <f t="shared" si="212"/>
        <v/>
      </c>
      <c r="AK264" s="21" t="str">
        <f t="shared" si="213"/>
        <v>Apprenant 252 ou 252'</v>
      </c>
      <c r="AL264" s="22" t="str">
        <f t="shared" si="188"/>
        <v/>
      </c>
      <c r="AM264" s="22" t="str">
        <f t="shared" si="189"/>
        <v/>
      </c>
      <c r="AN264" s="22" t="str">
        <f t="shared" si="190"/>
        <v/>
      </c>
      <c r="AO264" s="22" t="str">
        <f t="shared" si="214"/>
        <v/>
      </c>
      <c r="AQ264" s="21" t="str">
        <f t="shared" si="215"/>
        <v>Apprenant 252</v>
      </c>
      <c r="AR264" s="49" t="str">
        <f>IF(AND('Choix pédagogiques'!$C$4&lt;&gt;"?",'Choix pédagogiques'!$C$5&lt;&gt;"?",W264&lt;&gt;""),(W264-'Choix pédagogiques'!$C$4)/('Choix pédagogiques'!$C$5-'Choix pédagogiques'!$C$4),"")</f>
        <v/>
      </c>
      <c r="AS264" s="49" t="str">
        <f>IF(AND('Choix pédagogiques'!$C$4&lt;&gt;"?",'Choix pédagogiques'!$C$5&lt;&gt;"?",X264&lt;&gt;""),(X264-'Choix pédagogiques'!$C$4)/('Choix pédagogiques'!$C$5-'Choix pédagogiques'!$C$4),"")</f>
        <v/>
      </c>
      <c r="AT264" s="49" t="str">
        <f>IF(AND('Choix pédagogiques'!$C$4&lt;&gt;"?",'Choix pédagogiques'!$C$5&lt;&gt;"?",Y264&lt;&gt;""),(Y264-'Choix pédagogiques'!$C$4)/('Choix pédagogiques'!$C$5-'Choix pédagogiques'!$C$4),"")</f>
        <v/>
      </c>
      <c r="AU264" s="22" t="str">
        <f t="shared" si="216"/>
        <v/>
      </c>
      <c r="AV264" s="21" t="str">
        <f t="shared" si="217"/>
        <v>Apprenant 252 ou 252'</v>
      </c>
      <c r="AW264" s="49" t="str">
        <f>IF(AND('Choix pédagogiques'!$C$4&lt;&gt;"?",'Choix pédagogiques'!$C$5&lt;&gt;"?",AB264&lt;&gt;""),(AB264-'Choix pédagogiques'!$C$4)/('Choix pédagogiques'!$C$5-'Choix pédagogiques'!$C$4),"")</f>
        <v/>
      </c>
      <c r="AX264" s="49" t="str">
        <f>IF(AND('Choix pédagogiques'!$C$4&lt;&gt;"?",'Choix pédagogiques'!$C$5&lt;&gt;"?",AC264&lt;&gt;""),(AC264-'Choix pédagogiques'!$C$4)/('Choix pédagogiques'!$C$5-'Choix pédagogiques'!$C$4),"")</f>
        <v/>
      </c>
      <c r="AY264" s="49" t="str">
        <f>IF(AND('Choix pédagogiques'!$C$4&lt;&gt;"?",'Choix pédagogiques'!$C$5&lt;&gt;"?",AD264&lt;&gt;""),(AD264-'Choix pédagogiques'!$C$4)/('Choix pédagogiques'!$C$5-'Choix pédagogiques'!$C$4),"")</f>
        <v/>
      </c>
      <c r="AZ264" s="22" t="str">
        <f t="shared" si="218"/>
        <v/>
      </c>
      <c r="BA264" s="21" t="str">
        <f t="shared" si="219"/>
        <v>Apprenant 252</v>
      </c>
      <c r="BB264" s="49" t="str">
        <f t="shared" si="191"/>
        <v/>
      </c>
      <c r="BC264" s="49" t="str">
        <f t="shared" si="192"/>
        <v/>
      </c>
      <c r="BD264" s="49" t="str">
        <f t="shared" si="193"/>
        <v/>
      </c>
      <c r="BE264" s="22" t="str">
        <f t="shared" si="220"/>
        <v/>
      </c>
      <c r="BF264" s="21" t="str">
        <f t="shared" si="221"/>
        <v>Apprenant 252 ou 252'</v>
      </c>
      <c r="BG264" s="49" t="str">
        <f t="shared" si="194"/>
        <v/>
      </c>
      <c r="BH264" s="49" t="str">
        <f t="shared" si="195"/>
        <v/>
      </c>
      <c r="BI264" s="49" t="str">
        <f t="shared" si="196"/>
        <v/>
      </c>
      <c r="BJ264" s="22" t="str">
        <f t="shared" si="222"/>
        <v/>
      </c>
      <c r="BL264" s="21"/>
      <c r="BM264" s="21" t="str">
        <f>IF(OR(COUNT(B264:D1263)=0,AND('Choix pédagogiques'!$C$3&lt;&gt;1,'Choix pédagogiques'!$C$3&lt;&gt;2)),"",IF(AND(OR('Choix pédagogiques'!$C$3=1,'Choix pédagogiques'!$C$3=2),$B264&lt;&gt;"",$C264&lt;&gt;"",$D264&lt;&gt;""),1,0))</f>
        <v/>
      </c>
      <c r="BN264" s="21" t="str">
        <f>IF(OR(COUNT(G264:I1263)=0,AND('Choix pédagogiques'!$C$3&lt;&gt;1,'Choix pédagogiques'!$C$3&lt;&gt;2)),"",IF(AND(OR('Choix pédagogiques'!$C$3=1,'Choix pédagogiques'!$C$3=2),AND($G264&lt;&gt;"",$H264&lt;&gt;"",$I264&lt;&gt;"")),1,0))</f>
        <v/>
      </c>
      <c r="BO264" s="21" t="str">
        <f>IF(OR(COUNT(B264:D1263)=0,COUNT(G264:I1263)=0,'Choix pédagogiques'!C$3&lt;&gt;3),"",IF(AND('Choix pédagogiques'!$C$3=3,$B264&lt;&gt;"",$C264&lt;&gt;"",$D264&lt;&gt;"",$G264&lt;&gt;"",$H264&lt;&gt;"",$I264&lt;&gt;""),1,0))</f>
        <v/>
      </c>
      <c r="BR264" s="21">
        <v>284</v>
      </c>
      <c r="BS264" s="21">
        <v>1499</v>
      </c>
      <c r="BT264"/>
    </row>
    <row r="265" spans="1:72" s="23" customFormat="1" ht="18" customHeight="1" x14ac:dyDescent="0.3">
      <c r="A265" s="35" t="s">
        <v>255</v>
      </c>
      <c r="B265" s="37"/>
      <c r="C265" s="37"/>
      <c r="D265" s="37"/>
      <c r="E265" s="37"/>
      <c r="F265" s="35" t="s">
        <v>1263</v>
      </c>
      <c r="G265" s="37"/>
      <c r="H265" s="37"/>
      <c r="I265" s="37"/>
      <c r="J265" s="37"/>
      <c r="K265" s="21" t="str">
        <f t="shared" si="197"/>
        <v>Apprenant 253</v>
      </c>
      <c r="L265" s="22" t="str">
        <f t="shared" si="198"/>
        <v/>
      </c>
      <c r="M265" s="22" t="str">
        <f t="shared" si="199"/>
        <v/>
      </c>
      <c r="N265" s="22" t="str">
        <f t="shared" si="200"/>
        <v/>
      </c>
      <c r="O265" s="22" t="str">
        <f t="shared" si="201"/>
        <v/>
      </c>
      <c r="P265" s="21" t="str">
        <f t="shared" si="202"/>
        <v>Apprenant 253 ou 253'</v>
      </c>
      <c r="Q265" s="22" t="str">
        <f t="shared" si="203"/>
        <v/>
      </c>
      <c r="R265" s="22" t="str">
        <f t="shared" si="204"/>
        <v/>
      </c>
      <c r="S265" s="22" t="str">
        <f t="shared" si="205"/>
        <v/>
      </c>
      <c r="T265" s="22" t="str">
        <f t="shared" si="206"/>
        <v/>
      </c>
      <c r="V265" s="21" t="str">
        <f t="shared" si="207"/>
        <v>Apprenant 253</v>
      </c>
      <c r="W265" s="22" t="str">
        <f>IF(AND(OR('Choix pédagogiques'!$C$3=1,'Choix pédagogiques'!$C$3=2),$BM265=1),B265,IF(AND('Choix pédagogiques'!$C$3=3,$BO265=1),B265,""))</f>
        <v/>
      </c>
      <c r="X265" s="22" t="str">
        <f>IF(AND(OR('Choix pédagogiques'!$C$3=1,'Choix pédagogiques'!$C$3=2),$BM265=1),C265,IF(AND('Choix pédagogiques'!$C$3=3,$BO265=1),C265,""))</f>
        <v/>
      </c>
      <c r="Y265" s="22" t="str">
        <f>IF(AND(OR('Choix pédagogiques'!$C$3=1,'Choix pédagogiques'!$C$3=2),$BM265=1),D265,IF(AND('Choix pédagogiques'!$C$3=3,$BO265=1),D265,""))</f>
        <v/>
      </c>
      <c r="Z265" s="22" t="str">
        <f t="shared" si="208"/>
        <v/>
      </c>
      <c r="AA265" s="21" t="str">
        <f t="shared" si="209"/>
        <v>Apprenant 253 ou 253'</v>
      </c>
      <c r="AB265" s="22" t="str">
        <f>IF(AND(OR('Choix pédagogiques'!$C$3=1,'Choix pédagogiques'!$C$3=2),$BN265=1),G265,IF(AND('Choix pédagogiques'!$C$3=3,$BO265=1),G265,""))</f>
        <v/>
      </c>
      <c r="AC265" s="22" t="str">
        <f>IF(AND(OR('Choix pédagogiques'!$C$3=1,'Choix pédagogiques'!$C$3=2),$BN265=1),H265,IF(AND('Choix pédagogiques'!$C$3=3,$BO265=1),H265,""))</f>
        <v/>
      </c>
      <c r="AD265" s="22" t="str">
        <f>IF(AND(OR('Choix pédagogiques'!$C$3=1,'Choix pédagogiques'!$C$3=2),$BN265=1),I265,IF(AND('Choix pédagogiques'!$C$3=3,$BO265=1),I265,""))</f>
        <v/>
      </c>
      <c r="AE265" s="22" t="str">
        <f t="shared" si="210"/>
        <v/>
      </c>
      <c r="AF265" s="21" t="str">
        <f t="shared" si="211"/>
        <v>Apprenant 253</v>
      </c>
      <c r="AG265" s="22" t="str">
        <f t="shared" si="185"/>
        <v/>
      </c>
      <c r="AH265" s="22" t="str">
        <f t="shared" si="186"/>
        <v/>
      </c>
      <c r="AI265" s="22" t="str">
        <f t="shared" si="187"/>
        <v/>
      </c>
      <c r="AJ265" s="22" t="str">
        <f t="shared" si="212"/>
        <v/>
      </c>
      <c r="AK265" s="21" t="str">
        <f t="shared" si="213"/>
        <v>Apprenant 253 ou 253'</v>
      </c>
      <c r="AL265" s="22" t="str">
        <f t="shared" si="188"/>
        <v/>
      </c>
      <c r="AM265" s="22" t="str">
        <f t="shared" si="189"/>
        <v/>
      </c>
      <c r="AN265" s="22" t="str">
        <f t="shared" si="190"/>
        <v/>
      </c>
      <c r="AO265" s="22" t="str">
        <f t="shared" si="214"/>
        <v/>
      </c>
      <c r="AQ265" s="21" t="str">
        <f t="shared" si="215"/>
        <v>Apprenant 253</v>
      </c>
      <c r="AR265" s="49" t="str">
        <f>IF(AND('Choix pédagogiques'!$C$4&lt;&gt;"?",'Choix pédagogiques'!$C$5&lt;&gt;"?",W265&lt;&gt;""),(W265-'Choix pédagogiques'!$C$4)/('Choix pédagogiques'!$C$5-'Choix pédagogiques'!$C$4),"")</f>
        <v/>
      </c>
      <c r="AS265" s="49" t="str">
        <f>IF(AND('Choix pédagogiques'!$C$4&lt;&gt;"?",'Choix pédagogiques'!$C$5&lt;&gt;"?",X265&lt;&gt;""),(X265-'Choix pédagogiques'!$C$4)/('Choix pédagogiques'!$C$5-'Choix pédagogiques'!$C$4),"")</f>
        <v/>
      </c>
      <c r="AT265" s="49" t="str">
        <f>IF(AND('Choix pédagogiques'!$C$4&lt;&gt;"?",'Choix pédagogiques'!$C$5&lt;&gt;"?",Y265&lt;&gt;""),(Y265-'Choix pédagogiques'!$C$4)/('Choix pédagogiques'!$C$5-'Choix pédagogiques'!$C$4),"")</f>
        <v/>
      </c>
      <c r="AU265" s="22" t="str">
        <f t="shared" si="216"/>
        <v/>
      </c>
      <c r="AV265" s="21" t="str">
        <f t="shared" si="217"/>
        <v>Apprenant 253 ou 253'</v>
      </c>
      <c r="AW265" s="49" t="str">
        <f>IF(AND('Choix pédagogiques'!$C$4&lt;&gt;"?",'Choix pédagogiques'!$C$5&lt;&gt;"?",AB265&lt;&gt;""),(AB265-'Choix pédagogiques'!$C$4)/('Choix pédagogiques'!$C$5-'Choix pédagogiques'!$C$4),"")</f>
        <v/>
      </c>
      <c r="AX265" s="49" t="str">
        <f>IF(AND('Choix pédagogiques'!$C$4&lt;&gt;"?",'Choix pédagogiques'!$C$5&lt;&gt;"?",AC265&lt;&gt;""),(AC265-'Choix pédagogiques'!$C$4)/('Choix pédagogiques'!$C$5-'Choix pédagogiques'!$C$4),"")</f>
        <v/>
      </c>
      <c r="AY265" s="49" t="str">
        <f>IF(AND('Choix pédagogiques'!$C$4&lt;&gt;"?",'Choix pédagogiques'!$C$5&lt;&gt;"?",AD265&lt;&gt;""),(AD265-'Choix pédagogiques'!$C$4)/('Choix pédagogiques'!$C$5-'Choix pédagogiques'!$C$4),"")</f>
        <v/>
      </c>
      <c r="AZ265" s="22" t="str">
        <f t="shared" si="218"/>
        <v/>
      </c>
      <c r="BA265" s="21" t="str">
        <f t="shared" si="219"/>
        <v>Apprenant 253</v>
      </c>
      <c r="BB265" s="49" t="str">
        <f t="shared" si="191"/>
        <v/>
      </c>
      <c r="BC265" s="49" t="str">
        <f t="shared" si="192"/>
        <v/>
      </c>
      <c r="BD265" s="49" t="str">
        <f t="shared" si="193"/>
        <v/>
      </c>
      <c r="BE265" s="22" t="str">
        <f t="shared" si="220"/>
        <v/>
      </c>
      <c r="BF265" s="21" t="str">
        <f t="shared" si="221"/>
        <v>Apprenant 253 ou 253'</v>
      </c>
      <c r="BG265" s="49" t="str">
        <f t="shared" si="194"/>
        <v/>
      </c>
      <c r="BH265" s="49" t="str">
        <f t="shared" si="195"/>
        <v/>
      </c>
      <c r="BI265" s="49" t="str">
        <f t="shared" si="196"/>
        <v/>
      </c>
      <c r="BJ265" s="22" t="str">
        <f t="shared" si="222"/>
        <v/>
      </c>
      <c r="BL265" s="21"/>
      <c r="BM265" s="21" t="str">
        <f>IF(OR(COUNT(B265:D1264)=0,AND('Choix pédagogiques'!$C$3&lt;&gt;1,'Choix pédagogiques'!$C$3&lt;&gt;2)),"",IF(AND(OR('Choix pédagogiques'!$C$3=1,'Choix pédagogiques'!$C$3=2),$B265&lt;&gt;"",$C265&lt;&gt;"",$D265&lt;&gt;""),1,0))</f>
        <v/>
      </c>
      <c r="BN265" s="21" t="str">
        <f>IF(OR(COUNT(G265:I1264)=0,AND('Choix pédagogiques'!$C$3&lt;&gt;1,'Choix pédagogiques'!$C$3&lt;&gt;2)),"",IF(AND(OR('Choix pédagogiques'!$C$3=1,'Choix pédagogiques'!$C$3=2),AND($G265&lt;&gt;"",$H265&lt;&gt;"",$I265&lt;&gt;"")),1,0))</f>
        <v/>
      </c>
      <c r="BO265" s="21" t="str">
        <f>IF(OR(COUNT(B265:D1264)=0,COUNT(G265:I1264)=0,'Choix pédagogiques'!C$3&lt;&gt;3),"",IF(AND('Choix pédagogiques'!$C$3=3,$B265&lt;&gt;"",$C265&lt;&gt;"",$D265&lt;&gt;"",$G265&lt;&gt;"",$H265&lt;&gt;"",$I265&lt;&gt;""),1,0))</f>
        <v/>
      </c>
      <c r="BR265" s="21">
        <v>163</v>
      </c>
      <c r="BS265" s="21">
        <v>1548</v>
      </c>
      <c r="BT265"/>
    </row>
    <row r="266" spans="1:72" s="23" customFormat="1" ht="18" customHeight="1" x14ac:dyDescent="0.3">
      <c r="A266" s="35" t="s">
        <v>256</v>
      </c>
      <c r="B266" s="37"/>
      <c r="C266" s="37"/>
      <c r="D266" s="37"/>
      <c r="E266" s="37"/>
      <c r="F266" s="35" t="s">
        <v>1264</v>
      </c>
      <c r="G266" s="37"/>
      <c r="H266" s="37"/>
      <c r="I266" s="37"/>
      <c r="J266" s="37"/>
      <c r="K266" s="21" t="str">
        <f t="shared" si="197"/>
        <v>Apprenant 254</v>
      </c>
      <c r="L266" s="22" t="str">
        <f t="shared" si="198"/>
        <v/>
      </c>
      <c r="M266" s="22" t="str">
        <f t="shared" si="199"/>
        <v/>
      </c>
      <c r="N266" s="22" t="str">
        <f t="shared" si="200"/>
        <v/>
      </c>
      <c r="O266" s="22" t="str">
        <f t="shared" si="201"/>
        <v/>
      </c>
      <c r="P266" s="21" t="str">
        <f t="shared" si="202"/>
        <v>Apprenant 254 ou 254'</v>
      </c>
      <c r="Q266" s="22" t="str">
        <f t="shared" si="203"/>
        <v/>
      </c>
      <c r="R266" s="22" t="str">
        <f t="shared" si="204"/>
        <v/>
      </c>
      <c r="S266" s="22" t="str">
        <f t="shared" si="205"/>
        <v/>
      </c>
      <c r="T266" s="22" t="str">
        <f t="shared" si="206"/>
        <v/>
      </c>
      <c r="V266" s="21" t="str">
        <f t="shared" si="207"/>
        <v>Apprenant 254</v>
      </c>
      <c r="W266" s="22" t="str">
        <f>IF(AND(OR('Choix pédagogiques'!$C$3=1,'Choix pédagogiques'!$C$3=2),$BM266=1),B266,IF(AND('Choix pédagogiques'!$C$3=3,$BO266=1),B266,""))</f>
        <v/>
      </c>
      <c r="X266" s="22" t="str">
        <f>IF(AND(OR('Choix pédagogiques'!$C$3=1,'Choix pédagogiques'!$C$3=2),$BM266=1),C266,IF(AND('Choix pédagogiques'!$C$3=3,$BO266=1),C266,""))</f>
        <v/>
      </c>
      <c r="Y266" s="22" t="str">
        <f>IF(AND(OR('Choix pédagogiques'!$C$3=1,'Choix pédagogiques'!$C$3=2),$BM266=1),D266,IF(AND('Choix pédagogiques'!$C$3=3,$BO266=1),D266,""))</f>
        <v/>
      </c>
      <c r="Z266" s="22" t="str">
        <f t="shared" si="208"/>
        <v/>
      </c>
      <c r="AA266" s="21" t="str">
        <f t="shared" si="209"/>
        <v>Apprenant 254 ou 254'</v>
      </c>
      <c r="AB266" s="22" t="str">
        <f>IF(AND(OR('Choix pédagogiques'!$C$3=1,'Choix pédagogiques'!$C$3=2),$BN266=1),G266,IF(AND('Choix pédagogiques'!$C$3=3,$BO266=1),G266,""))</f>
        <v/>
      </c>
      <c r="AC266" s="22" t="str">
        <f>IF(AND(OR('Choix pédagogiques'!$C$3=1,'Choix pédagogiques'!$C$3=2),$BN266=1),H266,IF(AND('Choix pédagogiques'!$C$3=3,$BO266=1),H266,""))</f>
        <v/>
      </c>
      <c r="AD266" s="22" t="str">
        <f>IF(AND(OR('Choix pédagogiques'!$C$3=1,'Choix pédagogiques'!$C$3=2),$BN266=1),I266,IF(AND('Choix pédagogiques'!$C$3=3,$BO266=1),I266,""))</f>
        <v/>
      </c>
      <c r="AE266" s="22" t="str">
        <f t="shared" si="210"/>
        <v/>
      </c>
      <c r="AF266" s="21" t="str">
        <f t="shared" si="211"/>
        <v>Apprenant 254</v>
      </c>
      <c r="AG266" s="22" t="str">
        <f t="shared" si="185"/>
        <v/>
      </c>
      <c r="AH266" s="22" t="str">
        <f t="shared" si="186"/>
        <v/>
      </c>
      <c r="AI266" s="22" t="str">
        <f t="shared" si="187"/>
        <v/>
      </c>
      <c r="AJ266" s="22" t="str">
        <f t="shared" si="212"/>
        <v/>
      </c>
      <c r="AK266" s="21" t="str">
        <f t="shared" si="213"/>
        <v>Apprenant 254 ou 254'</v>
      </c>
      <c r="AL266" s="22" t="str">
        <f t="shared" si="188"/>
        <v/>
      </c>
      <c r="AM266" s="22" t="str">
        <f t="shared" si="189"/>
        <v/>
      </c>
      <c r="AN266" s="22" t="str">
        <f t="shared" si="190"/>
        <v/>
      </c>
      <c r="AO266" s="22" t="str">
        <f t="shared" si="214"/>
        <v/>
      </c>
      <c r="AQ266" s="21" t="str">
        <f t="shared" si="215"/>
        <v>Apprenant 254</v>
      </c>
      <c r="AR266" s="49" t="str">
        <f>IF(AND('Choix pédagogiques'!$C$4&lt;&gt;"?",'Choix pédagogiques'!$C$5&lt;&gt;"?",W266&lt;&gt;""),(W266-'Choix pédagogiques'!$C$4)/('Choix pédagogiques'!$C$5-'Choix pédagogiques'!$C$4),"")</f>
        <v/>
      </c>
      <c r="AS266" s="49" t="str">
        <f>IF(AND('Choix pédagogiques'!$C$4&lt;&gt;"?",'Choix pédagogiques'!$C$5&lt;&gt;"?",X266&lt;&gt;""),(X266-'Choix pédagogiques'!$C$4)/('Choix pédagogiques'!$C$5-'Choix pédagogiques'!$C$4),"")</f>
        <v/>
      </c>
      <c r="AT266" s="49" t="str">
        <f>IF(AND('Choix pédagogiques'!$C$4&lt;&gt;"?",'Choix pédagogiques'!$C$5&lt;&gt;"?",Y266&lt;&gt;""),(Y266-'Choix pédagogiques'!$C$4)/('Choix pédagogiques'!$C$5-'Choix pédagogiques'!$C$4),"")</f>
        <v/>
      </c>
      <c r="AU266" s="22" t="str">
        <f t="shared" si="216"/>
        <v/>
      </c>
      <c r="AV266" s="21" t="str">
        <f t="shared" si="217"/>
        <v>Apprenant 254 ou 254'</v>
      </c>
      <c r="AW266" s="49" t="str">
        <f>IF(AND('Choix pédagogiques'!$C$4&lt;&gt;"?",'Choix pédagogiques'!$C$5&lt;&gt;"?",AB266&lt;&gt;""),(AB266-'Choix pédagogiques'!$C$4)/('Choix pédagogiques'!$C$5-'Choix pédagogiques'!$C$4),"")</f>
        <v/>
      </c>
      <c r="AX266" s="49" t="str">
        <f>IF(AND('Choix pédagogiques'!$C$4&lt;&gt;"?",'Choix pédagogiques'!$C$5&lt;&gt;"?",AC266&lt;&gt;""),(AC266-'Choix pédagogiques'!$C$4)/('Choix pédagogiques'!$C$5-'Choix pédagogiques'!$C$4),"")</f>
        <v/>
      </c>
      <c r="AY266" s="49" t="str">
        <f>IF(AND('Choix pédagogiques'!$C$4&lt;&gt;"?",'Choix pédagogiques'!$C$5&lt;&gt;"?",AD266&lt;&gt;""),(AD266-'Choix pédagogiques'!$C$4)/('Choix pédagogiques'!$C$5-'Choix pédagogiques'!$C$4),"")</f>
        <v/>
      </c>
      <c r="AZ266" s="22" t="str">
        <f t="shared" si="218"/>
        <v/>
      </c>
      <c r="BA266" s="21" t="str">
        <f t="shared" si="219"/>
        <v>Apprenant 254</v>
      </c>
      <c r="BB266" s="49" t="str">
        <f t="shared" si="191"/>
        <v/>
      </c>
      <c r="BC266" s="49" t="str">
        <f t="shared" si="192"/>
        <v/>
      </c>
      <c r="BD266" s="49" t="str">
        <f t="shared" si="193"/>
        <v/>
      </c>
      <c r="BE266" s="22" t="str">
        <f t="shared" si="220"/>
        <v/>
      </c>
      <c r="BF266" s="21" t="str">
        <f t="shared" si="221"/>
        <v>Apprenant 254 ou 254'</v>
      </c>
      <c r="BG266" s="49" t="str">
        <f t="shared" si="194"/>
        <v/>
      </c>
      <c r="BH266" s="49" t="str">
        <f t="shared" si="195"/>
        <v/>
      </c>
      <c r="BI266" s="49" t="str">
        <f t="shared" si="196"/>
        <v/>
      </c>
      <c r="BJ266" s="22" t="str">
        <f t="shared" si="222"/>
        <v/>
      </c>
      <c r="BL266" s="21"/>
      <c r="BM266" s="21" t="str">
        <f>IF(OR(COUNT(B266:D1265)=0,AND('Choix pédagogiques'!$C$3&lt;&gt;1,'Choix pédagogiques'!$C$3&lt;&gt;2)),"",IF(AND(OR('Choix pédagogiques'!$C$3=1,'Choix pédagogiques'!$C$3=2),$B266&lt;&gt;"",$C266&lt;&gt;"",$D266&lt;&gt;""),1,0))</f>
        <v/>
      </c>
      <c r="BN266" s="21" t="str">
        <f>IF(OR(COUNT(G266:I1265)=0,AND('Choix pédagogiques'!$C$3&lt;&gt;1,'Choix pédagogiques'!$C$3&lt;&gt;2)),"",IF(AND(OR('Choix pédagogiques'!$C$3=1,'Choix pédagogiques'!$C$3=2),AND($G266&lt;&gt;"",$H266&lt;&gt;"",$I266&lt;&gt;"")),1,0))</f>
        <v/>
      </c>
      <c r="BO266" s="21" t="str">
        <f>IF(OR(COUNT(B266:D1265)=0,COUNT(G266:I1265)=0,'Choix pédagogiques'!C$3&lt;&gt;3),"",IF(AND('Choix pédagogiques'!$C$3=3,$B266&lt;&gt;"",$C266&lt;&gt;"",$D266&lt;&gt;"",$G266&lt;&gt;"",$H266&lt;&gt;"",$I266&lt;&gt;""),1,0))</f>
        <v/>
      </c>
      <c r="BR266" s="21">
        <v>307</v>
      </c>
      <c r="BS266" s="21">
        <v>1573</v>
      </c>
      <c r="BT266"/>
    </row>
    <row r="267" spans="1:72" s="23" customFormat="1" ht="18" customHeight="1" x14ac:dyDescent="0.3">
      <c r="A267" s="35" t="s">
        <v>257</v>
      </c>
      <c r="B267" s="37"/>
      <c r="C267" s="37"/>
      <c r="D267" s="37"/>
      <c r="E267" s="37"/>
      <c r="F267" s="35" t="s">
        <v>1265</v>
      </c>
      <c r="G267" s="37"/>
      <c r="H267" s="37"/>
      <c r="I267" s="37"/>
      <c r="J267" s="37"/>
      <c r="K267" s="21" t="str">
        <f t="shared" si="197"/>
        <v>Apprenant 255</v>
      </c>
      <c r="L267" s="22" t="str">
        <f t="shared" si="198"/>
        <v/>
      </c>
      <c r="M267" s="22" t="str">
        <f t="shared" si="199"/>
        <v/>
      </c>
      <c r="N267" s="22" t="str">
        <f t="shared" si="200"/>
        <v/>
      </c>
      <c r="O267" s="22" t="str">
        <f t="shared" si="201"/>
        <v/>
      </c>
      <c r="P267" s="21" t="str">
        <f t="shared" si="202"/>
        <v>Apprenant 255 ou 255'</v>
      </c>
      <c r="Q267" s="22" t="str">
        <f t="shared" si="203"/>
        <v/>
      </c>
      <c r="R267" s="22" t="str">
        <f t="shared" si="204"/>
        <v/>
      </c>
      <c r="S267" s="22" t="str">
        <f t="shared" si="205"/>
        <v/>
      </c>
      <c r="T267" s="22" t="str">
        <f t="shared" si="206"/>
        <v/>
      </c>
      <c r="V267" s="21" t="str">
        <f t="shared" si="207"/>
        <v>Apprenant 255</v>
      </c>
      <c r="W267" s="22" t="str">
        <f>IF(AND(OR('Choix pédagogiques'!$C$3=1,'Choix pédagogiques'!$C$3=2),$BM267=1),B267,IF(AND('Choix pédagogiques'!$C$3=3,$BO267=1),B267,""))</f>
        <v/>
      </c>
      <c r="X267" s="22" t="str">
        <f>IF(AND(OR('Choix pédagogiques'!$C$3=1,'Choix pédagogiques'!$C$3=2),$BM267=1),C267,IF(AND('Choix pédagogiques'!$C$3=3,$BO267=1),C267,""))</f>
        <v/>
      </c>
      <c r="Y267" s="22" t="str">
        <f>IF(AND(OR('Choix pédagogiques'!$C$3=1,'Choix pédagogiques'!$C$3=2),$BM267=1),D267,IF(AND('Choix pédagogiques'!$C$3=3,$BO267=1),D267,""))</f>
        <v/>
      </c>
      <c r="Z267" s="22" t="str">
        <f t="shared" si="208"/>
        <v/>
      </c>
      <c r="AA267" s="21" t="str">
        <f t="shared" si="209"/>
        <v>Apprenant 255 ou 255'</v>
      </c>
      <c r="AB267" s="22" t="str">
        <f>IF(AND(OR('Choix pédagogiques'!$C$3=1,'Choix pédagogiques'!$C$3=2),$BN267=1),G267,IF(AND('Choix pédagogiques'!$C$3=3,$BO267=1),G267,""))</f>
        <v/>
      </c>
      <c r="AC267" s="22" t="str">
        <f>IF(AND(OR('Choix pédagogiques'!$C$3=1,'Choix pédagogiques'!$C$3=2),$BN267=1),H267,IF(AND('Choix pédagogiques'!$C$3=3,$BO267=1),H267,""))</f>
        <v/>
      </c>
      <c r="AD267" s="22" t="str">
        <f>IF(AND(OR('Choix pédagogiques'!$C$3=1,'Choix pédagogiques'!$C$3=2),$BN267=1),I267,IF(AND('Choix pédagogiques'!$C$3=3,$BO267=1),I267,""))</f>
        <v/>
      </c>
      <c r="AE267" s="22" t="str">
        <f t="shared" si="210"/>
        <v/>
      </c>
      <c r="AF267" s="21" t="str">
        <f t="shared" si="211"/>
        <v>Apprenant 255</v>
      </c>
      <c r="AG267" s="22" t="str">
        <f t="shared" si="185"/>
        <v/>
      </c>
      <c r="AH267" s="22" t="str">
        <f t="shared" si="186"/>
        <v/>
      </c>
      <c r="AI267" s="22" t="str">
        <f t="shared" si="187"/>
        <v/>
      </c>
      <c r="AJ267" s="22" t="str">
        <f t="shared" si="212"/>
        <v/>
      </c>
      <c r="AK267" s="21" t="str">
        <f t="shared" si="213"/>
        <v>Apprenant 255 ou 255'</v>
      </c>
      <c r="AL267" s="22" t="str">
        <f t="shared" si="188"/>
        <v/>
      </c>
      <c r="AM267" s="22" t="str">
        <f t="shared" si="189"/>
        <v/>
      </c>
      <c r="AN267" s="22" t="str">
        <f t="shared" si="190"/>
        <v/>
      </c>
      <c r="AO267" s="22" t="str">
        <f t="shared" si="214"/>
        <v/>
      </c>
      <c r="AQ267" s="21" t="str">
        <f t="shared" si="215"/>
        <v>Apprenant 255</v>
      </c>
      <c r="AR267" s="49" t="str">
        <f>IF(AND('Choix pédagogiques'!$C$4&lt;&gt;"?",'Choix pédagogiques'!$C$5&lt;&gt;"?",W267&lt;&gt;""),(W267-'Choix pédagogiques'!$C$4)/('Choix pédagogiques'!$C$5-'Choix pédagogiques'!$C$4),"")</f>
        <v/>
      </c>
      <c r="AS267" s="49" t="str">
        <f>IF(AND('Choix pédagogiques'!$C$4&lt;&gt;"?",'Choix pédagogiques'!$C$5&lt;&gt;"?",X267&lt;&gt;""),(X267-'Choix pédagogiques'!$C$4)/('Choix pédagogiques'!$C$5-'Choix pédagogiques'!$C$4),"")</f>
        <v/>
      </c>
      <c r="AT267" s="49" t="str">
        <f>IF(AND('Choix pédagogiques'!$C$4&lt;&gt;"?",'Choix pédagogiques'!$C$5&lt;&gt;"?",Y267&lt;&gt;""),(Y267-'Choix pédagogiques'!$C$4)/('Choix pédagogiques'!$C$5-'Choix pédagogiques'!$C$4),"")</f>
        <v/>
      </c>
      <c r="AU267" s="22" t="str">
        <f t="shared" si="216"/>
        <v/>
      </c>
      <c r="AV267" s="21" t="str">
        <f t="shared" si="217"/>
        <v>Apprenant 255 ou 255'</v>
      </c>
      <c r="AW267" s="49" t="str">
        <f>IF(AND('Choix pédagogiques'!$C$4&lt;&gt;"?",'Choix pédagogiques'!$C$5&lt;&gt;"?",AB267&lt;&gt;""),(AB267-'Choix pédagogiques'!$C$4)/('Choix pédagogiques'!$C$5-'Choix pédagogiques'!$C$4),"")</f>
        <v/>
      </c>
      <c r="AX267" s="49" t="str">
        <f>IF(AND('Choix pédagogiques'!$C$4&lt;&gt;"?",'Choix pédagogiques'!$C$5&lt;&gt;"?",AC267&lt;&gt;""),(AC267-'Choix pédagogiques'!$C$4)/('Choix pédagogiques'!$C$5-'Choix pédagogiques'!$C$4),"")</f>
        <v/>
      </c>
      <c r="AY267" s="49" t="str">
        <f>IF(AND('Choix pédagogiques'!$C$4&lt;&gt;"?",'Choix pédagogiques'!$C$5&lt;&gt;"?",AD267&lt;&gt;""),(AD267-'Choix pédagogiques'!$C$4)/('Choix pédagogiques'!$C$5-'Choix pédagogiques'!$C$4),"")</f>
        <v/>
      </c>
      <c r="AZ267" s="22" t="str">
        <f t="shared" si="218"/>
        <v/>
      </c>
      <c r="BA267" s="21" t="str">
        <f t="shared" si="219"/>
        <v>Apprenant 255</v>
      </c>
      <c r="BB267" s="49" t="str">
        <f t="shared" si="191"/>
        <v/>
      </c>
      <c r="BC267" s="49" t="str">
        <f t="shared" si="192"/>
        <v/>
      </c>
      <c r="BD267" s="49" t="str">
        <f t="shared" si="193"/>
        <v/>
      </c>
      <c r="BE267" s="22" t="str">
        <f t="shared" si="220"/>
        <v/>
      </c>
      <c r="BF267" s="21" t="str">
        <f t="shared" si="221"/>
        <v>Apprenant 255 ou 255'</v>
      </c>
      <c r="BG267" s="49" t="str">
        <f t="shared" si="194"/>
        <v/>
      </c>
      <c r="BH267" s="49" t="str">
        <f t="shared" si="195"/>
        <v/>
      </c>
      <c r="BI267" s="49" t="str">
        <f t="shared" si="196"/>
        <v/>
      </c>
      <c r="BJ267" s="22" t="str">
        <f t="shared" si="222"/>
        <v/>
      </c>
      <c r="BL267" s="21"/>
      <c r="BM267" s="21" t="str">
        <f>IF(OR(COUNT(B267:D1266)=0,AND('Choix pédagogiques'!$C$3&lt;&gt;1,'Choix pédagogiques'!$C$3&lt;&gt;2)),"",IF(AND(OR('Choix pédagogiques'!$C$3=1,'Choix pédagogiques'!$C$3=2),$B267&lt;&gt;"",$C267&lt;&gt;"",$D267&lt;&gt;""),1,0))</f>
        <v/>
      </c>
      <c r="BN267" s="21" t="str">
        <f>IF(OR(COUNT(G267:I1266)=0,AND('Choix pédagogiques'!$C$3&lt;&gt;1,'Choix pédagogiques'!$C$3&lt;&gt;2)),"",IF(AND(OR('Choix pédagogiques'!$C$3=1,'Choix pédagogiques'!$C$3=2),AND($G267&lt;&gt;"",$H267&lt;&gt;"",$I267&lt;&gt;"")),1,0))</f>
        <v/>
      </c>
      <c r="BO267" s="21" t="str">
        <f>IF(OR(COUNT(B267:D1266)=0,COUNT(G267:I1266)=0,'Choix pédagogiques'!C$3&lt;&gt;3),"",IF(AND('Choix pédagogiques'!$C$3=3,$B267&lt;&gt;"",$C267&lt;&gt;"",$D267&lt;&gt;"",$G267&lt;&gt;"",$H267&lt;&gt;"",$I267&lt;&gt;""),1,0))</f>
        <v/>
      </c>
      <c r="BR267" s="21">
        <v>326</v>
      </c>
      <c r="BS267" s="21">
        <v>1623</v>
      </c>
      <c r="BT267"/>
    </row>
    <row r="268" spans="1:72" s="23" customFormat="1" ht="18" customHeight="1" x14ac:dyDescent="0.3">
      <c r="A268" s="35" t="s">
        <v>258</v>
      </c>
      <c r="B268" s="37"/>
      <c r="C268" s="37"/>
      <c r="D268" s="37"/>
      <c r="E268" s="37"/>
      <c r="F268" s="35" t="s">
        <v>1266</v>
      </c>
      <c r="G268" s="37"/>
      <c r="H268" s="37"/>
      <c r="I268" s="37"/>
      <c r="J268" s="37"/>
      <c r="K268" s="21" t="str">
        <f t="shared" si="197"/>
        <v>Apprenant 256</v>
      </c>
      <c r="L268" s="22" t="str">
        <f t="shared" si="198"/>
        <v/>
      </c>
      <c r="M268" s="22" t="str">
        <f t="shared" si="199"/>
        <v/>
      </c>
      <c r="N268" s="22" t="str">
        <f t="shared" si="200"/>
        <v/>
      </c>
      <c r="O268" s="22" t="str">
        <f t="shared" si="201"/>
        <v/>
      </c>
      <c r="P268" s="21" t="str">
        <f t="shared" si="202"/>
        <v>Apprenant 256 ou 256'</v>
      </c>
      <c r="Q268" s="22" t="str">
        <f t="shared" si="203"/>
        <v/>
      </c>
      <c r="R268" s="22" t="str">
        <f t="shared" si="204"/>
        <v/>
      </c>
      <c r="S268" s="22" t="str">
        <f t="shared" si="205"/>
        <v/>
      </c>
      <c r="T268" s="22" t="str">
        <f t="shared" si="206"/>
        <v/>
      </c>
      <c r="V268" s="21" t="str">
        <f t="shared" si="207"/>
        <v>Apprenant 256</v>
      </c>
      <c r="W268" s="22" t="str">
        <f>IF(AND(OR('Choix pédagogiques'!$C$3=1,'Choix pédagogiques'!$C$3=2),$BM268=1),B268,IF(AND('Choix pédagogiques'!$C$3=3,$BO268=1),B268,""))</f>
        <v/>
      </c>
      <c r="X268" s="22" t="str">
        <f>IF(AND(OR('Choix pédagogiques'!$C$3=1,'Choix pédagogiques'!$C$3=2),$BM268=1),C268,IF(AND('Choix pédagogiques'!$C$3=3,$BO268=1),C268,""))</f>
        <v/>
      </c>
      <c r="Y268" s="22" t="str">
        <f>IF(AND(OR('Choix pédagogiques'!$C$3=1,'Choix pédagogiques'!$C$3=2),$BM268=1),D268,IF(AND('Choix pédagogiques'!$C$3=3,$BO268=1),D268,""))</f>
        <v/>
      </c>
      <c r="Z268" s="22" t="str">
        <f t="shared" si="208"/>
        <v/>
      </c>
      <c r="AA268" s="21" t="str">
        <f t="shared" si="209"/>
        <v>Apprenant 256 ou 256'</v>
      </c>
      <c r="AB268" s="22" t="str">
        <f>IF(AND(OR('Choix pédagogiques'!$C$3=1,'Choix pédagogiques'!$C$3=2),$BN268=1),G268,IF(AND('Choix pédagogiques'!$C$3=3,$BO268=1),G268,""))</f>
        <v/>
      </c>
      <c r="AC268" s="22" t="str">
        <f>IF(AND(OR('Choix pédagogiques'!$C$3=1,'Choix pédagogiques'!$C$3=2),$BN268=1),H268,IF(AND('Choix pédagogiques'!$C$3=3,$BO268=1),H268,""))</f>
        <v/>
      </c>
      <c r="AD268" s="22" t="str">
        <f>IF(AND(OR('Choix pédagogiques'!$C$3=1,'Choix pédagogiques'!$C$3=2),$BN268=1),I268,IF(AND('Choix pédagogiques'!$C$3=3,$BO268=1),I268,""))</f>
        <v/>
      </c>
      <c r="AE268" s="22" t="str">
        <f t="shared" si="210"/>
        <v/>
      </c>
      <c r="AF268" s="21" t="str">
        <f t="shared" si="211"/>
        <v>Apprenant 256</v>
      </c>
      <c r="AG268" s="22" t="str">
        <f t="shared" si="185"/>
        <v/>
      </c>
      <c r="AH268" s="22" t="str">
        <f t="shared" si="186"/>
        <v/>
      </c>
      <c r="AI268" s="22" t="str">
        <f t="shared" si="187"/>
        <v/>
      </c>
      <c r="AJ268" s="22" t="str">
        <f t="shared" si="212"/>
        <v/>
      </c>
      <c r="AK268" s="21" t="str">
        <f t="shared" si="213"/>
        <v>Apprenant 256 ou 256'</v>
      </c>
      <c r="AL268" s="22" t="str">
        <f t="shared" si="188"/>
        <v/>
      </c>
      <c r="AM268" s="22" t="str">
        <f t="shared" si="189"/>
        <v/>
      </c>
      <c r="AN268" s="22" t="str">
        <f t="shared" si="190"/>
        <v/>
      </c>
      <c r="AO268" s="22" t="str">
        <f t="shared" si="214"/>
        <v/>
      </c>
      <c r="AQ268" s="21" t="str">
        <f t="shared" si="215"/>
        <v>Apprenant 256</v>
      </c>
      <c r="AR268" s="49" t="str">
        <f>IF(AND('Choix pédagogiques'!$C$4&lt;&gt;"?",'Choix pédagogiques'!$C$5&lt;&gt;"?",W268&lt;&gt;""),(W268-'Choix pédagogiques'!$C$4)/('Choix pédagogiques'!$C$5-'Choix pédagogiques'!$C$4),"")</f>
        <v/>
      </c>
      <c r="AS268" s="49" t="str">
        <f>IF(AND('Choix pédagogiques'!$C$4&lt;&gt;"?",'Choix pédagogiques'!$C$5&lt;&gt;"?",X268&lt;&gt;""),(X268-'Choix pédagogiques'!$C$4)/('Choix pédagogiques'!$C$5-'Choix pédagogiques'!$C$4),"")</f>
        <v/>
      </c>
      <c r="AT268" s="49" t="str">
        <f>IF(AND('Choix pédagogiques'!$C$4&lt;&gt;"?",'Choix pédagogiques'!$C$5&lt;&gt;"?",Y268&lt;&gt;""),(Y268-'Choix pédagogiques'!$C$4)/('Choix pédagogiques'!$C$5-'Choix pédagogiques'!$C$4),"")</f>
        <v/>
      </c>
      <c r="AU268" s="22" t="str">
        <f t="shared" si="216"/>
        <v/>
      </c>
      <c r="AV268" s="21" t="str">
        <f t="shared" si="217"/>
        <v>Apprenant 256 ou 256'</v>
      </c>
      <c r="AW268" s="49" t="str">
        <f>IF(AND('Choix pédagogiques'!$C$4&lt;&gt;"?",'Choix pédagogiques'!$C$5&lt;&gt;"?",AB268&lt;&gt;""),(AB268-'Choix pédagogiques'!$C$4)/('Choix pédagogiques'!$C$5-'Choix pédagogiques'!$C$4),"")</f>
        <v/>
      </c>
      <c r="AX268" s="49" t="str">
        <f>IF(AND('Choix pédagogiques'!$C$4&lt;&gt;"?",'Choix pédagogiques'!$C$5&lt;&gt;"?",AC268&lt;&gt;""),(AC268-'Choix pédagogiques'!$C$4)/('Choix pédagogiques'!$C$5-'Choix pédagogiques'!$C$4),"")</f>
        <v/>
      </c>
      <c r="AY268" s="49" t="str">
        <f>IF(AND('Choix pédagogiques'!$C$4&lt;&gt;"?",'Choix pédagogiques'!$C$5&lt;&gt;"?",AD268&lt;&gt;""),(AD268-'Choix pédagogiques'!$C$4)/('Choix pédagogiques'!$C$5-'Choix pédagogiques'!$C$4),"")</f>
        <v/>
      </c>
      <c r="AZ268" s="22" t="str">
        <f t="shared" si="218"/>
        <v/>
      </c>
      <c r="BA268" s="21" t="str">
        <f t="shared" si="219"/>
        <v>Apprenant 256</v>
      </c>
      <c r="BB268" s="49" t="str">
        <f t="shared" si="191"/>
        <v/>
      </c>
      <c r="BC268" s="49" t="str">
        <f t="shared" si="192"/>
        <v/>
      </c>
      <c r="BD268" s="49" t="str">
        <f t="shared" si="193"/>
        <v/>
      </c>
      <c r="BE268" s="22" t="str">
        <f t="shared" si="220"/>
        <v/>
      </c>
      <c r="BF268" s="21" t="str">
        <f t="shared" si="221"/>
        <v>Apprenant 256 ou 256'</v>
      </c>
      <c r="BG268" s="49" t="str">
        <f t="shared" si="194"/>
        <v/>
      </c>
      <c r="BH268" s="49" t="str">
        <f t="shared" si="195"/>
        <v/>
      </c>
      <c r="BI268" s="49" t="str">
        <f t="shared" si="196"/>
        <v/>
      </c>
      <c r="BJ268" s="22" t="str">
        <f t="shared" si="222"/>
        <v/>
      </c>
      <c r="BL268" s="21"/>
      <c r="BM268" s="21" t="str">
        <f>IF(OR(COUNT(B268:D1267)=0,AND('Choix pédagogiques'!$C$3&lt;&gt;1,'Choix pédagogiques'!$C$3&lt;&gt;2)),"",IF(AND(OR('Choix pédagogiques'!$C$3=1,'Choix pédagogiques'!$C$3=2),$B268&lt;&gt;"",$C268&lt;&gt;"",$D268&lt;&gt;""),1,0))</f>
        <v/>
      </c>
      <c r="BN268" s="21" t="str">
        <f>IF(OR(COUNT(G268:I1267)=0,AND('Choix pédagogiques'!$C$3&lt;&gt;1,'Choix pédagogiques'!$C$3&lt;&gt;2)),"",IF(AND(OR('Choix pédagogiques'!$C$3=1,'Choix pédagogiques'!$C$3=2),AND($G268&lt;&gt;"",$H268&lt;&gt;"",$I268&lt;&gt;"")),1,0))</f>
        <v/>
      </c>
      <c r="BO268" s="21" t="str">
        <f>IF(OR(COUNT(B268:D1267)=0,COUNT(G268:I1267)=0,'Choix pédagogiques'!C$3&lt;&gt;3),"",IF(AND('Choix pédagogiques'!$C$3=3,$B268&lt;&gt;"",$C268&lt;&gt;"",$D268&lt;&gt;"",$G268&lt;&gt;"",$H268&lt;&gt;"",$I268&lt;&gt;""),1,0))</f>
        <v/>
      </c>
      <c r="BR268" s="21">
        <v>861</v>
      </c>
      <c r="BS268" s="21">
        <v>1918</v>
      </c>
      <c r="BT268"/>
    </row>
    <row r="269" spans="1:72" s="23" customFormat="1" ht="18" customHeight="1" x14ac:dyDescent="0.3">
      <c r="A269" s="35" t="s">
        <v>259</v>
      </c>
      <c r="B269" s="37"/>
      <c r="C269" s="37"/>
      <c r="D269" s="37"/>
      <c r="E269" s="37"/>
      <c r="F269" s="35" t="s">
        <v>1267</v>
      </c>
      <c r="G269" s="37"/>
      <c r="H269" s="37"/>
      <c r="I269" s="37"/>
      <c r="J269" s="37"/>
      <c r="K269" s="21" t="str">
        <f t="shared" si="197"/>
        <v>Apprenant 257</v>
      </c>
      <c r="L269" s="22" t="str">
        <f t="shared" si="198"/>
        <v/>
      </c>
      <c r="M269" s="22" t="str">
        <f t="shared" si="199"/>
        <v/>
      </c>
      <c r="N269" s="22" t="str">
        <f t="shared" si="200"/>
        <v/>
      </c>
      <c r="O269" s="22" t="str">
        <f t="shared" si="201"/>
        <v/>
      </c>
      <c r="P269" s="21" t="str">
        <f t="shared" si="202"/>
        <v>Apprenant 257 ou 257'</v>
      </c>
      <c r="Q269" s="22" t="str">
        <f t="shared" si="203"/>
        <v/>
      </c>
      <c r="R269" s="22" t="str">
        <f t="shared" si="204"/>
        <v/>
      </c>
      <c r="S269" s="22" t="str">
        <f t="shared" si="205"/>
        <v/>
      </c>
      <c r="T269" s="22" t="str">
        <f t="shared" si="206"/>
        <v/>
      </c>
      <c r="V269" s="21" t="str">
        <f t="shared" si="207"/>
        <v>Apprenant 257</v>
      </c>
      <c r="W269" s="22" t="str">
        <f>IF(AND(OR('Choix pédagogiques'!$C$3=1,'Choix pédagogiques'!$C$3=2),$BM269=1),B269,IF(AND('Choix pédagogiques'!$C$3=3,$BO269=1),B269,""))</f>
        <v/>
      </c>
      <c r="X269" s="22" t="str">
        <f>IF(AND(OR('Choix pédagogiques'!$C$3=1,'Choix pédagogiques'!$C$3=2),$BM269=1),C269,IF(AND('Choix pédagogiques'!$C$3=3,$BO269=1),C269,""))</f>
        <v/>
      </c>
      <c r="Y269" s="22" t="str">
        <f>IF(AND(OR('Choix pédagogiques'!$C$3=1,'Choix pédagogiques'!$C$3=2),$BM269=1),D269,IF(AND('Choix pédagogiques'!$C$3=3,$BO269=1),D269,""))</f>
        <v/>
      </c>
      <c r="Z269" s="22" t="str">
        <f t="shared" si="208"/>
        <v/>
      </c>
      <c r="AA269" s="21" t="str">
        <f t="shared" si="209"/>
        <v>Apprenant 257 ou 257'</v>
      </c>
      <c r="AB269" s="22" t="str">
        <f>IF(AND(OR('Choix pédagogiques'!$C$3=1,'Choix pédagogiques'!$C$3=2),$BN269=1),G269,IF(AND('Choix pédagogiques'!$C$3=3,$BO269=1),G269,""))</f>
        <v/>
      </c>
      <c r="AC269" s="22" t="str">
        <f>IF(AND(OR('Choix pédagogiques'!$C$3=1,'Choix pédagogiques'!$C$3=2),$BN269=1),H269,IF(AND('Choix pédagogiques'!$C$3=3,$BO269=1),H269,""))</f>
        <v/>
      </c>
      <c r="AD269" s="22" t="str">
        <f>IF(AND(OR('Choix pédagogiques'!$C$3=1,'Choix pédagogiques'!$C$3=2),$BN269=1),I269,IF(AND('Choix pédagogiques'!$C$3=3,$BO269=1),I269,""))</f>
        <v/>
      </c>
      <c r="AE269" s="22" t="str">
        <f t="shared" si="210"/>
        <v/>
      </c>
      <c r="AF269" s="21" t="str">
        <f t="shared" si="211"/>
        <v>Apprenant 257</v>
      </c>
      <c r="AG269" s="22" t="str">
        <f t="shared" ref="AG269:AG332" si="223">IF(AND($W269&lt;&gt;"",$X269&lt;&gt;""),$X269-$W269,"")</f>
        <v/>
      </c>
      <c r="AH269" s="22" t="str">
        <f t="shared" ref="AH269:AH332" si="224">IF(AND($W269&lt;&gt;"",$Y269&lt;&gt;""),$Y269-$W269,"")</f>
        <v/>
      </c>
      <c r="AI269" s="22" t="str">
        <f t="shared" ref="AI269:AI332" si="225">IF(AND($X269&lt;&gt;"",$Y269&lt;&gt;""),$Y269-$X269,"")</f>
        <v/>
      </c>
      <c r="AJ269" s="22" t="str">
        <f t="shared" si="212"/>
        <v/>
      </c>
      <c r="AK269" s="21" t="str">
        <f t="shared" si="213"/>
        <v>Apprenant 257 ou 257'</v>
      </c>
      <c r="AL269" s="22" t="str">
        <f t="shared" ref="AL269:AL332" si="226">IF(AND($AB269&lt;&gt;"",$AC269&lt;&gt;""),$AC269-$AB269,"")</f>
        <v/>
      </c>
      <c r="AM269" s="22" t="str">
        <f t="shared" ref="AM269:AM332" si="227">IF(AND($AB269&lt;&gt;"",$AD269&lt;&gt;""),$AD269-$AB269,"")</f>
        <v/>
      </c>
      <c r="AN269" s="22" t="str">
        <f t="shared" ref="AN269:AN332" si="228">IF(AND($AC269&lt;&gt;"",$AD269&lt;&gt;""),$AD269-$AC269,"")</f>
        <v/>
      </c>
      <c r="AO269" s="22" t="str">
        <f t="shared" si="214"/>
        <v/>
      </c>
      <c r="AQ269" s="21" t="str">
        <f t="shared" si="215"/>
        <v>Apprenant 257</v>
      </c>
      <c r="AR269" s="49" t="str">
        <f>IF(AND('Choix pédagogiques'!$C$4&lt;&gt;"?",'Choix pédagogiques'!$C$5&lt;&gt;"?",W269&lt;&gt;""),(W269-'Choix pédagogiques'!$C$4)/('Choix pédagogiques'!$C$5-'Choix pédagogiques'!$C$4),"")</f>
        <v/>
      </c>
      <c r="AS269" s="49" t="str">
        <f>IF(AND('Choix pédagogiques'!$C$4&lt;&gt;"?",'Choix pédagogiques'!$C$5&lt;&gt;"?",X269&lt;&gt;""),(X269-'Choix pédagogiques'!$C$4)/('Choix pédagogiques'!$C$5-'Choix pédagogiques'!$C$4),"")</f>
        <v/>
      </c>
      <c r="AT269" s="49" t="str">
        <f>IF(AND('Choix pédagogiques'!$C$4&lt;&gt;"?",'Choix pédagogiques'!$C$5&lt;&gt;"?",Y269&lt;&gt;""),(Y269-'Choix pédagogiques'!$C$4)/('Choix pédagogiques'!$C$5-'Choix pédagogiques'!$C$4),"")</f>
        <v/>
      </c>
      <c r="AU269" s="22" t="str">
        <f t="shared" si="216"/>
        <v/>
      </c>
      <c r="AV269" s="21" t="str">
        <f t="shared" si="217"/>
        <v>Apprenant 257 ou 257'</v>
      </c>
      <c r="AW269" s="49" t="str">
        <f>IF(AND('Choix pédagogiques'!$C$4&lt;&gt;"?",'Choix pédagogiques'!$C$5&lt;&gt;"?",AB269&lt;&gt;""),(AB269-'Choix pédagogiques'!$C$4)/('Choix pédagogiques'!$C$5-'Choix pédagogiques'!$C$4),"")</f>
        <v/>
      </c>
      <c r="AX269" s="49" t="str">
        <f>IF(AND('Choix pédagogiques'!$C$4&lt;&gt;"?",'Choix pédagogiques'!$C$5&lt;&gt;"?",AC269&lt;&gt;""),(AC269-'Choix pédagogiques'!$C$4)/('Choix pédagogiques'!$C$5-'Choix pédagogiques'!$C$4),"")</f>
        <v/>
      </c>
      <c r="AY269" s="49" t="str">
        <f>IF(AND('Choix pédagogiques'!$C$4&lt;&gt;"?",'Choix pédagogiques'!$C$5&lt;&gt;"?",AD269&lt;&gt;""),(AD269-'Choix pédagogiques'!$C$4)/('Choix pédagogiques'!$C$5-'Choix pédagogiques'!$C$4),"")</f>
        <v/>
      </c>
      <c r="AZ269" s="22" t="str">
        <f t="shared" si="218"/>
        <v/>
      </c>
      <c r="BA269" s="21" t="str">
        <f t="shared" si="219"/>
        <v>Apprenant 257</v>
      </c>
      <c r="BB269" s="49" t="str">
        <f t="shared" ref="BB269:BB332" si="229">IF(AND($AR269&lt;&gt;"",$AS269&lt;&gt;""),$AS269-$AR269,"")</f>
        <v/>
      </c>
      <c r="BC269" s="49" t="str">
        <f t="shared" ref="BC269:BC332" si="230">IF(AND($AR269&lt;&gt;"",$AT269&lt;&gt;""),$AT269-$AR269,"")</f>
        <v/>
      </c>
      <c r="BD269" s="49" t="str">
        <f t="shared" ref="BD269:BD332" si="231">IF(AND($AS269&lt;&gt;"",$AT269&lt;&gt;""),$AT269-$AS269,"")</f>
        <v/>
      </c>
      <c r="BE269" s="22" t="str">
        <f t="shared" si="220"/>
        <v/>
      </c>
      <c r="BF269" s="21" t="str">
        <f t="shared" si="221"/>
        <v>Apprenant 257 ou 257'</v>
      </c>
      <c r="BG269" s="49" t="str">
        <f t="shared" ref="BG269:BG332" si="232">IF(AND($AW269&lt;&gt;"",$AX269&lt;&gt;""),$AX269-$AW269,"")</f>
        <v/>
      </c>
      <c r="BH269" s="49" t="str">
        <f t="shared" ref="BH269:BH332" si="233">IF(AND($AW269&lt;&gt;"",$AY269&lt;&gt;""),$AY269-$AW269,"")</f>
        <v/>
      </c>
      <c r="BI269" s="49" t="str">
        <f t="shared" ref="BI269:BI332" si="234">IF(AND($AX269&lt;&gt;"",$AY269&lt;&gt;""),$AY269-$AX269,"")</f>
        <v/>
      </c>
      <c r="BJ269" s="22" t="str">
        <f t="shared" si="222"/>
        <v/>
      </c>
      <c r="BL269" s="21"/>
      <c r="BM269" s="21" t="str">
        <f>IF(OR(COUNT(B269:D1268)=0,AND('Choix pédagogiques'!$C$3&lt;&gt;1,'Choix pédagogiques'!$C$3&lt;&gt;2)),"",IF(AND(OR('Choix pédagogiques'!$C$3=1,'Choix pédagogiques'!$C$3=2),$B269&lt;&gt;"",$C269&lt;&gt;"",$D269&lt;&gt;""),1,0))</f>
        <v/>
      </c>
      <c r="BN269" s="21" t="str">
        <f>IF(OR(COUNT(G269:I1268)=0,AND('Choix pédagogiques'!$C$3&lt;&gt;1,'Choix pédagogiques'!$C$3&lt;&gt;2)),"",IF(AND(OR('Choix pédagogiques'!$C$3=1,'Choix pédagogiques'!$C$3=2),AND($G269&lt;&gt;"",$H269&lt;&gt;"",$I269&lt;&gt;"")),1,0))</f>
        <v/>
      </c>
      <c r="BO269" s="21" t="str">
        <f>IF(OR(COUNT(B269:D1268)=0,COUNT(G269:I1268)=0,'Choix pédagogiques'!C$3&lt;&gt;3),"",IF(AND('Choix pédagogiques'!$C$3=3,$B269&lt;&gt;"",$C269&lt;&gt;"",$D269&lt;&gt;"",$G269&lt;&gt;"",$H269&lt;&gt;"",$I269&lt;&gt;""),1,0))</f>
        <v/>
      </c>
      <c r="BR269" s="21">
        <v>807</v>
      </c>
      <c r="BS269" s="21">
        <v>1002</v>
      </c>
      <c r="BT269"/>
    </row>
    <row r="270" spans="1:72" s="23" customFormat="1" ht="18" customHeight="1" x14ac:dyDescent="0.3">
      <c r="A270" s="35" t="s">
        <v>260</v>
      </c>
      <c r="B270" s="37"/>
      <c r="C270" s="37"/>
      <c r="D270" s="37"/>
      <c r="E270" s="37"/>
      <c r="F270" s="35" t="s">
        <v>1268</v>
      </c>
      <c r="G270" s="37"/>
      <c r="H270" s="37"/>
      <c r="I270" s="37"/>
      <c r="J270" s="37"/>
      <c r="K270" s="21" t="str">
        <f t="shared" ref="K270:K333" si="235">IF($A270&lt;&gt;"",$A270,"")</f>
        <v>Apprenant 258</v>
      </c>
      <c r="L270" s="22" t="str">
        <f t="shared" ref="L270:L333" si="236">IF(AND($B270&lt;&gt;"",$C270&lt;&gt;""),$C270-$B270,"")</f>
        <v/>
      </c>
      <c r="M270" s="22" t="str">
        <f t="shared" ref="M270:M333" si="237">IF(AND($B270&lt;&gt;"",$D270&lt;&gt;""),$D270-$B270,"")</f>
        <v/>
      </c>
      <c r="N270" s="22" t="str">
        <f t="shared" ref="N270:N333" si="238">IF(AND($C270&lt;&gt;"",$D270&lt;&gt;""),$D270-$C270,"")</f>
        <v/>
      </c>
      <c r="O270" s="22" t="str">
        <f t="shared" ref="O270:O333" si="239">IF($E270&lt;&gt;"",$E270,"")</f>
        <v/>
      </c>
      <c r="P270" s="21" t="str">
        <f t="shared" ref="P270:P333" si="240">IF($F270&lt;&gt;"",$F270,"")</f>
        <v>Apprenant 258 ou 258'</v>
      </c>
      <c r="Q270" s="22" t="str">
        <f t="shared" ref="Q270:Q333" si="241">IF(AND($G270&lt;&gt;"",$H270&lt;&gt;""),$H270-$G270,"")</f>
        <v/>
      </c>
      <c r="R270" s="22" t="str">
        <f t="shared" ref="R270:R333" si="242">IF(AND($G270&lt;&gt;"",$I270&lt;&gt;""),$I270-$G270,"")</f>
        <v/>
      </c>
      <c r="S270" s="22" t="str">
        <f t="shared" ref="S270:S333" si="243">IF(AND($H270&lt;&gt;"",$I270&lt;&gt;""),$I270-$H270,"")</f>
        <v/>
      </c>
      <c r="T270" s="22" t="str">
        <f t="shared" ref="T270:T333" si="244">IF($J270&lt;&gt;"",$J270,"")</f>
        <v/>
      </c>
      <c r="V270" s="21" t="str">
        <f t="shared" ref="V270:V333" si="245">IF($A270&lt;&gt;"",$A270,"")</f>
        <v>Apprenant 258</v>
      </c>
      <c r="W270" s="22" t="str">
        <f>IF(AND(OR('Choix pédagogiques'!$C$3=1,'Choix pédagogiques'!$C$3=2),$BM270=1),B270,IF(AND('Choix pédagogiques'!$C$3=3,$BO270=1),B270,""))</f>
        <v/>
      </c>
      <c r="X270" s="22" t="str">
        <f>IF(AND(OR('Choix pédagogiques'!$C$3=1,'Choix pédagogiques'!$C$3=2),$BM270=1),C270,IF(AND('Choix pédagogiques'!$C$3=3,$BO270=1),C270,""))</f>
        <v/>
      </c>
      <c r="Y270" s="22" t="str">
        <f>IF(AND(OR('Choix pédagogiques'!$C$3=1,'Choix pédagogiques'!$C$3=2),$BM270=1),D270,IF(AND('Choix pédagogiques'!$C$3=3,$BO270=1),D270,""))</f>
        <v/>
      </c>
      <c r="Z270" s="22" t="str">
        <f t="shared" ref="Z270:Z333" si="246">IF($E270&lt;&gt;"",$E270,"")</f>
        <v/>
      </c>
      <c r="AA270" s="21" t="str">
        <f t="shared" ref="AA270:AA333" si="247">IF($F270&lt;&gt;"",$F270,"")</f>
        <v>Apprenant 258 ou 258'</v>
      </c>
      <c r="AB270" s="22" t="str">
        <f>IF(AND(OR('Choix pédagogiques'!$C$3=1,'Choix pédagogiques'!$C$3=2),$BN270=1),G270,IF(AND('Choix pédagogiques'!$C$3=3,$BO270=1),G270,""))</f>
        <v/>
      </c>
      <c r="AC270" s="22" t="str">
        <f>IF(AND(OR('Choix pédagogiques'!$C$3=1,'Choix pédagogiques'!$C$3=2),$BN270=1),H270,IF(AND('Choix pédagogiques'!$C$3=3,$BO270=1),H270,""))</f>
        <v/>
      </c>
      <c r="AD270" s="22" t="str">
        <f>IF(AND(OR('Choix pédagogiques'!$C$3=1,'Choix pédagogiques'!$C$3=2),$BN270=1),I270,IF(AND('Choix pédagogiques'!$C$3=3,$BO270=1),I270,""))</f>
        <v/>
      </c>
      <c r="AE270" s="22" t="str">
        <f t="shared" ref="AE270:AE333" si="248">IF($J270&lt;&gt;"",$J270,"")</f>
        <v/>
      </c>
      <c r="AF270" s="21" t="str">
        <f t="shared" ref="AF270:AF333" si="249">IF($A270&lt;&gt;"",$A270,"")</f>
        <v>Apprenant 258</v>
      </c>
      <c r="AG270" s="22" t="str">
        <f t="shared" si="223"/>
        <v/>
      </c>
      <c r="AH270" s="22" t="str">
        <f t="shared" si="224"/>
        <v/>
      </c>
      <c r="AI270" s="22" t="str">
        <f t="shared" si="225"/>
        <v/>
      </c>
      <c r="AJ270" s="22" t="str">
        <f t="shared" ref="AJ270:AJ333" si="250">IF($E270&lt;&gt;"",$E270,"")</f>
        <v/>
      </c>
      <c r="AK270" s="21" t="str">
        <f t="shared" ref="AK270:AK333" si="251">IF($F270&lt;&gt;"",$F270,"")</f>
        <v>Apprenant 258 ou 258'</v>
      </c>
      <c r="AL270" s="22" t="str">
        <f t="shared" si="226"/>
        <v/>
      </c>
      <c r="AM270" s="22" t="str">
        <f t="shared" si="227"/>
        <v/>
      </c>
      <c r="AN270" s="22" t="str">
        <f t="shared" si="228"/>
        <v/>
      </c>
      <c r="AO270" s="22" t="str">
        <f t="shared" ref="AO270:AO333" si="252">IF($J270&lt;&gt;"",$J270,"")</f>
        <v/>
      </c>
      <c r="AQ270" s="21" t="str">
        <f t="shared" ref="AQ270:AQ333" si="253">IF($A270&lt;&gt;"",$A270,"")</f>
        <v>Apprenant 258</v>
      </c>
      <c r="AR270" s="49" t="str">
        <f>IF(AND('Choix pédagogiques'!$C$4&lt;&gt;"?",'Choix pédagogiques'!$C$5&lt;&gt;"?",W270&lt;&gt;""),(W270-'Choix pédagogiques'!$C$4)/('Choix pédagogiques'!$C$5-'Choix pédagogiques'!$C$4),"")</f>
        <v/>
      </c>
      <c r="AS270" s="49" t="str">
        <f>IF(AND('Choix pédagogiques'!$C$4&lt;&gt;"?",'Choix pédagogiques'!$C$5&lt;&gt;"?",X270&lt;&gt;""),(X270-'Choix pédagogiques'!$C$4)/('Choix pédagogiques'!$C$5-'Choix pédagogiques'!$C$4),"")</f>
        <v/>
      </c>
      <c r="AT270" s="49" t="str">
        <f>IF(AND('Choix pédagogiques'!$C$4&lt;&gt;"?",'Choix pédagogiques'!$C$5&lt;&gt;"?",Y270&lt;&gt;""),(Y270-'Choix pédagogiques'!$C$4)/('Choix pédagogiques'!$C$5-'Choix pédagogiques'!$C$4),"")</f>
        <v/>
      </c>
      <c r="AU270" s="22" t="str">
        <f t="shared" ref="AU270:AU333" si="254">IF($E270&lt;&gt;"",$E270,"")</f>
        <v/>
      </c>
      <c r="AV270" s="21" t="str">
        <f t="shared" ref="AV270:AV333" si="255">IF($F270&lt;&gt;"",$F270,"")</f>
        <v>Apprenant 258 ou 258'</v>
      </c>
      <c r="AW270" s="49" t="str">
        <f>IF(AND('Choix pédagogiques'!$C$4&lt;&gt;"?",'Choix pédagogiques'!$C$5&lt;&gt;"?",AB270&lt;&gt;""),(AB270-'Choix pédagogiques'!$C$4)/('Choix pédagogiques'!$C$5-'Choix pédagogiques'!$C$4),"")</f>
        <v/>
      </c>
      <c r="AX270" s="49" t="str">
        <f>IF(AND('Choix pédagogiques'!$C$4&lt;&gt;"?",'Choix pédagogiques'!$C$5&lt;&gt;"?",AC270&lt;&gt;""),(AC270-'Choix pédagogiques'!$C$4)/('Choix pédagogiques'!$C$5-'Choix pédagogiques'!$C$4),"")</f>
        <v/>
      </c>
      <c r="AY270" s="49" t="str">
        <f>IF(AND('Choix pédagogiques'!$C$4&lt;&gt;"?",'Choix pédagogiques'!$C$5&lt;&gt;"?",AD270&lt;&gt;""),(AD270-'Choix pédagogiques'!$C$4)/('Choix pédagogiques'!$C$5-'Choix pédagogiques'!$C$4),"")</f>
        <v/>
      </c>
      <c r="AZ270" s="22" t="str">
        <f t="shared" ref="AZ270:AZ333" si="256">IF($J270&lt;&gt;"",$J270,"")</f>
        <v/>
      </c>
      <c r="BA270" s="21" t="str">
        <f t="shared" ref="BA270:BA333" si="257">IF($A270&lt;&gt;"",$A270,"")</f>
        <v>Apprenant 258</v>
      </c>
      <c r="BB270" s="49" t="str">
        <f t="shared" si="229"/>
        <v/>
      </c>
      <c r="BC270" s="49" t="str">
        <f t="shared" si="230"/>
        <v/>
      </c>
      <c r="BD270" s="49" t="str">
        <f t="shared" si="231"/>
        <v/>
      </c>
      <c r="BE270" s="22" t="str">
        <f t="shared" ref="BE270:BE333" si="258">IF($E270&lt;&gt;"",$E270,"")</f>
        <v/>
      </c>
      <c r="BF270" s="21" t="str">
        <f t="shared" ref="BF270:BF333" si="259">IF($F270&lt;&gt;"",$F270,"")</f>
        <v>Apprenant 258 ou 258'</v>
      </c>
      <c r="BG270" s="49" t="str">
        <f t="shared" si="232"/>
        <v/>
      </c>
      <c r="BH270" s="49" t="str">
        <f t="shared" si="233"/>
        <v/>
      </c>
      <c r="BI270" s="49" t="str">
        <f t="shared" si="234"/>
        <v/>
      </c>
      <c r="BJ270" s="22" t="str">
        <f t="shared" ref="BJ270:BJ333" si="260">IF($J270&lt;&gt;"",$J270,"")</f>
        <v/>
      </c>
      <c r="BL270" s="21"/>
      <c r="BM270" s="21" t="str">
        <f>IF(OR(COUNT(B270:D1269)=0,AND('Choix pédagogiques'!$C$3&lt;&gt;1,'Choix pédagogiques'!$C$3&lt;&gt;2)),"",IF(AND(OR('Choix pédagogiques'!$C$3=1,'Choix pédagogiques'!$C$3=2),$B270&lt;&gt;"",$C270&lt;&gt;"",$D270&lt;&gt;""),1,0))</f>
        <v/>
      </c>
      <c r="BN270" s="21" t="str">
        <f>IF(OR(COUNT(G270:I1269)=0,AND('Choix pédagogiques'!$C$3&lt;&gt;1,'Choix pédagogiques'!$C$3&lt;&gt;2)),"",IF(AND(OR('Choix pédagogiques'!$C$3=1,'Choix pédagogiques'!$C$3=2),AND($G270&lt;&gt;"",$H270&lt;&gt;"",$I270&lt;&gt;"")),1,0))</f>
        <v/>
      </c>
      <c r="BO270" s="21" t="str">
        <f>IF(OR(COUNT(B270:D1269)=0,COUNT(G270:I1269)=0,'Choix pédagogiques'!C$3&lt;&gt;3),"",IF(AND('Choix pédagogiques'!$C$3=3,$B270&lt;&gt;"",$C270&lt;&gt;"",$D270&lt;&gt;"",$G270&lt;&gt;"",$H270&lt;&gt;"",$I270&lt;&gt;""),1,0))</f>
        <v/>
      </c>
      <c r="BR270" s="21">
        <v>237</v>
      </c>
      <c r="BS270" s="21">
        <v>1693</v>
      </c>
      <c r="BT270"/>
    </row>
    <row r="271" spans="1:72" s="23" customFormat="1" ht="18" customHeight="1" x14ac:dyDescent="0.3">
      <c r="A271" s="35" t="s">
        <v>261</v>
      </c>
      <c r="B271" s="37"/>
      <c r="C271" s="37"/>
      <c r="D271" s="37"/>
      <c r="E271" s="37"/>
      <c r="F271" s="35" t="s">
        <v>1269</v>
      </c>
      <c r="G271" s="37"/>
      <c r="H271" s="37"/>
      <c r="I271" s="37"/>
      <c r="J271" s="37"/>
      <c r="K271" s="21" t="str">
        <f t="shared" si="235"/>
        <v>Apprenant 259</v>
      </c>
      <c r="L271" s="22" t="str">
        <f t="shared" si="236"/>
        <v/>
      </c>
      <c r="M271" s="22" t="str">
        <f t="shared" si="237"/>
        <v/>
      </c>
      <c r="N271" s="22" t="str">
        <f t="shared" si="238"/>
        <v/>
      </c>
      <c r="O271" s="22" t="str">
        <f t="shared" si="239"/>
        <v/>
      </c>
      <c r="P271" s="21" t="str">
        <f t="shared" si="240"/>
        <v>Apprenant 259 ou 259'</v>
      </c>
      <c r="Q271" s="22" t="str">
        <f t="shared" si="241"/>
        <v/>
      </c>
      <c r="R271" s="22" t="str">
        <f t="shared" si="242"/>
        <v/>
      </c>
      <c r="S271" s="22" t="str">
        <f t="shared" si="243"/>
        <v/>
      </c>
      <c r="T271" s="22" t="str">
        <f t="shared" si="244"/>
        <v/>
      </c>
      <c r="V271" s="21" t="str">
        <f t="shared" si="245"/>
        <v>Apprenant 259</v>
      </c>
      <c r="W271" s="22" t="str">
        <f>IF(AND(OR('Choix pédagogiques'!$C$3=1,'Choix pédagogiques'!$C$3=2),$BM271=1),B271,IF(AND('Choix pédagogiques'!$C$3=3,$BO271=1),B271,""))</f>
        <v/>
      </c>
      <c r="X271" s="22" t="str">
        <f>IF(AND(OR('Choix pédagogiques'!$C$3=1,'Choix pédagogiques'!$C$3=2),$BM271=1),C271,IF(AND('Choix pédagogiques'!$C$3=3,$BO271=1),C271,""))</f>
        <v/>
      </c>
      <c r="Y271" s="22" t="str">
        <f>IF(AND(OR('Choix pédagogiques'!$C$3=1,'Choix pédagogiques'!$C$3=2),$BM271=1),D271,IF(AND('Choix pédagogiques'!$C$3=3,$BO271=1),D271,""))</f>
        <v/>
      </c>
      <c r="Z271" s="22" t="str">
        <f t="shared" si="246"/>
        <v/>
      </c>
      <c r="AA271" s="21" t="str">
        <f t="shared" si="247"/>
        <v>Apprenant 259 ou 259'</v>
      </c>
      <c r="AB271" s="22" t="str">
        <f>IF(AND(OR('Choix pédagogiques'!$C$3=1,'Choix pédagogiques'!$C$3=2),$BN271=1),G271,IF(AND('Choix pédagogiques'!$C$3=3,$BO271=1),G271,""))</f>
        <v/>
      </c>
      <c r="AC271" s="22" t="str">
        <f>IF(AND(OR('Choix pédagogiques'!$C$3=1,'Choix pédagogiques'!$C$3=2),$BN271=1),H271,IF(AND('Choix pédagogiques'!$C$3=3,$BO271=1),H271,""))</f>
        <v/>
      </c>
      <c r="AD271" s="22" t="str">
        <f>IF(AND(OR('Choix pédagogiques'!$C$3=1,'Choix pédagogiques'!$C$3=2),$BN271=1),I271,IF(AND('Choix pédagogiques'!$C$3=3,$BO271=1),I271,""))</f>
        <v/>
      </c>
      <c r="AE271" s="22" t="str">
        <f t="shared" si="248"/>
        <v/>
      </c>
      <c r="AF271" s="21" t="str">
        <f t="shared" si="249"/>
        <v>Apprenant 259</v>
      </c>
      <c r="AG271" s="22" t="str">
        <f t="shared" si="223"/>
        <v/>
      </c>
      <c r="AH271" s="22" t="str">
        <f t="shared" si="224"/>
        <v/>
      </c>
      <c r="AI271" s="22" t="str">
        <f t="shared" si="225"/>
        <v/>
      </c>
      <c r="AJ271" s="22" t="str">
        <f t="shared" si="250"/>
        <v/>
      </c>
      <c r="AK271" s="21" t="str">
        <f t="shared" si="251"/>
        <v>Apprenant 259 ou 259'</v>
      </c>
      <c r="AL271" s="22" t="str">
        <f t="shared" si="226"/>
        <v/>
      </c>
      <c r="AM271" s="22" t="str">
        <f t="shared" si="227"/>
        <v/>
      </c>
      <c r="AN271" s="22" t="str">
        <f t="shared" si="228"/>
        <v/>
      </c>
      <c r="AO271" s="22" t="str">
        <f t="shared" si="252"/>
        <v/>
      </c>
      <c r="AQ271" s="21" t="str">
        <f t="shared" si="253"/>
        <v>Apprenant 259</v>
      </c>
      <c r="AR271" s="49" t="str">
        <f>IF(AND('Choix pédagogiques'!$C$4&lt;&gt;"?",'Choix pédagogiques'!$C$5&lt;&gt;"?",W271&lt;&gt;""),(W271-'Choix pédagogiques'!$C$4)/('Choix pédagogiques'!$C$5-'Choix pédagogiques'!$C$4),"")</f>
        <v/>
      </c>
      <c r="AS271" s="49" t="str">
        <f>IF(AND('Choix pédagogiques'!$C$4&lt;&gt;"?",'Choix pédagogiques'!$C$5&lt;&gt;"?",X271&lt;&gt;""),(X271-'Choix pédagogiques'!$C$4)/('Choix pédagogiques'!$C$5-'Choix pédagogiques'!$C$4),"")</f>
        <v/>
      </c>
      <c r="AT271" s="49" t="str">
        <f>IF(AND('Choix pédagogiques'!$C$4&lt;&gt;"?",'Choix pédagogiques'!$C$5&lt;&gt;"?",Y271&lt;&gt;""),(Y271-'Choix pédagogiques'!$C$4)/('Choix pédagogiques'!$C$5-'Choix pédagogiques'!$C$4),"")</f>
        <v/>
      </c>
      <c r="AU271" s="22" t="str">
        <f t="shared" si="254"/>
        <v/>
      </c>
      <c r="AV271" s="21" t="str">
        <f t="shared" si="255"/>
        <v>Apprenant 259 ou 259'</v>
      </c>
      <c r="AW271" s="49" t="str">
        <f>IF(AND('Choix pédagogiques'!$C$4&lt;&gt;"?",'Choix pédagogiques'!$C$5&lt;&gt;"?",AB271&lt;&gt;""),(AB271-'Choix pédagogiques'!$C$4)/('Choix pédagogiques'!$C$5-'Choix pédagogiques'!$C$4),"")</f>
        <v/>
      </c>
      <c r="AX271" s="49" t="str">
        <f>IF(AND('Choix pédagogiques'!$C$4&lt;&gt;"?",'Choix pédagogiques'!$C$5&lt;&gt;"?",AC271&lt;&gt;""),(AC271-'Choix pédagogiques'!$C$4)/('Choix pédagogiques'!$C$5-'Choix pédagogiques'!$C$4),"")</f>
        <v/>
      </c>
      <c r="AY271" s="49" t="str">
        <f>IF(AND('Choix pédagogiques'!$C$4&lt;&gt;"?",'Choix pédagogiques'!$C$5&lt;&gt;"?",AD271&lt;&gt;""),(AD271-'Choix pédagogiques'!$C$4)/('Choix pédagogiques'!$C$5-'Choix pédagogiques'!$C$4),"")</f>
        <v/>
      </c>
      <c r="AZ271" s="22" t="str">
        <f t="shared" si="256"/>
        <v/>
      </c>
      <c r="BA271" s="21" t="str">
        <f t="shared" si="257"/>
        <v>Apprenant 259</v>
      </c>
      <c r="BB271" s="49" t="str">
        <f t="shared" si="229"/>
        <v/>
      </c>
      <c r="BC271" s="49" t="str">
        <f t="shared" si="230"/>
        <v/>
      </c>
      <c r="BD271" s="49" t="str">
        <f t="shared" si="231"/>
        <v/>
      </c>
      <c r="BE271" s="22" t="str">
        <f t="shared" si="258"/>
        <v/>
      </c>
      <c r="BF271" s="21" t="str">
        <f t="shared" si="259"/>
        <v>Apprenant 259 ou 259'</v>
      </c>
      <c r="BG271" s="49" t="str">
        <f t="shared" si="232"/>
        <v/>
      </c>
      <c r="BH271" s="49" t="str">
        <f t="shared" si="233"/>
        <v/>
      </c>
      <c r="BI271" s="49" t="str">
        <f t="shared" si="234"/>
        <v/>
      </c>
      <c r="BJ271" s="22" t="str">
        <f t="shared" si="260"/>
        <v/>
      </c>
      <c r="BL271" s="21"/>
      <c r="BM271" s="21" t="str">
        <f>IF(OR(COUNT(B271:D1270)=0,AND('Choix pédagogiques'!$C$3&lt;&gt;1,'Choix pédagogiques'!$C$3&lt;&gt;2)),"",IF(AND(OR('Choix pédagogiques'!$C$3=1,'Choix pédagogiques'!$C$3=2),$B271&lt;&gt;"",$C271&lt;&gt;"",$D271&lt;&gt;""),1,0))</f>
        <v/>
      </c>
      <c r="BN271" s="21" t="str">
        <f>IF(OR(COUNT(G271:I1270)=0,AND('Choix pédagogiques'!$C$3&lt;&gt;1,'Choix pédagogiques'!$C$3&lt;&gt;2)),"",IF(AND(OR('Choix pédagogiques'!$C$3=1,'Choix pédagogiques'!$C$3=2),AND($G271&lt;&gt;"",$H271&lt;&gt;"",$I271&lt;&gt;"")),1,0))</f>
        <v/>
      </c>
      <c r="BO271" s="21" t="str">
        <f>IF(OR(COUNT(B271:D1270)=0,COUNT(G271:I1270)=0,'Choix pédagogiques'!C$3&lt;&gt;3),"",IF(AND('Choix pédagogiques'!$C$3=3,$B271&lt;&gt;"",$C271&lt;&gt;"",$D271&lt;&gt;"",$G271&lt;&gt;"",$H271&lt;&gt;"",$I271&lt;&gt;""),1,0))</f>
        <v/>
      </c>
      <c r="BR271" s="21">
        <v>520</v>
      </c>
      <c r="BS271" s="21">
        <v>1751</v>
      </c>
      <c r="BT271"/>
    </row>
    <row r="272" spans="1:72" s="23" customFormat="1" ht="18" customHeight="1" x14ac:dyDescent="0.3">
      <c r="A272" s="35" t="s">
        <v>262</v>
      </c>
      <c r="B272" s="37"/>
      <c r="C272" s="37"/>
      <c r="D272" s="37"/>
      <c r="E272" s="37"/>
      <c r="F272" s="35" t="s">
        <v>1270</v>
      </c>
      <c r="G272" s="37"/>
      <c r="H272" s="37"/>
      <c r="I272" s="37"/>
      <c r="J272" s="37"/>
      <c r="K272" s="21" t="str">
        <f t="shared" si="235"/>
        <v>Apprenant 260</v>
      </c>
      <c r="L272" s="22" t="str">
        <f t="shared" si="236"/>
        <v/>
      </c>
      <c r="M272" s="22" t="str">
        <f t="shared" si="237"/>
        <v/>
      </c>
      <c r="N272" s="22" t="str">
        <f t="shared" si="238"/>
        <v/>
      </c>
      <c r="O272" s="22" t="str">
        <f t="shared" si="239"/>
        <v/>
      </c>
      <c r="P272" s="21" t="str">
        <f t="shared" si="240"/>
        <v>Apprenant 260 ou 260'</v>
      </c>
      <c r="Q272" s="22" t="str">
        <f t="shared" si="241"/>
        <v/>
      </c>
      <c r="R272" s="22" t="str">
        <f t="shared" si="242"/>
        <v/>
      </c>
      <c r="S272" s="22" t="str">
        <f t="shared" si="243"/>
        <v/>
      </c>
      <c r="T272" s="22" t="str">
        <f t="shared" si="244"/>
        <v/>
      </c>
      <c r="V272" s="21" t="str">
        <f t="shared" si="245"/>
        <v>Apprenant 260</v>
      </c>
      <c r="W272" s="22" t="str">
        <f>IF(AND(OR('Choix pédagogiques'!$C$3=1,'Choix pédagogiques'!$C$3=2),$BM272=1),B272,IF(AND('Choix pédagogiques'!$C$3=3,$BO272=1),B272,""))</f>
        <v/>
      </c>
      <c r="X272" s="22" t="str">
        <f>IF(AND(OR('Choix pédagogiques'!$C$3=1,'Choix pédagogiques'!$C$3=2),$BM272=1),C272,IF(AND('Choix pédagogiques'!$C$3=3,$BO272=1),C272,""))</f>
        <v/>
      </c>
      <c r="Y272" s="22" t="str">
        <f>IF(AND(OR('Choix pédagogiques'!$C$3=1,'Choix pédagogiques'!$C$3=2),$BM272=1),D272,IF(AND('Choix pédagogiques'!$C$3=3,$BO272=1),D272,""))</f>
        <v/>
      </c>
      <c r="Z272" s="22" t="str">
        <f t="shared" si="246"/>
        <v/>
      </c>
      <c r="AA272" s="21" t="str">
        <f t="shared" si="247"/>
        <v>Apprenant 260 ou 260'</v>
      </c>
      <c r="AB272" s="22" t="str">
        <f>IF(AND(OR('Choix pédagogiques'!$C$3=1,'Choix pédagogiques'!$C$3=2),$BN272=1),G272,IF(AND('Choix pédagogiques'!$C$3=3,$BO272=1),G272,""))</f>
        <v/>
      </c>
      <c r="AC272" s="22" t="str">
        <f>IF(AND(OR('Choix pédagogiques'!$C$3=1,'Choix pédagogiques'!$C$3=2),$BN272=1),H272,IF(AND('Choix pédagogiques'!$C$3=3,$BO272=1),H272,""))</f>
        <v/>
      </c>
      <c r="AD272" s="22" t="str">
        <f>IF(AND(OR('Choix pédagogiques'!$C$3=1,'Choix pédagogiques'!$C$3=2),$BN272=1),I272,IF(AND('Choix pédagogiques'!$C$3=3,$BO272=1),I272,""))</f>
        <v/>
      </c>
      <c r="AE272" s="22" t="str">
        <f t="shared" si="248"/>
        <v/>
      </c>
      <c r="AF272" s="21" t="str">
        <f t="shared" si="249"/>
        <v>Apprenant 260</v>
      </c>
      <c r="AG272" s="22" t="str">
        <f t="shared" si="223"/>
        <v/>
      </c>
      <c r="AH272" s="22" t="str">
        <f t="shared" si="224"/>
        <v/>
      </c>
      <c r="AI272" s="22" t="str">
        <f t="shared" si="225"/>
        <v/>
      </c>
      <c r="AJ272" s="22" t="str">
        <f t="shared" si="250"/>
        <v/>
      </c>
      <c r="AK272" s="21" t="str">
        <f t="shared" si="251"/>
        <v>Apprenant 260 ou 260'</v>
      </c>
      <c r="AL272" s="22" t="str">
        <f t="shared" si="226"/>
        <v/>
      </c>
      <c r="AM272" s="22" t="str">
        <f t="shared" si="227"/>
        <v/>
      </c>
      <c r="AN272" s="22" t="str">
        <f t="shared" si="228"/>
        <v/>
      </c>
      <c r="AO272" s="22" t="str">
        <f t="shared" si="252"/>
        <v/>
      </c>
      <c r="AQ272" s="21" t="str">
        <f t="shared" si="253"/>
        <v>Apprenant 260</v>
      </c>
      <c r="AR272" s="49" t="str">
        <f>IF(AND('Choix pédagogiques'!$C$4&lt;&gt;"?",'Choix pédagogiques'!$C$5&lt;&gt;"?",W272&lt;&gt;""),(W272-'Choix pédagogiques'!$C$4)/('Choix pédagogiques'!$C$5-'Choix pédagogiques'!$C$4),"")</f>
        <v/>
      </c>
      <c r="AS272" s="49" t="str">
        <f>IF(AND('Choix pédagogiques'!$C$4&lt;&gt;"?",'Choix pédagogiques'!$C$5&lt;&gt;"?",X272&lt;&gt;""),(X272-'Choix pédagogiques'!$C$4)/('Choix pédagogiques'!$C$5-'Choix pédagogiques'!$C$4),"")</f>
        <v/>
      </c>
      <c r="AT272" s="49" t="str">
        <f>IF(AND('Choix pédagogiques'!$C$4&lt;&gt;"?",'Choix pédagogiques'!$C$5&lt;&gt;"?",Y272&lt;&gt;""),(Y272-'Choix pédagogiques'!$C$4)/('Choix pédagogiques'!$C$5-'Choix pédagogiques'!$C$4),"")</f>
        <v/>
      </c>
      <c r="AU272" s="22" t="str">
        <f t="shared" si="254"/>
        <v/>
      </c>
      <c r="AV272" s="21" t="str">
        <f t="shared" si="255"/>
        <v>Apprenant 260 ou 260'</v>
      </c>
      <c r="AW272" s="49" t="str">
        <f>IF(AND('Choix pédagogiques'!$C$4&lt;&gt;"?",'Choix pédagogiques'!$C$5&lt;&gt;"?",AB272&lt;&gt;""),(AB272-'Choix pédagogiques'!$C$4)/('Choix pédagogiques'!$C$5-'Choix pédagogiques'!$C$4),"")</f>
        <v/>
      </c>
      <c r="AX272" s="49" t="str">
        <f>IF(AND('Choix pédagogiques'!$C$4&lt;&gt;"?",'Choix pédagogiques'!$C$5&lt;&gt;"?",AC272&lt;&gt;""),(AC272-'Choix pédagogiques'!$C$4)/('Choix pédagogiques'!$C$5-'Choix pédagogiques'!$C$4),"")</f>
        <v/>
      </c>
      <c r="AY272" s="49" t="str">
        <f>IF(AND('Choix pédagogiques'!$C$4&lt;&gt;"?",'Choix pédagogiques'!$C$5&lt;&gt;"?",AD272&lt;&gt;""),(AD272-'Choix pédagogiques'!$C$4)/('Choix pédagogiques'!$C$5-'Choix pédagogiques'!$C$4),"")</f>
        <v/>
      </c>
      <c r="AZ272" s="22" t="str">
        <f t="shared" si="256"/>
        <v/>
      </c>
      <c r="BA272" s="21" t="str">
        <f t="shared" si="257"/>
        <v>Apprenant 260</v>
      </c>
      <c r="BB272" s="49" t="str">
        <f t="shared" si="229"/>
        <v/>
      </c>
      <c r="BC272" s="49" t="str">
        <f t="shared" si="230"/>
        <v/>
      </c>
      <c r="BD272" s="49" t="str">
        <f t="shared" si="231"/>
        <v/>
      </c>
      <c r="BE272" s="22" t="str">
        <f t="shared" si="258"/>
        <v/>
      </c>
      <c r="BF272" s="21" t="str">
        <f t="shared" si="259"/>
        <v>Apprenant 260 ou 260'</v>
      </c>
      <c r="BG272" s="49" t="str">
        <f t="shared" si="232"/>
        <v/>
      </c>
      <c r="BH272" s="49" t="str">
        <f t="shared" si="233"/>
        <v/>
      </c>
      <c r="BI272" s="49" t="str">
        <f t="shared" si="234"/>
        <v/>
      </c>
      <c r="BJ272" s="22" t="str">
        <f t="shared" si="260"/>
        <v/>
      </c>
      <c r="BL272" s="21"/>
      <c r="BM272" s="21" t="str">
        <f>IF(OR(COUNT(B272:D1271)=0,AND('Choix pédagogiques'!$C$3&lt;&gt;1,'Choix pédagogiques'!$C$3&lt;&gt;2)),"",IF(AND(OR('Choix pédagogiques'!$C$3=1,'Choix pédagogiques'!$C$3=2),$B272&lt;&gt;"",$C272&lt;&gt;"",$D272&lt;&gt;""),1,0))</f>
        <v/>
      </c>
      <c r="BN272" s="21" t="str">
        <f>IF(OR(COUNT(G272:I1271)=0,AND('Choix pédagogiques'!$C$3&lt;&gt;1,'Choix pédagogiques'!$C$3&lt;&gt;2)),"",IF(AND(OR('Choix pédagogiques'!$C$3=1,'Choix pédagogiques'!$C$3=2),AND($G272&lt;&gt;"",$H272&lt;&gt;"",$I272&lt;&gt;"")),1,0))</f>
        <v/>
      </c>
      <c r="BO272" s="21" t="str">
        <f>IF(OR(COUNT(B272:D1271)=0,COUNT(G272:I1271)=0,'Choix pédagogiques'!C$3&lt;&gt;3),"",IF(AND('Choix pédagogiques'!$C$3=3,$B272&lt;&gt;"",$C272&lt;&gt;"",$D272&lt;&gt;"",$G272&lt;&gt;"",$H272&lt;&gt;"",$I272&lt;&gt;""),1,0))</f>
        <v/>
      </c>
      <c r="BR272" s="21">
        <v>323</v>
      </c>
      <c r="BS272" s="21">
        <v>1298</v>
      </c>
      <c r="BT272"/>
    </row>
    <row r="273" spans="1:72" s="23" customFormat="1" ht="18" customHeight="1" x14ac:dyDescent="0.3">
      <c r="A273" s="35" t="s">
        <v>263</v>
      </c>
      <c r="B273" s="37"/>
      <c r="C273" s="37"/>
      <c r="D273" s="37"/>
      <c r="E273" s="37"/>
      <c r="F273" s="35" t="s">
        <v>1271</v>
      </c>
      <c r="G273" s="37"/>
      <c r="H273" s="37"/>
      <c r="I273" s="37"/>
      <c r="J273" s="37"/>
      <c r="K273" s="21" t="str">
        <f t="shared" si="235"/>
        <v>Apprenant 261</v>
      </c>
      <c r="L273" s="22" t="str">
        <f t="shared" si="236"/>
        <v/>
      </c>
      <c r="M273" s="22" t="str">
        <f t="shared" si="237"/>
        <v/>
      </c>
      <c r="N273" s="22" t="str">
        <f t="shared" si="238"/>
        <v/>
      </c>
      <c r="O273" s="22" t="str">
        <f t="shared" si="239"/>
        <v/>
      </c>
      <c r="P273" s="21" t="str">
        <f t="shared" si="240"/>
        <v>Apprenant 261 ou 261'</v>
      </c>
      <c r="Q273" s="22" t="str">
        <f t="shared" si="241"/>
        <v/>
      </c>
      <c r="R273" s="22" t="str">
        <f t="shared" si="242"/>
        <v/>
      </c>
      <c r="S273" s="22" t="str">
        <f t="shared" si="243"/>
        <v/>
      </c>
      <c r="T273" s="22" t="str">
        <f t="shared" si="244"/>
        <v/>
      </c>
      <c r="V273" s="21" t="str">
        <f t="shared" si="245"/>
        <v>Apprenant 261</v>
      </c>
      <c r="W273" s="22" t="str">
        <f>IF(AND(OR('Choix pédagogiques'!$C$3=1,'Choix pédagogiques'!$C$3=2),$BM273=1),B273,IF(AND('Choix pédagogiques'!$C$3=3,$BO273=1),B273,""))</f>
        <v/>
      </c>
      <c r="X273" s="22" t="str">
        <f>IF(AND(OR('Choix pédagogiques'!$C$3=1,'Choix pédagogiques'!$C$3=2),$BM273=1),C273,IF(AND('Choix pédagogiques'!$C$3=3,$BO273=1),C273,""))</f>
        <v/>
      </c>
      <c r="Y273" s="22" t="str">
        <f>IF(AND(OR('Choix pédagogiques'!$C$3=1,'Choix pédagogiques'!$C$3=2),$BM273=1),D273,IF(AND('Choix pédagogiques'!$C$3=3,$BO273=1),D273,""))</f>
        <v/>
      </c>
      <c r="Z273" s="22" t="str">
        <f t="shared" si="246"/>
        <v/>
      </c>
      <c r="AA273" s="21" t="str">
        <f t="shared" si="247"/>
        <v>Apprenant 261 ou 261'</v>
      </c>
      <c r="AB273" s="22" t="str">
        <f>IF(AND(OR('Choix pédagogiques'!$C$3=1,'Choix pédagogiques'!$C$3=2),$BN273=1),G273,IF(AND('Choix pédagogiques'!$C$3=3,$BO273=1),G273,""))</f>
        <v/>
      </c>
      <c r="AC273" s="22" t="str">
        <f>IF(AND(OR('Choix pédagogiques'!$C$3=1,'Choix pédagogiques'!$C$3=2),$BN273=1),H273,IF(AND('Choix pédagogiques'!$C$3=3,$BO273=1),H273,""))</f>
        <v/>
      </c>
      <c r="AD273" s="22" t="str">
        <f>IF(AND(OR('Choix pédagogiques'!$C$3=1,'Choix pédagogiques'!$C$3=2),$BN273=1),I273,IF(AND('Choix pédagogiques'!$C$3=3,$BO273=1),I273,""))</f>
        <v/>
      </c>
      <c r="AE273" s="22" t="str">
        <f t="shared" si="248"/>
        <v/>
      </c>
      <c r="AF273" s="21" t="str">
        <f t="shared" si="249"/>
        <v>Apprenant 261</v>
      </c>
      <c r="AG273" s="22" t="str">
        <f t="shared" si="223"/>
        <v/>
      </c>
      <c r="AH273" s="22" t="str">
        <f t="shared" si="224"/>
        <v/>
      </c>
      <c r="AI273" s="22" t="str">
        <f t="shared" si="225"/>
        <v/>
      </c>
      <c r="AJ273" s="22" t="str">
        <f t="shared" si="250"/>
        <v/>
      </c>
      <c r="AK273" s="21" t="str">
        <f t="shared" si="251"/>
        <v>Apprenant 261 ou 261'</v>
      </c>
      <c r="AL273" s="22" t="str">
        <f t="shared" si="226"/>
        <v/>
      </c>
      <c r="AM273" s="22" t="str">
        <f t="shared" si="227"/>
        <v/>
      </c>
      <c r="AN273" s="22" t="str">
        <f t="shared" si="228"/>
        <v/>
      </c>
      <c r="AO273" s="22" t="str">
        <f t="shared" si="252"/>
        <v/>
      </c>
      <c r="AQ273" s="21" t="str">
        <f t="shared" si="253"/>
        <v>Apprenant 261</v>
      </c>
      <c r="AR273" s="49" t="str">
        <f>IF(AND('Choix pédagogiques'!$C$4&lt;&gt;"?",'Choix pédagogiques'!$C$5&lt;&gt;"?",W273&lt;&gt;""),(W273-'Choix pédagogiques'!$C$4)/('Choix pédagogiques'!$C$5-'Choix pédagogiques'!$C$4),"")</f>
        <v/>
      </c>
      <c r="AS273" s="49" t="str">
        <f>IF(AND('Choix pédagogiques'!$C$4&lt;&gt;"?",'Choix pédagogiques'!$C$5&lt;&gt;"?",X273&lt;&gt;""),(X273-'Choix pédagogiques'!$C$4)/('Choix pédagogiques'!$C$5-'Choix pédagogiques'!$C$4),"")</f>
        <v/>
      </c>
      <c r="AT273" s="49" t="str">
        <f>IF(AND('Choix pédagogiques'!$C$4&lt;&gt;"?",'Choix pédagogiques'!$C$5&lt;&gt;"?",Y273&lt;&gt;""),(Y273-'Choix pédagogiques'!$C$4)/('Choix pédagogiques'!$C$5-'Choix pédagogiques'!$C$4),"")</f>
        <v/>
      </c>
      <c r="AU273" s="22" t="str">
        <f t="shared" si="254"/>
        <v/>
      </c>
      <c r="AV273" s="21" t="str">
        <f t="shared" si="255"/>
        <v>Apprenant 261 ou 261'</v>
      </c>
      <c r="AW273" s="49" t="str">
        <f>IF(AND('Choix pédagogiques'!$C$4&lt;&gt;"?",'Choix pédagogiques'!$C$5&lt;&gt;"?",AB273&lt;&gt;""),(AB273-'Choix pédagogiques'!$C$4)/('Choix pédagogiques'!$C$5-'Choix pédagogiques'!$C$4),"")</f>
        <v/>
      </c>
      <c r="AX273" s="49" t="str">
        <f>IF(AND('Choix pédagogiques'!$C$4&lt;&gt;"?",'Choix pédagogiques'!$C$5&lt;&gt;"?",AC273&lt;&gt;""),(AC273-'Choix pédagogiques'!$C$4)/('Choix pédagogiques'!$C$5-'Choix pédagogiques'!$C$4),"")</f>
        <v/>
      </c>
      <c r="AY273" s="49" t="str">
        <f>IF(AND('Choix pédagogiques'!$C$4&lt;&gt;"?",'Choix pédagogiques'!$C$5&lt;&gt;"?",AD273&lt;&gt;""),(AD273-'Choix pédagogiques'!$C$4)/('Choix pédagogiques'!$C$5-'Choix pédagogiques'!$C$4),"")</f>
        <v/>
      </c>
      <c r="AZ273" s="22" t="str">
        <f t="shared" si="256"/>
        <v/>
      </c>
      <c r="BA273" s="21" t="str">
        <f t="shared" si="257"/>
        <v>Apprenant 261</v>
      </c>
      <c r="BB273" s="49" t="str">
        <f t="shared" si="229"/>
        <v/>
      </c>
      <c r="BC273" s="49" t="str">
        <f t="shared" si="230"/>
        <v/>
      </c>
      <c r="BD273" s="49" t="str">
        <f t="shared" si="231"/>
        <v/>
      </c>
      <c r="BE273" s="22" t="str">
        <f t="shared" si="258"/>
        <v/>
      </c>
      <c r="BF273" s="21" t="str">
        <f t="shared" si="259"/>
        <v>Apprenant 261 ou 261'</v>
      </c>
      <c r="BG273" s="49" t="str">
        <f t="shared" si="232"/>
        <v/>
      </c>
      <c r="BH273" s="49" t="str">
        <f t="shared" si="233"/>
        <v/>
      </c>
      <c r="BI273" s="49" t="str">
        <f t="shared" si="234"/>
        <v/>
      </c>
      <c r="BJ273" s="22" t="str">
        <f t="shared" si="260"/>
        <v/>
      </c>
      <c r="BL273" s="21"/>
      <c r="BM273" s="21" t="str">
        <f>IF(OR(COUNT(B273:D1272)=0,AND('Choix pédagogiques'!$C$3&lt;&gt;1,'Choix pédagogiques'!$C$3&lt;&gt;2)),"",IF(AND(OR('Choix pédagogiques'!$C$3=1,'Choix pédagogiques'!$C$3=2),$B273&lt;&gt;"",$C273&lt;&gt;"",$D273&lt;&gt;""),1,0))</f>
        <v/>
      </c>
      <c r="BN273" s="21" t="str">
        <f>IF(OR(COUNT(G273:I1272)=0,AND('Choix pédagogiques'!$C$3&lt;&gt;1,'Choix pédagogiques'!$C$3&lt;&gt;2)),"",IF(AND(OR('Choix pédagogiques'!$C$3=1,'Choix pédagogiques'!$C$3=2),AND($G273&lt;&gt;"",$H273&lt;&gt;"",$I273&lt;&gt;"")),1,0))</f>
        <v/>
      </c>
      <c r="BO273" s="21" t="str">
        <f>IF(OR(COUNT(B273:D1272)=0,COUNT(G273:I1272)=0,'Choix pédagogiques'!C$3&lt;&gt;3),"",IF(AND('Choix pédagogiques'!$C$3=3,$B273&lt;&gt;"",$C273&lt;&gt;"",$D273&lt;&gt;"",$G273&lt;&gt;"",$H273&lt;&gt;"",$I273&lt;&gt;""),1,0))</f>
        <v/>
      </c>
      <c r="BR273" s="21">
        <v>964</v>
      </c>
      <c r="BS273" s="21">
        <v>1044</v>
      </c>
      <c r="BT273"/>
    </row>
    <row r="274" spans="1:72" s="23" customFormat="1" ht="18" customHeight="1" x14ac:dyDescent="0.3">
      <c r="A274" s="35" t="s">
        <v>264</v>
      </c>
      <c r="B274" s="37"/>
      <c r="C274" s="37"/>
      <c r="D274" s="37"/>
      <c r="E274" s="37"/>
      <c r="F274" s="35" t="s">
        <v>1272</v>
      </c>
      <c r="G274" s="37"/>
      <c r="H274" s="37"/>
      <c r="I274" s="37"/>
      <c r="J274" s="37"/>
      <c r="K274" s="21" t="str">
        <f t="shared" si="235"/>
        <v>Apprenant 262</v>
      </c>
      <c r="L274" s="22" t="str">
        <f t="shared" si="236"/>
        <v/>
      </c>
      <c r="M274" s="22" t="str">
        <f t="shared" si="237"/>
        <v/>
      </c>
      <c r="N274" s="22" t="str">
        <f t="shared" si="238"/>
        <v/>
      </c>
      <c r="O274" s="22" t="str">
        <f t="shared" si="239"/>
        <v/>
      </c>
      <c r="P274" s="21" t="str">
        <f t="shared" si="240"/>
        <v>Apprenant 262 ou 262'</v>
      </c>
      <c r="Q274" s="22" t="str">
        <f t="shared" si="241"/>
        <v/>
      </c>
      <c r="R274" s="22" t="str">
        <f t="shared" si="242"/>
        <v/>
      </c>
      <c r="S274" s="22" t="str">
        <f t="shared" si="243"/>
        <v/>
      </c>
      <c r="T274" s="22" t="str">
        <f t="shared" si="244"/>
        <v/>
      </c>
      <c r="V274" s="21" t="str">
        <f t="shared" si="245"/>
        <v>Apprenant 262</v>
      </c>
      <c r="W274" s="22" t="str">
        <f>IF(AND(OR('Choix pédagogiques'!$C$3=1,'Choix pédagogiques'!$C$3=2),$BM274=1),B274,IF(AND('Choix pédagogiques'!$C$3=3,$BO274=1),B274,""))</f>
        <v/>
      </c>
      <c r="X274" s="22" t="str">
        <f>IF(AND(OR('Choix pédagogiques'!$C$3=1,'Choix pédagogiques'!$C$3=2),$BM274=1),C274,IF(AND('Choix pédagogiques'!$C$3=3,$BO274=1),C274,""))</f>
        <v/>
      </c>
      <c r="Y274" s="22" t="str">
        <f>IF(AND(OR('Choix pédagogiques'!$C$3=1,'Choix pédagogiques'!$C$3=2),$BM274=1),D274,IF(AND('Choix pédagogiques'!$C$3=3,$BO274=1),D274,""))</f>
        <v/>
      </c>
      <c r="Z274" s="22" t="str">
        <f t="shared" si="246"/>
        <v/>
      </c>
      <c r="AA274" s="21" t="str">
        <f t="shared" si="247"/>
        <v>Apprenant 262 ou 262'</v>
      </c>
      <c r="AB274" s="22" t="str">
        <f>IF(AND(OR('Choix pédagogiques'!$C$3=1,'Choix pédagogiques'!$C$3=2),$BN274=1),G274,IF(AND('Choix pédagogiques'!$C$3=3,$BO274=1),G274,""))</f>
        <v/>
      </c>
      <c r="AC274" s="22" t="str">
        <f>IF(AND(OR('Choix pédagogiques'!$C$3=1,'Choix pédagogiques'!$C$3=2),$BN274=1),H274,IF(AND('Choix pédagogiques'!$C$3=3,$BO274=1),H274,""))</f>
        <v/>
      </c>
      <c r="AD274" s="22" t="str">
        <f>IF(AND(OR('Choix pédagogiques'!$C$3=1,'Choix pédagogiques'!$C$3=2),$BN274=1),I274,IF(AND('Choix pédagogiques'!$C$3=3,$BO274=1),I274,""))</f>
        <v/>
      </c>
      <c r="AE274" s="22" t="str">
        <f t="shared" si="248"/>
        <v/>
      </c>
      <c r="AF274" s="21" t="str">
        <f t="shared" si="249"/>
        <v>Apprenant 262</v>
      </c>
      <c r="AG274" s="22" t="str">
        <f t="shared" si="223"/>
        <v/>
      </c>
      <c r="AH274" s="22" t="str">
        <f t="shared" si="224"/>
        <v/>
      </c>
      <c r="AI274" s="22" t="str">
        <f t="shared" si="225"/>
        <v/>
      </c>
      <c r="AJ274" s="22" t="str">
        <f t="shared" si="250"/>
        <v/>
      </c>
      <c r="AK274" s="21" t="str">
        <f t="shared" si="251"/>
        <v>Apprenant 262 ou 262'</v>
      </c>
      <c r="AL274" s="22" t="str">
        <f t="shared" si="226"/>
        <v/>
      </c>
      <c r="AM274" s="22" t="str">
        <f t="shared" si="227"/>
        <v/>
      </c>
      <c r="AN274" s="22" t="str">
        <f t="shared" si="228"/>
        <v/>
      </c>
      <c r="AO274" s="22" t="str">
        <f t="shared" si="252"/>
        <v/>
      </c>
      <c r="AQ274" s="21" t="str">
        <f t="shared" si="253"/>
        <v>Apprenant 262</v>
      </c>
      <c r="AR274" s="49" t="str">
        <f>IF(AND('Choix pédagogiques'!$C$4&lt;&gt;"?",'Choix pédagogiques'!$C$5&lt;&gt;"?",W274&lt;&gt;""),(W274-'Choix pédagogiques'!$C$4)/('Choix pédagogiques'!$C$5-'Choix pédagogiques'!$C$4),"")</f>
        <v/>
      </c>
      <c r="AS274" s="49" t="str">
        <f>IF(AND('Choix pédagogiques'!$C$4&lt;&gt;"?",'Choix pédagogiques'!$C$5&lt;&gt;"?",X274&lt;&gt;""),(X274-'Choix pédagogiques'!$C$4)/('Choix pédagogiques'!$C$5-'Choix pédagogiques'!$C$4),"")</f>
        <v/>
      </c>
      <c r="AT274" s="49" t="str">
        <f>IF(AND('Choix pédagogiques'!$C$4&lt;&gt;"?",'Choix pédagogiques'!$C$5&lt;&gt;"?",Y274&lt;&gt;""),(Y274-'Choix pédagogiques'!$C$4)/('Choix pédagogiques'!$C$5-'Choix pédagogiques'!$C$4),"")</f>
        <v/>
      </c>
      <c r="AU274" s="22" t="str">
        <f t="shared" si="254"/>
        <v/>
      </c>
      <c r="AV274" s="21" t="str">
        <f t="shared" si="255"/>
        <v>Apprenant 262 ou 262'</v>
      </c>
      <c r="AW274" s="49" t="str">
        <f>IF(AND('Choix pédagogiques'!$C$4&lt;&gt;"?",'Choix pédagogiques'!$C$5&lt;&gt;"?",AB274&lt;&gt;""),(AB274-'Choix pédagogiques'!$C$4)/('Choix pédagogiques'!$C$5-'Choix pédagogiques'!$C$4),"")</f>
        <v/>
      </c>
      <c r="AX274" s="49" t="str">
        <f>IF(AND('Choix pédagogiques'!$C$4&lt;&gt;"?",'Choix pédagogiques'!$C$5&lt;&gt;"?",AC274&lt;&gt;""),(AC274-'Choix pédagogiques'!$C$4)/('Choix pédagogiques'!$C$5-'Choix pédagogiques'!$C$4),"")</f>
        <v/>
      </c>
      <c r="AY274" s="49" t="str">
        <f>IF(AND('Choix pédagogiques'!$C$4&lt;&gt;"?",'Choix pédagogiques'!$C$5&lt;&gt;"?",AD274&lt;&gt;""),(AD274-'Choix pédagogiques'!$C$4)/('Choix pédagogiques'!$C$5-'Choix pédagogiques'!$C$4),"")</f>
        <v/>
      </c>
      <c r="AZ274" s="22" t="str">
        <f t="shared" si="256"/>
        <v/>
      </c>
      <c r="BA274" s="21" t="str">
        <f t="shared" si="257"/>
        <v>Apprenant 262</v>
      </c>
      <c r="BB274" s="49" t="str">
        <f t="shared" si="229"/>
        <v/>
      </c>
      <c r="BC274" s="49" t="str">
        <f t="shared" si="230"/>
        <v/>
      </c>
      <c r="BD274" s="49" t="str">
        <f t="shared" si="231"/>
        <v/>
      </c>
      <c r="BE274" s="22" t="str">
        <f t="shared" si="258"/>
        <v/>
      </c>
      <c r="BF274" s="21" t="str">
        <f t="shared" si="259"/>
        <v>Apprenant 262 ou 262'</v>
      </c>
      <c r="BG274" s="49" t="str">
        <f t="shared" si="232"/>
        <v/>
      </c>
      <c r="BH274" s="49" t="str">
        <f t="shared" si="233"/>
        <v/>
      </c>
      <c r="BI274" s="49" t="str">
        <f t="shared" si="234"/>
        <v/>
      </c>
      <c r="BJ274" s="22" t="str">
        <f t="shared" si="260"/>
        <v/>
      </c>
      <c r="BL274" s="21"/>
      <c r="BM274" s="21" t="str">
        <f>IF(OR(COUNT(B274:D1273)=0,AND('Choix pédagogiques'!$C$3&lt;&gt;1,'Choix pédagogiques'!$C$3&lt;&gt;2)),"",IF(AND(OR('Choix pédagogiques'!$C$3=1,'Choix pédagogiques'!$C$3=2),$B274&lt;&gt;"",$C274&lt;&gt;"",$D274&lt;&gt;""),1,0))</f>
        <v/>
      </c>
      <c r="BN274" s="21" t="str">
        <f>IF(OR(COUNT(G274:I1273)=0,AND('Choix pédagogiques'!$C$3&lt;&gt;1,'Choix pédagogiques'!$C$3&lt;&gt;2)),"",IF(AND(OR('Choix pédagogiques'!$C$3=1,'Choix pédagogiques'!$C$3=2),AND($G274&lt;&gt;"",$H274&lt;&gt;"",$I274&lt;&gt;"")),1,0))</f>
        <v/>
      </c>
      <c r="BO274" s="21" t="str">
        <f>IF(OR(COUNT(B274:D1273)=0,COUNT(G274:I1273)=0,'Choix pédagogiques'!C$3&lt;&gt;3),"",IF(AND('Choix pédagogiques'!$C$3=3,$B274&lt;&gt;"",$C274&lt;&gt;"",$D274&lt;&gt;"",$G274&lt;&gt;"",$H274&lt;&gt;"",$I274&lt;&gt;""),1,0))</f>
        <v/>
      </c>
      <c r="BR274" s="21">
        <v>85</v>
      </c>
      <c r="BS274" s="21">
        <v>1844</v>
      </c>
      <c r="BT274"/>
    </row>
    <row r="275" spans="1:72" s="23" customFormat="1" ht="18" customHeight="1" x14ac:dyDescent="0.3">
      <c r="A275" s="35" t="s">
        <v>265</v>
      </c>
      <c r="B275" s="37"/>
      <c r="C275" s="37"/>
      <c r="D275" s="37"/>
      <c r="E275" s="37"/>
      <c r="F275" s="35" t="s">
        <v>1273</v>
      </c>
      <c r="G275" s="37"/>
      <c r="H275" s="37"/>
      <c r="I275" s="37"/>
      <c r="J275" s="37"/>
      <c r="K275" s="21" t="str">
        <f t="shared" si="235"/>
        <v>Apprenant 263</v>
      </c>
      <c r="L275" s="22" t="str">
        <f t="shared" si="236"/>
        <v/>
      </c>
      <c r="M275" s="22" t="str">
        <f t="shared" si="237"/>
        <v/>
      </c>
      <c r="N275" s="22" t="str">
        <f t="shared" si="238"/>
        <v/>
      </c>
      <c r="O275" s="22" t="str">
        <f t="shared" si="239"/>
        <v/>
      </c>
      <c r="P275" s="21" t="str">
        <f t="shared" si="240"/>
        <v>Apprenant 263 ou 263'</v>
      </c>
      <c r="Q275" s="22" t="str">
        <f t="shared" si="241"/>
        <v/>
      </c>
      <c r="R275" s="22" t="str">
        <f t="shared" si="242"/>
        <v/>
      </c>
      <c r="S275" s="22" t="str">
        <f t="shared" si="243"/>
        <v/>
      </c>
      <c r="T275" s="22" t="str">
        <f t="shared" si="244"/>
        <v/>
      </c>
      <c r="V275" s="21" t="str">
        <f t="shared" si="245"/>
        <v>Apprenant 263</v>
      </c>
      <c r="W275" s="22" t="str">
        <f>IF(AND(OR('Choix pédagogiques'!$C$3=1,'Choix pédagogiques'!$C$3=2),$BM275=1),B275,IF(AND('Choix pédagogiques'!$C$3=3,$BO275=1),B275,""))</f>
        <v/>
      </c>
      <c r="X275" s="22" t="str">
        <f>IF(AND(OR('Choix pédagogiques'!$C$3=1,'Choix pédagogiques'!$C$3=2),$BM275=1),C275,IF(AND('Choix pédagogiques'!$C$3=3,$BO275=1),C275,""))</f>
        <v/>
      </c>
      <c r="Y275" s="22" t="str">
        <f>IF(AND(OR('Choix pédagogiques'!$C$3=1,'Choix pédagogiques'!$C$3=2),$BM275=1),D275,IF(AND('Choix pédagogiques'!$C$3=3,$BO275=1),D275,""))</f>
        <v/>
      </c>
      <c r="Z275" s="22" t="str">
        <f t="shared" si="246"/>
        <v/>
      </c>
      <c r="AA275" s="21" t="str">
        <f t="shared" si="247"/>
        <v>Apprenant 263 ou 263'</v>
      </c>
      <c r="AB275" s="22" t="str">
        <f>IF(AND(OR('Choix pédagogiques'!$C$3=1,'Choix pédagogiques'!$C$3=2),$BN275=1),G275,IF(AND('Choix pédagogiques'!$C$3=3,$BO275=1),G275,""))</f>
        <v/>
      </c>
      <c r="AC275" s="22" t="str">
        <f>IF(AND(OR('Choix pédagogiques'!$C$3=1,'Choix pédagogiques'!$C$3=2),$BN275=1),H275,IF(AND('Choix pédagogiques'!$C$3=3,$BO275=1),H275,""))</f>
        <v/>
      </c>
      <c r="AD275" s="22" t="str">
        <f>IF(AND(OR('Choix pédagogiques'!$C$3=1,'Choix pédagogiques'!$C$3=2),$BN275=1),I275,IF(AND('Choix pédagogiques'!$C$3=3,$BO275=1),I275,""))</f>
        <v/>
      </c>
      <c r="AE275" s="22" t="str">
        <f t="shared" si="248"/>
        <v/>
      </c>
      <c r="AF275" s="21" t="str">
        <f t="shared" si="249"/>
        <v>Apprenant 263</v>
      </c>
      <c r="AG275" s="22" t="str">
        <f t="shared" si="223"/>
        <v/>
      </c>
      <c r="AH275" s="22" t="str">
        <f t="shared" si="224"/>
        <v/>
      </c>
      <c r="AI275" s="22" t="str">
        <f t="shared" si="225"/>
        <v/>
      </c>
      <c r="AJ275" s="22" t="str">
        <f t="shared" si="250"/>
        <v/>
      </c>
      <c r="AK275" s="21" t="str">
        <f t="shared" si="251"/>
        <v>Apprenant 263 ou 263'</v>
      </c>
      <c r="AL275" s="22" t="str">
        <f t="shared" si="226"/>
        <v/>
      </c>
      <c r="AM275" s="22" t="str">
        <f t="shared" si="227"/>
        <v/>
      </c>
      <c r="AN275" s="22" t="str">
        <f t="shared" si="228"/>
        <v/>
      </c>
      <c r="AO275" s="22" t="str">
        <f t="shared" si="252"/>
        <v/>
      </c>
      <c r="AQ275" s="21" t="str">
        <f t="shared" si="253"/>
        <v>Apprenant 263</v>
      </c>
      <c r="AR275" s="49" t="str">
        <f>IF(AND('Choix pédagogiques'!$C$4&lt;&gt;"?",'Choix pédagogiques'!$C$5&lt;&gt;"?",W275&lt;&gt;""),(W275-'Choix pédagogiques'!$C$4)/('Choix pédagogiques'!$C$5-'Choix pédagogiques'!$C$4),"")</f>
        <v/>
      </c>
      <c r="AS275" s="49" t="str">
        <f>IF(AND('Choix pédagogiques'!$C$4&lt;&gt;"?",'Choix pédagogiques'!$C$5&lt;&gt;"?",X275&lt;&gt;""),(X275-'Choix pédagogiques'!$C$4)/('Choix pédagogiques'!$C$5-'Choix pédagogiques'!$C$4),"")</f>
        <v/>
      </c>
      <c r="AT275" s="49" t="str">
        <f>IF(AND('Choix pédagogiques'!$C$4&lt;&gt;"?",'Choix pédagogiques'!$C$5&lt;&gt;"?",Y275&lt;&gt;""),(Y275-'Choix pédagogiques'!$C$4)/('Choix pédagogiques'!$C$5-'Choix pédagogiques'!$C$4),"")</f>
        <v/>
      </c>
      <c r="AU275" s="22" t="str">
        <f t="shared" si="254"/>
        <v/>
      </c>
      <c r="AV275" s="21" t="str">
        <f t="shared" si="255"/>
        <v>Apprenant 263 ou 263'</v>
      </c>
      <c r="AW275" s="49" t="str">
        <f>IF(AND('Choix pédagogiques'!$C$4&lt;&gt;"?",'Choix pédagogiques'!$C$5&lt;&gt;"?",AB275&lt;&gt;""),(AB275-'Choix pédagogiques'!$C$4)/('Choix pédagogiques'!$C$5-'Choix pédagogiques'!$C$4),"")</f>
        <v/>
      </c>
      <c r="AX275" s="49" t="str">
        <f>IF(AND('Choix pédagogiques'!$C$4&lt;&gt;"?",'Choix pédagogiques'!$C$5&lt;&gt;"?",AC275&lt;&gt;""),(AC275-'Choix pédagogiques'!$C$4)/('Choix pédagogiques'!$C$5-'Choix pédagogiques'!$C$4),"")</f>
        <v/>
      </c>
      <c r="AY275" s="49" t="str">
        <f>IF(AND('Choix pédagogiques'!$C$4&lt;&gt;"?",'Choix pédagogiques'!$C$5&lt;&gt;"?",AD275&lt;&gt;""),(AD275-'Choix pédagogiques'!$C$4)/('Choix pédagogiques'!$C$5-'Choix pédagogiques'!$C$4),"")</f>
        <v/>
      </c>
      <c r="AZ275" s="22" t="str">
        <f t="shared" si="256"/>
        <v/>
      </c>
      <c r="BA275" s="21" t="str">
        <f t="shared" si="257"/>
        <v>Apprenant 263</v>
      </c>
      <c r="BB275" s="49" t="str">
        <f t="shared" si="229"/>
        <v/>
      </c>
      <c r="BC275" s="49" t="str">
        <f t="shared" si="230"/>
        <v/>
      </c>
      <c r="BD275" s="49" t="str">
        <f t="shared" si="231"/>
        <v/>
      </c>
      <c r="BE275" s="22" t="str">
        <f t="shared" si="258"/>
        <v/>
      </c>
      <c r="BF275" s="21" t="str">
        <f t="shared" si="259"/>
        <v>Apprenant 263 ou 263'</v>
      </c>
      <c r="BG275" s="49" t="str">
        <f t="shared" si="232"/>
        <v/>
      </c>
      <c r="BH275" s="49" t="str">
        <f t="shared" si="233"/>
        <v/>
      </c>
      <c r="BI275" s="49" t="str">
        <f t="shared" si="234"/>
        <v/>
      </c>
      <c r="BJ275" s="22" t="str">
        <f t="shared" si="260"/>
        <v/>
      </c>
      <c r="BL275" s="21"/>
      <c r="BM275" s="21" t="str">
        <f>IF(OR(COUNT(B275:D1274)=0,AND('Choix pédagogiques'!$C$3&lt;&gt;1,'Choix pédagogiques'!$C$3&lt;&gt;2)),"",IF(AND(OR('Choix pédagogiques'!$C$3=1,'Choix pédagogiques'!$C$3=2),$B275&lt;&gt;"",$C275&lt;&gt;"",$D275&lt;&gt;""),1,0))</f>
        <v/>
      </c>
      <c r="BN275" s="21" t="str">
        <f>IF(OR(COUNT(G275:I1274)=0,AND('Choix pédagogiques'!$C$3&lt;&gt;1,'Choix pédagogiques'!$C$3&lt;&gt;2)),"",IF(AND(OR('Choix pédagogiques'!$C$3=1,'Choix pédagogiques'!$C$3=2),AND($G275&lt;&gt;"",$H275&lt;&gt;"",$I275&lt;&gt;"")),1,0))</f>
        <v/>
      </c>
      <c r="BO275" s="21" t="str">
        <f>IF(OR(COUNT(B275:D1274)=0,COUNT(G275:I1274)=0,'Choix pédagogiques'!C$3&lt;&gt;3),"",IF(AND('Choix pédagogiques'!$C$3=3,$B275&lt;&gt;"",$C275&lt;&gt;"",$D275&lt;&gt;"",$G275&lt;&gt;"",$H275&lt;&gt;"",$I275&lt;&gt;""),1,0))</f>
        <v/>
      </c>
      <c r="BR275" s="21">
        <v>357</v>
      </c>
      <c r="BS275" s="21">
        <v>1861</v>
      </c>
      <c r="BT275"/>
    </row>
    <row r="276" spans="1:72" s="23" customFormat="1" ht="18" customHeight="1" x14ac:dyDescent="0.3">
      <c r="A276" s="35" t="s">
        <v>266</v>
      </c>
      <c r="B276" s="37"/>
      <c r="C276" s="37"/>
      <c r="D276" s="37"/>
      <c r="E276" s="37"/>
      <c r="F276" s="35" t="s">
        <v>1274</v>
      </c>
      <c r="G276" s="37"/>
      <c r="H276" s="37"/>
      <c r="I276" s="37"/>
      <c r="J276" s="37"/>
      <c r="K276" s="21" t="str">
        <f t="shared" si="235"/>
        <v>Apprenant 264</v>
      </c>
      <c r="L276" s="22" t="str">
        <f t="shared" si="236"/>
        <v/>
      </c>
      <c r="M276" s="22" t="str">
        <f t="shared" si="237"/>
        <v/>
      </c>
      <c r="N276" s="22" t="str">
        <f t="shared" si="238"/>
        <v/>
      </c>
      <c r="O276" s="22" t="str">
        <f t="shared" si="239"/>
        <v/>
      </c>
      <c r="P276" s="21" t="str">
        <f t="shared" si="240"/>
        <v>Apprenant 264 ou 264'</v>
      </c>
      <c r="Q276" s="22" t="str">
        <f t="shared" si="241"/>
        <v/>
      </c>
      <c r="R276" s="22" t="str">
        <f t="shared" si="242"/>
        <v/>
      </c>
      <c r="S276" s="22" t="str">
        <f t="shared" si="243"/>
        <v/>
      </c>
      <c r="T276" s="22" t="str">
        <f t="shared" si="244"/>
        <v/>
      </c>
      <c r="V276" s="21" t="str">
        <f t="shared" si="245"/>
        <v>Apprenant 264</v>
      </c>
      <c r="W276" s="22" t="str">
        <f>IF(AND(OR('Choix pédagogiques'!$C$3=1,'Choix pédagogiques'!$C$3=2),$BM276=1),B276,IF(AND('Choix pédagogiques'!$C$3=3,$BO276=1),B276,""))</f>
        <v/>
      </c>
      <c r="X276" s="22" t="str">
        <f>IF(AND(OR('Choix pédagogiques'!$C$3=1,'Choix pédagogiques'!$C$3=2),$BM276=1),C276,IF(AND('Choix pédagogiques'!$C$3=3,$BO276=1),C276,""))</f>
        <v/>
      </c>
      <c r="Y276" s="22" t="str">
        <f>IF(AND(OR('Choix pédagogiques'!$C$3=1,'Choix pédagogiques'!$C$3=2),$BM276=1),D276,IF(AND('Choix pédagogiques'!$C$3=3,$BO276=1),D276,""))</f>
        <v/>
      </c>
      <c r="Z276" s="22" t="str">
        <f t="shared" si="246"/>
        <v/>
      </c>
      <c r="AA276" s="21" t="str">
        <f t="shared" si="247"/>
        <v>Apprenant 264 ou 264'</v>
      </c>
      <c r="AB276" s="22" t="str">
        <f>IF(AND(OR('Choix pédagogiques'!$C$3=1,'Choix pédagogiques'!$C$3=2),$BN276=1),G276,IF(AND('Choix pédagogiques'!$C$3=3,$BO276=1),G276,""))</f>
        <v/>
      </c>
      <c r="AC276" s="22" t="str">
        <f>IF(AND(OR('Choix pédagogiques'!$C$3=1,'Choix pédagogiques'!$C$3=2),$BN276=1),H276,IF(AND('Choix pédagogiques'!$C$3=3,$BO276=1),H276,""))</f>
        <v/>
      </c>
      <c r="AD276" s="22" t="str">
        <f>IF(AND(OR('Choix pédagogiques'!$C$3=1,'Choix pédagogiques'!$C$3=2),$BN276=1),I276,IF(AND('Choix pédagogiques'!$C$3=3,$BO276=1),I276,""))</f>
        <v/>
      </c>
      <c r="AE276" s="22" t="str">
        <f t="shared" si="248"/>
        <v/>
      </c>
      <c r="AF276" s="21" t="str">
        <f t="shared" si="249"/>
        <v>Apprenant 264</v>
      </c>
      <c r="AG276" s="22" t="str">
        <f t="shared" si="223"/>
        <v/>
      </c>
      <c r="AH276" s="22" t="str">
        <f t="shared" si="224"/>
        <v/>
      </c>
      <c r="AI276" s="22" t="str">
        <f t="shared" si="225"/>
        <v/>
      </c>
      <c r="AJ276" s="22" t="str">
        <f t="shared" si="250"/>
        <v/>
      </c>
      <c r="AK276" s="21" t="str">
        <f t="shared" si="251"/>
        <v>Apprenant 264 ou 264'</v>
      </c>
      <c r="AL276" s="22" t="str">
        <f t="shared" si="226"/>
        <v/>
      </c>
      <c r="AM276" s="22" t="str">
        <f t="shared" si="227"/>
        <v/>
      </c>
      <c r="AN276" s="22" t="str">
        <f t="shared" si="228"/>
        <v/>
      </c>
      <c r="AO276" s="22" t="str">
        <f t="shared" si="252"/>
        <v/>
      </c>
      <c r="AQ276" s="21" t="str">
        <f t="shared" si="253"/>
        <v>Apprenant 264</v>
      </c>
      <c r="AR276" s="49" t="str">
        <f>IF(AND('Choix pédagogiques'!$C$4&lt;&gt;"?",'Choix pédagogiques'!$C$5&lt;&gt;"?",W276&lt;&gt;""),(W276-'Choix pédagogiques'!$C$4)/('Choix pédagogiques'!$C$5-'Choix pédagogiques'!$C$4),"")</f>
        <v/>
      </c>
      <c r="AS276" s="49" t="str">
        <f>IF(AND('Choix pédagogiques'!$C$4&lt;&gt;"?",'Choix pédagogiques'!$C$5&lt;&gt;"?",X276&lt;&gt;""),(X276-'Choix pédagogiques'!$C$4)/('Choix pédagogiques'!$C$5-'Choix pédagogiques'!$C$4),"")</f>
        <v/>
      </c>
      <c r="AT276" s="49" t="str">
        <f>IF(AND('Choix pédagogiques'!$C$4&lt;&gt;"?",'Choix pédagogiques'!$C$5&lt;&gt;"?",Y276&lt;&gt;""),(Y276-'Choix pédagogiques'!$C$4)/('Choix pédagogiques'!$C$5-'Choix pédagogiques'!$C$4),"")</f>
        <v/>
      </c>
      <c r="AU276" s="22" t="str">
        <f t="shared" si="254"/>
        <v/>
      </c>
      <c r="AV276" s="21" t="str">
        <f t="shared" si="255"/>
        <v>Apprenant 264 ou 264'</v>
      </c>
      <c r="AW276" s="49" t="str">
        <f>IF(AND('Choix pédagogiques'!$C$4&lt;&gt;"?",'Choix pédagogiques'!$C$5&lt;&gt;"?",AB276&lt;&gt;""),(AB276-'Choix pédagogiques'!$C$4)/('Choix pédagogiques'!$C$5-'Choix pédagogiques'!$C$4),"")</f>
        <v/>
      </c>
      <c r="AX276" s="49" t="str">
        <f>IF(AND('Choix pédagogiques'!$C$4&lt;&gt;"?",'Choix pédagogiques'!$C$5&lt;&gt;"?",AC276&lt;&gt;""),(AC276-'Choix pédagogiques'!$C$4)/('Choix pédagogiques'!$C$5-'Choix pédagogiques'!$C$4),"")</f>
        <v/>
      </c>
      <c r="AY276" s="49" t="str">
        <f>IF(AND('Choix pédagogiques'!$C$4&lt;&gt;"?",'Choix pédagogiques'!$C$5&lt;&gt;"?",AD276&lt;&gt;""),(AD276-'Choix pédagogiques'!$C$4)/('Choix pédagogiques'!$C$5-'Choix pédagogiques'!$C$4),"")</f>
        <v/>
      </c>
      <c r="AZ276" s="22" t="str">
        <f t="shared" si="256"/>
        <v/>
      </c>
      <c r="BA276" s="21" t="str">
        <f t="shared" si="257"/>
        <v>Apprenant 264</v>
      </c>
      <c r="BB276" s="49" t="str">
        <f t="shared" si="229"/>
        <v/>
      </c>
      <c r="BC276" s="49" t="str">
        <f t="shared" si="230"/>
        <v/>
      </c>
      <c r="BD276" s="49" t="str">
        <f t="shared" si="231"/>
        <v/>
      </c>
      <c r="BE276" s="22" t="str">
        <f t="shared" si="258"/>
        <v/>
      </c>
      <c r="BF276" s="21" t="str">
        <f t="shared" si="259"/>
        <v>Apprenant 264 ou 264'</v>
      </c>
      <c r="BG276" s="49" t="str">
        <f t="shared" si="232"/>
        <v/>
      </c>
      <c r="BH276" s="49" t="str">
        <f t="shared" si="233"/>
        <v/>
      </c>
      <c r="BI276" s="49" t="str">
        <f t="shared" si="234"/>
        <v/>
      </c>
      <c r="BJ276" s="22" t="str">
        <f t="shared" si="260"/>
        <v/>
      </c>
      <c r="BL276" s="21"/>
      <c r="BM276" s="21" t="str">
        <f>IF(OR(COUNT(B276:D1275)=0,AND('Choix pédagogiques'!$C$3&lt;&gt;1,'Choix pédagogiques'!$C$3&lt;&gt;2)),"",IF(AND(OR('Choix pédagogiques'!$C$3=1,'Choix pédagogiques'!$C$3=2),$B276&lt;&gt;"",$C276&lt;&gt;"",$D276&lt;&gt;""),1,0))</f>
        <v/>
      </c>
      <c r="BN276" s="21" t="str">
        <f>IF(OR(COUNT(G276:I1275)=0,AND('Choix pédagogiques'!$C$3&lt;&gt;1,'Choix pédagogiques'!$C$3&lt;&gt;2)),"",IF(AND(OR('Choix pédagogiques'!$C$3=1,'Choix pédagogiques'!$C$3=2),AND($G276&lt;&gt;"",$H276&lt;&gt;"",$I276&lt;&gt;"")),1,0))</f>
        <v/>
      </c>
      <c r="BO276" s="21" t="str">
        <f>IF(OR(COUNT(B276:D1275)=0,COUNT(G276:I1275)=0,'Choix pédagogiques'!C$3&lt;&gt;3),"",IF(AND('Choix pédagogiques'!$C$3=3,$B276&lt;&gt;"",$C276&lt;&gt;"",$D276&lt;&gt;"",$G276&lt;&gt;"",$H276&lt;&gt;"",$I276&lt;&gt;""),1,0))</f>
        <v/>
      </c>
      <c r="BR276" s="21">
        <v>673</v>
      </c>
      <c r="BS276" s="21">
        <v>1527</v>
      </c>
      <c r="BT276"/>
    </row>
    <row r="277" spans="1:72" s="23" customFormat="1" ht="18" customHeight="1" x14ac:dyDescent="0.3">
      <c r="A277" s="35" t="s">
        <v>267</v>
      </c>
      <c r="B277" s="37"/>
      <c r="C277" s="37"/>
      <c r="D277" s="37"/>
      <c r="E277" s="37"/>
      <c r="F277" s="35" t="s">
        <v>1275</v>
      </c>
      <c r="G277" s="37"/>
      <c r="H277" s="37"/>
      <c r="I277" s="37"/>
      <c r="J277" s="37"/>
      <c r="K277" s="21" t="str">
        <f t="shared" si="235"/>
        <v>Apprenant 265</v>
      </c>
      <c r="L277" s="22" t="str">
        <f t="shared" si="236"/>
        <v/>
      </c>
      <c r="M277" s="22" t="str">
        <f t="shared" si="237"/>
        <v/>
      </c>
      <c r="N277" s="22" t="str">
        <f t="shared" si="238"/>
        <v/>
      </c>
      <c r="O277" s="22" t="str">
        <f t="shared" si="239"/>
        <v/>
      </c>
      <c r="P277" s="21" t="str">
        <f t="shared" si="240"/>
        <v>Apprenant 265 ou 265'</v>
      </c>
      <c r="Q277" s="22" t="str">
        <f t="shared" si="241"/>
        <v/>
      </c>
      <c r="R277" s="22" t="str">
        <f t="shared" si="242"/>
        <v/>
      </c>
      <c r="S277" s="22" t="str">
        <f t="shared" si="243"/>
        <v/>
      </c>
      <c r="T277" s="22" t="str">
        <f t="shared" si="244"/>
        <v/>
      </c>
      <c r="V277" s="21" t="str">
        <f t="shared" si="245"/>
        <v>Apprenant 265</v>
      </c>
      <c r="W277" s="22" t="str">
        <f>IF(AND(OR('Choix pédagogiques'!$C$3=1,'Choix pédagogiques'!$C$3=2),$BM277=1),B277,IF(AND('Choix pédagogiques'!$C$3=3,$BO277=1),B277,""))</f>
        <v/>
      </c>
      <c r="X277" s="22" t="str">
        <f>IF(AND(OR('Choix pédagogiques'!$C$3=1,'Choix pédagogiques'!$C$3=2),$BM277=1),C277,IF(AND('Choix pédagogiques'!$C$3=3,$BO277=1),C277,""))</f>
        <v/>
      </c>
      <c r="Y277" s="22" t="str">
        <f>IF(AND(OR('Choix pédagogiques'!$C$3=1,'Choix pédagogiques'!$C$3=2),$BM277=1),D277,IF(AND('Choix pédagogiques'!$C$3=3,$BO277=1),D277,""))</f>
        <v/>
      </c>
      <c r="Z277" s="22" t="str">
        <f t="shared" si="246"/>
        <v/>
      </c>
      <c r="AA277" s="21" t="str">
        <f t="shared" si="247"/>
        <v>Apprenant 265 ou 265'</v>
      </c>
      <c r="AB277" s="22" t="str">
        <f>IF(AND(OR('Choix pédagogiques'!$C$3=1,'Choix pédagogiques'!$C$3=2),$BN277=1),G277,IF(AND('Choix pédagogiques'!$C$3=3,$BO277=1),G277,""))</f>
        <v/>
      </c>
      <c r="AC277" s="22" t="str">
        <f>IF(AND(OR('Choix pédagogiques'!$C$3=1,'Choix pédagogiques'!$C$3=2),$BN277=1),H277,IF(AND('Choix pédagogiques'!$C$3=3,$BO277=1),H277,""))</f>
        <v/>
      </c>
      <c r="AD277" s="22" t="str">
        <f>IF(AND(OR('Choix pédagogiques'!$C$3=1,'Choix pédagogiques'!$C$3=2),$BN277=1),I277,IF(AND('Choix pédagogiques'!$C$3=3,$BO277=1),I277,""))</f>
        <v/>
      </c>
      <c r="AE277" s="22" t="str">
        <f t="shared" si="248"/>
        <v/>
      </c>
      <c r="AF277" s="21" t="str">
        <f t="shared" si="249"/>
        <v>Apprenant 265</v>
      </c>
      <c r="AG277" s="22" t="str">
        <f t="shared" si="223"/>
        <v/>
      </c>
      <c r="AH277" s="22" t="str">
        <f t="shared" si="224"/>
        <v/>
      </c>
      <c r="AI277" s="22" t="str">
        <f t="shared" si="225"/>
        <v/>
      </c>
      <c r="AJ277" s="22" t="str">
        <f t="shared" si="250"/>
        <v/>
      </c>
      <c r="AK277" s="21" t="str">
        <f t="shared" si="251"/>
        <v>Apprenant 265 ou 265'</v>
      </c>
      <c r="AL277" s="22" t="str">
        <f t="shared" si="226"/>
        <v/>
      </c>
      <c r="AM277" s="22" t="str">
        <f t="shared" si="227"/>
        <v/>
      </c>
      <c r="AN277" s="22" t="str">
        <f t="shared" si="228"/>
        <v/>
      </c>
      <c r="AO277" s="22" t="str">
        <f t="shared" si="252"/>
        <v/>
      </c>
      <c r="AQ277" s="21" t="str">
        <f t="shared" si="253"/>
        <v>Apprenant 265</v>
      </c>
      <c r="AR277" s="49" t="str">
        <f>IF(AND('Choix pédagogiques'!$C$4&lt;&gt;"?",'Choix pédagogiques'!$C$5&lt;&gt;"?",W277&lt;&gt;""),(W277-'Choix pédagogiques'!$C$4)/('Choix pédagogiques'!$C$5-'Choix pédagogiques'!$C$4),"")</f>
        <v/>
      </c>
      <c r="AS277" s="49" t="str">
        <f>IF(AND('Choix pédagogiques'!$C$4&lt;&gt;"?",'Choix pédagogiques'!$C$5&lt;&gt;"?",X277&lt;&gt;""),(X277-'Choix pédagogiques'!$C$4)/('Choix pédagogiques'!$C$5-'Choix pédagogiques'!$C$4),"")</f>
        <v/>
      </c>
      <c r="AT277" s="49" t="str">
        <f>IF(AND('Choix pédagogiques'!$C$4&lt;&gt;"?",'Choix pédagogiques'!$C$5&lt;&gt;"?",Y277&lt;&gt;""),(Y277-'Choix pédagogiques'!$C$4)/('Choix pédagogiques'!$C$5-'Choix pédagogiques'!$C$4),"")</f>
        <v/>
      </c>
      <c r="AU277" s="22" t="str">
        <f t="shared" si="254"/>
        <v/>
      </c>
      <c r="AV277" s="21" t="str">
        <f t="shared" si="255"/>
        <v>Apprenant 265 ou 265'</v>
      </c>
      <c r="AW277" s="49" t="str">
        <f>IF(AND('Choix pédagogiques'!$C$4&lt;&gt;"?",'Choix pédagogiques'!$C$5&lt;&gt;"?",AB277&lt;&gt;""),(AB277-'Choix pédagogiques'!$C$4)/('Choix pédagogiques'!$C$5-'Choix pédagogiques'!$C$4),"")</f>
        <v/>
      </c>
      <c r="AX277" s="49" t="str">
        <f>IF(AND('Choix pédagogiques'!$C$4&lt;&gt;"?",'Choix pédagogiques'!$C$5&lt;&gt;"?",AC277&lt;&gt;""),(AC277-'Choix pédagogiques'!$C$4)/('Choix pédagogiques'!$C$5-'Choix pédagogiques'!$C$4),"")</f>
        <v/>
      </c>
      <c r="AY277" s="49" t="str">
        <f>IF(AND('Choix pédagogiques'!$C$4&lt;&gt;"?",'Choix pédagogiques'!$C$5&lt;&gt;"?",AD277&lt;&gt;""),(AD277-'Choix pédagogiques'!$C$4)/('Choix pédagogiques'!$C$5-'Choix pédagogiques'!$C$4),"")</f>
        <v/>
      </c>
      <c r="AZ277" s="22" t="str">
        <f t="shared" si="256"/>
        <v/>
      </c>
      <c r="BA277" s="21" t="str">
        <f t="shared" si="257"/>
        <v>Apprenant 265</v>
      </c>
      <c r="BB277" s="49" t="str">
        <f t="shared" si="229"/>
        <v/>
      </c>
      <c r="BC277" s="49" t="str">
        <f t="shared" si="230"/>
        <v/>
      </c>
      <c r="BD277" s="49" t="str">
        <f t="shared" si="231"/>
        <v/>
      </c>
      <c r="BE277" s="22" t="str">
        <f t="shared" si="258"/>
        <v/>
      </c>
      <c r="BF277" s="21" t="str">
        <f t="shared" si="259"/>
        <v>Apprenant 265 ou 265'</v>
      </c>
      <c r="BG277" s="49" t="str">
        <f t="shared" si="232"/>
        <v/>
      </c>
      <c r="BH277" s="49" t="str">
        <f t="shared" si="233"/>
        <v/>
      </c>
      <c r="BI277" s="49" t="str">
        <f t="shared" si="234"/>
        <v/>
      </c>
      <c r="BJ277" s="22" t="str">
        <f t="shared" si="260"/>
        <v/>
      </c>
      <c r="BL277" s="21"/>
      <c r="BM277" s="21" t="str">
        <f>IF(OR(COUNT(B277:D1276)=0,AND('Choix pédagogiques'!$C$3&lt;&gt;1,'Choix pédagogiques'!$C$3&lt;&gt;2)),"",IF(AND(OR('Choix pédagogiques'!$C$3=1,'Choix pédagogiques'!$C$3=2),$B277&lt;&gt;"",$C277&lt;&gt;"",$D277&lt;&gt;""),1,0))</f>
        <v/>
      </c>
      <c r="BN277" s="21" t="str">
        <f>IF(OR(COUNT(G277:I1276)=0,AND('Choix pédagogiques'!$C$3&lt;&gt;1,'Choix pédagogiques'!$C$3&lt;&gt;2)),"",IF(AND(OR('Choix pédagogiques'!$C$3=1,'Choix pédagogiques'!$C$3=2),AND($G277&lt;&gt;"",$H277&lt;&gt;"",$I277&lt;&gt;"")),1,0))</f>
        <v/>
      </c>
      <c r="BO277" s="21" t="str">
        <f>IF(OR(COUNT(B277:D1276)=0,COUNT(G277:I1276)=0,'Choix pédagogiques'!C$3&lt;&gt;3),"",IF(AND('Choix pédagogiques'!$C$3=3,$B277&lt;&gt;"",$C277&lt;&gt;"",$D277&lt;&gt;"",$G277&lt;&gt;"",$H277&lt;&gt;"",$I277&lt;&gt;""),1,0))</f>
        <v/>
      </c>
      <c r="BR277" s="21">
        <v>463</v>
      </c>
      <c r="BS277" s="21">
        <v>1442</v>
      </c>
      <c r="BT277"/>
    </row>
    <row r="278" spans="1:72" s="23" customFormat="1" ht="18" customHeight="1" x14ac:dyDescent="0.3">
      <c r="A278" s="35" t="s">
        <v>268</v>
      </c>
      <c r="B278" s="37"/>
      <c r="C278" s="37"/>
      <c r="D278" s="37"/>
      <c r="E278" s="37"/>
      <c r="F278" s="35" t="s">
        <v>1276</v>
      </c>
      <c r="G278" s="37"/>
      <c r="H278" s="37"/>
      <c r="I278" s="37"/>
      <c r="J278" s="37"/>
      <c r="K278" s="21" t="str">
        <f t="shared" si="235"/>
        <v>Apprenant 266</v>
      </c>
      <c r="L278" s="22" t="str">
        <f t="shared" si="236"/>
        <v/>
      </c>
      <c r="M278" s="22" t="str">
        <f t="shared" si="237"/>
        <v/>
      </c>
      <c r="N278" s="22" t="str">
        <f t="shared" si="238"/>
        <v/>
      </c>
      <c r="O278" s="22" t="str">
        <f t="shared" si="239"/>
        <v/>
      </c>
      <c r="P278" s="21" t="str">
        <f t="shared" si="240"/>
        <v>Apprenant 266 ou 266'</v>
      </c>
      <c r="Q278" s="22" t="str">
        <f t="shared" si="241"/>
        <v/>
      </c>
      <c r="R278" s="22" t="str">
        <f t="shared" si="242"/>
        <v/>
      </c>
      <c r="S278" s="22" t="str">
        <f t="shared" si="243"/>
        <v/>
      </c>
      <c r="T278" s="22" t="str">
        <f t="shared" si="244"/>
        <v/>
      </c>
      <c r="V278" s="21" t="str">
        <f t="shared" si="245"/>
        <v>Apprenant 266</v>
      </c>
      <c r="W278" s="22" t="str">
        <f>IF(AND(OR('Choix pédagogiques'!$C$3=1,'Choix pédagogiques'!$C$3=2),$BM278=1),B278,IF(AND('Choix pédagogiques'!$C$3=3,$BO278=1),B278,""))</f>
        <v/>
      </c>
      <c r="X278" s="22" t="str">
        <f>IF(AND(OR('Choix pédagogiques'!$C$3=1,'Choix pédagogiques'!$C$3=2),$BM278=1),C278,IF(AND('Choix pédagogiques'!$C$3=3,$BO278=1),C278,""))</f>
        <v/>
      </c>
      <c r="Y278" s="22" t="str">
        <f>IF(AND(OR('Choix pédagogiques'!$C$3=1,'Choix pédagogiques'!$C$3=2),$BM278=1),D278,IF(AND('Choix pédagogiques'!$C$3=3,$BO278=1),D278,""))</f>
        <v/>
      </c>
      <c r="Z278" s="22" t="str">
        <f t="shared" si="246"/>
        <v/>
      </c>
      <c r="AA278" s="21" t="str">
        <f t="shared" si="247"/>
        <v>Apprenant 266 ou 266'</v>
      </c>
      <c r="AB278" s="22" t="str">
        <f>IF(AND(OR('Choix pédagogiques'!$C$3=1,'Choix pédagogiques'!$C$3=2),$BN278=1),G278,IF(AND('Choix pédagogiques'!$C$3=3,$BO278=1),G278,""))</f>
        <v/>
      </c>
      <c r="AC278" s="22" t="str">
        <f>IF(AND(OR('Choix pédagogiques'!$C$3=1,'Choix pédagogiques'!$C$3=2),$BN278=1),H278,IF(AND('Choix pédagogiques'!$C$3=3,$BO278=1),H278,""))</f>
        <v/>
      </c>
      <c r="AD278" s="22" t="str">
        <f>IF(AND(OR('Choix pédagogiques'!$C$3=1,'Choix pédagogiques'!$C$3=2),$BN278=1),I278,IF(AND('Choix pédagogiques'!$C$3=3,$BO278=1),I278,""))</f>
        <v/>
      </c>
      <c r="AE278" s="22" t="str">
        <f t="shared" si="248"/>
        <v/>
      </c>
      <c r="AF278" s="21" t="str">
        <f t="shared" si="249"/>
        <v>Apprenant 266</v>
      </c>
      <c r="AG278" s="22" t="str">
        <f t="shared" si="223"/>
        <v/>
      </c>
      <c r="AH278" s="22" t="str">
        <f t="shared" si="224"/>
        <v/>
      </c>
      <c r="AI278" s="22" t="str">
        <f t="shared" si="225"/>
        <v/>
      </c>
      <c r="AJ278" s="22" t="str">
        <f t="shared" si="250"/>
        <v/>
      </c>
      <c r="AK278" s="21" t="str">
        <f t="shared" si="251"/>
        <v>Apprenant 266 ou 266'</v>
      </c>
      <c r="AL278" s="22" t="str">
        <f t="shared" si="226"/>
        <v/>
      </c>
      <c r="AM278" s="22" t="str">
        <f t="shared" si="227"/>
        <v/>
      </c>
      <c r="AN278" s="22" t="str">
        <f t="shared" si="228"/>
        <v/>
      </c>
      <c r="AO278" s="22" t="str">
        <f t="shared" si="252"/>
        <v/>
      </c>
      <c r="AQ278" s="21" t="str">
        <f t="shared" si="253"/>
        <v>Apprenant 266</v>
      </c>
      <c r="AR278" s="49" t="str">
        <f>IF(AND('Choix pédagogiques'!$C$4&lt;&gt;"?",'Choix pédagogiques'!$C$5&lt;&gt;"?",W278&lt;&gt;""),(W278-'Choix pédagogiques'!$C$4)/('Choix pédagogiques'!$C$5-'Choix pédagogiques'!$C$4),"")</f>
        <v/>
      </c>
      <c r="AS278" s="49" t="str">
        <f>IF(AND('Choix pédagogiques'!$C$4&lt;&gt;"?",'Choix pédagogiques'!$C$5&lt;&gt;"?",X278&lt;&gt;""),(X278-'Choix pédagogiques'!$C$4)/('Choix pédagogiques'!$C$5-'Choix pédagogiques'!$C$4),"")</f>
        <v/>
      </c>
      <c r="AT278" s="49" t="str">
        <f>IF(AND('Choix pédagogiques'!$C$4&lt;&gt;"?",'Choix pédagogiques'!$C$5&lt;&gt;"?",Y278&lt;&gt;""),(Y278-'Choix pédagogiques'!$C$4)/('Choix pédagogiques'!$C$5-'Choix pédagogiques'!$C$4),"")</f>
        <v/>
      </c>
      <c r="AU278" s="22" t="str">
        <f t="shared" si="254"/>
        <v/>
      </c>
      <c r="AV278" s="21" t="str">
        <f t="shared" si="255"/>
        <v>Apprenant 266 ou 266'</v>
      </c>
      <c r="AW278" s="49" t="str">
        <f>IF(AND('Choix pédagogiques'!$C$4&lt;&gt;"?",'Choix pédagogiques'!$C$5&lt;&gt;"?",AB278&lt;&gt;""),(AB278-'Choix pédagogiques'!$C$4)/('Choix pédagogiques'!$C$5-'Choix pédagogiques'!$C$4),"")</f>
        <v/>
      </c>
      <c r="AX278" s="49" t="str">
        <f>IF(AND('Choix pédagogiques'!$C$4&lt;&gt;"?",'Choix pédagogiques'!$C$5&lt;&gt;"?",AC278&lt;&gt;""),(AC278-'Choix pédagogiques'!$C$4)/('Choix pédagogiques'!$C$5-'Choix pédagogiques'!$C$4),"")</f>
        <v/>
      </c>
      <c r="AY278" s="49" t="str">
        <f>IF(AND('Choix pédagogiques'!$C$4&lt;&gt;"?",'Choix pédagogiques'!$C$5&lt;&gt;"?",AD278&lt;&gt;""),(AD278-'Choix pédagogiques'!$C$4)/('Choix pédagogiques'!$C$5-'Choix pédagogiques'!$C$4),"")</f>
        <v/>
      </c>
      <c r="AZ278" s="22" t="str">
        <f t="shared" si="256"/>
        <v/>
      </c>
      <c r="BA278" s="21" t="str">
        <f t="shared" si="257"/>
        <v>Apprenant 266</v>
      </c>
      <c r="BB278" s="49" t="str">
        <f t="shared" si="229"/>
        <v/>
      </c>
      <c r="BC278" s="49" t="str">
        <f t="shared" si="230"/>
        <v/>
      </c>
      <c r="BD278" s="49" t="str">
        <f t="shared" si="231"/>
        <v/>
      </c>
      <c r="BE278" s="22" t="str">
        <f t="shared" si="258"/>
        <v/>
      </c>
      <c r="BF278" s="21" t="str">
        <f t="shared" si="259"/>
        <v>Apprenant 266 ou 266'</v>
      </c>
      <c r="BG278" s="49" t="str">
        <f t="shared" si="232"/>
        <v/>
      </c>
      <c r="BH278" s="49" t="str">
        <f t="shared" si="233"/>
        <v/>
      </c>
      <c r="BI278" s="49" t="str">
        <f t="shared" si="234"/>
        <v/>
      </c>
      <c r="BJ278" s="22" t="str">
        <f t="shared" si="260"/>
        <v/>
      </c>
      <c r="BL278" s="21"/>
      <c r="BM278" s="21" t="str">
        <f>IF(OR(COUNT(B278:D1277)=0,AND('Choix pédagogiques'!$C$3&lt;&gt;1,'Choix pédagogiques'!$C$3&lt;&gt;2)),"",IF(AND(OR('Choix pédagogiques'!$C$3=1,'Choix pédagogiques'!$C$3=2),$B278&lt;&gt;"",$C278&lt;&gt;"",$D278&lt;&gt;""),1,0))</f>
        <v/>
      </c>
      <c r="BN278" s="21" t="str">
        <f>IF(OR(COUNT(G278:I1277)=0,AND('Choix pédagogiques'!$C$3&lt;&gt;1,'Choix pédagogiques'!$C$3&lt;&gt;2)),"",IF(AND(OR('Choix pédagogiques'!$C$3=1,'Choix pédagogiques'!$C$3=2),AND($G278&lt;&gt;"",$H278&lt;&gt;"",$I278&lt;&gt;"")),1,0))</f>
        <v/>
      </c>
      <c r="BO278" s="21" t="str">
        <f>IF(OR(COUNT(B278:D1277)=0,COUNT(G278:I1277)=0,'Choix pédagogiques'!C$3&lt;&gt;3),"",IF(AND('Choix pédagogiques'!$C$3=3,$B278&lt;&gt;"",$C278&lt;&gt;"",$D278&lt;&gt;"",$G278&lt;&gt;"",$H278&lt;&gt;"",$I278&lt;&gt;""),1,0))</f>
        <v/>
      </c>
      <c r="BR278" s="21">
        <v>952</v>
      </c>
      <c r="BS278" s="21">
        <v>1248</v>
      </c>
      <c r="BT278"/>
    </row>
    <row r="279" spans="1:72" s="23" customFormat="1" ht="18" customHeight="1" x14ac:dyDescent="0.3">
      <c r="A279" s="35" t="s">
        <v>269</v>
      </c>
      <c r="B279" s="37"/>
      <c r="C279" s="37"/>
      <c r="D279" s="37"/>
      <c r="E279" s="37"/>
      <c r="F279" s="35" t="s">
        <v>1277</v>
      </c>
      <c r="G279" s="37"/>
      <c r="H279" s="37"/>
      <c r="I279" s="37"/>
      <c r="J279" s="37"/>
      <c r="K279" s="21" t="str">
        <f t="shared" si="235"/>
        <v>Apprenant 267</v>
      </c>
      <c r="L279" s="22" t="str">
        <f t="shared" si="236"/>
        <v/>
      </c>
      <c r="M279" s="22" t="str">
        <f t="shared" si="237"/>
        <v/>
      </c>
      <c r="N279" s="22" t="str">
        <f t="shared" si="238"/>
        <v/>
      </c>
      <c r="O279" s="22" t="str">
        <f t="shared" si="239"/>
        <v/>
      </c>
      <c r="P279" s="21" t="str">
        <f t="shared" si="240"/>
        <v>Apprenant 267 ou 267'</v>
      </c>
      <c r="Q279" s="22" t="str">
        <f t="shared" si="241"/>
        <v/>
      </c>
      <c r="R279" s="22" t="str">
        <f t="shared" si="242"/>
        <v/>
      </c>
      <c r="S279" s="22" t="str">
        <f t="shared" si="243"/>
        <v/>
      </c>
      <c r="T279" s="22" t="str">
        <f t="shared" si="244"/>
        <v/>
      </c>
      <c r="V279" s="21" t="str">
        <f t="shared" si="245"/>
        <v>Apprenant 267</v>
      </c>
      <c r="W279" s="22" t="str">
        <f>IF(AND(OR('Choix pédagogiques'!$C$3=1,'Choix pédagogiques'!$C$3=2),$BM279=1),B279,IF(AND('Choix pédagogiques'!$C$3=3,$BO279=1),B279,""))</f>
        <v/>
      </c>
      <c r="X279" s="22" t="str">
        <f>IF(AND(OR('Choix pédagogiques'!$C$3=1,'Choix pédagogiques'!$C$3=2),$BM279=1),C279,IF(AND('Choix pédagogiques'!$C$3=3,$BO279=1),C279,""))</f>
        <v/>
      </c>
      <c r="Y279" s="22" t="str">
        <f>IF(AND(OR('Choix pédagogiques'!$C$3=1,'Choix pédagogiques'!$C$3=2),$BM279=1),D279,IF(AND('Choix pédagogiques'!$C$3=3,$BO279=1),D279,""))</f>
        <v/>
      </c>
      <c r="Z279" s="22" t="str">
        <f t="shared" si="246"/>
        <v/>
      </c>
      <c r="AA279" s="21" t="str">
        <f t="shared" si="247"/>
        <v>Apprenant 267 ou 267'</v>
      </c>
      <c r="AB279" s="22" t="str">
        <f>IF(AND(OR('Choix pédagogiques'!$C$3=1,'Choix pédagogiques'!$C$3=2),$BN279=1),G279,IF(AND('Choix pédagogiques'!$C$3=3,$BO279=1),G279,""))</f>
        <v/>
      </c>
      <c r="AC279" s="22" t="str">
        <f>IF(AND(OR('Choix pédagogiques'!$C$3=1,'Choix pédagogiques'!$C$3=2),$BN279=1),H279,IF(AND('Choix pédagogiques'!$C$3=3,$BO279=1),H279,""))</f>
        <v/>
      </c>
      <c r="AD279" s="22" t="str">
        <f>IF(AND(OR('Choix pédagogiques'!$C$3=1,'Choix pédagogiques'!$C$3=2),$BN279=1),I279,IF(AND('Choix pédagogiques'!$C$3=3,$BO279=1),I279,""))</f>
        <v/>
      </c>
      <c r="AE279" s="22" t="str">
        <f t="shared" si="248"/>
        <v/>
      </c>
      <c r="AF279" s="21" t="str">
        <f t="shared" si="249"/>
        <v>Apprenant 267</v>
      </c>
      <c r="AG279" s="22" t="str">
        <f t="shared" si="223"/>
        <v/>
      </c>
      <c r="AH279" s="22" t="str">
        <f t="shared" si="224"/>
        <v/>
      </c>
      <c r="AI279" s="22" t="str">
        <f t="shared" si="225"/>
        <v/>
      </c>
      <c r="AJ279" s="22" t="str">
        <f t="shared" si="250"/>
        <v/>
      </c>
      <c r="AK279" s="21" t="str">
        <f t="shared" si="251"/>
        <v>Apprenant 267 ou 267'</v>
      </c>
      <c r="AL279" s="22" t="str">
        <f t="shared" si="226"/>
        <v/>
      </c>
      <c r="AM279" s="22" t="str">
        <f t="shared" si="227"/>
        <v/>
      </c>
      <c r="AN279" s="22" t="str">
        <f t="shared" si="228"/>
        <v/>
      </c>
      <c r="AO279" s="22" t="str">
        <f t="shared" si="252"/>
        <v/>
      </c>
      <c r="AQ279" s="21" t="str">
        <f t="shared" si="253"/>
        <v>Apprenant 267</v>
      </c>
      <c r="AR279" s="49" t="str">
        <f>IF(AND('Choix pédagogiques'!$C$4&lt;&gt;"?",'Choix pédagogiques'!$C$5&lt;&gt;"?",W279&lt;&gt;""),(W279-'Choix pédagogiques'!$C$4)/('Choix pédagogiques'!$C$5-'Choix pédagogiques'!$C$4),"")</f>
        <v/>
      </c>
      <c r="AS279" s="49" t="str">
        <f>IF(AND('Choix pédagogiques'!$C$4&lt;&gt;"?",'Choix pédagogiques'!$C$5&lt;&gt;"?",X279&lt;&gt;""),(X279-'Choix pédagogiques'!$C$4)/('Choix pédagogiques'!$C$5-'Choix pédagogiques'!$C$4),"")</f>
        <v/>
      </c>
      <c r="AT279" s="49" t="str">
        <f>IF(AND('Choix pédagogiques'!$C$4&lt;&gt;"?",'Choix pédagogiques'!$C$5&lt;&gt;"?",Y279&lt;&gt;""),(Y279-'Choix pédagogiques'!$C$4)/('Choix pédagogiques'!$C$5-'Choix pédagogiques'!$C$4),"")</f>
        <v/>
      </c>
      <c r="AU279" s="22" t="str">
        <f t="shared" si="254"/>
        <v/>
      </c>
      <c r="AV279" s="21" t="str">
        <f t="shared" si="255"/>
        <v>Apprenant 267 ou 267'</v>
      </c>
      <c r="AW279" s="49" t="str">
        <f>IF(AND('Choix pédagogiques'!$C$4&lt;&gt;"?",'Choix pédagogiques'!$C$5&lt;&gt;"?",AB279&lt;&gt;""),(AB279-'Choix pédagogiques'!$C$4)/('Choix pédagogiques'!$C$5-'Choix pédagogiques'!$C$4),"")</f>
        <v/>
      </c>
      <c r="AX279" s="49" t="str">
        <f>IF(AND('Choix pédagogiques'!$C$4&lt;&gt;"?",'Choix pédagogiques'!$C$5&lt;&gt;"?",AC279&lt;&gt;""),(AC279-'Choix pédagogiques'!$C$4)/('Choix pédagogiques'!$C$5-'Choix pédagogiques'!$C$4),"")</f>
        <v/>
      </c>
      <c r="AY279" s="49" t="str">
        <f>IF(AND('Choix pédagogiques'!$C$4&lt;&gt;"?",'Choix pédagogiques'!$C$5&lt;&gt;"?",AD279&lt;&gt;""),(AD279-'Choix pédagogiques'!$C$4)/('Choix pédagogiques'!$C$5-'Choix pédagogiques'!$C$4),"")</f>
        <v/>
      </c>
      <c r="AZ279" s="22" t="str">
        <f t="shared" si="256"/>
        <v/>
      </c>
      <c r="BA279" s="21" t="str">
        <f t="shared" si="257"/>
        <v>Apprenant 267</v>
      </c>
      <c r="BB279" s="49" t="str">
        <f t="shared" si="229"/>
        <v/>
      </c>
      <c r="BC279" s="49" t="str">
        <f t="shared" si="230"/>
        <v/>
      </c>
      <c r="BD279" s="49" t="str">
        <f t="shared" si="231"/>
        <v/>
      </c>
      <c r="BE279" s="22" t="str">
        <f t="shared" si="258"/>
        <v/>
      </c>
      <c r="BF279" s="21" t="str">
        <f t="shared" si="259"/>
        <v>Apprenant 267 ou 267'</v>
      </c>
      <c r="BG279" s="49" t="str">
        <f t="shared" si="232"/>
        <v/>
      </c>
      <c r="BH279" s="49" t="str">
        <f t="shared" si="233"/>
        <v/>
      </c>
      <c r="BI279" s="49" t="str">
        <f t="shared" si="234"/>
        <v/>
      </c>
      <c r="BJ279" s="22" t="str">
        <f t="shared" si="260"/>
        <v/>
      </c>
      <c r="BL279" s="21"/>
      <c r="BM279" s="21" t="str">
        <f>IF(OR(COUNT(B279:D1278)=0,AND('Choix pédagogiques'!$C$3&lt;&gt;1,'Choix pédagogiques'!$C$3&lt;&gt;2)),"",IF(AND(OR('Choix pédagogiques'!$C$3=1,'Choix pédagogiques'!$C$3=2),$B279&lt;&gt;"",$C279&lt;&gt;"",$D279&lt;&gt;""),1,0))</f>
        <v/>
      </c>
      <c r="BN279" s="21" t="str">
        <f>IF(OR(COUNT(G279:I1278)=0,AND('Choix pédagogiques'!$C$3&lt;&gt;1,'Choix pédagogiques'!$C$3&lt;&gt;2)),"",IF(AND(OR('Choix pédagogiques'!$C$3=1,'Choix pédagogiques'!$C$3=2),AND($G279&lt;&gt;"",$H279&lt;&gt;"",$I279&lt;&gt;"")),1,0))</f>
        <v/>
      </c>
      <c r="BO279" s="21" t="str">
        <f>IF(OR(COUNT(B279:D1278)=0,COUNT(G279:I1278)=0,'Choix pédagogiques'!C$3&lt;&gt;3),"",IF(AND('Choix pédagogiques'!$C$3=3,$B279&lt;&gt;"",$C279&lt;&gt;"",$D279&lt;&gt;"",$G279&lt;&gt;"",$H279&lt;&gt;"",$I279&lt;&gt;""),1,0))</f>
        <v/>
      </c>
      <c r="BR279" s="21">
        <v>140</v>
      </c>
      <c r="BS279" s="21">
        <v>1305</v>
      </c>
      <c r="BT279"/>
    </row>
    <row r="280" spans="1:72" s="23" customFormat="1" ht="18" customHeight="1" x14ac:dyDescent="0.3">
      <c r="A280" s="35" t="s">
        <v>270</v>
      </c>
      <c r="B280" s="37"/>
      <c r="C280" s="37"/>
      <c r="D280" s="37"/>
      <c r="E280" s="37"/>
      <c r="F280" s="35" t="s">
        <v>1278</v>
      </c>
      <c r="G280" s="37"/>
      <c r="H280" s="37"/>
      <c r="I280" s="37"/>
      <c r="J280" s="37"/>
      <c r="K280" s="21" t="str">
        <f t="shared" si="235"/>
        <v>Apprenant 268</v>
      </c>
      <c r="L280" s="22" t="str">
        <f t="shared" si="236"/>
        <v/>
      </c>
      <c r="M280" s="22" t="str">
        <f t="shared" si="237"/>
        <v/>
      </c>
      <c r="N280" s="22" t="str">
        <f t="shared" si="238"/>
        <v/>
      </c>
      <c r="O280" s="22" t="str">
        <f t="shared" si="239"/>
        <v/>
      </c>
      <c r="P280" s="21" t="str">
        <f t="shared" si="240"/>
        <v>Apprenant 268 ou 268'</v>
      </c>
      <c r="Q280" s="22" t="str">
        <f t="shared" si="241"/>
        <v/>
      </c>
      <c r="R280" s="22" t="str">
        <f t="shared" si="242"/>
        <v/>
      </c>
      <c r="S280" s="22" t="str">
        <f t="shared" si="243"/>
        <v/>
      </c>
      <c r="T280" s="22" t="str">
        <f t="shared" si="244"/>
        <v/>
      </c>
      <c r="V280" s="21" t="str">
        <f t="shared" si="245"/>
        <v>Apprenant 268</v>
      </c>
      <c r="W280" s="22" t="str">
        <f>IF(AND(OR('Choix pédagogiques'!$C$3=1,'Choix pédagogiques'!$C$3=2),$BM280=1),B280,IF(AND('Choix pédagogiques'!$C$3=3,$BO280=1),B280,""))</f>
        <v/>
      </c>
      <c r="X280" s="22" t="str">
        <f>IF(AND(OR('Choix pédagogiques'!$C$3=1,'Choix pédagogiques'!$C$3=2),$BM280=1),C280,IF(AND('Choix pédagogiques'!$C$3=3,$BO280=1),C280,""))</f>
        <v/>
      </c>
      <c r="Y280" s="22" t="str">
        <f>IF(AND(OR('Choix pédagogiques'!$C$3=1,'Choix pédagogiques'!$C$3=2),$BM280=1),D280,IF(AND('Choix pédagogiques'!$C$3=3,$BO280=1),D280,""))</f>
        <v/>
      </c>
      <c r="Z280" s="22" t="str">
        <f t="shared" si="246"/>
        <v/>
      </c>
      <c r="AA280" s="21" t="str">
        <f t="shared" si="247"/>
        <v>Apprenant 268 ou 268'</v>
      </c>
      <c r="AB280" s="22" t="str">
        <f>IF(AND(OR('Choix pédagogiques'!$C$3=1,'Choix pédagogiques'!$C$3=2),$BN280=1),G280,IF(AND('Choix pédagogiques'!$C$3=3,$BO280=1),G280,""))</f>
        <v/>
      </c>
      <c r="AC280" s="22" t="str">
        <f>IF(AND(OR('Choix pédagogiques'!$C$3=1,'Choix pédagogiques'!$C$3=2),$BN280=1),H280,IF(AND('Choix pédagogiques'!$C$3=3,$BO280=1),H280,""))</f>
        <v/>
      </c>
      <c r="AD280" s="22" t="str">
        <f>IF(AND(OR('Choix pédagogiques'!$C$3=1,'Choix pédagogiques'!$C$3=2),$BN280=1),I280,IF(AND('Choix pédagogiques'!$C$3=3,$BO280=1),I280,""))</f>
        <v/>
      </c>
      <c r="AE280" s="22" t="str">
        <f t="shared" si="248"/>
        <v/>
      </c>
      <c r="AF280" s="21" t="str">
        <f t="shared" si="249"/>
        <v>Apprenant 268</v>
      </c>
      <c r="AG280" s="22" t="str">
        <f t="shared" si="223"/>
        <v/>
      </c>
      <c r="AH280" s="22" t="str">
        <f t="shared" si="224"/>
        <v/>
      </c>
      <c r="AI280" s="22" t="str">
        <f t="shared" si="225"/>
        <v/>
      </c>
      <c r="AJ280" s="22" t="str">
        <f t="shared" si="250"/>
        <v/>
      </c>
      <c r="AK280" s="21" t="str">
        <f t="shared" si="251"/>
        <v>Apprenant 268 ou 268'</v>
      </c>
      <c r="AL280" s="22" t="str">
        <f t="shared" si="226"/>
        <v/>
      </c>
      <c r="AM280" s="22" t="str">
        <f t="shared" si="227"/>
        <v/>
      </c>
      <c r="AN280" s="22" t="str">
        <f t="shared" si="228"/>
        <v/>
      </c>
      <c r="AO280" s="22" t="str">
        <f t="shared" si="252"/>
        <v/>
      </c>
      <c r="AQ280" s="21" t="str">
        <f t="shared" si="253"/>
        <v>Apprenant 268</v>
      </c>
      <c r="AR280" s="49" t="str">
        <f>IF(AND('Choix pédagogiques'!$C$4&lt;&gt;"?",'Choix pédagogiques'!$C$5&lt;&gt;"?",W280&lt;&gt;""),(W280-'Choix pédagogiques'!$C$4)/('Choix pédagogiques'!$C$5-'Choix pédagogiques'!$C$4),"")</f>
        <v/>
      </c>
      <c r="AS280" s="49" t="str">
        <f>IF(AND('Choix pédagogiques'!$C$4&lt;&gt;"?",'Choix pédagogiques'!$C$5&lt;&gt;"?",X280&lt;&gt;""),(X280-'Choix pédagogiques'!$C$4)/('Choix pédagogiques'!$C$5-'Choix pédagogiques'!$C$4),"")</f>
        <v/>
      </c>
      <c r="AT280" s="49" t="str">
        <f>IF(AND('Choix pédagogiques'!$C$4&lt;&gt;"?",'Choix pédagogiques'!$C$5&lt;&gt;"?",Y280&lt;&gt;""),(Y280-'Choix pédagogiques'!$C$4)/('Choix pédagogiques'!$C$5-'Choix pédagogiques'!$C$4),"")</f>
        <v/>
      </c>
      <c r="AU280" s="22" t="str">
        <f t="shared" si="254"/>
        <v/>
      </c>
      <c r="AV280" s="21" t="str">
        <f t="shared" si="255"/>
        <v>Apprenant 268 ou 268'</v>
      </c>
      <c r="AW280" s="49" t="str">
        <f>IF(AND('Choix pédagogiques'!$C$4&lt;&gt;"?",'Choix pédagogiques'!$C$5&lt;&gt;"?",AB280&lt;&gt;""),(AB280-'Choix pédagogiques'!$C$4)/('Choix pédagogiques'!$C$5-'Choix pédagogiques'!$C$4),"")</f>
        <v/>
      </c>
      <c r="AX280" s="49" t="str">
        <f>IF(AND('Choix pédagogiques'!$C$4&lt;&gt;"?",'Choix pédagogiques'!$C$5&lt;&gt;"?",AC280&lt;&gt;""),(AC280-'Choix pédagogiques'!$C$4)/('Choix pédagogiques'!$C$5-'Choix pédagogiques'!$C$4),"")</f>
        <v/>
      </c>
      <c r="AY280" s="49" t="str">
        <f>IF(AND('Choix pédagogiques'!$C$4&lt;&gt;"?",'Choix pédagogiques'!$C$5&lt;&gt;"?",AD280&lt;&gt;""),(AD280-'Choix pédagogiques'!$C$4)/('Choix pédagogiques'!$C$5-'Choix pédagogiques'!$C$4),"")</f>
        <v/>
      </c>
      <c r="AZ280" s="22" t="str">
        <f t="shared" si="256"/>
        <v/>
      </c>
      <c r="BA280" s="21" t="str">
        <f t="shared" si="257"/>
        <v>Apprenant 268</v>
      </c>
      <c r="BB280" s="49" t="str">
        <f t="shared" si="229"/>
        <v/>
      </c>
      <c r="BC280" s="49" t="str">
        <f t="shared" si="230"/>
        <v/>
      </c>
      <c r="BD280" s="49" t="str">
        <f t="shared" si="231"/>
        <v/>
      </c>
      <c r="BE280" s="22" t="str">
        <f t="shared" si="258"/>
        <v/>
      </c>
      <c r="BF280" s="21" t="str">
        <f t="shared" si="259"/>
        <v>Apprenant 268 ou 268'</v>
      </c>
      <c r="BG280" s="49" t="str">
        <f t="shared" si="232"/>
        <v/>
      </c>
      <c r="BH280" s="49" t="str">
        <f t="shared" si="233"/>
        <v/>
      </c>
      <c r="BI280" s="49" t="str">
        <f t="shared" si="234"/>
        <v/>
      </c>
      <c r="BJ280" s="22" t="str">
        <f t="shared" si="260"/>
        <v/>
      </c>
      <c r="BL280" s="21"/>
      <c r="BM280" s="21" t="str">
        <f>IF(OR(COUNT(B280:D1279)=0,AND('Choix pédagogiques'!$C$3&lt;&gt;1,'Choix pédagogiques'!$C$3&lt;&gt;2)),"",IF(AND(OR('Choix pédagogiques'!$C$3=1,'Choix pédagogiques'!$C$3=2),$B280&lt;&gt;"",$C280&lt;&gt;"",$D280&lt;&gt;""),1,0))</f>
        <v/>
      </c>
      <c r="BN280" s="21" t="str">
        <f>IF(OR(COUNT(G280:I1279)=0,AND('Choix pédagogiques'!$C$3&lt;&gt;1,'Choix pédagogiques'!$C$3&lt;&gt;2)),"",IF(AND(OR('Choix pédagogiques'!$C$3=1,'Choix pédagogiques'!$C$3=2),AND($G280&lt;&gt;"",$H280&lt;&gt;"",$I280&lt;&gt;"")),1,0))</f>
        <v/>
      </c>
      <c r="BO280" s="21" t="str">
        <f>IF(OR(COUNT(B280:D1279)=0,COUNT(G280:I1279)=0,'Choix pédagogiques'!C$3&lt;&gt;3),"",IF(AND('Choix pédagogiques'!$C$3=3,$B280&lt;&gt;"",$C280&lt;&gt;"",$D280&lt;&gt;"",$G280&lt;&gt;"",$H280&lt;&gt;"",$I280&lt;&gt;""),1,0))</f>
        <v/>
      </c>
      <c r="BR280" s="21">
        <v>598</v>
      </c>
      <c r="BS280" s="21">
        <v>1876</v>
      </c>
      <c r="BT280"/>
    </row>
    <row r="281" spans="1:72" s="23" customFormat="1" ht="18" customHeight="1" x14ac:dyDescent="0.3">
      <c r="A281" s="35" t="s">
        <v>271</v>
      </c>
      <c r="B281" s="37"/>
      <c r="C281" s="37"/>
      <c r="D281" s="37"/>
      <c r="E281" s="37"/>
      <c r="F281" s="35" t="s">
        <v>1279</v>
      </c>
      <c r="G281" s="37"/>
      <c r="H281" s="37"/>
      <c r="I281" s="37"/>
      <c r="J281" s="37"/>
      <c r="K281" s="21" t="str">
        <f t="shared" si="235"/>
        <v>Apprenant 269</v>
      </c>
      <c r="L281" s="22" t="str">
        <f t="shared" si="236"/>
        <v/>
      </c>
      <c r="M281" s="22" t="str">
        <f t="shared" si="237"/>
        <v/>
      </c>
      <c r="N281" s="22" t="str">
        <f t="shared" si="238"/>
        <v/>
      </c>
      <c r="O281" s="22" t="str">
        <f t="shared" si="239"/>
        <v/>
      </c>
      <c r="P281" s="21" t="str">
        <f t="shared" si="240"/>
        <v>Apprenant 269 ou 269'</v>
      </c>
      <c r="Q281" s="22" t="str">
        <f t="shared" si="241"/>
        <v/>
      </c>
      <c r="R281" s="22" t="str">
        <f t="shared" si="242"/>
        <v/>
      </c>
      <c r="S281" s="22" t="str">
        <f t="shared" si="243"/>
        <v/>
      </c>
      <c r="T281" s="22" t="str">
        <f t="shared" si="244"/>
        <v/>
      </c>
      <c r="V281" s="21" t="str">
        <f t="shared" si="245"/>
        <v>Apprenant 269</v>
      </c>
      <c r="W281" s="22" t="str">
        <f>IF(AND(OR('Choix pédagogiques'!$C$3=1,'Choix pédagogiques'!$C$3=2),$BM281=1),B281,IF(AND('Choix pédagogiques'!$C$3=3,$BO281=1),B281,""))</f>
        <v/>
      </c>
      <c r="X281" s="22" t="str">
        <f>IF(AND(OR('Choix pédagogiques'!$C$3=1,'Choix pédagogiques'!$C$3=2),$BM281=1),C281,IF(AND('Choix pédagogiques'!$C$3=3,$BO281=1),C281,""))</f>
        <v/>
      </c>
      <c r="Y281" s="22" t="str">
        <f>IF(AND(OR('Choix pédagogiques'!$C$3=1,'Choix pédagogiques'!$C$3=2),$BM281=1),D281,IF(AND('Choix pédagogiques'!$C$3=3,$BO281=1),D281,""))</f>
        <v/>
      </c>
      <c r="Z281" s="22" t="str">
        <f t="shared" si="246"/>
        <v/>
      </c>
      <c r="AA281" s="21" t="str">
        <f t="shared" si="247"/>
        <v>Apprenant 269 ou 269'</v>
      </c>
      <c r="AB281" s="22" t="str">
        <f>IF(AND(OR('Choix pédagogiques'!$C$3=1,'Choix pédagogiques'!$C$3=2),$BN281=1),G281,IF(AND('Choix pédagogiques'!$C$3=3,$BO281=1),G281,""))</f>
        <v/>
      </c>
      <c r="AC281" s="22" t="str">
        <f>IF(AND(OR('Choix pédagogiques'!$C$3=1,'Choix pédagogiques'!$C$3=2),$BN281=1),H281,IF(AND('Choix pédagogiques'!$C$3=3,$BO281=1),H281,""))</f>
        <v/>
      </c>
      <c r="AD281" s="22" t="str">
        <f>IF(AND(OR('Choix pédagogiques'!$C$3=1,'Choix pédagogiques'!$C$3=2),$BN281=1),I281,IF(AND('Choix pédagogiques'!$C$3=3,$BO281=1),I281,""))</f>
        <v/>
      </c>
      <c r="AE281" s="22" t="str">
        <f t="shared" si="248"/>
        <v/>
      </c>
      <c r="AF281" s="21" t="str">
        <f t="shared" si="249"/>
        <v>Apprenant 269</v>
      </c>
      <c r="AG281" s="22" t="str">
        <f t="shared" si="223"/>
        <v/>
      </c>
      <c r="AH281" s="22" t="str">
        <f t="shared" si="224"/>
        <v/>
      </c>
      <c r="AI281" s="22" t="str">
        <f t="shared" si="225"/>
        <v/>
      </c>
      <c r="AJ281" s="22" t="str">
        <f t="shared" si="250"/>
        <v/>
      </c>
      <c r="AK281" s="21" t="str">
        <f t="shared" si="251"/>
        <v>Apprenant 269 ou 269'</v>
      </c>
      <c r="AL281" s="22" t="str">
        <f t="shared" si="226"/>
        <v/>
      </c>
      <c r="AM281" s="22" t="str">
        <f t="shared" si="227"/>
        <v/>
      </c>
      <c r="AN281" s="22" t="str">
        <f t="shared" si="228"/>
        <v/>
      </c>
      <c r="AO281" s="22" t="str">
        <f t="shared" si="252"/>
        <v/>
      </c>
      <c r="AQ281" s="21" t="str">
        <f t="shared" si="253"/>
        <v>Apprenant 269</v>
      </c>
      <c r="AR281" s="49" t="str">
        <f>IF(AND('Choix pédagogiques'!$C$4&lt;&gt;"?",'Choix pédagogiques'!$C$5&lt;&gt;"?",W281&lt;&gt;""),(W281-'Choix pédagogiques'!$C$4)/('Choix pédagogiques'!$C$5-'Choix pédagogiques'!$C$4),"")</f>
        <v/>
      </c>
      <c r="AS281" s="49" t="str">
        <f>IF(AND('Choix pédagogiques'!$C$4&lt;&gt;"?",'Choix pédagogiques'!$C$5&lt;&gt;"?",X281&lt;&gt;""),(X281-'Choix pédagogiques'!$C$4)/('Choix pédagogiques'!$C$5-'Choix pédagogiques'!$C$4),"")</f>
        <v/>
      </c>
      <c r="AT281" s="49" t="str">
        <f>IF(AND('Choix pédagogiques'!$C$4&lt;&gt;"?",'Choix pédagogiques'!$C$5&lt;&gt;"?",Y281&lt;&gt;""),(Y281-'Choix pédagogiques'!$C$4)/('Choix pédagogiques'!$C$5-'Choix pédagogiques'!$C$4),"")</f>
        <v/>
      </c>
      <c r="AU281" s="22" t="str">
        <f t="shared" si="254"/>
        <v/>
      </c>
      <c r="AV281" s="21" t="str">
        <f t="shared" si="255"/>
        <v>Apprenant 269 ou 269'</v>
      </c>
      <c r="AW281" s="49" t="str">
        <f>IF(AND('Choix pédagogiques'!$C$4&lt;&gt;"?",'Choix pédagogiques'!$C$5&lt;&gt;"?",AB281&lt;&gt;""),(AB281-'Choix pédagogiques'!$C$4)/('Choix pédagogiques'!$C$5-'Choix pédagogiques'!$C$4),"")</f>
        <v/>
      </c>
      <c r="AX281" s="49" t="str">
        <f>IF(AND('Choix pédagogiques'!$C$4&lt;&gt;"?",'Choix pédagogiques'!$C$5&lt;&gt;"?",AC281&lt;&gt;""),(AC281-'Choix pédagogiques'!$C$4)/('Choix pédagogiques'!$C$5-'Choix pédagogiques'!$C$4),"")</f>
        <v/>
      </c>
      <c r="AY281" s="49" t="str">
        <f>IF(AND('Choix pédagogiques'!$C$4&lt;&gt;"?",'Choix pédagogiques'!$C$5&lt;&gt;"?",AD281&lt;&gt;""),(AD281-'Choix pédagogiques'!$C$4)/('Choix pédagogiques'!$C$5-'Choix pédagogiques'!$C$4),"")</f>
        <v/>
      </c>
      <c r="AZ281" s="22" t="str">
        <f t="shared" si="256"/>
        <v/>
      </c>
      <c r="BA281" s="21" t="str">
        <f t="shared" si="257"/>
        <v>Apprenant 269</v>
      </c>
      <c r="BB281" s="49" t="str">
        <f t="shared" si="229"/>
        <v/>
      </c>
      <c r="BC281" s="49" t="str">
        <f t="shared" si="230"/>
        <v/>
      </c>
      <c r="BD281" s="49" t="str">
        <f t="shared" si="231"/>
        <v/>
      </c>
      <c r="BE281" s="22" t="str">
        <f t="shared" si="258"/>
        <v/>
      </c>
      <c r="BF281" s="21" t="str">
        <f t="shared" si="259"/>
        <v>Apprenant 269 ou 269'</v>
      </c>
      <c r="BG281" s="49" t="str">
        <f t="shared" si="232"/>
        <v/>
      </c>
      <c r="BH281" s="49" t="str">
        <f t="shared" si="233"/>
        <v/>
      </c>
      <c r="BI281" s="49" t="str">
        <f t="shared" si="234"/>
        <v/>
      </c>
      <c r="BJ281" s="22" t="str">
        <f t="shared" si="260"/>
        <v/>
      </c>
      <c r="BL281" s="21"/>
      <c r="BM281" s="21" t="str">
        <f>IF(OR(COUNT(B281:D1280)=0,AND('Choix pédagogiques'!$C$3&lt;&gt;1,'Choix pédagogiques'!$C$3&lt;&gt;2)),"",IF(AND(OR('Choix pédagogiques'!$C$3=1,'Choix pédagogiques'!$C$3=2),$B281&lt;&gt;"",$C281&lt;&gt;"",$D281&lt;&gt;""),1,0))</f>
        <v/>
      </c>
      <c r="BN281" s="21" t="str">
        <f>IF(OR(COUNT(G281:I1280)=0,AND('Choix pédagogiques'!$C$3&lt;&gt;1,'Choix pédagogiques'!$C$3&lt;&gt;2)),"",IF(AND(OR('Choix pédagogiques'!$C$3=1,'Choix pédagogiques'!$C$3=2),AND($G281&lt;&gt;"",$H281&lt;&gt;"",$I281&lt;&gt;"")),1,0))</f>
        <v/>
      </c>
      <c r="BO281" s="21" t="str">
        <f>IF(OR(COUNT(B281:D1280)=0,COUNT(G281:I1280)=0,'Choix pédagogiques'!C$3&lt;&gt;3),"",IF(AND('Choix pédagogiques'!$C$3=3,$B281&lt;&gt;"",$C281&lt;&gt;"",$D281&lt;&gt;"",$G281&lt;&gt;"",$H281&lt;&gt;"",$I281&lt;&gt;""),1,0))</f>
        <v/>
      </c>
      <c r="BR281" s="21">
        <v>364</v>
      </c>
      <c r="BS281" s="21">
        <v>1923</v>
      </c>
      <c r="BT281"/>
    </row>
    <row r="282" spans="1:72" s="23" customFormat="1" ht="18" customHeight="1" x14ac:dyDescent="0.3">
      <c r="A282" s="35" t="s">
        <v>272</v>
      </c>
      <c r="B282" s="37"/>
      <c r="C282" s="37"/>
      <c r="D282" s="37"/>
      <c r="E282" s="37"/>
      <c r="F282" s="35" t="s">
        <v>1280</v>
      </c>
      <c r="G282" s="37"/>
      <c r="H282" s="37"/>
      <c r="I282" s="37"/>
      <c r="J282" s="37"/>
      <c r="K282" s="21" t="str">
        <f t="shared" si="235"/>
        <v>Apprenant 270</v>
      </c>
      <c r="L282" s="22" t="str">
        <f t="shared" si="236"/>
        <v/>
      </c>
      <c r="M282" s="22" t="str">
        <f t="shared" si="237"/>
        <v/>
      </c>
      <c r="N282" s="22" t="str">
        <f t="shared" si="238"/>
        <v/>
      </c>
      <c r="O282" s="22" t="str">
        <f t="shared" si="239"/>
        <v/>
      </c>
      <c r="P282" s="21" t="str">
        <f t="shared" si="240"/>
        <v>Apprenant 270 ou 270'</v>
      </c>
      <c r="Q282" s="22" t="str">
        <f t="shared" si="241"/>
        <v/>
      </c>
      <c r="R282" s="22" t="str">
        <f t="shared" si="242"/>
        <v/>
      </c>
      <c r="S282" s="22" t="str">
        <f t="shared" si="243"/>
        <v/>
      </c>
      <c r="T282" s="22" t="str">
        <f t="shared" si="244"/>
        <v/>
      </c>
      <c r="V282" s="21" t="str">
        <f t="shared" si="245"/>
        <v>Apprenant 270</v>
      </c>
      <c r="W282" s="22" t="str">
        <f>IF(AND(OR('Choix pédagogiques'!$C$3=1,'Choix pédagogiques'!$C$3=2),$BM282=1),B282,IF(AND('Choix pédagogiques'!$C$3=3,$BO282=1),B282,""))</f>
        <v/>
      </c>
      <c r="X282" s="22" t="str">
        <f>IF(AND(OR('Choix pédagogiques'!$C$3=1,'Choix pédagogiques'!$C$3=2),$BM282=1),C282,IF(AND('Choix pédagogiques'!$C$3=3,$BO282=1),C282,""))</f>
        <v/>
      </c>
      <c r="Y282" s="22" t="str">
        <f>IF(AND(OR('Choix pédagogiques'!$C$3=1,'Choix pédagogiques'!$C$3=2),$BM282=1),D282,IF(AND('Choix pédagogiques'!$C$3=3,$BO282=1),D282,""))</f>
        <v/>
      </c>
      <c r="Z282" s="22" t="str">
        <f t="shared" si="246"/>
        <v/>
      </c>
      <c r="AA282" s="21" t="str">
        <f t="shared" si="247"/>
        <v>Apprenant 270 ou 270'</v>
      </c>
      <c r="AB282" s="22" t="str">
        <f>IF(AND(OR('Choix pédagogiques'!$C$3=1,'Choix pédagogiques'!$C$3=2),$BN282=1),G282,IF(AND('Choix pédagogiques'!$C$3=3,$BO282=1),G282,""))</f>
        <v/>
      </c>
      <c r="AC282" s="22" t="str">
        <f>IF(AND(OR('Choix pédagogiques'!$C$3=1,'Choix pédagogiques'!$C$3=2),$BN282=1),H282,IF(AND('Choix pédagogiques'!$C$3=3,$BO282=1),H282,""))</f>
        <v/>
      </c>
      <c r="AD282" s="22" t="str">
        <f>IF(AND(OR('Choix pédagogiques'!$C$3=1,'Choix pédagogiques'!$C$3=2),$BN282=1),I282,IF(AND('Choix pédagogiques'!$C$3=3,$BO282=1),I282,""))</f>
        <v/>
      </c>
      <c r="AE282" s="22" t="str">
        <f t="shared" si="248"/>
        <v/>
      </c>
      <c r="AF282" s="21" t="str">
        <f t="shared" si="249"/>
        <v>Apprenant 270</v>
      </c>
      <c r="AG282" s="22" t="str">
        <f t="shared" si="223"/>
        <v/>
      </c>
      <c r="AH282" s="22" t="str">
        <f t="shared" si="224"/>
        <v/>
      </c>
      <c r="AI282" s="22" t="str">
        <f t="shared" si="225"/>
        <v/>
      </c>
      <c r="AJ282" s="22" t="str">
        <f t="shared" si="250"/>
        <v/>
      </c>
      <c r="AK282" s="21" t="str">
        <f t="shared" si="251"/>
        <v>Apprenant 270 ou 270'</v>
      </c>
      <c r="AL282" s="22" t="str">
        <f t="shared" si="226"/>
        <v/>
      </c>
      <c r="AM282" s="22" t="str">
        <f t="shared" si="227"/>
        <v/>
      </c>
      <c r="AN282" s="22" t="str">
        <f t="shared" si="228"/>
        <v/>
      </c>
      <c r="AO282" s="22" t="str">
        <f t="shared" si="252"/>
        <v/>
      </c>
      <c r="AQ282" s="21" t="str">
        <f t="shared" si="253"/>
        <v>Apprenant 270</v>
      </c>
      <c r="AR282" s="49" t="str">
        <f>IF(AND('Choix pédagogiques'!$C$4&lt;&gt;"?",'Choix pédagogiques'!$C$5&lt;&gt;"?",W282&lt;&gt;""),(W282-'Choix pédagogiques'!$C$4)/('Choix pédagogiques'!$C$5-'Choix pédagogiques'!$C$4),"")</f>
        <v/>
      </c>
      <c r="AS282" s="49" t="str">
        <f>IF(AND('Choix pédagogiques'!$C$4&lt;&gt;"?",'Choix pédagogiques'!$C$5&lt;&gt;"?",X282&lt;&gt;""),(X282-'Choix pédagogiques'!$C$4)/('Choix pédagogiques'!$C$5-'Choix pédagogiques'!$C$4),"")</f>
        <v/>
      </c>
      <c r="AT282" s="49" t="str">
        <f>IF(AND('Choix pédagogiques'!$C$4&lt;&gt;"?",'Choix pédagogiques'!$C$5&lt;&gt;"?",Y282&lt;&gt;""),(Y282-'Choix pédagogiques'!$C$4)/('Choix pédagogiques'!$C$5-'Choix pédagogiques'!$C$4),"")</f>
        <v/>
      </c>
      <c r="AU282" s="22" t="str">
        <f t="shared" si="254"/>
        <v/>
      </c>
      <c r="AV282" s="21" t="str">
        <f t="shared" si="255"/>
        <v>Apprenant 270 ou 270'</v>
      </c>
      <c r="AW282" s="49" t="str">
        <f>IF(AND('Choix pédagogiques'!$C$4&lt;&gt;"?",'Choix pédagogiques'!$C$5&lt;&gt;"?",AB282&lt;&gt;""),(AB282-'Choix pédagogiques'!$C$4)/('Choix pédagogiques'!$C$5-'Choix pédagogiques'!$C$4),"")</f>
        <v/>
      </c>
      <c r="AX282" s="49" t="str">
        <f>IF(AND('Choix pédagogiques'!$C$4&lt;&gt;"?",'Choix pédagogiques'!$C$5&lt;&gt;"?",AC282&lt;&gt;""),(AC282-'Choix pédagogiques'!$C$4)/('Choix pédagogiques'!$C$5-'Choix pédagogiques'!$C$4),"")</f>
        <v/>
      </c>
      <c r="AY282" s="49" t="str">
        <f>IF(AND('Choix pédagogiques'!$C$4&lt;&gt;"?",'Choix pédagogiques'!$C$5&lt;&gt;"?",AD282&lt;&gt;""),(AD282-'Choix pédagogiques'!$C$4)/('Choix pédagogiques'!$C$5-'Choix pédagogiques'!$C$4),"")</f>
        <v/>
      </c>
      <c r="AZ282" s="22" t="str">
        <f t="shared" si="256"/>
        <v/>
      </c>
      <c r="BA282" s="21" t="str">
        <f t="shared" si="257"/>
        <v>Apprenant 270</v>
      </c>
      <c r="BB282" s="49" t="str">
        <f t="shared" si="229"/>
        <v/>
      </c>
      <c r="BC282" s="49" t="str">
        <f t="shared" si="230"/>
        <v/>
      </c>
      <c r="BD282" s="49" t="str">
        <f t="shared" si="231"/>
        <v/>
      </c>
      <c r="BE282" s="22" t="str">
        <f t="shared" si="258"/>
        <v/>
      </c>
      <c r="BF282" s="21" t="str">
        <f t="shared" si="259"/>
        <v>Apprenant 270 ou 270'</v>
      </c>
      <c r="BG282" s="49" t="str">
        <f t="shared" si="232"/>
        <v/>
      </c>
      <c r="BH282" s="49" t="str">
        <f t="shared" si="233"/>
        <v/>
      </c>
      <c r="BI282" s="49" t="str">
        <f t="shared" si="234"/>
        <v/>
      </c>
      <c r="BJ282" s="22" t="str">
        <f t="shared" si="260"/>
        <v/>
      </c>
      <c r="BL282" s="21"/>
      <c r="BM282" s="21" t="str">
        <f>IF(OR(COUNT(B282:D1281)=0,AND('Choix pédagogiques'!$C$3&lt;&gt;1,'Choix pédagogiques'!$C$3&lt;&gt;2)),"",IF(AND(OR('Choix pédagogiques'!$C$3=1,'Choix pédagogiques'!$C$3=2),$B282&lt;&gt;"",$C282&lt;&gt;"",$D282&lt;&gt;""),1,0))</f>
        <v/>
      </c>
      <c r="BN282" s="21" t="str">
        <f>IF(OR(COUNT(G282:I1281)=0,AND('Choix pédagogiques'!$C$3&lt;&gt;1,'Choix pédagogiques'!$C$3&lt;&gt;2)),"",IF(AND(OR('Choix pédagogiques'!$C$3=1,'Choix pédagogiques'!$C$3=2),AND($G282&lt;&gt;"",$H282&lt;&gt;"",$I282&lt;&gt;"")),1,0))</f>
        <v/>
      </c>
      <c r="BO282" s="21" t="str">
        <f>IF(OR(COUNT(B282:D1281)=0,COUNT(G282:I1281)=0,'Choix pédagogiques'!C$3&lt;&gt;3),"",IF(AND('Choix pédagogiques'!$C$3=3,$B282&lt;&gt;"",$C282&lt;&gt;"",$D282&lt;&gt;"",$G282&lt;&gt;"",$H282&lt;&gt;"",$I282&lt;&gt;""),1,0))</f>
        <v/>
      </c>
      <c r="BR282" s="21">
        <v>434</v>
      </c>
      <c r="BS282" s="21">
        <v>1505</v>
      </c>
      <c r="BT282"/>
    </row>
    <row r="283" spans="1:72" s="23" customFormat="1" ht="18" customHeight="1" x14ac:dyDescent="0.3">
      <c r="A283" s="35" t="s">
        <v>273</v>
      </c>
      <c r="B283" s="37"/>
      <c r="C283" s="37"/>
      <c r="D283" s="37"/>
      <c r="E283" s="37"/>
      <c r="F283" s="35" t="s">
        <v>1281</v>
      </c>
      <c r="G283" s="37"/>
      <c r="H283" s="37"/>
      <c r="I283" s="37"/>
      <c r="J283" s="37"/>
      <c r="K283" s="21" t="str">
        <f t="shared" si="235"/>
        <v>Apprenant 271</v>
      </c>
      <c r="L283" s="22" t="str">
        <f t="shared" si="236"/>
        <v/>
      </c>
      <c r="M283" s="22" t="str">
        <f t="shared" si="237"/>
        <v/>
      </c>
      <c r="N283" s="22" t="str">
        <f t="shared" si="238"/>
        <v/>
      </c>
      <c r="O283" s="22" t="str">
        <f t="shared" si="239"/>
        <v/>
      </c>
      <c r="P283" s="21" t="str">
        <f t="shared" si="240"/>
        <v>Apprenant 271 ou 271'</v>
      </c>
      <c r="Q283" s="22" t="str">
        <f t="shared" si="241"/>
        <v/>
      </c>
      <c r="R283" s="22" t="str">
        <f t="shared" si="242"/>
        <v/>
      </c>
      <c r="S283" s="22" t="str">
        <f t="shared" si="243"/>
        <v/>
      </c>
      <c r="T283" s="22" t="str">
        <f t="shared" si="244"/>
        <v/>
      </c>
      <c r="V283" s="21" t="str">
        <f t="shared" si="245"/>
        <v>Apprenant 271</v>
      </c>
      <c r="W283" s="22" t="str">
        <f>IF(AND(OR('Choix pédagogiques'!$C$3=1,'Choix pédagogiques'!$C$3=2),$BM283=1),B283,IF(AND('Choix pédagogiques'!$C$3=3,$BO283=1),B283,""))</f>
        <v/>
      </c>
      <c r="X283" s="22" t="str">
        <f>IF(AND(OR('Choix pédagogiques'!$C$3=1,'Choix pédagogiques'!$C$3=2),$BM283=1),C283,IF(AND('Choix pédagogiques'!$C$3=3,$BO283=1),C283,""))</f>
        <v/>
      </c>
      <c r="Y283" s="22" t="str">
        <f>IF(AND(OR('Choix pédagogiques'!$C$3=1,'Choix pédagogiques'!$C$3=2),$BM283=1),D283,IF(AND('Choix pédagogiques'!$C$3=3,$BO283=1),D283,""))</f>
        <v/>
      </c>
      <c r="Z283" s="22" t="str">
        <f t="shared" si="246"/>
        <v/>
      </c>
      <c r="AA283" s="21" t="str">
        <f t="shared" si="247"/>
        <v>Apprenant 271 ou 271'</v>
      </c>
      <c r="AB283" s="22" t="str">
        <f>IF(AND(OR('Choix pédagogiques'!$C$3=1,'Choix pédagogiques'!$C$3=2),$BN283=1),G283,IF(AND('Choix pédagogiques'!$C$3=3,$BO283=1),G283,""))</f>
        <v/>
      </c>
      <c r="AC283" s="22" t="str">
        <f>IF(AND(OR('Choix pédagogiques'!$C$3=1,'Choix pédagogiques'!$C$3=2),$BN283=1),H283,IF(AND('Choix pédagogiques'!$C$3=3,$BO283=1),H283,""))</f>
        <v/>
      </c>
      <c r="AD283" s="22" t="str">
        <f>IF(AND(OR('Choix pédagogiques'!$C$3=1,'Choix pédagogiques'!$C$3=2),$BN283=1),I283,IF(AND('Choix pédagogiques'!$C$3=3,$BO283=1),I283,""))</f>
        <v/>
      </c>
      <c r="AE283" s="22" t="str">
        <f t="shared" si="248"/>
        <v/>
      </c>
      <c r="AF283" s="21" t="str">
        <f t="shared" si="249"/>
        <v>Apprenant 271</v>
      </c>
      <c r="AG283" s="22" t="str">
        <f t="shared" si="223"/>
        <v/>
      </c>
      <c r="AH283" s="22" t="str">
        <f t="shared" si="224"/>
        <v/>
      </c>
      <c r="AI283" s="22" t="str">
        <f t="shared" si="225"/>
        <v/>
      </c>
      <c r="AJ283" s="22" t="str">
        <f t="shared" si="250"/>
        <v/>
      </c>
      <c r="AK283" s="21" t="str">
        <f t="shared" si="251"/>
        <v>Apprenant 271 ou 271'</v>
      </c>
      <c r="AL283" s="22" t="str">
        <f t="shared" si="226"/>
        <v/>
      </c>
      <c r="AM283" s="22" t="str">
        <f t="shared" si="227"/>
        <v/>
      </c>
      <c r="AN283" s="22" t="str">
        <f t="shared" si="228"/>
        <v/>
      </c>
      <c r="AO283" s="22" t="str">
        <f t="shared" si="252"/>
        <v/>
      </c>
      <c r="AQ283" s="21" t="str">
        <f t="shared" si="253"/>
        <v>Apprenant 271</v>
      </c>
      <c r="AR283" s="49" t="str">
        <f>IF(AND('Choix pédagogiques'!$C$4&lt;&gt;"?",'Choix pédagogiques'!$C$5&lt;&gt;"?",W283&lt;&gt;""),(W283-'Choix pédagogiques'!$C$4)/('Choix pédagogiques'!$C$5-'Choix pédagogiques'!$C$4),"")</f>
        <v/>
      </c>
      <c r="AS283" s="49" t="str">
        <f>IF(AND('Choix pédagogiques'!$C$4&lt;&gt;"?",'Choix pédagogiques'!$C$5&lt;&gt;"?",X283&lt;&gt;""),(X283-'Choix pédagogiques'!$C$4)/('Choix pédagogiques'!$C$5-'Choix pédagogiques'!$C$4),"")</f>
        <v/>
      </c>
      <c r="AT283" s="49" t="str">
        <f>IF(AND('Choix pédagogiques'!$C$4&lt;&gt;"?",'Choix pédagogiques'!$C$5&lt;&gt;"?",Y283&lt;&gt;""),(Y283-'Choix pédagogiques'!$C$4)/('Choix pédagogiques'!$C$5-'Choix pédagogiques'!$C$4),"")</f>
        <v/>
      </c>
      <c r="AU283" s="22" t="str">
        <f t="shared" si="254"/>
        <v/>
      </c>
      <c r="AV283" s="21" t="str">
        <f t="shared" si="255"/>
        <v>Apprenant 271 ou 271'</v>
      </c>
      <c r="AW283" s="49" t="str">
        <f>IF(AND('Choix pédagogiques'!$C$4&lt;&gt;"?",'Choix pédagogiques'!$C$5&lt;&gt;"?",AB283&lt;&gt;""),(AB283-'Choix pédagogiques'!$C$4)/('Choix pédagogiques'!$C$5-'Choix pédagogiques'!$C$4),"")</f>
        <v/>
      </c>
      <c r="AX283" s="49" t="str">
        <f>IF(AND('Choix pédagogiques'!$C$4&lt;&gt;"?",'Choix pédagogiques'!$C$5&lt;&gt;"?",AC283&lt;&gt;""),(AC283-'Choix pédagogiques'!$C$4)/('Choix pédagogiques'!$C$5-'Choix pédagogiques'!$C$4),"")</f>
        <v/>
      </c>
      <c r="AY283" s="49" t="str">
        <f>IF(AND('Choix pédagogiques'!$C$4&lt;&gt;"?",'Choix pédagogiques'!$C$5&lt;&gt;"?",AD283&lt;&gt;""),(AD283-'Choix pédagogiques'!$C$4)/('Choix pédagogiques'!$C$5-'Choix pédagogiques'!$C$4),"")</f>
        <v/>
      </c>
      <c r="AZ283" s="22" t="str">
        <f t="shared" si="256"/>
        <v/>
      </c>
      <c r="BA283" s="21" t="str">
        <f t="shared" si="257"/>
        <v>Apprenant 271</v>
      </c>
      <c r="BB283" s="49" t="str">
        <f t="shared" si="229"/>
        <v/>
      </c>
      <c r="BC283" s="49" t="str">
        <f t="shared" si="230"/>
        <v/>
      </c>
      <c r="BD283" s="49" t="str">
        <f t="shared" si="231"/>
        <v/>
      </c>
      <c r="BE283" s="22" t="str">
        <f t="shared" si="258"/>
        <v/>
      </c>
      <c r="BF283" s="21" t="str">
        <f t="shared" si="259"/>
        <v>Apprenant 271 ou 271'</v>
      </c>
      <c r="BG283" s="49" t="str">
        <f t="shared" si="232"/>
        <v/>
      </c>
      <c r="BH283" s="49" t="str">
        <f t="shared" si="233"/>
        <v/>
      </c>
      <c r="BI283" s="49" t="str">
        <f t="shared" si="234"/>
        <v/>
      </c>
      <c r="BJ283" s="22" t="str">
        <f t="shared" si="260"/>
        <v/>
      </c>
      <c r="BL283" s="21"/>
      <c r="BM283" s="21" t="str">
        <f>IF(OR(COUNT(B283:D1282)=0,AND('Choix pédagogiques'!$C$3&lt;&gt;1,'Choix pédagogiques'!$C$3&lt;&gt;2)),"",IF(AND(OR('Choix pédagogiques'!$C$3=1,'Choix pédagogiques'!$C$3=2),$B283&lt;&gt;"",$C283&lt;&gt;"",$D283&lt;&gt;""),1,0))</f>
        <v/>
      </c>
      <c r="BN283" s="21" t="str">
        <f>IF(OR(COUNT(G283:I1282)=0,AND('Choix pédagogiques'!$C$3&lt;&gt;1,'Choix pédagogiques'!$C$3&lt;&gt;2)),"",IF(AND(OR('Choix pédagogiques'!$C$3=1,'Choix pédagogiques'!$C$3=2),AND($G283&lt;&gt;"",$H283&lt;&gt;"",$I283&lt;&gt;"")),1,0))</f>
        <v/>
      </c>
      <c r="BO283" s="21" t="str">
        <f>IF(OR(COUNT(B283:D1282)=0,COUNT(G283:I1282)=0,'Choix pédagogiques'!C$3&lt;&gt;3),"",IF(AND('Choix pédagogiques'!$C$3=3,$B283&lt;&gt;"",$C283&lt;&gt;"",$D283&lt;&gt;"",$G283&lt;&gt;"",$H283&lt;&gt;"",$I283&lt;&gt;""),1,0))</f>
        <v/>
      </c>
      <c r="BR283" s="21">
        <v>383</v>
      </c>
      <c r="BS283" s="21">
        <v>1617</v>
      </c>
      <c r="BT283"/>
    </row>
    <row r="284" spans="1:72" s="23" customFormat="1" ht="18" customHeight="1" x14ac:dyDescent="0.3">
      <c r="A284" s="35" t="s">
        <v>274</v>
      </c>
      <c r="B284" s="37"/>
      <c r="C284" s="37"/>
      <c r="D284" s="37"/>
      <c r="E284" s="37"/>
      <c r="F284" s="35" t="s">
        <v>1282</v>
      </c>
      <c r="G284" s="37"/>
      <c r="H284" s="37"/>
      <c r="I284" s="37"/>
      <c r="J284" s="37"/>
      <c r="K284" s="21" t="str">
        <f t="shared" si="235"/>
        <v>Apprenant 272</v>
      </c>
      <c r="L284" s="22" t="str">
        <f t="shared" si="236"/>
        <v/>
      </c>
      <c r="M284" s="22" t="str">
        <f t="shared" si="237"/>
        <v/>
      </c>
      <c r="N284" s="22" t="str">
        <f t="shared" si="238"/>
        <v/>
      </c>
      <c r="O284" s="22" t="str">
        <f t="shared" si="239"/>
        <v/>
      </c>
      <c r="P284" s="21" t="str">
        <f t="shared" si="240"/>
        <v>Apprenant 272 ou 272'</v>
      </c>
      <c r="Q284" s="22" t="str">
        <f t="shared" si="241"/>
        <v/>
      </c>
      <c r="R284" s="22" t="str">
        <f t="shared" si="242"/>
        <v/>
      </c>
      <c r="S284" s="22" t="str">
        <f t="shared" si="243"/>
        <v/>
      </c>
      <c r="T284" s="22" t="str">
        <f t="shared" si="244"/>
        <v/>
      </c>
      <c r="V284" s="21" t="str">
        <f t="shared" si="245"/>
        <v>Apprenant 272</v>
      </c>
      <c r="W284" s="22" t="str">
        <f>IF(AND(OR('Choix pédagogiques'!$C$3=1,'Choix pédagogiques'!$C$3=2),$BM284=1),B284,IF(AND('Choix pédagogiques'!$C$3=3,$BO284=1),B284,""))</f>
        <v/>
      </c>
      <c r="X284" s="22" t="str">
        <f>IF(AND(OR('Choix pédagogiques'!$C$3=1,'Choix pédagogiques'!$C$3=2),$BM284=1),C284,IF(AND('Choix pédagogiques'!$C$3=3,$BO284=1),C284,""))</f>
        <v/>
      </c>
      <c r="Y284" s="22" t="str">
        <f>IF(AND(OR('Choix pédagogiques'!$C$3=1,'Choix pédagogiques'!$C$3=2),$BM284=1),D284,IF(AND('Choix pédagogiques'!$C$3=3,$BO284=1),D284,""))</f>
        <v/>
      </c>
      <c r="Z284" s="22" t="str">
        <f t="shared" si="246"/>
        <v/>
      </c>
      <c r="AA284" s="21" t="str">
        <f t="shared" si="247"/>
        <v>Apprenant 272 ou 272'</v>
      </c>
      <c r="AB284" s="22" t="str">
        <f>IF(AND(OR('Choix pédagogiques'!$C$3=1,'Choix pédagogiques'!$C$3=2),$BN284=1),G284,IF(AND('Choix pédagogiques'!$C$3=3,$BO284=1),G284,""))</f>
        <v/>
      </c>
      <c r="AC284" s="22" t="str">
        <f>IF(AND(OR('Choix pédagogiques'!$C$3=1,'Choix pédagogiques'!$C$3=2),$BN284=1),H284,IF(AND('Choix pédagogiques'!$C$3=3,$BO284=1),H284,""))</f>
        <v/>
      </c>
      <c r="AD284" s="22" t="str">
        <f>IF(AND(OR('Choix pédagogiques'!$C$3=1,'Choix pédagogiques'!$C$3=2),$BN284=1),I284,IF(AND('Choix pédagogiques'!$C$3=3,$BO284=1),I284,""))</f>
        <v/>
      </c>
      <c r="AE284" s="22" t="str">
        <f t="shared" si="248"/>
        <v/>
      </c>
      <c r="AF284" s="21" t="str">
        <f t="shared" si="249"/>
        <v>Apprenant 272</v>
      </c>
      <c r="AG284" s="22" t="str">
        <f t="shared" si="223"/>
        <v/>
      </c>
      <c r="AH284" s="22" t="str">
        <f t="shared" si="224"/>
        <v/>
      </c>
      <c r="AI284" s="22" t="str">
        <f t="shared" si="225"/>
        <v/>
      </c>
      <c r="AJ284" s="22" t="str">
        <f t="shared" si="250"/>
        <v/>
      </c>
      <c r="AK284" s="21" t="str">
        <f t="shared" si="251"/>
        <v>Apprenant 272 ou 272'</v>
      </c>
      <c r="AL284" s="22" t="str">
        <f t="shared" si="226"/>
        <v/>
      </c>
      <c r="AM284" s="22" t="str">
        <f t="shared" si="227"/>
        <v/>
      </c>
      <c r="AN284" s="22" t="str">
        <f t="shared" si="228"/>
        <v/>
      </c>
      <c r="AO284" s="22" t="str">
        <f t="shared" si="252"/>
        <v/>
      </c>
      <c r="AQ284" s="21" t="str">
        <f t="shared" si="253"/>
        <v>Apprenant 272</v>
      </c>
      <c r="AR284" s="49" t="str">
        <f>IF(AND('Choix pédagogiques'!$C$4&lt;&gt;"?",'Choix pédagogiques'!$C$5&lt;&gt;"?",W284&lt;&gt;""),(W284-'Choix pédagogiques'!$C$4)/('Choix pédagogiques'!$C$5-'Choix pédagogiques'!$C$4),"")</f>
        <v/>
      </c>
      <c r="AS284" s="49" t="str">
        <f>IF(AND('Choix pédagogiques'!$C$4&lt;&gt;"?",'Choix pédagogiques'!$C$5&lt;&gt;"?",X284&lt;&gt;""),(X284-'Choix pédagogiques'!$C$4)/('Choix pédagogiques'!$C$5-'Choix pédagogiques'!$C$4),"")</f>
        <v/>
      </c>
      <c r="AT284" s="49" t="str">
        <f>IF(AND('Choix pédagogiques'!$C$4&lt;&gt;"?",'Choix pédagogiques'!$C$5&lt;&gt;"?",Y284&lt;&gt;""),(Y284-'Choix pédagogiques'!$C$4)/('Choix pédagogiques'!$C$5-'Choix pédagogiques'!$C$4),"")</f>
        <v/>
      </c>
      <c r="AU284" s="22" t="str">
        <f t="shared" si="254"/>
        <v/>
      </c>
      <c r="AV284" s="21" t="str">
        <f t="shared" si="255"/>
        <v>Apprenant 272 ou 272'</v>
      </c>
      <c r="AW284" s="49" t="str">
        <f>IF(AND('Choix pédagogiques'!$C$4&lt;&gt;"?",'Choix pédagogiques'!$C$5&lt;&gt;"?",AB284&lt;&gt;""),(AB284-'Choix pédagogiques'!$C$4)/('Choix pédagogiques'!$C$5-'Choix pédagogiques'!$C$4),"")</f>
        <v/>
      </c>
      <c r="AX284" s="49" t="str">
        <f>IF(AND('Choix pédagogiques'!$C$4&lt;&gt;"?",'Choix pédagogiques'!$C$5&lt;&gt;"?",AC284&lt;&gt;""),(AC284-'Choix pédagogiques'!$C$4)/('Choix pédagogiques'!$C$5-'Choix pédagogiques'!$C$4),"")</f>
        <v/>
      </c>
      <c r="AY284" s="49" t="str">
        <f>IF(AND('Choix pédagogiques'!$C$4&lt;&gt;"?",'Choix pédagogiques'!$C$5&lt;&gt;"?",AD284&lt;&gt;""),(AD284-'Choix pédagogiques'!$C$4)/('Choix pédagogiques'!$C$5-'Choix pédagogiques'!$C$4),"")</f>
        <v/>
      </c>
      <c r="AZ284" s="22" t="str">
        <f t="shared" si="256"/>
        <v/>
      </c>
      <c r="BA284" s="21" t="str">
        <f t="shared" si="257"/>
        <v>Apprenant 272</v>
      </c>
      <c r="BB284" s="49" t="str">
        <f t="shared" si="229"/>
        <v/>
      </c>
      <c r="BC284" s="49" t="str">
        <f t="shared" si="230"/>
        <v/>
      </c>
      <c r="BD284" s="49" t="str">
        <f t="shared" si="231"/>
        <v/>
      </c>
      <c r="BE284" s="22" t="str">
        <f t="shared" si="258"/>
        <v/>
      </c>
      <c r="BF284" s="21" t="str">
        <f t="shared" si="259"/>
        <v>Apprenant 272 ou 272'</v>
      </c>
      <c r="BG284" s="49" t="str">
        <f t="shared" si="232"/>
        <v/>
      </c>
      <c r="BH284" s="49" t="str">
        <f t="shared" si="233"/>
        <v/>
      </c>
      <c r="BI284" s="49" t="str">
        <f t="shared" si="234"/>
        <v/>
      </c>
      <c r="BJ284" s="22" t="str">
        <f t="shared" si="260"/>
        <v/>
      </c>
      <c r="BL284" s="21"/>
      <c r="BM284" s="21" t="str">
        <f>IF(OR(COUNT(B284:D1283)=0,AND('Choix pédagogiques'!$C$3&lt;&gt;1,'Choix pédagogiques'!$C$3&lt;&gt;2)),"",IF(AND(OR('Choix pédagogiques'!$C$3=1,'Choix pédagogiques'!$C$3=2),$B284&lt;&gt;"",$C284&lt;&gt;"",$D284&lt;&gt;""),1,0))</f>
        <v/>
      </c>
      <c r="BN284" s="21" t="str">
        <f>IF(OR(COUNT(G284:I1283)=0,AND('Choix pédagogiques'!$C$3&lt;&gt;1,'Choix pédagogiques'!$C$3&lt;&gt;2)),"",IF(AND(OR('Choix pédagogiques'!$C$3=1,'Choix pédagogiques'!$C$3=2),AND($G284&lt;&gt;"",$H284&lt;&gt;"",$I284&lt;&gt;"")),1,0))</f>
        <v/>
      </c>
      <c r="BO284" s="21" t="str">
        <f>IF(OR(COUNT(B284:D1283)=0,COUNT(G284:I1283)=0,'Choix pédagogiques'!C$3&lt;&gt;3),"",IF(AND('Choix pédagogiques'!$C$3=3,$B284&lt;&gt;"",$C284&lt;&gt;"",$D284&lt;&gt;"",$G284&lt;&gt;"",$H284&lt;&gt;"",$I284&lt;&gt;""),1,0))</f>
        <v/>
      </c>
      <c r="BR284" s="21">
        <v>443</v>
      </c>
      <c r="BS284" s="21">
        <v>1149</v>
      </c>
      <c r="BT284"/>
    </row>
    <row r="285" spans="1:72" s="23" customFormat="1" ht="18" customHeight="1" x14ac:dyDescent="0.3">
      <c r="A285" s="35" t="s">
        <v>275</v>
      </c>
      <c r="B285" s="37"/>
      <c r="C285" s="37"/>
      <c r="D285" s="37"/>
      <c r="E285" s="37"/>
      <c r="F285" s="35" t="s">
        <v>1283</v>
      </c>
      <c r="G285" s="37"/>
      <c r="H285" s="37"/>
      <c r="I285" s="37"/>
      <c r="J285" s="37"/>
      <c r="K285" s="21" t="str">
        <f t="shared" si="235"/>
        <v>Apprenant 273</v>
      </c>
      <c r="L285" s="22" t="str">
        <f t="shared" si="236"/>
        <v/>
      </c>
      <c r="M285" s="22" t="str">
        <f t="shared" si="237"/>
        <v/>
      </c>
      <c r="N285" s="22" t="str">
        <f t="shared" si="238"/>
        <v/>
      </c>
      <c r="O285" s="22" t="str">
        <f t="shared" si="239"/>
        <v/>
      </c>
      <c r="P285" s="21" t="str">
        <f t="shared" si="240"/>
        <v>Apprenant 273 ou 273'</v>
      </c>
      <c r="Q285" s="22" t="str">
        <f t="shared" si="241"/>
        <v/>
      </c>
      <c r="R285" s="22" t="str">
        <f t="shared" si="242"/>
        <v/>
      </c>
      <c r="S285" s="22" t="str">
        <f t="shared" si="243"/>
        <v/>
      </c>
      <c r="T285" s="22" t="str">
        <f t="shared" si="244"/>
        <v/>
      </c>
      <c r="V285" s="21" t="str">
        <f t="shared" si="245"/>
        <v>Apprenant 273</v>
      </c>
      <c r="W285" s="22" t="str">
        <f>IF(AND(OR('Choix pédagogiques'!$C$3=1,'Choix pédagogiques'!$C$3=2),$BM285=1),B285,IF(AND('Choix pédagogiques'!$C$3=3,$BO285=1),B285,""))</f>
        <v/>
      </c>
      <c r="X285" s="22" t="str">
        <f>IF(AND(OR('Choix pédagogiques'!$C$3=1,'Choix pédagogiques'!$C$3=2),$BM285=1),C285,IF(AND('Choix pédagogiques'!$C$3=3,$BO285=1),C285,""))</f>
        <v/>
      </c>
      <c r="Y285" s="22" t="str">
        <f>IF(AND(OR('Choix pédagogiques'!$C$3=1,'Choix pédagogiques'!$C$3=2),$BM285=1),D285,IF(AND('Choix pédagogiques'!$C$3=3,$BO285=1),D285,""))</f>
        <v/>
      </c>
      <c r="Z285" s="22" t="str">
        <f t="shared" si="246"/>
        <v/>
      </c>
      <c r="AA285" s="21" t="str">
        <f t="shared" si="247"/>
        <v>Apprenant 273 ou 273'</v>
      </c>
      <c r="AB285" s="22" t="str">
        <f>IF(AND(OR('Choix pédagogiques'!$C$3=1,'Choix pédagogiques'!$C$3=2),$BN285=1),G285,IF(AND('Choix pédagogiques'!$C$3=3,$BO285=1),G285,""))</f>
        <v/>
      </c>
      <c r="AC285" s="22" t="str">
        <f>IF(AND(OR('Choix pédagogiques'!$C$3=1,'Choix pédagogiques'!$C$3=2),$BN285=1),H285,IF(AND('Choix pédagogiques'!$C$3=3,$BO285=1),H285,""))</f>
        <v/>
      </c>
      <c r="AD285" s="22" t="str">
        <f>IF(AND(OR('Choix pédagogiques'!$C$3=1,'Choix pédagogiques'!$C$3=2),$BN285=1),I285,IF(AND('Choix pédagogiques'!$C$3=3,$BO285=1),I285,""))</f>
        <v/>
      </c>
      <c r="AE285" s="22" t="str">
        <f t="shared" si="248"/>
        <v/>
      </c>
      <c r="AF285" s="21" t="str">
        <f t="shared" si="249"/>
        <v>Apprenant 273</v>
      </c>
      <c r="AG285" s="22" t="str">
        <f t="shared" si="223"/>
        <v/>
      </c>
      <c r="AH285" s="22" t="str">
        <f t="shared" si="224"/>
        <v/>
      </c>
      <c r="AI285" s="22" t="str">
        <f t="shared" si="225"/>
        <v/>
      </c>
      <c r="AJ285" s="22" t="str">
        <f t="shared" si="250"/>
        <v/>
      </c>
      <c r="AK285" s="21" t="str">
        <f t="shared" si="251"/>
        <v>Apprenant 273 ou 273'</v>
      </c>
      <c r="AL285" s="22" t="str">
        <f t="shared" si="226"/>
        <v/>
      </c>
      <c r="AM285" s="22" t="str">
        <f t="shared" si="227"/>
        <v/>
      </c>
      <c r="AN285" s="22" t="str">
        <f t="shared" si="228"/>
        <v/>
      </c>
      <c r="AO285" s="22" t="str">
        <f t="shared" si="252"/>
        <v/>
      </c>
      <c r="AQ285" s="21" t="str">
        <f t="shared" si="253"/>
        <v>Apprenant 273</v>
      </c>
      <c r="AR285" s="49" t="str">
        <f>IF(AND('Choix pédagogiques'!$C$4&lt;&gt;"?",'Choix pédagogiques'!$C$5&lt;&gt;"?",W285&lt;&gt;""),(W285-'Choix pédagogiques'!$C$4)/('Choix pédagogiques'!$C$5-'Choix pédagogiques'!$C$4),"")</f>
        <v/>
      </c>
      <c r="AS285" s="49" t="str">
        <f>IF(AND('Choix pédagogiques'!$C$4&lt;&gt;"?",'Choix pédagogiques'!$C$5&lt;&gt;"?",X285&lt;&gt;""),(X285-'Choix pédagogiques'!$C$4)/('Choix pédagogiques'!$C$5-'Choix pédagogiques'!$C$4),"")</f>
        <v/>
      </c>
      <c r="AT285" s="49" t="str">
        <f>IF(AND('Choix pédagogiques'!$C$4&lt;&gt;"?",'Choix pédagogiques'!$C$5&lt;&gt;"?",Y285&lt;&gt;""),(Y285-'Choix pédagogiques'!$C$4)/('Choix pédagogiques'!$C$5-'Choix pédagogiques'!$C$4),"")</f>
        <v/>
      </c>
      <c r="AU285" s="22" t="str">
        <f t="shared" si="254"/>
        <v/>
      </c>
      <c r="AV285" s="21" t="str">
        <f t="shared" si="255"/>
        <v>Apprenant 273 ou 273'</v>
      </c>
      <c r="AW285" s="49" t="str">
        <f>IF(AND('Choix pédagogiques'!$C$4&lt;&gt;"?",'Choix pédagogiques'!$C$5&lt;&gt;"?",AB285&lt;&gt;""),(AB285-'Choix pédagogiques'!$C$4)/('Choix pédagogiques'!$C$5-'Choix pédagogiques'!$C$4),"")</f>
        <v/>
      </c>
      <c r="AX285" s="49" t="str">
        <f>IF(AND('Choix pédagogiques'!$C$4&lt;&gt;"?",'Choix pédagogiques'!$C$5&lt;&gt;"?",AC285&lt;&gt;""),(AC285-'Choix pédagogiques'!$C$4)/('Choix pédagogiques'!$C$5-'Choix pédagogiques'!$C$4),"")</f>
        <v/>
      </c>
      <c r="AY285" s="49" t="str">
        <f>IF(AND('Choix pédagogiques'!$C$4&lt;&gt;"?",'Choix pédagogiques'!$C$5&lt;&gt;"?",AD285&lt;&gt;""),(AD285-'Choix pédagogiques'!$C$4)/('Choix pédagogiques'!$C$5-'Choix pédagogiques'!$C$4),"")</f>
        <v/>
      </c>
      <c r="AZ285" s="22" t="str">
        <f t="shared" si="256"/>
        <v/>
      </c>
      <c r="BA285" s="21" t="str">
        <f t="shared" si="257"/>
        <v>Apprenant 273</v>
      </c>
      <c r="BB285" s="49" t="str">
        <f t="shared" si="229"/>
        <v/>
      </c>
      <c r="BC285" s="49" t="str">
        <f t="shared" si="230"/>
        <v/>
      </c>
      <c r="BD285" s="49" t="str">
        <f t="shared" si="231"/>
        <v/>
      </c>
      <c r="BE285" s="22" t="str">
        <f t="shared" si="258"/>
        <v/>
      </c>
      <c r="BF285" s="21" t="str">
        <f t="shared" si="259"/>
        <v>Apprenant 273 ou 273'</v>
      </c>
      <c r="BG285" s="49" t="str">
        <f t="shared" si="232"/>
        <v/>
      </c>
      <c r="BH285" s="49" t="str">
        <f t="shared" si="233"/>
        <v/>
      </c>
      <c r="BI285" s="49" t="str">
        <f t="shared" si="234"/>
        <v/>
      </c>
      <c r="BJ285" s="22" t="str">
        <f t="shared" si="260"/>
        <v/>
      </c>
      <c r="BL285" s="21"/>
      <c r="BM285" s="21" t="str">
        <f>IF(OR(COUNT(B285:D1284)=0,AND('Choix pédagogiques'!$C$3&lt;&gt;1,'Choix pédagogiques'!$C$3&lt;&gt;2)),"",IF(AND(OR('Choix pédagogiques'!$C$3=1,'Choix pédagogiques'!$C$3=2),$B285&lt;&gt;"",$C285&lt;&gt;"",$D285&lt;&gt;""),1,0))</f>
        <v/>
      </c>
      <c r="BN285" s="21" t="str">
        <f>IF(OR(COUNT(G285:I1284)=0,AND('Choix pédagogiques'!$C$3&lt;&gt;1,'Choix pédagogiques'!$C$3&lt;&gt;2)),"",IF(AND(OR('Choix pédagogiques'!$C$3=1,'Choix pédagogiques'!$C$3=2),AND($G285&lt;&gt;"",$H285&lt;&gt;"",$I285&lt;&gt;"")),1,0))</f>
        <v/>
      </c>
      <c r="BO285" s="21" t="str">
        <f>IF(OR(COUNT(B285:D1284)=0,COUNT(G285:I1284)=0,'Choix pédagogiques'!C$3&lt;&gt;3),"",IF(AND('Choix pédagogiques'!$C$3=3,$B285&lt;&gt;"",$C285&lt;&gt;"",$D285&lt;&gt;"",$G285&lt;&gt;"",$H285&lt;&gt;"",$I285&lt;&gt;""),1,0))</f>
        <v/>
      </c>
      <c r="BR285" s="21">
        <v>792</v>
      </c>
      <c r="BS285" s="21">
        <v>1689</v>
      </c>
      <c r="BT285"/>
    </row>
    <row r="286" spans="1:72" s="23" customFormat="1" ht="18" customHeight="1" x14ac:dyDescent="0.3">
      <c r="A286" s="35" t="s">
        <v>276</v>
      </c>
      <c r="B286" s="37"/>
      <c r="C286" s="37"/>
      <c r="D286" s="37"/>
      <c r="E286" s="37"/>
      <c r="F286" s="35" t="s">
        <v>1284</v>
      </c>
      <c r="G286" s="37"/>
      <c r="H286" s="37"/>
      <c r="I286" s="37"/>
      <c r="J286" s="37"/>
      <c r="K286" s="21" t="str">
        <f t="shared" si="235"/>
        <v>Apprenant 274</v>
      </c>
      <c r="L286" s="22" t="str">
        <f t="shared" si="236"/>
        <v/>
      </c>
      <c r="M286" s="22" t="str">
        <f t="shared" si="237"/>
        <v/>
      </c>
      <c r="N286" s="22" t="str">
        <f t="shared" si="238"/>
        <v/>
      </c>
      <c r="O286" s="22" t="str">
        <f t="shared" si="239"/>
        <v/>
      </c>
      <c r="P286" s="21" t="str">
        <f t="shared" si="240"/>
        <v>Apprenant 274 ou 274'</v>
      </c>
      <c r="Q286" s="22" t="str">
        <f t="shared" si="241"/>
        <v/>
      </c>
      <c r="R286" s="22" t="str">
        <f t="shared" si="242"/>
        <v/>
      </c>
      <c r="S286" s="22" t="str">
        <f t="shared" si="243"/>
        <v/>
      </c>
      <c r="T286" s="22" t="str">
        <f t="shared" si="244"/>
        <v/>
      </c>
      <c r="V286" s="21" t="str">
        <f t="shared" si="245"/>
        <v>Apprenant 274</v>
      </c>
      <c r="W286" s="22" t="str">
        <f>IF(AND(OR('Choix pédagogiques'!$C$3=1,'Choix pédagogiques'!$C$3=2),$BM286=1),B286,IF(AND('Choix pédagogiques'!$C$3=3,$BO286=1),B286,""))</f>
        <v/>
      </c>
      <c r="X286" s="22" t="str">
        <f>IF(AND(OR('Choix pédagogiques'!$C$3=1,'Choix pédagogiques'!$C$3=2),$BM286=1),C286,IF(AND('Choix pédagogiques'!$C$3=3,$BO286=1),C286,""))</f>
        <v/>
      </c>
      <c r="Y286" s="22" t="str">
        <f>IF(AND(OR('Choix pédagogiques'!$C$3=1,'Choix pédagogiques'!$C$3=2),$BM286=1),D286,IF(AND('Choix pédagogiques'!$C$3=3,$BO286=1),D286,""))</f>
        <v/>
      </c>
      <c r="Z286" s="22" t="str">
        <f t="shared" si="246"/>
        <v/>
      </c>
      <c r="AA286" s="21" t="str">
        <f t="shared" si="247"/>
        <v>Apprenant 274 ou 274'</v>
      </c>
      <c r="AB286" s="22" t="str">
        <f>IF(AND(OR('Choix pédagogiques'!$C$3=1,'Choix pédagogiques'!$C$3=2),$BN286=1),G286,IF(AND('Choix pédagogiques'!$C$3=3,$BO286=1),G286,""))</f>
        <v/>
      </c>
      <c r="AC286" s="22" t="str">
        <f>IF(AND(OR('Choix pédagogiques'!$C$3=1,'Choix pédagogiques'!$C$3=2),$BN286=1),H286,IF(AND('Choix pédagogiques'!$C$3=3,$BO286=1),H286,""))</f>
        <v/>
      </c>
      <c r="AD286" s="22" t="str">
        <f>IF(AND(OR('Choix pédagogiques'!$C$3=1,'Choix pédagogiques'!$C$3=2),$BN286=1),I286,IF(AND('Choix pédagogiques'!$C$3=3,$BO286=1),I286,""))</f>
        <v/>
      </c>
      <c r="AE286" s="22" t="str">
        <f t="shared" si="248"/>
        <v/>
      </c>
      <c r="AF286" s="21" t="str">
        <f t="shared" si="249"/>
        <v>Apprenant 274</v>
      </c>
      <c r="AG286" s="22" t="str">
        <f t="shared" si="223"/>
        <v/>
      </c>
      <c r="AH286" s="22" t="str">
        <f t="shared" si="224"/>
        <v/>
      </c>
      <c r="AI286" s="22" t="str">
        <f t="shared" si="225"/>
        <v/>
      </c>
      <c r="AJ286" s="22" t="str">
        <f t="shared" si="250"/>
        <v/>
      </c>
      <c r="AK286" s="21" t="str">
        <f t="shared" si="251"/>
        <v>Apprenant 274 ou 274'</v>
      </c>
      <c r="AL286" s="22" t="str">
        <f t="shared" si="226"/>
        <v/>
      </c>
      <c r="AM286" s="22" t="str">
        <f t="shared" si="227"/>
        <v/>
      </c>
      <c r="AN286" s="22" t="str">
        <f t="shared" si="228"/>
        <v/>
      </c>
      <c r="AO286" s="22" t="str">
        <f t="shared" si="252"/>
        <v/>
      </c>
      <c r="AQ286" s="21" t="str">
        <f t="shared" si="253"/>
        <v>Apprenant 274</v>
      </c>
      <c r="AR286" s="49" t="str">
        <f>IF(AND('Choix pédagogiques'!$C$4&lt;&gt;"?",'Choix pédagogiques'!$C$5&lt;&gt;"?",W286&lt;&gt;""),(W286-'Choix pédagogiques'!$C$4)/('Choix pédagogiques'!$C$5-'Choix pédagogiques'!$C$4),"")</f>
        <v/>
      </c>
      <c r="AS286" s="49" t="str">
        <f>IF(AND('Choix pédagogiques'!$C$4&lt;&gt;"?",'Choix pédagogiques'!$C$5&lt;&gt;"?",X286&lt;&gt;""),(X286-'Choix pédagogiques'!$C$4)/('Choix pédagogiques'!$C$5-'Choix pédagogiques'!$C$4),"")</f>
        <v/>
      </c>
      <c r="AT286" s="49" t="str">
        <f>IF(AND('Choix pédagogiques'!$C$4&lt;&gt;"?",'Choix pédagogiques'!$C$5&lt;&gt;"?",Y286&lt;&gt;""),(Y286-'Choix pédagogiques'!$C$4)/('Choix pédagogiques'!$C$5-'Choix pédagogiques'!$C$4),"")</f>
        <v/>
      </c>
      <c r="AU286" s="22" t="str">
        <f t="shared" si="254"/>
        <v/>
      </c>
      <c r="AV286" s="21" t="str">
        <f t="shared" si="255"/>
        <v>Apprenant 274 ou 274'</v>
      </c>
      <c r="AW286" s="49" t="str">
        <f>IF(AND('Choix pédagogiques'!$C$4&lt;&gt;"?",'Choix pédagogiques'!$C$5&lt;&gt;"?",AB286&lt;&gt;""),(AB286-'Choix pédagogiques'!$C$4)/('Choix pédagogiques'!$C$5-'Choix pédagogiques'!$C$4),"")</f>
        <v/>
      </c>
      <c r="AX286" s="49" t="str">
        <f>IF(AND('Choix pédagogiques'!$C$4&lt;&gt;"?",'Choix pédagogiques'!$C$5&lt;&gt;"?",AC286&lt;&gt;""),(AC286-'Choix pédagogiques'!$C$4)/('Choix pédagogiques'!$C$5-'Choix pédagogiques'!$C$4),"")</f>
        <v/>
      </c>
      <c r="AY286" s="49" t="str">
        <f>IF(AND('Choix pédagogiques'!$C$4&lt;&gt;"?",'Choix pédagogiques'!$C$5&lt;&gt;"?",AD286&lt;&gt;""),(AD286-'Choix pédagogiques'!$C$4)/('Choix pédagogiques'!$C$5-'Choix pédagogiques'!$C$4),"")</f>
        <v/>
      </c>
      <c r="AZ286" s="22" t="str">
        <f t="shared" si="256"/>
        <v/>
      </c>
      <c r="BA286" s="21" t="str">
        <f t="shared" si="257"/>
        <v>Apprenant 274</v>
      </c>
      <c r="BB286" s="49" t="str">
        <f t="shared" si="229"/>
        <v/>
      </c>
      <c r="BC286" s="49" t="str">
        <f t="shared" si="230"/>
        <v/>
      </c>
      <c r="BD286" s="49" t="str">
        <f t="shared" si="231"/>
        <v/>
      </c>
      <c r="BE286" s="22" t="str">
        <f t="shared" si="258"/>
        <v/>
      </c>
      <c r="BF286" s="21" t="str">
        <f t="shared" si="259"/>
        <v>Apprenant 274 ou 274'</v>
      </c>
      <c r="BG286" s="49" t="str">
        <f t="shared" si="232"/>
        <v/>
      </c>
      <c r="BH286" s="49" t="str">
        <f t="shared" si="233"/>
        <v/>
      </c>
      <c r="BI286" s="49" t="str">
        <f t="shared" si="234"/>
        <v/>
      </c>
      <c r="BJ286" s="22" t="str">
        <f t="shared" si="260"/>
        <v/>
      </c>
      <c r="BL286" s="21"/>
      <c r="BM286" s="21" t="str">
        <f>IF(OR(COUNT(B286:D1285)=0,AND('Choix pédagogiques'!$C$3&lt;&gt;1,'Choix pédagogiques'!$C$3&lt;&gt;2)),"",IF(AND(OR('Choix pédagogiques'!$C$3=1,'Choix pédagogiques'!$C$3=2),$B286&lt;&gt;"",$C286&lt;&gt;"",$D286&lt;&gt;""),1,0))</f>
        <v/>
      </c>
      <c r="BN286" s="21" t="str">
        <f>IF(OR(COUNT(G286:I1285)=0,AND('Choix pédagogiques'!$C$3&lt;&gt;1,'Choix pédagogiques'!$C$3&lt;&gt;2)),"",IF(AND(OR('Choix pédagogiques'!$C$3=1,'Choix pédagogiques'!$C$3=2),AND($G286&lt;&gt;"",$H286&lt;&gt;"",$I286&lt;&gt;"")),1,0))</f>
        <v/>
      </c>
      <c r="BO286" s="21" t="str">
        <f>IF(OR(COUNT(B286:D1285)=0,COUNT(G286:I1285)=0,'Choix pédagogiques'!C$3&lt;&gt;3),"",IF(AND('Choix pédagogiques'!$C$3=3,$B286&lt;&gt;"",$C286&lt;&gt;"",$D286&lt;&gt;"",$G286&lt;&gt;"",$H286&lt;&gt;"",$I286&lt;&gt;""),1,0))</f>
        <v/>
      </c>
      <c r="BR286" s="21">
        <v>344</v>
      </c>
      <c r="BS286" s="21">
        <v>1744</v>
      </c>
      <c r="BT286"/>
    </row>
    <row r="287" spans="1:72" s="23" customFormat="1" ht="18" customHeight="1" x14ac:dyDescent="0.3">
      <c r="A287" s="35" t="s">
        <v>277</v>
      </c>
      <c r="B287" s="37"/>
      <c r="C287" s="37"/>
      <c r="D287" s="37"/>
      <c r="E287" s="37"/>
      <c r="F287" s="35" t="s">
        <v>1285</v>
      </c>
      <c r="G287" s="37"/>
      <c r="H287" s="37"/>
      <c r="I287" s="37"/>
      <c r="J287" s="37"/>
      <c r="K287" s="21" t="str">
        <f t="shared" si="235"/>
        <v>Apprenant 275</v>
      </c>
      <c r="L287" s="22" t="str">
        <f t="shared" si="236"/>
        <v/>
      </c>
      <c r="M287" s="22" t="str">
        <f t="shared" si="237"/>
        <v/>
      </c>
      <c r="N287" s="22" t="str">
        <f t="shared" si="238"/>
        <v/>
      </c>
      <c r="O287" s="22" t="str">
        <f t="shared" si="239"/>
        <v/>
      </c>
      <c r="P287" s="21" t="str">
        <f t="shared" si="240"/>
        <v>Apprenant 275 ou 275'</v>
      </c>
      <c r="Q287" s="22" t="str">
        <f t="shared" si="241"/>
        <v/>
      </c>
      <c r="R287" s="22" t="str">
        <f t="shared" si="242"/>
        <v/>
      </c>
      <c r="S287" s="22" t="str">
        <f t="shared" si="243"/>
        <v/>
      </c>
      <c r="T287" s="22" t="str">
        <f t="shared" si="244"/>
        <v/>
      </c>
      <c r="V287" s="21" t="str">
        <f t="shared" si="245"/>
        <v>Apprenant 275</v>
      </c>
      <c r="W287" s="22" t="str">
        <f>IF(AND(OR('Choix pédagogiques'!$C$3=1,'Choix pédagogiques'!$C$3=2),$BM287=1),B287,IF(AND('Choix pédagogiques'!$C$3=3,$BO287=1),B287,""))</f>
        <v/>
      </c>
      <c r="X287" s="22" t="str">
        <f>IF(AND(OR('Choix pédagogiques'!$C$3=1,'Choix pédagogiques'!$C$3=2),$BM287=1),C287,IF(AND('Choix pédagogiques'!$C$3=3,$BO287=1),C287,""))</f>
        <v/>
      </c>
      <c r="Y287" s="22" t="str">
        <f>IF(AND(OR('Choix pédagogiques'!$C$3=1,'Choix pédagogiques'!$C$3=2),$BM287=1),D287,IF(AND('Choix pédagogiques'!$C$3=3,$BO287=1),D287,""))</f>
        <v/>
      </c>
      <c r="Z287" s="22" t="str">
        <f t="shared" si="246"/>
        <v/>
      </c>
      <c r="AA287" s="21" t="str">
        <f t="shared" si="247"/>
        <v>Apprenant 275 ou 275'</v>
      </c>
      <c r="AB287" s="22" t="str">
        <f>IF(AND(OR('Choix pédagogiques'!$C$3=1,'Choix pédagogiques'!$C$3=2),$BN287=1),G287,IF(AND('Choix pédagogiques'!$C$3=3,$BO287=1),G287,""))</f>
        <v/>
      </c>
      <c r="AC287" s="22" t="str">
        <f>IF(AND(OR('Choix pédagogiques'!$C$3=1,'Choix pédagogiques'!$C$3=2),$BN287=1),H287,IF(AND('Choix pédagogiques'!$C$3=3,$BO287=1),H287,""))</f>
        <v/>
      </c>
      <c r="AD287" s="22" t="str">
        <f>IF(AND(OR('Choix pédagogiques'!$C$3=1,'Choix pédagogiques'!$C$3=2),$BN287=1),I287,IF(AND('Choix pédagogiques'!$C$3=3,$BO287=1),I287,""))</f>
        <v/>
      </c>
      <c r="AE287" s="22" t="str">
        <f t="shared" si="248"/>
        <v/>
      </c>
      <c r="AF287" s="21" t="str">
        <f t="shared" si="249"/>
        <v>Apprenant 275</v>
      </c>
      <c r="AG287" s="22" t="str">
        <f t="shared" si="223"/>
        <v/>
      </c>
      <c r="AH287" s="22" t="str">
        <f t="shared" si="224"/>
        <v/>
      </c>
      <c r="AI287" s="22" t="str">
        <f t="shared" si="225"/>
        <v/>
      </c>
      <c r="AJ287" s="22" t="str">
        <f t="shared" si="250"/>
        <v/>
      </c>
      <c r="AK287" s="21" t="str">
        <f t="shared" si="251"/>
        <v>Apprenant 275 ou 275'</v>
      </c>
      <c r="AL287" s="22" t="str">
        <f t="shared" si="226"/>
        <v/>
      </c>
      <c r="AM287" s="22" t="str">
        <f t="shared" si="227"/>
        <v/>
      </c>
      <c r="AN287" s="22" t="str">
        <f t="shared" si="228"/>
        <v/>
      </c>
      <c r="AO287" s="22" t="str">
        <f t="shared" si="252"/>
        <v/>
      </c>
      <c r="AQ287" s="21" t="str">
        <f t="shared" si="253"/>
        <v>Apprenant 275</v>
      </c>
      <c r="AR287" s="49" t="str">
        <f>IF(AND('Choix pédagogiques'!$C$4&lt;&gt;"?",'Choix pédagogiques'!$C$5&lt;&gt;"?",W287&lt;&gt;""),(W287-'Choix pédagogiques'!$C$4)/('Choix pédagogiques'!$C$5-'Choix pédagogiques'!$C$4),"")</f>
        <v/>
      </c>
      <c r="AS287" s="49" t="str">
        <f>IF(AND('Choix pédagogiques'!$C$4&lt;&gt;"?",'Choix pédagogiques'!$C$5&lt;&gt;"?",X287&lt;&gt;""),(X287-'Choix pédagogiques'!$C$4)/('Choix pédagogiques'!$C$5-'Choix pédagogiques'!$C$4),"")</f>
        <v/>
      </c>
      <c r="AT287" s="49" t="str">
        <f>IF(AND('Choix pédagogiques'!$C$4&lt;&gt;"?",'Choix pédagogiques'!$C$5&lt;&gt;"?",Y287&lt;&gt;""),(Y287-'Choix pédagogiques'!$C$4)/('Choix pédagogiques'!$C$5-'Choix pédagogiques'!$C$4),"")</f>
        <v/>
      </c>
      <c r="AU287" s="22" t="str">
        <f t="shared" si="254"/>
        <v/>
      </c>
      <c r="AV287" s="21" t="str">
        <f t="shared" si="255"/>
        <v>Apprenant 275 ou 275'</v>
      </c>
      <c r="AW287" s="49" t="str">
        <f>IF(AND('Choix pédagogiques'!$C$4&lt;&gt;"?",'Choix pédagogiques'!$C$5&lt;&gt;"?",AB287&lt;&gt;""),(AB287-'Choix pédagogiques'!$C$4)/('Choix pédagogiques'!$C$5-'Choix pédagogiques'!$C$4),"")</f>
        <v/>
      </c>
      <c r="AX287" s="49" t="str">
        <f>IF(AND('Choix pédagogiques'!$C$4&lt;&gt;"?",'Choix pédagogiques'!$C$5&lt;&gt;"?",AC287&lt;&gt;""),(AC287-'Choix pédagogiques'!$C$4)/('Choix pédagogiques'!$C$5-'Choix pédagogiques'!$C$4),"")</f>
        <v/>
      </c>
      <c r="AY287" s="49" t="str">
        <f>IF(AND('Choix pédagogiques'!$C$4&lt;&gt;"?",'Choix pédagogiques'!$C$5&lt;&gt;"?",AD287&lt;&gt;""),(AD287-'Choix pédagogiques'!$C$4)/('Choix pédagogiques'!$C$5-'Choix pédagogiques'!$C$4),"")</f>
        <v/>
      </c>
      <c r="AZ287" s="22" t="str">
        <f t="shared" si="256"/>
        <v/>
      </c>
      <c r="BA287" s="21" t="str">
        <f t="shared" si="257"/>
        <v>Apprenant 275</v>
      </c>
      <c r="BB287" s="49" t="str">
        <f t="shared" si="229"/>
        <v/>
      </c>
      <c r="BC287" s="49" t="str">
        <f t="shared" si="230"/>
        <v/>
      </c>
      <c r="BD287" s="49" t="str">
        <f t="shared" si="231"/>
        <v/>
      </c>
      <c r="BE287" s="22" t="str">
        <f t="shared" si="258"/>
        <v/>
      </c>
      <c r="BF287" s="21" t="str">
        <f t="shared" si="259"/>
        <v>Apprenant 275 ou 275'</v>
      </c>
      <c r="BG287" s="49" t="str">
        <f t="shared" si="232"/>
        <v/>
      </c>
      <c r="BH287" s="49" t="str">
        <f t="shared" si="233"/>
        <v/>
      </c>
      <c r="BI287" s="49" t="str">
        <f t="shared" si="234"/>
        <v/>
      </c>
      <c r="BJ287" s="22" t="str">
        <f t="shared" si="260"/>
        <v/>
      </c>
      <c r="BL287" s="21"/>
      <c r="BM287" s="21" t="str">
        <f>IF(OR(COUNT(B287:D1286)=0,AND('Choix pédagogiques'!$C$3&lt;&gt;1,'Choix pédagogiques'!$C$3&lt;&gt;2)),"",IF(AND(OR('Choix pédagogiques'!$C$3=1,'Choix pédagogiques'!$C$3=2),$B287&lt;&gt;"",$C287&lt;&gt;"",$D287&lt;&gt;""),1,0))</f>
        <v/>
      </c>
      <c r="BN287" s="21" t="str">
        <f>IF(OR(COUNT(G287:I1286)=0,AND('Choix pédagogiques'!$C$3&lt;&gt;1,'Choix pédagogiques'!$C$3&lt;&gt;2)),"",IF(AND(OR('Choix pédagogiques'!$C$3=1,'Choix pédagogiques'!$C$3=2),AND($G287&lt;&gt;"",$H287&lt;&gt;"",$I287&lt;&gt;"")),1,0))</f>
        <v/>
      </c>
      <c r="BO287" s="21" t="str">
        <f>IF(OR(COUNT(B287:D1286)=0,COUNT(G287:I1286)=0,'Choix pédagogiques'!C$3&lt;&gt;3),"",IF(AND('Choix pédagogiques'!$C$3=3,$B287&lt;&gt;"",$C287&lt;&gt;"",$D287&lt;&gt;"",$G287&lt;&gt;"",$H287&lt;&gt;"",$I287&lt;&gt;""),1,0))</f>
        <v/>
      </c>
      <c r="BR287" s="21">
        <v>889</v>
      </c>
      <c r="BS287" s="21">
        <v>1629</v>
      </c>
      <c r="BT287"/>
    </row>
    <row r="288" spans="1:72" s="23" customFormat="1" ht="18" customHeight="1" x14ac:dyDescent="0.3">
      <c r="A288" s="35" t="s">
        <v>278</v>
      </c>
      <c r="B288" s="37"/>
      <c r="C288" s="37"/>
      <c r="D288" s="37"/>
      <c r="E288" s="37"/>
      <c r="F288" s="35" t="s">
        <v>1286</v>
      </c>
      <c r="G288" s="37"/>
      <c r="H288" s="37"/>
      <c r="I288" s="37"/>
      <c r="J288" s="37"/>
      <c r="K288" s="21" t="str">
        <f t="shared" si="235"/>
        <v>Apprenant 276</v>
      </c>
      <c r="L288" s="22" t="str">
        <f t="shared" si="236"/>
        <v/>
      </c>
      <c r="M288" s="22" t="str">
        <f t="shared" si="237"/>
        <v/>
      </c>
      <c r="N288" s="22" t="str">
        <f t="shared" si="238"/>
        <v/>
      </c>
      <c r="O288" s="22" t="str">
        <f t="shared" si="239"/>
        <v/>
      </c>
      <c r="P288" s="21" t="str">
        <f t="shared" si="240"/>
        <v>Apprenant 276 ou 276'</v>
      </c>
      <c r="Q288" s="22" t="str">
        <f t="shared" si="241"/>
        <v/>
      </c>
      <c r="R288" s="22" t="str">
        <f t="shared" si="242"/>
        <v/>
      </c>
      <c r="S288" s="22" t="str">
        <f t="shared" si="243"/>
        <v/>
      </c>
      <c r="T288" s="22" t="str">
        <f t="shared" si="244"/>
        <v/>
      </c>
      <c r="V288" s="21" t="str">
        <f t="shared" si="245"/>
        <v>Apprenant 276</v>
      </c>
      <c r="W288" s="22" t="str">
        <f>IF(AND(OR('Choix pédagogiques'!$C$3=1,'Choix pédagogiques'!$C$3=2),$BM288=1),B288,IF(AND('Choix pédagogiques'!$C$3=3,$BO288=1),B288,""))</f>
        <v/>
      </c>
      <c r="X288" s="22" t="str">
        <f>IF(AND(OR('Choix pédagogiques'!$C$3=1,'Choix pédagogiques'!$C$3=2),$BM288=1),C288,IF(AND('Choix pédagogiques'!$C$3=3,$BO288=1),C288,""))</f>
        <v/>
      </c>
      <c r="Y288" s="22" t="str">
        <f>IF(AND(OR('Choix pédagogiques'!$C$3=1,'Choix pédagogiques'!$C$3=2),$BM288=1),D288,IF(AND('Choix pédagogiques'!$C$3=3,$BO288=1),D288,""))</f>
        <v/>
      </c>
      <c r="Z288" s="22" t="str">
        <f t="shared" si="246"/>
        <v/>
      </c>
      <c r="AA288" s="21" t="str">
        <f t="shared" si="247"/>
        <v>Apprenant 276 ou 276'</v>
      </c>
      <c r="AB288" s="22" t="str">
        <f>IF(AND(OR('Choix pédagogiques'!$C$3=1,'Choix pédagogiques'!$C$3=2),$BN288=1),G288,IF(AND('Choix pédagogiques'!$C$3=3,$BO288=1),G288,""))</f>
        <v/>
      </c>
      <c r="AC288" s="22" t="str">
        <f>IF(AND(OR('Choix pédagogiques'!$C$3=1,'Choix pédagogiques'!$C$3=2),$BN288=1),H288,IF(AND('Choix pédagogiques'!$C$3=3,$BO288=1),H288,""))</f>
        <v/>
      </c>
      <c r="AD288" s="22" t="str">
        <f>IF(AND(OR('Choix pédagogiques'!$C$3=1,'Choix pédagogiques'!$C$3=2),$BN288=1),I288,IF(AND('Choix pédagogiques'!$C$3=3,$BO288=1),I288,""))</f>
        <v/>
      </c>
      <c r="AE288" s="22" t="str">
        <f t="shared" si="248"/>
        <v/>
      </c>
      <c r="AF288" s="21" t="str">
        <f t="shared" si="249"/>
        <v>Apprenant 276</v>
      </c>
      <c r="AG288" s="22" t="str">
        <f t="shared" si="223"/>
        <v/>
      </c>
      <c r="AH288" s="22" t="str">
        <f t="shared" si="224"/>
        <v/>
      </c>
      <c r="AI288" s="22" t="str">
        <f t="shared" si="225"/>
        <v/>
      </c>
      <c r="AJ288" s="22" t="str">
        <f t="shared" si="250"/>
        <v/>
      </c>
      <c r="AK288" s="21" t="str">
        <f t="shared" si="251"/>
        <v>Apprenant 276 ou 276'</v>
      </c>
      <c r="AL288" s="22" t="str">
        <f t="shared" si="226"/>
        <v/>
      </c>
      <c r="AM288" s="22" t="str">
        <f t="shared" si="227"/>
        <v/>
      </c>
      <c r="AN288" s="22" t="str">
        <f t="shared" si="228"/>
        <v/>
      </c>
      <c r="AO288" s="22" t="str">
        <f t="shared" si="252"/>
        <v/>
      </c>
      <c r="AQ288" s="21" t="str">
        <f t="shared" si="253"/>
        <v>Apprenant 276</v>
      </c>
      <c r="AR288" s="49" t="str">
        <f>IF(AND('Choix pédagogiques'!$C$4&lt;&gt;"?",'Choix pédagogiques'!$C$5&lt;&gt;"?",W288&lt;&gt;""),(W288-'Choix pédagogiques'!$C$4)/('Choix pédagogiques'!$C$5-'Choix pédagogiques'!$C$4),"")</f>
        <v/>
      </c>
      <c r="AS288" s="49" t="str">
        <f>IF(AND('Choix pédagogiques'!$C$4&lt;&gt;"?",'Choix pédagogiques'!$C$5&lt;&gt;"?",X288&lt;&gt;""),(X288-'Choix pédagogiques'!$C$4)/('Choix pédagogiques'!$C$5-'Choix pédagogiques'!$C$4),"")</f>
        <v/>
      </c>
      <c r="AT288" s="49" t="str">
        <f>IF(AND('Choix pédagogiques'!$C$4&lt;&gt;"?",'Choix pédagogiques'!$C$5&lt;&gt;"?",Y288&lt;&gt;""),(Y288-'Choix pédagogiques'!$C$4)/('Choix pédagogiques'!$C$5-'Choix pédagogiques'!$C$4),"")</f>
        <v/>
      </c>
      <c r="AU288" s="22" t="str">
        <f t="shared" si="254"/>
        <v/>
      </c>
      <c r="AV288" s="21" t="str">
        <f t="shared" si="255"/>
        <v>Apprenant 276 ou 276'</v>
      </c>
      <c r="AW288" s="49" t="str">
        <f>IF(AND('Choix pédagogiques'!$C$4&lt;&gt;"?",'Choix pédagogiques'!$C$5&lt;&gt;"?",AB288&lt;&gt;""),(AB288-'Choix pédagogiques'!$C$4)/('Choix pédagogiques'!$C$5-'Choix pédagogiques'!$C$4),"")</f>
        <v/>
      </c>
      <c r="AX288" s="49" t="str">
        <f>IF(AND('Choix pédagogiques'!$C$4&lt;&gt;"?",'Choix pédagogiques'!$C$5&lt;&gt;"?",AC288&lt;&gt;""),(AC288-'Choix pédagogiques'!$C$4)/('Choix pédagogiques'!$C$5-'Choix pédagogiques'!$C$4),"")</f>
        <v/>
      </c>
      <c r="AY288" s="49" t="str">
        <f>IF(AND('Choix pédagogiques'!$C$4&lt;&gt;"?",'Choix pédagogiques'!$C$5&lt;&gt;"?",AD288&lt;&gt;""),(AD288-'Choix pédagogiques'!$C$4)/('Choix pédagogiques'!$C$5-'Choix pédagogiques'!$C$4),"")</f>
        <v/>
      </c>
      <c r="AZ288" s="22" t="str">
        <f t="shared" si="256"/>
        <v/>
      </c>
      <c r="BA288" s="21" t="str">
        <f t="shared" si="257"/>
        <v>Apprenant 276</v>
      </c>
      <c r="BB288" s="49" t="str">
        <f t="shared" si="229"/>
        <v/>
      </c>
      <c r="BC288" s="49" t="str">
        <f t="shared" si="230"/>
        <v/>
      </c>
      <c r="BD288" s="49" t="str">
        <f t="shared" si="231"/>
        <v/>
      </c>
      <c r="BE288" s="22" t="str">
        <f t="shared" si="258"/>
        <v/>
      </c>
      <c r="BF288" s="21" t="str">
        <f t="shared" si="259"/>
        <v>Apprenant 276 ou 276'</v>
      </c>
      <c r="BG288" s="49" t="str">
        <f t="shared" si="232"/>
        <v/>
      </c>
      <c r="BH288" s="49" t="str">
        <f t="shared" si="233"/>
        <v/>
      </c>
      <c r="BI288" s="49" t="str">
        <f t="shared" si="234"/>
        <v/>
      </c>
      <c r="BJ288" s="22" t="str">
        <f t="shared" si="260"/>
        <v/>
      </c>
      <c r="BL288" s="21"/>
      <c r="BM288" s="21" t="str">
        <f>IF(OR(COUNT(B288:D1287)=0,AND('Choix pédagogiques'!$C$3&lt;&gt;1,'Choix pédagogiques'!$C$3&lt;&gt;2)),"",IF(AND(OR('Choix pédagogiques'!$C$3=1,'Choix pédagogiques'!$C$3=2),$B288&lt;&gt;"",$C288&lt;&gt;"",$D288&lt;&gt;""),1,0))</f>
        <v/>
      </c>
      <c r="BN288" s="21" t="str">
        <f>IF(OR(COUNT(G288:I1287)=0,AND('Choix pédagogiques'!$C$3&lt;&gt;1,'Choix pédagogiques'!$C$3&lt;&gt;2)),"",IF(AND(OR('Choix pédagogiques'!$C$3=1,'Choix pédagogiques'!$C$3=2),AND($G288&lt;&gt;"",$H288&lt;&gt;"",$I288&lt;&gt;"")),1,0))</f>
        <v/>
      </c>
      <c r="BO288" s="21" t="str">
        <f>IF(OR(COUNT(B288:D1287)=0,COUNT(G288:I1287)=0,'Choix pédagogiques'!C$3&lt;&gt;3),"",IF(AND('Choix pédagogiques'!$C$3=3,$B288&lt;&gt;"",$C288&lt;&gt;"",$D288&lt;&gt;"",$G288&lt;&gt;"",$H288&lt;&gt;"",$I288&lt;&gt;""),1,0))</f>
        <v/>
      </c>
      <c r="BR288" s="21">
        <v>124</v>
      </c>
      <c r="BS288" s="21">
        <v>1262</v>
      </c>
      <c r="BT288"/>
    </row>
    <row r="289" spans="1:72" s="23" customFormat="1" ht="18" customHeight="1" x14ac:dyDescent="0.3">
      <c r="A289" s="35" t="s">
        <v>279</v>
      </c>
      <c r="B289" s="37"/>
      <c r="C289" s="37"/>
      <c r="D289" s="37"/>
      <c r="E289" s="37"/>
      <c r="F289" s="35" t="s">
        <v>1287</v>
      </c>
      <c r="G289" s="37"/>
      <c r="H289" s="37"/>
      <c r="I289" s="37"/>
      <c r="J289" s="37"/>
      <c r="K289" s="21" t="str">
        <f t="shared" si="235"/>
        <v>Apprenant 277</v>
      </c>
      <c r="L289" s="22" t="str">
        <f t="shared" si="236"/>
        <v/>
      </c>
      <c r="M289" s="22" t="str">
        <f t="shared" si="237"/>
        <v/>
      </c>
      <c r="N289" s="22" t="str">
        <f t="shared" si="238"/>
        <v/>
      </c>
      <c r="O289" s="22" t="str">
        <f t="shared" si="239"/>
        <v/>
      </c>
      <c r="P289" s="21" t="str">
        <f t="shared" si="240"/>
        <v>Apprenant 277 ou 277'</v>
      </c>
      <c r="Q289" s="22" t="str">
        <f t="shared" si="241"/>
        <v/>
      </c>
      <c r="R289" s="22" t="str">
        <f t="shared" si="242"/>
        <v/>
      </c>
      <c r="S289" s="22" t="str">
        <f t="shared" si="243"/>
        <v/>
      </c>
      <c r="T289" s="22" t="str">
        <f t="shared" si="244"/>
        <v/>
      </c>
      <c r="V289" s="21" t="str">
        <f t="shared" si="245"/>
        <v>Apprenant 277</v>
      </c>
      <c r="W289" s="22" t="str">
        <f>IF(AND(OR('Choix pédagogiques'!$C$3=1,'Choix pédagogiques'!$C$3=2),$BM289=1),B289,IF(AND('Choix pédagogiques'!$C$3=3,$BO289=1),B289,""))</f>
        <v/>
      </c>
      <c r="X289" s="22" t="str">
        <f>IF(AND(OR('Choix pédagogiques'!$C$3=1,'Choix pédagogiques'!$C$3=2),$BM289=1),C289,IF(AND('Choix pédagogiques'!$C$3=3,$BO289=1),C289,""))</f>
        <v/>
      </c>
      <c r="Y289" s="22" t="str">
        <f>IF(AND(OR('Choix pédagogiques'!$C$3=1,'Choix pédagogiques'!$C$3=2),$BM289=1),D289,IF(AND('Choix pédagogiques'!$C$3=3,$BO289=1),D289,""))</f>
        <v/>
      </c>
      <c r="Z289" s="22" t="str">
        <f t="shared" si="246"/>
        <v/>
      </c>
      <c r="AA289" s="21" t="str">
        <f t="shared" si="247"/>
        <v>Apprenant 277 ou 277'</v>
      </c>
      <c r="AB289" s="22" t="str">
        <f>IF(AND(OR('Choix pédagogiques'!$C$3=1,'Choix pédagogiques'!$C$3=2),$BN289=1),G289,IF(AND('Choix pédagogiques'!$C$3=3,$BO289=1),G289,""))</f>
        <v/>
      </c>
      <c r="AC289" s="22" t="str">
        <f>IF(AND(OR('Choix pédagogiques'!$C$3=1,'Choix pédagogiques'!$C$3=2),$BN289=1),H289,IF(AND('Choix pédagogiques'!$C$3=3,$BO289=1),H289,""))</f>
        <v/>
      </c>
      <c r="AD289" s="22" t="str">
        <f>IF(AND(OR('Choix pédagogiques'!$C$3=1,'Choix pédagogiques'!$C$3=2),$BN289=1),I289,IF(AND('Choix pédagogiques'!$C$3=3,$BO289=1),I289,""))</f>
        <v/>
      </c>
      <c r="AE289" s="22" t="str">
        <f t="shared" si="248"/>
        <v/>
      </c>
      <c r="AF289" s="21" t="str">
        <f t="shared" si="249"/>
        <v>Apprenant 277</v>
      </c>
      <c r="AG289" s="22" t="str">
        <f t="shared" si="223"/>
        <v/>
      </c>
      <c r="AH289" s="22" t="str">
        <f t="shared" si="224"/>
        <v/>
      </c>
      <c r="AI289" s="22" t="str">
        <f t="shared" si="225"/>
        <v/>
      </c>
      <c r="AJ289" s="22" t="str">
        <f t="shared" si="250"/>
        <v/>
      </c>
      <c r="AK289" s="21" t="str">
        <f t="shared" si="251"/>
        <v>Apprenant 277 ou 277'</v>
      </c>
      <c r="AL289" s="22" t="str">
        <f t="shared" si="226"/>
        <v/>
      </c>
      <c r="AM289" s="22" t="str">
        <f t="shared" si="227"/>
        <v/>
      </c>
      <c r="AN289" s="22" t="str">
        <f t="shared" si="228"/>
        <v/>
      </c>
      <c r="AO289" s="22" t="str">
        <f t="shared" si="252"/>
        <v/>
      </c>
      <c r="AQ289" s="21" t="str">
        <f t="shared" si="253"/>
        <v>Apprenant 277</v>
      </c>
      <c r="AR289" s="49" t="str">
        <f>IF(AND('Choix pédagogiques'!$C$4&lt;&gt;"?",'Choix pédagogiques'!$C$5&lt;&gt;"?",W289&lt;&gt;""),(W289-'Choix pédagogiques'!$C$4)/('Choix pédagogiques'!$C$5-'Choix pédagogiques'!$C$4),"")</f>
        <v/>
      </c>
      <c r="AS289" s="49" t="str">
        <f>IF(AND('Choix pédagogiques'!$C$4&lt;&gt;"?",'Choix pédagogiques'!$C$5&lt;&gt;"?",X289&lt;&gt;""),(X289-'Choix pédagogiques'!$C$4)/('Choix pédagogiques'!$C$5-'Choix pédagogiques'!$C$4),"")</f>
        <v/>
      </c>
      <c r="AT289" s="49" t="str">
        <f>IF(AND('Choix pédagogiques'!$C$4&lt;&gt;"?",'Choix pédagogiques'!$C$5&lt;&gt;"?",Y289&lt;&gt;""),(Y289-'Choix pédagogiques'!$C$4)/('Choix pédagogiques'!$C$5-'Choix pédagogiques'!$C$4),"")</f>
        <v/>
      </c>
      <c r="AU289" s="22" t="str">
        <f t="shared" si="254"/>
        <v/>
      </c>
      <c r="AV289" s="21" t="str">
        <f t="shared" si="255"/>
        <v>Apprenant 277 ou 277'</v>
      </c>
      <c r="AW289" s="49" t="str">
        <f>IF(AND('Choix pédagogiques'!$C$4&lt;&gt;"?",'Choix pédagogiques'!$C$5&lt;&gt;"?",AB289&lt;&gt;""),(AB289-'Choix pédagogiques'!$C$4)/('Choix pédagogiques'!$C$5-'Choix pédagogiques'!$C$4),"")</f>
        <v/>
      </c>
      <c r="AX289" s="49" t="str">
        <f>IF(AND('Choix pédagogiques'!$C$4&lt;&gt;"?",'Choix pédagogiques'!$C$5&lt;&gt;"?",AC289&lt;&gt;""),(AC289-'Choix pédagogiques'!$C$4)/('Choix pédagogiques'!$C$5-'Choix pédagogiques'!$C$4),"")</f>
        <v/>
      </c>
      <c r="AY289" s="49" t="str">
        <f>IF(AND('Choix pédagogiques'!$C$4&lt;&gt;"?",'Choix pédagogiques'!$C$5&lt;&gt;"?",AD289&lt;&gt;""),(AD289-'Choix pédagogiques'!$C$4)/('Choix pédagogiques'!$C$5-'Choix pédagogiques'!$C$4),"")</f>
        <v/>
      </c>
      <c r="AZ289" s="22" t="str">
        <f t="shared" si="256"/>
        <v/>
      </c>
      <c r="BA289" s="21" t="str">
        <f t="shared" si="257"/>
        <v>Apprenant 277</v>
      </c>
      <c r="BB289" s="49" t="str">
        <f t="shared" si="229"/>
        <v/>
      </c>
      <c r="BC289" s="49" t="str">
        <f t="shared" si="230"/>
        <v/>
      </c>
      <c r="BD289" s="49" t="str">
        <f t="shared" si="231"/>
        <v/>
      </c>
      <c r="BE289" s="22" t="str">
        <f t="shared" si="258"/>
        <v/>
      </c>
      <c r="BF289" s="21" t="str">
        <f t="shared" si="259"/>
        <v>Apprenant 277 ou 277'</v>
      </c>
      <c r="BG289" s="49" t="str">
        <f t="shared" si="232"/>
        <v/>
      </c>
      <c r="BH289" s="49" t="str">
        <f t="shared" si="233"/>
        <v/>
      </c>
      <c r="BI289" s="49" t="str">
        <f t="shared" si="234"/>
        <v/>
      </c>
      <c r="BJ289" s="22" t="str">
        <f t="shared" si="260"/>
        <v/>
      </c>
      <c r="BL289" s="21"/>
      <c r="BM289" s="21" t="str">
        <f>IF(OR(COUNT(B289:D1288)=0,AND('Choix pédagogiques'!$C$3&lt;&gt;1,'Choix pédagogiques'!$C$3&lt;&gt;2)),"",IF(AND(OR('Choix pédagogiques'!$C$3=1,'Choix pédagogiques'!$C$3=2),$B289&lt;&gt;"",$C289&lt;&gt;"",$D289&lt;&gt;""),1,0))</f>
        <v/>
      </c>
      <c r="BN289" s="21" t="str">
        <f>IF(OR(COUNT(G289:I1288)=0,AND('Choix pédagogiques'!$C$3&lt;&gt;1,'Choix pédagogiques'!$C$3&lt;&gt;2)),"",IF(AND(OR('Choix pédagogiques'!$C$3=1,'Choix pédagogiques'!$C$3=2),AND($G289&lt;&gt;"",$H289&lt;&gt;"",$I289&lt;&gt;"")),1,0))</f>
        <v/>
      </c>
      <c r="BO289" s="21" t="str">
        <f>IF(OR(COUNT(B289:D1288)=0,COUNT(G289:I1288)=0,'Choix pédagogiques'!C$3&lt;&gt;3),"",IF(AND('Choix pédagogiques'!$C$3=3,$B289&lt;&gt;"",$C289&lt;&gt;"",$D289&lt;&gt;"",$G289&lt;&gt;"",$H289&lt;&gt;"",$I289&lt;&gt;""),1,0))</f>
        <v/>
      </c>
      <c r="BR289" s="21">
        <v>231</v>
      </c>
      <c r="BS289" s="21">
        <v>1903</v>
      </c>
      <c r="BT289"/>
    </row>
    <row r="290" spans="1:72" s="23" customFormat="1" ht="18" customHeight="1" x14ac:dyDescent="0.3">
      <c r="A290" s="35" t="s">
        <v>280</v>
      </c>
      <c r="B290" s="37"/>
      <c r="C290" s="37"/>
      <c r="D290" s="37"/>
      <c r="E290" s="37"/>
      <c r="F290" s="35" t="s">
        <v>1288</v>
      </c>
      <c r="G290" s="37"/>
      <c r="H290" s="37"/>
      <c r="I290" s="37"/>
      <c r="J290" s="37"/>
      <c r="K290" s="21" t="str">
        <f t="shared" si="235"/>
        <v>Apprenant 278</v>
      </c>
      <c r="L290" s="22" t="str">
        <f t="shared" si="236"/>
        <v/>
      </c>
      <c r="M290" s="22" t="str">
        <f t="shared" si="237"/>
        <v/>
      </c>
      <c r="N290" s="22" t="str">
        <f t="shared" si="238"/>
        <v/>
      </c>
      <c r="O290" s="22" t="str">
        <f t="shared" si="239"/>
        <v/>
      </c>
      <c r="P290" s="21" t="str">
        <f t="shared" si="240"/>
        <v>Apprenant 278 ou 278'</v>
      </c>
      <c r="Q290" s="22" t="str">
        <f t="shared" si="241"/>
        <v/>
      </c>
      <c r="R290" s="22" t="str">
        <f t="shared" si="242"/>
        <v/>
      </c>
      <c r="S290" s="22" t="str">
        <f t="shared" si="243"/>
        <v/>
      </c>
      <c r="T290" s="22" t="str">
        <f t="shared" si="244"/>
        <v/>
      </c>
      <c r="V290" s="21" t="str">
        <f t="shared" si="245"/>
        <v>Apprenant 278</v>
      </c>
      <c r="W290" s="22" t="str">
        <f>IF(AND(OR('Choix pédagogiques'!$C$3=1,'Choix pédagogiques'!$C$3=2),$BM290=1),B290,IF(AND('Choix pédagogiques'!$C$3=3,$BO290=1),B290,""))</f>
        <v/>
      </c>
      <c r="X290" s="22" t="str">
        <f>IF(AND(OR('Choix pédagogiques'!$C$3=1,'Choix pédagogiques'!$C$3=2),$BM290=1),C290,IF(AND('Choix pédagogiques'!$C$3=3,$BO290=1),C290,""))</f>
        <v/>
      </c>
      <c r="Y290" s="22" t="str">
        <f>IF(AND(OR('Choix pédagogiques'!$C$3=1,'Choix pédagogiques'!$C$3=2),$BM290=1),D290,IF(AND('Choix pédagogiques'!$C$3=3,$BO290=1),D290,""))</f>
        <v/>
      </c>
      <c r="Z290" s="22" t="str">
        <f t="shared" si="246"/>
        <v/>
      </c>
      <c r="AA290" s="21" t="str">
        <f t="shared" si="247"/>
        <v>Apprenant 278 ou 278'</v>
      </c>
      <c r="AB290" s="22" t="str">
        <f>IF(AND(OR('Choix pédagogiques'!$C$3=1,'Choix pédagogiques'!$C$3=2),$BN290=1),G290,IF(AND('Choix pédagogiques'!$C$3=3,$BO290=1),G290,""))</f>
        <v/>
      </c>
      <c r="AC290" s="22" t="str">
        <f>IF(AND(OR('Choix pédagogiques'!$C$3=1,'Choix pédagogiques'!$C$3=2),$BN290=1),H290,IF(AND('Choix pédagogiques'!$C$3=3,$BO290=1),H290,""))</f>
        <v/>
      </c>
      <c r="AD290" s="22" t="str">
        <f>IF(AND(OR('Choix pédagogiques'!$C$3=1,'Choix pédagogiques'!$C$3=2),$BN290=1),I290,IF(AND('Choix pédagogiques'!$C$3=3,$BO290=1),I290,""))</f>
        <v/>
      </c>
      <c r="AE290" s="22" t="str">
        <f t="shared" si="248"/>
        <v/>
      </c>
      <c r="AF290" s="21" t="str">
        <f t="shared" si="249"/>
        <v>Apprenant 278</v>
      </c>
      <c r="AG290" s="22" t="str">
        <f t="shared" si="223"/>
        <v/>
      </c>
      <c r="AH290" s="22" t="str">
        <f t="shared" si="224"/>
        <v/>
      </c>
      <c r="AI290" s="22" t="str">
        <f t="shared" si="225"/>
        <v/>
      </c>
      <c r="AJ290" s="22" t="str">
        <f t="shared" si="250"/>
        <v/>
      </c>
      <c r="AK290" s="21" t="str">
        <f t="shared" si="251"/>
        <v>Apprenant 278 ou 278'</v>
      </c>
      <c r="AL290" s="22" t="str">
        <f t="shared" si="226"/>
        <v/>
      </c>
      <c r="AM290" s="22" t="str">
        <f t="shared" si="227"/>
        <v/>
      </c>
      <c r="AN290" s="22" t="str">
        <f t="shared" si="228"/>
        <v/>
      </c>
      <c r="AO290" s="22" t="str">
        <f t="shared" si="252"/>
        <v/>
      </c>
      <c r="AQ290" s="21" t="str">
        <f t="shared" si="253"/>
        <v>Apprenant 278</v>
      </c>
      <c r="AR290" s="49" t="str">
        <f>IF(AND('Choix pédagogiques'!$C$4&lt;&gt;"?",'Choix pédagogiques'!$C$5&lt;&gt;"?",W290&lt;&gt;""),(W290-'Choix pédagogiques'!$C$4)/('Choix pédagogiques'!$C$5-'Choix pédagogiques'!$C$4),"")</f>
        <v/>
      </c>
      <c r="AS290" s="49" t="str">
        <f>IF(AND('Choix pédagogiques'!$C$4&lt;&gt;"?",'Choix pédagogiques'!$C$5&lt;&gt;"?",X290&lt;&gt;""),(X290-'Choix pédagogiques'!$C$4)/('Choix pédagogiques'!$C$5-'Choix pédagogiques'!$C$4),"")</f>
        <v/>
      </c>
      <c r="AT290" s="49" t="str">
        <f>IF(AND('Choix pédagogiques'!$C$4&lt;&gt;"?",'Choix pédagogiques'!$C$5&lt;&gt;"?",Y290&lt;&gt;""),(Y290-'Choix pédagogiques'!$C$4)/('Choix pédagogiques'!$C$5-'Choix pédagogiques'!$C$4),"")</f>
        <v/>
      </c>
      <c r="AU290" s="22" t="str">
        <f t="shared" si="254"/>
        <v/>
      </c>
      <c r="AV290" s="21" t="str">
        <f t="shared" si="255"/>
        <v>Apprenant 278 ou 278'</v>
      </c>
      <c r="AW290" s="49" t="str">
        <f>IF(AND('Choix pédagogiques'!$C$4&lt;&gt;"?",'Choix pédagogiques'!$C$5&lt;&gt;"?",AB290&lt;&gt;""),(AB290-'Choix pédagogiques'!$C$4)/('Choix pédagogiques'!$C$5-'Choix pédagogiques'!$C$4),"")</f>
        <v/>
      </c>
      <c r="AX290" s="49" t="str">
        <f>IF(AND('Choix pédagogiques'!$C$4&lt;&gt;"?",'Choix pédagogiques'!$C$5&lt;&gt;"?",AC290&lt;&gt;""),(AC290-'Choix pédagogiques'!$C$4)/('Choix pédagogiques'!$C$5-'Choix pédagogiques'!$C$4),"")</f>
        <v/>
      </c>
      <c r="AY290" s="49" t="str">
        <f>IF(AND('Choix pédagogiques'!$C$4&lt;&gt;"?",'Choix pédagogiques'!$C$5&lt;&gt;"?",AD290&lt;&gt;""),(AD290-'Choix pédagogiques'!$C$4)/('Choix pédagogiques'!$C$5-'Choix pédagogiques'!$C$4),"")</f>
        <v/>
      </c>
      <c r="AZ290" s="22" t="str">
        <f t="shared" si="256"/>
        <v/>
      </c>
      <c r="BA290" s="21" t="str">
        <f t="shared" si="257"/>
        <v>Apprenant 278</v>
      </c>
      <c r="BB290" s="49" t="str">
        <f t="shared" si="229"/>
        <v/>
      </c>
      <c r="BC290" s="49" t="str">
        <f t="shared" si="230"/>
        <v/>
      </c>
      <c r="BD290" s="49" t="str">
        <f t="shared" si="231"/>
        <v/>
      </c>
      <c r="BE290" s="22" t="str">
        <f t="shared" si="258"/>
        <v/>
      </c>
      <c r="BF290" s="21" t="str">
        <f t="shared" si="259"/>
        <v>Apprenant 278 ou 278'</v>
      </c>
      <c r="BG290" s="49" t="str">
        <f t="shared" si="232"/>
        <v/>
      </c>
      <c r="BH290" s="49" t="str">
        <f t="shared" si="233"/>
        <v/>
      </c>
      <c r="BI290" s="49" t="str">
        <f t="shared" si="234"/>
        <v/>
      </c>
      <c r="BJ290" s="22" t="str">
        <f t="shared" si="260"/>
        <v/>
      </c>
      <c r="BL290" s="21"/>
      <c r="BM290" s="21" t="str">
        <f>IF(OR(COUNT(B290:D1289)=0,AND('Choix pédagogiques'!$C$3&lt;&gt;1,'Choix pédagogiques'!$C$3&lt;&gt;2)),"",IF(AND(OR('Choix pédagogiques'!$C$3=1,'Choix pédagogiques'!$C$3=2),$B290&lt;&gt;"",$C290&lt;&gt;"",$D290&lt;&gt;""),1,0))</f>
        <v/>
      </c>
      <c r="BN290" s="21" t="str">
        <f>IF(OR(COUNT(G290:I1289)=0,AND('Choix pédagogiques'!$C$3&lt;&gt;1,'Choix pédagogiques'!$C$3&lt;&gt;2)),"",IF(AND(OR('Choix pédagogiques'!$C$3=1,'Choix pédagogiques'!$C$3=2),AND($G290&lt;&gt;"",$H290&lt;&gt;"",$I290&lt;&gt;"")),1,0))</f>
        <v/>
      </c>
      <c r="BO290" s="21" t="str">
        <f>IF(OR(COUNT(B290:D1289)=0,COUNT(G290:I1289)=0,'Choix pédagogiques'!C$3&lt;&gt;3),"",IF(AND('Choix pédagogiques'!$C$3=3,$B290&lt;&gt;"",$C290&lt;&gt;"",$D290&lt;&gt;"",$G290&lt;&gt;"",$H290&lt;&gt;"",$I290&lt;&gt;""),1,0))</f>
        <v/>
      </c>
      <c r="BR290" s="21">
        <v>396</v>
      </c>
      <c r="BS290" s="21">
        <v>1757</v>
      </c>
      <c r="BT290"/>
    </row>
    <row r="291" spans="1:72" s="23" customFormat="1" ht="18" customHeight="1" x14ac:dyDescent="0.3">
      <c r="A291" s="35" t="s">
        <v>281</v>
      </c>
      <c r="B291" s="37"/>
      <c r="C291" s="37"/>
      <c r="D291" s="37"/>
      <c r="E291" s="37"/>
      <c r="F291" s="35" t="s">
        <v>1289</v>
      </c>
      <c r="G291" s="37"/>
      <c r="H291" s="37"/>
      <c r="I291" s="37"/>
      <c r="J291" s="37"/>
      <c r="K291" s="21" t="str">
        <f t="shared" si="235"/>
        <v>Apprenant 279</v>
      </c>
      <c r="L291" s="22" t="str">
        <f t="shared" si="236"/>
        <v/>
      </c>
      <c r="M291" s="22" t="str">
        <f t="shared" si="237"/>
        <v/>
      </c>
      <c r="N291" s="22" t="str">
        <f t="shared" si="238"/>
        <v/>
      </c>
      <c r="O291" s="22" t="str">
        <f t="shared" si="239"/>
        <v/>
      </c>
      <c r="P291" s="21" t="str">
        <f t="shared" si="240"/>
        <v>Apprenant 279 ou 279'</v>
      </c>
      <c r="Q291" s="22" t="str">
        <f t="shared" si="241"/>
        <v/>
      </c>
      <c r="R291" s="22" t="str">
        <f t="shared" si="242"/>
        <v/>
      </c>
      <c r="S291" s="22" t="str">
        <f t="shared" si="243"/>
        <v/>
      </c>
      <c r="T291" s="22" t="str">
        <f t="shared" si="244"/>
        <v/>
      </c>
      <c r="V291" s="21" t="str">
        <f t="shared" si="245"/>
        <v>Apprenant 279</v>
      </c>
      <c r="W291" s="22" t="str">
        <f>IF(AND(OR('Choix pédagogiques'!$C$3=1,'Choix pédagogiques'!$C$3=2),$BM291=1),B291,IF(AND('Choix pédagogiques'!$C$3=3,$BO291=1),B291,""))</f>
        <v/>
      </c>
      <c r="X291" s="22" t="str">
        <f>IF(AND(OR('Choix pédagogiques'!$C$3=1,'Choix pédagogiques'!$C$3=2),$BM291=1),C291,IF(AND('Choix pédagogiques'!$C$3=3,$BO291=1),C291,""))</f>
        <v/>
      </c>
      <c r="Y291" s="22" t="str">
        <f>IF(AND(OR('Choix pédagogiques'!$C$3=1,'Choix pédagogiques'!$C$3=2),$BM291=1),D291,IF(AND('Choix pédagogiques'!$C$3=3,$BO291=1),D291,""))</f>
        <v/>
      </c>
      <c r="Z291" s="22" t="str">
        <f t="shared" si="246"/>
        <v/>
      </c>
      <c r="AA291" s="21" t="str">
        <f t="shared" si="247"/>
        <v>Apprenant 279 ou 279'</v>
      </c>
      <c r="AB291" s="22" t="str">
        <f>IF(AND(OR('Choix pédagogiques'!$C$3=1,'Choix pédagogiques'!$C$3=2),$BN291=1),G291,IF(AND('Choix pédagogiques'!$C$3=3,$BO291=1),G291,""))</f>
        <v/>
      </c>
      <c r="AC291" s="22" t="str">
        <f>IF(AND(OR('Choix pédagogiques'!$C$3=1,'Choix pédagogiques'!$C$3=2),$BN291=1),H291,IF(AND('Choix pédagogiques'!$C$3=3,$BO291=1),H291,""))</f>
        <v/>
      </c>
      <c r="AD291" s="22" t="str">
        <f>IF(AND(OR('Choix pédagogiques'!$C$3=1,'Choix pédagogiques'!$C$3=2),$BN291=1),I291,IF(AND('Choix pédagogiques'!$C$3=3,$BO291=1),I291,""))</f>
        <v/>
      </c>
      <c r="AE291" s="22" t="str">
        <f t="shared" si="248"/>
        <v/>
      </c>
      <c r="AF291" s="21" t="str">
        <f t="shared" si="249"/>
        <v>Apprenant 279</v>
      </c>
      <c r="AG291" s="22" t="str">
        <f t="shared" si="223"/>
        <v/>
      </c>
      <c r="AH291" s="22" t="str">
        <f t="shared" si="224"/>
        <v/>
      </c>
      <c r="AI291" s="22" t="str">
        <f t="shared" si="225"/>
        <v/>
      </c>
      <c r="AJ291" s="22" t="str">
        <f t="shared" si="250"/>
        <v/>
      </c>
      <c r="AK291" s="21" t="str">
        <f t="shared" si="251"/>
        <v>Apprenant 279 ou 279'</v>
      </c>
      <c r="AL291" s="22" t="str">
        <f t="shared" si="226"/>
        <v/>
      </c>
      <c r="AM291" s="22" t="str">
        <f t="shared" si="227"/>
        <v/>
      </c>
      <c r="AN291" s="22" t="str">
        <f t="shared" si="228"/>
        <v/>
      </c>
      <c r="AO291" s="22" t="str">
        <f t="shared" si="252"/>
        <v/>
      </c>
      <c r="AQ291" s="21" t="str">
        <f t="shared" si="253"/>
        <v>Apprenant 279</v>
      </c>
      <c r="AR291" s="49" t="str">
        <f>IF(AND('Choix pédagogiques'!$C$4&lt;&gt;"?",'Choix pédagogiques'!$C$5&lt;&gt;"?",W291&lt;&gt;""),(W291-'Choix pédagogiques'!$C$4)/('Choix pédagogiques'!$C$5-'Choix pédagogiques'!$C$4),"")</f>
        <v/>
      </c>
      <c r="AS291" s="49" t="str">
        <f>IF(AND('Choix pédagogiques'!$C$4&lt;&gt;"?",'Choix pédagogiques'!$C$5&lt;&gt;"?",X291&lt;&gt;""),(X291-'Choix pédagogiques'!$C$4)/('Choix pédagogiques'!$C$5-'Choix pédagogiques'!$C$4),"")</f>
        <v/>
      </c>
      <c r="AT291" s="49" t="str">
        <f>IF(AND('Choix pédagogiques'!$C$4&lt;&gt;"?",'Choix pédagogiques'!$C$5&lt;&gt;"?",Y291&lt;&gt;""),(Y291-'Choix pédagogiques'!$C$4)/('Choix pédagogiques'!$C$5-'Choix pédagogiques'!$C$4),"")</f>
        <v/>
      </c>
      <c r="AU291" s="22" t="str">
        <f t="shared" si="254"/>
        <v/>
      </c>
      <c r="AV291" s="21" t="str">
        <f t="shared" si="255"/>
        <v>Apprenant 279 ou 279'</v>
      </c>
      <c r="AW291" s="49" t="str">
        <f>IF(AND('Choix pédagogiques'!$C$4&lt;&gt;"?",'Choix pédagogiques'!$C$5&lt;&gt;"?",AB291&lt;&gt;""),(AB291-'Choix pédagogiques'!$C$4)/('Choix pédagogiques'!$C$5-'Choix pédagogiques'!$C$4),"")</f>
        <v/>
      </c>
      <c r="AX291" s="49" t="str">
        <f>IF(AND('Choix pédagogiques'!$C$4&lt;&gt;"?",'Choix pédagogiques'!$C$5&lt;&gt;"?",AC291&lt;&gt;""),(AC291-'Choix pédagogiques'!$C$4)/('Choix pédagogiques'!$C$5-'Choix pédagogiques'!$C$4),"")</f>
        <v/>
      </c>
      <c r="AY291" s="49" t="str">
        <f>IF(AND('Choix pédagogiques'!$C$4&lt;&gt;"?",'Choix pédagogiques'!$C$5&lt;&gt;"?",AD291&lt;&gt;""),(AD291-'Choix pédagogiques'!$C$4)/('Choix pédagogiques'!$C$5-'Choix pédagogiques'!$C$4),"")</f>
        <v/>
      </c>
      <c r="AZ291" s="22" t="str">
        <f t="shared" si="256"/>
        <v/>
      </c>
      <c r="BA291" s="21" t="str">
        <f t="shared" si="257"/>
        <v>Apprenant 279</v>
      </c>
      <c r="BB291" s="49" t="str">
        <f t="shared" si="229"/>
        <v/>
      </c>
      <c r="BC291" s="49" t="str">
        <f t="shared" si="230"/>
        <v/>
      </c>
      <c r="BD291" s="49" t="str">
        <f t="shared" si="231"/>
        <v/>
      </c>
      <c r="BE291" s="22" t="str">
        <f t="shared" si="258"/>
        <v/>
      </c>
      <c r="BF291" s="21" t="str">
        <f t="shared" si="259"/>
        <v>Apprenant 279 ou 279'</v>
      </c>
      <c r="BG291" s="49" t="str">
        <f t="shared" si="232"/>
        <v/>
      </c>
      <c r="BH291" s="49" t="str">
        <f t="shared" si="233"/>
        <v/>
      </c>
      <c r="BI291" s="49" t="str">
        <f t="shared" si="234"/>
        <v/>
      </c>
      <c r="BJ291" s="22" t="str">
        <f t="shared" si="260"/>
        <v/>
      </c>
      <c r="BL291" s="21"/>
      <c r="BM291" s="21" t="str">
        <f>IF(OR(COUNT(B291:D1290)=0,AND('Choix pédagogiques'!$C$3&lt;&gt;1,'Choix pédagogiques'!$C$3&lt;&gt;2)),"",IF(AND(OR('Choix pédagogiques'!$C$3=1,'Choix pédagogiques'!$C$3=2),$B291&lt;&gt;"",$C291&lt;&gt;"",$D291&lt;&gt;""),1,0))</f>
        <v/>
      </c>
      <c r="BN291" s="21" t="str">
        <f>IF(OR(COUNT(G291:I1290)=0,AND('Choix pédagogiques'!$C$3&lt;&gt;1,'Choix pédagogiques'!$C$3&lt;&gt;2)),"",IF(AND(OR('Choix pédagogiques'!$C$3=1,'Choix pédagogiques'!$C$3=2),AND($G291&lt;&gt;"",$H291&lt;&gt;"",$I291&lt;&gt;"")),1,0))</f>
        <v/>
      </c>
      <c r="BO291" s="21" t="str">
        <f>IF(OR(COUNT(B291:D1290)=0,COUNT(G291:I1290)=0,'Choix pédagogiques'!C$3&lt;&gt;3),"",IF(AND('Choix pédagogiques'!$C$3=3,$B291&lt;&gt;"",$C291&lt;&gt;"",$D291&lt;&gt;"",$G291&lt;&gt;"",$H291&lt;&gt;"",$I291&lt;&gt;""),1,0))</f>
        <v/>
      </c>
      <c r="BR291" s="21">
        <v>955</v>
      </c>
      <c r="BS291" s="21">
        <v>1081</v>
      </c>
      <c r="BT291"/>
    </row>
    <row r="292" spans="1:72" s="23" customFormat="1" ht="18" customHeight="1" x14ac:dyDescent="0.3">
      <c r="A292" s="35" t="s">
        <v>282</v>
      </c>
      <c r="B292" s="37"/>
      <c r="C292" s="37"/>
      <c r="D292" s="37"/>
      <c r="E292" s="37"/>
      <c r="F292" s="35" t="s">
        <v>1290</v>
      </c>
      <c r="G292" s="37"/>
      <c r="H292" s="37"/>
      <c r="I292" s="37"/>
      <c r="J292" s="37"/>
      <c r="K292" s="21" t="str">
        <f t="shared" si="235"/>
        <v>Apprenant 280</v>
      </c>
      <c r="L292" s="22" t="str">
        <f t="shared" si="236"/>
        <v/>
      </c>
      <c r="M292" s="22" t="str">
        <f t="shared" si="237"/>
        <v/>
      </c>
      <c r="N292" s="22" t="str">
        <f t="shared" si="238"/>
        <v/>
      </c>
      <c r="O292" s="22" t="str">
        <f t="shared" si="239"/>
        <v/>
      </c>
      <c r="P292" s="21" t="str">
        <f t="shared" si="240"/>
        <v>Apprenant 280 ou 280'</v>
      </c>
      <c r="Q292" s="22" t="str">
        <f t="shared" si="241"/>
        <v/>
      </c>
      <c r="R292" s="22" t="str">
        <f t="shared" si="242"/>
        <v/>
      </c>
      <c r="S292" s="22" t="str">
        <f t="shared" si="243"/>
        <v/>
      </c>
      <c r="T292" s="22" t="str">
        <f t="shared" si="244"/>
        <v/>
      </c>
      <c r="V292" s="21" t="str">
        <f t="shared" si="245"/>
        <v>Apprenant 280</v>
      </c>
      <c r="W292" s="22" t="str">
        <f>IF(AND(OR('Choix pédagogiques'!$C$3=1,'Choix pédagogiques'!$C$3=2),$BM292=1),B292,IF(AND('Choix pédagogiques'!$C$3=3,$BO292=1),B292,""))</f>
        <v/>
      </c>
      <c r="X292" s="22" t="str">
        <f>IF(AND(OR('Choix pédagogiques'!$C$3=1,'Choix pédagogiques'!$C$3=2),$BM292=1),C292,IF(AND('Choix pédagogiques'!$C$3=3,$BO292=1),C292,""))</f>
        <v/>
      </c>
      <c r="Y292" s="22" t="str">
        <f>IF(AND(OR('Choix pédagogiques'!$C$3=1,'Choix pédagogiques'!$C$3=2),$BM292=1),D292,IF(AND('Choix pédagogiques'!$C$3=3,$BO292=1),D292,""))</f>
        <v/>
      </c>
      <c r="Z292" s="22" t="str">
        <f t="shared" si="246"/>
        <v/>
      </c>
      <c r="AA292" s="21" t="str">
        <f t="shared" si="247"/>
        <v>Apprenant 280 ou 280'</v>
      </c>
      <c r="AB292" s="22" t="str">
        <f>IF(AND(OR('Choix pédagogiques'!$C$3=1,'Choix pédagogiques'!$C$3=2),$BN292=1),G292,IF(AND('Choix pédagogiques'!$C$3=3,$BO292=1),G292,""))</f>
        <v/>
      </c>
      <c r="AC292" s="22" t="str">
        <f>IF(AND(OR('Choix pédagogiques'!$C$3=1,'Choix pédagogiques'!$C$3=2),$BN292=1),H292,IF(AND('Choix pédagogiques'!$C$3=3,$BO292=1),H292,""))</f>
        <v/>
      </c>
      <c r="AD292" s="22" t="str">
        <f>IF(AND(OR('Choix pédagogiques'!$C$3=1,'Choix pédagogiques'!$C$3=2),$BN292=1),I292,IF(AND('Choix pédagogiques'!$C$3=3,$BO292=1),I292,""))</f>
        <v/>
      </c>
      <c r="AE292" s="22" t="str">
        <f t="shared" si="248"/>
        <v/>
      </c>
      <c r="AF292" s="21" t="str">
        <f t="shared" si="249"/>
        <v>Apprenant 280</v>
      </c>
      <c r="AG292" s="22" t="str">
        <f t="shared" si="223"/>
        <v/>
      </c>
      <c r="AH292" s="22" t="str">
        <f t="shared" si="224"/>
        <v/>
      </c>
      <c r="AI292" s="22" t="str">
        <f t="shared" si="225"/>
        <v/>
      </c>
      <c r="AJ292" s="22" t="str">
        <f t="shared" si="250"/>
        <v/>
      </c>
      <c r="AK292" s="21" t="str">
        <f t="shared" si="251"/>
        <v>Apprenant 280 ou 280'</v>
      </c>
      <c r="AL292" s="22" t="str">
        <f t="shared" si="226"/>
        <v/>
      </c>
      <c r="AM292" s="22" t="str">
        <f t="shared" si="227"/>
        <v/>
      </c>
      <c r="AN292" s="22" t="str">
        <f t="shared" si="228"/>
        <v/>
      </c>
      <c r="AO292" s="22" t="str">
        <f t="shared" si="252"/>
        <v/>
      </c>
      <c r="AQ292" s="21" t="str">
        <f t="shared" si="253"/>
        <v>Apprenant 280</v>
      </c>
      <c r="AR292" s="49" t="str">
        <f>IF(AND('Choix pédagogiques'!$C$4&lt;&gt;"?",'Choix pédagogiques'!$C$5&lt;&gt;"?",W292&lt;&gt;""),(W292-'Choix pédagogiques'!$C$4)/('Choix pédagogiques'!$C$5-'Choix pédagogiques'!$C$4),"")</f>
        <v/>
      </c>
      <c r="AS292" s="49" t="str">
        <f>IF(AND('Choix pédagogiques'!$C$4&lt;&gt;"?",'Choix pédagogiques'!$C$5&lt;&gt;"?",X292&lt;&gt;""),(X292-'Choix pédagogiques'!$C$4)/('Choix pédagogiques'!$C$5-'Choix pédagogiques'!$C$4),"")</f>
        <v/>
      </c>
      <c r="AT292" s="49" t="str">
        <f>IF(AND('Choix pédagogiques'!$C$4&lt;&gt;"?",'Choix pédagogiques'!$C$5&lt;&gt;"?",Y292&lt;&gt;""),(Y292-'Choix pédagogiques'!$C$4)/('Choix pédagogiques'!$C$5-'Choix pédagogiques'!$C$4),"")</f>
        <v/>
      </c>
      <c r="AU292" s="22" t="str">
        <f t="shared" si="254"/>
        <v/>
      </c>
      <c r="AV292" s="21" t="str">
        <f t="shared" si="255"/>
        <v>Apprenant 280 ou 280'</v>
      </c>
      <c r="AW292" s="49" t="str">
        <f>IF(AND('Choix pédagogiques'!$C$4&lt;&gt;"?",'Choix pédagogiques'!$C$5&lt;&gt;"?",AB292&lt;&gt;""),(AB292-'Choix pédagogiques'!$C$4)/('Choix pédagogiques'!$C$5-'Choix pédagogiques'!$C$4),"")</f>
        <v/>
      </c>
      <c r="AX292" s="49" t="str">
        <f>IF(AND('Choix pédagogiques'!$C$4&lt;&gt;"?",'Choix pédagogiques'!$C$5&lt;&gt;"?",AC292&lt;&gt;""),(AC292-'Choix pédagogiques'!$C$4)/('Choix pédagogiques'!$C$5-'Choix pédagogiques'!$C$4),"")</f>
        <v/>
      </c>
      <c r="AY292" s="49" t="str">
        <f>IF(AND('Choix pédagogiques'!$C$4&lt;&gt;"?",'Choix pédagogiques'!$C$5&lt;&gt;"?",AD292&lt;&gt;""),(AD292-'Choix pédagogiques'!$C$4)/('Choix pédagogiques'!$C$5-'Choix pédagogiques'!$C$4),"")</f>
        <v/>
      </c>
      <c r="AZ292" s="22" t="str">
        <f t="shared" si="256"/>
        <v/>
      </c>
      <c r="BA292" s="21" t="str">
        <f t="shared" si="257"/>
        <v>Apprenant 280</v>
      </c>
      <c r="BB292" s="49" t="str">
        <f t="shared" si="229"/>
        <v/>
      </c>
      <c r="BC292" s="49" t="str">
        <f t="shared" si="230"/>
        <v/>
      </c>
      <c r="BD292" s="49" t="str">
        <f t="shared" si="231"/>
        <v/>
      </c>
      <c r="BE292" s="22" t="str">
        <f t="shared" si="258"/>
        <v/>
      </c>
      <c r="BF292" s="21" t="str">
        <f t="shared" si="259"/>
        <v>Apprenant 280 ou 280'</v>
      </c>
      <c r="BG292" s="49" t="str">
        <f t="shared" si="232"/>
        <v/>
      </c>
      <c r="BH292" s="49" t="str">
        <f t="shared" si="233"/>
        <v/>
      </c>
      <c r="BI292" s="49" t="str">
        <f t="shared" si="234"/>
        <v/>
      </c>
      <c r="BJ292" s="22" t="str">
        <f t="shared" si="260"/>
        <v/>
      </c>
      <c r="BL292" s="21"/>
      <c r="BM292" s="21" t="str">
        <f>IF(OR(COUNT(B292:D1291)=0,AND('Choix pédagogiques'!$C$3&lt;&gt;1,'Choix pédagogiques'!$C$3&lt;&gt;2)),"",IF(AND(OR('Choix pédagogiques'!$C$3=1,'Choix pédagogiques'!$C$3=2),$B292&lt;&gt;"",$C292&lt;&gt;"",$D292&lt;&gt;""),1,0))</f>
        <v/>
      </c>
      <c r="BN292" s="21" t="str">
        <f>IF(OR(COUNT(G292:I1291)=0,AND('Choix pédagogiques'!$C$3&lt;&gt;1,'Choix pédagogiques'!$C$3&lt;&gt;2)),"",IF(AND(OR('Choix pédagogiques'!$C$3=1,'Choix pédagogiques'!$C$3=2),AND($G292&lt;&gt;"",$H292&lt;&gt;"",$I292&lt;&gt;"")),1,0))</f>
        <v/>
      </c>
      <c r="BO292" s="21" t="str">
        <f>IF(OR(COUNT(B292:D1291)=0,COUNT(G292:I1291)=0,'Choix pédagogiques'!C$3&lt;&gt;3),"",IF(AND('Choix pédagogiques'!$C$3=3,$B292&lt;&gt;"",$C292&lt;&gt;"",$D292&lt;&gt;"",$G292&lt;&gt;"",$H292&lt;&gt;"",$I292&lt;&gt;""),1,0))</f>
        <v/>
      </c>
      <c r="BR292" s="21">
        <v>913</v>
      </c>
      <c r="BS292" s="21">
        <v>1196</v>
      </c>
      <c r="BT292"/>
    </row>
    <row r="293" spans="1:72" s="23" customFormat="1" ht="18" customHeight="1" x14ac:dyDescent="0.3">
      <c r="A293" s="35" t="s">
        <v>283</v>
      </c>
      <c r="B293" s="37"/>
      <c r="C293" s="37"/>
      <c r="D293" s="37"/>
      <c r="E293" s="37"/>
      <c r="F293" s="35" t="s">
        <v>1291</v>
      </c>
      <c r="G293" s="37"/>
      <c r="H293" s="37"/>
      <c r="I293" s="37"/>
      <c r="J293" s="37"/>
      <c r="K293" s="21" t="str">
        <f t="shared" si="235"/>
        <v>Apprenant 281</v>
      </c>
      <c r="L293" s="22" t="str">
        <f t="shared" si="236"/>
        <v/>
      </c>
      <c r="M293" s="22" t="str">
        <f t="shared" si="237"/>
        <v/>
      </c>
      <c r="N293" s="22" t="str">
        <f t="shared" si="238"/>
        <v/>
      </c>
      <c r="O293" s="22" t="str">
        <f t="shared" si="239"/>
        <v/>
      </c>
      <c r="P293" s="21" t="str">
        <f t="shared" si="240"/>
        <v>Apprenant 281 ou 281'</v>
      </c>
      <c r="Q293" s="22" t="str">
        <f t="shared" si="241"/>
        <v/>
      </c>
      <c r="R293" s="22" t="str">
        <f t="shared" si="242"/>
        <v/>
      </c>
      <c r="S293" s="22" t="str">
        <f t="shared" si="243"/>
        <v/>
      </c>
      <c r="T293" s="22" t="str">
        <f t="shared" si="244"/>
        <v/>
      </c>
      <c r="V293" s="21" t="str">
        <f t="shared" si="245"/>
        <v>Apprenant 281</v>
      </c>
      <c r="W293" s="22" t="str">
        <f>IF(AND(OR('Choix pédagogiques'!$C$3=1,'Choix pédagogiques'!$C$3=2),$BM293=1),B293,IF(AND('Choix pédagogiques'!$C$3=3,$BO293=1),B293,""))</f>
        <v/>
      </c>
      <c r="X293" s="22" t="str">
        <f>IF(AND(OR('Choix pédagogiques'!$C$3=1,'Choix pédagogiques'!$C$3=2),$BM293=1),C293,IF(AND('Choix pédagogiques'!$C$3=3,$BO293=1),C293,""))</f>
        <v/>
      </c>
      <c r="Y293" s="22" t="str">
        <f>IF(AND(OR('Choix pédagogiques'!$C$3=1,'Choix pédagogiques'!$C$3=2),$BM293=1),D293,IF(AND('Choix pédagogiques'!$C$3=3,$BO293=1),D293,""))</f>
        <v/>
      </c>
      <c r="Z293" s="22" t="str">
        <f t="shared" si="246"/>
        <v/>
      </c>
      <c r="AA293" s="21" t="str">
        <f t="shared" si="247"/>
        <v>Apprenant 281 ou 281'</v>
      </c>
      <c r="AB293" s="22" t="str">
        <f>IF(AND(OR('Choix pédagogiques'!$C$3=1,'Choix pédagogiques'!$C$3=2),$BN293=1),G293,IF(AND('Choix pédagogiques'!$C$3=3,$BO293=1),G293,""))</f>
        <v/>
      </c>
      <c r="AC293" s="22" t="str">
        <f>IF(AND(OR('Choix pédagogiques'!$C$3=1,'Choix pédagogiques'!$C$3=2),$BN293=1),H293,IF(AND('Choix pédagogiques'!$C$3=3,$BO293=1),H293,""))</f>
        <v/>
      </c>
      <c r="AD293" s="22" t="str">
        <f>IF(AND(OR('Choix pédagogiques'!$C$3=1,'Choix pédagogiques'!$C$3=2),$BN293=1),I293,IF(AND('Choix pédagogiques'!$C$3=3,$BO293=1),I293,""))</f>
        <v/>
      </c>
      <c r="AE293" s="22" t="str">
        <f t="shared" si="248"/>
        <v/>
      </c>
      <c r="AF293" s="21" t="str">
        <f t="shared" si="249"/>
        <v>Apprenant 281</v>
      </c>
      <c r="AG293" s="22" t="str">
        <f t="shared" si="223"/>
        <v/>
      </c>
      <c r="AH293" s="22" t="str">
        <f t="shared" si="224"/>
        <v/>
      </c>
      <c r="AI293" s="22" t="str">
        <f t="shared" si="225"/>
        <v/>
      </c>
      <c r="AJ293" s="22" t="str">
        <f t="shared" si="250"/>
        <v/>
      </c>
      <c r="AK293" s="21" t="str">
        <f t="shared" si="251"/>
        <v>Apprenant 281 ou 281'</v>
      </c>
      <c r="AL293" s="22" t="str">
        <f t="shared" si="226"/>
        <v/>
      </c>
      <c r="AM293" s="22" t="str">
        <f t="shared" si="227"/>
        <v/>
      </c>
      <c r="AN293" s="22" t="str">
        <f t="shared" si="228"/>
        <v/>
      </c>
      <c r="AO293" s="22" t="str">
        <f t="shared" si="252"/>
        <v/>
      </c>
      <c r="AQ293" s="21" t="str">
        <f t="shared" si="253"/>
        <v>Apprenant 281</v>
      </c>
      <c r="AR293" s="49" t="str">
        <f>IF(AND('Choix pédagogiques'!$C$4&lt;&gt;"?",'Choix pédagogiques'!$C$5&lt;&gt;"?",W293&lt;&gt;""),(W293-'Choix pédagogiques'!$C$4)/('Choix pédagogiques'!$C$5-'Choix pédagogiques'!$C$4),"")</f>
        <v/>
      </c>
      <c r="AS293" s="49" t="str">
        <f>IF(AND('Choix pédagogiques'!$C$4&lt;&gt;"?",'Choix pédagogiques'!$C$5&lt;&gt;"?",X293&lt;&gt;""),(X293-'Choix pédagogiques'!$C$4)/('Choix pédagogiques'!$C$5-'Choix pédagogiques'!$C$4),"")</f>
        <v/>
      </c>
      <c r="AT293" s="49" t="str">
        <f>IF(AND('Choix pédagogiques'!$C$4&lt;&gt;"?",'Choix pédagogiques'!$C$5&lt;&gt;"?",Y293&lt;&gt;""),(Y293-'Choix pédagogiques'!$C$4)/('Choix pédagogiques'!$C$5-'Choix pédagogiques'!$C$4),"")</f>
        <v/>
      </c>
      <c r="AU293" s="22" t="str">
        <f t="shared" si="254"/>
        <v/>
      </c>
      <c r="AV293" s="21" t="str">
        <f t="shared" si="255"/>
        <v>Apprenant 281 ou 281'</v>
      </c>
      <c r="AW293" s="49" t="str">
        <f>IF(AND('Choix pédagogiques'!$C$4&lt;&gt;"?",'Choix pédagogiques'!$C$5&lt;&gt;"?",AB293&lt;&gt;""),(AB293-'Choix pédagogiques'!$C$4)/('Choix pédagogiques'!$C$5-'Choix pédagogiques'!$C$4),"")</f>
        <v/>
      </c>
      <c r="AX293" s="49" t="str">
        <f>IF(AND('Choix pédagogiques'!$C$4&lt;&gt;"?",'Choix pédagogiques'!$C$5&lt;&gt;"?",AC293&lt;&gt;""),(AC293-'Choix pédagogiques'!$C$4)/('Choix pédagogiques'!$C$5-'Choix pédagogiques'!$C$4),"")</f>
        <v/>
      </c>
      <c r="AY293" s="49" t="str">
        <f>IF(AND('Choix pédagogiques'!$C$4&lt;&gt;"?",'Choix pédagogiques'!$C$5&lt;&gt;"?",AD293&lt;&gt;""),(AD293-'Choix pédagogiques'!$C$4)/('Choix pédagogiques'!$C$5-'Choix pédagogiques'!$C$4),"")</f>
        <v/>
      </c>
      <c r="AZ293" s="22" t="str">
        <f t="shared" si="256"/>
        <v/>
      </c>
      <c r="BA293" s="21" t="str">
        <f t="shared" si="257"/>
        <v>Apprenant 281</v>
      </c>
      <c r="BB293" s="49" t="str">
        <f t="shared" si="229"/>
        <v/>
      </c>
      <c r="BC293" s="49" t="str">
        <f t="shared" si="230"/>
        <v/>
      </c>
      <c r="BD293" s="49" t="str">
        <f t="shared" si="231"/>
        <v/>
      </c>
      <c r="BE293" s="22" t="str">
        <f t="shared" si="258"/>
        <v/>
      </c>
      <c r="BF293" s="21" t="str">
        <f t="shared" si="259"/>
        <v>Apprenant 281 ou 281'</v>
      </c>
      <c r="BG293" s="49" t="str">
        <f t="shared" si="232"/>
        <v/>
      </c>
      <c r="BH293" s="49" t="str">
        <f t="shared" si="233"/>
        <v/>
      </c>
      <c r="BI293" s="49" t="str">
        <f t="shared" si="234"/>
        <v/>
      </c>
      <c r="BJ293" s="22" t="str">
        <f t="shared" si="260"/>
        <v/>
      </c>
      <c r="BL293" s="21"/>
      <c r="BM293" s="21" t="str">
        <f>IF(OR(COUNT(B293:D1292)=0,AND('Choix pédagogiques'!$C$3&lt;&gt;1,'Choix pédagogiques'!$C$3&lt;&gt;2)),"",IF(AND(OR('Choix pédagogiques'!$C$3=1,'Choix pédagogiques'!$C$3=2),$B293&lt;&gt;"",$C293&lt;&gt;"",$D293&lt;&gt;""),1,0))</f>
        <v/>
      </c>
      <c r="BN293" s="21" t="str">
        <f>IF(OR(COUNT(G293:I1292)=0,AND('Choix pédagogiques'!$C$3&lt;&gt;1,'Choix pédagogiques'!$C$3&lt;&gt;2)),"",IF(AND(OR('Choix pédagogiques'!$C$3=1,'Choix pédagogiques'!$C$3=2),AND($G293&lt;&gt;"",$H293&lt;&gt;"",$I293&lt;&gt;"")),1,0))</f>
        <v/>
      </c>
      <c r="BO293" s="21" t="str">
        <f>IF(OR(COUNT(B293:D1292)=0,COUNT(G293:I1292)=0,'Choix pédagogiques'!C$3&lt;&gt;3),"",IF(AND('Choix pédagogiques'!$C$3=3,$B293&lt;&gt;"",$C293&lt;&gt;"",$D293&lt;&gt;"",$G293&lt;&gt;"",$H293&lt;&gt;"",$I293&lt;&gt;""),1,0))</f>
        <v/>
      </c>
      <c r="BR293" s="21">
        <v>185</v>
      </c>
      <c r="BS293" s="21">
        <v>1401</v>
      </c>
      <c r="BT293"/>
    </row>
    <row r="294" spans="1:72" s="23" customFormat="1" ht="18" customHeight="1" x14ac:dyDescent="0.3">
      <c r="A294" s="35" t="s">
        <v>284</v>
      </c>
      <c r="B294" s="37"/>
      <c r="C294" s="37"/>
      <c r="D294" s="37"/>
      <c r="E294" s="37"/>
      <c r="F294" s="35" t="s">
        <v>1292</v>
      </c>
      <c r="G294" s="37"/>
      <c r="H294" s="37"/>
      <c r="I294" s="37"/>
      <c r="J294" s="37"/>
      <c r="K294" s="21" t="str">
        <f t="shared" si="235"/>
        <v>Apprenant 282</v>
      </c>
      <c r="L294" s="22" t="str">
        <f t="shared" si="236"/>
        <v/>
      </c>
      <c r="M294" s="22" t="str">
        <f t="shared" si="237"/>
        <v/>
      </c>
      <c r="N294" s="22" t="str">
        <f t="shared" si="238"/>
        <v/>
      </c>
      <c r="O294" s="22" t="str">
        <f t="shared" si="239"/>
        <v/>
      </c>
      <c r="P294" s="21" t="str">
        <f t="shared" si="240"/>
        <v>Apprenant 282 ou 282'</v>
      </c>
      <c r="Q294" s="22" t="str">
        <f t="shared" si="241"/>
        <v/>
      </c>
      <c r="R294" s="22" t="str">
        <f t="shared" si="242"/>
        <v/>
      </c>
      <c r="S294" s="22" t="str">
        <f t="shared" si="243"/>
        <v/>
      </c>
      <c r="T294" s="22" t="str">
        <f t="shared" si="244"/>
        <v/>
      </c>
      <c r="V294" s="21" t="str">
        <f t="shared" si="245"/>
        <v>Apprenant 282</v>
      </c>
      <c r="W294" s="22" t="str">
        <f>IF(AND(OR('Choix pédagogiques'!$C$3=1,'Choix pédagogiques'!$C$3=2),$BM294=1),B294,IF(AND('Choix pédagogiques'!$C$3=3,$BO294=1),B294,""))</f>
        <v/>
      </c>
      <c r="X294" s="22" t="str">
        <f>IF(AND(OR('Choix pédagogiques'!$C$3=1,'Choix pédagogiques'!$C$3=2),$BM294=1),C294,IF(AND('Choix pédagogiques'!$C$3=3,$BO294=1),C294,""))</f>
        <v/>
      </c>
      <c r="Y294" s="22" t="str">
        <f>IF(AND(OR('Choix pédagogiques'!$C$3=1,'Choix pédagogiques'!$C$3=2),$BM294=1),D294,IF(AND('Choix pédagogiques'!$C$3=3,$BO294=1),D294,""))</f>
        <v/>
      </c>
      <c r="Z294" s="22" t="str">
        <f t="shared" si="246"/>
        <v/>
      </c>
      <c r="AA294" s="21" t="str">
        <f t="shared" si="247"/>
        <v>Apprenant 282 ou 282'</v>
      </c>
      <c r="AB294" s="22" t="str">
        <f>IF(AND(OR('Choix pédagogiques'!$C$3=1,'Choix pédagogiques'!$C$3=2),$BN294=1),G294,IF(AND('Choix pédagogiques'!$C$3=3,$BO294=1),G294,""))</f>
        <v/>
      </c>
      <c r="AC294" s="22" t="str">
        <f>IF(AND(OR('Choix pédagogiques'!$C$3=1,'Choix pédagogiques'!$C$3=2),$BN294=1),H294,IF(AND('Choix pédagogiques'!$C$3=3,$BO294=1),H294,""))</f>
        <v/>
      </c>
      <c r="AD294" s="22" t="str">
        <f>IF(AND(OR('Choix pédagogiques'!$C$3=1,'Choix pédagogiques'!$C$3=2),$BN294=1),I294,IF(AND('Choix pédagogiques'!$C$3=3,$BO294=1),I294,""))</f>
        <v/>
      </c>
      <c r="AE294" s="22" t="str">
        <f t="shared" si="248"/>
        <v/>
      </c>
      <c r="AF294" s="21" t="str">
        <f t="shared" si="249"/>
        <v>Apprenant 282</v>
      </c>
      <c r="AG294" s="22" t="str">
        <f t="shared" si="223"/>
        <v/>
      </c>
      <c r="AH294" s="22" t="str">
        <f t="shared" si="224"/>
        <v/>
      </c>
      <c r="AI294" s="22" t="str">
        <f t="shared" si="225"/>
        <v/>
      </c>
      <c r="AJ294" s="22" t="str">
        <f t="shared" si="250"/>
        <v/>
      </c>
      <c r="AK294" s="21" t="str">
        <f t="shared" si="251"/>
        <v>Apprenant 282 ou 282'</v>
      </c>
      <c r="AL294" s="22" t="str">
        <f t="shared" si="226"/>
        <v/>
      </c>
      <c r="AM294" s="22" t="str">
        <f t="shared" si="227"/>
        <v/>
      </c>
      <c r="AN294" s="22" t="str">
        <f t="shared" si="228"/>
        <v/>
      </c>
      <c r="AO294" s="22" t="str">
        <f t="shared" si="252"/>
        <v/>
      </c>
      <c r="AQ294" s="21" t="str">
        <f t="shared" si="253"/>
        <v>Apprenant 282</v>
      </c>
      <c r="AR294" s="49" t="str">
        <f>IF(AND('Choix pédagogiques'!$C$4&lt;&gt;"?",'Choix pédagogiques'!$C$5&lt;&gt;"?",W294&lt;&gt;""),(W294-'Choix pédagogiques'!$C$4)/('Choix pédagogiques'!$C$5-'Choix pédagogiques'!$C$4),"")</f>
        <v/>
      </c>
      <c r="AS294" s="49" t="str">
        <f>IF(AND('Choix pédagogiques'!$C$4&lt;&gt;"?",'Choix pédagogiques'!$C$5&lt;&gt;"?",X294&lt;&gt;""),(X294-'Choix pédagogiques'!$C$4)/('Choix pédagogiques'!$C$5-'Choix pédagogiques'!$C$4),"")</f>
        <v/>
      </c>
      <c r="AT294" s="49" t="str">
        <f>IF(AND('Choix pédagogiques'!$C$4&lt;&gt;"?",'Choix pédagogiques'!$C$5&lt;&gt;"?",Y294&lt;&gt;""),(Y294-'Choix pédagogiques'!$C$4)/('Choix pédagogiques'!$C$5-'Choix pédagogiques'!$C$4),"")</f>
        <v/>
      </c>
      <c r="AU294" s="22" t="str">
        <f t="shared" si="254"/>
        <v/>
      </c>
      <c r="AV294" s="21" t="str">
        <f t="shared" si="255"/>
        <v>Apprenant 282 ou 282'</v>
      </c>
      <c r="AW294" s="49" t="str">
        <f>IF(AND('Choix pédagogiques'!$C$4&lt;&gt;"?",'Choix pédagogiques'!$C$5&lt;&gt;"?",AB294&lt;&gt;""),(AB294-'Choix pédagogiques'!$C$4)/('Choix pédagogiques'!$C$5-'Choix pédagogiques'!$C$4),"")</f>
        <v/>
      </c>
      <c r="AX294" s="49" t="str">
        <f>IF(AND('Choix pédagogiques'!$C$4&lt;&gt;"?",'Choix pédagogiques'!$C$5&lt;&gt;"?",AC294&lt;&gt;""),(AC294-'Choix pédagogiques'!$C$4)/('Choix pédagogiques'!$C$5-'Choix pédagogiques'!$C$4),"")</f>
        <v/>
      </c>
      <c r="AY294" s="49" t="str">
        <f>IF(AND('Choix pédagogiques'!$C$4&lt;&gt;"?",'Choix pédagogiques'!$C$5&lt;&gt;"?",AD294&lt;&gt;""),(AD294-'Choix pédagogiques'!$C$4)/('Choix pédagogiques'!$C$5-'Choix pédagogiques'!$C$4),"")</f>
        <v/>
      </c>
      <c r="AZ294" s="22" t="str">
        <f t="shared" si="256"/>
        <v/>
      </c>
      <c r="BA294" s="21" t="str">
        <f t="shared" si="257"/>
        <v>Apprenant 282</v>
      </c>
      <c r="BB294" s="49" t="str">
        <f t="shared" si="229"/>
        <v/>
      </c>
      <c r="BC294" s="49" t="str">
        <f t="shared" si="230"/>
        <v/>
      </c>
      <c r="BD294" s="49" t="str">
        <f t="shared" si="231"/>
        <v/>
      </c>
      <c r="BE294" s="22" t="str">
        <f t="shared" si="258"/>
        <v/>
      </c>
      <c r="BF294" s="21" t="str">
        <f t="shared" si="259"/>
        <v>Apprenant 282 ou 282'</v>
      </c>
      <c r="BG294" s="49" t="str">
        <f t="shared" si="232"/>
        <v/>
      </c>
      <c r="BH294" s="49" t="str">
        <f t="shared" si="233"/>
        <v/>
      </c>
      <c r="BI294" s="49" t="str">
        <f t="shared" si="234"/>
        <v/>
      </c>
      <c r="BJ294" s="22" t="str">
        <f t="shared" si="260"/>
        <v/>
      </c>
      <c r="BL294" s="21"/>
      <c r="BM294" s="21" t="str">
        <f>IF(OR(COUNT(B294:D1293)=0,AND('Choix pédagogiques'!$C$3&lt;&gt;1,'Choix pédagogiques'!$C$3&lt;&gt;2)),"",IF(AND(OR('Choix pédagogiques'!$C$3=1,'Choix pédagogiques'!$C$3=2),$B294&lt;&gt;"",$C294&lt;&gt;"",$D294&lt;&gt;""),1,0))</f>
        <v/>
      </c>
      <c r="BN294" s="21" t="str">
        <f>IF(OR(COUNT(G294:I1293)=0,AND('Choix pédagogiques'!$C$3&lt;&gt;1,'Choix pédagogiques'!$C$3&lt;&gt;2)),"",IF(AND(OR('Choix pédagogiques'!$C$3=1,'Choix pédagogiques'!$C$3=2),AND($G294&lt;&gt;"",$H294&lt;&gt;"",$I294&lt;&gt;"")),1,0))</f>
        <v/>
      </c>
      <c r="BO294" s="21" t="str">
        <f>IF(OR(COUNT(B294:D1293)=0,COUNT(G294:I1293)=0,'Choix pédagogiques'!C$3&lt;&gt;3),"",IF(AND('Choix pédagogiques'!$C$3=3,$B294&lt;&gt;"",$C294&lt;&gt;"",$D294&lt;&gt;"",$G294&lt;&gt;"",$H294&lt;&gt;"",$I294&lt;&gt;""),1,0))</f>
        <v/>
      </c>
      <c r="BR294" s="21">
        <v>966</v>
      </c>
      <c r="BS294" s="21">
        <v>1754</v>
      </c>
      <c r="BT294"/>
    </row>
    <row r="295" spans="1:72" s="23" customFormat="1" ht="18" customHeight="1" x14ac:dyDescent="0.3">
      <c r="A295" s="35" t="s">
        <v>285</v>
      </c>
      <c r="B295" s="37"/>
      <c r="C295" s="37"/>
      <c r="D295" s="37"/>
      <c r="E295" s="37"/>
      <c r="F295" s="35" t="s">
        <v>1293</v>
      </c>
      <c r="G295" s="37"/>
      <c r="H295" s="37"/>
      <c r="I295" s="37"/>
      <c r="J295" s="37"/>
      <c r="K295" s="21" t="str">
        <f t="shared" si="235"/>
        <v>Apprenant 283</v>
      </c>
      <c r="L295" s="22" t="str">
        <f t="shared" si="236"/>
        <v/>
      </c>
      <c r="M295" s="22" t="str">
        <f t="shared" si="237"/>
        <v/>
      </c>
      <c r="N295" s="22" t="str">
        <f t="shared" si="238"/>
        <v/>
      </c>
      <c r="O295" s="22" t="str">
        <f t="shared" si="239"/>
        <v/>
      </c>
      <c r="P295" s="21" t="str">
        <f t="shared" si="240"/>
        <v>Apprenant 283 ou 283'</v>
      </c>
      <c r="Q295" s="22" t="str">
        <f t="shared" si="241"/>
        <v/>
      </c>
      <c r="R295" s="22" t="str">
        <f t="shared" si="242"/>
        <v/>
      </c>
      <c r="S295" s="22" t="str">
        <f t="shared" si="243"/>
        <v/>
      </c>
      <c r="T295" s="22" t="str">
        <f t="shared" si="244"/>
        <v/>
      </c>
      <c r="V295" s="21" t="str">
        <f t="shared" si="245"/>
        <v>Apprenant 283</v>
      </c>
      <c r="W295" s="22" t="str">
        <f>IF(AND(OR('Choix pédagogiques'!$C$3=1,'Choix pédagogiques'!$C$3=2),$BM295=1),B295,IF(AND('Choix pédagogiques'!$C$3=3,$BO295=1),B295,""))</f>
        <v/>
      </c>
      <c r="X295" s="22" t="str">
        <f>IF(AND(OR('Choix pédagogiques'!$C$3=1,'Choix pédagogiques'!$C$3=2),$BM295=1),C295,IF(AND('Choix pédagogiques'!$C$3=3,$BO295=1),C295,""))</f>
        <v/>
      </c>
      <c r="Y295" s="22" t="str">
        <f>IF(AND(OR('Choix pédagogiques'!$C$3=1,'Choix pédagogiques'!$C$3=2),$BM295=1),D295,IF(AND('Choix pédagogiques'!$C$3=3,$BO295=1),D295,""))</f>
        <v/>
      </c>
      <c r="Z295" s="22" t="str">
        <f t="shared" si="246"/>
        <v/>
      </c>
      <c r="AA295" s="21" t="str">
        <f t="shared" si="247"/>
        <v>Apprenant 283 ou 283'</v>
      </c>
      <c r="AB295" s="22" t="str">
        <f>IF(AND(OR('Choix pédagogiques'!$C$3=1,'Choix pédagogiques'!$C$3=2),$BN295=1),G295,IF(AND('Choix pédagogiques'!$C$3=3,$BO295=1),G295,""))</f>
        <v/>
      </c>
      <c r="AC295" s="22" t="str">
        <f>IF(AND(OR('Choix pédagogiques'!$C$3=1,'Choix pédagogiques'!$C$3=2),$BN295=1),H295,IF(AND('Choix pédagogiques'!$C$3=3,$BO295=1),H295,""))</f>
        <v/>
      </c>
      <c r="AD295" s="22" t="str">
        <f>IF(AND(OR('Choix pédagogiques'!$C$3=1,'Choix pédagogiques'!$C$3=2),$BN295=1),I295,IF(AND('Choix pédagogiques'!$C$3=3,$BO295=1),I295,""))</f>
        <v/>
      </c>
      <c r="AE295" s="22" t="str">
        <f t="shared" si="248"/>
        <v/>
      </c>
      <c r="AF295" s="21" t="str">
        <f t="shared" si="249"/>
        <v>Apprenant 283</v>
      </c>
      <c r="AG295" s="22" t="str">
        <f t="shared" si="223"/>
        <v/>
      </c>
      <c r="AH295" s="22" t="str">
        <f t="shared" si="224"/>
        <v/>
      </c>
      <c r="AI295" s="22" t="str">
        <f t="shared" si="225"/>
        <v/>
      </c>
      <c r="AJ295" s="22" t="str">
        <f t="shared" si="250"/>
        <v/>
      </c>
      <c r="AK295" s="21" t="str">
        <f t="shared" si="251"/>
        <v>Apprenant 283 ou 283'</v>
      </c>
      <c r="AL295" s="22" t="str">
        <f t="shared" si="226"/>
        <v/>
      </c>
      <c r="AM295" s="22" t="str">
        <f t="shared" si="227"/>
        <v/>
      </c>
      <c r="AN295" s="22" t="str">
        <f t="shared" si="228"/>
        <v/>
      </c>
      <c r="AO295" s="22" t="str">
        <f t="shared" si="252"/>
        <v/>
      </c>
      <c r="AQ295" s="21" t="str">
        <f t="shared" si="253"/>
        <v>Apprenant 283</v>
      </c>
      <c r="AR295" s="49" t="str">
        <f>IF(AND('Choix pédagogiques'!$C$4&lt;&gt;"?",'Choix pédagogiques'!$C$5&lt;&gt;"?",W295&lt;&gt;""),(W295-'Choix pédagogiques'!$C$4)/('Choix pédagogiques'!$C$5-'Choix pédagogiques'!$C$4),"")</f>
        <v/>
      </c>
      <c r="AS295" s="49" t="str">
        <f>IF(AND('Choix pédagogiques'!$C$4&lt;&gt;"?",'Choix pédagogiques'!$C$5&lt;&gt;"?",X295&lt;&gt;""),(X295-'Choix pédagogiques'!$C$4)/('Choix pédagogiques'!$C$5-'Choix pédagogiques'!$C$4),"")</f>
        <v/>
      </c>
      <c r="AT295" s="49" t="str">
        <f>IF(AND('Choix pédagogiques'!$C$4&lt;&gt;"?",'Choix pédagogiques'!$C$5&lt;&gt;"?",Y295&lt;&gt;""),(Y295-'Choix pédagogiques'!$C$4)/('Choix pédagogiques'!$C$5-'Choix pédagogiques'!$C$4),"")</f>
        <v/>
      </c>
      <c r="AU295" s="22" t="str">
        <f t="shared" si="254"/>
        <v/>
      </c>
      <c r="AV295" s="21" t="str">
        <f t="shared" si="255"/>
        <v>Apprenant 283 ou 283'</v>
      </c>
      <c r="AW295" s="49" t="str">
        <f>IF(AND('Choix pédagogiques'!$C$4&lt;&gt;"?",'Choix pédagogiques'!$C$5&lt;&gt;"?",AB295&lt;&gt;""),(AB295-'Choix pédagogiques'!$C$4)/('Choix pédagogiques'!$C$5-'Choix pédagogiques'!$C$4),"")</f>
        <v/>
      </c>
      <c r="AX295" s="49" t="str">
        <f>IF(AND('Choix pédagogiques'!$C$4&lt;&gt;"?",'Choix pédagogiques'!$C$5&lt;&gt;"?",AC295&lt;&gt;""),(AC295-'Choix pédagogiques'!$C$4)/('Choix pédagogiques'!$C$5-'Choix pédagogiques'!$C$4),"")</f>
        <v/>
      </c>
      <c r="AY295" s="49" t="str">
        <f>IF(AND('Choix pédagogiques'!$C$4&lt;&gt;"?",'Choix pédagogiques'!$C$5&lt;&gt;"?",AD295&lt;&gt;""),(AD295-'Choix pédagogiques'!$C$4)/('Choix pédagogiques'!$C$5-'Choix pédagogiques'!$C$4),"")</f>
        <v/>
      </c>
      <c r="AZ295" s="22" t="str">
        <f t="shared" si="256"/>
        <v/>
      </c>
      <c r="BA295" s="21" t="str">
        <f t="shared" si="257"/>
        <v>Apprenant 283</v>
      </c>
      <c r="BB295" s="49" t="str">
        <f t="shared" si="229"/>
        <v/>
      </c>
      <c r="BC295" s="49" t="str">
        <f t="shared" si="230"/>
        <v/>
      </c>
      <c r="BD295" s="49" t="str">
        <f t="shared" si="231"/>
        <v/>
      </c>
      <c r="BE295" s="22" t="str">
        <f t="shared" si="258"/>
        <v/>
      </c>
      <c r="BF295" s="21" t="str">
        <f t="shared" si="259"/>
        <v>Apprenant 283 ou 283'</v>
      </c>
      <c r="BG295" s="49" t="str">
        <f t="shared" si="232"/>
        <v/>
      </c>
      <c r="BH295" s="49" t="str">
        <f t="shared" si="233"/>
        <v/>
      </c>
      <c r="BI295" s="49" t="str">
        <f t="shared" si="234"/>
        <v/>
      </c>
      <c r="BJ295" s="22" t="str">
        <f t="shared" si="260"/>
        <v/>
      </c>
      <c r="BL295" s="21"/>
      <c r="BM295" s="21" t="str">
        <f>IF(OR(COUNT(B295:D1294)=0,AND('Choix pédagogiques'!$C$3&lt;&gt;1,'Choix pédagogiques'!$C$3&lt;&gt;2)),"",IF(AND(OR('Choix pédagogiques'!$C$3=1,'Choix pédagogiques'!$C$3=2),$B295&lt;&gt;"",$C295&lt;&gt;"",$D295&lt;&gt;""),1,0))</f>
        <v/>
      </c>
      <c r="BN295" s="21" t="str">
        <f>IF(OR(COUNT(G295:I1294)=0,AND('Choix pédagogiques'!$C$3&lt;&gt;1,'Choix pédagogiques'!$C$3&lt;&gt;2)),"",IF(AND(OR('Choix pédagogiques'!$C$3=1,'Choix pédagogiques'!$C$3=2),AND($G295&lt;&gt;"",$H295&lt;&gt;"",$I295&lt;&gt;"")),1,0))</f>
        <v/>
      </c>
      <c r="BO295" s="21" t="str">
        <f>IF(OR(COUNT(B295:D1294)=0,COUNT(G295:I1294)=0,'Choix pédagogiques'!C$3&lt;&gt;3),"",IF(AND('Choix pédagogiques'!$C$3=3,$B295&lt;&gt;"",$C295&lt;&gt;"",$D295&lt;&gt;"",$G295&lt;&gt;"",$H295&lt;&gt;"",$I295&lt;&gt;""),1,0))</f>
        <v/>
      </c>
      <c r="BR295" s="21">
        <v>637</v>
      </c>
      <c r="BS295" s="21">
        <v>1185</v>
      </c>
      <c r="BT295"/>
    </row>
    <row r="296" spans="1:72" s="23" customFormat="1" ht="18" customHeight="1" x14ac:dyDescent="0.3">
      <c r="A296" s="35" t="s">
        <v>286</v>
      </c>
      <c r="B296" s="37"/>
      <c r="C296" s="37"/>
      <c r="D296" s="37"/>
      <c r="E296" s="37"/>
      <c r="F296" s="35" t="s">
        <v>1294</v>
      </c>
      <c r="G296" s="37"/>
      <c r="H296" s="37"/>
      <c r="I296" s="37"/>
      <c r="J296" s="37"/>
      <c r="K296" s="21" t="str">
        <f t="shared" si="235"/>
        <v>Apprenant 284</v>
      </c>
      <c r="L296" s="22" t="str">
        <f t="shared" si="236"/>
        <v/>
      </c>
      <c r="M296" s="22" t="str">
        <f t="shared" si="237"/>
        <v/>
      </c>
      <c r="N296" s="22" t="str">
        <f t="shared" si="238"/>
        <v/>
      </c>
      <c r="O296" s="22" t="str">
        <f t="shared" si="239"/>
        <v/>
      </c>
      <c r="P296" s="21" t="str">
        <f t="shared" si="240"/>
        <v>Apprenant 284 ou 284'</v>
      </c>
      <c r="Q296" s="22" t="str">
        <f t="shared" si="241"/>
        <v/>
      </c>
      <c r="R296" s="22" t="str">
        <f t="shared" si="242"/>
        <v/>
      </c>
      <c r="S296" s="22" t="str">
        <f t="shared" si="243"/>
        <v/>
      </c>
      <c r="T296" s="22" t="str">
        <f t="shared" si="244"/>
        <v/>
      </c>
      <c r="V296" s="21" t="str">
        <f t="shared" si="245"/>
        <v>Apprenant 284</v>
      </c>
      <c r="W296" s="22" t="str">
        <f>IF(AND(OR('Choix pédagogiques'!$C$3=1,'Choix pédagogiques'!$C$3=2),$BM296=1),B296,IF(AND('Choix pédagogiques'!$C$3=3,$BO296=1),B296,""))</f>
        <v/>
      </c>
      <c r="X296" s="22" t="str">
        <f>IF(AND(OR('Choix pédagogiques'!$C$3=1,'Choix pédagogiques'!$C$3=2),$BM296=1),C296,IF(AND('Choix pédagogiques'!$C$3=3,$BO296=1),C296,""))</f>
        <v/>
      </c>
      <c r="Y296" s="22" t="str">
        <f>IF(AND(OR('Choix pédagogiques'!$C$3=1,'Choix pédagogiques'!$C$3=2),$BM296=1),D296,IF(AND('Choix pédagogiques'!$C$3=3,$BO296=1),D296,""))</f>
        <v/>
      </c>
      <c r="Z296" s="22" t="str">
        <f t="shared" si="246"/>
        <v/>
      </c>
      <c r="AA296" s="21" t="str">
        <f t="shared" si="247"/>
        <v>Apprenant 284 ou 284'</v>
      </c>
      <c r="AB296" s="22" t="str">
        <f>IF(AND(OR('Choix pédagogiques'!$C$3=1,'Choix pédagogiques'!$C$3=2),$BN296=1),G296,IF(AND('Choix pédagogiques'!$C$3=3,$BO296=1),G296,""))</f>
        <v/>
      </c>
      <c r="AC296" s="22" t="str">
        <f>IF(AND(OR('Choix pédagogiques'!$C$3=1,'Choix pédagogiques'!$C$3=2),$BN296=1),H296,IF(AND('Choix pédagogiques'!$C$3=3,$BO296=1),H296,""))</f>
        <v/>
      </c>
      <c r="AD296" s="22" t="str">
        <f>IF(AND(OR('Choix pédagogiques'!$C$3=1,'Choix pédagogiques'!$C$3=2),$BN296=1),I296,IF(AND('Choix pédagogiques'!$C$3=3,$BO296=1),I296,""))</f>
        <v/>
      </c>
      <c r="AE296" s="22" t="str">
        <f t="shared" si="248"/>
        <v/>
      </c>
      <c r="AF296" s="21" t="str">
        <f t="shared" si="249"/>
        <v>Apprenant 284</v>
      </c>
      <c r="AG296" s="22" t="str">
        <f t="shared" si="223"/>
        <v/>
      </c>
      <c r="AH296" s="22" t="str">
        <f t="shared" si="224"/>
        <v/>
      </c>
      <c r="AI296" s="22" t="str">
        <f t="shared" si="225"/>
        <v/>
      </c>
      <c r="AJ296" s="22" t="str">
        <f t="shared" si="250"/>
        <v/>
      </c>
      <c r="AK296" s="21" t="str">
        <f t="shared" si="251"/>
        <v>Apprenant 284 ou 284'</v>
      </c>
      <c r="AL296" s="22" t="str">
        <f t="shared" si="226"/>
        <v/>
      </c>
      <c r="AM296" s="22" t="str">
        <f t="shared" si="227"/>
        <v/>
      </c>
      <c r="AN296" s="22" t="str">
        <f t="shared" si="228"/>
        <v/>
      </c>
      <c r="AO296" s="22" t="str">
        <f t="shared" si="252"/>
        <v/>
      </c>
      <c r="AQ296" s="21" t="str">
        <f t="shared" si="253"/>
        <v>Apprenant 284</v>
      </c>
      <c r="AR296" s="49" t="str">
        <f>IF(AND('Choix pédagogiques'!$C$4&lt;&gt;"?",'Choix pédagogiques'!$C$5&lt;&gt;"?",W296&lt;&gt;""),(W296-'Choix pédagogiques'!$C$4)/('Choix pédagogiques'!$C$5-'Choix pédagogiques'!$C$4),"")</f>
        <v/>
      </c>
      <c r="AS296" s="49" t="str">
        <f>IF(AND('Choix pédagogiques'!$C$4&lt;&gt;"?",'Choix pédagogiques'!$C$5&lt;&gt;"?",X296&lt;&gt;""),(X296-'Choix pédagogiques'!$C$4)/('Choix pédagogiques'!$C$5-'Choix pédagogiques'!$C$4),"")</f>
        <v/>
      </c>
      <c r="AT296" s="49" t="str">
        <f>IF(AND('Choix pédagogiques'!$C$4&lt;&gt;"?",'Choix pédagogiques'!$C$5&lt;&gt;"?",Y296&lt;&gt;""),(Y296-'Choix pédagogiques'!$C$4)/('Choix pédagogiques'!$C$5-'Choix pédagogiques'!$C$4),"")</f>
        <v/>
      </c>
      <c r="AU296" s="22" t="str">
        <f t="shared" si="254"/>
        <v/>
      </c>
      <c r="AV296" s="21" t="str">
        <f t="shared" si="255"/>
        <v>Apprenant 284 ou 284'</v>
      </c>
      <c r="AW296" s="49" t="str">
        <f>IF(AND('Choix pédagogiques'!$C$4&lt;&gt;"?",'Choix pédagogiques'!$C$5&lt;&gt;"?",AB296&lt;&gt;""),(AB296-'Choix pédagogiques'!$C$4)/('Choix pédagogiques'!$C$5-'Choix pédagogiques'!$C$4),"")</f>
        <v/>
      </c>
      <c r="AX296" s="49" t="str">
        <f>IF(AND('Choix pédagogiques'!$C$4&lt;&gt;"?",'Choix pédagogiques'!$C$5&lt;&gt;"?",AC296&lt;&gt;""),(AC296-'Choix pédagogiques'!$C$4)/('Choix pédagogiques'!$C$5-'Choix pédagogiques'!$C$4),"")</f>
        <v/>
      </c>
      <c r="AY296" s="49" t="str">
        <f>IF(AND('Choix pédagogiques'!$C$4&lt;&gt;"?",'Choix pédagogiques'!$C$5&lt;&gt;"?",AD296&lt;&gt;""),(AD296-'Choix pédagogiques'!$C$4)/('Choix pédagogiques'!$C$5-'Choix pédagogiques'!$C$4),"")</f>
        <v/>
      </c>
      <c r="AZ296" s="22" t="str">
        <f t="shared" si="256"/>
        <v/>
      </c>
      <c r="BA296" s="21" t="str">
        <f t="shared" si="257"/>
        <v>Apprenant 284</v>
      </c>
      <c r="BB296" s="49" t="str">
        <f t="shared" si="229"/>
        <v/>
      </c>
      <c r="BC296" s="49" t="str">
        <f t="shared" si="230"/>
        <v/>
      </c>
      <c r="BD296" s="49" t="str">
        <f t="shared" si="231"/>
        <v/>
      </c>
      <c r="BE296" s="22" t="str">
        <f t="shared" si="258"/>
        <v/>
      </c>
      <c r="BF296" s="21" t="str">
        <f t="shared" si="259"/>
        <v>Apprenant 284 ou 284'</v>
      </c>
      <c r="BG296" s="49" t="str">
        <f t="shared" si="232"/>
        <v/>
      </c>
      <c r="BH296" s="49" t="str">
        <f t="shared" si="233"/>
        <v/>
      </c>
      <c r="BI296" s="49" t="str">
        <f t="shared" si="234"/>
        <v/>
      </c>
      <c r="BJ296" s="22" t="str">
        <f t="shared" si="260"/>
        <v/>
      </c>
      <c r="BL296" s="21"/>
      <c r="BM296" s="21" t="str">
        <f>IF(OR(COUNT(B296:D1295)=0,AND('Choix pédagogiques'!$C$3&lt;&gt;1,'Choix pédagogiques'!$C$3&lt;&gt;2)),"",IF(AND(OR('Choix pédagogiques'!$C$3=1,'Choix pédagogiques'!$C$3=2),$B296&lt;&gt;"",$C296&lt;&gt;"",$D296&lt;&gt;""),1,0))</f>
        <v/>
      </c>
      <c r="BN296" s="21" t="str">
        <f>IF(OR(COUNT(G296:I1295)=0,AND('Choix pédagogiques'!$C$3&lt;&gt;1,'Choix pédagogiques'!$C$3&lt;&gt;2)),"",IF(AND(OR('Choix pédagogiques'!$C$3=1,'Choix pédagogiques'!$C$3=2),AND($G296&lt;&gt;"",$H296&lt;&gt;"",$I296&lt;&gt;"")),1,0))</f>
        <v/>
      </c>
      <c r="BO296" s="21" t="str">
        <f>IF(OR(COUNT(B296:D1295)=0,COUNT(G296:I1295)=0,'Choix pédagogiques'!C$3&lt;&gt;3),"",IF(AND('Choix pédagogiques'!$C$3=3,$B296&lt;&gt;"",$C296&lt;&gt;"",$D296&lt;&gt;"",$G296&lt;&gt;"",$H296&lt;&gt;"",$I296&lt;&gt;""),1,0))</f>
        <v/>
      </c>
      <c r="BR296" s="21">
        <v>453</v>
      </c>
      <c r="BS296" s="21">
        <v>1109</v>
      </c>
      <c r="BT296"/>
    </row>
    <row r="297" spans="1:72" s="23" customFormat="1" ht="18" customHeight="1" x14ac:dyDescent="0.3">
      <c r="A297" s="35" t="s">
        <v>287</v>
      </c>
      <c r="B297" s="37"/>
      <c r="C297" s="37"/>
      <c r="D297" s="37"/>
      <c r="E297" s="37"/>
      <c r="F297" s="35" t="s">
        <v>1295</v>
      </c>
      <c r="G297" s="37"/>
      <c r="H297" s="37"/>
      <c r="I297" s="37"/>
      <c r="J297" s="37"/>
      <c r="K297" s="21" t="str">
        <f t="shared" si="235"/>
        <v>Apprenant 285</v>
      </c>
      <c r="L297" s="22" t="str">
        <f t="shared" si="236"/>
        <v/>
      </c>
      <c r="M297" s="22" t="str">
        <f t="shared" si="237"/>
        <v/>
      </c>
      <c r="N297" s="22" t="str">
        <f t="shared" si="238"/>
        <v/>
      </c>
      <c r="O297" s="22" t="str">
        <f t="shared" si="239"/>
        <v/>
      </c>
      <c r="P297" s="21" t="str">
        <f t="shared" si="240"/>
        <v>Apprenant 285 ou 285'</v>
      </c>
      <c r="Q297" s="22" t="str">
        <f t="shared" si="241"/>
        <v/>
      </c>
      <c r="R297" s="22" t="str">
        <f t="shared" si="242"/>
        <v/>
      </c>
      <c r="S297" s="22" t="str">
        <f t="shared" si="243"/>
        <v/>
      </c>
      <c r="T297" s="22" t="str">
        <f t="shared" si="244"/>
        <v/>
      </c>
      <c r="V297" s="21" t="str">
        <f t="shared" si="245"/>
        <v>Apprenant 285</v>
      </c>
      <c r="W297" s="22" t="str">
        <f>IF(AND(OR('Choix pédagogiques'!$C$3=1,'Choix pédagogiques'!$C$3=2),$BM297=1),B297,IF(AND('Choix pédagogiques'!$C$3=3,$BO297=1),B297,""))</f>
        <v/>
      </c>
      <c r="X297" s="22" t="str">
        <f>IF(AND(OR('Choix pédagogiques'!$C$3=1,'Choix pédagogiques'!$C$3=2),$BM297=1),C297,IF(AND('Choix pédagogiques'!$C$3=3,$BO297=1),C297,""))</f>
        <v/>
      </c>
      <c r="Y297" s="22" t="str">
        <f>IF(AND(OR('Choix pédagogiques'!$C$3=1,'Choix pédagogiques'!$C$3=2),$BM297=1),D297,IF(AND('Choix pédagogiques'!$C$3=3,$BO297=1),D297,""))</f>
        <v/>
      </c>
      <c r="Z297" s="22" t="str">
        <f t="shared" si="246"/>
        <v/>
      </c>
      <c r="AA297" s="21" t="str">
        <f t="shared" si="247"/>
        <v>Apprenant 285 ou 285'</v>
      </c>
      <c r="AB297" s="22" t="str">
        <f>IF(AND(OR('Choix pédagogiques'!$C$3=1,'Choix pédagogiques'!$C$3=2),$BN297=1),G297,IF(AND('Choix pédagogiques'!$C$3=3,$BO297=1),G297,""))</f>
        <v/>
      </c>
      <c r="AC297" s="22" t="str">
        <f>IF(AND(OR('Choix pédagogiques'!$C$3=1,'Choix pédagogiques'!$C$3=2),$BN297=1),H297,IF(AND('Choix pédagogiques'!$C$3=3,$BO297=1),H297,""))</f>
        <v/>
      </c>
      <c r="AD297" s="22" t="str">
        <f>IF(AND(OR('Choix pédagogiques'!$C$3=1,'Choix pédagogiques'!$C$3=2),$BN297=1),I297,IF(AND('Choix pédagogiques'!$C$3=3,$BO297=1),I297,""))</f>
        <v/>
      </c>
      <c r="AE297" s="22" t="str">
        <f t="shared" si="248"/>
        <v/>
      </c>
      <c r="AF297" s="21" t="str">
        <f t="shared" si="249"/>
        <v>Apprenant 285</v>
      </c>
      <c r="AG297" s="22" t="str">
        <f t="shared" si="223"/>
        <v/>
      </c>
      <c r="AH297" s="22" t="str">
        <f t="shared" si="224"/>
        <v/>
      </c>
      <c r="AI297" s="22" t="str">
        <f t="shared" si="225"/>
        <v/>
      </c>
      <c r="AJ297" s="22" t="str">
        <f t="shared" si="250"/>
        <v/>
      </c>
      <c r="AK297" s="21" t="str">
        <f t="shared" si="251"/>
        <v>Apprenant 285 ou 285'</v>
      </c>
      <c r="AL297" s="22" t="str">
        <f t="shared" si="226"/>
        <v/>
      </c>
      <c r="AM297" s="22" t="str">
        <f t="shared" si="227"/>
        <v/>
      </c>
      <c r="AN297" s="22" t="str">
        <f t="shared" si="228"/>
        <v/>
      </c>
      <c r="AO297" s="22" t="str">
        <f t="shared" si="252"/>
        <v/>
      </c>
      <c r="AQ297" s="21" t="str">
        <f t="shared" si="253"/>
        <v>Apprenant 285</v>
      </c>
      <c r="AR297" s="49" t="str">
        <f>IF(AND('Choix pédagogiques'!$C$4&lt;&gt;"?",'Choix pédagogiques'!$C$5&lt;&gt;"?",W297&lt;&gt;""),(W297-'Choix pédagogiques'!$C$4)/('Choix pédagogiques'!$C$5-'Choix pédagogiques'!$C$4),"")</f>
        <v/>
      </c>
      <c r="AS297" s="49" t="str">
        <f>IF(AND('Choix pédagogiques'!$C$4&lt;&gt;"?",'Choix pédagogiques'!$C$5&lt;&gt;"?",X297&lt;&gt;""),(X297-'Choix pédagogiques'!$C$4)/('Choix pédagogiques'!$C$5-'Choix pédagogiques'!$C$4),"")</f>
        <v/>
      </c>
      <c r="AT297" s="49" t="str">
        <f>IF(AND('Choix pédagogiques'!$C$4&lt;&gt;"?",'Choix pédagogiques'!$C$5&lt;&gt;"?",Y297&lt;&gt;""),(Y297-'Choix pédagogiques'!$C$4)/('Choix pédagogiques'!$C$5-'Choix pédagogiques'!$C$4),"")</f>
        <v/>
      </c>
      <c r="AU297" s="22" t="str">
        <f t="shared" si="254"/>
        <v/>
      </c>
      <c r="AV297" s="21" t="str">
        <f t="shared" si="255"/>
        <v>Apprenant 285 ou 285'</v>
      </c>
      <c r="AW297" s="49" t="str">
        <f>IF(AND('Choix pédagogiques'!$C$4&lt;&gt;"?",'Choix pédagogiques'!$C$5&lt;&gt;"?",AB297&lt;&gt;""),(AB297-'Choix pédagogiques'!$C$4)/('Choix pédagogiques'!$C$5-'Choix pédagogiques'!$C$4),"")</f>
        <v/>
      </c>
      <c r="AX297" s="49" t="str">
        <f>IF(AND('Choix pédagogiques'!$C$4&lt;&gt;"?",'Choix pédagogiques'!$C$5&lt;&gt;"?",AC297&lt;&gt;""),(AC297-'Choix pédagogiques'!$C$4)/('Choix pédagogiques'!$C$5-'Choix pédagogiques'!$C$4),"")</f>
        <v/>
      </c>
      <c r="AY297" s="49" t="str">
        <f>IF(AND('Choix pédagogiques'!$C$4&lt;&gt;"?",'Choix pédagogiques'!$C$5&lt;&gt;"?",AD297&lt;&gt;""),(AD297-'Choix pédagogiques'!$C$4)/('Choix pédagogiques'!$C$5-'Choix pédagogiques'!$C$4),"")</f>
        <v/>
      </c>
      <c r="AZ297" s="22" t="str">
        <f t="shared" si="256"/>
        <v/>
      </c>
      <c r="BA297" s="21" t="str">
        <f t="shared" si="257"/>
        <v>Apprenant 285</v>
      </c>
      <c r="BB297" s="49" t="str">
        <f t="shared" si="229"/>
        <v/>
      </c>
      <c r="BC297" s="49" t="str">
        <f t="shared" si="230"/>
        <v/>
      </c>
      <c r="BD297" s="49" t="str">
        <f t="shared" si="231"/>
        <v/>
      </c>
      <c r="BE297" s="22" t="str">
        <f t="shared" si="258"/>
        <v/>
      </c>
      <c r="BF297" s="21" t="str">
        <f t="shared" si="259"/>
        <v>Apprenant 285 ou 285'</v>
      </c>
      <c r="BG297" s="49" t="str">
        <f t="shared" si="232"/>
        <v/>
      </c>
      <c r="BH297" s="49" t="str">
        <f t="shared" si="233"/>
        <v/>
      </c>
      <c r="BI297" s="49" t="str">
        <f t="shared" si="234"/>
        <v/>
      </c>
      <c r="BJ297" s="22" t="str">
        <f t="shared" si="260"/>
        <v/>
      </c>
      <c r="BL297" s="21"/>
      <c r="BM297" s="21" t="str">
        <f>IF(OR(COUNT(B297:D1296)=0,AND('Choix pédagogiques'!$C$3&lt;&gt;1,'Choix pédagogiques'!$C$3&lt;&gt;2)),"",IF(AND(OR('Choix pédagogiques'!$C$3=1,'Choix pédagogiques'!$C$3=2),$B297&lt;&gt;"",$C297&lt;&gt;"",$D297&lt;&gt;""),1,0))</f>
        <v/>
      </c>
      <c r="BN297" s="21" t="str">
        <f>IF(OR(COUNT(G297:I1296)=0,AND('Choix pédagogiques'!$C$3&lt;&gt;1,'Choix pédagogiques'!$C$3&lt;&gt;2)),"",IF(AND(OR('Choix pédagogiques'!$C$3=1,'Choix pédagogiques'!$C$3=2),AND($G297&lt;&gt;"",$H297&lt;&gt;"",$I297&lt;&gt;"")),1,0))</f>
        <v/>
      </c>
      <c r="BO297" s="21" t="str">
        <f>IF(OR(COUNT(B297:D1296)=0,COUNT(G297:I1296)=0,'Choix pédagogiques'!C$3&lt;&gt;3),"",IF(AND('Choix pédagogiques'!$C$3=3,$B297&lt;&gt;"",$C297&lt;&gt;"",$D297&lt;&gt;"",$G297&lt;&gt;"",$H297&lt;&gt;"",$I297&lt;&gt;""),1,0))</f>
        <v/>
      </c>
      <c r="BR297" s="21">
        <v>246</v>
      </c>
      <c r="BS297" s="21">
        <v>1836</v>
      </c>
      <c r="BT297"/>
    </row>
    <row r="298" spans="1:72" s="23" customFormat="1" ht="18" customHeight="1" x14ac:dyDescent="0.3">
      <c r="A298" s="35" t="s">
        <v>288</v>
      </c>
      <c r="B298" s="37"/>
      <c r="C298" s="37"/>
      <c r="D298" s="37"/>
      <c r="E298" s="37"/>
      <c r="F298" s="35" t="s">
        <v>1296</v>
      </c>
      <c r="G298" s="37"/>
      <c r="H298" s="37"/>
      <c r="I298" s="37"/>
      <c r="J298" s="37"/>
      <c r="K298" s="21" t="str">
        <f t="shared" si="235"/>
        <v>Apprenant 286</v>
      </c>
      <c r="L298" s="22" t="str">
        <f t="shared" si="236"/>
        <v/>
      </c>
      <c r="M298" s="22" t="str">
        <f t="shared" si="237"/>
        <v/>
      </c>
      <c r="N298" s="22" t="str">
        <f t="shared" si="238"/>
        <v/>
      </c>
      <c r="O298" s="22" t="str">
        <f t="shared" si="239"/>
        <v/>
      </c>
      <c r="P298" s="21" t="str">
        <f t="shared" si="240"/>
        <v>Apprenant 286 ou 286'</v>
      </c>
      <c r="Q298" s="22" t="str">
        <f t="shared" si="241"/>
        <v/>
      </c>
      <c r="R298" s="22" t="str">
        <f t="shared" si="242"/>
        <v/>
      </c>
      <c r="S298" s="22" t="str">
        <f t="shared" si="243"/>
        <v/>
      </c>
      <c r="T298" s="22" t="str">
        <f t="shared" si="244"/>
        <v/>
      </c>
      <c r="V298" s="21" t="str">
        <f t="shared" si="245"/>
        <v>Apprenant 286</v>
      </c>
      <c r="W298" s="22" t="str">
        <f>IF(AND(OR('Choix pédagogiques'!$C$3=1,'Choix pédagogiques'!$C$3=2),$BM298=1),B298,IF(AND('Choix pédagogiques'!$C$3=3,$BO298=1),B298,""))</f>
        <v/>
      </c>
      <c r="X298" s="22" t="str">
        <f>IF(AND(OR('Choix pédagogiques'!$C$3=1,'Choix pédagogiques'!$C$3=2),$BM298=1),C298,IF(AND('Choix pédagogiques'!$C$3=3,$BO298=1),C298,""))</f>
        <v/>
      </c>
      <c r="Y298" s="22" t="str">
        <f>IF(AND(OR('Choix pédagogiques'!$C$3=1,'Choix pédagogiques'!$C$3=2),$BM298=1),D298,IF(AND('Choix pédagogiques'!$C$3=3,$BO298=1),D298,""))</f>
        <v/>
      </c>
      <c r="Z298" s="22" t="str">
        <f t="shared" si="246"/>
        <v/>
      </c>
      <c r="AA298" s="21" t="str">
        <f t="shared" si="247"/>
        <v>Apprenant 286 ou 286'</v>
      </c>
      <c r="AB298" s="22" t="str">
        <f>IF(AND(OR('Choix pédagogiques'!$C$3=1,'Choix pédagogiques'!$C$3=2),$BN298=1),G298,IF(AND('Choix pédagogiques'!$C$3=3,$BO298=1),G298,""))</f>
        <v/>
      </c>
      <c r="AC298" s="22" t="str">
        <f>IF(AND(OR('Choix pédagogiques'!$C$3=1,'Choix pédagogiques'!$C$3=2),$BN298=1),H298,IF(AND('Choix pédagogiques'!$C$3=3,$BO298=1),H298,""))</f>
        <v/>
      </c>
      <c r="AD298" s="22" t="str">
        <f>IF(AND(OR('Choix pédagogiques'!$C$3=1,'Choix pédagogiques'!$C$3=2),$BN298=1),I298,IF(AND('Choix pédagogiques'!$C$3=3,$BO298=1),I298,""))</f>
        <v/>
      </c>
      <c r="AE298" s="22" t="str">
        <f t="shared" si="248"/>
        <v/>
      </c>
      <c r="AF298" s="21" t="str">
        <f t="shared" si="249"/>
        <v>Apprenant 286</v>
      </c>
      <c r="AG298" s="22" t="str">
        <f t="shared" si="223"/>
        <v/>
      </c>
      <c r="AH298" s="22" t="str">
        <f t="shared" si="224"/>
        <v/>
      </c>
      <c r="AI298" s="22" t="str">
        <f t="shared" si="225"/>
        <v/>
      </c>
      <c r="AJ298" s="22" t="str">
        <f t="shared" si="250"/>
        <v/>
      </c>
      <c r="AK298" s="21" t="str">
        <f t="shared" si="251"/>
        <v>Apprenant 286 ou 286'</v>
      </c>
      <c r="AL298" s="22" t="str">
        <f t="shared" si="226"/>
        <v/>
      </c>
      <c r="AM298" s="22" t="str">
        <f t="shared" si="227"/>
        <v/>
      </c>
      <c r="AN298" s="22" t="str">
        <f t="shared" si="228"/>
        <v/>
      </c>
      <c r="AO298" s="22" t="str">
        <f t="shared" si="252"/>
        <v/>
      </c>
      <c r="AQ298" s="21" t="str">
        <f t="shared" si="253"/>
        <v>Apprenant 286</v>
      </c>
      <c r="AR298" s="49" t="str">
        <f>IF(AND('Choix pédagogiques'!$C$4&lt;&gt;"?",'Choix pédagogiques'!$C$5&lt;&gt;"?",W298&lt;&gt;""),(W298-'Choix pédagogiques'!$C$4)/('Choix pédagogiques'!$C$5-'Choix pédagogiques'!$C$4),"")</f>
        <v/>
      </c>
      <c r="AS298" s="49" t="str">
        <f>IF(AND('Choix pédagogiques'!$C$4&lt;&gt;"?",'Choix pédagogiques'!$C$5&lt;&gt;"?",X298&lt;&gt;""),(X298-'Choix pédagogiques'!$C$4)/('Choix pédagogiques'!$C$5-'Choix pédagogiques'!$C$4),"")</f>
        <v/>
      </c>
      <c r="AT298" s="49" t="str">
        <f>IF(AND('Choix pédagogiques'!$C$4&lt;&gt;"?",'Choix pédagogiques'!$C$5&lt;&gt;"?",Y298&lt;&gt;""),(Y298-'Choix pédagogiques'!$C$4)/('Choix pédagogiques'!$C$5-'Choix pédagogiques'!$C$4),"")</f>
        <v/>
      </c>
      <c r="AU298" s="22" t="str">
        <f t="shared" si="254"/>
        <v/>
      </c>
      <c r="AV298" s="21" t="str">
        <f t="shared" si="255"/>
        <v>Apprenant 286 ou 286'</v>
      </c>
      <c r="AW298" s="49" t="str">
        <f>IF(AND('Choix pédagogiques'!$C$4&lt;&gt;"?",'Choix pédagogiques'!$C$5&lt;&gt;"?",AB298&lt;&gt;""),(AB298-'Choix pédagogiques'!$C$4)/('Choix pédagogiques'!$C$5-'Choix pédagogiques'!$C$4),"")</f>
        <v/>
      </c>
      <c r="AX298" s="49" t="str">
        <f>IF(AND('Choix pédagogiques'!$C$4&lt;&gt;"?",'Choix pédagogiques'!$C$5&lt;&gt;"?",AC298&lt;&gt;""),(AC298-'Choix pédagogiques'!$C$4)/('Choix pédagogiques'!$C$5-'Choix pédagogiques'!$C$4),"")</f>
        <v/>
      </c>
      <c r="AY298" s="49" t="str">
        <f>IF(AND('Choix pédagogiques'!$C$4&lt;&gt;"?",'Choix pédagogiques'!$C$5&lt;&gt;"?",AD298&lt;&gt;""),(AD298-'Choix pédagogiques'!$C$4)/('Choix pédagogiques'!$C$5-'Choix pédagogiques'!$C$4),"")</f>
        <v/>
      </c>
      <c r="AZ298" s="22" t="str">
        <f t="shared" si="256"/>
        <v/>
      </c>
      <c r="BA298" s="21" t="str">
        <f t="shared" si="257"/>
        <v>Apprenant 286</v>
      </c>
      <c r="BB298" s="49" t="str">
        <f t="shared" si="229"/>
        <v/>
      </c>
      <c r="BC298" s="49" t="str">
        <f t="shared" si="230"/>
        <v/>
      </c>
      <c r="BD298" s="49" t="str">
        <f t="shared" si="231"/>
        <v/>
      </c>
      <c r="BE298" s="22" t="str">
        <f t="shared" si="258"/>
        <v/>
      </c>
      <c r="BF298" s="21" t="str">
        <f t="shared" si="259"/>
        <v>Apprenant 286 ou 286'</v>
      </c>
      <c r="BG298" s="49" t="str">
        <f t="shared" si="232"/>
        <v/>
      </c>
      <c r="BH298" s="49" t="str">
        <f t="shared" si="233"/>
        <v/>
      </c>
      <c r="BI298" s="49" t="str">
        <f t="shared" si="234"/>
        <v/>
      </c>
      <c r="BJ298" s="22" t="str">
        <f t="shared" si="260"/>
        <v/>
      </c>
      <c r="BL298" s="21"/>
      <c r="BM298" s="21" t="str">
        <f>IF(OR(COUNT(B298:D1297)=0,AND('Choix pédagogiques'!$C$3&lt;&gt;1,'Choix pédagogiques'!$C$3&lt;&gt;2)),"",IF(AND(OR('Choix pédagogiques'!$C$3=1,'Choix pédagogiques'!$C$3=2),$B298&lt;&gt;"",$C298&lt;&gt;"",$D298&lt;&gt;""),1,0))</f>
        <v/>
      </c>
      <c r="BN298" s="21" t="str">
        <f>IF(OR(COUNT(G298:I1297)=0,AND('Choix pédagogiques'!$C$3&lt;&gt;1,'Choix pédagogiques'!$C$3&lt;&gt;2)),"",IF(AND(OR('Choix pédagogiques'!$C$3=1,'Choix pédagogiques'!$C$3=2),AND($G298&lt;&gt;"",$H298&lt;&gt;"",$I298&lt;&gt;"")),1,0))</f>
        <v/>
      </c>
      <c r="BO298" s="21" t="str">
        <f>IF(OR(COUNT(B298:D1297)=0,COUNT(G298:I1297)=0,'Choix pédagogiques'!C$3&lt;&gt;3),"",IF(AND('Choix pédagogiques'!$C$3=3,$B298&lt;&gt;"",$C298&lt;&gt;"",$D298&lt;&gt;"",$G298&lt;&gt;"",$H298&lt;&gt;"",$I298&lt;&gt;""),1,0))</f>
        <v/>
      </c>
      <c r="BR298" s="21">
        <v>744</v>
      </c>
      <c r="BS298" s="21">
        <v>1388</v>
      </c>
      <c r="BT298"/>
    </row>
    <row r="299" spans="1:72" s="23" customFormat="1" ht="18" customHeight="1" x14ac:dyDescent="0.3">
      <c r="A299" s="35" t="s">
        <v>289</v>
      </c>
      <c r="B299" s="37"/>
      <c r="C299" s="37"/>
      <c r="D299" s="37"/>
      <c r="E299" s="37"/>
      <c r="F299" s="35" t="s">
        <v>1297</v>
      </c>
      <c r="G299" s="37"/>
      <c r="H299" s="37"/>
      <c r="I299" s="37"/>
      <c r="J299" s="37"/>
      <c r="K299" s="21" t="str">
        <f t="shared" si="235"/>
        <v>Apprenant 287</v>
      </c>
      <c r="L299" s="22" t="str">
        <f t="shared" si="236"/>
        <v/>
      </c>
      <c r="M299" s="22" t="str">
        <f t="shared" si="237"/>
        <v/>
      </c>
      <c r="N299" s="22" t="str">
        <f t="shared" si="238"/>
        <v/>
      </c>
      <c r="O299" s="22" t="str">
        <f t="shared" si="239"/>
        <v/>
      </c>
      <c r="P299" s="21" t="str">
        <f t="shared" si="240"/>
        <v>Apprenant 287 ou 287'</v>
      </c>
      <c r="Q299" s="22" t="str">
        <f t="shared" si="241"/>
        <v/>
      </c>
      <c r="R299" s="22" t="str">
        <f t="shared" si="242"/>
        <v/>
      </c>
      <c r="S299" s="22" t="str">
        <f t="shared" si="243"/>
        <v/>
      </c>
      <c r="T299" s="22" t="str">
        <f t="shared" si="244"/>
        <v/>
      </c>
      <c r="V299" s="21" t="str">
        <f t="shared" si="245"/>
        <v>Apprenant 287</v>
      </c>
      <c r="W299" s="22" t="str">
        <f>IF(AND(OR('Choix pédagogiques'!$C$3=1,'Choix pédagogiques'!$C$3=2),$BM299=1),B299,IF(AND('Choix pédagogiques'!$C$3=3,$BO299=1),B299,""))</f>
        <v/>
      </c>
      <c r="X299" s="22" t="str">
        <f>IF(AND(OR('Choix pédagogiques'!$C$3=1,'Choix pédagogiques'!$C$3=2),$BM299=1),C299,IF(AND('Choix pédagogiques'!$C$3=3,$BO299=1),C299,""))</f>
        <v/>
      </c>
      <c r="Y299" s="22" t="str">
        <f>IF(AND(OR('Choix pédagogiques'!$C$3=1,'Choix pédagogiques'!$C$3=2),$BM299=1),D299,IF(AND('Choix pédagogiques'!$C$3=3,$BO299=1),D299,""))</f>
        <v/>
      </c>
      <c r="Z299" s="22" t="str">
        <f t="shared" si="246"/>
        <v/>
      </c>
      <c r="AA299" s="21" t="str">
        <f t="shared" si="247"/>
        <v>Apprenant 287 ou 287'</v>
      </c>
      <c r="AB299" s="22" t="str">
        <f>IF(AND(OR('Choix pédagogiques'!$C$3=1,'Choix pédagogiques'!$C$3=2),$BN299=1),G299,IF(AND('Choix pédagogiques'!$C$3=3,$BO299=1),G299,""))</f>
        <v/>
      </c>
      <c r="AC299" s="22" t="str">
        <f>IF(AND(OR('Choix pédagogiques'!$C$3=1,'Choix pédagogiques'!$C$3=2),$BN299=1),H299,IF(AND('Choix pédagogiques'!$C$3=3,$BO299=1),H299,""))</f>
        <v/>
      </c>
      <c r="AD299" s="22" t="str">
        <f>IF(AND(OR('Choix pédagogiques'!$C$3=1,'Choix pédagogiques'!$C$3=2),$BN299=1),I299,IF(AND('Choix pédagogiques'!$C$3=3,$BO299=1),I299,""))</f>
        <v/>
      </c>
      <c r="AE299" s="22" t="str">
        <f t="shared" si="248"/>
        <v/>
      </c>
      <c r="AF299" s="21" t="str">
        <f t="shared" si="249"/>
        <v>Apprenant 287</v>
      </c>
      <c r="AG299" s="22" t="str">
        <f t="shared" si="223"/>
        <v/>
      </c>
      <c r="AH299" s="22" t="str">
        <f t="shared" si="224"/>
        <v/>
      </c>
      <c r="AI299" s="22" t="str">
        <f t="shared" si="225"/>
        <v/>
      </c>
      <c r="AJ299" s="22" t="str">
        <f t="shared" si="250"/>
        <v/>
      </c>
      <c r="AK299" s="21" t="str">
        <f t="shared" si="251"/>
        <v>Apprenant 287 ou 287'</v>
      </c>
      <c r="AL299" s="22" t="str">
        <f t="shared" si="226"/>
        <v/>
      </c>
      <c r="AM299" s="22" t="str">
        <f t="shared" si="227"/>
        <v/>
      </c>
      <c r="AN299" s="22" t="str">
        <f t="shared" si="228"/>
        <v/>
      </c>
      <c r="AO299" s="22" t="str">
        <f t="shared" si="252"/>
        <v/>
      </c>
      <c r="AQ299" s="21" t="str">
        <f t="shared" si="253"/>
        <v>Apprenant 287</v>
      </c>
      <c r="AR299" s="49" t="str">
        <f>IF(AND('Choix pédagogiques'!$C$4&lt;&gt;"?",'Choix pédagogiques'!$C$5&lt;&gt;"?",W299&lt;&gt;""),(W299-'Choix pédagogiques'!$C$4)/('Choix pédagogiques'!$C$5-'Choix pédagogiques'!$C$4),"")</f>
        <v/>
      </c>
      <c r="AS299" s="49" t="str">
        <f>IF(AND('Choix pédagogiques'!$C$4&lt;&gt;"?",'Choix pédagogiques'!$C$5&lt;&gt;"?",X299&lt;&gt;""),(X299-'Choix pédagogiques'!$C$4)/('Choix pédagogiques'!$C$5-'Choix pédagogiques'!$C$4),"")</f>
        <v/>
      </c>
      <c r="AT299" s="49" t="str">
        <f>IF(AND('Choix pédagogiques'!$C$4&lt;&gt;"?",'Choix pédagogiques'!$C$5&lt;&gt;"?",Y299&lt;&gt;""),(Y299-'Choix pédagogiques'!$C$4)/('Choix pédagogiques'!$C$5-'Choix pédagogiques'!$C$4),"")</f>
        <v/>
      </c>
      <c r="AU299" s="22" t="str">
        <f t="shared" si="254"/>
        <v/>
      </c>
      <c r="AV299" s="21" t="str">
        <f t="shared" si="255"/>
        <v>Apprenant 287 ou 287'</v>
      </c>
      <c r="AW299" s="49" t="str">
        <f>IF(AND('Choix pédagogiques'!$C$4&lt;&gt;"?",'Choix pédagogiques'!$C$5&lt;&gt;"?",AB299&lt;&gt;""),(AB299-'Choix pédagogiques'!$C$4)/('Choix pédagogiques'!$C$5-'Choix pédagogiques'!$C$4),"")</f>
        <v/>
      </c>
      <c r="AX299" s="49" t="str">
        <f>IF(AND('Choix pédagogiques'!$C$4&lt;&gt;"?",'Choix pédagogiques'!$C$5&lt;&gt;"?",AC299&lt;&gt;""),(AC299-'Choix pédagogiques'!$C$4)/('Choix pédagogiques'!$C$5-'Choix pédagogiques'!$C$4),"")</f>
        <v/>
      </c>
      <c r="AY299" s="49" t="str">
        <f>IF(AND('Choix pédagogiques'!$C$4&lt;&gt;"?",'Choix pédagogiques'!$C$5&lt;&gt;"?",AD299&lt;&gt;""),(AD299-'Choix pédagogiques'!$C$4)/('Choix pédagogiques'!$C$5-'Choix pédagogiques'!$C$4),"")</f>
        <v/>
      </c>
      <c r="AZ299" s="22" t="str">
        <f t="shared" si="256"/>
        <v/>
      </c>
      <c r="BA299" s="21" t="str">
        <f t="shared" si="257"/>
        <v>Apprenant 287</v>
      </c>
      <c r="BB299" s="49" t="str">
        <f t="shared" si="229"/>
        <v/>
      </c>
      <c r="BC299" s="49" t="str">
        <f t="shared" si="230"/>
        <v/>
      </c>
      <c r="BD299" s="49" t="str">
        <f t="shared" si="231"/>
        <v/>
      </c>
      <c r="BE299" s="22" t="str">
        <f t="shared" si="258"/>
        <v/>
      </c>
      <c r="BF299" s="21" t="str">
        <f t="shared" si="259"/>
        <v>Apprenant 287 ou 287'</v>
      </c>
      <c r="BG299" s="49" t="str">
        <f t="shared" si="232"/>
        <v/>
      </c>
      <c r="BH299" s="49" t="str">
        <f t="shared" si="233"/>
        <v/>
      </c>
      <c r="BI299" s="49" t="str">
        <f t="shared" si="234"/>
        <v/>
      </c>
      <c r="BJ299" s="22" t="str">
        <f t="shared" si="260"/>
        <v/>
      </c>
      <c r="BL299" s="21"/>
      <c r="BM299" s="21" t="str">
        <f>IF(OR(COUNT(B299:D1298)=0,AND('Choix pédagogiques'!$C$3&lt;&gt;1,'Choix pédagogiques'!$C$3&lt;&gt;2)),"",IF(AND(OR('Choix pédagogiques'!$C$3=1,'Choix pédagogiques'!$C$3=2),$B299&lt;&gt;"",$C299&lt;&gt;"",$D299&lt;&gt;""),1,0))</f>
        <v/>
      </c>
      <c r="BN299" s="21" t="str">
        <f>IF(OR(COUNT(G299:I1298)=0,AND('Choix pédagogiques'!$C$3&lt;&gt;1,'Choix pédagogiques'!$C$3&lt;&gt;2)),"",IF(AND(OR('Choix pédagogiques'!$C$3=1,'Choix pédagogiques'!$C$3=2),AND($G299&lt;&gt;"",$H299&lt;&gt;"",$I299&lt;&gt;"")),1,0))</f>
        <v/>
      </c>
      <c r="BO299" s="21" t="str">
        <f>IF(OR(COUNT(B299:D1298)=0,COUNT(G299:I1298)=0,'Choix pédagogiques'!C$3&lt;&gt;3),"",IF(AND('Choix pédagogiques'!$C$3=3,$B299&lt;&gt;"",$C299&lt;&gt;"",$D299&lt;&gt;"",$G299&lt;&gt;"",$H299&lt;&gt;"",$I299&lt;&gt;""),1,0))</f>
        <v/>
      </c>
      <c r="BR299" s="21">
        <v>662</v>
      </c>
      <c r="BS299" s="21">
        <v>1308</v>
      </c>
      <c r="BT299"/>
    </row>
    <row r="300" spans="1:72" s="23" customFormat="1" ht="18" customHeight="1" x14ac:dyDescent="0.3">
      <c r="A300" s="35" t="s">
        <v>290</v>
      </c>
      <c r="B300" s="37"/>
      <c r="C300" s="37"/>
      <c r="D300" s="37"/>
      <c r="E300" s="37"/>
      <c r="F300" s="35" t="s">
        <v>1298</v>
      </c>
      <c r="G300" s="37"/>
      <c r="H300" s="37"/>
      <c r="I300" s="37"/>
      <c r="J300" s="37"/>
      <c r="K300" s="21" t="str">
        <f t="shared" si="235"/>
        <v>Apprenant 288</v>
      </c>
      <c r="L300" s="22" t="str">
        <f t="shared" si="236"/>
        <v/>
      </c>
      <c r="M300" s="22" t="str">
        <f t="shared" si="237"/>
        <v/>
      </c>
      <c r="N300" s="22" t="str">
        <f t="shared" si="238"/>
        <v/>
      </c>
      <c r="O300" s="22" t="str">
        <f t="shared" si="239"/>
        <v/>
      </c>
      <c r="P300" s="21" t="str">
        <f t="shared" si="240"/>
        <v>Apprenant 288 ou 288'</v>
      </c>
      <c r="Q300" s="22" t="str">
        <f t="shared" si="241"/>
        <v/>
      </c>
      <c r="R300" s="22" t="str">
        <f t="shared" si="242"/>
        <v/>
      </c>
      <c r="S300" s="22" t="str">
        <f t="shared" si="243"/>
        <v/>
      </c>
      <c r="T300" s="22" t="str">
        <f t="shared" si="244"/>
        <v/>
      </c>
      <c r="V300" s="21" t="str">
        <f t="shared" si="245"/>
        <v>Apprenant 288</v>
      </c>
      <c r="W300" s="22" t="str">
        <f>IF(AND(OR('Choix pédagogiques'!$C$3=1,'Choix pédagogiques'!$C$3=2),$BM300=1),B300,IF(AND('Choix pédagogiques'!$C$3=3,$BO300=1),B300,""))</f>
        <v/>
      </c>
      <c r="X300" s="22" t="str">
        <f>IF(AND(OR('Choix pédagogiques'!$C$3=1,'Choix pédagogiques'!$C$3=2),$BM300=1),C300,IF(AND('Choix pédagogiques'!$C$3=3,$BO300=1),C300,""))</f>
        <v/>
      </c>
      <c r="Y300" s="22" t="str">
        <f>IF(AND(OR('Choix pédagogiques'!$C$3=1,'Choix pédagogiques'!$C$3=2),$BM300=1),D300,IF(AND('Choix pédagogiques'!$C$3=3,$BO300=1),D300,""))</f>
        <v/>
      </c>
      <c r="Z300" s="22" t="str">
        <f t="shared" si="246"/>
        <v/>
      </c>
      <c r="AA300" s="21" t="str">
        <f t="shared" si="247"/>
        <v>Apprenant 288 ou 288'</v>
      </c>
      <c r="AB300" s="22" t="str">
        <f>IF(AND(OR('Choix pédagogiques'!$C$3=1,'Choix pédagogiques'!$C$3=2),$BN300=1),G300,IF(AND('Choix pédagogiques'!$C$3=3,$BO300=1),G300,""))</f>
        <v/>
      </c>
      <c r="AC300" s="22" t="str">
        <f>IF(AND(OR('Choix pédagogiques'!$C$3=1,'Choix pédagogiques'!$C$3=2),$BN300=1),H300,IF(AND('Choix pédagogiques'!$C$3=3,$BO300=1),H300,""))</f>
        <v/>
      </c>
      <c r="AD300" s="22" t="str">
        <f>IF(AND(OR('Choix pédagogiques'!$C$3=1,'Choix pédagogiques'!$C$3=2),$BN300=1),I300,IF(AND('Choix pédagogiques'!$C$3=3,$BO300=1),I300,""))</f>
        <v/>
      </c>
      <c r="AE300" s="22" t="str">
        <f t="shared" si="248"/>
        <v/>
      </c>
      <c r="AF300" s="21" t="str">
        <f t="shared" si="249"/>
        <v>Apprenant 288</v>
      </c>
      <c r="AG300" s="22" t="str">
        <f t="shared" si="223"/>
        <v/>
      </c>
      <c r="AH300" s="22" t="str">
        <f t="shared" si="224"/>
        <v/>
      </c>
      <c r="AI300" s="22" t="str">
        <f t="shared" si="225"/>
        <v/>
      </c>
      <c r="AJ300" s="22" t="str">
        <f t="shared" si="250"/>
        <v/>
      </c>
      <c r="AK300" s="21" t="str">
        <f t="shared" si="251"/>
        <v>Apprenant 288 ou 288'</v>
      </c>
      <c r="AL300" s="22" t="str">
        <f t="shared" si="226"/>
        <v/>
      </c>
      <c r="AM300" s="22" t="str">
        <f t="shared" si="227"/>
        <v/>
      </c>
      <c r="AN300" s="22" t="str">
        <f t="shared" si="228"/>
        <v/>
      </c>
      <c r="AO300" s="22" t="str">
        <f t="shared" si="252"/>
        <v/>
      </c>
      <c r="AQ300" s="21" t="str">
        <f t="shared" si="253"/>
        <v>Apprenant 288</v>
      </c>
      <c r="AR300" s="49" t="str">
        <f>IF(AND('Choix pédagogiques'!$C$4&lt;&gt;"?",'Choix pédagogiques'!$C$5&lt;&gt;"?",W300&lt;&gt;""),(W300-'Choix pédagogiques'!$C$4)/('Choix pédagogiques'!$C$5-'Choix pédagogiques'!$C$4),"")</f>
        <v/>
      </c>
      <c r="AS300" s="49" t="str">
        <f>IF(AND('Choix pédagogiques'!$C$4&lt;&gt;"?",'Choix pédagogiques'!$C$5&lt;&gt;"?",X300&lt;&gt;""),(X300-'Choix pédagogiques'!$C$4)/('Choix pédagogiques'!$C$5-'Choix pédagogiques'!$C$4),"")</f>
        <v/>
      </c>
      <c r="AT300" s="49" t="str">
        <f>IF(AND('Choix pédagogiques'!$C$4&lt;&gt;"?",'Choix pédagogiques'!$C$5&lt;&gt;"?",Y300&lt;&gt;""),(Y300-'Choix pédagogiques'!$C$4)/('Choix pédagogiques'!$C$5-'Choix pédagogiques'!$C$4),"")</f>
        <v/>
      </c>
      <c r="AU300" s="22" t="str">
        <f t="shared" si="254"/>
        <v/>
      </c>
      <c r="AV300" s="21" t="str">
        <f t="shared" si="255"/>
        <v>Apprenant 288 ou 288'</v>
      </c>
      <c r="AW300" s="49" t="str">
        <f>IF(AND('Choix pédagogiques'!$C$4&lt;&gt;"?",'Choix pédagogiques'!$C$5&lt;&gt;"?",AB300&lt;&gt;""),(AB300-'Choix pédagogiques'!$C$4)/('Choix pédagogiques'!$C$5-'Choix pédagogiques'!$C$4),"")</f>
        <v/>
      </c>
      <c r="AX300" s="49" t="str">
        <f>IF(AND('Choix pédagogiques'!$C$4&lt;&gt;"?",'Choix pédagogiques'!$C$5&lt;&gt;"?",AC300&lt;&gt;""),(AC300-'Choix pédagogiques'!$C$4)/('Choix pédagogiques'!$C$5-'Choix pédagogiques'!$C$4),"")</f>
        <v/>
      </c>
      <c r="AY300" s="49" t="str">
        <f>IF(AND('Choix pédagogiques'!$C$4&lt;&gt;"?",'Choix pédagogiques'!$C$5&lt;&gt;"?",AD300&lt;&gt;""),(AD300-'Choix pédagogiques'!$C$4)/('Choix pédagogiques'!$C$5-'Choix pédagogiques'!$C$4),"")</f>
        <v/>
      </c>
      <c r="AZ300" s="22" t="str">
        <f t="shared" si="256"/>
        <v/>
      </c>
      <c r="BA300" s="21" t="str">
        <f t="shared" si="257"/>
        <v>Apprenant 288</v>
      </c>
      <c r="BB300" s="49" t="str">
        <f t="shared" si="229"/>
        <v/>
      </c>
      <c r="BC300" s="49" t="str">
        <f t="shared" si="230"/>
        <v/>
      </c>
      <c r="BD300" s="49" t="str">
        <f t="shared" si="231"/>
        <v/>
      </c>
      <c r="BE300" s="22" t="str">
        <f t="shared" si="258"/>
        <v/>
      </c>
      <c r="BF300" s="21" t="str">
        <f t="shared" si="259"/>
        <v>Apprenant 288 ou 288'</v>
      </c>
      <c r="BG300" s="49" t="str">
        <f t="shared" si="232"/>
        <v/>
      </c>
      <c r="BH300" s="49" t="str">
        <f t="shared" si="233"/>
        <v/>
      </c>
      <c r="BI300" s="49" t="str">
        <f t="shared" si="234"/>
        <v/>
      </c>
      <c r="BJ300" s="22" t="str">
        <f t="shared" si="260"/>
        <v/>
      </c>
      <c r="BL300" s="21"/>
      <c r="BM300" s="21" t="str">
        <f>IF(OR(COUNT(B300:D1299)=0,AND('Choix pédagogiques'!$C$3&lt;&gt;1,'Choix pédagogiques'!$C$3&lt;&gt;2)),"",IF(AND(OR('Choix pédagogiques'!$C$3=1,'Choix pédagogiques'!$C$3=2),$B300&lt;&gt;"",$C300&lt;&gt;"",$D300&lt;&gt;""),1,0))</f>
        <v/>
      </c>
      <c r="BN300" s="21" t="str">
        <f>IF(OR(COUNT(G300:I1299)=0,AND('Choix pédagogiques'!$C$3&lt;&gt;1,'Choix pédagogiques'!$C$3&lt;&gt;2)),"",IF(AND(OR('Choix pédagogiques'!$C$3=1,'Choix pédagogiques'!$C$3=2),AND($G300&lt;&gt;"",$H300&lt;&gt;"",$I300&lt;&gt;"")),1,0))</f>
        <v/>
      </c>
      <c r="BO300" s="21" t="str">
        <f>IF(OR(COUNT(B300:D1299)=0,COUNT(G300:I1299)=0,'Choix pédagogiques'!C$3&lt;&gt;3),"",IF(AND('Choix pédagogiques'!$C$3=3,$B300&lt;&gt;"",$C300&lt;&gt;"",$D300&lt;&gt;"",$G300&lt;&gt;"",$H300&lt;&gt;"",$I300&lt;&gt;""),1,0))</f>
        <v/>
      </c>
      <c r="BR300" s="21">
        <v>843</v>
      </c>
      <c r="BS300" s="21">
        <v>1530</v>
      </c>
      <c r="BT300"/>
    </row>
    <row r="301" spans="1:72" s="23" customFormat="1" ht="18" customHeight="1" x14ac:dyDescent="0.3">
      <c r="A301" s="35" t="s">
        <v>291</v>
      </c>
      <c r="B301" s="37"/>
      <c r="C301" s="37"/>
      <c r="D301" s="37"/>
      <c r="E301" s="37"/>
      <c r="F301" s="35" t="s">
        <v>1299</v>
      </c>
      <c r="G301" s="37"/>
      <c r="H301" s="37"/>
      <c r="I301" s="37"/>
      <c r="J301" s="37"/>
      <c r="K301" s="21" t="str">
        <f t="shared" si="235"/>
        <v>Apprenant 289</v>
      </c>
      <c r="L301" s="22" t="str">
        <f t="shared" si="236"/>
        <v/>
      </c>
      <c r="M301" s="22" t="str">
        <f t="shared" si="237"/>
        <v/>
      </c>
      <c r="N301" s="22" t="str">
        <f t="shared" si="238"/>
        <v/>
      </c>
      <c r="O301" s="22" t="str">
        <f t="shared" si="239"/>
        <v/>
      </c>
      <c r="P301" s="21" t="str">
        <f t="shared" si="240"/>
        <v>Apprenant 289 ou 289'</v>
      </c>
      <c r="Q301" s="22" t="str">
        <f t="shared" si="241"/>
        <v/>
      </c>
      <c r="R301" s="22" t="str">
        <f t="shared" si="242"/>
        <v/>
      </c>
      <c r="S301" s="22" t="str">
        <f t="shared" si="243"/>
        <v/>
      </c>
      <c r="T301" s="22" t="str">
        <f t="shared" si="244"/>
        <v/>
      </c>
      <c r="V301" s="21" t="str">
        <f t="shared" si="245"/>
        <v>Apprenant 289</v>
      </c>
      <c r="W301" s="22" t="str">
        <f>IF(AND(OR('Choix pédagogiques'!$C$3=1,'Choix pédagogiques'!$C$3=2),$BM301=1),B301,IF(AND('Choix pédagogiques'!$C$3=3,$BO301=1),B301,""))</f>
        <v/>
      </c>
      <c r="X301" s="22" t="str">
        <f>IF(AND(OR('Choix pédagogiques'!$C$3=1,'Choix pédagogiques'!$C$3=2),$BM301=1),C301,IF(AND('Choix pédagogiques'!$C$3=3,$BO301=1),C301,""))</f>
        <v/>
      </c>
      <c r="Y301" s="22" t="str">
        <f>IF(AND(OR('Choix pédagogiques'!$C$3=1,'Choix pédagogiques'!$C$3=2),$BM301=1),D301,IF(AND('Choix pédagogiques'!$C$3=3,$BO301=1),D301,""))</f>
        <v/>
      </c>
      <c r="Z301" s="22" t="str">
        <f t="shared" si="246"/>
        <v/>
      </c>
      <c r="AA301" s="21" t="str">
        <f t="shared" si="247"/>
        <v>Apprenant 289 ou 289'</v>
      </c>
      <c r="AB301" s="22" t="str">
        <f>IF(AND(OR('Choix pédagogiques'!$C$3=1,'Choix pédagogiques'!$C$3=2),$BN301=1),G301,IF(AND('Choix pédagogiques'!$C$3=3,$BO301=1),G301,""))</f>
        <v/>
      </c>
      <c r="AC301" s="22" t="str">
        <f>IF(AND(OR('Choix pédagogiques'!$C$3=1,'Choix pédagogiques'!$C$3=2),$BN301=1),H301,IF(AND('Choix pédagogiques'!$C$3=3,$BO301=1),H301,""))</f>
        <v/>
      </c>
      <c r="AD301" s="22" t="str">
        <f>IF(AND(OR('Choix pédagogiques'!$C$3=1,'Choix pédagogiques'!$C$3=2),$BN301=1),I301,IF(AND('Choix pédagogiques'!$C$3=3,$BO301=1),I301,""))</f>
        <v/>
      </c>
      <c r="AE301" s="22" t="str">
        <f t="shared" si="248"/>
        <v/>
      </c>
      <c r="AF301" s="21" t="str">
        <f t="shared" si="249"/>
        <v>Apprenant 289</v>
      </c>
      <c r="AG301" s="22" t="str">
        <f t="shared" si="223"/>
        <v/>
      </c>
      <c r="AH301" s="22" t="str">
        <f t="shared" si="224"/>
        <v/>
      </c>
      <c r="AI301" s="22" t="str">
        <f t="shared" si="225"/>
        <v/>
      </c>
      <c r="AJ301" s="22" t="str">
        <f t="shared" si="250"/>
        <v/>
      </c>
      <c r="AK301" s="21" t="str">
        <f t="shared" si="251"/>
        <v>Apprenant 289 ou 289'</v>
      </c>
      <c r="AL301" s="22" t="str">
        <f t="shared" si="226"/>
        <v/>
      </c>
      <c r="AM301" s="22" t="str">
        <f t="shared" si="227"/>
        <v/>
      </c>
      <c r="AN301" s="22" t="str">
        <f t="shared" si="228"/>
        <v/>
      </c>
      <c r="AO301" s="22" t="str">
        <f t="shared" si="252"/>
        <v/>
      </c>
      <c r="AQ301" s="21" t="str">
        <f t="shared" si="253"/>
        <v>Apprenant 289</v>
      </c>
      <c r="AR301" s="49" t="str">
        <f>IF(AND('Choix pédagogiques'!$C$4&lt;&gt;"?",'Choix pédagogiques'!$C$5&lt;&gt;"?",W301&lt;&gt;""),(W301-'Choix pédagogiques'!$C$4)/('Choix pédagogiques'!$C$5-'Choix pédagogiques'!$C$4),"")</f>
        <v/>
      </c>
      <c r="AS301" s="49" t="str">
        <f>IF(AND('Choix pédagogiques'!$C$4&lt;&gt;"?",'Choix pédagogiques'!$C$5&lt;&gt;"?",X301&lt;&gt;""),(X301-'Choix pédagogiques'!$C$4)/('Choix pédagogiques'!$C$5-'Choix pédagogiques'!$C$4),"")</f>
        <v/>
      </c>
      <c r="AT301" s="49" t="str">
        <f>IF(AND('Choix pédagogiques'!$C$4&lt;&gt;"?",'Choix pédagogiques'!$C$5&lt;&gt;"?",Y301&lt;&gt;""),(Y301-'Choix pédagogiques'!$C$4)/('Choix pédagogiques'!$C$5-'Choix pédagogiques'!$C$4),"")</f>
        <v/>
      </c>
      <c r="AU301" s="22" t="str">
        <f t="shared" si="254"/>
        <v/>
      </c>
      <c r="AV301" s="21" t="str">
        <f t="shared" si="255"/>
        <v>Apprenant 289 ou 289'</v>
      </c>
      <c r="AW301" s="49" t="str">
        <f>IF(AND('Choix pédagogiques'!$C$4&lt;&gt;"?",'Choix pédagogiques'!$C$5&lt;&gt;"?",AB301&lt;&gt;""),(AB301-'Choix pédagogiques'!$C$4)/('Choix pédagogiques'!$C$5-'Choix pédagogiques'!$C$4),"")</f>
        <v/>
      </c>
      <c r="AX301" s="49" t="str">
        <f>IF(AND('Choix pédagogiques'!$C$4&lt;&gt;"?",'Choix pédagogiques'!$C$5&lt;&gt;"?",AC301&lt;&gt;""),(AC301-'Choix pédagogiques'!$C$4)/('Choix pédagogiques'!$C$5-'Choix pédagogiques'!$C$4),"")</f>
        <v/>
      </c>
      <c r="AY301" s="49" t="str">
        <f>IF(AND('Choix pédagogiques'!$C$4&lt;&gt;"?",'Choix pédagogiques'!$C$5&lt;&gt;"?",AD301&lt;&gt;""),(AD301-'Choix pédagogiques'!$C$4)/('Choix pédagogiques'!$C$5-'Choix pédagogiques'!$C$4),"")</f>
        <v/>
      </c>
      <c r="AZ301" s="22" t="str">
        <f t="shared" si="256"/>
        <v/>
      </c>
      <c r="BA301" s="21" t="str">
        <f t="shared" si="257"/>
        <v>Apprenant 289</v>
      </c>
      <c r="BB301" s="49" t="str">
        <f t="shared" si="229"/>
        <v/>
      </c>
      <c r="BC301" s="49" t="str">
        <f t="shared" si="230"/>
        <v/>
      </c>
      <c r="BD301" s="49" t="str">
        <f t="shared" si="231"/>
        <v/>
      </c>
      <c r="BE301" s="22" t="str">
        <f t="shared" si="258"/>
        <v/>
      </c>
      <c r="BF301" s="21" t="str">
        <f t="shared" si="259"/>
        <v>Apprenant 289 ou 289'</v>
      </c>
      <c r="BG301" s="49" t="str">
        <f t="shared" si="232"/>
        <v/>
      </c>
      <c r="BH301" s="49" t="str">
        <f t="shared" si="233"/>
        <v/>
      </c>
      <c r="BI301" s="49" t="str">
        <f t="shared" si="234"/>
        <v/>
      </c>
      <c r="BJ301" s="22" t="str">
        <f t="shared" si="260"/>
        <v/>
      </c>
      <c r="BL301" s="21"/>
      <c r="BM301" s="21" t="str">
        <f>IF(OR(COUNT(B301:D1300)=0,AND('Choix pédagogiques'!$C$3&lt;&gt;1,'Choix pédagogiques'!$C$3&lt;&gt;2)),"",IF(AND(OR('Choix pédagogiques'!$C$3=1,'Choix pédagogiques'!$C$3=2),$B301&lt;&gt;"",$C301&lt;&gt;"",$D301&lt;&gt;""),1,0))</f>
        <v/>
      </c>
      <c r="BN301" s="21" t="str">
        <f>IF(OR(COUNT(G301:I1300)=0,AND('Choix pédagogiques'!$C$3&lt;&gt;1,'Choix pédagogiques'!$C$3&lt;&gt;2)),"",IF(AND(OR('Choix pédagogiques'!$C$3=1,'Choix pédagogiques'!$C$3=2),AND($G301&lt;&gt;"",$H301&lt;&gt;"",$I301&lt;&gt;"")),1,0))</f>
        <v/>
      </c>
      <c r="BO301" s="21" t="str">
        <f>IF(OR(COUNT(B301:D1300)=0,COUNT(G301:I1300)=0,'Choix pédagogiques'!C$3&lt;&gt;3),"",IF(AND('Choix pédagogiques'!$C$3=3,$B301&lt;&gt;"",$C301&lt;&gt;"",$D301&lt;&gt;"",$G301&lt;&gt;"",$H301&lt;&gt;"",$I301&lt;&gt;""),1,0))</f>
        <v/>
      </c>
      <c r="BR301" s="21">
        <v>426</v>
      </c>
      <c r="BS301" s="21">
        <v>1068</v>
      </c>
      <c r="BT301"/>
    </row>
    <row r="302" spans="1:72" s="23" customFormat="1" ht="18" customHeight="1" x14ac:dyDescent="0.3">
      <c r="A302" s="35" t="s">
        <v>292</v>
      </c>
      <c r="B302" s="37"/>
      <c r="C302" s="37"/>
      <c r="D302" s="37"/>
      <c r="E302" s="37"/>
      <c r="F302" s="35" t="s">
        <v>1300</v>
      </c>
      <c r="G302" s="37"/>
      <c r="H302" s="37"/>
      <c r="I302" s="37"/>
      <c r="J302" s="37"/>
      <c r="K302" s="21" t="str">
        <f t="shared" si="235"/>
        <v>Apprenant 290</v>
      </c>
      <c r="L302" s="22" t="str">
        <f t="shared" si="236"/>
        <v/>
      </c>
      <c r="M302" s="22" t="str">
        <f t="shared" si="237"/>
        <v/>
      </c>
      <c r="N302" s="22" t="str">
        <f t="shared" si="238"/>
        <v/>
      </c>
      <c r="O302" s="22" t="str">
        <f t="shared" si="239"/>
        <v/>
      </c>
      <c r="P302" s="21" t="str">
        <f t="shared" si="240"/>
        <v>Apprenant 290 ou 290'</v>
      </c>
      <c r="Q302" s="22" t="str">
        <f t="shared" si="241"/>
        <v/>
      </c>
      <c r="R302" s="22" t="str">
        <f t="shared" si="242"/>
        <v/>
      </c>
      <c r="S302" s="22" t="str">
        <f t="shared" si="243"/>
        <v/>
      </c>
      <c r="T302" s="22" t="str">
        <f t="shared" si="244"/>
        <v/>
      </c>
      <c r="V302" s="21" t="str">
        <f t="shared" si="245"/>
        <v>Apprenant 290</v>
      </c>
      <c r="W302" s="22" t="str">
        <f>IF(AND(OR('Choix pédagogiques'!$C$3=1,'Choix pédagogiques'!$C$3=2),$BM302=1),B302,IF(AND('Choix pédagogiques'!$C$3=3,$BO302=1),B302,""))</f>
        <v/>
      </c>
      <c r="X302" s="22" t="str">
        <f>IF(AND(OR('Choix pédagogiques'!$C$3=1,'Choix pédagogiques'!$C$3=2),$BM302=1),C302,IF(AND('Choix pédagogiques'!$C$3=3,$BO302=1),C302,""))</f>
        <v/>
      </c>
      <c r="Y302" s="22" t="str">
        <f>IF(AND(OR('Choix pédagogiques'!$C$3=1,'Choix pédagogiques'!$C$3=2),$BM302=1),D302,IF(AND('Choix pédagogiques'!$C$3=3,$BO302=1),D302,""))</f>
        <v/>
      </c>
      <c r="Z302" s="22" t="str">
        <f t="shared" si="246"/>
        <v/>
      </c>
      <c r="AA302" s="21" t="str">
        <f t="shared" si="247"/>
        <v>Apprenant 290 ou 290'</v>
      </c>
      <c r="AB302" s="22" t="str">
        <f>IF(AND(OR('Choix pédagogiques'!$C$3=1,'Choix pédagogiques'!$C$3=2),$BN302=1),G302,IF(AND('Choix pédagogiques'!$C$3=3,$BO302=1),G302,""))</f>
        <v/>
      </c>
      <c r="AC302" s="22" t="str">
        <f>IF(AND(OR('Choix pédagogiques'!$C$3=1,'Choix pédagogiques'!$C$3=2),$BN302=1),H302,IF(AND('Choix pédagogiques'!$C$3=3,$BO302=1),H302,""))</f>
        <v/>
      </c>
      <c r="AD302" s="22" t="str">
        <f>IF(AND(OR('Choix pédagogiques'!$C$3=1,'Choix pédagogiques'!$C$3=2),$BN302=1),I302,IF(AND('Choix pédagogiques'!$C$3=3,$BO302=1),I302,""))</f>
        <v/>
      </c>
      <c r="AE302" s="22" t="str">
        <f t="shared" si="248"/>
        <v/>
      </c>
      <c r="AF302" s="21" t="str">
        <f t="shared" si="249"/>
        <v>Apprenant 290</v>
      </c>
      <c r="AG302" s="22" t="str">
        <f t="shared" si="223"/>
        <v/>
      </c>
      <c r="AH302" s="22" t="str">
        <f t="shared" si="224"/>
        <v/>
      </c>
      <c r="AI302" s="22" t="str">
        <f t="shared" si="225"/>
        <v/>
      </c>
      <c r="AJ302" s="22" t="str">
        <f t="shared" si="250"/>
        <v/>
      </c>
      <c r="AK302" s="21" t="str">
        <f t="shared" si="251"/>
        <v>Apprenant 290 ou 290'</v>
      </c>
      <c r="AL302" s="22" t="str">
        <f t="shared" si="226"/>
        <v/>
      </c>
      <c r="AM302" s="22" t="str">
        <f t="shared" si="227"/>
        <v/>
      </c>
      <c r="AN302" s="22" t="str">
        <f t="shared" si="228"/>
        <v/>
      </c>
      <c r="AO302" s="22" t="str">
        <f t="shared" si="252"/>
        <v/>
      </c>
      <c r="AQ302" s="21" t="str">
        <f t="shared" si="253"/>
        <v>Apprenant 290</v>
      </c>
      <c r="AR302" s="49" t="str">
        <f>IF(AND('Choix pédagogiques'!$C$4&lt;&gt;"?",'Choix pédagogiques'!$C$5&lt;&gt;"?",W302&lt;&gt;""),(W302-'Choix pédagogiques'!$C$4)/('Choix pédagogiques'!$C$5-'Choix pédagogiques'!$C$4),"")</f>
        <v/>
      </c>
      <c r="AS302" s="49" t="str">
        <f>IF(AND('Choix pédagogiques'!$C$4&lt;&gt;"?",'Choix pédagogiques'!$C$5&lt;&gt;"?",X302&lt;&gt;""),(X302-'Choix pédagogiques'!$C$4)/('Choix pédagogiques'!$C$5-'Choix pédagogiques'!$C$4),"")</f>
        <v/>
      </c>
      <c r="AT302" s="49" t="str">
        <f>IF(AND('Choix pédagogiques'!$C$4&lt;&gt;"?",'Choix pédagogiques'!$C$5&lt;&gt;"?",Y302&lt;&gt;""),(Y302-'Choix pédagogiques'!$C$4)/('Choix pédagogiques'!$C$5-'Choix pédagogiques'!$C$4),"")</f>
        <v/>
      </c>
      <c r="AU302" s="22" t="str">
        <f t="shared" si="254"/>
        <v/>
      </c>
      <c r="AV302" s="21" t="str">
        <f t="shared" si="255"/>
        <v>Apprenant 290 ou 290'</v>
      </c>
      <c r="AW302" s="49" t="str">
        <f>IF(AND('Choix pédagogiques'!$C$4&lt;&gt;"?",'Choix pédagogiques'!$C$5&lt;&gt;"?",AB302&lt;&gt;""),(AB302-'Choix pédagogiques'!$C$4)/('Choix pédagogiques'!$C$5-'Choix pédagogiques'!$C$4),"")</f>
        <v/>
      </c>
      <c r="AX302" s="49" t="str">
        <f>IF(AND('Choix pédagogiques'!$C$4&lt;&gt;"?",'Choix pédagogiques'!$C$5&lt;&gt;"?",AC302&lt;&gt;""),(AC302-'Choix pédagogiques'!$C$4)/('Choix pédagogiques'!$C$5-'Choix pédagogiques'!$C$4),"")</f>
        <v/>
      </c>
      <c r="AY302" s="49" t="str">
        <f>IF(AND('Choix pédagogiques'!$C$4&lt;&gt;"?",'Choix pédagogiques'!$C$5&lt;&gt;"?",AD302&lt;&gt;""),(AD302-'Choix pédagogiques'!$C$4)/('Choix pédagogiques'!$C$5-'Choix pédagogiques'!$C$4),"")</f>
        <v/>
      </c>
      <c r="AZ302" s="22" t="str">
        <f t="shared" si="256"/>
        <v/>
      </c>
      <c r="BA302" s="21" t="str">
        <f t="shared" si="257"/>
        <v>Apprenant 290</v>
      </c>
      <c r="BB302" s="49" t="str">
        <f t="shared" si="229"/>
        <v/>
      </c>
      <c r="BC302" s="49" t="str">
        <f t="shared" si="230"/>
        <v/>
      </c>
      <c r="BD302" s="49" t="str">
        <f t="shared" si="231"/>
        <v/>
      </c>
      <c r="BE302" s="22" t="str">
        <f t="shared" si="258"/>
        <v/>
      </c>
      <c r="BF302" s="21" t="str">
        <f t="shared" si="259"/>
        <v>Apprenant 290 ou 290'</v>
      </c>
      <c r="BG302" s="49" t="str">
        <f t="shared" si="232"/>
        <v/>
      </c>
      <c r="BH302" s="49" t="str">
        <f t="shared" si="233"/>
        <v/>
      </c>
      <c r="BI302" s="49" t="str">
        <f t="shared" si="234"/>
        <v/>
      </c>
      <c r="BJ302" s="22" t="str">
        <f t="shared" si="260"/>
        <v/>
      </c>
      <c r="BL302" s="21"/>
      <c r="BM302" s="21" t="str">
        <f>IF(OR(COUNT(B302:D1301)=0,AND('Choix pédagogiques'!$C$3&lt;&gt;1,'Choix pédagogiques'!$C$3&lt;&gt;2)),"",IF(AND(OR('Choix pédagogiques'!$C$3=1,'Choix pédagogiques'!$C$3=2),$B302&lt;&gt;"",$C302&lt;&gt;"",$D302&lt;&gt;""),1,0))</f>
        <v/>
      </c>
      <c r="BN302" s="21" t="str">
        <f>IF(OR(COUNT(G302:I1301)=0,AND('Choix pédagogiques'!$C$3&lt;&gt;1,'Choix pédagogiques'!$C$3&lt;&gt;2)),"",IF(AND(OR('Choix pédagogiques'!$C$3=1,'Choix pédagogiques'!$C$3=2),AND($G302&lt;&gt;"",$H302&lt;&gt;"",$I302&lt;&gt;"")),1,0))</f>
        <v/>
      </c>
      <c r="BO302" s="21" t="str">
        <f>IF(OR(COUNT(B302:D1301)=0,COUNT(G302:I1301)=0,'Choix pédagogiques'!C$3&lt;&gt;3),"",IF(AND('Choix pédagogiques'!$C$3=3,$B302&lt;&gt;"",$C302&lt;&gt;"",$D302&lt;&gt;"",$G302&lt;&gt;"",$H302&lt;&gt;"",$I302&lt;&gt;""),1,0))</f>
        <v/>
      </c>
      <c r="BR302" s="21">
        <v>485</v>
      </c>
      <c r="BS302" s="21">
        <v>1730</v>
      </c>
      <c r="BT302"/>
    </row>
    <row r="303" spans="1:72" s="23" customFormat="1" ht="18" customHeight="1" x14ac:dyDescent="0.3">
      <c r="A303" s="35" t="s">
        <v>293</v>
      </c>
      <c r="B303" s="37"/>
      <c r="C303" s="37"/>
      <c r="D303" s="37"/>
      <c r="E303" s="37"/>
      <c r="F303" s="35" t="s">
        <v>1301</v>
      </c>
      <c r="G303" s="37"/>
      <c r="H303" s="37"/>
      <c r="I303" s="37"/>
      <c r="J303" s="37"/>
      <c r="K303" s="21" t="str">
        <f t="shared" si="235"/>
        <v>Apprenant 291</v>
      </c>
      <c r="L303" s="22" t="str">
        <f t="shared" si="236"/>
        <v/>
      </c>
      <c r="M303" s="22" t="str">
        <f t="shared" si="237"/>
        <v/>
      </c>
      <c r="N303" s="22" t="str">
        <f t="shared" si="238"/>
        <v/>
      </c>
      <c r="O303" s="22" t="str">
        <f t="shared" si="239"/>
        <v/>
      </c>
      <c r="P303" s="21" t="str">
        <f t="shared" si="240"/>
        <v>Apprenant 291 ou 291'</v>
      </c>
      <c r="Q303" s="22" t="str">
        <f t="shared" si="241"/>
        <v/>
      </c>
      <c r="R303" s="22" t="str">
        <f t="shared" si="242"/>
        <v/>
      </c>
      <c r="S303" s="22" t="str">
        <f t="shared" si="243"/>
        <v/>
      </c>
      <c r="T303" s="22" t="str">
        <f t="shared" si="244"/>
        <v/>
      </c>
      <c r="V303" s="21" t="str">
        <f t="shared" si="245"/>
        <v>Apprenant 291</v>
      </c>
      <c r="W303" s="22" t="str">
        <f>IF(AND(OR('Choix pédagogiques'!$C$3=1,'Choix pédagogiques'!$C$3=2),$BM303=1),B303,IF(AND('Choix pédagogiques'!$C$3=3,$BO303=1),B303,""))</f>
        <v/>
      </c>
      <c r="X303" s="22" t="str">
        <f>IF(AND(OR('Choix pédagogiques'!$C$3=1,'Choix pédagogiques'!$C$3=2),$BM303=1),C303,IF(AND('Choix pédagogiques'!$C$3=3,$BO303=1),C303,""))</f>
        <v/>
      </c>
      <c r="Y303" s="22" t="str">
        <f>IF(AND(OR('Choix pédagogiques'!$C$3=1,'Choix pédagogiques'!$C$3=2),$BM303=1),D303,IF(AND('Choix pédagogiques'!$C$3=3,$BO303=1),D303,""))</f>
        <v/>
      </c>
      <c r="Z303" s="22" t="str">
        <f t="shared" si="246"/>
        <v/>
      </c>
      <c r="AA303" s="21" t="str">
        <f t="shared" si="247"/>
        <v>Apprenant 291 ou 291'</v>
      </c>
      <c r="AB303" s="22" t="str">
        <f>IF(AND(OR('Choix pédagogiques'!$C$3=1,'Choix pédagogiques'!$C$3=2),$BN303=1),G303,IF(AND('Choix pédagogiques'!$C$3=3,$BO303=1),G303,""))</f>
        <v/>
      </c>
      <c r="AC303" s="22" t="str">
        <f>IF(AND(OR('Choix pédagogiques'!$C$3=1,'Choix pédagogiques'!$C$3=2),$BN303=1),H303,IF(AND('Choix pédagogiques'!$C$3=3,$BO303=1),H303,""))</f>
        <v/>
      </c>
      <c r="AD303" s="22" t="str">
        <f>IF(AND(OR('Choix pédagogiques'!$C$3=1,'Choix pédagogiques'!$C$3=2),$BN303=1),I303,IF(AND('Choix pédagogiques'!$C$3=3,$BO303=1),I303,""))</f>
        <v/>
      </c>
      <c r="AE303" s="22" t="str">
        <f t="shared" si="248"/>
        <v/>
      </c>
      <c r="AF303" s="21" t="str">
        <f t="shared" si="249"/>
        <v>Apprenant 291</v>
      </c>
      <c r="AG303" s="22" t="str">
        <f t="shared" si="223"/>
        <v/>
      </c>
      <c r="AH303" s="22" t="str">
        <f t="shared" si="224"/>
        <v/>
      </c>
      <c r="AI303" s="22" t="str">
        <f t="shared" si="225"/>
        <v/>
      </c>
      <c r="AJ303" s="22" t="str">
        <f t="shared" si="250"/>
        <v/>
      </c>
      <c r="AK303" s="21" t="str">
        <f t="shared" si="251"/>
        <v>Apprenant 291 ou 291'</v>
      </c>
      <c r="AL303" s="22" t="str">
        <f t="shared" si="226"/>
        <v/>
      </c>
      <c r="AM303" s="22" t="str">
        <f t="shared" si="227"/>
        <v/>
      </c>
      <c r="AN303" s="22" t="str">
        <f t="shared" si="228"/>
        <v/>
      </c>
      <c r="AO303" s="22" t="str">
        <f t="shared" si="252"/>
        <v/>
      </c>
      <c r="AQ303" s="21" t="str">
        <f t="shared" si="253"/>
        <v>Apprenant 291</v>
      </c>
      <c r="AR303" s="49" t="str">
        <f>IF(AND('Choix pédagogiques'!$C$4&lt;&gt;"?",'Choix pédagogiques'!$C$5&lt;&gt;"?",W303&lt;&gt;""),(W303-'Choix pédagogiques'!$C$4)/('Choix pédagogiques'!$C$5-'Choix pédagogiques'!$C$4),"")</f>
        <v/>
      </c>
      <c r="AS303" s="49" t="str">
        <f>IF(AND('Choix pédagogiques'!$C$4&lt;&gt;"?",'Choix pédagogiques'!$C$5&lt;&gt;"?",X303&lt;&gt;""),(X303-'Choix pédagogiques'!$C$4)/('Choix pédagogiques'!$C$5-'Choix pédagogiques'!$C$4),"")</f>
        <v/>
      </c>
      <c r="AT303" s="49" t="str">
        <f>IF(AND('Choix pédagogiques'!$C$4&lt;&gt;"?",'Choix pédagogiques'!$C$5&lt;&gt;"?",Y303&lt;&gt;""),(Y303-'Choix pédagogiques'!$C$4)/('Choix pédagogiques'!$C$5-'Choix pédagogiques'!$C$4),"")</f>
        <v/>
      </c>
      <c r="AU303" s="22" t="str">
        <f t="shared" si="254"/>
        <v/>
      </c>
      <c r="AV303" s="21" t="str">
        <f t="shared" si="255"/>
        <v>Apprenant 291 ou 291'</v>
      </c>
      <c r="AW303" s="49" t="str">
        <f>IF(AND('Choix pédagogiques'!$C$4&lt;&gt;"?",'Choix pédagogiques'!$C$5&lt;&gt;"?",AB303&lt;&gt;""),(AB303-'Choix pédagogiques'!$C$4)/('Choix pédagogiques'!$C$5-'Choix pédagogiques'!$C$4),"")</f>
        <v/>
      </c>
      <c r="AX303" s="49" t="str">
        <f>IF(AND('Choix pédagogiques'!$C$4&lt;&gt;"?",'Choix pédagogiques'!$C$5&lt;&gt;"?",AC303&lt;&gt;""),(AC303-'Choix pédagogiques'!$C$4)/('Choix pédagogiques'!$C$5-'Choix pédagogiques'!$C$4),"")</f>
        <v/>
      </c>
      <c r="AY303" s="49" t="str">
        <f>IF(AND('Choix pédagogiques'!$C$4&lt;&gt;"?",'Choix pédagogiques'!$C$5&lt;&gt;"?",AD303&lt;&gt;""),(AD303-'Choix pédagogiques'!$C$4)/('Choix pédagogiques'!$C$5-'Choix pédagogiques'!$C$4),"")</f>
        <v/>
      </c>
      <c r="AZ303" s="22" t="str">
        <f t="shared" si="256"/>
        <v/>
      </c>
      <c r="BA303" s="21" t="str">
        <f t="shared" si="257"/>
        <v>Apprenant 291</v>
      </c>
      <c r="BB303" s="49" t="str">
        <f t="shared" si="229"/>
        <v/>
      </c>
      <c r="BC303" s="49" t="str">
        <f t="shared" si="230"/>
        <v/>
      </c>
      <c r="BD303" s="49" t="str">
        <f t="shared" si="231"/>
        <v/>
      </c>
      <c r="BE303" s="22" t="str">
        <f t="shared" si="258"/>
        <v/>
      </c>
      <c r="BF303" s="21" t="str">
        <f t="shared" si="259"/>
        <v>Apprenant 291 ou 291'</v>
      </c>
      <c r="BG303" s="49" t="str">
        <f t="shared" si="232"/>
        <v/>
      </c>
      <c r="BH303" s="49" t="str">
        <f t="shared" si="233"/>
        <v/>
      </c>
      <c r="BI303" s="49" t="str">
        <f t="shared" si="234"/>
        <v/>
      </c>
      <c r="BJ303" s="22" t="str">
        <f t="shared" si="260"/>
        <v/>
      </c>
      <c r="BL303" s="21"/>
      <c r="BM303" s="21" t="str">
        <f>IF(OR(COUNT(B303:D1302)=0,AND('Choix pédagogiques'!$C$3&lt;&gt;1,'Choix pédagogiques'!$C$3&lt;&gt;2)),"",IF(AND(OR('Choix pédagogiques'!$C$3=1,'Choix pédagogiques'!$C$3=2),$B303&lt;&gt;"",$C303&lt;&gt;"",$D303&lt;&gt;""),1,0))</f>
        <v/>
      </c>
      <c r="BN303" s="21" t="str">
        <f>IF(OR(COUNT(G303:I1302)=0,AND('Choix pédagogiques'!$C$3&lt;&gt;1,'Choix pédagogiques'!$C$3&lt;&gt;2)),"",IF(AND(OR('Choix pédagogiques'!$C$3=1,'Choix pédagogiques'!$C$3=2),AND($G303&lt;&gt;"",$H303&lt;&gt;"",$I303&lt;&gt;"")),1,0))</f>
        <v/>
      </c>
      <c r="BO303" s="21" t="str">
        <f>IF(OR(COUNT(B303:D1302)=0,COUNT(G303:I1302)=0,'Choix pédagogiques'!C$3&lt;&gt;3),"",IF(AND('Choix pédagogiques'!$C$3=3,$B303&lt;&gt;"",$C303&lt;&gt;"",$D303&lt;&gt;"",$G303&lt;&gt;"",$H303&lt;&gt;"",$I303&lt;&gt;""),1,0))</f>
        <v/>
      </c>
      <c r="BR303" s="21">
        <v>349</v>
      </c>
      <c r="BS303" s="21">
        <v>1386</v>
      </c>
      <c r="BT303"/>
    </row>
    <row r="304" spans="1:72" s="23" customFormat="1" ht="18" customHeight="1" x14ac:dyDescent="0.3">
      <c r="A304" s="35" t="s">
        <v>294</v>
      </c>
      <c r="B304" s="37"/>
      <c r="C304" s="37"/>
      <c r="D304" s="37"/>
      <c r="E304" s="37"/>
      <c r="F304" s="35" t="s">
        <v>1302</v>
      </c>
      <c r="G304" s="37"/>
      <c r="H304" s="37"/>
      <c r="I304" s="37"/>
      <c r="J304" s="37"/>
      <c r="K304" s="21" t="str">
        <f t="shared" si="235"/>
        <v>Apprenant 292</v>
      </c>
      <c r="L304" s="22" t="str">
        <f t="shared" si="236"/>
        <v/>
      </c>
      <c r="M304" s="22" t="str">
        <f t="shared" si="237"/>
        <v/>
      </c>
      <c r="N304" s="22" t="str">
        <f t="shared" si="238"/>
        <v/>
      </c>
      <c r="O304" s="22" t="str">
        <f t="shared" si="239"/>
        <v/>
      </c>
      <c r="P304" s="21" t="str">
        <f t="shared" si="240"/>
        <v>Apprenant 292 ou 292'</v>
      </c>
      <c r="Q304" s="22" t="str">
        <f t="shared" si="241"/>
        <v/>
      </c>
      <c r="R304" s="22" t="str">
        <f t="shared" si="242"/>
        <v/>
      </c>
      <c r="S304" s="22" t="str">
        <f t="shared" si="243"/>
        <v/>
      </c>
      <c r="T304" s="22" t="str">
        <f t="shared" si="244"/>
        <v/>
      </c>
      <c r="V304" s="21" t="str">
        <f t="shared" si="245"/>
        <v>Apprenant 292</v>
      </c>
      <c r="W304" s="22" t="str">
        <f>IF(AND(OR('Choix pédagogiques'!$C$3=1,'Choix pédagogiques'!$C$3=2),$BM304=1),B304,IF(AND('Choix pédagogiques'!$C$3=3,$BO304=1),B304,""))</f>
        <v/>
      </c>
      <c r="X304" s="22" t="str">
        <f>IF(AND(OR('Choix pédagogiques'!$C$3=1,'Choix pédagogiques'!$C$3=2),$BM304=1),C304,IF(AND('Choix pédagogiques'!$C$3=3,$BO304=1),C304,""))</f>
        <v/>
      </c>
      <c r="Y304" s="22" t="str">
        <f>IF(AND(OR('Choix pédagogiques'!$C$3=1,'Choix pédagogiques'!$C$3=2),$BM304=1),D304,IF(AND('Choix pédagogiques'!$C$3=3,$BO304=1),D304,""))</f>
        <v/>
      </c>
      <c r="Z304" s="22" t="str">
        <f t="shared" si="246"/>
        <v/>
      </c>
      <c r="AA304" s="21" t="str">
        <f t="shared" si="247"/>
        <v>Apprenant 292 ou 292'</v>
      </c>
      <c r="AB304" s="22" t="str">
        <f>IF(AND(OR('Choix pédagogiques'!$C$3=1,'Choix pédagogiques'!$C$3=2),$BN304=1),G304,IF(AND('Choix pédagogiques'!$C$3=3,$BO304=1),G304,""))</f>
        <v/>
      </c>
      <c r="AC304" s="22" t="str">
        <f>IF(AND(OR('Choix pédagogiques'!$C$3=1,'Choix pédagogiques'!$C$3=2),$BN304=1),H304,IF(AND('Choix pédagogiques'!$C$3=3,$BO304=1),H304,""))</f>
        <v/>
      </c>
      <c r="AD304" s="22" t="str">
        <f>IF(AND(OR('Choix pédagogiques'!$C$3=1,'Choix pédagogiques'!$C$3=2),$BN304=1),I304,IF(AND('Choix pédagogiques'!$C$3=3,$BO304=1),I304,""))</f>
        <v/>
      </c>
      <c r="AE304" s="22" t="str">
        <f t="shared" si="248"/>
        <v/>
      </c>
      <c r="AF304" s="21" t="str">
        <f t="shared" si="249"/>
        <v>Apprenant 292</v>
      </c>
      <c r="AG304" s="22" t="str">
        <f t="shared" si="223"/>
        <v/>
      </c>
      <c r="AH304" s="22" t="str">
        <f t="shared" si="224"/>
        <v/>
      </c>
      <c r="AI304" s="22" t="str">
        <f t="shared" si="225"/>
        <v/>
      </c>
      <c r="AJ304" s="22" t="str">
        <f t="shared" si="250"/>
        <v/>
      </c>
      <c r="AK304" s="21" t="str">
        <f t="shared" si="251"/>
        <v>Apprenant 292 ou 292'</v>
      </c>
      <c r="AL304" s="22" t="str">
        <f t="shared" si="226"/>
        <v/>
      </c>
      <c r="AM304" s="22" t="str">
        <f t="shared" si="227"/>
        <v/>
      </c>
      <c r="AN304" s="22" t="str">
        <f t="shared" si="228"/>
        <v/>
      </c>
      <c r="AO304" s="22" t="str">
        <f t="shared" si="252"/>
        <v/>
      </c>
      <c r="AQ304" s="21" t="str">
        <f t="shared" si="253"/>
        <v>Apprenant 292</v>
      </c>
      <c r="AR304" s="49" t="str">
        <f>IF(AND('Choix pédagogiques'!$C$4&lt;&gt;"?",'Choix pédagogiques'!$C$5&lt;&gt;"?",W304&lt;&gt;""),(W304-'Choix pédagogiques'!$C$4)/('Choix pédagogiques'!$C$5-'Choix pédagogiques'!$C$4),"")</f>
        <v/>
      </c>
      <c r="AS304" s="49" t="str">
        <f>IF(AND('Choix pédagogiques'!$C$4&lt;&gt;"?",'Choix pédagogiques'!$C$5&lt;&gt;"?",X304&lt;&gt;""),(X304-'Choix pédagogiques'!$C$4)/('Choix pédagogiques'!$C$5-'Choix pédagogiques'!$C$4),"")</f>
        <v/>
      </c>
      <c r="AT304" s="49" t="str">
        <f>IF(AND('Choix pédagogiques'!$C$4&lt;&gt;"?",'Choix pédagogiques'!$C$5&lt;&gt;"?",Y304&lt;&gt;""),(Y304-'Choix pédagogiques'!$C$4)/('Choix pédagogiques'!$C$5-'Choix pédagogiques'!$C$4),"")</f>
        <v/>
      </c>
      <c r="AU304" s="22" t="str">
        <f t="shared" si="254"/>
        <v/>
      </c>
      <c r="AV304" s="21" t="str">
        <f t="shared" si="255"/>
        <v>Apprenant 292 ou 292'</v>
      </c>
      <c r="AW304" s="49" t="str">
        <f>IF(AND('Choix pédagogiques'!$C$4&lt;&gt;"?",'Choix pédagogiques'!$C$5&lt;&gt;"?",AB304&lt;&gt;""),(AB304-'Choix pédagogiques'!$C$4)/('Choix pédagogiques'!$C$5-'Choix pédagogiques'!$C$4),"")</f>
        <v/>
      </c>
      <c r="AX304" s="49" t="str">
        <f>IF(AND('Choix pédagogiques'!$C$4&lt;&gt;"?",'Choix pédagogiques'!$C$5&lt;&gt;"?",AC304&lt;&gt;""),(AC304-'Choix pédagogiques'!$C$4)/('Choix pédagogiques'!$C$5-'Choix pédagogiques'!$C$4),"")</f>
        <v/>
      </c>
      <c r="AY304" s="49" t="str">
        <f>IF(AND('Choix pédagogiques'!$C$4&lt;&gt;"?",'Choix pédagogiques'!$C$5&lt;&gt;"?",AD304&lt;&gt;""),(AD304-'Choix pédagogiques'!$C$4)/('Choix pédagogiques'!$C$5-'Choix pédagogiques'!$C$4),"")</f>
        <v/>
      </c>
      <c r="AZ304" s="22" t="str">
        <f t="shared" si="256"/>
        <v/>
      </c>
      <c r="BA304" s="21" t="str">
        <f t="shared" si="257"/>
        <v>Apprenant 292</v>
      </c>
      <c r="BB304" s="49" t="str">
        <f t="shared" si="229"/>
        <v/>
      </c>
      <c r="BC304" s="49" t="str">
        <f t="shared" si="230"/>
        <v/>
      </c>
      <c r="BD304" s="49" t="str">
        <f t="shared" si="231"/>
        <v/>
      </c>
      <c r="BE304" s="22" t="str">
        <f t="shared" si="258"/>
        <v/>
      </c>
      <c r="BF304" s="21" t="str">
        <f t="shared" si="259"/>
        <v>Apprenant 292 ou 292'</v>
      </c>
      <c r="BG304" s="49" t="str">
        <f t="shared" si="232"/>
        <v/>
      </c>
      <c r="BH304" s="49" t="str">
        <f t="shared" si="233"/>
        <v/>
      </c>
      <c r="BI304" s="49" t="str">
        <f t="shared" si="234"/>
        <v/>
      </c>
      <c r="BJ304" s="22" t="str">
        <f t="shared" si="260"/>
        <v/>
      </c>
      <c r="BL304" s="21"/>
      <c r="BM304" s="21" t="str">
        <f>IF(OR(COUNT(B304:D1303)=0,AND('Choix pédagogiques'!$C$3&lt;&gt;1,'Choix pédagogiques'!$C$3&lt;&gt;2)),"",IF(AND(OR('Choix pédagogiques'!$C$3=1,'Choix pédagogiques'!$C$3=2),$B304&lt;&gt;"",$C304&lt;&gt;"",$D304&lt;&gt;""),1,0))</f>
        <v/>
      </c>
      <c r="BN304" s="21" t="str">
        <f>IF(OR(COUNT(G304:I1303)=0,AND('Choix pédagogiques'!$C$3&lt;&gt;1,'Choix pédagogiques'!$C$3&lt;&gt;2)),"",IF(AND(OR('Choix pédagogiques'!$C$3=1,'Choix pédagogiques'!$C$3=2),AND($G304&lt;&gt;"",$H304&lt;&gt;"",$I304&lt;&gt;"")),1,0))</f>
        <v/>
      </c>
      <c r="BO304" s="21" t="str">
        <f>IF(OR(COUNT(B304:D1303)=0,COUNT(G304:I1303)=0,'Choix pédagogiques'!C$3&lt;&gt;3),"",IF(AND('Choix pédagogiques'!$C$3=3,$B304&lt;&gt;"",$C304&lt;&gt;"",$D304&lt;&gt;"",$G304&lt;&gt;"",$H304&lt;&gt;"",$I304&lt;&gt;""),1,0))</f>
        <v/>
      </c>
      <c r="BR304" s="21">
        <v>384</v>
      </c>
      <c r="BS304" s="21">
        <v>1592</v>
      </c>
      <c r="BT304"/>
    </row>
    <row r="305" spans="1:72" s="23" customFormat="1" ht="18" customHeight="1" x14ac:dyDescent="0.3">
      <c r="A305" s="35" t="s">
        <v>295</v>
      </c>
      <c r="B305" s="37"/>
      <c r="C305" s="37"/>
      <c r="D305" s="37"/>
      <c r="E305" s="37"/>
      <c r="F305" s="35" t="s">
        <v>1303</v>
      </c>
      <c r="G305" s="37"/>
      <c r="H305" s="37"/>
      <c r="I305" s="37"/>
      <c r="J305" s="37"/>
      <c r="K305" s="21" t="str">
        <f t="shared" si="235"/>
        <v>Apprenant 293</v>
      </c>
      <c r="L305" s="22" t="str">
        <f t="shared" si="236"/>
        <v/>
      </c>
      <c r="M305" s="22" t="str">
        <f t="shared" si="237"/>
        <v/>
      </c>
      <c r="N305" s="22" t="str">
        <f t="shared" si="238"/>
        <v/>
      </c>
      <c r="O305" s="22" t="str">
        <f t="shared" si="239"/>
        <v/>
      </c>
      <c r="P305" s="21" t="str">
        <f t="shared" si="240"/>
        <v>Apprenant 293 ou 293'</v>
      </c>
      <c r="Q305" s="22" t="str">
        <f t="shared" si="241"/>
        <v/>
      </c>
      <c r="R305" s="22" t="str">
        <f t="shared" si="242"/>
        <v/>
      </c>
      <c r="S305" s="22" t="str">
        <f t="shared" si="243"/>
        <v/>
      </c>
      <c r="T305" s="22" t="str">
        <f t="shared" si="244"/>
        <v/>
      </c>
      <c r="V305" s="21" t="str">
        <f t="shared" si="245"/>
        <v>Apprenant 293</v>
      </c>
      <c r="W305" s="22" t="str">
        <f>IF(AND(OR('Choix pédagogiques'!$C$3=1,'Choix pédagogiques'!$C$3=2),$BM305=1),B305,IF(AND('Choix pédagogiques'!$C$3=3,$BO305=1),B305,""))</f>
        <v/>
      </c>
      <c r="X305" s="22" t="str">
        <f>IF(AND(OR('Choix pédagogiques'!$C$3=1,'Choix pédagogiques'!$C$3=2),$BM305=1),C305,IF(AND('Choix pédagogiques'!$C$3=3,$BO305=1),C305,""))</f>
        <v/>
      </c>
      <c r="Y305" s="22" t="str">
        <f>IF(AND(OR('Choix pédagogiques'!$C$3=1,'Choix pédagogiques'!$C$3=2),$BM305=1),D305,IF(AND('Choix pédagogiques'!$C$3=3,$BO305=1),D305,""))</f>
        <v/>
      </c>
      <c r="Z305" s="22" t="str">
        <f t="shared" si="246"/>
        <v/>
      </c>
      <c r="AA305" s="21" t="str">
        <f t="shared" si="247"/>
        <v>Apprenant 293 ou 293'</v>
      </c>
      <c r="AB305" s="22" t="str">
        <f>IF(AND(OR('Choix pédagogiques'!$C$3=1,'Choix pédagogiques'!$C$3=2),$BN305=1),G305,IF(AND('Choix pédagogiques'!$C$3=3,$BO305=1),G305,""))</f>
        <v/>
      </c>
      <c r="AC305" s="22" t="str">
        <f>IF(AND(OR('Choix pédagogiques'!$C$3=1,'Choix pédagogiques'!$C$3=2),$BN305=1),H305,IF(AND('Choix pédagogiques'!$C$3=3,$BO305=1),H305,""))</f>
        <v/>
      </c>
      <c r="AD305" s="22" t="str">
        <f>IF(AND(OR('Choix pédagogiques'!$C$3=1,'Choix pédagogiques'!$C$3=2),$BN305=1),I305,IF(AND('Choix pédagogiques'!$C$3=3,$BO305=1),I305,""))</f>
        <v/>
      </c>
      <c r="AE305" s="22" t="str">
        <f t="shared" si="248"/>
        <v/>
      </c>
      <c r="AF305" s="21" t="str">
        <f t="shared" si="249"/>
        <v>Apprenant 293</v>
      </c>
      <c r="AG305" s="22" t="str">
        <f t="shared" si="223"/>
        <v/>
      </c>
      <c r="AH305" s="22" t="str">
        <f t="shared" si="224"/>
        <v/>
      </c>
      <c r="AI305" s="22" t="str">
        <f t="shared" si="225"/>
        <v/>
      </c>
      <c r="AJ305" s="22" t="str">
        <f t="shared" si="250"/>
        <v/>
      </c>
      <c r="AK305" s="21" t="str">
        <f t="shared" si="251"/>
        <v>Apprenant 293 ou 293'</v>
      </c>
      <c r="AL305" s="22" t="str">
        <f t="shared" si="226"/>
        <v/>
      </c>
      <c r="AM305" s="22" t="str">
        <f t="shared" si="227"/>
        <v/>
      </c>
      <c r="AN305" s="22" t="str">
        <f t="shared" si="228"/>
        <v/>
      </c>
      <c r="AO305" s="22" t="str">
        <f t="shared" si="252"/>
        <v/>
      </c>
      <c r="AQ305" s="21" t="str">
        <f t="shared" si="253"/>
        <v>Apprenant 293</v>
      </c>
      <c r="AR305" s="49" t="str">
        <f>IF(AND('Choix pédagogiques'!$C$4&lt;&gt;"?",'Choix pédagogiques'!$C$5&lt;&gt;"?",W305&lt;&gt;""),(W305-'Choix pédagogiques'!$C$4)/('Choix pédagogiques'!$C$5-'Choix pédagogiques'!$C$4),"")</f>
        <v/>
      </c>
      <c r="AS305" s="49" t="str">
        <f>IF(AND('Choix pédagogiques'!$C$4&lt;&gt;"?",'Choix pédagogiques'!$C$5&lt;&gt;"?",X305&lt;&gt;""),(X305-'Choix pédagogiques'!$C$4)/('Choix pédagogiques'!$C$5-'Choix pédagogiques'!$C$4),"")</f>
        <v/>
      </c>
      <c r="AT305" s="49" t="str">
        <f>IF(AND('Choix pédagogiques'!$C$4&lt;&gt;"?",'Choix pédagogiques'!$C$5&lt;&gt;"?",Y305&lt;&gt;""),(Y305-'Choix pédagogiques'!$C$4)/('Choix pédagogiques'!$C$5-'Choix pédagogiques'!$C$4),"")</f>
        <v/>
      </c>
      <c r="AU305" s="22" t="str">
        <f t="shared" si="254"/>
        <v/>
      </c>
      <c r="AV305" s="21" t="str">
        <f t="shared" si="255"/>
        <v>Apprenant 293 ou 293'</v>
      </c>
      <c r="AW305" s="49" t="str">
        <f>IF(AND('Choix pédagogiques'!$C$4&lt;&gt;"?",'Choix pédagogiques'!$C$5&lt;&gt;"?",AB305&lt;&gt;""),(AB305-'Choix pédagogiques'!$C$4)/('Choix pédagogiques'!$C$5-'Choix pédagogiques'!$C$4),"")</f>
        <v/>
      </c>
      <c r="AX305" s="49" t="str">
        <f>IF(AND('Choix pédagogiques'!$C$4&lt;&gt;"?",'Choix pédagogiques'!$C$5&lt;&gt;"?",AC305&lt;&gt;""),(AC305-'Choix pédagogiques'!$C$4)/('Choix pédagogiques'!$C$5-'Choix pédagogiques'!$C$4),"")</f>
        <v/>
      </c>
      <c r="AY305" s="49" t="str">
        <f>IF(AND('Choix pédagogiques'!$C$4&lt;&gt;"?",'Choix pédagogiques'!$C$5&lt;&gt;"?",AD305&lt;&gt;""),(AD305-'Choix pédagogiques'!$C$4)/('Choix pédagogiques'!$C$5-'Choix pédagogiques'!$C$4),"")</f>
        <v/>
      </c>
      <c r="AZ305" s="22" t="str">
        <f t="shared" si="256"/>
        <v/>
      </c>
      <c r="BA305" s="21" t="str">
        <f t="shared" si="257"/>
        <v>Apprenant 293</v>
      </c>
      <c r="BB305" s="49" t="str">
        <f t="shared" si="229"/>
        <v/>
      </c>
      <c r="BC305" s="49" t="str">
        <f t="shared" si="230"/>
        <v/>
      </c>
      <c r="BD305" s="49" t="str">
        <f t="shared" si="231"/>
        <v/>
      </c>
      <c r="BE305" s="22" t="str">
        <f t="shared" si="258"/>
        <v/>
      </c>
      <c r="BF305" s="21" t="str">
        <f t="shared" si="259"/>
        <v>Apprenant 293 ou 293'</v>
      </c>
      <c r="BG305" s="49" t="str">
        <f t="shared" si="232"/>
        <v/>
      </c>
      <c r="BH305" s="49" t="str">
        <f t="shared" si="233"/>
        <v/>
      </c>
      <c r="BI305" s="49" t="str">
        <f t="shared" si="234"/>
        <v/>
      </c>
      <c r="BJ305" s="22" t="str">
        <f t="shared" si="260"/>
        <v/>
      </c>
      <c r="BL305" s="21"/>
      <c r="BM305" s="21" t="str">
        <f>IF(OR(COUNT(B305:D1304)=0,AND('Choix pédagogiques'!$C$3&lt;&gt;1,'Choix pédagogiques'!$C$3&lt;&gt;2)),"",IF(AND(OR('Choix pédagogiques'!$C$3=1,'Choix pédagogiques'!$C$3=2),$B305&lt;&gt;"",$C305&lt;&gt;"",$D305&lt;&gt;""),1,0))</f>
        <v/>
      </c>
      <c r="BN305" s="21" t="str">
        <f>IF(OR(COUNT(G305:I1304)=0,AND('Choix pédagogiques'!$C$3&lt;&gt;1,'Choix pédagogiques'!$C$3&lt;&gt;2)),"",IF(AND(OR('Choix pédagogiques'!$C$3=1,'Choix pédagogiques'!$C$3=2),AND($G305&lt;&gt;"",$H305&lt;&gt;"",$I305&lt;&gt;"")),1,0))</f>
        <v/>
      </c>
      <c r="BO305" s="21" t="str">
        <f>IF(OR(COUNT(B305:D1304)=0,COUNT(G305:I1304)=0,'Choix pédagogiques'!C$3&lt;&gt;3),"",IF(AND('Choix pédagogiques'!$C$3=3,$B305&lt;&gt;"",$C305&lt;&gt;"",$D305&lt;&gt;"",$G305&lt;&gt;"",$H305&lt;&gt;"",$I305&lt;&gt;""),1,0))</f>
        <v/>
      </c>
      <c r="BR305" s="21">
        <v>749</v>
      </c>
      <c r="BS305" s="21">
        <v>1851</v>
      </c>
      <c r="BT305"/>
    </row>
    <row r="306" spans="1:72" s="23" customFormat="1" ht="18" customHeight="1" x14ac:dyDescent="0.3">
      <c r="A306" s="35" t="s">
        <v>296</v>
      </c>
      <c r="B306" s="37"/>
      <c r="C306" s="37"/>
      <c r="D306" s="37"/>
      <c r="E306" s="37"/>
      <c r="F306" s="35" t="s">
        <v>1304</v>
      </c>
      <c r="G306" s="37"/>
      <c r="H306" s="37"/>
      <c r="I306" s="37"/>
      <c r="J306" s="37"/>
      <c r="K306" s="21" t="str">
        <f t="shared" si="235"/>
        <v>Apprenant 294</v>
      </c>
      <c r="L306" s="22" t="str">
        <f t="shared" si="236"/>
        <v/>
      </c>
      <c r="M306" s="22" t="str">
        <f t="shared" si="237"/>
        <v/>
      </c>
      <c r="N306" s="22" t="str">
        <f t="shared" si="238"/>
        <v/>
      </c>
      <c r="O306" s="22" t="str">
        <f t="shared" si="239"/>
        <v/>
      </c>
      <c r="P306" s="21" t="str">
        <f t="shared" si="240"/>
        <v>Apprenant 294 ou 294'</v>
      </c>
      <c r="Q306" s="22" t="str">
        <f t="shared" si="241"/>
        <v/>
      </c>
      <c r="R306" s="22" t="str">
        <f t="shared" si="242"/>
        <v/>
      </c>
      <c r="S306" s="22" t="str">
        <f t="shared" si="243"/>
        <v/>
      </c>
      <c r="T306" s="22" t="str">
        <f t="shared" si="244"/>
        <v/>
      </c>
      <c r="V306" s="21" t="str">
        <f t="shared" si="245"/>
        <v>Apprenant 294</v>
      </c>
      <c r="W306" s="22" t="str">
        <f>IF(AND(OR('Choix pédagogiques'!$C$3=1,'Choix pédagogiques'!$C$3=2),$BM306=1),B306,IF(AND('Choix pédagogiques'!$C$3=3,$BO306=1),B306,""))</f>
        <v/>
      </c>
      <c r="X306" s="22" t="str">
        <f>IF(AND(OR('Choix pédagogiques'!$C$3=1,'Choix pédagogiques'!$C$3=2),$BM306=1),C306,IF(AND('Choix pédagogiques'!$C$3=3,$BO306=1),C306,""))</f>
        <v/>
      </c>
      <c r="Y306" s="22" t="str">
        <f>IF(AND(OR('Choix pédagogiques'!$C$3=1,'Choix pédagogiques'!$C$3=2),$BM306=1),D306,IF(AND('Choix pédagogiques'!$C$3=3,$BO306=1),D306,""))</f>
        <v/>
      </c>
      <c r="Z306" s="22" t="str">
        <f t="shared" si="246"/>
        <v/>
      </c>
      <c r="AA306" s="21" t="str">
        <f t="shared" si="247"/>
        <v>Apprenant 294 ou 294'</v>
      </c>
      <c r="AB306" s="22" t="str">
        <f>IF(AND(OR('Choix pédagogiques'!$C$3=1,'Choix pédagogiques'!$C$3=2),$BN306=1),G306,IF(AND('Choix pédagogiques'!$C$3=3,$BO306=1),G306,""))</f>
        <v/>
      </c>
      <c r="AC306" s="22" t="str">
        <f>IF(AND(OR('Choix pédagogiques'!$C$3=1,'Choix pédagogiques'!$C$3=2),$BN306=1),H306,IF(AND('Choix pédagogiques'!$C$3=3,$BO306=1),H306,""))</f>
        <v/>
      </c>
      <c r="AD306" s="22" t="str">
        <f>IF(AND(OR('Choix pédagogiques'!$C$3=1,'Choix pédagogiques'!$C$3=2),$BN306=1),I306,IF(AND('Choix pédagogiques'!$C$3=3,$BO306=1),I306,""))</f>
        <v/>
      </c>
      <c r="AE306" s="22" t="str">
        <f t="shared" si="248"/>
        <v/>
      </c>
      <c r="AF306" s="21" t="str">
        <f t="shared" si="249"/>
        <v>Apprenant 294</v>
      </c>
      <c r="AG306" s="22" t="str">
        <f t="shared" si="223"/>
        <v/>
      </c>
      <c r="AH306" s="22" t="str">
        <f t="shared" si="224"/>
        <v/>
      </c>
      <c r="AI306" s="22" t="str">
        <f t="shared" si="225"/>
        <v/>
      </c>
      <c r="AJ306" s="22" t="str">
        <f t="shared" si="250"/>
        <v/>
      </c>
      <c r="AK306" s="21" t="str">
        <f t="shared" si="251"/>
        <v>Apprenant 294 ou 294'</v>
      </c>
      <c r="AL306" s="22" t="str">
        <f t="shared" si="226"/>
        <v/>
      </c>
      <c r="AM306" s="22" t="str">
        <f t="shared" si="227"/>
        <v/>
      </c>
      <c r="AN306" s="22" t="str">
        <f t="shared" si="228"/>
        <v/>
      </c>
      <c r="AO306" s="22" t="str">
        <f t="shared" si="252"/>
        <v/>
      </c>
      <c r="AQ306" s="21" t="str">
        <f t="shared" si="253"/>
        <v>Apprenant 294</v>
      </c>
      <c r="AR306" s="49" t="str">
        <f>IF(AND('Choix pédagogiques'!$C$4&lt;&gt;"?",'Choix pédagogiques'!$C$5&lt;&gt;"?",W306&lt;&gt;""),(W306-'Choix pédagogiques'!$C$4)/('Choix pédagogiques'!$C$5-'Choix pédagogiques'!$C$4),"")</f>
        <v/>
      </c>
      <c r="AS306" s="49" t="str">
        <f>IF(AND('Choix pédagogiques'!$C$4&lt;&gt;"?",'Choix pédagogiques'!$C$5&lt;&gt;"?",X306&lt;&gt;""),(X306-'Choix pédagogiques'!$C$4)/('Choix pédagogiques'!$C$5-'Choix pédagogiques'!$C$4),"")</f>
        <v/>
      </c>
      <c r="AT306" s="49" t="str">
        <f>IF(AND('Choix pédagogiques'!$C$4&lt;&gt;"?",'Choix pédagogiques'!$C$5&lt;&gt;"?",Y306&lt;&gt;""),(Y306-'Choix pédagogiques'!$C$4)/('Choix pédagogiques'!$C$5-'Choix pédagogiques'!$C$4),"")</f>
        <v/>
      </c>
      <c r="AU306" s="22" t="str">
        <f t="shared" si="254"/>
        <v/>
      </c>
      <c r="AV306" s="21" t="str">
        <f t="shared" si="255"/>
        <v>Apprenant 294 ou 294'</v>
      </c>
      <c r="AW306" s="49" t="str">
        <f>IF(AND('Choix pédagogiques'!$C$4&lt;&gt;"?",'Choix pédagogiques'!$C$5&lt;&gt;"?",AB306&lt;&gt;""),(AB306-'Choix pédagogiques'!$C$4)/('Choix pédagogiques'!$C$5-'Choix pédagogiques'!$C$4),"")</f>
        <v/>
      </c>
      <c r="AX306" s="49" t="str">
        <f>IF(AND('Choix pédagogiques'!$C$4&lt;&gt;"?",'Choix pédagogiques'!$C$5&lt;&gt;"?",AC306&lt;&gt;""),(AC306-'Choix pédagogiques'!$C$4)/('Choix pédagogiques'!$C$5-'Choix pédagogiques'!$C$4),"")</f>
        <v/>
      </c>
      <c r="AY306" s="49" t="str">
        <f>IF(AND('Choix pédagogiques'!$C$4&lt;&gt;"?",'Choix pédagogiques'!$C$5&lt;&gt;"?",AD306&lt;&gt;""),(AD306-'Choix pédagogiques'!$C$4)/('Choix pédagogiques'!$C$5-'Choix pédagogiques'!$C$4),"")</f>
        <v/>
      </c>
      <c r="AZ306" s="22" t="str">
        <f t="shared" si="256"/>
        <v/>
      </c>
      <c r="BA306" s="21" t="str">
        <f t="shared" si="257"/>
        <v>Apprenant 294</v>
      </c>
      <c r="BB306" s="49" t="str">
        <f t="shared" si="229"/>
        <v/>
      </c>
      <c r="BC306" s="49" t="str">
        <f t="shared" si="230"/>
        <v/>
      </c>
      <c r="BD306" s="49" t="str">
        <f t="shared" si="231"/>
        <v/>
      </c>
      <c r="BE306" s="22" t="str">
        <f t="shared" si="258"/>
        <v/>
      </c>
      <c r="BF306" s="21" t="str">
        <f t="shared" si="259"/>
        <v>Apprenant 294 ou 294'</v>
      </c>
      <c r="BG306" s="49" t="str">
        <f t="shared" si="232"/>
        <v/>
      </c>
      <c r="BH306" s="49" t="str">
        <f t="shared" si="233"/>
        <v/>
      </c>
      <c r="BI306" s="49" t="str">
        <f t="shared" si="234"/>
        <v/>
      </c>
      <c r="BJ306" s="22" t="str">
        <f t="shared" si="260"/>
        <v/>
      </c>
      <c r="BL306" s="21"/>
      <c r="BM306" s="21" t="str">
        <f>IF(OR(COUNT(B306:D1305)=0,AND('Choix pédagogiques'!$C$3&lt;&gt;1,'Choix pédagogiques'!$C$3&lt;&gt;2)),"",IF(AND(OR('Choix pédagogiques'!$C$3=1,'Choix pédagogiques'!$C$3=2),$B306&lt;&gt;"",$C306&lt;&gt;"",$D306&lt;&gt;""),1,0))</f>
        <v/>
      </c>
      <c r="BN306" s="21" t="str">
        <f>IF(OR(COUNT(G306:I1305)=0,AND('Choix pédagogiques'!$C$3&lt;&gt;1,'Choix pédagogiques'!$C$3&lt;&gt;2)),"",IF(AND(OR('Choix pédagogiques'!$C$3=1,'Choix pédagogiques'!$C$3=2),AND($G306&lt;&gt;"",$H306&lt;&gt;"",$I306&lt;&gt;"")),1,0))</f>
        <v/>
      </c>
      <c r="BO306" s="21" t="str">
        <f>IF(OR(COUNT(B306:D1305)=0,COUNT(G306:I1305)=0,'Choix pédagogiques'!C$3&lt;&gt;3),"",IF(AND('Choix pédagogiques'!$C$3=3,$B306&lt;&gt;"",$C306&lt;&gt;"",$D306&lt;&gt;"",$G306&lt;&gt;"",$H306&lt;&gt;"",$I306&lt;&gt;""),1,0))</f>
        <v/>
      </c>
      <c r="BR306" s="21">
        <v>239</v>
      </c>
      <c r="BS306" s="21">
        <v>1934</v>
      </c>
      <c r="BT306"/>
    </row>
    <row r="307" spans="1:72" s="23" customFormat="1" ht="18" customHeight="1" x14ac:dyDescent="0.3">
      <c r="A307" s="35" t="s">
        <v>297</v>
      </c>
      <c r="B307" s="37"/>
      <c r="C307" s="37"/>
      <c r="D307" s="37"/>
      <c r="E307" s="37"/>
      <c r="F307" s="35" t="s">
        <v>1305</v>
      </c>
      <c r="G307" s="37"/>
      <c r="H307" s="37"/>
      <c r="I307" s="37"/>
      <c r="J307" s="37"/>
      <c r="K307" s="21" t="str">
        <f t="shared" si="235"/>
        <v>Apprenant 295</v>
      </c>
      <c r="L307" s="22" t="str">
        <f t="shared" si="236"/>
        <v/>
      </c>
      <c r="M307" s="22" t="str">
        <f t="shared" si="237"/>
        <v/>
      </c>
      <c r="N307" s="22" t="str">
        <f t="shared" si="238"/>
        <v/>
      </c>
      <c r="O307" s="22" t="str">
        <f t="shared" si="239"/>
        <v/>
      </c>
      <c r="P307" s="21" t="str">
        <f t="shared" si="240"/>
        <v>Apprenant 295 ou 295'</v>
      </c>
      <c r="Q307" s="22" t="str">
        <f t="shared" si="241"/>
        <v/>
      </c>
      <c r="R307" s="22" t="str">
        <f t="shared" si="242"/>
        <v/>
      </c>
      <c r="S307" s="22" t="str">
        <f t="shared" si="243"/>
        <v/>
      </c>
      <c r="T307" s="22" t="str">
        <f t="shared" si="244"/>
        <v/>
      </c>
      <c r="V307" s="21" t="str">
        <f t="shared" si="245"/>
        <v>Apprenant 295</v>
      </c>
      <c r="W307" s="22" t="str">
        <f>IF(AND(OR('Choix pédagogiques'!$C$3=1,'Choix pédagogiques'!$C$3=2),$BM307=1),B307,IF(AND('Choix pédagogiques'!$C$3=3,$BO307=1),B307,""))</f>
        <v/>
      </c>
      <c r="X307" s="22" t="str">
        <f>IF(AND(OR('Choix pédagogiques'!$C$3=1,'Choix pédagogiques'!$C$3=2),$BM307=1),C307,IF(AND('Choix pédagogiques'!$C$3=3,$BO307=1),C307,""))</f>
        <v/>
      </c>
      <c r="Y307" s="22" t="str">
        <f>IF(AND(OR('Choix pédagogiques'!$C$3=1,'Choix pédagogiques'!$C$3=2),$BM307=1),D307,IF(AND('Choix pédagogiques'!$C$3=3,$BO307=1),D307,""))</f>
        <v/>
      </c>
      <c r="Z307" s="22" t="str">
        <f t="shared" si="246"/>
        <v/>
      </c>
      <c r="AA307" s="21" t="str">
        <f t="shared" si="247"/>
        <v>Apprenant 295 ou 295'</v>
      </c>
      <c r="AB307" s="22" t="str">
        <f>IF(AND(OR('Choix pédagogiques'!$C$3=1,'Choix pédagogiques'!$C$3=2),$BN307=1),G307,IF(AND('Choix pédagogiques'!$C$3=3,$BO307=1),G307,""))</f>
        <v/>
      </c>
      <c r="AC307" s="22" t="str">
        <f>IF(AND(OR('Choix pédagogiques'!$C$3=1,'Choix pédagogiques'!$C$3=2),$BN307=1),H307,IF(AND('Choix pédagogiques'!$C$3=3,$BO307=1),H307,""))</f>
        <v/>
      </c>
      <c r="AD307" s="22" t="str">
        <f>IF(AND(OR('Choix pédagogiques'!$C$3=1,'Choix pédagogiques'!$C$3=2),$BN307=1),I307,IF(AND('Choix pédagogiques'!$C$3=3,$BO307=1),I307,""))</f>
        <v/>
      </c>
      <c r="AE307" s="22" t="str">
        <f t="shared" si="248"/>
        <v/>
      </c>
      <c r="AF307" s="21" t="str">
        <f t="shared" si="249"/>
        <v>Apprenant 295</v>
      </c>
      <c r="AG307" s="22" t="str">
        <f t="shared" si="223"/>
        <v/>
      </c>
      <c r="AH307" s="22" t="str">
        <f t="shared" si="224"/>
        <v/>
      </c>
      <c r="AI307" s="22" t="str">
        <f t="shared" si="225"/>
        <v/>
      </c>
      <c r="AJ307" s="22" t="str">
        <f t="shared" si="250"/>
        <v/>
      </c>
      <c r="AK307" s="21" t="str">
        <f t="shared" si="251"/>
        <v>Apprenant 295 ou 295'</v>
      </c>
      <c r="AL307" s="22" t="str">
        <f t="shared" si="226"/>
        <v/>
      </c>
      <c r="AM307" s="22" t="str">
        <f t="shared" si="227"/>
        <v/>
      </c>
      <c r="AN307" s="22" t="str">
        <f t="shared" si="228"/>
        <v/>
      </c>
      <c r="AO307" s="22" t="str">
        <f t="shared" si="252"/>
        <v/>
      </c>
      <c r="AQ307" s="21" t="str">
        <f t="shared" si="253"/>
        <v>Apprenant 295</v>
      </c>
      <c r="AR307" s="49" t="str">
        <f>IF(AND('Choix pédagogiques'!$C$4&lt;&gt;"?",'Choix pédagogiques'!$C$5&lt;&gt;"?",W307&lt;&gt;""),(W307-'Choix pédagogiques'!$C$4)/('Choix pédagogiques'!$C$5-'Choix pédagogiques'!$C$4),"")</f>
        <v/>
      </c>
      <c r="AS307" s="49" t="str">
        <f>IF(AND('Choix pédagogiques'!$C$4&lt;&gt;"?",'Choix pédagogiques'!$C$5&lt;&gt;"?",X307&lt;&gt;""),(X307-'Choix pédagogiques'!$C$4)/('Choix pédagogiques'!$C$5-'Choix pédagogiques'!$C$4),"")</f>
        <v/>
      </c>
      <c r="AT307" s="49" t="str">
        <f>IF(AND('Choix pédagogiques'!$C$4&lt;&gt;"?",'Choix pédagogiques'!$C$5&lt;&gt;"?",Y307&lt;&gt;""),(Y307-'Choix pédagogiques'!$C$4)/('Choix pédagogiques'!$C$5-'Choix pédagogiques'!$C$4),"")</f>
        <v/>
      </c>
      <c r="AU307" s="22" t="str">
        <f t="shared" si="254"/>
        <v/>
      </c>
      <c r="AV307" s="21" t="str">
        <f t="shared" si="255"/>
        <v>Apprenant 295 ou 295'</v>
      </c>
      <c r="AW307" s="49" t="str">
        <f>IF(AND('Choix pédagogiques'!$C$4&lt;&gt;"?",'Choix pédagogiques'!$C$5&lt;&gt;"?",AB307&lt;&gt;""),(AB307-'Choix pédagogiques'!$C$4)/('Choix pédagogiques'!$C$5-'Choix pédagogiques'!$C$4),"")</f>
        <v/>
      </c>
      <c r="AX307" s="49" t="str">
        <f>IF(AND('Choix pédagogiques'!$C$4&lt;&gt;"?",'Choix pédagogiques'!$C$5&lt;&gt;"?",AC307&lt;&gt;""),(AC307-'Choix pédagogiques'!$C$4)/('Choix pédagogiques'!$C$5-'Choix pédagogiques'!$C$4),"")</f>
        <v/>
      </c>
      <c r="AY307" s="49" t="str">
        <f>IF(AND('Choix pédagogiques'!$C$4&lt;&gt;"?",'Choix pédagogiques'!$C$5&lt;&gt;"?",AD307&lt;&gt;""),(AD307-'Choix pédagogiques'!$C$4)/('Choix pédagogiques'!$C$5-'Choix pédagogiques'!$C$4),"")</f>
        <v/>
      </c>
      <c r="AZ307" s="22" t="str">
        <f t="shared" si="256"/>
        <v/>
      </c>
      <c r="BA307" s="21" t="str">
        <f t="shared" si="257"/>
        <v>Apprenant 295</v>
      </c>
      <c r="BB307" s="49" t="str">
        <f t="shared" si="229"/>
        <v/>
      </c>
      <c r="BC307" s="49" t="str">
        <f t="shared" si="230"/>
        <v/>
      </c>
      <c r="BD307" s="49" t="str">
        <f t="shared" si="231"/>
        <v/>
      </c>
      <c r="BE307" s="22" t="str">
        <f t="shared" si="258"/>
        <v/>
      </c>
      <c r="BF307" s="21" t="str">
        <f t="shared" si="259"/>
        <v>Apprenant 295 ou 295'</v>
      </c>
      <c r="BG307" s="49" t="str">
        <f t="shared" si="232"/>
        <v/>
      </c>
      <c r="BH307" s="49" t="str">
        <f t="shared" si="233"/>
        <v/>
      </c>
      <c r="BI307" s="49" t="str">
        <f t="shared" si="234"/>
        <v/>
      </c>
      <c r="BJ307" s="22" t="str">
        <f t="shared" si="260"/>
        <v/>
      </c>
      <c r="BL307" s="21"/>
      <c r="BM307" s="21" t="str">
        <f>IF(OR(COUNT(B307:D1306)=0,AND('Choix pédagogiques'!$C$3&lt;&gt;1,'Choix pédagogiques'!$C$3&lt;&gt;2)),"",IF(AND(OR('Choix pédagogiques'!$C$3=1,'Choix pédagogiques'!$C$3=2),$B307&lt;&gt;"",$C307&lt;&gt;"",$D307&lt;&gt;""),1,0))</f>
        <v/>
      </c>
      <c r="BN307" s="21" t="str">
        <f>IF(OR(COUNT(G307:I1306)=0,AND('Choix pédagogiques'!$C$3&lt;&gt;1,'Choix pédagogiques'!$C$3&lt;&gt;2)),"",IF(AND(OR('Choix pédagogiques'!$C$3=1,'Choix pédagogiques'!$C$3=2),AND($G307&lt;&gt;"",$H307&lt;&gt;"",$I307&lt;&gt;"")),1,0))</f>
        <v/>
      </c>
      <c r="BO307" s="21" t="str">
        <f>IF(OR(COUNT(B307:D1306)=0,COUNT(G307:I1306)=0,'Choix pédagogiques'!C$3&lt;&gt;3),"",IF(AND('Choix pédagogiques'!$C$3=3,$B307&lt;&gt;"",$C307&lt;&gt;"",$D307&lt;&gt;"",$G307&lt;&gt;"",$H307&lt;&gt;"",$I307&lt;&gt;""),1,0))</f>
        <v/>
      </c>
      <c r="BR307" s="21">
        <v>957</v>
      </c>
      <c r="BS307" s="21">
        <v>1025</v>
      </c>
      <c r="BT307"/>
    </row>
    <row r="308" spans="1:72" s="23" customFormat="1" ht="18" customHeight="1" x14ac:dyDescent="0.3">
      <c r="A308" s="35" t="s">
        <v>298</v>
      </c>
      <c r="B308" s="37"/>
      <c r="C308" s="37"/>
      <c r="D308" s="37"/>
      <c r="E308" s="37"/>
      <c r="F308" s="35" t="s">
        <v>1306</v>
      </c>
      <c r="G308" s="37"/>
      <c r="H308" s="37"/>
      <c r="I308" s="37"/>
      <c r="J308" s="37"/>
      <c r="K308" s="21" t="str">
        <f t="shared" si="235"/>
        <v>Apprenant 296</v>
      </c>
      <c r="L308" s="22" t="str">
        <f t="shared" si="236"/>
        <v/>
      </c>
      <c r="M308" s="22" t="str">
        <f t="shared" si="237"/>
        <v/>
      </c>
      <c r="N308" s="22" t="str">
        <f t="shared" si="238"/>
        <v/>
      </c>
      <c r="O308" s="22" t="str">
        <f t="shared" si="239"/>
        <v/>
      </c>
      <c r="P308" s="21" t="str">
        <f t="shared" si="240"/>
        <v>Apprenant 296 ou 296'</v>
      </c>
      <c r="Q308" s="22" t="str">
        <f t="shared" si="241"/>
        <v/>
      </c>
      <c r="R308" s="22" t="str">
        <f t="shared" si="242"/>
        <v/>
      </c>
      <c r="S308" s="22" t="str">
        <f t="shared" si="243"/>
        <v/>
      </c>
      <c r="T308" s="22" t="str">
        <f t="shared" si="244"/>
        <v/>
      </c>
      <c r="V308" s="21" t="str">
        <f t="shared" si="245"/>
        <v>Apprenant 296</v>
      </c>
      <c r="W308" s="22" t="str">
        <f>IF(AND(OR('Choix pédagogiques'!$C$3=1,'Choix pédagogiques'!$C$3=2),$BM308=1),B308,IF(AND('Choix pédagogiques'!$C$3=3,$BO308=1),B308,""))</f>
        <v/>
      </c>
      <c r="X308" s="22" t="str">
        <f>IF(AND(OR('Choix pédagogiques'!$C$3=1,'Choix pédagogiques'!$C$3=2),$BM308=1),C308,IF(AND('Choix pédagogiques'!$C$3=3,$BO308=1),C308,""))</f>
        <v/>
      </c>
      <c r="Y308" s="22" t="str">
        <f>IF(AND(OR('Choix pédagogiques'!$C$3=1,'Choix pédagogiques'!$C$3=2),$BM308=1),D308,IF(AND('Choix pédagogiques'!$C$3=3,$BO308=1),D308,""))</f>
        <v/>
      </c>
      <c r="Z308" s="22" t="str">
        <f t="shared" si="246"/>
        <v/>
      </c>
      <c r="AA308" s="21" t="str">
        <f t="shared" si="247"/>
        <v>Apprenant 296 ou 296'</v>
      </c>
      <c r="AB308" s="22" t="str">
        <f>IF(AND(OR('Choix pédagogiques'!$C$3=1,'Choix pédagogiques'!$C$3=2),$BN308=1),G308,IF(AND('Choix pédagogiques'!$C$3=3,$BO308=1),G308,""))</f>
        <v/>
      </c>
      <c r="AC308" s="22" t="str">
        <f>IF(AND(OR('Choix pédagogiques'!$C$3=1,'Choix pédagogiques'!$C$3=2),$BN308=1),H308,IF(AND('Choix pédagogiques'!$C$3=3,$BO308=1),H308,""))</f>
        <v/>
      </c>
      <c r="AD308" s="22" t="str">
        <f>IF(AND(OR('Choix pédagogiques'!$C$3=1,'Choix pédagogiques'!$C$3=2),$BN308=1),I308,IF(AND('Choix pédagogiques'!$C$3=3,$BO308=1),I308,""))</f>
        <v/>
      </c>
      <c r="AE308" s="22" t="str">
        <f t="shared" si="248"/>
        <v/>
      </c>
      <c r="AF308" s="21" t="str">
        <f t="shared" si="249"/>
        <v>Apprenant 296</v>
      </c>
      <c r="AG308" s="22" t="str">
        <f t="shared" si="223"/>
        <v/>
      </c>
      <c r="AH308" s="22" t="str">
        <f t="shared" si="224"/>
        <v/>
      </c>
      <c r="AI308" s="22" t="str">
        <f t="shared" si="225"/>
        <v/>
      </c>
      <c r="AJ308" s="22" t="str">
        <f t="shared" si="250"/>
        <v/>
      </c>
      <c r="AK308" s="21" t="str">
        <f t="shared" si="251"/>
        <v>Apprenant 296 ou 296'</v>
      </c>
      <c r="AL308" s="22" t="str">
        <f t="shared" si="226"/>
        <v/>
      </c>
      <c r="AM308" s="22" t="str">
        <f t="shared" si="227"/>
        <v/>
      </c>
      <c r="AN308" s="22" t="str">
        <f t="shared" si="228"/>
        <v/>
      </c>
      <c r="AO308" s="22" t="str">
        <f t="shared" si="252"/>
        <v/>
      </c>
      <c r="AQ308" s="21" t="str">
        <f t="shared" si="253"/>
        <v>Apprenant 296</v>
      </c>
      <c r="AR308" s="49" t="str">
        <f>IF(AND('Choix pédagogiques'!$C$4&lt;&gt;"?",'Choix pédagogiques'!$C$5&lt;&gt;"?",W308&lt;&gt;""),(W308-'Choix pédagogiques'!$C$4)/('Choix pédagogiques'!$C$5-'Choix pédagogiques'!$C$4),"")</f>
        <v/>
      </c>
      <c r="AS308" s="49" t="str">
        <f>IF(AND('Choix pédagogiques'!$C$4&lt;&gt;"?",'Choix pédagogiques'!$C$5&lt;&gt;"?",X308&lt;&gt;""),(X308-'Choix pédagogiques'!$C$4)/('Choix pédagogiques'!$C$5-'Choix pédagogiques'!$C$4),"")</f>
        <v/>
      </c>
      <c r="AT308" s="49" t="str">
        <f>IF(AND('Choix pédagogiques'!$C$4&lt;&gt;"?",'Choix pédagogiques'!$C$5&lt;&gt;"?",Y308&lt;&gt;""),(Y308-'Choix pédagogiques'!$C$4)/('Choix pédagogiques'!$C$5-'Choix pédagogiques'!$C$4),"")</f>
        <v/>
      </c>
      <c r="AU308" s="22" t="str">
        <f t="shared" si="254"/>
        <v/>
      </c>
      <c r="AV308" s="21" t="str">
        <f t="shared" si="255"/>
        <v>Apprenant 296 ou 296'</v>
      </c>
      <c r="AW308" s="49" t="str">
        <f>IF(AND('Choix pédagogiques'!$C$4&lt;&gt;"?",'Choix pédagogiques'!$C$5&lt;&gt;"?",AB308&lt;&gt;""),(AB308-'Choix pédagogiques'!$C$4)/('Choix pédagogiques'!$C$5-'Choix pédagogiques'!$C$4),"")</f>
        <v/>
      </c>
      <c r="AX308" s="49" t="str">
        <f>IF(AND('Choix pédagogiques'!$C$4&lt;&gt;"?",'Choix pédagogiques'!$C$5&lt;&gt;"?",AC308&lt;&gt;""),(AC308-'Choix pédagogiques'!$C$4)/('Choix pédagogiques'!$C$5-'Choix pédagogiques'!$C$4),"")</f>
        <v/>
      </c>
      <c r="AY308" s="49" t="str">
        <f>IF(AND('Choix pédagogiques'!$C$4&lt;&gt;"?",'Choix pédagogiques'!$C$5&lt;&gt;"?",AD308&lt;&gt;""),(AD308-'Choix pédagogiques'!$C$4)/('Choix pédagogiques'!$C$5-'Choix pédagogiques'!$C$4),"")</f>
        <v/>
      </c>
      <c r="AZ308" s="22" t="str">
        <f t="shared" si="256"/>
        <v/>
      </c>
      <c r="BA308" s="21" t="str">
        <f t="shared" si="257"/>
        <v>Apprenant 296</v>
      </c>
      <c r="BB308" s="49" t="str">
        <f t="shared" si="229"/>
        <v/>
      </c>
      <c r="BC308" s="49" t="str">
        <f t="shared" si="230"/>
        <v/>
      </c>
      <c r="BD308" s="49" t="str">
        <f t="shared" si="231"/>
        <v/>
      </c>
      <c r="BE308" s="22" t="str">
        <f t="shared" si="258"/>
        <v/>
      </c>
      <c r="BF308" s="21" t="str">
        <f t="shared" si="259"/>
        <v>Apprenant 296 ou 296'</v>
      </c>
      <c r="BG308" s="49" t="str">
        <f t="shared" si="232"/>
        <v/>
      </c>
      <c r="BH308" s="49" t="str">
        <f t="shared" si="233"/>
        <v/>
      </c>
      <c r="BI308" s="49" t="str">
        <f t="shared" si="234"/>
        <v/>
      </c>
      <c r="BJ308" s="22" t="str">
        <f t="shared" si="260"/>
        <v/>
      </c>
      <c r="BL308" s="21"/>
      <c r="BM308" s="21" t="str">
        <f>IF(OR(COUNT(B308:D1307)=0,AND('Choix pédagogiques'!$C$3&lt;&gt;1,'Choix pédagogiques'!$C$3&lt;&gt;2)),"",IF(AND(OR('Choix pédagogiques'!$C$3=1,'Choix pédagogiques'!$C$3=2),$B308&lt;&gt;"",$C308&lt;&gt;"",$D308&lt;&gt;""),1,0))</f>
        <v/>
      </c>
      <c r="BN308" s="21" t="str">
        <f>IF(OR(COUNT(G308:I1307)=0,AND('Choix pédagogiques'!$C$3&lt;&gt;1,'Choix pédagogiques'!$C$3&lt;&gt;2)),"",IF(AND(OR('Choix pédagogiques'!$C$3=1,'Choix pédagogiques'!$C$3=2),AND($G308&lt;&gt;"",$H308&lt;&gt;"",$I308&lt;&gt;"")),1,0))</f>
        <v/>
      </c>
      <c r="BO308" s="21" t="str">
        <f>IF(OR(COUNT(B308:D1307)=0,COUNT(G308:I1307)=0,'Choix pédagogiques'!C$3&lt;&gt;3),"",IF(AND('Choix pédagogiques'!$C$3=3,$B308&lt;&gt;"",$C308&lt;&gt;"",$D308&lt;&gt;"",$G308&lt;&gt;"",$H308&lt;&gt;"",$I308&lt;&gt;""),1,0))</f>
        <v/>
      </c>
      <c r="BR308" s="21">
        <v>295</v>
      </c>
      <c r="BS308" s="21">
        <v>1889</v>
      </c>
      <c r="BT308"/>
    </row>
    <row r="309" spans="1:72" s="23" customFormat="1" ht="18" customHeight="1" x14ac:dyDescent="0.3">
      <c r="A309" s="35" t="s">
        <v>299</v>
      </c>
      <c r="B309" s="37"/>
      <c r="C309" s="37"/>
      <c r="D309" s="37"/>
      <c r="E309" s="37"/>
      <c r="F309" s="35" t="s">
        <v>1307</v>
      </c>
      <c r="G309" s="37"/>
      <c r="H309" s="37"/>
      <c r="I309" s="37"/>
      <c r="J309" s="37"/>
      <c r="K309" s="21" t="str">
        <f t="shared" si="235"/>
        <v>Apprenant 297</v>
      </c>
      <c r="L309" s="22" t="str">
        <f t="shared" si="236"/>
        <v/>
      </c>
      <c r="M309" s="22" t="str">
        <f t="shared" si="237"/>
        <v/>
      </c>
      <c r="N309" s="22" t="str">
        <f t="shared" si="238"/>
        <v/>
      </c>
      <c r="O309" s="22" t="str">
        <f t="shared" si="239"/>
        <v/>
      </c>
      <c r="P309" s="21" t="str">
        <f t="shared" si="240"/>
        <v>Apprenant 297 ou 297'</v>
      </c>
      <c r="Q309" s="22" t="str">
        <f t="shared" si="241"/>
        <v/>
      </c>
      <c r="R309" s="22" t="str">
        <f t="shared" si="242"/>
        <v/>
      </c>
      <c r="S309" s="22" t="str">
        <f t="shared" si="243"/>
        <v/>
      </c>
      <c r="T309" s="22" t="str">
        <f t="shared" si="244"/>
        <v/>
      </c>
      <c r="V309" s="21" t="str">
        <f t="shared" si="245"/>
        <v>Apprenant 297</v>
      </c>
      <c r="W309" s="22" t="str">
        <f>IF(AND(OR('Choix pédagogiques'!$C$3=1,'Choix pédagogiques'!$C$3=2),$BM309=1),B309,IF(AND('Choix pédagogiques'!$C$3=3,$BO309=1),B309,""))</f>
        <v/>
      </c>
      <c r="X309" s="22" t="str">
        <f>IF(AND(OR('Choix pédagogiques'!$C$3=1,'Choix pédagogiques'!$C$3=2),$BM309=1),C309,IF(AND('Choix pédagogiques'!$C$3=3,$BO309=1),C309,""))</f>
        <v/>
      </c>
      <c r="Y309" s="22" t="str">
        <f>IF(AND(OR('Choix pédagogiques'!$C$3=1,'Choix pédagogiques'!$C$3=2),$BM309=1),D309,IF(AND('Choix pédagogiques'!$C$3=3,$BO309=1),D309,""))</f>
        <v/>
      </c>
      <c r="Z309" s="22" t="str">
        <f t="shared" si="246"/>
        <v/>
      </c>
      <c r="AA309" s="21" t="str">
        <f t="shared" si="247"/>
        <v>Apprenant 297 ou 297'</v>
      </c>
      <c r="AB309" s="22" t="str">
        <f>IF(AND(OR('Choix pédagogiques'!$C$3=1,'Choix pédagogiques'!$C$3=2),$BN309=1),G309,IF(AND('Choix pédagogiques'!$C$3=3,$BO309=1),G309,""))</f>
        <v/>
      </c>
      <c r="AC309" s="22" t="str">
        <f>IF(AND(OR('Choix pédagogiques'!$C$3=1,'Choix pédagogiques'!$C$3=2),$BN309=1),H309,IF(AND('Choix pédagogiques'!$C$3=3,$BO309=1),H309,""))</f>
        <v/>
      </c>
      <c r="AD309" s="22" t="str">
        <f>IF(AND(OR('Choix pédagogiques'!$C$3=1,'Choix pédagogiques'!$C$3=2),$BN309=1),I309,IF(AND('Choix pédagogiques'!$C$3=3,$BO309=1),I309,""))</f>
        <v/>
      </c>
      <c r="AE309" s="22" t="str">
        <f t="shared" si="248"/>
        <v/>
      </c>
      <c r="AF309" s="21" t="str">
        <f t="shared" si="249"/>
        <v>Apprenant 297</v>
      </c>
      <c r="AG309" s="22" t="str">
        <f t="shared" si="223"/>
        <v/>
      </c>
      <c r="AH309" s="22" t="str">
        <f t="shared" si="224"/>
        <v/>
      </c>
      <c r="AI309" s="22" t="str">
        <f t="shared" si="225"/>
        <v/>
      </c>
      <c r="AJ309" s="22" t="str">
        <f t="shared" si="250"/>
        <v/>
      </c>
      <c r="AK309" s="21" t="str">
        <f t="shared" si="251"/>
        <v>Apprenant 297 ou 297'</v>
      </c>
      <c r="AL309" s="22" t="str">
        <f t="shared" si="226"/>
        <v/>
      </c>
      <c r="AM309" s="22" t="str">
        <f t="shared" si="227"/>
        <v/>
      </c>
      <c r="AN309" s="22" t="str">
        <f t="shared" si="228"/>
        <v/>
      </c>
      <c r="AO309" s="22" t="str">
        <f t="shared" si="252"/>
        <v/>
      </c>
      <c r="AQ309" s="21" t="str">
        <f t="shared" si="253"/>
        <v>Apprenant 297</v>
      </c>
      <c r="AR309" s="49" t="str">
        <f>IF(AND('Choix pédagogiques'!$C$4&lt;&gt;"?",'Choix pédagogiques'!$C$5&lt;&gt;"?",W309&lt;&gt;""),(W309-'Choix pédagogiques'!$C$4)/('Choix pédagogiques'!$C$5-'Choix pédagogiques'!$C$4),"")</f>
        <v/>
      </c>
      <c r="AS309" s="49" t="str">
        <f>IF(AND('Choix pédagogiques'!$C$4&lt;&gt;"?",'Choix pédagogiques'!$C$5&lt;&gt;"?",X309&lt;&gt;""),(X309-'Choix pédagogiques'!$C$4)/('Choix pédagogiques'!$C$5-'Choix pédagogiques'!$C$4),"")</f>
        <v/>
      </c>
      <c r="AT309" s="49" t="str">
        <f>IF(AND('Choix pédagogiques'!$C$4&lt;&gt;"?",'Choix pédagogiques'!$C$5&lt;&gt;"?",Y309&lt;&gt;""),(Y309-'Choix pédagogiques'!$C$4)/('Choix pédagogiques'!$C$5-'Choix pédagogiques'!$C$4),"")</f>
        <v/>
      </c>
      <c r="AU309" s="22" t="str">
        <f t="shared" si="254"/>
        <v/>
      </c>
      <c r="AV309" s="21" t="str">
        <f t="shared" si="255"/>
        <v>Apprenant 297 ou 297'</v>
      </c>
      <c r="AW309" s="49" t="str">
        <f>IF(AND('Choix pédagogiques'!$C$4&lt;&gt;"?",'Choix pédagogiques'!$C$5&lt;&gt;"?",AB309&lt;&gt;""),(AB309-'Choix pédagogiques'!$C$4)/('Choix pédagogiques'!$C$5-'Choix pédagogiques'!$C$4),"")</f>
        <v/>
      </c>
      <c r="AX309" s="49" t="str">
        <f>IF(AND('Choix pédagogiques'!$C$4&lt;&gt;"?",'Choix pédagogiques'!$C$5&lt;&gt;"?",AC309&lt;&gt;""),(AC309-'Choix pédagogiques'!$C$4)/('Choix pédagogiques'!$C$5-'Choix pédagogiques'!$C$4),"")</f>
        <v/>
      </c>
      <c r="AY309" s="49" t="str">
        <f>IF(AND('Choix pédagogiques'!$C$4&lt;&gt;"?",'Choix pédagogiques'!$C$5&lt;&gt;"?",AD309&lt;&gt;""),(AD309-'Choix pédagogiques'!$C$4)/('Choix pédagogiques'!$C$5-'Choix pédagogiques'!$C$4),"")</f>
        <v/>
      </c>
      <c r="AZ309" s="22" t="str">
        <f t="shared" si="256"/>
        <v/>
      </c>
      <c r="BA309" s="21" t="str">
        <f t="shared" si="257"/>
        <v>Apprenant 297</v>
      </c>
      <c r="BB309" s="49" t="str">
        <f t="shared" si="229"/>
        <v/>
      </c>
      <c r="BC309" s="49" t="str">
        <f t="shared" si="230"/>
        <v/>
      </c>
      <c r="BD309" s="49" t="str">
        <f t="shared" si="231"/>
        <v/>
      </c>
      <c r="BE309" s="22" t="str">
        <f t="shared" si="258"/>
        <v/>
      </c>
      <c r="BF309" s="21" t="str">
        <f t="shared" si="259"/>
        <v>Apprenant 297 ou 297'</v>
      </c>
      <c r="BG309" s="49" t="str">
        <f t="shared" si="232"/>
        <v/>
      </c>
      <c r="BH309" s="49" t="str">
        <f t="shared" si="233"/>
        <v/>
      </c>
      <c r="BI309" s="49" t="str">
        <f t="shared" si="234"/>
        <v/>
      </c>
      <c r="BJ309" s="22" t="str">
        <f t="shared" si="260"/>
        <v/>
      </c>
      <c r="BL309" s="21"/>
      <c r="BM309" s="21" t="str">
        <f>IF(OR(COUNT(B309:D1308)=0,AND('Choix pédagogiques'!$C$3&lt;&gt;1,'Choix pédagogiques'!$C$3&lt;&gt;2)),"",IF(AND(OR('Choix pédagogiques'!$C$3=1,'Choix pédagogiques'!$C$3=2),$B309&lt;&gt;"",$C309&lt;&gt;"",$D309&lt;&gt;""),1,0))</f>
        <v/>
      </c>
      <c r="BN309" s="21" t="str">
        <f>IF(OR(COUNT(G309:I1308)=0,AND('Choix pédagogiques'!$C$3&lt;&gt;1,'Choix pédagogiques'!$C$3&lt;&gt;2)),"",IF(AND(OR('Choix pédagogiques'!$C$3=1,'Choix pédagogiques'!$C$3=2),AND($G309&lt;&gt;"",$H309&lt;&gt;"",$I309&lt;&gt;"")),1,0))</f>
        <v/>
      </c>
      <c r="BO309" s="21" t="str">
        <f>IF(OR(COUNT(B309:D1308)=0,COUNT(G309:I1308)=0,'Choix pédagogiques'!C$3&lt;&gt;3),"",IF(AND('Choix pédagogiques'!$C$3=3,$B309&lt;&gt;"",$C309&lt;&gt;"",$D309&lt;&gt;"",$G309&lt;&gt;"",$H309&lt;&gt;"",$I309&lt;&gt;""),1,0))</f>
        <v/>
      </c>
      <c r="BR309" s="21">
        <v>822</v>
      </c>
      <c r="BS309" s="21">
        <v>1631</v>
      </c>
      <c r="BT309"/>
    </row>
    <row r="310" spans="1:72" s="23" customFormat="1" ht="18" customHeight="1" x14ac:dyDescent="0.3">
      <c r="A310" s="35" t="s">
        <v>300</v>
      </c>
      <c r="B310" s="37"/>
      <c r="C310" s="37"/>
      <c r="D310" s="37"/>
      <c r="E310" s="37"/>
      <c r="F310" s="35" t="s">
        <v>1308</v>
      </c>
      <c r="G310" s="37"/>
      <c r="H310" s="37"/>
      <c r="I310" s="37"/>
      <c r="J310" s="37"/>
      <c r="K310" s="21" t="str">
        <f t="shared" si="235"/>
        <v>Apprenant 298</v>
      </c>
      <c r="L310" s="22" t="str">
        <f t="shared" si="236"/>
        <v/>
      </c>
      <c r="M310" s="22" t="str">
        <f t="shared" si="237"/>
        <v/>
      </c>
      <c r="N310" s="22" t="str">
        <f t="shared" si="238"/>
        <v/>
      </c>
      <c r="O310" s="22" t="str">
        <f t="shared" si="239"/>
        <v/>
      </c>
      <c r="P310" s="21" t="str">
        <f t="shared" si="240"/>
        <v>Apprenant 298 ou 298'</v>
      </c>
      <c r="Q310" s="22" t="str">
        <f t="shared" si="241"/>
        <v/>
      </c>
      <c r="R310" s="22" t="str">
        <f t="shared" si="242"/>
        <v/>
      </c>
      <c r="S310" s="22" t="str">
        <f t="shared" si="243"/>
        <v/>
      </c>
      <c r="T310" s="22" t="str">
        <f t="shared" si="244"/>
        <v/>
      </c>
      <c r="V310" s="21" t="str">
        <f t="shared" si="245"/>
        <v>Apprenant 298</v>
      </c>
      <c r="W310" s="22" t="str">
        <f>IF(AND(OR('Choix pédagogiques'!$C$3=1,'Choix pédagogiques'!$C$3=2),$BM310=1),B310,IF(AND('Choix pédagogiques'!$C$3=3,$BO310=1),B310,""))</f>
        <v/>
      </c>
      <c r="X310" s="22" t="str">
        <f>IF(AND(OR('Choix pédagogiques'!$C$3=1,'Choix pédagogiques'!$C$3=2),$BM310=1),C310,IF(AND('Choix pédagogiques'!$C$3=3,$BO310=1),C310,""))</f>
        <v/>
      </c>
      <c r="Y310" s="22" t="str">
        <f>IF(AND(OR('Choix pédagogiques'!$C$3=1,'Choix pédagogiques'!$C$3=2),$BM310=1),D310,IF(AND('Choix pédagogiques'!$C$3=3,$BO310=1),D310,""))</f>
        <v/>
      </c>
      <c r="Z310" s="22" t="str">
        <f t="shared" si="246"/>
        <v/>
      </c>
      <c r="AA310" s="21" t="str">
        <f t="shared" si="247"/>
        <v>Apprenant 298 ou 298'</v>
      </c>
      <c r="AB310" s="22" t="str">
        <f>IF(AND(OR('Choix pédagogiques'!$C$3=1,'Choix pédagogiques'!$C$3=2),$BN310=1),G310,IF(AND('Choix pédagogiques'!$C$3=3,$BO310=1),G310,""))</f>
        <v/>
      </c>
      <c r="AC310" s="22" t="str">
        <f>IF(AND(OR('Choix pédagogiques'!$C$3=1,'Choix pédagogiques'!$C$3=2),$BN310=1),H310,IF(AND('Choix pédagogiques'!$C$3=3,$BO310=1),H310,""))</f>
        <v/>
      </c>
      <c r="AD310" s="22" t="str">
        <f>IF(AND(OR('Choix pédagogiques'!$C$3=1,'Choix pédagogiques'!$C$3=2),$BN310=1),I310,IF(AND('Choix pédagogiques'!$C$3=3,$BO310=1),I310,""))</f>
        <v/>
      </c>
      <c r="AE310" s="22" t="str">
        <f t="shared" si="248"/>
        <v/>
      </c>
      <c r="AF310" s="21" t="str">
        <f t="shared" si="249"/>
        <v>Apprenant 298</v>
      </c>
      <c r="AG310" s="22" t="str">
        <f t="shared" si="223"/>
        <v/>
      </c>
      <c r="AH310" s="22" t="str">
        <f t="shared" si="224"/>
        <v/>
      </c>
      <c r="AI310" s="22" t="str">
        <f t="shared" si="225"/>
        <v/>
      </c>
      <c r="AJ310" s="22" t="str">
        <f t="shared" si="250"/>
        <v/>
      </c>
      <c r="AK310" s="21" t="str">
        <f t="shared" si="251"/>
        <v>Apprenant 298 ou 298'</v>
      </c>
      <c r="AL310" s="22" t="str">
        <f t="shared" si="226"/>
        <v/>
      </c>
      <c r="AM310" s="22" t="str">
        <f t="shared" si="227"/>
        <v/>
      </c>
      <c r="AN310" s="22" t="str">
        <f t="shared" si="228"/>
        <v/>
      </c>
      <c r="AO310" s="22" t="str">
        <f t="shared" si="252"/>
        <v/>
      </c>
      <c r="AQ310" s="21" t="str">
        <f t="shared" si="253"/>
        <v>Apprenant 298</v>
      </c>
      <c r="AR310" s="49" t="str">
        <f>IF(AND('Choix pédagogiques'!$C$4&lt;&gt;"?",'Choix pédagogiques'!$C$5&lt;&gt;"?",W310&lt;&gt;""),(W310-'Choix pédagogiques'!$C$4)/('Choix pédagogiques'!$C$5-'Choix pédagogiques'!$C$4),"")</f>
        <v/>
      </c>
      <c r="AS310" s="49" t="str">
        <f>IF(AND('Choix pédagogiques'!$C$4&lt;&gt;"?",'Choix pédagogiques'!$C$5&lt;&gt;"?",X310&lt;&gt;""),(X310-'Choix pédagogiques'!$C$4)/('Choix pédagogiques'!$C$5-'Choix pédagogiques'!$C$4),"")</f>
        <v/>
      </c>
      <c r="AT310" s="49" t="str">
        <f>IF(AND('Choix pédagogiques'!$C$4&lt;&gt;"?",'Choix pédagogiques'!$C$5&lt;&gt;"?",Y310&lt;&gt;""),(Y310-'Choix pédagogiques'!$C$4)/('Choix pédagogiques'!$C$5-'Choix pédagogiques'!$C$4),"")</f>
        <v/>
      </c>
      <c r="AU310" s="22" t="str">
        <f t="shared" si="254"/>
        <v/>
      </c>
      <c r="AV310" s="21" t="str">
        <f t="shared" si="255"/>
        <v>Apprenant 298 ou 298'</v>
      </c>
      <c r="AW310" s="49" t="str">
        <f>IF(AND('Choix pédagogiques'!$C$4&lt;&gt;"?",'Choix pédagogiques'!$C$5&lt;&gt;"?",AB310&lt;&gt;""),(AB310-'Choix pédagogiques'!$C$4)/('Choix pédagogiques'!$C$5-'Choix pédagogiques'!$C$4),"")</f>
        <v/>
      </c>
      <c r="AX310" s="49" t="str">
        <f>IF(AND('Choix pédagogiques'!$C$4&lt;&gt;"?",'Choix pédagogiques'!$C$5&lt;&gt;"?",AC310&lt;&gt;""),(AC310-'Choix pédagogiques'!$C$4)/('Choix pédagogiques'!$C$5-'Choix pédagogiques'!$C$4),"")</f>
        <v/>
      </c>
      <c r="AY310" s="49" t="str">
        <f>IF(AND('Choix pédagogiques'!$C$4&lt;&gt;"?",'Choix pédagogiques'!$C$5&lt;&gt;"?",AD310&lt;&gt;""),(AD310-'Choix pédagogiques'!$C$4)/('Choix pédagogiques'!$C$5-'Choix pédagogiques'!$C$4),"")</f>
        <v/>
      </c>
      <c r="AZ310" s="22" t="str">
        <f t="shared" si="256"/>
        <v/>
      </c>
      <c r="BA310" s="21" t="str">
        <f t="shared" si="257"/>
        <v>Apprenant 298</v>
      </c>
      <c r="BB310" s="49" t="str">
        <f t="shared" si="229"/>
        <v/>
      </c>
      <c r="BC310" s="49" t="str">
        <f t="shared" si="230"/>
        <v/>
      </c>
      <c r="BD310" s="49" t="str">
        <f t="shared" si="231"/>
        <v/>
      </c>
      <c r="BE310" s="22" t="str">
        <f t="shared" si="258"/>
        <v/>
      </c>
      <c r="BF310" s="21" t="str">
        <f t="shared" si="259"/>
        <v>Apprenant 298 ou 298'</v>
      </c>
      <c r="BG310" s="49" t="str">
        <f t="shared" si="232"/>
        <v/>
      </c>
      <c r="BH310" s="49" t="str">
        <f t="shared" si="233"/>
        <v/>
      </c>
      <c r="BI310" s="49" t="str">
        <f t="shared" si="234"/>
        <v/>
      </c>
      <c r="BJ310" s="22" t="str">
        <f t="shared" si="260"/>
        <v/>
      </c>
      <c r="BL310" s="21"/>
      <c r="BM310" s="21" t="str">
        <f>IF(OR(COUNT(B310:D1309)=0,AND('Choix pédagogiques'!$C$3&lt;&gt;1,'Choix pédagogiques'!$C$3&lt;&gt;2)),"",IF(AND(OR('Choix pédagogiques'!$C$3=1,'Choix pédagogiques'!$C$3=2),$B310&lt;&gt;"",$C310&lt;&gt;"",$D310&lt;&gt;""),1,0))</f>
        <v/>
      </c>
      <c r="BN310" s="21" t="str">
        <f>IF(OR(COUNT(G310:I1309)=0,AND('Choix pédagogiques'!$C$3&lt;&gt;1,'Choix pédagogiques'!$C$3&lt;&gt;2)),"",IF(AND(OR('Choix pédagogiques'!$C$3=1,'Choix pédagogiques'!$C$3=2),AND($G310&lt;&gt;"",$H310&lt;&gt;"",$I310&lt;&gt;"")),1,0))</f>
        <v/>
      </c>
      <c r="BO310" s="21" t="str">
        <f>IF(OR(COUNT(B310:D1309)=0,COUNT(G310:I1309)=0,'Choix pédagogiques'!C$3&lt;&gt;3),"",IF(AND('Choix pédagogiques'!$C$3=3,$B310&lt;&gt;"",$C310&lt;&gt;"",$D310&lt;&gt;"",$G310&lt;&gt;"",$H310&lt;&gt;"",$I310&lt;&gt;""),1,0))</f>
        <v/>
      </c>
      <c r="BR310" s="21">
        <v>700</v>
      </c>
      <c r="BS310" s="21">
        <v>1750</v>
      </c>
      <c r="BT310"/>
    </row>
    <row r="311" spans="1:72" s="23" customFormat="1" ht="18" customHeight="1" x14ac:dyDescent="0.3">
      <c r="A311" s="35" t="s">
        <v>301</v>
      </c>
      <c r="B311" s="37"/>
      <c r="C311" s="37"/>
      <c r="D311" s="37"/>
      <c r="E311" s="37"/>
      <c r="F311" s="35" t="s">
        <v>1309</v>
      </c>
      <c r="G311" s="37"/>
      <c r="H311" s="37"/>
      <c r="I311" s="37"/>
      <c r="J311" s="37"/>
      <c r="K311" s="21" t="str">
        <f t="shared" si="235"/>
        <v>Apprenant 299</v>
      </c>
      <c r="L311" s="22" t="str">
        <f t="shared" si="236"/>
        <v/>
      </c>
      <c r="M311" s="22" t="str">
        <f t="shared" si="237"/>
        <v/>
      </c>
      <c r="N311" s="22" t="str">
        <f t="shared" si="238"/>
        <v/>
      </c>
      <c r="O311" s="22" t="str">
        <f t="shared" si="239"/>
        <v/>
      </c>
      <c r="P311" s="21" t="str">
        <f t="shared" si="240"/>
        <v>Apprenant 299 ou 299'</v>
      </c>
      <c r="Q311" s="22" t="str">
        <f t="shared" si="241"/>
        <v/>
      </c>
      <c r="R311" s="22" t="str">
        <f t="shared" si="242"/>
        <v/>
      </c>
      <c r="S311" s="22" t="str">
        <f t="shared" si="243"/>
        <v/>
      </c>
      <c r="T311" s="22" t="str">
        <f t="shared" si="244"/>
        <v/>
      </c>
      <c r="V311" s="21" t="str">
        <f t="shared" si="245"/>
        <v>Apprenant 299</v>
      </c>
      <c r="W311" s="22" t="str">
        <f>IF(AND(OR('Choix pédagogiques'!$C$3=1,'Choix pédagogiques'!$C$3=2),$BM311=1),B311,IF(AND('Choix pédagogiques'!$C$3=3,$BO311=1),B311,""))</f>
        <v/>
      </c>
      <c r="X311" s="22" t="str">
        <f>IF(AND(OR('Choix pédagogiques'!$C$3=1,'Choix pédagogiques'!$C$3=2),$BM311=1),C311,IF(AND('Choix pédagogiques'!$C$3=3,$BO311=1),C311,""))</f>
        <v/>
      </c>
      <c r="Y311" s="22" t="str">
        <f>IF(AND(OR('Choix pédagogiques'!$C$3=1,'Choix pédagogiques'!$C$3=2),$BM311=1),D311,IF(AND('Choix pédagogiques'!$C$3=3,$BO311=1),D311,""))</f>
        <v/>
      </c>
      <c r="Z311" s="22" t="str">
        <f t="shared" si="246"/>
        <v/>
      </c>
      <c r="AA311" s="21" t="str">
        <f t="shared" si="247"/>
        <v>Apprenant 299 ou 299'</v>
      </c>
      <c r="AB311" s="22" t="str">
        <f>IF(AND(OR('Choix pédagogiques'!$C$3=1,'Choix pédagogiques'!$C$3=2),$BN311=1),G311,IF(AND('Choix pédagogiques'!$C$3=3,$BO311=1),G311,""))</f>
        <v/>
      </c>
      <c r="AC311" s="22" t="str">
        <f>IF(AND(OR('Choix pédagogiques'!$C$3=1,'Choix pédagogiques'!$C$3=2),$BN311=1),H311,IF(AND('Choix pédagogiques'!$C$3=3,$BO311=1),H311,""))</f>
        <v/>
      </c>
      <c r="AD311" s="22" t="str">
        <f>IF(AND(OR('Choix pédagogiques'!$C$3=1,'Choix pédagogiques'!$C$3=2),$BN311=1),I311,IF(AND('Choix pédagogiques'!$C$3=3,$BO311=1),I311,""))</f>
        <v/>
      </c>
      <c r="AE311" s="22" t="str">
        <f t="shared" si="248"/>
        <v/>
      </c>
      <c r="AF311" s="21" t="str">
        <f t="shared" si="249"/>
        <v>Apprenant 299</v>
      </c>
      <c r="AG311" s="22" t="str">
        <f t="shared" si="223"/>
        <v/>
      </c>
      <c r="AH311" s="22" t="str">
        <f t="shared" si="224"/>
        <v/>
      </c>
      <c r="AI311" s="22" t="str">
        <f t="shared" si="225"/>
        <v/>
      </c>
      <c r="AJ311" s="22" t="str">
        <f t="shared" si="250"/>
        <v/>
      </c>
      <c r="AK311" s="21" t="str">
        <f t="shared" si="251"/>
        <v>Apprenant 299 ou 299'</v>
      </c>
      <c r="AL311" s="22" t="str">
        <f t="shared" si="226"/>
        <v/>
      </c>
      <c r="AM311" s="22" t="str">
        <f t="shared" si="227"/>
        <v/>
      </c>
      <c r="AN311" s="22" t="str">
        <f t="shared" si="228"/>
        <v/>
      </c>
      <c r="AO311" s="22" t="str">
        <f t="shared" si="252"/>
        <v/>
      </c>
      <c r="AQ311" s="21" t="str">
        <f t="shared" si="253"/>
        <v>Apprenant 299</v>
      </c>
      <c r="AR311" s="49" t="str">
        <f>IF(AND('Choix pédagogiques'!$C$4&lt;&gt;"?",'Choix pédagogiques'!$C$5&lt;&gt;"?",W311&lt;&gt;""),(W311-'Choix pédagogiques'!$C$4)/('Choix pédagogiques'!$C$5-'Choix pédagogiques'!$C$4),"")</f>
        <v/>
      </c>
      <c r="AS311" s="49" t="str">
        <f>IF(AND('Choix pédagogiques'!$C$4&lt;&gt;"?",'Choix pédagogiques'!$C$5&lt;&gt;"?",X311&lt;&gt;""),(X311-'Choix pédagogiques'!$C$4)/('Choix pédagogiques'!$C$5-'Choix pédagogiques'!$C$4),"")</f>
        <v/>
      </c>
      <c r="AT311" s="49" t="str">
        <f>IF(AND('Choix pédagogiques'!$C$4&lt;&gt;"?",'Choix pédagogiques'!$C$5&lt;&gt;"?",Y311&lt;&gt;""),(Y311-'Choix pédagogiques'!$C$4)/('Choix pédagogiques'!$C$5-'Choix pédagogiques'!$C$4),"")</f>
        <v/>
      </c>
      <c r="AU311" s="22" t="str">
        <f t="shared" si="254"/>
        <v/>
      </c>
      <c r="AV311" s="21" t="str">
        <f t="shared" si="255"/>
        <v>Apprenant 299 ou 299'</v>
      </c>
      <c r="AW311" s="49" t="str">
        <f>IF(AND('Choix pédagogiques'!$C$4&lt;&gt;"?",'Choix pédagogiques'!$C$5&lt;&gt;"?",AB311&lt;&gt;""),(AB311-'Choix pédagogiques'!$C$4)/('Choix pédagogiques'!$C$5-'Choix pédagogiques'!$C$4),"")</f>
        <v/>
      </c>
      <c r="AX311" s="49" t="str">
        <f>IF(AND('Choix pédagogiques'!$C$4&lt;&gt;"?",'Choix pédagogiques'!$C$5&lt;&gt;"?",AC311&lt;&gt;""),(AC311-'Choix pédagogiques'!$C$4)/('Choix pédagogiques'!$C$5-'Choix pédagogiques'!$C$4),"")</f>
        <v/>
      </c>
      <c r="AY311" s="49" t="str">
        <f>IF(AND('Choix pédagogiques'!$C$4&lt;&gt;"?",'Choix pédagogiques'!$C$5&lt;&gt;"?",AD311&lt;&gt;""),(AD311-'Choix pédagogiques'!$C$4)/('Choix pédagogiques'!$C$5-'Choix pédagogiques'!$C$4),"")</f>
        <v/>
      </c>
      <c r="AZ311" s="22" t="str">
        <f t="shared" si="256"/>
        <v/>
      </c>
      <c r="BA311" s="21" t="str">
        <f t="shared" si="257"/>
        <v>Apprenant 299</v>
      </c>
      <c r="BB311" s="49" t="str">
        <f t="shared" si="229"/>
        <v/>
      </c>
      <c r="BC311" s="49" t="str">
        <f t="shared" si="230"/>
        <v/>
      </c>
      <c r="BD311" s="49" t="str">
        <f t="shared" si="231"/>
        <v/>
      </c>
      <c r="BE311" s="22" t="str">
        <f t="shared" si="258"/>
        <v/>
      </c>
      <c r="BF311" s="21" t="str">
        <f t="shared" si="259"/>
        <v>Apprenant 299 ou 299'</v>
      </c>
      <c r="BG311" s="49" t="str">
        <f t="shared" si="232"/>
        <v/>
      </c>
      <c r="BH311" s="49" t="str">
        <f t="shared" si="233"/>
        <v/>
      </c>
      <c r="BI311" s="49" t="str">
        <f t="shared" si="234"/>
        <v/>
      </c>
      <c r="BJ311" s="22" t="str">
        <f t="shared" si="260"/>
        <v/>
      </c>
      <c r="BL311" s="21"/>
      <c r="BM311" s="21" t="str">
        <f>IF(OR(COUNT(B311:D1310)=0,AND('Choix pédagogiques'!$C$3&lt;&gt;1,'Choix pédagogiques'!$C$3&lt;&gt;2)),"",IF(AND(OR('Choix pédagogiques'!$C$3=1,'Choix pédagogiques'!$C$3=2),$B311&lt;&gt;"",$C311&lt;&gt;"",$D311&lt;&gt;""),1,0))</f>
        <v/>
      </c>
      <c r="BN311" s="21" t="str">
        <f>IF(OR(COUNT(G311:I1310)=0,AND('Choix pédagogiques'!$C$3&lt;&gt;1,'Choix pédagogiques'!$C$3&lt;&gt;2)),"",IF(AND(OR('Choix pédagogiques'!$C$3=1,'Choix pédagogiques'!$C$3=2),AND($G311&lt;&gt;"",$H311&lt;&gt;"",$I311&lt;&gt;"")),1,0))</f>
        <v/>
      </c>
      <c r="BO311" s="21" t="str">
        <f>IF(OR(COUNT(B311:D1310)=0,COUNT(G311:I1310)=0,'Choix pédagogiques'!C$3&lt;&gt;3),"",IF(AND('Choix pédagogiques'!$C$3=3,$B311&lt;&gt;"",$C311&lt;&gt;"",$D311&lt;&gt;"",$G311&lt;&gt;"",$H311&lt;&gt;"",$I311&lt;&gt;""),1,0))</f>
        <v/>
      </c>
      <c r="BR311" s="21">
        <v>1</v>
      </c>
      <c r="BS311" s="21">
        <v>1987</v>
      </c>
      <c r="BT311"/>
    </row>
    <row r="312" spans="1:72" s="23" customFormat="1" ht="18" customHeight="1" x14ac:dyDescent="0.3">
      <c r="A312" s="35" t="s">
        <v>302</v>
      </c>
      <c r="B312" s="37"/>
      <c r="C312" s="37"/>
      <c r="D312" s="37"/>
      <c r="E312" s="37"/>
      <c r="F312" s="35" t="s">
        <v>1310</v>
      </c>
      <c r="G312" s="37"/>
      <c r="H312" s="37"/>
      <c r="I312" s="37"/>
      <c r="J312" s="37"/>
      <c r="K312" s="21" t="str">
        <f t="shared" si="235"/>
        <v>Apprenant 300</v>
      </c>
      <c r="L312" s="22" t="str">
        <f t="shared" si="236"/>
        <v/>
      </c>
      <c r="M312" s="22" t="str">
        <f t="shared" si="237"/>
        <v/>
      </c>
      <c r="N312" s="22" t="str">
        <f t="shared" si="238"/>
        <v/>
      </c>
      <c r="O312" s="22" t="str">
        <f t="shared" si="239"/>
        <v/>
      </c>
      <c r="P312" s="21" t="str">
        <f t="shared" si="240"/>
        <v>Apprenant 300 ou 300'</v>
      </c>
      <c r="Q312" s="22" t="str">
        <f t="shared" si="241"/>
        <v/>
      </c>
      <c r="R312" s="22" t="str">
        <f t="shared" si="242"/>
        <v/>
      </c>
      <c r="S312" s="22" t="str">
        <f t="shared" si="243"/>
        <v/>
      </c>
      <c r="T312" s="22" t="str">
        <f t="shared" si="244"/>
        <v/>
      </c>
      <c r="V312" s="21" t="str">
        <f t="shared" si="245"/>
        <v>Apprenant 300</v>
      </c>
      <c r="W312" s="22" t="str">
        <f>IF(AND(OR('Choix pédagogiques'!$C$3=1,'Choix pédagogiques'!$C$3=2),$BM312=1),B312,IF(AND('Choix pédagogiques'!$C$3=3,$BO312=1),B312,""))</f>
        <v/>
      </c>
      <c r="X312" s="22" t="str">
        <f>IF(AND(OR('Choix pédagogiques'!$C$3=1,'Choix pédagogiques'!$C$3=2),$BM312=1),C312,IF(AND('Choix pédagogiques'!$C$3=3,$BO312=1),C312,""))</f>
        <v/>
      </c>
      <c r="Y312" s="22" t="str">
        <f>IF(AND(OR('Choix pédagogiques'!$C$3=1,'Choix pédagogiques'!$C$3=2),$BM312=1),D312,IF(AND('Choix pédagogiques'!$C$3=3,$BO312=1),D312,""))</f>
        <v/>
      </c>
      <c r="Z312" s="22" t="str">
        <f t="shared" si="246"/>
        <v/>
      </c>
      <c r="AA312" s="21" t="str">
        <f t="shared" si="247"/>
        <v>Apprenant 300 ou 300'</v>
      </c>
      <c r="AB312" s="22" t="str">
        <f>IF(AND(OR('Choix pédagogiques'!$C$3=1,'Choix pédagogiques'!$C$3=2),$BN312=1),G312,IF(AND('Choix pédagogiques'!$C$3=3,$BO312=1),G312,""))</f>
        <v/>
      </c>
      <c r="AC312" s="22" t="str">
        <f>IF(AND(OR('Choix pédagogiques'!$C$3=1,'Choix pédagogiques'!$C$3=2),$BN312=1),H312,IF(AND('Choix pédagogiques'!$C$3=3,$BO312=1),H312,""))</f>
        <v/>
      </c>
      <c r="AD312" s="22" t="str">
        <f>IF(AND(OR('Choix pédagogiques'!$C$3=1,'Choix pédagogiques'!$C$3=2),$BN312=1),I312,IF(AND('Choix pédagogiques'!$C$3=3,$BO312=1),I312,""))</f>
        <v/>
      </c>
      <c r="AE312" s="22" t="str">
        <f t="shared" si="248"/>
        <v/>
      </c>
      <c r="AF312" s="21" t="str">
        <f t="shared" si="249"/>
        <v>Apprenant 300</v>
      </c>
      <c r="AG312" s="22" t="str">
        <f t="shared" si="223"/>
        <v/>
      </c>
      <c r="AH312" s="22" t="str">
        <f t="shared" si="224"/>
        <v/>
      </c>
      <c r="AI312" s="22" t="str">
        <f t="shared" si="225"/>
        <v/>
      </c>
      <c r="AJ312" s="22" t="str">
        <f t="shared" si="250"/>
        <v/>
      </c>
      <c r="AK312" s="21" t="str">
        <f t="shared" si="251"/>
        <v>Apprenant 300 ou 300'</v>
      </c>
      <c r="AL312" s="22" t="str">
        <f t="shared" si="226"/>
        <v/>
      </c>
      <c r="AM312" s="22" t="str">
        <f t="shared" si="227"/>
        <v/>
      </c>
      <c r="AN312" s="22" t="str">
        <f t="shared" si="228"/>
        <v/>
      </c>
      <c r="AO312" s="22" t="str">
        <f t="shared" si="252"/>
        <v/>
      </c>
      <c r="AQ312" s="21" t="str">
        <f t="shared" si="253"/>
        <v>Apprenant 300</v>
      </c>
      <c r="AR312" s="49" t="str">
        <f>IF(AND('Choix pédagogiques'!$C$4&lt;&gt;"?",'Choix pédagogiques'!$C$5&lt;&gt;"?",W312&lt;&gt;""),(W312-'Choix pédagogiques'!$C$4)/('Choix pédagogiques'!$C$5-'Choix pédagogiques'!$C$4),"")</f>
        <v/>
      </c>
      <c r="AS312" s="49" t="str">
        <f>IF(AND('Choix pédagogiques'!$C$4&lt;&gt;"?",'Choix pédagogiques'!$C$5&lt;&gt;"?",X312&lt;&gt;""),(X312-'Choix pédagogiques'!$C$4)/('Choix pédagogiques'!$C$5-'Choix pédagogiques'!$C$4),"")</f>
        <v/>
      </c>
      <c r="AT312" s="49" t="str">
        <f>IF(AND('Choix pédagogiques'!$C$4&lt;&gt;"?",'Choix pédagogiques'!$C$5&lt;&gt;"?",Y312&lt;&gt;""),(Y312-'Choix pédagogiques'!$C$4)/('Choix pédagogiques'!$C$5-'Choix pédagogiques'!$C$4),"")</f>
        <v/>
      </c>
      <c r="AU312" s="22" t="str">
        <f t="shared" si="254"/>
        <v/>
      </c>
      <c r="AV312" s="21" t="str">
        <f t="shared" si="255"/>
        <v>Apprenant 300 ou 300'</v>
      </c>
      <c r="AW312" s="49" t="str">
        <f>IF(AND('Choix pédagogiques'!$C$4&lt;&gt;"?",'Choix pédagogiques'!$C$5&lt;&gt;"?",AB312&lt;&gt;""),(AB312-'Choix pédagogiques'!$C$4)/('Choix pédagogiques'!$C$5-'Choix pédagogiques'!$C$4),"")</f>
        <v/>
      </c>
      <c r="AX312" s="49" t="str">
        <f>IF(AND('Choix pédagogiques'!$C$4&lt;&gt;"?",'Choix pédagogiques'!$C$5&lt;&gt;"?",AC312&lt;&gt;""),(AC312-'Choix pédagogiques'!$C$4)/('Choix pédagogiques'!$C$5-'Choix pédagogiques'!$C$4),"")</f>
        <v/>
      </c>
      <c r="AY312" s="49" t="str">
        <f>IF(AND('Choix pédagogiques'!$C$4&lt;&gt;"?",'Choix pédagogiques'!$C$5&lt;&gt;"?",AD312&lt;&gt;""),(AD312-'Choix pédagogiques'!$C$4)/('Choix pédagogiques'!$C$5-'Choix pédagogiques'!$C$4),"")</f>
        <v/>
      </c>
      <c r="AZ312" s="22" t="str">
        <f t="shared" si="256"/>
        <v/>
      </c>
      <c r="BA312" s="21" t="str">
        <f t="shared" si="257"/>
        <v>Apprenant 300</v>
      </c>
      <c r="BB312" s="49" t="str">
        <f t="shared" si="229"/>
        <v/>
      </c>
      <c r="BC312" s="49" t="str">
        <f t="shared" si="230"/>
        <v/>
      </c>
      <c r="BD312" s="49" t="str">
        <f t="shared" si="231"/>
        <v/>
      </c>
      <c r="BE312" s="22" t="str">
        <f t="shared" si="258"/>
        <v/>
      </c>
      <c r="BF312" s="21" t="str">
        <f t="shared" si="259"/>
        <v>Apprenant 300 ou 300'</v>
      </c>
      <c r="BG312" s="49" t="str">
        <f t="shared" si="232"/>
        <v/>
      </c>
      <c r="BH312" s="49" t="str">
        <f t="shared" si="233"/>
        <v/>
      </c>
      <c r="BI312" s="49" t="str">
        <f t="shared" si="234"/>
        <v/>
      </c>
      <c r="BJ312" s="22" t="str">
        <f t="shared" si="260"/>
        <v/>
      </c>
      <c r="BL312" s="21"/>
      <c r="BM312" s="21" t="str">
        <f>IF(OR(COUNT(B312:D1311)=0,AND('Choix pédagogiques'!$C$3&lt;&gt;1,'Choix pédagogiques'!$C$3&lt;&gt;2)),"",IF(AND(OR('Choix pédagogiques'!$C$3=1,'Choix pédagogiques'!$C$3=2),$B312&lt;&gt;"",$C312&lt;&gt;"",$D312&lt;&gt;""),1,0))</f>
        <v/>
      </c>
      <c r="BN312" s="21" t="str">
        <f>IF(OR(COUNT(G312:I1311)=0,AND('Choix pédagogiques'!$C$3&lt;&gt;1,'Choix pédagogiques'!$C$3&lt;&gt;2)),"",IF(AND(OR('Choix pédagogiques'!$C$3=1,'Choix pédagogiques'!$C$3=2),AND($G312&lt;&gt;"",$H312&lt;&gt;"",$I312&lt;&gt;"")),1,0))</f>
        <v/>
      </c>
      <c r="BO312" s="21" t="str">
        <f>IF(OR(COUNT(B312:D1311)=0,COUNT(G312:I1311)=0,'Choix pédagogiques'!C$3&lt;&gt;3),"",IF(AND('Choix pédagogiques'!$C$3=3,$B312&lt;&gt;"",$C312&lt;&gt;"",$D312&lt;&gt;"",$G312&lt;&gt;"",$H312&lt;&gt;"",$I312&lt;&gt;""),1,0))</f>
        <v/>
      </c>
      <c r="BR312" s="21">
        <v>151</v>
      </c>
      <c r="BS312" s="21">
        <v>1343</v>
      </c>
      <c r="BT312"/>
    </row>
    <row r="313" spans="1:72" s="23" customFormat="1" ht="18" customHeight="1" x14ac:dyDescent="0.3">
      <c r="A313" s="35" t="s">
        <v>303</v>
      </c>
      <c r="B313" s="37"/>
      <c r="C313" s="37"/>
      <c r="D313" s="37"/>
      <c r="E313" s="37"/>
      <c r="F313" s="35" t="s">
        <v>1311</v>
      </c>
      <c r="G313" s="37"/>
      <c r="H313" s="37"/>
      <c r="I313" s="37"/>
      <c r="J313" s="37"/>
      <c r="K313" s="21" t="str">
        <f t="shared" si="235"/>
        <v>Apprenant 301</v>
      </c>
      <c r="L313" s="22" t="str">
        <f t="shared" si="236"/>
        <v/>
      </c>
      <c r="M313" s="22" t="str">
        <f t="shared" si="237"/>
        <v/>
      </c>
      <c r="N313" s="22" t="str">
        <f t="shared" si="238"/>
        <v/>
      </c>
      <c r="O313" s="22" t="str">
        <f t="shared" si="239"/>
        <v/>
      </c>
      <c r="P313" s="21" t="str">
        <f t="shared" si="240"/>
        <v>Apprenant 301 ou 301'</v>
      </c>
      <c r="Q313" s="22" t="str">
        <f t="shared" si="241"/>
        <v/>
      </c>
      <c r="R313" s="22" t="str">
        <f t="shared" si="242"/>
        <v/>
      </c>
      <c r="S313" s="22" t="str">
        <f t="shared" si="243"/>
        <v/>
      </c>
      <c r="T313" s="22" t="str">
        <f t="shared" si="244"/>
        <v/>
      </c>
      <c r="V313" s="21" t="str">
        <f t="shared" si="245"/>
        <v>Apprenant 301</v>
      </c>
      <c r="W313" s="22" t="str">
        <f>IF(AND(OR('Choix pédagogiques'!$C$3=1,'Choix pédagogiques'!$C$3=2),$BM313=1),B313,IF(AND('Choix pédagogiques'!$C$3=3,$BO313=1),B313,""))</f>
        <v/>
      </c>
      <c r="X313" s="22" t="str">
        <f>IF(AND(OR('Choix pédagogiques'!$C$3=1,'Choix pédagogiques'!$C$3=2),$BM313=1),C313,IF(AND('Choix pédagogiques'!$C$3=3,$BO313=1),C313,""))</f>
        <v/>
      </c>
      <c r="Y313" s="22" t="str">
        <f>IF(AND(OR('Choix pédagogiques'!$C$3=1,'Choix pédagogiques'!$C$3=2),$BM313=1),D313,IF(AND('Choix pédagogiques'!$C$3=3,$BO313=1),D313,""))</f>
        <v/>
      </c>
      <c r="Z313" s="22" t="str">
        <f t="shared" si="246"/>
        <v/>
      </c>
      <c r="AA313" s="21" t="str">
        <f t="shared" si="247"/>
        <v>Apprenant 301 ou 301'</v>
      </c>
      <c r="AB313" s="22" t="str">
        <f>IF(AND(OR('Choix pédagogiques'!$C$3=1,'Choix pédagogiques'!$C$3=2),$BN313=1),G313,IF(AND('Choix pédagogiques'!$C$3=3,$BO313=1),G313,""))</f>
        <v/>
      </c>
      <c r="AC313" s="22" t="str">
        <f>IF(AND(OR('Choix pédagogiques'!$C$3=1,'Choix pédagogiques'!$C$3=2),$BN313=1),H313,IF(AND('Choix pédagogiques'!$C$3=3,$BO313=1),H313,""))</f>
        <v/>
      </c>
      <c r="AD313" s="22" t="str">
        <f>IF(AND(OR('Choix pédagogiques'!$C$3=1,'Choix pédagogiques'!$C$3=2),$BN313=1),I313,IF(AND('Choix pédagogiques'!$C$3=3,$BO313=1),I313,""))</f>
        <v/>
      </c>
      <c r="AE313" s="22" t="str">
        <f t="shared" si="248"/>
        <v/>
      </c>
      <c r="AF313" s="21" t="str">
        <f t="shared" si="249"/>
        <v>Apprenant 301</v>
      </c>
      <c r="AG313" s="22" t="str">
        <f t="shared" si="223"/>
        <v/>
      </c>
      <c r="AH313" s="22" t="str">
        <f t="shared" si="224"/>
        <v/>
      </c>
      <c r="AI313" s="22" t="str">
        <f t="shared" si="225"/>
        <v/>
      </c>
      <c r="AJ313" s="22" t="str">
        <f t="shared" si="250"/>
        <v/>
      </c>
      <c r="AK313" s="21" t="str">
        <f t="shared" si="251"/>
        <v>Apprenant 301 ou 301'</v>
      </c>
      <c r="AL313" s="22" t="str">
        <f t="shared" si="226"/>
        <v/>
      </c>
      <c r="AM313" s="22" t="str">
        <f t="shared" si="227"/>
        <v/>
      </c>
      <c r="AN313" s="22" t="str">
        <f t="shared" si="228"/>
        <v/>
      </c>
      <c r="AO313" s="22" t="str">
        <f t="shared" si="252"/>
        <v/>
      </c>
      <c r="AQ313" s="21" t="str">
        <f t="shared" si="253"/>
        <v>Apprenant 301</v>
      </c>
      <c r="AR313" s="49" t="str">
        <f>IF(AND('Choix pédagogiques'!$C$4&lt;&gt;"?",'Choix pédagogiques'!$C$5&lt;&gt;"?",W313&lt;&gt;""),(W313-'Choix pédagogiques'!$C$4)/('Choix pédagogiques'!$C$5-'Choix pédagogiques'!$C$4),"")</f>
        <v/>
      </c>
      <c r="AS313" s="49" t="str">
        <f>IF(AND('Choix pédagogiques'!$C$4&lt;&gt;"?",'Choix pédagogiques'!$C$5&lt;&gt;"?",X313&lt;&gt;""),(X313-'Choix pédagogiques'!$C$4)/('Choix pédagogiques'!$C$5-'Choix pédagogiques'!$C$4),"")</f>
        <v/>
      </c>
      <c r="AT313" s="49" t="str">
        <f>IF(AND('Choix pédagogiques'!$C$4&lt;&gt;"?",'Choix pédagogiques'!$C$5&lt;&gt;"?",Y313&lt;&gt;""),(Y313-'Choix pédagogiques'!$C$4)/('Choix pédagogiques'!$C$5-'Choix pédagogiques'!$C$4),"")</f>
        <v/>
      </c>
      <c r="AU313" s="22" t="str">
        <f t="shared" si="254"/>
        <v/>
      </c>
      <c r="AV313" s="21" t="str">
        <f t="shared" si="255"/>
        <v>Apprenant 301 ou 301'</v>
      </c>
      <c r="AW313" s="49" t="str">
        <f>IF(AND('Choix pédagogiques'!$C$4&lt;&gt;"?",'Choix pédagogiques'!$C$5&lt;&gt;"?",AB313&lt;&gt;""),(AB313-'Choix pédagogiques'!$C$4)/('Choix pédagogiques'!$C$5-'Choix pédagogiques'!$C$4),"")</f>
        <v/>
      </c>
      <c r="AX313" s="49" t="str">
        <f>IF(AND('Choix pédagogiques'!$C$4&lt;&gt;"?",'Choix pédagogiques'!$C$5&lt;&gt;"?",AC313&lt;&gt;""),(AC313-'Choix pédagogiques'!$C$4)/('Choix pédagogiques'!$C$5-'Choix pédagogiques'!$C$4),"")</f>
        <v/>
      </c>
      <c r="AY313" s="49" t="str">
        <f>IF(AND('Choix pédagogiques'!$C$4&lt;&gt;"?",'Choix pédagogiques'!$C$5&lt;&gt;"?",AD313&lt;&gt;""),(AD313-'Choix pédagogiques'!$C$4)/('Choix pédagogiques'!$C$5-'Choix pédagogiques'!$C$4),"")</f>
        <v/>
      </c>
      <c r="AZ313" s="22" t="str">
        <f t="shared" si="256"/>
        <v/>
      </c>
      <c r="BA313" s="21" t="str">
        <f t="shared" si="257"/>
        <v>Apprenant 301</v>
      </c>
      <c r="BB313" s="49" t="str">
        <f t="shared" si="229"/>
        <v/>
      </c>
      <c r="BC313" s="49" t="str">
        <f t="shared" si="230"/>
        <v/>
      </c>
      <c r="BD313" s="49" t="str">
        <f t="shared" si="231"/>
        <v/>
      </c>
      <c r="BE313" s="22" t="str">
        <f t="shared" si="258"/>
        <v/>
      </c>
      <c r="BF313" s="21" t="str">
        <f t="shared" si="259"/>
        <v>Apprenant 301 ou 301'</v>
      </c>
      <c r="BG313" s="49" t="str">
        <f t="shared" si="232"/>
        <v/>
      </c>
      <c r="BH313" s="49" t="str">
        <f t="shared" si="233"/>
        <v/>
      </c>
      <c r="BI313" s="49" t="str">
        <f t="shared" si="234"/>
        <v/>
      </c>
      <c r="BJ313" s="22" t="str">
        <f t="shared" si="260"/>
        <v/>
      </c>
      <c r="BL313" s="21"/>
      <c r="BM313" s="21" t="str">
        <f>IF(OR(COUNT(B313:D1312)=0,AND('Choix pédagogiques'!$C$3&lt;&gt;1,'Choix pédagogiques'!$C$3&lt;&gt;2)),"",IF(AND(OR('Choix pédagogiques'!$C$3=1,'Choix pédagogiques'!$C$3=2),$B313&lt;&gt;"",$C313&lt;&gt;"",$D313&lt;&gt;""),1,0))</f>
        <v/>
      </c>
      <c r="BN313" s="21" t="str">
        <f>IF(OR(COUNT(G313:I1312)=0,AND('Choix pédagogiques'!$C$3&lt;&gt;1,'Choix pédagogiques'!$C$3&lt;&gt;2)),"",IF(AND(OR('Choix pédagogiques'!$C$3=1,'Choix pédagogiques'!$C$3=2),AND($G313&lt;&gt;"",$H313&lt;&gt;"",$I313&lt;&gt;"")),1,0))</f>
        <v/>
      </c>
      <c r="BO313" s="21" t="str">
        <f>IF(OR(COUNT(B313:D1312)=0,COUNT(G313:I1312)=0,'Choix pédagogiques'!C$3&lt;&gt;3),"",IF(AND('Choix pédagogiques'!$C$3=3,$B313&lt;&gt;"",$C313&lt;&gt;"",$D313&lt;&gt;"",$G313&lt;&gt;"",$H313&lt;&gt;"",$I313&lt;&gt;""),1,0))</f>
        <v/>
      </c>
      <c r="BR313" s="21">
        <v>741</v>
      </c>
      <c r="BS313" s="21">
        <v>1969</v>
      </c>
      <c r="BT313"/>
    </row>
    <row r="314" spans="1:72" s="23" customFormat="1" ht="18" customHeight="1" x14ac:dyDescent="0.3">
      <c r="A314" s="35" t="s">
        <v>304</v>
      </c>
      <c r="B314" s="37"/>
      <c r="C314" s="37"/>
      <c r="D314" s="37"/>
      <c r="E314" s="37"/>
      <c r="F314" s="35" t="s">
        <v>1312</v>
      </c>
      <c r="G314" s="37"/>
      <c r="H314" s="37"/>
      <c r="I314" s="37"/>
      <c r="J314" s="37"/>
      <c r="K314" s="21" t="str">
        <f t="shared" si="235"/>
        <v>Apprenant 302</v>
      </c>
      <c r="L314" s="22" t="str">
        <f t="shared" si="236"/>
        <v/>
      </c>
      <c r="M314" s="22" t="str">
        <f t="shared" si="237"/>
        <v/>
      </c>
      <c r="N314" s="22" t="str">
        <f t="shared" si="238"/>
        <v/>
      </c>
      <c r="O314" s="22" t="str">
        <f t="shared" si="239"/>
        <v/>
      </c>
      <c r="P314" s="21" t="str">
        <f t="shared" si="240"/>
        <v>Apprenant 302 ou 302'</v>
      </c>
      <c r="Q314" s="22" t="str">
        <f t="shared" si="241"/>
        <v/>
      </c>
      <c r="R314" s="22" t="str">
        <f t="shared" si="242"/>
        <v/>
      </c>
      <c r="S314" s="22" t="str">
        <f t="shared" si="243"/>
        <v/>
      </c>
      <c r="T314" s="22" t="str">
        <f t="shared" si="244"/>
        <v/>
      </c>
      <c r="V314" s="21" t="str">
        <f t="shared" si="245"/>
        <v>Apprenant 302</v>
      </c>
      <c r="W314" s="22" t="str">
        <f>IF(AND(OR('Choix pédagogiques'!$C$3=1,'Choix pédagogiques'!$C$3=2),$BM314=1),B314,IF(AND('Choix pédagogiques'!$C$3=3,$BO314=1),B314,""))</f>
        <v/>
      </c>
      <c r="X314" s="22" t="str">
        <f>IF(AND(OR('Choix pédagogiques'!$C$3=1,'Choix pédagogiques'!$C$3=2),$BM314=1),C314,IF(AND('Choix pédagogiques'!$C$3=3,$BO314=1),C314,""))</f>
        <v/>
      </c>
      <c r="Y314" s="22" t="str">
        <f>IF(AND(OR('Choix pédagogiques'!$C$3=1,'Choix pédagogiques'!$C$3=2),$BM314=1),D314,IF(AND('Choix pédagogiques'!$C$3=3,$BO314=1),D314,""))</f>
        <v/>
      </c>
      <c r="Z314" s="22" t="str">
        <f t="shared" si="246"/>
        <v/>
      </c>
      <c r="AA314" s="21" t="str">
        <f t="shared" si="247"/>
        <v>Apprenant 302 ou 302'</v>
      </c>
      <c r="AB314" s="22" t="str">
        <f>IF(AND(OR('Choix pédagogiques'!$C$3=1,'Choix pédagogiques'!$C$3=2),$BN314=1),G314,IF(AND('Choix pédagogiques'!$C$3=3,$BO314=1),G314,""))</f>
        <v/>
      </c>
      <c r="AC314" s="22" t="str">
        <f>IF(AND(OR('Choix pédagogiques'!$C$3=1,'Choix pédagogiques'!$C$3=2),$BN314=1),H314,IF(AND('Choix pédagogiques'!$C$3=3,$BO314=1),H314,""))</f>
        <v/>
      </c>
      <c r="AD314" s="22" t="str">
        <f>IF(AND(OR('Choix pédagogiques'!$C$3=1,'Choix pédagogiques'!$C$3=2),$BN314=1),I314,IF(AND('Choix pédagogiques'!$C$3=3,$BO314=1),I314,""))</f>
        <v/>
      </c>
      <c r="AE314" s="22" t="str">
        <f t="shared" si="248"/>
        <v/>
      </c>
      <c r="AF314" s="21" t="str">
        <f t="shared" si="249"/>
        <v>Apprenant 302</v>
      </c>
      <c r="AG314" s="22" t="str">
        <f t="shared" si="223"/>
        <v/>
      </c>
      <c r="AH314" s="22" t="str">
        <f t="shared" si="224"/>
        <v/>
      </c>
      <c r="AI314" s="22" t="str">
        <f t="shared" si="225"/>
        <v/>
      </c>
      <c r="AJ314" s="22" t="str">
        <f t="shared" si="250"/>
        <v/>
      </c>
      <c r="AK314" s="21" t="str">
        <f t="shared" si="251"/>
        <v>Apprenant 302 ou 302'</v>
      </c>
      <c r="AL314" s="22" t="str">
        <f t="shared" si="226"/>
        <v/>
      </c>
      <c r="AM314" s="22" t="str">
        <f t="shared" si="227"/>
        <v/>
      </c>
      <c r="AN314" s="22" t="str">
        <f t="shared" si="228"/>
        <v/>
      </c>
      <c r="AO314" s="22" t="str">
        <f t="shared" si="252"/>
        <v/>
      </c>
      <c r="AQ314" s="21" t="str">
        <f t="shared" si="253"/>
        <v>Apprenant 302</v>
      </c>
      <c r="AR314" s="49" t="str">
        <f>IF(AND('Choix pédagogiques'!$C$4&lt;&gt;"?",'Choix pédagogiques'!$C$5&lt;&gt;"?",W314&lt;&gt;""),(W314-'Choix pédagogiques'!$C$4)/('Choix pédagogiques'!$C$5-'Choix pédagogiques'!$C$4),"")</f>
        <v/>
      </c>
      <c r="AS314" s="49" t="str">
        <f>IF(AND('Choix pédagogiques'!$C$4&lt;&gt;"?",'Choix pédagogiques'!$C$5&lt;&gt;"?",X314&lt;&gt;""),(X314-'Choix pédagogiques'!$C$4)/('Choix pédagogiques'!$C$5-'Choix pédagogiques'!$C$4),"")</f>
        <v/>
      </c>
      <c r="AT314" s="49" t="str">
        <f>IF(AND('Choix pédagogiques'!$C$4&lt;&gt;"?",'Choix pédagogiques'!$C$5&lt;&gt;"?",Y314&lt;&gt;""),(Y314-'Choix pédagogiques'!$C$4)/('Choix pédagogiques'!$C$5-'Choix pédagogiques'!$C$4),"")</f>
        <v/>
      </c>
      <c r="AU314" s="22" t="str">
        <f t="shared" si="254"/>
        <v/>
      </c>
      <c r="AV314" s="21" t="str">
        <f t="shared" si="255"/>
        <v>Apprenant 302 ou 302'</v>
      </c>
      <c r="AW314" s="49" t="str">
        <f>IF(AND('Choix pédagogiques'!$C$4&lt;&gt;"?",'Choix pédagogiques'!$C$5&lt;&gt;"?",AB314&lt;&gt;""),(AB314-'Choix pédagogiques'!$C$4)/('Choix pédagogiques'!$C$5-'Choix pédagogiques'!$C$4),"")</f>
        <v/>
      </c>
      <c r="AX314" s="49" t="str">
        <f>IF(AND('Choix pédagogiques'!$C$4&lt;&gt;"?",'Choix pédagogiques'!$C$5&lt;&gt;"?",AC314&lt;&gt;""),(AC314-'Choix pédagogiques'!$C$4)/('Choix pédagogiques'!$C$5-'Choix pédagogiques'!$C$4),"")</f>
        <v/>
      </c>
      <c r="AY314" s="49" t="str">
        <f>IF(AND('Choix pédagogiques'!$C$4&lt;&gt;"?",'Choix pédagogiques'!$C$5&lt;&gt;"?",AD314&lt;&gt;""),(AD314-'Choix pédagogiques'!$C$4)/('Choix pédagogiques'!$C$5-'Choix pédagogiques'!$C$4),"")</f>
        <v/>
      </c>
      <c r="AZ314" s="22" t="str">
        <f t="shared" si="256"/>
        <v/>
      </c>
      <c r="BA314" s="21" t="str">
        <f t="shared" si="257"/>
        <v>Apprenant 302</v>
      </c>
      <c r="BB314" s="49" t="str">
        <f t="shared" si="229"/>
        <v/>
      </c>
      <c r="BC314" s="49" t="str">
        <f t="shared" si="230"/>
        <v/>
      </c>
      <c r="BD314" s="49" t="str">
        <f t="shared" si="231"/>
        <v/>
      </c>
      <c r="BE314" s="22" t="str">
        <f t="shared" si="258"/>
        <v/>
      </c>
      <c r="BF314" s="21" t="str">
        <f t="shared" si="259"/>
        <v>Apprenant 302 ou 302'</v>
      </c>
      <c r="BG314" s="49" t="str">
        <f t="shared" si="232"/>
        <v/>
      </c>
      <c r="BH314" s="49" t="str">
        <f t="shared" si="233"/>
        <v/>
      </c>
      <c r="BI314" s="49" t="str">
        <f t="shared" si="234"/>
        <v/>
      </c>
      <c r="BJ314" s="22" t="str">
        <f t="shared" si="260"/>
        <v/>
      </c>
      <c r="BL314" s="21"/>
      <c r="BM314" s="21" t="str">
        <f>IF(OR(COUNT(B314:D1313)=0,AND('Choix pédagogiques'!$C$3&lt;&gt;1,'Choix pédagogiques'!$C$3&lt;&gt;2)),"",IF(AND(OR('Choix pédagogiques'!$C$3=1,'Choix pédagogiques'!$C$3=2),$B314&lt;&gt;"",$C314&lt;&gt;"",$D314&lt;&gt;""),1,0))</f>
        <v/>
      </c>
      <c r="BN314" s="21" t="str">
        <f>IF(OR(COUNT(G314:I1313)=0,AND('Choix pédagogiques'!$C$3&lt;&gt;1,'Choix pédagogiques'!$C$3&lt;&gt;2)),"",IF(AND(OR('Choix pédagogiques'!$C$3=1,'Choix pédagogiques'!$C$3=2),AND($G314&lt;&gt;"",$H314&lt;&gt;"",$I314&lt;&gt;"")),1,0))</f>
        <v/>
      </c>
      <c r="BO314" s="21" t="str">
        <f>IF(OR(COUNT(B314:D1313)=0,COUNT(G314:I1313)=0,'Choix pédagogiques'!C$3&lt;&gt;3),"",IF(AND('Choix pédagogiques'!$C$3=3,$B314&lt;&gt;"",$C314&lt;&gt;"",$D314&lt;&gt;"",$G314&lt;&gt;"",$H314&lt;&gt;"",$I314&lt;&gt;""),1,0))</f>
        <v/>
      </c>
      <c r="BR314" s="21">
        <v>242</v>
      </c>
      <c r="BS314" s="21">
        <v>1649</v>
      </c>
      <c r="BT314"/>
    </row>
    <row r="315" spans="1:72" s="23" customFormat="1" ht="18" customHeight="1" x14ac:dyDescent="0.3">
      <c r="A315" s="35" t="s">
        <v>305</v>
      </c>
      <c r="B315" s="37"/>
      <c r="C315" s="37"/>
      <c r="D315" s="37"/>
      <c r="E315" s="37"/>
      <c r="F315" s="35" t="s">
        <v>1313</v>
      </c>
      <c r="G315" s="37"/>
      <c r="H315" s="37"/>
      <c r="I315" s="37"/>
      <c r="J315" s="37"/>
      <c r="K315" s="21" t="str">
        <f t="shared" si="235"/>
        <v>Apprenant 303</v>
      </c>
      <c r="L315" s="22" t="str">
        <f t="shared" si="236"/>
        <v/>
      </c>
      <c r="M315" s="22" t="str">
        <f t="shared" si="237"/>
        <v/>
      </c>
      <c r="N315" s="22" t="str">
        <f t="shared" si="238"/>
        <v/>
      </c>
      <c r="O315" s="22" t="str">
        <f t="shared" si="239"/>
        <v/>
      </c>
      <c r="P315" s="21" t="str">
        <f t="shared" si="240"/>
        <v>Apprenant 303 ou 303'</v>
      </c>
      <c r="Q315" s="22" t="str">
        <f t="shared" si="241"/>
        <v/>
      </c>
      <c r="R315" s="22" t="str">
        <f t="shared" si="242"/>
        <v/>
      </c>
      <c r="S315" s="22" t="str">
        <f t="shared" si="243"/>
        <v/>
      </c>
      <c r="T315" s="22" t="str">
        <f t="shared" si="244"/>
        <v/>
      </c>
      <c r="V315" s="21" t="str">
        <f t="shared" si="245"/>
        <v>Apprenant 303</v>
      </c>
      <c r="W315" s="22" t="str">
        <f>IF(AND(OR('Choix pédagogiques'!$C$3=1,'Choix pédagogiques'!$C$3=2),$BM315=1),B315,IF(AND('Choix pédagogiques'!$C$3=3,$BO315=1),B315,""))</f>
        <v/>
      </c>
      <c r="X315" s="22" t="str">
        <f>IF(AND(OR('Choix pédagogiques'!$C$3=1,'Choix pédagogiques'!$C$3=2),$BM315=1),C315,IF(AND('Choix pédagogiques'!$C$3=3,$BO315=1),C315,""))</f>
        <v/>
      </c>
      <c r="Y315" s="22" t="str">
        <f>IF(AND(OR('Choix pédagogiques'!$C$3=1,'Choix pédagogiques'!$C$3=2),$BM315=1),D315,IF(AND('Choix pédagogiques'!$C$3=3,$BO315=1),D315,""))</f>
        <v/>
      </c>
      <c r="Z315" s="22" t="str">
        <f t="shared" si="246"/>
        <v/>
      </c>
      <c r="AA315" s="21" t="str">
        <f t="shared" si="247"/>
        <v>Apprenant 303 ou 303'</v>
      </c>
      <c r="AB315" s="22" t="str">
        <f>IF(AND(OR('Choix pédagogiques'!$C$3=1,'Choix pédagogiques'!$C$3=2),$BN315=1),G315,IF(AND('Choix pédagogiques'!$C$3=3,$BO315=1),G315,""))</f>
        <v/>
      </c>
      <c r="AC315" s="22" t="str">
        <f>IF(AND(OR('Choix pédagogiques'!$C$3=1,'Choix pédagogiques'!$C$3=2),$BN315=1),H315,IF(AND('Choix pédagogiques'!$C$3=3,$BO315=1),H315,""))</f>
        <v/>
      </c>
      <c r="AD315" s="22" t="str">
        <f>IF(AND(OR('Choix pédagogiques'!$C$3=1,'Choix pédagogiques'!$C$3=2),$BN315=1),I315,IF(AND('Choix pédagogiques'!$C$3=3,$BO315=1),I315,""))</f>
        <v/>
      </c>
      <c r="AE315" s="22" t="str">
        <f t="shared" si="248"/>
        <v/>
      </c>
      <c r="AF315" s="21" t="str">
        <f t="shared" si="249"/>
        <v>Apprenant 303</v>
      </c>
      <c r="AG315" s="22" t="str">
        <f t="shared" si="223"/>
        <v/>
      </c>
      <c r="AH315" s="22" t="str">
        <f t="shared" si="224"/>
        <v/>
      </c>
      <c r="AI315" s="22" t="str">
        <f t="shared" si="225"/>
        <v/>
      </c>
      <c r="AJ315" s="22" t="str">
        <f t="shared" si="250"/>
        <v/>
      </c>
      <c r="AK315" s="21" t="str">
        <f t="shared" si="251"/>
        <v>Apprenant 303 ou 303'</v>
      </c>
      <c r="AL315" s="22" t="str">
        <f t="shared" si="226"/>
        <v/>
      </c>
      <c r="AM315" s="22" t="str">
        <f t="shared" si="227"/>
        <v/>
      </c>
      <c r="AN315" s="22" t="str">
        <f t="shared" si="228"/>
        <v/>
      </c>
      <c r="AO315" s="22" t="str">
        <f t="shared" si="252"/>
        <v/>
      </c>
      <c r="AQ315" s="21" t="str">
        <f t="shared" si="253"/>
        <v>Apprenant 303</v>
      </c>
      <c r="AR315" s="49" t="str">
        <f>IF(AND('Choix pédagogiques'!$C$4&lt;&gt;"?",'Choix pédagogiques'!$C$5&lt;&gt;"?",W315&lt;&gt;""),(W315-'Choix pédagogiques'!$C$4)/('Choix pédagogiques'!$C$5-'Choix pédagogiques'!$C$4),"")</f>
        <v/>
      </c>
      <c r="AS315" s="49" t="str">
        <f>IF(AND('Choix pédagogiques'!$C$4&lt;&gt;"?",'Choix pédagogiques'!$C$5&lt;&gt;"?",X315&lt;&gt;""),(X315-'Choix pédagogiques'!$C$4)/('Choix pédagogiques'!$C$5-'Choix pédagogiques'!$C$4),"")</f>
        <v/>
      </c>
      <c r="AT315" s="49" t="str">
        <f>IF(AND('Choix pédagogiques'!$C$4&lt;&gt;"?",'Choix pédagogiques'!$C$5&lt;&gt;"?",Y315&lt;&gt;""),(Y315-'Choix pédagogiques'!$C$4)/('Choix pédagogiques'!$C$5-'Choix pédagogiques'!$C$4),"")</f>
        <v/>
      </c>
      <c r="AU315" s="22" t="str">
        <f t="shared" si="254"/>
        <v/>
      </c>
      <c r="AV315" s="21" t="str">
        <f t="shared" si="255"/>
        <v>Apprenant 303 ou 303'</v>
      </c>
      <c r="AW315" s="49" t="str">
        <f>IF(AND('Choix pédagogiques'!$C$4&lt;&gt;"?",'Choix pédagogiques'!$C$5&lt;&gt;"?",AB315&lt;&gt;""),(AB315-'Choix pédagogiques'!$C$4)/('Choix pédagogiques'!$C$5-'Choix pédagogiques'!$C$4),"")</f>
        <v/>
      </c>
      <c r="AX315" s="49" t="str">
        <f>IF(AND('Choix pédagogiques'!$C$4&lt;&gt;"?",'Choix pédagogiques'!$C$5&lt;&gt;"?",AC315&lt;&gt;""),(AC315-'Choix pédagogiques'!$C$4)/('Choix pédagogiques'!$C$5-'Choix pédagogiques'!$C$4),"")</f>
        <v/>
      </c>
      <c r="AY315" s="49" t="str">
        <f>IF(AND('Choix pédagogiques'!$C$4&lt;&gt;"?",'Choix pédagogiques'!$C$5&lt;&gt;"?",AD315&lt;&gt;""),(AD315-'Choix pédagogiques'!$C$4)/('Choix pédagogiques'!$C$5-'Choix pédagogiques'!$C$4),"")</f>
        <v/>
      </c>
      <c r="AZ315" s="22" t="str">
        <f t="shared" si="256"/>
        <v/>
      </c>
      <c r="BA315" s="21" t="str">
        <f t="shared" si="257"/>
        <v>Apprenant 303</v>
      </c>
      <c r="BB315" s="49" t="str">
        <f t="shared" si="229"/>
        <v/>
      </c>
      <c r="BC315" s="49" t="str">
        <f t="shared" si="230"/>
        <v/>
      </c>
      <c r="BD315" s="49" t="str">
        <f t="shared" si="231"/>
        <v/>
      </c>
      <c r="BE315" s="22" t="str">
        <f t="shared" si="258"/>
        <v/>
      </c>
      <c r="BF315" s="21" t="str">
        <f t="shared" si="259"/>
        <v>Apprenant 303 ou 303'</v>
      </c>
      <c r="BG315" s="49" t="str">
        <f t="shared" si="232"/>
        <v/>
      </c>
      <c r="BH315" s="49" t="str">
        <f t="shared" si="233"/>
        <v/>
      </c>
      <c r="BI315" s="49" t="str">
        <f t="shared" si="234"/>
        <v/>
      </c>
      <c r="BJ315" s="22" t="str">
        <f t="shared" si="260"/>
        <v/>
      </c>
      <c r="BL315" s="21"/>
      <c r="BM315" s="21" t="str">
        <f>IF(OR(COUNT(B315:D1314)=0,AND('Choix pédagogiques'!$C$3&lt;&gt;1,'Choix pédagogiques'!$C$3&lt;&gt;2)),"",IF(AND(OR('Choix pédagogiques'!$C$3=1,'Choix pédagogiques'!$C$3=2),$B315&lt;&gt;"",$C315&lt;&gt;"",$D315&lt;&gt;""),1,0))</f>
        <v/>
      </c>
      <c r="BN315" s="21" t="str">
        <f>IF(OR(COUNT(G315:I1314)=0,AND('Choix pédagogiques'!$C$3&lt;&gt;1,'Choix pédagogiques'!$C$3&lt;&gt;2)),"",IF(AND(OR('Choix pédagogiques'!$C$3=1,'Choix pédagogiques'!$C$3=2),AND($G315&lt;&gt;"",$H315&lt;&gt;"",$I315&lt;&gt;"")),1,0))</f>
        <v/>
      </c>
      <c r="BO315" s="21" t="str">
        <f>IF(OR(COUNT(B315:D1314)=0,COUNT(G315:I1314)=0,'Choix pédagogiques'!C$3&lt;&gt;3),"",IF(AND('Choix pédagogiques'!$C$3=3,$B315&lt;&gt;"",$C315&lt;&gt;"",$D315&lt;&gt;"",$G315&lt;&gt;"",$H315&lt;&gt;"",$I315&lt;&gt;""),1,0))</f>
        <v/>
      </c>
      <c r="BR315" s="21">
        <v>984</v>
      </c>
      <c r="BS315" s="21">
        <v>1940</v>
      </c>
      <c r="BT315"/>
    </row>
    <row r="316" spans="1:72" s="23" customFormat="1" ht="18" customHeight="1" x14ac:dyDescent="0.3">
      <c r="A316" s="35" t="s">
        <v>306</v>
      </c>
      <c r="B316" s="37"/>
      <c r="C316" s="37"/>
      <c r="D316" s="37"/>
      <c r="E316" s="37"/>
      <c r="F316" s="35" t="s">
        <v>1314</v>
      </c>
      <c r="G316" s="37"/>
      <c r="H316" s="37"/>
      <c r="I316" s="37"/>
      <c r="J316" s="37"/>
      <c r="K316" s="21" t="str">
        <f t="shared" si="235"/>
        <v>Apprenant 304</v>
      </c>
      <c r="L316" s="22" t="str">
        <f t="shared" si="236"/>
        <v/>
      </c>
      <c r="M316" s="22" t="str">
        <f t="shared" si="237"/>
        <v/>
      </c>
      <c r="N316" s="22" t="str">
        <f t="shared" si="238"/>
        <v/>
      </c>
      <c r="O316" s="22" t="str">
        <f t="shared" si="239"/>
        <v/>
      </c>
      <c r="P316" s="21" t="str">
        <f t="shared" si="240"/>
        <v>Apprenant 304 ou 304'</v>
      </c>
      <c r="Q316" s="22" t="str">
        <f t="shared" si="241"/>
        <v/>
      </c>
      <c r="R316" s="22" t="str">
        <f t="shared" si="242"/>
        <v/>
      </c>
      <c r="S316" s="22" t="str">
        <f t="shared" si="243"/>
        <v/>
      </c>
      <c r="T316" s="22" t="str">
        <f t="shared" si="244"/>
        <v/>
      </c>
      <c r="V316" s="21" t="str">
        <f t="shared" si="245"/>
        <v>Apprenant 304</v>
      </c>
      <c r="W316" s="22" t="str">
        <f>IF(AND(OR('Choix pédagogiques'!$C$3=1,'Choix pédagogiques'!$C$3=2),$BM316=1),B316,IF(AND('Choix pédagogiques'!$C$3=3,$BO316=1),B316,""))</f>
        <v/>
      </c>
      <c r="X316" s="22" t="str">
        <f>IF(AND(OR('Choix pédagogiques'!$C$3=1,'Choix pédagogiques'!$C$3=2),$BM316=1),C316,IF(AND('Choix pédagogiques'!$C$3=3,$BO316=1),C316,""))</f>
        <v/>
      </c>
      <c r="Y316" s="22" t="str">
        <f>IF(AND(OR('Choix pédagogiques'!$C$3=1,'Choix pédagogiques'!$C$3=2),$BM316=1),D316,IF(AND('Choix pédagogiques'!$C$3=3,$BO316=1),D316,""))</f>
        <v/>
      </c>
      <c r="Z316" s="22" t="str">
        <f t="shared" si="246"/>
        <v/>
      </c>
      <c r="AA316" s="21" t="str">
        <f t="shared" si="247"/>
        <v>Apprenant 304 ou 304'</v>
      </c>
      <c r="AB316" s="22" t="str">
        <f>IF(AND(OR('Choix pédagogiques'!$C$3=1,'Choix pédagogiques'!$C$3=2),$BN316=1),G316,IF(AND('Choix pédagogiques'!$C$3=3,$BO316=1),G316,""))</f>
        <v/>
      </c>
      <c r="AC316" s="22" t="str">
        <f>IF(AND(OR('Choix pédagogiques'!$C$3=1,'Choix pédagogiques'!$C$3=2),$BN316=1),H316,IF(AND('Choix pédagogiques'!$C$3=3,$BO316=1),H316,""))</f>
        <v/>
      </c>
      <c r="AD316" s="22" t="str">
        <f>IF(AND(OR('Choix pédagogiques'!$C$3=1,'Choix pédagogiques'!$C$3=2),$BN316=1),I316,IF(AND('Choix pédagogiques'!$C$3=3,$BO316=1),I316,""))</f>
        <v/>
      </c>
      <c r="AE316" s="22" t="str">
        <f t="shared" si="248"/>
        <v/>
      </c>
      <c r="AF316" s="21" t="str">
        <f t="shared" si="249"/>
        <v>Apprenant 304</v>
      </c>
      <c r="AG316" s="22" t="str">
        <f t="shared" si="223"/>
        <v/>
      </c>
      <c r="AH316" s="22" t="str">
        <f t="shared" si="224"/>
        <v/>
      </c>
      <c r="AI316" s="22" t="str">
        <f t="shared" si="225"/>
        <v/>
      </c>
      <c r="AJ316" s="22" t="str">
        <f t="shared" si="250"/>
        <v/>
      </c>
      <c r="AK316" s="21" t="str">
        <f t="shared" si="251"/>
        <v>Apprenant 304 ou 304'</v>
      </c>
      <c r="AL316" s="22" t="str">
        <f t="shared" si="226"/>
        <v/>
      </c>
      <c r="AM316" s="22" t="str">
        <f t="shared" si="227"/>
        <v/>
      </c>
      <c r="AN316" s="22" t="str">
        <f t="shared" si="228"/>
        <v/>
      </c>
      <c r="AO316" s="22" t="str">
        <f t="shared" si="252"/>
        <v/>
      </c>
      <c r="AQ316" s="21" t="str">
        <f t="shared" si="253"/>
        <v>Apprenant 304</v>
      </c>
      <c r="AR316" s="49" t="str">
        <f>IF(AND('Choix pédagogiques'!$C$4&lt;&gt;"?",'Choix pédagogiques'!$C$5&lt;&gt;"?",W316&lt;&gt;""),(W316-'Choix pédagogiques'!$C$4)/('Choix pédagogiques'!$C$5-'Choix pédagogiques'!$C$4),"")</f>
        <v/>
      </c>
      <c r="AS316" s="49" t="str">
        <f>IF(AND('Choix pédagogiques'!$C$4&lt;&gt;"?",'Choix pédagogiques'!$C$5&lt;&gt;"?",X316&lt;&gt;""),(X316-'Choix pédagogiques'!$C$4)/('Choix pédagogiques'!$C$5-'Choix pédagogiques'!$C$4),"")</f>
        <v/>
      </c>
      <c r="AT316" s="49" t="str">
        <f>IF(AND('Choix pédagogiques'!$C$4&lt;&gt;"?",'Choix pédagogiques'!$C$5&lt;&gt;"?",Y316&lt;&gt;""),(Y316-'Choix pédagogiques'!$C$4)/('Choix pédagogiques'!$C$5-'Choix pédagogiques'!$C$4),"")</f>
        <v/>
      </c>
      <c r="AU316" s="22" t="str">
        <f t="shared" si="254"/>
        <v/>
      </c>
      <c r="AV316" s="21" t="str">
        <f t="shared" si="255"/>
        <v>Apprenant 304 ou 304'</v>
      </c>
      <c r="AW316" s="49" t="str">
        <f>IF(AND('Choix pédagogiques'!$C$4&lt;&gt;"?",'Choix pédagogiques'!$C$5&lt;&gt;"?",AB316&lt;&gt;""),(AB316-'Choix pédagogiques'!$C$4)/('Choix pédagogiques'!$C$5-'Choix pédagogiques'!$C$4),"")</f>
        <v/>
      </c>
      <c r="AX316" s="49" t="str">
        <f>IF(AND('Choix pédagogiques'!$C$4&lt;&gt;"?",'Choix pédagogiques'!$C$5&lt;&gt;"?",AC316&lt;&gt;""),(AC316-'Choix pédagogiques'!$C$4)/('Choix pédagogiques'!$C$5-'Choix pédagogiques'!$C$4),"")</f>
        <v/>
      </c>
      <c r="AY316" s="49" t="str">
        <f>IF(AND('Choix pédagogiques'!$C$4&lt;&gt;"?",'Choix pédagogiques'!$C$5&lt;&gt;"?",AD316&lt;&gt;""),(AD316-'Choix pédagogiques'!$C$4)/('Choix pédagogiques'!$C$5-'Choix pédagogiques'!$C$4),"")</f>
        <v/>
      </c>
      <c r="AZ316" s="22" t="str">
        <f t="shared" si="256"/>
        <v/>
      </c>
      <c r="BA316" s="21" t="str">
        <f t="shared" si="257"/>
        <v>Apprenant 304</v>
      </c>
      <c r="BB316" s="49" t="str">
        <f t="shared" si="229"/>
        <v/>
      </c>
      <c r="BC316" s="49" t="str">
        <f t="shared" si="230"/>
        <v/>
      </c>
      <c r="BD316" s="49" t="str">
        <f t="shared" si="231"/>
        <v/>
      </c>
      <c r="BE316" s="22" t="str">
        <f t="shared" si="258"/>
        <v/>
      </c>
      <c r="BF316" s="21" t="str">
        <f t="shared" si="259"/>
        <v>Apprenant 304 ou 304'</v>
      </c>
      <c r="BG316" s="49" t="str">
        <f t="shared" si="232"/>
        <v/>
      </c>
      <c r="BH316" s="49" t="str">
        <f t="shared" si="233"/>
        <v/>
      </c>
      <c r="BI316" s="49" t="str">
        <f t="shared" si="234"/>
        <v/>
      </c>
      <c r="BJ316" s="22" t="str">
        <f t="shared" si="260"/>
        <v/>
      </c>
      <c r="BL316" s="21"/>
      <c r="BM316" s="21" t="str">
        <f>IF(OR(COUNT(B316:D1315)=0,AND('Choix pédagogiques'!$C$3&lt;&gt;1,'Choix pédagogiques'!$C$3&lt;&gt;2)),"",IF(AND(OR('Choix pédagogiques'!$C$3=1,'Choix pédagogiques'!$C$3=2),$B316&lt;&gt;"",$C316&lt;&gt;"",$D316&lt;&gt;""),1,0))</f>
        <v/>
      </c>
      <c r="BN316" s="21" t="str">
        <f>IF(OR(COUNT(G316:I1315)=0,AND('Choix pédagogiques'!$C$3&lt;&gt;1,'Choix pédagogiques'!$C$3&lt;&gt;2)),"",IF(AND(OR('Choix pédagogiques'!$C$3=1,'Choix pédagogiques'!$C$3=2),AND($G316&lt;&gt;"",$H316&lt;&gt;"",$I316&lt;&gt;"")),1,0))</f>
        <v/>
      </c>
      <c r="BO316" s="21" t="str">
        <f>IF(OR(COUNT(B316:D1315)=0,COUNT(G316:I1315)=0,'Choix pédagogiques'!C$3&lt;&gt;3),"",IF(AND('Choix pédagogiques'!$C$3=3,$B316&lt;&gt;"",$C316&lt;&gt;"",$D316&lt;&gt;"",$G316&lt;&gt;"",$H316&lt;&gt;"",$I316&lt;&gt;""),1,0))</f>
        <v/>
      </c>
      <c r="BR316" s="21">
        <v>846</v>
      </c>
      <c r="BS316" s="21">
        <v>1108</v>
      </c>
      <c r="BT316"/>
    </row>
    <row r="317" spans="1:72" s="23" customFormat="1" ht="18" customHeight="1" x14ac:dyDescent="0.3">
      <c r="A317" s="35" t="s">
        <v>307</v>
      </c>
      <c r="B317" s="37"/>
      <c r="C317" s="37"/>
      <c r="D317" s="37"/>
      <c r="E317" s="37"/>
      <c r="F317" s="35" t="s">
        <v>1315</v>
      </c>
      <c r="G317" s="37"/>
      <c r="H317" s="37"/>
      <c r="I317" s="37"/>
      <c r="J317" s="37"/>
      <c r="K317" s="21" t="str">
        <f t="shared" si="235"/>
        <v>Apprenant 305</v>
      </c>
      <c r="L317" s="22" t="str">
        <f t="shared" si="236"/>
        <v/>
      </c>
      <c r="M317" s="22" t="str">
        <f t="shared" si="237"/>
        <v/>
      </c>
      <c r="N317" s="22" t="str">
        <f t="shared" si="238"/>
        <v/>
      </c>
      <c r="O317" s="22" t="str">
        <f t="shared" si="239"/>
        <v/>
      </c>
      <c r="P317" s="21" t="str">
        <f t="shared" si="240"/>
        <v>Apprenant 305 ou 305'</v>
      </c>
      <c r="Q317" s="22" t="str">
        <f t="shared" si="241"/>
        <v/>
      </c>
      <c r="R317" s="22" t="str">
        <f t="shared" si="242"/>
        <v/>
      </c>
      <c r="S317" s="22" t="str">
        <f t="shared" si="243"/>
        <v/>
      </c>
      <c r="T317" s="22" t="str">
        <f t="shared" si="244"/>
        <v/>
      </c>
      <c r="V317" s="21" t="str">
        <f t="shared" si="245"/>
        <v>Apprenant 305</v>
      </c>
      <c r="W317" s="22" t="str">
        <f>IF(AND(OR('Choix pédagogiques'!$C$3=1,'Choix pédagogiques'!$C$3=2),$BM317=1),B317,IF(AND('Choix pédagogiques'!$C$3=3,$BO317=1),B317,""))</f>
        <v/>
      </c>
      <c r="X317" s="22" t="str">
        <f>IF(AND(OR('Choix pédagogiques'!$C$3=1,'Choix pédagogiques'!$C$3=2),$BM317=1),C317,IF(AND('Choix pédagogiques'!$C$3=3,$BO317=1),C317,""))</f>
        <v/>
      </c>
      <c r="Y317" s="22" t="str">
        <f>IF(AND(OR('Choix pédagogiques'!$C$3=1,'Choix pédagogiques'!$C$3=2),$BM317=1),D317,IF(AND('Choix pédagogiques'!$C$3=3,$BO317=1),D317,""))</f>
        <v/>
      </c>
      <c r="Z317" s="22" t="str">
        <f t="shared" si="246"/>
        <v/>
      </c>
      <c r="AA317" s="21" t="str">
        <f t="shared" si="247"/>
        <v>Apprenant 305 ou 305'</v>
      </c>
      <c r="AB317" s="22" t="str">
        <f>IF(AND(OR('Choix pédagogiques'!$C$3=1,'Choix pédagogiques'!$C$3=2),$BN317=1),G317,IF(AND('Choix pédagogiques'!$C$3=3,$BO317=1),G317,""))</f>
        <v/>
      </c>
      <c r="AC317" s="22" t="str">
        <f>IF(AND(OR('Choix pédagogiques'!$C$3=1,'Choix pédagogiques'!$C$3=2),$BN317=1),H317,IF(AND('Choix pédagogiques'!$C$3=3,$BO317=1),H317,""))</f>
        <v/>
      </c>
      <c r="AD317" s="22" t="str">
        <f>IF(AND(OR('Choix pédagogiques'!$C$3=1,'Choix pédagogiques'!$C$3=2),$BN317=1),I317,IF(AND('Choix pédagogiques'!$C$3=3,$BO317=1),I317,""))</f>
        <v/>
      </c>
      <c r="AE317" s="22" t="str">
        <f t="shared" si="248"/>
        <v/>
      </c>
      <c r="AF317" s="21" t="str">
        <f t="shared" si="249"/>
        <v>Apprenant 305</v>
      </c>
      <c r="AG317" s="22" t="str">
        <f t="shared" si="223"/>
        <v/>
      </c>
      <c r="AH317" s="22" t="str">
        <f t="shared" si="224"/>
        <v/>
      </c>
      <c r="AI317" s="22" t="str">
        <f t="shared" si="225"/>
        <v/>
      </c>
      <c r="AJ317" s="22" t="str">
        <f t="shared" si="250"/>
        <v/>
      </c>
      <c r="AK317" s="21" t="str">
        <f t="shared" si="251"/>
        <v>Apprenant 305 ou 305'</v>
      </c>
      <c r="AL317" s="22" t="str">
        <f t="shared" si="226"/>
        <v/>
      </c>
      <c r="AM317" s="22" t="str">
        <f t="shared" si="227"/>
        <v/>
      </c>
      <c r="AN317" s="22" t="str">
        <f t="shared" si="228"/>
        <v/>
      </c>
      <c r="AO317" s="22" t="str">
        <f t="shared" si="252"/>
        <v/>
      </c>
      <c r="AQ317" s="21" t="str">
        <f t="shared" si="253"/>
        <v>Apprenant 305</v>
      </c>
      <c r="AR317" s="49" t="str">
        <f>IF(AND('Choix pédagogiques'!$C$4&lt;&gt;"?",'Choix pédagogiques'!$C$5&lt;&gt;"?",W317&lt;&gt;""),(W317-'Choix pédagogiques'!$C$4)/('Choix pédagogiques'!$C$5-'Choix pédagogiques'!$C$4),"")</f>
        <v/>
      </c>
      <c r="AS317" s="49" t="str">
        <f>IF(AND('Choix pédagogiques'!$C$4&lt;&gt;"?",'Choix pédagogiques'!$C$5&lt;&gt;"?",X317&lt;&gt;""),(X317-'Choix pédagogiques'!$C$4)/('Choix pédagogiques'!$C$5-'Choix pédagogiques'!$C$4),"")</f>
        <v/>
      </c>
      <c r="AT317" s="49" t="str">
        <f>IF(AND('Choix pédagogiques'!$C$4&lt;&gt;"?",'Choix pédagogiques'!$C$5&lt;&gt;"?",Y317&lt;&gt;""),(Y317-'Choix pédagogiques'!$C$4)/('Choix pédagogiques'!$C$5-'Choix pédagogiques'!$C$4),"")</f>
        <v/>
      </c>
      <c r="AU317" s="22" t="str">
        <f t="shared" si="254"/>
        <v/>
      </c>
      <c r="AV317" s="21" t="str">
        <f t="shared" si="255"/>
        <v>Apprenant 305 ou 305'</v>
      </c>
      <c r="AW317" s="49" t="str">
        <f>IF(AND('Choix pédagogiques'!$C$4&lt;&gt;"?",'Choix pédagogiques'!$C$5&lt;&gt;"?",AB317&lt;&gt;""),(AB317-'Choix pédagogiques'!$C$4)/('Choix pédagogiques'!$C$5-'Choix pédagogiques'!$C$4),"")</f>
        <v/>
      </c>
      <c r="AX317" s="49" t="str">
        <f>IF(AND('Choix pédagogiques'!$C$4&lt;&gt;"?",'Choix pédagogiques'!$C$5&lt;&gt;"?",AC317&lt;&gt;""),(AC317-'Choix pédagogiques'!$C$4)/('Choix pédagogiques'!$C$5-'Choix pédagogiques'!$C$4),"")</f>
        <v/>
      </c>
      <c r="AY317" s="49" t="str">
        <f>IF(AND('Choix pédagogiques'!$C$4&lt;&gt;"?",'Choix pédagogiques'!$C$5&lt;&gt;"?",AD317&lt;&gt;""),(AD317-'Choix pédagogiques'!$C$4)/('Choix pédagogiques'!$C$5-'Choix pédagogiques'!$C$4),"")</f>
        <v/>
      </c>
      <c r="AZ317" s="22" t="str">
        <f t="shared" si="256"/>
        <v/>
      </c>
      <c r="BA317" s="21" t="str">
        <f t="shared" si="257"/>
        <v>Apprenant 305</v>
      </c>
      <c r="BB317" s="49" t="str">
        <f t="shared" si="229"/>
        <v/>
      </c>
      <c r="BC317" s="49" t="str">
        <f t="shared" si="230"/>
        <v/>
      </c>
      <c r="BD317" s="49" t="str">
        <f t="shared" si="231"/>
        <v/>
      </c>
      <c r="BE317" s="22" t="str">
        <f t="shared" si="258"/>
        <v/>
      </c>
      <c r="BF317" s="21" t="str">
        <f t="shared" si="259"/>
        <v>Apprenant 305 ou 305'</v>
      </c>
      <c r="BG317" s="49" t="str">
        <f t="shared" si="232"/>
        <v/>
      </c>
      <c r="BH317" s="49" t="str">
        <f t="shared" si="233"/>
        <v/>
      </c>
      <c r="BI317" s="49" t="str">
        <f t="shared" si="234"/>
        <v/>
      </c>
      <c r="BJ317" s="22" t="str">
        <f t="shared" si="260"/>
        <v/>
      </c>
      <c r="BL317" s="21"/>
      <c r="BM317" s="21" t="str">
        <f>IF(OR(COUNT(B317:D1316)=0,AND('Choix pédagogiques'!$C$3&lt;&gt;1,'Choix pédagogiques'!$C$3&lt;&gt;2)),"",IF(AND(OR('Choix pédagogiques'!$C$3=1,'Choix pédagogiques'!$C$3=2),$B317&lt;&gt;"",$C317&lt;&gt;"",$D317&lt;&gt;""),1,0))</f>
        <v/>
      </c>
      <c r="BN317" s="21" t="str">
        <f>IF(OR(COUNT(G317:I1316)=0,AND('Choix pédagogiques'!$C$3&lt;&gt;1,'Choix pédagogiques'!$C$3&lt;&gt;2)),"",IF(AND(OR('Choix pédagogiques'!$C$3=1,'Choix pédagogiques'!$C$3=2),AND($G317&lt;&gt;"",$H317&lt;&gt;"",$I317&lt;&gt;"")),1,0))</f>
        <v/>
      </c>
      <c r="BO317" s="21" t="str">
        <f>IF(OR(COUNT(B317:D1316)=0,COUNT(G317:I1316)=0,'Choix pédagogiques'!C$3&lt;&gt;3),"",IF(AND('Choix pédagogiques'!$C$3=3,$B317&lt;&gt;"",$C317&lt;&gt;"",$D317&lt;&gt;"",$G317&lt;&gt;"",$H317&lt;&gt;"",$I317&lt;&gt;""),1,0))</f>
        <v/>
      </c>
      <c r="BR317" s="21">
        <v>98</v>
      </c>
      <c r="BS317" s="21">
        <v>1141</v>
      </c>
      <c r="BT317"/>
    </row>
    <row r="318" spans="1:72" s="23" customFormat="1" ht="18" customHeight="1" x14ac:dyDescent="0.3">
      <c r="A318" s="35" t="s">
        <v>308</v>
      </c>
      <c r="B318" s="37"/>
      <c r="C318" s="37"/>
      <c r="D318" s="37"/>
      <c r="E318" s="37"/>
      <c r="F318" s="35" t="s">
        <v>1316</v>
      </c>
      <c r="G318" s="37"/>
      <c r="H318" s="37"/>
      <c r="I318" s="37"/>
      <c r="J318" s="37"/>
      <c r="K318" s="21" t="str">
        <f t="shared" si="235"/>
        <v>Apprenant 306</v>
      </c>
      <c r="L318" s="22" t="str">
        <f t="shared" si="236"/>
        <v/>
      </c>
      <c r="M318" s="22" t="str">
        <f t="shared" si="237"/>
        <v/>
      </c>
      <c r="N318" s="22" t="str">
        <f t="shared" si="238"/>
        <v/>
      </c>
      <c r="O318" s="22" t="str">
        <f t="shared" si="239"/>
        <v/>
      </c>
      <c r="P318" s="21" t="str">
        <f t="shared" si="240"/>
        <v>Apprenant 306 ou 306'</v>
      </c>
      <c r="Q318" s="22" t="str">
        <f t="shared" si="241"/>
        <v/>
      </c>
      <c r="R318" s="22" t="str">
        <f t="shared" si="242"/>
        <v/>
      </c>
      <c r="S318" s="22" t="str">
        <f t="shared" si="243"/>
        <v/>
      </c>
      <c r="T318" s="22" t="str">
        <f t="shared" si="244"/>
        <v/>
      </c>
      <c r="V318" s="21" t="str">
        <f t="shared" si="245"/>
        <v>Apprenant 306</v>
      </c>
      <c r="W318" s="22" t="str">
        <f>IF(AND(OR('Choix pédagogiques'!$C$3=1,'Choix pédagogiques'!$C$3=2),$BM318=1),B318,IF(AND('Choix pédagogiques'!$C$3=3,$BO318=1),B318,""))</f>
        <v/>
      </c>
      <c r="X318" s="22" t="str">
        <f>IF(AND(OR('Choix pédagogiques'!$C$3=1,'Choix pédagogiques'!$C$3=2),$BM318=1),C318,IF(AND('Choix pédagogiques'!$C$3=3,$BO318=1),C318,""))</f>
        <v/>
      </c>
      <c r="Y318" s="22" t="str">
        <f>IF(AND(OR('Choix pédagogiques'!$C$3=1,'Choix pédagogiques'!$C$3=2),$BM318=1),D318,IF(AND('Choix pédagogiques'!$C$3=3,$BO318=1),D318,""))</f>
        <v/>
      </c>
      <c r="Z318" s="22" t="str">
        <f t="shared" si="246"/>
        <v/>
      </c>
      <c r="AA318" s="21" t="str">
        <f t="shared" si="247"/>
        <v>Apprenant 306 ou 306'</v>
      </c>
      <c r="AB318" s="22" t="str">
        <f>IF(AND(OR('Choix pédagogiques'!$C$3=1,'Choix pédagogiques'!$C$3=2),$BN318=1),G318,IF(AND('Choix pédagogiques'!$C$3=3,$BO318=1),G318,""))</f>
        <v/>
      </c>
      <c r="AC318" s="22" t="str">
        <f>IF(AND(OR('Choix pédagogiques'!$C$3=1,'Choix pédagogiques'!$C$3=2),$BN318=1),H318,IF(AND('Choix pédagogiques'!$C$3=3,$BO318=1),H318,""))</f>
        <v/>
      </c>
      <c r="AD318" s="22" t="str">
        <f>IF(AND(OR('Choix pédagogiques'!$C$3=1,'Choix pédagogiques'!$C$3=2),$BN318=1),I318,IF(AND('Choix pédagogiques'!$C$3=3,$BO318=1),I318,""))</f>
        <v/>
      </c>
      <c r="AE318" s="22" t="str">
        <f t="shared" si="248"/>
        <v/>
      </c>
      <c r="AF318" s="21" t="str">
        <f t="shared" si="249"/>
        <v>Apprenant 306</v>
      </c>
      <c r="AG318" s="22" t="str">
        <f t="shared" si="223"/>
        <v/>
      </c>
      <c r="AH318" s="22" t="str">
        <f t="shared" si="224"/>
        <v/>
      </c>
      <c r="AI318" s="22" t="str">
        <f t="shared" si="225"/>
        <v/>
      </c>
      <c r="AJ318" s="22" t="str">
        <f t="shared" si="250"/>
        <v/>
      </c>
      <c r="AK318" s="21" t="str">
        <f t="shared" si="251"/>
        <v>Apprenant 306 ou 306'</v>
      </c>
      <c r="AL318" s="22" t="str">
        <f t="shared" si="226"/>
        <v/>
      </c>
      <c r="AM318" s="22" t="str">
        <f t="shared" si="227"/>
        <v/>
      </c>
      <c r="AN318" s="22" t="str">
        <f t="shared" si="228"/>
        <v/>
      </c>
      <c r="AO318" s="22" t="str">
        <f t="shared" si="252"/>
        <v/>
      </c>
      <c r="AQ318" s="21" t="str">
        <f t="shared" si="253"/>
        <v>Apprenant 306</v>
      </c>
      <c r="AR318" s="49" t="str">
        <f>IF(AND('Choix pédagogiques'!$C$4&lt;&gt;"?",'Choix pédagogiques'!$C$5&lt;&gt;"?",W318&lt;&gt;""),(W318-'Choix pédagogiques'!$C$4)/('Choix pédagogiques'!$C$5-'Choix pédagogiques'!$C$4),"")</f>
        <v/>
      </c>
      <c r="AS318" s="49" t="str">
        <f>IF(AND('Choix pédagogiques'!$C$4&lt;&gt;"?",'Choix pédagogiques'!$C$5&lt;&gt;"?",X318&lt;&gt;""),(X318-'Choix pédagogiques'!$C$4)/('Choix pédagogiques'!$C$5-'Choix pédagogiques'!$C$4),"")</f>
        <v/>
      </c>
      <c r="AT318" s="49" t="str">
        <f>IF(AND('Choix pédagogiques'!$C$4&lt;&gt;"?",'Choix pédagogiques'!$C$5&lt;&gt;"?",Y318&lt;&gt;""),(Y318-'Choix pédagogiques'!$C$4)/('Choix pédagogiques'!$C$5-'Choix pédagogiques'!$C$4),"")</f>
        <v/>
      </c>
      <c r="AU318" s="22" t="str">
        <f t="shared" si="254"/>
        <v/>
      </c>
      <c r="AV318" s="21" t="str">
        <f t="shared" si="255"/>
        <v>Apprenant 306 ou 306'</v>
      </c>
      <c r="AW318" s="49" t="str">
        <f>IF(AND('Choix pédagogiques'!$C$4&lt;&gt;"?",'Choix pédagogiques'!$C$5&lt;&gt;"?",AB318&lt;&gt;""),(AB318-'Choix pédagogiques'!$C$4)/('Choix pédagogiques'!$C$5-'Choix pédagogiques'!$C$4),"")</f>
        <v/>
      </c>
      <c r="AX318" s="49" t="str">
        <f>IF(AND('Choix pédagogiques'!$C$4&lt;&gt;"?",'Choix pédagogiques'!$C$5&lt;&gt;"?",AC318&lt;&gt;""),(AC318-'Choix pédagogiques'!$C$4)/('Choix pédagogiques'!$C$5-'Choix pédagogiques'!$C$4),"")</f>
        <v/>
      </c>
      <c r="AY318" s="49" t="str">
        <f>IF(AND('Choix pédagogiques'!$C$4&lt;&gt;"?",'Choix pédagogiques'!$C$5&lt;&gt;"?",AD318&lt;&gt;""),(AD318-'Choix pédagogiques'!$C$4)/('Choix pédagogiques'!$C$5-'Choix pédagogiques'!$C$4),"")</f>
        <v/>
      </c>
      <c r="AZ318" s="22" t="str">
        <f t="shared" si="256"/>
        <v/>
      </c>
      <c r="BA318" s="21" t="str">
        <f t="shared" si="257"/>
        <v>Apprenant 306</v>
      </c>
      <c r="BB318" s="49" t="str">
        <f t="shared" si="229"/>
        <v/>
      </c>
      <c r="BC318" s="49" t="str">
        <f t="shared" si="230"/>
        <v/>
      </c>
      <c r="BD318" s="49" t="str">
        <f t="shared" si="231"/>
        <v/>
      </c>
      <c r="BE318" s="22" t="str">
        <f t="shared" si="258"/>
        <v/>
      </c>
      <c r="BF318" s="21" t="str">
        <f t="shared" si="259"/>
        <v>Apprenant 306 ou 306'</v>
      </c>
      <c r="BG318" s="49" t="str">
        <f t="shared" si="232"/>
        <v/>
      </c>
      <c r="BH318" s="49" t="str">
        <f t="shared" si="233"/>
        <v/>
      </c>
      <c r="BI318" s="49" t="str">
        <f t="shared" si="234"/>
        <v/>
      </c>
      <c r="BJ318" s="22" t="str">
        <f t="shared" si="260"/>
        <v/>
      </c>
      <c r="BL318" s="21"/>
      <c r="BM318" s="21" t="str">
        <f>IF(OR(COUNT(B318:D1317)=0,AND('Choix pédagogiques'!$C$3&lt;&gt;1,'Choix pédagogiques'!$C$3&lt;&gt;2)),"",IF(AND(OR('Choix pédagogiques'!$C$3=1,'Choix pédagogiques'!$C$3=2),$B318&lt;&gt;"",$C318&lt;&gt;"",$D318&lt;&gt;""),1,0))</f>
        <v/>
      </c>
      <c r="BN318" s="21" t="str">
        <f>IF(OR(COUNT(G318:I1317)=0,AND('Choix pédagogiques'!$C$3&lt;&gt;1,'Choix pédagogiques'!$C$3&lt;&gt;2)),"",IF(AND(OR('Choix pédagogiques'!$C$3=1,'Choix pédagogiques'!$C$3=2),AND($G318&lt;&gt;"",$H318&lt;&gt;"",$I318&lt;&gt;"")),1,0))</f>
        <v/>
      </c>
      <c r="BO318" s="21" t="str">
        <f>IF(OR(COUNT(B318:D1317)=0,COUNT(G318:I1317)=0,'Choix pédagogiques'!C$3&lt;&gt;3),"",IF(AND('Choix pédagogiques'!$C$3=3,$B318&lt;&gt;"",$C318&lt;&gt;"",$D318&lt;&gt;"",$G318&lt;&gt;"",$H318&lt;&gt;"",$I318&lt;&gt;""),1,0))</f>
        <v/>
      </c>
      <c r="BR318" s="21">
        <v>633</v>
      </c>
      <c r="BS318" s="21">
        <v>1951</v>
      </c>
      <c r="BT318"/>
    </row>
    <row r="319" spans="1:72" s="23" customFormat="1" ht="18" customHeight="1" x14ac:dyDescent="0.3">
      <c r="A319" s="35" t="s">
        <v>309</v>
      </c>
      <c r="B319" s="37"/>
      <c r="C319" s="37"/>
      <c r="D319" s="37"/>
      <c r="E319" s="37"/>
      <c r="F319" s="35" t="s">
        <v>1317</v>
      </c>
      <c r="G319" s="37"/>
      <c r="H319" s="37"/>
      <c r="I319" s="37"/>
      <c r="J319" s="37"/>
      <c r="K319" s="21" t="str">
        <f t="shared" si="235"/>
        <v>Apprenant 307</v>
      </c>
      <c r="L319" s="22" t="str">
        <f t="shared" si="236"/>
        <v/>
      </c>
      <c r="M319" s="22" t="str">
        <f t="shared" si="237"/>
        <v/>
      </c>
      <c r="N319" s="22" t="str">
        <f t="shared" si="238"/>
        <v/>
      </c>
      <c r="O319" s="22" t="str">
        <f t="shared" si="239"/>
        <v/>
      </c>
      <c r="P319" s="21" t="str">
        <f t="shared" si="240"/>
        <v>Apprenant 307 ou 307'</v>
      </c>
      <c r="Q319" s="22" t="str">
        <f t="shared" si="241"/>
        <v/>
      </c>
      <c r="R319" s="22" t="str">
        <f t="shared" si="242"/>
        <v/>
      </c>
      <c r="S319" s="22" t="str">
        <f t="shared" si="243"/>
        <v/>
      </c>
      <c r="T319" s="22" t="str">
        <f t="shared" si="244"/>
        <v/>
      </c>
      <c r="V319" s="21" t="str">
        <f t="shared" si="245"/>
        <v>Apprenant 307</v>
      </c>
      <c r="W319" s="22" t="str">
        <f>IF(AND(OR('Choix pédagogiques'!$C$3=1,'Choix pédagogiques'!$C$3=2),$BM319=1),B319,IF(AND('Choix pédagogiques'!$C$3=3,$BO319=1),B319,""))</f>
        <v/>
      </c>
      <c r="X319" s="22" t="str">
        <f>IF(AND(OR('Choix pédagogiques'!$C$3=1,'Choix pédagogiques'!$C$3=2),$BM319=1),C319,IF(AND('Choix pédagogiques'!$C$3=3,$BO319=1),C319,""))</f>
        <v/>
      </c>
      <c r="Y319" s="22" t="str">
        <f>IF(AND(OR('Choix pédagogiques'!$C$3=1,'Choix pédagogiques'!$C$3=2),$BM319=1),D319,IF(AND('Choix pédagogiques'!$C$3=3,$BO319=1),D319,""))</f>
        <v/>
      </c>
      <c r="Z319" s="22" t="str">
        <f t="shared" si="246"/>
        <v/>
      </c>
      <c r="AA319" s="21" t="str">
        <f t="shared" si="247"/>
        <v>Apprenant 307 ou 307'</v>
      </c>
      <c r="AB319" s="22" t="str">
        <f>IF(AND(OR('Choix pédagogiques'!$C$3=1,'Choix pédagogiques'!$C$3=2),$BN319=1),G319,IF(AND('Choix pédagogiques'!$C$3=3,$BO319=1),G319,""))</f>
        <v/>
      </c>
      <c r="AC319" s="22" t="str">
        <f>IF(AND(OR('Choix pédagogiques'!$C$3=1,'Choix pédagogiques'!$C$3=2),$BN319=1),H319,IF(AND('Choix pédagogiques'!$C$3=3,$BO319=1),H319,""))</f>
        <v/>
      </c>
      <c r="AD319" s="22" t="str">
        <f>IF(AND(OR('Choix pédagogiques'!$C$3=1,'Choix pédagogiques'!$C$3=2),$BN319=1),I319,IF(AND('Choix pédagogiques'!$C$3=3,$BO319=1),I319,""))</f>
        <v/>
      </c>
      <c r="AE319" s="22" t="str">
        <f t="shared" si="248"/>
        <v/>
      </c>
      <c r="AF319" s="21" t="str">
        <f t="shared" si="249"/>
        <v>Apprenant 307</v>
      </c>
      <c r="AG319" s="22" t="str">
        <f t="shared" si="223"/>
        <v/>
      </c>
      <c r="AH319" s="22" t="str">
        <f t="shared" si="224"/>
        <v/>
      </c>
      <c r="AI319" s="22" t="str">
        <f t="shared" si="225"/>
        <v/>
      </c>
      <c r="AJ319" s="22" t="str">
        <f t="shared" si="250"/>
        <v/>
      </c>
      <c r="AK319" s="21" t="str">
        <f t="shared" si="251"/>
        <v>Apprenant 307 ou 307'</v>
      </c>
      <c r="AL319" s="22" t="str">
        <f t="shared" si="226"/>
        <v/>
      </c>
      <c r="AM319" s="22" t="str">
        <f t="shared" si="227"/>
        <v/>
      </c>
      <c r="AN319" s="22" t="str">
        <f t="shared" si="228"/>
        <v/>
      </c>
      <c r="AO319" s="22" t="str">
        <f t="shared" si="252"/>
        <v/>
      </c>
      <c r="AQ319" s="21" t="str">
        <f t="shared" si="253"/>
        <v>Apprenant 307</v>
      </c>
      <c r="AR319" s="49" t="str">
        <f>IF(AND('Choix pédagogiques'!$C$4&lt;&gt;"?",'Choix pédagogiques'!$C$5&lt;&gt;"?",W319&lt;&gt;""),(W319-'Choix pédagogiques'!$C$4)/('Choix pédagogiques'!$C$5-'Choix pédagogiques'!$C$4),"")</f>
        <v/>
      </c>
      <c r="AS319" s="49" t="str">
        <f>IF(AND('Choix pédagogiques'!$C$4&lt;&gt;"?",'Choix pédagogiques'!$C$5&lt;&gt;"?",X319&lt;&gt;""),(X319-'Choix pédagogiques'!$C$4)/('Choix pédagogiques'!$C$5-'Choix pédagogiques'!$C$4),"")</f>
        <v/>
      </c>
      <c r="AT319" s="49" t="str">
        <f>IF(AND('Choix pédagogiques'!$C$4&lt;&gt;"?",'Choix pédagogiques'!$C$5&lt;&gt;"?",Y319&lt;&gt;""),(Y319-'Choix pédagogiques'!$C$4)/('Choix pédagogiques'!$C$5-'Choix pédagogiques'!$C$4),"")</f>
        <v/>
      </c>
      <c r="AU319" s="22" t="str">
        <f t="shared" si="254"/>
        <v/>
      </c>
      <c r="AV319" s="21" t="str">
        <f t="shared" si="255"/>
        <v>Apprenant 307 ou 307'</v>
      </c>
      <c r="AW319" s="49" t="str">
        <f>IF(AND('Choix pédagogiques'!$C$4&lt;&gt;"?",'Choix pédagogiques'!$C$5&lt;&gt;"?",AB319&lt;&gt;""),(AB319-'Choix pédagogiques'!$C$4)/('Choix pédagogiques'!$C$5-'Choix pédagogiques'!$C$4),"")</f>
        <v/>
      </c>
      <c r="AX319" s="49" t="str">
        <f>IF(AND('Choix pédagogiques'!$C$4&lt;&gt;"?",'Choix pédagogiques'!$C$5&lt;&gt;"?",AC319&lt;&gt;""),(AC319-'Choix pédagogiques'!$C$4)/('Choix pédagogiques'!$C$5-'Choix pédagogiques'!$C$4),"")</f>
        <v/>
      </c>
      <c r="AY319" s="49" t="str">
        <f>IF(AND('Choix pédagogiques'!$C$4&lt;&gt;"?",'Choix pédagogiques'!$C$5&lt;&gt;"?",AD319&lt;&gt;""),(AD319-'Choix pédagogiques'!$C$4)/('Choix pédagogiques'!$C$5-'Choix pédagogiques'!$C$4),"")</f>
        <v/>
      </c>
      <c r="AZ319" s="22" t="str">
        <f t="shared" si="256"/>
        <v/>
      </c>
      <c r="BA319" s="21" t="str">
        <f t="shared" si="257"/>
        <v>Apprenant 307</v>
      </c>
      <c r="BB319" s="49" t="str">
        <f t="shared" si="229"/>
        <v/>
      </c>
      <c r="BC319" s="49" t="str">
        <f t="shared" si="230"/>
        <v/>
      </c>
      <c r="BD319" s="49" t="str">
        <f t="shared" si="231"/>
        <v/>
      </c>
      <c r="BE319" s="22" t="str">
        <f t="shared" si="258"/>
        <v/>
      </c>
      <c r="BF319" s="21" t="str">
        <f t="shared" si="259"/>
        <v>Apprenant 307 ou 307'</v>
      </c>
      <c r="BG319" s="49" t="str">
        <f t="shared" si="232"/>
        <v/>
      </c>
      <c r="BH319" s="49" t="str">
        <f t="shared" si="233"/>
        <v/>
      </c>
      <c r="BI319" s="49" t="str">
        <f t="shared" si="234"/>
        <v/>
      </c>
      <c r="BJ319" s="22" t="str">
        <f t="shared" si="260"/>
        <v/>
      </c>
      <c r="BL319" s="21"/>
      <c r="BM319" s="21" t="str">
        <f>IF(OR(COUNT(B319:D1318)=0,AND('Choix pédagogiques'!$C$3&lt;&gt;1,'Choix pédagogiques'!$C$3&lt;&gt;2)),"",IF(AND(OR('Choix pédagogiques'!$C$3=1,'Choix pédagogiques'!$C$3=2),$B319&lt;&gt;"",$C319&lt;&gt;"",$D319&lt;&gt;""),1,0))</f>
        <v/>
      </c>
      <c r="BN319" s="21" t="str">
        <f>IF(OR(COUNT(G319:I1318)=0,AND('Choix pédagogiques'!$C$3&lt;&gt;1,'Choix pédagogiques'!$C$3&lt;&gt;2)),"",IF(AND(OR('Choix pédagogiques'!$C$3=1,'Choix pédagogiques'!$C$3=2),AND($G319&lt;&gt;"",$H319&lt;&gt;"",$I319&lt;&gt;"")),1,0))</f>
        <v/>
      </c>
      <c r="BO319" s="21" t="str">
        <f>IF(OR(COUNT(B319:D1318)=0,COUNT(G319:I1318)=0,'Choix pédagogiques'!C$3&lt;&gt;3),"",IF(AND('Choix pédagogiques'!$C$3=3,$B319&lt;&gt;"",$C319&lt;&gt;"",$D319&lt;&gt;"",$G319&lt;&gt;"",$H319&lt;&gt;"",$I319&lt;&gt;""),1,0))</f>
        <v/>
      </c>
      <c r="BR319" s="21">
        <v>842</v>
      </c>
      <c r="BS319" s="21">
        <v>1528</v>
      </c>
      <c r="BT319"/>
    </row>
    <row r="320" spans="1:72" s="23" customFormat="1" ht="18" customHeight="1" x14ac:dyDescent="0.3">
      <c r="A320" s="35" t="s">
        <v>310</v>
      </c>
      <c r="B320" s="37"/>
      <c r="C320" s="37"/>
      <c r="D320" s="37"/>
      <c r="E320" s="37"/>
      <c r="F320" s="35" t="s">
        <v>1318</v>
      </c>
      <c r="G320" s="37"/>
      <c r="H320" s="37"/>
      <c r="I320" s="37"/>
      <c r="J320" s="37"/>
      <c r="K320" s="21" t="str">
        <f t="shared" si="235"/>
        <v>Apprenant 308</v>
      </c>
      <c r="L320" s="22" t="str">
        <f t="shared" si="236"/>
        <v/>
      </c>
      <c r="M320" s="22" t="str">
        <f t="shared" si="237"/>
        <v/>
      </c>
      <c r="N320" s="22" t="str">
        <f t="shared" si="238"/>
        <v/>
      </c>
      <c r="O320" s="22" t="str">
        <f t="shared" si="239"/>
        <v/>
      </c>
      <c r="P320" s="21" t="str">
        <f t="shared" si="240"/>
        <v>Apprenant 308 ou 308'</v>
      </c>
      <c r="Q320" s="22" t="str">
        <f t="shared" si="241"/>
        <v/>
      </c>
      <c r="R320" s="22" t="str">
        <f t="shared" si="242"/>
        <v/>
      </c>
      <c r="S320" s="22" t="str">
        <f t="shared" si="243"/>
        <v/>
      </c>
      <c r="T320" s="22" t="str">
        <f t="shared" si="244"/>
        <v/>
      </c>
      <c r="V320" s="21" t="str">
        <f t="shared" si="245"/>
        <v>Apprenant 308</v>
      </c>
      <c r="W320" s="22" t="str">
        <f>IF(AND(OR('Choix pédagogiques'!$C$3=1,'Choix pédagogiques'!$C$3=2),$BM320=1),B320,IF(AND('Choix pédagogiques'!$C$3=3,$BO320=1),B320,""))</f>
        <v/>
      </c>
      <c r="X320" s="22" t="str">
        <f>IF(AND(OR('Choix pédagogiques'!$C$3=1,'Choix pédagogiques'!$C$3=2),$BM320=1),C320,IF(AND('Choix pédagogiques'!$C$3=3,$BO320=1),C320,""))</f>
        <v/>
      </c>
      <c r="Y320" s="22" t="str">
        <f>IF(AND(OR('Choix pédagogiques'!$C$3=1,'Choix pédagogiques'!$C$3=2),$BM320=1),D320,IF(AND('Choix pédagogiques'!$C$3=3,$BO320=1),D320,""))</f>
        <v/>
      </c>
      <c r="Z320" s="22" t="str">
        <f t="shared" si="246"/>
        <v/>
      </c>
      <c r="AA320" s="21" t="str">
        <f t="shared" si="247"/>
        <v>Apprenant 308 ou 308'</v>
      </c>
      <c r="AB320" s="22" t="str">
        <f>IF(AND(OR('Choix pédagogiques'!$C$3=1,'Choix pédagogiques'!$C$3=2),$BN320=1),G320,IF(AND('Choix pédagogiques'!$C$3=3,$BO320=1),G320,""))</f>
        <v/>
      </c>
      <c r="AC320" s="22" t="str">
        <f>IF(AND(OR('Choix pédagogiques'!$C$3=1,'Choix pédagogiques'!$C$3=2),$BN320=1),H320,IF(AND('Choix pédagogiques'!$C$3=3,$BO320=1),H320,""))</f>
        <v/>
      </c>
      <c r="AD320" s="22" t="str">
        <f>IF(AND(OR('Choix pédagogiques'!$C$3=1,'Choix pédagogiques'!$C$3=2),$BN320=1),I320,IF(AND('Choix pédagogiques'!$C$3=3,$BO320=1),I320,""))</f>
        <v/>
      </c>
      <c r="AE320" s="22" t="str">
        <f t="shared" si="248"/>
        <v/>
      </c>
      <c r="AF320" s="21" t="str">
        <f t="shared" si="249"/>
        <v>Apprenant 308</v>
      </c>
      <c r="AG320" s="22" t="str">
        <f t="shared" si="223"/>
        <v/>
      </c>
      <c r="AH320" s="22" t="str">
        <f t="shared" si="224"/>
        <v/>
      </c>
      <c r="AI320" s="22" t="str">
        <f t="shared" si="225"/>
        <v/>
      </c>
      <c r="AJ320" s="22" t="str">
        <f t="shared" si="250"/>
        <v/>
      </c>
      <c r="AK320" s="21" t="str">
        <f t="shared" si="251"/>
        <v>Apprenant 308 ou 308'</v>
      </c>
      <c r="AL320" s="22" t="str">
        <f t="shared" si="226"/>
        <v/>
      </c>
      <c r="AM320" s="22" t="str">
        <f t="shared" si="227"/>
        <v/>
      </c>
      <c r="AN320" s="22" t="str">
        <f t="shared" si="228"/>
        <v/>
      </c>
      <c r="AO320" s="22" t="str">
        <f t="shared" si="252"/>
        <v/>
      </c>
      <c r="AQ320" s="21" t="str">
        <f t="shared" si="253"/>
        <v>Apprenant 308</v>
      </c>
      <c r="AR320" s="49" t="str">
        <f>IF(AND('Choix pédagogiques'!$C$4&lt;&gt;"?",'Choix pédagogiques'!$C$5&lt;&gt;"?",W320&lt;&gt;""),(W320-'Choix pédagogiques'!$C$4)/('Choix pédagogiques'!$C$5-'Choix pédagogiques'!$C$4),"")</f>
        <v/>
      </c>
      <c r="AS320" s="49" t="str">
        <f>IF(AND('Choix pédagogiques'!$C$4&lt;&gt;"?",'Choix pédagogiques'!$C$5&lt;&gt;"?",X320&lt;&gt;""),(X320-'Choix pédagogiques'!$C$4)/('Choix pédagogiques'!$C$5-'Choix pédagogiques'!$C$4),"")</f>
        <v/>
      </c>
      <c r="AT320" s="49" t="str">
        <f>IF(AND('Choix pédagogiques'!$C$4&lt;&gt;"?",'Choix pédagogiques'!$C$5&lt;&gt;"?",Y320&lt;&gt;""),(Y320-'Choix pédagogiques'!$C$4)/('Choix pédagogiques'!$C$5-'Choix pédagogiques'!$C$4),"")</f>
        <v/>
      </c>
      <c r="AU320" s="22" t="str">
        <f t="shared" si="254"/>
        <v/>
      </c>
      <c r="AV320" s="21" t="str">
        <f t="shared" si="255"/>
        <v>Apprenant 308 ou 308'</v>
      </c>
      <c r="AW320" s="49" t="str">
        <f>IF(AND('Choix pédagogiques'!$C$4&lt;&gt;"?",'Choix pédagogiques'!$C$5&lt;&gt;"?",AB320&lt;&gt;""),(AB320-'Choix pédagogiques'!$C$4)/('Choix pédagogiques'!$C$5-'Choix pédagogiques'!$C$4),"")</f>
        <v/>
      </c>
      <c r="AX320" s="49" t="str">
        <f>IF(AND('Choix pédagogiques'!$C$4&lt;&gt;"?",'Choix pédagogiques'!$C$5&lt;&gt;"?",AC320&lt;&gt;""),(AC320-'Choix pédagogiques'!$C$4)/('Choix pédagogiques'!$C$5-'Choix pédagogiques'!$C$4),"")</f>
        <v/>
      </c>
      <c r="AY320" s="49" t="str">
        <f>IF(AND('Choix pédagogiques'!$C$4&lt;&gt;"?",'Choix pédagogiques'!$C$5&lt;&gt;"?",AD320&lt;&gt;""),(AD320-'Choix pédagogiques'!$C$4)/('Choix pédagogiques'!$C$5-'Choix pédagogiques'!$C$4),"")</f>
        <v/>
      </c>
      <c r="AZ320" s="22" t="str">
        <f t="shared" si="256"/>
        <v/>
      </c>
      <c r="BA320" s="21" t="str">
        <f t="shared" si="257"/>
        <v>Apprenant 308</v>
      </c>
      <c r="BB320" s="49" t="str">
        <f t="shared" si="229"/>
        <v/>
      </c>
      <c r="BC320" s="49" t="str">
        <f t="shared" si="230"/>
        <v/>
      </c>
      <c r="BD320" s="49" t="str">
        <f t="shared" si="231"/>
        <v/>
      </c>
      <c r="BE320" s="22" t="str">
        <f t="shared" si="258"/>
        <v/>
      </c>
      <c r="BF320" s="21" t="str">
        <f t="shared" si="259"/>
        <v>Apprenant 308 ou 308'</v>
      </c>
      <c r="BG320" s="49" t="str">
        <f t="shared" si="232"/>
        <v/>
      </c>
      <c r="BH320" s="49" t="str">
        <f t="shared" si="233"/>
        <v/>
      </c>
      <c r="BI320" s="49" t="str">
        <f t="shared" si="234"/>
        <v/>
      </c>
      <c r="BJ320" s="22" t="str">
        <f t="shared" si="260"/>
        <v/>
      </c>
      <c r="BL320" s="21"/>
      <c r="BM320" s="21" t="str">
        <f>IF(OR(COUNT(B320:D1319)=0,AND('Choix pédagogiques'!$C$3&lt;&gt;1,'Choix pédagogiques'!$C$3&lt;&gt;2)),"",IF(AND(OR('Choix pédagogiques'!$C$3=1,'Choix pédagogiques'!$C$3=2),$B320&lt;&gt;"",$C320&lt;&gt;"",$D320&lt;&gt;""),1,0))</f>
        <v/>
      </c>
      <c r="BN320" s="21" t="str">
        <f>IF(OR(COUNT(G320:I1319)=0,AND('Choix pédagogiques'!$C$3&lt;&gt;1,'Choix pédagogiques'!$C$3&lt;&gt;2)),"",IF(AND(OR('Choix pédagogiques'!$C$3=1,'Choix pédagogiques'!$C$3=2),AND($G320&lt;&gt;"",$H320&lt;&gt;"",$I320&lt;&gt;"")),1,0))</f>
        <v/>
      </c>
      <c r="BO320" s="21" t="str">
        <f>IF(OR(COUNT(B320:D1319)=0,COUNT(G320:I1319)=0,'Choix pédagogiques'!C$3&lt;&gt;3),"",IF(AND('Choix pédagogiques'!$C$3=3,$B320&lt;&gt;"",$C320&lt;&gt;"",$D320&lt;&gt;"",$G320&lt;&gt;"",$H320&lt;&gt;"",$I320&lt;&gt;""),1,0))</f>
        <v/>
      </c>
      <c r="BR320" s="21">
        <v>670</v>
      </c>
      <c r="BS320" s="21">
        <v>1133</v>
      </c>
      <c r="BT320"/>
    </row>
    <row r="321" spans="1:72" s="23" customFormat="1" ht="18" customHeight="1" x14ac:dyDescent="0.3">
      <c r="A321" s="35" t="s">
        <v>311</v>
      </c>
      <c r="B321" s="37"/>
      <c r="C321" s="37"/>
      <c r="D321" s="37"/>
      <c r="E321" s="37"/>
      <c r="F321" s="35" t="s">
        <v>1319</v>
      </c>
      <c r="G321" s="37"/>
      <c r="H321" s="37"/>
      <c r="I321" s="37"/>
      <c r="J321" s="37"/>
      <c r="K321" s="21" t="str">
        <f t="shared" si="235"/>
        <v>Apprenant 309</v>
      </c>
      <c r="L321" s="22" t="str">
        <f t="shared" si="236"/>
        <v/>
      </c>
      <c r="M321" s="22" t="str">
        <f t="shared" si="237"/>
        <v/>
      </c>
      <c r="N321" s="22" t="str">
        <f t="shared" si="238"/>
        <v/>
      </c>
      <c r="O321" s="22" t="str">
        <f t="shared" si="239"/>
        <v/>
      </c>
      <c r="P321" s="21" t="str">
        <f t="shared" si="240"/>
        <v>Apprenant 309 ou 309'</v>
      </c>
      <c r="Q321" s="22" t="str">
        <f t="shared" si="241"/>
        <v/>
      </c>
      <c r="R321" s="22" t="str">
        <f t="shared" si="242"/>
        <v/>
      </c>
      <c r="S321" s="22" t="str">
        <f t="shared" si="243"/>
        <v/>
      </c>
      <c r="T321" s="22" t="str">
        <f t="shared" si="244"/>
        <v/>
      </c>
      <c r="V321" s="21" t="str">
        <f t="shared" si="245"/>
        <v>Apprenant 309</v>
      </c>
      <c r="W321" s="22" t="str">
        <f>IF(AND(OR('Choix pédagogiques'!$C$3=1,'Choix pédagogiques'!$C$3=2),$BM321=1),B321,IF(AND('Choix pédagogiques'!$C$3=3,$BO321=1),B321,""))</f>
        <v/>
      </c>
      <c r="X321" s="22" t="str">
        <f>IF(AND(OR('Choix pédagogiques'!$C$3=1,'Choix pédagogiques'!$C$3=2),$BM321=1),C321,IF(AND('Choix pédagogiques'!$C$3=3,$BO321=1),C321,""))</f>
        <v/>
      </c>
      <c r="Y321" s="22" t="str">
        <f>IF(AND(OR('Choix pédagogiques'!$C$3=1,'Choix pédagogiques'!$C$3=2),$BM321=1),D321,IF(AND('Choix pédagogiques'!$C$3=3,$BO321=1),D321,""))</f>
        <v/>
      </c>
      <c r="Z321" s="22" t="str">
        <f t="shared" si="246"/>
        <v/>
      </c>
      <c r="AA321" s="21" t="str">
        <f t="shared" si="247"/>
        <v>Apprenant 309 ou 309'</v>
      </c>
      <c r="AB321" s="22" t="str">
        <f>IF(AND(OR('Choix pédagogiques'!$C$3=1,'Choix pédagogiques'!$C$3=2),$BN321=1),G321,IF(AND('Choix pédagogiques'!$C$3=3,$BO321=1),G321,""))</f>
        <v/>
      </c>
      <c r="AC321" s="22" t="str">
        <f>IF(AND(OR('Choix pédagogiques'!$C$3=1,'Choix pédagogiques'!$C$3=2),$BN321=1),H321,IF(AND('Choix pédagogiques'!$C$3=3,$BO321=1),H321,""))</f>
        <v/>
      </c>
      <c r="AD321" s="22" t="str">
        <f>IF(AND(OR('Choix pédagogiques'!$C$3=1,'Choix pédagogiques'!$C$3=2),$BN321=1),I321,IF(AND('Choix pédagogiques'!$C$3=3,$BO321=1),I321,""))</f>
        <v/>
      </c>
      <c r="AE321" s="22" t="str">
        <f t="shared" si="248"/>
        <v/>
      </c>
      <c r="AF321" s="21" t="str">
        <f t="shared" si="249"/>
        <v>Apprenant 309</v>
      </c>
      <c r="AG321" s="22" t="str">
        <f t="shared" si="223"/>
        <v/>
      </c>
      <c r="AH321" s="22" t="str">
        <f t="shared" si="224"/>
        <v/>
      </c>
      <c r="AI321" s="22" t="str">
        <f t="shared" si="225"/>
        <v/>
      </c>
      <c r="AJ321" s="22" t="str">
        <f t="shared" si="250"/>
        <v/>
      </c>
      <c r="AK321" s="21" t="str">
        <f t="shared" si="251"/>
        <v>Apprenant 309 ou 309'</v>
      </c>
      <c r="AL321" s="22" t="str">
        <f t="shared" si="226"/>
        <v/>
      </c>
      <c r="AM321" s="22" t="str">
        <f t="shared" si="227"/>
        <v/>
      </c>
      <c r="AN321" s="22" t="str">
        <f t="shared" si="228"/>
        <v/>
      </c>
      <c r="AO321" s="22" t="str">
        <f t="shared" si="252"/>
        <v/>
      </c>
      <c r="AQ321" s="21" t="str">
        <f t="shared" si="253"/>
        <v>Apprenant 309</v>
      </c>
      <c r="AR321" s="49" t="str">
        <f>IF(AND('Choix pédagogiques'!$C$4&lt;&gt;"?",'Choix pédagogiques'!$C$5&lt;&gt;"?",W321&lt;&gt;""),(W321-'Choix pédagogiques'!$C$4)/('Choix pédagogiques'!$C$5-'Choix pédagogiques'!$C$4),"")</f>
        <v/>
      </c>
      <c r="AS321" s="49" t="str">
        <f>IF(AND('Choix pédagogiques'!$C$4&lt;&gt;"?",'Choix pédagogiques'!$C$5&lt;&gt;"?",X321&lt;&gt;""),(X321-'Choix pédagogiques'!$C$4)/('Choix pédagogiques'!$C$5-'Choix pédagogiques'!$C$4),"")</f>
        <v/>
      </c>
      <c r="AT321" s="49" t="str">
        <f>IF(AND('Choix pédagogiques'!$C$4&lt;&gt;"?",'Choix pédagogiques'!$C$5&lt;&gt;"?",Y321&lt;&gt;""),(Y321-'Choix pédagogiques'!$C$4)/('Choix pédagogiques'!$C$5-'Choix pédagogiques'!$C$4),"")</f>
        <v/>
      </c>
      <c r="AU321" s="22" t="str">
        <f t="shared" si="254"/>
        <v/>
      </c>
      <c r="AV321" s="21" t="str">
        <f t="shared" si="255"/>
        <v>Apprenant 309 ou 309'</v>
      </c>
      <c r="AW321" s="49" t="str">
        <f>IF(AND('Choix pédagogiques'!$C$4&lt;&gt;"?",'Choix pédagogiques'!$C$5&lt;&gt;"?",AB321&lt;&gt;""),(AB321-'Choix pédagogiques'!$C$4)/('Choix pédagogiques'!$C$5-'Choix pédagogiques'!$C$4),"")</f>
        <v/>
      </c>
      <c r="AX321" s="49" t="str">
        <f>IF(AND('Choix pédagogiques'!$C$4&lt;&gt;"?",'Choix pédagogiques'!$C$5&lt;&gt;"?",AC321&lt;&gt;""),(AC321-'Choix pédagogiques'!$C$4)/('Choix pédagogiques'!$C$5-'Choix pédagogiques'!$C$4),"")</f>
        <v/>
      </c>
      <c r="AY321" s="49" t="str">
        <f>IF(AND('Choix pédagogiques'!$C$4&lt;&gt;"?",'Choix pédagogiques'!$C$5&lt;&gt;"?",AD321&lt;&gt;""),(AD321-'Choix pédagogiques'!$C$4)/('Choix pédagogiques'!$C$5-'Choix pédagogiques'!$C$4),"")</f>
        <v/>
      </c>
      <c r="AZ321" s="22" t="str">
        <f t="shared" si="256"/>
        <v/>
      </c>
      <c r="BA321" s="21" t="str">
        <f t="shared" si="257"/>
        <v>Apprenant 309</v>
      </c>
      <c r="BB321" s="49" t="str">
        <f t="shared" si="229"/>
        <v/>
      </c>
      <c r="BC321" s="49" t="str">
        <f t="shared" si="230"/>
        <v/>
      </c>
      <c r="BD321" s="49" t="str">
        <f t="shared" si="231"/>
        <v/>
      </c>
      <c r="BE321" s="22" t="str">
        <f t="shared" si="258"/>
        <v/>
      </c>
      <c r="BF321" s="21" t="str">
        <f t="shared" si="259"/>
        <v>Apprenant 309 ou 309'</v>
      </c>
      <c r="BG321" s="49" t="str">
        <f t="shared" si="232"/>
        <v/>
      </c>
      <c r="BH321" s="49" t="str">
        <f t="shared" si="233"/>
        <v/>
      </c>
      <c r="BI321" s="49" t="str">
        <f t="shared" si="234"/>
        <v/>
      </c>
      <c r="BJ321" s="22" t="str">
        <f t="shared" si="260"/>
        <v/>
      </c>
      <c r="BL321" s="21"/>
      <c r="BM321" s="21" t="str">
        <f>IF(OR(COUNT(B321:D1320)=0,AND('Choix pédagogiques'!$C$3&lt;&gt;1,'Choix pédagogiques'!$C$3&lt;&gt;2)),"",IF(AND(OR('Choix pédagogiques'!$C$3=1,'Choix pédagogiques'!$C$3=2),$B321&lt;&gt;"",$C321&lt;&gt;"",$D321&lt;&gt;""),1,0))</f>
        <v/>
      </c>
      <c r="BN321" s="21" t="str">
        <f>IF(OR(COUNT(G321:I1320)=0,AND('Choix pédagogiques'!$C$3&lt;&gt;1,'Choix pédagogiques'!$C$3&lt;&gt;2)),"",IF(AND(OR('Choix pédagogiques'!$C$3=1,'Choix pédagogiques'!$C$3=2),AND($G321&lt;&gt;"",$H321&lt;&gt;"",$I321&lt;&gt;"")),1,0))</f>
        <v/>
      </c>
      <c r="BO321" s="21" t="str">
        <f>IF(OR(COUNT(B321:D1320)=0,COUNT(G321:I1320)=0,'Choix pédagogiques'!C$3&lt;&gt;3),"",IF(AND('Choix pédagogiques'!$C$3=3,$B321&lt;&gt;"",$C321&lt;&gt;"",$D321&lt;&gt;"",$G321&lt;&gt;"",$H321&lt;&gt;"",$I321&lt;&gt;""),1,0))</f>
        <v/>
      </c>
      <c r="BR321" s="21">
        <v>343</v>
      </c>
      <c r="BS321" s="21">
        <v>1727</v>
      </c>
      <c r="BT321"/>
    </row>
    <row r="322" spans="1:72" s="23" customFormat="1" ht="18" customHeight="1" x14ac:dyDescent="0.3">
      <c r="A322" s="35" t="s">
        <v>312</v>
      </c>
      <c r="B322" s="37"/>
      <c r="C322" s="37"/>
      <c r="D322" s="37"/>
      <c r="E322" s="37"/>
      <c r="F322" s="35" t="s">
        <v>1320</v>
      </c>
      <c r="G322" s="37"/>
      <c r="H322" s="37"/>
      <c r="I322" s="37"/>
      <c r="J322" s="37"/>
      <c r="K322" s="21" t="str">
        <f t="shared" si="235"/>
        <v>Apprenant 310</v>
      </c>
      <c r="L322" s="22" t="str">
        <f t="shared" si="236"/>
        <v/>
      </c>
      <c r="M322" s="22" t="str">
        <f t="shared" si="237"/>
        <v/>
      </c>
      <c r="N322" s="22" t="str">
        <f t="shared" si="238"/>
        <v/>
      </c>
      <c r="O322" s="22" t="str">
        <f t="shared" si="239"/>
        <v/>
      </c>
      <c r="P322" s="21" t="str">
        <f t="shared" si="240"/>
        <v>Apprenant 310 ou 310'</v>
      </c>
      <c r="Q322" s="22" t="str">
        <f t="shared" si="241"/>
        <v/>
      </c>
      <c r="R322" s="22" t="str">
        <f t="shared" si="242"/>
        <v/>
      </c>
      <c r="S322" s="22" t="str">
        <f t="shared" si="243"/>
        <v/>
      </c>
      <c r="T322" s="22" t="str">
        <f t="shared" si="244"/>
        <v/>
      </c>
      <c r="V322" s="21" t="str">
        <f t="shared" si="245"/>
        <v>Apprenant 310</v>
      </c>
      <c r="W322" s="22" t="str">
        <f>IF(AND(OR('Choix pédagogiques'!$C$3=1,'Choix pédagogiques'!$C$3=2),$BM322=1),B322,IF(AND('Choix pédagogiques'!$C$3=3,$BO322=1),B322,""))</f>
        <v/>
      </c>
      <c r="X322" s="22" t="str">
        <f>IF(AND(OR('Choix pédagogiques'!$C$3=1,'Choix pédagogiques'!$C$3=2),$BM322=1),C322,IF(AND('Choix pédagogiques'!$C$3=3,$BO322=1),C322,""))</f>
        <v/>
      </c>
      <c r="Y322" s="22" t="str">
        <f>IF(AND(OR('Choix pédagogiques'!$C$3=1,'Choix pédagogiques'!$C$3=2),$BM322=1),D322,IF(AND('Choix pédagogiques'!$C$3=3,$BO322=1),D322,""))</f>
        <v/>
      </c>
      <c r="Z322" s="22" t="str">
        <f t="shared" si="246"/>
        <v/>
      </c>
      <c r="AA322" s="21" t="str">
        <f t="shared" si="247"/>
        <v>Apprenant 310 ou 310'</v>
      </c>
      <c r="AB322" s="22" t="str">
        <f>IF(AND(OR('Choix pédagogiques'!$C$3=1,'Choix pédagogiques'!$C$3=2),$BN322=1),G322,IF(AND('Choix pédagogiques'!$C$3=3,$BO322=1),G322,""))</f>
        <v/>
      </c>
      <c r="AC322" s="22" t="str">
        <f>IF(AND(OR('Choix pédagogiques'!$C$3=1,'Choix pédagogiques'!$C$3=2),$BN322=1),H322,IF(AND('Choix pédagogiques'!$C$3=3,$BO322=1),H322,""))</f>
        <v/>
      </c>
      <c r="AD322" s="22" t="str">
        <f>IF(AND(OR('Choix pédagogiques'!$C$3=1,'Choix pédagogiques'!$C$3=2),$BN322=1),I322,IF(AND('Choix pédagogiques'!$C$3=3,$BO322=1),I322,""))</f>
        <v/>
      </c>
      <c r="AE322" s="22" t="str">
        <f t="shared" si="248"/>
        <v/>
      </c>
      <c r="AF322" s="21" t="str">
        <f t="shared" si="249"/>
        <v>Apprenant 310</v>
      </c>
      <c r="AG322" s="22" t="str">
        <f t="shared" si="223"/>
        <v/>
      </c>
      <c r="AH322" s="22" t="str">
        <f t="shared" si="224"/>
        <v/>
      </c>
      <c r="AI322" s="22" t="str">
        <f t="shared" si="225"/>
        <v/>
      </c>
      <c r="AJ322" s="22" t="str">
        <f t="shared" si="250"/>
        <v/>
      </c>
      <c r="AK322" s="21" t="str">
        <f t="shared" si="251"/>
        <v>Apprenant 310 ou 310'</v>
      </c>
      <c r="AL322" s="22" t="str">
        <f t="shared" si="226"/>
        <v/>
      </c>
      <c r="AM322" s="22" t="str">
        <f t="shared" si="227"/>
        <v/>
      </c>
      <c r="AN322" s="22" t="str">
        <f t="shared" si="228"/>
        <v/>
      </c>
      <c r="AO322" s="22" t="str">
        <f t="shared" si="252"/>
        <v/>
      </c>
      <c r="AQ322" s="21" t="str">
        <f t="shared" si="253"/>
        <v>Apprenant 310</v>
      </c>
      <c r="AR322" s="49" t="str">
        <f>IF(AND('Choix pédagogiques'!$C$4&lt;&gt;"?",'Choix pédagogiques'!$C$5&lt;&gt;"?",W322&lt;&gt;""),(W322-'Choix pédagogiques'!$C$4)/('Choix pédagogiques'!$C$5-'Choix pédagogiques'!$C$4),"")</f>
        <v/>
      </c>
      <c r="AS322" s="49" t="str">
        <f>IF(AND('Choix pédagogiques'!$C$4&lt;&gt;"?",'Choix pédagogiques'!$C$5&lt;&gt;"?",X322&lt;&gt;""),(X322-'Choix pédagogiques'!$C$4)/('Choix pédagogiques'!$C$5-'Choix pédagogiques'!$C$4),"")</f>
        <v/>
      </c>
      <c r="AT322" s="49" t="str">
        <f>IF(AND('Choix pédagogiques'!$C$4&lt;&gt;"?",'Choix pédagogiques'!$C$5&lt;&gt;"?",Y322&lt;&gt;""),(Y322-'Choix pédagogiques'!$C$4)/('Choix pédagogiques'!$C$5-'Choix pédagogiques'!$C$4),"")</f>
        <v/>
      </c>
      <c r="AU322" s="22" t="str">
        <f t="shared" si="254"/>
        <v/>
      </c>
      <c r="AV322" s="21" t="str">
        <f t="shared" si="255"/>
        <v>Apprenant 310 ou 310'</v>
      </c>
      <c r="AW322" s="49" t="str">
        <f>IF(AND('Choix pédagogiques'!$C$4&lt;&gt;"?",'Choix pédagogiques'!$C$5&lt;&gt;"?",AB322&lt;&gt;""),(AB322-'Choix pédagogiques'!$C$4)/('Choix pédagogiques'!$C$5-'Choix pédagogiques'!$C$4),"")</f>
        <v/>
      </c>
      <c r="AX322" s="49" t="str">
        <f>IF(AND('Choix pédagogiques'!$C$4&lt;&gt;"?",'Choix pédagogiques'!$C$5&lt;&gt;"?",AC322&lt;&gt;""),(AC322-'Choix pédagogiques'!$C$4)/('Choix pédagogiques'!$C$5-'Choix pédagogiques'!$C$4),"")</f>
        <v/>
      </c>
      <c r="AY322" s="49" t="str">
        <f>IF(AND('Choix pédagogiques'!$C$4&lt;&gt;"?",'Choix pédagogiques'!$C$5&lt;&gt;"?",AD322&lt;&gt;""),(AD322-'Choix pédagogiques'!$C$4)/('Choix pédagogiques'!$C$5-'Choix pédagogiques'!$C$4),"")</f>
        <v/>
      </c>
      <c r="AZ322" s="22" t="str">
        <f t="shared" si="256"/>
        <v/>
      </c>
      <c r="BA322" s="21" t="str">
        <f t="shared" si="257"/>
        <v>Apprenant 310</v>
      </c>
      <c r="BB322" s="49" t="str">
        <f t="shared" si="229"/>
        <v/>
      </c>
      <c r="BC322" s="49" t="str">
        <f t="shared" si="230"/>
        <v/>
      </c>
      <c r="BD322" s="49" t="str">
        <f t="shared" si="231"/>
        <v/>
      </c>
      <c r="BE322" s="22" t="str">
        <f t="shared" si="258"/>
        <v/>
      </c>
      <c r="BF322" s="21" t="str">
        <f t="shared" si="259"/>
        <v>Apprenant 310 ou 310'</v>
      </c>
      <c r="BG322" s="49" t="str">
        <f t="shared" si="232"/>
        <v/>
      </c>
      <c r="BH322" s="49" t="str">
        <f t="shared" si="233"/>
        <v/>
      </c>
      <c r="BI322" s="49" t="str">
        <f t="shared" si="234"/>
        <v/>
      </c>
      <c r="BJ322" s="22" t="str">
        <f t="shared" si="260"/>
        <v/>
      </c>
      <c r="BL322" s="21"/>
      <c r="BM322" s="21" t="str">
        <f>IF(OR(COUNT(B322:D1321)=0,AND('Choix pédagogiques'!$C$3&lt;&gt;1,'Choix pédagogiques'!$C$3&lt;&gt;2)),"",IF(AND(OR('Choix pédagogiques'!$C$3=1,'Choix pédagogiques'!$C$3=2),$B322&lt;&gt;"",$C322&lt;&gt;"",$D322&lt;&gt;""),1,0))</f>
        <v/>
      </c>
      <c r="BN322" s="21" t="str">
        <f>IF(OR(COUNT(G322:I1321)=0,AND('Choix pédagogiques'!$C$3&lt;&gt;1,'Choix pédagogiques'!$C$3&lt;&gt;2)),"",IF(AND(OR('Choix pédagogiques'!$C$3=1,'Choix pédagogiques'!$C$3=2),AND($G322&lt;&gt;"",$H322&lt;&gt;"",$I322&lt;&gt;"")),1,0))</f>
        <v/>
      </c>
      <c r="BO322" s="21" t="str">
        <f>IF(OR(COUNT(B322:D1321)=0,COUNT(G322:I1321)=0,'Choix pédagogiques'!C$3&lt;&gt;3),"",IF(AND('Choix pédagogiques'!$C$3=3,$B322&lt;&gt;"",$C322&lt;&gt;"",$D322&lt;&gt;"",$G322&lt;&gt;"",$H322&lt;&gt;"",$I322&lt;&gt;""),1,0))</f>
        <v/>
      </c>
      <c r="BR322" s="21">
        <v>800</v>
      </c>
      <c r="BS322" s="21">
        <v>1189</v>
      </c>
      <c r="BT322"/>
    </row>
    <row r="323" spans="1:72" s="23" customFormat="1" ht="18" customHeight="1" x14ac:dyDescent="0.3">
      <c r="A323" s="35" t="s">
        <v>313</v>
      </c>
      <c r="B323" s="37"/>
      <c r="C323" s="37"/>
      <c r="D323" s="37"/>
      <c r="E323" s="37"/>
      <c r="F323" s="35" t="s">
        <v>1321</v>
      </c>
      <c r="G323" s="37"/>
      <c r="H323" s="37"/>
      <c r="I323" s="37"/>
      <c r="J323" s="37"/>
      <c r="K323" s="21" t="str">
        <f t="shared" si="235"/>
        <v>Apprenant 311</v>
      </c>
      <c r="L323" s="22" t="str">
        <f t="shared" si="236"/>
        <v/>
      </c>
      <c r="M323" s="22" t="str">
        <f t="shared" si="237"/>
        <v/>
      </c>
      <c r="N323" s="22" t="str">
        <f t="shared" si="238"/>
        <v/>
      </c>
      <c r="O323" s="22" t="str">
        <f t="shared" si="239"/>
        <v/>
      </c>
      <c r="P323" s="21" t="str">
        <f t="shared" si="240"/>
        <v>Apprenant 311 ou 311'</v>
      </c>
      <c r="Q323" s="22" t="str">
        <f t="shared" si="241"/>
        <v/>
      </c>
      <c r="R323" s="22" t="str">
        <f t="shared" si="242"/>
        <v/>
      </c>
      <c r="S323" s="22" t="str">
        <f t="shared" si="243"/>
        <v/>
      </c>
      <c r="T323" s="22" t="str">
        <f t="shared" si="244"/>
        <v/>
      </c>
      <c r="V323" s="21" t="str">
        <f t="shared" si="245"/>
        <v>Apprenant 311</v>
      </c>
      <c r="W323" s="22" t="str">
        <f>IF(AND(OR('Choix pédagogiques'!$C$3=1,'Choix pédagogiques'!$C$3=2),$BM323=1),B323,IF(AND('Choix pédagogiques'!$C$3=3,$BO323=1),B323,""))</f>
        <v/>
      </c>
      <c r="X323" s="22" t="str">
        <f>IF(AND(OR('Choix pédagogiques'!$C$3=1,'Choix pédagogiques'!$C$3=2),$BM323=1),C323,IF(AND('Choix pédagogiques'!$C$3=3,$BO323=1),C323,""))</f>
        <v/>
      </c>
      <c r="Y323" s="22" t="str">
        <f>IF(AND(OR('Choix pédagogiques'!$C$3=1,'Choix pédagogiques'!$C$3=2),$BM323=1),D323,IF(AND('Choix pédagogiques'!$C$3=3,$BO323=1),D323,""))</f>
        <v/>
      </c>
      <c r="Z323" s="22" t="str">
        <f t="shared" si="246"/>
        <v/>
      </c>
      <c r="AA323" s="21" t="str">
        <f t="shared" si="247"/>
        <v>Apprenant 311 ou 311'</v>
      </c>
      <c r="AB323" s="22" t="str">
        <f>IF(AND(OR('Choix pédagogiques'!$C$3=1,'Choix pédagogiques'!$C$3=2),$BN323=1),G323,IF(AND('Choix pédagogiques'!$C$3=3,$BO323=1),G323,""))</f>
        <v/>
      </c>
      <c r="AC323" s="22" t="str">
        <f>IF(AND(OR('Choix pédagogiques'!$C$3=1,'Choix pédagogiques'!$C$3=2),$BN323=1),H323,IF(AND('Choix pédagogiques'!$C$3=3,$BO323=1),H323,""))</f>
        <v/>
      </c>
      <c r="AD323" s="22" t="str">
        <f>IF(AND(OR('Choix pédagogiques'!$C$3=1,'Choix pédagogiques'!$C$3=2),$BN323=1),I323,IF(AND('Choix pédagogiques'!$C$3=3,$BO323=1),I323,""))</f>
        <v/>
      </c>
      <c r="AE323" s="22" t="str">
        <f t="shared" si="248"/>
        <v/>
      </c>
      <c r="AF323" s="21" t="str">
        <f t="shared" si="249"/>
        <v>Apprenant 311</v>
      </c>
      <c r="AG323" s="22" t="str">
        <f t="shared" si="223"/>
        <v/>
      </c>
      <c r="AH323" s="22" t="str">
        <f t="shared" si="224"/>
        <v/>
      </c>
      <c r="AI323" s="22" t="str">
        <f t="shared" si="225"/>
        <v/>
      </c>
      <c r="AJ323" s="22" t="str">
        <f t="shared" si="250"/>
        <v/>
      </c>
      <c r="AK323" s="21" t="str">
        <f t="shared" si="251"/>
        <v>Apprenant 311 ou 311'</v>
      </c>
      <c r="AL323" s="22" t="str">
        <f t="shared" si="226"/>
        <v/>
      </c>
      <c r="AM323" s="22" t="str">
        <f t="shared" si="227"/>
        <v/>
      </c>
      <c r="AN323" s="22" t="str">
        <f t="shared" si="228"/>
        <v/>
      </c>
      <c r="AO323" s="22" t="str">
        <f t="shared" si="252"/>
        <v/>
      </c>
      <c r="AQ323" s="21" t="str">
        <f t="shared" si="253"/>
        <v>Apprenant 311</v>
      </c>
      <c r="AR323" s="49" t="str">
        <f>IF(AND('Choix pédagogiques'!$C$4&lt;&gt;"?",'Choix pédagogiques'!$C$5&lt;&gt;"?",W323&lt;&gt;""),(W323-'Choix pédagogiques'!$C$4)/('Choix pédagogiques'!$C$5-'Choix pédagogiques'!$C$4),"")</f>
        <v/>
      </c>
      <c r="AS323" s="49" t="str">
        <f>IF(AND('Choix pédagogiques'!$C$4&lt;&gt;"?",'Choix pédagogiques'!$C$5&lt;&gt;"?",X323&lt;&gt;""),(X323-'Choix pédagogiques'!$C$4)/('Choix pédagogiques'!$C$5-'Choix pédagogiques'!$C$4),"")</f>
        <v/>
      </c>
      <c r="AT323" s="49" t="str">
        <f>IF(AND('Choix pédagogiques'!$C$4&lt;&gt;"?",'Choix pédagogiques'!$C$5&lt;&gt;"?",Y323&lt;&gt;""),(Y323-'Choix pédagogiques'!$C$4)/('Choix pédagogiques'!$C$5-'Choix pédagogiques'!$C$4),"")</f>
        <v/>
      </c>
      <c r="AU323" s="22" t="str">
        <f t="shared" si="254"/>
        <v/>
      </c>
      <c r="AV323" s="21" t="str">
        <f t="shared" si="255"/>
        <v>Apprenant 311 ou 311'</v>
      </c>
      <c r="AW323" s="49" t="str">
        <f>IF(AND('Choix pédagogiques'!$C$4&lt;&gt;"?",'Choix pédagogiques'!$C$5&lt;&gt;"?",AB323&lt;&gt;""),(AB323-'Choix pédagogiques'!$C$4)/('Choix pédagogiques'!$C$5-'Choix pédagogiques'!$C$4),"")</f>
        <v/>
      </c>
      <c r="AX323" s="49" t="str">
        <f>IF(AND('Choix pédagogiques'!$C$4&lt;&gt;"?",'Choix pédagogiques'!$C$5&lt;&gt;"?",AC323&lt;&gt;""),(AC323-'Choix pédagogiques'!$C$4)/('Choix pédagogiques'!$C$5-'Choix pédagogiques'!$C$4),"")</f>
        <v/>
      </c>
      <c r="AY323" s="49" t="str">
        <f>IF(AND('Choix pédagogiques'!$C$4&lt;&gt;"?",'Choix pédagogiques'!$C$5&lt;&gt;"?",AD323&lt;&gt;""),(AD323-'Choix pédagogiques'!$C$4)/('Choix pédagogiques'!$C$5-'Choix pédagogiques'!$C$4),"")</f>
        <v/>
      </c>
      <c r="AZ323" s="22" t="str">
        <f t="shared" si="256"/>
        <v/>
      </c>
      <c r="BA323" s="21" t="str">
        <f t="shared" si="257"/>
        <v>Apprenant 311</v>
      </c>
      <c r="BB323" s="49" t="str">
        <f t="shared" si="229"/>
        <v/>
      </c>
      <c r="BC323" s="49" t="str">
        <f t="shared" si="230"/>
        <v/>
      </c>
      <c r="BD323" s="49" t="str">
        <f t="shared" si="231"/>
        <v/>
      </c>
      <c r="BE323" s="22" t="str">
        <f t="shared" si="258"/>
        <v/>
      </c>
      <c r="BF323" s="21" t="str">
        <f t="shared" si="259"/>
        <v>Apprenant 311 ou 311'</v>
      </c>
      <c r="BG323" s="49" t="str">
        <f t="shared" si="232"/>
        <v/>
      </c>
      <c r="BH323" s="49" t="str">
        <f t="shared" si="233"/>
        <v/>
      </c>
      <c r="BI323" s="49" t="str">
        <f t="shared" si="234"/>
        <v/>
      </c>
      <c r="BJ323" s="22" t="str">
        <f t="shared" si="260"/>
        <v/>
      </c>
      <c r="BL323" s="21"/>
      <c r="BM323" s="21" t="str">
        <f>IF(OR(COUNT(B323:D1322)=0,AND('Choix pédagogiques'!$C$3&lt;&gt;1,'Choix pédagogiques'!$C$3&lt;&gt;2)),"",IF(AND(OR('Choix pédagogiques'!$C$3=1,'Choix pédagogiques'!$C$3=2),$B323&lt;&gt;"",$C323&lt;&gt;"",$D323&lt;&gt;""),1,0))</f>
        <v/>
      </c>
      <c r="BN323" s="21" t="str">
        <f>IF(OR(COUNT(G323:I1322)=0,AND('Choix pédagogiques'!$C$3&lt;&gt;1,'Choix pédagogiques'!$C$3&lt;&gt;2)),"",IF(AND(OR('Choix pédagogiques'!$C$3=1,'Choix pédagogiques'!$C$3=2),AND($G323&lt;&gt;"",$H323&lt;&gt;"",$I323&lt;&gt;"")),1,0))</f>
        <v/>
      </c>
      <c r="BO323" s="21" t="str">
        <f>IF(OR(COUNT(B323:D1322)=0,COUNT(G323:I1322)=0,'Choix pédagogiques'!C$3&lt;&gt;3),"",IF(AND('Choix pédagogiques'!$C$3=3,$B323&lt;&gt;"",$C323&lt;&gt;"",$D323&lt;&gt;"",$G323&lt;&gt;"",$H323&lt;&gt;"",$I323&lt;&gt;""),1,0))</f>
        <v/>
      </c>
      <c r="BR323" s="21">
        <v>431</v>
      </c>
      <c r="BS323" s="21">
        <v>1554</v>
      </c>
      <c r="BT323"/>
    </row>
    <row r="324" spans="1:72" s="23" customFormat="1" ht="18" customHeight="1" x14ac:dyDescent="0.3">
      <c r="A324" s="35" t="s">
        <v>314</v>
      </c>
      <c r="B324" s="37"/>
      <c r="C324" s="37"/>
      <c r="D324" s="37"/>
      <c r="E324" s="37"/>
      <c r="F324" s="35" t="s">
        <v>1322</v>
      </c>
      <c r="G324" s="37"/>
      <c r="H324" s="37"/>
      <c r="I324" s="37"/>
      <c r="J324" s="37"/>
      <c r="K324" s="21" t="str">
        <f t="shared" si="235"/>
        <v>Apprenant 312</v>
      </c>
      <c r="L324" s="22" t="str">
        <f t="shared" si="236"/>
        <v/>
      </c>
      <c r="M324" s="22" t="str">
        <f t="shared" si="237"/>
        <v/>
      </c>
      <c r="N324" s="22" t="str">
        <f t="shared" si="238"/>
        <v/>
      </c>
      <c r="O324" s="22" t="str">
        <f t="shared" si="239"/>
        <v/>
      </c>
      <c r="P324" s="21" t="str">
        <f t="shared" si="240"/>
        <v>Apprenant 312 ou 312'</v>
      </c>
      <c r="Q324" s="22" t="str">
        <f t="shared" si="241"/>
        <v/>
      </c>
      <c r="R324" s="22" t="str">
        <f t="shared" si="242"/>
        <v/>
      </c>
      <c r="S324" s="22" t="str">
        <f t="shared" si="243"/>
        <v/>
      </c>
      <c r="T324" s="22" t="str">
        <f t="shared" si="244"/>
        <v/>
      </c>
      <c r="V324" s="21" t="str">
        <f t="shared" si="245"/>
        <v>Apprenant 312</v>
      </c>
      <c r="W324" s="22" t="str">
        <f>IF(AND(OR('Choix pédagogiques'!$C$3=1,'Choix pédagogiques'!$C$3=2),$BM324=1),B324,IF(AND('Choix pédagogiques'!$C$3=3,$BO324=1),B324,""))</f>
        <v/>
      </c>
      <c r="X324" s="22" t="str">
        <f>IF(AND(OR('Choix pédagogiques'!$C$3=1,'Choix pédagogiques'!$C$3=2),$BM324=1),C324,IF(AND('Choix pédagogiques'!$C$3=3,$BO324=1),C324,""))</f>
        <v/>
      </c>
      <c r="Y324" s="22" t="str">
        <f>IF(AND(OR('Choix pédagogiques'!$C$3=1,'Choix pédagogiques'!$C$3=2),$BM324=1),D324,IF(AND('Choix pédagogiques'!$C$3=3,$BO324=1),D324,""))</f>
        <v/>
      </c>
      <c r="Z324" s="22" t="str">
        <f t="shared" si="246"/>
        <v/>
      </c>
      <c r="AA324" s="21" t="str">
        <f t="shared" si="247"/>
        <v>Apprenant 312 ou 312'</v>
      </c>
      <c r="AB324" s="22" t="str">
        <f>IF(AND(OR('Choix pédagogiques'!$C$3=1,'Choix pédagogiques'!$C$3=2),$BN324=1),G324,IF(AND('Choix pédagogiques'!$C$3=3,$BO324=1),G324,""))</f>
        <v/>
      </c>
      <c r="AC324" s="22" t="str">
        <f>IF(AND(OR('Choix pédagogiques'!$C$3=1,'Choix pédagogiques'!$C$3=2),$BN324=1),H324,IF(AND('Choix pédagogiques'!$C$3=3,$BO324=1),H324,""))</f>
        <v/>
      </c>
      <c r="AD324" s="22" t="str">
        <f>IF(AND(OR('Choix pédagogiques'!$C$3=1,'Choix pédagogiques'!$C$3=2),$BN324=1),I324,IF(AND('Choix pédagogiques'!$C$3=3,$BO324=1),I324,""))</f>
        <v/>
      </c>
      <c r="AE324" s="22" t="str">
        <f t="shared" si="248"/>
        <v/>
      </c>
      <c r="AF324" s="21" t="str">
        <f t="shared" si="249"/>
        <v>Apprenant 312</v>
      </c>
      <c r="AG324" s="22" t="str">
        <f t="shared" si="223"/>
        <v/>
      </c>
      <c r="AH324" s="22" t="str">
        <f t="shared" si="224"/>
        <v/>
      </c>
      <c r="AI324" s="22" t="str">
        <f t="shared" si="225"/>
        <v/>
      </c>
      <c r="AJ324" s="22" t="str">
        <f t="shared" si="250"/>
        <v/>
      </c>
      <c r="AK324" s="21" t="str">
        <f t="shared" si="251"/>
        <v>Apprenant 312 ou 312'</v>
      </c>
      <c r="AL324" s="22" t="str">
        <f t="shared" si="226"/>
        <v/>
      </c>
      <c r="AM324" s="22" t="str">
        <f t="shared" si="227"/>
        <v/>
      </c>
      <c r="AN324" s="22" t="str">
        <f t="shared" si="228"/>
        <v/>
      </c>
      <c r="AO324" s="22" t="str">
        <f t="shared" si="252"/>
        <v/>
      </c>
      <c r="AQ324" s="21" t="str">
        <f t="shared" si="253"/>
        <v>Apprenant 312</v>
      </c>
      <c r="AR324" s="49" t="str">
        <f>IF(AND('Choix pédagogiques'!$C$4&lt;&gt;"?",'Choix pédagogiques'!$C$5&lt;&gt;"?",W324&lt;&gt;""),(W324-'Choix pédagogiques'!$C$4)/('Choix pédagogiques'!$C$5-'Choix pédagogiques'!$C$4),"")</f>
        <v/>
      </c>
      <c r="AS324" s="49" t="str">
        <f>IF(AND('Choix pédagogiques'!$C$4&lt;&gt;"?",'Choix pédagogiques'!$C$5&lt;&gt;"?",X324&lt;&gt;""),(X324-'Choix pédagogiques'!$C$4)/('Choix pédagogiques'!$C$5-'Choix pédagogiques'!$C$4),"")</f>
        <v/>
      </c>
      <c r="AT324" s="49" t="str">
        <f>IF(AND('Choix pédagogiques'!$C$4&lt;&gt;"?",'Choix pédagogiques'!$C$5&lt;&gt;"?",Y324&lt;&gt;""),(Y324-'Choix pédagogiques'!$C$4)/('Choix pédagogiques'!$C$5-'Choix pédagogiques'!$C$4),"")</f>
        <v/>
      </c>
      <c r="AU324" s="22" t="str">
        <f t="shared" si="254"/>
        <v/>
      </c>
      <c r="AV324" s="21" t="str">
        <f t="shared" si="255"/>
        <v>Apprenant 312 ou 312'</v>
      </c>
      <c r="AW324" s="49" t="str">
        <f>IF(AND('Choix pédagogiques'!$C$4&lt;&gt;"?",'Choix pédagogiques'!$C$5&lt;&gt;"?",AB324&lt;&gt;""),(AB324-'Choix pédagogiques'!$C$4)/('Choix pédagogiques'!$C$5-'Choix pédagogiques'!$C$4),"")</f>
        <v/>
      </c>
      <c r="AX324" s="49" t="str">
        <f>IF(AND('Choix pédagogiques'!$C$4&lt;&gt;"?",'Choix pédagogiques'!$C$5&lt;&gt;"?",AC324&lt;&gt;""),(AC324-'Choix pédagogiques'!$C$4)/('Choix pédagogiques'!$C$5-'Choix pédagogiques'!$C$4),"")</f>
        <v/>
      </c>
      <c r="AY324" s="49" t="str">
        <f>IF(AND('Choix pédagogiques'!$C$4&lt;&gt;"?",'Choix pédagogiques'!$C$5&lt;&gt;"?",AD324&lt;&gt;""),(AD324-'Choix pédagogiques'!$C$4)/('Choix pédagogiques'!$C$5-'Choix pédagogiques'!$C$4),"")</f>
        <v/>
      </c>
      <c r="AZ324" s="22" t="str">
        <f t="shared" si="256"/>
        <v/>
      </c>
      <c r="BA324" s="21" t="str">
        <f t="shared" si="257"/>
        <v>Apprenant 312</v>
      </c>
      <c r="BB324" s="49" t="str">
        <f t="shared" si="229"/>
        <v/>
      </c>
      <c r="BC324" s="49" t="str">
        <f t="shared" si="230"/>
        <v/>
      </c>
      <c r="BD324" s="49" t="str">
        <f t="shared" si="231"/>
        <v/>
      </c>
      <c r="BE324" s="22" t="str">
        <f t="shared" si="258"/>
        <v/>
      </c>
      <c r="BF324" s="21" t="str">
        <f t="shared" si="259"/>
        <v>Apprenant 312 ou 312'</v>
      </c>
      <c r="BG324" s="49" t="str">
        <f t="shared" si="232"/>
        <v/>
      </c>
      <c r="BH324" s="49" t="str">
        <f t="shared" si="233"/>
        <v/>
      </c>
      <c r="BI324" s="49" t="str">
        <f t="shared" si="234"/>
        <v/>
      </c>
      <c r="BJ324" s="22" t="str">
        <f t="shared" si="260"/>
        <v/>
      </c>
      <c r="BL324" s="21"/>
      <c r="BM324" s="21" t="str">
        <f>IF(OR(COUNT(B324:D1323)=0,AND('Choix pédagogiques'!$C$3&lt;&gt;1,'Choix pédagogiques'!$C$3&lt;&gt;2)),"",IF(AND(OR('Choix pédagogiques'!$C$3=1,'Choix pédagogiques'!$C$3=2),$B324&lt;&gt;"",$C324&lt;&gt;"",$D324&lt;&gt;""),1,0))</f>
        <v/>
      </c>
      <c r="BN324" s="21" t="str">
        <f>IF(OR(COUNT(G324:I1323)=0,AND('Choix pédagogiques'!$C$3&lt;&gt;1,'Choix pédagogiques'!$C$3&lt;&gt;2)),"",IF(AND(OR('Choix pédagogiques'!$C$3=1,'Choix pédagogiques'!$C$3=2),AND($G324&lt;&gt;"",$H324&lt;&gt;"",$I324&lt;&gt;"")),1,0))</f>
        <v/>
      </c>
      <c r="BO324" s="21" t="str">
        <f>IF(OR(COUNT(B324:D1323)=0,COUNT(G324:I1323)=0,'Choix pédagogiques'!C$3&lt;&gt;3),"",IF(AND('Choix pédagogiques'!$C$3=3,$B324&lt;&gt;"",$C324&lt;&gt;"",$D324&lt;&gt;"",$G324&lt;&gt;"",$H324&lt;&gt;"",$I324&lt;&gt;""),1,0))</f>
        <v/>
      </c>
      <c r="BR324" s="21">
        <v>152</v>
      </c>
      <c r="BS324" s="21">
        <v>1218</v>
      </c>
      <c r="BT324"/>
    </row>
    <row r="325" spans="1:72" s="23" customFormat="1" ht="18" customHeight="1" x14ac:dyDescent="0.3">
      <c r="A325" s="35" t="s">
        <v>315</v>
      </c>
      <c r="B325" s="37"/>
      <c r="C325" s="37"/>
      <c r="D325" s="37"/>
      <c r="E325" s="37"/>
      <c r="F325" s="35" t="s">
        <v>1323</v>
      </c>
      <c r="G325" s="37"/>
      <c r="H325" s="37"/>
      <c r="I325" s="37"/>
      <c r="J325" s="37"/>
      <c r="K325" s="21" t="str">
        <f t="shared" si="235"/>
        <v>Apprenant 313</v>
      </c>
      <c r="L325" s="22" t="str">
        <f t="shared" si="236"/>
        <v/>
      </c>
      <c r="M325" s="22" t="str">
        <f t="shared" si="237"/>
        <v/>
      </c>
      <c r="N325" s="22" t="str">
        <f t="shared" si="238"/>
        <v/>
      </c>
      <c r="O325" s="22" t="str">
        <f t="shared" si="239"/>
        <v/>
      </c>
      <c r="P325" s="21" t="str">
        <f t="shared" si="240"/>
        <v>Apprenant 313 ou 313'</v>
      </c>
      <c r="Q325" s="22" t="str">
        <f t="shared" si="241"/>
        <v/>
      </c>
      <c r="R325" s="22" t="str">
        <f t="shared" si="242"/>
        <v/>
      </c>
      <c r="S325" s="22" t="str">
        <f t="shared" si="243"/>
        <v/>
      </c>
      <c r="T325" s="22" t="str">
        <f t="shared" si="244"/>
        <v/>
      </c>
      <c r="V325" s="21" t="str">
        <f t="shared" si="245"/>
        <v>Apprenant 313</v>
      </c>
      <c r="W325" s="22" t="str">
        <f>IF(AND(OR('Choix pédagogiques'!$C$3=1,'Choix pédagogiques'!$C$3=2),$BM325=1),B325,IF(AND('Choix pédagogiques'!$C$3=3,$BO325=1),B325,""))</f>
        <v/>
      </c>
      <c r="X325" s="22" t="str">
        <f>IF(AND(OR('Choix pédagogiques'!$C$3=1,'Choix pédagogiques'!$C$3=2),$BM325=1),C325,IF(AND('Choix pédagogiques'!$C$3=3,$BO325=1),C325,""))</f>
        <v/>
      </c>
      <c r="Y325" s="22" t="str">
        <f>IF(AND(OR('Choix pédagogiques'!$C$3=1,'Choix pédagogiques'!$C$3=2),$BM325=1),D325,IF(AND('Choix pédagogiques'!$C$3=3,$BO325=1),D325,""))</f>
        <v/>
      </c>
      <c r="Z325" s="22" t="str">
        <f t="shared" si="246"/>
        <v/>
      </c>
      <c r="AA325" s="21" t="str">
        <f t="shared" si="247"/>
        <v>Apprenant 313 ou 313'</v>
      </c>
      <c r="AB325" s="22" t="str">
        <f>IF(AND(OR('Choix pédagogiques'!$C$3=1,'Choix pédagogiques'!$C$3=2),$BN325=1),G325,IF(AND('Choix pédagogiques'!$C$3=3,$BO325=1),G325,""))</f>
        <v/>
      </c>
      <c r="AC325" s="22" t="str">
        <f>IF(AND(OR('Choix pédagogiques'!$C$3=1,'Choix pédagogiques'!$C$3=2),$BN325=1),H325,IF(AND('Choix pédagogiques'!$C$3=3,$BO325=1),H325,""))</f>
        <v/>
      </c>
      <c r="AD325" s="22" t="str">
        <f>IF(AND(OR('Choix pédagogiques'!$C$3=1,'Choix pédagogiques'!$C$3=2),$BN325=1),I325,IF(AND('Choix pédagogiques'!$C$3=3,$BO325=1),I325,""))</f>
        <v/>
      </c>
      <c r="AE325" s="22" t="str">
        <f t="shared" si="248"/>
        <v/>
      </c>
      <c r="AF325" s="21" t="str">
        <f t="shared" si="249"/>
        <v>Apprenant 313</v>
      </c>
      <c r="AG325" s="22" t="str">
        <f t="shared" si="223"/>
        <v/>
      </c>
      <c r="AH325" s="22" t="str">
        <f t="shared" si="224"/>
        <v/>
      </c>
      <c r="AI325" s="22" t="str">
        <f t="shared" si="225"/>
        <v/>
      </c>
      <c r="AJ325" s="22" t="str">
        <f t="shared" si="250"/>
        <v/>
      </c>
      <c r="AK325" s="21" t="str">
        <f t="shared" si="251"/>
        <v>Apprenant 313 ou 313'</v>
      </c>
      <c r="AL325" s="22" t="str">
        <f t="shared" si="226"/>
        <v/>
      </c>
      <c r="AM325" s="22" t="str">
        <f t="shared" si="227"/>
        <v/>
      </c>
      <c r="AN325" s="22" t="str">
        <f t="shared" si="228"/>
        <v/>
      </c>
      <c r="AO325" s="22" t="str">
        <f t="shared" si="252"/>
        <v/>
      </c>
      <c r="AQ325" s="21" t="str">
        <f t="shared" si="253"/>
        <v>Apprenant 313</v>
      </c>
      <c r="AR325" s="49" t="str">
        <f>IF(AND('Choix pédagogiques'!$C$4&lt;&gt;"?",'Choix pédagogiques'!$C$5&lt;&gt;"?",W325&lt;&gt;""),(W325-'Choix pédagogiques'!$C$4)/('Choix pédagogiques'!$C$5-'Choix pédagogiques'!$C$4),"")</f>
        <v/>
      </c>
      <c r="AS325" s="49" t="str">
        <f>IF(AND('Choix pédagogiques'!$C$4&lt;&gt;"?",'Choix pédagogiques'!$C$5&lt;&gt;"?",X325&lt;&gt;""),(X325-'Choix pédagogiques'!$C$4)/('Choix pédagogiques'!$C$5-'Choix pédagogiques'!$C$4),"")</f>
        <v/>
      </c>
      <c r="AT325" s="49" t="str">
        <f>IF(AND('Choix pédagogiques'!$C$4&lt;&gt;"?",'Choix pédagogiques'!$C$5&lt;&gt;"?",Y325&lt;&gt;""),(Y325-'Choix pédagogiques'!$C$4)/('Choix pédagogiques'!$C$5-'Choix pédagogiques'!$C$4),"")</f>
        <v/>
      </c>
      <c r="AU325" s="22" t="str">
        <f t="shared" si="254"/>
        <v/>
      </c>
      <c r="AV325" s="21" t="str">
        <f t="shared" si="255"/>
        <v>Apprenant 313 ou 313'</v>
      </c>
      <c r="AW325" s="49" t="str">
        <f>IF(AND('Choix pédagogiques'!$C$4&lt;&gt;"?",'Choix pédagogiques'!$C$5&lt;&gt;"?",AB325&lt;&gt;""),(AB325-'Choix pédagogiques'!$C$4)/('Choix pédagogiques'!$C$5-'Choix pédagogiques'!$C$4),"")</f>
        <v/>
      </c>
      <c r="AX325" s="49" t="str">
        <f>IF(AND('Choix pédagogiques'!$C$4&lt;&gt;"?",'Choix pédagogiques'!$C$5&lt;&gt;"?",AC325&lt;&gt;""),(AC325-'Choix pédagogiques'!$C$4)/('Choix pédagogiques'!$C$5-'Choix pédagogiques'!$C$4),"")</f>
        <v/>
      </c>
      <c r="AY325" s="49" t="str">
        <f>IF(AND('Choix pédagogiques'!$C$4&lt;&gt;"?",'Choix pédagogiques'!$C$5&lt;&gt;"?",AD325&lt;&gt;""),(AD325-'Choix pédagogiques'!$C$4)/('Choix pédagogiques'!$C$5-'Choix pédagogiques'!$C$4),"")</f>
        <v/>
      </c>
      <c r="AZ325" s="22" t="str">
        <f t="shared" si="256"/>
        <v/>
      </c>
      <c r="BA325" s="21" t="str">
        <f t="shared" si="257"/>
        <v>Apprenant 313</v>
      </c>
      <c r="BB325" s="49" t="str">
        <f t="shared" si="229"/>
        <v/>
      </c>
      <c r="BC325" s="49" t="str">
        <f t="shared" si="230"/>
        <v/>
      </c>
      <c r="BD325" s="49" t="str">
        <f t="shared" si="231"/>
        <v/>
      </c>
      <c r="BE325" s="22" t="str">
        <f t="shared" si="258"/>
        <v/>
      </c>
      <c r="BF325" s="21" t="str">
        <f t="shared" si="259"/>
        <v>Apprenant 313 ou 313'</v>
      </c>
      <c r="BG325" s="49" t="str">
        <f t="shared" si="232"/>
        <v/>
      </c>
      <c r="BH325" s="49" t="str">
        <f t="shared" si="233"/>
        <v/>
      </c>
      <c r="BI325" s="49" t="str">
        <f t="shared" si="234"/>
        <v/>
      </c>
      <c r="BJ325" s="22" t="str">
        <f t="shared" si="260"/>
        <v/>
      </c>
      <c r="BL325" s="21"/>
      <c r="BM325" s="21" t="str">
        <f>IF(OR(COUNT(B325:D1324)=0,AND('Choix pédagogiques'!$C$3&lt;&gt;1,'Choix pédagogiques'!$C$3&lt;&gt;2)),"",IF(AND(OR('Choix pédagogiques'!$C$3=1,'Choix pédagogiques'!$C$3=2),$B325&lt;&gt;"",$C325&lt;&gt;"",$D325&lt;&gt;""),1,0))</f>
        <v/>
      </c>
      <c r="BN325" s="21" t="str">
        <f>IF(OR(COUNT(G325:I1324)=0,AND('Choix pédagogiques'!$C$3&lt;&gt;1,'Choix pédagogiques'!$C$3&lt;&gt;2)),"",IF(AND(OR('Choix pédagogiques'!$C$3=1,'Choix pédagogiques'!$C$3=2),AND($G325&lt;&gt;"",$H325&lt;&gt;"",$I325&lt;&gt;"")),1,0))</f>
        <v/>
      </c>
      <c r="BO325" s="21" t="str">
        <f>IF(OR(COUNT(B325:D1324)=0,COUNT(G325:I1324)=0,'Choix pédagogiques'!C$3&lt;&gt;3),"",IF(AND('Choix pédagogiques'!$C$3=3,$B325&lt;&gt;"",$C325&lt;&gt;"",$D325&lt;&gt;"",$G325&lt;&gt;"",$H325&lt;&gt;"",$I325&lt;&gt;""),1,0))</f>
        <v/>
      </c>
      <c r="BR325" s="21">
        <v>948</v>
      </c>
      <c r="BS325" s="21">
        <v>1087</v>
      </c>
      <c r="BT325"/>
    </row>
    <row r="326" spans="1:72" s="23" customFormat="1" ht="18" customHeight="1" x14ac:dyDescent="0.3">
      <c r="A326" s="35" t="s">
        <v>316</v>
      </c>
      <c r="B326" s="37"/>
      <c r="C326" s="37"/>
      <c r="D326" s="37"/>
      <c r="E326" s="37"/>
      <c r="F326" s="35" t="s">
        <v>1324</v>
      </c>
      <c r="G326" s="37"/>
      <c r="H326" s="37"/>
      <c r="I326" s="37"/>
      <c r="J326" s="37"/>
      <c r="K326" s="21" t="str">
        <f t="shared" si="235"/>
        <v>Apprenant 314</v>
      </c>
      <c r="L326" s="22" t="str">
        <f t="shared" si="236"/>
        <v/>
      </c>
      <c r="M326" s="22" t="str">
        <f t="shared" si="237"/>
        <v/>
      </c>
      <c r="N326" s="22" t="str">
        <f t="shared" si="238"/>
        <v/>
      </c>
      <c r="O326" s="22" t="str">
        <f t="shared" si="239"/>
        <v/>
      </c>
      <c r="P326" s="21" t="str">
        <f t="shared" si="240"/>
        <v>Apprenant 314 ou 314'</v>
      </c>
      <c r="Q326" s="22" t="str">
        <f t="shared" si="241"/>
        <v/>
      </c>
      <c r="R326" s="22" t="str">
        <f t="shared" si="242"/>
        <v/>
      </c>
      <c r="S326" s="22" t="str">
        <f t="shared" si="243"/>
        <v/>
      </c>
      <c r="T326" s="22" t="str">
        <f t="shared" si="244"/>
        <v/>
      </c>
      <c r="V326" s="21" t="str">
        <f t="shared" si="245"/>
        <v>Apprenant 314</v>
      </c>
      <c r="W326" s="22" t="str">
        <f>IF(AND(OR('Choix pédagogiques'!$C$3=1,'Choix pédagogiques'!$C$3=2),$BM326=1),B326,IF(AND('Choix pédagogiques'!$C$3=3,$BO326=1),B326,""))</f>
        <v/>
      </c>
      <c r="X326" s="22" t="str">
        <f>IF(AND(OR('Choix pédagogiques'!$C$3=1,'Choix pédagogiques'!$C$3=2),$BM326=1),C326,IF(AND('Choix pédagogiques'!$C$3=3,$BO326=1),C326,""))</f>
        <v/>
      </c>
      <c r="Y326" s="22" t="str">
        <f>IF(AND(OR('Choix pédagogiques'!$C$3=1,'Choix pédagogiques'!$C$3=2),$BM326=1),D326,IF(AND('Choix pédagogiques'!$C$3=3,$BO326=1),D326,""))</f>
        <v/>
      </c>
      <c r="Z326" s="22" t="str">
        <f t="shared" si="246"/>
        <v/>
      </c>
      <c r="AA326" s="21" t="str">
        <f t="shared" si="247"/>
        <v>Apprenant 314 ou 314'</v>
      </c>
      <c r="AB326" s="22" t="str">
        <f>IF(AND(OR('Choix pédagogiques'!$C$3=1,'Choix pédagogiques'!$C$3=2),$BN326=1),G326,IF(AND('Choix pédagogiques'!$C$3=3,$BO326=1),G326,""))</f>
        <v/>
      </c>
      <c r="AC326" s="22" t="str">
        <f>IF(AND(OR('Choix pédagogiques'!$C$3=1,'Choix pédagogiques'!$C$3=2),$BN326=1),H326,IF(AND('Choix pédagogiques'!$C$3=3,$BO326=1),H326,""))</f>
        <v/>
      </c>
      <c r="AD326" s="22" t="str">
        <f>IF(AND(OR('Choix pédagogiques'!$C$3=1,'Choix pédagogiques'!$C$3=2),$BN326=1),I326,IF(AND('Choix pédagogiques'!$C$3=3,$BO326=1),I326,""))</f>
        <v/>
      </c>
      <c r="AE326" s="22" t="str">
        <f t="shared" si="248"/>
        <v/>
      </c>
      <c r="AF326" s="21" t="str">
        <f t="shared" si="249"/>
        <v>Apprenant 314</v>
      </c>
      <c r="AG326" s="22" t="str">
        <f t="shared" si="223"/>
        <v/>
      </c>
      <c r="AH326" s="22" t="str">
        <f t="shared" si="224"/>
        <v/>
      </c>
      <c r="AI326" s="22" t="str">
        <f t="shared" si="225"/>
        <v/>
      </c>
      <c r="AJ326" s="22" t="str">
        <f t="shared" si="250"/>
        <v/>
      </c>
      <c r="AK326" s="21" t="str">
        <f t="shared" si="251"/>
        <v>Apprenant 314 ou 314'</v>
      </c>
      <c r="AL326" s="22" t="str">
        <f t="shared" si="226"/>
        <v/>
      </c>
      <c r="AM326" s="22" t="str">
        <f t="shared" si="227"/>
        <v/>
      </c>
      <c r="AN326" s="22" t="str">
        <f t="shared" si="228"/>
        <v/>
      </c>
      <c r="AO326" s="22" t="str">
        <f t="shared" si="252"/>
        <v/>
      </c>
      <c r="AQ326" s="21" t="str">
        <f t="shared" si="253"/>
        <v>Apprenant 314</v>
      </c>
      <c r="AR326" s="49" t="str">
        <f>IF(AND('Choix pédagogiques'!$C$4&lt;&gt;"?",'Choix pédagogiques'!$C$5&lt;&gt;"?",W326&lt;&gt;""),(W326-'Choix pédagogiques'!$C$4)/('Choix pédagogiques'!$C$5-'Choix pédagogiques'!$C$4),"")</f>
        <v/>
      </c>
      <c r="AS326" s="49" t="str">
        <f>IF(AND('Choix pédagogiques'!$C$4&lt;&gt;"?",'Choix pédagogiques'!$C$5&lt;&gt;"?",X326&lt;&gt;""),(X326-'Choix pédagogiques'!$C$4)/('Choix pédagogiques'!$C$5-'Choix pédagogiques'!$C$4),"")</f>
        <v/>
      </c>
      <c r="AT326" s="49" t="str">
        <f>IF(AND('Choix pédagogiques'!$C$4&lt;&gt;"?",'Choix pédagogiques'!$C$5&lt;&gt;"?",Y326&lt;&gt;""),(Y326-'Choix pédagogiques'!$C$4)/('Choix pédagogiques'!$C$5-'Choix pédagogiques'!$C$4),"")</f>
        <v/>
      </c>
      <c r="AU326" s="22" t="str">
        <f t="shared" si="254"/>
        <v/>
      </c>
      <c r="AV326" s="21" t="str">
        <f t="shared" si="255"/>
        <v>Apprenant 314 ou 314'</v>
      </c>
      <c r="AW326" s="49" t="str">
        <f>IF(AND('Choix pédagogiques'!$C$4&lt;&gt;"?",'Choix pédagogiques'!$C$5&lt;&gt;"?",AB326&lt;&gt;""),(AB326-'Choix pédagogiques'!$C$4)/('Choix pédagogiques'!$C$5-'Choix pédagogiques'!$C$4),"")</f>
        <v/>
      </c>
      <c r="AX326" s="49" t="str">
        <f>IF(AND('Choix pédagogiques'!$C$4&lt;&gt;"?",'Choix pédagogiques'!$C$5&lt;&gt;"?",AC326&lt;&gt;""),(AC326-'Choix pédagogiques'!$C$4)/('Choix pédagogiques'!$C$5-'Choix pédagogiques'!$C$4),"")</f>
        <v/>
      </c>
      <c r="AY326" s="49" t="str">
        <f>IF(AND('Choix pédagogiques'!$C$4&lt;&gt;"?",'Choix pédagogiques'!$C$5&lt;&gt;"?",AD326&lt;&gt;""),(AD326-'Choix pédagogiques'!$C$4)/('Choix pédagogiques'!$C$5-'Choix pédagogiques'!$C$4),"")</f>
        <v/>
      </c>
      <c r="AZ326" s="22" t="str">
        <f t="shared" si="256"/>
        <v/>
      </c>
      <c r="BA326" s="21" t="str">
        <f t="shared" si="257"/>
        <v>Apprenant 314</v>
      </c>
      <c r="BB326" s="49" t="str">
        <f t="shared" si="229"/>
        <v/>
      </c>
      <c r="BC326" s="49" t="str">
        <f t="shared" si="230"/>
        <v/>
      </c>
      <c r="BD326" s="49" t="str">
        <f t="shared" si="231"/>
        <v/>
      </c>
      <c r="BE326" s="22" t="str">
        <f t="shared" si="258"/>
        <v/>
      </c>
      <c r="BF326" s="21" t="str">
        <f t="shared" si="259"/>
        <v>Apprenant 314 ou 314'</v>
      </c>
      <c r="BG326" s="49" t="str">
        <f t="shared" si="232"/>
        <v/>
      </c>
      <c r="BH326" s="49" t="str">
        <f t="shared" si="233"/>
        <v/>
      </c>
      <c r="BI326" s="49" t="str">
        <f t="shared" si="234"/>
        <v/>
      </c>
      <c r="BJ326" s="22" t="str">
        <f t="shared" si="260"/>
        <v/>
      </c>
      <c r="BL326" s="21"/>
      <c r="BM326" s="21" t="str">
        <f>IF(OR(COUNT(B326:D1325)=0,AND('Choix pédagogiques'!$C$3&lt;&gt;1,'Choix pédagogiques'!$C$3&lt;&gt;2)),"",IF(AND(OR('Choix pédagogiques'!$C$3=1,'Choix pédagogiques'!$C$3=2),$B326&lt;&gt;"",$C326&lt;&gt;"",$D326&lt;&gt;""),1,0))</f>
        <v/>
      </c>
      <c r="BN326" s="21" t="str">
        <f>IF(OR(COUNT(G326:I1325)=0,AND('Choix pédagogiques'!$C$3&lt;&gt;1,'Choix pédagogiques'!$C$3&lt;&gt;2)),"",IF(AND(OR('Choix pédagogiques'!$C$3=1,'Choix pédagogiques'!$C$3=2),AND($G326&lt;&gt;"",$H326&lt;&gt;"",$I326&lt;&gt;"")),1,0))</f>
        <v/>
      </c>
      <c r="BO326" s="21" t="str">
        <f>IF(OR(COUNT(B326:D1325)=0,COUNT(G326:I1325)=0,'Choix pédagogiques'!C$3&lt;&gt;3),"",IF(AND('Choix pédagogiques'!$C$3=3,$B326&lt;&gt;"",$C326&lt;&gt;"",$D326&lt;&gt;"",$G326&lt;&gt;"",$H326&lt;&gt;"",$I326&lt;&gt;""),1,0))</f>
        <v/>
      </c>
      <c r="BR326" s="21">
        <v>844</v>
      </c>
      <c r="BS326" s="21">
        <v>1848</v>
      </c>
      <c r="BT326"/>
    </row>
    <row r="327" spans="1:72" s="23" customFormat="1" ht="18" customHeight="1" x14ac:dyDescent="0.3">
      <c r="A327" s="35" t="s">
        <v>317</v>
      </c>
      <c r="B327" s="37"/>
      <c r="C327" s="37"/>
      <c r="D327" s="37"/>
      <c r="E327" s="37"/>
      <c r="F327" s="35" t="s">
        <v>1325</v>
      </c>
      <c r="G327" s="37"/>
      <c r="H327" s="37"/>
      <c r="I327" s="37"/>
      <c r="J327" s="37"/>
      <c r="K327" s="21" t="str">
        <f t="shared" si="235"/>
        <v>Apprenant 315</v>
      </c>
      <c r="L327" s="22" t="str">
        <f t="shared" si="236"/>
        <v/>
      </c>
      <c r="M327" s="22" t="str">
        <f t="shared" si="237"/>
        <v/>
      </c>
      <c r="N327" s="22" t="str">
        <f t="shared" si="238"/>
        <v/>
      </c>
      <c r="O327" s="22" t="str">
        <f t="shared" si="239"/>
        <v/>
      </c>
      <c r="P327" s="21" t="str">
        <f t="shared" si="240"/>
        <v>Apprenant 315 ou 315'</v>
      </c>
      <c r="Q327" s="22" t="str">
        <f t="shared" si="241"/>
        <v/>
      </c>
      <c r="R327" s="22" t="str">
        <f t="shared" si="242"/>
        <v/>
      </c>
      <c r="S327" s="22" t="str">
        <f t="shared" si="243"/>
        <v/>
      </c>
      <c r="T327" s="22" t="str">
        <f t="shared" si="244"/>
        <v/>
      </c>
      <c r="V327" s="21" t="str">
        <f t="shared" si="245"/>
        <v>Apprenant 315</v>
      </c>
      <c r="W327" s="22" t="str">
        <f>IF(AND(OR('Choix pédagogiques'!$C$3=1,'Choix pédagogiques'!$C$3=2),$BM327=1),B327,IF(AND('Choix pédagogiques'!$C$3=3,$BO327=1),B327,""))</f>
        <v/>
      </c>
      <c r="X327" s="22" t="str">
        <f>IF(AND(OR('Choix pédagogiques'!$C$3=1,'Choix pédagogiques'!$C$3=2),$BM327=1),C327,IF(AND('Choix pédagogiques'!$C$3=3,$BO327=1),C327,""))</f>
        <v/>
      </c>
      <c r="Y327" s="22" t="str">
        <f>IF(AND(OR('Choix pédagogiques'!$C$3=1,'Choix pédagogiques'!$C$3=2),$BM327=1),D327,IF(AND('Choix pédagogiques'!$C$3=3,$BO327=1),D327,""))</f>
        <v/>
      </c>
      <c r="Z327" s="22" t="str">
        <f t="shared" si="246"/>
        <v/>
      </c>
      <c r="AA327" s="21" t="str">
        <f t="shared" si="247"/>
        <v>Apprenant 315 ou 315'</v>
      </c>
      <c r="AB327" s="22" t="str">
        <f>IF(AND(OR('Choix pédagogiques'!$C$3=1,'Choix pédagogiques'!$C$3=2),$BN327=1),G327,IF(AND('Choix pédagogiques'!$C$3=3,$BO327=1),G327,""))</f>
        <v/>
      </c>
      <c r="AC327" s="22" t="str">
        <f>IF(AND(OR('Choix pédagogiques'!$C$3=1,'Choix pédagogiques'!$C$3=2),$BN327=1),H327,IF(AND('Choix pédagogiques'!$C$3=3,$BO327=1),H327,""))</f>
        <v/>
      </c>
      <c r="AD327" s="22" t="str">
        <f>IF(AND(OR('Choix pédagogiques'!$C$3=1,'Choix pédagogiques'!$C$3=2),$BN327=1),I327,IF(AND('Choix pédagogiques'!$C$3=3,$BO327=1),I327,""))</f>
        <v/>
      </c>
      <c r="AE327" s="22" t="str">
        <f t="shared" si="248"/>
        <v/>
      </c>
      <c r="AF327" s="21" t="str">
        <f t="shared" si="249"/>
        <v>Apprenant 315</v>
      </c>
      <c r="AG327" s="22" t="str">
        <f t="shared" si="223"/>
        <v/>
      </c>
      <c r="AH327" s="22" t="str">
        <f t="shared" si="224"/>
        <v/>
      </c>
      <c r="AI327" s="22" t="str">
        <f t="shared" si="225"/>
        <v/>
      </c>
      <c r="AJ327" s="22" t="str">
        <f t="shared" si="250"/>
        <v/>
      </c>
      <c r="AK327" s="21" t="str">
        <f t="shared" si="251"/>
        <v>Apprenant 315 ou 315'</v>
      </c>
      <c r="AL327" s="22" t="str">
        <f t="shared" si="226"/>
        <v/>
      </c>
      <c r="AM327" s="22" t="str">
        <f t="shared" si="227"/>
        <v/>
      </c>
      <c r="AN327" s="22" t="str">
        <f t="shared" si="228"/>
        <v/>
      </c>
      <c r="AO327" s="22" t="str">
        <f t="shared" si="252"/>
        <v/>
      </c>
      <c r="AQ327" s="21" t="str">
        <f t="shared" si="253"/>
        <v>Apprenant 315</v>
      </c>
      <c r="AR327" s="49" t="str">
        <f>IF(AND('Choix pédagogiques'!$C$4&lt;&gt;"?",'Choix pédagogiques'!$C$5&lt;&gt;"?",W327&lt;&gt;""),(W327-'Choix pédagogiques'!$C$4)/('Choix pédagogiques'!$C$5-'Choix pédagogiques'!$C$4),"")</f>
        <v/>
      </c>
      <c r="AS327" s="49" t="str">
        <f>IF(AND('Choix pédagogiques'!$C$4&lt;&gt;"?",'Choix pédagogiques'!$C$5&lt;&gt;"?",X327&lt;&gt;""),(X327-'Choix pédagogiques'!$C$4)/('Choix pédagogiques'!$C$5-'Choix pédagogiques'!$C$4),"")</f>
        <v/>
      </c>
      <c r="AT327" s="49" t="str">
        <f>IF(AND('Choix pédagogiques'!$C$4&lt;&gt;"?",'Choix pédagogiques'!$C$5&lt;&gt;"?",Y327&lt;&gt;""),(Y327-'Choix pédagogiques'!$C$4)/('Choix pédagogiques'!$C$5-'Choix pédagogiques'!$C$4),"")</f>
        <v/>
      </c>
      <c r="AU327" s="22" t="str">
        <f t="shared" si="254"/>
        <v/>
      </c>
      <c r="AV327" s="21" t="str">
        <f t="shared" si="255"/>
        <v>Apprenant 315 ou 315'</v>
      </c>
      <c r="AW327" s="49" t="str">
        <f>IF(AND('Choix pédagogiques'!$C$4&lt;&gt;"?",'Choix pédagogiques'!$C$5&lt;&gt;"?",AB327&lt;&gt;""),(AB327-'Choix pédagogiques'!$C$4)/('Choix pédagogiques'!$C$5-'Choix pédagogiques'!$C$4),"")</f>
        <v/>
      </c>
      <c r="AX327" s="49" t="str">
        <f>IF(AND('Choix pédagogiques'!$C$4&lt;&gt;"?",'Choix pédagogiques'!$C$5&lt;&gt;"?",AC327&lt;&gt;""),(AC327-'Choix pédagogiques'!$C$4)/('Choix pédagogiques'!$C$5-'Choix pédagogiques'!$C$4),"")</f>
        <v/>
      </c>
      <c r="AY327" s="49" t="str">
        <f>IF(AND('Choix pédagogiques'!$C$4&lt;&gt;"?",'Choix pédagogiques'!$C$5&lt;&gt;"?",AD327&lt;&gt;""),(AD327-'Choix pédagogiques'!$C$4)/('Choix pédagogiques'!$C$5-'Choix pédagogiques'!$C$4),"")</f>
        <v/>
      </c>
      <c r="AZ327" s="22" t="str">
        <f t="shared" si="256"/>
        <v/>
      </c>
      <c r="BA327" s="21" t="str">
        <f t="shared" si="257"/>
        <v>Apprenant 315</v>
      </c>
      <c r="BB327" s="49" t="str">
        <f t="shared" si="229"/>
        <v/>
      </c>
      <c r="BC327" s="49" t="str">
        <f t="shared" si="230"/>
        <v/>
      </c>
      <c r="BD327" s="49" t="str">
        <f t="shared" si="231"/>
        <v/>
      </c>
      <c r="BE327" s="22" t="str">
        <f t="shared" si="258"/>
        <v/>
      </c>
      <c r="BF327" s="21" t="str">
        <f t="shared" si="259"/>
        <v>Apprenant 315 ou 315'</v>
      </c>
      <c r="BG327" s="49" t="str">
        <f t="shared" si="232"/>
        <v/>
      </c>
      <c r="BH327" s="49" t="str">
        <f t="shared" si="233"/>
        <v/>
      </c>
      <c r="BI327" s="49" t="str">
        <f t="shared" si="234"/>
        <v/>
      </c>
      <c r="BJ327" s="22" t="str">
        <f t="shared" si="260"/>
        <v/>
      </c>
      <c r="BL327" s="21"/>
      <c r="BM327" s="21" t="str">
        <f>IF(OR(COUNT(B327:D1326)=0,AND('Choix pédagogiques'!$C$3&lt;&gt;1,'Choix pédagogiques'!$C$3&lt;&gt;2)),"",IF(AND(OR('Choix pédagogiques'!$C$3=1,'Choix pédagogiques'!$C$3=2),$B327&lt;&gt;"",$C327&lt;&gt;"",$D327&lt;&gt;""),1,0))</f>
        <v/>
      </c>
      <c r="BN327" s="21" t="str">
        <f>IF(OR(COUNT(G327:I1326)=0,AND('Choix pédagogiques'!$C$3&lt;&gt;1,'Choix pédagogiques'!$C$3&lt;&gt;2)),"",IF(AND(OR('Choix pédagogiques'!$C$3=1,'Choix pédagogiques'!$C$3=2),AND($G327&lt;&gt;"",$H327&lt;&gt;"",$I327&lt;&gt;"")),1,0))</f>
        <v/>
      </c>
      <c r="BO327" s="21" t="str">
        <f>IF(OR(COUNT(B327:D1326)=0,COUNT(G327:I1326)=0,'Choix pédagogiques'!C$3&lt;&gt;3),"",IF(AND('Choix pédagogiques'!$C$3=3,$B327&lt;&gt;"",$C327&lt;&gt;"",$D327&lt;&gt;"",$G327&lt;&gt;"",$H327&lt;&gt;"",$I327&lt;&gt;""),1,0))</f>
        <v/>
      </c>
      <c r="BR327" s="21">
        <v>181</v>
      </c>
      <c r="BS327" s="21">
        <v>1364</v>
      </c>
      <c r="BT327"/>
    </row>
    <row r="328" spans="1:72" s="23" customFormat="1" ht="18" customHeight="1" x14ac:dyDescent="0.3">
      <c r="A328" s="35" t="s">
        <v>318</v>
      </c>
      <c r="B328" s="37"/>
      <c r="C328" s="37"/>
      <c r="D328" s="37"/>
      <c r="E328" s="37"/>
      <c r="F328" s="35" t="s">
        <v>1326</v>
      </c>
      <c r="G328" s="37"/>
      <c r="H328" s="37"/>
      <c r="I328" s="37"/>
      <c r="J328" s="37"/>
      <c r="K328" s="21" t="str">
        <f t="shared" si="235"/>
        <v>Apprenant 316</v>
      </c>
      <c r="L328" s="22" t="str">
        <f t="shared" si="236"/>
        <v/>
      </c>
      <c r="M328" s="22" t="str">
        <f t="shared" si="237"/>
        <v/>
      </c>
      <c r="N328" s="22" t="str">
        <f t="shared" si="238"/>
        <v/>
      </c>
      <c r="O328" s="22" t="str">
        <f t="shared" si="239"/>
        <v/>
      </c>
      <c r="P328" s="21" t="str">
        <f t="shared" si="240"/>
        <v>Apprenant 316 ou 316'</v>
      </c>
      <c r="Q328" s="22" t="str">
        <f t="shared" si="241"/>
        <v/>
      </c>
      <c r="R328" s="22" t="str">
        <f t="shared" si="242"/>
        <v/>
      </c>
      <c r="S328" s="22" t="str">
        <f t="shared" si="243"/>
        <v/>
      </c>
      <c r="T328" s="22" t="str">
        <f t="shared" si="244"/>
        <v/>
      </c>
      <c r="V328" s="21" t="str">
        <f t="shared" si="245"/>
        <v>Apprenant 316</v>
      </c>
      <c r="W328" s="22" t="str">
        <f>IF(AND(OR('Choix pédagogiques'!$C$3=1,'Choix pédagogiques'!$C$3=2),$BM328=1),B328,IF(AND('Choix pédagogiques'!$C$3=3,$BO328=1),B328,""))</f>
        <v/>
      </c>
      <c r="X328" s="22" t="str">
        <f>IF(AND(OR('Choix pédagogiques'!$C$3=1,'Choix pédagogiques'!$C$3=2),$BM328=1),C328,IF(AND('Choix pédagogiques'!$C$3=3,$BO328=1),C328,""))</f>
        <v/>
      </c>
      <c r="Y328" s="22" t="str">
        <f>IF(AND(OR('Choix pédagogiques'!$C$3=1,'Choix pédagogiques'!$C$3=2),$BM328=1),D328,IF(AND('Choix pédagogiques'!$C$3=3,$BO328=1),D328,""))</f>
        <v/>
      </c>
      <c r="Z328" s="22" t="str">
        <f t="shared" si="246"/>
        <v/>
      </c>
      <c r="AA328" s="21" t="str">
        <f t="shared" si="247"/>
        <v>Apprenant 316 ou 316'</v>
      </c>
      <c r="AB328" s="22" t="str">
        <f>IF(AND(OR('Choix pédagogiques'!$C$3=1,'Choix pédagogiques'!$C$3=2),$BN328=1),G328,IF(AND('Choix pédagogiques'!$C$3=3,$BO328=1),G328,""))</f>
        <v/>
      </c>
      <c r="AC328" s="22" t="str">
        <f>IF(AND(OR('Choix pédagogiques'!$C$3=1,'Choix pédagogiques'!$C$3=2),$BN328=1),H328,IF(AND('Choix pédagogiques'!$C$3=3,$BO328=1),H328,""))</f>
        <v/>
      </c>
      <c r="AD328" s="22" t="str">
        <f>IF(AND(OR('Choix pédagogiques'!$C$3=1,'Choix pédagogiques'!$C$3=2),$BN328=1),I328,IF(AND('Choix pédagogiques'!$C$3=3,$BO328=1),I328,""))</f>
        <v/>
      </c>
      <c r="AE328" s="22" t="str">
        <f t="shared" si="248"/>
        <v/>
      </c>
      <c r="AF328" s="21" t="str">
        <f t="shared" si="249"/>
        <v>Apprenant 316</v>
      </c>
      <c r="AG328" s="22" t="str">
        <f t="shared" si="223"/>
        <v/>
      </c>
      <c r="AH328" s="22" t="str">
        <f t="shared" si="224"/>
        <v/>
      </c>
      <c r="AI328" s="22" t="str">
        <f t="shared" si="225"/>
        <v/>
      </c>
      <c r="AJ328" s="22" t="str">
        <f t="shared" si="250"/>
        <v/>
      </c>
      <c r="AK328" s="21" t="str">
        <f t="shared" si="251"/>
        <v>Apprenant 316 ou 316'</v>
      </c>
      <c r="AL328" s="22" t="str">
        <f t="shared" si="226"/>
        <v/>
      </c>
      <c r="AM328" s="22" t="str">
        <f t="shared" si="227"/>
        <v/>
      </c>
      <c r="AN328" s="22" t="str">
        <f t="shared" si="228"/>
        <v/>
      </c>
      <c r="AO328" s="22" t="str">
        <f t="shared" si="252"/>
        <v/>
      </c>
      <c r="AQ328" s="21" t="str">
        <f t="shared" si="253"/>
        <v>Apprenant 316</v>
      </c>
      <c r="AR328" s="49" t="str">
        <f>IF(AND('Choix pédagogiques'!$C$4&lt;&gt;"?",'Choix pédagogiques'!$C$5&lt;&gt;"?",W328&lt;&gt;""),(W328-'Choix pédagogiques'!$C$4)/('Choix pédagogiques'!$C$5-'Choix pédagogiques'!$C$4),"")</f>
        <v/>
      </c>
      <c r="AS328" s="49" t="str">
        <f>IF(AND('Choix pédagogiques'!$C$4&lt;&gt;"?",'Choix pédagogiques'!$C$5&lt;&gt;"?",X328&lt;&gt;""),(X328-'Choix pédagogiques'!$C$4)/('Choix pédagogiques'!$C$5-'Choix pédagogiques'!$C$4),"")</f>
        <v/>
      </c>
      <c r="AT328" s="49" t="str">
        <f>IF(AND('Choix pédagogiques'!$C$4&lt;&gt;"?",'Choix pédagogiques'!$C$5&lt;&gt;"?",Y328&lt;&gt;""),(Y328-'Choix pédagogiques'!$C$4)/('Choix pédagogiques'!$C$5-'Choix pédagogiques'!$C$4),"")</f>
        <v/>
      </c>
      <c r="AU328" s="22" t="str">
        <f t="shared" si="254"/>
        <v/>
      </c>
      <c r="AV328" s="21" t="str">
        <f t="shared" si="255"/>
        <v>Apprenant 316 ou 316'</v>
      </c>
      <c r="AW328" s="49" t="str">
        <f>IF(AND('Choix pédagogiques'!$C$4&lt;&gt;"?",'Choix pédagogiques'!$C$5&lt;&gt;"?",AB328&lt;&gt;""),(AB328-'Choix pédagogiques'!$C$4)/('Choix pédagogiques'!$C$5-'Choix pédagogiques'!$C$4),"")</f>
        <v/>
      </c>
      <c r="AX328" s="49" t="str">
        <f>IF(AND('Choix pédagogiques'!$C$4&lt;&gt;"?",'Choix pédagogiques'!$C$5&lt;&gt;"?",AC328&lt;&gt;""),(AC328-'Choix pédagogiques'!$C$4)/('Choix pédagogiques'!$C$5-'Choix pédagogiques'!$C$4),"")</f>
        <v/>
      </c>
      <c r="AY328" s="49" t="str">
        <f>IF(AND('Choix pédagogiques'!$C$4&lt;&gt;"?",'Choix pédagogiques'!$C$5&lt;&gt;"?",AD328&lt;&gt;""),(AD328-'Choix pédagogiques'!$C$4)/('Choix pédagogiques'!$C$5-'Choix pédagogiques'!$C$4),"")</f>
        <v/>
      </c>
      <c r="AZ328" s="22" t="str">
        <f t="shared" si="256"/>
        <v/>
      </c>
      <c r="BA328" s="21" t="str">
        <f t="shared" si="257"/>
        <v>Apprenant 316</v>
      </c>
      <c r="BB328" s="49" t="str">
        <f t="shared" si="229"/>
        <v/>
      </c>
      <c r="BC328" s="49" t="str">
        <f t="shared" si="230"/>
        <v/>
      </c>
      <c r="BD328" s="49" t="str">
        <f t="shared" si="231"/>
        <v/>
      </c>
      <c r="BE328" s="22" t="str">
        <f t="shared" si="258"/>
        <v/>
      </c>
      <c r="BF328" s="21" t="str">
        <f t="shared" si="259"/>
        <v>Apprenant 316 ou 316'</v>
      </c>
      <c r="BG328" s="49" t="str">
        <f t="shared" si="232"/>
        <v/>
      </c>
      <c r="BH328" s="49" t="str">
        <f t="shared" si="233"/>
        <v/>
      </c>
      <c r="BI328" s="49" t="str">
        <f t="shared" si="234"/>
        <v/>
      </c>
      <c r="BJ328" s="22" t="str">
        <f t="shared" si="260"/>
        <v/>
      </c>
      <c r="BL328" s="21"/>
      <c r="BM328" s="21" t="str">
        <f>IF(OR(COUNT(B328:D1327)=0,AND('Choix pédagogiques'!$C$3&lt;&gt;1,'Choix pédagogiques'!$C$3&lt;&gt;2)),"",IF(AND(OR('Choix pédagogiques'!$C$3=1,'Choix pédagogiques'!$C$3=2),$B328&lt;&gt;"",$C328&lt;&gt;"",$D328&lt;&gt;""),1,0))</f>
        <v/>
      </c>
      <c r="BN328" s="21" t="str">
        <f>IF(OR(COUNT(G328:I1327)=0,AND('Choix pédagogiques'!$C$3&lt;&gt;1,'Choix pédagogiques'!$C$3&lt;&gt;2)),"",IF(AND(OR('Choix pédagogiques'!$C$3=1,'Choix pédagogiques'!$C$3=2),AND($G328&lt;&gt;"",$H328&lt;&gt;"",$I328&lt;&gt;"")),1,0))</f>
        <v/>
      </c>
      <c r="BO328" s="21" t="str">
        <f>IF(OR(COUNT(B328:D1327)=0,COUNT(G328:I1327)=0,'Choix pédagogiques'!C$3&lt;&gt;3),"",IF(AND('Choix pédagogiques'!$C$3=3,$B328&lt;&gt;"",$C328&lt;&gt;"",$D328&lt;&gt;"",$G328&lt;&gt;"",$H328&lt;&gt;"",$I328&lt;&gt;""),1,0))</f>
        <v/>
      </c>
      <c r="BR328" s="21">
        <v>297</v>
      </c>
      <c r="BS328" s="21">
        <v>1538</v>
      </c>
      <c r="BT328"/>
    </row>
    <row r="329" spans="1:72" s="23" customFormat="1" ht="18" customHeight="1" x14ac:dyDescent="0.3">
      <c r="A329" s="35" t="s">
        <v>319</v>
      </c>
      <c r="B329" s="37"/>
      <c r="C329" s="37"/>
      <c r="D329" s="37"/>
      <c r="E329" s="37"/>
      <c r="F329" s="35" t="s">
        <v>1327</v>
      </c>
      <c r="G329" s="37"/>
      <c r="H329" s="37"/>
      <c r="I329" s="37"/>
      <c r="J329" s="37"/>
      <c r="K329" s="21" t="str">
        <f t="shared" si="235"/>
        <v>Apprenant 317</v>
      </c>
      <c r="L329" s="22" t="str">
        <f t="shared" si="236"/>
        <v/>
      </c>
      <c r="M329" s="22" t="str">
        <f t="shared" si="237"/>
        <v/>
      </c>
      <c r="N329" s="22" t="str">
        <f t="shared" si="238"/>
        <v/>
      </c>
      <c r="O329" s="22" t="str">
        <f t="shared" si="239"/>
        <v/>
      </c>
      <c r="P329" s="21" t="str">
        <f t="shared" si="240"/>
        <v>Apprenant 317 ou 317'</v>
      </c>
      <c r="Q329" s="22" t="str">
        <f t="shared" si="241"/>
        <v/>
      </c>
      <c r="R329" s="22" t="str">
        <f t="shared" si="242"/>
        <v/>
      </c>
      <c r="S329" s="22" t="str">
        <f t="shared" si="243"/>
        <v/>
      </c>
      <c r="T329" s="22" t="str">
        <f t="shared" si="244"/>
        <v/>
      </c>
      <c r="V329" s="21" t="str">
        <f t="shared" si="245"/>
        <v>Apprenant 317</v>
      </c>
      <c r="W329" s="22" t="str">
        <f>IF(AND(OR('Choix pédagogiques'!$C$3=1,'Choix pédagogiques'!$C$3=2),$BM329=1),B329,IF(AND('Choix pédagogiques'!$C$3=3,$BO329=1),B329,""))</f>
        <v/>
      </c>
      <c r="X329" s="22" t="str">
        <f>IF(AND(OR('Choix pédagogiques'!$C$3=1,'Choix pédagogiques'!$C$3=2),$BM329=1),C329,IF(AND('Choix pédagogiques'!$C$3=3,$BO329=1),C329,""))</f>
        <v/>
      </c>
      <c r="Y329" s="22" t="str">
        <f>IF(AND(OR('Choix pédagogiques'!$C$3=1,'Choix pédagogiques'!$C$3=2),$BM329=1),D329,IF(AND('Choix pédagogiques'!$C$3=3,$BO329=1),D329,""))</f>
        <v/>
      </c>
      <c r="Z329" s="22" t="str">
        <f t="shared" si="246"/>
        <v/>
      </c>
      <c r="AA329" s="21" t="str">
        <f t="shared" si="247"/>
        <v>Apprenant 317 ou 317'</v>
      </c>
      <c r="AB329" s="22" t="str">
        <f>IF(AND(OR('Choix pédagogiques'!$C$3=1,'Choix pédagogiques'!$C$3=2),$BN329=1),G329,IF(AND('Choix pédagogiques'!$C$3=3,$BO329=1),G329,""))</f>
        <v/>
      </c>
      <c r="AC329" s="22" t="str">
        <f>IF(AND(OR('Choix pédagogiques'!$C$3=1,'Choix pédagogiques'!$C$3=2),$BN329=1),H329,IF(AND('Choix pédagogiques'!$C$3=3,$BO329=1),H329,""))</f>
        <v/>
      </c>
      <c r="AD329" s="22" t="str">
        <f>IF(AND(OR('Choix pédagogiques'!$C$3=1,'Choix pédagogiques'!$C$3=2),$BN329=1),I329,IF(AND('Choix pédagogiques'!$C$3=3,$BO329=1),I329,""))</f>
        <v/>
      </c>
      <c r="AE329" s="22" t="str">
        <f t="shared" si="248"/>
        <v/>
      </c>
      <c r="AF329" s="21" t="str">
        <f t="shared" si="249"/>
        <v>Apprenant 317</v>
      </c>
      <c r="AG329" s="22" t="str">
        <f t="shared" si="223"/>
        <v/>
      </c>
      <c r="AH329" s="22" t="str">
        <f t="shared" si="224"/>
        <v/>
      </c>
      <c r="AI329" s="22" t="str">
        <f t="shared" si="225"/>
        <v/>
      </c>
      <c r="AJ329" s="22" t="str">
        <f t="shared" si="250"/>
        <v/>
      </c>
      <c r="AK329" s="21" t="str">
        <f t="shared" si="251"/>
        <v>Apprenant 317 ou 317'</v>
      </c>
      <c r="AL329" s="22" t="str">
        <f t="shared" si="226"/>
        <v/>
      </c>
      <c r="AM329" s="22" t="str">
        <f t="shared" si="227"/>
        <v/>
      </c>
      <c r="AN329" s="22" t="str">
        <f t="shared" si="228"/>
        <v/>
      </c>
      <c r="AO329" s="22" t="str">
        <f t="shared" si="252"/>
        <v/>
      </c>
      <c r="AQ329" s="21" t="str">
        <f t="shared" si="253"/>
        <v>Apprenant 317</v>
      </c>
      <c r="AR329" s="49" t="str">
        <f>IF(AND('Choix pédagogiques'!$C$4&lt;&gt;"?",'Choix pédagogiques'!$C$5&lt;&gt;"?",W329&lt;&gt;""),(W329-'Choix pédagogiques'!$C$4)/('Choix pédagogiques'!$C$5-'Choix pédagogiques'!$C$4),"")</f>
        <v/>
      </c>
      <c r="AS329" s="49" t="str">
        <f>IF(AND('Choix pédagogiques'!$C$4&lt;&gt;"?",'Choix pédagogiques'!$C$5&lt;&gt;"?",X329&lt;&gt;""),(X329-'Choix pédagogiques'!$C$4)/('Choix pédagogiques'!$C$5-'Choix pédagogiques'!$C$4),"")</f>
        <v/>
      </c>
      <c r="AT329" s="49" t="str">
        <f>IF(AND('Choix pédagogiques'!$C$4&lt;&gt;"?",'Choix pédagogiques'!$C$5&lt;&gt;"?",Y329&lt;&gt;""),(Y329-'Choix pédagogiques'!$C$4)/('Choix pédagogiques'!$C$5-'Choix pédagogiques'!$C$4),"")</f>
        <v/>
      </c>
      <c r="AU329" s="22" t="str">
        <f t="shared" si="254"/>
        <v/>
      </c>
      <c r="AV329" s="21" t="str">
        <f t="shared" si="255"/>
        <v>Apprenant 317 ou 317'</v>
      </c>
      <c r="AW329" s="49" t="str">
        <f>IF(AND('Choix pédagogiques'!$C$4&lt;&gt;"?",'Choix pédagogiques'!$C$5&lt;&gt;"?",AB329&lt;&gt;""),(AB329-'Choix pédagogiques'!$C$4)/('Choix pédagogiques'!$C$5-'Choix pédagogiques'!$C$4),"")</f>
        <v/>
      </c>
      <c r="AX329" s="49" t="str">
        <f>IF(AND('Choix pédagogiques'!$C$4&lt;&gt;"?",'Choix pédagogiques'!$C$5&lt;&gt;"?",AC329&lt;&gt;""),(AC329-'Choix pédagogiques'!$C$4)/('Choix pédagogiques'!$C$5-'Choix pédagogiques'!$C$4),"")</f>
        <v/>
      </c>
      <c r="AY329" s="49" t="str">
        <f>IF(AND('Choix pédagogiques'!$C$4&lt;&gt;"?",'Choix pédagogiques'!$C$5&lt;&gt;"?",AD329&lt;&gt;""),(AD329-'Choix pédagogiques'!$C$4)/('Choix pédagogiques'!$C$5-'Choix pédagogiques'!$C$4),"")</f>
        <v/>
      </c>
      <c r="AZ329" s="22" t="str">
        <f t="shared" si="256"/>
        <v/>
      </c>
      <c r="BA329" s="21" t="str">
        <f t="shared" si="257"/>
        <v>Apprenant 317</v>
      </c>
      <c r="BB329" s="49" t="str">
        <f t="shared" si="229"/>
        <v/>
      </c>
      <c r="BC329" s="49" t="str">
        <f t="shared" si="230"/>
        <v/>
      </c>
      <c r="BD329" s="49" t="str">
        <f t="shared" si="231"/>
        <v/>
      </c>
      <c r="BE329" s="22" t="str">
        <f t="shared" si="258"/>
        <v/>
      </c>
      <c r="BF329" s="21" t="str">
        <f t="shared" si="259"/>
        <v>Apprenant 317 ou 317'</v>
      </c>
      <c r="BG329" s="49" t="str">
        <f t="shared" si="232"/>
        <v/>
      </c>
      <c r="BH329" s="49" t="str">
        <f t="shared" si="233"/>
        <v/>
      </c>
      <c r="BI329" s="49" t="str">
        <f t="shared" si="234"/>
        <v/>
      </c>
      <c r="BJ329" s="22" t="str">
        <f t="shared" si="260"/>
        <v/>
      </c>
      <c r="BL329" s="21"/>
      <c r="BM329" s="21" t="str">
        <f>IF(OR(COUNT(B329:D1328)=0,AND('Choix pédagogiques'!$C$3&lt;&gt;1,'Choix pédagogiques'!$C$3&lt;&gt;2)),"",IF(AND(OR('Choix pédagogiques'!$C$3=1,'Choix pédagogiques'!$C$3=2),$B329&lt;&gt;"",$C329&lt;&gt;"",$D329&lt;&gt;""),1,0))</f>
        <v/>
      </c>
      <c r="BN329" s="21" t="str">
        <f>IF(OR(COUNT(G329:I1328)=0,AND('Choix pédagogiques'!$C$3&lt;&gt;1,'Choix pédagogiques'!$C$3&lt;&gt;2)),"",IF(AND(OR('Choix pédagogiques'!$C$3=1,'Choix pédagogiques'!$C$3=2),AND($G329&lt;&gt;"",$H329&lt;&gt;"",$I329&lt;&gt;"")),1,0))</f>
        <v/>
      </c>
      <c r="BO329" s="21" t="str">
        <f>IF(OR(COUNT(B329:D1328)=0,COUNT(G329:I1328)=0,'Choix pédagogiques'!C$3&lt;&gt;3),"",IF(AND('Choix pédagogiques'!$C$3=3,$B329&lt;&gt;"",$C329&lt;&gt;"",$D329&lt;&gt;"",$G329&lt;&gt;"",$H329&lt;&gt;"",$I329&lt;&gt;""),1,0))</f>
        <v/>
      </c>
      <c r="BR329" s="21">
        <v>137</v>
      </c>
      <c r="BS329" s="21">
        <v>1996</v>
      </c>
      <c r="BT329"/>
    </row>
    <row r="330" spans="1:72" s="23" customFormat="1" ht="18" customHeight="1" x14ac:dyDescent="0.3">
      <c r="A330" s="35" t="s">
        <v>320</v>
      </c>
      <c r="B330" s="37"/>
      <c r="C330" s="37"/>
      <c r="D330" s="37"/>
      <c r="E330" s="37"/>
      <c r="F330" s="35" t="s">
        <v>1328</v>
      </c>
      <c r="G330" s="37"/>
      <c r="H330" s="37"/>
      <c r="I330" s="37"/>
      <c r="J330" s="37"/>
      <c r="K330" s="21" t="str">
        <f t="shared" si="235"/>
        <v>Apprenant 318</v>
      </c>
      <c r="L330" s="22" t="str">
        <f t="shared" si="236"/>
        <v/>
      </c>
      <c r="M330" s="22" t="str">
        <f t="shared" si="237"/>
        <v/>
      </c>
      <c r="N330" s="22" t="str">
        <f t="shared" si="238"/>
        <v/>
      </c>
      <c r="O330" s="22" t="str">
        <f t="shared" si="239"/>
        <v/>
      </c>
      <c r="P330" s="21" t="str">
        <f t="shared" si="240"/>
        <v>Apprenant 318 ou 318'</v>
      </c>
      <c r="Q330" s="22" t="str">
        <f t="shared" si="241"/>
        <v/>
      </c>
      <c r="R330" s="22" t="str">
        <f t="shared" si="242"/>
        <v/>
      </c>
      <c r="S330" s="22" t="str">
        <f t="shared" si="243"/>
        <v/>
      </c>
      <c r="T330" s="22" t="str">
        <f t="shared" si="244"/>
        <v/>
      </c>
      <c r="V330" s="21" t="str">
        <f t="shared" si="245"/>
        <v>Apprenant 318</v>
      </c>
      <c r="W330" s="22" t="str">
        <f>IF(AND(OR('Choix pédagogiques'!$C$3=1,'Choix pédagogiques'!$C$3=2),$BM330=1),B330,IF(AND('Choix pédagogiques'!$C$3=3,$BO330=1),B330,""))</f>
        <v/>
      </c>
      <c r="X330" s="22" t="str">
        <f>IF(AND(OR('Choix pédagogiques'!$C$3=1,'Choix pédagogiques'!$C$3=2),$BM330=1),C330,IF(AND('Choix pédagogiques'!$C$3=3,$BO330=1),C330,""))</f>
        <v/>
      </c>
      <c r="Y330" s="22" t="str">
        <f>IF(AND(OR('Choix pédagogiques'!$C$3=1,'Choix pédagogiques'!$C$3=2),$BM330=1),D330,IF(AND('Choix pédagogiques'!$C$3=3,$BO330=1),D330,""))</f>
        <v/>
      </c>
      <c r="Z330" s="22" t="str">
        <f t="shared" si="246"/>
        <v/>
      </c>
      <c r="AA330" s="21" t="str">
        <f t="shared" si="247"/>
        <v>Apprenant 318 ou 318'</v>
      </c>
      <c r="AB330" s="22" t="str">
        <f>IF(AND(OR('Choix pédagogiques'!$C$3=1,'Choix pédagogiques'!$C$3=2),$BN330=1),G330,IF(AND('Choix pédagogiques'!$C$3=3,$BO330=1),G330,""))</f>
        <v/>
      </c>
      <c r="AC330" s="22" t="str">
        <f>IF(AND(OR('Choix pédagogiques'!$C$3=1,'Choix pédagogiques'!$C$3=2),$BN330=1),H330,IF(AND('Choix pédagogiques'!$C$3=3,$BO330=1),H330,""))</f>
        <v/>
      </c>
      <c r="AD330" s="22" t="str">
        <f>IF(AND(OR('Choix pédagogiques'!$C$3=1,'Choix pédagogiques'!$C$3=2),$BN330=1),I330,IF(AND('Choix pédagogiques'!$C$3=3,$BO330=1),I330,""))</f>
        <v/>
      </c>
      <c r="AE330" s="22" t="str">
        <f t="shared" si="248"/>
        <v/>
      </c>
      <c r="AF330" s="21" t="str">
        <f t="shared" si="249"/>
        <v>Apprenant 318</v>
      </c>
      <c r="AG330" s="22" t="str">
        <f t="shared" si="223"/>
        <v/>
      </c>
      <c r="AH330" s="22" t="str">
        <f t="shared" si="224"/>
        <v/>
      </c>
      <c r="AI330" s="22" t="str">
        <f t="shared" si="225"/>
        <v/>
      </c>
      <c r="AJ330" s="22" t="str">
        <f t="shared" si="250"/>
        <v/>
      </c>
      <c r="AK330" s="21" t="str">
        <f t="shared" si="251"/>
        <v>Apprenant 318 ou 318'</v>
      </c>
      <c r="AL330" s="22" t="str">
        <f t="shared" si="226"/>
        <v/>
      </c>
      <c r="AM330" s="22" t="str">
        <f t="shared" si="227"/>
        <v/>
      </c>
      <c r="AN330" s="22" t="str">
        <f t="shared" si="228"/>
        <v/>
      </c>
      <c r="AO330" s="22" t="str">
        <f t="shared" si="252"/>
        <v/>
      </c>
      <c r="AQ330" s="21" t="str">
        <f t="shared" si="253"/>
        <v>Apprenant 318</v>
      </c>
      <c r="AR330" s="49" t="str">
        <f>IF(AND('Choix pédagogiques'!$C$4&lt;&gt;"?",'Choix pédagogiques'!$C$5&lt;&gt;"?",W330&lt;&gt;""),(W330-'Choix pédagogiques'!$C$4)/('Choix pédagogiques'!$C$5-'Choix pédagogiques'!$C$4),"")</f>
        <v/>
      </c>
      <c r="AS330" s="49" t="str">
        <f>IF(AND('Choix pédagogiques'!$C$4&lt;&gt;"?",'Choix pédagogiques'!$C$5&lt;&gt;"?",X330&lt;&gt;""),(X330-'Choix pédagogiques'!$C$4)/('Choix pédagogiques'!$C$5-'Choix pédagogiques'!$C$4),"")</f>
        <v/>
      </c>
      <c r="AT330" s="49" t="str">
        <f>IF(AND('Choix pédagogiques'!$C$4&lt;&gt;"?",'Choix pédagogiques'!$C$5&lt;&gt;"?",Y330&lt;&gt;""),(Y330-'Choix pédagogiques'!$C$4)/('Choix pédagogiques'!$C$5-'Choix pédagogiques'!$C$4),"")</f>
        <v/>
      </c>
      <c r="AU330" s="22" t="str">
        <f t="shared" si="254"/>
        <v/>
      </c>
      <c r="AV330" s="21" t="str">
        <f t="shared" si="255"/>
        <v>Apprenant 318 ou 318'</v>
      </c>
      <c r="AW330" s="49" t="str">
        <f>IF(AND('Choix pédagogiques'!$C$4&lt;&gt;"?",'Choix pédagogiques'!$C$5&lt;&gt;"?",AB330&lt;&gt;""),(AB330-'Choix pédagogiques'!$C$4)/('Choix pédagogiques'!$C$5-'Choix pédagogiques'!$C$4),"")</f>
        <v/>
      </c>
      <c r="AX330" s="49" t="str">
        <f>IF(AND('Choix pédagogiques'!$C$4&lt;&gt;"?",'Choix pédagogiques'!$C$5&lt;&gt;"?",AC330&lt;&gt;""),(AC330-'Choix pédagogiques'!$C$4)/('Choix pédagogiques'!$C$5-'Choix pédagogiques'!$C$4),"")</f>
        <v/>
      </c>
      <c r="AY330" s="49" t="str">
        <f>IF(AND('Choix pédagogiques'!$C$4&lt;&gt;"?",'Choix pédagogiques'!$C$5&lt;&gt;"?",AD330&lt;&gt;""),(AD330-'Choix pédagogiques'!$C$4)/('Choix pédagogiques'!$C$5-'Choix pédagogiques'!$C$4),"")</f>
        <v/>
      </c>
      <c r="AZ330" s="22" t="str">
        <f t="shared" si="256"/>
        <v/>
      </c>
      <c r="BA330" s="21" t="str">
        <f t="shared" si="257"/>
        <v>Apprenant 318</v>
      </c>
      <c r="BB330" s="49" t="str">
        <f t="shared" si="229"/>
        <v/>
      </c>
      <c r="BC330" s="49" t="str">
        <f t="shared" si="230"/>
        <v/>
      </c>
      <c r="BD330" s="49" t="str">
        <f t="shared" si="231"/>
        <v/>
      </c>
      <c r="BE330" s="22" t="str">
        <f t="shared" si="258"/>
        <v/>
      </c>
      <c r="BF330" s="21" t="str">
        <f t="shared" si="259"/>
        <v>Apprenant 318 ou 318'</v>
      </c>
      <c r="BG330" s="49" t="str">
        <f t="shared" si="232"/>
        <v/>
      </c>
      <c r="BH330" s="49" t="str">
        <f t="shared" si="233"/>
        <v/>
      </c>
      <c r="BI330" s="49" t="str">
        <f t="shared" si="234"/>
        <v/>
      </c>
      <c r="BJ330" s="22" t="str">
        <f t="shared" si="260"/>
        <v/>
      </c>
      <c r="BL330" s="21"/>
      <c r="BM330" s="21" t="str">
        <f>IF(OR(COUNT(B330:D1329)=0,AND('Choix pédagogiques'!$C$3&lt;&gt;1,'Choix pédagogiques'!$C$3&lt;&gt;2)),"",IF(AND(OR('Choix pédagogiques'!$C$3=1,'Choix pédagogiques'!$C$3=2),$B330&lt;&gt;"",$C330&lt;&gt;"",$D330&lt;&gt;""),1,0))</f>
        <v/>
      </c>
      <c r="BN330" s="21" t="str">
        <f>IF(OR(COUNT(G330:I1329)=0,AND('Choix pédagogiques'!$C$3&lt;&gt;1,'Choix pédagogiques'!$C$3&lt;&gt;2)),"",IF(AND(OR('Choix pédagogiques'!$C$3=1,'Choix pédagogiques'!$C$3=2),AND($G330&lt;&gt;"",$H330&lt;&gt;"",$I330&lt;&gt;"")),1,0))</f>
        <v/>
      </c>
      <c r="BO330" s="21" t="str">
        <f>IF(OR(COUNT(B330:D1329)=0,COUNT(G330:I1329)=0,'Choix pédagogiques'!C$3&lt;&gt;3),"",IF(AND('Choix pédagogiques'!$C$3=3,$B330&lt;&gt;"",$C330&lt;&gt;"",$D330&lt;&gt;"",$G330&lt;&gt;"",$H330&lt;&gt;"",$I330&lt;&gt;""),1,0))</f>
        <v/>
      </c>
      <c r="BR330" s="21">
        <v>927</v>
      </c>
      <c r="BS330" s="21">
        <v>1856</v>
      </c>
      <c r="BT330"/>
    </row>
    <row r="331" spans="1:72" s="23" customFormat="1" ht="18" customHeight="1" x14ac:dyDescent="0.3">
      <c r="A331" s="35" t="s">
        <v>321</v>
      </c>
      <c r="B331" s="37"/>
      <c r="C331" s="37"/>
      <c r="D331" s="37"/>
      <c r="E331" s="37"/>
      <c r="F331" s="35" t="s">
        <v>1329</v>
      </c>
      <c r="G331" s="37"/>
      <c r="H331" s="37"/>
      <c r="I331" s="37"/>
      <c r="J331" s="37"/>
      <c r="K331" s="21" t="str">
        <f t="shared" si="235"/>
        <v>Apprenant 319</v>
      </c>
      <c r="L331" s="22" t="str">
        <f t="shared" si="236"/>
        <v/>
      </c>
      <c r="M331" s="22" t="str">
        <f t="shared" si="237"/>
        <v/>
      </c>
      <c r="N331" s="22" t="str">
        <f t="shared" si="238"/>
        <v/>
      </c>
      <c r="O331" s="22" t="str">
        <f t="shared" si="239"/>
        <v/>
      </c>
      <c r="P331" s="21" t="str">
        <f t="shared" si="240"/>
        <v>Apprenant 319 ou 319'</v>
      </c>
      <c r="Q331" s="22" t="str">
        <f t="shared" si="241"/>
        <v/>
      </c>
      <c r="R331" s="22" t="str">
        <f t="shared" si="242"/>
        <v/>
      </c>
      <c r="S331" s="22" t="str">
        <f t="shared" si="243"/>
        <v/>
      </c>
      <c r="T331" s="22" t="str">
        <f t="shared" si="244"/>
        <v/>
      </c>
      <c r="V331" s="21" t="str">
        <f t="shared" si="245"/>
        <v>Apprenant 319</v>
      </c>
      <c r="W331" s="22" t="str">
        <f>IF(AND(OR('Choix pédagogiques'!$C$3=1,'Choix pédagogiques'!$C$3=2),$BM331=1),B331,IF(AND('Choix pédagogiques'!$C$3=3,$BO331=1),B331,""))</f>
        <v/>
      </c>
      <c r="X331" s="22" t="str">
        <f>IF(AND(OR('Choix pédagogiques'!$C$3=1,'Choix pédagogiques'!$C$3=2),$BM331=1),C331,IF(AND('Choix pédagogiques'!$C$3=3,$BO331=1),C331,""))</f>
        <v/>
      </c>
      <c r="Y331" s="22" t="str">
        <f>IF(AND(OR('Choix pédagogiques'!$C$3=1,'Choix pédagogiques'!$C$3=2),$BM331=1),D331,IF(AND('Choix pédagogiques'!$C$3=3,$BO331=1),D331,""))</f>
        <v/>
      </c>
      <c r="Z331" s="22" t="str">
        <f t="shared" si="246"/>
        <v/>
      </c>
      <c r="AA331" s="21" t="str">
        <f t="shared" si="247"/>
        <v>Apprenant 319 ou 319'</v>
      </c>
      <c r="AB331" s="22" t="str">
        <f>IF(AND(OR('Choix pédagogiques'!$C$3=1,'Choix pédagogiques'!$C$3=2),$BN331=1),G331,IF(AND('Choix pédagogiques'!$C$3=3,$BO331=1),G331,""))</f>
        <v/>
      </c>
      <c r="AC331" s="22" t="str">
        <f>IF(AND(OR('Choix pédagogiques'!$C$3=1,'Choix pédagogiques'!$C$3=2),$BN331=1),H331,IF(AND('Choix pédagogiques'!$C$3=3,$BO331=1),H331,""))</f>
        <v/>
      </c>
      <c r="AD331" s="22" t="str">
        <f>IF(AND(OR('Choix pédagogiques'!$C$3=1,'Choix pédagogiques'!$C$3=2),$BN331=1),I331,IF(AND('Choix pédagogiques'!$C$3=3,$BO331=1),I331,""))</f>
        <v/>
      </c>
      <c r="AE331" s="22" t="str">
        <f t="shared" si="248"/>
        <v/>
      </c>
      <c r="AF331" s="21" t="str">
        <f t="shared" si="249"/>
        <v>Apprenant 319</v>
      </c>
      <c r="AG331" s="22" t="str">
        <f t="shared" si="223"/>
        <v/>
      </c>
      <c r="AH331" s="22" t="str">
        <f t="shared" si="224"/>
        <v/>
      </c>
      <c r="AI331" s="22" t="str">
        <f t="shared" si="225"/>
        <v/>
      </c>
      <c r="AJ331" s="22" t="str">
        <f t="shared" si="250"/>
        <v/>
      </c>
      <c r="AK331" s="21" t="str">
        <f t="shared" si="251"/>
        <v>Apprenant 319 ou 319'</v>
      </c>
      <c r="AL331" s="22" t="str">
        <f t="shared" si="226"/>
        <v/>
      </c>
      <c r="AM331" s="22" t="str">
        <f t="shared" si="227"/>
        <v/>
      </c>
      <c r="AN331" s="22" t="str">
        <f t="shared" si="228"/>
        <v/>
      </c>
      <c r="AO331" s="22" t="str">
        <f t="shared" si="252"/>
        <v/>
      </c>
      <c r="AQ331" s="21" t="str">
        <f t="shared" si="253"/>
        <v>Apprenant 319</v>
      </c>
      <c r="AR331" s="49" t="str">
        <f>IF(AND('Choix pédagogiques'!$C$4&lt;&gt;"?",'Choix pédagogiques'!$C$5&lt;&gt;"?",W331&lt;&gt;""),(W331-'Choix pédagogiques'!$C$4)/('Choix pédagogiques'!$C$5-'Choix pédagogiques'!$C$4),"")</f>
        <v/>
      </c>
      <c r="AS331" s="49" t="str">
        <f>IF(AND('Choix pédagogiques'!$C$4&lt;&gt;"?",'Choix pédagogiques'!$C$5&lt;&gt;"?",X331&lt;&gt;""),(X331-'Choix pédagogiques'!$C$4)/('Choix pédagogiques'!$C$5-'Choix pédagogiques'!$C$4),"")</f>
        <v/>
      </c>
      <c r="AT331" s="49" t="str">
        <f>IF(AND('Choix pédagogiques'!$C$4&lt;&gt;"?",'Choix pédagogiques'!$C$5&lt;&gt;"?",Y331&lt;&gt;""),(Y331-'Choix pédagogiques'!$C$4)/('Choix pédagogiques'!$C$5-'Choix pédagogiques'!$C$4),"")</f>
        <v/>
      </c>
      <c r="AU331" s="22" t="str">
        <f t="shared" si="254"/>
        <v/>
      </c>
      <c r="AV331" s="21" t="str">
        <f t="shared" si="255"/>
        <v>Apprenant 319 ou 319'</v>
      </c>
      <c r="AW331" s="49" t="str">
        <f>IF(AND('Choix pédagogiques'!$C$4&lt;&gt;"?",'Choix pédagogiques'!$C$5&lt;&gt;"?",AB331&lt;&gt;""),(AB331-'Choix pédagogiques'!$C$4)/('Choix pédagogiques'!$C$5-'Choix pédagogiques'!$C$4),"")</f>
        <v/>
      </c>
      <c r="AX331" s="49" t="str">
        <f>IF(AND('Choix pédagogiques'!$C$4&lt;&gt;"?",'Choix pédagogiques'!$C$5&lt;&gt;"?",AC331&lt;&gt;""),(AC331-'Choix pédagogiques'!$C$4)/('Choix pédagogiques'!$C$5-'Choix pédagogiques'!$C$4),"")</f>
        <v/>
      </c>
      <c r="AY331" s="49" t="str">
        <f>IF(AND('Choix pédagogiques'!$C$4&lt;&gt;"?",'Choix pédagogiques'!$C$5&lt;&gt;"?",AD331&lt;&gt;""),(AD331-'Choix pédagogiques'!$C$4)/('Choix pédagogiques'!$C$5-'Choix pédagogiques'!$C$4),"")</f>
        <v/>
      </c>
      <c r="AZ331" s="22" t="str">
        <f t="shared" si="256"/>
        <v/>
      </c>
      <c r="BA331" s="21" t="str">
        <f t="shared" si="257"/>
        <v>Apprenant 319</v>
      </c>
      <c r="BB331" s="49" t="str">
        <f t="shared" si="229"/>
        <v/>
      </c>
      <c r="BC331" s="49" t="str">
        <f t="shared" si="230"/>
        <v/>
      </c>
      <c r="BD331" s="49" t="str">
        <f t="shared" si="231"/>
        <v/>
      </c>
      <c r="BE331" s="22" t="str">
        <f t="shared" si="258"/>
        <v/>
      </c>
      <c r="BF331" s="21" t="str">
        <f t="shared" si="259"/>
        <v>Apprenant 319 ou 319'</v>
      </c>
      <c r="BG331" s="49" t="str">
        <f t="shared" si="232"/>
        <v/>
      </c>
      <c r="BH331" s="49" t="str">
        <f t="shared" si="233"/>
        <v/>
      </c>
      <c r="BI331" s="49" t="str">
        <f t="shared" si="234"/>
        <v/>
      </c>
      <c r="BJ331" s="22" t="str">
        <f t="shared" si="260"/>
        <v/>
      </c>
      <c r="BL331" s="21"/>
      <c r="BM331" s="21" t="str">
        <f>IF(OR(COUNT(B331:D1330)=0,AND('Choix pédagogiques'!$C$3&lt;&gt;1,'Choix pédagogiques'!$C$3&lt;&gt;2)),"",IF(AND(OR('Choix pédagogiques'!$C$3=1,'Choix pédagogiques'!$C$3=2),$B331&lt;&gt;"",$C331&lt;&gt;"",$D331&lt;&gt;""),1,0))</f>
        <v/>
      </c>
      <c r="BN331" s="21" t="str">
        <f>IF(OR(COUNT(G331:I1330)=0,AND('Choix pédagogiques'!$C$3&lt;&gt;1,'Choix pédagogiques'!$C$3&lt;&gt;2)),"",IF(AND(OR('Choix pédagogiques'!$C$3=1,'Choix pédagogiques'!$C$3=2),AND($G331&lt;&gt;"",$H331&lt;&gt;"",$I331&lt;&gt;"")),1,0))</f>
        <v/>
      </c>
      <c r="BO331" s="21" t="str">
        <f>IF(OR(COUNT(B331:D1330)=0,COUNT(G331:I1330)=0,'Choix pédagogiques'!C$3&lt;&gt;3),"",IF(AND('Choix pédagogiques'!$C$3=3,$B331&lt;&gt;"",$C331&lt;&gt;"",$D331&lt;&gt;"",$G331&lt;&gt;"",$H331&lt;&gt;"",$I331&lt;&gt;""),1,0))</f>
        <v/>
      </c>
      <c r="BR331" s="21">
        <v>864</v>
      </c>
      <c r="BS331" s="21">
        <v>1519</v>
      </c>
      <c r="BT331"/>
    </row>
    <row r="332" spans="1:72" s="23" customFormat="1" ht="18" customHeight="1" x14ac:dyDescent="0.3">
      <c r="A332" s="35" t="s">
        <v>322</v>
      </c>
      <c r="B332" s="37"/>
      <c r="C332" s="37"/>
      <c r="D332" s="37"/>
      <c r="E332" s="37"/>
      <c r="F332" s="35" t="s">
        <v>1330</v>
      </c>
      <c r="G332" s="37"/>
      <c r="H332" s="37"/>
      <c r="I332" s="37"/>
      <c r="J332" s="37"/>
      <c r="K332" s="21" t="str">
        <f t="shared" si="235"/>
        <v>Apprenant 320</v>
      </c>
      <c r="L332" s="22" t="str">
        <f t="shared" si="236"/>
        <v/>
      </c>
      <c r="M332" s="22" t="str">
        <f t="shared" si="237"/>
        <v/>
      </c>
      <c r="N332" s="22" t="str">
        <f t="shared" si="238"/>
        <v/>
      </c>
      <c r="O332" s="22" t="str">
        <f t="shared" si="239"/>
        <v/>
      </c>
      <c r="P332" s="21" t="str">
        <f t="shared" si="240"/>
        <v>Apprenant 320 ou 320'</v>
      </c>
      <c r="Q332" s="22" t="str">
        <f t="shared" si="241"/>
        <v/>
      </c>
      <c r="R332" s="22" t="str">
        <f t="shared" si="242"/>
        <v/>
      </c>
      <c r="S332" s="22" t="str">
        <f t="shared" si="243"/>
        <v/>
      </c>
      <c r="T332" s="22" t="str">
        <f t="shared" si="244"/>
        <v/>
      </c>
      <c r="V332" s="21" t="str">
        <f t="shared" si="245"/>
        <v>Apprenant 320</v>
      </c>
      <c r="W332" s="22" t="str">
        <f>IF(AND(OR('Choix pédagogiques'!$C$3=1,'Choix pédagogiques'!$C$3=2),$BM332=1),B332,IF(AND('Choix pédagogiques'!$C$3=3,$BO332=1),B332,""))</f>
        <v/>
      </c>
      <c r="X332" s="22" t="str">
        <f>IF(AND(OR('Choix pédagogiques'!$C$3=1,'Choix pédagogiques'!$C$3=2),$BM332=1),C332,IF(AND('Choix pédagogiques'!$C$3=3,$BO332=1),C332,""))</f>
        <v/>
      </c>
      <c r="Y332" s="22" t="str">
        <f>IF(AND(OR('Choix pédagogiques'!$C$3=1,'Choix pédagogiques'!$C$3=2),$BM332=1),D332,IF(AND('Choix pédagogiques'!$C$3=3,$BO332=1),D332,""))</f>
        <v/>
      </c>
      <c r="Z332" s="22" t="str">
        <f t="shared" si="246"/>
        <v/>
      </c>
      <c r="AA332" s="21" t="str">
        <f t="shared" si="247"/>
        <v>Apprenant 320 ou 320'</v>
      </c>
      <c r="AB332" s="22" t="str">
        <f>IF(AND(OR('Choix pédagogiques'!$C$3=1,'Choix pédagogiques'!$C$3=2),$BN332=1),G332,IF(AND('Choix pédagogiques'!$C$3=3,$BO332=1),G332,""))</f>
        <v/>
      </c>
      <c r="AC332" s="22" t="str">
        <f>IF(AND(OR('Choix pédagogiques'!$C$3=1,'Choix pédagogiques'!$C$3=2),$BN332=1),H332,IF(AND('Choix pédagogiques'!$C$3=3,$BO332=1),H332,""))</f>
        <v/>
      </c>
      <c r="AD332" s="22" t="str">
        <f>IF(AND(OR('Choix pédagogiques'!$C$3=1,'Choix pédagogiques'!$C$3=2),$BN332=1),I332,IF(AND('Choix pédagogiques'!$C$3=3,$BO332=1),I332,""))</f>
        <v/>
      </c>
      <c r="AE332" s="22" t="str">
        <f t="shared" si="248"/>
        <v/>
      </c>
      <c r="AF332" s="21" t="str">
        <f t="shared" si="249"/>
        <v>Apprenant 320</v>
      </c>
      <c r="AG332" s="22" t="str">
        <f t="shared" si="223"/>
        <v/>
      </c>
      <c r="AH332" s="22" t="str">
        <f t="shared" si="224"/>
        <v/>
      </c>
      <c r="AI332" s="22" t="str">
        <f t="shared" si="225"/>
        <v/>
      </c>
      <c r="AJ332" s="22" t="str">
        <f t="shared" si="250"/>
        <v/>
      </c>
      <c r="AK332" s="21" t="str">
        <f t="shared" si="251"/>
        <v>Apprenant 320 ou 320'</v>
      </c>
      <c r="AL332" s="22" t="str">
        <f t="shared" si="226"/>
        <v/>
      </c>
      <c r="AM332" s="22" t="str">
        <f t="shared" si="227"/>
        <v/>
      </c>
      <c r="AN332" s="22" t="str">
        <f t="shared" si="228"/>
        <v/>
      </c>
      <c r="AO332" s="22" t="str">
        <f t="shared" si="252"/>
        <v/>
      </c>
      <c r="AQ332" s="21" t="str">
        <f t="shared" si="253"/>
        <v>Apprenant 320</v>
      </c>
      <c r="AR332" s="49" t="str">
        <f>IF(AND('Choix pédagogiques'!$C$4&lt;&gt;"?",'Choix pédagogiques'!$C$5&lt;&gt;"?",W332&lt;&gt;""),(W332-'Choix pédagogiques'!$C$4)/('Choix pédagogiques'!$C$5-'Choix pédagogiques'!$C$4),"")</f>
        <v/>
      </c>
      <c r="AS332" s="49" t="str">
        <f>IF(AND('Choix pédagogiques'!$C$4&lt;&gt;"?",'Choix pédagogiques'!$C$5&lt;&gt;"?",X332&lt;&gt;""),(X332-'Choix pédagogiques'!$C$4)/('Choix pédagogiques'!$C$5-'Choix pédagogiques'!$C$4),"")</f>
        <v/>
      </c>
      <c r="AT332" s="49" t="str">
        <f>IF(AND('Choix pédagogiques'!$C$4&lt;&gt;"?",'Choix pédagogiques'!$C$5&lt;&gt;"?",Y332&lt;&gt;""),(Y332-'Choix pédagogiques'!$C$4)/('Choix pédagogiques'!$C$5-'Choix pédagogiques'!$C$4),"")</f>
        <v/>
      </c>
      <c r="AU332" s="22" t="str">
        <f t="shared" si="254"/>
        <v/>
      </c>
      <c r="AV332" s="21" t="str">
        <f t="shared" si="255"/>
        <v>Apprenant 320 ou 320'</v>
      </c>
      <c r="AW332" s="49" t="str">
        <f>IF(AND('Choix pédagogiques'!$C$4&lt;&gt;"?",'Choix pédagogiques'!$C$5&lt;&gt;"?",AB332&lt;&gt;""),(AB332-'Choix pédagogiques'!$C$4)/('Choix pédagogiques'!$C$5-'Choix pédagogiques'!$C$4),"")</f>
        <v/>
      </c>
      <c r="AX332" s="49" t="str">
        <f>IF(AND('Choix pédagogiques'!$C$4&lt;&gt;"?",'Choix pédagogiques'!$C$5&lt;&gt;"?",AC332&lt;&gt;""),(AC332-'Choix pédagogiques'!$C$4)/('Choix pédagogiques'!$C$5-'Choix pédagogiques'!$C$4),"")</f>
        <v/>
      </c>
      <c r="AY332" s="49" t="str">
        <f>IF(AND('Choix pédagogiques'!$C$4&lt;&gt;"?",'Choix pédagogiques'!$C$5&lt;&gt;"?",AD332&lt;&gt;""),(AD332-'Choix pédagogiques'!$C$4)/('Choix pédagogiques'!$C$5-'Choix pédagogiques'!$C$4),"")</f>
        <v/>
      </c>
      <c r="AZ332" s="22" t="str">
        <f t="shared" si="256"/>
        <v/>
      </c>
      <c r="BA332" s="21" t="str">
        <f t="shared" si="257"/>
        <v>Apprenant 320</v>
      </c>
      <c r="BB332" s="49" t="str">
        <f t="shared" si="229"/>
        <v/>
      </c>
      <c r="BC332" s="49" t="str">
        <f t="shared" si="230"/>
        <v/>
      </c>
      <c r="BD332" s="49" t="str">
        <f t="shared" si="231"/>
        <v/>
      </c>
      <c r="BE332" s="22" t="str">
        <f t="shared" si="258"/>
        <v/>
      </c>
      <c r="BF332" s="21" t="str">
        <f t="shared" si="259"/>
        <v>Apprenant 320 ou 320'</v>
      </c>
      <c r="BG332" s="49" t="str">
        <f t="shared" si="232"/>
        <v/>
      </c>
      <c r="BH332" s="49" t="str">
        <f t="shared" si="233"/>
        <v/>
      </c>
      <c r="BI332" s="49" t="str">
        <f t="shared" si="234"/>
        <v/>
      </c>
      <c r="BJ332" s="22" t="str">
        <f t="shared" si="260"/>
        <v/>
      </c>
      <c r="BL332" s="21"/>
      <c r="BM332" s="21" t="str">
        <f>IF(OR(COUNT(B332:D1331)=0,AND('Choix pédagogiques'!$C$3&lt;&gt;1,'Choix pédagogiques'!$C$3&lt;&gt;2)),"",IF(AND(OR('Choix pédagogiques'!$C$3=1,'Choix pédagogiques'!$C$3=2),$B332&lt;&gt;"",$C332&lt;&gt;"",$D332&lt;&gt;""),1,0))</f>
        <v/>
      </c>
      <c r="BN332" s="21" t="str">
        <f>IF(OR(COUNT(G332:I1331)=0,AND('Choix pédagogiques'!$C$3&lt;&gt;1,'Choix pédagogiques'!$C$3&lt;&gt;2)),"",IF(AND(OR('Choix pédagogiques'!$C$3=1,'Choix pédagogiques'!$C$3=2),AND($G332&lt;&gt;"",$H332&lt;&gt;"",$I332&lt;&gt;"")),1,0))</f>
        <v/>
      </c>
      <c r="BO332" s="21" t="str">
        <f>IF(OR(COUNT(B332:D1331)=0,COUNT(G332:I1331)=0,'Choix pédagogiques'!C$3&lt;&gt;3),"",IF(AND('Choix pédagogiques'!$C$3=3,$B332&lt;&gt;"",$C332&lt;&gt;"",$D332&lt;&gt;"",$G332&lt;&gt;"",$H332&lt;&gt;"",$I332&lt;&gt;""),1,0))</f>
        <v/>
      </c>
      <c r="BR332" s="21">
        <v>884</v>
      </c>
      <c r="BS332" s="21">
        <v>1513</v>
      </c>
      <c r="BT332"/>
    </row>
    <row r="333" spans="1:72" s="23" customFormat="1" ht="18" customHeight="1" x14ac:dyDescent="0.3">
      <c r="A333" s="35" t="s">
        <v>323</v>
      </c>
      <c r="B333" s="37"/>
      <c r="C333" s="37"/>
      <c r="D333" s="37"/>
      <c r="E333" s="37"/>
      <c r="F333" s="35" t="s">
        <v>1331</v>
      </c>
      <c r="G333" s="37"/>
      <c r="H333" s="37"/>
      <c r="I333" s="37"/>
      <c r="J333" s="37"/>
      <c r="K333" s="21" t="str">
        <f t="shared" si="235"/>
        <v>Apprenant 321</v>
      </c>
      <c r="L333" s="22" t="str">
        <f t="shared" si="236"/>
        <v/>
      </c>
      <c r="M333" s="22" t="str">
        <f t="shared" si="237"/>
        <v/>
      </c>
      <c r="N333" s="22" t="str">
        <f t="shared" si="238"/>
        <v/>
      </c>
      <c r="O333" s="22" t="str">
        <f t="shared" si="239"/>
        <v/>
      </c>
      <c r="P333" s="21" t="str">
        <f t="shared" si="240"/>
        <v>Apprenant 321 ou 321'</v>
      </c>
      <c r="Q333" s="22" t="str">
        <f t="shared" si="241"/>
        <v/>
      </c>
      <c r="R333" s="22" t="str">
        <f t="shared" si="242"/>
        <v/>
      </c>
      <c r="S333" s="22" t="str">
        <f t="shared" si="243"/>
        <v/>
      </c>
      <c r="T333" s="22" t="str">
        <f t="shared" si="244"/>
        <v/>
      </c>
      <c r="V333" s="21" t="str">
        <f t="shared" si="245"/>
        <v>Apprenant 321</v>
      </c>
      <c r="W333" s="22" t="str">
        <f>IF(AND(OR('Choix pédagogiques'!$C$3=1,'Choix pédagogiques'!$C$3=2),$BM333=1),B333,IF(AND('Choix pédagogiques'!$C$3=3,$BO333=1),B333,""))</f>
        <v/>
      </c>
      <c r="X333" s="22" t="str">
        <f>IF(AND(OR('Choix pédagogiques'!$C$3=1,'Choix pédagogiques'!$C$3=2),$BM333=1),C333,IF(AND('Choix pédagogiques'!$C$3=3,$BO333=1),C333,""))</f>
        <v/>
      </c>
      <c r="Y333" s="22" t="str">
        <f>IF(AND(OR('Choix pédagogiques'!$C$3=1,'Choix pédagogiques'!$C$3=2),$BM333=1),D333,IF(AND('Choix pédagogiques'!$C$3=3,$BO333=1),D333,""))</f>
        <v/>
      </c>
      <c r="Z333" s="22" t="str">
        <f t="shared" si="246"/>
        <v/>
      </c>
      <c r="AA333" s="21" t="str">
        <f t="shared" si="247"/>
        <v>Apprenant 321 ou 321'</v>
      </c>
      <c r="AB333" s="22" t="str">
        <f>IF(AND(OR('Choix pédagogiques'!$C$3=1,'Choix pédagogiques'!$C$3=2),$BN333=1),G333,IF(AND('Choix pédagogiques'!$C$3=3,$BO333=1),G333,""))</f>
        <v/>
      </c>
      <c r="AC333" s="22" t="str">
        <f>IF(AND(OR('Choix pédagogiques'!$C$3=1,'Choix pédagogiques'!$C$3=2),$BN333=1),H333,IF(AND('Choix pédagogiques'!$C$3=3,$BO333=1),H333,""))</f>
        <v/>
      </c>
      <c r="AD333" s="22" t="str">
        <f>IF(AND(OR('Choix pédagogiques'!$C$3=1,'Choix pédagogiques'!$C$3=2),$BN333=1),I333,IF(AND('Choix pédagogiques'!$C$3=3,$BO333=1),I333,""))</f>
        <v/>
      </c>
      <c r="AE333" s="22" t="str">
        <f t="shared" si="248"/>
        <v/>
      </c>
      <c r="AF333" s="21" t="str">
        <f t="shared" si="249"/>
        <v>Apprenant 321</v>
      </c>
      <c r="AG333" s="22" t="str">
        <f t="shared" ref="AG333:AG396" si="261">IF(AND($W333&lt;&gt;"",$X333&lt;&gt;""),$X333-$W333,"")</f>
        <v/>
      </c>
      <c r="AH333" s="22" t="str">
        <f t="shared" ref="AH333:AH396" si="262">IF(AND($W333&lt;&gt;"",$Y333&lt;&gt;""),$Y333-$W333,"")</f>
        <v/>
      </c>
      <c r="AI333" s="22" t="str">
        <f t="shared" ref="AI333:AI396" si="263">IF(AND($X333&lt;&gt;"",$Y333&lt;&gt;""),$Y333-$X333,"")</f>
        <v/>
      </c>
      <c r="AJ333" s="22" t="str">
        <f t="shared" si="250"/>
        <v/>
      </c>
      <c r="AK333" s="21" t="str">
        <f t="shared" si="251"/>
        <v>Apprenant 321 ou 321'</v>
      </c>
      <c r="AL333" s="22" t="str">
        <f t="shared" ref="AL333:AL396" si="264">IF(AND($AB333&lt;&gt;"",$AC333&lt;&gt;""),$AC333-$AB333,"")</f>
        <v/>
      </c>
      <c r="AM333" s="22" t="str">
        <f t="shared" ref="AM333:AM396" si="265">IF(AND($AB333&lt;&gt;"",$AD333&lt;&gt;""),$AD333-$AB333,"")</f>
        <v/>
      </c>
      <c r="AN333" s="22" t="str">
        <f t="shared" ref="AN333:AN396" si="266">IF(AND($AC333&lt;&gt;"",$AD333&lt;&gt;""),$AD333-$AC333,"")</f>
        <v/>
      </c>
      <c r="AO333" s="22" t="str">
        <f t="shared" si="252"/>
        <v/>
      </c>
      <c r="AQ333" s="21" t="str">
        <f t="shared" si="253"/>
        <v>Apprenant 321</v>
      </c>
      <c r="AR333" s="49" t="str">
        <f>IF(AND('Choix pédagogiques'!$C$4&lt;&gt;"?",'Choix pédagogiques'!$C$5&lt;&gt;"?",W333&lt;&gt;""),(W333-'Choix pédagogiques'!$C$4)/('Choix pédagogiques'!$C$5-'Choix pédagogiques'!$C$4),"")</f>
        <v/>
      </c>
      <c r="AS333" s="49" t="str">
        <f>IF(AND('Choix pédagogiques'!$C$4&lt;&gt;"?",'Choix pédagogiques'!$C$5&lt;&gt;"?",X333&lt;&gt;""),(X333-'Choix pédagogiques'!$C$4)/('Choix pédagogiques'!$C$5-'Choix pédagogiques'!$C$4),"")</f>
        <v/>
      </c>
      <c r="AT333" s="49" t="str">
        <f>IF(AND('Choix pédagogiques'!$C$4&lt;&gt;"?",'Choix pédagogiques'!$C$5&lt;&gt;"?",Y333&lt;&gt;""),(Y333-'Choix pédagogiques'!$C$4)/('Choix pédagogiques'!$C$5-'Choix pédagogiques'!$C$4),"")</f>
        <v/>
      </c>
      <c r="AU333" s="22" t="str">
        <f t="shared" si="254"/>
        <v/>
      </c>
      <c r="AV333" s="21" t="str">
        <f t="shared" si="255"/>
        <v>Apprenant 321 ou 321'</v>
      </c>
      <c r="AW333" s="49" t="str">
        <f>IF(AND('Choix pédagogiques'!$C$4&lt;&gt;"?",'Choix pédagogiques'!$C$5&lt;&gt;"?",AB333&lt;&gt;""),(AB333-'Choix pédagogiques'!$C$4)/('Choix pédagogiques'!$C$5-'Choix pédagogiques'!$C$4),"")</f>
        <v/>
      </c>
      <c r="AX333" s="49" t="str">
        <f>IF(AND('Choix pédagogiques'!$C$4&lt;&gt;"?",'Choix pédagogiques'!$C$5&lt;&gt;"?",AC333&lt;&gt;""),(AC333-'Choix pédagogiques'!$C$4)/('Choix pédagogiques'!$C$5-'Choix pédagogiques'!$C$4),"")</f>
        <v/>
      </c>
      <c r="AY333" s="49" t="str">
        <f>IF(AND('Choix pédagogiques'!$C$4&lt;&gt;"?",'Choix pédagogiques'!$C$5&lt;&gt;"?",AD333&lt;&gt;""),(AD333-'Choix pédagogiques'!$C$4)/('Choix pédagogiques'!$C$5-'Choix pédagogiques'!$C$4),"")</f>
        <v/>
      </c>
      <c r="AZ333" s="22" t="str">
        <f t="shared" si="256"/>
        <v/>
      </c>
      <c r="BA333" s="21" t="str">
        <f t="shared" si="257"/>
        <v>Apprenant 321</v>
      </c>
      <c r="BB333" s="49" t="str">
        <f t="shared" ref="BB333:BB396" si="267">IF(AND($AR333&lt;&gt;"",$AS333&lt;&gt;""),$AS333-$AR333,"")</f>
        <v/>
      </c>
      <c r="BC333" s="49" t="str">
        <f t="shared" ref="BC333:BC396" si="268">IF(AND($AR333&lt;&gt;"",$AT333&lt;&gt;""),$AT333-$AR333,"")</f>
        <v/>
      </c>
      <c r="BD333" s="49" t="str">
        <f t="shared" ref="BD333:BD396" si="269">IF(AND($AS333&lt;&gt;"",$AT333&lt;&gt;""),$AT333-$AS333,"")</f>
        <v/>
      </c>
      <c r="BE333" s="22" t="str">
        <f t="shared" si="258"/>
        <v/>
      </c>
      <c r="BF333" s="21" t="str">
        <f t="shared" si="259"/>
        <v>Apprenant 321 ou 321'</v>
      </c>
      <c r="BG333" s="49" t="str">
        <f t="shared" ref="BG333:BG396" si="270">IF(AND($AW333&lt;&gt;"",$AX333&lt;&gt;""),$AX333-$AW333,"")</f>
        <v/>
      </c>
      <c r="BH333" s="49" t="str">
        <f t="shared" ref="BH333:BH396" si="271">IF(AND($AW333&lt;&gt;"",$AY333&lt;&gt;""),$AY333-$AW333,"")</f>
        <v/>
      </c>
      <c r="BI333" s="49" t="str">
        <f t="shared" ref="BI333:BI396" si="272">IF(AND($AX333&lt;&gt;"",$AY333&lt;&gt;""),$AY333-$AX333,"")</f>
        <v/>
      </c>
      <c r="BJ333" s="22" t="str">
        <f t="shared" si="260"/>
        <v/>
      </c>
      <c r="BL333" s="21"/>
      <c r="BM333" s="21" t="str">
        <f>IF(OR(COUNT(B333:D1332)=0,AND('Choix pédagogiques'!$C$3&lt;&gt;1,'Choix pédagogiques'!$C$3&lt;&gt;2)),"",IF(AND(OR('Choix pédagogiques'!$C$3=1,'Choix pédagogiques'!$C$3=2),$B333&lt;&gt;"",$C333&lt;&gt;"",$D333&lt;&gt;""),1,0))</f>
        <v/>
      </c>
      <c r="BN333" s="21" t="str">
        <f>IF(OR(COUNT(G333:I1332)=0,AND('Choix pédagogiques'!$C$3&lt;&gt;1,'Choix pédagogiques'!$C$3&lt;&gt;2)),"",IF(AND(OR('Choix pédagogiques'!$C$3=1,'Choix pédagogiques'!$C$3=2),AND($G333&lt;&gt;"",$H333&lt;&gt;"",$I333&lt;&gt;"")),1,0))</f>
        <v/>
      </c>
      <c r="BO333" s="21" t="str">
        <f>IF(OR(COUNT(B333:D1332)=0,COUNT(G333:I1332)=0,'Choix pédagogiques'!C$3&lt;&gt;3),"",IF(AND('Choix pédagogiques'!$C$3=3,$B333&lt;&gt;"",$C333&lt;&gt;"",$D333&lt;&gt;"",$G333&lt;&gt;"",$H333&lt;&gt;"",$I333&lt;&gt;""),1,0))</f>
        <v/>
      </c>
      <c r="BR333" s="21">
        <v>60</v>
      </c>
      <c r="BS333" s="21">
        <v>1838</v>
      </c>
      <c r="BT333"/>
    </row>
    <row r="334" spans="1:72" s="23" customFormat="1" ht="18" customHeight="1" x14ac:dyDescent="0.3">
      <c r="A334" s="35" t="s">
        <v>324</v>
      </c>
      <c r="B334" s="37"/>
      <c r="C334" s="37"/>
      <c r="D334" s="37"/>
      <c r="E334" s="37"/>
      <c r="F334" s="35" t="s">
        <v>1332</v>
      </c>
      <c r="G334" s="37"/>
      <c r="H334" s="37"/>
      <c r="I334" s="37"/>
      <c r="J334" s="37"/>
      <c r="K334" s="21" t="str">
        <f t="shared" ref="K334:K397" si="273">IF($A334&lt;&gt;"",$A334,"")</f>
        <v>Apprenant 322</v>
      </c>
      <c r="L334" s="22" t="str">
        <f t="shared" ref="L334:L397" si="274">IF(AND($B334&lt;&gt;"",$C334&lt;&gt;""),$C334-$B334,"")</f>
        <v/>
      </c>
      <c r="M334" s="22" t="str">
        <f t="shared" ref="M334:M397" si="275">IF(AND($B334&lt;&gt;"",$D334&lt;&gt;""),$D334-$B334,"")</f>
        <v/>
      </c>
      <c r="N334" s="22" t="str">
        <f t="shared" ref="N334:N397" si="276">IF(AND($C334&lt;&gt;"",$D334&lt;&gt;""),$D334-$C334,"")</f>
        <v/>
      </c>
      <c r="O334" s="22" t="str">
        <f t="shared" ref="O334:O397" si="277">IF($E334&lt;&gt;"",$E334,"")</f>
        <v/>
      </c>
      <c r="P334" s="21" t="str">
        <f t="shared" ref="P334:P397" si="278">IF($F334&lt;&gt;"",$F334,"")</f>
        <v>Apprenant 322 ou 322'</v>
      </c>
      <c r="Q334" s="22" t="str">
        <f t="shared" ref="Q334:Q397" si="279">IF(AND($G334&lt;&gt;"",$H334&lt;&gt;""),$H334-$G334,"")</f>
        <v/>
      </c>
      <c r="R334" s="22" t="str">
        <f t="shared" ref="R334:R397" si="280">IF(AND($G334&lt;&gt;"",$I334&lt;&gt;""),$I334-$G334,"")</f>
        <v/>
      </c>
      <c r="S334" s="22" t="str">
        <f t="shared" ref="S334:S397" si="281">IF(AND($H334&lt;&gt;"",$I334&lt;&gt;""),$I334-$H334,"")</f>
        <v/>
      </c>
      <c r="T334" s="22" t="str">
        <f t="shared" ref="T334:T397" si="282">IF($J334&lt;&gt;"",$J334,"")</f>
        <v/>
      </c>
      <c r="V334" s="21" t="str">
        <f t="shared" ref="V334:V397" si="283">IF($A334&lt;&gt;"",$A334,"")</f>
        <v>Apprenant 322</v>
      </c>
      <c r="W334" s="22" t="str">
        <f>IF(AND(OR('Choix pédagogiques'!$C$3=1,'Choix pédagogiques'!$C$3=2),$BM334=1),B334,IF(AND('Choix pédagogiques'!$C$3=3,$BO334=1),B334,""))</f>
        <v/>
      </c>
      <c r="X334" s="22" t="str">
        <f>IF(AND(OR('Choix pédagogiques'!$C$3=1,'Choix pédagogiques'!$C$3=2),$BM334=1),C334,IF(AND('Choix pédagogiques'!$C$3=3,$BO334=1),C334,""))</f>
        <v/>
      </c>
      <c r="Y334" s="22" t="str">
        <f>IF(AND(OR('Choix pédagogiques'!$C$3=1,'Choix pédagogiques'!$C$3=2),$BM334=1),D334,IF(AND('Choix pédagogiques'!$C$3=3,$BO334=1),D334,""))</f>
        <v/>
      </c>
      <c r="Z334" s="22" t="str">
        <f t="shared" ref="Z334:Z397" si="284">IF($E334&lt;&gt;"",$E334,"")</f>
        <v/>
      </c>
      <c r="AA334" s="21" t="str">
        <f t="shared" ref="AA334:AA397" si="285">IF($F334&lt;&gt;"",$F334,"")</f>
        <v>Apprenant 322 ou 322'</v>
      </c>
      <c r="AB334" s="22" t="str">
        <f>IF(AND(OR('Choix pédagogiques'!$C$3=1,'Choix pédagogiques'!$C$3=2),$BN334=1),G334,IF(AND('Choix pédagogiques'!$C$3=3,$BO334=1),G334,""))</f>
        <v/>
      </c>
      <c r="AC334" s="22" t="str">
        <f>IF(AND(OR('Choix pédagogiques'!$C$3=1,'Choix pédagogiques'!$C$3=2),$BN334=1),H334,IF(AND('Choix pédagogiques'!$C$3=3,$BO334=1),H334,""))</f>
        <v/>
      </c>
      <c r="AD334" s="22" t="str">
        <f>IF(AND(OR('Choix pédagogiques'!$C$3=1,'Choix pédagogiques'!$C$3=2),$BN334=1),I334,IF(AND('Choix pédagogiques'!$C$3=3,$BO334=1),I334,""))</f>
        <v/>
      </c>
      <c r="AE334" s="22" t="str">
        <f t="shared" ref="AE334:AE397" si="286">IF($J334&lt;&gt;"",$J334,"")</f>
        <v/>
      </c>
      <c r="AF334" s="21" t="str">
        <f t="shared" ref="AF334:AF397" si="287">IF($A334&lt;&gt;"",$A334,"")</f>
        <v>Apprenant 322</v>
      </c>
      <c r="AG334" s="22" t="str">
        <f t="shared" si="261"/>
        <v/>
      </c>
      <c r="AH334" s="22" t="str">
        <f t="shared" si="262"/>
        <v/>
      </c>
      <c r="AI334" s="22" t="str">
        <f t="shared" si="263"/>
        <v/>
      </c>
      <c r="AJ334" s="22" t="str">
        <f t="shared" ref="AJ334:AJ397" si="288">IF($E334&lt;&gt;"",$E334,"")</f>
        <v/>
      </c>
      <c r="AK334" s="21" t="str">
        <f t="shared" ref="AK334:AK397" si="289">IF($F334&lt;&gt;"",$F334,"")</f>
        <v>Apprenant 322 ou 322'</v>
      </c>
      <c r="AL334" s="22" t="str">
        <f t="shared" si="264"/>
        <v/>
      </c>
      <c r="AM334" s="22" t="str">
        <f t="shared" si="265"/>
        <v/>
      </c>
      <c r="AN334" s="22" t="str">
        <f t="shared" si="266"/>
        <v/>
      </c>
      <c r="AO334" s="22" t="str">
        <f t="shared" ref="AO334:AO397" si="290">IF($J334&lt;&gt;"",$J334,"")</f>
        <v/>
      </c>
      <c r="AQ334" s="21" t="str">
        <f t="shared" ref="AQ334:AQ397" si="291">IF($A334&lt;&gt;"",$A334,"")</f>
        <v>Apprenant 322</v>
      </c>
      <c r="AR334" s="49" t="str">
        <f>IF(AND('Choix pédagogiques'!$C$4&lt;&gt;"?",'Choix pédagogiques'!$C$5&lt;&gt;"?",W334&lt;&gt;""),(W334-'Choix pédagogiques'!$C$4)/('Choix pédagogiques'!$C$5-'Choix pédagogiques'!$C$4),"")</f>
        <v/>
      </c>
      <c r="AS334" s="49" t="str">
        <f>IF(AND('Choix pédagogiques'!$C$4&lt;&gt;"?",'Choix pédagogiques'!$C$5&lt;&gt;"?",X334&lt;&gt;""),(X334-'Choix pédagogiques'!$C$4)/('Choix pédagogiques'!$C$5-'Choix pédagogiques'!$C$4),"")</f>
        <v/>
      </c>
      <c r="AT334" s="49" t="str">
        <f>IF(AND('Choix pédagogiques'!$C$4&lt;&gt;"?",'Choix pédagogiques'!$C$5&lt;&gt;"?",Y334&lt;&gt;""),(Y334-'Choix pédagogiques'!$C$4)/('Choix pédagogiques'!$C$5-'Choix pédagogiques'!$C$4),"")</f>
        <v/>
      </c>
      <c r="AU334" s="22" t="str">
        <f t="shared" ref="AU334:AU397" si="292">IF($E334&lt;&gt;"",$E334,"")</f>
        <v/>
      </c>
      <c r="AV334" s="21" t="str">
        <f t="shared" ref="AV334:AV397" si="293">IF($F334&lt;&gt;"",$F334,"")</f>
        <v>Apprenant 322 ou 322'</v>
      </c>
      <c r="AW334" s="49" t="str">
        <f>IF(AND('Choix pédagogiques'!$C$4&lt;&gt;"?",'Choix pédagogiques'!$C$5&lt;&gt;"?",AB334&lt;&gt;""),(AB334-'Choix pédagogiques'!$C$4)/('Choix pédagogiques'!$C$5-'Choix pédagogiques'!$C$4),"")</f>
        <v/>
      </c>
      <c r="AX334" s="49" t="str">
        <f>IF(AND('Choix pédagogiques'!$C$4&lt;&gt;"?",'Choix pédagogiques'!$C$5&lt;&gt;"?",AC334&lt;&gt;""),(AC334-'Choix pédagogiques'!$C$4)/('Choix pédagogiques'!$C$5-'Choix pédagogiques'!$C$4),"")</f>
        <v/>
      </c>
      <c r="AY334" s="49" t="str">
        <f>IF(AND('Choix pédagogiques'!$C$4&lt;&gt;"?",'Choix pédagogiques'!$C$5&lt;&gt;"?",AD334&lt;&gt;""),(AD334-'Choix pédagogiques'!$C$4)/('Choix pédagogiques'!$C$5-'Choix pédagogiques'!$C$4),"")</f>
        <v/>
      </c>
      <c r="AZ334" s="22" t="str">
        <f t="shared" ref="AZ334:AZ397" si="294">IF($J334&lt;&gt;"",$J334,"")</f>
        <v/>
      </c>
      <c r="BA334" s="21" t="str">
        <f t="shared" ref="BA334:BA397" si="295">IF($A334&lt;&gt;"",$A334,"")</f>
        <v>Apprenant 322</v>
      </c>
      <c r="BB334" s="49" t="str">
        <f t="shared" si="267"/>
        <v/>
      </c>
      <c r="BC334" s="49" t="str">
        <f t="shared" si="268"/>
        <v/>
      </c>
      <c r="BD334" s="49" t="str">
        <f t="shared" si="269"/>
        <v/>
      </c>
      <c r="BE334" s="22" t="str">
        <f t="shared" ref="BE334:BE397" si="296">IF($E334&lt;&gt;"",$E334,"")</f>
        <v/>
      </c>
      <c r="BF334" s="21" t="str">
        <f t="shared" ref="BF334:BF397" si="297">IF($F334&lt;&gt;"",$F334,"")</f>
        <v>Apprenant 322 ou 322'</v>
      </c>
      <c r="BG334" s="49" t="str">
        <f t="shared" si="270"/>
        <v/>
      </c>
      <c r="BH334" s="49" t="str">
        <f t="shared" si="271"/>
        <v/>
      </c>
      <c r="BI334" s="49" t="str">
        <f t="shared" si="272"/>
        <v/>
      </c>
      <c r="BJ334" s="22" t="str">
        <f t="shared" ref="BJ334:BJ397" si="298">IF($J334&lt;&gt;"",$J334,"")</f>
        <v/>
      </c>
      <c r="BL334" s="21"/>
      <c r="BM334" s="21" t="str">
        <f>IF(OR(COUNT(B334:D1333)=0,AND('Choix pédagogiques'!$C$3&lt;&gt;1,'Choix pédagogiques'!$C$3&lt;&gt;2)),"",IF(AND(OR('Choix pédagogiques'!$C$3=1,'Choix pédagogiques'!$C$3=2),$B334&lt;&gt;"",$C334&lt;&gt;"",$D334&lt;&gt;""),1,0))</f>
        <v/>
      </c>
      <c r="BN334" s="21" t="str">
        <f>IF(OR(COUNT(G334:I1333)=0,AND('Choix pédagogiques'!$C$3&lt;&gt;1,'Choix pédagogiques'!$C$3&lt;&gt;2)),"",IF(AND(OR('Choix pédagogiques'!$C$3=1,'Choix pédagogiques'!$C$3=2),AND($G334&lt;&gt;"",$H334&lt;&gt;"",$I334&lt;&gt;"")),1,0))</f>
        <v/>
      </c>
      <c r="BO334" s="21" t="str">
        <f>IF(OR(COUNT(B334:D1333)=0,COUNT(G334:I1333)=0,'Choix pédagogiques'!C$3&lt;&gt;3),"",IF(AND('Choix pédagogiques'!$C$3=3,$B334&lt;&gt;"",$C334&lt;&gt;"",$D334&lt;&gt;"",$G334&lt;&gt;"",$H334&lt;&gt;"",$I334&lt;&gt;""),1,0))</f>
        <v/>
      </c>
      <c r="BR334" s="21">
        <v>195</v>
      </c>
      <c r="BS334" s="21">
        <v>1376</v>
      </c>
      <c r="BT334"/>
    </row>
    <row r="335" spans="1:72" s="23" customFormat="1" ht="18" customHeight="1" x14ac:dyDescent="0.3">
      <c r="A335" s="35" t="s">
        <v>325</v>
      </c>
      <c r="B335" s="37"/>
      <c r="C335" s="37"/>
      <c r="D335" s="37"/>
      <c r="E335" s="37"/>
      <c r="F335" s="35" t="s">
        <v>1333</v>
      </c>
      <c r="G335" s="37"/>
      <c r="H335" s="37"/>
      <c r="I335" s="37"/>
      <c r="J335" s="37"/>
      <c r="K335" s="21" t="str">
        <f t="shared" si="273"/>
        <v>Apprenant 323</v>
      </c>
      <c r="L335" s="22" t="str">
        <f t="shared" si="274"/>
        <v/>
      </c>
      <c r="M335" s="22" t="str">
        <f t="shared" si="275"/>
        <v/>
      </c>
      <c r="N335" s="22" t="str">
        <f t="shared" si="276"/>
        <v/>
      </c>
      <c r="O335" s="22" t="str">
        <f t="shared" si="277"/>
        <v/>
      </c>
      <c r="P335" s="21" t="str">
        <f t="shared" si="278"/>
        <v>Apprenant 323 ou 323'</v>
      </c>
      <c r="Q335" s="22" t="str">
        <f t="shared" si="279"/>
        <v/>
      </c>
      <c r="R335" s="22" t="str">
        <f t="shared" si="280"/>
        <v/>
      </c>
      <c r="S335" s="22" t="str">
        <f t="shared" si="281"/>
        <v/>
      </c>
      <c r="T335" s="22" t="str">
        <f t="shared" si="282"/>
        <v/>
      </c>
      <c r="V335" s="21" t="str">
        <f t="shared" si="283"/>
        <v>Apprenant 323</v>
      </c>
      <c r="W335" s="22" t="str">
        <f>IF(AND(OR('Choix pédagogiques'!$C$3=1,'Choix pédagogiques'!$C$3=2),$BM335=1),B335,IF(AND('Choix pédagogiques'!$C$3=3,$BO335=1),B335,""))</f>
        <v/>
      </c>
      <c r="X335" s="22" t="str">
        <f>IF(AND(OR('Choix pédagogiques'!$C$3=1,'Choix pédagogiques'!$C$3=2),$BM335=1),C335,IF(AND('Choix pédagogiques'!$C$3=3,$BO335=1),C335,""))</f>
        <v/>
      </c>
      <c r="Y335" s="22" t="str">
        <f>IF(AND(OR('Choix pédagogiques'!$C$3=1,'Choix pédagogiques'!$C$3=2),$BM335=1),D335,IF(AND('Choix pédagogiques'!$C$3=3,$BO335=1),D335,""))</f>
        <v/>
      </c>
      <c r="Z335" s="22" t="str">
        <f t="shared" si="284"/>
        <v/>
      </c>
      <c r="AA335" s="21" t="str">
        <f t="shared" si="285"/>
        <v>Apprenant 323 ou 323'</v>
      </c>
      <c r="AB335" s="22" t="str">
        <f>IF(AND(OR('Choix pédagogiques'!$C$3=1,'Choix pédagogiques'!$C$3=2),$BN335=1),G335,IF(AND('Choix pédagogiques'!$C$3=3,$BO335=1),G335,""))</f>
        <v/>
      </c>
      <c r="AC335" s="22" t="str">
        <f>IF(AND(OR('Choix pédagogiques'!$C$3=1,'Choix pédagogiques'!$C$3=2),$BN335=1),H335,IF(AND('Choix pédagogiques'!$C$3=3,$BO335=1),H335,""))</f>
        <v/>
      </c>
      <c r="AD335" s="22" t="str">
        <f>IF(AND(OR('Choix pédagogiques'!$C$3=1,'Choix pédagogiques'!$C$3=2),$BN335=1),I335,IF(AND('Choix pédagogiques'!$C$3=3,$BO335=1),I335,""))</f>
        <v/>
      </c>
      <c r="AE335" s="22" t="str">
        <f t="shared" si="286"/>
        <v/>
      </c>
      <c r="AF335" s="21" t="str">
        <f t="shared" si="287"/>
        <v>Apprenant 323</v>
      </c>
      <c r="AG335" s="22" t="str">
        <f t="shared" si="261"/>
        <v/>
      </c>
      <c r="AH335" s="22" t="str">
        <f t="shared" si="262"/>
        <v/>
      </c>
      <c r="AI335" s="22" t="str">
        <f t="shared" si="263"/>
        <v/>
      </c>
      <c r="AJ335" s="22" t="str">
        <f t="shared" si="288"/>
        <v/>
      </c>
      <c r="AK335" s="21" t="str">
        <f t="shared" si="289"/>
        <v>Apprenant 323 ou 323'</v>
      </c>
      <c r="AL335" s="22" t="str">
        <f t="shared" si="264"/>
        <v/>
      </c>
      <c r="AM335" s="22" t="str">
        <f t="shared" si="265"/>
        <v/>
      </c>
      <c r="AN335" s="22" t="str">
        <f t="shared" si="266"/>
        <v/>
      </c>
      <c r="AO335" s="22" t="str">
        <f t="shared" si="290"/>
        <v/>
      </c>
      <c r="AQ335" s="21" t="str">
        <f t="shared" si="291"/>
        <v>Apprenant 323</v>
      </c>
      <c r="AR335" s="49" t="str">
        <f>IF(AND('Choix pédagogiques'!$C$4&lt;&gt;"?",'Choix pédagogiques'!$C$5&lt;&gt;"?",W335&lt;&gt;""),(W335-'Choix pédagogiques'!$C$4)/('Choix pédagogiques'!$C$5-'Choix pédagogiques'!$C$4),"")</f>
        <v/>
      </c>
      <c r="AS335" s="49" t="str">
        <f>IF(AND('Choix pédagogiques'!$C$4&lt;&gt;"?",'Choix pédagogiques'!$C$5&lt;&gt;"?",X335&lt;&gt;""),(X335-'Choix pédagogiques'!$C$4)/('Choix pédagogiques'!$C$5-'Choix pédagogiques'!$C$4),"")</f>
        <v/>
      </c>
      <c r="AT335" s="49" t="str">
        <f>IF(AND('Choix pédagogiques'!$C$4&lt;&gt;"?",'Choix pédagogiques'!$C$5&lt;&gt;"?",Y335&lt;&gt;""),(Y335-'Choix pédagogiques'!$C$4)/('Choix pédagogiques'!$C$5-'Choix pédagogiques'!$C$4),"")</f>
        <v/>
      </c>
      <c r="AU335" s="22" t="str">
        <f t="shared" si="292"/>
        <v/>
      </c>
      <c r="AV335" s="21" t="str">
        <f t="shared" si="293"/>
        <v>Apprenant 323 ou 323'</v>
      </c>
      <c r="AW335" s="49" t="str">
        <f>IF(AND('Choix pédagogiques'!$C$4&lt;&gt;"?",'Choix pédagogiques'!$C$5&lt;&gt;"?",AB335&lt;&gt;""),(AB335-'Choix pédagogiques'!$C$4)/('Choix pédagogiques'!$C$5-'Choix pédagogiques'!$C$4),"")</f>
        <v/>
      </c>
      <c r="AX335" s="49" t="str">
        <f>IF(AND('Choix pédagogiques'!$C$4&lt;&gt;"?",'Choix pédagogiques'!$C$5&lt;&gt;"?",AC335&lt;&gt;""),(AC335-'Choix pédagogiques'!$C$4)/('Choix pédagogiques'!$C$5-'Choix pédagogiques'!$C$4),"")</f>
        <v/>
      </c>
      <c r="AY335" s="49" t="str">
        <f>IF(AND('Choix pédagogiques'!$C$4&lt;&gt;"?",'Choix pédagogiques'!$C$5&lt;&gt;"?",AD335&lt;&gt;""),(AD335-'Choix pédagogiques'!$C$4)/('Choix pédagogiques'!$C$5-'Choix pédagogiques'!$C$4),"")</f>
        <v/>
      </c>
      <c r="AZ335" s="22" t="str">
        <f t="shared" si="294"/>
        <v/>
      </c>
      <c r="BA335" s="21" t="str">
        <f t="shared" si="295"/>
        <v>Apprenant 323</v>
      </c>
      <c r="BB335" s="49" t="str">
        <f t="shared" si="267"/>
        <v/>
      </c>
      <c r="BC335" s="49" t="str">
        <f t="shared" si="268"/>
        <v/>
      </c>
      <c r="BD335" s="49" t="str">
        <f t="shared" si="269"/>
        <v/>
      </c>
      <c r="BE335" s="22" t="str">
        <f t="shared" si="296"/>
        <v/>
      </c>
      <c r="BF335" s="21" t="str">
        <f t="shared" si="297"/>
        <v>Apprenant 323 ou 323'</v>
      </c>
      <c r="BG335" s="49" t="str">
        <f t="shared" si="270"/>
        <v/>
      </c>
      <c r="BH335" s="49" t="str">
        <f t="shared" si="271"/>
        <v/>
      </c>
      <c r="BI335" s="49" t="str">
        <f t="shared" si="272"/>
        <v/>
      </c>
      <c r="BJ335" s="22" t="str">
        <f t="shared" si="298"/>
        <v/>
      </c>
      <c r="BL335" s="21"/>
      <c r="BM335" s="21" t="str">
        <f>IF(OR(COUNT(B335:D1334)=0,AND('Choix pédagogiques'!$C$3&lt;&gt;1,'Choix pédagogiques'!$C$3&lt;&gt;2)),"",IF(AND(OR('Choix pédagogiques'!$C$3=1,'Choix pédagogiques'!$C$3=2),$B335&lt;&gt;"",$C335&lt;&gt;"",$D335&lt;&gt;""),1,0))</f>
        <v/>
      </c>
      <c r="BN335" s="21" t="str">
        <f>IF(OR(COUNT(G335:I1334)=0,AND('Choix pédagogiques'!$C$3&lt;&gt;1,'Choix pédagogiques'!$C$3&lt;&gt;2)),"",IF(AND(OR('Choix pédagogiques'!$C$3=1,'Choix pédagogiques'!$C$3=2),AND($G335&lt;&gt;"",$H335&lt;&gt;"",$I335&lt;&gt;"")),1,0))</f>
        <v/>
      </c>
      <c r="BO335" s="21" t="str">
        <f>IF(OR(COUNT(B335:D1334)=0,COUNT(G335:I1334)=0,'Choix pédagogiques'!C$3&lt;&gt;3),"",IF(AND('Choix pédagogiques'!$C$3=3,$B335&lt;&gt;"",$C335&lt;&gt;"",$D335&lt;&gt;"",$G335&lt;&gt;"",$H335&lt;&gt;"",$I335&lt;&gt;""),1,0))</f>
        <v/>
      </c>
      <c r="BR335" s="21">
        <v>174</v>
      </c>
      <c r="BS335" s="21">
        <v>1952</v>
      </c>
      <c r="BT335"/>
    </row>
    <row r="336" spans="1:72" s="23" customFormat="1" ht="18" customHeight="1" x14ac:dyDescent="0.3">
      <c r="A336" s="35" t="s">
        <v>326</v>
      </c>
      <c r="B336" s="37"/>
      <c r="C336" s="37"/>
      <c r="D336" s="37"/>
      <c r="E336" s="37"/>
      <c r="F336" s="35" t="s">
        <v>1334</v>
      </c>
      <c r="G336" s="37"/>
      <c r="H336" s="37"/>
      <c r="I336" s="37"/>
      <c r="J336" s="37"/>
      <c r="K336" s="21" t="str">
        <f t="shared" si="273"/>
        <v>Apprenant 324</v>
      </c>
      <c r="L336" s="22" t="str">
        <f t="shared" si="274"/>
        <v/>
      </c>
      <c r="M336" s="22" t="str">
        <f t="shared" si="275"/>
        <v/>
      </c>
      <c r="N336" s="22" t="str">
        <f t="shared" si="276"/>
        <v/>
      </c>
      <c r="O336" s="22" t="str">
        <f t="shared" si="277"/>
        <v/>
      </c>
      <c r="P336" s="21" t="str">
        <f t="shared" si="278"/>
        <v>Apprenant 324 ou 324'</v>
      </c>
      <c r="Q336" s="22" t="str">
        <f t="shared" si="279"/>
        <v/>
      </c>
      <c r="R336" s="22" t="str">
        <f t="shared" si="280"/>
        <v/>
      </c>
      <c r="S336" s="22" t="str">
        <f t="shared" si="281"/>
        <v/>
      </c>
      <c r="T336" s="22" t="str">
        <f t="shared" si="282"/>
        <v/>
      </c>
      <c r="V336" s="21" t="str">
        <f t="shared" si="283"/>
        <v>Apprenant 324</v>
      </c>
      <c r="W336" s="22" t="str">
        <f>IF(AND(OR('Choix pédagogiques'!$C$3=1,'Choix pédagogiques'!$C$3=2),$BM336=1),B336,IF(AND('Choix pédagogiques'!$C$3=3,$BO336=1),B336,""))</f>
        <v/>
      </c>
      <c r="X336" s="22" t="str">
        <f>IF(AND(OR('Choix pédagogiques'!$C$3=1,'Choix pédagogiques'!$C$3=2),$BM336=1),C336,IF(AND('Choix pédagogiques'!$C$3=3,$BO336=1),C336,""))</f>
        <v/>
      </c>
      <c r="Y336" s="22" t="str">
        <f>IF(AND(OR('Choix pédagogiques'!$C$3=1,'Choix pédagogiques'!$C$3=2),$BM336=1),D336,IF(AND('Choix pédagogiques'!$C$3=3,$BO336=1),D336,""))</f>
        <v/>
      </c>
      <c r="Z336" s="22" t="str">
        <f t="shared" si="284"/>
        <v/>
      </c>
      <c r="AA336" s="21" t="str">
        <f t="shared" si="285"/>
        <v>Apprenant 324 ou 324'</v>
      </c>
      <c r="AB336" s="22" t="str">
        <f>IF(AND(OR('Choix pédagogiques'!$C$3=1,'Choix pédagogiques'!$C$3=2),$BN336=1),G336,IF(AND('Choix pédagogiques'!$C$3=3,$BO336=1),G336,""))</f>
        <v/>
      </c>
      <c r="AC336" s="22" t="str">
        <f>IF(AND(OR('Choix pédagogiques'!$C$3=1,'Choix pédagogiques'!$C$3=2),$BN336=1),H336,IF(AND('Choix pédagogiques'!$C$3=3,$BO336=1),H336,""))</f>
        <v/>
      </c>
      <c r="AD336" s="22" t="str">
        <f>IF(AND(OR('Choix pédagogiques'!$C$3=1,'Choix pédagogiques'!$C$3=2),$BN336=1),I336,IF(AND('Choix pédagogiques'!$C$3=3,$BO336=1),I336,""))</f>
        <v/>
      </c>
      <c r="AE336" s="22" t="str">
        <f t="shared" si="286"/>
        <v/>
      </c>
      <c r="AF336" s="21" t="str">
        <f t="shared" si="287"/>
        <v>Apprenant 324</v>
      </c>
      <c r="AG336" s="22" t="str">
        <f t="shared" si="261"/>
        <v/>
      </c>
      <c r="AH336" s="22" t="str">
        <f t="shared" si="262"/>
        <v/>
      </c>
      <c r="AI336" s="22" t="str">
        <f t="shared" si="263"/>
        <v/>
      </c>
      <c r="AJ336" s="22" t="str">
        <f t="shared" si="288"/>
        <v/>
      </c>
      <c r="AK336" s="21" t="str">
        <f t="shared" si="289"/>
        <v>Apprenant 324 ou 324'</v>
      </c>
      <c r="AL336" s="22" t="str">
        <f t="shared" si="264"/>
        <v/>
      </c>
      <c r="AM336" s="22" t="str">
        <f t="shared" si="265"/>
        <v/>
      </c>
      <c r="AN336" s="22" t="str">
        <f t="shared" si="266"/>
        <v/>
      </c>
      <c r="AO336" s="22" t="str">
        <f t="shared" si="290"/>
        <v/>
      </c>
      <c r="AQ336" s="21" t="str">
        <f t="shared" si="291"/>
        <v>Apprenant 324</v>
      </c>
      <c r="AR336" s="49" t="str">
        <f>IF(AND('Choix pédagogiques'!$C$4&lt;&gt;"?",'Choix pédagogiques'!$C$5&lt;&gt;"?",W336&lt;&gt;""),(W336-'Choix pédagogiques'!$C$4)/('Choix pédagogiques'!$C$5-'Choix pédagogiques'!$C$4),"")</f>
        <v/>
      </c>
      <c r="AS336" s="49" t="str">
        <f>IF(AND('Choix pédagogiques'!$C$4&lt;&gt;"?",'Choix pédagogiques'!$C$5&lt;&gt;"?",X336&lt;&gt;""),(X336-'Choix pédagogiques'!$C$4)/('Choix pédagogiques'!$C$5-'Choix pédagogiques'!$C$4),"")</f>
        <v/>
      </c>
      <c r="AT336" s="49" t="str">
        <f>IF(AND('Choix pédagogiques'!$C$4&lt;&gt;"?",'Choix pédagogiques'!$C$5&lt;&gt;"?",Y336&lt;&gt;""),(Y336-'Choix pédagogiques'!$C$4)/('Choix pédagogiques'!$C$5-'Choix pédagogiques'!$C$4),"")</f>
        <v/>
      </c>
      <c r="AU336" s="22" t="str">
        <f t="shared" si="292"/>
        <v/>
      </c>
      <c r="AV336" s="21" t="str">
        <f t="shared" si="293"/>
        <v>Apprenant 324 ou 324'</v>
      </c>
      <c r="AW336" s="49" t="str">
        <f>IF(AND('Choix pédagogiques'!$C$4&lt;&gt;"?",'Choix pédagogiques'!$C$5&lt;&gt;"?",AB336&lt;&gt;""),(AB336-'Choix pédagogiques'!$C$4)/('Choix pédagogiques'!$C$5-'Choix pédagogiques'!$C$4),"")</f>
        <v/>
      </c>
      <c r="AX336" s="49" t="str">
        <f>IF(AND('Choix pédagogiques'!$C$4&lt;&gt;"?",'Choix pédagogiques'!$C$5&lt;&gt;"?",AC336&lt;&gt;""),(AC336-'Choix pédagogiques'!$C$4)/('Choix pédagogiques'!$C$5-'Choix pédagogiques'!$C$4),"")</f>
        <v/>
      </c>
      <c r="AY336" s="49" t="str">
        <f>IF(AND('Choix pédagogiques'!$C$4&lt;&gt;"?",'Choix pédagogiques'!$C$5&lt;&gt;"?",AD336&lt;&gt;""),(AD336-'Choix pédagogiques'!$C$4)/('Choix pédagogiques'!$C$5-'Choix pédagogiques'!$C$4),"")</f>
        <v/>
      </c>
      <c r="AZ336" s="22" t="str">
        <f t="shared" si="294"/>
        <v/>
      </c>
      <c r="BA336" s="21" t="str">
        <f t="shared" si="295"/>
        <v>Apprenant 324</v>
      </c>
      <c r="BB336" s="49" t="str">
        <f t="shared" si="267"/>
        <v/>
      </c>
      <c r="BC336" s="49" t="str">
        <f t="shared" si="268"/>
        <v/>
      </c>
      <c r="BD336" s="49" t="str">
        <f t="shared" si="269"/>
        <v/>
      </c>
      <c r="BE336" s="22" t="str">
        <f t="shared" si="296"/>
        <v/>
      </c>
      <c r="BF336" s="21" t="str">
        <f t="shared" si="297"/>
        <v>Apprenant 324 ou 324'</v>
      </c>
      <c r="BG336" s="49" t="str">
        <f t="shared" si="270"/>
        <v/>
      </c>
      <c r="BH336" s="49" t="str">
        <f t="shared" si="271"/>
        <v/>
      </c>
      <c r="BI336" s="49" t="str">
        <f t="shared" si="272"/>
        <v/>
      </c>
      <c r="BJ336" s="22" t="str">
        <f t="shared" si="298"/>
        <v/>
      </c>
      <c r="BL336" s="21"/>
      <c r="BM336" s="21" t="str">
        <f>IF(OR(COUNT(B336:D1335)=0,AND('Choix pédagogiques'!$C$3&lt;&gt;1,'Choix pédagogiques'!$C$3&lt;&gt;2)),"",IF(AND(OR('Choix pédagogiques'!$C$3=1,'Choix pédagogiques'!$C$3=2),$B336&lt;&gt;"",$C336&lt;&gt;"",$D336&lt;&gt;""),1,0))</f>
        <v/>
      </c>
      <c r="BN336" s="21" t="str">
        <f>IF(OR(COUNT(G336:I1335)=0,AND('Choix pédagogiques'!$C$3&lt;&gt;1,'Choix pédagogiques'!$C$3&lt;&gt;2)),"",IF(AND(OR('Choix pédagogiques'!$C$3=1,'Choix pédagogiques'!$C$3=2),AND($G336&lt;&gt;"",$H336&lt;&gt;"",$I336&lt;&gt;"")),1,0))</f>
        <v/>
      </c>
      <c r="BO336" s="21" t="str">
        <f>IF(OR(COUNT(B336:D1335)=0,COUNT(G336:I1335)=0,'Choix pédagogiques'!C$3&lt;&gt;3),"",IF(AND('Choix pédagogiques'!$C$3=3,$B336&lt;&gt;"",$C336&lt;&gt;"",$D336&lt;&gt;"",$G336&lt;&gt;"",$H336&lt;&gt;"",$I336&lt;&gt;""),1,0))</f>
        <v/>
      </c>
      <c r="BR336" s="21">
        <v>819</v>
      </c>
      <c r="BS336" s="21">
        <v>1464</v>
      </c>
      <c r="BT336"/>
    </row>
    <row r="337" spans="1:72" s="23" customFormat="1" ht="18" customHeight="1" x14ac:dyDescent="0.3">
      <c r="A337" s="35" t="s">
        <v>327</v>
      </c>
      <c r="B337" s="37"/>
      <c r="C337" s="37"/>
      <c r="D337" s="37"/>
      <c r="E337" s="37"/>
      <c r="F337" s="35" t="s">
        <v>1335</v>
      </c>
      <c r="G337" s="37"/>
      <c r="H337" s="37"/>
      <c r="I337" s="37"/>
      <c r="J337" s="37"/>
      <c r="K337" s="21" t="str">
        <f t="shared" si="273"/>
        <v>Apprenant 325</v>
      </c>
      <c r="L337" s="22" t="str">
        <f t="shared" si="274"/>
        <v/>
      </c>
      <c r="M337" s="22" t="str">
        <f t="shared" si="275"/>
        <v/>
      </c>
      <c r="N337" s="22" t="str">
        <f t="shared" si="276"/>
        <v/>
      </c>
      <c r="O337" s="22" t="str">
        <f t="shared" si="277"/>
        <v/>
      </c>
      <c r="P337" s="21" t="str">
        <f t="shared" si="278"/>
        <v>Apprenant 325 ou 325'</v>
      </c>
      <c r="Q337" s="22" t="str">
        <f t="shared" si="279"/>
        <v/>
      </c>
      <c r="R337" s="22" t="str">
        <f t="shared" si="280"/>
        <v/>
      </c>
      <c r="S337" s="22" t="str">
        <f t="shared" si="281"/>
        <v/>
      </c>
      <c r="T337" s="22" t="str">
        <f t="shared" si="282"/>
        <v/>
      </c>
      <c r="V337" s="21" t="str">
        <f t="shared" si="283"/>
        <v>Apprenant 325</v>
      </c>
      <c r="W337" s="22" t="str">
        <f>IF(AND(OR('Choix pédagogiques'!$C$3=1,'Choix pédagogiques'!$C$3=2),$BM337=1),B337,IF(AND('Choix pédagogiques'!$C$3=3,$BO337=1),B337,""))</f>
        <v/>
      </c>
      <c r="X337" s="22" t="str">
        <f>IF(AND(OR('Choix pédagogiques'!$C$3=1,'Choix pédagogiques'!$C$3=2),$BM337=1),C337,IF(AND('Choix pédagogiques'!$C$3=3,$BO337=1),C337,""))</f>
        <v/>
      </c>
      <c r="Y337" s="22" t="str">
        <f>IF(AND(OR('Choix pédagogiques'!$C$3=1,'Choix pédagogiques'!$C$3=2),$BM337=1),D337,IF(AND('Choix pédagogiques'!$C$3=3,$BO337=1),D337,""))</f>
        <v/>
      </c>
      <c r="Z337" s="22" t="str">
        <f t="shared" si="284"/>
        <v/>
      </c>
      <c r="AA337" s="21" t="str">
        <f t="shared" si="285"/>
        <v>Apprenant 325 ou 325'</v>
      </c>
      <c r="AB337" s="22" t="str">
        <f>IF(AND(OR('Choix pédagogiques'!$C$3=1,'Choix pédagogiques'!$C$3=2),$BN337=1),G337,IF(AND('Choix pédagogiques'!$C$3=3,$BO337=1),G337,""))</f>
        <v/>
      </c>
      <c r="AC337" s="22" t="str">
        <f>IF(AND(OR('Choix pédagogiques'!$C$3=1,'Choix pédagogiques'!$C$3=2),$BN337=1),H337,IF(AND('Choix pédagogiques'!$C$3=3,$BO337=1),H337,""))</f>
        <v/>
      </c>
      <c r="AD337" s="22" t="str">
        <f>IF(AND(OR('Choix pédagogiques'!$C$3=1,'Choix pédagogiques'!$C$3=2),$BN337=1),I337,IF(AND('Choix pédagogiques'!$C$3=3,$BO337=1),I337,""))</f>
        <v/>
      </c>
      <c r="AE337" s="22" t="str">
        <f t="shared" si="286"/>
        <v/>
      </c>
      <c r="AF337" s="21" t="str">
        <f t="shared" si="287"/>
        <v>Apprenant 325</v>
      </c>
      <c r="AG337" s="22" t="str">
        <f t="shared" si="261"/>
        <v/>
      </c>
      <c r="AH337" s="22" t="str">
        <f t="shared" si="262"/>
        <v/>
      </c>
      <c r="AI337" s="22" t="str">
        <f t="shared" si="263"/>
        <v/>
      </c>
      <c r="AJ337" s="22" t="str">
        <f t="shared" si="288"/>
        <v/>
      </c>
      <c r="AK337" s="21" t="str">
        <f t="shared" si="289"/>
        <v>Apprenant 325 ou 325'</v>
      </c>
      <c r="AL337" s="22" t="str">
        <f t="shared" si="264"/>
        <v/>
      </c>
      <c r="AM337" s="22" t="str">
        <f t="shared" si="265"/>
        <v/>
      </c>
      <c r="AN337" s="22" t="str">
        <f t="shared" si="266"/>
        <v/>
      </c>
      <c r="AO337" s="22" t="str">
        <f t="shared" si="290"/>
        <v/>
      </c>
      <c r="AQ337" s="21" t="str">
        <f t="shared" si="291"/>
        <v>Apprenant 325</v>
      </c>
      <c r="AR337" s="49" t="str">
        <f>IF(AND('Choix pédagogiques'!$C$4&lt;&gt;"?",'Choix pédagogiques'!$C$5&lt;&gt;"?",W337&lt;&gt;""),(W337-'Choix pédagogiques'!$C$4)/('Choix pédagogiques'!$C$5-'Choix pédagogiques'!$C$4),"")</f>
        <v/>
      </c>
      <c r="AS337" s="49" t="str">
        <f>IF(AND('Choix pédagogiques'!$C$4&lt;&gt;"?",'Choix pédagogiques'!$C$5&lt;&gt;"?",X337&lt;&gt;""),(X337-'Choix pédagogiques'!$C$4)/('Choix pédagogiques'!$C$5-'Choix pédagogiques'!$C$4),"")</f>
        <v/>
      </c>
      <c r="AT337" s="49" t="str">
        <f>IF(AND('Choix pédagogiques'!$C$4&lt;&gt;"?",'Choix pédagogiques'!$C$5&lt;&gt;"?",Y337&lt;&gt;""),(Y337-'Choix pédagogiques'!$C$4)/('Choix pédagogiques'!$C$5-'Choix pédagogiques'!$C$4),"")</f>
        <v/>
      </c>
      <c r="AU337" s="22" t="str">
        <f t="shared" si="292"/>
        <v/>
      </c>
      <c r="AV337" s="21" t="str">
        <f t="shared" si="293"/>
        <v>Apprenant 325 ou 325'</v>
      </c>
      <c r="AW337" s="49" t="str">
        <f>IF(AND('Choix pédagogiques'!$C$4&lt;&gt;"?",'Choix pédagogiques'!$C$5&lt;&gt;"?",AB337&lt;&gt;""),(AB337-'Choix pédagogiques'!$C$4)/('Choix pédagogiques'!$C$5-'Choix pédagogiques'!$C$4),"")</f>
        <v/>
      </c>
      <c r="AX337" s="49" t="str">
        <f>IF(AND('Choix pédagogiques'!$C$4&lt;&gt;"?",'Choix pédagogiques'!$C$5&lt;&gt;"?",AC337&lt;&gt;""),(AC337-'Choix pédagogiques'!$C$4)/('Choix pédagogiques'!$C$5-'Choix pédagogiques'!$C$4),"")</f>
        <v/>
      </c>
      <c r="AY337" s="49" t="str">
        <f>IF(AND('Choix pédagogiques'!$C$4&lt;&gt;"?",'Choix pédagogiques'!$C$5&lt;&gt;"?",AD337&lt;&gt;""),(AD337-'Choix pédagogiques'!$C$4)/('Choix pédagogiques'!$C$5-'Choix pédagogiques'!$C$4),"")</f>
        <v/>
      </c>
      <c r="AZ337" s="22" t="str">
        <f t="shared" si="294"/>
        <v/>
      </c>
      <c r="BA337" s="21" t="str">
        <f t="shared" si="295"/>
        <v>Apprenant 325</v>
      </c>
      <c r="BB337" s="49" t="str">
        <f t="shared" si="267"/>
        <v/>
      </c>
      <c r="BC337" s="49" t="str">
        <f t="shared" si="268"/>
        <v/>
      </c>
      <c r="BD337" s="49" t="str">
        <f t="shared" si="269"/>
        <v/>
      </c>
      <c r="BE337" s="22" t="str">
        <f t="shared" si="296"/>
        <v/>
      </c>
      <c r="BF337" s="21" t="str">
        <f t="shared" si="297"/>
        <v>Apprenant 325 ou 325'</v>
      </c>
      <c r="BG337" s="49" t="str">
        <f t="shared" si="270"/>
        <v/>
      </c>
      <c r="BH337" s="49" t="str">
        <f t="shared" si="271"/>
        <v/>
      </c>
      <c r="BI337" s="49" t="str">
        <f t="shared" si="272"/>
        <v/>
      </c>
      <c r="BJ337" s="22" t="str">
        <f t="shared" si="298"/>
        <v/>
      </c>
      <c r="BL337" s="21"/>
      <c r="BM337" s="21" t="str">
        <f>IF(OR(COUNT(B337:D1336)=0,AND('Choix pédagogiques'!$C$3&lt;&gt;1,'Choix pédagogiques'!$C$3&lt;&gt;2)),"",IF(AND(OR('Choix pédagogiques'!$C$3=1,'Choix pédagogiques'!$C$3=2),$B337&lt;&gt;"",$C337&lt;&gt;"",$D337&lt;&gt;""),1,0))</f>
        <v/>
      </c>
      <c r="BN337" s="21" t="str">
        <f>IF(OR(COUNT(G337:I1336)=0,AND('Choix pédagogiques'!$C$3&lt;&gt;1,'Choix pédagogiques'!$C$3&lt;&gt;2)),"",IF(AND(OR('Choix pédagogiques'!$C$3=1,'Choix pédagogiques'!$C$3=2),AND($G337&lt;&gt;"",$H337&lt;&gt;"",$I337&lt;&gt;"")),1,0))</f>
        <v/>
      </c>
      <c r="BO337" s="21" t="str">
        <f>IF(OR(COUNT(B337:D1336)=0,COUNT(G337:I1336)=0,'Choix pédagogiques'!C$3&lt;&gt;3),"",IF(AND('Choix pédagogiques'!$C$3=3,$B337&lt;&gt;"",$C337&lt;&gt;"",$D337&lt;&gt;"",$G337&lt;&gt;"",$H337&lt;&gt;"",$I337&lt;&gt;""),1,0))</f>
        <v/>
      </c>
      <c r="BR337" s="21">
        <v>865</v>
      </c>
      <c r="BS337" s="21">
        <v>1437</v>
      </c>
      <c r="BT337"/>
    </row>
    <row r="338" spans="1:72" s="23" customFormat="1" ht="18" customHeight="1" x14ac:dyDescent="0.3">
      <c r="A338" s="35" t="s">
        <v>328</v>
      </c>
      <c r="B338" s="37"/>
      <c r="C338" s="37"/>
      <c r="D338" s="37"/>
      <c r="E338" s="37"/>
      <c r="F338" s="35" t="s">
        <v>1336</v>
      </c>
      <c r="G338" s="37"/>
      <c r="H338" s="37"/>
      <c r="I338" s="37"/>
      <c r="J338" s="37"/>
      <c r="K338" s="21" t="str">
        <f t="shared" si="273"/>
        <v>Apprenant 326</v>
      </c>
      <c r="L338" s="22" t="str">
        <f t="shared" si="274"/>
        <v/>
      </c>
      <c r="M338" s="22" t="str">
        <f t="shared" si="275"/>
        <v/>
      </c>
      <c r="N338" s="22" t="str">
        <f t="shared" si="276"/>
        <v/>
      </c>
      <c r="O338" s="22" t="str">
        <f t="shared" si="277"/>
        <v/>
      </c>
      <c r="P338" s="21" t="str">
        <f t="shared" si="278"/>
        <v>Apprenant 326 ou 326'</v>
      </c>
      <c r="Q338" s="22" t="str">
        <f t="shared" si="279"/>
        <v/>
      </c>
      <c r="R338" s="22" t="str">
        <f t="shared" si="280"/>
        <v/>
      </c>
      <c r="S338" s="22" t="str">
        <f t="shared" si="281"/>
        <v/>
      </c>
      <c r="T338" s="22" t="str">
        <f t="shared" si="282"/>
        <v/>
      </c>
      <c r="V338" s="21" t="str">
        <f t="shared" si="283"/>
        <v>Apprenant 326</v>
      </c>
      <c r="W338" s="22" t="str">
        <f>IF(AND(OR('Choix pédagogiques'!$C$3=1,'Choix pédagogiques'!$C$3=2),$BM338=1),B338,IF(AND('Choix pédagogiques'!$C$3=3,$BO338=1),B338,""))</f>
        <v/>
      </c>
      <c r="X338" s="22" t="str">
        <f>IF(AND(OR('Choix pédagogiques'!$C$3=1,'Choix pédagogiques'!$C$3=2),$BM338=1),C338,IF(AND('Choix pédagogiques'!$C$3=3,$BO338=1),C338,""))</f>
        <v/>
      </c>
      <c r="Y338" s="22" t="str">
        <f>IF(AND(OR('Choix pédagogiques'!$C$3=1,'Choix pédagogiques'!$C$3=2),$BM338=1),D338,IF(AND('Choix pédagogiques'!$C$3=3,$BO338=1),D338,""))</f>
        <v/>
      </c>
      <c r="Z338" s="22" t="str">
        <f t="shared" si="284"/>
        <v/>
      </c>
      <c r="AA338" s="21" t="str">
        <f t="shared" si="285"/>
        <v>Apprenant 326 ou 326'</v>
      </c>
      <c r="AB338" s="22" t="str">
        <f>IF(AND(OR('Choix pédagogiques'!$C$3=1,'Choix pédagogiques'!$C$3=2),$BN338=1),G338,IF(AND('Choix pédagogiques'!$C$3=3,$BO338=1),G338,""))</f>
        <v/>
      </c>
      <c r="AC338" s="22" t="str">
        <f>IF(AND(OR('Choix pédagogiques'!$C$3=1,'Choix pédagogiques'!$C$3=2),$BN338=1),H338,IF(AND('Choix pédagogiques'!$C$3=3,$BO338=1),H338,""))</f>
        <v/>
      </c>
      <c r="AD338" s="22" t="str">
        <f>IF(AND(OR('Choix pédagogiques'!$C$3=1,'Choix pédagogiques'!$C$3=2),$BN338=1),I338,IF(AND('Choix pédagogiques'!$C$3=3,$BO338=1),I338,""))</f>
        <v/>
      </c>
      <c r="AE338" s="22" t="str">
        <f t="shared" si="286"/>
        <v/>
      </c>
      <c r="AF338" s="21" t="str">
        <f t="shared" si="287"/>
        <v>Apprenant 326</v>
      </c>
      <c r="AG338" s="22" t="str">
        <f t="shared" si="261"/>
        <v/>
      </c>
      <c r="AH338" s="22" t="str">
        <f t="shared" si="262"/>
        <v/>
      </c>
      <c r="AI338" s="22" t="str">
        <f t="shared" si="263"/>
        <v/>
      </c>
      <c r="AJ338" s="22" t="str">
        <f t="shared" si="288"/>
        <v/>
      </c>
      <c r="AK338" s="21" t="str">
        <f t="shared" si="289"/>
        <v>Apprenant 326 ou 326'</v>
      </c>
      <c r="AL338" s="22" t="str">
        <f t="shared" si="264"/>
        <v/>
      </c>
      <c r="AM338" s="22" t="str">
        <f t="shared" si="265"/>
        <v/>
      </c>
      <c r="AN338" s="22" t="str">
        <f t="shared" si="266"/>
        <v/>
      </c>
      <c r="AO338" s="22" t="str">
        <f t="shared" si="290"/>
        <v/>
      </c>
      <c r="AQ338" s="21" t="str">
        <f t="shared" si="291"/>
        <v>Apprenant 326</v>
      </c>
      <c r="AR338" s="49" t="str">
        <f>IF(AND('Choix pédagogiques'!$C$4&lt;&gt;"?",'Choix pédagogiques'!$C$5&lt;&gt;"?",W338&lt;&gt;""),(W338-'Choix pédagogiques'!$C$4)/('Choix pédagogiques'!$C$5-'Choix pédagogiques'!$C$4),"")</f>
        <v/>
      </c>
      <c r="AS338" s="49" t="str">
        <f>IF(AND('Choix pédagogiques'!$C$4&lt;&gt;"?",'Choix pédagogiques'!$C$5&lt;&gt;"?",X338&lt;&gt;""),(X338-'Choix pédagogiques'!$C$4)/('Choix pédagogiques'!$C$5-'Choix pédagogiques'!$C$4),"")</f>
        <v/>
      </c>
      <c r="AT338" s="49" t="str">
        <f>IF(AND('Choix pédagogiques'!$C$4&lt;&gt;"?",'Choix pédagogiques'!$C$5&lt;&gt;"?",Y338&lt;&gt;""),(Y338-'Choix pédagogiques'!$C$4)/('Choix pédagogiques'!$C$5-'Choix pédagogiques'!$C$4),"")</f>
        <v/>
      </c>
      <c r="AU338" s="22" t="str">
        <f t="shared" si="292"/>
        <v/>
      </c>
      <c r="AV338" s="21" t="str">
        <f t="shared" si="293"/>
        <v>Apprenant 326 ou 326'</v>
      </c>
      <c r="AW338" s="49" t="str">
        <f>IF(AND('Choix pédagogiques'!$C$4&lt;&gt;"?",'Choix pédagogiques'!$C$5&lt;&gt;"?",AB338&lt;&gt;""),(AB338-'Choix pédagogiques'!$C$4)/('Choix pédagogiques'!$C$5-'Choix pédagogiques'!$C$4),"")</f>
        <v/>
      </c>
      <c r="AX338" s="49" t="str">
        <f>IF(AND('Choix pédagogiques'!$C$4&lt;&gt;"?",'Choix pédagogiques'!$C$5&lt;&gt;"?",AC338&lt;&gt;""),(AC338-'Choix pédagogiques'!$C$4)/('Choix pédagogiques'!$C$5-'Choix pédagogiques'!$C$4),"")</f>
        <v/>
      </c>
      <c r="AY338" s="49" t="str">
        <f>IF(AND('Choix pédagogiques'!$C$4&lt;&gt;"?",'Choix pédagogiques'!$C$5&lt;&gt;"?",AD338&lt;&gt;""),(AD338-'Choix pédagogiques'!$C$4)/('Choix pédagogiques'!$C$5-'Choix pédagogiques'!$C$4),"")</f>
        <v/>
      </c>
      <c r="AZ338" s="22" t="str">
        <f t="shared" si="294"/>
        <v/>
      </c>
      <c r="BA338" s="21" t="str">
        <f t="shared" si="295"/>
        <v>Apprenant 326</v>
      </c>
      <c r="BB338" s="49" t="str">
        <f t="shared" si="267"/>
        <v/>
      </c>
      <c r="BC338" s="49" t="str">
        <f t="shared" si="268"/>
        <v/>
      </c>
      <c r="BD338" s="49" t="str">
        <f t="shared" si="269"/>
        <v/>
      </c>
      <c r="BE338" s="22" t="str">
        <f t="shared" si="296"/>
        <v/>
      </c>
      <c r="BF338" s="21" t="str">
        <f t="shared" si="297"/>
        <v>Apprenant 326 ou 326'</v>
      </c>
      <c r="BG338" s="49" t="str">
        <f t="shared" si="270"/>
        <v/>
      </c>
      <c r="BH338" s="49" t="str">
        <f t="shared" si="271"/>
        <v/>
      </c>
      <c r="BI338" s="49" t="str">
        <f t="shared" si="272"/>
        <v/>
      </c>
      <c r="BJ338" s="22" t="str">
        <f t="shared" si="298"/>
        <v/>
      </c>
      <c r="BL338" s="21"/>
      <c r="BM338" s="21" t="str">
        <f>IF(OR(COUNT(B338:D1337)=0,AND('Choix pédagogiques'!$C$3&lt;&gt;1,'Choix pédagogiques'!$C$3&lt;&gt;2)),"",IF(AND(OR('Choix pédagogiques'!$C$3=1,'Choix pédagogiques'!$C$3=2),$B338&lt;&gt;"",$C338&lt;&gt;"",$D338&lt;&gt;""),1,0))</f>
        <v/>
      </c>
      <c r="BN338" s="21" t="str">
        <f>IF(OR(COUNT(G338:I1337)=0,AND('Choix pédagogiques'!$C$3&lt;&gt;1,'Choix pédagogiques'!$C$3&lt;&gt;2)),"",IF(AND(OR('Choix pédagogiques'!$C$3=1,'Choix pédagogiques'!$C$3=2),AND($G338&lt;&gt;"",$H338&lt;&gt;"",$I338&lt;&gt;"")),1,0))</f>
        <v/>
      </c>
      <c r="BO338" s="21" t="str">
        <f>IF(OR(COUNT(B338:D1337)=0,COUNT(G338:I1337)=0,'Choix pédagogiques'!C$3&lt;&gt;3),"",IF(AND('Choix pédagogiques'!$C$3=3,$B338&lt;&gt;"",$C338&lt;&gt;"",$D338&lt;&gt;"",$G338&lt;&gt;"",$H338&lt;&gt;"",$I338&lt;&gt;""),1,0))</f>
        <v/>
      </c>
      <c r="BR338" s="21">
        <v>313</v>
      </c>
      <c r="BS338" s="21">
        <v>1785</v>
      </c>
      <c r="BT338"/>
    </row>
    <row r="339" spans="1:72" s="23" customFormat="1" ht="18" customHeight="1" x14ac:dyDescent="0.3">
      <c r="A339" s="35" t="s">
        <v>329</v>
      </c>
      <c r="B339" s="37"/>
      <c r="C339" s="37"/>
      <c r="D339" s="37"/>
      <c r="E339" s="37"/>
      <c r="F339" s="35" t="s">
        <v>1337</v>
      </c>
      <c r="G339" s="37"/>
      <c r="H339" s="37"/>
      <c r="I339" s="37"/>
      <c r="J339" s="37"/>
      <c r="K339" s="21" t="str">
        <f t="shared" si="273"/>
        <v>Apprenant 327</v>
      </c>
      <c r="L339" s="22" t="str">
        <f t="shared" si="274"/>
        <v/>
      </c>
      <c r="M339" s="22" t="str">
        <f t="shared" si="275"/>
        <v/>
      </c>
      <c r="N339" s="22" t="str">
        <f t="shared" si="276"/>
        <v/>
      </c>
      <c r="O339" s="22" t="str">
        <f t="shared" si="277"/>
        <v/>
      </c>
      <c r="P339" s="21" t="str">
        <f t="shared" si="278"/>
        <v>Apprenant 327 ou 327'</v>
      </c>
      <c r="Q339" s="22" t="str">
        <f t="shared" si="279"/>
        <v/>
      </c>
      <c r="R339" s="22" t="str">
        <f t="shared" si="280"/>
        <v/>
      </c>
      <c r="S339" s="22" t="str">
        <f t="shared" si="281"/>
        <v/>
      </c>
      <c r="T339" s="22" t="str">
        <f t="shared" si="282"/>
        <v/>
      </c>
      <c r="V339" s="21" t="str">
        <f t="shared" si="283"/>
        <v>Apprenant 327</v>
      </c>
      <c r="W339" s="22" t="str">
        <f>IF(AND(OR('Choix pédagogiques'!$C$3=1,'Choix pédagogiques'!$C$3=2),$BM339=1),B339,IF(AND('Choix pédagogiques'!$C$3=3,$BO339=1),B339,""))</f>
        <v/>
      </c>
      <c r="X339" s="22" t="str">
        <f>IF(AND(OR('Choix pédagogiques'!$C$3=1,'Choix pédagogiques'!$C$3=2),$BM339=1),C339,IF(AND('Choix pédagogiques'!$C$3=3,$BO339=1),C339,""))</f>
        <v/>
      </c>
      <c r="Y339" s="22" t="str">
        <f>IF(AND(OR('Choix pédagogiques'!$C$3=1,'Choix pédagogiques'!$C$3=2),$BM339=1),D339,IF(AND('Choix pédagogiques'!$C$3=3,$BO339=1),D339,""))</f>
        <v/>
      </c>
      <c r="Z339" s="22" t="str">
        <f t="shared" si="284"/>
        <v/>
      </c>
      <c r="AA339" s="21" t="str">
        <f t="shared" si="285"/>
        <v>Apprenant 327 ou 327'</v>
      </c>
      <c r="AB339" s="22" t="str">
        <f>IF(AND(OR('Choix pédagogiques'!$C$3=1,'Choix pédagogiques'!$C$3=2),$BN339=1),G339,IF(AND('Choix pédagogiques'!$C$3=3,$BO339=1),G339,""))</f>
        <v/>
      </c>
      <c r="AC339" s="22" t="str">
        <f>IF(AND(OR('Choix pédagogiques'!$C$3=1,'Choix pédagogiques'!$C$3=2),$BN339=1),H339,IF(AND('Choix pédagogiques'!$C$3=3,$BO339=1),H339,""))</f>
        <v/>
      </c>
      <c r="AD339" s="22" t="str">
        <f>IF(AND(OR('Choix pédagogiques'!$C$3=1,'Choix pédagogiques'!$C$3=2),$BN339=1),I339,IF(AND('Choix pédagogiques'!$C$3=3,$BO339=1),I339,""))</f>
        <v/>
      </c>
      <c r="AE339" s="22" t="str">
        <f t="shared" si="286"/>
        <v/>
      </c>
      <c r="AF339" s="21" t="str">
        <f t="shared" si="287"/>
        <v>Apprenant 327</v>
      </c>
      <c r="AG339" s="22" t="str">
        <f t="shared" si="261"/>
        <v/>
      </c>
      <c r="AH339" s="22" t="str">
        <f t="shared" si="262"/>
        <v/>
      </c>
      <c r="AI339" s="22" t="str">
        <f t="shared" si="263"/>
        <v/>
      </c>
      <c r="AJ339" s="22" t="str">
        <f t="shared" si="288"/>
        <v/>
      </c>
      <c r="AK339" s="21" t="str">
        <f t="shared" si="289"/>
        <v>Apprenant 327 ou 327'</v>
      </c>
      <c r="AL339" s="22" t="str">
        <f t="shared" si="264"/>
        <v/>
      </c>
      <c r="AM339" s="22" t="str">
        <f t="shared" si="265"/>
        <v/>
      </c>
      <c r="AN339" s="22" t="str">
        <f t="shared" si="266"/>
        <v/>
      </c>
      <c r="AO339" s="22" t="str">
        <f t="shared" si="290"/>
        <v/>
      </c>
      <c r="AQ339" s="21" t="str">
        <f t="shared" si="291"/>
        <v>Apprenant 327</v>
      </c>
      <c r="AR339" s="49" t="str">
        <f>IF(AND('Choix pédagogiques'!$C$4&lt;&gt;"?",'Choix pédagogiques'!$C$5&lt;&gt;"?",W339&lt;&gt;""),(W339-'Choix pédagogiques'!$C$4)/('Choix pédagogiques'!$C$5-'Choix pédagogiques'!$C$4),"")</f>
        <v/>
      </c>
      <c r="AS339" s="49" t="str">
        <f>IF(AND('Choix pédagogiques'!$C$4&lt;&gt;"?",'Choix pédagogiques'!$C$5&lt;&gt;"?",X339&lt;&gt;""),(X339-'Choix pédagogiques'!$C$4)/('Choix pédagogiques'!$C$5-'Choix pédagogiques'!$C$4),"")</f>
        <v/>
      </c>
      <c r="AT339" s="49" t="str">
        <f>IF(AND('Choix pédagogiques'!$C$4&lt;&gt;"?",'Choix pédagogiques'!$C$5&lt;&gt;"?",Y339&lt;&gt;""),(Y339-'Choix pédagogiques'!$C$4)/('Choix pédagogiques'!$C$5-'Choix pédagogiques'!$C$4),"")</f>
        <v/>
      </c>
      <c r="AU339" s="22" t="str">
        <f t="shared" si="292"/>
        <v/>
      </c>
      <c r="AV339" s="21" t="str">
        <f t="shared" si="293"/>
        <v>Apprenant 327 ou 327'</v>
      </c>
      <c r="AW339" s="49" t="str">
        <f>IF(AND('Choix pédagogiques'!$C$4&lt;&gt;"?",'Choix pédagogiques'!$C$5&lt;&gt;"?",AB339&lt;&gt;""),(AB339-'Choix pédagogiques'!$C$4)/('Choix pédagogiques'!$C$5-'Choix pédagogiques'!$C$4),"")</f>
        <v/>
      </c>
      <c r="AX339" s="49" t="str">
        <f>IF(AND('Choix pédagogiques'!$C$4&lt;&gt;"?",'Choix pédagogiques'!$C$5&lt;&gt;"?",AC339&lt;&gt;""),(AC339-'Choix pédagogiques'!$C$4)/('Choix pédagogiques'!$C$5-'Choix pédagogiques'!$C$4),"")</f>
        <v/>
      </c>
      <c r="AY339" s="49" t="str">
        <f>IF(AND('Choix pédagogiques'!$C$4&lt;&gt;"?",'Choix pédagogiques'!$C$5&lt;&gt;"?",AD339&lt;&gt;""),(AD339-'Choix pédagogiques'!$C$4)/('Choix pédagogiques'!$C$5-'Choix pédagogiques'!$C$4),"")</f>
        <v/>
      </c>
      <c r="AZ339" s="22" t="str">
        <f t="shared" si="294"/>
        <v/>
      </c>
      <c r="BA339" s="21" t="str">
        <f t="shared" si="295"/>
        <v>Apprenant 327</v>
      </c>
      <c r="BB339" s="49" t="str">
        <f t="shared" si="267"/>
        <v/>
      </c>
      <c r="BC339" s="49" t="str">
        <f t="shared" si="268"/>
        <v/>
      </c>
      <c r="BD339" s="49" t="str">
        <f t="shared" si="269"/>
        <v/>
      </c>
      <c r="BE339" s="22" t="str">
        <f t="shared" si="296"/>
        <v/>
      </c>
      <c r="BF339" s="21" t="str">
        <f t="shared" si="297"/>
        <v>Apprenant 327 ou 327'</v>
      </c>
      <c r="BG339" s="49" t="str">
        <f t="shared" si="270"/>
        <v/>
      </c>
      <c r="BH339" s="49" t="str">
        <f t="shared" si="271"/>
        <v/>
      </c>
      <c r="BI339" s="49" t="str">
        <f t="shared" si="272"/>
        <v/>
      </c>
      <c r="BJ339" s="22" t="str">
        <f t="shared" si="298"/>
        <v/>
      </c>
      <c r="BL339" s="21"/>
      <c r="BM339" s="21" t="str">
        <f>IF(OR(COUNT(B339:D1338)=0,AND('Choix pédagogiques'!$C$3&lt;&gt;1,'Choix pédagogiques'!$C$3&lt;&gt;2)),"",IF(AND(OR('Choix pédagogiques'!$C$3=1,'Choix pédagogiques'!$C$3=2),$B339&lt;&gt;"",$C339&lt;&gt;"",$D339&lt;&gt;""),1,0))</f>
        <v/>
      </c>
      <c r="BN339" s="21" t="str">
        <f>IF(OR(COUNT(G339:I1338)=0,AND('Choix pédagogiques'!$C$3&lt;&gt;1,'Choix pédagogiques'!$C$3&lt;&gt;2)),"",IF(AND(OR('Choix pédagogiques'!$C$3=1,'Choix pédagogiques'!$C$3=2),AND($G339&lt;&gt;"",$H339&lt;&gt;"",$I339&lt;&gt;"")),1,0))</f>
        <v/>
      </c>
      <c r="BO339" s="21" t="str">
        <f>IF(OR(COUNT(B339:D1338)=0,COUNT(G339:I1338)=0,'Choix pédagogiques'!C$3&lt;&gt;3),"",IF(AND('Choix pédagogiques'!$C$3=3,$B339&lt;&gt;"",$C339&lt;&gt;"",$D339&lt;&gt;"",$G339&lt;&gt;"",$H339&lt;&gt;"",$I339&lt;&gt;""),1,0))</f>
        <v/>
      </c>
      <c r="BR339" s="21">
        <v>477</v>
      </c>
      <c r="BS339" s="21">
        <v>1344</v>
      </c>
      <c r="BT339"/>
    </row>
    <row r="340" spans="1:72" s="23" customFormat="1" ht="18" customHeight="1" x14ac:dyDescent="0.3">
      <c r="A340" s="35" t="s">
        <v>330</v>
      </c>
      <c r="B340" s="37"/>
      <c r="C340" s="37"/>
      <c r="D340" s="37"/>
      <c r="E340" s="37"/>
      <c r="F340" s="35" t="s">
        <v>1338</v>
      </c>
      <c r="G340" s="37"/>
      <c r="H340" s="37"/>
      <c r="I340" s="37"/>
      <c r="J340" s="37"/>
      <c r="K340" s="21" t="str">
        <f t="shared" si="273"/>
        <v>Apprenant 328</v>
      </c>
      <c r="L340" s="22" t="str">
        <f t="shared" si="274"/>
        <v/>
      </c>
      <c r="M340" s="22" t="str">
        <f t="shared" si="275"/>
        <v/>
      </c>
      <c r="N340" s="22" t="str">
        <f t="shared" si="276"/>
        <v/>
      </c>
      <c r="O340" s="22" t="str">
        <f t="shared" si="277"/>
        <v/>
      </c>
      <c r="P340" s="21" t="str">
        <f t="shared" si="278"/>
        <v>Apprenant 328 ou 328'</v>
      </c>
      <c r="Q340" s="22" t="str">
        <f t="shared" si="279"/>
        <v/>
      </c>
      <c r="R340" s="22" t="str">
        <f t="shared" si="280"/>
        <v/>
      </c>
      <c r="S340" s="22" t="str">
        <f t="shared" si="281"/>
        <v/>
      </c>
      <c r="T340" s="22" t="str">
        <f t="shared" si="282"/>
        <v/>
      </c>
      <c r="V340" s="21" t="str">
        <f t="shared" si="283"/>
        <v>Apprenant 328</v>
      </c>
      <c r="W340" s="22" t="str">
        <f>IF(AND(OR('Choix pédagogiques'!$C$3=1,'Choix pédagogiques'!$C$3=2),$BM340=1),B340,IF(AND('Choix pédagogiques'!$C$3=3,$BO340=1),B340,""))</f>
        <v/>
      </c>
      <c r="X340" s="22" t="str">
        <f>IF(AND(OR('Choix pédagogiques'!$C$3=1,'Choix pédagogiques'!$C$3=2),$BM340=1),C340,IF(AND('Choix pédagogiques'!$C$3=3,$BO340=1),C340,""))</f>
        <v/>
      </c>
      <c r="Y340" s="22" t="str">
        <f>IF(AND(OR('Choix pédagogiques'!$C$3=1,'Choix pédagogiques'!$C$3=2),$BM340=1),D340,IF(AND('Choix pédagogiques'!$C$3=3,$BO340=1),D340,""))</f>
        <v/>
      </c>
      <c r="Z340" s="22" t="str">
        <f t="shared" si="284"/>
        <v/>
      </c>
      <c r="AA340" s="21" t="str">
        <f t="shared" si="285"/>
        <v>Apprenant 328 ou 328'</v>
      </c>
      <c r="AB340" s="22" t="str">
        <f>IF(AND(OR('Choix pédagogiques'!$C$3=1,'Choix pédagogiques'!$C$3=2),$BN340=1),G340,IF(AND('Choix pédagogiques'!$C$3=3,$BO340=1),G340,""))</f>
        <v/>
      </c>
      <c r="AC340" s="22" t="str">
        <f>IF(AND(OR('Choix pédagogiques'!$C$3=1,'Choix pédagogiques'!$C$3=2),$BN340=1),H340,IF(AND('Choix pédagogiques'!$C$3=3,$BO340=1),H340,""))</f>
        <v/>
      </c>
      <c r="AD340" s="22" t="str">
        <f>IF(AND(OR('Choix pédagogiques'!$C$3=1,'Choix pédagogiques'!$C$3=2),$BN340=1),I340,IF(AND('Choix pédagogiques'!$C$3=3,$BO340=1),I340,""))</f>
        <v/>
      </c>
      <c r="AE340" s="22" t="str">
        <f t="shared" si="286"/>
        <v/>
      </c>
      <c r="AF340" s="21" t="str">
        <f t="shared" si="287"/>
        <v>Apprenant 328</v>
      </c>
      <c r="AG340" s="22" t="str">
        <f t="shared" si="261"/>
        <v/>
      </c>
      <c r="AH340" s="22" t="str">
        <f t="shared" si="262"/>
        <v/>
      </c>
      <c r="AI340" s="22" t="str">
        <f t="shared" si="263"/>
        <v/>
      </c>
      <c r="AJ340" s="22" t="str">
        <f t="shared" si="288"/>
        <v/>
      </c>
      <c r="AK340" s="21" t="str">
        <f t="shared" si="289"/>
        <v>Apprenant 328 ou 328'</v>
      </c>
      <c r="AL340" s="22" t="str">
        <f t="shared" si="264"/>
        <v/>
      </c>
      <c r="AM340" s="22" t="str">
        <f t="shared" si="265"/>
        <v/>
      </c>
      <c r="AN340" s="22" t="str">
        <f t="shared" si="266"/>
        <v/>
      </c>
      <c r="AO340" s="22" t="str">
        <f t="shared" si="290"/>
        <v/>
      </c>
      <c r="AQ340" s="21" t="str">
        <f t="shared" si="291"/>
        <v>Apprenant 328</v>
      </c>
      <c r="AR340" s="49" t="str">
        <f>IF(AND('Choix pédagogiques'!$C$4&lt;&gt;"?",'Choix pédagogiques'!$C$5&lt;&gt;"?",W340&lt;&gt;""),(W340-'Choix pédagogiques'!$C$4)/('Choix pédagogiques'!$C$5-'Choix pédagogiques'!$C$4),"")</f>
        <v/>
      </c>
      <c r="AS340" s="49" t="str">
        <f>IF(AND('Choix pédagogiques'!$C$4&lt;&gt;"?",'Choix pédagogiques'!$C$5&lt;&gt;"?",X340&lt;&gt;""),(X340-'Choix pédagogiques'!$C$4)/('Choix pédagogiques'!$C$5-'Choix pédagogiques'!$C$4),"")</f>
        <v/>
      </c>
      <c r="AT340" s="49" t="str">
        <f>IF(AND('Choix pédagogiques'!$C$4&lt;&gt;"?",'Choix pédagogiques'!$C$5&lt;&gt;"?",Y340&lt;&gt;""),(Y340-'Choix pédagogiques'!$C$4)/('Choix pédagogiques'!$C$5-'Choix pédagogiques'!$C$4),"")</f>
        <v/>
      </c>
      <c r="AU340" s="22" t="str">
        <f t="shared" si="292"/>
        <v/>
      </c>
      <c r="AV340" s="21" t="str">
        <f t="shared" si="293"/>
        <v>Apprenant 328 ou 328'</v>
      </c>
      <c r="AW340" s="49" t="str">
        <f>IF(AND('Choix pédagogiques'!$C$4&lt;&gt;"?",'Choix pédagogiques'!$C$5&lt;&gt;"?",AB340&lt;&gt;""),(AB340-'Choix pédagogiques'!$C$4)/('Choix pédagogiques'!$C$5-'Choix pédagogiques'!$C$4),"")</f>
        <v/>
      </c>
      <c r="AX340" s="49" t="str">
        <f>IF(AND('Choix pédagogiques'!$C$4&lt;&gt;"?",'Choix pédagogiques'!$C$5&lt;&gt;"?",AC340&lt;&gt;""),(AC340-'Choix pédagogiques'!$C$4)/('Choix pédagogiques'!$C$5-'Choix pédagogiques'!$C$4),"")</f>
        <v/>
      </c>
      <c r="AY340" s="49" t="str">
        <f>IF(AND('Choix pédagogiques'!$C$4&lt;&gt;"?",'Choix pédagogiques'!$C$5&lt;&gt;"?",AD340&lt;&gt;""),(AD340-'Choix pédagogiques'!$C$4)/('Choix pédagogiques'!$C$5-'Choix pédagogiques'!$C$4),"")</f>
        <v/>
      </c>
      <c r="AZ340" s="22" t="str">
        <f t="shared" si="294"/>
        <v/>
      </c>
      <c r="BA340" s="21" t="str">
        <f t="shared" si="295"/>
        <v>Apprenant 328</v>
      </c>
      <c r="BB340" s="49" t="str">
        <f t="shared" si="267"/>
        <v/>
      </c>
      <c r="BC340" s="49" t="str">
        <f t="shared" si="268"/>
        <v/>
      </c>
      <c r="BD340" s="49" t="str">
        <f t="shared" si="269"/>
        <v/>
      </c>
      <c r="BE340" s="22" t="str">
        <f t="shared" si="296"/>
        <v/>
      </c>
      <c r="BF340" s="21" t="str">
        <f t="shared" si="297"/>
        <v>Apprenant 328 ou 328'</v>
      </c>
      <c r="BG340" s="49" t="str">
        <f t="shared" si="270"/>
        <v/>
      </c>
      <c r="BH340" s="49" t="str">
        <f t="shared" si="271"/>
        <v/>
      </c>
      <c r="BI340" s="49" t="str">
        <f t="shared" si="272"/>
        <v/>
      </c>
      <c r="BJ340" s="22" t="str">
        <f t="shared" si="298"/>
        <v/>
      </c>
      <c r="BL340" s="21"/>
      <c r="BM340" s="21" t="str">
        <f>IF(OR(COUNT(B340:D1339)=0,AND('Choix pédagogiques'!$C$3&lt;&gt;1,'Choix pédagogiques'!$C$3&lt;&gt;2)),"",IF(AND(OR('Choix pédagogiques'!$C$3=1,'Choix pédagogiques'!$C$3=2),$B340&lt;&gt;"",$C340&lt;&gt;"",$D340&lt;&gt;""),1,0))</f>
        <v/>
      </c>
      <c r="BN340" s="21" t="str">
        <f>IF(OR(COUNT(G340:I1339)=0,AND('Choix pédagogiques'!$C$3&lt;&gt;1,'Choix pédagogiques'!$C$3&lt;&gt;2)),"",IF(AND(OR('Choix pédagogiques'!$C$3=1,'Choix pédagogiques'!$C$3=2),AND($G340&lt;&gt;"",$H340&lt;&gt;"",$I340&lt;&gt;"")),1,0))</f>
        <v/>
      </c>
      <c r="BO340" s="21" t="str">
        <f>IF(OR(COUNT(B340:D1339)=0,COUNT(G340:I1339)=0,'Choix pédagogiques'!C$3&lt;&gt;3),"",IF(AND('Choix pédagogiques'!$C$3=3,$B340&lt;&gt;"",$C340&lt;&gt;"",$D340&lt;&gt;"",$G340&lt;&gt;"",$H340&lt;&gt;"",$I340&lt;&gt;""),1,0))</f>
        <v/>
      </c>
      <c r="BR340" s="21">
        <v>763</v>
      </c>
      <c r="BS340" s="21">
        <v>1875</v>
      </c>
      <c r="BT340"/>
    </row>
    <row r="341" spans="1:72" s="23" customFormat="1" ht="18" customHeight="1" x14ac:dyDescent="0.3">
      <c r="A341" s="35" t="s">
        <v>331</v>
      </c>
      <c r="B341" s="37"/>
      <c r="C341" s="37"/>
      <c r="D341" s="37"/>
      <c r="E341" s="37"/>
      <c r="F341" s="35" t="s">
        <v>1339</v>
      </c>
      <c r="G341" s="37"/>
      <c r="H341" s="37"/>
      <c r="I341" s="37"/>
      <c r="J341" s="37"/>
      <c r="K341" s="21" t="str">
        <f t="shared" si="273"/>
        <v>Apprenant 329</v>
      </c>
      <c r="L341" s="22" t="str">
        <f t="shared" si="274"/>
        <v/>
      </c>
      <c r="M341" s="22" t="str">
        <f t="shared" si="275"/>
        <v/>
      </c>
      <c r="N341" s="22" t="str">
        <f t="shared" si="276"/>
        <v/>
      </c>
      <c r="O341" s="22" t="str">
        <f t="shared" si="277"/>
        <v/>
      </c>
      <c r="P341" s="21" t="str">
        <f t="shared" si="278"/>
        <v>Apprenant 329 ou 329'</v>
      </c>
      <c r="Q341" s="22" t="str">
        <f t="shared" si="279"/>
        <v/>
      </c>
      <c r="R341" s="22" t="str">
        <f t="shared" si="280"/>
        <v/>
      </c>
      <c r="S341" s="22" t="str">
        <f t="shared" si="281"/>
        <v/>
      </c>
      <c r="T341" s="22" t="str">
        <f t="shared" si="282"/>
        <v/>
      </c>
      <c r="V341" s="21" t="str">
        <f t="shared" si="283"/>
        <v>Apprenant 329</v>
      </c>
      <c r="W341" s="22" t="str">
        <f>IF(AND(OR('Choix pédagogiques'!$C$3=1,'Choix pédagogiques'!$C$3=2),$BM341=1),B341,IF(AND('Choix pédagogiques'!$C$3=3,$BO341=1),B341,""))</f>
        <v/>
      </c>
      <c r="X341" s="22" t="str">
        <f>IF(AND(OR('Choix pédagogiques'!$C$3=1,'Choix pédagogiques'!$C$3=2),$BM341=1),C341,IF(AND('Choix pédagogiques'!$C$3=3,$BO341=1),C341,""))</f>
        <v/>
      </c>
      <c r="Y341" s="22" t="str">
        <f>IF(AND(OR('Choix pédagogiques'!$C$3=1,'Choix pédagogiques'!$C$3=2),$BM341=1),D341,IF(AND('Choix pédagogiques'!$C$3=3,$BO341=1),D341,""))</f>
        <v/>
      </c>
      <c r="Z341" s="22" t="str">
        <f t="shared" si="284"/>
        <v/>
      </c>
      <c r="AA341" s="21" t="str">
        <f t="shared" si="285"/>
        <v>Apprenant 329 ou 329'</v>
      </c>
      <c r="AB341" s="22" t="str">
        <f>IF(AND(OR('Choix pédagogiques'!$C$3=1,'Choix pédagogiques'!$C$3=2),$BN341=1),G341,IF(AND('Choix pédagogiques'!$C$3=3,$BO341=1),G341,""))</f>
        <v/>
      </c>
      <c r="AC341" s="22" t="str">
        <f>IF(AND(OR('Choix pédagogiques'!$C$3=1,'Choix pédagogiques'!$C$3=2),$BN341=1),H341,IF(AND('Choix pédagogiques'!$C$3=3,$BO341=1),H341,""))</f>
        <v/>
      </c>
      <c r="AD341" s="22" t="str">
        <f>IF(AND(OR('Choix pédagogiques'!$C$3=1,'Choix pédagogiques'!$C$3=2),$BN341=1),I341,IF(AND('Choix pédagogiques'!$C$3=3,$BO341=1),I341,""))</f>
        <v/>
      </c>
      <c r="AE341" s="22" t="str">
        <f t="shared" si="286"/>
        <v/>
      </c>
      <c r="AF341" s="21" t="str">
        <f t="shared" si="287"/>
        <v>Apprenant 329</v>
      </c>
      <c r="AG341" s="22" t="str">
        <f t="shared" si="261"/>
        <v/>
      </c>
      <c r="AH341" s="22" t="str">
        <f t="shared" si="262"/>
        <v/>
      </c>
      <c r="AI341" s="22" t="str">
        <f t="shared" si="263"/>
        <v/>
      </c>
      <c r="AJ341" s="22" t="str">
        <f t="shared" si="288"/>
        <v/>
      </c>
      <c r="AK341" s="21" t="str">
        <f t="shared" si="289"/>
        <v>Apprenant 329 ou 329'</v>
      </c>
      <c r="AL341" s="22" t="str">
        <f t="shared" si="264"/>
        <v/>
      </c>
      <c r="AM341" s="22" t="str">
        <f t="shared" si="265"/>
        <v/>
      </c>
      <c r="AN341" s="22" t="str">
        <f t="shared" si="266"/>
        <v/>
      </c>
      <c r="AO341" s="22" t="str">
        <f t="shared" si="290"/>
        <v/>
      </c>
      <c r="AQ341" s="21" t="str">
        <f t="shared" si="291"/>
        <v>Apprenant 329</v>
      </c>
      <c r="AR341" s="49" t="str">
        <f>IF(AND('Choix pédagogiques'!$C$4&lt;&gt;"?",'Choix pédagogiques'!$C$5&lt;&gt;"?",W341&lt;&gt;""),(W341-'Choix pédagogiques'!$C$4)/('Choix pédagogiques'!$C$5-'Choix pédagogiques'!$C$4),"")</f>
        <v/>
      </c>
      <c r="AS341" s="49" t="str">
        <f>IF(AND('Choix pédagogiques'!$C$4&lt;&gt;"?",'Choix pédagogiques'!$C$5&lt;&gt;"?",X341&lt;&gt;""),(X341-'Choix pédagogiques'!$C$4)/('Choix pédagogiques'!$C$5-'Choix pédagogiques'!$C$4),"")</f>
        <v/>
      </c>
      <c r="AT341" s="49" t="str">
        <f>IF(AND('Choix pédagogiques'!$C$4&lt;&gt;"?",'Choix pédagogiques'!$C$5&lt;&gt;"?",Y341&lt;&gt;""),(Y341-'Choix pédagogiques'!$C$4)/('Choix pédagogiques'!$C$5-'Choix pédagogiques'!$C$4),"")</f>
        <v/>
      </c>
      <c r="AU341" s="22" t="str">
        <f t="shared" si="292"/>
        <v/>
      </c>
      <c r="AV341" s="21" t="str">
        <f t="shared" si="293"/>
        <v>Apprenant 329 ou 329'</v>
      </c>
      <c r="AW341" s="49" t="str">
        <f>IF(AND('Choix pédagogiques'!$C$4&lt;&gt;"?",'Choix pédagogiques'!$C$5&lt;&gt;"?",AB341&lt;&gt;""),(AB341-'Choix pédagogiques'!$C$4)/('Choix pédagogiques'!$C$5-'Choix pédagogiques'!$C$4),"")</f>
        <v/>
      </c>
      <c r="AX341" s="49" t="str">
        <f>IF(AND('Choix pédagogiques'!$C$4&lt;&gt;"?",'Choix pédagogiques'!$C$5&lt;&gt;"?",AC341&lt;&gt;""),(AC341-'Choix pédagogiques'!$C$4)/('Choix pédagogiques'!$C$5-'Choix pédagogiques'!$C$4),"")</f>
        <v/>
      </c>
      <c r="AY341" s="49" t="str">
        <f>IF(AND('Choix pédagogiques'!$C$4&lt;&gt;"?",'Choix pédagogiques'!$C$5&lt;&gt;"?",AD341&lt;&gt;""),(AD341-'Choix pédagogiques'!$C$4)/('Choix pédagogiques'!$C$5-'Choix pédagogiques'!$C$4),"")</f>
        <v/>
      </c>
      <c r="AZ341" s="22" t="str">
        <f t="shared" si="294"/>
        <v/>
      </c>
      <c r="BA341" s="21" t="str">
        <f t="shared" si="295"/>
        <v>Apprenant 329</v>
      </c>
      <c r="BB341" s="49" t="str">
        <f t="shared" si="267"/>
        <v/>
      </c>
      <c r="BC341" s="49" t="str">
        <f t="shared" si="268"/>
        <v/>
      </c>
      <c r="BD341" s="49" t="str">
        <f t="shared" si="269"/>
        <v/>
      </c>
      <c r="BE341" s="22" t="str">
        <f t="shared" si="296"/>
        <v/>
      </c>
      <c r="BF341" s="21" t="str">
        <f t="shared" si="297"/>
        <v>Apprenant 329 ou 329'</v>
      </c>
      <c r="BG341" s="49" t="str">
        <f t="shared" si="270"/>
        <v/>
      </c>
      <c r="BH341" s="49" t="str">
        <f t="shared" si="271"/>
        <v/>
      </c>
      <c r="BI341" s="49" t="str">
        <f t="shared" si="272"/>
        <v/>
      </c>
      <c r="BJ341" s="22" t="str">
        <f t="shared" si="298"/>
        <v/>
      </c>
      <c r="BL341" s="21"/>
      <c r="BM341" s="21" t="str">
        <f>IF(OR(COUNT(B341:D1340)=0,AND('Choix pédagogiques'!$C$3&lt;&gt;1,'Choix pédagogiques'!$C$3&lt;&gt;2)),"",IF(AND(OR('Choix pédagogiques'!$C$3=1,'Choix pédagogiques'!$C$3=2),$B341&lt;&gt;"",$C341&lt;&gt;"",$D341&lt;&gt;""),1,0))</f>
        <v/>
      </c>
      <c r="BN341" s="21" t="str">
        <f>IF(OR(COUNT(G341:I1340)=0,AND('Choix pédagogiques'!$C$3&lt;&gt;1,'Choix pédagogiques'!$C$3&lt;&gt;2)),"",IF(AND(OR('Choix pédagogiques'!$C$3=1,'Choix pédagogiques'!$C$3=2),AND($G341&lt;&gt;"",$H341&lt;&gt;"",$I341&lt;&gt;"")),1,0))</f>
        <v/>
      </c>
      <c r="BO341" s="21" t="str">
        <f>IF(OR(COUNT(B341:D1340)=0,COUNT(G341:I1340)=0,'Choix pédagogiques'!C$3&lt;&gt;3),"",IF(AND('Choix pédagogiques'!$C$3=3,$B341&lt;&gt;"",$C341&lt;&gt;"",$D341&lt;&gt;"",$G341&lt;&gt;"",$H341&lt;&gt;"",$I341&lt;&gt;""),1,0))</f>
        <v/>
      </c>
      <c r="BR341" s="21">
        <v>143</v>
      </c>
      <c r="BS341" s="21">
        <v>1820</v>
      </c>
      <c r="BT341"/>
    </row>
    <row r="342" spans="1:72" s="23" customFormat="1" ht="18" customHeight="1" x14ac:dyDescent="0.3">
      <c r="A342" s="35" t="s">
        <v>332</v>
      </c>
      <c r="B342" s="37"/>
      <c r="C342" s="37"/>
      <c r="D342" s="37"/>
      <c r="E342" s="37"/>
      <c r="F342" s="35" t="s">
        <v>1340</v>
      </c>
      <c r="G342" s="37"/>
      <c r="H342" s="37"/>
      <c r="I342" s="37"/>
      <c r="J342" s="37"/>
      <c r="K342" s="21" t="str">
        <f t="shared" si="273"/>
        <v>Apprenant 330</v>
      </c>
      <c r="L342" s="22" t="str">
        <f t="shared" si="274"/>
        <v/>
      </c>
      <c r="M342" s="22" t="str">
        <f t="shared" si="275"/>
        <v/>
      </c>
      <c r="N342" s="22" t="str">
        <f t="shared" si="276"/>
        <v/>
      </c>
      <c r="O342" s="22" t="str">
        <f t="shared" si="277"/>
        <v/>
      </c>
      <c r="P342" s="21" t="str">
        <f t="shared" si="278"/>
        <v>Apprenant 330 ou 330'</v>
      </c>
      <c r="Q342" s="22" t="str">
        <f t="shared" si="279"/>
        <v/>
      </c>
      <c r="R342" s="22" t="str">
        <f t="shared" si="280"/>
        <v/>
      </c>
      <c r="S342" s="22" t="str">
        <f t="shared" si="281"/>
        <v/>
      </c>
      <c r="T342" s="22" t="str">
        <f t="shared" si="282"/>
        <v/>
      </c>
      <c r="V342" s="21" t="str">
        <f t="shared" si="283"/>
        <v>Apprenant 330</v>
      </c>
      <c r="W342" s="22" t="str">
        <f>IF(AND(OR('Choix pédagogiques'!$C$3=1,'Choix pédagogiques'!$C$3=2),$BM342=1),B342,IF(AND('Choix pédagogiques'!$C$3=3,$BO342=1),B342,""))</f>
        <v/>
      </c>
      <c r="X342" s="22" t="str">
        <f>IF(AND(OR('Choix pédagogiques'!$C$3=1,'Choix pédagogiques'!$C$3=2),$BM342=1),C342,IF(AND('Choix pédagogiques'!$C$3=3,$BO342=1),C342,""))</f>
        <v/>
      </c>
      <c r="Y342" s="22" t="str">
        <f>IF(AND(OR('Choix pédagogiques'!$C$3=1,'Choix pédagogiques'!$C$3=2),$BM342=1),D342,IF(AND('Choix pédagogiques'!$C$3=3,$BO342=1),D342,""))</f>
        <v/>
      </c>
      <c r="Z342" s="22" t="str">
        <f t="shared" si="284"/>
        <v/>
      </c>
      <c r="AA342" s="21" t="str">
        <f t="shared" si="285"/>
        <v>Apprenant 330 ou 330'</v>
      </c>
      <c r="AB342" s="22" t="str">
        <f>IF(AND(OR('Choix pédagogiques'!$C$3=1,'Choix pédagogiques'!$C$3=2),$BN342=1),G342,IF(AND('Choix pédagogiques'!$C$3=3,$BO342=1),G342,""))</f>
        <v/>
      </c>
      <c r="AC342" s="22" t="str">
        <f>IF(AND(OR('Choix pédagogiques'!$C$3=1,'Choix pédagogiques'!$C$3=2),$BN342=1),H342,IF(AND('Choix pédagogiques'!$C$3=3,$BO342=1),H342,""))</f>
        <v/>
      </c>
      <c r="AD342" s="22" t="str">
        <f>IF(AND(OR('Choix pédagogiques'!$C$3=1,'Choix pédagogiques'!$C$3=2),$BN342=1),I342,IF(AND('Choix pédagogiques'!$C$3=3,$BO342=1),I342,""))</f>
        <v/>
      </c>
      <c r="AE342" s="22" t="str">
        <f t="shared" si="286"/>
        <v/>
      </c>
      <c r="AF342" s="21" t="str">
        <f t="shared" si="287"/>
        <v>Apprenant 330</v>
      </c>
      <c r="AG342" s="22" t="str">
        <f t="shared" si="261"/>
        <v/>
      </c>
      <c r="AH342" s="22" t="str">
        <f t="shared" si="262"/>
        <v/>
      </c>
      <c r="AI342" s="22" t="str">
        <f t="shared" si="263"/>
        <v/>
      </c>
      <c r="AJ342" s="22" t="str">
        <f t="shared" si="288"/>
        <v/>
      </c>
      <c r="AK342" s="21" t="str">
        <f t="shared" si="289"/>
        <v>Apprenant 330 ou 330'</v>
      </c>
      <c r="AL342" s="22" t="str">
        <f t="shared" si="264"/>
        <v/>
      </c>
      <c r="AM342" s="22" t="str">
        <f t="shared" si="265"/>
        <v/>
      </c>
      <c r="AN342" s="22" t="str">
        <f t="shared" si="266"/>
        <v/>
      </c>
      <c r="AO342" s="22" t="str">
        <f t="shared" si="290"/>
        <v/>
      </c>
      <c r="AQ342" s="21" t="str">
        <f t="shared" si="291"/>
        <v>Apprenant 330</v>
      </c>
      <c r="AR342" s="49" t="str">
        <f>IF(AND('Choix pédagogiques'!$C$4&lt;&gt;"?",'Choix pédagogiques'!$C$5&lt;&gt;"?",W342&lt;&gt;""),(W342-'Choix pédagogiques'!$C$4)/('Choix pédagogiques'!$C$5-'Choix pédagogiques'!$C$4),"")</f>
        <v/>
      </c>
      <c r="AS342" s="49" t="str">
        <f>IF(AND('Choix pédagogiques'!$C$4&lt;&gt;"?",'Choix pédagogiques'!$C$5&lt;&gt;"?",X342&lt;&gt;""),(X342-'Choix pédagogiques'!$C$4)/('Choix pédagogiques'!$C$5-'Choix pédagogiques'!$C$4),"")</f>
        <v/>
      </c>
      <c r="AT342" s="49" t="str">
        <f>IF(AND('Choix pédagogiques'!$C$4&lt;&gt;"?",'Choix pédagogiques'!$C$5&lt;&gt;"?",Y342&lt;&gt;""),(Y342-'Choix pédagogiques'!$C$4)/('Choix pédagogiques'!$C$5-'Choix pédagogiques'!$C$4),"")</f>
        <v/>
      </c>
      <c r="AU342" s="22" t="str">
        <f t="shared" si="292"/>
        <v/>
      </c>
      <c r="AV342" s="21" t="str">
        <f t="shared" si="293"/>
        <v>Apprenant 330 ou 330'</v>
      </c>
      <c r="AW342" s="49" t="str">
        <f>IF(AND('Choix pédagogiques'!$C$4&lt;&gt;"?",'Choix pédagogiques'!$C$5&lt;&gt;"?",AB342&lt;&gt;""),(AB342-'Choix pédagogiques'!$C$4)/('Choix pédagogiques'!$C$5-'Choix pédagogiques'!$C$4),"")</f>
        <v/>
      </c>
      <c r="AX342" s="49" t="str">
        <f>IF(AND('Choix pédagogiques'!$C$4&lt;&gt;"?",'Choix pédagogiques'!$C$5&lt;&gt;"?",AC342&lt;&gt;""),(AC342-'Choix pédagogiques'!$C$4)/('Choix pédagogiques'!$C$5-'Choix pédagogiques'!$C$4),"")</f>
        <v/>
      </c>
      <c r="AY342" s="49" t="str">
        <f>IF(AND('Choix pédagogiques'!$C$4&lt;&gt;"?",'Choix pédagogiques'!$C$5&lt;&gt;"?",AD342&lt;&gt;""),(AD342-'Choix pédagogiques'!$C$4)/('Choix pédagogiques'!$C$5-'Choix pédagogiques'!$C$4),"")</f>
        <v/>
      </c>
      <c r="AZ342" s="22" t="str">
        <f t="shared" si="294"/>
        <v/>
      </c>
      <c r="BA342" s="21" t="str">
        <f t="shared" si="295"/>
        <v>Apprenant 330</v>
      </c>
      <c r="BB342" s="49" t="str">
        <f t="shared" si="267"/>
        <v/>
      </c>
      <c r="BC342" s="49" t="str">
        <f t="shared" si="268"/>
        <v/>
      </c>
      <c r="BD342" s="49" t="str">
        <f t="shared" si="269"/>
        <v/>
      </c>
      <c r="BE342" s="22" t="str">
        <f t="shared" si="296"/>
        <v/>
      </c>
      <c r="BF342" s="21" t="str">
        <f t="shared" si="297"/>
        <v>Apprenant 330 ou 330'</v>
      </c>
      <c r="BG342" s="49" t="str">
        <f t="shared" si="270"/>
        <v/>
      </c>
      <c r="BH342" s="49" t="str">
        <f t="shared" si="271"/>
        <v/>
      </c>
      <c r="BI342" s="49" t="str">
        <f t="shared" si="272"/>
        <v/>
      </c>
      <c r="BJ342" s="22" t="str">
        <f t="shared" si="298"/>
        <v/>
      </c>
      <c r="BL342" s="21"/>
      <c r="BM342" s="21" t="str">
        <f>IF(OR(COUNT(B342:D1341)=0,AND('Choix pédagogiques'!$C$3&lt;&gt;1,'Choix pédagogiques'!$C$3&lt;&gt;2)),"",IF(AND(OR('Choix pédagogiques'!$C$3=1,'Choix pédagogiques'!$C$3=2),$B342&lt;&gt;"",$C342&lt;&gt;"",$D342&lt;&gt;""),1,0))</f>
        <v/>
      </c>
      <c r="BN342" s="21" t="str">
        <f>IF(OR(COUNT(G342:I1341)=0,AND('Choix pédagogiques'!$C$3&lt;&gt;1,'Choix pédagogiques'!$C$3&lt;&gt;2)),"",IF(AND(OR('Choix pédagogiques'!$C$3=1,'Choix pédagogiques'!$C$3=2),AND($G342&lt;&gt;"",$H342&lt;&gt;"",$I342&lt;&gt;"")),1,0))</f>
        <v/>
      </c>
      <c r="BO342" s="21" t="str">
        <f>IF(OR(COUNT(B342:D1341)=0,COUNT(G342:I1341)=0,'Choix pédagogiques'!C$3&lt;&gt;3),"",IF(AND('Choix pédagogiques'!$C$3=3,$B342&lt;&gt;"",$C342&lt;&gt;"",$D342&lt;&gt;"",$G342&lt;&gt;"",$H342&lt;&gt;"",$I342&lt;&gt;""),1,0))</f>
        <v/>
      </c>
      <c r="BR342" s="21">
        <v>903</v>
      </c>
      <c r="BS342" s="21">
        <v>1586</v>
      </c>
      <c r="BT342"/>
    </row>
    <row r="343" spans="1:72" s="23" customFormat="1" ht="18" customHeight="1" x14ac:dyDescent="0.3">
      <c r="A343" s="35" t="s">
        <v>333</v>
      </c>
      <c r="B343" s="37"/>
      <c r="C343" s="37"/>
      <c r="D343" s="37"/>
      <c r="E343" s="37"/>
      <c r="F343" s="35" t="s">
        <v>1341</v>
      </c>
      <c r="G343" s="37"/>
      <c r="H343" s="37"/>
      <c r="I343" s="37"/>
      <c r="J343" s="37"/>
      <c r="K343" s="21" t="str">
        <f t="shared" si="273"/>
        <v>Apprenant 331</v>
      </c>
      <c r="L343" s="22" t="str">
        <f t="shared" si="274"/>
        <v/>
      </c>
      <c r="M343" s="22" t="str">
        <f t="shared" si="275"/>
        <v/>
      </c>
      <c r="N343" s="22" t="str">
        <f t="shared" si="276"/>
        <v/>
      </c>
      <c r="O343" s="22" t="str">
        <f t="shared" si="277"/>
        <v/>
      </c>
      <c r="P343" s="21" t="str">
        <f t="shared" si="278"/>
        <v>Apprenant 331 ou 331'</v>
      </c>
      <c r="Q343" s="22" t="str">
        <f t="shared" si="279"/>
        <v/>
      </c>
      <c r="R343" s="22" t="str">
        <f t="shared" si="280"/>
        <v/>
      </c>
      <c r="S343" s="22" t="str">
        <f t="shared" si="281"/>
        <v/>
      </c>
      <c r="T343" s="22" t="str">
        <f t="shared" si="282"/>
        <v/>
      </c>
      <c r="V343" s="21" t="str">
        <f t="shared" si="283"/>
        <v>Apprenant 331</v>
      </c>
      <c r="W343" s="22" t="str">
        <f>IF(AND(OR('Choix pédagogiques'!$C$3=1,'Choix pédagogiques'!$C$3=2),$BM343=1),B343,IF(AND('Choix pédagogiques'!$C$3=3,$BO343=1),B343,""))</f>
        <v/>
      </c>
      <c r="X343" s="22" t="str">
        <f>IF(AND(OR('Choix pédagogiques'!$C$3=1,'Choix pédagogiques'!$C$3=2),$BM343=1),C343,IF(AND('Choix pédagogiques'!$C$3=3,$BO343=1),C343,""))</f>
        <v/>
      </c>
      <c r="Y343" s="22" t="str">
        <f>IF(AND(OR('Choix pédagogiques'!$C$3=1,'Choix pédagogiques'!$C$3=2),$BM343=1),D343,IF(AND('Choix pédagogiques'!$C$3=3,$BO343=1),D343,""))</f>
        <v/>
      </c>
      <c r="Z343" s="22" t="str">
        <f t="shared" si="284"/>
        <v/>
      </c>
      <c r="AA343" s="21" t="str">
        <f t="shared" si="285"/>
        <v>Apprenant 331 ou 331'</v>
      </c>
      <c r="AB343" s="22" t="str">
        <f>IF(AND(OR('Choix pédagogiques'!$C$3=1,'Choix pédagogiques'!$C$3=2),$BN343=1),G343,IF(AND('Choix pédagogiques'!$C$3=3,$BO343=1),G343,""))</f>
        <v/>
      </c>
      <c r="AC343" s="22" t="str">
        <f>IF(AND(OR('Choix pédagogiques'!$C$3=1,'Choix pédagogiques'!$C$3=2),$BN343=1),H343,IF(AND('Choix pédagogiques'!$C$3=3,$BO343=1),H343,""))</f>
        <v/>
      </c>
      <c r="AD343" s="22" t="str">
        <f>IF(AND(OR('Choix pédagogiques'!$C$3=1,'Choix pédagogiques'!$C$3=2),$BN343=1),I343,IF(AND('Choix pédagogiques'!$C$3=3,$BO343=1),I343,""))</f>
        <v/>
      </c>
      <c r="AE343" s="22" t="str">
        <f t="shared" si="286"/>
        <v/>
      </c>
      <c r="AF343" s="21" t="str">
        <f t="shared" si="287"/>
        <v>Apprenant 331</v>
      </c>
      <c r="AG343" s="22" t="str">
        <f t="shared" si="261"/>
        <v/>
      </c>
      <c r="AH343" s="22" t="str">
        <f t="shared" si="262"/>
        <v/>
      </c>
      <c r="AI343" s="22" t="str">
        <f t="shared" si="263"/>
        <v/>
      </c>
      <c r="AJ343" s="22" t="str">
        <f t="shared" si="288"/>
        <v/>
      </c>
      <c r="AK343" s="21" t="str">
        <f t="shared" si="289"/>
        <v>Apprenant 331 ou 331'</v>
      </c>
      <c r="AL343" s="22" t="str">
        <f t="shared" si="264"/>
        <v/>
      </c>
      <c r="AM343" s="22" t="str">
        <f t="shared" si="265"/>
        <v/>
      </c>
      <c r="AN343" s="22" t="str">
        <f t="shared" si="266"/>
        <v/>
      </c>
      <c r="AO343" s="22" t="str">
        <f t="shared" si="290"/>
        <v/>
      </c>
      <c r="AQ343" s="21" t="str">
        <f t="shared" si="291"/>
        <v>Apprenant 331</v>
      </c>
      <c r="AR343" s="49" t="str">
        <f>IF(AND('Choix pédagogiques'!$C$4&lt;&gt;"?",'Choix pédagogiques'!$C$5&lt;&gt;"?",W343&lt;&gt;""),(W343-'Choix pédagogiques'!$C$4)/('Choix pédagogiques'!$C$5-'Choix pédagogiques'!$C$4),"")</f>
        <v/>
      </c>
      <c r="AS343" s="49" t="str">
        <f>IF(AND('Choix pédagogiques'!$C$4&lt;&gt;"?",'Choix pédagogiques'!$C$5&lt;&gt;"?",X343&lt;&gt;""),(X343-'Choix pédagogiques'!$C$4)/('Choix pédagogiques'!$C$5-'Choix pédagogiques'!$C$4),"")</f>
        <v/>
      </c>
      <c r="AT343" s="49" t="str">
        <f>IF(AND('Choix pédagogiques'!$C$4&lt;&gt;"?",'Choix pédagogiques'!$C$5&lt;&gt;"?",Y343&lt;&gt;""),(Y343-'Choix pédagogiques'!$C$4)/('Choix pédagogiques'!$C$5-'Choix pédagogiques'!$C$4),"")</f>
        <v/>
      </c>
      <c r="AU343" s="22" t="str">
        <f t="shared" si="292"/>
        <v/>
      </c>
      <c r="AV343" s="21" t="str">
        <f t="shared" si="293"/>
        <v>Apprenant 331 ou 331'</v>
      </c>
      <c r="AW343" s="49" t="str">
        <f>IF(AND('Choix pédagogiques'!$C$4&lt;&gt;"?",'Choix pédagogiques'!$C$5&lt;&gt;"?",AB343&lt;&gt;""),(AB343-'Choix pédagogiques'!$C$4)/('Choix pédagogiques'!$C$5-'Choix pédagogiques'!$C$4),"")</f>
        <v/>
      </c>
      <c r="AX343" s="49" t="str">
        <f>IF(AND('Choix pédagogiques'!$C$4&lt;&gt;"?",'Choix pédagogiques'!$C$5&lt;&gt;"?",AC343&lt;&gt;""),(AC343-'Choix pédagogiques'!$C$4)/('Choix pédagogiques'!$C$5-'Choix pédagogiques'!$C$4),"")</f>
        <v/>
      </c>
      <c r="AY343" s="49" t="str">
        <f>IF(AND('Choix pédagogiques'!$C$4&lt;&gt;"?",'Choix pédagogiques'!$C$5&lt;&gt;"?",AD343&lt;&gt;""),(AD343-'Choix pédagogiques'!$C$4)/('Choix pédagogiques'!$C$5-'Choix pédagogiques'!$C$4),"")</f>
        <v/>
      </c>
      <c r="AZ343" s="22" t="str">
        <f t="shared" si="294"/>
        <v/>
      </c>
      <c r="BA343" s="21" t="str">
        <f t="shared" si="295"/>
        <v>Apprenant 331</v>
      </c>
      <c r="BB343" s="49" t="str">
        <f t="shared" si="267"/>
        <v/>
      </c>
      <c r="BC343" s="49" t="str">
        <f t="shared" si="268"/>
        <v/>
      </c>
      <c r="BD343" s="49" t="str">
        <f t="shared" si="269"/>
        <v/>
      </c>
      <c r="BE343" s="22" t="str">
        <f t="shared" si="296"/>
        <v/>
      </c>
      <c r="BF343" s="21" t="str">
        <f t="shared" si="297"/>
        <v>Apprenant 331 ou 331'</v>
      </c>
      <c r="BG343" s="49" t="str">
        <f t="shared" si="270"/>
        <v/>
      </c>
      <c r="BH343" s="49" t="str">
        <f t="shared" si="271"/>
        <v/>
      </c>
      <c r="BI343" s="49" t="str">
        <f t="shared" si="272"/>
        <v/>
      </c>
      <c r="BJ343" s="22" t="str">
        <f t="shared" si="298"/>
        <v/>
      </c>
      <c r="BL343" s="21"/>
      <c r="BM343" s="21" t="str">
        <f>IF(OR(COUNT(B343:D1342)=0,AND('Choix pédagogiques'!$C$3&lt;&gt;1,'Choix pédagogiques'!$C$3&lt;&gt;2)),"",IF(AND(OR('Choix pédagogiques'!$C$3=1,'Choix pédagogiques'!$C$3=2),$B343&lt;&gt;"",$C343&lt;&gt;"",$D343&lt;&gt;""),1,0))</f>
        <v/>
      </c>
      <c r="BN343" s="21" t="str">
        <f>IF(OR(COUNT(G343:I1342)=0,AND('Choix pédagogiques'!$C$3&lt;&gt;1,'Choix pédagogiques'!$C$3&lt;&gt;2)),"",IF(AND(OR('Choix pédagogiques'!$C$3=1,'Choix pédagogiques'!$C$3=2),AND($G343&lt;&gt;"",$H343&lt;&gt;"",$I343&lt;&gt;"")),1,0))</f>
        <v/>
      </c>
      <c r="BO343" s="21" t="str">
        <f>IF(OR(COUNT(B343:D1342)=0,COUNT(G343:I1342)=0,'Choix pédagogiques'!C$3&lt;&gt;3),"",IF(AND('Choix pédagogiques'!$C$3=3,$B343&lt;&gt;"",$C343&lt;&gt;"",$D343&lt;&gt;"",$G343&lt;&gt;"",$H343&lt;&gt;"",$I343&lt;&gt;""),1,0))</f>
        <v/>
      </c>
      <c r="BR343" s="21">
        <v>549</v>
      </c>
      <c r="BS343" s="21">
        <v>1630</v>
      </c>
      <c r="BT343"/>
    </row>
    <row r="344" spans="1:72" s="23" customFormat="1" ht="18" customHeight="1" x14ac:dyDescent="0.3">
      <c r="A344" s="35" t="s">
        <v>334</v>
      </c>
      <c r="B344" s="37"/>
      <c r="C344" s="37"/>
      <c r="D344" s="37"/>
      <c r="E344" s="37"/>
      <c r="F344" s="35" t="s">
        <v>1342</v>
      </c>
      <c r="G344" s="37"/>
      <c r="H344" s="37"/>
      <c r="I344" s="37"/>
      <c r="J344" s="37"/>
      <c r="K344" s="21" t="str">
        <f t="shared" si="273"/>
        <v>Apprenant 332</v>
      </c>
      <c r="L344" s="22" t="str">
        <f t="shared" si="274"/>
        <v/>
      </c>
      <c r="M344" s="22" t="str">
        <f t="shared" si="275"/>
        <v/>
      </c>
      <c r="N344" s="22" t="str">
        <f t="shared" si="276"/>
        <v/>
      </c>
      <c r="O344" s="22" t="str">
        <f t="shared" si="277"/>
        <v/>
      </c>
      <c r="P344" s="21" t="str">
        <f t="shared" si="278"/>
        <v>Apprenant 332 ou 332'</v>
      </c>
      <c r="Q344" s="22" t="str">
        <f t="shared" si="279"/>
        <v/>
      </c>
      <c r="R344" s="22" t="str">
        <f t="shared" si="280"/>
        <v/>
      </c>
      <c r="S344" s="22" t="str">
        <f t="shared" si="281"/>
        <v/>
      </c>
      <c r="T344" s="22" t="str">
        <f t="shared" si="282"/>
        <v/>
      </c>
      <c r="V344" s="21" t="str">
        <f t="shared" si="283"/>
        <v>Apprenant 332</v>
      </c>
      <c r="W344" s="22" t="str">
        <f>IF(AND(OR('Choix pédagogiques'!$C$3=1,'Choix pédagogiques'!$C$3=2),$BM344=1),B344,IF(AND('Choix pédagogiques'!$C$3=3,$BO344=1),B344,""))</f>
        <v/>
      </c>
      <c r="X344" s="22" t="str">
        <f>IF(AND(OR('Choix pédagogiques'!$C$3=1,'Choix pédagogiques'!$C$3=2),$BM344=1),C344,IF(AND('Choix pédagogiques'!$C$3=3,$BO344=1),C344,""))</f>
        <v/>
      </c>
      <c r="Y344" s="22" t="str">
        <f>IF(AND(OR('Choix pédagogiques'!$C$3=1,'Choix pédagogiques'!$C$3=2),$BM344=1),D344,IF(AND('Choix pédagogiques'!$C$3=3,$BO344=1),D344,""))</f>
        <v/>
      </c>
      <c r="Z344" s="22" t="str">
        <f t="shared" si="284"/>
        <v/>
      </c>
      <c r="AA344" s="21" t="str">
        <f t="shared" si="285"/>
        <v>Apprenant 332 ou 332'</v>
      </c>
      <c r="AB344" s="22" t="str">
        <f>IF(AND(OR('Choix pédagogiques'!$C$3=1,'Choix pédagogiques'!$C$3=2),$BN344=1),G344,IF(AND('Choix pédagogiques'!$C$3=3,$BO344=1),G344,""))</f>
        <v/>
      </c>
      <c r="AC344" s="22" t="str">
        <f>IF(AND(OR('Choix pédagogiques'!$C$3=1,'Choix pédagogiques'!$C$3=2),$BN344=1),H344,IF(AND('Choix pédagogiques'!$C$3=3,$BO344=1),H344,""))</f>
        <v/>
      </c>
      <c r="AD344" s="22" t="str">
        <f>IF(AND(OR('Choix pédagogiques'!$C$3=1,'Choix pédagogiques'!$C$3=2),$BN344=1),I344,IF(AND('Choix pédagogiques'!$C$3=3,$BO344=1),I344,""))</f>
        <v/>
      </c>
      <c r="AE344" s="22" t="str">
        <f t="shared" si="286"/>
        <v/>
      </c>
      <c r="AF344" s="21" t="str">
        <f t="shared" si="287"/>
        <v>Apprenant 332</v>
      </c>
      <c r="AG344" s="22" t="str">
        <f t="shared" si="261"/>
        <v/>
      </c>
      <c r="AH344" s="22" t="str">
        <f t="shared" si="262"/>
        <v/>
      </c>
      <c r="AI344" s="22" t="str">
        <f t="shared" si="263"/>
        <v/>
      </c>
      <c r="AJ344" s="22" t="str">
        <f t="shared" si="288"/>
        <v/>
      </c>
      <c r="AK344" s="21" t="str">
        <f t="shared" si="289"/>
        <v>Apprenant 332 ou 332'</v>
      </c>
      <c r="AL344" s="22" t="str">
        <f t="shared" si="264"/>
        <v/>
      </c>
      <c r="AM344" s="22" t="str">
        <f t="shared" si="265"/>
        <v/>
      </c>
      <c r="AN344" s="22" t="str">
        <f t="shared" si="266"/>
        <v/>
      </c>
      <c r="AO344" s="22" t="str">
        <f t="shared" si="290"/>
        <v/>
      </c>
      <c r="AQ344" s="21" t="str">
        <f t="shared" si="291"/>
        <v>Apprenant 332</v>
      </c>
      <c r="AR344" s="49" t="str">
        <f>IF(AND('Choix pédagogiques'!$C$4&lt;&gt;"?",'Choix pédagogiques'!$C$5&lt;&gt;"?",W344&lt;&gt;""),(W344-'Choix pédagogiques'!$C$4)/('Choix pédagogiques'!$C$5-'Choix pédagogiques'!$C$4),"")</f>
        <v/>
      </c>
      <c r="AS344" s="49" t="str">
        <f>IF(AND('Choix pédagogiques'!$C$4&lt;&gt;"?",'Choix pédagogiques'!$C$5&lt;&gt;"?",X344&lt;&gt;""),(X344-'Choix pédagogiques'!$C$4)/('Choix pédagogiques'!$C$5-'Choix pédagogiques'!$C$4),"")</f>
        <v/>
      </c>
      <c r="AT344" s="49" t="str">
        <f>IF(AND('Choix pédagogiques'!$C$4&lt;&gt;"?",'Choix pédagogiques'!$C$5&lt;&gt;"?",Y344&lt;&gt;""),(Y344-'Choix pédagogiques'!$C$4)/('Choix pédagogiques'!$C$5-'Choix pédagogiques'!$C$4),"")</f>
        <v/>
      </c>
      <c r="AU344" s="22" t="str">
        <f t="shared" si="292"/>
        <v/>
      </c>
      <c r="AV344" s="21" t="str">
        <f t="shared" si="293"/>
        <v>Apprenant 332 ou 332'</v>
      </c>
      <c r="AW344" s="49" t="str">
        <f>IF(AND('Choix pédagogiques'!$C$4&lt;&gt;"?",'Choix pédagogiques'!$C$5&lt;&gt;"?",AB344&lt;&gt;""),(AB344-'Choix pédagogiques'!$C$4)/('Choix pédagogiques'!$C$5-'Choix pédagogiques'!$C$4),"")</f>
        <v/>
      </c>
      <c r="AX344" s="49" t="str">
        <f>IF(AND('Choix pédagogiques'!$C$4&lt;&gt;"?",'Choix pédagogiques'!$C$5&lt;&gt;"?",AC344&lt;&gt;""),(AC344-'Choix pédagogiques'!$C$4)/('Choix pédagogiques'!$C$5-'Choix pédagogiques'!$C$4),"")</f>
        <v/>
      </c>
      <c r="AY344" s="49" t="str">
        <f>IF(AND('Choix pédagogiques'!$C$4&lt;&gt;"?",'Choix pédagogiques'!$C$5&lt;&gt;"?",AD344&lt;&gt;""),(AD344-'Choix pédagogiques'!$C$4)/('Choix pédagogiques'!$C$5-'Choix pédagogiques'!$C$4),"")</f>
        <v/>
      </c>
      <c r="AZ344" s="22" t="str">
        <f t="shared" si="294"/>
        <v/>
      </c>
      <c r="BA344" s="21" t="str">
        <f t="shared" si="295"/>
        <v>Apprenant 332</v>
      </c>
      <c r="BB344" s="49" t="str">
        <f t="shared" si="267"/>
        <v/>
      </c>
      <c r="BC344" s="49" t="str">
        <f t="shared" si="268"/>
        <v/>
      </c>
      <c r="BD344" s="49" t="str">
        <f t="shared" si="269"/>
        <v/>
      </c>
      <c r="BE344" s="22" t="str">
        <f t="shared" si="296"/>
        <v/>
      </c>
      <c r="BF344" s="21" t="str">
        <f t="shared" si="297"/>
        <v>Apprenant 332 ou 332'</v>
      </c>
      <c r="BG344" s="49" t="str">
        <f t="shared" si="270"/>
        <v/>
      </c>
      <c r="BH344" s="49" t="str">
        <f t="shared" si="271"/>
        <v/>
      </c>
      <c r="BI344" s="49" t="str">
        <f t="shared" si="272"/>
        <v/>
      </c>
      <c r="BJ344" s="22" t="str">
        <f t="shared" si="298"/>
        <v/>
      </c>
      <c r="BL344" s="21"/>
      <c r="BM344" s="21" t="str">
        <f>IF(OR(COUNT(B344:D1343)=0,AND('Choix pédagogiques'!$C$3&lt;&gt;1,'Choix pédagogiques'!$C$3&lt;&gt;2)),"",IF(AND(OR('Choix pédagogiques'!$C$3=1,'Choix pédagogiques'!$C$3=2),$B344&lt;&gt;"",$C344&lt;&gt;"",$D344&lt;&gt;""),1,0))</f>
        <v/>
      </c>
      <c r="BN344" s="21" t="str">
        <f>IF(OR(COUNT(G344:I1343)=0,AND('Choix pédagogiques'!$C$3&lt;&gt;1,'Choix pédagogiques'!$C$3&lt;&gt;2)),"",IF(AND(OR('Choix pédagogiques'!$C$3=1,'Choix pédagogiques'!$C$3=2),AND($G344&lt;&gt;"",$H344&lt;&gt;"",$I344&lt;&gt;"")),1,0))</f>
        <v/>
      </c>
      <c r="BO344" s="21" t="str">
        <f>IF(OR(COUNT(B344:D1343)=0,COUNT(G344:I1343)=0,'Choix pédagogiques'!C$3&lt;&gt;3),"",IF(AND('Choix pédagogiques'!$C$3=3,$B344&lt;&gt;"",$C344&lt;&gt;"",$D344&lt;&gt;"",$G344&lt;&gt;"",$H344&lt;&gt;"",$I344&lt;&gt;""),1,0))</f>
        <v/>
      </c>
      <c r="BR344" s="21">
        <v>432</v>
      </c>
      <c r="BS344" s="21">
        <v>1454</v>
      </c>
      <c r="BT344"/>
    </row>
    <row r="345" spans="1:72" s="23" customFormat="1" ht="18" customHeight="1" x14ac:dyDescent="0.3">
      <c r="A345" s="35" t="s">
        <v>335</v>
      </c>
      <c r="B345" s="37"/>
      <c r="C345" s="37"/>
      <c r="D345" s="37"/>
      <c r="E345" s="37"/>
      <c r="F345" s="35" t="s">
        <v>1343</v>
      </c>
      <c r="G345" s="37"/>
      <c r="H345" s="37"/>
      <c r="I345" s="37"/>
      <c r="J345" s="37"/>
      <c r="K345" s="21" t="str">
        <f t="shared" si="273"/>
        <v>Apprenant 333</v>
      </c>
      <c r="L345" s="22" t="str">
        <f t="shared" si="274"/>
        <v/>
      </c>
      <c r="M345" s="22" t="str">
        <f t="shared" si="275"/>
        <v/>
      </c>
      <c r="N345" s="22" t="str">
        <f t="shared" si="276"/>
        <v/>
      </c>
      <c r="O345" s="22" t="str">
        <f t="shared" si="277"/>
        <v/>
      </c>
      <c r="P345" s="21" t="str">
        <f t="shared" si="278"/>
        <v>Apprenant 333 ou 333'</v>
      </c>
      <c r="Q345" s="22" t="str">
        <f t="shared" si="279"/>
        <v/>
      </c>
      <c r="R345" s="22" t="str">
        <f t="shared" si="280"/>
        <v/>
      </c>
      <c r="S345" s="22" t="str">
        <f t="shared" si="281"/>
        <v/>
      </c>
      <c r="T345" s="22" t="str">
        <f t="shared" si="282"/>
        <v/>
      </c>
      <c r="V345" s="21" t="str">
        <f t="shared" si="283"/>
        <v>Apprenant 333</v>
      </c>
      <c r="W345" s="22" t="str">
        <f>IF(AND(OR('Choix pédagogiques'!$C$3=1,'Choix pédagogiques'!$C$3=2),$BM345=1),B345,IF(AND('Choix pédagogiques'!$C$3=3,$BO345=1),B345,""))</f>
        <v/>
      </c>
      <c r="X345" s="22" t="str">
        <f>IF(AND(OR('Choix pédagogiques'!$C$3=1,'Choix pédagogiques'!$C$3=2),$BM345=1),C345,IF(AND('Choix pédagogiques'!$C$3=3,$BO345=1),C345,""))</f>
        <v/>
      </c>
      <c r="Y345" s="22" t="str">
        <f>IF(AND(OR('Choix pédagogiques'!$C$3=1,'Choix pédagogiques'!$C$3=2),$BM345=1),D345,IF(AND('Choix pédagogiques'!$C$3=3,$BO345=1),D345,""))</f>
        <v/>
      </c>
      <c r="Z345" s="22" t="str">
        <f t="shared" si="284"/>
        <v/>
      </c>
      <c r="AA345" s="21" t="str">
        <f t="shared" si="285"/>
        <v>Apprenant 333 ou 333'</v>
      </c>
      <c r="AB345" s="22" t="str">
        <f>IF(AND(OR('Choix pédagogiques'!$C$3=1,'Choix pédagogiques'!$C$3=2),$BN345=1),G345,IF(AND('Choix pédagogiques'!$C$3=3,$BO345=1),G345,""))</f>
        <v/>
      </c>
      <c r="AC345" s="22" t="str">
        <f>IF(AND(OR('Choix pédagogiques'!$C$3=1,'Choix pédagogiques'!$C$3=2),$BN345=1),H345,IF(AND('Choix pédagogiques'!$C$3=3,$BO345=1),H345,""))</f>
        <v/>
      </c>
      <c r="AD345" s="22" t="str">
        <f>IF(AND(OR('Choix pédagogiques'!$C$3=1,'Choix pédagogiques'!$C$3=2),$BN345=1),I345,IF(AND('Choix pédagogiques'!$C$3=3,$BO345=1),I345,""))</f>
        <v/>
      </c>
      <c r="AE345" s="22" t="str">
        <f t="shared" si="286"/>
        <v/>
      </c>
      <c r="AF345" s="21" t="str">
        <f t="shared" si="287"/>
        <v>Apprenant 333</v>
      </c>
      <c r="AG345" s="22" t="str">
        <f t="shared" si="261"/>
        <v/>
      </c>
      <c r="AH345" s="22" t="str">
        <f t="shared" si="262"/>
        <v/>
      </c>
      <c r="AI345" s="22" t="str">
        <f t="shared" si="263"/>
        <v/>
      </c>
      <c r="AJ345" s="22" t="str">
        <f t="shared" si="288"/>
        <v/>
      </c>
      <c r="AK345" s="21" t="str">
        <f t="shared" si="289"/>
        <v>Apprenant 333 ou 333'</v>
      </c>
      <c r="AL345" s="22" t="str">
        <f t="shared" si="264"/>
        <v/>
      </c>
      <c r="AM345" s="22" t="str">
        <f t="shared" si="265"/>
        <v/>
      </c>
      <c r="AN345" s="22" t="str">
        <f t="shared" si="266"/>
        <v/>
      </c>
      <c r="AO345" s="22" t="str">
        <f t="shared" si="290"/>
        <v/>
      </c>
      <c r="AQ345" s="21" t="str">
        <f t="shared" si="291"/>
        <v>Apprenant 333</v>
      </c>
      <c r="AR345" s="49" t="str">
        <f>IF(AND('Choix pédagogiques'!$C$4&lt;&gt;"?",'Choix pédagogiques'!$C$5&lt;&gt;"?",W345&lt;&gt;""),(W345-'Choix pédagogiques'!$C$4)/('Choix pédagogiques'!$C$5-'Choix pédagogiques'!$C$4),"")</f>
        <v/>
      </c>
      <c r="AS345" s="49" t="str">
        <f>IF(AND('Choix pédagogiques'!$C$4&lt;&gt;"?",'Choix pédagogiques'!$C$5&lt;&gt;"?",X345&lt;&gt;""),(X345-'Choix pédagogiques'!$C$4)/('Choix pédagogiques'!$C$5-'Choix pédagogiques'!$C$4),"")</f>
        <v/>
      </c>
      <c r="AT345" s="49" t="str">
        <f>IF(AND('Choix pédagogiques'!$C$4&lt;&gt;"?",'Choix pédagogiques'!$C$5&lt;&gt;"?",Y345&lt;&gt;""),(Y345-'Choix pédagogiques'!$C$4)/('Choix pédagogiques'!$C$5-'Choix pédagogiques'!$C$4),"")</f>
        <v/>
      </c>
      <c r="AU345" s="22" t="str">
        <f t="shared" si="292"/>
        <v/>
      </c>
      <c r="AV345" s="21" t="str">
        <f t="shared" si="293"/>
        <v>Apprenant 333 ou 333'</v>
      </c>
      <c r="AW345" s="49" t="str">
        <f>IF(AND('Choix pédagogiques'!$C$4&lt;&gt;"?",'Choix pédagogiques'!$C$5&lt;&gt;"?",AB345&lt;&gt;""),(AB345-'Choix pédagogiques'!$C$4)/('Choix pédagogiques'!$C$5-'Choix pédagogiques'!$C$4),"")</f>
        <v/>
      </c>
      <c r="AX345" s="49" t="str">
        <f>IF(AND('Choix pédagogiques'!$C$4&lt;&gt;"?",'Choix pédagogiques'!$C$5&lt;&gt;"?",AC345&lt;&gt;""),(AC345-'Choix pédagogiques'!$C$4)/('Choix pédagogiques'!$C$5-'Choix pédagogiques'!$C$4),"")</f>
        <v/>
      </c>
      <c r="AY345" s="49" t="str">
        <f>IF(AND('Choix pédagogiques'!$C$4&lt;&gt;"?",'Choix pédagogiques'!$C$5&lt;&gt;"?",AD345&lt;&gt;""),(AD345-'Choix pédagogiques'!$C$4)/('Choix pédagogiques'!$C$5-'Choix pédagogiques'!$C$4),"")</f>
        <v/>
      </c>
      <c r="AZ345" s="22" t="str">
        <f t="shared" si="294"/>
        <v/>
      </c>
      <c r="BA345" s="21" t="str">
        <f t="shared" si="295"/>
        <v>Apprenant 333</v>
      </c>
      <c r="BB345" s="49" t="str">
        <f t="shared" si="267"/>
        <v/>
      </c>
      <c r="BC345" s="49" t="str">
        <f t="shared" si="268"/>
        <v/>
      </c>
      <c r="BD345" s="49" t="str">
        <f t="shared" si="269"/>
        <v/>
      </c>
      <c r="BE345" s="22" t="str">
        <f t="shared" si="296"/>
        <v/>
      </c>
      <c r="BF345" s="21" t="str">
        <f t="shared" si="297"/>
        <v>Apprenant 333 ou 333'</v>
      </c>
      <c r="BG345" s="49" t="str">
        <f t="shared" si="270"/>
        <v/>
      </c>
      <c r="BH345" s="49" t="str">
        <f t="shared" si="271"/>
        <v/>
      </c>
      <c r="BI345" s="49" t="str">
        <f t="shared" si="272"/>
        <v/>
      </c>
      <c r="BJ345" s="22" t="str">
        <f t="shared" si="298"/>
        <v/>
      </c>
      <c r="BL345" s="21"/>
      <c r="BM345" s="21" t="str">
        <f>IF(OR(COUNT(B345:D1344)=0,AND('Choix pédagogiques'!$C$3&lt;&gt;1,'Choix pédagogiques'!$C$3&lt;&gt;2)),"",IF(AND(OR('Choix pédagogiques'!$C$3=1,'Choix pédagogiques'!$C$3=2),$B345&lt;&gt;"",$C345&lt;&gt;"",$D345&lt;&gt;""),1,0))</f>
        <v/>
      </c>
      <c r="BN345" s="21" t="str">
        <f>IF(OR(COUNT(G345:I1344)=0,AND('Choix pédagogiques'!$C$3&lt;&gt;1,'Choix pédagogiques'!$C$3&lt;&gt;2)),"",IF(AND(OR('Choix pédagogiques'!$C$3=1,'Choix pédagogiques'!$C$3=2),AND($G345&lt;&gt;"",$H345&lt;&gt;"",$I345&lt;&gt;"")),1,0))</f>
        <v/>
      </c>
      <c r="BO345" s="21" t="str">
        <f>IF(OR(COUNT(B345:D1344)=0,COUNT(G345:I1344)=0,'Choix pédagogiques'!C$3&lt;&gt;3),"",IF(AND('Choix pédagogiques'!$C$3=3,$B345&lt;&gt;"",$C345&lt;&gt;"",$D345&lt;&gt;"",$G345&lt;&gt;"",$H345&lt;&gt;"",$I345&lt;&gt;""),1,0))</f>
        <v/>
      </c>
      <c r="BR345" s="21">
        <v>925</v>
      </c>
      <c r="BS345" s="21">
        <v>1960</v>
      </c>
      <c r="BT345"/>
    </row>
    <row r="346" spans="1:72" s="23" customFormat="1" ht="18" customHeight="1" x14ac:dyDescent="0.3">
      <c r="A346" s="35" t="s">
        <v>336</v>
      </c>
      <c r="B346" s="37"/>
      <c r="C346" s="37"/>
      <c r="D346" s="37"/>
      <c r="E346" s="37"/>
      <c r="F346" s="35" t="s">
        <v>1344</v>
      </c>
      <c r="G346" s="37"/>
      <c r="H346" s="37"/>
      <c r="I346" s="37"/>
      <c r="J346" s="37"/>
      <c r="K346" s="21" t="str">
        <f t="shared" si="273"/>
        <v>Apprenant 334</v>
      </c>
      <c r="L346" s="22" t="str">
        <f t="shared" si="274"/>
        <v/>
      </c>
      <c r="M346" s="22" t="str">
        <f t="shared" si="275"/>
        <v/>
      </c>
      <c r="N346" s="22" t="str">
        <f t="shared" si="276"/>
        <v/>
      </c>
      <c r="O346" s="22" t="str">
        <f t="shared" si="277"/>
        <v/>
      </c>
      <c r="P346" s="21" t="str">
        <f t="shared" si="278"/>
        <v>Apprenant 334 ou 334'</v>
      </c>
      <c r="Q346" s="22" t="str">
        <f t="shared" si="279"/>
        <v/>
      </c>
      <c r="R346" s="22" t="str">
        <f t="shared" si="280"/>
        <v/>
      </c>
      <c r="S346" s="22" t="str">
        <f t="shared" si="281"/>
        <v/>
      </c>
      <c r="T346" s="22" t="str">
        <f t="shared" si="282"/>
        <v/>
      </c>
      <c r="V346" s="21" t="str">
        <f t="shared" si="283"/>
        <v>Apprenant 334</v>
      </c>
      <c r="W346" s="22" t="str">
        <f>IF(AND(OR('Choix pédagogiques'!$C$3=1,'Choix pédagogiques'!$C$3=2),$BM346=1),B346,IF(AND('Choix pédagogiques'!$C$3=3,$BO346=1),B346,""))</f>
        <v/>
      </c>
      <c r="X346" s="22" t="str">
        <f>IF(AND(OR('Choix pédagogiques'!$C$3=1,'Choix pédagogiques'!$C$3=2),$BM346=1),C346,IF(AND('Choix pédagogiques'!$C$3=3,$BO346=1),C346,""))</f>
        <v/>
      </c>
      <c r="Y346" s="22" t="str">
        <f>IF(AND(OR('Choix pédagogiques'!$C$3=1,'Choix pédagogiques'!$C$3=2),$BM346=1),D346,IF(AND('Choix pédagogiques'!$C$3=3,$BO346=1),D346,""))</f>
        <v/>
      </c>
      <c r="Z346" s="22" t="str">
        <f t="shared" si="284"/>
        <v/>
      </c>
      <c r="AA346" s="21" t="str">
        <f t="shared" si="285"/>
        <v>Apprenant 334 ou 334'</v>
      </c>
      <c r="AB346" s="22" t="str">
        <f>IF(AND(OR('Choix pédagogiques'!$C$3=1,'Choix pédagogiques'!$C$3=2),$BN346=1),G346,IF(AND('Choix pédagogiques'!$C$3=3,$BO346=1),G346,""))</f>
        <v/>
      </c>
      <c r="AC346" s="22" t="str">
        <f>IF(AND(OR('Choix pédagogiques'!$C$3=1,'Choix pédagogiques'!$C$3=2),$BN346=1),H346,IF(AND('Choix pédagogiques'!$C$3=3,$BO346=1),H346,""))</f>
        <v/>
      </c>
      <c r="AD346" s="22" t="str">
        <f>IF(AND(OR('Choix pédagogiques'!$C$3=1,'Choix pédagogiques'!$C$3=2),$BN346=1),I346,IF(AND('Choix pédagogiques'!$C$3=3,$BO346=1),I346,""))</f>
        <v/>
      </c>
      <c r="AE346" s="22" t="str">
        <f t="shared" si="286"/>
        <v/>
      </c>
      <c r="AF346" s="21" t="str">
        <f t="shared" si="287"/>
        <v>Apprenant 334</v>
      </c>
      <c r="AG346" s="22" t="str">
        <f t="shared" si="261"/>
        <v/>
      </c>
      <c r="AH346" s="22" t="str">
        <f t="shared" si="262"/>
        <v/>
      </c>
      <c r="AI346" s="22" t="str">
        <f t="shared" si="263"/>
        <v/>
      </c>
      <c r="AJ346" s="22" t="str">
        <f t="shared" si="288"/>
        <v/>
      </c>
      <c r="AK346" s="21" t="str">
        <f t="shared" si="289"/>
        <v>Apprenant 334 ou 334'</v>
      </c>
      <c r="AL346" s="22" t="str">
        <f t="shared" si="264"/>
        <v/>
      </c>
      <c r="AM346" s="22" t="str">
        <f t="shared" si="265"/>
        <v/>
      </c>
      <c r="AN346" s="22" t="str">
        <f t="shared" si="266"/>
        <v/>
      </c>
      <c r="AO346" s="22" t="str">
        <f t="shared" si="290"/>
        <v/>
      </c>
      <c r="AQ346" s="21" t="str">
        <f t="shared" si="291"/>
        <v>Apprenant 334</v>
      </c>
      <c r="AR346" s="49" t="str">
        <f>IF(AND('Choix pédagogiques'!$C$4&lt;&gt;"?",'Choix pédagogiques'!$C$5&lt;&gt;"?",W346&lt;&gt;""),(W346-'Choix pédagogiques'!$C$4)/('Choix pédagogiques'!$C$5-'Choix pédagogiques'!$C$4),"")</f>
        <v/>
      </c>
      <c r="AS346" s="49" t="str">
        <f>IF(AND('Choix pédagogiques'!$C$4&lt;&gt;"?",'Choix pédagogiques'!$C$5&lt;&gt;"?",X346&lt;&gt;""),(X346-'Choix pédagogiques'!$C$4)/('Choix pédagogiques'!$C$5-'Choix pédagogiques'!$C$4),"")</f>
        <v/>
      </c>
      <c r="AT346" s="49" t="str">
        <f>IF(AND('Choix pédagogiques'!$C$4&lt;&gt;"?",'Choix pédagogiques'!$C$5&lt;&gt;"?",Y346&lt;&gt;""),(Y346-'Choix pédagogiques'!$C$4)/('Choix pédagogiques'!$C$5-'Choix pédagogiques'!$C$4),"")</f>
        <v/>
      </c>
      <c r="AU346" s="22" t="str">
        <f t="shared" si="292"/>
        <v/>
      </c>
      <c r="AV346" s="21" t="str">
        <f t="shared" si="293"/>
        <v>Apprenant 334 ou 334'</v>
      </c>
      <c r="AW346" s="49" t="str">
        <f>IF(AND('Choix pédagogiques'!$C$4&lt;&gt;"?",'Choix pédagogiques'!$C$5&lt;&gt;"?",AB346&lt;&gt;""),(AB346-'Choix pédagogiques'!$C$4)/('Choix pédagogiques'!$C$5-'Choix pédagogiques'!$C$4),"")</f>
        <v/>
      </c>
      <c r="AX346" s="49" t="str">
        <f>IF(AND('Choix pédagogiques'!$C$4&lt;&gt;"?",'Choix pédagogiques'!$C$5&lt;&gt;"?",AC346&lt;&gt;""),(AC346-'Choix pédagogiques'!$C$4)/('Choix pédagogiques'!$C$5-'Choix pédagogiques'!$C$4),"")</f>
        <v/>
      </c>
      <c r="AY346" s="49" t="str">
        <f>IF(AND('Choix pédagogiques'!$C$4&lt;&gt;"?",'Choix pédagogiques'!$C$5&lt;&gt;"?",AD346&lt;&gt;""),(AD346-'Choix pédagogiques'!$C$4)/('Choix pédagogiques'!$C$5-'Choix pédagogiques'!$C$4),"")</f>
        <v/>
      </c>
      <c r="AZ346" s="22" t="str">
        <f t="shared" si="294"/>
        <v/>
      </c>
      <c r="BA346" s="21" t="str">
        <f t="shared" si="295"/>
        <v>Apprenant 334</v>
      </c>
      <c r="BB346" s="49" t="str">
        <f t="shared" si="267"/>
        <v/>
      </c>
      <c r="BC346" s="49" t="str">
        <f t="shared" si="268"/>
        <v/>
      </c>
      <c r="BD346" s="49" t="str">
        <f t="shared" si="269"/>
        <v/>
      </c>
      <c r="BE346" s="22" t="str">
        <f t="shared" si="296"/>
        <v/>
      </c>
      <c r="BF346" s="21" t="str">
        <f t="shared" si="297"/>
        <v>Apprenant 334 ou 334'</v>
      </c>
      <c r="BG346" s="49" t="str">
        <f t="shared" si="270"/>
        <v/>
      </c>
      <c r="BH346" s="49" t="str">
        <f t="shared" si="271"/>
        <v/>
      </c>
      <c r="BI346" s="49" t="str">
        <f t="shared" si="272"/>
        <v/>
      </c>
      <c r="BJ346" s="22" t="str">
        <f t="shared" si="298"/>
        <v/>
      </c>
      <c r="BL346" s="21"/>
      <c r="BM346" s="21" t="str">
        <f>IF(OR(COUNT(B346:D1345)=0,AND('Choix pédagogiques'!$C$3&lt;&gt;1,'Choix pédagogiques'!$C$3&lt;&gt;2)),"",IF(AND(OR('Choix pédagogiques'!$C$3=1,'Choix pédagogiques'!$C$3=2),$B346&lt;&gt;"",$C346&lt;&gt;"",$D346&lt;&gt;""),1,0))</f>
        <v/>
      </c>
      <c r="BN346" s="21" t="str">
        <f>IF(OR(COUNT(G346:I1345)=0,AND('Choix pédagogiques'!$C$3&lt;&gt;1,'Choix pédagogiques'!$C$3&lt;&gt;2)),"",IF(AND(OR('Choix pédagogiques'!$C$3=1,'Choix pédagogiques'!$C$3=2),AND($G346&lt;&gt;"",$H346&lt;&gt;"",$I346&lt;&gt;"")),1,0))</f>
        <v/>
      </c>
      <c r="BO346" s="21" t="str">
        <f>IF(OR(COUNT(B346:D1345)=0,COUNT(G346:I1345)=0,'Choix pédagogiques'!C$3&lt;&gt;3),"",IF(AND('Choix pédagogiques'!$C$3=3,$B346&lt;&gt;"",$C346&lt;&gt;"",$D346&lt;&gt;"",$G346&lt;&gt;"",$H346&lt;&gt;"",$I346&lt;&gt;""),1,0))</f>
        <v/>
      </c>
      <c r="BR346" s="21">
        <v>525</v>
      </c>
      <c r="BS346" s="21">
        <v>1350</v>
      </c>
      <c r="BT346"/>
    </row>
    <row r="347" spans="1:72" s="23" customFormat="1" ht="18" customHeight="1" x14ac:dyDescent="0.3">
      <c r="A347" s="35" t="s">
        <v>337</v>
      </c>
      <c r="B347" s="37"/>
      <c r="C347" s="37"/>
      <c r="D347" s="37"/>
      <c r="E347" s="37"/>
      <c r="F347" s="35" t="s">
        <v>1345</v>
      </c>
      <c r="G347" s="37"/>
      <c r="H347" s="37"/>
      <c r="I347" s="37"/>
      <c r="J347" s="37"/>
      <c r="K347" s="21" t="str">
        <f t="shared" si="273"/>
        <v>Apprenant 335</v>
      </c>
      <c r="L347" s="22" t="str">
        <f t="shared" si="274"/>
        <v/>
      </c>
      <c r="M347" s="22" t="str">
        <f t="shared" si="275"/>
        <v/>
      </c>
      <c r="N347" s="22" t="str">
        <f t="shared" si="276"/>
        <v/>
      </c>
      <c r="O347" s="22" t="str">
        <f t="shared" si="277"/>
        <v/>
      </c>
      <c r="P347" s="21" t="str">
        <f t="shared" si="278"/>
        <v>Apprenant 335 ou 335'</v>
      </c>
      <c r="Q347" s="22" t="str">
        <f t="shared" si="279"/>
        <v/>
      </c>
      <c r="R347" s="22" t="str">
        <f t="shared" si="280"/>
        <v/>
      </c>
      <c r="S347" s="22" t="str">
        <f t="shared" si="281"/>
        <v/>
      </c>
      <c r="T347" s="22" t="str">
        <f t="shared" si="282"/>
        <v/>
      </c>
      <c r="V347" s="21" t="str">
        <f t="shared" si="283"/>
        <v>Apprenant 335</v>
      </c>
      <c r="W347" s="22" t="str">
        <f>IF(AND(OR('Choix pédagogiques'!$C$3=1,'Choix pédagogiques'!$C$3=2),$BM347=1),B347,IF(AND('Choix pédagogiques'!$C$3=3,$BO347=1),B347,""))</f>
        <v/>
      </c>
      <c r="X347" s="22" t="str">
        <f>IF(AND(OR('Choix pédagogiques'!$C$3=1,'Choix pédagogiques'!$C$3=2),$BM347=1),C347,IF(AND('Choix pédagogiques'!$C$3=3,$BO347=1),C347,""))</f>
        <v/>
      </c>
      <c r="Y347" s="22" t="str">
        <f>IF(AND(OR('Choix pédagogiques'!$C$3=1,'Choix pédagogiques'!$C$3=2),$BM347=1),D347,IF(AND('Choix pédagogiques'!$C$3=3,$BO347=1),D347,""))</f>
        <v/>
      </c>
      <c r="Z347" s="22" t="str">
        <f t="shared" si="284"/>
        <v/>
      </c>
      <c r="AA347" s="21" t="str">
        <f t="shared" si="285"/>
        <v>Apprenant 335 ou 335'</v>
      </c>
      <c r="AB347" s="22" t="str">
        <f>IF(AND(OR('Choix pédagogiques'!$C$3=1,'Choix pédagogiques'!$C$3=2),$BN347=1),G347,IF(AND('Choix pédagogiques'!$C$3=3,$BO347=1),G347,""))</f>
        <v/>
      </c>
      <c r="AC347" s="22" t="str">
        <f>IF(AND(OR('Choix pédagogiques'!$C$3=1,'Choix pédagogiques'!$C$3=2),$BN347=1),H347,IF(AND('Choix pédagogiques'!$C$3=3,$BO347=1),H347,""))</f>
        <v/>
      </c>
      <c r="AD347" s="22" t="str">
        <f>IF(AND(OR('Choix pédagogiques'!$C$3=1,'Choix pédagogiques'!$C$3=2),$BN347=1),I347,IF(AND('Choix pédagogiques'!$C$3=3,$BO347=1),I347,""))</f>
        <v/>
      </c>
      <c r="AE347" s="22" t="str">
        <f t="shared" si="286"/>
        <v/>
      </c>
      <c r="AF347" s="21" t="str">
        <f t="shared" si="287"/>
        <v>Apprenant 335</v>
      </c>
      <c r="AG347" s="22" t="str">
        <f t="shared" si="261"/>
        <v/>
      </c>
      <c r="AH347" s="22" t="str">
        <f t="shared" si="262"/>
        <v/>
      </c>
      <c r="AI347" s="22" t="str">
        <f t="shared" si="263"/>
        <v/>
      </c>
      <c r="AJ347" s="22" t="str">
        <f t="shared" si="288"/>
        <v/>
      </c>
      <c r="AK347" s="21" t="str">
        <f t="shared" si="289"/>
        <v>Apprenant 335 ou 335'</v>
      </c>
      <c r="AL347" s="22" t="str">
        <f t="shared" si="264"/>
        <v/>
      </c>
      <c r="AM347" s="22" t="str">
        <f t="shared" si="265"/>
        <v/>
      </c>
      <c r="AN347" s="22" t="str">
        <f t="shared" si="266"/>
        <v/>
      </c>
      <c r="AO347" s="22" t="str">
        <f t="shared" si="290"/>
        <v/>
      </c>
      <c r="AQ347" s="21" t="str">
        <f t="shared" si="291"/>
        <v>Apprenant 335</v>
      </c>
      <c r="AR347" s="49" t="str">
        <f>IF(AND('Choix pédagogiques'!$C$4&lt;&gt;"?",'Choix pédagogiques'!$C$5&lt;&gt;"?",W347&lt;&gt;""),(W347-'Choix pédagogiques'!$C$4)/('Choix pédagogiques'!$C$5-'Choix pédagogiques'!$C$4),"")</f>
        <v/>
      </c>
      <c r="AS347" s="49" t="str">
        <f>IF(AND('Choix pédagogiques'!$C$4&lt;&gt;"?",'Choix pédagogiques'!$C$5&lt;&gt;"?",X347&lt;&gt;""),(X347-'Choix pédagogiques'!$C$4)/('Choix pédagogiques'!$C$5-'Choix pédagogiques'!$C$4),"")</f>
        <v/>
      </c>
      <c r="AT347" s="49" t="str">
        <f>IF(AND('Choix pédagogiques'!$C$4&lt;&gt;"?",'Choix pédagogiques'!$C$5&lt;&gt;"?",Y347&lt;&gt;""),(Y347-'Choix pédagogiques'!$C$4)/('Choix pédagogiques'!$C$5-'Choix pédagogiques'!$C$4),"")</f>
        <v/>
      </c>
      <c r="AU347" s="22" t="str">
        <f t="shared" si="292"/>
        <v/>
      </c>
      <c r="AV347" s="21" t="str">
        <f t="shared" si="293"/>
        <v>Apprenant 335 ou 335'</v>
      </c>
      <c r="AW347" s="49" t="str">
        <f>IF(AND('Choix pédagogiques'!$C$4&lt;&gt;"?",'Choix pédagogiques'!$C$5&lt;&gt;"?",AB347&lt;&gt;""),(AB347-'Choix pédagogiques'!$C$4)/('Choix pédagogiques'!$C$5-'Choix pédagogiques'!$C$4),"")</f>
        <v/>
      </c>
      <c r="AX347" s="49" t="str">
        <f>IF(AND('Choix pédagogiques'!$C$4&lt;&gt;"?",'Choix pédagogiques'!$C$5&lt;&gt;"?",AC347&lt;&gt;""),(AC347-'Choix pédagogiques'!$C$4)/('Choix pédagogiques'!$C$5-'Choix pédagogiques'!$C$4),"")</f>
        <v/>
      </c>
      <c r="AY347" s="49" t="str">
        <f>IF(AND('Choix pédagogiques'!$C$4&lt;&gt;"?",'Choix pédagogiques'!$C$5&lt;&gt;"?",AD347&lt;&gt;""),(AD347-'Choix pédagogiques'!$C$4)/('Choix pédagogiques'!$C$5-'Choix pédagogiques'!$C$4),"")</f>
        <v/>
      </c>
      <c r="AZ347" s="22" t="str">
        <f t="shared" si="294"/>
        <v/>
      </c>
      <c r="BA347" s="21" t="str">
        <f t="shared" si="295"/>
        <v>Apprenant 335</v>
      </c>
      <c r="BB347" s="49" t="str">
        <f t="shared" si="267"/>
        <v/>
      </c>
      <c r="BC347" s="49" t="str">
        <f t="shared" si="268"/>
        <v/>
      </c>
      <c r="BD347" s="49" t="str">
        <f t="shared" si="269"/>
        <v/>
      </c>
      <c r="BE347" s="22" t="str">
        <f t="shared" si="296"/>
        <v/>
      </c>
      <c r="BF347" s="21" t="str">
        <f t="shared" si="297"/>
        <v>Apprenant 335 ou 335'</v>
      </c>
      <c r="BG347" s="49" t="str">
        <f t="shared" si="270"/>
        <v/>
      </c>
      <c r="BH347" s="49" t="str">
        <f t="shared" si="271"/>
        <v/>
      </c>
      <c r="BI347" s="49" t="str">
        <f t="shared" si="272"/>
        <v/>
      </c>
      <c r="BJ347" s="22" t="str">
        <f t="shared" si="298"/>
        <v/>
      </c>
      <c r="BL347" s="21"/>
      <c r="BM347" s="21" t="str">
        <f>IF(OR(COUNT(B347:D1346)=0,AND('Choix pédagogiques'!$C$3&lt;&gt;1,'Choix pédagogiques'!$C$3&lt;&gt;2)),"",IF(AND(OR('Choix pédagogiques'!$C$3=1,'Choix pédagogiques'!$C$3=2),$B347&lt;&gt;"",$C347&lt;&gt;"",$D347&lt;&gt;""),1,0))</f>
        <v/>
      </c>
      <c r="BN347" s="21" t="str">
        <f>IF(OR(COUNT(G347:I1346)=0,AND('Choix pédagogiques'!$C$3&lt;&gt;1,'Choix pédagogiques'!$C$3&lt;&gt;2)),"",IF(AND(OR('Choix pédagogiques'!$C$3=1,'Choix pédagogiques'!$C$3=2),AND($G347&lt;&gt;"",$H347&lt;&gt;"",$I347&lt;&gt;"")),1,0))</f>
        <v/>
      </c>
      <c r="BO347" s="21" t="str">
        <f>IF(OR(COUNT(B347:D1346)=0,COUNT(G347:I1346)=0,'Choix pédagogiques'!C$3&lt;&gt;3),"",IF(AND('Choix pédagogiques'!$C$3=3,$B347&lt;&gt;"",$C347&lt;&gt;"",$D347&lt;&gt;"",$G347&lt;&gt;"",$H347&lt;&gt;"",$I347&lt;&gt;""),1,0))</f>
        <v/>
      </c>
      <c r="BR347" s="21">
        <v>24</v>
      </c>
      <c r="BS347" s="21">
        <v>1101</v>
      </c>
      <c r="BT347"/>
    </row>
    <row r="348" spans="1:72" s="23" customFormat="1" ht="18" customHeight="1" x14ac:dyDescent="0.3">
      <c r="A348" s="35" t="s">
        <v>338</v>
      </c>
      <c r="B348" s="37"/>
      <c r="C348" s="37"/>
      <c r="D348" s="37"/>
      <c r="E348" s="37"/>
      <c r="F348" s="35" t="s">
        <v>1346</v>
      </c>
      <c r="G348" s="37"/>
      <c r="H348" s="37"/>
      <c r="I348" s="37"/>
      <c r="J348" s="37"/>
      <c r="K348" s="21" t="str">
        <f t="shared" si="273"/>
        <v>Apprenant 336</v>
      </c>
      <c r="L348" s="22" t="str">
        <f t="shared" si="274"/>
        <v/>
      </c>
      <c r="M348" s="22" t="str">
        <f t="shared" si="275"/>
        <v/>
      </c>
      <c r="N348" s="22" t="str">
        <f t="shared" si="276"/>
        <v/>
      </c>
      <c r="O348" s="22" t="str">
        <f t="shared" si="277"/>
        <v/>
      </c>
      <c r="P348" s="21" t="str">
        <f t="shared" si="278"/>
        <v>Apprenant 336 ou 336'</v>
      </c>
      <c r="Q348" s="22" t="str">
        <f t="shared" si="279"/>
        <v/>
      </c>
      <c r="R348" s="22" t="str">
        <f t="shared" si="280"/>
        <v/>
      </c>
      <c r="S348" s="22" t="str">
        <f t="shared" si="281"/>
        <v/>
      </c>
      <c r="T348" s="22" t="str">
        <f t="shared" si="282"/>
        <v/>
      </c>
      <c r="V348" s="21" t="str">
        <f t="shared" si="283"/>
        <v>Apprenant 336</v>
      </c>
      <c r="W348" s="22" t="str">
        <f>IF(AND(OR('Choix pédagogiques'!$C$3=1,'Choix pédagogiques'!$C$3=2),$BM348=1),B348,IF(AND('Choix pédagogiques'!$C$3=3,$BO348=1),B348,""))</f>
        <v/>
      </c>
      <c r="X348" s="22" t="str">
        <f>IF(AND(OR('Choix pédagogiques'!$C$3=1,'Choix pédagogiques'!$C$3=2),$BM348=1),C348,IF(AND('Choix pédagogiques'!$C$3=3,$BO348=1),C348,""))</f>
        <v/>
      </c>
      <c r="Y348" s="22" t="str">
        <f>IF(AND(OR('Choix pédagogiques'!$C$3=1,'Choix pédagogiques'!$C$3=2),$BM348=1),D348,IF(AND('Choix pédagogiques'!$C$3=3,$BO348=1),D348,""))</f>
        <v/>
      </c>
      <c r="Z348" s="22" t="str">
        <f t="shared" si="284"/>
        <v/>
      </c>
      <c r="AA348" s="21" t="str">
        <f t="shared" si="285"/>
        <v>Apprenant 336 ou 336'</v>
      </c>
      <c r="AB348" s="22" t="str">
        <f>IF(AND(OR('Choix pédagogiques'!$C$3=1,'Choix pédagogiques'!$C$3=2),$BN348=1),G348,IF(AND('Choix pédagogiques'!$C$3=3,$BO348=1),G348,""))</f>
        <v/>
      </c>
      <c r="AC348" s="22" t="str">
        <f>IF(AND(OR('Choix pédagogiques'!$C$3=1,'Choix pédagogiques'!$C$3=2),$BN348=1),H348,IF(AND('Choix pédagogiques'!$C$3=3,$BO348=1),H348,""))</f>
        <v/>
      </c>
      <c r="AD348" s="22" t="str">
        <f>IF(AND(OR('Choix pédagogiques'!$C$3=1,'Choix pédagogiques'!$C$3=2),$BN348=1),I348,IF(AND('Choix pédagogiques'!$C$3=3,$BO348=1),I348,""))</f>
        <v/>
      </c>
      <c r="AE348" s="22" t="str">
        <f t="shared" si="286"/>
        <v/>
      </c>
      <c r="AF348" s="21" t="str">
        <f t="shared" si="287"/>
        <v>Apprenant 336</v>
      </c>
      <c r="AG348" s="22" t="str">
        <f t="shared" si="261"/>
        <v/>
      </c>
      <c r="AH348" s="22" t="str">
        <f t="shared" si="262"/>
        <v/>
      </c>
      <c r="AI348" s="22" t="str">
        <f t="shared" si="263"/>
        <v/>
      </c>
      <c r="AJ348" s="22" t="str">
        <f t="shared" si="288"/>
        <v/>
      </c>
      <c r="AK348" s="21" t="str">
        <f t="shared" si="289"/>
        <v>Apprenant 336 ou 336'</v>
      </c>
      <c r="AL348" s="22" t="str">
        <f t="shared" si="264"/>
        <v/>
      </c>
      <c r="AM348" s="22" t="str">
        <f t="shared" si="265"/>
        <v/>
      </c>
      <c r="AN348" s="22" t="str">
        <f t="shared" si="266"/>
        <v/>
      </c>
      <c r="AO348" s="22" t="str">
        <f t="shared" si="290"/>
        <v/>
      </c>
      <c r="AQ348" s="21" t="str">
        <f t="shared" si="291"/>
        <v>Apprenant 336</v>
      </c>
      <c r="AR348" s="49" t="str">
        <f>IF(AND('Choix pédagogiques'!$C$4&lt;&gt;"?",'Choix pédagogiques'!$C$5&lt;&gt;"?",W348&lt;&gt;""),(W348-'Choix pédagogiques'!$C$4)/('Choix pédagogiques'!$C$5-'Choix pédagogiques'!$C$4),"")</f>
        <v/>
      </c>
      <c r="AS348" s="49" t="str">
        <f>IF(AND('Choix pédagogiques'!$C$4&lt;&gt;"?",'Choix pédagogiques'!$C$5&lt;&gt;"?",X348&lt;&gt;""),(X348-'Choix pédagogiques'!$C$4)/('Choix pédagogiques'!$C$5-'Choix pédagogiques'!$C$4),"")</f>
        <v/>
      </c>
      <c r="AT348" s="49" t="str">
        <f>IF(AND('Choix pédagogiques'!$C$4&lt;&gt;"?",'Choix pédagogiques'!$C$5&lt;&gt;"?",Y348&lt;&gt;""),(Y348-'Choix pédagogiques'!$C$4)/('Choix pédagogiques'!$C$5-'Choix pédagogiques'!$C$4),"")</f>
        <v/>
      </c>
      <c r="AU348" s="22" t="str">
        <f t="shared" si="292"/>
        <v/>
      </c>
      <c r="AV348" s="21" t="str">
        <f t="shared" si="293"/>
        <v>Apprenant 336 ou 336'</v>
      </c>
      <c r="AW348" s="49" t="str">
        <f>IF(AND('Choix pédagogiques'!$C$4&lt;&gt;"?",'Choix pédagogiques'!$C$5&lt;&gt;"?",AB348&lt;&gt;""),(AB348-'Choix pédagogiques'!$C$4)/('Choix pédagogiques'!$C$5-'Choix pédagogiques'!$C$4),"")</f>
        <v/>
      </c>
      <c r="AX348" s="49" t="str">
        <f>IF(AND('Choix pédagogiques'!$C$4&lt;&gt;"?",'Choix pédagogiques'!$C$5&lt;&gt;"?",AC348&lt;&gt;""),(AC348-'Choix pédagogiques'!$C$4)/('Choix pédagogiques'!$C$5-'Choix pédagogiques'!$C$4),"")</f>
        <v/>
      </c>
      <c r="AY348" s="49" t="str">
        <f>IF(AND('Choix pédagogiques'!$C$4&lt;&gt;"?",'Choix pédagogiques'!$C$5&lt;&gt;"?",AD348&lt;&gt;""),(AD348-'Choix pédagogiques'!$C$4)/('Choix pédagogiques'!$C$5-'Choix pédagogiques'!$C$4),"")</f>
        <v/>
      </c>
      <c r="AZ348" s="22" t="str">
        <f t="shared" si="294"/>
        <v/>
      </c>
      <c r="BA348" s="21" t="str">
        <f t="shared" si="295"/>
        <v>Apprenant 336</v>
      </c>
      <c r="BB348" s="49" t="str">
        <f t="shared" si="267"/>
        <v/>
      </c>
      <c r="BC348" s="49" t="str">
        <f t="shared" si="268"/>
        <v/>
      </c>
      <c r="BD348" s="49" t="str">
        <f t="shared" si="269"/>
        <v/>
      </c>
      <c r="BE348" s="22" t="str">
        <f t="shared" si="296"/>
        <v/>
      </c>
      <c r="BF348" s="21" t="str">
        <f t="shared" si="297"/>
        <v>Apprenant 336 ou 336'</v>
      </c>
      <c r="BG348" s="49" t="str">
        <f t="shared" si="270"/>
        <v/>
      </c>
      <c r="BH348" s="49" t="str">
        <f t="shared" si="271"/>
        <v/>
      </c>
      <c r="BI348" s="49" t="str">
        <f t="shared" si="272"/>
        <v/>
      </c>
      <c r="BJ348" s="22" t="str">
        <f t="shared" si="298"/>
        <v/>
      </c>
      <c r="BL348" s="21"/>
      <c r="BM348" s="21" t="str">
        <f>IF(OR(COUNT(B348:D1347)=0,AND('Choix pédagogiques'!$C$3&lt;&gt;1,'Choix pédagogiques'!$C$3&lt;&gt;2)),"",IF(AND(OR('Choix pédagogiques'!$C$3=1,'Choix pédagogiques'!$C$3=2),$B348&lt;&gt;"",$C348&lt;&gt;"",$D348&lt;&gt;""),1,0))</f>
        <v/>
      </c>
      <c r="BN348" s="21" t="str">
        <f>IF(OR(COUNT(G348:I1347)=0,AND('Choix pédagogiques'!$C$3&lt;&gt;1,'Choix pédagogiques'!$C$3&lt;&gt;2)),"",IF(AND(OR('Choix pédagogiques'!$C$3=1,'Choix pédagogiques'!$C$3=2),AND($G348&lt;&gt;"",$H348&lt;&gt;"",$I348&lt;&gt;"")),1,0))</f>
        <v/>
      </c>
      <c r="BO348" s="21" t="str">
        <f>IF(OR(COUNT(B348:D1347)=0,COUNT(G348:I1347)=0,'Choix pédagogiques'!C$3&lt;&gt;3),"",IF(AND('Choix pédagogiques'!$C$3=3,$B348&lt;&gt;"",$C348&lt;&gt;"",$D348&lt;&gt;"",$G348&lt;&gt;"",$H348&lt;&gt;"",$I348&lt;&gt;""),1,0))</f>
        <v/>
      </c>
      <c r="BR348" s="21">
        <v>175</v>
      </c>
      <c r="BS348" s="21">
        <v>1803</v>
      </c>
      <c r="BT348"/>
    </row>
    <row r="349" spans="1:72" s="23" customFormat="1" ht="18" customHeight="1" x14ac:dyDescent="0.3">
      <c r="A349" s="35" t="s">
        <v>339</v>
      </c>
      <c r="B349" s="37"/>
      <c r="C349" s="37"/>
      <c r="D349" s="37"/>
      <c r="E349" s="37"/>
      <c r="F349" s="35" t="s">
        <v>1347</v>
      </c>
      <c r="G349" s="37"/>
      <c r="H349" s="37"/>
      <c r="I349" s="37"/>
      <c r="J349" s="37"/>
      <c r="K349" s="21" t="str">
        <f t="shared" si="273"/>
        <v>Apprenant 337</v>
      </c>
      <c r="L349" s="22" t="str">
        <f t="shared" si="274"/>
        <v/>
      </c>
      <c r="M349" s="22" t="str">
        <f t="shared" si="275"/>
        <v/>
      </c>
      <c r="N349" s="22" t="str">
        <f t="shared" si="276"/>
        <v/>
      </c>
      <c r="O349" s="22" t="str">
        <f t="shared" si="277"/>
        <v/>
      </c>
      <c r="P349" s="21" t="str">
        <f t="shared" si="278"/>
        <v>Apprenant 337 ou 337'</v>
      </c>
      <c r="Q349" s="22" t="str">
        <f t="shared" si="279"/>
        <v/>
      </c>
      <c r="R349" s="22" t="str">
        <f t="shared" si="280"/>
        <v/>
      </c>
      <c r="S349" s="22" t="str">
        <f t="shared" si="281"/>
        <v/>
      </c>
      <c r="T349" s="22" t="str">
        <f t="shared" si="282"/>
        <v/>
      </c>
      <c r="V349" s="21" t="str">
        <f t="shared" si="283"/>
        <v>Apprenant 337</v>
      </c>
      <c r="W349" s="22" t="str">
        <f>IF(AND(OR('Choix pédagogiques'!$C$3=1,'Choix pédagogiques'!$C$3=2),$BM349=1),B349,IF(AND('Choix pédagogiques'!$C$3=3,$BO349=1),B349,""))</f>
        <v/>
      </c>
      <c r="X349" s="22" t="str">
        <f>IF(AND(OR('Choix pédagogiques'!$C$3=1,'Choix pédagogiques'!$C$3=2),$BM349=1),C349,IF(AND('Choix pédagogiques'!$C$3=3,$BO349=1),C349,""))</f>
        <v/>
      </c>
      <c r="Y349" s="22" t="str">
        <f>IF(AND(OR('Choix pédagogiques'!$C$3=1,'Choix pédagogiques'!$C$3=2),$BM349=1),D349,IF(AND('Choix pédagogiques'!$C$3=3,$BO349=1),D349,""))</f>
        <v/>
      </c>
      <c r="Z349" s="22" t="str">
        <f t="shared" si="284"/>
        <v/>
      </c>
      <c r="AA349" s="21" t="str">
        <f t="shared" si="285"/>
        <v>Apprenant 337 ou 337'</v>
      </c>
      <c r="AB349" s="22" t="str">
        <f>IF(AND(OR('Choix pédagogiques'!$C$3=1,'Choix pédagogiques'!$C$3=2),$BN349=1),G349,IF(AND('Choix pédagogiques'!$C$3=3,$BO349=1),G349,""))</f>
        <v/>
      </c>
      <c r="AC349" s="22" t="str">
        <f>IF(AND(OR('Choix pédagogiques'!$C$3=1,'Choix pédagogiques'!$C$3=2),$BN349=1),H349,IF(AND('Choix pédagogiques'!$C$3=3,$BO349=1),H349,""))</f>
        <v/>
      </c>
      <c r="AD349" s="22" t="str">
        <f>IF(AND(OR('Choix pédagogiques'!$C$3=1,'Choix pédagogiques'!$C$3=2),$BN349=1),I349,IF(AND('Choix pédagogiques'!$C$3=3,$BO349=1),I349,""))</f>
        <v/>
      </c>
      <c r="AE349" s="22" t="str">
        <f t="shared" si="286"/>
        <v/>
      </c>
      <c r="AF349" s="21" t="str">
        <f t="shared" si="287"/>
        <v>Apprenant 337</v>
      </c>
      <c r="AG349" s="22" t="str">
        <f t="shared" si="261"/>
        <v/>
      </c>
      <c r="AH349" s="22" t="str">
        <f t="shared" si="262"/>
        <v/>
      </c>
      <c r="AI349" s="22" t="str">
        <f t="shared" si="263"/>
        <v/>
      </c>
      <c r="AJ349" s="22" t="str">
        <f t="shared" si="288"/>
        <v/>
      </c>
      <c r="AK349" s="21" t="str">
        <f t="shared" si="289"/>
        <v>Apprenant 337 ou 337'</v>
      </c>
      <c r="AL349" s="22" t="str">
        <f t="shared" si="264"/>
        <v/>
      </c>
      <c r="AM349" s="22" t="str">
        <f t="shared" si="265"/>
        <v/>
      </c>
      <c r="AN349" s="22" t="str">
        <f t="shared" si="266"/>
        <v/>
      </c>
      <c r="AO349" s="22" t="str">
        <f t="shared" si="290"/>
        <v/>
      </c>
      <c r="AQ349" s="21" t="str">
        <f t="shared" si="291"/>
        <v>Apprenant 337</v>
      </c>
      <c r="AR349" s="49" t="str">
        <f>IF(AND('Choix pédagogiques'!$C$4&lt;&gt;"?",'Choix pédagogiques'!$C$5&lt;&gt;"?",W349&lt;&gt;""),(W349-'Choix pédagogiques'!$C$4)/('Choix pédagogiques'!$C$5-'Choix pédagogiques'!$C$4),"")</f>
        <v/>
      </c>
      <c r="AS349" s="49" t="str">
        <f>IF(AND('Choix pédagogiques'!$C$4&lt;&gt;"?",'Choix pédagogiques'!$C$5&lt;&gt;"?",X349&lt;&gt;""),(X349-'Choix pédagogiques'!$C$4)/('Choix pédagogiques'!$C$5-'Choix pédagogiques'!$C$4),"")</f>
        <v/>
      </c>
      <c r="AT349" s="49" t="str">
        <f>IF(AND('Choix pédagogiques'!$C$4&lt;&gt;"?",'Choix pédagogiques'!$C$5&lt;&gt;"?",Y349&lt;&gt;""),(Y349-'Choix pédagogiques'!$C$4)/('Choix pédagogiques'!$C$5-'Choix pédagogiques'!$C$4),"")</f>
        <v/>
      </c>
      <c r="AU349" s="22" t="str">
        <f t="shared" si="292"/>
        <v/>
      </c>
      <c r="AV349" s="21" t="str">
        <f t="shared" si="293"/>
        <v>Apprenant 337 ou 337'</v>
      </c>
      <c r="AW349" s="49" t="str">
        <f>IF(AND('Choix pédagogiques'!$C$4&lt;&gt;"?",'Choix pédagogiques'!$C$5&lt;&gt;"?",AB349&lt;&gt;""),(AB349-'Choix pédagogiques'!$C$4)/('Choix pédagogiques'!$C$5-'Choix pédagogiques'!$C$4),"")</f>
        <v/>
      </c>
      <c r="AX349" s="49" t="str">
        <f>IF(AND('Choix pédagogiques'!$C$4&lt;&gt;"?",'Choix pédagogiques'!$C$5&lt;&gt;"?",AC349&lt;&gt;""),(AC349-'Choix pédagogiques'!$C$4)/('Choix pédagogiques'!$C$5-'Choix pédagogiques'!$C$4),"")</f>
        <v/>
      </c>
      <c r="AY349" s="49" t="str">
        <f>IF(AND('Choix pédagogiques'!$C$4&lt;&gt;"?",'Choix pédagogiques'!$C$5&lt;&gt;"?",AD349&lt;&gt;""),(AD349-'Choix pédagogiques'!$C$4)/('Choix pédagogiques'!$C$5-'Choix pédagogiques'!$C$4),"")</f>
        <v/>
      </c>
      <c r="AZ349" s="22" t="str">
        <f t="shared" si="294"/>
        <v/>
      </c>
      <c r="BA349" s="21" t="str">
        <f t="shared" si="295"/>
        <v>Apprenant 337</v>
      </c>
      <c r="BB349" s="49" t="str">
        <f t="shared" si="267"/>
        <v/>
      </c>
      <c r="BC349" s="49" t="str">
        <f t="shared" si="268"/>
        <v/>
      </c>
      <c r="BD349" s="49" t="str">
        <f t="shared" si="269"/>
        <v/>
      </c>
      <c r="BE349" s="22" t="str">
        <f t="shared" si="296"/>
        <v/>
      </c>
      <c r="BF349" s="21" t="str">
        <f t="shared" si="297"/>
        <v>Apprenant 337 ou 337'</v>
      </c>
      <c r="BG349" s="49" t="str">
        <f t="shared" si="270"/>
        <v/>
      </c>
      <c r="BH349" s="49" t="str">
        <f t="shared" si="271"/>
        <v/>
      </c>
      <c r="BI349" s="49" t="str">
        <f t="shared" si="272"/>
        <v/>
      </c>
      <c r="BJ349" s="22" t="str">
        <f t="shared" si="298"/>
        <v/>
      </c>
      <c r="BL349" s="21"/>
      <c r="BM349" s="21" t="str">
        <f>IF(OR(COUNT(B349:D1348)=0,AND('Choix pédagogiques'!$C$3&lt;&gt;1,'Choix pédagogiques'!$C$3&lt;&gt;2)),"",IF(AND(OR('Choix pédagogiques'!$C$3=1,'Choix pédagogiques'!$C$3=2),$B349&lt;&gt;"",$C349&lt;&gt;"",$D349&lt;&gt;""),1,0))</f>
        <v/>
      </c>
      <c r="BN349" s="21" t="str">
        <f>IF(OR(COUNT(G349:I1348)=0,AND('Choix pédagogiques'!$C$3&lt;&gt;1,'Choix pédagogiques'!$C$3&lt;&gt;2)),"",IF(AND(OR('Choix pédagogiques'!$C$3=1,'Choix pédagogiques'!$C$3=2),AND($G349&lt;&gt;"",$H349&lt;&gt;"",$I349&lt;&gt;"")),1,0))</f>
        <v/>
      </c>
      <c r="BO349" s="21" t="str">
        <f>IF(OR(COUNT(B349:D1348)=0,COUNT(G349:I1348)=0,'Choix pédagogiques'!C$3&lt;&gt;3),"",IF(AND('Choix pédagogiques'!$C$3=3,$B349&lt;&gt;"",$C349&lt;&gt;"",$D349&lt;&gt;"",$G349&lt;&gt;"",$H349&lt;&gt;"",$I349&lt;&gt;""),1,0))</f>
        <v/>
      </c>
      <c r="BR349" s="21">
        <v>814</v>
      </c>
      <c r="BS349" s="21">
        <v>1224</v>
      </c>
      <c r="BT349"/>
    </row>
    <row r="350" spans="1:72" s="23" customFormat="1" ht="18" customHeight="1" x14ac:dyDescent="0.3">
      <c r="A350" s="35" t="s">
        <v>340</v>
      </c>
      <c r="B350" s="37"/>
      <c r="C350" s="37"/>
      <c r="D350" s="37"/>
      <c r="E350" s="37"/>
      <c r="F350" s="35" t="s">
        <v>1348</v>
      </c>
      <c r="G350" s="37"/>
      <c r="H350" s="37"/>
      <c r="I350" s="37"/>
      <c r="J350" s="37"/>
      <c r="K350" s="21" t="str">
        <f t="shared" si="273"/>
        <v>Apprenant 338</v>
      </c>
      <c r="L350" s="22" t="str">
        <f t="shared" si="274"/>
        <v/>
      </c>
      <c r="M350" s="22" t="str">
        <f t="shared" si="275"/>
        <v/>
      </c>
      <c r="N350" s="22" t="str">
        <f t="shared" si="276"/>
        <v/>
      </c>
      <c r="O350" s="22" t="str">
        <f t="shared" si="277"/>
        <v/>
      </c>
      <c r="P350" s="21" t="str">
        <f t="shared" si="278"/>
        <v>Apprenant 338 ou 338'</v>
      </c>
      <c r="Q350" s="22" t="str">
        <f t="shared" si="279"/>
        <v/>
      </c>
      <c r="R350" s="22" t="str">
        <f t="shared" si="280"/>
        <v/>
      </c>
      <c r="S350" s="22" t="str">
        <f t="shared" si="281"/>
        <v/>
      </c>
      <c r="T350" s="22" t="str">
        <f t="shared" si="282"/>
        <v/>
      </c>
      <c r="V350" s="21" t="str">
        <f t="shared" si="283"/>
        <v>Apprenant 338</v>
      </c>
      <c r="W350" s="22" t="str">
        <f>IF(AND(OR('Choix pédagogiques'!$C$3=1,'Choix pédagogiques'!$C$3=2),$BM350=1),B350,IF(AND('Choix pédagogiques'!$C$3=3,$BO350=1),B350,""))</f>
        <v/>
      </c>
      <c r="X350" s="22" t="str">
        <f>IF(AND(OR('Choix pédagogiques'!$C$3=1,'Choix pédagogiques'!$C$3=2),$BM350=1),C350,IF(AND('Choix pédagogiques'!$C$3=3,$BO350=1),C350,""))</f>
        <v/>
      </c>
      <c r="Y350" s="22" t="str">
        <f>IF(AND(OR('Choix pédagogiques'!$C$3=1,'Choix pédagogiques'!$C$3=2),$BM350=1),D350,IF(AND('Choix pédagogiques'!$C$3=3,$BO350=1),D350,""))</f>
        <v/>
      </c>
      <c r="Z350" s="22" t="str">
        <f t="shared" si="284"/>
        <v/>
      </c>
      <c r="AA350" s="21" t="str">
        <f t="shared" si="285"/>
        <v>Apprenant 338 ou 338'</v>
      </c>
      <c r="AB350" s="22" t="str">
        <f>IF(AND(OR('Choix pédagogiques'!$C$3=1,'Choix pédagogiques'!$C$3=2),$BN350=1),G350,IF(AND('Choix pédagogiques'!$C$3=3,$BO350=1),G350,""))</f>
        <v/>
      </c>
      <c r="AC350" s="22" t="str">
        <f>IF(AND(OR('Choix pédagogiques'!$C$3=1,'Choix pédagogiques'!$C$3=2),$BN350=1),H350,IF(AND('Choix pédagogiques'!$C$3=3,$BO350=1),H350,""))</f>
        <v/>
      </c>
      <c r="AD350" s="22" t="str">
        <f>IF(AND(OR('Choix pédagogiques'!$C$3=1,'Choix pédagogiques'!$C$3=2),$BN350=1),I350,IF(AND('Choix pédagogiques'!$C$3=3,$BO350=1),I350,""))</f>
        <v/>
      </c>
      <c r="AE350" s="22" t="str">
        <f t="shared" si="286"/>
        <v/>
      </c>
      <c r="AF350" s="21" t="str">
        <f t="shared" si="287"/>
        <v>Apprenant 338</v>
      </c>
      <c r="AG350" s="22" t="str">
        <f t="shared" si="261"/>
        <v/>
      </c>
      <c r="AH350" s="22" t="str">
        <f t="shared" si="262"/>
        <v/>
      </c>
      <c r="AI350" s="22" t="str">
        <f t="shared" si="263"/>
        <v/>
      </c>
      <c r="AJ350" s="22" t="str">
        <f t="shared" si="288"/>
        <v/>
      </c>
      <c r="AK350" s="21" t="str">
        <f t="shared" si="289"/>
        <v>Apprenant 338 ou 338'</v>
      </c>
      <c r="AL350" s="22" t="str">
        <f t="shared" si="264"/>
        <v/>
      </c>
      <c r="AM350" s="22" t="str">
        <f t="shared" si="265"/>
        <v/>
      </c>
      <c r="AN350" s="22" t="str">
        <f t="shared" si="266"/>
        <v/>
      </c>
      <c r="AO350" s="22" t="str">
        <f t="shared" si="290"/>
        <v/>
      </c>
      <c r="AQ350" s="21" t="str">
        <f t="shared" si="291"/>
        <v>Apprenant 338</v>
      </c>
      <c r="AR350" s="49" t="str">
        <f>IF(AND('Choix pédagogiques'!$C$4&lt;&gt;"?",'Choix pédagogiques'!$C$5&lt;&gt;"?",W350&lt;&gt;""),(W350-'Choix pédagogiques'!$C$4)/('Choix pédagogiques'!$C$5-'Choix pédagogiques'!$C$4),"")</f>
        <v/>
      </c>
      <c r="AS350" s="49" t="str">
        <f>IF(AND('Choix pédagogiques'!$C$4&lt;&gt;"?",'Choix pédagogiques'!$C$5&lt;&gt;"?",X350&lt;&gt;""),(X350-'Choix pédagogiques'!$C$4)/('Choix pédagogiques'!$C$5-'Choix pédagogiques'!$C$4),"")</f>
        <v/>
      </c>
      <c r="AT350" s="49" t="str">
        <f>IF(AND('Choix pédagogiques'!$C$4&lt;&gt;"?",'Choix pédagogiques'!$C$5&lt;&gt;"?",Y350&lt;&gt;""),(Y350-'Choix pédagogiques'!$C$4)/('Choix pédagogiques'!$C$5-'Choix pédagogiques'!$C$4),"")</f>
        <v/>
      </c>
      <c r="AU350" s="22" t="str">
        <f t="shared" si="292"/>
        <v/>
      </c>
      <c r="AV350" s="21" t="str">
        <f t="shared" si="293"/>
        <v>Apprenant 338 ou 338'</v>
      </c>
      <c r="AW350" s="49" t="str">
        <f>IF(AND('Choix pédagogiques'!$C$4&lt;&gt;"?",'Choix pédagogiques'!$C$5&lt;&gt;"?",AB350&lt;&gt;""),(AB350-'Choix pédagogiques'!$C$4)/('Choix pédagogiques'!$C$5-'Choix pédagogiques'!$C$4),"")</f>
        <v/>
      </c>
      <c r="AX350" s="49" t="str">
        <f>IF(AND('Choix pédagogiques'!$C$4&lt;&gt;"?",'Choix pédagogiques'!$C$5&lt;&gt;"?",AC350&lt;&gt;""),(AC350-'Choix pédagogiques'!$C$4)/('Choix pédagogiques'!$C$5-'Choix pédagogiques'!$C$4),"")</f>
        <v/>
      </c>
      <c r="AY350" s="49" t="str">
        <f>IF(AND('Choix pédagogiques'!$C$4&lt;&gt;"?",'Choix pédagogiques'!$C$5&lt;&gt;"?",AD350&lt;&gt;""),(AD350-'Choix pédagogiques'!$C$4)/('Choix pédagogiques'!$C$5-'Choix pédagogiques'!$C$4),"")</f>
        <v/>
      </c>
      <c r="AZ350" s="22" t="str">
        <f t="shared" si="294"/>
        <v/>
      </c>
      <c r="BA350" s="21" t="str">
        <f t="shared" si="295"/>
        <v>Apprenant 338</v>
      </c>
      <c r="BB350" s="49" t="str">
        <f t="shared" si="267"/>
        <v/>
      </c>
      <c r="BC350" s="49" t="str">
        <f t="shared" si="268"/>
        <v/>
      </c>
      <c r="BD350" s="49" t="str">
        <f t="shared" si="269"/>
        <v/>
      </c>
      <c r="BE350" s="22" t="str">
        <f t="shared" si="296"/>
        <v/>
      </c>
      <c r="BF350" s="21" t="str">
        <f t="shared" si="297"/>
        <v>Apprenant 338 ou 338'</v>
      </c>
      <c r="BG350" s="49" t="str">
        <f t="shared" si="270"/>
        <v/>
      </c>
      <c r="BH350" s="49" t="str">
        <f t="shared" si="271"/>
        <v/>
      </c>
      <c r="BI350" s="49" t="str">
        <f t="shared" si="272"/>
        <v/>
      </c>
      <c r="BJ350" s="22" t="str">
        <f t="shared" si="298"/>
        <v/>
      </c>
      <c r="BL350" s="21"/>
      <c r="BM350" s="21" t="str">
        <f>IF(OR(COUNT(B350:D1349)=0,AND('Choix pédagogiques'!$C$3&lt;&gt;1,'Choix pédagogiques'!$C$3&lt;&gt;2)),"",IF(AND(OR('Choix pédagogiques'!$C$3=1,'Choix pédagogiques'!$C$3=2),$B350&lt;&gt;"",$C350&lt;&gt;"",$D350&lt;&gt;""),1,0))</f>
        <v/>
      </c>
      <c r="BN350" s="21" t="str">
        <f>IF(OR(COUNT(G350:I1349)=0,AND('Choix pédagogiques'!$C$3&lt;&gt;1,'Choix pédagogiques'!$C$3&lt;&gt;2)),"",IF(AND(OR('Choix pédagogiques'!$C$3=1,'Choix pédagogiques'!$C$3=2),AND($G350&lt;&gt;"",$H350&lt;&gt;"",$I350&lt;&gt;"")),1,0))</f>
        <v/>
      </c>
      <c r="BO350" s="21" t="str">
        <f>IF(OR(COUNT(B350:D1349)=0,COUNT(G350:I1349)=0,'Choix pédagogiques'!C$3&lt;&gt;3),"",IF(AND('Choix pédagogiques'!$C$3=3,$B350&lt;&gt;"",$C350&lt;&gt;"",$D350&lt;&gt;"",$G350&lt;&gt;"",$H350&lt;&gt;"",$I350&lt;&gt;""),1,0))</f>
        <v/>
      </c>
      <c r="BR350" s="21">
        <v>280</v>
      </c>
      <c r="BS350" s="21">
        <v>1269</v>
      </c>
      <c r="BT350"/>
    </row>
    <row r="351" spans="1:72" s="23" customFormat="1" ht="18" customHeight="1" x14ac:dyDescent="0.3">
      <c r="A351" s="35" t="s">
        <v>341</v>
      </c>
      <c r="B351" s="37"/>
      <c r="C351" s="37"/>
      <c r="D351" s="37"/>
      <c r="E351" s="37"/>
      <c r="F351" s="35" t="s">
        <v>1349</v>
      </c>
      <c r="G351" s="37"/>
      <c r="H351" s="37"/>
      <c r="I351" s="37"/>
      <c r="J351" s="37"/>
      <c r="K351" s="21" t="str">
        <f t="shared" si="273"/>
        <v>Apprenant 339</v>
      </c>
      <c r="L351" s="22" t="str">
        <f t="shared" si="274"/>
        <v/>
      </c>
      <c r="M351" s="22" t="str">
        <f t="shared" si="275"/>
        <v/>
      </c>
      <c r="N351" s="22" t="str">
        <f t="shared" si="276"/>
        <v/>
      </c>
      <c r="O351" s="22" t="str">
        <f t="shared" si="277"/>
        <v/>
      </c>
      <c r="P351" s="21" t="str">
        <f t="shared" si="278"/>
        <v>Apprenant 339 ou 339'</v>
      </c>
      <c r="Q351" s="22" t="str">
        <f t="shared" si="279"/>
        <v/>
      </c>
      <c r="R351" s="22" t="str">
        <f t="shared" si="280"/>
        <v/>
      </c>
      <c r="S351" s="22" t="str">
        <f t="shared" si="281"/>
        <v/>
      </c>
      <c r="T351" s="22" t="str">
        <f t="shared" si="282"/>
        <v/>
      </c>
      <c r="V351" s="21" t="str">
        <f t="shared" si="283"/>
        <v>Apprenant 339</v>
      </c>
      <c r="W351" s="22" t="str">
        <f>IF(AND(OR('Choix pédagogiques'!$C$3=1,'Choix pédagogiques'!$C$3=2),$BM351=1),B351,IF(AND('Choix pédagogiques'!$C$3=3,$BO351=1),B351,""))</f>
        <v/>
      </c>
      <c r="X351" s="22" t="str">
        <f>IF(AND(OR('Choix pédagogiques'!$C$3=1,'Choix pédagogiques'!$C$3=2),$BM351=1),C351,IF(AND('Choix pédagogiques'!$C$3=3,$BO351=1),C351,""))</f>
        <v/>
      </c>
      <c r="Y351" s="22" t="str">
        <f>IF(AND(OR('Choix pédagogiques'!$C$3=1,'Choix pédagogiques'!$C$3=2),$BM351=1),D351,IF(AND('Choix pédagogiques'!$C$3=3,$BO351=1),D351,""))</f>
        <v/>
      </c>
      <c r="Z351" s="22" t="str">
        <f t="shared" si="284"/>
        <v/>
      </c>
      <c r="AA351" s="21" t="str">
        <f t="shared" si="285"/>
        <v>Apprenant 339 ou 339'</v>
      </c>
      <c r="AB351" s="22" t="str">
        <f>IF(AND(OR('Choix pédagogiques'!$C$3=1,'Choix pédagogiques'!$C$3=2),$BN351=1),G351,IF(AND('Choix pédagogiques'!$C$3=3,$BO351=1),G351,""))</f>
        <v/>
      </c>
      <c r="AC351" s="22" t="str">
        <f>IF(AND(OR('Choix pédagogiques'!$C$3=1,'Choix pédagogiques'!$C$3=2),$BN351=1),H351,IF(AND('Choix pédagogiques'!$C$3=3,$BO351=1),H351,""))</f>
        <v/>
      </c>
      <c r="AD351" s="22" t="str">
        <f>IF(AND(OR('Choix pédagogiques'!$C$3=1,'Choix pédagogiques'!$C$3=2),$BN351=1),I351,IF(AND('Choix pédagogiques'!$C$3=3,$BO351=1),I351,""))</f>
        <v/>
      </c>
      <c r="AE351" s="22" t="str">
        <f t="shared" si="286"/>
        <v/>
      </c>
      <c r="AF351" s="21" t="str">
        <f t="shared" si="287"/>
        <v>Apprenant 339</v>
      </c>
      <c r="AG351" s="22" t="str">
        <f t="shared" si="261"/>
        <v/>
      </c>
      <c r="AH351" s="22" t="str">
        <f t="shared" si="262"/>
        <v/>
      </c>
      <c r="AI351" s="22" t="str">
        <f t="shared" si="263"/>
        <v/>
      </c>
      <c r="AJ351" s="22" t="str">
        <f t="shared" si="288"/>
        <v/>
      </c>
      <c r="AK351" s="21" t="str">
        <f t="shared" si="289"/>
        <v>Apprenant 339 ou 339'</v>
      </c>
      <c r="AL351" s="22" t="str">
        <f t="shared" si="264"/>
        <v/>
      </c>
      <c r="AM351" s="22" t="str">
        <f t="shared" si="265"/>
        <v/>
      </c>
      <c r="AN351" s="22" t="str">
        <f t="shared" si="266"/>
        <v/>
      </c>
      <c r="AO351" s="22" t="str">
        <f t="shared" si="290"/>
        <v/>
      </c>
      <c r="AQ351" s="21" t="str">
        <f t="shared" si="291"/>
        <v>Apprenant 339</v>
      </c>
      <c r="AR351" s="49" t="str">
        <f>IF(AND('Choix pédagogiques'!$C$4&lt;&gt;"?",'Choix pédagogiques'!$C$5&lt;&gt;"?",W351&lt;&gt;""),(W351-'Choix pédagogiques'!$C$4)/('Choix pédagogiques'!$C$5-'Choix pédagogiques'!$C$4),"")</f>
        <v/>
      </c>
      <c r="AS351" s="49" t="str">
        <f>IF(AND('Choix pédagogiques'!$C$4&lt;&gt;"?",'Choix pédagogiques'!$C$5&lt;&gt;"?",X351&lt;&gt;""),(X351-'Choix pédagogiques'!$C$4)/('Choix pédagogiques'!$C$5-'Choix pédagogiques'!$C$4),"")</f>
        <v/>
      </c>
      <c r="AT351" s="49" t="str">
        <f>IF(AND('Choix pédagogiques'!$C$4&lt;&gt;"?",'Choix pédagogiques'!$C$5&lt;&gt;"?",Y351&lt;&gt;""),(Y351-'Choix pédagogiques'!$C$4)/('Choix pédagogiques'!$C$5-'Choix pédagogiques'!$C$4),"")</f>
        <v/>
      </c>
      <c r="AU351" s="22" t="str">
        <f t="shared" si="292"/>
        <v/>
      </c>
      <c r="AV351" s="21" t="str">
        <f t="shared" si="293"/>
        <v>Apprenant 339 ou 339'</v>
      </c>
      <c r="AW351" s="49" t="str">
        <f>IF(AND('Choix pédagogiques'!$C$4&lt;&gt;"?",'Choix pédagogiques'!$C$5&lt;&gt;"?",AB351&lt;&gt;""),(AB351-'Choix pédagogiques'!$C$4)/('Choix pédagogiques'!$C$5-'Choix pédagogiques'!$C$4),"")</f>
        <v/>
      </c>
      <c r="AX351" s="49" t="str">
        <f>IF(AND('Choix pédagogiques'!$C$4&lt;&gt;"?",'Choix pédagogiques'!$C$5&lt;&gt;"?",AC351&lt;&gt;""),(AC351-'Choix pédagogiques'!$C$4)/('Choix pédagogiques'!$C$5-'Choix pédagogiques'!$C$4),"")</f>
        <v/>
      </c>
      <c r="AY351" s="49" t="str">
        <f>IF(AND('Choix pédagogiques'!$C$4&lt;&gt;"?",'Choix pédagogiques'!$C$5&lt;&gt;"?",AD351&lt;&gt;""),(AD351-'Choix pédagogiques'!$C$4)/('Choix pédagogiques'!$C$5-'Choix pédagogiques'!$C$4),"")</f>
        <v/>
      </c>
      <c r="AZ351" s="22" t="str">
        <f t="shared" si="294"/>
        <v/>
      </c>
      <c r="BA351" s="21" t="str">
        <f t="shared" si="295"/>
        <v>Apprenant 339</v>
      </c>
      <c r="BB351" s="49" t="str">
        <f t="shared" si="267"/>
        <v/>
      </c>
      <c r="BC351" s="49" t="str">
        <f t="shared" si="268"/>
        <v/>
      </c>
      <c r="BD351" s="49" t="str">
        <f t="shared" si="269"/>
        <v/>
      </c>
      <c r="BE351" s="22" t="str">
        <f t="shared" si="296"/>
        <v/>
      </c>
      <c r="BF351" s="21" t="str">
        <f t="shared" si="297"/>
        <v>Apprenant 339 ou 339'</v>
      </c>
      <c r="BG351" s="49" t="str">
        <f t="shared" si="270"/>
        <v/>
      </c>
      <c r="BH351" s="49" t="str">
        <f t="shared" si="271"/>
        <v/>
      </c>
      <c r="BI351" s="49" t="str">
        <f t="shared" si="272"/>
        <v/>
      </c>
      <c r="BJ351" s="22" t="str">
        <f t="shared" si="298"/>
        <v/>
      </c>
      <c r="BL351" s="21"/>
      <c r="BM351" s="21" t="str">
        <f>IF(OR(COUNT(B351:D1350)=0,AND('Choix pédagogiques'!$C$3&lt;&gt;1,'Choix pédagogiques'!$C$3&lt;&gt;2)),"",IF(AND(OR('Choix pédagogiques'!$C$3=1,'Choix pédagogiques'!$C$3=2),$B351&lt;&gt;"",$C351&lt;&gt;"",$D351&lt;&gt;""),1,0))</f>
        <v/>
      </c>
      <c r="BN351" s="21" t="str">
        <f>IF(OR(COUNT(G351:I1350)=0,AND('Choix pédagogiques'!$C$3&lt;&gt;1,'Choix pédagogiques'!$C$3&lt;&gt;2)),"",IF(AND(OR('Choix pédagogiques'!$C$3=1,'Choix pédagogiques'!$C$3=2),AND($G351&lt;&gt;"",$H351&lt;&gt;"",$I351&lt;&gt;"")),1,0))</f>
        <v/>
      </c>
      <c r="BO351" s="21" t="str">
        <f>IF(OR(COUNT(B351:D1350)=0,COUNT(G351:I1350)=0,'Choix pédagogiques'!C$3&lt;&gt;3),"",IF(AND('Choix pédagogiques'!$C$3=3,$B351&lt;&gt;"",$C351&lt;&gt;"",$D351&lt;&gt;"",$G351&lt;&gt;"",$H351&lt;&gt;"",$I351&lt;&gt;""),1,0))</f>
        <v/>
      </c>
      <c r="BR351" s="21">
        <v>963</v>
      </c>
      <c r="BS351" s="21">
        <v>1273</v>
      </c>
      <c r="BT351"/>
    </row>
    <row r="352" spans="1:72" s="23" customFormat="1" ht="18" customHeight="1" x14ac:dyDescent="0.3">
      <c r="A352" s="35" t="s">
        <v>342</v>
      </c>
      <c r="B352" s="37"/>
      <c r="C352" s="37"/>
      <c r="D352" s="37"/>
      <c r="E352" s="37"/>
      <c r="F352" s="35" t="s">
        <v>1350</v>
      </c>
      <c r="G352" s="37"/>
      <c r="H352" s="37"/>
      <c r="I352" s="37"/>
      <c r="J352" s="37"/>
      <c r="K352" s="21" t="str">
        <f t="shared" si="273"/>
        <v>Apprenant 340</v>
      </c>
      <c r="L352" s="22" t="str">
        <f t="shared" si="274"/>
        <v/>
      </c>
      <c r="M352" s="22" t="str">
        <f t="shared" si="275"/>
        <v/>
      </c>
      <c r="N352" s="22" t="str">
        <f t="shared" si="276"/>
        <v/>
      </c>
      <c r="O352" s="22" t="str">
        <f t="shared" si="277"/>
        <v/>
      </c>
      <c r="P352" s="21" t="str">
        <f t="shared" si="278"/>
        <v>Apprenant 340 ou 340'</v>
      </c>
      <c r="Q352" s="22" t="str">
        <f t="shared" si="279"/>
        <v/>
      </c>
      <c r="R352" s="22" t="str">
        <f t="shared" si="280"/>
        <v/>
      </c>
      <c r="S352" s="22" t="str">
        <f t="shared" si="281"/>
        <v/>
      </c>
      <c r="T352" s="22" t="str">
        <f t="shared" si="282"/>
        <v/>
      </c>
      <c r="V352" s="21" t="str">
        <f t="shared" si="283"/>
        <v>Apprenant 340</v>
      </c>
      <c r="W352" s="22" t="str">
        <f>IF(AND(OR('Choix pédagogiques'!$C$3=1,'Choix pédagogiques'!$C$3=2),$BM352=1),B352,IF(AND('Choix pédagogiques'!$C$3=3,$BO352=1),B352,""))</f>
        <v/>
      </c>
      <c r="X352" s="22" t="str">
        <f>IF(AND(OR('Choix pédagogiques'!$C$3=1,'Choix pédagogiques'!$C$3=2),$BM352=1),C352,IF(AND('Choix pédagogiques'!$C$3=3,$BO352=1),C352,""))</f>
        <v/>
      </c>
      <c r="Y352" s="22" t="str">
        <f>IF(AND(OR('Choix pédagogiques'!$C$3=1,'Choix pédagogiques'!$C$3=2),$BM352=1),D352,IF(AND('Choix pédagogiques'!$C$3=3,$BO352=1),D352,""))</f>
        <v/>
      </c>
      <c r="Z352" s="22" t="str">
        <f t="shared" si="284"/>
        <v/>
      </c>
      <c r="AA352" s="21" t="str">
        <f t="shared" si="285"/>
        <v>Apprenant 340 ou 340'</v>
      </c>
      <c r="AB352" s="22" t="str">
        <f>IF(AND(OR('Choix pédagogiques'!$C$3=1,'Choix pédagogiques'!$C$3=2),$BN352=1),G352,IF(AND('Choix pédagogiques'!$C$3=3,$BO352=1),G352,""))</f>
        <v/>
      </c>
      <c r="AC352" s="22" t="str">
        <f>IF(AND(OR('Choix pédagogiques'!$C$3=1,'Choix pédagogiques'!$C$3=2),$BN352=1),H352,IF(AND('Choix pédagogiques'!$C$3=3,$BO352=1),H352,""))</f>
        <v/>
      </c>
      <c r="AD352" s="22" t="str">
        <f>IF(AND(OR('Choix pédagogiques'!$C$3=1,'Choix pédagogiques'!$C$3=2),$BN352=1),I352,IF(AND('Choix pédagogiques'!$C$3=3,$BO352=1),I352,""))</f>
        <v/>
      </c>
      <c r="AE352" s="22" t="str">
        <f t="shared" si="286"/>
        <v/>
      </c>
      <c r="AF352" s="21" t="str">
        <f t="shared" si="287"/>
        <v>Apprenant 340</v>
      </c>
      <c r="AG352" s="22" t="str">
        <f t="shared" si="261"/>
        <v/>
      </c>
      <c r="AH352" s="22" t="str">
        <f t="shared" si="262"/>
        <v/>
      </c>
      <c r="AI352" s="22" t="str">
        <f t="shared" si="263"/>
        <v/>
      </c>
      <c r="AJ352" s="22" t="str">
        <f t="shared" si="288"/>
        <v/>
      </c>
      <c r="AK352" s="21" t="str">
        <f t="shared" si="289"/>
        <v>Apprenant 340 ou 340'</v>
      </c>
      <c r="AL352" s="22" t="str">
        <f t="shared" si="264"/>
        <v/>
      </c>
      <c r="AM352" s="22" t="str">
        <f t="shared" si="265"/>
        <v/>
      </c>
      <c r="AN352" s="22" t="str">
        <f t="shared" si="266"/>
        <v/>
      </c>
      <c r="AO352" s="22" t="str">
        <f t="shared" si="290"/>
        <v/>
      </c>
      <c r="AQ352" s="21" t="str">
        <f t="shared" si="291"/>
        <v>Apprenant 340</v>
      </c>
      <c r="AR352" s="49" t="str">
        <f>IF(AND('Choix pédagogiques'!$C$4&lt;&gt;"?",'Choix pédagogiques'!$C$5&lt;&gt;"?",W352&lt;&gt;""),(W352-'Choix pédagogiques'!$C$4)/('Choix pédagogiques'!$C$5-'Choix pédagogiques'!$C$4),"")</f>
        <v/>
      </c>
      <c r="AS352" s="49" t="str">
        <f>IF(AND('Choix pédagogiques'!$C$4&lt;&gt;"?",'Choix pédagogiques'!$C$5&lt;&gt;"?",X352&lt;&gt;""),(X352-'Choix pédagogiques'!$C$4)/('Choix pédagogiques'!$C$5-'Choix pédagogiques'!$C$4),"")</f>
        <v/>
      </c>
      <c r="AT352" s="49" t="str">
        <f>IF(AND('Choix pédagogiques'!$C$4&lt;&gt;"?",'Choix pédagogiques'!$C$5&lt;&gt;"?",Y352&lt;&gt;""),(Y352-'Choix pédagogiques'!$C$4)/('Choix pédagogiques'!$C$5-'Choix pédagogiques'!$C$4),"")</f>
        <v/>
      </c>
      <c r="AU352" s="22" t="str">
        <f t="shared" si="292"/>
        <v/>
      </c>
      <c r="AV352" s="21" t="str">
        <f t="shared" si="293"/>
        <v>Apprenant 340 ou 340'</v>
      </c>
      <c r="AW352" s="49" t="str">
        <f>IF(AND('Choix pédagogiques'!$C$4&lt;&gt;"?",'Choix pédagogiques'!$C$5&lt;&gt;"?",AB352&lt;&gt;""),(AB352-'Choix pédagogiques'!$C$4)/('Choix pédagogiques'!$C$5-'Choix pédagogiques'!$C$4),"")</f>
        <v/>
      </c>
      <c r="AX352" s="49" t="str">
        <f>IF(AND('Choix pédagogiques'!$C$4&lt;&gt;"?",'Choix pédagogiques'!$C$5&lt;&gt;"?",AC352&lt;&gt;""),(AC352-'Choix pédagogiques'!$C$4)/('Choix pédagogiques'!$C$5-'Choix pédagogiques'!$C$4),"")</f>
        <v/>
      </c>
      <c r="AY352" s="49" t="str">
        <f>IF(AND('Choix pédagogiques'!$C$4&lt;&gt;"?",'Choix pédagogiques'!$C$5&lt;&gt;"?",AD352&lt;&gt;""),(AD352-'Choix pédagogiques'!$C$4)/('Choix pédagogiques'!$C$5-'Choix pédagogiques'!$C$4),"")</f>
        <v/>
      </c>
      <c r="AZ352" s="22" t="str">
        <f t="shared" si="294"/>
        <v/>
      </c>
      <c r="BA352" s="21" t="str">
        <f t="shared" si="295"/>
        <v>Apprenant 340</v>
      </c>
      <c r="BB352" s="49" t="str">
        <f t="shared" si="267"/>
        <v/>
      </c>
      <c r="BC352" s="49" t="str">
        <f t="shared" si="268"/>
        <v/>
      </c>
      <c r="BD352" s="49" t="str">
        <f t="shared" si="269"/>
        <v/>
      </c>
      <c r="BE352" s="22" t="str">
        <f t="shared" si="296"/>
        <v/>
      </c>
      <c r="BF352" s="21" t="str">
        <f t="shared" si="297"/>
        <v>Apprenant 340 ou 340'</v>
      </c>
      <c r="BG352" s="49" t="str">
        <f t="shared" si="270"/>
        <v/>
      </c>
      <c r="BH352" s="49" t="str">
        <f t="shared" si="271"/>
        <v/>
      </c>
      <c r="BI352" s="49" t="str">
        <f t="shared" si="272"/>
        <v/>
      </c>
      <c r="BJ352" s="22" t="str">
        <f t="shared" si="298"/>
        <v/>
      </c>
      <c r="BL352" s="21"/>
      <c r="BM352" s="21" t="str">
        <f>IF(OR(COUNT(B352:D1351)=0,AND('Choix pédagogiques'!$C$3&lt;&gt;1,'Choix pédagogiques'!$C$3&lt;&gt;2)),"",IF(AND(OR('Choix pédagogiques'!$C$3=1,'Choix pédagogiques'!$C$3=2),$B352&lt;&gt;"",$C352&lt;&gt;"",$D352&lt;&gt;""),1,0))</f>
        <v/>
      </c>
      <c r="BN352" s="21" t="str">
        <f>IF(OR(COUNT(G352:I1351)=0,AND('Choix pédagogiques'!$C$3&lt;&gt;1,'Choix pédagogiques'!$C$3&lt;&gt;2)),"",IF(AND(OR('Choix pédagogiques'!$C$3=1,'Choix pédagogiques'!$C$3=2),AND($G352&lt;&gt;"",$H352&lt;&gt;"",$I352&lt;&gt;"")),1,0))</f>
        <v/>
      </c>
      <c r="BO352" s="21" t="str">
        <f>IF(OR(COUNT(B352:D1351)=0,COUNT(G352:I1351)=0,'Choix pédagogiques'!C$3&lt;&gt;3),"",IF(AND('Choix pédagogiques'!$C$3=3,$B352&lt;&gt;"",$C352&lt;&gt;"",$D352&lt;&gt;"",$G352&lt;&gt;"",$H352&lt;&gt;"",$I352&lt;&gt;""),1,0))</f>
        <v/>
      </c>
      <c r="BR352" s="21">
        <v>848</v>
      </c>
      <c r="BS352" s="21">
        <v>1817</v>
      </c>
      <c r="BT352"/>
    </row>
    <row r="353" spans="1:72" s="23" customFormat="1" ht="18" customHeight="1" x14ac:dyDescent="0.3">
      <c r="A353" s="35" t="s">
        <v>343</v>
      </c>
      <c r="B353" s="37"/>
      <c r="C353" s="37"/>
      <c r="D353" s="37"/>
      <c r="E353" s="37"/>
      <c r="F353" s="35" t="s">
        <v>1351</v>
      </c>
      <c r="G353" s="37"/>
      <c r="H353" s="37"/>
      <c r="I353" s="37"/>
      <c r="J353" s="37"/>
      <c r="K353" s="21" t="str">
        <f t="shared" si="273"/>
        <v>Apprenant 341</v>
      </c>
      <c r="L353" s="22" t="str">
        <f t="shared" si="274"/>
        <v/>
      </c>
      <c r="M353" s="22" t="str">
        <f t="shared" si="275"/>
        <v/>
      </c>
      <c r="N353" s="22" t="str">
        <f t="shared" si="276"/>
        <v/>
      </c>
      <c r="O353" s="22" t="str">
        <f t="shared" si="277"/>
        <v/>
      </c>
      <c r="P353" s="21" t="str">
        <f t="shared" si="278"/>
        <v>Apprenant 341 ou 341'</v>
      </c>
      <c r="Q353" s="22" t="str">
        <f t="shared" si="279"/>
        <v/>
      </c>
      <c r="R353" s="22" t="str">
        <f t="shared" si="280"/>
        <v/>
      </c>
      <c r="S353" s="22" t="str">
        <f t="shared" si="281"/>
        <v/>
      </c>
      <c r="T353" s="22" t="str">
        <f t="shared" si="282"/>
        <v/>
      </c>
      <c r="V353" s="21" t="str">
        <f t="shared" si="283"/>
        <v>Apprenant 341</v>
      </c>
      <c r="W353" s="22" t="str">
        <f>IF(AND(OR('Choix pédagogiques'!$C$3=1,'Choix pédagogiques'!$C$3=2),$BM353=1),B353,IF(AND('Choix pédagogiques'!$C$3=3,$BO353=1),B353,""))</f>
        <v/>
      </c>
      <c r="X353" s="22" t="str">
        <f>IF(AND(OR('Choix pédagogiques'!$C$3=1,'Choix pédagogiques'!$C$3=2),$BM353=1),C353,IF(AND('Choix pédagogiques'!$C$3=3,$BO353=1),C353,""))</f>
        <v/>
      </c>
      <c r="Y353" s="22" t="str">
        <f>IF(AND(OR('Choix pédagogiques'!$C$3=1,'Choix pédagogiques'!$C$3=2),$BM353=1),D353,IF(AND('Choix pédagogiques'!$C$3=3,$BO353=1),D353,""))</f>
        <v/>
      </c>
      <c r="Z353" s="22" t="str">
        <f t="shared" si="284"/>
        <v/>
      </c>
      <c r="AA353" s="21" t="str">
        <f t="shared" si="285"/>
        <v>Apprenant 341 ou 341'</v>
      </c>
      <c r="AB353" s="22" t="str">
        <f>IF(AND(OR('Choix pédagogiques'!$C$3=1,'Choix pédagogiques'!$C$3=2),$BN353=1),G353,IF(AND('Choix pédagogiques'!$C$3=3,$BO353=1),G353,""))</f>
        <v/>
      </c>
      <c r="AC353" s="22" t="str">
        <f>IF(AND(OR('Choix pédagogiques'!$C$3=1,'Choix pédagogiques'!$C$3=2),$BN353=1),H353,IF(AND('Choix pédagogiques'!$C$3=3,$BO353=1),H353,""))</f>
        <v/>
      </c>
      <c r="AD353" s="22" t="str">
        <f>IF(AND(OR('Choix pédagogiques'!$C$3=1,'Choix pédagogiques'!$C$3=2),$BN353=1),I353,IF(AND('Choix pédagogiques'!$C$3=3,$BO353=1),I353,""))</f>
        <v/>
      </c>
      <c r="AE353" s="22" t="str">
        <f t="shared" si="286"/>
        <v/>
      </c>
      <c r="AF353" s="21" t="str">
        <f t="shared" si="287"/>
        <v>Apprenant 341</v>
      </c>
      <c r="AG353" s="22" t="str">
        <f t="shared" si="261"/>
        <v/>
      </c>
      <c r="AH353" s="22" t="str">
        <f t="shared" si="262"/>
        <v/>
      </c>
      <c r="AI353" s="22" t="str">
        <f t="shared" si="263"/>
        <v/>
      </c>
      <c r="AJ353" s="22" t="str">
        <f t="shared" si="288"/>
        <v/>
      </c>
      <c r="AK353" s="21" t="str">
        <f t="shared" si="289"/>
        <v>Apprenant 341 ou 341'</v>
      </c>
      <c r="AL353" s="22" t="str">
        <f t="shared" si="264"/>
        <v/>
      </c>
      <c r="AM353" s="22" t="str">
        <f t="shared" si="265"/>
        <v/>
      </c>
      <c r="AN353" s="22" t="str">
        <f t="shared" si="266"/>
        <v/>
      </c>
      <c r="AO353" s="22" t="str">
        <f t="shared" si="290"/>
        <v/>
      </c>
      <c r="AQ353" s="21" t="str">
        <f t="shared" si="291"/>
        <v>Apprenant 341</v>
      </c>
      <c r="AR353" s="49" t="str">
        <f>IF(AND('Choix pédagogiques'!$C$4&lt;&gt;"?",'Choix pédagogiques'!$C$5&lt;&gt;"?",W353&lt;&gt;""),(W353-'Choix pédagogiques'!$C$4)/('Choix pédagogiques'!$C$5-'Choix pédagogiques'!$C$4),"")</f>
        <v/>
      </c>
      <c r="AS353" s="49" t="str">
        <f>IF(AND('Choix pédagogiques'!$C$4&lt;&gt;"?",'Choix pédagogiques'!$C$5&lt;&gt;"?",X353&lt;&gt;""),(X353-'Choix pédagogiques'!$C$4)/('Choix pédagogiques'!$C$5-'Choix pédagogiques'!$C$4),"")</f>
        <v/>
      </c>
      <c r="AT353" s="49" t="str">
        <f>IF(AND('Choix pédagogiques'!$C$4&lt;&gt;"?",'Choix pédagogiques'!$C$5&lt;&gt;"?",Y353&lt;&gt;""),(Y353-'Choix pédagogiques'!$C$4)/('Choix pédagogiques'!$C$5-'Choix pédagogiques'!$C$4),"")</f>
        <v/>
      </c>
      <c r="AU353" s="22" t="str">
        <f t="shared" si="292"/>
        <v/>
      </c>
      <c r="AV353" s="21" t="str">
        <f t="shared" si="293"/>
        <v>Apprenant 341 ou 341'</v>
      </c>
      <c r="AW353" s="49" t="str">
        <f>IF(AND('Choix pédagogiques'!$C$4&lt;&gt;"?",'Choix pédagogiques'!$C$5&lt;&gt;"?",AB353&lt;&gt;""),(AB353-'Choix pédagogiques'!$C$4)/('Choix pédagogiques'!$C$5-'Choix pédagogiques'!$C$4),"")</f>
        <v/>
      </c>
      <c r="AX353" s="49" t="str">
        <f>IF(AND('Choix pédagogiques'!$C$4&lt;&gt;"?",'Choix pédagogiques'!$C$5&lt;&gt;"?",AC353&lt;&gt;""),(AC353-'Choix pédagogiques'!$C$4)/('Choix pédagogiques'!$C$5-'Choix pédagogiques'!$C$4),"")</f>
        <v/>
      </c>
      <c r="AY353" s="49" t="str">
        <f>IF(AND('Choix pédagogiques'!$C$4&lt;&gt;"?",'Choix pédagogiques'!$C$5&lt;&gt;"?",AD353&lt;&gt;""),(AD353-'Choix pédagogiques'!$C$4)/('Choix pédagogiques'!$C$5-'Choix pédagogiques'!$C$4),"")</f>
        <v/>
      </c>
      <c r="AZ353" s="22" t="str">
        <f t="shared" si="294"/>
        <v/>
      </c>
      <c r="BA353" s="21" t="str">
        <f t="shared" si="295"/>
        <v>Apprenant 341</v>
      </c>
      <c r="BB353" s="49" t="str">
        <f t="shared" si="267"/>
        <v/>
      </c>
      <c r="BC353" s="49" t="str">
        <f t="shared" si="268"/>
        <v/>
      </c>
      <c r="BD353" s="49" t="str">
        <f t="shared" si="269"/>
        <v/>
      </c>
      <c r="BE353" s="22" t="str">
        <f t="shared" si="296"/>
        <v/>
      </c>
      <c r="BF353" s="21" t="str">
        <f t="shared" si="297"/>
        <v>Apprenant 341 ou 341'</v>
      </c>
      <c r="BG353" s="49" t="str">
        <f t="shared" si="270"/>
        <v/>
      </c>
      <c r="BH353" s="49" t="str">
        <f t="shared" si="271"/>
        <v/>
      </c>
      <c r="BI353" s="49" t="str">
        <f t="shared" si="272"/>
        <v/>
      </c>
      <c r="BJ353" s="22" t="str">
        <f t="shared" si="298"/>
        <v/>
      </c>
      <c r="BL353" s="21"/>
      <c r="BM353" s="21" t="str">
        <f>IF(OR(COUNT(B353:D1352)=0,AND('Choix pédagogiques'!$C$3&lt;&gt;1,'Choix pédagogiques'!$C$3&lt;&gt;2)),"",IF(AND(OR('Choix pédagogiques'!$C$3=1,'Choix pédagogiques'!$C$3=2),$B353&lt;&gt;"",$C353&lt;&gt;"",$D353&lt;&gt;""),1,0))</f>
        <v/>
      </c>
      <c r="BN353" s="21" t="str">
        <f>IF(OR(COUNT(G353:I1352)=0,AND('Choix pédagogiques'!$C$3&lt;&gt;1,'Choix pédagogiques'!$C$3&lt;&gt;2)),"",IF(AND(OR('Choix pédagogiques'!$C$3=1,'Choix pédagogiques'!$C$3=2),AND($G353&lt;&gt;"",$H353&lt;&gt;"",$I353&lt;&gt;"")),1,0))</f>
        <v/>
      </c>
      <c r="BO353" s="21" t="str">
        <f>IF(OR(COUNT(B353:D1352)=0,COUNT(G353:I1352)=0,'Choix pédagogiques'!C$3&lt;&gt;3),"",IF(AND('Choix pédagogiques'!$C$3=3,$B353&lt;&gt;"",$C353&lt;&gt;"",$D353&lt;&gt;"",$G353&lt;&gt;"",$H353&lt;&gt;"",$I353&lt;&gt;""),1,0))</f>
        <v/>
      </c>
      <c r="BR353" s="21">
        <v>274</v>
      </c>
      <c r="BS353" s="21">
        <v>1438</v>
      </c>
      <c r="BT353"/>
    </row>
    <row r="354" spans="1:72" s="23" customFormat="1" ht="18" customHeight="1" x14ac:dyDescent="0.3">
      <c r="A354" s="35" t="s">
        <v>344</v>
      </c>
      <c r="B354" s="37"/>
      <c r="C354" s="37"/>
      <c r="D354" s="37"/>
      <c r="E354" s="37"/>
      <c r="F354" s="35" t="s">
        <v>1352</v>
      </c>
      <c r="G354" s="37"/>
      <c r="H354" s="37"/>
      <c r="I354" s="37"/>
      <c r="J354" s="37"/>
      <c r="K354" s="21" t="str">
        <f t="shared" si="273"/>
        <v>Apprenant 342</v>
      </c>
      <c r="L354" s="22" t="str">
        <f t="shared" si="274"/>
        <v/>
      </c>
      <c r="M354" s="22" t="str">
        <f t="shared" si="275"/>
        <v/>
      </c>
      <c r="N354" s="22" t="str">
        <f t="shared" si="276"/>
        <v/>
      </c>
      <c r="O354" s="22" t="str">
        <f t="shared" si="277"/>
        <v/>
      </c>
      <c r="P354" s="21" t="str">
        <f t="shared" si="278"/>
        <v>Apprenant 342 ou 342'</v>
      </c>
      <c r="Q354" s="22" t="str">
        <f t="shared" si="279"/>
        <v/>
      </c>
      <c r="R354" s="22" t="str">
        <f t="shared" si="280"/>
        <v/>
      </c>
      <c r="S354" s="22" t="str">
        <f t="shared" si="281"/>
        <v/>
      </c>
      <c r="T354" s="22" t="str">
        <f t="shared" si="282"/>
        <v/>
      </c>
      <c r="V354" s="21" t="str">
        <f t="shared" si="283"/>
        <v>Apprenant 342</v>
      </c>
      <c r="W354" s="22" t="str">
        <f>IF(AND(OR('Choix pédagogiques'!$C$3=1,'Choix pédagogiques'!$C$3=2),$BM354=1),B354,IF(AND('Choix pédagogiques'!$C$3=3,$BO354=1),B354,""))</f>
        <v/>
      </c>
      <c r="X354" s="22" t="str">
        <f>IF(AND(OR('Choix pédagogiques'!$C$3=1,'Choix pédagogiques'!$C$3=2),$BM354=1),C354,IF(AND('Choix pédagogiques'!$C$3=3,$BO354=1),C354,""))</f>
        <v/>
      </c>
      <c r="Y354" s="22" t="str">
        <f>IF(AND(OR('Choix pédagogiques'!$C$3=1,'Choix pédagogiques'!$C$3=2),$BM354=1),D354,IF(AND('Choix pédagogiques'!$C$3=3,$BO354=1),D354,""))</f>
        <v/>
      </c>
      <c r="Z354" s="22" t="str">
        <f t="shared" si="284"/>
        <v/>
      </c>
      <c r="AA354" s="21" t="str">
        <f t="shared" si="285"/>
        <v>Apprenant 342 ou 342'</v>
      </c>
      <c r="AB354" s="22" t="str">
        <f>IF(AND(OR('Choix pédagogiques'!$C$3=1,'Choix pédagogiques'!$C$3=2),$BN354=1),G354,IF(AND('Choix pédagogiques'!$C$3=3,$BO354=1),G354,""))</f>
        <v/>
      </c>
      <c r="AC354" s="22" t="str">
        <f>IF(AND(OR('Choix pédagogiques'!$C$3=1,'Choix pédagogiques'!$C$3=2),$BN354=1),H354,IF(AND('Choix pédagogiques'!$C$3=3,$BO354=1),H354,""))</f>
        <v/>
      </c>
      <c r="AD354" s="22" t="str">
        <f>IF(AND(OR('Choix pédagogiques'!$C$3=1,'Choix pédagogiques'!$C$3=2),$BN354=1),I354,IF(AND('Choix pédagogiques'!$C$3=3,$BO354=1),I354,""))</f>
        <v/>
      </c>
      <c r="AE354" s="22" t="str">
        <f t="shared" si="286"/>
        <v/>
      </c>
      <c r="AF354" s="21" t="str">
        <f t="shared" si="287"/>
        <v>Apprenant 342</v>
      </c>
      <c r="AG354" s="22" t="str">
        <f t="shared" si="261"/>
        <v/>
      </c>
      <c r="AH354" s="22" t="str">
        <f t="shared" si="262"/>
        <v/>
      </c>
      <c r="AI354" s="22" t="str">
        <f t="shared" si="263"/>
        <v/>
      </c>
      <c r="AJ354" s="22" t="str">
        <f t="shared" si="288"/>
        <v/>
      </c>
      <c r="AK354" s="21" t="str">
        <f t="shared" si="289"/>
        <v>Apprenant 342 ou 342'</v>
      </c>
      <c r="AL354" s="22" t="str">
        <f t="shared" si="264"/>
        <v/>
      </c>
      <c r="AM354" s="22" t="str">
        <f t="shared" si="265"/>
        <v/>
      </c>
      <c r="AN354" s="22" t="str">
        <f t="shared" si="266"/>
        <v/>
      </c>
      <c r="AO354" s="22" t="str">
        <f t="shared" si="290"/>
        <v/>
      </c>
      <c r="AQ354" s="21" t="str">
        <f t="shared" si="291"/>
        <v>Apprenant 342</v>
      </c>
      <c r="AR354" s="49" t="str">
        <f>IF(AND('Choix pédagogiques'!$C$4&lt;&gt;"?",'Choix pédagogiques'!$C$5&lt;&gt;"?",W354&lt;&gt;""),(W354-'Choix pédagogiques'!$C$4)/('Choix pédagogiques'!$C$5-'Choix pédagogiques'!$C$4),"")</f>
        <v/>
      </c>
      <c r="AS354" s="49" t="str">
        <f>IF(AND('Choix pédagogiques'!$C$4&lt;&gt;"?",'Choix pédagogiques'!$C$5&lt;&gt;"?",X354&lt;&gt;""),(X354-'Choix pédagogiques'!$C$4)/('Choix pédagogiques'!$C$5-'Choix pédagogiques'!$C$4),"")</f>
        <v/>
      </c>
      <c r="AT354" s="49" t="str">
        <f>IF(AND('Choix pédagogiques'!$C$4&lt;&gt;"?",'Choix pédagogiques'!$C$5&lt;&gt;"?",Y354&lt;&gt;""),(Y354-'Choix pédagogiques'!$C$4)/('Choix pédagogiques'!$C$5-'Choix pédagogiques'!$C$4),"")</f>
        <v/>
      </c>
      <c r="AU354" s="22" t="str">
        <f t="shared" si="292"/>
        <v/>
      </c>
      <c r="AV354" s="21" t="str">
        <f t="shared" si="293"/>
        <v>Apprenant 342 ou 342'</v>
      </c>
      <c r="AW354" s="49" t="str">
        <f>IF(AND('Choix pédagogiques'!$C$4&lt;&gt;"?",'Choix pédagogiques'!$C$5&lt;&gt;"?",AB354&lt;&gt;""),(AB354-'Choix pédagogiques'!$C$4)/('Choix pédagogiques'!$C$5-'Choix pédagogiques'!$C$4),"")</f>
        <v/>
      </c>
      <c r="AX354" s="49" t="str">
        <f>IF(AND('Choix pédagogiques'!$C$4&lt;&gt;"?",'Choix pédagogiques'!$C$5&lt;&gt;"?",AC354&lt;&gt;""),(AC354-'Choix pédagogiques'!$C$4)/('Choix pédagogiques'!$C$5-'Choix pédagogiques'!$C$4),"")</f>
        <v/>
      </c>
      <c r="AY354" s="49" t="str">
        <f>IF(AND('Choix pédagogiques'!$C$4&lt;&gt;"?",'Choix pédagogiques'!$C$5&lt;&gt;"?",AD354&lt;&gt;""),(AD354-'Choix pédagogiques'!$C$4)/('Choix pédagogiques'!$C$5-'Choix pédagogiques'!$C$4),"")</f>
        <v/>
      </c>
      <c r="AZ354" s="22" t="str">
        <f t="shared" si="294"/>
        <v/>
      </c>
      <c r="BA354" s="21" t="str">
        <f t="shared" si="295"/>
        <v>Apprenant 342</v>
      </c>
      <c r="BB354" s="49" t="str">
        <f t="shared" si="267"/>
        <v/>
      </c>
      <c r="BC354" s="49" t="str">
        <f t="shared" si="268"/>
        <v/>
      </c>
      <c r="BD354" s="49" t="str">
        <f t="shared" si="269"/>
        <v/>
      </c>
      <c r="BE354" s="22" t="str">
        <f t="shared" si="296"/>
        <v/>
      </c>
      <c r="BF354" s="21" t="str">
        <f t="shared" si="297"/>
        <v>Apprenant 342 ou 342'</v>
      </c>
      <c r="BG354" s="49" t="str">
        <f t="shared" si="270"/>
        <v/>
      </c>
      <c r="BH354" s="49" t="str">
        <f t="shared" si="271"/>
        <v/>
      </c>
      <c r="BI354" s="49" t="str">
        <f t="shared" si="272"/>
        <v/>
      </c>
      <c r="BJ354" s="22" t="str">
        <f t="shared" si="298"/>
        <v/>
      </c>
      <c r="BL354" s="21"/>
      <c r="BM354" s="21" t="str">
        <f>IF(OR(COUNT(B354:D1353)=0,AND('Choix pédagogiques'!$C$3&lt;&gt;1,'Choix pédagogiques'!$C$3&lt;&gt;2)),"",IF(AND(OR('Choix pédagogiques'!$C$3=1,'Choix pédagogiques'!$C$3=2),$B354&lt;&gt;"",$C354&lt;&gt;"",$D354&lt;&gt;""),1,0))</f>
        <v/>
      </c>
      <c r="BN354" s="21" t="str">
        <f>IF(OR(COUNT(G354:I1353)=0,AND('Choix pédagogiques'!$C$3&lt;&gt;1,'Choix pédagogiques'!$C$3&lt;&gt;2)),"",IF(AND(OR('Choix pédagogiques'!$C$3=1,'Choix pédagogiques'!$C$3=2),AND($G354&lt;&gt;"",$H354&lt;&gt;"",$I354&lt;&gt;"")),1,0))</f>
        <v/>
      </c>
      <c r="BO354" s="21" t="str">
        <f>IF(OR(COUNT(B354:D1353)=0,COUNT(G354:I1353)=0,'Choix pédagogiques'!C$3&lt;&gt;3),"",IF(AND('Choix pédagogiques'!$C$3=3,$B354&lt;&gt;"",$C354&lt;&gt;"",$D354&lt;&gt;"",$G354&lt;&gt;"",$H354&lt;&gt;"",$I354&lt;&gt;""),1,0))</f>
        <v/>
      </c>
      <c r="BR354" s="21">
        <v>198</v>
      </c>
      <c r="BS354" s="21">
        <v>1463</v>
      </c>
      <c r="BT354"/>
    </row>
    <row r="355" spans="1:72" s="23" customFormat="1" ht="18" customHeight="1" x14ac:dyDescent="0.3">
      <c r="A355" s="35" t="s">
        <v>345</v>
      </c>
      <c r="B355" s="37"/>
      <c r="C355" s="37"/>
      <c r="D355" s="37"/>
      <c r="E355" s="37"/>
      <c r="F355" s="35" t="s">
        <v>1353</v>
      </c>
      <c r="G355" s="37"/>
      <c r="H355" s="37"/>
      <c r="I355" s="37"/>
      <c r="J355" s="37"/>
      <c r="K355" s="21" t="str">
        <f t="shared" si="273"/>
        <v>Apprenant 343</v>
      </c>
      <c r="L355" s="22" t="str">
        <f t="shared" si="274"/>
        <v/>
      </c>
      <c r="M355" s="22" t="str">
        <f t="shared" si="275"/>
        <v/>
      </c>
      <c r="N355" s="22" t="str">
        <f t="shared" si="276"/>
        <v/>
      </c>
      <c r="O355" s="22" t="str">
        <f t="shared" si="277"/>
        <v/>
      </c>
      <c r="P355" s="21" t="str">
        <f t="shared" si="278"/>
        <v>Apprenant 343 ou 343'</v>
      </c>
      <c r="Q355" s="22" t="str">
        <f t="shared" si="279"/>
        <v/>
      </c>
      <c r="R355" s="22" t="str">
        <f t="shared" si="280"/>
        <v/>
      </c>
      <c r="S355" s="22" t="str">
        <f t="shared" si="281"/>
        <v/>
      </c>
      <c r="T355" s="22" t="str">
        <f t="shared" si="282"/>
        <v/>
      </c>
      <c r="V355" s="21" t="str">
        <f t="shared" si="283"/>
        <v>Apprenant 343</v>
      </c>
      <c r="W355" s="22" t="str">
        <f>IF(AND(OR('Choix pédagogiques'!$C$3=1,'Choix pédagogiques'!$C$3=2),$BM355=1),B355,IF(AND('Choix pédagogiques'!$C$3=3,$BO355=1),B355,""))</f>
        <v/>
      </c>
      <c r="X355" s="22" t="str">
        <f>IF(AND(OR('Choix pédagogiques'!$C$3=1,'Choix pédagogiques'!$C$3=2),$BM355=1),C355,IF(AND('Choix pédagogiques'!$C$3=3,$BO355=1),C355,""))</f>
        <v/>
      </c>
      <c r="Y355" s="22" t="str">
        <f>IF(AND(OR('Choix pédagogiques'!$C$3=1,'Choix pédagogiques'!$C$3=2),$BM355=1),D355,IF(AND('Choix pédagogiques'!$C$3=3,$BO355=1),D355,""))</f>
        <v/>
      </c>
      <c r="Z355" s="22" t="str">
        <f t="shared" si="284"/>
        <v/>
      </c>
      <c r="AA355" s="21" t="str">
        <f t="shared" si="285"/>
        <v>Apprenant 343 ou 343'</v>
      </c>
      <c r="AB355" s="22" t="str">
        <f>IF(AND(OR('Choix pédagogiques'!$C$3=1,'Choix pédagogiques'!$C$3=2),$BN355=1),G355,IF(AND('Choix pédagogiques'!$C$3=3,$BO355=1),G355,""))</f>
        <v/>
      </c>
      <c r="AC355" s="22" t="str">
        <f>IF(AND(OR('Choix pédagogiques'!$C$3=1,'Choix pédagogiques'!$C$3=2),$BN355=1),H355,IF(AND('Choix pédagogiques'!$C$3=3,$BO355=1),H355,""))</f>
        <v/>
      </c>
      <c r="AD355" s="22" t="str">
        <f>IF(AND(OR('Choix pédagogiques'!$C$3=1,'Choix pédagogiques'!$C$3=2),$BN355=1),I355,IF(AND('Choix pédagogiques'!$C$3=3,$BO355=1),I355,""))</f>
        <v/>
      </c>
      <c r="AE355" s="22" t="str">
        <f t="shared" si="286"/>
        <v/>
      </c>
      <c r="AF355" s="21" t="str">
        <f t="shared" si="287"/>
        <v>Apprenant 343</v>
      </c>
      <c r="AG355" s="22" t="str">
        <f t="shared" si="261"/>
        <v/>
      </c>
      <c r="AH355" s="22" t="str">
        <f t="shared" si="262"/>
        <v/>
      </c>
      <c r="AI355" s="22" t="str">
        <f t="shared" si="263"/>
        <v/>
      </c>
      <c r="AJ355" s="22" t="str">
        <f t="shared" si="288"/>
        <v/>
      </c>
      <c r="AK355" s="21" t="str">
        <f t="shared" si="289"/>
        <v>Apprenant 343 ou 343'</v>
      </c>
      <c r="AL355" s="22" t="str">
        <f t="shared" si="264"/>
        <v/>
      </c>
      <c r="AM355" s="22" t="str">
        <f t="shared" si="265"/>
        <v/>
      </c>
      <c r="AN355" s="22" t="str">
        <f t="shared" si="266"/>
        <v/>
      </c>
      <c r="AO355" s="22" t="str">
        <f t="shared" si="290"/>
        <v/>
      </c>
      <c r="AQ355" s="21" t="str">
        <f t="shared" si="291"/>
        <v>Apprenant 343</v>
      </c>
      <c r="AR355" s="49" t="str">
        <f>IF(AND('Choix pédagogiques'!$C$4&lt;&gt;"?",'Choix pédagogiques'!$C$5&lt;&gt;"?",W355&lt;&gt;""),(W355-'Choix pédagogiques'!$C$4)/('Choix pédagogiques'!$C$5-'Choix pédagogiques'!$C$4),"")</f>
        <v/>
      </c>
      <c r="AS355" s="49" t="str">
        <f>IF(AND('Choix pédagogiques'!$C$4&lt;&gt;"?",'Choix pédagogiques'!$C$5&lt;&gt;"?",X355&lt;&gt;""),(X355-'Choix pédagogiques'!$C$4)/('Choix pédagogiques'!$C$5-'Choix pédagogiques'!$C$4),"")</f>
        <v/>
      </c>
      <c r="AT355" s="49" t="str">
        <f>IF(AND('Choix pédagogiques'!$C$4&lt;&gt;"?",'Choix pédagogiques'!$C$5&lt;&gt;"?",Y355&lt;&gt;""),(Y355-'Choix pédagogiques'!$C$4)/('Choix pédagogiques'!$C$5-'Choix pédagogiques'!$C$4),"")</f>
        <v/>
      </c>
      <c r="AU355" s="22" t="str">
        <f t="shared" si="292"/>
        <v/>
      </c>
      <c r="AV355" s="21" t="str">
        <f t="shared" si="293"/>
        <v>Apprenant 343 ou 343'</v>
      </c>
      <c r="AW355" s="49" t="str">
        <f>IF(AND('Choix pédagogiques'!$C$4&lt;&gt;"?",'Choix pédagogiques'!$C$5&lt;&gt;"?",AB355&lt;&gt;""),(AB355-'Choix pédagogiques'!$C$4)/('Choix pédagogiques'!$C$5-'Choix pédagogiques'!$C$4),"")</f>
        <v/>
      </c>
      <c r="AX355" s="49" t="str">
        <f>IF(AND('Choix pédagogiques'!$C$4&lt;&gt;"?",'Choix pédagogiques'!$C$5&lt;&gt;"?",AC355&lt;&gt;""),(AC355-'Choix pédagogiques'!$C$4)/('Choix pédagogiques'!$C$5-'Choix pédagogiques'!$C$4),"")</f>
        <v/>
      </c>
      <c r="AY355" s="49" t="str">
        <f>IF(AND('Choix pédagogiques'!$C$4&lt;&gt;"?",'Choix pédagogiques'!$C$5&lt;&gt;"?",AD355&lt;&gt;""),(AD355-'Choix pédagogiques'!$C$4)/('Choix pédagogiques'!$C$5-'Choix pédagogiques'!$C$4),"")</f>
        <v/>
      </c>
      <c r="AZ355" s="22" t="str">
        <f t="shared" si="294"/>
        <v/>
      </c>
      <c r="BA355" s="21" t="str">
        <f t="shared" si="295"/>
        <v>Apprenant 343</v>
      </c>
      <c r="BB355" s="49" t="str">
        <f t="shared" si="267"/>
        <v/>
      </c>
      <c r="BC355" s="49" t="str">
        <f t="shared" si="268"/>
        <v/>
      </c>
      <c r="BD355" s="49" t="str">
        <f t="shared" si="269"/>
        <v/>
      </c>
      <c r="BE355" s="22" t="str">
        <f t="shared" si="296"/>
        <v/>
      </c>
      <c r="BF355" s="21" t="str">
        <f t="shared" si="297"/>
        <v>Apprenant 343 ou 343'</v>
      </c>
      <c r="BG355" s="49" t="str">
        <f t="shared" si="270"/>
        <v/>
      </c>
      <c r="BH355" s="49" t="str">
        <f t="shared" si="271"/>
        <v/>
      </c>
      <c r="BI355" s="49" t="str">
        <f t="shared" si="272"/>
        <v/>
      </c>
      <c r="BJ355" s="22" t="str">
        <f t="shared" si="298"/>
        <v/>
      </c>
      <c r="BL355" s="21"/>
      <c r="BM355" s="21" t="str">
        <f>IF(OR(COUNT(B355:D1354)=0,AND('Choix pédagogiques'!$C$3&lt;&gt;1,'Choix pédagogiques'!$C$3&lt;&gt;2)),"",IF(AND(OR('Choix pédagogiques'!$C$3=1,'Choix pédagogiques'!$C$3=2),$B355&lt;&gt;"",$C355&lt;&gt;"",$D355&lt;&gt;""),1,0))</f>
        <v/>
      </c>
      <c r="BN355" s="21" t="str">
        <f>IF(OR(COUNT(G355:I1354)=0,AND('Choix pédagogiques'!$C$3&lt;&gt;1,'Choix pédagogiques'!$C$3&lt;&gt;2)),"",IF(AND(OR('Choix pédagogiques'!$C$3=1,'Choix pédagogiques'!$C$3=2),AND($G355&lt;&gt;"",$H355&lt;&gt;"",$I355&lt;&gt;"")),1,0))</f>
        <v/>
      </c>
      <c r="BO355" s="21" t="str">
        <f>IF(OR(COUNT(B355:D1354)=0,COUNT(G355:I1354)=0,'Choix pédagogiques'!C$3&lt;&gt;3),"",IF(AND('Choix pédagogiques'!$C$3=3,$B355&lt;&gt;"",$C355&lt;&gt;"",$D355&lt;&gt;"",$G355&lt;&gt;"",$H355&lt;&gt;"",$I355&lt;&gt;""),1,0))</f>
        <v/>
      </c>
      <c r="BR355" s="21">
        <v>481</v>
      </c>
      <c r="BS355" s="21">
        <v>1024</v>
      </c>
      <c r="BT355"/>
    </row>
    <row r="356" spans="1:72" s="23" customFormat="1" ht="18" customHeight="1" x14ac:dyDescent="0.3">
      <c r="A356" s="35" t="s">
        <v>346</v>
      </c>
      <c r="B356" s="37"/>
      <c r="C356" s="37"/>
      <c r="D356" s="37"/>
      <c r="E356" s="37"/>
      <c r="F356" s="35" t="s">
        <v>1354</v>
      </c>
      <c r="G356" s="37"/>
      <c r="H356" s="37"/>
      <c r="I356" s="37"/>
      <c r="J356" s="37"/>
      <c r="K356" s="21" t="str">
        <f t="shared" si="273"/>
        <v>Apprenant 344</v>
      </c>
      <c r="L356" s="22" t="str">
        <f t="shared" si="274"/>
        <v/>
      </c>
      <c r="M356" s="22" t="str">
        <f t="shared" si="275"/>
        <v/>
      </c>
      <c r="N356" s="22" t="str">
        <f t="shared" si="276"/>
        <v/>
      </c>
      <c r="O356" s="22" t="str">
        <f t="shared" si="277"/>
        <v/>
      </c>
      <c r="P356" s="21" t="str">
        <f t="shared" si="278"/>
        <v>Apprenant 344 ou 344'</v>
      </c>
      <c r="Q356" s="22" t="str">
        <f t="shared" si="279"/>
        <v/>
      </c>
      <c r="R356" s="22" t="str">
        <f t="shared" si="280"/>
        <v/>
      </c>
      <c r="S356" s="22" t="str">
        <f t="shared" si="281"/>
        <v/>
      </c>
      <c r="T356" s="22" t="str">
        <f t="shared" si="282"/>
        <v/>
      </c>
      <c r="V356" s="21" t="str">
        <f t="shared" si="283"/>
        <v>Apprenant 344</v>
      </c>
      <c r="W356" s="22" t="str">
        <f>IF(AND(OR('Choix pédagogiques'!$C$3=1,'Choix pédagogiques'!$C$3=2),$BM356=1),B356,IF(AND('Choix pédagogiques'!$C$3=3,$BO356=1),B356,""))</f>
        <v/>
      </c>
      <c r="X356" s="22" t="str">
        <f>IF(AND(OR('Choix pédagogiques'!$C$3=1,'Choix pédagogiques'!$C$3=2),$BM356=1),C356,IF(AND('Choix pédagogiques'!$C$3=3,$BO356=1),C356,""))</f>
        <v/>
      </c>
      <c r="Y356" s="22" t="str">
        <f>IF(AND(OR('Choix pédagogiques'!$C$3=1,'Choix pédagogiques'!$C$3=2),$BM356=1),D356,IF(AND('Choix pédagogiques'!$C$3=3,$BO356=1),D356,""))</f>
        <v/>
      </c>
      <c r="Z356" s="22" t="str">
        <f t="shared" si="284"/>
        <v/>
      </c>
      <c r="AA356" s="21" t="str">
        <f t="shared" si="285"/>
        <v>Apprenant 344 ou 344'</v>
      </c>
      <c r="AB356" s="22" t="str">
        <f>IF(AND(OR('Choix pédagogiques'!$C$3=1,'Choix pédagogiques'!$C$3=2),$BN356=1),G356,IF(AND('Choix pédagogiques'!$C$3=3,$BO356=1),G356,""))</f>
        <v/>
      </c>
      <c r="AC356" s="22" t="str">
        <f>IF(AND(OR('Choix pédagogiques'!$C$3=1,'Choix pédagogiques'!$C$3=2),$BN356=1),H356,IF(AND('Choix pédagogiques'!$C$3=3,$BO356=1),H356,""))</f>
        <v/>
      </c>
      <c r="AD356" s="22" t="str">
        <f>IF(AND(OR('Choix pédagogiques'!$C$3=1,'Choix pédagogiques'!$C$3=2),$BN356=1),I356,IF(AND('Choix pédagogiques'!$C$3=3,$BO356=1),I356,""))</f>
        <v/>
      </c>
      <c r="AE356" s="22" t="str">
        <f t="shared" si="286"/>
        <v/>
      </c>
      <c r="AF356" s="21" t="str">
        <f t="shared" si="287"/>
        <v>Apprenant 344</v>
      </c>
      <c r="AG356" s="22" t="str">
        <f t="shared" si="261"/>
        <v/>
      </c>
      <c r="AH356" s="22" t="str">
        <f t="shared" si="262"/>
        <v/>
      </c>
      <c r="AI356" s="22" t="str">
        <f t="shared" si="263"/>
        <v/>
      </c>
      <c r="AJ356" s="22" t="str">
        <f t="shared" si="288"/>
        <v/>
      </c>
      <c r="AK356" s="21" t="str">
        <f t="shared" si="289"/>
        <v>Apprenant 344 ou 344'</v>
      </c>
      <c r="AL356" s="22" t="str">
        <f t="shared" si="264"/>
        <v/>
      </c>
      <c r="AM356" s="22" t="str">
        <f t="shared" si="265"/>
        <v/>
      </c>
      <c r="AN356" s="22" t="str">
        <f t="shared" si="266"/>
        <v/>
      </c>
      <c r="AO356" s="22" t="str">
        <f t="shared" si="290"/>
        <v/>
      </c>
      <c r="AQ356" s="21" t="str">
        <f t="shared" si="291"/>
        <v>Apprenant 344</v>
      </c>
      <c r="AR356" s="49" t="str">
        <f>IF(AND('Choix pédagogiques'!$C$4&lt;&gt;"?",'Choix pédagogiques'!$C$5&lt;&gt;"?",W356&lt;&gt;""),(W356-'Choix pédagogiques'!$C$4)/('Choix pédagogiques'!$C$5-'Choix pédagogiques'!$C$4),"")</f>
        <v/>
      </c>
      <c r="AS356" s="49" t="str">
        <f>IF(AND('Choix pédagogiques'!$C$4&lt;&gt;"?",'Choix pédagogiques'!$C$5&lt;&gt;"?",X356&lt;&gt;""),(X356-'Choix pédagogiques'!$C$4)/('Choix pédagogiques'!$C$5-'Choix pédagogiques'!$C$4),"")</f>
        <v/>
      </c>
      <c r="AT356" s="49" t="str">
        <f>IF(AND('Choix pédagogiques'!$C$4&lt;&gt;"?",'Choix pédagogiques'!$C$5&lt;&gt;"?",Y356&lt;&gt;""),(Y356-'Choix pédagogiques'!$C$4)/('Choix pédagogiques'!$C$5-'Choix pédagogiques'!$C$4),"")</f>
        <v/>
      </c>
      <c r="AU356" s="22" t="str">
        <f t="shared" si="292"/>
        <v/>
      </c>
      <c r="AV356" s="21" t="str">
        <f t="shared" si="293"/>
        <v>Apprenant 344 ou 344'</v>
      </c>
      <c r="AW356" s="49" t="str">
        <f>IF(AND('Choix pédagogiques'!$C$4&lt;&gt;"?",'Choix pédagogiques'!$C$5&lt;&gt;"?",AB356&lt;&gt;""),(AB356-'Choix pédagogiques'!$C$4)/('Choix pédagogiques'!$C$5-'Choix pédagogiques'!$C$4),"")</f>
        <v/>
      </c>
      <c r="AX356" s="49" t="str">
        <f>IF(AND('Choix pédagogiques'!$C$4&lt;&gt;"?",'Choix pédagogiques'!$C$5&lt;&gt;"?",AC356&lt;&gt;""),(AC356-'Choix pédagogiques'!$C$4)/('Choix pédagogiques'!$C$5-'Choix pédagogiques'!$C$4),"")</f>
        <v/>
      </c>
      <c r="AY356" s="49" t="str">
        <f>IF(AND('Choix pédagogiques'!$C$4&lt;&gt;"?",'Choix pédagogiques'!$C$5&lt;&gt;"?",AD356&lt;&gt;""),(AD356-'Choix pédagogiques'!$C$4)/('Choix pédagogiques'!$C$5-'Choix pédagogiques'!$C$4),"")</f>
        <v/>
      </c>
      <c r="AZ356" s="22" t="str">
        <f t="shared" si="294"/>
        <v/>
      </c>
      <c r="BA356" s="21" t="str">
        <f t="shared" si="295"/>
        <v>Apprenant 344</v>
      </c>
      <c r="BB356" s="49" t="str">
        <f t="shared" si="267"/>
        <v/>
      </c>
      <c r="BC356" s="49" t="str">
        <f t="shared" si="268"/>
        <v/>
      </c>
      <c r="BD356" s="49" t="str">
        <f t="shared" si="269"/>
        <v/>
      </c>
      <c r="BE356" s="22" t="str">
        <f t="shared" si="296"/>
        <v/>
      </c>
      <c r="BF356" s="21" t="str">
        <f t="shared" si="297"/>
        <v>Apprenant 344 ou 344'</v>
      </c>
      <c r="BG356" s="49" t="str">
        <f t="shared" si="270"/>
        <v/>
      </c>
      <c r="BH356" s="49" t="str">
        <f t="shared" si="271"/>
        <v/>
      </c>
      <c r="BI356" s="49" t="str">
        <f t="shared" si="272"/>
        <v/>
      </c>
      <c r="BJ356" s="22" t="str">
        <f t="shared" si="298"/>
        <v/>
      </c>
      <c r="BL356" s="21"/>
      <c r="BM356" s="21" t="str">
        <f>IF(OR(COUNT(B356:D1355)=0,AND('Choix pédagogiques'!$C$3&lt;&gt;1,'Choix pédagogiques'!$C$3&lt;&gt;2)),"",IF(AND(OR('Choix pédagogiques'!$C$3=1,'Choix pédagogiques'!$C$3=2),$B356&lt;&gt;"",$C356&lt;&gt;"",$D356&lt;&gt;""),1,0))</f>
        <v/>
      </c>
      <c r="BN356" s="21" t="str">
        <f>IF(OR(COUNT(G356:I1355)=0,AND('Choix pédagogiques'!$C$3&lt;&gt;1,'Choix pédagogiques'!$C$3&lt;&gt;2)),"",IF(AND(OR('Choix pédagogiques'!$C$3=1,'Choix pédagogiques'!$C$3=2),AND($G356&lt;&gt;"",$H356&lt;&gt;"",$I356&lt;&gt;"")),1,0))</f>
        <v/>
      </c>
      <c r="BO356" s="21" t="str">
        <f>IF(OR(COUNT(B356:D1355)=0,COUNT(G356:I1355)=0,'Choix pédagogiques'!C$3&lt;&gt;3),"",IF(AND('Choix pédagogiques'!$C$3=3,$B356&lt;&gt;"",$C356&lt;&gt;"",$D356&lt;&gt;"",$G356&lt;&gt;"",$H356&lt;&gt;"",$I356&lt;&gt;""),1,0))</f>
        <v/>
      </c>
      <c r="BR356" s="21">
        <v>983</v>
      </c>
      <c r="BS356" s="21">
        <v>1501</v>
      </c>
      <c r="BT356"/>
    </row>
    <row r="357" spans="1:72" s="23" customFormat="1" ht="18" customHeight="1" x14ac:dyDescent="0.3">
      <c r="A357" s="35" t="s">
        <v>347</v>
      </c>
      <c r="B357" s="37"/>
      <c r="C357" s="37"/>
      <c r="D357" s="37"/>
      <c r="E357" s="37"/>
      <c r="F357" s="35" t="s">
        <v>1355</v>
      </c>
      <c r="G357" s="37"/>
      <c r="H357" s="37"/>
      <c r="I357" s="37"/>
      <c r="J357" s="37"/>
      <c r="K357" s="21" t="str">
        <f t="shared" si="273"/>
        <v>Apprenant 345</v>
      </c>
      <c r="L357" s="22" t="str">
        <f t="shared" si="274"/>
        <v/>
      </c>
      <c r="M357" s="22" t="str">
        <f t="shared" si="275"/>
        <v/>
      </c>
      <c r="N357" s="22" t="str">
        <f t="shared" si="276"/>
        <v/>
      </c>
      <c r="O357" s="22" t="str">
        <f t="shared" si="277"/>
        <v/>
      </c>
      <c r="P357" s="21" t="str">
        <f t="shared" si="278"/>
        <v>Apprenant 345 ou 345'</v>
      </c>
      <c r="Q357" s="22" t="str">
        <f t="shared" si="279"/>
        <v/>
      </c>
      <c r="R357" s="22" t="str">
        <f t="shared" si="280"/>
        <v/>
      </c>
      <c r="S357" s="22" t="str">
        <f t="shared" si="281"/>
        <v/>
      </c>
      <c r="T357" s="22" t="str">
        <f t="shared" si="282"/>
        <v/>
      </c>
      <c r="V357" s="21" t="str">
        <f t="shared" si="283"/>
        <v>Apprenant 345</v>
      </c>
      <c r="W357" s="22" t="str">
        <f>IF(AND(OR('Choix pédagogiques'!$C$3=1,'Choix pédagogiques'!$C$3=2),$BM357=1),B357,IF(AND('Choix pédagogiques'!$C$3=3,$BO357=1),B357,""))</f>
        <v/>
      </c>
      <c r="X357" s="22" t="str">
        <f>IF(AND(OR('Choix pédagogiques'!$C$3=1,'Choix pédagogiques'!$C$3=2),$BM357=1),C357,IF(AND('Choix pédagogiques'!$C$3=3,$BO357=1),C357,""))</f>
        <v/>
      </c>
      <c r="Y357" s="22" t="str">
        <f>IF(AND(OR('Choix pédagogiques'!$C$3=1,'Choix pédagogiques'!$C$3=2),$BM357=1),D357,IF(AND('Choix pédagogiques'!$C$3=3,$BO357=1),D357,""))</f>
        <v/>
      </c>
      <c r="Z357" s="22" t="str">
        <f t="shared" si="284"/>
        <v/>
      </c>
      <c r="AA357" s="21" t="str">
        <f t="shared" si="285"/>
        <v>Apprenant 345 ou 345'</v>
      </c>
      <c r="AB357" s="22" t="str">
        <f>IF(AND(OR('Choix pédagogiques'!$C$3=1,'Choix pédagogiques'!$C$3=2),$BN357=1),G357,IF(AND('Choix pédagogiques'!$C$3=3,$BO357=1),G357,""))</f>
        <v/>
      </c>
      <c r="AC357" s="22" t="str">
        <f>IF(AND(OR('Choix pédagogiques'!$C$3=1,'Choix pédagogiques'!$C$3=2),$BN357=1),H357,IF(AND('Choix pédagogiques'!$C$3=3,$BO357=1),H357,""))</f>
        <v/>
      </c>
      <c r="AD357" s="22" t="str">
        <f>IF(AND(OR('Choix pédagogiques'!$C$3=1,'Choix pédagogiques'!$C$3=2),$BN357=1),I357,IF(AND('Choix pédagogiques'!$C$3=3,$BO357=1),I357,""))</f>
        <v/>
      </c>
      <c r="AE357" s="22" t="str">
        <f t="shared" si="286"/>
        <v/>
      </c>
      <c r="AF357" s="21" t="str">
        <f t="shared" si="287"/>
        <v>Apprenant 345</v>
      </c>
      <c r="AG357" s="22" t="str">
        <f t="shared" si="261"/>
        <v/>
      </c>
      <c r="AH357" s="22" t="str">
        <f t="shared" si="262"/>
        <v/>
      </c>
      <c r="AI357" s="22" t="str">
        <f t="shared" si="263"/>
        <v/>
      </c>
      <c r="AJ357" s="22" t="str">
        <f t="shared" si="288"/>
        <v/>
      </c>
      <c r="AK357" s="21" t="str">
        <f t="shared" si="289"/>
        <v>Apprenant 345 ou 345'</v>
      </c>
      <c r="AL357" s="22" t="str">
        <f t="shared" si="264"/>
        <v/>
      </c>
      <c r="AM357" s="22" t="str">
        <f t="shared" si="265"/>
        <v/>
      </c>
      <c r="AN357" s="22" t="str">
        <f t="shared" si="266"/>
        <v/>
      </c>
      <c r="AO357" s="22" t="str">
        <f t="shared" si="290"/>
        <v/>
      </c>
      <c r="AQ357" s="21" t="str">
        <f t="shared" si="291"/>
        <v>Apprenant 345</v>
      </c>
      <c r="AR357" s="49" t="str">
        <f>IF(AND('Choix pédagogiques'!$C$4&lt;&gt;"?",'Choix pédagogiques'!$C$5&lt;&gt;"?",W357&lt;&gt;""),(W357-'Choix pédagogiques'!$C$4)/('Choix pédagogiques'!$C$5-'Choix pédagogiques'!$C$4),"")</f>
        <v/>
      </c>
      <c r="AS357" s="49" t="str">
        <f>IF(AND('Choix pédagogiques'!$C$4&lt;&gt;"?",'Choix pédagogiques'!$C$5&lt;&gt;"?",X357&lt;&gt;""),(X357-'Choix pédagogiques'!$C$4)/('Choix pédagogiques'!$C$5-'Choix pédagogiques'!$C$4),"")</f>
        <v/>
      </c>
      <c r="AT357" s="49" t="str">
        <f>IF(AND('Choix pédagogiques'!$C$4&lt;&gt;"?",'Choix pédagogiques'!$C$5&lt;&gt;"?",Y357&lt;&gt;""),(Y357-'Choix pédagogiques'!$C$4)/('Choix pédagogiques'!$C$5-'Choix pédagogiques'!$C$4),"")</f>
        <v/>
      </c>
      <c r="AU357" s="22" t="str">
        <f t="shared" si="292"/>
        <v/>
      </c>
      <c r="AV357" s="21" t="str">
        <f t="shared" si="293"/>
        <v>Apprenant 345 ou 345'</v>
      </c>
      <c r="AW357" s="49" t="str">
        <f>IF(AND('Choix pédagogiques'!$C$4&lt;&gt;"?",'Choix pédagogiques'!$C$5&lt;&gt;"?",AB357&lt;&gt;""),(AB357-'Choix pédagogiques'!$C$4)/('Choix pédagogiques'!$C$5-'Choix pédagogiques'!$C$4),"")</f>
        <v/>
      </c>
      <c r="AX357" s="49" t="str">
        <f>IF(AND('Choix pédagogiques'!$C$4&lt;&gt;"?",'Choix pédagogiques'!$C$5&lt;&gt;"?",AC357&lt;&gt;""),(AC357-'Choix pédagogiques'!$C$4)/('Choix pédagogiques'!$C$5-'Choix pédagogiques'!$C$4),"")</f>
        <v/>
      </c>
      <c r="AY357" s="49" t="str">
        <f>IF(AND('Choix pédagogiques'!$C$4&lt;&gt;"?",'Choix pédagogiques'!$C$5&lt;&gt;"?",AD357&lt;&gt;""),(AD357-'Choix pédagogiques'!$C$4)/('Choix pédagogiques'!$C$5-'Choix pédagogiques'!$C$4),"")</f>
        <v/>
      </c>
      <c r="AZ357" s="22" t="str">
        <f t="shared" si="294"/>
        <v/>
      </c>
      <c r="BA357" s="21" t="str">
        <f t="shared" si="295"/>
        <v>Apprenant 345</v>
      </c>
      <c r="BB357" s="49" t="str">
        <f t="shared" si="267"/>
        <v/>
      </c>
      <c r="BC357" s="49" t="str">
        <f t="shared" si="268"/>
        <v/>
      </c>
      <c r="BD357" s="49" t="str">
        <f t="shared" si="269"/>
        <v/>
      </c>
      <c r="BE357" s="22" t="str">
        <f t="shared" si="296"/>
        <v/>
      </c>
      <c r="BF357" s="21" t="str">
        <f t="shared" si="297"/>
        <v>Apprenant 345 ou 345'</v>
      </c>
      <c r="BG357" s="49" t="str">
        <f t="shared" si="270"/>
        <v/>
      </c>
      <c r="BH357" s="49" t="str">
        <f t="shared" si="271"/>
        <v/>
      </c>
      <c r="BI357" s="49" t="str">
        <f t="shared" si="272"/>
        <v/>
      </c>
      <c r="BJ357" s="22" t="str">
        <f t="shared" si="298"/>
        <v/>
      </c>
      <c r="BL357" s="21"/>
      <c r="BM357" s="21" t="str">
        <f>IF(OR(COUNT(B357:D1356)=0,AND('Choix pédagogiques'!$C$3&lt;&gt;1,'Choix pédagogiques'!$C$3&lt;&gt;2)),"",IF(AND(OR('Choix pédagogiques'!$C$3=1,'Choix pédagogiques'!$C$3=2),$B357&lt;&gt;"",$C357&lt;&gt;"",$D357&lt;&gt;""),1,0))</f>
        <v/>
      </c>
      <c r="BN357" s="21" t="str">
        <f>IF(OR(COUNT(G357:I1356)=0,AND('Choix pédagogiques'!$C$3&lt;&gt;1,'Choix pédagogiques'!$C$3&lt;&gt;2)),"",IF(AND(OR('Choix pédagogiques'!$C$3=1,'Choix pédagogiques'!$C$3=2),AND($G357&lt;&gt;"",$H357&lt;&gt;"",$I357&lt;&gt;"")),1,0))</f>
        <v/>
      </c>
      <c r="BO357" s="21" t="str">
        <f>IF(OR(COUNT(B357:D1356)=0,COUNT(G357:I1356)=0,'Choix pédagogiques'!C$3&lt;&gt;3),"",IF(AND('Choix pédagogiques'!$C$3=3,$B357&lt;&gt;"",$C357&lt;&gt;"",$D357&lt;&gt;"",$G357&lt;&gt;"",$H357&lt;&gt;"",$I357&lt;&gt;""),1,0))</f>
        <v/>
      </c>
      <c r="BR357" s="21">
        <v>658</v>
      </c>
      <c r="BS357" s="21">
        <v>1197</v>
      </c>
      <c r="BT357"/>
    </row>
    <row r="358" spans="1:72" s="23" customFormat="1" ht="18" customHeight="1" x14ac:dyDescent="0.3">
      <c r="A358" s="35" t="s">
        <v>348</v>
      </c>
      <c r="B358" s="37"/>
      <c r="C358" s="37"/>
      <c r="D358" s="37"/>
      <c r="E358" s="37"/>
      <c r="F358" s="35" t="s">
        <v>1356</v>
      </c>
      <c r="G358" s="37"/>
      <c r="H358" s="37"/>
      <c r="I358" s="37"/>
      <c r="J358" s="37"/>
      <c r="K358" s="21" t="str">
        <f t="shared" si="273"/>
        <v>Apprenant 346</v>
      </c>
      <c r="L358" s="22" t="str">
        <f t="shared" si="274"/>
        <v/>
      </c>
      <c r="M358" s="22" t="str">
        <f t="shared" si="275"/>
        <v/>
      </c>
      <c r="N358" s="22" t="str">
        <f t="shared" si="276"/>
        <v/>
      </c>
      <c r="O358" s="22" t="str">
        <f t="shared" si="277"/>
        <v/>
      </c>
      <c r="P358" s="21" t="str">
        <f t="shared" si="278"/>
        <v>Apprenant 346 ou 346'</v>
      </c>
      <c r="Q358" s="22" t="str">
        <f t="shared" si="279"/>
        <v/>
      </c>
      <c r="R358" s="22" t="str">
        <f t="shared" si="280"/>
        <v/>
      </c>
      <c r="S358" s="22" t="str">
        <f t="shared" si="281"/>
        <v/>
      </c>
      <c r="T358" s="22" t="str">
        <f t="shared" si="282"/>
        <v/>
      </c>
      <c r="V358" s="21" t="str">
        <f t="shared" si="283"/>
        <v>Apprenant 346</v>
      </c>
      <c r="W358" s="22" t="str">
        <f>IF(AND(OR('Choix pédagogiques'!$C$3=1,'Choix pédagogiques'!$C$3=2),$BM358=1),B358,IF(AND('Choix pédagogiques'!$C$3=3,$BO358=1),B358,""))</f>
        <v/>
      </c>
      <c r="X358" s="22" t="str">
        <f>IF(AND(OR('Choix pédagogiques'!$C$3=1,'Choix pédagogiques'!$C$3=2),$BM358=1),C358,IF(AND('Choix pédagogiques'!$C$3=3,$BO358=1),C358,""))</f>
        <v/>
      </c>
      <c r="Y358" s="22" t="str">
        <f>IF(AND(OR('Choix pédagogiques'!$C$3=1,'Choix pédagogiques'!$C$3=2),$BM358=1),D358,IF(AND('Choix pédagogiques'!$C$3=3,$BO358=1),D358,""))</f>
        <v/>
      </c>
      <c r="Z358" s="22" t="str">
        <f t="shared" si="284"/>
        <v/>
      </c>
      <c r="AA358" s="21" t="str">
        <f t="shared" si="285"/>
        <v>Apprenant 346 ou 346'</v>
      </c>
      <c r="AB358" s="22" t="str">
        <f>IF(AND(OR('Choix pédagogiques'!$C$3=1,'Choix pédagogiques'!$C$3=2),$BN358=1),G358,IF(AND('Choix pédagogiques'!$C$3=3,$BO358=1),G358,""))</f>
        <v/>
      </c>
      <c r="AC358" s="22" t="str">
        <f>IF(AND(OR('Choix pédagogiques'!$C$3=1,'Choix pédagogiques'!$C$3=2),$BN358=1),H358,IF(AND('Choix pédagogiques'!$C$3=3,$BO358=1),H358,""))</f>
        <v/>
      </c>
      <c r="AD358" s="22" t="str">
        <f>IF(AND(OR('Choix pédagogiques'!$C$3=1,'Choix pédagogiques'!$C$3=2),$BN358=1),I358,IF(AND('Choix pédagogiques'!$C$3=3,$BO358=1),I358,""))</f>
        <v/>
      </c>
      <c r="AE358" s="22" t="str">
        <f t="shared" si="286"/>
        <v/>
      </c>
      <c r="AF358" s="21" t="str">
        <f t="shared" si="287"/>
        <v>Apprenant 346</v>
      </c>
      <c r="AG358" s="22" t="str">
        <f t="shared" si="261"/>
        <v/>
      </c>
      <c r="AH358" s="22" t="str">
        <f t="shared" si="262"/>
        <v/>
      </c>
      <c r="AI358" s="22" t="str">
        <f t="shared" si="263"/>
        <v/>
      </c>
      <c r="AJ358" s="22" t="str">
        <f t="shared" si="288"/>
        <v/>
      </c>
      <c r="AK358" s="21" t="str">
        <f t="shared" si="289"/>
        <v>Apprenant 346 ou 346'</v>
      </c>
      <c r="AL358" s="22" t="str">
        <f t="shared" si="264"/>
        <v/>
      </c>
      <c r="AM358" s="22" t="str">
        <f t="shared" si="265"/>
        <v/>
      </c>
      <c r="AN358" s="22" t="str">
        <f t="shared" si="266"/>
        <v/>
      </c>
      <c r="AO358" s="22" t="str">
        <f t="shared" si="290"/>
        <v/>
      </c>
      <c r="AQ358" s="21" t="str">
        <f t="shared" si="291"/>
        <v>Apprenant 346</v>
      </c>
      <c r="AR358" s="49" t="str">
        <f>IF(AND('Choix pédagogiques'!$C$4&lt;&gt;"?",'Choix pédagogiques'!$C$5&lt;&gt;"?",W358&lt;&gt;""),(W358-'Choix pédagogiques'!$C$4)/('Choix pédagogiques'!$C$5-'Choix pédagogiques'!$C$4),"")</f>
        <v/>
      </c>
      <c r="AS358" s="49" t="str">
        <f>IF(AND('Choix pédagogiques'!$C$4&lt;&gt;"?",'Choix pédagogiques'!$C$5&lt;&gt;"?",X358&lt;&gt;""),(X358-'Choix pédagogiques'!$C$4)/('Choix pédagogiques'!$C$5-'Choix pédagogiques'!$C$4),"")</f>
        <v/>
      </c>
      <c r="AT358" s="49" t="str">
        <f>IF(AND('Choix pédagogiques'!$C$4&lt;&gt;"?",'Choix pédagogiques'!$C$5&lt;&gt;"?",Y358&lt;&gt;""),(Y358-'Choix pédagogiques'!$C$4)/('Choix pédagogiques'!$C$5-'Choix pédagogiques'!$C$4),"")</f>
        <v/>
      </c>
      <c r="AU358" s="22" t="str">
        <f t="shared" si="292"/>
        <v/>
      </c>
      <c r="AV358" s="21" t="str">
        <f t="shared" si="293"/>
        <v>Apprenant 346 ou 346'</v>
      </c>
      <c r="AW358" s="49" t="str">
        <f>IF(AND('Choix pédagogiques'!$C$4&lt;&gt;"?",'Choix pédagogiques'!$C$5&lt;&gt;"?",AB358&lt;&gt;""),(AB358-'Choix pédagogiques'!$C$4)/('Choix pédagogiques'!$C$5-'Choix pédagogiques'!$C$4),"")</f>
        <v/>
      </c>
      <c r="AX358" s="49" t="str">
        <f>IF(AND('Choix pédagogiques'!$C$4&lt;&gt;"?",'Choix pédagogiques'!$C$5&lt;&gt;"?",AC358&lt;&gt;""),(AC358-'Choix pédagogiques'!$C$4)/('Choix pédagogiques'!$C$5-'Choix pédagogiques'!$C$4),"")</f>
        <v/>
      </c>
      <c r="AY358" s="49" t="str">
        <f>IF(AND('Choix pédagogiques'!$C$4&lt;&gt;"?",'Choix pédagogiques'!$C$5&lt;&gt;"?",AD358&lt;&gt;""),(AD358-'Choix pédagogiques'!$C$4)/('Choix pédagogiques'!$C$5-'Choix pédagogiques'!$C$4),"")</f>
        <v/>
      </c>
      <c r="AZ358" s="22" t="str">
        <f t="shared" si="294"/>
        <v/>
      </c>
      <c r="BA358" s="21" t="str">
        <f t="shared" si="295"/>
        <v>Apprenant 346</v>
      </c>
      <c r="BB358" s="49" t="str">
        <f t="shared" si="267"/>
        <v/>
      </c>
      <c r="BC358" s="49" t="str">
        <f t="shared" si="268"/>
        <v/>
      </c>
      <c r="BD358" s="49" t="str">
        <f t="shared" si="269"/>
        <v/>
      </c>
      <c r="BE358" s="22" t="str">
        <f t="shared" si="296"/>
        <v/>
      </c>
      <c r="BF358" s="21" t="str">
        <f t="shared" si="297"/>
        <v>Apprenant 346 ou 346'</v>
      </c>
      <c r="BG358" s="49" t="str">
        <f t="shared" si="270"/>
        <v/>
      </c>
      <c r="BH358" s="49" t="str">
        <f t="shared" si="271"/>
        <v/>
      </c>
      <c r="BI358" s="49" t="str">
        <f t="shared" si="272"/>
        <v/>
      </c>
      <c r="BJ358" s="22" t="str">
        <f t="shared" si="298"/>
        <v/>
      </c>
      <c r="BL358" s="21"/>
      <c r="BM358" s="21" t="str">
        <f>IF(OR(COUNT(B358:D1357)=0,AND('Choix pédagogiques'!$C$3&lt;&gt;1,'Choix pédagogiques'!$C$3&lt;&gt;2)),"",IF(AND(OR('Choix pédagogiques'!$C$3=1,'Choix pédagogiques'!$C$3=2),$B358&lt;&gt;"",$C358&lt;&gt;"",$D358&lt;&gt;""),1,0))</f>
        <v/>
      </c>
      <c r="BN358" s="21" t="str">
        <f>IF(OR(COUNT(G358:I1357)=0,AND('Choix pédagogiques'!$C$3&lt;&gt;1,'Choix pédagogiques'!$C$3&lt;&gt;2)),"",IF(AND(OR('Choix pédagogiques'!$C$3=1,'Choix pédagogiques'!$C$3=2),AND($G358&lt;&gt;"",$H358&lt;&gt;"",$I358&lt;&gt;"")),1,0))</f>
        <v/>
      </c>
      <c r="BO358" s="21" t="str">
        <f>IF(OR(COUNT(B358:D1357)=0,COUNT(G358:I1357)=0,'Choix pédagogiques'!C$3&lt;&gt;3),"",IF(AND('Choix pédagogiques'!$C$3=3,$B358&lt;&gt;"",$C358&lt;&gt;"",$D358&lt;&gt;"",$G358&lt;&gt;"",$H358&lt;&gt;"",$I358&lt;&gt;""),1,0))</f>
        <v/>
      </c>
      <c r="BR358" s="21">
        <v>86</v>
      </c>
      <c r="BS358" s="21">
        <v>1106</v>
      </c>
      <c r="BT358"/>
    </row>
    <row r="359" spans="1:72" s="23" customFormat="1" ht="18" customHeight="1" x14ac:dyDescent="0.3">
      <c r="A359" s="35" t="s">
        <v>349</v>
      </c>
      <c r="B359" s="37"/>
      <c r="C359" s="37"/>
      <c r="D359" s="37"/>
      <c r="E359" s="37"/>
      <c r="F359" s="35" t="s">
        <v>1357</v>
      </c>
      <c r="G359" s="37"/>
      <c r="H359" s="37"/>
      <c r="I359" s="37"/>
      <c r="J359" s="37"/>
      <c r="K359" s="21" t="str">
        <f t="shared" si="273"/>
        <v>Apprenant 347</v>
      </c>
      <c r="L359" s="22" t="str">
        <f t="shared" si="274"/>
        <v/>
      </c>
      <c r="M359" s="22" t="str">
        <f t="shared" si="275"/>
        <v/>
      </c>
      <c r="N359" s="22" t="str">
        <f t="shared" si="276"/>
        <v/>
      </c>
      <c r="O359" s="22" t="str">
        <f t="shared" si="277"/>
        <v/>
      </c>
      <c r="P359" s="21" t="str">
        <f t="shared" si="278"/>
        <v>Apprenant 347 ou 347'</v>
      </c>
      <c r="Q359" s="22" t="str">
        <f t="shared" si="279"/>
        <v/>
      </c>
      <c r="R359" s="22" t="str">
        <f t="shared" si="280"/>
        <v/>
      </c>
      <c r="S359" s="22" t="str">
        <f t="shared" si="281"/>
        <v/>
      </c>
      <c r="T359" s="22" t="str">
        <f t="shared" si="282"/>
        <v/>
      </c>
      <c r="V359" s="21" t="str">
        <f t="shared" si="283"/>
        <v>Apprenant 347</v>
      </c>
      <c r="W359" s="22" t="str">
        <f>IF(AND(OR('Choix pédagogiques'!$C$3=1,'Choix pédagogiques'!$C$3=2),$BM359=1),B359,IF(AND('Choix pédagogiques'!$C$3=3,$BO359=1),B359,""))</f>
        <v/>
      </c>
      <c r="X359" s="22" t="str">
        <f>IF(AND(OR('Choix pédagogiques'!$C$3=1,'Choix pédagogiques'!$C$3=2),$BM359=1),C359,IF(AND('Choix pédagogiques'!$C$3=3,$BO359=1),C359,""))</f>
        <v/>
      </c>
      <c r="Y359" s="22" t="str">
        <f>IF(AND(OR('Choix pédagogiques'!$C$3=1,'Choix pédagogiques'!$C$3=2),$BM359=1),D359,IF(AND('Choix pédagogiques'!$C$3=3,$BO359=1),D359,""))</f>
        <v/>
      </c>
      <c r="Z359" s="22" t="str">
        <f t="shared" si="284"/>
        <v/>
      </c>
      <c r="AA359" s="21" t="str">
        <f t="shared" si="285"/>
        <v>Apprenant 347 ou 347'</v>
      </c>
      <c r="AB359" s="22" t="str">
        <f>IF(AND(OR('Choix pédagogiques'!$C$3=1,'Choix pédagogiques'!$C$3=2),$BN359=1),G359,IF(AND('Choix pédagogiques'!$C$3=3,$BO359=1),G359,""))</f>
        <v/>
      </c>
      <c r="AC359" s="22" t="str">
        <f>IF(AND(OR('Choix pédagogiques'!$C$3=1,'Choix pédagogiques'!$C$3=2),$BN359=1),H359,IF(AND('Choix pédagogiques'!$C$3=3,$BO359=1),H359,""))</f>
        <v/>
      </c>
      <c r="AD359" s="22" t="str">
        <f>IF(AND(OR('Choix pédagogiques'!$C$3=1,'Choix pédagogiques'!$C$3=2),$BN359=1),I359,IF(AND('Choix pédagogiques'!$C$3=3,$BO359=1),I359,""))</f>
        <v/>
      </c>
      <c r="AE359" s="22" t="str">
        <f t="shared" si="286"/>
        <v/>
      </c>
      <c r="AF359" s="21" t="str">
        <f t="shared" si="287"/>
        <v>Apprenant 347</v>
      </c>
      <c r="AG359" s="22" t="str">
        <f t="shared" si="261"/>
        <v/>
      </c>
      <c r="AH359" s="22" t="str">
        <f t="shared" si="262"/>
        <v/>
      </c>
      <c r="AI359" s="22" t="str">
        <f t="shared" si="263"/>
        <v/>
      </c>
      <c r="AJ359" s="22" t="str">
        <f t="shared" si="288"/>
        <v/>
      </c>
      <c r="AK359" s="21" t="str">
        <f t="shared" si="289"/>
        <v>Apprenant 347 ou 347'</v>
      </c>
      <c r="AL359" s="22" t="str">
        <f t="shared" si="264"/>
        <v/>
      </c>
      <c r="AM359" s="22" t="str">
        <f t="shared" si="265"/>
        <v/>
      </c>
      <c r="AN359" s="22" t="str">
        <f t="shared" si="266"/>
        <v/>
      </c>
      <c r="AO359" s="22" t="str">
        <f t="shared" si="290"/>
        <v/>
      </c>
      <c r="AQ359" s="21" t="str">
        <f t="shared" si="291"/>
        <v>Apprenant 347</v>
      </c>
      <c r="AR359" s="49" t="str">
        <f>IF(AND('Choix pédagogiques'!$C$4&lt;&gt;"?",'Choix pédagogiques'!$C$5&lt;&gt;"?",W359&lt;&gt;""),(W359-'Choix pédagogiques'!$C$4)/('Choix pédagogiques'!$C$5-'Choix pédagogiques'!$C$4),"")</f>
        <v/>
      </c>
      <c r="AS359" s="49" t="str">
        <f>IF(AND('Choix pédagogiques'!$C$4&lt;&gt;"?",'Choix pédagogiques'!$C$5&lt;&gt;"?",X359&lt;&gt;""),(X359-'Choix pédagogiques'!$C$4)/('Choix pédagogiques'!$C$5-'Choix pédagogiques'!$C$4),"")</f>
        <v/>
      </c>
      <c r="AT359" s="49" t="str">
        <f>IF(AND('Choix pédagogiques'!$C$4&lt;&gt;"?",'Choix pédagogiques'!$C$5&lt;&gt;"?",Y359&lt;&gt;""),(Y359-'Choix pédagogiques'!$C$4)/('Choix pédagogiques'!$C$5-'Choix pédagogiques'!$C$4),"")</f>
        <v/>
      </c>
      <c r="AU359" s="22" t="str">
        <f t="shared" si="292"/>
        <v/>
      </c>
      <c r="AV359" s="21" t="str">
        <f t="shared" si="293"/>
        <v>Apprenant 347 ou 347'</v>
      </c>
      <c r="AW359" s="49" t="str">
        <f>IF(AND('Choix pédagogiques'!$C$4&lt;&gt;"?",'Choix pédagogiques'!$C$5&lt;&gt;"?",AB359&lt;&gt;""),(AB359-'Choix pédagogiques'!$C$4)/('Choix pédagogiques'!$C$5-'Choix pédagogiques'!$C$4),"")</f>
        <v/>
      </c>
      <c r="AX359" s="49" t="str">
        <f>IF(AND('Choix pédagogiques'!$C$4&lt;&gt;"?",'Choix pédagogiques'!$C$5&lt;&gt;"?",AC359&lt;&gt;""),(AC359-'Choix pédagogiques'!$C$4)/('Choix pédagogiques'!$C$5-'Choix pédagogiques'!$C$4),"")</f>
        <v/>
      </c>
      <c r="AY359" s="49" t="str">
        <f>IF(AND('Choix pédagogiques'!$C$4&lt;&gt;"?",'Choix pédagogiques'!$C$5&lt;&gt;"?",AD359&lt;&gt;""),(AD359-'Choix pédagogiques'!$C$4)/('Choix pédagogiques'!$C$5-'Choix pédagogiques'!$C$4),"")</f>
        <v/>
      </c>
      <c r="AZ359" s="22" t="str">
        <f t="shared" si="294"/>
        <v/>
      </c>
      <c r="BA359" s="21" t="str">
        <f t="shared" si="295"/>
        <v>Apprenant 347</v>
      </c>
      <c r="BB359" s="49" t="str">
        <f t="shared" si="267"/>
        <v/>
      </c>
      <c r="BC359" s="49" t="str">
        <f t="shared" si="268"/>
        <v/>
      </c>
      <c r="BD359" s="49" t="str">
        <f t="shared" si="269"/>
        <v/>
      </c>
      <c r="BE359" s="22" t="str">
        <f t="shared" si="296"/>
        <v/>
      </c>
      <c r="BF359" s="21" t="str">
        <f t="shared" si="297"/>
        <v>Apprenant 347 ou 347'</v>
      </c>
      <c r="BG359" s="49" t="str">
        <f t="shared" si="270"/>
        <v/>
      </c>
      <c r="BH359" s="49" t="str">
        <f t="shared" si="271"/>
        <v/>
      </c>
      <c r="BI359" s="49" t="str">
        <f t="shared" si="272"/>
        <v/>
      </c>
      <c r="BJ359" s="22" t="str">
        <f t="shared" si="298"/>
        <v/>
      </c>
      <c r="BL359" s="21"/>
      <c r="BM359" s="21" t="str">
        <f>IF(OR(COUNT(B359:D1358)=0,AND('Choix pédagogiques'!$C$3&lt;&gt;1,'Choix pédagogiques'!$C$3&lt;&gt;2)),"",IF(AND(OR('Choix pédagogiques'!$C$3=1,'Choix pédagogiques'!$C$3=2),$B359&lt;&gt;"",$C359&lt;&gt;"",$D359&lt;&gt;""),1,0))</f>
        <v/>
      </c>
      <c r="BN359" s="21" t="str">
        <f>IF(OR(COUNT(G359:I1358)=0,AND('Choix pédagogiques'!$C$3&lt;&gt;1,'Choix pédagogiques'!$C$3&lt;&gt;2)),"",IF(AND(OR('Choix pédagogiques'!$C$3=1,'Choix pédagogiques'!$C$3=2),AND($G359&lt;&gt;"",$H359&lt;&gt;"",$I359&lt;&gt;"")),1,0))</f>
        <v/>
      </c>
      <c r="BO359" s="21" t="str">
        <f>IF(OR(COUNT(B359:D1358)=0,COUNT(G359:I1358)=0,'Choix pédagogiques'!C$3&lt;&gt;3),"",IF(AND('Choix pédagogiques'!$C$3=3,$B359&lt;&gt;"",$C359&lt;&gt;"",$D359&lt;&gt;"",$G359&lt;&gt;"",$H359&lt;&gt;"",$I359&lt;&gt;""),1,0))</f>
        <v/>
      </c>
      <c r="BR359" s="21">
        <v>504</v>
      </c>
      <c r="BS359" s="21">
        <v>1644</v>
      </c>
      <c r="BT359"/>
    </row>
    <row r="360" spans="1:72" s="23" customFormat="1" ht="18" customHeight="1" x14ac:dyDescent="0.3">
      <c r="A360" s="35" t="s">
        <v>350</v>
      </c>
      <c r="B360" s="37"/>
      <c r="C360" s="37"/>
      <c r="D360" s="37"/>
      <c r="E360" s="37"/>
      <c r="F360" s="35" t="s">
        <v>1358</v>
      </c>
      <c r="G360" s="37"/>
      <c r="H360" s="37"/>
      <c r="I360" s="37"/>
      <c r="J360" s="37"/>
      <c r="K360" s="21" t="str">
        <f t="shared" si="273"/>
        <v>Apprenant 348</v>
      </c>
      <c r="L360" s="22" t="str">
        <f t="shared" si="274"/>
        <v/>
      </c>
      <c r="M360" s="22" t="str">
        <f t="shared" si="275"/>
        <v/>
      </c>
      <c r="N360" s="22" t="str">
        <f t="shared" si="276"/>
        <v/>
      </c>
      <c r="O360" s="22" t="str">
        <f t="shared" si="277"/>
        <v/>
      </c>
      <c r="P360" s="21" t="str">
        <f t="shared" si="278"/>
        <v>Apprenant 348 ou 348'</v>
      </c>
      <c r="Q360" s="22" t="str">
        <f t="shared" si="279"/>
        <v/>
      </c>
      <c r="R360" s="22" t="str">
        <f t="shared" si="280"/>
        <v/>
      </c>
      <c r="S360" s="22" t="str">
        <f t="shared" si="281"/>
        <v/>
      </c>
      <c r="T360" s="22" t="str">
        <f t="shared" si="282"/>
        <v/>
      </c>
      <c r="V360" s="21" t="str">
        <f t="shared" si="283"/>
        <v>Apprenant 348</v>
      </c>
      <c r="W360" s="22" t="str">
        <f>IF(AND(OR('Choix pédagogiques'!$C$3=1,'Choix pédagogiques'!$C$3=2),$BM360=1),B360,IF(AND('Choix pédagogiques'!$C$3=3,$BO360=1),B360,""))</f>
        <v/>
      </c>
      <c r="X360" s="22" t="str">
        <f>IF(AND(OR('Choix pédagogiques'!$C$3=1,'Choix pédagogiques'!$C$3=2),$BM360=1),C360,IF(AND('Choix pédagogiques'!$C$3=3,$BO360=1),C360,""))</f>
        <v/>
      </c>
      <c r="Y360" s="22" t="str">
        <f>IF(AND(OR('Choix pédagogiques'!$C$3=1,'Choix pédagogiques'!$C$3=2),$BM360=1),D360,IF(AND('Choix pédagogiques'!$C$3=3,$BO360=1),D360,""))</f>
        <v/>
      </c>
      <c r="Z360" s="22" t="str">
        <f t="shared" si="284"/>
        <v/>
      </c>
      <c r="AA360" s="21" t="str">
        <f t="shared" si="285"/>
        <v>Apprenant 348 ou 348'</v>
      </c>
      <c r="AB360" s="22" t="str">
        <f>IF(AND(OR('Choix pédagogiques'!$C$3=1,'Choix pédagogiques'!$C$3=2),$BN360=1),G360,IF(AND('Choix pédagogiques'!$C$3=3,$BO360=1),G360,""))</f>
        <v/>
      </c>
      <c r="AC360" s="22" t="str">
        <f>IF(AND(OR('Choix pédagogiques'!$C$3=1,'Choix pédagogiques'!$C$3=2),$BN360=1),H360,IF(AND('Choix pédagogiques'!$C$3=3,$BO360=1),H360,""))</f>
        <v/>
      </c>
      <c r="AD360" s="22" t="str">
        <f>IF(AND(OR('Choix pédagogiques'!$C$3=1,'Choix pédagogiques'!$C$3=2),$BN360=1),I360,IF(AND('Choix pédagogiques'!$C$3=3,$BO360=1),I360,""))</f>
        <v/>
      </c>
      <c r="AE360" s="22" t="str">
        <f t="shared" si="286"/>
        <v/>
      </c>
      <c r="AF360" s="21" t="str">
        <f t="shared" si="287"/>
        <v>Apprenant 348</v>
      </c>
      <c r="AG360" s="22" t="str">
        <f t="shared" si="261"/>
        <v/>
      </c>
      <c r="AH360" s="22" t="str">
        <f t="shared" si="262"/>
        <v/>
      </c>
      <c r="AI360" s="22" t="str">
        <f t="shared" si="263"/>
        <v/>
      </c>
      <c r="AJ360" s="22" t="str">
        <f t="shared" si="288"/>
        <v/>
      </c>
      <c r="AK360" s="21" t="str">
        <f t="shared" si="289"/>
        <v>Apprenant 348 ou 348'</v>
      </c>
      <c r="AL360" s="22" t="str">
        <f t="shared" si="264"/>
        <v/>
      </c>
      <c r="AM360" s="22" t="str">
        <f t="shared" si="265"/>
        <v/>
      </c>
      <c r="AN360" s="22" t="str">
        <f t="shared" si="266"/>
        <v/>
      </c>
      <c r="AO360" s="22" t="str">
        <f t="shared" si="290"/>
        <v/>
      </c>
      <c r="AQ360" s="21" t="str">
        <f t="shared" si="291"/>
        <v>Apprenant 348</v>
      </c>
      <c r="AR360" s="49" t="str">
        <f>IF(AND('Choix pédagogiques'!$C$4&lt;&gt;"?",'Choix pédagogiques'!$C$5&lt;&gt;"?",W360&lt;&gt;""),(W360-'Choix pédagogiques'!$C$4)/('Choix pédagogiques'!$C$5-'Choix pédagogiques'!$C$4),"")</f>
        <v/>
      </c>
      <c r="AS360" s="49" t="str">
        <f>IF(AND('Choix pédagogiques'!$C$4&lt;&gt;"?",'Choix pédagogiques'!$C$5&lt;&gt;"?",X360&lt;&gt;""),(X360-'Choix pédagogiques'!$C$4)/('Choix pédagogiques'!$C$5-'Choix pédagogiques'!$C$4),"")</f>
        <v/>
      </c>
      <c r="AT360" s="49" t="str">
        <f>IF(AND('Choix pédagogiques'!$C$4&lt;&gt;"?",'Choix pédagogiques'!$C$5&lt;&gt;"?",Y360&lt;&gt;""),(Y360-'Choix pédagogiques'!$C$4)/('Choix pédagogiques'!$C$5-'Choix pédagogiques'!$C$4),"")</f>
        <v/>
      </c>
      <c r="AU360" s="22" t="str">
        <f t="shared" si="292"/>
        <v/>
      </c>
      <c r="AV360" s="21" t="str">
        <f t="shared" si="293"/>
        <v>Apprenant 348 ou 348'</v>
      </c>
      <c r="AW360" s="49" t="str">
        <f>IF(AND('Choix pédagogiques'!$C$4&lt;&gt;"?",'Choix pédagogiques'!$C$5&lt;&gt;"?",AB360&lt;&gt;""),(AB360-'Choix pédagogiques'!$C$4)/('Choix pédagogiques'!$C$5-'Choix pédagogiques'!$C$4),"")</f>
        <v/>
      </c>
      <c r="AX360" s="49" t="str">
        <f>IF(AND('Choix pédagogiques'!$C$4&lt;&gt;"?",'Choix pédagogiques'!$C$5&lt;&gt;"?",AC360&lt;&gt;""),(AC360-'Choix pédagogiques'!$C$4)/('Choix pédagogiques'!$C$5-'Choix pédagogiques'!$C$4),"")</f>
        <v/>
      </c>
      <c r="AY360" s="49" t="str">
        <f>IF(AND('Choix pédagogiques'!$C$4&lt;&gt;"?",'Choix pédagogiques'!$C$5&lt;&gt;"?",AD360&lt;&gt;""),(AD360-'Choix pédagogiques'!$C$4)/('Choix pédagogiques'!$C$5-'Choix pédagogiques'!$C$4),"")</f>
        <v/>
      </c>
      <c r="AZ360" s="22" t="str">
        <f t="shared" si="294"/>
        <v/>
      </c>
      <c r="BA360" s="21" t="str">
        <f t="shared" si="295"/>
        <v>Apprenant 348</v>
      </c>
      <c r="BB360" s="49" t="str">
        <f t="shared" si="267"/>
        <v/>
      </c>
      <c r="BC360" s="49" t="str">
        <f t="shared" si="268"/>
        <v/>
      </c>
      <c r="BD360" s="49" t="str">
        <f t="shared" si="269"/>
        <v/>
      </c>
      <c r="BE360" s="22" t="str">
        <f t="shared" si="296"/>
        <v/>
      </c>
      <c r="BF360" s="21" t="str">
        <f t="shared" si="297"/>
        <v>Apprenant 348 ou 348'</v>
      </c>
      <c r="BG360" s="49" t="str">
        <f t="shared" si="270"/>
        <v/>
      </c>
      <c r="BH360" s="49" t="str">
        <f t="shared" si="271"/>
        <v/>
      </c>
      <c r="BI360" s="49" t="str">
        <f t="shared" si="272"/>
        <v/>
      </c>
      <c r="BJ360" s="22" t="str">
        <f t="shared" si="298"/>
        <v/>
      </c>
      <c r="BL360" s="21"/>
      <c r="BM360" s="21" t="str">
        <f>IF(OR(COUNT(B360:D1359)=0,AND('Choix pédagogiques'!$C$3&lt;&gt;1,'Choix pédagogiques'!$C$3&lt;&gt;2)),"",IF(AND(OR('Choix pédagogiques'!$C$3=1,'Choix pédagogiques'!$C$3=2),$B360&lt;&gt;"",$C360&lt;&gt;"",$D360&lt;&gt;""),1,0))</f>
        <v/>
      </c>
      <c r="BN360" s="21" t="str">
        <f>IF(OR(COUNT(G360:I1359)=0,AND('Choix pédagogiques'!$C$3&lt;&gt;1,'Choix pédagogiques'!$C$3&lt;&gt;2)),"",IF(AND(OR('Choix pédagogiques'!$C$3=1,'Choix pédagogiques'!$C$3=2),AND($G360&lt;&gt;"",$H360&lt;&gt;"",$I360&lt;&gt;"")),1,0))</f>
        <v/>
      </c>
      <c r="BO360" s="21" t="str">
        <f>IF(OR(COUNT(B360:D1359)=0,COUNT(G360:I1359)=0,'Choix pédagogiques'!C$3&lt;&gt;3),"",IF(AND('Choix pédagogiques'!$C$3=3,$B360&lt;&gt;"",$C360&lt;&gt;"",$D360&lt;&gt;"",$G360&lt;&gt;"",$H360&lt;&gt;"",$I360&lt;&gt;""),1,0))</f>
        <v/>
      </c>
      <c r="BR360" s="21">
        <v>65</v>
      </c>
      <c r="BS360" s="21">
        <v>1758</v>
      </c>
      <c r="BT360"/>
    </row>
    <row r="361" spans="1:72" s="23" customFormat="1" ht="18" customHeight="1" x14ac:dyDescent="0.3">
      <c r="A361" s="35" t="s">
        <v>351</v>
      </c>
      <c r="B361" s="37"/>
      <c r="C361" s="37"/>
      <c r="D361" s="37"/>
      <c r="E361" s="37"/>
      <c r="F361" s="35" t="s">
        <v>1359</v>
      </c>
      <c r="G361" s="37"/>
      <c r="H361" s="37"/>
      <c r="I361" s="37"/>
      <c r="J361" s="37"/>
      <c r="K361" s="21" t="str">
        <f t="shared" si="273"/>
        <v>Apprenant 349</v>
      </c>
      <c r="L361" s="22" t="str">
        <f t="shared" si="274"/>
        <v/>
      </c>
      <c r="M361" s="22" t="str">
        <f t="shared" si="275"/>
        <v/>
      </c>
      <c r="N361" s="22" t="str">
        <f t="shared" si="276"/>
        <v/>
      </c>
      <c r="O361" s="22" t="str">
        <f t="shared" si="277"/>
        <v/>
      </c>
      <c r="P361" s="21" t="str">
        <f t="shared" si="278"/>
        <v>Apprenant 349 ou 349'</v>
      </c>
      <c r="Q361" s="22" t="str">
        <f t="shared" si="279"/>
        <v/>
      </c>
      <c r="R361" s="22" t="str">
        <f t="shared" si="280"/>
        <v/>
      </c>
      <c r="S361" s="22" t="str">
        <f t="shared" si="281"/>
        <v/>
      </c>
      <c r="T361" s="22" t="str">
        <f t="shared" si="282"/>
        <v/>
      </c>
      <c r="V361" s="21" t="str">
        <f t="shared" si="283"/>
        <v>Apprenant 349</v>
      </c>
      <c r="W361" s="22" t="str">
        <f>IF(AND(OR('Choix pédagogiques'!$C$3=1,'Choix pédagogiques'!$C$3=2),$BM361=1),B361,IF(AND('Choix pédagogiques'!$C$3=3,$BO361=1),B361,""))</f>
        <v/>
      </c>
      <c r="X361" s="22" t="str">
        <f>IF(AND(OR('Choix pédagogiques'!$C$3=1,'Choix pédagogiques'!$C$3=2),$BM361=1),C361,IF(AND('Choix pédagogiques'!$C$3=3,$BO361=1),C361,""))</f>
        <v/>
      </c>
      <c r="Y361" s="22" t="str">
        <f>IF(AND(OR('Choix pédagogiques'!$C$3=1,'Choix pédagogiques'!$C$3=2),$BM361=1),D361,IF(AND('Choix pédagogiques'!$C$3=3,$BO361=1),D361,""))</f>
        <v/>
      </c>
      <c r="Z361" s="22" t="str">
        <f t="shared" si="284"/>
        <v/>
      </c>
      <c r="AA361" s="21" t="str">
        <f t="shared" si="285"/>
        <v>Apprenant 349 ou 349'</v>
      </c>
      <c r="AB361" s="22" t="str">
        <f>IF(AND(OR('Choix pédagogiques'!$C$3=1,'Choix pédagogiques'!$C$3=2),$BN361=1),G361,IF(AND('Choix pédagogiques'!$C$3=3,$BO361=1),G361,""))</f>
        <v/>
      </c>
      <c r="AC361" s="22" t="str">
        <f>IF(AND(OR('Choix pédagogiques'!$C$3=1,'Choix pédagogiques'!$C$3=2),$BN361=1),H361,IF(AND('Choix pédagogiques'!$C$3=3,$BO361=1),H361,""))</f>
        <v/>
      </c>
      <c r="AD361" s="22" t="str">
        <f>IF(AND(OR('Choix pédagogiques'!$C$3=1,'Choix pédagogiques'!$C$3=2),$BN361=1),I361,IF(AND('Choix pédagogiques'!$C$3=3,$BO361=1),I361,""))</f>
        <v/>
      </c>
      <c r="AE361" s="22" t="str">
        <f t="shared" si="286"/>
        <v/>
      </c>
      <c r="AF361" s="21" t="str">
        <f t="shared" si="287"/>
        <v>Apprenant 349</v>
      </c>
      <c r="AG361" s="22" t="str">
        <f t="shared" si="261"/>
        <v/>
      </c>
      <c r="AH361" s="22" t="str">
        <f t="shared" si="262"/>
        <v/>
      </c>
      <c r="AI361" s="22" t="str">
        <f t="shared" si="263"/>
        <v/>
      </c>
      <c r="AJ361" s="22" t="str">
        <f t="shared" si="288"/>
        <v/>
      </c>
      <c r="AK361" s="21" t="str">
        <f t="shared" si="289"/>
        <v>Apprenant 349 ou 349'</v>
      </c>
      <c r="AL361" s="22" t="str">
        <f t="shared" si="264"/>
        <v/>
      </c>
      <c r="AM361" s="22" t="str">
        <f t="shared" si="265"/>
        <v/>
      </c>
      <c r="AN361" s="22" t="str">
        <f t="shared" si="266"/>
        <v/>
      </c>
      <c r="AO361" s="22" t="str">
        <f t="shared" si="290"/>
        <v/>
      </c>
      <c r="AQ361" s="21" t="str">
        <f t="shared" si="291"/>
        <v>Apprenant 349</v>
      </c>
      <c r="AR361" s="49" t="str">
        <f>IF(AND('Choix pédagogiques'!$C$4&lt;&gt;"?",'Choix pédagogiques'!$C$5&lt;&gt;"?",W361&lt;&gt;""),(W361-'Choix pédagogiques'!$C$4)/('Choix pédagogiques'!$C$5-'Choix pédagogiques'!$C$4),"")</f>
        <v/>
      </c>
      <c r="AS361" s="49" t="str">
        <f>IF(AND('Choix pédagogiques'!$C$4&lt;&gt;"?",'Choix pédagogiques'!$C$5&lt;&gt;"?",X361&lt;&gt;""),(X361-'Choix pédagogiques'!$C$4)/('Choix pédagogiques'!$C$5-'Choix pédagogiques'!$C$4),"")</f>
        <v/>
      </c>
      <c r="AT361" s="49" t="str">
        <f>IF(AND('Choix pédagogiques'!$C$4&lt;&gt;"?",'Choix pédagogiques'!$C$5&lt;&gt;"?",Y361&lt;&gt;""),(Y361-'Choix pédagogiques'!$C$4)/('Choix pédagogiques'!$C$5-'Choix pédagogiques'!$C$4),"")</f>
        <v/>
      </c>
      <c r="AU361" s="22" t="str">
        <f t="shared" si="292"/>
        <v/>
      </c>
      <c r="AV361" s="21" t="str">
        <f t="shared" si="293"/>
        <v>Apprenant 349 ou 349'</v>
      </c>
      <c r="AW361" s="49" t="str">
        <f>IF(AND('Choix pédagogiques'!$C$4&lt;&gt;"?",'Choix pédagogiques'!$C$5&lt;&gt;"?",AB361&lt;&gt;""),(AB361-'Choix pédagogiques'!$C$4)/('Choix pédagogiques'!$C$5-'Choix pédagogiques'!$C$4),"")</f>
        <v/>
      </c>
      <c r="AX361" s="49" t="str">
        <f>IF(AND('Choix pédagogiques'!$C$4&lt;&gt;"?",'Choix pédagogiques'!$C$5&lt;&gt;"?",AC361&lt;&gt;""),(AC361-'Choix pédagogiques'!$C$4)/('Choix pédagogiques'!$C$5-'Choix pédagogiques'!$C$4),"")</f>
        <v/>
      </c>
      <c r="AY361" s="49" t="str">
        <f>IF(AND('Choix pédagogiques'!$C$4&lt;&gt;"?",'Choix pédagogiques'!$C$5&lt;&gt;"?",AD361&lt;&gt;""),(AD361-'Choix pédagogiques'!$C$4)/('Choix pédagogiques'!$C$5-'Choix pédagogiques'!$C$4),"")</f>
        <v/>
      </c>
      <c r="AZ361" s="22" t="str">
        <f t="shared" si="294"/>
        <v/>
      </c>
      <c r="BA361" s="21" t="str">
        <f t="shared" si="295"/>
        <v>Apprenant 349</v>
      </c>
      <c r="BB361" s="49" t="str">
        <f t="shared" si="267"/>
        <v/>
      </c>
      <c r="BC361" s="49" t="str">
        <f t="shared" si="268"/>
        <v/>
      </c>
      <c r="BD361" s="49" t="str">
        <f t="shared" si="269"/>
        <v/>
      </c>
      <c r="BE361" s="22" t="str">
        <f t="shared" si="296"/>
        <v/>
      </c>
      <c r="BF361" s="21" t="str">
        <f t="shared" si="297"/>
        <v>Apprenant 349 ou 349'</v>
      </c>
      <c r="BG361" s="49" t="str">
        <f t="shared" si="270"/>
        <v/>
      </c>
      <c r="BH361" s="49" t="str">
        <f t="shared" si="271"/>
        <v/>
      </c>
      <c r="BI361" s="49" t="str">
        <f t="shared" si="272"/>
        <v/>
      </c>
      <c r="BJ361" s="22" t="str">
        <f t="shared" si="298"/>
        <v/>
      </c>
      <c r="BL361" s="21"/>
      <c r="BM361" s="21" t="str">
        <f>IF(OR(COUNT(B361:D1360)=0,AND('Choix pédagogiques'!$C$3&lt;&gt;1,'Choix pédagogiques'!$C$3&lt;&gt;2)),"",IF(AND(OR('Choix pédagogiques'!$C$3=1,'Choix pédagogiques'!$C$3=2),$B361&lt;&gt;"",$C361&lt;&gt;"",$D361&lt;&gt;""),1,0))</f>
        <v/>
      </c>
      <c r="BN361" s="21" t="str">
        <f>IF(OR(COUNT(G361:I1360)=0,AND('Choix pédagogiques'!$C$3&lt;&gt;1,'Choix pédagogiques'!$C$3&lt;&gt;2)),"",IF(AND(OR('Choix pédagogiques'!$C$3=1,'Choix pédagogiques'!$C$3=2),AND($G361&lt;&gt;"",$H361&lt;&gt;"",$I361&lt;&gt;"")),1,0))</f>
        <v/>
      </c>
      <c r="BO361" s="21" t="str">
        <f>IF(OR(COUNT(B361:D1360)=0,COUNT(G361:I1360)=0,'Choix pédagogiques'!C$3&lt;&gt;3),"",IF(AND('Choix pédagogiques'!$C$3=3,$B361&lt;&gt;"",$C361&lt;&gt;"",$D361&lt;&gt;"",$G361&lt;&gt;"",$H361&lt;&gt;"",$I361&lt;&gt;""),1,0))</f>
        <v/>
      </c>
      <c r="BR361" s="21">
        <v>277</v>
      </c>
      <c r="BS361" s="21">
        <v>1067</v>
      </c>
      <c r="BT361"/>
    </row>
    <row r="362" spans="1:72" s="23" customFormat="1" ht="18" customHeight="1" x14ac:dyDescent="0.3">
      <c r="A362" s="35" t="s">
        <v>352</v>
      </c>
      <c r="B362" s="37"/>
      <c r="C362" s="37"/>
      <c r="D362" s="37"/>
      <c r="E362" s="37"/>
      <c r="F362" s="35" t="s">
        <v>1360</v>
      </c>
      <c r="G362" s="37"/>
      <c r="H362" s="37"/>
      <c r="I362" s="37"/>
      <c r="J362" s="37"/>
      <c r="K362" s="21" t="str">
        <f t="shared" si="273"/>
        <v>Apprenant 350</v>
      </c>
      <c r="L362" s="22" t="str">
        <f t="shared" si="274"/>
        <v/>
      </c>
      <c r="M362" s="22" t="str">
        <f t="shared" si="275"/>
        <v/>
      </c>
      <c r="N362" s="22" t="str">
        <f t="shared" si="276"/>
        <v/>
      </c>
      <c r="O362" s="22" t="str">
        <f t="shared" si="277"/>
        <v/>
      </c>
      <c r="P362" s="21" t="str">
        <f t="shared" si="278"/>
        <v>Apprenant 350 ou 350'</v>
      </c>
      <c r="Q362" s="22" t="str">
        <f t="shared" si="279"/>
        <v/>
      </c>
      <c r="R362" s="22" t="str">
        <f t="shared" si="280"/>
        <v/>
      </c>
      <c r="S362" s="22" t="str">
        <f t="shared" si="281"/>
        <v/>
      </c>
      <c r="T362" s="22" t="str">
        <f t="shared" si="282"/>
        <v/>
      </c>
      <c r="V362" s="21" t="str">
        <f t="shared" si="283"/>
        <v>Apprenant 350</v>
      </c>
      <c r="W362" s="22" t="str">
        <f>IF(AND(OR('Choix pédagogiques'!$C$3=1,'Choix pédagogiques'!$C$3=2),$BM362=1),B362,IF(AND('Choix pédagogiques'!$C$3=3,$BO362=1),B362,""))</f>
        <v/>
      </c>
      <c r="X362" s="22" t="str">
        <f>IF(AND(OR('Choix pédagogiques'!$C$3=1,'Choix pédagogiques'!$C$3=2),$BM362=1),C362,IF(AND('Choix pédagogiques'!$C$3=3,$BO362=1),C362,""))</f>
        <v/>
      </c>
      <c r="Y362" s="22" t="str">
        <f>IF(AND(OR('Choix pédagogiques'!$C$3=1,'Choix pédagogiques'!$C$3=2),$BM362=1),D362,IF(AND('Choix pédagogiques'!$C$3=3,$BO362=1),D362,""))</f>
        <v/>
      </c>
      <c r="Z362" s="22" t="str">
        <f t="shared" si="284"/>
        <v/>
      </c>
      <c r="AA362" s="21" t="str">
        <f t="shared" si="285"/>
        <v>Apprenant 350 ou 350'</v>
      </c>
      <c r="AB362" s="22" t="str">
        <f>IF(AND(OR('Choix pédagogiques'!$C$3=1,'Choix pédagogiques'!$C$3=2),$BN362=1),G362,IF(AND('Choix pédagogiques'!$C$3=3,$BO362=1),G362,""))</f>
        <v/>
      </c>
      <c r="AC362" s="22" t="str">
        <f>IF(AND(OR('Choix pédagogiques'!$C$3=1,'Choix pédagogiques'!$C$3=2),$BN362=1),H362,IF(AND('Choix pédagogiques'!$C$3=3,$BO362=1),H362,""))</f>
        <v/>
      </c>
      <c r="AD362" s="22" t="str">
        <f>IF(AND(OR('Choix pédagogiques'!$C$3=1,'Choix pédagogiques'!$C$3=2),$BN362=1),I362,IF(AND('Choix pédagogiques'!$C$3=3,$BO362=1),I362,""))</f>
        <v/>
      </c>
      <c r="AE362" s="22" t="str">
        <f t="shared" si="286"/>
        <v/>
      </c>
      <c r="AF362" s="21" t="str">
        <f t="shared" si="287"/>
        <v>Apprenant 350</v>
      </c>
      <c r="AG362" s="22" t="str">
        <f t="shared" si="261"/>
        <v/>
      </c>
      <c r="AH362" s="22" t="str">
        <f t="shared" si="262"/>
        <v/>
      </c>
      <c r="AI362" s="22" t="str">
        <f t="shared" si="263"/>
        <v/>
      </c>
      <c r="AJ362" s="22" t="str">
        <f t="shared" si="288"/>
        <v/>
      </c>
      <c r="AK362" s="21" t="str">
        <f t="shared" si="289"/>
        <v>Apprenant 350 ou 350'</v>
      </c>
      <c r="AL362" s="22" t="str">
        <f t="shared" si="264"/>
        <v/>
      </c>
      <c r="AM362" s="22" t="str">
        <f t="shared" si="265"/>
        <v/>
      </c>
      <c r="AN362" s="22" t="str">
        <f t="shared" si="266"/>
        <v/>
      </c>
      <c r="AO362" s="22" t="str">
        <f t="shared" si="290"/>
        <v/>
      </c>
      <c r="AQ362" s="21" t="str">
        <f t="shared" si="291"/>
        <v>Apprenant 350</v>
      </c>
      <c r="AR362" s="49" t="str">
        <f>IF(AND('Choix pédagogiques'!$C$4&lt;&gt;"?",'Choix pédagogiques'!$C$5&lt;&gt;"?",W362&lt;&gt;""),(W362-'Choix pédagogiques'!$C$4)/('Choix pédagogiques'!$C$5-'Choix pédagogiques'!$C$4),"")</f>
        <v/>
      </c>
      <c r="AS362" s="49" t="str">
        <f>IF(AND('Choix pédagogiques'!$C$4&lt;&gt;"?",'Choix pédagogiques'!$C$5&lt;&gt;"?",X362&lt;&gt;""),(X362-'Choix pédagogiques'!$C$4)/('Choix pédagogiques'!$C$5-'Choix pédagogiques'!$C$4),"")</f>
        <v/>
      </c>
      <c r="AT362" s="49" t="str">
        <f>IF(AND('Choix pédagogiques'!$C$4&lt;&gt;"?",'Choix pédagogiques'!$C$5&lt;&gt;"?",Y362&lt;&gt;""),(Y362-'Choix pédagogiques'!$C$4)/('Choix pédagogiques'!$C$5-'Choix pédagogiques'!$C$4),"")</f>
        <v/>
      </c>
      <c r="AU362" s="22" t="str">
        <f t="shared" si="292"/>
        <v/>
      </c>
      <c r="AV362" s="21" t="str">
        <f t="shared" si="293"/>
        <v>Apprenant 350 ou 350'</v>
      </c>
      <c r="AW362" s="49" t="str">
        <f>IF(AND('Choix pédagogiques'!$C$4&lt;&gt;"?",'Choix pédagogiques'!$C$5&lt;&gt;"?",AB362&lt;&gt;""),(AB362-'Choix pédagogiques'!$C$4)/('Choix pédagogiques'!$C$5-'Choix pédagogiques'!$C$4),"")</f>
        <v/>
      </c>
      <c r="AX362" s="49" t="str">
        <f>IF(AND('Choix pédagogiques'!$C$4&lt;&gt;"?",'Choix pédagogiques'!$C$5&lt;&gt;"?",AC362&lt;&gt;""),(AC362-'Choix pédagogiques'!$C$4)/('Choix pédagogiques'!$C$5-'Choix pédagogiques'!$C$4),"")</f>
        <v/>
      </c>
      <c r="AY362" s="49" t="str">
        <f>IF(AND('Choix pédagogiques'!$C$4&lt;&gt;"?",'Choix pédagogiques'!$C$5&lt;&gt;"?",AD362&lt;&gt;""),(AD362-'Choix pédagogiques'!$C$4)/('Choix pédagogiques'!$C$5-'Choix pédagogiques'!$C$4),"")</f>
        <v/>
      </c>
      <c r="AZ362" s="22" t="str">
        <f t="shared" si="294"/>
        <v/>
      </c>
      <c r="BA362" s="21" t="str">
        <f t="shared" si="295"/>
        <v>Apprenant 350</v>
      </c>
      <c r="BB362" s="49" t="str">
        <f t="shared" si="267"/>
        <v/>
      </c>
      <c r="BC362" s="49" t="str">
        <f t="shared" si="268"/>
        <v/>
      </c>
      <c r="BD362" s="49" t="str">
        <f t="shared" si="269"/>
        <v/>
      </c>
      <c r="BE362" s="22" t="str">
        <f t="shared" si="296"/>
        <v/>
      </c>
      <c r="BF362" s="21" t="str">
        <f t="shared" si="297"/>
        <v>Apprenant 350 ou 350'</v>
      </c>
      <c r="BG362" s="49" t="str">
        <f t="shared" si="270"/>
        <v/>
      </c>
      <c r="BH362" s="49" t="str">
        <f t="shared" si="271"/>
        <v/>
      </c>
      <c r="BI362" s="49" t="str">
        <f t="shared" si="272"/>
        <v/>
      </c>
      <c r="BJ362" s="22" t="str">
        <f t="shared" si="298"/>
        <v/>
      </c>
      <c r="BL362" s="21"/>
      <c r="BM362" s="21" t="str">
        <f>IF(OR(COUNT(B362:D1361)=0,AND('Choix pédagogiques'!$C$3&lt;&gt;1,'Choix pédagogiques'!$C$3&lt;&gt;2)),"",IF(AND(OR('Choix pédagogiques'!$C$3=1,'Choix pédagogiques'!$C$3=2),$B362&lt;&gt;"",$C362&lt;&gt;"",$D362&lt;&gt;""),1,0))</f>
        <v/>
      </c>
      <c r="BN362" s="21" t="str">
        <f>IF(OR(COUNT(G362:I1361)=0,AND('Choix pédagogiques'!$C$3&lt;&gt;1,'Choix pédagogiques'!$C$3&lt;&gt;2)),"",IF(AND(OR('Choix pédagogiques'!$C$3=1,'Choix pédagogiques'!$C$3=2),AND($G362&lt;&gt;"",$H362&lt;&gt;"",$I362&lt;&gt;"")),1,0))</f>
        <v/>
      </c>
      <c r="BO362" s="21" t="str">
        <f>IF(OR(COUNT(B362:D1361)=0,COUNT(G362:I1361)=0,'Choix pédagogiques'!C$3&lt;&gt;3),"",IF(AND('Choix pédagogiques'!$C$3=3,$B362&lt;&gt;"",$C362&lt;&gt;"",$D362&lt;&gt;"",$G362&lt;&gt;"",$H362&lt;&gt;"",$I362&lt;&gt;""),1,0))</f>
        <v/>
      </c>
      <c r="BR362" s="21">
        <v>692</v>
      </c>
      <c r="BS362" s="21">
        <v>1542</v>
      </c>
      <c r="BT362"/>
    </row>
    <row r="363" spans="1:72" s="23" customFormat="1" ht="18" customHeight="1" x14ac:dyDescent="0.3">
      <c r="A363" s="35" t="s">
        <v>353</v>
      </c>
      <c r="B363" s="37"/>
      <c r="C363" s="37"/>
      <c r="D363" s="37"/>
      <c r="E363" s="37"/>
      <c r="F363" s="35" t="s">
        <v>1361</v>
      </c>
      <c r="G363" s="37"/>
      <c r="H363" s="37"/>
      <c r="I363" s="37"/>
      <c r="J363" s="37"/>
      <c r="K363" s="21" t="str">
        <f t="shared" si="273"/>
        <v>Apprenant 351</v>
      </c>
      <c r="L363" s="22" t="str">
        <f t="shared" si="274"/>
        <v/>
      </c>
      <c r="M363" s="22" t="str">
        <f t="shared" si="275"/>
        <v/>
      </c>
      <c r="N363" s="22" t="str">
        <f t="shared" si="276"/>
        <v/>
      </c>
      <c r="O363" s="22" t="str">
        <f t="shared" si="277"/>
        <v/>
      </c>
      <c r="P363" s="21" t="str">
        <f t="shared" si="278"/>
        <v>Apprenant 351 ou 351'</v>
      </c>
      <c r="Q363" s="22" t="str">
        <f t="shared" si="279"/>
        <v/>
      </c>
      <c r="R363" s="22" t="str">
        <f t="shared" si="280"/>
        <v/>
      </c>
      <c r="S363" s="22" t="str">
        <f t="shared" si="281"/>
        <v/>
      </c>
      <c r="T363" s="22" t="str">
        <f t="shared" si="282"/>
        <v/>
      </c>
      <c r="V363" s="21" t="str">
        <f t="shared" si="283"/>
        <v>Apprenant 351</v>
      </c>
      <c r="W363" s="22" t="str">
        <f>IF(AND(OR('Choix pédagogiques'!$C$3=1,'Choix pédagogiques'!$C$3=2),$BM363=1),B363,IF(AND('Choix pédagogiques'!$C$3=3,$BO363=1),B363,""))</f>
        <v/>
      </c>
      <c r="X363" s="22" t="str">
        <f>IF(AND(OR('Choix pédagogiques'!$C$3=1,'Choix pédagogiques'!$C$3=2),$BM363=1),C363,IF(AND('Choix pédagogiques'!$C$3=3,$BO363=1),C363,""))</f>
        <v/>
      </c>
      <c r="Y363" s="22" t="str">
        <f>IF(AND(OR('Choix pédagogiques'!$C$3=1,'Choix pédagogiques'!$C$3=2),$BM363=1),D363,IF(AND('Choix pédagogiques'!$C$3=3,$BO363=1),D363,""))</f>
        <v/>
      </c>
      <c r="Z363" s="22" t="str">
        <f t="shared" si="284"/>
        <v/>
      </c>
      <c r="AA363" s="21" t="str">
        <f t="shared" si="285"/>
        <v>Apprenant 351 ou 351'</v>
      </c>
      <c r="AB363" s="22" t="str">
        <f>IF(AND(OR('Choix pédagogiques'!$C$3=1,'Choix pédagogiques'!$C$3=2),$BN363=1),G363,IF(AND('Choix pédagogiques'!$C$3=3,$BO363=1),G363,""))</f>
        <v/>
      </c>
      <c r="AC363" s="22" t="str">
        <f>IF(AND(OR('Choix pédagogiques'!$C$3=1,'Choix pédagogiques'!$C$3=2),$BN363=1),H363,IF(AND('Choix pédagogiques'!$C$3=3,$BO363=1),H363,""))</f>
        <v/>
      </c>
      <c r="AD363" s="22" t="str">
        <f>IF(AND(OR('Choix pédagogiques'!$C$3=1,'Choix pédagogiques'!$C$3=2),$BN363=1),I363,IF(AND('Choix pédagogiques'!$C$3=3,$BO363=1),I363,""))</f>
        <v/>
      </c>
      <c r="AE363" s="22" t="str">
        <f t="shared" si="286"/>
        <v/>
      </c>
      <c r="AF363" s="21" t="str">
        <f t="shared" si="287"/>
        <v>Apprenant 351</v>
      </c>
      <c r="AG363" s="22" t="str">
        <f t="shared" si="261"/>
        <v/>
      </c>
      <c r="AH363" s="22" t="str">
        <f t="shared" si="262"/>
        <v/>
      </c>
      <c r="AI363" s="22" t="str">
        <f t="shared" si="263"/>
        <v/>
      </c>
      <c r="AJ363" s="22" t="str">
        <f t="shared" si="288"/>
        <v/>
      </c>
      <c r="AK363" s="21" t="str">
        <f t="shared" si="289"/>
        <v>Apprenant 351 ou 351'</v>
      </c>
      <c r="AL363" s="22" t="str">
        <f t="shared" si="264"/>
        <v/>
      </c>
      <c r="AM363" s="22" t="str">
        <f t="shared" si="265"/>
        <v/>
      </c>
      <c r="AN363" s="22" t="str">
        <f t="shared" si="266"/>
        <v/>
      </c>
      <c r="AO363" s="22" t="str">
        <f t="shared" si="290"/>
        <v/>
      </c>
      <c r="AQ363" s="21" t="str">
        <f t="shared" si="291"/>
        <v>Apprenant 351</v>
      </c>
      <c r="AR363" s="49" t="str">
        <f>IF(AND('Choix pédagogiques'!$C$4&lt;&gt;"?",'Choix pédagogiques'!$C$5&lt;&gt;"?",W363&lt;&gt;""),(W363-'Choix pédagogiques'!$C$4)/('Choix pédagogiques'!$C$5-'Choix pédagogiques'!$C$4),"")</f>
        <v/>
      </c>
      <c r="AS363" s="49" t="str">
        <f>IF(AND('Choix pédagogiques'!$C$4&lt;&gt;"?",'Choix pédagogiques'!$C$5&lt;&gt;"?",X363&lt;&gt;""),(X363-'Choix pédagogiques'!$C$4)/('Choix pédagogiques'!$C$5-'Choix pédagogiques'!$C$4),"")</f>
        <v/>
      </c>
      <c r="AT363" s="49" t="str">
        <f>IF(AND('Choix pédagogiques'!$C$4&lt;&gt;"?",'Choix pédagogiques'!$C$5&lt;&gt;"?",Y363&lt;&gt;""),(Y363-'Choix pédagogiques'!$C$4)/('Choix pédagogiques'!$C$5-'Choix pédagogiques'!$C$4),"")</f>
        <v/>
      </c>
      <c r="AU363" s="22" t="str">
        <f t="shared" si="292"/>
        <v/>
      </c>
      <c r="AV363" s="21" t="str">
        <f t="shared" si="293"/>
        <v>Apprenant 351 ou 351'</v>
      </c>
      <c r="AW363" s="49" t="str">
        <f>IF(AND('Choix pédagogiques'!$C$4&lt;&gt;"?",'Choix pédagogiques'!$C$5&lt;&gt;"?",AB363&lt;&gt;""),(AB363-'Choix pédagogiques'!$C$4)/('Choix pédagogiques'!$C$5-'Choix pédagogiques'!$C$4),"")</f>
        <v/>
      </c>
      <c r="AX363" s="49" t="str">
        <f>IF(AND('Choix pédagogiques'!$C$4&lt;&gt;"?",'Choix pédagogiques'!$C$5&lt;&gt;"?",AC363&lt;&gt;""),(AC363-'Choix pédagogiques'!$C$4)/('Choix pédagogiques'!$C$5-'Choix pédagogiques'!$C$4),"")</f>
        <v/>
      </c>
      <c r="AY363" s="49" t="str">
        <f>IF(AND('Choix pédagogiques'!$C$4&lt;&gt;"?",'Choix pédagogiques'!$C$5&lt;&gt;"?",AD363&lt;&gt;""),(AD363-'Choix pédagogiques'!$C$4)/('Choix pédagogiques'!$C$5-'Choix pédagogiques'!$C$4),"")</f>
        <v/>
      </c>
      <c r="AZ363" s="22" t="str">
        <f t="shared" si="294"/>
        <v/>
      </c>
      <c r="BA363" s="21" t="str">
        <f t="shared" si="295"/>
        <v>Apprenant 351</v>
      </c>
      <c r="BB363" s="49" t="str">
        <f t="shared" si="267"/>
        <v/>
      </c>
      <c r="BC363" s="49" t="str">
        <f t="shared" si="268"/>
        <v/>
      </c>
      <c r="BD363" s="49" t="str">
        <f t="shared" si="269"/>
        <v/>
      </c>
      <c r="BE363" s="22" t="str">
        <f t="shared" si="296"/>
        <v/>
      </c>
      <c r="BF363" s="21" t="str">
        <f t="shared" si="297"/>
        <v>Apprenant 351 ou 351'</v>
      </c>
      <c r="BG363" s="49" t="str">
        <f t="shared" si="270"/>
        <v/>
      </c>
      <c r="BH363" s="49" t="str">
        <f t="shared" si="271"/>
        <v/>
      </c>
      <c r="BI363" s="49" t="str">
        <f t="shared" si="272"/>
        <v/>
      </c>
      <c r="BJ363" s="22" t="str">
        <f t="shared" si="298"/>
        <v/>
      </c>
      <c r="BL363" s="21"/>
      <c r="BM363" s="21" t="str">
        <f>IF(OR(COUNT(B363:D1362)=0,AND('Choix pédagogiques'!$C$3&lt;&gt;1,'Choix pédagogiques'!$C$3&lt;&gt;2)),"",IF(AND(OR('Choix pédagogiques'!$C$3=1,'Choix pédagogiques'!$C$3=2),$B363&lt;&gt;"",$C363&lt;&gt;"",$D363&lt;&gt;""),1,0))</f>
        <v/>
      </c>
      <c r="BN363" s="21" t="str">
        <f>IF(OR(COUNT(G363:I1362)=0,AND('Choix pédagogiques'!$C$3&lt;&gt;1,'Choix pédagogiques'!$C$3&lt;&gt;2)),"",IF(AND(OR('Choix pédagogiques'!$C$3=1,'Choix pédagogiques'!$C$3=2),AND($G363&lt;&gt;"",$H363&lt;&gt;"",$I363&lt;&gt;"")),1,0))</f>
        <v/>
      </c>
      <c r="BO363" s="21" t="str">
        <f>IF(OR(COUNT(B363:D1362)=0,COUNT(G363:I1362)=0,'Choix pédagogiques'!C$3&lt;&gt;3),"",IF(AND('Choix pédagogiques'!$C$3=3,$B363&lt;&gt;"",$C363&lt;&gt;"",$D363&lt;&gt;"",$G363&lt;&gt;"",$H363&lt;&gt;"",$I363&lt;&gt;""),1,0))</f>
        <v/>
      </c>
      <c r="BR363" s="21">
        <v>210</v>
      </c>
      <c r="BS363" s="21">
        <v>1178</v>
      </c>
      <c r="BT363"/>
    </row>
    <row r="364" spans="1:72" s="23" customFormat="1" ht="18" customHeight="1" x14ac:dyDescent="0.3">
      <c r="A364" s="35" t="s">
        <v>354</v>
      </c>
      <c r="B364" s="37"/>
      <c r="C364" s="37"/>
      <c r="D364" s="37"/>
      <c r="E364" s="37"/>
      <c r="F364" s="35" t="s">
        <v>1362</v>
      </c>
      <c r="G364" s="37"/>
      <c r="H364" s="37"/>
      <c r="I364" s="37"/>
      <c r="J364" s="37"/>
      <c r="K364" s="21" t="str">
        <f t="shared" si="273"/>
        <v>Apprenant 352</v>
      </c>
      <c r="L364" s="22" t="str">
        <f t="shared" si="274"/>
        <v/>
      </c>
      <c r="M364" s="22" t="str">
        <f t="shared" si="275"/>
        <v/>
      </c>
      <c r="N364" s="22" t="str">
        <f t="shared" si="276"/>
        <v/>
      </c>
      <c r="O364" s="22" t="str">
        <f t="shared" si="277"/>
        <v/>
      </c>
      <c r="P364" s="21" t="str">
        <f t="shared" si="278"/>
        <v>Apprenant 352 ou 352'</v>
      </c>
      <c r="Q364" s="22" t="str">
        <f t="shared" si="279"/>
        <v/>
      </c>
      <c r="R364" s="22" t="str">
        <f t="shared" si="280"/>
        <v/>
      </c>
      <c r="S364" s="22" t="str">
        <f t="shared" si="281"/>
        <v/>
      </c>
      <c r="T364" s="22" t="str">
        <f t="shared" si="282"/>
        <v/>
      </c>
      <c r="V364" s="21" t="str">
        <f t="shared" si="283"/>
        <v>Apprenant 352</v>
      </c>
      <c r="W364" s="22" t="str">
        <f>IF(AND(OR('Choix pédagogiques'!$C$3=1,'Choix pédagogiques'!$C$3=2),$BM364=1),B364,IF(AND('Choix pédagogiques'!$C$3=3,$BO364=1),B364,""))</f>
        <v/>
      </c>
      <c r="X364" s="22" t="str">
        <f>IF(AND(OR('Choix pédagogiques'!$C$3=1,'Choix pédagogiques'!$C$3=2),$BM364=1),C364,IF(AND('Choix pédagogiques'!$C$3=3,$BO364=1),C364,""))</f>
        <v/>
      </c>
      <c r="Y364" s="22" t="str">
        <f>IF(AND(OR('Choix pédagogiques'!$C$3=1,'Choix pédagogiques'!$C$3=2),$BM364=1),D364,IF(AND('Choix pédagogiques'!$C$3=3,$BO364=1),D364,""))</f>
        <v/>
      </c>
      <c r="Z364" s="22" t="str">
        <f t="shared" si="284"/>
        <v/>
      </c>
      <c r="AA364" s="21" t="str">
        <f t="shared" si="285"/>
        <v>Apprenant 352 ou 352'</v>
      </c>
      <c r="AB364" s="22" t="str">
        <f>IF(AND(OR('Choix pédagogiques'!$C$3=1,'Choix pédagogiques'!$C$3=2),$BN364=1),G364,IF(AND('Choix pédagogiques'!$C$3=3,$BO364=1),G364,""))</f>
        <v/>
      </c>
      <c r="AC364" s="22" t="str">
        <f>IF(AND(OR('Choix pédagogiques'!$C$3=1,'Choix pédagogiques'!$C$3=2),$BN364=1),H364,IF(AND('Choix pédagogiques'!$C$3=3,$BO364=1),H364,""))</f>
        <v/>
      </c>
      <c r="AD364" s="22" t="str">
        <f>IF(AND(OR('Choix pédagogiques'!$C$3=1,'Choix pédagogiques'!$C$3=2),$BN364=1),I364,IF(AND('Choix pédagogiques'!$C$3=3,$BO364=1),I364,""))</f>
        <v/>
      </c>
      <c r="AE364" s="22" t="str">
        <f t="shared" si="286"/>
        <v/>
      </c>
      <c r="AF364" s="21" t="str">
        <f t="shared" si="287"/>
        <v>Apprenant 352</v>
      </c>
      <c r="AG364" s="22" t="str">
        <f t="shared" si="261"/>
        <v/>
      </c>
      <c r="AH364" s="22" t="str">
        <f t="shared" si="262"/>
        <v/>
      </c>
      <c r="AI364" s="22" t="str">
        <f t="shared" si="263"/>
        <v/>
      </c>
      <c r="AJ364" s="22" t="str">
        <f t="shared" si="288"/>
        <v/>
      </c>
      <c r="AK364" s="21" t="str">
        <f t="shared" si="289"/>
        <v>Apprenant 352 ou 352'</v>
      </c>
      <c r="AL364" s="22" t="str">
        <f t="shared" si="264"/>
        <v/>
      </c>
      <c r="AM364" s="22" t="str">
        <f t="shared" si="265"/>
        <v/>
      </c>
      <c r="AN364" s="22" t="str">
        <f t="shared" si="266"/>
        <v/>
      </c>
      <c r="AO364" s="22" t="str">
        <f t="shared" si="290"/>
        <v/>
      </c>
      <c r="AQ364" s="21" t="str">
        <f t="shared" si="291"/>
        <v>Apprenant 352</v>
      </c>
      <c r="AR364" s="49" t="str">
        <f>IF(AND('Choix pédagogiques'!$C$4&lt;&gt;"?",'Choix pédagogiques'!$C$5&lt;&gt;"?",W364&lt;&gt;""),(W364-'Choix pédagogiques'!$C$4)/('Choix pédagogiques'!$C$5-'Choix pédagogiques'!$C$4),"")</f>
        <v/>
      </c>
      <c r="AS364" s="49" t="str">
        <f>IF(AND('Choix pédagogiques'!$C$4&lt;&gt;"?",'Choix pédagogiques'!$C$5&lt;&gt;"?",X364&lt;&gt;""),(X364-'Choix pédagogiques'!$C$4)/('Choix pédagogiques'!$C$5-'Choix pédagogiques'!$C$4),"")</f>
        <v/>
      </c>
      <c r="AT364" s="49" t="str">
        <f>IF(AND('Choix pédagogiques'!$C$4&lt;&gt;"?",'Choix pédagogiques'!$C$5&lt;&gt;"?",Y364&lt;&gt;""),(Y364-'Choix pédagogiques'!$C$4)/('Choix pédagogiques'!$C$5-'Choix pédagogiques'!$C$4),"")</f>
        <v/>
      </c>
      <c r="AU364" s="22" t="str">
        <f t="shared" si="292"/>
        <v/>
      </c>
      <c r="AV364" s="21" t="str">
        <f t="shared" si="293"/>
        <v>Apprenant 352 ou 352'</v>
      </c>
      <c r="AW364" s="49" t="str">
        <f>IF(AND('Choix pédagogiques'!$C$4&lt;&gt;"?",'Choix pédagogiques'!$C$5&lt;&gt;"?",AB364&lt;&gt;""),(AB364-'Choix pédagogiques'!$C$4)/('Choix pédagogiques'!$C$5-'Choix pédagogiques'!$C$4),"")</f>
        <v/>
      </c>
      <c r="AX364" s="49" t="str">
        <f>IF(AND('Choix pédagogiques'!$C$4&lt;&gt;"?",'Choix pédagogiques'!$C$5&lt;&gt;"?",AC364&lt;&gt;""),(AC364-'Choix pédagogiques'!$C$4)/('Choix pédagogiques'!$C$5-'Choix pédagogiques'!$C$4),"")</f>
        <v/>
      </c>
      <c r="AY364" s="49" t="str">
        <f>IF(AND('Choix pédagogiques'!$C$4&lt;&gt;"?",'Choix pédagogiques'!$C$5&lt;&gt;"?",AD364&lt;&gt;""),(AD364-'Choix pédagogiques'!$C$4)/('Choix pédagogiques'!$C$5-'Choix pédagogiques'!$C$4),"")</f>
        <v/>
      </c>
      <c r="AZ364" s="22" t="str">
        <f t="shared" si="294"/>
        <v/>
      </c>
      <c r="BA364" s="21" t="str">
        <f t="shared" si="295"/>
        <v>Apprenant 352</v>
      </c>
      <c r="BB364" s="49" t="str">
        <f t="shared" si="267"/>
        <v/>
      </c>
      <c r="BC364" s="49" t="str">
        <f t="shared" si="268"/>
        <v/>
      </c>
      <c r="BD364" s="49" t="str">
        <f t="shared" si="269"/>
        <v/>
      </c>
      <c r="BE364" s="22" t="str">
        <f t="shared" si="296"/>
        <v/>
      </c>
      <c r="BF364" s="21" t="str">
        <f t="shared" si="297"/>
        <v>Apprenant 352 ou 352'</v>
      </c>
      <c r="BG364" s="49" t="str">
        <f t="shared" si="270"/>
        <v/>
      </c>
      <c r="BH364" s="49" t="str">
        <f t="shared" si="271"/>
        <v/>
      </c>
      <c r="BI364" s="49" t="str">
        <f t="shared" si="272"/>
        <v/>
      </c>
      <c r="BJ364" s="22" t="str">
        <f t="shared" si="298"/>
        <v/>
      </c>
      <c r="BL364" s="21"/>
      <c r="BM364" s="21" t="str">
        <f>IF(OR(COUNT(B364:D1363)=0,AND('Choix pédagogiques'!$C$3&lt;&gt;1,'Choix pédagogiques'!$C$3&lt;&gt;2)),"",IF(AND(OR('Choix pédagogiques'!$C$3=1,'Choix pédagogiques'!$C$3=2),$B364&lt;&gt;"",$C364&lt;&gt;"",$D364&lt;&gt;""),1,0))</f>
        <v/>
      </c>
      <c r="BN364" s="21" t="str">
        <f>IF(OR(COUNT(G364:I1363)=0,AND('Choix pédagogiques'!$C$3&lt;&gt;1,'Choix pédagogiques'!$C$3&lt;&gt;2)),"",IF(AND(OR('Choix pédagogiques'!$C$3=1,'Choix pédagogiques'!$C$3=2),AND($G364&lt;&gt;"",$H364&lt;&gt;"",$I364&lt;&gt;"")),1,0))</f>
        <v/>
      </c>
      <c r="BO364" s="21" t="str">
        <f>IF(OR(COUNT(B364:D1363)=0,COUNT(G364:I1363)=0,'Choix pédagogiques'!C$3&lt;&gt;3),"",IF(AND('Choix pédagogiques'!$C$3=3,$B364&lt;&gt;"",$C364&lt;&gt;"",$D364&lt;&gt;"",$G364&lt;&gt;"",$H364&lt;&gt;"",$I364&lt;&gt;""),1,0))</f>
        <v/>
      </c>
      <c r="BR364" s="21">
        <v>563</v>
      </c>
      <c r="BS364" s="21">
        <v>1022</v>
      </c>
      <c r="BT364"/>
    </row>
    <row r="365" spans="1:72" s="23" customFormat="1" ht="18" customHeight="1" x14ac:dyDescent="0.3">
      <c r="A365" s="35" t="s">
        <v>355</v>
      </c>
      <c r="B365" s="37"/>
      <c r="C365" s="37"/>
      <c r="D365" s="37"/>
      <c r="E365" s="37"/>
      <c r="F365" s="35" t="s">
        <v>1363</v>
      </c>
      <c r="G365" s="37"/>
      <c r="H365" s="37"/>
      <c r="I365" s="37"/>
      <c r="J365" s="37"/>
      <c r="K365" s="21" t="str">
        <f t="shared" si="273"/>
        <v>Apprenant 353</v>
      </c>
      <c r="L365" s="22" t="str">
        <f t="shared" si="274"/>
        <v/>
      </c>
      <c r="M365" s="22" t="str">
        <f t="shared" si="275"/>
        <v/>
      </c>
      <c r="N365" s="22" t="str">
        <f t="shared" si="276"/>
        <v/>
      </c>
      <c r="O365" s="22" t="str">
        <f t="shared" si="277"/>
        <v/>
      </c>
      <c r="P365" s="21" t="str">
        <f t="shared" si="278"/>
        <v>Apprenant 353 ou 353'</v>
      </c>
      <c r="Q365" s="22" t="str">
        <f t="shared" si="279"/>
        <v/>
      </c>
      <c r="R365" s="22" t="str">
        <f t="shared" si="280"/>
        <v/>
      </c>
      <c r="S365" s="22" t="str">
        <f t="shared" si="281"/>
        <v/>
      </c>
      <c r="T365" s="22" t="str">
        <f t="shared" si="282"/>
        <v/>
      </c>
      <c r="V365" s="21" t="str">
        <f t="shared" si="283"/>
        <v>Apprenant 353</v>
      </c>
      <c r="W365" s="22" t="str">
        <f>IF(AND(OR('Choix pédagogiques'!$C$3=1,'Choix pédagogiques'!$C$3=2),$BM365=1),B365,IF(AND('Choix pédagogiques'!$C$3=3,$BO365=1),B365,""))</f>
        <v/>
      </c>
      <c r="X365" s="22" t="str">
        <f>IF(AND(OR('Choix pédagogiques'!$C$3=1,'Choix pédagogiques'!$C$3=2),$BM365=1),C365,IF(AND('Choix pédagogiques'!$C$3=3,$BO365=1),C365,""))</f>
        <v/>
      </c>
      <c r="Y365" s="22" t="str">
        <f>IF(AND(OR('Choix pédagogiques'!$C$3=1,'Choix pédagogiques'!$C$3=2),$BM365=1),D365,IF(AND('Choix pédagogiques'!$C$3=3,$BO365=1),D365,""))</f>
        <v/>
      </c>
      <c r="Z365" s="22" t="str">
        <f t="shared" si="284"/>
        <v/>
      </c>
      <c r="AA365" s="21" t="str">
        <f t="shared" si="285"/>
        <v>Apprenant 353 ou 353'</v>
      </c>
      <c r="AB365" s="22" t="str">
        <f>IF(AND(OR('Choix pédagogiques'!$C$3=1,'Choix pédagogiques'!$C$3=2),$BN365=1),G365,IF(AND('Choix pédagogiques'!$C$3=3,$BO365=1),G365,""))</f>
        <v/>
      </c>
      <c r="AC365" s="22" t="str">
        <f>IF(AND(OR('Choix pédagogiques'!$C$3=1,'Choix pédagogiques'!$C$3=2),$BN365=1),H365,IF(AND('Choix pédagogiques'!$C$3=3,$BO365=1),H365,""))</f>
        <v/>
      </c>
      <c r="AD365" s="22" t="str">
        <f>IF(AND(OR('Choix pédagogiques'!$C$3=1,'Choix pédagogiques'!$C$3=2),$BN365=1),I365,IF(AND('Choix pédagogiques'!$C$3=3,$BO365=1),I365,""))</f>
        <v/>
      </c>
      <c r="AE365" s="22" t="str">
        <f t="shared" si="286"/>
        <v/>
      </c>
      <c r="AF365" s="21" t="str">
        <f t="shared" si="287"/>
        <v>Apprenant 353</v>
      </c>
      <c r="AG365" s="22" t="str">
        <f t="shared" si="261"/>
        <v/>
      </c>
      <c r="AH365" s="22" t="str">
        <f t="shared" si="262"/>
        <v/>
      </c>
      <c r="AI365" s="22" t="str">
        <f t="shared" si="263"/>
        <v/>
      </c>
      <c r="AJ365" s="22" t="str">
        <f t="shared" si="288"/>
        <v/>
      </c>
      <c r="AK365" s="21" t="str">
        <f t="shared" si="289"/>
        <v>Apprenant 353 ou 353'</v>
      </c>
      <c r="AL365" s="22" t="str">
        <f t="shared" si="264"/>
        <v/>
      </c>
      <c r="AM365" s="22" t="str">
        <f t="shared" si="265"/>
        <v/>
      </c>
      <c r="AN365" s="22" t="str">
        <f t="shared" si="266"/>
        <v/>
      </c>
      <c r="AO365" s="22" t="str">
        <f t="shared" si="290"/>
        <v/>
      </c>
      <c r="AQ365" s="21" t="str">
        <f t="shared" si="291"/>
        <v>Apprenant 353</v>
      </c>
      <c r="AR365" s="49" t="str">
        <f>IF(AND('Choix pédagogiques'!$C$4&lt;&gt;"?",'Choix pédagogiques'!$C$5&lt;&gt;"?",W365&lt;&gt;""),(W365-'Choix pédagogiques'!$C$4)/('Choix pédagogiques'!$C$5-'Choix pédagogiques'!$C$4),"")</f>
        <v/>
      </c>
      <c r="AS365" s="49" t="str">
        <f>IF(AND('Choix pédagogiques'!$C$4&lt;&gt;"?",'Choix pédagogiques'!$C$5&lt;&gt;"?",X365&lt;&gt;""),(X365-'Choix pédagogiques'!$C$4)/('Choix pédagogiques'!$C$5-'Choix pédagogiques'!$C$4),"")</f>
        <v/>
      </c>
      <c r="AT365" s="49" t="str">
        <f>IF(AND('Choix pédagogiques'!$C$4&lt;&gt;"?",'Choix pédagogiques'!$C$5&lt;&gt;"?",Y365&lt;&gt;""),(Y365-'Choix pédagogiques'!$C$4)/('Choix pédagogiques'!$C$5-'Choix pédagogiques'!$C$4),"")</f>
        <v/>
      </c>
      <c r="AU365" s="22" t="str">
        <f t="shared" si="292"/>
        <v/>
      </c>
      <c r="AV365" s="21" t="str">
        <f t="shared" si="293"/>
        <v>Apprenant 353 ou 353'</v>
      </c>
      <c r="AW365" s="49" t="str">
        <f>IF(AND('Choix pédagogiques'!$C$4&lt;&gt;"?",'Choix pédagogiques'!$C$5&lt;&gt;"?",AB365&lt;&gt;""),(AB365-'Choix pédagogiques'!$C$4)/('Choix pédagogiques'!$C$5-'Choix pédagogiques'!$C$4),"")</f>
        <v/>
      </c>
      <c r="AX365" s="49" t="str">
        <f>IF(AND('Choix pédagogiques'!$C$4&lt;&gt;"?",'Choix pédagogiques'!$C$5&lt;&gt;"?",AC365&lt;&gt;""),(AC365-'Choix pédagogiques'!$C$4)/('Choix pédagogiques'!$C$5-'Choix pédagogiques'!$C$4),"")</f>
        <v/>
      </c>
      <c r="AY365" s="49" t="str">
        <f>IF(AND('Choix pédagogiques'!$C$4&lt;&gt;"?",'Choix pédagogiques'!$C$5&lt;&gt;"?",AD365&lt;&gt;""),(AD365-'Choix pédagogiques'!$C$4)/('Choix pédagogiques'!$C$5-'Choix pédagogiques'!$C$4),"")</f>
        <v/>
      </c>
      <c r="AZ365" s="22" t="str">
        <f t="shared" si="294"/>
        <v/>
      </c>
      <c r="BA365" s="21" t="str">
        <f t="shared" si="295"/>
        <v>Apprenant 353</v>
      </c>
      <c r="BB365" s="49" t="str">
        <f t="shared" si="267"/>
        <v/>
      </c>
      <c r="BC365" s="49" t="str">
        <f t="shared" si="268"/>
        <v/>
      </c>
      <c r="BD365" s="49" t="str">
        <f t="shared" si="269"/>
        <v/>
      </c>
      <c r="BE365" s="22" t="str">
        <f t="shared" si="296"/>
        <v/>
      </c>
      <c r="BF365" s="21" t="str">
        <f t="shared" si="297"/>
        <v>Apprenant 353 ou 353'</v>
      </c>
      <c r="BG365" s="49" t="str">
        <f t="shared" si="270"/>
        <v/>
      </c>
      <c r="BH365" s="49" t="str">
        <f t="shared" si="271"/>
        <v/>
      </c>
      <c r="BI365" s="49" t="str">
        <f t="shared" si="272"/>
        <v/>
      </c>
      <c r="BJ365" s="22" t="str">
        <f t="shared" si="298"/>
        <v/>
      </c>
      <c r="BL365" s="21"/>
      <c r="BM365" s="21" t="str">
        <f>IF(OR(COUNT(B365:D1364)=0,AND('Choix pédagogiques'!$C$3&lt;&gt;1,'Choix pédagogiques'!$C$3&lt;&gt;2)),"",IF(AND(OR('Choix pédagogiques'!$C$3=1,'Choix pédagogiques'!$C$3=2),$B365&lt;&gt;"",$C365&lt;&gt;"",$D365&lt;&gt;""),1,0))</f>
        <v/>
      </c>
      <c r="BN365" s="21" t="str">
        <f>IF(OR(COUNT(G365:I1364)=0,AND('Choix pédagogiques'!$C$3&lt;&gt;1,'Choix pédagogiques'!$C$3&lt;&gt;2)),"",IF(AND(OR('Choix pédagogiques'!$C$3=1,'Choix pédagogiques'!$C$3=2),AND($G365&lt;&gt;"",$H365&lt;&gt;"",$I365&lt;&gt;"")),1,0))</f>
        <v/>
      </c>
      <c r="BO365" s="21" t="str">
        <f>IF(OR(COUNT(B365:D1364)=0,COUNT(G365:I1364)=0,'Choix pédagogiques'!C$3&lt;&gt;3),"",IF(AND('Choix pédagogiques'!$C$3=3,$B365&lt;&gt;"",$C365&lt;&gt;"",$D365&lt;&gt;"",$G365&lt;&gt;"",$H365&lt;&gt;"",$I365&lt;&gt;""),1,0))</f>
        <v/>
      </c>
      <c r="BR365" s="21">
        <v>72</v>
      </c>
      <c r="BS365" s="21">
        <v>1733</v>
      </c>
      <c r="BT365"/>
    </row>
    <row r="366" spans="1:72" s="23" customFormat="1" ht="18" customHeight="1" x14ac:dyDescent="0.3">
      <c r="A366" s="35" t="s">
        <v>356</v>
      </c>
      <c r="B366" s="37"/>
      <c r="C366" s="37"/>
      <c r="D366" s="37"/>
      <c r="E366" s="37"/>
      <c r="F366" s="35" t="s">
        <v>1364</v>
      </c>
      <c r="G366" s="37"/>
      <c r="H366" s="37"/>
      <c r="I366" s="37"/>
      <c r="J366" s="37"/>
      <c r="K366" s="21" t="str">
        <f t="shared" si="273"/>
        <v>Apprenant 354</v>
      </c>
      <c r="L366" s="22" t="str">
        <f t="shared" si="274"/>
        <v/>
      </c>
      <c r="M366" s="22" t="str">
        <f t="shared" si="275"/>
        <v/>
      </c>
      <c r="N366" s="22" t="str">
        <f t="shared" si="276"/>
        <v/>
      </c>
      <c r="O366" s="22" t="str">
        <f t="shared" si="277"/>
        <v/>
      </c>
      <c r="P366" s="21" t="str">
        <f t="shared" si="278"/>
        <v>Apprenant 354 ou 354'</v>
      </c>
      <c r="Q366" s="22" t="str">
        <f t="shared" si="279"/>
        <v/>
      </c>
      <c r="R366" s="22" t="str">
        <f t="shared" si="280"/>
        <v/>
      </c>
      <c r="S366" s="22" t="str">
        <f t="shared" si="281"/>
        <v/>
      </c>
      <c r="T366" s="22" t="str">
        <f t="shared" si="282"/>
        <v/>
      </c>
      <c r="V366" s="21" t="str">
        <f t="shared" si="283"/>
        <v>Apprenant 354</v>
      </c>
      <c r="W366" s="22" t="str">
        <f>IF(AND(OR('Choix pédagogiques'!$C$3=1,'Choix pédagogiques'!$C$3=2),$BM366=1),B366,IF(AND('Choix pédagogiques'!$C$3=3,$BO366=1),B366,""))</f>
        <v/>
      </c>
      <c r="X366" s="22" t="str">
        <f>IF(AND(OR('Choix pédagogiques'!$C$3=1,'Choix pédagogiques'!$C$3=2),$BM366=1),C366,IF(AND('Choix pédagogiques'!$C$3=3,$BO366=1),C366,""))</f>
        <v/>
      </c>
      <c r="Y366" s="22" t="str">
        <f>IF(AND(OR('Choix pédagogiques'!$C$3=1,'Choix pédagogiques'!$C$3=2),$BM366=1),D366,IF(AND('Choix pédagogiques'!$C$3=3,$BO366=1),D366,""))</f>
        <v/>
      </c>
      <c r="Z366" s="22" t="str">
        <f t="shared" si="284"/>
        <v/>
      </c>
      <c r="AA366" s="21" t="str">
        <f t="shared" si="285"/>
        <v>Apprenant 354 ou 354'</v>
      </c>
      <c r="AB366" s="22" t="str">
        <f>IF(AND(OR('Choix pédagogiques'!$C$3=1,'Choix pédagogiques'!$C$3=2),$BN366=1),G366,IF(AND('Choix pédagogiques'!$C$3=3,$BO366=1),G366,""))</f>
        <v/>
      </c>
      <c r="AC366" s="22" t="str">
        <f>IF(AND(OR('Choix pédagogiques'!$C$3=1,'Choix pédagogiques'!$C$3=2),$BN366=1),H366,IF(AND('Choix pédagogiques'!$C$3=3,$BO366=1),H366,""))</f>
        <v/>
      </c>
      <c r="AD366" s="22" t="str">
        <f>IF(AND(OR('Choix pédagogiques'!$C$3=1,'Choix pédagogiques'!$C$3=2),$BN366=1),I366,IF(AND('Choix pédagogiques'!$C$3=3,$BO366=1),I366,""))</f>
        <v/>
      </c>
      <c r="AE366" s="22" t="str">
        <f t="shared" si="286"/>
        <v/>
      </c>
      <c r="AF366" s="21" t="str">
        <f t="shared" si="287"/>
        <v>Apprenant 354</v>
      </c>
      <c r="AG366" s="22" t="str">
        <f t="shared" si="261"/>
        <v/>
      </c>
      <c r="AH366" s="22" t="str">
        <f t="shared" si="262"/>
        <v/>
      </c>
      <c r="AI366" s="22" t="str">
        <f t="shared" si="263"/>
        <v/>
      </c>
      <c r="AJ366" s="22" t="str">
        <f t="shared" si="288"/>
        <v/>
      </c>
      <c r="AK366" s="21" t="str">
        <f t="shared" si="289"/>
        <v>Apprenant 354 ou 354'</v>
      </c>
      <c r="AL366" s="22" t="str">
        <f t="shared" si="264"/>
        <v/>
      </c>
      <c r="AM366" s="22" t="str">
        <f t="shared" si="265"/>
        <v/>
      </c>
      <c r="AN366" s="22" t="str">
        <f t="shared" si="266"/>
        <v/>
      </c>
      <c r="AO366" s="22" t="str">
        <f t="shared" si="290"/>
        <v/>
      </c>
      <c r="AQ366" s="21" t="str">
        <f t="shared" si="291"/>
        <v>Apprenant 354</v>
      </c>
      <c r="AR366" s="49" t="str">
        <f>IF(AND('Choix pédagogiques'!$C$4&lt;&gt;"?",'Choix pédagogiques'!$C$5&lt;&gt;"?",W366&lt;&gt;""),(W366-'Choix pédagogiques'!$C$4)/('Choix pédagogiques'!$C$5-'Choix pédagogiques'!$C$4),"")</f>
        <v/>
      </c>
      <c r="AS366" s="49" t="str">
        <f>IF(AND('Choix pédagogiques'!$C$4&lt;&gt;"?",'Choix pédagogiques'!$C$5&lt;&gt;"?",X366&lt;&gt;""),(X366-'Choix pédagogiques'!$C$4)/('Choix pédagogiques'!$C$5-'Choix pédagogiques'!$C$4),"")</f>
        <v/>
      </c>
      <c r="AT366" s="49" t="str">
        <f>IF(AND('Choix pédagogiques'!$C$4&lt;&gt;"?",'Choix pédagogiques'!$C$5&lt;&gt;"?",Y366&lt;&gt;""),(Y366-'Choix pédagogiques'!$C$4)/('Choix pédagogiques'!$C$5-'Choix pédagogiques'!$C$4),"")</f>
        <v/>
      </c>
      <c r="AU366" s="22" t="str">
        <f t="shared" si="292"/>
        <v/>
      </c>
      <c r="AV366" s="21" t="str">
        <f t="shared" si="293"/>
        <v>Apprenant 354 ou 354'</v>
      </c>
      <c r="AW366" s="49" t="str">
        <f>IF(AND('Choix pédagogiques'!$C$4&lt;&gt;"?",'Choix pédagogiques'!$C$5&lt;&gt;"?",AB366&lt;&gt;""),(AB366-'Choix pédagogiques'!$C$4)/('Choix pédagogiques'!$C$5-'Choix pédagogiques'!$C$4),"")</f>
        <v/>
      </c>
      <c r="AX366" s="49" t="str">
        <f>IF(AND('Choix pédagogiques'!$C$4&lt;&gt;"?",'Choix pédagogiques'!$C$5&lt;&gt;"?",AC366&lt;&gt;""),(AC366-'Choix pédagogiques'!$C$4)/('Choix pédagogiques'!$C$5-'Choix pédagogiques'!$C$4),"")</f>
        <v/>
      </c>
      <c r="AY366" s="49" t="str">
        <f>IF(AND('Choix pédagogiques'!$C$4&lt;&gt;"?",'Choix pédagogiques'!$C$5&lt;&gt;"?",AD366&lt;&gt;""),(AD366-'Choix pédagogiques'!$C$4)/('Choix pédagogiques'!$C$5-'Choix pédagogiques'!$C$4),"")</f>
        <v/>
      </c>
      <c r="AZ366" s="22" t="str">
        <f t="shared" si="294"/>
        <v/>
      </c>
      <c r="BA366" s="21" t="str">
        <f t="shared" si="295"/>
        <v>Apprenant 354</v>
      </c>
      <c r="BB366" s="49" t="str">
        <f t="shared" si="267"/>
        <v/>
      </c>
      <c r="BC366" s="49" t="str">
        <f t="shared" si="268"/>
        <v/>
      </c>
      <c r="BD366" s="49" t="str">
        <f t="shared" si="269"/>
        <v/>
      </c>
      <c r="BE366" s="22" t="str">
        <f t="shared" si="296"/>
        <v/>
      </c>
      <c r="BF366" s="21" t="str">
        <f t="shared" si="297"/>
        <v>Apprenant 354 ou 354'</v>
      </c>
      <c r="BG366" s="49" t="str">
        <f t="shared" si="270"/>
        <v/>
      </c>
      <c r="BH366" s="49" t="str">
        <f t="shared" si="271"/>
        <v/>
      </c>
      <c r="BI366" s="49" t="str">
        <f t="shared" si="272"/>
        <v/>
      </c>
      <c r="BJ366" s="22" t="str">
        <f t="shared" si="298"/>
        <v/>
      </c>
      <c r="BL366" s="21"/>
      <c r="BM366" s="21" t="str">
        <f>IF(OR(COUNT(B366:D1365)=0,AND('Choix pédagogiques'!$C$3&lt;&gt;1,'Choix pédagogiques'!$C$3&lt;&gt;2)),"",IF(AND(OR('Choix pédagogiques'!$C$3=1,'Choix pédagogiques'!$C$3=2),$B366&lt;&gt;"",$C366&lt;&gt;"",$D366&lt;&gt;""),1,0))</f>
        <v/>
      </c>
      <c r="BN366" s="21" t="str">
        <f>IF(OR(COUNT(G366:I1365)=0,AND('Choix pédagogiques'!$C$3&lt;&gt;1,'Choix pédagogiques'!$C$3&lt;&gt;2)),"",IF(AND(OR('Choix pédagogiques'!$C$3=1,'Choix pédagogiques'!$C$3=2),AND($G366&lt;&gt;"",$H366&lt;&gt;"",$I366&lt;&gt;"")),1,0))</f>
        <v/>
      </c>
      <c r="BO366" s="21" t="str">
        <f>IF(OR(COUNT(B366:D1365)=0,COUNT(G366:I1365)=0,'Choix pédagogiques'!C$3&lt;&gt;3),"",IF(AND('Choix pédagogiques'!$C$3=3,$B366&lt;&gt;"",$C366&lt;&gt;"",$D366&lt;&gt;"",$G366&lt;&gt;"",$H366&lt;&gt;"",$I366&lt;&gt;""),1,0))</f>
        <v/>
      </c>
      <c r="BR366" s="21">
        <v>350</v>
      </c>
      <c r="BS366" s="21">
        <v>1568</v>
      </c>
      <c r="BT366"/>
    </row>
    <row r="367" spans="1:72" s="23" customFormat="1" ht="18" customHeight="1" x14ac:dyDescent="0.3">
      <c r="A367" s="35" t="s">
        <v>357</v>
      </c>
      <c r="B367" s="37"/>
      <c r="C367" s="37"/>
      <c r="D367" s="37"/>
      <c r="E367" s="37"/>
      <c r="F367" s="35" t="s">
        <v>1365</v>
      </c>
      <c r="G367" s="37"/>
      <c r="H367" s="37"/>
      <c r="I367" s="37"/>
      <c r="J367" s="37"/>
      <c r="K367" s="21" t="str">
        <f t="shared" si="273"/>
        <v>Apprenant 355</v>
      </c>
      <c r="L367" s="22" t="str">
        <f t="shared" si="274"/>
        <v/>
      </c>
      <c r="M367" s="22" t="str">
        <f t="shared" si="275"/>
        <v/>
      </c>
      <c r="N367" s="22" t="str">
        <f t="shared" si="276"/>
        <v/>
      </c>
      <c r="O367" s="22" t="str">
        <f t="shared" si="277"/>
        <v/>
      </c>
      <c r="P367" s="21" t="str">
        <f t="shared" si="278"/>
        <v>Apprenant 355 ou 355'</v>
      </c>
      <c r="Q367" s="22" t="str">
        <f t="shared" si="279"/>
        <v/>
      </c>
      <c r="R367" s="22" t="str">
        <f t="shared" si="280"/>
        <v/>
      </c>
      <c r="S367" s="22" t="str">
        <f t="shared" si="281"/>
        <v/>
      </c>
      <c r="T367" s="22" t="str">
        <f t="shared" si="282"/>
        <v/>
      </c>
      <c r="V367" s="21" t="str">
        <f t="shared" si="283"/>
        <v>Apprenant 355</v>
      </c>
      <c r="W367" s="22" t="str">
        <f>IF(AND(OR('Choix pédagogiques'!$C$3=1,'Choix pédagogiques'!$C$3=2),$BM367=1),B367,IF(AND('Choix pédagogiques'!$C$3=3,$BO367=1),B367,""))</f>
        <v/>
      </c>
      <c r="X367" s="22" t="str">
        <f>IF(AND(OR('Choix pédagogiques'!$C$3=1,'Choix pédagogiques'!$C$3=2),$BM367=1),C367,IF(AND('Choix pédagogiques'!$C$3=3,$BO367=1),C367,""))</f>
        <v/>
      </c>
      <c r="Y367" s="22" t="str">
        <f>IF(AND(OR('Choix pédagogiques'!$C$3=1,'Choix pédagogiques'!$C$3=2),$BM367=1),D367,IF(AND('Choix pédagogiques'!$C$3=3,$BO367=1),D367,""))</f>
        <v/>
      </c>
      <c r="Z367" s="22" t="str">
        <f t="shared" si="284"/>
        <v/>
      </c>
      <c r="AA367" s="21" t="str">
        <f t="shared" si="285"/>
        <v>Apprenant 355 ou 355'</v>
      </c>
      <c r="AB367" s="22" t="str">
        <f>IF(AND(OR('Choix pédagogiques'!$C$3=1,'Choix pédagogiques'!$C$3=2),$BN367=1),G367,IF(AND('Choix pédagogiques'!$C$3=3,$BO367=1),G367,""))</f>
        <v/>
      </c>
      <c r="AC367" s="22" t="str">
        <f>IF(AND(OR('Choix pédagogiques'!$C$3=1,'Choix pédagogiques'!$C$3=2),$BN367=1),H367,IF(AND('Choix pédagogiques'!$C$3=3,$BO367=1),H367,""))</f>
        <v/>
      </c>
      <c r="AD367" s="22" t="str">
        <f>IF(AND(OR('Choix pédagogiques'!$C$3=1,'Choix pédagogiques'!$C$3=2),$BN367=1),I367,IF(AND('Choix pédagogiques'!$C$3=3,$BO367=1),I367,""))</f>
        <v/>
      </c>
      <c r="AE367" s="22" t="str">
        <f t="shared" si="286"/>
        <v/>
      </c>
      <c r="AF367" s="21" t="str">
        <f t="shared" si="287"/>
        <v>Apprenant 355</v>
      </c>
      <c r="AG367" s="22" t="str">
        <f t="shared" si="261"/>
        <v/>
      </c>
      <c r="AH367" s="22" t="str">
        <f t="shared" si="262"/>
        <v/>
      </c>
      <c r="AI367" s="22" t="str">
        <f t="shared" si="263"/>
        <v/>
      </c>
      <c r="AJ367" s="22" t="str">
        <f t="shared" si="288"/>
        <v/>
      </c>
      <c r="AK367" s="21" t="str">
        <f t="shared" si="289"/>
        <v>Apprenant 355 ou 355'</v>
      </c>
      <c r="AL367" s="22" t="str">
        <f t="shared" si="264"/>
        <v/>
      </c>
      <c r="AM367" s="22" t="str">
        <f t="shared" si="265"/>
        <v/>
      </c>
      <c r="AN367" s="22" t="str">
        <f t="shared" si="266"/>
        <v/>
      </c>
      <c r="AO367" s="22" t="str">
        <f t="shared" si="290"/>
        <v/>
      </c>
      <c r="AQ367" s="21" t="str">
        <f t="shared" si="291"/>
        <v>Apprenant 355</v>
      </c>
      <c r="AR367" s="49" t="str">
        <f>IF(AND('Choix pédagogiques'!$C$4&lt;&gt;"?",'Choix pédagogiques'!$C$5&lt;&gt;"?",W367&lt;&gt;""),(W367-'Choix pédagogiques'!$C$4)/('Choix pédagogiques'!$C$5-'Choix pédagogiques'!$C$4),"")</f>
        <v/>
      </c>
      <c r="AS367" s="49" t="str">
        <f>IF(AND('Choix pédagogiques'!$C$4&lt;&gt;"?",'Choix pédagogiques'!$C$5&lt;&gt;"?",X367&lt;&gt;""),(X367-'Choix pédagogiques'!$C$4)/('Choix pédagogiques'!$C$5-'Choix pédagogiques'!$C$4),"")</f>
        <v/>
      </c>
      <c r="AT367" s="49" t="str">
        <f>IF(AND('Choix pédagogiques'!$C$4&lt;&gt;"?",'Choix pédagogiques'!$C$5&lt;&gt;"?",Y367&lt;&gt;""),(Y367-'Choix pédagogiques'!$C$4)/('Choix pédagogiques'!$C$5-'Choix pédagogiques'!$C$4),"")</f>
        <v/>
      </c>
      <c r="AU367" s="22" t="str">
        <f t="shared" si="292"/>
        <v/>
      </c>
      <c r="AV367" s="21" t="str">
        <f t="shared" si="293"/>
        <v>Apprenant 355 ou 355'</v>
      </c>
      <c r="AW367" s="49" t="str">
        <f>IF(AND('Choix pédagogiques'!$C$4&lt;&gt;"?",'Choix pédagogiques'!$C$5&lt;&gt;"?",AB367&lt;&gt;""),(AB367-'Choix pédagogiques'!$C$4)/('Choix pédagogiques'!$C$5-'Choix pédagogiques'!$C$4),"")</f>
        <v/>
      </c>
      <c r="AX367" s="49" t="str">
        <f>IF(AND('Choix pédagogiques'!$C$4&lt;&gt;"?",'Choix pédagogiques'!$C$5&lt;&gt;"?",AC367&lt;&gt;""),(AC367-'Choix pédagogiques'!$C$4)/('Choix pédagogiques'!$C$5-'Choix pédagogiques'!$C$4),"")</f>
        <v/>
      </c>
      <c r="AY367" s="49" t="str">
        <f>IF(AND('Choix pédagogiques'!$C$4&lt;&gt;"?",'Choix pédagogiques'!$C$5&lt;&gt;"?",AD367&lt;&gt;""),(AD367-'Choix pédagogiques'!$C$4)/('Choix pédagogiques'!$C$5-'Choix pédagogiques'!$C$4),"")</f>
        <v/>
      </c>
      <c r="AZ367" s="22" t="str">
        <f t="shared" si="294"/>
        <v/>
      </c>
      <c r="BA367" s="21" t="str">
        <f t="shared" si="295"/>
        <v>Apprenant 355</v>
      </c>
      <c r="BB367" s="49" t="str">
        <f t="shared" si="267"/>
        <v/>
      </c>
      <c r="BC367" s="49" t="str">
        <f t="shared" si="268"/>
        <v/>
      </c>
      <c r="BD367" s="49" t="str">
        <f t="shared" si="269"/>
        <v/>
      </c>
      <c r="BE367" s="22" t="str">
        <f t="shared" si="296"/>
        <v/>
      </c>
      <c r="BF367" s="21" t="str">
        <f t="shared" si="297"/>
        <v>Apprenant 355 ou 355'</v>
      </c>
      <c r="BG367" s="49" t="str">
        <f t="shared" si="270"/>
        <v/>
      </c>
      <c r="BH367" s="49" t="str">
        <f t="shared" si="271"/>
        <v/>
      </c>
      <c r="BI367" s="49" t="str">
        <f t="shared" si="272"/>
        <v/>
      </c>
      <c r="BJ367" s="22" t="str">
        <f t="shared" si="298"/>
        <v/>
      </c>
      <c r="BL367" s="21"/>
      <c r="BM367" s="21" t="str">
        <f>IF(OR(COUNT(B367:D1366)=0,AND('Choix pédagogiques'!$C$3&lt;&gt;1,'Choix pédagogiques'!$C$3&lt;&gt;2)),"",IF(AND(OR('Choix pédagogiques'!$C$3=1,'Choix pédagogiques'!$C$3=2),$B367&lt;&gt;"",$C367&lt;&gt;"",$D367&lt;&gt;""),1,0))</f>
        <v/>
      </c>
      <c r="BN367" s="21" t="str">
        <f>IF(OR(COUNT(G367:I1366)=0,AND('Choix pédagogiques'!$C$3&lt;&gt;1,'Choix pédagogiques'!$C$3&lt;&gt;2)),"",IF(AND(OR('Choix pédagogiques'!$C$3=1,'Choix pédagogiques'!$C$3=2),AND($G367&lt;&gt;"",$H367&lt;&gt;"",$I367&lt;&gt;"")),1,0))</f>
        <v/>
      </c>
      <c r="BO367" s="21" t="str">
        <f>IF(OR(COUNT(B367:D1366)=0,COUNT(G367:I1366)=0,'Choix pédagogiques'!C$3&lt;&gt;3),"",IF(AND('Choix pédagogiques'!$C$3=3,$B367&lt;&gt;"",$C367&lt;&gt;"",$D367&lt;&gt;"",$G367&lt;&gt;"",$H367&lt;&gt;"",$I367&lt;&gt;""),1,0))</f>
        <v/>
      </c>
      <c r="BR367" s="21">
        <v>512</v>
      </c>
      <c r="BS367" s="21">
        <v>1964</v>
      </c>
      <c r="BT367"/>
    </row>
    <row r="368" spans="1:72" s="23" customFormat="1" ht="18" customHeight="1" x14ac:dyDescent="0.3">
      <c r="A368" s="35" t="s">
        <v>358</v>
      </c>
      <c r="B368" s="37"/>
      <c r="C368" s="37"/>
      <c r="D368" s="37"/>
      <c r="E368" s="37"/>
      <c r="F368" s="35" t="s">
        <v>1366</v>
      </c>
      <c r="G368" s="37"/>
      <c r="H368" s="37"/>
      <c r="I368" s="37"/>
      <c r="J368" s="37"/>
      <c r="K368" s="21" t="str">
        <f t="shared" si="273"/>
        <v>Apprenant 356</v>
      </c>
      <c r="L368" s="22" t="str">
        <f t="shared" si="274"/>
        <v/>
      </c>
      <c r="M368" s="22" t="str">
        <f t="shared" si="275"/>
        <v/>
      </c>
      <c r="N368" s="22" t="str">
        <f t="shared" si="276"/>
        <v/>
      </c>
      <c r="O368" s="22" t="str">
        <f t="shared" si="277"/>
        <v/>
      </c>
      <c r="P368" s="21" t="str">
        <f t="shared" si="278"/>
        <v>Apprenant 356 ou 356'</v>
      </c>
      <c r="Q368" s="22" t="str">
        <f t="shared" si="279"/>
        <v/>
      </c>
      <c r="R368" s="22" t="str">
        <f t="shared" si="280"/>
        <v/>
      </c>
      <c r="S368" s="22" t="str">
        <f t="shared" si="281"/>
        <v/>
      </c>
      <c r="T368" s="22" t="str">
        <f t="shared" si="282"/>
        <v/>
      </c>
      <c r="V368" s="21" t="str">
        <f t="shared" si="283"/>
        <v>Apprenant 356</v>
      </c>
      <c r="W368" s="22" t="str">
        <f>IF(AND(OR('Choix pédagogiques'!$C$3=1,'Choix pédagogiques'!$C$3=2),$BM368=1),B368,IF(AND('Choix pédagogiques'!$C$3=3,$BO368=1),B368,""))</f>
        <v/>
      </c>
      <c r="X368" s="22" t="str">
        <f>IF(AND(OR('Choix pédagogiques'!$C$3=1,'Choix pédagogiques'!$C$3=2),$BM368=1),C368,IF(AND('Choix pédagogiques'!$C$3=3,$BO368=1),C368,""))</f>
        <v/>
      </c>
      <c r="Y368" s="22" t="str">
        <f>IF(AND(OR('Choix pédagogiques'!$C$3=1,'Choix pédagogiques'!$C$3=2),$BM368=1),D368,IF(AND('Choix pédagogiques'!$C$3=3,$BO368=1),D368,""))</f>
        <v/>
      </c>
      <c r="Z368" s="22" t="str">
        <f t="shared" si="284"/>
        <v/>
      </c>
      <c r="AA368" s="21" t="str">
        <f t="shared" si="285"/>
        <v>Apprenant 356 ou 356'</v>
      </c>
      <c r="AB368" s="22" t="str">
        <f>IF(AND(OR('Choix pédagogiques'!$C$3=1,'Choix pédagogiques'!$C$3=2),$BN368=1),G368,IF(AND('Choix pédagogiques'!$C$3=3,$BO368=1),G368,""))</f>
        <v/>
      </c>
      <c r="AC368" s="22" t="str">
        <f>IF(AND(OR('Choix pédagogiques'!$C$3=1,'Choix pédagogiques'!$C$3=2),$BN368=1),H368,IF(AND('Choix pédagogiques'!$C$3=3,$BO368=1),H368,""))</f>
        <v/>
      </c>
      <c r="AD368" s="22" t="str">
        <f>IF(AND(OR('Choix pédagogiques'!$C$3=1,'Choix pédagogiques'!$C$3=2),$BN368=1),I368,IF(AND('Choix pédagogiques'!$C$3=3,$BO368=1),I368,""))</f>
        <v/>
      </c>
      <c r="AE368" s="22" t="str">
        <f t="shared" si="286"/>
        <v/>
      </c>
      <c r="AF368" s="21" t="str">
        <f t="shared" si="287"/>
        <v>Apprenant 356</v>
      </c>
      <c r="AG368" s="22" t="str">
        <f t="shared" si="261"/>
        <v/>
      </c>
      <c r="AH368" s="22" t="str">
        <f t="shared" si="262"/>
        <v/>
      </c>
      <c r="AI368" s="22" t="str">
        <f t="shared" si="263"/>
        <v/>
      </c>
      <c r="AJ368" s="22" t="str">
        <f t="shared" si="288"/>
        <v/>
      </c>
      <c r="AK368" s="21" t="str">
        <f t="shared" si="289"/>
        <v>Apprenant 356 ou 356'</v>
      </c>
      <c r="AL368" s="22" t="str">
        <f t="shared" si="264"/>
        <v/>
      </c>
      <c r="AM368" s="22" t="str">
        <f t="shared" si="265"/>
        <v/>
      </c>
      <c r="AN368" s="22" t="str">
        <f t="shared" si="266"/>
        <v/>
      </c>
      <c r="AO368" s="22" t="str">
        <f t="shared" si="290"/>
        <v/>
      </c>
      <c r="AQ368" s="21" t="str">
        <f t="shared" si="291"/>
        <v>Apprenant 356</v>
      </c>
      <c r="AR368" s="49" t="str">
        <f>IF(AND('Choix pédagogiques'!$C$4&lt;&gt;"?",'Choix pédagogiques'!$C$5&lt;&gt;"?",W368&lt;&gt;""),(W368-'Choix pédagogiques'!$C$4)/('Choix pédagogiques'!$C$5-'Choix pédagogiques'!$C$4),"")</f>
        <v/>
      </c>
      <c r="AS368" s="49" t="str">
        <f>IF(AND('Choix pédagogiques'!$C$4&lt;&gt;"?",'Choix pédagogiques'!$C$5&lt;&gt;"?",X368&lt;&gt;""),(X368-'Choix pédagogiques'!$C$4)/('Choix pédagogiques'!$C$5-'Choix pédagogiques'!$C$4),"")</f>
        <v/>
      </c>
      <c r="AT368" s="49" t="str">
        <f>IF(AND('Choix pédagogiques'!$C$4&lt;&gt;"?",'Choix pédagogiques'!$C$5&lt;&gt;"?",Y368&lt;&gt;""),(Y368-'Choix pédagogiques'!$C$4)/('Choix pédagogiques'!$C$5-'Choix pédagogiques'!$C$4),"")</f>
        <v/>
      </c>
      <c r="AU368" s="22" t="str">
        <f t="shared" si="292"/>
        <v/>
      </c>
      <c r="AV368" s="21" t="str">
        <f t="shared" si="293"/>
        <v>Apprenant 356 ou 356'</v>
      </c>
      <c r="AW368" s="49" t="str">
        <f>IF(AND('Choix pédagogiques'!$C$4&lt;&gt;"?",'Choix pédagogiques'!$C$5&lt;&gt;"?",AB368&lt;&gt;""),(AB368-'Choix pédagogiques'!$C$4)/('Choix pédagogiques'!$C$5-'Choix pédagogiques'!$C$4),"")</f>
        <v/>
      </c>
      <c r="AX368" s="49" t="str">
        <f>IF(AND('Choix pédagogiques'!$C$4&lt;&gt;"?",'Choix pédagogiques'!$C$5&lt;&gt;"?",AC368&lt;&gt;""),(AC368-'Choix pédagogiques'!$C$4)/('Choix pédagogiques'!$C$5-'Choix pédagogiques'!$C$4),"")</f>
        <v/>
      </c>
      <c r="AY368" s="49" t="str">
        <f>IF(AND('Choix pédagogiques'!$C$4&lt;&gt;"?",'Choix pédagogiques'!$C$5&lt;&gt;"?",AD368&lt;&gt;""),(AD368-'Choix pédagogiques'!$C$4)/('Choix pédagogiques'!$C$5-'Choix pédagogiques'!$C$4),"")</f>
        <v/>
      </c>
      <c r="AZ368" s="22" t="str">
        <f t="shared" si="294"/>
        <v/>
      </c>
      <c r="BA368" s="21" t="str">
        <f t="shared" si="295"/>
        <v>Apprenant 356</v>
      </c>
      <c r="BB368" s="49" t="str">
        <f t="shared" si="267"/>
        <v/>
      </c>
      <c r="BC368" s="49" t="str">
        <f t="shared" si="268"/>
        <v/>
      </c>
      <c r="BD368" s="49" t="str">
        <f t="shared" si="269"/>
        <v/>
      </c>
      <c r="BE368" s="22" t="str">
        <f t="shared" si="296"/>
        <v/>
      </c>
      <c r="BF368" s="21" t="str">
        <f t="shared" si="297"/>
        <v>Apprenant 356 ou 356'</v>
      </c>
      <c r="BG368" s="49" t="str">
        <f t="shared" si="270"/>
        <v/>
      </c>
      <c r="BH368" s="49" t="str">
        <f t="shared" si="271"/>
        <v/>
      </c>
      <c r="BI368" s="49" t="str">
        <f t="shared" si="272"/>
        <v/>
      </c>
      <c r="BJ368" s="22" t="str">
        <f t="shared" si="298"/>
        <v/>
      </c>
      <c r="BL368" s="21"/>
      <c r="BM368" s="21" t="str">
        <f>IF(OR(COUNT(B368:D1367)=0,AND('Choix pédagogiques'!$C$3&lt;&gt;1,'Choix pédagogiques'!$C$3&lt;&gt;2)),"",IF(AND(OR('Choix pédagogiques'!$C$3=1,'Choix pédagogiques'!$C$3=2),$B368&lt;&gt;"",$C368&lt;&gt;"",$D368&lt;&gt;""),1,0))</f>
        <v/>
      </c>
      <c r="BN368" s="21" t="str">
        <f>IF(OR(COUNT(G368:I1367)=0,AND('Choix pédagogiques'!$C$3&lt;&gt;1,'Choix pédagogiques'!$C$3&lt;&gt;2)),"",IF(AND(OR('Choix pédagogiques'!$C$3=1,'Choix pédagogiques'!$C$3=2),AND($G368&lt;&gt;"",$H368&lt;&gt;"",$I368&lt;&gt;"")),1,0))</f>
        <v/>
      </c>
      <c r="BO368" s="21" t="str">
        <f>IF(OR(COUNT(B368:D1367)=0,COUNT(G368:I1367)=0,'Choix pédagogiques'!C$3&lt;&gt;3),"",IF(AND('Choix pédagogiques'!$C$3=3,$B368&lt;&gt;"",$C368&lt;&gt;"",$D368&lt;&gt;"",$G368&lt;&gt;"",$H368&lt;&gt;"",$I368&lt;&gt;""),1,0))</f>
        <v/>
      </c>
      <c r="BR368" s="21">
        <v>473</v>
      </c>
      <c r="BS368" s="21">
        <v>1690</v>
      </c>
      <c r="BT368"/>
    </row>
    <row r="369" spans="1:72" s="23" customFormat="1" ht="18" customHeight="1" x14ac:dyDescent="0.3">
      <c r="A369" s="35" t="s">
        <v>359</v>
      </c>
      <c r="B369" s="37"/>
      <c r="C369" s="37"/>
      <c r="D369" s="37"/>
      <c r="E369" s="37"/>
      <c r="F369" s="35" t="s">
        <v>1367</v>
      </c>
      <c r="G369" s="37"/>
      <c r="H369" s="37"/>
      <c r="I369" s="37"/>
      <c r="J369" s="37"/>
      <c r="K369" s="21" t="str">
        <f t="shared" si="273"/>
        <v>Apprenant 357</v>
      </c>
      <c r="L369" s="22" t="str">
        <f t="shared" si="274"/>
        <v/>
      </c>
      <c r="M369" s="22" t="str">
        <f t="shared" si="275"/>
        <v/>
      </c>
      <c r="N369" s="22" t="str">
        <f t="shared" si="276"/>
        <v/>
      </c>
      <c r="O369" s="22" t="str">
        <f t="shared" si="277"/>
        <v/>
      </c>
      <c r="P369" s="21" t="str">
        <f t="shared" si="278"/>
        <v>Apprenant 357 ou 357'</v>
      </c>
      <c r="Q369" s="22" t="str">
        <f t="shared" si="279"/>
        <v/>
      </c>
      <c r="R369" s="22" t="str">
        <f t="shared" si="280"/>
        <v/>
      </c>
      <c r="S369" s="22" t="str">
        <f t="shared" si="281"/>
        <v/>
      </c>
      <c r="T369" s="22" t="str">
        <f t="shared" si="282"/>
        <v/>
      </c>
      <c r="V369" s="21" t="str">
        <f t="shared" si="283"/>
        <v>Apprenant 357</v>
      </c>
      <c r="W369" s="22" t="str">
        <f>IF(AND(OR('Choix pédagogiques'!$C$3=1,'Choix pédagogiques'!$C$3=2),$BM369=1),B369,IF(AND('Choix pédagogiques'!$C$3=3,$BO369=1),B369,""))</f>
        <v/>
      </c>
      <c r="X369" s="22" t="str">
        <f>IF(AND(OR('Choix pédagogiques'!$C$3=1,'Choix pédagogiques'!$C$3=2),$BM369=1),C369,IF(AND('Choix pédagogiques'!$C$3=3,$BO369=1),C369,""))</f>
        <v/>
      </c>
      <c r="Y369" s="22" t="str">
        <f>IF(AND(OR('Choix pédagogiques'!$C$3=1,'Choix pédagogiques'!$C$3=2),$BM369=1),D369,IF(AND('Choix pédagogiques'!$C$3=3,$BO369=1),D369,""))</f>
        <v/>
      </c>
      <c r="Z369" s="22" t="str">
        <f t="shared" si="284"/>
        <v/>
      </c>
      <c r="AA369" s="21" t="str">
        <f t="shared" si="285"/>
        <v>Apprenant 357 ou 357'</v>
      </c>
      <c r="AB369" s="22" t="str">
        <f>IF(AND(OR('Choix pédagogiques'!$C$3=1,'Choix pédagogiques'!$C$3=2),$BN369=1),G369,IF(AND('Choix pédagogiques'!$C$3=3,$BO369=1),G369,""))</f>
        <v/>
      </c>
      <c r="AC369" s="22" t="str">
        <f>IF(AND(OR('Choix pédagogiques'!$C$3=1,'Choix pédagogiques'!$C$3=2),$BN369=1),H369,IF(AND('Choix pédagogiques'!$C$3=3,$BO369=1),H369,""))</f>
        <v/>
      </c>
      <c r="AD369" s="22" t="str">
        <f>IF(AND(OR('Choix pédagogiques'!$C$3=1,'Choix pédagogiques'!$C$3=2),$BN369=1),I369,IF(AND('Choix pédagogiques'!$C$3=3,$BO369=1),I369,""))</f>
        <v/>
      </c>
      <c r="AE369" s="22" t="str">
        <f t="shared" si="286"/>
        <v/>
      </c>
      <c r="AF369" s="21" t="str">
        <f t="shared" si="287"/>
        <v>Apprenant 357</v>
      </c>
      <c r="AG369" s="22" t="str">
        <f t="shared" si="261"/>
        <v/>
      </c>
      <c r="AH369" s="22" t="str">
        <f t="shared" si="262"/>
        <v/>
      </c>
      <c r="AI369" s="22" t="str">
        <f t="shared" si="263"/>
        <v/>
      </c>
      <c r="AJ369" s="22" t="str">
        <f t="shared" si="288"/>
        <v/>
      </c>
      <c r="AK369" s="21" t="str">
        <f t="shared" si="289"/>
        <v>Apprenant 357 ou 357'</v>
      </c>
      <c r="AL369" s="22" t="str">
        <f t="shared" si="264"/>
        <v/>
      </c>
      <c r="AM369" s="22" t="str">
        <f t="shared" si="265"/>
        <v/>
      </c>
      <c r="AN369" s="22" t="str">
        <f t="shared" si="266"/>
        <v/>
      </c>
      <c r="AO369" s="22" t="str">
        <f t="shared" si="290"/>
        <v/>
      </c>
      <c r="AQ369" s="21" t="str">
        <f t="shared" si="291"/>
        <v>Apprenant 357</v>
      </c>
      <c r="AR369" s="49" t="str">
        <f>IF(AND('Choix pédagogiques'!$C$4&lt;&gt;"?",'Choix pédagogiques'!$C$5&lt;&gt;"?",W369&lt;&gt;""),(W369-'Choix pédagogiques'!$C$4)/('Choix pédagogiques'!$C$5-'Choix pédagogiques'!$C$4),"")</f>
        <v/>
      </c>
      <c r="AS369" s="49" t="str">
        <f>IF(AND('Choix pédagogiques'!$C$4&lt;&gt;"?",'Choix pédagogiques'!$C$5&lt;&gt;"?",X369&lt;&gt;""),(X369-'Choix pédagogiques'!$C$4)/('Choix pédagogiques'!$C$5-'Choix pédagogiques'!$C$4),"")</f>
        <v/>
      </c>
      <c r="AT369" s="49" t="str">
        <f>IF(AND('Choix pédagogiques'!$C$4&lt;&gt;"?",'Choix pédagogiques'!$C$5&lt;&gt;"?",Y369&lt;&gt;""),(Y369-'Choix pédagogiques'!$C$4)/('Choix pédagogiques'!$C$5-'Choix pédagogiques'!$C$4),"")</f>
        <v/>
      </c>
      <c r="AU369" s="22" t="str">
        <f t="shared" si="292"/>
        <v/>
      </c>
      <c r="AV369" s="21" t="str">
        <f t="shared" si="293"/>
        <v>Apprenant 357 ou 357'</v>
      </c>
      <c r="AW369" s="49" t="str">
        <f>IF(AND('Choix pédagogiques'!$C$4&lt;&gt;"?",'Choix pédagogiques'!$C$5&lt;&gt;"?",AB369&lt;&gt;""),(AB369-'Choix pédagogiques'!$C$4)/('Choix pédagogiques'!$C$5-'Choix pédagogiques'!$C$4),"")</f>
        <v/>
      </c>
      <c r="AX369" s="49" t="str">
        <f>IF(AND('Choix pédagogiques'!$C$4&lt;&gt;"?",'Choix pédagogiques'!$C$5&lt;&gt;"?",AC369&lt;&gt;""),(AC369-'Choix pédagogiques'!$C$4)/('Choix pédagogiques'!$C$5-'Choix pédagogiques'!$C$4),"")</f>
        <v/>
      </c>
      <c r="AY369" s="49" t="str">
        <f>IF(AND('Choix pédagogiques'!$C$4&lt;&gt;"?",'Choix pédagogiques'!$C$5&lt;&gt;"?",AD369&lt;&gt;""),(AD369-'Choix pédagogiques'!$C$4)/('Choix pédagogiques'!$C$5-'Choix pédagogiques'!$C$4),"")</f>
        <v/>
      </c>
      <c r="AZ369" s="22" t="str">
        <f t="shared" si="294"/>
        <v/>
      </c>
      <c r="BA369" s="21" t="str">
        <f t="shared" si="295"/>
        <v>Apprenant 357</v>
      </c>
      <c r="BB369" s="49" t="str">
        <f t="shared" si="267"/>
        <v/>
      </c>
      <c r="BC369" s="49" t="str">
        <f t="shared" si="268"/>
        <v/>
      </c>
      <c r="BD369" s="49" t="str">
        <f t="shared" si="269"/>
        <v/>
      </c>
      <c r="BE369" s="22" t="str">
        <f t="shared" si="296"/>
        <v/>
      </c>
      <c r="BF369" s="21" t="str">
        <f t="shared" si="297"/>
        <v>Apprenant 357 ou 357'</v>
      </c>
      <c r="BG369" s="49" t="str">
        <f t="shared" si="270"/>
        <v/>
      </c>
      <c r="BH369" s="49" t="str">
        <f t="shared" si="271"/>
        <v/>
      </c>
      <c r="BI369" s="49" t="str">
        <f t="shared" si="272"/>
        <v/>
      </c>
      <c r="BJ369" s="22" t="str">
        <f t="shared" si="298"/>
        <v/>
      </c>
      <c r="BL369" s="21"/>
      <c r="BM369" s="21" t="str">
        <f>IF(OR(COUNT(B369:D1368)=0,AND('Choix pédagogiques'!$C$3&lt;&gt;1,'Choix pédagogiques'!$C$3&lt;&gt;2)),"",IF(AND(OR('Choix pédagogiques'!$C$3=1,'Choix pédagogiques'!$C$3=2),$B369&lt;&gt;"",$C369&lt;&gt;"",$D369&lt;&gt;""),1,0))</f>
        <v/>
      </c>
      <c r="BN369" s="21" t="str">
        <f>IF(OR(COUNT(G369:I1368)=0,AND('Choix pédagogiques'!$C$3&lt;&gt;1,'Choix pédagogiques'!$C$3&lt;&gt;2)),"",IF(AND(OR('Choix pédagogiques'!$C$3=1,'Choix pédagogiques'!$C$3=2),AND($G369&lt;&gt;"",$H369&lt;&gt;"",$I369&lt;&gt;"")),1,0))</f>
        <v/>
      </c>
      <c r="BO369" s="21" t="str">
        <f>IF(OR(COUNT(B369:D1368)=0,COUNT(G369:I1368)=0,'Choix pédagogiques'!C$3&lt;&gt;3),"",IF(AND('Choix pédagogiques'!$C$3=3,$B369&lt;&gt;"",$C369&lt;&gt;"",$D369&lt;&gt;"",$G369&lt;&gt;"",$H369&lt;&gt;"",$I369&lt;&gt;""),1,0))</f>
        <v/>
      </c>
      <c r="BR369" s="21">
        <v>514</v>
      </c>
      <c r="BS369" s="21">
        <v>1824</v>
      </c>
      <c r="BT369"/>
    </row>
    <row r="370" spans="1:72" s="23" customFormat="1" ht="18" customHeight="1" x14ac:dyDescent="0.3">
      <c r="A370" s="35" t="s">
        <v>360</v>
      </c>
      <c r="B370" s="37"/>
      <c r="C370" s="37"/>
      <c r="D370" s="37"/>
      <c r="E370" s="37"/>
      <c r="F370" s="35" t="s">
        <v>1368</v>
      </c>
      <c r="G370" s="37"/>
      <c r="H370" s="37"/>
      <c r="I370" s="37"/>
      <c r="J370" s="37"/>
      <c r="K370" s="21" t="str">
        <f t="shared" si="273"/>
        <v>Apprenant 358</v>
      </c>
      <c r="L370" s="22" t="str">
        <f t="shared" si="274"/>
        <v/>
      </c>
      <c r="M370" s="22" t="str">
        <f t="shared" si="275"/>
        <v/>
      </c>
      <c r="N370" s="22" t="str">
        <f t="shared" si="276"/>
        <v/>
      </c>
      <c r="O370" s="22" t="str">
        <f t="shared" si="277"/>
        <v/>
      </c>
      <c r="P370" s="21" t="str">
        <f t="shared" si="278"/>
        <v>Apprenant 358 ou 358'</v>
      </c>
      <c r="Q370" s="22" t="str">
        <f t="shared" si="279"/>
        <v/>
      </c>
      <c r="R370" s="22" t="str">
        <f t="shared" si="280"/>
        <v/>
      </c>
      <c r="S370" s="22" t="str">
        <f t="shared" si="281"/>
        <v/>
      </c>
      <c r="T370" s="22" t="str">
        <f t="shared" si="282"/>
        <v/>
      </c>
      <c r="V370" s="21" t="str">
        <f t="shared" si="283"/>
        <v>Apprenant 358</v>
      </c>
      <c r="W370" s="22" t="str">
        <f>IF(AND(OR('Choix pédagogiques'!$C$3=1,'Choix pédagogiques'!$C$3=2),$BM370=1),B370,IF(AND('Choix pédagogiques'!$C$3=3,$BO370=1),B370,""))</f>
        <v/>
      </c>
      <c r="X370" s="22" t="str">
        <f>IF(AND(OR('Choix pédagogiques'!$C$3=1,'Choix pédagogiques'!$C$3=2),$BM370=1),C370,IF(AND('Choix pédagogiques'!$C$3=3,$BO370=1),C370,""))</f>
        <v/>
      </c>
      <c r="Y370" s="22" t="str">
        <f>IF(AND(OR('Choix pédagogiques'!$C$3=1,'Choix pédagogiques'!$C$3=2),$BM370=1),D370,IF(AND('Choix pédagogiques'!$C$3=3,$BO370=1),D370,""))</f>
        <v/>
      </c>
      <c r="Z370" s="22" t="str">
        <f t="shared" si="284"/>
        <v/>
      </c>
      <c r="AA370" s="21" t="str">
        <f t="shared" si="285"/>
        <v>Apprenant 358 ou 358'</v>
      </c>
      <c r="AB370" s="22" t="str">
        <f>IF(AND(OR('Choix pédagogiques'!$C$3=1,'Choix pédagogiques'!$C$3=2),$BN370=1),G370,IF(AND('Choix pédagogiques'!$C$3=3,$BO370=1),G370,""))</f>
        <v/>
      </c>
      <c r="AC370" s="22" t="str">
        <f>IF(AND(OR('Choix pédagogiques'!$C$3=1,'Choix pédagogiques'!$C$3=2),$BN370=1),H370,IF(AND('Choix pédagogiques'!$C$3=3,$BO370=1),H370,""))</f>
        <v/>
      </c>
      <c r="AD370" s="22" t="str">
        <f>IF(AND(OR('Choix pédagogiques'!$C$3=1,'Choix pédagogiques'!$C$3=2),$BN370=1),I370,IF(AND('Choix pédagogiques'!$C$3=3,$BO370=1),I370,""))</f>
        <v/>
      </c>
      <c r="AE370" s="22" t="str">
        <f t="shared" si="286"/>
        <v/>
      </c>
      <c r="AF370" s="21" t="str">
        <f t="shared" si="287"/>
        <v>Apprenant 358</v>
      </c>
      <c r="AG370" s="22" t="str">
        <f t="shared" si="261"/>
        <v/>
      </c>
      <c r="AH370" s="22" t="str">
        <f t="shared" si="262"/>
        <v/>
      </c>
      <c r="AI370" s="22" t="str">
        <f t="shared" si="263"/>
        <v/>
      </c>
      <c r="AJ370" s="22" t="str">
        <f t="shared" si="288"/>
        <v/>
      </c>
      <c r="AK370" s="21" t="str">
        <f t="shared" si="289"/>
        <v>Apprenant 358 ou 358'</v>
      </c>
      <c r="AL370" s="22" t="str">
        <f t="shared" si="264"/>
        <v/>
      </c>
      <c r="AM370" s="22" t="str">
        <f t="shared" si="265"/>
        <v/>
      </c>
      <c r="AN370" s="22" t="str">
        <f t="shared" si="266"/>
        <v/>
      </c>
      <c r="AO370" s="22" t="str">
        <f t="shared" si="290"/>
        <v/>
      </c>
      <c r="AQ370" s="21" t="str">
        <f t="shared" si="291"/>
        <v>Apprenant 358</v>
      </c>
      <c r="AR370" s="49" t="str">
        <f>IF(AND('Choix pédagogiques'!$C$4&lt;&gt;"?",'Choix pédagogiques'!$C$5&lt;&gt;"?",W370&lt;&gt;""),(W370-'Choix pédagogiques'!$C$4)/('Choix pédagogiques'!$C$5-'Choix pédagogiques'!$C$4),"")</f>
        <v/>
      </c>
      <c r="AS370" s="49" t="str">
        <f>IF(AND('Choix pédagogiques'!$C$4&lt;&gt;"?",'Choix pédagogiques'!$C$5&lt;&gt;"?",X370&lt;&gt;""),(X370-'Choix pédagogiques'!$C$4)/('Choix pédagogiques'!$C$5-'Choix pédagogiques'!$C$4),"")</f>
        <v/>
      </c>
      <c r="AT370" s="49" t="str">
        <f>IF(AND('Choix pédagogiques'!$C$4&lt;&gt;"?",'Choix pédagogiques'!$C$5&lt;&gt;"?",Y370&lt;&gt;""),(Y370-'Choix pédagogiques'!$C$4)/('Choix pédagogiques'!$C$5-'Choix pédagogiques'!$C$4),"")</f>
        <v/>
      </c>
      <c r="AU370" s="22" t="str">
        <f t="shared" si="292"/>
        <v/>
      </c>
      <c r="AV370" s="21" t="str">
        <f t="shared" si="293"/>
        <v>Apprenant 358 ou 358'</v>
      </c>
      <c r="AW370" s="49" t="str">
        <f>IF(AND('Choix pédagogiques'!$C$4&lt;&gt;"?",'Choix pédagogiques'!$C$5&lt;&gt;"?",AB370&lt;&gt;""),(AB370-'Choix pédagogiques'!$C$4)/('Choix pédagogiques'!$C$5-'Choix pédagogiques'!$C$4),"")</f>
        <v/>
      </c>
      <c r="AX370" s="49" t="str">
        <f>IF(AND('Choix pédagogiques'!$C$4&lt;&gt;"?",'Choix pédagogiques'!$C$5&lt;&gt;"?",AC370&lt;&gt;""),(AC370-'Choix pédagogiques'!$C$4)/('Choix pédagogiques'!$C$5-'Choix pédagogiques'!$C$4),"")</f>
        <v/>
      </c>
      <c r="AY370" s="49" t="str">
        <f>IF(AND('Choix pédagogiques'!$C$4&lt;&gt;"?",'Choix pédagogiques'!$C$5&lt;&gt;"?",AD370&lt;&gt;""),(AD370-'Choix pédagogiques'!$C$4)/('Choix pédagogiques'!$C$5-'Choix pédagogiques'!$C$4),"")</f>
        <v/>
      </c>
      <c r="AZ370" s="22" t="str">
        <f t="shared" si="294"/>
        <v/>
      </c>
      <c r="BA370" s="21" t="str">
        <f t="shared" si="295"/>
        <v>Apprenant 358</v>
      </c>
      <c r="BB370" s="49" t="str">
        <f t="shared" si="267"/>
        <v/>
      </c>
      <c r="BC370" s="49" t="str">
        <f t="shared" si="268"/>
        <v/>
      </c>
      <c r="BD370" s="49" t="str">
        <f t="shared" si="269"/>
        <v/>
      </c>
      <c r="BE370" s="22" t="str">
        <f t="shared" si="296"/>
        <v/>
      </c>
      <c r="BF370" s="21" t="str">
        <f t="shared" si="297"/>
        <v>Apprenant 358 ou 358'</v>
      </c>
      <c r="BG370" s="49" t="str">
        <f t="shared" si="270"/>
        <v/>
      </c>
      <c r="BH370" s="49" t="str">
        <f t="shared" si="271"/>
        <v/>
      </c>
      <c r="BI370" s="49" t="str">
        <f t="shared" si="272"/>
        <v/>
      </c>
      <c r="BJ370" s="22" t="str">
        <f t="shared" si="298"/>
        <v/>
      </c>
      <c r="BL370" s="21"/>
      <c r="BM370" s="21" t="str">
        <f>IF(OR(COUNT(B370:D1369)=0,AND('Choix pédagogiques'!$C$3&lt;&gt;1,'Choix pédagogiques'!$C$3&lt;&gt;2)),"",IF(AND(OR('Choix pédagogiques'!$C$3=1,'Choix pédagogiques'!$C$3=2),$B370&lt;&gt;"",$C370&lt;&gt;"",$D370&lt;&gt;""),1,0))</f>
        <v/>
      </c>
      <c r="BN370" s="21" t="str">
        <f>IF(OR(COUNT(G370:I1369)=0,AND('Choix pédagogiques'!$C$3&lt;&gt;1,'Choix pédagogiques'!$C$3&lt;&gt;2)),"",IF(AND(OR('Choix pédagogiques'!$C$3=1,'Choix pédagogiques'!$C$3=2),AND($G370&lt;&gt;"",$H370&lt;&gt;"",$I370&lt;&gt;"")),1,0))</f>
        <v/>
      </c>
      <c r="BO370" s="21" t="str">
        <f>IF(OR(COUNT(B370:D1369)=0,COUNT(G370:I1369)=0,'Choix pédagogiques'!C$3&lt;&gt;3),"",IF(AND('Choix pédagogiques'!$C$3=3,$B370&lt;&gt;"",$C370&lt;&gt;"",$D370&lt;&gt;"",$G370&lt;&gt;"",$H370&lt;&gt;"",$I370&lt;&gt;""),1,0))</f>
        <v/>
      </c>
      <c r="BR370" s="21">
        <v>282</v>
      </c>
      <c r="BS370" s="21">
        <v>1039</v>
      </c>
      <c r="BT370"/>
    </row>
    <row r="371" spans="1:72" s="23" customFormat="1" ht="18" customHeight="1" x14ac:dyDescent="0.3">
      <c r="A371" s="35" t="s">
        <v>361</v>
      </c>
      <c r="B371" s="37"/>
      <c r="C371" s="37"/>
      <c r="D371" s="37"/>
      <c r="E371" s="37"/>
      <c r="F371" s="35" t="s">
        <v>1369</v>
      </c>
      <c r="G371" s="37"/>
      <c r="H371" s="37"/>
      <c r="I371" s="37"/>
      <c r="J371" s="37"/>
      <c r="K371" s="21" t="str">
        <f t="shared" si="273"/>
        <v>Apprenant 359</v>
      </c>
      <c r="L371" s="22" t="str">
        <f t="shared" si="274"/>
        <v/>
      </c>
      <c r="M371" s="22" t="str">
        <f t="shared" si="275"/>
        <v/>
      </c>
      <c r="N371" s="22" t="str">
        <f t="shared" si="276"/>
        <v/>
      </c>
      <c r="O371" s="22" t="str">
        <f t="shared" si="277"/>
        <v/>
      </c>
      <c r="P371" s="21" t="str">
        <f t="shared" si="278"/>
        <v>Apprenant 359 ou 359'</v>
      </c>
      <c r="Q371" s="22" t="str">
        <f t="shared" si="279"/>
        <v/>
      </c>
      <c r="R371" s="22" t="str">
        <f t="shared" si="280"/>
        <v/>
      </c>
      <c r="S371" s="22" t="str">
        <f t="shared" si="281"/>
        <v/>
      </c>
      <c r="T371" s="22" t="str">
        <f t="shared" si="282"/>
        <v/>
      </c>
      <c r="V371" s="21" t="str">
        <f t="shared" si="283"/>
        <v>Apprenant 359</v>
      </c>
      <c r="W371" s="22" t="str">
        <f>IF(AND(OR('Choix pédagogiques'!$C$3=1,'Choix pédagogiques'!$C$3=2),$BM371=1),B371,IF(AND('Choix pédagogiques'!$C$3=3,$BO371=1),B371,""))</f>
        <v/>
      </c>
      <c r="X371" s="22" t="str">
        <f>IF(AND(OR('Choix pédagogiques'!$C$3=1,'Choix pédagogiques'!$C$3=2),$BM371=1),C371,IF(AND('Choix pédagogiques'!$C$3=3,$BO371=1),C371,""))</f>
        <v/>
      </c>
      <c r="Y371" s="22" t="str">
        <f>IF(AND(OR('Choix pédagogiques'!$C$3=1,'Choix pédagogiques'!$C$3=2),$BM371=1),D371,IF(AND('Choix pédagogiques'!$C$3=3,$BO371=1),D371,""))</f>
        <v/>
      </c>
      <c r="Z371" s="22" t="str">
        <f t="shared" si="284"/>
        <v/>
      </c>
      <c r="AA371" s="21" t="str">
        <f t="shared" si="285"/>
        <v>Apprenant 359 ou 359'</v>
      </c>
      <c r="AB371" s="22" t="str">
        <f>IF(AND(OR('Choix pédagogiques'!$C$3=1,'Choix pédagogiques'!$C$3=2),$BN371=1),G371,IF(AND('Choix pédagogiques'!$C$3=3,$BO371=1),G371,""))</f>
        <v/>
      </c>
      <c r="AC371" s="22" t="str">
        <f>IF(AND(OR('Choix pédagogiques'!$C$3=1,'Choix pédagogiques'!$C$3=2),$BN371=1),H371,IF(AND('Choix pédagogiques'!$C$3=3,$BO371=1),H371,""))</f>
        <v/>
      </c>
      <c r="AD371" s="22" t="str">
        <f>IF(AND(OR('Choix pédagogiques'!$C$3=1,'Choix pédagogiques'!$C$3=2),$BN371=1),I371,IF(AND('Choix pédagogiques'!$C$3=3,$BO371=1),I371,""))</f>
        <v/>
      </c>
      <c r="AE371" s="22" t="str">
        <f t="shared" si="286"/>
        <v/>
      </c>
      <c r="AF371" s="21" t="str">
        <f t="shared" si="287"/>
        <v>Apprenant 359</v>
      </c>
      <c r="AG371" s="22" t="str">
        <f t="shared" si="261"/>
        <v/>
      </c>
      <c r="AH371" s="22" t="str">
        <f t="shared" si="262"/>
        <v/>
      </c>
      <c r="AI371" s="22" t="str">
        <f t="shared" si="263"/>
        <v/>
      </c>
      <c r="AJ371" s="22" t="str">
        <f t="shared" si="288"/>
        <v/>
      </c>
      <c r="AK371" s="21" t="str">
        <f t="shared" si="289"/>
        <v>Apprenant 359 ou 359'</v>
      </c>
      <c r="AL371" s="22" t="str">
        <f t="shared" si="264"/>
        <v/>
      </c>
      <c r="AM371" s="22" t="str">
        <f t="shared" si="265"/>
        <v/>
      </c>
      <c r="AN371" s="22" t="str">
        <f t="shared" si="266"/>
        <v/>
      </c>
      <c r="AO371" s="22" t="str">
        <f t="shared" si="290"/>
        <v/>
      </c>
      <c r="AQ371" s="21" t="str">
        <f t="shared" si="291"/>
        <v>Apprenant 359</v>
      </c>
      <c r="AR371" s="49" t="str">
        <f>IF(AND('Choix pédagogiques'!$C$4&lt;&gt;"?",'Choix pédagogiques'!$C$5&lt;&gt;"?",W371&lt;&gt;""),(W371-'Choix pédagogiques'!$C$4)/('Choix pédagogiques'!$C$5-'Choix pédagogiques'!$C$4),"")</f>
        <v/>
      </c>
      <c r="AS371" s="49" t="str">
        <f>IF(AND('Choix pédagogiques'!$C$4&lt;&gt;"?",'Choix pédagogiques'!$C$5&lt;&gt;"?",X371&lt;&gt;""),(X371-'Choix pédagogiques'!$C$4)/('Choix pédagogiques'!$C$5-'Choix pédagogiques'!$C$4),"")</f>
        <v/>
      </c>
      <c r="AT371" s="49" t="str">
        <f>IF(AND('Choix pédagogiques'!$C$4&lt;&gt;"?",'Choix pédagogiques'!$C$5&lt;&gt;"?",Y371&lt;&gt;""),(Y371-'Choix pédagogiques'!$C$4)/('Choix pédagogiques'!$C$5-'Choix pédagogiques'!$C$4),"")</f>
        <v/>
      </c>
      <c r="AU371" s="22" t="str">
        <f t="shared" si="292"/>
        <v/>
      </c>
      <c r="AV371" s="21" t="str">
        <f t="shared" si="293"/>
        <v>Apprenant 359 ou 359'</v>
      </c>
      <c r="AW371" s="49" t="str">
        <f>IF(AND('Choix pédagogiques'!$C$4&lt;&gt;"?",'Choix pédagogiques'!$C$5&lt;&gt;"?",AB371&lt;&gt;""),(AB371-'Choix pédagogiques'!$C$4)/('Choix pédagogiques'!$C$5-'Choix pédagogiques'!$C$4),"")</f>
        <v/>
      </c>
      <c r="AX371" s="49" t="str">
        <f>IF(AND('Choix pédagogiques'!$C$4&lt;&gt;"?",'Choix pédagogiques'!$C$5&lt;&gt;"?",AC371&lt;&gt;""),(AC371-'Choix pédagogiques'!$C$4)/('Choix pédagogiques'!$C$5-'Choix pédagogiques'!$C$4),"")</f>
        <v/>
      </c>
      <c r="AY371" s="49" t="str">
        <f>IF(AND('Choix pédagogiques'!$C$4&lt;&gt;"?",'Choix pédagogiques'!$C$5&lt;&gt;"?",AD371&lt;&gt;""),(AD371-'Choix pédagogiques'!$C$4)/('Choix pédagogiques'!$C$5-'Choix pédagogiques'!$C$4),"")</f>
        <v/>
      </c>
      <c r="AZ371" s="22" t="str">
        <f t="shared" si="294"/>
        <v/>
      </c>
      <c r="BA371" s="21" t="str">
        <f t="shared" si="295"/>
        <v>Apprenant 359</v>
      </c>
      <c r="BB371" s="49" t="str">
        <f t="shared" si="267"/>
        <v/>
      </c>
      <c r="BC371" s="49" t="str">
        <f t="shared" si="268"/>
        <v/>
      </c>
      <c r="BD371" s="49" t="str">
        <f t="shared" si="269"/>
        <v/>
      </c>
      <c r="BE371" s="22" t="str">
        <f t="shared" si="296"/>
        <v/>
      </c>
      <c r="BF371" s="21" t="str">
        <f t="shared" si="297"/>
        <v>Apprenant 359 ou 359'</v>
      </c>
      <c r="BG371" s="49" t="str">
        <f t="shared" si="270"/>
        <v/>
      </c>
      <c r="BH371" s="49" t="str">
        <f t="shared" si="271"/>
        <v/>
      </c>
      <c r="BI371" s="49" t="str">
        <f t="shared" si="272"/>
        <v/>
      </c>
      <c r="BJ371" s="22" t="str">
        <f t="shared" si="298"/>
        <v/>
      </c>
      <c r="BL371" s="21"/>
      <c r="BM371" s="21" t="str">
        <f>IF(OR(COUNT(B371:D1370)=0,AND('Choix pédagogiques'!$C$3&lt;&gt;1,'Choix pédagogiques'!$C$3&lt;&gt;2)),"",IF(AND(OR('Choix pédagogiques'!$C$3=1,'Choix pédagogiques'!$C$3=2),$B371&lt;&gt;"",$C371&lt;&gt;"",$D371&lt;&gt;""),1,0))</f>
        <v/>
      </c>
      <c r="BN371" s="21" t="str">
        <f>IF(OR(COUNT(G371:I1370)=0,AND('Choix pédagogiques'!$C$3&lt;&gt;1,'Choix pédagogiques'!$C$3&lt;&gt;2)),"",IF(AND(OR('Choix pédagogiques'!$C$3=1,'Choix pédagogiques'!$C$3=2),AND($G371&lt;&gt;"",$H371&lt;&gt;"",$I371&lt;&gt;"")),1,0))</f>
        <v/>
      </c>
      <c r="BO371" s="21" t="str">
        <f>IF(OR(COUNT(B371:D1370)=0,COUNT(G371:I1370)=0,'Choix pédagogiques'!C$3&lt;&gt;3),"",IF(AND('Choix pédagogiques'!$C$3=3,$B371&lt;&gt;"",$C371&lt;&gt;"",$D371&lt;&gt;"",$G371&lt;&gt;"",$H371&lt;&gt;"",$I371&lt;&gt;""),1,0))</f>
        <v/>
      </c>
      <c r="BR371" s="21">
        <v>178</v>
      </c>
      <c r="BS371" s="21">
        <v>1354</v>
      </c>
      <c r="BT371"/>
    </row>
    <row r="372" spans="1:72" s="23" customFormat="1" ht="18" customHeight="1" x14ac:dyDescent="0.3">
      <c r="A372" s="35" t="s">
        <v>362</v>
      </c>
      <c r="B372" s="37"/>
      <c r="C372" s="37"/>
      <c r="D372" s="37"/>
      <c r="E372" s="37"/>
      <c r="F372" s="35" t="s">
        <v>1370</v>
      </c>
      <c r="G372" s="37"/>
      <c r="H372" s="37"/>
      <c r="I372" s="37"/>
      <c r="J372" s="37"/>
      <c r="K372" s="21" t="str">
        <f t="shared" si="273"/>
        <v>Apprenant 360</v>
      </c>
      <c r="L372" s="22" t="str">
        <f t="shared" si="274"/>
        <v/>
      </c>
      <c r="M372" s="22" t="str">
        <f t="shared" si="275"/>
        <v/>
      </c>
      <c r="N372" s="22" t="str">
        <f t="shared" si="276"/>
        <v/>
      </c>
      <c r="O372" s="22" t="str">
        <f t="shared" si="277"/>
        <v/>
      </c>
      <c r="P372" s="21" t="str">
        <f t="shared" si="278"/>
        <v>Apprenant 360 ou 360'</v>
      </c>
      <c r="Q372" s="22" t="str">
        <f t="shared" si="279"/>
        <v/>
      </c>
      <c r="R372" s="22" t="str">
        <f t="shared" si="280"/>
        <v/>
      </c>
      <c r="S372" s="22" t="str">
        <f t="shared" si="281"/>
        <v/>
      </c>
      <c r="T372" s="22" t="str">
        <f t="shared" si="282"/>
        <v/>
      </c>
      <c r="V372" s="21" t="str">
        <f t="shared" si="283"/>
        <v>Apprenant 360</v>
      </c>
      <c r="W372" s="22" t="str">
        <f>IF(AND(OR('Choix pédagogiques'!$C$3=1,'Choix pédagogiques'!$C$3=2),$BM372=1),B372,IF(AND('Choix pédagogiques'!$C$3=3,$BO372=1),B372,""))</f>
        <v/>
      </c>
      <c r="X372" s="22" t="str">
        <f>IF(AND(OR('Choix pédagogiques'!$C$3=1,'Choix pédagogiques'!$C$3=2),$BM372=1),C372,IF(AND('Choix pédagogiques'!$C$3=3,$BO372=1),C372,""))</f>
        <v/>
      </c>
      <c r="Y372" s="22" t="str">
        <f>IF(AND(OR('Choix pédagogiques'!$C$3=1,'Choix pédagogiques'!$C$3=2),$BM372=1),D372,IF(AND('Choix pédagogiques'!$C$3=3,$BO372=1),D372,""))</f>
        <v/>
      </c>
      <c r="Z372" s="22" t="str">
        <f t="shared" si="284"/>
        <v/>
      </c>
      <c r="AA372" s="21" t="str">
        <f t="shared" si="285"/>
        <v>Apprenant 360 ou 360'</v>
      </c>
      <c r="AB372" s="22" t="str">
        <f>IF(AND(OR('Choix pédagogiques'!$C$3=1,'Choix pédagogiques'!$C$3=2),$BN372=1),G372,IF(AND('Choix pédagogiques'!$C$3=3,$BO372=1),G372,""))</f>
        <v/>
      </c>
      <c r="AC372" s="22" t="str">
        <f>IF(AND(OR('Choix pédagogiques'!$C$3=1,'Choix pédagogiques'!$C$3=2),$BN372=1),H372,IF(AND('Choix pédagogiques'!$C$3=3,$BO372=1),H372,""))</f>
        <v/>
      </c>
      <c r="AD372" s="22" t="str">
        <f>IF(AND(OR('Choix pédagogiques'!$C$3=1,'Choix pédagogiques'!$C$3=2),$BN372=1),I372,IF(AND('Choix pédagogiques'!$C$3=3,$BO372=1),I372,""))</f>
        <v/>
      </c>
      <c r="AE372" s="22" t="str">
        <f t="shared" si="286"/>
        <v/>
      </c>
      <c r="AF372" s="21" t="str">
        <f t="shared" si="287"/>
        <v>Apprenant 360</v>
      </c>
      <c r="AG372" s="22" t="str">
        <f t="shared" si="261"/>
        <v/>
      </c>
      <c r="AH372" s="22" t="str">
        <f t="shared" si="262"/>
        <v/>
      </c>
      <c r="AI372" s="22" t="str">
        <f t="shared" si="263"/>
        <v/>
      </c>
      <c r="AJ372" s="22" t="str">
        <f t="shared" si="288"/>
        <v/>
      </c>
      <c r="AK372" s="21" t="str">
        <f t="shared" si="289"/>
        <v>Apprenant 360 ou 360'</v>
      </c>
      <c r="AL372" s="22" t="str">
        <f t="shared" si="264"/>
        <v/>
      </c>
      <c r="AM372" s="22" t="str">
        <f t="shared" si="265"/>
        <v/>
      </c>
      <c r="AN372" s="22" t="str">
        <f t="shared" si="266"/>
        <v/>
      </c>
      <c r="AO372" s="22" t="str">
        <f t="shared" si="290"/>
        <v/>
      </c>
      <c r="AQ372" s="21" t="str">
        <f t="shared" si="291"/>
        <v>Apprenant 360</v>
      </c>
      <c r="AR372" s="49" t="str">
        <f>IF(AND('Choix pédagogiques'!$C$4&lt;&gt;"?",'Choix pédagogiques'!$C$5&lt;&gt;"?",W372&lt;&gt;""),(W372-'Choix pédagogiques'!$C$4)/('Choix pédagogiques'!$C$5-'Choix pédagogiques'!$C$4),"")</f>
        <v/>
      </c>
      <c r="AS372" s="49" t="str">
        <f>IF(AND('Choix pédagogiques'!$C$4&lt;&gt;"?",'Choix pédagogiques'!$C$5&lt;&gt;"?",X372&lt;&gt;""),(X372-'Choix pédagogiques'!$C$4)/('Choix pédagogiques'!$C$5-'Choix pédagogiques'!$C$4),"")</f>
        <v/>
      </c>
      <c r="AT372" s="49" t="str">
        <f>IF(AND('Choix pédagogiques'!$C$4&lt;&gt;"?",'Choix pédagogiques'!$C$5&lt;&gt;"?",Y372&lt;&gt;""),(Y372-'Choix pédagogiques'!$C$4)/('Choix pédagogiques'!$C$5-'Choix pédagogiques'!$C$4),"")</f>
        <v/>
      </c>
      <c r="AU372" s="22" t="str">
        <f t="shared" si="292"/>
        <v/>
      </c>
      <c r="AV372" s="21" t="str">
        <f t="shared" si="293"/>
        <v>Apprenant 360 ou 360'</v>
      </c>
      <c r="AW372" s="49" t="str">
        <f>IF(AND('Choix pédagogiques'!$C$4&lt;&gt;"?",'Choix pédagogiques'!$C$5&lt;&gt;"?",AB372&lt;&gt;""),(AB372-'Choix pédagogiques'!$C$4)/('Choix pédagogiques'!$C$5-'Choix pédagogiques'!$C$4),"")</f>
        <v/>
      </c>
      <c r="AX372" s="49" t="str">
        <f>IF(AND('Choix pédagogiques'!$C$4&lt;&gt;"?",'Choix pédagogiques'!$C$5&lt;&gt;"?",AC372&lt;&gt;""),(AC372-'Choix pédagogiques'!$C$4)/('Choix pédagogiques'!$C$5-'Choix pédagogiques'!$C$4),"")</f>
        <v/>
      </c>
      <c r="AY372" s="49" t="str">
        <f>IF(AND('Choix pédagogiques'!$C$4&lt;&gt;"?",'Choix pédagogiques'!$C$5&lt;&gt;"?",AD372&lt;&gt;""),(AD372-'Choix pédagogiques'!$C$4)/('Choix pédagogiques'!$C$5-'Choix pédagogiques'!$C$4),"")</f>
        <v/>
      </c>
      <c r="AZ372" s="22" t="str">
        <f t="shared" si="294"/>
        <v/>
      </c>
      <c r="BA372" s="21" t="str">
        <f t="shared" si="295"/>
        <v>Apprenant 360</v>
      </c>
      <c r="BB372" s="49" t="str">
        <f t="shared" si="267"/>
        <v/>
      </c>
      <c r="BC372" s="49" t="str">
        <f t="shared" si="268"/>
        <v/>
      </c>
      <c r="BD372" s="49" t="str">
        <f t="shared" si="269"/>
        <v/>
      </c>
      <c r="BE372" s="22" t="str">
        <f t="shared" si="296"/>
        <v/>
      </c>
      <c r="BF372" s="21" t="str">
        <f t="shared" si="297"/>
        <v>Apprenant 360 ou 360'</v>
      </c>
      <c r="BG372" s="49" t="str">
        <f t="shared" si="270"/>
        <v/>
      </c>
      <c r="BH372" s="49" t="str">
        <f t="shared" si="271"/>
        <v/>
      </c>
      <c r="BI372" s="49" t="str">
        <f t="shared" si="272"/>
        <v/>
      </c>
      <c r="BJ372" s="22" t="str">
        <f t="shared" si="298"/>
        <v/>
      </c>
      <c r="BL372" s="21"/>
      <c r="BM372" s="21" t="str">
        <f>IF(OR(COUNT(B372:D1371)=0,AND('Choix pédagogiques'!$C$3&lt;&gt;1,'Choix pédagogiques'!$C$3&lt;&gt;2)),"",IF(AND(OR('Choix pédagogiques'!$C$3=1,'Choix pédagogiques'!$C$3=2),$B372&lt;&gt;"",$C372&lt;&gt;"",$D372&lt;&gt;""),1,0))</f>
        <v/>
      </c>
      <c r="BN372" s="21" t="str">
        <f>IF(OR(COUNT(G372:I1371)=0,AND('Choix pédagogiques'!$C$3&lt;&gt;1,'Choix pédagogiques'!$C$3&lt;&gt;2)),"",IF(AND(OR('Choix pédagogiques'!$C$3=1,'Choix pédagogiques'!$C$3=2),AND($G372&lt;&gt;"",$H372&lt;&gt;"",$I372&lt;&gt;"")),1,0))</f>
        <v/>
      </c>
      <c r="BO372" s="21" t="str">
        <f>IF(OR(COUNT(B372:D1371)=0,COUNT(G372:I1371)=0,'Choix pédagogiques'!C$3&lt;&gt;3),"",IF(AND('Choix pédagogiques'!$C$3=3,$B372&lt;&gt;"",$C372&lt;&gt;"",$D372&lt;&gt;"",$G372&lt;&gt;"",$H372&lt;&gt;"",$I372&lt;&gt;""),1,0))</f>
        <v/>
      </c>
      <c r="BR372" s="21">
        <v>365</v>
      </c>
      <c r="BS372" s="21">
        <v>1268</v>
      </c>
      <c r="BT372"/>
    </row>
    <row r="373" spans="1:72" s="23" customFormat="1" ht="18" customHeight="1" x14ac:dyDescent="0.3">
      <c r="A373" s="35" t="s">
        <v>363</v>
      </c>
      <c r="B373" s="37"/>
      <c r="C373" s="37"/>
      <c r="D373" s="37"/>
      <c r="E373" s="37"/>
      <c r="F373" s="35" t="s">
        <v>1371</v>
      </c>
      <c r="G373" s="37"/>
      <c r="H373" s="37"/>
      <c r="I373" s="37"/>
      <c r="J373" s="37"/>
      <c r="K373" s="21" t="str">
        <f t="shared" si="273"/>
        <v>Apprenant 361</v>
      </c>
      <c r="L373" s="22" t="str">
        <f t="shared" si="274"/>
        <v/>
      </c>
      <c r="M373" s="22" t="str">
        <f t="shared" si="275"/>
        <v/>
      </c>
      <c r="N373" s="22" t="str">
        <f t="shared" si="276"/>
        <v/>
      </c>
      <c r="O373" s="22" t="str">
        <f t="shared" si="277"/>
        <v/>
      </c>
      <c r="P373" s="21" t="str">
        <f t="shared" si="278"/>
        <v>Apprenant 361 ou 361'</v>
      </c>
      <c r="Q373" s="22" t="str">
        <f t="shared" si="279"/>
        <v/>
      </c>
      <c r="R373" s="22" t="str">
        <f t="shared" si="280"/>
        <v/>
      </c>
      <c r="S373" s="22" t="str">
        <f t="shared" si="281"/>
        <v/>
      </c>
      <c r="T373" s="22" t="str">
        <f t="shared" si="282"/>
        <v/>
      </c>
      <c r="V373" s="21" t="str">
        <f t="shared" si="283"/>
        <v>Apprenant 361</v>
      </c>
      <c r="W373" s="22" t="str">
        <f>IF(AND(OR('Choix pédagogiques'!$C$3=1,'Choix pédagogiques'!$C$3=2),$BM373=1),B373,IF(AND('Choix pédagogiques'!$C$3=3,$BO373=1),B373,""))</f>
        <v/>
      </c>
      <c r="X373" s="22" t="str">
        <f>IF(AND(OR('Choix pédagogiques'!$C$3=1,'Choix pédagogiques'!$C$3=2),$BM373=1),C373,IF(AND('Choix pédagogiques'!$C$3=3,$BO373=1),C373,""))</f>
        <v/>
      </c>
      <c r="Y373" s="22" t="str">
        <f>IF(AND(OR('Choix pédagogiques'!$C$3=1,'Choix pédagogiques'!$C$3=2),$BM373=1),D373,IF(AND('Choix pédagogiques'!$C$3=3,$BO373=1),D373,""))</f>
        <v/>
      </c>
      <c r="Z373" s="22" t="str">
        <f t="shared" si="284"/>
        <v/>
      </c>
      <c r="AA373" s="21" t="str">
        <f t="shared" si="285"/>
        <v>Apprenant 361 ou 361'</v>
      </c>
      <c r="AB373" s="22" t="str">
        <f>IF(AND(OR('Choix pédagogiques'!$C$3=1,'Choix pédagogiques'!$C$3=2),$BN373=1),G373,IF(AND('Choix pédagogiques'!$C$3=3,$BO373=1),G373,""))</f>
        <v/>
      </c>
      <c r="AC373" s="22" t="str">
        <f>IF(AND(OR('Choix pédagogiques'!$C$3=1,'Choix pédagogiques'!$C$3=2),$BN373=1),H373,IF(AND('Choix pédagogiques'!$C$3=3,$BO373=1),H373,""))</f>
        <v/>
      </c>
      <c r="AD373" s="22" t="str">
        <f>IF(AND(OR('Choix pédagogiques'!$C$3=1,'Choix pédagogiques'!$C$3=2),$BN373=1),I373,IF(AND('Choix pédagogiques'!$C$3=3,$BO373=1),I373,""))</f>
        <v/>
      </c>
      <c r="AE373" s="22" t="str">
        <f t="shared" si="286"/>
        <v/>
      </c>
      <c r="AF373" s="21" t="str">
        <f t="shared" si="287"/>
        <v>Apprenant 361</v>
      </c>
      <c r="AG373" s="22" t="str">
        <f t="shared" si="261"/>
        <v/>
      </c>
      <c r="AH373" s="22" t="str">
        <f t="shared" si="262"/>
        <v/>
      </c>
      <c r="AI373" s="22" t="str">
        <f t="shared" si="263"/>
        <v/>
      </c>
      <c r="AJ373" s="22" t="str">
        <f t="shared" si="288"/>
        <v/>
      </c>
      <c r="AK373" s="21" t="str">
        <f t="shared" si="289"/>
        <v>Apprenant 361 ou 361'</v>
      </c>
      <c r="AL373" s="22" t="str">
        <f t="shared" si="264"/>
        <v/>
      </c>
      <c r="AM373" s="22" t="str">
        <f t="shared" si="265"/>
        <v/>
      </c>
      <c r="AN373" s="22" t="str">
        <f t="shared" si="266"/>
        <v/>
      </c>
      <c r="AO373" s="22" t="str">
        <f t="shared" si="290"/>
        <v/>
      </c>
      <c r="AQ373" s="21" t="str">
        <f t="shared" si="291"/>
        <v>Apprenant 361</v>
      </c>
      <c r="AR373" s="49" t="str">
        <f>IF(AND('Choix pédagogiques'!$C$4&lt;&gt;"?",'Choix pédagogiques'!$C$5&lt;&gt;"?",W373&lt;&gt;""),(W373-'Choix pédagogiques'!$C$4)/('Choix pédagogiques'!$C$5-'Choix pédagogiques'!$C$4),"")</f>
        <v/>
      </c>
      <c r="AS373" s="49" t="str">
        <f>IF(AND('Choix pédagogiques'!$C$4&lt;&gt;"?",'Choix pédagogiques'!$C$5&lt;&gt;"?",X373&lt;&gt;""),(X373-'Choix pédagogiques'!$C$4)/('Choix pédagogiques'!$C$5-'Choix pédagogiques'!$C$4),"")</f>
        <v/>
      </c>
      <c r="AT373" s="49" t="str">
        <f>IF(AND('Choix pédagogiques'!$C$4&lt;&gt;"?",'Choix pédagogiques'!$C$5&lt;&gt;"?",Y373&lt;&gt;""),(Y373-'Choix pédagogiques'!$C$4)/('Choix pédagogiques'!$C$5-'Choix pédagogiques'!$C$4),"")</f>
        <v/>
      </c>
      <c r="AU373" s="22" t="str">
        <f t="shared" si="292"/>
        <v/>
      </c>
      <c r="AV373" s="21" t="str">
        <f t="shared" si="293"/>
        <v>Apprenant 361 ou 361'</v>
      </c>
      <c r="AW373" s="49" t="str">
        <f>IF(AND('Choix pédagogiques'!$C$4&lt;&gt;"?",'Choix pédagogiques'!$C$5&lt;&gt;"?",AB373&lt;&gt;""),(AB373-'Choix pédagogiques'!$C$4)/('Choix pédagogiques'!$C$5-'Choix pédagogiques'!$C$4),"")</f>
        <v/>
      </c>
      <c r="AX373" s="49" t="str">
        <f>IF(AND('Choix pédagogiques'!$C$4&lt;&gt;"?",'Choix pédagogiques'!$C$5&lt;&gt;"?",AC373&lt;&gt;""),(AC373-'Choix pédagogiques'!$C$4)/('Choix pédagogiques'!$C$5-'Choix pédagogiques'!$C$4),"")</f>
        <v/>
      </c>
      <c r="AY373" s="49" t="str">
        <f>IF(AND('Choix pédagogiques'!$C$4&lt;&gt;"?",'Choix pédagogiques'!$C$5&lt;&gt;"?",AD373&lt;&gt;""),(AD373-'Choix pédagogiques'!$C$4)/('Choix pédagogiques'!$C$5-'Choix pédagogiques'!$C$4),"")</f>
        <v/>
      </c>
      <c r="AZ373" s="22" t="str">
        <f t="shared" si="294"/>
        <v/>
      </c>
      <c r="BA373" s="21" t="str">
        <f t="shared" si="295"/>
        <v>Apprenant 361</v>
      </c>
      <c r="BB373" s="49" t="str">
        <f t="shared" si="267"/>
        <v/>
      </c>
      <c r="BC373" s="49" t="str">
        <f t="shared" si="268"/>
        <v/>
      </c>
      <c r="BD373" s="49" t="str">
        <f t="shared" si="269"/>
        <v/>
      </c>
      <c r="BE373" s="22" t="str">
        <f t="shared" si="296"/>
        <v/>
      </c>
      <c r="BF373" s="21" t="str">
        <f t="shared" si="297"/>
        <v>Apprenant 361 ou 361'</v>
      </c>
      <c r="BG373" s="49" t="str">
        <f t="shared" si="270"/>
        <v/>
      </c>
      <c r="BH373" s="49" t="str">
        <f t="shared" si="271"/>
        <v/>
      </c>
      <c r="BI373" s="49" t="str">
        <f t="shared" si="272"/>
        <v/>
      </c>
      <c r="BJ373" s="22" t="str">
        <f t="shared" si="298"/>
        <v/>
      </c>
      <c r="BL373" s="21"/>
      <c r="BM373" s="21" t="str">
        <f>IF(OR(COUNT(B373:D1372)=0,AND('Choix pédagogiques'!$C$3&lt;&gt;1,'Choix pédagogiques'!$C$3&lt;&gt;2)),"",IF(AND(OR('Choix pédagogiques'!$C$3=1,'Choix pédagogiques'!$C$3=2),$B373&lt;&gt;"",$C373&lt;&gt;"",$D373&lt;&gt;""),1,0))</f>
        <v/>
      </c>
      <c r="BN373" s="21" t="str">
        <f>IF(OR(COUNT(G373:I1372)=0,AND('Choix pédagogiques'!$C$3&lt;&gt;1,'Choix pédagogiques'!$C$3&lt;&gt;2)),"",IF(AND(OR('Choix pédagogiques'!$C$3=1,'Choix pédagogiques'!$C$3=2),AND($G373&lt;&gt;"",$H373&lt;&gt;"",$I373&lt;&gt;"")),1,0))</f>
        <v/>
      </c>
      <c r="BO373" s="21" t="str">
        <f>IF(OR(COUNT(B373:D1372)=0,COUNT(G373:I1372)=0,'Choix pédagogiques'!C$3&lt;&gt;3),"",IF(AND('Choix pédagogiques'!$C$3=3,$B373&lt;&gt;"",$C373&lt;&gt;"",$D373&lt;&gt;"",$G373&lt;&gt;"",$H373&lt;&gt;"",$I373&lt;&gt;""),1,0))</f>
        <v/>
      </c>
      <c r="BR373" s="21">
        <v>574</v>
      </c>
      <c r="BS373" s="21">
        <v>1840</v>
      </c>
      <c r="BT373"/>
    </row>
    <row r="374" spans="1:72" s="23" customFormat="1" ht="18" customHeight="1" x14ac:dyDescent="0.3">
      <c r="A374" s="35" t="s">
        <v>364</v>
      </c>
      <c r="B374" s="37"/>
      <c r="C374" s="37"/>
      <c r="D374" s="37"/>
      <c r="E374" s="37"/>
      <c r="F374" s="35" t="s">
        <v>1372</v>
      </c>
      <c r="G374" s="37"/>
      <c r="H374" s="37"/>
      <c r="I374" s="37"/>
      <c r="J374" s="37"/>
      <c r="K374" s="21" t="str">
        <f t="shared" si="273"/>
        <v>Apprenant 362</v>
      </c>
      <c r="L374" s="22" t="str">
        <f t="shared" si="274"/>
        <v/>
      </c>
      <c r="M374" s="22" t="str">
        <f t="shared" si="275"/>
        <v/>
      </c>
      <c r="N374" s="22" t="str">
        <f t="shared" si="276"/>
        <v/>
      </c>
      <c r="O374" s="22" t="str">
        <f t="shared" si="277"/>
        <v/>
      </c>
      <c r="P374" s="21" t="str">
        <f t="shared" si="278"/>
        <v>Apprenant 362 ou 362'</v>
      </c>
      <c r="Q374" s="22" t="str">
        <f t="shared" si="279"/>
        <v/>
      </c>
      <c r="R374" s="22" t="str">
        <f t="shared" si="280"/>
        <v/>
      </c>
      <c r="S374" s="22" t="str">
        <f t="shared" si="281"/>
        <v/>
      </c>
      <c r="T374" s="22" t="str">
        <f t="shared" si="282"/>
        <v/>
      </c>
      <c r="V374" s="21" t="str">
        <f t="shared" si="283"/>
        <v>Apprenant 362</v>
      </c>
      <c r="W374" s="22" t="str">
        <f>IF(AND(OR('Choix pédagogiques'!$C$3=1,'Choix pédagogiques'!$C$3=2),$BM374=1),B374,IF(AND('Choix pédagogiques'!$C$3=3,$BO374=1),B374,""))</f>
        <v/>
      </c>
      <c r="X374" s="22" t="str">
        <f>IF(AND(OR('Choix pédagogiques'!$C$3=1,'Choix pédagogiques'!$C$3=2),$BM374=1),C374,IF(AND('Choix pédagogiques'!$C$3=3,$BO374=1),C374,""))</f>
        <v/>
      </c>
      <c r="Y374" s="22" t="str">
        <f>IF(AND(OR('Choix pédagogiques'!$C$3=1,'Choix pédagogiques'!$C$3=2),$BM374=1),D374,IF(AND('Choix pédagogiques'!$C$3=3,$BO374=1),D374,""))</f>
        <v/>
      </c>
      <c r="Z374" s="22" t="str">
        <f t="shared" si="284"/>
        <v/>
      </c>
      <c r="AA374" s="21" t="str">
        <f t="shared" si="285"/>
        <v>Apprenant 362 ou 362'</v>
      </c>
      <c r="AB374" s="22" t="str">
        <f>IF(AND(OR('Choix pédagogiques'!$C$3=1,'Choix pédagogiques'!$C$3=2),$BN374=1),G374,IF(AND('Choix pédagogiques'!$C$3=3,$BO374=1),G374,""))</f>
        <v/>
      </c>
      <c r="AC374" s="22" t="str">
        <f>IF(AND(OR('Choix pédagogiques'!$C$3=1,'Choix pédagogiques'!$C$3=2),$BN374=1),H374,IF(AND('Choix pédagogiques'!$C$3=3,$BO374=1),H374,""))</f>
        <v/>
      </c>
      <c r="AD374" s="22" t="str">
        <f>IF(AND(OR('Choix pédagogiques'!$C$3=1,'Choix pédagogiques'!$C$3=2),$BN374=1),I374,IF(AND('Choix pédagogiques'!$C$3=3,$BO374=1),I374,""))</f>
        <v/>
      </c>
      <c r="AE374" s="22" t="str">
        <f t="shared" si="286"/>
        <v/>
      </c>
      <c r="AF374" s="21" t="str">
        <f t="shared" si="287"/>
        <v>Apprenant 362</v>
      </c>
      <c r="AG374" s="22" t="str">
        <f t="shared" si="261"/>
        <v/>
      </c>
      <c r="AH374" s="22" t="str">
        <f t="shared" si="262"/>
        <v/>
      </c>
      <c r="AI374" s="22" t="str">
        <f t="shared" si="263"/>
        <v/>
      </c>
      <c r="AJ374" s="22" t="str">
        <f t="shared" si="288"/>
        <v/>
      </c>
      <c r="AK374" s="21" t="str">
        <f t="shared" si="289"/>
        <v>Apprenant 362 ou 362'</v>
      </c>
      <c r="AL374" s="22" t="str">
        <f t="shared" si="264"/>
        <v/>
      </c>
      <c r="AM374" s="22" t="str">
        <f t="shared" si="265"/>
        <v/>
      </c>
      <c r="AN374" s="22" t="str">
        <f t="shared" si="266"/>
        <v/>
      </c>
      <c r="AO374" s="22" t="str">
        <f t="shared" si="290"/>
        <v/>
      </c>
      <c r="AQ374" s="21" t="str">
        <f t="shared" si="291"/>
        <v>Apprenant 362</v>
      </c>
      <c r="AR374" s="49" t="str">
        <f>IF(AND('Choix pédagogiques'!$C$4&lt;&gt;"?",'Choix pédagogiques'!$C$5&lt;&gt;"?",W374&lt;&gt;""),(W374-'Choix pédagogiques'!$C$4)/('Choix pédagogiques'!$C$5-'Choix pédagogiques'!$C$4),"")</f>
        <v/>
      </c>
      <c r="AS374" s="49" t="str">
        <f>IF(AND('Choix pédagogiques'!$C$4&lt;&gt;"?",'Choix pédagogiques'!$C$5&lt;&gt;"?",X374&lt;&gt;""),(X374-'Choix pédagogiques'!$C$4)/('Choix pédagogiques'!$C$5-'Choix pédagogiques'!$C$4),"")</f>
        <v/>
      </c>
      <c r="AT374" s="49" t="str">
        <f>IF(AND('Choix pédagogiques'!$C$4&lt;&gt;"?",'Choix pédagogiques'!$C$5&lt;&gt;"?",Y374&lt;&gt;""),(Y374-'Choix pédagogiques'!$C$4)/('Choix pédagogiques'!$C$5-'Choix pédagogiques'!$C$4),"")</f>
        <v/>
      </c>
      <c r="AU374" s="22" t="str">
        <f t="shared" si="292"/>
        <v/>
      </c>
      <c r="AV374" s="21" t="str">
        <f t="shared" si="293"/>
        <v>Apprenant 362 ou 362'</v>
      </c>
      <c r="AW374" s="49" t="str">
        <f>IF(AND('Choix pédagogiques'!$C$4&lt;&gt;"?",'Choix pédagogiques'!$C$5&lt;&gt;"?",AB374&lt;&gt;""),(AB374-'Choix pédagogiques'!$C$4)/('Choix pédagogiques'!$C$5-'Choix pédagogiques'!$C$4),"")</f>
        <v/>
      </c>
      <c r="AX374" s="49" t="str">
        <f>IF(AND('Choix pédagogiques'!$C$4&lt;&gt;"?",'Choix pédagogiques'!$C$5&lt;&gt;"?",AC374&lt;&gt;""),(AC374-'Choix pédagogiques'!$C$4)/('Choix pédagogiques'!$C$5-'Choix pédagogiques'!$C$4),"")</f>
        <v/>
      </c>
      <c r="AY374" s="49" t="str">
        <f>IF(AND('Choix pédagogiques'!$C$4&lt;&gt;"?",'Choix pédagogiques'!$C$5&lt;&gt;"?",AD374&lt;&gt;""),(AD374-'Choix pédagogiques'!$C$4)/('Choix pédagogiques'!$C$5-'Choix pédagogiques'!$C$4),"")</f>
        <v/>
      </c>
      <c r="AZ374" s="22" t="str">
        <f t="shared" si="294"/>
        <v/>
      </c>
      <c r="BA374" s="21" t="str">
        <f t="shared" si="295"/>
        <v>Apprenant 362</v>
      </c>
      <c r="BB374" s="49" t="str">
        <f t="shared" si="267"/>
        <v/>
      </c>
      <c r="BC374" s="49" t="str">
        <f t="shared" si="268"/>
        <v/>
      </c>
      <c r="BD374" s="49" t="str">
        <f t="shared" si="269"/>
        <v/>
      </c>
      <c r="BE374" s="22" t="str">
        <f t="shared" si="296"/>
        <v/>
      </c>
      <c r="BF374" s="21" t="str">
        <f t="shared" si="297"/>
        <v>Apprenant 362 ou 362'</v>
      </c>
      <c r="BG374" s="49" t="str">
        <f t="shared" si="270"/>
        <v/>
      </c>
      <c r="BH374" s="49" t="str">
        <f t="shared" si="271"/>
        <v/>
      </c>
      <c r="BI374" s="49" t="str">
        <f t="shared" si="272"/>
        <v/>
      </c>
      <c r="BJ374" s="22" t="str">
        <f t="shared" si="298"/>
        <v/>
      </c>
      <c r="BL374" s="21"/>
      <c r="BM374" s="21" t="str">
        <f>IF(OR(COUNT(B374:D1373)=0,AND('Choix pédagogiques'!$C$3&lt;&gt;1,'Choix pédagogiques'!$C$3&lt;&gt;2)),"",IF(AND(OR('Choix pédagogiques'!$C$3=1,'Choix pédagogiques'!$C$3=2),$B374&lt;&gt;"",$C374&lt;&gt;"",$D374&lt;&gt;""),1,0))</f>
        <v/>
      </c>
      <c r="BN374" s="21" t="str">
        <f>IF(OR(COUNT(G374:I1373)=0,AND('Choix pédagogiques'!$C$3&lt;&gt;1,'Choix pédagogiques'!$C$3&lt;&gt;2)),"",IF(AND(OR('Choix pédagogiques'!$C$3=1,'Choix pédagogiques'!$C$3=2),AND($G374&lt;&gt;"",$H374&lt;&gt;"",$I374&lt;&gt;"")),1,0))</f>
        <v/>
      </c>
      <c r="BO374" s="21" t="str">
        <f>IF(OR(COUNT(B374:D1373)=0,COUNT(G374:I1373)=0,'Choix pédagogiques'!C$3&lt;&gt;3),"",IF(AND('Choix pédagogiques'!$C$3=3,$B374&lt;&gt;"",$C374&lt;&gt;"",$D374&lt;&gt;"",$G374&lt;&gt;"",$H374&lt;&gt;"",$I374&lt;&gt;""),1,0))</f>
        <v/>
      </c>
      <c r="BR374" s="21">
        <v>759</v>
      </c>
      <c r="BS374" s="21">
        <v>1191</v>
      </c>
      <c r="BT374"/>
    </row>
    <row r="375" spans="1:72" s="23" customFormat="1" ht="18" customHeight="1" x14ac:dyDescent="0.3">
      <c r="A375" s="35" t="s">
        <v>365</v>
      </c>
      <c r="B375" s="37"/>
      <c r="C375" s="37"/>
      <c r="D375" s="37"/>
      <c r="E375" s="37"/>
      <c r="F375" s="35" t="s">
        <v>1373</v>
      </c>
      <c r="G375" s="37"/>
      <c r="H375" s="37"/>
      <c r="I375" s="37"/>
      <c r="J375" s="37"/>
      <c r="K375" s="21" t="str">
        <f t="shared" si="273"/>
        <v>Apprenant 363</v>
      </c>
      <c r="L375" s="22" t="str">
        <f t="shared" si="274"/>
        <v/>
      </c>
      <c r="M375" s="22" t="str">
        <f t="shared" si="275"/>
        <v/>
      </c>
      <c r="N375" s="22" t="str">
        <f t="shared" si="276"/>
        <v/>
      </c>
      <c r="O375" s="22" t="str">
        <f t="shared" si="277"/>
        <v/>
      </c>
      <c r="P375" s="21" t="str">
        <f t="shared" si="278"/>
        <v>Apprenant 363 ou 363'</v>
      </c>
      <c r="Q375" s="22" t="str">
        <f t="shared" si="279"/>
        <v/>
      </c>
      <c r="R375" s="22" t="str">
        <f t="shared" si="280"/>
        <v/>
      </c>
      <c r="S375" s="22" t="str">
        <f t="shared" si="281"/>
        <v/>
      </c>
      <c r="T375" s="22" t="str">
        <f t="shared" si="282"/>
        <v/>
      </c>
      <c r="V375" s="21" t="str">
        <f t="shared" si="283"/>
        <v>Apprenant 363</v>
      </c>
      <c r="W375" s="22" t="str">
        <f>IF(AND(OR('Choix pédagogiques'!$C$3=1,'Choix pédagogiques'!$C$3=2),$BM375=1),B375,IF(AND('Choix pédagogiques'!$C$3=3,$BO375=1),B375,""))</f>
        <v/>
      </c>
      <c r="X375" s="22" t="str">
        <f>IF(AND(OR('Choix pédagogiques'!$C$3=1,'Choix pédagogiques'!$C$3=2),$BM375=1),C375,IF(AND('Choix pédagogiques'!$C$3=3,$BO375=1),C375,""))</f>
        <v/>
      </c>
      <c r="Y375" s="22" t="str">
        <f>IF(AND(OR('Choix pédagogiques'!$C$3=1,'Choix pédagogiques'!$C$3=2),$BM375=1),D375,IF(AND('Choix pédagogiques'!$C$3=3,$BO375=1),D375,""))</f>
        <v/>
      </c>
      <c r="Z375" s="22" t="str">
        <f t="shared" si="284"/>
        <v/>
      </c>
      <c r="AA375" s="21" t="str">
        <f t="shared" si="285"/>
        <v>Apprenant 363 ou 363'</v>
      </c>
      <c r="AB375" s="22" t="str">
        <f>IF(AND(OR('Choix pédagogiques'!$C$3=1,'Choix pédagogiques'!$C$3=2),$BN375=1),G375,IF(AND('Choix pédagogiques'!$C$3=3,$BO375=1),G375,""))</f>
        <v/>
      </c>
      <c r="AC375" s="22" t="str">
        <f>IF(AND(OR('Choix pédagogiques'!$C$3=1,'Choix pédagogiques'!$C$3=2),$BN375=1),H375,IF(AND('Choix pédagogiques'!$C$3=3,$BO375=1),H375,""))</f>
        <v/>
      </c>
      <c r="AD375" s="22" t="str">
        <f>IF(AND(OR('Choix pédagogiques'!$C$3=1,'Choix pédagogiques'!$C$3=2),$BN375=1),I375,IF(AND('Choix pédagogiques'!$C$3=3,$BO375=1),I375,""))</f>
        <v/>
      </c>
      <c r="AE375" s="22" t="str">
        <f t="shared" si="286"/>
        <v/>
      </c>
      <c r="AF375" s="21" t="str">
        <f t="shared" si="287"/>
        <v>Apprenant 363</v>
      </c>
      <c r="AG375" s="22" t="str">
        <f t="shared" si="261"/>
        <v/>
      </c>
      <c r="AH375" s="22" t="str">
        <f t="shared" si="262"/>
        <v/>
      </c>
      <c r="AI375" s="22" t="str">
        <f t="shared" si="263"/>
        <v/>
      </c>
      <c r="AJ375" s="22" t="str">
        <f t="shared" si="288"/>
        <v/>
      </c>
      <c r="AK375" s="21" t="str">
        <f t="shared" si="289"/>
        <v>Apprenant 363 ou 363'</v>
      </c>
      <c r="AL375" s="22" t="str">
        <f t="shared" si="264"/>
        <v/>
      </c>
      <c r="AM375" s="22" t="str">
        <f t="shared" si="265"/>
        <v/>
      </c>
      <c r="AN375" s="22" t="str">
        <f t="shared" si="266"/>
        <v/>
      </c>
      <c r="AO375" s="22" t="str">
        <f t="shared" si="290"/>
        <v/>
      </c>
      <c r="AQ375" s="21" t="str">
        <f t="shared" si="291"/>
        <v>Apprenant 363</v>
      </c>
      <c r="AR375" s="49" t="str">
        <f>IF(AND('Choix pédagogiques'!$C$4&lt;&gt;"?",'Choix pédagogiques'!$C$5&lt;&gt;"?",W375&lt;&gt;""),(W375-'Choix pédagogiques'!$C$4)/('Choix pédagogiques'!$C$5-'Choix pédagogiques'!$C$4),"")</f>
        <v/>
      </c>
      <c r="AS375" s="49" t="str">
        <f>IF(AND('Choix pédagogiques'!$C$4&lt;&gt;"?",'Choix pédagogiques'!$C$5&lt;&gt;"?",X375&lt;&gt;""),(X375-'Choix pédagogiques'!$C$4)/('Choix pédagogiques'!$C$5-'Choix pédagogiques'!$C$4),"")</f>
        <v/>
      </c>
      <c r="AT375" s="49" t="str">
        <f>IF(AND('Choix pédagogiques'!$C$4&lt;&gt;"?",'Choix pédagogiques'!$C$5&lt;&gt;"?",Y375&lt;&gt;""),(Y375-'Choix pédagogiques'!$C$4)/('Choix pédagogiques'!$C$5-'Choix pédagogiques'!$C$4),"")</f>
        <v/>
      </c>
      <c r="AU375" s="22" t="str">
        <f t="shared" si="292"/>
        <v/>
      </c>
      <c r="AV375" s="21" t="str">
        <f t="shared" si="293"/>
        <v>Apprenant 363 ou 363'</v>
      </c>
      <c r="AW375" s="49" t="str">
        <f>IF(AND('Choix pédagogiques'!$C$4&lt;&gt;"?",'Choix pédagogiques'!$C$5&lt;&gt;"?",AB375&lt;&gt;""),(AB375-'Choix pédagogiques'!$C$4)/('Choix pédagogiques'!$C$5-'Choix pédagogiques'!$C$4),"")</f>
        <v/>
      </c>
      <c r="AX375" s="49" t="str">
        <f>IF(AND('Choix pédagogiques'!$C$4&lt;&gt;"?",'Choix pédagogiques'!$C$5&lt;&gt;"?",AC375&lt;&gt;""),(AC375-'Choix pédagogiques'!$C$4)/('Choix pédagogiques'!$C$5-'Choix pédagogiques'!$C$4),"")</f>
        <v/>
      </c>
      <c r="AY375" s="49" t="str">
        <f>IF(AND('Choix pédagogiques'!$C$4&lt;&gt;"?",'Choix pédagogiques'!$C$5&lt;&gt;"?",AD375&lt;&gt;""),(AD375-'Choix pédagogiques'!$C$4)/('Choix pédagogiques'!$C$5-'Choix pédagogiques'!$C$4),"")</f>
        <v/>
      </c>
      <c r="AZ375" s="22" t="str">
        <f t="shared" si="294"/>
        <v/>
      </c>
      <c r="BA375" s="21" t="str">
        <f t="shared" si="295"/>
        <v>Apprenant 363</v>
      </c>
      <c r="BB375" s="49" t="str">
        <f t="shared" si="267"/>
        <v/>
      </c>
      <c r="BC375" s="49" t="str">
        <f t="shared" si="268"/>
        <v/>
      </c>
      <c r="BD375" s="49" t="str">
        <f t="shared" si="269"/>
        <v/>
      </c>
      <c r="BE375" s="22" t="str">
        <f t="shared" si="296"/>
        <v/>
      </c>
      <c r="BF375" s="21" t="str">
        <f t="shared" si="297"/>
        <v>Apprenant 363 ou 363'</v>
      </c>
      <c r="BG375" s="49" t="str">
        <f t="shared" si="270"/>
        <v/>
      </c>
      <c r="BH375" s="49" t="str">
        <f t="shared" si="271"/>
        <v/>
      </c>
      <c r="BI375" s="49" t="str">
        <f t="shared" si="272"/>
        <v/>
      </c>
      <c r="BJ375" s="22" t="str">
        <f t="shared" si="298"/>
        <v/>
      </c>
      <c r="BL375" s="21"/>
      <c r="BM375" s="21" t="str">
        <f>IF(OR(COUNT(B375:D1374)=0,AND('Choix pédagogiques'!$C$3&lt;&gt;1,'Choix pédagogiques'!$C$3&lt;&gt;2)),"",IF(AND(OR('Choix pédagogiques'!$C$3=1,'Choix pédagogiques'!$C$3=2),$B375&lt;&gt;"",$C375&lt;&gt;"",$D375&lt;&gt;""),1,0))</f>
        <v/>
      </c>
      <c r="BN375" s="21" t="str">
        <f>IF(OR(COUNT(G375:I1374)=0,AND('Choix pédagogiques'!$C$3&lt;&gt;1,'Choix pédagogiques'!$C$3&lt;&gt;2)),"",IF(AND(OR('Choix pédagogiques'!$C$3=1,'Choix pédagogiques'!$C$3=2),AND($G375&lt;&gt;"",$H375&lt;&gt;"",$I375&lt;&gt;"")),1,0))</f>
        <v/>
      </c>
      <c r="BO375" s="21" t="str">
        <f>IF(OR(COUNT(B375:D1374)=0,COUNT(G375:I1374)=0,'Choix pédagogiques'!C$3&lt;&gt;3),"",IF(AND('Choix pédagogiques'!$C$3=3,$B375&lt;&gt;"",$C375&lt;&gt;"",$D375&lt;&gt;"",$G375&lt;&gt;"",$H375&lt;&gt;"",$I375&lt;&gt;""),1,0))</f>
        <v/>
      </c>
      <c r="BR375" s="21">
        <v>42</v>
      </c>
      <c r="BS375" s="21">
        <v>1250</v>
      </c>
      <c r="BT375"/>
    </row>
    <row r="376" spans="1:72" s="23" customFormat="1" ht="18" customHeight="1" x14ac:dyDescent="0.3">
      <c r="A376" s="35" t="s">
        <v>366</v>
      </c>
      <c r="B376" s="37"/>
      <c r="C376" s="37"/>
      <c r="D376" s="37"/>
      <c r="E376" s="37"/>
      <c r="F376" s="35" t="s">
        <v>1374</v>
      </c>
      <c r="G376" s="37"/>
      <c r="H376" s="37"/>
      <c r="I376" s="37"/>
      <c r="J376" s="37"/>
      <c r="K376" s="21" t="str">
        <f t="shared" si="273"/>
        <v>Apprenant 364</v>
      </c>
      <c r="L376" s="22" t="str">
        <f t="shared" si="274"/>
        <v/>
      </c>
      <c r="M376" s="22" t="str">
        <f t="shared" si="275"/>
        <v/>
      </c>
      <c r="N376" s="22" t="str">
        <f t="shared" si="276"/>
        <v/>
      </c>
      <c r="O376" s="22" t="str">
        <f t="shared" si="277"/>
        <v/>
      </c>
      <c r="P376" s="21" t="str">
        <f t="shared" si="278"/>
        <v>Apprenant 364 ou 364'</v>
      </c>
      <c r="Q376" s="22" t="str">
        <f t="shared" si="279"/>
        <v/>
      </c>
      <c r="R376" s="22" t="str">
        <f t="shared" si="280"/>
        <v/>
      </c>
      <c r="S376" s="22" t="str">
        <f t="shared" si="281"/>
        <v/>
      </c>
      <c r="T376" s="22" t="str">
        <f t="shared" si="282"/>
        <v/>
      </c>
      <c r="V376" s="21" t="str">
        <f t="shared" si="283"/>
        <v>Apprenant 364</v>
      </c>
      <c r="W376" s="22" t="str">
        <f>IF(AND(OR('Choix pédagogiques'!$C$3=1,'Choix pédagogiques'!$C$3=2),$BM376=1),B376,IF(AND('Choix pédagogiques'!$C$3=3,$BO376=1),B376,""))</f>
        <v/>
      </c>
      <c r="X376" s="22" t="str">
        <f>IF(AND(OR('Choix pédagogiques'!$C$3=1,'Choix pédagogiques'!$C$3=2),$BM376=1),C376,IF(AND('Choix pédagogiques'!$C$3=3,$BO376=1),C376,""))</f>
        <v/>
      </c>
      <c r="Y376" s="22" t="str">
        <f>IF(AND(OR('Choix pédagogiques'!$C$3=1,'Choix pédagogiques'!$C$3=2),$BM376=1),D376,IF(AND('Choix pédagogiques'!$C$3=3,$BO376=1),D376,""))</f>
        <v/>
      </c>
      <c r="Z376" s="22" t="str">
        <f t="shared" si="284"/>
        <v/>
      </c>
      <c r="AA376" s="21" t="str">
        <f t="shared" si="285"/>
        <v>Apprenant 364 ou 364'</v>
      </c>
      <c r="AB376" s="22" t="str">
        <f>IF(AND(OR('Choix pédagogiques'!$C$3=1,'Choix pédagogiques'!$C$3=2),$BN376=1),G376,IF(AND('Choix pédagogiques'!$C$3=3,$BO376=1),G376,""))</f>
        <v/>
      </c>
      <c r="AC376" s="22" t="str">
        <f>IF(AND(OR('Choix pédagogiques'!$C$3=1,'Choix pédagogiques'!$C$3=2),$BN376=1),H376,IF(AND('Choix pédagogiques'!$C$3=3,$BO376=1),H376,""))</f>
        <v/>
      </c>
      <c r="AD376" s="22" t="str">
        <f>IF(AND(OR('Choix pédagogiques'!$C$3=1,'Choix pédagogiques'!$C$3=2),$BN376=1),I376,IF(AND('Choix pédagogiques'!$C$3=3,$BO376=1),I376,""))</f>
        <v/>
      </c>
      <c r="AE376" s="22" t="str">
        <f t="shared" si="286"/>
        <v/>
      </c>
      <c r="AF376" s="21" t="str">
        <f t="shared" si="287"/>
        <v>Apprenant 364</v>
      </c>
      <c r="AG376" s="22" t="str">
        <f t="shared" si="261"/>
        <v/>
      </c>
      <c r="AH376" s="22" t="str">
        <f t="shared" si="262"/>
        <v/>
      </c>
      <c r="AI376" s="22" t="str">
        <f t="shared" si="263"/>
        <v/>
      </c>
      <c r="AJ376" s="22" t="str">
        <f t="shared" si="288"/>
        <v/>
      </c>
      <c r="AK376" s="21" t="str">
        <f t="shared" si="289"/>
        <v>Apprenant 364 ou 364'</v>
      </c>
      <c r="AL376" s="22" t="str">
        <f t="shared" si="264"/>
        <v/>
      </c>
      <c r="AM376" s="22" t="str">
        <f t="shared" si="265"/>
        <v/>
      </c>
      <c r="AN376" s="22" t="str">
        <f t="shared" si="266"/>
        <v/>
      </c>
      <c r="AO376" s="22" t="str">
        <f t="shared" si="290"/>
        <v/>
      </c>
      <c r="AQ376" s="21" t="str">
        <f t="shared" si="291"/>
        <v>Apprenant 364</v>
      </c>
      <c r="AR376" s="49" t="str">
        <f>IF(AND('Choix pédagogiques'!$C$4&lt;&gt;"?",'Choix pédagogiques'!$C$5&lt;&gt;"?",W376&lt;&gt;""),(W376-'Choix pédagogiques'!$C$4)/('Choix pédagogiques'!$C$5-'Choix pédagogiques'!$C$4),"")</f>
        <v/>
      </c>
      <c r="AS376" s="49" t="str">
        <f>IF(AND('Choix pédagogiques'!$C$4&lt;&gt;"?",'Choix pédagogiques'!$C$5&lt;&gt;"?",X376&lt;&gt;""),(X376-'Choix pédagogiques'!$C$4)/('Choix pédagogiques'!$C$5-'Choix pédagogiques'!$C$4),"")</f>
        <v/>
      </c>
      <c r="AT376" s="49" t="str">
        <f>IF(AND('Choix pédagogiques'!$C$4&lt;&gt;"?",'Choix pédagogiques'!$C$5&lt;&gt;"?",Y376&lt;&gt;""),(Y376-'Choix pédagogiques'!$C$4)/('Choix pédagogiques'!$C$5-'Choix pédagogiques'!$C$4),"")</f>
        <v/>
      </c>
      <c r="AU376" s="22" t="str">
        <f t="shared" si="292"/>
        <v/>
      </c>
      <c r="AV376" s="21" t="str">
        <f t="shared" si="293"/>
        <v>Apprenant 364 ou 364'</v>
      </c>
      <c r="AW376" s="49" t="str">
        <f>IF(AND('Choix pédagogiques'!$C$4&lt;&gt;"?",'Choix pédagogiques'!$C$5&lt;&gt;"?",AB376&lt;&gt;""),(AB376-'Choix pédagogiques'!$C$4)/('Choix pédagogiques'!$C$5-'Choix pédagogiques'!$C$4),"")</f>
        <v/>
      </c>
      <c r="AX376" s="49" t="str">
        <f>IF(AND('Choix pédagogiques'!$C$4&lt;&gt;"?",'Choix pédagogiques'!$C$5&lt;&gt;"?",AC376&lt;&gt;""),(AC376-'Choix pédagogiques'!$C$4)/('Choix pédagogiques'!$C$5-'Choix pédagogiques'!$C$4),"")</f>
        <v/>
      </c>
      <c r="AY376" s="49" t="str">
        <f>IF(AND('Choix pédagogiques'!$C$4&lt;&gt;"?",'Choix pédagogiques'!$C$5&lt;&gt;"?",AD376&lt;&gt;""),(AD376-'Choix pédagogiques'!$C$4)/('Choix pédagogiques'!$C$5-'Choix pédagogiques'!$C$4),"")</f>
        <v/>
      </c>
      <c r="AZ376" s="22" t="str">
        <f t="shared" si="294"/>
        <v/>
      </c>
      <c r="BA376" s="21" t="str">
        <f t="shared" si="295"/>
        <v>Apprenant 364</v>
      </c>
      <c r="BB376" s="49" t="str">
        <f t="shared" si="267"/>
        <v/>
      </c>
      <c r="BC376" s="49" t="str">
        <f t="shared" si="268"/>
        <v/>
      </c>
      <c r="BD376" s="49" t="str">
        <f t="shared" si="269"/>
        <v/>
      </c>
      <c r="BE376" s="22" t="str">
        <f t="shared" si="296"/>
        <v/>
      </c>
      <c r="BF376" s="21" t="str">
        <f t="shared" si="297"/>
        <v>Apprenant 364 ou 364'</v>
      </c>
      <c r="BG376" s="49" t="str">
        <f t="shared" si="270"/>
        <v/>
      </c>
      <c r="BH376" s="49" t="str">
        <f t="shared" si="271"/>
        <v/>
      </c>
      <c r="BI376" s="49" t="str">
        <f t="shared" si="272"/>
        <v/>
      </c>
      <c r="BJ376" s="22" t="str">
        <f t="shared" si="298"/>
        <v/>
      </c>
      <c r="BL376" s="21"/>
      <c r="BM376" s="21" t="str">
        <f>IF(OR(COUNT(B376:D1375)=0,AND('Choix pédagogiques'!$C$3&lt;&gt;1,'Choix pédagogiques'!$C$3&lt;&gt;2)),"",IF(AND(OR('Choix pédagogiques'!$C$3=1,'Choix pédagogiques'!$C$3=2),$B376&lt;&gt;"",$C376&lt;&gt;"",$D376&lt;&gt;""),1,0))</f>
        <v/>
      </c>
      <c r="BN376" s="21" t="str">
        <f>IF(OR(COUNT(G376:I1375)=0,AND('Choix pédagogiques'!$C$3&lt;&gt;1,'Choix pédagogiques'!$C$3&lt;&gt;2)),"",IF(AND(OR('Choix pédagogiques'!$C$3=1,'Choix pédagogiques'!$C$3=2),AND($G376&lt;&gt;"",$H376&lt;&gt;"",$I376&lt;&gt;"")),1,0))</f>
        <v/>
      </c>
      <c r="BO376" s="21" t="str">
        <f>IF(OR(COUNT(B376:D1375)=0,COUNT(G376:I1375)=0,'Choix pédagogiques'!C$3&lt;&gt;3),"",IF(AND('Choix pédagogiques'!$C$3=3,$B376&lt;&gt;"",$C376&lt;&gt;"",$D376&lt;&gt;"",$G376&lt;&gt;"",$H376&lt;&gt;"",$I376&lt;&gt;""),1,0))</f>
        <v/>
      </c>
      <c r="BR376" s="21">
        <v>55</v>
      </c>
      <c r="BS376" s="21">
        <v>1734</v>
      </c>
      <c r="BT376"/>
    </row>
    <row r="377" spans="1:72" s="23" customFormat="1" ht="18" customHeight="1" x14ac:dyDescent="0.3">
      <c r="A377" s="35" t="s">
        <v>367</v>
      </c>
      <c r="B377" s="37"/>
      <c r="C377" s="37"/>
      <c r="D377" s="37"/>
      <c r="E377" s="37"/>
      <c r="F377" s="35" t="s">
        <v>1375</v>
      </c>
      <c r="G377" s="37"/>
      <c r="H377" s="37"/>
      <c r="I377" s="37"/>
      <c r="J377" s="37"/>
      <c r="K377" s="21" t="str">
        <f t="shared" si="273"/>
        <v>Apprenant 365</v>
      </c>
      <c r="L377" s="22" t="str">
        <f t="shared" si="274"/>
        <v/>
      </c>
      <c r="M377" s="22" t="str">
        <f t="shared" si="275"/>
        <v/>
      </c>
      <c r="N377" s="22" t="str">
        <f t="shared" si="276"/>
        <v/>
      </c>
      <c r="O377" s="22" t="str">
        <f t="shared" si="277"/>
        <v/>
      </c>
      <c r="P377" s="21" t="str">
        <f t="shared" si="278"/>
        <v>Apprenant 365 ou 365'</v>
      </c>
      <c r="Q377" s="22" t="str">
        <f t="shared" si="279"/>
        <v/>
      </c>
      <c r="R377" s="22" t="str">
        <f t="shared" si="280"/>
        <v/>
      </c>
      <c r="S377" s="22" t="str">
        <f t="shared" si="281"/>
        <v/>
      </c>
      <c r="T377" s="22" t="str">
        <f t="shared" si="282"/>
        <v/>
      </c>
      <c r="V377" s="21" t="str">
        <f t="shared" si="283"/>
        <v>Apprenant 365</v>
      </c>
      <c r="W377" s="22" t="str">
        <f>IF(AND(OR('Choix pédagogiques'!$C$3=1,'Choix pédagogiques'!$C$3=2),$BM377=1),B377,IF(AND('Choix pédagogiques'!$C$3=3,$BO377=1),B377,""))</f>
        <v/>
      </c>
      <c r="X377" s="22" t="str">
        <f>IF(AND(OR('Choix pédagogiques'!$C$3=1,'Choix pédagogiques'!$C$3=2),$BM377=1),C377,IF(AND('Choix pédagogiques'!$C$3=3,$BO377=1),C377,""))</f>
        <v/>
      </c>
      <c r="Y377" s="22" t="str">
        <f>IF(AND(OR('Choix pédagogiques'!$C$3=1,'Choix pédagogiques'!$C$3=2),$BM377=1),D377,IF(AND('Choix pédagogiques'!$C$3=3,$BO377=1),D377,""))</f>
        <v/>
      </c>
      <c r="Z377" s="22" t="str">
        <f t="shared" si="284"/>
        <v/>
      </c>
      <c r="AA377" s="21" t="str">
        <f t="shared" si="285"/>
        <v>Apprenant 365 ou 365'</v>
      </c>
      <c r="AB377" s="22" t="str">
        <f>IF(AND(OR('Choix pédagogiques'!$C$3=1,'Choix pédagogiques'!$C$3=2),$BN377=1),G377,IF(AND('Choix pédagogiques'!$C$3=3,$BO377=1),G377,""))</f>
        <v/>
      </c>
      <c r="AC377" s="22" t="str">
        <f>IF(AND(OR('Choix pédagogiques'!$C$3=1,'Choix pédagogiques'!$C$3=2),$BN377=1),H377,IF(AND('Choix pédagogiques'!$C$3=3,$BO377=1),H377,""))</f>
        <v/>
      </c>
      <c r="AD377" s="22" t="str">
        <f>IF(AND(OR('Choix pédagogiques'!$C$3=1,'Choix pédagogiques'!$C$3=2),$BN377=1),I377,IF(AND('Choix pédagogiques'!$C$3=3,$BO377=1),I377,""))</f>
        <v/>
      </c>
      <c r="AE377" s="22" t="str">
        <f t="shared" si="286"/>
        <v/>
      </c>
      <c r="AF377" s="21" t="str">
        <f t="shared" si="287"/>
        <v>Apprenant 365</v>
      </c>
      <c r="AG377" s="22" t="str">
        <f t="shared" si="261"/>
        <v/>
      </c>
      <c r="AH377" s="22" t="str">
        <f t="shared" si="262"/>
        <v/>
      </c>
      <c r="AI377" s="22" t="str">
        <f t="shared" si="263"/>
        <v/>
      </c>
      <c r="AJ377" s="22" t="str">
        <f t="shared" si="288"/>
        <v/>
      </c>
      <c r="AK377" s="21" t="str">
        <f t="shared" si="289"/>
        <v>Apprenant 365 ou 365'</v>
      </c>
      <c r="AL377" s="22" t="str">
        <f t="shared" si="264"/>
        <v/>
      </c>
      <c r="AM377" s="22" t="str">
        <f t="shared" si="265"/>
        <v/>
      </c>
      <c r="AN377" s="22" t="str">
        <f t="shared" si="266"/>
        <v/>
      </c>
      <c r="AO377" s="22" t="str">
        <f t="shared" si="290"/>
        <v/>
      </c>
      <c r="AQ377" s="21" t="str">
        <f t="shared" si="291"/>
        <v>Apprenant 365</v>
      </c>
      <c r="AR377" s="49" t="str">
        <f>IF(AND('Choix pédagogiques'!$C$4&lt;&gt;"?",'Choix pédagogiques'!$C$5&lt;&gt;"?",W377&lt;&gt;""),(W377-'Choix pédagogiques'!$C$4)/('Choix pédagogiques'!$C$5-'Choix pédagogiques'!$C$4),"")</f>
        <v/>
      </c>
      <c r="AS377" s="49" t="str">
        <f>IF(AND('Choix pédagogiques'!$C$4&lt;&gt;"?",'Choix pédagogiques'!$C$5&lt;&gt;"?",X377&lt;&gt;""),(X377-'Choix pédagogiques'!$C$4)/('Choix pédagogiques'!$C$5-'Choix pédagogiques'!$C$4),"")</f>
        <v/>
      </c>
      <c r="AT377" s="49" t="str">
        <f>IF(AND('Choix pédagogiques'!$C$4&lt;&gt;"?",'Choix pédagogiques'!$C$5&lt;&gt;"?",Y377&lt;&gt;""),(Y377-'Choix pédagogiques'!$C$4)/('Choix pédagogiques'!$C$5-'Choix pédagogiques'!$C$4),"")</f>
        <v/>
      </c>
      <c r="AU377" s="22" t="str">
        <f t="shared" si="292"/>
        <v/>
      </c>
      <c r="AV377" s="21" t="str">
        <f t="shared" si="293"/>
        <v>Apprenant 365 ou 365'</v>
      </c>
      <c r="AW377" s="49" t="str">
        <f>IF(AND('Choix pédagogiques'!$C$4&lt;&gt;"?",'Choix pédagogiques'!$C$5&lt;&gt;"?",AB377&lt;&gt;""),(AB377-'Choix pédagogiques'!$C$4)/('Choix pédagogiques'!$C$5-'Choix pédagogiques'!$C$4),"")</f>
        <v/>
      </c>
      <c r="AX377" s="49" t="str">
        <f>IF(AND('Choix pédagogiques'!$C$4&lt;&gt;"?",'Choix pédagogiques'!$C$5&lt;&gt;"?",AC377&lt;&gt;""),(AC377-'Choix pédagogiques'!$C$4)/('Choix pédagogiques'!$C$5-'Choix pédagogiques'!$C$4),"")</f>
        <v/>
      </c>
      <c r="AY377" s="49" t="str">
        <f>IF(AND('Choix pédagogiques'!$C$4&lt;&gt;"?",'Choix pédagogiques'!$C$5&lt;&gt;"?",AD377&lt;&gt;""),(AD377-'Choix pédagogiques'!$C$4)/('Choix pédagogiques'!$C$5-'Choix pédagogiques'!$C$4),"")</f>
        <v/>
      </c>
      <c r="AZ377" s="22" t="str">
        <f t="shared" si="294"/>
        <v/>
      </c>
      <c r="BA377" s="21" t="str">
        <f t="shared" si="295"/>
        <v>Apprenant 365</v>
      </c>
      <c r="BB377" s="49" t="str">
        <f t="shared" si="267"/>
        <v/>
      </c>
      <c r="BC377" s="49" t="str">
        <f t="shared" si="268"/>
        <v/>
      </c>
      <c r="BD377" s="49" t="str">
        <f t="shared" si="269"/>
        <v/>
      </c>
      <c r="BE377" s="22" t="str">
        <f t="shared" si="296"/>
        <v/>
      </c>
      <c r="BF377" s="21" t="str">
        <f t="shared" si="297"/>
        <v>Apprenant 365 ou 365'</v>
      </c>
      <c r="BG377" s="49" t="str">
        <f t="shared" si="270"/>
        <v/>
      </c>
      <c r="BH377" s="49" t="str">
        <f t="shared" si="271"/>
        <v/>
      </c>
      <c r="BI377" s="49" t="str">
        <f t="shared" si="272"/>
        <v/>
      </c>
      <c r="BJ377" s="22" t="str">
        <f t="shared" si="298"/>
        <v/>
      </c>
      <c r="BL377" s="21"/>
      <c r="BM377" s="21" t="str">
        <f>IF(OR(COUNT(B377:D1376)=0,AND('Choix pédagogiques'!$C$3&lt;&gt;1,'Choix pédagogiques'!$C$3&lt;&gt;2)),"",IF(AND(OR('Choix pédagogiques'!$C$3=1,'Choix pédagogiques'!$C$3=2),$B377&lt;&gt;"",$C377&lt;&gt;"",$D377&lt;&gt;""),1,0))</f>
        <v/>
      </c>
      <c r="BN377" s="21" t="str">
        <f>IF(OR(COUNT(G377:I1376)=0,AND('Choix pédagogiques'!$C$3&lt;&gt;1,'Choix pédagogiques'!$C$3&lt;&gt;2)),"",IF(AND(OR('Choix pédagogiques'!$C$3=1,'Choix pédagogiques'!$C$3=2),AND($G377&lt;&gt;"",$H377&lt;&gt;"",$I377&lt;&gt;"")),1,0))</f>
        <v/>
      </c>
      <c r="BO377" s="21" t="str">
        <f>IF(OR(COUNT(B377:D1376)=0,COUNT(G377:I1376)=0,'Choix pédagogiques'!C$3&lt;&gt;3),"",IF(AND('Choix pédagogiques'!$C$3=3,$B377&lt;&gt;"",$C377&lt;&gt;"",$D377&lt;&gt;"",$G377&lt;&gt;"",$H377&lt;&gt;"",$I377&lt;&gt;""),1,0))</f>
        <v/>
      </c>
      <c r="BR377" s="21">
        <v>688</v>
      </c>
      <c r="BS377" s="21">
        <v>1493</v>
      </c>
      <c r="BT377"/>
    </row>
    <row r="378" spans="1:72" s="23" customFormat="1" ht="18" customHeight="1" x14ac:dyDescent="0.3">
      <c r="A378" s="35" t="s">
        <v>368</v>
      </c>
      <c r="B378" s="37"/>
      <c r="C378" s="37"/>
      <c r="D378" s="37"/>
      <c r="E378" s="37"/>
      <c r="F378" s="35" t="s">
        <v>1376</v>
      </c>
      <c r="G378" s="37"/>
      <c r="H378" s="37"/>
      <c r="I378" s="37"/>
      <c r="J378" s="37"/>
      <c r="K378" s="21" t="str">
        <f t="shared" si="273"/>
        <v>Apprenant 366</v>
      </c>
      <c r="L378" s="22" t="str">
        <f t="shared" si="274"/>
        <v/>
      </c>
      <c r="M378" s="22" t="str">
        <f t="shared" si="275"/>
        <v/>
      </c>
      <c r="N378" s="22" t="str">
        <f t="shared" si="276"/>
        <v/>
      </c>
      <c r="O378" s="22" t="str">
        <f t="shared" si="277"/>
        <v/>
      </c>
      <c r="P378" s="21" t="str">
        <f t="shared" si="278"/>
        <v>Apprenant 366 ou 366'</v>
      </c>
      <c r="Q378" s="22" t="str">
        <f t="shared" si="279"/>
        <v/>
      </c>
      <c r="R378" s="22" t="str">
        <f t="shared" si="280"/>
        <v/>
      </c>
      <c r="S378" s="22" t="str">
        <f t="shared" si="281"/>
        <v/>
      </c>
      <c r="T378" s="22" t="str">
        <f t="shared" si="282"/>
        <v/>
      </c>
      <c r="V378" s="21" t="str">
        <f t="shared" si="283"/>
        <v>Apprenant 366</v>
      </c>
      <c r="W378" s="22" t="str">
        <f>IF(AND(OR('Choix pédagogiques'!$C$3=1,'Choix pédagogiques'!$C$3=2),$BM378=1),B378,IF(AND('Choix pédagogiques'!$C$3=3,$BO378=1),B378,""))</f>
        <v/>
      </c>
      <c r="X378" s="22" t="str">
        <f>IF(AND(OR('Choix pédagogiques'!$C$3=1,'Choix pédagogiques'!$C$3=2),$BM378=1),C378,IF(AND('Choix pédagogiques'!$C$3=3,$BO378=1),C378,""))</f>
        <v/>
      </c>
      <c r="Y378" s="22" t="str">
        <f>IF(AND(OR('Choix pédagogiques'!$C$3=1,'Choix pédagogiques'!$C$3=2),$BM378=1),D378,IF(AND('Choix pédagogiques'!$C$3=3,$BO378=1),D378,""))</f>
        <v/>
      </c>
      <c r="Z378" s="22" t="str">
        <f t="shared" si="284"/>
        <v/>
      </c>
      <c r="AA378" s="21" t="str">
        <f t="shared" si="285"/>
        <v>Apprenant 366 ou 366'</v>
      </c>
      <c r="AB378" s="22" t="str">
        <f>IF(AND(OR('Choix pédagogiques'!$C$3=1,'Choix pédagogiques'!$C$3=2),$BN378=1),G378,IF(AND('Choix pédagogiques'!$C$3=3,$BO378=1),G378,""))</f>
        <v/>
      </c>
      <c r="AC378" s="22" t="str">
        <f>IF(AND(OR('Choix pédagogiques'!$C$3=1,'Choix pédagogiques'!$C$3=2),$BN378=1),H378,IF(AND('Choix pédagogiques'!$C$3=3,$BO378=1),H378,""))</f>
        <v/>
      </c>
      <c r="AD378" s="22" t="str">
        <f>IF(AND(OR('Choix pédagogiques'!$C$3=1,'Choix pédagogiques'!$C$3=2),$BN378=1),I378,IF(AND('Choix pédagogiques'!$C$3=3,$BO378=1),I378,""))</f>
        <v/>
      </c>
      <c r="AE378" s="22" t="str">
        <f t="shared" si="286"/>
        <v/>
      </c>
      <c r="AF378" s="21" t="str">
        <f t="shared" si="287"/>
        <v>Apprenant 366</v>
      </c>
      <c r="AG378" s="22" t="str">
        <f t="shared" si="261"/>
        <v/>
      </c>
      <c r="AH378" s="22" t="str">
        <f t="shared" si="262"/>
        <v/>
      </c>
      <c r="AI378" s="22" t="str">
        <f t="shared" si="263"/>
        <v/>
      </c>
      <c r="AJ378" s="22" t="str">
        <f t="shared" si="288"/>
        <v/>
      </c>
      <c r="AK378" s="21" t="str">
        <f t="shared" si="289"/>
        <v>Apprenant 366 ou 366'</v>
      </c>
      <c r="AL378" s="22" t="str">
        <f t="shared" si="264"/>
        <v/>
      </c>
      <c r="AM378" s="22" t="str">
        <f t="shared" si="265"/>
        <v/>
      </c>
      <c r="AN378" s="22" t="str">
        <f t="shared" si="266"/>
        <v/>
      </c>
      <c r="AO378" s="22" t="str">
        <f t="shared" si="290"/>
        <v/>
      </c>
      <c r="AQ378" s="21" t="str">
        <f t="shared" si="291"/>
        <v>Apprenant 366</v>
      </c>
      <c r="AR378" s="49" t="str">
        <f>IF(AND('Choix pédagogiques'!$C$4&lt;&gt;"?",'Choix pédagogiques'!$C$5&lt;&gt;"?",W378&lt;&gt;""),(W378-'Choix pédagogiques'!$C$4)/('Choix pédagogiques'!$C$5-'Choix pédagogiques'!$C$4),"")</f>
        <v/>
      </c>
      <c r="AS378" s="49" t="str">
        <f>IF(AND('Choix pédagogiques'!$C$4&lt;&gt;"?",'Choix pédagogiques'!$C$5&lt;&gt;"?",X378&lt;&gt;""),(X378-'Choix pédagogiques'!$C$4)/('Choix pédagogiques'!$C$5-'Choix pédagogiques'!$C$4),"")</f>
        <v/>
      </c>
      <c r="AT378" s="49" t="str">
        <f>IF(AND('Choix pédagogiques'!$C$4&lt;&gt;"?",'Choix pédagogiques'!$C$5&lt;&gt;"?",Y378&lt;&gt;""),(Y378-'Choix pédagogiques'!$C$4)/('Choix pédagogiques'!$C$5-'Choix pédagogiques'!$C$4),"")</f>
        <v/>
      </c>
      <c r="AU378" s="22" t="str">
        <f t="shared" si="292"/>
        <v/>
      </c>
      <c r="AV378" s="21" t="str">
        <f t="shared" si="293"/>
        <v>Apprenant 366 ou 366'</v>
      </c>
      <c r="AW378" s="49" t="str">
        <f>IF(AND('Choix pédagogiques'!$C$4&lt;&gt;"?",'Choix pédagogiques'!$C$5&lt;&gt;"?",AB378&lt;&gt;""),(AB378-'Choix pédagogiques'!$C$4)/('Choix pédagogiques'!$C$5-'Choix pédagogiques'!$C$4),"")</f>
        <v/>
      </c>
      <c r="AX378" s="49" t="str">
        <f>IF(AND('Choix pédagogiques'!$C$4&lt;&gt;"?",'Choix pédagogiques'!$C$5&lt;&gt;"?",AC378&lt;&gt;""),(AC378-'Choix pédagogiques'!$C$4)/('Choix pédagogiques'!$C$5-'Choix pédagogiques'!$C$4),"")</f>
        <v/>
      </c>
      <c r="AY378" s="49" t="str">
        <f>IF(AND('Choix pédagogiques'!$C$4&lt;&gt;"?",'Choix pédagogiques'!$C$5&lt;&gt;"?",AD378&lt;&gt;""),(AD378-'Choix pédagogiques'!$C$4)/('Choix pédagogiques'!$C$5-'Choix pédagogiques'!$C$4),"")</f>
        <v/>
      </c>
      <c r="AZ378" s="22" t="str">
        <f t="shared" si="294"/>
        <v/>
      </c>
      <c r="BA378" s="21" t="str">
        <f t="shared" si="295"/>
        <v>Apprenant 366</v>
      </c>
      <c r="BB378" s="49" t="str">
        <f t="shared" si="267"/>
        <v/>
      </c>
      <c r="BC378" s="49" t="str">
        <f t="shared" si="268"/>
        <v/>
      </c>
      <c r="BD378" s="49" t="str">
        <f t="shared" si="269"/>
        <v/>
      </c>
      <c r="BE378" s="22" t="str">
        <f t="shared" si="296"/>
        <v/>
      </c>
      <c r="BF378" s="21" t="str">
        <f t="shared" si="297"/>
        <v>Apprenant 366 ou 366'</v>
      </c>
      <c r="BG378" s="49" t="str">
        <f t="shared" si="270"/>
        <v/>
      </c>
      <c r="BH378" s="49" t="str">
        <f t="shared" si="271"/>
        <v/>
      </c>
      <c r="BI378" s="49" t="str">
        <f t="shared" si="272"/>
        <v/>
      </c>
      <c r="BJ378" s="22" t="str">
        <f t="shared" si="298"/>
        <v/>
      </c>
      <c r="BL378" s="21"/>
      <c r="BM378" s="21" t="str">
        <f>IF(OR(COUNT(B378:D1377)=0,AND('Choix pédagogiques'!$C$3&lt;&gt;1,'Choix pédagogiques'!$C$3&lt;&gt;2)),"",IF(AND(OR('Choix pédagogiques'!$C$3=1,'Choix pédagogiques'!$C$3=2),$B378&lt;&gt;"",$C378&lt;&gt;"",$D378&lt;&gt;""),1,0))</f>
        <v/>
      </c>
      <c r="BN378" s="21" t="str">
        <f>IF(OR(COUNT(G378:I1377)=0,AND('Choix pédagogiques'!$C$3&lt;&gt;1,'Choix pédagogiques'!$C$3&lt;&gt;2)),"",IF(AND(OR('Choix pédagogiques'!$C$3=1,'Choix pédagogiques'!$C$3=2),AND($G378&lt;&gt;"",$H378&lt;&gt;"",$I378&lt;&gt;"")),1,0))</f>
        <v/>
      </c>
      <c r="BO378" s="21" t="str">
        <f>IF(OR(COUNT(B378:D1377)=0,COUNT(G378:I1377)=0,'Choix pédagogiques'!C$3&lt;&gt;3),"",IF(AND('Choix pédagogiques'!$C$3=3,$B378&lt;&gt;"",$C378&lt;&gt;"",$D378&lt;&gt;"",$G378&lt;&gt;"",$H378&lt;&gt;"",$I378&lt;&gt;""),1,0))</f>
        <v/>
      </c>
      <c r="BR378" s="21">
        <v>967</v>
      </c>
      <c r="BS378" s="21">
        <v>1143</v>
      </c>
      <c r="BT378"/>
    </row>
    <row r="379" spans="1:72" s="23" customFormat="1" ht="18" customHeight="1" x14ac:dyDescent="0.3">
      <c r="A379" s="35" t="s">
        <v>369</v>
      </c>
      <c r="B379" s="37"/>
      <c r="C379" s="37"/>
      <c r="D379" s="37"/>
      <c r="E379" s="37"/>
      <c r="F379" s="35" t="s">
        <v>1377</v>
      </c>
      <c r="G379" s="37"/>
      <c r="H379" s="37"/>
      <c r="I379" s="37"/>
      <c r="J379" s="37"/>
      <c r="K379" s="21" t="str">
        <f t="shared" si="273"/>
        <v>Apprenant 367</v>
      </c>
      <c r="L379" s="22" t="str">
        <f t="shared" si="274"/>
        <v/>
      </c>
      <c r="M379" s="22" t="str">
        <f t="shared" si="275"/>
        <v/>
      </c>
      <c r="N379" s="22" t="str">
        <f t="shared" si="276"/>
        <v/>
      </c>
      <c r="O379" s="22" t="str">
        <f t="shared" si="277"/>
        <v/>
      </c>
      <c r="P379" s="21" t="str">
        <f t="shared" si="278"/>
        <v>Apprenant 367 ou 367'</v>
      </c>
      <c r="Q379" s="22" t="str">
        <f t="shared" si="279"/>
        <v/>
      </c>
      <c r="R379" s="22" t="str">
        <f t="shared" si="280"/>
        <v/>
      </c>
      <c r="S379" s="22" t="str">
        <f t="shared" si="281"/>
        <v/>
      </c>
      <c r="T379" s="22" t="str">
        <f t="shared" si="282"/>
        <v/>
      </c>
      <c r="V379" s="21" t="str">
        <f t="shared" si="283"/>
        <v>Apprenant 367</v>
      </c>
      <c r="W379" s="22" t="str">
        <f>IF(AND(OR('Choix pédagogiques'!$C$3=1,'Choix pédagogiques'!$C$3=2),$BM379=1),B379,IF(AND('Choix pédagogiques'!$C$3=3,$BO379=1),B379,""))</f>
        <v/>
      </c>
      <c r="X379" s="22" t="str">
        <f>IF(AND(OR('Choix pédagogiques'!$C$3=1,'Choix pédagogiques'!$C$3=2),$BM379=1),C379,IF(AND('Choix pédagogiques'!$C$3=3,$BO379=1),C379,""))</f>
        <v/>
      </c>
      <c r="Y379" s="22" t="str">
        <f>IF(AND(OR('Choix pédagogiques'!$C$3=1,'Choix pédagogiques'!$C$3=2),$BM379=1),D379,IF(AND('Choix pédagogiques'!$C$3=3,$BO379=1),D379,""))</f>
        <v/>
      </c>
      <c r="Z379" s="22" t="str">
        <f t="shared" si="284"/>
        <v/>
      </c>
      <c r="AA379" s="21" t="str">
        <f t="shared" si="285"/>
        <v>Apprenant 367 ou 367'</v>
      </c>
      <c r="AB379" s="22" t="str">
        <f>IF(AND(OR('Choix pédagogiques'!$C$3=1,'Choix pédagogiques'!$C$3=2),$BN379=1),G379,IF(AND('Choix pédagogiques'!$C$3=3,$BO379=1),G379,""))</f>
        <v/>
      </c>
      <c r="AC379" s="22" t="str">
        <f>IF(AND(OR('Choix pédagogiques'!$C$3=1,'Choix pédagogiques'!$C$3=2),$BN379=1),H379,IF(AND('Choix pédagogiques'!$C$3=3,$BO379=1),H379,""))</f>
        <v/>
      </c>
      <c r="AD379" s="22" t="str">
        <f>IF(AND(OR('Choix pédagogiques'!$C$3=1,'Choix pédagogiques'!$C$3=2),$BN379=1),I379,IF(AND('Choix pédagogiques'!$C$3=3,$BO379=1),I379,""))</f>
        <v/>
      </c>
      <c r="AE379" s="22" t="str">
        <f t="shared" si="286"/>
        <v/>
      </c>
      <c r="AF379" s="21" t="str">
        <f t="shared" si="287"/>
        <v>Apprenant 367</v>
      </c>
      <c r="AG379" s="22" t="str">
        <f t="shared" si="261"/>
        <v/>
      </c>
      <c r="AH379" s="22" t="str">
        <f t="shared" si="262"/>
        <v/>
      </c>
      <c r="AI379" s="22" t="str">
        <f t="shared" si="263"/>
        <v/>
      </c>
      <c r="AJ379" s="22" t="str">
        <f t="shared" si="288"/>
        <v/>
      </c>
      <c r="AK379" s="21" t="str">
        <f t="shared" si="289"/>
        <v>Apprenant 367 ou 367'</v>
      </c>
      <c r="AL379" s="22" t="str">
        <f t="shared" si="264"/>
        <v/>
      </c>
      <c r="AM379" s="22" t="str">
        <f t="shared" si="265"/>
        <v/>
      </c>
      <c r="AN379" s="22" t="str">
        <f t="shared" si="266"/>
        <v/>
      </c>
      <c r="AO379" s="22" t="str">
        <f t="shared" si="290"/>
        <v/>
      </c>
      <c r="AQ379" s="21" t="str">
        <f t="shared" si="291"/>
        <v>Apprenant 367</v>
      </c>
      <c r="AR379" s="49" t="str">
        <f>IF(AND('Choix pédagogiques'!$C$4&lt;&gt;"?",'Choix pédagogiques'!$C$5&lt;&gt;"?",W379&lt;&gt;""),(W379-'Choix pédagogiques'!$C$4)/('Choix pédagogiques'!$C$5-'Choix pédagogiques'!$C$4),"")</f>
        <v/>
      </c>
      <c r="AS379" s="49" t="str">
        <f>IF(AND('Choix pédagogiques'!$C$4&lt;&gt;"?",'Choix pédagogiques'!$C$5&lt;&gt;"?",X379&lt;&gt;""),(X379-'Choix pédagogiques'!$C$4)/('Choix pédagogiques'!$C$5-'Choix pédagogiques'!$C$4),"")</f>
        <v/>
      </c>
      <c r="AT379" s="49" t="str">
        <f>IF(AND('Choix pédagogiques'!$C$4&lt;&gt;"?",'Choix pédagogiques'!$C$5&lt;&gt;"?",Y379&lt;&gt;""),(Y379-'Choix pédagogiques'!$C$4)/('Choix pédagogiques'!$C$5-'Choix pédagogiques'!$C$4),"")</f>
        <v/>
      </c>
      <c r="AU379" s="22" t="str">
        <f t="shared" si="292"/>
        <v/>
      </c>
      <c r="AV379" s="21" t="str">
        <f t="shared" si="293"/>
        <v>Apprenant 367 ou 367'</v>
      </c>
      <c r="AW379" s="49" t="str">
        <f>IF(AND('Choix pédagogiques'!$C$4&lt;&gt;"?",'Choix pédagogiques'!$C$5&lt;&gt;"?",AB379&lt;&gt;""),(AB379-'Choix pédagogiques'!$C$4)/('Choix pédagogiques'!$C$5-'Choix pédagogiques'!$C$4),"")</f>
        <v/>
      </c>
      <c r="AX379" s="49" t="str">
        <f>IF(AND('Choix pédagogiques'!$C$4&lt;&gt;"?",'Choix pédagogiques'!$C$5&lt;&gt;"?",AC379&lt;&gt;""),(AC379-'Choix pédagogiques'!$C$4)/('Choix pédagogiques'!$C$5-'Choix pédagogiques'!$C$4),"")</f>
        <v/>
      </c>
      <c r="AY379" s="49" t="str">
        <f>IF(AND('Choix pédagogiques'!$C$4&lt;&gt;"?",'Choix pédagogiques'!$C$5&lt;&gt;"?",AD379&lt;&gt;""),(AD379-'Choix pédagogiques'!$C$4)/('Choix pédagogiques'!$C$5-'Choix pédagogiques'!$C$4),"")</f>
        <v/>
      </c>
      <c r="AZ379" s="22" t="str">
        <f t="shared" si="294"/>
        <v/>
      </c>
      <c r="BA379" s="21" t="str">
        <f t="shared" si="295"/>
        <v>Apprenant 367</v>
      </c>
      <c r="BB379" s="49" t="str">
        <f t="shared" si="267"/>
        <v/>
      </c>
      <c r="BC379" s="49" t="str">
        <f t="shared" si="268"/>
        <v/>
      </c>
      <c r="BD379" s="49" t="str">
        <f t="shared" si="269"/>
        <v/>
      </c>
      <c r="BE379" s="22" t="str">
        <f t="shared" si="296"/>
        <v/>
      </c>
      <c r="BF379" s="21" t="str">
        <f t="shared" si="297"/>
        <v>Apprenant 367 ou 367'</v>
      </c>
      <c r="BG379" s="49" t="str">
        <f t="shared" si="270"/>
        <v/>
      </c>
      <c r="BH379" s="49" t="str">
        <f t="shared" si="271"/>
        <v/>
      </c>
      <c r="BI379" s="49" t="str">
        <f t="shared" si="272"/>
        <v/>
      </c>
      <c r="BJ379" s="22" t="str">
        <f t="shared" si="298"/>
        <v/>
      </c>
      <c r="BL379" s="21"/>
      <c r="BM379" s="21" t="str">
        <f>IF(OR(COUNT(B379:D1378)=0,AND('Choix pédagogiques'!$C$3&lt;&gt;1,'Choix pédagogiques'!$C$3&lt;&gt;2)),"",IF(AND(OR('Choix pédagogiques'!$C$3=1,'Choix pédagogiques'!$C$3=2),$B379&lt;&gt;"",$C379&lt;&gt;"",$D379&lt;&gt;""),1,0))</f>
        <v/>
      </c>
      <c r="BN379" s="21" t="str">
        <f>IF(OR(COUNT(G379:I1378)=0,AND('Choix pédagogiques'!$C$3&lt;&gt;1,'Choix pédagogiques'!$C$3&lt;&gt;2)),"",IF(AND(OR('Choix pédagogiques'!$C$3=1,'Choix pédagogiques'!$C$3=2),AND($G379&lt;&gt;"",$H379&lt;&gt;"",$I379&lt;&gt;"")),1,0))</f>
        <v/>
      </c>
      <c r="BO379" s="21" t="str">
        <f>IF(OR(COUNT(B379:D1378)=0,COUNT(G379:I1378)=0,'Choix pédagogiques'!C$3&lt;&gt;3),"",IF(AND('Choix pédagogiques'!$C$3=3,$B379&lt;&gt;"",$C379&lt;&gt;"",$D379&lt;&gt;"",$G379&lt;&gt;"",$H379&lt;&gt;"",$I379&lt;&gt;""),1,0))</f>
        <v/>
      </c>
      <c r="BR379" s="21">
        <v>691</v>
      </c>
      <c r="BS379" s="21">
        <v>1113</v>
      </c>
      <c r="BT379"/>
    </row>
    <row r="380" spans="1:72" s="23" customFormat="1" ht="18" customHeight="1" x14ac:dyDescent="0.3">
      <c r="A380" s="35" t="s">
        <v>370</v>
      </c>
      <c r="B380" s="37"/>
      <c r="C380" s="37"/>
      <c r="D380" s="37"/>
      <c r="E380" s="37"/>
      <c r="F380" s="35" t="s">
        <v>1378</v>
      </c>
      <c r="G380" s="37"/>
      <c r="H380" s="37"/>
      <c r="I380" s="37"/>
      <c r="J380" s="37"/>
      <c r="K380" s="21" t="str">
        <f t="shared" si="273"/>
        <v>Apprenant 368</v>
      </c>
      <c r="L380" s="22" t="str">
        <f t="shared" si="274"/>
        <v/>
      </c>
      <c r="M380" s="22" t="str">
        <f t="shared" si="275"/>
        <v/>
      </c>
      <c r="N380" s="22" t="str">
        <f t="shared" si="276"/>
        <v/>
      </c>
      <c r="O380" s="22" t="str">
        <f t="shared" si="277"/>
        <v/>
      </c>
      <c r="P380" s="21" t="str">
        <f t="shared" si="278"/>
        <v>Apprenant 368 ou 368'</v>
      </c>
      <c r="Q380" s="22" t="str">
        <f t="shared" si="279"/>
        <v/>
      </c>
      <c r="R380" s="22" t="str">
        <f t="shared" si="280"/>
        <v/>
      </c>
      <c r="S380" s="22" t="str">
        <f t="shared" si="281"/>
        <v/>
      </c>
      <c r="T380" s="22" t="str">
        <f t="shared" si="282"/>
        <v/>
      </c>
      <c r="V380" s="21" t="str">
        <f t="shared" si="283"/>
        <v>Apprenant 368</v>
      </c>
      <c r="W380" s="22" t="str">
        <f>IF(AND(OR('Choix pédagogiques'!$C$3=1,'Choix pédagogiques'!$C$3=2),$BM380=1),B380,IF(AND('Choix pédagogiques'!$C$3=3,$BO380=1),B380,""))</f>
        <v/>
      </c>
      <c r="X380" s="22" t="str">
        <f>IF(AND(OR('Choix pédagogiques'!$C$3=1,'Choix pédagogiques'!$C$3=2),$BM380=1),C380,IF(AND('Choix pédagogiques'!$C$3=3,$BO380=1),C380,""))</f>
        <v/>
      </c>
      <c r="Y380" s="22" t="str">
        <f>IF(AND(OR('Choix pédagogiques'!$C$3=1,'Choix pédagogiques'!$C$3=2),$BM380=1),D380,IF(AND('Choix pédagogiques'!$C$3=3,$BO380=1),D380,""))</f>
        <v/>
      </c>
      <c r="Z380" s="22" t="str">
        <f t="shared" si="284"/>
        <v/>
      </c>
      <c r="AA380" s="21" t="str">
        <f t="shared" si="285"/>
        <v>Apprenant 368 ou 368'</v>
      </c>
      <c r="AB380" s="22" t="str">
        <f>IF(AND(OR('Choix pédagogiques'!$C$3=1,'Choix pédagogiques'!$C$3=2),$BN380=1),G380,IF(AND('Choix pédagogiques'!$C$3=3,$BO380=1),G380,""))</f>
        <v/>
      </c>
      <c r="AC380" s="22" t="str">
        <f>IF(AND(OR('Choix pédagogiques'!$C$3=1,'Choix pédagogiques'!$C$3=2),$BN380=1),H380,IF(AND('Choix pédagogiques'!$C$3=3,$BO380=1),H380,""))</f>
        <v/>
      </c>
      <c r="AD380" s="22" t="str">
        <f>IF(AND(OR('Choix pédagogiques'!$C$3=1,'Choix pédagogiques'!$C$3=2),$BN380=1),I380,IF(AND('Choix pédagogiques'!$C$3=3,$BO380=1),I380,""))</f>
        <v/>
      </c>
      <c r="AE380" s="22" t="str">
        <f t="shared" si="286"/>
        <v/>
      </c>
      <c r="AF380" s="21" t="str">
        <f t="shared" si="287"/>
        <v>Apprenant 368</v>
      </c>
      <c r="AG380" s="22" t="str">
        <f t="shared" si="261"/>
        <v/>
      </c>
      <c r="AH380" s="22" t="str">
        <f t="shared" si="262"/>
        <v/>
      </c>
      <c r="AI380" s="22" t="str">
        <f t="shared" si="263"/>
        <v/>
      </c>
      <c r="AJ380" s="22" t="str">
        <f t="shared" si="288"/>
        <v/>
      </c>
      <c r="AK380" s="21" t="str">
        <f t="shared" si="289"/>
        <v>Apprenant 368 ou 368'</v>
      </c>
      <c r="AL380" s="22" t="str">
        <f t="shared" si="264"/>
        <v/>
      </c>
      <c r="AM380" s="22" t="str">
        <f t="shared" si="265"/>
        <v/>
      </c>
      <c r="AN380" s="22" t="str">
        <f t="shared" si="266"/>
        <v/>
      </c>
      <c r="AO380" s="22" t="str">
        <f t="shared" si="290"/>
        <v/>
      </c>
      <c r="AQ380" s="21" t="str">
        <f t="shared" si="291"/>
        <v>Apprenant 368</v>
      </c>
      <c r="AR380" s="49" t="str">
        <f>IF(AND('Choix pédagogiques'!$C$4&lt;&gt;"?",'Choix pédagogiques'!$C$5&lt;&gt;"?",W380&lt;&gt;""),(W380-'Choix pédagogiques'!$C$4)/('Choix pédagogiques'!$C$5-'Choix pédagogiques'!$C$4),"")</f>
        <v/>
      </c>
      <c r="AS380" s="49" t="str">
        <f>IF(AND('Choix pédagogiques'!$C$4&lt;&gt;"?",'Choix pédagogiques'!$C$5&lt;&gt;"?",X380&lt;&gt;""),(X380-'Choix pédagogiques'!$C$4)/('Choix pédagogiques'!$C$5-'Choix pédagogiques'!$C$4),"")</f>
        <v/>
      </c>
      <c r="AT380" s="49" t="str">
        <f>IF(AND('Choix pédagogiques'!$C$4&lt;&gt;"?",'Choix pédagogiques'!$C$5&lt;&gt;"?",Y380&lt;&gt;""),(Y380-'Choix pédagogiques'!$C$4)/('Choix pédagogiques'!$C$5-'Choix pédagogiques'!$C$4),"")</f>
        <v/>
      </c>
      <c r="AU380" s="22" t="str">
        <f t="shared" si="292"/>
        <v/>
      </c>
      <c r="AV380" s="21" t="str">
        <f t="shared" si="293"/>
        <v>Apprenant 368 ou 368'</v>
      </c>
      <c r="AW380" s="49" t="str">
        <f>IF(AND('Choix pédagogiques'!$C$4&lt;&gt;"?",'Choix pédagogiques'!$C$5&lt;&gt;"?",AB380&lt;&gt;""),(AB380-'Choix pédagogiques'!$C$4)/('Choix pédagogiques'!$C$5-'Choix pédagogiques'!$C$4),"")</f>
        <v/>
      </c>
      <c r="AX380" s="49" t="str">
        <f>IF(AND('Choix pédagogiques'!$C$4&lt;&gt;"?",'Choix pédagogiques'!$C$5&lt;&gt;"?",AC380&lt;&gt;""),(AC380-'Choix pédagogiques'!$C$4)/('Choix pédagogiques'!$C$5-'Choix pédagogiques'!$C$4),"")</f>
        <v/>
      </c>
      <c r="AY380" s="49" t="str">
        <f>IF(AND('Choix pédagogiques'!$C$4&lt;&gt;"?",'Choix pédagogiques'!$C$5&lt;&gt;"?",AD380&lt;&gt;""),(AD380-'Choix pédagogiques'!$C$4)/('Choix pédagogiques'!$C$5-'Choix pédagogiques'!$C$4),"")</f>
        <v/>
      </c>
      <c r="AZ380" s="22" t="str">
        <f t="shared" si="294"/>
        <v/>
      </c>
      <c r="BA380" s="21" t="str">
        <f t="shared" si="295"/>
        <v>Apprenant 368</v>
      </c>
      <c r="BB380" s="49" t="str">
        <f t="shared" si="267"/>
        <v/>
      </c>
      <c r="BC380" s="49" t="str">
        <f t="shared" si="268"/>
        <v/>
      </c>
      <c r="BD380" s="49" t="str">
        <f t="shared" si="269"/>
        <v/>
      </c>
      <c r="BE380" s="22" t="str">
        <f t="shared" si="296"/>
        <v/>
      </c>
      <c r="BF380" s="21" t="str">
        <f t="shared" si="297"/>
        <v>Apprenant 368 ou 368'</v>
      </c>
      <c r="BG380" s="49" t="str">
        <f t="shared" si="270"/>
        <v/>
      </c>
      <c r="BH380" s="49" t="str">
        <f t="shared" si="271"/>
        <v/>
      </c>
      <c r="BI380" s="49" t="str">
        <f t="shared" si="272"/>
        <v/>
      </c>
      <c r="BJ380" s="22" t="str">
        <f t="shared" si="298"/>
        <v/>
      </c>
      <c r="BL380" s="21"/>
      <c r="BM380" s="21" t="str">
        <f>IF(OR(COUNT(B380:D1379)=0,AND('Choix pédagogiques'!$C$3&lt;&gt;1,'Choix pédagogiques'!$C$3&lt;&gt;2)),"",IF(AND(OR('Choix pédagogiques'!$C$3=1,'Choix pédagogiques'!$C$3=2),$B380&lt;&gt;"",$C380&lt;&gt;"",$D380&lt;&gt;""),1,0))</f>
        <v/>
      </c>
      <c r="BN380" s="21" t="str">
        <f>IF(OR(COUNT(G380:I1379)=0,AND('Choix pédagogiques'!$C$3&lt;&gt;1,'Choix pédagogiques'!$C$3&lt;&gt;2)),"",IF(AND(OR('Choix pédagogiques'!$C$3=1,'Choix pédagogiques'!$C$3=2),AND($G380&lt;&gt;"",$H380&lt;&gt;"",$I380&lt;&gt;"")),1,0))</f>
        <v/>
      </c>
      <c r="BO380" s="21" t="str">
        <f>IF(OR(COUNT(B380:D1379)=0,COUNT(G380:I1379)=0,'Choix pédagogiques'!C$3&lt;&gt;3),"",IF(AND('Choix pédagogiques'!$C$3=3,$B380&lt;&gt;"",$C380&lt;&gt;"",$D380&lt;&gt;"",$G380&lt;&gt;"",$H380&lt;&gt;"",$I380&lt;&gt;""),1,0))</f>
        <v/>
      </c>
      <c r="BR380" s="21">
        <v>351</v>
      </c>
      <c r="BS380" s="21">
        <v>1896</v>
      </c>
      <c r="BT380"/>
    </row>
    <row r="381" spans="1:72" s="23" customFormat="1" ht="18" customHeight="1" x14ac:dyDescent="0.3">
      <c r="A381" s="35" t="s">
        <v>371</v>
      </c>
      <c r="B381" s="37"/>
      <c r="C381" s="37"/>
      <c r="D381" s="37"/>
      <c r="E381" s="37"/>
      <c r="F381" s="35" t="s">
        <v>1379</v>
      </c>
      <c r="G381" s="37"/>
      <c r="H381" s="37"/>
      <c r="I381" s="37"/>
      <c r="J381" s="37"/>
      <c r="K381" s="21" t="str">
        <f t="shared" si="273"/>
        <v>Apprenant 369</v>
      </c>
      <c r="L381" s="22" t="str">
        <f t="shared" si="274"/>
        <v/>
      </c>
      <c r="M381" s="22" t="str">
        <f t="shared" si="275"/>
        <v/>
      </c>
      <c r="N381" s="22" t="str">
        <f t="shared" si="276"/>
        <v/>
      </c>
      <c r="O381" s="22" t="str">
        <f t="shared" si="277"/>
        <v/>
      </c>
      <c r="P381" s="21" t="str">
        <f t="shared" si="278"/>
        <v>Apprenant 369 ou 369'</v>
      </c>
      <c r="Q381" s="22" t="str">
        <f t="shared" si="279"/>
        <v/>
      </c>
      <c r="R381" s="22" t="str">
        <f t="shared" si="280"/>
        <v/>
      </c>
      <c r="S381" s="22" t="str">
        <f t="shared" si="281"/>
        <v/>
      </c>
      <c r="T381" s="22" t="str">
        <f t="shared" si="282"/>
        <v/>
      </c>
      <c r="V381" s="21" t="str">
        <f t="shared" si="283"/>
        <v>Apprenant 369</v>
      </c>
      <c r="W381" s="22" t="str">
        <f>IF(AND(OR('Choix pédagogiques'!$C$3=1,'Choix pédagogiques'!$C$3=2),$BM381=1),B381,IF(AND('Choix pédagogiques'!$C$3=3,$BO381=1),B381,""))</f>
        <v/>
      </c>
      <c r="X381" s="22" t="str">
        <f>IF(AND(OR('Choix pédagogiques'!$C$3=1,'Choix pédagogiques'!$C$3=2),$BM381=1),C381,IF(AND('Choix pédagogiques'!$C$3=3,$BO381=1),C381,""))</f>
        <v/>
      </c>
      <c r="Y381" s="22" t="str">
        <f>IF(AND(OR('Choix pédagogiques'!$C$3=1,'Choix pédagogiques'!$C$3=2),$BM381=1),D381,IF(AND('Choix pédagogiques'!$C$3=3,$BO381=1),D381,""))</f>
        <v/>
      </c>
      <c r="Z381" s="22" t="str">
        <f t="shared" si="284"/>
        <v/>
      </c>
      <c r="AA381" s="21" t="str">
        <f t="shared" si="285"/>
        <v>Apprenant 369 ou 369'</v>
      </c>
      <c r="AB381" s="22" t="str">
        <f>IF(AND(OR('Choix pédagogiques'!$C$3=1,'Choix pédagogiques'!$C$3=2),$BN381=1),G381,IF(AND('Choix pédagogiques'!$C$3=3,$BO381=1),G381,""))</f>
        <v/>
      </c>
      <c r="AC381" s="22" t="str">
        <f>IF(AND(OR('Choix pédagogiques'!$C$3=1,'Choix pédagogiques'!$C$3=2),$BN381=1),H381,IF(AND('Choix pédagogiques'!$C$3=3,$BO381=1),H381,""))</f>
        <v/>
      </c>
      <c r="AD381" s="22" t="str">
        <f>IF(AND(OR('Choix pédagogiques'!$C$3=1,'Choix pédagogiques'!$C$3=2),$BN381=1),I381,IF(AND('Choix pédagogiques'!$C$3=3,$BO381=1),I381,""))</f>
        <v/>
      </c>
      <c r="AE381" s="22" t="str">
        <f t="shared" si="286"/>
        <v/>
      </c>
      <c r="AF381" s="21" t="str">
        <f t="shared" si="287"/>
        <v>Apprenant 369</v>
      </c>
      <c r="AG381" s="22" t="str">
        <f t="shared" si="261"/>
        <v/>
      </c>
      <c r="AH381" s="22" t="str">
        <f t="shared" si="262"/>
        <v/>
      </c>
      <c r="AI381" s="22" t="str">
        <f t="shared" si="263"/>
        <v/>
      </c>
      <c r="AJ381" s="22" t="str">
        <f t="shared" si="288"/>
        <v/>
      </c>
      <c r="AK381" s="21" t="str">
        <f t="shared" si="289"/>
        <v>Apprenant 369 ou 369'</v>
      </c>
      <c r="AL381" s="22" t="str">
        <f t="shared" si="264"/>
        <v/>
      </c>
      <c r="AM381" s="22" t="str">
        <f t="shared" si="265"/>
        <v/>
      </c>
      <c r="AN381" s="22" t="str">
        <f t="shared" si="266"/>
        <v/>
      </c>
      <c r="AO381" s="22" t="str">
        <f t="shared" si="290"/>
        <v/>
      </c>
      <c r="AQ381" s="21" t="str">
        <f t="shared" si="291"/>
        <v>Apprenant 369</v>
      </c>
      <c r="AR381" s="49" t="str">
        <f>IF(AND('Choix pédagogiques'!$C$4&lt;&gt;"?",'Choix pédagogiques'!$C$5&lt;&gt;"?",W381&lt;&gt;""),(W381-'Choix pédagogiques'!$C$4)/('Choix pédagogiques'!$C$5-'Choix pédagogiques'!$C$4),"")</f>
        <v/>
      </c>
      <c r="AS381" s="49" t="str">
        <f>IF(AND('Choix pédagogiques'!$C$4&lt;&gt;"?",'Choix pédagogiques'!$C$5&lt;&gt;"?",X381&lt;&gt;""),(X381-'Choix pédagogiques'!$C$4)/('Choix pédagogiques'!$C$5-'Choix pédagogiques'!$C$4),"")</f>
        <v/>
      </c>
      <c r="AT381" s="49" t="str">
        <f>IF(AND('Choix pédagogiques'!$C$4&lt;&gt;"?",'Choix pédagogiques'!$C$5&lt;&gt;"?",Y381&lt;&gt;""),(Y381-'Choix pédagogiques'!$C$4)/('Choix pédagogiques'!$C$5-'Choix pédagogiques'!$C$4),"")</f>
        <v/>
      </c>
      <c r="AU381" s="22" t="str">
        <f t="shared" si="292"/>
        <v/>
      </c>
      <c r="AV381" s="21" t="str">
        <f t="shared" si="293"/>
        <v>Apprenant 369 ou 369'</v>
      </c>
      <c r="AW381" s="49" t="str">
        <f>IF(AND('Choix pédagogiques'!$C$4&lt;&gt;"?",'Choix pédagogiques'!$C$5&lt;&gt;"?",AB381&lt;&gt;""),(AB381-'Choix pédagogiques'!$C$4)/('Choix pédagogiques'!$C$5-'Choix pédagogiques'!$C$4),"")</f>
        <v/>
      </c>
      <c r="AX381" s="49" t="str">
        <f>IF(AND('Choix pédagogiques'!$C$4&lt;&gt;"?",'Choix pédagogiques'!$C$5&lt;&gt;"?",AC381&lt;&gt;""),(AC381-'Choix pédagogiques'!$C$4)/('Choix pédagogiques'!$C$5-'Choix pédagogiques'!$C$4),"")</f>
        <v/>
      </c>
      <c r="AY381" s="49" t="str">
        <f>IF(AND('Choix pédagogiques'!$C$4&lt;&gt;"?",'Choix pédagogiques'!$C$5&lt;&gt;"?",AD381&lt;&gt;""),(AD381-'Choix pédagogiques'!$C$4)/('Choix pédagogiques'!$C$5-'Choix pédagogiques'!$C$4),"")</f>
        <v/>
      </c>
      <c r="AZ381" s="22" t="str">
        <f t="shared" si="294"/>
        <v/>
      </c>
      <c r="BA381" s="21" t="str">
        <f t="shared" si="295"/>
        <v>Apprenant 369</v>
      </c>
      <c r="BB381" s="49" t="str">
        <f t="shared" si="267"/>
        <v/>
      </c>
      <c r="BC381" s="49" t="str">
        <f t="shared" si="268"/>
        <v/>
      </c>
      <c r="BD381" s="49" t="str">
        <f t="shared" si="269"/>
        <v/>
      </c>
      <c r="BE381" s="22" t="str">
        <f t="shared" si="296"/>
        <v/>
      </c>
      <c r="BF381" s="21" t="str">
        <f t="shared" si="297"/>
        <v>Apprenant 369 ou 369'</v>
      </c>
      <c r="BG381" s="49" t="str">
        <f t="shared" si="270"/>
        <v/>
      </c>
      <c r="BH381" s="49" t="str">
        <f t="shared" si="271"/>
        <v/>
      </c>
      <c r="BI381" s="49" t="str">
        <f t="shared" si="272"/>
        <v/>
      </c>
      <c r="BJ381" s="22" t="str">
        <f t="shared" si="298"/>
        <v/>
      </c>
      <c r="BL381" s="21"/>
      <c r="BM381" s="21" t="str">
        <f>IF(OR(COUNT(B381:D1380)=0,AND('Choix pédagogiques'!$C$3&lt;&gt;1,'Choix pédagogiques'!$C$3&lt;&gt;2)),"",IF(AND(OR('Choix pédagogiques'!$C$3=1,'Choix pédagogiques'!$C$3=2),$B381&lt;&gt;"",$C381&lt;&gt;"",$D381&lt;&gt;""),1,0))</f>
        <v/>
      </c>
      <c r="BN381" s="21" t="str">
        <f>IF(OR(COUNT(G381:I1380)=0,AND('Choix pédagogiques'!$C$3&lt;&gt;1,'Choix pédagogiques'!$C$3&lt;&gt;2)),"",IF(AND(OR('Choix pédagogiques'!$C$3=1,'Choix pédagogiques'!$C$3=2),AND($G381&lt;&gt;"",$H381&lt;&gt;"",$I381&lt;&gt;"")),1,0))</f>
        <v/>
      </c>
      <c r="BO381" s="21" t="str">
        <f>IF(OR(COUNT(B381:D1380)=0,COUNT(G381:I1380)=0,'Choix pédagogiques'!C$3&lt;&gt;3),"",IF(AND('Choix pédagogiques'!$C$3=3,$B381&lt;&gt;"",$C381&lt;&gt;"",$D381&lt;&gt;"",$G381&lt;&gt;"",$H381&lt;&gt;"",$I381&lt;&gt;""),1,0))</f>
        <v/>
      </c>
      <c r="BR381" s="21">
        <v>579</v>
      </c>
      <c r="BS381" s="21">
        <v>1852</v>
      </c>
      <c r="BT381"/>
    </row>
    <row r="382" spans="1:72" s="23" customFormat="1" ht="18" customHeight="1" x14ac:dyDescent="0.3">
      <c r="A382" s="35" t="s">
        <v>372</v>
      </c>
      <c r="B382" s="37"/>
      <c r="C382" s="37"/>
      <c r="D382" s="37"/>
      <c r="E382" s="37"/>
      <c r="F382" s="35" t="s">
        <v>1380</v>
      </c>
      <c r="G382" s="37"/>
      <c r="H382" s="37"/>
      <c r="I382" s="37"/>
      <c r="J382" s="37"/>
      <c r="K382" s="21" t="str">
        <f t="shared" si="273"/>
        <v>Apprenant 370</v>
      </c>
      <c r="L382" s="22" t="str">
        <f t="shared" si="274"/>
        <v/>
      </c>
      <c r="M382" s="22" t="str">
        <f t="shared" si="275"/>
        <v/>
      </c>
      <c r="N382" s="22" t="str">
        <f t="shared" si="276"/>
        <v/>
      </c>
      <c r="O382" s="22" t="str">
        <f t="shared" si="277"/>
        <v/>
      </c>
      <c r="P382" s="21" t="str">
        <f t="shared" si="278"/>
        <v>Apprenant 370 ou 370'</v>
      </c>
      <c r="Q382" s="22" t="str">
        <f t="shared" si="279"/>
        <v/>
      </c>
      <c r="R382" s="22" t="str">
        <f t="shared" si="280"/>
        <v/>
      </c>
      <c r="S382" s="22" t="str">
        <f t="shared" si="281"/>
        <v/>
      </c>
      <c r="T382" s="22" t="str">
        <f t="shared" si="282"/>
        <v/>
      </c>
      <c r="V382" s="21" t="str">
        <f t="shared" si="283"/>
        <v>Apprenant 370</v>
      </c>
      <c r="W382" s="22" t="str">
        <f>IF(AND(OR('Choix pédagogiques'!$C$3=1,'Choix pédagogiques'!$C$3=2),$BM382=1),B382,IF(AND('Choix pédagogiques'!$C$3=3,$BO382=1),B382,""))</f>
        <v/>
      </c>
      <c r="X382" s="22" t="str">
        <f>IF(AND(OR('Choix pédagogiques'!$C$3=1,'Choix pédagogiques'!$C$3=2),$BM382=1),C382,IF(AND('Choix pédagogiques'!$C$3=3,$BO382=1),C382,""))</f>
        <v/>
      </c>
      <c r="Y382" s="22" t="str">
        <f>IF(AND(OR('Choix pédagogiques'!$C$3=1,'Choix pédagogiques'!$C$3=2),$BM382=1),D382,IF(AND('Choix pédagogiques'!$C$3=3,$BO382=1),D382,""))</f>
        <v/>
      </c>
      <c r="Z382" s="22" t="str">
        <f t="shared" si="284"/>
        <v/>
      </c>
      <c r="AA382" s="21" t="str">
        <f t="shared" si="285"/>
        <v>Apprenant 370 ou 370'</v>
      </c>
      <c r="AB382" s="22" t="str">
        <f>IF(AND(OR('Choix pédagogiques'!$C$3=1,'Choix pédagogiques'!$C$3=2),$BN382=1),G382,IF(AND('Choix pédagogiques'!$C$3=3,$BO382=1),G382,""))</f>
        <v/>
      </c>
      <c r="AC382" s="22" t="str">
        <f>IF(AND(OR('Choix pédagogiques'!$C$3=1,'Choix pédagogiques'!$C$3=2),$BN382=1),H382,IF(AND('Choix pédagogiques'!$C$3=3,$BO382=1),H382,""))</f>
        <v/>
      </c>
      <c r="AD382" s="22" t="str">
        <f>IF(AND(OR('Choix pédagogiques'!$C$3=1,'Choix pédagogiques'!$C$3=2),$BN382=1),I382,IF(AND('Choix pédagogiques'!$C$3=3,$BO382=1),I382,""))</f>
        <v/>
      </c>
      <c r="AE382" s="22" t="str">
        <f t="shared" si="286"/>
        <v/>
      </c>
      <c r="AF382" s="21" t="str">
        <f t="shared" si="287"/>
        <v>Apprenant 370</v>
      </c>
      <c r="AG382" s="22" t="str">
        <f t="shared" si="261"/>
        <v/>
      </c>
      <c r="AH382" s="22" t="str">
        <f t="shared" si="262"/>
        <v/>
      </c>
      <c r="AI382" s="22" t="str">
        <f t="shared" si="263"/>
        <v/>
      </c>
      <c r="AJ382" s="22" t="str">
        <f t="shared" si="288"/>
        <v/>
      </c>
      <c r="AK382" s="21" t="str">
        <f t="shared" si="289"/>
        <v>Apprenant 370 ou 370'</v>
      </c>
      <c r="AL382" s="22" t="str">
        <f t="shared" si="264"/>
        <v/>
      </c>
      <c r="AM382" s="22" t="str">
        <f t="shared" si="265"/>
        <v/>
      </c>
      <c r="AN382" s="22" t="str">
        <f t="shared" si="266"/>
        <v/>
      </c>
      <c r="AO382" s="22" t="str">
        <f t="shared" si="290"/>
        <v/>
      </c>
      <c r="AQ382" s="21" t="str">
        <f t="shared" si="291"/>
        <v>Apprenant 370</v>
      </c>
      <c r="AR382" s="49" t="str">
        <f>IF(AND('Choix pédagogiques'!$C$4&lt;&gt;"?",'Choix pédagogiques'!$C$5&lt;&gt;"?",W382&lt;&gt;""),(W382-'Choix pédagogiques'!$C$4)/('Choix pédagogiques'!$C$5-'Choix pédagogiques'!$C$4),"")</f>
        <v/>
      </c>
      <c r="AS382" s="49" t="str">
        <f>IF(AND('Choix pédagogiques'!$C$4&lt;&gt;"?",'Choix pédagogiques'!$C$5&lt;&gt;"?",X382&lt;&gt;""),(X382-'Choix pédagogiques'!$C$4)/('Choix pédagogiques'!$C$5-'Choix pédagogiques'!$C$4),"")</f>
        <v/>
      </c>
      <c r="AT382" s="49" t="str">
        <f>IF(AND('Choix pédagogiques'!$C$4&lt;&gt;"?",'Choix pédagogiques'!$C$5&lt;&gt;"?",Y382&lt;&gt;""),(Y382-'Choix pédagogiques'!$C$4)/('Choix pédagogiques'!$C$5-'Choix pédagogiques'!$C$4),"")</f>
        <v/>
      </c>
      <c r="AU382" s="22" t="str">
        <f t="shared" si="292"/>
        <v/>
      </c>
      <c r="AV382" s="21" t="str">
        <f t="shared" si="293"/>
        <v>Apprenant 370 ou 370'</v>
      </c>
      <c r="AW382" s="49" t="str">
        <f>IF(AND('Choix pédagogiques'!$C$4&lt;&gt;"?",'Choix pédagogiques'!$C$5&lt;&gt;"?",AB382&lt;&gt;""),(AB382-'Choix pédagogiques'!$C$4)/('Choix pédagogiques'!$C$5-'Choix pédagogiques'!$C$4),"")</f>
        <v/>
      </c>
      <c r="AX382" s="49" t="str">
        <f>IF(AND('Choix pédagogiques'!$C$4&lt;&gt;"?",'Choix pédagogiques'!$C$5&lt;&gt;"?",AC382&lt;&gt;""),(AC382-'Choix pédagogiques'!$C$4)/('Choix pédagogiques'!$C$5-'Choix pédagogiques'!$C$4),"")</f>
        <v/>
      </c>
      <c r="AY382" s="49" t="str">
        <f>IF(AND('Choix pédagogiques'!$C$4&lt;&gt;"?",'Choix pédagogiques'!$C$5&lt;&gt;"?",AD382&lt;&gt;""),(AD382-'Choix pédagogiques'!$C$4)/('Choix pédagogiques'!$C$5-'Choix pédagogiques'!$C$4),"")</f>
        <v/>
      </c>
      <c r="AZ382" s="22" t="str">
        <f t="shared" si="294"/>
        <v/>
      </c>
      <c r="BA382" s="21" t="str">
        <f t="shared" si="295"/>
        <v>Apprenant 370</v>
      </c>
      <c r="BB382" s="49" t="str">
        <f t="shared" si="267"/>
        <v/>
      </c>
      <c r="BC382" s="49" t="str">
        <f t="shared" si="268"/>
        <v/>
      </c>
      <c r="BD382" s="49" t="str">
        <f t="shared" si="269"/>
        <v/>
      </c>
      <c r="BE382" s="22" t="str">
        <f t="shared" si="296"/>
        <v/>
      </c>
      <c r="BF382" s="21" t="str">
        <f t="shared" si="297"/>
        <v>Apprenant 370 ou 370'</v>
      </c>
      <c r="BG382" s="49" t="str">
        <f t="shared" si="270"/>
        <v/>
      </c>
      <c r="BH382" s="49" t="str">
        <f t="shared" si="271"/>
        <v/>
      </c>
      <c r="BI382" s="49" t="str">
        <f t="shared" si="272"/>
        <v/>
      </c>
      <c r="BJ382" s="22" t="str">
        <f t="shared" si="298"/>
        <v/>
      </c>
      <c r="BL382" s="21"/>
      <c r="BM382" s="21" t="str">
        <f>IF(OR(COUNT(B382:D1381)=0,AND('Choix pédagogiques'!$C$3&lt;&gt;1,'Choix pédagogiques'!$C$3&lt;&gt;2)),"",IF(AND(OR('Choix pédagogiques'!$C$3=1,'Choix pédagogiques'!$C$3=2),$B382&lt;&gt;"",$C382&lt;&gt;"",$D382&lt;&gt;""),1,0))</f>
        <v/>
      </c>
      <c r="BN382" s="21" t="str">
        <f>IF(OR(COUNT(G382:I1381)=0,AND('Choix pédagogiques'!$C$3&lt;&gt;1,'Choix pédagogiques'!$C$3&lt;&gt;2)),"",IF(AND(OR('Choix pédagogiques'!$C$3=1,'Choix pédagogiques'!$C$3=2),AND($G382&lt;&gt;"",$H382&lt;&gt;"",$I382&lt;&gt;"")),1,0))</f>
        <v/>
      </c>
      <c r="BO382" s="21" t="str">
        <f>IF(OR(COUNT(B382:D1381)=0,COUNT(G382:I1381)=0,'Choix pédagogiques'!C$3&lt;&gt;3),"",IF(AND('Choix pédagogiques'!$C$3=3,$B382&lt;&gt;"",$C382&lt;&gt;"",$D382&lt;&gt;"",$G382&lt;&gt;"",$H382&lt;&gt;"",$I382&lt;&gt;""),1,0))</f>
        <v/>
      </c>
      <c r="BR382" s="21">
        <v>445</v>
      </c>
      <c r="BS382" s="21">
        <v>1187</v>
      </c>
      <c r="BT382"/>
    </row>
    <row r="383" spans="1:72" s="23" customFormat="1" ht="18" customHeight="1" x14ac:dyDescent="0.3">
      <c r="A383" s="35" t="s">
        <v>373</v>
      </c>
      <c r="B383" s="37"/>
      <c r="C383" s="37"/>
      <c r="D383" s="37"/>
      <c r="E383" s="37"/>
      <c r="F383" s="35" t="s">
        <v>1381</v>
      </c>
      <c r="G383" s="37"/>
      <c r="H383" s="37"/>
      <c r="I383" s="37"/>
      <c r="J383" s="37"/>
      <c r="K383" s="21" t="str">
        <f t="shared" si="273"/>
        <v>Apprenant 371</v>
      </c>
      <c r="L383" s="22" t="str">
        <f t="shared" si="274"/>
        <v/>
      </c>
      <c r="M383" s="22" t="str">
        <f t="shared" si="275"/>
        <v/>
      </c>
      <c r="N383" s="22" t="str">
        <f t="shared" si="276"/>
        <v/>
      </c>
      <c r="O383" s="22" t="str">
        <f t="shared" si="277"/>
        <v/>
      </c>
      <c r="P383" s="21" t="str">
        <f t="shared" si="278"/>
        <v>Apprenant 371 ou 371'</v>
      </c>
      <c r="Q383" s="22" t="str">
        <f t="shared" si="279"/>
        <v/>
      </c>
      <c r="R383" s="22" t="str">
        <f t="shared" si="280"/>
        <v/>
      </c>
      <c r="S383" s="22" t="str">
        <f t="shared" si="281"/>
        <v/>
      </c>
      <c r="T383" s="22" t="str">
        <f t="shared" si="282"/>
        <v/>
      </c>
      <c r="V383" s="21" t="str">
        <f t="shared" si="283"/>
        <v>Apprenant 371</v>
      </c>
      <c r="W383" s="22" t="str">
        <f>IF(AND(OR('Choix pédagogiques'!$C$3=1,'Choix pédagogiques'!$C$3=2),$BM383=1),B383,IF(AND('Choix pédagogiques'!$C$3=3,$BO383=1),B383,""))</f>
        <v/>
      </c>
      <c r="X383" s="22" t="str">
        <f>IF(AND(OR('Choix pédagogiques'!$C$3=1,'Choix pédagogiques'!$C$3=2),$BM383=1),C383,IF(AND('Choix pédagogiques'!$C$3=3,$BO383=1),C383,""))</f>
        <v/>
      </c>
      <c r="Y383" s="22" t="str">
        <f>IF(AND(OR('Choix pédagogiques'!$C$3=1,'Choix pédagogiques'!$C$3=2),$BM383=1),D383,IF(AND('Choix pédagogiques'!$C$3=3,$BO383=1),D383,""))</f>
        <v/>
      </c>
      <c r="Z383" s="22" t="str">
        <f t="shared" si="284"/>
        <v/>
      </c>
      <c r="AA383" s="21" t="str">
        <f t="shared" si="285"/>
        <v>Apprenant 371 ou 371'</v>
      </c>
      <c r="AB383" s="22" t="str">
        <f>IF(AND(OR('Choix pédagogiques'!$C$3=1,'Choix pédagogiques'!$C$3=2),$BN383=1),G383,IF(AND('Choix pédagogiques'!$C$3=3,$BO383=1),G383,""))</f>
        <v/>
      </c>
      <c r="AC383" s="22" t="str">
        <f>IF(AND(OR('Choix pédagogiques'!$C$3=1,'Choix pédagogiques'!$C$3=2),$BN383=1),H383,IF(AND('Choix pédagogiques'!$C$3=3,$BO383=1),H383,""))</f>
        <v/>
      </c>
      <c r="AD383" s="22" t="str">
        <f>IF(AND(OR('Choix pédagogiques'!$C$3=1,'Choix pédagogiques'!$C$3=2),$BN383=1),I383,IF(AND('Choix pédagogiques'!$C$3=3,$BO383=1),I383,""))</f>
        <v/>
      </c>
      <c r="AE383" s="22" t="str">
        <f t="shared" si="286"/>
        <v/>
      </c>
      <c r="AF383" s="21" t="str">
        <f t="shared" si="287"/>
        <v>Apprenant 371</v>
      </c>
      <c r="AG383" s="22" t="str">
        <f t="shared" si="261"/>
        <v/>
      </c>
      <c r="AH383" s="22" t="str">
        <f t="shared" si="262"/>
        <v/>
      </c>
      <c r="AI383" s="22" t="str">
        <f t="shared" si="263"/>
        <v/>
      </c>
      <c r="AJ383" s="22" t="str">
        <f t="shared" si="288"/>
        <v/>
      </c>
      <c r="AK383" s="21" t="str">
        <f t="shared" si="289"/>
        <v>Apprenant 371 ou 371'</v>
      </c>
      <c r="AL383" s="22" t="str">
        <f t="shared" si="264"/>
        <v/>
      </c>
      <c r="AM383" s="22" t="str">
        <f t="shared" si="265"/>
        <v/>
      </c>
      <c r="AN383" s="22" t="str">
        <f t="shared" si="266"/>
        <v/>
      </c>
      <c r="AO383" s="22" t="str">
        <f t="shared" si="290"/>
        <v/>
      </c>
      <c r="AQ383" s="21" t="str">
        <f t="shared" si="291"/>
        <v>Apprenant 371</v>
      </c>
      <c r="AR383" s="49" t="str">
        <f>IF(AND('Choix pédagogiques'!$C$4&lt;&gt;"?",'Choix pédagogiques'!$C$5&lt;&gt;"?",W383&lt;&gt;""),(W383-'Choix pédagogiques'!$C$4)/('Choix pédagogiques'!$C$5-'Choix pédagogiques'!$C$4),"")</f>
        <v/>
      </c>
      <c r="AS383" s="49" t="str">
        <f>IF(AND('Choix pédagogiques'!$C$4&lt;&gt;"?",'Choix pédagogiques'!$C$5&lt;&gt;"?",X383&lt;&gt;""),(X383-'Choix pédagogiques'!$C$4)/('Choix pédagogiques'!$C$5-'Choix pédagogiques'!$C$4),"")</f>
        <v/>
      </c>
      <c r="AT383" s="49" t="str">
        <f>IF(AND('Choix pédagogiques'!$C$4&lt;&gt;"?",'Choix pédagogiques'!$C$5&lt;&gt;"?",Y383&lt;&gt;""),(Y383-'Choix pédagogiques'!$C$4)/('Choix pédagogiques'!$C$5-'Choix pédagogiques'!$C$4),"")</f>
        <v/>
      </c>
      <c r="AU383" s="22" t="str">
        <f t="shared" si="292"/>
        <v/>
      </c>
      <c r="AV383" s="21" t="str">
        <f t="shared" si="293"/>
        <v>Apprenant 371 ou 371'</v>
      </c>
      <c r="AW383" s="49" t="str">
        <f>IF(AND('Choix pédagogiques'!$C$4&lt;&gt;"?",'Choix pédagogiques'!$C$5&lt;&gt;"?",AB383&lt;&gt;""),(AB383-'Choix pédagogiques'!$C$4)/('Choix pédagogiques'!$C$5-'Choix pédagogiques'!$C$4),"")</f>
        <v/>
      </c>
      <c r="AX383" s="49" t="str">
        <f>IF(AND('Choix pédagogiques'!$C$4&lt;&gt;"?",'Choix pédagogiques'!$C$5&lt;&gt;"?",AC383&lt;&gt;""),(AC383-'Choix pédagogiques'!$C$4)/('Choix pédagogiques'!$C$5-'Choix pédagogiques'!$C$4),"")</f>
        <v/>
      </c>
      <c r="AY383" s="49" t="str">
        <f>IF(AND('Choix pédagogiques'!$C$4&lt;&gt;"?",'Choix pédagogiques'!$C$5&lt;&gt;"?",AD383&lt;&gt;""),(AD383-'Choix pédagogiques'!$C$4)/('Choix pédagogiques'!$C$5-'Choix pédagogiques'!$C$4),"")</f>
        <v/>
      </c>
      <c r="AZ383" s="22" t="str">
        <f t="shared" si="294"/>
        <v/>
      </c>
      <c r="BA383" s="21" t="str">
        <f t="shared" si="295"/>
        <v>Apprenant 371</v>
      </c>
      <c r="BB383" s="49" t="str">
        <f t="shared" si="267"/>
        <v/>
      </c>
      <c r="BC383" s="49" t="str">
        <f t="shared" si="268"/>
        <v/>
      </c>
      <c r="BD383" s="49" t="str">
        <f t="shared" si="269"/>
        <v/>
      </c>
      <c r="BE383" s="22" t="str">
        <f t="shared" si="296"/>
        <v/>
      </c>
      <c r="BF383" s="21" t="str">
        <f t="shared" si="297"/>
        <v>Apprenant 371 ou 371'</v>
      </c>
      <c r="BG383" s="49" t="str">
        <f t="shared" si="270"/>
        <v/>
      </c>
      <c r="BH383" s="49" t="str">
        <f t="shared" si="271"/>
        <v/>
      </c>
      <c r="BI383" s="49" t="str">
        <f t="shared" si="272"/>
        <v/>
      </c>
      <c r="BJ383" s="22" t="str">
        <f t="shared" si="298"/>
        <v/>
      </c>
      <c r="BL383" s="21"/>
      <c r="BM383" s="21" t="str">
        <f>IF(OR(COUNT(B383:D1382)=0,AND('Choix pédagogiques'!$C$3&lt;&gt;1,'Choix pédagogiques'!$C$3&lt;&gt;2)),"",IF(AND(OR('Choix pédagogiques'!$C$3=1,'Choix pédagogiques'!$C$3=2),$B383&lt;&gt;"",$C383&lt;&gt;"",$D383&lt;&gt;""),1,0))</f>
        <v/>
      </c>
      <c r="BN383" s="21" t="str">
        <f>IF(OR(COUNT(G383:I1382)=0,AND('Choix pédagogiques'!$C$3&lt;&gt;1,'Choix pédagogiques'!$C$3&lt;&gt;2)),"",IF(AND(OR('Choix pédagogiques'!$C$3=1,'Choix pédagogiques'!$C$3=2),AND($G383&lt;&gt;"",$H383&lt;&gt;"",$I383&lt;&gt;"")),1,0))</f>
        <v/>
      </c>
      <c r="BO383" s="21" t="str">
        <f>IF(OR(COUNT(B383:D1382)=0,COUNT(G383:I1382)=0,'Choix pédagogiques'!C$3&lt;&gt;3),"",IF(AND('Choix pédagogiques'!$C$3=3,$B383&lt;&gt;"",$C383&lt;&gt;"",$D383&lt;&gt;"",$G383&lt;&gt;"",$H383&lt;&gt;"",$I383&lt;&gt;""),1,0))</f>
        <v/>
      </c>
      <c r="BR383" s="21">
        <v>136</v>
      </c>
      <c r="BS383" s="21">
        <v>1466</v>
      </c>
      <c r="BT383"/>
    </row>
    <row r="384" spans="1:72" s="23" customFormat="1" ht="18" customHeight="1" x14ac:dyDescent="0.3">
      <c r="A384" s="35" t="s">
        <v>374</v>
      </c>
      <c r="B384" s="37"/>
      <c r="C384" s="37"/>
      <c r="D384" s="37"/>
      <c r="E384" s="37"/>
      <c r="F384" s="35" t="s">
        <v>1382</v>
      </c>
      <c r="G384" s="37"/>
      <c r="H384" s="37"/>
      <c r="I384" s="37"/>
      <c r="J384" s="37"/>
      <c r="K384" s="21" t="str">
        <f t="shared" si="273"/>
        <v>Apprenant 372</v>
      </c>
      <c r="L384" s="22" t="str">
        <f t="shared" si="274"/>
        <v/>
      </c>
      <c r="M384" s="22" t="str">
        <f t="shared" si="275"/>
        <v/>
      </c>
      <c r="N384" s="22" t="str">
        <f t="shared" si="276"/>
        <v/>
      </c>
      <c r="O384" s="22" t="str">
        <f t="shared" si="277"/>
        <v/>
      </c>
      <c r="P384" s="21" t="str">
        <f t="shared" si="278"/>
        <v>Apprenant 372 ou 372'</v>
      </c>
      <c r="Q384" s="22" t="str">
        <f t="shared" si="279"/>
        <v/>
      </c>
      <c r="R384" s="22" t="str">
        <f t="shared" si="280"/>
        <v/>
      </c>
      <c r="S384" s="22" t="str">
        <f t="shared" si="281"/>
        <v/>
      </c>
      <c r="T384" s="22" t="str">
        <f t="shared" si="282"/>
        <v/>
      </c>
      <c r="V384" s="21" t="str">
        <f t="shared" si="283"/>
        <v>Apprenant 372</v>
      </c>
      <c r="W384" s="22" t="str">
        <f>IF(AND(OR('Choix pédagogiques'!$C$3=1,'Choix pédagogiques'!$C$3=2),$BM384=1),B384,IF(AND('Choix pédagogiques'!$C$3=3,$BO384=1),B384,""))</f>
        <v/>
      </c>
      <c r="X384" s="22" t="str">
        <f>IF(AND(OR('Choix pédagogiques'!$C$3=1,'Choix pédagogiques'!$C$3=2),$BM384=1),C384,IF(AND('Choix pédagogiques'!$C$3=3,$BO384=1),C384,""))</f>
        <v/>
      </c>
      <c r="Y384" s="22" t="str">
        <f>IF(AND(OR('Choix pédagogiques'!$C$3=1,'Choix pédagogiques'!$C$3=2),$BM384=1),D384,IF(AND('Choix pédagogiques'!$C$3=3,$BO384=1),D384,""))</f>
        <v/>
      </c>
      <c r="Z384" s="22" t="str">
        <f t="shared" si="284"/>
        <v/>
      </c>
      <c r="AA384" s="21" t="str">
        <f t="shared" si="285"/>
        <v>Apprenant 372 ou 372'</v>
      </c>
      <c r="AB384" s="22" t="str">
        <f>IF(AND(OR('Choix pédagogiques'!$C$3=1,'Choix pédagogiques'!$C$3=2),$BN384=1),G384,IF(AND('Choix pédagogiques'!$C$3=3,$BO384=1),G384,""))</f>
        <v/>
      </c>
      <c r="AC384" s="22" t="str">
        <f>IF(AND(OR('Choix pédagogiques'!$C$3=1,'Choix pédagogiques'!$C$3=2),$BN384=1),H384,IF(AND('Choix pédagogiques'!$C$3=3,$BO384=1),H384,""))</f>
        <v/>
      </c>
      <c r="AD384" s="22" t="str">
        <f>IF(AND(OR('Choix pédagogiques'!$C$3=1,'Choix pédagogiques'!$C$3=2),$BN384=1),I384,IF(AND('Choix pédagogiques'!$C$3=3,$BO384=1),I384,""))</f>
        <v/>
      </c>
      <c r="AE384" s="22" t="str">
        <f t="shared" si="286"/>
        <v/>
      </c>
      <c r="AF384" s="21" t="str">
        <f t="shared" si="287"/>
        <v>Apprenant 372</v>
      </c>
      <c r="AG384" s="22" t="str">
        <f t="shared" si="261"/>
        <v/>
      </c>
      <c r="AH384" s="22" t="str">
        <f t="shared" si="262"/>
        <v/>
      </c>
      <c r="AI384" s="22" t="str">
        <f t="shared" si="263"/>
        <v/>
      </c>
      <c r="AJ384" s="22" t="str">
        <f t="shared" si="288"/>
        <v/>
      </c>
      <c r="AK384" s="21" t="str">
        <f t="shared" si="289"/>
        <v>Apprenant 372 ou 372'</v>
      </c>
      <c r="AL384" s="22" t="str">
        <f t="shared" si="264"/>
        <v/>
      </c>
      <c r="AM384" s="22" t="str">
        <f t="shared" si="265"/>
        <v/>
      </c>
      <c r="AN384" s="22" t="str">
        <f t="shared" si="266"/>
        <v/>
      </c>
      <c r="AO384" s="22" t="str">
        <f t="shared" si="290"/>
        <v/>
      </c>
      <c r="AQ384" s="21" t="str">
        <f t="shared" si="291"/>
        <v>Apprenant 372</v>
      </c>
      <c r="AR384" s="49" t="str">
        <f>IF(AND('Choix pédagogiques'!$C$4&lt;&gt;"?",'Choix pédagogiques'!$C$5&lt;&gt;"?",W384&lt;&gt;""),(W384-'Choix pédagogiques'!$C$4)/('Choix pédagogiques'!$C$5-'Choix pédagogiques'!$C$4),"")</f>
        <v/>
      </c>
      <c r="AS384" s="49" t="str">
        <f>IF(AND('Choix pédagogiques'!$C$4&lt;&gt;"?",'Choix pédagogiques'!$C$5&lt;&gt;"?",X384&lt;&gt;""),(X384-'Choix pédagogiques'!$C$4)/('Choix pédagogiques'!$C$5-'Choix pédagogiques'!$C$4),"")</f>
        <v/>
      </c>
      <c r="AT384" s="49" t="str">
        <f>IF(AND('Choix pédagogiques'!$C$4&lt;&gt;"?",'Choix pédagogiques'!$C$5&lt;&gt;"?",Y384&lt;&gt;""),(Y384-'Choix pédagogiques'!$C$4)/('Choix pédagogiques'!$C$5-'Choix pédagogiques'!$C$4),"")</f>
        <v/>
      </c>
      <c r="AU384" s="22" t="str">
        <f t="shared" si="292"/>
        <v/>
      </c>
      <c r="AV384" s="21" t="str">
        <f t="shared" si="293"/>
        <v>Apprenant 372 ou 372'</v>
      </c>
      <c r="AW384" s="49" t="str">
        <f>IF(AND('Choix pédagogiques'!$C$4&lt;&gt;"?",'Choix pédagogiques'!$C$5&lt;&gt;"?",AB384&lt;&gt;""),(AB384-'Choix pédagogiques'!$C$4)/('Choix pédagogiques'!$C$5-'Choix pédagogiques'!$C$4),"")</f>
        <v/>
      </c>
      <c r="AX384" s="49" t="str">
        <f>IF(AND('Choix pédagogiques'!$C$4&lt;&gt;"?",'Choix pédagogiques'!$C$5&lt;&gt;"?",AC384&lt;&gt;""),(AC384-'Choix pédagogiques'!$C$4)/('Choix pédagogiques'!$C$5-'Choix pédagogiques'!$C$4),"")</f>
        <v/>
      </c>
      <c r="AY384" s="49" t="str">
        <f>IF(AND('Choix pédagogiques'!$C$4&lt;&gt;"?",'Choix pédagogiques'!$C$5&lt;&gt;"?",AD384&lt;&gt;""),(AD384-'Choix pédagogiques'!$C$4)/('Choix pédagogiques'!$C$5-'Choix pédagogiques'!$C$4),"")</f>
        <v/>
      </c>
      <c r="AZ384" s="22" t="str">
        <f t="shared" si="294"/>
        <v/>
      </c>
      <c r="BA384" s="21" t="str">
        <f t="shared" si="295"/>
        <v>Apprenant 372</v>
      </c>
      <c r="BB384" s="49" t="str">
        <f t="shared" si="267"/>
        <v/>
      </c>
      <c r="BC384" s="49" t="str">
        <f t="shared" si="268"/>
        <v/>
      </c>
      <c r="BD384" s="49" t="str">
        <f t="shared" si="269"/>
        <v/>
      </c>
      <c r="BE384" s="22" t="str">
        <f t="shared" si="296"/>
        <v/>
      </c>
      <c r="BF384" s="21" t="str">
        <f t="shared" si="297"/>
        <v>Apprenant 372 ou 372'</v>
      </c>
      <c r="BG384" s="49" t="str">
        <f t="shared" si="270"/>
        <v/>
      </c>
      <c r="BH384" s="49" t="str">
        <f t="shared" si="271"/>
        <v/>
      </c>
      <c r="BI384" s="49" t="str">
        <f t="shared" si="272"/>
        <v/>
      </c>
      <c r="BJ384" s="22" t="str">
        <f t="shared" si="298"/>
        <v/>
      </c>
      <c r="BL384" s="21"/>
      <c r="BM384" s="21" t="str">
        <f>IF(OR(COUNT(B384:D1383)=0,AND('Choix pédagogiques'!$C$3&lt;&gt;1,'Choix pédagogiques'!$C$3&lt;&gt;2)),"",IF(AND(OR('Choix pédagogiques'!$C$3=1,'Choix pédagogiques'!$C$3=2),$B384&lt;&gt;"",$C384&lt;&gt;"",$D384&lt;&gt;""),1,0))</f>
        <v/>
      </c>
      <c r="BN384" s="21" t="str">
        <f>IF(OR(COUNT(G384:I1383)=0,AND('Choix pédagogiques'!$C$3&lt;&gt;1,'Choix pédagogiques'!$C$3&lt;&gt;2)),"",IF(AND(OR('Choix pédagogiques'!$C$3=1,'Choix pédagogiques'!$C$3=2),AND($G384&lt;&gt;"",$H384&lt;&gt;"",$I384&lt;&gt;"")),1,0))</f>
        <v/>
      </c>
      <c r="BO384" s="21" t="str">
        <f>IF(OR(COUNT(B384:D1383)=0,COUNT(G384:I1383)=0,'Choix pédagogiques'!C$3&lt;&gt;3),"",IF(AND('Choix pédagogiques'!$C$3=3,$B384&lt;&gt;"",$C384&lt;&gt;"",$D384&lt;&gt;"",$G384&lt;&gt;"",$H384&lt;&gt;"",$I384&lt;&gt;""),1,0))</f>
        <v/>
      </c>
      <c r="BR384" s="21">
        <v>490</v>
      </c>
      <c r="BS384" s="21">
        <v>1914</v>
      </c>
      <c r="BT384"/>
    </row>
    <row r="385" spans="1:72" s="23" customFormat="1" ht="18" customHeight="1" x14ac:dyDescent="0.3">
      <c r="A385" s="35" t="s">
        <v>375</v>
      </c>
      <c r="B385" s="37"/>
      <c r="C385" s="37"/>
      <c r="D385" s="37"/>
      <c r="E385" s="37"/>
      <c r="F385" s="35" t="s">
        <v>1383</v>
      </c>
      <c r="G385" s="37"/>
      <c r="H385" s="37"/>
      <c r="I385" s="37"/>
      <c r="J385" s="37"/>
      <c r="K385" s="21" t="str">
        <f t="shared" si="273"/>
        <v>Apprenant 373</v>
      </c>
      <c r="L385" s="22" t="str">
        <f t="shared" si="274"/>
        <v/>
      </c>
      <c r="M385" s="22" t="str">
        <f t="shared" si="275"/>
        <v/>
      </c>
      <c r="N385" s="22" t="str">
        <f t="shared" si="276"/>
        <v/>
      </c>
      <c r="O385" s="22" t="str">
        <f t="shared" si="277"/>
        <v/>
      </c>
      <c r="P385" s="21" t="str">
        <f t="shared" si="278"/>
        <v>Apprenant 373 ou 373'</v>
      </c>
      <c r="Q385" s="22" t="str">
        <f t="shared" si="279"/>
        <v/>
      </c>
      <c r="R385" s="22" t="str">
        <f t="shared" si="280"/>
        <v/>
      </c>
      <c r="S385" s="22" t="str">
        <f t="shared" si="281"/>
        <v/>
      </c>
      <c r="T385" s="22" t="str">
        <f t="shared" si="282"/>
        <v/>
      </c>
      <c r="V385" s="21" t="str">
        <f t="shared" si="283"/>
        <v>Apprenant 373</v>
      </c>
      <c r="W385" s="22" t="str">
        <f>IF(AND(OR('Choix pédagogiques'!$C$3=1,'Choix pédagogiques'!$C$3=2),$BM385=1),B385,IF(AND('Choix pédagogiques'!$C$3=3,$BO385=1),B385,""))</f>
        <v/>
      </c>
      <c r="X385" s="22" t="str">
        <f>IF(AND(OR('Choix pédagogiques'!$C$3=1,'Choix pédagogiques'!$C$3=2),$BM385=1),C385,IF(AND('Choix pédagogiques'!$C$3=3,$BO385=1),C385,""))</f>
        <v/>
      </c>
      <c r="Y385" s="22" t="str">
        <f>IF(AND(OR('Choix pédagogiques'!$C$3=1,'Choix pédagogiques'!$C$3=2),$BM385=1),D385,IF(AND('Choix pédagogiques'!$C$3=3,$BO385=1),D385,""))</f>
        <v/>
      </c>
      <c r="Z385" s="22" t="str">
        <f t="shared" si="284"/>
        <v/>
      </c>
      <c r="AA385" s="21" t="str">
        <f t="shared" si="285"/>
        <v>Apprenant 373 ou 373'</v>
      </c>
      <c r="AB385" s="22" t="str">
        <f>IF(AND(OR('Choix pédagogiques'!$C$3=1,'Choix pédagogiques'!$C$3=2),$BN385=1),G385,IF(AND('Choix pédagogiques'!$C$3=3,$BO385=1),G385,""))</f>
        <v/>
      </c>
      <c r="AC385" s="22" t="str">
        <f>IF(AND(OR('Choix pédagogiques'!$C$3=1,'Choix pédagogiques'!$C$3=2),$BN385=1),H385,IF(AND('Choix pédagogiques'!$C$3=3,$BO385=1),H385,""))</f>
        <v/>
      </c>
      <c r="AD385" s="22" t="str">
        <f>IF(AND(OR('Choix pédagogiques'!$C$3=1,'Choix pédagogiques'!$C$3=2),$BN385=1),I385,IF(AND('Choix pédagogiques'!$C$3=3,$BO385=1),I385,""))</f>
        <v/>
      </c>
      <c r="AE385" s="22" t="str">
        <f t="shared" si="286"/>
        <v/>
      </c>
      <c r="AF385" s="21" t="str">
        <f t="shared" si="287"/>
        <v>Apprenant 373</v>
      </c>
      <c r="AG385" s="22" t="str">
        <f t="shared" si="261"/>
        <v/>
      </c>
      <c r="AH385" s="22" t="str">
        <f t="shared" si="262"/>
        <v/>
      </c>
      <c r="AI385" s="22" t="str">
        <f t="shared" si="263"/>
        <v/>
      </c>
      <c r="AJ385" s="22" t="str">
        <f t="shared" si="288"/>
        <v/>
      </c>
      <c r="AK385" s="21" t="str">
        <f t="shared" si="289"/>
        <v>Apprenant 373 ou 373'</v>
      </c>
      <c r="AL385" s="22" t="str">
        <f t="shared" si="264"/>
        <v/>
      </c>
      <c r="AM385" s="22" t="str">
        <f t="shared" si="265"/>
        <v/>
      </c>
      <c r="AN385" s="22" t="str">
        <f t="shared" si="266"/>
        <v/>
      </c>
      <c r="AO385" s="22" t="str">
        <f t="shared" si="290"/>
        <v/>
      </c>
      <c r="AQ385" s="21" t="str">
        <f t="shared" si="291"/>
        <v>Apprenant 373</v>
      </c>
      <c r="AR385" s="49" t="str">
        <f>IF(AND('Choix pédagogiques'!$C$4&lt;&gt;"?",'Choix pédagogiques'!$C$5&lt;&gt;"?",W385&lt;&gt;""),(W385-'Choix pédagogiques'!$C$4)/('Choix pédagogiques'!$C$5-'Choix pédagogiques'!$C$4),"")</f>
        <v/>
      </c>
      <c r="AS385" s="49" t="str">
        <f>IF(AND('Choix pédagogiques'!$C$4&lt;&gt;"?",'Choix pédagogiques'!$C$5&lt;&gt;"?",X385&lt;&gt;""),(X385-'Choix pédagogiques'!$C$4)/('Choix pédagogiques'!$C$5-'Choix pédagogiques'!$C$4),"")</f>
        <v/>
      </c>
      <c r="AT385" s="49" t="str">
        <f>IF(AND('Choix pédagogiques'!$C$4&lt;&gt;"?",'Choix pédagogiques'!$C$5&lt;&gt;"?",Y385&lt;&gt;""),(Y385-'Choix pédagogiques'!$C$4)/('Choix pédagogiques'!$C$5-'Choix pédagogiques'!$C$4),"")</f>
        <v/>
      </c>
      <c r="AU385" s="22" t="str">
        <f t="shared" si="292"/>
        <v/>
      </c>
      <c r="AV385" s="21" t="str">
        <f t="shared" si="293"/>
        <v>Apprenant 373 ou 373'</v>
      </c>
      <c r="AW385" s="49" t="str">
        <f>IF(AND('Choix pédagogiques'!$C$4&lt;&gt;"?",'Choix pédagogiques'!$C$5&lt;&gt;"?",AB385&lt;&gt;""),(AB385-'Choix pédagogiques'!$C$4)/('Choix pédagogiques'!$C$5-'Choix pédagogiques'!$C$4),"")</f>
        <v/>
      </c>
      <c r="AX385" s="49" t="str">
        <f>IF(AND('Choix pédagogiques'!$C$4&lt;&gt;"?",'Choix pédagogiques'!$C$5&lt;&gt;"?",AC385&lt;&gt;""),(AC385-'Choix pédagogiques'!$C$4)/('Choix pédagogiques'!$C$5-'Choix pédagogiques'!$C$4),"")</f>
        <v/>
      </c>
      <c r="AY385" s="49" t="str">
        <f>IF(AND('Choix pédagogiques'!$C$4&lt;&gt;"?",'Choix pédagogiques'!$C$5&lt;&gt;"?",AD385&lt;&gt;""),(AD385-'Choix pédagogiques'!$C$4)/('Choix pédagogiques'!$C$5-'Choix pédagogiques'!$C$4),"")</f>
        <v/>
      </c>
      <c r="AZ385" s="22" t="str">
        <f t="shared" si="294"/>
        <v/>
      </c>
      <c r="BA385" s="21" t="str">
        <f t="shared" si="295"/>
        <v>Apprenant 373</v>
      </c>
      <c r="BB385" s="49" t="str">
        <f t="shared" si="267"/>
        <v/>
      </c>
      <c r="BC385" s="49" t="str">
        <f t="shared" si="268"/>
        <v/>
      </c>
      <c r="BD385" s="49" t="str">
        <f t="shared" si="269"/>
        <v/>
      </c>
      <c r="BE385" s="22" t="str">
        <f t="shared" si="296"/>
        <v/>
      </c>
      <c r="BF385" s="21" t="str">
        <f t="shared" si="297"/>
        <v>Apprenant 373 ou 373'</v>
      </c>
      <c r="BG385" s="49" t="str">
        <f t="shared" si="270"/>
        <v/>
      </c>
      <c r="BH385" s="49" t="str">
        <f t="shared" si="271"/>
        <v/>
      </c>
      <c r="BI385" s="49" t="str">
        <f t="shared" si="272"/>
        <v/>
      </c>
      <c r="BJ385" s="22" t="str">
        <f t="shared" si="298"/>
        <v/>
      </c>
      <c r="BL385" s="21"/>
      <c r="BM385" s="21" t="str">
        <f>IF(OR(COUNT(B385:D1384)=0,AND('Choix pédagogiques'!$C$3&lt;&gt;1,'Choix pédagogiques'!$C$3&lt;&gt;2)),"",IF(AND(OR('Choix pédagogiques'!$C$3=1,'Choix pédagogiques'!$C$3=2),$B385&lt;&gt;"",$C385&lt;&gt;"",$D385&lt;&gt;""),1,0))</f>
        <v/>
      </c>
      <c r="BN385" s="21" t="str">
        <f>IF(OR(COUNT(G385:I1384)=0,AND('Choix pédagogiques'!$C$3&lt;&gt;1,'Choix pédagogiques'!$C$3&lt;&gt;2)),"",IF(AND(OR('Choix pédagogiques'!$C$3=1,'Choix pédagogiques'!$C$3=2),AND($G385&lt;&gt;"",$H385&lt;&gt;"",$I385&lt;&gt;"")),1,0))</f>
        <v/>
      </c>
      <c r="BO385" s="21" t="str">
        <f>IF(OR(COUNT(B385:D1384)=0,COUNT(G385:I1384)=0,'Choix pédagogiques'!C$3&lt;&gt;3),"",IF(AND('Choix pédagogiques'!$C$3=3,$B385&lt;&gt;"",$C385&lt;&gt;"",$D385&lt;&gt;"",$G385&lt;&gt;"",$H385&lt;&gt;"",$I385&lt;&gt;""),1,0))</f>
        <v/>
      </c>
      <c r="BR385" s="21">
        <v>224</v>
      </c>
      <c r="BS385" s="21">
        <v>1839</v>
      </c>
      <c r="BT385"/>
    </row>
    <row r="386" spans="1:72" s="23" customFormat="1" ht="18" customHeight="1" x14ac:dyDescent="0.3">
      <c r="A386" s="35" t="s">
        <v>376</v>
      </c>
      <c r="B386" s="37"/>
      <c r="C386" s="37"/>
      <c r="D386" s="37"/>
      <c r="E386" s="37"/>
      <c r="F386" s="35" t="s">
        <v>1384</v>
      </c>
      <c r="G386" s="37"/>
      <c r="H386" s="37"/>
      <c r="I386" s="37"/>
      <c r="J386" s="37"/>
      <c r="K386" s="21" t="str">
        <f t="shared" si="273"/>
        <v>Apprenant 374</v>
      </c>
      <c r="L386" s="22" t="str">
        <f t="shared" si="274"/>
        <v/>
      </c>
      <c r="M386" s="22" t="str">
        <f t="shared" si="275"/>
        <v/>
      </c>
      <c r="N386" s="22" t="str">
        <f t="shared" si="276"/>
        <v/>
      </c>
      <c r="O386" s="22" t="str">
        <f t="shared" si="277"/>
        <v/>
      </c>
      <c r="P386" s="21" t="str">
        <f t="shared" si="278"/>
        <v>Apprenant 374 ou 374'</v>
      </c>
      <c r="Q386" s="22" t="str">
        <f t="shared" si="279"/>
        <v/>
      </c>
      <c r="R386" s="22" t="str">
        <f t="shared" si="280"/>
        <v/>
      </c>
      <c r="S386" s="22" t="str">
        <f t="shared" si="281"/>
        <v/>
      </c>
      <c r="T386" s="22" t="str">
        <f t="shared" si="282"/>
        <v/>
      </c>
      <c r="V386" s="21" t="str">
        <f t="shared" si="283"/>
        <v>Apprenant 374</v>
      </c>
      <c r="W386" s="22" t="str">
        <f>IF(AND(OR('Choix pédagogiques'!$C$3=1,'Choix pédagogiques'!$C$3=2),$BM386=1),B386,IF(AND('Choix pédagogiques'!$C$3=3,$BO386=1),B386,""))</f>
        <v/>
      </c>
      <c r="X386" s="22" t="str">
        <f>IF(AND(OR('Choix pédagogiques'!$C$3=1,'Choix pédagogiques'!$C$3=2),$BM386=1),C386,IF(AND('Choix pédagogiques'!$C$3=3,$BO386=1),C386,""))</f>
        <v/>
      </c>
      <c r="Y386" s="22" t="str">
        <f>IF(AND(OR('Choix pédagogiques'!$C$3=1,'Choix pédagogiques'!$C$3=2),$BM386=1),D386,IF(AND('Choix pédagogiques'!$C$3=3,$BO386=1),D386,""))</f>
        <v/>
      </c>
      <c r="Z386" s="22" t="str">
        <f t="shared" si="284"/>
        <v/>
      </c>
      <c r="AA386" s="21" t="str">
        <f t="shared" si="285"/>
        <v>Apprenant 374 ou 374'</v>
      </c>
      <c r="AB386" s="22" t="str">
        <f>IF(AND(OR('Choix pédagogiques'!$C$3=1,'Choix pédagogiques'!$C$3=2),$BN386=1),G386,IF(AND('Choix pédagogiques'!$C$3=3,$BO386=1),G386,""))</f>
        <v/>
      </c>
      <c r="AC386" s="22" t="str">
        <f>IF(AND(OR('Choix pédagogiques'!$C$3=1,'Choix pédagogiques'!$C$3=2),$BN386=1),H386,IF(AND('Choix pédagogiques'!$C$3=3,$BO386=1),H386,""))</f>
        <v/>
      </c>
      <c r="AD386" s="22" t="str">
        <f>IF(AND(OR('Choix pédagogiques'!$C$3=1,'Choix pédagogiques'!$C$3=2),$BN386=1),I386,IF(AND('Choix pédagogiques'!$C$3=3,$BO386=1),I386,""))</f>
        <v/>
      </c>
      <c r="AE386" s="22" t="str">
        <f t="shared" si="286"/>
        <v/>
      </c>
      <c r="AF386" s="21" t="str">
        <f t="shared" si="287"/>
        <v>Apprenant 374</v>
      </c>
      <c r="AG386" s="22" t="str">
        <f t="shared" si="261"/>
        <v/>
      </c>
      <c r="AH386" s="22" t="str">
        <f t="shared" si="262"/>
        <v/>
      </c>
      <c r="AI386" s="22" t="str">
        <f t="shared" si="263"/>
        <v/>
      </c>
      <c r="AJ386" s="22" t="str">
        <f t="shared" si="288"/>
        <v/>
      </c>
      <c r="AK386" s="21" t="str">
        <f t="shared" si="289"/>
        <v>Apprenant 374 ou 374'</v>
      </c>
      <c r="AL386" s="22" t="str">
        <f t="shared" si="264"/>
        <v/>
      </c>
      <c r="AM386" s="22" t="str">
        <f t="shared" si="265"/>
        <v/>
      </c>
      <c r="AN386" s="22" t="str">
        <f t="shared" si="266"/>
        <v/>
      </c>
      <c r="AO386" s="22" t="str">
        <f t="shared" si="290"/>
        <v/>
      </c>
      <c r="AQ386" s="21" t="str">
        <f t="shared" si="291"/>
        <v>Apprenant 374</v>
      </c>
      <c r="AR386" s="49" t="str">
        <f>IF(AND('Choix pédagogiques'!$C$4&lt;&gt;"?",'Choix pédagogiques'!$C$5&lt;&gt;"?",W386&lt;&gt;""),(W386-'Choix pédagogiques'!$C$4)/('Choix pédagogiques'!$C$5-'Choix pédagogiques'!$C$4),"")</f>
        <v/>
      </c>
      <c r="AS386" s="49" t="str">
        <f>IF(AND('Choix pédagogiques'!$C$4&lt;&gt;"?",'Choix pédagogiques'!$C$5&lt;&gt;"?",X386&lt;&gt;""),(X386-'Choix pédagogiques'!$C$4)/('Choix pédagogiques'!$C$5-'Choix pédagogiques'!$C$4),"")</f>
        <v/>
      </c>
      <c r="AT386" s="49" t="str">
        <f>IF(AND('Choix pédagogiques'!$C$4&lt;&gt;"?",'Choix pédagogiques'!$C$5&lt;&gt;"?",Y386&lt;&gt;""),(Y386-'Choix pédagogiques'!$C$4)/('Choix pédagogiques'!$C$5-'Choix pédagogiques'!$C$4),"")</f>
        <v/>
      </c>
      <c r="AU386" s="22" t="str">
        <f t="shared" si="292"/>
        <v/>
      </c>
      <c r="AV386" s="21" t="str">
        <f t="shared" si="293"/>
        <v>Apprenant 374 ou 374'</v>
      </c>
      <c r="AW386" s="49" t="str">
        <f>IF(AND('Choix pédagogiques'!$C$4&lt;&gt;"?",'Choix pédagogiques'!$C$5&lt;&gt;"?",AB386&lt;&gt;""),(AB386-'Choix pédagogiques'!$C$4)/('Choix pédagogiques'!$C$5-'Choix pédagogiques'!$C$4),"")</f>
        <v/>
      </c>
      <c r="AX386" s="49" t="str">
        <f>IF(AND('Choix pédagogiques'!$C$4&lt;&gt;"?",'Choix pédagogiques'!$C$5&lt;&gt;"?",AC386&lt;&gt;""),(AC386-'Choix pédagogiques'!$C$4)/('Choix pédagogiques'!$C$5-'Choix pédagogiques'!$C$4),"")</f>
        <v/>
      </c>
      <c r="AY386" s="49" t="str">
        <f>IF(AND('Choix pédagogiques'!$C$4&lt;&gt;"?",'Choix pédagogiques'!$C$5&lt;&gt;"?",AD386&lt;&gt;""),(AD386-'Choix pédagogiques'!$C$4)/('Choix pédagogiques'!$C$5-'Choix pédagogiques'!$C$4),"")</f>
        <v/>
      </c>
      <c r="AZ386" s="22" t="str">
        <f t="shared" si="294"/>
        <v/>
      </c>
      <c r="BA386" s="21" t="str">
        <f t="shared" si="295"/>
        <v>Apprenant 374</v>
      </c>
      <c r="BB386" s="49" t="str">
        <f t="shared" si="267"/>
        <v/>
      </c>
      <c r="BC386" s="49" t="str">
        <f t="shared" si="268"/>
        <v/>
      </c>
      <c r="BD386" s="49" t="str">
        <f t="shared" si="269"/>
        <v/>
      </c>
      <c r="BE386" s="22" t="str">
        <f t="shared" si="296"/>
        <v/>
      </c>
      <c r="BF386" s="21" t="str">
        <f t="shared" si="297"/>
        <v>Apprenant 374 ou 374'</v>
      </c>
      <c r="BG386" s="49" t="str">
        <f t="shared" si="270"/>
        <v/>
      </c>
      <c r="BH386" s="49" t="str">
        <f t="shared" si="271"/>
        <v/>
      </c>
      <c r="BI386" s="49" t="str">
        <f t="shared" si="272"/>
        <v/>
      </c>
      <c r="BJ386" s="22" t="str">
        <f t="shared" si="298"/>
        <v/>
      </c>
      <c r="BL386" s="21"/>
      <c r="BM386" s="21" t="str">
        <f>IF(OR(COUNT(B386:D1385)=0,AND('Choix pédagogiques'!$C$3&lt;&gt;1,'Choix pédagogiques'!$C$3&lt;&gt;2)),"",IF(AND(OR('Choix pédagogiques'!$C$3=1,'Choix pédagogiques'!$C$3=2),$B386&lt;&gt;"",$C386&lt;&gt;"",$D386&lt;&gt;""),1,0))</f>
        <v/>
      </c>
      <c r="BN386" s="21" t="str">
        <f>IF(OR(COUNT(G386:I1385)=0,AND('Choix pédagogiques'!$C$3&lt;&gt;1,'Choix pédagogiques'!$C$3&lt;&gt;2)),"",IF(AND(OR('Choix pédagogiques'!$C$3=1,'Choix pédagogiques'!$C$3=2),AND($G386&lt;&gt;"",$H386&lt;&gt;"",$I386&lt;&gt;"")),1,0))</f>
        <v/>
      </c>
      <c r="BO386" s="21" t="str">
        <f>IF(OR(COUNT(B386:D1385)=0,COUNT(G386:I1385)=0,'Choix pédagogiques'!C$3&lt;&gt;3),"",IF(AND('Choix pédagogiques'!$C$3=3,$B386&lt;&gt;"",$C386&lt;&gt;"",$D386&lt;&gt;"",$G386&lt;&gt;"",$H386&lt;&gt;"",$I386&lt;&gt;""),1,0))</f>
        <v/>
      </c>
      <c r="BR386" s="21">
        <v>317</v>
      </c>
      <c r="BS386" s="21">
        <v>1711</v>
      </c>
      <c r="BT386"/>
    </row>
    <row r="387" spans="1:72" s="23" customFormat="1" ht="18" customHeight="1" x14ac:dyDescent="0.3">
      <c r="A387" s="35" t="s">
        <v>377</v>
      </c>
      <c r="B387" s="37"/>
      <c r="C387" s="37"/>
      <c r="D387" s="37"/>
      <c r="E387" s="37"/>
      <c r="F387" s="35" t="s">
        <v>1385</v>
      </c>
      <c r="G387" s="37"/>
      <c r="H387" s="37"/>
      <c r="I387" s="37"/>
      <c r="J387" s="37"/>
      <c r="K387" s="21" t="str">
        <f t="shared" si="273"/>
        <v>Apprenant 375</v>
      </c>
      <c r="L387" s="22" t="str">
        <f t="shared" si="274"/>
        <v/>
      </c>
      <c r="M387" s="22" t="str">
        <f t="shared" si="275"/>
        <v/>
      </c>
      <c r="N387" s="22" t="str">
        <f t="shared" si="276"/>
        <v/>
      </c>
      <c r="O387" s="22" t="str">
        <f t="shared" si="277"/>
        <v/>
      </c>
      <c r="P387" s="21" t="str">
        <f t="shared" si="278"/>
        <v>Apprenant 375 ou 375'</v>
      </c>
      <c r="Q387" s="22" t="str">
        <f t="shared" si="279"/>
        <v/>
      </c>
      <c r="R387" s="22" t="str">
        <f t="shared" si="280"/>
        <v/>
      </c>
      <c r="S387" s="22" t="str">
        <f t="shared" si="281"/>
        <v/>
      </c>
      <c r="T387" s="22" t="str">
        <f t="shared" si="282"/>
        <v/>
      </c>
      <c r="V387" s="21" t="str">
        <f t="shared" si="283"/>
        <v>Apprenant 375</v>
      </c>
      <c r="W387" s="22" t="str">
        <f>IF(AND(OR('Choix pédagogiques'!$C$3=1,'Choix pédagogiques'!$C$3=2),$BM387=1),B387,IF(AND('Choix pédagogiques'!$C$3=3,$BO387=1),B387,""))</f>
        <v/>
      </c>
      <c r="X387" s="22" t="str">
        <f>IF(AND(OR('Choix pédagogiques'!$C$3=1,'Choix pédagogiques'!$C$3=2),$BM387=1),C387,IF(AND('Choix pédagogiques'!$C$3=3,$BO387=1),C387,""))</f>
        <v/>
      </c>
      <c r="Y387" s="22" t="str">
        <f>IF(AND(OR('Choix pédagogiques'!$C$3=1,'Choix pédagogiques'!$C$3=2),$BM387=1),D387,IF(AND('Choix pédagogiques'!$C$3=3,$BO387=1),D387,""))</f>
        <v/>
      </c>
      <c r="Z387" s="22" t="str">
        <f t="shared" si="284"/>
        <v/>
      </c>
      <c r="AA387" s="21" t="str">
        <f t="shared" si="285"/>
        <v>Apprenant 375 ou 375'</v>
      </c>
      <c r="AB387" s="22" t="str">
        <f>IF(AND(OR('Choix pédagogiques'!$C$3=1,'Choix pédagogiques'!$C$3=2),$BN387=1),G387,IF(AND('Choix pédagogiques'!$C$3=3,$BO387=1),G387,""))</f>
        <v/>
      </c>
      <c r="AC387" s="22" t="str">
        <f>IF(AND(OR('Choix pédagogiques'!$C$3=1,'Choix pédagogiques'!$C$3=2),$BN387=1),H387,IF(AND('Choix pédagogiques'!$C$3=3,$BO387=1),H387,""))</f>
        <v/>
      </c>
      <c r="AD387" s="22" t="str">
        <f>IF(AND(OR('Choix pédagogiques'!$C$3=1,'Choix pédagogiques'!$C$3=2),$BN387=1),I387,IF(AND('Choix pédagogiques'!$C$3=3,$BO387=1),I387,""))</f>
        <v/>
      </c>
      <c r="AE387" s="22" t="str">
        <f t="shared" si="286"/>
        <v/>
      </c>
      <c r="AF387" s="21" t="str">
        <f t="shared" si="287"/>
        <v>Apprenant 375</v>
      </c>
      <c r="AG387" s="22" t="str">
        <f t="shared" si="261"/>
        <v/>
      </c>
      <c r="AH387" s="22" t="str">
        <f t="shared" si="262"/>
        <v/>
      </c>
      <c r="AI387" s="22" t="str">
        <f t="shared" si="263"/>
        <v/>
      </c>
      <c r="AJ387" s="22" t="str">
        <f t="shared" si="288"/>
        <v/>
      </c>
      <c r="AK387" s="21" t="str">
        <f t="shared" si="289"/>
        <v>Apprenant 375 ou 375'</v>
      </c>
      <c r="AL387" s="22" t="str">
        <f t="shared" si="264"/>
        <v/>
      </c>
      <c r="AM387" s="22" t="str">
        <f t="shared" si="265"/>
        <v/>
      </c>
      <c r="AN387" s="22" t="str">
        <f t="shared" si="266"/>
        <v/>
      </c>
      <c r="AO387" s="22" t="str">
        <f t="shared" si="290"/>
        <v/>
      </c>
      <c r="AQ387" s="21" t="str">
        <f t="shared" si="291"/>
        <v>Apprenant 375</v>
      </c>
      <c r="AR387" s="49" t="str">
        <f>IF(AND('Choix pédagogiques'!$C$4&lt;&gt;"?",'Choix pédagogiques'!$C$5&lt;&gt;"?",W387&lt;&gt;""),(W387-'Choix pédagogiques'!$C$4)/('Choix pédagogiques'!$C$5-'Choix pédagogiques'!$C$4),"")</f>
        <v/>
      </c>
      <c r="AS387" s="49" t="str">
        <f>IF(AND('Choix pédagogiques'!$C$4&lt;&gt;"?",'Choix pédagogiques'!$C$5&lt;&gt;"?",X387&lt;&gt;""),(X387-'Choix pédagogiques'!$C$4)/('Choix pédagogiques'!$C$5-'Choix pédagogiques'!$C$4),"")</f>
        <v/>
      </c>
      <c r="AT387" s="49" t="str">
        <f>IF(AND('Choix pédagogiques'!$C$4&lt;&gt;"?",'Choix pédagogiques'!$C$5&lt;&gt;"?",Y387&lt;&gt;""),(Y387-'Choix pédagogiques'!$C$4)/('Choix pédagogiques'!$C$5-'Choix pédagogiques'!$C$4),"")</f>
        <v/>
      </c>
      <c r="AU387" s="22" t="str">
        <f t="shared" si="292"/>
        <v/>
      </c>
      <c r="AV387" s="21" t="str">
        <f t="shared" si="293"/>
        <v>Apprenant 375 ou 375'</v>
      </c>
      <c r="AW387" s="49" t="str">
        <f>IF(AND('Choix pédagogiques'!$C$4&lt;&gt;"?",'Choix pédagogiques'!$C$5&lt;&gt;"?",AB387&lt;&gt;""),(AB387-'Choix pédagogiques'!$C$4)/('Choix pédagogiques'!$C$5-'Choix pédagogiques'!$C$4),"")</f>
        <v/>
      </c>
      <c r="AX387" s="49" t="str">
        <f>IF(AND('Choix pédagogiques'!$C$4&lt;&gt;"?",'Choix pédagogiques'!$C$5&lt;&gt;"?",AC387&lt;&gt;""),(AC387-'Choix pédagogiques'!$C$4)/('Choix pédagogiques'!$C$5-'Choix pédagogiques'!$C$4),"")</f>
        <v/>
      </c>
      <c r="AY387" s="49" t="str">
        <f>IF(AND('Choix pédagogiques'!$C$4&lt;&gt;"?",'Choix pédagogiques'!$C$5&lt;&gt;"?",AD387&lt;&gt;""),(AD387-'Choix pédagogiques'!$C$4)/('Choix pédagogiques'!$C$5-'Choix pédagogiques'!$C$4),"")</f>
        <v/>
      </c>
      <c r="AZ387" s="22" t="str">
        <f t="shared" si="294"/>
        <v/>
      </c>
      <c r="BA387" s="21" t="str">
        <f t="shared" si="295"/>
        <v>Apprenant 375</v>
      </c>
      <c r="BB387" s="49" t="str">
        <f t="shared" si="267"/>
        <v/>
      </c>
      <c r="BC387" s="49" t="str">
        <f t="shared" si="268"/>
        <v/>
      </c>
      <c r="BD387" s="49" t="str">
        <f t="shared" si="269"/>
        <v/>
      </c>
      <c r="BE387" s="22" t="str">
        <f t="shared" si="296"/>
        <v/>
      </c>
      <c r="BF387" s="21" t="str">
        <f t="shared" si="297"/>
        <v>Apprenant 375 ou 375'</v>
      </c>
      <c r="BG387" s="49" t="str">
        <f t="shared" si="270"/>
        <v/>
      </c>
      <c r="BH387" s="49" t="str">
        <f t="shared" si="271"/>
        <v/>
      </c>
      <c r="BI387" s="49" t="str">
        <f t="shared" si="272"/>
        <v/>
      </c>
      <c r="BJ387" s="22" t="str">
        <f t="shared" si="298"/>
        <v/>
      </c>
      <c r="BL387" s="21"/>
      <c r="BM387" s="21" t="str">
        <f>IF(OR(COUNT(B387:D1386)=0,AND('Choix pédagogiques'!$C$3&lt;&gt;1,'Choix pédagogiques'!$C$3&lt;&gt;2)),"",IF(AND(OR('Choix pédagogiques'!$C$3=1,'Choix pédagogiques'!$C$3=2),$B387&lt;&gt;"",$C387&lt;&gt;"",$D387&lt;&gt;""),1,0))</f>
        <v/>
      </c>
      <c r="BN387" s="21" t="str">
        <f>IF(OR(COUNT(G387:I1386)=0,AND('Choix pédagogiques'!$C$3&lt;&gt;1,'Choix pédagogiques'!$C$3&lt;&gt;2)),"",IF(AND(OR('Choix pédagogiques'!$C$3=1,'Choix pédagogiques'!$C$3=2),AND($G387&lt;&gt;"",$H387&lt;&gt;"",$I387&lt;&gt;"")),1,0))</f>
        <v/>
      </c>
      <c r="BO387" s="21" t="str">
        <f>IF(OR(COUNT(B387:D1386)=0,COUNT(G387:I1386)=0,'Choix pédagogiques'!C$3&lt;&gt;3),"",IF(AND('Choix pédagogiques'!$C$3=3,$B387&lt;&gt;"",$C387&lt;&gt;"",$D387&lt;&gt;"",$G387&lt;&gt;"",$H387&lt;&gt;"",$I387&lt;&gt;""),1,0))</f>
        <v/>
      </c>
      <c r="BR387" s="21">
        <v>372</v>
      </c>
      <c r="BS387" s="21">
        <v>1901</v>
      </c>
      <c r="BT387"/>
    </row>
    <row r="388" spans="1:72" s="23" customFormat="1" ht="18" customHeight="1" x14ac:dyDescent="0.3">
      <c r="A388" s="35" t="s">
        <v>378</v>
      </c>
      <c r="B388" s="37"/>
      <c r="C388" s="37"/>
      <c r="D388" s="37"/>
      <c r="E388" s="37"/>
      <c r="F388" s="35" t="s">
        <v>1386</v>
      </c>
      <c r="G388" s="37"/>
      <c r="H388" s="37"/>
      <c r="I388" s="37"/>
      <c r="J388" s="37"/>
      <c r="K388" s="21" t="str">
        <f t="shared" si="273"/>
        <v>Apprenant 376</v>
      </c>
      <c r="L388" s="22" t="str">
        <f t="shared" si="274"/>
        <v/>
      </c>
      <c r="M388" s="22" t="str">
        <f t="shared" si="275"/>
        <v/>
      </c>
      <c r="N388" s="22" t="str">
        <f t="shared" si="276"/>
        <v/>
      </c>
      <c r="O388" s="22" t="str">
        <f t="shared" si="277"/>
        <v/>
      </c>
      <c r="P388" s="21" t="str">
        <f t="shared" si="278"/>
        <v>Apprenant 376 ou 376'</v>
      </c>
      <c r="Q388" s="22" t="str">
        <f t="shared" si="279"/>
        <v/>
      </c>
      <c r="R388" s="22" t="str">
        <f t="shared" si="280"/>
        <v/>
      </c>
      <c r="S388" s="22" t="str">
        <f t="shared" si="281"/>
        <v/>
      </c>
      <c r="T388" s="22" t="str">
        <f t="shared" si="282"/>
        <v/>
      </c>
      <c r="V388" s="21" t="str">
        <f t="shared" si="283"/>
        <v>Apprenant 376</v>
      </c>
      <c r="W388" s="22" t="str">
        <f>IF(AND(OR('Choix pédagogiques'!$C$3=1,'Choix pédagogiques'!$C$3=2),$BM388=1),B388,IF(AND('Choix pédagogiques'!$C$3=3,$BO388=1),B388,""))</f>
        <v/>
      </c>
      <c r="X388" s="22" t="str">
        <f>IF(AND(OR('Choix pédagogiques'!$C$3=1,'Choix pédagogiques'!$C$3=2),$BM388=1),C388,IF(AND('Choix pédagogiques'!$C$3=3,$BO388=1),C388,""))</f>
        <v/>
      </c>
      <c r="Y388" s="22" t="str">
        <f>IF(AND(OR('Choix pédagogiques'!$C$3=1,'Choix pédagogiques'!$C$3=2),$BM388=1),D388,IF(AND('Choix pédagogiques'!$C$3=3,$BO388=1),D388,""))</f>
        <v/>
      </c>
      <c r="Z388" s="22" t="str">
        <f t="shared" si="284"/>
        <v/>
      </c>
      <c r="AA388" s="21" t="str">
        <f t="shared" si="285"/>
        <v>Apprenant 376 ou 376'</v>
      </c>
      <c r="AB388" s="22" t="str">
        <f>IF(AND(OR('Choix pédagogiques'!$C$3=1,'Choix pédagogiques'!$C$3=2),$BN388=1),G388,IF(AND('Choix pédagogiques'!$C$3=3,$BO388=1),G388,""))</f>
        <v/>
      </c>
      <c r="AC388" s="22" t="str">
        <f>IF(AND(OR('Choix pédagogiques'!$C$3=1,'Choix pédagogiques'!$C$3=2),$BN388=1),H388,IF(AND('Choix pédagogiques'!$C$3=3,$BO388=1),H388,""))</f>
        <v/>
      </c>
      <c r="AD388" s="22" t="str">
        <f>IF(AND(OR('Choix pédagogiques'!$C$3=1,'Choix pédagogiques'!$C$3=2),$BN388=1),I388,IF(AND('Choix pédagogiques'!$C$3=3,$BO388=1),I388,""))</f>
        <v/>
      </c>
      <c r="AE388" s="22" t="str">
        <f t="shared" si="286"/>
        <v/>
      </c>
      <c r="AF388" s="21" t="str">
        <f t="shared" si="287"/>
        <v>Apprenant 376</v>
      </c>
      <c r="AG388" s="22" t="str">
        <f t="shared" si="261"/>
        <v/>
      </c>
      <c r="AH388" s="22" t="str">
        <f t="shared" si="262"/>
        <v/>
      </c>
      <c r="AI388" s="22" t="str">
        <f t="shared" si="263"/>
        <v/>
      </c>
      <c r="AJ388" s="22" t="str">
        <f t="shared" si="288"/>
        <v/>
      </c>
      <c r="AK388" s="21" t="str">
        <f t="shared" si="289"/>
        <v>Apprenant 376 ou 376'</v>
      </c>
      <c r="AL388" s="22" t="str">
        <f t="shared" si="264"/>
        <v/>
      </c>
      <c r="AM388" s="22" t="str">
        <f t="shared" si="265"/>
        <v/>
      </c>
      <c r="AN388" s="22" t="str">
        <f t="shared" si="266"/>
        <v/>
      </c>
      <c r="AO388" s="22" t="str">
        <f t="shared" si="290"/>
        <v/>
      </c>
      <c r="AQ388" s="21" t="str">
        <f t="shared" si="291"/>
        <v>Apprenant 376</v>
      </c>
      <c r="AR388" s="49" t="str">
        <f>IF(AND('Choix pédagogiques'!$C$4&lt;&gt;"?",'Choix pédagogiques'!$C$5&lt;&gt;"?",W388&lt;&gt;""),(W388-'Choix pédagogiques'!$C$4)/('Choix pédagogiques'!$C$5-'Choix pédagogiques'!$C$4),"")</f>
        <v/>
      </c>
      <c r="AS388" s="49" t="str">
        <f>IF(AND('Choix pédagogiques'!$C$4&lt;&gt;"?",'Choix pédagogiques'!$C$5&lt;&gt;"?",X388&lt;&gt;""),(X388-'Choix pédagogiques'!$C$4)/('Choix pédagogiques'!$C$5-'Choix pédagogiques'!$C$4),"")</f>
        <v/>
      </c>
      <c r="AT388" s="49" t="str">
        <f>IF(AND('Choix pédagogiques'!$C$4&lt;&gt;"?",'Choix pédagogiques'!$C$5&lt;&gt;"?",Y388&lt;&gt;""),(Y388-'Choix pédagogiques'!$C$4)/('Choix pédagogiques'!$C$5-'Choix pédagogiques'!$C$4),"")</f>
        <v/>
      </c>
      <c r="AU388" s="22" t="str">
        <f t="shared" si="292"/>
        <v/>
      </c>
      <c r="AV388" s="21" t="str">
        <f t="shared" si="293"/>
        <v>Apprenant 376 ou 376'</v>
      </c>
      <c r="AW388" s="49" t="str">
        <f>IF(AND('Choix pédagogiques'!$C$4&lt;&gt;"?",'Choix pédagogiques'!$C$5&lt;&gt;"?",AB388&lt;&gt;""),(AB388-'Choix pédagogiques'!$C$4)/('Choix pédagogiques'!$C$5-'Choix pédagogiques'!$C$4),"")</f>
        <v/>
      </c>
      <c r="AX388" s="49" t="str">
        <f>IF(AND('Choix pédagogiques'!$C$4&lt;&gt;"?",'Choix pédagogiques'!$C$5&lt;&gt;"?",AC388&lt;&gt;""),(AC388-'Choix pédagogiques'!$C$4)/('Choix pédagogiques'!$C$5-'Choix pédagogiques'!$C$4),"")</f>
        <v/>
      </c>
      <c r="AY388" s="49" t="str">
        <f>IF(AND('Choix pédagogiques'!$C$4&lt;&gt;"?",'Choix pédagogiques'!$C$5&lt;&gt;"?",AD388&lt;&gt;""),(AD388-'Choix pédagogiques'!$C$4)/('Choix pédagogiques'!$C$5-'Choix pédagogiques'!$C$4),"")</f>
        <v/>
      </c>
      <c r="AZ388" s="22" t="str">
        <f t="shared" si="294"/>
        <v/>
      </c>
      <c r="BA388" s="21" t="str">
        <f t="shared" si="295"/>
        <v>Apprenant 376</v>
      </c>
      <c r="BB388" s="49" t="str">
        <f t="shared" si="267"/>
        <v/>
      </c>
      <c r="BC388" s="49" t="str">
        <f t="shared" si="268"/>
        <v/>
      </c>
      <c r="BD388" s="49" t="str">
        <f t="shared" si="269"/>
        <v/>
      </c>
      <c r="BE388" s="22" t="str">
        <f t="shared" si="296"/>
        <v/>
      </c>
      <c r="BF388" s="21" t="str">
        <f t="shared" si="297"/>
        <v>Apprenant 376 ou 376'</v>
      </c>
      <c r="BG388" s="49" t="str">
        <f t="shared" si="270"/>
        <v/>
      </c>
      <c r="BH388" s="49" t="str">
        <f t="shared" si="271"/>
        <v/>
      </c>
      <c r="BI388" s="49" t="str">
        <f t="shared" si="272"/>
        <v/>
      </c>
      <c r="BJ388" s="22" t="str">
        <f t="shared" si="298"/>
        <v/>
      </c>
      <c r="BL388" s="21"/>
      <c r="BM388" s="21" t="str">
        <f>IF(OR(COUNT(B388:D1387)=0,AND('Choix pédagogiques'!$C$3&lt;&gt;1,'Choix pédagogiques'!$C$3&lt;&gt;2)),"",IF(AND(OR('Choix pédagogiques'!$C$3=1,'Choix pédagogiques'!$C$3=2),$B388&lt;&gt;"",$C388&lt;&gt;"",$D388&lt;&gt;""),1,0))</f>
        <v/>
      </c>
      <c r="BN388" s="21" t="str">
        <f>IF(OR(COUNT(G388:I1387)=0,AND('Choix pédagogiques'!$C$3&lt;&gt;1,'Choix pédagogiques'!$C$3&lt;&gt;2)),"",IF(AND(OR('Choix pédagogiques'!$C$3=1,'Choix pédagogiques'!$C$3=2),AND($G388&lt;&gt;"",$H388&lt;&gt;"",$I388&lt;&gt;"")),1,0))</f>
        <v/>
      </c>
      <c r="BO388" s="21" t="str">
        <f>IF(OR(COUNT(B388:D1387)=0,COUNT(G388:I1387)=0,'Choix pédagogiques'!C$3&lt;&gt;3),"",IF(AND('Choix pédagogiques'!$C$3=3,$B388&lt;&gt;"",$C388&lt;&gt;"",$D388&lt;&gt;"",$G388&lt;&gt;"",$H388&lt;&gt;"",$I388&lt;&gt;""),1,0))</f>
        <v/>
      </c>
      <c r="BR388" s="21">
        <v>803</v>
      </c>
      <c r="BS388" s="21">
        <v>1363</v>
      </c>
      <c r="BT388"/>
    </row>
    <row r="389" spans="1:72" s="23" customFormat="1" ht="18" customHeight="1" x14ac:dyDescent="0.3">
      <c r="A389" s="35" t="s">
        <v>379</v>
      </c>
      <c r="B389" s="37"/>
      <c r="C389" s="37"/>
      <c r="D389" s="37"/>
      <c r="E389" s="37"/>
      <c r="F389" s="35" t="s">
        <v>1387</v>
      </c>
      <c r="G389" s="37"/>
      <c r="H389" s="37"/>
      <c r="I389" s="37"/>
      <c r="J389" s="37"/>
      <c r="K389" s="21" t="str">
        <f t="shared" si="273"/>
        <v>Apprenant 377</v>
      </c>
      <c r="L389" s="22" t="str">
        <f t="shared" si="274"/>
        <v/>
      </c>
      <c r="M389" s="22" t="str">
        <f t="shared" si="275"/>
        <v/>
      </c>
      <c r="N389" s="22" t="str">
        <f t="shared" si="276"/>
        <v/>
      </c>
      <c r="O389" s="22" t="str">
        <f t="shared" si="277"/>
        <v/>
      </c>
      <c r="P389" s="21" t="str">
        <f t="shared" si="278"/>
        <v>Apprenant 377 ou 377'</v>
      </c>
      <c r="Q389" s="22" t="str">
        <f t="shared" si="279"/>
        <v/>
      </c>
      <c r="R389" s="22" t="str">
        <f t="shared" si="280"/>
        <v/>
      </c>
      <c r="S389" s="22" t="str">
        <f t="shared" si="281"/>
        <v/>
      </c>
      <c r="T389" s="22" t="str">
        <f t="shared" si="282"/>
        <v/>
      </c>
      <c r="V389" s="21" t="str">
        <f t="shared" si="283"/>
        <v>Apprenant 377</v>
      </c>
      <c r="W389" s="22" t="str">
        <f>IF(AND(OR('Choix pédagogiques'!$C$3=1,'Choix pédagogiques'!$C$3=2),$BM389=1),B389,IF(AND('Choix pédagogiques'!$C$3=3,$BO389=1),B389,""))</f>
        <v/>
      </c>
      <c r="X389" s="22" t="str">
        <f>IF(AND(OR('Choix pédagogiques'!$C$3=1,'Choix pédagogiques'!$C$3=2),$BM389=1),C389,IF(AND('Choix pédagogiques'!$C$3=3,$BO389=1),C389,""))</f>
        <v/>
      </c>
      <c r="Y389" s="22" t="str">
        <f>IF(AND(OR('Choix pédagogiques'!$C$3=1,'Choix pédagogiques'!$C$3=2),$BM389=1),D389,IF(AND('Choix pédagogiques'!$C$3=3,$BO389=1),D389,""))</f>
        <v/>
      </c>
      <c r="Z389" s="22" t="str">
        <f t="shared" si="284"/>
        <v/>
      </c>
      <c r="AA389" s="21" t="str">
        <f t="shared" si="285"/>
        <v>Apprenant 377 ou 377'</v>
      </c>
      <c r="AB389" s="22" t="str">
        <f>IF(AND(OR('Choix pédagogiques'!$C$3=1,'Choix pédagogiques'!$C$3=2),$BN389=1),G389,IF(AND('Choix pédagogiques'!$C$3=3,$BO389=1),G389,""))</f>
        <v/>
      </c>
      <c r="AC389" s="22" t="str">
        <f>IF(AND(OR('Choix pédagogiques'!$C$3=1,'Choix pédagogiques'!$C$3=2),$BN389=1),H389,IF(AND('Choix pédagogiques'!$C$3=3,$BO389=1),H389,""))</f>
        <v/>
      </c>
      <c r="AD389" s="22" t="str">
        <f>IF(AND(OR('Choix pédagogiques'!$C$3=1,'Choix pédagogiques'!$C$3=2),$BN389=1),I389,IF(AND('Choix pédagogiques'!$C$3=3,$BO389=1),I389,""))</f>
        <v/>
      </c>
      <c r="AE389" s="22" t="str">
        <f t="shared" si="286"/>
        <v/>
      </c>
      <c r="AF389" s="21" t="str">
        <f t="shared" si="287"/>
        <v>Apprenant 377</v>
      </c>
      <c r="AG389" s="22" t="str">
        <f t="shared" si="261"/>
        <v/>
      </c>
      <c r="AH389" s="22" t="str">
        <f t="shared" si="262"/>
        <v/>
      </c>
      <c r="AI389" s="22" t="str">
        <f t="shared" si="263"/>
        <v/>
      </c>
      <c r="AJ389" s="22" t="str">
        <f t="shared" si="288"/>
        <v/>
      </c>
      <c r="AK389" s="21" t="str">
        <f t="shared" si="289"/>
        <v>Apprenant 377 ou 377'</v>
      </c>
      <c r="AL389" s="22" t="str">
        <f t="shared" si="264"/>
        <v/>
      </c>
      <c r="AM389" s="22" t="str">
        <f t="shared" si="265"/>
        <v/>
      </c>
      <c r="AN389" s="22" t="str">
        <f t="shared" si="266"/>
        <v/>
      </c>
      <c r="AO389" s="22" t="str">
        <f t="shared" si="290"/>
        <v/>
      </c>
      <c r="AQ389" s="21" t="str">
        <f t="shared" si="291"/>
        <v>Apprenant 377</v>
      </c>
      <c r="AR389" s="49" t="str">
        <f>IF(AND('Choix pédagogiques'!$C$4&lt;&gt;"?",'Choix pédagogiques'!$C$5&lt;&gt;"?",W389&lt;&gt;""),(W389-'Choix pédagogiques'!$C$4)/('Choix pédagogiques'!$C$5-'Choix pédagogiques'!$C$4),"")</f>
        <v/>
      </c>
      <c r="AS389" s="49" t="str">
        <f>IF(AND('Choix pédagogiques'!$C$4&lt;&gt;"?",'Choix pédagogiques'!$C$5&lt;&gt;"?",X389&lt;&gt;""),(X389-'Choix pédagogiques'!$C$4)/('Choix pédagogiques'!$C$5-'Choix pédagogiques'!$C$4),"")</f>
        <v/>
      </c>
      <c r="AT389" s="49" t="str">
        <f>IF(AND('Choix pédagogiques'!$C$4&lt;&gt;"?",'Choix pédagogiques'!$C$5&lt;&gt;"?",Y389&lt;&gt;""),(Y389-'Choix pédagogiques'!$C$4)/('Choix pédagogiques'!$C$5-'Choix pédagogiques'!$C$4),"")</f>
        <v/>
      </c>
      <c r="AU389" s="22" t="str">
        <f t="shared" si="292"/>
        <v/>
      </c>
      <c r="AV389" s="21" t="str">
        <f t="shared" si="293"/>
        <v>Apprenant 377 ou 377'</v>
      </c>
      <c r="AW389" s="49" t="str">
        <f>IF(AND('Choix pédagogiques'!$C$4&lt;&gt;"?",'Choix pédagogiques'!$C$5&lt;&gt;"?",AB389&lt;&gt;""),(AB389-'Choix pédagogiques'!$C$4)/('Choix pédagogiques'!$C$5-'Choix pédagogiques'!$C$4),"")</f>
        <v/>
      </c>
      <c r="AX389" s="49" t="str">
        <f>IF(AND('Choix pédagogiques'!$C$4&lt;&gt;"?",'Choix pédagogiques'!$C$5&lt;&gt;"?",AC389&lt;&gt;""),(AC389-'Choix pédagogiques'!$C$4)/('Choix pédagogiques'!$C$5-'Choix pédagogiques'!$C$4),"")</f>
        <v/>
      </c>
      <c r="AY389" s="49" t="str">
        <f>IF(AND('Choix pédagogiques'!$C$4&lt;&gt;"?",'Choix pédagogiques'!$C$5&lt;&gt;"?",AD389&lt;&gt;""),(AD389-'Choix pédagogiques'!$C$4)/('Choix pédagogiques'!$C$5-'Choix pédagogiques'!$C$4),"")</f>
        <v/>
      </c>
      <c r="AZ389" s="22" t="str">
        <f t="shared" si="294"/>
        <v/>
      </c>
      <c r="BA389" s="21" t="str">
        <f t="shared" si="295"/>
        <v>Apprenant 377</v>
      </c>
      <c r="BB389" s="49" t="str">
        <f t="shared" si="267"/>
        <v/>
      </c>
      <c r="BC389" s="49" t="str">
        <f t="shared" si="268"/>
        <v/>
      </c>
      <c r="BD389" s="49" t="str">
        <f t="shared" si="269"/>
        <v/>
      </c>
      <c r="BE389" s="22" t="str">
        <f t="shared" si="296"/>
        <v/>
      </c>
      <c r="BF389" s="21" t="str">
        <f t="shared" si="297"/>
        <v>Apprenant 377 ou 377'</v>
      </c>
      <c r="BG389" s="49" t="str">
        <f t="shared" si="270"/>
        <v/>
      </c>
      <c r="BH389" s="49" t="str">
        <f t="shared" si="271"/>
        <v/>
      </c>
      <c r="BI389" s="49" t="str">
        <f t="shared" si="272"/>
        <v/>
      </c>
      <c r="BJ389" s="22" t="str">
        <f t="shared" si="298"/>
        <v/>
      </c>
      <c r="BL389" s="21"/>
      <c r="BM389" s="21" t="str">
        <f>IF(OR(COUNT(B389:D1388)=0,AND('Choix pédagogiques'!$C$3&lt;&gt;1,'Choix pédagogiques'!$C$3&lt;&gt;2)),"",IF(AND(OR('Choix pédagogiques'!$C$3=1,'Choix pédagogiques'!$C$3=2),$B389&lt;&gt;"",$C389&lt;&gt;"",$D389&lt;&gt;""),1,0))</f>
        <v/>
      </c>
      <c r="BN389" s="21" t="str">
        <f>IF(OR(COUNT(G389:I1388)=0,AND('Choix pédagogiques'!$C$3&lt;&gt;1,'Choix pédagogiques'!$C$3&lt;&gt;2)),"",IF(AND(OR('Choix pédagogiques'!$C$3=1,'Choix pédagogiques'!$C$3=2),AND($G389&lt;&gt;"",$H389&lt;&gt;"",$I389&lt;&gt;"")),1,0))</f>
        <v/>
      </c>
      <c r="BO389" s="21" t="str">
        <f>IF(OR(COUNT(B389:D1388)=0,COUNT(G389:I1388)=0,'Choix pédagogiques'!C$3&lt;&gt;3),"",IF(AND('Choix pédagogiques'!$C$3=3,$B389&lt;&gt;"",$C389&lt;&gt;"",$D389&lt;&gt;"",$G389&lt;&gt;"",$H389&lt;&gt;"",$I389&lt;&gt;""),1,0))</f>
        <v/>
      </c>
      <c r="BR389" s="21">
        <v>276</v>
      </c>
      <c r="BS389" s="21">
        <v>1146</v>
      </c>
      <c r="BT389"/>
    </row>
    <row r="390" spans="1:72" s="23" customFormat="1" ht="18" customHeight="1" x14ac:dyDescent="0.3">
      <c r="A390" s="35" t="s">
        <v>380</v>
      </c>
      <c r="B390" s="37"/>
      <c r="C390" s="37"/>
      <c r="D390" s="37"/>
      <c r="E390" s="37"/>
      <c r="F390" s="35" t="s">
        <v>1388</v>
      </c>
      <c r="G390" s="37"/>
      <c r="H390" s="37"/>
      <c r="I390" s="37"/>
      <c r="J390" s="37"/>
      <c r="K390" s="21" t="str">
        <f t="shared" si="273"/>
        <v>Apprenant 378</v>
      </c>
      <c r="L390" s="22" t="str">
        <f t="shared" si="274"/>
        <v/>
      </c>
      <c r="M390" s="22" t="str">
        <f t="shared" si="275"/>
        <v/>
      </c>
      <c r="N390" s="22" t="str">
        <f t="shared" si="276"/>
        <v/>
      </c>
      <c r="O390" s="22" t="str">
        <f t="shared" si="277"/>
        <v/>
      </c>
      <c r="P390" s="21" t="str">
        <f t="shared" si="278"/>
        <v>Apprenant 378 ou 378'</v>
      </c>
      <c r="Q390" s="22" t="str">
        <f t="shared" si="279"/>
        <v/>
      </c>
      <c r="R390" s="22" t="str">
        <f t="shared" si="280"/>
        <v/>
      </c>
      <c r="S390" s="22" t="str">
        <f t="shared" si="281"/>
        <v/>
      </c>
      <c r="T390" s="22" t="str">
        <f t="shared" si="282"/>
        <v/>
      </c>
      <c r="V390" s="21" t="str">
        <f t="shared" si="283"/>
        <v>Apprenant 378</v>
      </c>
      <c r="W390" s="22" t="str">
        <f>IF(AND(OR('Choix pédagogiques'!$C$3=1,'Choix pédagogiques'!$C$3=2),$BM390=1),B390,IF(AND('Choix pédagogiques'!$C$3=3,$BO390=1),B390,""))</f>
        <v/>
      </c>
      <c r="X390" s="22" t="str">
        <f>IF(AND(OR('Choix pédagogiques'!$C$3=1,'Choix pédagogiques'!$C$3=2),$BM390=1),C390,IF(AND('Choix pédagogiques'!$C$3=3,$BO390=1),C390,""))</f>
        <v/>
      </c>
      <c r="Y390" s="22" t="str">
        <f>IF(AND(OR('Choix pédagogiques'!$C$3=1,'Choix pédagogiques'!$C$3=2),$BM390=1),D390,IF(AND('Choix pédagogiques'!$C$3=3,$BO390=1),D390,""))</f>
        <v/>
      </c>
      <c r="Z390" s="22" t="str">
        <f t="shared" si="284"/>
        <v/>
      </c>
      <c r="AA390" s="21" t="str">
        <f t="shared" si="285"/>
        <v>Apprenant 378 ou 378'</v>
      </c>
      <c r="AB390" s="22" t="str">
        <f>IF(AND(OR('Choix pédagogiques'!$C$3=1,'Choix pédagogiques'!$C$3=2),$BN390=1),G390,IF(AND('Choix pédagogiques'!$C$3=3,$BO390=1),G390,""))</f>
        <v/>
      </c>
      <c r="AC390" s="22" t="str">
        <f>IF(AND(OR('Choix pédagogiques'!$C$3=1,'Choix pédagogiques'!$C$3=2),$BN390=1),H390,IF(AND('Choix pédagogiques'!$C$3=3,$BO390=1),H390,""))</f>
        <v/>
      </c>
      <c r="AD390" s="22" t="str">
        <f>IF(AND(OR('Choix pédagogiques'!$C$3=1,'Choix pédagogiques'!$C$3=2),$BN390=1),I390,IF(AND('Choix pédagogiques'!$C$3=3,$BO390=1),I390,""))</f>
        <v/>
      </c>
      <c r="AE390" s="22" t="str">
        <f t="shared" si="286"/>
        <v/>
      </c>
      <c r="AF390" s="21" t="str">
        <f t="shared" si="287"/>
        <v>Apprenant 378</v>
      </c>
      <c r="AG390" s="22" t="str">
        <f t="shared" si="261"/>
        <v/>
      </c>
      <c r="AH390" s="22" t="str">
        <f t="shared" si="262"/>
        <v/>
      </c>
      <c r="AI390" s="22" t="str">
        <f t="shared" si="263"/>
        <v/>
      </c>
      <c r="AJ390" s="22" t="str">
        <f t="shared" si="288"/>
        <v/>
      </c>
      <c r="AK390" s="21" t="str">
        <f t="shared" si="289"/>
        <v>Apprenant 378 ou 378'</v>
      </c>
      <c r="AL390" s="22" t="str">
        <f t="shared" si="264"/>
        <v/>
      </c>
      <c r="AM390" s="22" t="str">
        <f t="shared" si="265"/>
        <v/>
      </c>
      <c r="AN390" s="22" t="str">
        <f t="shared" si="266"/>
        <v/>
      </c>
      <c r="AO390" s="22" t="str">
        <f t="shared" si="290"/>
        <v/>
      </c>
      <c r="AQ390" s="21" t="str">
        <f t="shared" si="291"/>
        <v>Apprenant 378</v>
      </c>
      <c r="AR390" s="49" t="str">
        <f>IF(AND('Choix pédagogiques'!$C$4&lt;&gt;"?",'Choix pédagogiques'!$C$5&lt;&gt;"?",W390&lt;&gt;""),(W390-'Choix pédagogiques'!$C$4)/('Choix pédagogiques'!$C$5-'Choix pédagogiques'!$C$4),"")</f>
        <v/>
      </c>
      <c r="AS390" s="49" t="str">
        <f>IF(AND('Choix pédagogiques'!$C$4&lt;&gt;"?",'Choix pédagogiques'!$C$5&lt;&gt;"?",X390&lt;&gt;""),(X390-'Choix pédagogiques'!$C$4)/('Choix pédagogiques'!$C$5-'Choix pédagogiques'!$C$4),"")</f>
        <v/>
      </c>
      <c r="AT390" s="49" t="str">
        <f>IF(AND('Choix pédagogiques'!$C$4&lt;&gt;"?",'Choix pédagogiques'!$C$5&lt;&gt;"?",Y390&lt;&gt;""),(Y390-'Choix pédagogiques'!$C$4)/('Choix pédagogiques'!$C$5-'Choix pédagogiques'!$C$4),"")</f>
        <v/>
      </c>
      <c r="AU390" s="22" t="str">
        <f t="shared" si="292"/>
        <v/>
      </c>
      <c r="AV390" s="21" t="str">
        <f t="shared" si="293"/>
        <v>Apprenant 378 ou 378'</v>
      </c>
      <c r="AW390" s="49" t="str">
        <f>IF(AND('Choix pédagogiques'!$C$4&lt;&gt;"?",'Choix pédagogiques'!$C$5&lt;&gt;"?",AB390&lt;&gt;""),(AB390-'Choix pédagogiques'!$C$4)/('Choix pédagogiques'!$C$5-'Choix pédagogiques'!$C$4),"")</f>
        <v/>
      </c>
      <c r="AX390" s="49" t="str">
        <f>IF(AND('Choix pédagogiques'!$C$4&lt;&gt;"?",'Choix pédagogiques'!$C$5&lt;&gt;"?",AC390&lt;&gt;""),(AC390-'Choix pédagogiques'!$C$4)/('Choix pédagogiques'!$C$5-'Choix pédagogiques'!$C$4),"")</f>
        <v/>
      </c>
      <c r="AY390" s="49" t="str">
        <f>IF(AND('Choix pédagogiques'!$C$4&lt;&gt;"?",'Choix pédagogiques'!$C$5&lt;&gt;"?",AD390&lt;&gt;""),(AD390-'Choix pédagogiques'!$C$4)/('Choix pédagogiques'!$C$5-'Choix pédagogiques'!$C$4),"")</f>
        <v/>
      </c>
      <c r="AZ390" s="22" t="str">
        <f t="shared" si="294"/>
        <v/>
      </c>
      <c r="BA390" s="21" t="str">
        <f t="shared" si="295"/>
        <v>Apprenant 378</v>
      </c>
      <c r="BB390" s="49" t="str">
        <f t="shared" si="267"/>
        <v/>
      </c>
      <c r="BC390" s="49" t="str">
        <f t="shared" si="268"/>
        <v/>
      </c>
      <c r="BD390" s="49" t="str">
        <f t="shared" si="269"/>
        <v/>
      </c>
      <c r="BE390" s="22" t="str">
        <f t="shared" si="296"/>
        <v/>
      </c>
      <c r="BF390" s="21" t="str">
        <f t="shared" si="297"/>
        <v>Apprenant 378 ou 378'</v>
      </c>
      <c r="BG390" s="49" t="str">
        <f t="shared" si="270"/>
        <v/>
      </c>
      <c r="BH390" s="49" t="str">
        <f t="shared" si="271"/>
        <v/>
      </c>
      <c r="BI390" s="49" t="str">
        <f t="shared" si="272"/>
        <v/>
      </c>
      <c r="BJ390" s="22" t="str">
        <f t="shared" si="298"/>
        <v/>
      </c>
      <c r="BL390" s="21"/>
      <c r="BM390" s="21" t="str">
        <f>IF(OR(COUNT(B390:D1389)=0,AND('Choix pédagogiques'!$C$3&lt;&gt;1,'Choix pédagogiques'!$C$3&lt;&gt;2)),"",IF(AND(OR('Choix pédagogiques'!$C$3=1,'Choix pédagogiques'!$C$3=2),$B390&lt;&gt;"",$C390&lt;&gt;"",$D390&lt;&gt;""),1,0))</f>
        <v/>
      </c>
      <c r="BN390" s="21" t="str">
        <f>IF(OR(COUNT(G390:I1389)=0,AND('Choix pédagogiques'!$C$3&lt;&gt;1,'Choix pédagogiques'!$C$3&lt;&gt;2)),"",IF(AND(OR('Choix pédagogiques'!$C$3=1,'Choix pédagogiques'!$C$3=2),AND($G390&lt;&gt;"",$H390&lt;&gt;"",$I390&lt;&gt;"")),1,0))</f>
        <v/>
      </c>
      <c r="BO390" s="21" t="str">
        <f>IF(OR(COUNT(B390:D1389)=0,COUNT(G390:I1389)=0,'Choix pédagogiques'!C$3&lt;&gt;3),"",IF(AND('Choix pédagogiques'!$C$3=3,$B390&lt;&gt;"",$C390&lt;&gt;"",$D390&lt;&gt;"",$G390&lt;&gt;"",$H390&lt;&gt;"",$I390&lt;&gt;""),1,0))</f>
        <v/>
      </c>
      <c r="BR390" s="21">
        <v>110</v>
      </c>
      <c r="BS390" s="21">
        <v>1280</v>
      </c>
      <c r="BT390"/>
    </row>
    <row r="391" spans="1:72" s="23" customFormat="1" ht="18" customHeight="1" x14ac:dyDescent="0.3">
      <c r="A391" s="35" t="s">
        <v>381</v>
      </c>
      <c r="B391" s="37"/>
      <c r="C391" s="37"/>
      <c r="D391" s="37"/>
      <c r="E391" s="37"/>
      <c r="F391" s="35" t="s">
        <v>1389</v>
      </c>
      <c r="G391" s="37"/>
      <c r="H391" s="37"/>
      <c r="I391" s="37"/>
      <c r="J391" s="37"/>
      <c r="K391" s="21" t="str">
        <f t="shared" si="273"/>
        <v>Apprenant 379</v>
      </c>
      <c r="L391" s="22" t="str">
        <f t="shared" si="274"/>
        <v/>
      </c>
      <c r="M391" s="22" t="str">
        <f t="shared" si="275"/>
        <v/>
      </c>
      <c r="N391" s="22" t="str">
        <f t="shared" si="276"/>
        <v/>
      </c>
      <c r="O391" s="22" t="str">
        <f t="shared" si="277"/>
        <v/>
      </c>
      <c r="P391" s="21" t="str">
        <f t="shared" si="278"/>
        <v>Apprenant 379 ou 379'</v>
      </c>
      <c r="Q391" s="22" t="str">
        <f t="shared" si="279"/>
        <v/>
      </c>
      <c r="R391" s="22" t="str">
        <f t="shared" si="280"/>
        <v/>
      </c>
      <c r="S391" s="22" t="str">
        <f t="shared" si="281"/>
        <v/>
      </c>
      <c r="T391" s="22" t="str">
        <f t="shared" si="282"/>
        <v/>
      </c>
      <c r="V391" s="21" t="str">
        <f t="shared" si="283"/>
        <v>Apprenant 379</v>
      </c>
      <c r="W391" s="22" t="str">
        <f>IF(AND(OR('Choix pédagogiques'!$C$3=1,'Choix pédagogiques'!$C$3=2),$BM391=1),B391,IF(AND('Choix pédagogiques'!$C$3=3,$BO391=1),B391,""))</f>
        <v/>
      </c>
      <c r="X391" s="22" t="str">
        <f>IF(AND(OR('Choix pédagogiques'!$C$3=1,'Choix pédagogiques'!$C$3=2),$BM391=1),C391,IF(AND('Choix pédagogiques'!$C$3=3,$BO391=1),C391,""))</f>
        <v/>
      </c>
      <c r="Y391" s="22" t="str">
        <f>IF(AND(OR('Choix pédagogiques'!$C$3=1,'Choix pédagogiques'!$C$3=2),$BM391=1),D391,IF(AND('Choix pédagogiques'!$C$3=3,$BO391=1),D391,""))</f>
        <v/>
      </c>
      <c r="Z391" s="22" t="str">
        <f t="shared" si="284"/>
        <v/>
      </c>
      <c r="AA391" s="21" t="str">
        <f t="shared" si="285"/>
        <v>Apprenant 379 ou 379'</v>
      </c>
      <c r="AB391" s="22" t="str">
        <f>IF(AND(OR('Choix pédagogiques'!$C$3=1,'Choix pédagogiques'!$C$3=2),$BN391=1),G391,IF(AND('Choix pédagogiques'!$C$3=3,$BO391=1),G391,""))</f>
        <v/>
      </c>
      <c r="AC391" s="22" t="str">
        <f>IF(AND(OR('Choix pédagogiques'!$C$3=1,'Choix pédagogiques'!$C$3=2),$BN391=1),H391,IF(AND('Choix pédagogiques'!$C$3=3,$BO391=1),H391,""))</f>
        <v/>
      </c>
      <c r="AD391" s="22" t="str">
        <f>IF(AND(OR('Choix pédagogiques'!$C$3=1,'Choix pédagogiques'!$C$3=2),$BN391=1),I391,IF(AND('Choix pédagogiques'!$C$3=3,$BO391=1),I391,""))</f>
        <v/>
      </c>
      <c r="AE391" s="22" t="str">
        <f t="shared" si="286"/>
        <v/>
      </c>
      <c r="AF391" s="21" t="str">
        <f t="shared" si="287"/>
        <v>Apprenant 379</v>
      </c>
      <c r="AG391" s="22" t="str">
        <f t="shared" si="261"/>
        <v/>
      </c>
      <c r="AH391" s="22" t="str">
        <f t="shared" si="262"/>
        <v/>
      </c>
      <c r="AI391" s="22" t="str">
        <f t="shared" si="263"/>
        <v/>
      </c>
      <c r="AJ391" s="22" t="str">
        <f t="shared" si="288"/>
        <v/>
      </c>
      <c r="AK391" s="21" t="str">
        <f t="shared" si="289"/>
        <v>Apprenant 379 ou 379'</v>
      </c>
      <c r="AL391" s="22" t="str">
        <f t="shared" si="264"/>
        <v/>
      </c>
      <c r="AM391" s="22" t="str">
        <f t="shared" si="265"/>
        <v/>
      </c>
      <c r="AN391" s="22" t="str">
        <f t="shared" si="266"/>
        <v/>
      </c>
      <c r="AO391" s="22" t="str">
        <f t="shared" si="290"/>
        <v/>
      </c>
      <c r="AQ391" s="21" t="str">
        <f t="shared" si="291"/>
        <v>Apprenant 379</v>
      </c>
      <c r="AR391" s="49" t="str">
        <f>IF(AND('Choix pédagogiques'!$C$4&lt;&gt;"?",'Choix pédagogiques'!$C$5&lt;&gt;"?",W391&lt;&gt;""),(W391-'Choix pédagogiques'!$C$4)/('Choix pédagogiques'!$C$5-'Choix pédagogiques'!$C$4),"")</f>
        <v/>
      </c>
      <c r="AS391" s="49" t="str">
        <f>IF(AND('Choix pédagogiques'!$C$4&lt;&gt;"?",'Choix pédagogiques'!$C$5&lt;&gt;"?",X391&lt;&gt;""),(X391-'Choix pédagogiques'!$C$4)/('Choix pédagogiques'!$C$5-'Choix pédagogiques'!$C$4),"")</f>
        <v/>
      </c>
      <c r="AT391" s="49" t="str">
        <f>IF(AND('Choix pédagogiques'!$C$4&lt;&gt;"?",'Choix pédagogiques'!$C$5&lt;&gt;"?",Y391&lt;&gt;""),(Y391-'Choix pédagogiques'!$C$4)/('Choix pédagogiques'!$C$5-'Choix pédagogiques'!$C$4),"")</f>
        <v/>
      </c>
      <c r="AU391" s="22" t="str">
        <f t="shared" si="292"/>
        <v/>
      </c>
      <c r="AV391" s="21" t="str">
        <f t="shared" si="293"/>
        <v>Apprenant 379 ou 379'</v>
      </c>
      <c r="AW391" s="49" t="str">
        <f>IF(AND('Choix pédagogiques'!$C$4&lt;&gt;"?",'Choix pédagogiques'!$C$5&lt;&gt;"?",AB391&lt;&gt;""),(AB391-'Choix pédagogiques'!$C$4)/('Choix pédagogiques'!$C$5-'Choix pédagogiques'!$C$4),"")</f>
        <v/>
      </c>
      <c r="AX391" s="49" t="str">
        <f>IF(AND('Choix pédagogiques'!$C$4&lt;&gt;"?",'Choix pédagogiques'!$C$5&lt;&gt;"?",AC391&lt;&gt;""),(AC391-'Choix pédagogiques'!$C$4)/('Choix pédagogiques'!$C$5-'Choix pédagogiques'!$C$4),"")</f>
        <v/>
      </c>
      <c r="AY391" s="49" t="str">
        <f>IF(AND('Choix pédagogiques'!$C$4&lt;&gt;"?",'Choix pédagogiques'!$C$5&lt;&gt;"?",AD391&lt;&gt;""),(AD391-'Choix pédagogiques'!$C$4)/('Choix pédagogiques'!$C$5-'Choix pédagogiques'!$C$4),"")</f>
        <v/>
      </c>
      <c r="AZ391" s="22" t="str">
        <f t="shared" si="294"/>
        <v/>
      </c>
      <c r="BA391" s="21" t="str">
        <f t="shared" si="295"/>
        <v>Apprenant 379</v>
      </c>
      <c r="BB391" s="49" t="str">
        <f t="shared" si="267"/>
        <v/>
      </c>
      <c r="BC391" s="49" t="str">
        <f t="shared" si="268"/>
        <v/>
      </c>
      <c r="BD391" s="49" t="str">
        <f t="shared" si="269"/>
        <v/>
      </c>
      <c r="BE391" s="22" t="str">
        <f t="shared" si="296"/>
        <v/>
      </c>
      <c r="BF391" s="21" t="str">
        <f t="shared" si="297"/>
        <v>Apprenant 379 ou 379'</v>
      </c>
      <c r="BG391" s="49" t="str">
        <f t="shared" si="270"/>
        <v/>
      </c>
      <c r="BH391" s="49" t="str">
        <f t="shared" si="271"/>
        <v/>
      </c>
      <c r="BI391" s="49" t="str">
        <f t="shared" si="272"/>
        <v/>
      </c>
      <c r="BJ391" s="22" t="str">
        <f t="shared" si="298"/>
        <v/>
      </c>
      <c r="BL391" s="21"/>
      <c r="BM391" s="21" t="str">
        <f>IF(OR(COUNT(B391:D1390)=0,AND('Choix pédagogiques'!$C$3&lt;&gt;1,'Choix pédagogiques'!$C$3&lt;&gt;2)),"",IF(AND(OR('Choix pédagogiques'!$C$3=1,'Choix pédagogiques'!$C$3=2),$B391&lt;&gt;"",$C391&lt;&gt;"",$D391&lt;&gt;""),1,0))</f>
        <v/>
      </c>
      <c r="BN391" s="21" t="str">
        <f>IF(OR(COUNT(G391:I1390)=0,AND('Choix pédagogiques'!$C$3&lt;&gt;1,'Choix pédagogiques'!$C$3&lt;&gt;2)),"",IF(AND(OR('Choix pédagogiques'!$C$3=1,'Choix pédagogiques'!$C$3=2),AND($G391&lt;&gt;"",$H391&lt;&gt;"",$I391&lt;&gt;"")),1,0))</f>
        <v/>
      </c>
      <c r="BO391" s="21" t="str">
        <f>IF(OR(COUNT(B391:D1390)=0,COUNT(G391:I1390)=0,'Choix pédagogiques'!C$3&lt;&gt;3),"",IF(AND('Choix pédagogiques'!$C$3=3,$B391&lt;&gt;"",$C391&lt;&gt;"",$D391&lt;&gt;"",$G391&lt;&gt;"",$H391&lt;&gt;"",$I391&lt;&gt;""),1,0))</f>
        <v/>
      </c>
      <c r="BR391" s="21">
        <v>305</v>
      </c>
      <c r="BS391" s="21">
        <v>1871</v>
      </c>
      <c r="BT391"/>
    </row>
    <row r="392" spans="1:72" s="23" customFormat="1" ht="18" customHeight="1" x14ac:dyDescent="0.3">
      <c r="A392" s="35" t="s">
        <v>382</v>
      </c>
      <c r="B392" s="37"/>
      <c r="C392" s="37"/>
      <c r="D392" s="37"/>
      <c r="E392" s="37"/>
      <c r="F392" s="35" t="s">
        <v>1390</v>
      </c>
      <c r="G392" s="37"/>
      <c r="H392" s="37"/>
      <c r="I392" s="37"/>
      <c r="J392" s="37"/>
      <c r="K392" s="21" t="str">
        <f t="shared" si="273"/>
        <v>Apprenant 380</v>
      </c>
      <c r="L392" s="22" t="str">
        <f t="shared" si="274"/>
        <v/>
      </c>
      <c r="M392" s="22" t="str">
        <f t="shared" si="275"/>
        <v/>
      </c>
      <c r="N392" s="22" t="str">
        <f t="shared" si="276"/>
        <v/>
      </c>
      <c r="O392" s="22" t="str">
        <f t="shared" si="277"/>
        <v/>
      </c>
      <c r="P392" s="21" t="str">
        <f t="shared" si="278"/>
        <v>Apprenant 380 ou 380'</v>
      </c>
      <c r="Q392" s="22" t="str">
        <f t="shared" si="279"/>
        <v/>
      </c>
      <c r="R392" s="22" t="str">
        <f t="shared" si="280"/>
        <v/>
      </c>
      <c r="S392" s="22" t="str">
        <f t="shared" si="281"/>
        <v/>
      </c>
      <c r="T392" s="22" t="str">
        <f t="shared" si="282"/>
        <v/>
      </c>
      <c r="V392" s="21" t="str">
        <f t="shared" si="283"/>
        <v>Apprenant 380</v>
      </c>
      <c r="W392" s="22" t="str">
        <f>IF(AND(OR('Choix pédagogiques'!$C$3=1,'Choix pédagogiques'!$C$3=2),$BM392=1),B392,IF(AND('Choix pédagogiques'!$C$3=3,$BO392=1),B392,""))</f>
        <v/>
      </c>
      <c r="X392" s="22" t="str">
        <f>IF(AND(OR('Choix pédagogiques'!$C$3=1,'Choix pédagogiques'!$C$3=2),$BM392=1),C392,IF(AND('Choix pédagogiques'!$C$3=3,$BO392=1),C392,""))</f>
        <v/>
      </c>
      <c r="Y392" s="22" t="str">
        <f>IF(AND(OR('Choix pédagogiques'!$C$3=1,'Choix pédagogiques'!$C$3=2),$BM392=1),D392,IF(AND('Choix pédagogiques'!$C$3=3,$BO392=1),D392,""))</f>
        <v/>
      </c>
      <c r="Z392" s="22" t="str">
        <f t="shared" si="284"/>
        <v/>
      </c>
      <c r="AA392" s="21" t="str">
        <f t="shared" si="285"/>
        <v>Apprenant 380 ou 380'</v>
      </c>
      <c r="AB392" s="22" t="str">
        <f>IF(AND(OR('Choix pédagogiques'!$C$3=1,'Choix pédagogiques'!$C$3=2),$BN392=1),G392,IF(AND('Choix pédagogiques'!$C$3=3,$BO392=1),G392,""))</f>
        <v/>
      </c>
      <c r="AC392" s="22" t="str">
        <f>IF(AND(OR('Choix pédagogiques'!$C$3=1,'Choix pédagogiques'!$C$3=2),$BN392=1),H392,IF(AND('Choix pédagogiques'!$C$3=3,$BO392=1),H392,""))</f>
        <v/>
      </c>
      <c r="AD392" s="22" t="str">
        <f>IF(AND(OR('Choix pédagogiques'!$C$3=1,'Choix pédagogiques'!$C$3=2),$BN392=1),I392,IF(AND('Choix pédagogiques'!$C$3=3,$BO392=1),I392,""))</f>
        <v/>
      </c>
      <c r="AE392" s="22" t="str">
        <f t="shared" si="286"/>
        <v/>
      </c>
      <c r="AF392" s="21" t="str">
        <f t="shared" si="287"/>
        <v>Apprenant 380</v>
      </c>
      <c r="AG392" s="22" t="str">
        <f t="shared" si="261"/>
        <v/>
      </c>
      <c r="AH392" s="22" t="str">
        <f t="shared" si="262"/>
        <v/>
      </c>
      <c r="AI392" s="22" t="str">
        <f t="shared" si="263"/>
        <v/>
      </c>
      <c r="AJ392" s="22" t="str">
        <f t="shared" si="288"/>
        <v/>
      </c>
      <c r="AK392" s="21" t="str">
        <f t="shared" si="289"/>
        <v>Apprenant 380 ou 380'</v>
      </c>
      <c r="AL392" s="22" t="str">
        <f t="shared" si="264"/>
        <v/>
      </c>
      <c r="AM392" s="22" t="str">
        <f t="shared" si="265"/>
        <v/>
      </c>
      <c r="AN392" s="22" t="str">
        <f t="shared" si="266"/>
        <v/>
      </c>
      <c r="AO392" s="22" t="str">
        <f t="shared" si="290"/>
        <v/>
      </c>
      <c r="AQ392" s="21" t="str">
        <f t="shared" si="291"/>
        <v>Apprenant 380</v>
      </c>
      <c r="AR392" s="49" t="str">
        <f>IF(AND('Choix pédagogiques'!$C$4&lt;&gt;"?",'Choix pédagogiques'!$C$5&lt;&gt;"?",W392&lt;&gt;""),(W392-'Choix pédagogiques'!$C$4)/('Choix pédagogiques'!$C$5-'Choix pédagogiques'!$C$4),"")</f>
        <v/>
      </c>
      <c r="AS392" s="49" t="str">
        <f>IF(AND('Choix pédagogiques'!$C$4&lt;&gt;"?",'Choix pédagogiques'!$C$5&lt;&gt;"?",X392&lt;&gt;""),(X392-'Choix pédagogiques'!$C$4)/('Choix pédagogiques'!$C$5-'Choix pédagogiques'!$C$4),"")</f>
        <v/>
      </c>
      <c r="AT392" s="49" t="str">
        <f>IF(AND('Choix pédagogiques'!$C$4&lt;&gt;"?",'Choix pédagogiques'!$C$5&lt;&gt;"?",Y392&lt;&gt;""),(Y392-'Choix pédagogiques'!$C$4)/('Choix pédagogiques'!$C$5-'Choix pédagogiques'!$C$4),"")</f>
        <v/>
      </c>
      <c r="AU392" s="22" t="str">
        <f t="shared" si="292"/>
        <v/>
      </c>
      <c r="AV392" s="21" t="str">
        <f t="shared" si="293"/>
        <v>Apprenant 380 ou 380'</v>
      </c>
      <c r="AW392" s="49" t="str">
        <f>IF(AND('Choix pédagogiques'!$C$4&lt;&gt;"?",'Choix pédagogiques'!$C$5&lt;&gt;"?",AB392&lt;&gt;""),(AB392-'Choix pédagogiques'!$C$4)/('Choix pédagogiques'!$C$5-'Choix pédagogiques'!$C$4),"")</f>
        <v/>
      </c>
      <c r="AX392" s="49" t="str">
        <f>IF(AND('Choix pédagogiques'!$C$4&lt;&gt;"?",'Choix pédagogiques'!$C$5&lt;&gt;"?",AC392&lt;&gt;""),(AC392-'Choix pédagogiques'!$C$4)/('Choix pédagogiques'!$C$5-'Choix pédagogiques'!$C$4),"")</f>
        <v/>
      </c>
      <c r="AY392" s="49" t="str">
        <f>IF(AND('Choix pédagogiques'!$C$4&lt;&gt;"?",'Choix pédagogiques'!$C$5&lt;&gt;"?",AD392&lt;&gt;""),(AD392-'Choix pédagogiques'!$C$4)/('Choix pédagogiques'!$C$5-'Choix pédagogiques'!$C$4),"")</f>
        <v/>
      </c>
      <c r="AZ392" s="22" t="str">
        <f t="shared" si="294"/>
        <v/>
      </c>
      <c r="BA392" s="21" t="str">
        <f t="shared" si="295"/>
        <v>Apprenant 380</v>
      </c>
      <c r="BB392" s="49" t="str">
        <f t="shared" si="267"/>
        <v/>
      </c>
      <c r="BC392" s="49" t="str">
        <f t="shared" si="268"/>
        <v/>
      </c>
      <c r="BD392" s="49" t="str">
        <f t="shared" si="269"/>
        <v/>
      </c>
      <c r="BE392" s="22" t="str">
        <f t="shared" si="296"/>
        <v/>
      </c>
      <c r="BF392" s="21" t="str">
        <f t="shared" si="297"/>
        <v>Apprenant 380 ou 380'</v>
      </c>
      <c r="BG392" s="49" t="str">
        <f t="shared" si="270"/>
        <v/>
      </c>
      <c r="BH392" s="49" t="str">
        <f t="shared" si="271"/>
        <v/>
      </c>
      <c r="BI392" s="49" t="str">
        <f t="shared" si="272"/>
        <v/>
      </c>
      <c r="BJ392" s="22" t="str">
        <f t="shared" si="298"/>
        <v/>
      </c>
      <c r="BL392" s="21"/>
      <c r="BM392" s="21" t="str">
        <f>IF(OR(COUNT(B392:D1391)=0,AND('Choix pédagogiques'!$C$3&lt;&gt;1,'Choix pédagogiques'!$C$3&lt;&gt;2)),"",IF(AND(OR('Choix pédagogiques'!$C$3=1,'Choix pédagogiques'!$C$3=2),$B392&lt;&gt;"",$C392&lt;&gt;"",$D392&lt;&gt;""),1,0))</f>
        <v/>
      </c>
      <c r="BN392" s="21" t="str">
        <f>IF(OR(COUNT(G392:I1391)=0,AND('Choix pédagogiques'!$C$3&lt;&gt;1,'Choix pédagogiques'!$C$3&lt;&gt;2)),"",IF(AND(OR('Choix pédagogiques'!$C$3=1,'Choix pédagogiques'!$C$3=2),AND($G392&lt;&gt;"",$H392&lt;&gt;"",$I392&lt;&gt;"")),1,0))</f>
        <v/>
      </c>
      <c r="BO392" s="21" t="str">
        <f>IF(OR(COUNT(B392:D1391)=0,COUNT(G392:I1391)=0,'Choix pédagogiques'!C$3&lt;&gt;3),"",IF(AND('Choix pédagogiques'!$C$3=3,$B392&lt;&gt;"",$C392&lt;&gt;"",$D392&lt;&gt;"",$G392&lt;&gt;"",$H392&lt;&gt;"",$I392&lt;&gt;""),1,0))</f>
        <v/>
      </c>
      <c r="BR392" s="21">
        <v>631</v>
      </c>
      <c r="BS392" s="21">
        <v>1667</v>
      </c>
      <c r="BT392"/>
    </row>
    <row r="393" spans="1:72" s="23" customFormat="1" ht="18" customHeight="1" x14ac:dyDescent="0.3">
      <c r="A393" s="35" t="s">
        <v>383</v>
      </c>
      <c r="B393" s="37"/>
      <c r="C393" s="37"/>
      <c r="D393" s="37"/>
      <c r="E393" s="37"/>
      <c r="F393" s="35" t="s">
        <v>1391</v>
      </c>
      <c r="G393" s="37"/>
      <c r="H393" s="37"/>
      <c r="I393" s="37"/>
      <c r="J393" s="37"/>
      <c r="K393" s="21" t="str">
        <f t="shared" si="273"/>
        <v>Apprenant 381</v>
      </c>
      <c r="L393" s="22" t="str">
        <f t="shared" si="274"/>
        <v/>
      </c>
      <c r="M393" s="22" t="str">
        <f t="shared" si="275"/>
        <v/>
      </c>
      <c r="N393" s="22" t="str">
        <f t="shared" si="276"/>
        <v/>
      </c>
      <c r="O393" s="22" t="str">
        <f t="shared" si="277"/>
        <v/>
      </c>
      <c r="P393" s="21" t="str">
        <f t="shared" si="278"/>
        <v>Apprenant 381 ou 381'</v>
      </c>
      <c r="Q393" s="22" t="str">
        <f t="shared" si="279"/>
        <v/>
      </c>
      <c r="R393" s="22" t="str">
        <f t="shared" si="280"/>
        <v/>
      </c>
      <c r="S393" s="22" t="str">
        <f t="shared" si="281"/>
        <v/>
      </c>
      <c r="T393" s="22" t="str">
        <f t="shared" si="282"/>
        <v/>
      </c>
      <c r="V393" s="21" t="str">
        <f t="shared" si="283"/>
        <v>Apprenant 381</v>
      </c>
      <c r="W393" s="22" t="str">
        <f>IF(AND(OR('Choix pédagogiques'!$C$3=1,'Choix pédagogiques'!$C$3=2),$BM393=1),B393,IF(AND('Choix pédagogiques'!$C$3=3,$BO393=1),B393,""))</f>
        <v/>
      </c>
      <c r="X393" s="22" t="str">
        <f>IF(AND(OR('Choix pédagogiques'!$C$3=1,'Choix pédagogiques'!$C$3=2),$BM393=1),C393,IF(AND('Choix pédagogiques'!$C$3=3,$BO393=1),C393,""))</f>
        <v/>
      </c>
      <c r="Y393" s="22" t="str">
        <f>IF(AND(OR('Choix pédagogiques'!$C$3=1,'Choix pédagogiques'!$C$3=2),$BM393=1),D393,IF(AND('Choix pédagogiques'!$C$3=3,$BO393=1),D393,""))</f>
        <v/>
      </c>
      <c r="Z393" s="22" t="str">
        <f t="shared" si="284"/>
        <v/>
      </c>
      <c r="AA393" s="21" t="str">
        <f t="shared" si="285"/>
        <v>Apprenant 381 ou 381'</v>
      </c>
      <c r="AB393" s="22" t="str">
        <f>IF(AND(OR('Choix pédagogiques'!$C$3=1,'Choix pédagogiques'!$C$3=2),$BN393=1),G393,IF(AND('Choix pédagogiques'!$C$3=3,$BO393=1),G393,""))</f>
        <v/>
      </c>
      <c r="AC393" s="22" t="str">
        <f>IF(AND(OR('Choix pédagogiques'!$C$3=1,'Choix pédagogiques'!$C$3=2),$BN393=1),H393,IF(AND('Choix pédagogiques'!$C$3=3,$BO393=1),H393,""))</f>
        <v/>
      </c>
      <c r="AD393" s="22" t="str">
        <f>IF(AND(OR('Choix pédagogiques'!$C$3=1,'Choix pédagogiques'!$C$3=2),$BN393=1),I393,IF(AND('Choix pédagogiques'!$C$3=3,$BO393=1),I393,""))</f>
        <v/>
      </c>
      <c r="AE393" s="22" t="str">
        <f t="shared" si="286"/>
        <v/>
      </c>
      <c r="AF393" s="21" t="str">
        <f t="shared" si="287"/>
        <v>Apprenant 381</v>
      </c>
      <c r="AG393" s="22" t="str">
        <f t="shared" si="261"/>
        <v/>
      </c>
      <c r="AH393" s="22" t="str">
        <f t="shared" si="262"/>
        <v/>
      </c>
      <c r="AI393" s="22" t="str">
        <f t="shared" si="263"/>
        <v/>
      </c>
      <c r="AJ393" s="22" t="str">
        <f t="shared" si="288"/>
        <v/>
      </c>
      <c r="AK393" s="21" t="str">
        <f t="shared" si="289"/>
        <v>Apprenant 381 ou 381'</v>
      </c>
      <c r="AL393" s="22" t="str">
        <f t="shared" si="264"/>
        <v/>
      </c>
      <c r="AM393" s="22" t="str">
        <f t="shared" si="265"/>
        <v/>
      </c>
      <c r="AN393" s="22" t="str">
        <f t="shared" si="266"/>
        <v/>
      </c>
      <c r="AO393" s="22" t="str">
        <f t="shared" si="290"/>
        <v/>
      </c>
      <c r="AQ393" s="21" t="str">
        <f t="shared" si="291"/>
        <v>Apprenant 381</v>
      </c>
      <c r="AR393" s="49" t="str">
        <f>IF(AND('Choix pédagogiques'!$C$4&lt;&gt;"?",'Choix pédagogiques'!$C$5&lt;&gt;"?",W393&lt;&gt;""),(W393-'Choix pédagogiques'!$C$4)/('Choix pédagogiques'!$C$5-'Choix pédagogiques'!$C$4),"")</f>
        <v/>
      </c>
      <c r="AS393" s="49" t="str">
        <f>IF(AND('Choix pédagogiques'!$C$4&lt;&gt;"?",'Choix pédagogiques'!$C$5&lt;&gt;"?",X393&lt;&gt;""),(X393-'Choix pédagogiques'!$C$4)/('Choix pédagogiques'!$C$5-'Choix pédagogiques'!$C$4),"")</f>
        <v/>
      </c>
      <c r="AT393" s="49" t="str">
        <f>IF(AND('Choix pédagogiques'!$C$4&lt;&gt;"?",'Choix pédagogiques'!$C$5&lt;&gt;"?",Y393&lt;&gt;""),(Y393-'Choix pédagogiques'!$C$4)/('Choix pédagogiques'!$C$5-'Choix pédagogiques'!$C$4),"")</f>
        <v/>
      </c>
      <c r="AU393" s="22" t="str">
        <f t="shared" si="292"/>
        <v/>
      </c>
      <c r="AV393" s="21" t="str">
        <f t="shared" si="293"/>
        <v>Apprenant 381 ou 381'</v>
      </c>
      <c r="AW393" s="49" t="str">
        <f>IF(AND('Choix pédagogiques'!$C$4&lt;&gt;"?",'Choix pédagogiques'!$C$5&lt;&gt;"?",AB393&lt;&gt;""),(AB393-'Choix pédagogiques'!$C$4)/('Choix pédagogiques'!$C$5-'Choix pédagogiques'!$C$4),"")</f>
        <v/>
      </c>
      <c r="AX393" s="49" t="str">
        <f>IF(AND('Choix pédagogiques'!$C$4&lt;&gt;"?",'Choix pédagogiques'!$C$5&lt;&gt;"?",AC393&lt;&gt;""),(AC393-'Choix pédagogiques'!$C$4)/('Choix pédagogiques'!$C$5-'Choix pédagogiques'!$C$4),"")</f>
        <v/>
      </c>
      <c r="AY393" s="49" t="str">
        <f>IF(AND('Choix pédagogiques'!$C$4&lt;&gt;"?",'Choix pédagogiques'!$C$5&lt;&gt;"?",AD393&lt;&gt;""),(AD393-'Choix pédagogiques'!$C$4)/('Choix pédagogiques'!$C$5-'Choix pédagogiques'!$C$4),"")</f>
        <v/>
      </c>
      <c r="AZ393" s="22" t="str">
        <f t="shared" si="294"/>
        <v/>
      </c>
      <c r="BA393" s="21" t="str">
        <f t="shared" si="295"/>
        <v>Apprenant 381</v>
      </c>
      <c r="BB393" s="49" t="str">
        <f t="shared" si="267"/>
        <v/>
      </c>
      <c r="BC393" s="49" t="str">
        <f t="shared" si="268"/>
        <v/>
      </c>
      <c r="BD393" s="49" t="str">
        <f t="shared" si="269"/>
        <v/>
      </c>
      <c r="BE393" s="22" t="str">
        <f t="shared" si="296"/>
        <v/>
      </c>
      <c r="BF393" s="21" t="str">
        <f t="shared" si="297"/>
        <v>Apprenant 381 ou 381'</v>
      </c>
      <c r="BG393" s="49" t="str">
        <f t="shared" si="270"/>
        <v/>
      </c>
      <c r="BH393" s="49" t="str">
        <f t="shared" si="271"/>
        <v/>
      </c>
      <c r="BI393" s="49" t="str">
        <f t="shared" si="272"/>
        <v/>
      </c>
      <c r="BJ393" s="22" t="str">
        <f t="shared" si="298"/>
        <v/>
      </c>
      <c r="BL393" s="21"/>
      <c r="BM393" s="21" t="str">
        <f>IF(OR(COUNT(B393:D1392)=0,AND('Choix pédagogiques'!$C$3&lt;&gt;1,'Choix pédagogiques'!$C$3&lt;&gt;2)),"",IF(AND(OR('Choix pédagogiques'!$C$3=1,'Choix pédagogiques'!$C$3=2),$B393&lt;&gt;"",$C393&lt;&gt;"",$D393&lt;&gt;""),1,0))</f>
        <v/>
      </c>
      <c r="BN393" s="21" t="str">
        <f>IF(OR(COUNT(G393:I1392)=0,AND('Choix pédagogiques'!$C$3&lt;&gt;1,'Choix pédagogiques'!$C$3&lt;&gt;2)),"",IF(AND(OR('Choix pédagogiques'!$C$3=1,'Choix pédagogiques'!$C$3=2),AND($G393&lt;&gt;"",$H393&lt;&gt;"",$I393&lt;&gt;"")),1,0))</f>
        <v/>
      </c>
      <c r="BO393" s="21" t="str">
        <f>IF(OR(COUNT(B393:D1392)=0,COUNT(G393:I1392)=0,'Choix pédagogiques'!C$3&lt;&gt;3),"",IF(AND('Choix pédagogiques'!$C$3=3,$B393&lt;&gt;"",$C393&lt;&gt;"",$D393&lt;&gt;"",$G393&lt;&gt;"",$H393&lt;&gt;"",$I393&lt;&gt;""),1,0))</f>
        <v/>
      </c>
      <c r="BR393" s="21">
        <v>115</v>
      </c>
      <c r="BS393" s="21">
        <v>1936</v>
      </c>
      <c r="BT393"/>
    </row>
    <row r="394" spans="1:72" s="23" customFormat="1" ht="18" customHeight="1" x14ac:dyDescent="0.3">
      <c r="A394" s="35" t="s">
        <v>384</v>
      </c>
      <c r="B394" s="37"/>
      <c r="C394" s="37"/>
      <c r="D394" s="37"/>
      <c r="E394" s="37"/>
      <c r="F394" s="35" t="s">
        <v>1392</v>
      </c>
      <c r="G394" s="37"/>
      <c r="H394" s="37"/>
      <c r="I394" s="37"/>
      <c r="J394" s="37"/>
      <c r="K394" s="21" t="str">
        <f t="shared" si="273"/>
        <v>Apprenant 382</v>
      </c>
      <c r="L394" s="22" t="str">
        <f t="shared" si="274"/>
        <v/>
      </c>
      <c r="M394" s="22" t="str">
        <f t="shared" si="275"/>
        <v/>
      </c>
      <c r="N394" s="22" t="str">
        <f t="shared" si="276"/>
        <v/>
      </c>
      <c r="O394" s="22" t="str">
        <f t="shared" si="277"/>
        <v/>
      </c>
      <c r="P394" s="21" t="str">
        <f t="shared" si="278"/>
        <v>Apprenant 382 ou 382'</v>
      </c>
      <c r="Q394" s="22" t="str">
        <f t="shared" si="279"/>
        <v/>
      </c>
      <c r="R394" s="22" t="str">
        <f t="shared" si="280"/>
        <v/>
      </c>
      <c r="S394" s="22" t="str">
        <f t="shared" si="281"/>
        <v/>
      </c>
      <c r="T394" s="22" t="str">
        <f t="shared" si="282"/>
        <v/>
      </c>
      <c r="V394" s="21" t="str">
        <f t="shared" si="283"/>
        <v>Apprenant 382</v>
      </c>
      <c r="W394" s="22" t="str">
        <f>IF(AND(OR('Choix pédagogiques'!$C$3=1,'Choix pédagogiques'!$C$3=2),$BM394=1),B394,IF(AND('Choix pédagogiques'!$C$3=3,$BO394=1),B394,""))</f>
        <v/>
      </c>
      <c r="X394" s="22" t="str">
        <f>IF(AND(OR('Choix pédagogiques'!$C$3=1,'Choix pédagogiques'!$C$3=2),$BM394=1),C394,IF(AND('Choix pédagogiques'!$C$3=3,$BO394=1),C394,""))</f>
        <v/>
      </c>
      <c r="Y394" s="22" t="str">
        <f>IF(AND(OR('Choix pédagogiques'!$C$3=1,'Choix pédagogiques'!$C$3=2),$BM394=1),D394,IF(AND('Choix pédagogiques'!$C$3=3,$BO394=1),D394,""))</f>
        <v/>
      </c>
      <c r="Z394" s="22" t="str">
        <f t="shared" si="284"/>
        <v/>
      </c>
      <c r="AA394" s="21" t="str">
        <f t="shared" si="285"/>
        <v>Apprenant 382 ou 382'</v>
      </c>
      <c r="AB394" s="22" t="str">
        <f>IF(AND(OR('Choix pédagogiques'!$C$3=1,'Choix pédagogiques'!$C$3=2),$BN394=1),G394,IF(AND('Choix pédagogiques'!$C$3=3,$BO394=1),G394,""))</f>
        <v/>
      </c>
      <c r="AC394" s="22" t="str">
        <f>IF(AND(OR('Choix pédagogiques'!$C$3=1,'Choix pédagogiques'!$C$3=2),$BN394=1),H394,IF(AND('Choix pédagogiques'!$C$3=3,$BO394=1),H394,""))</f>
        <v/>
      </c>
      <c r="AD394" s="22" t="str">
        <f>IF(AND(OR('Choix pédagogiques'!$C$3=1,'Choix pédagogiques'!$C$3=2),$BN394=1),I394,IF(AND('Choix pédagogiques'!$C$3=3,$BO394=1),I394,""))</f>
        <v/>
      </c>
      <c r="AE394" s="22" t="str">
        <f t="shared" si="286"/>
        <v/>
      </c>
      <c r="AF394" s="21" t="str">
        <f t="shared" si="287"/>
        <v>Apprenant 382</v>
      </c>
      <c r="AG394" s="22" t="str">
        <f t="shared" si="261"/>
        <v/>
      </c>
      <c r="AH394" s="22" t="str">
        <f t="shared" si="262"/>
        <v/>
      </c>
      <c r="AI394" s="22" t="str">
        <f t="shared" si="263"/>
        <v/>
      </c>
      <c r="AJ394" s="22" t="str">
        <f t="shared" si="288"/>
        <v/>
      </c>
      <c r="AK394" s="21" t="str">
        <f t="shared" si="289"/>
        <v>Apprenant 382 ou 382'</v>
      </c>
      <c r="AL394" s="22" t="str">
        <f t="shared" si="264"/>
        <v/>
      </c>
      <c r="AM394" s="22" t="str">
        <f t="shared" si="265"/>
        <v/>
      </c>
      <c r="AN394" s="22" t="str">
        <f t="shared" si="266"/>
        <v/>
      </c>
      <c r="AO394" s="22" t="str">
        <f t="shared" si="290"/>
        <v/>
      </c>
      <c r="AQ394" s="21" t="str">
        <f t="shared" si="291"/>
        <v>Apprenant 382</v>
      </c>
      <c r="AR394" s="49" t="str">
        <f>IF(AND('Choix pédagogiques'!$C$4&lt;&gt;"?",'Choix pédagogiques'!$C$5&lt;&gt;"?",W394&lt;&gt;""),(W394-'Choix pédagogiques'!$C$4)/('Choix pédagogiques'!$C$5-'Choix pédagogiques'!$C$4),"")</f>
        <v/>
      </c>
      <c r="AS394" s="49" t="str">
        <f>IF(AND('Choix pédagogiques'!$C$4&lt;&gt;"?",'Choix pédagogiques'!$C$5&lt;&gt;"?",X394&lt;&gt;""),(X394-'Choix pédagogiques'!$C$4)/('Choix pédagogiques'!$C$5-'Choix pédagogiques'!$C$4),"")</f>
        <v/>
      </c>
      <c r="AT394" s="49" t="str">
        <f>IF(AND('Choix pédagogiques'!$C$4&lt;&gt;"?",'Choix pédagogiques'!$C$5&lt;&gt;"?",Y394&lt;&gt;""),(Y394-'Choix pédagogiques'!$C$4)/('Choix pédagogiques'!$C$5-'Choix pédagogiques'!$C$4),"")</f>
        <v/>
      </c>
      <c r="AU394" s="22" t="str">
        <f t="shared" si="292"/>
        <v/>
      </c>
      <c r="AV394" s="21" t="str">
        <f t="shared" si="293"/>
        <v>Apprenant 382 ou 382'</v>
      </c>
      <c r="AW394" s="49" t="str">
        <f>IF(AND('Choix pédagogiques'!$C$4&lt;&gt;"?",'Choix pédagogiques'!$C$5&lt;&gt;"?",AB394&lt;&gt;""),(AB394-'Choix pédagogiques'!$C$4)/('Choix pédagogiques'!$C$5-'Choix pédagogiques'!$C$4),"")</f>
        <v/>
      </c>
      <c r="AX394" s="49" t="str">
        <f>IF(AND('Choix pédagogiques'!$C$4&lt;&gt;"?",'Choix pédagogiques'!$C$5&lt;&gt;"?",AC394&lt;&gt;""),(AC394-'Choix pédagogiques'!$C$4)/('Choix pédagogiques'!$C$5-'Choix pédagogiques'!$C$4),"")</f>
        <v/>
      </c>
      <c r="AY394" s="49" t="str">
        <f>IF(AND('Choix pédagogiques'!$C$4&lt;&gt;"?",'Choix pédagogiques'!$C$5&lt;&gt;"?",AD394&lt;&gt;""),(AD394-'Choix pédagogiques'!$C$4)/('Choix pédagogiques'!$C$5-'Choix pédagogiques'!$C$4),"")</f>
        <v/>
      </c>
      <c r="AZ394" s="22" t="str">
        <f t="shared" si="294"/>
        <v/>
      </c>
      <c r="BA394" s="21" t="str">
        <f t="shared" si="295"/>
        <v>Apprenant 382</v>
      </c>
      <c r="BB394" s="49" t="str">
        <f t="shared" si="267"/>
        <v/>
      </c>
      <c r="BC394" s="49" t="str">
        <f t="shared" si="268"/>
        <v/>
      </c>
      <c r="BD394" s="49" t="str">
        <f t="shared" si="269"/>
        <v/>
      </c>
      <c r="BE394" s="22" t="str">
        <f t="shared" si="296"/>
        <v/>
      </c>
      <c r="BF394" s="21" t="str">
        <f t="shared" si="297"/>
        <v>Apprenant 382 ou 382'</v>
      </c>
      <c r="BG394" s="49" t="str">
        <f t="shared" si="270"/>
        <v/>
      </c>
      <c r="BH394" s="49" t="str">
        <f t="shared" si="271"/>
        <v/>
      </c>
      <c r="BI394" s="49" t="str">
        <f t="shared" si="272"/>
        <v/>
      </c>
      <c r="BJ394" s="22" t="str">
        <f t="shared" si="298"/>
        <v/>
      </c>
      <c r="BL394" s="21"/>
      <c r="BM394" s="21" t="str">
        <f>IF(OR(COUNT(B394:D1393)=0,AND('Choix pédagogiques'!$C$3&lt;&gt;1,'Choix pédagogiques'!$C$3&lt;&gt;2)),"",IF(AND(OR('Choix pédagogiques'!$C$3=1,'Choix pédagogiques'!$C$3=2),$B394&lt;&gt;"",$C394&lt;&gt;"",$D394&lt;&gt;""),1,0))</f>
        <v/>
      </c>
      <c r="BN394" s="21" t="str">
        <f>IF(OR(COUNT(G394:I1393)=0,AND('Choix pédagogiques'!$C$3&lt;&gt;1,'Choix pédagogiques'!$C$3&lt;&gt;2)),"",IF(AND(OR('Choix pédagogiques'!$C$3=1,'Choix pédagogiques'!$C$3=2),AND($G394&lt;&gt;"",$H394&lt;&gt;"",$I394&lt;&gt;"")),1,0))</f>
        <v/>
      </c>
      <c r="BO394" s="21" t="str">
        <f>IF(OR(COUNT(B394:D1393)=0,COUNT(G394:I1393)=0,'Choix pédagogiques'!C$3&lt;&gt;3),"",IF(AND('Choix pédagogiques'!$C$3=3,$B394&lt;&gt;"",$C394&lt;&gt;"",$D394&lt;&gt;"",$G394&lt;&gt;"",$H394&lt;&gt;"",$I394&lt;&gt;""),1,0))</f>
        <v/>
      </c>
      <c r="BR394" s="21">
        <v>61</v>
      </c>
      <c r="BS394" s="21">
        <v>1866</v>
      </c>
      <c r="BT394"/>
    </row>
    <row r="395" spans="1:72" s="23" customFormat="1" ht="18" customHeight="1" x14ac:dyDescent="0.3">
      <c r="A395" s="35" t="s">
        <v>385</v>
      </c>
      <c r="B395" s="37"/>
      <c r="C395" s="37"/>
      <c r="D395" s="37"/>
      <c r="E395" s="37"/>
      <c r="F395" s="35" t="s">
        <v>1393</v>
      </c>
      <c r="G395" s="37"/>
      <c r="H395" s="37"/>
      <c r="I395" s="37"/>
      <c r="J395" s="37"/>
      <c r="K395" s="21" t="str">
        <f t="shared" si="273"/>
        <v>Apprenant 383</v>
      </c>
      <c r="L395" s="22" t="str">
        <f t="shared" si="274"/>
        <v/>
      </c>
      <c r="M395" s="22" t="str">
        <f t="shared" si="275"/>
        <v/>
      </c>
      <c r="N395" s="22" t="str">
        <f t="shared" si="276"/>
        <v/>
      </c>
      <c r="O395" s="22" t="str">
        <f t="shared" si="277"/>
        <v/>
      </c>
      <c r="P395" s="21" t="str">
        <f t="shared" si="278"/>
        <v>Apprenant 383 ou 383'</v>
      </c>
      <c r="Q395" s="22" t="str">
        <f t="shared" si="279"/>
        <v/>
      </c>
      <c r="R395" s="22" t="str">
        <f t="shared" si="280"/>
        <v/>
      </c>
      <c r="S395" s="22" t="str">
        <f t="shared" si="281"/>
        <v/>
      </c>
      <c r="T395" s="22" t="str">
        <f t="shared" si="282"/>
        <v/>
      </c>
      <c r="V395" s="21" t="str">
        <f t="shared" si="283"/>
        <v>Apprenant 383</v>
      </c>
      <c r="W395" s="22" t="str">
        <f>IF(AND(OR('Choix pédagogiques'!$C$3=1,'Choix pédagogiques'!$C$3=2),$BM395=1),B395,IF(AND('Choix pédagogiques'!$C$3=3,$BO395=1),B395,""))</f>
        <v/>
      </c>
      <c r="X395" s="22" t="str">
        <f>IF(AND(OR('Choix pédagogiques'!$C$3=1,'Choix pédagogiques'!$C$3=2),$BM395=1),C395,IF(AND('Choix pédagogiques'!$C$3=3,$BO395=1),C395,""))</f>
        <v/>
      </c>
      <c r="Y395" s="22" t="str">
        <f>IF(AND(OR('Choix pédagogiques'!$C$3=1,'Choix pédagogiques'!$C$3=2),$BM395=1),D395,IF(AND('Choix pédagogiques'!$C$3=3,$BO395=1),D395,""))</f>
        <v/>
      </c>
      <c r="Z395" s="22" t="str">
        <f t="shared" si="284"/>
        <v/>
      </c>
      <c r="AA395" s="21" t="str">
        <f t="shared" si="285"/>
        <v>Apprenant 383 ou 383'</v>
      </c>
      <c r="AB395" s="22" t="str">
        <f>IF(AND(OR('Choix pédagogiques'!$C$3=1,'Choix pédagogiques'!$C$3=2),$BN395=1),G395,IF(AND('Choix pédagogiques'!$C$3=3,$BO395=1),G395,""))</f>
        <v/>
      </c>
      <c r="AC395" s="22" t="str">
        <f>IF(AND(OR('Choix pédagogiques'!$C$3=1,'Choix pédagogiques'!$C$3=2),$BN395=1),H395,IF(AND('Choix pédagogiques'!$C$3=3,$BO395=1),H395,""))</f>
        <v/>
      </c>
      <c r="AD395" s="22" t="str">
        <f>IF(AND(OR('Choix pédagogiques'!$C$3=1,'Choix pédagogiques'!$C$3=2),$BN395=1),I395,IF(AND('Choix pédagogiques'!$C$3=3,$BO395=1),I395,""))</f>
        <v/>
      </c>
      <c r="AE395" s="22" t="str">
        <f t="shared" si="286"/>
        <v/>
      </c>
      <c r="AF395" s="21" t="str">
        <f t="shared" si="287"/>
        <v>Apprenant 383</v>
      </c>
      <c r="AG395" s="22" t="str">
        <f t="shared" si="261"/>
        <v/>
      </c>
      <c r="AH395" s="22" t="str">
        <f t="shared" si="262"/>
        <v/>
      </c>
      <c r="AI395" s="22" t="str">
        <f t="shared" si="263"/>
        <v/>
      </c>
      <c r="AJ395" s="22" t="str">
        <f t="shared" si="288"/>
        <v/>
      </c>
      <c r="AK395" s="21" t="str">
        <f t="shared" si="289"/>
        <v>Apprenant 383 ou 383'</v>
      </c>
      <c r="AL395" s="22" t="str">
        <f t="shared" si="264"/>
        <v/>
      </c>
      <c r="AM395" s="22" t="str">
        <f t="shared" si="265"/>
        <v/>
      </c>
      <c r="AN395" s="22" t="str">
        <f t="shared" si="266"/>
        <v/>
      </c>
      <c r="AO395" s="22" t="str">
        <f t="shared" si="290"/>
        <v/>
      </c>
      <c r="AQ395" s="21" t="str">
        <f t="shared" si="291"/>
        <v>Apprenant 383</v>
      </c>
      <c r="AR395" s="49" t="str">
        <f>IF(AND('Choix pédagogiques'!$C$4&lt;&gt;"?",'Choix pédagogiques'!$C$5&lt;&gt;"?",W395&lt;&gt;""),(W395-'Choix pédagogiques'!$C$4)/('Choix pédagogiques'!$C$5-'Choix pédagogiques'!$C$4),"")</f>
        <v/>
      </c>
      <c r="AS395" s="49" t="str">
        <f>IF(AND('Choix pédagogiques'!$C$4&lt;&gt;"?",'Choix pédagogiques'!$C$5&lt;&gt;"?",X395&lt;&gt;""),(X395-'Choix pédagogiques'!$C$4)/('Choix pédagogiques'!$C$5-'Choix pédagogiques'!$C$4),"")</f>
        <v/>
      </c>
      <c r="AT395" s="49" t="str">
        <f>IF(AND('Choix pédagogiques'!$C$4&lt;&gt;"?",'Choix pédagogiques'!$C$5&lt;&gt;"?",Y395&lt;&gt;""),(Y395-'Choix pédagogiques'!$C$4)/('Choix pédagogiques'!$C$5-'Choix pédagogiques'!$C$4),"")</f>
        <v/>
      </c>
      <c r="AU395" s="22" t="str">
        <f t="shared" si="292"/>
        <v/>
      </c>
      <c r="AV395" s="21" t="str">
        <f t="shared" si="293"/>
        <v>Apprenant 383 ou 383'</v>
      </c>
      <c r="AW395" s="49" t="str">
        <f>IF(AND('Choix pédagogiques'!$C$4&lt;&gt;"?",'Choix pédagogiques'!$C$5&lt;&gt;"?",AB395&lt;&gt;""),(AB395-'Choix pédagogiques'!$C$4)/('Choix pédagogiques'!$C$5-'Choix pédagogiques'!$C$4),"")</f>
        <v/>
      </c>
      <c r="AX395" s="49" t="str">
        <f>IF(AND('Choix pédagogiques'!$C$4&lt;&gt;"?",'Choix pédagogiques'!$C$5&lt;&gt;"?",AC395&lt;&gt;""),(AC395-'Choix pédagogiques'!$C$4)/('Choix pédagogiques'!$C$5-'Choix pédagogiques'!$C$4),"")</f>
        <v/>
      </c>
      <c r="AY395" s="49" t="str">
        <f>IF(AND('Choix pédagogiques'!$C$4&lt;&gt;"?",'Choix pédagogiques'!$C$5&lt;&gt;"?",AD395&lt;&gt;""),(AD395-'Choix pédagogiques'!$C$4)/('Choix pédagogiques'!$C$5-'Choix pédagogiques'!$C$4),"")</f>
        <v/>
      </c>
      <c r="AZ395" s="22" t="str">
        <f t="shared" si="294"/>
        <v/>
      </c>
      <c r="BA395" s="21" t="str">
        <f t="shared" si="295"/>
        <v>Apprenant 383</v>
      </c>
      <c r="BB395" s="49" t="str">
        <f t="shared" si="267"/>
        <v/>
      </c>
      <c r="BC395" s="49" t="str">
        <f t="shared" si="268"/>
        <v/>
      </c>
      <c r="BD395" s="49" t="str">
        <f t="shared" si="269"/>
        <v/>
      </c>
      <c r="BE395" s="22" t="str">
        <f t="shared" si="296"/>
        <v/>
      </c>
      <c r="BF395" s="21" t="str">
        <f t="shared" si="297"/>
        <v>Apprenant 383 ou 383'</v>
      </c>
      <c r="BG395" s="49" t="str">
        <f t="shared" si="270"/>
        <v/>
      </c>
      <c r="BH395" s="49" t="str">
        <f t="shared" si="271"/>
        <v/>
      </c>
      <c r="BI395" s="49" t="str">
        <f t="shared" si="272"/>
        <v/>
      </c>
      <c r="BJ395" s="22" t="str">
        <f t="shared" si="298"/>
        <v/>
      </c>
      <c r="BL395" s="21"/>
      <c r="BM395" s="21" t="str">
        <f>IF(OR(COUNT(B395:D1394)=0,AND('Choix pédagogiques'!$C$3&lt;&gt;1,'Choix pédagogiques'!$C$3&lt;&gt;2)),"",IF(AND(OR('Choix pédagogiques'!$C$3=1,'Choix pédagogiques'!$C$3=2),$B395&lt;&gt;"",$C395&lt;&gt;"",$D395&lt;&gt;""),1,0))</f>
        <v/>
      </c>
      <c r="BN395" s="21" t="str">
        <f>IF(OR(COUNT(G395:I1394)=0,AND('Choix pédagogiques'!$C$3&lt;&gt;1,'Choix pédagogiques'!$C$3&lt;&gt;2)),"",IF(AND(OR('Choix pédagogiques'!$C$3=1,'Choix pédagogiques'!$C$3=2),AND($G395&lt;&gt;"",$H395&lt;&gt;"",$I395&lt;&gt;"")),1,0))</f>
        <v/>
      </c>
      <c r="BO395" s="21" t="str">
        <f>IF(OR(COUNT(B395:D1394)=0,COUNT(G395:I1394)=0,'Choix pédagogiques'!C$3&lt;&gt;3),"",IF(AND('Choix pédagogiques'!$C$3=3,$B395&lt;&gt;"",$C395&lt;&gt;"",$D395&lt;&gt;"",$G395&lt;&gt;"",$H395&lt;&gt;"",$I395&lt;&gt;""),1,0))</f>
        <v/>
      </c>
      <c r="BR395" s="21">
        <v>166</v>
      </c>
      <c r="BS395" s="21">
        <v>1339</v>
      </c>
      <c r="BT395"/>
    </row>
    <row r="396" spans="1:72" s="23" customFormat="1" ht="18" customHeight="1" x14ac:dyDescent="0.3">
      <c r="A396" s="35" t="s">
        <v>386</v>
      </c>
      <c r="B396" s="37"/>
      <c r="C396" s="37"/>
      <c r="D396" s="37"/>
      <c r="E396" s="37"/>
      <c r="F396" s="35" t="s">
        <v>1394</v>
      </c>
      <c r="G396" s="37"/>
      <c r="H396" s="37"/>
      <c r="I396" s="37"/>
      <c r="J396" s="37"/>
      <c r="K396" s="21" t="str">
        <f t="shared" si="273"/>
        <v>Apprenant 384</v>
      </c>
      <c r="L396" s="22" t="str">
        <f t="shared" si="274"/>
        <v/>
      </c>
      <c r="M396" s="22" t="str">
        <f t="shared" si="275"/>
        <v/>
      </c>
      <c r="N396" s="22" t="str">
        <f t="shared" si="276"/>
        <v/>
      </c>
      <c r="O396" s="22" t="str">
        <f t="shared" si="277"/>
        <v/>
      </c>
      <c r="P396" s="21" t="str">
        <f t="shared" si="278"/>
        <v>Apprenant 384 ou 384'</v>
      </c>
      <c r="Q396" s="22" t="str">
        <f t="shared" si="279"/>
        <v/>
      </c>
      <c r="R396" s="22" t="str">
        <f t="shared" si="280"/>
        <v/>
      </c>
      <c r="S396" s="22" t="str">
        <f t="shared" si="281"/>
        <v/>
      </c>
      <c r="T396" s="22" t="str">
        <f t="shared" si="282"/>
        <v/>
      </c>
      <c r="V396" s="21" t="str">
        <f t="shared" si="283"/>
        <v>Apprenant 384</v>
      </c>
      <c r="W396" s="22" t="str">
        <f>IF(AND(OR('Choix pédagogiques'!$C$3=1,'Choix pédagogiques'!$C$3=2),$BM396=1),B396,IF(AND('Choix pédagogiques'!$C$3=3,$BO396=1),B396,""))</f>
        <v/>
      </c>
      <c r="X396" s="22" t="str">
        <f>IF(AND(OR('Choix pédagogiques'!$C$3=1,'Choix pédagogiques'!$C$3=2),$BM396=1),C396,IF(AND('Choix pédagogiques'!$C$3=3,$BO396=1),C396,""))</f>
        <v/>
      </c>
      <c r="Y396" s="22" t="str">
        <f>IF(AND(OR('Choix pédagogiques'!$C$3=1,'Choix pédagogiques'!$C$3=2),$BM396=1),D396,IF(AND('Choix pédagogiques'!$C$3=3,$BO396=1),D396,""))</f>
        <v/>
      </c>
      <c r="Z396" s="22" t="str">
        <f t="shared" si="284"/>
        <v/>
      </c>
      <c r="AA396" s="21" t="str">
        <f t="shared" si="285"/>
        <v>Apprenant 384 ou 384'</v>
      </c>
      <c r="AB396" s="22" t="str">
        <f>IF(AND(OR('Choix pédagogiques'!$C$3=1,'Choix pédagogiques'!$C$3=2),$BN396=1),G396,IF(AND('Choix pédagogiques'!$C$3=3,$BO396=1),G396,""))</f>
        <v/>
      </c>
      <c r="AC396" s="22" t="str">
        <f>IF(AND(OR('Choix pédagogiques'!$C$3=1,'Choix pédagogiques'!$C$3=2),$BN396=1),H396,IF(AND('Choix pédagogiques'!$C$3=3,$BO396=1),H396,""))</f>
        <v/>
      </c>
      <c r="AD396" s="22" t="str">
        <f>IF(AND(OR('Choix pédagogiques'!$C$3=1,'Choix pédagogiques'!$C$3=2),$BN396=1),I396,IF(AND('Choix pédagogiques'!$C$3=3,$BO396=1),I396,""))</f>
        <v/>
      </c>
      <c r="AE396" s="22" t="str">
        <f t="shared" si="286"/>
        <v/>
      </c>
      <c r="AF396" s="21" t="str">
        <f t="shared" si="287"/>
        <v>Apprenant 384</v>
      </c>
      <c r="AG396" s="22" t="str">
        <f t="shared" si="261"/>
        <v/>
      </c>
      <c r="AH396" s="22" t="str">
        <f t="shared" si="262"/>
        <v/>
      </c>
      <c r="AI396" s="22" t="str">
        <f t="shared" si="263"/>
        <v/>
      </c>
      <c r="AJ396" s="22" t="str">
        <f t="shared" si="288"/>
        <v/>
      </c>
      <c r="AK396" s="21" t="str">
        <f t="shared" si="289"/>
        <v>Apprenant 384 ou 384'</v>
      </c>
      <c r="AL396" s="22" t="str">
        <f t="shared" si="264"/>
        <v/>
      </c>
      <c r="AM396" s="22" t="str">
        <f t="shared" si="265"/>
        <v/>
      </c>
      <c r="AN396" s="22" t="str">
        <f t="shared" si="266"/>
        <v/>
      </c>
      <c r="AO396" s="22" t="str">
        <f t="shared" si="290"/>
        <v/>
      </c>
      <c r="AQ396" s="21" t="str">
        <f t="shared" si="291"/>
        <v>Apprenant 384</v>
      </c>
      <c r="AR396" s="49" t="str">
        <f>IF(AND('Choix pédagogiques'!$C$4&lt;&gt;"?",'Choix pédagogiques'!$C$5&lt;&gt;"?",W396&lt;&gt;""),(W396-'Choix pédagogiques'!$C$4)/('Choix pédagogiques'!$C$5-'Choix pédagogiques'!$C$4),"")</f>
        <v/>
      </c>
      <c r="AS396" s="49" t="str">
        <f>IF(AND('Choix pédagogiques'!$C$4&lt;&gt;"?",'Choix pédagogiques'!$C$5&lt;&gt;"?",X396&lt;&gt;""),(X396-'Choix pédagogiques'!$C$4)/('Choix pédagogiques'!$C$5-'Choix pédagogiques'!$C$4),"")</f>
        <v/>
      </c>
      <c r="AT396" s="49" t="str">
        <f>IF(AND('Choix pédagogiques'!$C$4&lt;&gt;"?",'Choix pédagogiques'!$C$5&lt;&gt;"?",Y396&lt;&gt;""),(Y396-'Choix pédagogiques'!$C$4)/('Choix pédagogiques'!$C$5-'Choix pédagogiques'!$C$4),"")</f>
        <v/>
      </c>
      <c r="AU396" s="22" t="str">
        <f t="shared" si="292"/>
        <v/>
      </c>
      <c r="AV396" s="21" t="str">
        <f t="shared" si="293"/>
        <v>Apprenant 384 ou 384'</v>
      </c>
      <c r="AW396" s="49" t="str">
        <f>IF(AND('Choix pédagogiques'!$C$4&lt;&gt;"?",'Choix pédagogiques'!$C$5&lt;&gt;"?",AB396&lt;&gt;""),(AB396-'Choix pédagogiques'!$C$4)/('Choix pédagogiques'!$C$5-'Choix pédagogiques'!$C$4),"")</f>
        <v/>
      </c>
      <c r="AX396" s="49" t="str">
        <f>IF(AND('Choix pédagogiques'!$C$4&lt;&gt;"?",'Choix pédagogiques'!$C$5&lt;&gt;"?",AC396&lt;&gt;""),(AC396-'Choix pédagogiques'!$C$4)/('Choix pédagogiques'!$C$5-'Choix pédagogiques'!$C$4),"")</f>
        <v/>
      </c>
      <c r="AY396" s="49" t="str">
        <f>IF(AND('Choix pédagogiques'!$C$4&lt;&gt;"?",'Choix pédagogiques'!$C$5&lt;&gt;"?",AD396&lt;&gt;""),(AD396-'Choix pédagogiques'!$C$4)/('Choix pédagogiques'!$C$5-'Choix pédagogiques'!$C$4),"")</f>
        <v/>
      </c>
      <c r="AZ396" s="22" t="str">
        <f t="shared" si="294"/>
        <v/>
      </c>
      <c r="BA396" s="21" t="str">
        <f t="shared" si="295"/>
        <v>Apprenant 384</v>
      </c>
      <c r="BB396" s="49" t="str">
        <f t="shared" si="267"/>
        <v/>
      </c>
      <c r="BC396" s="49" t="str">
        <f t="shared" si="268"/>
        <v/>
      </c>
      <c r="BD396" s="49" t="str">
        <f t="shared" si="269"/>
        <v/>
      </c>
      <c r="BE396" s="22" t="str">
        <f t="shared" si="296"/>
        <v/>
      </c>
      <c r="BF396" s="21" t="str">
        <f t="shared" si="297"/>
        <v>Apprenant 384 ou 384'</v>
      </c>
      <c r="BG396" s="49" t="str">
        <f t="shared" si="270"/>
        <v/>
      </c>
      <c r="BH396" s="49" t="str">
        <f t="shared" si="271"/>
        <v/>
      </c>
      <c r="BI396" s="49" t="str">
        <f t="shared" si="272"/>
        <v/>
      </c>
      <c r="BJ396" s="22" t="str">
        <f t="shared" si="298"/>
        <v/>
      </c>
      <c r="BL396" s="21"/>
      <c r="BM396" s="21" t="str">
        <f>IF(OR(COUNT(B396:D1395)=0,AND('Choix pédagogiques'!$C$3&lt;&gt;1,'Choix pédagogiques'!$C$3&lt;&gt;2)),"",IF(AND(OR('Choix pédagogiques'!$C$3=1,'Choix pédagogiques'!$C$3=2),$B396&lt;&gt;"",$C396&lt;&gt;"",$D396&lt;&gt;""),1,0))</f>
        <v/>
      </c>
      <c r="BN396" s="21" t="str">
        <f>IF(OR(COUNT(G396:I1395)=0,AND('Choix pédagogiques'!$C$3&lt;&gt;1,'Choix pédagogiques'!$C$3&lt;&gt;2)),"",IF(AND(OR('Choix pédagogiques'!$C$3=1,'Choix pédagogiques'!$C$3=2),AND($G396&lt;&gt;"",$H396&lt;&gt;"",$I396&lt;&gt;"")),1,0))</f>
        <v/>
      </c>
      <c r="BO396" s="21" t="str">
        <f>IF(OR(COUNT(B396:D1395)=0,COUNT(G396:I1395)=0,'Choix pédagogiques'!C$3&lt;&gt;3),"",IF(AND('Choix pédagogiques'!$C$3=3,$B396&lt;&gt;"",$C396&lt;&gt;"",$D396&lt;&gt;"",$G396&lt;&gt;"",$H396&lt;&gt;"",$I396&lt;&gt;""),1,0))</f>
        <v/>
      </c>
      <c r="BR396" s="21">
        <v>74</v>
      </c>
      <c r="BS396" s="21">
        <v>1254</v>
      </c>
      <c r="BT396"/>
    </row>
    <row r="397" spans="1:72" s="23" customFormat="1" ht="18" customHeight="1" x14ac:dyDescent="0.3">
      <c r="A397" s="35" t="s">
        <v>387</v>
      </c>
      <c r="B397" s="37"/>
      <c r="C397" s="37"/>
      <c r="D397" s="37"/>
      <c r="E397" s="37"/>
      <c r="F397" s="35" t="s">
        <v>1395</v>
      </c>
      <c r="G397" s="37"/>
      <c r="H397" s="37"/>
      <c r="I397" s="37"/>
      <c r="J397" s="37"/>
      <c r="K397" s="21" t="str">
        <f t="shared" si="273"/>
        <v>Apprenant 385</v>
      </c>
      <c r="L397" s="22" t="str">
        <f t="shared" si="274"/>
        <v/>
      </c>
      <c r="M397" s="22" t="str">
        <f t="shared" si="275"/>
        <v/>
      </c>
      <c r="N397" s="22" t="str">
        <f t="shared" si="276"/>
        <v/>
      </c>
      <c r="O397" s="22" t="str">
        <f t="shared" si="277"/>
        <v/>
      </c>
      <c r="P397" s="21" t="str">
        <f t="shared" si="278"/>
        <v>Apprenant 385 ou 385'</v>
      </c>
      <c r="Q397" s="22" t="str">
        <f t="shared" si="279"/>
        <v/>
      </c>
      <c r="R397" s="22" t="str">
        <f t="shared" si="280"/>
        <v/>
      </c>
      <c r="S397" s="22" t="str">
        <f t="shared" si="281"/>
        <v/>
      </c>
      <c r="T397" s="22" t="str">
        <f t="shared" si="282"/>
        <v/>
      </c>
      <c r="V397" s="21" t="str">
        <f t="shared" si="283"/>
        <v>Apprenant 385</v>
      </c>
      <c r="W397" s="22" t="str">
        <f>IF(AND(OR('Choix pédagogiques'!$C$3=1,'Choix pédagogiques'!$C$3=2),$BM397=1),B397,IF(AND('Choix pédagogiques'!$C$3=3,$BO397=1),B397,""))</f>
        <v/>
      </c>
      <c r="X397" s="22" t="str">
        <f>IF(AND(OR('Choix pédagogiques'!$C$3=1,'Choix pédagogiques'!$C$3=2),$BM397=1),C397,IF(AND('Choix pédagogiques'!$C$3=3,$BO397=1),C397,""))</f>
        <v/>
      </c>
      <c r="Y397" s="22" t="str">
        <f>IF(AND(OR('Choix pédagogiques'!$C$3=1,'Choix pédagogiques'!$C$3=2),$BM397=1),D397,IF(AND('Choix pédagogiques'!$C$3=3,$BO397=1),D397,""))</f>
        <v/>
      </c>
      <c r="Z397" s="22" t="str">
        <f t="shared" si="284"/>
        <v/>
      </c>
      <c r="AA397" s="21" t="str">
        <f t="shared" si="285"/>
        <v>Apprenant 385 ou 385'</v>
      </c>
      <c r="AB397" s="22" t="str">
        <f>IF(AND(OR('Choix pédagogiques'!$C$3=1,'Choix pédagogiques'!$C$3=2),$BN397=1),G397,IF(AND('Choix pédagogiques'!$C$3=3,$BO397=1),G397,""))</f>
        <v/>
      </c>
      <c r="AC397" s="22" t="str">
        <f>IF(AND(OR('Choix pédagogiques'!$C$3=1,'Choix pédagogiques'!$C$3=2),$BN397=1),H397,IF(AND('Choix pédagogiques'!$C$3=3,$BO397=1),H397,""))</f>
        <v/>
      </c>
      <c r="AD397" s="22" t="str">
        <f>IF(AND(OR('Choix pédagogiques'!$C$3=1,'Choix pédagogiques'!$C$3=2),$BN397=1),I397,IF(AND('Choix pédagogiques'!$C$3=3,$BO397=1),I397,""))</f>
        <v/>
      </c>
      <c r="AE397" s="22" t="str">
        <f t="shared" si="286"/>
        <v/>
      </c>
      <c r="AF397" s="21" t="str">
        <f t="shared" si="287"/>
        <v>Apprenant 385</v>
      </c>
      <c r="AG397" s="22" t="str">
        <f t="shared" ref="AG397:AG460" si="299">IF(AND($W397&lt;&gt;"",$X397&lt;&gt;""),$X397-$W397,"")</f>
        <v/>
      </c>
      <c r="AH397" s="22" t="str">
        <f t="shared" ref="AH397:AH460" si="300">IF(AND($W397&lt;&gt;"",$Y397&lt;&gt;""),$Y397-$W397,"")</f>
        <v/>
      </c>
      <c r="AI397" s="22" t="str">
        <f t="shared" ref="AI397:AI460" si="301">IF(AND($X397&lt;&gt;"",$Y397&lt;&gt;""),$Y397-$X397,"")</f>
        <v/>
      </c>
      <c r="AJ397" s="22" t="str">
        <f t="shared" si="288"/>
        <v/>
      </c>
      <c r="AK397" s="21" t="str">
        <f t="shared" si="289"/>
        <v>Apprenant 385 ou 385'</v>
      </c>
      <c r="AL397" s="22" t="str">
        <f t="shared" ref="AL397:AL460" si="302">IF(AND($AB397&lt;&gt;"",$AC397&lt;&gt;""),$AC397-$AB397,"")</f>
        <v/>
      </c>
      <c r="AM397" s="22" t="str">
        <f t="shared" ref="AM397:AM460" si="303">IF(AND($AB397&lt;&gt;"",$AD397&lt;&gt;""),$AD397-$AB397,"")</f>
        <v/>
      </c>
      <c r="AN397" s="22" t="str">
        <f t="shared" ref="AN397:AN460" si="304">IF(AND($AC397&lt;&gt;"",$AD397&lt;&gt;""),$AD397-$AC397,"")</f>
        <v/>
      </c>
      <c r="AO397" s="22" t="str">
        <f t="shared" si="290"/>
        <v/>
      </c>
      <c r="AQ397" s="21" t="str">
        <f t="shared" si="291"/>
        <v>Apprenant 385</v>
      </c>
      <c r="AR397" s="49" t="str">
        <f>IF(AND('Choix pédagogiques'!$C$4&lt;&gt;"?",'Choix pédagogiques'!$C$5&lt;&gt;"?",W397&lt;&gt;""),(W397-'Choix pédagogiques'!$C$4)/('Choix pédagogiques'!$C$5-'Choix pédagogiques'!$C$4),"")</f>
        <v/>
      </c>
      <c r="AS397" s="49" t="str">
        <f>IF(AND('Choix pédagogiques'!$C$4&lt;&gt;"?",'Choix pédagogiques'!$C$5&lt;&gt;"?",X397&lt;&gt;""),(X397-'Choix pédagogiques'!$C$4)/('Choix pédagogiques'!$C$5-'Choix pédagogiques'!$C$4),"")</f>
        <v/>
      </c>
      <c r="AT397" s="49" t="str">
        <f>IF(AND('Choix pédagogiques'!$C$4&lt;&gt;"?",'Choix pédagogiques'!$C$5&lt;&gt;"?",Y397&lt;&gt;""),(Y397-'Choix pédagogiques'!$C$4)/('Choix pédagogiques'!$C$5-'Choix pédagogiques'!$C$4),"")</f>
        <v/>
      </c>
      <c r="AU397" s="22" t="str">
        <f t="shared" si="292"/>
        <v/>
      </c>
      <c r="AV397" s="21" t="str">
        <f t="shared" si="293"/>
        <v>Apprenant 385 ou 385'</v>
      </c>
      <c r="AW397" s="49" t="str">
        <f>IF(AND('Choix pédagogiques'!$C$4&lt;&gt;"?",'Choix pédagogiques'!$C$5&lt;&gt;"?",AB397&lt;&gt;""),(AB397-'Choix pédagogiques'!$C$4)/('Choix pédagogiques'!$C$5-'Choix pédagogiques'!$C$4),"")</f>
        <v/>
      </c>
      <c r="AX397" s="49" t="str">
        <f>IF(AND('Choix pédagogiques'!$C$4&lt;&gt;"?",'Choix pédagogiques'!$C$5&lt;&gt;"?",AC397&lt;&gt;""),(AC397-'Choix pédagogiques'!$C$4)/('Choix pédagogiques'!$C$5-'Choix pédagogiques'!$C$4),"")</f>
        <v/>
      </c>
      <c r="AY397" s="49" t="str">
        <f>IF(AND('Choix pédagogiques'!$C$4&lt;&gt;"?",'Choix pédagogiques'!$C$5&lt;&gt;"?",AD397&lt;&gt;""),(AD397-'Choix pédagogiques'!$C$4)/('Choix pédagogiques'!$C$5-'Choix pédagogiques'!$C$4),"")</f>
        <v/>
      </c>
      <c r="AZ397" s="22" t="str">
        <f t="shared" si="294"/>
        <v/>
      </c>
      <c r="BA397" s="21" t="str">
        <f t="shared" si="295"/>
        <v>Apprenant 385</v>
      </c>
      <c r="BB397" s="49" t="str">
        <f t="shared" ref="BB397:BB460" si="305">IF(AND($AR397&lt;&gt;"",$AS397&lt;&gt;""),$AS397-$AR397,"")</f>
        <v/>
      </c>
      <c r="BC397" s="49" t="str">
        <f t="shared" ref="BC397:BC460" si="306">IF(AND($AR397&lt;&gt;"",$AT397&lt;&gt;""),$AT397-$AR397,"")</f>
        <v/>
      </c>
      <c r="BD397" s="49" t="str">
        <f t="shared" ref="BD397:BD460" si="307">IF(AND($AS397&lt;&gt;"",$AT397&lt;&gt;""),$AT397-$AS397,"")</f>
        <v/>
      </c>
      <c r="BE397" s="22" t="str">
        <f t="shared" si="296"/>
        <v/>
      </c>
      <c r="BF397" s="21" t="str">
        <f t="shared" si="297"/>
        <v>Apprenant 385 ou 385'</v>
      </c>
      <c r="BG397" s="49" t="str">
        <f t="shared" ref="BG397:BG460" si="308">IF(AND($AW397&lt;&gt;"",$AX397&lt;&gt;""),$AX397-$AW397,"")</f>
        <v/>
      </c>
      <c r="BH397" s="49" t="str">
        <f t="shared" ref="BH397:BH460" si="309">IF(AND($AW397&lt;&gt;"",$AY397&lt;&gt;""),$AY397-$AW397,"")</f>
        <v/>
      </c>
      <c r="BI397" s="49" t="str">
        <f t="shared" ref="BI397:BI460" si="310">IF(AND($AX397&lt;&gt;"",$AY397&lt;&gt;""),$AY397-$AX397,"")</f>
        <v/>
      </c>
      <c r="BJ397" s="22" t="str">
        <f t="shared" si="298"/>
        <v/>
      </c>
      <c r="BL397" s="21"/>
      <c r="BM397" s="21" t="str">
        <f>IF(OR(COUNT(B397:D1396)=0,AND('Choix pédagogiques'!$C$3&lt;&gt;1,'Choix pédagogiques'!$C$3&lt;&gt;2)),"",IF(AND(OR('Choix pédagogiques'!$C$3=1,'Choix pédagogiques'!$C$3=2),$B397&lt;&gt;"",$C397&lt;&gt;"",$D397&lt;&gt;""),1,0))</f>
        <v/>
      </c>
      <c r="BN397" s="21" t="str">
        <f>IF(OR(COUNT(G397:I1396)=0,AND('Choix pédagogiques'!$C$3&lt;&gt;1,'Choix pédagogiques'!$C$3&lt;&gt;2)),"",IF(AND(OR('Choix pédagogiques'!$C$3=1,'Choix pédagogiques'!$C$3=2),AND($G397&lt;&gt;"",$H397&lt;&gt;"",$I397&lt;&gt;"")),1,0))</f>
        <v/>
      </c>
      <c r="BO397" s="21" t="str">
        <f>IF(OR(COUNT(B397:D1396)=0,COUNT(G397:I1396)=0,'Choix pédagogiques'!C$3&lt;&gt;3),"",IF(AND('Choix pédagogiques'!$C$3=3,$B397&lt;&gt;"",$C397&lt;&gt;"",$D397&lt;&gt;"",$G397&lt;&gt;"",$H397&lt;&gt;"",$I397&lt;&gt;""),1,0))</f>
        <v/>
      </c>
      <c r="BR397" s="21">
        <v>455</v>
      </c>
      <c r="BS397" s="21">
        <v>1093</v>
      </c>
      <c r="BT397"/>
    </row>
    <row r="398" spans="1:72" s="23" customFormat="1" ht="18" customHeight="1" x14ac:dyDescent="0.3">
      <c r="A398" s="35" t="s">
        <v>388</v>
      </c>
      <c r="B398" s="37"/>
      <c r="C398" s="37"/>
      <c r="D398" s="37"/>
      <c r="E398" s="37"/>
      <c r="F398" s="35" t="s">
        <v>1396</v>
      </c>
      <c r="G398" s="37"/>
      <c r="H398" s="37"/>
      <c r="I398" s="37"/>
      <c r="J398" s="37"/>
      <c r="K398" s="21" t="str">
        <f t="shared" ref="K398:K461" si="311">IF($A398&lt;&gt;"",$A398,"")</f>
        <v>Apprenant 386</v>
      </c>
      <c r="L398" s="22" t="str">
        <f t="shared" ref="L398:L461" si="312">IF(AND($B398&lt;&gt;"",$C398&lt;&gt;""),$C398-$B398,"")</f>
        <v/>
      </c>
      <c r="M398" s="22" t="str">
        <f t="shared" ref="M398:M461" si="313">IF(AND($B398&lt;&gt;"",$D398&lt;&gt;""),$D398-$B398,"")</f>
        <v/>
      </c>
      <c r="N398" s="22" t="str">
        <f t="shared" ref="N398:N461" si="314">IF(AND($C398&lt;&gt;"",$D398&lt;&gt;""),$D398-$C398,"")</f>
        <v/>
      </c>
      <c r="O398" s="22" t="str">
        <f t="shared" ref="O398:O461" si="315">IF($E398&lt;&gt;"",$E398,"")</f>
        <v/>
      </c>
      <c r="P398" s="21" t="str">
        <f t="shared" ref="P398:P461" si="316">IF($F398&lt;&gt;"",$F398,"")</f>
        <v>Apprenant 386 ou 386'</v>
      </c>
      <c r="Q398" s="22" t="str">
        <f t="shared" ref="Q398:Q461" si="317">IF(AND($G398&lt;&gt;"",$H398&lt;&gt;""),$H398-$G398,"")</f>
        <v/>
      </c>
      <c r="R398" s="22" t="str">
        <f t="shared" ref="R398:R461" si="318">IF(AND($G398&lt;&gt;"",$I398&lt;&gt;""),$I398-$G398,"")</f>
        <v/>
      </c>
      <c r="S398" s="22" t="str">
        <f t="shared" ref="S398:S461" si="319">IF(AND($H398&lt;&gt;"",$I398&lt;&gt;""),$I398-$H398,"")</f>
        <v/>
      </c>
      <c r="T398" s="22" t="str">
        <f t="shared" ref="T398:T461" si="320">IF($J398&lt;&gt;"",$J398,"")</f>
        <v/>
      </c>
      <c r="V398" s="21" t="str">
        <f t="shared" ref="V398:V461" si="321">IF($A398&lt;&gt;"",$A398,"")</f>
        <v>Apprenant 386</v>
      </c>
      <c r="W398" s="22" t="str">
        <f>IF(AND(OR('Choix pédagogiques'!$C$3=1,'Choix pédagogiques'!$C$3=2),$BM398=1),B398,IF(AND('Choix pédagogiques'!$C$3=3,$BO398=1),B398,""))</f>
        <v/>
      </c>
      <c r="X398" s="22" t="str">
        <f>IF(AND(OR('Choix pédagogiques'!$C$3=1,'Choix pédagogiques'!$C$3=2),$BM398=1),C398,IF(AND('Choix pédagogiques'!$C$3=3,$BO398=1),C398,""))</f>
        <v/>
      </c>
      <c r="Y398" s="22" t="str">
        <f>IF(AND(OR('Choix pédagogiques'!$C$3=1,'Choix pédagogiques'!$C$3=2),$BM398=1),D398,IF(AND('Choix pédagogiques'!$C$3=3,$BO398=1),D398,""))</f>
        <v/>
      </c>
      <c r="Z398" s="22" t="str">
        <f t="shared" ref="Z398:Z461" si="322">IF($E398&lt;&gt;"",$E398,"")</f>
        <v/>
      </c>
      <c r="AA398" s="21" t="str">
        <f t="shared" ref="AA398:AA461" si="323">IF($F398&lt;&gt;"",$F398,"")</f>
        <v>Apprenant 386 ou 386'</v>
      </c>
      <c r="AB398" s="22" t="str">
        <f>IF(AND(OR('Choix pédagogiques'!$C$3=1,'Choix pédagogiques'!$C$3=2),$BN398=1),G398,IF(AND('Choix pédagogiques'!$C$3=3,$BO398=1),G398,""))</f>
        <v/>
      </c>
      <c r="AC398" s="22" t="str">
        <f>IF(AND(OR('Choix pédagogiques'!$C$3=1,'Choix pédagogiques'!$C$3=2),$BN398=1),H398,IF(AND('Choix pédagogiques'!$C$3=3,$BO398=1),H398,""))</f>
        <v/>
      </c>
      <c r="AD398" s="22" t="str">
        <f>IF(AND(OR('Choix pédagogiques'!$C$3=1,'Choix pédagogiques'!$C$3=2),$BN398=1),I398,IF(AND('Choix pédagogiques'!$C$3=3,$BO398=1),I398,""))</f>
        <v/>
      </c>
      <c r="AE398" s="22" t="str">
        <f t="shared" ref="AE398:AE461" si="324">IF($J398&lt;&gt;"",$J398,"")</f>
        <v/>
      </c>
      <c r="AF398" s="21" t="str">
        <f t="shared" ref="AF398:AF461" si="325">IF($A398&lt;&gt;"",$A398,"")</f>
        <v>Apprenant 386</v>
      </c>
      <c r="AG398" s="22" t="str">
        <f t="shared" si="299"/>
        <v/>
      </c>
      <c r="AH398" s="22" t="str">
        <f t="shared" si="300"/>
        <v/>
      </c>
      <c r="AI398" s="22" t="str">
        <f t="shared" si="301"/>
        <v/>
      </c>
      <c r="AJ398" s="22" t="str">
        <f t="shared" ref="AJ398:AJ461" si="326">IF($E398&lt;&gt;"",$E398,"")</f>
        <v/>
      </c>
      <c r="AK398" s="21" t="str">
        <f t="shared" ref="AK398:AK461" si="327">IF($F398&lt;&gt;"",$F398,"")</f>
        <v>Apprenant 386 ou 386'</v>
      </c>
      <c r="AL398" s="22" t="str">
        <f t="shared" si="302"/>
        <v/>
      </c>
      <c r="AM398" s="22" t="str">
        <f t="shared" si="303"/>
        <v/>
      </c>
      <c r="AN398" s="22" t="str">
        <f t="shared" si="304"/>
        <v/>
      </c>
      <c r="AO398" s="22" t="str">
        <f t="shared" ref="AO398:AO461" si="328">IF($J398&lt;&gt;"",$J398,"")</f>
        <v/>
      </c>
      <c r="AQ398" s="21" t="str">
        <f t="shared" ref="AQ398:AQ461" si="329">IF($A398&lt;&gt;"",$A398,"")</f>
        <v>Apprenant 386</v>
      </c>
      <c r="AR398" s="49" t="str">
        <f>IF(AND('Choix pédagogiques'!$C$4&lt;&gt;"?",'Choix pédagogiques'!$C$5&lt;&gt;"?",W398&lt;&gt;""),(W398-'Choix pédagogiques'!$C$4)/('Choix pédagogiques'!$C$5-'Choix pédagogiques'!$C$4),"")</f>
        <v/>
      </c>
      <c r="AS398" s="49" t="str">
        <f>IF(AND('Choix pédagogiques'!$C$4&lt;&gt;"?",'Choix pédagogiques'!$C$5&lt;&gt;"?",X398&lt;&gt;""),(X398-'Choix pédagogiques'!$C$4)/('Choix pédagogiques'!$C$5-'Choix pédagogiques'!$C$4),"")</f>
        <v/>
      </c>
      <c r="AT398" s="49" t="str">
        <f>IF(AND('Choix pédagogiques'!$C$4&lt;&gt;"?",'Choix pédagogiques'!$C$5&lt;&gt;"?",Y398&lt;&gt;""),(Y398-'Choix pédagogiques'!$C$4)/('Choix pédagogiques'!$C$5-'Choix pédagogiques'!$C$4),"")</f>
        <v/>
      </c>
      <c r="AU398" s="22" t="str">
        <f t="shared" ref="AU398:AU461" si="330">IF($E398&lt;&gt;"",$E398,"")</f>
        <v/>
      </c>
      <c r="AV398" s="21" t="str">
        <f t="shared" ref="AV398:AV461" si="331">IF($F398&lt;&gt;"",$F398,"")</f>
        <v>Apprenant 386 ou 386'</v>
      </c>
      <c r="AW398" s="49" t="str">
        <f>IF(AND('Choix pédagogiques'!$C$4&lt;&gt;"?",'Choix pédagogiques'!$C$5&lt;&gt;"?",AB398&lt;&gt;""),(AB398-'Choix pédagogiques'!$C$4)/('Choix pédagogiques'!$C$5-'Choix pédagogiques'!$C$4),"")</f>
        <v/>
      </c>
      <c r="AX398" s="49" t="str">
        <f>IF(AND('Choix pédagogiques'!$C$4&lt;&gt;"?",'Choix pédagogiques'!$C$5&lt;&gt;"?",AC398&lt;&gt;""),(AC398-'Choix pédagogiques'!$C$4)/('Choix pédagogiques'!$C$5-'Choix pédagogiques'!$C$4),"")</f>
        <v/>
      </c>
      <c r="AY398" s="49" t="str">
        <f>IF(AND('Choix pédagogiques'!$C$4&lt;&gt;"?",'Choix pédagogiques'!$C$5&lt;&gt;"?",AD398&lt;&gt;""),(AD398-'Choix pédagogiques'!$C$4)/('Choix pédagogiques'!$C$5-'Choix pédagogiques'!$C$4),"")</f>
        <v/>
      </c>
      <c r="AZ398" s="22" t="str">
        <f t="shared" ref="AZ398:AZ461" si="332">IF($J398&lt;&gt;"",$J398,"")</f>
        <v/>
      </c>
      <c r="BA398" s="21" t="str">
        <f t="shared" ref="BA398:BA461" si="333">IF($A398&lt;&gt;"",$A398,"")</f>
        <v>Apprenant 386</v>
      </c>
      <c r="BB398" s="49" t="str">
        <f t="shared" si="305"/>
        <v/>
      </c>
      <c r="BC398" s="49" t="str">
        <f t="shared" si="306"/>
        <v/>
      </c>
      <c r="BD398" s="49" t="str">
        <f t="shared" si="307"/>
        <v/>
      </c>
      <c r="BE398" s="22" t="str">
        <f t="shared" ref="BE398:BE461" si="334">IF($E398&lt;&gt;"",$E398,"")</f>
        <v/>
      </c>
      <c r="BF398" s="21" t="str">
        <f t="shared" ref="BF398:BF461" si="335">IF($F398&lt;&gt;"",$F398,"")</f>
        <v>Apprenant 386 ou 386'</v>
      </c>
      <c r="BG398" s="49" t="str">
        <f t="shared" si="308"/>
        <v/>
      </c>
      <c r="BH398" s="49" t="str">
        <f t="shared" si="309"/>
        <v/>
      </c>
      <c r="BI398" s="49" t="str">
        <f t="shared" si="310"/>
        <v/>
      </c>
      <c r="BJ398" s="22" t="str">
        <f t="shared" ref="BJ398:BJ461" si="336">IF($J398&lt;&gt;"",$J398,"")</f>
        <v/>
      </c>
      <c r="BL398" s="21"/>
      <c r="BM398" s="21" t="str">
        <f>IF(OR(COUNT(B398:D1397)=0,AND('Choix pédagogiques'!$C$3&lt;&gt;1,'Choix pédagogiques'!$C$3&lt;&gt;2)),"",IF(AND(OR('Choix pédagogiques'!$C$3=1,'Choix pédagogiques'!$C$3=2),$B398&lt;&gt;"",$C398&lt;&gt;"",$D398&lt;&gt;""),1,0))</f>
        <v/>
      </c>
      <c r="BN398" s="21" t="str">
        <f>IF(OR(COUNT(G398:I1397)=0,AND('Choix pédagogiques'!$C$3&lt;&gt;1,'Choix pédagogiques'!$C$3&lt;&gt;2)),"",IF(AND(OR('Choix pédagogiques'!$C$3=1,'Choix pédagogiques'!$C$3=2),AND($G398&lt;&gt;"",$H398&lt;&gt;"",$I398&lt;&gt;"")),1,0))</f>
        <v/>
      </c>
      <c r="BO398" s="21" t="str">
        <f>IF(OR(COUNT(B398:D1397)=0,COUNT(G398:I1397)=0,'Choix pédagogiques'!C$3&lt;&gt;3),"",IF(AND('Choix pédagogiques'!$C$3=3,$B398&lt;&gt;"",$C398&lt;&gt;"",$D398&lt;&gt;"",$G398&lt;&gt;"",$H398&lt;&gt;"",$I398&lt;&gt;""),1,0))</f>
        <v/>
      </c>
      <c r="BR398" s="21">
        <v>987</v>
      </c>
      <c r="BS398" s="21">
        <v>1745</v>
      </c>
      <c r="BT398"/>
    </row>
    <row r="399" spans="1:72" s="23" customFormat="1" ht="18" customHeight="1" x14ac:dyDescent="0.3">
      <c r="A399" s="35" t="s">
        <v>389</v>
      </c>
      <c r="B399" s="37"/>
      <c r="C399" s="37"/>
      <c r="D399" s="37"/>
      <c r="E399" s="37"/>
      <c r="F399" s="35" t="s">
        <v>1397</v>
      </c>
      <c r="G399" s="37"/>
      <c r="H399" s="37"/>
      <c r="I399" s="37"/>
      <c r="J399" s="37"/>
      <c r="K399" s="21" t="str">
        <f t="shared" si="311"/>
        <v>Apprenant 387</v>
      </c>
      <c r="L399" s="22" t="str">
        <f t="shared" si="312"/>
        <v/>
      </c>
      <c r="M399" s="22" t="str">
        <f t="shared" si="313"/>
        <v/>
      </c>
      <c r="N399" s="22" t="str">
        <f t="shared" si="314"/>
        <v/>
      </c>
      <c r="O399" s="22" t="str">
        <f t="shared" si="315"/>
        <v/>
      </c>
      <c r="P399" s="21" t="str">
        <f t="shared" si="316"/>
        <v>Apprenant 387 ou 387'</v>
      </c>
      <c r="Q399" s="22" t="str">
        <f t="shared" si="317"/>
        <v/>
      </c>
      <c r="R399" s="22" t="str">
        <f t="shared" si="318"/>
        <v/>
      </c>
      <c r="S399" s="22" t="str">
        <f t="shared" si="319"/>
        <v/>
      </c>
      <c r="T399" s="22" t="str">
        <f t="shared" si="320"/>
        <v/>
      </c>
      <c r="V399" s="21" t="str">
        <f t="shared" si="321"/>
        <v>Apprenant 387</v>
      </c>
      <c r="W399" s="22" t="str">
        <f>IF(AND(OR('Choix pédagogiques'!$C$3=1,'Choix pédagogiques'!$C$3=2),$BM399=1),B399,IF(AND('Choix pédagogiques'!$C$3=3,$BO399=1),B399,""))</f>
        <v/>
      </c>
      <c r="X399" s="22" t="str">
        <f>IF(AND(OR('Choix pédagogiques'!$C$3=1,'Choix pédagogiques'!$C$3=2),$BM399=1),C399,IF(AND('Choix pédagogiques'!$C$3=3,$BO399=1),C399,""))</f>
        <v/>
      </c>
      <c r="Y399" s="22" t="str">
        <f>IF(AND(OR('Choix pédagogiques'!$C$3=1,'Choix pédagogiques'!$C$3=2),$BM399=1),D399,IF(AND('Choix pédagogiques'!$C$3=3,$BO399=1),D399,""))</f>
        <v/>
      </c>
      <c r="Z399" s="22" t="str">
        <f t="shared" si="322"/>
        <v/>
      </c>
      <c r="AA399" s="21" t="str">
        <f t="shared" si="323"/>
        <v>Apprenant 387 ou 387'</v>
      </c>
      <c r="AB399" s="22" t="str">
        <f>IF(AND(OR('Choix pédagogiques'!$C$3=1,'Choix pédagogiques'!$C$3=2),$BN399=1),G399,IF(AND('Choix pédagogiques'!$C$3=3,$BO399=1),G399,""))</f>
        <v/>
      </c>
      <c r="AC399" s="22" t="str">
        <f>IF(AND(OR('Choix pédagogiques'!$C$3=1,'Choix pédagogiques'!$C$3=2),$BN399=1),H399,IF(AND('Choix pédagogiques'!$C$3=3,$BO399=1),H399,""))</f>
        <v/>
      </c>
      <c r="AD399" s="22" t="str">
        <f>IF(AND(OR('Choix pédagogiques'!$C$3=1,'Choix pédagogiques'!$C$3=2),$BN399=1),I399,IF(AND('Choix pédagogiques'!$C$3=3,$BO399=1),I399,""))</f>
        <v/>
      </c>
      <c r="AE399" s="22" t="str">
        <f t="shared" si="324"/>
        <v/>
      </c>
      <c r="AF399" s="21" t="str">
        <f t="shared" si="325"/>
        <v>Apprenant 387</v>
      </c>
      <c r="AG399" s="22" t="str">
        <f t="shared" si="299"/>
        <v/>
      </c>
      <c r="AH399" s="22" t="str">
        <f t="shared" si="300"/>
        <v/>
      </c>
      <c r="AI399" s="22" t="str">
        <f t="shared" si="301"/>
        <v/>
      </c>
      <c r="AJ399" s="22" t="str">
        <f t="shared" si="326"/>
        <v/>
      </c>
      <c r="AK399" s="21" t="str">
        <f t="shared" si="327"/>
        <v>Apprenant 387 ou 387'</v>
      </c>
      <c r="AL399" s="22" t="str">
        <f t="shared" si="302"/>
        <v/>
      </c>
      <c r="AM399" s="22" t="str">
        <f t="shared" si="303"/>
        <v/>
      </c>
      <c r="AN399" s="22" t="str">
        <f t="shared" si="304"/>
        <v/>
      </c>
      <c r="AO399" s="22" t="str">
        <f t="shared" si="328"/>
        <v/>
      </c>
      <c r="AQ399" s="21" t="str">
        <f t="shared" si="329"/>
        <v>Apprenant 387</v>
      </c>
      <c r="AR399" s="49" t="str">
        <f>IF(AND('Choix pédagogiques'!$C$4&lt;&gt;"?",'Choix pédagogiques'!$C$5&lt;&gt;"?",W399&lt;&gt;""),(W399-'Choix pédagogiques'!$C$4)/('Choix pédagogiques'!$C$5-'Choix pédagogiques'!$C$4),"")</f>
        <v/>
      </c>
      <c r="AS399" s="49" t="str">
        <f>IF(AND('Choix pédagogiques'!$C$4&lt;&gt;"?",'Choix pédagogiques'!$C$5&lt;&gt;"?",X399&lt;&gt;""),(X399-'Choix pédagogiques'!$C$4)/('Choix pédagogiques'!$C$5-'Choix pédagogiques'!$C$4),"")</f>
        <v/>
      </c>
      <c r="AT399" s="49" t="str">
        <f>IF(AND('Choix pédagogiques'!$C$4&lt;&gt;"?",'Choix pédagogiques'!$C$5&lt;&gt;"?",Y399&lt;&gt;""),(Y399-'Choix pédagogiques'!$C$4)/('Choix pédagogiques'!$C$5-'Choix pédagogiques'!$C$4),"")</f>
        <v/>
      </c>
      <c r="AU399" s="22" t="str">
        <f t="shared" si="330"/>
        <v/>
      </c>
      <c r="AV399" s="21" t="str">
        <f t="shared" si="331"/>
        <v>Apprenant 387 ou 387'</v>
      </c>
      <c r="AW399" s="49" t="str">
        <f>IF(AND('Choix pédagogiques'!$C$4&lt;&gt;"?",'Choix pédagogiques'!$C$5&lt;&gt;"?",AB399&lt;&gt;""),(AB399-'Choix pédagogiques'!$C$4)/('Choix pédagogiques'!$C$5-'Choix pédagogiques'!$C$4),"")</f>
        <v/>
      </c>
      <c r="AX399" s="49" t="str">
        <f>IF(AND('Choix pédagogiques'!$C$4&lt;&gt;"?",'Choix pédagogiques'!$C$5&lt;&gt;"?",AC399&lt;&gt;""),(AC399-'Choix pédagogiques'!$C$4)/('Choix pédagogiques'!$C$5-'Choix pédagogiques'!$C$4),"")</f>
        <v/>
      </c>
      <c r="AY399" s="49" t="str">
        <f>IF(AND('Choix pédagogiques'!$C$4&lt;&gt;"?",'Choix pédagogiques'!$C$5&lt;&gt;"?",AD399&lt;&gt;""),(AD399-'Choix pédagogiques'!$C$4)/('Choix pédagogiques'!$C$5-'Choix pédagogiques'!$C$4),"")</f>
        <v/>
      </c>
      <c r="AZ399" s="22" t="str">
        <f t="shared" si="332"/>
        <v/>
      </c>
      <c r="BA399" s="21" t="str">
        <f t="shared" si="333"/>
        <v>Apprenant 387</v>
      </c>
      <c r="BB399" s="49" t="str">
        <f t="shared" si="305"/>
        <v/>
      </c>
      <c r="BC399" s="49" t="str">
        <f t="shared" si="306"/>
        <v/>
      </c>
      <c r="BD399" s="49" t="str">
        <f t="shared" si="307"/>
        <v/>
      </c>
      <c r="BE399" s="22" t="str">
        <f t="shared" si="334"/>
        <v/>
      </c>
      <c r="BF399" s="21" t="str">
        <f t="shared" si="335"/>
        <v>Apprenant 387 ou 387'</v>
      </c>
      <c r="BG399" s="49" t="str">
        <f t="shared" si="308"/>
        <v/>
      </c>
      <c r="BH399" s="49" t="str">
        <f t="shared" si="309"/>
        <v/>
      </c>
      <c r="BI399" s="49" t="str">
        <f t="shared" si="310"/>
        <v/>
      </c>
      <c r="BJ399" s="22" t="str">
        <f t="shared" si="336"/>
        <v/>
      </c>
      <c r="BL399" s="21"/>
      <c r="BM399" s="21" t="str">
        <f>IF(OR(COUNT(B399:D1398)=0,AND('Choix pédagogiques'!$C$3&lt;&gt;1,'Choix pédagogiques'!$C$3&lt;&gt;2)),"",IF(AND(OR('Choix pédagogiques'!$C$3=1,'Choix pédagogiques'!$C$3=2),$B399&lt;&gt;"",$C399&lt;&gt;"",$D399&lt;&gt;""),1,0))</f>
        <v/>
      </c>
      <c r="BN399" s="21" t="str">
        <f>IF(OR(COUNT(G399:I1398)=0,AND('Choix pédagogiques'!$C$3&lt;&gt;1,'Choix pédagogiques'!$C$3&lt;&gt;2)),"",IF(AND(OR('Choix pédagogiques'!$C$3=1,'Choix pédagogiques'!$C$3=2),AND($G399&lt;&gt;"",$H399&lt;&gt;"",$I399&lt;&gt;"")),1,0))</f>
        <v/>
      </c>
      <c r="BO399" s="21" t="str">
        <f>IF(OR(COUNT(B399:D1398)=0,COUNT(G399:I1398)=0,'Choix pédagogiques'!C$3&lt;&gt;3),"",IF(AND('Choix pédagogiques'!$C$3=3,$B399&lt;&gt;"",$C399&lt;&gt;"",$D399&lt;&gt;"",$G399&lt;&gt;"",$H399&lt;&gt;"",$I399&lt;&gt;""),1,0))</f>
        <v/>
      </c>
      <c r="BR399" s="21">
        <v>22</v>
      </c>
      <c r="BS399" s="21">
        <v>1456</v>
      </c>
      <c r="BT399"/>
    </row>
    <row r="400" spans="1:72" s="23" customFormat="1" ht="18" customHeight="1" x14ac:dyDescent="0.3">
      <c r="A400" s="35" t="s">
        <v>390</v>
      </c>
      <c r="B400" s="37"/>
      <c r="C400" s="37"/>
      <c r="D400" s="37"/>
      <c r="E400" s="37"/>
      <c r="F400" s="35" t="s">
        <v>1398</v>
      </c>
      <c r="G400" s="37"/>
      <c r="H400" s="37"/>
      <c r="I400" s="37"/>
      <c r="J400" s="37"/>
      <c r="K400" s="21" t="str">
        <f t="shared" si="311"/>
        <v>Apprenant 388</v>
      </c>
      <c r="L400" s="22" t="str">
        <f t="shared" si="312"/>
        <v/>
      </c>
      <c r="M400" s="22" t="str">
        <f t="shared" si="313"/>
        <v/>
      </c>
      <c r="N400" s="22" t="str">
        <f t="shared" si="314"/>
        <v/>
      </c>
      <c r="O400" s="22" t="str">
        <f t="shared" si="315"/>
        <v/>
      </c>
      <c r="P400" s="21" t="str">
        <f t="shared" si="316"/>
        <v>Apprenant 388 ou 388'</v>
      </c>
      <c r="Q400" s="22" t="str">
        <f t="shared" si="317"/>
        <v/>
      </c>
      <c r="R400" s="22" t="str">
        <f t="shared" si="318"/>
        <v/>
      </c>
      <c r="S400" s="22" t="str">
        <f t="shared" si="319"/>
        <v/>
      </c>
      <c r="T400" s="22" t="str">
        <f t="shared" si="320"/>
        <v/>
      </c>
      <c r="V400" s="21" t="str">
        <f t="shared" si="321"/>
        <v>Apprenant 388</v>
      </c>
      <c r="W400" s="22" t="str">
        <f>IF(AND(OR('Choix pédagogiques'!$C$3=1,'Choix pédagogiques'!$C$3=2),$BM400=1),B400,IF(AND('Choix pédagogiques'!$C$3=3,$BO400=1),B400,""))</f>
        <v/>
      </c>
      <c r="X400" s="22" t="str">
        <f>IF(AND(OR('Choix pédagogiques'!$C$3=1,'Choix pédagogiques'!$C$3=2),$BM400=1),C400,IF(AND('Choix pédagogiques'!$C$3=3,$BO400=1),C400,""))</f>
        <v/>
      </c>
      <c r="Y400" s="22" t="str">
        <f>IF(AND(OR('Choix pédagogiques'!$C$3=1,'Choix pédagogiques'!$C$3=2),$BM400=1),D400,IF(AND('Choix pédagogiques'!$C$3=3,$BO400=1),D400,""))</f>
        <v/>
      </c>
      <c r="Z400" s="22" t="str">
        <f t="shared" si="322"/>
        <v/>
      </c>
      <c r="AA400" s="21" t="str">
        <f t="shared" si="323"/>
        <v>Apprenant 388 ou 388'</v>
      </c>
      <c r="AB400" s="22" t="str">
        <f>IF(AND(OR('Choix pédagogiques'!$C$3=1,'Choix pédagogiques'!$C$3=2),$BN400=1),G400,IF(AND('Choix pédagogiques'!$C$3=3,$BO400=1),G400,""))</f>
        <v/>
      </c>
      <c r="AC400" s="22" t="str">
        <f>IF(AND(OR('Choix pédagogiques'!$C$3=1,'Choix pédagogiques'!$C$3=2),$BN400=1),H400,IF(AND('Choix pédagogiques'!$C$3=3,$BO400=1),H400,""))</f>
        <v/>
      </c>
      <c r="AD400" s="22" t="str">
        <f>IF(AND(OR('Choix pédagogiques'!$C$3=1,'Choix pédagogiques'!$C$3=2),$BN400=1),I400,IF(AND('Choix pédagogiques'!$C$3=3,$BO400=1),I400,""))</f>
        <v/>
      </c>
      <c r="AE400" s="22" t="str">
        <f t="shared" si="324"/>
        <v/>
      </c>
      <c r="AF400" s="21" t="str">
        <f t="shared" si="325"/>
        <v>Apprenant 388</v>
      </c>
      <c r="AG400" s="22" t="str">
        <f t="shared" si="299"/>
        <v/>
      </c>
      <c r="AH400" s="22" t="str">
        <f t="shared" si="300"/>
        <v/>
      </c>
      <c r="AI400" s="22" t="str">
        <f t="shared" si="301"/>
        <v/>
      </c>
      <c r="AJ400" s="22" t="str">
        <f t="shared" si="326"/>
        <v/>
      </c>
      <c r="AK400" s="21" t="str">
        <f t="shared" si="327"/>
        <v>Apprenant 388 ou 388'</v>
      </c>
      <c r="AL400" s="22" t="str">
        <f t="shared" si="302"/>
        <v/>
      </c>
      <c r="AM400" s="22" t="str">
        <f t="shared" si="303"/>
        <v/>
      </c>
      <c r="AN400" s="22" t="str">
        <f t="shared" si="304"/>
        <v/>
      </c>
      <c r="AO400" s="22" t="str">
        <f t="shared" si="328"/>
        <v/>
      </c>
      <c r="AQ400" s="21" t="str">
        <f t="shared" si="329"/>
        <v>Apprenant 388</v>
      </c>
      <c r="AR400" s="49" t="str">
        <f>IF(AND('Choix pédagogiques'!$C$4&lt;&gt;"?",'Choix pédagogiques'!$C$5&lt;&gt;"?",W400&lt;&gt;""),(W400-'Choix pédagogiques'!$C$4)/('Choix pédagogiques'!$C$5-'Choix pédagogiques'!$C$4),"")</f>
        <v/>
      </c>
      <c r="AS400" s="49" t="str">
        <f>IF(AND('Choix pédagogiques'!$C$4&lt;&gt;"?",'Choix pédagogiques'!$C$5&lt;&gt;"?",X400&lt;&gt;""),(X400-'Choix pédagogiques'!$C$4)/('Choix pédagogiques'!$C$5-'Choix pédagogiques'!$C$4),"")</f>
        <v/>
      </c>
      <c r="AT400" s="49" t="str">
        <f>IF(AND('Choix pédagogiques'!$C$4&lt;&gt;"?",'Choix pédagogiques'!$C$5&lt;&gt;"?",Y400&lt;&gt;""),(Y400-'Choix pédagogiques'!$C$4)/('Choix pédagogiques'!$C$5-'Choix pédagogiques'!$C$4),"")</f>
        <v/>
      </c>
      <c r="AU400" s="22" t="str">
        <f t="shared" si="330"/>
        <v/>
      </c>
      <c r="AV400" s="21" t="str">
        <f t="shared" si="331"/>
        <v>Apprenant 388 ou 388'</v>
      </c>
      <c r="AW400" s="49" t="str">
        <f>IF(AND('Choix pédagogiques'!$C$4&lt;&gt;"?",'Choix pédagogiques'!$C$5&lt;&gt;"?",AB400&lt;&gt;""),(AB400-'Choix pédagogiques'!$C$4)/('Choix pédagogiques'!$C$5-'Choix pédagogiques'!$C$4),"")</f>
        <v/>
      </c>
      <c r="AX400" s="49" t="str">
        <f>IF(AND('Choix pédagogiques'!$C$4&lt;&gt;"?",'Choix pédagogiques'!$C$5&lt;&gt;"?",AC400&lt;&gt;""),(AC400-'Choix pédagogiques'!$C$4)/('Choix pédagogiques'!$C$5-'Choix pédagogiques'!$C$4),"")</f>
        <v/>
      </c>
      <c r="AY400" s="49" t="str">
        <f>IF(AND('Choix pédagogiques'!$C$4&lt;&gt;"?",'Choix pédagogiques'!$C$5&lt;&gt;"?",AD400&lt;&gt;""),(AD400-'Choix pédagogiques'!$C$4)/('Choix pédagogiques'!$C$5-'Choix pédagogiques'!$C$4),"")</f>
        <v/>
      </c>
      <c r="AZ400" s="22" t="str">
        <f t="shared" si="332"/>
        <v/>
      </c>
      <c r="BA400" s="21" t="str">
        <f t="shared" si="333"/>
        <v>Apprenant 388</v>
      </c>
      <c r="BB400" s="49" t="str">
        <f t="shared" si="305"/>
        <v/>
      </c>
      <c r="BC400" s="49" t="str">
        <f t="shared" si="306"/>
        <v/>
      </c>
      <c r="BD400" s="49" t="str">
        <f t="shared" si="307"/>
        <v/>
      </c>
      <c r="BE400" s="22" t="str">
        <f t="shared" si="334"/>
        <v/>
      </c>
      <c r="BF400" s="21" t="str">
        <f t="shared" si="335"/>
        <v>Apprenant 388 ou 388'</v>
      </c>
      <c r="BG400" s="49" t="str">
        <f t="shared" si="308"/>
        <v/>
      </c>
      <c r="BH400" s="49" t="str">
        <f t="shared" si="309"/>
        <v/>
      </c>
      <c r="BI400" s="49" t="str">
        <f t="shared" si="310"/>
        <v/>
      </c>
      <c r="BJ400" s="22" t="str">
        <f t="shared" si="336"/>
        <v/>
      </c>
      <c r="BL400" s="21"/>
      <c r="BM400" s="21" t="str">
        <f>IF(OR(COUNT(B400:D1399)=0,AND('Choix pédagogiques'!$C$3&lt;&gt;1,'Choix pédagogiques'!$C$3&lt;&gt;2)),"",IF(AND(OR('Choix pédagogiques'!$C$3=1,'Choix pédagogiques'!$C$3=2),$B400&lt;&gt;"",$C400&lt;&gt;"",$D400&lt;&gt;""),1,0))</f>
        <v/>
      </c>
      <c r="BN400" s="21" t="str">
        <f>IF(OR(COUNT(G400:I1399)=0,AND('Choix pédagogiques'!$C$3&lt;&gt;1,'Choix pédagogiques'!$C$3&lt;&gt;2)),"",IF(AND(OR('Choix pédagogiques'!$C$3=1,'Choix pédagogiques'!$C$3=2),AND($G400&lt;&gt;"",$H400&lt;&gt;"",$I400&lt;&gt;"")),1,0))</f>
        <v/>
      </c>
      <c r="BO400" s="21" t="str">
        <f>IF(OR(COUNT(B400:D1399)=0,COUNT(G400:I1399)=0,'Choix pédagogiques'!C$3&lt;&gt;3),"",IF(AND('Choix pédagogiques'!$C$3=3,$B400&lt;&gt;"",$C400&lt;&gt;"",$D400&lt;&gt;"",$G400&lt;&gt;"",$H400&lt;&gt;"",$I400&lt;&gt;""),1,0))</f>
        <v/>
      </c>
      <c r="BR400" s="21">
        <v>577</v>
      </c>
      <c r="BS400" s="21">
        <v>1154</v>
      </c>
      <c r="BT400"/>
    </row>
    <row r="401" spans="1:72" s="23" customFormat="1" ht="18" customHeight="1" x14ac:dyDescent="0.3">
      <c r="A401" s="35" t="s">
        <v>391</v>
      </c>
      <c r="B401" s="37"/>
      <c r="C401" s="37"/>
      <c r="D401" s="37"/>
      <c r="E401" s="37"/>
      <c r="F401" s="35" t="s">
        <v>1399</v>
      </c>
      <c r="G401" s="37"/>
      <c r="H401" s="37"/>
      <c r="I401" s="37"/>
      <c r="J401" s="37"/>
      <c r="K401" s="21" t="str">
        <f t="shared" si="311"/>
        <v>Apprenant 389</v>
      </c>
      <c r="L401" s="22" t="str">
        <f t="shared" si="312"/>
        <v/>
      </c>
      <c r="M401" s="22" t="str">
        <f t="shared" si="313"/>
        <v/>
      </c>
      <c r="N401" s="22" t="str">
        <f t="shared" si="314"/>
        <v/>
      </c>
      <c r="O401" s="22" t="str">
        <f t="shared" si="315"/>
        <v/>
      </c>
      <c r="P401" s="21" t="str">
        <f t="shared" si="316"/>
        <v>Apprenant 389 ou 389'</v>
      </c>
      <c r="Q401" s="22" t="str">
        <f t="shared" si="317"/>
        <v/>
      </c>
      <c r="R401" s="22" t="str">
        <f t="shared" si="318"/>
        <v/>
      </c>
      <c r="S401" s="22" t="str">
        <f t="shared" si="319"/>
        <v/>
      </c>
      <c r="T401" s="22" t="str">
        <f t="shared" si="320"/>
        <v/>
      </c>
      <c r="V401" s="21" t="str">
        <f t="shared" si="321"/>
        <v>Apprenant 389</v>
      </c>
      <c r="W401" s="22" t="str">
        <f>IF(AND(OR('Choix pédagogiques'!$C$3=1,'Choix pédagogiques'!$C$3=2),$BM401=1),B401,IF(AND('Choix pédagogiques'!$C$3=3,$BO401=1),B401,""))</f>
        <v/>
      </c>
      <c r="X401" s="22" t="str">
        <f>IF(AND(OR('Choix pédagogiques'!$C$3=1,'Choix pédagogiques'!$C$3=2),$BM401=1),C401,IF(AND('Choix pédagogiques'!$C$3=3,$BO401=1),C401,""))</f>
        <v/>
      </c>
      <c r="Y401" s="22" t="str">
        <f>IF(AND(OR('Choix pédagogiques'!$C$3=1,'Choix pédagogiques'!$C$3=2),$BM401=1),D401,IF(AND('Choix pédagogiques'!$C$3=3,$BO401=1),D401,""))</f>
        <v/>
      </c>
      <c r="Z401" s="22" t="str">
        <f t="shared" si="322"/>
        <v/>
      </c>
      <c r="AA401" s="21" t="str">
        <f t="shared" si="323"/>
        <v>Apprenant 389 ou 389'</v>
      </c>
      <c r="AB401" s="22" t="str">
        <f>IF(AND(OR('Choix pédagogiques'!$C$3=1,'Choix pédagogiques'!$C$3=2),$BN401=1),G401,IF(AND('Choix pédagogiques'!$C$3=3,$BO401=1),G401,""))</f>
        <v/>
      </c>
      <c r="AC401" s="22" t="str">
        <f>IF(AND(OR('Choix pédagogiques'!$C$3=1,'Choix pédagogiques'!$C$3=2),$BN401=1),H401,IF(AND('Choix pédagogiques'!$C$3=3,$BO401=1),H401,""))</f>
        <v/>
      </c>
      <c r="AD401" s="22" t="str">
        <f>IF(AND(OR('Choix pédagogiques'!$C$3=1,'Choix pédagogiques'!$C$3=2),$BN401=1),I401,IF(AND('Choix pédagogiques'!$C$3=3,$BO401=1),I401,""))</f>
        <v/>
      </c>
      <c r="AE401" s="22" t="str">
        <f t="shared" si="324"/>
        <v/>
      </c>
      <c r="AF401" s="21" t="str">
        <f t="shared" si="325"/>
        <v>Apprenant 389</v>
      </c>
      <c r="AG401" s="22" t="str">
        <f t="shared" si="299"/>
        <v/>
      </c>
      <c r="AH401" s="22" t="str">
        <f t="shared" si="300"/>
        <v/>
      </c>
      <c r="AI401" s="22" t="str">
        <f t="shared" si="301"/>
        <v/>
      </c>
      <c r="AJ401" s="22" t="str">
        <f t="shared" si="326"/>
        <v/>
      </c>
      <c r="AK401" s="21" t="str">
        <f t="shared" si="327"/>
        <v>Apprenant 389 ou 389'</v>
      </c>
      <c r="AL401" s="22" t="str">
        <f t="shared" si="302"/>
        <v/>
      </c>
      <c r="AM401" s="22" t="str">
        <f t="shared" si="303"/>
        <v/>
      </c>
      <c r="AN401" s="22" t="str">
        <f t="shared" si="304"/>
        <v/>
      </c>
      <c r="AO401" s="22" t="str">
        <f t="shared" si="328"/>
        <v/>
      </c>
      <c r="AQ401" s="21" t="str">
        <f t="shared" si="329"/>
        <v>Apprenant 389</v>
      </c>
      <c r="AR401" s="49" t="str">
        <f>IF(AND('Choix pédagogiques'!$C$4&lt;&gt;"?",'Choix pédagogiques'!$C$5&lt;&gt;"?",W401&lt;&gt;""),(W401-'Choix pédagogiques'!$C$4)/('Choix pédagogiques'!$C$5-'Choix pédagogiques'!$C$4),"")</f>
        <v/>
      </c>
      <c r="AS401" s="49" t="str">
        <f>IF(AND('Choix pédagogiques'!$C$4&lt;&gt;"?",'Choix pédagogiques'!$C$5&lt;&gt;"?",X401&lt;&gt;""),(X401-'Choix pédagogiques'!$C$4)/('Choix pédagogiques'!$C$5-'Choix pédagogiques'!$C$4),"")</f>
        <v/>
      </c>
      <c r="AT401" s="49" t="str">
        <f>IF(AND('Choix pédagogiques'!$C$4&lt;&gt;"?",'Choix pédagogiques'!$C$5&lt;&gt;"?",Y401&lt;&gt;""),(Y401-'Choix pédagogiques'!$C$4)/('Choix pédagogiques'!$C$5-'Choix pédagogiques'!$C$4),"")</f>
        <v/>
      </c>
      <c r="AU401" s="22" t="str">
        <f t="shared" si="330"/>
        <v/>
      </c>
      <c r="AV401" s="21" t="str">
        <f t="shared" si="331"/>
        <v>Apprenant 389 ou 389'</v>
      </c>
      <c r="AW401" s="49" t="str">
        <f>IF(AND('Choix pédagogiques'!$C$4&lt;&gt;"?",'Choix pédagogiques'!$C$5&lt;&gt;"?",AB401&lt;&gt;""),(AB401-'Choix pédagogiques'!$C$4)/('Choix pédagogiques'!$C$5-'Choix pédagogiques'!$C$4),"")</f>
        <v/>
      </c>
      <c r="AX401" s="49" t="str">
        <f>IF(AND('Choix pédagogiques'!$C$4&lt;&gt;"?",'Choix pédagogiques'!$C$5&lt;&gt;"?",AC401&lt;&gt;""),(AC401-'Choix pédagogiques'!$C$4)/('Choix pédagogiques'!$C$5-'Choix pédagogiques'!$C$4),"")</f>
        <v/>
      </c>
      <c r="AY401" s="49" t="str">
        <f>IF(AND('Choix pédagogiques'!$C$4&lt;&gt;"?",'Choix pédagogiques'!$C$5&lt;&gt;"?",AD401&lt;&gt;""),(AD401-'Choix pédagogiques'!$C$4)/('Choix pédagogiques'!$C$5-'Choix pédagogiques'!$C$4),"")</f>
        <v/>
      </c>
      <c r="AZ401" s="22" t="str">
        <f t="shared" si="332"/>
        <v/>
      </c>
      <c r="BA401" s="21" t="str">
        <f t="shared" si="333"/>
        <v>Apprenant 389</v>
      </c>
      <c r="BB401" s="49" t="str">
        <f t="shared" si="305"/>
        <v/>
      </c>
      <c r="BC401" s="49" t="str">
        <f t="shared" si="306"/>
        <v/>
      </c>
      <c r="BD401" s="49" t="str">
        <f t="shared" si="307"/>
        <v/>
      </c>
      <c r="BE401" s="22" t="str">
        <f t="shared" si="334"/>
        <v/>
      </c>
      <c r="BF401" s="21" t="str">
        <f t="shared" si="335"/>
        <v>Apprenant 389 ou 389'</v>
      </c>
      <c r="BG401" s="49" t="str">
        <f t="shared" si="308"/>
        <v/>
      </c>
      <c r="BH401" s="49" t="str">
        <f t="shared" si="309"/>
        <v/>
      </c>
      <c r="BI401" s="49" t="str">
        <f t="shared" si="310"/>
        <v/>
      </c>
      <c r="BJ401" s="22" t="str">
        <f t="shared" si="336"/>
        <v/>
      </c>
      <c r="BL401" s="21"/>
      <c r="BM401" s="21" t="str">
        <f>IF(OR(COUNT(B401:D1400)=0,AND('Choix pédagogiques'!$C$3&lt;&gt;1,'Choix pédagogiques'!$C$3&lt;&gt;2)),"",IF(AND(OR('Choix pédagogiques'!$C$3=1,'Choix pédagogiques'!$C$3=2),$B401&lt;&gt;"",$C401&lt;&gt;"",$D401&lt;&gt;""),1,0))</f>
        <v/>
      </c>
      <c r="BN401" s="21" t="str">
        <f>IF(OR(COUNT(G401:I1400)=0,AND('Choix pédagogiques'!$C$3&lt;&gt;1,'Choix pédagogiques'!$C$3&lt;&gt;2)),"",IF(AND(OR('Choix pédagogiques'!$C$3=1,'Choix pédagogiques'!$C$3=2),AND($G401&lt;&gt;"",$H401&lt;&gt;"",$I401&lt;&gt;"")),1,0))</f>
        <v/>
      </c>
      <c r="BO401" s="21" t="str">
        <f>IF(OR(COUNT(B401:D1400)=0,COUNT(G401:I1400)=0,'Choix pédagogiques'!C$3&lt;&gt;3),"",IF(AND('Choix pédagogiques'!$C$3=3,$B401&lt;&gt;"",$C401&lt;&gt;"",$D401&lt;&gt;"",$G401&lt;&gt;"",$H401&lt;&gt;"",$I401&lt;&gt;""),1,0))</f>
        <v/>
      </c>
      <c r="BR401" s="21">
        <v>120</v>
      </c>
      <c r="BS401" s="21">
        <v>1272</v>
      </c>
      <c r="BT401"/>
    </row>
    <row r="402" spans="1:72" s="23" customFormat="1" ht="18" customHeight="1" x14ac:dyDescent="0.3">
      <c r="A402" s="35" t="s">
        <v>392</v>
      </c>
      <c r="B402" s="37"/>
      <c r="C402" s="37"/>
      <c r="D402" s="37"/>
      <c r="E402" s="37"/>
      <c r="F402" s="35" t="s">
        <v>1400</v>
      </c>
      <c r="G402" s="37"/>
      <c r="H402" s="37"/>
      <c r="I402" s="37"/>
      <c r="J402" s="37"/>
      <c r="K402" s="21" t="str">
        <f t="shared" si="311"/>
        <v>Apprenant 390</v>
      </c>
      <c r="L402" s="22" t="str">
        <f t="shared" si="312"/>
        <v/>
      </c>
      <c r="M402" s="22" t="str">
        <f t="shared" si="313"/>
        <v/>
      </c>
      <c r="N402" s="22" t="str">
        <f t="shared" si="314"/>
        <v/>
      </c>
      <c r="O402" s="22" t="str">
        <f t="shared" si="315"/>
        <v/>
      </c>
      <c r="P402" s="21" t="str">
        <f t="shared" si="316"/>
        <v>Apprenant 390 ou 390'</v>
      </c>
      <c r="Q402" s="22" t="str">
        <f t="shared" si="317"/>
        <v/>
      </c>
      <c r="R402" s="22" t="str">
        <f t="shared" si="318"/>
        <v/>
      </c>
      <c r="S402" s="22" t="str">
        <f t="shared" si="319"/>
        <v/>
      </c>
      <c r="T402" s="22" t="str">
        <f t="shared" si="320"/>
        <v/>
      </c>
      <c r="V402" s="21" t="str">
        <f t="shared" si="321"/>
        <v>Apprenant 390</v>
      </c>
      <c r="W402" s="22" t="str">
        <f>IF(AND(OR('Choix pédagogiques'!$C$3=1,'Choix pédagogiques'!$C$3=2),$BM402=1),B402,IF(AND('Choix pédagogiques'!$C$3=3,$BO402=1),B402,""))</f>
        <v/>
      </c>
      <c r="X402" s="22" t="str">
        <f>IF(AND(OR('Choix pédagogiques'!$C$3=1,'Choix pédagogiques'!$C$3=2),$BM402=1),C402,IF(AND('Choix pédagogiques'!$C$3=3,$BO402=1),C402,""))</f>
        <v/>
      </c>
      <c r="Y402" s="22" t="str">
        <f>IF(AND(OR('Choix pédagogiques'!$C$3=1,'Choix pédagogiques'!$C$3=2),$BM402=1),D402,IF(AND('Choix pédagogiques'!$C$3=3,$BO402=1),D402,""))</f>
        <v/>
      </c>
      <c r="Z402" s="22" t="str">
        <f t="shared" si="322"/>
        <v/>
      </c>
      <c r="AA402" s="21" t="str">
        <f t="shared" si="323"/>
        <v>Apprenant 390 ou 390'</v>
      </c>
      <c r="AB402" s="22" t="str">
        <f>IF(AND(OR('Choix pédagogiques'!$C$3=1,'Choix pédagogiques'!$C$3=2),$BN402=1),G402,IF(AND('Choix pédagogiques'!$C$3=3,$BO402=1),G402,""))</f>
        <v/>
      </c>
      <c r="AC402" s="22" t="str">
        <f>IF(AND(OR('Choix pédagogiques'!$C$3=1,'Choix pédagogiques'!$C$3=2),$BN402=1),H402,IF(AND('Choix pédagogiques'!$C$3=3,$BO402=1),H402,""))</f>
        <v/>
      </c>
      <c r="AD402" s="22" t="str">
        <f>IF(AND(OR('Choix pédagogiques'!$C$3=1,'Choix pédagogiques'!$C$3=2),$BN402=1),I402,IF(AND('Choix pédagogiques'!$C$3=3,$BO402=1),I402,""))</f>
        <v/>
      </c>
      <c r="AE402" s="22" t="str">
        <f t="shared" si="324"/>
        <v/>
      </c>
      <c r="AF402" s="21" t="str">
        <f t="shared" si="325"/>
        <v>Apprenant 390</v>
      </c>
      <c r="AG402" s="22" t="str">
        <f t="shared" si="299"/>
        <v/>
      </c>
      <c r="AH402" s="22" t="str">
        <f t="shared" si="300"/>
        <v/>
      </c>
      <c r="AI402" s="22" t="str">
        <f t="shared" si="301"/>
        <v/>
      </c>
      <c r="AJ402" s="22" t="str">
        <f t="shared" si="326"/>
        <v/>
      </c>
      <c r="AK402" s="21" t="str">
        <f t="shared" si="327"/>
        <v>Apprenant 390 ou 390'</v>
      </c>
      <c r="AL402" s="22" t="str">
        <f t="shared" si="302"/>
        <v/>
      </c>
      <c r="AM402" s="22" t="str">
        <f t="shared" si="303"/>
        <v/>
      </c>
      <c r="AN402" s="22" t="str">
        <f t="shared" si="304"/>
        <v/>
      </c>
      <c r="AO402" s="22" t="str">
        <f t="shared" si="328"/>
        <v/>
      </c>
      <c r="AQ402" s="21" t="str">
        <f t="shared" si="329"/>
        <v>Apprenant 390</v>
      </c>
      <c r="AR402" s="49" t="str">
        <f>IF(AND('Choix pédagogiques'!$C$4&lt;&gt;"?",'Choix pédagogiques'!$C$5&lt;&gt;"?",W402&lt;&gt;""),(W402-'Choix pédagogiques'!$C$4)/('Choix pédagogiques'!$C$5-'Choix pédagogiques'!$C$4),"")</f>
        <v/>
      </c>
      <c r="AS402" s="49" t="str">
        <f>IF(AND('Choix pédagogiques'!$C$4&lt;&gt;"?",'Choix pédagogiques'!$C$5&lt;&gt;"?",X402&lt;&gt;""),(X402-'Choix pédagogiques'!$C$4)/('Choix pédagogiques'!$C$5-'Choix pédagogiques'!$C$4),"")</f>
        <v/>
      </c>
      <c r="AT402" s="49" t="str">
        <f>IF(AND('Choix pédagogiques'!$C$4&lt;&gt;"?",'Choix pédagogiques'!$C$5&lt;&gt;"?",Y402&lt;&gt;""),(Y402-'Choix pédagogiques'!$C$4)/('Choix pédagogiques'!$C$5-'Choix pédagogiques'!$C$4),"")</f>
        <v/>
      </c>
      <c r="AU402" s="22" t="str">
        <f t="shared" si="330"/>
        <v/>
      </c>
      <c r="AV402" s="21" t="str">
        <f t="shared" si="331"/>
        <v>Apprenant 390 ou 390'</v>
      </c>
      <c r="AW402" s="49" t="str">
        <f>IF(AND('Choix pédagogiques'!$C$4&lt;&gt;"?",'Choix pédagogiques'!$C$5&lt;&gt;"?",AB402&lt;&gt;""),(AB402-'Choix pédagogiques'!$C$4)/('Choix pédagogiques'!$C$5-'Choix pédagogiques'!$C$4),"")</f>
        <v/>
      </c>
      <c r="AX402" s="49" t="str">
        <f>IF(AND('Choix pédagogiques'!$C$4&lt;&gt;"?",'Choix pédagogiques'!$C$5&lt;&gt;"?",AC402&lt;&gt;""),(AC402-'Choix pédagogiques'!$C$4)/('Choix pédagogiques'!$C$5-'Choix pédagogiques'!$C$4),"")</f>
        <v/>
      </c>
      <c r="AY402" s="49" t="str">
        <f>IF(AND('Choix pédagogiques'!$C$4&lt;&gt;"?",'Choix pédagogiques'!$C$5&lt;&gt;"?",AD402&lt;&gt;""),(AD402-'Choix pédagogiques'!$C$4)/('Choix pédagogiques'!$C$5-'Choix pédagogiques'!$C$4),"")</f>
        <v/>
      </c>
      <c r="AZ402" s="22" t="str">
        <f t="shared" si="332"/>
        <v/>
      </c>
      <c r="BA402" s="21" t="str">
        <f t="shared" si="333"/>
        <v>Apprenant 390</v>
      </c>
      <c r="BB402" s="49" t="str">
        <f t="shared" si="305"/>
        <v/>
      </c>
      <c r="BC402" s="49" t="str">
        <f t="shared" si="306"/>
        <v/>
      </c>
      <c r="BD402" s="49" t="str">
        <f t="shared" si="307"/>
        <v/>
      </c>
      <c r="BE402" s="22" t="str">
        <f t="shared" si="334"/>
        <v/>
      </c>
      <c r="BF402" s="21" t="str">
        <f t="shared" si="335"/>
        <v>Apprenant 390 ou 390'</v>
      </c>
      <c r="BG402" s="49" t="str">
        <f t="shared" si="308"/>
        <v/>
      </c>
      <c r="BH402" s="49" t="str">
        <f t="shared" si="309"/>
        <v/>
      </c>
      <c r="BI402" s="49" t="str">
        <f t="shared" si="310"/>
        <v/>
      </c>
      <c r="BJ402" s="22" t="str">
        <f t="shared" si="336"/>
        <v/>
      </c>
      <c r="BL402" s="21"/>
      <c r="BM402" s="21" t="str">
        <f>IF(OR(COUNT(B402:D1401)=0,AND('Choix pédagogiques'!$C$3&lt;&gt;1,'Choix pédagogiques'!$C$3&lt;&gt;2)),"",IF(AND(OR('Choix pédagogiques'!$C$3=1,'Choix pédagogiques'!$C$3=2),$B402&lt;&gt;"",$C402&lt;&gt;"",$D402&lt;&gt;""),1,0))</f>
        <v/>
      </c>
      <c r="BN402" s="21" t="str">
        <f>IF(OR(COUNT(G402:I1401)=0,AND('Choix pédagogiques'!$C$3&lt;&gt;1,'Choix pédagogiques'!$C$3&lt;&gt;2)),"",IF(AND(OR('Choix pédagogiques'!$C$3=1,'Choix pédagogiques'!$C$3=2),AND($G402&lt;&gt;"",$H402&lt;&gt;"",$I402&lt;&gt;"")),1,0))</f>
        <v/>
      </c>
      <c r="BO402" s="21" t="str">
        <f>IF(OR(COUNT(B402:D1401)=0,COUNT(G402:I1401)=0,'Choix pédagogiques'!C$3&lt;&gt;3),"",IF(AND('Choix pédagogiques'!$C$3=3,$B402&lt;&gt;"",$C402&lt;&gt;"",$D402&lt;&gt;"",$G402&lt;&gt;"",$H402&lt;&gt;"",$I402&lt;&gt;""),1,0))</f>
        <v/>
      </c>
      <c r="BR402" s="21">
        <v>451</v>
      </c>
      <c r="BS402" s="21">
        <v>1340</v>
      </c>
      <c r="BT402"/>
    </row>
    <row r="403" spans="1:72" s="23" customFormat="1" ht="18" customHeight="1" x14ac:dyDescent="0.3">
      <c r="A403" s="35" t="s">
        <v>393</v>
      </c>
      <c r="B403" s="37"/>
      <c r="C403" s="37"/>
      <c r="D403" s="37"/>
      <c r="E403" s="37"/>
      <c r="F403" s="35" t="s">
        <v>1401</v>
      </c>
      <c r="G403" s="37"/>
      <c r="H403" s="37"/>
      <c r="I403" s="37"/>
      <c r="J403" s="37"/>
      <c r="K403" s="21" t="str">
        <f t="shared" si="311"/>
        <v>Apprenant 391</v>
      </c>
      <c r="L403" s="22" t="str">
        <f t="shared" si="312"/>
        <v/>
      </c>
      <c r="M403" s="22" t="str">
        <f t="shared" si="313"/>
        <v/>
      </c>
      <c r="N403" s="22" t="str">
        <f t="shared" si="314"/>
        <v/>
      </c>
      <c r="O403" s="22" t="str">
        <f t="shared" si="315"/>
        <v/>
      </c>
      <c r="P403" s="21" t="str">
        <f t="shared" si="316"/>
        <v>Apprenant 391 ou 391'</v>
      </c>
      <c r="Q403" s="22" t="str">
        <f t="shared" si="317"/>
        <v/>
      </c>
      <c r="R403" s="22" t="str">
        <f t="shared" si="318"/>
        <v/>
      </c>
      <c r="S403" s="22" t="str">
        <f t="shared" si="319"/>
        <v/>
      </c>
      <c r="T403" s="22" t="str">
        <f t="shared" si="320"/>
        <v/>
      </c>
      <c r="V403" s="21" t="str">
        <f t="shared" si="321"/>
        <v>Apprenant 391</v>
      </c>
      <c r="W403" s="22" t="str">
        <f>IF(AND(OR('Choix pédagogiques'!$C$3=1,'Choix pédagogiques'!$C$3=2),$BM403=1),B403,IF(AND('Choix pédagogiques'!$C$3=3,$BO403=1),B403,""))</f>
        <v/>
      </c>
      <c r="X403" s="22" t="str">
        <f>IF(AND(OR('Choix pédagogiques'!$C$3=1,'Choix pédagogiques'!$C$3=2),$BM403=1),C403,IF(AND('Choix pédagogiques'!$C$3=3,$BO403=1),C403,""))</f>
        <v/>
      </c>
      <c r="Y403" s="22" t="str">
        <f>IF(AND(OR('Choix pédagogiques'!$C$3=1,'Choix pédagogiques'!$C$3=2),$BM403=1),D403,IF(AND('Choix pédagogiques'!$C$3=3,$BO403=1),D403,""))</f>
        <v/>
      </c>
      <c r="Z403" s="22" t="str">
        <f t="shared" si="322"/>
        <v/>
      </c>
      <c r="AA403" s="21" t="str">
        <f t="shared" si="323"/>
        <v>Apprenant 391 ou 391'</v>
      </c>
      <c r="AB403" s="22" t="str">
        <f>IF(AND(OR('Choix pédagogiques'!$C$3=1,'Choix pédagogiques'!$C$3=2),$BN403=1),G403,IF(AND('Choix pédagogiques'!$C$3=3,$BO403=1),G403,""))</f>
        <v/>
      </c>
      <c r="AC403" s="22" t="str">
        <f>IF(AND(OR('Choix pédagogiques'!$C$3=1,'Choix pédagogiques'!$C$3=2),$BN403=1),H403,IF(AND('Choix pédagogiques'!$C$3=3,$BO403=1),H403,""))</f>
        <v/>
      </c>
      <c r="AD403" s="22" t="str">
        <f>IF(AND(OR('Choix pédagogiques'!$C$3=1,'Choix pédagogiques'!$C$3=2),$BN403=1),I403,IF(AND('Choix pédagogiques'!$C$3=3,$BO403=1),I403,""))</f>
        <v/>
      </c>
      <c r="AE403" s="22" t="str">
        <f t="shared" si="324"/>
        <v/>
      </c>
      <c r="AF403" s="21" t="str">
        <f t="shared" si="325"/>
        <v>Apprenant 391</v>
      </c>
      <c r="AG403" s="22" t="str">
        <f t="shared" si="299"/>
        <v/>
      </c>
      <c r="AH403" s="22" t="str">
        <f t="shared" si="300"/>
        <v/>
      </c>
      <c r="AI403" s="22" t="str">
        <f t="shared" si="301"/>
        <v/>
      </c>
      <c r="AJ403" s="22" t="str">
        <f t="shared" si="326"/>
        <v/>
      </c>
      <c r="AK403" s="21" t="str">
        <f t="shared" si="327"/>
        <v>Apprenant 391 ou 391'</v>
      </c>
      <c r="AL403" s="22" t="str">
        <f t="shared" si="302"/>
        <v/>
      </c>
      <c r="AM403" s="22" t="str">
        <f t="shared" si="303"/>
        <v/>
      </c>
      <c r="AN403" s="22" t="str">
        <f t="shared" si="304"/>
        <v/>
      </c>
      <c r="AO403" s="22" t="str">
        <f t="shared" si="328"/>
        <v/>
      </c>
      <c r="AQ403" s="21" t="str">
        <f t="shared" si="329"/>
        <v>Apprenant 391</v>
      </c>
      <c r="AR403" s="49" t="str">
        <f>IF(AND('Choix pédagogiques'!$C$4&lt;&gt;"?",'Choix pédagogiques'!$C$5&lt;&gt;"?",W403&lt;&gt;""),(W403-'Choix pédagogiques'!$C$4)/('Choix pédagogiques'!$C$5-'Choix pédagogiques'!$C$4),"")</f>
        <v/>
      </c>
      <c r="AS403" s="49" t="str">
        <f>IF(AND('Choix pédagogiques'!$C$4&lt;&gt;"?",'Choix pédagogiques'!$C$5&lt;&gt;"?",X403&lt;&gt;""),(X403-'Choix pédagogiques'!$C$4)/('Choix pédagogiques'!$C$5-'Choix pédagogiques'!$C$4),"")</f>
        <v/>
      </c>
      <c r="AT403" s="49" t="str">
        <f>IF(AND('Choix pédagogiques'!$C$4&lt;&gt;"?",'Choix pédagogiques'!$C$5&lt;&gt;"?",Y403&lt;&gt;""),(Y403-'Choix pédagogiques'!$C$4)/('Choix pédagogiques'!$C$5-'Choix pédagogiques'!$C$4),"")</f>
        <v/>
      </c>
      <c r="AU403" s="22" t="str">
        <f t="shared" si="330"/>
        <v/>
      </c>
      <c r="AV403" s="21" t="str">
        <f t="shared" si="331"/>
        <v>Apprenant 391 ou 391'</v>
      </c>
      <c r="AW403" s="49" t="str">
        <f>IF(AND('Choix pédagogiques'!$C$4&lt;&gt;"?",'Choix pédagogiques'!$C$5&lt;&gt;"?",AB403&lt;&gt;""),(AB403-'Choix pédagogiques'!$C$4)/('Choix pédagogiques'!$C$5-'Choix pédagogiques'!$C$4),"")</f>
        <v/>
      </c>
      <c r="AX403" s="49" t="str">
        <f>IF(AND('Choix pédagogiques'!$C$4&lt;&gt;"?",'Choix pédagogiques'!$C$5&lt;&gt;"?",AC403&lt;&gt;""),(AC403-'Choix pédagogiques'!$C$4)/('Choix pédagogiques'!$C$5-'Choix pédagogiques'!$C$4),"")</f>
        <v/>
      </c>
      <c r="AY403" s="49" t="str">
        <f>IF(AND('Choix pédagogiques'!$C$4&lt;&gt;"?",'Choix pédagogiques'!$C$5&lt;&gt;"?",AD403&lt;&gt;""),(AD403-'Choix pédagogiques'!$C$4)/('Choix pédagogiques'!$C$5-'Choix pédagogiques'!$C$4),"")</f>
        <v/>
      </c>
      <c r="AZ403" s="22" t="str">
        <f t="shared" si="332"/>
        <v/>
      </c>
      <c r="BA403" s="21" t="str">
        <f t="shared" si="333"/>
        <v>Apprenant 391</v>
      </c>
      <c r="BB403" s="49" t="str">
        <f t="shared" si="305"/>
        <v/>
      </c>
      <c r="BC403" s="49" t="str">
        <f t="shared" si="306"/>
        <v/>
      </c>
      <c r="BD403" s="49" t="str">
        <f t="shared" si="307"/>
        <v/>
      </c>
      <c r="BE403" s="22" t="str">
        <f t="shared" si="334"/>
        <v/>
      </c>
      <c r="BF403" s="21" t="str">
        <f t="shared" si="335"/>
        <v>Apprenant 391 ou 391'</v>
      </c>
      <c r="BG403" s="49" t="str">
        <f t="shared" si="308"/>
        <v/>
      </c>
      <c r="BH403" s="49" t="str">
        <f t="shared" si="309"/>
        <v/>
      </c>
      <c r="BI403" s="49" t="str">
        <f t="shared" si="310"/>
        <v/>
      </c>
      <c r="BJ403" s="22" t="str">
        <f t="shared" si="336"/>
        <v/>
      </c>
      <c r="BL403" s="21"/>
      <c r="BM403" s="21" t="str">
        <f>IF(OR(COUNT(B403:D1402)=0,AND('Choix pédagogiques'!$C$3&lt;&gt;1,'Choix pédagogiques'!$C$3&lt;&gt;2)),"",IF(AND(OR('Choix pédagogiques'!$C$3=1,'Choix pédagogiques'!$C$3=2),$B403&lt;&gt;"",$C403&lt;&gt;"",$D403&lt;&gt;""),1,0))</f>
        <v/>
      </c>
      <c r="BN403" s="21" t="str">
        <f>IF(OR(COUNT(G403:I1402)=0,AND('Choix pédagogiques'!$C$3&lt;&gt;1,'Choix pédagogiques'!$C$3&lt;&gt;2)),"",IF(AND(OR('Choix pédagogiques'!$C$3=1,'Choix pédagogiques'!$C$3=2),AND($G403&lt;&gt;"",$H403&lt;&gt;"",$I403&lt;&gt;"")),1,0))</f>
        <v/>
      </c>
      <c r="BO403" s="21" t="str">
        <f>IF(OR(COUNT(B403:D1402)=0,COUNT(G403:I1402)=0,'Choix pédagogiques'!C$3&lt;&gt;3),"",IF(AND('Choix pédagogiques'!$C$3=3,$B403&lt;&gt;"",$C403&lt;&gt;"",$D403&lt;&gt;"",$G403&lt;&gt;"",$H403&lt;&gt;"",$I403&lt;&gt;""),1,0))</f>
        <v/>
      </c>
      <c r="BR403" s="21">
        <v>144</v>
      </c>
      <c r="BS403" s="21">
        <v>1052</v>
      </c>
      <c r="BT403"/>
    </row>
    <row r="404" spans="1:72" s="23" customFormat="1" ht="18" customHeight="1" x14ac:dyDescent="0.3">
      <c r="A404" s="35" t="s">
        <v>394</v>
      </c>
      <c r="B404" s="37"/>
      <c r="C404" s="37"/>
      <c r="D404" s="37"/>
      <c r="E404" s="37"/>
      <c r="F404" s="35" t="s">
        <v>1402</v>
      </c>
      <c r="G404" s="37"/>
      <c r="H404" s="37"/>
      <c r="I404" s="37"/>
      <c r="J404" s="37"/>
      <c r="K404" s="21" t="str">
        <f t="shared" si="311"/>
        <v>Apprenant 392</v>
      </c>
      <c r="L404" s="22" t="str">
        <f t="shared" si="312"/>
        <v/>
      </c>
      <c r="M404" s="22" t="str">
        <f t="shared" si="313"/>
        <v/>
      </c>
      <c r="N404" s="22" t="str">
        <f t="shared" si="314"/>
        <v/>
      </c>
      <c r="O404" s="22" t="str">
        <f t="shared" si="315"/>
        <v/>
      </c>
      <c r="P404" s="21" t="str">
        <f t="shared" si="316"/>
        <v>Apprenant 392 ou 392'</v>
      </c>
      <c r="Q404" s="22" t="str">
        <f t="shared" si="317"/>
        <v/>
      </c>
      <c r="R404" s="22" t="str">
        <f t="shared" si="318"/>
        <v/>
      </c>
      <c r="S404" s="22" t="str">
        <f t="shared" si="319"/>
        <v/>
      </c>
      <c r="T404" s="22" t="str">
        <f t="shared" si="320"/>
        <v/>
      </c>
      <c r="V404" s="21" t="str">
        <f t="shared" si="321"/>
        <v>Apprenant 392</v>
      </c>
      <c r="W404" s="22" t="str">
        <f>IF(AND(OR('Choix pédagogiques'!$C$3=1,'Choix pédagogiques'!$C$3=2),$BM404=1),B404,IF(AND('Choix pédagogiques'!$C$3=3,$BO404=1),B404,""))</f>
        <v/>
      </c>
      <c r="X404" s="22" t="str">
        <f>IF(AND(OR('Choix pédagogiques'!$C$3=1,'Choix pédagogiques'!$C$3=2),$BM404=1),C404,IF(AND('Choix pédagogiques'!$C$3=3,$BO404=1),C404,""))</f>
        <v/>
      </c>
      <c r="Y404" s="22" t="str">
        <f>IF(AND(OR('Choix pédagogiques'!$C$3=1,'Choix pédagogiques'!$C$3=2),$BM404=1),D404,IF(AND('Choix pédagogiques'!$C$3=3,$BO404=1),D404,""))</f>
        <v/>
      </c>
      <c r="Z404" s="22" t="str">
        <f t="shared" si="322"/>
        <v/>
      </c>
      <c r="AA404" s="21" t="str">
        <f t="shared" si="323"/>
        <v>Apprenant 392 ou 392'</v>
      </c>
      <c r="AB404" s="22" t="str">
        <f>IF(AND(OR('Choix pédagogiques'!$C$3=1,'Choix pédagogiques'!$C$3=2),$BN404=1),G404,IF(AND('Choix pédagogiques'!$C$3=3,$BO404=1),G404,""))</f>
        <v/>
      </c>
      <c r="AC404" s="22" t="str">
        <f>IF(AND(OR('Choix pédagogiques'!$C$3=1,'Choix pédagogiques'!$C$3=2),$BN404=1),H404,IF(AND('Choix pédagogiques'!$C$3=3,$BO404=1),H404,""))</f>
        <v/>
      </c>
      <c r="AD404" s="22" t="str">
        <f>IF(AND(OR('Choix pédagogiques'!$C$3=1,'Choix pédagogiques'!$C$3=2),$BN404=1),I404,IF(AND('Choix pédagogiques'!$C$3=3,$BO404=1),I404,""))</f>
        <v/>
      </c>
      <c r="AE404" s="22" t="str">
        <f t="shared" si="324"/>
        <v/>
      </c>
      <c r="AF404" s="21" t="str">
        <f t="shared" si="325"/>
        <v>Apprenant 392</v>
      </c>
      <c r="AG404" s="22" t="str">
        <f t="shared" si="299"/>
        <v/>
      </c>
      <c r="AH404" s="22" t="str">
        <f t="shared" si="300"/>
        <v/>
      </c>
      <c r="AI404" s="22" t="str">
        <f t="shared" si="301"/>
        <v/>
      </c>
      <c r="AJ404" s="22" t="str">
        <f t="shared" si="326"/>
        <v/>
      </c>
      <c r="AK404" s="21" t="str">
        <f t="shared" si="327"/>
        <v>Apprenant 392 ou 392'</v>
      </c>
      <c r="AL404" s="22" t="str">
        <f t="shared" si="302"/>
        <v/>
      </c>
      <c r="AM404" s="22" t="str">
        <f t="shared" si="303"/>
        <v/>
      </c>
      <c r="AN404" s="22" t="str">
        <f t="shared" si="304"/>
        <v/>
      </c>
      <c r="AO404" s="22" t="str">
        <f t="shared" si="328"/>
        <v/>
      </c>
      <c r="AQ404" s="21" t="str">
        <f t="shared" si="329"/>
        <v>Apprenant 392</v>
      </c>
      <c r="AR404" s="49" t="str">
        <f>IF(AND('Choix pédagogiques'!$C$4&lt;&gt;"?",'Choix pédagogiques'!$C$5&lt;&gt;"?",W404&lt;&gt;""),(W404-'Choix pédagogiques'!$C$4)/('Choix pédagogiques'!$C$5-'Choix pédagogiques'!$C$4),"")</f>
        <v/>
      </c>
      <c r="AS404" s="49" t="str">
        <f>IF(AND('Choix pédagogiques'!$C$4&lt;&gt;"?",'Choix pédagogiques'!$C$5&lt;&gt;"?",X404&lt;&gt;""),(X404-'Choix pédagogiques'!$C$4)/('Choix pédagogiques'!$C$5-'Choix pédagogiques'!$C$4),"")</f>
        <v/>
      </c>
      <c r="AT404" s="49" t="str">
        <f>IF(AND('Choix pédagogiques'!$C$4&lt;&gt;"?",'Choix pédagogiques'!$C$5&lt;&gt;"?",Y404&lt;&gt;""),(Y404-'Choix pédagogiques'!$C$4)/('Choix pédagogiques'!$C$5-'Choix pédagogiques'!$C$4),"")</f>
        <v/>
      </c>
      <c r="AU404" s="22" t="str">
        <f t="shared" si="330"/>
        <v/>
      </c>
      <c r="AV404" s="21" t="str">
        <f t="shared" si="331"/>
        <v>Apprenant 392 ou 392'</v>
      </c>
      <c r="AW404" s="49" t="str">
        <f>IF(AND('Choix pédagogiques'!$C$4&lt;&gt;"?",'Choix pédagogiques'!$C$5&lt;&gt;"?",AB404&lt;&gt;""),(AB404-'Choix pédagogiques'!$C$4)/('Choix pédagogiques'!$C$5-'Choix pédagogiques'!$C$4),"")</f>
        <v/>
      </c>
      <c r="AX404" s="49" t="str">
        <f>IF(AND('Choix pédagogiques'!$C$4&lt;&gt;"?",'Choix pédagogiques'!$C$5&lt;&gt;"?",AC404&lt;&gt;""),(AC404-'Choix pédagogiques'!$C$4)/('Choix pédagogiques'!$C$5-'Choix pédagogiques'!$C$4),"")</f>
        <v/>
      </c>
      <c r="AY404" s="49" t="str">
        <f>IF(AND('Choix pédagogiques'!$C$4&lt;&gt;"?",'Choix pédagogiques'!$C$5&lt;&gt;"?",AD404&lt;&gt;""),(AD404-'Choix pédagogiques'!$C$4)/('Choix pédagogiques'!$C$5-'Choix pédagogiques'!$C$4),"")</f>
        <v/>
      </c>
      <c r="AZ404" s="22" t="str">
        <f t="shared" si="332"/>
        <v/>
      </c>
      <c r="BA404" s="21" t="str">
        <f t="shared" si="333"/>
        <v>Apprenant 392</v>
      </c>
      <c r="BB404" s="49" t="str">
        <f t="shared" si="305"/>
        <v/>
      </c>
      <c r="BC404" s="49" t="str">
        <f t="shared" si="306"/>
        <v/>
      </c>
      <c r="BD404" s="49" t="str">
        <f t="shared" si="307"/>
        <v/>
      </c>
      <c r="BE404" s="22" t="str">
        <f t="shared" si="334"/>
        <v/>
      </c>
      <c r="BF404" s="21" t="str">
        <f t="shared" si="335"/>
        <v>Apprenant 392 ou 392'</v>
      </c>
      <c r="BG404" s="49" t="str">
        <f t="shared" si="308"/>
        <v/>
      </c>
      <c r="BH404" s="49" t="str">
        <f t="shared" si="309"/>
        <v/>
      </c>
      <c r="BI404" s="49" t="str">
        <f t="shared" si="310"/>
        <v/>
      </c>
      <c r="BJ404" s="22" t="str">
        <f t="shared" si="336"/>
        <v/>
      </c>
      <c r="BL404" s="21"/>
      <c r="BM404" s="21" t="str">
        <f>IF(OR(COUNT(B404:D1403)=0,AND('Choix pédagogiques'!$C$3&lt;&gt;1,'Choix pédagogiques'!$C$3&lt;&gt;2)),"",IF(AND(OR('Choix pédagogiques'!$C$3=1,'Choix pédagogiques'!$C$3=2),$B404&lt;&gt;"",$C404&lt;&gt;"",$D404&lt;&gt;""),1,0))</f>
        <v/>
      </c>
      <c r="BN404" s="21" t="str">
        <f>IF(OR(COUNT(G404:I1403)=0,AND('Choix pédagogiques'!$C$3&lt;&gt;1,'Choix pédagogiques'!$C$3&lt;&gt;2)),"",IF(AND(OR('Choix pédagogiques'!$C$3=1,'Choix pédagogiques'!$C$3=2),AND($G404&lt;&gt;"",$H404&lt;&gt;"",$I404&lt;&gt;"")),1,0))</f>
        <v/>
      </c>
      <c r="BO404" s="21" t="str">
        <f>IF(OR(COUNT(B404:D1403)=0,COUNT(G404:I1403)=0,'Choix pédagogiques'!C$3&lt;&gt;3),"",IF(AND('Choix pédagogiques'!$C$3=3,$B404&lt;&gt;"",$C404&lt;&gt;"",$D404&lt;&gt;"",$G404&lt;&gt;"",$H404&lt;&gt;"",$I404&lt;&gt;""),1,0))</f>
        <v/>
      </c>
      <c r="BR404" s="21">
        <v>590</v>
      </c>
      <c r="BS404" s="21">
        <v>1703</v>
      </c>
      <c r="BT404"/>
    </row>
    <row r="405" spans="1:72" s="23" customFormat="1" ht="18" customHeight="1" x14ac:dyDescent="0.3">
      <c r="A405" s="35" t="s">
        <v>395</v>
      </c>
      <c r="B405" s="37"/>
      <c r="C405" s="37"/>
      <c r="D405" s="37"/>
      <c r="E405" s="37"/>
      <c r="F405" s="35" t="s">
        <v>1403</v>
      </c>
      <c r="G405" s="37"/>
      <c r="H405" s="37"/>
      <c r="I405" s="37"/>
      <c r="J405" s="37"/>
      <c r="K405" s="21" t="str">
        <f t="shared" si="311"/>
        <v>Apprenant 393</v>
      </c>
      <c r="L405" s="22" t="str">
        <f t="shared" si="312"/>
        <v/>
      </c>
      <c r="M405" s="22" t="str">
        <f t="shared" si="313"/>
        <v/>
      </c>
      <c r="N405" s="22" t="str">
        <f t="shared" si="314"/>
        <v/>
      </c>
      <c r="O405" s="22" t="str">
        <f t="shared" si="315"/>
        <v/>
      </c>
      <c r="P405" s="21" t="str">
        <f t="shared" si="316"/>
        <v>Apprenant 393 ou 393'</v>
      </c>
      <c r="Q405" s="22" t="str">
        <f t="shared" si="317"/>
        <v/>
      </c>
      <c r="R405" s="22" t="str">
        <f t="shared" si="318"/>
        <v/>
      </c>
      <c r="S405" s="22" t="str">
        <f t="shared" si="319"/>
        <v/>
      </c>
      <c r="T405" s="22" t="str">
        <f t="shared" si="320"/>
        <v/>
      </c>
      <c r="V405" s="21" t="str">
        <f t="shared" si="321"/>
        <v>Apprenant 393</v>
      </c>
      <c r="W405" s="22" t="str">
        <f>IF(AND(OR('Choix pédagogiques'!$C$3=1,'Choix pédagogiques'!$C$3=2),$BM405=1),B405,IF(AND('Choix pédagogiques'!$C$3=3,$BO405=1),B405,""))</f>
        <v/>
      </c>
      <c r="X405" s="22" t="str">
        <f>IF(AND(OR('Choix pédagogiques'!$C$3=1,'Choix pédagogiques'!$C$3=2),$BM405=1),C405,IF(AND('Choix pédagogiques'!$C$3=3,$BO405=1),C405,""))</f>
        <v/>
      </c>
      <c r="Y405" s="22" t="str">
        <f>IF(AND(OR('Choix pédagogiques'!$C$3=1,'Choix pédagogiques'!$C$3=2),$BM405=1),D405,IF(AND('Choix pédagogiques'!$C$3=3,$BO405=1),D405,""))</f>
        <v/>
      </c>
      <c r="Z405" s="22" t="str">
        <f t="shared" si="322"/>
        <v/>
      </c>
      <c r="AA405" s="21" t="str">
        <f t="shared" si="323"/>
        <v>Apprenant 393 ou 393'</v>
      </c>
      <c r="AB405" s="22" t="str">
        <f>IF(AND(OR('Choix pédagogiques'!$C$3=1,'Choix pédagogiques'!$C$3=2),$BN405=1),G405,IF(AND('Choix pédagogiques'!$C$3=3,$BO405=1),G405,""))</f>
        <v/>
      </c>
      <c r="AC405" s="22" t="str">
        <f>IF(AND(OR('Choix pédagogiques'!$C$3=1,'Choix pédagogiques'!$C$3=2),$BN405=1),H405,IF(AND('Choix pédagogiques'!$C$3=3,$BO405=1),H405,""))</f>
        <v/>
      </c>
      <c r="AD405" s="22" t="str">
        <f>IF(AND(OR('Choix pédagogiques'!$C$3=1,'Choix pédagogiques'!$C$3=2),$BN405=1),I405,IF(AND('Choix pédagogiques'!$C$3=3,$BO405=1),I405,""))</f>
        <v/>
      </c>
      <c r="AE405" s="22" t="str">
        <f t="shared" si="324"/>
        <v/>
      </c>
      <c r="AF405" s="21" t="str">
        <f t="shared" si="325"/>
        <v>Apprenant 393</v>
      </c>
      <c r="AG405" s="22" t="str">
        <f t="shared" si="299"/>
        <v/>
      </c>
      <c r="AH405" s="22" t="str">
        <f t="shared" si="300"/>
        <v/>
      </c>
      <c r="AI405" s="22" t="str">
        <f t="shared" si="301"/>
        <v/>
      </c>
      <c r="AJ405" s="22" t="str">
        <f t="shared" si="326"/>
        <v/>
      </c>
      <c r="AK405" s="21" t="str">
        <f t="shared" si="327"/>
        <v>Apprenant 393 ou 393'</v>
      </c>
      <c r="AL405" s="22" t="str">
        <f t="shared" si="302"/>
        <v/>
      </c>
      <c r="AM405" s="22" t="str">
        <f t="shared" si="303"/>
        <v/>
      </c>
      <c r="AN405" s="22" t="str">
        <f t="shared" si="304"/>
        <v/>
      </c>
      <c r="AO405" s="22" t="str">
        <f t="shared" si="328"/>
        <v/>
      </c>
      <c r="AQ405" s="21" t="str">
        <f t="shared" si="329"/>
        <v>Apprenant 393</v>
      </c>
      <c r="AR405" s="49" t="str">
        <f>IF(AND('Choix pédagogiques'!$C$4&lt;&gt;"?",'Choix pédagogiques'!$C$5&lt;&gt;"?",W405&lt;&gt;""),(W405-'Choix pédagogiques'!$C$4)/('Choix pédagogiques'!$C$5-'Choix pédagogiques'!$C$4),"")</f>
        <v/>
      </c>
      <c r="AS405" s="49" t="str">
        <f>IF(AND('Choix pédagogiques'!$C$4&lt;&gt;"?",'Choix pédagogiques'!$C$5&lt;&gt;"?",X405&lt;&gt;""),(X405-'Choix pédagogiques'!$C$4)/('Choix pédagogiques'!$C$5-'Choix pédagogiques'!$C$4),"")</f>
        <v/>
      </c>
      <c r="AT405" s="49" t="str">
        <f>IF(AND('Choix pédagogiques'!$C$4&lt;&gt;"?",'Choix pédagogiques'!$C$5&lt;&gt;"?",Y405&lt;&gt;""),(Y405-'Choix pédagogiques'!$C$4)/('Choix pédagogiques'!$C$5-'Choix pédagogiques'!$C$4),"")</f>
        <v/>
      </c>
      <c r="AU405" s="22" t="str">
        <f t="shared" si="330"/>
        <v/>
      </c>
      <c r="AV405" s="21" t="str">
        <f t="shared" si="331"/>
        <v>Apprenant 393 ou 393'</v>
      </c>
      <c r="AW405" s="49" t="str">
        <f>IF(AND('Choix pédagogiques'!$C$4&lt;&gt;"?",'Choix pédagogiques'!$C$5&lt;&gt;"?",AB405&lt;&gt;""),(AB405-'Choix pédagogiques'!$C$4)/('Choix pédagogiques'!$C$5-'Choix pédagogiques'!$C$4),"")</f>
        <v/>
      </c>
      <c r="AX405" s="49" t="str">
        <f>IF(AND('Choix pédagogiques'!$C$4&lt;&gt;"?",'Choix pédagogiques'!$C$5&lt;&gt;"?",AC405&lt;&gt;""),(AC405-'Choix pédagogiques'!$C$4)/('Choix pédagogiques'!$C$5-'Choix pédagogiques'!$C$4),"")</f>
        <v/>
      </c>
      <c r="AY405" s="49" t="str">
        <f>IF(AND('Choix pédagogiques'!$C$4&lt;&gt;"?",'Choix pédagogiques'!$C$5&lt;&gt;"?",AD405&lt;&gt;""),(AD405-'Choix pédagogiques'!$C$4)/('Choix pédagogiques'!$C$5-'Choix pédagogiques'!$C$4),"")</f>
        <v/>
      </c>
      <c r="AZ405" s="22" t="str">
        <f t="shared" si="332"/>
        <v/>
      </c>
      <c r="BA405" s="21" t="str">
        <f t="shared" si="333"/>
        <v>Apprenant 393</v>
      </c>
      <c r="BB405" s="49" t="str">
        <f t="shared" si="305"/>
        <v/>
      </c>
      <c r="BC405" s="49" t="str">
        <f t="shared" si="306"/>
        <v/>
      </c>
      <c r="BD405" s="49" t="str">
        <f t="shared" si="307"/>
        <v/>
      </c>
      <c r="BE405" s="22" t="str">
        <f t="shared" si="334"/>
        <v/>
      </c>
      <c r="BF405" s="21" t="str">
        <f t="shared" si="335"/>
        <v>Apprenant 393 ou 393'</v>
      </c>
      <c r="BG405" s="49" t="str">
        <f t="shared" si="308"/>
        <v/>
      </c>
      <c r="BH405" s="49" t="str">
        <f t="shared" si="309"/>
        <v/>
      </c>
      <c r="BI405" s="49" t="str">
        <f t="shared" si="310"/>
        <v/>
      </c>
      <c r="BJ405" s="22" t="str">
        <f t="shared" si="336"/>
        <v/>
      </c>
      <c r="BL405" s="21"/>
      <c r="BM405" s="21" t="str">
        <f>IF(OR(COUNT(B405:D1404)=0,AND('Choix pédagogiques'!$C$3&lt;&gt;1,'Choix pédagogiques'!$C$3&lt;&gt;2)),"",IF(AND(OR('Choix pédagogiques'!$C$3=1,'Choix pédagogiques'!$C$3=2),$B405&lt;&gt;"",$C405&lt;&gt;"",$D405&lt;&gt;""),1,0))</f>
        <v/>
      </c>
      <c r="BN405" s="21" t="str">
        <f>IF(OR(COUNT(G405:I1404)=0,AND('Choix pédagogiques'!$C$3&lt;&gt;1,'Choix pédagogiques'!$C$3&lt;&gt;2)),"",IF(AND(OR('Choix pédagogiques'!$C$3=1,'Choix pédagogiques'!$C$3=2),AND($G405&lt;&gt;"",$H405&lt;&gt;"",$I405&lt;&gt;"")),1,0))</f>
        <v/>
      </c>
      <c r="BO405" s="21" t="str">
        <f>IF(OR(COUNT(B405:D1404)=0,COUNT(G405:I1404)=0,'Choix pédagogiques'!C$3&lt;&gt;3),"",IF(AND('Choix pédagogiques'!$C$3=3,$B405&lt;&gt;"",$C405&lt;&gt;"",$D405&lt;&gt;"",$G405&lt;&gt;"",$H405&lt;&gt;"",$I405&lt;&gt;""),1,0))</f>
        <v/>
      </c>
      <c r="BR405" s="21">
        <v>526</v>
      </c>
      <c r="BS405" s="21">
        <v>1662</v>
      </c>
      <c r="BT405"/>
    </row>
    <row r="406" spans="1:72" s="23" customFormat="1" ht="18" customHeight="1" x14ac:dyDescent="0.3">
      <c r="A406" s="35" t="s">
        <v>396</v>
      </c>
      <c r="B406" s="37"/>
      <c r="C406" s="37"/>
      <c r="D406" s="37"/>
      <c r="E406" s="37"/>
      <c r="F406" s="35" t="s">
        <v>1404</v>
      </c>
      <c r="G406" s="37"/>
      <c r="H406" s="37"/>
      <c r="I406" s="37"/>
      <c r="J406" s="37"/>
      <c r="K406" s="21" t="str">
        <f t="shared" si="311"/>
        <v>Apprenant 394</v>
      </c>
      <c r="L406" s="22" t="str">
        <f t="shared" si="312"/>
        <v/>
      </c>
      <c r="M406" s="22" t="str">
        <f t="shared" si="313"/>
        <v/>
      </c>
      <c r="N406" s="22" t="str">
        <f t="shared" si="314"/>
        <v/>
      </c>
      <c r="O406" s="22" t="str">
        <f t="shared" si="315"/>
        <v/>
      </c>
      <c r="P406" s="21" t="str">
        <f t="shared" si="316"/>
        <v>Apprenant 394 ou 394'</v>
      </c>
      <c r="Q406" s="22" t="str">
        <f t="shared" si="317"/>
        <v/>
      </c>
      <c r="R406" s="22" t="str">
        <f t="shared" si="318"/>
        <v/>
      </c>
      <c r="S406" s="22" t="str">
        <f t="shared" si="319"/>
        <v/>
      </c>
      <c r="T406" s="22" t="str">
        <f t="shared" si="320"/>
        <v/>
      </c>
      <c r="V406" s="21" t="str">
        <f t="shared" si="321"/>
        <v>Apprenant 394</v>
      </c>
      <c r="W406" s="22" t="str">
        <f>IF(AND(OR('Choix pédagogiques'!$C$3=1,'Choix pédagogiques'!$C$3=2),$BM406=1),B406,IF(AND('Choix pédagogiques'!$C$3=3,$BO406=1),B406,""))</f>
        <v/>
      </c>
      <c r="X406" s="22" t="str">
        <f>IF(AND(OR('Choix pédagogiques'!$C$3=1,'Choix pédagogiques'!$C$3=2),$BM406=1),C406,IF(AND('Choix pédagogiques'!$C$3=3,$BO406=1),C406,""))</f>
        <v/>
      </c>
      <c r="Y406" s="22" t="str">
        <f>IF(AND(OR('Choix pédagogiques'!$C$3=1,'Choix pédagogiques'!$C$3=2),$BM406=1),D406,IF(AND('Choix pédagogiques'!$C$3=3,$BO406=1),D406,""))</f>
        <v/>
      </c>
      <c r="Z406" s="22" t="str">
        <f t="shared" si="322"/>
        <v/>
      </c>
      <c r="AA406" s="21" t="str">
        <f t="shared" si="323"/>
        <v>Apprenant 394 ou 394'</v>
      </c>
      <c r="AB406" s="22" t="str">
        <f>IF(AND(OR('Choix pédagogiques'!$C$3=1,'Choix pédagogiques'!$C$3=2),$BN406=1),G406,IF(AND('Choix pédagogiques'!$C$3=3,$BO406=1),G406,""))</f>
        <v/>
      </c>
      <c r="AC406" s="22" t="str">
        <f>IF(AND(OR('Choix pédagogiques'!$C$3=1,'Choix pédagogiques'!$C$3=2),$BN406=1),H406,IF(AND('Choix pédagogiques'!$C$3=3,$BO406=1),H406,""))</f>
        <v/>
      </c>
      <c r="AD406" s="22" t="str">
        <f>IF(AND(OR('Choix pédagogiques'!$C$3=1,'Choix pédagogiques'!$C$3=2),$BN406=1),I406,IF(AND('Choix pédagogiques'!$C$3=3,$BO406=1),I406,""))</f>
        <v/>
      </c>
      <c r="AE406" s="22" t="str">
        <f t="shared" si="324"/>
        <v/>
      </c>
      <c r="AF406" s="21" t="str">
        <f t="shared" si="325"/>
        <v>Apprenant 394</v>
      </c>
      <c r="AG406" s="22" t="str">
        <f t="shared" si="299"/>
        <v/>
      </c>
      <c r="AH406" s="22" t="str">
        <f t="shared" si="300"/>
        <v/>
      </c>
      <c r="AI406" s="22" t="str">
        <f t="shared" si="301"/>
        <v/>
      </c>
      <c r="AJ406" s="22" t="str">
        <f t="shared" si="326"/>
        <v/>
      </c>
      <c r="AK406" s="21" t="str">
        <f t="shared" si="327"/>
        <v>Apprenant 394 ou 394'</v>
      </c>
      <c r="AL406" s="22" t="str">
        <f t="shared" si="302"/>
        <v/>
      </c>
      <c r="AM406" s="22" t="str">
        <f t="shared" si="303"/>
        <v/>
      </c>
      <c r="AN406" s="22" t="str">
        <f t="shared" si="304"/>
        <v/>
      </c>
      <c r="AO406" s="22" t="str">
        <f t="shared" si="328"/>
        <v/>
      </c>
      <c r="AQ406" s="21" t="str">
        <f t="shared" si="329"/>
        <v>Apprenant 394</v>
      </c>
      <c r="AR406" s="49" t="str">
        <f>IF(AND('Choix pédagogiques'!$C$4&lt;&gt;"?",'Choix pédagogiques'!$C$5&lt;&gt;"?",W406&lt;&gt;""),(W406-'Choix pédagogiques'!$C$4)/('Choix pédagogiques'!$C$5-'Choix pédagogiques'!$C$4),"")</f>
        <v/>
      </c>
      <c r="AS406" s="49" t="str">
        <f>IF(AND('Choix pédagogiques'!$C$4&lt;&gt;"?",'Choix pédagogiques'!$C$5&lt;&gt;"?",X406&lt;&gt;""),(X406-'Choix pédagogiques'!$C$4)/('Choix pédagogiques'!$C$5-'Choix pédagogiques'!$C$4),"")</f>
        <v/>
      </c>
      <c r="AT406" s="49" t="str">
        <f>IF(AND('Choix pédagogiques'!$C$4&lt;&gt;"?",'Choix pédagogiques'!$C$5&lt;&gt;"?",Y406&lt;&gt;""),(Y406-'Choix pédagogiques'!$C$4)/('Choix pédagogiques'!$C$5-'Choix pédagogiques'!$C$4),"")</f>
        <v/>
      </c>
      <c r="AU406" s="22" t="str">
        <f t="shared" si="330"/>
        <v/>
      </c>
      <c r="AV406" s="21" t="str">
        <f t="shared" si="331"/>
        <v>Apprenant 394 ou 394'</v>
      </c>
      <c r="AW406" s="49" t="str">
        <f>IF(AND('Choix pédagogiques'!$C$4&lt;&gt;"?",'Choix pédagogiques'!$C$5&lt;&gt;"?",AB406&lt;&gt;""),(AB406-'Choix pédagogiques'!$C$4)/('Choix pédagogiques'!$C$5-'Choix pédagogiques'!$C$4),"")</f>
        <v/>
      </c>
      <c r="AX406" s="49" t="str">
        <f>IF(AND('Choix pédagogiques'!$C$4&lt;&gt;"?",'Choix pédagogiques'!$C$5&lt;&gt;"?",AC406&lt;&gt;""),(AC406-'Choix pédagogiques'!$C$4)/('Choix pédagogiques'!$C$5-'Choix pédagogiques'!$C$4),"")</f>
        <v/>
      </c>
      <c r="AY406" s="49" t="str">
        <f>IF(AND('Choix pédagogiques'!$C$4&lt;&gt;"?",'Choix pédagogiques'!$C$5&lt;&gt;"?",AD406&lt;&gt;""),(AD406-'Choix pédagogiques'!$C$4)/('Choix pédagogiques'!$C$5-'Choix pédagogiques'!$C$4),"")</f>
        <v/>
      </c>
      <c r="AZ406" s="22" t="str">
        <f t="shared" si="332"/>
        <v/>
      </c>
      <c r="BA406" s="21" t="str">
        <f t="shared" si="333"/>
        <v>Apprenant 394</v>
      </c>
      <c r="BB406" s="49" t="str">
        <f t="shared" si="305"/>
        <v/>
      </c>
      <c r="BC406" s="49" t="str">
        <f t="shared" si="306"/>
        <v/>
      </c>
      <c r="BD406" s="49" t="str">
        <f t="shared" si="307"/>
        <v/>
      </c>
      <c r="BE406" s="22" t="str">
        <f t="shared" si="334"/>
        <v/>
      </c>
      <c r="BF406" s="21" t="str">
        <f t="shared" si="335"/>
        <v>Apprenant 394 ou 394'</v>
      </c>
      <c r="BG406" s="49" t="str">
        <f t="shared" si="308"/>
        <v/>
      </c>
      <c r="BH406" s="49" t="str">
        <f t="shared" si="309"/>
        <v/>
      </c>
      <c r="BI406" s="49" t="str">
        <f t="shared" si="310"/>
        <v/>
      </c>
      <c r="BJ406" s="22" t="str">
        <f t="shared" si="336"/>
        <v/>
      </c>
      <c r="BL406" s="21"/>
      <c r="BM406" s="21" t="str">
        <f>IF(OR(COUNT(B406:D1405)=0,AND('Choix pédagogiques'!$C$3&lt;&gt;1,'Choix pédagogiques'!$C$3&lt;&gt;2)),"",IF(AND(OR('Choix pédagogiques'!$C$3=1,'Choix pédagogiques'!$C$3=2),$B406&lt;&gt;"",$C406&lt;&gt;"",$D406&lt;&gt;""),1,0))</f>
        <v/>
      </c>
      <c r="BN406" s="21" t="str">
        <f>IF(OR(COUNT(G406:I1405)=0,AND('Choix pédagogiques'!$C$3&lt;&gt;1,'Choix pédagogiques'!$C$3&lt;&gt;2)),"",IF(AND(OR('Choix pédagogiques'!$C$3=1,'Choix pédagogiques'!$C$3=2),AND($G406&lt;&gt;"",$H406&lt;&gt;"",$I406&lt;&gt;"")),1,0))</f>
        <v/>
      </c>
      <c r="BO406" s="21" t="str">
        <f>IF(OR(COUNT(B406:D1405)=0,COUNT(G406:I1405)=0,'Choix pédagogiques'!C$3&lt;&gt;3),"",IF(AND('Choix pédagogiques'!$C$3=3,$B406&lt;&gt;"",$C406&lt;&gt;"",$D406&lt;&gt;"",$G406&lt;&gt;"",$H406&lt;&gt;"",$I406&lt;&gt;""),1,0))</f>
        <v/>
      </c>
      <c r="BR406" s="21">
        <v>398</v>
      </c>
      <c r="BS406" s="21">
        <v>1277</v>
      </c>
      <c r="BT406"/>
    </row>
    <row r="407" spans="1:72" s="23" customFormat="1" ht="18" customHeight="1" x14ac:dyDescent="0.3">
      <c r="A407" s="35" t="s">
        <v>397</v>
      </c>
      <c r="B407" s="37"/>
      <c r="C407" s="37"/>
      <c r="D407" s="37"/>
      <c r="E407" s="37"/>
      <c r="F407" s="35" t="s">
        <v>1405</v>
      </c>
      <c r="G407" s="37"/>
      <c r="H407" s="37"/>
      <c r="I407" s="37"/>
      <c r="J407" s="37"/>
      <c r="K407" s="21" t="str">
        <f t="shared" si="311"/>
        <v>Apprenant 395</v>
      </c>
      <c r="L407" s="22" t="str">
        <f t="shared" si="312"/>
        <v/>
      </c>
      <c r="M407" s="22" t="str">
        <f t="shared" si="313"/>
        <v/>
      </c>
      <c r="N407" s="22" t="str">
        <f t="shared" si="314"/>
        <v/>
      </c>
      <c r="O407" s="22" t="str">
        <f t="shared" si="315"/>
        <v/>
      </c>
      <c r="P407" s="21" t="str">
        <f t="shared" si="316"/>
        <v>Apprenant 395 ou 395'</v>
      </c>
      <c r="Q407" s="22" t="str">
        <f t="shared" si="317"/>
        <v/>
      </c>
      <c r="R407" s="22" t="str">
        <f t="shared" si="318"/>
        <v/>
      </c>
      <c r="S407" s="22" t="str">
        <f t="shared" si="319"/>
        <v/>
      </c>
      <c r="T407" s="22" t="str">
        <f t="shared" si="320"/>
        <v/>
      </c>
      <c r="V407" s="21" t="str">
        <f t="shared" si="321"/>
        <v>Apprenant 395</v>
      </c>
      <c r="W407" s="22" t="str">
        <f>IF(AND(OR('Choix pédagogiques'!$C$3=1,'Choix pédagogiques'!$C$3=2),$BM407=1),B407,IF(AND('Choix pédagogiques'!$C$3=3,$BO407=1),B407,""))</f>
        <v/>
      </c>
      <c r="X407" s="22" t="str">
        <f>IF(AND(OR('Choix pédagogiques'!$C$3=1,'Choix pédagogiques'!$C$3=2),$BM407=1),C407,IF(AND('Choix pédagogiques'!$C$3=3,$BO407=1),C407,""))</f>
        <v/>
      </c>
      <c r="Y407" s="22" t="str">
        <f>IF(AND(OR('Choix pédagogiques'!$C$3=1,'Choix pédagogiques'!$C$3=2),$BM407=1),D407,IF(AND('Choix pédagogiques'!$C$3=3,$BO407=1),D407,""))</f>
        <v/>
      </c>
      <c r="Z407" s="22" t="str">
        <f t="shared" si="322"/>
        <v/>
      </c>
      <c r="AA407" s="21" t="str">
        <f t="shared" si="323"/>
        <v>Apprenant 395 ou 395'</v>
      </c>
      <c r="AB407" s="22" t="str">
        <f>IF(AND(OR('Choix pédagogiques'!$C$3=1,'Choix pédagogiques'!$C$3=2),$BN407=1),G407,IF(AND('Choix pédagogiques'!$C$3=3,$BO407=1),G407,""))</f>
        <v/>
      </c>
      <c r="AC407" s="22" t="str">
        <f>IF(AND(OR('Choix pédagogiques'!$C$3=1,'Choix pédagogiques'!$C$3=2),$BN407=1),H407,IF(AND('Choix pédagogiques'!$C$3=3,$BO407=1),H407,""))</f>
        <v/>
      </c>
      <c r="AD407" s="22" t="str">
        <f>IF(AND(OR('Choix pédagogiques'!$C$3=1,'Choix pédagogiques'!$C$3=2),$BN407=1),I407,IF(AND('Choix pédagogiques'!$C$3=3,$BO407=1),I407,""))</f>
        <v/>
      </c>
      <c r="AE407" s="22" t="str">
        <f t="shared" si="324"/>
        <v/>
      </c>
      <c r="AF407" s="21" t="str">
        <f t="shared" si="325"/>
        <v>Apprenant 395</v>
      </c>
      <c r="AG407" s="22" t="str">
        <f t="shared" si="299"/>
        <v/>
      </c>
      <c r="AH407" s="22" t="str">
        <f t="shared" si="300"/>
        <v/>
      </c>
      <c r="AI407" s="22" t="str">
        <f t="shared" si="301"/>
        <v/>
      </c>
      <c r="AJ407" s="22" t="str">
        <f t="shared" si="326"/>
        <v/>
      </c>
      <c r="AK407" s="21" t="str">
        <f t="shared" si="327"/>
        <v>Apprenant 395 ou 395'</v>
      </c>
      <c r="AL407" s="22" t="str">
        <f t="shared" si="302"/>
        <v/>
      </c>
      <c r="AM407" s="22" t="str">
        <f t="shared" si="303"/>
        <v/>
      </c>
      <c r="AN407" s="22" t="str">
        <f t="shared" si="304"/>
        <v/>
      </c>
      <c r="AO407" s="22" t="str">
        <f t="shared" si="328"/>
        <v/>
      </c>
      <c r="AQ407" s="21" t="str">
        <f t="shared" si="329"/>
        <v>Apprenant 395</v>
      </c>
      <c r="AR407" s="49" t="str">
        <f>IF(AND('Choix pédagogiques'!$C$4&lt;&gt;"?",'Choix pédagogiques'!$C$5&lt;&gt;"?",W407&lt;&gt;""),(W407-'Choix pédagogiques'!$C$4)/('Choix pédagogiques'!$C$5-'Choix pédagogiques'!$C$4),"")</f>
        <v/>
      </c>
      <c r="AS407" s="49" t="str">
        <f>IF(AND('Choix pédagogiques'!$C$4&lt;&gt;"?",'Choix pédagogiques'!$C$5&lt;&gt;"?",X407&lt;&gt;""),(X407-'Choix pédagogiques'!$C$4)/('Choix pédagogiques'!$C$5-'Choix pédagogiques'!$C$4),"")</f>
        <v/>
      </c>
      <c r="AT407" s="49" t="str">
        <f>IF(AND('Choix pédagogiques'!$C$4&lt;&gt;"?",'Choix pédagogiques'!$C$5&lt;&gt;"?",Y407&lt;&gt;""),(Y407-'Choix pédagogiques'!$C$4)/('Choix pédagogiques'!$C$5-'Choix pédagogiques'!$C$4),"")</f>
        <v/>
      </c>
      <c r="AU407" s="22" t="str">
        <f t="shared" si="330"/>
        <v/>
      </c>
      <c r="AV407" s="21" t="str">
        <f t="shared" si="331"/>
        <v>Apprenant 395 ou 395'</v>
      </c>
      <c r="AW407" s="49" t="str">
        <f>IF(AND('Choix pédagogiques'!$C$4&lt;&gt;"?",'Choix pédagogiques'!$C$5&lt;&gt;"?",AB407&lt;&gt;""),(AB407-'Choix pédagogiques'!$C$4)/('Choix pédagogiques'!$C$5-'Choix pédagogiques'!$C$4),"")</f>
        <v/>
      </c>
      <c r="AX407" s="49" t="str">
        <f>IF(AND('Choix pédagogiques'!$C$4&lt;&gt;"?",'Choix pédagogiques'!$C$5&lt;&gt;"?",AC407&lt;&gt;""),(AC407-'Choix pédagogiques'!$C$4)/('Choix pédagogiques'!$C$5-'Choix pédagogiques'!$C$4),"")</f>
        <v/>
      </c>
      <c r="AY407" s="49" t="str">
        <f>IF(AND('Choix pédagogiques'!$C$4&lt;&gt;"?",'Choix pédagogiques'!$C$5&lt;&gt;"?",AD407&lt;&gt;""),(AD407-'Choix pédagogiques'!$C$4)/('Choix pédagogiques'!$C$5-'Choix pédagogiques'!$C$4),"")</f>
        <v/>
      </c>
      <c r="AZ407" s="22" t="str">
        <f t="shared" si="332"/>
        <v/>
      </c>
      <c r="BA407" s="21" t="str">
        <f t="shared" si="333"/>
        <v>Apprenant 395</v>
      </c>
      <c r="BB407" s="49" t="str">
        <f t="shared" si="305"/>
        <v/>
      </c>
      <c r="BC407" s="49" t="str">
        <f t="shared" si="306"/>
        <v/>
      </c>
      <c r="BD407" s="49" t="str">
        <f t="shared" si="307"/>
        <v/>
      </c>
      <c r="BE407" s="22" t="str">
        <f t="shared" si="334"/>
        <v/>
      </c>
      <c r="BF407" s="21" t="str">
        <f t="shared" si="335"/>
        <v>Apprenant 395 ou 395'</v>
      </c>
      <c r="BG407" s="49" t="str">
        <f t="shared" si="308"/>
        <v/>
      </c>
      <c r="BH407" s="49" t="str">
        <f t="shared" si="309"/>
        <v/>
      </c>
      <c r="BI407" s="49" t="str">
        <f t="shared" si="310"/>
        <v/>
      </c>
      <c r="BJ407" s="22" t="str">
        <f t="shared" si="336"/>
        <v/>
      </c>
      <c r="BL407" s="21"/>
      <c r="BM407" s="21" t="str">
        <f>IF(OR(COUNT(B407:D1406)=0,AND('Choix pédagogiques'!$C$3&lt;&gt;1,'Choix pédagogiques'!$C$3&lt;&gt;2)),"",IF(AND(OR('Choix pédagogiques'!$C$3=1,'Choix pédagogiques'!$C$3=2),$B407&lt;&gt;"",$C407&lt;&gt;"",$D407&lt;&gt;""),1,0))</f>
        <v/>
      </c>
      <c r="BN407" s="21" t="str">
        <f>IF(OR(COUNT(G407:I1406)=0,AND('Choix pédagogiques'!$C$3&lt;&gt;1,'Choix pédagogiques'!$C$3&lt;&gt;2)),"",IF(AND(OR('Choix pédagogiques'!$C$3=1,'Choix pédagogiques'!$C$3=2),AND($G407&lt;&gt;"",$H407&lt;&gt;"",$I407&lt;&gt;"")),1,0))</f>
        <v/>
      </c>
      <c r="BO407" s="21" t="str">
        <f>IF(OR(COUNT(B407:D1406)=0,COUNT(G407:I1406)=0,'Choix pédagogiques'!C$3&lt;&gt;3),"",IF(AND('Choix pédagogiques'!$C$3=3,$B407&lt;&gt;"",$C407&lt;&gt;"",$D407&lt;&gt;"",$G407&lt;&gt;"",$H407&lt;&gt;"",$I407&lt;&gt;""),1,0))</f>
        <v/>
      </c>
      <c r="BR407" s="21">
        <v>640</v>
      </c>
      <c r="BS407" s="21">
        <v>1341</v>
      </c>
      <c r="BT407"/>
    </row>
    <row r="408" spans="1:72" s="23" customFormat="1" ht="18" customHeight="1" x14ac:dyDescent="0.3">
      <c r="A408" s="35" t="s">
        <v>398</v>
      </c>
      <c r="B408" s="37"/>
      <c r="C408" s="37"/>
      <c r="D408" s="37"/>
      <c r="E408" s="37"/>
      <c r="F408" s="35" t="s">
        <v>1406</v>
      </c>
      <c r="G408" s="37"/>
      <c r="H408" s="37"/>
      <c r="I408" s="37"/>
      <c r="J408" s="37"/>
      <c r="K408" s="21" t="str">
        <f t="shared" si="311"/>
        <v>Apprenant 396</v>
      </c>
      <c r="L408" s="22" t="str">
        <f t="shared" si="312"/>
        <v/>
      </c>
      <c r="M408" s="22" t="str">
        <f t="shared" si="313"/>
        <v/>
      </c>
      <c r="N408" s="22" t="str">
        <f t="shared" si="314"/>
        <v/>
      </c>
      <c r="O408" s="22" t="str">
        <f t="shared" si="315"/>
        <v/>
      </c>
      <c r="P408" s="21" t="str">
        <f t="shared" si="316"/>
        <v>Apprenant 396 ou 396'</v>
      </c>
      <c r="Q408" s="22" t="str">
        <f t="shared" si="317"/>
        <v/>
      </c>
      <c r="R408" s="22" t="str">
        <f t="shared" si="318"/>
        <v/>
      </c>
      <c r="S408" s="22" t="str">
        <f t="shared" si="319"/>
        <v/>
      </c>
      <c r="T408" s="22" t="str">
        <f t="shared" si="320"/>
        <v/>
      </c>
      <c r="V408" s="21" t="str">
        <f t="shared" si="321"/>
        <v>Apprenant 396</v>
      </c>
      <c r="W408" s="22" t="str">
        <f>IF(AND(OR('Choix pédagogiques'!$C$3=1,'Choix pédagogiques'!$C$3=2),$BM408=1),B408,IF(AND('Choix pédagogiques'!$C$3=3,$BO408=1),B408,""))</f>
        <v/>
      </c>
      <c r="X408" s="22" t="str">
        <f>IF(AND(OR('Choix pédagogiques'!$C$3=1,'Choix pédagogiques'!$C$3=2),$BM408=1),C408,IF(AND('Choix pédagogiques'!$C$3=3,$BO408=1),C408,""))</f>
        <v/>
      </c>
      <c r="Y408" s="22" t="str">
        <f>IF(AND(OR('Choix pédagogiques'!$C$3=1,'Choix pédagogiques'!$C$3=2),$BM408=1),D408,IF(AND('Choix pédagogiques'!$C$3=3,$BO408=1),D408,""))</f>
        <v/>
      </c>
      <c r="Z408" s="22" t="str">
        <f t="shared" si="322"/>
        <v/>
      </c>
      <c r="AA408" s="21" t="str">
        <f t="shared" si="323"/>
        <v>Apprenant 396 ou 396'</v>
      </c>
      <c r="AB408" s="22" t="str">
        <f>IF(AND(OR('Choix pédagogiques'!$C$3=1,'Choix pédagogiques'!$C$3=2),$BN408=1),G408,IF(AND('Choix pédagogiques'!$C$3=3,$BO408=1),G408,""))</f>
        <v/>
      </c>
      <c r="AC408" s="22" t="str">
        <f>IF(AND(OR('Choix pédagogiques'!$C$3=1,'Choix pédagogiques'!$C$3=2),$BN408=1),H408,IF(AND('Choix pédagogiques'!$C$3=3,$BO408=1),H408,""))</f>
        <v/>
      </c>
      <c r="AD408" s="22" t="str">
        <f>IF(AND(OR('Choix pédagogiques'!$C$3=1,'Choix pédagogiques'!$C$3=2),$BN408=1),I408,IF(AND('Choix pédagogiques'!$C$3=3,$BO408=1),I408,""))</f>
        <v/>
      </c>
      <c r="AE408" s="22" t="str">
        <f t="shared" si="324"/>
        <v/>
      </c>
      <c r="AF408" s="21" t="str">
        <f t="shared" si="325"/>
        <v>Apprenant 396</v>
      </c>
      <c r="AG408" s="22" t="str">
        <f t="shared" si="299"/>
        <v/>
      </c>
      <c r="AH408" s="22" t="str">
        <f t="shared" si="300"/>
        <v/>
      </c>
      <c r="AI408" s="22" t="str">
        <f t="shared" si="301"/>
        <v/>
      </c>
      <c r="AJ408" s="22" t="str">
        <f t="shared" si="326"/>
        <v/>
      </c>
      <c r="AK408" s="21" t="str">
        <f t="shared" si="327"/>
        <v>Apprenant 396 ou 396'</v>
      </c>
      <c r="AL408" s="22" t="str">
        <f t="shared" si="302"/>
        <v/>
      </c>
      <c r="AM408" s="22" t="str">
        <f t="shared" si="303"/>
        <v/>
      </c>
      <c r="AN408" s="22" t="str">
        <f t="shared" si="304"/>
        <v/>
      </c>
      <c r="AO408" s="22" t="str">
        <f t="shared" si="328"/>
        <v/>
      </c>
      <c r="AQ408" s="21" t="str">
        <f t="shared" si="329"/>
        <v>Apprenant 396</v>
      </c>
      <c r="AR408" s="49" t="str">
        <f>IF(AND('Choix pédagogiques'!$C$4&lt;&gt;"?",'Choix pédagogiques'!$C$5&lt;&gt;"?",W408&lt;&gt;""),(W408-'Choix pédagogiques'!$C$4)/('Choix pédagogiques'!$C$5-'Choix pédagogiques'!$C$4),"")</f>
        <v/>
      </c>
      <c r="AS408" s="49" t="str">
        <f>IF(AND('Choix pédagogiques'!$C$4&lt;&gt;"?",'Choix pédagogiques'!$C$5&lt;&gt;"?",X408&lt;&gt;""),(X408-'Choix pédagogiques'!$C$4)/('Choix pédagogiques'!$C$5-'Choix pédagogiques'!$C$4),"")</f>
        <v/>
      </c>
      <c r="AT408" s="49" t="str">
        <f>IF(AND('Choix pédagogiques'!$C$4&lt;&gt;"?",'Choix pédagogiques'!$C$5&lt;&gt;"?",Y408&lt;&gt;""),(Y408-'Choix pédagogiques'!$C$4)/('Choix pédagogiques'!$C$5-'Choix pédagogiques'!$C$4),"")</f>
        <v/>
      </c>
      <c r="AU408" s="22" t="str">
        <f t="shared" si="330"/>
        <v/>
      </c>
      <c r="AV408" s="21" t="str">
        <f t="shared" si="331"/>
        <v>Apprenant 396 ou 396'</v>
      </c>
      <c r="AW408" s="49" t="str">
        <f>IF(AND('Choix pédagogiques'!$C$4&lt;&gt;"?",'Choix pédagogiques'!$C$5&lt;&gt;"?",AB408&lt;&gt;""),(AB408-'Choix pédagogiques'!$C$4)/('Choix pédagogiques'!$C$5-'Choix pédagogiques'!$C$4),"")</f>
        <v/>
      </c>
      <c r="AX408" s="49" t="str">
        <f>IF(AND('Choix pédagogiques'!$C$4&lt;&gt;"?",'Choix pédagogiques'!$C$5&lt;&gt;"?",AC408&lt;&gt;""),(AC408-'Choix pédagogiques'!$C$4)/('Choix pédagogiques'!$C$5-'Choix pédagogiques'!$C$4),"")</f>
        <v/>
      </c>
      <c r="AY408" s="49" t="str">
        <f>IF(AND('Choix pédagogiques'!$C$4&lt;&gt;"?",'Choix pédagogiques'!$C$5&lt;&gt;"?",AD408&lt;&gt;""),(AD408-'Choix pédagogiques'!$C$4)/('Choix pédagogiques'!$C$5-'Choix pédagogiques'!$C$4),"")</f>
        <v/>
      </c>
      <c r="AZ408" s="22" t="str">
        <f t="shared" si="332"/>
        <v/>
      </c>
      <c r="BA408" s="21" t="str">
        <f t="shared" si="333"/>
        <v>Apprenant 396</v>
      </c>
      <c r="BB408" s="49" t="str">
        <f t="shared" si="305"/>
        <v/>
      </c>
      <c r="BC408" s="49" t="str">
        <f t="shared" si="306"/>
        <v/>
      </c>
      <c r="BD408" s="49" t="str">
        <f t="shared" si="307"/>
        <v/>
      </c>
      <c r="BE408" s="22" t="str">
        <f t="shared" si="334"/>
        <v/>
      </c>
      <c r="BF408" s="21" t="str">
        <f t="shared" si="335"/>
        <v>Apprenant 396 ou 396'</v>
      </c>
      <c r="BG408" s="49" t="str">
        <f t="shared" si="308"/>
        <v/>
      </c>
      <c r="BH408" s="49" t="str">
        <f t="shared" si="309"/>
        <v/>
      </c>
      <c r="BI408" s="49" t="str">
        <f t="shared" si="310"/>
        <v/>
      </c>
      <c r="BJ408" s="22" t="str">
        <f t="shared" si="336"/>
        <v/>
      </c>
      <c r="BL408" s="21"/>
      <c r="BM408" s="21" t="str">
        <f>IF(OR(COUNT(B408:D1407)=0,AND('Choix pédagogiques'!$C$3&lt;&gt;1,'Choix pédagogiques'!$C$3&lt;&gt;2)),"",IF(AND(OR('Choix pédagogiques'!$C$3=1,'Choix pédagogiques'!$C$3=2),$B408&lt;&gt;"",$C408&lt;&gt;"",$D408&lt;&gt;""),1,0))</f>
        <v/>
      </c>
      <c r="BN408" s="21" t="str">
        <f>IF(OR(COUNT(G408:I1407)=0,AND('Choix pédagogiques'!$C$3&lt;&gt;1,'Choix pédagogiques'!$C$3&lt;&gt;2)),"",IF(AND(OR('Choix pédagogiques'!$C$3=1,'Choix pédagogiques'!$C$3=2),AND($G408&lt;&gt;"",$H408&lt;&gt;"",$I408&lt;&gt;"")),1,0))</f>
        <v/>
      </c>
      <c r="BO408" s="21" t="str">
        <f>IF(OR(COUNT(B408:D1407)=0,COUNT(G408:I1407)=0,'Choix pédagogiques'!C$3&lt;&gt;3),"",IF(AND('Choix pédagogiques'!$C$3=3,$B408&lt;&gt;"",$C408&lt;&gt;"",$D408&lt;&gt;"",$G408&lt;&gt;"",$H408&lt;&gt;"",$I408&lt;&gt;""),1,0))</f>
        <v/>
      </c>
      <c r="BR408" s="21">
        <v>9</v>
      </c>
      <c r="BS408" s="21">
        <v>1264</v>
      </c>
      <c r="BT408"/>
    </row>
    <row r="409" spans="1:72" s="23" customFormat="1" ht="18" customHeight="1" x14ac:dyDescent="0.3">
      <c r="A409" s="35" t="s">
        <v>399</v>
      </c>
      <c r="B409" s="37"/>
      <c r="C409" s="37"/>
      <c r="D409" s="37"/>
      <c r="E409" s="37"/>
      <c r="F409" s="35" t="s">
        <v>1407</v>
      </c>
      <c r="G409" s="37"/>
      <c r="H409" s="37"/>
      <c r="I409" s="37"/>
      <c r="J409" s="37"/>
      <c r="K409" s="21" t="str">
        <f t="shared" si="311"/>
        <v>Apprenant 397</v>
      </c>
      <c r="L409" s="22" t="str">
        <f t="shared" si="312"/>
        <v/>
      </c>
      <c r="M409" s="22" t="str">
        <f t="shared" si="313"/>
        <v/>
      </c>
      <c r="N409" s="22" t="str">
        <f t="shared" si="314"/>
        <v/>
      </c>
      <c r="O409" s="22" t="str">
        <f t="shared" si="315"/>
        <v/>
      </c>
      <c r="P409" s="21" t="str">
        <f t="shared" si="316"/>
        <v>Apprenant 397 ou 397'</v>
      </c>
      <c r="Q409" s="22" t="str">
        <f t="shared" si="317"/>
        <v/>
      </c>
      <c r="R409" s="22" t="str">
        <f t="shared" si="318"/>
        <v/>
      </c>
      <c r="S409" s="22" t="str">
        <f t="shared" si="319"/>
        <v/>
      </c>
      <c r="T409" s="22" t="str">
        <f t="shared" si="320"/>
        <v/>
      </c>
      <c r="V409" s="21" t="str">
        <f t="shared" si="321"/>
        <v>Apprenant 397</v>
      </c>
      <c r="W409" s="22" t="str">
        <f>IF(AND(OR('Choix pédagogiques'!$C$3=1,'Choix pédagogiques'!$C$3=2),$BM409=1),B409,IF(AND('Choix pédagogiques'!$C$3=3,$BO409=1),B409,""))</f>
        <v/>
      </c>
      <c r="X409" s="22" t="str">
        <f>IF(AND(OR('Choix pédagogiques'!$C$3=1,'Choix pédagogiques'!$C$3=2),$BM409=1),C409,IF(AND('Choix pédagogiques'!$C$3=3,$BO409=1),C409,""))</f>
        <v/>
      </c>
      <c r="Y409" s="22" t="str">
        <f>IF(AND(OR('Choix pédagogiques'!$C$3=1,'Choix pédagogiques'!$C$3=2),$BM409=1),D409,IF(AND('Choix pédagogiques'!$C$3=3,$BO409=1),D409,""))</f>
        <v/>
      </c>
      <c r="Z409" s="22" t="str">
        <f t="shared" si="322"/>
        <v/>
      </c>
      <c r="AA409" s="21" t="str">
        <f t="shared" si="323"/>
        <v>Apprenant 397 ou 397'</v>
      </c>
      <c r="AB409" s="22" t="str">
        <f>IF(AND(OR('Choix pédagogiques'!$C$3=1,'Choix pédagogiques'!$C$3=2),$BN409=1),G409,IF(AND('Choix pédagogiques'!$C$3=3,$BO409=1),G409,""))</f>
        <v/>
      </c>
      <c r="AC409" s="22" t="str">
        <f>IF(AND(OR('Choix pédagogiques'!$C$3=1,'Choix pédagogiques'!$C$3=2),$BN409=1),H409,IF(AND('Choix pédagogiques'!$C$3=3,$BO409=1),H409,""))</f>
        <v/>
      </c>
      <c r="AD409" s="22" t="str">
        <f>IF(AND(OR('Choix pédagogiques'!$C$3=1,'Choix pédagogiques'!$C$3=2),$BN409=1),I409,IF(AND('Choix pédagogiques'!$C$3=3,$BO409=1),I409,""))</f>
        <v/>
      </c>
      <c r="AE409" s="22" t="str">
        <f t="shared" si="324"/>
        <v/>
      </c>
      <c r="AF409" s="21" t="str">
        <f t="shared" si="325"/>
        <v>Apprenant 397</v>
      </c>
      <c r="AG409" s="22" t="str">
        <f t="shared" si="299"/>
        <v/>
      </c>
      <c r="AH409" s="22" t="str">
        <f t="shared" si="300"/>
        <v/>
      </c>
      <c r="AI409" s="22" t="str">
        <f t="shared" si="301"/>
        <v/>
      </c>
      <c r="AJ409" s="22" t="str">
        <f t="shared" si="326"/>
        <v/>
      </c>
      <c r="AK409" s="21" t="str">
        <f t="shared" si="327"/>
        <v>Apprenant 397 ou 397'</v>
      </c>
      <c r="AL409" s="22" t="str">
        <f t="shared" si="302"/>
        <v/>
      </c>
      <c r="AM409" s="22" t="str">
        <f t="shared" si="303"/>
        <v/>
      </c>
      <c r="AN409" s="22" t="str">
        <f t="shared" si="304"/>
        <v/>
      </c>
      <c r="AO409" s="22" t="str">
        <f t="shared" si="328"/>
        <v/>
      </c>
      <c r="AQ409" s="21" t="str">
        <f t="shared" si="329"/>
        <v>Apprenant 397</v>
      </c>
      <c r="AR409" s="49" t="str">
        <f>IF(AND('Choix pédagogiques'!$C$4&lt;&gt;"?",'Choix pédagogiques'!$C$5&lt;&gt;"?",W409&lt;&gt;""),(W409-'Choix pédagogiques'!$C$4)/('Choix pédagogiques'!$C$5-'Choix pédagogiques'!$C$4),"")</f>
        <v/>
      </c>
      <c r="AS409" s="49" t="str">
        <f>IF(AND('Choix pédagogiques'!$C$4&lt;&gt;"?",'Choix pédagogiques'!$C$5&lt;&gt;"?",X409&lt;&gt;""),(X409-'Choix pédagogiques'!$C$4)/('Choix pédagogiques'!$C$5-'Choix pédagogiques'!$C$4),"")</f>
        <v/>
      </c>
      <c r="AT409" s="49" t="str">
        <f>IF(AND('Choix pédagogiques'!$C$4&lt;&gt;"?",'Choix pédagogiques'!$C$5&lt;&gt;"?",Y409&lt;&gt;""),(Y409-'Choix pédagogiques'!$C$4)/('Choix pédagogiques'!$C$5-'Choix pédagogiques'!$C$4),"")</f>
        <v/>
      </c>
      <c r="AU409" s="22" t="str">
        <f t="shared" si="330"/>
        <v/>
      </c>
      <c r="AV409" s="21" t="str">
        <f t="shared" si="331"/>
        <v>Apprenant 397 ou 397'</v>
      </c>
      <c r="AW409" s="49" t="str">
        <f>IF(AND('Choix pédagogiques'!$C$4&lt;&gt;"?",'Choix pédagogiques'!$C$5&lt;&gt;"?",AB409&lt;&gt;""),(AB409-'Choix pédagogiques'!$C$4)/('Choix pédagogiques'!$C$5-'Choix pédagogiques'!$C$4),"")</f>
        <v/>
      </c>
      <c r="AX409" s="49" t="str">
        <f>IF(AND('Choix pédagogiques'!$C$4&lt;&gt;"?",'Choix pédagogiques'!$C$5&lt;&gt;"?",AC409&lt;&gt;""),(AC409-'Choix pédagogiques'!$C$4)/('Choix pédagogiques'!$C$5-'Choix pédagogiques'!$C$4),"")</f>
        <v/>
      </c>
      <c r="AY409" s="49" t="str">
        <f>IF(AND('Choix pédagogiques'!$C$4&lt;&gt;"?",'Choix pédagogiques'!$C$5&lt;&gt;"?",AD409&lt;&gt;""),(AD409-'Choix pédagogiques'!$C$4)/('Choix pédagogiques'!$C$5-'Choix pédagogiques'!$C$4),"")</f>
        <v/>
      </c>
      <c r="AZ409" s="22" t="str">
        <f t="shared" si="332"/>
        <v/>
      </c>
      <c r="BA409" s="21" t="str">
        <f t="shared" si="333"/>
        <v>Apprenant 397</v>
      </c>
      <c r="BB409" s="49" t="str">
        <f t="shared" si="305"/>
        <v/>
      </c>
      <c r="BC409" s="49" t="str">
        <f t="shared" si="306"/>
        <v/>
      </c>
      <c r="BD409" s="49" t="str">
        <f t="shared" si="307"/>
        <v/>
      </c>
      <c r="BE409" s="22" t="str">
        <f t="shared" si="334"/>
        <v/>
      </c>
      <c r="BF409" s="21" t="str">
        <f t="shared" si="335"/>
        <v>Apprenant 397 ou 397'</v>
      </c>
      <c r="BG409" s="49" t="str">
        <f t="shared" si="308"/>
        <v/>
      </c>
      <c r="BH409" s="49" t="str">
        <f t="shared" si="309"/>
        <v/>
      </c>
      <c r="BI409" s="49" t="str">
        <f t="shared" si="310"/>
        <v/>
      </c>
      <c r="BJ409" s="22" t="str">
        <f t="shared" si="336"/>
        <v/>
      </c>
      <c r="BL409" s="21"/>
      <c r="BM409" s="21" t="str">
        <f>IF(OR(COUNT(B409:D1408)=0,AND('Choix pédagogiques'!$C$3&lt;&gt;1,'Choix pédagogiques'!$C$3&lt;&gt;2)),"",IF(AND(OR('Choix pédagogiques'!$C$3=1,'Choix pédagogiques'!$C$3=2),$B409&lt;&gt;"",$C409&lt;&gt;"",$D409&lt;&gt;""),1,0))</f>
        <v/>
      </c>
      <c r="BN409" s="21" t="str">
        <f>IF(OR(COUNT(G409:I1408)=0,AND('Choix pédagogiques'!$C$3&lt;&gt;1,'Choix pédagogiques'!$C$3&lt;&gt;2)),"",IF(AND(OR('Choix pédagogiques'!$C$3=1,'Choix pédagogiques'!$C$3=2),AND($G409&lt;&gt;"",$H409&lt;&gt;"",$I409&lt;&gt;"")),1,0))</f>
        <v/>
      </c>
      <c r="BO409" s="21" t="str">
        <f>IF(OR(COUNT(B409:D1408)=0,COUNT(G409:I1408)=0,'Choix pédagogiques'!C$3&lt;&gt;3),"",IF(AND('Choix pédagogiques'!$C$3=3,$B409&lt;&gt;"",$C409&lt;&gt;"",$D409&lt;&gt;"",$G409&lt;&gt;"",$H409&lt;&gt;"",$I409&lt;&gt;""),1,0))</f>
        <v/>
      </c>
      <c r="BR409" s="21">
        <v>457</v>
      </c>
      <c r="BS409" s="21">
        <v>1535</v>
      </c>
      <c r="BT409"/>
    </row>
    <row r="410" spans="1:72" s="23" customFormat="1" ht="18" customHeight="1" x14ac:dyDescent="0.3">
      <c r="A410" s="35" t="s">
        <v>400</v>
      </c>
      <c r="B410" s="37"/>
      <c r="C410" s="37"/>
      <c r="D410" s="37"/>
      <c r="E410" s="37"/>
      <c r="F410" s="35" t="s">
        <v>1408</v>
      </c>
      <c r="G410" s="37"/>
      <c r="H410" s="37"/>
      <c r="I410" s="37"/>
      <c r="J410" s="37"/>
      <c r="K410" s="21" t="str">
        <f t="shared" si="311"/>
        <v>Apprenant 398</v>
      </c>
      <c r="L410" s="22" t="str">
        <f t="shared" si="312"/>
        <v/>
      </c>
      <c r="M410" s="22" t="str">
        <f t="shared" si="313"/>
        <v/>
      </c>
      <c r="N410" s="22" t="str">
        <f t="shared" si="314"/>
        <v/>
      </c>
      <c r="O410" s="22" t="str">
        <f t="shared" si="315"/>
        <v/>
      </c>
      <c r="P410" s="21" t="str">
        <f t="shared" si="316"/>
        <v>Apprenant 398 ou 398'</v>
      </c>
      <c r="Q410" s="22" t="str">
        <f t="shared" si="317"/>
        <v/>
      </c>
      <c r="R410" s="22" t="str">
        <f t="shared" si="318"/>
        <v/>
      </c>
      <c r="S410" s="22" t="str">
        <f t="shared" si="319"/>
        <v/>
      </c>
      <c r="T410" s="22" t="str">
        <f t="shared" si="320"/>
        <v/>
      </c>
      <c r="V410" s="21" t="str">
        <f t="shared" si="321"/>
        <v>Apprenant 398</v>
      </c>
      <c r="W410" s="22" t="str">
        <f>IF(AND(OR('Choix pédagogiques'!$C$3=1,'Choix pédagogiques'!$C$3=2),$BM410=1),B410,IF(AND('Choix pédagogiques'!$C$3=3,$BO410=1),B410,""))</f>
        <v/>
      </c>
      <c r="X410" s="22" t="str">
        <f>IF(AND(OR('Choix pédagogiques'!$C$3=1,'Choix pédagogiques'!$C$3=2),$BM410=1),C410,IF(AND('Choix pédagogiques'!$C$3=3,$BO410=1),C410,""))</f>
        <v/>
      </c>
      <c r="Y410" s="22" t="str">
        <f>IF(AND(OR('Choix pédagogiques'!$C$3=1,'Choix pédagogiques'!$C$3=2),$BM410=1),D410,IF(AND('Choix pédagogiques'!$C$3=3,$BO410=1),D410,""))</f>
        <v/>
      </c>
      <c r="Z410" s="22" t="str">
        <f t="shared" si="322"/>
        <v/>
      </c>
      <c r="AA410" s="21" t="str">
        <f t="shared" si="323"/>
        <v>Apprenant 398 ou 398'</v>
      </c>
      <c r="AB410" s="22" t="str">
        <f>IF(AND(OR('Choix pédagogiques'!$C$3=1,'Choix pédagogiques'!$C$3=2),$BN410=1),G410,IF(AND('Choix pédagogiques'!$C$3=3,$BO410=1),G410,""))</f>
        <v/>
      </c>
      <c r="AC410" s="22" t="str">
        <f>IF(AND(OR('Choix pédagogiques'!$C$3=1,'Choix pédagogiques'!$C$3=2),$BN410=1),H410,IF(AND('Choix pédagogiques'!$C$3=3,$BO410=1),H410,""))</f>
        <v/>
      </c>
      <c r="AD410" s="22" t="str">
        <f>IF(AND(OR('Choix pédagogiques'!$C$3=1,'Choix pédagogiques'!$C$3=2),$BN410=1),I410,IF(AND('Choix pédagogiques'!$C$3=3,$BO410=1),I410,""))</f>
        <v/>
      </c>
      <c r="AE410" s="22" t="str">
        <f t="shared" si="324"/>
        <v/>
      </c>
      <c r="AF410" s="21" t="str">
        <f t="shared" si="325"/>
        <v>Apprenant 398</v>
      </c>
      <c r="AG410" s="22" t="str">
        <f t="shared" si="299"/>
        <v/>
      </c>
      <c r="AH410" s="22" t="str">
        <f t="shared" si="300"/>
        <v/>
      </c>
      <c r="AI410" s="22" t="str">
        <f t="shared" si="301"/>
        <v/>
      </c>
      <c r="AJ410" s="22" t="str">
        <f t="shared" si="326"/>
        <v/>
      </c>
      <c r="AK410" s="21" t="str">
        <f t="shared" si="327"/>
        <v>Apprenant 398 ou 398'</v>
      </c>
      <c r="AL410" s="22" t="str">
        <f t="shared" si="302"/>
        <v/>
      </c>
      <c r="AM410" s="22" t="str">
        <f t="shared" si="303"/>
        <v/>
      </c>
      <c r="AN410" s="22" t="str">
        <f t="shared" si="304"/>
        <v/>
      </c>
      <c r="AO410" s="22" t="str">
        <f t="shared" si="328"/>
        <v/>
      </c>
      <c r="AQ410" s="21" t="str">
        <f t="shared" si="329"/>
        <v>Apprenant 398</v>
      </c>
      <c r="AR410" s="49" t="str">
        <f>IF(AND('Choix pédagogiques'!$C$4&lt;&gt;"?",'Choix pédagogiques'!$C$5&lt;&gt;"?",W410&lt;&gt;""),(W410-'Choix pédagogiques'!$C$4)/('Choix pédagogiques'!$C$5-'Choix pédagogiques'!$C$4),"")</f>
        <v/>
      </c>
      <c r="AS410" s="49" t="str">
        <f>IF(AND('Choix pédagogiques'!$C$4&lt;&gt;"?",'Choix pédagogiques'!$C$5&lt;&gt;"?",X410&lt;&gt;""),(X410-'Choix pédagogiques'!$C$4)/('Choix pédagogiques'!$C$5-'Choix pédagogiques'!$C$4),"")</f>
        <v/>
      </c>
      <c r="AT410" s="49" t="str">
        <f>IF(AND('Choix pédagogiques'!$C$4&lt;&gt;"?",'Choix pédagogiques'!$C$5&lt;&gt;"?",Y410&lt;&gt;""),(Y410-'Choix pédagogiques'!$C$4)/('Choix pédagogiques'!$C$5-'Choix pédagogiques'!$C$4),"")</f>
        <v/>
      </c>
      <c r="AU410" s="22" t="str">
        <f t="shared" si="330"/>
        <v/>
      </c>
      <c r="AV410" s="21" t="str">
        <f t="shared" si="331"/>
        <v>Apprenant 398 ou 398'</v>
      </c>
      <c r="AW410" s="49" t="str">
        <f>IF(AND('Choix pédagogiques'!$C$4&lt;&gt;"?",'Choix pédagogiques'!$C$5&lt;&gt;"?",AB410&lt;&gt;""),(AB410-'Choix pédagogiques'!$C$4)/('Choix pédagogiques'!$C$5-'Choix pédagogiques'!$C$4),"")</f>
        <v/>
      </c>
      <c r="AX410" s="49" t="str">
        <f>IF(AND('Choix pédagogiques'!$C$4&lt;&gt;"?",'Choix pédagogiques'!$C$5&lt;&gt;"?",AC410&lt;&gt;""),(AC410-'Choix pédagogiques'!$C$4)/('Choix pédagogiques'!$C$5-'Choix pédagogiques'!$C$4),"")</f>
        <v/>
      </c>
      <c r="AY410" s="49" t="str">
        <f>IF(AND('Choix pédagogiques'!$C$4&lt;&gt;"?",'Choix pédagogiques'!$C$5&lt;&gt;"?",AD410&lt;&gt;""),(AD410-'Choix pédagogiques'!$C$4)/('Choix pédagogiques'!$C$5-'Choix pédagogiques'!$C$4),"")</f>
        <v/>
      </c>
      <c r="AZ410" s="22" t="str">
        <f t="shared" si="332"/>
        <v/>
      </c>
      <c r="BA410" s="21" t="str">
        <f t="shared" si="333"/>
        <v>Apprenant 398</v>
      </c>
      <c r="BB410" s="49" t="str">
        <f t="shared" si="305"/>
        <v/>
      </c>
      <c r="BC410" s="49" t="str">
        <f t="shared" si="306"/>
        <v/>
      </c>
      <c r="BD410" s="49" t="str">
        <f t="shared" si="307"/>
        <v/>
      </c>
      <c r="BE410" s="22" t="str">
        <f t="shared" si="334"/>
        <v/>
      </c>
      <c r="BF410" s="21" t="str">
        <f t="shared" si="335"/>
        <v>Apprenant 398 ou 398'</v>
      </c>
      <c r="BG410" s="49" t="str">
        <f t="shared" si="308"/>
        <v/>
      </c>
      <c r="BH410" s="49" t="str">
        <f t="shared" si="309"/>
        <v/>
      </c>
      <c r="BI410" s="49" t="str">
        <f t="shared" si="310"/>
        <v/>
      </c>
      <c r="BJ410" s="22" t="str">
        <f t="shared" si="336"/>
        <v/>
      </c>
      <c r="BL410" s="21"/>
      <c r="BM410" s="21" t="str">
        <f>IF(OR(COUNT(B410:D1409)=0,AND('Choix pédagogiques'!$C$3&lt;&gt;1,'Choix pédagogiques'!$C$3&lt;&gt;2)),"",IF(AND(OR('Choix pédagogiques'!$C$3=1,'Choix pédagogiques'!$C$3=2),$B410&lt;&gt;"",$C410&lt;&gt;"",$D410&lt;&gt;""),1,0))</f>
        <v/>
      </c>
      <c r="BN410" s="21" t="str">
        <f>IF(OR(COUNT(G410:I1409)=0,AND('Choix pédagogiques'!$C$3&lt;&gt;1,'Choix pédagogiques'!$C$3&lt;&gt;2)),"",IF(AND(OR('Choix pédagogiques'!$C$3=1,'Choix pédagogiques'!$C$3=2),AND($G410&lt;&gt;"",$H410&lt;&gt;"",$I410&lt;&gt;"")),1,0))</f>
        <v/>
      </c>
      <c r="BO410" s="21" t="str">
        <f>IF(OR(COUNT(B410:D1409)=0,COUNT(G410:I1409)=0,'Choix pédagogiques'!C$3&lt;&gt;3),"",IF(AND('Choix pédagogiques'!$C$3=3,$B410&lt;&gt;"",$C410&lt;&gt;"",$D410&lt;&gt;"",$G410&lt;&gt;"",$H410&lt;&gt;"",$I410&lt;&gt;""),1,0))</f>
        <v/>
      </c>
      <c r="BR410" s="21">
        <v>435</v>
      </c>
      <c r="BS410" s="21">
        <v>1054</v>
      </c>
      <c r="BT410"/>
    </row>
    <row r="411" spans="1:72" s="23" customFormat="1" ht="18" customHeight="1" x14ac:dyDescent="0.3">
      <c r="A411" s="35" t="s">
        <v>401</v>
      </c>
      <c r="B411" s="37"/>
      <c r="C411" s="37"/>
      <c r="D411" s="37"/>
      <c r="E411" s="37"/>
      <c r="F411" s="35" t="s">
        <v>1409</v>
      </c>
      <c r="G411" s="37"/>
      <c r="H411" s="37"/>
      <c r="I411" s="37"/>
      <c r="J411" s="37"/>
      <c r="K411" s="21" t="str">
        <f t="shared" si="311"/>
        <v>Apprenant 399</v>
      </c>
      <c r="L411" s="22" t="str">
        <f t="shared" si="312"/>
        <v/>
      </c>
      <c r="M411" s="22" t="str">
        <f t="shared" si="313"/>
        <v/>
      </c>
      <c r="N411" s="22" t="str">
        <f t="shared" si="314"/>
        <v/>
      </c>
      <c r="O411" s="22" t="str">
        <f t="shared" si="315"/>
        <v/>
      </c>
      <c r="P411" s="21" t="str">
        <f t="shared" si="316"/>
        <v>Apprenant 399 ou 399'</v>
      </c>
      <c r="Q411" s="22" t="str">
        <f t="shared" si="317"/>
        <v/>
      </c>
      <c r="R411" s="22" t="str">
        <f t="shared" si="318"/>
        <v/>
      </c>
      <c r="S411" s="22" t="str">
        <f t="shared" si="319"/>
        <v/>
      </c>
      <c r="T411" s="22" t="str">
        <f t="shared" si="320"/>
        <v/>
      </c>
      <c r="V411" s="21" t="str">
        <f t="shared" si="321"/>
        <v>Apprenant 399</v>
      </c>
      <c r="W411" s="22" t="str">
        <f>IF(AND(OR('Choix pédagogiques'!$C$3=1,'Choix pédagogiques'!$C$3=2),$BM411=1),B411,IF(AND('Choix pédagogiques'!$C$3=3,$BO411=1),B411,""))</f>
        <v/>
      </c>
      <c r="X411" s="22" t="str">
        <f>IF(AND(OR('Choix pédagogiques'!$C$3=1,'Choix pédagogiques'!$C$3=2),$BM411=1),C411,IF(AND('Choix pédagogiques'!$C$3=3,$BO411=1),C411,""))</f>
        <v/>
      </c>
      <c r="Y411" s="22" t="str">
        <f>IF(AND(OR('Choix pédagogiques'!$C$3=1,'Choix pédagogiques'!$C$3=2),$BM411=1),D411,IF(AND('Choix pédagogiques'!$C$3=3,$BO411=1),D411,""))</f>
        <v/>
      </c>
      <c r="Z411" s="22" t="str">
        <f t="shared" si="322"/>
        <v/>
      </c>
      <c r="AA411" s="21" t="str">
        <f t="shared" si="323"/>
        <v>Apprenant 399 ou 399'</v>
      </c>
      <c r="AB411" s="22" t="str">
        <f>IF(AND(OR('Choix pédagogiques'!$C$3=1,'Choix pédagogiques'!$C$3=2),$BN411=1),G411,IF(AND('Choix pédagogiques'!$C$3=3,$BO411=1),G411,""))</f>
        <v/>
      </c>
      <c r="AC411" s="22" t="str">
        <f>IF(AND(OR('Choix pédagogiques'!$C$3=1,'Choix pédagogiques'!$C$3=2),$BN411=1),H411,IF(AND('Choix pédagogiques'!$C$3=3,$BO411=1),H411,""))</f>
        <v/>
      </c>
      <c r="AD411" s="22" t="str">
        <f>IF(AND(OR('Choix pédagogiques'!$C$3=1,'Choix pédagogiques'!$C$3=2),$BN411=1),I411,IF(AND('Choix pédagogiques'!$C$3=3,$BO411=1),I411,""))</f>
        <v/>
      </c>
      <c r="AE411" s="22" t="str">
        <f t="shared" si="324"/>
        <v/>
      </c>
      <c r="AF411" s="21" t="str">
        <f t="shared" si="325"/>
        <v>Apprenant 399</v>
      </c>
      <c r="AG411" s="22" t="str">
        <f t="shared" si="299"/>
        <v/>
      </c>
      <c r="AH411" s="22" t="str">
        <f t="shared" si="300"/>
        <v/>
      </c>
      <c r="AI411" s="22" t="str">
        <f t="shared" si="301"/>
        <v/>
      </c>
      <c r="AJ411" s="22" t="str">
        <f t="shared" si="326"/>
        <v/>
      </c>
      <c r="AK411" s="21" t="str">
        <f t="shared" si="327"/>
        <v>Apprenant 399 ou 399'</v>
      </c>
      <c r="AL411" s="22" t="str">
        <f t="shared" si="302"/>
        <v/>
      </c>
      <c r="AM411" s="22" t="str">
        <f t="shared" si="303"/>
        <v/>
      </c>
      <c r="AN411" s="22" t="str">
        <f t="shared" si="304"/>
        <v/>
      </c>
      <c r="AO411" s="22" t="str">
        <f t="shared" si="328"/>
        <v/>
      </c>
      <c r="AQ411" s="21" t="str">
        <f t="shared" si="329"/>
        <v>Apprenant 399</v>
      </c>
      <c r="AR411" s="49" t="str">
        <f>IF(AND('Choix pédagogiques'!$C$4&lt;&gt;"?",'Choix pédagogiques'!$C$5&lt;&gt;"?",W411&lt;&gt;""),(W411-'Choix pédagogiques'!$C$4)/('Choix pédagogiques'!$C$5-'Choix pédagogiques'!$C$4),"")</f>
        <v/>
      </c>
      <c r="AS411" s="49" t="str">
        <f>IF(AND('Choix pédagogiques'!$C$4&lt;&gt;"?",'Choix pédagogiques'!$C$5&lt;&gt;"?",X411&lt;&gt;""),(X411-'Choix pédagogiques'!$C$4)/('Choix pédagogiques'!$C$5-'Choix pédagogiques'!$C$4),"")</f>
        <v/>
      </c>
      <c r="AT411" s="49" t="str">
        <f>IF(AND('Choix pédagogiques'!$C$4&lt;&gt;"?",'Choix pédagogiques'!$C$5&lt;&gt;"?",Y411&lt;&gt;""),(Y411-'Choix pédagogiques'!$C$4)/('Choix pédagogiques'!$C$5-'Choix pédagogiques'!$C$4),"")</f>
        <v/>
      </c>
      <c r="AU411" s="22" t="str">
        <f t="shared" si="330"/>
        <v/>
      </c>
      <c r="AV411" s="21" t="str">
        <f t="shared" si="331"/>
        <v>Apprenant 399 ou 399'</v>
      </c>
      <c r="AW411" s="49" t="str">
        <f>IF(AND('Choix pédagogiques'!$C$4&lt;&gt;"?",'Choix pédagogiques'!$C$5&lt;&gt;"?",AB411&lt;&gt;""),(AB411-'Choix pédagogiques'!$C$4)/('Choix pédagogiques'!$C$5-'Choix pédagogiques'!$C$4),"")</f>
        <v/>
      </c>
      <c r="AX411" s="49" t="str">
        <f>IF(AND('Choix pédagogiques'!$C$4&lt;&gt;"?",'Choix pédagogiques'!$C$5&lt;&gt;"?",AC411&lt;&gt;""),(AC411-'Choix pédagogiques'!$C$4)/('Choix pédagogiques'!$C$5-'Choix pédagogiques'!$C$4),"")</f>
        <v/>
      </c>
      <c r="AY411" s="49" t="str">
        <f>IF(AND('Choix pédagogiques'!$C$4&lt;&gt;"?",'Choix pédagogiques'!$C$5&lt;&gt;"?",AD411&lt;&gt;""),(AD411-'Choix pédagogiques'!$C$4)/('Choix pédagogiques'!$C$5-'Choix pédagogiques'!$C$4),"")</f>
        <v/>
      </c>
      <c r="AZ411" s="22" t="str">
        <f t="shared" si="332"/>
        <v/>
      </c>
      <c r="BA411" s="21" t="str">
        <f t="shared" si="333"/>
        <v>Apprenant 399</v>
      </c>
      <c r="BB411" s="49" t="str">
        <f t="shared" si="305"/>
        <v/>
      </c>
      <c r="BC411" s="49" t="str">
        <f t="shared" si="306"/>
        <v/>
      </c>
      <c r="BD411" s="49" t="str">
        <f t="shared" si="307"/>
        <v/>
      </c>
      <c r="BE411" s="22" t="str">
        <f t="shared" si="334"/>
        <v/>
      </c>
      <c r="BF411" s="21" t="str">
        <f t="shared" si="335"/>
        <v>Apprenant 399 ou 399'</v>
      </c>
      <c r="BG411" s="49" t="str">
        <f t="shared" si="308"/>
        <v/>
      </c>
      <c r="BH411" s="49" t="str">
        <f t="shared" si="309"/>
        <v/>
      </c>
      <c r="BI411" s="49" t="str">
        <f t="shared" si="310"/>
        <v/>
      </c>
      <c r="BJ411" s="22" t="str">
        <f t="shared" si="336"/>
        <v/>
      </c>
      <c r="BL411" s="21"/>
      <c r="BM411" s="21" t="str">
        <f>IF(OR(COUNT(B411:D1410)=0,AND('Choix pédagogiques'!$C$3&lt;&gt;1,'Choix pédagogiques'!$C$3&lt;&gt;2)),"",IF(AND(OR('Choix pédagogiques'!$C$3=1,'Choix pédagogiques'!$C$3=2),$B411&lt;&gt;"",$C411&lt;&gt;"",$D411&lt;&gt;""),1,0))</f>
        <v/>
      </c>
      <c r="BN411" s="21" t="str">
        <f>IF(OR(COUNT(G411:I1410)=0,AND('Choix pédagogiques'!$C$3&lt;&gt;1,'Choix pédagogiques'!$C$3&lt;&gt;2)),"",IF(AND(OR('Choix pédagogiques'!$C$3=1,'Choix pédagogiques'!$C$3=2),AND($G411&lt;&gt;"",$H411&lt;&gt;"",$I411&lt;&gt;"")),1,0))</f>
        <v/>
      </c>
      <c r="BO411" s="21" t="str">
        <f>IF(OR(COUNT(B411:D1410)=0,COUNT(G411:I1410)=0,'Choix pédagogiques'!C$3&lt;&gt;3),"",IF(AND('Choix pédagogiques'!$C$3=3,$B411&lt;&gt;"",$C411&lt;&gt;"",$D411&lt;&gt;"",$G411&lt;&gt;"",$H411&lt;&gt;"",$I411&lt;&gt;""),1,0))</f>
        <v/>
      </c>
      <c r="BR411" s="21">
        <v>545</v>
      </c>
      <c r="BS411" s="21">
        <v>1978</v>
      </c>
      <c r="BT411"/>
    </row>
    <row r="412" spans="1:72" s="23" customFormat="1" ht="18" customHeight="1" x14ac:dyDescent="0.3">
      <c r="A412" s="35" t="s">
        <v>402</v>
      </c>
      <c r="B412" s="37"/>
      <c r="C412" s="37"/>
      <c r="D412" s="37"/>
      <c r="E412" s="37"/>
      <c r="F412" s="35" t="s">
        <v>1410</v>
      </c>
      <c r="G412" s="37"/>
      <c r="H412" s="37"/>
      <c r="I412" s="37"/>
      <c r="J412" s="37"/>
      <c r="K412" s="21" t="str">
        <f t="shared" si="311"/>
        <v>Apprenant 400</v>
      </c>
      <c r="L412" s="22" t="str">
        <f t="shared" si="312"/>
        <v/>
      </c>
      <c r="M412" s="22" t="str">
        <f t="shared" si="313"/>
        <v/>
      </c>
      <c r="N412" s="22" t="str">
        <f t="shared" si="314"/>
        <v/>
      </c>
      <c r="O412" s="22" t="str">
        <f t="shared" si="315"/>
        <v/>
      </c>
      <c r="P412" s="21" t="str">
        <f t="shared" si="316"/>
        <v>Apprenant 400 ou 400'</v>
      </c>
      <c r="Q412" s="22" t="str">
        <f t="shared" si="317"/>
        <v/>
      </c>
      <c r="R412" s="22" t="str">
        <f t="shared" si="318"/>
        <v/>
      </c>
      <c r="S412" s="22" t="str">
        <f t="shared" si="319"/>
        <v/>
      </c>
      <c r="T412" s="22" t="str">
        <f t="shared" si="320"/>
        <v/>
      </c>
      <c r="V412" s="21" t="str">
        <f t="shared" si="321"/>
        <v>Apprenant 400</v>
      </c>
      <c r="W412" s="22" t="str">
        <f>IF(AND(OR('Choix pédagogiques'!$C$3=1,'Choix pédagogiques'!$C$3=2),$BM412=1),B412,IF(AND('Choix pédagogiques'!$C$3=3,$BO412=1),B412,""))</f>
        <v/>
      </c>
      <c r="X412" s="22" t="str">
        <f>IF(AND(OR('Choix pédagogiques'!$C$3=1,'Choix pédagogiques'!$C$3=2),$BM412=1),C412,IF(AND('Choix pédagogiques'!$C$3=3,$BO412=1),C412,""))</f>
        <v/>
      </c>
      <c r="Y412" s="22" t="str">
        <f>IF(AND(OR('Choix pédagogiques'!$C$3=1,'Choix pédagogiques'!$C$3=2),$BM412=1),D412,IF(AND('Choix pédagogiques'!$C$3=3,$BO412=1),D412,""))</f>
        <v/>
      </c>
      <c r="Z412" s="22" t="str">
        <f t="shared" si="322"/>
        <v/>
      </c>
      <c r="AA412" s="21" t="str">
        <f t="shared" si="323"/>
        <v>Apprenant 400 ou 400'</v>
      </c>
      <c r="AB412" s="22" t="str">
        <f>IF(AND(OR('Choix pédagogiques'!$C$3=1,'Choix pédagogiques'!$C$3=2),$BN412=1),G412,IF(AND('Choix pédagogiques'!$C$3=3,$BO412=1),G412,""))</f>
        <v/>
      </c>
      <c r="AC412" s="22" t="str">
        <f>IF(AND(OR('Choix pédagogiques'!$C$3=1,'Choix pédagogiques'!$C$3=2),$BN412=1),H412,IF(AND('Choix pédagogiques'!$C$3=3,$BO412=1),H412,""))</f>
        <v/>
      </c>
      <c r="AD412" s="22" t="str">
        <f>IF(AND(OR('Choix pédagogiques'!$C$3=1,'Choix pédagogiques'!$C$3=2),$BN412=1),I412,IF(AND('Choix pédagogiques'!$C$3=3,$BO412=1),I412,""))</f>
        <v/>
      </c>
      <c r="AE412" s="22" t="str">
        <f t="shared" si="324"/>
        <v/>
      </c>
      <c r="AF412" s="21" t="str">
        <f t="shared" si="325"/>
        <v>Apprenant 400</v>
      </c>
      <c r="AG412" s="22" t="str">
        <f t="shared" si="299"/>
        <v/>
      </c>
      <c r="AH412" s="22" t="str">
        <f t="shared" si="300"/>
        <v/>
      </c>
      <c r="AI412" s="22" t="str">
        <f t="shared" si="301"/>
        <v/>
      </c>
      <c r="AJ412" s="22" t="str">
        <f t="shared" si="326"/>
        <v/>
      </c>
      <c r="AK412" s="21" t="str">
        <f t="shared" si="327"/>
        <v>Apprenant 400 ou 400'</v>
      </c>
      <c r="AL412" s="22" t="str">
        <f t="shared" si="302"/>
        <v/>
      </c>
      <c r="AM412" s="22" t="str">
        <f t="shared" si="303"/>
        <v/>
      </c>
      <c r="AN412" s="22" t="str">
        <f t="shared" si="304"/>
        <v/>
      </c>
      <c r="AO412" s="22" t="str">
        <f t="shared" si="328"/>
        <v/>
      </c>
      <c r="AQ412" s="21" t="str">
        <f t="shared" si="329"/>
        <v>Apprenant 400</v>
      </c>
      <c r="AR412" s="49" t="str">
        <f>IF(AND('Choix pédagogiques'!$C$4&lt;&gt;"?",'Choix pédagogiques'!$C$5&lt;&gt;"?",W412&lt;&gt;""),(W412-'Choix pédagogiques'!$C$4)/('Choix pédagogiques'!$C$5-'Choix pédagogiques'!$C$4),"")</f>
        <v/>
      </c>
      <c r="AS412" s="49" t="str">
        <f>IF(AND('Choix pédagogiques'!$C$4&lt;&gt;"?",'Choix pédagogiques'!$C$5&lt;&gt;"?",X412&lt;&gt;""),(X412-'Choix pédagogiques'!$C$4)/('Choix pédagogiques'!$C$5-'Choix pédagogiques'!$C$4),"")</f>
        <v/>
      </c>
      <c r="AT412" s="49" t="str">
        <f>IF(AND('Choix pédagogiques'!$C$4&lt;&gt;"?",'Choix pédagogiques'!$C$5&lt;&gt;"?",Y412&lt;&gt;""),(Y412-'Choix pédagogiques'!$C$4)/('Choix pédagogiques'!$C$5-'Choix pédagogiques'!$C$4),"")</f>
        <v/>
      </c>
      <c r="AU412" s="22" t="str">
        <f t="shared" si="330"/>
        <v/>
      </c>
      <c r="AV412" s="21" t="str">
        <f t="shared" si="331"/>
        <v>Apprenant 400 ou 400'</v>
      </c>
      <c r="AW412" s="49" t="str">
        <f>IF(AND('Choix pédagogiques'!$C$4&lt;&gt;"?",'Choix pédagogiques'!$C$5&lt;&gt;"?",AB412&lt;&gt;""),(AB412-'Choix pédagogiques'!$C$4)/('Choix pédagogiques'!$C$5-'Choix pédagogiques'!$C$4),"")</f>
        <v/>
      </c>
      <c r="AX412" s="49" t="str">
        <f>IF(AND('Choix pédagogiques'!$C$4&lt;&gt;"?",'Choix pédagogiques'!$C$5&lt;&gt;"?",AC412&lt;&gt;""),(AC412-'Choix pédagogiques'!$C$4)/('Choix pédagogiques'!$C$5-'Choix pédagogiques'!$C$4),"")</f>
        <v/>
      </c>
      <c r="AY412" s="49" t="str">
        <f>IF(AND('Choix pédagogiques'!$C$4&lt;&gt;"?",'Choix pédagogiques'!$C$5&lt;&gt;"?",AD412&lt;&gt;""),(AD412-'Choix pédagogiques'!$C$4)/('Choix pédagogiques'!$C$5-'Choix pédagogiques'!$C$4),"")</f>
        <v/>
      </c>
      <c r="AZ412" s="22" t="str">
        <f t="shared" si="332"/>
        <v/>
      </c>
      <c r="BA412" s="21" t="str">
        <f t="shared" si="333"/>
        <v>Apprenant 400</v>
      </c>
      <c r="BB412" s="49" t="str">
        <f t="shared" si="305"/>
        <v/>
      </c>
      <c r="BC412" s="49" t="str">
        <f t="shared" si="306"/>
        <v/>
      </c>
      <c r="BD412" s="49" t="str">
        <f t="shared" si="307"/>
        <v/>
      </c>
      <c r="BE412" s="22" t="str">
        <f t="shared" si="334"/>
        <v/>
      </c>
      <c r="BF412" s="21" t="str">
        <f t="shared" si="335"/>
        <v>Apprenant 400 ou 400'</v>
      </c>
      <c r="BG412" s="49" t="str">
        <f t="shared" si="308"/>
        <v/>
      </c>
      <c r="BH412" s="49" t="str">
        <f t="shared" si="309"/>
        <v/>
      </c>
      <c r="BI412" s="49" t="str">
        <f t="shared" si="310"/>
        <v/>
      </c>
      <c r="BJ412" s="22" t="str">
        <f t="shared" si="336"/>
        <v/>
      </c>
      <c r="BL412" s="21"/>
      <c r="BM412" s="21" t="str">
        <f>IF(OR(COUNT(B412:D1411)=0,AND('Choix pédagogiques'!$C$3&lt;&gt;1,'Choix pédagogiques'!$C$3&lt;&gt;2)),"",IF(AND(OR('Choix pédagogiques'!$C$3=1,'Choix pédagogiques'!$C$3=2),$B412&lt;&gt;"",$C412&lt;&gt;"",$D412&lt;&gt;""),1,0))</f>
        <v/>
      </c>
      <c r="BN412" s="21" t="str">
        <f>IF(OR(COUNT(G412:I1411)=0,AND('Choix pédagogiques'!$C$3&lt;&gt;1,'Choix pédagogiques'!$C$3&lt;&gt;2)),"",IF(AND(OR('Choix pédagogiques'!$C$3=1,'Choix pédagogiques'!$C$3=2),AND($G412&lt;&gt;"",$H412&lt;&gt;"",$I412&lt;&gt;"")),1,0))</f>
        <v/>
      </c>
      <c r="BO412" s="21" t="str">
        <f>IF(OR(COUNT(B412:D1411)=0,COUNT(G412:I1411)=0,'Choix pédagogiques'!C$3&lt;&gt;3),"",IF(AND('Choix pédagogiques'!$C$3=3,$B412&lt;&gt;"",$C412&lt;&gt;"",$D412&lt;&gt;"",$G412&lt;&gt;"",$H412&lt;&gt;"",$I412&lt;&gt;""),1,0))</f>
        <v/>
      </c>
      <c r="BR412" s="21">
        <v>772</v>
      </c>
      <c r="BS412" s="21">
        <v>1086</v>
      </c>
      <c r="BT412"/>
    </row>
    <row r="413" spans="1:72" s="23" customFormat="1" ht="18" customHeight="1" x14ac:dyDescent="0.3">
      <c r="A413" s="35" t="s">
        <v>403</v>
      </c>
      <c r="B413" s="37"/>
      <c r="C413" s="37"/>
      <c r="D413" s="37"/>
      <c r="E413" s="37"/>
      <c r="F413" s="35" t="s">
        <v>1411</v>
      </c>
      <c r="G413" s="37"/>
      <c r="H413" s="37"/>
      <c r="I413" s="37"/>
      <c r="J413" s="37"/>
      <c r="K413" s="21" t="str">
        <f t="shared" si="311"/>
        <v>Apprenant 401</v>
      </c>
      <c r="L413" s="22" t="str">
        <f t="shared" si="312"/>
        <v/>
      </c>
      <c r="M413" s="22" t="str">
        <f t="shared" si="313"/>
        <v/>
      </c>
      <c r="N413" s="22" t="str">
        <f t="shared" si="314"/>
        <v/>
      </c>
      <c r="O413" s="22" t="str">
        <f t="shared" si="315"/>
        <v/>
      </c>
      <c r="P413" s="21" t="str">
        <f t="shared" si="316"/>
        <v>Apprenant 401 ou 401'</v>
      </c>
      <c r="Q413" s="22" t="str">
        <f t="shared" si="317"/>
        <v/>
      </c>
      <c r="R413" s="22" t="str">
        <f t="shared" si="318"/>
        <v/>
      </c>
      <c r="S413" s="22" t="str">
        <f t="shared" si="319"/>
        <v/>
      </c>
      <c r="T413" s="22" t="str">
        <f t="shared" si="320"/>
        <v/>
      </c>
      <c r="V413" s="21" t="str">
        <f t="shared" si="321"/>
        <v>Apprenant 401</v>
      </c>
      <c r="W413" s="22" t="str">
        <f>IF(AND(OR('Choix pédagogiques'!$C$3=1,'Choix pédagogiques'!$C$3=2),$BM413=1),B413,IF(AND('Choix pédagogiques'!$C$3=3,$BO413=1),B413,""))</f>
        <v/>
      </c>
      <c r="X413" s="22" t="str">
        <f>IF(AND(OR('Choix pédagogiques'!$C$3=1,'Choix pédagogiques'!$C$3=2),$BM413=1),C413,IF(AND('Choix pédagogiques'!$C$3=3,$BO413=1),C413,""))</f>
        <v/>
      </c>
      <c r="Y413" s="22" t="str">
        <f>IF(AND(OR('Choix pédagogiques'!$C$3=1,'Choix pédagogiques'!$C$3=2),$BM413=1),D413,IF(AND('Choix pédagogiques'!$C$3=3,$BO413=1),D413,""))</f>
        <v/>
      </c>
      <c r="Z413" s="22" t="str">
        <f t="shared" si="322"/>
        <v/>
      </c>
      <c r="AA413" s="21" t="str">
        <f t="shared" si="323"/>
        <v>Apprenant 401 ou 401'</v>
      </c>
      <c r="AB413" s="22" t="str">
        <f>IF(AND(OR('Choix pédagogiques'!$C$3=1,'Choix pédagogiques'!$C$3=2),$BN413=1),G413,IF(AND('Choix pédagogiques'!$C$3=3,$BO413=1),G413,""))</f>
        <v/>
      </c>
      <c r="AC413" s="22" t="str">
        <f>IF(AND(OR('Choix pédagogiques'!$C$3=1,'Choix pédagogiques'!$C$3=2),$BN413=1),H413,IF(AND('Choix pédagogiques'!$C$3=3,$BO413=1),H413,""))</f>
        <v/>
      </c>
      <c r="AD413" s="22" t="str">
        <f>IF(AND(OR('Choix pédagogiques'!$C$3=1,'Choix pédagogiques'!$C$3=2),$BN413=1),I413,IF(AND('Choix pédagogiques'!$C$3=3,$BO413=1),I413,""))</f>
        <v/>
      </c>
      <c r="AE413" s="22" t="str">
        <f t="shared" si="324"/>
        <v/>
      </c>
      <c r="AF413" s="21" t="str">
        <f t="shared" si="325"/>
        <v>Apprenant 401</v>
      </c>
      <c r="AG413" s="22" t="str">
        <f t="shared" si="299"/>
        <v/>
      </c>
      <c r="AH413" s="22" t="str">
        <f t="shared" si="300"/>
        <v/>
      </c>
      <c r="AI413" s="22" t="str">
        <f t="shared" si="301"/>
        <v/>
      </c>
      <c r="AJ413" s="22" t="str">
        <f t="shared" si="326"/>
        <v/>
      </c>
      <c r="AK413" s="21" t="str">
        <f t="shared" si="327"/>
        <v>Apprenant 401 ou 401'</v>
      </c>
      <c r="AL413" s="22" t="str">
        <f t="shared" si="302"/>
        <v/>
      </c>
      <c r="AM413" s="22" t="str">
        <f t="shared" si="303"/>
        <v/>
      </c>
      <c r="AN413" s="22" t="str">
        <f t="shared" si="304"/>
        <v/>
      </c>
      <c r="AO413" s="22" t="str">
        <f t="shared" si="328"/>
        <v/>
      </c>
      <c r="AQ413" s="21" t="str">
        <f t="shared" si="329"/>
        <v>Apprenant 401</v>
      </c>
      <c r="AR413" s="49" t="str">
        <f>IF(AND('Choix pédagogiques'!$C$4&lt;&gt;"?",'Choix pédagogiques'!$C$5&lt;&gt;"?",W413&lt;&gt;""),(W413-'Choix pédagogiques'!$C$4)/('Choix pédagogiques'!$C$5-'Choix pédagogiques'!$C$4),"")</f>
        <v/>
      </c>
      <c r="AS413" s="49" t="str">
        <f>IF(AND('Choix pédagogiques'!$C$4&lt;&gt;"?",'Choix pédagogiques'!$C$5&lt;&gt;"?",X413&lt;&gt;""),(X413-'Choix pédagogiques'!$C$4)/('Choix pédagogiques'!$C$5-'Choix pédagogiques'!$C$4),"")</f>
        <v/>
      </c>
      <c r="AT413" s="49" t="str">
        <f>IF(AND('Choix pédagogiques'!$C$4&lt;&gt;"?",'Choix pédagogiques'!$C$5&lt;&gt;"?",Y413&lt;&gt;""),(Y413-'Choix pédagogiques'!$C$4)/('Choix pédagogiques'!$C$5-'Choix pédagogiques'!$C$4),"")</f>
        <v/>
      </c>
      <c r="AU413" s="22" t="str">
        <f t="shared" si="330"/>
        <v/>
      </c>
      <c r="AV413" s="21" t="str">
        <f t="shared" si="331"/>
        <v>Apprenant 401 ou 401'</v>
      </c>
      <c r="AW413" s="49" t="str">
        <f>IF(AND('Choix pédagogiques'!$C$4&lt;&gt;"?",'Choix pédagogiques'!$C$5&lt;&gt;"?",AB413&lt;&gt;""),(AB413-'Choix pédagogiques'!$C$4)/('Choix pédagogiques'!$C$5-'Choix pédagogiques'!$C$4),"")</f>
        <v/>
      </c>
      <c r="AX413" s="49" t="str">
        <f>IF(AND('Choix pédagogiques'!$C$4&lt;&gt;"?",'Choix pédagogiques'!$C$5&lt;&gt;"?",AC413&lt;&gt;""),(AC413-'Choix pédagogiques'!$C$4)/('Choix pédagogiques'!$C$5-'Choix pédagogiques'!$C$4),"")</f>
        <v/>
      </c>
      <c r="AY413" s="49" t="str">
        <f>IF(AND('Choix pédagogiques'!$C$4&lt;&gt;"?",'Choix pédagogiques'!$C$5&lt;&gt;"?",AD413&lt;&gt;""),(AD413-'Choix pédagogiques'!$C$4)/('Choix pédagogiques'!$C$5-'Choix pédagogiques'!$C$4),"")</f>
        <v/>
      </c>
      <c r="AZ413" s="22" t="str">
        <f t="shared" si="332"/>
        <v/>
      </c>
      <c r="BA413" s="21" t="str">
        <f t="shared" si="333"/>
        <v>Apprenant 401</v>
      </c>
      <c r="BB413" s="49" t="str">
        <f t="shared" si="305"/>
        <v/>
      </c>
      <c r="BC413" s="49" t="str">
        <f t="shared" si="306"/>
        <v/>
      </c>
      <c r="BD413" s="49" t="str">
        <f t="shared" si="307"/>
        <v/>
      </c>
      <c r="BE413" s="22" t="str">
        <f t="shared" si="334"/>
        <v/>
      </c>
      <c r="BF413" s="21" t="str">
        <f t="shared" si="335"/>
        <v>Apprenant 401 ou 401'</v>
      </c>
      <c r="BG413" s="49" t="str">
        <f t="shared" si="308"/>
        <v/>
      </c>
      <c r="BH413" s="49" t="str">
        <f t="shared" si="309"/>
        <v/>
      </c>
      <c r="BI413" s="49" t="str">
        <f t="shared" si="310"/>
        <v/>
      </c>
      <c r="BJ413" s="22" t="str">
        <f t="shared" si="336"/>
        <v/>
      </c>
      <c r="BL413" s="21"/>
      <c r="BM413" s="21" t="str">
        <f>IF(OR(COUNT(B413:D1412)=0,AND('Choix pédagogiques'!$C$3&lt;&gt;1,'Choix pédagogiques'!$C$3&lt;&gt;2)),"",IF(AND(OR('Choix pédagogiques'!$C$3=1,'Choix pédagogiques'!$C$3=2),$B413&lt;&gt;"",$C413&lt;&gt;"",$D413&lt;&gt;""),1,0))</f>
        <v/>
      </c>
      <c r="BN413" s="21" t="str">
        <f>IF(OR(COUNT(G413:I1412)=0,AND('Choix pédagogiques'!$C$3&lt;&gt;1,'Choix pédagogiques'!$C$3&lt;&gt;2)),"",IF(AND(OR('Choix pédagogiques'!$C$3=1,'Choix pédagogiques'!$C$3=2),AND($G413&lt;&gt;"",$H413&lt;&gt;"",$I413&lt;&gt;"")),1,0))</f>
        <v/>
      </c>
      <c r="BO413" s="21" t="str">
        <f>IF(OR(COUNT(B413:D1412)=0,COUNT(G413:I1412)=0,'Choix pédagogiques'!C$3&lt;&gt;3),"",IF(AND('Choix pédagogiques'!$C$3=3,$B413&lt;&gt;"",$C413&lt;&gt;"",$D413&lt;&gt;"",$G413&lt;&gt;"",$H413&lt;&gt;"",$I413&lt;&gt;""),1,0))</f>
        <v/>
      </c>
      <c r="BR413" s="21">
        <v>583</v>
      </c>
      <c r="BS413" s="21">
        <v>1998</v>
      </c>
      <c r="BT413"/>
    </row>
    <row r="414" spans="1:72" s="23" customFormat="1" ht="18" customHeight="1" x14ac:dyDescent="0.3">
      <c r="A414" s="35" t="s">
        <v>404</v>
      </c>
      <c r="B414" s="37"/>
      <c r="C414" s="37"/>
      <c r="D414" s="37"/>
      <c r="E414" s="37"/>
      <c r="F414" s="35" t="s">
        <v>1412</v>
      </c>
      <c r="G414" s="37"/>
      <c r="H414" s="37"/>
      <c r="I414" s="37"/>
      <c r="J414" s="37"/>
      <c r="K414" s="21" t="str">
        <f t="shared" si="311"/>
        <v>Apprenant 402</v>
      </c>
      <c r="L414" s="22" t="str">
        <f t="shared" si="312"/>
        <v/>
      </c>
      <c r="M414" s="22" t="str">
        <f t="shared" si="313"/>
        <v/>
      </c>
      <c r="N414" s="22" t="str">
        <f t="shared" si="314"/>
        <v/>
      </c>
      <c r="O414" s="22" t="str">
        <f t="shared" si="315"/>
        <v/>
      </c>
      <c r="P414" s="21" t="str">
        <f t="shared" si="316"/>
        <v>Apprenant 402 ou 402'</v>
      </c>
      <c r="Q414" s="22" t="str">
        <f t="shared" si="317"/>
        <v/>
      </c>
      <c r="R414" s="22" t="str">
        <f t="shared" si="318"/>
        <v/>
      </c>
      <c r="S414" s="22" t="str">
        <f t="shared" si="319"/>
        <v/>
      </c>
      <c r="T414" s="22" t="str">
        <f t="shared" si="320"/>
        <v/>
      </c>
      <c r="V414" s="21" t="str">
        <f t="shared" si="321"/>
        <v>Apprenant 402</v>
      </c>
      <c r="W414" s="22" t="str">
        <f>IF(AND(OR('Choix pédagogiques'!$C$3=1,'Choix pédagogiques'!$C$3=2),$BM414=1),B414,IF(AND('Choix pédagogiques'!$C$3=3,$BO414=1),B414,""))</f>
        <v/>
      </c>
      <c r="X414" s="22" t="str">
        <f>IF(AND(OR('Choix pédagogiques'!$C$3=1,'Choix pédagogiques'!$C$3=2),$BM414=1),C414,IF(AND('Choix pédagogiques'!$C$3=3,$BO414=1),C414,""))</f>
        <v/>
      </c>
      <c r="Y414" s="22" t="str">
        <f>IF(AND(OR('Choix pédagogiques'!$C$3=1,'Choix pédagogiques'!$C$3=2),$BM414=1),D414,IF(AND('Choix pédagogiques'!$C$3=3,$BO414=1),D414,""))</f>
        <v/>
      </c>
      <c r="Z414" s="22" t="str">
        <f t="shared" si="322"/>
        <v/>
      </c>
      <c r="AA414" s="21" t="str">
        <f t="shared" si="323"/>
        <v>Apprenant 402 ou 402'</v>
      </c>
      <c r="AB414" s="22" t="str">
        <f>IF(AND(OR('Choix pédagogiques'!$C$3=1,'Choix pédagogiques'!$C$3=2),$BN414=1),G414,IF(AND('Choix pédagogiques'!$C$3=3,$BO414=1),G414,""))</f>
        <v/>
      </c>
      <c r="AC414" s="22" t="str">
        <f>IF(AND(OR('Choix pédagogiques'!$C$3=1,'Choix pédagogiques'!$C$3=2),$BN414=1),H414,IF(AND('Choix pédagogiques'!$C$3=3,$BO414=1),H414,""))</f>
        <v/>
      </c>
      <c r="AD414" s="22" t="str">
        <f>IF(AND(OR('Choix pédagogiques'!$C$3=1,'Choix pédagogiques'!$C$3=2),$BN414=1),I414,IF(AND('Choix pédagogiques'!$C$3=3,$BO414=1),I414,""))</f>
        <v/>
      </c>
      <c r="AE414" s="22" t="str">
        <f t="shared" si="324"/>
        <v/>
      </c>
      <c r="AF414" s="21" t="str">
        <f t="shared" si="325"/>
        <v>Apprenant 402</v>
      </c>
      <c r="AG414" s="22" t="str">
        <f t="shared" si="299"/>
        <v/>
      </c>
      <c r="AH414" s="22" t="str">
        <f t="shared" si="300"/>
        <v/>
      </c>
      <c r="AI414" s="22" t="str">
        <f t="shared" si="301"/>
        <v/>
      </c>
      <c r="AJ414" s="22" t="str">
        <f t="shared" si="326"/>
        <v/>
      </c>
      <c r="AK414" s="21" t="str">
        <f t="shared" si="327"/>
        <v>Apprenant 402 ou 402'</v>
      </c>
      <c r="AL414" s="22" t="str">
        <f t="shared" si="302"/>
        <v/>
      </c>
      <c r="AM414" s="22" t="str">
        <f t="shared" si="303"/>
        <v/>
      </c>
      <c r="AN414" s="22" t="str">
        <f t="shared" si="304"/>
        <v/>
      </c>
      <c r="AO414" s="22" t="str">
        <f t="shared" si="328"/>
        <v/>
      </c>
      <c r="AQ414" s="21" t="str">
        <f t="shared" si="329"/>
        <v>Apprenant 402</v>
      </c>
      <c r="AR414" s="49" t="str">
        <f>IF(AND('Choix pédagogiques'!$C$4&lt;&gt;"?",'Choix pédagogiques'!$C$5&lt;&gt;"?",W414&lt;&gt;""),(W414-'Choix pédagogiques'!$C$4)/('Choix pédagogiques'!$C$5-'Choix pédagogiques'!$C$4),"")</f>
        <v/>
      </c>
      <c r="AS414" s="49" t="str">
        <f>IF(AND('Choix pédagogiques'!$C$4&lt;&gt;"?",'Choix pédagogiques'!$C$5&lt;&gt;"?",X414&lt;&gt;""),(X414-'Choix pédagogiques'!$C$4)/('Choix pédagogiques'!$C$5-'Choix pédagogiques'!$C$4),"")</f>
        <v/>
      </c>
      <c r="AT414" s="49" t="str">
        <f>IF(AND('Choix pédagogiques'!$C$4&lt;&gt;"?",'Choix pédagogiques'!$C$5&lt;&gt;"?",Y414&lt;&gt;""),(Y414-'Choix pédagogiques'!$C$4)/('Choix pédagogiques'!$C$5-'Choix pédagogiques'!$C$4),"")</f>
        <v/>
      </c>
      <c r="AU414" s="22" t="str">
        <f t="shared" si="330"/>
        <v/>
      </c>
      <c r="AV414" s="21" t="str">
        <f t="shared" si="331"/>
        <v>Apprenant 402 ou 402'</v>
      </c>
      <c r="AW414" s="49" t="str">
        <f>IF(AND('Choix pédagogiques'!$C$4&lt;&gt;"?",'Choix pédagogiques'!$C$5&lt;&gt;"?",AB414&lt;&gt;""),(AB414-'Choix pédagogiques'!$C$4)/('Choix pédagogiques'!$C$5-'Choix pédagogiques'!$C$4),"")</f>
        <v/>
      </c>
      <c r="AX414" s="49" t="str">
        <f>IF(AND('Choix pédagogiques'!$C$4&lt;&gt;"?",'Choix pédagogiques'!$C$5&lt;&gt;"?",AC414&lt;&gt;""),(AC414-'Choix pédagogiques'!$C$4)/('Choix pédagogiques'!$C$5-'Choix pédagogiques'!$C$4),"")</f>
        <v/>
      </c>
      <c r="AY414" s="49" t="str">
        <f>IF(AND('Choix pédagogiques'!$C$4&lt;&gt;"?",'Choix pédagogiques'!$C$5&lt;&gt;"?",AD414&lt;&gt;""),(AD414-'Choix pédagogiques'!$C$4)/('Choix pédagogiques'!$C$5-'Choix pédagogiques'!$C$4),"")</f>
        <v/>
      </c>
      <c r="AZ414" s="22" t="str">
        <f t="shared" si="332"/>
        <v/>
      </c>
      <c r="BA414" s="21" t="str">
        <f t="shared" si="333"/>
        <v>Apprenant 402</v>
      </c>
      <c r="BB414" s="49" t="str">
        <f t="shared" si="305"/>
        <v/>
      </c>
      <c r="BC414" s="49" t="str">
        <f t="shared" si="306"/>
        <v/>
      </c>
      <c r="BD414" s="49" t="str">
        <f t="shared" si="307"/>
        <v/>
      </c>
      <c r="BE414" s="22" t="str">
        <f t="shared" si="334"/>
        <v/>
      </c>
      <c r="BF414" s="21" t="str">
        <f t="shared" si="335"/>
        <v>Apprenant 402 ou 402'</v>
      </c>
      <c r="BG414" s="49" t="str">
        <f t="shared" si="308"/>
        <v/>
      </c>
      <c r="BH414" s="49" t="str">
        <f t="shared" si="309"/>
        <v/>
      </c>
      <c r="BI414" s="49" t="str">
        <f t="shared" si="310"/>
        <v/>
      </c>
      <c r="BJ414" s="22" t="str">
        <f t="shared" si="336"/>
        <v/>
      </c>
      <c r="BL414" s="21"/>
      <c r="BM414" s="21" t="str">
        <f>IF(OR(COUNT(B414:D1413)=0,AND('Choix pédagogiques'!$C$3&lt;&gt;1,'Choix pédagogiques'!$C$3&lt;&gt;2)),"",IF(AND(OR('Choix pédagogiques'!$C$3=1,'Choix pédagogiques'!$C$3=2),$B414&lt;&gt;"",$C414&lt;&gt;"",$D414&lt;&gt;""),1,0))</f>
        <v/>
      </c>
      <c r="BN414" s="21" t="str">
        <f>IF(OR(COUNT(G414:I1413)=0,AND('Choix pédagogiques'!$C$3&lt;&gt;1,'Choix pédagogiques'!$C$3&lt;&gt;2)),"",IF(AND(OR('Choix pédagogiques'!$C$3=1,'Choix pédagogiques'!$C$3=2),AND($G414&lt;&gt;"",$H414&lt;&gt;"",$I414&lt;&gt;"")),1,0))</f>
        <v/>
      </c>
      <c r="BO414" s="21" t="str">
        <f>IF(OR(COUNT(B414:D1413)=0,COUNT(G414:I1413)=0,'Choix pédagogiques'!C$3&lt;&gt;3),"",IF(AND('Choix pédagogiques'!$C$3=3,$B414&lt;&gt;"",$C414&lt;&gt;"",$D414&lt;&gt;"",$G414&lt;&gt;"",$H414&lt;&gt;"",$I414&lt;&gt;""),1,0))</f>
        <v/>
      </c>
      <c r="BR414" s="21">
        <v>559</v>
      </c>
      <c r="BS414" s="21">
        <v>1160</v>
      </c>
      <c r="BT414"/>
    </row>
    <row r="415" spans="1:72" s="23" customFormat="1" ht="18" customHeight="1" x14ac:dyDescent="0.3">
      <c r="A415" s="35" t="s">
        <v>405</v>
      </c>
      <c r="B415" s="37"/>
      <c r="C415" s="37"/>
      <c r="D415" s="37"/>
      <c r="E415" s="37"/>
      <c r="F415" s="35" t="s">
        <v>1413</v>
      </c>
      <c r="G415" s="37"/>
      <c r="H415" s="37"/>
      <c r="I415" s="37"/>
      <c r="J415" s="37"/>
      <c r="K415" s="21" t="str">
        <f t="shared" si="311"/>
        <v>Apprenant 403</v>
      </c>
      <c r="L415" s="22" t="str">
        <f t="shared" si="312"/>
        <v/>
      </c>
      <c r="M415" s="22" t="str">
        <f t="shared" si="313"/>
        <v/>
      </c>
      <c r="N415" s="22" t="str">
        <f t="shared" si="314"/>
        <v/>
      </c>
      <c r="O415" s="22" t="str">
        <f t="shared" si="315"/>
        <v/>
      </c>
      <c r="P415" s="21" t="str">
        <f t="shared" si="316"/>
        <v>Apprenant 403 ou 403'</v>
      </c>
      <c r="Q415" s="22" t="str">
        <f t="shared" si="317"/>
        <v/>
      </c>
      <c r="R415" s="22" t="str">
        <f t="shared" si="318"/>
        <v/>
      </c>
      <c r="S415" s="22" t="str">
        <f t="shared" si="319"/>
        <v/>
      </c>
      <c r="T415" s="22" t="str">
        <f t="shared" si="320"/>
        <v/>
      </c>
      <c r="V415" s="21" t="str">
        <f t="shared" si="321"/>
        <v>Apprenant 403</v>
      </c>
      <c r="W415" s="22" t="str">
        <f>IF(AND(OR('Choix pédagogiques'!$C$3=1,'Choix pédagogiques'!$C$3=2),$BM415=1),B415,IF(AND('Choix pédagogiques'!$C$3=3,$BO415=1),B415,""))</f>
        <v/>
      </c>
      <c r="X415" s="22" t="str">
        <f>IF(AND(OR('Choix pédagogiques'!$C$3=1,'Choix pédagogiques'!$C$3=2),$BM415=1),C415,IF(AND('Choix pédagogiques'!$C$3=3,$BO415=1),C415,""))</f>
        <v/>
      </c>
      <c r="Y415" s="22" t="str">
        <f>IF(AND(OR('Choix pédagogiques'!$C$3=1,'Choix pédagogiques'!$C$3=2),$BM415=1),D415,IF(AND('Choix pédagogiques'!$C$3=3,$BO415=1),D415,""))</f>
        <v/>
      </c>
      <c r="Z415" s="22" t="str">
        <f t="shared" si="322"/>
        <v/>
      </c>
      <c r="AA415" s="21" t="str">
        <f t="shared" si="323"/>
        <v>Apprenant 403 ou 403'</v>
      </c>
      <c r="AB415" s="22" t="str">
        <f>IF(AND(OR('Choix pédagogiques'!$C$3=1,'Choix pédagogiques'!$C$3=2),$BN415=1),G415,IF(AND('Choix pédagogiques'!$C$3=3,$BO415=1),G415,""))</f>
        <v/>
      </c>
      <c r="AC415" s="22" t="str">
        <f>IF(AND(OR('Choix pédagogiques'!$C$3=1,'Choix pédagogiques'!$C$3=2),$BN415=1),H415,IF(AND('Choix pédagogiques'!$C$3=3,$BO415=1),H415,""))</f>
        <v/>
      </c>
      <c r="AD415" s="22" t="str">
        <f>IF(AND(OR('Choix pédagogiques'!$C$3=1,'Choix pédagogiques'!$C$3=2),$BN415=1),I415,IF(AND('Choix pédagogiques'!$C$3=3,$BO415=1),I415,""))</f>
        <v/>
      </c>
      <c r="AE415" s="22" t="str">
        <f t="shared" si="324"/>
        <v/>
      </c>
      <c r="AF415" s="21" t="str">
        <f t="shared" si="325"/>
        <v>Apprenant 403</v>
      </c>
      <c r="AG415" s="22" t="str">
        <f t="shared" si="299"/>
        <v/>
      </c>
      <c r="AH415" s="22" t="str">
        <f t="shared" si="300"/>
        <v/>
      </c>
      <c r="AI415" s="22" t="str">
        <f t="shared" si="301"/>
        <v/>
      </c>
      <c r="AJ415" s="22" t="str">
        <f t="shared" si="326"/>
        <v/>
      </c>
      <c r="AK415" s="21" t="str">
        <f t="shared" si="327"/>
        <v>Apprenant 403 ou 403'</v>
      </c>
      <c r="AL415" s="22" t="str">
        <f t="shared" si="302"/>
        <v/>
      </c>
      <c r="AM415" s="22" t="str">
        <f t="shared" si="303"/>
        <v/>
      </c>
      <c r="AN415" s="22" t="str">
        <f t="shared" si="304"/>
        <v/>
      </c>
      <c r="AO415" s="22" t="str">
        <f t="shared" si="328"/>
        <v/>
      </c>
      <c r="AQ415" s="21" t="str">
        <f t="shared" si="329"/>
        <v>Apprenant 403</v>
      </c>
      <c r="AR415" s="49" t="str">
        <f>IF(AND('Choix pédagogiques'!$C$4&lt;&gt;"?",'Choix pédagogiques'!$C$5&lt;&gt;"?",W415&lt;&gt;""),(W415-'Choix pédagogiques'!$C$4)/('Choix pédagogiques'!$C$5-'Choix pédagogiques'!$C$4),"")</f>
        <v/>
      </c>
      <c r="AS415" s="49" t="str">
        <f>IF(AND('Choix pédagogiques'!$C$4&lt;&gt;"?",'Choix pédagogiques'!$C$5&lt;&gt;"?",X415&lt;&gt;""),(X415-'Choix pédagogiques'!$C$4)/('Choix pédagogiques'!$C$5-'Choix pédagogiques'!$C$4),"")</f>
        <v/>
      </c>
      <c r="AT415" s="49" t="str">
        <f>IF(AND('Choix pédagogiques'!$C$4&lt;&gt;"?",'Choix pédagogiques'!$C$5&lt;&gt;"?",Y415&lt;&gt;""),(Y415-'Choix pédagogiques'!$C$4)/('Choix pédagogiques'!$C$5-'Choix pédagogiques'!$C$4),"")</f>
        <v/>
      </c>
      <c r="AU415" s="22" t="str">
        <f t="shared" si="330"/>
        <v/>
      </c>
      <c r="AV415" s="21" t="str">
        <f t="shared" si="331"/>
        <v>Apprenant 403 ou 403'</v>
      </c>
      <c r="AW415" s="49" t="str">
        <f>IF(AND('Choix pédagogiques'!$C$4&lt;&gt;"?",'Choix pédagogiques'!$C$5&lt;&gt;"?",AB415&lt;&gt;""),(AB415-'Choix pédagogiques'!$C$4)/('Choix pédagogiques'!$C$5-'Choix pédagogiques'!$C$4),"")</f>
        <v/>
      </c>
      <c r="AX415" s="49" t="str">
        <f>IF(AND('Choix pédagogiques'!$C$4&lt;&gt;"?",'Choix pédagogiques'!$C$5&lt;&gt;"?",AC415&lt;&gt;""),(AC415-'Choix pédagogiques'!$C$4)/('Choix pédagogiques'!$C$5-'Choix pédagogiques'!$C$4),"")</f>
        <v/>
      </c>
      <c r="AY415" s="49" t="str">
        <f>IF(AND('Choix pédagogiques'!$C$4&lt;&gt;"?",'Choix pédagogiques'!$C$5&lt;&gt;"?",AD415&lt;&gt;""),(AD415-'Choix pédagogiques'!$C$4)/('Choix pédagogiques'!$C$5-'Choix pédagogiques'!$C$4),"")</f>
        <v/>
      </c>
      <c r="AZ415" s="22" t="str">
        <f t="shared" si="332"/>
        <v/>
      </c>
      <c r="BA415" s="21" t="str">
        <f t="shared" si="333"/>
        <v>Apprenant 403</v>
      </c>
      <c r="BB415" s="49" t="str">
        <f t="shared" si="305"/>
        <v/>
      </c>
      <c r="BC415" s="49" t="str">
        <f t="shared" si="306"/>
        <v/>
      </c>
      <c r="BD415" s="49" t="str">
        <f t="shared" si="307"/>
        <v/>
      </c>
      <c r="BE415" s="22" t="str">
        <f t="shared" si="334"/>
        <v/>
      </c>
      <c r="BF415" s="21" t="str">
        <f t="shared" si="335"/>
        <v>Apprenant 403 ou 403'</v>
      </c>
      <c r="BG415" s="49" t="str">
        <f t="shared" si="308"/>
        <v/>
      </c>
      <c r="BH415" s="49" t="str">
        <f t="shared" si="309"/>
        <v/>
      </c>
      <c r="BI415" s="49" t="str">
        <f t="shared" si="310"/>
        <v/>
      </c>
      <c r="BJ415" s="22" t="str">
        <f t="shared" si="336"/>
        <v/>
      </c>
      <c r="BL415" s="21"/>
      <c r="BM415" s="21" t="str">
        <f>IF(OR(COUNT(B415:D1414)=0,AND('Choix pédagogiques'!$C$3&lt;&gt;1,'Choix pédagogiques'!$C$3&lt;&gt;2)),"",IF(AND(OR('Choix pédagogiques'!$C$3=1,'Choix pédagogiques'!$C$3=2),$B415&lt;&gt;"",$C415&lt;&gt;"",$D415&lt;&gt;""),1,0))</f>
        <v/>
      </c>
      <c r="BN415" s="21" t="str">
        <f>IF(OR(COUNT(G415:I1414)=0,AND('Choix pédagogiques'!$C$3&lt;&gt;1,'Choix pédagogiques'!$C$3&lt;&gt;2)),"",IF(AND(OR('Choix pédagogiques'!$C$3=1,'Choix pédagogiques'!$C$3=2),AND($G415&lt;&gt;"",$H415&lt;&gt;"",$I415&lt;&gt;"")),1,0))</f>
        <v/>
      </c>
      <c r="BO415" s="21" t="str">
        <f>IF(OR(COUNT(B415:D1414)=0,COUNT(G415:I1414)=0,'Choix pédagogiques'!C$3&lt;&gt;3),"",IF(AND('Choix pédagogiques'!$C$3=3,$B415&lt;&gt;"",$C415&lt;&gt;"",$D415&lt;&gt;"",$G415&lt;&gt;"",$H415&lt;&gt;"",$I415&lt;&gt;""),1,0))</f>
        <v/>
      </c>
      <c r="BR415" s="21">
        <v>376</v>
      </c>
      <c r="BS415" s="21">
        <v>1249</v>
      </c>
      <c r="BT415"/>
    </row>
    <row r="416" spans="1:72" s="23" customFormat="1" ht="18" customHeight="1" x14ac:dyDescent="0.3">
      <c r="A416" s="35" t="s">
        <v>406</v>
      </c>
      <c r="B416" s="37"/>
      <c r="C416" s="37"/>
      <c r="D416" s="37"/>
      <c r="E416" s="37"/>
      <c r="F416" s="35" t="s">
        <v>1414</v>
      </c>
      <c r="G416" s="37"/>
      <c r="H416" s="37"/>
      <c r="I416" s="37"/>
      <c r="J416" s="37"/>
      <c r="K416" s="21" t="str">
        <f t="shared" si="311"/>
        <v>Apprenant 404</v>
      </c>
      <c r="L416" s="22" t="str">
        <f t="shared" si="312"/>
        <v/>
      </c>
      <c r="M416" s="22" t="str">
        <f t="shared" si="313"/>
        <v/>
      </c>
      <c r="N416" s="22" t="str">
        <f t="shared" si="314"/>
        <v/>
      </c>
      <c r="O416" s="22" t="str">
        <f t="shared" si="315"/>
        <v/>
      </c>
      <c r="P416" s="21" t="str">
        <f t="shared" si="316"/>
        <v>Apprenant 404 ou 404'</v>
      </c>
      <c r="Q416" s="22" t="str">
        <f t="shared" si="317"/>
        <v/>
      </c>
      <c r="R416" s="22" t="str">
        <f t="shared" si="318"/>
        <v/>
      </c>
      <c r="S416" s="22" t="str">
        <f t="shared" si="319"/>
        <v/>
      </c>
      <c r="T416" s="22" t="str">
        <f t="shared" si="320"/>
        <v/>
      </c>
      <c r="V416" s="21" t="str">
        <f t="shared" si="321"/>
        <v>Apprenant 404</v>
      </c>
      <c r="W416" s="22" t="str">
        <f>IF(AND(OR('Choix pédagogiques'!$C$3=1,'Choix pédagogiques'!$C$3=2),$BM416=1),B416,IF(AND('Choix pédagogiques'!$C$3=3,$BO416=1),B416,""))</f>
        <v/>
      </c>
      <c r="X416" s="22" t="str">
        <f>IF(AND(OR('Choix pédagogiques'!$C$3=1,'Choix pédagogiques'!$C$3=2),$BM416=1),C416,IF(AND('Choix pédagogiques'!$C$3=3,$BO416=1),C416,""))</f>
        <v/>
      </c>
      <c r="Y416" s="22" t="str">
        <f>IF(AND(OR('Choix pédagogiques'!$C$3=1,'Choix pédagogiques'!$C$3=2),$BM416=1),D416,IF(AND('Choix pédagogiques'!$C$3=3,$BO416=1),D416,""))</f>
        <v/>
      </c>
      <c r="Z416" s="22" t="str">
        <f t="shared" si="322"/>
        <v/>
      </c>
      <c r="AA416" s="21" t="str">
        <f t="shared" si="323"/>
        <v>Apprenant 404 ou 404'</v>
      </c>
      <c r="AB416" s="22" t="str">
        <f>IF(AND(OR('Choix pédagogiques'!$C$3=1,'Choix pédagogiques'!$C$3=2),$BN416=1),G416,IF(AND('Choix pédagogiques'!$C$3=3,$BO416=1),G416,""))</f>
        <v/>
      </c>
      <c r="AC416" s="22" t="str">
        <f>IF(AND(OR('Choix pédagogiques'!$C$3=1,'Choix pédagogiques'!$C$3=2),$BN416=1),H416,IF(AND('Choix pédagogiques'!$C$3=3,$BO416=1),H416,""))</f>
        <v/>
      </c>
      <c r="AD416" s="22" t="str">
        <f>IF(AND(OR('Choix pédagogiques'!$C$3=1,'Choix pédagogiques'!$C$3=2),$BN416=1),I416,IF(AND('Choix pédagogiques'!$C$3=3,$BO416=1),I416,""))</f>
        <v/>
      </c>
      <c r="AE416" s="22" t="str">
        <f t="shared" si="324"/>
        <v/>
      </c>
      <c r="AF416" s="21" t="str">
        <f t="shared" si="325"/>
        <v>Apprenant 404</v>
      </c>
      <c r="AG416" s="22" t="str">
        <f t="shared" si="299"/>
        <v/>
      </c>
      <c r="AH416" s="22" t="str">
        <f t="shared" si="300"/>
        <v/>
      </c>
      <c r="AI416" s="22" t="str">
        <f t="shared" si="301"/>
        <v/>
      </c>
      <c r="AJ416" s="22" t="str">
        <f t="shared" si="326"/>
        <v/>
      </c>
      <c r="AK416" s="21" t="str">
        <f t="shared" si="327"/>
        <v>Apprenant 404 ou 404'</v>
      </c>
      <c r="AL416" s="22" t="str">
        <f t="shared" si="302"/>
        <v/>
      </c>
      <c r="AM416" s="22" t="str">
        <f t="shared" si="303"/>
        <v/>
      </c>
      <c r="AN416" s="22" t="str">
        <f t="shared" si="304"/>
        <v/>
      </c>
      <c r="AO416" s="22" t="str">
        <f t="shared" si="328"/>
        <v/>
      </c>
      <c r="AQ416" s="21" t="str">
        <f t="shared" si="329"/>
        <v>Apprenant 404</v>
      </c>
      <c r="AR416" s="49" t="str">
        <f>IF(AND('Choix pédagogiques'!$C$4&lt;&gt;"?",'Choix pédagogiques'!$C$5&lt;&gt;"?",W416&lt;&gt;""),(W416-'Choix pédagogiques'!$C$4)/('Choix pédagogiques'!$C$5-'Choix pédagogiques'!$C$4),"")</f>
        <v/>
      </c>
      <c r="AS416" s="49" t="str">
        <f>IF(AND('Choix pédagogiques'!$C$4&lt;&gt;"?",'Choix pédagogiques'!$C$5&lt;&gt;"?",X416&lt;&gt;""),(X416-'Choix pédagogiques'!$C$4)/('Choix pédagogiques'!$C$5-'Choix pédagogiques'!$C$4),"")</f>
        <v/>
      </c>
      <c r="AT416" s="49" t="str">
        <f>IF(AND('Choix pédagogiques'!$C$4&lt;&gt;"?",'Choix pédagogiques'!$C$5&lt;&gt;"?",Y416&lt;&gt;""),(Y416-'Choix pédagogiques'!$C$4)/('Choix pédagogiques'!$C$5-'Choix pédagogiques'!$C$4),"")</f>
        <v/>
      </c>
      <c r="AU416" s="22" t="str">
        <f t="shared" si="330"/>
        <v/>
      </c>
      <c r="AV416" s="21" t="str">
        <f t="shared" si="331"/>
        <v>Apprenant 404 ou 404'</v>
      </c>
      <c r="AW416" s="49" t="str">
        <f>IF(AND('Choix pédagogiques'!$C$4&lt;&gt;"?",'Choix pédagogiques'!$C$5&lt;&gt;"?",AB416&lt;&gt;""),(AB416-'Choix pédagogiques'!$C$4)/('Choix pédagogiques'!$C$5-'Choix pédagogiques'!$C$4),"")</f>
        <v/>
      </c>
      <c r="AX416" s="49" t="str">
        <f>IF(AND('Choix pédagogiques'!$C$4&lt;&gt;"?",'Choix pédagogiques'!$C$5&lt;&gt;"?",AC416&lt;&gt;""),(AC416-'Choix pédagogiques'!$C$4)/('Choix pédagogiques'!$C$5-'Choix pédagogiques'!$C$4),"")</f>
        <v/>
      </c>
      <c r="AY416" s="49" t="str">
        <f>IF(AND('Choix pédagogiques'!$C$4&lt;&gt;"?",'Choix pédagogiques'!$C$5&lt;&gt;"?",AD416&lt;&gt;""),(AD416-'Choix pédagogiques'!$C$4)/('Choix pédagogiques'!$C$5-'Choix pédagogiques'!$C$4),"")</f>
        <v/>
      </c>
      <c r="AZ416" s="22" t="str">
        <f t="shared" si="332"/>
        <v/>
      </c>
      <c r="BA416" s="21" t="str">
        <f t="shared" si="333"/>
        <v>Apprenant 404</v>
      </c>
      <c r="BB416" s="49" t="str">
        <f t="shared" si="305"/>
        <v/>
      </c>
      <c r="BC416" s="49" t="str">
        <f t="shared" si="306"/>
        <v/>
      </c>
      <c r="BD416" s="49" t="str">
        <f t="shared" si="307"/>
        <v/>
      </c>
      <c r="BE416" s="22" t="str">
        <f t="shared" si="334"/>
        <v/>
      </c>
      <c r="BF416" s="21" t="str">
        <f t="shared" si="335"/>
        <v>Apprenant 404 ou 404'</v>
      </c>
      <c r="BG416" s="49" t="str">
        <f t="shared" si="308"/>
        <v/>
      </c>
      <c r="BH416" s="49" t="str">
        <f t="shared" si="309"/>
        <v/>
      </c>
      <c r="BI416" s="49" t="str">
        <f t="shared" si="310"/>
        <v/>
      </c>
      <c r="BJ416" s="22" t="str">
        <f t="shared" si="336"/>
        <v/>
      </c>
      <c r="BL416" s="21"/>
      <c r="BM416" s="21" t="str">
        <f>IF(OR(COUNT(B416:D1415)=0,AND('Choix pédagogiques'!$C$3&lt;&gt;1,'Choix pédagogiques'!$C$3&lt;&gt;2)),"",IF(AND(OR('Choix pédagogiques'!$C$3=1,'Choix pédagogiques'!$C$3=2),$B416&lt;&gt;"",$C416&lt;&gt;"",$D416&lt;&gt;""),1,0))</f>
        <v/>
      </c>
      <c r="BN416" s="21" t="str">
        <f>IF(OR(COUNT(G416:I1415)=0,AND('Choix pédagogiques'!$C$3&lt;&gt;1,'Choix pédagogiques'!$C$3&lt;&gt;2)),"",IF(AND(OR('Choix pédagogiques'!$C$3=1,'Choix pédagogiques'!$C$3=2),AND($G416&lt;&gt;"",$H416&lt;&gt;"",$I416&lt;&gt;"")),1,0))</f>
        <v/>
      </c>
      <c r="BO416" s="21" t="str">
        <f>IF(OR(COUNT(B416:D1415)=0,COUNT(G416:I1415)=0,'Choix pédagogiques'!C$3&lt;&gt;3),"",IF(AND('Choix pédagogiques'!$C$3=3,$B416&lt;&gt;"",$C416&lt;&gt;"",$D416&lt;&gt;"",$G416&lt;&gt;"",$H416&lt;&gt;"",$I416&lt;&gt;""),1,0))</f>
        <v/>
      </c>
      <c r="BR416" s="21">
        <v>187</v>
      </c>
      <c r="BS416" s="21">
        <v>1065</v>
      </c>
      <c r="BT416"/>
    </row>
    <row r="417" spans="1:72" s="23" customFormat="1" ht="18" customHeight="1" x14ac:dyDescent="0.3">
      <c r="A417" s="35" t="s">
        <v>407</v>
      </c>
      <c r="B417" s="37"/>
      <c r="C417" s="37"/>
      <c r="D417" s="37"/>
      <c r="E417" s="37"/>
      <c r="F417" s="35" t="s">
        <v>1415</v>
      </c>
      <c r="G417" s="37"/>
      <c r="H417" s="37"/>
      <c r="I417" s="37"/>
      <c r="J417" s="37"/>
      <c r="K417" s="21" t="str">
        <f t="shared" si="311"/>
        <v>Apprenant 405</v>
      </c>
      <c r="L417" s="22" t="str">
        <f t="shared" si="312"/>
        <v/>
      </c>
      <c r="M417" s="22" t="str">
        <f t="shared" si="313"/>
        <v/>
      </c>
      <c r="N417" s="22" t="str">
        <f t="shared" si="314"/>
        <v/>
      </c>
      <c r="O417" s="22" t="str">
        <f t="shared" si="315"/>
        <v/>
      </c>
      <c r="P417" s="21" t="str">
        <f t="shared" si="316"/>
        <v>Apprenant 405 ou 405'</v>
      </c>
      <c r="Q417" s="22" t="str">
        <f t="shared" si="317"/>
        <v/>
      </c>
      <c r="R417" s="22" t="str">
        <f t="shared" si="318"/>
        <v/>
      </c>
      <c r="S417" s="22" t="str">
        <f t="shared" si="319"/>
        <v/>
      </c>
      <c r="T417" s="22" t="str">
        <f t="shared" si="320"/>
        <v/>
      </c>
      <c r="V417" s="21" t="str">
        <f t="shared" si="321"/>
        <v>Apprenant 405</v>
      </c>
      <c r="W417" s="22" t="str">
        <f>IF(AND(OR('Choix pédagogiques'!$C$3=1,'Choix pédagogiques'!$C$3=2),$BM417=1),B417,IF(AND('Choix pédagogiques'!$C$3=3,$BO417=1),B417,""))</f>
        <v/>
      </c>
      <c r="X417" s="22" t="str">
        <f>IF(AND(OR('Choix pédagogiques'!$C$3=1,'Choix pédagogiques'!$C$3=2),$BM417=1),C417,IF(AND('Choix pédagogiques'!$C$3=3,$BO417=1),C417,""))</f>
        <v/>
      </c>
      <c r="Y417" s="22" t="str">
        <f>IF(AND(OR('Choix pédagogiques'!$C$3=1,'Choix pédagogiques'!$C$3=2),$BM417=1),D417,IF(AND('Choix pédagogiques'!$C$3=3,$BO417=1),D417,""))</f>
        <v/>
      </c>
      <c r="Z417" s="22" t="str">
        <f t="shared" si="322"/>
        <v/>
      </c>
      <c r="AA417" s="21" t="str">
        <f t="shared" si="323"/>
        <v>Apprenant 405 ou 405'</v>
      </c>
      <c r="AB417" s="22" t="str">
        <f>IF(AND(OR('Choix pédagogiques'!$C$3=1,'Choix pédagogiques'!$C$3=2),$BN417=1),G417,IF(AND('Choix pédagogiques'!$C$3=3,$BO417=1),G417,""))</f>
        <v/>
      </c>
      <c r="AC417" s="22" t="str">
        <f>IF(AND(OR('Choix pédagogiques'!$C$3=1,'Choix pédagogiques'!$C$3=2),$BN417=1),H417,IF(AND('Choix pédagogiques'!$C$3=3,$BO417=1),H417,""))</f>
        <v/>
      </c>
      <c r="AD417" s="22" t="str">
        <f>IF(AND(OR('Choix pédagogiques'!$C$3=1,'Choix pédagogiques'!$C$3=2),$BN417=1),I417,IF(AND('Choix pédagogiques'!$C$3=3,$BO417=1),I417,""))</f>
        <v/>
      </c>
      <c r="AE417" s="22" t="str">
        <f t="shared" si="324"/>
        <v/>
      </c>
      <c r="AF417" s="21" t="str">
        <f t="shared" si="325"/>
        <v>Apprenant 405</v>
      </c>
      <c r="AG417" s="22" t="str">
        <f t="shared" si="299"/>
        <v/>
      </c>
      <c r="AH417" s="22" t="str">
        <f t="shared" si="300"/>
        <v/>
      </c>
      <c r="AI417" s="22" t="str">
        <f t="shared" si="301"/>
        <v/>
      </c>
      <c r="AJ417" s="22" t="str">
        <f t="shared" si="326"/>
        <v/>
      </c>
      <c r="AK417" s="21" t="str">
        <f t="shared" si="327"/>
        <v>Apprenant 405 ou 405'</v>
      </c>
      <c r="AL417" s="22" t="str">
        <f t="shared" si="302"/>
        <v/>
      </c>
      <c r="AM417" s="22" t="str">
        <f t="shared" si="303"/>
        <v/>
      </c>
      <c r="AN417" s="22" t="str">
        <f t="shared" si="304"/>
        <v/>
      </c>
      <c r="AO417" s="22" t="str">
        <f t="shared" si="328"/>
        <v/>
      </c>
      <c r="AQ417" s="21" t="str">
        <f t="shared" si="329"/>
        <v>Apprenant 405</v>
      </c>
      <c r="AR417" s="49" t="str">
        <f>IF(AND('Choix pédagogiques'!$C$4&lt;&gt;"?",'Choix pédagogiques'!$C$5&lt;&gt;"?",W417&lt;&gt;""),(W417-'Choix pédagogiques'!$C$4)/('Choix pédagogiques'!$C$5-'Choix pédagogiques'!$C$4),"")</f>
        <v/>
      </c>
      <c r="AS417" s="49" t="str">
        <f>IF(AND('Choix pédagogiques'!$C$4&lt;&gt;"?",'Choix pédagogiques'!$C$5&lt;&gt;"?",X417&lt;&gt;""),(X417-'Choix pédagogiques'!$C$4)/('Choix pédagogiques'!$C$5-'Choix pédagogiques'!$C$4),"")</f>
        <v/>
      </c>
      <c r="AT417" s="49" t="str">
        <f>IF(AND('Choix pédagogiques'!$C$4&lt;&gt;"?",'Choix pédagogiques'!$C$5&lt;&gt;"?",Y417&lt;&gt;""),(Y417-'Choix pédagogiques'!$C$4)/('Choix pédagogiques'!$C$5-'Choix pédagogiques'!$C$4),"")</f>
        <v/>
      </c>
      <c r="AU417" s="22" t="str">
        <f t="shared" si="330"/>
        <v/>
      </c>
      <c r="AV417" s="21" t="str">
        <f t="shared" si="331"/>
        <v>Apprenant 405 ou 405'</v>
      </c>
      <c r="AW417" s="49" t="str">
        <f>IF(AND('Choix pédagogiques'!$C$4&lt;&gt;"?",'Choix pédagogiques'!$C$5&lt;&gt;"?",AB417&lt;&gt;""),(AB417-'Choix pédagogiques'!$C$4)/('Choix pédagogiques'!$C$5-'Choix pédagogiques'!$C$4),"")</f>
        <v/>
      </c>
      <c r="AX417" s="49" t="str">
        <f>IF(AND('Choix pédagogiques'!$C$4&lt;&gt;"?",'Choix pédagogiques'!$C$5&lt;&gt;"?",AC417&lt;&gt;""),(AC417-'Choix pédagogiques'!$C$4)/('Choix pédagogiques'!$C$5-'Choix pédagogiques'!$C$4),"")</f>
        <v/>
      </c>
      <c r="AY417" s="49" t="str">
        <f>IF(AND('Choix pédagogiques'!$C$4&lt;&gt;"?",'Choix pédagogiques'!$C$5&lt;&gt;"?",AD417&lt;&gt;""),(AD417-'Choix pédagogiques'!$C$4)/('Choix pédagogiques'!$C$5-'Choix pédagogiques'!$C$4),"")</f>
        <v/>
      </c>
      <c r="AZ417" s="22" t="str">
        <f t="shared" si="332"/>
        <v/>
      </c>
      <c r="BA417" s="21" t="str">
        <f t="shared" si="333"/>
        <v>Apprenant 405</v>
      </c>
      <c r="BB417" s="49" t="str">
        <f t="shared" si="305"/>
        <v/>
      </c>
      <c r="BC417" s="49" t="str">
        <f t="shared" si="306"/>
        <v/>
      </c>
      <c r="BD417" s="49" t="str">
        <f t="shared" si="307"/>
        <v/>
      </c>
      <c r="BE417" s="22" t="str">
        <f t="shared" si="334"/>
        <v/>
      </c>
      <c r="BF417" s="21" t="str">
        <f t="shared" si="335"/>
        <v>Apprenant 405 ou 405'</v>
      </c>
      <c r="BG417" s="49" t="str">
        <f t="shared" si="308"/>
        <v/>
      </c>
      <c r="BH417" s="49" t="str">
        <f t="shared" si="309"/>
        <v/>
      </c>
      <c r="BI417" s="49" t="str">
        <f t="shared" si="310"/>
        <v/>
      </c>
      <c r="BJ417" s="22" t="str">
        <f t="shared" si="336"/>
        <v/>
      </c>
      <c r="BL417" s="21"/>
      <c r="BM417" s="21" t="str">
        <f>IF(OR(COUNT(B417:D1416)=0,AND('Choix pédagogiques'!$C$3&lt;&gt;1,'Choix pédagogiques'!$C$3&lt;&gt;2)),"",IF(AND(OR('Choix pédagogiques'!$C$3=1,'Choix pédagogiques'!$C$3=2),$B417&lt;&gt;"",$C417&lt;&gt;"",$D417&lt;&gt;""),1,0))</f>
        <v/>
      </c>
      <c r="BN417" s="21" t="str">
        <f>IF(OR(COUNT(G417:I1416)=0,AND('Choix pédagogiques'!$C$3&lt;&gt;1,'Choix pédagogiques'!$C$3&lt;&gt;2)),"",IF(AND(OR('Choix pédagogiques'!$C$3=1,'Choix pédagogiques'!$C$3=2),AND($G417&lt;&gt;"",$H417&lt;&gt;"",$I417&lt;&gt;"")),1,0))</f>
        <v/>
      </c>
      <c r="BO417" s="21" t="str">
        <f>IF(OR(COUNT(B417:D1416)=0,COUNT(G417:I1416)=0,'Choix pédagogiques'!C$3&lt;&gt;3),"",IF(AND('Choix pédagogiques'!$C$3=3,$B417&lt;&gt;"",$C417&lt;&gt;"",$D417&lt;&gt;"",$G417&lt;&gt;"",$H417&lt;&gt;"",$I417&lt;&gt;""),1,0))</f>
        <v/>
      </c>
      <c r="BR417" s="21">
        <v>27</v>
      </c>
      <c r="BS417" s="21">
        <v>1348</v>
      </c>
      <c r="BT417"/>
    </row>
    <row r="418" spans="1:72" s="23" customFormat="1" ht="18" customHeight="1" x14ac:dyDescent="0.3">
      <c r="A418" s="35" t="s">
        <v>408</v>
      </c>
      <c r="B418" s="37"/>
      <c r="C418" s="37"/>
      <c r="D418" s="37"/>
      <c r="E418" s="37"/>
      <c r="F418" s="35" t="s">
        <v>1416</v>
      </c>
      <c r="G418" s="37"/>
      <c r="H418" s="37"/>
      <c r="I418" s="37"/>
      <c r="J418" s="37"/>
      <c r="K418" s="21" t="str">
        <f t="shared" si="311"/>
        <v>Apprenant 406</v>
      </c>
      <c r="L418" s="22" t="str">
        <f t="shared" si="312"/>
        <v/>
      </c>
      <c r="M418" s="22" t="str">
        <f t="shared" si="313"/>
        <v/>
      </c>
      <c r="N418" s="22" t="str">
        <f t="shared" si="314"/>
        <v/>
      </c>
      <c r="O418" s="22" t="str">
        <f t="shared" si="315"/>
        <v/>
      </c>
      <c r="P418" s="21" t="str">
        <f t="shared" si="316"/>
        <v>Apprenant 406 ou 406'</v>
      </c>
      <c r="Q418" s="22" t="str">
        <f t="shared" si="317"/>
        <v/>
      </c>
      <c r="R418" s="22" t="str">
        <f t="shared" si="318"/>
        <v/>
      </c>
      <c r="S418" s="22" t="str">
        <f t="shared" si="319"/>
        <v/>
      </c>
      <c r="T418" s="22" t="str">
        <f t="shared" si="320"/>
        <v/>
      </c>
      <c r="V418" s="21" t="str">
        <f t="shared" si="321"/>
        <v>Apprenant 406</v>
      </c>
      <c r="W418" s="22" t="str">
        <f>IF(AND(OR('Choix pédagogiques'!$C$3=1,'Choix pédagogiques'!$C$3=2),$BM418=1),B418,IF(AND('Choix pédagogiques'!$C$3=3,$BO418=1),B418,""))</f>
        <v/>
      </c>
      <c r="X418" s="22" t="str">
        <f>IF(AND(OR('Choix pédagogiques'!$C$3=1,'Choix pédagogiques'!$C$3=2),$BM418=1),C418,IF(AND('Choix pédagogiques'!$C$3=3,$BO418=1),C418,""))</f>
        <v/>
      </c>
      <c r="Y418" s="22" t="str">
        <f>IF(AND(OR('Choix pédagogiques'!$C$3=1,'Choix pédagogiques'!$C$3=2),$BM418=1),D418,IF(AND('Choix pédagogiques'!$C$3=3,$BO418=1),D418,""))</f>
        <v/>
      </c>
      <c r="Z418" s="22" t="str">
        <f t="shared" si="322"/>
        <v/>
      </c>
      <c r="AA418" s="21" t="str">
        <f t="shared" si="323"/>
        <v>Apprenant 406 ou 406'</v>
      </c>
      <c r="AB418" s="22" t="str">
        <f>IF(AND(OR('Choix pédagogiques'!$C$3=1,'Choix pédagogiques'!$C$3=2),$BN418=1),G418,IF(AND('Choix pédagogiques'!$C$3=3,$BO418=1),G418,""))</f>
        <v/>
      </c>
      <c r="AC418" s="22" t="str">
        <f>IF(AND(OR('Choix pédagogiques'!$C$3=1,'Choix pédagogiques'!$C$3=2),$BN418=1),H418,IF(AND('Choix pédagogiques'!$C$3=3,$BO418=1),H418,""))</f>
        <v/>
      </c>
      <c r="AD418" s="22" t="str">
        <f>IF(AND(OR('Choix pédagogiques'!$C$3=1,'Choix pédagogiques'!$C$3=2),$BN418=1),I418,IF(AND('Choix pédagogiques'!$C$3=3,$BO418=1),I418,""))</f>
        <v/>
      </c>
      <c r="AE418" s="22" t="str">
        <f t="shared" si="324"/>
        <v/>
      </c>
      <c r="AF418" s="21" t="str">
        <f t="shared" si="325"/>
        <v>Apprenant 406</v>
      </c>
      <c r="AG418" s="22" t="str">
        <f t="shared" si="299"/>
        <v/>
      </c>
      <c r="AH418" s="22" t="str">
        <f t="shared" si="300"/>
        <v/>
      </c>
      <c r="AI418" s="22" t="str">
        <f t="shared" si="301"/>
        <v/>
      </c>
      <c r="AJ418" s="22" t="str">
        <f t="shared" si="326"/>
        <v/>
      </c>
      <c r="AK418" s="21" t="str">
        <f t="shared" si="327"/>
        <v>Apprenant 406 ou 406'</v>
      </c>
      <c r="AL418" s="22" t="str">
        <f t="shared" si="302"/>
        <v/>
      </c>
      <c r="AM418" s="22" t="str">
        <f t="shared" si="303"/>
        <v/>
      </c>
      <c r="AN418" s="22" t="str">
        <f t="shared" si="304"/>
        <v/>
      </c>
      <c r="AO418" s="22" t="str">
        <f t="shared" si="328"/>
        <v/>
      </c>
      <c r="AQ418" s="21" t="str">
        <f t="shared" si="329"/>
        <v>Apprenant 406</v>
      </c>
      <c r="AR418" s="49" t="str">
        <f>IF(AND('Choix pédagogiques'!$C$4&lt;&gt;"?",'Choix pédagogiques'!$C$5&lt;&gt;"?",W418&lt;&gt;""),(W418-'Choix pédagogiques'!$C$4)/('Choix pédagogiques'!$C$5-'Choix pédagogiques'!$C$4),"")</f>
        <v/>
      </c>
      <c r="AS418" s="49" t="str">
        <f>IF(AND('Choix pédagogiques'!$C$4&lt;&gt;"?",'Choix pédagogiques'!$C$5&lt;&gt;"?",X418&lt;&gt;""),(X418-'Choix pédagogiques'!$C$4)/('Choix pédagogiques'!$C$5-'Choix pédagogiques'!$C$4),"")</f>
        <v/>
      </c>
      <c r="AT418" s="49" t="str">
        <f>IF(AND('Choix pédagogiques'!$C$4&lt;&gt;"?",'Choix pédagogiques'!$C$5&lt;&gt;"?",Y418&lt;&gt;""),(Y418-'Choix pédagogiques'!$C$4)/('Choix pédagogiques'!$C$5-'Choix pédagogiques'!$C$4),"")</f>
        <v/>
      </c>
      <c r="AU418" s="22" t="str">
        <f t="shared" si="330"/>
        <v/>
      </c>
      <c r="AV418" s="21" t="str">
        <f t="shared" si="331"/>
        <v>Apprenant 406 ou 406'</v>
      </c>
      <c r="AW418" s="49" t="str">
        <f>IF(AND('Choix pédagogiques'!$C$4&lt;&gt;"?",'Choix pédagogiques'!$C$5&lt;&gt;"?",AB418&lt;&gt;""),(AB418-'Choix pédagogiques'!$C$4)/('Choix pédagogiques'!$C$5-'Choix pédagogiques'!$C$4),"")</f>
        <v/>
      </c>
      <c r="AX418" s="49" t="str">
        <f>IF(AND('Choix pédagogiques'!$C$4&lt;&gt;"?",'Choix pédagogiques'!$C$5&lt;&gt;"?",AC418&lt;&gt;""),(AC418-'Choix pédagogiques'!$C$4)/('Choix pédagogiques'!$C$5-'Choix pédagogiques'!$C$4),"")</f>
        <v/>
      </c>
      <c r="AY418" s="49" t="str">
        <f>IF(AND('Choix pédagogiques'!$C$4&lt;&gt;"?",'Choix pédagogiques'!$C$5&lt;&gt;"?",AD418&lt;&gt;""),(AD418-'Choix pédagogiques'!$C$4)/('Choix pédagogiques'!$C$5-'Choix pédagogiques'!$C$4),"")</f>
        <v/>
      </c>
      <c r="AZ418" s="22" t="str">
        <f t="shared" si="332"/>
        <v/>
      </c>
      <c r="BA418" s="21" t="str">
        <f t="shared" si="333"/>
        <v>Apprenant 406</v>
      </c>
      <c r="BB418" s="49" t="str">
        <f t="shared" si="305"/>
        <v/>
      </c>
      <c r="BC418" s="49" t="str">
        <f t="shared" si="306"/>
        <v/>
      </c>
      <c r="BD418" s="49" t="str">
        <f t="shared" si="307"/>
        <v/>
      </c>
      <c r="BE418" s="22" t="str">
        <f t="shared" si="334"/>
        <v/>
      </c>
      <c r="BF418" s="21" t="str">
        <f t="shared" si="335"/>
        <v>Apprenant 406 ou 406'</v>
      </c>
      <c r="BG418" s="49" t="str">
        <f t="shared" si="308"/>
        <v/>
      </c>
      <c r="BH418" s="49" t="str">
        <f t="shared" si="309"/>
        <v/>
      </c>
      <c r="BI418" s="49" t="str">
        <f t="shared" si="310"/>
        <v/>
      </c>
      <c r="BJ418" s="22" t="str">
        <f t="shared" si="336"/>
        <v/>
      </c>
      <c r="BL418" s="21"/>
      <c r="BM418" s="21" t="str">
        <f>IF(OR(COUNT(B418:D1417)=0,AND('Choix pédagogiques'!$C$3&lt;&gt;1,'Choix pédagogiques'!$C$3&lt;&gt;2)),"",IF(AND(OR('Choix pédagogiques'!$C$3=1,'Choix pédagogiques'!$C$3=2),$B418&lt;&gt;"",$C418&lt;&gt;"",$D418&lt;&gt;""),1,0))</f>
        <v/>
      </c>
      <c r="BN418" s="21" t="str">
        <f>IF(OR(COUNT(G418:I1417)=0,AND('Choix pédagogiques'!$C$3&lt;&gt;1,'Choix pédagogiques'!$C$3&lt;&gt;2)),"",IF(AND(OR('Choix pédagogiques'!$C$3=1,'Choix pédagogiques'!$C$3=2),AND($G418&lt;&gt;"",$H418&lt;&gt;"",$I418&lt;&gt;"")),1,0))</f>
        <v/>
      </c>
      <c r="BO418" s="21" t="str">
        <f>IF(OR(COUNT(B418:D1417)=0,COUNT(G418:I1417)=0,'Choix pédagogiques'!C$3&lt;&gt;3),"",IF(AND('Choix pédagogiques'!$C$3=3,$B418&lt;&gt;"",$C418&lt;&gt;"",$D418&lt;&gt;"",$G418&lt;&gt;"",$H418&lt;&gt;"",$I418&lt;&gt;""),1,0))</f>
        <v/>
      </c>
      <c r="BR418" s="21">
        <v>669</v>
      </c>
      <c r="BS418" s="21">
        <v>1742</v>
      </c>
      <c r="BT418"/>
    </row>
    <row r="419" spans="1:72" s="23" customFormat="1" ht="18" customHeight="1" x14ac:dyDescent="0.3">
      <c r="A419" s="35" t="s">
        <v>409</v>
      </c>
      <c r="B419" s="37"/>
      <c r="C419" s="37"/>
      <c r="D419" s="37"/>
      <c r="E419" s="37"/>
      <c r="F419" s="35" t="s">
        <v>1417</v>
      </c>
      <c r="G419" s="37"/>
      <c r="H419" s="37"/>
      <c r="I419" s="37"/>
      <c r="J419" s="37"/>
      <c r="K419" s="21" t="str">
        <f t="shared" si="311"/>
        <v>Apprenant 407</v>
      </c>
      <c r="L419" s="22" t="str">
        <f t="shared" si="312"/>
        <v/>
      </c>
      <c r="M419" s="22" t="str">
        <f t="shared" si="313"/>
        <v/>
      </c>
      <c r="N419" s="22" t="str">
        <f t="shared" si="314"/>
        <v/>
      </c>
      <c r="O419" s="22" t="str">
        <f t="shared" si="315"/>
        <v/>
      </c>
      <c r="P419" s="21" t="str">
        <f t="shared" si="316"/>
        <v>Apprenant 407 ou 407'</v>
      </c>
      <c r="Q419" s="22" t="str">
        <f t="shared" si="317"/>
        <v/>
      </c>
      <c r="R419" s="22" t="str">
        <f t="shared" si="318"/>
        <v/>
      </c>
      <c r="S419" s="22" t="str">
        <f t="shared" si="319"/>
        <v/>
      </c>
      <c r="T419" s="22" t="str">
        <f t="shared" si="320"/>
        <v/>
      </c>
      <c r="V419" s="21" t="str">
        <f t="shared" si="321"/>
        <v>Apprenant 407</v>
      </c>
      <c r="W419" s="22" t="str">
        <f>IF(AND(OR('Choix pédagogiques'!$C$3=1,'Choix pédagogiques'!$C$3=2),$BM419=1),B419,IF(AND('Choix pédagogiques'!$C$3=3,$BO419=1),B419,""))</f>
        <v/>
      </c>
      <c r="X419" s="22" t="str">
        <f>IF(AND(OR('Choix pédagogiques'!$C$3=1,'Choix pédagogiques'!$C$3=2),$BM419=1),C419,IF(AND('Choix pédagogiques'!$C$3=3,$BO419=1),C419,""))</f>
        <v/>
      </c>
      <c r="Y419" s="22" t="str">
        <f>IF(AND(OR('Choix pédagogiques'!$C$3=1,'Choix pédagogiques'!$C$3=2),$BM419=1),D419,IF(AND('Choix pédagogiques'!$C$3=3,$BO419=1),D419,""))</f>
        <v/>
      </c>
      <c r="Z419" s="22" t="str">
        <f t="shared" si="322"/>
        <v/>
      </c>
      <c r="AA419" s="21" t="str">
        <f t="shared" si="323"/>
        <v>Apprenant 407 ou 407'</v>
      </c>
      <c r="AB419" s="22" t="str">
        <f>IF(AND(OR('Choix pédagogiques'!$C$3=1,'Choix pédagogiques'!$C$3=2),$BN419=1),G419,IF(AND('Choix pédagogiques'!$C$3=3,$BO419=1),G419,""))</f>
        <v/>
      </c>
      <c r="AC419" s="22" t="str">
        <f>IF(AND(OR('Choix pédagogiques'!$C$3=1,'Choix pédagogiques'!$C$3=2),$BN419=1),H419,IF(AND('Choix pédagogiques'!$C$3=3,$BO419=1),H419,""))</f>
        <v/>
      </c>
      <c r="AD419" s="22" t="str">
        <f>IF(AND(OR('Choix pédagogiques'!$C$3=1,'Choix pédagogiques'!$C$3=2),$BN419=1),I419,IF(AND('Choix pédagogiques'!$C$3=3,$BO419=1),I419,""))</f>
        <v/>
      </c>
      <c r="AE419" s="22" t="str">
        <f t="shared" si="324"/>
        <v/>
      </c>
      <c r="AF419" s="21" t="str">
        <f t="shared" si="325"/>
        <v>Apprenant 407</v>
      </c>
      <c r="AG419" s="22" t="str">
        <f t="shared" si="299"/>
        <v/>
      </c>
      <c r="AH419" s="22" t="str">
        <f t="shared" si="300"/>
        <v/>
      </c>
      <c r="AI419" s="22" t="str">
        <f t="shared" si="301"/>
        <v/>
      </c>
      <c r="AJ419" s="22" t="str">
        <f t="shared" si="326"/>
        <v/>
      </c>
      <c r="AK419" s="21" t="str">
        <f t="shared" si="327"/>
        <v>Apprenant 407 ou 407'</v>
      </c>
      <c r="AL419" s="22" t="str">
        <f t="shared" si="302"/>
        <v/>
      </c>
      <c r="AM419" s="22" t="str">
        <f t="shared" si="303"/>
        <v/>
      </c>
      <c r="AN419" s="22" t="str">
        <f t="shared" si="304"/>
        <v/>
      </c>
      <c r="AO419" s="22" t="str">
        <f t="shared" si="328"/>
        <v/>
      </c>
      <c r="AQ419" s="21" t="str">
        <f t="shared" si="329"/>
        <v>Apprenant 407</v>
      </c>
      <c r="AR419" s="49" t="str">
        <f>IF(AND('Choix pédagogiques'!$C$4&lt;&gt;"?",'Choix pédagogiques'!$C$5&lt;&gt;"?",W419&lt;&gt;""),(W419-'Choix pédagogiques'!$C$4)/('Choix pédagogiques'!$C$5-'Choix pédagogiques'!$C$4),"")</f>
        <v/>
      </c>
      <c r="AS419" s="49" t="str">
        <f>IF(AND('Choix pédagogiques'!$C$4&lt;&gt;"?",'Choix pédagogiques'!$C$5&lt;&gt;"?",X419&lt;&gt;""),(X419-'Choix pédagogiques'!$C$4)/('Choix pédagogiques'!$C$5-'Choix pédagogiques'!$C$4),"")</f>
        <v/>
      </c>
      <c r="AT419" s="49" t="str">
        <f>IF(AND('Choix pédagogiques'!$C$4&lt;&gt;"?",'Choix pédagogiques'!$C$5&lt;&gt;"?",Y419&lt;&gt;""),(Y419-'Choix pédagogiques'!$C$4)/('Choix pédagogiques'!$C$5-'Choix pédagogiques'!$C$4),"")</f>
        <v/>
      </c>
      <c r="AU419" s="22" t="str">
        <f t="shared" si="330"/>
        <v/>
      </c>
      <c r="AV419" s="21" t="str">
        <f t="shared" si="331"/>
        <v>Apprenant 407 ou 407'</v>
      </c>
      <c r="AW419" s="49" t="str">
        <f>IF(AND('Choix pédagogiques'!$C$4&lt;&gt;"?",'Choix pédagogiques'!$C$5&lt;&gt;"?",AB419&lt;&gt;""),(AB419-'Choix pédagogiques'!$C$4)/('Choix pédagogiques'!$C$5-'Choix pédagogiques'!$C$4),"")</f>
        <v/>
      </c>
      <c r="AX419" s="49" t="str">
        <f>IF(AND('Choix pédagogiques'!$C$4&lt;&gt;"?",'Choix pédagogiques'!$C$5&lt;&gt;"?",AC419&lt;&gt;""),(AC419-'Choix pédagogiques'!$C$4)/('Choix pédagogiques'!$C$5-'Choix pédagogiques'!$C$4),"")</f>
        <v/>
      </c>
      <c r="AY419" s="49" t="str">
        <f>IF(AND('Choix pédagogiques'!$C$4&lt;&gt;"?",'Choix pédagogiques'!$C$5&lt;&gt;"?",AD419&lt;&gt;""),(AD419-'Choix pédagogiques'!$C$4)/('Choix pédagogiques'!$C$5-'Choix pédagogiques'!$C$4),"")</f>
        <v/>
      </c>
      <c r="AZ419" s="22" t="str">
        <f t="shared" si="332"/>
        <v/>
      </c>
      <c r="BA419" s="21" t="str">
        <f t="shared" si="333"/>
        <v>Apprenant 407</v>
      </c>
      <c r="BB419" s="49" t="str">
        <f t="shared" si="305"/>
        <v/>
      </c>
      <c r="BC419" s="49" t="str">
        <f t="shared" si="306"/>
        <v/>
      </c>
      <c r="BD419" s="49" t="str">
        <f t="shared" si="307"/>
        <v/>
      </c>
      <c r="BE419" s="22" t="str">
        <f t="shared" si="334"/>
        <v/>
      </c>
      <c r="BF419" s="21" t="str">
        <f t="shared" si="335"/>
        <v>Apprenant 407 ou 407'</v>
      </c>
      <c r="BG419" s="49" t="str">
        <f t="shared" si="308"/>
        <v/>
      </c>
      <c r="BH419" s="49" t="str">
        <f t="shared" si="309"/>
        <v/>
      </c>
      <c r="BI419" s="49" t="str">
        <f t="shared" si="310"/>
        <v/>
      </c>
      <c r="BJ419" s="22" t="str">
        <f t="shared" si="336"/>
        <v/>
      </c>
      <c r="BL419" s="21"/>
      <c r="BM419" s="21" t="str">
        <f>IF(OR(COUNT(B419:D1418)=0,AND('Choix pédagogiques'!$C$3&lt;&gt;1,'Choix pédagogiques'!$C$3&lt;&gt;2)),"",IF(AND(OR('Choix pédagogiques'!$C$3=1,'Choix pédagogiques'!$C$3=2),$B419&lt;&gt;"",$C419&lt;&gt;"",$D419&lt;&gt;""),1,0))</f>
        <v/>
      </c>
      <c r="BN419" s="21" t="str">
        <f>IF(OR(COUNT(G419:I1418)=0,AND('Choix pédagogiques'!$C$3&lt;&gt;1,'Choix pédagogiques'!$C$3&lt;&gt;2)),"",IF(AND(OR('Choix pédagogiques'!$C$3=1,'Choix pédagogiques'!$C$3=2),AND($G419&lt;&gt;"",$H419&lt;&gt;"",$I419&lt;&gt;"")),1,0))</f>
        <v/>
      </c>
      <c r="BO419" s="21" t="str">
        <f>IF(OR(COUNT(B419:D1418)=0,COUNT(G419:I1418)=0,'Choix pédagogiques'!C$3&lt;&gt;3),"",IF(AND('Choix pédagogiques'!$C$3=3,$B419&lt;&gt;"",$C419&lt;&gt;"",$D419&lt;&gt;"",$G419&lt;&gt;"",$H419&lt;&gt;"",$I419&lt;&gt;""),1,0))</f>
        <v/>
      </c>
      <c r="BR419" s="21">
        <v>378</v>
      </c>
      <c r="BS419" s="21">
        <v>1461</v>
      </c>
      <c r="BT419"/>
    </row>
    <row r="420" spans="1:72" s="23" customFormat="1" ht="18" customHeight="1" x14ac:dyDescent="0.3">
      <c r="A420" s="35" t="s">
        <v>410</v>
      </c>
      <c r="B420" s="37"/>
      <c r="C420" s="37"/>
      <c r="D420" s="37"/>
      <c r="E420" s="37"/>
      <c r="F420" s="35" t="s">
        <v>1418</v>
      </c>
      <c r="G420" s="37"/>
      <c r="H420" s="37"/>
      <c r="I420" s="37"/>
      <c r="J420" s="37"/>
      <c r="K420" s="21" t="str">
        <f t="shared" si="311"/>
        <v>Apprenant 408</v>
      </c>
      <c r="L420" s="22" t="str">
        <f t="shared" si="312"/>
        <v/>
      </c>
      <c r="M420" s="22" t="str">
        <f t="shared" si="313"/>
        <v/>
      </c>
      <c r="N420" s="22" t="str">
        <f t="shared" si="314"/>
        <v/>
      </c>
      <c r="O420" s="22" t="str">
        <f t="shared" si="315"/>
        <v/>
      </c>
      <c r="P420" s="21" t="str">
        <f t="shared" si="316"/>
        <v>Apprenant 408 ou 408'</v>
      </c>
      <c r="Q420" s="22" t="str">
        <f t="shared" si="317"/>
        <v/>
      </c>
      <c r="R420" s="22" t="str">
        <f t="shared" si="318"/>
        <v/>
      </c>
      <c r="S420" s="22" t="str">
        <f t="shared" si="319"/>
        <v/>
      </c>
      <c r="T420" s="22" t="str">
        <f t="shared" si="320"/>
        <v/>
      </c>
      <c r="V420" s="21" t="str">
        <f t="shared" si="321"/>
        <v>Apprenant 408</v>
      </c>
      <c r="W420" s="22" t="str">
        <f>IF(AND(OR('Choix pédagogiques'!$C$3=1,'Choix pédagogiques'!$C$3=2),$BM420=1),B420,IF(AND('Choix pédagogiques'!$C$3=3,$BO420=1),B420,""))</f>
        <v/>
      </c>
      <c r="X420" s="22" t="str">
        <f>IF(AND(OR('Choix pédagogiques'!$C$3=1,'Choix pédagogiques'!$C$3=2),$BM420=1),C420,IF(AND('Choix pédagogiques'!$C$3=3,$BO420=1),C420,""))</f>
        <v/>
      </c>
      <c r="Y420" s="22" t="str">
        <f>IF(AND(OR('Choix pédagogiques'!$C$3=1,'Choix pédagogiques'!$C$3=2),$BM420=1),D420,IF(AND('Choix pédagogiques'!$C$3=3,$BO420=1),D420,""))</f>
        <v/>
      </c>
      <c r="Z420" s="22" t="str">
        <f t="shared" si="322"/>
        <v/>
      </c>
      <c r="AA420" s="21" t="str">
        <f t="shared" si="323"/>
        <v>Apprenant 408 ou 408'</v>
      </c>
      <c r="AB420" s="22" t="str">
        <f>IF(AND(OR('Choix pédagogiques'!$C$3=1,'Choix pédagogiques'!$C$3=2),$BN420=1),G420,IF(AND('Choix pédagogiques'!$C$3=3,$BO420=1),G420,""))</f>
        <v/>
      </c>
      <c r="AC420" s="22" t="str">
        <f>IF(AND(OR('Choix pédagogiques'!$C$3=1,'Choix pédagogiques'!$C$3=2),$BN420=1),H420,IF(AND('Choix pédagogiques'!$C$3=3,$BO420=1),H420,""))</f>
        <v/>
      </c>
      <c r="AD420" s="22" t="str">
        <f>IF(AND(OR('Choix pédagogiques'!$C$3=1,'Choix pédagogiques'!$C$3=2),$BN420=1),I420,IF(AND('Choix pédagogiques'!$C$3=3,$BO420=1),I420,""))</f>
        <v/>
      </c>
      <c r="AE420" s="22" t="str">
        <f t="shared" si="324"/>
        <v/>
      </c>
      <c r="AF420" s="21" t="str">
        <f t="shared" si="325"/>
        <v>Apprenant 408</v>
      </c>
      <c r="AG420" s="22" t="str">
        <f t="shared" si="299"/>
        <v/>
      </c>
      <c r="AH420" s="22" t="str">
        <f t="shared" si="300"/>
        <v/>
      </c>
      <c r="AI420" s="22" t="str">
        <f t="shared" si="301"/>
        <v/>
      </c>
      <c r="AJ420" s="22" t="str">
        <f t="shared" si="326"/>
        <v/>
      </c>
      <c r="AK420" s="21" t="str">
        <f t="shared" si="327"/>
        <v>Apprenant 408 ou 408'</v>
      </c>
      <c r="AL420" s="22" t="str">
        <f t="shared" si="302"/>
        <v/>
      </c>
      <c r="AM420" s="22" t="str">
        <f t="shared" si="303"/>
        <v/>
      </c>
      <c r="AN420" s="22" t="str">
        <f t="shared" si="304"/>
        <v/>
      </c>
      <c r="AO420" s="22" t="str">
        <f t="shared" si="328"/>
        <v/>
      </c>
      <c r="AQ420" s="21" t="str">
        <f t="shared" si="329"/>
        <v>Apprenant 408</v>
      </c>
      <c r="AR420" s="49" t="str">
        <f>IF(AND('Choix pédagogiques'!$C$4&lt;&gt;"?",'Choix pédagogiques'!$C$5&lt;&gt;"?",W420&lt;&gt;""),(W420-'Choix pédagogiques'!$C$4)/('Choix pédagogiques'!$C$5-'Choix pédagogiques'!$C$4),"")</f>
        <v/>
      </c>
      <c r="AS420" s="49" t="str">
        <f>IF(AND('Choix pédagogiques'!$C$4&lt;&gt;"?",'Choix pédagogiques'!$C$5&lt;&gt;"?",X420&lt;&gt;""),(X420-'Choix pédagogiques'!$C$4)/('Choix pédagogiques'!$C$5-'Choix pédagogiques'!$C$4),"")</f>
        <v/>
      </c>
      <c r="AT420" s="49" t="str">
        <f>IF(AND('Choix pédagogiques'!$C$4&lt;&gt;"?",'Choix pédagogiques'!$C$5&lt;&gt;"?",Y420&lt;&gt;""),(Y420-'Choix pédagogiques'!$C$4)/('Choix pédagogiques'!$C$5-'Choix pédagogiques'!$C$4),"")</f>
        <v/>
      </c>
      <c r="AU420" s="22" t="str">
        <f t="shared" si="330"/>
        <v/>
      </c>
      <c r="AV420" s="21" t="str">
        <f t="shared" si="331"/>
        <v>Apprenant 408 ou 408'</v>
      </c>
      <c r="AW420" s="49" t="str">
        <f>IF(AND('Choix pédagogiques'!$C$4&lt;&gt;"?",'Choix pédagogiques'!$C$5&lt;&gt;"?",AB420&lt;&gt;""),(AB420-'Choix pédagogiques'!$C$4)/('Choix pédagogiques'!$C$5-'Choix pédagogiques'!$C$4),"")</f>
        <v/>
      </c>
      <c r="AX420" s="49" t="str">
        <f>IF(AND('Choix pédagogiques'!$C$4&lt;&gt;"?",'Choix pédagogiques'!$C$5&lt;&gt;"?",AC420&lt;&gt;""),(AC420-'Choix pédagogiques'!$C$4)/('Choix pédagogiques'!$C$5-'Choix pédagogiques'!$C$4),"")</f>
        <v/>
      </c>
      <c r="AY420" s="49" t="str">
        <f>IF(AND('Choix pédagogiques'!$C$4&lt;&gt;"?",'Choix pédagogiques'!$C$5&lt;&gt;"?",AD420&lt;&gt;""),(AD420-'Choix pédagogiques'!$C$4)/('Choix pédagogiques'!$C$5-'Choix pédagogiques'!$C$4),"")</f>
        <v/>
      </c>
      <c r="AZ420" s="22" t="str">
        <f t="shared" si="332"/>
        <v/>
      </c>
      <c r="BA420" s="21" t="str">
        <f t="shared" si="333"/>
        <v>Apprenant 408</v>
      </c>
      <c r="BB420" s="49" t="str">
        <f t="shared" si="305"/>
        <v/>
      </c>
      <c r="BC420" s="49" t="str">
        <f t="shared" si="306"/>
        <v/>
      </c>
      <c r="BD420" s="49" t="str">
        <f t="shared" si="307"/>
        <v/>
      </c>
      <c r="BE420" s="22" t="str">
        <f t="shared" si="334"/>
        <v/>
      </c>
      <c r="BF420" s="21" t="str">
        <f t="shared" si="335"/>
        <v>Apprenant 408 ou 408'</v>
      </c>
      <c r="BG420" s="49" t="str">
        <f t="shared" si="308"/>
        <v/>
      </c>
      <c r="BH420" s="49" t="str">
        <f t="shared" si="309"/>
        <v/>
      </c>
      <c r="BI420" s="49" t="str">
        <f t="shared" si="310"/>
        <v/>
      </c>
      <c r="BJ420" s="22" t="str">
        <f t="shared" si="336"/>
        <v/>
      </c>
      <c r="BL420" s="21"/>
      <c r="BM420" s="21" t="str">
        <f>IF(OR(COUNT(B420:D1419)=0,AND('Choix pédagogiques'!$C$3&lt;&gt;1,'Choix pédagogiques'!$C$3&lt;&gt;2)),"",IF(AND(OR('Choix pédagogiques'!$C$3=1,'Choix pédagogiques'!$C$3=2),$B420&lt;&gt;"",$C420&lt;&gt;"",$D420&lt;&gt;""),1,0))</f>
        <v/>
      </c>
      <c r="BN420" s="21" t="str">
        <f>IF(OR(COUNT(G420:I1419)=0,AND('Choix pédagogiques'!$C$3&lt;&gt;1,'Choix pédagogiques'!$C$3&lt;&gt;2)),"",IF(AND(OR('Choix pédagogiques'!$C$3=1,'Choix pédagogiques'!$C$3=2),AND($G420&lt;&gt;"",$H420&lt;&gt;"",$I420&lt;&gt;"")),1,0))</f>
        <v/>
      </c>
      <c r="BO420" s="21" t="str">
        <f>IF(OR(COUNT(B420:D1419)=0,COUNT(G420:I1419)=0,'Choix pédagogiques'!C$3&lt;&gt;3),"",IF(AND('Choix pédagogiques'!$C$3=3,$B420&lt;&gt;"",$C420&lt;&gt;"",$D420&lt;&gt;"",$G420&lt;&gt;"",$H420&lt;&gt;"",$I420&lt;&gt;""),1,0))</f>
        <v/>
      </c>
      <c r="BR420" s="21">
        <v>876</v>
      </c>
      <c r="BS420" s="21">
        <v>1046</v>
      </c>
      <c r="BT420"/>
    </row>
    <row r="421" spans="1:72" s="23" customFormat="1" ht="18" customHeight="1" x14ac:dyDescent="0.3">
      <c r="A421" s="35" t="s">
        <v>411</v>
      </c>
      <c r="B421" s="37"/>
      <c r="C421" s="37"/>
      <c r="D421" s="37"/>
      <c r="E421" s="37"/>
      <c r="F421" s="35" t="s">
        <v>1419</v>
      </c>
      <c r="G421" s="37"/>
      <c r="H421" s="37"/>
      <c r="I421" s="37"/>
      <c r="J421" s="37"/>
      <c r="K421" s="21" t="str">
        <f t="shared" si="311"/>
        <v>Apprenant 409</v>
      </c>
      <c r="L421" s="22" t="str">
        <f t="shared" si="312"/>
        <v/>
      </c>
      <c r="M421" s="22" t="str">
        <f t="shared" si="313"/>
        <v/>
      </c>
      <c r="N421" s="22" t="str">
        <f t="shared" si="314"/>
        <v/>
      </c>
      <c r="O421" s="22" t="str">
        <f t="shared" si="315"/>
        <v/>
      </c>
      <c r="P421" s="21" t="str">
        <f t="shared" si="316"/>
        <v>Apprenant 409 ou 409'</v>
      </c>
      <c r="Q421" s="22" t="str">
        <f t="shared" si="317"/>
        <v/>
      </c>
      <c r="R421" s="22" t="str">
        <f t="shared" si="318"/>
        <v/>
      </c>
      <c r="S421" s="22" t="str">
        <f t="shared" si="319"/>
        <v/>
      </c>
      <c r="T421" s="22" t="str">
        <f t="shared" si="320"/>
        <v/>
      </c>
      <c r="V421" s="21" t="str">
        <f t="shared" si="321"/>
        <v>Apprenant 409</v>
      </c>
      <c r="W421" s="22" t="str">
        <f>IF(AND(OR('Choix pédagogiques'!$C$3=1,'Choix pédagogiques'!$C$3=2),$BM421=1),B421,IF(AND('Choix pédagogiques'!$C$3=3,$BO421=1),B421,""))</f>
        <v/>
      </c>
      <c r="X421" s="22" t="str">
        <f>IF(AND(OR('Choix pédagogiques'!$C$3=1,'Choix pédagogiques'!$C$3=2),$BM421=1),C421,IF(AND('Choix pédagogiques'!$C$3=3,$BO421=1),C421,""))</f>
        <v/>
      </c>
      <c r="Y421" s="22" t="str">
        <f>IF(AND(OR('Choix pédagogiques'!$C$3=1,'Choix pédagogiques'!$C$3=2),$BM421=1),D421,IF(AND('Choix pédagogiques'!$C$3=3,$BO421=1),D421,""))</f>
        <v/>
      </c>
      <c r="Z421" s="22" t="str">
        <f t="shared" si="322"/>
        <v/>
      </c>
      <c r="AA421" s="21" t="str">
        <f t="shared" si="323"/>
        <v>Apprenant 409 ou 409'</v>
      </c>
      <c r="AB421" s="22" t="str">
        <f>IF(AND(OR('Choix pédagogiques'!$C$3=1,'Choix pédagogiques'!$C$3=2),$BN421=1),G421,IF(AND('Choix pédagogiques'!$C$3=3,$BO421=1),G421,""))</f>
        <v/>
      </c>
      <c r="AC421" s="22" t="str">
        <f>IF(AND(OR('Choix pédagogiques'!$C$3=1,'Choix pédagogiques'!$C$3=2),$BN421=1),H421,IF(AND('Choix pédagogiques'!$C$3=3,$BO421=1),H421,""))</f>
        <v/>
      </c>
      <c r="AD421" s="22" t="str">
        <f>IF(AND(OR('Choix pédagogiques'!$C$3=1,'Choix pédagogiques'!$C$3=2),$BN421=1),I421,IF(AND('Choix pédagogiques'!$C$3=3,$BO421=1),I421,""))</f>
        <v/>
      </c>
      <c r="AE421" s="22" t="str">
        <f t="shared" si="324"/>
        <v/>
      </c>
      <c r="AF421" s="21" t="str">
        <f t="shared" si="325"/>
        <v>Apprenant 409</v>
      </c>
      <c r="AG421" s="22" t="str">
        <f t="shared" si="299"/>
        <v/>
      </c>
      <c r="AH421" s="22" t="str">
        <f t="shared" si="300"/>
        <v/>
      </c>
      <c r="AI421" s="22" t="str">
        <f t="shared" si="301"/>
        <v/>
      </c>
      <c r="AJ421" s="22" t="str">
        <f t="shared" si="326"/>
        <v/>
      </c>
      <c r="AK421" s="21" t="str">
        <f t="shared" si="327"/>
        <v>Apprenant 409 ou 409'</v>
      </c>
      <c r="AL421" s="22" t="str">
        <f t="shared" si="302"/>
        <v/>
      </c>
      <c r="AM421" s="22" t="str">
        <f t="shared" si="303"/>
        <v/>
      </c>
      <c r="AN421" s="22" t="str">
        <f t="shared" si="304"/>
        <v/>
      </c>
      <c r="AO421" s="22" t="str">
        <f t="shared" si="328"/>
        <v/>
      </c>
      <c r="AQ421" s="21" t="str">
        <f t="shared" si="329"/>
        <v>Apprenant 409</v>
      </c>
      <c r="AR421" s="49" t="str">
        <f>IF(AND('Choix pédagogiques'!$C$4&lt;&gt;"?",'Choix pédagogiques'!$C$5&lt;&gt;"?",W421&lt;&gt;""),(W421-'Choix pédagogiques'!$C$4)/('Choix pédagogiques'!$C$5-'Choix pédagogiques'!$C$4),"")</f>
        <v/>
      </c>
      <c r="AS421" s="49" t="str">
        <f>IF(AND('Choix pédagogiques'!$C$4&lt;&gt;"?",'Choix pédagogiques'!$C$5&lt;&gt;"?",X421&lt;&gt;""),(X421-'Choix pédagogiques'!$C$4)/('Choix pédagogiques'!$C$5-'Choix pédagogiques'!$C$4),"")</f>
        <v/>
      </c>
      <c r="AT421" s="49" t="str">
        <f>IF(AND('Choix pédagogiques'!$C$4&lt;&gt;"?",'Choix pédagogiques'!$C$5&lt;&gt;"?",Y421&lt;&gt;""),(Y421-'Choix pédagogiques'!$C$4)/('Choix pédagogiques'!$C$5-'Choix pédagogiques'!$C$4),"")</f>
        <v/>
      </c>
      <c r="AU421" s="22" t="str">
        <f t="shared" si="330"/>
        <v/>
      </c>
      <c r="AV421" s="21" t="str">
        <f t="shared" si="331"/>
        <v>Apprenant 409 ou 409'</v>
      </c>
      <c r="AW421" s="49" t="str">
        <f>IF(AND('Choix pédagogiques'!$C$4&lt;&gt;"?",'Choix pédagogiques'!$C$5&lt;&gt;"?",AB421&lt;&gt;""),(AB421-'Choix pédagogiques'!$C$4)/('Choix pédagogiques'!$C$5-'Choix pédagogiques'!$C$4),"")</f>
        <v/>
      </c>
      <c r="AX421" s="49" t="str">
        <f>IF(AND('Choix pédagogiques'!$C$4&lt;&gt;"?",'Choix pédagogiques'!$C$5&lt;&gt;"?",AC421&lt;&gt;""),(AC421-'Choix pédagogiques'!$C$4)/('Choix pédagogiques'!$C$5-'Choix pédagogiques'!$C$4),"")</f>
        <v/>
      </c>
      <c r="AY421" s="49" t="str">
        <f>IF(AND('Choix pédagogiques'!$C$4&lt;&gt;"?",'Choix pédagogiques'!$C$5&lt;&gt;"?",AD421&lt;&gt;""),(AD421-'Choix pédagogiques'!$C$4)/('Choix pédagogiques'!$C$5-'Choix pédagogiques'!$C$4),"")</f>
        <v/>
      </c>
      <c r="AZ421" s="22" t="str">
        <f t="shared" si="332"/>
        <v/>
      </c>
      <c r="BA421" s="21" t="str">
        <f t="shared" si="333"/>
        <v>Apprenant 409</v>
      </c>
      <c r="BB421" s="49" t="str">
        <f t="shared" si="305"/>
        <v/>
      </c>
      <c r="BC421" s="49" t="str">
        <f t="shared" si="306"/>
        <v/>
      </c>
      <c r="BD421" s="49" t="str">
        <f t="shared" si="307"/>
        <v/>
      </c>
      <c r="BE421" s="22" t="str">
        <f t="shared" si="334"/>
        <v/>
      </c>
      <c r="BF421" s="21" t="str">
        <f t="shared" si="335"/>
        <v>Apprenant 409 ou 409'</v>
      </c>
      <c r="BG421" s="49" t="str">
        <f t="shared" si="308"/>
        <v/>
      </c>
      <c r="BH421" s="49" t="str">
        <f t="shared" si="309"/>
        <v/>
      </c>
      <c r="BI421" s="49" t="str">
        <f t="shared" si="310"/>
        <v/>
      </c>
      <c r="BJ421" s="22" t="str">
        <f t="shared" si="336"/>
        <v/>
      </c>
      <c r="BL421" s="21"/>
      <c r="BM421" s="21" t="str">
        <f>IF(OR(COUNT(B421:D1420)=0,AND('Choix pédagogiques'!$C$3&lt;&gt;1,'Choix pédagogiques'!$C$3&lt;&gt;2)),"",IF(AND(OR('Choix pédagogiques'!$C$3=1,'Choix pédagogiques'!$C$3=2),$B421&lt;&gt;"",$C421&lt;&gt;"",$D421&lt;&gt;""),1,0))</f>
        <v/>
      </c>
      <c r="BN421" s="21" t="str">
        <f>IF(OR(COUNT(G421:I1420)=0,AND('Choix pédagogiques'!$C$3&lt;&gt;1,'Choix pédagogiques'!$C$3&lt;&gt;2)),"",IF(AND(OR('Choix pédagogiques'!$C$3=1,'Choix pédagogiques'!$C$3=2),AND($G421&lt;&gt;"",$H421&lt;&gt;"",$I421&lt;&gt;"")),1,0))</f>
        <v/>
      </c>
      <c r="BO421" s="21" t="str">
        <f>IF(OR(COUNT(B421:D1420)=0,COUNT(G421:I1420)=0,'Choix pédagogiques'!C$3&lt;&gt;3),"",IF(AND('Choix pédagogiques'!$C$3=3,$B421&lt;&gt;"",$C421&lt;&gt;"",$D421&lt;&gt;"",$G421&lt;&gt;"",$H421&lt;&gt;"",$I421&lt;&gt;""),1,0))</f>
        <v/>
      </c>
      <c r="BR421" s="21">
        <v>612</v>
      </c>
      <c r="BS421" s="21">
        <v>1726</v>
      </c>
      <c r="BT421"/>
    </row>
    <row r="422" spans="1:72" s="23" customFormat="1" ht="18" customHeight="1" x14ac:dyDescent="0.3">
      <c r="A422" s="35" t="s">
        <v>412</v>
      </c>
      <c r="B422" s="37"/>
      <c r="C422" s="37"/>
      <c r="D422" s="37"/>
      <c r="E422" s="37"/>
      <c r="F422" s="35" t="s">
        <v>1420</v>
      </c>
      <c r="G422" s="37"/>
      <c r="H422" s="37"/>
      <c r="I422" s="37"/>
      <c r="J422" s="37"/>
      <c r="K422" s="21" t="str">
        <f t="shared" si="311"/>
        <v>Apprenant 410</v>
      </c>
      <c r="L422" s="22" t="str">
        <f t="shared" si="312"/>
        <v/>
      </c>
      <c r="M422" s="22" t="str">
        <f t="shared" si="313"/>
        <v/>
      </c>
      <c r="N422" s="22" t="str">
        <f t="shared" si="314"/>
        <v/>
      </c>
      <c r="O422" s="22" t="str">
        <f t="shared" si="315"/>
        <v/>
      </c>
      <c r="P422" s="21" t="str">
        <f t="shared" si="316"/>
        <v>Apprenant 410 ou 410'</v>
      </c>
      <c r="Q422" s="22" t="str">
        <f t="shared" si="317"/>
        <v/>
      </c>
      <c r="R422" s="22" t="str">
        <f t="shared" si="318"/>
        <v/>
      </c>
      <c r="S422" s="22" t="str">
        <f t="shared" si="319"/>
        <v/>
      </c>
      <c r="T422" s="22" t="str">
        <f t="shared" si="320"/>
        <v/>
      </c>
      <c r="V422" s="21" t="str">
        <f t="shared" si="321"/>
        <v>Apprenant 410</v>
      </c>
      <c r="W422" s="22" t="str">
        <f>IF(AND(OR('Choix pédagogiques'!$C$3=1,'Choix pédagogiques'!$C$3=2),$BM422=1),B422,IF(AND('Choix pédagogiques'!$C$3=3,$BO422=1),B422,""))</f>
        <v/>
      </c>
      <c r="X422" s="22" t="str">
        <f>IF(AND(OR('Choix pédagogiques'!$C$3=1,'Choix pédagogiques'!$C$3=2),$BM422=1),C422,IF(AND('Choix pédagogiques'!$C$3=3,$BO422=1),C422,""))</f>
        <v/>
      </c>
      <c r="Y422" s="22" t="str">
        <f>IF(AND(OR('Choix pédagogiques'!$C$3=1,'Choix pédagogiques'!$C$3=2),$BM422=1),D422,IF(AND('Choix pédagogiques'!$C$3=3,$BO422=1),D422,""))</f>
        <v/>
      </c>
      <c r="Z422" s="22" t="str">
        <f t="shared" si="322"/>
        <v/>
      </c>
      <c r="AA422" s="21" t="str">
        <f t="shared" si="323"/>
        <v>Apprenant 410 ou 410'</v>
      </c>
      <c r="AB422" s="22" t="str">
        <f>IF(AND(OR('Choix pédagogiques'!$C$3=1,'Choix pédagogiques'!$C$3=2),$BN422=1),G422,IF(AND('Choix pédagogiques'!$C$3=3,$BO422=1),G422,""))</f>
        <v/>
      </c>
      <c r="AC422" s="22" t="str">
        <f>IF(AND(OR('Choix pédagogiques'!$C$3=1,'Choix pédagogiques'!$C$3=2),$BN422=1),H422,IF(AND('Choix pédagogiques'!$C$3=3,$BO422=1),H422,""))</f>
        <v/>
      </c>
      <c r="AD422" s="22" t="str">
        <f>IF(AND(OR('Choix pédagogiques'!$C$3=1,'Choix pédagogiques'!$C$3=2),$BN422=1),I422,IF(AND('Choix pédagogiques'!$C$3=3,$BO422=1),I422,""))</f>
        <v/>
      </c>
      <c r="AE422" s="22" t="str">
        <f t="shared" si="324"/>
        <v/>
      </c>
      <c r="AF422" s="21" t="str">
        <f t="shared" si="325"/>
        <v>Apprenant 410</v>
      </c>
      <c r="AG422" s="22" t="str">
        <f t="shared" si="299"/>
        <v/>
      </c>
      <c r="AH422" s="22" t="str">
        <f t="shared" si="300"/>
        <v/>
      </c>
      <c r="AI422" s="22" t="str">
        <f t="shared" si="301"/>
        <v/>
      </c>
      <c r="AJ422" s="22" t="str">
        <f t="shared" si="326"/>
        <v/>
      </c>
      <c r="AK422" s="21" t="str">
        <f t="shared" si="327"/>
        <v>Apprenant 410 ou 410'</v>
      </c>
      <c r="AL422" s="22" t="str">
        <f t="shared" si="302"/>
        <v/>
      </c>
      <c r="AM422" s="22" t="str">
        <f t="shared" si="303"/>
        <v/>
      </c>
      <c r="AN422" s="22" t="str">
        <f t="shared" si="304"/>
        <v/>
      </c>
      <c r="AO422" s="22" t="str">
        <f t="shared" si="328"/>
        <v/>
      </c>
      <c r="AQ422" s="21" t="str">
        <f t="shared" si="329"/>
        <v>Apprenant 410</v>
      </c>
      <c r="AR422" s="49" t="str">
        <f>IF(AND('Choix pédagogiques'!$C$4&lt;&gt;"?",'Choix pédagogiques'!$C$5&lt;&gt;"?",W422&lt;&gt;""),(W422-'Choix pédagogiques'!$C$4)/('Choix pédagogiques'!$C$5-'Choix pédagogiques'!$C$4),"")</f>
        <v/>
      </c>
      <c r="AS422" s="49" t="str">
        <f>IF(AND('Choix pédagogiques'!$C$4&lt;&gt;"?",'Choix pédagogiques'!$C$5&lt;&gt;"?",X422&lt;&gt;""),(X422-'Choix pédagogiques'!$C$4)/('Choix pédagogiques'!$C$5-'Choix pédagogiques'!$C$4),"")</f>
        <v/>
      </c>
      <c r="AT422" s="49" t="str">
        <f>IF(AND('Choix pédagogiques'!$C$4&lt;&gt;"?",'Choix pédagogiques'!$C$5&lt;&gt;"?",Y422&lt;&gt;""),(Y422-'Choix pédagogiques'!$C$4)/('Choix pédagogiques'!$C$5-'Choix pédagogiques'!$C$4),"")</f>
        <v/>
      </c>
      <c r="AU422" s="22" t="str">
        <f t="shared" si="330"/>
        <v/>
      </c>
      <c r="AV422" s="21" t="str">
        <f t="shared" si="331"/>
        <v>Apprenant 410 ou 410'</v>
      </c>
      <c r="AW422" s="49" t="str">
        <f>IF(AND('Choix pédagogiques'!$C$4&lt;&gt;"?",'Choix pédagogiques'!$C$5&lt;&gt;"?",AB422&lt;&gt;""),(AB422-'Choix pédagogiques'!$C$4)/('Choix pédagogiques'!$C$5-'Choix pédagogiques'!$C$4),"")</f>
        <v/>
      </c>
      <c r="AX422" s="49" t="str">
        <f>IF(AND('Choix pédagogiques'!$C$4&lt;&gt;"?",'Choix pédagogiques'!$C$5&lt;&gt;"?",AC422&lt;&gt;""),(AC422-'Choix pédagogiques'!$C$4)/('Choix pédagogiques'!$C$5-'Choix pédagogiques'!$C$4),"")</f>
        <v/>
      </c>
      <c r="AY422" s="49" t="str">
        <f>IF(AND('Choix pédagogiques'!$C$4&lt;&gt;"?",'Choix pédagogiques'!$C$5&lt;&gt;"?",AD422&lt;&gt;""),(AD422-'Choix pédagogiques'!$C$4)/('Choix pédagogiques'!$C$5-'Choix pédagogiques'!$C$4),"")</f>
        <v/>
      </c>
      <c r="AZ422" s="22" t="str">
        <f t="shared" si="332"/>
        <v/>
      </c>
      <c r="BA422" s="21" t="str">
        <f t="shared" si="333"/>
        <v>Apprenant 410</v>
      </c>
      <c r="BB422" s="49" t="str">
        <f t="shared" si="305"/>
        <v/>
      </c>
      <c r="BC422" s="49" t="str">
        <f t="shared" si="306"/>
        <v/>
      </c>
      <c r="BD422" s="49" t="str">
        <f t="shared" si="307"/>
        <v/>
      </c>
      <c r="BE422" s="22" t="str">
        <f t="shared" si="334"/>
        <v/>
      </c>
      <c r="BF422" s="21" t="str">
        <f t="shared" si="335"/>
        <v>Apprenant 410 ou 410'</v>
      </c>
      <c r="BG422" s="49" t="str">
        <f t="shared" si="308"/>
        <v/>
      </c>
      <c r="BH422" s="49" t="str">
        <f t="shared" si="309"/>
        <v/>
      </c>
      <c r="BI422" s="49" t="str">
        <f t="shared" si="310"/>
        <v/>
      </c>
      <c r="BJ422" s="22" t="str">
        <f t="shared" si="336"/>
        <v/>
      </c>
      <c r="BL422" s="21"/>
      <c r="BM422" s="21" t="str">
        <f>IF(OR(COUNT(B422:D1421)=0,AND('Choix pédagogiques'!$C$3&lt;&gt;1,'Choix pédagogiques'!$C$3&lt;&gt;2)),"",IF(AND(OR('Choix pédagogiques'!$C$3=1,'Choix pédagogiques'!$C$3=2),$B422&lt;&gt;"",$C422&lt;&gt;"",$D422&lt;&gt;""),1,0))</f>
        <v/>
      </c>
      <c r="BN422" s="21" t="str">
        <f>IF(OR(COUNT(G422:I1421)=0,AND('Choix pédagogiques'!$C$3&lt;&gt;1,'Choix pédagogiques'!$C$3&lt;&gt;2)),"",IF(AND(OR('Choix pédagogiques'!$C$3=1,'Choix pédagogiques'!$C$3=2),AND($G422&lt;&gt;"",$H422&lt;&gt;"",$I422&lt;&gt;"")),1,0))</f>
        <v/>
      </c>
      <c r="BO422" s="21" t="str">
        <f>IF(OR(COUNT(B422:D1421)=0,COUNT(G422:I1421)=0,'Choix pédagogiques'!C$3&lt;&gt;3),"",IF(AND('Choix pédagogiques'!$C$3=3,$B422&lt;&gt;"",$C422&lt;&gt;"",$D422&lt;&gt;"",$G422&lt;&gt;"",$H422&lt;&gt;"",$I422&lt;&gt;""),1,0))</f>
        <v/>
      </c>
      <c r="BR422" s="21">
        <v>644</v>
      </c>
      <c r="BS422" s="21">
        <v>1506</v>
      </c>
      <c r="BT422"/>
    </row>
    <row r="423" spans="1:72" s="23" customFormat="1" ht="18" customHeight="1" x14ac:dyDescent="0.3">
      <c r="A423" s="35" t="s">
        <v>413</v>
      </c>
      <c r="B423" s="37"/>
      <c r="C423" s="37"/>
      <c r="D423" s="37"/>
      <c r="E423" s="37"/>
      <c r="F423" s="35" t="s">
        <v>1421</v>
      </c>
      <c r="G423" s="37"/>
      <c r="H423" s="37"/>
      <c r="I423" s="37"/>
      <c r="J423" s="37"/>
      <c r="K423" s="21" t="str">
        <f t="shared" si="311"/>
        <v>Apprenant 411</v>
      </c>
      <c r="L423" s="22" t="str">
        <f t="shared" si="312"/>
        <v/>
      </c>
      <c r="M423" s="22" t="str">
        <f t="shared" si="313"/>
        <v/>
      </c>
      <c r="N423" s="22" t="str">
        <f t="shared" si="314"/>
        <v/>
      </c>
      <c r="O423" s="22" t="str">
        <f t="shared" si="315"/>
        <v/>
      </c>
      <c r="P423" s="21" t="str">
        <f t="shared" si="316"/>
        <v>Apprenant 411 ou 411'</v>
      </c>
      <c r="Q423" s="22" t="str">
        <f t="shared" si="317"/>
        <v/>
      </c>
      <c r="R423" s="22" t="str">
        <f t="shared" si="318"/>
        <v/>
      </c>
      <c r="S423" s="22" t="str">
        <f t="shared" si="319"/>
        <v/>
      </c>
      <c r="T423" s="22" t="str">
        <f t="shared" si="320"/>
        <v/>
      </c>
      <c r="V423" s="21" t="str">
        <f t="shared" si="321"/>
        <v>Apprenant 411</v>
      </c>
      <c r="W423" s="22" t="str">
        <f>IF(AND(OR('Choix pédagogiques'!$C$3=1,'Choix pédagogiques'!$C$3=2),$BM423=1),B423,IF(AND('Choix pédagogiques'!$C$3=3,$BO423=1),B423,""))</f>
        <v/>
      </c>
      <c r="X423" s="22" t="str">
        <f>IF(AND(OR('Choix pédagogiques'!$C$3=1,'Choix pédagogiques'!$C$3=2),$BM423=1),C423,IF(AND('Choix pédagogiques'!$C$3=3,$BO423=1),C423,""))</f>
        <v/>
      </c>
      <c r="Y423" s="22" t="str">
        <f>IF(AND(OR('Choix pédagogiques'!$C$3=1,'Choix pédagogiques'!$C$3=2),$BM423=1),D423,IF(AND('Choix pédagogiques'!$C$3=3,$BO423=1),D423,""))</f>
        <v/>
      </c>
      <c r="Z423" s="22" t="str">
        <f t="shared" si="322"/>
        <v/>
      </c>
      <c r="AA423" s="21" t="str">
        <f t="shared" si="323"/>
        <v>Apprenant 411 ou 411'</v>
      </c>
      <c r="AB423" s="22" t="str">
        <f>IF(AND(OR('Choix pédagogiques'!$C$3=1,'Choix pédagogiques'!$C$3=2),$BN423=1),G423,IF(AND('Choix pédagogiques'!$C$3=3,$BO423=1),G423,""))</f>
        <v/>
      </c>
      <c r="AC423" s="22" t="str">
        <f>IF(AND(OR('Choix pédagogiques'!$C$3=1,'Choix pédagogiques'!$C$3=2),$BN423=1),H423,IF(AND('Choix pédagogiques'!$C$3=3,$BO423=1),H423,""))</f>
        <v/>
      </c>
      <c r="AD423" s="22" t="str">
        <f>IF(AND(OR('Choix pédagogiques'!$C$3=1,'Choix pédagogiques'!$C$3=2),$BN423=1),I423,IF(AND('Choix pédagogiques'!$C$3=3,$BO423=1),I423,""))</f>
        <v/>
      </c>
      <c r="AE423" s="22" t="str">
        <f t="shared" si="324"/>
        <v/>
      </c>
      <c r="AF423" s="21" t="str">
        <f t="shared" si="325"/>
        <v>Apprenant 411</v>
      </c>
      <c r="AG423" s="22" t="str">
        <f t="shared" si="299"/>
        <v/>
      </c>
      <c r="AH423" s="22" t="str">
        <f t="shared" si="300"/>
        <v/>
      </c>
      <c r="AI423" s="22" t="str">
        <f t="shared" si="301"/>
        <v/>
      </c>
      <c r="AJ423" s="22" t="str">
        <f t="shared" si="326"/>
        <v/>
      </c>
      <c r="AK423" s="21" t="str">
        <f t="shared" si="327"/>
        <v>Apprenant 411 ou 411'</v>
      </c>
      <c r="AL423" s="22" t="str">
        <f t="shared" si="302"/>
        <v/>
      </c>
      <c r="AM423" s="22" t="str">
        <f t="shared" si="303"/>
        <v/>
      </c>
      <c r="AN423" s="22" t="str">
        <f t="shared" si="304"/>
        <v/>
      </c>
      <c r="AO423" s="22" t="str">
        <f t="shared" si="328"/>
        <v/>
      </c>
      <c r="AQ423" s="21" t="str">
        <f t="shared" si="329"/>
        <v>Apprenant 411</v>
      </c>
      <c r="AR423" s="49" t="str">
        <f>IF(AND('Choix pédagogiques'!$C$4&lt;&gt;"?",'Choix pédagogiques'!$C$5&lt;&gt;"?",W423&lt;&gt;""),(W423-'Choix pédagogiques'!$C$4)/('Choix pédagogiques'!$C$5-'Choix pédagogiques'!$C$4),"")</f>
        <v/>
      </c>
      <c r="AS423" s="49" t="str">
        <f>IF(AND('Choix pédagogiques'!$C$4&lt;&gt;"?",'Choix pédagogiques'!$C$5&lt;&gt;"?",X423&lt;&gt;""),(X423-'Choix pédagogiques'!$C$4)/('Choix pédagogiques'!$C$5-'Choix pédagogiques'!$C$4),"")</f>
        <v/>
      </c>
      <c r="AT423" s="49" t="str">
        <f>IF(AND('Choix pédagogiques'!$C$4&lt;&gt;"?",'Choix pédagogiques'!$C$5&lt;&gt;"?",Y423&lt;&gt;""),(Y423-'Choix pédagogiques'!$C$4)/('Choix pédagogiques'!$C$5-'Choix pédagogiques'!$C$4),"")</f>
        <v/>
      </c>
      <c r="AU423" s="22" t="str">
        <f t="shared" si="330"/>
        <v/>
      </c>
      <c r="AV423" s="21" t="str">
        <f t="shared" si="331"/>
        <v>Apprenant 411 ou 411'</v>
      </c>
      <c r="AW423" s="49" t="str">
        <f>IF(AND('Choix pédagogiques'!$C$4&lt;&gt;"?",'Choix pédagogiques'!$C$5&lt;&gt;"?",AB423&lt;&gt;""),(AB423-'Choix pédagogiques'!$C$4)/('Choix pédagogiques'!$C$5-'Choix pédagogiques'!$C$4),"")</f>
        <v/>
      </c>
      <c r="AX423" s="49" t="str">
        <f>IF(AND('Choix pédagogiques'!$C$4&lt;&gt;"?",'Choix pédagogiques'!$C$5&lt;&gt;"?",AC423&lt;&gt;""),(AC423-'Choix pédagogiques'!$C$4)/('Choix pédagogiques'!$C$5-'Choix pédagogiques'!$C$4),"")</f>
        <v/>
      </c>
      <c r="AY423" s="49" t="str">
        <f>IF(AND('Choix pédagogiques'!$C$4&lt;&gt;"?",'Choix pédagogiques'!$C$5&lt;&gt;"?",AD423&lt;&gt;""),(AD423-'Choix pédagogiques'!$C$4)/('Choix pédagogiques'!$C$5-'Choix pédagogiques'!$C$4),"")</f>
        <v/>
      </c>
      <c r="AZ423" s="22" t="str">
        <f t="shared" si="332"/>
        <v/>
      </c>
      <c r="BA423" s="21" t="str">
        <f t="shared" si="333"/>
        <v>Apprenant 411</v>
      </c>
      <c r="BB423" s="49" t="str">
        <f t="shared" si="305"/>
        <v/>
      </c>
      <c r="BC423" s="49" t="str">
        <f t="shared" si="306"/>
        <v/>
      </c>
      <c r="BD423" s="49" t="str">
        <f t="shared" si="307"/>
        <v/>
      </c>
      <c r="BE423" s="22" t="str">
        <f t="shared" si="334"/>
        <v/>
      </c>
      <c r="BF423" s="21" t="str">
        <f t="shared" si="335"/>
        <v>Apprenant 411 ou 411'</v>
      </c>
      <c r="BG423" s="49" t="str">
        <f t="shared" si="308"/>
        <v/>
      </c>
      <c r="BH423" s="49" t="str">
        <f t="shared" si="309"/>
        <v/>
      </c>
      <c r="BI423" s="49" t="str">
        <f t="shared" si="310"/>
        <v/>
      </c>
      <c r="BJ423" s="22" t="str">
        <f t="shared" si="336"/>
        <v/>
      </c>
      <c r="BL423" s="21"/>
      <c r="BM423" s="21" t="str">
        <f>IF(OR(COUNT(B423:D1422)=0,AND('Choix pédagogiques'!$C$3&lt;&gt;1,'Choix pédagogiques'!$C$3&lt;&gt;2)),"",IF(AND(OR('Choix pédagogiques'!$C$3=1,'Choix pédagogiques'!$C$3=2),$B423&lt;&gt;"",$C423&lt;&gt;"",$D423&lt;&gt;""),1,0))</f>
        <v/>
      </c>
      <c r="BN423" s="21" t="str">
        <f>IF(OR(COUNT(G423:I1422)=0,AND('Choix pédagogiques'!$C$3&lt;&gt;1,'Choix pédagogiques'!$C$3&lt;&gt;2)),"",IF(AND(OR('Choix pédagogiques'!$C$3=1,'Choix pédagogiques'!$C$3=2),AND($G423&lt;&gt;"",$H423&lt;&gt;"",$I423&lt;&gt;"")),1,0))</f>
        <v/>
      </c>
      <c r="BO423" s="21" t="str">
        <f>IF(OR(COUNT(B423:D1422)=0,COUNT(G423:I1422)=0,'Choix pédagogiques'!C$3&lt;&gt;3),"",IF(AND('Choix pédagogiques'!$C$3=3,$B423&lt;&gt;"",$C423&lt;&gt;"",$D423&lt;&gt;"",$G423&lt;&gt;"",$H423&lt;&gt;"",$I423&lt;&gt;""),1,0))</f>
        <v/>
      </c>
      <c r="BR423" s="21">
        <v>268</v>
      </c>
      <c r="BS423" s="21">
        <v>1227</v>
      </c>
      <c r="BT423"/>
    </row>
    <row r="424" spans="1:72" s="23" customFormat="1" ht="18" customHeight="1" x14ac:dyDescent="0.3">
      <c r="A424" s="35" t="s">
        <v>414</v>
      </c>
      <c r="B424" s="37"/>
      <c r="C424" s="37"/>
      <c r="D424" s="37"/>
      <c r="E424" s="37"/>
      <c r="F424" s="35" t="s">
        <v>1422</v>
      </c>
      <c r="G424" s="37"/>
      <c r="H424" s="37"/>
      <c r="I424" s="37"/>
      <c r="J424" s="37"/>
      <c r="K424" s="21" t="str">
        <f t="shared" si="311"/>
        <v>Apprenant 412</v>
      </c>
      <c r="L424" s="22" t="str">
        <f t="shared" si="312"/>
        <v/>
      </c>
      <c r="M424" s="22" t="str">
        <f t="shared" si="313"/>
        <v/>
      </c>
      <c r="N424" s="22" t="str">
        <f t="shared" si="314"/>
        <v/>
      </c>
      <c r="O424" s="22" t="str">
        <f t="shared" si="315"/>
        <v/>
      </c>
      <c r="P424" s="21" t="str">
        <f t="shared" si="316"/>
        <v>Apprenant 412 ou 412'</v>
      </c>
      <c r="Q424" s="22" t="str">
        <f t="shared" si="317"/>
        <v/>
      </c>
      <c r="R424" s="22" t="str">
        <f t="shared" si="318"/>
        <v/>
      </c>
      <c r="S424" s="22" t="str">
        <f t="shared" si="319"/>
        <v/>
      </c>
      <c r="T424" s="22" t="str">
        <f t="shared" si="320"/>
        <v/>
      </c>
      <c r="V424" s="21" t="str">
        <f t="shared" si="321"/>
        <v>Apprenant 412</v>
      </c>
      <c r="W424" s="22" t="str">
        <f>IF(AND(OR('Choix pédagogiques'!$C$3=1,'Choix pédagogiques'!$C$3=2),$BM424=1),B424,IF(AND('Choix pédagogiques'!$C$3=3,$BO424=1),B424,""))</f>
        <v/>
      </c>
      <c r="X424" s="22" t="str">
        <f>IF(AND(OR('Choix pédagogiques'!$C$3=1,'Choix pédagogiques'!$C$3=2),$BM424=1),C424,IF(AND('Choix pédagogiques'!$C$3=3,$BO424=1),C424,""))</f>
        <v/>
      </c>
      <c r="Y424" s="22" t="str">
        <f>IF(AND(OR('Choix pédagogiques'!$C$3=1,'Choix pédagogiques'!$C$3=2),$BM424=1),D424,IF(AND('Choix pédagogiques'!$C$3=3,$BO424=1),D424,""))</f>
        <v/>
      </c>
      <c r="Z424" s="22" t="str">
        <f t="shared" si="322"/>
        <v/>
      </c>
      <c r="AA424" s="21" t="str">
        <f t="shared" si="323"/>
        <v>Apprenant 412 ou 412'</v>
      </c>
      <c r="AB424" s="22" t="str">
        <f>IF(AND(OR('Choix pédagogiques'!$C$3=1,'Choix pédagogiques'!$C$3=2),$BN424=1),G424,IF(AND('Choix pédagogiques'!$C$3=3,$BO424=1),G424,""))</f>
        <v/>
      </c>
      <c r="AC424" s="22" t="str">
        <f>IF(AND(OR('Choix pédagogiques'!$C$3=1,'Choix pédagogiques'!$C$3=2),$BN424=1),H424,IF(AND('Choix pédagogiques'!$C$3=3,$BO424=1),H424,""))</f>
        <v/>
      </c>
      <c r="AD424" s="22" t="str">
        <f>IF(AND(OR('Choix pédagogiques'!$C$3=1,'Choix pédagogiques'!$C$3=2),$BN424=1),I424,IF(AND('Choix pédagogiques'!$C$3=3,$BO424=1),I424,""))</f>
        <v/>
      </c>
      <c r="AE424" s="22" t="str">
        <f t="shared" si="324"/>
        <v/>
      </c>
      <c r="AF424" s="21" t="str">
        <f t="shared" si="325"/>
        <v>Apprenant 412</v>
      </c>
      <c r="AG424" s="22" t="str">
        <f t="shared" si="299"/>
        <v/>
      </c>
      <c r="AH424" s="22" t="str">
        <f t="shared" si="300"/>
        <v/>
      </c>
      <c r="AI424" s="22" t="str">
        <f t="shared" si="301"/>
        <v/>
      </c>
      <c r="AJ424" s="22" t="str">
        <f t="shared" si="326"/>
        <v/>
      </c>
      <c r="AK424" s="21" t="str">
        <f t="shared" si="327"/>
        <v>Apprenant 412 ou 412'</v>
      </c>
      <c r="AL424" s="22" t="str">
        <f t="shared" si="302"/>
        <v/>
      </c>
      <c r="AM424" s="22" t="str">
        <f t="shared" si="303"/>
        <v/>
      </c>
      <c r="AN424" s="22" t="str">
        <f t="shared" si="304"/>
        <v/>
      </c>
      <c r="AO424" s="22" t="str">
        <f t="shared" si="328"/>
        <v/>
      </c>
      <c r="AQ424" s="21" t="str">
        <f t="shared" si="329"/>
        <v>Apprenant 412</v>
      </c>
      <c r="AR424" s="49" t="str">
        <f>IF(AND('Choix pédagogiques'!$C$4&lt;&gt;"?",'Choix pédagogiques'!$C$5&lt;&gt;"?",W424&lt;&gt;""),(W424-'Choix pédagogiques'!$C$4)/('Choix pédagogiques'!$C$5-'Choix pédagogiques'!$C$4),"")</f>
        <v/>
      </c>
      <c r="AS424" s="49" t="str">
        <f>IF(AND('Choix pédagogiques'!$C$4&lt;&gt;"?",'Choix pédagogiques'!$C$5&lt;&gt;"?",X424&lt;&gt;""),(X424-'Choix pédagogiques'!$C$4)/('Choix pédagogiques'!$C$5-'Choix pédagogiques'!$C$4),"")</f>
        <v/>
      </c>
      <c r="AT424" s="49" t="str">
        <f>IF(AND('Choix pédagogiques'!$C$4&lt;&gt;"?",'Choix pédagogiques'!$C$5&lt;&gt;"?",Y424&lt;&gt;""),(Y424-'Choix pédagogiques'!$C$4)/('Choix pédagogiques'!$C$5-'Choix pédagogiques'!$C$4),"")</f>
        <v/>
      </c>
      <c r="AU424" s="22" t="str">
        <f t="shared" si="330"/>
        <v/>
      </c>
      <c r="AV424" s="21" t="str">
        <f t="shared" si="331"/>
        <v>Apprenant 412 ou 412'</v>
      </c>
      <c r="AW424" s="49" t="str">
        <f>IF(AND('Choix pédagogiques'!$C$4&lt;&gt;"?",'Choix pédagogiques'!$C$5&lt;&gt;"?",AB424&lt;&gt;""),(AB424-'Choix pédagogiques'!$C$4)/('Choix pédagogiques'!$C$5-'Choix pédagogiques'!$C$4),"")</f>
        <v/>
      </c>
      <c r="AX424" s="49" t="str">
        <f>IF(AND('Choix pédagogiques'!$C$4&lt;&gt;"?",'Choix pédagogiques'!$C$5&lt;&gt;"?",AC424&lt;&gt;""),(AC424-'Choix pédagogiques'!$C$4)/('Choix pédagogiques'!$C$5-'Choix pédagogiques'!$C$4),"")</f>
        <v/>
      </c>
      <c r="AY424" s="49" t="str">
        <f>IF(AND('Choix pédagogiques'!$C$4&lt;&gt;"?",'Choix pédagogiques'!$C$5&lt;&gt;"?",AD424&lt;&gt;""),(AD424-'Choix pédagogiques'!$C$4)/('Choix pédagogiques'!$C$5-'Choix pédagogiques'!$C$4),"")</f>
        <v/>
      </c>
      <c r="AZ424" s="22" t="str">
        <f t="shared" si="332"/>
        <v/>
      </c>
      <c r="BA424" s="21" t="str">
        <f t="shared" si="333"/>
        <v>Apprenant 412</v>
      </c>
      <c r="BB424" s="49" t="str">
        <f t="shared" si="305"/>
        <v/>
      </c>
      <c r="BC424" s="49" t="str">
        <f t="shared" si="306"/>
        <v/>
      </c>
      <c r="BD424" s="49" t="str">
        <f t="shared" si="307"/>
        <v/>
      </c>
      <c r="BE424" s="22" t="str">
        <f t="shared" si="334"/>
        <v/>
      </c>
      <c r="BF424" s="21" t="str">
        <f t="shared" si="335"/>
        <v>Apprenant 412 ou 412'</v>
      </c>
      <c r="BG424" s="49" t="str">
        <f t="shared" si="308"/>
        <v/>
      </c>
      <c r="BH424" s="49" t="str">
        <f t="shared" si="309"/>
        <v/>
      </c>
      <c r="BI424" s="49" t="str">
        <f t="shared" si="310"/>
        <v/>
      </c>
      <c r="BJ424" s="22" t="str">
        <f t="shared" si="336"/>
        <v/>
      </c>
      <c r="BL424" s="21"/>
      <c r="BM424" s="21" t="str">
        <f>IF(OR(COUNT(B424:D1423)=0,AND('Choix pédagogiques'!$C$3&lt;&gt;1,'Choix pédagogiques'!$C$3&lt;&gt;2)),"",IF(AND(OR('Choix pédagogiques'!$C$3=1,'Choix pédagogiques'!$C$3=2),$B424&lt;&gt;"",$C424&lt;&gt;"",$D424&lt;&gt;""),1,0))</f>
        <v/>
      </c>
      <c r="BN424" s="21" t="str">
        <f>IF(OR(COUNT(G424:I1423)=0,AND('Choix pédagogiques'!$C$3&lt;&gt;1,'Choix pédagogiques'!$C$3&lt;&gt;2)),"",IF(AND(OR('Choix pédagogiques'!$C$3=1,'Choix pédagogiques'!$C$3=2),AND($G424&lt;&gt;"",$H424&lt;&gt;"",$I424&lt;&gt;"")),1,0))</f>
        <v/>
      </c>
      <c r="BO424" s="21" t="str">
        <f>IF(OR(COUNT(B424:D1423)=0,COUNT(G424:I1423)=0,'Choix pédagogiques'!C$3&lt;&gt;3),"",IF(AND('Choix pédagogiques'!$C$3=3,$B424&lt;&gt;"",$C424&lt;&gt;"",$D424&lt;&gt;"",$G424&lt;&gt;"",$H424&lt;&gt;"",$I424&lt;&gt;""),1,0))</f>
        <v/>
      </c>
      <c r="BR424" s="21">
        <v>251</v>
      </c>
      <c r="BS424" s="21">
        <v>1731</v>
      </c>
      <c r="BT424"/>
    </row>
    <row r="425" spans="1:72" s="23" customFormat="1" ht="18" customHeight="1" x14ac:dyDescent="0.3">
      <c r="A425" s="35" t="s">
        <v>415</v>
      </c>
      <c r="B425" s="37"/>
      <c r="C425" s="37"/>
      <c r="D425" s="37"/>
      <c r="E425" s="37"/>
      <c r="F425" s="35" t="s">
        <v>1423</v>
      </c>
      <c r="G425" s="37"/>
      <c r="H425" s="37"/>
      <c r="I425" s="37"/>
      <c r="J425" s="37"/>
      <c r="K425" s="21" t="str">
        <f t="shared" si="311"/>
        <v>Apprenant 413</v>
      </c>
      <c r="L425" s="22" t="str">
        <f t="shared" si="312"/>
        <v/>
      </c>
      <c r="M425" s="22" t="str">
        <f t="shared" si="313"/>
        <v/>
      </c>
      <c r="N425" s="22" t="str">
        <f t="shared" si="314"/>
        <v/>
      </c>
      <c r="O425" s="22" t="str">
        <f t="shared" si="315"/>
        <v/>
      </c>
      <c r="P425" s="21" t="str">
        <f t="shared" si="316"/>
        <v>Apprenant 413 ou 413'</v>
      </c>
      <c r="Q425" s="22" t="str">
        <f t="shared" si="317"/>
        <v/>
      </c>
      <c r="R425" s="22" t="str">
        <f t="shared" si="318"/>
        <v/>
      </c>
      <c r="S425" s="22" t="str">
        <f t="shared" si="319"/>
        <v/>
      </c>
      <c r="T425" s="22" t="str">
        <f t="shared" si="320"/>
        <v/>
      </c>
      <c r="V425" s="21" t="str">
        <f t="shared" si="321"/>
        <v>Apprenant 413</v>
      </c>
      <c r="W425" s="22" t="str">
        <f>IF(AND(OR('Choix pédagogiques'!$C$3=1,'Choix pédagogiques'!$C$3=2),$BM425=1),B425,IF(AND('Choix pédagogiques'!$C$3=3,$BO425=1),B425,""))</f>
        <v/>
      </c>
      <c r="X425" s="22" t="str">
        <f>IF(AND(OR('Choix pédagogiques'!$C$3=1,'Choix pédagogiques'!$C$3=2),$BM425=1),C425,IF(AND('Choix pédagogiques'!$C$3=3,$BO425=1),C425,""))</f>
        <v/>
      </c>
      <c r="Y425" s="22" t="str">
        <f>IF(AND(OR('Choix pédagogiques'!$C$3=1,'Choix pédagogiques'!$C$3=2),$BM425=1),D425,IF(AND('Choix pédagogiques'!$C$3=3,$BO425=1),D425,""))</f>
        <v/>
      </c>
      <c r="Z425" s="22" t="str">
        <f t="shared" si="322"/>
        <v/>
      </c>
      <c r="AA425" s="21" t="str">
        <f t="shared" si="323"/>
        <v>Apprenant 413 ou 413'</v>
      </c>
      <c r="AB425" s="22" t="str">
        <f>IF(AND(OR('Choix pédagogiques'!$C$3=1,'Choix pédagogiques'!$C$3=2),$BN425=1),G425,IF(AND('Choix pédagogiques'!$C$3=3,$BO425=1),G425,""))</f>
        <v/>
      </c>
      <c r="AC425" s="22" t="str">
        <f>IF(AND(OR('Choix pédagogiques'!$C$3=1,'Choix pédagogiques'!$C$3=2),$BN425=1),H425,IF(AND('Choix pédagogiques'!$C$3=3,$BO425=1),H425,""))</f>
        <v/>
      </c>
      <c r="AD425" s="22" t="str">
        <f>IF(AND(OR('Choix pédagogiques'!$C$3=1,'Choix pédagogiques'!$C$3=2),$BN425=1),I425,IF(AND('Choix pédagogiques'!$C$3=3,$BO425=1),I425,""))</f>
        <v/>
      </c>
      <c r="AE425" s="22" t="str">
        <f t="shared" si="324"/>
        <v/>
      </c>
      <c r="AF425" s="21" t="str">
        <f t="shared" si="325"/>
        <v>Apprenant 413</v>
      </c>
      <c r="AG425" s="22" t="str">
        <f t="shared" si="299"/>
        <v/>
      </c>
      <c r="AH425" s="22" t="str">
        <f t="shared" si="300"/>
        <v/>
      </c>
      <c r="AI425" s="22" t="str">
        <f t="shared" si="301"/>
        <v/>
      </c>
      <c r="AJ425" s="22" t="str">
        <f t="shared" si="326"/>
        <v/>
      </c>
      <c r="AK425" s="21" t="str">
        <f t="shared" si="327"/>
        <v>Apprenant 413 ou 413'</v>
      </c>
      <c r="AL425" s="22" t="str">
        <f t="shared" si="302"/>
        <v/>
      </c>
      <c r="AM425" s="22" t="str">
        <f t="shared" si="303"/>
        <v/>
      </c>
      <c r="AN425" s="22" t="str">
        <f t="shared" si="304"/>
        <v/>
      </c>
      <c r="AO425" s="22" t="str">
        <f t="shared" si="328"/>
        <v/>
      </c>
      <c r="AQ425" s="21" t="str">
        <f t="shared" si="329"/>
        <v>Apprenant 413</v>
      </c>
      <c r="AR425" s="49" t="str">
        <f>IF(AND('Choix pédagogiques'!$C$4&lt;&gt;"?",'Choix pédagogiques'!$C$5&lt;&gt;"?",W425&lt;&gt;""),(W425-'Choix pédagogiques'!$C$4)/('Choix pédagogiques'!$C$5-'Choix pédagogiques'!$C$4),"")</f>
        <v/>
      </c>
      <c r="AS425" s="49" t="str">
        <f>IF(AND('Choix pédagogiques'!$C$4&lt;&gt;"?",'Choix pédagogiques'!$C$5&lt;&gt;"?",X425&lt;&gt;""),(X425-'Choix pédagogiques'!$C$4)/('Choix pédagogiques'!$C$5-'Choix pédagogiques'!$C$4),"")</f>
        <v/>
      </c>
      <c r="AT425" s="49" t="str">
        <f>IF(AND('Choix pédagogiques'!$C$4&lt;&gt;"?",'Choix pédagogiques'!$C$5&lt;&gt;"?",Y425&lt;&gt;""),(Y425-'Choix pédagogiques'!$C$4)/('Choix pédagogiques'!$C$5-'Choix pédagogiques'!$C$4),"")</f>
        <v/>
      </c>
      <c r="AU425" s="22" t="str">
        <f t="shared" si="330"/>
        <v/>
      </c>
      <c r="AV425" s="21" t="str">
        <f t="shared" si="331"/>
        <v>Apprenant 413 ou 413'</v>
      </c>
      <c r="AW425" s="49" t="str">
        <f>IF(AND('Choix pédagogiques'!$C$4&lt;&gt;"?",'Choix pédagogiques'!$C$5&lt;&gt;"?",AB425&lt;&gt;""),(AB425-'Choix pédagogiques'!$C$4)/('Choix pédagogiques'!$C$5-'Choix pédagogiques'!$C$4),"")</f>
        <v/>
      </c>
      <c r="AX425" s="49" t="str">
        <f>IF(AND('Choix pédagogiques'!$C$4&lt;&gt;"?",'Choix pédagogiques'!$C$5&lt;&gt;"?",AC425&lt;&gt;""),(AC425-'Choix pédagogiques'!$C$4)/('Choix pédagogiques'!$C$5-'Choix pédagogiques'!$C$4),"")</f>
        <v/>
      </c>
      <c r="AY425" s="49" t="str">
        <f>IF(AND('Choix pédagogiques'!$C$4&lt;&gt;"?",'Choix pédagogiques'!$C$5&lt;&gt;"?",AD425&lt;&gt;""),(AD425-'Choix pédagogiques'!$C$4)/('Choix pédagogiques'!$C$5-'Choix pédagogiques'!$C$4),"")</f>
        <v/>
      </c>
      <c r="AZ425" s="22" t="str">
        <f t="shared" si="332"/>
        <v/>
      </c>
      <c r="BA425" s="21" t="str">
        <f t="shared" si="333"/>
        <v>Apprenant 413</v>
      </c>
      <c r="BB425" s="49" t="str">
        <f t="shared" si="305"/>
        <v/>
      </c>
      <c r="BC425" s="49" t="str">
        <f t="shared" si="306"/>
        <v/>
      </c>
      <c r="BD425" s="49" t="str">
        <f t="shared" si="307"/>
        <v/>
      </c>
      <c r="BE425" s="22" t="str">
        <f t="shared" si="334"/>
        <v/>
      </c>
      <c r="BF425" s="21" t="str">
        <f t="shared" si="335"/>
        <v>Apprenant 413 ou 413'</v>
      </c>
      <c r="BG425" s="49" t="str">
        <f t="shared" si="308"/>
        <v/>
      </c>
      <c r="BH425" s="49" t="str">
        <f t="shared" si="309"/>
        <v/>
      </c>
      <c r="BI425" s="49" t="str">
        <f t="shared" si="310"/>
        <v/>
      </c>
      <c r="BJ425" s="22" t="str">
        <f t="shared" si="336"/>
        <v/>
      </c>
      <c r="BL425" s="21"/>
      <c r="BM425" s="21" t="str">
        <f>IF(OR(COUNT(B425:D1424)=0,AND('Choix pédagogiques'!$C$3&lt;&gt;1,'Choix pédagogiques'!$C$3&lt;&gt;2)),"",IF(AND(OR('Choix pédagogiques'!$C$3=1,'Choix pédagogiques'!$C$3=2),$B425&lt;&gt;"",$C425&lt;&gt;"",$D425&lt;&gt;""),1,0))</f>
        <v/>
      </c>
      <c r="BN425" s="21" t="str">
        <f>IF(OR(COUNT(G425:I1424)=0,AND('Choix pédagogiques'!$C$3&lt;&gt;1,'Choix pédagogiques'!$C$3&lt;&gt;2)),"",IF(AND(OR('Choix pédagogiques'!$C$3=1,'Choix pédagogiques'!$C$3=2),AND($G425&lt;&gt;"",$H425&lt;&gt;"",$I425&lt;&gt;"")),1,0))</f>
        <v/>
      </c>
      <c r="BO425" s="21" t="str">
        <f>IF(OR(COUNT(B425:D1424)=0,COUNT(G425:I1424)=0,'Choix pédagogiques'!C$3&lt;&gt;3),"",IF(AND('Choix pédagogiques'!$C$3=3,$B425&lt;&gt;"",$C425&lt;&gt;"",$D425&lt;&gt;"",$G425&lt;&gt;"",$H425&lt;&gt;"",$I425&lt;&gt;""),1,0))</f>
        <v/>
      </c>
      <c r="BR425" s="21">
        <v>524</v>
      </c>
      <c r="BS425" s="21">
        <v>1977</v>
      </c>
      <c r="BT425"/>
    </row>
    <row r="426" spans="1:72" s="23" customFormat="1" ht="18" customHeight="1" x14ac:dyDescent="0.3">
      <c r="A426" s="35" t="s">
        <v>416</v>
      </c>
      <c r="B426" s="37"/>
      <c r="C426" s="37"/>
      <c r="D426" s="37"/>
      <c r="E426" s="37"/>
      <c r="F426" s="35" t="s">
        <v>1424</v>
      </c>
      <c r="G426" s="37"/>
      <c r="H426" s="37"/>
      <c r="I426" s="37"/>
      <c r="J426" s="37"/>
      <c r="K426" s="21" t="str">
        <f t="shared" si="311"/>
        <v>Apprenant 414</v>
      </c>
      <c r="L426" s="22" t="str">
        <f t="shared" si="312"/>
        <v/>
      </c>
      <c r="M426" s="22" t="str">
        <f t="shared" si="313"/>
        <v/>
      </c>
      <c r="N426" s="22" t="str">
        <f t="shared" si="314"/>
        <v/>
      </c>
      <c r="O426" s="22" t="str">
        <f t="shared" si="315"/>
        <v/>
      </c>
      <c r="P426" s="21" t="str">
        <f t="shared" si="316"/>
        <v>Apprenant 414 ou 414'</v>
      </c>
      <c r="Q426" s="22" t="str">
        <f t="shared" si="317"/>
        <v/>
      </c>
      <c r="R426" s="22" t="str">
        <f t="shared" si="318"/>
        <v/>
      </c>
      <c r="S426" s="22" t="str">
        <f t="shared" si="319"/>
        <v/>
      </c>
      <c r="T426" s="22" t="str">
        <f t="shared" si="320"/>
        <v/>
      </c>
      <c r="V426" s="21" t="str">
        <f t="shared" si="321"/>
        <v>Apprenant 414</v>
      </c>
      <c r="W426" s="22" t="str">
        <f>IF(AND(OR('Choix pédagogiques'!$C$3=1,'Choix pédagogiques'!$C$3=2),$BM426=1),B426,IF(AND('Choix pédagogiques'!$C$3=3,$BO426=1),B426,""))</f>
        <v/>
      </c>
      <c r="X426" s="22" t="str">
        <f>IF(AND(OR('Choix pédagogiques'!$C$3=1,'Choix pédagogiques'!$C$3=2),$BM426=1),C426,IF(AND('Choix pédagogiques'!$C$3=3,$BO426=1),C426,""))</f>
        <v/>
      </c>
      <c r="Y426" s="22" t="str">
        <f>IF(AND(OR('Choix pédagogiques'!$C$3=1,'Choix pédagogiques'!$C$3=2),$BM426=1),D426,IF(AND('Choix pédagogiques'!$C$3=3,$BO426=1),D426,""))</f>
        <v/>
      </c>
      <c r="Z426" s="22" t="str">
        <f t="shared" si="322"/>
        <v/>
      </c>
      <c r="AA426" s="21" t="str">
        <f t="shared" si="323"/>
        <v>Apprenant 414 ou 414'</v>
      </c>
      <c r="AB426" s="22" t="str">
        <f>IF(AND(OR('Choix pédagogiques'!$C$3=1,'Choix pédagogiques'!$C$3=2),$BN426=1),G426,IF(AND('Choix pédagogiques'!$C$3=3,$BO426=1),G426,""))</f>
        <v/>
      </c>
      <c r="AC426" s="22" t="str">
        <f>IF(AND(OR('Choix pédagogiques'!$C$3=1,'Choix pédagogiques'!$C$3=2),$BN426=1),H426,IF(AND('Choix pédagogiques'!$C$3=3,$BO426=1),H426,""))</f>
        <v/>
      </c>
      <c r="AD426" s="22" t="str">
        <f>IF(AND(OR('Choix pédagogiques'!$C$3=1,'Choix pédagogiques'!$C$3=2),$BN426=1),I426,IF(AND('Choix pédagogiques'!$C$3=3,$BO426=1),I426,""))</f>
        <v/>
      </c>
      <c r="AE426" s="22" t="str">
        <f t="shared" si="324"/>
        <v/>
      </c>
      <c r="AF426" s="21" t="str">
        <f t="shared" si="325"/>
        <v>Apprenant 414</v>
      </c>
      <c r="AG426" s="22" t="str">
        <f t="shared" si="299"/>
        <v/>
      </c>
      <c r="AH426" s="22" t="str">
        <f t="shared" si="300"/>
        <v/>
      </c>
      <c r="AI426" s="22" t="str">
        <f t="shared" si="301"/>
        <v/>
      </c>
      <c r="AJ426" s="22" t="str">
        <f t="shared" si="326"/>
        <v/>
      </c>
      <c r="AK426" s="21" t="str">
        <f t="shared" si="327"/>
        <v>Apprenant 414 ou 414'</v>
      </c>
      <c r="AL426" s="22" t="str">
        <f t="shared" si="302"/>
        <v/>
      </c>
      <c r="AM426" s="22" t="str">
        <f t="shared" si="303"/>
        <v/>
      </c>
      <c r="AN426" s="22" t="str">
        <f t="shared" si="304"/>
        <v/>
      </c>
      <c r="AO426" s="22" t="str">
        <f t="shared" si="328"/>
        <v/>
      </c>
      <c r="AQ426" s="21" t="str">
        <f t="shared" si="329"/>
        <v>Apprenant 414</v>
      </c>
      <c r="AR426" s="49" t="str">
        <f>IF(AND('Choix pédagogiques'!$C$4&lt;&gt;"?",'Choix pédagogiques'!$C$5&lt;&gt;"?",W426&lt;&gt;""),(W426-'Choix pédagogiques'!$C$4)/('Choix pédagogiques'!$C$5-'Choix pédagogiques'!$C$4),"")</f>
        <v/>
      </c>
      <c r="AS426" s="49" t="str">
        <f>IF(AND('Choix pédagogiques'!$C$4&lt;&gt;"?",'Choix pédagogiques'!$C$5&lt;&gt;"?",X426&lt;&gt;""),(X426-'Choix pédagogiques'!$C$4)/('Choix pédagogiques'!$C$5-'Choix pédagogiques'!$C$4),"")</f>
        <v/>
      </c>
      <c r="AT426" s="49" t="str">
        <f>IF(AND('Choix pédagogiques'!$C$4&lt;&gt;"?",'Choix pédagogiques'!$C$5&lt;&gt;"?",Y426&lt;&gt;""),(Y426-'Choix pédagogiques'!$C$4)/('Choix pédagogiques'!$C$5-'Choix pédagogiques'!$C$4),"")</f>
        <v/>
      </c>
      <c r="AU426" s="22" t="str">
        <f t="shared" si="330"/>
        <v/>
      </c>
      <c r="AV426" s="21" t="str">
        <f t="shared" si="331"/>
        <v>Apprenant 414 ou 414'</v>
      </c>
      <c r="AW426" s="49" t="str">
        <f>IF(AND('Choix pédagogiques'!$C$4&lt;&gt;"?",'Choix pédagogiques'!$C$5&lt;&gt;"?",AB426&lt;&gt;""),(AB426-'Choix pédagogiques'!$C$4)/('Choix pédagogiques'!$C$5-'Choix pédagogiques'!$C$4),"")</f>
        <v/>
      </c>
      <c r="AX426" s="49" t="str">
        <f>IF(AND('Choix pédagogiques'!$C$4&lt;&gt;"?",'Choix pédagogiques'!$C$5&lt;&gt;"?",AC426&lt;&gt;""),(AC426-'Choix pédagogiques'!$C$4)/('Choix pédagogiques'!$C$5-'Choix pédagogiques'!$C$4),"")</f>
        <v/>
      </c>
      <c r="AY426" s="49" t="str">
        <f>IF(AND('Choix pédagogiques'!$C$4&lt;&gt;"?",'Choix pédagogiques'!$C$5&lt;&gt;"?",AD426&lt;&gt;""),(AD426-'Choix pédagogiques'!$C$4)/('Choix pédagogiques'!$C$5-'Choix pédagogiques'!$C$4),"")</f>
        <v/>
      </c>
      <c r="AZ426" s="22" t="str">
        <f t="shared" si="332"/>
        <v/>
      </c>
      <c r="BA426" s="21" t="str">
        <f t="shared" si="333"/>
        <v>Apprenant 414</v>
      </c>
      <c r="BB426" s="49" t="str">
        <f t="shared" si="305"/>
        <v/>
      </c>
      <c r="BC426" s="49" t="str">
        <f t="shared" si="306"/>
        <v/>
      </c>
      <c r="BD426" s="49" t="str">
        <f t="shared" si="307"/>
        <v/>
      </c>
      <c r="BE426" s="22" t="str">
        <f t="shared" si="334"/>
        <v/>
      </c>
      <c r="BF426" s="21" t="str">
        <f t="shared" si="335"/>
        <v>Apprenant 414 ou 414'</v>
      </c>
      <c r="BG426" s="49" t="str">
        <f t="shared" si="308"/>
        <v/>
      </c>
      <c r="BH426" s="49" t="str">
        <f t="shared" si="309"/>
        <v/>
      </c>
      <c r="BI426" s="49" t="str">
        <f t="shared" si="310"/>
        <v/>
      </c>
      <c r="BJ426" s="22" t="str">
        <f t="shared" si="336"/>
        <v/>
      </c>
      <c r="BL426" s="21"/>
      <c r="BM426" s="21" t="str">
        <f>IF(OR(COUNT(B426:D1425)=0,AND('Choix pédagogiques'!$C$3&lt;&gt;1,'Choix pédagogiques'!$C$3&lt;&gt;2)),"",IF(AND(OR('Choix pédagogiques'!$C$3=1,'Choix pédagogiques'!$C$3=2),$B426&lt;&gt;"",$C426&lt;&gt;"",$D426&lt;&gt;""),1,0))</f>
        <v/>
      </c>
      <c r="BN426" s="21" t="str">
        <f>IF(OR(COUNT(G426:I1425)=0,AND('Choix pédagogiques'!$C$3&lt;&gt;1,'Choix pédagogiques'!$C$3&lt;&gt;2)),"",IF(AND(OR('Choix pédagogiques'!$C$3=1,'Choix pédagogiques'!$C$3=2),AND($G426&lt;&gt;"",$H426&lt;&gt;"",$I426&lt;&gt;"")),1,0))</f>
        <v/>
      </c>
      <c r="BO426" s="21" t="str">
        <f>IF(OR(COUNT(B426:D1425)=0,COUNT(G426:I1425)=0,'Choix pédagogiques'!C$3&lt;&gt;3),"",IF(AND('Choix pédagogiques'!$C$3=3,$B426&lt;&gt;"",$C426&lt;&gt;"",$D426&lt;&gt;"",$G426&lt;&gt;"",$H426&lt;&gt;"",$I426&lt;&gt;""),1,0))</f>
        <v/>
      </c>
      <c r="BR426" s="21">
        <v>878</v>
      </c>
      <c r="BS426" s="21">
        <v>1891</v>
      </c>
      <c r="BT426"/>
    </row>
    <row r="427" spans="1:72" s="23" customFormat="1" ht="18" customHeight="1" x14ac:dyDescent="0.3">
      <c r="A427" s="35" t="s">
        <v>417</v>
      </c>
      <c r="B427" s="37"/>
      <c r="C427" s="37"/>
      <c r="D427" s="37"/>
      <c r="E427" s="37"/>
      <c r="F427" s="35" t="s">
        <v>1425</v>
      </c>
      <c r="G427" s="37"/>
      <c r="H427" s="37"/>
      <c r="I427" s="37"/>
      <c r="J427" s="37"/>
      <c r="K427" s="21" t="str">
        <f t="shared" si="311"/>
        <v>Apprenant 415</v>
      </c>
      <c r="L427" s="22" t="str">
        <f t="shared" si="312"/>
        <v/>
      </c>
      <c r="M427" s="22" t="str">
        <f t="shared" si="313"/>
        <v/>
      </c>
      <c r="N427" s="22" t="str">
        <f t="shared" si="314"/>
        <v/>
      </c>
      <c r="O427" s="22" t="str">
        <f t="shared" si="315"/>
        <v/>
      </c>
      <c r="P427" s="21" t="str">
        <f t="shared" si="316"/>
        <v>Apprenant 415 ou 415'</v>
      </c>
      <c r="Q427" s="22" t="str">
        <f t="shared" si="317"/>
        <v/>
      </c>
      <c r="R427" s="22" t="str">
        <f t="shared" si="318"/>
        <v/>
      </c>
      <c r="S427" s="22" t="str">
        <f t="shared" si="319"/>
        <v/>
      </c>
      <c r="T427" s="22" t="str">
        <f t="shared" si="320"/>
        <v/>
      </c>
      <c r="V427" s="21" t="str">
        <f t="shared" si="321"/>
        <v>Apprenant 415</v>
      </c>
      <c r="W427" s="22" t="str">
        <f>IF(AND(OR('Choix pédagogiques'!$C$3=1,'Choix pédagogiques'!$C$3=2),$BM427=1),B427,IF(AND('Choix pédagogiques'!$C$3=3,$BO427=1),B427,""))</f>
        <v/>
      </c>
      <c r="X427" s="22" t="str">
        <f>IF(AND(OR('Choix pédagogiques'!$C$3=1,'Choix pédagogiques'!$C$3=2),$BM427=1),C427,IF(AND('Choix pédagogiques'!$C$3=3,$BO427=1),C427,""))</f>
        <v/>
      </c>
      <c r="Y427" s="22" t="str">
        <f>IF(AND(OR('Choix pédagogiques'!$C$3=1,'Choix pédagogiques'!$C$3=2),$BM427=1),D427,IF(AND('Choix pédagogiques'!$C$3=3,$BO427=1),D427,""))</f>
        <v/>
      </c>
      <c r="Z427" s="22" t="str">
        <f t="shared" si="322"/>
        <v/>
      </c>
      <c r="AA427" s="21" t="str">
        <f t="shared" si="323"/>
        <v>Apprenant 415 ou 415'</v>
      </c>
      <c r="AB427" s="22" t="str">
        <f>IF(AND(OR('Choix pédagogiques'!$C$3=1,'Choix pédagogiques'!$C$3=2),$BN427=1),G427,IF(AND('Choix pédagogiques'!$C$3=3,$BO427=1),G427,""))</f>
        <v/>
      </c>
      <c r="AC427" s="22" t="str">
        <f>IF(AND(OR('Choix pédagogiques'!$C$3=1,'Choix pédagogiques'!$C$3=2),$BN427=1),H427,IF(AND('Choix pédagogiques'!$C$3=3,$BO427=1),H427,""))</f>
        <v/>
      </c>
      <c r="AD427" s="22" t="str">
        <f>IF(AND(OR('Choix pédagogiques'!$C$3=1,'Choix pédagogiques'!$C$3=2),$BN427=1),I427,IF(AND('Choix pédagogiques'!$C$3=3,$BO427=1),I427,""))</f>
        <v/>
      </c>
      <c r="AE427" s="22" t="str">
        <f t="shared" si="324"/>
        <v/>
      </c>
      <c r="AF427" s="21" t="str">
        <f t="shared" si="325"/>
        <v>Apprenant 415</v>
      </c>
      <c r="AG427" s="22" t="str">
        <f t="shared" si="299"/>
        <v/>
      </c>
      <c r="AH427" s="22" t="str">
        <f t="shared" si="300"/>
        <v/>
      </c>
      <c r="AI427" s="22" t="str">
        <f t="shared" si="301"/>
        <v/>
      </c>
      <c r="AJ427" s="22" t="str">
        <f t="shared" si="326"/>
        <v/>
      </c>
      <c r="AK427" s="21" t="str">
        <f t="shared" si="327"/>
        <v>Apprenant 415 ou 415'</v>
      </c>
      <c r="AL427" s="22" t="str">
        <f t="shared" si="302"/>
        <v/>
      </c>
      <c r="AM427" s="22" t="str">
        <f t="shared" si="303"/>
        <v/>
      </c>
      <c r="AN427" s="22" t="str">
        <f t="shared" si="304"/>
        <v/>
      </c>
      <c r="AO427" s="22" t="str">
        <f t="shared" si="328"/>
        <v/>
      </c>
      <c r="AQ427" s="21" t="str">
        <f t="shared" si="329"/>
        <v>Apprenant 415</v>
      </c>
      <c r="AR427" s="49" t="str">
        <f>IF(AND('Choix pédagogiques'!$C$4&lt;&gt;"?",'Choix pédagogiques'!$C$5&lt;&gt;"?",W427&lt;&gt;""),(W427-'Choix pédagogiques'!$C$4)/('Choix pédagogiques'!$C$5-'Choix pédagogiques'!$C$4),"")</f>
        <v/>
      </c>
      <c r="AS427" s="49" t="str">
        <f>IF(AND('Choix pédagogiques'!$C$4&lt;&gt;"?",'Choix pédagogiques'!$C$5&lt;&gt;"?",X427&lt;&gt;""),(X427-'Choix pédagogiques'!$C$4)/('Choix pédagogiques'!$C$5-'Choix pédagogiques'!$C$4),"")</f>
        <v/>
      </c>
      <c r="AT427" s="49" t="str">
        <f>IF(AND('Choix pédagogiques'!$C$4&lt;&gt;"?",'Choix pédagogiques'!$C$5&lt;&gt;"?",Y427&lt;&gt;""),(Y427-'Choix pédagogiques'!$C$4)/('Choix pédagogiques'!$C$5-'Choix pédagogiques'!$C$4),"")</f>
        <v/>
      </c>
      <c r="AU427" s="22" t="str">
        <f t="shared" si="330"/>
        <v/>
      </c>
      <c r="AV427" s="21" t="str">
        <f t="shared" si="331"/>
        <v>Apprenant 415 ou 415'</v>
      </c>
      <c r="AW427" s="49" t="str">
        <f>IF(AND('Choix pédagogiques'!$C$4&lt;&gt;"?",'Choix pédagogiques'!$C$5&lt;&gt;"?",AB427&lt;&gt;""),(AB427-'Choix pédagogiques'!$C$4)/('Choix pédagogiques'!$C$5-'Choix pédagogiques'!$C$4),"")</f>
        <v/>
      </c>
      <c r="AX427" s="49" t="str">
        <f>IF(AND('Choix pédagogiques'!$C$4&lt;&gt;"?",'Choix pédagogiques'!$C$5&lt;&gt;"?",AC427&lt;&gt;""),(AC427-'Choix pédagogiques'!$C$4)/('Choix pédagogiques'!$C$5-'Choix pédagogiques'!$C$4),"")</f>
        <v/>
      </c>
      <c r="AY427" s="49" t="str">
        <f>IF(AND('Choix pédagogiques'!$C$4&lt;&gt;"?",'Choix pédagogiques'!$C$5&lt;&gt;"?",AD427&lt;&gt;""),(AD427-'Choix pédagogiques'!$C$4)/('Choix pédagogiques'!$C$5-'Choix pédagogiques'!$C$4),"")</f>
        <v/>
      </c>
      <c r="AZ427" s="22" t="str">
        <f t="shared" si="332"/>
        <v/>
      </c>
      <c r="BA427" s="21" t="str">
        <f t="shared" si="333"/>
        <v>Apprenant 415</v>
      </c>
      <c r="BB427" s="49" t="str">
        <f t="shared" si="305"/>
        <v/>
      </c>
      <c r="BC427" s="49" t="str">
        <f t="shared" si="306"/>
        <v/>
      </c>
      <c r="BD427" s="49" t="str">
        <f t="shared" si="307"/>
        <v/>
      </c>
      <c r="BE427" s="22" t="str">
        <f t="shared" si="334"/>
        <v/>
      </c>
      <c r="BF427" s="21" t="str">
        <f t="shared" si="335"/>
        <v>Apprenant 415 ou 415'</v>
      </c>
      <c r="BG427" s="49" t="str">
        <f t="shared" si="308"/>
        <v/>
      </c>
      <c r="BH427" s="49" t="str">
        <f t="shared" si="309"/>
        <v/>
      </c>
      <c r="BI427" s="49" t="str">
        <f t="shared" si="310"/>
        <v/>
      </c>
      <c r="BJ427" s="22" t="str">
        <f t="shared" si="336"/>
        <v/>
      </c>
      <c r="BL427" s="21"/>
      <c r="BM427" s="21" t="str">
        <f>IF(OR(COUNT(B427:D1426)=0,AND('Choix pédagogiques'!$C$3&lt;&gt;1,'Choix pédagogiques'!$C$3&lt;&gt;2)),"",IF(AND(OR('Choix pédagogiques'!$C$3=1,'Choix pédagogiques'!$C$3=2),$B427&lt;&gt;"",$C427&lt;&gt;"",$D427&lt;&gt;""),1,0))</f>
        <v/>
      </c>
      <c r="BN427" s="21" t="str">
        <f>IF(OR(COUNT(G427:I1426)=0,AND('Choix pédagogiques'!$C$3&lt;&gt;1,'Choix pédagogiques'!$C$3&lt;&gt;2)),"",IF(AND(OR('Choix pédagogiques'!$C$3=1,'Choix pédagogiques'!$C$3=2),AND($G427&lt;&gt;"",$H427&lt;&gt;"",$I427&lt;&gt;"")),1,0))</f>
        <v/>
      </c>
      <c r="BO427" s="21" t="str">
        <f>IF(OR(COUNT(B427:D1426)=0,COUNT(G427:I1426)=0,'Choix pédagogiques'!C$3&lt;&gt;3),"",IF(AND('Choix pédagogiques'!$C$3=3,$B427&lt;&gt;"",$C427&lt;&gt;"",$D427&lt;&gt;"",$G427&lt;&gt;"",$H427&lt;&gt;"",$I427&lt;&gt;""),1,0))</f>
        <v/>
      </c>
      <c r="BR427" s="21">
        <v>337</v>
      </c>
      <c r="BS427" s="21">
        <v>1916</v>
      </c>
      <c r="BT427"/>
    </row>
    <row r="428" spans="1:72" s="23" customFormat="1" ht="18" customHeight="1" x14ac:dyDescent="0.3">
      <c r="A428" s="35" t="s">
        <v>418</v>
      </c>
      <c r="B428" s="37"/>
      <c r="C428" s="37"/>
      <c r="D428" s="37"/>
      <c r="E428" s="37"/>
      <c r="F428" s="35" t="s">
        <v>1426</v>
      </c>
      <c r="G428" s="37"/>
      <c r="H428" s="37"/>
      <c r="I428" s="37"/>
      <c r="J428" s="37"/>
      <c r="K428" s="21" t="str">
        <f t="shared" si="311"/>
        <v>Apprenant 416</v>
      </c>
      <c r="L428" s="22" t="str">
        <f t="shared" si="312"/>
        <v/>
      </c>
      <c r="M428" s="22" t="str">
        <f t="shared" si="313"/>
        <v/>
      </c>
      <c r="N428" s="22" t="str">
        <f t="shared" si="314"/>
        <v/>
      </c>
      <c r="O428" s="22" t="str">
        <f t="shared" si="315"/>
        <v/>
      </c>
      <c r="P428" s="21" t="str">
        <f t="shared" si="316"/>
        <v>Apprenant 416 ou 416'</v>
      </c>
      <c r="Q428" s="22" t="str">
        <f t="shared" si="317"/>
        <v/>
      </c>
      <c r="R428" s="22" t="str">
        <f t="shared" si="318"/>
        <v/>
      </c>
      <c r="S428" s="22" t="str">
        <f t="shared" si="319"/>
        <v/>
      </c>
      <c r="T428" s="22" t="str">
        <f t="shared" si="320"/>
        <v/>
      </c>
      <c r="V428" s="21" t="str">
        <f t="shared" si="321"/>
        <v>Apprenant 416</v>
      </c>
      <c r="W428" s="22" t="str">
        <f>IF(AND(OR('Choix pédagogiques'!$C$3=1,'Choix pédagogiques'!$C$3=2),$BM428=1),B428,IF(AND('Choix pédagogiques'!$C$3=3,$BO428=1),B428,""))</f>
        <v/>
      </c>
      <c r="X428" s="22" t="str">
        <f>IF(AND(OR('Choix pédagogiques'!$C$3=1,'Choix pédagogiques'!$C$3=2),$BM428=1),C428,IF(AND('Choix pédagogiques'!$C$3=3,$BO428=1),C428,""))</f>
        <v/>
      </c>
      <c r="Y428" s="22" t="str">
        <f>IF(AND(OR('Choix pédagogiques'!$C$3=1,'Choix pédagogiques'!$C$3=2),$BM428=1),D428,IF(AND('Choix pédagogiques'!$C$3=3,$BO428=1),D428,""))</f>
        <v/>
      </c>
      <c r="Z428" s="22" t="str">
        <f t="shared" si="322"/>
        <v/>
      </c>
      <c r="AA428" s="21" t="str">
        <f t="shared" si="323"/>
        <v>Apprenant 416 ou 416'</v>
      </c>
      <c r="AB428" s="22" t="str">
        <f>IF(AND(OR('Choix pédagogiques'!$C$3=1,'Choix pédagogiques'!$C$3=2),$BN428=1),G428,IF(AND('Choix pédagogiques'!$C$3=3,$BO428=1),G428,""))</f>
        <v/>
      </c>
      <c r="AC428" s="22" t="str">
        <f>IF(AND(OR('Choix pédagogiques'!$C$3=1,'Choix pédagogiques'!$C$3=2),$BN428=1),H428,IF(AND('Choix pédagogiques'!$C$3=3,$BO428=1),H428,""))</f>
        <v/>
      </c>
      <c r="AD428" s="22" t="str">
        <f>IF(AND(OR('Choix pédagogiques'!$C$3=1,'Choix pédagogiques'!$C$3=2),$BN428=1),I428,IF(AND('Choix pédagogiques'!$C$3=3,$BO428=1),I428,""))</f>
        <v/>
      </c>
      <c r="AE428" s="22" t="str">
        <f t="shared" si="324"/>
        <v/>
      </c>
      <c r="AF428" s="21" t="str">
        <f t="shared" si="325"/>
        <v>Apprenant 416</v>
      </c>
      <c r="AG428" s="22" t="str">
        <f t="shared" si="299"/>
        <v/>
      </c>
      <c r="AH428" s="22" t="str">
        <f t="shared" si="300"/>
        <v/>
      </c>
      <c r="AI428" s="22" t="str">
        <f t="shared" si="301"/>
        <v/>
      </c>
      <c r="AJ428" s="22" t="str">
        <f t="shared" si="326"/>
        <v/>
      </c>
      <c r="AK428" s="21" t="str">
        <f t="shared" si="327"/>
        <v>Apprenant 416 ou 416'</v>
      </c>
      <c r="AL428" s="22" t="str">
        <f t="shared" si="302"/>
        <v/>
      </c>
      <c r="AM428" s="22" t="str">
        <f t="shared" si="303"/>
        <v/>
      </c>
      <c r="AN428" s="22" t="str">
        <f t="shared" si="304"/>
        <v/>
      </c>
      <c r="AO428" s="22" t="str">
        <f t="shared" si="328"/>
        <v/>
      </c>
      <c r="AQ428" s="21" t="str">
        <f t="shared" si="329"/>
        <v>Apprenant 416</v>
      </c>
      <c r="AR428" s="49" t="str">
        <f>IF(AND('Choix pédagogiques'!$C$4&lt;&gt;"?",'Choix pédagogiques'!$C$5&lt;&gt;"?",W428&lt;&gt;""),(W428-'Choix pédagogiques'!$C$4)/('Choix pédagogiques'!$C$5-'Choix pédagogiques'!$C$4),"")</f>
        <v/>
      </c>
      <c r="AS428" s="49" t="str">
        <f>IF(AND('Choix pédagogiques'!$C$4&lt;&gt;"?",'Choix pédagogiques'!$C$5&lt;&gt;"?",X428&lt;&gt;""),(X428-'Choix pédagogiques'!$C$4)/('Choix pédagogiques'!$C$5-'Choix pédagogiques'!$C$4),"")</f>
        <v/>
      </c>
      <c r="AT428" s="49" t="str">
        <f>IF(AND('Choix pédagogiques'!$C$4&lt;&gt;"?",'Choix pédagogiques'!$C$5&lt;&gt;"?",Y428&lt;&gt;""),(Y428-'Choix pédagogiques'!$C$4)/('Choix pédagogiques'!$C$5-'Choix pédagogiques'!$C$4),"")</f>
        <v/>
      </c>
      <c r="AU428" s="22" t="str">
        <f t="shared" si="330"/>
        <v/>
      </c>
      <c r="AV428" s="21" t="str">
        <f t="shared" si="331"/>
        <v>Apprenant 416 ou 416'</v>
      </c>
      <c r="AW428" s="49" t="str">
        <f>IF(AND('Choix pédagogiques'!$C$4&lt;&gt;"?",'Choix pédagogiques'!$C$5&lt;&gt;"?",AB428&lt;&gt;""),(AB428-'Choix pédagogiques'!$C$4)/('Choix pédagogiques'!$C$5-'Choix pédagogiques'!$C$4),"")</f>
        <v/>
      </c>
      <c r="AX428" s="49" t="str">
        <f>IF(AND('Choix pédagogiques'!$C$4&lt;&gt;"?",'Choix pédagogiques'!$C$5&lt;&gt;"?",AC428&lt;&gt;""),(AC428-'Choix pédagogiques'!$C$4)/('Choix pédagogiques'!$C$5-'Choix pédagogiques'!$C$4),"")</f>
        <v/>
      </c>
      <c r="AY428" s="49" t="str">
        <f>IF(AND('Choix pédagogiques'!$C$4&lt;&gt;"?",'Choix pédagogiques'!$C$5&lt;&gt;"?",AD428&lt;&gt;""),(AD428-'Choix pédagogiques'!$C$4)/('Choix pédagogiques'!$C$5-'Choix pédagogiques'!$C$4),"")</f>
        <v/>
      </c>
      <c r="AZ428" s="22" t="str">
        <f t="shared" si="332"/>
        <v/>
      </c>
      <c r="BA428" s="21" t="str">
        <f t="shared" si="333"/>
        <v>Apprenant 416</v>
      </c>
      <c r="BB428" s="49" t="str">
        <f t="shared" si="305"/>
        <v/>
      </c>
      <c r="BC428" s="49" t="str">
        <f t="shared" si="306"/>
        <v/>
      </c>
      <c r="BD428" s="49" t="str">
        <f t="shared" si="307"/>
        <v/>
      </c>
      <c r="BE428" s="22" t="str">
        <f t="shared" si="334"/>
        <v/>
      </c>
      <c r="BF428" s="21" t="str">
        <f t="shared" si="335"/>
        <v>Apprenant 416 ou 416'</v>
      </c>
      <c r="BG428" s="49" t="str">
        <f t="shared" si="308"/>
        <v/>
      </c>
      <c r="BH428" s="49" t="str">
        <f t="shared" si="309"/>
        <v/>
      </c>
      <c r="BI428" s="49" t="str">
        <f t="shared" si="310"/>
        <v/>
      </c>
      <c r="BJ428" s="22" t="str">
        <f t="shared" si="336"/>
        <v/>
      </c>
      <c r="BL428" s="21"/>
      <c r="BM428" s="21" t="str">
        <f>IF(OR(COUNT(B428:D1427)=0,AND('Choix pédagogiques'!$C$3&lt;&gt;1,'Choix pédagogiques'!$C$3&lt;&gt;2)),"",IF(AND(OR('Choix pédagogiques'!$C$3=1,'Choix pédagogiques'!$C$3=2),$B428&lt;&gt;"",$C428&lt;&gt;"",$D428&lt;&gt;""),1,0))</f>
        <v/>
      </c>
      <c r="BN428" s="21" t="str">
        <f>IF(OR(COUNT(G428:I1427)=0,AND('Choix pédagogiques'!$C$3&lt;&gt;1,'Choix pédagogiques'!$C$3&lt;&gt;2)),"",IF(AND(OR('Choix pédagogiques'!$C$3=1,'Choix pédagogiques'!$C$3=2),AND($G428&lt;&gt;"",$H428&lt;&gt;"",$I428&lt;&gt;"")),1,0))</f>
        <v/>
      </c>
      <c r="BO428" s="21" t="str">
        <f>IF(OR(COUNT(B428:D1427)=0,COUNT(G428:I1427)=0,'Choix pédagogiques'!C$3&lt;&gt;3),"",IF(AND('Choix pédagogiques'!$C$3=3,$B428&lt;&gt;"",$C428&lt;&gt;"",$D428&lt;&gt;"",$G428&lt;&gt;"",$H428&lt;&gt;"",$I428&lt;&gt;""),1,0))</f>
        <v/>
      </c>
      <c r="BR428" s="21">
        <v>720</v>
      </c>
      <c r="BS428" s="21">
        <v>1588</v>
      </c>
      <c r="BT428"/>
    </row>
    <row r="429" spans="1:72" s="23" customFormat="1" ht="18" customHeight="1" x14ac:dyDescent="0.3">
      <c r="A429" s="35" t="s">
        <v>419</v>
      </c>
      <c r="B429" s="37"/>
      <c r="C429" s="37"/>
      <c r="D429" s="37"/>
      <c r="E429" s="37"/>
      <c r="F429" s="35" t="s">
        <v>1427</v>
      </c>
      <c r="G429" s="37"/>
      <c r="H429" s="37"/>
      <c r="I429" s="37"/>
      <c r="J429" s="37"/>
      <c r="K429" s="21" t="str">
        <f t="shared" si="311"/>
        <v>Apprenant 417</v>
      </c>
      <c r="L429" s="22" t="str">
        <f t="shared" si="312"/>
        <v/>
      </c>
      <c r="M429" s="22" t="str">
        <f t="shared" si="313"/>
        <v/>
      </c>
      <c r="N429" s="22" t="str">
        <f t="shared" si="314"/>
        <v/>
      </c>
      <c r="O429" s="22" t="str">
        <f t="shared" si="315"/>
        <v/>
      </c>
      <c r="P429" s="21" t="str">
        <f t="shared" si="316"/>
        <v>Apprenant 417 ou 417'</v>
      </c>
      <c r="Q429" s="22" t="str">
        <f t="shared" si="317"/>
        <v/>
      </c>
      <c r="R429" s="22" t="str">
        <f t="shared" si="318"/>
        <v/>
      </c>
      <c r="S429" s="22" t="str">
        <f t="shared" si="319"/>
        <v/>
      </c>
      <c r="T429" s="22" t="str">
        <f t="shared" si="320"/>
        <v/>
      </c>
      <c r="V429" s="21" t="str">
        <f t="shared" si="321"/>
        <v>Apprenant 417</v>
      </c>
      <c r="W429" s="22" t="str">
        <f>IF(AND(OR('Choix pédagogiques'!$C$3=1,'Choix pédagogiques'!$C$3=2),$BM429=1),B429,IF(AND('Choix pédagogiques'!$C$3=3,$BO429=1),B429,""))</f>
        <v/>
      </c>
      <c r="X429" s="22" t="str">
        <f>IF(AND(OR('Choix pédagogiques'!$C$3=1,'Choix pédagogiques'!$C$3=2),$BM429=1),C429,IF(AND('Choix pédagogiques'!$C$3=3,$BO429=1),C429,""))</f>
        <v/>
      </c>
      <c r="Y429" s="22" t="str">
        <f>IF(AND(OR('Choix pédagogiques'!$C$3=1,'Choix pédagogiques'!$C$3=2),$BM429=1),D429,IF(AND('Choix pédagogiques'!$C$3=3,$BO429=1),D429,""))</f>
        <v/>
      </c>
      <c r="Z429" s="22" t="str">
        <f t="shared" si="322"/>
        <v/>
      </c>
      <c r="AA429" s="21" t="str">
        <f t="shared" si="323"/>
        <v>Apprenant 417 ou 417'</v>
      </c>
      <c r="AB429" s="22" t="str">
        <f>IF(AND(OR('Choix pédagogiques'!$C$3=1,'Choix pédagogiques'!$C$3=2),$BN429=1),G429,IF(AND('Choix pédagogiques'!$C$3=3,$BO429=1),G429,""))</f>
        <v/>
      </c>
      <c r="AC429" s="22" t="str">
        <f>IF(AND(OR('Choix pédagogiques'!$C$3=1,'Choix pédagogiques'!$C$3=2),$BN429=1),H429,IF(AND('Choix pédagogiques'!$C$3=3,$BO429=1),H429,""))</f>
        <v/>
      </c>
      <c r="AD429" s="22" t="str">
        <f>IF(AND(OR('Choix pédagogiques'!$C$3=1,'Choix pédagogiques'!$C$3=2),$BN429=1),I429,IF(AND('Choix pédagogiques'!$C$3=3,$BO429=1),I429,""))</f>
        <v/>
      </c>
      <c r="AE429" s="22" t="str">
        <f t="shared" si="324"/>
        <v/>
      </c>
      <c r="AF429" s="21" t="str">
        <f t="shared" si="325"/>
        <v>Apprenant 417</v>
      </c>
      <c r="AG429" s="22" t="str">
        <f t="shared" si="299"/>
        <v/>
      </c>
      <c r="AH429" s="22" t="str">
        <f t="shared" si="300"/>
        <v/>
      </c>
      <c r="AI429" s="22" t="str">
        <f t="shared" si="301"/>
        <v/>
      </c>
      <c r="AJ429" s="22" t="str">
        <f t="shared" si="326"/>
        <v/>
      </c>
      <c r="AK429" s="21" t="str">
        <f t="shared" si="327"/>
        <v>Apprenant 417 ou 417'</v>
      </c>
      <c r="AL429" s="22" t="str">
        <f t="shared" si="302"/>
        <v/>
      </c>
      <c r="AM429" s="22" t="str">
        <f t="shared" si="303"/>
        <v/>
      </c>
      <c r="AN429" s="22" t="str">
        <f t="shared" si="304"/>
        <v/>
      </c>
      <c r="AO429" s="22" t="str">
        <f t="shared" si="328"/>
        <v/>
      </c>
      <c r="AQ429" s="21" t="str">
        <f t="shared" si="329"/>
        <v>Apprenant 417</v>
      </c>
      <c r="AR429" s="49" t="str">
        <f>IF(AND('Choix pédagogiques'!$C$4&lt;&gt;"?",'Choix pédagogiques'!$C$5&lt;&gt;"?",W429&lt;&gt;""),(W429-'Choix pédagogiques'!$C$4)/('Choix pédagogiques'!$C$5-'Choix pédagogiques'!$C$4),"")</f>
        <v/>
      </c>
      <c r="AS429" s="49" t="str">
        <f>IF(AND('Choix pédagogiques'!$C$4&lt;&gt;"?",'Choix pédagogiques'!$C$5&lt;&gt;"?",X429&lt;&gt;""),(X429-'Choix pédagogiques'!$C$4)/('Choix pédagogiques'!$C$5-'Choix pédagogiques'!$C$4),"")</f>
        <v/>
      </c>
      <c r="AT429" s="49" t="str">
        <f>IF(AND('Choix pédagogiques'!$C$4&lt;&gt;"?",'Choix pédagogiques'!$C$5&lt;&gt;"?",Y429&lt;&gt;""),(Y429-'Choix pédagogiques'!$C$4)/('Choix pédagogiques'!$C$5-'Choix pédagogiques'!$C$4),"")</f>
        <v/>
      </c>
      <c r="AU429" s="22" t="str">
        <f t="shared" si="330"/>
        <v/>
      </c>
      <c r="AV429" s="21" t="str">
        <f t="shared" si="331"/>
        <v>Apprenant 417 ou 417'</v>
      </c>
      <c r="AW429" s="49" t="str">
        <f>IF(AND('Choix pédagogiques'!$C$4&lt;&gt;"?",'Choix pédagogiques'!$C$5&lt;&gt;"?",AB429&lt;&gt;""),(AB429-'Choix pédagogiques'!$C$4)/('Choix pédagogiques'!$C$5-'Choix pédagogiques'!$C$4),"")</f>
        <v/>
      </c>
      <c r="AX429" s="49" t="str">
        <f>IF(AND('Choix pédagogiques'!$C$4&lt;&gt;"?",'Choix pédagogiques'!$C$5&lt;&gt;"?",AC429&lt;&gt;""),(AC429-'Choix pédagogiques'!$C$4)/('Choix pédagogiques'!$C$5-'Choix pédagogiques'!$C$4),"")</f>
        <v/>
      </c>
      <c r="AY429" s="49" t="str">
        <f>IF(AND('Choix pédagogiques'!$C$4&lt;&gt;"?",'Choix pédagogiques'!$C$5&lt;&gt;"?",AD429&lt;&gt;""),(AD429-'Choix pédagogiques'!$C$4)/('Choix pédagogiques'!$C$5-'Choix pédagogiques'!$C$4),"")</f>
        <v/>
      </c>
      <c r="AZ429" s="22" t="str">
        <f t="shared" si="332"/>
        <v/>
      </c>
      <c r="BA429" s="21" t="str">
        <f t="shared" si="333"/>
        <v>Apprenant 417</v>
      </c>
      <c r="BB429" s="49" t="str">
        <f t="shared" si="305"/>
        <v/>
      </c>
      <c r="BC429" s="49" t="str">
        <f t="shared" si="306"/>
        <v/>
      </c>
      <c r="BD429" s="49" t="str">
        <f t="shared" si="307"/>
        <v/>
      </c>
      <c r="BE429" s="22" t="str">
        <f t="shared" si="334"/>
        <v/>
      </c>
      <c r="BF429" s="21" t="str">
        <f t="shared" si="335"/>
        <v>Apprenant 417 ou 417'</v>
      </c>
      <c r="BG429" s="49" t="str">
        <f t="shared" si="308"/>
        <v/>
      </c>
      <c r="BH429" s="49" t="str">
        <f t="shared" si="309"/>
        <v/>
      </c>
      <c r="BI429" s="49" t="str">
        <f t="shared" si="310"/>
        <v/>
      </c>
      <c r="BJ429" s="22" t="str">
        <f t="shared" si="336"/>
        <v/>
      </c>
      <c r="BL429" s="21"/>
      <c r="BM429" s="21" t="str">
        <f>IF(OR(COUNT(B429:D1428)=0,AND('Choix pédagogiques'!$C$3&lt;&gt;1,'Choix pédagogiques'!$C$3&lt;&gt;2)),"",IF(AND(OR('Choix pédagogiques'!$C$3=1,'Choix pédagogiques'!$C$3=2),$B429&lt;&gt;"",$C429&lt;&gt;"",$D429&lt;&gt;""),1,0))</f>
        <v/>
      </c>
      <c r="BN429" s="21" t="str">
        <f>IF(OR(COUNT(G429:I1428)=0,AND('Choix pédagogiques'!$C$3&lt;&gt;1,'Choix pédagogiques'!$C$3&lt;&gt;2)),"",IF(AND(OR('Choix pédagogiques'!$C$3=1,'Choix pédagogiques'!$C$3=2),AND($G429&lt;&gt;"",$H429&lt;&gt;"",$I429&lt;&gt;"")),1,0))</f>
        <v/>
      </c>
      <c r="BO429" s="21" t="str">
        <f>IF(OR(COUNT(B429:D1428)=0,COUNT(G429:I1428)=0,'Choix pédagogiques'!C$3&lt;&gt;3),"",IF(AND('Choix pédagogiques'!$C$3=3,$B429&lt;&gt;"",$C429&lt;&gt;"",$D429&lt;&gt;"",$G429&lt;&gt;"",$H429&lt;&gt;"",$I429&lt;&gt;""),1,0))</f>
        <v/>
      </c>
      <c r="BR429" s="21">
        <v>901</v>
      </c>
      <c r="BS429" s="21">
        <v>1096</v>
      </c>
      <c r="BT429"/>
    </row>
    <row r="430" spans="1:72" s="23" customFormat="1" ht="18" customHeight="1" x14ac:dyDescent="0.3">
      <c r="A430" s="35" t="s">
        <v>420</v>
      </c>
      <c r="B430" s="37"/>
      <c r="C430" s="37"/>
      <c r="D430" s="37"/>
      <c r="E430" s="37"/>
      <c r="F430" s="35" t="s">
        <v>1428</v>
      </c>
      <c r="G430" s="37"/>
      <c r="H430" s="37"/>
      <c r="I430" s="37"/>
      <c r="J430" s="37"/>
      <c r="K430" s="21" t="str">
        <f t="shared" si="311"/>
        <v>Apprenant 418</v>
      </c>
      <c r="L430" s="22" t="str">
        <f t="shared" si="312"/>
        <v/>
      </c>
      <c r="M430" s="22" t="str">
        <f t="shared" si="313"/>
        <v/>
      </c>
      <c r="N430" s="22" t="str">
        <f t="shared" si="314"/>
        <v/>
      </c>
      <c r="O430" s="22" t="str">
        <f t="shared" si="315"/>
        <v/>
      </c>
      <c r="P430" s="21" t="str">
        <f t="shared" si="316"/>
        <v>Apprenant 418 ou 418'</v>
      </c>
      <c r="Q430" s="22" t="str">
        <f t="shared" si="317"/>
        <v/>
      </c>
      <c r="R430" s="22" t="str">
        <f t="shared" si="318"/>
        <v/>
      </c>
      <c r="S430" s="22" t="str">
        <f t="shared" si="319"/>
        <v/>
      </c>
      <c r="T430" s="22" t="str">
        <f t="shared" si="320"/>
        <v/>
      </c>
      <c r="V430" s="21" t="str">
        <f t="shared" si="321"/>
        <v>Apprenant 418</v>
      </c>
      <c r="W430" s="22" t="str">
        <f>IF(AND(OR('Choix pédagogiques'!$C$3=1,'Choix pédagogiques'!$C$3=2),$BM430=1),B430,IF(AND('Choix pédagogiques'!$C$3=3,$BO430=1),B430,""))</f>
        <v/>
      </c>
      <c r="X430" s="22" t="str">
        <f>IF(AND(OR('Choix pédagogiques'!$C$3=1,'Choix pédagogiques'!$C$3=2),$BM430=1),C430,IF(AND('Choix pédagogiques'!$C$3=3,$BO430=1),C430,""))</f>
        <v/>
      </c>
      <c r="Y430" s="22" t="str">
        <f>IF(AND(OR('Choix pédagogiques'!$C$3=1,'Choix pédagogiques'!$C$3=2),$BM430=1),D430,IF(AND('Choix pédagogiques'!$C$3=3,$BO430=1),D430,""))</f>
        <v/>
      </c>
      <c r="Z430" s="22" t="str">
        <f t="shared" si="322"/>
        <v/>
      </c>
      <c r="AA430" s="21" t="str">
        <f t="shared" si="323"/>
        <v>Apprenant 418 ou 418'</v>
      </c>
      <c r="AB430" s="22" t="str">
        <f>IF(AND(OR('Choix pédagogiques'!$C$3=1,'Choix pédagogiques'!$C$3=2),$BN430=1),G430,IF(AND('Choix pédagogiques'!$C$3=3,$BO430=1),G430,""))</f>
        <v/>
      </c>
      <c r="AC430" s="22" t="str">
        <f>IF(AND(OR('Choix pédagogiques'!$C$3=1,'Choix pédagogiques'!$C$3=2),$BN430=1),H430,IF(AND('Choix pédagogiques'!$C$3=3,$BO430=1),H430,""))</f>
        <v/>
      </c>
      <c r="AD430" s="22" t="str">
        <f>IF(AND(OR('Choix pédagogiques'!$C$3=1,'Choix pédagogiques'!$C$3=2),$BN430=1),I430,IF(AND('Choix pédagogiques'!$C$3=3,$BO430=1),I430,""))</f>
        <v/>
      </c>
      <c r="AE430" s="22" t="str">
        <f t="shared" si="324"/>
        <v/>
      </c>
      <c r="AF430" s="21" t="str">
        <f t="shared" si="325"/>
        <v>Apprenant 418</v>
      </c>
      <c r="AG430" s="22" t="str">
        <f t="shared" si="299"/>
        <v/>
      </c>
      <c r="AH430" s="22" t="str">
        <f t="shared" si="300"/>
        <v/>
      </c>
      <c r="AI430" s="22" t="str">
        <f t="shared" si="301"/>
        <v/>
      </c>
      <c r="AJ430" s="22" t="str">
        <f t="shared" si="326"/>
        <v/>
      </c>
      <c r="AK430" s="21" t="str">
        <f t="shared" si="327"/>
        <v>Apprenant 418 ou 418'</v>
      </c>
      <c r="AL430" s="22" t="str">
        <f t="shared" si="302"/>
        <v/>
      </c>
      <c r="AM430" s="22" t="str">
        <f t="shared" si="303"/>
        <v/>
      </c>
      <c r="AN430" s="22" t="str">
        <f t="shared" si="304"/>
        <v/>
      </c>
      <c r="AO430" s="22" t="str">
        <f t="shared" si="328"/>
        <v/>
      </c>
      <c r="AQ430" s="21" t="str">
        <f t="shared" si="329"/>
        <v>Apprenant 418</v>
      </c>
      <c r="AR430" s="49" t="str">
        <f>IF(AND('Choix pédagogiques'!$C$4&lt;&gt;"?",'Choix pédagogiques'!$C$5&lt;&gt;"?",W430&lt;&gt;""),(W430-'Choix pédagogiques'!$C$4)/('Choix pédagogiques'!$C$5-'Choix pédagogiques'!$C$4),"")</f>
        <v/>
      </c>
      <c r="AS430" s="49" t="str">
        <f>IF(AND('Choix pédagogiques'!$C$4&lt;&gt;"?",'Choix pédagogiques'!$C$5&lt;&gt;"?",X430&lt;&gt;""),(X430-'Choix pédagogiques'!$C$4)/('Choix pédagogiques'!$C$5-'Choix pédagogiques'!$C$4),"")</f>
        <v/>
      </c>
      <c r="AT430" s="49" t="str">
        <f>IF(AND('Choix pédagogiques'!$C$4&lt;&gt;"?",'Choix pédagogiques'!$C$5&lt;&gt;"?",Y430&lt;&gt;""),(Y430-'Choix pédagogiques'!$C$4)/('Choix pédagogiques'!$C$5-'Choix pédagogiques'!$C$4),"")</f>
        <v/>
      </c>
      <c r="AU430" s="22" t="str">
        <f t="shared" si="330"/>
        <v/>
      </c>
      <c r="AV430" s="21" t="str">
        <f t="shared" si="331"/>
        <v>Apprenant 418 ou 418'</v>
      </c>
      <c r="AW430" s="49" t="str">
        <f>IF(AND('Choix pédagogiques'!$C$4&lt;&gt;"?",'Choix pédagogiques'!$C$5&lt;&gt;"?",AB430&lt;&gt;""),(AB430-'Choix pédagogiques'!$C$4)/('Choix pédagogiques'!$C$5-'Choix pédagogiques'!$C$4),"")</f>
        <v/>
      </c>
      <c r="AX430" s="49" t="str">
        <f>IF(AND('Choix pédagogiques'!$C$4&lt;&gt;"?",'Choix pédagogiques'!$C$5&lt;&gt;"?",AC430&lt;&gt;""),(AC430-'Choix pédagogiques'!$C$4)/('Choix pédagogiques'!$C$5-'Choix pédagogiques'!$C$4),"")</f>
        <v/>
      </c>
      <c r="AY430" s="49" t="str">
        <f>IF(AND('Choix pédagogiques'!$C$4&lt;&gt;"?",'Choix pédagogiques'!$C$5&lt;&gt;"?",AD430&lt;&gt;""),(AD430-'Choix pédagogiques'!$C$4)/('Choix pédagogiques'!$C$5-'Choix pédagogiques'!$C$4),"")</f>
        <v/>
      </c>
      <c r="AZ430" s="22" t="str">
        <f t="shared" si="332"/>
        <v/>
      </c>
      <c r="BA430" s="21" t="str">
        <f t="shared" si="333"/>
        <v>Apprenant 418</v>
      </c>
      <c r="BB430" s="49" t="str">
        <f t="shared" si="305"/>
        <v/>
      </c>
      <c r="BC430" s="49" t="str">
        <f t="shared" si="306"/>
        <v/>
      </c>
      <c r="BD430" s="49" t="str">
        <f t="shared" si="307"/>
        <v/>
      </c>
      <c r="BE430" s="22" t="str">
        <f t="shared" si="334"/>
        <v/>
      </c>
      <c r="BF430" s="21" t="str">
        <f t="shared" si="335"/>
        <v>Apprenant 418 ou 418'</v>
      </c>
      <c r="BG430" s="49" t="str">
        <f t="shared" si="308"/>
        <v/>
      </c>
      <c r="BH430" s="49" t="str">
        <f t="shared" si="309"/>
        <v/>
      </c>
      <c r="BI430" s="49" t="str">
        <f t="shared" si="310"/>
        <v/>
      </c>
      <c r="BJ430" s="22" t="str">
        <f t="shared" si="336"/>
        <v/>
      </c>
      <c r="BL430" s="21"/>
      <c r="BM430" s="21" t="str">
        <f>IF(OR(COUNT(B430:D1429)=0,AND('Choix pédagogiques'!$C$3&lt;&gt;1,'Choix pédagogiques'!$C$3&lt;&gt;2)),"",IF(AND(OR('Choix pédagogiques'!$C$3=1,'Choix pédagogiques'!$C$3=2),$B430&lt;&gt;"",$C430&lt;&gt;"",$D430&lt;&gt;""),1,0))</f>
        <v/>
      </c>
      <c r="BN430" s="21" t="str">
        <f>IF(OR(COUNT(G430:I1429)=0,AND('Choix pédagogiques'!$C$3&lt;&gt;1,'Choix pédagogiques'!$C$3&lt;&gt;2)),"",IF(AND(OR('Choix pédagogiques'!$C$3=1,'Choix pédagogiques'!$C$3=2),AND($G430&lt;&gt;"",$H430&lt;&gt;"",$I430&lt;&gt;"")),1,0))</f>
        <v/>
      </c>
      <c r="BO430" s="21" t="str">
        <f>IF(OR(COUNT(B430:D1429)=0,COUNT(G430:I1429)=0,'Choix pédagogiques'!C$3&lt;&gt;3),"",IF(AND('Choix pédagogiques'!$C$3=3,$B430&lt;&gt;"",$C430&lt;&gt;"",$D430&lt;&gt;"",$G430&lt;&gt;"",$H430&lt;&gt;"",$I430&lt;&gt;""),1,0))</f>
        <v/>
      </c>
      <c r="BR430" s="21">
        <v>36</v>
      </c>
      <c r="BS430" s="21">
        <v>1051</v>
      </c>
      <c r="BT430"/>
    </row>
    <row r="431" spans="1:72" s="23" customFormat="1" ht="18" customHeight="1" x14ac:dyDescent="0.3">
      <c r="A431" s="35" t="s">
        <v>421</v>
      </c>
      <c r="B431" s="37"/>
      <c r="C431" s="37"/>
      <c r="D431" s="37"/>
      <c r="E431" s="37"/>
      <c r="F431" s="35" t="s">
        <v>1429</v>
      </c>
      <c r="G431" s="37"/>
      <c r="H431" s="37"/>
      <c r="I431" s="37"/>
      <c r="J431" s="37"/>
      <c r="K431" s="21" t="str">
        <f t="shared" si="311"/>
        <v>Apprenant 419</v>
      </c>
      <c r="L431" s="22" t="str">
        <f t="shared" si="312"/>
        <v/>
      </c>
      <c r="M431" s="22" t="str">
        <f t="shared" si="313"/>
        <v/>
      </c>
      <c r="N431" s="22" t="str">
        <f t="shared" si="314"/>
        <v/>
      </c>
      <c r="O431" s="22" t="str">
        <f t="shared" si="315"/>
        <v/>
      </c>
      <c r="P431" s="21" t="str">
        <f t="shared" si="316"/>
        <v>Apprenant 419 ou 419'</v>
      </c>
      <c r="Q431" s="22" t="str">
        <f t="shared" si="317"/>
        <v/>
      </c>
      <c r="R431" s="22" t="str">
        <f t="shared" si="318"/>
        <v/>
      </c>
      <c r="S431" s="22" t="str">
        <f t="shared" si="319"/>
        <v/>
      </c>
      <c r="T431" s="22" t="str">
        <f t="shared" si="320"/>
        <v/>
      </c>
      <c r="V431" s="21" t="str">
        <f t="shared" si="321"/>
        <v>Apprenant 419</v>
      </c>
      <c r="W431" s="22" t="str">
        <f>IF(AND(OR('Choix pédagogiques'!$C$3=1,'Choix pédagogiques'!$C$3=2),$BM431=1),B431,IF(AND('Choix pédagogiques'!$C$3=3,$BO431=1),B431,""))</f>
        <v/>
      </c>
      <c r="X431" s="22" t="str">
        <f>IF(AND(OR('Choix pédagogiques'!$C$3=1,'Choix pédagogiques'!$C$3=2),$BM431=1),C431,IF(AND('Choix pédagogiques'!$C$3=3,$BO431=1),C431,""))</f>
        <v/>
      </c>
      <c r="Y431" s="22" t="str">
        <f>IF(AND(OR('Choix pédagogiques'!$C$3=1,'Choix pédagogiques'!$C$3=2),$BM431=1),D431,IF(AND('Choix pédagogiques'!$C$3=3,$BO431=1),D431,""))</f>
        <v/>
      </c>
      <c r="Z431" s="22" t="str">
        <f t="shared" si="322"/>
        <v/>
      </c>
      <c r="AA431" s="21" t="str">
        <f t="shared" si="323"/>
        <v>Apprenant 419 ou 419'</v>
      </c>
      <c r="AB431" s="22" t="str">
        <f>IF(AND(OR('Choix pédagogiques'!$C$3=1,'Choix pédagogiques'!$C$3=2),$BN431=1),G431,IF(AND('Choix pédagogiques'!$C$3=3,$BO431=1),G431,""))</f>
        <v/>
      </c>
      <c r="AC431" s="22" t="str">
        <f>IF(AND(OR('Choix pédagogiques'!$C$3=1,'Choix pédagogiques'!$C$3=2),$BN431=1),H431,IF(AND('Choix pédagogiques'!$C$3=3,$BO431=1),H431,""))</f>
        <v/>
      </c>
      <c r="AD431" s="22" t="str">
        <f>IF(AND(OR('Choix pédagogiques'!$C$3=1,'Choix pédagogiques'!$C$3=2),$BN431=1),I431,IF(AND('Choix pédagogiques'!$C$3=3,$BO431=1),I431,""))</f>
        <v/>
      </c>
      <c r="AE431" s="22" t="str">
        <f t="shared" si="324"/>
        <v/>
      </c>
      <c r="AF431" s="21" t="str">
        <f t="shared" si="325"/>
        <v>Apprenant 419</v>
      </c>
      <c r="AG431" s="22" t="str">
        <f t="shared" si="299"/>
        <v/>
      </c>
      <c r="AH431" s="22" t="str">
        <f t="shared" si="300"/>
        <v/>
      </c>
      <c r="AI431" s="22" t="str">
        <f t="shared" si="301"/>
        <v/>
      </c>
      <c r="AJ431" s="22" t="str">
        <f t="shared" si="326"/>
        <v/>
      </c>
      <c r="AK431" s="21" t="str">
        <f t="shared" si="327"/>
        <v>Apprenant 419 ou 419'</v>
      </c>
      <c r="AL431" s="22" t="str">
        <f t="shared" si="302"/>
        <v/>
      </c>
      <c r="AM431" s="22" t="str">
        <f t="shared" si="303"/>
        <v/>
      </c>
      <c r="AN431" s="22" t="str">
        <f t="shared" si="304"/>
        <v/>
      </c>
      <c r="AO431" s="22" t="str">
        <f t="shared" si="328"/>
        <v/>
      </c>
      <c r="AQ431" s="21" t="str">
        <f t="shared" si="329"/>
        <v>Apprenant 419</v>
      </c>
      <c r="AR431" s="49" t="str">
        <f>IF(AND('Choix pédagogiques'!$C$4&lt;&gt;"?",'Choix pédagogiques'!$C$5&lt;&gt;"?",W431&lt;&gt;""),(W431-'Choix pédagogiques'!$C$4)/('Choix pédagogiques'!$C$5-'Choix pédagogiques'!$C$4),"")</f>
        <v/>
      </c>
      <c r="AS431" s="49" t="str">
        <f>IF(AND('Choix pédagogiques'!$C$4&lt;&gt;"?",'Choix pédagogiques'!$C$5&lt;&gt;"?",X431&lt;&gt;""),(X431-'Choix pédagogiques'!$C$4)/('Choix pédagogiques'!$C$5-'Choix pédagogiques'!$C$4),"")</f>
        <v/>
      </c>
      <c r="AT431" s="49" t="str">
        <f>IF(AND('Choix pédagogiques'!$C$4&lt;&gt;"?",'Choix pédagogiques'!$C$5&lt;&gt;"?",Y431&lt;&gt;""),(Y431-'Choix pédagogiques'!$C$4)/('Choix pédagogiques'!$C$5-'Choix pédagogiques'!$C$4),"")</f>
        <v/>
      </c>
      <c r="AU431" s="22" t="str">
        <f t="shared" si="330"/>
        <v/>
      </c>
      <c r="AV431" s="21" t="str">
        <f t="shared" si="331"/>
        <v>Apprenant 419 ou 419'</v>
      </c>
      <c r="AW431" s="49" t="str">
        <f>IF(AND('Choix pédagogiques'!$C$4&lt;&gt;"?",'Choix pédagogiques'!$C$5&lt;&gt;"?",AB431&lt;&gt;""),(AB431-'Choix pédagogiques'!$C$4)/('Choix pédagogiques'!$C$5-'Choix pédagogiques'!$C$4),"")</f>
        <v/>
      </c>
      <c r="AX431" s="49" t="str">
        <f>IF(AND('Choix pédagogiques'!$C$4&lt;&gt;"?",'Choix pédagogiques'!$C$5&lt;&gt;"?",AC431&lt;&gt;""),(AC431-'Choix pédagogiques'!$C$4)/('Choix pédagogiques'!$C$5-'Choix pédagogiques'!$C$4),"")</f>
        <v/>
      </c>
      <c r="AY431" s="49" t="str">
        <f>IF(AND('Choix pédagogiques'!$C$4&lt;&gt;"?",'Choix pédagogiques'!$C$5&lt;&gt;"?",AD431&lt;&gt;""),(AD431-'Choix pédagogiques'!$C$4)/('Choix pédagogiques'!$C$5-'Choix pédagogiques'!$C$4),"")</f>
        <v/>
      </c>
      <c r="AZ431" s="22" t="str">
        <f t="shared" si="332"/>
        <v/>
      </c>
      <c r="BA431" s="21" t="str">
        <f t="shared" si="333"/>
        <v>Apprenant 419</v>
      </c>
      <c r="BB431" s="49" t="str">
        <f t="shared" si="305"/>
        <v/>
      </c>
      <c r="BC431" s="49" t="str">
        <f t="shared" si="306"/>
        <v/>
      </c>
      <c r="BD431" s="49" t="str">
        <f t="shared" si="307"/>
        <v/>
      </c>
      <c r="BE431" s="22" t="str">
        <f t="shared" si="334"/>
        <v/>
      </c>
      <c r="BF431" s="21" t="str">
        <f t="shared" si="335"/>
        <v>Apprenant 419 ou 419'</v>
      </c>
      <c r="BG431" s="49" t="str">
        <f t="shared" si="308"/>
        <v/>
      </c>
      <c r="BH431" s="49" t="str">
        <f t="shared" si="309"/>
        <v/>
      </c>
      <c r="BI431" s="49" t="str">
        <f t="shared" si="310"/>
        <v/>
      </c>
      <c r="BJ431" s="22" t="str">
        <f t="shared" si="336"/>
        <v/>
      </c>
      <c r="BL431" s="21"/>
      <c r="BM431" s="21" t="str">
        <f>IF(OR(COUNT(B431:D1430)=0,AND('Choix pédagogiques'!$C$3&lt;&gt;1,'Choix pédagogiques'!$C$3&lt;&gt;2)),"",IF(AND(OR('Choix pédagogiques'!$C$3=1,'Choix pédagogiques'!$C$3=2),$B431&lt;&gt;"",$C431&lt;&gt;"",$D431&lt;&gt;""),1,0))</f>
        <v/>
      </c>
      <c r="BN431" s="21" t="str">
        <f>IF(OR(COUNT(G431:I1430)=0,AND('Choix pédagogiques'!$C$3&lt;&gt;1,'Choix pédagogiques'!$C$3&lt;&gt;2)),"",IF(AND(OR('Choix pédagogiques'!$C$3=1,'Choix pédagogiques'!$C$3=2),AND($G431&lt;&gt;"",$H431&lt;&gt;"",$I431&lt;&gt;"")),1,0))</f>
        <v/>
      </c>
      <c r="BO431" s="21" t="str">
        <f>IF(OR(COUNT(B431:D1430)=0,COUNT(G431:I1430)=0,'Choix pédagogiques'!C$3&lt;&gt;3),"",IF(AND('Choix pédagogiques'!$C$3=3,$B431&lt;&gt;"",$C431&lt;&gt;"",$D431&lt;&gt;"",$G431&lt;&gt;"",$H431&lt;&gt;"",$I431&lt;&gt;""),1,0))</f>
        <v/>
      </c>
      <c r="BR431" s="21">
        <v>942</v>
      </c>
      <c r="BS431" s="21">
        <v>1605</v>
      </c>
      <c r="BT431"/>
    </row>
    <row r="432" spans="1:72" s="23" customFormat="1" ht="18" customHeight="1" x14ac:dyDescent="0.3">
      <c r="A432" s="35" t="s">
        <v>422</v>
      </c>
      <c r="B432" s="37"/>
      <c r="C432" s="37"/>
      <c r="D432" s="37"/>
      <c r="E432" s="37"/>
      <c r="F432" s="35" t="s">
        <v>1430</v>
      </c>
      <c r="G432" s="37"/>
      <c r="H432" s="37"/>
      <c r="I432" s="37"/>
      <c r="J432" s="37"/>
      <c r="K432" s="21" t="str">
        <f t="shared" si="311"/>
        <v>Apprenant 420</v>
      </c>
      <c r="L432" s="22" t="str">
        <f t="shared" si="312"/>
        <v/>
      </c>
      <c r="M432" s="22" t="str">
        <f t="shared" si="313"/>
        <v/>
      </c>
      <c r="N432" s="22" t="str">
        <f t="shared" si="314"/>
        <v/>
      </c>
      <c r="O432" s="22" t="str">
        <f t="shared" si="315"/>
        <v/>
      </c>
      <c r="P432" s="21" t="str">
        <f t="shared" si="316"/>
        <v>Apprenant 420 ou 420'</v>
      </c>
      <c r="Q432" s="22" t="str">
        <f t="shared" si="317"/>
        <v/>
      </c>
      <c r="R432" s="22" t="str">
        <f t="shared" si="318"/>
        <v/>
      </c>
      <c r="S432" s="22" t="str">
        <f t="shared" si="319"/>
        <v/>
      </c>
      <c r="T432" s="22" t="str">
        <f t="shared" si="320"/>
        <v/>
      </c>
      <c r="V432" s="21" t="str">
        <f t="shared" si="321"/>
        <v>Apprenant 420</v>
      </c>
      <c r="W432" s="22" t="str">
        <f>IF(AND(OR('Choix pédagogiques'!$C$3=1,'Choix pédagogiques'!$C$3=2),$BM432=1),B432,IF(AND('Choix pédagogiques'!$C$3=3,$BO432=1),B432,""))</f>
        <v/>
      </c>
      <c r="X432" s="22" t="str">
        <f>IF(AND(OR('Choix pédagogiques'!$C$3=1,'Choix pédagogiques'!$C$3=2),$BM432=1),C432,IF(AND('Choix pédagogiques'!$C$3=3,$BO432=1),C432,""))</f>
        <v/>
      </c>
      <c r="Y432" s="22" t="str">
        <f>IF(AND(OR('Choix pédagogiques'!$C$3=1,'Choix pédagogiques'!$C$3=2),$BM432=1),D432,IF(AND('Choix pédagogiques'!$C$3=3,$BO432=1),D432,""))</f>
        <v/>
      </c>
      <c r="Z432" s="22" t="str">
        <f t="shared" si="322"/>
        <v/>
      </c>
      <c r="AA432" s="21" t="str">
        <f t="shared" si="323"/>
        <v>Apprenant 420 ou 420'</v>
      </c>
      <c r="AB432" s="22" t="str">
        <f>IF(AND(OR('Choix pédagogiques'!$C$3=1,'Choix pédagogiques'!$C$3=2),$BN432=1),G432,IF(AND('Choix pédagogiques'!$C$3=3,$BO432=1),G432,""))</f>
        <v/>
      </c>
      <c r="AC432" s="22" t="str">
        <f>IF(AND(OR('Choix pédagogiques'!$C$3=1,'Choix pédagogiques'!$C$3=2),$BN432=1),H432,IF(AND('Choix pédagogiques'!$C$3=3,$BO432=1),H432,""))</f>
        <v/>
      </c>
      <c r="AD432" s="22" t="str">
        <f>IF(AND(OR('Choix pédagogiques'!$C$3=1,'Choix pédagogiques'!$C$3=2),$BN432=1),I432,IF(AND('Choix pédagogiques'!$C$3=3,$BO432=1),I432,""))</f>
        <v/>
      </c>
      <c r="AE432" s="22" t="str">
        <f t="shared" si="324"/>
        <v/>
      </c>
      <c r="AF432" s="21" t="str">
        <f t="shared" si="325"/>
        <v>Apprenant 420</v>
      </c>
      <c r="AG432" s="22" t="str">
        <f t="shared" si="299"/>
        <v/>
      </c>
      <c r="AH432" s="22" t="str">
        <f t="shared" si="300"/>
        <v/>
      </c>
      <c r="AI432" s="22" t="str">
        <f t="shared" si="301"/>
        <v/>
      </c>
      <c r="AJ432" s="22" t="str">
        <f t="shared" si="326"/>
        <v/>
      </c>
      <c r="AK432" s="21" t="str">
        <f t="shared" si="327"/>
        <v>Apprenant 420 ou 420'</v>
      </c>
      <c r="AL432" s="22" t="str">
        <f t="shared" si="302"/>
        <v/>
      </c>
      <c r="AM432" s="22" t="str">
        <f t="shared" si="303"/>
        <v/>
      </c>
      <c r="AN432" s="22" t="str">
        <f t="shared" si="304"/>
        <v/>
      </c>
      <c r="AO432" s="22" t="str">
        <f t="shared" si="328"/>
        <v/>
      </c>
      <c r="AQ432" s="21" t="str">
        <f t="shared" si="329"/>
        <v>Apprenant 420</v>
      </c>
      <c r="AR432" s="49" t="str">
        <f>IF(AND('Choix pédagogiques'!$C$4&lt;&gt;"?",'Choix pédagogiques'!$C$5&lt;&gt;"?",W432&lt;&gt;""),(W432-'Choix pédagogiques'!$C$4)/('Choix pédagogiques'!$C$5-'Choix pédagogiques'!$C$4),"")</f>
        <v/>
      </c>
      <c r="AS432" s="49" t="str">
        <f>IF(AND('Choix pédagogiques'!$C$4&lt;&gt;"?",'Choix pédagogiques'!$C$5&lt;&gt;"?",X432&lt;&gt;""),(X432-'Choix pédagogiques'!$C$4)/('Choix pédagogiques'!$C$5-'Choix pédagogiques'!$C$4),"")</f>
        <v/>
      </c>
      <c r="AT432" s="49" t="str">
        <f>IF(AND('Choix pédagogiques'!$C$4&lt;&gt;"?",'Choix pédagogiques'!$C$5&lt;&gt;"?",Y432&lt;&gt;""),(Y432-'Choix pédagogiques'!$C$4)/('Choix pédagogiques'!$C$5-'Choix pédagogiques'!$C$4),"")</f>
        <v/>
      </c>
      <c r="AU432" s="22" t="str">
        <f t="shared" si="330"/>
        <v/>
      </c>
      <c r="AV432" s="21" t="str">
        <f t="shared" si="331"/>
        <v>Apprenant 420 ou 420'</v>
      </c>
      <c r="AW432" s="49" t="str">
        <f>IF(AND('Choix pédagogiques'!$C$4&lt;&gt;"?",'Choix pédagogiques'!$C$5&lt;&gt;"?",AB432&lt;&gt;""),(AB432-'Choix pédagogiques'!$C$4)/('Choix pédagogiques'!$C$5-'Choix pédagogiques'!$C$4),"")</f>
        <v/>
      </c>
      <c r="AX432" s="49" t="str">
        <f>IF(AND('Choix pédagogiques'!$C$4&lt;&gt;"?",'Choix pédagogiques'!$C$5&lt;&gt;"?",AC432&lt;&gt;""),(AC432-'Choix pédagogiques'!$C$4)/('Choix pédagogiques'!$C$5-'Choix pédagogiques'!$C$4),"")</f>
        <v/>
      </c>
      <c r="AY432" s="49" t="str">
        <f>IF(AND('Choix pédagogiques'!$C$4&lt;&gt;"?",'Choix pédagogiques'!$C$5&lt;&gt;"?",AD432&lt;&gt;""),(AD432-'Choix pédagogiques'!$C$4)/('Choix pédagogiques'!$C$5-'Choix pédagogiques'!$C$4),"")</f>
        <v/>
      </c>
      <c r="AZ432" s="22" t="str">
        <f t="shared" si="332"/>
        <v/>
      </c>
      <c r="BA432" s="21" t="str">
        <f t="shared" si="333"/>
        <v>Apprenant 420</v>
      </c>
      <c r="BB432" s="49" t="str">
        <f t="shared" si="305"/>
        <v/>
      </c>
      <c r="BC432" s="49" t="str">
        <f t="shared" si="306"/>
        <v/>
      </c>
      <c r="BD432" s="49" t="str">
        <f t="shared" si="307"/>
        <v/>
      </c>
      <c r="BE432" s="22" t="str">
        <f t="shared" si="334"/>
        <v/>
      </c>
      <c r="BF432" s="21" t="str">
        <f t="shared" si="335"/>
        <v>Apprenant 420 ou 420'</v>
      </c>
      <c r="BG432" s="49" t="str">
        <f t="shared" si="308"/>
        <v/>
      </c>
      <c r="BH432" s="49" t="str">
        <f t="shared" si="309"/>
        <v/>
      </c>
      <c r="BI432" s="49" t="str">
        <f t="shared" si="310"/>
        <v/>
      </c>
      <c r="BJ432" s="22" t="str">
        <f t="shared" si="336"/>
        <v/>
      </c>
      <c r="BL432" s="21"/>
      <c r="BM432" s="21" t="str">
        <f>IF(OR(COUNT(B432:D1431)=0,AND('Choix pédagogiques'!$C$3&lt;&gt;1,'Choix pédagogiques'!$C$3&lt;&gt;2)),"",IF(AND(OR('Choix pédagogiques'!$C$3=1,'Choix pédagogiques'!$C$3=2),$B432&lt;&gt;"",$C432&lt;&gt;"",$D432&lt;&gt;""),1,0))</f>
        <v/>
      </c>
      <c r="BN432" s="21" t="str">
        <f>IF(OR(COUNT(G432:I1431)=0,AND('Choix pédagogiques'!$C$3&lt;&gt;1,'Choix pédagogiques'!$C$3&lt;&gt;2)),"",IF(AND(OR('Choix pédagogiques'!$C$3=1,'Choix pédagogiques'!$C$3=2),AND($G432&lt;&gt;"",$H432&lt;&gt;"",$I432&lt;&gt;"")),1,0))</f>
        <v/>
      </c>
      <c r="BO432" s="21" t="str">
        <f>IF(OR(COUNT(B432:D1431)=0,COUNT(G432:I1431)=0,'Choix pédagogiques'!C$3&lt;&gt;3),"",IF(AND('Choix pédagogiques'!$C$3=3,$B432&lt;&gt;"",$C432&lt;&gt;"",$D432&lt;&gt;"",$G432&lt;&gt;"",$H432&lt;&gt;"",$I432&lt;&gt;""),1,0))</f>
        <v/>
      </c>
      <c r="BR432" s="21">
        <v>841</v>
      </c>
      <c r="BS432" s="21">
        <v>1103</v>
      </c>
      <c r="BT432"/>
    </row>
    <row r="433" spans="1:72" s="23" customFormat="1" ht="18" customHeight="1" x14ac:dyDescent="0.3">
      <c r="A433" s="35" t="s">
        <v>423</v>
      </c>
      <c r="B433" s="37"/>
      <c r="C433" s="37"/>
      <c r="D433" s="37"/>
      <c r="E433" s="37"/>
      <c r="F433" s="35" t="s">
        <v>1431</v>
      </c>
      <c r="G433" s="37"/>
      <c r="H433" s="37"/>
      <c r="I433" s="37"/>
      <c r="J433" s="37"/>
      <c r="K433" s="21" t="str">
        <f t="shared" si="311"/>
        <v>Apprenant 421</v>
      </c>
      <c r="L433" s="22" t="str">
        <f t="shared" si="312"/>
        <v/>
      </c>
      <c r="M433" s="22" t="str">
        <f t="shared" si="313"/>
        <v/>
      </c>
      <c r="N433" s="22" t="str">
        <f t="shared" si="314"/>
        <v/>
      </c>
      <c r="O433" s="22" t="str">
        <f t="shared" si="315"/>
        <v/>
      </c>
      <c r="P433" s="21" t="str">
        <f t="shared" si="316"/>
        <v>Apprenant 421 ou 421'</v>
      </c>
      <c r="Q433" s="22" t="str">
        <f t="shared" si="317"/>
        <v/>
      </c>
      <c r="R433" s="22" t="str">
        <f t="shared" si="318"/>
        <v/>
      </c>
      <c r="S433" s="22" t="str">
        <f t="shared" si="319"/>
        <v/>
      </c>
      <c r="T433" s="22" t="str">
        <f t="shared" si="320"/>
        <v/>
      </c>
      <c r="V433" s="21" t="str">
        <f t="shared" si="321"/>
        <v>Apprenant 421</v>
      </c>
      <c r="W433" s="22" t="str">
        <f>IF(AND(OR('Choix pédagogiques'!$C$3=1,'Choix pédagogiques'!$C$3=2),$BM433=1),B433,IF(AND('Choix pédagogiques'!$C$3=3,$BO433=1),B433,""))</f>
        <v/>
      </c>
      <c r="X433" s="22" t="str">
        <f>IF(AND(OR('Choix pédagogiques'!$C$3=1,'Choix pédagogiques'!$C$3=2),$BM433=1),C433,IF(AND('Choix pédagogiques'!$C$3=3,$BO433=1),C433,""))</f>
        <v/>
      </c>
      <c r="Y433" s="22" t="str">
        <f>IF(AND(OR('Choix pédagogiques'!$C$3=1,'Choix pédagogiques'!$C$3=2),$BM433=1),D433,IF(AND('Choix pédagogiques'!$C$3=3,$BO433=1),D433,""))</f>
        <v/>
      </c>
      <c r="Z433" s="22" t="str">
        <f t="shared" si="322"/>
        <v/>
      </c>
      <c r="AA433" s="21" t="str">
        <f t="shared" si="323"/>
        <v>Apprenant 421 ou 421'</v>
      </c>
      <c r="AB433" s="22" t="str">
        <f>IF(AND(OR('Choix pédagogiques'!$C$3=1,'Choix pédagogiques'!$C$3=2),$BN433=1),G433,IF(AND('Choix pédagogiques'!$C$3=3,$BO433=1),G433,""))</f>
        <v/>
      </c>
      <c r="AC433" s="22" t="str">
        <f>IF(AND(OR('Choix pédagogiques'!$C$3=1,'Choix pédagogiques'!$C$3=2),$BN433=1),H433,IF(AND('Choix pédagogiques'!$C$3=3,$BO433=1),H433,""))</f>
        <v/>
      </c>
      <c r="AD433" s="22" t="str">
        <f>IF(AND(OR('Choix pédagogiques'!$C$3=1,'Choix pédagogiques'!$C$3=2),$BN433=1),I433,IF(AND('Choix pédagogiques'!$C$3=3,$BO433=1),I433,""))</f>
        <v/>
      </c>
      <c r="AE433" s="22" t="str">
        <f t="shared" si="324"/>
        <v/>
      </c>
      <c r="AF433" s="21" t="str">
        <f t="shared" si="325"/>
        <v>Apprenant 421</v>
      </c>
      <c r="AG433" s="22" t="str">
        <f t="shared" si="299"/>
        <v/>
      </c>
      <c r="AH433" s="22" t="str">
        <f t="shared" si="300"/>
        <v/>
      </c>
      <c r="AI433" s="22" t="str">
        <f t="shared" si="301"/>
        <v/>
      </c>
      <c r="AJ433" s="22" t="str">
        <f t="shared" si="326"/>
        <v/>
      </c>
      <c r="AK433" s="21" t="str">
        <f t="shared" si="327"/>
        <v>Apprenant 421 ou 421'</v>
      </c>
      <c r="AL433" s="22" t="str">
        <f t="shared" si="302"/>
        <v/>
      </c>
      <c r="AM433" s="22" t="str">
        <f t="shared" si="303"/>
        <v/>
      </c>
      <c r="AN433" s="22" t="str">
        <f t="shared" si="304"/>
        <v/>
      </c>
      <c r="AO433" s="22" t="str">
        <f t="shared" si="328"/>
        <v/>
      </c>
      <c r="AQ433" s="21" t="str">
        <f t="shared" si="329"/>
        <v>Apprenant 421</v>
      </c>
      <c r="AR433" s="49" t="str">
        <f>IF(AND('Choix pédagogiques'!$C$4&lt;&gt;"?",'Choix pédagogiques'!$C$5&lt;&gt;"?",W433&lt;&gt;""),(W433-'Choix pédagogiques'!$C$4)/('Choix pédagogiques'!$C$5-'Choix pédagogiques'!$C$4),"")</f>
        <v/>
      </c>
      <c r="AS433" s="49" t="str">
        <f>IF(AND('Choix pédagogiques'!$C$4&lt;&gt;"?",'Choix pédagogiques'!$C$5&lt;&gt;"?",X433&lt;&gt;""),(X433-'Choix pédagogiques'!$C$4)/('Choix pédagogiques'!$C$5-'Choix pédagogiques'!$C$4),"")</f>
        <v/>
      </c>
      <c r="AT433" s="49" t="str">
        <f>IF(AND('Choix pédagogiques'!$C$4&lt;&gt;"?",'Choix pédagogiques'!$C$5&lt;&gt;"?",Y433&lt;&gt;""),(Y433-'Choix pédagogiques'!$C$4)/('Choix pédagogiques'!$C$5-'Choix pédagogiques'!$C$4),"")</f>
        <v/>
      </c>
      <c r="AU433" s="22" t="str">
        <f t="shared" si="330"/>
        <v/>
      </c>
      <c r="AV433" s="21" t="str">
        <f t="shared" si="331"/>
        <v>Apprenant 421 ou 421'</v>
      </c>
      <c r="AW433" s="49" t="str">
        <f>IF(AND('Choix pédagogiques'!$C$4&lt;&gt;"?",'Choix pédagogiques'!$C$5&lt;&gt;"?",AB433&lt;&gt;""),(AB433-'Choix pédagogiques'!$C$4)/('Choix pédagogiques'!$C$5-'Choix pédagogiques'!$C$4),"")</f>
        <v/>
      </c>
      <c r="AX433" s="49" t="str">
        <f>IF(AND('Choix pédagogiques'!$C$4&lt;&gt;"?",'Choix pédagogiques'!$C$5&lt;&gt;"?",AC433&lt;&gt;""),(AC433-'Choix pédagogiques'!$C$4)/('Choix pédagogiques'!$C$5-'Choix pédagogiques'!$C$4),"")</f>
        <v/>
      </c>
      <c r="AY433" s="49" t="str">
        <f>IF(AND('Choix pédagogiques'!$C$4&lt;&gt;"?",'Choix pédagogiques'!$C$5&lt;&gt;"?",AD433&lt;&gt;""),(AD433-'Choix pédagogiques'!$C$4)/('Choix pédagogiques'!$C$5-'Choix pédagogiques'!$C$4),"")</f>
        <v/>
      </c>
      <c r="AZ433" s="22" t="str">
        <f t="shared" si="332"/>
        <v/>
      </c>
      <c r="BA433" s="21" t="str">
        <f t="shared" si="333"/>
        <v>Apprenant 421</v>
      </c>
      <c r="BB433" s="49" t="str">
        <f t="shared" si="305"/>
        <v/>
      </c>
      <c r="BC433" s="49" t="str">
        <f t="shared" si="306"/>
        <v/>
      </c>
      <c r="BD433" s="49" t="str">
        <f t="shared" si="307"/>
        <v/>
      </c>
      <c r="BE433" s="22" t="str">
        <f t="shared" si="334"/>
        <v/>
      </c>
      <c r="BF433" s="21" t="str">
        <f t="shared" si="335"/>
        <v>Apprenant 421 ou 421'</v>
      </c>
      <c r="BG433" s="49" t="str">
        <f t="shared" si="308"/>
        <v/>
      </c>
      <c r="BH433" s="49" t="str">
        <f t="shared" si="309"/>
        <v/>
      </c>
      <c r="BI433" s="49" t="str">
        <f t="shared" si="310"/>
        <v/>
      </c>
      <c r="BJ433" s="22" t="str">
        <f t="shared" si="336"/>
        <v/>
      </c>
      <c r="BL433" s="21"/>
      <c r="BM433" s="21" t="str">
        <f>IF(OR(COUNT(B433:D1432)=0,AND('Choix pédagogiques'!$C$3&lt;&gt;1,'Choix pédagogiques'!$C$3&lt;&gt;2)),"",IF(AND(OR('Choix pédagogiques'!$C$3=1,'Choix pédagogiques'!$C$3=2),$B433&lt;&gt;"",$C433&lt;&gt;"",$D433&lt;&gt;""),1,0))</f>
        <v/>
      </c>
      <c r="BN433" s="21" t="str">
        <f>IF(OR(COUNT(G433:I1432)=0,AND('Choix pédagogiques'!$C$3&lt;&gt;1,'Choix pédagogiques'!$C$3&lt;&gt;2)),"",IF(AND(OR('Choix pédagogiques'!$C$3=1,'Choix pédagogiques'!$C$3=2),AND($G433&lt;&gt;"",$H433&lt;&gt;"",$I433&lt;&gt;"")),1,0))</f>
        <v/>
      </c>
      <c r="BO433" s="21" t="str">
        <f>IF(OR(COUNT(B433:D1432)=0,COUNT(G433:I1432)=0,'Choix pédagogiques'!C$3&lt;&gt;3),"",IF(AND('Choix pédagogiques'!$C$3=3,$B433&lt;&gt;"",$C433&lt;&gt;"",$D433&lt;&gt;"",$G433&lt;&gt;"",$H433&lt;&gt;"",$I433&lt;&gt;""),1,0))</f>
        <v/>
      </c>
      <c r="BR433" s="21">
        <v>676</v>
      </c>
      <c r="BS433" s="21">
        <v>1622</v>
      </c>
      <c r="BT433"/>
    </row>
    <row r="434" spans="1:72" s="23" customFormat="1" ht="18" customHeight="1" x14ac:dyDescent="0.3">
      <c r="A434" s="35" t="s">
        <v>424</v>
      </c>
      <c r="B434" s="37"/>
      <c r="C434" s="37"/>
      <c r="D434" s="37"/>
      <c r="E434" s="37"/>
      <c r="F434" s="35" t="s">
        <v>1432</v>
      </c>
      <c r="G434" s="37"/>
      <c r="H434" s="37"/>
      <c r="I434" s="37"/>
      <c r="J434" s="37"/>
      <c r="K434" s="21" t="str">
        <f t="shared" si="311"/>
        <v>Apprenant 422</v>
      </c>
      <c r="L434" s="22" t="str">
        <f t="shared" si="312"/>
        <v/>
      </c>
      <c r="M434" s="22" t="str">
        <f t="shared" si="313"/>
        <v/>
      </c>
      <c r="N434" s="22" t="str">
        <f t="shared" si="314"/>
        <v/>
      </c>
      <c r="O434" s="22" t="str">
        <f t="shared" si="315"/>
        <v/>
      </c>
      <c r="P434" s="21" t="str">
        <f t="shared" si="316"/>
        <v>Apprenant 422 ou 422'</v>
      </c>
      <c r="Q434" s="22" t="str">
        <f t="shared" si="317"/>
        <v/>
      </c>
      <c r="R434" s="22" t="str">
        <f t="shared" si="318"/>
        <v/>
      </c>
      <c r="S434" s="22" t="str">
        <f t="shared" si="319"/>
        <v/>
      </c>
      <c r="T434" s="22" t="str">
        <f t="shared" si="320"/>
        <v/>
      </c>
      <c r="V434" s="21" t="str">
        <f t="shared" si="321"/>
        <v>Apprenant 422</v>
      </c>
      <c r="W434" s="22" t="str">
        <f>IF(AND(OR('Choix pédagogiques'!$C$3=1,'Choix pédagogiques'!$C$3=2),$BM434=1),B434,IF(AND('Choix pédagogiques'!$C$3=3,$BO434=1),B434,""))</f>
        <v/>
      </c>
      <c r="X434" s="22" t="str">
        <f>IF(AND(OR('Choix pédagogiques'!$C$3=1,'Choix pédagogiques'!$C$3=2),$BM434=1),C434,IF(AND('Choix pédagogiques'!$C$3=3,$BO434=1),C434,""))</f>
        <v/>
      </c>
      <c r="Y434" s="22" t="str">
        <f>IF(AND(OR('Choix pédagogiques'!$C$3=1,'Choix pédagogiques'!$C$3=2),$BM434=1),D434,IF(AND('Choix pédagogiques'!$C$3=3,$BO434=1),D434,""))</f>
        <v/>
      </c>
      <c r="Z434" s="22" t="str">
        <f t="shared" si="322"/>
        <v/>
      </c>
      <c r="AA434" s="21" t="str">
        <f t="shared" si="323"/>
        <v>Apprenant 422 ou 422'</v>
      </c>
      <c r="AB434" s="22" t="str">
        <f>IF(AND(OR('Choix pédagogiques'!$C$3=1,'Choix pédagogiques'!$C$3=2),$BN434=1),G434,IF(AND('Choix pédagogiques'!$C$3=3,$BO434=1),G434,""))</f>
        <v/>
      </c>
      <c r="AC434" s="22" t="str">
        <f>IF(AND(OR('Choix pédagogiques'!$C$3=1,'Choix pédagogiques'!$C$3=2),$BN434=1),H434,IF(AND('Choix pédagogiques'!$C$3=3,$BO434=1),H434,""))</f>
        <v/>
      </c>
      <c r="AD434" s="22" t="str">
        <f>IF(AND(OR('Choix pédagogiques'!$C$3=1,'Choix pédagogiques'!$C$3=2),$BN434=1),I434,IF(AND('Choix pédagogiques'!$C$3=3,$BO434=1),I434,""))</f>
        <v/>
      </c>
      <c r="AE434" s="22" t="str">
        <f t="shared" si="324"/>
        <v/>
      </c>
      <c r="AF434" s="21" t="str">
        <f t="shared" si="325"/>
        <v>Apprenant 422</v>
      </c>
      <c r="AG434" s="22" t="str">
        <f t="shared" si="299"/>
        <v/>
      </c>
      <c r="AH434" s="22" t="str">
        <f t="shared" si="300"/>
        <v/>
      </c>
      <c r="AI434" s="22" t="str">
        <f t="shared" si="301"/>
        <v/>
      </c>
      <c r="AJ434" s="22" t="str">
        <f t="shared" si="326"/>
        <v/>
      </c>
      <c r="AK434" s="21" t="str">
        <f t="shared" si="327"/>
        <v>Apprenant 422 ou 422'</v>
      </c>
      <c r="AL434" s="22" t="str">
        <f t="shared" si="302"/>
        <v/>
      </c>
      <c r="AM434" s="22" t="str">
        <f t="shared" si="303"/>
        <v/>
      </c>
      <c r="AN434" s="22" t="str">
        <f t="shared" si="304"/>
        <v/>
      </c>
      <c r="AO434" s="22" t="str">
        <f t="shared" si="328"/>
        <v/>
      </c>
      <c r="AQ434" s="21" t="str">
        <f t="shared" si="329"/>
        <v>Apprenant 422</v>
      </c>
      <c r="AR434" s="49" t="str">
        <f>IF(AND('Choix pédagogiques'!$C$4&lt;&gt;"?",'Choix pédagogiques'!$C$5&lt;&gt;"?",W434&lt;&gt;""),(W434-'Choix pédagogiques'!$C$4)/('Choix pédagogiques'!$C$5-'Choix pédagogiques'!$C$4),"")</f>
        <v/>
      </c>
      <c r="AS434" s="49" t="str">
        <f>IF(AND('Choix pédagogiques'!$C$4&lt;&gt;"?",'Choix pédagogiques'!$C$5&lt;&gt;"?",X434&lt;&gt;""),(X434-'Choix pédagogiques'!$C$4)/('Choix pédagogiques'!$C$5-'Choix pédagogiques'!$C$4),"")</f>
        <v/>
      </c>
      <c r="AT434" s="49" t="str">
        <f>IF(AND('Choix pédagogiques'!$C$4&lt;&gt;"?",'Choix pédagogiques'!$C$5&lt;&gt;"?",Y434&lt;&gt;""),(Y434-'Choix pédagogiques'!$C$4)/('Choix pédagogiques'!$C$5-'Choix pédagogiques'!$C$4),"")</f>
        <v/>
      </c>
      <c r="AU434" s="22" t="str">
        <f t="shared" si="330"/>
        <v/>
      </c>
      <c r="AV434" s="21" t="str">
        <f t="shared" si="331"/>
        <v>Apprenant 422 ou 422'</v>
      </c>
      <c r="AW434" s="49" t="str">
        <f>IF(AND('Choix pédagogiques'!$C$4&lt;&gt;"?",'Choix pédagogiques'!$C$5&lt;&gt;"?",AB434&lt;&gt;""),(AB434-'Choix pédagogiques'!$C$4)/('Choix pédagogiques'!$C$5-'Choix pédagogiques'!$C$4),"")</f>
        <v/>
      </c>
      <c r="AX434" s="49" t="str">
        <f>IF(AND('Choix pédagogiques'!$C$4&lt;&gt;"?",'Choix pédagogiques'!$C$5&lt;&gt;"?",AC434&lt;&gt;""),(AC434-'Choix pédagogiques'!$C$4)/('Choix pédagogiques'!$C$5-'Choix pédagogiques'!$C$4),"")</f>
        <v/>
      </c>
      <c r="AY434" s="49" t="str">
        <f>IF(AND('Choix pédagogiques'!$C$4&lt;&gt;"?",'Choix pédagogiques'!$C$5&lt;&gt;"?",AD434&lt;&gt;""),(AD434-'Choix pédagogiques'!$C$4)/('Choix pédagogiques'!$C$5-'Choix pédagogiques'!$C$4),"")</f>
        <v/>
      </c>
      <c r="AZ434" s="22" t="str">
        <f t="shared" si="332"/>
        <v/>
      </c>
      <c r="BA434" s="21" t="str">
        <f t="shared" si="333"/>
        <v>Apprenant 422</v>
      </c>
      <c r="BB434" s="49" t="str">
        <f t="shared" si="305"/>
        <v/>
      </c>
      <c r="BC434" s="49" t="str">
        <f t="shared" si="306"/>
        <v/>
      </c>
      <c r="BD434" s="49" t="str">
        <f t="shared" si="307"/>
        <v/>
      </c>
      <c r="BE434" s="22" t="str">
        <f t="shared" si="334"/>
        <v/>
      </c>
      <c r="BF434" s="21" t="str">
        <f t="shared" si="335"/>
        <v>Apprenant 422 ou 422'</v>
      </c>
      <c r="BG434" s="49" t="str">
        <f t="shared" si="308"/>
        <v/>
      </c>
      <c r="BH434" s="49" t="str">
        <f t="shared" si="309"/>
        <v/>
      </c>
      <c r="BI434" s="49" t="str">
        <f t="shared" si="310"/>
        <v/>
      </c>
      <c r="BJ434" s="22" t="str">
        <f t="shared" si="336"/>
        <v/>
      </c>
      <c r="BL434" s="21"/>
      <c r="BM434" s="21" t="str">
        <f>IF(OR(COUNT(B434:D1433)=0,AND('Choix pédagogiques'!$C$3&lt;&gt;1,'Choix pédagogiques'!$C$3&lt;&gt;2)),"",IF(AND(OR('Choix pédagogiques'!$C$3=1,'Choix pédagogiques'!$C$3=2),$B434&lt;&gt;"",$C434&lt;&gt;"",$D434&lt;&gt;""),1,0))</f>
        <v/>
      </c>
      <c r="BN434" s="21" t="str">
        <f>IF(OR(COUNT(G434:I1433)=0,AND('Choix pédagogiques'!$C$3&lt;&gt;1,'Choix pédagogiques'!$C$3&lt;&gt;2)),"",IF(AND(OR('Choix pédagogiques'!$C$3=1,'Choix pédagogiques'!$C$3=2),AND($G434&lt;&gt;"",$H434&lt;&gt;"",$I434&lt;&gt;"")),1,0))</f>
        <v/>
      </c>
      <c r="BO434" s="21" t="str">
        <f>IF(OR(COUNT(B434:D1433)=0,COUNT(G434:I1433)=0,'Choix pédagogiques'!C$3&lt;&gt;3),"",IF(AND('Choix pédagogiques'!$C$3=3,$B434&lt;&gt;"",$C434&lt;&gt;"",$D434&lt;&gt;"",$G434&lt;&gt;"",$H434&lt;&gt;"",$I434&lt;&gt;""),1,0))</f>
        <v/>
      </c>
      <c r="BR434" s="21">
        <v>836</v>
      </c>
      <c r="BS434" s="21">
        <v>1792</v>
      </c>
      <c r="BT434"/>
    </row>
    <row r="435" spans="1:72" s="23" customFormat="1" ht="18" customHeight="1" x14ac:dyDescent="0.3">
      <c r="A435" s="35" t="s">
        <v>425</v>
      </c>
      <c r="B435" s="37"/>
      <c r="C435" s="37"/>
      <c r="D435" s="37"/>
      <c r="E435" s="37"/>
      <c r="F435" s="35" t="s">
        <v>1433</v>
      </c>
      <c r="G435" s="37"/>
      <c r="H435" s="37"/>
      <c r="I435" s="37"/>
      <c r="J435" s="37"/>
      <c r="K435" s="21" t="str">
        <f t="shared" si="311"/>
        <v>Apprenant 423</v>
      </c>
      <c r="L435" s="22" t="str">
        <f t="shared" si="312"/>
        <v/>
      </c>
      <c r="M435" s="22" t="str">
        <f t="shared" si="313"/>
        <v/>
      </c>
      <c r="N435" s="22" t="str">
        <f t="shared" si="314"/>
        <v/>
      </c>
      <c r="O435" s="22" t="str">
        <f t="shared" si="315"/>
        <v/>
      </c>
      <c r="P435" s="21" t="str">
        <f t="shared" si="316"/>
        <v>Apprenant 423 ou 423'</v>
      </c>
      <c r="Q435" s="22" t="str">
        <f t="shared" si="317"/>
        <v/>
      </c>
      <c r="R435" s="22" t="str">
        <f t="shared" si="318"/>
        <v/>
      </c>
      <c r="S435" s="22" t="str">
        <f t="shared" si="319"/>
        <v/>
      </c>
      <c r="T435" s="22" t="str">
        <f t="shared" si="320"/>
        <v/>
      </c>
      <c r="V435" s="21" t="str">
        <f t="shared" si="321"/>
        <v>Apprenant 423</v>
      </c>
      <c r="W435" s="22" t="str">
        <f>IF(AND(OR('Choix pédagogiques'!$C$3=1,'Choix pédagogiques'!$C$3=2),$BM435=1),B435,IF(AND('Choix pédagogiques'!$C$3=3,$BO435=1),B435,""))</f>
        <v/>
      </c>
      <c r="X435" s="22" t="str">
        <f>IF(AND(OR('Choix pédagogiques'!$C$3=1,'Choix pédagogiques'!$C$3=2),$BM435=1),C435,IF(AND('Choix pédagogiques'!$C$3=3,$BO435=1),C435,""))</f>
        <v/>
      </c>
      <c r="Y435" s="22" t="str">
        <f>IF(AND(OR('Choix pédagogiques'!$C$3=1,'Choix pédagogiques'!$C$3=2),$BM435=1),D435,IF(AND('Choix pédagogiques'!$C$3=3,$BO435=1),D435,""))</f>
        <v/>
      </c>
      <c r="Z435" s="22" t="str">
        <f t="shared" si="322"/>
        <v/>
      </c>
      <c r="AA435" s="21" t="str">
        <f t="shared" si="323"/>
        <v>Apprenant 423 ou 423'</v>
      </c>
      <c r="AB435" s="22" t="str">
        <f>IF(AND(OR('Choix pédagogiques'!$C$3=1,'Choix pédagogiques'!$C$3=2),$BN435=1),G435,IF(AND('Choix pédagogiques'!$C$3=3,$BO435=1),G435,""))</f>
        <v/>
      </c>
      <c r="AC435" s="22" t="str">
        <f>IF(AND(OR('Choix pédagogiques'!$C$3=1,'Choix pédagogiques'!$C$3=2),$BN435=1),H435,IF(AND('Choix pédagogiques'!$C$3=3,$BO435=1),H435,""))</f>
        <v/>
      </c>
      <c r="AD435" s="22" t="str">
        <f>IF(AND(OR('Choix pédagogiques'!$C$3=1,'Choix pédagogiques'!$C$3=2),$BN435=1),I435,IF(AND('Choix pédagogiques'!$C$3=3,$BO435=1),I435,""))</f>
        <v/>
      </c>
      <c r="AE435" s="22" t="str">
        <f t="shared" si="324"/>
        <v/>
      </c>
      <c r="AF435" s="21" t="str">
        <f t="shared" si="325"/>
        <v>Apprenant 423</v>
      </c>
      <c r="AG435" s="22" t="str">
        <f t="shared" si="299"/>
        <v/>
      </c>
      <c r="AH435" s="22" t="str">
        <f t="shared" si="300"/>
        <v/>
      </c>
      <c r="AI435" s="22" t="str">
        <f t="shared" si="301"/>
        <v/>
      </c>
      <c r="AJ435" s="22" t="str">
        <f t="shared" si="326"/>
        <v/>
      </c>
      <c r="AK435" s="21" t="str">
        <f t="shared" si="327"/>
        <v>Apprenant 423 ou 423'</v>
      </c>
      <c r="AL435" s="22" t="str">
        <f t="shared" si="302"/>
        <v/>
      </c>
      <c r="AM435" s="22" t="str">
        <f t="shared" si="303"/>
        <v/>
      </c>
      <c r="AN435" s="22" t="str">
        <f t="shared" si="304"/>
        <v/>
      </c>
      <c r="AO435" s="22" t="str">
        <f t="shared" si="328"/>
        <v/>
      </c>
      <c r="AQ435" s="21" t="str">
        <f t="shared" si="329"/>
        <v>Apprenant 423</v>
      </c>
      <c r="AR435" s="49" t="str">
        <f>IF(AND('Choix pédagogiques'!$C$4&lt;&gt;"?",'Choix pédagogiques'!$C$5&lt;&gt;"?",W435&lt;&gt;""),(W435-'Choix pédagogiques'!$C$4)/('Choix pédagogiques'!$C$5-'Choix pédagogiques'!$C$4),"")</f>
        <v/>
      </c>
      <c r="AS435" s="49" t="str">
        <f>IF(AND('Choix pédagogiques'!$C$4&lt;&gt;"?",'Choix pédagogiques'!$C$5&lt;&gt;"?",X435&lt;&gt;""),(X435-'Choix pédagogiques'!$C$4)/('Choix pédagogiques'!$C$5-'Choix pédagogiques'!$C$4),"")</f>
        <v/>
      </c>
      <c r="AT435" s="49" t="str">
        <f>IF(AND('Choix pédagogiques'!$C$4&lt;&gt;"?",'Choix pédagogiques'!$C$5&lt;&gt;"?",Y435&lt;&gt;""),(Y435-'Choix pédagogiques'!$C$4)/('Choix pédagogiques'!$C$5-'Choix pédagogiques'!$C$4),"")</f>
        <v/>
      </c>
      <c r="AU435" s="22" t="str">
        <f t="shared" si="330"/>
        <v/>
      </c>
      <c r="AV435" s="21" t="str">
        <f t="shared" si="331"/>
        <v>Apprenant 423 ou 423'</v>
      </c>
      <c r="AW435" s="49" t="str">
        <f>IF(AND('Choix pédagogiques'!$C$4&lt;&gt;"?",'Choix pédagogiques'!$C$5&lt;&gt;"?",AB435&lt;&gt;""),(AB435-'Choix pédagogiques'!$C$4)/('Choix pédagogiques'!$C$5-'Choix pédagogiques'!$C$4),"")</f>
        <v/>
      </c>
      <c r="AX435" s="49" t="str">
        <f>IF(AND('Choix pédagogiques'!$C$4&lt;&gt;"?",'Choix pédagogiques'!$C$5&lt;&gt;"?",AC435&lt;&gt;""),(AC435-'Choix pédagogiques'!$C$4)/('Choix pédagogiques'!$C$5-'Choix pédagogiques'!$C$4),"")</f>
        <v/>
      </c>
      <c r="AY435" s="49" t="str">
        <f>IF(AND('Choix pédagogiques'!$C$4&lt;&gt;"?",'Choix pédagogiques'!$C$5&lt;&gt;"?",AD435&lt;&gt;""),(AD435-'Choix pédagogiques'!$C$4)/('Choix pédagogiques'!$C$5-'Choix pédagogiques'!$C$4),"")</f>
        <v/>
      </c>
      <c r="AZ435" s="22" t="str">
        <f t="shared" si="332"/>
        <v/>
      </c>
      <c r="BA435" s="21" t="str">
        <f t="shared" si="333"/>
        <v>Apprenant 423</v>
      </c>
      <c r="BB435" s="49" t="str">
        <f t="shared" si="305"/>
        <v/>
      </c>
      <c r="BC435" s="49" t="str">
        <f t="shared" si="306"/>
        <v/>
      </c>
      <c r="BD435" s="49" t="str">
        <f t="shared" si="307"/>
        <v/>
      </c>
      <c r="BE435" s="22" t="str">
        <f t="shared" si="334"/>
        <v/>
      </c>
      <c r="BF435" s="21" t="str">
        <f t="shared" si="335"/>
        <v>Apprenant 423 ou 423'</v>
      </c>
      <c r="BG435" s="49" t="str">
        <f t="shared" si="308"/>
        <v/>
      </c>
      <c r="BH435" s="49" t="str">
        <f t="shared" si="309"/>
        <v/>
      </c>
      <c r="BI435" s="49" t="str">
        <f t="shared" si="310"/>
        <v/>
      </c>
      <c r="BJ435" s="22" t="str">
        <f t="shared" si="336"/>
        <v/>
      </c>
      <c r="BL435" s="21"/>
      <c r="BM435" s="21" t="str">
        <f>IF(OR(COUNT(B435:D1434)=0,AND('Choix pédagogiques'!$C$3&lt;&gt;1,'Choix pédagogiques'!$C$3&lt;&gt;2)),"",IF(AND(OR('Choix pédagogiques'!$C$3=1,'Choix pédagogiques'!$C$3=2),$B435&lt;&gt;"",$C435&lt;&gt;"",$D435&lt;&gt;""),1,0))</f>
        <v/>
      </c>
      <c r="BN435" s="21" t="str">
        <f>IF(OR(COUNT(G435:I1434)=0,AND('Choix pédagogiques'!$C$3&lt;&gt;1,'Choix pédagogiques'!$C$3&lt;&gt;2)),"",IF(AND(OR('Choix pédagogiques'!$C$3=1,'Choix pédagogiques'!$C$3=2),AND($G435&lt;&gt;"",$H435&lt;&gt;"",$I435&lt;&gt;"")),1,0))</f>
        <v/>
      </c>
      <c r="BO435" s="21" t="str">
        <f>IF(OR(COUNT(B435:D1434)=0,COUNT(G435:I1434)=0,'Choix pédagogiques'!C$3&lt;&gt;3),"",IF(AND('Choix pédagogiques'!$C$3=3,$B435&lt;&gt;"",$C435&lt;&gt;"",$D435&lt;&gt;"",$G435&lt;&gt;"",$H435&lt;&gt;"",$I435&lt;&gt;""),1,0))</f>
        <v/>
      </c>
      <c r="BR435" s="21">
        <v>399</v>
      </c>
      <c r="BS435" s="21">
        <v>1786</v>
      </c>
      <c r="BT435"/>
    </row>
    <row r="436" spans="1:72" s="23" customFormat="1" ht="18" customHeight="1" x14ac:dyDescent="0.3">
      <c r="A436" s="35" t="s">
        <v>426</v>
      </c>
      <c r="B436" s="37"/>
      <c r="C436" s="37"/>
      <c r="D436" s="37"/>
      <c r="E436" s="37"/>
      <c r="F436" s="35" t="s">
        <v>1434</v>
      </c>
      <c r="G436" s="37"/>
      <c r="H436" s="37"/>
      <c r="I436" s="37"/>
      <c r="J436" s="37"/>
      <c r="K436" s="21" t="str">
        <f t="shared" si="311"/>
        <v>Apprenant 424</v>
      </c>
      <c r="L436" s="22" t="str">
        <f t="shared" si="312"/>
        <v/>
      </c>
      <c r="M436" s="22" t="str">
        <f t="shared" si="313"/>
        <v/>
      </c>
      <c r="N436" s="22" t="str">
        <f t="shared" si="314"/>
        <v/>
      </c>
      <c r="O436" s="22" t="str">
        <f t="shared" si="315"/>
        <v/>
      </c>
      <c r="P436" s="21" t="str">
        <f t="shared" si="316"/>
        <v>Apprenant 424 ou 424'</v>
      </c>
      <c r="Q436" s="22" t="str">
        <f t="shared" si="317"/>
        <v/>
      </c>
      <c r="R436" s="22" t="str">
        <f t="shared" si="318"/>
        <v/>
      </c>
      <c r="S436" s="22" t="str">
        <f t="shared" si="319"/>
        <v/>
      </c>
      <c r="T436" s="22" t="str">
        <f t="shared" si="320"/>
        <v/>
      </c>
      <c r="V436" s="21" t="str">
        <f t="shared" si="321"/>
        <v>Apprenant 424</v>
      </c>
      <c r="W436" s="22" t="str">
        <f>IF(AND(OR('Choix pédagogiques'!$C$3=1,'Choix pédagogiques'!$C$3=2),$BM436=1),B436,IF(AND('Choix pédagogiques'!$C$3=3,$BO436=1),B436,""))</f>
        <v/>
      </c>
      <c r="X436" s="22" t="str">
        <f>IF(AND(OR('Choix pédagogiques'!$C$3=1,'Choix pédagogiques'!$C$3=2),$BM436=1),C436,IF(AND('Choix pédagogiques'!$C$3=3,$BO436=1),C436,""))</f>
        <v/>
      </c>
      <c r="Y436" s="22" t="str">
        <f>IF(AND(OR('Choix pédagogiques'!$C$3=1,'Choix pédagogiques'!$C$3=2),$BM436=1),D436,IF(AND('Choix pédagogiques'!$C$3=3,$BO436=1),D436,""))</f>
        <v/>
      </c>
      <c r="Z436" s="22" t="str">
        <f t="shared" si="322"/>
        <v/>
      </c>
      <c r="AA436" s="21" t="str">
        <f t="shared" si="323"/>
        <v>Apprenant 424 ou 424'</v>
      </c>
      <c r="AB436" s="22" t="str">
        <f>IF(AND(OR('Choix pédagogiques'!$C$3=1,'Choix pédagogiques'!$C$3=2),$BN436=1),G436,IF(AND('Choix pédagogiques'!$C$3=3,$BO436=1),G436,""))</f>
        <v/>
      </c>
      <c r="AC436" s="22" t="str">
        <f>IF(AND(OR('Choix pédagogiques'!$C$3=1,'Choix pédagogiques'!$C$3=2),$BN436=1),H436,IF(AND('Choix pédagogiques'!$C$3=3,$BO436=1),H436,""))</f>
        <v/>
      </c>
      <c r="AD436" s="22" t="str">
        <f>IF(AND(OR('Choix pédagogiques'!$C$3=1,'Choix pédagogiques'!$C$3=2),$BN436=1),I436,IF(AND('Choix pédagogiques'!$C$3=3,$BO436=1),I436,""))</f>
        <v/>
      </c>
      <c r="AE436" s="22" t="str">
        <f t="shared" si="324"/>
        <v/>
      </c>
      <c r="AF436" s="21" t="str">
        <f t="shared" si="325"/>
        <v>Apprenant 424</v>
      </c>
      <c r="AG436" s="22" t="str">
        <f t="shared" si="299"/>
        <v/>
      </c>
      <c r="AH436" s="22" t="str">
        <f t="shared" si="300"/>
        <v/>
      </c>
      <c r="AI436" s="22" t="str">
        <f t="shared" si="301"/>
        <v/>
      </c>
      <c r="AJ436" s="22" t="str">
        <f t="shared" si="326"/>
        <v/>
      </c>
      <c r="AK436" s="21" t="str">
        <f t="shared" si="327"/>
        <v>Apprenant 424 ou 424'</v>
      </c>
      <c r="AL436" s="22" t="str">
        <f t="shared" si="302"/>
        <v/>
      </c>
      <c r="AM436" s="22" t="str">
        <f t="shared" si="303"/>
        <v/>
      </c>
      <c r="AN436" s="22" t="str">
        <f t="shared" si="304"/>
        <v/>
      </c>
      <c r="AO436" s="22" t="str">
        <f t="shared" si="328"/>
        <v/>
      </c>
      <c r="AQ436" s="21" t="str">
        <f t="shared" si="329"/>
        <v>Apprenant 424</v>
      </c>
      <c r="AR436" s="49" t="str">
        <f>IF(AND('Choix pédagogiques'!$C$4&lt;&gt;"?",'Choix pédagogiques'!$C$5&lt;&gt;"?",W436&lt;&gt;""),(W436-'Choix pédagogiques'!$C$4)/('Choix pédagogiques'!$C$5-'Choix pédagogiques'!$C$4),"")</f>
        <v/>
      </c>
      <c r="AS436" s="49" t="str">
        <f>IF(AND('Choix pédagogiques'!$C$4&lt;&gt;"?",'Choix pédagogiques'!$C$5&lt;&gt;"?",X436&lt;&gt;""),(X436-'Choix pédagogiques'!$C$4)/('Choix pédagogiques'!$C$5-'Choix pédagogiques'!$C$4),"")</f>
        <v/>
      </c>
      <c r="AT436" s="49" t="str">
        <f>IF(AND('Choix pédagogiques'!$C$4&lt;&gt;"?",'Choix pédagogiques'!$C$5&lt;&gt;"?",Y436&lt;&gt;""),(Y436-'Choix pédagogiques'!$C$4)/('Choix pédagogiques'!$C$5-'Choix pédagogiques'!$C$4),"")</f>
        <v/>
      </c>
      <c r="AU436" s="22" t="str">
        <f t="shared" si="330"/>
        <v/>
      </c>
      <c r="AV436" s="21" t="str">
        <f t="shared" si="331"/>
        <v>Apprenant 424 ou 424'</v>
      </c>
      <c r="AW436" s="49" t="str">
        <f>IF(AND('Choix pédagogiques'!$C$4&lt;&gt;"?",'Choix pédagogiques'!$C$5&lt;&gt;"?",AB436&lt;&gt;""),(AB436-'Choix pédagogiques'!$C$4)/('Choix pédagogiques'!$C$5-'Choix pédagogiques'!$C$4),"")</f>
        <v/>
      </c>
      <c r="AX436" s="49" t="str">
        <f>IF(AND('Choix pédagogiques'!$C$4&lt;&gt;"?",'Choix pédagogiques'!$C$5&lt;&gt;"?",AC436&lt;&gt;""),(AC436-'Choix pédagogiques'!$C$4)/('Choix pédagogiques'!$C$5-'Choix pédagogiques'!$C$4),"")</f>
        <v/>
      </c>
      <c r="AY436" s="49" t="str">
        <f>IF(AND('Choix pédagogiques'!$C$4&lt;&gt;"?",'Choix pédagogiques'!$C$5&lt;&gt;"?",AD436&lt;&gt;""),(AD436-'Choix pédagogiques'!$C$4)/('Choix pédagogiques'!$C$5-'Choix pédagogiques'!$C$4),"")</f>
        <v/>
      </c>
      <c r="AZ436" s="22" t="str">
        <f t="shared" si="332"/>
        <v/>
      </c>
      <c r="BA436" s="21" t="str">
        <f t="shared" si="333"/>
        <v>Apprenant 424</v>
      </c>
      <c r="BB436" s="49" t="str">
        <f t="shared" si="305"/>
        <v/>
      </c>
      <c r="BC436" s="49" t="str">
        <f t="shared" si="306"/>
        <v/>
      </c>
      <c r="BD436" s="49" t="str">
        <f t="shared" si="307"/>
        <v/>
      </c>
      <c r="BE436" s="22" t="str">
        <f t="shared" si="334"/>
        <v/>
      </c>
      <c r="BF436" s="21" t="str">
        <f t="shared" si="335"/>
        <v>Apprenant 424 ou 424'</v>
      </c>
      <c r="BG436" s="49" t="str">
        <f t="shared" si="308"/>
        <v/>
      </c>
      <c r="BH436" s="49" t="str">
        <f t="shared" si="309"/>
        <v/>
      </c>
      <c r="BI436" s="49" t="str">
        <f t="shared" si="310"/>
        <v/>
      </c>
      <c r="BJ436" s="22" t="str">
        <f t="shared" si="336"/>
        <v/>
      </c>
      <c r="BL436" s="21"/>
      <c r="BM436" s="21" t="str">
        <f>IF(OR(COUNT(B436:D1435)=0,AND('Choix pédagogiques'!$C$3&lt;&gt;1,'Choix pédagogiques'!$C$3&lt;&gt;2)),"",IF(AND(OR('Choix pédagogiques'!$C$3=1,'Choix pédagogiques'!$C$3=2),$B436&lt;&gt;"",$C436&lt;&gt;"",$D436&lt;&gt;""),1,0))</f>
        <v/>
      </c>
      <c r="BN436" s="21" t="str">
        <f>IF(OR(COUNT(G436:I1435)=0,AND('Choix pédagogiques'!$C$3&lt;&gt;1,'Choix pédagogiques'!$C$3&lt;&gt;2)),"",IF(AND(OR('Choix pédagogiques'!$C$3=1,'Choix pédagogiques'!$C$3=2),AND($G436&lt;&gt;"",$H436&lt;&gt;"",$I436&lt;&gt;"")),1,0))</f>
        <v/>
      </c>
      <c r="BO436" s="21" t="str">
        <f>IF(OR(COUNT(B436:D1435)=0,COUNT(G436:I1435)=0,'Choix pédagogiques'!C$3&lt;&gt;3),"",IF(AND('Choix pédagogiques'!$C$3=3,$B436&lt;&gt;"",$C436&lt;&gt;"",$D436&lt;&gt;"",$G436&lt;&gt;"",$H436&lt;&gt;"",$I436&lt;&gt;""),1,0))</f>
        <v/>
      </c>
      <c r="BR436" s="21">
        <v>63</v>
      </c>
      <c r="BS436" s="21">
        <v>1708</v>
      </c>
      <c r="BT436"/>
    </row>
    <row r="437" spans="1:72" s="23" customFormat="1" ht="18" customHeight="1" x14ac:dyDescent="0.3">
      <c r="A437" s="35" t="s">
        <v>427</v>
      </c>
      <c r="B437" s="37"/>
      <c r="C437" s="37"/>
      <c r="D437" s="37"/>
      <c r="E437" s="37"/>
      <c r="F437" s="35" t="s">
        <v>1435</v>
      </c>
      <c r="G437" s="37"/>
      <c r="H437" s="37"/>
      <c r="I437" s="37"/>
      <c r="J437" s="37"/>
      <c r="K437" s="21" t="str">
        <f t="shared" si="311"/>
        <v>Apprenant 425</v>
      </c>
      <c r="L437" s="22" t="str">
        <f t="shared" si="312"/>
        <v/>
      </c>
      <c r="M437" s="22" t="str">
        <f t="shared" si="313"/>
        <v/>
      </c>
      <c r="N437" s="22" t="str">
        <f t="shared" si="314"/>
        <v/>
      </c>
      <c r="O437" s="22" t="str">
        <f t="shared" si="315"/>
        <v/>
      </c>
      <c r="P437" s="21" t="str">
        <f t="shared" si="316"/>
        <v>Apprenant 425 ou 425'</v>
      </c>
      <c r="Q437" s="22" t="str">
        <f t="shared" si="317"/>
        <v/>
      </c>
      <c r="R437" s="22" t="str">
        <f t="shared" si="318"/>
        <v/>
      </c>
      <c r="S437" s="22" t="str">
        <f t="shared" si="319"/>
        <v/>
      </c>
      <c r="T437" s="22" t="str">
        <f t="shared" si="320"/>
        <v/>
      </c>
      <c r="V437" s="21" t="str">
        <f t="shared" si="321"/>
        <v>Apprenant 425</v>
      </c>
      <c r="W437" s="22" t="str">
        <f>IF(AND(OR('Choix pédagogiques'!$C$3=1,'Choix pédagogiques'!$C$3=2),$BM437=1),B437,IF(AND('Choix pédagogiques'!$C$3=3,$BO437=1),B437,""))</f>
        <v/>
      </c>
      <c r="X437" s="22" t="str">
        <f>IF(AND(OR('Choix pédagogiques'!$C$3=1,'Choix pédagogiques'!$C$3=2),$BM437=1),C437,IF(AND('Choix pédagogiques'!$C$3=3,$BO437=1),C437,""))</f>
        <v/>
      </c>
      <c r="Y437" s="22" t="str">
        <f>IF(AND(OR('Choix pédagogiques'!$C$3=1,'Choix pédagogiques'!$C$3=2),$BM437=1),D437,IF(AND('Choix pédagogiques'!$C$3=3,$BO437=1),D437,""))</f>
        <v/>
      </c>
      <c r="Z437" s="22" t="str">
        <f t="shared" si="322"/>
        <v/>
      </c>
      <c r="AA437" s="21" t="str">
        <f t="shared" si="323"/>
        <v>Apprenant 425 ou 425'</v>
      </c>
      <c r="AB437" s="22" t="str">
        <f>IF(AND(OR('Choix pédagogiques'!$C$3=1,'Choix pédagogiques'!$C$3=2),$BN437=1),G437,IF(AND('Choix pédagogiques'!$C$3=3,$BO437=1),G437,""))</f>
        <v/>
      </c>
      <c r="AC437" s="22" t="str">
        <f>IF(AND(OR('Choix pédagogiques'!$C$3=1,'Choix pédagogiques'!$C$3=2),$BN437=1),H437,IF(AND('Choix pédagogiques'!$C$3=3,$BO437=1),H437,""))</f>
        <v/>
      </c>
      <c r="AD437" s="22" t="str">
        <f>IF(AND(OR('Choix pédagogiques'!$C$3=1,'Choix pédagogiques'!$C$3=2),$BN437=1),I437,IF(AND('Choix pédagogiques'!$C$3=3,$BO437=1),I437,""))</f>
        <v/>
      </c>
      <c r="AE437" s="22" t="str">
        <f t="shared" si="324"/>
        <v/>
      </c>
      <c r="AF437" s="21" t="str">
        <f t="shared" si="325"/>
        <v>Apprenant 425</v>
      </c>
      <c r="AG437" s="22" t="str">
        <f t="shared" si="299"/>
        <v/>
      </c>
      <c r="AH437" s="22" t="str">
        <f t="shared" si="300"/>
        <v/>
      </c>
      <c r="AI437" s="22" t="str">
        <f t="shared" si="301"/>
        <v/>
      </c>
      <c r="AJ437" s="22" t="str">
        <f t="shared" si="326"/>
        <v/>
      </c>
      <c r="AK437" s="21" t="str">
        <f t="shared" si="327"/>
        <v>Apprenant 425 ou 425'</v>
      </c>
      <c r="AL437" s="22" t="str">
        <f t="shared" si="302"/>
        <v/>
      </c>
      <c r="AM437" s="22" t="str">
        <f t="shared" si="303"/>
        <v/>
      </c>
      <c r="AN437" s="22" t="str">
        <f t="shared" si="304"/>
        <v/>
      </c>
      <c r="AO437" s="22" t="str">
        <f t="shared" si="328"/>
        <v/>
      </c>
      <c r="AQ437" s="21" t="str">
        <f t="shared" si="329"/>
        <v>Apprenant 425</v>
      </c>
      <c r="AR437" s="49" t="str">
        <f>IF(AND('Choix pédagogiques'!$C$4&lt;&gt;"?",'Choix pédagogiques'!$C$5&lt;&gt;"?",W437&lt;&gt;""),(W437-'Choix pédagogiques'!$C$4)/('Choix pédagogiques'!$C$5-'Choix pédagogiques'!$C$4),"")</f>
        <v/>
      </c>
      <c r="AS437" s="49" t="str">
        <f>IF(AND('Choix pédagogiques'!$C$4&lt;&gt;"?",'Choix pédagogiques'!$C$5&lt;&gt;"?",X437&lt;&gt;""),(X437-'Choix pédagogiques'!$C$4)/('Choix pédagogiques'!$C$5-'Choix pédagogiques'!$C$4),"")</f>
        <v/>
      </c>
      <c r="AT437" s="49" t="str">
        <f>IF(AND('Choix pédagogiques'!$C$4&lt;&gt;"?",'Choix pédagogiques'!$C$5&lt;&gt;"?",Y437&lt;&gt;""),(Y437-'Choix pédagogiques'!$C$4)/('Choix pédagogiques'!$C$5-'Choix pédagogiques'!$C$4),"")</f>
        <v/>
      </c>
      <c r="AU437" s="22" t="str">
        <f t="shared" si="330"/>
        <v/>
      </c>
      <c r="AV437" s="21" t="str">
        <f t="shared" si="331"/>
        <v>Apprenant 425 ou 425'</v>
      </c>
      <c r="AW437" s="49" t="str">
        <f>IF(AND('Choix pédagogiques'!$C$4&lt;&gt;"?",'Choix pédagogiques'!$C$5&lt;&gt;"?",AB437&lt;&gt;""),(AB437-'Choix pédagogiques'!$C$4)/('Choix pédagogiques'!$C$5-'Choix pédagogiques'!$C$4),"")</f>
        <v/>
      </c>
      <c r="AX437" s="49" t="str">
        <f>IF(AND('Choix pédagogiques'!$C$4&lt;&gt;"?",'Choix pédagogiques'!$C$5&lt;&gt;"?",AC437&lt;&gt;""),(AC437-'Choix pédagogiques'!$C$4)/('Choix pédagogiques'!$C$5-'Choix pédagogiques'!$C$4),"")</f>
        <v/>
      </c>
      <c r="AY437" s="49" t="str">
        <f>IF(AND('Choix pédagogiques'!$C$4&lt;&gt;"?",'Choix pédagogiques'!$C$5&lt;&gt;"?",AD437&lt;&gt;""),(AD437-'Choix pédagogiques'!$C$4)/('Choix pédagogiques'!$C$5-'Choix pédagogiques'!$C$4),"")</f>
        <v/>
      </c>
      <c r="AZ437" s="22" t="str">
        <f t="shared" si="332"/>
        <v/>
      </c>
      <c r="BA437" s="21" t="str">
        <f t="shared" si="333"/>
        <v>Apprenant 425</v>
      </c>
      <c r="BB437" s="49" t="str">
        <f t="shared" si="305"/>
        <v/>
      </c>
      <c r="BC437" s="49" t="str">
        <f t="shared" si="306"/>
        <v/>
      </c>
      <c r="BD437" s="49" t="str">
        <f t="shared" si="307"/>
        <v/>
      </c>
      <c r="BE437" s="22" t="str">
        <f t="shared" si="334"/>
        <v/>
      </c>
      <c r="BF437" s="21" t="str">
        <f t="shared" si="335"/>
        <v>Apprenant 425 ou 425'</v>
      </c>
      <c r="BG437" s="49" t="str">
        <f t="shared" si="308"/>
        <v/>
      </c>
      <c r="BH437" s="49" t="str">
        <f t="shared" si="309"/>
        <v/>
      </c>
      <c r="BI437" s="49" t="str">
        <f t="shared" si="310"/>
        <v/>
      </c>
      <c r="BJ437" s="22" t="str">
        <f t="shared" si="336"/>
        <v/>
      </c>
      <c r="BL437" s="21"/>
      <c r="BM437" s="21" t="str">
        <f>IF(OR(COUNT(B437:D1436)=0,AND('Choix pédagogiques'!$C$3&lt;&gt;1,'Choix pédagogiques'!$C$3&lt;&gt;2)),"",IF(AND(OR('Choix pédagogiques'!$C$3=1,'Choix pédagogiques'!$C$3=2),$B437&lt;&gt;"",$C437&lt;&gt;"",$D437&lt;&gt;""),1,0))</f>
        <v/>
      </c>
      <c r="BN437" s="21" t="str">
        <f>IF(OR(COUNT(G437:I1436)=0,AND('Choix pédagogiques'!$C$3&lt;&gt;1,'Choix pédagogiques'!$C$3&lt;&gt;2)),"",IF(AND(OR('Choix pédagogiques'!$C$3=1,'Choix pédagogiques'!$C$3=2),AND($G437&lt;&gt;"",$H437&lt;&gt;"",$I437&lt;&gt;"")),1,0))</f>
        <v/>
      </c>
      <c r="BO437" s="21" t="str">
        <f>IF(OR(COUNT(B437:D1436)=0,COUNT(G437:I1436)=0,'Choix pédagogiques'!C$3&lt;&gt;3),"",IF(AND('Choix pédagogiques'!$C$3=3,$B437&lt;&gt;"",$C437&lt;&gt;"",$D437&lt;&gt;"",$G437&lt;&gt;"",$H437&lt;&gt;"",$I437&lt;&gt;""),1,0))</f>
        <v/>
      </c>
      <c r="BR437" s="21">
        <v>28</v>
      </c>
      <c r="BS437" s="21">
        <v>1216</v>
      </c>
      <c r="BT437"/>
    </row>
    <row r="438" spans="1:72" s="23" customFormat="1" ht="18" customHeight="1" x14ac:dyDescent="0.3">
      <c r="A438" s="35" t="s">
        <v>428</v>
      </c>
      <c r="B438" s="37"/>
      <c r="C438" s="37"/>
      <c r="D438" s="37"/>
      <c r="E438" s="37"/>
      <c r="F438" s="35" t="s">
        <v>1436</v>
      </c>
      <c r="G438" s="37"/>
      <c r="H438" s="37"/>
      <c r="I438" s="37"/>
      <c r="J438" s="37"/>
      <c r="K438" s="21" t="str">
        <f t="shared" si="311"/>
        <v>Apprenant 426</v>
      </c>
      <c r="L438" s="22" t="str">
        <f t="shared" si="312"/>
        <v/>
      </c>
      <c r="M438" s="22" t="str">
        <f t="shared" si="313"/>
        <v/>
      </c>
      <c r="N438" s="22" t="str">
        <f t="shared" si="314"/>
        <v/>
      </c>
      <c r="O438" s="22" t="str">
        <f t="shared" si="315"/>
        <v/>
      </c>
      <c r="P438" s="21" t="str">
        <f t="shared" si="316"/>
        <v>Apprenant 426 ou 426'</v>
      </c>
      <c r="Q438" s="22" t="str">
        <f t="shared" si="317"/>
        <v/>
      </c>
      <c r="R438" s="22" t="str">
        <f t="shared" si="318"/>
        <v/>
      </c>
      <c r="S438" s="22" t="str">
        <f t="shared" si="319"/>
        <v/>
      </c>
      <c r="T438" s="22" t="str">
        <f t="shared" si="320"/>
        <v/>
      </c>
      <c r="V438" s="21" t="str">
        <f t="shared" si="321"/>
        <v>Apprenant 426</v>
      </c>
      <c r="W438" s="22" t="str">
        <f>IF(AND(OR('Choix pédagogiques'!$C$3=1,'Choix pédagogiques'!$C$3=2),$BM438=1),B438,IF(AND('Choix pédagogiques'!$C$3=3,$BO438=1),B438,""))</f>
        <v/>
      </c>
      <c r="X438" s="22" t="str">
        <f>IF(AND(OR('Choix pédagogiques'!$C$3=1,'Choix pédagogiques'!$C$3=2),$BM438=1),C438,IF(AND('Choix pédagogiques'!$C$3=3,$BO438=1),C438,""))</f>
        <v/>
      </c>
      <c r="Y438" s="22" t="str">
        <f>IF(AND(OR('Choix pédagogiques'!$C$3=1,'Choix pédagogiques'!$C$3=2),$BM438=1),D438,IF(AND('Choix pédagogiques'!$C$3=3,$BO438=1),D438,""))</f>
        <v/>
      </c>
      <c r="Z438" s="22" t="str">
        <f t="shared" si="322"/>
        <v/>
      </c>
      <c r="AA438" s="21" t="str">
        <f t="shared" si="323"/>
        <v>Apprenant 426 ou 426'</v>
      </c>
      <c r="AB438" s="22" t="str">
        <f>IF(AND(OR('Choix pédagogiques'!$C$3=1,'Choix pédagogiques'!$C$3=2),$BN438=1),G438,IF(AND('Choix pédagogiques'!$C$3=3,$BO438=1),G438,""))</f>
        <v/>
      </c>
      <c r="AC438" s="22" t="str">
        <f>IF(AND(OR('Choix pédagogiques'!$C$3=1,'Choix pédagogiques'!$C$3=2),$BN438=1),H438,IF(AND('Choix pédagogiques'!$C$3=3,$BO438=1),H438,""))</f>
        <v/>
      </c>
      <c r="AD438" s="22" t="str">
        <f>IF(AND(OR('Choix pédagogiques'!$C$3=1,'Choix pédagogiques'!$C$3=2),$BN438=1),I438,IF(AND('Choix pédagogiques'!$C$3=3,$BO438=1),I438,""))</f>
        <v/>
      </c>
      <c r="AE438" s="22" t="str">
        <f t="shared" si="324"/>
        <v/>
      </c>
      <c r="AF438" s="21" t="str">
        <f t="shared" si="325"/>
        <v>Apprenant 426</v>
      </c>
      <c r="AG438" s="22" t="str">
        <f t="shared" si="299"/>
        <v/>
      </c>
      <c r="AH438" s="22" t="str">
        <f t="shared" si="300"/>
        <v/>
      </c>
      <c r="AI438" s="22" t="str">
        <f t="shared" si="301"/>
        <v/>
      </c>
      <c r="AJ438" s="22" t="str">
        <f t="shared" si="326"/>
        <v/>
      </c>
      <c r="AK438" s="21" t="str">
        <f t="shared" si="327"/>
        <v>Apprenant 426 ou 426'</v>
      </c>
      <c r="AL438" s="22" t="str">
        <f t="shared" si="302"/>
        <v/>
      </c>
      <c r="AM438" s="22" t="str">
        <f t="shared" si="303"/>
        <v/>
      </c>
      <c r="AN438" s="22" t="str">
        <f t="shared" si="304"/>
        <v/>
      </c>
      <c r="AO438" s="22" t="str">
        <f t="shared" si="328"/>
        <v/>
      </c>
      <c r="AQ438" s="21" t="str">
        <f t="shared" si="329"/>
        <v>Apprenant 426</v>
      </c>
      <c r="AR438" s="49" t="str">
        <f>IF(AND('Choix pédagogiques'!$C$4&lt;&gt;"?",'Choix pédagogiques'!$C$5&lt;&gt;"?",W438&lt;&gt;""),(W438-'Choix pédagogiques'!$C$4)/('Choix pédagogiques'!$C$5-'Choix pédagogiques'!$C$4),"")</f>
        <v/>
      </c>
      <c r="AS438" s="49" t="str">
        <f>IF(AND('Choix pédagogiques'!$C$4&lt;&gt;"?",'Choix pédagogiques'!$C$5&lt;&gt;"?",X438&lt;&gt;""),(X438-'Choix pédagogiques'!$C$4)/('Choix pédagogiques'!$C$5-'Choix pédagogiques'!$C$4),"")</f>
        <v/>
      </c>
      <c r="AT438" s="49" t="str">
        <f>IF(AND('Choix pédagogiques'!$C$4&lt;&gt;"?",'Choix pédagogiques'!$C$5&lt;&gt;"?",Y438&lt;&gt;""),(Y438-'Choix pédagogiques'!$C$4)/('Choix pédagogiques'!$C$5-'Choix pédagogiques'!$C$4),"")</f>
        <v/>
      </c>
      <c r="AU438" s="22" t="str">
        <f t="shared" si="330"/>
        <v/>
      </c>
      <c r="AV438" s="21" t="str">
        <f t="shared" si="331"/>
        <v>Apprenant 426 ou 426'</v>
      </c>
      <c r="AW438" s="49" t="str">
        <f>IF(AND('Choix pédagogiques'!$C$4&lt;&gt;"?",'Choix pédagogiques'!$C$5&lt;&gt;"?",AB438&lt;&gt;""),(AB438-'Choix pédagogiques'!$C$4)/('Choix pédagogiques'!$C$5-'Choix pédagogiques'!$C$4),"")</f>
        <v/>
      </c>
      <c r="AX438" s="49" t="str">
        <f>IF(AND('Choix pédagogiques'!$C$4&lt;&gt;"?",'Choix pédagogiques'!$C$5&lt;&gt;"?",AC438&lt;&gt;""),(AC438-'Choix pédagogiques'!$C$4)/('Choix pédagogiques'!$C$5-'Choix pédagogiques'!$C$4),"")</f>
        <v/>
      </c>
      <c r="AY438" s="49" t="str">
        <f>IF(AND('Choix pédagogiques'!$C$4&lt;&gt;"?",'Choix pédagogiques'!$C$5&lt;&gt;"?",AD438&lt;&gt;""),(AD438-'Choix pédagogiques'!$C$4)/('Choix pédagogiques'!$C$5-'Choix pédagogiques'!$C$4),"")</f>
        <v/>
      </c>
      <c r="AZ438" s="22" t="str">
        <f t="shared" si="332"/>
        <v/>
      </c>
      <c r="BA438" s="21" t="str">
        <f t="shared" si="333"/>
        <v>Apprenant 426</v>
      </c>
      <c r="BB438" s="49" t="str">
        <f t="shared" si="305"/>
        <v/>
      </c>
      <c r="BC438" s="49" t="str">
        <f t="shared" si="306"/>
        <v/>
      </c>
      <c r="BD438" s="49" t="str">
        <f t="shared" si="307"/>
        <v/>
      </c>
      <c r="BE438" s="22" t="str">
        <f t="shared" si="334"/>
        <v/>
      </c>
      <c r="BF438" s="21" t="str">
        <f t="shared" si="335"/>
        <v>Apprenant 426 ou 426'</v>
      </c>
      <c r="BG438" s="49" t="str">
        <f t="shared" si="308"/>
        <v/>
      </c>
      <c r="BH438" s="49" t="str">
        <f t="shared" si="309"/>
        <v/>
      </c>
      <c r="BI438" s="49" t="str">
        <f t="shared" si="310"/>
        <v/>
      </c>
      <c r="BJ438" s="22" t="str">
        <f t="shared" si="336"/>
        <v/>
      </c>
      <c r="BL438" s="21"/>
      <c r="BM438" s="21" t="str">
        <f>IF(OR(COUNT(B438:D1437)=0,AND('Choix pédagogiques'!$C$3&lt;&gt;1,'Choix pédagogiques'!$C$3&lt;&gt;2)),"",IF(AND(OR('Choix pédagogiques'!$C$3=1,'Choix pédagogiques'!$C$3=2),$B438&lt;&gt;"",$C438&lt;&gt;"",$D438&lt;&gt;""),1,0))</f>
        <v/>
      </c>
      <c r="BN438" s="21" t="str">
        <f>IF(OR(COUNT(G438:I1437)=0,AND('Choix pédagogiques'!$C$3&lt;&gt;1,'Choix pédagogiques'!$C$3&lt;&gt;2)),"",IF(AND(OR('Choix pédagogiques'!$C$3=1,'Choix pédagogiques'!$C$3=2),AND($G438&lt;&gt;"",$H438&lt;&gt;"",$I438&lt;&gt;"")),1,0))</f>
        <v/>
      </c>
      <c r="BO438" s="21" t="str">
        <f>IF(OR(COUNT(B438:D1437)=0,COUNT(G438:I1437)=0,'Choix pédagogiques'!C$3&lt;&gt;3),"",IF(AND('Choix pédagogiques'!$C$3=3,$B438&lt;&gt;"",$C438&lt;&gt;"",$D438&lt;&gt;"",$G438&lt;&gt;"",$H438&lt;&gt;"",$I438&lt;&gt;""),1,0))</f>
        <v/>
      </c>
      <c r="BR438" s="21">
        <v>568</v>
      </c>
      <c r="BS438" s="21">
        <v>1345</v>
      </c>
      <c r="BT438"/>
    </row>
    <row r="439" spans="1:72" s="23" customFormat="1" ht="18" customHeight="1" x14ac:dyDescent="0.3">
      <c r="A439" s="35" t="s">
        <v>429</v>
      </c>
      <c r="B439" s="37"/>
      <c r="C439" s="37"/>
      <c r="D439" s="37"/>
      <c r="E439" s="37"/>
      <c r="F439" s="35" t="s">
        <v>1437</v>
      </c>
      <c r="G439" s="37"/>
      <c r="H439" s="37"/>
      <c r="I439" s="37"/>
      <c r="J439" s="37"/>
      <c r="K439" s="21" t="str">
        <f t="shared" si="311"/>
        <v>Apprenant 427</v>
      </c>
      <c r="L439" s="22" t="str">
        <f t="shared" si="312"/>
        <v/>
      </c>
      <c r="M439" s="22" t="str">
        <f t="shared" si="313"/>
        <v/>
      </c>
      <c r="N439" s="22" t="str">
        <f t="shared" si="314"/>
        <v/>
      </c>
      <c r="O439" s="22" t="str">
        <f t="shared" si="315"/>
        <v/>
      </c>
      <c r="P439" s="21" t="str">
        <f t="shared" si="316"/>
        <v>Apprenant 427 ou 427'</v>
      </c>
      <c r="Q439" s="22" t="str">
        <f t="shared" si="317"/>
        <v/>
      </c>
      <c r="R439" s="22" t="str">
        <f t="shared" si="318"/>
        <v/>
      </c>
      <c r="S439" s="22" t="str">
        <f t="shared" si="319"/>
        <v/>
      </c>
      <c r="T439" s="22" t="str">
        <f t="shared" si="320"/>
        <v/>
      </c>
      <c r="V439" s="21" t="str">
        <f t="shared" si="321"/>
        <v>Apprenant 427</v>
      </c>
      <c r="W439" s="22" t="str">
        <f>IF(AND(OR('Choix pédagogiques'!$C$3=1,'Choix pédagogiques'!$C$3=2),$BM439=1),B439,IF(AND('Choix pédagogiques'!$C$3=3,$BO439=1),B439,""))</f>
        <v/>
      </c>
      <c r="X439" s="22" t="str">
        <f>IF(AND(OR('Choix pédagogiques'!$C$3=1,'Choix pédagogiques'!$C$3=2),$BM439=1),C439,IF(AND('Choix pédagogiques'!$C$3=3,$BO439=1),C439,""))</f>
        <v/>
      </c>
      <c r="Y439" s="22" t="str">
        <f>IF(AND(OR('Choix pédagogiques'!$C$3=1,'Choix pédagogiques'!$C$3=2),$BM439=1),D439,IF(AND('Choix pédagogiques'!$C$3=3,$BO439=1),D439,""))</f>
        <v/>
      </c>
      <c r="Z439" s="22" t="str">
        <f t="shared" si="322"/>
        <v/>
      </c>
      <c r="AA439" s="21" t="str">
        <f t="shared" si="323"/>
        <v>Apprenant 427 ou 427'</v>
      </c>
      <c r="AB439" s="22" t="str">
        <f>IF(AND(OR('Choix pédagogiques'!$C$3=1,'Choix pédagogiques'!$C$3=2),$BN439=1),G439,IF(AND('Choix pédagogiques'!$C$3=3,$BO439=1),G439,""))</f>
        <v/>
      </c>
      <c r="AC439" s="22" t="str">
        <f>IF(AND(OR('Choix pédagogiques'!$C$3=1,'Choix pédagogiques'!$C$3=2),$BN439=1),H439,IF(AND('Choix pédagogiques'!$C$3=3,$BO439=1),H439,""))</f>
        <v/>
      </c>
      <c r="AD439" s="22" t="str">
        <f>IF(AND(OR('Choix pédagogiques'!$C$3=1,'Choix pédagogiques'!$C$3=2),$BN439=1),I439,IF(AND('Choix pédagogiques'!$C$3=3,$BO439=1),I439,""))</f>
        <v/>
      </c>
      <c r="AE439" s="22" t="str">
        <f t="shared" si="324"/>
        <v/>
      </c>
      <c r="AF439" s="21" t="str">
        <f t="shared" si="325"/>
        <v>Apprenant 427</v>
      </c>
      <c r="AG439" s="22" t="str">
        <f t="shared" si="299"/>
        <v/>
      </c>
      <c r="AH439" s="22" t="str">
        <f t="shared" si="300"/>
        <v/>
      </c>
      <c r="AI439" s="22" t="str">
        <f t="shared" si="301"/>
        <v/>
      </c>
      <c r="AJ439" s="22" t="str">
        <f t="shared" si="326"/>
        <v/>
      </c>
      <c r="AK439" s="21" t="str">
        <f t="shared" si="327"/>
        <v>Apprenant 427 ou 427'</v>
      </c>
      <c r="AL439" s="22" t="str">
        <f t="shared" si="302"/>
        <v/>
      </c>
      <c r="AM439" s="22" t="str">
        <f t="shared" si="303"/>
        <v/>
      </c>
      <c r="AN439" s="22" t="str">
        <f t="shared" si="304"/>
        <v/>
      </c>
      <c r="AO439" s="22" t="str">
        <f t="shared" si="328"/>
        <v/>
      </c>
      <c r="AQ439" s="21" t="str">
        <f t="shared" si="329"/>
        <v>Apprenant 427</v>
      </c>
      <c r="AR439" s="49" t="str">
        <f>IF(AND('Choix pédagogiques'!$C$4&lt;&gt;"?",'Choix pédagogiques'!$C$5&lt;&gt;"?",W439&lt;&gt;""),(W439-'Choix pédagogiques'!$C$4)/('Choix pédagogiques'!$C$5-'Choix pédagogiques'!$C$4),"")</f>
        <v/>
      </c>
      <c r="AS439" s="49" t="str">
        <f>IF(AND('Choix pédagogiques'!$C$4&lt;&gt;"?",'Choix pédagogiques'!$C$5&lt;&gt;"?",X439&lt;&gt;""),(X439-'Choix pédagogiques'!$C$4)/('Choix pédagogiques'!$C$5-'Choix pédagogiques'!$C$4),"")</f>
        <v/>
      </c>
      <c r="AT439" s="49" t="str">
        <f>IF(AND('Choix pédagogiques'!$C$4&lt;&gt;"?",'Choix pédagogiques'!$C$5&lt;&gt;"?",Y439&lt;&gt;""),(Y439-'Choix pédagogiques'!$C$4)/('Choix pédagogiques'!$C$5-'Choix pédagogiques'!$C$4),"")</f>
        <v/>
      </c>
      <c r="AU439" s="22" t="str">
        <f t="shared" si="330"/>
        <v/>
      </c>
      <c r="AV439" s="21" t="str">
        <f t="shared" si="331"/>
        <v>Apprenant 427 ou 427'</v>
      </c>
      <c r="AW439" s="49" t="str">
        <f>IF(AND('Choix pédagogiques'!$C$4&lt;&gt;"?",'Choix pédagogiques'!$C$5&lt;&gt;"?",AB439&lt;&gt;""),(AB439-'Choix pédagogiques'!$C$4)/('Choix pédagogiques'!$C$5-'Choix pédagogiques'!$C$4),"")</f>
        <v/>
      </c>
      <c r="AX439" s="49" t="str">
        <f>IF(AND('Choix pédagogiques'!$C$4&lt;&gt;"?",'Choix pédagogiques'!$C$5&lt;&gt;"?",AC439&lt;&gt;""),(AC439-'Choix pédagogiques'!$C$4)/('Choix pédagogiques'!$C$5-'Choix pédagogiques'!$C$4),"")</f>
        <v/>
      </c>
      <c r="AY439" s="49" t="str">
        <f>IF(AND('Choix pédagogiques'!$C$4&lt;&gt;"?",'Choix pédagogiques'!$C$5&lt;&gt;"?",AD439&lt;&gt;""),(AD439-'Choix pédagogiques'!$C$4)/('Choix pédagogiques'!$C$5-'Choix pédagogiques'!$C$4),"")</f>
        <v/>
      </c>
      <c r="AZ439" s="22" t="str">
        <f t="shared" si="332"/>
        <v/>
      </c>
      <c r="BA439" s="21" t="str">
        <f t="shared" si="333"/>
        <v>Apprenant 427</v>
      </c>
      <c r="BB439" s="49" t="str">
        <f t="shared" si="305"/>
        <v/>
      </c>
      <c r="BC439" s="49" t="str">
        <f t="shared" si="306"/>
        <v/>
      </c>
      <c r="BD439" s="49" t="str">
        <f t="shared" si="307"/>
        <v/>
      </c>
      <c r="BE439" s="22" t="str">
        <f t="shared" si="334"/>
        <v/>
      </c>
      <c r="BF439" s="21" t="str">
        <f t="shared" si="335"/>
        <v>Apprenant 427 ou 427'</v>
      </c>
      <c r="BG439" s="49" t="str">
        <f t="shared" si="308"/>
        <v/>
      </c>
      <c r="BH439" s="49" t="str">
        <f t="shared" si="309"/>
        <v/>
      </c>
      <c r="BI439" s="49" t="str">
        <f t="shared" si="310"/>
        <v/>
      </c>
      <c r="BJ439" s="22" t="str">
        <f t="shared" si="336"/>
        <v/>
      </c>
      <c r="BL439" s="21"/>
      <c r="BM439" s="21" t="str">
        <f>IF(OR(COUNT(B439:D1438)=0,AND('Choix pédagogiques'!$C$3&lt;&gt;1,'Choix pédagogiques'!$C$3&lt;&gt;2)),"",IF(AND(OR('Choix pédagogiques'!$C$3=1,'Choix pédagogiques'!$C$3=2),$B439&lt;&gt;"",$C439&lt;&gt;"",$D439&lt;&gt;""),1,0))</f>
        <v/>
      </c>
      <c r="BN439" s="21" t="str">
        <f>IF(OR(COUNT(G439:I1438)=0,AND('Choix pédagogiques'!$C$3&lt;&gt;1,'Choix pédagogiques'!$C$3&lt;&gt;2)),"",IF(AND(OR('Choix pédagogiques'!$C$3=1,'Choix pédagogiques'!$C$3=2),AND($G439&lt;&gt;"",$H439&lt;&gt;"",$I439&lt;&gt;"")),1,0))</f>
        <v/>
      </c>
      <c r="BO439" s="21" t="str">
        <f>IF(OR(COUNT(B439:D1438)=0,COUNT(G439:I1438)=0,'Choix pédagogiques'!C$3&lt;&gt;3),"",IF(AND('Choix pédagogiques'!$C$3=3,$B439&lt;&gt;"",$C439&lt;&gt;"",$D439&lt;&gt;"",$G439&lt;&gt;"",$H439&lt;&gt;"",$I439&lt;&gt;""),1,0))</f>
        <v/>
      </c>
      <c r="BR439" s="21">
        <v>430</v>
      </c>
      <c r="BS439" s="21">
        <v>1543</v>
      </c>
      <c r="BT439"/>
    </row>
    <row r="440" spans="1:72" s="23" customFormat="1" ht="18" customHeight="1" x14ac:dyDescent="0.3">
      <c r="A440" s="35" t="s">
        <v>430</v>
      </c>
      <c r="B440" s="37"/>
      <c r="C440" s="37"/>
      <c r="D440" s="37"/>
      <c r="E440" s="37"/>
      <c r="F440" s="35" t="s">
        <v>1438</v>
      </c>
      <c r="G440" s="37"/>
      <c r="H440" s="37"/>
      <c r="I440" s="37"/>
      <c r="J440" s="37"/>
      <c r="K440" s="21" t="str">
        <f t="shared" si="311"/>
        <v>Apprenant 428</v>
      </c>
      <c r="L440" s="22" t="str">
        <f t="shared" si="312"/>
        <v/>
      </c>
      <c r="M440" s="22" t="str">
        <f t="shared" si="313"/>
        <v/>
      </c>
      <c r="N440" s="22" t="str">
        <f t="shared" si="314"/>
        <v/>
      </c>
      <c r="O440" s="22" t="str">
        <f t="shared" si="315"/>
        <v/>
      </c>
      <c r="P440" s="21" t="str">
        <f t="shared" si="316"/>
        <v>Apprenant 428 ou 428'</v>
      </c>
      <c r="Q440" s="22" t="str">
        <f t="shared" si="317"/>
        <v/>
      </c>
      <c r="R440" s="22" t="str">
        <f t="shared" si="318"/>
        <v/>
      </c>
      <c r="S440" s="22" t="str">
        <f t="shared" si="319"/>
        <v/>
      </c>
      <c r="T440" s="22" t="str">
        <f t="shared" si="320"/>
        <v/>
      </c>
      <c r="V440" s="21" t="str">
        <f t="shared" si="321"/>
        <v>Apprenant 428</v>
      </c>
      <c r="W440" s="22" t="str">
        <f>IF(AND(OR('Choix pédagogiques'!$C$3=1,'Choix pédagogiques'!$C$3=2),$BM440=1),B440,IF(AND('Choix pédagogiques'!$C$3=3,$BO440=1),B440,""))</f>
        <v/>
      </c>
      <c r="X440" s="22" t="str">
        <f>IF(AND(OR('Choix pédagogiques'!$C$3=1,'Choix pédagogiques'!$C$3=2),$BM440=1),C440,IF(AND('Choix pédagogiques'!$C$3=3,$BO440=1),C440,""))</f>
        <v/>
      </c>
      <c r="Y440" s="22" t="str">
        <f>IF(AND(OR('Choix pédagogiques'!$C$3=1,'Choix pédagogiques'!$C$3=2),$BM440=1),D440,IF(AND('Choix pédagogiques'!$C$3=3,$BO440=1),D440,""))</f>
        <v/>
      </c>
      <c r="Z440" s="22" t="str">
        <f t="shared" si="322"/>
        <v/>
      </c>
      <c r="AA440" s="21" t="str">
        <f t="shared" si="323"/>
        <v>Apprenant 428 ou 428'</v>
      </c>
      <c r="AB440" s="22" t="str">
        <f>IF(AND(OR('Choix pédagogiques'!$C$3=1,'Choix pédagogiques'!$C$3=2),$BN440=1),G440,IF(AND('Choix pédagogiques'!$C$3=3,$BO440=1),G440,""))</f>
        <v/>
      </c>
      <c r="AC440" s="22" t="str">
        <f>IF(AND(OR('Choix pédagogiques'!$C$3=1,'Choix pédagogiques'!$C$3=2),$BN440=1),H440,IF(AND('Choix pédagogiques'!$C$3=3,$BO440=1),H440,""))</f>
        <v/>
      </c>
      <c r="AD440" s="22" t="str">
        <f>IF(AND(OR('Choix pédagogiques'!$C$3=1,'Choix pédagogiques'!$C$3=2),$BN440=1),I440,IF(AND('Choix pédagogiques'!$C$3=3,$BO440=1),I440,""))</f>
        <v/>
      </c>
      <c r="AE440" s="22" t="str">
        <f t="shared" si="324"/>
        <v/>
      </c>
      <c r="AF440" s="21" t="str">
        <f t="shared" si="325"/>
        <v>Apprenant 428</v>
      </c>
      <c r="AG440" s="22" t="str">
        <f t="shared" si="299"/>
        <v/>
      </c>
      <c r="AH440" s="22" t="str">
        <f t="shared" si="300"/>
        <v/>
      </c>
      <c r="AI440" s="22" t="str">
        <f t="shared" si="301"/>
        <v/>
      </c>
      <c r="AJ440" s="22" t="str">
        <f t="shared" si="326"/>
        <v/>
      </c>
      <c r="AK440" s="21" t="str">
        <f t="shared" si="327"/>
        <v>Apprenant 428 ou 428'</v>
      </c>
      <c r="AL440" s="22" t="str">
        <f t="shared" si="302"/>
        <v/>
      </c>
      <c r="AM440" s="22" t="str">
        <f t="shared" si="303"/>
        <v/>
      </c>
      <c r="AN440" s="22" t="str">
        <f t="shared" si="304"/>
        <v/>
      </c>
      <c r="AO440" s="22" t="str">
        <f t="shared" si="328"/>
        <v/>
      </c>
      <c r="AQ440" s="21" t="str">
        <f t="shared" si="329"/>
        <v>Apprenant 428</v>
      </c>
      <c r="AR440" s="49" t="str">
        <f>IF(AND('Choix pédagogiques'!$C$4&lt;&gt;"?",'Choix pédagogiques'!$C$5&lt;&gt;"?",W440&lt;&gt;""),(W440-'Choix pédagogiques'!$C$4)/('Choix pédagogiques'!$C$5-'Choix pédagogiques'!$C$4),"")</f>
        <v/>
      </c>
      <c r="AS440" s="49" t="str">
        <f>IF(AND('Choix pédagogiques'!$C$4&lt;&gt;"?",'Choix pédagogiques'!$C$5&lt;&gt;"?",X440&lt;&gt;""),(X440-'Choix pédagogiques'!$C$4)/('Choix pédagogiques'!$C$5-'Choix pédagogiques'!$C$4),"")</f>
        <v/>
      </c>
      <c r="AT440" s="49" t="str">
        <f>IF(AND('Choix pédagogiques'!$C$4&lt;&gt;"?",'Choix pédagogiques'!$C$5&lt;&gt;"?",Y440&lt;&gt;""),(Y440-'Choix pédagogiques'!$C$4)/('Choix pédagogiques'!$C$5-'Choix pédagogiques'!$C$4),"")</f>
        <v/>
      </c>
      <c r="AU440" s="22" t="str">
        <f t="shared" si="330"/>
        <v/>
      </c>
      <c r="AV440" s="21" t="str">
        <f t="shared" si="331"/>
        <v>Apprenant 428 ou 428'</v>
      </c>
      <c r="AW440" s="49" t="str">
        <f>IF(AND('Choix pédagogiques'!$C$4&lt;&gt;"?",'Choix pédagogiques'!$C$5&lt;&gt;"?",AB440&lt;&gt;""),(AB440-'Choix pédagogiques'!$C$4)/('Choix pédagogiques'!$C$5-'Choix pédagogiques'!$C$4),"")</f>
        <v/>
      </c>
      <c r="AX440" s="49" t="str">
        <f>IF(AND('Choix pédagogiques'!$C$4&lt;&gt;"?",'Choix pédagogiques'!$C$5&lt;&gt;"?",AC440&lt;&gt;""),(AC440-'Choix pédagogiques'!$C$4)/('Choix pédagogiques'!$C$5-'Choix pédagogiques'!$C$4),"")</f>
        <v/>
      </c>
      <c r="AY440" s="49" t="str">
        <f>IF(AND('Choix pédagogiques'!$C$4&lt;&gt;"?",'Choix pédagogiques'!$C$5&lt;&gt;"?",AD440&lt;&gt;""),(AD440-'Choix pédagogiques'!$C$4)/('Choix pédagogiques'!$C$5-'Choix pédagogiques'!$C$4),"")</f>
        <v/>
      </c>
      <c r="AZ440" s="22" t="str">
        <f t="shared" si="332"/>
        <v/>
      </c>
      <c r="BA440" s="21" t="str">
        <f t="shared" si="333"/>
        <v>Apprenant 428</v>
      </c>
      <c r="BB440" s="49" t="str">
        <f t="shared" si="305"/>
        <v/>
      </c>
      <c r="BC440" s="49" t="str">
        <f t="shared" si="306"/>
        <v/>
      </c>
      <c r="BD440" s="49" t="str">
        <f t="shared" si="307"/>
        <v/>
      </c>
      <c r="BE440" s="22" t="str">
        <f t="shared" si="334"/>
        <v/>
      </c>
      <c r="BF440" s="21" t="str">
        <f t="shared" si="335"/>
        <v>Apprenant 428 ou 428'</v>
      </c>
      <c r="BG440" s="49" t="str">
        <f t="shared" si="308"/>
        <v/>
      </c>
      <c r="BH440" s="49" t="str">
        <f t="shared" si="309"/>
        <v/>
      </c>
      <c r="BI440" s="49" t="str">
        <f t="shared" si="310"/>
        <v/>
      </c>
      <c r="BJ440" s="22" t="str">
        <f t="shared" si="336"/>
        <v/>
      </c>
      <c r="BL440" s="21"/>
      <c r="BM440" s="21" t="str">
        <f>IF(OR(COUNT(B440:D1439)=0,AND('Choix pédagogiques'!$C$3&lt;&gt;1,'Choix pédagogiques'!$C$3&lt;&gt;2)),"",IF(AND(OR('Choix pédagogiques'!$C$3=1,'Choix pédagogiques'!$C$3=2),$B440&lt;&gt;"",$C440&lt;&gt;"",$D440&lt;&gt;""),1,0))</f>
        <v/>
      </c>
      <c r="BN440" s="21" t="str">
        <f>IF(OR(COUNT(G440:I1439)=0,AND('Choix pédagogiques'!$C$3&lt;&gt;1,'Choix pédagogiques'!$C$3&lt;&gt;2)),"",IF(AND(OR('Choix pédagogiques'!$C$3=1,'Choix pédagogiques'!$C$3=2),AND($G440&lt;&gt;"",$H440&lt;&gt;"",$I440&lt;&gt;"")),1,0))</f>
        <v/>
      </c>
      <c r="BO440" s="21" t="str">
        <f>IF(OR(COUNT(B440:D1439)=0,COUNT(G440:I1439)=0,'Choix pédagogiques'!C$3&lt;&gt;3),"",IF(AND('Choix pédagogiques'!$C$3=3,$B440&lt;&gt;"",$C440&lt;&gt;"",$D440&lt;&gt;"",$G440&lt;&gt;"",$H440&lt;&gt;"",$I440&lt;&gt;""),1,0))</f>
        <v/>
      </c>
      <c r="BR440" s="21">
        <v>721</v>
      </c>
      <c r="BS440" s="21">
        <v>1173</v>
      </c>
      <c r="BT440"/>
    </row>
    <row r="441" spans="1:72" s="23" customFormat="1" ht="18" customHeight="1" x14ac:dyDescent="0.3">
      <c r="A441" s="35" t="s">
        <v>431</v>
      </c>
      <c r="B441" s="37"/>
      <c r="C441" s="37"/>
      <c r="D441" s="37"/>
      <c r="E441" s="37"/>
      <c r="F441" s="35" t="s">
        <v>1439</v>
      </c>
      <c r="G441" s="37"/>
      <c r="H441" s="37"/>
      <c r="I441" s="37"/>
      <c r="J441" s="37"/>
      <c r="K441" s="21" t="str">
        <f t="shared" si="311"/>
        <v>Apprenant 429</v>
      </c>
      <c r="L441" s="22" t="str">
        <f t="shared" si="312"/>
        <v/>
      </c>
      <c r="M441" s="22" t="str">
        <f t="shared" si="313"/>
        <v/>
      </c>
      <c r="N441" s="22" t="str">
        <f t="shared" si="314"/>
        <v/>
      </c>
      <c r="O441" s="22" t="str">
        <f t="shared" si="315"/>
        <v/>
      </c>
      <c r="P441" s="21" t="str">
        <f t="shared" si="316"/>
        <v>Apprenant 429 ou 429'</v>
      </c>
      <c r="Q441" s="22" t="str">
        <f t="shared" si="317"/>
        <v/>
      </c>
      <c r="R441" s="22" t="str">
        <f t="shared" si="318"/>
        <v/>
      </c>
      <c r="S441" s="22" t="str">
        <f t="shared" si="319"/>
        <v/>
      </c>
      <c r="T441" s="22" t="str">
        <f t="shared" si="320"/>
        <v/>
      </c>
      <c r="V441" s="21" t="str">
        <f t="shared" si="321"/>
        <v>Apprenant 429</v>
      </c>
      <c r="W441" s="22" t="str">
        <f>IF(AND(OR('Choix pédagogiques'!$C$3=1,'Choix pédagogiques'!$C$3=2),$BM441=1),B441,IF(AND('Choix pédagogiques'!$C$3=3,$BO441=1),B441,""))</f>
        <v/>
      </c>
      <c r="X441" s="22" t="str">
        <f>IF(AND(OR('Choix pédagogiques'!$C$3=1,'Choix pédagogiques'!$C$3=2),$BM441=1),C441,IF(AND('Choix pédagogiques'!$C$3=3,$BO441=1),C441,""))</f>
        <v/>
      </c>
      <c r="Y441" s="22" t="str">
        <f>IF(AND(OR('Choix pédagogiques'!$C$3=1,'Choix pédagogiques'!$C$3=2),$BM441=1),D441,IF(AND('Choix pédagogiques'!$C$3=3,$BO441=1),D441,""))</f>
        <v/>
      </c>
      <c r="Z441" s="22" t="str">
        <f t="shared" si="322"/>
        <v/>
      </c>
      <c r="AA441" s="21" t="str">
        <f t="shared" si="323"/>
        <v>Apprenant 429 ou 429'</v>
      </c>
      <c r="AB441" s="22" t="str">
        <f>IF(AND(OR('Choix pédagogiques'!$C$3=1,'Choix pédagogiques'!$C$3=2),$BN441=1),G441,IF(AND('Choix pédagogiques'!$C$3=3,$BO441=1),G441,""))</f>
        <v/>
      </c>
      <c r="AC441" s="22" t="str">
        <f>IF(AND(OR('Choix pédagogiques'!$C$3=1,'Choix pédagogiques'!$C$3=2),$BN441=1),H441,IF(AND('Choix pédagogiques'!$C$3=3,$BO441=1),H441,""))</f>
        <v/>
      </c>
      <c r="AD441" s="22" t="str">
        <f>IF(AND(OR('Choix pédagogiques'!$C$3=1,'Choix pédagogiques'!$C$3=2),$BN441=1),I441,IF(AND('Choix pédagogiques'!$C$3=3,$BO441=1),I441,""))</f>
        <v/>
      </c>
      <c r="AE441" s="22" t="str">
        <f t="shared" si="324"/>
        <v/>
      </c>
      <c r="AF441" s="21" t="str">
        <f t="shared" si="325"/>
        <v>Apprenant 429</v>
      </c>
      <c r="AG441" s="22" t="str">
        <f t="shared" si="299"/>
        <v/>
      </c>
      <c r="AH441" s="22" t="str">
        <f t="shared" si="300"/>
        <v/>
      </c>
      <c r="AI441" s="22" t="str">
        <f t="shared" si="301"/>
        <v/>
      </c>
      <c r="AJ441" s="22" t="str">
        <f t="shared" si="326"/>
        <v/>
      </c>
      <c r="AK441" s="21" t="str">
        <f t="shared" si="327"/>
        <v>Apprenant 429 ou 429'</v>
      </c>
      <c r="AL441" s="22" t="str">
        <f t="shared" si="302"/>
        <v/>
      </c>
      <c r="AM441" s="22" t="str">
        <f t="shared" si="303"/>
        <v/>
      </c>
      <c r="AN441" s="22" t="str">
        <f t="shared" si="304"/>
        <v/>
      </c>
      <c r="AO441" s="22" t="str">
        <f t="shared" si="328"/>
        <v/>
      </c>
      <c r="AQ441" s="21" t="str">
        <f t="shared" si="329"/>
        <v>Apprenant 429</v>
      </c>
      <c r="AR441" s="49" t="str">
        <f>IF(AND('Choix pédagogiques'!$C$4&lt;&gt;"?",'Choix pédagogiques'!$C$5&lt;&gt;"?",W441&lt;&gt;""),(W441-'Choix pédagogiques'!$C$4)/('Choix pédagogiques'!$C$5-'Choix pédagogiques'!$C$4),"")</f>
        <v/>
      </c>
      <c r="AS441" s="49" t="str">
        <f>IF(AND('Choix pédagogiques'!$C$4&lt;&gt;"?",'Choix pédagogiques'!$C$5&lt;&gt;"?",X441&lt;&gt;""),(X441-'Choix pédagogiques'!$C$4)/('Choix pédagogiques'!$C$5-'Choix pédagogiques'!$C$4),"")</f>
        <v/>
      </c>
      <c r="AT441" s="49" t="str">
        <f>IF(AND('Choix pédagogiques'!$C$4&lt;&gt;"?",'Choix pédagogiques'!$C$5&lt;&gt;"?",Y441&lt;&gt;""),(Y441-'Choix pédagogiques'!$C$4)/('Choix pédagogiques'!$C$5-'Choix pédagogiques'!$C$4),"")</f>
        <v/>
      </c>
      <c r="AU441" s="22" t="str">
        <f t="shared" si="330"/>
        <v/>
      </c>
      <c r="AV441" s="21" t="str">
        <f t="shared" si="331"/>
        <v>Apprenant 429 ou 429'</v>
      </c>
      <c r="AW441" s="49" t="str">
        <f>IF(AND('Choix pédagogiques'!$C$4&lt;&gt;"?",'Choix pédagogiques'!$C$5&lt;&gt;"?",AB441&lt;&gt;""),(AB441-'Choix pédagogiques'!$C$4)/('Choix pédagogiques'!$C$5-'Choix pédagogiques'!$C$4),"")</f>
        <v/>
      </c>
      <c r="AX441" s="49" t="str">
        <f>IF(AND('Choix pédagogiques'!$C$4&lt;&gt;"?",'Choix pédagogiques'!$C$5&lt;&gt;"?",AC441&lt;&gt;""),(AC441-'Choix pédagogiques'!$C$4)/('Choix pédagogiques'!$C$5-'Choix pédagogiques'!$C$4),"")</f>
        <v/>
      </c>
      <c r="AY441" s="49" t="str">
        <f>IF(AND('Choix pédagogiques'!$C$4&lt;&gt;"?",'Choix pédagogiques'!$C$5&lt;&gt;"?",AD441&lt;&gt;""),(AD441-'Choix pédagogiques'!$C$4)/('Choix pédagogiques'!$C$5-'Choix pédagogiques'!$C$4),"")</f>
        <v/>
      </c>
      <c r="AZ441" s="22" t="str">
        <f t="shared" si="332"/>
        <v/>
      </c>
      <c r="BA441" s="21" t="str">
        <f t="shared" si="333"/>
        <v>Apprenant 429</v>
      </c>
      <c r="BB441" s="49" t="str">
        <f t="shared" si="305"/>
        <v/>
      </c>
      <c r="BC441" s="49" t="str">
        <f t="shared" si="306"/>
        <v/>
      </c>
      <c r="BD441" s="49" t="str">
        <f t="shared" si="307"/>
        <v/>
      </c>
      <c r="BE441" s="22" t="str">
        <f t="shared" si="334"/>
        <v/>
      </c>
      <c r="BF441" s="21" t="str">
        <f t="shared" si="335"/>
        <v>Apprenant 429 ou 429'</v>
      </c>
      <c r="BG441" s="49" t="str">
        <f t="shared" si="308"/>
        <v/>
      </c>
      <c r="BH441" s="49" t="str">
        <f t="shared" si="309"/>
        <v/>
      </c>
      <c r="BI441" s="49" t="str">
        <f t="shared" si="310"/>
        <v/>
      </c>
      <c r="BJ441" s="22" t="str">
        <f t="shared" si="336"/>
        <v/>
      </c>
      <c r="BL441" s="21"/>
      <c r="BM441" s="21" t="str">
        <f>IF(OR(COUNT(B441:D1440)=0,AND('Choix pédagogiques'!$C$3&lt;&gt;1,'Choix pédagogiques'!$C$3&lt;&gt;2)),"",IF(AND(OR('Choix pédagogiques'!$C$3=1,'Choix pédagogiques'!$C$3=2),$B441&lt;&gt;"",$C441&lt;&gt;"",$D441&lt;&gt;""),1,0))</f>
        <v/>
      </c>
      <c r="BN441" s="21" t="str">
        <f>IF(OR(COUNT(G441:I1440)=0,AND('Choix pédagogiques'!$C$3&lt;&gt;1,'Choix pédagogiques'!$C$3&lt;&gt;2)),"",IF(AND(OR('Choix pédagogiques'!$C$3=1,'Choix pédagogiques'!$C$3=2),AND($G441&lt;&gt;"",$H441&lt;&gt;"",$I441&lt;&gt;"")),1,0))</f>
        <v/>
      </c>
      <c r="BO441" s="21" t="str">
        <f>IF(OR(COUNT(B441:D1440)=0,COUNT(G441:I1440)=0,'Choix pédagogiques'!C$3&lt;&gt;3),"",IF(AND('Choix pédagogiques'!$C$3=3,$B441&lt;&gt;"",$C441&lt;&gt;"",$D441&lt;&gt;"",$G441&lt;&gt;"",$H441&lt;&gt;"",$I441&lt;&gt;""),1,0))</f>
        <v/>
      </c>
      <c r="BR441" s="21">
        <v>134</v>
      </c>
      <c r="BS441" s="21">
        <v>1825</v>
      </c>
      <c r="BT441"/>
    </row>
    <row r="442" spans="1:72" s="23" customFormat="1" ht="18" customHeight="1" x14ac:dyDescent="0.3">
      <c r="A442" s="35" t="s">
        <v>432</v>
      </c>
      <c r="B442" s="37"/>
      <c r="C442" s="37"/>
      <c r="D442" s="37"/>
      <c r="E442" s="37"/>
      <c r="F442" s="35" t="s">
        <v>1440</v>
      </c>
      <c r="G442" s="37"/>
      <c r="H442" s="37"/>
      <c r="I442" s="37"/>
      <c r="J442" s="37"/>
      <c r="K442" s="21" t="str">
        <f t="shared" si="311"/>
        <v>Apprenant 430</v>
      </c>
      <c r="L442" s="22" t="str">
        <f t="shared" si="312"/>
        <v/>
      </c>
      <c r="M442" s="22" t="str">
        <f t="shared" si="313"/>
        <v/>
      </c>
      <c r="N442" s="22" t="str">
        <f t="shared" si="314"/>
        <v/>
      </c>
      <c r="O442" s="22" t="str">
        <f t="shared" si="315"/>
        <v/>
      </c>
      <c r="P442" s="21" t="str">
        <f t="shared" si="316"/>
        <v>Apprenant 430 ou 430'</v>
      </c>
      <c r="Q442" s="22" t="str">
        <f t="shared" si="317"/>
        <v/>
      </c>
      <c r="R442" s="22" t="str">
        <f t="shared" si="318"/>
        <v/>
      </c>
      <c r="S442" s="22" t="str">
        <f t="shared" si="319"/>
        <v/>
      </c>
      <c r="T442" s="22" t="str">
        <f t="shared" si="320"/>
        <v/>
      </c>
      <c r="V442" s="21" t="str">
        <f t="shared" si="321"/>
        <v>Apprenant 430</v>
      </c>
      <c r="W442" s="22" t="str">
        <f>IF(AND(OR('Choix pédagogiques'!$C$3=1,'Choix pédagogiques'!$C$3=2),$BM442=1),B442,IF(AND('Choix pédagogiques'!$C$3=3,$BO442=1),B442,""))</f>
        <v/>
      </c>
      <c r="X442" s="22" t="str">
        <f>IF(AND(OR('Choix pédagogiques'!$C$3=1,'Choix pédagogiques'!$C$3=2),$BM442=1),C442,IF(AND('Choix pédagogiques'!$C$3=3,$BO442=1),C442,""))</f>
        <v/>
      </c>
      <c r="Y442" s="22" t="str">
        <f>IF(AND(OR('Choix pédagogiques'!$C$3=1,'Choix pédagogiques'!$C$3=2),$BM442=1),D442,IF(AND('Choix pédagogiques'!$C$3=3,$BO442=1),D442,""))</f>
        <v/>
      </c>
      <c r="Z442" s="22" t="str">
        <f t="shared" si="322"/>
        <v/>
      </c>
      <c r="AA442" s="21" t="str">
        <f t="shared" si="323"/>
        <v>Apprenant 430 ou 430'</v>
      </c>
      <c r="AB442" s="22" t="str">
        <f>IF(AND(OR('Choix pédagogiques'!$C$3=1,'Choix pédagogiques'!$C$3=2),$BN442=1),G442,IF(AND('Choix pédagogiques'!$C$3=3,$BO442=1),G442,""))</f>
        <v/>
      </c>
      <c r="AC442" s="22" t="str">
        <f>IF(AND(OR('Choix pédagogiques'!$C$3=1,'Choix pédagogiques'!$C$3=2),$BN442=1),H442,IF(AND('Choix pédagogiques'!$C$3=3,$BO442=1),H442,""))</f>
        <v/>
      </c>
      <c r="AD442" s="22" t="str">
        <f>IF(AND(OR('Choix pédagogiques'!$C$3=1,'Choix pédagogiques'!$C$3=2),$BN442=1),I442,IF(AND('Choix pédagogiques'!$C$3=3,$BO442=1),I442,""))</f>
        <v/>
      </c>
      <c r="AE442" s="22" t="str">
        <f t="shared" si="324"/>
        <v/>
      </c>
      <c r="AF442" s="21" t="str">
        <f t="shared" si="325"/>
        <v>Apprenant 430</v>
      </c>
      <c r="AG442" s="22" t="str">
        <f t="shared" si="299"/>
        <v/>
      </c>
      <c r="AH442" s="22" t="str">
        <f t="shared" si="300"/>
        <v/>
      </c>
      <c r="AI442" s="22" t="str">
        <f t="shared" si="301"/>
        <v/>
      </c>
      <c r="AJ442" s="22" t="str">
        <f t="shared" si="326"/>
        <v/>
      </c>
      <c r="AK442" s="21" t="str">
        <f t="shared" si="327"/>
        <v>Apprenant 430 ou 430'</v>
      </c>
      <c r="AL442" s="22" t="str">
        <f t="shared" si="302"/>
        <v/>
      </c>
      <c r="AM442" s="22" t="str">
        <f t="shared" si="303"/>
        <v/>
      </c>
      <c r="AN442" s="22" t="str">
        <f t="shared" si="304"/>
        <v/>
      </c>
      <c r="AO442" s="22" t="str">
        <f t="shared" si="328"/>
        <v/>
      </c>
      <c r="AQ442" s="21" t="str">
        <f t="shared" si="329"/>
        <v>Apprenant 430</v>
      </c>
      <c r="AR442" s="49" t="str">
        <f>IF(AND('Choix pédagogiques'!$C$4&lt;&gt;"?",'Choix pédagogiques'!$C$5&lt;&gt;"?",W442&lt;&gt;""),(W442-'Choix pédagogiques'!$C$4)/('Choix pédagogiques'!$C$5-'Choix pédagogiques'!$C$4),"")</f>
        <v/>
      </c>
      <c r="AS442" s="49" t="str">
        <f>IF(AND('Choix pédagogiques'!$C$4&lt;&gt;"?",'Choix pédagogiques'!$C$5&lt;&gt;"?",X442&lt;&gt;""),(X442-'Choix pédagogiques'!$C$4)/('Choix pédagogiques'!$C$5-'Choix pédagogiques'!$C$4),"")</f>
        <v/>
      </c>
      <c r="AT442" s="49" t="str">
        <f>IF(AND('Choix pédagogiques'!$C$4&lt;&gt;"?",'Choix pédagogiques'!$C$5&lt;&gt;"?",Y442&lt;&gt;""),(Y442-'Choix pédagogiques'!$C$4)/('Choix pédagogiques'!$C$5-'Choix pédagogiques'!$C$4),"")</f>
        <v/>
      </c>
      <c r="AU442" s="22" t="str">
        <f t="shared" si="330"/>
        <v/>
      </c>
      <c r="AV442" s="21" t="str">
        <f t="shared" si="331"/>
        <v>Apprenant 430 ou 430'</v>
      </c>
      <c r="AW442" s="49" t="str">
        <f>IF(AND('Choix pédagogiques'!$C$4&lt;&gt;"?",'Choix pédagogiques'!$C$5&lt;&gt;"?",AB442&lt;&gt;""),(AB442-'Choix pédagogiques'!$C$4)/('Choix pédagogiques'!$C$5-'Choix pédagogiques'!$C$4),"")</f>
        <v/>
      </c>
      <c r="AX442" s="49" t="str">
        <f>IF(AND('Choix pédagogiques'!$C$4&lt;&gt;"?",'Choix pédagogiques'!$C$5&lt;&gt;"?",AC442&lt;&gt;""),(AC442-'Choix pédagogiques'!$C$4)/('Choix pédagogiques'!$C$5-'Choix pédagogiques'!$C$4),"")</f>
        <v/>
      </c>
      <c r="AY442" s="49" t="str">
        <f>IF(AND('Choix pédagogiques'!$C$4&lt;&gt;"?",'Choix pédagogiques'!$C$5&lt;&gt;"?",AD442&lt;&gt;""),(AD442-'Choix pédagogiques'!$C$4)/('Choix pédagogiques'!$C$5-'Choix pédagogiques'!$C$4),"")</f>
        <v/>
      </c>
      <c r="AZ442" s="22" t="str">
        <f t="shared" si="332"/>
        <v/>
      </c>
      <c r="BA442" s="21" t="str">
        <f t="shared" si="333"/>
        <v>Apprenant 430</v>
      </c>
      <c r="BB442" s="49" t="str">
        <f t="shared" si="305"/>
        <v/>
      </c>
      <c r="BC442" s="49" t="str">
        <f t="shared" si="306"/>
        <v/>
      </c>
      <c r="BD442" s="49" t="str">
        <f t="shared" si="307"/>
        <v/>
      </c>
      <c r="BE442" s="22" t="str">
        <f t="shared" si="334"/>
        <v/>
      </c>
      <c r="BF442" s="21" t="str">
        <f t="shared" si="335"/>
        <v>Apprenant 430 ou 430'</v>
      </c>
      <c r="BG442" s="49" t="str">
        <f t="shared" si="308"/>
        <v/>
      </c>
      <c r="BH442" s="49" t="str">
        <f t="shared" si="309"/>
        <v/>
      </c>
      <c r="BI442" s="49" t="str">
        <f t="shared" si="310"/>
        <v/>
      </c>
      <c r="BJ442" s="22" t="str">
        <f t="shared" si="336"/>
        <v/>
      </c>
      <c r="BL442" s="21"/>
      <c r="BM442" s="21" t="str">
        <f>IF(OR(COUNT(B442:D1441)=0,AND('Choix pédagogiques'!$C$3&lt;&gt;1,'Choix pédagogiques'!$C$3&lt;&gt;2)),"",IF(AND(OR('Choix pédagogiques'!$C$3=1,'Choix pédagogiques'!$C$3=2),$B442&lt;&gt;"",$C442&lt;&gt;"",$D442&lt;&gt;""),1,0))</f>
        <v/>
      </c>
      <c r="BN442" s="21" t="str">
        <f>IF(OR(COUNT(G442:I1441)=0,AND('Choix pédagogiques'!$C$3&lt;&gt;1,'Choix pédagogiques'!$C$3&lt;&gt;2)),"",IF(AND(OR('Choix pédagogiques'!$C$3=1,'Choix pédagogiques'!$C$3=2),AND($G442&lt;&gt;"",$H442&lt;&gt;"",$I442&lt;&gt;"")),1,0))</f>
        <v/>
      </c>
      <c r="BO442" s="21" t="str">
        <f>IF(OR(COUNT(B442:D1441)=0,COUNT(G442:I1441)=0,'Choix pédagogiques'!C$3&lt;&gt;3),"",IF(AND('Choix pédagogiques'!$C$3=3,$B442&lt;&gt;"",$C442&lt;&gt;"",$D442&lt;&gt;"",$G442&lt;&gt;"",$H442&lt;&gt;"",$I442&lt;&gt;""),1,0))</f>
        <v/>
      </c>
      <c r="BR442" s="21">
        <v>38</v>
      </c>
      <c r="BS442" s="21">
        <v>1516</v>
      </c>
      <c r="BT442"/>
    </row>
    <row r="443" spans="1:72" s="23" customFormat="1" ht="18" customHeight="1" x14ac:dyDescent="0.3">
      <c r="A443" s="35" t="s">
        <v>433</v>
      </c>
      <c r="B443" s="37"/>
      <c r="C443" s="37"/>
      <c r="D443" s="37"/>
      <c r="E443" s="37"/>
      <c r="F443" s="35" t="s">
        <v>1441</v>
      </c>
      <c r="G443" s="37"/>
      <c r="H443" s="37"/>
      <c r="I443" s="37"/>
      <c r="J443" s="37"/>
      <c r="K443" s="21" t="str">
        <f t="shared" si="311"/>
        <v>Apprenant 431</v>
      </c>
      <c r="L443" s="22" t="str">
        <f t="shared" si="312"/>
        <v/>
      </c>
      <c r="M443" s="22" t="str">
        <f t="shared" si="313"/>
        <v/>
      </c>
      <c r="N443" s="22" t="str">
        <f t="shared" si="314"/>
        <v/>
      </c>
      <c r="O443" s="22" t="str">
        <f t="shared" si="315"/>
        <v/>
      </c>
      <c r="P443" s="21" t="str">
        <f t="shared" si="316"/>
        <v>Apprenant 431 ou 431'</v>
      </c>
      <c r="Q443" s="22" t="str">
        <f t="shared" si="317"/>
        <v/>
      </c>
      <c r="R443" s="22" t="str">
        <f t="shared" si="318"/>
        <v/>
      </c>
      <c r="S443" s="22" t="str">
        <f t="shared" si="319"/>
        <v/>
      </c>
      <c r="T443" s="22" t="str">
        <f t="shared" si="320"/>
        <v/>
      </c>
      <c r="V443" s="21" t="str">
        <f t="shared" si="321"/>
        <v>Apprenant 431</v>
      </c>
      <c r="W443" s="22" t="str">
        <f>IF(AND(OR('Choix pédagogiques'!$C$3=1,'Choix pédagogiques'!$C$3=2),$BM443=1),B443,IF(AND('Choix pédagogiques'!$C$3=3,$BO443=1),B443,""))</f>
        <v/>
      </c>
      <c r="X443" s="22" t="str">
        <f>IF(AND(OR('Choix pédagogiques'!$C$3=1,'Choix pédagogiques'!$C$3=2),$BM443=1),C443,IF(AND('Choix pédagogiques'!$C$3=3,$BO443=1),C443,""))</f>
        <v/>
      </c>
      <c r="Y443" s="22" t="str">
        <f>IF(AND(OR('Choix pédagogiques'!$C$3=1,'Choix pédagogiques'!$C$3=2),$BM443=1),D443,IF(AND('Choix pédagogiques'!$C$3=3,$BO443=1),D443,""))</f>
        <v/>
      </c>
      <c r="Z443" s="22" t="str">
        <f t="shared" si="322"/>
        <v/>
      </c>
      <c r="AA443" s="21" t="str">
        <f t="shared" si="323"/>
        <v>Apprenant 431 ou 431'</v>
      </c>
      <c r="AB443" s="22" t="str">
        <f>IF(AND(OR('Choix pédagogiques'!$C$3=1,'Choix pédagogiques'!$C$3=2),$BN443=1),G443,IF(AND('Choix pédagogiques'!$C$3=3,$BO443=1),G443,""))</f>
        <v/>
      </c>
      <c r="AC443" s="22" t="str">
        <f>IF(AND(OR('Choix pédagogiques'!$C$3=1,'Choix pédagogiques'!$C$3=2),$BN443=1),H443,IF(AND('Choix pédagogiques'!$C$3=3,$BO443=1),H443,""))</f>
        <v/>
      </c>
      <c r="AD443" s="22" t="str">
        <f>IF(AND(OR('Choix pédagogiques'!$C$3=1,'Choix pédagogiques'!$C$3=2),$BN443=1),I443,IF(AND('Choix pédagogiques'!$C$3=3,$BO443=1),I443,""))</f>
        <v/>
      </c>
      <c r="AE443" s="22" t="str">
        <f t="shared" si="324"/>
        <v/>
      </c>
      <c r="AF443" s="21" t="str">
        <f t="shared" si="325"/>
        <v>Apprenant 431</v>
      </c>
      <c r="AG443" s="22" t="str">
        <f t="shared" si="299"/>
        <v/>
      </c>
      <c r="AH443" s="22" t="str">
        <f t="shared" si="300"/>
        <v/>
      </c>
      <c r="AI443" s="22" t="str">
        <f t="shared" si="301"/>
        <v/>
      </c>
      <c r="AJ443" s="22" t="str">
        <f t="shared" si="326"/>
        <v/>
      </c>
      <c r="AK443" s="21" t="str">
        <f t="shared" si="327"/>
        <v>Apprenant 431 ou 431'</v>
      </c>
      <c r="AL443" s="22" t="str">
        <f t="shared" si="302"/>
        <v/>
      </c>
      <c r="AM443" s="22" t="str">
        <f t="shared" si="303"/>
        <v/>
      </c>
      <c r="AN443" s="22" t="str">
        <f t="shared" si="304"/>
        <v/>
      </c>
      <c r="AO443" s="22" t="str">
        <f t="shared" si="328"/>
        <v/>
      </c>
      <c r="AQ443" s="21" t="str">
        <f t="shared" si="329"/>
        <v>Apprenant 431</v>
      </c>
      <c r="AR443" s="49" t="str">
        <f>IF(AND('Choix pédagogiques'!$C$4&lt;&gt;"?",'Choix pédagogiques'!$C$5&lt;&gt;"?",W443&lt;&gt;""),(W443-'Choix pédagogiques'!$C$4)/('Choix pédagogiques'!$C$5-'Choix pédagogiques'!$C$4),"")</f>
        <v/>
      </c>
      <c r="AS443" s="49" t="str">
        <f>IF(AND('Choix pédagogiques'!$C$4&lt;&gt;"?",'Choix pédagogiques'!$C$5&lt;&gt;"?",X443&lt;&gt;""),(X443-'Choix pédagogiques'!$C$4)/('Choix pédagogiques'!$C$5-'Choix pédagogiques'!$C$4),"")</f>
        <v/>
      </c>
      <c r="AT443" s="49" t="str">
        <f>IF(AND('Choix pédagogiques'!$C$4&lt;&gt;"?",'Choix pédagogiques'!$C$5&lt;&gt;"?",Y443&lt;&gt;""),(Y443-'Choix pédagogiques'!$C$4)/('Choix pédagogiques'!$C$5-'Choix pédagogiques'!$C$4),"")</f>
        <v/>
      </c>
      <c r="AU443" s="22" t="str">
        <f t="shared" si="330"/>
        <v/>
      </c>
      <c r="AV443" s="21" t="str">
        <f t="shared" si="331"/>
        <v>Apprenant 431 ou 431'</v>
      </c>
      <c r="AW443" s="49" t="str">
        <f>IF(AND('Choix pédagogiques'!$C$4&lt;&gt;"?",'Choix pédagogiques'!$C$5&lt;&gt;"?",AB443&lt;&gt;""),(AB443-'Choix pédagogiques'!$C$4)/('Choix pédagogiques'!$C$5-'Choix pédagogiques'!$C$4),"")</f>
        <v/>
      </c>
      <c r="AX443" s="49" t="str">
        <f>IF(AND('Choix pédagogiques'!$C$4&lt;&gt;"?",'Choix pédagogiques'!$C$5&lt;&gt;"?",AC443&lt;&gt;""),(AC443-'Choix pédagogiques'!$C$4)/('Choix pédagogiques'!$C$5-'Choix pédagogiques'!$C$4),"")</f>
        <v/>
      </c>
      <c r="AY443" s="49" t="str">
        <f>IF(AND('Choix pédagogiques'!$C$4&lt;&gt;"?",'Choix pédagogiques'!$C$5&lt;&gt;"?",AD443&lt;&gt;""),(AD443-'Choix pédagogiques'!$C$4)/('Choix pédagogiques'!$C$5-'Choix pédagogiques'!$C$4),"")</f>
        <v/>
      </c>
      <c r="AZ443" s="22" t="str">
        <f t="shared" si="332"/>
        <v/>
      </c>
      <c r="BA443" s="21" t="str">
        <f t="shared" si="333"/>
        <v>Apprenant 431</v>
      </c>
      <c r="BB443" s="49" t="str">
        <f t="shared" si="305"/>
        <v/>
      </c>
      <c r="BC443" s="49" t="str">
        <f t="shared" si="306"/>
        <v/>
      </c>
      <c r="BD443" s="49" t="str">
        <f t="shared" si="307"/>
        <v/>
      </c>
      <c r="BE443" s="22" t="str">
        <f t="shared" si="334"/>
        <v/>
      </c>
      <c r="BF443" s="21" t="str">
        <f t="shared" si="335"/>
        <v>Apprenant 431 ou 431'</v>
      </c>
      <c r="BG443" s="49" t="str">
        <f t="shared" si="308"/>
        <v/>
      </c>
      <c r="BH443" s="49" t="str">
        <f t="shared" si="309"/>
        <v/>
      </c>
      <c r="BI443" s="49" t="str">
        <f t="shared" si="310"/>
        <v/>
      </c>
      <c r="BJ443" s="22" t="str">
        <f t="shared" si="336"/>
        <v/>
      </c>
      <c r="BL443" s="21"/>
      <c r="BM443" s="21" t="str">
        <f>IF(OR(COUNT(B443:D1442)=0,AND('Choix pédagogiques'!$C$3&lt;&gt;1,'Choix pédagogiques'!$C$3&lt;&gt;2)),"",IF(AND(OR('Choix pédagogiques'!$C$3=1,'Choix pédagogiques'!$C$3=2),$B443&lt;&gt;"",$C443&lt;&gt;"",$D443&lt;&gt;""),1,0))</f>
        <v/>
      </c>
      <c r="BN443" s="21" t="str">
        <f>IF(OR(COUNT(G443:I1442)=0,AND('Choix pédagogiques'!$C$3&lt;&gt;1,'Choix pédagogiques'!$C$3&lt;&gt;2)),"",IF(AND(OR('Choix pédagogiques'!$C$3=1,'Choix pédagogiques'!$C$3=2),AND($G443&lt;&gt;"",$H443&lt;&gt;"",$I443&lt;&gt;"")),1,0))</f>
        <v/>
      </c>
      <c r="BO443" s="21" t="str">
        <f>IF(OR(COUNT(B443:D1442)=0,COUNT(G443:I1442)=0,'Choix pédagogiques'!C$3&lt;&gt;3),"",IF(AND('Choix pédagogiques'!$C$3=3,$B443&lt;&gt;"",$C443&lt;&gt;"",$D443&lt;&gt;"",$G443&lt;&gt;"",$H443&lt;&gt;"",$I443&lt;&gt;""),1,0))</f>
        <v/>
      </c>
      <c r="BR443" s="21">
        <v>621</v>
      </c>
      <c r="BS443" s="21">
        <v>1172</v>
      </c>
      <c r="BT443"/>
    </row>
    <row r="444" spans="1:72" s="23" customFormat="1" ht="18" customHeight="1" x14ac:dyDescent="0.3">
      <c r="A444" s="35" t="s">
        <v>434</v>
      </c>
      <c r="B444" s="37"/>
      <c r="C444" s="37"/>
      <c r="D444" s="37"/>
      <c r="E444" s="37"/>
      <c r="F444" s="35" t="s">
        <v>1442</v>
      </c>
      <c r="G444" s="37"/>
      <c r="H444" s="37"/>
      <c r="I444" s="37"/>
      <c r="J444" s="37"/>
      <c r="K444" s="21" t="str">
        <f t="shared" si="311"/>
        <v>Apprenant 432</v>
      </c>
      <c r="L444" s="22" t="str">
        <f t="shared" si="312"/>
        <v/>
      </c>
      <c r="M444" s="22" t="str">
        <f t="shared" si="313"/>
        <v/>
      </c>
      <c r="N444" s="22" t="str">
        <f t="shared" si="314"/>
        <v/>
      </c>
      <c r="O444" s="22" t="str">
        <f t="shared" si="315"/>
        <v/>
      </c>
      <c r="P444" s="21" t="str">
        <f t="shared" si="316"/>
        <v>Apprenant 432 ou 432'</v>
      </c>
      <c r="Q444" s="22" t="str">
        <f t="shared" si="317"/>
        <v/>
      </c>
      <c r="R444" s="22" t="str">
        <f t="shared" si="318"/>
        <v/>
      </c>
      <c r="S444" s="22" t="str">
        <f t="shared" si="319"/>
        <v/>
      </c>
      <c r="T444" s="22" t="str">
        <f t="shared" si="320"/>
        <v/>
      </c>
      <c r="V444" s="21" t="str">
        <f t="shared" si="321"/>
        <v>Apprenant 432</v>
      </c>
      <c r="W444" s="22" t="str">
        <f>IF(AND(OR('Choix pédagogiques'!$C$3=1,'Choix pédagogiques'!$C$3=2),$BM444=1),B444,IF(AND('Choix pédagogiques'!$C$3=3,$BO444=1),B444,""))</f>
        <v/>
      </c>
      <c r="X444" s="22" t="str">
        <f>IF(AND(OR('Choix pédagogiques'!$C$3=1,'Choix pédagogiques'!$C$3=2),$BM444=1),C444,IF(AND('Choix pédagogiques'!$C$3=3,$BO444=1),C444,""))</f>
        <v/>
      </c>
      <c r="Y444" s="22" t="str">
        <f>IF(AND(OR('Choix pédagogiques'!$C$3=1,'Choix pédagogiques'!$C$3=2),$BM444=1),D444,IF(AND('Choix pédagogiques'!$C$3=3,$BO444=1),D444,""))</f>
        <v/>
      </c>
      <c r="Z444" s="22" t="str">
        <f t="shared" si="322"/>
        <v/>
      </c>
      <c r="AA444" s="21" t="str">
        <f t="shared" si="323"/>
        <v>Apprenant 432 ou 432'</v>
      </c>
      <c r="AB444" s="22" t="str">
        <f>IF(AND(OR('Choix pédagogiques'!$C$3=1,'Choix pédagogiques'!$C$3=2),$BN444=1),G444,IF(AND('Choix pédagogiques'!$C$3=3,$BO444=1),G444,""))</f>
        <v/>
      </c>
      <c r="AC444" s="22" t="str">
        <f>IF(AND(OR('Choix pédagogiques'!$C$3=1,'Choix pédagogiques'!$C$3=2),$BN444=1),H444,IF(AND('Choix pédagogiques'!$C$3=3,$BO444=1),H444,""))</f>
        <v/>
      </c>
      <c r="AD444" s="22" t="str">
        <f>IF(AND(OR('Choix pédagogiques'!$C$3=1,'Choix pédagogiques'!$C$3=2),$BN444=1),I444,IF(AND('Choix pédagogiques'!$C$3=3,$BO444=1),I444,""))</f>
        <v/>
      </c>
      <c r="AE444" s="22" t="str">
        <f t="shared" si="324"/>
        <v/>
      </c>
      <c r="AF444" s="21" t="str">
        <f t="shared" si="325"/>
        <v>Apprenant 432</v>
      </c>
      <c r="AG444" s="22" t="str">
        <f t="shared" si="299"/>
        <v/>
      </c>
      <c r="AH444" s="22" t="str">
        <f t="shared" si="300"/>
        <v/>
      </c>
      <c r="AI444" s="22" t="str">
        <f t="shared" si="301"/>
        <v/>
      </c>
      <c r="AJ444" s="22" t="str">
        <f t="shared" si="326"/>
        <v/>
      </c>
      <c r="AK444" s="21" t="str">
        <f t="shared" si="327"/>
        <v>Apprenant 432 ou 432'</v>
      </c>
      <c r="AL444" s="22" t="str">
        <f t="shared" si="302"/>
        <v/>
      </c>
      <c r="AM444" s="22" t="str">
        <f t="shared" si="303"/>
        <v/>
      </c>
      <c r="AN444" s="22" t="str">
        <f t="shared" si="304"/>
        <v/>
      </c>
      <c r="AO444" s="22" t="str">
        <f t="shared" si="328"/>
        <v/>
      </c>
      <c r="AQ444" s="21" t="str">
        <f t="shared" si="329"/>
        <v>Apprenant 432</v>
      </c>
      <c r="AR444" s="49" t="str">
        <f>IF(AND('Choix pédagogiques'!$C$4&lt;&gt;"?",'Choix pédagogiques'!$C$5&lt;&gt;"?",W444&lt;&gt;""),(W444-'Choix pédagogiques'!$C$4)/('Choix pédagogiques'!$C$5-'Choix pédagogiques'!$C$4),"")</f>
        <v/>
      </c>
      <c r="AS444" s="49" t="str">
        <f>IF(AND('Choix pédagogiques'!$C$4&lt;&gt;"?",'Choix pédagogiques'!$C$5&lt;&gt;"?",X444&lt;&gt;""),(X444-'Choix pédagogiques'!$C$4)/('Choix pédagogiques'!$C$5-'Choix pédagogiques'!$C$4),"")</f>
        <v/>
      </c>
      <c r="AT444" s="49" t="str">
        <f>IF(AND('Choix pédagogiques'!$C$4&lt;&gt;"?",'Choix pédagogiques'!$C$5&lt;&gt;"?",Y444&lt;&gt;""),(Y444-'Choix pédagogiques'!$C$4)/('Choix pédagogiques'!$C$5-'Choix pédagogiques'!$C$4),"")</f>
        <v/>
      </c>
      <c r="AU444" s="22" t="str">
        <f t="shared" si="330"/>
        <v/>
      </c>
      <c r="AV444" s="21" t="str">
        <f t="shared" si="331"/>
        <v>Apprenant 432 ou 432'</v>
      </c>
      <c r="AW444" s="49" t="str">
        <f>IF(AND('Choix pédagogiques'!$C$4&lt;&gt;"?",'Choix pédagogiques'!$C$5&lt;&gt;"?",AB444&lt;&gt;""),(AB444-'Choix pédagogiques'!$C$4)/('Choix pédagogiques'!$C$5-'Choix pédagogiques'!$C$4),"")</f>
        <v/>
      </c>
      <c r="AX444" s="49" t="str">
        <f>IF(AND('Choix pédagogiques'!$C$4&lt;&gt;"?",'Choix pédagogiques'!$C$5&lt;&gt;"?",AC444&lt;&gt;""),(AC444-'Choix pédagogiques'!$C$4)/('Choix pédagogiques'!$C$5-'Choix pédagogiques'!$C$4),"")</f>
        <v/>
      </c>
      <c r="AY444" s="49" t="str">
        <f>IF(AND('Choix pédagogiques'!$C$4&lt;&gt;"?",'Choix pédagogiques'!$C$5&lt;&gt;"?",AD444&lt;&gt;""),(AD444-'Choix pédagogiques'!$C$4)/('Choix pédagogiques'!$C$5-'Choix pédagogiques'!$C$4),"")</f>
        <v/>
      </c>
      <c r="AZ444" s="22" t="str">
        <f t="shared" si="332"/>
        <v/>
      </c>
      <c r="BA444" s="21" t="str">
        <f t="shared" si="333"/>
        <v>Apprenant 432</v>
      </c>
      <c r="BB444" s="49" t="str">
        <f t="shared" si="305"/>
        <v/>
      </c>
      <c r="BC444" s="49" t="str">
        <f t="shared" si="306"/>
        <v/>
      </c>
      <c r="BD444" s="49" t="str">
        <f t="shared" si="307"/>
        <v/>
      </c>
      <c r="BE444" s="22" t="str">
        <f t="shared" si="334"/>
        <v/>
      </c>
      <c r="BF444" s="21" t="str">
        <f t="shared" si="335"/>
        <v>Apprenant 432 ou 432'</v>
      </c>
      <c r="BG444" s="49" t="str">
        <f t="shared" si="308"/>
        <v/>
      </c>
      <c r="BH444" s="49" t="str">
        <f t="shared" si="309"/>
        <v/>
      </c>
      <c r="BI444" s="49" t="str">
        <f t="shared" si="310"/>
        <v/>
      </c>
      <c r="BJ444" s="22" t="str">
        <f t="shared" si="336"/>
        <v/>
      </c>
      <c r="BL444" s="21"/>
      <c r="BM444" s="21" t="str">
        <f>IF(OR(COUNT(B444:D1443)=0,AND('Choix pédagogiques'!$C$3&lt;&gt;1,'Choix pédagogiques'!$C$3&lt;&gt;2)),"",IF(AND(OR('Choix pédagogiques'!$C$3=1,'Choix pédagogiques'!$C$3=2),$B444&lt;&gt;"",$C444&lt;&gt;"",$D444&lt;&gt;""),1,0))</f>
        <v/>
      </c>
      <c r="BN444" s="21" t="str">
        <f>IF(OR(COUNT(G444:I1443)=0,AND('Choix pédagogiques'!$C$3&lt;&gt;1,'Choix pédagogiques'!$C$3&lt;&gt;2)),"",IF(AND(OR('Choix pédagogiques'!$C$3=1,'Choix pédagogiques'!$C$3=2),AND($G444&lt;&gt;"",$H444&lt;&gt;"",$I444&lt;&gt;"")),1,0))</f>
        <v/>
      </c>
      <c r="BO444" s="21" t="str">
        <f>IF(OR(COUNT(B444:D1443)=0,COUNT(G444:I1443)=0,'Choix pédagogiques'!C$3&lt;&gt;3),"",IF(AND('Choix pédagogiques'!$C$3=3,$B444&lt;&gt;"",$C444&lt;&gt;"",$D444&lt;&gt;"",$G444&lt;&gt;"",$H444&lt;&gt;"",$I444&lt;&gt;""),1,0))</f>
        <v/>
      </c>
      <c r="BR444" s="21">
        <v>605</v>
      </c>
      <c r="BS444" s="21">
        <v>1890</v>
      </c>
      <c r="BT444"/>
    </row>
    <row r="445" spans="1:72" s="23" customFormat="1" ht="18" customHeight="1" x14ac:dyDescent="0.3">
      <c r="A445" s="35" t="s">
        <v>435</v>
      </c>
      <c r="B445" s="37"/>
      <c r="C445" s="37"/>
      <c r="D445" s="37"/>
      <c r="E445" s="37"/>
      <c r="F445" s="35" t="s">
        <v>1443</v>
      </c>
      <c r="G445" s="37"/>
      <c r="H445" s="37"/>
      <c r="I445" s="37"/>
      <c r="J445" s="37"/>
      <c r="K445" s="21" t="str">
        <f t="shared" si="311"/>
        <v>Apprenant 433</v>
      </c>
      <c r="L445" s="22" t="str">
        <f t="shared" si="312"/>
        <v/>
      </c>
      <c r="M445" s="22" t="str">
        <f t="shared" si="313"/>
        <v/>
      </c>
      <c r="N445" s="22" t="str">
        <f t="shared" si="314"/>
        <v/>
      </c>
      <c r="O445" s="22" t="str">
        <f t="shared" si="315"/>
        <v/>
      </c>
      <c r="P445" s="21" t="str">
        <f t="shared" si="316"/>
        <v>Apprenant 433 ou 433'</v>
      </c>
      <c r="Q445" s="22" t="str">
        <f t="shared" si="317"/>
        <v/>
      </c>
      <c r="R445" s="22" t="str">
        <f t="shared" si="318"/>
        <v/>
      </c>
      <c r="S445" s="22" t="str">
        <f t="shared" si="319"/>
        <v/>
      </c>
      <c r="T445" s="22" t="str">
        <f t="shared" si="320"/>
        <v/>
      </c>
      <c r="V445" s="21" t="str">
        <f t="shared" si="321"/>
        <v>Apprenant 433</v>
      </c>
      <c r="W445" s="22" t="str">
        <f>IF(AND(OR('Choix pédagogiques'!$C$3=1,'Choix pédagogiques'!$C$3=2),$BM445=1),B445,IF(AND('Choix pédagogiques'!$C$3=3,$BO445=1),B445,""))</f>
        <v/>
      </c>
      <c r="X445" s="22" t="str">
        <f>IF(AND(OR('Choix pédagogiques'!$C$3=1,'Choix pédagogiques'!$C$3=2),$BM445=1),C445,IF(AND('Choix pédagogiques'!$C$3=3,$BO445=1),C445,""))</f>
        <v/>
      </c>
      <c r="Y445" s="22" t="str">
        <f>IF(AND(OR('Choix pédagogiques'!$C$3=1,'Choix pédagogiques'!$C$3=2),$BM445=1),D445,IF(AND('Choix pédagogiques'!$C$3=3,$BO445=1),D445,""))</f>
        <v/>
      </c>
      <c r="Z445" s="22" t="str">
        <f t="shared" si="322"/>
        <v/>
      </c>
      <c r="AA445" s="21" t="str">
        <f t="shared" si="323"/>
        <v>Apprenant 433 ou 433'</v>
      </c>
      <c r="AB445" s="22" t="str">
        <f>IF(AND(OR('Choix pédagogiques'!$C$3=1,'Choix pédagogiques'!$C$3=2),$BN445=1),G445,IF(AND('Choix pédagogiques'!$C$3=3,$BO445=1),G445,""))</f>
        <v/>
      </c>
      <c r="AC445" s="22" t="str">
        <f>IF(AND(OR('Choix pédagogiques'!$C$3=1,'Choix pédagogiques'!$C$3=2),$BN445=1),H445,IF(AND('Choix pédagogiques'!$C$3=3,$BO445=1),H445,""))</f>
        <v/>
      </c>
      <c r="AD445" s="22" t="str">
        <f>IF(AND(OR('Choix pédagogiques'!$C$3=1,'Choix pédagogiques'!$C$3=2),$BN445=1),I445,IF(AND('Choix pédagogiques'!$C$3=3,$BO445=1),I445,""))</f>
        <v/>
      </c>
      <c r="AE445" s="22" t="str">
        <f t="shared" si="324"/>
        <v/>
      </c>
      <c r="AF445" s="21" t="str">
        <f t="shared" si="325"/>
        <v>Apprenant 433</v>
      </c>
      <c r="AG445" s="22" t="str">
        <f t="shared" si="299"/>
        <v/>
      </c>
      <c r="AH445" s="22" t="str">
        <f t="shared" si="300"/>
        <v/>
      </c>
      <c r="AI445" s="22" t="str">
        <f t="shared" si="301"/>
        <v/>
      </c>
      <c r="AJ445" s="22" t="str">
        <f t="shared" si="326"/>
        <v/>
      </c>
      <c r="AK445" s="21" t="str">
        <f t="shared" si="327"/>
        <v>Apprenant 433 ou 433'</v>
      </c>
      <c r="AL445" s="22" t="str">
        <f t="shared" si="302"/>
        <v/>
      </c>
      <c r="AM445" s="22" t="str">
        <f t="shared" si="303"/>
        <v/>
      </c>
      <c r="AN445" s="22" t="str">
        <f t="shared" si="304"/>
        <v/>
      </c>
      <c r="AO445" s="22" t="str">
        <f t="shared" si="328"/>
        <v/>
      </c>
      <c r="AQ445" s="21" t="str">
        <f t="shared" si="329"/>
        <v>Apprenant 433</v>
      </c>
      <c r="AR445" s="49" t="str">
        <f>IF(AND('Choix pédagogiques'!$C$4&lt;&gt;"?",'Choix pédagogiques'!$C$5&lt;&gt;"?",W445&lt;&gt;""),(W445-'Choix pédagogiques'!$C$4)/('Choix pédagogiques'!$C$5-'Choix pédagogiques'!$C$4),"")</f>
        <v/>
      </c>
      <c r="AS445" s="49" t="str">
        <f>IF(AND('Choix pédagogiques'!$C$4&lt;&gt;"?",'Choix pédagogiques'!$C$5&lt;&gt;"?",X445&lt;&gt;""),(X445-'Choix pédagogiques'!$C$4)/('Choix pédagogiques'!$C$5-'Choix pédagogiques'!$C$4),"")</f>
        <v/>
      </c>
      <c r="AT445" s="49" t="str">
        <f>IF(AND('Choix pédagogiques'!$C$4&lt;&gt;"?",'Choix pédagogiques'!$C$5&lt;&gt;"?",Y445&lt;&gt;""),(Y445-'Choix pédagogiques'!$C$4)/('Choix pédagogiques'!$C$5-'Choix pédagogiques'!$C$4),"")</f>
        <v/>
      </c>
      <c r="AU445" s="22" t="str">
        <f t="shared" si="330"/>
        <v/>
      </c>
      <c r="AV445" s="21" t="str">
        <f t="shared" si="331"/>
        <v>Apprenant 433 ou 433'</v>
      </c>
      <c r="AW445" s="49" t="str">
        <f>IF(AND('Choix pédagogiques'!$C$4&lt;&gt;"?",'Choix pédagogiques'!$C$5&lt;&gt;"?",AB445&lt;&gt;""),(AB445-'Choix pédagogiques'!$C$4)/('Choix pédagogiques'!$C$5-'Choix pédagogiques'!$C$4),"")</f>
        <v/>
      </c>
      <c r="AX445" s="49" t="str">
        <f>IF(AND('Choix pédagogiques'!$C$4&lt;&gt;"?",'Choix pédagogiques'!$C$5&lt;&gt;"?",AC445&lt;&gt;""),(AC445-'Choix pédagogiques'!$C$4)/('Choix pédagogiques'!$C$5-'Choix pédagogiques'!$C$4),"")</f>
        <v/>
      </c>
      <c r="AY445" s="49" t="str">
        <f>IF(AND('Choix pédagogiques'!$C$4&lt;&gt;"?",'Choix pédagogiques'!$C$5&lt;&gt;"?",AD445&lt;&gt;""),(AD445-'Choix pédagogiques'!$C$4)/('Choix pédagogiques'!$C$5-'Choix pédagogiques'!$C$4),"")</f>
        <v/>
      </c>
      <c r="AZ445" s="22" t="str">
        <f t="shared" si="332"/>
        <v/>
      </c>
      <c r="BA445" s="21" t="str">
        <f t="shared" si="333"/>
        <v>Apprenant 433</v>
      </c>
      <c r="BB445" s="49" t="str">
        <f t="shared" si="305"/>
        <v/>
      </c>
      <c r="BC445" s="49" t="str">
        <f t="shared" si="306"/>
        <v/>
      </c>
      <c r="BD445" s="49" t="str">
        <f t="shared" si="307"/>
        <v/>
      </c>
      <c r="BE445" s="22" t="str">
        <f t="shared" si="334"/>
        <v/>
      </c>
      <c r="BF445" s="21" t="str">
        <f t="shared" si="335"/>
        <v>Apprenant 433 ou 433'</v>
      </c>
      <c r="BG445" s="49" t="str">
        <f t="shared" si="308"/>
        <v/>
      </c>
      <c r="BH445" s="49" t="str">
        <f t="shared" si="309"/>
        <v/>
      </c>
      <c r="BI445" s="49" t="str">
        <f t="shared" si="310"/>
        <v/>
      </c>
      <c r="BJ445" s="22" t="str">
        <f t="shared" si="336"/>
        <v/>
      </c>
      <c r="BL445" s="21"/>
      <c r="BM445" s="21" t="str">
        <f>IF(OR(COUNT(B445:D1444)=0,AND('Choix pédagogiques'!$C$3&lt;&gt;1,'Choix pédagogiques'!$C$3&lt;&gt;2)),"",IF(AND(OR('Choix pédagogiques'!$C$3=1,'Choix pédagogiques'!$C$3=2),$B445&lt;&gt;"",$C445&lt;&gt;"",$D445&lt;&gt;""),1,0))</f>
        <v/>
      </c>
      <c r="BN445" s="21" t="str">
        <f>IF(OR(COUNT(G445:I1444)=0,AND('Choix pédagogiques'!$C$3&lt;&gt;1,'Choix pédagogiques'!$C$3&lt;&gt;2)),"",IF(AND(OR('Choix pédagogiques'!$C$3=1,'Choix pédagogiques'!$C$3=2),AND($G445&lt;&gt;"",$H445&lt;&gt;"",$I445&lt;&gt;"")),1,0))</f>
        <v/>
      </c>
      <c r="BO445" s="21" t="str">
        <f>IF(OR(COUNT(B445:D1444)=0,COUNT(G445:I1444)=0,'Choix pédagogiques'!C$3&lt;&gt;3),"",IF(AND('Choix pédagogiques'!$C$3=3,$B445&lt;&gt;"",$C445&lt;&gt;"",$D445&lt;&gt;"",$G445&lt;&gt;"",$H445&lt;&gt;"",$I445&lt;&gt;""),1,0))</f>
        <v/>
      </c>
      <c r="BR445" s="21">
        <v>220</v>
      </c>
      <c r="BS445" s="21">
        <v>1329</v>
      </c>
      <c r="BT445"/>
    </row>
    <row r="446" spans="1:72" s="23" customFormat="1" ht="18" customHeight="1" x14ac:dyDescent="0.3">
      <c r="A446" s="35" t="s">
        <v>436</v>
      </c>
      <c r="B446" s="37"/>
      <c r="C446" s="37"/>
      <c r="D446" s="37"/>
      <c r="E446" s="37"/>
      <c r="F446" s="35" t="s">
        <v>1444</v>
      </c>
      <c r="G446" s="37"/>
      <c r="H446" s="37"/>
      <c r="I446" s="37"/>
      <c r="J446" s="37"/>
      <c r="K446" s="21" t="str">
        <f t="shared" si="311"/>
        <v>Apprenant 434</v>
      </c>
      <c r="L446" s="22" t="str">
        <f t="shared" si="312"/>
        <v/>
      </c>
      <c r="M446" s="22" t="str">
        <f t="shared" si="313"/>
        <v/>
      </c>
      <c r="N446" s="22" t="str">
        <f t="shared" si="314"/>
        <v/>
      </c>
      <c r="O446" s="22" t="str">
        <f t="shared" si="315"/>
        <v/>
      </c>
      <c r="P446" s="21" t="str">
        <f t="shared" si="316"/>
        <v>Apprenant 434 ou 434'</v>
      </c>
      <c r="Q446" s="22" t="str">
        <f t="shared" si="317"/>
        <v/>
      </c>
      <c r="R446" s="22" t="str">
        <f t="shared" si="318"/>
        <v/>
      </c>
      <c r="S446" s="22" t="str">
        <f t="shared" si="319"/>
        <v/>
      </c>
      <c r="T446" s="22" t="str">
        <f t="shared" si="320"/>
        <v/>
      </c>
      <c r="V446" s="21" t="str">
        <f t="shared" si="321"/>
        <v>Apprenant 434</v>
      </c>
      <c r="W446" s="22" t="str">
        <f>IF(AND(OR('Choix pédagogiques'!$C$3=1,'Choix pédagogiques'!$C$3=2),$BM446=1),B446,IF(AND('Choix pédagogiques'!$C$3=3,$BO446=1),B446,""))</f>
        <v/>
      </c>
      <c r="X446" s="22" t="str">
        <f>IF(AND(OR('Choix pédagogiques'!$C$3=1,'Choix pédagogiques'!$C$3=2),$BM446=1),C446,IF(AND('Choix pédagogiques'!$C$3=3,$BO446=1),C446,""))</f>
        <v/>
      </c>
      <c r="Y446" s="22" t="str">
        <f>IF(AND(OR('Choix pédagogiques'!$C$3=1,'Choix pédagogiques'!$C$3=2),$BM446=1),D446,IF(AND('Choix pédagogiques'!$C$3=3,$BO446=1),D446,""))</f>
        <v/>
      </c>
      <c r="Z446" s="22" t="str">
        <f t="shared" si="322"/>
        <v/>
      </c>
      <c r="AA446" s="21" t="str">
        <f t="shared" si="323"/>
        <v>Apprenant 434 ou 434'</v>
      </c>
      <c r="AB446" s="22" t="str">
        <f>IF(AND(OR('Choix pédagogiques'!$C$3=1,'Choix pédagogiques'!$C$3=2),$BN446=1),G446,IF(AND('Choix pédagogiques'!$C$3=3,$BO446=1),G446,""))</f>
        <v/>
      </c>
      <c r="AC446" s="22" t="str">
        <f>IF(AND(OR('Choix pédagogiques'!$C$3=1,'Choix pédagogiques'!$C$3=2),$BN446=1),H446,IF(AND('Choix pédagogiques'!$C$3=3,$BO446=1),H446,""))</f>
        <v/>
      </c>
      <c r="AD446" s="22" t="str">
        <f>IF(AND(OR('Choix pédagogiques'!$C$3=1,'Choix pédagogiques'!$C$3=2),$BN446=1),I446,IF(AND('Choix pédagogiques'!$C$3=3,$BO446=1),I446,""))</f>
        <v/>
      </c>
      <c r="AE446" s="22" t="str">
        <f t="shared" si="324"/>
        <v/>
      </c>
      <c r="AF446" s="21" t="str">
        <f t="shared" si="325"/>
        <v>Apprenant 434</v>
      </c>
      <c r="AG446" s="22" t="str">
        <f t="shared" si="299"/>
        <v/>
      </c>
      <c r="AH446" s="22" t="str">
        <f t="shared" si="300"/>
        <v/>
      </c>
      <c r="AI446" s="22" t="str">
        <f t="shared" si="301"/>
        <v/>
      </c>
      <c r="AJ446" s="22" t="str">
        <f t="shared" si="326"/>
        <v/>
      </c>
      <c r="AK446" s="21" t="str">
        <f t="shared" si="327"/>
        <v>Apprenant 434 ou 434'</v>
      </c>
      <c r="AL446" s="22" t="str">
        <f t="shared" si="302"/>
        <v/>
      </c>
      <c r="AM446" s="22" t="str">
        <f t="shared" si="303"/>
        <v/>
      </c>
      <c r="AN446" s="22" t="str">
        <f t="shared" si="304"/>
        <v/>
      </c>
      <c r="AO446" s="22" t="str">
        <f t="shared" si="328"/>
        <v/>
      </c>
      <c r="AQ446" s="21" t="str">
        <f t="shared" si="329"/>
        <v>Apprenant 434</v>
      </c>
      <c r="AR446" s="49" t="str">
        <f>IF(AND('Choix pédagogiques'!$C$4&lt;&gt;"?",'Choix pédagogiques'!$C$5&lt;&gt;"?",W446&lt;&gt;""),(W446-'Choix pédagogiques'!$C$4)/('Choix pédagogiques'!$C$5-'Choix pédagogiques'!$C$4),"")</f>
        <v/>
      </c>
      <c r="AS446" s="49" t="str">
        <f>IF(AND('Choix pédagogiques'!$C$4&lt;&gt;"?",'Choix pédagogiques'!$C$5&lt;&gt;"?",X446&lt;&gt;""),(X446-'Choix pédagogiques'!$C$4)/('Choix pédagogiques'!$C$5-'Choix pédagogiques'!$C$4),"")</f>
        <v/>
      </c>
      <c r="AT446" s="49" t="str">
        <f>IF(AND('Choix pédagogiques'!$C$4&lt;&gt;"?",'Choix pédagogiques'!$C$5&lt;&gt;"?",Y446&lt;&gt;""),(Y446-'Choix pédagogiques'!$C$4)/('Choix pédagogiques'!$C$5-'Choix pédagogiques'!$C$4),"")</f>
        <v/>
      </c>
      <c r="AU446" s="22" t="str">
        <f t="shared" si="330"/>
        <v/>
      </c>
      <c r="AV446" s="21" t="str">
        <f t="shared" si="331"/>
        <v>Apprenant 434 ou 434'</v>
      </c>
      <c r="AW446" s="49" t="str">
        <f>IF(AND('Choix pédagogiques'!$C$4&lt;&gt;"?",'Choix pédagogiques'!$C$5&lt;&gt;"?",AB446&lt;&gt;""),(AB446-'Choix pédagogiques'!$C$4)/('Choix pédagogiques'!$C$5-'Choix pédagogiques'!$C$4),"")</f>
        <v/>
      </c>
      <c r="AX446" s="49" t="str">
        <f>IF(AND('Choix pédagogiques'!$C$4&lt;&gt;"?",'Choix pédagogiques'!$C$5&lt;&gt;"?",AC446&lt;&gt;""),(AC446-'Choix pédagogiques'!$C$4)/('Choix pédagogiques'!$C$5-'Choix pédagogiques'!$C$4),"")</f>
        <v/>
      </c>
      <c r="AY446" s="49" t="str">
        <f>IF(AND('Choix pédagogiques'!$C$4&lt;&gt;"?",'Choix pédagogiques'!$C$5&lt;&gt;"?",AD446&lt;&gt;""),(AD446-'Choix pédagogiques'!$C$4)/('Choix pédagogiques'!$C$5-'Choix pédagogiques'!$C$4),"")</f>
        <v/>
      </c>
      <c r="AZ446" s="22" t="str">
        <f t="shared" si="332"/>
        <v/>
      </c>
      <c r="BA446" s="21" t="str">
        <f t="shared" si="333"/>
        <v>Apprenant 434</v>
      </c>
      <c r="BB446" s="49" t="str">
        <f t="shared" si="305"/>
        <v/>
      </c>
      <c r="BC446" s="49" t="str">
        <f t="shared" si="306"/>
        <v/>
      </c>
      <c r="BD446" s="49" t="str">
        <f t="shared" si="307"/>
        <v/>
      </c>
      <c r="BE446" s="22" t="str">
        <f t="shared" si="334"/>
        <v/>
      </c>
      <c r="BF446" s="21" t="str">
        <f t="shared" si="335"/>
        <v>Apprenant 434 ou 434'</v>
      </c>
      <c r="BG446" s="49" t="str">
        <f t="shared" si="308"/>
        <v/>
      </c>
      <c r="BH446" s="49" t="str">
        <f t="shared" si="309"/>
        <v/>
      </c>
      <c r="BI446" s="49" t="str">
        <f t="shared" si="310"/>
        <v/>
      </c>
      <c r="BJ446" s="22" t="str">
        <f t="shared" si="336"/>
        <v/>
      </c>
      <c r="BL446" s="21"/>
      <c r="BM446" s="21" t="str">
        <f>IF(OR(COUNT(B446:D1445)=0,AND('Choix pédagogiques'!$C$3&lt;&gt;1,'Choix pédagogiques'!$C$3&lt;&gt;2)),"",IF(AND(OR('Choix pédagogiques'!$C$3=1,'Choix pédagogiques'!$C$3=2),$B446&lt;&gt;"",$C446&lt;&gt;"",$D446&lt;&gt;""),1,0))</f>
        <v/>
      </c>
      <c r="BN446" s="21" t="str">
        <f>IF(OR(COUNT(G446:I1445)=0,AND('Choix pédagogiques'!$C$3&lt;&gt;1,'Choix pédagogiques'!$C$3&lt;&gt;2)),"",IF(AND(OR('Choix pédagogiques'!$C$3=1,'Choix pédagogiques'!$C$3=2),AND($G446&lt;&gt;"",$H446&lt;&gt;"",$I446&lt;&gt;"")),1,0))</f>
        <v/>
      </c>
      <c r="BO446" s="21" t="str">
        <f>IF(OR(COUNT(B446:D1445)=0,COUNT(G446:I1445)=0,'Choix pédagogiques'!C$3&lt;&gt;3),"",IF(AND('Choix pédagogiques'!$C$3=3,$B446&lt;&gt;"",$C446&lt;&gt;"",$D446&lt;&gt;"",$G446&lt;&gt;"",$H446&lt;&gt;"",$I446&lt;&gt;""),1,0))</f>
        <v/>
      </c>
      <c r="BR446" s="21">
        <v>742</v>
      </c>
      <c r="BS446" s="21">
        <v>1794</v>
      </c>
      <c r="BT446"/>
    </row>
    <row r="447" spans="1:72" s="23" customFormat="1" ht="18" customHeight="1" x14ac:dyDescent="0.3">
      <c r="A447" s="35" t="s">
        <v>437</v>
      </c>
      <c r="B447" s="37"/>
      <c r="C447" s="37"/>
      <c r="D447" s="37"/>
      <c r="E447" s="37"/>
      <c r="F447" s="35" t="s">
        <v>1445</v>
      </c>
      <c r="G447" s="37"/>
      <c r="H447" s="37"/>
      <c r="I447" s="37"/>
      <c r="J447" s="37"/>
      <c r="K447" s="21" t="str">
        <f t="shared" si="311"/>
        <v>Apprenant 435</v>
      </c>
      <c r="L447" s="22" t="str">
        <f t="shared" si="312"/>
        <v/>
      </c>
      <c r="M447" s="22" t="str">
        <f t="shared" si="313"/>
        <v/>
      </c>
      <c r="N447" s="22" t="str">
        <f t="shared" si="314"/>
        <v/>
      </c>
      <c r="O447" s="22" t="str">
        <f t="shared" si="315"/>
        <v/>
      </c>
      <c r="P447" s="21" t="str">
        <f t="shared" si="316"/>
        <v>Apprenant 435 ou 435'</v>
      </c>
      <c r="Q447" s="22" t="str">
        <f t="shared" si="317"/>
        <v/>
      </c>
      <c r="R447" s="22" t="str">
        <f t="shared" si="318"/>
        <v/>
      </c>
      <c r="S447" s="22" t="str">
        <f t="shared" si="319"/>
        <v/>
      </c>
      <c r="T447" s="22" t="str">
        <f t="shared" si="320"/>
        <v/>
      </c>
      <c r="V447" s="21" t="str">
        <f t="shared" si="321"/>
        <v>Apprenant 435</v>
      </c>
      <c r="W447" s="22" t="str">
        <f>IF(AND(OR('Choix pédagogiques'!$C$3=1,'Choix pédagogiques'!$C$3=2),$BM447=1),B447,IF(AND('Choix pédagogiques'!$C$3=3,$BO447=1),B447,""))</f>
        <v/>
      </c>
      <c r="X447" s="22" t="str">
        <f>IF(AND(OR('Choix pédagogiques'!$C$3=1,'Choix pédagogiques'!$C$3=2),$BM447=1),C447,IF(AND('Choix pédagogiques'!$C$3=3,$BO447=1),C447,""))</f>
        <v/>
      </c>
      <c r="Y447" s="22" t="str">
        <f>IF(AND(OR('Choix pédagogiques'!$C$3=1,'Choix pédagogiques'!$C$3=2),$BM447=1),D447,IF(AND('Choix pédagogiques'!$C$3=3,$BO447=1),D447,""))</f>
        <v/>
      </c>
      <c r="Z447" s="22" t="str">
        <f t="shared" si="322"/>
        <v/>
      </c>
      <c r="AA447" s="21" t="str">
        <f t="shared" si="323"/>
        <v>Apprenant 435 ou 435'</v>
      </c>
      <c r="AB447" s="22" t="str">
        <f>IF(AND(OR('Choix pédagogiques'!$C$3=1,'Choix pédagogiques'!$C$3=2),$BN447=1),G447,IF(AND('Choix pédagogiques'!$C$3=3,$BO447=1),G447,""))</f>
        <v/>
      </c>
      <c r="AC447" s="22" t="str">
        <f>IF(AND(OR('Choix pédagogiques'!$C$3=1,'Choix pédagogiques'!$C$3=2),$BN447=1),H447,IF(AND('Choix pédagogiques'!$C$3=3,$BO447=1),H447,""))</f>
        <v/>
      </c>
      <c r="AD447" s="22" t="str">
        <f>IF(AND(OR('Choix pédagogiques'!$C$3=1,'Choix pédagogiques'!$C$3=2),$BN447=1),I447,IF(AND('Choix pédagogiques'!$C$3=3,$BO447=1),I447,""))</f>
        <v/>
      </c>
      <c r="AE447" s="22" t="str">
        <f t="shared" si="324"/>
        <v/>
      </c>
      <c r="AF447" s="21" t="str">
        <f t="shared" si="325"/>
        <v>Apprenant 435</v>
      </c>
      <c r="AG447" s="22" t="str">
        <f t="shared" si="299"/>
        <v/>
      </c>
      <c r="AH447" s="22" t="str">
        <f t="shared" si="300"/>
        <v/>
      </c>
      <c r="AI447" s="22" t="str">
        <f t="shared" si="301"/>
        <v/>
      </c>
      <c r="AJ447" s="22" t="str">
        <f t="shared" si="326"/>
        <v/>
      </c>
      <c r="AK447" s="21" t="str">
        <f t="shared" si="327"/>
        <v>Apprenant 435 ou 435'</v>
      </c>
      <c r="AL447" s="22" t="str">
        <f t="shared" si="302"/>
        <v/>
      </c>
      <c r="AM447" s="22" t="str">
        <f t="shared" si="303"/>
        <v/>
      </c>
      <c r="AN447" s="22" t="str">
        <f t="shared" si="304"/>
        <v/>
      </c>
      <c r="AO447" s="22" t="str">
        <f t="shared" si="328"/>
        <v/>
      </c>
      <c r="AQ447" s="21" t="str">
        <f t="shared" si="329"/>
        <v>Apprenant 435</v>
      </c>
      <c r="AR447" s="49" t="str">
        <f>IF(AND('Choix pédagogiques'!$C$4&lt;&gt;"?",'Choix pédagogiques'!$C$5&lt;&gt;"?",W447&lt;&gt;""),(W447-'Choix pédagogiques'!$C$4)/('Choix pédagogiques'!$C$5-'Choix pédagogiques'!$C$4),"")</f>
        <v/>
      </c>
      <c r="AS447" s="49" t="str">
        <f>IF(AND('Choix pédagogiques'!$C$4&lt;&gt;"?",'Choix pédagogiques'!$C$5&lt;&gt;"?",X447&lt;&gt;""),(X447-'Choix pédagogiques'!$C$4)/('Choix pédagogiques'!$C$5-'Choix pédagogiques'!$C$4),"")</f>
        <v/>
      </c>
      <c r="AT447" s="49" t="str">
        <f>IF(AND('Choix pédagogiques'!$C$4&lt;&gt;"?",'Choix pédagogiques'!$C$5&lt;&gt;"?",Y447&lt;&gt;""),(Y447-'Choix pédagogiques'!$C$4)/('Choix pédagogiques'!$C$5-'Choix pédagogiques'!$C$4),"")</f>
        <v/>
      </c>
      <c r="AU447" s="22" t="str">
        <f t="shared" si="330"/>
        <v/>
      </c>
      <c r="AV447" s="21" t="str">
        <f t="shared" si="331"/>
        <v>Apprenant 435 ou 435'</v>
      </c>
      <c r="AW447" s="49" t="str">
        <f>IF(AND('Choix pédagogiques'!$C$4&lt;&gt;"?",'Choix pédagogiques'!$C$5&lt;&gt;"?",AB447&lt;&gt;""),(AB447-'Choix pédagogiques'!$C$4)/('Choix pédagogiques'!$C$5-'Choix pédagogiques'!$C$4),"")</f>
        <v/>
      </c>
      <c r="AX447" s="49" t="str">
        <f>IF(AND('Choix pédagogiques'!$C$4&lt;&gt;"?",'Choix pédagogiques'!$C$5&lt;&gt;"?",AC447&lt;&gt;""),(AC447-'Choix pédagogiques'!$C$4)/('Choix pédagogiques'!$C$5-'Choix pédagogiques'!$C$4),"")</f>
        <v/>
      </c>
      <c r="AY447" s="49" t="str">
        <f>IF(AND('Choix pédagogiques'!$C$4&lt;&gt;"?",'Choix pédagogiques'!$C$5&lt;&gt;"?",AD447&lt;&gt;""),(AD447-'Choix pédagogiques'!$C$4)/('Choix pédagogiques'!$C$5-'Choix pédagogiques'!$C$4),"")</f>
        <v/>
      </c>
      <c r="AZ447" s="22" t="str">
        <f t="shared" si="332"/>
        <v/>
      </c>
      <c r="BA447" s="21" t="str">
        <f t="shared" si="333"/>
        <v>Apprenant 435</v>
      </c>
      <c r="BB447" s="49" t="str">
        <f t="shared" si="305"/>
        <v/>
      </c>
      <c r="BC447" s="49" t="str">
        <f t="shared" si="306"/>
        <v/>
      </c>
      <c r="BD447" s="49" t="str">
        <f t="shared" si="307"/>
        <v/>
      </c>
      <c r="BE447" s="22" t="str">
        <f t="shared" si="334"/>
        <v/>
      </c>
      <c r="BF447" s="21" t="str">
        <f t="shared" si="335"/>
        <v>Apprenant 435 ou 435'</v>
      </c>
      <c r="BG447" s="49" t="str">
        <f t="shared" si="308"/>
        <v/>
      </c>
      <c r="BH447" s="49" t="str">
        <f t="shared" si="309"/>
        <v/>
      </c>
      <c r="BI447" s="49" t="str">
        <f t="shared" si="310"/>
        <v/>
      </c>
      <c r="BJ447" s="22" t="str">
        <f t="shared" si="336"/>
        <v/>
      </c>
      <c r="BL447" s="21"/>
      <c r="BM447" s="21" t="str">
        <f>IF(OR(COUNT(B447:D1446)=0,AND('Choix pédagogiques'!$C$3&lt;&gt;1,'Choix pédagogiques'!$C$3&lt;&gt;2)),"",IF(AND(OR('Choix pédagogiques'!$C$3=1,'Choix pédagogiques'!$C$3=2),$B447&lt;&gt;"",$C447&lt;&gt;"",$D447&lt;&gt;""),1,0))</f>
        <v/>
      </c>
      <c r="BN447" s="21" t="str">
        <f>IF(OR(COUNT(G447:I1446)=0,AND('Choix pédagogiques'!$C$3&lt;&gt;1,'Choix pédagogiques'!$C$3&lt;&gt;2)),"",IF(AND(OR('Choix pédagogiques'!$C$3=1,'Choix pédagogiques'!$C$3=2),AND($G447&lt;&gt;"",$H447&lt;&gt;"",$I447&lt;&gt;"")),1,0))</f>
        <v/>
      </c>
      <c r="BO447" s="21" t="str">
        <f>IF(OR(COUNT(B447:D1446)=0,COUNT(G447:I1446)=0,'Choix pédagogiques'!C$3&lt;&gt;3),"",IF(AND('Choix pédagogiques'!$C$3=3,$B447&lt;&gt;"",$C447&lt;&gt;"",$D447&lt;&gt;"",$G447&lt;&gt;"",$H447&lt;&gt;"",$I447&lt;&gt;""),1,0))</f>
        <v/>
      </c>
      <c r="BR447" s="21">
        <v>528</v>
      </c>
      <c r="BS447" s="21">
        <v>1428</v>
      </c>
      <c r="BT447"/>
    </row>
    <row r="448" spans="1:72" s="23" customFormat="1" ht="18" customHeight="1" x14ac:dyDescent="0.3">
      <c r="A448" s="35" t="s">
        <v>438</v>
      </c>
      <c r="B448" s="37"/>
      <c r="C448" s="37"/>
      <c r="D448" s="37"/>
      <c r="E448" s="37"/>
      <c r="F448" s="35" t="s">
        <v>1446</v>
      </c>
      <c r="G448" s="37"/>
      <c r="H448" s="37"/>
      <c r="I448" s="37"/>
      <c r="J448" s="37"/>
      <c r="K448" s="21" t="str">
        <f t="shared" si="311"/>
        <v>Apprenant 436</v>
      </c>
      <c r="L448" s="22" t="str">
        <f t="shared" si="312"/>
        <v/>
      </c>
      <c r="M448" s="22" t="str">
        <f t="shared" si="313"/>
        <v/>
      </c>
      <c r="N448" s="22" t="str">
        <f t="shared" si="314"/>
        <v/>
      </c>
      <c r="O448" s="22" t="str">
        <f t="shared" si="315"/>
        <v/>
      </c>
      <c r="P448" s="21" t="str">
        <f t="shared" si="316"/>
        <v>Apprenant 436 ou 436'</v>
      </c>
      <c r="Q448" s="22" t="str">
        <f t="shared" si="317"/>
        <v/>
      </c>
      <c r="R448" s="22" t="str">
        <f t="shared" si="318"/>
        <v/>
      </c>
      <c r="S448" s="22" t="str">
        <f t="shared" si="319"/>
        <v/>
      </c>
      <c r="T448" s="22" t="str">
        <f t="shared" si="320"/>
        <v/>
      </c>
      <c r="V448" s="21" t="str">
        <f t="shared" si="321"/>
        <v>Apprenant 436</v>
      </c>
      <c r="W448" s="22" t="str">
        <f>IF(AND(OR('Choix pédagogiques'!$C$3=1,'Choix pédagogiques'!$C$3=2),$BM448=1),B448,IF(AND('Choix pédagogiques'!$C$3=3,$BO448=1),B448,""))</f>
        <v/>
      </c>
      <c r="X448" s="22" t="str">
        <f>IF(AND(OR('Choix pédagogiques'!$C$3=1,'Choix pédagogiques'!$C$3=2),$BM448=1),C448,IF(AND('Choix pédagogiques'!$C$3=3,$BO448=1),C448,""))</f>
        <v/>
      </c>
      <c r="Y448" s="22" t="str">
        <f>IF(AND(OR('Choix pédagogiques'!$C$3=1,'Choix pédagogiques'!$C$3=2),$BM448=1),D448,IF(AND('Choix pédagogiques'!$C$3=3,$BO448=1),D448,""))</f>
        <v/>
      </c>
      <c r="Z448" s="22" t="str">
        <f t="shared" si="322"/>
        <v/>
      </c>
      <c r="AA448" s="21" t="str">
        <f t="shared" si="323"/>
        <v>Apprenant 436 ou 436'</v>
      </c>
      <c r="AB448" s="22" t="str">
        <f>IF(AND(OR('Choix pédagogiques'!$C$3=1,'Choix pédagogiques'!$C$3=2),$BN448=1),G448,IF(AND('Choix pédagogiques'!$C$3=3,$BO448=1),G448,""))</f>
        <v/>
      </c>
      <c r="AC448" s="22" t="str">
        <f>IF(AND(OR('Choix pédagogiques'!$C$3=1,'Choix pédagogiques'!$C$3=2),$BN448=1),H448,IF(AND('Choix pédagogiques'!$C$3=3,$BO448=1),H448,""))</f>
        <v/>
      </c>
      <c r="AD448" s="22" t="str">
        <f>IF(AND(OR('Choix pédagogiques'!$C$3=1,'Choix pédagogiques'!$C$3=2),$BN448=1),I448,IF(AND('Choix pédagogiques'!$C$3=3,$BO448=1),I448,""))</f>
        <v/>
      </c>
      <c r="AE448" s="22" t="str">
        <f t="shared" si="324"/>
        <v/>
      </c>
      <c r="AF448" s="21" t="str">
        <f t="shared" si="325"/>
        <v>Apprenant 436</v>
      </c>
      <c r="AG448" s="22" t="str">
        <f t="shared" si="299"/>
        <v/>
      </c>
      <c r="AH448" s="22" t="str">
        <f t="shared" si="300"/>
        <v/>
      </c>
      <c r="AI448" s="22" t="str">
        <f t="shared" si="301"/>
        <v/>
      </c>
      <c r="AJ448" s="22" t="str">
        <f t="shared" si="326"/>
        <v/>
      </c>
      <c r="AK448" s="21" t="str">
        <f t="shared" si="327"/>
        <v>Apprenant 436 ou 436'</v>
      </c>
      <c r="AL448" s="22" t="str">
        <f t="shared" si="302"/>
        <v/>
      </c>
      <c r="AM448" s="22" t="str">
        <f t="shared" si="303"/>
        <v/>
      </c>
      <c r="AN448" s="22" t="str">
        <f t="shared" si="304"/>
        <v/>
      </c>
      <c r="AO448" s="22" t="str">
        <f t="shared" si="328"/>
        <v/>
      </c>
      <c r="AQ448" s="21" t="str">
        <f t="shared" si="329"/>
        <v>Apprenant 436</v>
      </c>
      <c r="AR448" s="49" t="str">
        <f>IF(AND('Choix pédagogiques'!$C$4&lt;&gt;"?",'Choix pédagogiques'!$C$5&lt;&gt;"?",W448&lt;&gt;""),(W448-'Choix pédagogiques'!$C$4)/('Choix pédagogiques'!$C$5-'Choix pédagogiques'!$C$4),"")</f>
        <v/>
      </c>
      <c r="AS448" s="49" t="str">
        <f>IF(AND('Choix pédagogiques'!$C$4&lt;&gt;"?",'Choix pédagogiques'!$C$5&lt;&gt;"?",X448&lt;&gt;""),(X448-'Choix pédagogiques'!$C$4)/('Choix pédagogiques'!$C$5-'Choix pédagogiques'!$C$4),"")</f>
        <v/>
      </c>
      <c r="AT448" s="49" t="str">
        <f>IF(AND('Choix pédagogiques'!$C$4&lt;&gt;"?",'Choix pédagogiques'!$C$5&lt;&gt;"?",Y448&lt;&gt;""),(Y448-'Choix pédagogiques'!$C$4)/('Choix pédagogiques'!$C$5-'Choix pédagogiques'!$C$4),"")</f>
        <v/>
      </c>
      <c r="AU448" s="22" t="str">
        <f t="shared" si="330"/>
        <v/>
      </c>
      <c r="AV448" s="21" t="str">
        <f t="shared" si="331"/>
        <v>Apprenant 436 ou 436'</v>
      </c>
      <c r="AW448" s="49" t="str">
        <f>IF(AND('Choix pédagogiques'!$C$4&lt;&gt;"?",'Choix pédagogiques'!$C$5&lt;&gt;"?",AB448&lt;&gt;""),(AB448-'Choix pédagogiques'!$C$4)/('Choix pédagogiques'!$C$5-'Choix pédagogiques'!$C$4),"")</f>
        <v/>
      </c>
      <c r="AX448" s="49" t="str">
        <f>IF(AND('Choix pédagogiques'!$C$4&lt;&gt;"?",'Choix pédagogiques'!$C$5&lt;&gt;"?",AC448&lt;&gt;""),(AC448-'Choix pédagogiques'!$C$4)/('Choix pédagogiques'!$C$5-'Choix pédagogiques'!$C$4),"")</f>
        <v/>
      </c>
      <c r="AY448" s="49" t="str">
        <f>IF(AND('Choix pédagogiques'!$C$4&lt;&gt;"?",'Choix pédagogiques'!$C$5&lt;&gt;"?",AD448&lt;&gt;""),(AD448-'Choix pédagogiques'!$C$4)/('Choix pédagogiques'!$C$5-'Choix pédagogiques'!$C$4),"")</f>
        <v/>
      </c>
      <c r="AZ448" s="22" t="str">
        <f t="shared" si="332"/>
        <v/>
      </c>
      <c r="BA448" s="21" t="str">
        <f t="shared" si="333"/>
        <v>Apprenant 436</v>
      </c>
      <c r="BB448" s="49" t="str">
        <f t="shared" si="305"/>
        <v/>
      </c>
      <c r="BC448" s="49" t="str">
        <f t="shared" si="306"/>
        <v/>
      </c>
      <c r="BD448" s="49" t="str">
        <f t="shared" si="307"/>
        <v/>
      </c>
      <c r="BE448" s="22" t="str">
        <f t="shared" si="334"/>
        <v/>
      </c>
      <c r="BF448" s="21" t="str">
        <f t="shared" si="335"/>
        <v>Apprenant 436 ou 436'</v>
      </c>
      <c r="BG448" s="49" t="str">
        <f t="shared" si="308"/>
        <v/>
      </c>
      <c r="BH448" s="49" t="str">
        <f t="shared" si="309"/>
        <v/>
      </c>
      <c r="BI448" s="49" t="str">
        <f t="shared" si="310"/>
        <v/>
      </c>
      <c r="BJ448" s="22" t="str">
        <f t="shared" si="336"/>
        <v/>
      </c>
      <c r="BL448" s="21"/>
      <c r="BM448" s="21" t="str">
        <f>IF(OR(COUNT(B448:D1447)=0,AND('Choix pédagogiques'!$C$3&lt;&gt;1,'Choix pédagogiques'!$C$3&lt;&gt;2)),"",IF(AND(OR('Choix pédagogiques'!$C$3=1,'Choix pédagogiques'!$C$3=2),$B448&lt;&gt;"",$C448&lt;&gt;"",$D448&lt;&gt;""),1,0))</f>
        <v/>
      </c>
      <c r="BN448" s="21" t="str">
        <f>IF(OR(COUNT(G448:I1447)=0,AND('Choix pédagogiques'!$C$3&lt;&gt;1,'Choix pédagogiques'!$C$3&lt;&gt;2)),"",IF(AND(OR('Choix pédagogiques'!$C$3=1,'Choix pédagogiques'!$C$3=2),AND($G448&lt;&gt;"",$H448&lt;&gt;"",$I448&lt;&gt;"")),1,0))</f>
        <v/>
      </c>
      <c r="BO448" s="21" t="str">
        <f>IF(OR(COUNT(B448:D1447)=0,COUNT(G448:I1447)=0,'Choix pédagogiques'!C$3&lt;&gt;3),"",IF(AND('Choix pédagogiques'!$C$3=3,$B448&lt;&gt;"",$C448&lt;&gt;"",$D448&lt;&gt;"",$G448&lt;&gt;"",$H448&lt;&gt;"",$I448&lt;&gt;""),1,0))</f>
        <v/>
      </c>
      <c r="BR448" s="21">
        <v>205</v>
      </c>
      <c r="BS448" s="21">
        <v>1678</v>
      </c>
      <c r="BT448"/>
    </row>
    <row r="449" spans="1:72" s="23" customFormat="1" ht="18" customHeight="1" x14ac:dyDescent="0.3">
      <c r="A449" s="35" t="s">
        <v>439</v>
      </c>
      <c r="B449" s="37"/>
      <c r="C449" s="37"/>
      <c r="D449" s="37"/>
      <c r="E449" s="37"/>
      <c r="F449" s="35" t="s">
        <v>1447</v>
      </c>
      <c r="G449" s="37"/>
      <c r="H449" s="37"/>
      <c r="I449" s="37"/>
      <c r="J449" s="37"/>
      <c r="K449" s="21" t="str">
        <f t="shared" si="311"/>
        <v>Apprenant 437</v>
      </c>
      <c r="L449" s="22" t="str">
        <f t="shared" si="312"/>
        <v/>
      </c>
      <c r="M449" s="22" t="str">
        <f t="shared" si="313"/>
        <v/>
      </c>
      <c r="N449" s="22" t="str">
        <f t="shared" si="314"/>
        <v/>
      </c>
      <c r="O449" s="22" t="str">
        <f t="shared" si="315"/>
        <v/>
      </c>
      <c r="P449" s="21" t="str">
        <f t="shared" si="316"/>
        <v>Apprenant 437 ou 437'</v>
      </c>
      <c r="Q449" s="22" t="str">
        <f t="shared" si="317"/>
        <v/>
      </c>
      <c r="R449" s="22" t="str">
        <f t="shared" si="318"/>
        <v/>
      </c>
      <c r="S449" s="22" t="str">
        <f t="shared" si="319"/>
        <v/>
      </c>
      <c r="T449" s="22" t="str">
        <f t="shared" si="320"/>
        <v/>
      </c>
      <c r="V449" s="21" t="str">
        <f t="shared" si="321"/>
        <v>Apprenant 437</v>
      </c>
      <c r="W449" s="22" t="str">
        <f>IF(AND(OR('Choix pédagogiques'!$C$3=1,'Choix pédagogiques'!$C$3=2),$BM449=1),B449,IF(AND('Choix pédagogiques'!$C$3=3,$BO449=1),B449,""))</f>
        <v/>
      </c>
      <c r="X449" s="22" t="str">
        <f>IF(AND(OR('Choix pédagogiques'!$C$3=1,'Choix pédagogiques'!$C$3=2),$BM449=1),C449,IF(AND('Choix pédagogiques'!$C$3=3,$BO449=1),C449,""))</f>
        <v/>
      </c>
      <c r="Y449" s="22" t="str">
        <f>IF(AND(OR('Choix pédagogiques'!$C$3=1,'Choix pédagogiques'!$C$3=2),$BM449=1),D449,IF(AND('Choix pédagogiques'!$C$3=3,$BO449=1),D449,""))</f>
        <v/>
      </c>
      <c r="Z449" s="22" t="str">
        <f t="shared" si="322"/>
        <v/>
      </c>
      <c r="AA449" s="21" t="str">
        <f t="shared" si="323"/>
        <v>Apprenant 437 ou 437'</v>
      </c>
      <c r="AB449" s="22" t="str">
        <f>IF(AND(OR('Choix pédagogiques'!$C$3=1,'Choix pédagogiques'!$C$3=2),$BN449=1),G449,IF(AND('Choix pédagogiques'!$C$3=3,$BO449=1),G449,""))</f>
        <v/>
      </c>
      <c r="AC449" s="22" t="str">
        <f>IF(AND(OR('Choix pédagogiques'!$C$3=1,'Choix pédagogiques'!$C$3=2),$BN449=1),H449,IF(AND('Choix pédagogiques'!$C$3=3,$BO449=1),H449,""))</f>
        <v/>
      </c>
      <c r="AD449" s="22" t="str">
        <f>IF(AND(OR('Choix pédagogiques'!$C$3=1,'Choix pédagogiques'!$C$3=2),$BN449=1),I449,IF(AND('Choix pédagogiques'!$C$3=3,$BO449=1),I449,""))</f>
        <v/>
      </c>
      <c r="AE449" s="22" t="str">
        <f t="shared" si="324"/>
        <v/>
      </c>
      <c r="AF449" s="21" t="str">
        <f t="shared" si="325"/>
        <v>Apprenant 437</v>
      </c>
      <c r="AG449" s="22" t="str">
        <f t="shared" si="299"/>
        <v/>
      </c>
      <c r="AH449" s="22" t="str">
        <f t="shared" si="300"/>
        <v/>
      </c>
      <c r="AI449" s="22" t="str">
        <f t="shared" si="301"/>
        <v/>
      </c>
      <c r="AJ449" s="22" t="str">
        <f t="shared" si="326"/>
        <v/>
      </c>
      <c r="AK449" s="21" t="str">
        <f t="shared" si="327"/>
        <v>Apprenant 437 ou 437'</v>
      </c>
      <c r="AL449" s="22" t="str">
        <f t="shared" si="302"/>
        <v/>
      </c>
      <c r="AM449" s="22" t="str">
        <f t="shared" si="303"/>
        <v/>
      </c>
      <c r="AN449" s="22" t="str">
        <f t="shared" si="304"/>
        <v/>
      </c>
      <c r="AO449" s="22" t="str">
        <f t="shared" si="328"/>
        <v/>
      </c>
      <c r="AQ449" s="21" t="str">
        <f t="shared" si="329"/>
        <v>Apprenant 437</v>
      </c>
      <c r="AR449" s="49" t="str">
        <f>IF(AND('Choix pédagogiques'!$C$4&lt;&gt;"?",'Choix pédagogiques'!$C$5&lt;&gt;"?",W449&lt;&gt;""),(W449-'Choix pédagogiques'!$C$4)/('Choix pédagogiques'!$C$5-'Choix pédagogiques'!$C$4),"")</f>
        <v/>
      </c>
      <c r="AS449" s="49" t="str">
        <f>IF(AND('Choix pédagogiques'!$C$4&lt;&gt;"?",'Choix pédagogiques'!$C$5&lt;&gt;"?",X449&lt;&gt;""),(X449-'Choix pédagogiques'!$C$4)/('Choix pédagogiques'!$C$5-'Choix pédagogiques'!$C$4),"")</f>
        <v/>
      </c>
      <c r="AT449" s="49" t="str">
        <f>IF(AND('Choix pédagogiques'!$C$4&lt;&gt;"?",'Choix pédagogiques'!$C$5&lt;&gt;"?",Y449&lt;&gt;""),(Y449-'Choix pédagogiques'!$C$4)/('Choix pédagogiques'!$C$5-'Choix pédagogiques'!$C$4),"")</f>
        <v/>
      </c>
      <c r="AU449" s="22" t="str">
        <f t="shared" si="330"/>
        <v/>
      </c>
      <c r="AV449" s="21" t="str">
        <f t="shared" si="331"/>
        <v>Apprenant 437 ou 437'</v>
      </c>
      <c r="AW449" s="49" t="str">
        <f>IF(AND('Choix pédagogiques'!$C$4&lt;&gt;"?",'Choix pédagogiques'!$C$5&lt;&gt;"?",AB449&lt;&gt;""),(AB449-'Choix pédagogiques'!$C$4)/('Choix pédagogiques'!$C$5-'Choix pédagogiques'!$C$4),"")</f>
        <v/>
      </c>
      <c r="AX449" s="49" t="str">
        <f>IF(AND('Choix pédagogiques'!$C$4&lt;&gt;"?",'Choix pédagogiques'!$C$5&lt;&gt;"?",AC449&lt;&gt;""),(AC449-'Choix pédagogiques'!$C$4)/('Choix pédagogiques'!$C$5-'Choix pédagogiques'!$C$4),"")</f>
        <v/>
      </c>
      <c r="AY449" s="49" t="str">
        <f>IF(AND('Choix pédagogiques'!$C$4&lt;&gt;"?",'Choix pédagogiques'!$C$5&lt;&gt;"?",AD449&lt;&gt;""),(AD449-'Choix pédagogiques'!$C$4)/('Choix pédagogiques'!$C$5-'Choix pédagogiques'!$C$4),"")</f>
        <v/>
      </c>
      <c r="AZ449" s="22" t="str">
        <f t="shared" si="332"/>
        <v/>
      </c>
      <c r="BA449" s="21" t="str">
        <f t="shared" si="333"/>
        <v>Apprenant 437</v>
      </c>
      <c r="BB449" s="49" t="str">
        <f t="shared" si="305"/>
        <v/>
      </c>
      <c r="BC449" s="49" t="str">
        <f t="shared" si="306"/>
        <v/>
      </c>
      <c r="BD449" s="49" t="str">
        <f t="shared" si="307"/>
        <v/>
      </c>
      <c r="BE449" s="22" t="str">
        <f t="shared" si="334"/>
        <v/>
      </c>
      <c r="BF449" s="21" t="str">
        <f t="shared" si="335"/>
        <v>Apprenant 437 ou 437'</v>
      </c>
      <c r="BG449" s="49" t="str">
        <f t="shared" si="308"/>
        <v/>
      </c>
      <c r="BH449" s="49" t="str">
        <f t="shared" si="309"/>
        <v/>
      </c>
      <c r="BI449" s="49" t="str">
        <f t="shared" si="310"/>
        <v/>
      </c>
      <c r="BJ449" s="22" t="str">
        <f t="shared" si="336"/>
        <v/>
      </c>
      <c r="BL449" s="21"/>
      <c r="BM449" s="21" t="str">
        <f>IF(OR(COUNT(B449:D1448)=0,AND('Choix pédagogiques'!$C$3&lt;&gt;1,'Choix pédagogiques'!$C$3&lt;&gt;2)),"",IF(AND(OR('Choix pédagogiques'!$C$3=1,'Choix pédagogiques'!$C$3=2),$B449&lt;&gt;"",$C449&lt;&gt;"",$D449&lt;&gt;""),1,0))</f>
        <v/>
      </c>
      <c r="BN449" s="21" t="str">
        <f>IF(OR(COUNT(G449:I1448)=0,AND('Choix pédagogiques'!$C$3&lt;&gt;1,'Choix pédagogiques'!$C$3&lt;&gt;2)),"",IF(AND(OR('Choix pédagogiques'!$C$3=1,'Choix pédagogiques'!$C$3=2),AND($G449&lt;&gt;"",$H449&lt;&gt;"",$I449&lt;&gt;"")),1,0))</f>
        <v/>
      </c>
      <c r="BO449" s="21" t="str">
        <f>IF(OR(COUNT(B449:D1448)=0,COUNT(G449:I1448)=0,'Choix pédagogiques'!C$3&lt;&gt;3),"",IF(AND('Choix pédagogiques'!$C$3=3,$B449&lt;&gt;"",$C449&lt;&gt;"",$D449&lt;&gt;"",$G449&lt;&gt;"",$H449&lt;&gt;"",$I449&lt;&gt;""),1,0))</f>
        <v/>
      </c>
      <c r="BR449" s="21">
        <v>500</v>
      </c>
      <c r="BS449" s="21">
        <v>1654</v>
      </c>
      <c r="BT449"/>
    </row>
    <row r="450" spans="1:72" s="23" customFormat="1" ht="18" customHeight="1" x14ac:dyDescent="0.3">
      <c r="A450" s="35" t="s">
        <v>440</v>
      </c>
      <c r="B450" s="37"/>
      <c r="C450" s="37"/>
      <c r="D450" s="37"/>
      <c r="E450" s="37"/>
      <c r="F450" s="35" t="s">
        <v>1448</v>
      </c>
      <c r="G450" s="37"/>
      <c r="H450" s="37"/>
      <c r="I450" s="37"/>
      <c r="J450" s="37"/>
      <c r="K450" s="21" t="str">
        <f t="shared" si="311"/>
        <v>Apprenant 438</v>
      </c>
      <c r="L450" s="22" t="str">
        <f t="shared" si="312"/>
        <v/>
      </c>
      <c r="M450" s="22" t="str">
        <f t="shared" si="313"/>
        <v/>
      </c>
      <c r="N450" s="22" t="str">
        <f t="shared" si="314"/>
        <v/>
      </c>
      <c r="O450" s="22" t="str">
        <f t="shared" si="315"/>
        <v/>
      </c>
      <c r="P450" s="21" t="str">
        <f t="shared" si="316"/>
        <v>Apprenant 438 ou 438'</v>
      </c>
      <c r="Q450" s="22" t="str">
        <f t="shared" si="317"/>
        <v/>
      </c>
      <c r="R450" s="22" t="str">
        <f t="shared" si="318"/>
        <v/>
      </c>
      <c r="S450" s="22" t="str">
        <f t="shared" si="319"/>
        <v/>
      </c>
      <c r="T450" s="22" t="str">
        <f t="shared" si="320"/>
        <v/>
      </c>
      <c r="V450" s="21" t="str">
        <f t="shared" si="321"/>
        <v>Apprenant 438</v>
      </c>
      <c r="W450" s="22" t="str">
        <f>IF(AND(OR('Choix pédagogiques'!$C$3=1,'Choix pédagogiques'!$C$3=2),$BM450=1),B450,IF(AND('Choix pédagogiques'!$C$3=3,$BO450=1),B450,""))</f>
        <v/>
      </c>
      <c r="X450" s="22" t="str">
        <f>IF(AND(OR('Choix pédagogiques'!$C$3=1,'Choix pédagogiques'!$C$3=2),$BM450=1),C450,IF(AND('Choix pédagogiques'!$C$3=3,$BO450=1),C450,""))</f>
        <v/>
      </c>
      <c r="Y450" s="22" t="str">
        <f>IF(AND(OR('Choix pédagogiques'!$C$3=1,'Choix pédagogiques'!$C$3=2),$BM450=1),D450,IF(AND('Choix pédagogiques'!$C$3=3,$BO450=1),D450,""))</f>
        <v/>
      </c>
      <c r="Z450" s="22" t="str">
        <f t="shared" si="322"/>
        <v/>
      </c>
      <c r="AA450" s="21" t="str">
        <f t="shared" si="323"/>
        <v>Apprenant 438 ou 438'</v>
      </c>
      <c r="AB450" s="22" t="str">
        <f>IF(AND(OR('Choix pédagogiques'!$C$3=1,'Choix pédagogiques'!$C$3=2),$BN450=1),G450,IF(AND('Choix pédagogiques'!$C$3=3,$BO450=1),G450,""))</f>
        <v/>
      </c>
      <c r="AC450" s="22" t="str">
        <f>IF(AND(OR('Choix pédagogiques'!$C$3=1,'Choix pédagogiques'!$C$3=2),$BN450=1),H450,IF(AND('Choix pédagogiques'!$C$3=3,$BO450=1),H450,""))</f>
        <v/>
      </c>
      <c r="AD450" s="22" t="str">
        <f>IF(AND(OR('Choix pédagogiques'!$C$3=1,'Choix pédagogiques'!$C$3=2),$BN450=1),I450,IF(AND('Choix pédagogiques'!$C$3=3,$BO450=1),I450,""))</f>
        <v/>
      </c>
      <c r="AE450" s="22" t="str">
        <f t="shared" si="324"/>
        <v/>
      </c>
      <c r="AF450" s="21" t="str">
        <f t="shared" si="325"/>
        <v>Apprenant 438</v>
      </c>
      <c r="AG450" s="22" t="str">
        <f t="shared" si="299"/>
        <v/>
      </c>
      <c r="AH450" s="22" t="str">
        <f t="shared" si="300"/>
        <v/>
      </c>
      <c r="AI450" s="22" t="str">
        <f t="shared" si="301"/>
        <v/>
      </c>
      <c r="AJ450" s="22" t="str">
        <f t="shared" si="326"/>
        <v/>
      </c>
      <c r="AK450" s="21" t="str">
        <f t="shared" si="327"/>
        <v>Apprenant 438 ou 438'</v>
      </c>
      <c r="AL450" s="22" t="str">
        <f t="shared" si="302"/>
        <v/>
      </c>
      <c r="AM450" s="22" t="str">
        <f t="shared" si="303"/>
        <v/>
      </c>
      <c r="AN450" s="22" t="str">
        <f t="shared" si="304"/>
        <v/>
      </c>
      <c r="AO450" s="22" t="str">
        <f t="shared" si="328"/>
        <v/>
      </c>
      <c r="AQ450" s="21" t="str">
        <f t="shared" si="329"/>
        <v>Apprenant 438</v>
      </c>
      <c r="AR450" s="49" t="str">
        <f>IF(AND('Choix pédagogiques'!$C$4&lt;&gt;"?",'Choix pédagogiques'!$C$5&lt;&gt;"?",W450&lt;&gt;""),(W450-'Choix pédagogiques'!$C$4)/('Choix pédagogiques'!$C$5-'Choix pédagogiques'!$C$4),"")</f>
        <v/>
      </c>
      <c r="AS450" s="49" t="str">
        <f>IF(AND('Choix pédagogiques'!$C$4&lt;&gt;"?",'Choix pédagogiques'!$C$5&lt;&gt;"?",X450&lt;&gt;""),(X450-'Choix pédagogiques'!$C$4)/('Choix pédagogiques'!$C$5-'Choix pédagogiques'!$C$4),"")</f>
        <v/>
      </c>
      <c r="AT450" s="49" t="str">
        <f>IF(AND('Choix pédagogiques'!$C$4&lt;&gt;"?",'Choix pédagogiques'!$C$5&lt;&gt;"?",Y450&lt;&gt;""),(Y450-'Choix pédagogiques'!$C$4)/('Choix pédagogiques'!$C$5-'Choix pédagogiques'!$C$4),"")</f>
        <v/>
      </c>
      <c r="AU450" s="22" t="str">
        <f t="shared" si="330"/>
        <v/>
      </c>
      <c r="AV450" s="21" t="str">
        <f t="shared" si="331"/>
        <v>Apprenant 438 ou 438'</v>
      </c>
      <c r="AW450" s="49" t="str">
        <f>IF(AND('Choix pédagogiques'!$C$4&lt;&gt;"?",'Choix pédagogiques'!$C$5&lt;&gt;"?",AB450&lt;&gt;""),(AB450-'Choix pédagogiques'!$C$4)/('Choix pédagogiques'!$C$5-'Choix pédagogiques'!$C$4),"")</f>
        <v/>
      </c>
      <c r="AX450" s="49" t="str">
        <f>IF(AND('Choix pédagogiques'!$C$4&lt;&gt;"?",'Choix pédagogiques'!$C$5&lt;&gt;"?",AC450&lt;&gt;""),(AC450-'Choix pédagogiques'!$C$4)/('Choix pédagogiques'!$C$5-'Choix pédagogiques'!$C$4),"")</f>
        <v/>
      </c>
      <c r="AY450" s="49" t="str">
        <f>IF(AND('Choix pédagogiques'!$C$4&lt;&gt;"?",'Choix pédagogiques'!$C$5&lt;&gt;"?",AD450&lt;&gt;""),(AD450-'Choix pédagogiques'!$C$4)/('Choix pédagogiques'!$C$5-'Choix pédagogiques'!$C$4),"")</f>
        <v/>
      </c>
      <c r="AZ450" s="22" t="str">
        <f t="shared" si="332"/>
        <v/>
      </c>
      <c r="BA450" s="21" t="str">
        <f t="shared" si="333"/>
        <v>Apprenant 438</v>
      </c>
      <c r="BB450" s="49" t="str">
        <f t="shared" si="305"/>
        <v/>
      </c>
      <c r="BC450" s="49" t="str">
        <f t="shared" si="306"/>
        <v/>
      </c>
      <c r="BD450" s="49" t="str">
        <f t="shared" si="307"/>
        <v/>
      </c>
      <c r="BE450" s="22" t="str">
        <f t="shared" si="334"/>
        <v/>
      </c>
      <c r="BF450" s="21" t="str">
        <f t="shared" si="335"/>
        <v>Apprenant 438 ou 438'</v>
      </c>
      <c r="BG450" s="49" t="str">
        <f t="shared" si="308"/>
        <v/>
      </c>
      <c r="BH450" s="49" t="str">
        <f t="shared" si="309"/>
        <v/>
      </c>
      <c r="BI450" s="49" t="str">
        <f t="shared" si="310"/>
        <v/>
      </c>
      <c r="BJ450" s="22" t="str">
        <f t="shared" si="336"/>
        <v/>
      </c>
      <c r="BL450" s="21"/>
      <c r="BM450" s="21" t="str">
        <f>IF(OR(COUNT(B450:D1449)=0,AND('Choix pédagogiques'!$C$3&lt;&gt;1,'Choix pédagogiques'!$C$3&lt;&gt;2)),"",IF(AND(OR('Choix pédagogiques'!$C$3=1,'Choix pédagogiques'!$C$3=2),$B450&lt;&gt;"",$C450&lt;&gt;"",$D450&lt;&gt;""),1,0))</f>
        <v/>
      </c>
      <c r="BN450" s="21" t="str">
        <f>IF(OR(COUNT(G450:I1449)=0,AND('Choix pédagogiques'!$C$3&lt;&gt;1,'Choix pédagogiques'!$C$3&lt;&gt;2)),"",IF(AND(OR('Choix pédagogiques'!$C$3=1,'Choix pédagogiques'!$C$3=2),AND($G450&lt;&gt;"",$H450&lt;&gt;"",$I450&lt;&gt;"")),1,0))</f>
        <v/>
      </c>
      <c r="BO450" s="21" t="str">
        <f>IF(OR(COUNT(B450:D1449)=0,COUNT(G450:I1449)=0,'Choix pédagogiques'!C$3&lt;&gt;3),"",IF(AND('Choix pédagogiques'!$C$3=3,$B450&lt;&gt;"",$C450&lt;&gt;"",$D450&lt;&gt;"",$G450&lt;&gt;"",$H450&lt;&gt;"",$I450&lt;&gt;""),1,0))</f>
        <v/>
      </c>
      <c r="BR450" s="21">
        <v>620</v>
      </c>
      <c r="BS450" s="21">
        <v>1161</v>
      </c>
      <c r="BT450"/>
    </row>
    <row r="451" spans="1:72" s="23" customFormat="1" ht="18" customHeight="1" x14ac:dyDescent="0.3">
      <c r="A451" s="35" t="s">
        <v>441</v>
      </c>
      <c r="B451" s="37"/>
      <c r="C451" s="37"/>
      <c r="D451" s="37"/>
      <c r="E451" s="37"/>
      <c r="F451" s="35" t="s">
        <v>1449</v>
      </c>
      <c r="G451" s="37"/>
      <c r="H451" s="37"/>
      <c r="I451" s="37"/>
      <c r="J451" s="37"/>
      <c r="K451" s="21" t="str">
        <f t="shared" si="311"/>
        <v>Apprenant 439</v>
      </c>
      <c r="L451" s="22" t="str">
        <f t="shared" si="312"/>
        <v/>
      </c>
      <c r="M451" s="22" t="str">
        <f t="shared" si="313"/>
        <v/>
      </c>
      <c r="N451" s="22" t="str">
        <f t="shared" si="314"/>
        <v/>
      </c>
      <c r="O451" s="22" t="str">
        <f t="shared" si="315"/>
        <v/>
      </c>
      <c r="P451" s="21" t="str">
        <f t="shared" si="316"/>
        <v>Apprenant 439 ou 439'</v>
      </c>
      <c r="Q451" s="22" t="str">
        <f t="shared" si="317"/>
        <v/>
      </c>
      <c r="R451" s="22" t="str">
        <f t="shared" si="318"/>
        <v/>
      </c>
      <c r="S451" s="22" t="str">
        <f t="shared" si="319"/>
        <v/>
      </c>
      <c r="T451" s="22" t="str">
        <f t="shared" si="320"/>
        <v/>
      </c>
      <c r="V451" s="21" t="str">
        <f t="shared" si="321"/>
        <v>Apprenant 439</v>
      </c>
      <c r="W451" s="22" t="str">
        <f>IF(AND(OR('Choix pédagogiques'!$C$3=1,'Choix pédagogiques'!$C$3=2),$BM451=1),B451,IF(AND('Choix pédagogiques'!$C$3=3,$BO451=1),B451,""))</f>
        <v/>
      </c>
      <c r="X451" s="22" t="str">
        <f>IF(AND(OR('Choix pédagogiques'!$C$3=1,'Choix pédagogiques'!$C$3=2),$BM451=1),C451,IF(AND('Choix pédagogiques'!$C$3=3,$BO451=1),C451,""))</f>
        <v/>
      </c>
      <c r="Y451" s="22" t="str">
        <f>IF(AND(OR('Choix pédagogiques'!$C$3=1,'Choix pédagogiques'!$C$3=2),$BM451=1),D451,IF(AND('Choix pédagogiques'!$C$3=3,$BO451=1),D451,""))</f>
        <v/>
      </c>
      <c r="Z451" s="22" t="str">
        <f t="shared" si="322"/>
        <v/>
      </c>
      <c r="AA451" s="21" t="str">
        <f t="shared" si="323"/>
        <v>Apprenant 439 ou 439'</v>
      </c>
      <c r="AB451" s="22" t="str">
        <f>IF(AND(OR('Choix pédagogiques'!$C$3=1,'Choix pédagogiques'!$C$3=2),$BN451=1),G451,IF(AND('Choix pédagogiques'!$C$3=3,$BO451=1),G451,""))</f>
        <v/>
      </c>
      <c r="AC451" s="22" t="str">
        <f>IF(AND(OR('Choix pédagogiques'!$C$3=1,'Choix pédagogiques'!$C$3=2),$BN451=1),H451,IF(AND('Choix pédagogiques'!$C$3=3,$BO451=1),H451,""))</f>
        <v/>
      </c>
      <c r="AD451" s="22" t="str">
        <f>IF(AND(OR('Choix pédagogiques'!$C$3=1,'Choix pédagogiques'!$C$3=2),$BN451=1),I451,IF(AND('Choix pédagogiques'!$C$3=3,$BO451=1),I451,""))</f>
        <v/>
      </c>
      <c r="AE451" s="22" t="str">
        <f t="shared" si="324"/>
        <v/>
      </c>
      <c r="AF451" s="21" t="str">
        <f t="shared" si="325"/>
        <v>Apprenant 439</v>
      </c>
      <c r="AG451" s="22" t="str">
        <f t="shared" si="299"/>
        <v/>
      </c>
      <c r="AH451" s="22" t="str">
        <f t="shared" si="300"/>
        <v/>
      </c>
      <c r="AI451" s="22" t="str">
        <f t="shared" si="301"/>
        <v/>
      </c>
      <c r="AJ451" s="22" t="str">
        <f t="shared" si="326"/>
        <v/>
      </c>
      <c r="AK451" s="21" t="str">
        <f t="shared" si="327"/>
        <v>Apprenant 439 ou 439'</v>
      </c>
      <c r="AL451" s="22" t="str">
        <f t="shared" si="302"/>
        <v/>
      </c>
      <c r="AM451" s="22" t="str">
        <f t="shared" si="303"/>
        <v/>
      </c>
      <c r="AN451" s="22" t="str">
        <f t="shared" si="304"/>
        <v/>
      </c>
      <c r="AO451" s="22" t="str">
        <f t="shared" si="328"/>
        <v/>
      </c>
      <c r="AQ451" s="21" t="str">
        <f t="shared" si="329"/>
        <v>Apprenant 439</v>
      </c>
      <c r="AR451" s="49" t="str">
        <f>IF(AND('Choix pédagogiques'!$C$4&lt;&gt;"?",'Choix pédagogiques'!$C$5&lt;&gt;"?",W451&lt;&gt;""),(W451-'Choix pédagogiques'!$C$4)/('Choix pédagogiques'!$C$5-'Choix pédagogiques'!$C$4),"")</f>
        <v/>
      </c>
      <c r="AS451" s="49" t="str">
        <f>IF(AND('Choix pédagogiques'!$C$4&lt;&gt;"?",'Choix pédagogiques'!$C$5&lt;&gt;"?",X451&lt;&gt;""),(X451-'Choix pédagogiques'!$C$4)/('Choix pédagogiques'!$C$5-'Choix pédagogiques'!$C$4),"")</f>
        <v/>
      </c>
      <c r="AT451" s="49" t="str">
        <f>IF(AND('Choix pédagogiques'!$C$4&lt;&gt;"?",'Choix pédagogiques'!$C$5&lt;&gt;"?",Y451&lt;&gt;""),(Y451-'Choix pédagogiques'!$C$4)/('Choix pédagogiques'!$C$5-'Choix pédagogiques'!$C$4),"")</f>
        <v/>
      </c>
      <c r="AU451" s="22" t="str">
        <f t="shared" si="330"/>
        <v/>
      </c>
      <c r="AV451" s="21" t="str">
        <f t="shared" si="331"/>
        <v>Apprenant 439 ou 439'</v>
      </c>
      <c r="AW451" s="49" t="str">
        <f>IF(AND('Choix pédagogiques'!$C$4&lt;&gt;"?",'Choix pédagogiques'!$C$5&lt;&gt;"?",AB451&lt;&gt;""),(AB451-'Choix pédagogiques'!$C$4)/('Choix pédagogiques'!$C$5-'Choix pédagogiques'!$C$4),"")</f>
        <v/>
      </c>
      <c r="AX451" s="49" t="str">
        <f>IF(AND('Choix pédagogiques'!$C$4&lt;&gt;"?",'Choix pédagogiques'!$C$5&lt;&gt;"?",AC451&lt;&gt;""),(AC451-'Choix pédagogiques'!$C$4)/('Choix pédagogiques'!$C$5-'Choix pédagogiques'!$C$4),"")</f>
        <v/>
      </c>
      <c r="AY451" s="49" t="str">
        <f>IF(AND('Choix pédagogiques'!$C$4&lt;&gt;"?",'Choix pédagogiques'!$C$5&lt;&gt;"?",AD451&lt;&gt;""),(AD451-'Choix pédagogiques'!$C$4)/('Choix pédagogiques'!$C$5-'Choix pédagogiques'!$C$4),"")</f>
        <v/>
      </c>
      <c r="AZ451" s="22" t="str">
        <f t="shared" si="332"/>
        <v/>
      </c>
      <c r="BA451" s="21" t="str">
        <f t="shared" si="333"/>
        <v>Apprenant 439</v>
      </c>
      <c r="BB451" s="49" t="str">
        <f t="shared" si="305"/>
        <v/>
      </c>
      <c r="BC451" s="49" t="str">
        <f t="shared" si="306"/>
        <v/>
      </c>
      <c r="BD451" s="49" t="str">
        <f t="shared" si="307"/>
        <v/>
      </c>
      <c r="BE451" s="22" t="str">
        <f t="shared" si="334"/>
        <v/>
      </c>
      <c r="BF451" s="21" t="str">
        <f t="shared" si="335"/>
        <v>Apprenant 439 ou 439'</v>
      </c>
      <c r="BG451" s="49" t="str">
        <f t="shared" si="308"/>
        <v/>
      </c>
      <c r="BH451" s="49" t="str">
        <f t="shared" si="309"/>
        <v/>
      </c>
      <c r="BI451" s="49" t="str">
        <f t="shared" si="310"/>
        <v/>
      </c>
      <c r="BJ451" s="22" t="str">
        <f t="shared" si="336"/>
        <v/>
      </c>
      <c r="BL451" s="21"/>
      <c r="BM451" s="21" t="str">
        <f>IF(OR(COUNT(B451:D1450)=0,AND('Choix pédagogiques'!$C$3&lt;&gt;1,'Choix pédagogiques'!$C$3&lt;&gt;2)),"",IF(AND(OR('Choix pédagogiques'!$C$3=1,'Choix pédagogiques'!$C$3=2),$B451&lt;&gt;"",$C451&lt;&gt;"",$D451&lt;&gt;""),1,0))</f>
        <v/>
      </c>
      <c r="BN451" s="21" t="str">
        <f>IF(OR(COUNT(G451:I1450)=0,AND('Choix pédagogiques'!$C$3&lt;&gt;1,'Choix pédagogiques'!$C$3&lt;&gt;2)),"",IF(AND(OR('Choix pédagogiques'!$C$3=1,'Choix pédagogiques'!$C$3=2),AND($G451&lt;&gt;"",$H451&lt;&gt;"",$I451&lt;&gt;"")),1,0))</f>
        <v/>
      </c>
      <c r="BO451" s="21" t="str">
        <f>IF(OR(COUNT(B451:D1450)=0,COUNT(G451:I1450)=0,'Choix pédagogiques'!C$3&lt;&gt;3),"",IF(AND('Choix pédagogiques'!$C$3=3,$B451&lt;&gt;"",$C451&lt;&gt;"",$D451&lt;&gt;"",$G451&lt;&gt;"",$H451&lt;&gt;"",$I451&lt;&gt;""),1,0))</f>
        <v/>
      </c>
      <c r="BR451" s="21">
        <v>802</v>
      </c>
      <c r="BS451" s="21">
        <v>1608</v>
      </c>
      <c r="BT451"/>
    </row>
    <row r="452" spans="1:72" s="23" customFormat="1" ht="18" customHeight="1" x14ac:dyDescent="0.3">
      <c r="A452" s="35" t="s">
        <v>442</v>
      </c>
      <c r="B452" s="37"/>
      <c r="C452" s="37"/>
      <c r="D452" s="37"/>
      <c r="E452" s="37"/>
      <c r="F452" s="35" t="s">
        <v>1450</v>
      </c>
      <c r="G452" s="37"/>
      <c r="H452" s="37"/>
      <c r="I452" s="37"/>
      <c r="J452" s="37"/>
      <c r="K452" s="21" t="str">
        <f t="shared" si="311"/>
        <v>Apprenant 440</v>
      </c>
      <c r="L452" s="22" t="str">
        <f t="shared" si="312"/>
        <v/>
      </c>
      <c r="M452" s="22" t="str">
        <f t="shared" si="313"/>
        <v/>
      </c>
      <c r="N452" s="22" t="str">
        <f t="shared" si="314"/>
        <v/>
      </c>
      <c r="O452" s="22" t="str">
        <f t="shared" si="315"/>
        <v/>
      </c>
      <c r="P452" s="21" t="str">
        <f t="shared" si="316"/>
        <v>Apprenant 440 ou 440'</v>
      </c>
      <c r="Q452" s="22" t="str">
        <f t="shared" si="317"/>
        <v/>
      </c>
      <c r="R452" s="22" t="str">
        <f t="shared" si="318"/>
        <v/>
      </c>
      <c r="S452" s="22" t="str">
        <f t="shared" si="319"/>
        <v/>
      </c>
      <c r="T452" s="22" t="str">
        <f t="shared" si="320"/>
        <v/>
      </c>
      <c r="V452" s="21" t="str">
        <f t="shared" si="321"/>
        <v>Apprenant 440</v>
      </c>
      <c r="W452" s="22" t="str">
        <f>IF(AND(OR('Choix pédagogiques'!$C$3=1,'Choix pédagogiques'!$C$3=2),$BM452=1),B452,IF(AND('Choix pédagogiques'!$C$3=3,$BO452=1),B452,""))</f>
        <v/>
      </c>
      <c r="X452" s="22" t="str">
        <f>IF(AND(OR('Choix pédagogiques'!$C$3=1,'Choix pédagogiques'!$C$3=2),$BM452=1),C452,IF(AND('Choix pédagogiques'!$C$3=3,$BO452=1),C452,""))</f>
        <v/>
      </c>
      <c r="Y452" s="22" t="str">
        <f>IF(AND(OR('Choix pédagogiques'!$C$3=1,'Choix pédagogiques'!$C$3=2),$BM452=1),D452,IF(AND('Choix pédagogiques'!$C$3=3,$BO452=1),D452,""))</f>
        <v/>
      </c>
      <c r="Z452" s="22" t="str">
        <f t="shared" si="322"/>
        <v/>
      </c>
      <c r="AA452" s="21" t="str">
        <f t="shared" si="323"/>
        <v>Apprenant 440 ou 440'</v>
      </c>
      <c r="AB452" s="22" t="str">
        <f>IF(AND(OR('Choix pédagogiques'!$C$3=1,'Choix pédagogiques'!$C$3=2),$BN452=1),G452,IF(AND('Choix pédagogiques'!$C$3=3,$BO452=1),G452,""))</f>
        <v/>
      </c>
      <c r="AC452" s="22" t="str">
        <f>IF(AND(OR('Choix pédagogiques'!$C$3=1,'Choix pédagogiques'!$C$3=2),$BN452=1),H452,IF(AND('Choix pédagogiques'!$C$3=3,$BO452=1),H452,""))</f>
        <v/>
      </c>
      <c r="AD452" s="22" t="str">
        <f>IF(AND(OR('Choix pédagogiques'!$C$3=1,'Choix pédagogiques'!$C$3=2),$BN452=1),I452,IF(AND('Choix pédagogiques'!$C$3=3,$BO452=1),I452,""))</f>
        <v/>
      </c>
      <c r="AE452" s="22" t="str">
        <f t="shared" si="324"/>
        <v/>
      </c>
      <c r="AF452" s="21" t="str">
        <f t="shared" si="325"/>
        <v>Apprenant 440</v>
      </c>
      <c r="AG452" s="22" t="str">
        <f t="shared" si="299"/>
        <v/>
      </c>
      <c r="AH452" s="22" t="str">
        <f t="shared" si="300"/>
        <v/>
      </c>
      <c r="AI452" s="22" t="str">
        <f t="shared" si="301"/>
        <v/>
      </c>
      <c r="AJ452" s="22" t="str">
        <f t="shared" si="326"/>
        <v/>
      </c>
      <c r="AK452" s="21" t="str">
        <f t="shared" si="327"/>
        <v>Apprenant 440 ou 440'</v>
      </c>
      <c r="AL452" s="22" t="str">
        <f t="shared" si="302"/>
        <v/>
      </c>
      <c r="AM452" s="22" t="str">
        <f t="shared" si="303"/>
        <v/>
      </c>
      <c r="AN452" s="22" t="str">
        <f t="shared" si="304"/>
        <v/>
      </c>
      <c r="AO452" s="22" t="str">
        <f t="shared" si="328"/>
        <v/>
      </c>
      <c r="AQ452" s="21" t="str">
        <f t="shared" si="329"/>
        <v>Apprenant 440</v>
      </c>
      <c r="AR452" s="49" t="str">
        <f>IF(AND('Choix pédagogiques'!$C$4&lt;&gt;"?",'Choix pédagogiques'!$C$5&lt;&gt;"?",W452&lt;&gt;""),(W452-'Choix pédagogiques'!$C$4)/('Choix pédagogiques'!$C$5-'Choix pédagogiques'!$C$4),"")</f>
        <v/>
      </c>
      <c r="AS452" s="49" t="str">
        <f>IF(AND('Choix pédagogiques'!$C$4&lt;&gt;"?",'Choix pédagogiques'!$C$5&lt;&gt;"?",X452&lt;&gt;""),(X452-'Choix pédagogiques'!$C$4)/('Choix pédagogiques'!$C$5-'Choix pédagogiques'!$C$4),"")</f>
        <v/>
      </c>
      <c r="AT452" s="49" t="str">
        <f>IF(AND('Choix pédagogiques'!$C$4&lt;&gt;"?",'Choix pédagogiques'!$C$5&lt;&gt;"?",Y452&lt;&gt;""),(Y452-'Choix pédagogiques'!$C$4)/('Choix pédagogiques'!$C$5-'Choix pédagogiques'!$C$4),"")</f>
        <v/>
      </c>
      <c r="AU452" s="22" t="str">
        <f t="shared" si="330"/>
        <v/>
      </c>
      <c r="AV452" s="21" t="str">
        <f t="shared" si="331"/>
        <v>Apprenant 440 ou 440'</v>
      </c>
      <c r="AW452" s="49" t="str">
        <f>IF(AND('Choix pédagogiques'!$C$4&lt;&gt;"?",'Choix pédagogiques'!$C$5&lt;&gt;"?",AB452&lt;&gt;""),(AB452-'Choix pédagogiques'!$C$4)/('Choix pédagogiques'!$C$5-'Choix pédagogiques'!$C$4),"")</f>
        <v/>
      </c>
      <c r="AX452" s="49" t="str">
        <f>IF(AND('Choix pédagogiques'!$C$4&lt;&gt;"?",'Choix pédagogiques'!$C$5&lt;&gt;"?",AC452&lt;&gt;""),(AC452-'Choix pédagogiques'!$C$4)/('Choix pédagogiques'!$C$5-'Choix pédagogiques'!$C$4),"")</f>
        <v/>
      </c>
      <c r="AY452" s="49" t="str">
        <f>IF(AND('Choix pédagogiques'!$C$4&lt;&gt;"?",'Choix pédagogiques'!$C$5&lt;&gt;"?",AD452&lt;&gt;""),(AD452-'Choix pédagogiques'!$C$4)/('Choix pédagogiques'!$C$5-'Choix pédagogiques'!$C$4),"")</f>
        <v/>
      </c>
      <c r="AZ452" s="22" t="str">
        <f t="shared" si="332"/>
        <v/>
      </c>
      <c r="BA452" s="21" t="str">
        <f t="shared" si="333"/>
        <v>Apprenant 440</v>
      </c>
      <c r="BB452" s="49" t="str">
        <f t="shared" si="305"/>
        <v/>
      </c>
      <c r="BC452" s="49" t="str">
        <f t="shared" si="306"/>
        <v/>
      </c>
      <c r="BD452" s="49" t="str">
        <f t="shared" si="307"/>
        <v/>
      </c>
      <c r="BE452" s="22" t="str">
        <f t="shared" si="334"/>
        <v/>
      </c>
      <c r="BF452" s="21" t="str">
        <f t="shared" si="335"/>
        <v>Apprenant 440 ou 440'</v>
      </c>
      <c r="BG452" s="49" t="str">
        <f t="shared" si="308"/>
        <v/>
      </c>
      <c r="BH452" s="49" t="str">
        <f t="shared" si="309"/>
        <v/>
      </c>
      <c r="BI452" s="49" t="str">
        <f t="shared" si="310"/>
        <v/>
      </c>
      <c r="BJ452" s="22" t="str">
        <f t="shared" si="336"/>
        <v/>
      </c>
      <c r="BL452" s="21"/>
      <c r="BM452" s="21" t="str">
        <f>IF(OR(COUNT(B452:D1451)=0,AND('Choix pédagogiques'!$C$3&lt;&gt;1,'Choix pédagogiques'!$C$3&lt;&gt;2)),"",IF(AND(OR('Choix pédagogiques'!$C$3=1,'Choix pédagogiques'!$C$3=2),$B452&lt;&gt;"",$C452&lt;&gt;"",$D452&lt;&gt;""),1,0))</f>
        <v/>
      </c>
      <c r="BN452" s="21" t="str">
        <f>IF(OR(COUNT(G452:I1451)=0,AND('Choix pédagogiques'!$C$3&lt;&gt;1,'Choix pédagogiques'!$C$3&lt;&gt;2)),"",IF(AND(OR('Choix pédagogiques'!$C$3=1,'Choix pédagogiques'!$C$3=2),AND($G452&lt;&gt;"",$H452&lt;&gt;"",$I452&lt;&gt;"")),1,0))</f>
        <v/>
      </c>
      <c r="BO452" s="21" t="str">
        <f>IF(OR(COUNT(B452:D1451)=0,COUNT(G452:I1451)=0,'Choix pédagogiques'!C$3&lt;&gt;3),"",IF(AND('Choix pédagogiques'!$C$3=3,$B452&lt;&gt;"",$C452&lt;&gt;"",$D452&lt;&gt;"",$G452&lt;&gt;"",$H452&lt;&gt;"",$I452&lt;&gt;""),1,0))</f>
        <v/>
      </c>
      <c r="BR452" s="21">
        <v>425</v>
      </c>
      <c r="BS452" s="21">
        <v>1237</v>
      </c>
      <c r="BT452"/>
    </row>
    <row r="453" spans="1:72" s="23" customFormat="1" ht="18" customHeight="1" x14ac:dyDescent="0.3">
      <c r="A453" s="35" t="s">
        <v>443</v>
      </c>
      <c r="B453" s="37"/>
      <c r="C453" s="37"/>
      <c r="D453" s="37"/>
      <c r="E453" s="37"/>
      <c r="F453" s="35" t="s">
        <v>1451</v>
      </c>
      <c r="G453" s="37"/>
      <c r="H453" s="37"/>
      <c r="I453" s="37"/>
      <c r="J453" s="37"/>
      <c r="K453" s="21" t="str">
        <f t="shared" si="311"/>
        <v>Apprenant 441</v>
      </c>
      <c r="L453" s="22" t="str">
        <f t="shared" si="312"/>
        <v/>
      </c>
      <c r="M453" s="22" t="str">
        <f t="shared" si="313"/>
        <v/>
      </c>
      <c r="N453" s="22" t="str">
        <f t="shared" si="314"/>
        <v/>
      </c>
      <c r="O453" s="22" t="str">
        <f t="shared" si="315"/>
        <v/>
      </c>
      <c r="P453" s="21" t="str">
        <f t="shared" si="316"/>
        <v>Apprenant 441 ou 441'</v>
      </c>
      <c r="Q453" s="22" t="str">
        <f t="shared" si="317"/>
        <v/>
      </c>
      <c r="R453" s="22" t="str">
        <f t="shared" si="318"/>
        <v/>
      </c>
      <c r="S453" s="22" t="str">
        <f t="shared" si="319"/>
        <v/>
      </c>
      <c r="T453" s="22" t="str">
        <f t="shared" si="320"/>
        <v/>
      </c>
      <c r="V453" s="21" t="str">
        <f t="shared" si="321"/>
        <v>Apprenant 441</v>
      </c>
      <c r="W453" s="22" t="str">
        <f>IF(AND(OR('Choix pédagogiques'!$C$3=1,'Choix pédagogiques'!$C$3=2),$BM453=1),B453,IF(AND('Choix pédagogiques'!$C$3=3,$BO453=1),B453,""))</f>
        <v/>
      </c>
      <c r="X453" s="22" t="str">
        <f>IF(AND(OR('Choix pédagogiques'!$C$3=1,'Choix pédagogiques'!$C$3=2),$BM453=1),C453,IF(AND('Choix pédagogiques'!$C$3=3,$BO453=1),C453,""))</f>
        <v/>
      </c>
      <c r="Y453" s="22" t="str">
        <f>IF(AND(OR('Choix pédagogiques'!$C$3=1,'Choix pédagogiques'!$C$3=2),$BM453=1),D453,IF(AND('Choix pédagogiques'!$C$3=3,$BO453=1),D453,""))</f>
        <v/>
      </c>
      <c r="Z453" s="22" t="str">
        <f t="shared" si="322"/>
        <v/>
      </c>
      <c r="AA453" s="21" t="str">
        <f t="shared" si="323"/>
        <v>Apprenant 441 ou 441'</v>
      </c>
      <c r="AB453" s="22" t="str">
        <f>IF(AND(OR('Choix pédagogiques'!$C$3=1,'Choix pédagogiques'!$C$3=2),$BN453=1),G453,IF(AND('Choix pédagogiques'!$C$3=3,$BO453=1),G453,""))</f>
        <v/>
      </c>
      <c r="AC453" s="22" t="str">
        <f>IF(AND(OR('Choix pédagogiques'!$C$3=1,'Choix pédagogiques'!$C$3=2),$BN453=1),H453,IF(AND('Choix pédagogiques'!$C$3=3,$BO453=1),H453,""))</f>
        <v/>
      </c>
      <c r="AD453" s="22" t="str">
        <f>IF(AND(OR('Choix pédagogiques'!$C$3=1,'Choix pédagogiques'!$C$3=2),$BN453=1),I453,IF(AND('Choix pédagogiques'!$C$3=3,$BO453=1),I453,""))</f>
        <v/>
      </c>
      <c r="AE453" s="22" t="str">
        <f t="shared" si="324"/>
        <v/>
      </c>
      <c r="AF453" s="21" t="str">
        <f t="shared" si="325"/>
        <v>Apprenant 441</v>
      </c>
      <c r="AG453" s="22" t="str">
        <f t="shared" si="299"/>
        <v/>
      </c>
      <c r="AH453" s="22" t="str">
        <f t="shared" si="300"/>
        <v/>
      </c>
      <c r="AI453" s="22" t="str">
        <f t="shared" si="301"/>
        <v/>
      </c>
      <c r="AJ453" s="22" t="str">
        <f t="shared" si="326"/>
        <v/>
      </c>
      <c r="AK453" s="21" t="str">
        <f t="shared" si="327"/>
        <v>Apprenant 441 ou 441'</v>
      </c>
      <c r="AL453" s="22" t="str">
        <f t="shared" si="302"/>
        <v/>
      </c>
      <c r="AM453" s="22" t="str">
        <f t="shared" si="303"/>
        <v/>
      </c>
      <c r="AN453" s="22" t="str">
        <f t="shared" si="304"/>
        <v/>
      </c>
      <c r="AO453" s="22" t="str">
        <f t="shared" si="328"/>
        <v/>
      </c>
      <c r="AQ453" s="21" t="str">
        <f t="shared" si="329"/>
        <v>Apprenant 441</v>
      </c>
      <c r="AR453" s="49" t="str">
        <f>IF(AND('Choix pédagogiques'!$C$4&lt;&gt;"?",'Choix pédagogiques'!$C$5&lt;&gt;"?",W453&lt;&gt;""),(W453-'Choix pédagogiques'!$C$4)/('Choix pédagogiques'!$C$5-'Choix pédagogiques'!$C$4),"")</f>
        <v/>
      </c>
      <c r="AS453" s="49" t="str">
        <f>IF(AND('Choix pédagogiques'!$C$4&lt;&gt;"?",'Choix pédagogiques'!$C$5&lt;&gt;"?",X453&lt;&gt;""),(X453-'Choix pédagogiques'!$C$4)/('Choix pédagogiques'!$C$5-'Choix pédagogiques'!$C$4),"")</f>
        <v/>
      </c>
      <c r="AT453" s="49" t="str">
        <f>IF(AND('Choix pédagogiques'!$C$4&lt;&gt;"?",'Choix pédagogiques'!$C$5&lt;&gt;"?",Y453&lt;&gt;""),(Y453-'Choix pédagogiques'!$C$4)/('Choix pédagogiques'!$C$5-'Choix pédagogiques'!$C$4),"")</f>
        <v/>
      </c>
      <c r="AU453" s="22" t="str">
        <f t="shared" si="330"/>
        <v/>
      </c>
      <c r="AV453" s="21" t="str">
        <f t="shared" si="331"/>
        <v>Apprenant 441 ou 441'</v>
      </c>
      <c r="AW453" s="49" t="str">
        <f>IF(AND('Choix pédagogiques'!$C$4&lt;&gt;"?",'Choix pédagogiques'!$C$5&lt;&gt;"?",AB453&lt;&gt;""),(AB453-'Choix pédagogiques'!$C$4)/('Choix pédagogiques'!$C$5-'Choix pédagogiques'!$C$4),"")</f>
        <v/>
      </c>
      <c r="AX453" s="49" t="str">
        <f>IF(AND('Choix pédagogiques'!$C$4&lt;&gt;"?",'Choix pédagogiques'!$C$5&lt;&gt;"?",AC453&lt;&gt;""),(AC453-'Choix pédagogiques'!$C$4)/('Choix pédagogiques'!$C$5-'Choix pédagogiques'!$C$4),"")</f>
        <v/>
      </c>
      <c r="AY453" s="49" t="str">
        <f>IF(AND('Choix pédagogiques'!$C$4&lt;&gt;"?",'Choix pédagogiques'!$C$5&lt;&gt;"?",AD453&lt;&gt;""),(AD453-'Choix pédagogiques'!$C$4)/('Choix pédagogiques'!$C$5-'Choix pédagogiques'!$C$4),"")</f>
        <v/>
      </c>
      <c r="AZ453" s="22" t="str">
        <f t="shared" si="332"/>
        <v/>
      </c>
      <c r="BA453" s="21" t="str">
        <f t="shared" si="333"/>
        <v>Apprenant 441</v>
      </c>
      <c r="BB453" s="49" t="str">
        <f t="shared" si="305"/>
        <v/>
      </c>
      <c r="BC453" s="49" t="str">
        <f t="shared" si="306"/>
        <v/>
      </c>
      <c r="BD453" s="49" t="str">
        <f t="shared" si="307"/>
        <v/>
      </c>
      <c r="BE453" s="22" t="str">
        <f t="shared" si="334"/>
        <v/>
      </c>
      <c r="BF453" s="21" t="str">
        <f t="shared" si="335"/>
        <v>Apprenant 441 ou 441'</v>
      </c>
      <c r="BG453" s="49" t="str">
        <f t="shared" si="308"/>
        <v/>
      </c>
      <c r="BH453" s="49" t="str">
        <f t="shared" si="309"/>
        <v/>
      </c>
      <c r="BI453" s="49" t="str">
        <f t="shared" si="310"/>
        <v/>
      </c>
      <c r="BJ453" s="22" t="str">
        <f t="shared" si="336"/>
        <v/>
      </c>
      <c r="BL453" s="21"/>
      <c r="BM453" s="21" t="str">
        <f>IF(OR(COUNT(B453:D1452)=0,AND('Choix pédagogiques'!$C$3&lt;&gt;1,'Choix pédagogiques'!$C$3&lt;&gt;2)),"",IF(AND(OR('Choix pédagogiques'!$C$3=1,'Choix pédagogiques'!$C$3=2),$B453&lt;&gt;"",$C453&lt;&gt;"",$D453&lt;&gt;""),1,0))</f>
        <v/>
      </c>
      <c r="BN453" s="21" t="str">
        <f>IF(OR(COUNT(G453:I1452)=0,AND('Choix pédagogiques'!$C$3&lt;&gt;1,'Choix pédagogiques'!$C$3&lt;&gt;2)),"",IF(AND(OR('Choix pédagogiques'!$C$3=1,'Choix pédagogiques'!$C$3=2),AND($G453&lt;&gt;"",$H453&lt;&gt;"",$I453&lt;&gt;"")),1,0))</f>
        <v/>
      </c>
      <c r="BO453" s="21" t="str">
        <f>IF(OR(COUNT(B453:D1452)=0,COUNT(G453:I1452)=0,'Choix pédagogiques'!C$3&lt;&gt;3),"",IF(AND('Choix pédagogiques'!$C$3=3,$B453&lt;&gt;"",$C453&lt;&gt;"",$D453&lt;&gt;"",$G453&lt;&gt;"",$H453&lt;&gt;"",$I453&lt;&gt;""),1,0))</f>
        <v/>
      </c>
      <c r="BR453" s="21">
        <v>6</v>
      </c>
      <c r="BS453" s="21">
        <v>1165</v>
      </c>
      <c r="BT453"/>
    </row>
    <row r="454" spans="1:72" s="23" customFormat="1" ht="18" customHeight="1" x14ac:dyDescent="0.3">
      <c r="A454" s="35" t="s">
        <v>444</v>
      </c>
      <c r="B454" s="37"/>
      <c r="C454" s="37"/>
      <c r="D454" s="37"/>
      <c r="E454" s="37"/>
      <c r="F454" s="35" t="s">
        <v>1452</v>
      </c>
      <c r="G454" s="37"/>
      <c r="H454" s="37"/>
      <c r="I454" s="37"/>
      <c r="J454" s="37"/>
      <c r="K454" s="21" t="str">
        <f t="shared" si="311"/>
        <v>Apprenant 442</v>
      </c>
      <c r="L454" s="22" t="str">
        <f t="shared" si="312"/>
        <v/>
      </c>
      <c r="M454" s="22" t="str">
        <f t="shared" si="313"/>
        <v/>
      </c>
      <c r="N454" s="22" t="str">
        <f t="shared" si="314"/>
        <v/>
      </c>
      <c r="O454" s="22" t="str">
        <f t="shared" si="315"/>
        <v/>
      </c>
      <c r="P454" s="21" t="str">
        <f t="shared" si="316"/>
        <v>Apprenant 442 ou 442'</v>
      </c>
      <c r="Q454" s="22" t="str">
        <f t="shared" si="317"/>
        <v/>
      </c>
      <c r="R454" s="22" t="str">
        <f t="shared" si="318"/>
        <v/>
      </c>
      <c r="S454" s="22" t="str">
        <f t="shared" si="319"/>
        <v/>
      </c>
      <c r="T454" s="22" t="str">
        <f t="shared" si="320"/>
        <v/>
      </c>
      <c r="V454" s="21" t="str">
        <f t="shared" si="321"/>
        <v>Apprenant 442</v>
      </c>
      <c r="W454" s="22" t="str">
        <f>IF(AND(OR('Choix pédagogiques'!$C$3=1,'Choix pédagogiques'!$C$3=2),$BM454=1),B454,IF(AND('Choix pédagogiques'!$C$3=3,$BO454=1),B454,""))</f>
        <v/>
      </c>
      <c r="X454" s="22" t="str">
        <f>IF(AND(OR('Choix pédagogiques'!$C$3=1,'Choix pédagogiques'!$C$3=2),$BM454=1),C454,IF(AND('Choix pédagogiques'!$C$3=3,$BO454=1),C454,""))</f>
        <v/>
      </c>
      <c r="Y454" s="22" t="str">
        <f>IF(AND(OR('Choix pédagogiques'!$C$3=1,'Choix pédagogiques'!$C$3=2),$BM454=1),D454,IF(AND('Choix pédagogiques'!$C$3=3,$BO454=1),D454,""))</f>
        <v/>
      </c>
      <c r="Z454" s="22" t="str">
        <f t="shared" si="322"/>
        <v/>
      </c>
      <c r="AA454" s="21" t="str">
        <f t="shared" si="323"/>
        <v>Apprenant 442 ou 442'</v>
      </c>
      <c r="AB454" s="22" t="str">
        <f>IF(AND(OR('Choix pédagogiques'!$C$3=1,'Choix pédagogiques'!$C$3=2),$BN454=1),G454,IF(AND('Choix pédagogiques'!$C$3=3,$BO454=1),G454,""))</f>
        <v/>
      </c>
      <c r="AC454" s="22" t="str">
        <f>IF(AND(OR('Choix pédagogiques'!$C$3=1,'Choix pédagogiques'!$C$3=2),$BN454=1),H454,IF(AND('Choix pédagogiques'!$C$3=3,$BO454=1),H454,""))</f>
        <v/>
      </c>
      <c r="AD454" s="22" t="str">
        <f>IF(AND(OR('Choix pédagogiques'!$C$3=1,'Choix pédagogiques'!$C$3=2),$BN454=1),I454,IF(AND('Choix pédagogiques'!$C$3=3,$BO454=1),I454,""))</f>
        <v/>
      </c>
      <c r="AE454" s="22" t="str">
        <f t="shared" si="324"/>
        <v/>
      </c>
      <c r="AF454" s="21" t="str">
        <f t="shared" si="325"/>
        <v>Apprenant 442</v>
      </c>
      <c r="AG454" s="22" t="str">
        <f t="shared" si="299"/>
        <v/>
      </c>
      <c r="AH454" s="22" t="str">
        <f t="shared" si="300"/>
        <v/>
      </c>
      <c r="AI454" s="22" t="str">
        <f t="shared" si="301"/>
        <v/>
      </c>
      <c r="AJ454" s="22" t="str">
        <f t="shared" si="326"/>
        <v/>
      </c>
      <c r="AK454" s="21" t="str">
        <f t="shared" si="327"/>
        <v>Apprenant 442 ou 442'</v>
      </c>
      <c r="AL454" s="22" t="str">
        <f t="shared" si="302"/>
        <v/>
      </c>
      <c r="AM454" s="22" t="str">
        <f t="shared" si="303"/>
        <v/>
      </c>
      <c r="AN454" s="22" t="str">
        <f t="shared" si="304"/>
        <v/>
      </c>
      <c r="AO454" s="22" t="str">
        <f t="shared" si="328"/>
        <v/>
      </c>
      <c r="AQ454" s="21" t="str">
        <f t="shared" si="329"/>
        <v>Apprenant 442</v>
      </c>
      <c r="AR454" s="49" t="str">
        <f>IF(AND('Choix pédagogiques'!$C$4&lt;&gt;"?",'Choix pédagogiques'!$C$5&lt;&gt;"?",W454&lt;&gt;""),(W454-'Choix pédagogiques'!$C$4)/('Choix pédagogiques'!$C$5-'Choix pédagogiques'!$C$4),"")</f>
        <v/>
      </c>
      <c r="AS454" s="49" t="str">
        <f>IF(AND('Choix pédagogiques'!$C$4&lt;&gt;"?",'Choix pédagogiques'!$C$5&lt;&gt;"?",X454&lt;&gt;""),(X454-'Choix pédagogiques'!$C$4)/('Choix pédagogiques'!$C$5-'Choix pédagogiques'!$C$4),"")</f>
        <v/>
      </c>
      <c r="AT454" s="49" t="str">
        <f>IF(AND('Choix pédagogiques'!$C$4&lt;&gt;"?",'Choix pédagogiques'!$C$5&lt;&gt;"?",Y454&lt;&gt;""),(Y454-'Choix pédagogiques'!$C$4)/('Choix pédagogiques'!$C$5-'Choix pédagogiques'!$C$4),"")</f>
        <v/>
      </c>
      <c r="AU454" s="22" t="str">
        <f t="shared" si="330"/>
        <v/>
      </c>
      <c r="AV454" s="21" t="str">
        <f t="shared" si="331"/>
        <v>Apprenant 442 ou 442'</v>
      </c>
      <c r="AW454" s="49" t="str">
        <f>IF(AND('Choix pédagogiques'!$C$4&lt;&gt;"?",'Choix pédagogiques'!$C$5&lt;&gt;"?",AB454&lt;&gt;""),(AB454-'Choix pédagogiques'!$C$4)/('Choix pédagogiques'!$C$5-'Choix pédagogiques'!$C$4),"")</f>
        <v/>
      </c>
      <c r="AX454" s="49" t="str">
        <f>IF(AND('Choix pédagogiques'!$C$4&lt;&gt;"?",'Choix pédagogiques'!$C$5&lt;&gt;"?",AC454&lt;&gt;""),(AC454-'Choix pédagogiques'!$C$4)/('Choix pédagogiques'!$C$5-'Choix pédagogiques'!$C$4),"")</f>
        <v/>
      </c>
      <c r="AY454" s="49" t="str">
        <f>IF(AND('Choix pédagogiques'!$C$4&lt;&gt;"?",'Choix pédagogiques'!$C$5&lt;&gt;"?",AD454&lt;&gt;""),(AD454-'Choix pédagogiques'!$C$4)/('Choix pédagogiques'!$C$5-'Choix pédagogiques'!$C$4),"")</f>
        <v/>
      </c>
      <c r="AZ454" s="22" t="str">
        <f t="shared" si="332"/>
        <v/>
      </c>
      <c r="BA454" s="21" t="str">
        <f t="shared" si="333"/>
        <v>Apprenant 442</v>
      </c>
      <c r="BB454" s="49" t="str">
        <f t="shared" si="305"/>
        <v/>
      </c>
      <c r="BC454" s="49" t="str">
        <f t="shared" si="306"/>
        <v/>
      </c>
      <c r="BD454" s="49" t="str">
        <f t="shared" si="307"/>
        <v/>
      </c>
      <c r="BE454" s="22" t="str">
        <f t="shared" si="334"/>
        <v/>
      </c>
      <c r="BF454" s="21" t="str">
        <f t="shared" si="335"/>
        <v>Apprenant 442 ou 442'</v>
      </c>
      <c r="BG454" s="49" t="str">
        <f t="shared" si="308"/>
        <v/>
      </c>
      <c r="BH454" s="49" t="str">
        <f t="shared" si="309"/>
        <v/>
      </c>
      <c r="BI454" s="49" t="str">
        <f t="shared" si="310"/>
        <v/>
      </c>
      <c r="BJ454" s="22" t="str">
        <f t="shared" si="336"/>
        <v/>
      </c>
      <c r="BL454" s="21"/>
      <c r="BM454" s="21" t="str">
        <f>IF(OR(COUNT(B454:D1453)=0,AND('Choix pédagogiques'!$C$3&lt;&gt;1,'Choix pédagogiques'!$C$3&lt;&gt;2)),"",IF(AND(OR('Choix pédagogiques'!$C$3=1,'Choix pédagogiques'!$C$3=2),$B454&lt;&gt;"",$C454&lt;&gt;"",$D454&lt;&gt;""),1,0))</f>
        <v/>
      </c>
      <c r="BN454" s="21" t="str">
        <f>IF(OR(COUNT(G454:I1453)=0,AND('Choix pédagogiques'!$C$3&lt;&gt;1,'Choix pédagogiques'!$C$3&lt;&gt;2)),"",IF(AND(OR('Choix pédagogiques'!$C$3=1,'Choix pédagogiques'!$C$3=2),AND($G454&lt;&gt;"",$H454&lt;&gt;"",$I454&lt;&gt;"")),1,0))</f>
        <v/>
      </c>
      <c r="BO454" s="21" t="str">
        <f>IF(OR(COUNT(B454:D1453)=0,COUNT(G454:I1453)=0,'Choix pédagogiques'!C$3&lt;&gt;3),"",IF(AND('Choix pédagogiques'!$C$3=3,$B454&lt;&gt;"",$C454&lt;&gt;"",$D454&lt;&gt;"",$G454&lt;&gt;"",$H454&lt;&gt;"",$I454&lt;&gt;""),1,0))</f>
        <v/>
      </c>
      <c r="BR454" s="21">
        <v>494</v>
      </c>
      <c r="BS454" s="21">
        <v>1017</v>
      </c>
      <c r="BT454"/>
    </row>
    <row r="455" spans="1:72" s="23" customFormat="1" ht="18" customHeight="1" x14ac:dyDescent="0.3">
      <c r="A455" s="35" t="s">
        <v>445</v>
      </c>
      <c r="B455" s="37"/>
      <c r="C455" s="37"/>
      <c r="D455" s="37"/>
      <c r="E455" s="37"/>
      <c r="F455" s="35" t="s">
        <v>1453</v>
      </c>
      <c r="G455" s="37"/>
      <c r="H455" s="37"/>
      <c r="I455" s="37"/>
      <c r="J455" s="37"/>
      <c r="K455" s="21" t="str">
        <f t="shared" si="311"/>
        <v>Apprenant 443</v>
      </c>
      <c r="L455" s="22" t="str">
        <f t="shared" si="312"/>
        <v/>
      </c>
      <c r="M455" s="22" t="str">
        <f t="shared" si="313"/>
        <v/>
      </c>
      <c r="N455" s="22" t="str">
        <f t="shared" si="314"/>
        <v/>
      </c>
      <c r="O455" s="22" t="str">
        <f t="shared" si="315"/>
        <v/>
      </c>
      <c r="P455" s="21" t="str">
        <f t="shared" si="316"/>
        <v>Apprenant 443 ou 443'</v>
      </c>
      <c r="Q455" s="22" t="str">
        <f t="shared" si="317"/>
        <v/>
      </c>
      <c r="R455" s="22" t="str">
        <f t="shared" si="318"/>
        <v/>
      </c>
      <c r="S455" s="22" t="str">
        <f t="shared" si="319"/>
        <v/>
      </c>
      <c r="T455" s="22" t="str">
        <f t="shared" si="320"/>
        <v/>
      </c>
      <c r="V455" s="21" t="str">
        <f t="shared" si="321"/>
        <v>Apprenant 443</v>
      </c>
      <c r="W455" s="22" t="str">
        <f>IF(AND(OR('Choix pédagogiques'!$C$3=1,'Choix pédagogiques'!$C$3=2),$BM455=1),B455,IF(AND('Choix pédagogiques'!$C$3=3,$BO455=1),B455,""))</f>
        <v/>
      </c>
      <c r="X455" s="22" t="str">
        <f>IF(AND(OR('Choix pédagogiques'!$C$3=1,'Choix pédagogiques'!$C$3=2),$BM455=1),C455,IF(AND('Choix pédagogiques'!$C$3=3,$BO455=1),C455,""))</f>
        <v/>
      </c>
      <c r="Y455" s="22" t="str">
        <f>IF(AND(OR('Choix pédagogiques'!$C$3=1,'Choix pédagogiques'!$C$3=2),$BM455=1),D455,IF(AND('Choix pédagogiques'!$C$3=3,$BO455=1),D455,""))</f>
        <v/>
      </c>
      <c r="Z455" s="22" t="str">
        <f t="shared" si="322"/>
        <v/>
      </c>
      <c r="AA455" s="21" t="str">
        <f t="shared" si="323"/>
        <v>Apprenant 443 ou 443'</v>
      </c>
      <c r="AB455" s="22" t="str">
        <f>IF(AND(OR('Choix pédagogiques'!$C$3=1,'Choix pédagogiques'!$C$3=2),$BN455=1),G455,IF(AND('Choix pédagogiques'!$C$3=3,$BO455=1),G455,""))</f>
        <v/>
      </c>
      <c r="AC455" s="22" t="str">
        <f>IF(AND(OR('Choix pédagogiques'!$C$3=1,'Choix pédagogiques'!$C$3=2),$BN455=1),H455,IF(AND('Choix pédagogiques'!$C$3=3,$BO455=1),H455,""))</f>
        <v/>
      </c>
      <c r="AD455" s="22" t="str">
        <f>IF(AND(OR('Choix pédagogiques'!$C$3=1,'Choix pédagogiques'!$C$3=2),$BN455=1),I455,IF(AND('Choix pédagogiques'!$C$3=3,$BO455=1),I455,""))</f>
        <v/>
      </c>
      <c r="AE455" s="22" t="str">
        <f t="shared" si="324"/>
        <v/>
      </c>
      <c r="AF455" s="21" t="str">
        <f t="shared" si="325"/>
        <v>Apprenant 443</v>
      </c>
      <c r="AG455" s="22" t="str">
        <f t="shared" si="299"/>
        <v/>
      </c>
      <c r="AH455" s="22" t="str">
        <f t="shared" si="300"/>
        <v/>
      </c>
      <c r="AI455" s="22" t="str">
        <f t="shared" si="301"/>
        <v/>
      </c>
      <c r="AJ455" s="22" t="str">
        <f t="shared" si="326"/>
        <v/>
      </c>
      <c r="AK455" s="21" t="str">
        <f t="shared" si="327"/>
        <v>Apprenant 443 ou 443'</v>
      </c>
      <c r="AL455" s="22" t="str">
        <f t="shared" si="302"/>
        <v/>
      </c>
      <c r="AM455" s="22" t="str">
        <f t="shared" si="303"/>
        <v/>
      </c>
      <c r="AN455" s="22" t="str">
        <f t="shared" si="304"/>
        <v/>
      </c>
      <c r="AO455" s="22" t="str">
        <f t="shared" si="328"/>
        <v/>
      </c>
      <c r="AQ455" s="21" t="str">
        <f t="shared" si="329"/>
        <v>Apprenant 443</v>
      </c>
      <c r="AR455" s="49" t="str">
        <f>IF(AND('Choix pédagogiques'!$C$4&lt;&gt;"?",'Choix pédagogiques'!$C$5&lt;&gt;"?",W455&lt;&gt;""),(W455-'Choix pédagogiques'!$C$4)/('Choix pédagogiques'!$C$5-'Choix pédagogiques'!$C$4),"")</f>
        <v/>
      </c>
      <c r="AS455" s="49" t="str">
        <f>IF(AND('Choix pédagogiques'!$C$4&lt;&gt;"?",'Choix pédagogiques'!$C$5&lt;&gt;"?",X455&lt;&gt;""),(X455-'Choix pédagogiques'!$C$4)/('Choix pédagogiques'!$C$5-'Choix pédagogiques'!$C$4),"")</f>
        <v/>
      </c>
      <c r="AT455" s="49" t="str">
        <f>IF(AND('Choix pédagogiques'!$C$4&lt;&gt;"?",'Choix pédagogiques'!$C$5&lt;&gt;"?",Y455&lt;&gt;""),(Y455-'Choix pédagogiques'!$C$4)/('Choix pédagogiques'!$C$5-'Choix pédagogiques'!$C$4),"")</f>
        <v/>
      </c>
      <c r="AU455" s="22" t="str">
        <f t="shared" si="330"/>
        <v/>
      </c>
      <c r="AV455" s="21" t="str">
        <f t="shared" si="331"/>
        <v>Apprenant 443 ou 443'</v>
      </c>
      <c r="AW455" s="49" t="str">
        <f>IF(AND('Choix pédagogiques'!$C$4&lt;&gt;"?",'Choix pédagogiques'!$C$5&lt;&gt;"?",AB455&lt;&gt;""),(AB455-'Choix pédagogiques'!$C$4)/('Choix pédagogiques'!$C$5-'Choix pédagogiques'!$C$4),"")</f>
        <v/>
      </c>
      <c r="AX455" s="49" t="str">
        <f>IF(AND('Choix pédagogiques'!$C$4&lt;&gt;"?",'Choix pédagogiques'!$C$5&lt;&gt;"?",AC455&lt;&gt;""),(AC455-'Choix pédagogiques'!$C$4)/('Choix pédagogiques'!$C$5-'Choix pédagogiques'!$C$4),"")</f>
        <v/>
      </c>
      <c r="AY455" s="49" t="str">
        <f>IF(AND('Choix pédagogiques'!$C$4&lt;&gt;"?",'Choix pédagogiques'!$C$5&lt;&gt;"?",AD455&lt;&gt;""),(AD455-'Choix pédagogiques'!$C$4)/('Choix pédagogiques'!$C$5-'Choix pédagogiques'!$C$4),"")</f>
        <v/>
      </c>
      <c r="AZ455" s="22" t="str">
        <f t="shared" si="332"/>
        <v/>
      </c>
      <c r="BA455" s="21" t="str">
        <f t="shared" si="333"/>
        <v>Apprenant 443</v>
      </c>
      <c r="BB455" s="49" t="str">
        <f t="shared" si="305"/>
        <v/>
      </c>
      <c r="BC455" s="49" t="str">
        <f t="shared" si="306"/>
        <v/>
      </c>
      <c r="BD455" s="49" t="str">
        <f t="shared" si="307"/>
        <v/>
      </c>
      <c r="BE455" s="22" t="str">
        <f t="shared" si="334"/>
        <v/>
      </c>
      <c r="BF455" s="21" t="str">
        <f t="shared" si="335"/>
        <v>Apprenant 443 ou 443'</v>
      </c>
      <c r="BG455" s="49" t="str">
        <f t="shared" si="308"/>
        <v/>
      </c>
      <c r="BH455" s="49" t="str">
        <f t="shared" si="309"/>
        <v/>
      </c>
      <c r="BI455" s="49" t="str">
        <f t="shared" si="310"/>
        <v/>
      </c>
      <c r="BJ455" s="22" t="str">
        <f t="shared" si="336"/>
        <v/>
      </c>
      <c r="BL455" s="21"/>
      <c r="BM455" s="21" t="str">
        <f>IF(OR(COUNT(B455:D1454)=0,AND('Choix pédagogiques'!$C$3&lt;&gt;1,'Choix pédagogiques'!$C$3&lt;&gt;2)),"",IF(AND(OR('Choix pédagogiques'!$C$3=1,'Choix pédagogiques'!$C$3=2),$B455&lt;&gt;"",$C455&lt;&gt;"",$D455&lt;&gt;""),1,0))</f>
        <v/>
      </c>
      <c r="BN455" s="21" t="str">
        <f>IF(OR(COUNT(G455:I1454)=0,AND('Choix pédagogiques'!$C$3&lt;&gt;1,'Choix pédagogiques'!$C$3&lt;&gt;2)),"",IF(AND(OR('Choix pédagogiques'!$C$3=1,'Choix pédagogiques'!$C$3=2),AND($G455&lt;&gt;"",$H455&lt;&gt;"",$I455&lt;&gt;"")),1,0))</f>
        <v/>
      </c>
      <c r="BO455" s="21" t="str">
        <f>IF(OR(COUNT(B455:D1454)=0,COUNT(G455:I1454)=0,'Choix pédagogiques'!C$3&lt;&gt;3),"",IF(AND('Choix pédagogiques'!$C$3=3,$B455&lt;&gt;"",$C455&lt;&gt;"",$D455&lt;&gt;"",$G455&lt;&gt;"",$H455&lt;&gt;"",$I455&lt;&gt;""),1,0))</f>
        <v/>
      </c>
      <c r="BR455" s="21">
        <v>714</v>
      </c>
      <c r="BS455" s="21">
        <v>1245</v>
      </c>
      <c r="BT455"/>
    </row>
    <row r="456" spans="1:72" s="23" customFormat="1" ht="18" customHeight="1" x14ac:dyDescent="0.3">
      <c r="A456" s="35" t="s">
        <v>446</v>
      </c>
      <c r="B456" s="37"/>
      <c r="C456" s="37"/>
      <c r="D456" s="37"/>
      <c r="E456" s="37"/>
      <c r="F456" s="35" t="s">
        <v>1454</v>
      </c>
      <c r="G456" s="37"/>
      <c r="H456" s="37"/>
      <c r="I456" s="37"/>
      <c r="J456" s="37"/>
      <c r="K456" s="21" t="str">
        <f t="shared" si="311"/>
        <v>Apprenant 444</v>
      </c>
      <c r="L456" s="22" t="str">
        <f t="shared" si="312"/>
        <v/>
      </c>
      <c r="M456" s="22" t="str">
        <f t="shared" si="313"/>
        <v/>
      </c>
      <c r="N456" s="22" t="str">
        <f t="shared" si="314"/>
        <v/>
      </c>
      <c r="O456" s="22" t="str">
        <f t="shared" si="315"/>
        <v/>
      </c>
      <c r="P456" s="21" t="str">
        <f t="shared" si="316"/>
        <v>Apprenant 444 ou 444'</v>
      </c>
      <c r="Q456" s="22" t="str">
        <f t="shared" si="317"/>
        <v/>
      </c>
      <c r="R456" s="22" t="str">
        <f t="shared" si="318"/>
        <v/>
      </c>
      <c r="S456" s="22" t="str">
        <f t="shared" si="319"/>
        <v/>
      </c>
      <c r="T456" s="22" t="str">
        <f t="shared" si="320"/>
        <v/>
      </c>
      <c r="V456" s="21" t="str">
        <f t="shared" si="321"/>
        <v>Apprenant 444</v>
      </c>
      <c r="W456" s="22" t="str">
        <f>IF(AND(OR('Choix pédagogiques'!$C$3=1,'Choix pédagogiques'!$C$3=2),$BM456=1),B456,IF(AND('Choix pédagogiques'!$C$3=3,$BO456=1),B456,""))</f>
        <v/>
      </c>
      <c r="X456" s="22" t="str">
        <f>IF(AND(OR('Choix pédagogiques'!$C$3=1,'Choix pédagogiques'!$C$3=2),$BM456=1),C456,IF(AND('Choix pédagogiques'!$C$3=3,$BO456=1),C456,""))</f>
        <v/>
      </c>
      <c r="Y456" s="22" t="str">
        <f>IF(AND(OR('Choix pédagogiques'!$C$3=1,'Choix pédagogiques'!$C$3=2),$BM456=1),D456,IF(AND('Choix pédagogiques'!$C$3=3,$BO456=1),D456,""))</f>
        <v/>
      </c>
      <c r="Z456" s="22" t="str">
        <f t="shared" si="322"/>
        <v/>
      </c>
      <c r="AA456" s="21" t="str">
        <f t="shared" si="323"/>
        <v>Apprenant 444 ou 444'</v>
      </c>
      <c r="AB456" s="22" t="str">
        <f>IF(AND(OR('Choix pédagogiques'!$C$3=1,'Choix pédagogiques'!$C$3=2),$BN456=1),G456,IF(AND('Choix pédagogiques'!$C$3=3,$BO456=1),G456,""))</f>
        <v/>
      </c>
      <c r="AC456" s="22" t="str">
        <f>IF(AND(OR('Choix pédagogiques'!$C$3=1,'Choix pédagogiques'!$C$3=2),$BN456=1),H456,IF(AND('Choix pédagogiques'!$C$3=3,$BO456=1),H456,""))</f>
        <v/>
      </c>
      <c r="AD456" s="22" t="str">
        <f>IF(AND(OR('Choix pédagogiques'!$C$3=1,'Choix pédagogiques'!$C$3=2),$BN456=1),I456,IF(AND('Choix pédagogiques'!$C$3=3,$BO456=1),I456,""))</f>
        <v/>
      </c>
      <c r="AE456" s="22" t="str">
        <f t="shared" si="324"/>
        <v/>
      </c>
      <c r="AF456" s="21" t="str">
        <f t="shared" si="325"/>
        <v>Apprenant 444</v>
      </c>
      <c r="AG456" s="22" t="str">
        <f t="shared" si="299"/>
        <v/>
      </c>
      <c r="AH456" s="22" t="str">
        <f t="shared" si="300"/>
        <v/>
      </c>
      <c r="AI456" s="22" t="str">
        <f t="shared" si="301"/>
        <v/>
      </c>
      <c r="AJ456" s="22" t="str">
        <f t="shared" si="326"/>
        <v/>
      </c>
      <c r="AK456" s="21" t="str">
        <f t="shared" si="327"/>
        <v>Apprenant 444 ou 444'</v>
      </c>
      <c r="AL456" s="22" t="str">
        <f t="shared" si="302"/>
        <v/>
      </c>
      <c r="AM456" s="22" t="str">
        <f t="shared" si="303"/>
        <v/>
      </c>
      <c r="AN456" s="22" t="str">
        <f t="shared" si="304"/>
        <v/>
      </c>
      <c r="AO456" s="22" t="str">
        <f t="shared" si="328"/>
        <v/>
      </c>
      <c r="AQ456" s="21" t="str">
        <f t="shared" si="329"/>
        <v>Apprenant 444</v>
      </c>
      <c r="AR456" s="49" t="str">
        <f>IF(AND('Choix pédagogiques'!$C$4&lt;&gt;"?",'Choix pédagogiques'!$C$5&lt;&gt;"?",W456&lt;&gt;""),(W456-'Choix pédagogiques'!$C$4)/('Choix pédagogiques'!$C$5-'Choix pédagogiques'!$C$4),"")</f>
        <v/>
      </c>
      <c r="AS456" s="49" t="str">
        <f>IF(AND('Choix pédagogiques'!$C$4&lt;&gt;"?",'Choix pédagogiques'!$C$5&lt;&gt;"?",X456&lt;&gt;""),(X456-'Choix pédagogiques'!$C$4)/('Choix pédagogiques'!$C$5-'Choix pédagogiques'!$C$4),"")</f>
        <v/>
      </c>
      <c r="AT456" s="49" t="str">
        <f>IF(AND('Choix pédagogiques'!$C$4&lt;&gt;"?",'Choix pédagogiques'!$C$5&lt;&gt;"?",Y456&lt;&gt;""),(Y456-'Choix pédagogiques'!$C$4)/('Choix pédagogiques'!$C$5-'Choix pédagogiques'!$C$4),"")</f>
        <v/>
      </c>
      <c r="AU456" s="22" t="str">
        <f t="shared" si="330"/>
        <v/>
      </c>
      <c r="AV456" s="21" t="str">
        <f t="shared" si="331"/>
        <v>Apprenant 444 ou 444'</v>
      </c>
      <c r="AW456" s="49" t="str">
        <f>IF(AND('Choix pédagogiques'!$C$4&lt;&gt;"?",'Choix pédagogiques'!$C$5&lt;&gt;"?",AB456&lt;&gt;""),(AB456-'Choix pédagogiques'!$C$4)/('Choix pédagogiques'!$C$5-'Choix pédagogiques'!$C$4),"")</f>
        <v/>
      </c>
      <c r="AX456" s="49" t="str">
        <f>IF(AND('Choix pédagogiques'!$C$4&lt;&gt;"?",'Choix pédagogiques'!$C$5&lt;&gt;"?",AC456&lt;&gt;""),(AC456-'Choix pédagogiques'!$C$4)/('Choix pédagogiques'!$C$5-'Choix pédagogiques'!$C$4),"")</f>
        <v/>
      </c>
      <c r="AY456" s="49" t="str">
        <f>IF(AND('Choix pédagogiques'!$C$4&lt;&gt;"?",'Choix pédagogiques'!$C$5&lt;&gt;"?",AD456&lt;&gt;""),(AD456-'Choix pédagogiques'!$C$4)/('Choix pédagogiques'!$C$5-'Choix pédagogiques'!$C$4),"")</f>
        <v/>
      </c>
      <c r="AZ456" s="22" t="str">
        <f t="shared" si="332"/>
        <v/>
      </c>
      <c r="BA456" s="21" t="str">
        <f t="shared" si="333"/>
        <v>Apprenant 444</v>
      </c>
      <c r="BB456" s="49" t="str">
        <f t="shared" si="305"/>
        <v/>
      </c>
      <c r="BC456" s="49" t="str">
        <f t="shared" si="306"/>
        <v/>
      </c>
      <c r="BD456" s="49" t="str">
        <f t="shared" si="307"/>
        <v/>
      </c>
      <c r="BE456" s="22" t="str">
        <f t="shared" si="334"/>
        <v/>
      </c>
      <c r="BF456" s="21" t="str">
        <f t="shared" si="335"/>
        <v>Apprenant 444 ou 444'</v>
      </c>
      <c r="BG456" s="49" t="str">
        <f t="shared" si="308"/>
        <v/>
      </c>
      <c r="BH456" s="49" t="str">
        <f t="shared" si="309"/>
        <v/>
      </c>
      <c r="BI456" s="49" t="str">
        <f t="shared" si="310"/>
        <v/>
      </c>
      <c r="BJ456" s="22" t="str">
        <f t="shared" si="336"/>
        <v/>
      </c>
      <c r="BL456" s="21"/>
      <c r="BM456" s="21" t="str">
        <f>IF(OR(COUNT(B456:D1455)=0,AND('Choix pédagogiques'!$C$3&lt;&gt;1,'Choix pédagogiques'!$C$3&lt;&gt;2)),"",IF(AND(OR('Choix pédagogiques'!$C$3=1,'Choix pédagogiques'!$C$3=2),$B456&lt;&gt;"",$C456&lt;&gt;"",$D456&lt;&gt;""),1,0))</f>
        <v/>
      </c>
      <c r="BN456" s="21" t="str">
        <f>IF(OR(COUNT(G456:I1455)=0,AND('Choix pédagogiques'!$C$3&lt;&gt;1,'Choix pédagogiques'!$C$3&lt;&gt;2)),"",IF(AND(OR('Choix pédagogiques'!$C$3=1,'Choix pédagogiques'!$C$3=2),AND($G456&lt;&gt;"",$H456&lt;&gt;"",$I456&lt;&gt;"")),1,0))</f>
        <v/>
      </c>
      <c r="BO456" s="21" t="str">
        <f>IF(OR(COUNT(B456:D1455)=0,COUNT(G456:I1455)=0,'Choix pédagogiques'!C$3&lt;&gt;3),"",IF(AND('Choix pédagogiques'!$C$3=3,$B456&lt;&gt;"",$C456&lt;&gt;"",$D456&lt;&gt;"",$G456&lt;&gt;"",$H456&lt;&gt;"",$I456&lt;&gt;""),1,0))</f>
        <v/>
      </c>
      <c r="BR456" s="21">
        <v>636</v>
      </c>
      <c r="BS456" s="21">
        <v>1321</v>
      </c>
      <c r="BT456"/>
    </row>
    <row r="457" spans="1:72" s="23" customFormat="1" ht="18" customHeight="1" x14ac:dyDescent="0.3">
      <c r="A457" s="35" t="s">
        <v>447</v>
      </c>
      <c r="B457" s="37"/>
      <c r="C457" s="37"/>
      <c r="D457" s="37"/>
      <c r="E457" s="37"/>
      <c r="F457" s="35" t="s">
        <v>1455</v>
      </c>
      <c r="G457" s="37"/>
      <c r="H457" s="37"/>
      <c r="I457" s="37"/>
      <c r="J457" s="37"/>
      <c r="K457" s="21" t="str">
        <f t="shared" si="311"/>
        <v>Apprenant 445</v>
      </c>
      <c r="L457" s="22" t="str">
        <f t="shared" si="312"/>
        <v/>
      </c>
      <c r="M457" s="22" t="str">
        <f t="shared" si="313"/>
        <v/>
      </c>
      <c r="N457" s="22" t="str">
        <f t="shared" si="314"/>
        <v/>
      </c>
      <c r="O457" s="22" t="str">
        <f t="shared" si="315"/>
        <v/>
      </c>
      <c r="P457" s="21" t="str">
        <f t="shared" si="316"/>
        <v>Apprenant 445 ou 445'</v>
      </c>
      <c r="Q457" s="22" t="str">
        <f t="shared" si="317"/>
        <v/>
      </c>
      <c r="R457" s="22" t="str">
        <f t="shared" si="318"/>
        <v/>
      </c>
      <c r="S457" s="22" t="str">
        <f t="shared" si="319"/>
        <v/>
      </c>
      <c r="T457" s="22" t="str">
        <f t="shared" si="320"/>
        <v/>
      </c>
      <c r="V457" s="21" t="str">
        <f t="shared" si="321"/>
        <v>Apprenant 445</v>
      </c>
      <c r="W457" s="22" t="str">
        <f>IF(AND(OR('Choix pédagogiques'!$C$3=1,'Choix pédagogiques'!$C$3=2),$BM457=1),B457,IF(AND('Choix pédagogiques'!$C$3=3,$BO457=1),B457,""))</f>
        <v/>
      </c>
      <c r="X457" s="22" t="str">
        <f>IF(AND(OR('Choix pédagogiques'!$C$3=1,'Choix pédagogiques'!$C$3=2),$BM457=1),C457,IF(AND('Choix pédagogiques'!$C$3=3,$BO457=1),C457,""))</f>
        <v/>
      </c>
      <c r="Y457" s="22" t="str">
        <f>IF(AND(OR('Choix pédagogiques'!$C$3=1,'Choix pédagogiques'!$C$3=2),$BM457=1),D457,IF(AND('Choix pédagogiques'!$C$3=3,$BO457=1),D457,""))</f>
        <v/>
      </c>
      <c r="Z457" s="22" t="str">
        <f t="shared" si="322"/>
        <v/>
      </c>
      <c r="AA457" s="21" t="str">
        <f t="shared" si="323"/>
        <v>Apprenant 445 ou 445'</v>
      </c>
      <c r="AB457" s="22" t="str">
        <f>IF(AND(OR('Choix pédagogiques'!$C$3=1,'Choix pédagogiques'!$C$3=2),$BN457=1),G457,IF(AND('Choix pédagogiques'!$C$3=3,$BO457=1),G457,""))</f>
        <v/>
      </c>
      <c r="AC457" s="22" t="str">
        <f>IF(AND(OR('Choix pédagogiques'!$C$3=1,'Choix pédagogiques'!$C$3=2),$BN457=1),H457,IF(AND('Choix pédagogiques'!$C$3=3,$BO457=1),H457,""))</f>
        <v/>
      </c>
      <c r="AD457" s="22" t="str">
        <f>IF(AND(OR('Choix pédagogiques'!$C$3=1,'Choix pédagogiques'!$C$3=2),$BN457=1),I457,IF(AND('Choix pédagogiques'!$C$3=3,$BO457=1),I457,""))</f>
        <v/>
      </c>
      <c r="AE457" s="22" t="str">
        <f t="shared" si="324"/>
        <v/>
      </c>
      <c r="AF457" s="21" t="str">
        <f t="shared" si="325"/>
        <v>Apprenant 445</v>
      </c>
      <c r="AG457" s="22" t="str">
        <f t="shared" si="299"/>
        <v/>
      </c>
      <c r="AH457" s="22" t="str">
        <f t="shared" si="300"/>
        <v/>
      </c>
      <c r="AI457" s="22" t="str">
        <f t="shared" si="301"/>
        <v/>
      </c>
      <c r="AJ457" s="22" t="str">
        <f t="shared" si="326"/>
        <v/>
      </c>
      <c r="AK457" s="21" t="str">
        <f t="shared" si="327"/>
        <v>Apprenant 445 ou 445'</v>
      </c>
      <c r="AL457" s="22" t="str">
        <f t="shared" si="302"/>
        <v/>
      </c>
      <c r="AM457" s="22" t="str">
        <f t="shared" si="303"/>
        <v/>
      </c>
      <c r="AN457" s="22" t="str">
        <f t="shared" si="304"/>
        <v/>
      </c>
      <c r="AO457" s="22" t="str">
        <f t="shared" si="328"/>
        <v/>
      </c>
      <c r="AQ457" s="21" t="str">
        <f t="shared" si="329"/>
        <v>Apprenant 445</v>
      </c>
      <c r="AR457" s="49" t="str">
        <f>IF(AND('Choix pédagogiques'!$C$4&lt;&gt;"?",'Choix pédagogiques'!$C$5&lt;&gt;"?",W457&lt;&gt;""),(W457-'Choix pédagogiques'!$C$4)/('Choix pédagogiques'!$C$5-'Choix pédagogiques'!$C$4),"")</f>
        <v/>
      </c>
      <c r="AS457" s="49" t="str">
        <f>IF(AND('Choix pédagogiques'!$C$4&lt;&gt;"?",'Choix pédagogiques'!$C$5&lt;&gt;"?",X457&lt;&gt;""),(X457-'Choix pédagogiques'!$C$4)/('Choix pédagogiques'!$C$5-'Choix pédagogiques'!$C$4),"")</f>
        <v/>
      </c>
      <c r="AT457" s="49" t="str">
        <f>IF(AND('Choix pédagogiques'!$C$4&lt;&gt;"?",'Choix pédagogiques'!$C$5&lt;&gt;"?",Y457&lt;&gt;""),(Y457-'Choix pédagogiques'!$C$4)/('Choix pédagogiques'!$C$5-'Choix pédagogiques'!$C$4),"")</f>
        <v/>
      </c>
      <c r="AU457" s="22" t="str">
        <f t="shared" si="330"/>
        <v/>
      </c>
      <c r="AV457" s="21" t="str">
        <f t="shared" si="331"/>
        <v>Apprenant 445 ou 445'</v>
      </c>
      <c r="AW457" s="49" t="str">
        <f>IF(AND('Choix pédagogiques'!$C$4&lt;&gt;"?",'Choix pédagogiques'!$C$5&lt;&gt;"?",AB457&lt;&gt;""),(AB457-'Choix pédagogiques'!$C$4)/('Choix pédagogiques'!$C$5-'Choix pédagogiques'!$C$4),"")</f>
        <v/>
      </c>
      <c r="AX457" s="49" t="str">
        <f>IF(AND('Choix pédagogiques'!$C$4&lt;&gt;"?",'Choix pédagogiques'!$C$5&lt;&gt;"?",AC457&lt;&gt;""),(AC457-'Choix pédagogiques'!$C$4)/('Choix pédagogiques'!$C$5-'Choix pédagogiques'!$C$4),"")</f>
        <v/>
      </c>
      <c r="AY457" s="49" t="str">
        <f>IF(AND('Choix pédagogiques'!$C$4&lt;&gt;"?",'Choix pédagogiques'!$C$5&lt;&gt;"?",AD457&lt;&gt;""),(AD457-'Choix pédagogiques'!$C$4)/('Choix pédagogiques'!$C$5-'Choix pédagogiques'!$C$4),"")</f>
        <v/>
      </c>
      <c r="AZ457" s="22" t="str">
        <f t="shared" si="332"/>
        <v/>
      </c>
      <c r="BA457" s="21" t="str">
        <f t="shared" si="333"/>
        <v>Apprenant 445</v>
      </c>
      <c r="BB457" s="49" t="str">
        <f t="shared" si="305"/>
        <v/>
      </c>
      <c r="BC457" s="49" t="str">
        <f t="shared" si="306"/>
        <v/>
      </c>
      <c r="BD457" s="49" t="str">
        <f t="shared" si="307"/>
        <v/>
      </c>
      <c r="BE457" s="22" t="str">
        <f t="shared" si="334"/>
        <v/>
      </c>
      <c r="BF457" s="21" t="str">
        <f t="shared" si="335"/>
        <v>Apprenant 445 ou 445'</v>
      </c>
      <c r="BG457" s="49" t="str">
        <f t="shared" si="308"/>
        <v/>
      </c>
      <c r="BH457" s="49" t="str">
        <f t="shared" si="309"/>
        <v/>
      </c>
      <c r="BI457" s="49" t="str">
        <f t="shared" si="310"/>
        <v/>
      </c>
      <c r="BJ457" s="22" t="str">
        <f t="shared" si="336"/>
        <v/>
      </c>
      <c r="BL457" s="21"/>
      <c r="BM457" s="21" t="str">
        <f>IF(OR(COUNT(B457:D1456)=0,AND('Choix pédagogiques'!$C$3&lt;&gt;1,'Choix pédagogiques'!$C$3&lt;&gt;2)),"",IF(AND(OR('Choix pédagogiques'!$C$3=1,'Choix pédagogiques'!$C$3=2),$B457&lt;&gt;"",$C457&lt;&gt;"",$D457&lt;&gt;""),1,0))</f>
        <v/>
      </c>
      <c r="BN457" s="21" t="str">
        <f>IF(OR(COUNT(G457:I1456)=0,AND('Choix pédagogiques'!$C$3&lt;&gt;1,'Choix pédagogiques'!$C$3&lt;&gt;2)),"",IF(AND(OR('Choix pédagogiques'!$C$3=1,'Choix pédagogiques'!$C$3=2),AND($G457&lt;&gt;"",$H457&lt;&gt;"",$I457&lt;&gt;"")),1,0))</f>
        <v/>
      </c>
      <c r="BO457" s="21" t="str">
        <f>IF(OR(COUNT(B457:D1456)=0,COUNT(G457:I1456)=0,'Choix pédagogiques'!C$3&lt;&gt;3),"",IF(AND('Choix pédagogiques'!$C$3=3,$B457&lt;&gt;"",$C457&lt;&gt;"",$D457&lt;&gt;"",$G457&lt;&gt;"",$H457&lt;&gt;"",$I457&lt;&gt;""),1,0))</f>
        <v/>
      </c>
      <c r="BR457" s="21">
        <v>25</v>
      </c>
      <c r="BS457" s="21">
        <v>1657</v>
      </c>
      <c r="BT457"/>
    </row>
    <row r="458" spans="1:72" s="23" customFormat="1" ht="18" customHeight="1" x14ac:dyDescent="0.3">
      <c r="A458" s="35" t="s">
        <v>448</v>
      </c>
      <c r="B458" s="37"/>
      <c r="C458" s="37"/>
      <c r="D458" s="37"/>
      <c r="E458" s="37"/>
      <c r="F458" s="35" t="s">
        <v>1456</v>
      </c>
      <c r="G458" s="37"/>
      <c r="H458" s="37"/>
      <c r="I458" s="37"/>
      <c r="J458" s="37"/>
      <c r="K458" s="21" t="str">
        <f t="shared" si="311"/>
        <v>Apprenant 446</v>
      </c>
      <c r="L458" s="22" t="str">
        <f t="shared" si="312"/>
        <v/>
      </c>
      <c r="M458" s="22" t="str">
        <f t="shared" si="313"/>
        <v/>
      </c>
      <c r="N458" s="22" t="str">
        <f t="shared" si="314"/>
        <v/>
      </c>
      <c r="O458" s="22" t="str">
        <f t="shared" si="315"/>
        <v/>
      </c>
      <c r="P458" s="21" t="str">
        <f t="shared" si="316"/>
        <v>Apprenant 446 ou 446'</v>
      </c>
      <c r="Q458" s="22" t="str">
        <f t="shared" si="317"/>
        <v/>
      </c>
      <c r="R458" s="22" t="str">
        <f t="shared" si="318"/>
        <v/>
      </c>
      <c r="S458" s="22" t="str">
        <f t="shared" si="319"/>
        <v/>
      </c>
      <c r="T458" s="22" t="str">
        <f t="shared" si="320"/>
        <v/>
      </c>
      <c r="V458" s="21" t="str">
        <f t="shared" si="321"/>
        <v>Apprenant 446</v>
      </c>
      <c r="W458" s="22" t="str">
        <f>IF(AND(OR('Choix pédagogiques'!$C$3=1,'Choix pédagogiques'!$C$3=2),$BM458=1),B458,IF(AND('Choix pédagogiques'!$C$3=3,$BO458=1),B458,""))</f>
        <v/>
      </c>
      <c r="X458" s="22" t="str">
        <f>IF(AND(OR('Choix pédagogiques'!$C$3=1,'Choix pédagogiques'!$C$3=2),$BM458=1),C458,IF(AND('Choix pédagogiques'!$C$3=3,$BO458=1),C458,""))</f>
        <v/>
      </c>
      <c r="Y458" s="22" t="str">
        <f>IF(AND(OR('Choix pédagogiques'!$C$3=1,'Choix pédagogiques'!$C$3=2),$BM458=1),D458,IF(AND('Choix pédagogiques'!$C$3=3,$BO458=1),D458,""))</f>
        <v/>
      </c>
      <c r="Z458" s="22" t="str">
        <f t="shared" si="322"/>
        <v/>
      </c>
      <c r="AA458" s="21" t="str">
        <f t="shared" si="323"/>
        <v>Apprenant 446 ou 446'</v>
      </c>
      <c r="AB458" s="22" t="str">
        <f>IF(AND(OR('Choix pédagogiques'!$C$3=1,'Choix pédagogiques'!$C$3=2),$BN458=1),G458,IF(AND('Choix pédagogiques'!$C$3=3,$BO458=1),G458,""))</f>
        <v/>
      </c>
      <c r="AC458" s="22" t="str">
        <f>IF(AND(OR('Choix pédagogiques'!$C$3=1,'Choix pédagogiques'!$C$3=2),$BN458=1),H458,IF(AND('Choix pédagogiques'!$C$3=3,$BO458=1),H458,""))</f>
        <v/>
      </c>
      <c r="AD458" s="22" t="str">
        <f>IF(AND(OR('Choix pédagogiques'!$C$3=1,'Choix pédagogiques'!$C$3=2),$BN458=1),I458,IF(AND('Choix pédagogiques'!$C$3=3,$BO458=1),I458,""))</f>
        <v/>
      </c>
      <c r="AE458" s="22" t="str">
        <f t="shared" si="324"/>
        <v/>
      </c>
      <c r="AF458" s="21" t="str">
        <f t="shared" si="325"/>
        <v>Apprenant 446</v>
      </c>
      <c r="AG458" s="22" t="str">
        <f t="shared" si="299"/>
        <v/>
      </c>
      <c r="AH458" s="22" t="str">
        <f t="shared" si="300"/>
        <v/>
      </c>
      <c r="AI458" s="22" t="str">
        <f t="shared" si="301"/>
        <v/>
      </c>
      <c r="AJ458" s="22" t="str">
        <f t="shared" si="326"/>
        <v/>
      </c>
      <c r="AK458" s="21" t="str">
        <f t="shared" si="327"/>
        <v>Apprenant 446 ou 446'</v>
      </c>
      <c r="AL458" s="22" t="str">
        <f t="shared" si="302"/>
        <v/>
      </c>
      <c r="AM458" s="22" t="str">
        <f t="shared" si="303"/>
        <v/>
      </c>
      <c r="AN458" s="22" t="str">
        <f t="shared" si="304"/>
        <v/>
      </c>
      <c r="AO458" s="22" t="str">
        <f t="shared" si="328"/>
        <v/>
      </c>
      <c r="AQ458" s="21" t="str">
        <f t="shared" si="329"/>
        <v>Apprenant 446</v>
      </c>
      <c r="AR458" s="49" t="str">
        <f>IF(AND('Choix pédagogiques'!$C$4&lt;&gt;"?",'Choix pédagogiques'!$C$5&lt;&gt;"?",W458&lt;&gt;""),(W458-'Choix pédagogiques'!$C$4)/('Choix pédagogiques'!$C$5-'Choix pédagogiques'!$C$4),"")</f>
        <v/>
      </c>
      <c r="AS458" s="49" t="str">
        <f>IF(AND('Choix pédagogiques'!$C$4&lt;&gt;"?",'Choix pédagogiques'!$C$5&lt;&gt;"?",X458&lt;&gt;""),(X458-'Choix pédagogiques'!$C$4)/('Choix pédagogiques'!$C$5-'Choix pédagogiques'!$C$4),"")</f>
        <v/>
      </c>
      <c r="AT458" s="49" t="str">
        <f>IF(AND('Choix pédagogiques'!$C$4&lt;&gt;"?",'Choix pédagogiques'!$C$5&lt;&gt;"?",Y458&lt;&gt;""),(Y458-'Choix pédagogiques'!$C$4)/('Choix pédagogiques'!$C$5-'Choix pédagogiques'!$C$4),"")</f>
        <v/>
      </c>
      <c r="AU458" s="22" t="str">
        <f t="shared" si="330"/>
        <v/>
      </c>
      <c r="AV458" s="21" t="str">
        <f t="shared" si="331"/>
        <v>Apprenant 446 ou 446'</v>
      </c>
      <c r="AW458" s="49" t="str">
        <f>IF(AND('Choix pédagogiques'!$C$4&lt;&gt;"?",'Choix pédagogiques'!$C$5&lt;&gt;"?",AB458&lt;&gt;""),(AB458-'Choix pédagogiques'!$C$4)/('Choix pédagogiques'!$C$5-'Choix pédagogiques'!$C$4),"")</f>
        <v/>
      </c>
      <c r="AX458" s="49" t="str">
        <f>IF(AND('Choix pédagogiques'!$C$4&lt;&gt;"?",'Choix pédagogiques'!$C$5&lt;&gt;"?",AC458&lt;&gt;""),(AC458-'Choix pédagogiques'!$C$4)/('Choix pédagogiques'!$C$5-'Choix pédagogiques'!$C$4),"")</f>
        <v/>
      </c>
      <c r="AY458" s="49" t="str">
        <f>IF(AND('Choix pédagogiques'!$C$4&lt;&gt;"?",'Choix pédagogiques'!$C$5&lt;&gt;"?",AD458&lt;&gt;""),(AD458-'Choix pédagogiques'!$C$4)/('Choix pédagogiques'!$C$5-'Choix pédagogiques'!$C$4),"")</f>
        <v/>
      </c>
      <c r="AZ458" s="22" t="str">
        <f t="shared" si="332"/>
        <v/>
      </c>
      <c r="BA458" s="21" t="str">
        <f t="shared" si="333"/>
        <v>Apprenant 446</v>
      </c>
      <c r="BB458" s="49" t="str">
        <f t="shared" si="305"/>
        <v/>
      </c>
      <c r="BC458" s="49" t="str">
        <f t="shared" si="306"/>
        <v/>
      </c>
      <c r="BD458" s="49" t="str">
        <f t="shared" si="307"/>
        <v/>
      </c>
      <c r="BE458" s="22" t="str">
        <f t="shared" si="334"/>
        <v/>
      </c>
      <c r="BF458" s="21" t="str">
        <f t="shared" si="335"/>
        <v>Apprenant 446 ou 446'</v>
      </c>
      <c r="BG458" s="49" t="str">
        <f t="shared" si="308"/>
        <v/>
      </c>
      <c r="BH458" s="49" t="str">
        <f t="shared" si="309"/>
        <v/>
      </c>
      <c r="BI458" s="49" t="str">
        <f t="shared" si="310"/>
        <v/>
      </c>
      <c r="BJ458" s="22" t="str">
        <f t="shared" si="336"/>
        <v/>
      </c>
      <c r="BL458" s="21"/>
      <c r="BM458" s="21" t="str">
        <f>IF(OR(COUNT(B458:D1457)=0,AND('Choix pédagogiques'!$C$3&lt;&gt;1,'Choix pédagogiques'!$C$3&lt;&gt;2)),"",IF(AND(OR('Choix pédagogiques'!$C$3=1,'Choix pédagogiques'!$C$3=2),$B458&lt;&gt;"",$C458&lt;&gt;"",$D458&lt;&gt;""),1,0))</f>
        <v/>
      </c>
      <c r="BN458" s="21" t="str">
        <f>IF(OR(COUNT(G458:I1457)=0,AND('Choix pédagogiques'!$C$3&lt;&gt;1,'Choix pédagogiques'!$C$3&lt;&gt;2)),"",IF(AND(OR('Choix pédagogiques'!$C$3=1,'Choix pédagogiques'!$C$3=2),AND($G458&lt;&gt;"",$H458&lt;&gt;"",$I458&lt;&gt;"")),1,0))</f>
        <v/>
      </c>
      <c r="BO458" s="21" t="str">
        <f>IF(OR(COUNT(B458:D1457)=0,COUNT(G458:I1457)=0,'Choix pédagogiques'!C$3&lt;&gt;3),"",IF(AND('Choix pédagogiques'!$C$3=3,$B458&lt;&gt;"",$C458&lt;&gt;"",$D458&lt;&gt;"",$G458&lt;&gt;"",$H458&lt;&gt;"",$I458&lt;&gt;""),1,0))</f>
        <v/>
      </c>
      <c r="BR458" s="21">
        <v>552</v>
      </c>
      <c r="BS458" s="21">
        <v>1581</v>
      </c>
      <c r="BT458"/>
    </row>
    <row r="459" spans="1:72" s="23" customFormat="1" ht="18" customHeight="1" x14ac:dyDescent="0.3">
      <c r="A459" s="35" t="s">
        <v>449</v>
      </c>
      <c r="B459" s="37"/>
      <c r="C459" s="37"/>
      <c r="D459" s="37"/>
      <c r="E459" s="37"/>
      <c r="F459" s="35" t="s">
        <v>1457</v>
      </c>
      <c r="G459" s="37"/>
      <c r="H459" s="37"/>
      <c r="I459" s="37"/>
      <c r="J459" s="37"/>
      <c r="K459" s="21" t="str">
        <f t="shared" si="311"/>
        <v>Apprenant 447</v>
      </c>
      <c r="L459" s="22" t="str">
        <f t="shared" si="312"/>
        <v/>
      </c>
      <c r="M459" s="22" t="str">
        <f t="shared" si="313"/>
        <v/>
      </c>
      <c r="N459" s="22" t="str">
        <f t="shared" si="314"/>
        <v/>
      </c>
      <c r="O459" s="22" t="str">
        <f t="shared" si="315"/>
        <v/>
      </c>
      <c r="P459" s="21" t="str">
        <f t="shared" si="316"/>
        <v>Apprenant 447 ou 447'</v>
      </c>
      <c r="Q459" s="22" t="str">
        <f t="shared" si="317"/>
        <v/>
      </c>
      <c r="R459" s="22" t="str">
        <f t="shared" si="318"/>
        <v/>
      </c>
      <c r="S459" s="22" t="str">
        <f t="shared" si="319"/>
        <v/>
      </c>
      <c r="T459" s="22" t="str">
        <f t="shared" si="320"/>
        <v/>
      </c>
      <c r="V459" s="21" t="str">
        <f t="shared" si="321"/>
        <v>Apprenant 447</v>
      </c>
      <c r="W459" s="22" t="str">
        <f>IF(AND(OR('Choix pédagogiques'!$C$3=1,'Choix pédagogiques'!$C$3=2),$BM459=1),B459,IF(AND('Choix pédagogiques'!$C$3=3,$BO459=1),B459,""))</f>
        <v/>
      </c>
      <c r="X459" s="22" t="str">
        <f>IF(AND(OR('Choix pédagogiques'!$C$3=1,'Choix pédagogiques'!$C$3=2),$BM459=1),C459,IF(AND('Choix pédagogiques'!$C$3=3,$BO459=1),C459,""))</f>
        <v/>
      </c>
      <c r="Y459" s="22" t="str">
        <f>IF(AND(OR('Choix pédagogiques'!$C$3=1,'Choix pédagogiques'!$C$3=2),$BM459=1),D459,IF(AND('Choix pédagogiques'!$C$3=3,$BO459=1),D459,""))</f>
        <v/>
      </c>
      <c r="Z459" s="22" t="str">
        <f t="shared" si="322"/>
        <v/>
      </c>
      <c r="AA459" s="21" t="str">
        <f t="shared" si="323"/>
        <v>Apprenant 447 ou 447'</v>
      </c>
      <c r="AB459" s="22" t="str">
        <f>IF(AND(OR('Choix pédagogiques'!$C$3=1,'Choix pédagogiques'!$C$3=2),$BN459=1),G459,IF(AND('Choix pédagogiques'!$C$3=3,$BO459=1),G459,""))</f>
        <v/>
      </c>
      <c r="AC459" s="22" t="str">
        <f>IF(AND(OR('Choix pédagogiques'!$C$3=1,'Choix pédagogiques'!$C$3=2),$BN459=1),H459,IF(AND('Choix pédagogiques'!$C$3=3,$BO459=1),H459,""))</f>
        <v/>
      </c>
      <c r="AD459" s="22" t="str">
        <f>IF(AND(OR('Choix pédagogiques'!$C$3=1,'Choix pédagogiques'!$C$3=2),$BN459=1),I459,IF(AND('Choix pédagogiques'!$C$3=3,$BO459=1),I459,""))</f>
        <v/>
      </c>
      <c r="AE459" s="22" t="str">
        <f t="shared" si="324"/>
        <v/>
      </c>
      <c r="AF459" s="21" t="str">
        <f t="shared" si="325"/>
        <v>Apprenant 447</v>
      </c>
      <c r="AG459" s="22" t="str">
        <f t="shared" si="299"/>
        <v/>
      </c>
      <c r="AH459" s="22" t="str">
        <f t="shared" si="300"/>
        <v/>
      </c>
      <c r="AI459" s="22" t="str">
        <f t="shared" si="301"/>
        <v/>
      </c>
      <c r="AJ459" s="22" t="str">
        <f t="shared" si="326"/>
        <v/>
      </c>
      <c r="AK459" s="21" t="str">
        <f t="shared" si="327"/>
        <v>Apprenant 447 ou 447'</v>
      </c>
      <c r="AL459" s="22" t="str">
        <f t="shared" si="302"/>
        <v/>
      </c>
      <c r="AM459" s="22" t="str">
        <f t="shared" si="303"/>
        <v/>
      </c>
      <c r="AN459" s="22" t="str">
        <f t="shared" si="304"/>
        <v/>
      </c>
      <c r="AO459" s="22" t="str">
        <f t="shared" si="328"/>
        <v/>
      </c>
      <c r="AQ459" s="21" t="str">
        <f t="shared" si="329"/>
        <v>Apprenant 447</v>
      </c>
      <c r="AR459" s="49" t="str">
        <f>IF(AND('Choix pédagogiques'!$C$4&lt;&gt;"?",'Choix pédagogiques'!$C$5&lt;&gt;"?",W459&lt;&gt;""),(W459-'Choix pédagogiques'!$C$4)/('Choix pédagogiques'!$C$5-'Choix pédagogiques'!$C$4),"")</f>
        <v/>
      </c>
      <c r="AS459" s="49" t="str">
        <f>IF(AND('Choix pédagogiques'!$C$4&lt;&gt;"?",'Choix pédagogiques'!$C$5&lt;&gt;"?",X459&lt;&gt;""),(X459-'Choix pédagogiques'!$C$4)/('Choix pédagogiques'!$C$5-'Choix pédagogiques'!$C$4),"")</f>
        <v/>
      </c>
      <c r="AT459" s="49" t="str">
        <f>IF(AND('Choix pédagogiques'!$C$4&lt;&gt;"?",'Choix pédagogiques'!$C$5&lt;&gt;"?",Y459&lt;&gt;""),(Y459-'Choix pédagogiques'!$C$4)/('Choix pédagogiques'!$C$5-'Choix pédagogiques'!$C$4),"")</f>
        <v/>
      </c>
      <c r="AU459" s="22" t="str">
        <f t="shared" si="330"/>
        <v/>
      </c>
      <c r="AV459" s="21" t="str">
        <f t="shared" si="331"/>
        <v>Apprenant 447 ou 447'</v>
      </c>
      <c r="AW459" s="49" t="str">
        <f>IF(AND('Choix pédagogiques'!$C$4&lt;&gt;"?",'Choix pédagogiques'!$C$5&lt;&gt;"?",AB459&lt;&gt;""),(AB459-'Choix pédagogiques'!$C$4)/('Choix pédagogiques'!$C$5-'Choix pédagogiques'!$C$4),"")</f>
        <v/>
      </c>
      <c r="AX459" s="49" t="str">
        <f>IF(AND('Choix pédagogiques'!$C$4&lt;&gt;"?",'Choix pédagogiques'!$C$5&lt;&gt;"?",AC459&lt;&gt;""),(AC459-'Choix pédagogiques'!$C$4)/('Choix pédagogiques'!$C$5-'Choix pédagogiques'!$C$4),"")</f>
        <v/>
      </c>
      <c r="AY459" s="49" t="str">
        <f>IF(AND('Choix pédagogiques'!$C$4&lt;&gt;"?",'Choix pédagogiques'!$C$5&lt;&gt;"?",AD459&lt;&gt;""),(AD459-'Choix pédagogiques'!$C$4)/('Choix pédagogiques'!$C$5-'Choix pédagogiques'!$C$4),"")</f>
        <v/>
      </c>
      <c r="AZ459" s="22" t="str">
        <f t="shared" si="332"/>
        <v/>
      </c>
      <c r="BA459" s="21" t="str">
        <f t="shared" si="333"/>
        <v>Apprenant 447</v>
      </c>
      <c r="BB459" s="49" t="str">
        <f t="shared" si="305"/>
        <v/>
      </c>
      <c r="BC459" s="49" t="str">
        <f t="shared" si="306"/>
        <v/>
      </c>
      <c r="BD459" s="49" t="str">
        <f t="shared" si="307"/>
        <v/>
      </c>
      <c r="BE459" s="22" t="str">
        <f t="shared" si="334"/>
        <v/>
      </c>
      <c r="BF459" s="21" t="str">
        <f t="shared" si="335"/>
        <v>Apprenant 447 ou 447'</v>
      </c>
      <c r="BG459" s="49" t="str">
        <f t="shared" si="308"/>
        <v/>
      </c>
      <c r="BH459" s="49" t="str">
        <f t="shared" si="309"/>
        <v/>
      </c>
      <c r="BI459" s="49" t="str">
        <f t="shared" si="310"/>
        <v/>
      </c>
      <c r="BJ459" s="22" t="str">
        <f t="shared" si="336"/>
        <v/>
      </c>
      <c r="BL459" s="21"/>
      <c r="BM459" s="21" t="str">
        <f>IF(OR(COUNT(B459:D1458)=0,AND('Choix pédagogiques'!$C$3&lt;&gt;1,'Choix pédagogiques'!$C$3&lt;&gt;2)),"",IF(AND(OR('Choix pédagogiques'!$C$3=1,'Choix pédagogiques'!$C$3=2),$B459&lt;&gt;"",$C459&lt;&gt;"",$D459&lt;&gt;""),1,0))</f>
        <v/>
      </c>
      <c r="BN459" s="21" t="str">
        <f>IF(OR(COUNT(G459:I1458)=0,AND('Choix pédagogiques'!$C$3&lt;&gt;1,'Choix pédagogiques'!$C$3&lt;&gt;2)),"",IF(AND(OR('Choix pédagogiques'!$C$3=1,'Choix pédagogiques'!$C$3=2),AND($G459&lt;&gt;"",$H459&lt;&gt;"",$I459&lt;&gt;"")),1,0))</f>
        <v/>
      </c>
      <c r="BO459" s="21" t="str">
        <f>IF(OR(COUNT(B459:D1458)=0,COUNT(G459:I1458)=0,'Choix pédagogiques'!C$3&lt;&gt;3),"",IF(AND('Choix pédagogiques'!$C$3=3,$B459&lt;&gt;"",$C459&lt;&gt;"",$D459&lt;&gt;"",$G459&lt;&gt;"",$H459&lt;&gt;"",$I459&lt;&gt;""),1,0))</f>
        <v/>
      </c>
      <c r="BR459" s="21">
        <v>752</v>
      </c>
      <c r="BS459" s="21">
        <v>1474</v>
      </c>
      <c r="BT459"/>
    </row>
    <row r="460" spans="1:72" s="23" customFormat="1" ht="18" customHeight="1" x14ac:dyDescent="0.3">
      <c r="A460" s="35" t="s">
        <v>450</v>
      </c>
      <c r="B460" s="37"/>
      <c r="C460" s="37"/>
      <c r="D460" s="37"/>
      <c r="E460" s="37"/>
      <c r="F460" s="35" t="s">
        <v>1458</v>
      </c>
      <c r="G460" s="37"/>
      <c r="H460" s="37"/>
      <c r="I460" s="37"/>
      <c r="J460" s="37"/>
      <c r="K460" s="21" t="str">
        <f t="shared" si="311"/>
        <v>Apprenant 448</v>
      </c>
      <c r="L460" s="22" t="str">
        <f t="shared" si="312"/>
        <v/>
      </c>
      <c r="M460" s="22" t="str">
        <f t="shared" si="313"/>
        <v/>
      </c>
      <c r="N460" s="22" t="str">
        <f t="shared" si="314"/>
        <v/>
      </c>
      <c r="O460" s="22" t="str">
        <f t="shared" si="315"/>
        <v/>
      </c>
      <c r="P460" s="21" t="str">
        <f t="shared" si="316"/>
        <v>Apprenant 448 ou 448'</v>
      </c>
      <c r="Q460" s="22" t="str">
        <f t="shared" si="317"/>
        <v/>
      </c>
      <c r="R460" s="22" t="str">
        <f t="shared" si="318"/>
        <v/>
      </c>
      <c r="S460" s="22" t="str">
        <f t="shared" si="319"/>
        <v/>
      </c>
      <c r="T460" s="22" t="str">
        <f t="shared" si="320"/>
        <v/>
      </c>
      <c r="V460" s="21" t="str">
        <f t="shared" si="321"/>
        <v>Apprenant 448</v>
      </c>
      <c r="W460" s="22" t="str">
        <f>IF(AND(OR('Choix pédagogiques'!$C$3=1,'Choix pédagogiques'!$C$3=2),$BM460=1),B460,IF(AND('Choix pédagogiques'!$C$3=3,$BO460=1),B460,""))</f>
        <v/>
      </c>
      <c r="X460" s="22" t="str">
        <f>IF(AND(OR('Choix pédagogiques'!$C$3=1,'Choix pédagogiques'!$C$3=2),$BM460=1),C460,IF(AND('Choix pédagogiques'!$C$3=3,$BO460=1),C460,""))</f>
        <v/>
      </c>
      <c r="Y460" s="22" t="str">
        <f>IF(AND(OR('Choix pédagogiques'!$C$3=1,'Choix pédagogiques'!$C$3=2),$BM460=1),D460,IF(AND('Choix pédagogiques'!$C$3=3,$BO460=1),D460,""))</f>
        <v/>
      </c>
      <c r="Z460" s="22" t="str">
        <f t="shared" si="322"/>
        <v/>
      </c>
      <c r="AA460" s="21" t="str">
        <f t="shared" si="323"/>
        <v>Apprenant 448 ou 448'</v>
      </c>
      <c r="AB460" s="22" t="str">
        <f>IF(AND(OR('Choix pédagogiques'!$C$3=1,'Choix pédagogiques'!$C$3=2),$BN460=1),G460,IF(AND('Choix pédagogiques'!$C$3=3,$BO460=1),G460,""))</f>
        <v/>
      </c>
      <c r="AC460" s="22" t="str">
        <f>IF(AND(OR('Choix pédagogiques'!$C$3=1,'Choix pédagogiques'!$C$3=2),$BN460=1),H460,IF(AND('Choix pédagogiques'!$C$3=3,$BO460=1),H460,""))</f>
        <v/>
      </c>
      <c r="AD460" s="22" t="str">
        <f>IF(AND(OR('Choix pédagogiques'!$C$3=1,'Choix pédagogiques'!$C$3=2),$BN460=1),I460,IF(AND('Choix pédagogiques'!$C$3=3,$BO460=1),I460,""))</f>
        <v/>
      </c>
      <c r="AE460" s="22" t="str">
        <f t="shared" si="324"/>
        <v/>
      </c>
      <c r="AF460" s="21" t="str">
        <f t="shared" si="325"/>
        <v>Apprenant 448</v>
      </c>
      <c r="AG460" s="22" t="str">
        <f t="shared" si="299"/>
        <v/>
      </c>
      <c r="AH460" s="22" t="str">
        <f t="shared" si="300"/>
        <v/>
      </c>
      <c r="AI460" s="22" t="str">
        <f t="shared" si="301"/>
        <v/>
      </c>
      <c r="AJ460" s="22" t="str">
        <f t="shared" si="326"/>
        <v/>
      </c>
      <c r="AK460" s="21" t="str">
        <f t="shared" si="327"/>
        <v>Apprenant 448 ou 448'</v>
      </c>
      <c r="AL460" s="22" t="str">
        <f t="shared" si="302"/>
        <v/>
      </c>
      <c r="AM460" s="22" t="str">
        <f t="shared" si="303"/>
        <v/>
      </c>
      <c r="AN460" s="22" t="str">
        <f t="shared" si="304"/>
        <v/>
      </c>
      <c r="AO460" s="22" t="str">
        <f t="shared" si="328"/>
        <v/>
      </c>
      <c r="AQ460" s="21" t="str">
        <f t="shared" si="329"/>
        <v>Apprenant 448</v>
      </c>
      <c r="AR460" s="49" t="str">
        <f>IF(AND('Choix pédagogiques'!$C$4&lt;&gt;"?",'Choix pédagogiques'!$C$5&lt;&gt;"?",W460&lt;&gt;""),(W460-'Choix pédagogiques'!$C$4)/('Choix pédagogiques'!$C$5-'Choix pédagogiques'!$C$4),"")</f>
        <v/>
      </c>
      <c r="AS460" s="49" t="str">
        <f>IF(AND('Choix pédagogiques'!$C$4&lt;&gt;"?",'Choix pédagogiques'!$C$5&lt;&gt;"?",X460&lt;&gt;""),(X460-'Choix pédagogiques'!$C$4)/('Choix pédagogiques'!$C$5-'Choix pédagogiques'!$C$4),"")</f>
        <v/>
      </c>
      <c r="AT460" s="49" t="str">
        <f>IF(AND('Choix pédagogiques'!$C$4&lt;&gt;"?",'Choix pédagogiques'!$C$5&lt;&gt;"?",Y460&lt;&gt;""),(Y460-'Choix pédagogiques'!$C$4)/('Choix pédagogiques'!$C$5-'Choix pédagogiques'!$C$4),"")</f>
        <v/>
      </c>
      <c r="AU460" s="22" t="str">
        <f t="shared" si="330"/>
        <v/>
      </c>
      <c r="AV460" s="21" t="str">
        <f t="shared" si="331"/>
        <v>Apprenant 448 ou 448'</v>
      </c>
      <c r="AW460" s="49" t="str">
        <f>IF(AND('Choix pédagogiques'!$C$4&lt;&gt;"?",'Choix pédagogiques'!$C$5&lt;&gt;"?",AB460&lt;&gt;""),(AB460-'Choix pédagogiques'!$C$4)/('Choix pédagogiques'!$C$5-'Choix pédagogiques'!$C$4),"")</f>
        <v/>
      </c>
      <c r="AX460" s="49" t="str">
        <f>IF(AND('Choix pédagogiques'!$C$4&lt;&gt;"?",'Choix pédagogiques'!$C$5&lt;&gt;"?",AC460&lt;&gt;""),(AC460-'Choix pédagogiques'!$C$4)/('Choix pédagogiques'!$C$5-'Choix pédagogiques'!$C$4),"")</f>
        <v/>
      </c>
      <c r="AY460" s="49" t="str">
        <f>IF(AND('Choix pédagogiques'!$C$4&lt;&gt;"?",'Choix pédagogiques'!$C$5&lt;&gt;"?",AD460&lt;&gt;""),(AD460-'Choix pédagogiques'!$C$4)/('Choix pédagogiques'!$C$5-'Choix pédagogiques'!$C$4),"")</f>
        <v/>
      </c>
      <c r="AZ460" s="22" t="str">
        <f t="shared" si="332"/>
        <v/>
      </c>
      <c r="BA460" s="21" t="str">
        <f t="shared" si="333"/>
        <v>Apprenant 448</v>
      </c>
      <c r="BB460" s="49" t="str">
        <f t="shared" si="305"/>
        <v/>
      </c>
      <c r="BC460" s="49" t="str">
        <f t="shared" si="306"/>
        <v/>
      </c>
      <c r="BD460" s="49" t="str">
        <f t="shared" si="307"/>
        <v/>
      </c>
      <c r="BE460" s="22" t="str">
        <f t="shared" si="334"/>
        <v/>
      </c>
      <c r="BF460" s="21" t="str">
        <f t="shared" si="335"/>
        <v>Apprenant 448 ou 448'</v>
      </c>
      <c r="BG460" s="49" t="str">
        <f t="shared" si="308"/>
        <v/>
      </c>
      <c r="BH460" s="49" t="str">
        <f t="shared" si="309"/>
        <v/>
      </c>
      <c r="BI460" s="49" t="str">
        <f t="shared" si="310"/>
        <v/>
      </c>
      <c r="BJ460" s="22" t="str">
        <f t="shared" si="336"/>
        <v/>
      </c>
      <c r="BL460" s="21"/>
      <c r="BM460" s="21" t="str">
        <f>IF(OR(COUNT(B460:D1459)=0,AND('Choix pédagogiques'!$C$3&lt;&gt;1,'Choix pédagogiques'!$C$3&lt;&gt;2)),"",IF(AND(OR('Choix pédagogiques'!$C$3=1,'Choix pédagogiques'!$C$3=2),$B460&lt;&gt;"",$C460&lt;&gt;"",$D460&lt;&gt;""),1,0))</f>
        <v/>
      </c>
      <c r="BN460" s="21" t="str">
        <f>IF(OR(COUNT(G460:I1459)=0,AND('Choix pédagogiques'!$C$3&lt;&gt;1,'Choix pédagogiques'!$C$3&lt;&gt;2)),"",IF(AND(OR('Choix pédagogiques'!$C$3=1,'Choix pédagogiques'!$C$3=2),AND($G460&lt;&gt;"",$H460&lt;&gt;"",$I460&lt;&gt;"")),1,0))</f>
        <v/>
      </c>
      <c r="BO460" s="21" t="str">
        <f>IF(OR(COUNT(B460:D1459)=0,COUNT(G460:I1459)=0,'Choix pédagogiques'!C$3&lt;&gt;3),"",IF(AND('Choix pédagogiques'!$C$3=3,$B460&lt;&gt;"",$C460&lt;&gt;"",$D460&lt;&gt;"",$G460&lt;&gt;"",$H460&lt;&gt;"",$I460&lt;&gt;""),1,0))</f>
        <v/>
      </c>
      <c r="BR460" s="21">
        <v>271</v>
      </c>
      <c r="BS460" s="21">
        <v>1019</v>
      </c>
      <c r="BT460"/>
    </row>
    <row r="461" spans="1:72" s="23" customFormat="1" ht="18" customHeight="1" x14ac:dyDescent="0.3">
      <c r="A461" s="35" t="s">
        <v>451</v>
      </c>
      <c r="B461" s="37"/>
      <c r="C461" s="37"/>
      <c r="D461" s="37"/>
      <c r="E461" s="37"/>
      <c r="F461" s="35" t="s">
        <v>1459</v>
      </c>
      <c r="G461" s="37"/>
      <c r="H461" s="37"/>
      <c r="I461" s="37"/>
      <c r="J461" s="37"/>
      <c r="K461" s="21" t="str">
        <f t="shared" si="311"/>
        <v>Apprenant 449</v>
      </c>
      <c r="L461" s="22" t="str">
        <f t="shared" si="312"/>
        <v/>
      </c>
      <c r="M461" s="22" t="str">
        <f t="shared" si="313"/>
        <v/>
      </c>
      <c r="N461" s="22" t="str">
        <f t="shared" si="314"/>
        <v/>
      </c>
      <c r="O461" s="22" t="str">
        <f t="shared" si="315"/>
        <v/>
      </c>
      <c r="P461" s="21" t="str">
        <f t="shared" si="316"/>
        <v>Apprenant 449 ou 449'</v>
      </c>
      <c r="Q461" s="22" t="str">
        <f t="shared" si="317"/>
        <v/>
      </c>
      <c r="R461" s="22" t="str">
        <f t="shared" si="318"/>
        <v/>
      </c>
      <c r="S461" s="22" t="str">
        <f t="shared" si="319"/>
        <v/>
      </c>
      <c r="T461" s="22" t="str">
        <f t="shared" si="320"/>
        <v/>
      </c>
      <c r="V461" s="21" t="str">
        <f t="shared" si="321"/>
        <v>Apprenant 449</v>
      </c>
      <c r="W461" s="22" t="str">
        <f>IF(AND(OR('Choix pédagogiques'!$C$3=1,'Choix pédagogiques'!$C$3=2),$BM461=1),B461,IF(AND('Choix pédagogiques'!$C$3=3,$BO461=1),B461,""))</f>
        <v/>
      </c>
      <c r="X461" s="22" t="str">
        <f>IF(AND(OR('Choix pédagogiques'!$C$3=1,'Choix pédagogiques'!$C$3=2),$BM461=1),C461,IF(AND('Choix pédagogiques'!$C$3=3,$BO461=1),C461,""))</f>
        <v/>
      </c>
      <c r="Y461" s="22" t="str">
        <f>IF(AND(OR('Choix pédagogiques'!$C$3=1,'Choix pédagogiques'!$C$3=2),$BM461=1),D461,IF(AND('Choix pédagogiques'!$C$3=3,$BO461=1),D461,""))</f>
        <v/>
      </c>
      <c r="Z461" s="22" t="str">
        <f t="shared" si="322"/>
        <v/>
      </c>
      <c r="AA461" s="21" t="str">
        <f t="shared" si="323"/>
        <v>Apprenant 449 ou 449'</v>
      </c>
      <c r="AB461" s="22" t="str">
        <f>IF(AND(OR('Choix pédagogiques'!$C$3=1,'Choix pédagogiques'!$C$3=2),$BN461=1),G461,IF(AND('Choix pédagogiques'!$C$3=3,$BO461=1),G461,""))</f>
        <v/>
      </c>
      <c r="AC461" s="22" t="str">
        <f>IF(AND(OR('Choix pédagogiques'!$C$3=1,'Choix pédagogiques'!$C$3=2),$BN461=1),H461,IF(AND('Choix pédagogiques'!$C$3=3,$BO461=1),H461,""))</f>
        <v/>
      </c>
      <c r="AD461" s="22" t="str">
        <f>IF(AND(OR('Choix pédagogiques'!$C$3=1,'Choix pédagogiques'!$C$3=2),$BN461=1),I461,IF(AND('Choix pédagogiques'!$C$3=3,$BO461=1),I461,""))</f>
        <v/>
      </c>
      <c r="AE461" s="22" t="str">
        <f t="shared" si="324"/>
        <v/>
      </c>
      <c r="AF461" s="21" t="str">
        <f t="shared" si="325"/>
        <v>Apprenant 449</v>
      </c>
      <c r="AG461" s="22" t="str">
        <f t="shared" ref="AG461:AG524" si="337">IF(AND($W461&lt;&gt;"",$X461&lt;&gt;""),$X461-$W461,"")</f>
        <v/>
      </c>
      <c r="AH461" s="22" t="str">
        <f t="shared" ref="AH461:AH524" si="338">IF(AND($W461&lt;&gt;"",$Y461&lt;&gt;""),$Y461-$W461,"")</f>
        <v/>
      </c>
      <c r="AI461" s="22" t="str">
        <f t="shared" ref="AI461:AI524" si="339">IF(AND($X461&lt;&gt;"",$Y461&lt;&gt;""),$Y461-$X461,"")</f>
        <v/>
      </c>
      <c r="AJ461" s="22" t="str">
        <f t="shared" si="326"/>
        <v/>
      </c>
      <c r="AK461" s="21" t="str">
        <f t="shared" si="327"/>
        <v>Apprenant 449 ou 449'</v>
      </c>
      <c r="AL461" s="22" t="str">
        <f t="shared" ref="AL461:AL524" si="340">IF(AND($AB461&lt;&gt;"",$AC461&lt;&gt;""),$AC461-$AB461,"")</f>
        <v/>
      </c>
      <c r="AM461" s="22" t="str">
        <f t="shared" ref="AM461:AM524" si="341">IF(AND($AB461&lt;&gt;"",$AD461&lt;&gt;""),$AD461-$AB461,"")</f>
        <v/>
      </c>
      <c r="AN461" s="22" t="str">
        <f t="shared" ref="AN461:AN524" si="342">IF(AND($AC461&lt;&gt;"",$AD461&lt;&gt;""),$AD461-$AC461,"")</f>
        <v/>
      </c>
      <c r="AO461" s="22" t="str">
        <f t="shared" si="328"/>
        <v/>
      </c>
      <c r="AQ461" s="21" t="str">
        <f t="shared" si="329"/>
        <v>Apprenant 449</v>
      </c>
      <c r="AR461" s="49" t="str">
        <f>IF(AND('Choix pédagogiques'!$C$4&lt;&gt;"?",'Choix pédagogiques'!$C$5&lt;&gt;"?",W461&lt;&gt;""),(W461-'Choix pédagogiques'!$C$4)/('Choix pédagogiques'!$C$5-'Choix pédagogiques'!$C$4),"")</f>
        <v/>
      </c>
      <c r="AS461" s="49" t="str">
        <f>IF(AND('Choix pédagogiques'!$C$4&lt;&gt;"?",'Choix pédagogiques'!$C$5&lt;&gt;"?",X461&lt;&gt;""),(X461-'Choix pédagogiques'!$C$4)/('Choix pédagogiques'!$C$5-'Choix pédagogiques'!$C$4),"")</f>
        <v/>
      </c>
      <c r="AT461" s="49" t="str">
        <f>IF(AND('Choix pédagogiques'!$C$4&lt;&gt;"?",'Choix pédagogiques'!$C$5&lt;&gt;"?",Y461&lt;&gt;""),(Y461-'Choix pédagogiques'!$C$4)/('Choix pédagogiques'!$C$5-'Choix pédagogiques'!$C$4),"")</f>
        <v/>
      </c>
      <c r="AU461" s="22" t="str">
        <f t="shared" si="330"/>
        <v/>
      </c>
      <c r="AV461" s="21" t="str">
        <f t="shared" si="331"/>
        <v>Apprenant 449 ou 449'</v>
      </c>
      <c r="AW461" s="49" t="str">
        <f>IF(AND('Choix pédagogiques'!$C$4&lt;&gt;"?",'Choix pédagogiques'!$C$5&lt;&gt;"?",AB461&lt;&gt;""),(AB461-'Choix pédagogiques'!$C$4)/('Choix pédagogiques'!$C$5-'Choix pédagogiques'!$C$4),"")</f>
        <v/>
      </c>
      <c r="AX461" s="49" t="str">
        <f>IF(AND('Choix pédagogiques'!$C$4&lt;&gt;"?",'Choix pédagogiques'!$C$5&lt;&gt;"?",AC461&lt;&gt;""),(AC461-'Choix pédagogiques'!$C$4)/('Choix pédagogiques'!$C$5-'Choix pédagogiques'!$C$4),"")</f>
        <v/>
      </c>
      <c r="AY461" s="49" t="str">
        <f>IF(AND('Choix pédagogiques'!$C$4&lt;&gt;"?",'Choix pédagogiques'!$C$5&lt;&gt;"?",AD461&lt;&gt;""),(AD461-'Choix pédagogiques'!$C$4)/('Choix pédagogiques'!$C$5-'Choix pédagogiques'!$C$4),"")</f>
        <v/>
      </c>
      <c r="AZ461" s="22" t="str">
        <f t="shared" si="332"/>
        <v/>
      </c>
      <c r="BA461" s="21" t="str">
        <f t="shared" si="333"/>
        <v>Apprenant 449</v>
      </c>
      <c r="BB461" s="49" t="str">
        <f t="shared" ref="BB461:BB524" si="343">IF(AND($AR461&lt;&gt;"",$AS461&lt;&gt;""),$AS461-$AR461,"")</f>
        <v/>
      </c>
      <c r="BC461" s="49" t="str">
        <f t="shared" ref="BC461:BC524" si="344">IF(AND($AR461&lt;&gt;"",$AT461&lt;&gt;""),$AT461-$AR461,"")</f>
        <v/>
      </c>
      <c r="BD461" s="49" t="str">
        <f t="shared" ref="BD461:BD524" si="345">IF(AND($AS461&lt;&gt;"",$AT461&lt;&gt;""),$AT461-$AS461,"")</f>
        <v/>
      </c>
      <c r="BE461" s="22" t="str">
        <f t="shared" si="334"/>
        <v/>
      </c>
      <c r="BF461" s="21" t="str">
        <f t="shared" si="335"/>
        <v>Apprenant 449 ou 449'</v>
      </c>
      <c r="BG461" s="49" t="str">
        <f t="shared" ref="BG461:BG524" si="346">IF(AND($AW461&lt;&gt;"",$AX461&lt;&gt;""),$AX461-$AW461,"")</f>
        <v/>
      </c>
      <c r="BH461" s="49" t="str">
        <f t="shared" ref="BH461:BH524" si="347">IF(AND($AW461&lt;&gt;"",$AY461&lt;&gt;""),$AY461-$AW461,"")</f>
        <v/>
      </c>
      <c r="BI461" s="49" t="str">
        <f t="shared" ref="BI461:BI524" si="348">IF(AND($AX461&lt;&gt;"",$AY461&lt;&gt;""),$AY461-$AX461,"")</f>
        <v/>
      </c>
      <c r="BJ461" s="22" t="str">
        <f t="shared" si="336"/>
        <v/>
      </c>
      <c r="BL461" s="21"/>
      <c r="BM461" s="21" t="str">
        <f>IF(OR(COUNT(B461:D1460)=0,AND('Choix pédagogiques'!$C$3&lt;&gt;1,'Choix pédagogiques'!$C$3&lt;&gt;2)),"",IF(AND(OR('Choix pédagogiques'!$C$3=1,'Choix pédagogiques'!$C$3=2),$B461&lt;&gt;"",$C461&lt;&gt;"",$D461&lt;&gt;""),1,0))</f>
        <v/>
      </c>
      <c r="BN461" s="21" t="str">
        <f>IF(OR(COUNT(G461:I1460)=0,AND('Choix pédagogiques'!$C$3&lt;&gt;1,'Choix pédagogiques'!$C$3&lt;&gt;2)),"",IF(AND(OR('Choix pédagogiques'!$C$3=1,'Choix pédagogiques'!$C$3=2),AND($G461&lt;&gt;"",$H461&lt;&gt;"",$I461&lt;&gt;"")),1,0))</f>
        <v/>
      </c>
      <c r="BO461" s="21" t="str">
        <f>IF(OR(COUNT(B461:D1460)=0,COUNT(G461:I1460)=0,'Choix pédagogiques'!C$3&lt;&gt;3),"",IF(AND('Choix pédagogiques'!$C$3=3,$B461&lt;&gt;"",$C461&lt;&gt;"",$D461&lt;&gt;"",$G461&lt;&gt;"",$H461&lt;&gt;"",$I461&lt;&gt;""),1,0))</f>
        <v/>
      </c>
      <c r="BR461" s="21">
        <v>827</v>
      </c>
      <c r="BS461" s="21">
        <v>1789</v>
      </c>
      <c r="BT461"/>
    </row>
    <row r="462" spans="1:72" s="23" customFormat="1" ht="18" customHeight="1" x14ac:dyDescent="0.3">
      <c r="A462" s="35" t="s">
        <v>452</v>
      </c>
      <c r="B462" s="37"/>
      <c r="C462" s="37"/>
      <c r="D462" s="37"/>
      <c r="E462" s="37"/>
      <c r="F462" s="35" t="s">
        <v>1460</v>
      </c>
      <c r="G462" s="37"/>
      <c r="H462" s="37"/>
      <c r="I462" s="37"/>
      <c r="J462" s="37"/>
      <c r="K462" s="21" t="str">
        <f t="shared" ref="K462:K525" si="349">IF($A462&lt;&gt;"",$A462,"")</f>
        <v>Apprenant 450</v>
      </c>
      <c r="L462" s="22" t="str">
        <f t="shared" ref="L462:L525" si="350">IF(AND($B462&lt;&gt;"",$C462&lt;&gt;""),$C462-$B462,"")</f>
        <v/>
      </c>
      <c r="M462" s="22" t="str">
        <f t="shared" ref="M462:M525" si="351">IF(AND($B462&lt;&gt;"",$D462&lt;&gt;""),$D462-$B462,"")</f>
        <v/>
      </c>
      <c r="N462" s="22" t="str">
        <f t="shared" ref="N462:N525" si="352">IF(AND($C462&lt;&gt;"",$D462&lt;&gt;""),$D462-$C462,"")</f>
        <v/>
      </c>
      <c r="O462" s="22" t="str">
        <f t="shared" ref="O462:O525" si="353">IF($E462&lt;&gt;"",$E462,"")</f>
        <v/>
      </c>
      <c r="P462" s="21" t="str">
        <f t="shared" ref="P462:P525" si="354">IF($F462&lt;&gt;"",$F462,"")</f>
        <v>Apprenant 450 ou 450'</v>
      </c>
      <c r="Q462" s="22" t="str">
        <f t="shared" ref="Q462:Q525" si="355">IF(AND($G462&lt;&gt;"",$H462&lt;&gt;""),$H462-$G462,"")</f>
        <v/>
      </c>
      <c r="R462" s="22" t="str">
        <f t="shared" ref="R462:R525" si="356">IF(AND($G462&lt;&gt;"",$I462&lt;&gt;""),$I462-$G462,"")</f>
        <v/>
      </c>
      <c r="S462" s="22" t="str">
        <f t="shared" ref="S462:S525" si="357">IF(AND($H462&lt;&gt;"",$I462&lt;&gt;""),$I462-$H462,"")</f>
        <v/>
      </c>
      <c r="T462" s="22" t="str">
        <f t="shared" ref="T462:T525" si="358">IF($J462&lt;&gt;"",$J462,"")</f>
        <v/>
      </c>
      <c r="V462" s="21" t="str">
        <f t="shared" ref="V462:V525" si="359">IF($A462&lt;&gt;"",$A462,"")</f>
        <v>Apprenant 450</v>
      </c>
      <c r="W462" s="22" t="str">
        <f>IF(AND(OR('Choix pédagogiques'!$C$3=1,'Choix pédagogiques'!$C$3=2),$BM462=1),B462,IF(AND('Choix pédagogiques'!$C$3=3,$BO462=1),B462,""))</f>
        <v/>
      </c>
      <c r="X462" s="22" t="str">
        <f>IF(AND(OR('Choix pédagogiques'!$C$3=1,'Choix pédagogiques'!$C$3=2),$BM462=1),C462,IF(AND('Choix pédagogiques'!$C$3=3,$BO462=1),C462,""))</f>
        <v/>
      </c>
      <c r="Y462" s="22" t="str">
        <f>IF(AND(OR('Choix pédagogiques'!$C$3=1,'Choix pédagogiques'!$C$3=2),$BM462=1),D462,IF(AND('Choix pédagogiques'!$C$3=3,$BO462=1),D462,""))</f>
        <v/>
      </c>
      <c r="Z462" s="22" t="str">
        <f t="shared" ref="Z462:Z525" si="360">IF($E462&lt;&gt;"",$E462,"")</f>
        <v/>
      </c>
      <c r="AA462" s="21" t="str">
        <f t="shared" ref="AA462:AA525" si="361">IF($F462&lt;&gt;"",$F462,"")</f>
        <v>Apprenant 450 ou 450'</v>
      </c>
      <c r="AB462" s="22" t="str">
        <f>IF(AND(OR('Choix pédagogiques'!$C$3=1,'Choix pédagogiques'!$C$3=2),$BN462=1),G462,IF(AND('Choix pédagogiques'!$C$3=3,$BO462=1),G462,""))</f>
        <v/>
      </c>
      <c r="AC462" s="22" t="str">
        <f>IF(AND(OR('Choix pédagogiques'!$C$3=1,'Choix pédagogiques'!$C$3=2),$BN462=1),H462,IF(AND('Choix pédagogiques'!$C$3=3,$BO462=1),H462,""))</f>
        <v/>
      </c>
      <c r="AD462" s="22" t="str">
        <f>IF(AND(OR('Choix pédagogiques'!$C$3=1,'Choix pédagogiques'!$C$3=2),$BN462=1),I462,IF(AND('Choix pédagogiques'!$C$3=3,$BO462=1),I462,""))</f>
        <v/>
      </c>
      <c r="AE462" s="22" t="str">
        <f t="shared" ref="AE462:AE525" si="362">IF($J462&lt;&gt;"",$J462,"")</f>
        <v/>
      </c>
      <c r="AF462" s="21" t="str">
        <f t="shared" ref="AF462:AF525" si="363">IF($A462&lt;&gt;"",$A462,"")</f>
        <v>Apprenant 450</v>
      </c>
      <c r="AG462" s="22" t="str">
        <f t="shared" si="337"/>
        <v/>
      </c>
      <c r="AH462" s="22" t="str">
        <f t="shared" si="338"/>
        <v/>
      </c>
      <c r="AI462" s="22" t="str">
        <f t="shared" si="339"/>
        <v/>
      </c>
      <c r="AJ462" s="22" t="str">
        <f t="shared" ref="AJ462:AJ525" si="364">IF($E462&lt;&gt;"",$E462,"")</f>
        <v/>
      </c>
      <c r="AK462" s="21" t="str">
        <f t="shared" ref="AK462:AK525" si="365">IF($F462&lt;&gt;"",$F462,"")</f>
        <v>Apprenant 450 ou 450'</v>
      </c>
      <c r="AL462" s="22" t="str">
        <f t="shared" si="340"/>
        <v/>
      </c>
      <c r="AM462" s="22" t="str">
        <f t="shared" si="341"/>
        <v/>
      </c>
      <c r="AN462" s="22" t="str">
        <f t="shared" si="342"/>
        <v/>
      </c>
      <c r="AO462" s="22" t="str">
        <f t="shared" ref="AO462:AO525" si="366">IF($J462&lt;&gt;"",$J462,"")</f>
        <v/>
      </c>
      <c r="AQ462" s="21" t="str">
        <f t="shared" ref="AQ462:AQ525" si="367">IF($A462&lt;&gt;"",$A462,"")</f>
        <v>Apprenant 450</v>
      </c>
      <c r="AR462" s="49" t="str">
        <f>IF(AND('Choix pédagogiques'!$C$4&lt;&gt;"?",'Choix pédagogiques'!$C$5&lt;&gt;"?",W462&lt;&gt;""),(W462-'Choix pédagogiques'!$C$4)/('Choix pédagogiques'!$C$5-'Choix pédagogiques'!$C$4),"")</f>
        <v/>
      </c>
      <c r="AS462" s="49" t="str">
        <f>IF(AND('Choix pédagogiques'!$C$4&lt;&gt;"?",'Choix pédagogiques'!$C$5&lt;&gt;"?",X462&lt;&gt;""),(X462-'Choix pédagogiques'!$C$4)/('Choix pédagogiques'!$C$5-'Choix pédagogiques'!$C$4),"")</f>
        <v/>
      </c>
      <c r="AT462" s="49" t="str">
        <f>IF(AND('Choix pédagogiques'!$C$4&lt;&gt;"?",'Choix pédagogiques'!$C$5&lt;&gt;"?",Y462&lt;&gt;""),(Y462-'Choix pédagogiques'!$C$4)/('Choix pédagogiques'!$C$5-'Choix pédagogiques'!$C$4),"")</f>
        <v/>
      </c>
      <c r="AU462" s="22" t="str">
        <f t="shared" ref="AU462:AU525" si="368">IF($E462&lt;&gt;"",$E462,"")</f>
        <v/>
      </c>
      <c r="AV462" s="21" t="str">
        <f t="shared" ref="AV462:AV525" si="369">IF($F462&lt;&gt;"",$F462,"")</f>
        <v>Apprenant 450 ou 450'</v>
      </c>
      <c r="AW462" s="49" t="str">
        <f>IF(AND('Choix pédagogiques'!$C$4&lt;&gt;"?",'Choix pédagogiques'!$C$5&lt;&gt;"?",AB462&lt;&gt;""),(AB462-'Choix pédagogiques'!$C$4)/('Choix pédagogiques'!$C$5-'Choix pédagogiques'!$C$4),"")</f>
        <v/>
      </c>
      <c r="AX462" s="49" t="str">
        <f>IF(AND('Choix pédagogiques'!$C$4&lt;&gt;"?",'Choix pédagogiques'!$C$5&lt;&gt;"?",AC462&lt;&gt;""),(AC462-'Choix pédagogiques'!$C$4)/('Choix pédagogiques'!$C$5-'Choix pédagogiques'!$C$4),"")</f>
        <v/>
      </c>
      <c r="AY462" s="49" t="str">
        <f>IF(AND('Choix pédagogiques'!$C$4&lt;&gt;"?",'Choix pédagogiques'!$C$5&lt;&gt;"?",AD462&lt;&gt;""),(AD462-'Choix pédagogiques'!$C$4)/('Choix pédagogiques'!$C$5-'Choix pédagogiques'!$C$4),"")</f>
        <v/>
      </c>
      <c r="AZ462" s="22" t="str">
        <f t="shared" ref="AZ462:AZ525" si="370">IF($J462&lt;&gt;"",$J462,"")</f>
        <v/>
      </c>
      <c r="BA462" s="21" t="str">
        <f t="shared" ref="BA462:BA525" si="371">IF($A462&lt;&gt;"",$A462,"")</f>
        <v>Apprenant 450</v>
      </c>
      <c r="BB462" s="49" t="str">
        <f t="shared" si="343"/>
        <v/>
      </c>
      <c r="BC462" s="49" t="str">
        <f t="shared" si="344"/>
        <v/>
      </c>
      <c r="BD462" s="49" t="str">
        <f t="shared" si="345"/>
        <v/>
      </c>
      <c r="BE462" s="22" t="str">
        <f t="shared" ref="BE462:BE525" si="372">IF($E462&lt;&gt;"",$E462,"")</f>
        <v/>
      </c>
      <c r="BF462" s="21" t="str">
        <f t="shared" ref="BF462:BF525" si="373">IF($F462&lt;&gt;"",$F462,"")</f>
        <v>Apprenant 450 ou 450'</v>
      </c>
      <c r="BG462" s="49" t="str">
        <f t="shared" si="346"/>
        <v/>
      </c>
      <c r="BH462" s="49" t="str">
        <f t="shared" si="347"/>
        <v/>
      </c>
      <c r="BI462" s="49" t="str">
        <f t="shared" si="348"/>
        <v/>
      </c>
      <c r="BJ462" s="22" t="str">
        <f t="shared" ref="BJ462:BJ525" si="374">IF($J462&lt;&gt;"",$J462,"")</f>
        <v/>
      </c>
      <c r="BL462" s="21"/>
      <c r="BM462" s="21" t="str">
        <f>IF(OR(COUNT(B462:D1461)=0,AND('Choix pédagogiques'!$C$3&lt;&gt;1,'Choix pédagogiques'!$C$3&lt;&gt;2)),"",IF(AND(OR('Choix pédagogiques'!$C$3=1,'Choix pédagogiques'!$C$3=2),$B462&lt;&gt;"",$C462&lt;&gt;"",$D462&lt;&gt;""),1,0))</f>
        <v/>
      </c>
      <c r="BN462" s="21" t="str">
        <f>IF(OR(COUNT(G462:I1461)=0,AND('Choix pédagogiques'!$C$3&lt;&gt;1,'Choix pédagogiques'!$C$3&lt;&gt;2)),"",IF(AND(OR('Choix pédagogiques'!$C$3=1,'Choix pédagogiques'!$C$3=2),AND($G462&lt;&gt;"",$H462&lt;&gt;"",$I462&lt;&gt;"")),1,0))</f>
        <v/>
      </c>
      <c r="BO462" s="21" t="str">
        <f>IF(OR(COUNT(B462:D1461)=0,COUNT(G462:I1461)=0,'Choix pédagogiques'!C$3&lt;&gt;3),"",IF(AND('Choix pédagogiques'!$C$3=3,$B462&lt;&gt;"",$C462&lt;&gt;"",$D462&lt;&gt;"",$G462&lt;&gt;"",$H462&lt;&gt;"",$I462&lt;&gt;""),1,0))</f>
        <v/>
      </c>
      <c r="BR462" s="21">
        <v>761</v>
      </c>
      <c r="BS462" s="21">
        <v>1913</v>
      </c>
      <c r="BT462"/>
    </row>
    <row r="463" spans="1:72" s="23" customFormat="1" ht="18" customHeight="1" x14ac:dyDescent="0.3">
      <c r="A463" s="35" t="s">
        <v>453</v>
      </c>
      <c r="B463" s="37"/>
      <c r="C463" s="37"/>
      <c r="D463" s="37"/>
      <c r="E463" s="37"/>
      <c r="F463" s="35" t="s">
        <v>1461</v>
      </c>
      <c r="G463" s="37"/>
      <c r="H463" s="37"/>
      <c r="I463" s="37"/>
      <c r="J463" s="37"/>
      <c r="K463" s="21" t="str">
        <f t="shared" si="349"/>
        <v>Apprenant 451</v>
      </c>
      <c r="L463" s="22" t="str">
        <f t="shared" si="350"/>
        <v/>
      </c>
      <c r="M463" s="22" t="str">
        <f t="shared" si="351"/>
        <v/>
      </c>
      <c r="N463" s="22" t="str">
        <f t="shared" si="352"/>
        <v/>
      </c>
      <c r="O463" s="22" t="str">
        <f t="shared" si="353"/>
        <v/>
      </c>
      <c r="P463" s="21" t="str">
        <f t="shared" si="354"/>
        <v>Apprenant 451 ou 451'</v>
      </c>
      <c r="Q463" s="22" t="str">
        <f t="shared" si="355"/>
        <v/>
      </c>
      <c r="R463" s="22" t="str">
        <f t="shared" si="356"/>
        <v/>
      </c>
      <c r="S463" s="22" t="str">
        <f t="shared" si="357"/>
        <v/>
      </c>
      <c r="T463" s="22" t="str">
        <f t="shared" si="358"/>
        <v/>
      </c>
      <c r="V463" s="21" t="str">
        <f t="shared" si="359"/>
        <v>Apprenant 451</v>
      </c>
      <c r="W463" s="22" t="str">
        <f>IF(AND(OR('Choix pédagogiques'!$C$3=1,'Choix pédagogiques'!$C$3=2),$BM463=1),B463,IF(AND('Choix pédagogiques'!$C$3=3,$BO463=1),B463,""))</f>
        <v/>
      </c>
      <c r="X463" s="22" t="str">
        <f>IF(AND(OR('Choix pédagogiques'!$C$3=1,'Choix pédagogiques'!$C$3=2),$BM463=1),C463,IF(AND('Choix pédagogiques'!$C$3=3,$BO463=1),C463,""))</f>
        <v/>
      </c>
      <c r="Y463" s="22" t="str">
        <f>IF(AND(OR('Choix pédagogiques'!$C$3=1,'Choix pédagogiques'!$C$3=2),$BM463=1),D463,IF(AND('Choix pédagogiques'!$C$3=3,$BO463=1),D463,""))</f>
        <v/>
      </c>
      <c r="Z463" s="22" t="str">
        <f t="shared" si="360"/>
        <v/>
      </c>
      <c r="AA463" s="21" t="str">
        <f t="shared" si="361"/>
        <v>Apprenant 451 ou 451'</v>
      </c>
      <c r="AB463" s="22" t="str">
        <f>IF(AND(OR('Choix pédagogiques'!$C$3=1,'Choix pédagogiques'!$C$3=2),$BN463=1),G463,IF(AND('Choix pédagogiques'!$C$3=3,$BO463=1),G463,""))</f>
        <v/>
      </c>
      <c r="AC463" s="22" t="str">
        <f>IF(AND(OR('Choix pédagogiques'!$C$3=1,'Choix pédagogiques'!$C$3=2),$BN463=1),H463,IF(AND('Choix pédagogiques'!$C$3=3,$BO463=1),H463,""))</f>
        <v/>
      </c>
      <c r="AD463" s="22" t="str">
        <f>IF(AND(OR('Choix pédagogiques'!$C$3=1,'Choix pédagogiques'!$C$3=2),$BN463=1),I463,IF(AND('Choix pédagogiques'!$C$3=3,$BO463=1),I463,""))</f>
        <v/>
      </c>
      <c r="AE463" s="22" t="str">
        <f t="shared" si="362"/>
        <v/>
      </c>
      <c r="AF463" s="21" t="str">
        <f t="shared" si="363"/>
        <v>Apprenant 451</v>
      </c>
      <c r="AG463" s="22" t="str">
        <f t="shared" si="337"/>
        <v/>
      </c>
      <c r="AH463" s="22" t="str">
        <f t="shared" si="338"/>
        <v/>
      </c>
      <c r="AI463" s="22" t="str">
        <f t="shared" si="339"/>
        <v/>
      </c>
      <c r="AJ463" s="22" t="str">
        <f t="shared" si="364"/>
        <v/>
      </c>
      <c r="AK463" s="21" t="str">
        <f t="shared" si="365"/>
        <v>Apprenant 451 ou 451'</v>
      </c>
      <c r="AL463" s="22" t="str">
        <f t="shared" si="340"/>
        <v/>
      </c>
      <c r="AM463" s="22" t="str">
        <f t="shared" si="341"/>
        <v/>
      </c>
      <c r="AN463" s="22" t="str">
        <f t="shared" si="342"/>
        <v/>
      </c>
      <c r="AO463" s="22" t="str">
        <f t="shared" si="366"/>
        <v/>
      </c>
      <c r="AQ463" s="21" t="str">
        <f t="shared" si="367"/>
        <v>Apprenant 451</v>
      </c>
      <c r="AR463" s="49" t="str">
        <f>IF(AND('Choix pédagogiques'!$C$4&lt;&gt;"?",'Choix pédagogiques'!$C$5&lt;&gt;"?",W463&lt;&gt;""),(W463-'Choix pédagogiques'!$C$4)/('Choix pédagogiques'!$C$5-'Choix pédagogiques'!$C$4),"")</f>
        <v/>
      </c>
      <c r="AS463" s="49" t="str">
        <f>IF(AND('Choix pédagogiques'!$C$4&lt;&gt;"?",'Choix pédagogiques'!$C$5&lt;&gt;"?",X463&lt;&gt;""),(X463-'Choix pédagogiques'!$C$4)/('Choix pédagogiques'!$C$5-'Choix pédagogiques'!$C$4),"")</f>
        <v/>
      </c>
      <c r="AT463" s="49" t="str">
        <f>IF(AND('Choix pédagogiques'!$C$4&lt;&gt;"?",'Choix pédagogiques'!$C$5&lt;&gt;"?",Y463&lt;&gt;""),(Y463-'Choix pédagogiques'!$C$4)/('Choix pédagogiques'!$C$5-'Choix pédagogiques'!$C$4),"")</f>
        <v/>
      </c>
      <c r="AU463" s="22" t="str">
        <f t="shared" si="368"/>
        <v/>
      </c>
      <c r="AV463" s="21" t="str">
        <f t="shared" si="369"/>
        <v>Apprenant 451 ou 451'</v>
      </c>
      <c r="AW463" s="49" t="str">
        <f>IF(AND('Choix pédagogiques'!$C$4&lt;&gt;"?",'Choix pédagogiques'!$C$5&lt;&gt;"?",AB463&lt;&gt;""),(AB463-'Choix pédagogiques'!$C$4)/('Choix pédagogiques'!$C$5-'Choix pédagogiques'!$C$4),"")</f>
        <v/>
      </c>
      <c r="AX463" s="49" t="str">
        <f>IF(AND('Choix pédagogiques'!$C$4&lt;&gt;"?",'Choix pédagogiques'!$C$5&lt;&gt;"?",AC463&lt;&gt;""),(AC463-'Choix pédagogiques'!$C$4)/('Choix pédagogiques'!$C$5-'Choix pédagogiques'!$C$4),"")</f>
        <v/>
      </c>
      <c r="AY463" s="49" t="str">
        <f>IF(AND('Choix pédagogiques'!$C$4&lt;&gt;"?",'Choix pédagogiques'!$C$5&lt;&gt;"?",AD463&lt;&gt;""),(AD463-'Choix pédagogiques'!$C$4)/('Choix pédagogiques'!$C$5-'Choix pédagogiques'!$C$4),"")</f>
        <v/>
      </c>
      <c r="AZ463" s="22" t="str">
        <f t="shared" si="370"/>
        <v/>
      </c>
      <c r="BA463" s="21" t="str">
        <f t="shared" si="371"/>
        <v>Apprenant 451</v>
      </c>
      <c r="BB463" s="49" t="str">
        <f t="shared" si="343"/>
        <v/>
      </c>
      <c r="BC463" s="49" t="str">
        <f t="shared" si="344"/>
        <v/>
      </c>
      <c r="BD463" s="49" t="str">
        <f t="shared" si="345"/>
        <v/>
      </c>
      <c r="BE463" s="22" t="str">
        <f t="shared" si="372"/>
        <v/>
      </c>
      <c r="BF463" s="21" t="str">
        <f t="shared" si="373"/>
        <v>Apprenant 451 ou 451'</v>
      </c>
      <c r="BG463" s="49" t="str">
        <f t="shared" si="346"/>
        <v/>
      </c>
      <c r="BH463" s="49" t="str">
        <f t="shared" si="347"/>
        <v/>
      </c>
      <c r="BI463" s="49" t="str">
        <f t="shared" si="348"/>
        <v/>
      </c>
      <c r="BJ463" s="22" t="str">
        <f t="shared" si="374"/>
        <v/>
      </c>
      <c r="BL463" s="21"/>
      <c r="BM463" s="21" t="str">
        <f>IF(OR(COUNT(B463:D1462)=0,AND('Choix pédagogiques'!$C$3&lt;&gt;1,'Choix pédagogiques'!$C$3&lt;&gt;2)),"",IF(AND(OR('Choix pédagogiques'!$C$3=1,'Choix pédagogiques'!$C$3=2),$B463&lt;&gt;"",$C463&lt;&gt;"",$D463&lt;&gt;""),1,0))</f>
        <v/>
      </c>
      <c r="BN463" s="21" t="str">
        <f>IF(OR(COUNT(G463:I1462)=0,AND('Choix pédagogiques'!$C$3&lt;&gt;1,'Choix pédagogiques'!$C$3&lt;&gt;2)),"",IF(AND(OR('Choix pédagogiques'!$C$3=1,'Choix pédagogiques'!$C$3=2),AND($G463&lt;&gt;"",$H463&lt;&gt;"",$I463&lt;&gt;"")),1,0))</f>
        <v/>
      </c>
      <c r="BO463" s="21" t="str">
        <f>IF(OR(COUNT(B463:D1462)=0,COUNT(G463:I1462)=0,'Choix pédagogiques'!C$3&lt;&gt;3),"",IF(AND('Choix pédagogiques'!$C$3=3,$B463&lt;&gt;"",$C463&lt;&gt;"",$D463&lt;&gt;"",$G463&lt;&gt;"",$H463&lt;&gt;"",$I463&lt;&gt;""),1,0))</f>
        <v/>
      </c>
      <c r="BR463" s="21">
        <v>573</v>
      </c>
      <c r="BS463" s="21">
        <v>1517</v>
      </c>
      <c r="BT463"/>
    </row>
    <row r="464" spans="1:72" s="23" customFormat="1" ht="18" customHeight="1" x14ac:dyDescent="0.3">
      <c r="A464" s="35" t="s">
        <v>454</v>
      </c>
      <c r="B464" s="37"/>
      <c r="C464" s="37"/>
      <c r="D464" s="37"/>
      <c r="E464" s="37"/>
      <c r="F464" s="35" t="s">
        <v>1462</v>
      </c>
      <c r="G464" s="37"/>
      <c r="H464" s="37"/>
      <c r="I464" s="37"/>
      <c r="J464" s="37"/>
      <c r="K464" s="21" t="str">
        <f t="shared" si="349"/>
        <v>Apprenant 452</v>
      </c>
      <c r="L464" s="22" t="str">
        <f t="shared" si="350"/>
        <v/>
      </c>
      <c r="M464" s="22" t="str">
        <f t="shared" si="351"/>
        <v/>
      </c>
      <c r="N464" s="22" t="str">
        <f t="shared" si="352"/>
        <v/>
      </c>
      <c r="O464" s="22" t="str">
        <f t="shared" si="353"/>
        <v/>
      </c>
      <c r="P464" s="21" t="str">
        <f t="shared" si="354"/>
        <v>Apprenant 452 ou 452'</v>
      </c>
      <c r="Q464" s="22" t="str">
        <f t="shared" si="355"/>
        <v/>
      </c>
      <c r="R464" s="22" t="str">
        <f t="shared" si="356"/>
        <v/>
      </c>
      <c r="S464" s="22" t="str">
        <f t="shared" si="357"/>
        <v/>
      </c>
      <c r="T464" s="22" t="str">
        <f t="shared" si="358"/>
        <v/>
      </c>
      <c r="V464" s="21" t="str">
        <f t="shared" si="359"/>
        <v>Apprenant 452</v>
      </c>
      <c r="W464" s="22" t="str">
        <f>IF(AND(OR('Choix pédagogiques'!$C$3=1,'Choix pédagogiques'!$C$3=2),$BM464=1),B464,IF(AND('Choix pédagogiques'!$C$3=3,$BO464=1),B464,""))</f>
        <v/>
      </c>
      <c r="X464" s="22" t="str">
        <f>IF(AND(OR('Choix pédagogiques'!$C$3=1,'Choix pédagogiques'!$C$3=2),$BM464=1),C464,IF(AND('Choix pédagogiques'!$C$3=3,$BO464=1),C464,""))</f>
        <v/>
      </c>
      <c r="Y464" s="22" t="str">
        <f>IF(AND(OR('Choix pédagogiques'!$C$3=1,'Choix pédagogiques'!$C$3=2),$BM464=1),D464,IF(AND('Choix pédagogiques'!$C$3=3,$BO464=1),D464,""))</f>
        <v/>
      </c>
      <c r="Z464" s="22" t="str">
        <f t="shared" si="360"/>
        <v/>
      </c>
      <c r="AA464" s="21" t="str">
        <f t="shared" si="361"/>
        <v>Apprenant 452 ou 452'</v>
      </c>
      <c r="AB464" s="22" t="str">
        <f>IF(AND(OR('Choix pédagogiques'!$C$3=1,'Choix pédagogiques'!$C$3=2),$BN464=1),G464,IF(AND('Choix pédagogiques'!$C$3=3,$BO464=1),G464,""))</f>
        <v/>
      </c>
      <c r="AC464" s="22" t="str">
        <f>IF(AND(OR('Choix pédagogiques'!$C$3=1,'Choix pédagogiques'!$C$3=2),$BN464=1),H464,IF(AND('Choix pédagogiques'!$C$3=3,$BO464=1),H464,""))</f>
        <v/>
      </c>
      <c r="AD464" s="22" t="str">
        <f>IF(AND(OR('Choix pédagogiques'!$C$3=1,'Choix pédagogiques'!$C$3=2),$BN464=1),I464,IF(AND('Choix pédagogiques'!$C$3=3,$BO464=1),I464,""))</f>
        <v/>
      </c>
      <c r="AE464" s="22" t="str">
        <f t="shared" si="362"/>
        <v/>
      </c>
      <c r="AF464" s="21" t="str">
        <f t="shared" si="363"/>
        <v>Apprenant 452</v>
      </c>
      <c r="AG464" s="22" t="str">
        <f t="shared" si="337"/>
        <v/>
      </c>
      <c r="AH464" s="22" t="str">
        <f t="shared" si="338"/>
        <v/>
      </c>
      <c r="AI464" s="22" t="str">
        <f t="shared" si="339"/>
        <v/>
      </c>
      <c r="AJ464" s="22" t="str">
        <f t="shared" si="364"/>
        <v/>
      </c>
      <c r="AK464" s="21" t="str">
        <f t="shared" si="365"/>
        <v>Apprenant 452 ou 452'</v>
      </c>
      <c r="AL464" s="22" t="str">
        <f t="shared" si="340"/>
        <v/>
      </c>
      <c r="AM464" s="22" t="str">
        <f t="shared" si="341"/>
        <v/>
      </c>
      <c r="AN464" s="22" t="str">
        <f t="shared" si="342"/>
        <v/>
      </c>
      <c r="AO464" s="22" t="str">
        <f t="shared" si="366"/>
        <v/>
      </c>
      <c r="AQ464" s="21" t="str">
        <f t="shared" si="367"/>
        <v>Apprenant 452</v>
      </c>
      <c r="AR464" s="49" t="str">
        <f>IF(AND('Choix pédagogiques'!$C$4&lt;&gt;"?",'Choix pédagogiques'!$C$5&lt;&gt;"?",W464&lt;&gt;""),(W464-'Choix pédagogiques'!$C$4)/('Choix pédagogiques'!$C$5-'Choix pédagogiques'!$C$4),"")</f>
        <v/>
      </c>
      <c r="AS464" s="49" t="str">
        <f>IF(AND('Choix pédagogiques'!$C$4&lt;&gt;"?",'Choix pédagogiques'!$C$5&lt;&gt;"?",X464&lt;&gt;""),(X464-'Choix pédagogiques'!$C$4)/('Choix pédagogiques'!$C$5-'Choix pédagogiques'!$C$4),"")</f>
        <v/>
      </c>
      <c r="AT464" s="49" t="str">
        <f>IF(AND('Choix pédagogiques'!$C$4&lt;&gt;"?",'Choix pédagogiques'!$C$5&lt;&gt;"?",Y464&lt;&gt;""),(Y464-'Choix pédagogiques'!$C$4)/('Choix pédagogiques'!$C$5-'Choix pédagogiques'!$C$4),"")</f>
        <v/>
      </c>
      <c r="AU464" s="22" t="str">
        <f t="shared" si="368"/>
        <v/>
      </c>
      <c r="AV464" s="21" t="str">
        <f t="shared" si="369"/>
        <v>Apprenant 452 ou 452'</v>
      </c>
      <c r="AW464" s="49" t="str">
        <f>IF(AND('Choix pédagogiques'!$C$4&lt;&gt;"?",'Choix pédagogiques'!$C$5&lt;&gt;"?",AB464&lt;&gt;""),(AB464-'Choix pédagogiques'!$C$4)/('Choix pédagogiques'!$C$5-'Choix pédagogiques'!$C$4),"")</f>
        <v/>
      </c>
      <c r="AX464" s="49" t="str">
        <f>IF(AND('Choix pédagogiques'!$C$4&lt;&gt;"?",'Choix pédagogiques'!$C$5&lt;&gt;"?",AC464&lt;&gt;""),(AC464-'Choix pédagogiques'!$C$4)/('Choix pédagogiques'!$C$5-'Choix pédagogiques'!$C$4),"")</f>
        <v/>
      </c>
      <c r="AY464" s="49" t="str">
        <f>IF(AND('Choix pédagogiques'!$C$4&lt;&gt;"?",'Choix pédagogiques'!$C$5&lt;&gt;"?",AD464&lt;&gt;""),(AD464-'Choix pédagogiques'!$C$4)/('Choix pédagogiques'!$C$5-'Choix pédagogiques'!$C$4),"")</f>
        <v/>
      </c>
      <c r="AZ464" s="22" t="str">
        <f t="shared" si="370"/>
        <v/>
      </c>
      <c r="BA464" s="21" t="str">
        <f t="shared" si="371"/>
        <v>Apprenant 452</v>
      </c>
      <c r="BB464" s="49" t="str">
        <f t="shared" si="343"/>
        <v/>
      </c>
      <c r="BC464" s="49" t="str">
        <f t="shared" si="344"/>
        <v/>
      </c>
      <c r="BD464" s="49" t="str">
        <f t="shared" si="345"/>
        <v/>
      </c>
      <c r="BE464" s="22" t="str">
        <f t="shared" si="372"/>
        <v/>
      </c>
      <c r="BF464" s="21" t="str">
        <f t="shared" si="373"/>
        <v>Apprenant 452 ou 452'</v>
      </c>
      <c r="BG464" s="49" t="str">
        <f t="shared" si="346"/>
        <v/>
      </c>
      <c r="BH464" s="49" t="str">
        <f t="shared" si="347"/>
        <v/>
      </c>
      <c r="BI464" s="49" t="str">
        <f t="shared" si="348"/>
        <v/>
      </c>
      <c r="BJ464" s="22" t="str">
        <f t="shared" si="374"/>
        <v/>
      </c>
      <c r="BL464" s="21"/>
      <c r="BM464" s="21" t="str">
        <f>IF(OR(COUNT(B464:D1463)=0,AND('Choix pédagogiques'!$C$3&lt;&gt;1,'Choix pédagogiques'!$C$3&lt;&gt;2)),"",IF(AND(OR('Choix pédagogiques'!$C$3=1,'Choix pédagogiques'!$C$3=2),$B464&lt;&gt;"",$C464&lt;&gt;"",$D464&lt;&gt;""),1,0))</f>
        <v/>
      </c>
      <c r="BN464" s="21" t="str">
        <f>IF(OR(COUNT(G464:I1463)=0,AND('Choix pédagogiques'!$C$3&lt;&gt;1,'Choix pédagogiques'!$C$3&lt;&gt;2)),"",IF(AND(OR('Choix pédagogiques'!$C$3=1,'Choix pédagogiques'!$C$3=2),AND($G464&lt;&gt;"",$H464&lt;&gt;"",$I464&lt;&gt;"")),1,0))</f>
        <v/>
      </c>
      <c r="BO464" s="21" t="str">
        <f>IF(OR(COUNT(B464:D1463)=0,COUNT(G464:I1463)=0,'Choix pédagogiques'!C$3&lt;&gt;3),"",IF(AND('Choix pédagogiques'!$C$3=3,$B464&lt;&gt;"",$C464&lt;&gt;"",$D464&lt;&gt;"",$G464&lt;&gt;"",$H464&lt;&gt;"",$I464&lt;&gt;""),1,0))</f>
        <v/>
      </c>
      <c r="BR464" s="21">
        <v>719</v>
      </c>
      <c r="BS464" s="21">
        <v>1920</v>
      </c>
      <c r="BT464"/>
    </row>
    <row r="465" spans="1:72" s="23" customFormat="1" ht="18" customHeight="1" x14ac:dyDescent="0.3">
      <c r="A465" s="35" t="s">
        <v>455</v>
      </c>
      <c r="B465" s="37"/>
      <c r="C465" s="37"/>
      <c r="D465" s="37"/>
      <c r="E465" s="37"/>
      <c r="F465" s="35" t="s">
        <v>1463</v>
      </c>
      <c r="G465" s="37"/>
      <c r="H465" s="37"/>
      <c r="I465" s="37"/>
      <c r="J465" s="37"/>
      <c r="K465" s="21" t="str">
        <f t="shared" si="349"/>
        <v>Apprenant 453</v>
      </c>
      <c r="L465" s="22" t="str">
        <f t="shared" si="350"/>
        <v/>
      </c>
      <c r="M465" s="22" t="str">
        <f t="shared" si="351"/>
        <v/>
      </c>
      <c r="N465" s="22" t="str">
        <f t="shared" si="352"/>
        <v/>
      </c>
      <c r="O465" s="22" t="str">
        <f t="shared" si="353"/>
        <v/>
      </c>
      <c r="P465" s="21" t="str">
        <f t="shared" si="354"/>
        <v>Apprenant 453 ou 453'</v>
      </c>
      <c r="Q465" s="22" t="str">
        <f t="shared" si="355"/>
        <v/>
      </c>
      <c r="R465" s="22" t="str">
        <f t="shared" si="356"/>
        <v/>
      </c>
      <c r="S465" s="22" t="str">
        <f t="shared" si="357"/>
        <v/>
      </c>
      <c r="T465" s="22" t="str">
        <f t="shared" si="358"/>
        <v/>
      </c>
      <c r="V465" s="21" t="str">
        <f t="shared" si="359"/>
        <v>Apprenant 453</v>
      </c>
      <c r="W465" s="22" t="str">
        <f>IF(AND(OR('Choix pédagogiques'!$C$3=1,'Choix pédagogiques'!$C$3=2),$BM465=1),B465,IF(AND('Choix pédagogiques'!$C$3=3,$BO465=1),B465,""))</f>
        <v/>
      </c>
      <c r="X465" s="22" t="str">
        <f>IF(AND(OR('Choix pédagogiques'!$C$3=1,'Choix pédagogiques'!$C$3=2),$BM465=1),C465,IF(AND('Choix pédagogiques'!$C$3=3,$BO465=1),C465,""))</f>
        <v/>
      </c>
      <c r="Y465" s="22" t="str">
        <f>IF(AND(OR('Choix pédagogiques'!$C$3=1,'Choix pédagogiques'!$C$3=2),$BM465=1),D465,IF(AND('Choix pédagogiques'!$C$3=3,$BO465=1),D465,""))</f>
        <v/>
      </c>
      <c r="Z465" s="22" t="str">
        <f t="shared" si="360"/>
        <v/>
      </c>
      <c r="AA465" s="21" t="str">
        <f t="shared" si="361"/>
        <v>Apprenant 453 ou 453'</v>
      </c>
      <c r="AB465" s="22" t="str">
        <f>IF(AND(OR('Choix pédagogiques'!$C$3=1,'Choix pédagogiques'!$C$3=2),$BN465=1),G465,IF(AND('Choix pédagogiques'!$C$3=3,$BO465=1),G465,""))</f>
        <v/>
      </c>
      <c r="AC465" s="22" t="str">
        <f>IF(AND(OR('Choix pédagogiques'!$C$3=1,'Choix pédagogiques'!$C$3=2),$BN465=1),H465,IF(AND('Choix pédagogiques'!$C$3=3,$BO465=1),H465,""))</f>
        <v/>
      </c>
      <c r="AD465" s="22" t="str">
        <f>IF(AND(OR('Choix pédagogiques'!$C$3=1,'Choix pédagogiques'!$C$3=2),$BN465=1),I465,IF(AND('Choix pédagogiques'!$C$3=3,$BO465=1),I465,""))</f>
        <v/>
      </c>
      <c r="AE465" s="22" t="str">
        <f t="shared" si="362"/>
        <v/>
      </c>
      <c r="AF465" s="21" t="str">
        <f t="shared" si="363"/>
        <v>Apprenant 453</v>
      </c>
      <c r="AG465" s="22" t="str">
        <f t="shared" si="337"/>
        <v/>
      </c>
      <c r="AH465" s="22" t="str">
        <f t="shared" si="338"/>
        <v/>
      </c>
      <c r="AI465" s="22" t="str">
        <f t="shared" si="339"/>
        <v/>
      </c>
      <c r="AJ465" s="22" t="str">
        <f t="shared" si="364"/>
        <v/>
      </c>
      <c r="AK465" s="21" t="str">
        <f t="shared" si="365"/>
        <v>Apprenant 453 ou 453'</v>
      </c>
      <c r="AL465" s="22" t="str">
        <f t="shared" si="340"/>
        <v/>
      </c>
      <c r="AM465" s="22" t="str">
        <f t="shared" si="341"/>
        <v/>
      </c>
      <c r="AN465" s="22" t="str">
        <f t="shared" si="342"/>
        <v/>
      </c>
      <c r="AO465" s="22" t="str">
        <f t="shared" si="366"/>
        <v/>
      </c>
      <c r="AQ465" s="21" t="str">
        <f t="shared" si="367"/>
        <v>Apprenant 453</v>
      </c>
      <c r="AR465" s="49" t="str">
        <f>IF(AND('Choix pédagogiques'!$C$4&lt;&gt;"?",'Choix pédagogiques'!$C$5&lt;&gt;"?",W465&lt;&gt;""),(W465-'Choix pédagogiques'!$C$4)/('Choix pédagogiques'!$C$5-'Choix pédagogiques'!$C$4),"")</f>
        <v/>
      </c>
      <c r="AS465" s="49" t="str">
        <f>IF(AND('Choix pédagogiques'!$C$4&lt;&gt;"?",'Choix pédagogiques'!$C$5&lt;&gt;"?",X465&lt;&gt;""),(X465-'Choix pédagogiques'!$C$4)/('Choix pédagogiques'!$C$5-'Choix pédagogiques'!$C$4),"")</f>
        <v/>
      </c>
      <c r="AT465" s="49" t="str">
        <f>IF(AND('Choix pédagogiques'!$C$4&lt;&gt;"?",'Choix pédagogiques'!$C$5&lt;&gt;"?",Y465&lt;&gt;""),(Y465-'Choix pédagogiques'!$C$4)/('Choix pédagogiques'!$C$5-'Choix pédagogiques'!$C$4),"")</f>
        <v/>
      </c>
      <c r="AU465" s="22" t="str">
        <f t="shared" si="368"/>
        <v/>
      </c>
      <c r="AV465" s="21" t="str">
        <f t="shared" si="369"/>
        <v>Apprenant 453 ou 453'</v>
      </c>
      <c r="AW465" s="49" t="str">
        <f>IF(AND('Choix pédagogiques'!$C$4&lt;&gt;"?",'Choix pédagogiques'!$C$5&lt;&gt;"?",AB465&lt;&gt;""),(AB465-'Choix pédagogiques'!$C$4)/('Choix pédagogiques'!$C$5-'Choix pédagogiques'!$C$4),"")</f>
        <v/>
      </c>
      <c r="AX465" s="49" t="str">
        <f>IF(AND('Choix pédagogiques'!$C$4&lt;&gt;"?",'Choix pédagogiques'!$C$5&lt;&gt;"?",AC465&lt;&gt;""),(AC465-'Choix pédagogiques'!$C$4)/('Choix pédagogiques'!$C$5-'Choix pédagogiques'!$C$4),"")</f>
        <v/>
      </c>
      <c r="AY465" s="49" t="str">
        <f>IF(AND('Choix pédagogiques'!$C$4&lt;&gt;"?",'Choix pédagogiques'!$C$5&lt;&gt;"?",AD465&lt;&gt;""),(AD465-'Choix pédagogiques'!$C$4)/('Choix pédagogiques'!$C$5-'Choix pédagogiques'!$C$4),"")</f>
        <v/>
      </c>
      <c r="AZ465" s="22" t="str">
        <f t="shared" si="370"/>
        <v/>
      </c>
      <c r="BA465" s="21" t="str">
        <f t="shared" si="371"/>
        <v>Apprenant 453</v>
      </c>
      <c r="BB465" s="49" t="str">
        <f t="shared" si="343"/>
        <v/>
      </c>
      <c r="BC465" s="49" t="str">
        <f t="shared" si="344"/>
        <v/>
      </c>
      <c r="BD465" s="49" t="str">
        <f t="shared" si="345"/>
        <v/>
      </c>
      <c r="BE465" s="22" t="str">
        <f t="shared" si="372"/>
        <v/>
      </c>
      <c r="BF465" s="21" t="str">
        <f t="shared" si="373"/>
        <v>Apprenant 453 ou 453'</v>
      </c>
      <c r="BG465" s="49" t="str">
        <f t="shared" si="346"/>
        <v/>
      </c>
      <c r="BH465" s="49" t="str">
        <f t="shared" si="347"/>
        <v/>
      </c>
      <c r="BI465" s="49" t="str">
        <f t="shared" si="348"/>
        <v/>
      </c>
      <c r="BJ465" s="22" t="str">
        <f t="shared" si="374"/>
        <v/>
      </c>
      <c r="BL465" s="21"/>
      <c r="BM465" s="21" t="str">
        <f>IF(OR(COUNT(B465:D1464)=0,AND('Choix pédagogiques'!$C$3&lt;&gt;1,'Choix pédagogiques'!$C$3&lt;&gt;2)),"",IF(AND(OR('Choix pédagogiques'!$C$3=1,'Choix pédagogiques'!$C$3=2),$B465&lt;&gt;"",$C465&lt;&gt;"",$D465&lt;&gt;""),1,0))</f>
        <v/>
      </c>
      <c r="BN465" s="21" t="str">
        <f>IF(OR(COUNT(G465:I1464)=0,AND('Choix pédagogiques'!$C$3&lt;&gt;1,'Choix pédagogiques'!$C$3&lt;&gt;2)),"",IF(AND(OR('Choix pédagogiques'!$C$3=1,'Choix pédagogiques'!$C$3=2),AND($G465&lt;&gt;"",$H465&lt;&gt;"",$I465&lt;&gt;"")),1,0))</f>
        <v/>
      </c>
      <c r="BO465" s="21" t="str">
        <f>IF(OR(COUNT(B465:D1464)=0,COUNT(G465:I1464)=0,'Choix pédagogiques'!C$3&lt;&gt;3),"",IF(AND('Choix pédagogiques'!$C$3=3,$B465&lt;&gt;"",$C465&lt;&gt;"",$D465&lt;&gt;"",$G465&lt;&gt;"",$H465&lt;&gt;"",$I465&lt;&gt;""),1,0))</f>
        <v/>
      </c>
      <c r="BR465" s="21">
        <v>999</v>
      </c>
      <c r="BS465" s="21">
        <v>1132</v>
      </c>
      <c r="BT465"/>
    </row>
    <row r="466" spans="1:72" s="23" customFormat="1" ht="18" customHeight="1" x14ac:dyDescent="0.3">
      <c r="A466" s="35" t="s">
        <v>456</v>
      </c>
      <c r="B466" s="37"/>
      <c r="C466" s="37"/>
      <c r="D466" s="37"/>
      <c r="E466" s="37"/>
      <c r="F466" s="35" t="s">
        <v>1464</v>
      </c>
      <c r="G466" s="37"/>
      <c r="H466" s="37"/>
      <c r="I466" s="37"/>
      <c r="J466" s="37"/>
      <c r="K466" s="21" t="str">
        <f t="shared" si="349"/>
        <v>Apprenant 454</v>
      </c>
      <c r="L466" s="22" t="str">
        <f t="shared" si="350"/>
        <v/>
      </c>
      <c r="M466" s="22" t="str">
        <f t="shared" si="351"/>
        <v/>
      </c>
      <c r="N466" s="22" t="str">
        <f t="shared" si="352"/>
        <v/>
      </c>
      <c r="O466" s="22" t="str">
        <f t="shared" si="353"/>
        <v/>
      </c>
      <c r="P466" s="21" t="str">
        <f t="shared" si="354"/>
        <v>Apprenant 454 ou 454'</v>
      </c>
      <c r="Q466" s="22" t="str">
        <f t="shared" si="355"/>
        <v/>
      </c>
      <c r="R466" s="22" t="str">
        <f t="shared" si="356"/>
        <v/>
      </c>
      <c r="S466" s="22" t="str">
        <f t="shared" si="357"/>
        <v/>
      </c>
      <c r="T466" s="22" t="str">
        <f t="shared" si="358"/>
        <v/>
      </c>
      <c r="V466" s="21" t="str">
        <f t="shared" si="359"/>
        <v>Apprenant 454</v>
      </c>
      <c r="W466" s="22" t="str">
        <f>IF(AND(OR('Choix pédagogiques'!$C$3=1,'Choix pédagogiques'!$C$3=2),$BM466=1),B466,IF(AND('Choix pédagogiques'!$C$3=3,$BO466=1),B466,""))</f>
        <v/>
      </c>
      <c r="X466" s="22" t="str">
        <f>IF(AND(OR('Choix pédagogiques'!$C$3=1,'Choix pédagogiques'!$C$3=2),$BM466=1),C466,IF(AND('Choix pédagogiques'!$C$3=3,$BO466=1),C466,""))</f>
        <v/>
      </c>
      <c r="Y466" s="22" t="str">
        <f>IF(AND(OR('Choix pédagogiques'!$C$3=1,'Choix pédagogiques'!$C$3=2),$BM466=1),D466,IF(AND('Choix pédagogiques'!$C$3=3,$BO466=1),D466,""))</f>
        <v/>
      </c>
      <c r="Z466" s="22" t="str">
        <f t="shared" si="360"/>
        <v/>
      </c>
      <c r="AA466" s="21" t="str">
        <f t="shared" si="361"/>
        <v>Apprenant 454 ou 454'</v>
      </c>
      <c r="AB466" s="22" t="str">
        <f>IF(AND(OR('Choix pédagogiques'!$C$3=1,'Choix pédagogiques'!$C$3=2),$BN466=1),G466,IF(AND('Choix pédagogiques'!$C$3=3,$BO466=1),G466,""))</f>
        <v/>
      </c>
      <c r="AC466" s="22" t="str">
        <f>IF(AND(OR('Choix pédagogiques'!$C$3=1,'Choix pédagogiques'!$C$3=2),$BN466=1),H466,IF(AND('Choix pédagogiques'!$C$3=3,$BO466=1),H466,""))</f>
        <v/>
      </c>
      <c r="AD466" s="22" t="str">
        <f>IF(AND(OR('Choix pédagogiques'!$C$3=1,'Choix pédagogiques'!$C$3=2),$BN466=1),I466,IF(AND('Choix pédagogiques'!$C$3=3,$BO466=1),I466,""))</f>
        <v/>
      </c>
      <c r="AE466" s="22" t="str">
        <f t="shared" si="362"/>
        <v/>
      </c>
      <c r="AF466" s="21" t="str">
        <f t="shared" si="363"/>
        <v>Apprenant 454</v>
      </c>
      <c r="AG466" s="22" t="str">
        <f t="shared" si="337"/>
        <v/>
      </c>
      <c r="AH466" s="22" t="str">
        <f t="shared" si="338"/>
        <v/>
      </c>
      <c r="AI466" s="22" t="str">
        <f t="shared" si="339"/>
        <v/>
      </c>
      <c r="AJ466" s="22" t="str">
        <f t="shared" si="364"/>
        <v/>
      </c>
      <c r="AK466" s="21" t="str">
        <f t="shared" si="365"/>
        <v>Apprenant 454 ou 454'</v>
      </c>
      <c r="AL466" s="22" t="str">
        <f t="shared" si="340"/>
        <v/>
      </c>
      <c r="AM466" s="22" t="str">
        <f t="shared" si="341"/>
        <v/>
      </c>
      <c r="AN466" s="22" t="str">
        <f t="shared" si="342"/>
        <v/>
      </c>
      <c r="AO466" s="22" t="str">
        <f t="shared" si="366"/>
        <v/>
      </c>
      <c r="AQ466" s="21" t="str">
        <f t="shared" si="367"/>
        <v>Apprenant 454</v>
      </c>
      <c r="AR466" s="49" t="str">
        <f>IF(AND('Choix pédagogiques'!$C$4&lt;&gt;"?",'Choix pédagogiques'!$C$5&lt;&gt;"?",W466&lt;&gt;""),(W466-'Choix pédagogiques'!$C$4)/('Choix pédagogiques'!$C$5-'Choix pédagogiques'!$C$4),"")</f>
        <v/>
      </c>
      <c r="AS466" s="49" t="str">
        <f>IF(AND('Choix pédagogiques'!$C$4&lt;&gt;"?",'Choix pédagogiques'!$C$5&lt;&gt;"?",X466&lt;&gt;""),(X466-'Choix pédagogiques'!$C$4)/('Choix pédagogiques'!$C$5-'Choix pédagogiques'!$C$4),"")</f>
        <v/>
      </c>
      <c r="AT466" s="49" t="str">
        <f>IF(AND('Choix pédagogiques'!$C$4&lt;&gt;"?",'Choix pédagogiques'!$C$5&lt;&gt;"?",Y466&lt;&gt;""),(Y466-'Choix pédagogiques'!$C$4)/('Choix pédagogiques'!$C$5-'Choix pédagogiques'!$C$4),"")</f>
        <v/>
      </c>
      <c r="AU466" s="22" t="str">
        <f t="shared" si="368"/>
        <v/>
      </c>
      <c r="AV466" s="21" t="str">
        <f t="shared" si="369"/>
        <v>Apprenant 454 ou 454'</v>
      </c>
      <c r="AW466" s="49" t="str">
        <f>IF(AND('Choix pédagogiques'!$C$4&lt;&gt;"?",'Choix pédagogiques'!$C$5&lt;&gt;"?",AB466&lt;&gt;""),(AB466-'Choix pédagogiques'!$C$4)/('Choix pédagogiques'!$C$5-'Choix pédagogiques'!$C$4),"")</f>
        <v/>
      </c>
      <c r="AX466" s="49" t="str">
        <f>IF(AND('Choix pédagogiques'!$C$4&lt;&gt;"?",'Choix pédagogiques'!$C$5&lt;&gt;"?",AC466&lt;&gt;""),(AC466-'Choix pédagogiques'!$C$4)/('Choix pédagogiques'!$C$5-'Choix pédagogiques'!$C$4),"")</f>
        <v/>
      </c>
      <c r="AY466" s="49" t="str">
        <f>IF(AND('Choix pédagogiques'!$C$4&lt;&gt;"?",'Choix pédagogiques'!$C$5&lt;&gt;"?",AD466&lt;&gt;""),(AD466-'Choix pédagogiques'!$C$4)/('Choix pédagogiques'!$C$5-'Choix pédagogiques'!$C$4),"")</f>
        <v/>
      </c>
      <c r="AZ466" s="22" t="str">
        <f t="shared" si="370"/>
        <v/>
      </c>
      <c r="BA466" s="21" t="str">
        <f t="shared" si="371"/>
        <v>Apprenant 454</v>
      </c>
      <c r="BB466" s="49" t="str">
        <f t="shared" si="343"/>
        <v/>
      </c>
      <c r="BC466" s="49" t="str">
        <f t="shared" si="344"/>
        <v/>
      </c>
      <c r="BD466" s="49" t="str">
        <f t="shared" si="345"/>
        <v/>
      </c>
      <c r="BE466" s="22" t="str">
        <f t="shared" si="372"/>
        <v/>
      </c>
      <c r="BF466" s="21" t="str">
        <f t="shared" si="373"/>
        <v>Apprenant 454 ou 454'</v>
      </c>
      <c r="BG466" s="49" t="str">
        <f t="shared" si="346"/>
        <v/>
      </c>
      <c r="BH466" s="49" t="str">
        <f t="shared" si="347"/>
        <v/>
      </c>
      <c r="BI466" s="49" t="str">
        <f t="shared" si="348"/>
        <v/>
      </c>
      <c r="BJ466" s="22" t="str">
        <f t="shared" si="374"/>
        <v/>
      </c>
      <c r="BL466" s="21"/>
      <c r="BM466" s="21" t="str">
        <f>IF(OR(COUNT(B466:D1465)=0,AND('Choix pédagogiques'!$C$3&lt;&gt;1,'Choix pédagogiques'!$C$3&lt;&gt;2)),"",IF(AND(OR('Choix pédagogiques'!$C$3=1,'Choix pédagogiques'!$C$3=2),$B466&lt;&gt;"",$C466&lt;&gt;"",$D466&lt;&gt;""),1,0))</f>
        <v/>
      </c>
      <c r="BN466" s="21" t="str">
        <f>IF(OR(COUNT(G466:I1465)=0,AND('Choix pédagogiques'!$C$3&lt;&gt;1,'Choix pédagogiques'!$C$3&lt;&gt;2)),"",IF(AND(OR('Choix pédagogiques'!$C$3=1,'Choix pédagogiques'!$C$3=2),AND($G466&lt;&gt;"",$H466&lt;&gt;"",$I466&lt;&gt;"")),1,0))</f>
        <v/>
      </c>
      <c r="BO466" s="21" t="str">
        <f>IF(OR(COUNT(B466:D1465)=0,COUNT(G466:I1465)=0,'Choix pédagogiques'!C$3&lt;&gt;3),"",IF(AND('Choix pédagogiques'!$C$3=3,$B466&lt;&gt;"",$C466&lt;&gt;"",$D466&lt;&gt;"",$G466&lt;&gt;"",$H466&lt;&gt;"",$I466&lt;&gt;""),1,0))</f>
        <v/>
      </c>
      <c r="BR466" s="21">
        <v>518</v>
      </c>
      <c r="BS466" s="21">
        <v>1229</v>
      </c>
      <c r="BT466"/>
    </row>
    <row r="467" spans="1:72" s="23" customFormat="1" ht="18" customHeight="1" x14ac:dyDescent="0.3">
      <c r="A467" s="35" t="s">
        <v>457</v>
      </c>
      <c r="B467" s="37"/>
      <c r="C467" s="37"/>
      <c r="D467" s="37"/>
      <c r="E467" s="37"/>
      <c r="F467" s="35" t="s">
        <v>1465</v>
      </c>
      <c r="G467" s="37"/>
      <c r="H467" s="37"/>
      <c r="I467" s="37"/>
      <c r="J467" s="37"/>
      <c r="K467" s="21" t="str">
        <f t="shared" si="349"/>
        <v>Apprenant 455</v>
      </c>
      <c r="L467" s="22" t="str">
        <f t="shared" si="350"/>
        <v/>
      </c>
      <c r="M467" s="22" t="str">
        <f t="shared" si="351"/>
        <v/>
      </c>
      <c r="N467" s="22" t="str">
        <f t="shared" si="352"/>
        <v/>
      </c>
      <c r="O467" s="22" t="str">
        <f t="shared" si="353"/>
        <v/>
      </c>
      <c r="P467" s="21" t="str">
        <f t="shared" si="354"/>
        <v>Apprenant 455 ou 455'</v>
      </c>
      <c r="Q467" s="22" t="str">
        <f t="shared" si="355"/>
        <v/>
      </c>
      <c r="R467" s="22" t="str">
        <f t="shared" si="356"/>
        <v/>
      </c>
      <c r="S467" s="22" t="str">
        <f t="shared" si="357"/>
        <v/>
      </c>
      <c r="T467" s="22" t="str">
        <f t="shared" si="358"/>
        <v/>
      </c>
      <c r="V467" s="21" t="str">
        <f t="shared" si="359"/>
        <v>Apprenant 455</v>
      </c>
      <c r="W467" s="22" t="str">
        <f>IF(AND(OR('Choix pédagogiques'!$C$3=1,'Choix pédagogiques'!$C$3=2),$BM467=1),B467,IF(AND('Choix pédagogiques'!$C$3=3,$BO467=1),B467,""))</f>
        <v/>
      </c>
      <c r="X467" s="22" t="str">
        <f>IF(AND(OR('Choix pédagogiques'!$C$3=1,'Choix pédagogiques'!$C$3=2),$BM467=1),C467,IF(AND('Choix pédagogiques'!$C$3=3,$BO467=1),C467,""))</f>
        <v/>
      </c>
      <c r="Y467" s="22" t="str">
        <f>IF(AND(OR('Choix pédagogiques'!$C$3=1,'Choix pédagogiques'!$C$3=2),$BM467=1),D467,IF(AND('Choix pédagogiques'!$C$3=3,$BO467=1),D467,""))</f>
        <v/>
      </c>
      <c r="Z467" s="22" t="str">
        <f t="shared" si="360"/>
        <v/>
      </c>
      <c r="AA467" s="21" t="str">
        <f t="shared" si="361"/>
        <v>Apprenant 455 ou 455'</v>
      </c>
      <c r="AB467" s="22" t="str">
        <f>IF(AND(OR('Choix pédagogiques'!$C$3=1,'Choix pédagogiques'!$C$3=2),$BN467=1),G467,IF(AND('Choix pédagogiques'!$C$3=3,$BO467=1),G467,""))</f>
        <v/>
      </c>
      <c r="AC467" s="22" t="str">
        <f>IF(AND(OR('Choix pédagogiques'!$C$3=1,'Choix pédagogiques'!$C$3=2),$BN467=1),H467,IF(AND('Choix pédagogiques'!$C$3=3,$BO467=1),H467,""))</f>
        <v/>
      </c>
      <c r="AD467" s="22" t="str">
        <f>IF(AND(OR('Choix pédagogiques'!$C$3=1,'Choix pédagogiques'!$C$3=2),$BN467=1),I467,IF(AND('Choix pédagogiques'!$C$3=3,$BO467=1),I467,""))</f>
        <v/>
      </c>
      <c r="AE467" s="22" t="str">
        <f t="shared" si="362"/>
        <v/>
      </c>
      <c r="AF467" s="21" t="str">
        <f t="shared" si="363"/>
        <v>Apprenant 455</v>
      </c>
      <c r="AG467" s="22" t="str">
        <f t="shared" si="337"/>
        <v/>
      </c>
      <c r="AH467" s="22" t="str">
        <f t="shared" si="338"/>
        <v/>
      </c>
      <c r="AI467" s="22" t="str">
        <f t="shared" si="339"/>
        <v/>
      </c>
      <c r="AJ467" s="22" t="str">
        <f t="shared" si="364"/>
        <v/>
      </c>
      <c r="AK467" s="21" t="str">
        <f t="shared" si="365"/>
        <v>Apprenant 455 ou 455'</v>
      </c>
      <c r="AL467" s="22" t="str">
        <f t="shared" si="340"/>
        <v/>
      </c>
      <c r="AM467" s="22" t="str">
        <f t="shared" si="341"/>
        <v/>
      </c>
      <c r="AN467" s="22" t="str">
        <f t="shared" si="342"/>
        <v/>
      </c>
      <c r="AO467" s="22" t="str">
        <f t="shared" si="366"/>
        <v/>
      </c>
      <c r="AQ467" s="21" t="str">
        <f t="shared" si="367"/>
        <v>Apprenant 455</v>
      </c>
      <c r="AR467" s="49" t="str">
        <f>IF(AND('Choix pédagogiques'!$C$4&lt;&gt;"?",'Choix pédagogiques'!$C$5&lt;&gt;"?",W467&lt;&gt;""),(W467-'Choix pédagogiques'!$C$4)/('Choix pédagogiques'!$C$5-'Choix pédagogiques'!$C$4),"")</f>
        <v/>
      </c>
      <c r="AS467" s="49" t="str">
        <f>IF(AND('Choix pédagogiques'!$C$4&lt;&gt;"?",'Choix pédagogiques'!$C$5&lt;&gt;"?",X467&lt;&gt;""),(X467-'Choix pédagogiques'!$C$4)/('Choix pédagogiques'!$C$5-'Choix pédagogiques'!$C$4),"")</f>
        <v/>
      </c>
      <c r="AT467" s="49" t="str">
        <f>IF(AND('Choix pédagogiques'!$C$4&lt;&gt;"?",'Choix pédagogiques'!$C$5&lt;&gt;"?",Y467&lt;&gt;""),(Y467-'Choix pédagogiques'!$C$4)/('Choix pédagogiques'!$C$5-'Choix pédagogiques'!$C$4),"")</f>
        <v/>
      </c>
      <c r="AU467" s="22" t="str">
        <f t="shared" si="368"/>
        <v/>
      </c>
      <c r="AV467" s="21" t="str">
        <f t="shared" si="369"/>
        <v>Apprenant 455 ou 455'</v>
      </c>
      <c r="AW467" s="49" t="str">
        <f>IF(AND('Choix pédagogiques'!$C$4&lt;&gt;"?",'Choix pédagogiques'!$C$5&lt;&gt;"?",AB467&lt;&gt;""),(AB467-'Choix pédagogiques'!$C$4)/('Choix pédagogiques'!$C$5-'Choix pédagogiques'!$C$4),"")</f>
        <v/>
      </c>
      <c r="AX467" s="49" t="str">
        <f>IF(AND('Choix pédagogiques'!$C$4&lt;&gt;"?",'Choix pédagogiques'!$C$5&lt;&gt;"?",AC467&lt;&gt;""),(AC467-'Choix pédagogiques'!$C$4)/('Choix pédagogiques'!$C$5-'Choix pédagogiques'!$C$4),"")</f>
        <v/>
      </c>
      <c r="AY467" s="49" t="str">
        <f>IF(AND('Choix pédagogiques'!$C$4&lt;&gt;"?",'Choix pédagogiques'!$C$5&lt;&gt;"?",AD467&lt;&gt;""),(AD467-'Choix pédagogiques'!$C$4)/('Choix pédagogiques'!$C$5-'Choix pédagogiques'!$C$4),"")</f>
        <v/>
      </c>
      <c r="AZ467" s="22" t="str">
        <f t="shared" si="370"/>
        <v/>
      </c>
      <c r="BA467" s="21" t="str">
        <f t="shared" si="371"/>
        <v>Apprenant 455</v>
      </c>
      <c r="BB467" s="49" t="str">
        <f t="shared" si="343"/>
        <v/>
      </c>
      <c r="BC467" s="49" t="str">
        <f t="shared" si="344"/>
        <v/>
      </c>
      <c r="BD467" s="49" t="str">
        <f t="shared" si="345"/>
        <v/>
      </c>
      <c r="BE467" s="22" t="str">
        <f t="shared" si="372"/>
        <v/>
      </c>
      <c r="BF467" s="21" t="str">
        <f t="shared" si="373"/>
        <v>Apprenant 455 ou 455'</v>
      </c>
      <c r="BG467" s="49" t="str">
        <f t="shared" si="346"/>
        <v/>
      </c>
      <c r="BH467" s="49" t="str">
        <f t="shared" si="347"/>
        <v/>
      </c>
      <c r="BI467" s="49" t="str">
        <f t="shared" si="348"/>
        <v/>
      </c>
      <c r="BJ467" s="22" t="str">
        <f t="shared" si="374"/>
        <v/>
      </c>
      <c r="BL467" s="21"/>
      <c r="BM467" s="21" t="str">
        <f>IF(OR(COUNT(B467:D1466)=0,AND('Choix pédagogiques'!$C$3&lt;&gt;1,'Choix pédagogiques'!$C$3&lt;&gt;2)),"",IF(AND(OR('Choix pédagogiques'!$C$3=1,'Choix pédagogiques'!$C$3=2),$B467&lt;&gt;"",$C467&lt;&gt;"",$D467&lt;&gt;""),1,0))</f>
        <v/>
      </c>
      <c r="BN467" s="21" t="str">
        <f>IF(OR(COUNT(G467:I1466)=0,AND('Choix pédagogiques'!$C$3&lt;&gt;1,'Choix pédagogiques'!$C$3&lt;&gt;2)),"",IF(AND(OR('Choix pédagogiques'!$C$3=1,'Choix pédagogiques'!$C$3=2),AND($G467&lt;&gt;"",$H467&lt;&gt;"",$I467&lt;&gt;"")),1,0))</f>
        <v/>
      </c>
      <c r="BO467" s="21" t="str">
        <f>IF(OR(COUNT(B467:D1466)=0,COUNT(G467:I1466)=0,'Choix pédagogiques'!C$3&lt;&gt;3),"",IF(AND('Choix pédagogiques'!$C$3=3,$B467&lt;&gt;"",$C467&lt;&gt;"",$D467&lt;&gt;"",$G467&lt;&gt;"",$H467&lt;&gt;"",$I467&lt;&gt;""),1,0))</f>
        <v/>
      </c>
      <c r="BR467" s="21">
        <v>81</v>
      </c>
      <c r="BS467" s="21">
        <v>1529</v>
      </c>
      <c r="BT467"/>
    </row>
    <row r="468" spans="1:72" s="23" customFormat="1" ht="18" customHeight="1" x14ac:dyDescent="0.3">
      <c r="A468" s="35" t="s">
        <v>458</v>
      </c>
      <c r="B468" s="37"/>
      <c r="C468" s="37"/>
      <c r="D468" s="37"/>
      <c r="E468" s="37"/>
      <c r="F468" s="35" t="s">
        <v>1466</v>
      </c>
      <c r="G468" s="37"/>
      <c r="H468" s="37"/>
      <c r="I468" s="37"/>
      <c r="J468" s="37"/>
      <c r="K468" s="21" t="str">
        <f t="shared" si="349"/>
        <v>Apprenant 456</v>
      </c>
      <c r="L468" s="22" t="str">
        <f t="shared" si="350"/>
        <v/>
      </c>
      <c r="M468" s="22" t="str">
        <f t="shared" si="351"/>
        <v/>
      </c>
      <c r="N468" s="22" t="str">
        <f t="shared" si="352"/>
        <v/>
      </c>
      <c r="O468" s="22" t="str">
        <f t="shared" si="353"/>
        <v/>
      </c>
      <c r="P468" s="21" t="str">
        <f t="shared" si="354"/>
        <v>Apprenant 456 ou 456'</v>
      </c>
      <c r="Q468" s="22" t="str">
        <f t="shared" si="355"/>
        <v/>
      </c>
      <c r="R468" s="22" t="str">
        <f t="shared" si="356"/>
        <v/>
      </c>
      <c r="S468" s="22" t="str">
        <f t="shared" si="357"/>
        <v/>
      </c>
      <c r="T468" s="22" t="str">
        <f t="shared" si="358"/>
        <v/>
      </c>
      <c r="V468" s="21" t="str">
        <f t="shared" si="359"/>
        <v>Apprenant 456</v>
      </c>
      <c r="W468" s="22" t="str">
        <f>IF(AND(OR('Choix pédagogiques'!$C$3=1,'Choix pédagogiques'!$C$3=2),$BM468=1),B468,IF(AND('Choix pédagogiques'!$C$3=3,$BO468=1),B468,""))</f>
        <v/>
      </c>
      <c r="X468" s="22" t="str">
        <f>IF(AND(OR('Choix pédagogiques'!$C$3=1,'Choix pédagogiques'!$C$3=2),$BM468=1),C468,IF(AND('Choix pédagogiques'!$C$3=3,$BO468=1),C468,""))</f>
        <v/>
      </c>
      <c r="Y468" s="22" t="str">
        <f>IF(AND(OR('Choix pédagogiques'!$C$3=1,'Choix pédagogiques'!$C$3=2),$BM468=1),D468,IF(AND('Choix pédagogiques'!$C$3=3,$BO468=1),D468,""))</f>
        <v/>
      </c>
      <c r="Z468" s="22" t="str">
        <f t="shared" si="360"/>
        <v/>
      </c>
      <c r="AA468" s="21" t="str">
        <f t="shared" si="361"/>
        <v>Apprenant 456 ou 456'</v>
      </c>
      <c r="AB468" s="22" t="str">
        <f>IF(AND(OR('Choix pédagogiques'!$C$3=1,'Choix pédagogiques'!$C$3=2),$BN468=1),G468,IF(AND('Choix pédagogiques'!$C$3=3,$BO468=1),G468,""))</f>
        <v/>
      </c>
      <c r="AC468" s="22" t="str">
        <f>IF(AND(OR('Choix pédagogiques'!$C$3=1,'Choix pédagogiques'!$C$3=2),$BN468=1),H468,IF(AND('Choix pédagogiques'!$C$3=3,$BO468=1),H468,""))</f>
        <v/>
      </c>
      <c r="AD468" s="22" t="str">
        <f>IF(AND(OR('Choix pédagogiques'!$C$3=1,'Choix pédagogiques'!$C$3=2),$BN468=1),I468,IF(AND('Choix pédagogiques'!$C$3=3,$BO468=1),I468,""))</f>
        <v/>
      </c>
      <c r="AE468" s="22" t="str">
        <f t="shared" si="362"/>
        <v/>
      </c>
      <c r="AF468" s="21" t="str">
        <f t="shared" si="363"/>
        <v>Apprenant 456</v>
      </c>
      <c r="AG468" s="22" t="str">
        <f t="shared" si="337"/>
        <v/>
      </c>
      <c r="AH468" s="22" t="str">
        <f t="shared" si="338"/>
        <v/>
      </c>
      <c r="AI468" s="22" t="str">
        <f t="shared" si="339"/>
        <v/>
      </c>
      <c r="AJ468" s="22" t="str">
        <f t="shared" si="364"/>
        <v/>
      </c>
      <c r="AK468" s="21" t="str">
        <f t="shared" si="365"/>
        <v>Apprenant 456 ou 456'</v>
      </c>
      <c r="AL468" s="22" t="str">
        <f t="shared" si="340"/>
        <v/>
      </c>
      <c r="AM468" s="22" t="str">
        <f t="shared" si="341"/>
        <v/>
      </c>
      <c r="AN468" s="22" t="str">
        <f t="shared" si="342"/>
        <v/>
      </c>
      <c r="AO468" s="22" t="str">
        <f t="shared" si="366"/>
        <v/>
      </c>
      <c r="AQ468" s="21" t="str">
        <f t="shared" si="367"/>
        <v>Apprenant 456</v>
      </c>
      <c r="AR468" s="49" t="str">
        <f>IF(AND('Choix pédagogiques'!$C$4&lt;&gt;"?",'Choix pédagogiques'!$C$5&lt;&gt;"?",W468&lt;&gt;""),(W468-'Choix pédagogiques'!$C$4)/('Choix pédagogiques'!$C$5-'Choix pédagogiques'!$C$4),"")</f>
        <v/>
      </c>
      <c r="AS468" s="49" t="str">
        <f>IF(AND('Choix pédagogiques'!$C$4&lt;&gt;"?",'Choix pédagogiques'!$C$5&lt;&gt;"?",X468&lt;&gt;""),(X468-'Choix pédagogiques'!$C$4)/('Choix pédagogiques'!$C$5-'Choix pédagogiques'!$C$4),"")</f>
        <v/>
      </c>
      <c r="AT468" s="49" t="str">
        <f>IF(AND('Choix pédagogiques'!$C$4&lt;&gt;"?",'Choix pédagogiques'!$C$5&lt;&gt;"?",Y468&lt;&gt;""),(Y468-'Choix pédagogiques'!$C$4)/('Choix pédagogiques'!$C$5-'Choix pédagogiques'!$C$4),"")</f>
        <v/>
      </c>
      <c r="AU468" s="22" t="str">
        <f t="shared" si="368"/>
        <v/>
      </c>
      <c r="AV468" s="21" t="str">
        <f t="shared" si="369"/>
        <v>Apprenant 456 ou 456'</v>
      </c>
      <c r="AW468" s="49" t="str">
        <f>IF(AND('Choix pédagogiques'!$C$4&lt;&gt;"?",'Choix pédagogiques'!$C$5&lt;&gt;"?",AB468&lt;&gt;""),(AB468-'Choix pédagogiques'!$C$4)/('Choix pédagogiques'!$C$5-'Choix pédagogiques'!$C$4),"")</f>
        <v/>
      </c>
      <c r="AX468" s="49" t="str">
        <f>IF(AND('Choix pédagogiques'!$C$4&lt;&gt;"?",'Choix pédagogiques'!$C$5&lt;&gt;"?",AC468&lt;&gt;""),(AC468-'Choix pédagogiques'!$C$4)/('Choix pédagogiques'!$C$5-'Choix pédagogiques'!$C$4),"")</f>
        <v/>
      </c>
      <c r="AY468" s="49" t="str">
        <f>IF(AND('Choix pédagogiques'!$C$4&lt;&gt;"?",'Choix pédagogiques'!$C$5&lt;&gt;"?",AD468&lt;&gt;""),(AD468-'Choix pédagogiques'!$C$4)/('Choix pédagogiques'!$C$5-'Choix pédagogiques'!$C$4),"")</f>
        <v/>
      </c>
      <c r="AZ468" s="22" t="str">
        <f t="shared" si="370"/>
        <v/>
      </c>
      <c r="BA468" s="21" t="str">
        <f t="shared" si="371"/>
        <v>Apprenant 456</v>
      </c>
      <c r="BB468" s="49" t="str">
        <f t="shared" si="343"/>
        <v/>
      </c>
      <c r="BC468" s="49" t="str">
        <f t="shared" si="344"/>
        <v/>
      </c>
      <c r="BD468" s="49" t="str">
        <f t="shared" si="345"/>
        <v/>
      </c>
      <c r="BE468" s="22" t="str">
        <f t="shared" si="372"/>
        <v/>
      </c>
      <c r="BF468" s="21" t="str">
        <f t="shared" si="373"/>
        <v>Apprenant 456 ou 456'</v>
      </c>
      <c r="BG468" s="49" t="str">
        <f t="shared" si="346"/>
        <v/>
      </c>
      <c r="BH468" s="49" t="str">
        <f t="shared" si="347"/>
        <v/>
      </c>
      <c r="BI468" s="49" t="str">
        <f t="shared" si="348"/>
        <v/>
      </c>
      <c r="BJ468" s="22" t="str">
        <f t="shared" si="374"/>
        <v/>
      </c>
      <c r="BL468" s="21"/>
      <c r="BM468" s="21" t="str">
        <f>IF(OR(COUNT(B468:D1467)=0,AND('Choix pédagogiques'!$C$3&lt;&gt;1,'Choix pédagogiques'!$C$3&lt;&gt;2)),"",IF(AND(OR('Choix pédagogiques'!$C$3=1,'Choix pédagogiques'!$C$3=2),$B468&lt;&gt;"",$C468&lt;&gt;"",$D468&lt;&gt;""),1,0))</f>
        <v/>
      </c>
      <c r="BN468" s="21" t="str">
        <f>IF(OR(COUNT(G468:I1467)=0,AND('Choix pédagogiques'!$C$3&lt;&gt;1,'Choix pédagogiques'!$C$3&lt;&gt;2)),"",IF(AND(OR('Choix pédagogiques'!$C$3=1,'Choix pédagogiques'!$C$3=2),AND($G468&lt;&gt;"",$H468&lt;&gt;"",$I468&lt;&gt;"")),1,0))</f>
        <v/>
      </c>
      <c r="BO468" s="21" t="str">
        <f>IF(OR(COUNT(B468:D1467)=0,COUNT(G468:I1467)=0,'Choix pédagogiques'!C$3&lt;&gt;3),"",IF(AND('Choix pédagogiques'!$C$3=3,$B468&lt;&gt;"",$C468&lt;&gt;"",$D468&lt;&gt;"",$G468&lt;&gt;"",$H468&lt;&gt;"",$I468&lt;&gt;""),1,0))</f>
        <v/>
      </c>
      <c r="BR468" s="21">
        <v>30</v>
      </c>
      <c r="BS468" s="21">
        <v>1999</v>
      </c>
      <c r="BT468"/>
    </row>
    <row r="469" spans="1:72" s="23" customFormat="1" ht="18" customHeight="1" x14ac:dyDescent="0.3">
      <c r="A469" s="35" t="s">
        <v>459</v>
      </c>
      <c r="B469" s="37"/>
      <c r="C469" s="37"/>
      <c r="D469" s="37"/>
      <c r="E469" s="37"/>
      <c r="F469" s="35" t="s">
        <v>1467</v>
      </c>
      <c r="G469" s="37"/>
      <c r="H469" s="37"/>
      <c r="I469" s="37"/>
      <c r="J469" s="37"/>
      <c r="K469" s="21" t="str">
        <f t="shared" si="349"/>
        <v>Apprenant 457</v>
      </c>
      <c r="L469" s="22" t="str">
        <f t="shared" si="350"/>
        <v/>
      </c>
      <c r="M469" s="22" t="str">
        <f t="shared" si="351"/>
        <v/>
      </c>
      <c r="N469" s="22" t="str">
        <f t="shared" si="352"/>
        <v/>
      </c>
      <c r="O469" s="22" t="str">
        <f t="shared" si="353"/>
        <v/>
      </c>
      <c r="P469" s="21" t="str">
        <f t="shared" si="354"/>
        <v>Apprenant 457 ou 457'</v>
      </c>
      <c r="Q469" s="22" t="str">
        <f t="shared" si="355"/>
        <v/>
      </c>
      <c r="R469" s="22" t="str">
        <f t="shared" si="356"/>
        <v/>
      </c>
      <c r="S469" s="22" t="str">
        <f t="shared" si="357"/>
        <v/>
      </c>
      <c r="T469" s="22" t="str">
        <f t="shared" si="358"/>
        <v/>
      </c>
      <c r="V469" s="21" t="str">
        <f t="shared" si="359"/>
        <v>Apprenant 457</v>
      </c>
      <c r="W469" s="22" t="str">
        <f>IF(AND(OR('Choix pédagogiques'!$C$3=1,'Choix pédagogiques'!$C$3=2),$BM469=1),B469,IF(AND('Choix pédagogiques'!$C$3=3,$BO469=1),B469,""))</f>
        <v/>
      </c>
      <c r="X469" s="22" t="str">
        <f>IF(AND(OR('Choix pédagogiques'!$C$3=1,'Choix pédagogiques'!$C$3=2),$BM469=1),C469,IF(AND('Choix pédagogiques'!$C$3=3,$BO469=1),C469,""))</f>
        <v/>
      </c>
      <c r="Y469" s="22" t="str">
        <f>IF(AND(OR('Choix pédagogiques'!$C$3=1,'Choix pédagogiques'!$C$3=2),$BM469=1),D469,IF(AND('Choix pédagogiques'!$C$3=3,$BO469=1),D469,""))</f>
        <v/>
      </c>
      <c r="Z469" s="22" t="str">
        <f t="shared" si="360"/>
        <v/>
      </c>
      <c r="AA469" s="21" t="str">
        <f t="shared" si="361"/>
        <v>Apprenant 457 ou 457'</v>
      </c>
      <c r="AB469" s="22" t="str">
        <f>IF(AND(OR('Choix pédagogiques'!$C$3=1,'Choix pédagogiques'!$C$3=2),$BN469=1),G469,IF(AND('Choix pédagogiques'!$C$3=3,$BO469=1),G469,""))</f>
        <v/>
      </c>
      <c r="AC469" s="22" t="str">
        <f>IF(AND(OR('Choix pédagogiques'!$C$3=1,'Choix pédagogiques'!$C$3=2),$BN469=1),H469,IF(AND('Choix pédagogiques'!$C$3=3,$BO469=1),H469,""))</f>
        <v/>
      </c>
      <c r="AD469" s="22" t="str">
        <f>IF(AND(OR('Choix pédagogiques'!$C$3=1,'Choix pédagogiques'!$C$3=2),$BN469=1),I469,IF(AND('Choix pédagogiques'!$C$3=3,$BO469=1),I469,""))</f>
        <v/>
      </c>
      <c r="AE469" s="22" t="str">
        <f t="shared" si="362"/>
        <v/>
      </c>
      <c r="AF469" s="21" t="str">
        <f t="shared" si="363"/>
        <v>Apprenant 457</v>
      </c>
      <c r="AG469" s="22" t="str">
        <f t="shared" si="337"/>
        <v/>
      </c>
      <c r="AH469" s="22" t="str">
        <f t="shared" si="338"/>
        <v/>
      </c>
      <c r="AI469" s="22" t="str">
        <f t="shared" si="339"/>
        <v/>
      </c>
      <c r="AJ469" s="22" t="str">
        <f t="shared" si="364"/>
        <v/>
      </c>
      <c r="AK469" s="21" t="str">
        <f t="shared" si="365"/>
        <v>Apprenant 457 ou 457'</v>
      </c>
      <c r="AL469" s="22" t="str">
        <f t="shared" si="340"/>
        <v/>
      </c>
      <c r="AM469" s="22" t="str">
        <f t="shared" si="341"/>
        <v/>
      </c>
      <c r="AN469" s="22" t="str">
        <f t="shared" si="342"/>
        <v/>
      </c>
      <c r="AO469" s="22" t="str">
        <f t="shared" si="366"/>
        <v/>
      </c>
      <c r="AQ469" s="21" t="str">
        <f t="shared" si="367"/>
        <v>Apprenant 457</v>
      </c>
      <c r="AR469" s="49" t="str">
        <f>IF(AND('Choix pédagogiques'!$C$4&lt;&gt;"?",'Choix pédagogiques'!$C$5&lt;&gt;"?",W469&lt;&gt;""),(W469-'Choix pédagogiques'!$C$4)/('Choix pédagogiques'!$C$5-'Choix pédagogiques'!$C$4),"")</f>
        <v/>
      </c>
      <c r="AS469" s="49" t="str">
        <f>IF(AND('Choix pédagogiques'!$C$4&lt;&gt;"?",'Choix pédagogiques'!$C$5&lt;&gt;"?",X469&lt;&gt;""),(X469-'Choix pédagogiques'!$C$4)/('Choix pédagogiques'!$C$5-'Choix pédagogiques'!$C$4),"")</f>
        <v/>
      </c>
      <c r="AT469" s="49" t="str">
        <f>IF(AND('Choix pédagogiques'!$C$4&lt;&gt;"?",'Choix pédagogiques'!$C$5&lt;&gt;"?",Y469&lt;&gt;""),(Y469-'Choix pédagogiques'!$C$4)/('Choix pédagogiques'!$C$5-'Choix pédagogiques'!$C$4),"")</f>
        <v/>
      </c>
      <c r="AU469" s="22" t="str">
        <f t="shared" si="368"/>
        <v/>
      </c>
      <c r="AV469" s="21" t="str">
        <f t="shared" si="369"/>
        <v>Apprenant 457 ou 457'</v>
      </c>
      <c r="AW469" s="49" t="str">
        <f>IF(AND('Choix pédagogiques'!$C$4&lt;&gt;"?",'Choix pédagogiques'!$C$5&lt;&gt;"?",AB469&lt;&gt;""),(AB469-'Choix pédagogiques'!$C$4)/('Choix pédagogiques'!$C$5-'Choix pédagogiques'!$C$4),"")</f>
        <v/>
      </c>
      <c r="AX469" s="49" t="str">
        <f>IF(AND('Choix pédagogiques'!$C$4&lt;&gt;"?",'Choix pédagogiques'!$C$5&lt;&gt;"?",AC469&lt;&gt;""),(AC469-'Choix pédagogiques'!$C$4)/('Choix pédagogiques'!$C$5-'Choix pédagogiques'!$C$4),"")</f>
        <v/>
      </c>
      <c r="AY469" s="49" t="str">
        <f>IF(AND('Choix pédagogiques'!$C$4&lt;&gt;"?",'Choix pédagogiques'!$C$5&lt;&gt;"?",AD469&lt;&gt;""),(AD469-'Choix pédagogiques'!$C$4)/('Choix pédagogiques'!$C$5-'Choix pédagogiques'!$C$4),"")</f>
        <v/>
      </c>
      <c r="AZ469" s="22" t="str">
        <f t="shared" si="370"/>
        <v/>
      </c>
      <c r="BA469" s="21" t="str">
        <f t="shared" si="371"/>
        <v>Apprenant 457</v>
      </c>
      <c r="BB469" s="49" t="str">
        <f t="shared" si="343"/>
        <v/>
      </c>
      <c r="BC469" s="49" t="str">
        <f t="shared" si="344"/>
        <v/>
      </c>
      <c r="BD469" s="49" t="str">
        <f t="shared" si="345"/>
        <v/>
      </c>
      <c r="BE469" s="22" t="str">
        <f t="shared" si="372"/>
        <v/>
      </c>
      <c r="BF469" s="21" t="str">
        <f t="shared" si="373"/>
        <v>Apprenant 457 ou 457'</v>
      </c>
      <c r="BG469" s="49" t="str">
        <f t="shared" si="346"/>
        <v/>
      </c>
      <c r="BH469" s="49" t="str">
        <f t="shared" si="347"/>
        <v/>
      </c>
      <c r="BI469" s="49" t="str">
        <f t="shared" si="348"/>
        <v/>
      </c>
      <c r="BJ469" s="22" t="str">
        <f t="shared" si="374"/>
        <v/>
      </c>
      <c r="BL469" s="21"/>
      <c r="BM469" s="21" t="str">
        <f>IF(OR(COUNT(B469:D1468)=0,AND('Choix pédagogiques'!$C$3&lt;&gt;1,'Choix pédagogiques'!$C$3&lt;&gt;2)),"",IF(AND(OR('Choix pédagogiques'!$C$3=1,'Choix pédagogiques'!$C$3=2),$B469&lt;&gt;"",$C469&lt;&gt;"",$D469&lt;&gt;""),1,0))</f>
        <v/>
      </c>
      <c r="BN469" s="21" t="str">
        <f>IF(OR(COUNT(G469:I1468)=0,AND('Choix pédagogiques'!$C$3&lt;&gt;1,'Choix pédagogiques'!$C$3&lt;&gt;2)),"",IF(AND(OR('Choix pédagogiques'!$C$3=1,'Choix pédagogiques'!$C$3=2),AND($G469&lt;&gt;"",$H469&lt;&gt;"",$I469&lt;&gt;"")),1,0))</f>
        <v/>
      </c>
      <c r="BO469" s="21" t="str">
        <f>IF(OR(COUNT(B469:D1468)=0,COUNT(G469:I1468)=0,'Choix pédagogiques'!C$3&lt;&gt;3),"",IF(AND('Choix pédagogiques'!$C$3=3,$B469&lt;&gt;"",$C469&lt;&gt;"",$D469&lt;&gt;"",$G469&lt;&gt;"",$H469&lt;&gt;"",$I469&lt;&gt;""),1,0))</f>
        <v/>
      </c>
      <c r="BR469" s="21">
        <v>39</v>
      </c>
      <c r="BS469" s="21">
        <v>1219</v>
      </c>
      <c r="BT469"/>
    </row>
    <row r="470" spans="1:72" s="23" customFormat="1" ht="18" customHeight="1" x14ac:dyDescent="0.3">
      <c r="A470" s="35" t="s">
        <v>460</v>
      </c>
      <c r="B470" s="37"/>
      <c r="C470" s="37"/>
      <c r="D470" s="37"/>
      <c r="E470" s="37"/>
      <c r="F470" s="35" t="s">
        <v>1468</v>
      </c>
      <c r="G470" s="37"/>
      <c r="H470" s="37"/>
      <c r="I470" s="37"/>
      <c r="J470" s="37"/>
      <c r="K470" s="21" t="str">
        <f t="shared" si="349"/>
        <v>Apprenant 458</v>
      </c>
      <c r="L470" s="22" t="str">
        <f t="shared" si="350"/>
        <v/>
      </c>
      <c r="M470" s="22" t="str">
        <f t="shared" si="351"/>
        <v/>
      </c>
      <c r="N470" s="22" t="str">
        <f t="shared" si="352"/>
        <v/>
      </c>
      <c r="O470" s="22" t="str">
        <f t="shared" si="353"/>
        <v/>
      </c>
      <c r="P470" s="21" t="str">
        <f t="shared" si="354"/>
        <v>Apprenant 458 ou 458'</v>
      </c>
      <c r="Q470" s="22" t="str">
        <f t="shared" si="355"/>
        <v/>
      </c>
      <c r="R470" s="22" t="str">
        <f t="shared" si="356"/>
        <v/>
      </c>
      <c r="S470" s="22" t="str">
        <f t="shared" si="357"/>
        <v/>
      </c>
      <c r="T470" s="22" t="str">
        <f t="shared" si="358"/>
        <v/>
      </c>
      <c r="V470" s="21" t="str">
        <f t="shared" si="359"/>
        <v>Apprenant 458</v>
      </c>
      <c r="W470" s="22" t="str">
        <f>IF(AND(OR('Choix pédagogiques'!$C$3=1,'Choix pédagogiques'!$C$3=2),$BM470=1),B470,IF(AND('Choix pédagogiques'!$C$3=3,$BO470=1),B470,""))</f>
        <v/>
      </c>
      <c r="X470" s="22" t="str">
        <f>IF(AND(OR('Choix pédagogiques'!$C$3=1,'Choix pédagogiques'!$C$3=2),$BM470=1),C470,IF(AND('Choix pédagogiques'!$C$3=3,$BO470=1),C470,""))</f>
        <v/>
      </c>
      <c r="Y470" s="22" t="str">
        <f>IF(AND(OR('Choix pédagogiques'!$C$3=1,'Choix pédagogiques'!$C$3=2),$BM470=1),D470,IF(AND('Choix pédagogiques'!$C$3=3,$BO470=1),D470,""))</f>
        <v/>
      </c>
      <c r="Z470" s="22" t="str">
        <f t="shared" si="360"/>
        <v/>
      </c>
      <c r="AA470" s="21" t="str">
        <f t="shared" si="361"/>
        <v>Apprenant 458 ou 458'</v>
      </c>
      <c r="AB470" s="22" t="str">
        <f>IF(AND(OR('Choix pédagogiques'!$C$3=1,'Choix pédagogiques'!$C$3=2),$BN470=1),G470,IF(AND('Choix pédagogiques'!$C$3=3,$BO470=1),G470,""))</f>
        <v/>
      </c>
      <c r="AC470" s="22" t="str">
        <f>IF(AND(OR('Choix pédagogiques'!$C$3=1,'Choix pédagogiques'!$C$3=2),$BN470=1),H470,IF(AND('Choix pédagogiques'!$C$3=3,$BO470=1),H470,""))</f>
        <v/>
      </c>
      <c r="AD470" s="22" t="str">
        <f>IF(AND(OR('Choix pédagogiques'!$C$3=1,'Choix pédagogiques'!$C$3=2),$BN470=1),I470,IF(AND('Choix pédagogiques'!$C$3=3,$BO470=1),I470,""))</f>
        <v/>
      </c>
      <c r="AE470" s="22" t="str">
        <f t="shared" si="362"/>
        <v/>
      </c>
      <c r="AF470" s="21" t="str">
        <f t="shared" si="363"/>
        <v>Apprenant 458</v>
      </c>
      <c r="AG470" s="22" t="str">
        <f t="shared" si="337"/>
        <v/>
      </c>
      <c r="AH470" s="22" t="str">
        <f t="shared" si="338"/>
        <v/>
      </c>
      <c r="AI470" s="22" t="str">
        <f t="shared" si="339"/>
        <v/>
      </c>
      <c r="AJ470" s="22" t="str">
        <f t="shared" si="364"/>
        <v/>
      </c>
      <c r="AK470" s="21" t="str">
        <f t="shared" si="365"/>
        <v>Apprenant 458 ou 458'</v>
      </c>
      <c r="AL470" s="22" t="str">
        <f t="shared" si="340"/>
        <v/>
      </c>
      <c r="AM470" s="22" t="str">
        <f t="shared" si="341"/>
        <v/>
      </c>
      <c r="AN470" s="22" t="str">
        <f t="shared" si="342"/>
        <v/>
      </c>
      <c r="AO470" s="22" t="str">
        <f t="shared" si="366"/>
        <v/>
      </c>
      <c r="AQ470" s="21" t="str">
        <f t="shared" si="367"/>
        <v>Apprenant 458</v>
      </c>
      <c r="AR470" s="49" t="str">
        <f>IF(AND('Choix pédagogiques'!$C$4&lt;&gt;"?",'Choix pédagogiques'!$C$5&lt;&gt;"?",W470&lt;&gt;""),(W470-'Choix pédagogiques'!$C$4)/('Choix pédagogiques'!$C$5-'Choix pédagogiques'!$C$4),"")</f>
        <v/>
      </c>
      <c r="AS470" s="49" t="str">
        <f>IF(AND('Choix pédagogiques'!$C$4&lt;&gt;"?",'Choix pédagogiques'!$C$5&lt;&gt;"?",X470&lt;&gt;""),(X470-'Choix pédagogiques'!$C$4)/('Choix pédagogiques'!$C$5-'Choix pédagogiques'!$C$4),"")</f>
        <v/>
      </c>
      <c r="AT470" s="49" t="str">
        <f>IF(AND('Choix pédagogiques'!$C$4&lt;&gt;"?",'Choix pédagogiques'!$C$5&lt;&gt;"?",Y470&lt;&gt;""),(Y470-'Choix pédagogiques'!$C$4)/('Choix pédagogiques'!$C$5-'Choix pédagogiques'!$C$4),"")</f>
        <v/>
      </c>
      <c r="AU470" s="22" t="str">
        <f t="shared" si="368"/>
        <v/>
      </c>
      <c r="AV470" s="21" t="str">
        <f t="shared" si="369"/>
        <v>Apprenant 458 ou 458'</v>
      </c>
      <c r="AW470" s="49" t="str">
        <f>IF(AND('Choix pédagogiques'!$C$4&lt;&gt;"?",'Choix pédagogiques'!$C$5&lt;&gt;"?",AB470&lt;&gt;""),(AB470-'Choix pédagogiques'!$C$4)/('Choix pédagogiques'!$C$5-'Choix pédagogiques'!$C$4),"")</f>
        <v/>
      </c>
      <c r="AX470" s="49" t="str">
        <f>IF(AND('Choix pédagogiques'!$C$4&lt;&gt;"?",'Choix pédagogiques'!$C$5&lt;&gt;"?",AC470&lt;&gt;""),(AC470-'Choix pédagogiques'!$C$4)/('Choix pédagogiques'!$C$5-'Choix pédagogiques'!$C$4),"")</f>
        <v/>
      </c>
      <c r="AY470" s="49" t="str">
        <f>IF(AND('Choix pédagogiques'!$C$4&lt;&gt;"?",'Choix pédagogiques'!$C$5&lt;&gt;"?",AD470&lt;&gt;""),(AD470-'Choix pédagogiques'!$C$4)/('Choix pédagogiques'!$C$5-'Choix pédagogiques'!$C$4),"")</f>
        <v/>
      </c>
      <c r="AZ470" s="22" t="str">
        <f t="shared" si="370"/>
        <v/>
      </c>
      <c r="BA470" s="21" t="str">
        <f t="shared" si="371"/>
        <v>Apprenant 458</v>
      </c>
      <c r="BB470" s="49" t="str">
        <f t="shared" si="343"/>
        <v/>
      </c>
      <c r="BC470" s="49" t="str">
        <f t="shared" si="344"/>
        <v/>
      </c>
      <c r="BD470" s="49" t="str">
        <f t="shared" si="345"/>
        <v/>
      </c>
      <c r="BE470" s="22" t="str">
        <f t="shared" si="372"/>
        <v/>
      </c>
      <c r="BF470" s="21" t="str">
        <f t="shared" si="373"/>
        <v>Apprenant 458 ou 458'</v>
      </c>
      <c r="BG470" s="49" t="str">
        <f t="shared" si="346"/>
        <v/>
      </c>
      <c r="BH470" s="49" t="str">
        <f t="shared" si="347"/>
        <v/>
      </c>
      <c r="BI470" s="49" t="str">
        <f t="shared" si="348"/>
        <v/>
      </c>
      <c r="BJ470" s="22" t="str">
        <f t="shared" si="374"/>
        <v/>
      </c>
      <c r="BL470" s="21"/>
      <c r="BM470" s="21" t="str">
        <f>IF(OR(COUNT(B470:D1469)=0,AND('Choix pédagogiques'!$C$3&lt;&gt;1,'Choix pédagogiques'!$C$3&lt;&gt;2)),"",IF(AND(OR('Choix pédagogiques'!$C$3=1,'Choix pédagogiques'!$C$3=2),$B470&lt;&gt;"",$C470&lt;&gt;"",$D470&lt;&gt;""),1,0))</f>
        <v/>
      </c>
      <c r="BN470" s="21" t="str">
        <f>IF(OR(COUNT(G470:I1469)=0,AND('Choix pédagogiques'!$C$3&lt;&gt;1,'Choix pédagogiques'!$C$3&lt;&gt;2)),"",IF(AND(OR('Choix pédagogiques'!$C$3=1,'Choix pédagogiques'!$C$3=2),AND($G470&lt;&gt;"",$H470&lt;&gt;"",$I470&lt;&gt;"")),1,0))</f>
        <v/>
      </c>
      <c r="BO470" s="21" t="str">
        <f>IF(OR(COUNT(B470:D1469)=0,COUNT(G470:I1469)=0,'Choix pédagogiques'!C$3&lt;&gt;3),"",IF(AND('Choix pédagogiques'!$C$3=3,$B470&lt;&gt;"",$C470&lt;&gt;"",$D470&lt;&gt;"",$G470&lt;&gt;"",$H470&lt;&gt;"",$I470&lt;&gt;""),1,0))</f>
        <v/>
      </c>
      <c r="BR470" s="21">
        <v>293</v>
      </c>
      <c r="BS470" s="21">
        <v>1271</v>
      </c>
      <c r="BT470"/>
    </row>
    <row r="471" spans="1:72" s="23" customFormat="1" ht="18" customHeight="1" x14ac:dyDescent="0.3">
      <c r="A471" s="35" t="s">
        <v>461</v>
      </c>
      <c r="B471" s="37"/>
      <c r="C471" s="37"/>
      <c r="D471" s="37"/>
      <c r="E471" s="37"/>
      <c r="F471" s="35" t="s">
        <v>1469</v>
      </c>
      <c r="G471" s="37"/>
      <c r="H471" s="37"/>
      <c r="I471" s="37"/>
      <c r="J471" s="37"/>
      <c r="K471" s="21" t="str">
        <f t="shared" si="349"/>
        <v>Apprenant 459</v>
      </c>
      <c r="L471" s="22" t="str">
        <f t="shared" si="350"/>
        <v/>
      </c>
      <c r="M471" s="22" t="str">
        <f t="shared" si="351"/>
        <v/>
      </c>
      <c r="N471" s="22" t="str">
        <f t="shared" si="352"/>
        <v/>
      </c>
      <c r="O471" s="22" t="str">
        <f t="shared" si="353"/>
        <v/>
      </c>
      <c r="P471" s="21" t="str">
        <f t="shared" si="354"/>
        <v>Apprenant 459 ou 459'</v>
      </c>
      <c r="Q471" s="22" t="str">
        <f t="shared" si="355"/>
        <v/>
      </c>
      <c r="R471" s="22" t="str">
        <f t="shared" si="356"/>
        <v/>
      </c>
      <c r="S471" s="22" t="str">
        <f t="shared" si="357"/>
        <v/>
      </c>
      <c r="T471" s="22" t="str">
        <f t="shared" si="358"/>
        <v/>
      </c>
      <c r="V471" s="21" t="str">
        <f t="shared" si="359"/>
        <v>Apprenant 459</v>
      </c>
      <c r="W471" s="22" t="str">
        <f>IF(AND(OR('Choix pédagogiques'!$C$3=1,'Choix pédagogiques'!$C$3=2),$BM471=1),B471,IF(AND('Choix pédagogiques'!$C$3=3,$BO471=1),B471,""))</f>
        <v/>
      </c>
      <c r="X471" s="22" t="str">
        <f>IF(AND(OR('Choix pédagogiques'!$C$3=1,'Choix pédagogiques'!$C$3=2),$BM471=1),C471,IF(AND('Choix pédagogiques'!$C$3=3,$BO471=1),C471,""))</f>
        <v/>
      </c>
      <c r="Y471" s="22" t="str">
        <f>IF(AND(OR('Choix pédagogiques'!$C$3=1,'Choix pédagogiques'!$C$3=2),$BM471=1),D471,IF(AND('Choix pédagogiques'!$C$3=3,$BO471=1),D471,""))</f>
        <v/>
      </c>
      <c r="Z471" s="22" t="str">
        <f t="shared" si="360"/>
        <v/>
      </c>
      <c r="AA471" s="21" t="str">
        <f t="shared" si="361"/>
        <v>Apprenant 459 ou 459'</v>
      </c>
      <c r="AB471" s="22" t="str">
        <f>IF(AND(OR('Choix pédagogiques'!$C$3=1,'Choix pédagogiques'!$C$3=2),$BN471=1),G471,IF(AND('Choix pédagogiques'!$C$3=3,$BO471=1),G471,""))</f>
        <v/>
      </c>
      <c r="AC471" s="22" t="str">
        <f>IF(AND(OR('Choix pédagogiques'!$C$3=1,'Choix pédagogiques'!$C$3=2),$BN471=1),H471,IF(AND('Choix pédagogiques'!$C$3=3,$BO471=1),H471,""))</f>
        <v/>
      </c>
      <c r="AD471" s="22" t="str">
        <f>IF(AND(OR('Choix pédagogiques'!$C$3=1,'Choix pédagogiques'!$C$3=2),$BN471=1),I471,IF(AND('Choix pédagogiques'!$C$3=3,$BO471=1),I471,""))</f>
        <v/>
      </c>
      <c r="AE471" s="22" t="str">
        <f t="shared" si="362"/>
        <v/>
      </c>
      <c r="AF471" s="21" t="str">
        <f t="shared" si="363"/>
        <v>Apprenant 459</v>
      </c>
      <c r="AG471" s="22" t="str">
        <f t="shared" si="337"/>
        <v/>
      </c>
      <c r="AH471" s="22" t="str">
        <f t="shared" si="338"/>
        <v/>
      </c>
      <c r="AI471" s="22" t="str">
        <f t="shared" si="339"/>
        <v/>
      </c>
      <c r="AJ471" s="22" t="str">
        <f t="shared" si="364"/>
        <v/>
      </c>
      <c r="AK471" s="21" t="str">
        <f t="shared" si="365"/>
        <v>Apprenant 459 ou 459'</v>
      </c>
      <c r="AL471" s="22" t="str">
        <f t="shared" si="340"/>
        <v/>
      </c>
      <c r="AM471" s="22" t="str">
        <f t="shared" si="341"/>
        <v/>
      </c>
      <c r="AN471" s="22" t="str">
        <f t="shared" si="342"/>
        <v/>
      </c>
      <c r="AO471" s="22" t="str">
        <f t="shared" si="366"/>
        <v/>
      </c>
      <c r="AQ471" s="21" t="str">
        <f t="shared" si="367"/>
        <v>Apprenant 459</v>
      </c>
      <c r="AR471" s="49" t="str">
        <f>IF(AND('Choix pédagogiques'!$C$4&lt;&gt;"?",'Choix pédagogiques'!$C$5&lt;&gt;"?",W471&lt;&gt;""),(W471-'Choix pédagogiques'!$C$4)/('Choix pédagogiques'!$C$5-'Choix pédagogiques'!$C$4),"")</f>
        <v/>
      </c>
      <c r="AS471" s="49" t="str">
        <f>IF(AND('Choix pédagogiques'!$C$4&lt;&gt;"?",'Choix pédagogiques'!$C$5&lt;&gt;"?",X471&lt;&gt;""),(X471-'Choix pédagogiques'!$C$4)/('Choix pédagogiques'!$C$5-'Choix pédagogiques'!$C$4),"")</f>
        <v/>
      </c>
      <c r="AT471" s="49" t="str">
        <f>IF(AND('Choix pédagogiques'!$C$4&lt;&gt;"?",'Choix pédagogiques'!$C$5&lt;&gt;"?",Y471&lt;&gt;""),(Y471-'Choix pédagogiques'!$C$4)/('Choix pédagogiques'!$C$5-'Choix pédagogiques'!$C$4),"")</f>
        <v/>
      </c>
      <c r="AU471" s="22" t="str">
        <f t="shared" si="368"/>
        <v/>
      </c>
      <c r="AV471" s="21" t="str">
        <f t="shared" si="369"/>
        <v>Apprenant 459 ou 459'</v>
      </c>
      <c r="AW471" s="49" t="str">
        <f>IF(AND('Choix pédagogiques'!$C$4&lt;&gt;"?",'Choix pédagogiques'!$C$5&lt;&gt;"?",AB471&lt;&gt;""),(AB471-'Choix pédagogiques'!$C$4)/('Choix pédagogiques'!$C$5-'Choix pédagogiques'!$C$4),"")</f>
        <v/>
      </c>
      <c r="AX471" s="49" t="str">
        <f>IF(AND('Choix pédagogiques'!$C$4&lt;&gt;"?",'Choix pédagogiques'!$C$5&lt;&gt;"?",AC471&lt;&gt;""),(AC471-'Choix pédagogiques'!$C$4)/('Choix pédagogiques'!$C$5-'Choix pédagogiques'!$C$4),"")</f>
        <v/>
      </c>
      <c r="AY471" s="49" t="str">
        <f>IF(AND('Choix pédagogiques'!$C$4&lt;&gt;"?",'Choix pédagogiques'!$C$5&lt;&gt;"?",AD471&lt;&gt;""),(AD471-'Choix pédagogiques'!$C$4)/('Choix pédagogiques'!$C$5-'Choix pédagogiques'!$C$4),"")</f>
        <v/>
      </c>
      <c r="AZ471" s="22" t="str">
        <f t="shared" si="370"/>
        <v/>
      </c>
      <c r="BA471" s="21" t="str">
        <f t="shared" si="371"/>
        <v>Apprenant 459</v>
      </c>
      <c r="BB471" s="49" t="str">
        <f t="shared" si="343"/>
        <v/>
      </c>
      <c r="BC471" s="49" t="str">
        <f t="shared" si="344"/>
        <v/>
      </c>
      <c r="BD471" s="49" t="str">
        <f t="shared" si="345"/>
        <v/>
      </c>
      <c r="BE471" s="22" t="str">
        <f t="shared" si="372"/>
        <v/>
      </c>
      <c r="BF471" s="21" t="str">
        <f t="shared" si="373"/>
        <v>Apprenant 459 ou 459'</v>
      </c>
      <c r="BG471" s="49" t="str">
        <f t="shared" si="346"/>
        <v/>
      </c>
      <c r="BH471" s="49" t="str">
        <f t="shared" si="347"/>
        <v/>
      </c>
      <c r="BI471" s="49" t="str">
        <f t="shared" si="348"/>
        <v/>
      </c>
      <c r="BJ471" s="22" t="str">
        <f t="shared" si="374"/>
        <v/>
      </c>
      <c r="BL471" s="21"/>
      <c r="BM471" s="21" t="str">
        <f>IF(OR(COUNT(B471:D1470)=0,AND('Choix pédagogiques'!$C$3&lt;&gt;1,'Choix pédagogiques'!$C$3&lt;&gt;2)),"",IF(AND(OR('Choix pédagogiques'!$C$3=1,'Choix pédagogiques'!$C$3=2),$B471&lt;&gt;"",$C471&lt;&gt;"",$D471&lt;&gt;""),1,0))</f>
        <v/>
      </c>
      <c r="BN471" s="21" t="str">
        <f>IF(OR(COUNT(G471:I1470)=0,AND('Choix pédagogiques'!$C$3&lt;&gt;1,'Choix pédagogiques'!$C$3&lt;&gt;2)),"",IF(AND(OR('Choix pédagogiques'!$C$3=1,'Choix pédagogiques'!$C$3=2),AND($G471&lt;&gt;"",$H471&lt;&gt;"",$I471&lt;&gt;"")),1,0))</f>
        <v/>
      </c>
      <c r="BO471" s="21" t="str">
        <f>IF(OR(COUNT(B471:D1470)=0,COUNT(G471:I1470)=0,'Choix pédagogiques'!C$3&lt;&gt;3),"",IF(AND('Choix pédagogiques'!$C$3=3,$B471&lt;&gt;"",$C471&lt;&gt;"",$D471&lt;&gt;"",$G471&lt;&gt;"",$H471&lt;&gt;"",$I471&lt;&gt;""),1,0))</f>
        <v/>
      </c>
      <c r="BR471" s="21">
        <v>346</v>
      </c>
      <c r="BS471" s="21">
        <v>1988</v>
      </c>
      <c r="BT471"/>
    </row>
    <row r="472" spans="1:72" s="23" customFormat="1" ht="18" customHeight="1" x14ac:dyDescent="0.3">
      <c r="A472" s="35" t="s">
        <v>462</v>
      </c>
      <c r="B472" s="37"/>
      <c r="C472" s="37"/>
      <c r="D472" s="37"/>
      <c r="E472" s="37"/>
      <c r="F472" s="35" t="s">
        <v>1470</v>
      </c>
      <c r="G472" s="37"/>
      <c r="H472" s="37"/>
      <c r="I472" s="37"/>
      <c r="J472" s="37"/>
      <c r="K472" s="21" t="str">
        <f t="shared" si="349"/>
        <v>Apprenant 460</v>
      </c>
      <c r="L472" s="22" t="str">
        <f t="shared" si="350"/>
        <v/>
      </c>
      <c r="M472" s="22" t="str">
        <f t="shared" si="351"/>
        <v/>
      </c>
      <c r="N472" s="22" t="str">
        <f t="shared" si="352"/>
        <v/>
      </c>
      <c r="O472" s="22" t="str">
        <f t="shared" si="353"/>
        <v/>
      </c>
      <c r="P472" s="21" t="str">
        <f t="shared" si="354"/>
        <v>Apprenant 460 ou 460'</v>
      </c>
      <c r="Q472" s="22" t="str">
        <f t="shared" si="355"/>
        <v/>
      </c>
      <c r="R472" s="22" t="str">
        <f t="shared" si="356"/>
        <v/>
      </c>
      <c r="S472" s="22" t="str">
        <f t="shared" si="357"/>
        <v/>
      </c>
      <c r="T472" s="22" t="str">
        <f t="shared" si="358"/>
        <v/>
      </c>
      <c r="V472" s="21" t="str">
        <f t="shared" si="359"/>
        <v>Apprenant 460</v>
      </c>
      <c r="W472" s="22" t="str">
        <f>IF(AND(OR('Choix pédagogiques'!$C$3=1,'Choix pédagogiques'!$C$3=2),$BM472=1),B472,IF(AND('Choix pédagogiques'!$C$3=3,$BO472=1),B472,""))</f>
        <v/>
      </c>
      <c r="X472" s="22" t="str">
        <f>IF(AND(OR('Choix pédagogiques'!$C$3=1,'Choix pédagogiques'!$C$3=2),$BM472=1),C472,IF(AND('Choix pédagogiques'!$C$3=3,$BO472=1),C472,""))</f>
        <v/>
      </c>
      <c r="Y472" s="22" t="str">
        <f>IF(AND(OR('Choix pédagogiques'!$C$3=1,'Choix pédagogiques'!$C$3=2),$BM472=1),D472,IF(AND('Choix pédagogiques'!$C$3=3,$BO472=1),D472,""))</f>
        <v/>
      </c>
      <c r="Z472" s="22" t="str">
        <f t="shared" si="360"/>
        <v/>
      </c>
      <c r="AA472" s="21" t="str">
        <f t="shared" si="361"/>
        <v>Apprenant 460 ou 460'</v>
      </c>
      <c r="AB472" s="22" t="str">
        <f>IF(AND(OR('Choix pédagogiques'!$C$3=1,'Choix pédagogiques'!$C$3=2),$BN472=1),G472,IF(AND('Choix pédagogiques'!$C$3=3,$BO472=1),G472,""))</f>
        <v/>
      </c>
      <c r="AC472" s="22" t="str">
        <f>IF(AND(OR('Choix pédagogiques'!$C$3=1,'Choix pédagogiques'!$C$3=2),$BN472=1),H472,IF(AND('Choix pédagogiques'!$C$3=3,$BO472=1),H472,""))</f>
        <v/>
      </c>
      <c r="AD472" s="22" t="str">
        <f>IF(AND(OR('Choix pédagogiques'!$C$3=1,'Choix pédagogiques'!$C$3=2),$BN472=1),I472,IF(AND('Choix pédagogiques'!$C$3=3,$BO472=1),I472,""))</f>
        <v/>
      </c>
      <c r="AE472" s="22" t="str">
        <f t="shared" si="362"/>
        <v/>
      </c>
      <c r="AF472" s="21" t="str">
        <f t="shared" si="363"/>
        <v>Apprenant 460</v>
      </c>
      <c r="AG472" s="22" t="str">
        <f t="shared" si="337"/>
        <v/>
      </c>
      <c r="AH472" s="22" t="str">
        <f t="shared" si="338"/>
        <v/>
      </c>
      <c r="AI472" s="22" t="str">
        <f t="shared" si="339"/>
        <v/>
      </c>
      <c r="AJ472" s="22" t="str">
        <f t="shared" si="364"/>
        <v/>
      </c>
      <c r="AK472" s="21" t="str">
        <f t="shared" si="365"/>
        <v>Apprenant 460 ou 460'</v>
      </c>
      <c r="AL472" s="22" t="str">
        <f t="shared" si="340"/>
        <v/>
      </c>
      <c r="AM472" s="22" t="str">
        <f t="shared" si="341"/>
        <v/>
      </c>
      <c r="AN472" s="22" t="str">
        <f t="shared" si="342"/>
        <v/>
      </c>
      <c r="AO472" s="22" t="str">
        <f t="shared" si="366"/>
        <v/>
      </c>
      <c r="AQ472" s="21" t="str">
        <f t="shared" si="367"/>
        <v>Apprenant 460</v>
      </c>
      <c r="AR472" s="49" t="str">
        <f>IF(AND('Choix pédagogiques'!$C$4&lt;&gt;"?",'Choix pédagogiques'!$C$5&lt;&gt;"?",W472&lt;&gt;""),(W472-'Choix pédagogiques'!$C$4)/('Choix pédagogiques'!$C$5-'Choix pédagogiques'!$C$4),"")</f>
        <v/>
      </c>
      <c r="AS472" s="49" t="str">
        <f>IF(AND('Choix pédagogiques'!$C$4&lt;&gt;"?",'Choix pédagogiques'!$C$5&lt;&gt;"?",X472&lt;&gt;""),(X472-'Choix pédagogiques'!$C$4)/('Choix pédagogiques'!$C$5-'Choix pédagogiques'!$C$4),"")</f>
        <v/>
      </c>
      <c r="AT472" s="49" t="str">
        <f>IF(AND('Choix pédagogiques'!$C$4&lt;&gt;"?",'Choix pédagogiques'!$C$5&lt;&gt;"?",Y472&lt;&gt;""),(Y472-'Choix pédagogiques'!$C$4)/('Choix pédagogiques'!$C$5-'Choix pédagogiques'!$C$4),"")</f>
        <v/>
      </c>
      <c r="AU472" s="22" t="str">
        <f t="shared" si="368"/>
        <v/>
      </c>
      <c r="AV472" s="21" t="str">
        <f t="shared" si="369"/>
        <v>Apprenant 460 ou 460'</v>
      </c>
      <c r="AW472" s="49" t="str">
        <f>IF(AND('Choix pédagogiques'!$C$4&lt;&gt;"?",'Choix pédagogiques'!$C$5&lt;&gt;"?",AB472&lt;&gt;""),(AB472-'Choix pédagogiques'!$C$4)/('Choix pédagogiques'!$C$5-'Choix pédagogiques'!$C$4),"")</f>
        <v/>
      </c>
      <c r="AX472" s="49" t="str">
        <f>IF(AND('Choix pédagogiques'!$C$4&lt;&gt;"?",'Choix pédagogiques'!$C$5&lt;&gt;"?",AC472&lt;&gt;""),(AC472-'Choix pédagogiques'!$C$4)/('Choix pédagogiques'!$C$5-'Choix pédagogiques'!$C$4),"")</f>
        <v/>
      </c>
      <c r="AY472" s="49" t="str">
        <f>IF(AND('Choix pédagogiques'!$C$4&lt;&gt;"?",'Choix pédagogiques'!$C$5&lt;&gt;"?",AD472&lt;&gt;""),(AD472-'Choix pédagogiques'!$C$4)/('Choix pédagogiques'!$C$5-'Choix pédagogiques'!$C$4),"")</f>
        <v/>
      </c>
      <c r="AZ472" s="22" t="str">
        <f t="shared" si="370"/>
        <v/>
      </c>
      <c r="BA472" s="21" t="str">
        <f t="shared" si="371"/>
        <v>Apprenant 460</v>
      </c>
      <c r="BB472" s="49" t="str">
        <f t="shared" si="343"/>
        <v/>
      </c>
      <c r="BC472" s="49" t="str">
        <f t="shared" si="344"/>
        <v/>
      </c>
      <c r="BD472" s="49" t="str">
        <f t="shared" si="345"/>
        <v/>
      </c>
      <c r="BE472" s="22" t="str">
        <f t="shared" si="372"/>
        <v/>
      </c>
      <c r="BF472" s="21" t="str">
        <f t="shared" si="373"/>
        <v>Apprenant 460 ou 460'</v>
      </c>
      <c r="BG472" s="49" t="str">
        <f t="shared" si="346"/>
        <v/>
      </c>
      <c r="BH472" s="49" t="str">
        <f t="shared" si="347"/>
        <v/>
      </c>
      <c r="BI472" s="49" t="str">
        <f t="shared" si="348"/>
        <v/>
      </c>
      <c r="BJ472" s="22" t="str">
        <f t="shared" si="374"/>
        <v/>
      </c>
      <c r="BL472" s="21"/>
      <c r="BM472" s="21" t="str">
        <f>IF(OR(COUNT(B472:D1471)=0,AND('Choix pédagogiques'!$C$3&lt;&gt;1,'Choix pédagogiques'!$C$3&lt;&gt;2)),"",IF(AND(OR('Choix pédagogiques'!$C$3=1,'Choix pédagogiques'!$C$3=2),$B472&lt;&gt;"",$C472&lt;&gt;"",$D472&lt;&gt;""),1,0))</f>
        <v/>
      </c>
      <c r="BN472" s="21" t="str">
        <f>IF(OR(COUNT(G472:I1471)=0,AND('Choix pédagogiques'!$C$3&lt;&gt;1,'Choix pédagogiques'!$C$3&lt;&gt;2)),"",IF(AND(OR('Choix pédagogiques'!$C$3=1,'Choix pédagogiques'!$C$3=2),AND($G472&lt;&gt;"",$H472&lt;&gt;"",$I472&lt;&gt;"")),1,0))</f>
        <v/>
      </c>
      <c r="BO472" s="21" t="str">
        <f>IF(OR(COUNT(B472:D1471)=0,COUNT(G472:I1471)=0,'Choix pédagogiques'!C$3&lt;&gt;3),"",IF(AND('Choix pédagogiques'!$C$3=3,$B472&lt;&gt;"",$C472&lt;&gt;"",$D472&lt;&gt;"",$G472&lt;&gt;"",$H472&lt;&gt;"",$I472&lt;&gt;""),1,0))</f>
        <v/>
      </c>
      <c r="BR472" s="21">
        <v>764</v>
      </c>
      <c r="BS472" s="21">
        <v>1163</v>
      </c>
      <c r="BT472"/>
    </row>
    <row r="473" spans="1:72" s="23" customFormat="1" ht="18" customHeight="1" x14ac:dyDescent="0.3">
      <c r="A473" s="35" t="s">
        <v>463</v>
      </c>
      <c r="B473" s="37"/>
      <c r="C473" s="37"/>
      <c r="D473" s="37"/>
      <c r="E473" s="37"/>
      <c r="F473" s="35" t="s">
        <v>1471</v>
      </c>
      <c r="G473" s="37"/>
      <c r="H473" s="37"/>
      <c r="I473" s="37"/>
      <c r="J473" s="37"/>
      <c r="K473" s="21" t="str">
        <f t="shared" si="349"/>
        <v>Apprenant 461</v>
      </c>
      <c r="L473" s="22" t="str">
        <f t="shared" si="350"/>
        <v/>
      </c>
      <c r="M473" s="22" t="str">
        <f t="shared" si="351"/>
        <v/>
      </c>
      <c r="N473" s="22" t="str">
        <f t="shared" si="352"/>
        <v/>
      </c>
      <c r="O473" s="22" t="str">
        <f t="shared" si="353"/>
        <v/>
      </c>
      <c r="P473" s="21" t="str">
        <f t="shared" si="354"/>
        <v>Apprenant 461 ou 461'</v>
      </c>
      <c r="Q473" s="22" t="str">
        <f t="shared" si="355"/>
        <v/>
      </c>
      <c r="R473" s="22" t="str">
        <f t="shared" si="356"/>
        <v/>
      </c>
      <c r="S473" s="22" t="str">
        <f t="shared" si="357"/>
        <v/>
      </c>
      <c r="T473" s="22" t="str">
        <f t="shared" si="358"/>
        <v/>
      </c>
      <c r="V473" s="21" t="str">
        <f t="shared" si="359"/>
        <v>Apprenant 461</v>
      </c>
      <c r="W473" s="22" t="str">
        <f>IF(AND(OR('Choix pédagogiques'!$C$3=1,'Choix pédagogiques'!$C$3=2),$BM473=1),B473,IF(AND('Choix pédagogiques'!$C$3=3,$BO473=1),B473,""))</f>
        <v/>
      </c>
      <c r="X473" s="22" t="str">
        <f>IF(AND(OR('Choix pédagogiques'!$C$3=1,'Choix pédagogiques'!$C$3=2),$BM473=1),C473,IF(AND('Choix pédagogiques'!$C$3=3,$BO473=1),C473,""))</f>
        <v/>
      </c>
      <c r="Y473" s="22" t="str">
        <f>IF(AND(OR('Choix pédagogiques'!$C$3=1,'Choix pédagogiques'!$C$3=2),$BM473=1),D473,IF(AND('Choix pédagogiques'!$C$3=3,$BO473=1),D473,""))</f>
        <v/>
      </c>
      <c r="Z473" s="22" t="str">
        <f t="shared" si="360"/>
        <v/>
      </c>
      <c r="AA473" s="21" t="str">
        <f t="shared" si="361"/>
        <v>Apprenant 461 ou 461'</v>
      </c>
      <c r="AB473" s="22" t="str">
        <f>IF(AND(OR('Choix pédagogiques'!$C$3=1,'Choix pédagogiques'!$C$3=2),$BN473=1),G473,IF(AND('Choix pédagogiques'!$C$3=3,$BO473=1),G473,""))</f>
        <v/>
      </c>
      <c r="AC473" s="22" t="str">
        <f>IF(AND(OR('Choix pédagogiques'!$C$3=1,'Choix pédagogiques'!$C$3=2),$BN473=1),H473,IF(AND('Choix pédagogiques'!$C$3=3,$BO473=1),H473,""))</f>
        <v/>
      </c>
      <c r="AD473" s="22" t="str">
        <f>IF(AND(OR('Choix pédagogiques'!$C$3=1,'Choix pédagogiques'!$C$3=2),$BN473=1),I473,IF(AND('Choix pédagogiques'!$C$3=3,$BO473=1),I473,""))</f>
        <v/>
      </c>
      <c r="AE473" s="22" t="str">
        <f t="shared" si="362"/>
        <v/>
      </c>
      <c r="AF473" s="21" t="str">
        <f t="shared" si="363"/>
        <v>Apprenant 461</v>
      </c>
      <c r="AG473" s="22" t="str">
        <f t="shared" si="337"/>
        <v/>
      </c>
      <c r="AH473" s="22" t="str">
        <f t="shared" si="338"/>
        <v/>
      </c>
      <c r="AI473" s="22" t="str">
        <f t="shared" si="339"/>
        <v/>
      </c>
      <c r="AJ473" s="22" t="str">
        <f t="shared" si="364"/>
        <v/>
      </c>
      <c r="AK473" s="21" t="str">
        <f t="shared" si="365"/>
        <v>Apprenant 461 ou 461'</v>
      </c>
      <c r="AL473" s="22" t="str">
        <f t="shared" si="340"/>
        <v/>
      </c>
      <c r="AM473" s="22" t="str">
        <f t="shared" si="341"/>
        <v/>
      </c>
      <c r="AN473" s="22" t="str">
        <f t="shared" si="342"/>
        <v/>
      </c>
      <c r="AO473" s="22" t="str">
        <f t="shared" si="366"/>
        <v/>
      </c>
      <c r="AQ473" s="21" t="str">
        <f t="shared" si="367"/>
        <v>Apprenant 461</v>
      </c>
      <c r="AR473" s="49" t="str">
        <f>IF(AND('Choix pédagogiques'!$C$4&lt;&gt;"?",'Choix pédagogiques'!$C$5&lt;&gt;"?",W473&lt;&gt;""),(W473-'Choix pédagogiques'!$C$4)/('Choix pédagogiques'!$C$5-'Choix pédagogiques'!$C$4),"")</f>
        <v/>
      </c>
      <c r="AS473" s="49" t="str">
        <f>IF(AND('Choix pédagogiques'!$C$4&lt;&gt;"?",'Choix pédagogiques'!$C$5&lt;&gt;"?",X473&lt;&gt;""),(X473-'Choix pédagogiques'!$C$4)/('Choix pédagogiques'!$C$5-'Choix pédagogiques'!$C$4),"")</f>
        <v/>
      </c>
      <c r="AT473" s="49" t="str">
        <f>IF(AND('Choix pédagogiques'!$C$4&lt;&gt;"?",'Choix pédagogiques'!$C$5&lt;&gt;"?",Y473&lt;&gt;""),(Y473-'Choix pédagogiques'!$C$4)/('Choix pédagogiques'!$C$5-'Choix pédagogiques'!$C$4),"")</f>
        <v/>
      </c>
      <c r="AU473" s="22" t="str">
        <f t="shared" si="368"/>
        <v/>
      </c>
      <c r="AV473" s="21" t="str">
        <f t="shared" si="369"/>
        <v>Apprenant 461 ou 461'</v>
      </c>
      <c r="AW473" s="49" t="str">
        <f>IF(AND('Choix pédagogiques'!$C$4&lt;&gt;"?",'Choix pédagogiques'!$C$5&lt;&gt;"?",AB473&lt;&gt;""),(AB473-'Choix pédagogiques'!$C$4)/('Choix pédagogiques'!$C$5-'Choix pédagogiques'!$C$4),"")</f>
        <v/>
      </c>
      <c r="AX473" s="49" t="str">
        <f>IF(AND('Choix pédagogiques'!$C$4&lt;&gt;"?",'Choix pédagogiques'!$C$5&lt;&gt;"?",AC473&lt;&gt;""),(AC473-'Choix pédagogiques'!$C$4)/('Choix pédagogiques'!$C$5-'Choix pédagogiques'!$C$4),"")</f>
        <v/>
      </c>
      <c r="AY473" s="49" t="str">
        <f>IF(AND('Choix pédagogiques'!$C$4&lt;&gt;"?",'Choix pédagogiques'!$C$5&lt;&gt;"?",AD473&lt;&gt;""),(AD473-'Choix pédagogiques'!$C$4)/('Choix pédagogiques'!$C$5-'Choix pédagogiques'!$C$4),"")</f>
        <v/>
      </c>
      <c r="AZ473" s="22" t="str">
        <f t="shared" si="370"/>
        <v/>
      </c>
      <c r="BA473" s="21" t="str">
        <f t="shared" si="371"/>
        <v>Apprenant 461</v>
      </c>
      <c r="BB473" s="49" t="str">
        <f t="shared" si="343"/>
        <v/>
      </c>
      <c r="BC473" s="49" t="str">
        <f t="shared" si="344"/>
        <v/>
      </c>
      <c r="BD473" s="49" t="str">
        <f t="shared" si="345"/>
        <v/>
      </c>
      <c r="BE473" s="22" t="str">
        <f t="shared" si="372"/>
        <v/>
      </c>
      <c r="BF473" s="21" t="str">
        <f t="shared" si="373"/>
        <v>Apprenant 461 ou 461'</v>
      </c>
      <c r="BG473" s="49" t="str">
        <f t="shared" si="346"/>
        <v/>
      </c>
      <c r="BH473" s="49" t="str">
        <f t="shared" si="347"/>
        <v/>
      </c>
      <c r="BI473" s="49" t="str">
        <f t="shared" si="348"/>
        <v/>
      </c>
      <c r="BJ473" s="22" t="str">
        <f t="shared" si="374"/>
        <v/>
      </c>
      <c r="BL473" s="21"/>
      <c r="BM473" s="21" t="str">
        <f>IF(OR(COUNT(B473:D1472)=0,AND('Choix pédagogiques'!$C$3&lt;&gt;1,'Choix pédagogiques'!$C$3&lt;&gt;2)),"",IF(AND(OR('Choix pédagogiques'!$C$3=1,'Choix pédagogiques'!$C$3=2),$B473&lt;&gt;"",$C473&lt;&gt;"",$D473&lt;&gt;""),1,0))</f>
        <v/>
      </c>
      <c r="BN473" s="21" t="str">
        <f>IF(OR(COUNT(G473:I1472)=0,AND('Choix pédagogiques'!$C$3&lt;&gt;1,'Choix pédagogiques'!$C$3&lt;&gt;2)),"",IF(AND(OR('Choix pédagogiques'!$C$3=1,'Choix pédagogiques'!$C$3=2),AND($G473&lt;&gt;"",$H473&lt;&gt;"",$I473&lt;&gt;"")),1,0))</f>
        <v/>
      </c>
      <c r="BO473" s="21" t="str">
        <f>IF(OR(COUNT(B473:D1472)=0,COUNT(G473:I1472)=0,'Choix pédagogiques'!C$3&lt;&gt;3),"",IF(AND('Choix pédagogiques'!$C$3=3,$B473&lt;&gt;"",$C473&lt;&gt;"",$D473&lt;&gt;"",$G473&lt;&gt;"",$H473&lt;&gt;"",$I473&lt;&gt;""),1,0))</f>
        <v/>
      </c>
      <c r="BR473" s="21">
        <v>625</v>
      </c>
      <c r="BS473" s="21">
        <v>1780</v>
      </c>
      <c r="BT473"/>
    </row>
    <row r="474" spans="1:72" s="23" customFormat="1" ht="18" customHeight="1" x14ac:dyDescent="0.3">
      <c r="A474" s="35" t="s">
        <v>464</v>
      </c>
      <c r="B474" s="37"/>
      <c r="C474" s="37"/>
      <c r="D474" s="37"/>
      <c r="E474" s="37"/>
      <c r="F474" s="35" t="s">
        <v>1472</v>
      </c>
      <c r="G474" s="37"/>
      <c r="H474" s="37"/>
      <c r="I474" s="37"/>
      <c r="J474" s="37"/>
      <c r="K474" s="21" t="str">
        <f t="shared" si="349"/>
        <v>Apprenant 462</v>
      </c>
      <c r="L474" s="22" t="str">
        <f t="shared" si="350"/>
        <v/>
      </c>
      <c r="M474" s="22" t="str">
        <f t="shared" si="351"/>
        <v/>
      </c>
      <c r="N474" s="22" t="str">
        <f t="shared" si="352"/>
        <v/>
      </c>
      <c r="O474" s="22" t="str">
        <f t="shared" si="353"/>
        <v/>
      </c>
      <c r="P474" s="21" t="str">
        <f t="shared" si="354"/>
        <v>Apprenant 462 ou 462'</v>
      </c>
      <c r="Q474" s="22" t="str">
        <f t="shared" si="355"/>
        <v/>
      </c>
      <c r="R474" s="22" t="str">
        <f t="shared" si="356"/>
        <v/>
      </c>
      <c r="S474" s="22" t="str">
        <f t="shared" si="357"/>
        <v/>
      </c>
      <c r="T474" s="22" t="str">
        <f t="shared" si="358"/>
        <v/>
      </c>
      <c r="V474" s="21" t="str">
        <f t="shared" si="359"/>
        <v>Apprenant 462</v>
      </c>
      <c r="W474" s="22" t="str">
        <f>IF(AND(OR('Choix pédagogiques'!$C$3=1,'Choix pédagogiques'!$C$3=2),$BM474=1),B474,IF(AND('Choix pédagogiques'!$C$3=3,$BO474=1),B474,""))</f>
        <v/>
      </c>
      <c r="X474" s="22" t="str">
        <f>IF(AND(OR('Choix pédagogiques'!$C$3=1,'Choix pédagogiques'!$C$3=2),$BM474=1),C474,IF(AND('Choix pédagogiques'!$C$3=3,$BO474=1),C474,""))</f>
        <v/>
      </c>
      <c r="Y474" s="22" t="str">
        <f>IF(AND(OR('Choix pédagogiques'!$C$3=1,'Choix pédagogiques'!$C$3=2),$BM474=1),D474,IF(AND('Choix pédagogiques'!$C$3=3,$BO474=1),D474,""))</f>
        <v/>
      </c>
      <c r="Z474" s="22" t="str">
        <f t="shared" si="360"/>
        <v/>
      </c>
      <c r="AA474" s="21" t="str">
        <f t="shared" si="361"/>
        <v>Apprenant 462 ou 462'</v>
      </c>
      <c r="AB474" s="22" t="str">
        <f>IF(AND(OR('Choix pédagogiques'!$C$3=1,'Choix pédagogiques'!$C$3=2),$BN474=1),G474,IF(AND('Choix pédagogiques'!$C$3=3,$BO474=1),G474,""))</f>
        <v/>
      </c>
      <c r="AC474" s="22" t="str">
        <f>IF(AND(OR('Choix pédagogiques'!$C$3=1,'Choix pédagogiques'!$C$3=2),$BN474=1),H474,IF(AND('Choix pédagogiques'!$C$3=3,$BO474=1),H474,""))</f>
        <v/>
      </c>
      <c r="AD474" s="22" t="str">
        <f>IF(AND(OR('Choix pédagogiques'!$C$3=1,'Choix pédagogiques'!$C$3=2),$BN474=1),I474,IF(AND('Choix pédagogiques'!$C$3=3,$BO474=1),I474,""))</f>
        <v/>
      </c>
      <c r="AE474" s="22" t="str">
        <f t="shared" si="362"/>
        <v/>
      </c>
      <c r="AF474" s="21" t="str">
        <f t="shared" si="363"/>
        <v>Apprenant 462</v>
      </c>
      <c r="AG474" s="22" t="str">
        <f t="shared" si="337"/>
        <v/>
      </c>
      <c r="AH474" s="22" t="str">
        <f t="shared" si="338"/>
        <v/>
      </c>
      <c r="AI474" s="22" t="str">
        <f t="shared" si="339"/>
        <v/>
      </c>
      <c r="AJ474" s="22" t="str">
        <f t="shared" si="364"/>
        <v/>
      </c>
      <c r="AK474" s="21" t="str">
        <f t="shared" si="365"/>
        <v>Apprenant 462 ou 462'</v>
      </c>
      <c r="AL474" s="22" t="str">
        <f t="shared" si="340"/>
        <v/>
      </c>
      <c r="AM474" s="22" t="str">
        <f t="shared" si="341"/>
        <v/>
      </c>
      <c r="AN474" s="22" t="str">
        <f t="shared" si="342"/>
        <v/>
      </c>
      <c r="AO474" s="22" t="str">
        <f t="shared" si="366"/>
        <v/>
      </c>
      <c r="AQ474" s="21" t="str">
        <f t="shared" si="367"/>
        <v>Apprenant 462</v>
      </c>
      <c r="AR474" s="49" t="str">
        <f>IF(AND('Choix pédagogiques'!$C$4&lt;&gt;"?",'Choix pédagogiques'!$C$5&lt;&gt;"?",W474&lt;&gt;""),(W474-'Choix pédagogiques'!$C$4)/('Choix pédagogiques'!$C$5-'Choix pédagogiques'!$C$4),"")</f>
        <v/>
      </c>
      <c r="AS474" s="49" t="str">
        <f>IF(AND('Choix pédagogiques'!$C$4&lt;&gt;"?",'Choix pédagogiques'!$C$5&lt;&gt;"?",X474&lt;&gt;""),(X474-'Choix pédagogiques'!$C$4)/('Choix pédagogiques'!$C$5-'Choix pédagogiques'!$C$4),"")</f>
        <v/>
      </c>
      <c r="AT474" s="49" t="str">
        <f>IF(AND('Choix pédagogiques'!$C$4&lt;&gt;"?",'Choix pédagogiques'!$C$5&lt;&gt;"?",Y474&lt;&gt;""),(Y474-'Choix pédagogiques'!$C$4)/('Choix pédagogiques'!$C$5-'Choix pédagogiques'!$C$4),"")</f>
        <v/>
      </c>
      <c r="AU474" s="22" t="str">
        <f t="shared" si="368"/>
        <v/>
      </c>
      <c r="AV474" s="21" t="str">
        <f t="shared" si="369"/>
        <v>Apprenant 462 ou 462'</v>
      </c>
      <c r="AW474" s="49" t="str">
        <f>IF(AND('Choix pédagogiques'!$C$4&lt;&gt;"?",'Choix pédagogiques'!$C$5&lt;&gt;"?",AB474&lt;&gt;""),(AB474-'Choix pédagogiques'!$C$4)/('Choix pédagogiques'!$C$5-'Choix pédagogiques'!$C$4),"")</f>
        <v/>
      </c>
      <c r="AX474" s="49" t="str">
        <f>IF(AND('Choix pédagogiques'!$C$4&lt;&gt;"?",'Choix pédagogiques'!$C$5&lt;&gt;"?",AC474&lt;&gt;""),(AC474-'Choix pédagogiques'!$C$4)/('Choix pédagogiques'!$C$5-'Choix pédagogiques'!$C$4),"")</f>
        <v/>
      </c>
      <c r="AY474" s="49" t="str">
        <f>IF(AND('Choix pédagogiques'!$C$4&lt;&gt;"?",'Choix pédagogiques'!$C$5&lt;&gt;"?",AD474&lt;&gt;""),(AD474-'Choix pédagogiques'!$C$4)/('Choix pédagogiques'!$C$5-'Choix pédagogiques'!$C$4),"")</f>
        <v/>
      </c>
      <c r="AZ474" s="22" t="str">
        <f t="shared" si="370"/>
        <v/>
      </c>
      <c r="BA474" s="21" t="str">
        <f t="shared" si="371"/>
        <v>Apprenant 462</v>
      </c>
      <c r="BB474" s="49" t="str">
        <f t="shared" si="343"/>
        <v/>
      </c>
      <c r="BC474" s="49" t="str">
        <f t="shared" si="344"/>
        <v/>
      </c>
      <c r="BD474" s="49" t="str">
        <f t="shared" si="345"/>
        <v/>
      </c>
      <c r="BE474" s="22" t="str">
        <f t="shared" si="372"/>
        <v/>
      </c>
      <c r="BF474" s="21" t="str">
        <f t="shared" si="373"/>
        <v>Apprenant 462 ou 462'</v>
      </c>
      <c r="BG474" s="49" t="str">
        <f t="shared" si="346"/>
        <v/>
      </c>
      <c r="BH474" s="49" t="str">
        <f t="shared" si="347"/>
        <v/>
      </c>
      <c r="BI474" s="49" t="str">
        <f t="shared" si="348"/>
        <v/>
      </c>
      <c r="BJ474" s="22" t="str">
        <f t="shared" si="374"/>
        <v/>
      </c>
      <c r="BL474" s="21"/>
      <c r="BM474" s="21" t="str">
        <f>IF(OR(COUNT(B474:D1473)=0,AND('Choix pédagogiques'!$C$3&lt;&gt;1,'Choix pédagogiques'!$C$3&lt;&gt;2)),"",IF(AND(OR('Choix pédagogiques'!$C$3=1,'Choix pédagogiques'!$C$3=2),$B474&lt;&gt;"",$C474&lt;&gt;"",$D474&lt;&gt;""),1,0))</f>
        <v/>
      </c>
      <c r="BN474" s="21" t="str">
        <f>IF(OR(COUNT(G474:I1473)=0,AND('Choix pédagogiques'!$C$3&lt;&gt;1,'Choix pédagogiques'!$C$3&lt;&gt;2)),"",IF(AND(OR('Choix pédagogiques'!$C$3=1,'Choix pédagogiques'!$C$3=2),AND($G474&lt;&gt;"",$H474&lt;&gt;"",$I474&lt;&gt;"")),1,0))</f>
        <v/>
      </c>
      <c r="BO474" s="21" t="str">
        <f>IF(OR(COUNT(B474:D1473)=0,COUNT(G474:I1473)=0,'Choix pédagogiques'!C$3&lt;&gt;3),"",IF(AND('Choix pédagogiques'!$C$3=3,$B474&lt;&gt;"",$C474&lt;&gt;"",$D474&lt;&gt;"",$G474&lt;&gt;"",$H474&lt;&gt;"",$I474&lt;&gt;""),1,0))</f>
        <v/>
      </c>
      <c r="BR474" s="21">
        <v>725</v>
      </c>
      <c r="BS474" s="21">
        <v>1955</v>
      </c>
      <c r="BT474"/>
    </row>
    <row r="475" spans="1:72" s="23" customFormat="1" ht="18" customHeight="1" x14ac:dyDescent="0.3">
      <c r="A475" s="35" t="s">
        <v>465</v>
      </c>
      <c r="B475" s="37"/>
      <c r="C475" s="37"/>
      <c r="D475" s="37"/>
      <c r="E475" s="37"/>
      <c r="F475" s="35" t="s">
        <v>1473</v>
      </c>
      <c r="G475" s="37"/>
      <c r="H475" s="37"/>
      <c r="I475" s="37"/>
      <c r="J475" s="37"/>
      <c r="K475" s="21" t="str">
        <f t="shared" si="349"/>
        <v>Apprenant 463</v>
      </c>
      <c r="L475" s="22" t="str">
        <f t="shared" si="350"/>
        <v/>
      </c>
      <c r="M475" s="22" t="str">
        <f t="shared" si="351"/>
        <v/>
      </c>
      <c r="N475" s="22" t="str">
        <f t="shared" si="352"/>
        <v/>
      </c>
      <c r="O475" s="22" t="str">
        <f t="shared" si="353"/>
        <v/>
      </c>
      <c r="P475" s="21" t="str">
        <f t="shared" si="354"/>
        <v>Apprenant 463 ou 463'</v>
      </c>
      <c r="Q475" s="22" t="str">
        <f t="shared" si="355"/>
        <v/>
      </c>
      <c r="R475" s="22" t="str">
        <f t="shared" si="356"/>
        <v/>
      </c>
      <c r="S475" s="22" t="str">
        <f t="shared" si="357"/>
        <v/>
      </c>
      <c r="T475" s="22" t="str">
        <f t="shared" si="358"/>
        <v/>
      </c>
      <c r="V475" s="21" t="str">
        <f t="shared" si="359"/>
        <v>Apprenant 463</v>
      </c>
      <c r="W475" s="22" t="str">
        <f>IF(AND(OR('Choix pédagogiques'!$C$3=1,'Choix pédagogiques'!$C$3=2),$BM475=1),B475,IF(AND('Choix pédagogiques'!$C$3=3,$BO475=1),B475,""))</f>
        <v/>
      </c>
      <c r="X475" s="22" t="str">
        <f>IF(AND(OR('Choix pédagogiques'!$C$3=1,'Choix pédagogiques'!$C$3=2),$BM475=1),C475,IF(AND('Choix pédagogiques'!$C$3=3,$BO475=1),C475,""))</f>
        <v/>
      </c>
      <c r="Y475" s="22" t="str">
        <f>IF(AND(OR('Choix pédagogiques'!$C$3=1,'Choix pédagogiques'!$C$3=2),$BM475=1),D475,IF(AND('Choix pédagogiques'!$C$3=3,$BO475=1),D475,""))</f>
        <v/>
      </c>
      <c r="Z475" s="22" t="str">
        <f t="shared" si="360"/>
        <v/>
      </c>
      <c r="AA475" s="21" t="str">
        <f t="shared" si="361"/>
        <v>Apprenant 463 ou 463'</v>
      </c>
      <c r="AB475" s="22" t="str">
        <f>IF(AND(OR('Choix pédagogiques'!$C$3=1,'Choix pédagogiques'!$C$3=2),$BN475=1),G475,IF(AND('Choix pédagogiques'!$C$3=3,$BO475=1),G475,""))</f>
        <v/>
      </c>
      <c r="AC475" s="22" t="str">
        <f>IF(AND(OR('Choix pédagogiques'!$C$3=1,'Choix pédagogiques'!$C$3=2),$BN475=1),H475,IF(AND('Choix pédagogiques'!$C$3=3,$BO475=1),H475,""))</f>
        <v/>
      </c>
      <c r="AD475" s="22" t="str">
        <f>IF(AND(OR('Choix pédagogiques'!$C$3=1,'Choix pédagogiques'!$C$3=2),$BN475=1),I475,IF(AND('Choix pédagogiques'!$C$3=3,$BO475=1),I475,""))</f>
        <v/>
      </c>
      <c r="AE475" s="22" t="str">
        <f t="shared" si="362"/>
        <v/>
      </c>
      <c r="AF475" s="21" t="str">
        <f t="shared" si="363"/>
        <v>Apprenant 463</v>
      </c>
      <c r="AG475" s="22" t="str">
        <f t="shared" si="337"/>
        <v/>
      </c>
      <c r="AH475" s="22" t="str">
        <f t="shared" si="338"/>
        <v/>
      </c>
      <c r="AI475" s="22" t="str">
        <f t="shared" si="339"/>
        <v/>
      </c>
      <c r="AJ475" s="22" t="str">
        <f t="shared" si="364"/>
        <v/>
      </c>
      <c r="AK475" s="21" t="str">
        <f t="shared" si="365"/>
        <v>Apprenant 463 ou 463'</v>
      </c>
      <c r="AL475" s="22" t="str">
        <f t="shared" si="340"/>
        <v/>
      </c>
      <c r="AM475" s="22" t="str">
        <f t="shared" si="341"/>
        <v/>
      </c>
      <c r="AN475" s="22" t="str">
        <f t="shared" si="342"/>
        <v/>
      </c>
      <c r="AO475" s="22" t="str">
        <f t="shared" si="366"/>
        <v/>
      </c>
      <c r="AQ475" s="21" t="str">
        <f t="shared" si="367"/>
        <v>Apprenant 463</v>
      </c>
      <c r="AR475" s="49" t="str">
        <f>IF(AND('Choix pédagogiques'!$C$4&lt;&gt;"?",'Choix pédagogiques'!$C$5&lt;&gt;"?",W475&lt;&gt;""),(W475-'Choix pédagogiques'!$C$4)/('Choix pédagogiques'!$C$5-'Choix pédagogiques'!$C$4),"")</f>
        <v/>
      </c>
      <c r="AS475" s="49" t="str">
        <f>IF(AND('Choix pédagogiques'!$C$4&lt;&gt;"?",'Choix pédagogiques'!$C$5&lt;&gt;"?",X475&lt;&gt;""),(X475-'Choix pédagogiques'!$C$4)/('Choix pédagogiques'!$C$5-'Choix pédagogiques'!$C$4),"")</f>
        <v/>
      </c>
      <c r="AT475" s="49" t="str">
        <f>IF(AND('Choix pédagogiques'!$C$4&lt;&gt;"?",'Choix pédagogiques'!$C$5&lt;&gt;"?",Y475&lt;&gt;""),(Y475-'Choix pédagogiques'!$C$4)/('Choix pédagogiques'!$C$5-'Choix pédagogiques'!$C$4),"")</f>
        <v/>
      </c>
      <c r="AU475" s="22" t="str">
        <f t="shared" si="368"/>
        <v/>
      </c>
      <c r="AV475" s="21" t="str">
        <f t="shared" si="369"/>
        <v>Apprenant 463 ou 463'</v>
      </c>
      <c r="AW475" s="49" t="str">
        <f>IF(AND('Choix pédagogiques'!$C$4&lt;&gt;"?",'Choix pédagogiques'!$C$5&lt;&gt;"?",AB475&lt;&gt;""),(AB475-'Choix pédagogiques'!$C$4)/('Choix pédagogiques'!$C$5-'Choix pédagogiques'!$C$4),"")</f>
        <v/>
      </c>
      <c r="AX475" s="49" t="str">
        <f>IF(AND('Choix pédagogiques'!$C$4&lt;&gt;"?",'Choix pédagogiques'!$C$5&lt;&gt;"?",AC475&lt;&gt;""),(AC475-'Choix pédagogiques'!$C$4)/('Choix pédagogiques'!$C$5-'Choix pédagogiques'!$C$4),"")</f>
        <v/>
      </c>
      <c r="AY475" s="49" t="str">
        <f>IF(AND('Choix pédagogiques'!$C$4&lt;&gt;"?",'Choix pédagogiques'!$C$5&lt;&gt;"?",AD475&lt;&gt;""),(AD475-'Choix pédagogiques'!$C$4)/('Choix pédagogiques'!$C$5-'Choix pédagogiques'!$C$4),"")</f>
        <v/>
      </c>
      <c r="AZ475" s="22" t="str">
        <f t="shared" si="370"/>
        <v/>
      </c>
      <c r="BA475" s="21" t="str">
        <f t="shared" si="371"/>
        <v>Apprenant 463</v>
      </c>
      <c r="BB475" s="49" t="str">
        <f t="shared" si="343"/>
        <v/>
      </c>
      <c r="BC475" s="49" t="str">
        <f t="shared" si="344"/>
        <v/>
      </c>
      <c r="BD475" s="49" t="str">
        <f t="shared" si="345"/>
        <v/>
      </c>
      <c r="BE475" s="22" t="str">
        <f t="shared" si="372"/>
        <v/>
      </c>
      <c r="BF475" s="21" t="str">
        <f t="shared" si="373"/>
        <v>Apprenant 463 ou 463'</v>
      </c>
      <c r="BG475" s="49" t="str">
        <f t="shared" si="346"/>
        <v/>
      </c>
      <c r="BH475" s="49" t="str">
        <f t="shared" si="347"/>
        <v/>
      </c>
      <c r="BI475" s="49" t="str">
        <f t="shared" si="348"/>
        <v/>
      </c>
      <c r="BJ475" s="22" t="str">
        <f t="shared" si="374"/>
        <v/>
      </c>
      <c r="BL475" s="21"/>
      <c r="BM475" s="21" t="str">
        <f>IF(OR(COUNT(B475:D1474)=0,AND('Choix pédagogiques'!$C$3&lt;&gt;1,'Choix pédagogiques'!$C$3&lt;&gt;2)),"",IF(AND(OR('Choix pédagogiques'!$C$3=1,'Choix pédagogiques'!$C$3=2),$B475&lt;&gt;"",$C475&lt;&gt;"",$D475&lt;&gt;""),1,0))</f>
        <v/>
      </c>
      <c r="BN475" s="21" t="str">
        <f>IF(OR(COUNT(G475:I1474)=0,AND('Choix pédagogiques'!$C$3&lt;&gt;1,'Choix pédagogiques'!$C$3&lt;&gt;2)),"",IF(AND(OR('Choix pédagogiques'!$C$3=1,'Choix pédagogiques'!$C$3=2),AND($G475&lt;&gt;"",$H475&lt;&gt;"",$I475&lt;&gt;"")),1,0))</f>
        <v/>
      </c>
      <c r="BO475" s="21" t="str">
        <f>IF(OR(COUNT(B475:D1474)=0,COUNT(G475:I1474)=0,'Choix pédagogiques'!C$3&lt;&gt;3),"",IF(AND('Choix pédagogiques'!$C$3=3,$B475&lt;&gt;"",$C475&lt;&gt;"",$D475&lt;&gt;"",$G475&lt;&gt;"",$H475&lt;&gt;"",$I475&lt;&gt;""),1,0))</f>
        <v/>
      </c>
      <c r="BR475" s="21">
        <v>917</v>
      </c>
      <c r="BS475" s="21">
        <v>1324</v>
      </c>
      <c r="BT475"/>
    </row>
    <row r="476" spans="1:72" s="23" customFormat="1" ht="18" customHeight="1" x14ac:dyDescent="0.3">
      <c r="A476" s="35" t="s">
        <v>466</v>
      </c>
      <c r="B476" s="37"/>
      <c r="C476" s="37"/>
      <c r="D476" s="37"/>
      <c r="E476" s="37"/>
      <c r="F476" s="35" t="s">
        <v>1474</v>
      </c>
      <c r="G476" s="37"/>
      <c r="H476" s="37"/>
      <c r="I476" s="37"/>
      <c r="J476" s="37"/>
      <c r="K476" s="21" t="str">
        <f t="shared" si="349"/>
        <v>Apprenant 464</v>
      </c>
      <c r="L476" s="22" t="str">
        <f t="shared" si="350"/>
        <v/>
      </c>
      <c r="M476" s="22" t="str">
        <f t="shared" si="351"/>
        <v/>
      </c>
      <c r="N476" s="22" t="str">
        <f t="shared" si="352"/>
        <v/>
      </c>
      <c r="O476" s="22" t="str">
        <f t="shared" si="353"/>
        <v/>
      </c>
      <c r="P476" s="21" t="str">
        <f t="shared" si="354"/>
        <v>Apprenant 464 ou 464'</v>
      </c>
      <c r="Q476" s="22" t="str">
        <f t="shared" si="355"/>
        <v/>
      </c>
      <c r="R476" s="22" t="str">
        <f t="shared" si="356"/>
        <v/>
      </c>
      <c r="S476" s="22" t="str">
        <f t="shared" si="357"/>
        <v/>
      </c>
      <c r="T476" s="22" t="str">
        <f t="shared" si="358"/>
        <v/>
      </c>
      <c r="V476" s="21" t="str">
        <f t="shared" si="359"/>
        <v>Apprenant 464</v>
      </c>
      <c r="W476" s="22" t="str">
        <f>IF(AND(OR('Choix pédagogiques'!$C$3=1,'Choix pédagogiques'!$C$3=2),$BM476=1),B476,IF(AND('Choix pédagogiques'!$C$3=3,$BO476=1),B476,""))</f>
        <v/>
      </c>
      <c r="X476" s="22" t="str">
        <f>IF(AND(OR('Choix pédagogiques'!$C$3=1,'Choix pédagogiques'!$C$3=2),$BM476=1),C476,IF(AND('Choix pédagogiques'!$C$3=3,$BO476=1),C476,""))</f>
        <v/>
      </c>
      <c r="Y476" s="22" t="str">
        <f>IF(AND(OR('Choix pédagogiques'!$C$3=1,'Choix pédagogiques'!$C$3=2),$BM476=1),D476,IF(AND('Choix pédagogiques'!$C$3=3,$BO476=1),D476,""))</f>
        <v/>
      </c>
      <c r="Z476" s="22" t="str">
        <f t="shared" si="360"/>
        <v/>
      </c>
      <c r="AA476" s="21" t="str">
        <f t="shared" si="361"/>
        <v>Apprenant 464 ou 464'</v>
      </c>
      <c r="AB476" s="22" t="str">
        <f>IF(AND(OR('Choix pédagogiques'!$C$3=1,'Choix pédagogiques'!$C$3=2),$BN476=1),G476,IF(AND('Choix pédagogiques'!$C$3=3,$BO476=1),G476,""))</f>
        <v/>
      </c>
      <c r="AC476" s="22" t="str">
        <f>IF(AND(OR('Choix pédagogiques'!$C$3=1,'Choix pédagogiques'!$C$3=2),$BN476=1),H476,IF(AND('Choix pédagogiques'!$C$3=3,$BO476=1),H476,""))</f>
        <v/>
      </c>
      <c r="AD476" s="22" t="str">
        <f>IF(AND(OR('Choix pédagogiques'!$C$3=1,'Choix pédagogiques'!$C$3=2),$BN476=1),I476,IF(AND('Choix pédagogiques'!$C$3=3,$BO476=1),I476,""))</f>
        <v/>
      </c>
      <c r="AE476" s="22" t="str">
        <f t="shared" si="362"/>
        <v/>
      </c>
      <c r="AF476" s="21" t="str">
        <f t="shared" si="363"/>
        <v>Apprenant 464</v>
      </c>
      <c r="AG476" s="22" t="str">
        <f t="shared" si="337"/>
        <v/>
      </c>
      <c r="AH476" s="22" t="str">
        <f t="shared" si="338"/>
        <v/>
      </c>
      <c r="AI476" s="22" t="str">
        <f t="shared" si="339"/>
        <v/>
      </c>
      <c r="AJ476" s="22" t="str">
        <f t="shared" si="364"/>
        <v/>
      </c>
      <c r="AK476" s="21" t="str">
        <f t="shared" si="365"/>
        <v>Apprenant 464 ou 464'</v>
      </c>
      <c r="AL476" s="22" t="str">
        <f t="shared" si="340"/>
        <v/>
      </c>
      <c r="AM476" s="22" t="str">
        <f t="shared" si="341"/>
        <v/>
      </c>
      <c r="AN476" s="22" t="str">
        <f t="shared" si="342"/>
        <v/>
      </c>
      <c r="AO476" s="22" t="str">
        <f t="shared" si="366"/>
        <v/>
      </c>
      <c r="AQ476" s="21" t="str">
        <f t="shared" si="367"/>
        <v>Apprenant 464</v>
      </c>
      <c r="AR476" s="49" t="str">
        <f>IF(AND('Choix pédagogiques'!$C$4&lt;&gt;"?",'Choix pédagogiques'!$C$5&lt;&gt;"?",W476&lt;&gt;""),(W476-'Choix pédagogiques'!$C$4)/('Choix pédagogiques'!$C$5-'Choix pédagogiques'!$C$4),"")</f>
        <v/>
      </c>
      <c r="AS476" s="49" t="str">
        <f>IF(AND('Choix pédagogiques'!$C$4&lt;&gt;"?",'Choix pédagogiques'!$C$5&lt;&gt;"?",X476&lt;&gt;""),(X476-'Choix pédagogiques'!$C$4)/('Choix pédagogiques'!$C$5-'Choix pédagogiques'!$C$4),"")</f>
        <v/>
      </c>
      <c r="AT476" s="49" t="str">
        <f>IF(AND('Choix pédagogiques'!$C$4&lt;&gt;"?",'Choix pédagogiques'!$C$5&lt;&gt;"?",Y476&lt;&gt;""),(Y476-'Choix pédagogiques'!$C$4)/('Choix pédagogiques'!$C$5-'Choix pédagogiques'!$C$4),"")</f>
        <v/>
      </c>
      <c r="AU476" s="22" t="str">
        <f t="shared" si="368"/>
        <v/>
      </c>
      <c r="AV476" s="21" t="str">
        <f t="shared" si="369"/>
        <v>Apprenant 464 ou 464'</v>
      </c>
      <c r="AW476" s="49" t="str">
        <f>IF(AND('Choix pédagogiques'!$C$4&lt;&gt;"?",'Choix pédagogiques'!$C$5&lt;&gt;"?",AB476&lt;&gt;""),(AB476-'Choix pédagogiques'!$C$4)/('Choix pédagogiques'!$C$5-'Choix pédagogiques'!$C$4),"")</f>
        <v/>
      </c>
      <c r="AX476" s="49" t="str">
        <f>IF(AND('Choix pédagogiques'!$C$4&lt;&gt;"?",'Choix pédagogiques'!$C$5&lt;&gt;"?",AC476&lt;&gt;""),(AC476-'Choix pédagogiques'!$C$4)/('Choix pédagogiques'!$C$5-'Choix pédagogiques'!$C$4),"")</f>
        <v/>
      </c>
      <c r="AY476" s="49" t="str">
        <f>IF(AND('Choix pédagogiques'!$C$4&lt;&gt;"?",'Choix pédagogiques'!$C$5&lt;&gt;"?",AD476&lt;&gt;""),(AD476-'Choix pédagogiques'!$C$4)/('Choix pédagogiques'!$C$5-'Choix pédagogiques'!$C$4),"")</f>
        <v/>
      </c>
      <c r="AZ476" s="22" t="str">
        <f t="shared" si="370"/>
        <v/>
      </c>
      <c r="BA476" s="21" t="str">
        <f t="shared" si="371"/>
        <v>Apprenant 464</v>
      </c>
      <c r="BB476" s="49" t="str">
        <f t="shared" si="343"/>
        <v/>
      </c>
      <c r="BC476" s="49" t="str">
        <f t="shared" si="344"/>
        <v/>
      </c>
      <c r="BD476" s="49" t="str">
        <f t="shared" si="345"/>
        <v/>
      </c>
      <c r="BE476" s="22" t="str">
        <f t="shared" si="372"/>
        <v/>
      </c>
      <c r="BF476" s="21" t="str">
        <f t="shared" si="373"/>
        <v>Apprenant 464 ou 464'</v>
      </c>
      <c r="BG476" s="49" t="str">
        <f t="shared" si="346"/>
        <v/>
      </c>
      <c r="BH476" s="49" t="str">
        <f t="shared" si="347"/>
        <v/>
      </c>
      <c r="BI476" s="49" t="str">
        <f t="shared" si="348"/>
        <v/>
      </c>
      <c r="BJ476" s="22" t="str">
        <f t="shared" si="374"/>
        <v/>
      </c>
      <c r="BL476" s="21"/>
      <c r="BM476" s="21" t="str">
        <f>IF(OR(COUNT(B476:D1475)=0,AND('Choix pédagogiques'!$C$3&lt;&gt;1,'Choix pédagogiques'!$C$3&lt;&gt;2)),"",IF(AND(OR('Choix pédagogiques'!$C$3=1,'Choix pédagogiques'!$C$3=2),$B476&lt;&gt;"",$C476&lt;&gt;"",$D476&lt;&gt;""),1,0))</f>
        <v/>
      </c>
      <c r="BN476" s="21" t="str">
        <f>IF(OR(COUNT(G476:I1475)=0,AND('Choix pédagogiques'!$C$3&lt;&gt;1,'Choix pédagogiques'!$C$3&lt;&gt;2)),"",IF(AND(OR('Choix pédagogiques'!$C$3=1,'Choix pédagogiques'!$C$3=2),AND($G476&lt;&gt;"",$H476&lt;&gt;"",$I476&lt;&gt;"")),1,0))</f>
        <v/>
      </c>
      <c r="BO476" s="21" t="str">
        <f>IF(OR(COUNT(B476:D1475)=0,COUNT(G476:I1475)=0,'Choix pédagogiques'!C$3&lt;&gt;3),"",IF(AND('Choix pédagogiques'!$C$3=3,$B476&lt;&gt;"",$C476&lt;&gt;"",$D476&lt;&gt;"",$G476&lt;&gt;"",$H476&lt;&gt;"",$I476&lt;&gt;""),1,0))</f>
        <v/>
      </c>
      <c r="BR476" s="21">
        <v>216</v>
      </c>
      <c r="BS476" s="21">
        <v>1600</v>
      </c>
      <c r="BT476"/>
    </row>
    <row r="477" spans="1:72" s="23" customFormat="1" ht="18" customHeight="1" x14ac:dyDescent="0.3">
      <c r="A477" s="35" t="s">
        <v>467</v>
      </c>
      <c r="B477" s="37"/>
      <c r="C477" s="37"/>
      <c r="D477" s="37"/>
      <c r="E477" s="37"/>
      <c r="F477" s="35" t="s">
        <v>1475</v>
      </c>
      <c r="G477" s="37"/>
      <c r="H477" s="37"/>
      <c r="I477" s="37"/>
      <c r="J477" s="37"/>
      <c r="K477" s="21" t="str">
        <f t="shared" si="349"/>
        <v>Apprenant 465</v>
      </c>
      <c r="L477" s="22" t="str">
        <f t="shared" si="350"/>
        <v/>
      </c>
      <c r="M477" s="22" t="str">
        <f t="shared" si="351"/>
        <v/>
      </c>
      <c r="N477" s="22" t="str">
        <f t="shared" si="352"/>
        <v/>
      </c>
      <c r="O477" s="22" t="str">
        <f t="shared" si="353"/>
        <v/>
      </c>
      <c r="P477" s="21" t="str">
        <f t="shared" si="354"/>
        <v>Apprenant 465 ou 465'</v>
      </c>
      <c r="Q477" s="22" t="str">
        <f t="shared" si="355"/>
        <v/>
      </c>
      <c r="R477" s="22" t="str">
        <f t="shared" si="356"/>
        <v/>
      </c>
      <c r="S477" s="22" t="str">
        <f t="shared" si="357"/>
        <v/>
      </c>
      <c r="T477" s="22" t="str">
        <f t="shared" si="358"/>
        <v/>
      </c>
      <c r="V477" s="21" t="str">
        <f t="shared" si="359"/>
        <v>Apprenant 465</v>
      </c>
      <c r="W477" s="22" t="str">
        <f>IF(AND(OR('Choix pédagogiques'!$C$3=1,'Choix pédagogiques'!$C$3=2),$BM477=1),B477,IF(AND('Choix pédagogiques'!$C$3=3,$BO477=1),B477,""))</f>
        <v/>
      </c>
      <c r="X477" s="22" t="str">
        <f>IF(AND(OR('Choix pédagogiques'!$C$3=1,'Choix pédagogiques'!$C$3=2),$BM477=1),C477,IF(AND('Choix pédagogiques'!$C$3=3,$BO477=1),C477,""))</f>
        <v/>
      </c>
      <c r="Y477" s="22" t="str">
        <f>IF(AND(OR('Choix pédagogiques'!$C$3=1,'Choix pédagogiques'!$C$3=2),$BM477=1),D477,IF(AND('Choix pédagogiques'!$C$3=3,$BO477=1),D477,""))</f>
        <v/>
      </c>
      <c r="Z477" s="22" t="str">
        <f t="shared" si="360"/>
        <v/>
      </c>
      <c r="AA477" s="21" t="str">
        <f t="shared" si="361"/>
        <v>Apprenant 465 ou 465'</v>
      </c>
      <c r="AB477" s="22" t="str">
        <f>IF(AND(OR('Choix pédagogiques'!$C$3=1,'Choix pédagogiques'!$C$3=2),$BN477=1),G477,IF(AND('Choix pédagogiques'!$C$3=3,$BO477=1),G477,""))</f>
        <v/>
      </c>
      <c r="AC477" s="22" t="str">
        <f>IF(AND(OR('Choix pédagogiques'!$C$3=1,'Choix pédagogiques'!$C$3=2),$BN477=1),H477,IF(AND('Choix pédagogiques'!$C$3=3,$BO477=1),H477,""))</f>
        <v/>
      </c>
      <c r="AD477" s="22" t="str">
        <f>IF(AND(OR('Choix pédagogiques'!$C$3=1,'Choix pédagogiques'!$C$3=2),$BN477=1),I477,IF(AND('Choix pédagogiques'!$C$3=3,$BO477=1),I477,""))</f>
        <v/>
      </c>
      <c r="AE477" s="22" t="str">
        <f t="shared" si="362"/>
        <v/>
      </c>
      <c r="AF477" s="21" t="str">
        <f t="shared" si="363"/>
        <v>Apprenant 465</v>
      </c>
      <c r="AG477" s="22" t="str">
        <f t="shared" si="337"/>
        <v/>
      </c>
      <c r="AH477" s="22" t="str">
        <f t="shared" si="338"/>
        <v/>
      </c>
      <c r="AI477" s="22" t="str">
        <f t="shared" si="339"/>
        <v/>
      </c>
      <c r="AJ477" s="22" t="str">
        <f t="shared" si="364"/>
        <v/>
      </c>
      <c r="AK477" s="21" t="str">
        <f t="shared" si="365"/>
        <v>Apprenant 465 ou 465'</v>
      </c>
      <c r="AL477" s="22" t="str">
        <f t="shared" si="340"/>
        <v/>
      </c>
      <c r="AM477" s="22" t="str">
        <f t="shared" si="341"/>
        <v/>
      </c>
      <c r="AN477" s="22" t="str">
        <f t="shared" si="342"/>
        <v/>
      </c>
      <c r="AO477" s="22" t="str">
        <f t="shared" si="366"/>
        <v/>
      </c>
      <c r="AQ477" s="21" t="str">
        <f t="shared" si="367"/>
        <v>Apprenant 465</v>
      </c>
      <c r="AR477" s="49" t="str">
        <f>IF(AND('Choix pédagogiques'!$C$4&lt;&gt;"?",'Choix pédagogiques'!$C$5&lt;&gt;"?",W477&lt;&gt;""),(W477-'Choix pédagogiques'!$C$4)/('Choix pédagogiques'!$C$5-'Choix pédagogiques'!$C$4),"")</f>
        <v/>
      </c>
      <c r="AS477" s="49" t="str">
        <f>IF(AND('Choix pédagogiques'!$C$4&lt;&gt;"?",'Choix pédagogiques'!$C$5&lt;&gt;"?",X477&lt;&gt;""),(X477-'Choix pédagogiques'!$C$4)/('Choix pédagogiques'!$C$5-'Choix pédagogiques'!$C$4),"")</f>
        <v/>
      </c>
      <c r="AT477" s="49" t="str">
        <f>IF(AND('Choix pédagogiques'!$C$4&lt;&gt;"?",'Choix pédagogiques'!$C$5&lt;&gt;"?",Y477&lt;&gt;""),(Y477-'Choix pédagogiques'!$C$4)/('Choix pédagogiques'!$C$5-'Choix pédagogiques'!$C$4),"")</f>
        <v/>
      </c>
      <c r="AU477" s="22" t="str">
        <f t="shared" si="368"/>
        <v/>
      </c>
      <c r="AV477" s="21" t="str">
        <f t="shared" si="369"/>
        <v>Apprenant 465 ou 465'</v>
      </c>
      <c r="AW477" s="49" t="str">
        <f>IF(AND('Choix pédagogiques'!$C$4&lt;&gt;"?",'Choix pédagogiques'!$C$5&lt;&gt;"?",AB477&lt;&gt;""),(AB477-'Choix pédagogiques'!$C$4)/('Choix pédagogiques'!$C$5-'Choix pédagogiques'!$C$4),"")</f>
        <v/>
      </c>
      <c r="AX477" s="49" t="str">
        <f>IF(AND('Choix pédagogiques'!$C$4&lt;&gt;"?",'Choix pédagogiques'!$C$5&lt;&gt;"?",AC477&lt;&gt;""),(AC477-'Choix pédagogiques'!$C$4)/('Choix pédagogiques'!$C$5-'Choix pédagogiques'!$C$4),"")</f>
        <v/>
      </c>
      <c r="AY477" s="49" t="str">
        <f>IF(AND('Choix pédagogiques'!$C$4&lt;&gt;"?",'Choix pédagogiques'!$C$5&lt;&gt;"?",AD477&lt;&gt;""),(AD477-'Choix pédagogiques'!$C$4)/('Choix pédagogiques'!$C$5-'Choix pédagogiques'!$C$4),"")</f>
        <v/>
      </c>
      <c r="AZ477" s="22" t="str">
        <f t="shared" si="370"/>
        <v/>
      </c>
      <c r="BA477" s="21" t="str">
        <f t="shared" si="371"/>
        <v>Apprenant 465</v>
      </c>
      <c r="BB477" s="49" t="str">
        <f t="shared" si="343"/>
        <v/>
      </c>
      <c r="BC477" s="49" t="str">
        <f t="shared" si="344"/>
        <v/>
      </c>
      <c r="BD477" s="49" t="str">
        <f t="shared" si="345"/>
        <v/>
      </c>
      <c r="BE477" s="22" t="str">
        <f t="shared" si="372"/>
        <v/>
      </c>
      <c r="BF477" s="21" t="str">
        <f t="shared" si="373"/>
        <v>Apprenant 465 ou 465'</v>
      </c>
      <c r="BG477" s="49" t="str">
        <f t="shared" si="346"/>
        <v/>
      </c>
      <c r="BH477" s="49" t="str">
        <f t="shared" si="347"/>
        <v/>
      </c>
      <c r="BI477" s="49" t="str">
        <f t="shared" si="348"/>
        <v/>
      </c>
      <c r="BJ477" s="22" t="str">
        <f t="shared" si="374"/>
        <v/>
      </c>
      <c r="BL477" s="21"/>
      <c r="BM477" s="21" t="str">
        <f>IF(OR(COUNT(B477:D1476)=0,AND('Choix pédagogiques'!$C$3&lt;&gt;1,'Choix pédagogiques'!$C$3&lt;&gt;2)),"",IF(AND(OR('Choix pédagogiques'!$C$3=1,'Choix pédagogiques'!$C$3=2),$B477&lt;&gt;"",$C477&lt;&gt;"",$D477&lt;&gt;""),1,0))</f>
        <v/>
      </c>
      <c r="BN477" s="21" t="str">
        <f>IF(OR(COUNT(G477:I1476)=0,AND('Choix pédagogiques'!$C$3&lt;&gt;1,'Choix pédagogiques'!$C$3&lt;&gt;2)),"",IF(AND(OR('Choix pédagogiques'!$C$3=1,'Choix pédagogiques'!$C$3=2),AND($G477&lt;&gt;"",$H477&lt;&gt;"",$I477&lt;&gt;"")),1,0))</f>
        <v/>
      </c>
      <c r="BO477" s="21" t="str">
        <f>IF(OR(COUNT(B477:D1476)=0,COUNT(G477:I1476)=0,'Choix pédagogiques'!C$3&lt;&gt;3),"",IF(AND('Choix pédagogiques'!$C$3=3,$B477&lt;&gt;"",$C477&lt;&gt;"",$D477&lt;&gt;"",$G477&lt;&gt;"",$H477&lt;&gt;"",$I477&lt;&gt;""),1,0))</f>
        <v/>
      </c>
      <c r="BR477" s="21">
        <v>47</v>
      </c>
      <c r="BS477" s="21">
        <v>1611</v>
      </c>
      <c r="BT477"/>
    </row>
    <row r="478" spans="1:72" s="23" customFormat="1" ht="18" customHeight="1" x14ac:dyDescent="0.3">
      <c r="A478" s="35" t="s">
        <v>468</v>
      </c>
      <c r="B478" s="37"/>
      <c r="C478" s="37"/>
      <c r="D478" s="37"/>
      <c r="E478" s="37"/>
      <c r="F478" s="35" t="s">
        <v>1476</v>
      </c>
      <c r="G478" s="37"/>
      <c r="H478" s="37"/>
      <c r="I478" s="37"/>
      <c r="J478" s="37"/>
      <c r="K478" s="21" t="str">
        <f t="shared" si="349"/>
        <v>Apprenant 466</v>
      </c>
      <c r="L478" s="22" t="str">
        <f t="shared" si="350"/>
        <v/>
      </c>
      <c r="M478" s="22" t="str">
        <f t="shared" si="351"/>
        <v/>
      </c>
      <c r="N478" s="22" t="str">
        <f t="shared" si="352"/>
        <v/>
      </c>
      <c r="O478" s="22" t="str">
        <f t="shared" si="353"/>
        <v/>
      </c>
      <c r="P478" s="21" t="str">
        <f t="shared" si="354"/>
        <v>Apprenant 466 ou 466'</v>
      </c>
      <c r="Q478" s="22" t="str">
        <f t="shared" si="355"/>
        <v/>
      </c>
      <c r="R478" s="22" t="str">
        <f t="shared" si="356"/>
        <v/>
      </c>
      <c r="S478" s="22" t="str">
        <f t="shared" si="357"/>
        <v/>
      </c>
      <c r="T478" s="22" t="str">
        <f t="shared" si="358"/>
        <v/>
      </c>
      <c r="V478" s="21" t="str">
        <f t="shared" si="359"/>
        <v>Apprenant 466</v>
      </c>
      <c r="W478" s="22" t="str">
        <f>IF(AND(OR('Choix pédagogiques'!$C$3=1,'Choix pédagogiques'!$C$3=2),$BM478=1),B478,IF(AND('Choix pédagogiques'!$C$3=3,$BO478=1),B478,""))</f>
        <v/>
      </c>
      <c r="X478" s="22" t="str">
        <f>IF(AND(OR('Choix pédagogiques'!$C$3=1,'Choix pédagogiques'!$C$3=2),$BM478=1),C478,IF(AND('Choix pédagogiques'!$C$3=3,$BO478=1),C478,""))</f>
        <v/>
      </c>
      <c r="Y478" s="22" t="str">
        <f>IF(AND(OR('Choix pédagogiques'!$C$3=1,'Choix pédagogiques'!$C$3=2),$BM478=1),D478,IF(AND('Choix pédagogiques'!$C$3=3,$BO478=1),D478,""))</f>
        <v/>
      </c>
      <c r="Z478" s="22" t="str">
        <f t="shared" si="360"/>
        <v/>
      </c>
      <c r="AA478" s="21" t="str">
        <f t="shared" si="361"/>
        <v>Apprenant 466 ou 466'</v>
      </c>
      <c r="AB478" s="22" t="str">
        <f>IF(AND(OR('Choix pédagogiques'!$C$3=1,'Choix pédagogiques'!$C$3=2),$BN478=1),G478,IF(AND('Choix pédagogiques'!$C$3=3,$BO478=1),G478,""))</f>
        <v/>
      </c>
      <c r="AC478" s="22" t="str">
        <f>IF(AND(OR('Choix pédagogiques'!$C$3=1,'Choix pédagogiques'!$C$3=2),$BN478=1),H478,IF(AND('Choix pédagogiques'!$C$3=3,$BO478=1),H478,""))</f>
        <v/>
      </c>
      <c r="AD478" s="22" t="str">
        <f>IF(AND(OR('Choix pédagogiques'!$C$3=1,'Choix pédagogiques'!$C$3=2),$BN478=1),I478,IF(AND('Choix pédagogiques'!$C$3=3,$BO478=1),I478,""))</f>
        <v/>
      </c>
      <c r="AE478" s="22" t="str">
        <f t="shared" si="362"/>
        <v/>
      </c>
      <c r="AF478" s="21" t="str">
        <f t="shared" si="363"/>
        <v>Apprenant 466</v>
      </c>
      <c r="AG478" s="22" t="str">
        <f t="shared" si="337"/>
        <v/>
      </c>
      <c r="AH478" s="22" t="str">
        <f t="shared" si="338"/>
        <v/>
      </c>
      <c r="AI478" s="22" t="str">
        <f t="shared" si="339"/>
        <v/>
      </c>
      <c r="AJ478" s="22" t="str">
        <f t="shared" si="364"/>
        <v/>
      </c>
      <c r="AK478" s="21" t="str">
        <f t="shared" si="365"/>
        <v>Apprenant 466 ou 466'</v>
      </c>
      <c r="AL478" s="22" t="str">
        <f t="shared" si="340"/>
        <v/>
      </c>
      <c r="AM478" s="22" t="str">
        <f t="shared" si="341"/>
        <v/>
      </c>
      <c r="AN478" s="22" t="str">
        <f t="shared" si="342"/>
        <v/>
      </c>
      <c r="AO478" s="22" t="str">
        <f t="shared" si="366"/>
        <v/>
      </c>
      <c r="AQ478" s="21" t="str">
        <f t="shared" si="367"/>
        <v>Apprenant 466</v>
      </c>
      <c r="AR478" s="49" t="str">
        <f>IF(AND('Choix pédagogiques'!$C$4&lt;&gt;"?",'Choix pédagogiques'!$C$5&lt;&gt;"?",W478&lt;&gt;""),(W478-'Choix pédagogiques'!$C$4)/('Choix pédagogiques'!$C$5-'Choix pédagogiques'!$C$4),"")</f>
        <v/>
      </c>
      <c r="AS478" s="49" t="str">
        <f>IF(AND('Choix pédagogiques'!$C$4&lt;&gt;"?",'Choix pédagogiques'!$C$5&lt;&gt;"?",X478&lt;&gt;""),(X478-'Choix pédagogiques'!$C$4)/('Choix pédagogiques'!$C$5-'Choix pédagogiques'!$C$4),"")</f>
        <v/>
      </c>
      <c r="AT478" s="49" t="str">
        <f>IF(AND('Choix pédagogiques'!$C$4&lt;&gt;"?",'Choix pédagogiques'!$C$5&lt;&gt;"?",Y478&lt;&gt;""),(Y478-'Choix pédagogiques'!$C$4)/('Choix pédagogiques'!$C$5-'Choix pédagogiques'!$C$4),"")</f>
        <v/>
      </c>
      <c r="AU478" s="22" t="str">
        <f t="shared" si="368"/>
        <v/>
      </c>
      <c r="AV478" s="21" t="str">
        <f t="shared" si="369"/>
        <v>Apprenant 466 ou 466'</v>
      </c>
      <c r="AW478" s="49" t="str">
        <f>IF(AND('Choix pédagogiques'!$C$4&lt;&gt;"?",'Choix pédagogiques'!$C$5&lt;&gt;"?",AB478&lt;&gt;""),(AB478-'Choix pédagogiques'!$C$4)/('Choix pédagogiques'!$C$5-'Choix pédagogiques'!$C$4),"")</f>
        <v/>
      </c>
      <c r="AX478" s="49" t="str">
        <f>IF(AND('Choix pédagogiques'!$C$4&lt;&gt;"?",'Choix pédagogiques'!$C$5&lt;&gt;"?",AC478&lt;&gt;""),(AC478-'Choix pédagogiques'!$C$4)/('Choix pédagogiques'!$C$5-'Choix pédagogiques'!$C$4),"")</f>
        <v/>
      </c>
      <c r="AY478" s="49" t="str">
        <f>IF(AND('Choix pédagogiques'!$C$4&lt;&gt;"?",'Choix pédagogiques'!$C$5&lt;&gt;"?",AD478&lt;&gt;""),(AD478-'Choix pédagogiques'!$C$4)/('Choix pédagogiques'!$C$5-'Choix pédagogiques'!$C$4),"")</f>
        <v/>
      </c>
      <c r="AZ478" s="22" t="str">
        <f t="shared" si="370"/>
        <v/>
      </c>
      <c r="BA478" s="21" t="str">
        <f t="shared" si="371"/>
        <v>Apprenant 466</v>
      </c>
      <c r="BB478" s="49" t="str">
        <f t="shared" si="343"/>
        <v/>
      </c>
      <c r="BC478" s="49" t="str">
        <f t="shared" si="344"/>
        <v/>
      </c>
      <c r="BD478" s="49" t="str">
        <f t="shared" si="345"/>
        <v/>
      </c>
      <c r="BE478" s="22" t="str">
        <f t="shared" si="372"/>
        <v/>
      </c>
      <c r="BF478" s="21" t="str">
        <f t="shared" si="373"/>
        <v>Apprenant 466 ou 466'</v>
      </c>
      <c r="BG478" s="49" t="str">
        <f t="shared" si="346"/>
        <v/>
      </c>
      <c r="BH478" s="49" t="str">
        <f t="shared" si="347"/>
        <v/>
      </c>
      <c r="BI478" s="49" t="str">
        <f t="shared" si="348"/>
        <v/>
      </c>
      <c r="BJ478" s="22" t="str">
        <f t="shared" si="374"/>
        <v/>
      </c>
      <c r="BL478" s="21"/>
      <c r="BM478" s="21" t="str">
        <f>IF(OR(COUNT(B478:D1477)=0,AND('Choix pédagogiques'!$C$3&lt;&gt;1,'Choix pédagogiques'!$C$3&lt;&gt;2)),"",IF(AND(OR('Choix pédagogiques'!$C$3=1,'Choix pédagogiques'!$C$3=2),$B478&lt;&gt;"",$C478&lt;&gt;"",$D478&lt;&gt;""),1,0))</f>
        <v/>
      </c>
      <c r="BN478" s="21" t="str">
        <f>IF(OR(COUNT(G478:I1477)=0,AND('Choix pédagogiques'!$C$3&lt;&gt;1,'Choix pédagogiques'!$C$3&lt;&gt;2)),"",IF(AND(OR('Choix pédagogiques'!$C$3=1,'Choix pédagogiques'!$C$3=2),AND($G478&lt;&gt;"",$H478&lt;&gt;"",$I478&lt;&gt;"")),1,0))</f>
        <v/>
      </c>
      <c r="BO478" s="21" t="str">
        <f>IF(OR(COUNT(B478:D1477)=0,COUNT(G478:I1477)=0,'Choix pédagogiques'!C$3&lt;&gt;3),"",IF(AND('Choix pédagogiques'!$C$3=3,$B478&lt;&gt;"",$C478&lt;&gt;"",$D478&lt;&gt;"",$G478&lt;&gt;"",$H478&lt;&gt;"",$I478&lt;&gt;""),1,0))</f>
        <v/>
      </c>
      <c r="BR478" s="21">
        <v>777</v>
      </c>
      <c r="BS478" s="21">
        <v>1770</v>
      </c>
      <c r="BT478"/>
    </row>
    <row r="479" spans="1:72" s="23" customFormat="1" ht="18" customHeight="1" x14ac:dyDescent="0.3">
      <c r="A479" s="35" t="s">
        <v>469</v>
      </c>
      <c r="B479" s="37"/>
      <c r="C479" s="37"/>
      <c r="D479" s="37"/>
      <c r="E479" s="37"/>
      <c r="F479" s="35" t="s">
        <v>1477</v>
      </c>
      <c r="G479" s="37"/>
      <c r="H479" s="37"/>
      <c r="I479" s="37"/>
      <c r="J479" s="37"/>
      <c r="K479" s="21" t="str">
        <f t="shared" si="349"/>
        <v>Apprenant 467</v>
      </c>
      <c r="L479" s="22" t="str">
        <f t="shared" si="350"/>
        <v/>
      </c>
      <c r="M479" s="22" t="str">
        <f t="shared" si="351"/>
        <v/>
      </c>
      <c r="N479" s="22" t="str">
        <f t="shared" si="352"/>
        <v/>
      </c>
      <c r="O479" s="22" t="str">
        <f t="shared" si="353"/>
        <v/>
      </c>
      <c r="P479" s="21" t="str">
        <f t="shared" si="354"/>
        <v>Apprenant 467 ou 467'</v>
      </c>
      <c r="Q479" s="22" t="str">
        <f t="shared" si="355"/>
        <v/>
      </c>
      <c r="R479" s="22" t="str">
        <f t="shared" si="356"/>
        <v/>
      </c>
      <c r="S479" s="22" t="str">
        <f t="shared" si="357"/>
        <v/>
      </c>
      <c r="T479" s="22" t="str">
        <f t="shared" si="358"/>
        <v/>
      </c>
      <c r="V479" s="21" t="str">
        <f t="shared" si="359"/>
        <v>Apprenant 467</v>
      </c>
      <c r="W479" s="22" t="str">
        <f>IF(AND(OR('Choix pédagogiques'!$C$3=1,'Choix pédagogiques'!$C$3=2),$BM479=1),B479,IF(AND('Choix pédagogiques'!$C$3=3,$BO479=1),B479,""))</f>
        <v/>
      </c>
      <c r="X479" s="22" t="str">
        <f>IF(AND(OR('Choix pédagogiques'!$C$3=1,'Choix pédagogiques'!$C$3=2),$BM479=1),C479,IF(AND('Choix pédagogiques'!$C$3=3,$BO479=1),C479,""))</f>
        <v/>
      </c>
      <c r="Y479" s="22" t="str">
        <f>IF(AND(OR('Choix pédagogiques'!$C$3=1,'Choix pédagogiques'!$C$3=2),$BM479=1),D479,IF(AND('Choix pédagogiques'!$C$3=3,$BO479=1),D479,""))</f>
        <v/>
      </c>
      <c r="Z479" s="22" t="str">
        <f t="shared" si="360"/>
        <v/>
      </c>
      <c r="AA479" s="21" t="str">
        <f t="shared" si="361"/>
        <v>Apprenant 467 ou 467'</v>
      </c>
      <c r="AB479" s="22" t="str">
        <f>IF(AND(OR('Choix pédagogiques'!$C$3=1,'Choix pédagogiques'!$C$3=2),$BN479=1),G479,IF(AND('Choix pédagogiques'!$C$3=3,$BO479=1),G479,""))</f>
        <v/>
      </c>
      <c r="AC479" s="22" t="str">
        <f>IF(AND(OR('Choix pédagogiques'!$C$3=1,'Choix pédagogiques'!$C$3=2),$BN479=1),H479,IF(AND('Choix pédagogiques'!$C$3=3,$BO479=1),H479,""))</f>
        <v/>
      </c>
      <c r="AD479" s="22" t="str">
        <f>IF(AND(OR('Choix pédagogiques'!$C$3=1,'Choix pédagogiques'!$C$3=2),$BN479=1),I479,IF(AND('Choix pédagogiques'!$C$3=3,$BO479=1),I479,""))</f>
        <v/>
      </c>
      <c r="AE479" s="22" t="str">
        <f t="shared" si="362"/>
        <v/>
      </c>
      <c r="AF479" s="21" t="str">
        <f t="shared" si="363"/>
        <v>Apprenant 467</v>
      </c>
      <c r="AG479" s="22" t="str">
        <f t="shared" si="337"/>
        <v/>
      </c>
      <c r="AH479" s="22" t="str">
        <f t="shared" si="338"/>
        <v/>
      </c>
      <c r="AI479" s="22" t="str">
        <f t="shared" si="339"/>
        <v/>
      </c>
      <c r="AJ479" s="22" t="str">
        <f t="shared" si="364"/>
        <v/>
      </c>
      <c r="AK479" s="21" t="str">
        <f t="shared" si="365"/>
        <v>Apprenant 467 ou 467'</v>
      </c>
      <c r="AL479" s="22" t="str">
        <f t="shared" si="340"/>
        <v/>
      </c>
      <c r="AM479" s="22" t="str">
        <f t="shared" si="341"/>
        <v/>
      </c>
      <c r="AN479" s="22" t="str">
        <f t="shared" si="342"/>
        <v/>
      </c>
      <c r="AO479" s="22" t="str">
        <f t="shared" si="366"/>
        <v/>
      </c>
      <c r="AQ479" s="21" t="str">
        <f t="shared" si="367"/>
        <v>Apprenant 467</v>
      </c>
      <c r="AR479" s="49" t="str">
        <f>IF(AND('Choix pédagogiques'!$C$4&lt;&gt;"?",'Choix pédagogiques'!$C$5&lt;&gt;"?",W479&lt;&gt;""),(W479-'Choix pédagogiques'!$C$4)/('Choix pédagogiques'!$C$5-'Choix pédagogiques'!$C$4),"")</f>
        <v/>
      </c>
      <c r="AS479" s="49" t="str">
        <f>IF(AND('Choix pédagogiques'!$C$4&lt;&gt;"?",'Choix pédagogiques'!$C$5&lt;&gt;"?",X479&lt;&gt;""),(X479-'Choix pédagogiques'!$C$4)/('Choix pédagogiques'!$C$5-'Choix pédagogiques'!$C$4),"")</f>
        <v/>
      </c>
      <c r="AT479" s="49" t="str">
        <f>IF(AND('Choix pédagogiques'!$C$4&lt;&gt;"?",'Choix pédagogiques'!$C$5&lt;&gt;"?",Y479&lt;&gt;""),(Y479-'Choix pédagogiques'!$C$4)/('Choix pédagogiques'!$C$5-'Choix pédagogiques'!$C$4),"")</f>
        <v/>
      </c>
      <c r="AU479" s="22" t="str">
        <f t="shared" si="368"/>
        <v/>
      </c>
      <c r="AV479" s="21" t="str">
        <f t="shared" si="369"/>
        <v>Apprenant 467 ou 467'</v>
      </c>
      <c r="AW479" s="49" t="str">
        <f>IF(AND('Choix pédagogiques'!$C$4&lt;&gt;"?",'Choix pédagogiques'!$C$5&lt;&gt;"?",AB479&lt;&gt;""),(AB479-'Choix pédagogiques'!$C$4)/('Choix pédagogiques'!$C$5-'Choix pédagogiques'!$C$4),"")</f>
        <v/>
      </c>
      <c r="AX479" s="49" t="str">
        <f>IF(AND('Choix pédagogiques'!$C$4&lt;&gt;"?",'Choix pédagogiques'!$C$5&lt;&gt;"?",AC479&lt;&gt;""),(AC479-'Choix pédagogiques'!$C$4)/('Choix pédagogiques'!$C$5-'Choix pédagogiques'!$C$4),"")</f>
        <v/>
      </c>
      <c r="AY479" s="49" t="str">
        <f>IF(AND('Choix pédagogiques'!$C$4&lt;&gt;"?",'Choix pédagogiques'!$C$5&lt;&gt;"?",AD479&lt;&gt;""),(AD479-'Choix pédagogiques'!$C$4)/('Choix pédagogiques'!$C$5-'Choix pédagogiques'!$C$4),"")</f>
        <v/>
      </c>
      <c r="AZ479" s="22" t="str">
        <f t="shared" si="370"/>
        <v/>
      </c>
      <c r="BA479" s="21" t="str">
        <f t="shared" si="371"/>
        <v>Apprenant 467</v>
      </c>
      <c r="BB479" s="49" t="str">
        <f t="shared" si="343"/>
        <v/>
      </c>
      <c r="BC479" s="49" t="str">
        <f t="shared" si="344"/>
        <v/>
      </c>
      <c r="BD479" s="49" t="str">
        <f t="shared" si="345"/>
        <v/>
      </c>
      <c r="BE479" s="22" t="str">
        <f t="shared" si="372"/>
        <v/>
      </c>
      <c r="BF479" s="21" t="str">
        <f t="shared" si="373"/>
        <v>Apprenant 467 ou 467'</v>
      </c>
      <c r="BG479" s="49" t="str">
        <f t="shared" si="346"/>
        <v/>
      </c>
      <c r="BH479" s="49" t="str">
        <f t="shared" si="347"/>
        <v/>
      </c>
      <c r="BI479" s="49" t="str">
        <f t="shared" si="348"/>
        <v/>
      </c>
      <c r="BJ479" s="22" t="str">
        <f t="shared" si="374"/>
        <v/>
      </c>
      <c r="BL479" s="21"/>
      <c r="BM479" s="21" t="str">
        <f>IF(OR(COUNT(B479:D1478)=0,AND('Choix pédagogiques'!$C$3&lt;&gt;1,'Choix pédagogiques'!$C$3&lt;&gt;2)),"",IF(AND(OR('Choix pédagogiques'!$C$3=1,'Choix pédagogiques'!$C$3=2),$B479&lt;&gt;"",$C479&lt;&gt;"",$D479&lt;&gt;""),1,0))</f>
        <v/>
      </c>
      <c r="BN479" s="21" t="str">
        <f>IF(OR(COUNT(G479:I1478)=0,AND('Choix pédagogiques'!$C$3&lt;&gt;1,'Choix pédagogiques'!$C$3&lt;&gt;2)),"",IF(AND(OR('Choix pédagogiques'!$C$3=1,'Choix pédagogiques'!$C$3=2),AND($G479&lt;&gt;"",$H479&lt;&gt;"",$I479&lt;&gt;"")),1,0))</f>
        <v/>
      </c>
      <c r="BO479" s="21" t="str">
        <f>IF(OR(COUNT(B479:D1478)=0,COUNT(G479:I1478)=0,'Choix pédagogiques'!C$3&lt;&gt;3),"",IF(AND('Choix pédagogiques'!$C$3=3,$B479&lt;&gt;"",$C479&lt;&gt;"",$D479&lt;&gt;"",$G479&lt;&gt;"",$H479&lt;&gt;"",$I479&lt;&gt;""),1,0))</f>
        <v/>
      </c>
      <c r="BR479" s="21">
        <v>382</v>
      </c>
      <c r="BS479" s="21">
        <v>1084</v>
      </c>
      <c r="BT479"/>
    </row>
    <row r="480" spans="1:72" s="23" customFormat="1" ht="18" customHeight="1" x14ac:dyDescent="0.3">
      <c r="A480" s="35" t="s">
        <v>470</v>
      </c>
      <c r="B480" s="37"/>
      <c r="C480" s="37"/>
      <c r="D480" s="37"/>
      <c r="E480" s="37"/>
      <c r="F480" s="35" t="s">
        <v>1478</v>
      </c>
      <c r="G480" s="37"/>
      <c r="H480" s="37"/>
      <c r="I480" s="37"/>
      <c r="J480" s="37"/>
      <c r="K480" s="21" t="str">
        <f t="shared" si="349"/>
        <v>Apprenant 468</v>
      </c>
      <c r="L480" s="22" t="str">
        <f t="shared" si="350"/>
        <v/>
      </c>
      <c r="M480" s="22" t="str">
        <f t="shared" si="351"/>
        <v/>
      </c>
      <c r="N480" s="22" t="str">
        <f t="shared" si="352"/>
        <v/>
      </c>
      <c r="O480" s="22" t="str">
        <f t="shared" si="353"/>
        <v/>
      </c>
      <c r="P480" s="21" t="str">
        <f t="shared" si="354"/>
        <v>Apprenant 468 ou 468'</v>
      </c>
      <c r="Q480" s="22" t="str">
        <f t="shared" si="355"/>
        <v/>
      </c>
      <c r="R480" s="22" t="str">
        <f t="shared" si="356"/>
        <v/>
      </c>
      <c r="S480" s="22" t="str">
        <f t="shared" si="357"/>
        <v/>
      </c>
      <c r="T480" s="22" t="str">
        <f t="shared" si="358"/>
        <v/>
      </c>
      <c r="V480" s="21" t="str">
        <f t="shared" si="359"/>
        <v>Apprenant 468</v>
      </c>
      <c r="W480" s="22" t="str">
        <f>IF(AND(OR('Choix pédagogiques'!$C$3=1,'Choix pédagogiques'!$C$3=2),$BM480=1),B480,IF(AND('Choix pédagogiques'!$C$3=3,$BO480=1),B480,""))</f>
        <v/>
      </c>
      <c r="X480" s="22" t="str">
        <f>IF(AND(OR('Choix pédagogiques'!$C$3=1,'Choix pédagogiques'!$C$3=2),$BM480=1),C480,IF(AND('Choix pédagogiques'!$C$3=3,$BO480=1),C480,""))</f>
        <v/>
      </c>
      <c r="Y480" s="22" t="str">
        <f>IF(AND(OR('Choix pédagogiques'!$C$3=1,'Choix pédagogiques'!$C$3=2),$BM480=1),D480,IF(AND('Choix pédagogiques'!$C$3=3,$BO480=1),D480,""))</f>
        <v/>
      </c>
      <c r="Z480" s="22" t="str">
        <f t="shared" si="360"/>
        <v/>
      </c>
      <c r="AA480" s="21" t="str">
        <f t="shared" si="361"/>
        <v>Apprenant 468 ou 468'</v>
      </c>
      <c r="AB480" s="22" t="str">
        <f>IF(AND(OR('Choix pédagogiques'!$C$3=1,'Choix pédagogiques'!$C$3=2),$BN480=1),G480,IF(AND('Choix pédagogiques'!$C$3=3,$BO480=1),G480,""))</f>
        <v/>
      </c>
      <c r="AC480" s="22" t="str">
        <f>IF(AND(OR('Choix pédagogiques'!$C$3=1,'Choix pédagogiques'!$C$3=2),$BN480=1),H480,IF(AND('Choix pédagogiques'!$C$3=3,$BO480=1),H480,""))</f>
        <v/>
      </c>
      <c r="AD480" s="22" t="str">
        <f>IF(AND(OR('Choix pédagogiques'!$C$3=1,'Choix pédagogiques'!$C$3=2),$BN480=1),I480,IF(AND('Choix pédagogiques'!$C$3=3,$BO480=1),I480,""))</f>
        <v/>
      </c>
      <c r="AE480" s="22" t="str">
        <f t="shared" si="362"/>
        <v/>
      </c>
      <c r="AF480" s="21" t="str">
        <f t="shared" si="363"/>
        <v>Apprenant 468</v>
      </c>
      <c r="AG480" s="22" t="str">
        <f t="shared" si="337"/>
        <v/>
      </c>
      <c r="AH480" s="22" t="str">
        <f t="shared" si="338"/>
        <v/>
      </c>
      <c r="AI480" s="22" t="str">
        <f t="shared" si="339"/>
        <v/>
      </c>
      <c r="AJ480" s="22" t="str">
        <f t="shared" si="364"/>
        <v/>
      </c>
      <c r="AK480" s="21" t="str">
        <f t="shared" si="365"/>
        <v>Apprenant 468 ou 468'</v>
      </c>
      <c r="AL480" s="22" t="str">
        <f t="shared" si="340"/>
        <v/>
      </c>
      <c r="AM480" s="22" t="str">
        <f t="shared" si="341"/>
        <v/>
      </c>
      <c r="AN480" s="22" t="str">
        <f t="shared" si="342"/>
        <v/>
      </c>
      <c r="AO480" s="22" t="str">
        <f t="shared" si="366"/>
        <v/>
      </c>
      <c r="AQ480" s="21" t="str">
        <f t="shared" si="367"/>
        <v>Apprenant 468</v>
      </c>
      <c r="AR480" s="49" t="str">
        <f>IF(AND('Choix pédagogiques'!$C$4&lt;&gt;"?",'Choix pédagogiques'!$C$5&lt;&gt;"?",W480&lt;&gt;""),(W480-'Choix pédagogiques'!$C$4)/('Choix pédagogiques'!$C$5-'Choix pédagogiques'!$C$4),"")</f>
        <v/>
      </c>
      <c r="AS480" s="49" t="str">
        <f>IF(AND('Choix pédagogiques'!$C$4&lt;&gt;"?",'Choix pédagogiques'!$C$5&lt;&gt;"?",X480&lt;&gt;""),(X480-'Choix pédagogiques'!$C$4)/('Choix pédagogiques'!$C$5-'Choix pédagogiques'!$C$4),"")</f>
        <v/>
      </c>
      <c r="AT480" s="49" t="str">
        <f>IF(AND('Choix pédagogiques'!$C$4&lt;&gt;"?",'Choix pédagogiques'!$C$5&lt;&gt;"?",Y480&lt;&gt;""),(Y480-'Choix pédagogiques'!$C$4)/('Choix pédagogiques'!$C$5-'Choix pédagogiques'!$C$4),"")</f>
        <v/>
      </c>
      <c r="AU480" s="22" t="str">
        <f t="shared" si="368"/>
        <v/>
      </c>
      <c r="AV480" s="21" t="str">
        <f t="shared" si="369"/>
        <v>Apprenant 468 ou 468'</v>
      </c>
      <c r="AW480" s="49" t="str">
        <f>IF(AND('Choix pédagogiques'!$C$4&lt;&gt;"?",'Choix pédagogiques'!$C$5&lt;&gt;"?",AB480&lt;&gt;""),(AB480-'Choix pédagogiques'!$C$4)/('Choix pédagogiques'!$C$5-'Choix pédagogiques'!$C$4),"")</f>
        <v/>
      </c>
      <c r="AX480" s="49" t="str">
        <f>IF(AND('Choix pédagogiques'!$C$4&lt;&gt;"?",'Choix pédagogiques'!$C$5&lt;&gt;"?",AC480&lt;&gt;""),(AC480-'Choix pédagogiques'!$C$4)/('Choix pédagogiques'!$C$5-'Choix pédagogiques'!$C$4),"")</f>
        <v/>
      </c>
      <c r="AY480" s="49" t="str">
        <f>IF(AND('Choix pédagogiques'!$C$4&lt;&gt;"?",'Choix pédagogiques'!$C$5&lt;&gt;"?",AD480&lt;&gt;""),(AD480-'Choix pédagogiques'!$C$4)/('Choix pédagogiques'!$C$5-'Choix pédagogiques'!$C$4),"")</f>
        <v/>
      </c>
      <c r="AZ480" s="22" t="str">
        <f t="shared" si="370"/>
        <v/>
      </c>
      <c r="BA480" s="21" t="str">
        <f t="shared" si="371"/>
        <v>Apprenant 468</v>
      </c>
      <c r="BB480" s="49" t="str">
        <f t="shared" si="343"/>
        <v/>
      </c>
      <c r="BC480" s="49" t="str">
        <f t="shared" si="344"/>
        <v/>
      </c>
      <c r="BD480" s="49" t="str">
        <f t="shared" si="345"/>
        <v/>
      </c>
      <c r="BE480" s="22" t="str">
        <f t="shared" si="372"/>
        <v/>
      </c>
      <c r="BF480" s="21" t="str">
        <f t="shared" si="373"/>
        <v>Apprenant 468 ou 468'</v>
      </c>
      <c r="BG480" s="49" t="str">
        <f t="shared" si="346"/>
        <v/>
      </c>
      <c r="BH480" s="49" t="str">
        <f t="shared" si="347"/>
        <v/>
      </c>
      <c r="BI480" s="49" t="str">
        <f t="shared" si="348"/>
        <v/>
      </c>
      <c r="BJ480" s="22" t="str">
        <f t="shared" si="374"/>
        <v/>
      </c>
      <c r="BL480" s="21"/>
      <c r="BM480" s="21" t="str">
        <f>IF(OR(COUNT(B480:D1479)=0,AND('Choix pédagogiques'!$C$3&lt;&gt;1,'Choix pédagogiques'!$C$3&lt;&gt;2)),"",IF(AND(OR('Choix pédagogiques'!$C$3=1,'Choix pédagogiques'!$C$3=2),$B480&lt;&gt;"",$C480&lt;&gt;"",$D480&lt;&gt;""),1,0))</f>
        <v/>
      </c>
      <c r="BN480" s="21" t="str">
        <f>IF(OR(COUNT(G480:I1479)=0,AND('Choix pédagogiques'!$C$3&lt;&gt;1,'Choix pédagogiques'!$C$3&lt;&gt;2)),"",IF(AND(OR('Choix pédagogiques'!$C$3=1,'Choix pédagogiques'!$C$3=2),AND($G480&lt;&gt;"",$H480&lt;&gt;"",$I480&lt;&gt;"")),1,0))</f>
        <v/>
      </c>
      <c r="BO480" s="21" t="str">
        <f>IF(OR(COUNT(B480:D1479)=0,COUNT(G480:I1479)=0,'Choix pédagogiques'!C$3&lt;&gt;3),"",IF(AND('Choix pédagogiques'!$C$3=3,$B480&lt;&gt;"",$C480&lt;&gt;"",$D480&lt;&gt;"",$G480&lt;&gt;"",$H480&lt;&gt;"",$I480&lt;&gt;""),1,0))</f>
        <v/>
      </c>
      <c r="BR480" s="21">
        <v>840</v>
      </c>
      <c r="BS480" s="21">
        <v>1215</v>
      </c>
      <c r="BT480"/>
    </row>
    <row r="481" spans="1:72" s="23" customFormat="1" ht="18" customHeight="1" x14ac:dyDescent="0.3">
      <c r="A481" s="35" t="s">
        <v>471</v>
      </c>
      <c r="B481" s="37"/>
      <c r="C481" s="37"/>
      <c r="D481" s="37"/>
      <c r="E481" s="37"/>
      <c r="F481" s="35" t="s">
        <v>1479</v>
      </c>
      <c r="G481" s="37"/>
      <c r="H481" s="37"/>
      <c r="I481" s="37"/>
      <c r="J481" s="37"/>
      <c r="K481" s="21" t="str">
        <f t="shared" si="349"/>
        <v>Apprenant 469</v>
      </c>
      <c r="L481" s="22" t="str">
        <f t="shared" si="350"/>
        <v/>
      </c>
      <c r="M481" s="22" t="str">
        <f t="shared" si="351"/>
        <v/>
      </c>
      <c r="N481" s="22" t="str">
        <f t="shared" si="352"/>
        <v/>
      </c>
      <c r="O481" s="22" t="str">
        <f t="shared" si="353"/>
        <v/>
      </c>
      <c r="P481" s="21" t="str">
        <f t="shared" si="354"/>
        <v>Apprenant 469 ou 469'</v>
      </c>
      <c r="Q481" s="22" t="str">
        <f t="shared" si="355"/>
        <v/>
      </c>
      <c r="R481" s="22" t="str">
        <f t="shared" si="356"/>
        <v/>
      </c>
      <c r="S481" s="22" t="str">
        <f t="shared" si="357"/>
        <v/>
      </c>
      <c r="T481" s="22" t="str">
        <f t="shared" si="358"/>
        <v/>
      </c>
      <c r="V481" s="21" t="str">
        <f t="shared" si="359"/>
        <v>Apprenant 469</v>
      </c>
      <c r="W481" s="22" t="str">
        <f>IF(AND(OR('Choix pédagogiques'!$C$3=1,'Choix pédagogiques'!$C$3=2),$BM481=1),B481,IF(AND('Choix pédagogiques'!$C$3=3,$BO481=1),B481,""))</f>
        <v/>
      </c>
      <c r="X481" s="22" t="str">
        <f>IF(AND(OR('Choix pédagogiques'!$C$3=1,'Choix pédagogiques'!$C$3=2),$BM481=1),C481,IF(AND('Choix pédagogiques'!$C$3=3,$BO481=1),C481,""))</f>
        <v/>
      </c>
      <c r="Y481" s="22" t="str">
        <f>IF(AND(OR('Choix pédagogiques'!$C$3=1,'Choix pédagogiques'!$C$3=2),$BM481=1),D481,IF(AND('Choix pédagogiques'!$C$3=3,$BO481=1),D481,""))</f>
        <v/>
      </c>
      <c r="Z481" s="22" t="str">
        <f t="shared" si="360"/>
        <v/>
      </c>
      <c r="AA481" s="21" t="str">
        <f t="shared" si="361"/>
        <v>Apprenant 469 ou 469'</v>
      </c>
      <c r="AB481" s="22" t="str">
        <f>IF(AND(OR('Choix pédagogiques'!$C$3=1,'Choix pédagogiques'!$C$3=2),$BN481=1),G481,IF(AND('Choix pédagogiques'!$C$3=3,$BO481=1),G481,""))</f>
        <v/>
      </c>
      <c r="AC481" s="22" t="str">
        <f>IF(AND(OR('Choix pédagogiques'!$C$3=1,'Choix pédagogiques'!$C$3=2),$BN481=1),H481,IF(AND('Choix pédagogiques'!$C$3=3,$BO481=1),H481,""))</f>
        <v/>
      </c>
      <c r="AD481" s="22" t="str">
        <f>IF(AND(OR('Choix pédagogiques'!$C$3=1,'Choix pédagogiques'!$C$3=2),$BN481=1),I481,IF(AND('Choix pédagogiques'!$C$3=3,$BO481=1),I481,""))</f>
        <v/>
      </c>
      <c r="AE481" s="22" t="str">
        <f t="shared" si="362"/>
        <v/>
      </c>
      <c r="AF481" s="21" t="str">
        <f t="shared" si="363"/>
        <v>Apprenant 469</v>
      </c>
      <c r="AG481" s="22" t="str">
        <f t="shared" si="337"/>
        <v/>
      </c>
      <c r="AH481" s="22" t="str">
        <f t="shared" si="338"/>
        <v/>
      </c>
      <c r="AI481" s="22" t="str">
        <f t="shared" si="339"/>
        <v/>
      </c>
      <c r="AJ481" s="22" t="str">
        <f t="shared" si="364"/>
        <v/>
      </c>
      <c r="AK481" s="21" t="str">
        <f t="shared" si="365"/>
        <v>Apprenant 469 ou 469'</v>
      </c>
      <c r="AL481" s="22" t="str">
        <f t="shared" si="340"/>
        <v/>
      </c>
      <c r="AM481" s="22" t="str">
        <f t="shared" si="341"/>
        <v/>
      </c>
      <c r="AN481" s="22" t="str">
        <f t="shared" si="342"/>
        <v/>
      </c>
      <c r="AO481" s="22" t="str">
        <f t="shared" si="366"/>
        <v/>
      </c>
      <c r="AQ481" s="21" t="str">
        <f t="shared" si="367"/>
        <v>Apprenant 469</v>
      </c>
      <c r="AR481" s="49" t="str">
        <f>IF(AND('Choix pédagogiques'!$C$4&lt;&gt;"?",'Choix pédagogiques'!$C$5&lt;&gt;"?",W481&lt;&gt;""),(W481-'Choix pédagogiques'!$C$4)/('Choix pédagogiques'!$C$5-'Choix pédagogiques'!$C$4),"")</f>
        <v/>
      </c>
      <c r="AS481" s="49" t="str">
        <f>IF(AND('Choix pédagogiques'!$C$4&lt;&gt;"?",'Choix pédagogiques'!$C$5&lt;&gt;"?",X481&lt;&gt;""),(X481-'Choix pédagogiques'!$C$4)/('Choix pédagogiques'!$C$5-'Choix pédagogiques'!$C$4),"")</f>
        <v/>
      </c>
      <c r="AT481" s="49" t="str">
        <f>IF(AND('Choix pédagogiques'!$C$4&lt;&gt;"?",'Choix pédagogiques'!$C$5&lt;&gt;"?",Y481&lt;&gt;""),(Y481-'Choix pédagogiques'!$C$4)/('Choix pédagogiques'!$C$5-'Choix pédagogiques'!$C$4),"")</f>
        <v/>
      </c>
      <c r="AU481" s="22" t="str">
        <f t="shared" si="368"/>
        <v/>
      </c>
      <c r="AV481" s="21" t="str">
        <f t="shared" si="369"/>
        <v>Apprenant 469 ou 469'</v>
      </c>
      <c r="AW481" s="49" t="str">
        <f>IF(AND('Choix pédagogiques'!$C$4&lt;&gt;"?",'Choix pédagogiques'!$C$5&lt;&gt;"?",AB481&lt;&gt;""),(AB481-'Choix pédagogiques'!$C$4)/('Choix pédagogiques'!$C$5-'Choix pédagogiques'!$C$4),"")</f>
        <v/>
      </c>
      <c r="AX481" s="49" t="str">
        <f>IF(AND('Choix pédagogiques'!$C$4&lt;&gt;"?",'Choix pédagogiques'!$C$5&lt;&gt;"?",AC481&lt;&gt;""),(AC481-'Choix pédagogiques'!$C$4)/('Choix pédagogiques'!$C$5-'Choix pédagogiques'!$C$4),"")</f>
        <v/>
      </c>
      <c r="AY481" s="49" t="str">
        <f>IF(AND('Choix pédagogiques'!$C$4&lt;&gt;"?",'Choix pédagogiques'!$C$5&lt;&gt;"?",AD481&lt;&gt;""),(AD481-'Choix pédagogiques'!$C$4)/('Choix pédagogiques'!$C$5-'Choix pédagogiques'!$C$4),"")</f>
        <v/>
      </c>
      <c r="AZ481" s="22" t="str">
        <f t="shared" si="370"/>
        <v/>
      </c>
      <c r="BA481" s="21" t="str">
        <f t="shared" si="371"/>
        <v>Apprenant 469</v>
      </c>
      <c r="BB481" s="49" t="str">
        <f t="shared" si="343"/>
        <v/>
      </c>
      <c r="BC481" s="49" t="str">
        <f t="shared" si="344"/>
        <v/>
      </c>
      <c r="BD481" s="49" t="str">
        <f t="shared" si="345"/>
        <v/>
      </c>
      <c r="BE481" s="22" t="str">
        <f t="shared" si="372"/>
        <v/>
      </c>
      <c r="BF481" s="21" t="str">
        <f t="shared" si="373"/>
        <v>Apprenant 469 ou 469'</v>
      </c>
      <c r="BG481" s="49" t="str">
        <f t="shared" si="346"/>
        <v/>
      </c>
      <c r="BH481" s="49" t="str">
        <f t="shared" si="347"/>
        <v/>
      </c>
      <c r="BI481" s="49" t="str">
        <f t="shared" si="348"/>
        <v/>
      </c>
      <c r="BJ481" s="22" t="str">
        <f t="shared" si="374"/>
        <v/>
      </c>
      <c r="BL481" s="21"/>
      <c r="BM481" s="21" t="str">
        <f>IF(OR(COUNT(B481:D1480)=0,AND('Choix pédagogiques'!$C$3&lt;&gt;1,'Choix pédagogiques'!$C$3&lt;&gt;2)),"",IF(AND(OR('Choix pédagogiques'!$C$3=1,'Choix pédagogiques'!$C$3=2),$B481&lt;&gt;"",$C481&lt;&gt;"",$D481&lt;&gt;""),1,0))</f>
        <v/>
      </c>
      <c r="BN481" s="21" t="str">
        <f>IF(OR(COUNT(G481:I1480)=0,AND('Choix pédagogiques'!$C$3&lt;&gt;1,'Choix pédagogiques'!$C$3&lt;&gt;2)),"",IF(AND(OR('Choix pédagogiques'!$C$3=1,'Choix pédagogiques'!$C$3=2),AND($G481&lt;&gt;"",$H481&lt;&gt;"",$I481&lt;&gt;"")),1,0))</f>
        <v/>
      </c>
      <c r="BO481" s="21" t="str">
        <f>IF(OR(COUNT(B481:D1480)=0,COUNT(G481:I1480)=0,'Choix pédagogiques'!C$3&lt;&gt;3),"",IF(AND('Choix pédagogiques'!$C$3=3,$B481&lt;&gt;"",$C481&lt;&gt;"",$D481&lt;&gt;"",$G481&lt;&gt;"",$H481&lt;&gt;"",$I481&lt;&gt;""),1,0))</f>
        <v/>
      </c>
      <c r="BR481" s="21">
        <v>515</v>
      </c>
      <c r="BS481" s="21">
        <v>1598</v>
      </c>
      <c r="BT481"/>
    </row>
    <row r="482" spans="1:72" s="23" customFormat="1" ht="18" customHeight="1" x14ac:dyDescent="0.3">
      <c r="A482" s="35" t="s">
        <v>472</v>
      </c>
      <c r="B482" s="37"/>
      <c r="C482" s="37"/>
      <c r="D482" s="37"/>
      <c r="E482" s="37"/>
      <c r="F482" s="35" t="s">
        <v>1480</v>
      </c>
      <c r="G482" s="37"/>
      <c r="H482" s="37"/>
      <c r="I482" s="37"/>
      <c r="J482" s="37"/>
      <c r="K482" s="21" t="str">
        <f t="shared" si="349"/>
        <v>Apprenant 470</v>
      </c>
      <c r="L482" s="22" t="str">
        <f t="shared" si="350"/>
        <v/>
      </c>
      <c r="M482" s="22" t="str">
        <f t="shared" si="351"/>
        <v/>
      </c>
      <c r="N482" s="22" t="str">
        <f t="shared" si="352"/>
        <v/>
      </c>
      <c r="O482" s="22" t="str">
        <f t="shared" si="353"/>
        <v/>
      </c>
      <c r="P482" s="21" t="str">
        <f t="shared" si="354"/>
        <v>Apprenant 470 ou 470'</v>
      </c>
      <c r="Q482" s="22" t="str">
        <f t="shared" si="355"/>
        <v/>
      </c>
      <c r="R482" s="22" t="str">
        <f t="shared" si="356"/>
        <v/>
      </c>
      <c r="S482" s="22" t="str">
        <f t="shared" si="357"/>
        <v/>
      </c>
      <c r="T482" s="22" t="str">
        <f t="shared" si="358"/>
        <v/>
      </c>
      <c r="V482" s="21" t="str">
        <f t="shared" si="359"/>
        <v>Apprenant 470</v>
      </c>
      <c r="W482" s="22" t="str">
        <f>IF(AND(OR('Choix pédagogiques'!$C$3=1,'Choix pédagogiques'!$C$3=2),$BM482=1),B482,IF(AND('Choix pédagogiques'!$C$3=3,$BO482=1),B482,""))</f>
        <v/>
      </c>
      <c r="X482" s="22" t="str">
        <f>IF(AND(OR('Choix pédagogiques'!$C$3=1,'Choix pédagogiques'!$C$3=2),$BM482=1),C482,IF(AND('Choix pédagogiques'!$C$3=3,$BO482=1),C482,""))</f>
        <v/>
      </c>
      <c r="Y482" s="22" t="str">
        <f>IF(AND(OR('Choix pédagogiques'!$C$3=1,'Choix pédagogiques'!$C$3=2),$BM482=1),D482,IF(AND('Choix pédagogiques'!$C$3=3,$BO482=1),D482,""))</f>
        <v/>
      </c>
      <c r="Z482" s="22" t="str">
        <f t="shared" si="360"/>
        <v/>
      </c>
      <c r="AA482" s="21" t="str">
        <f t="shared" si="361"/>
        <v>Apprenant 470 ou 470'</v>
      </c>
      <c r="AB482" s="22" t="str">
        <f>IF(AND(OR('Choix pédagogiques'!$C$3=1,'Choix pédagogiques'!$C$3=2),$BN482=1),G482,IF(AND('Choix pédagogiques'!$C$3=3,$BO482=1),G482,""))</f>
        <v/>
      </c>
      <c r="AC482" s="22" t="str">
        <f>IF(AND(OR('Choix pédagogiques'!$C$3=1,'Choix pédagogiques'!$C$3=2),$BN482=1),H482,IF(AND('Choix pédagogiques'!$C$3=3,$BO482=1),H482,""))</f>
        <v/>
      </c>
      <c r="AD482" s="22" t="str">
        <f>IF(AND(OR('Choix pédagogiques'!$C$3=1,'Choix pédagogiques'!$C$3=2),$BN482=1),I482,IF(AND('Choix pédagogiques'!$C$3=3,$BO482=1),I482,""))</f>
        <v/>
      </c>
      <c r="AE482" s="22" t="str">
        <f t="shared" si="362"/>
        <v/>
      </c>
      <c r="AF482" s="21" t="str">
        <f t="shared" si="363"/>
        <v>Apprenant 470</v>
      </c>
      <c r="AG482" s="22" t="str">
        <f t="shared" si="337"/>
        <v/>
      </c>
      <c r="AH482" s="22" t="str">
        <f t="shared" si="338"/>
        <v/>
      </c>
      <c r="AI482" s="22" t="str">
        <f t="shared" si="339"/>
        <v/>
      </c>
      <c r="AJ482" s="22" t="str">
        <f t="shared" si="364"/>
        <v/>
      </c>
      <c r="AK482" s="21" t="str">
        <f t="shared" si="365"/>
        <v>Apprenant 470 ou 470'</v>
      </c>
      <c r="AL482" s="22" t="str">
        <f t="shared" si="340"/>
        <v/>
      </c>
      <c r="AM482" s="22" t="str">
        <f t="shared" si="341"/>
        <v/>
      </c>
      <c r="AN482" s="22" t="str">
        <f t="shared" si="342"/>
        <v/>
      </c>
      <c r="AO482" s="22" t="str">
        <f t="shared" si="366"/>
        <v/>
      </c>
      <c r="AQ482" s="21" t="str">
        <f t="shared" si="367"/>
        <v>Apprenant 470</v>
      </c>
      <c r="AR482" s="49" t="str">
        <f>IF(AND('Choix pédagogiques'!$C$4&lt;&gt;"?",'Choix pédagogiques'!$C$5&lt;&gt;"?",W482&lt;&gt;""),(W482-'Choix pédagogiques'!$C$4)/('Choix pédagogiques'!$C$5-'Choix pédagogiques'!$C$4),"")</f>
        <v/>
      </c>
      <c r="AS482" s="49" t="str">
        <f>IF(AND('Choix pédagogiques'!$C$4&lt;&gt;"?",'Choix pédagogiques'!$C$5&lt;&gt;"?",X482&lt;&gt;""),(X482-'Choix pédagogiques'!$C$4)/('Choix pédagogiques'!$C$5-'Choix pédagogiques'!$C$4),"")</f>
        <v/>
      </c>
      <c r="AT482" s="49" t="str">
        <f>IF(AND('Choix pédagogiques'!$C$4&lt;&gt;"?",'Choix pédagogiques'!$C$5&lt;&gt;"?",Y482&lt;&gt;""),(Y482-'Choix pédagogiques'!$C$4)/('Choix pédagogiques'!$C$5-'Choix pédagogiques'!$C$4),"")</f>
        <v/>
      </c>
      <c r="AU482" s="22" t="str">
        <f t="shared" si="368"/>
        <v/>
      </c>
      <c r="AV482" s="21" t="str">
        <f t="shared" si="369"/>
        <v>Apprenant 470 ou 470'</v>
      </c>
      <c r="AW482" s="49" t="str">
        <f>IF(AND('Choix pédagogiques'!$C$4&lt;&gt;"?",'Choix pédagogiques'!$C$5&lt;&gt;"?",AB482&lt;&gt;""),(AB482-'Choix pédagogiques'!$C$4)/('Choix pédagogiques'!$C$5-'Choix pédagogiques'!$C$4),"")</f>
        <v/>
      </c>
      <c r="AX482" s="49" t="str">
        <f>IF(AND('Choix pédagogiques'!$C$4&lt;&gt;"?",'Choix pédagogiques'!$C$5&lt;&gt;"?",AC482&lt;&gt;""),(AC482-'Choix pédagogiques'!$C$4)/('Choix pédagogiques'!$C$5-'Choix pédagogiques'!$C$4),"")</f>
        <v/>
      </c>
      <c r="AY482" s="49" t="str">
        <f>IF(AND('Choix pédagogiques'!$C$4&lt;&gt;"?",'Choix pédagogiques'!$C$5&lt;&gt;"?",AD482&lt;&gt;""),(AD482-'Choix pédagogiques'!$C$4)/('Choix pédagogiques'!$C$5-'Choix pédagogiques'!$C$4),"")</f>
        <v/>
      </c>
      <c r="AZ482" s="22" t="str">
        <f t="shared" si="370"/>
        <v/>
      </c>
      <c r="BA482" s="21" t="str">
        <f t="shared" si="371"/>
        <v>Apprenant 470</v>
      </c>
      <c r="BB482" s="49" t="str">
        <f t="shared" si="343"/>
        <v/>
      </c>
      <c r="BC482" s="49" t="str">
        <f t="shared" si="344"/>
        <v/>
      </c>
      <c r="BD482" s="49" t="str">
        <f t="shared" si="345"/>
        <v/>
      </c>
      <c r="BE482" s="22" t="str">
        <f t="shared" si="372"/>
        <v/>
      </c>
      <c r="BF482" s="21" t="str">
        <f t="shared" si="373"/>
        <v>Apprenant 470 ou 470'</v>
      </c>
      <c r="BG482" s="49" t="str">
        <f t="shared" si="346"/>
        <v/>
      </c>
      <c r="BH482" s="49" t="str">
        <f t="shared" si="347"/>
        <v/>
      </c>
      <c r="BI482" s="49" t="str">
        <f t="shared" si="348"/>
        <v/>
      </c>
      <c r="BJ482" s="22" t="str">
        <f t="shared" si="374"/>
        <v/>
      </c>
      <c r="BL482" s="21"/>
      <c r="BM482" s="21" t="str">
        <f>IF(OR(COUNT(B482:D1481)=0,AND('Choix pédagogiques'!$C$3&lt;&gt;1,'Choix pédagogiques'!$C$3&lt;&gt;2)),"",IF(AND(OR('Choix pédagogiques'!$C$3=1,'Choix pédagogiques'!$C$3=2),$B482&lt;&gt;"",$C482&lt;&gt;"",$D482&lt;&gt;""),1,0))</f>
        <v/>
      </c>
      <c r="BN482" s="21" t="str">
        <f>IF(OR(COUNT(G482:I1481)=0,AND('Choix pédagogiques'!$C$3&lt;&gt;1,'Choix pédagogiques'!$C$3&lt;&gt;2)),"",IF(AND(OR('Choix pédagogiques'!$C$3=1,'Choix pédagogiques'!$C$3=2),AND($G482&lt;&gt;"",$H482&lt;&gt;"",$I482&lt;&gt;"")),1,0))</f>
        <v/>
      </c>
      <c r="BO482" s="21" t="str">
        <f>IF(OR(COUNT(B482:D1481)=0,COUNT(G482:I1481)=0,'Choix pédagogiques'!C$3&lt;&gt;3),"",IF(AND('Choix pédagogiques'!$C$3=3,$B482&lt;&gt;"",$C482&lt;&gt;"",$D482&lt;&gt;"",$G482&lt;&gt;"",$H482&lt;&gt;"",$I482&lt;&gt;""),1,0))</f>
        <v/>
      </c>
      <c r="BR482" s="21">
        <v>879</v>
      </c>
      <c r="BS482" s="21">
        <v>1362</v>
      </c>
      <c r="BT482"/>
    </row>
    <row r="483" spans="1:72" s="23" customFormat="1" ht="18" customHeight="1" x14ac:dyDescent="0.3">
      <c r="A483" s="35" t="s">
        <v>473</v>
      </c>
      <c r="B483" s="37"/>
      <c r="C483" s="37"/>
      <c r="D483" s="37"/>
      <c r="E483" s="37"/>
      <c r="F483" s="35" t="s">
        <v>1481</v>
      </c>
      <c r="G483" s="37"/>
      <c r="H483" s="37"/>
      <c r="I483" s="37"/>
      <c r="J483" s="37"/>
      <c r="K483" s="21" t="str">
        <f t="shared" si="349"/>
        <v>Apprenant 471</v>
      </c>
      <c r="L483" s="22" t="str">
        <f t="shared" si="350"/>
        <v/>
      </c>
      <c r="M483" s="22" t="str">
        <f t="shared" si="351"/>
        <v/>
      </c>
      <c r="N483" s="22" t="str">
        <f t="shared" si="352"/>
        <v/>
      </c>
      <c r="O483" s="22" t="str">
        <f t="shared" si="353"/>
        <v/>
      </c>
      <c r="P483" s="21" t="str">
        <f t="shared" si="354"/>
        <v>Apprenant 471 ou 471'</v>
      </c>
      <c r="Q483" s="22" t="str">
        <f t="shared" si="355"/>
        <v/>
      </c>
      <c r="R483" s="22" t="str">
        <f t="shared" si="356"/>
        <v/>
      </c>
      <c r="S483" s="22" t="str">
        <f t="shared" si="357"/>
        <v/>
      </c>
      <c r="T483" s="22" t="str">
        <f t="shared" si="358"/>
        <v/>
      </c>
      <c r="V483" s="21" t="str">
        <f t="shared" si="359"/>
        <v>Apprenant 471</v>
      </c>
      <c r="W483" s="22" t="str">
        <f>IF(AND(OR('Choix pédagogiques'!$C$3=1,'Choix pédagogiques'!$C$3=2),$BM483=1),B483,IF(AND('Choix pédagogiques'!$C$3=3,$BO483=1),B483,""))</f>
        <v/>
      </c>
      <c r="X483" s="22" t="str">
        <f>IF(AND(OR('Choix pédagogiques'!$C$3=1,'Choix pédagogiques'!$C$3=2),$BM483=1),C483,IF(AND('Choix pédagogiques'!$C$3=3,$BO483=1),C483,""))</f>
        <v/>
      </c>
      <c r="Y483" s="22" t="str">
        <f>IF(AND(OR('Choix pédagogiques'!$C$3=1,'Choix pédagogiques'!$C$3=2),$BM483=1),D483,IF(AND('Choix pédagogiques'!$C$3=3,$BO483=1),D483,""))</f>
        <v/>
      </c>
      <c r="Z483" s="22" t="str">
        <f t="shared" si="360"/>
        <v/>
      </c>
      <c r="AA483" s="21" t="str">
        <f t="shared" si="361"/>
        <v>Apprenant 471 ou 471'</v>
      </c>
      <c r="AB483" s="22" t="str">
        <f>IF(AND(OR('Choix pédagogiques'!$C$3=1,'Choix pédagogiques'!$C$3=2),$BN483=1),G483,IF(AND('Choix pédagogiques'!$C$3=3,$BO483=1),G483,""))</f>
        <v/>
      </c>
      <c r="AC483" s="22" t="str">
        <f>IF(AND(OR('Choix pédagogiques'!$C$3=1,'Choix pédagogiques'!$C$3=2),$BN483=1),H483,IF(AND('Choix pédagogiques'!$C$3=3,$BO483=1),H483,""))</f>
        <v/>
      </c>
      <c r="AD483" s="22" t="str">
        <f>IF(AND(OR('Choix pédagogiques'!$C$3=1,'Choix pédagogiques'!$C$3=2),$BN483=1),I483,IF(AND('Choix pédagogiques'!$C$3=3,$BO483=1),I483,""))</f>
        <v/>
      </c>
      <c r="AE483" s="22" t="str">
        <f t="shared" si="362"/>
        <v/>
      </c>
      <c r="AF483" s="21" t="str">
        <f t="shared" si="363"/>
        <v>Apprenant 471</v>
      </c>
      <c r="AG483" s="22" t="str">
        <f t="shared" si="337"/>
        <v/>
      </c>
      <c r="AH483" s="22" t="str">
        <f t="shared" si="338"/>
        <v/>
      </c>
      <c r="AI483" s="22" t="str">
        <f t="shared" si="339"/>
        <v/>
      </c>
      <c r="AJ483" s="22" t="str">
        <f t="shared" si="364"/>
        <v/>
      </c>
      <c r="AK483" s="21" t="str">
        <f t="shared" si="365"/>
        <v>Apprenant 471 ou 471'</v>
      </c>
      <c r="AL483" s="22" t="str">
        <f t="shared" si="340"/>
        <v/>
      </c>
      <c r="AM483" s="22" t="str">
        <f t="shared" si="341"/>
        <v/>
      </c>
      <c r="AN483" s="22" t="str">
        <f t="shared" si="342"/>
        <v/>
      </c>
      <c r="AO483" s="22" t="str">
        <f t="shared" si="366"/>
        <v/>
      </c>
      <c r="AQ483" s="21" t="str">
        <f t="shared" si="367"/>
        <v>Apprenant 471</v>
      </c>
      <c r="AR483" s="49" t="str">
        <f>IF(AND('Choix pédagogiques'!$C$4&lt;&gt;"?",'Choix pédagogiques'!$C$5&lt;&gt;"?",W483&lt;&gt;""),(W483-'Choix pédagogiques'!$C$4)/('Choix pédagogiques'!$C$5-'Choix pédagogiques'!$C$4),"")</f>
        <v/>
      </c>
      <c r="AS483" s="49" t="str">
        <f>IF(AND('Choix pédagogiques'!$C$4&lt;&gt;"?",'Choix pédagogiques'!$C$5&lt;&gt;"?",X483&lt;&gt;""),(X483-'Choix pédagogiques'!$C$4)/('Choix pédagogiques'!$C$5-'Choix pédagogiques'!$C$4),"")</f>
        <v/>
      </c>
      <c r="AT483" s="49" t="str">
        <f>IF(AND('Choix pédagogiques'!$C$4&lt;&gt;"?",'Choix pédagogiques'!$C$5&lt;&gt;"?",Y483&lt;&gt;""),(Y483-'Choix pédagogiques'!$C$4)/('Choix pédagogiques'!$C$5-'Choix pédagogiques'!$C$4),"")</f>
        <v/>
      </c>
      <c r="AU483" s="22" t="str">
        <f t="shared" si="368"/>
        <v/>
      </c>
      <c r="AV483" s="21" t="str">
        <f t="shared" si="369"/>
        <v>Apprenant 471 ou 471'</v>
      </c>
      <c r="AW483" s="49" t="str">
        <f>IF(AND('Choix pédagogiques'!$C$4&lt;&gt;"?",'Choix pédagogiques'!$C$5&lt;&gt;"?",AB483&lt;&gt;""),(AB483-'Choix pédagogiques'!$C$4)/('Choix pédagogiques'!$C$5-'Choix pédagogiques'!$C$4),"")</f>
        <v/>
      </c>
      <c r="AX483" s="49" t="str">
        <f>IF(AND('Choix pédagogiques'!$C$4&lt;&gt;"?",'Choix pédagogiques'!$C$5&lt;&gt;"?",AC483&lt;&gt;""),(AC483-'Choix pédagogiques'!$C$4)/('Choix pédagogiques'!$C$5-'Choix pédagogiques'!$C$4),"")</f>
        <v/>
      </c>
      <c r="AY483" s="49" t="str">
        <f>IF(AND('Choix pédagogiques'!$C$4&lt;&gt;"?",'Choix pédagogiques'!$C$5&lt;&gt;"?",AD483&lt;&gt;""),(AD483-'Choix pédagogiques'!$C$4)/('Choix pédagogiques'!$C$5-'Choix pédagogiques'!$C$4),"")</f>
        <v/>
      </c>
      <c r="AZ483" s="22" t="str">
        <f t="shared" si="370"/>
        <v/>
      </c>
      <c r="BA483" s="21" t="str">
        <f t="shared" si="371"/>
        <v>Apprenant 471</v>
      </c>
      <c r="BB483" s="49" t="str">
        <f t="shared" si="343"/>
        <v/>
      </c>
      <c r="BC483" s="49" t="str">
        <f t="shared" si="344"/>
        <v/>
      </c>
      <c r="BD483" s="49" t="str">
        <f t="shared" si="345"/>
        <v/>
      </c>
      <c r="BE483" s="22" t="str">
        <f t="shared" si="372"/>
        <v/>
      </c>
      <c r="BF483" s="21" t="str">
        <f t="shared" si="373"/>
        <v>Apprenant 471 ou 471'</v>
      </c>
      <c r="BG483" s="49" t="str">
        <f t="shared" si="346"/>
        <v/>
      </c>
      <c r="BH483" s="49" t="str">
        <f t="shared" si="347"/>
        <v/>
      </c>
      <c r="BI483" s="49" t="str">
        <f t="shared" si="348"/>
        <v/>
      </c>
      <c r="BJ483" s="22" t="str">
        <f t="shared" si="374"/>
        <v/>
      </c>
      <c r="BL483" s="21"/>
      <c r="BM483" s="21" t="str">
        <f>IF(OR(COUNT(B483:D1482)=0,AND('Choix pédagogiques'!$C$3&lt;&gt;1,'Choix pédagogiques'!$C$3&lt;&gt;2)),"",IF(AND(OR('Choix pédagogiques'!$C$3=1,'Choix pédagogiques'!$C$3=2),$B483&lt;&gt;"",$C483&lt;&gt;"",$D483&lt;&gt;""),1,0))</f>
        <v/>
      </c>
      <c r="BN483" s="21" t="str">
        <f>IF(OR(COUNT(G483:I1482)=0,AND('Choix pédagogiques'!$C$3&lt;&gt;1,'Choix pédagogiques'!$C$3&lt;&gt;2)),"",IF(AND(OR('Choix pédagogiques'!$C$3=1,'Choix pédagogiques'!$C$3=2),AND($G483&lt;&gt;"",$H483&lt;&gt;"",$I483&lt;&gt;"")),1,0))</f>
        <v/>
      </c>
      <c r="BO483" s="21" t="str">
        <f>IF(OR(COUNT(B483:D1482)=0,COUNT(G483:I1482)=0,'Choix pédagogiques'!C$3&lt;&gt;3),"",IF(AND('Choix pédagogiques'!$C$3=3,$B483&lt;&gt;"",$C483&lt;&gt;"",$D483&lt;&gt;"",$G483&lt;&gt;"",$H483&lt;&gt;"",$I483&lt;&gt;""),1,0))</f>
        <v/>
      </c>
      <c r="BR483" s="21">
        <v>272</v>
      </c>
      <c r="BS483" s="21">
        <v>1166</v>
      </c>
      <c r="BT483"/>
    </row>
    <row r="484" spans="1:72" s="23" customFormat="1" ht="18" customHeight="1" x14ac:dyDescent="0.3">
      <c r="A484" s="35" t="s">
        <v>474</v>
      </c>
      <c r="B484" s="37"/>
      <c r="C484" s="37"/>
      <c r="D484" s="37"/>
      <c r="E484" s="37"/>
      <c r="F484" s="35" t="s">
        <v>1482</v>
      </c>
      <c r="G484" s="37"/>
      <c r="H484" s="37"/>
      <c r="I484" s="37"/>
      <c r="J484" s="37"/>
      <c r="K484" s="21" t="str">
        <f t="shared" si="349"/>
        <v>Apprenant 472</v>
      </c>
      <c r="L484" s="22" t="str">
        <f t="shared" si="350"/>
        <v/>
      </c>
      <c r="M484" s="22" t="str">
        <f t="shared" si="351"/>
        <v/>
      </c>
      <c r="N484" s="22" t="str">
        <f t="shared" si="352"/>
        <v/>
      </c>
      <c r="O484" s="22" t="str">
        <f t="shared" si="353"/>
        <v/>
      </c>
      <c r="P484" s="21" t="str">
        <f t="shared" si="354"/>
        <v>Apprenant 472 ou 472'</v>
      </c>
      <c r="Q484" s="22" t="str">
        <f t="shared" si="355"/>
        <v/>
      </c>
      <c r="R484" s="22" t="str">
        <f t="shared" si="356"/>
        <v/>
      </c>
      <c r="S484" s="22" t="str">
        <f t="shared" si="357"/>
        <v/>
      </c>
      <c r="T484" s="22" t="str">
        <f t="shared" si="358"/>
        <v/>
      </c>
      <c r="V484" s="21" t="str">
        <f t="shared" si="359"/>
        <v>Apprenant 472</v>
      </c>
      <c r="W484" s="22" t="str">
        <f>IF(AND(OR('Choix pédagogiques'!$C$3=1,'Choix pédagogiques'!$C$3=2),$BM484=1),B484,IF(AND('Choix pédagogiques'!$C$3=3,$BO484=1),B484,""))</f>
        <v/>
      </c>
      <c r="X484" s="22" t="str">
        <f>IF(AND(OR('Choix pédagogiques'!$C$3=1,'Choix pédagogiques'!$C$3=2),$BM484=1),C484,IF(AND('Choix pédagogiques'!$C$3=3,$BO484=1),C484,""))</f>
        <v/>
      </c>
      <c r="Y484" s="22" t="str">
        <f>IF(AND(OR('Choix pédagogiques'!$C$3=1,'Choix pédagogiques'!$C$3=2),$BM484=1),D484,IF(AND('Choix pédagogiques'!$C$3=3,$BO484=1),D484,""))</f>
        <v/>
      </c>
      <c r="Z484" s="22" t="str">
        <f t="shared" si="360"/>
        <v/>
      </c>
      <c r="AA484" s="21" t="str">
        <f t="shared" si="361"/>
        <v>Apprenant 472 ou 472'</v>
      </c>
      <c r="AB484" s="22" t="str">
        <f>IF(AND(OR('Choix pédagogiques'!$C$3=1,'Choix pédagogiques'!$C$3=2),$BN484=1),G484,IF(AND('Choix pédagogiques'!$C$3=3,$BO484=1),G484,""))</f>
        <v/>
      </c>
      <c r="AC484" s="22" t="str">
        <f>IF(AND(OR('Choix pédagogiques'!$C$3=1,'Choix pédagogiques'!$C$3=2),$BN484=1),H484,IF(AND('Choix pédagogiques'!$C$3=3,$BO484=1),H484,""))</f>
        <v/>
      </c>
      <c r="AD484" s="22" t="str">
        <f>IF(AND(OR('Choix pédagogiques'!$C$3=1,'Choix pédagogiques'!$C$3=2),$BN484=1),I484,IF(AND('Choix pédagogiques'!$C$3=3,$BO484=1),I484,""))</f>
        <v/>
      </c>
      <c r="AE484" s="22" t="str">
        <f t="shared" si="362"/>
        <v/>
      </c>
      <c r="AF484" s="21" t="str">
        <f t="shared" si="363"/>
        <v>Apprenant 472</v>
      </c>
      <c r="AG484" s="22" t="str">
        <f t="shared" si="337"/>
        <v/>
      </c>
      <c r="AH484" s="22" t="str">
        <f t="shared" si="338"/>
        <v/>
      </c>
      <c r="AI484" s="22" t="str">
        <f t="shared" si="339"/>
        <v/>
      </c>
      <c r="AJ484" s="22" t="str">
        <f t="shared" si="364"/>
        <v/>
      </c>
      <c r="AK484" s="21" t="str">
        <f t="shared" si="365"/>
        <v>Apprenant 472 ou 472'</v>
      </c>
      <c r="AL484" s="22" t="str">
        <f t="shared" si="340"/>
        <v/>
      </c>
      <c r="AM484" s="22" t="str">
        <f t="shared" si="341"/>
        <v/>
      </c>
      <c r="AN484" s="22" t="str">
        <f t="shared" si="342"/>
        <v/>
      </c>
      <c r="AO484" s="22" t="str">
        <f t="shared" si="366"/>
        <v/>
      </c>
      <c r="AQ484" s="21" t="str">
        <f t="shared" si="367"/>
        <v>Apprenant 472</v>
      </c>
      <c r="AR484" s="49" t="str">
        <f>IF(AND('Choix pédagogiques'!$C$4&lt;&gt;"?",'Choix pédagogiques'!$C$5&lt;&gt;"?",W484&lt;&gt;""),(W484-'Choix pédagogiques'!$C$4)/('Choix pédagogiques'!$C$5-'Choix pédagogiques'!$C$4),"")</f>
        <v/>
      </c>
      <c r="AS484" s="49" t="str">
        <f>IF(AND('Choix pédagogiques'!$C$4&lt;&gt;"?",'Choix pédagogiques'!$C$5&lt;&gt;"?",X484&lt;&gt;""),(X484-'Choix pédagogiques'!$C$4)/('Choix pédagogiques'!$C$5-'Choix pédagogiques'!$C$4),"")</f>
        <v/>
      </c>
      <c r="AT484" s="49" t="str">
        <f>IF(AND('Choix pédagogiques'!$C$4&lt;&gt;"?",'Choix pédagogiques'!$C$5&lt;&gt;"?",Y484&lt;&gt;""),(Y484-'Choix pédagogiques'!$C$4)/('Choix pédagogiques'!$C$5-'Choix pédagogiques'!$C$4),"")</f>
        <v/>
      </c>
      <c r="AU484" s="22" t="str">
        <f t="shared" si="368"/>
        <v/>
      </c>
      <c r="AV484" s="21" t="str">
        <f t="shared" si="369"/>
        <v>Apprenant 472 ou 472'</v>
      </c>
      <c r="AW484" s="49" t="str">
        <f>IF(AND('Choix pédagogiques'!$C$4&lt;&gt;"?",'Choix pédagogiques'!$C$5&lt;&gt;"?",AB484&lt;&gt;""),(AB484-'Choix pédagogiques'!$C$4)/('Choix pédagogiques'!$C$5-'Choix pédagogiques'!$C$4),"")</f>
        <v/>
      </c>
      <c r="AX484" s="49" t="str">
        <f>IF(AND('Choix pédagogiques'!$C$4&lt;&gt;"?",'Choix pédagogiques'!$C$5&lt;&gt;"?",AC484&lt;&gt;""),(AC484-'Choix pédagogiques'!$C$4)/('Choix pédagogiques'!$C$5-'Choix pédagogiques'!$C$4),"")</f>
        <v/>
      </c>
      <c r="AY484" s="49" t="str">
        <f>IF(AND('Choix pédagogiques'!$C$4&lt;&gt;"?",'Choix pédagogiques'!$C$5&lt;&gt;"?",AD484&lt;&gt;""),(AD484-'Choix pédagogiques'!$C$4)/('Choix pédagogiques'!$C$5-'Choix pédagogiques'!$C$4),"")</f>
        <v/>
      </c>
      <c r="AZ484" s="22" t="str">
        <f t="shared" si="370"/>
        <v/>
      </c>
      <c r="BA484" s="21" t="str">
        <f t="shared" si="371"/>
        <v>Apprenant 472</v>
      </c>
      <c r="BB484" s="49" t="str">
        <f t="shared" si="343"/>
        <v/>
      </c>
      <c r="BC484" s="49" t="str">
        <f t="shared" si="344"/>
        <v/>
      </c>
      <c r="BD484" s="49" t="str">
        <f t="shared" si="345"/>
        <v/>
      </c>
      <c r="BE484" s="22" t="str">
        <f t="shared" si="372"/>
        <v/>
      </c>
      <c r="BF484" s="21" t="str">
        <f t="shared" si="373"/>
        <v>Apprenant 472 ou 472'</v>
      </c>
      <c r="BG484" s="49" t="str">
        <f t="shared" si="346"/>
        <v/>
      </c>
      <c r="BH484" s="49" t="str">
        <f t="shared" si="347"/>
        <v/>
      </c>
      <c r="BI484" s="49" t="str">
        <f t="shared" si="348"/>
        <v/>
      </c>
      <c r="BJ484" s="22" t="str">
        <f t="shared" si="374"/>
        <v/>
      </c>
      <c r="BL484" s="21"/>
      <c r="BM484" s="21" t="str">
        <f>IF(OR(COUNT(B484:D1483)=0,AND('Choix pédagogiques'!$C$3&lt;&gt;1,'Choix pédagogiques'!$C$3&lt;&gt;2)),"",IF(AND(OR('Choix pédagogiques'!$C$3=1,'Choix pédagogiques'!$C$3=2),$B484&lt;&gt;"",$C484&lt;&gt;"",$D484&lt;&gt;""),1,0))</f>
        <v/>
      </c>
      <c r="BN484" s="21" t="str">
        <f>IF(OR(COUNT(G484:I1483)=0,AND('Choix pédagogiques'!$C$3&lt;&gt;1,'Choix pédagogiques'!$C$3&lt;&gt;2)),"",IF(AND(OR('Choix pédagogiques'!$C$3=1,'Choix pédagogiques'!$C$3=2),AND($G484&lt;&gt;"",$H484&lt;&gt;"",$I484&lt;&gt;"")),1,0))</f>
        <v/>
      </c>
      <c r="BO484" s="21" t="str">
        <f>IF(OR(COUNT(B484:D1483)=0,COUNT(G484:I1483)=0,'Choix pédagogiques'!C$3&lt;&gt;3),"",IF(AND('Choix pédagogiques'!$C$3=3,$B484&lt;&gt;"",$C484&lt;&gt;"",$D484&lt;&gt;"",$G484&lt;&gt;"",$H484&lt;&gt;"",$I484&lt;&gt;""),1,0))</f>
        <v/>
      </c>
      <c r="BR484" s="21">
        <v>503</v>
      </c>
      <c r="BS484" s="21">
        <v>1199</v>
      </c>
      <c r="BT484"/>
    </row>
    <row r="485" spans="1:72" s="23" customFormat="1" ht="18" customHeight="1" x14ac:dyDescent="0.3">
      <c r="A485" s="35" t="s">
        <v>475</v>
      </c>
      <c r="B485" s="37"/>
      <c r="C485" s="37"/>
      <c r="D485" s="37"/>
      <c r="E485" s="37"/>
      <c r="F485" s="35" t="s">
        <v>1483</v>
      </c>
      <c r="G485" s="37"/>
      <c r="H485" s="37"/>
      <c r="I485" s="37"/>
      <c r="J485" s="37"/>
      <c r="K485" s="21" t="str">
        <f t="shared" si="349"/>
        <v>Apprenant 473</v>
      </c>
      <c r="L485" s="22" t="str">
        <f t="shared" si="350"/>
        <v/>
      </c>
      <c r="M485" s="22" t="str">
        <f t="shared" si="351"/>
        <v/>
      </c>
      <c r="N485" s="22" t="str">
        <f t="shared" si="352"/>
        <v/>
      </c>
      <c r="O485" s="22" t="str">
        <f t="shared" si="353"/>
        <v/>
      </c>
      <c r="P485" s="21" t="str">
        <f t="shared" si="354"/>
        <v>Apprenant 473 ou 473'</v>
      </c>
      <c r="Q485" s="22" t="str">
        <f t="shared" si="355"/>
        <v/>
      </c>
      <c r="R485" s="22" t="str">
        <f t="shared" si="356"/>
        <v/>
      </c>
      <c r="S485" s="22" t="str">
        <f t="shared" si="357"/>
        <v/>
      </c>
      <c r="T485" s="22" t="str">
        <f t="shared" si="358"/>
        <v/>
      </c>
      <c r="V485" s="21" t="str">
        <f t="shared" si="359"/>
        <v>Apprenant 473</v>
      </c>
      <c r="W485" s="22" t="str">
        <f>IF(AND(OR('Choix pédagogiques'!$C$3=1,'Choix pédagogiques'!$C$3=2),$BM485=1),B485,IF(AND('Choix pédagogiques'!$C$3=3,$BO485=1),B485,""))</f>
        <v/>
      </c>
      <c r="X485" s="22" t="str">
        <f>IF(AND(OR('Choix pédagogiques'!$C$3=1,'Choix pédagogiques'!$C$3=2),$BM485=1),C485,IF(AND('Choix pédagogiques'!$C$3=3,$BO485=1),C485,""))</f>
        <v/>
      </c>
      <c r="Y485" s="22" t="str">
        <f>IF(AND(OR('Choix pédagogiques'!$C$3=1,'Choix pédagogiques'!$C$3=2),$BM485=1),D485,IF(AND('Choix pédagogiques'!$C$3=3,$BO485=1),D485,""))</f>
        <v/>
      </c>
      <c r="Z485" s="22" t="str">
        <f t="shared" si="360"/>
        <v/>
      </c>
      <c r="AA485" s="21" t="str">
        <f t="shared" si="361"/>
        <v>Apprenant 473 ou 473'</v>
      </c>
      <c r="AB485" s="22" t="str">
        <f>IF(AND(OR('Choix pédagogiques'!$C$3=1,'Choix pédagogiques'!$C$3=2),$BN485=1),G485,IF(AND('Choix pédagogiques'!$C$3=3,$BO485=1),G485,""))</f>
        <v/>
      </c>
      <c r="AC485" s="22" t="str">
        <f>IF(AND(OR('Choix pédagogiques'!$C$3=1,'Choix pédagogiques'!$C$3=2),$BN485=1),H485,IF(AND('Choix pédagogiques'!$C$3=3,$BO485=1),H485,""))</f>
        <v/>
      </c>
      <c r="AD485" s="22" t="str">
        <f>IF(AND(OR('Choix pédagogiques'!$C$3=1,'Choix pédagogiques'!$C$3=2),$BN485=1),I485,IF(AND('Choix pédagogiques'!$C$3=3,$BO485=1),I485,""))</f>
        <v/>
      </c>
      <c r="AE485" s="22" t="str">
        <f t="shared" si="362"/>
        <v/>
      </c>
      <c r="AF485" s="21" t="str">
        <f t="shared" si="363"/>
        <v>Apprenant 473</v>
      </c>
      <c r="AG485" s="22" t="str">
        <f t="shared" si="337"/>
        <v/>
      </c>
      <c r="AH485" s="22" t="str">
        <f t="shared" si="338"/>
        <v/>
      </c>
      <c r="AI485" s="22" t="str">
        <f t="shared" si="339"/>
        <v/>
      </c>
      <c r="AJ485" s="22" t="str">
        <f t="shared" si="364"/>
        <v/>
      </c>
      <c r="AK485" s="21" t="str">
        <f t="shared" si="365"/>
        <v>Apprenant 473 ou 473'</v>
      </c>
      <c r="AL485" s="22" t="str">
        <f t="shared" si="340"/>
        <v/>
      </c>
      <c r="AM485" s="22" t="str">
        <f t="shared" si="341"/>
        <v/>
      </c>
      <c r="AN485" s="22" t="str">
        <f t="shared" si="342"/>
        <v/>
      </c>
      <c r="AO485" s="22" t="str">
        <f t="shared" si="366"/>
        <v/>
      </c>
      <c r="AQ485" s="21" t="str">
        <f t="shared" si="367"/>
        <v>Apprenant 473</v>
      </c>
      <c r="AR485" s="49" t="str">
        <f>IF(AND('Choix pédagogiques'!$C$4&lt;&gt;"?",'Choix pédagogiques'!$C$5&lt;&gt;"?",W485&lt;&gt;""),(W485-'Choix pédagogiques'!$C$4)/('Choix pédagogiques'!$C$5-'Choix pédagogiques'!$C$4),"")</f>
        <v/>
      </c>
      <c r="AS485" s="49" t="str">
        <f>IF(AND('Choix pédagogiques'!$C$4&lt;&gt;"?",'Choix pédagogiques'!$C$5&lt;&gt;"?",X485&lt;&gt;""),(X485-'Choix pédagogiques'!$C$4)/('Choix pédagogiques'!$C$5-'Choix pédagogiques'!$C$4),"")</f>
        <v/>
      </c>
      <c r="AT485" s="49" t="str">
        <f>IF(AND('Choix pédagogiques'!$C$4&lt;&gt;"?",'Choix pédagogiques'!$C$5&lt;&gt;"?",Y485&lt;&gt;""),(Y485-'Choix pédagogiques'!$C$4)/('Choix pédagogiques'!$C$5-'Choix pédagogiques'!$C$4),"")</f>
        <v/>
      </c>
      <c r="AU485" s="22" t="str">
        <f t="shared" si="368"/>
        <v/>
      </c>
      <c r="AV485" s="21" t="str">
        <f t="shared" si="369"/>
        <v>Apprenant 473 ou 473'</v>
      </c>
      <c r="AW485" s="49" t="str">
        <f>IF(AND('Choix pédagogiques'!$C$4&lt;&gt;"?",'Choix pédagogiques'!$C$5&lt;&gt;"?",AB485&lt;&gt;""),(AB485-'Choix pédagogiques'!$C$4)/('Choix pédagogiques'!$C$5-'Choix pédagogiques'!$C$4),"")</f>
        <v/>
      </c>
      <c r="AX485" s="49" t="str">
        <f>IF(AND('Choix pédagogiques'!$C$4&lt;&gt;"?",'Choix pédagogiques'!$C$5&lt;&gt;"?",AC485&lt;&gt;""),(AC485-'Choix pédagogiques'!$C$4)/('Choix pédagogiques'!$C$5-'Choix pédagogiques'!$C$4),"")</f>
        <v/>
      </c>
      <c r="AY485" s="49" t="str">
        <f>IF(AND('Choix pédagogiques'!$C$4&lt;&gt;"?",'Choix pédagogiques'!$C$5&lt;&gt;"?",AD485&lt;&gt;""),(AD485-'Choix pédagogiques'!$C$4)/('Choix pédagogiques'!$C$5-'Choix pédagogiques'!$C$4),"")</f>
        <v/>
      </c>
      <c r="AZ485" s="22" t="str">
        <f t="shared" si="370"/>
        <v/>
      </c>
      <c r="BA485" s="21" t="str">
        <f t="shared" si="371"/>
        <v>Apprenant 473</v>
      </c>
      <c r="BB485" s="49" t="str">
        <f t="shared" si="343"/>
        <v/>
      </c>
      <c r="BC485" s="49" t="str">
        <f t="shared" si="344"/>
        <v/>
      </c>
      <c r="BD485" s="49" t="str">
        <f t="shared" si="345"/>
        <v/>
      </c>
      <c r="BE485" s="22" t="str">
        <f t="shared" si="372"/>
        <v/>
      </c>
      <c r="BF485" s="21" t="str">
        <f t="shared" si="373"/>
        <v>Apprenant 473 ou 473'</v>
      </c>
      <c r="BG485" s="49" t="str">
        <f t="shared" si="346"/>
        <v/>
      </c>
      <c r="BH485" s="49" t="str">
        <f t="shared" si="347"/>
        <v/>
      </c>
      <c r="BI485" s="49" t="str">
        <f t="shared" si="348"/>
        <v/>
      </c>
      <c r="BJ485" s="22" t="str">
        <f t="shared" si="374"/>
        <v/>
      </c>
      <c r="BL485" s="21"/>
      <c r="BM485" s="21" t="str">
        <f>IF(OR(COUNT(B485:D1484)=0,AND('Choix pédagogiques'!$C$3&lt;&gt;1,'Choix pédagogiques'!$C$3&lt;&gt;2)),"",IF(AND(OR('Choix pédagogiques'!$C$3=1,'Choix pédagogiques'!$C$3=2),$B485&lt;&gt;"",$C485&lt;&gt;"",$D485&lt;&gt;""),1,0))</f>
        <v/>
      </c>
      <c r="BN485" s="21" t="str">
        <f>IF(OR(COUNT(G485:I1484)=0,AND('Choix pédagogiques'!$C$3&lt;&gt;1,'Choix pédagogiques'!$C$3&lt;&gt;2)),"",IF(AND(OR('Choix pédagogiques'!$C$3=1,'Choix pédagogiques'!$C$3=2),AND($G485&lt;&gt;"",$H485&lt;&gt;"",$I485&lt;&gt;"")),1,0))</f>
        <v/>
      </c>
      <c r="BO485" s="21" t="str">
        <f>IF(OR(COUNT(B485:D1484)=0,COUNT(G485:I1484)=0,'Choix pédagogiques'!C$3&lt;&gt;3),"",IF(AND('Choix pédagogiques'!$C$3=3,$B485&lt;&gt;"",$C485&lt;&gt;"",$D485&lt;&gt;"",$G485&lt;&gt;"",$H485&lt;&gt;"",$I485&lt;&gt;""),1,0))</f>
        <v/>
      </c>
      <c r="BR485" s="21">
        <v>211</v>
      </c>
      <c r="BS485" s="21">
        <v>1241</v>
      </c>
      <c r="BT485"/>
    </row>
    <row r="486" spans="1:72" s="23" customFormat="1" ht="18" customHeight="1" x14ac:dyDescent="0.3">
      <c r="A486" s="35" t="s">
        <v>476</v>
      </c>
      <c r="B486" s="37"/>
      <c r="C486" s="37"/>
      <c r="D486" s="37"/>
      <c r="E486" s="37"/>
      <c r="F486" s="35" t="s">
        <v>1484</v>
      </c>
      <c r="G486" s="37"/>
      <c r="H486" s="37"/>
      <c r="I486" s="37"/>
      <c r="J486" s="37"/>
      <c r="K486" s="21" t="str">
        <f t="shared" si="349"/>
        <v>Apprenant 474</v>
      </c>
      <c r="L486" s="22" t="str">
        <f t="shared" si="350"/>
        <v/>
      </c>
      <c r="M486" s="22" t="str">
        <f t="shared" si="351"/>
        <v/>
      </c>
      <c r="N486" s="22" t="str">
        <f t="shared" si="352"/>
        <v/>
      </c>
      <c r="O486" s="22" t="str">
        <f t="shared" si="353"/>
        <v/>
      </c>
      <c r="P486" s="21" t="str">
        <f t="shared" si="354"/>
        <v>Apprenant 474 ou 474'</v>
      </c>
      <c r="Q486" s="22" t="str">
        <f t="shared" si="355"/>
        <v/>
      </c>
      <c r="R486" s="22" t="str">
        <f t="shared" si="356"/>
        <v/>
      </c>
      <c r="S486" s="22" t="str">
        <f t="shared" si="357"/>
        <v/>
      </c>
      <c r="T486" s="22" t="str">
        <f t="shared" si="358"/>
        <v/>
      </c>
      <c r="V486" s="21" t="str">
        <f t="shared" si="359"/>
        <v>Apprenant 474</v>
      </c>
      <c r="W486" s="22" t="str">
        <f>IF(AND(OR('Choix pédagogiques'!$C$3=1,'Choix pédagogiques'!$C$3=2),$BM486=1),B486,IF(AND('Choix pédagogiques'!$C$3=3,$BO486=1),B486,""))</f>
        <v/>
      </c>
      <c r="X486" s="22" t="str">
        <f>IF(AND(OR('Choix pédagogiques'!$C$3=1,'Choix pédagogiques'!$C$3=2),$BM486=1),C486,IF(AND('Choix pédagogiques'!$C$3=3,$BO486=1),C486,""))</f>
        <v/>
      </c>
      <c r="Y486" s="22" t="str">
        <f>IF(AND(OR('Choix pédagogiques'!$C$3=1,'Choix pédagogiques'!$C$3=2),$BM486=1),D486,IF(AND('Choix pédagogiques'!$C$3=3,$BO486=1),D486,""))</f>
        <v/>
      </c>
      <c r="Z486" s="22" t="str">
        <f t="shared" si="360"/>
        <v/>
      </c>
      <c r="AA486" s="21" t="str">
        <f t="shared" si="361"/>
        <v>Apprenant 474 ou 474'</v>
      </c>
      <c r="AB486" s="22" t="str">
        <f>IF(AND(OR('Choix pédagogiques'!$C$3=1,'Choix pédagogiques'!$C$3=2),$BN486=1),G486,IF(AND('Choix pédagogiques'!$C$3=3,$BO486=1),G486,""))</f>
        <v/>
      </c>
      <c r="AC486" s="22" t="str">
        <f>IF(AND(OR('Choix pédagogiques'!$C$3=1,'Choix pédagogiques'!$C$3=2),$BN486=1),H486,IF(AND('Choix pédagogiques'!$C$3=3,$BO486=1),H486,""))</f>
        <v/>
      </c>
      <c r="AD486" s="22" t="str">
        <f>IF(AND(OR('Choix pédagogiques'!$C$3=1,'Choix pédagogiques'!$C$3=2),$BN486=1),I486,IF(AND('Choix pédagogiques'!$C$3=3,$BO486=1),I486,""))</f>
        <v/>
      </c>
      <c r="AE486" s="22" t="str">
        <f t="shared" si="362"/>
        <v/>
      </c>
      <c r="AF486" s="21" t="str">
        <f t="shared" si="363"/>
        <v>Apprenant 474</v>
      </c>
      <c r="AG486" s="22" t="str">
        <f t="shared" si="337"/>
        <v/>
      </c>
      <c r="AH486" s="22" t="str">
        <f t="shared" si="338"/>
        <v/>
      </c>
      <c r="AI486" s="22" t="str">
        <f t="shared" si="339"/>
        <v/>
      </c>
      <c r="AJ486" s="22" t="str">
        <f t="shared" si="364"/>
        <v/>
      </c>
      <c r="AK486" s="21" t="str">
        <f t="shared" si="365"/>
        <v>Apprenant 474 ou 474'</v>
      </c>
      <c r="AL486" s="22" t="str">
        <f t="shared" si="340"/>
        <v/>
      </c>
      <c r="AM486" s="22" t="str">
        <f t="shared" si="341"/>
        <v/>
      </c>
      <c r="AN486" s="22" t="str">
        <f t="shared" si="342"/>
        <v/>
      </c>
      <c r="AO486" s="22" t="str">
        <f t="shared" si="366"/>
        <v/>
      </c>
      <c r="AQ486" s="21" t="str">
        <f t="shared" si="367"/>
        <v>Apprenant 474</v>
      </c>
      <c r="AR486" s="49" t="str">
        <f>IF(AND('Choix pédagogiques'!$C$4&lt;&gt;"?",'Choix pédagogiques'!$C$5&lt;&gt;"?",W486&lt;&gt;""),(W486-'Choix pédagogiques'!$C$4)/('Choix pédagogiques'!$C$5-'Choix pédagogiques'!$C$4),"")</f>
        <v/>
      </c>
      <c r="AS486" s="49" t="str">
        <f>IF(AND('Choix pédagogiques'!$C$4&lt;&gt;"?",'Choix pédagogiques'!$C$5&lt;&gt;"?",X486&lt;&gt;""),(X486-'Choix pédagogiques'!$C$4)/('Choix pédagogiques'!$C$5-'Choix pédagogiques'!$C$4),"")</f>
        <v/>
      </c>
      <c r="AT486" s="49" t="str">
        <f>IF(AND('Choix pédagogiques'!$C$4&lt;&gt;"?",'Choix pédagogiques'!$C$5&lt;&gt;"?",Y486&lt;&gt;""),(Y486-'Choix pédagogiques'!$C$4)/('Choix pédagogiques'!$C$5-'Choix pédagogiques'!$C$4),"")</f>
        <v/>
      </c>
      <c r="AU486" s="22" t="str">
        <f t="shared" si="368"/>
        <v/>
      </c>
      <c r="AV486" s="21" t="str">
        <f t="shared" si="369"/>
        <v>Apprenant 474 ou 474'</v>
      </c>
      <c r="AW486" s="49" t="str">
        <f>IF(AND('Choix pédagogiques'!$C$4&lt;&gt;"?",'Choix pédagogiques'!$C$5&lt;&gt;"?",AB486&lt;&gt;""),(AB486-'Choix pédagogiques'!$C$4)/('Choix pédagogiques'!$C$5-'Choix pédagogiques'!$C$4),"")</f>
        <v/>
      </c>
      <c r="AX486" s="49" t="str">
        <f>IF(AND('Choix pédagogiques'!$C$4&lt;&gt;"?",'Choix pédagogiques'!$C$5&lt;&gt;"?",AC486&lt;&gt;""),(AC486-'Choix pédagogiques'!$C$4)/('Choix pédagogiques'!$C$5-'Choix pédagogiques'!$C$4),"")</f>
        <v/>
      </c>
      <c r="AY486" s="49" t="str">
        <f>IF(AND('Choix pédagogiques'!$C$4&lt;&gt;"?",'Choix pédagogiques'!$C$5&lt;&gt;"?",AD486&lt;&gt;""),(AD486-'Choix pédagogiques'!$C$4)/('Choix pédagogiques'!$C$5-'Choix pédagogiques'!$C$4),"")</f>
        <v/>
      </c>
      <c r="AZ486" s="22" t="str">
        <f t="shared" si="370"/>
        <v/>
      </c>
      <c r="BA486" s="21" t="str">
        <f t="shared" si="371"/>
        <v>Apprenant 474</v>
      </c>
      <c r="BB486" s="49" t="str">
        <f t="shared" si="343"/>
        <v/>
      </c>
      <c r="BC486" s="49" t="str">
        <f t="shared" si="344"/>
        <v/>
      </c>
      <c r="BD486" s="49" t="str">
        <f t="shared" si="345"/>
        <v/>
      </c>
      <c r="BE486" s="22" t="str">
        <f t="shared" si="372"/>
        <v/>
      </c>
      <c r="BF486" s="21" t="str">
        <f t="shared" si="373"/>
        <v>Apprenant 474 ou 474'</v>
      </c>
      <c r="BG486" s="49" t="str">
        <f t="shared" si="346"/>
        <v/>
      </c>
      <c r="BH486" s="49" t="str">
        <f t="shared" si="347"/>
        <v/>
      </c>
      <c r="BI486" s="49" t="str">
        <f t="shared" si="348"/>
        <v/>
      </c>
      <c r="BJ486" s="22" t="str">
        <f t="shared" si="374"/>
        <v/>
      </c>
      <c r="BL486" s="21"/>
      <c r="BM486" s="21" t="str">
        <f>IF(OR(COUNT(B486:D1485)=0,AND('Choix pédagogiques'!$C$3&lt;&gt;1,'Choix pédagogiques'!$C$3&lt;&gt;2)),"",IF(AND(OR('Choix pédagogiques'!$C$3=1,'Choix pédagogiques'!$C$3=2),$B486&lt;&gt;"",$C486&lt;&gt;"",$D486&lt;&gt;""),1,0))</f>
        <v/>
      </c>
      <c r="BN486" s="21" t="str">
        <f>IF(OR(COUNT(G486:I1485)=0,AND('Choix pédagogiques'!$C$3&lt;&gt;1,'Choix pédagogiques'!$C$3&lt;&gt;2)),"",IF(AND(OR('Choix pédagogiques'!$C$3=1,'Choix pédagogiques'!$C$3=2),AND($G486&lt;&gt;"",$H486&lt;&gt;"",$I486&lt;&gt;"")),1,0))</f>
        <v/>
      </c>
      <c r="BO486" s="21" t="str">
        <f>IF(OR(COUNT(B486:D1485)=0,COUNT(G486:I1485)=0,'Choix pédagogiques'!C$3&lt;&gt;3),"",IF(AND('Choix pédagogiques'!$C$3=3,$B486&lt;&gt;"",$C486&lt;&gt;"",$D486&lt;&gt;"",$G486&lt;&gt;"",$H486&lt;&gt;"",$I486&lt;&gt;""),1,0))</f>
        <v/>
      </c>
      <c r="BR486" s="21">
        <v>116</v>
      </c>
      <c r="BS486" s="21">
        <v>1331</v>
      </c>
      <c r="BT486"/>
    </row>
    <row r="487" spans="1:72" s="23" customFormat="1" ht="18" customHeight="1" x14ac:dyDescent="0.3">
      <c r="A487" s="35" t="s">
        <v>477</v>
      </c>
      <c r="B487" s="37"/>
      <c r="C487" s="37"/>
      <c r="D487" s="37"/>
      <c r="E487" s="37"/>
      <c r="F487" s="35" t="s">
        <v>1485</v>
      </c>
      <c r="G487" s="37"/>
      <c r="H487" s="37"/>
      <c r="I487" s="37"/>
      <c r="J487" s="37"/>
      <c r="K487" s="21" t="str">
        <f t="shared" si="349"/>
        <v>Apprenant 475</v>
      </c>
      <c r="L487" s="22" t="str">
        <f t="shared" si="350"/>
        <v/>
      </c>
      <c r="M487" s="22" t="str">
        <f t="shared" si="351"/>
        <v/>
      </c>
      <c r="N487" s="22" t="str">
        <f t="shared" si="352"/>
        <v/>
      </c>
      <c r="O487" s="22" t="str">
        <f t="shared" si="353"/>
        <v/>
      </c>
      <c r="P487" s="21" t="str">
        <f t="shared" si="354"/>
        <v>Apprenant 475 ou 475'</v>
      </c>
      <c r="Q487" s="22" t="str">
        <f t="shared" si="355"/>
        <v/>
      </c>
      <c r="R487" s="22" t="str">
        <f t="shared" si="356"/>
        <v/>
      </c>
      <c r="S487" s="22" t="str">
        <f t="shared" si="357"/>
        <v/>
      </c>
      <c r="T487" s="22" t="str">
        <f t="shared" si="358"/>
        <v/>
      </c>
      <c r="V487" s="21" t="str">
        <f t="shared" si="359"/>
        <v>Apprenant 475</v>
      </c>
      <c r="W487" s="22" t="str">
        <f>IF(AND(OR('Choix pédagogiques'!$C$3=1,'Choix pédagogiques'!$C$3=2),$BM487=1),B487,IF(AND('Choix pédagogiques'!$C$3=3,$BO487=1),B487,""))</f>
        <v/>
      </c>
      <c r="X487" s="22" t="str">
        <f>IF(AND(OR('Choix pédagogiques'!$C$3=1,'Choix pédagogiques'!$C$3=2),$BM487=1),C487,IF(AND('Choix pédagogiques'!$C$3=3,$BO487=1),C487,""))</f>
        <v/>
      </c>
      <c r="Y487" s="22" t="str">
        <f>IF(AND(OR('Choix pédagogiques'!$C$3=1,'Choix pédagogiques'!$C$3=2),$BM487=1),D487,IF(AND('Choix pédagogiques'!$C$3=3,$BO487=1),D487,""))</f>
        <v/>
      </c>
      <c r="Z487" s="22" t="str">
        <f t="shared" si="360"/>
        <v/>
      </c>
      <c r="AA487" s="21" t="str">
        <f t="shared" si="361"/>
        <v>Apprenant 475 ou 475'</v>
      </c>
      <c r="AB487" s="22" t="str">
        <f>IF(AND(OR('Choix pédagogiques'!$C$3=1,'Choix pédagogiques'!$C$3=2),$BN487=1),G487,IF(AND('Choix pédagogiques'!$C$3=3,$BO487=1),G487,""))</f>
        <v/>
      </c>
      <c r="AC487" s="22" t="str">
        <f>IF(AND(OR('Choix pédagogiques'!$C$3=1,'Choix pédagogiques'!$C$3=2),$BN487=1),H487,IF(AND('Choix pédagogiques'!$C$3=3,$BO487=1),H487,""))</f>
        <v/>
      </c>
      <c r="AD487" s="22" t="str">
        <f>IF(AND(OR('Choix pédagogiques'!$C$3=1,'Choix pédagogiques'!$C$3=2),$BN487=1),I487,IF(AND('Choix pédagogiques'!$C$3=3,$BO487=1),I487,""))</f>
        <v/>
      </c>
      <c r="AE487" s="22" t="str">
        <f t="shared" si="362"/>
        <v/>
      </c>
      <c r="AF487" s="21" t="str">
        <f t="shared" si="363"/>
        <v>Apprenant 475</v>
      </c>
      <c r="AG487" s="22" t="str">
        <f t="shared" si="337"/>
        <v/>
      </c>
      <c r="AH487" s="22" t="str">
        <f t="shared" si="338"/>
        <v/>
      </c>
      <c r="AI487" s="22" t="str">
        <f t="shared" si="339"/>
        <v/>
      </c>
      <c r="AJ487" s="22" t="str">
        <f t="shared" si="364"/>
        <v/>
      </c>
      <c r="AK487" s="21" t="str">
        <f t="shared" si="365"/>
        <v>Apprenant 475 ou 475'</v>
      </c>
      <c r="AL487" s="22" t="str">
        <f t="shared" si="340"/>
        <v/>
      </c>
      <c r="AM487" s="22" t="str">
        <f t="shared" si="341"/>
        <v/>
      </c>
      <c r="AN487" s="22" t="str">
        <f t="shared" si="342"/>
        <v/>
      </c>
      <c r="AO487" s="22" t="str">
        <f t="shared" si="366"/>
        <v/>
      </c>
      <c r="AQ487" s="21" t="str">
        <f t="shared" si="367"/>
        <v>Apprenant 475</v>
      </c>
      <c r="AR487" s="49" t="str">
        <f>IF(AND('Choix pédagogiques'!$C$4&lt;&gt;"?",'Choix pédagogiques'!$C$5&lt;&gt;"?",W487&lt;&gt;""),(W487-'Choix pédagogiques'!$C$4)/('Choix pédagogiques'!$C$5-'Choix pédagogiques'!$C$4),"")</f>
        <v/>
      </c>
      <c r="AS487" s="49" t="str">
        <f>IF(AND('Choix pédagogiques'!$C$4&lt;&gt;"?",'Choix pédagogiques'!$C$5&lt;&gt;"?",X487&lt;&gt;""),(X487-'Choix pédagogiques'!$C$4)/('Choix pédagogiques'!$C$5-'Choix pédagogiques'!$C$4),"")</f>
        <v/>
      </c>
      <c r="AT487" s="49" t="str">
        <f>IF(AND('Choix pédagogiques'!$C$4&lt;&gt;"?",'Choix pédagogiques'!$C$5&lt;&gt;"?",Y487&lt;&gt;""),(Y487-'Choix pédagogiques'!$C$4)/('Choix pédagogiques'!$C$5-'Choix pédagogiques'!$C$4),"")</f>
        <v/>
      </c>
      <c r="AU487" s="22" t="str">
        <f t="shared" si="368"/>
        <v/>
      </c>
      <c r="AV487" s="21" t="str">
        <f t="shared" si="369"/>
        <v>Apprenant 475 ou 475'</v>
      </c>
      <c r="AW487" s="49" t="str">
        <f>IF(AND('Choix pédagogiques'!$C$4&lt;&gt;"?",'Choix pédagogiques'!$C$5&lt;&gt;"?",AB487&lt;&gt;""),(AB487-'Choix pédagogiques'!$C$4)/('Choix pédagogiques'!$C$5-'Choix pédagogiques'!$C$4),"")</f>
        <v/>
      </c>
      <c r="AX487" s="49" t="str">
        <f>IF(AND('Choix pédagogiques'!$C$4&lt;&gt;"?",'Choix pédagogiques'!$C$5&lt;&gt;"?",AC487&lt;&gt;""),(AC487-'Choix pédagogiques'!$C$4)/('Choix pédagogiques'!$C$5-'Choix pédagogiques'!$C$4),"")</f>
        <v/>
      </c>
      <c r="AY487" s="49" t="str">
        <f>IF(AND('Choix pédagogiques'!$C$4&lt;&gt;"?",'Choix pédagogiques'!$C$5&lt;&gt;"?",AD487&lt;&gt;""),(AD487-'Choix pédagogiques'!$C$4)/('Choix pédagogiques'!$C$5-'Choix pédagogiques'!$C$4),"")</f>
        <v/>
      </c>
      <c r="AZ487" s="22" t="str">
        <f t="shared" si="370"/>
        <v/>
      </c>
      <c r="BA487" s="21" t="str">
        <f t="shared" si="371"/>
        <v>Apprenant 475</v>
      </c>
      <c r="BB487" s="49" t="str">
        <f t="shared" si="343"/>
        <v/>
      </c>
      <c r="BC487" s="49" t="str">
        <f t="shared" si="344"/>
        <v/>
      </c>
      <c r="BD487" s="49" t="str">
        <f t="shared" si="345"/>
        <v/>
      </c>
      <c r="BE487" s="22" t="str">
        <f t="shared" si="372"/>
        <v/>
      </c>
      <c r="BF487" s="21" t="str">
        <f t="shared" si="373"/>
        <v>Apprenant 475 ou 475'</v>
      </c>
      <c r="BG487" s="49" t="str">
        <f t="shared" si="346"/>
        <v/>
      </c>
      <c r="BH487" s="49" t="str">
        <f t="shared" si="347"/>
        <v/>
      </c>
      <c r="BI487" s="49" t="str">
        <f t="shared" si="348"/>
        <v/>
      </c>
      <c r="BJ487" s="22" t="str">
        <f t="shared" si="374"/>
        <v/>
      </c>
      <c r="BL487" s="21"/>
      <c r="BM487" s="21" t="str">
        <f>IF(OR(COUNT(B487:D1486)=0,AND('Choix pédagogiques'!$C$3&lt;&gt;1,'Choix pédagogiques'!$C$3&lt;&gt;2)),"",IF(AND(OR('Choix pédagogiques'!$C$3=1,'Choix pédagogiques'!$C$3=2),$B487&lt;&gt;"",$C487&lt;&gt;"",$D487&lt;&gt;""),1,0))</f>
        <v/>
      </c>
      <c r="BN487" s="21" t="str">
        <f>IF(OR(COUNT(G487:I1486)=0,AND('Choix pédagogiques'!$C$3&lt;&gt;1,'Choix pédagogiques'!$C$3&lt;&gt;2)),"",IF(AND(OR('Choix pédagogiques'!$C$3=1,'Choix pédagogiques'!$C$3=2),AND($G487&lt;&gt;"",$H487&lt;&gt;"",$I487&lt;&gt;"")),1,0))</f>
        <v/>
      </c>
      <c r="BO487" s="21" t="str">
        <f>IF(OR(COUNT(B487:D1486)=0,COUNT(G487:I1486)=0,'Choix pédagogiques'!C$3&lt;&gt;3),"",IF(AND('Choix pédagogiques'!$C$3=3,$B487&lt;&gt;"",$C487&lt;&gt;"",$D487&lt;&gt;"",$G487&lt;&gt;"",$H487&lt;&gt;"",$I487&lt;&gt;""),1,0))</f>
        <v/>
      </c>
      <c r="BR487" s="21">
        <v>666</v>
      </c>
      <c r="BS487" s="21">
        <v>1455</v>
      </c>
      <c r="BT487"/>
    </row>
    <row r="488" spans="1:72" s="23" customFormat="1" ht="18" customHeight="1" x14ac:dyDescent="0.3">
      <c r="A488" s="35" t="s">
        <v>478</v>
      </c>
      <c r="B488" s="37"/>
      <c r="C488" s="37"/>
      <c r="D488" s="37"/>
      <c r="E488" s="37"/>
      <c r="F488" s="35" t="s">
        <v>1486</v>
      </c>
      <c r="G488" s="37"/>
      <c r="H488" s="37"/>
      <c r="I488" s="37"/>
      <c r="J488" s="37"/>
      <c r="K488" s="21" t="str">
        <f t="shared" si="349"/>
        <v>Apprenant 476</v>
      </c>
      <c r="L488" s="22" t="str">
        <f t="shared" si="350"/>
        <v/>
      </c>
      <c r="M488" s="22" t="str">
        <f t="shared" si="351"/>
        <v/>
      </c>
      <c r="N488" s="22" t="str">
        <f t="shared" si="352"/>
        <v/>
      </c>
      <c r="O488" s="22" t="str">
        <f t="shared" si="353"/>
        <v/>
      </c>
      <c r="P488" s="21" t="str">
        <f t="shared" si="354"/>
        <v>Apprenant 476 ou 476'</v>
      </c>
      <c r="Q488" s="22" t="str">
        <f t="shared" si="355"/>
        <v/>
      </c>
      <c r="R488" s="22" t="str">
        <f t="shared" si="356"/>
        <v/>
      </c>
      <c r="S488" s="22" t="str">
        <f t="shared" si="357"/>
        <v/>
      </c>
      <c r="T488" s="22" t="str">
        <f t="shared" si="358"/>
        <v/>
      </c>
      <c r="V488" s="21" t="str">
        <f t="shared" si="359"/>
        <v>Apprenant 476</v>
      </c>
      <c r="W488" s="22" t="str">
        <f>IF(AND(OR('Choix pédagogiques'!$C$3=1,'Choix pédagogiques'!$C$3=2),$BM488=1),B488,IF(AND('Choix pédagogiques'!$C$3=3,$BO488=1),B488,""))</f>
        <v/>
      </c>
      <c r="X488" s="22" t="str">
        <f>IF(AND(OR('Choix pédagogiques'!$C$3=1,'Choix pédagogiques'!$C$3=2),$BM488=1),C488,IF(AND('Choix pédagogiques'!$C$3=3,$BO488=1),C488,""))</f>
        <v/>
      </c>
      <c r="Y488" s="22" t="str">
        <f>IF(AND(OR('Choix pédagogiques'!$C$3=1,'Choix pédagogiques'!$C$3=2),$BM488=1),D488,IF(AND('Choix pédagogiques'!$C$3=3,$BO488=1),D488,""))</f>
        <v/>
      </c>
      <c r="Z488" s="22" t="str">
        <f t="shared" si="360"/>
        <v/>
      </c>
      <c r="AA488" s="21" t="str">
        <f t="shared" si="361"/>
        <v>Apprenant 476 ou 476'</v>
      </c>
      <c r="AB488" s="22" t="str">
        <f>IF(AND(OR('Choix pédagogiques'!$C$3=1,'Choix pédagogiques'!$C$3=2),$BN488=1),G488,IF(AND('Choix pédagogiques'!$C$3=3,$BO488=1),G488,""))</f>
        <v/>
      </c>
      <c r="AC488" s="22" t="str">
        <f>IF(AND(OR('Choix pédagogiques'!$C$3=1,'Choix pédagogiques'!$C$3=2),$BN488=1),H488,IF(AND('Choix pédagogiques'!$C$3=3,$BO488=1),H488,""))</f>
        <v/>
      </c>
      <c r="AD488" s="22" t="str">
        <f>IF(AND(OR('Choix pédagogiques'!$C$3=1,'Choix pédagogiques'!$C$3=2),$BN488=1),I488,IF(AND('Choix pédagogiques'!$C$3=3,$BO488=1),I488,""))</f>
        <v/>
      </c>
      <c r="AE488" s="22" t="str">
        <f t="shared" si="362"/>
        <v/>
      </c>
      <c r="AF488" s="21" t="str">
        <f t="shared" si="363"/>
        <v>Apprenant 476</v>
      </c>
      <c r="AG488" s="22" t="str">
        <f t="shared" si="337"/>
        <v/>
      </c>
      <c r="AH488" s="22" t="str">
        <f t="shared" si="338"/>
        <v/>
      </c>
      <c r="AI488" s="22" t="str">
        <f t="shared" si="339"/>
        <v/>
      </c>
      <c r="AJ488" s="22" t="str">
        <f t="shared" si="364"/>
        <v/>
      </c>
      <c r="AK488" s="21" t="str">
        <f t="shared" si="365"/>
        <v>Apprenant 476 ou 476'</v>
      </c>
      <c r="AL488" s="22" t="str">
        <f t="shared" si="340"/>
        <v/>
      </c>
      <c r="AM488" s="22" t="str">
        <f t="shared" si="341"/>
        <v/>
      </c>
      <c r="AN488" s="22" t="str">
        <f t="shared" si="342"/>
        <v/>
      </c>
      <c r="AO488" s="22" t="str">
        <f t="shared" si="366"/>
        <v/>
      </c>
      <c r="AQ488" s="21" t="str">
        <f t="shared" si="367"/>
        <v>Apprenant 476</v>
      </c>
      <c r="AR488" s="49" t="str">
        <f>IF(AND('Choix pédagogiques'!$C$4&lt;&gt;"?",'Choix pédagogiques'!$C$5&lt;&gt;"?",W488&lt;&gt;""),(W488-'Choix pédagogiques'!$C$4)/('Choix pédagogiques'!$C$5-'Choix pédagogiques'!$C$4),"")</f>
        <v/>
      </c>
      <c r="AS488" s="49" t="str">
        <f>IF(AND('Choix pédagogiques'!$C$4&lt;&gt;"?",'Choix pédagogiques'!$C$5&lt;&gt;"?",X488&lt;&gt;""),(X488-'Choix pédagogiques'!$C$4)/('Choix pédagogiques'!$C$5-'Choix pédagogiques'!$C$4),"")</f>
        <v/>
      </c>
      <c r="AT488" s="49" t="str">
        <f>IF(AND('Choix pédagogiques'!$C$4&lt;&gt;"?",'Choix pédagogiques'!$C$5&lt;&gt;"?",Y488&lt;&gt;""),(Y488-'Choix pédagogiques'!$C$4)/('Choix pédagogiques'!$C$5-'Choix pédagogiques'!$C$4),"")</f>
        <v/>
      </c>
      <c r="AU488" s="22" t="str">
        <f t="shared" si="368"/>
        <v/>
      </c>
      <c r="AV488" s="21" t="str">
        <f t="shared" si="369"/>
        <v>Apprenant 476 ou 476'</v>
      </c>
      <c r="AW488" s="49" t="str">
        <f>IF(AND('Choix pédagogiques'!$C$4&lt;&gt;"?",'Choix pédagogiques'!$C$5&lt;&gt;"?",AB488&lt;&gt;""),(AB488-'Choix pédagogiques'!$C$4)/('Choix pédagogiques'!$C$5-'Choix pédagogiques'!$C$4),"")</f>
        <v/>
      </c>
      <c r="AX488" s="49" t="str">
        <f>IF(AND('Choix pédagogiques'!$C$4&lt;&gt;"?",'Choix pédagogiques'!$C$5&lt;&gt;"?",AC488&lt;&gt;""),(AC488-'Choix pédagogiques'!$C$4)/('Choix pédagogiques'!$C$5-'Choix pédagogiques'!$C$4),"")</f>
        <v/>
      </c>
      <c r="AY488" s="49" t="str">
        <f>IF(AND('Choix pédagogiques'!$C$4&lt;&gt;"?",'Choix pédagogiques'!$C$5&lt;&gt;"?",AD488&lt;&gt;""),(AD488-'Choix pédagogiques'!$C$4)/('Choix pédagogiques'!$C$5-'Choix pédagogiques'!$C$4),"")</f>
        <v/>
      </c>
      <c r="AZ488" s="22" t="str">
        <f t="shared" si="370"/>
        <v/>
      </c>
      <c r="BA488" s="21" t="str">
        <f t="shared" si="371"/>
        <v>Apprenant 476</v>
      </c>
      <c r="BB488" s="49" t="str">
        <f t="shared" si="343"/>
        <v/>
      </c>
      <c r="BC488" s="49" t="str">
        <f t="shared" si="344"/>
        <v/>
      </c>
      <c r="BD488" s="49" t="str">
        <f t="shared" si="345"/>
        <v/>
      </c>
      <c r="BE488" s="22" t="str">
        <f t="shared" si="372"/>
        <v/>
      </c>
      <c r="BF488" s="21" t="str">
        <f t="shared" si="373"/>
        <v>Apprenant 476 ou 476'</v>
      </c>
      <c r="BG488" s="49" t="str">
        <f t="shared" si="346"/>
        <v/>
      </c>
      <c r="BH488" s="49" t="str">
        <f t="shared" si="347"/>
        <v/>
      </c>
      <c r="BI488" s="49" t="str">
        <f t="shared" si="348"/>
        <v/>
      </c>
      <c r="BJ488" s="22" t="str">
        <f t="shared" si="374"/>
        <v/>
      </c>
      <c r="BL488" s="21"/>
      <c r="BM488" s="21" t="str">
        <f>IF(OR(COUNT(B488:D1487)=0,AND('Choix pédagogiques'!$C$3&lt;&gt;1,'Choix pédagogiques'!$C$3&lt;&gt;2)),"",IF(AND(OR('Choix pédagogiques'!$C$3=1,'Choix pédagogiques'!$C$3=2),$B488&lt;&gt;"",$C488&lt;&gt;"",$D488&lt;&gt;""),1,0))</f>
        <v/>
      </c>
      <c r="BN488" s="21" t="str">
        <f>IF(OR(COUNT(G488:I1487)=0,AND('Choix pédagogiques'!$C$3&lt;&gt;1,'Choix pédagogiques'!$C$3&lt;&gt;2)),"",IF(AND(OR('Choix pédagogiques'!$C$3=1,'Choix pédagogiques'!$C$3=2),AND($G488&lt;&gt;"",$H488&lt;&gt;"",$I488&lt;&gt;"")),1,0))</f>
        <v/>
      </c>
      <c r="BO488" s="21" t="str">
        <f>IF(OR(COUNT(B488:D1487)=0,COUNT(G488:I1487)=0,'Choix pédagogiques'!C$3&lt;&gt;3),"",IF(AND('Choix pédagogiques'!$C$3=3,$B488&lt;&gt;"",$C488&lt;&gt;"",$D488&lt;&gt;"",$G488&lt;&gt;"",$H488&lt;&gt;"",$I488&lt;&gt;""),1,0))</f>
        <v/>
      </c>
      <c r="BR488" s="21">
        <v>219</v>
      </c>
      <c r="BS488" s="21">
        <v>1221</v>
      </c>
      <c r="BT488"/>
    </row>
    <row r="489" spans="1:72" s="23" customFormat="1" ht="18" customHeight="1" x14ac:dyDescent="0.3">
      <c r="A489" s="35" t="s">
        <v>479</v>
      </c>
      <c r="B489" s="37"/>
      <c r="C489" s="37"/>
      <c r="D489" s="37"/>
      <c r="E489" s="37"/>
      <c r="F489" s="35" t="s">
        <v>1487</v>
      </c>
      <c r="G489" s="37"/>
      <c r="H489" s="37"/>
      <c r="I489" s="37"/>
      <c r="J489" s="37"/>
      <c r="K489" s="21" t="str">
        <f t="shared" si="349"/>
        <v>Apprenant 477</v>
      </c>
      <c r="L489" s="22" t="str">
        <f t="shared" si="350"/>
        <v/>
      </c>
      <c r="M489" s="22" t="str">
        <f t="shared" si="351"/>
        <v/>
      </c>
      <c r="N489" s="22" t="str">
        <f t="shared" si="352"/>
        <v/>
      </c>
      <c r="O489" s="22" t="str">
        <f t="shared" si="353"/>
        <v/>
      </c>
      <c r="P489" s="21" t="str">
        <f t="shared" si="354"/>
        <v>Apprenant 477 ou 477'</v>
      </c>
      <c r="Q489" s="22" t="str">
        <f t="shared" si="355"/>
        <v/>
      </c>
      <c r="R489" s="22" t="str">
        <f t="shared" si="356"/>
        <v/>
      </c>
      <c r="S489" s="22" t="str">
        <f t="shared" si="357"/>
        <v/>
      </c>
      <c r="T489" s="22" t="str">
        <f t="shared" si="358"/>
        <v/>
      </c>
      <c r="V489" s="21" t="str">
        <f t="shared" si="359"/>
        <v>Apprenant 477</v>
      </c>
      <c r="W489" s="22" t="str">
        <f>IF(AND(OR('Choix pédagogiques'!$C$3=1,'Choix pédagogiques'!$C$3=2),$BM489=1),B489,IF(AND('Choix pédagogiques'!$C$3=3,$BO489=1),B489,""))</f>
        <v/>
      </c>
      <c r="X489" s="22" t="str">
        <f>IF(AND(OR('Choix pédagogiques'!$C$3=1,'Choix pédagogiques'!$C$3=2),$BM489=1),C489,IF(AND('Choix pédagogiques'!$C$3=3,$BO489=1),C489,""))</f>
        <v/>
      </c>
      <c r="Y489" s="22" t="str">
        <f>IF(AND(OR('Choix pédagogiques'!$C$3=1,'Choix pédagogiques'!$C$3=2),$BM489=1),D489,IF(AND('Choix pédagogiques'!$C$3=3,$BO489=1),D489,""))</f>
        <v/>
      </c>
      <c r="Z489" s="22" t="str">
        <f t="shared" si="360"/>
        <v/>
      </c>
      <c r="AA489" s="21" t="str">
        <f t="shared" si="361"/>
        <v>Apprenant 477 ou 477'</v>
      </c>
      <c r="AB489" s="22" t="str">
        <f>IF(AND(OR('Choix pédagogiques'!$C$3=1,'Choix pédagogiques'!$C$3=2),$BN489=1),G489,IF(AND('Choix pédagogiques'!$C$3=3,$BO489=1),G489,""))</f>
        <v/>
      </c>
      <c r="AC489" s="22" t="str">
        <f>IF(AND(OR('Choix pédagogiques'!$C$3=1,'Choix pédagogiques'!$C$3=2),$BN489=1),H489,IF(AND('Choix pédagogiques'!$C$3=3,$BO489=1),H489,""))</f>
        <v/>
      </c>
      <c r="AD489" s="22" t="str">
        <f>IF(AND(OR('Choix pédagogiques'!$C$3=1,'Choix pédagogiques'!$C$3=2),$BN489=1),I489,IF(AND('Choix pédagogiques'!$C$3=3,$BO489=1),I489,""))</f>
        <v/>
      </c>
      <c r="AE489" s="22" t="str">
        <f t="shared" si="362"/>
        <v/>
      </c>
      <c r="AF489" s="21" t="str">
        <f t="shared" si="363"/>
        <v>Apprenant 477</v>
      </c>
      <c r="AG489" s="22" t="str">
        <f t="shared" si="337"/>
        <v/>
      </c>
      <c r="AH489" s="22" t="str">
        <f t="shared" si="338"/>
        <v/>
      </c>
      <c r="AI489" s="22" t="str">
        <f t="shared" si="339"/>
        <v/>
      </c>
      <c r="AJ489" s="22" t="str">
        <f t="shared" si="364"/>
        <v/>
      </c>
      <c r="AK489" s="21" t="str">
        <f t="shared" si="365"/>
        <v>Apprenant 477 ou 477'</v>
      </c>
      <c r="AL489" s="22" t="str">
        <f t="shared" si="340"/>
        <v/>
      </c>
      <c r="AM489" s="22" t="str">
        <f t="shared" si="341"/>
        <v/>
      </c>
      <c r="AN489" s="22" t="str">
        <f t="shared" si="342"/>
        <v/>
      </c>
      <c r="AO489" s="22" t="str">
        <f t="shared" si="366"/>
        <v/>
      </c>
      <c r="AQ489" s="21" t="str">
        <f t="shared" si="367"/>
        <v>Apprenant 477</v>
      </c>
      <c r="AR489" s="49" t="str">
        <f>IF(AND('Choix pédagogiques'!$C$4&lt;&gt;"?",'Choix pédagogiques'!$C$5&lt;&gt;"?",W489&lt;&gt;""),(W489-'Choix pédagogiques'!$C$4)/('Choix pédagogiques'!$C$5-'Choix pédagogiques'!$C$4),"")</f>
        <v/>
      </c>
      <c r="AS489" s="49" t="str">
        <f>IF(AND('Choix pédagogiques'!$C$4&lt;&gt;"?",'Choix pédagogiques'!$C$5&lt;&gt;"?",X489&lt;&gt;""),(X489-'Choix pédagogiques'!$C$4)/('Choix pédagogiques'!$C$5-'Choix pédagogiques'!$C$4),"")</f>
        <v/>
      </c>
      <c r="AT489" s="49" t="str">
        <f>IF(AND('Choix pédagogiques'!$C$4&lt;&gt;"?",'Choix pédagogiques'!$C$5&lt;&gt;"?",Y489&lt;&gt;""),(Y489-'Choix pédagogiques'!$C$4)/('Choix pédagogiques'!$C$5-'Choix pédagogiques'!$C$4),"")</f>
        <v/>
      </c>
      <c r="AU489" s="22" t="str">
        <f t="shared" si="368"/>
        <v/>
      </c>
      <c r="AV489" s="21" t="str">
        <f t="shared" si="369"/>
        <v>Apprenant 477 ou 477'</v>
      </c>
      <c r="AW489" s="49" t="str">
        <f>IF(AND('Choix pédagogiques'!$C$4&lt;&gt;"?",'Choix pédagogiques'!$C$5&lt;&gt;"?",AB489&lt;&gt;""),(AB489-'Choix pédagogiques'!$C$4)/('Choix pédagogiques'!$C$5-'Choix pédagogiques'!$C$4),"")</f>
        <v/>
      </c>
      <c r="AX489" s="49" t="str">
        <f>IF(AND('Choix pédagogiques'!$C$4&lt;&gt;"?",'Choix pédagogiques'!$C$5&lt;&gt;"?",AC489&lt;&gt;""),(AC489-'Choix pédagogiques'!$C$4)/('Choix pédagogiques'!$C$5-'Choix pédagogiques'!$C$4),"")</f>
        <v/>
      </c>
      <c r="AY489" s="49" t="str">
        <f>IF(AND('Choix pédagogiques'!$C$4&lt;&gt;"?",'Choix pédagogiques'!$C$5&lt;&gt;"?",AD489&lt;&gt;""),(AD489-'Choix pédagogiques'!$C$4)/('Choix pédagogiques'!$C$5-'Choix pédagogiques'!$C$4),"")</f>
        <v/>
      </c>
      <c r="AZ489" s="22" t="str">
        <f t="shared" si="370"/>
        <v/>
      </c>
      <c r="BA489" s="21" t="str">
        <f t="shared" si="371"/>
        <v>Apprenant 477</v>
      </c>
      <c r="BB489" s="49" t="str">
        <f t="shared" si="343"/>
        <v/>
      </c>
      <c r="BC489" s="49" t="str">
        <f t="shared" si="344"/>
        <v/>
      </c>
      <c r="BD489" s="49" t="str">
        <f t="shared" si="345"/>
        <v/>
      </c>
      <c r="BE489" s="22" t="str">
        <f t="shared" si="372"/>
        <v/>
      </c>
      <c r="BF489" s="21" t="str">
        <f t="shared" si="373"/>
        <v>Apprenant 477 ou 477'</v>
      </c>
      <c r="BG489" s="49" t="str">
        <f t="shared" si="346"/>
        <v/>
      </c>
      <c r="BH489" s="49" t="str">
        <f t="shared" si="347"/>
        <v/>
      </c>
      <c r="BI489" s="49" t="str">
        <f t="shared" si="348"/>
        <v/>
      </c>
      <c r="BJ489" s="22" t="str">
        <f t="shared" si="374"/>
        <v/>
      </c>
      <c r="BL489" s="21"/>
      <c r="BM489" s="21" t="str">
        <f>IF(OR(COUNT(B489:D1488)=0,AND('Choix pédagogiques'!$C$3&lt;&gt;1,'Choix pédagogiques'!$C$3&lt;&gt;2)),"",IF(AND(OR('Choix pédagogiques'!$C$3=1,'Choix pédagogiques'!$C$3=2),$B489&lt;&gt;"",$C489&lt;&gt;"",$D489&lt;&gt;""),1,0))</f>
        <v/>
      </c>
      <c r="BN489" s="21" t="str">
        <f>IF(OR(COUNT(G489:I1488)=0,AND('Choix pédagogiques'!$C$3&lt;&gt;1,'Choix pédagogiques'!$C$3&lt;&gt;2)),"",IF(AND(OR('Choix pédagogiques'!$C$3=1,'Choix pédagogiques'!$C$3=2),AND($G489&lt;&gt;"",$H489&lt;&gt;"",$I489&lt;&gt;"")),1,0))</f>
        <v/>
      </c>
      <c r="BO489" s="21" t="str">
        <f>IF(OR(COUNT(B489:D1488)=0,COUNT(G489:I1488)=0,'Choix pédagogiques'!C$3&lt;&gt;3),"",IF(AND('Choix pédagogiques'!$C$3=3,$B489&lt;&gt;"",$C489&lt;&gt;"",$D489&lt;&gt;"",$G489&lt;&gt;"",$H489&lt;&gt;"",$I489&lt;&gt;""),1,0))</f>
        <v/>
      </c>
      <c r="BR489" s="21">
        <v>616</v>
      </c>
      <c r="BS489" s="21">
        <v>1632</v>
      </c>
      <c r="BT489"/>
    </row>
    <row r="490" spans="1:72" s="23" customFormat="1" ht="18" customHeight="1" x14ac:dyDescent="0.3">
      <c r="A490" s="35" t="s">
        <v>480</v>
      </c>
      <c r="B490" s="37"/>
      <c r="C490" s="37"/>
      <c r="D490" s="37"/>
      <c r="E490" s="37"/>
      <c r="F490" s="35" t="s">
        <v>1488</v>
      </c>
      <c r="G490" s="37"/>
      <c r="H490" s="37"/>
      <c r="I490" s="37"/>
      <c r="J490" s="37"/>
      <c r="K490" s="21" t="str">
        <f t="shared" si="349"/>
        <v>Apprenant 478</v>
      </c>
      <c r="L490" s="22" t="str">
        <f t="shared" si="350"/>
        <v/>
      </c>
      <c r="M490" s="22" t="str">
        <f t="shared" si="351"/>
        <v/>
      </c>
      <c r="N490" s="22" t="str">
        <f t="shared" si="352"/>
        <v/>
      </c>
      <c r="O490" s="22" t="str">
        <f t="shared" si="353"/>
        <v/>
      </c>
      <c r="P490" s="21" t="str">
        <f t="shared" si="354"/>
        <v>Apprenant 478 ou 478'</v>
      </c>
      <c r="Q490" s="22" t="str">
        <f t="shared" si="355"/>
        <v/>
      </c>
      <c r="R490" s="22" t="str">
        <f t="shared" si="356"/>
        <v/>
      </c>
      <c r="S490" s="22" t="str">
        <f t="shared" si="357"/>
        <v/>
      </c>
      <c r="T490" s="22" t="str">
        <f t="shared" si="358"/>
        <v/>
      </c>
      <c r="V490" s="21" t="str">
        <f t="shared" si="359"/>
        <v>Apprenant 478</v>
      </c>
      <c r="W490" s="22" t="str">
        <f>IF(AND(OR('Choix pédagogiques'!$C$3=1,'Choix pédagogiques'!$C$3=2),$BM490=1),B490,IF(AND('Choix pédagogiques'!$C$3=3,$BO490=1),B490,""))</f>
        <v/>
      </c>
      <c r="X490" s="22" t="str">
        <f>IF(AND(OR('Choix pédagogiques'!$C$3=1,'Choix pédagogiques'!$C$3=2),$BM490=1),C490,IF(AND('Choix pédagogiques'!$C$3=3,$BO490=1),C490,""))</f>
        <v/>
      </c>
      <c r="Y490" s="22" t="str">
        <f>IF(AND(OR('Choix pédagogiques'!$C$3=1,'Choix pédagogiques'!$C$3=2),$BM490=1),D490,IF(AND('Choix pédagogiques'!$C$3=3,$BO490=1),D490,""))</f>
        <v/>
      </c>
      <c r="Z490" s="22" t="str">
        <f t="shared" si="360"/>
        <v/>
      </c>
      <c r="AA490" s="21" t="str">
        <f t="shared" si="361"/>
        <v>Apprenant 478 ou 478'</v>
      </c>
      <c r="AB490" s="22" t="str">
        <f>IF(AND(OR('Choix pédagogiques'!$C$3=1,'Choix pédagogiques'!$C$3=2),$BN490=1),G490,IF(AND('Choix pédagogiques'!$C$3=3,$BO490=1),G490,""))</f>
        <v/>
      </c>
      <c r="AC490" s="22" t="str">
        <f>IF(AND(OR('Choix pédagogiques'!$C$3=1,'Choix pédagogiques'!$C$3=2),$BN490=1),H490,IF(AND('Choix pédagogiques'!$C$3=3,$BO490=1),H490,""))</f>
        <v/>
      </c>
      <c r="AD490" s="22" t="str">
        <f>IF(AND(OR('Choix pédagogiques'!$C$3=1,'Choix pédagogiques'!$C$3=2),$BN490=1),I490,IF(AND('Choix pédagogiques'!$C$3=3,$BO490=1),I490,""))</f>
        <v/>
      </c>
      <c r="AE490" s="22" t="str">
        <f t="shared" si="362"/>
        <v/>
      </c>
      <c r="AF490" s="21" t="str">
        <f t="shared" si="363"/>
        <v>Apprenant 478</v>
      </c>
      <c r="AG490" s="22" t="str">
        <f t="shared" si="337"/>
        <v/>
      </c>
      <c r="AH490" s="22" t="str">
        <f t="shared" si="338"/>
        <v/>
      </c>
      <c r="AI490" s="22" t="str">
        <f t="shared" si="339"/>
        <v/>
      </c>
      <c r="AJ490" s="22" t="str">
        <f t="shared" si="364"/>
        <v/>
      </c>
      <c r="AK490" s="21" t="str">
        <f t="shared" si="365"/>
        <v>Apprenant 478 ou 478'</v>
      </c>
      <c r="AL490" s="22" t="str">
        <f t="shared" si="340"/>
        <v/>
      </c>
      <c r="AM490" s="22" t="str">
        <f t="shared" si="341"/>
        <v/>
      </c>
      <c r="AN490" s="22" t="str">
        <f t="shared" si="342"/>
        <v/>
      </c>
      <c r="AO490" s="22" t="str">
        <f t="shared" si="366"/>
        <v/>
      </c>
      <c r="AQ490" s="21" t="str">
        <f t="shared" si="367"/>
        <v>Apprenant 478</v>
      </c>
      <c r="AR490" s="49" t="str">
        <f>IF(AND('Choix pédagogiques'!$C$4&lt;&gt;"?",'Choix pédagogiques'!$C$5&lt;&gt;"?",W490&lt;&gt;""),(W490-'Choix pédagogiques'!$C$4)/('Choix pédagogiques'!$C$5-'Choix pédagogiques'!$C$4),"")</f>
        <v/>
      </c>
      <c r="AS490" s="49" t="str">
        <f>IF(AND('Choix pédagogiques'!$C$4&lt;&gt;"?",'Choix pédagogiques'!$C$5&lt;&gt;"?",X490&lt;&gt;""),(X490-'Choix pédagogiques'!$C$4)/('Choix pédagogiques'!$C$5-'Choix pédagogiques'!$C$4),"")</f>
        <v/>
      </c>
      <c r="AT490" s="49" t="str">
        <f>IF(AND('Choix pédagogiques'!$C$4&lt;&gt;"?",'Choix pédagogiques'!$C$5&lt;&gt;"?",Y490&lt;&gt;""),(Y490-'Choix pédagogiques'!$C$4)/('Choix pédagogiques'!$C$5-'Choix pédagogiques'!$C$4),"")</f>
        <v/>
      </c>
      <c r="AU490" s="22" t="str">
        <f t="shared" si="368"/>
        <v/>
      </c>
      <c r="AV490" s="21" t="str">
        <f t="shared" si="369"/>
        <v>Apprenant 478 ou 478'</v>
      </c>
      <c r="AW490" s="49" t="str">
        <f>IF(AND('Choix pédagogiques'!$C$4&lt;&gt;"?",'Choix pédagogiques'!$C$5&lt;&gt;"?",AB490&lt;&gt;""),(AB490-'Choix pédagogiques'!$C$4)/('Choix pédagogiques'!$C$5-'Choix pédagogiques'!$C$4),"")</f>
        <v/>
      </c>
      <c r="AX490" s="49" t="str">
        <f>IF(AND('Choix pédagogiques'!$C$4&lt;&gt;"?",'Choix pédagogiques'!$C$5&lt;&gt;"?",AC490&lt;&gt;""),(AC490-'Choix pédagogiques'!$C$4)/('Choix pédagogiques'!$C$5-'Choix pédagogiques'!$C$4),"")</f>
        <v/>
      </c>
      <c r="AY490" s="49" t="str">
        <f>IF(AND('Choix pédagogiques'!$C$4&lt;&gt;"?",'Choix pédagogiques'!$C$5&lt;&gt;"?",AD490&lt;&gt;""),(AD490-'Choix pédagogiques'!$C$4)/('Choix pédagogiques'!$C$5-'Choix pédagogiques'!$C$4),"")</f>
        <v/>
      </c>
      <c r="AZ490" s="22" t="str">
        <f t="shared" si="370"/>
        <v/>
      </c>
      <c r="BA490" s="21" t="str">
        <f t="shared" si="371"/>
        <v>Apprenant 478</v>
      </c>
      <c r="BB490" s="49" t="str">
        <f t="shared" si="343"/>
        <v/>
      </c>
      <c r="BC490" s="49" t="str">
        <f t="shared" si="344"/>
        <v/>
      </c>
      <c r="BD490" s="49" t="str">
        <f t="shared" si="345"/>
        <v/>
      </c>
      <c r="BE490" s="22" t="str">
        <f t="shared" si="372"/>
        <v/>
      </c>
      <c r="BF490" s="21" t="str">
        <f t="shared" si="373"/>
        <v>Apprenant 478 ou 478'</v>
      </c>
      <c r="BG490" s="49" t="str">
        <f t="shared" si="346"/>
        <v/>
      </c>
      <c r="BH490" s="49" t="str">
        <f t="shared" si="347"/>
        <v/>
      </c>
      <c r="BI490" s="49" t="str">
        <f t="shared" si="348"/>
        <v/>
      </c>
      <c r="BJ490" s="22" t="str">
        <f t="shared" si="374"/>
        <v/>
      </c>
      <c r="BL490" s="21"/>
      <c r="BM490" s="21" t="str">
        <f>IF(OR(COUNT(B490:D1489)=0,AND('Choix pédagogiques'!$C$3&lt;&gt;1,'Choix pédagogiques'!$C$3&lt;&gt;2)),"",IF(AND(OR('Choix pédagogiques'!$C$3=1,'Choix pédagogiques'!$C$3=2),$B490&lt;&gt;"",$C490&lt;&gt;"",$D490&lt;&gt;""),1,0))</f>
        <v/>
      </c>
      <c r="BN490" s="21" t="str">
        <f>IF(OR(COUNT(G490:I1489)=0,AND('Choix pédagogiques'!$C$3&lt;&gt;1,'Choix pédagogiques'!$C$3&lt;&gt;2)),"",IF(AND(OR('Choix pédagogiques'!$C$3=1,'Choix pédagogiques'!$C$3=2),AND($G490&lt;&gt;"",$H490&lt;&gt;"",$I490&lt;&gt;"")),1,0))</f>
        <v/>
      </c>
      <c r="BO490" s="21" t="str">
        <f>IF(OR(COUNT(B490:D1489)=0,COUNT(G490:I1489)=0,'Choix pédagogiques'!C$3&lt;&gt;3),"",IF(AND('Choix pédagogiques'!$C$3=3,$B490&lt;&gt;"",$C490&lt;&gt;"",$D490&lt;&gt;"",$G490&lt;&gt;"",$H490&lt;&gt;"",$I490&lt;&gt;""),1,0))</f>
        <v/>
      </c>
      <c r="BR490" s="21">
        <v>979</v>
      </c>
      <c r="BS490" s="21">
        <v>1265</v>
      </c>
      <c r="BT490"/>
    </row>
    <row r="491" spans="1:72" s="23" customFormat="1" ht="18" customHeight="1" x14ac:dyDescent="0.3">
      <c r="A491" s="35" t="s">
        <v>481</v>
      </c>
      <c r="B491" s="37"/>
      <c r="C491" s="37"/>
      <c r="D491" s="37"/>
      <c r="E491" s="37"/>
      <c r="F491" s="35" t="s">
        <v>1489</v>
      </c>
      <c r="G491" s="37"/>
      <c r="H491" s="37"/>
      <c r="I491" s="37"/>
      <c r="J491" s="37"/>
      <c r="K491" s="21" t="str">
        <f t="shared" si="349"/>
        <v>Apprenant 479</v>
      </c>
      <c r="L491" s="22" t="str">
        <f t="shared" si="350"/>
        <v/>
      </c>
      <c r="M491" s="22" t="str">
        <f t="shared" si="351"/>
        <v/>
      </c>
      <c r="N491" s="22" t="str">
        <f t="shared" si="352"/>
        <v/>
      </c>
      <c r="O491" s="22" t="str">
        <f t="shared" si="353"/>
        <v/>
      </c>
      <c r="P491" s="21" t="str">
        <f t="shared" si="354"/>
        <v>Apprenant 479 ou 479'</v>
      </c>
      <c r="Q491" s="22" t="str">
        <f t="shared" si="355"/>
        <v/>
      </c>
      <c r="R491" s="22" t="str">
        <f t="shared" si="356"/>
        <v/>
      </c>
      <c r="S491" s="22" t="str">
        <f t="shared" si="357"/>
        <v/>
      </c>
      <c r="T491" s="22" t="str">
        <f t="shared" si="358"/>
        <v/>
      </c>
      <c r="V491" s="21" t="str">
        <f t="shared" si="359"/>
        <v>Apprenant 479</v>
      </c>
      <c r="W491" s="22" t="str">
        <f>IF(AND(OR('Choix pédagogiques'!$C$3=1,'Choix pédagogiques'!$C$3=2),$BM491=1),B491,IF(AND('Choix pédagogiques'!$C$3=3,$BO491=1),B491,""))</f>
        <v/>
      </c>
      <c r="X491" s="22" t="str">
        <f>IF(AND(OR('Choix pédagogiques'!$C$3=1,'Choix pédagogiques'!$C$3=2),$BM491=1),C491,IF(AND('Choix pédagogiques'!$C$3=3,$BO491=1),C491,""))</f>
        <v/>
      </c>
      <c r="Y491" s="22" t="str">
        <f>IF(AND(OR('Choix pédagogiques'!$C$3=1,'Choix pédagogiques'!$C$3=2),$BM491=1),D491,IF(AND('Choix pédagogiques'!$C$3=3,$BO491=1),D491,""))</f>
        <v/>
      </c>
      <c r="Z491" s="22" t="str">
        <f t="shared" si="360"/>
        <v/>
      </c>
      <c r="AA491" s="21" t="str">
        <f t="shared" si="361"/>
        <v>Apprenant 479 ou 479'</v>
      </c>
      <c r="AB491" s="22" t="str">
        <f>IF(AND(OR('Choix pédagogiques'!$C$3=1,'Choix pédagogiques'!$C$3=2),$BN491=1),G491,IF(AND('Choix pédagogiques'!$C$3=3,$BO491=1),G491,""))</f>
        <v/>
      </c>
      <c r="AC491" s="22" t="str">
        <f>IF(AND(OR('Choix pédagogiques'!$C$3=1,'Choix pédagogiques'!$C$3=2),$BN491=1),H491,IF(AND('Choix pédagogiques'!$C$3=3,$BO491=1),H491,""))</f>
        <v/>
      </c>
      <c r="AD491" s="22" t="str">
        <f>IF(AND(OR('Choix pédagogiques'!$C$3=1,'Choix pédagogiques'!$C$3=2),$BN491=1),I491,IF(AND('Choix pédagogiques'!$C$3=3,$BO491=1),I491,""))</f>
        <v/>
      </c>
      <c r="AE491" s="22" t="str">
        <f t="shared" si="362"/>
        <v/>
      </c>
      <c r="AF491" s="21" t="str">
        <f t="shared" si="363"/>
        <v>Apprenant 479</v>
      </c>
      <c r="AG491" s="22" t="str">
        <f t="shared" si="337"/>
        <v/>
      </c>
      <c r="AH491" s="22" t="str">
        <f t="shared" si="338"/>
        <v/>
      </c>
      <c r="AI491" s="22" t="str">
        <f t="shared" si="339"/>
        <v/>
      </c>
      <c r="AJ491" s="22" t="str">
        <f t="shared" si="364"/>
        <v/>
      </c>
      <c r="AK491" s="21" t="str">
        <f t="shared" si="365"/>
        <v>Apprenant 479 ou 479'</v>
      </c>
      <c r="AL491" s="22" t="str">
        <f t="shared" si="340"/>
        <v/>
      </c>
      <c r="AM491" s="22" t="str">
        <f t="shared" si="341"/>
        <v/>
      </c>
      <c r="AN491" s="22" t="str">
        <f t="shared" si="342"/>
        <v/>
      </c>
      <c r="AO491" s="22" t="str">
        <f t="shared" si="366"/>
        <v/>
      </c>
      <c r="AQ491" s="21" t="str">
        <f t="shared" si="367"/>
        <v>Apprenant 479</v>
      </c>
      <c r="AR491" s="49" t="str">
        <f>IF(AND('Choix pédagogiques'!$C$4&lt;&gt;"?",'Choix pédagogiques'!$C$5&lt;&gt;"?",W491&lt;&gt;""),(W491-'Choix pédagogiques'!$C$4)/('Choix pédagogiques'!$C$5-'Choix pédagogiques'!$C$4),"")</f>
        <v/>
      </c>
      <c r="AS491" s="49" t="str">
        <f>IF(AND('Choix pédagogiques'!$C$4&lt;&gt;"?",'Choix pédagogiques'!$C$5&lt;&gt;"?",X491&lt;&gt;""),(X491-'Choix pédagogiques'!$C$4)/('Choix pédagogiques'!$C$5-'Choix pédagogiques'!$C$4),"")</f>
        <v/>
      </c>
      <c r="AT491" s="49" t="str">
        <f>IF(AND('Choix pédagogiques'!$C$4&lt;&gt;"?",'Choix pédagogiques'!$C$5&lt;&gt;"?",Y491&lt;&gt;""),(Y491-'Choix pédagogiques'!$C$4)/('Choix pédagogiques'!$C$5-'Choix pédagogiques'!$C$4),"")</f>
        <v/>
      </c>
      <c r="AU491" s="22" t="str">
        <f t="shared" si="368"/>
        <v/>
      </c>
      <c r="AV491" s="21" t="str">
        <f t="shared" si="369"/>
        <v>Apprenant 479 ou 479'</v>
      </c>
      <c r="AW491" s="49" t="str">
        <f>IF(AND('Choix pédagogiques'!$C$4&lt;&gt;"?",'Choix pédagogiques'!$C$5&lt;&gt;"?",AB491&lt;&gt;""),(AB491-'Choix pédagogiques'!$C$4)/('Choix pédagogiques'!$C$5-'Choix pédagogiques'!$C$4),"")</f>
        <v/>
      </c>
      <c r="AX491" s="49" t="str">
        <f>IF(AND('Choix pédagogiques'!$C$4&lt;&gt;"?",'Choix pédagogiques'!$C$5&lt;&gt;"?",AC491&lt;&gt;""),(AC491-'Choix pédagogiques'!$C$4)/('Choix pédagogiques'!$C$5-'Choix pédagogiques'!$C$4),"")</f>
        <v/>
      </c>
      <c r="AY491" s="49" t="str">
        <f>IF(AND('Choix pédagogiques'!$C$4&lt;&gt;"?",'Choix pédagogiques'!$C$5&lt;&gt;"?",AD491&lt;&gt;""),(AD491-'Choix pédagogiques'!$C$4)/('Choix pédagogiques'!$C$5-'Choix pédagogiques'!$C$4),"")</f>
        <v/>
      </c>
      <c r="AZ491" s="22" t="str">
        <f t="shared" si="370"/>
        <v/>
      </c>
      <c r="BA491" s="21" t="str">
        <f t="shared" si="371"/>
        <v>Apprenant 479</v>
      </c>
      <c r="BB491" s="49" t="str">
        <f t="shared" si="343"/>
        <v/>
      </c>
      <c r="BC491" s="49" t="str">
        <f t="shared" si="344"/>
        <v/>
      </c>
      <c r="BD491" s="49" t="str">
        <f t="shared" si="345"/>
        <v/>
      </c>
      <c r="BE491" s="22" t="str">
        <f t="shared" si="372"/>
        <v/>
      </c>
      <c r="BF491" s="21" t="str">
        <f t="shared" si="373"/>
        <v>Apprenant 479 ou 479'</v>
      </c>
      <c r="BG491" s="49" t="str">
        <f t="shared" si="346"/>
        <v/>
      </c>
      <c r="BH491" s="49" t="str">
        <f t="shared" si="347"/>
        <v/>
      </c>
      <c r="BI491" s="49" t="str">
        <f t="shared" si="348"/>
        <v/>
      </c>
      <c r="BJ491" s="22" t="str">
        <f t="shared" si="374"/>
        <v/>
      </c>
      <c r="BL491" s="21"/>
      <c r="BM491" s="21" t="str">
        <f>IF(OR(COUNT(B491:D1490)=0,AND('Choix pédagogiques'!$C$3&lt;&gt;1,'Choix pédagogiques'!$C$3&lt;&gt;2)),"",IF(AND(OR('Choix pédagogiques'!$C$3=1,'Choix pédagogiques'!$C$3=2),$B491&lt;&gt;"",$C491&lt;&gt;"",$D491&lt;&gt;""),1,0))</f>
        <v/>
      </c>
      <c r="BN491" s="21" t="str">
        <f>IF(OR(COUNT(G491:I1490)=0,AND('Choix pédagogiques'!$C$3&lt;&gt;1,'Choix pédagogiques'!$C$3&lt;&gt;2)),"",IF(AND(OR('Choix pédagogiques'!$C$3=1,'Choix pédagogiques'!$C$3=2),AND($G491&lt;&gt;"",$H491&lt;&gt;"",$I491&lt;&gt;"")),1,0))</f>
        <v/>
      </c>
      <c r="BO491" s="21" t="str">
        <f>IF(OR(COUNT(B491:D1490)=0,COUNT(G491:I1490)=0,'Choix pédagogiques'!C$3&lt;&gt;3),"",IF(AND('Choix pédagogiques'!$C$3=3,$B491&lt;&gt;"",$C491&lt;&gt;"",$D491&lt;&gt;"",$G491&lt;&gt;"",$H491&lt;&gt;"",$I491&lt;&gt;""),1,0))</f>
        <v/>
      </c>
      <c r="BR491" s="21">
        <v>933</v>
      </c>
      <c r="BS491" s="21">
        <v>1062</v>
      </c>
      <c r="BT491"/>
    </row>
    <row r="492" spans="1:72" s="23" customFormat="1" ht="18" customHeight="1" x14ac:dyDescent="0.3">
      <c r="A492" s="35" t="s">
        <v>482</v>
      </c>
      <c r="B492" s="37"/>
      <c r="C492" s="37"/>
      <c r="D492" s="37"/>
      <c r="E492" s="37"/>
      <c r="F492" s="35" t="s">
        <v>1490</v>
      </c>
      <c r="G492" s="37"/>
      <c r="H492" s="37"/>
      <c r="I492" s="37"/>
      <c r="J492" s="37"/>
      <c r="K492" s="21" t="str">
        <f t="shared" si="349"/>
        <v>Apprenant 480</v>
      </c>
      <c r="L492" s="22" t="str">
        <f t="shared" si="350"/>
        <v/>
      </c>
      <c r="M492" s="22" t="str">
        <f t="shared" si="351"/>
        <v/>
      </c>
      <c r="N492" s="22" t="str">
        <f t="shared" si="352"/>
        <v/>
      </c>
      <c r="O492" s="22" t="str">
        <f t="shared" si="353"/>
        <v/>
      </c>
      <c r="P492" s="21" t="str">
        <f t="shared" si="354"/>
        <v>Apprenant 480 ou 480'</v>
      </c>
      <c r="Q492" s="22" t="str">
        <f t="shared" si="355"/>
        <v/>
      </c>
      <c r="R492" s="22" t="str">
        <f t="shared" si="356"/>
        <v/>
      </c>
      <c r="S492" s="22" t="str">
        <f t="shared" si="357"/>
        <v/>
      </c>
      <c r="T492" s="22" t="str">
        <f t="shared" si="358"/>
        <v/>
      </c>
      <c r="V492" s="21" t="str">
        <f t="shared" si="359"/>
        <v>Apprenant 480</v>
      </c>
      <c r="W492" s="22" t="str">
        <f>IF(AND(OR('Choix pédagogiques'!$C$3=1,'Choix pédagogiques'!$C$3=2),$BM492=1),B492,IF(AND('Choix pédagogiques'!$C$3=3,$BO492=1),B492,""))</f>
        <v/>
      </c>
      <c r="X492" s="22" t="str">
        <f>IF(AND(OR('Choix pédagogiques'!$C$3=1,'Choix pédagogiques'!$C$3=2),$BM492=1),C492,IF(AND('Choix pédagogiques'!$C$3=3,$BO492=1),C492,""))</f>
        <v/>
      </c>
      <c r="Y492" s="22" t="str">
        <f>IF(AND(OR('Choix pédagogiques'!$C$3=1,'Choix pédagogiques'!$C$3=2),$BM492=1),D492,IF(AND('Choix pédagogiques'!$C$3=3,$BO492=1),D492,""))</f>
        <v/>
      </c>
      <c r="Z492" s="22" t="str">
        <f t="shared" si="360"/>
        <v/>
      </c>
      <c r="AA492" s="21" t="str">
        <f t="shared" si="361"/>
        <v>Apprenant 480 ou 480'</v>
      </c>
      <c r="AB492" s="22" t="str">
        <f>IF(AND(OR('Choix pédagogiques'!$C$3=1,'Choix pédagogiques'!$C$3=2),$BN492=1),G492,IF(AND('Choix pédagogiques'!$C$3=3,$BO492=1),G492,""))</f>
        <v/>
      </c>
      <c r="AC492" s="22" t="str">
        <f>IF(AND(OR('Choix pédagogiques'!$C$3=1,'Choix pédagogiques'!$C$3=2),$BN492=1),H492,IF(AND('Choix pédagogiques'!$C$3=3,$BO492=1),H492,""))</f>
        <v/>
      </c>
      <c r="AD492" s="22" t="str">
        <f>IF(AND(OR('Choix pédagogiques'!$C$3=1,'Choix pédagogiques'!$C$3=2),$BN492=1),I492,IF(AND('Choix pédagogiques'!$C$3=3,$BO492=1),I492,""))</f>
        <v/>
      </c>
      <c r="AE492" s="22" t="str">
        <f t="shared" si="362"/>
        <v/>
      </c>
      <c r="AF492" s="21" t="str">
        <f t="shared" si="363"/>
        <v>Apprenant 480</v>
      </c>
      <c r="AG492" s="22" t="str">
        <f t="shared" si="337"/>
        <v/>
      </c>
      <c r="AH492" s="22" t="str">
        <f t="shared" si="338"/>
        <v/>
      </c>
      <c r="AI492" s="22" t="str">
        <f t="shared" si="339"/>
        <v/>
      </c>
      <c r="AJ492" s="22" t="str">
        <f t="shared" si="364"/>
        <v/>
      </c>
      <c r="AK492" s="21" t="str">
        <f t="shared" si="365"/>
        <v>Apprenant 480 ou 480'</v>
      </c>
      <c r="AL492" s="22" t="str">
        <f t="shared" si="340"/>
        <v/>
      </c>
      <c r="AM492" s="22" t="str">
        <f t="shared" si="341"/>
        <v/>
      </c>
      <c r="AN492" s="22" t="str">
        <f t="shared" si="342"/>
        <v/>
      </c>
      <c r="AO492" s="22" t="str">
        <f t="shared" si="366"/>
        <v/>
      </c>
      <c r="AQ492" s="21" t="str">
        <f t="shared" si="367"/>
        <v>Apprenant 480</v>
      </c>
      <c r="AR492" s="49" t="str">
        <f>IF(AND('Choix pédagogiques'!$C$4&lt;&gt;"?",'Choix pédagogiques'!$C$5&lt;&gt;"?",W492&lt;&gt;""),(W492-'Choix pédagogiques'!$C$4)/('Choix pédagogiques'!$C$5-'Choix pédagogiques'!$C$4),"")</f>
        <v/>
      </c>
      <c r="AS492" s="49" t="str">
        <f>IF(AND('Choix pédagogiques'!$C$4&lt;&gt;"?",'Choix pédagogiques'!$C$5&lt;&gt;"?",X492&lt;&gt;""),(X492-'Choix pédagogiques'!$C$4)/('Choix pédagogiques'!$C$5-'Choix pédagogiques'!$C$4),"")</f>
        <v/>
      </c>
      <c r="AT492" s="49" t="str">
        <f>IF(AND('Choix pédagogiques'!$C$4&lt;&gt;"?",'Choix pédagogiques'!$C$5&lt;&gt;"?",Y492&lt;&gt;""),(Y492-'Choix pédagogiques'!$C$4)/('Choix pédagogiques'!$C$5-'Choix pédagogiques'!$C$4),"")</f>
        <v/>
      </c>
      <c r="AU492" s="22" t="str">
        <f t="shared" si="368"/>
        <v/>
      </c>
      <c r="AV492" s="21" t="str">
        <f t="shared" si="369"/>
        <v>Apprenant 480 ou 480'</v>
      </c>
      <c r="AW492" s="49" t="str">
        <f>IF(AND('Choix pédagogiques'!$C$4&lt;&gt;"?",'Choix pédagogiques'!$C$5&lt;&gt;"?",AB492&lt;&gt;""),(AB492-'Choix pédagogiques'!$C$4)/('Choix pédagogiques'!$C$5-'Choix pédagogiques'!$C$4),"")</f>
        <v/>
      </c>
      <c r="AX492" s="49" t="str">
        <f>IF(AND('Choix pédagogiques'!$C$4&lt;&gt;"?",'Choix pédagogiques'!$C$5&lt;&gt;"?",AC492&lt;&gt;""),(AC492-'Choix pédagogiques'!$C$4)/('Choix pédagogiques'!$C$5-'Choix pédagogiques'!$C$4),"")</f>
        <v/>
      </c>
      <c r="AY492" s="49" t="str">
        <f>IF(AND('Choix pédagogiques'!$C$4&lt;&gt;"?",'Choix pédagogiques'!$C$5&lt;&gt;"?",AD492&lt;&gt;""),(AD492-'Choix pédagogiques'!$C$4)/('Choix pédagogiques'!$C$5-'Choix pédagogiques'!$C$4),"")</f>
        <v/>
      </c>
      <c r="AZ492" s="22" t="str">
        <f t="shared" si="370"/>
        <v/>
      </c>
      <c r="BA492" s="21" t="str">
        <f t="shared" si="371"/>
        <v>Apprenant 480</v>
      </c>
      <c r="BB492" s="49" t="str">
        <f t="shared" si="343"/>
        <v/>
      </c>
      <c r="BC492" s="49" t="str">
        <f t="shared" si="344"/>
        <v/>
      </c>
      <c r="BD492" s="49" t="str">
        <f t="shared" si="345"/>
        <v/>
      </c>
      <c r="BE492" s="22" t="str">
        <f t="shared" si="372"/>
        <v/>
      </c>
      <c r="BF492" s="21" t="str">
        <f t="shared" si="373"/>
        <v>Apprenant 480 ou 480'</v>
      </c>
      <c r="BG492" s="49" t="str">
        <f t="shared" si="346"/>
        <v/>
      </c>
      <c r="BH492" s="49" t="str">
        <f t="shared" si="347"/>
        <v/>
      </c>
      <c r="BI492" s="49" t="str">
        <f t="shared" si="348"/>
        <v/>
      </c>
      <c r="BJ492" s="22" t="str">
        <f t="shared" si="374"/>
        <v/>
      </c>
      <c r="BL492" s="21"/>
      <c r="BM492" s="21" t="str">
        <f>IF(OR(COUNT(B492:D1491)=0,AND('Choix pédagogiques'!$C$3&lt;&gt;1,'Choix pédagogiques'!$C$3&lt;&gt;2)),"",IF(AND(OR('Choix pédagogiques'!$C$3=1,'Choix pédagogiques'!$C$3=2),$B492&lt;&gt;"",$C492&lt;&gt;"",$D492&lt;&gt;""),1,0))</f>
        <v/>
      </c>
      <c r="BN492" s="21" t="str">
        <f>IF(OR(COUNT(G492:I1491)=0,AND('Choix pédagogiques'!$C$3&lt;&gt;1,'Choix pédagogiques'!$C$3&lt;&gt;2)),"",IF(AND(OR('Choix pédagogiques'!$C$3=1,'Choix pédagogiques'!$C$3=2),AND($G492&lt;&gt;"",$H492&lt;&gt;"",$I492&lt;&gt;"")),1,0))</f>
        <v/>
      </c>
      <c r="BO492" s="21" t="str">
        <f>IF(OR(COUNT(B492:D1491)=0,COUNT(G492:I1491)=0,'Choix pédagogiques'!C$3&lt;&gt;3),"",IF(AND('Choix pédagogiques'!$C$3=3,$B492&lt;&gt;"",$C492&lt;&gt;"",$D492&lt;&gt;"",$G492&lt;&gt;"",$H492&lt;&gt;"",$I492&lt;&gt;""),1,0))</f>
        <v/>
      </c>
      <c r="BR492" s="21">
        <v>543</v>
      </c>
      <c r="BS492" s="21">
        <v>1094</v>
      </c>
      <c r="BT492"/>
    </row>
    <row r="493" spans="1:72" s="23" customFormat="1" ht="18" customHeight="1" x14ac:dyDescent="0.3">
      <c r="A493" s="35" t="s">
        <v>483</v>
      </c>
      <c r="B493" s="37"/>
      <c r="C493" s="37"/>
      <c r="D493" s="37"/>
      <c r="E493" s="37"/>
      <c r="F493" s="35" t="s">
        <v>1491</v>
      </c>
      <c r="G493" s="37"/>
      <c r="H493" s="37"/>
      <c r="I493" s="37"/>
      <c r="J493" s="37"/>
      <c r="K493" s="21" t="str">
        <f t="shared" si="349"/>
        <v>Apprenant 481</v>
      </c>
      <c r="L493" s="22" t="str">
        <f t="shared" si="350"/>
        <v/>
      </c>
      <c r="M493" s="22" t="str">
        <f t="shared" si="351"/>
        <v/>
      </c>
      <c r="N493" s="22" t="str">
        <f t="shared" si="352"/>
        <v/>
      </c>
      <c r="O493" s="22" t="str">
        <f t="shared" si="353"/>
        <v/>
      </c>
      <c r="P493" s="21" t="str">
        <f t="shared" si="354"/>
        <v>Apprenant 481 ou 481'</v>
      </c>
      <c r="Q493" s="22" t="str">
        <f t="shared" si="355"/>
        <v/>
      </c>
      <c r="R493" s="22" t="str">
        <f t="shared" si="356"/>
        <v/>
      </c>
      <c r="S493" s="22" t="str">
        <f t="shared" si="357"/>
        <v/>
      </c>
      <c r="T493" s="22" t="str">
        <f t="shared" si="358"/>
        <v/>
      </c>
      <c r="V493" s="21" t="str">
        <f t="shared" si="359"/>
        <v>Apprenant 481</v>
      </c>
      <c r="W493" s="22" t="str">
        <f>IF(AND(OR('Choix pédagogiques'!$C$3=1,'Choix pédagogiques'!$C$3=2),$BM493=1),B493,IF(AND('Choix pédagogiques'!$C$3=3,$BO493=1),B493,""))</f>
        <v/>
      </c>
      <c r="X493" s="22" t="str">
        <f>IF(AND(OR('Choix pédagogiques'!$C$3=1,'Choix pédagogiques'!$C$3=2),$BM493=1),C493,IF(AND('Choix pédagogiques'!$C$3=3,$BO493=1),C493,""))</f>
        <v/>
      </c>
      <c r="Y493" s="22" t="str">
        <f>IF(AND(OR('Choix pédagogiques'!$C$3=1,'Choix pédagogiques'!$C$3=2),$BM493=1),D493,IF(AND('Choix pédagogiques'!$C$3=3,$BO493=1),D493,""))</f>
        <v/>
      </c>
      <c r="Z493" s="22" t="str">
        <f t="shared" si="360"/>
        <v/>
      </c>
      <c r="AA493" s="21" t="str">
        <f t="shared" si="361"/>
        <v>Apprenant 481 ou 481'</v>
      </c>
      <c r="AB493" s="22" t="str">
        <f>IF(AND(OR('Choix pédagogiques'!$C$3=1,'Choix pédagogiques'!$C$3=2),$BN493=1),G493,IF(AND('Choix pédagogiques'!$C$3=3,$BO493=1),G493,""))</f>
        <v/>
      </c>
      <c r="AC493" s="22" t="str">
        <f>IF(AND(OR('Choix pédagogiques'!$C$3=1,'Choix pédagogiques'!$C$3=2),$BN493=1),H493,IF(AND('Choix pédagogiques'!$C$3=3,$BO493=1),H493,""))</f>
        <v/>
      </c>
      <c r="AD493" s="22" t="str">
        <f>IF(AND(OR('Choix pédagogiques'!$C$3=1,'Choix pédagogiques'!$C$3=2),$BN493=1),I493,IF(AND('Choix pédagogiques'!$C$3=3,$BO493=1),I493,""))</f>
        <v/>
      </c>
      <c r="AE493" s="22" t="str">
        <f t="shared" si="362"/>
        <v/>
      </c>
      <c r="AF493" s="21" t="str">
        <f t="shared" si="363"/>
        <v>Apprenant 481</v>
      </c>
      <c r="AG493" s="22" t="str">
        <f t="shared" si="337"/>
        <v/>
      </c>
      <c r="AH493" s="22" t="str">
        <f t="shared" si="338"/>
        <v/>
      </c>
      <c r="AI493" s="22" t="str">
        <f t="shared" si="339"/>
        <v/>
      </c>
      <c r="AJ493" s="22" t="str">
        <f t="shared" si="364"/>
        <v/>
      </c>
      <c r="AK493" s="21" t="str">
        <f t="shared" si="365"/>
        <v>Apprenant 481 ou 481'</v>
      </c>
      <c r="AL493" s="22" t="str">
        <f t="shared" si="340"/>
        <v/>
      </c>
      <c r="AM493" s="22" t="str">
        <f t="shared" si="341"/>
        <v/>
      </c>
      <c r="AN493" s="22" t="str">
        <f t="shared" si="342"/>
        <v/>
      </c>
      <c r="AO493" s="22" t="str">
        <f t="shared" si="366"/>
        <v/>
      </c>
      <c r="AQ493" s="21" t="str">
        <f t="shared" si="367"/>
        <v>Apprenant 481</v>
      </c>
      <c r="AR493" s="49" t="str">
        <f>IF(AND('Choix pédagogiques'!$C$4&lt;&gt;"?",'Choix pédagogiques'!$C$5&lt;&gt;"?",W493&lt;&gt;""),(W493-'Choix pédagogiques'!$C$4)/('Choix pédagogiques'!$C$5-'Choix pédagogiques'!$C$4),"")</f>
        <v/>
      </c>
      <c r="AS493" s="49" t="str">
        <f>IF(AND('Choix pédagogiques'!$C$4&lt;&gt;"?",'Choix pédagogiques'!$C$5&lt;&gt;"?",X493&lt;&gt;""),(X493-'Choix pédagogiques'!$C$4)/('Choix pédagogiques'!$C$5-'Choix pédagogiques'!$C$4),"")</f>
        <v/>
      </c>
      <c r="AT493" s="49" t="str">
        <f>IF(AND('Choix pédagogiques'!$C$4&lt;&gt;"?",'Choix pédagogiques'!$C$5&lt;&gt;"?",Y493&lt;&gt;""),(Y493-'Choix pédagogiques'!$C$4)/('Choix pédagogiques'!$C$5-'Choix pédagogiques'!$C$4),"")</f>
        <v/>
      </c>
      <c r="AU493" s="22" t="str">
        <f t="shared" si="368"/>
        <v/>
      </c>
      <c r="AV493" s="21" t="str">
        <f t="shared" si="369"/>
        <v>Apprenant 481 ou 481'</v>
      </c>
      <c r="AW493" s="49" t="str">
        <f>IF(AND('Choix pédagogiques'!$C$4&lt;&gt;"?",'Choix pédagogiques'!$C$5&lt;&gt;"?",AB493&lt;&gt;""),(AB493-'Choix pédagogiques'!$C$4)/('Choix pédagogiques'!$C$5-'Choix pédagogiques'!$C$4),"")</f>
        <v/>
      </c>
      <c r="AX493" s="49" t="str">
        <f>IF(AND('Choix pédagogiques'!$C$4&lt;&gt;"?",'Choix pédagogiques'!$C$5&lt;&gt;"?",AC493&lt;&gt;""),(AC493-'Choix pédagogiques'!$C$4)/('Choix pédagogiques'!$C$5-'Choix pédagogiques'!$C$4),"")</f>
        <v/>
      </c>
      <c r="AY493" s="49" t="str">
        <f>IF(AND('Choix pédagogiques'!$C$4&lt;&gt;"?",'Choix pédagogiques'!$C$5&lt;&gt;"?",AD493&lt;&gt;""),(AD493-'Choix pédagogiques'!$C$4)/('Choix pédagogiques'!$C$5-'Choix pédagogiques'!$C$4),"")</f>
        <v/>
      </c>
      <c r="AZ493" s="22" t="str">
        <f t="shared" si="370"/>
        <v/>
      </c>
      <c r="BA493" s="21" t="str">
        <f t="shared" si="371"/>
        <v>Apprenant 481</v>
      </c>
      <c r="BB493" s="49" t="str">
        <f t="shared" si="343"/>
        <v/>
      </c>
      <c r="BC493" s="49" t="str">
        <f t="shared" si="344"/>
        <v/>
      </c>
      <c r="BD493" s="49" t="str">
        <f t="shared" si="345"/>
        <v/>
      </c>
      <c r="BE493" s="22" t="str">
        <f t="shared" si="372"/>
        <v/>
      </c>
      <c r="BF493" s="21" t="str">
        <f t="shared" si="373"/>
        <v>Apprenant 481 ou 481'</v>
      </c>
      <c r="BG493" s="49" t="str">
        <f t="shared" si="346"/>
        <v/>
      </c>
      <c r="BH493" s="49" t="str">
        <f t="shared" si="347"/>
        <v/>
      </c>
      <c r="BI493" s="49" t="str">
        <f t="shared" si="348"/>
        <v/>
      </c>
      <c r="BJ493" s="22" t="str">
        <f t="shared" si="374"/>
        <v/>
      </c>
      <c r="BL493" s="21"/>
      <c r="BM493" s="21" t="str">
        <f>IF(OR(COUNT(B493:D1492)=0,AND('Choix pédagogiques'!$C$3&lt;&gt;1,'Choix pédagogiques'!$C$3&lt;&gt;2)),"",IF(AND(OR('Choix pédagogiques'!$C$3=1,'Choix pédagogiques'!$C$3=2),$B493&lt;&gt;"",$C493&lt;&gt;"",$D493&lt;&gt;""),1,0))</f>
        <v/>
      </c>
      <c r="BN493" s="21" t="str">
        <f>IF(OR(COUNT(G493:I1492)=0,AND('Choix pédagogiques'!$C$3&lt;&gt;1,'Choix pédagogiques'!$C$3&lt;&gt;2)),"",IF(AND(OR('Choix pédagogiques'!$C$3=1,'Choix pédagogiques'!$C$3=2),AND($G493&lt;&gt;"",$H493&lt;&gt;"",$I493&lt;&gt;"")),1,0))</f>
        <v/>
      </c>
      <c r="BO493" s="21" t="str">
        <f>IF(OR(COUNT(B493:D1492)=0,COUNT(G493:I1492)=0,'Choix pédagogiques'!C$3&lt;&gt;3),"",IF(AND('Choix pédagogiques'!$C$3=3,$B493&lt;&gt;"",$C493&lt;&gt;"",$D493&lt;&gt;"",$G493&lt;&gt;"",$H493&lt;&gt;"",$I493&lt;&gt;""),1,0))</f>
        <v/>
      </c>
      <c r="BR493" s="21">
        <v>142</v>
      </c>
      <c r="BS493" s="21">
        <v>1313</v>
      </c>
      <c r="BT493"/>
    </row>
    <row r="494" spans="1:72" s="23" customFormat="1" ht="18" customHeight="1" x14ac:dyDescent="0.3">
      <c r="A494" s="35" t="s">
        <v>484</v>
      </c>
      <c r="B494" s="37"/>
      <c r="C494" s="37"/>
      <c r="D494" s="37"/>
      <c r="E494" s="37"/>
      <c r="F494" s="35" t="s">
        <v>1492</v>
      </c>
      <c r="G494" s="37"/>
      <c r="H494" s="37"/>
      <c r="I494" s="37"/>
      <c r="J494" s="37"/>
      <c r="K494" s="21" t="str">
        <f t="shared" si="349"/>
        <v>Apprenant 482</v>
      </c>
      <c r="L494" s="22" t="str">
        <f t="shared" si="350"/>
        <v/>
      </c>
      <c r="M494" s="22" t="str">
        <f t="shared" si="351"/>
        <v/>
      </c>
      <c r="N494" s="22" t="str">
        <f t="shared" si="352"/>
        <v/>
      </c>
      <c r="O494" s="22" t="str">
        <f t="shared" si="353"/>
        <v/>
      </c>
      <c r="P494" s="21" t="str">
        <f t="shared" si="354"/>
        <v>Apprenant 482 ou 482'</v>
      </c>
      <c r="Q494" s="22" t="str">
        <f t="shared" si="355"/>
        <v/>
      </c>
      <c r="R494" s="22" t="str">
        <f t="shared" si="356"/>
        <v/>
      </c>
      <c r="S494" s="22" t="str">
        <f t="shared" si="357"/>
        <v/>
      </c>
      <c r="T494" s="22" t="str">
        <f t="shared" si="358"/>
        <v/>
      </c>
      <c r="V494" s="21" t="str">
        <f t="shared" si="359"/>
        <v>Apprenant 482</v>
      </c>
      <c r="W494" s="22" t="str">
        <f>IF(AND(OR('Choix pédagogiques'!$C$3=1,'Choix pédagogiques'!$C$3=2),$BM494=1),B494,IF(AND('Choix pédagogiques'!$C$3=3,$BO494=1),B494,""))</f>
        <v/>
      </c>
      <c r="X494" s="22" t="str">
        <f>IF(AND(OR('Choix pédagogiques'!$C$3=1,'Choix pédagogiques'!$C$3=2),$BM494=1),C494,IF(AND('Choix pédagogiques'!$C$3=3,$BO494=1),C494,""))</f>
        <v/>
      </c>
      <c r="Y494" s="22" t="str">
        <f>IF(AND(OR('Choix pédagogiques'!$C$3=1,'Choix pédagogiques'!$C$3=2),$BM494=1),D494,IF(AND('Choix pédagogiques'!$C$3=3,$BO494=1),D494,""))</f>
        <v/>
      </c>
      <c r="Z494" s="22" t="str">
        <f t="shared" si="360"/>
        <v/>
      </c>
      <c r="AA494" s="21" t="str">
        <f t="shared" si="361"/>
        <v>Apprenant 482 ou 482'</v>
      </c>
      <c r="AB494" s="22" t="str">
        <f>IF(AND(OR('Choix pédagogiques'!$C$3=1,'Choix pédagogiques'!$C$3=2),$BN494=1),G494,IF(AND('Choix pédagogiques'!$C$3=3,$BO494=1),G494,""))</f>
        <v/>
      </c>
      <c r="AC494" s="22" t="str">
        <f>IF(AND(OR('Choix pédagogiques'!$C$3=1,'Choix pédagogiques'!$C$3=2),$BN494=1),H494,IF(AND('Choix pédagogiques'!$C$3=3,$BO494=1),H494,""))</f>
        <v/>
      </c>
      <c r="AD494" s="22" t="str">
        <f>IF(AND(OR('Choix pédagogiques'!$C$3=1,'Choix pédagogiques'!$C$3=2),$BN494=1),I494,IF(AND('Choix pédagogiques'!$C$3=3,$BO494=1),I494,""))</f>
        <v/>
      </c>
      <c r="AE494" s="22" t="str">
        <f t="shared" si="362"/>
        <v/>
      </c>
      <c r="AF494" s="21" t="str">
        <f t="shared" si="363"/>
        <v>Apprenant 482</v>
      </c>
      <c r="AG494" s="22" t="str">
        <f t="shared" si="337"/>
        <v/>
      </c>
      <c r="AH494" s="22" t="str">
        <f t="shared" si="338"/>
        <v/>
      </c>
      <c r="AI494" s="22" t="str">
        <f t="shared" si="339"/>
        <v/>
      </c>
      <c r="AJ494" s="22" t="str">
        <f t="shared" si="364"/>
        <v/>
      </c>
      <c r="AK494" s="21" t="str">
        <f t="shared" si="365"/>
        <v>Apprenant 482 ou 482'</v>
      </c>
      <c r="AL494" s="22" t="str">
        <f t="shared" si="340"/>
        <v/>
      </c>
      <c r="AM494" s="22" t="str">
        <f t="shared" si="341"/>
        <v/>
      </c>
      <c r="AN494" s="22" t="str">
        <f t="shared" si="342"/>
        <v/>
      </c>
      <c r="AO494" s="22" t="str">
        <f t="shared" si="366"/>
        <v/>
      </c>
      <c r="AQ494" s="21" t="str">
        <f t="shared" si="367"/>
        <v>Apprenant 482</v>
      </c>
      <c r="AR494" s="49" t="str">
        <f>IF(AND('Choix pédagogiques'!$C$4&lt;&gt;"?",'Choix pédagogiques'!$C$5&lt;&gt;"?",W494&lt;&gt;""),(W494-'Choix pédagogiques'!$C$4)/('Choix pédagogiques'!$C$5-'Choix pédagogiques'!$C$4),"")</f>
        <v/>
      </c>
      <c r="AS494" s="49" t="str">
        <f>IF(AND('Choix pédagogiques'!$C$4&lt;&gt;"?",'Choix pédagogiques'!$C$5&lt;&gt;"?",X494&lt;&gt;""),(X494-'Choix pédagogiques'!$C$4)/('Choix pédagogiques'!$C$5-'Choix pédagogiques'!$C$4),"")</f>
        <v/>
      </c>
      <c r="AT494" s="49" t="str">
        <f>IF(AND('Choix pédagogiques'!$C$4&lt;&gt;"?",'Choix pédagogiques'!$C$5&lt;&gt;"?",Y494&lt;&gt;""),(Y494-'Choix pédagogiques'!$C$4)/('Choix pédagogiques'!$C$5-'Choix pédagogiques'!$C$4),"")</f>
        <v/>
      </c>
      <c r="AU494" s="22" t="str">
        <f t="shared" si="368"/>
        <v/>
      </c>
      <c r="AV494" s="21" t="str">
        <f t="shared" si="369"/>
        <v>Apprenant 482 ou 482'</v>
      </c>
      <c r="AW494" s="49" t="str">
        <f>IF(AND('Choix pédagogiques'!$C$4&lt;&gt;"?",'Choix pédagogiques'!$C$5&lt;&gt;"?",AB494&lt;&gt;""),(AB494-'Choix pédagogiques'!$C$4)/('Choix pédagogiques'!$C$5-'Choix pédagogiques'!$C$4),"")</f>
        <v/>
      </c>
      <c r="AX494" s="49" t="str">
        <f>IF(AND('Choix pédagogiques'!$C$4&lt;&gt;"?",'Choix pédagogiques'!$C$5&lt;&gt;"?",AC494&lt;&gt;""),(AC494-'Choix pédagogiques'!$C$4)/('Choix pédagogiques'!$C$5-'Choix pédagogiques'!$C$4),"")</f>
        <v/>
      </c>
      <c r="AY494" s="49" t="str">
        <f>IF(AND('Choix pédagogiques'!$C$4&lt;&gt;"?",'Choix pédagogiques'!$C$5&lt;&gt;"?",AD494&lt;&gt;""),(AD494-'Choix pédagogiques'!$C$4)/('Choix pédagogiques'!$C$5-'Choix pédagogiques'!$C$4),"")</f>
        <v/>
      </c>
      <c r="AZ494" s="22" t="str">
        <f t="shared" si="370"/>
        <v/>
      </c>
      <c r="BA494" s="21" t="str">
        <f t="shared" si="371"/>
        <v>Apprenant 482</v>
      </c>
      <c r="BB494" s="49" t="str">
        <f t="shared" si="343"/>
        <v/>
      </c>
      <c r="BC494" s="49" t="str">
        <f t="shared" si="344"/>
        <v/>
      </c>
      <c r="BD494" s="49" t="str">
        <f t="shared" si="345"/>
        <v/>
      </c>
      <c r="BE494" s="22" t="str">
        <f t="shared" si="372"/>
        <v/>
      </c>
      <c r="BF494" s="21" t="str">
        <f t="shared" si="373"/>
        <v>Apprenant 482 ou 482'</v>
      </c>
      <c r="BG494" s="49" t="str">
        <f t="shared" si="346"/>
        <v/>
      </c>
      <c r="BH494" s="49" t="str">
        <f t="shared" si="347"/>
        <v/>
      </c>
      <c r="BI494" s="49" t="str">
        <f t="shared" si="348"/>
        <v/>
      </c>
      <c r="BJ494" s="22" t="str">
        <f t="shared" si="374"/>
        <v/>
      </c>
      <c r="BL494" s="21"/>
      <c r="BM494" s="21" t="str">
        <f>IF(OR(COUNT(B494:D1493)=0,AND('Choix pédagogiques'!$C$3&lt;&gt;1,'Choix pédagogiques'!$C$3&lt;&gt;2)),"",IF(AND(OR('Choix pédagogiques'!$C$3=1,'Choix pédagogiques'!$C$3=2),$B494&lt;&gt;"",$C494&lt;&gt;"",$D494&lt;&gt;""),1,0))</f>
        <v/>
      </c>
      <c r="BN494" s="21" t="str">
        <f>IF(OR(COUNT(G494:I1493)=0,AND('Choix pédagogiques'!$C$3&lt;&gt;1,'Choix pédagogiques'!$C$3&lt;&gt;2)),"",IF(AND(OR('Choix pédagogiques'!$C$3=1,'Choix pédagogiques'!$C$3=2),AND($G494&lt;&gt;"",$H494&lt;&gt;"",$I494&lt;&gt;"")),1,0))</f>
        <v/>
      </c>
      <c r="BO494" s="21" t="str">
        <f>IF(OR(COUNT(B494:D1493)=0,COUNT(G494:I1493)=0,'Choix pédagogiques'!C$3&lt;&gt;3),"",IF(AND('Choix pédagogiques'!$C$3=3,$B494&lt;&gt;"",$C494&lt;&gt;"",$D494&lt;&gt;"",$G494&lt;&gt;"",$H494&lt;&gt;"",$I494&lt;&gt;""),1,0))</f>
        <v/>
      </c>
      <c r="BR494" s="21">
        <v>433</v>
      </c>
      <c r="BS494" s="21">
        <v>1483</v>
      </c>
      <c r="BT494"/>
    </row>
    <row r="495" spans="1:72" s="23" customFormat="1" ht="18" customHeight="1" x14ac:dyDescent="0.3">
      <c r="A495" s="35" t="s">
        <v>485</v>
      </c>
      <c r="B495" s="37"/>
      <c r="C495" s="37"/>
      <c r="D495" s="37"/>
      <c r="E495" s="37"/>
      <c r="F495" s="35" t="s">
        <v>1493</v>
      </c>
      <c r="G495" s="37"/>
      <c r="H495" s="37"/>
      <c r="I495" s="37"/>
      <c r="J495" s="37"/>
      <c r="K495" s="21" t="str">
        <f t="shared" si="349"/>
        <v>Apprenant 483</v>
      </c>
      <c r="L495" s="22" t="str">
        <f t="shared" si="350"/>
        <v/>
      </c>
      <c r="M495" s="22" t="str">
        <f t="shared" si="351"/>
        <v/>
      </c>
      <c r="N495" s="22" t="str">
        <f t="shared" si="352"/>
        <v/>
      </c>
      <c r="O495" s="22" t="str">
        <f t="shared" si="353"/>
        <v/>
      </c>
      <c r="P495" s="21" t="str">
        <f t="shared" si="354"/>
        <v>Apprenant 483 ou 483'</v>
      </c>
      <c r="Q495" s="22" t="str">
        <f t="shared" si="355"/>
        <v/>
      </c>
      <c r="R495" s="22" t="str">
        <f t="shared" si="356"/>
        <v/>
      </c>
      <c r="S495" s="22" t="str">
        <f t="shared" si="357"/>
        <v/>
      </c>
      <c r="T495" s="22" t="str">
        <f t="shared" si="358"/>
        <v/>
      </c>
      <c r="V495" s="21" t="str">
        <f t="shared" si="359"/>
        <v>Apprenant 483</v>
      </c>
      <c r="W495" s="22" t="str">
        <f>IF(AND(OR('Choix pédagogiques'!$C$3=1,'Choix pédagogiques'!$C$3=2),$BM495=1),B495,IF(AND('Choix pédagogiques'!$C$3=3,$BO495=1),B495,""))</f>
        <v/>
      </c>
      <c r="X495" s="22" t="str">
        <f>IF(AND(OR('Choix pédagogiques'!$C$3=1,'Choix pédagogiques'!$C$3=2),$BM495=1),C495,IF(AND('Choix pédagogiques'!$C$3=3,$BO495=1),C495,""))</f>
        <v/>
      </c>
      <c r="Y495" s="22" t="str">
        <f>IF(AND(OR('Choix pédagogiques'!$C$3=1,'Choix pédagogiques'!$C$3=2),$BM495=1),D495,IF(AND('Choix pédagogiques'!$C$3=3,$BO495=1),D495,""))</f>
        <v/>
      </c>
      <c r="Z495" s="22" t="str">
        <f t="shared" si="360"/>
        <v/>
      </c>
      <c r="AA495" s="21" t="str">
        <f t="shared" si="361"/>
        <v>Apprenant 483 ou 483'</v>
      </c>
      <c r="AB495" s="22" t="str">
        <f>IF(AND(OR('Choix pédagogiques'!$C$3=1,'Choix pédagogiques'!$C$3=2),$BN495=1),G495,IF(AND('Choix pédagogiques'!$C$3=3,$BO495=1),G495,""))</f>
        <v/>
      </c>
      <c r="AC495" s="22" t="str">
        <f>IF(AND(OR('Choix pédagogiques'!$C$3=1,'Choix pédagogiques'!$C$3=2),$BN495=1),H495,IF(AND('Choix pédagogiques'!$C$3=3,$BO495=1),H495,""))</f>
        <v/>
      </c>
      <c r="AD495" s="22" t="str">
        <f>IF(AND(OR('Choix pédagogiques'!$C$3=1,'Choix pédagogiques'!$C$3=2),$BN495=1),I495,IF(AND('Choix pédagogiques'!$C$3=3,$BO495=1),I495,""))</f>
        <v/>
      </c>
      <c r="AE495" s="22" t="str">
        <f t="shared" si="362"/>
        <v/>
      </c>
      <c r="AF495" s="21" t="str">
        <f t="shared" si="363"/>
        <v>Apprenant 483</v>
      </c>
      <c r="AG495" s="22" t="str">
        <f t="shared" si="337"/>
        <v/>
      </c>
      <c r="AH495" s="22" t="str">
        <f t="shared" si="338"/>
        <v/>
      </c>
      <c r="AI495" s="22" t="str">
        <f t="shared" si="339"/>
        <v/>
      </c>
      <c r="AJ495" s="22" t="str">
        <f t="shared" si="364"/>
        <v/>
      </c>
      <c r="AK495" s="21" t="str">
        <f t="shared" si="365"/>
        <v>Apprenant 483 ou 483'</v>
      </c>
      <c r="AL495" s="22" t="str">
        <f t="shared" si="340"/>
        <v/>
      </c>
      <c r="AM495" s="22" t="str">
        <f t="shared" si="341"/>
        <v/>
      </c>
      <c r="AN495" s="22" t="str">
        <f t="shared" si="342"/>
        <v/>
      </c>
      <c r="AO495" s="22" t="str">
        <f t="shared" si="366"/>
        <v/>
      </c>
      <c r="AQ495" s="21" t="str">
        <f t="shared" si="367"/>
        <v>Apprenant 483</v>
      </c>
      <c r="AR495" s="49" t="str">
        <f>IF(AND('Choix pédagogiques'!$C$4&lt;&gt;"?",'Choix pédagogiques'!$C$5&lt;&gt;"?",W495&lt;&gt;""),(W495-'Choix pédagogiques'!$C$4)/('Choix pédagogiques'!$C$5-'Choix pédagogiques'!$C$4),"")</f>
        <v/>
      </c>
      <c r="AS495" s="49" t="str">
        <f>IF(AND('Choix pédagogiques'!$C$4&lt;&gt;"?",'Choix pédagogiques'!$C$5&lt;&gt;"?",X495&lt;&gt;""),(X495-'Choix pédagogiques'!$C$4)/('Choix pédagogiques'!$C$5-'Choix pédagogiques'!$C$4),"")</f>
        <v/>
      </c>
      <c r="AT495" s="49" t="str">
        <f>IF(AND('Choix pédagogiques'!$C$4&lt;&gt;"?",'Choix pédagogiques'!$C$5&lt;&gt;"?",Y495&lt;&gt;""),(Y495-'Choix pédagogiques'!$C$4)/('Choix pédagogiques'!$C$5-'Choix pédagogiques'!$C$4),"")</f>
        <v/>
      </c>
      <c r="AU495" s="22" t="str">
        <f t="shared" si="368"/>
        <v/>
      </c>
      <c r="AV495" s="21" t="str">
        <f t="shared" si="369"/>
        <v>Apprenant 483 ou 483'</v>
      </c>
      <c r="AW495" s="49" t="str">
        <f>IF(AND('Choix pédagogiques'!$C$4&lt;&gt;"?",'Choix pédagogiques'!$C$5&lt;&gt;"?",AB495&lt;&gt;""),(AB495-'Choix pédagogiques'!$C$4)/('Choix pédagogiques'!$C$5-'Choix pédagogiques'!$C$4),"")</f>
        <v/>
      </c>
      <c r="AX495" s="49" t="str">
        <f>IF(AND('Choix pédagogiques'!$C$4&lt;&gt;"?",'Choix pédagogiques'!$C$5&lt;&gt;"?",AC495&lt;&gt;""),(AC495-'Choix pédagogiques'!$C$4)/('Choix pédagogiques'!$C$5-'Choix pédagogiques'!$C$4),"")</f>
        <v/>
      </c>
      <c r="AY495" s="49" t="str">
        <f>IF(AND('Choix pédagogiques'!$C$4&lt;&gt;"?",'Choix pédagogiques'!$C$5&lt;&gt;"?",AD495&lt;&gt;""),(AD495-'Choix pédagogiques'!$C$4)/('Choix pédagogiques'!$C$5-'Choix pédagogiques'!$C$4),"")</f>
        <v/>
      </c>
      <c r="AZ495" s="22" t="str">
        <f t="shared" si="370"/>
        <v/>
      </c>
      <c r="BA495" s="21" t="str">
        <f t="shared" si="371"/>
        <v>Apprenant 483</v>
      </c>
      <c r="BB495" s="49" t="str">
        <f t="shared" si="343"/>
        <v/>
      </c>
      <c r="BC495" s="49" t="str">
        <f t="shared" si="344"/>
        <v/>
      </c>
      <c r="BD495" s="49" t="str">
        <f t="shared" si="345"/>
        <v/>
      </c>
      <c r="BE495" s="22" t="str">
        <f t="shared" si="372"/>
        <v/>
      </c>
      <c r="BF495" s="21" t="str">
        <f t="shared" si="373"/>
        <v>Apprenant 483 ou 483'</v>
      </c>
      <c r="BG495" s="49" t="str">
        <f t="shared" si="346"/>
        <v/>
      </c>
      <c r="BH495" s="49" t="str">
        <f t="shared" si="347"/>
        <v/>
      </c>
      <c r="BI495" s="49" t="str">
        <f t="shared" si="348"/>
        <v/>
      </c>
      <c r="BJ495" s="22" t="str">
        <f t="shared" si="374"/>
        <v/>
      </c>
      <c r="BL495" s="21"/>
      <c r="BM495" s="21" t="str">
        <f>IF(OR(COUNT(B495:D1494)=0,AND('Choix pédagogiques'!$C$3&lt;&gt;1,'Choix pédagogiques'!$C$3&lt;&gt;2)),"",IF(AND(OR('Choix pédagogiques'!$C$3=1,'Choix pédagogiques'!$C$3=2),$B495&lt;&gt;"",$C495&lt;&gt;"",$D495&lt;&gt;""),1,0))</f>
        <v/>
      </c>
      <c r="BN495" s="21" t="str">
        <f>IF(OR(COUNT(G495:I1494)=0,AND('Choix pédagogiques'!$C$3&lt;&gt;1,'Choix pédagogiques'!$C$3&lt;&gt;2)),"",IF(AND(OR('Choix pédagogiques'!$C$3=1,'Choix pédagogiques'!$C$3=2),AND($G495&lt;&gt;"",$H495&lt;&gt;"",$I495&lt;&gt;"")),1,0))</f>
        <v/>
      </c>
      <c r="BO495" s="21" t="str">
        <f>IF(OR(COUNT(B495:D1494)=0,COUNT(G495:I1494)=0,'Choix pédagogiques'!C$3&lt;&gt;3),"",IF(AND('Choix pédagogiques'!$C$3=3,$B495&lt;&gt;"",$C495&lt;&gt;"",$D495&lt;&gt;"",$G495&lt;&gt;"",$H495&lt;&gt;"",$I495&lt;&gt;""),1,0))</f>
        <v/>
      </c>
      <c r="BR495" s="21">
        <v>70</v>
      </c>
      <c r="BS495" s="21">
        <v>1705</v>
      </c>
      <c r="BT495"/>
    </row>
    <row r="496" spans="1:72" s="23" customFormat="1" ht="18" customHeight="1" x14ac:dyDescent="0.3">
      <c r="A496" s="35" t="s">
        <v>486</v>
      </c>
      <c r="B496" s="37"/>
      <c r="C496" s="37"/>
      <c r="D496" s="37"/>
      <c r="E496" s="37"/>
      <c r="F496" s="35" t="s">
        <v>1494</v>
      </c>
      <c r="G496" s="37"/>
      <c r="H496" s="37"/>
      <c r="I496" s="37"/>
      <c r="J496" s="37"/>
      <c r="K496" s="21" t="str">
        <f t="shared" si="349"/>
        <v>Apprenant 484</v>
      </c>
      <c r="L496" s="22" t="str">
        <f t="shared" si="350"/>
        <v/>
      </c>
      <c r="M496" s="22" t="str">
        <f t="shared" si="351"/>
        <v/>
      </c>
      <c r="N496" s="22" t="str">
        <f t="shared" si="352"/>
        <v/>
      </c>
      <c r="O496" s="22" t="str">
        <f t="shared" si="353"/>
        <v/>
      </c>
      <c r="P496" s="21" t="str">
        <f t="shared" si="354"/>
        <v>Apprenant 484 ou 484'</v>
      </c>
      <c r="Q496" s="22" t="str">
        <f t="shared" si="355"/>
        <v/>
      </c>
      <c r="R496" s="22" t="str">
        <f t="shared" si="356"/>
        <v/>
      </c>
      <c r="S496" s="22" t="str">
        <f t="shared" si="357"/>
        <v/>
      </c>
      <c r="T496" s="22" t="str">
        <f t="shared" si="358"/>
        <v/>
      </c>
      <c r="V496" s="21" t="str">
        <f t="shared" si="359"/>
        <v>Apprenant 484</v>
      </c>
      <c r="W496" s="22" t="str">
        <f>IF(AND(OR('Choix pédagogiques'!$C$3=1,'Choix pédagogiques'!$C$3=2),$BM496=1),B496,IF(AND('Choix pédagogiques'!$C$3=3,$BO496=1),B496,""))</f>
        <v/>
      </c>
      <c r="X496" s="22" t="str">
        <f>IF(AND(OR('Choix pédagogiques'!$C$3=1,'Choix pédagogiques'!$C$3=2),$BM496=1),C496,IF(AND('Choix pédagogiques'!$C$3=3,$BO496=1),C496,""))</f>
        <v/>
      </c>
      <c r="Y496" s="22" t="str">
        <f>IF(AND(OR('Choix pédagogiques'!$C$3=1,'Choix pédagogiques'!$C$3=2),$BM496=1),D496,IF(AND('Choix pédagogiques'!$C$3=3,$BO496=1),D496,""))</f>
        <v/>
      </c>
      <c r="Z496" s="22" t="str">
        <f t="shared" si="360"/>
        <v/>
      </c>
      <c r="AA496" s="21" t="str">
        <f t="shared" si="361"/>
        <v>Apprenant 484 ou 484'</v>
      </c>
      <c r="AB496" s="22" t="str">
        <f>IF(AND(OR('Choix pédagogiques'!$C$3=1,'Choix pédagogiques'!$C$3=2),$BN496=1),G496,IF(AND('Choix pédagogiques'!$C$3=3,$BO496=1),G496,""))</f>
        <v/>
      </c>
      <c r="AC496" s="22" t="str">
        <f>IF(AND(OR('Choix pédagogiques'!$C$3=1,'Choix pédagogiques'!$C$3=2),$BN496=1),H496,IF(AND('Choix pédagogiques'!$C$3=3,$BO496=1),H496,""))</f>
        <v/>
      </c>
      <c r="AD496" s="22" t="str">
        <f>IF(AND(OR('Choix pédagogiques'!$C$3=1,'Choix pédagogiques'!$C$3=2),$BN496=1),I496,IF(AND('Choix pédagogiques'!$C$3=3,$BO496=1),I496,""))</f>
        <v/>
      </c>
      <c r="AE496" s="22" t="str">
        <f t="shared" si="362"/>
        <v/>
      </c>
      <c r="AF496" s="21" t="str">
        <f t="shared" si="363"/>
        <v>Apprenant 484</v>
      </c>
      <c r="AG496" s="22" t="str">
        <f t="shared" si="337"/>
        <v/>
      </c>
      <c r="AH496" s="22" t="str">
        <f t="shared" si="338"/>
        <v/>
      </c>
      <c r="AI496" s="22" t="str">
        <f t="shared" si="339"/>
        <v/>
      </c>
      <c r="AJ496" s="22" t="str">
        <f t="shared" si="364"/>
        <v/>
      </c>
      <c r="AK496" s="21" t="str">
        <f t="shared" si="365"/>
        <v>Apprenant 484 ou 484'</v>
      </c>
      <c r="AL496" s="22" t="str">
        <f t="shared" si="340"/>
        <v/>
      </c>
      <c r="AM496" s="22" t="str">
        <f t="shared" si="341"/>
        <v/>
      </c>
      <c r="AN496" s="22" t="str">
        <f t="shared" si="342"/>
        <v/>
      </c>
      <c r="AO496" s="22" t="str">
        <f t="shared" si="366"/>
        <v/>
      </c>
      <c r="AQ496" s="21" t="str">
        <f t="shared" si="367"/>
        <v>Apprenant 484</v>
      </c>
      <c r="AR496" s="49" t="str">
        <f>IF(AND('Choix pédagogiques'!$C$4&lt;&gt;"?",'Choix pédagogiques'!$C$5&lt;&gt;"?",W496&lt;&gt;""),(W496-'Choix pédagogiques'!$C$4)/('Choix pédagogiques'!$C$5-'Choix pédagogiques'!$C$4),"")</f>
        <v/>
      </c>
      <c r="AS496" s="49" t="str">
        <f>IF(AND('Choix pédagogiques'!$C$4&lt;&gt;"?",'Choix pédagogiques'!$C$5&lt;&gt;"?",X496&lt;&gt;""),(X496-'Choix pédagogiques'!$C$4)/('Choix pédagogiques'!$C$5-'Choix pédagogiques'!$C$4),"")</f>
        <v/>
      </c>
      <c r="AT496" s="49" t="str">
        <f>IF(AND('Choix pédagogiques'!$C$4&lt;&gt;"?",'Choix pédagogiques'!$C$5&lt;&gt;"?",Y496&lt;&gt;""),(Y496-'Choix pédagogiques'!$C$4)/('Choix pédagogiques'!$C$5-'Choix pédagogiques'!$C$4),"")</f>
        <v/>
      </c>
      <c r="AU496" s="22" t="str">
        <f t="shared" si="368"/>
        <v/>
      </c>
      <c r="AV496" s="21" t="str">
        <f t="shared" si="369"/>
        <v>Apprenant 484 ou 484'</v>
      </c>
      <c r="AW496" s="49" t="str">
        <f>IF(AND('Choix pédagogiques'!$C$4&lt;&gt;"?",'Choix pédagogiques'!$C$5&lt;&gt;"?",AB496&lt;&gt;""),(AB496-'Choix pédagogiques'!$C$4)/('Choix pédagogiques'!$C$5-'Choix pédagogiques'!$C$4),"")</f>
        <v/>
      </c>
      <c r="AX496" s="49" t="str">
        <f>IF(AND('Choix pédagogiques'!$C$4&lt;&gt;"?",'Choix pédagogiques'!$C$5&lt;&gt;"?",AC496&lt;&gt;""),(AC496-'Choix pédagogiques'!$C$4)/('Choix pédagogiques'!$C$5-'Choix pédagogiques'!$C$4),"")</f>
        <v/>
      </c>
      <c r="AY496" s="49" t="str">
        <f>IF(AND('Choix pédagogiques'!$C$4&lt;&gt;"?",'Choix pédagogiques'!$C$5&lt;&gt;"?",AD496&lt;&gt;""),(AD496-'Choix pédagogiques'!$C$4)/('Choix pédagogiques'!$C$5-'Choix pédagogiques'!$C$4),"")</f>
        <v/>
      </c>
      <c r="AZ496" s="22" t="str">
        <f t="shared" si="370"/>
        <v/>
      </c>
      <c r="BA496" s="21" t="str">
        <f t="shared" si="371"/>
        <v>Apprenant 484</v>
      </c>
      <c r="BB496" s="49" t="str">
        <f t="shared" si="343"/>
        <v/>
      </c>
      <c r="BC496" s="49" t="str">
        <f t="shared" si="344"/>
        <v/>
      </c>
      <c r="BD496" s="49" t="str">
        <f t="shared" si="345"/>
        <v/>
      </c>
      <c r="BE496" s="22" t="str">
        <f t="shared" si="372"/>
        <v/>
      </c>
      <c r="BF496" s="21" t="str">
        <f t="shared" si="373"/>
        <v>Apprenant 484 ou 484'</v>
      </c>
      <c r="BG496" s="49" t="str">
        <f t="shared" si="346"/>
        <v/>
      </c>
      <c r="BH496" s="49" t="str">
        <f t="shared" si="347"/>
        <v/>
      </c>
      <c r="BI496" s="49" t="str">
        <f t="shared" si="348"/>
        <v/>
      </c>
      <c r="BJ496" s="22" t="str">
        <f t="shared" si="374"/>
        <v/>
      </c>
      <c r="BL496" s="21"/>
      <c r="BM496" s="21" t="str">
        <f>IF(OR(COUNT(B496:D1495)=0,AND('Choix pédagogiques'!$C$3&lt;&gt;1,'Choix pédagogiques'!$C$3&lt;&gt;2)),"",IF(AND(OR('Choix pédagogiques'!$C$3=1,'Choix pédagogiques'!$C$3=2),$B496&lt;&gt;"",$C496&lt;&gt;"",$D496&lt;&gt;""),1,0))</f>
        <v/>
      </c>
      <c r="BN496" s="21" t="str">
        <f>IF(OR(COUNT(G496:I1495)=0,AND('Choix pédagogiques'!$C$3&lt;&gt;1,'Choix pédagogiques'!$C$3&lt;&gt;2)),"",IF(AND(OR('Choix pédagogiques'!$C$3=1,'Choix pédagogiques'!$C$3=2),AND($G496&lt;&gt;"",$H496&lt;&gt;"",$I496&lt;&gt;"")),1,0))</f>
        <v/>
      </c>
      <c r="BO496" s="21" t="str">
        <f>IF(OR(COUNT(B496:D1495)=0,COUNT(G496:I1495)=0,'Choix pédagogiques'!C$3&lt;&gt;3),"",IF(AND('Choix pédagogiques'!$C$3=3,$B496&lt;&gt;"",$C496&lt;&gt;"",$D496&lt;&gt;"",$G496&lt;&gt;"",$H496&lt;&gt;"",$I496&lt;&gt;""),1,0))</f>
        <v/>
      </c>
      <c r="BR496" s="21">
        <v>129</v>
      </c>
      <c r="BS496" s="21">
        <v>1879</v>
      </c>
      <c r="BT496"/>
    </row>
    <row r="497" spans="1:72" s="23" customFormat="1" ht="18" customHeight="1" x14ac:dyDescent="0.3">
      <c r="A497" s="35" t="s">
        <v>487</v>
      </c>
      <c r="B497" s="37"/>
      <c r="C497" s="37"/>
      <c r="D497" s="37"/>
      <c r="E497" s="37"/>
      <c r="F497" s="35" t="s">
        <v>1495</v>
      </c>
      <c r="G497" s="37"/>
      <c r="H497" s="37"/>
      <c r="I497" s="37"/>
      <c r="J497" s="37"/>
      <c r="K497" s="21" t="str">
        <f t="shared" si="349"/>
        <v>Apprenant 485</v>
      </c>
      <c r="L497" s="22" t="str">
        <f t="shared" si="350"/>
        <v/>
      </c>
      <c r="M497" s="22" t="str">
        <f t="shared" si="351"/>
        <v/>
      </c>
      <c r="N497" s="22" t="str">
        <f t="shared" si="352"/>
        <v/>
      </c>
      <c r="O497" s="22" t="str">
        <f t="shared" si="353"/>
        <v/>
      </c>
      <c r="P497" s="21" t="str">
        <f t="shared" si="354"/>
        <v>Apprenant 485 ou 485'</v>
      </c>
      <c r="Q497" s="22" t="str">
        <f t="shared" si="355"/>
        <v/>
      </c>
      <c r="R497" s="22" t="str">
        <f t="shared" si="356"/>
        <v/>
      </c>
      <c r="S497" s="22" t="str">
        <f t="shared" si="357"/>
        <v/>
      </c>
      <c r="T497" s="22" t="str">
        <f t="shared" si="358"/>
        <v/>
      </c>
      <c r="V497" s="21" t="str">
        <f t="shared" si="359"/>
        <v>Apprenant 485</v>
      </c>
      <c r="W497" s="22" t="str">
        <f>IF(AND(OR('Choix pédagogiques'!$C$3=1,'Choix pédagogiques'!$C$3=2),$BM497=1),B497,IF(AND('Choix pédagogiques'!$C$3=3,$BO497=1),B497,""))</f>
        <v/>
      </c>
      <c r="X497" s="22" t="str">
        <f>IF(AND(OR('Choix pédagogiques'!$C$3=1,'Choix pédagogiques'!$C$3=2),$BM497=1),C497,IF(AND('Choix pédagogiques'!$C$3=3,$BO497=1),C497,""))</f>
        <v/>
      </c>
      <c r="Y497" s="22" t="str">
        <f>IF(AND(OR('Choix pédagogiques'!$C$3=1,'Choix pédagogiques'!$C$3=2),$BM497=1),D497,IF(AND('Choix pédagogiques'!$C$3=3,$BO497=1),D497,""))</f>
        <v/>
      </c>
      <c r="Z497" s="22" t="str">
        <f t="shared" si="360"/>
        <v/>
      </c>
      <c r="AA497" s="21" t="str">
        <f t="shared" si="361"/>
        <v>Apprenant 485 ou 485'</v>
      </c>
      <c r="AB497" s="22" t="str">
        <f>IF(AND(OR('Choix pédagogiques'!$C$3=1,'Choix pédagogiques'!$C$3=2),$BN497=1),G497,IF(AND('Choix pédagogiques'!$C$3=3,$BO497=1),G497,""))</f>
        <v/>
      </c>
      <c r="AC497" s="22" t="str">
        <f>IF(AND(OR('Choix pédagogiques'!$C$3=1,'Choix pédagogiques'!$C$3=2),$BN497=1),H497,IF(AND('Choix pédagogiques'!$C$3=3,$BO497=1),H497,""))</f>
        <v/>
      </c>
      <c r="AD497" s="22" t="str">
        <f>IF(AND(OR('Choix pédagogiques'!$C$3=1,'Choix pédagogiques'!$C$3=2),$BN497=1),I497,IF(AND('Choix pédagogiques'!$C$3=3,$BO497=1),I497,""))</f>
        <v/>
      </c>
      <c r="AE497" s="22" t="str">
        <f t="shared" si="362"/>
        <v/>
      </c>
      <c r="AF497" s="21" t="str">
        <f t="shared" si="363"/>
        <v>Apprenant 485</v>
      </c>
      <c r="AG497" s="22" t="str">
        <f t="shared" si="337"/>
        <v/>
      </c>
      <c r="AH497" s="22" t="str">
        <f t="shared" si="338"/>
        <v/>
      </c>
      <c r="AI497" s="22" t="str">
        <f t="shared" si="339"/>
        <v/>
      </c>
      <c r="AJ497" s="22" t="str">
        <f t="shared" si="364"/>
        <v/>
      </c>
      <c r="AK497" s="21" t="str">
        <f t="shared" si="365"/>
        <v>Apprenant 485 ou 485'</v>
      </c>
      <c r="AL497" s="22" t="str">
        <f t="shared" si="340"/>
        <v/>
      </c>
      <c r="AM497" s="22" t="str">
        <f t="shared" si="341"/>
        <v/>
      </c>
      <c r="AN497" s="22" t="str">
        <f t="shared" si="342"/>
        <v/>
      </c>
      <c r="AO497" s="22" t="str">
        <f t="shared" si="366"/>
        <v/>
      </c>
      <c r="AQ497" s="21" t="str">
        <f t="shared" si="367"/>
        <v>Apprenant 485</v>
      </c>
      <c r="AR497" s="49" t="str">
        <f>IF(AND('Choix pédagogiques'!$C$4&lt;&gt;"?",'Choix pédagogiques'!$C$5&lt;&gt;"?",W497&lt;&gt;""),(W497-'Choix pédagogiques'!$C$4)/('Choix pédagogiques'!$C$5-'Choix pédagogiques'!$C$4),"")</f>
        <v/>
      </c>
      <c r="AS497" s="49" t="str">
        <f>IF(AND('Choix pédagogiques'!$C$4&lt;&gt;"?",'Choix pédagogiques'!$C$5&lt;&gt;"?",X497&lt;&gt;""),(X497-'Choix pédagogiques'!$C$4)/('Choix pédagogiques'!$C$5-'Choix pédagogiques'!$C$4),"")</f>
        <v/>
      </c>
      <c r="AT497" s="49" t="str">
        <f>IF(AND('Choix pédagogiques'!$C$4&lt;&gt;"?",'Choix pédagogiques'!$C$5&lt;&gt;"?",Y497&lt;&gt;""),(Y497-'Choix pédagogiques'!$C$4)/('Choix pédagogiques'!$C$5-'Choix pédagogiques'!$C$4),"")</f>
        <v/>
      </c>
      <c r="AU497" s="22" t="str">
        <f t="shared" si="368"/>
        <v/>
      </c>
      <c r="AV497" s="21" t="str">
        <f t="shared" si="369"/>
        <v>Apprenant 485 ou 485'</v>
      </c>
      <c r="AW497" s="49" t="str">
        <f>IF(AND('Choix pédagogiques'!$C$4&lt;&gt;"?",'Choix pédagogiques'!$C$5&lt;&gt;"?",AB497&lt;&gt;""),(AB497-'Choix pédagogiques'!$C$4)/('Choix pédagogiques'!$C$5-'Choix pédagogiques'!$C$4),"")</f>
        <v/>
      </c>
      <c r="AX497" s="49" t="str">
        <f>IF(AND('Choix pédagogiques'!$C$4&lt;&gt;"?",'Choix pédagogiques'!$C$5&lt;&gt;"?",AC497&lt;&gt;""),(AC497-'Choix pédagogiques'!$C$4)/('Choix pédagogiques'!$C$5-'Choix pédagogiques'!$C$4),"")</f>
        <v/>
      </c>
      <c r="AY497" s="49" t="str">
        <f>IF(AND('Choix pédagogiques'!$C$4&lt;&gt;"?",'Choix pédagogiques'!$C$5&lt;&gt;"?",AD497&lt;&gt;""),(AD497-'Choix pédagogiques'!$C$4)/('Choix pédagogiques'!$C$5-'Choix pédagogiques'!$C$4),"")</f>
        <v/>
      </c>
      <c r="AZ497" s="22" t="str">
        <f t="shared" si="370"/>
        <v/>
      </c>
      <c r="BA497" s="21" t="str">
        <f t="shared" si="371"/>
        <v>Apprenant 485</v>
      </c>
      <c r="BB497" s="49" t="str">
        <f t="shared" si="343"/>
        <v/>
      </c>
      <c r="BC497" s="49" t="str">
        <f t="shared" si="344"/>
        <v/>
      </c>
      <c r="BD497" s="49" t="str">
        <f t="shared" si="345"/>
        <v/>
      </c>
      <c r="BE497" s="22" t="str">
        <f t="shared" si="372"/>
        <v/>
      </c>
      <c r="BF497" s="21" t="str">
        <f t="shared" si="373"/>
        <v>Apprenant 485 ou 485'</v>
      </c>
      <c r="BG497" s="49" t="str">
        <f t="shared" si="346"/>
        <v/>
      </c>
      <c r="BH497" s="49" t="str">
        <f t="shared" si="347"/>
        <v/>
      </c>
      <c r="BI497" s="49" t="str">
        <f t="shared" si="348"/>
        <v/>
      </c>
      <c r="BJ497" s="22" t="str">
        <f t="shared" si="374"/>
        <v/>
      </c>
      <c r="BL497" s="21"/>
      <c r="BM497" s="21" t="str">
        <f>IF(OR(COUNT(B497:D1496)=0,AND('Choix pédagogiques'!$C$3&lt;&gt;1,'Choix pédagogiques'!$C$3&lt;&gt;2)),"",IF(AND(OR('Choix pédagogiques'!$C$3=1,'Choix pédagogiques'!$C$3=2),$B497&lt;&gt;"",$C497&lt;&gt;"",$D497&lt;&gt;""),1,0))</f>
        <v/>
      </c>
      <c r="BN497" s="21" t="str">
        <f>IF(OR(COUNT(G497:I1496)=0,AND('Choix pédagogiques'!$C$3&lt;&gt;1,'Choix pédagogiques'!$C$3&lt;&gt;2)),"",IF(AND(OR('Choix pédagogiques'!$C$3=1,'Choix pédagogiques'!$C$3=2),AND($G497&lt;&gt;"",$H497&lt;&gt;"",$I497&lt;&gt;"")),1,0))</f>
        <v/>
      </c>
      <c r="BO497" s="21" t="str">
        <f>IF(OR(COUNT(B497:D1496)=0,COUNT(G497:I1496)=0,'Choix pédagogiques'!C$3&lt;&gt;3),"",IF(AND('Choix pédagogiques'!$C$3=3,$B497&lt;&gt;"",$C497&lt;&gt;"",$D497&lt;&gt;"",$G497&lt;&gt;"",$H497&lt;&gt;"",$I497&lt;&gt;""),1,0))</f>
        <v/>
      </c>
      <c r="BR497" s="21">
        <v>801</v>
      </c>
      <c r="BS497" s="21">
        <v>1868</v>
      </c>
      <c r="BT497"/>
    </row>
    <row r="498" spans="1:72" s="23" customFormat="1" ht="18" customHeight="1" x14ac:dyDescent="0.3">
      <c r="A498" s="35" t="s">
        <v>488</v>
      </c>
      <c r="B498" s="37"/>
      <c r="C498" s="37"/>
      <c r="D498" s="37"/>
      <c r="E498" s="37"/>
      <c r="F498" s="35" t="s">
        <v>1496</v>
      </c>
      <c r="G498" s="37"/>
      <c r="H498" s="37"/>
      <c r="I498" s="37"/>
      <c r="J498" s="37"/>
      <c r="K498" s="21" t="str">
        <f t="shared" si="349"/>
        <v>Apprenant 486</v>
      </c>
      <c r="L498" s="22" t="str">
        <f t="shared" si="350"/>
        <v/>
      </c>
      <c r="M498" s="22" t="str">
        <f t="shared" si="351"/>
        <v/>
      </c>
      <c r="N498" s="22" t="str">
        <f t="shared" si="352"/>
        <v/>
      </c>
      <c r="O498" s="22" t="str">
        <f t="shared" si="353"/>
        <v/>
      </c>
      <c r="P498" s="21" t="str">
        <f t="shared" si="354"/>
        <v>Apprenant 486 ou 486'</v>
      </c>
      <c r="Q498" s="22" t="str">
        <f t="shared" si="355"/>
        <v/>
      </c>
      <c r="R498" s="22" t="str">
        <f t="shared" si="356"/>
        <v/>
      </c>
      <c r="S498" s="22" t="str">
        <f t="shared" si="357"/>
        <v/>
      </c>
      <c r="T498" s="22" t="str">
        <f t="shared" si="358"/>
        <v/>
      </c>
      <c r="V498" s="21" t="str">
        <f t="shared" si="359"/>
        <v>Apprenant 486</v>
      </c>
      <c r="W498" s="22" t="str">
        <f>IF(AND(OR('Choix pédagogiques'!$C$3=1,'Choix pédagogiques'!$C$3=2),$BM498=1),B498,IF(AND('Choix pédagogiques'!$C$3=3,$BO498=1),B498,""))</f>
        <v/>
      </c>
      <c r="X498" s="22" t="str">
        <f>IF(AND(OR('Choix pédagogiques'!$C$3=1,'Choix pédagogiques'!$C$3=2),$BM498=1),C498,IF(AND('Choix pédagogiques'!$C$3=3,$BO498=1),C498,""))</f>
        <v/>
      </c>
      <c r="Y498" s="22" t="str">
        <f>IF(AND(OR('Choix pédagogiques'!$C$3=1,'Choix pédagogiques'!$C$3=2),$BM498=1),D498,IF(AND('Choix pédagogiques'!$C$3=3,$BO498=1),D498,""))</f>
        <v/>
      </c>
      <c r="Z498" s="22" t="str">
        <f t="shared" si="360"/>
        <v/>
      </c>
      <c r="AA498" s="21" t="str">
        <f t="shared" si="361"/>
        <v>Apprenant 486 ou 486'</v>
      </c>
      <c r="AB498" s="22" t="str">
        <f>IF(AND(OR('Choix pédagogiques'!$C$3=1,'Choix pédagogiques'!$C$3=2),$BN498=1),G498,IF(AND('Choix pédagogiques'!$C$3=3,$BO498=1),G498,""))</f>
        <v/>
      </c>
      <c r="AC498" s="22" t="str">
        <f>IF(AND(OR('Choix pédagogiques'!$C$3=1,'Choix pédagogiques'!$C$3=2),$BN498=1),H498,IF(AND('Choix pédagogiques'!$C$3=3,$BO498=1),H498,""))</f>
        <v/>
      </c>
      <c r="AD498" s="22" t="str">
        <f>IF(AND(OR('Choix pédagogiques'!$C$3=1,'Choix pédagogiques'!$C$3=2),$BN498=1),I498,IF(AND('Choix pédagogiques'!$C$3=3,$BO498=1),I498,""))</f>
        <v/>
      </c>
      <c r="AE498" s="22" t="str">
        <f t="shared" si="362"/>
        <v/>
      </c>
      <c r="AF498" s="21" t="str">
        <f t="shared" si="363"/>
        <v>Apprenant 486</v>
      </c>
      <c r="AG498" s="22" t="str">
        <f t="shared" si="337"/>
        <v/>
      </c>
      <c r="AH498" s="22" t="str">
        <f t="shared" si="338"/>
        <v/>
      </c>
      <c r="AI498" s="22" t="str">
        <f t="shared" si="339"/>
        <v/>
      </c>
      <c r="AJ498" s="22" t="str">
        <f t="shared" si="364"/>
        <v/>
      </c>
      <c r="AK498" s="21" t="str">
        <f t="shared" si="365"/>
        <v>Apprenant 486 ou 486'</v>
      </c>
      <c r="AL498" s="22" t="str">
        <f t="shared" si="340"/>
        <v/>
      </c>
      <c r="AM498" s="22" t="str">
        <f t="shared" si="341"/>
        <v/>
      </c>
      <c r="AN498" s="22" t="str">
        <f t="shared" si="342"/>
        <v/>
      </c>
      <c r="AO498" s="22" t="str">
        <f t="shared" si="366"/>
        <v/>
      </c>
      <c r="AQ498" s="21" t="str">
        <f t="shared" si="367"/>
        <v>Apprenant 486</v>
      </c>
      <c r="AR498" s="49" t="str">
        <f>IF(AND('Choix pédagogiques'!$C$4&lt;&gt;"?",'Choix pédagogiques'!$C$5&lt;&gt;"?",W498&lt;&gt;""),(W498-'Choix pédagogiques'!$C$4)/('Choix pédagogiques'!$C$5-'Choix pédagogiques'!$C$4),"")</f>
        <v/>
      </c>
      <c r="AS498" s="49" t="str">
        <f>IF(AND('Choix pédagogiques'!$C$4&lt;&gt;"?",'Choix pédagogiques'!$C$5&lt;&gt;"?",X498&lt;&gt;""),(X498-'Choix pédagogiques'!$C$4)/('Choix pédagogiques'!$C$5-'Choix pédagogiques'!$C$4),"")</f>
        <v/>
      </c>
      <c r="AT498" s="49" t="str">
        <f>IF(AND('Choix pédagogiques'!$C$4&lt;&gt;"?",'Choix pédagogiques'!$C$5&lt;&gt;"?",Y498&lt;&gt;""),(Y498-'Choix pédagogiques'!$C$4)/('Choix pédagogiques'!$C$5-'Choix pédagogiques'!$C$4),"")</f>
        <v/>
      </c>
      <c r="AU498" s="22" t="str">
        <f t="shared" si="368"/>
        <v/>
      </c>
      <c r="AV498" s="21" t="str">
        <f t="shared" si="369"/>
        <v>Apprenant 486 ou 486'</v>
      </c>
      <c r="AW498" s="49" t="str">
        <f>IF(AND('Choix pédagogiques'!$C$4&lt;&gt;"?",'Choix pédagogiques'!$C$5&lt;&gt;"?",AB498&lt;&gt;""),(AB498-'Choix pédagogiques'!$C$4)/('Choix pédagogiques'!$C$5-'Choix pédagogiques'!$C$4),"")</f>
        <v/>
      </c>
      <c r="AX498" s="49" t="str">
        <f>IF(AND('Choix pédagogiques'!$C$4&lt;&gt;"?",'Choix pédagogiques'!$C$5&lt;&gt;"?",AC498&lt;&gt;""),(AC498-'Choix pédagogiques'!$C$4)/('Choix pédagogiques'!$C$5-'Choix pédagogiques'!$C$4),"")</f>
        <v/>
      </c>
      <c r="AY498" s="49" t="str">
        <f>IF(AND('Choix pédagogiques'!$C$4&lt;&gt;"?",'Choix pédagogiques'!$C$5&lt;&gt;"?",AD498&lt;&gt;""),(AD498-'Choix pédagogiques'!$C$4)/('Choix pédagogiques'!$C$5-'Choix pédagogiques'!$C$4),"")</f>
        <v/>
      </c>
      <c r="AZ498" s="22" t="str">
        <f t="shared" si="370"/>
        <v/>
      </c>
      <c r="BA498" s="21" t="str">
        <f t="shared" si="371"/>
        <v>Apprenant 486</v>
      </c>
      <c r="BB498" s="49" t="str">
        <f t="shared" si="343"/>
        <v/>
      </c>
      <c r="BC498" s="49" t="str">
        <f t="shared" si="344"/>
        <v/>
      </c>
      <c r="BD498" s="49" t="str">
        <f t="shared" si="345"/>
        <v/>
      </c>
      <c r="BE498" s="22" t="str">
        <f t="shared" si="372"/>
        <v/>
      </c>
      <c r="BF498" s="21" t="str">
        <f t="shared" si="373"/>
        <v>Apprenant 486 ou 486'</v>
      </c>
      <c r="BG498" s="49" t="str">
        <f t="shared" si="346"/>
        <v/>
      </c>
      <c r="BH498" s="49" t="str">
        <f t="shared" si="347"/>
        <v/>
      </c>
      <c r="BI498" s="49" t="str">
        <f t="shared" si="348"/>
        <v/>
      </c>
      <c r="BJ498" s="22" t="str">
        <f t="shared" si="374"/>
        <v/>
      </c>
      <c r="BL498" s="21"/>
      <c r="BM498" s="21" t="str">
        <f>IF(OR(COUNT(B498:D1497)=0,AND('Choix pédagogiques'!$C$3&lt;&gt;1,'Choix pédagogiques'!$C$3&lt;&gt;2)),"",IF(AND(OR('Choix pédagogiques'!$C$3=1,'Choix pédagogiques'!$C$3=2),$B498&lt;&gt;"",$C498&lt;&gt;"",$D498&lt;&gt;""),1,0))</f>
        <v/>
      </c>
      <c r="BN498" s="21" t="str">
        <f>IF(OR(COUNT(G498:I1497)=0,AND('Choix pédagogiques'!$C$3&lt;&gt;1,'Choix pédagogiques'!$C$3&lt;&gt;2)),"",IF(AND(OR('Choix pédagogiques'!$C$3=1,'Choix pédagogiques'!$C$3=2),AND($G498&lt;&gt;"",$H498&lt;&gt;"",$I498&lt;&gt;"")),1,0))</f>
        <v/>
      </c>
      <c r="BO498" s="21" t="str">
        <f>IF(OR(COUNT(B498:D1497)=0,COUNT(G498:I1497)=0,'Choix pédagogiques'!C$3&lt;&gt;3),"",IF(AND('Choix pédagogiques'!$C$3=3,$B498&lt;&gt;"",$C498&lt;&gt;"",$D498&lt;&gt;"",$G498&lt;&gt;"",$H498&lt;&gt;"",$I498&lt;&gt;""),1,0))</f>
        <v/>
      </c>
      <c r="BR498" s="21">
        <v>560</v>
      </c>
      <c r="BS498" s="21">
        <v>1475</v>
      </c>
      <c r="BT498"/>
    </row>
    <row r="499" spans="1:72" s="23" customFormat="1" ht="18" customHeight="1" x14ac:dyDescent="0.3">
      <c r="A499" s="35" t="s">
        <v>489</v>
      </c>
      <c r="B499" s="37"/>
      <c r="C499" s="37"/>
      <c r="D499" s="37"/>
      <c r="E499" s="37"/>
      <c r="F499" s="35" t="s">
        <v>1497</v>
      </c>
      <c r="G499" s="37"/>
      <c r="H499" s="37"/>
      <c r="I499" s="37"/>
      <c r="J499" s="37"/>
      <c r="K499" s="21" t="str">
        <f t="shared" si="349"/>
        <v>Apprenant 487</v>
      </c>
      <c r="L499" s="22" t="str">
        <f t="shared" si="350"/>
        <v/>
      </c>
      <c r="M499" s="22" t="str">
        <f t="shared" si="351"/>
        <v/>
      </c>
      <c r="N499" s="22" t="str">
        <f t="shared" si="352"/>
        <v/>
      </c>
      <c r="O499" s="22" t="str">
        <f t="shared" si="353"/>
        <v/>
      </c>
      <c r="P499" s="21" t="str">
        <f t="shared" si="354"/>
        <v>Apprenant 487 ou 487'</v>
      </c>
      <c r="Q499" s="22" t="str">
        <f t="shared" si="355"/>
        <v/>
      </c>
      <c r="R499" s="22" t="str">
        <f t="shared" si="356"/>
        <v/>
      </c>
      <c r="S499" s="22" t="str">
        <f t="shared" si="357"/>
        <v/>
      </c>
      <c r="T499" s="22" t="str">
        <f t="shared" si="358"/>
        <v/>
      </c>
      <c r="V499" s="21" t="str">
        <f t="shared" si="359"/>
        <v>Apprenant 487</v>
      </c>
      <c r="W499" s="22" t="str">
        <f>IF(AND(OR('Choix pédagogiques'!$C$3=1,'Choix pédagogiques'!$C$3=2),$BM499=1),B499,IF(AND('Choix pédagogiques'!$C$3=3,$BO499=1),B499,""))</f>
        <v/>
      </c>
      <c r="X499" s="22" t="str">
        <f>IF(AND(OR('Choix pédagogiques'!$C$3=1,'Choix pédagogiques'!$C$3=2),$BM499=1),C499,IF(AND('Choix pédagogiques'!$C$3=3,$BO499=1),C499,""))</f>
        <v/>
      </c>
      <c r="Y499" s="22" t="str">
        <f>IF(AND(OR('Choix pédagogiques'!$C$3=1,'Choix pédagogiques'!$C$3=2),$BM499=1),D499,IF(AND('Choix pédagogiques'!$C$3=3,$BO499=1),D499,""))</f>
        <v/>
      </c>
      <c r="Z499" s="22" t="str">
        <f t="shared" si="360"/>
        <v/>
      </c>
      <c r="AA499" s="21" t="str">
        <f t="shared" si="361"/>
        <v>Apprenant 487 ou 487'</v>
      </c>
      <c r="AB499" s="22" t="str">
        <f>IF(AND(OR('Choix pédagogiques'!$C$3=1,'Choix pédagogiques'!$C$3=2),$BN499=1),G499,IF(AND('Choix pédagogiques'!$C$3=3,$BO499=1),G499,""))</f>
        <v/>
      </c>
      <c r="AC499" s="22" t="str">
        <f>IF(AND(OR('Choix pédagogiques'!$C$3=1,'Choix pédagogiques'!$C$3=2),$BN499=1),H499,IF(AND('Choix pédagogiques'!$C$3=3,$BO499=1),H499,""))</f>
        <v/>
      </c>
      <c r="AD499" s="22" t="str">
        <f>IF(AND(OR('Choix pédagogiques'!$C$3=1,'Choix pédagogiques'!$C$3=2),$BN499=1),I499,IF(AND('Choix pédagogiques'!$C$3=3,$BO499=1),I499,""))</f>
        <v/>
      </c>
      <c r="AE499" s="22" t="str">
        <f t="shared" si="362"/>
        <v/>
      </c>
      <c r="AF499" s="21" t="str">
        <f t="shared" si="363"/>
        <v>Apprenant 487</v>
      </c>
      <c r="AG499" s="22" t="str">
        <f t="shared" si="337"/>
        <v/>
      </c>
      <c r="AH499" s="22" t="str">
        <f t="shared" si="338"/>
        <v/>
      </c>
      <c r="AI499" s="22" t="str">
        <f t="shared" si="339"/>
        <v/>
      </c>
      <c r="AJ499" s="22" t="str">
        <f t="shared" si="364"/>
        <v/>
      </c>
      <c r="AK499" s="21" t="str">
        <f t="shared" si="365"/>
        <v>Apprenant 487 ou 487'</v>
      </c>
      <c r="AL499" s="22" t="str">
        <f t="shared" si="340"/>
        <v/>
      </c>
      <c r="AM499" s="22" t="str">
        <f t="shared" si="341"/>
        <v/>
      </c>
      <c r="AN499" s="22" t="str">
        <f t="shared" si="342"/>
        <v/>
      </c>
      <c r="AO499" s="22" t="str">
        <f t="shared" si="366"/>
        <v/>
      </c>
      <c r="AQ499" s="21" t="str">
        <f t="shared" si="367"/>
        <v>Apprenant 487</v>
      </c>
      <c r="AR499" s="49" t="str">
        <f>IF(AND('Choix pédagogiques'!$C$4&lt;&gt;"?",'Choix pédagogiques'!$C$5&lt;&gt;"?",W499&lt;&gt;""),(W499-'Choix pédagogiques'!$C$4)/('Choix pédagogiques'!$C$5-'Choix pédagogiques'!$C$4),"")</f>
        <v/>
      </c>
      <c r="AS499" s="49" t="str">
        <f>IF(AND('Choix pédagogiques'!$C$4&lt;&gt;"?",'Choix pédagogiques'!$C$5&lt;&gt;"?",X499&lt;&gt;""),(X499-'Choix pédagogiques'!$C$4)/('Choix pédagogiques'!$C$5-'Choix pédagogiques'!$C$4),"")</f>
        <v/>
      </c>
      <c r="AT499" s="49" t="str">
        <f>IF(AND('Choix pédagogiques'!$C$4&lt;&gt;"?",'Choix pédagogiques'!$C$5&lt;&gt;"?",Y499&lt;&gt;""),(Y499-'Choix pédagogiques'!$C$4)/('Choix pédagogiques'!$C$5-'Choix pédagogiques'!$C$4),"")</f>
        <v/>
      </c>
      <c r="AU499" s="22" t="str">
        <f t="shared" si="368"/>
        <v/>
      </c>
      <c r="AV499" s="21" t="str">
        <f t="shared" si="369"/>
        <v>Apprenant 487 ou 487'</v>
      </c>
      <c r="AW499" s="49" t="str">
        <f>IF(AND('Choix pédagogiques'!$C$4&lt;&gt;"?",'Choix pédagogiques'!$C$5&lt;&gt;"?",AB499&lt;&gt;""),(AB499-'Choix pédagogiques'!$C$4)/('Choix pédagogiques'!$C$5-'Choix pédagogiques'!$C$4),"")</f>
        <v/>
      </c>
      <c r="AX499" s="49" t="str">
        <f>IF(AND('Choix pédagogiques'!$C$4&lt;&gt;"?",'Choix pédagogiques'!$C$5&lt;&gt;"?",AC499&lt;&gt;""),(AC499-'Choix pédagogiques'!$C$4)/('Choix pédagogiques'!$C$5-'Choix pédagogiques'!$C$4),"")</f>
        <v/>
      </c>
      <c r="AY499" s="49" t="str">
        <f>IF(AND('Choix pédagogiques'!$C$4&lt;&gt;"?",'Choix pédagogiques'!$C$5&lt;&gt;"?",AD499&lt;&gt;""),(AD499-'Choix pédagogiques'!$C$4)/('Choix pédagogiques'!$C$5-'Choix pédagogiques'!$C$4),"")</f>
        <v/>
      </c>
      <c r="AZ499" s="22" t="str">
        <f t="shared" si="370"/>
        <v/>
      </c>
      <c r="BA499" s="21" t="str">
        <f t="shared" si="371"/>
        <v>Apprenant 487</v>
      </c>
      <c r="BB499" s="49" t="str">
        <f t="shared" si="343"/>
        <v/>
      </c>
      <c r="BC499" s="49" t="str">
        <f t="shared" si="344"/>
        <v/>
      </c>
      <c r="BD499" s="49" t="str">
        <f t="shared" si="345"/>
        <v/>
      </c>
      <c r="BE499" s="22" t="str">
        <f t="shared" si="372"/>
        <v/>
      </c>
      <c r="BF499" s="21" t="str">
        <f t="shared" si="373"/>
        <v>Apprenant 487 ou 487'</v>
      </c>
      <c r="BG499" s="49" t="str">
        <f t="shared" si="346"/>
        <v/>
      </c>
      <c r="BH499" s="49" t="str">
        <f t="shared" si="347"/>
        <v/>
      </c>
      <c r="BI499" s="49" t="str">
        <f t="shared" si="348"/>
        <v/>
      </c>
      <c r="BJ499" s="22" t="str">
        <f t="shared" si="374"/>
        <v/>
      </c>
      <c r="BL499" s="21"/>
      <c r="BM499" s="21" t="str">
        <f>IF(OR(COUNT(B499:D1498)=0,AND('Choix pédagogiques'!$C$3&lt;&gt;1,'Choix pédagogiques'!$C$3&lt;&gt;2)),"",IF(AND(OR('Choix pédagogiques'!$C$3=1,'Choix pédagogiques'!$C$3=2),$B499&lt;&gt;"",$C499&lt;&gt;"",$D499&lt;&gt;""),1,0))</f>
        <v/>
      </c>
      <c r="BN499" s="21" t="str">
        <f>IF(OR(COUNT(G499:I1498)=0,AND('Choix pédagogiques'!$C$3&lt;&gt;1,'Choix pédagogiques'!$C$3&lt;&gt;2)),"",IF(AND(OR('Choix pédagogiques'!$C$3=1,'Choix pédagogiques'!$C$3=2),AND($G499&lt;&gt;"",$H499&lt;&gt;"",$I499&lt;&gt;"")),1,0))</f>
        <v/>
      </c>
      <c r="BO499" s="21" t="str">
        <f>IF(OR(COUNT(B499:D1498)=0,COUNT(G499:I1498)=0,'Choix pédagogiques'!C$3&lt;&gt;3),"",IF(AND('Choix pédagogiques'!$C$3=3,$B499&lt;&gt;"",$C499&lt;&gt;"",$D499&lt;&gt;"",$G499&lt;&gt;"",$H499&lt;&gt;"",$I499&lt;&gt;""),1,0))</f>
        <v/>
      </c>
      <c r="BR499" s="21">
        <v>406</v>
      </c>
      <c r="BS499" s="21">
        <v>1322</v>
      </c>
      <c r="BT499"/>
    </row>
    <row r="500" spans="1:72" s="23" customFormat="1" ht="18" customHeight="1" x14ac:dyDescent="0.3">
      <c r="A500" s="35" t="s">
        <v>490</v>
      </c>
      <c r="B500" s="37"/>
      <c r="C500" s="37"/>
      <c r="D500" s="37"/>
      <c r="E500" s="37"/>
      <c r="F500" s="35" t="s">
        <v>1498</v>
      </c>
      <c r="G500" s="37"/>
      <c r="H500" s="37"/>
      <c r="I500" s="37"/>
      <c r="J500" s="37"/>
      <c r="K500" s="21" t="str">
        <f t="shared" si="349"/>
        <v>Apprenant 488</v>
      </c>
      <c r="L500" s="22" t="str">
        <f t="shared" si="350"/>
        <v/>
      </c>
      <c r="M500" s="22" t="str">
        <f t="shared" si="351"/>
        <v/>
      </c>
      <c r="N500" s="22" t="str">
        <f t="shared" si="352"/>
        <v/>
      </c>
      <c r="O500" s="22" t="str">
        <f t="shared" si="353"/>
        <v/>
      </c>
      <c r="P500" s="21" t="str">
        <f t="shared" si="354"/>
        <v>Apprenant 488 ou 488'</v>
      </c>
      <c r="Q500" s="22" t="str">
        <f t="shared" si="355"/>
        <v/>
      </c>
      <c r="R500" s="22" t="str">
        <f t="shared" si="356"/>
        <v/>
      </c>
      <c r="S500" s="22" t="str">
        <f t="shared" si="357"/>
        <v/>
      </c>
      <c r="T500" s="22" t="str">
        <f t="shared" si="358"/>
        <v/>
      </c>
      <c r="V500" s="21" t="str">
        <f t="shared" si="359"/>
        <v>Apprenant 488</v>
      </c>
      <c r="W500" s="22" t="str">
        <f>IF(AND(OR('Choix pédagogiques'!$C$3=1,'Choix pédagogiques'!$C$3=2),$BM500=1),B500,IF(AND('Choix pédagogiques'!$C$3=3,$BO500=1),B500,""))</f>
        <v/>
      </c>
      <c r="X500" s="22" t="str">
        <f>IF(AND(OR('Choix pédagogiques'!$C$3=1,'Choix pédagogiques'!$C$3=2),$BM500=1),C500,IF(AND('Choix pédagogiques'!$C$3=3,$BO500=1),C500,""))</f>
        <v/>
      </c>
      <c r="Y500" s="22" t="str">
        <f>IF(AND(OR('Choix pédagogiques'!$C$3=1,'Choix pédagogiques'!$C$3=2),$BM500=1),D500,IF(AND('Choix pédagogiques'!$C$3=3,$BO500=1),D500,""))</f>
        <v/>
      </c>
      <c r="Z500" s="22" t="str">
        <f t="shared" si="360"/>
        <v/>
      </c>
      <c r="AA500" s="21" t="str">
        <f t="shared" si="361"/>
        <v>Apprenant 488 ou 488'</v>
      </c>
      <c r="AB500" s="22" t="str">
        <f>IF(AND(OR('Choix pédagogiques'!$C$3=1,'Choix pédagogiques'!$C$3=2),$BN500=1),G500,IF(AND('Choix pédagogiques'!$C$3=3,$BO500=1),G500,""))</f>
        <v/>
      </c>
      <c r="AC500" s="22" t="str">
        <f>IF(AND(OR('Choix pédagogiques'!$C$3=1,'Choix pédagogiques'!$C$3=2),$BN500=1),H500,IF(AND('Choix pédagogiques'!$C$3=3,$BO500=1),H500,""))</f>
        <v/>
      </c>
      <c r="AD500" s="22" t="str">
        <f>IF(AND(OR('Choix pédagogiques'!$C$3=1,'Choix pédagogiques'!$C$3=2),$BN500=1),I500,IF(AND('Choix pédagogiques'!$C$3=3,$BO500=1),I500,""))</f>
        <v/>
      </c>
      <c r="AE500" s="22" t="str">
        <f t="shared" si="362"/>
        <v/>
      </c>
      <c r="AF500" s="21" t="str">
        <f t="shared" si="363"/>
        <v>Apprenant 488</v>
      </c>
      <c r="AG500" s="22" t="str">
        <f t="shared" si="337"/>
        <v/>
      </c>
      <c r="AH500" s="22" t="str">
        <f t="shared" si="338"/>
        <v/>
      </c>
      <c r="AI500" s="22" t="str">
        <f t="shared" si="339"/>
        <v/>
      </c>
      <c r="AJ500" s="22" t="str">
        <f t="shared" si="364"/>
        <v/>
      </c>
      <c r="AK500" s="21" t="str">
        <f t="shared" si="365"/>
        <v>Apprenant 488 ou 488'</v>
      </c>
      <c r="AL500" s="22" t="str">
        <f t="shared" si="340"/>
        <v/>
      </c>
      <c r="AM500" s="22" t="str">
        <f t="shared" si="341"/>
        <v/>
      </c>
      <c r="AN500" s="22" t="str">
        <f t="shared" si="342"/>
        <v/>
      </c>
      <c r="AO500" s="22" t="str">
        <f t="shared" si="366"/>
        <v/>
      </c>
      <c r="AQ500" s="21" t="str">
        <f t="shared" si="367"/>
        <v>Apprenant 488</v>
      </c>
      <c r="AR500" s="49" t="str">
        <f>IF(AND('Choix pédagogiques'!$C$4&lt;&gt;"?",'Choix pédagogiques'!$C$5&lt;&gt;"?",W500&lt;&gt;""),(W500-'Choix pédagogiques'!$C$4)/('Choix pédagogiques'!$C$5-'Choix pédagogiques'!$C$4),"")</f>
        <v/>
      </c>
      <c r="AS500" s="49" t="str">
        <f>IF(AND('Choix pédagogiques'!$C$4&lt;&gt;"?",'Choix pédagogiques'!$C$5&lt;&gt;"?",X500&lt;&gt;""),(X500-'Choix pédagogiques'!$C$4)/('Choix pédagogiques'!$C$5-'Choix pédagogiques'!$C$4),"")</f>
        <v/>
      </c>
      <c r="AT500" s="49" t="str">
        <f>IF(AND('Choix pédagogiques'!$C$4&lt;&gt;"?",'Choix pédagogiques'!$C$5&lt;&gt;"?",Y500&lt;&gt;""),(Y500-'Choix pédagogiques'!$C$4)/('Choix pédagogiques'!$C$5-'Choix pédagogiques'!$C$4),"")</f>
        <v/>
      </c>
      <c r="AU500" s="22" t="str">
        <f t="shared" si="368"/>
        <v/>
      </c>
      <c r="AV500" s="21" t="str">
        <f t="shared" si="369"/>
        <v>Apprenant 488 ou 488'</v>
      </c>
      <c r="AW500" s="49" t="str">
        <f>IF(AND('Choix pédagogiques'!$C$4&lt;&gt;"?",'Choix pédagogiques'!$C$5&lt;&gt;"?",AB500&lt;&gt;""),(AB500-'Choix pédagogiques'!$C$4)/('Choix pédagogiques'!$C$5-'Choix pédagogiques'!$C$4),"")</f>
        <v/>
      </c>
      <c r="AX500" s="49" t="str">
        <f>IF(AND('Choix pédagogiques'!$C$4&lt;&gt;"?",'Choix pédagogiques'!$C$5&lt;&gt;"?",AC500&lt;&gt;""),(AC500-'Choix pédagogiques'!$C$4)/('Choix pédagogiques'!$C$5-'Choix pédagogiques'!$C$4),"")</f>
        <v/>
      </c>
      <c r="AY500" s="49" t="str">
        <f>IF(AND('Choix pédagogiques'!$C$4&lt;&gt;"?",'Choix pédagogiques'!$C$5&lt;&gt;"?",AD500&lt;&gt;""),(AD500-'Choix pédagogiques'!$C$4)/('Choix pédagogiques'!$C$5-'Choix pédagogiques'!$C$4),"")</f>
        <v/>
      </c>
      <c r="AZ500" s="22" t="str">
        <f t="shared" si="370"/>
        <v/>
      </c>
      <c r="BA500" s="21" t="str">
        <f t="shared" si="371"/>
        <v>Apprenant 488</v>
      </c>
      <c r="BB500" s="49" t="str">
        <f t="shared" si="343"/>
        <v/>
      </c>
      <c r="BC500" s="49" t="str">
        <f t="shared" si="344"/>
        <v/>
      </c>
      <c r="BD500" s="49" t="str">
        <f t="shared" si="345"/>
        <v/>
      </c>
      <c r="BE500" s="22" t="str">
        <f t="shared" si="372"/>
        <v/>
      </c>
      <c r="BF500" s="21" t="str">
        <f t="shared" si="373"/>
        <v>Apprenant 488 ou 488'</v>
      </c>
      <c r="BG500" s="49" t="str">
        <f t="shared" si="346"/>
        <v/>
      </c>
      <c r="BH500" s="49" t="str">
        <f t="shared" si="347"/>
        <v/>
      </c>
      <c r="BI500" s="49" t="str">
        <f t="shared" si="348"/>
        <v/>
      </c>
      <c r="BJ500" s="22" t="str">
        <f t="shared" si="374"/>
        <v/>
      </c>
      <c r="BL500" s="21"/>
      <c r="BM500" s="21" t="str">
        <f>IF(OR(COUNT(B500:D1499)=0,AND('Choix pédagogiques'!$C$3&lt;&gt;1,'Choix pédagogiques'!$C$3&lt;&gt;2)),"",IF(AND(OR('Choix pédagogiques'!$C$3=1,'Choix pédagogiques'!$C$3=2),$B500&lt;&gt;"",$C500&lt;&gt;"",$D500&lt;&gt;""),1,0))</f>
        <v/>
      </c>
      <c r="BN500" s="21" t="str">
        <f>IF(OR(COUNT(G500:I1499)=0,AND('Choix pédagogiques'!$C$3&lt;&gt;1,'Choix pédagogiques'!$C$3&lt;&gt;2)),"",IF(AND(OR('Choix pédagogiques'!$C$3=1,'Choix pédagogiques'!$C$3=2),AND($G500&lt;&gt;"",$H500&lt;&gt;"",$I500&lt;&gt;"")),1,0))</f>
        <v/>
      </c>
      <c r="BO500" s="21" t="str">
        <f>IF(OR(COUNT(B500:D1499)=0,COUNT(G500:I1499)=0,'Choix pédagogiques'!C$3&lt;&gt;3),"",IF(AND('Choix pédagogiques'!$C$3=3,$B500&lt;&gt;"",$C500&lt;&gt;"",$D500&lt;&gt;"",$G500&lt;&gt;"",$H500&lt;&gt;"",$I500&lt;&gt;""),1,0))</f>
        <v/>
      </c>
      <c r="BR500" s="21">
        <v>292</v>
      </c>
      <c r="BS500" s="21">
        <v>1698</v>
      </c>
      <c r="BT500"/>
    </row>
    <row r="501" spans="1:72" s="23" customFormat="1" ht="18" customHeight="1" x14ac:dyDescent="0.3">
      <c r="A501" s="35" t="s">
        <v>491</v>
      </c>
      <c r="B501" s="37"/>
      <c r="C501" s="37"/>
      <c r="D501" s="37"/>
      <c r="E501" s="37"/>
      <c r="F501" s="35" t="s">
        <v>1499</v>
      </c>
      <c r="G501" s="37"/>
      <c r="H501" s="37"/>
      <c r="I501" s="37"/>
      <c r="J501" s="37"/>
      <c r="K501" s="21" t="str">
        <f t="shared" si="349"/>
        <v>Apprenant 489</v>
      </c>
      <c r="L501" s="22" t="str">
        <f t="shared" si="350"/>
        <v/>
      </c>
      <c r="M501" s="22" t="str">
        <f t="shared" si="351"/>
        <v/>
      </c>
      <c r="N501" s="22" t="str">
        <f t="shared" si="352"/>
        <v/>
      </c>
      <c r="O501" s="22" t="str">
        <f t="shared" si="353"/>
        <v/>
      </c>
      <c r="P501" s="21" t="str">
        <f t="shared" si="354"/>
        <v>Apprenant 489 ou 489'</v>
      </c>
      <c r="Q501" s="22" t="str">
        <f t="shared" si="355"/>
        <v/>
      </c>
      <c r="R501" s="22" t="str">
        <f t="shared" si="356"/>
        <v/>
      </c>
      <c r="S501" s="22" t="str">
        <f t="shared" si="357"/>
        <v/>
      </c>
      <c r="T501" s="22" t="str">
        <f t="shared" si="358"/>
        <v/>
      </c>
      <c r="V501" s="21" t="str">
        <f t="shared" si="359"/>
        <v>Apprenant 489</v>
      </c>
      <c r="W501" s="22" t="str">
        <f>IF(AND(OR('Choix pédagogiques'!$C$3=1,'Choix pédagogiques'!$C$3=2),$BM501=1),B501,IF(AND('Choix pédagogiques'!$C$3=3,$BO501=1),B501,""))</f>
        <v/>
      </c>
      <c r="X501" s="22" t="str">
        <f>IF(AND(OR('Choix pédagogiques'!$C$3=1,'Choix pédagogiques'!$C$3=2),$BM501=1),C501,IF(AND('Choix pédagogiques'!$C$3=3,$BO501=1),C501,""))</f>
        <v/>
      </c>
      <c r="Y501" s="22" t="str">
        <f>IF(AND(OR('Choix pédagogiques'!$C$3=1,'Choix pédagogiques'!$C$3=2),$BM501=1),D501,IF(AND('Choix pédagogiques'!$C$3=3,$BO501=1),D501,""))</f>
        <v/>
      </c>
      <c r="Z501" s="22" t="str">
        <f t="shared" si="360"/>
        <v/>
      </c>
      <c r="AA501" s="21" t="str">
        <f t="shared" si="361"/>
        <v>Apprenant 489 ou 489'</v>
      </c>
      <c r="AB501" s="22" t="str">
        <f>IF(AND(OR('Choix pédagogiques'!$C$3=1,'Choix pédagogiques'!$C$3=2),$BN501=1),G501,IF(AND('Choix pédagogiques'!$C$3=3,$BO501=1),G501,""))</f>
        <v/>
      </c>
      <c r="AC501" s="22" t="str">
        <f>IF(AND(OR('Choix pédagogiques'!$C$3=1,'Choix pédagogiques'!$C$3=2),$BN501=1),H501,IF(AND('Choix pédagogiques'!$C$3=3,$BO501=1),H501,""))</f>
        <v/>
      </c>
      <c r="AD501" s="22" t="str">
        <f>IF(AND(OR('Choix pédagogiques'!$C$3=1,'Choix pédagogiques'!$C$3=2),$BN501=1),I501,IF(AND('Choix pédagogiques'!$C$3=3,$BO501=1),I501,""))</f>
        <v/>
      </c>
      <c r="AE501" s="22" t="str">
        <f t="shared" si="362"/>
        <v/>
      </c>
      <c r="AF501" s="21" t="str">
        <f t="shared" si="363"/>
        <v>Apprenant 489</v>
      </c>
      <c r="AG501" s="22" t="str">
        <f t="shared" si="337"/>
        <v/>
      </c>
      <c r="AH501" s="22" t="str">
        <f t="shared" si="338"/>
        <v/>
      </c>
      <c r="AI501" s="22" t="str">
        <f t="shared" si="339"/>
        <v/>
      </c>
      <c r="AJ501" s="22" t="str">
        <f t="shared" si="364"/>
        <v/>
      </c>
      <c r="AK501" s="21" t="str">
        <f t="shared" si="365"/>
        <v>Apprenant 489 ou 489'</v>
      </c>
      <c r="AL501" s="22" t="str">
        <f t="shared" si="340"/>
        <v/>
      </c>
      <c r="AM501" s="22" t="str">
        <f t="shared" si="341"/>
        <v/>
      </c>
      <c r="AN501" s="22" t="str">
        <f t="shared" si="342"/>
        <v/>
      </c>
      <c r="AO501" s="22" t="str">
        <f t="shared" si="366"/>
        <v/>
      </c>
      <c r="AQ501" s="21" t="str">
        <f t="shared" si="367"/>
        <v>Apprenant 489</v>
      </c>
      <c r="AR501" s="49" t="str">
        <f>IF(AND('Choix pédagogiques'!$C$4&lt;&gt;"?",'Choix pédagogiques'!$C$5&lt;&gt;"?",W501&lt;&gt;""),(W501-'Choix pédagogiques'!$C$4)/('Choix pédagogiques'!$C$5-'Choix pédagogiques'!$C$4),"")</f>
        <v/>
      </c>
      <c r="AS501" s="49" t="str">
        <f>IF(AND('Choix pédagogiques'!$C$4&lt;&gt;"?",'Choix pédagogiques'!$C$5&lt;&gt;"?",X501&lt;&gt;""),(X501-'Choix pédagogiques'!$C$4)/('Choix pédagogiques'!$C$5-'Choix pédagogiques'!$C$4),"")</f>
        <v/>
      </c>
      <c r="AT501" s="49" t="str">
        <f>IF(AND('Choix pédagogiques'!$C$4&lt;&gt;"?",'Choix pédagogiques'!$C$5&lt;&gt;"?",Y501&lt;&gt;""),(Y501-'Choix pédagogiques'!$C$4)/('Choix pédagogiques'!$C$5-'Choix pédagogiques'!$C$4),"")</f>
        <v/>
      </c>
      <c r="AU501" s="22" t="str">
        <f t="shared" si="368"/>
        <v/>
      </c>
      <c r="AV501" s="21" t="str">
        <f t="shared" si="369"/>
        <v>Apprenant 489 ou 489'</v>
      </c>
      <c r="AW501" s="49" t="str">
        <f>IF(AND('Choix pédagogiques'!$C$4&lt;&gt;"?",'Choix pédagogiques'!$C$5&lt;&gt;"?",AB501&lt;&gt;""),(AB501-'Choix pédagogiques'!$C$4)/('Choix pédagogiques'!$C$5-'Choix pédagogiques'!$C$4),"")</f>
        <v/>
      </c>
      <c r="AX501" s="49" t="str">
        <f>IF(AND('Choix pédagogiques'!$C$4&lt;&gt;"?",'Choix pédagogiques'!$C$5&lt;&gt;"?",AC501&lt;&gt;""),(AC501-'Choix pédagogiques'!$C$4)/('Choix pédagogiques'!$C$5-'Choix pédagogiques'!$C$4),"")</f>
        <v/>
      </c>
      <c r="AY501" s="49" t="str">
        <f>IF(AND('Choix pédagogiques'!$C$4&lt;&gt;"?",'Choix pédagogiques'!$C$5&lt;&gt;"?",AD501&lt;&gt;""),(AD501-'Choix pédagogiques'!$C$4)/('Choix pédagogiques'!$C$5-'Choix pédagogiques'!$C$4),"")</f>
        <v/>
      </c>
      <c r="AZ501" s="22" t="str">
        <f t="shared" si="370"/>
        <v/>
      </c>
      <c r="BA501" s="21" t="str">
        <f t="shared" si="371"/>
        <v>Apprenant 489</v>
      </c>
      <c r="BB501" s="49" t="str">
        <f t="shared" si="343"/>
        <v/>
      </c>
      <c r="BC501" s="49" t="str">
        <f t="shared" si="344"/>
        <v/>
      </c>
      <c r="BD501" s="49" t="str">
        <f t="shared" si="345"/>
        <v/>
      </c>
      <c r="BE501" s="22" t="str">
        <f t="shared" si="372"/>
        <v/>
      </c>
      <c r="BF501" s="21" t="str">
        <f t="shared" si="373"/>
        <v>Apprenant 489 ou 489'</v>
      </c>
      <c r="BG501" s="49" t="str">
        <f t="shared" si="346"/>
        <v/>
      </c>
      <c r="BH501" s="49" t="str">
        <f t="shared" si="347"/>
        <v/>
      </c>
      <c r="BI501" s="49" t="str">
        <f t="shared" si="348"/>
        <v/>
      </c>
      <c r="BJ501" s="22" t="str">
        <f t="shared" si="374"/>
        <v/>
      </c>
      <c r="BL501" s="21"/>
      <c r="BM501" s="21" t="str">
        <f>IF(OR(COUNT(B501:D1500)=0,AND('Choix pédagogiques'!$C$3&lt;&gt;1,'Choix pédagogiques'!$C$3&lt;&gt;2)),"",IF(AND(OR('Choix pédagogiques'!$C$3=1,'Choix pédagogiques'!$C$3=2),$B501&lt;&gt;"",$C501&lt;&gt;"",$D501&lt;&gt;""),1,0))</f>
        <v/>
      </c>
      <c r="BN501" s="21" t="str">
        <f>IF(OR(COUNT(G501:I1500)=0,AND('Choix pédagogiques'!$C$3&lt;&gt;1,'Choix pédagogiques'!$C$3&lt;&gt;2)),"",IF(AND(OR('Choix pédagogiques'!$C$3=1,'Choix pédagogiques'!$C$3=2),AND($G501&lt;&gt;"",$H501&lt;&gt;"",$I501&lt;&gt;"")),1,0))</f>
        <v/>
      </c>
      <c r="BO501" s="21" t="str">
        <f>IF(OR(COUNT(B501:D1500)=0,COUNT(G501:I1500)=0,'Choix pédagogiques'!C$3&lt;&gt;3),"",IF(AND('Choix pédagogiques'!$C$3=3,$B501&lt;&gt;"",$C501&lt;&gt;"",$D501&lt;&gt;"",$G501&lt;&gt;"",$H501&lt;&gt;"",$I501&lt;&gt;""),1,0))</f>
        <v/>
      </c>
      <c r="BR501" s="21">
        <v>609</v>
      </c>
      <c r="BS501" s="21">
        <v>1603</v>
      </c>
      <c r="BT501"/>
    </row>
    <row r="502" spans="1:72" s="23" customFormat="1" ht="18" customHeight="1" x14ac:dyDescent="0.3">
      <c r="A502" s="35" t="s">
        <v>492</v>
      </c>
      <c r="B502" s="37"/>
      <c r="C502" s="37"/>
      <c r="D502" s="37"/>
      <c r="E502" s="37"/>
      <c r="F502" s="35" t="s">
        <v>1500</v>
      </c>
      <c r="G502" s="37"/>
      <c r="H502" s="37"/>
      <c r="I502" s="37"/>
      <c r="J502" s="37"/>
      <c r="K502" s="21" t="str">
        <f t="shared" si="349"/>
        <v>Apprenant 490</v>
      </c>
      <c r="L502" s="22" t="str">
        <f t="shared" si="350"/>
        <v/>
      </c>
      <c r="M502" s="22" t="str">
        <f t="shared" si="351"/>
        <v/>
      </c>
      <c r="N502" s="22" t="str">
        <f t="shared" si="352"/>
        <v/>
      </c>
      <c r="O502" s="22" t="str">
        <f t="shared" si="353"/>
        <v/>
      </c>
      <c r="P502" s="21" t="str">
        <f t="shared" si="354"/>
        <v>Apprenant 490 ou 490'</v>
      </c>
      <c r="Q502" s="22" t="str">
        <f t="shared" si="355"/>
        <v/>
      </c>
      <c r="R502" s="22" t="str">
        <f t="shared" si="356"/>
        <v/>
      </c>
      <c r="S502" s="22" t="str">
        <f t="shared" si="357"/>
        <v/>
      </c>
      <c r="T502" s="22" t="str">
        <f t="shared" si="358"/>
        <v/>
      </c>
      <c r="V502" s="21" t="str">
        <f t="shared" si="359"/>
        <v>Apprenant 490</v>
      </c>
      <c r="W502" s="22" t="str">
        <f>IF(AND(OR('Choix pédagogiques'!$C$3=1,'Choix pédagogiques'!$C$3=2),$BM502=1),B502,IF(AND('Choix pédagogiques'!$C$3=3,$BO502=1),B502,""))</f>
        <v/>
      </c>
      <c r="X502" s="22" t="str">
        <f>IF(AND(OR('Choix pédagogiques'!$C$3=1,'Choix pédagogiques'!$C$3=2),$BM502=1),C502,IF(AND('Choix pédagogiques'!$C$3=3,$BO502=1),C502,""))</f>
        <v/>
      </c>
      <c r="Y502" s="22" t="str">
        <f>IF(AND(OR('Choix pédagogiques'!$C$3=1,'Choix pédagogiques'!$C$3=2),$BM502=1),D502,IF(AND('Choix pédagogiques'!$C$3=3,$BO502=1),D502,""))</f>
        <v/>
      </c>
      <c r="Z502" s="22" t="str">
        <f t="shared" si="360"/>
        <v/>
      </c>
      <c r="AA502" s="21" t="str">
        <f t="shared" si="361"/>
        <v>Apprenant 490 ou 490'</v>
      </c>
      <c r="AB502" s="22" t="str">
        <f>IF(AND(OR('Choix pédagogiques'!$C$3=1,'Choix pédagogiques'!$C$3=2),$BN502=1),G502,IF(AND('Choix pédagogiques'!$C$3=3,$BO502=1),G502,""))</f>
        <v/>
      </c>
      <c r="AC502" s="22" t="str">
        <f>IF(AND(OR('Choix pédagogiques'!$C$3=1,'Choix pédagogiques'!$C$3=2),$BN502=1),H502,IF(AND('Choix pédagogiques'!$C$3=3,$BO502=1),H502,""))</f>
        <v/>
      </c>
      <c r="AD502" s="22" t="str">
        <f>IF(AND(OR('Choix pédagogiques'!$C$3=1,'Choix pédagogiques'!$C$3=2),$BN502=1),I502,IF(AND('Choix pédagogiques'!$C$3=3,$BO502=1),I502,""))</f>
        <v/>
      </c>
      <c r="AE502" s="22" t="str">
        <f t="shared" si="362"/>
        <v/>
      </c>
      <c r="AF502" s="21" t="str">
        <f t="shared" si="363"/>
        <v>Apprenant 490</v>
      </c>
      <c r="AG502" s="22" t="str">
        <f t="shared" si="337"/>
        <v/>
      </c>
      <c r="AH502" s="22" t="str">
        <f t="shared" si="338"/>
        <v/>
      </c>
      <c r="AI502" s="22" t="str">
        <f t="shared" si="339"/>
        <v/>
      </c>
      <c r="AJ502" s="22" t="str">
        <f t="shared" si="364"/>
        <v/>
      </c>
      <c r="AK502" s="21" t="str">
        <f t="shared" si="365"/>
        <v>Apprenant 490 ou 490'</v>
      </c>
      <c r="AL502" s="22" t="str">
        <f t="shared" si="340"/>
        <v/>
      </c>
      <c r="AM502" s="22" t="str">
        <f t="shared" si="341"/>
        <v/>
      </c>
      <c r="AN502" s="22" t="str">
        <f t="shared" si="342"/>
        <v/>
      </c>
      <c r="AO502" s="22" t="str">
        <f t="shared" si="366"/>
        <v/>
      </c>
      <c r="AQ502" s="21" t="str">
        <f t="shared" si="367"/>
        <v>Apprenant 490</v>
      </c>
      <c r="AR502" s="49" t="str">
        <f>IF(AND('Choix pédagogiques'!$C$4&lt;&gt;"?",'Choix pédagogiques'!$C$5&lt;&gt;"?",W502&lt;&gt;""),(W502-'Choix pédagogiques'!$C$4)/('Choix pédagogiques'!$C$5-'Choix pédagogiques'!$C$4),"")</f>
        <v/>
      </c>
      <c r="AS502" s="49" t="str">
        <f>IF(AND('Choix pédagogiques'!$C$4&lt;&gt;"?",'Choix pédagogiques'!$C$5&lt;&gt;"?",X502&lt;&gt;""),(X502-'Choix pédagogiques'!$C$4)/('Choix pédagogiques'!$C$5-'Choix pédagogiques'!$C$4),"")</f>
        <v/>
      </c>
      <c r="AT502" s="49" t="str">
        <f>IF(AND('Choix pédagogiques'!$C$4&lt;&gt;"?",'Choix pédagogiques'!$C$5&lt;&gt;"?",Y502&lt;&gt;""),(Y502-'Choix pédagogiques'!$C$4)/('Choix pédagogiques'!$C$5-'Choix pédagogiques'!$C$4),"")</f>
        <v/>
      </c>
      <c r="AU502" s="22" t="str">
        <f t="shared" si="368"/>
        <v/>
      </c>
      <c r="AV502" s="21" t="str">
        <f t="shared" si="369"/>
        <v>Apprenant 490 ou 490'</v>
      </c>
      <c r="AW502" s="49" t="str">
        <f>IF(AND('Choix pédagogiques'!$C$4&lt;&gt;"?",'Choix pédagogiques'!$C$5&lt;&gt;"?",AB502&lt;&gt;""),(AB502-'Choix pédagogiques'!$C$4)/('Choix pédagogiques'!$C$5-'Choix pédagogiques'!$C$4),"")</f>
        <v/>
      </c>
      <c r="AX502" s="49" t="str">
        <f>IF(AND('Choix pédagogiques'!$C$4&lt;&gt;"?",'Choix pédagogiques'!$C$5&lt;&gt;"?",AC502&lt;&gt;""),(AC502-'Choix pédagogiques'!$C$4)/('Choix pédagogiques'!$C$5-'Choix pédagogiques'!$C$4),"")</f>
        <v/>
      </c>
      <c r="AY502" s="49" t="str">
        <f>IF(AND('Choix pédagogiques'!$C$4&lt;&gt;"?",'Choix pédagogiques'!$C$5&lt;&gt;"?",AD502&lt;&gt;""),(AD502-'Choix pédagogiques'!$C$4)/('Choix pédagogiques'!$C$5-'Choix pédagogiques'!$C$4),"")</f>
        <v/>
      </c>
      <c r="AZ502" s="22" t="str">
        <f t="shared" si="370"/>
        <v/>
      </c>
      <c r="BA502" s="21" t="str">
        <f t="shared" si="371"/>
        <v>Apprenant 490</v>
      </c>
      <c r="BB502" s="49" t="str">
        <f t="shared" si="343"/>
        <v/>
      </c>
      <c r="BC502" s="49" t="str">
        <f t="shared" si="344"/>
        <v/>
      </c>
      <c r="BD502" s="49" t="str">
        <f t="shared" si="345"/>
        <v/>
      </c>
      <c r="BE502" s="22" t="str">
        <f t="shared" si="372"/>
        <v/>
      </c>
      <c r="BF502" s="21" t="str">
        <f t="shared" si="373"/>
        <v>Apprenant 490 ou 490'</v>
      </c>
      <c r="BG502" s="49" t="str">
        <f t="shared" si="346"/>
        <v/>
      </c>
      <c r="BH502" s="49" t="str">
        <f t="shared" si="347"/>
        <v/>
      </c>
      <c r="BI502" s="49" t="str">
        <f t="shared" si="348"/>
        <v/>
      </c>
      <c r="BJ502" s="22" t="str">
        <f t="shared" si="374"/>
        <v/>
      </c>
      <c r="BL502" s="21"/>
      <c r="BM502" s="21" t="str">
        <f>IF(OR(COUNT(B502:D1501)=0,AND('Choix pédagogiques'!$C$3&lt;&gt;1,'Choix pédagogiques'!$C$3&lt;&gt;2)),"",IF(AND(OR('Choix pédagogiques'!$C$3=1,'Choix pédagogiques'!$C$3=2),$B502&lt;&gt;"",$C502&lt;&gt;"",$D502&lt;&gt;""),1,0))</f>
        <v/>
      </c>
      <c r="BN502" s="21" t="str">
        <f>IF(OR(COUNT(G502:I1501)=0,AND('Choix pédagogiques'!$C$3&lt;&gt;1,'Choix pédagogiques'!$C$3&lt;&gt;2)),"",IF(AND(OR('Choix pédagogiques'!$C$3=1,'Choix pédagogiques'!$C$3=2),AND($G502&lt;&gt;"",$H502&lt;&gt;"",$I502&lt;&gt;"")),1,0))</f>
        <v/>
      </c>
      <c r="BO502" s="21" t="str">
        <f>IF(OR(COUNT(B502:D1501)=0,COUNT(G502:I1501)=0,'Choix pédagogiques'!C$3&lt;&gt;3),"",IF(AND('Choix pédagogiques'!$C$3=3,$B502&lt;&gt;"",$C502&lt;&gt;"",$D502&lt;&gt;"",$G502&lt;&gt;"",$H502&lt;&gt;"",$I502&lt;&gt;""),1,0))</f>
        <v/>
      </c>
      <c r="BR502" s="21">
        <v>483</v>
      </c>
      <c r="BS502" s="21">
        <v>1013</v>
      </c>
      <c r="BT502"/>
    </row>
    <row r="503" spans="1:72" s="23" customFormat="1" ht="18" customHeight="1" x14ac:dyDescent="0.3">
      <c r="A503" s="35" t="s">
        <v>493</v>
      </c>
      <c r="B503" s="37"/>
      <c r="C503" s="37"/>
      <c r="D503" s="37"/>
      <c r="E503" s="37"/>
      <c r="F503" s="35" t="s">
        <v>1501</v>
      </c>
      <c r="G503" s="37"/>
      <c r="H503" s="37"/>
      <c r="I503" s="37"/>
      <c r="J503" s="37"/>
      <c r="K503" s="21" t="str">
        <f t="shared" si="349"/>
        <v>Apprenant 491</v>
      </c>
      <c r="L503" s="22" t="str">
        <f t="shared" si="350"/>
        <v/>
      </c>
      <c r="M503" s="22" t="str">
        <f t="shared" si="351"/>
        <v/>
      </c>
      <c r="N503" s="22" t="str">
        <f t="shared" si="352"/>
        <v/>
      </c>
      <c r="O503" s="22" t="str">
        <f t="shared" si="353"/>
        <v/>
      </c>
      <c r="P503" s="21" t="str">
        <f t="shared" si="354"/>
        <v>Apprenant 491 ou 491'</v>
      </c>
      <c r="Q503" s="22" t="str">
        <f t="shared" si="355"/>
        <v/>
      </c>
      <c r="R503" s="22" t="str">
        <f t="shared" si="356"/>
        <v/>
      </c>
      <c r="S503" s="22" t="str">
        <f t="shared" si="357"/>
        <v/>
      </c>
      <c r="T503" s="22" t="str">
        <f t="shared" si="358"/>
        <v/>
      </c>
      <c r="V503" s="21" t="str">
        <f t="shared" si="359"/>
        <v>Apprenant 491</v>
      </c>
      <c r="W503" s="22" t="str">
        <f>IF(AND(OR('Choix pédagogiques'!$C$3=1,'Choix pédagogiques'!$C$3=2),$BM503=1),B503,IF(AND('Choix pédagogiques'!$C$3=3,$BO503=1),B503,""))</f>
        <v/>
      </c>
      <c r="X503" s="22" t="str">
        <f>IF(AND(OR('Choix pédagogiques'!$C$3=1,'Choix pédagogiques'!$C$3=2),$BM503=1),C503,IF(AND('Choix pédagogiques'!$C$3=3,$BO503=1),C503,""))</f>
        <v/>
      </c>
      <c r="Y503" s="22" t="str">
        <f>IF(AND(OR('Choix pédagogiques'!$C$3=1,'Choix pédagogiques'!$C$3=2),$BM503=1),D503,IF(AND('Choix pédagogiques'!$C$3=3,$BO503=1),D503,""))</f>
        <v/>
      </c>
      <c r="Z503" s="22" t="str">
        <f t="shared" si="360"/>
        <v/>
      </c>
      <c r="AA503" s="21" t="str">
        <f t="shared" si="361"/>
        <v>Apprenant 491 ou 491'</v>
      </c>
      <c r="AB503" s="22" t="str">
        <f>IF(AND(OR('Choix pédagogiques'!$C$3=1,'Choix pédagogiques'!$C$3=2),$BN503=1),G503,IF(AND('Choix pédagogiques'!$C$3=3,$BO503=1),G503,""))</f>
        <v/>
      </c>
      <c r="AC503" s="22" t="str">
        <f>IF(AND(OR('Choix pédagogiques'!$C$3=1,'Choix pédagogiques'!$C$3=2),$BN503=1),H503,IF(AND('Choix pédagogiques'!$C$3=3,$BO503=1),H503,""))</f>
        <v/>
      </c>
      <c r="AD503" s="22" t="str">
        <f>IF(AND(OR('Choix pédagogiques'!$C$3=1,'Choix pédagogiques'!$C$3=2),$BN503=1),I503,IF(AND('Choix pédagogiques'!$C$3=3,$BO503=1),I503,""))</f>
        <v/>
      </c>
      <c r="AE503" s="22" t="str">
        <f t="shared" si="362"/>
        <v/>
      </c>
      <c r="AF503" s="21" t="str">
        <f t="shared" si="363"/>
        <v>Apprenant 491</v>
      </c>
      <c r="AG503" s="22" t="str">
        <f t="shared" si="337"/>
        <v/>
      </c>
      <c r="AH503" s="22" t="str">
        <f t="shared" si="338"/>
        <v/>
      </c>
      <c r="AI503" s="22" t="str">
        <f t="shared" si="339"/>
        <v/>
      </c>
      <c r="AJ503" s="22" t="str">
        <f t="shared" si="364"/>
        <v/>
      </c>
      <c r="AK503" s="21" t="str">
        <f t="shared" si="365"/>
        <v>Apprenant 491 ou 491'</v>
      </c>
      <c r="AL503" s="22" t="str">
        <f t="shared" si="340"/>
        <v/>
      </c>
      <c r="AM503" s="22" t="str">
        <f t="shared" si="341"/>
        <v/>
      </c>
      <c r="AN503" s="22" t="str">
        <f t="shared" si="342"/>
        <v/>
      </c>
      <c r="AO503" s="22" t="str">
        <f t="shared" si="366"/>
        <v/>
      </c>
      <c r="AQ503" s="21" t="str">
        <f t="shared" si="367"/>
        <v>Apprenant 491</v>
      </c>
      <c r="AR503" s="49" t="str">
        <f>IF(AND('Choix pédagogiques'!$C$4&lt;&gt;"?",'Choix pédagogiques'!$C$5&lt;&gt;"?",W503&lt;&gt;""),(W503-'Choix pédagogiques'!$C$4)/('Choix pédagogiques'!$C$5-'Choix pédagogiques'!$C$4),"")</f>
        <v/>
      </c>
      <c r="AS503" s="49" t="str">
        <f>IF(AND('Choix pédagogiques'!$C$4&lt;&gt;"?",'Choix pédagogiques'!$C$5&lt;&gt;"?",X503&lt;&gt;""),(X503-'Choix pédagogiques'!$C$4)/('Choix pédagogiques'!$C$5-'Choix pédagogiques'!$C$4),"")</f>
        <v/>
      </c>
      <c r="AT503" s="49" t="str">
        <f>IF(AND('Choix pédagogiques'!$C$4&lt;&gt;"?",'Choix pédagogiques'!$C$5&lt;&gt;"?",Y503&lt;&gt;""),(Y503-'Choix pédagogiques'!$C$4)/('Choix pédagogiques'!$C$5-'Choix pédagogiques'!$C$4),"")</f>
        <v/>
      </c>
      <c r="AU503" s="22" t="str">
        <f t="shared" si="368"/>
        <v/>
      </c>
      <c r="AV503" s="21" t="str">
        <f t="shared" si="369"/>
        <v>Apprenant 491 ou 491'</v>
      </c>
      <c r="AW503" s="49" t="str">
        <f>IF(AND('Choix pédagogiques'!$C$4&lt;&gt;"?",'Choix pédagogiques'!$C$5&lt;&gt;"?",AB503&lt;&gt;""),(AB503-'Choix pédagogiques'!$C$4)/('Choix pédagogiques'!$C$5-'Choix pédagogiques'!$C$4),"")</f>
        <v/>
      </c>
      <c r="AX503" s="49" t="str">
        <f>IF(AND('Choix pédagogiques'!$C$4&lt;&gt;"?",'Choix pédagogiques'!$C$5&lt;&gt;"?",AC503&lt;&gt;""),(AC503-'Choix pédagogiques'!$C$4)/('Choix pédagogiques'!$C$5-'Choix pédagogiques'!$C$4),"")</f>
        <v/>
      </c>
      <c r="AY503" s="49" t="str">
        <f>IF(AND('Choix pédagogiques'!$C$4&lt;&gt;"?",'Choix pédagogiques'!$C$5&lt;&gt;"?",AD503&lt;&gt;""),(AD503-'Choix pédagogiques'!$C$4)/('Choix pédagogiques'!$C$5-'Choix pédagogiques'!$C$4),"")</f>
        <v/>
      </c>
      <c r="AZ503" s="22" t="str">
        <f t="shared" si="370"/>
        <v/>
      </c>
      <c r="BA503" s="21" t="str">
        <f t="shared" si="371"/>
        <v>Apprenant 491</v>
      </c>
      <c r="BB503" s="49" t="str">
        <f t="shared" si="343"/>
        <v/>
      </c>
      <c r="BC503" s="49" t="str">
        <f t="shared" si="344"/>
        <v/>
      </c>
      <c r="BD503" s="49" t="str">
        <f t="shared" si="345"/>
        <v/>
      </c>
      <c r="BE503" s="22" t="str">
        <f t="shared" si="372"/>
        <v/>
      </c>
      <c r="BF503" s="21" t="str">
        <f t="shared" si="373"/>
        <v>Apprenant 491 ou 491'</v>
      </c>
      <c r="BG503" s="49" t="str">
        <f t="shared" si="346"/>
        <v/>
      </c>
      <c r="BH503" s="49" t="str">
        <f t="shared" si="347"/>
        <v/>
      </c>
      <c r="BI503" s="49" t="str">
        <f t="shared" si="348"/>
        <v/>
      </c>
      <c r="BJ503" s="22" t="str">
        <f t="shared" si="374"/>
        <v/>
      </c>
      <c r="BL503" s="21"/>
      <c r="BM503" s="21" t="str">
        <f>IF(OR(COUNT(B503:D1502)=0,AND('Choix pédagogiques'!$C$3&lt;&gt;1,'Choix pédagogiques'!$C$3&lt;&gt;2)),"",IF(AND(OR('Choix pédagogiques'!$C$3=1,'Choix pédagogiques'!$C$3=2),$B503&lt;&gt;"",$C503&lt;&gt;"",$D503&lt;&gt;""),1,0))</f>
        <v/>
      </c>
      <c r="BN503" s="21" t="str">
        <f>IF(OR(COUNT(G503:I1502)=0,AND('Choix pédagogiques'!$C$3&lt;&gt;1,'Choix pédagogiques'!$C$3&lt;&gt;2)),"",IF(AND(OR('Choix pédagogiques'!$C$3=1,'Choix pédagogiques'!$C$3=2),AND($G503&lt;&gt;"",$H503&lt;&gt;"",$I503&lt;&gt;"")),1,0))</f>
        <v/>
      </c>
      <c r="BO503" s="21" t="str">
        <f>IF(OR(COUNT(B503:D1502)=0,COUNT(G503:I1502)=0,'Choix pédagogiques'!C$3&lt;&gt;3),"",IF(AND('Choix pédagogiques'!$C$3=3,$B503&lt;&gt;"",$C503&lt;&gt;"",$D503&lt;&gt;"",$G503&lt;&gt;"",$H503&lt;&gt;"",$I503&lt;&gt;""),1,0))</f>
        <v/>
      </c>
      <c r="BR503" s="21">
        <v>244</v>
      </c>
      <c r="BS503" s="21">
        <v>1158</v>
      </c>
      <c r="BT503"/>
    </row>
    <row r="504" spans="1:72" s="23" customFormat="1" ht="18" customHeight="1" x14ac:dyDescent="0.3">
      <c r="A504" s="35" t="s">
        <v>494</v>
      </c>
      <c r="B504" s="37"/>
      <c r="C504" s="37"/>
      <c r="D504" s="37"/>
      <c r="E504" s="37"/>
      <c r="F504" s="35" t="s">
        <v>1502</v>
      </c>
      <c r="G504" s="37"/>
      <c r="H504" s="37"/>
      <c r="I504" s="37"/>
      <c r="J504" s="37"/>
      <c r="K504" s="21" t="str">
        <f t="shared" si="349"/>
        <v>Apprenant 492</v>
      </c>
      <c r="L504" s="22" t="str">
        <f t="shared" si="350"/>
        <v/>
      </c>
      <c r="M504" s="22" t="str">
        <f t="shared" si="351"/>
        <v/>
      </c>
      <c r="N504" s="22" t="str">
        <f t="shared" si="352"/>
        <v/>
      </c>
      <c r="O504" s="22" t="str">
        <f t="shared" si="353"/>
        <v/>
      </c>
      <c r="P504" s="21" t="str">
        <f t="shared" si="354"/>
        <v>Apprenant 492 ou 492'</v>
      </c>
      <c r="Q504" s="22" t="str">
        <f t="shared" si="355"/>
        <v/>
      </c>
      <c r="R504" s="22" t="str">
        <f t="shared" si="356"/>
        <v/>
      </c>
      <c r="S504" s="22" t="str">
        <f t="shared" si="357"/>
        <v/>
      </c>
      <c r="T504" s="22" t="str">
        <f t="shared" si="358"/>
        <v/>
      </c>
      <c r="V504" s="21" t="str">
        <f t="shared" si="359"/>
        <v>Apprenant 492</v>
      </c>
      <c r="W504" s="22" t="str">
        <f>IF(AND(OR('Choix pédagogiques'!$C$3=1,'Choix pédagogiques'!$C$3=2),$BM504=1),B504,IF(AND('Choix pédagogiques'!$C$3=3,$BO504=1),B504,""))</f>
        <v/>
      </c>
      <c r="X504" s="22" t="str">
        <f>IF(AND(OR('Choix pédagogiques'!$C$3=1,'Choix pédagogiques'!$C$3=2),$BM504=1),C504,IF(AND('Choix pédagogiques'!$C$3=3,$BO504=1),C504,""))</f>
        <v/>
      </c>
      <c r="Y504" s="22" t="str">
        <f>IF(AND(OR('Choix pédagogiques'!$C$3=1,'Choix pédagogiques'!$C$3=2),$BM504=1),D504,IF(AND('Choix pédagogiques'!$C$3=3,$BO504=1),D504,""))</f>
        <v/>
      </c>
      <c r="Z504" s="22" t="str">
        <f t="shared" si="360"/>
        <v/>
      </c>
      <c r="AA504" s="21" t="str">
        <f t="shared" si="361"/>
        <v>Apprenant 492 ou 492'</v>
      </c>
      <c r="AB504" s="22" t="str">
        <f>IF(AND(OR('Choix pédagogiques'!$C$3=1,'Choix pédagogiques'!$C$3=2),$BN504=1),G504,IF(AND('Choix pédagogiques'!$C$3=3,$BO504=1),G504,""))</f>
        <v/>
      </c>
      <c r="AC504" s="22" t="str">
        <f>IF(AND(OR('Choix pédagogiques'!$C$3=1,'Choix pédagogiques'!$C$3=2),$BN504=1),H504,IF(AND('Choix pédagogiques'!$C$3=3,$BO504=1),H504,""))</f>
        <v/>
      </c>
      <c r="AD504" s="22" t="str">
        <f>IF(AND(OR('Choix pédagogiques'!$C$3=1,'Choix pédagogiques'!$C$3=2),$BN504=1),I504,IF(AND('Choix pédagogiques'!$C$3=3,$BO504=1),I504,""))</f>
        <v/>
      </c>
      <c r="AE504" s="22" t="str">
        <f t="shared" si="362"/>
        <v/>
      </c>
      <c r="AF504" s="21" t="str">
        <f t="shared" si="363"/>
        <v>Apprenant 492</v>
      </c>
      <c r="AG504" s="22" t="str">
        <f t="shared" si="337"/>
        <v/>
      </c>
      <c r="AH504" s="22" t="str">
        <f t="shared" si="338"/>
        <v/>
      </c>
      <c r="AI504" s="22" t="str">
        <f t="shared" si="339"/>
        <v/>
      </c>
      <c r="AJ504" s="22" t="str">
        <f t="shared" si="364"/>
        <v/>
      </c>
      <c r="AK504" s="21" t="str">
        <f t="shared" si="365"/>
        <v>Apprenant 492 ou 492'</v>
      </c>
      <c r="AL504" s="22" t="str">
        <f t="shared" si="340"/>
        <v/>
      </c>
      <c r="AM504" s="22" t="str">
        <f t="shared" si="341"/>
        <v/>
      </c>
      <c r="AN504" s="22" t="str">
        <f t="shared" si="342"/>
        <v/>
      </c>
      <c r="AO504" s="22" t="str">
        <f t="shared" si="366"/>
        <v/>
      </c>
      <c r="AQ504" s="21" t="str">
        <f t="shared" si="367"/>
        <v>Apprenant 492</v>
      </c>
      <c r="AR504" s="49" t="str">
        <f>IF(AND('Choix pédagogiques'!$C$4&lt;&gt;"?",'Choix pédagogiques'!$C$5&lt;&gt;"?",W504&lt;&gt;""),(W504-'Choix pédagogiques'!$C$4)/('Choix pédagogiques'!$C$5-'Choix pédagogiques'!$C$4),"")</f>
        <v/>
      </c>
      <c r="AS504" s="49" t="str">
        <f>IF(AND('Choix pédagogiques'!$C$4&lt;&gt;"?",'Choix pédagogiques'!$C$5&lt;&gt;"?",X504&lt;&gt;""),(X504-'Choix pédagogiques'!$C$4)/('Choix pédagogiques'!$C$5-'Choix pédagogiques'!$C$4),"")</f>
        <v/>
      </c>
      <c r="AT504" s="49" t="str">
        <f>IF(AND('Choix pédagogiques'!$C$4&lt;&gt;"?",'Choix pédagogiques'!$C$5&lt;&gt;"?",Y504&lt;&gt;""),(Y504-'Choix pédagogiques'!$C$4)/('Choix pédagogiques'!$C$5-'Choix pédagogiques'!$C$4),"")</f>
        <v/>
      </c>
      <c r="AU504" s="22" t="str">
        <f t="shared" si="368"/>
        <v/>
      </c>
      <c r="AV504" s="21" t="str">
        <f t="shared" si="369"/>
        <v>Apprenant 492 ou 492'</v>
      </c>
      <c r="AW504" s="49" t="str">
        <f>IF(AND('Choix pédagogiques'!$C$4&lt;&gt;"?",'Choix pédagogiques'!$C$5&lt;&gt;"?",AB504&lt;&gt;""),(AB504-'Choix pédagogiques'!$C$4)/('Choix pédagogiques'!$C$5-'Choix pédagogiques'!$C$4),"")</f>
        <v/>
      </c>
      <c r="AX504" s="49" t="str">
        <f>IF(AND('Choix pédagogiques'!$C$4&lt;&gt;"?",'Choix pédagogiques'!$C$5&lt;&gt;"?",AC504&lt;&gt;""),(AC504-'Choix pédagogiques'!$C$4)/('Choix pédagogiques'!$C$5-'Choix pédagogiques'!$C$4),"")</f>
        <v/>
      </c>
      <c r="AY504" s="49" t="str">
        <f>IF(AND('Choix pédagogiques'!$C$4&lt;&gt;"?",'Choix pédagogiques'!$C$5&lt;&gt;"?",AD504&lt;&gt;""),(AD504-'Choix pédagogiques'!$C$4)/('Choix pédagogiques'!$C$5-'Choix pédagogiques'!$C$4),"")</f>
        <v/>
      </c>
      <c r="AZ504" s="22" t="str">
        <f t="shared" si="370"/>
        <v/>
      </c>
      <c r="BA504" s="21" t="str">
        <f t="shared" si="371"/>
        <v>Apprenant 492</v>
      </c>
      <c r="BB504" s="49" t="str">
        <f t="shared" si="343"/>
        <v/>
      </c>
      <c r="BC504" s="49" t="str">
        <f t="shared" si="344"/>
        <v/>
      </c>
      <c r="BD504" s="49" t="str">
        <f t="shared" si="345"/>
        <v/>
      </c>
      <c r="BE504" s="22" t="str">
        <f t="shared" si="372"/>
        <v/>
      </c>
      <c r="BF504" s="21" t="str">
        <f t="shared" si="373"/>
        <v>Apprenant 492 ou 492'</v>
      </c>
      <c r="BG504" s="49" t="str">
        <f t="shared" si="346"/>
        <v/>
      </c>
      <c r="BH504" s="49" t="str">
        <f t="shared" si="347"/>
        <v/>
      </c>
      <c r="BI504" s="49" t="str">
        <f t="shared" si="348"/>
        <v/>
      </c>
      <c r="BJ504" s="22" t="str">
        <f t="shared" si="374"/>
        <v/>
      </c>
      <c r="BL504" s="21"/>
      <c r="BM504" s="21" t="str">
        <f>IF(OR(COUNT(B504:D1503)=0,AND('Choix pédagogiques'!$C$3&lt;&gt;1,'Choix pédagogiques'!$C$3&lt;&gt;2)),"",IF(AND(OR('Choix pédagogiques'!$C$3=1,'Choix pédagogiques'!$C$3=2),$B504&lt;&gt;"",$C504&lt;&gt;"",$D504&lt;&gt;""),1,0))</f>
        <v/>
      </c>
      <c r="BN504" s="21" t="str">
        <f>IF(OR(COUNT(G504:I1503)=0,AND('Choix pédagogiques'!$C$3&lt;&gt;1,'Choix pédagogiques'!$C$3&lt;&gt;2)),"",IF(AND(OR('Choix pédagogiques'!$C$3=1,'Choix pédagogiques'!$C$3=2),AND($G504&lt;&gt;"",$H504&lt;&gt;"",$I504&lt;&gt;"")),1,0))</f>
        <v/>
      </c>
      <c r="BO504" s="21" t="str">
        <f>IF(OR(COUNT(B504:D1503)=0,COUNT(G504:I1503)=0,'Choix pédagogiques'!C$3&lt;&gt;3),"",IF(AND('Choix pédagogiques'!$C$3=3,$B504&lt;&gt;"",$C504&lt;&gt;"",$D504&lt;&gt;"",$G504&lt;&gt;"",$H504&lt;&gt;"",$I504&lt;&gt;""),1,0))</f>
        <v/>
      </c>
      <c r="BR504" s="21">
        <v>790</v>
      </c>
      <c r="BS504" s="21">
        <v>1059</v>
      </c>
      <c r="BT504"/>
    </row>
    <row r="505" spans="1:72" s="23" customFormat="1" ht="18" customHeight="1" x14ac:dyDescent="0.3">
      <c r="A505" s="35" t="s">
        <v>495</v>
      </c>
      <c r="B505" s="37"/>
      <c r="C505" s="37"/>
      <c r="D505" s="37"/>
      <c r="E505" s="37"/>
      <c r="F505" s="35" t="s">
        <v>1503</v>
      </c>
      <c r="G505" s="37"/>
      <c r="H505" s="37"/>
      <c r="I505" s="37"/>
      <c r="J505" s="37"/>
      <c r="K505" s="21" t="str">
        <f t="shared" si="349"/>
        <v>Apprenant 493</v>
      </c>
      <c r="L505" s="22" t="str">
        <f t="shared" si="350"/>
        <v/>
      </c>
      <c r="M505" s="22" t="str">
        <f t="shared" si="351"/>
        <v/>
      </c>
      <c r="N505" s="22" t="str">
        <f t="shared" si="352"/>
        <v/>
      </c>
      <c r="O505" s="22" t="str">
        <f t="shared" si="353"/>
        <v/>
      </c>
      <c r="P505" s="21" t="str">
        <f t="shared" si="354"/>
        <v>Apprenant 493 ou 493'</v>
      </c>
      <c r="Q505" s="22" t="str">
        <f t="shared" si="355"/>
        <v/>
      </c>
      <c r="R505" s="22" t="str">
        <f t="shared" si="356"/>
        <v/>
      </c>
      <c r="S505" s="22" t="str">
        <f t="shared" si="357"/>
        <v/>
      </c>
      <c r="T505" s="22" t="str">
        <f t="shared" si="358"/>
        <v/>
      </c>
      <c r="V505" s="21" t="str">
        <f t="shared" si="359"/>
        <v>Apprenant 493</v>
      </c>
      <c r="W505" s="22" t="str">
        <f>IF(AND(OR('Choix pédagogiques'!$C$3=1,'Choix pédagogiques'!$C$3=2),$BM505=1),B505,IF(AND('Choix pédagogiques'!$C$3=3,$BO505=1),B505,""))</f>
        <v/>
      </c>
      <c r="X505" s="22" t="str">
        <f>IF(AND(OR('Choix pédagogiques'!$C$3=1,'Choix pédagogiques'!$C$3=2),$BM505=1),C505,IF(AND('Choix pédagogiques'!$C$3=3,$BO505=1),C505,""))</f>
        <v/>
      </c>
      <c r="Y505" s="22" t="str">
        <f>IF(AND(OR('Choix pédagogiques'!$C$3=1,'Choix pédagogiques'!$C$3=2),$BM505=1),D505,IF(AND('Choix pédagogiques'!$C$3=3,$BO505=1),D505,""))</f>
        <v/>
      </c>
      <c r="Z505" s="22" t="str">
        <f t="shared" si="360"/>
        <v/>
      </c>
      <c r="AA505" s="21" t="str">
        <f t="shared" si="361"/>
        <v>Apprenant 493 ou 493'</v>
      </c>
      <c r="AB505" s="22" t="str">
        <f>IF(AND(OR('Choix pédagogiques'!$C$3=1,'Choix pédagogiques'!$C$3=2),$BN505=1),G505,IF(AND('Choix pédagogiques'!$C$3=3,$BO505=1),G505,""))</f>
        <v/>
      </c>
      <c r="AC505" s="22" t="str">
        <f>IF(AND(OR('Choix pédagogiques'!$C$3=1,'Choix pédagogiques'!$C$3=2),$BN505=1),H505,IF(AND('Choix pédagogiques'!$C$3=3,$BO505=1),H505,""))</f>
        <v/>
      </c>
      <c r="AD505" s="22" t="str">
        <f>IF(AND(OR('Choix pédagogiques'!$C$3=1,'Choix pédagogiques'!$C$3=2),$BN505=1),I505,IF(AND('Choix pédagogiques'!$C$3=3,$BO505=1),I505,""))</f>
        <v/>
      </c>
      <c r="AE505" s="22" t="str">
        <f t="shared" si="362"/>
        <v/>
      </c>
      <c r="AF505" s="21" t="str">
        <f t="shared" si="363"/>
        <v>Apprenant 493</v>
      </c>
      <c r="AG505" s="22" t="str">
        <f t="shared" si="337"/>
        <v/>
      </c>
      <c r="AH505" s="22" t="str">
        <f t="shared" si="338"/>
        <v/>
      </c>
      <c r="AI505" s="22" t="str">
        <f t="shared" si="339"/>
        <v/>
      </c>
      <c r="AJ505" s="22" t="str">
        <f t="shared" si="364"/>
        <v/>
      </c>
      <c r="AK505" s="21" t="str">
        <f t="shared" si="365"/>
        <v>Apprenant 493 ou 493'</v>
      </c>
      <c r="AL505" s="22" t="str">
        <f t="shared" si="340"/>
        <v/>
      </c>
      <c r="AM505" s="22" t="str">
        <f t="shared" si="341"/>
        <v/>
      </c>
      <c r="AN505" s="22" t="str">
        <f t="shared" si="342"/>
        <v/>
      </c>
      <c r="AO505" s="22" t="str">
        <f t="shared" si="366"/>
        <v/>
      </c>
      <c r="AQ505" s="21" t="str">
        <f t="shared" si="367"/>
        <v>Apprenant 493</v>
      </c>
      <c r="AR505" s="49" t="str">
        <f>IF(AND('Choix pédagogiques'!$C$4&lt;&gt;"?",'Choix pédagogiques'!$C$5&lt;&gt;"?",W505&lt;&gt;""),(W505-'Choix pédagogiques'!$C$4)/('Choix pédagogiques'!$C$5-'Choix pédagogiques'!$C$4),"")</f>
        <v/>
      </c>
      <c r="AS505" s="49" t="str">
        <f>IF(AND('Choix pédagogiques'!$C$4&lt;&gt;"?",'Choix pédagogiques'!$C$5&lt;&gt;"?",X505&lt;&gt;""),(X505-'Choix pédagogiques'!$C$4)/('Choix pédagogiques'!$C$5-'Choix pédagogiques'!$C$4),"")</f>
        <v/>
      </c>
      <c r="AT505" s="49" t="str">
        <f>IF(AND('Choix pédagogiques'!$C$4&lt;&gt;"?",'Choix pédagogiques'!$C$5&lt;&gt;"?",Y505&lt;&gt;""),(Y505-'Choix pédagogiques'!$C$4)/('Choix pédagogiques'!$C$5-'Choix pédagogiques'!$C$4),"")</f>
        <v/>
      </c>
      <c r="AU505" s="22" t="str">
        <f t="shared" si="368"/>
        <v/>
      </c>
      <c r="AV505" s="21" t="str">
        <f t="shared" si="369"/>
        <v>Apprenant 493 ou 493'</v>
      </c>
      <c r="AW505" s="49" t="str">
        <f>IF(AND('Choix pédagogiques'!$C$4&lt;&gt;"?",'Choix pédagogiques'!$C$5&lt;&gt;"?",AB505&lt;&gt;""),(AB505-'Choix pédagogiques'!$C$4)/('Choix pédagogiques'!$C$5-'Choix pédagogiques'!$C$4),"")</f>
        <v/>
      </c>
      <c r="AX505" s="49" t="str">
        <f>IF(AND('Choix pédagogiques'!$C$4&lt;&gt;"?",'Choix pédagogiques'!$C$5&lt;&gt;"?",AC505&lt;&gt;""),(AC505-'Choix pédagogiques'!$C$4)/('Choix pédagogiques'!$C$5-'Choix pédagogiques'!$C$4),"")</f>
        <v/>
      </c>
      <c r="AY505" s="49" t="str">
        <f>IF(AND('Choix pédagogiques'!$C$4&lt;&gt;"?",'Choix pédagogiques'!$C$5&lt;&gt;"?",AD505&lt;&gt;""),(AD505-'Choix pédagogiques'!$C$4)/('Choix pédagogiques'!$C$5-'Choix pédagogiques'!$C$4),"")</f>
        <v/>
      </c>
      <c r="AZ505" s="22" t="str">
        <f t="shared" si="370"/>
        <v/>
      </c>
      <c r="BA505" s="21" t="str">
        <f t="shared" si="371"/>
        <v>Apprenant 493</v>
      </c>
      <c r="BB505" s="49" t="str">
        <f t="shared" si="343"/>
        <v/>
      </c>
      <c r="BC505" s="49" t="str">
        <f t="shared" si="344"/>
        <v/>
      </c>
      <c r="BD505" s="49" t="str">
        <f t="shared" si="345"/>
        <v/>
      </c>
      <c r="BE505" s="22" t="str">
        <f t="shared" si="372"/>
        <v/>
      </c>
      <c r="BF505" s="21" t="str">
        <f t="shared" si="373"/>
        <v>Apprenant 493 ou 493'</v>
      </c>
      <c r="BG505" s="49" t="str">
        <f t="shared" si="346"/>
        <v/>
      </c>
      <c r="BH505" s="49" t="str">
        <f t="shared" si="347"/>
        <v/>
      </c>
      <c r="BI505" s="49" t="str">
        <f t="shared" si="348"/>
        <v/>
      </c>
      <c r="BJ505" s="22" t="str">
        <f t="shared" si="374"/>
        <v/>
      </c>
      <c r="BL505" s="21"/>
      <c r="BM505" s="21" t="str">
        <f>IF(OR(COUNT(B505:D1504)=0,AND('Choix pédagogiques'!$C$3&lt;&gt;1,'Choix pédagogiques'!$C$3&lt;&gt;2)),"",IF(AND(OR('Choix pédagogiques'!$C$3=1,'Choix pédagogiques'!$C$3=2),$B505&lt;&gt;"",$C505&lt;&gt;"",$D505&lt;&gt;""),1,0))</f>
        <v/>
      </c>
      <c r="BN505" s="21" t="str">
        <f>IF(OR(COUNT(G505:I1504)=0,AND('Choix pédagogiques'!$C$3&lt;&gt;1,'Choix pédagogiques'!$C$3&lt;&gt;2)),"",IF(AND(OR('Choix pédagogiques'!$C$3=1,'Choix pédagogiques'!$C$3=2),AND($G505&lt;&gt;"",$H505&lt;&gt;"",$I505&lt;&gt;"")),1,0))</f>
        <v/>
      </c>
      <c r="BO505" s="21" t="str">
        <f>IF(OR(COUNT(B505:D1504)=0,COUNT(G505:I1504)=0,'Choix pédagogiques'!C$3&lt;&gt;3),"",IF(AND('Choix pédagogiques'!$C$3=3,$B505&lt;&gt;"",$C505&lt;&gt;"",$D505&lt;&gt;"",$G505&lt;&gt;"",$H505&lt;&gt;"",$I505&lt;&gt;""),1,0))</f>
        <v/>
      </c>
      <c r="BR505" s="21">
        <v>37</v>
      </c>
      <c r="BS505" s="21">
        <v>1479</v>
      </c>
      <c r="BT505"/>
    </row>
    <row r="506" spans="1:72" s="23" customFormat="1" ht="18" customHeight="1" x14ac:dyDescent="0.3">
      <c r="A506" s="35" t="s">
        <v>496</v>
      </c>
      <c r="B506" s="37"/>
      <c r="C506" s="37"/>
      <c r="D506" s="37"/>
      <c r="E506" s="37"/>
      <c r="F506" s="35" t="s">
        <v>1504</v>
      </c>
      <c r="G506" s="37"/>
      <c r="H506" s="37"/>
      <c r="I506" s="37"/>
      <c r="J506" s="37"/>
      <c r="K506" s="21" t="str">
        <f t="shared" si="349"/>
        <v>Apprenant 494</v>
      </c>
      <c r="L506" s="22" t="str">
        <f t="shared" si="350"/>
        <v/>
      </c>
      <c r="M506" s="22" t="str">
        <f t="shared" si="351"/>
        <v/>
      </c>
      <c r="N506" s="22" t="str">
        <f t="shared" si="352"/>
        <v/>
      </c>
      <c r="O506" s="22" t="str">
        <f t="shared" si="353"/>
        <v/>
      </c>
      <c r="P506" s="21" t="str">
        <f t="shared" si="354"/>
        <v>Apprenant 494 ou 494'</v>
      </c>
      <c r="Q506" s="22" t="str">
        <f t="shared" si="355"/>
        <v/>
      </c>
      <c r="R506" s="22" t="str">
        <f t="shared" si="356"/>
        <v/>
      </c>
      <c r="S506" s="22" t="str">
        <f t="shared" si="357"/>
        <v/>
      </c>
      <c r="T506" s="22" t="str">
        <f t="shared" si="358"/>
        <v/>
      </c>
      <c r="V506" s="21" t="str">
        <f t="shared" si="359"/>
        <v>Apprenant 494</v>
      </c>
      <c r="W506" s="22" t="str">
        <f>IF(AND(OR('Choix pédagogiques'!$C$3=1,'Choix pédagogiques'!$C$3=2),$BM506=1),B506,IF(AND('Choix pédagogiques'!$C$3=3,$BO506=1),B506,""))</f>
        <v/>
      </c>
      <c r="X506" s="22" t="str">
        <f>IF(AND(OR('Choix pédagogiques'!$C$3=1,'Choix pédagogiques'!$C$3=2),$BM506=1),C506,IF(AND('Choix pédagogiques'!$C$3=3,$BO506=1),C506,""))</f>
        <v/>
      </c>
      <c r="Y506" s="22" t="str">
        <f>IF(AND(OR('Choix pédagogiques'!$C$3=1,'Choix pédagogiques'!$C$3=2),$BM506=1),D506,IF(AND('Choix pédagogiques'!$C$3=3,$BO506=1),D506,""))</f>
        <v/>
      </c>
      <c r="Z506" s="22" t="str">
        <f t="shared" si="360"/>
        <v/>
      </c>
      <c r="AA506" s="21" t="str">
        <f t="shared" si="361"/>
        <v>Apprenant 494 ou 494'</v>
      </c>
      <c r="AB506" s="22" t="str">
        <f>IF(AND(OR('Choix pédagogiques'!$C$3=1,'Choix pédagogiques'!$C$3=2),$BN506=1),G506,IF(AND('Choix pédagogiques'!$C$3=3,$BO506=1),G506,""))</f>
        <v/>
      </c>
      <c r="AC506" s="22" t="str">
        <f>IF(AND(OR('Choix pédagogiques'!$C$3=1,'Choix pédagogiques'!$C$3=2),$BN506=1),H506,IF(AND('Choix pédagogiques'!$C$3=3,$BO506=1),H506,""))</f>
        <v/>
      </c>
      <c r="AD506" s="22" t="str">
        <f>IF(AND(OR('Choix pédagogiques'!$C$3=1,'Choix pédagogiques'!$C$3=2),$BN506=1),I506,IF(AND('Choix pédagogiques'!$C$3=3,$BO506=1),I506,""))</f>
        <v/>
      </c>
      <c r="AE506" s="22" t="str">
        <f t="shared" si="362"/>
        <v/>
      </c>
      <c r="AF506" s="21" t="str">
        <f t="shared" si="363"/>
        <v>Apprenant 494</v>
      </c>
      <c r="AG506" s="22" t="str">
        <f t="shared" si="337"/>
        <v/>
      </c>
      <c r="AH506" s="22" t="str">
        <f t="shared" si="338"/>
        <v/>
      </c>
      <c r="AI506" s="22" t="str">
        <f t="shared" si="339"/>
        <v/>
      </c>
      <c r="AJ506" s="22" t="str">
        <f t="shared" si="364"/>
        <v/>
      </c>
      <c r="AK506" s="21" t="str">
        <f t="shared" si="365"/>
        <v>Apprenant 494 ou 494'</v>
      </c>
      <c r="AL506" s="22" t="str">
        <f t="shared" si="340"/>
        <v/>
      </c>
      <c r="AM506" s="22" t="str">
        <f t="shared" si="341"/>
        <v/>
      </c>
      <c r="AN506" s="22" t="str">
        <f t="shared" si="342"/>
        <v/>
      </c>
      <c r="AO506" s="22" t="str">
        <f t="shared" si="366"/>
        <v/>
      </c>
      <c r="AQ506" s="21" t="str">
        <f t="shared" si="367"/>
        <v>Apprenant 494</v>
      </c>
      <c r="AR506" s="49" t="str">
        <f>IF(AND('Choix pédagogiques'!$C$4&lt;&gt;"?",'Choix pédagogiques'!$C$5&lt;&gt;"?",W506&lt;&gt;""),(W506-'Choix pédagogiques'!$C$4)/('Choix pédagogiques'!$C$5-'Choix pédagogiques'!$C$4),"")</f>
        <v/>
      </c>
      <c r="AS506" s="49" t="str">
        <f>IF(AND('Choix pédagogiques'!$C$4&lt;&gt;"?",'Choix pédagogiques'!$C$5&lt;&gt;"?",X506&lt;&gt;""),(X506-'Choix pédagogiques'!$C$4)/('Choix pédagogiques'!$C$5-'Choix pédagogiques'!$C$4),"")</f>
        <v/>
      </c>
      <c r="AT506" s="49" t="str">
        <f>IF(AND('Choix pédagogiques'!$C$4&lt;&gt;"?",'Choix pédagogiques'!$C$5&lt;&gt;"?",Y506&lt;&gt;""),(Y506-'Choix pédagogiques'!$C$4)/('Choix pédagogiques'!$C$5-'Choix pédagogiques'!$C$4),"")</f>
        <v/>
      </c>
      <c r="AU506" s="22" t="str">
        <f t="shared" si="368"/>
        <v/>
      </c>
      <c r="AV506" s="21" t="str">
        <f t="shared" si="369"/>
        <v>Apprenant 494 ou 494'</v>
      </c>
      <c r="AW506" s="49" t="str">
        <f>IF(AND('Choix pédagogiques'!$C$4&lt;&gt;"?",'Choix pédagogiques'!$C$5&lt;&gt;"?",AB506&lt;&gt;""),(AB506-'Choix pédagogiques'!$C$4)/('Choix pédagogiques'!$C$5-'Choix pédagogiques'!$C$4),"")</f>
        <v/>
      </c>
      <c r="AX506" s="49" t="str">
        <f>IF(AND('Choix pédagogiques'!$C$4&lt;&gt;"?",'Choix pédagogiques'!$C$5&lt;&gt;"?",AC506&lt;&gt;""),(AC506-'Choix pédagogiques'!$C$4)/('Choix pédagogiques'!$C$5-'Choix pédagogiques'!$C$4),"")</f>
        <v/>
      </c>
      <c r="AY506" s="49" t="str">
        <f>IF(AND('Choix pédagogiques'!$C$4&lt;&gt;"?",'Choix pédagogiques'!$C$5&lt;&gt;"?",AD506&lt;&gt;""),(AD506-'Choix pédagogiques'!$C$4)/('Choix pédagogiques'!$C$5-'Choix pédagogiques'!$C$4),"")</f>
        <v/>
      </c>
      <c r="AZ506" s="22" t="str">
        <f t="shared" si="370"/>
        <v/>
      </c>
      <c r="BA506" s="21" t="str">
        <f t="shared" si="371"/>
        <v>Apprenant 494</v>
      </c>
      <c r="BB506" s="49" t="str">
        <f t="shared" si="343"/>
        <v/>
      </c>
      <c r="BC506" s="49" t="str">
        <f t="shared" si="344"/>
        <v/>
      </c>
      <c r="BD506" s="49" t="str">
        <f t="shared" si="345"/>
        <v/>
      </c>
      <c r="BE506" s="22" t="str">
        <f t="shared" si="372"/>
        <v/>
      </c>
      <c r="BF506" s="21" t="str">
        <f t="shared" si="373"/>
        <v>Apprenant 494 ou 494'</v>
      </c>
      <c r="BG506" s="49" t="str">
        <f t="shared" si="346"/>
        <v/>
      </c>
      <c r="BH506" s="49" t="str">
        <f t="shared" si="347"/>
        <v/>
      </c>
      <c r="BI506" s="49" t="str">
        <f t="shared" si="348"/>
        <v/>
      </c>
      <c r="BJ506" s="22" t="str">
        <f t="shared" si="374"/>
        <v/>
      </c>
      <c r="BL506" s="21"/>
      <c r="BM506" s="21" t="str">
        <f>IF(OR(COUNT(B506:D1505)=0,AND('Choix pédagogiques'!$C$3&lt;&gt;1,'Choix pédagogiques'!$C$3&lt;&gt;2)),"",IF(AND(OR('Choix pédagogiques'!$C$3=1,'Choix pédagogiques'!$C$3=2),$B506&lt;&gt;"",$C506&lt;&gt;"",$D506&lt;&gt;""),1,0))</f>
        <v/>
      </c>
      <c r="BN506" s="21" t="str">
        <f>IF(OR(COUNT(G506:I1505)=0,AND('Choix pédagogiques'!$C$3&lt;&gt;1,'Choix pédagogiques'!$C$3&lt;&gt;2)),"",IF(AND(OR('Choix pédagogiques'!$C$3=1,'Choix pédagogiques'!$C$3=2),AND($G506&lt;&gt;"",$H506&lt;&gt;"",$I506&lt;&gt;"")),1,0))</f>
        <v/>
      </c>
      <c r="BO506" s="21" t="str">
        <f>IF(OR(COUNT(B506:D1505)=0,COUNT(G506:I1505)=0,'Choix pédagogiques'!C$3&lt;&gt;3),"",IF(AND('Choix pédagogiques'!$C$3=3,$B506&lt;&gt;"",$C506&lt;&gt;"",$D506&lt;&gt;"",$G506&lt;&gt;"",$H506&lt;&gt;"",$I506&lt;&gt;""),1,0))</f>
        <v/>
      </c>
      <c r="BR506" s="21">
        <v>449</v>
      </c>
      <c r="BS506" s="21">
        <v>1591</v>
      </c>
      <c r="BT506"/>
    </row>
    <row r="507" spans="1:72" s="23" customFormat="1" ht="18" customHeight="1" x14ac:dyDescent="0.3">
      <c r="A507" s="35" t="s">
        <v>497</v>
      </c>
      <c r="B507" s="37"/>
      <c r="C507" s="37"/>
      <c r="D507" s="37"/>
      <c r="E507" s="37"/>
      <c r="F507" s="35" t="s">
        <v>1505</v>
      </c>
      <c r="G507" s="37"/>
      <c r="H507" s="37"/>
      <c r="I507" s="37"/>
      <c r="J507" s="37"/>
      <c r="K507" s="21" t="str">
        <f t="shared" si="349"/>
        <v>Apprenant 495</v>
      </c>
      <c r="L507" s="22" t="str">
        <f t="shared" si="350"/>
        <v/>
      </c>
      <c r="M507" s="22" t="str">
        <f t="shared" si="351"/>
        <v/>
      </c>
      <c r="N507" s="22" t="str">
        <f t="shared" si="352"/>
        <v/>
      </c>
      <c r="O507" s="22" t="str">
        <f t="shared" si="353"/>
        <v/>
      </c>
      <c r="P507" s="21" t="str">
        <f t="shared" si="354"/>
        <v>Apprenant 495 ou 495'</v>
      </c>
      <c r="Q507" s="22" t="str">
        <f t="shared" si="355"/>
        <v/>
      </c>
      <c r="R507" s="22" t="str">
        <f t="shared" si="356"/>
        <v/>
      </c>
      <c r="S507" s="22" t="str">
        <f t="shared" si="357"/>
        <v/>
      </c>
      <c r="T507" s="22" t="str">
        <f t="shared" si="358"/>
        <v/>
      </c>
      <c r="V507" s="21" t="str">
        <f t="shared" si="359"/>
        <v>Apprenant 495</v>
      </c>
      <c r="W507" s="22" t="str">
        <f>IF(AND(OR('Choix pédagogiques'!$C$3=1,'Choix pédagogiques'!$C$3=2),$BM507=1),B507,IF(AND('Choix pédagogiques'!$C$3=3,$BO507=1),B507,""))</f>
        <v/>
      </c>
      <c r="X507" s="22" t="str">
        <f>IF(AND(OR('Choix pédagogiques'!$C$3=1,'Choix pédagogiques'!$C$3=2),$BM507=1),C507,IF(AND('Choix pédagogiques'!$C$3=3,$BO507=1),C507,""))</f>
        <v/>
      </c>
      <c r="Y507" s="22" t="str">
        <f>IF(AND(OR('Choix pédagogiques'!$C$3=1,'Choix pédagogiques'!$C$3=2),$BM507=1),D507,IF(AND('Choix pédagogiques'!$C$3=3,$BO507=1),D507,""))</f>
        <v/>
      </c>
      <c r="Z507" s="22" t="str">
        <f t="shared" si="360"/>
        <v/>
      </c>
      <c r="AA507" s="21" t="str">
        <f t="shared" si="361"/>
        <v>Apprenant 495 ou 495'</v>
      </c>
      <c r="AB507" s="22" t="str">
        <f>IF(AND(OR('Choix pédagogiques'!$C$3=1,'Choix pédagogiques'!$C$3=2),$BN507=1),G507,IF(AND('Choix pédagogiques'!$C$3=3,$BO507=1),G507,""))</f>
        <v/>
      </c>
      <c r="AC507" s="22" t="str">
        <f>IF(AND(OR('Choix pédagogiques'!$C$3=1,'Choix pédagogiques'!$C$3=2),$BN507=1),H507,IF(AND('Choix pédagogiques'!$C$3=3,$BO507=1),H507,""))</f>
        <v/>
      </c>
      <c r="AD507" s="22" t="str">
        <f>IF(AND(OR('Choix pédagogiques'!$C$3=1,'Choix pédagogiques'!$C$3=2),$BN507=1),I507,IF(AND('Choix pédagogiques'!$C$3=3,$BO507=1),I507,""))</f>
        <v/>
      </c>
      <c r="AE507" s="22" t="str">
        <f t="shared" si="362"/>
        <v/>
      </c>
      <c r="AF507" s="21" t="str">
        <f t="shared" si="363"/>
        <v>Apprenant 495</v>
      </c>
      <c r="AG507" s="22" t="str">
        <f t="shared" si="337"/>
        <v/>
      </c>
      <c r="AH507" s="22" t="str">
        <f t="shared" si="338"/>
        <v/>
      </c>
      <c r="AI507" s="22" t="str">
        <f t="shared" si="339"/>
        <v/>
      </c>
      <c r="AJ507" s="22" t="str">
        <f t="shared" si="364"/>
        <v/>
      </c>
      <c r="AK507" s="21" t="str">
        <f t="shared" si="365"/>
        <v>Apprenant 495 ou 495'</v>
      </c>
      <c r="AL507" s="22" t="str">
        <f t="shared" si="340"/>
        <v/>
      </c>
      <c r="AM507" s="22" t="str">
        <f t="shared" si="341"/>
        <v/>
      </c>
      <c r="AN507" s="22" t="str">
        <f t="shared" si="342"/>
        <v/>
      </c>
      <c r="AO507" s="22" t="str">
        <f t="shared" si="366"/>
        <v/>
      </c>
      <c r="AQ507" s="21" t="str">
        <f t="shared" si="367"/>
        <v>Apprenant 495</v>
      </c>
      <c r="AR507" s="49" t="str">
        <f>IF(AND('Choix pédagogiques'!$C$4&lt;&gt;"?",'Choix pédagogiques'!$C$5&lt;&gt;"?",W507&lt;&gt;""),(W507-'Choix pédagogiques'!$C$4)/('Choix pédagogiques'!$C$5-'Choix pédagogiques'!$C$4),"")</f>
        <v/>
      </c>
      <c r="AS507" s="49" t="str">
        <f>IF(AND('Choix pédagogiques'!$C$4&lt;&gt;"?",'Choix pédagogiques'!$C$5&lt;&gt;"?",X507&lt;&gt;""),(X507-'Choix pédagogiques'!$C$4)/('Choix pédagogiques'!$C$5-'Choix pédagogiques'!$C$4),"")</f>
        <v/>
      </c>
      <c r="AT507" s="49" t="str">
        <f>IF(AND('Choix pédagogiques'!$C$4&lt;&gt;"?",'Choix pédagogiques'!$C$5&lt;&gt;"?",Y507&lt;&gt;""),(Y507-'Choix pédagogiques'!$C$4)/('Choix pédagogiques'!$C$5-'Choix pédagogiques'!$C$4),"")</f>
        <v/>
      </c>
      <c r="AU507" s="22" t="str">
        <f t="shared" si="368"/>
        <v/>
      </c>
      <c r="AV507" s="21" t="str">
        <f t="shared" si="369"/>
        <v>Apprenant 495 ou 495'</v>
      </c>
      <c r="AW507" s="49" t="str">
        <f>IF(AND('Choix pédagogiques'!$C$4&lt;&gt;"?",'Choix pédagogiques'!$C$5&lt;&gt;"?",AB507&lt;&gt;""),(AB507-'Choix pédagogiques'!$C$4)/('Choix pédagogiques'!$C$5-'Choix pédagogiques'!$C$4),"")</f>
        <v/>
      </c>
      <c r="AX507" s="49" t="str">
        <f>IF(AND('Choix pédagogiques'!$C$4&lt;&gt;"?",'Choix pédagogiques'!$C$5&lt;&gt;"?",AC507&lt;&gt;""),(AC507-'Choix pédagogiques'!$C$4)/('Choix pédagogiques'!$C$5-'Choix pédagogiques'!$C$4),"")</f>
        <v/>
      </c>
      <c r="AY507" s="49" t="str">
        <f>IF(AND('Choix pédagogiques'!$C$4&lt;&gt;"?",'Choix pédagogiques'!$C$5&lt;&gt;"?",AD507&lt;&gt;""),(AD507-'Choix pédagogiques'!$C$4)/('Choix pédagogiques'!$C$5-'Choix pédagogiques'!$C$4),"")</f>
        <v/>
      </c>
      <c r="AZ507" s="22" t="str">
        <f t="shared" si="370"/>
        <v/>
      </c>
      <c r="BA507" s="21" t="str">
        <f t="shared" si="371"/>
        <v>Apprenant 495</v>
      </c>
      <c r="BB507" s="49" t="str">
        <f t="shared" si="343"/>
        <v/>
      </c>
      <c r="BC507" s="49" t="str">
        <f t="shared" si="344"/>
        <v/>
      </c>
      <c r="BD507" s="49" t="str">
        <f t="shared" si="345"/>
        <v/>
      </c>
      <c r="BE507" s="22" t="str">
        <f t="shared" si="372"/>
        <v/>
      </c>
      <c r="BF507" s="21" t="str">
        <f t="shared" si="373"/>
        <v>Apprenant 495 ou 495'</v>
      </c>
      <c r="BG507" s="49" t="str">
        <f t="shared" si="346"/>
        <v/>
      </c>
      <c r="BH507" s="49" t="str">
        <f t="shared" si="347"/>
        <v/>
      </c>
      <c r="BI507" s="49" t="str">
        <f t="shared" si="348"/>
        <v/>
      </c>
      <c r="BJ507" s="22" t="str">
        <f t="shared" si="374"/>
        <v/>
      </c>
      <c r="BL507" s="21"/>
      <c r="BM507" s="21" t="str">
        <f>IF(OR(COUNT(B507:D1506)=0,AND('Choix pédagogiques'!$C$3&lt;&gt;1,'Choix pédagogiques'!$C$3&lt;&gt;2)),"",IF(AND(OR('Choix pédagogiques'!$C$3=1,'Choix pédagogiques'!$C$3=2),$B507&lt;&gt;"",$C507&lt;&gt;"",$D507&lt;&gt;""),1,0))</f>
        <v/>
      </c>
      <c r="BN507" s="21" t="str">
        <f>IF(OR(COUNT(G507:I1506)=0,AND('Choix pédagogiques'!$C$3&lt;&gt;1,'Choix pédagogiques'!$C$3&lt;&gt;2)),"",IF(AND(OR('Choix pédagogiques'!$C$3=1,'Choix pédagogiques'!$C$3=2),AND($G507&lt;&gt;"",$H507&lt;&gt;"",$I507&lt;&gt;"")),1,0))</f>
        <v/>
      </c>
      <c r="BO507" s="21" t="str">
        <f>IF(OR(COUNT(B507:D1506)=0,COUNT(G507:I1506)=0,'Choix pédagogiques'!C$3&lt;&gt;3),"",IF(AND('Choix pédagogiques'!$C$3=3,$B507&lt;&gt;"",$C507&lt;&gt;"",$D507&lt;&gt;"",$G507&lt;&gt;"",$H507&lt;&gt;"",$I507&lt;&gt;""),1,0))</f>
        <v/>
      </c>
      <c r="BR507" s="21">
        <v>607</v>
      </c>
      <c r="BS507" s="21">
        <v>1507</v>
      </c>
      <c r="BT507"/>
    </row>
    <row r="508" spans="1:72" s="23" customFormat="1" ht="18" customHeight="1" x14ac:dyDescent="0.3">
      <c r="A508" s="35" t="s">
        <v>498</v>
      </c>
      <c r="B508" s="37"/>
      <c r="C508" s="37"/>
      <c r="D508" s="37"/>
      <c r="E508" s="37"/>
      <c r="F508" s="35" t="s">
        <v>1506</v>
      </c>
      <c r="G508" s="37"/>
      <c r="H508" s="37"/>
      <c r="I508" s="37"/>
      <c r="J508" s="37"/>
      <c r="K508" s="21" t="str">
        <f t="shared" si="349"/>
        <v>Apprenant 496</v>
      </c>
      <c r="L508" s="22" t="str">
        <f t="shared" si="350"/>
        <v/>
      </c>
      <c r="M508" s="22" t="str">
        <f t="shared" si="351"/>
        <v/>
      </c>
      <c r="N508" s="22" t="str">
        <f t="shared" si="352"/>
        <v/>
      </c>
      <c r="O508" s="22" t="str">
        <f t="shared" si="353"/>
        <v/>
      </c>
      <c r="P508" s="21" t="str">
        <f t="shared" si="354"/>
        <v>Apprenant 496 ou 496'</v>
      </c>
      <c r="Q508" s="22" t="str">
        <f t="shared" si="355"/>
        <v/>
      </c>
      <c r="R508" s="22" t="str">
        <f t="shared" si="356"/>
        <v/>
      </c>
      <c r="S508" s="22" t="str">
        <f t="shared" si="357"/>
        <v/>
      </c>
      <c r="T508" s="22" t="str">
        <f t="shared" si="358"/>
        <v/>
      </c>
      <c r="V508" s="21" t="str">
        <f t="shared" si="359"/>
        <v>Apprenant 496</v>
      </c>
      <c r="W508" s="22" t="str">
        <f>IF(AND(OR('Choix pédagogiques'!$C$3=1,'Choix pédagogiques'!$C$3=2),$BM508=1),B508,IF(AND('Choix pédagogiques'!$C$3=3,$BO508=1),B508,""))</f>
        <v/>
      </c>
      <c r="X508" s="22" t="str">
        <f>IF(AND(OR('Choix pédagogiques'!$C$3=1,'Choix pédagogiques'!$C$3=2),$BM508=1),C508,IF(AND('Choix pédagogiques'!$C$3=3,$BO508=1),C508,""))</f>
        <v/>
      </c>
      <c r="Y508" s="22" t="str">
        <f>IF(AND(OR('Choix pédagogiques'!$C$3=1,'Choix pédagogiques'!$C$3=2),$BM508=1),D508,IF(AND('Choix pédagogiques'!$C$3=3,$BO508=1),D508,""))</f>
        <v/>
      </c>
      <c r="Z508" s="22" t="str">
        <f t="shared" si="360"/>
        <v/>
      </c>
      <c r="AA508" s="21" t="str">
        <f t="shared" si="361"/>
        <v>Apprenant 496 ou 496'</v>
      </c>
      <c r="AB508" s="22" t="str">
        <f>IF(AND(OR('Choix pédagogiques'!$C$3=1,'Choix pédagogiques'!$C$3=2),$BN508=1),G508,IF(AND('Choix pédagogiques'!$C$3=3,$BO508=1),G508,""))</f>
        <v/>
      </c>
      <c r="AC508" s="22" t="str">
        <f>IF(AND(OR('Choix pédagogiques'!$C$3=1,'Choix pédagogiques'!$C$3=2),$BN508=1),H508,IF(AND('Choix pédagogiques'!$C$3=3,$BO508=1),H508,""))</f>
        <v/>
      </c>
      <c r="AD508" s="22" t="str">
        <f>IF(AND(OR('Choix pédagogiques'!$C$3=1,'Choix pédagogiques'!$C$3=2),$BN508=1),I508,IF(AND('Choix pédagogiques'!$C$3=3,$BO508=1),I508,""))</f>
        <v/>
      </c>
      <c r="AE508" s="22" t="str">
        <f t="shared" si="362"/>
        <v/>
      </c>
      <c r="AF508" s="21" t="str">
        <f t="shared" si="363"/>
        <v>Apprenant 496</v>
      </c>
      <c r="AG508" s="22" t="str">
        <f t="shared" si="337"/>
        <v/>
      </c>
      <c r="AH508" s="22" t="str">
        <f t="shared" si="338"/>
        <v/>
      </c>
      <c r="AI508" s="22" t="str">
        <f t="shared" si="339"/>
        <v/>
      </c>
      <c r="AJ508" s="22" t="str">
        <f t="shared" si="364"/>
        <v/>
      </c>
      <c r="AK508" s="21" t="str">
        <f t="shared" si="365"/>
        <v>Apprenant 496 ou 496'</v>
      </c>
      <c r="AL508" s="22" t="str">
        <f t="shared" si="340"/>
        <v/>
      </c>
      <c r="AM508" s="22" t="str">
        <f t="shared" si="341"/>
        <v/>
      </c>
      <c r="AN508" s="22" t="str">
        <f t="shared" si="342"/>
        <v/>
      </c>
      <c r="AO508" s="22" t="str">
        <f t="shared" si="366"/>
        <v/>
      </c>
      <c r="AQ508" s="21" t="str">
        <f t="shared" si="367"/>
        <v>Apprenant 496</v>
      </c>
      <c r="AR508" s="49" t="str">
        <f>IF(AND('Choix pédagogiques'!$C$4&lt;&gt;"?",'Choix pédagogiques'!$C$5&lt;&gt;"?",W508&lt;&gt;""),(W508-'Choix pédagogiques'!$C$4)/('Choix pédagogiques'!$C$5-'Choix pédagogiques'!$C$4),"")</f>
        <v/>
      </c>
      <c r="AS508" s="49" t="str">
        <f>IF(AND('Choix pédagogiques'!$C$4&lt;&gt;"?",'Choix pédagogiques'!$C$5&lt;&gt;"?",X508&lt;&gt;""),(X508-'Choix pédagogiques'!$C$4)/('Choix pédagogiques'!$C$5-'Choix pédagogiques'!$C$4),"")</f>
        <v/>
      </c>
      <c r="AT508" s="49" t="str">
        <f>IF(AND('Choix pédagogiques'!$C$4&lt;&gt;"?",'Choix pédagogiques'!$C$5&lt;&gt;"?",Y508&lt;&gt;""),(Y508-'Choix pédagogiques'!$C$4)/('Choix pédagogiques'!$C$5-'Choix pédagogiques'!$C$4),"")</f>
        <v/>
      </c>
      <c r="AU508" s="22" t="str">
        <f t="shared" si="368"/>
        <v/>
      </c>
      <c r="AV508" s="21" t="str">
        <f t="shared" si="369"/>
        <v>Apprenant 496 ou 496'</v>
      </c>
      <c r="AW508" s="49" t="str">
        <f>IF(AND('Choix pédagogiques'!$C$4&lt;&gt;"?",'Choix pédagogiques'!$C$5&lt;&gt;"?",AB508&lt;&gt;""),(AB508-'Choix pédagogiques'!$C$4)/('Choix pédagogiques'!$C$5-'Choix pédagogiques'!$C$4),"")</f>
        <v/>
      </c>
      <c r="AX508" s="49" t="str">
        <f>IF(AND('Choix pédagogiques'!$C$4&lt;&gt;"?",'Choix pédagogiques'!$C$5&lt;&gt;"?",AC508&lt;&gt;""),(AC508-'Choix pédagogiques'!$C$4)/('Choix pédagogiques'!$C$5-'Choix pédagogiques'!$C$4),"")</f>
        <v/>
      </c>
      <c r="AY508" s="49" t="str">
        <f>IF(AND('Choix pédagogiques'!$C$4&lt;&gt;"?",'Choix pédagogiques'!$C$5&lt;&gt;"?",AD508&lt;&gt;""),(AD508-'Choix pédagogiques'!$C$4)/('Choix pédagogiques'!$C$5-'Choix pédagogiques'!$C$4),"")</f>
        <v/>
      </c>
      <c r="AZ508" s="22" t="str">
        <f t="shared" si="370"/>
        <v/>
      </c>
      <c r="BA508" s="21" t="str">
        <f t="shared" si="371"/>
        <v>Apprenant 496</v>
      </c>
      <c r="BB508" s="49" t="str">
        <f t="shared" si="343"/>
        <v/>
      </c>
      <c r="BC508" s="49" t="str">
        <f t="shared" si="344"/>
        <v/>
      </c>
      <c r="BD508" s="49" t="str">
        <f t="shared" si="345"/>
        <v/>
      </c>
      <c r="BE508" s="22" t="str">
        <f t="shared" si="372"/>
        <v/>
      </c>
      <c r="BF508" s="21" t="str">
        <f t="shared" si="373"/>
        <v>Apprenant 496 ou 496'</v>
      </c>
      <c r="BG508" s="49" t="str">
        <f t="shared" si="346"/>
        <v/>
      </c>
      <c r="BH508" s="49" t="str">
        <f t="shared" si="347"/>
        <v/>
      </c>
      <c r="BI508" s="49" t="str">
        <f t="shared" si="348"/>
        <v/>
      </c>
      <c r="BJ508" s="22" t="str">
        <f t="shared" si="374"/>
        <v/>
      </c>
      <c r="BL508" s="21"/>
      <c r="BM508" s="21" t="str">
        <f>IF(OR(COUNT(B508:D1507)=0,AND('Choix pédagogiques'!$C$3&lt;&gt;1,'Choix pédagogiques'!$C$3&lt;&gt;2)),"",IF(AND(OR('Choix pédagogiques'!$C$3=1,'Choix pédagogiques'!$C$3=2),$B508&lt;&gt;"",$C508&lt;&gt;"",$D508&lt;&gt;""),1,0))</f>
        <v/>
      </c>
      <c r="BN508" s="21" t="str">
        <f>IF(OR(COUNT(G508:I1507)=0,AND('Choix pédagogiques'!$C$3&lt;&gt;1,'Choix pédagogiques'!$C$3&lt;&gt;2)),"",IF(AND(OR('Choix pédagogiques'!$C$3=1,'Choix pédagogiques'!$C$3=2),AND($G508&lt;&gt;"",$H508&lt;&gt;"",$I508&lt;&gt;"")),1,0))</f>
        <v/>
      </c>
      <c r="BO508" s="21" t="str">
        <f>IF(OR(COUNT(B508:D1507)=0,COUNT(G508:I1507)=0,'Choix pédagogiques'!C$3&lt;&gt;3),"",IF(AND('Choix pédagogiques'!$C$3=3,$B508&lt;&gt;"",$C508&lt;&gt;"",$D508&lt;&gt;"",$G508&lt;&gt;"",$H508&lt;&gt;"",$I508&lt;&gt;""),1,0))</f>
        <v/>
      </c>
      <c r="BR508" s="21">
        <v>493</v>
      </c>
      <c r="BS508" s="21">
        <v>1408</v>
      </c>
      <c r="BT508"/>
    </row>
    <row r="509" spans="1:72" s="23" customFormat="1" ht="18" customHeight="1" x14ac:dyDescent="0.3">
      <c r="A509" s="35" t="s">
        <v>499</v>
      </c>
      <c r="B509" s="37"/>
      <c r="C509" s="37"/>
      <c r="D509" s="37"/>
      <c r="E509" s="37"/>
      <c r="F509" s="35" t="s">
        <v>1507</v>
      </c>
      <c r="G509" s="37"/>
      <c r="H509" s="37"/>
      <c r="I509" s="37"/>
      <c r="J509" s="37"/>
      <c r="K509" s="21" t="str">
        <f t="shared" si="349"/>
        <v>Apprenant 497</v>
      </c>
      <c r="L509" s="22" t="str">
        <f t="shared" si="350"/>
        <v/>
      </c>
      <c r="M509" s="22" t="str">
        <f t="shared" si="351"/>
        <v/>
      </c>
      <c r="N509" s="22" t="str">
        <f t="shared" si="352"/>
        <v/>
      </c>
      <c r="O509" s="22" t="str">
        <f t="shared" si="353"/>
        <v/>
      </c>
      <c r="P509" s="21" t="str">
        <f t="shared" si="354"/>
        <v>Apprenant 497 ou 497'</v>
      </c>
      <c r="Q509" s="22" t="str">
        <f t="shared" si="355"/>
        <v/>
      </c>
      <c r="R509" s="22" t="str">
        <f t="shared" si="356"/>
        <v/>
      </c>
      <c r="S509" s="22" t="str">
        <f t="shared" si="357"/>
        <v/>
      </c>
      <c r="T509" s="22" t="str">
        <f t="shared" si="358"/>
        <v/>
      </c>
      <c r="V509" s="21" t="str">
        <f t="shared" si="359"/>
        <v>Apprenant 497</v>
      </c>
      <c r="W509" s="22" t="str">
        <f>IF(AND(OR('Choix pédagogiques'!$C$3=1,'Choix pédagogiques'!$C$3=2),$BM509=1),B509,IF(AND('Choix pédagogiques'!$C$3=3,$BO509=1),B509,""))</f>
        <v/>
      </c>
      <c r="X509" s="22" t="str">
        <f>IF(AND(OR('Choix pédagogiques'!$C$3=1,'Choix pédagogiques'!$C$3=2),$BM509=1),C509,IF(AND('Choix pédagogiques'!$C$3=3,$BO509=1),C509,""))</f>
        <v/>
      </c>
      <c r="Y509" s="22" t="str">
        <f>IF(AND(OR('Choix pédagogiques'!$C$3=1,'Choix pédagogiques'!$C$3=2),$BM509=1),D509,IF(AND('Choix pédagogiques'!$C$3=3,$BO509=1),D509,""))</f>
        <v/>
      </c>
      <c r="Z509" s="22" t="str">
        <f t="shared" si="360"/>
        <v/>
      </c>
      <c r="AA509" s="21" t="str">
        <f t="shared" si="361"/>
        <v>Apprenant 497 ou 497'</v>
      </c>
      <c r="AB509" s="22" t="str">
        <f>IF(AND(OR('Choix pédagogiques'!$C$3=1,'Choix pédagogiques'!$C$3=2),$BN509=1),G509,IF(AND('Choix pédagogiques'!$C$3=3,$BO509=1),G509,""))</f>
        <v/>
      </c>
      <c r="AC509" s="22" t="str">
        <f>IF(AND(OR('Choix pédagogiques'!$C$3=1,'Choix pédagogiques'!$C$3=2),$BN509=1),H509,IF(AND('Choix pédagogiques'!$C$3=3,$BO509=1),H509,""))</f>
        <v/>
      </c>
      <c r="AD509" s="22" t="str">
        <f>IF(AND(OR('Choix pédagogiques'!$C$3=1,'Choix pédagogiques'!$C$3=2),$BN509=1),I509,IF(AND('Choix pédagogiques'!$C$3=3,$BO509=1),I509,""))</f>
        <v/>
      </c>
      <c r="AE509" s="22" t="str">
        <f t="shared" si="362"/>
        <v/>
      </c>
      <c r="AF509" s="21" t="str">
        <f t="shared" si="363"/>
        <v>Apprenant 497</v>
      </c>
      <c r="AG509" s="22" t="str">
        <f t="shared" si="337"/>
        <v/>
      </c>
      <c r="AH509" s="22" t="str">
        <f t="shared" si="338"/>
        <v/>
      </c>
      <c r="AI509" s="22" t="str">
        <f t="shared" si="339"/>
        <v/>
      </c>
      <c r="AJ509" s="22" t="str">
        <f t="shared" si="364"/>
        <v/>
      </c>
      <c r="AK509" s="21" t="str">
        <f t="shared" si="365"/>
        <v>Apprenant 497 ou 497'</v>
      </c>
      <c r="AL509" s="22" t="str">
        <f t="shared" si="340"/>
        <v/>
      </c>
      <c r="AM509" s="22" t="str">
        <f t="shared" si="341"/>
        <v/>
      </c>
      <c r="AN509" s="22" t="str">
        <f t="shared" si="342"/>
        <v/>
      </c>
      <c r="AO509" s="22" t="str">
        <f t="shared" si="366"/>
        <v/>
      </c>
      <c r="AQ509" s="21" t="str">
        <f t="shared" si="367"/>
        <v>Apprenant 497</v>
      </c>
      <c r="AR509" s="49" t="str">
        <f>IF(AND('Choix pédagogiques'!$C$4&lt;&gt;"?",'Choix pédagogiques'!$C$5&lt;&gt;"?",W509&lt;&gt;""),(W509-'Choix pédagogiques'!$C$4)/('Choix pédagogiques'!$C$5-'Choix pédagogiques'!$C$4),"")</f>
        <v/>
      </c>
      <c r="AS509" s="49" t="str">
        <f>IF(AND('Choix pédagogiques'!$C$4&lt;&gt;"?",'Choix pédagogiques'!$C$5&lt;&gt;"?",X509&lt;&gt;""),(X509-'Choix pédagogiques'!$C$4)/('Choix pédagogiques'!$C$5-'Choix pédagogiques'!$C$4),"")</f>
        <v/>
      </c>
      <c r="AT509" s="49" t="str">
        <f>IF(AND('Choix pédagogiques'!$C$4&lt;&gt;"?",'Choix pédagogiques'!$C$5&lt;&gt;"?",Y509&lt;&gt;""),(Y509-'Choix pédagogiques'!$C$4)/('Choix pédagogiques'!$C$5-'Choix pédagogiques'!$C$4),"")</f>
        <v/>
      </c>
      <c r="AU509" s="22" t="str">
        <f t="shared" si="368"/>
        <v/>
      </c>
      <c r="AV509" s="21" t="str">
        <f t="shared" si="369"/>
        <v>Apprenant 497 ou 497'</v>
      </c>
      <c r="AW509" s="49" t="str">
        <f>IF(AND('Choix pédagogiques'!$C$4&lt;&gt;"?",'Choix pédagogiques'!$C$5&lt;&gt;"?",AB509&lt;&gt;""),(AB509-'Choix pédagogiques'!$C$4)/('Choix pédagogiques'!$C$5-'Choix pédagogiques'!$C$4),"")</f>
        <v/>
      </c>
      <c r="AX509" s="49" t="str">
        <f>IF(AND('Choix pédagogiques'!$C$4&lt;&gt;"?",'Choix pédagogiques'!$C$5&lt;&gt;"?",AC509&lt;&gt;""),(AC509-'Choix pédagogiques'!$C$4)/('Choix pédagogiques'!$C$5-'Choix pédagogiques'!$C$4),"")</f>
        <v/>
      </c>
      <c r="AY509" s="49" t="str">
        <f>IF(AND('Choix pédagogiques'!$C$4&lt;&gt;"?",'Choix pédagogiques'!$C$5&lt;&gt;"?",AD509&lt;&gt;""),(AD509-'Choix pédagogiques'!$C$4)/('Choix pédagogiques'!$C$5-'Choix pédagogiques'!$C$4),"")</f>
        <v/>
      </c>
      <c r="AZ509" s="22" t="str">
        <f t="shared" si="370"/>
        <v/>
      </c>
      <c r="BA509" s="21" t="str">
        <f t="shared" si="371"/>
        <v>Apprenant 497</v>
      </c>
      <c r="BB509" s="49" t="str">
        <f t="shared" si="343"/>
        <v/>
      </c>
      <c r="BC509" s="49" t="str">
        <f t="shared" si="344"/>
        <v/>
      </c>
      <c r="BD509" s="49" t="str">
        <f t="shared" si="345"/>
        <v/>
      </c>
      <c r="BE509" s="22" t="str">
        <f t="shared" si="372"/>
        <v/>
      </c>
      <c r="BF509" s="21" t="str">
        <f t="shared" si="373"/>
        <v>Apprenant 497 ou 497'</v>
      </c>
      <c r="BG509" s="49" t="str">
        <f t="shared" si="346"/>
        <v/>
      </c>
      <c r="BH509" s="49" t="str">
        <f t="shared" si="347"/>
        <v/>
      </c>
      <c r="BI509" s="49" t="str">
        <f t="shared" si="348"/>
        <v/>
      </c>
      <c r="BJ509" s="22" t="str">
        <f t="shared" si="374"/>
        <v/>
      </c>
      <c r="BL509" s="21"/>
      <c r="BM509" s="21" t="str">
        <f>IF(OR(COUNT(B509:D1508)=0,AND('Choix pédagogiques'!$C$3&lt;&gt;1,'Choix pédagogiques'!$C$3&lt;&gt;2)),"",IF(AND(OR('Choix pédagogiques'!$C$3=1,'Choix pédagogiques'!$C$3=2),$B509&lt;&gt;"",$C509&lt;&gt;"",$D509&lt;&gt;""),1,0))</f>
        <v/>
      </c>
      <c r="BN509" s="21" t="str">
        <f>IF(OR(COUNT(G509:I1508)=0,AND('Choix pédagogiques'!$C$3&lt;&gt;1,'Choix pédagogiques'!$C$3&lt;&gt;2)),"",IF(AND(OR('Choix pédagogiques'!$C$3=1,'Choix pédagogiques'!$C$3=2),AND($G509&lt;&gt;"",$H509&lt;&gt;"",$I509&lt;&gt;"")),1,0))</f>
        <v/>
      </c>
      <c r="BO509" s="21" t="str">
        <f>IF(OR(COUNT(B509:D1508)=0,COUNT(G509:I1508)=0,'Choix pédagogiques'!C$3&lt;&gt;3),"",IF(AND('Choix pédagogiques'!$C$3=3,$B509&lt;&gt;"",$C509&lt;&gt;"",$D509&lt;&gt;"",$G509&lt;&gt;"",$H509&lt;&gt;"",$I509&lt;&gt;""),1,0))</f>
        <v/>
      </c>
      <c r="BR509" s="21">
        <v>544</v>
      </c>
      <c r="BS509" s="21">
        <v>1380</v>
      </c>
      <c r="BT509"/>
    </row>
    <row r="510" spans="1:72" s="23" customFormat="1" ht="18" customHeight="1" x14ac:dyDescent="0.3">
      <c r="A510" s="35" t="s">
        <v>500</v>
      </c>
      <c r="B510" s="37"/>
      <c r="C510" s="37"/>
      <c r="D510" s="37"/>
      <c r="E510" s="37"/>
      <c r="F510" s="35" t="s">
        <v>1508</v>
      </c>
      <c r="G510" s="37"/>
      <c r="H510" s="37"/>
      <c r="I510" s="37"/>
      <c r="J510" s="37"/>
      <c r="K510" s="21" t="str">
        <f t="shared" si="349"/>
        <v>Apprenant 498</v>
      </c>
      <c r="L510" s="22" t="str">
        <f t="shared" si="350"/>
        <v/>
      </c>
      <c r="M510" s="22" t="str">
        <f t="shared" si="351"/>
        <v/>
      </c>
      <c r="N510" s="22" t="str">
        <f t="shared" si="352"/>
        <v/>
      </c>
      <c r="O510" s="22" t="str">
        <f t="shared" si="353"/>
        <v/>
      </c>
      <c r="P510" s="21" t="str">
        <f t="shared" si="354"/>
        <v>Apprenant 498 ou 498'</v>
      </c>
      <c r="Q510" s="22" t="str">
        <f t="shared" si="355"/>
        <v/>
      </c>
      <c r="R510" s="22" t="str">
        <f t="shared" si="356"/>
        <v/>
      </c>
      <c r="S510" s="22" t="str">
        <f t="shared" si="357"/>
        <v/>
      </c>
      <c r="T510" s="22" t="str">
        <f t="shared" si="358"/>
        <v/>
      </c>
      <c r="V510" s="21" t="str">
        <f t="shared" si="359"/>
        <v>Apprenant 498</v>
      </c>
      <c r="W510" s="22" t="str">
        <f>IF(AND(OR('Choix pédagogiques'!$C$3=1,'Choix pédagogiques'!$C$3=2),$BM510=1),B510,IF(AND('Choix pédagogiques'!$C$3=3,$BO510=1),B510,""))</f>
        <v/>
      </c>
      <c r="X510" s="22" t="str">
        <f>IF(AND(OR('Choix pédagogiques'!$C$3=1,'Choix pédagogiques'!$C$3=2),$BM510=1),C510,IF(AND('Choix pédagogiques'!$C$3=3,$BO510=1),C510,""))</f>
        <v/>
      </c>
      <c r="Y510" s="22" t="str">
        <f>IF(AND(OR('Choix pédagogiques'!$C$3=1,'Choix pédagogiques'!$C$3=2),$BM510=1),D510,IF(AND('Choix pédagogiques'!$C$3=3,$BO510=1),D510,""))</f>
        <v/>
      </c>
      <c r="Z510" s="22" t="str">
        <f t="shared" si="360"/>
        <v/>
      </c>
      <c r="AA510" s="21" t="str">
        <f t="shared" si="361"/>
        <v>Apprenant 498 ou 498'</v>
      </c>
      <c r="AB510" s="22" t="str">
        <f>IF(AND(OR('Choix pédagogiques'!$C$3=1,'Choix pédagogiques'!$C$3=2),$BN510=1),G510,IF(AND('Choix pédagogiques'!$C$3=3,$BO510=1),G510,""))</f>
        <v/>
      </c>
      <c r="AC510" s="22" t="str">
        <f>IF(AND(OR('Choix pédagogiques'!$C$3=1,'Choix pédagogiques'!$C$3=2),$BN510=1),H510,IF(AND('Choix pédagogiques'!$C$3=3,$BO510=1),H510,""))</f>
        <v/>
      </c>
      <c r="AD510" s="22" t="str">
        <f>IF(AND(OR('Choix pédagogiques'!$C$3=1,'Choix pédagogiques'!$C$3=2),$BN510=1),I510,IF(AND('Choix pédagogiques'!$C$3=3,$BO510=1),I510,""))</f>
        <v/>
      </c>
      <c r="AE510" s="22" t="str">
        <f t="shared" si="362"/>
        <v/>
      </c>
      <c r="AF510" s="21" t="str">
        <f t="shared" si="363"/>
        <v>Apprenant 498</v>
      </c>
      <c r="AG510" s="22" t="str">
        <f t="shared" si="337"/>
        <v/>
      </c>
      <c r="AH510" s="22" t="str">
        <f t="shared" si="338"/>
        <v/>
      </c>
      <c r="AI510" s="22" t="str">
        <f t="shared" si="339"/>
        <v/>
      </c>
      <c r="AJ510" s="22" t="str">
        <f t="shared" si="364"/>
        <v/>
      </c>
      <c r="AK510" s="21" t="str">
        <f t="shared" si="365"/>
        <v>Apprenant 498 ou 498'</v>
      </c>
      <c r="AL510" s="22" t="str">
        <f t="shared" si="340"/>
        <v/>
      </c>
      <c r="AM510" s="22" t="str">
        <f t="shared" si="341"/>
        <v/>
      </c>
      <c r="AN510" s="22" t="str">
        <f t="shared" si="342"/>
        <v/>
      </c>
      <c r="AO510" s="22" t="str">
        <f t="shared" si="366"/>
        <v/>
      </c>
      <c r="AQ510" s="21" t="str">
        <f t="shared" si="367"/>
        <v>Apprenant 498</v>
      </c>
      <c r="AR510" s="49" t="str">
        <f>IF(AND('Choix pédagogiques'!$C$4&lt;&gt;"?",'Choix pédagogiques'!$C$5&lt;&gt;"?",W510&lt;&gt;""),(W510-'Choix pédagogiques'!$C$4)/('Choix pédagogiques'!$C$5-'Choix pédagogiques'!$C$4),"")</f>
        <v/>
      </c>
      <c r="AS510" s="49" t="str">
        <f>IF(AND('Choix pédagogiques'!$C$4&lt;&gt;"?",'Choix pédagogiques'!$C$5&lt;&gt;"?",X510&lt;&gt;""),(X510-'Choix pédagogiques'!$C$4)/('Choix pédagogiques'!$C$5-'Choix pédagogiques'!$C$4),"")</f>
        <v/>
      </c>
      <c r="AT510" s="49" t="str">
        <f>IF(AND('Choix pédagogiques'!$C$4&lt;&gt;"?",'Choix pédagogiques'!$C$5&lt;&gt;"?",Y510&lt;&gt;""),(Y510-'Choix pédagogiques'!$C$4)/('Choix pédagogiques'!$C$5-'Choix pédagogiques'!$C$4),"")</f>
        <v/>
      </c>
      <c r="AU510" s="22" t="str">
        <f t="shared" si="368"/>
        <v/>
      </c>
      <c r="AV510" s="21" t="str">
        <f t="shared" si="369"/>
        <v>Apprenant 498 ou 498'</v>
      </c>
      <c r="AW510" s="49" t="str">
        <f>IF(AND('Choix pédagogiques'!$C$4&lt;&gt;"?",'Choix pédagogiques'!$C$5&lt;&gt;"?",AB510&lt;&gt;""),(AB510-'Choix pédagogiques'!$C$4)/('Choix pédagogiques'!$C$5-'Choix pédagogiques'!$C$4),"")</f>
        <v/>
      </c>
      <c r="AX510" s="49" t="str">
        <f>IF(AND('Choix pédagogiques'!$C$4&lt;&gt;"?",'Choix pédagogiques'!$C$5&lt;&gt;"?",AC510&lt;&gt;""),(AC510-'Choix pédagogiques'!$C$4)/('Choix pédagogiques'!$C$5-'Choix pédagogiques'!$C$4),"")</f>
        <v/>
      </c>
      <c r="AY510" s="49" t="str">
        <f>IF(AND('Choix pédagogiques'!$C$4&lt;&gt;"?",'Choix pédagogiques'!$C$5&lt;&gt;"?",AD510&lt;&gt;""),(AD510-'Choix pédagogiques'!$C$4)/('Choix pédagogiques'!$C$5-'Choix pédagogiques'!$C$4),"")</f>
        <v/>
      </c>
      <c r="AZ510" s="22" t="str">
        <f t="shared" si="370"/>
        <v/>
      </c>
      <c r="BA510" s="21" t="str">
        <f t="shared" si="371"/>
        <v>Apprenant 498</v>
      </c>
      <c r="BB510" s="49" t="str">
        <f t="shared" si="343"/>
        <v/>
      </c>
      <c r="BC510" s="49" t="str">
        <f t="shared" si="344"/>
        <v/>
      </c>
      <c r="BD510" s="49" t="str">
        <f t="shared" si="345"/>
        <v/>
      </c>
      <c r="BE510" s="22" t="str">
        <f t="shared" si="372"/>
        <v/>
      </c>
      <c r="BF510" s="21" t="str">
        <f t="shared" si="373"/>
        <v>Apprenant 498 ou 498'</v>
      </c>
      <c r="BG510" s="49" t="str">
        <f t="shared" si="346"/>
        <v/>
      </c>
      <c r="BH510" s="49" t="str">
        <f t="shared" si="347"/>
        <v/>
      </c>
      <c r="BI510" s="49" t="str">
        <f t="shared" si="348"/>
        <v/>
      </c>
      <c r="BJ510" s="22" t="str">
        <f t="shared" si="374"/>
        <v/>
      </c>
      <c r="BL510" s="21"/>
      <c r="BM510" s="21" t="str">
        <f>IF(OR(COUNT(B510:D1509)=0,AND('Choix pédagogiques'!$C$3&lt;&gt;1,'Choix pédagogiques'!$C$3&lt;&gt;2)),"",IF(AND(OR('Choix pédagogiques'!$C$3=1,'Choix pédagogiques'!$C$3=2),$B510&lt;&gt;"",$C510&lt;&gt;"",$D510&lt;&gt;""),1,0))</f>
        <v/>
      </c>
      <c r="BN510" s="21" t="str">
        <f>IF(OR(COUNT(G510:I1509)=0,AND('Choix pédagogiques'!$C$3&lt;&gt;1,'Choix pédagogiques'!$C$3&lt;&gt;2)),"",IF(AND(OR('Choix pédagogiques'!$C$3=1,'Choix pédagogiques'!$C$3=2),AND($G510&lt;&gt;"",$H510&lt;&gt;"",$I510&lt;&gt;"")),1,0))</f>
        <v/>
      </c>
      <c r="BO510" s="21" t="str">
        <f>IF(OR(COUNT(B510:D1509)=0,COUNT(G510:I1509)=0,'Choix pédagogiques'!C$3&lt;&gt;3),"",IF(AND('Choix pédagogiques'!$C$3=3,$B510&lt;&gt;"",$C510&lt;&gt;"",$D510&lt;&gt;"",$G510&lt;&gt;"",$H510&lt;&gt;"",$I510&lt;&gt;""),1,0))</f>
        <v/>
      </c>
      <c r="BR510" s="21">
        <v>713</v>
      </c>
      <c r="BS510" s="21">
        <v>1829</v>
      </c>
      <c r="BT510"/>
    </row>
    <row r="511" spans="1:72" s="23" customFormat="1" ht="18" customHeight="1" x14ac:dyDescent="0.3">
      <c r="A511" s="35" t="s">
        <v>501</v>
      </c>
      <c r="B511" s="37"/>
      <c r="C511" s="37"/>
      <c r="D511" s="37"/>
      <c r="E511" s="37"/>
      <c r="F511" s="35" t="s">
        <v>1509</v>
      </c>
      <c r="G511" s="37"/>
      <c r="H511" s="37"/>
      <c r="I511" s="37"/>
      <c r="J511" s="37"/>
      <c r="K511" s="21" t="str">
        <f t="shared" si="349"/>
        <v>Apprenant 499</v>
      </c>
      <c r="L511" s="22" t="str">
        <f t="shared" si="350"/>
        <v/>
      </c>
      <c r="M511" s="22" t="str">
        <f t="shared" si="351"/>
        <v/>
      </c>
      <c r="N511" s="22" t="str">
        <f t="shared" si="352"/>
        <v/>
      </c>
      <c r="O511" s="22" t="str">
        <f t="shared" si="353"/>
        <v/>
      </c>
      <c r="P511" s="21" t="str">
        <f t="shared" si="354"/>
        <v>Apprenant 499 ou 499'</v>
      </c>
      <c r="Q511" s="22" t="str">
        <f t="shared" si="355"/>
        <v/>
      </c>
      <c r="R511" s="22" t="str">
        <f t="shared" si="356"/>
        <v/>
      </c>
      <c r="S511" s="22" t="str">
        <f t="shared" si="357"/>
        <v/>
      </c>
      <c r="T511" s="22" t="str">
        <f t="shared" si="358"/>
        <v/>
      </c>
      <c r="V511" s="21" t="str">
        <f t="shared" si="359"/>
        <v>Apprenant 499</v>
      </c>
      <c r="W511" s="22" t="str">
        <f>IF(AND(OR('Choix pédagogiques'!$C$3=1,'Choix pédagogiques'!$C$3=2),$BM511=1),B511,IF(AND('Choix pédagogiques'!$C$3=3,$BO511=1),B511,""))</f>
        <v/>
      </c>
      <c r="X511" s="22" t="str">
        <f>IF(AND(OR('Choix pédagogiques'!$C$3=1,'Choix pédagogiques'!$C$3=2),$BM511=1),C511,IF(AND('Choix pédagogiques'!$C$3=3,$BO511=1),C511,""))</f>
        <v/>
      </c>
      <c r="Y511" s="22" t="str">
        <f>IF(AND(OR('Choix pédagogiques'!$C$3=1,'Choix pédagogiques'!$C$3=2),$BM511=1),D511,IF(AND('Choix pédagogiques'!$C$3=3,$BO511=1),D511,""))</f>
        <v/>
      </c>
      <c r="Z511" s="22" t="str">
        <f t="shared" si="360"/>
        <v/>
      </c>
      <c r="AA511" s="21" t="str">
        <f t="shared" si="361"/>
        <v>Apprenant 499 ou 499'</v>
      </c>
      <c r="AB511" s="22" t="str">
        <f>IF(AND(OR('Choix pédagogiques'!$C$3=1,'Choix pédagogiques'!$C$3=2),$BN511=1),G511,IF(AND('Choix pédagogiques'!$C$3=3,$BO511=1),G511,""))</f>
        <v/>
      </c>
      <c r="AC511" s="22" t="str">
        <f>IF(AND(OR('Choix pédagogiques'!$C$3=1,'Choix pédagogiques'!$C$3=2),$BN511=1),H511,IF(AND('Choix pédagogiques'!$C$3=3,$BO511=1),H511,""))</f>
        <v/>
      </c>
      <c r="AD511" s="22" t="str">
        <f>IF(AND(OR('Choix pédagogiques'!$C$3=1,'Choix pédagogiques'!$C$3=2),$BN511=1),I511,IF(AND('Choix pédagogiques'!$C$3=3,$BO511=1),I511,""))</f>
        <v/>
      </c>
      <c r="AE511" s="22" t="str">
        <f t="shared" si="362"/>
        <v/>
      </c>
      <c r="AF511" s="21" t="str">
        <f t="shared" si="363"/>
        <v>Apprenant 499</v>
      </c>
      <c r="AG511" s="22" t="str">
        <f t="shared" si="337"/>
        <v/>
      </c>
      <c r="AH511" s="22" t="str">
        <f t="shared" si="338"/>
        <v/>
      </c>
      <c r="AI511" s="22" t="str">
        <f t="shared" si="339"/>
        <v/>
      </c>
      <c r="AJ511" s="22" t="str">
        <f t="shared" si="364"/>
        <v/>
      </c>
      <c r="AK511" s="21" t="str">
        <f t="shared" si="365"/>
        <v>Apprenant 499 ou 499'</v>
      </c>
      <c r="AL511" s="22" t="str">
        <f t="shared" si="340"/>
        <v/>
      </c>
      <c r="AM511" s="22" t="str">
        <f t="shared" si="341"/>
        <v/>
      </c>
      <c r="AN511" s="22" t="str">
        <f t="shared" si="342"/>
        <v/>
      </c>
      <c r="AO511" s="22" t="str">
        <f t="shared" si="366"/>
        <v/>
      </c>
      <c r="AQ511" s="21" t="str">
        <f t="shared" si="367"/>
        <v>Apprenant 499</v>
      </c>
      <c r="AR511" s="49" t="str">
        <f>IF(AND('Choix pédagogiques'!$C$4&lt;&gt;"?",'Choix pédagogiques'!$C$5&lt;&gt;"?",W511&lt;&gt;""),(W511-'Choix pédagogiques'!$C$4)/('Choix pédagogiques'!$C$5-'Choix pédagogiques'!$C$4),"")</f>
        <v/>
      </c>
      <c r="AS511" s="49" t="str">
        <f>IF(AND('Choix pédagogiques'!$C$4&lt;&gt;"?",'Choix pédagogiques'!$C$5&lt;&gt;"?",X511&lt;&gt;""),(X511-'Choix pédagogiques'!$C$4)/('Choix pédagogiques'!$C$5-'Choix pédagogiques'!$C$4),"")</f>
        <v/>
      </c>
      <c r="AT511" s="49" t="str">
        <f>IF(AND('Choix pédagogiques'!$C$4&lt;&gt;"?",'Choix pédagogiques'!$C$5&lt;&gt;"?",Y511&lt;&gt;""),(Y511-'Choix pédagogiques'!$C$4)/('Choix pédagogiques'!$C$5-'Choix pédagogiques'!$C$4),"")</f>
        <v/>
      </c>
      <c r="AU511" s="22" t="str">
        <f t="shared" si="368"/>
        <v/>
      </c>
      <c r="AV511" s="21" t="str">
        <f t="shared" si="369"/>
        <v>Apprenant 499 ou 499'</v>
      </c>
      <c r="AW511" s="49" t="str">
        <f>IF(AND('Choix pédagogiques'!$C$4&lt;&gt;"?",'Choix pédagogiques'!$C$5&lt;&gt;"?",AB511&lt;&gt;""),(AB511-'Choix pédagogiques'!$C$4)/('Choix pédagogiques'!$C$5-'Choix pédagogiques'!$C$4),"")</f>
        <v/>
      </c>
      <c r="AX511" s="49" t="str">
        <f>IF(AND('Choix pédagogiques'!$C$4&lt;&gt;"?",'Choix pédagogiques'!$C$5&lt;&gt;"?",AC511&lt;&gt;""),(AC511-'Choix pédagogiques'!$C$4)/('Choix pédagogiques'!$C$5-'Choix pédagogiques'!$C$4),"")</f>
        <v/>
      </c>
      <c r="AY511" s="49" t="str">
        <f>IF(AND('Choix pédagogiques'!$C$4&lt;&gt;"?",'Choix pédagogiques'!$C$5&lt;&gt;"?",AD511&lt;&gt;""),(AD511-'Choix pédagogiques'!$C$4)/('Choix pédagogiques'!$C$5-'Choix pédagogiques'!$C$4),"")</f>
        <v/>
      </c>
      <c r="AZ511" s="22" t="str">
        <f t="shared" si="370"/>
        <v/>
      </c>
      <c r="BA511" s="21" t="str">
        <f t="shared" si="371"/>
        <v>Apprenant 499</v>
      </c>
      <c r="BB511" s="49" t="str">
        <f t="shared" si="343"/>
        <v/>
      </c>
      <c r="BC511" s="49" t="str">
        <f t="shared" si="344"/>
        <v/>
      </c>
      <c r="BD511" s="49" t="str">
        <f t="shared" si="345"/>
        <v/>
      </c>
      <c r="BE511" s="22" t="str">
        <f t="shared" si="372"/>
        <v/>
      </c>
      <c r="BF511" s="21" t="str">
        <f t="shared" si="373"/>
        <v>Apprenant 499 ou 499'</v>
      </c>
      <c r="BG511" s="49" t="str">
        <f t="shared" si="346"/>
        <v/>
      </c>
      <c r="BH511" s="49" t="str">
        <f t="shared" si="347"/>
        <v/>
      </c>
      <c r="BI511" s="49" t="str">
        <f t="shared" si="348"/>
        <v/>
      </c>
      <c r="BJ511" s="22" t="str">
        <f t="shared" si="374"/>
        <v/>
      </c>
      <c r="BL511" s="21"/>
      <c r="BM511" s="21" t="str">
        <f>IF(OR(COUNT(B511:D1510)=0,AND('Choix pédagogiques'!$C$3&lt;&gt;1,'Choix pédagogiques'!$C$3&lt;&gt;2)),"",IF(AND(OR('Choix pédagogiques'!$C$3=1,'Choix pédagogiques'!$C$3=2),$B511&lt;&gt;"",$C511&lt;&gt;"",$D511&lt;&gt;""),1,0))</f>
        <v/>
      </c>
      <c r="BN511" s="21" t="str">
        <f>IF(OR(COUNT(G511:I1510)=0,AND('Choix pédagogiques'!$C$3&lt;&gt;1,'Choix pédagogiques'!$C$3&lt;&gt;2)),"",IF(AND(OR('Choix pédagogiques'!$C$3=1,'Choix pédagogiques'!$C$3=2),AND($G511&lt;&gt;"",$H511&lt;&gt;"",$I511&lt;&gt;"")),1,0))</f>
        <v/>
      </c>
      <c r="BO511" s="21" t="str">
        <f>IF(OR(COUNT(B511:D1510)=0,COUNT(G511:I1510)=0,'Choix pédagogiques'!C$3&lt;&gt;3),"",IF(AND('Choix pédagogiques'!$C$3=3,$B511&lt;&gt;"",$C511&lt;&gt;"",$D511&lt;&gt;"",$G511&lt;&gt;"",$H511&lt;&gt;"",$I511&lt;&gt;""),1,0))</f>
        <v/>
      </c>
      <c r="BR511" s="21">
        <v>333</v>
      </c>
      <c r="BS511" s="21">
        <v>1347</v>
      </c>
      <c r="BT511"/>
    </row>
    <row r="512" spans="1:72" s="23" customFormat="1" ht="18" customHeight="1" x14ac:dyDescent="0.3">
      <c r="A512" s="35" t="s">
        <v>502</v>
      </c>
      <c r="B512" s="37"/>
      <c r="C512" s="37"/>
      <c r="D512" s="37"/>
      <c r="E512" s="37"/>
      <c r="F512" s="35" t="s">
        <v>1510</v>
      </c>
      <c r="G512" s="37"/>
      <c r="H512" s="37"/>
      <c r="I512" s="37"/>
      <c r="J512" s="37"/>
      <c r="K512" s="21" t="str">
        <f t="shared" si="349"/>
        <v>Apprenant 500</v>
      </c>
      <c r="L512" s="22" t="str">
        <f t="shared" si="350"/>
        <v/>
      </c>
      <c r="M512" s="22" t="str">
        <f t="shared" si="351"/>
        <v/>
      </c>
      <c r="N512" s="22" t="str">
        <f t="shared" si="352"/>
        <v/>
      </c>
      <c r="O512" s="22" t="str">
        <f t="shared" si="353"/>
        <v/>
      </c>
      <c r="P512" s="21" t="str">
        <f t="shared" si="354"/>
        <v>Apprenant 500 ou 500'</v>
      </c>
      <c r="Q512" s="22" t="str">
        <f t="shared" si="355"/>
        <v/>
      </c>
      <c r="R512" s="22" t="str">
        <f t="shared" si="356"/>
        <v/>
      </c>
      <c r="S512" s="22" t="str">
        <f t="shared" si="357"/>
        <v/>
      </c>
      <c r="T512" s="22" t="str">
        <f t="shared" si="358"/>
        <v/>
      </c>
      <c r="V512" s="21" t="str">
        <f t="shared" si="359"/>
        <v>Apprenant 500</v>
      </c>
      <c r="W512" s="22" t="str">
        <f>IF(AND(OR('Choix pédagogiques'!$C$3=1,'Choix pédagogiques'!$C$3=2),$BM512=1),B512,IF(AND('Choix pédagogiques'!$C$3=3,$BO512=1),B512,""))</f>
        <v/>
      </c>
      <c r="X512" s="22" t="str">
        <f>IF(AND(OR('Choix pédagogiques'!$C$3=1,'Choix pédagogiques'!$C$3=2),$BM512=1),C512,IF(AND('Choix pédagogiques'!$C$3=3,$BO512=1),C512,""))</f>
        <v/>
      </c>
      <c r="Y512" s="22" t="str">
        <f>IF(AND(OR('Choix pédagogiques'!$C$3=1,'Choix pédagogiques'!$C$3=2),$BM512=1),D512,IF(AND('Choix pédagogiques'!$C$3=3,$BO512=1),D512,""))</f>
        <v/>
      </c>
      <c r="Z512" s="22" t="str">
        <f t="shared" si="360"/>
        <v/>
      </c>
      <c r="AA512" s="21" t="str">
        <f t="shared" si="361"/>
        <v>Apprenant 500 ou 500'</v>
      </c>
      <c r="AB512" s="22" t="str">
        <f>IF(AND(OR('Choix pédagogiques'!$C$3=1,'Choix pédagogiques'!$C$3=2),$BN512=1),G512,IF(AND('Choix pédagogiques'!$C$3=3,$BO512=1),G512,""))</f>
        <v/>
      </c>
      <c r="AC512" s="22" t="str">
        <f>IF(AND(OR('Choix pédagogiques'!$C$3=1,'Choix pédagogiques'!$C$3=2),$BN512=1),H512,IF(AND('Choix pédagogiques'!$C$3=3,$BO512=1),H512,""))</f>
        <v/>
      </c>
      <c r="AD512" s="22" t="str">
        <f>IF(AND(OR('Choix pédagogiques'!$C$3=1,'Choix pédagogiques'!$C$3=2),$BN512=1),I512,IF(AND('Choix pédagogiques'!$C$3=3,$BO512=1),I512,""))</f>
        <v/>
      </c>
      <c r="AE512" s="22" t="str">
        <f t="shared" si="362"/>
        <v/>
      </c>
      <c r="AF512" s="21" t="str">
        <f t="shared" si="363"/>
        <v>Apprenant 500</v>
      </c>
      <c r="AG512" s="22" t="str">
        <f t="shared" si="337"/>
        <v/>
      </c>
      <c r="AH512" s="22" t="str">
        <f t="shared" si="338"/>
        <v/>
      </c>
      <c r="AI512" s="22" t="str">
        <f t="shared" si="339"/>
        <v/>
      </c>
      <c r="AJ512" s="22" t="str">
        <f t="shared" si="364"/>
        <v/>
      </c>
      <c r="AK512" s="21" t="str">
        <f t="shared" si="365"/>
        <v>Apprenant 500 ou 500'</v>
      </c>
      <c r="AL512" s="22" t="str">
        <f t="shared" si="340"/>
        <v/>
      </c>
      <c r="AM512" s="22" t="str">
        <f t="shared" si="341"/>
        <v/>
      </c>
      <c r="AN512" s="22" t="str">
        <f t="shared" si="342"/>
        <v/>
      </c>
      <c r="AO512" s="22" t="str">
        <f t="shared" si="366"/>
        <v/>
      </c>
      <c r="AQ512" s="21" t="str">
        <f t="shared" si="367"/>
        <v>Apprenant 500</v>
      </c>
      <c r="AR512" s="49" t="str">
        <f>IF(AND('Choix pédagogiques'!$C$4&lt;&gt;"?",'Choix pédagogiques'!$C$5&lt;&gt;"?",W512&lt;&gt;""),(W512-'Choix pédagogiques'!$C$4)/('Choix pédagogiques'!$C$5-'Choix pédagogiques'!$C$4),"")</f>
        <v/>
      </c>
      <c r="AS512" s="49" t="str">
        <f>IF(AND('Choix pédagogiques'!$C$4&lt;&gt;"?",'Choix pédagogiques'!$C$5&lt;&gt;"?",X512&lt;&gt;""),(X512-'Choix pédagogiques'!$C$4)/('Choix pédagogiques'!$C$5-'Choix pédagogiques'!$C$4),"")</f>
        <v/>
      </c>
      <c r="AT512" s="49" t="str">
        <f>IF(AND('Choix pédagogiques'!$C$4&lt;&gt;"?",'Choix pédagogiques'!$C$5&lt;&gt;"?",Y512&lt;&gt;""),(Y512-'Choix pédagogiques'!$C$4)/('Choix pédagogiques'!$C$5-'Choix pédagogiques'!$C$4),"")</f>
        <v/>
      </c>
      <c r="AU512" s="22" t="str">
        <f t="shared" si="368"/>
        <v/>
      </c>
      <c r="AV512" s="21" t="str">
        <f t="shared" si="369"/>
        <v>Apprenant 500 ou 500'</v>
      </c>
      <c r="AW512" s="49" t="str">
        <f>IF(AND('Choix pédagogiques'!$C$4&lt;&gt;"?",'Choix pédagogiques'!$C$5&lt;&gt;"?",AB512&lt;&gt;""),(AB512-'Choix pédagogiques'!$C$4)/('Choix pédagogiques'!$C$5-'Choix pédagogiques'!$C$4),"")</f>
        <v/>
      </c>
      <c r="AX512" s="49" t="str">
        <f>IF(AND('Choix pédagogiques'!$C$4&lt;&gt;"?",'Choix pédagogiques'!$C$5&lt;&gt;"?",AC512&lt;&gt;""),(AC512-'Choix pédagogiques'!$C$4)/('Choix pédagogiques'!$C$5-'Choix pédagogiques'!$C$4),"")</f>
        <v/>
      </c>
      <c r="AY512" s="49" t="str">
        <f>IF(AND('Choix pédagogiques'!$C$4&lt;&gt;"?",'Choix pédagogiques'!$C$5&lt;&gt;"?",AD512&lt;&gt;""),(AD512-'Choix pédagogiques'!$C$4)/('Choix pédagogiques'!$C$5-'Choix pédagogiques'!$C$4),"")</f>
        <v/>
      </c>
      <c r="AZ512" s="22" t="str">
        <f t="shared" si="370"/>
        <v/>
      </c>
      <c r="BA512" s="21" t="str">
        <f t="shared" si="371"/>
        <v>Apprenant 500</v>
      </c>
      <c r="BB512" s="49" t="str">
        <f t="shared" si="343"/>
        <v/>
      </c>
      <c r="BC512" s="49" t="str">
        <f t="shared" si="344"/>
        <v/>
      </c>
      <c r="BD512" s="49" t="str">
        <f t="shared" si="345"/>
        <v/>
      </c>
      <c r="BE512" s="22" t="str">
        <f t="shared" si="372"/>
        <v/>
      </c>
      <c r="BF512" s="21" t="str">
        <f t="shared" si="373"/>
        <v>Apprenant 500 ou 500'</v>
      </c>
      <c r="BG512" s="49" t="str">
        <f t="shared" si="346"/>
        <v/>
      </c>
      <c r="BH512" s="49" t="str">
        <f t="shared" si="347"/>
        <v/>
      </c>
      <c r="BI512" s="49" t="str">
        <f t="shared" si="348"/>
        <v/>
      </c>
      <c r="BJ512" s="22" t="str">
        <f t="shared" si="374"/>
        <v/>
      </c>
      <c r="BL512" s="21"/>
      <c r="BM512" s="21" t="str">
        <f>IF(OR(COUNT(B512:D1511)=0,AND('Choix pédagogiques'!$C$3&lt;&gt;1,'Choix pédagogiques'!$C$3&lt;&gt;2)),"",IF(AND(OR('Choix pédagogiques'!$C$3=1,'Choix pédagogiques'!$C$3=2),$B512&lt;&gt;"",$C512&lt;&gt;"",$D512&lt;&gt;""),1,0))</f>
        <v/>
      </c>
      <c r="BN512" s="21" t="str">
        <f>IF(OR(COUNT(G512:I1511)=0,AND('Choix pédagogiques'!$C$3&lt;&gt;1,'Choix pédagogiques'!$C$3&lt;&gt;2)),"",IF(AND(OR('Choix pédagogiques'!$C$3=1,'Choix pédagogiques'!$C$3=2),AND($G512&lt;&gt;"",$H512&lt;&gt;"",$I512&lt;&gt;"")),1,0))</f>
        <v/>
      </c>
      <c r="BO512" s="21" t="str">
        <f>IF(OR(COUNT(B512:D1511)=0,COUNT(G512:I1511)=0,'Choix pédagogiques'!C$3&lt;&gt;3),"",IF(AND('Choix pédagogiques'!$C$3=3,$B512&lt;&gt;"",$C512&lt;&gt;"",$D512&lt;&gt;"",$G512&lt;&gt;"",$H512&lt;&gt;"",$I512&lt;&gt;""),1,0))</f>
        <v/>
      </c>
      <c r="BR512" s="21">
        <v>624</v>
      </c>
      <c r="BS512" s="21">
        <v>1080</v>
      </c>
      <c r="BT512"/>
    </row>
    <row r="513" spans="1:72" s="23" customFormat="1" ht="18" customHeight="1" x14ac:dyDescent="0.3">
      <c r="A513" s="35" t="s">
        <v>503</v>
      </c>
      <c r="B513" s="37"/>
      <c r="C513" s="37"/>
      <c r="D513" s="37"/>
      <c r="E513" s="37"/>
      <c r="F513" s="35" t="s">
        <v>1511</v>
      </c>
      <c r="G513" s="37"/>
      <c r="H513" s="37"/>
      <c r="I513" s="37"/>
      <c r="J513" s="37"/>
      <c r="K513" s="21" t="str">
        <f t="shared" si="349"/>
        <v>Apprenant 501</v>
      </c>
      <c r="L513" s="22" t="str">
        <f t="shared" si="350"/>
        <v/>
      </c>
      <c r="M513" s="22" t="str">
        <f t="shared" si="351"/>
        <v/>
      </c>
      <c r="N513" s="22" t="str">
        <f t="shared" si="352"/>
        <v/>
      </c>
      <c r="O513" s="22" t="str">
        <f t="shared" si="353"/>
        <v/>
      </c>
      <c r="P513" s="21" t="str">
        <f t="shared" si="354"/>
        <v>Apprenant 501 ou 501'</v>
      </c>
      <c r="Q513" s="22" t="str">
        <f t="shared" si="355"/>
        <v/>
      </c>
      <c r="R513" s="22" t="str">
        <f t="shared" si="356"/>
        <v/>
      </c>
      <c r="S513" s="22" t="str">
        <f t="shared" si="357"/>
        <v/>
      </c>
      <c r="T513" s="22" t="str">
        <f t="shared" si="358"/>
        <v/>
      </c>
      <c r="V513" s="21" t="str">
        <f t="shared" si="359"/>
        <v>Apprenant 501</v>
      </c>
      <c r="W513" s="22" t="str">
        <f>IF(AND(OR('Choix pédagogiques'!$C$3=1,'Choix pédagogiques'!$C$3=2),$BM513=1),B513,IF(AND('Choix pédagogiques'!$C$3=3,$BO513=1),B513,""))</f>
        <v/>
      </c>
      <c r="X513" s="22" t="str">
        <f>IF(AND(OR('Choix pédagogiques'!$C$3=1,'Choix pédagogiques'!$C$3=2),$BM513=1),C513,IF(AND('Choix pédagogiques'!$C$3=3,$BO513=1),C513,""))</f>
        <v/>
      </c>
      <c r="Y513" s="22" t="str">
        <f>IF(AND(OR('Choix pédagogiques'!$C$3=1,'Choix pédagogiques'!$C$3=2),$BM513=1),D513,IF(AND('Choix pédagogiques'!$C$3=3,$BO513=1),D513,""))</f>
        <v/>
      </c>
      <c r="Z513" s="22" t="str">
        <f t="shared" si="360"/>
        <v/>
      </c>
      <c r="AA513" s="21" t="str">
        <f t="shared" si="361"/>
        <v>Apprenant 501 ou 501'</v>
      </c>
      <c r="AB513" s="22" t="str">
        <f>IF(AND(OR('Choix pédagogiques'!$C$3=1,'Choix pédagogiques'!$C$3=2),$BN513=1),G513,IF(AND('Choix pédagogiques'!$C$3=3,$BO513=1),G513,""))</f>
        <v/>
      </c>
      <c r="AC513" s="22" t="str">
        <f>IF(AND(OR('Choix pédagogiques'!$C$3=1,'Choix pédagogiques'!$C$3=2),$BN513=1),H513,IF(AND('Choix pédagogiques'!$C$3=3,$BO513=1),H513,""))</f>
        <v/>
      </c>
      <c r="AD513" s="22" t="str">
        <f>IF(AND(OR('Choix pédagogiques'!$C$3=1,'Choix pédagogiques'!$C$3=2),$BN513=1),I513,IF(AND('Choix pédagogiques'!$C$3=3,$BO513=1),I513,""))</f>
        <v/>
      </c>
      <c r="AE513" s="22" t="str">
        <f t="shared" si="362"/>
        <v/>
      </c>
      <c r="AF513" s="21" t="str">
        <f t="shared" si="363"/>
        <v>Apprenant 501</v>
      </c>
      <c r="AG513" s="22" t="str">
        <f t="shared" si="337"/>
        <v/>
      </c>
      <c r="AH513" s="22" t="str">
        <f t="shared" si="338"/>
        <v/>
      </c>
      <c r="AI513" s="22" t="str">
        <f t="shared" si="339"/>
        <v/>
      </c>
      <c r="AJ513" s="22" t="str">
        <f t="shared" si="364"/>
        <v/>
      </c>
      <c r="AK513" s="21" t="str">
        <f t="shared" si="365"/>
        <v>Apprenant 501 ou 501'</v>
      </c>
      <c r="AL513" s="22" t="str">
        <f t="shared" si="340"/>
        <v/>
      </c>
      <c r="AM513" s="22" t="str">
        <f t="shared" si="341"/>
        <v/>
      </c>
      <c r="AN513" s="22" t="str">
        <f t="shared" si="342"/>
        <v/>
      </c>
      <c r="AO513" s="22" t="str">
        <f t="shared" si="366"/>
        <v/>
      </c>
      <c r="AQ513" s="21" t="str">
        <f t="shared" si="367"/>
        <v>Apprenant 501</v>
      </c>
      <c r="AR513" s="49" t="str">
        <f>IF(AND('Choix pédagogiques'!$C$4&lt;&gt;"?",'Choix pédagogiques'!$C$5&lt;&gt;"?",W513&lt;&gt;""),(W513-'Choix pédagogiques'!$C$4)/('Choix pédagogiques'!$C$5-'Choix pédagogiques'!$C$4),"")</f>
        <v/>
      </c>
      <c r="AS513" s="49" t="str">
        <f>IF(AND('Choix pédagogiques'!$C$4&lt;&gt;"?",'Choix pédagogiques'!$C$5&lt;&gt;"?",X513&lt;&gt;""),(X513-'Choix pédagogiques'!$C$4)/('Choix pédagogiques'!$C$5-'Choix pédagogiques'!$C$4),"")</f>
        <v/>
      </c>
      <c r="AT513" s="49" t="str">
        <f>IF(AND('Choix pédagogiques'!$C$4&lt;&gt;"?",'Choix pédagogiques'!$C$5&lt;&gt;"?",Y513&lt;&gt;""),(Y513-'Choix pédagogiques'!$C$4)/('Choix pédagogiques'!$C$5-'Choix pédagogiques'!$C$4),"")</f>
        <v/>
      </c>
      <c r="AU513" s="22" t="str">
        <f t="shared" si="368"/>
        <v/>
      </c>
      <c r="AV513" s="21" t="str">
        <f t="shared" si="369"/>
        <v>Apprenant 501 ou 501'</v>
      </c>
      <c r="AW513" s="49" t="str">
        <f>IF(AND('Choix pédagogiques'!$C$4&lt;&gt;"?",'Choix pédagogiques'!$C$5&lt;&gt;"?",AB513&lt;&gt;""),(AB513-'Choix pédagogiques'!$C$4)/('Choix pédagogiques'!$C$5-'Choix pédagogiques'!$C$4),"")</f>
        <v/>
      </c>
      <c r="AX513" s="49" t="str">
        <f>IF(AND('Choix pédagogiques'!$C$4&lt;&gt;"?",'Choix pédagogiques'!$C$5&lt;&gt;"?",AC513&lt;&gt;""),(AC513-'Choix pédagogiques'!$C$4)/('Choix pédagogiques'!$C$5-'Choix pédagogiques'!$C$4),"")</f>
        <v/>
      </c>
      <c r="AY513" s="49" t="str">
        <f>IF(AND('Choix pédagogiques'!$C$4&lt;&gt;"?",'Choix pédagogiques'!$C$5&lt;&gt;"?",AD513&lt;&gt;""),(AD513-'Choix pédagogiques'!$C$4)/('Choix pédagogiques'!$C$5-'Choix pédagogiques'!$C$4),"")</f>
        <v/>
      </c>
      <c r="AZ513" s="22" t="str">
        <f t="shared" si="370"/>
        <v/>
      </c>
      <c r="BA513" s="21" t="str">
        <f t="shared" si="371"/>
        <v>Apprenant 501</v>
      </c>
      <c r="BB513" s="49" t="str">
        <f t="shared" si="343"/>
        <v/>
      </c>
      <c r="BC513" s="49" t="str">
        <f t="shared" si="344"/>
        <v/>
      </c>
      <c r="BD513" s="49" t="str">
        <f t="shared" si="345"/>
        <v/>
      </c>
      <c r="BE513" s="22" t="str">
        <f t="shared" si="372"/>
        <v/>
      </c>
      <c r="BF513" s="21" t="str">
        <f t="shared" si="373"/>
        <v>Apprenant 501 ou 501'</v>
      </c>
      <c r="BG513" s="49" t="str">
        <f t="shared" si="346"/>
        <v/>
      </c>
      <c r="BH513" s="49" t="str">
        <f t="shared" si="347"/>
        <v/>
      </c>
      <c r="BI513" s="49" t="str">
        <f t="shared" si="348"/>
        <v/>
      </c>
      <c r="BJ513" s="22" t="str">
        <f t="shared" si="374"/>
        <v/>
      </c>
      <c r="BL513" s="21"/>
      <c r="BM513" s="21" t="str">
        <f>IF(OR(COUNT(B513:D1512)=0,AND('Choix pédagogiques'!$C$3&lt;&gt;1,'Choix pédagogiques'!$C$3&lt;&gt;2)),"",IF(AND(OR('Choix pédagogiques'!$C$3=1,'Choix pédagogiques'!$C$3=2),$B513&lt;&gt;"",$C513&lt;&gt;"",$D513&lt;&gt;""),1,0))</f>
        <v/>
      </c>
      <c r="BN513" s="21" t="str">
        <f>IF(OR(COUNT(G513:I1512)=0,AND('Choix pédagogiques'!$C$3&lt;&gt;1,'Choix pédagogiques'!$C$3&lt;&gt;2)),"",IF(AND(OR('Choix pédagogiques'!$C$3=1,'Choix pédagogiques'!$C$3=2),AND($G513&lt;&gt;"",$H513&lt;&gt;"",$I513&lt;&gt;"")),1,0))</f>
        <v/>
      </c>
      <c r="BO513" s="21" t="str">
        <f>IF(OR(COUNT(B513:D1512)=0,COUNT(G513:I1512)=0,'Choix pédagogiques'!C$3&lt;&gt;3),"",IF(AND('Choix pédagogiques'!$C$3=3,$B513&lt;&gt;"",$C513&lt;&gt;"",$D513&lt;&gt;"",$G513&lt;&gt;"",$H513&lt;&gt;"",$I513&lt;&gt;""),1,0))</f>
        <v/>
      </c>
      <c r="BR513" s="21">
        <v>41</v>
      </c>
      <c r="BS513" s="21">
        <v>1365</v>
      </c>
      <c r="BT513"/>
    </row>
    <row r="514" spans="1:72" s="23" customFormat="1" ht="18" customHeight="1" x14ac:dyDescent="0.3">
      <c r="A514" s="35" t="s">
        <v>504</v>
      </c>
      <c r="B514" s="37"/>
      <c r="C514" s="37"/>
      <c r="D514" s="37"/>
      <c r="E514" s="37"/>
      <c r="F514" s="35" t="s">
        <v>1512</v>
      </c>
      <c r="G514" s="37"/>
      <c r="H514" s="37"/>
      <c r="I514" s="37"/>
      <c r="J514" s="37"/>
      <c r="K514" s="21" t="str">
        <f t="shared" si="349"/>
        <v>Apprenant 502</v>
      </c>
      <c r="L514" s="22" t="str">
        <f t="shared" si="350"/>
        <v/>
      </c>
      <c r="M514" s="22" t="str">
        <f t="shared" si="351"/>
        <v/>
      </c>
      <c r="N514" s="22" t="str">
        <f t="shared" si="352"/>
        <v/>
      </c>
      <c r="O514" s="22" t="str">
        <f t="shared" si="353"/>
        <v/>
      </c>
      <c r="P514" s="21" t="str">
        <f t="shared" si="354"/>
        <v>Apprenant 502 ou 502'</v>
      </c>
      <c r="Q514" s="22" t="str">
        <f t="shared" si="355"/>
        <v/>
      </c>
      <c r="R514" s="22" t="str">
        <f t="shared" si="356"/>
        <v/>
      </c>
      <c r="S514" s="22" t="str">
        <f t="shared" si="357"/>
        <v/>
      </c>
      <c r="T514" s="22" t="str">
        <f t="shared" si="358"/>
        <v/>
      </c>
      <c r="V514" s="21" t="str">
        <f t="shared" si="359"/>
        <v>Apprenant 502</v>
      </c>
      <c r="W514" s="22" t="str">
        <f>IF(AND(OR('Choix pédagogiques'!$C$3=1,'Choix pédagogiques'!$C$3=2),$BM514=1),B514,IF(AND('Choix pédagogiques'!$C$3=3,$BO514=1),B514,""))</f>
        <v/>
      </c>
      <c r="X514" s="22" t="str">
        <f>IF(AND(OR('Choix pédagogiques'!$C$3=1,'Choix pédagogiques'!$C$3=2),$BM514=1),C514,IF(AND('Choix pédagogiques'!$C$3=3,$BO514=1),C514,""))</f>
        <v/>
      </c>
      <c r="Y514" s="22" t="str">
        <f>IF(AND(OR('Choix pédagogiques'!$C$3=1,'Choix pédagogiques'!$C$3=2),$BM514=1),D514,IF(AND('Choix pédagogiques'!$C$3=3,$BO514=1),D514,""))</f>
        <v/>
      </c>
      <c r="Z514" s="22" t="str">
        <f t="shared" si="360"/>
        <v/>
      </c>
      <c r="AA514" s="21" t="str">
        <f t="shared" si="361"/>
        <v>Apprenant 502 ou 502'</v>
      </c>
      <c r="AB514" s="22" t="str">
        <f>IF(AND(OR('Choix pédagogiques'!$C$3=1,'Choix pédagogiques'!$C$3=2),$BN514=1),G514,IF(AND('Choix pédagogiques'!$C$3=3,$BO514=1),G514,""))</f>
        <v/>
      </c>
      <c r="AC514" s="22" t="str">
        <f>IF(AND(OR('Choix pédagogiques'!$C$3=1,'Choix pédagogiques'!$C$3=2),$BN514=1),H514,IF(AND('Choix pédagogiques'!$C$3=3,$BO514=1),H514,""))</f>
        <v/>
      </c>
      <c r="AD514" s="22" t="str">
        <f>IF(AND(OR('Choix pédagogiques'!$C$3=1,'Choix pédagogiques'!$C$3=2),$BN514=1),I514,IF(AND('Choix pédagogiques'!$C$3=3,$BO514=1),I514,""))</f>
        <v/>
      </c>
      <c r="AE514" s="22" t="str">
        <f t="shared" si="362"/>
        <v/>
      </c>
      <c r="AF514" s="21" t="str">
        <f t="shared" si="363"/>
        <v>Apprenant 502</v>
      </c>
      <c r="AG514" s="22" t="str">
        <f t="shared" si="337"/>
        <v/>
      </c>
      <c r="AH514" s="22" t="str">
        <f t="shared" si="338"/>
        <v/>
      </c>
      <c r="AI514" s="22" t="str">
        <f t="shared" si="339"/>
        <v/>
      </c>
      <c r="AJ514" s="22" t="str">
        <f t="shared" si="364"/>
        <v/>
      </c>
      <c r="AK514" s="21" t="str">
        <f t="shared" si="365"/>
        <v>Apprenant 502 ou 502'</v>
      </c>
      <c r="AL514" s="22" t="str">
        <f t="shared" si="340"/>
        <v/>
      </c>
      <c r="AM514" s="22" t="str">
        <f t="shared" si="341"/>
        <v/>
      </c>
      <c r="AN514" s="22" t="str">
        <f t="shared" si="342"/>
        <v/>
      </c>
      <c r="AO514" s="22" t="str">
        <f t="shared" si="366"/>
        <v/>
      </c>
      <c r="AQ514" s="21" t="str">
        <f t="shared" si="367"/>
        <v>Apprenant 502</v>
      </c>
      <c r="AR514" s="49" t="str">
        <f>IF(AND('Choix pédagogiques'!$C$4&lt;&gt;"?",'Choix pédagogiques'!$C$5&lt;&gt;"?",W514&lt;&gt;""),(W514-'Choix pédagogiques'!$C$4)/('Choix pédagogiques'!$C$5-'Choix pédagogiques'!$C$4),"")</f>
        <v/>
      </c>
      <c r="AS514" s="49" t="str">
        <f>IF(AND('Choix pédagogiques'!$C$4&lt;&gt;"?",'Choix pédagogiques'!$C$5&lt;&gt;"?",X514&lt;&gt;""),(X514-'Choix pédagogiques'!$C$4)/('Choix pédagogiques'!$C$5-'Choix pédagogiques'!$C$4),"")</f>
        <v/>
      </c>
      <c r="AT514" s="49" t="str">
        <f>IF(AND('Choix pédagogiques'!$C$4&lt;&gt;"?",'Choix pédagogiques'!$C$5&lt;&gt;"?",Y514&lt;&gt;""),(Y514-'Choix pédagogiques'!$C$4)/('Choix pédagogiques'!$C$5-'Choix pédagogiques'!$C$4),"")</f>
        <v/>
      </c>
      <c r="AU514" s="22" t="str">
        <f t="shared" si="368"/>
        <v/>
      </c>
      <c r="AV514" s="21" t="str">
        <f t="shared" si="369"/>
        <v>Apprenant 502 ou 502'</v>
      </c>
      <c r="AW514" s="49" t="str">
        <f>IF(AND('Choix pédagogiques'!$C$4&lt;&gt;"?",'Choix pédagogiques'!$C$5&lt;&gt;"?",AB514&lt;&gt;""),(AB514-'Choix pédagogiques'!$C$4)/('Choix pédagogiques'!$C$5-'Choix pédagogiques'!$C$4),"")</f>
        <v/>
      </c>
      <c r="AX514" s="49" t="str">
        <f>IF(AND('Choix pédagogiques'!$C$4&lt;&gt;"?",'Choix pédagogiques'!$C$5&lt;&gt;"?",AC514&lt;&gt;""),(AC514-'Choix pédagogiques'!$C$4)/('Choix pédagogiques'!$C$5-'Choix pédagogiques'!$C$4),"")</f>
        <v/>
      </c>
      <c r="AY514" s="49" t="str">
        <f>IF(AND('Choix pédagogiques'!$C$4&lt;&gt;"?",'Choix pédagogiques'!$C$5&lt;&gt;"?",AD514&lt;&gt;""),(AD514-'Choix pédagogiques'!$C$4)/('Choix pédagogiques'!$C$5-'Choix pédagogiques'!$C$4),"")</f>
        <v/>
      </c>
      <c r="AZ514" s="22" t="str">
        <f t="shared" si="370"/>
        <v/>
      </c>
      <c r="BA514" s="21" t="str">
        <f t="shared" si="371"/>
        <v>Apprenant 502</v>
      </c>
      <c r="BB514" s="49" t="str">
        <f t="shared" si="343"/>
        <v/>
      </c>
      <c r="BC514" s="49" t="str">
        <f t="shared" si="344"/>
        <v/>
      </c>
      <c r="BD514" s="49" t="str">
        <f t="shared" si="345"/>
        <v/>
      </c>
      <c r="BE514" s="22" t="str">
        <f t="shared" si="372"/>
        <v/>
      </c>
      <c r="BF514" s="21" t="str">
        <f t="shared" si="373"/>
        <v>Apprenant 502 ou 502'</v>
      </c>
      <c r="BG514" s="49" t="str">
        <f t="shared" si="346"/>
        <v/>
      </c>
      <c r="BH514" s="49" t="str">
        <f t="shared" si="347"/>
        <v/>
      </c>
      <c r="BI514" s="49" t="str">
        <f t="shared" si="348"/>
        <v/>
      </c>
      <c r="BJ514" s="22" t="str">
        <f t="shared" si="374"/>
        <v/>
      </c>
      <c r="BL514" s="21"/>
      <c r="BM514" s="21" t="str">
        <f>IF(OR(COUNT(B514:D1513)=0,AND('Choix pédagogiques'!$C$3&lt;&gt;1,'Choix pédagogiques'!$C$3&lt;&gt;2)),"",IF(AND(OR('Choix pédagogiques'!$C$3=1,'Choix pédagogiques'!$C$3=2),$B514&lt;&gt;"",$C514&lt;&gt;"",$D514&lt;&gt;""),1,0))</f>
        <v/>
      </c>
      <c r="BN514" s="21" t="str">
        <f>IF(OR(COUNT(G514:I1513)=0,AND('Choix pédagogiques'!$C$3&lt;&gt;1,'Choix pédagogiques'!$C$3&lt;&gt;2)),"",IF(AND(OR('Choix pédagogiques'!$C$3=1,'Choix pédagogiques'!$C$3=2),AND($G514&lt;&gt;"",$H514&lt;&gt;"",$I514&lt;&gt;"")),1,0))</f>
        <v/>
      </c>
      <c r="BO514" s="21" t="str">
        <f>IF(OR(COUNT(B514:D1513)=0,COUNT(G514:I1513)=0,'Choix pédagogiques'!C$3&lt;&gt;3),"",IF(AND('Choix pédagogiques'!$C$3=3,$B514&lt;&gt;"",$C514&lt;&gt;"",$D514&lt;&gt;"",$G514&lt;&gt;"",$H514&lt;&gt;"",$I514&lt;&gt;""),1,0))</f>
        <v/>
      </c>
      <c r="BR514" s="21">
        <v>694</v>
      </c>
      <c r="BS514" s="21">
        <v>1927</v>
      </c>
      <c r="BT514"/>
    </row>
    <row r="515" spans="1:72" s="23" customFormat="1" ht="18" customHeight="1" x14ac:dyDescent="0.3">
      <c r="A515" s="35" t="s">
        <v>505</v>
      </c>
      <c r="B515" s="37"/>
      <c r="C515" s="37"/>
      <c r="D515" s="37"/>
      <c r="E515" s="37"/>
      <c r="F515" s="35" t="s">
        <v>1513</v>
      </c>
      <c r="G515" s="37"/>
      <c r="H515" s="37"/>
      <c r="I515" s="37"/>
      <c r="J515" s="37"/>
      <c r="K515" s="21" t="str">
        <f t="shared" si="349"/>
        <v>Apprenant 503</v>
      </c>
      <c r="L515" s="22" t="str">
        <f t="shared" si="350"/>
        <v/>
      </c>
      <c r="M515" s="22" t="str">
        <f t="shared" si="351"/>
        <v/>
      </c>
      <c r="N515" s="22" t="str">
        <f t="shared" si="352"/>
        <v/>
      </c>
      <c r="O515" s="22" t="str">
        <f t="shared" si="353"/>
        <v/>
      </c>
      <c r="P515" s="21" t="str">
        <f t="shared" si="354"/>
        <v>Apprenant 503 ou 503'</v>
      </c>
      <c r="Q515" s="22" t="str">
        <f t="shared" si="355"/>
        <v/>
      </c>
      <c r="R515" s="22" t="str">
        <f t="shared" si="356"/>
        <v/>
      </c>
      <c r="S515" s="22" t="str">
        <f t="shared" si="357"/>
        <v/>
      </c>
      <c r="T515" s="22" t="str">
        <f t="shared" si="358"/>
        <v/>
      </c>
      <c r="V515" s="21" t="str">
        <f t="shared" si="359"/>
        <v>Apprenant 503</v>
      </c>
      <c r="W515" s="22" t="str">
        <f>IF(AND(OR('Choix pédagogiques'!$C$3=1,'Choix pédagogiques'!$C$3=2),$BM515=1),B515,IF(AND('Choix pédagogiques'!$C$3=3,$BO515=1),B515,""))</f>
        <v/>
      </c>
      <c r="X515" s="22" t="str">
        <f>IF(AND(OR('Choix pédagogiques'!$C$3=1,'Choix pédagogiques'!$C$3=2),$BM515=1),C515,IF(AND('Choix pédagogiques'!$C$3=3,$BO515=1),C515,""))</f>
        <v/>
      </c>
      <c r="Y515" s="22" t="str">
        <f>IF(AND(OR('Choix pédagogiques'!$C$3=1,'Choix pédagogiques'!$C$3=2),$BM515=1),D515,IF(AND('Choix pédagogiques'!$C$3=3,$BO515=1),D515,""))</f>
        <v/>
      </c>
      <c r="Z515" s="22" t="str">
        <f t="shared" si="360"/>
        <v/>
      </c>
      <c r="AA515" s="21" t="str">
        <f t="shared" si="361"/>
        <v>Apprenant 503 ou 503'</v>
      </c>
      <c r="AB515" s="22" t="str">
        <f>IF(AND(OR('Choix pédagogiques'!$C$3=1,'Choix pédagogiques'!$C$3=2),$BN515=1),G515,IF(AND('Choix pédagogiques'!$C$3=3,$BO515=1),G515,""))</f>
        <v/>
      </c>
      <c r="AC515" s="22" t="str">
        <f>IF(AND(OR('Choix pédagogiques'!$C$3=1,'Choix pédagogiques'!$C$3=2),$BN515=1),H515,IF(AND('Choix pédagogiques'!$C$3=3,$BO515=1),H515,""))</f>
        <v/>
      </c>
      <c r="AD515" s="22" t="str">
        <f>IF(AND(OR('Choix pédagogiques'!$C$3=1,'Choix pédagogiques'!$C$3=2),$BN515=1),I515,IF(AND('Choix pédagogiques'!$C$3=3,$BO515=1),I515,""))</f>
        <v/>
      </c>
      <c r="AE515" s="22" t="str">
        <f t="shared" si="362"/>
        <v/>
      </c>
      <c r="AF515" s="21" t="str">
        <f t="shared" si="363"/>
        <v>Apprenant 503</v>
      </c>
      <c r="AG515" s="22" t="str">
        <f t="shared" si="337"/>
        <v/>
      </c>
      <c r="AH515" s="22" t="str">
        <f t="shared" si="338"/>
        <v/>
      </c>
      <c r="AI515" s="22" t="str">
        <f t="shared" si="339"/>
        <v/>
      </c>
      <c r="AJ515" s="22" t="str">
        <f t="shared" si="364"/>
        <v/>
      </c>
      <c r="AK515" s="21" t="str">
        <f t="shared" si="365"/>
        <v>Apprenant 503 ou 503'</v>
      </c>
      <c r="AL515" s="22" t="str">
        <f t="shared" si="340"/>
        <v/>
      </c>
      <c r="AM515" s="22" t="str">
        <f t="shared" si="341"/>
        <v/>
      </c>
      <c r="AN515" s="22" t="str">
        <f t="shared" si="342"/>
        <v/>
      </c>
      <c r="AO515" s="22" t="str">
        <f t="shared" si="366"/>
        <v/>
      </c>
      <c r="AQ515" s="21" t="str">
        <f t="shared" si="367"/>
        <v>Apprenant 503</v>
      </c>
      <c r="AR515" s="49" t="str">
        <f>IF(AND('Choix pédagogiques'!$C$4&lt;&gt;"?",'Choix pédagogiques'!$C$5&lt;&gt;"?",W515&lt;&gt;""),(W515-'Choix pédagogiques'!$C$4)/('Choix pédagogiques'!$C$5-'Choix pédagogiques'!$C$4),"")</f>
        <v/>
      </c>
      <c r="AS515" s="49" t="str">
        <f>IF(AND('Choix pédagogiques'!$C$4&lt;&gt;"?",'Choix pédagogiques'!$C$5&lt;&gt;"?",X515&lt;&gt;""),(X515-'Choix pédagogiques'!$C$4)/('Choix pédagogiques'!$C$5-'Choix pédagogiques'!$C$4),"")</f>
        <v/>
      </c>
      <c r="AT515" s="49" t="str">
        <f>IF(AND('Choix pédagogiques'!$C$4&lt;&gt;"?",'Choix pédagogiques'!$C$5&lt;&gt;"?",Y515&lt;&gt;""),(Y515-'Choix pédagogiques'!$C$4)/('Choix pédagogiques'!$C$5-'Choix pédagogiques'!$C$4),"")</f>
        <v/>
      </c>
      <c r="AU515" s="22" t="str">
        <f t="shared" si="368"/>
        <v/>
      </c>
      <c r="AV515" s="21" t="str">
        <f t="shared" si="369"/>
        <v>Apprenant 503 ou 503'</v>
      </c>
      <c r="AW515" s="49" t="str">
        <f>IF(AND('Choix pédagogiques'!$C$4&lt;&gt;"?",'Choix pédagogiques'!$C$5&lt;&gt;"?",AB515&lt;&gt;""),(AB515-'Choix pédagogiques'!$C$4)/('Choix pédagogiques'!$C$5-'Choix pédagogiques'!$C$4),"")</f>
        <v/>
      </c>
      <c r="AX515" s="49" t="str">
        <f>IF(AND('Choix pédagogiques'!$C$4&lt;&gt;"?",'Choix pédagogiques'!$C$5&lt;&gt;"?",AC515&lt;&gt;""),(AC515-'Choix pédagogiques'!$C$4)/('Choix pédagogiques'!$C$5-'Choix pédagogiques'!$C$4),"")</f>
        <v/>
      </c>
      <c r="AY515" s="49" t="str">
        <f>IF(AND('Choix pédagogiques'!$C$4&lt;&gt;"?",'Choix pédagogiques'!$C$5&lt;&gt;"?",AD515&lt;&gt;""),(AD515-'Choix pédagogiques'!$C$4)/('Choix pédagogiques'!$C$5-'Choix pédagogiques'!$C$4),"")</f>
        <v/>
      </c>
      <c r="AZ515" s="22" t="str">
        <f t="shared" si="370"/>
        <v/>
      </c>
      <c r="BA515" s="21" t="str">
        <f t="shared" si="371"/>
        <v>Apprenant 503</v>
      </c>
      <c r="BB515" s="49" t="str">
        <f t="shared" si="343"/>
        <v/>
      </c>
      <c r="BC515" s="49" t="str">
        <f t="shared" si="344"/>
        <v/>
      </c>
      <c r="BD515" s="49" t="str">
        <f t="shared" si="345"/>
        <v/>
      </c>
      <c r="BE515" s="22" t="str">
        <f t="shared" si="372"/>
        <v/>
      </c>
      <c r="BF515" s="21" t="str">
        <f t="shared" si="373"/>
        <v>Apprenant 503 ou 503'</v>
      </c>
      <c r="BG515" s="49" t="str">
        <f t="shared" si="346"/>
        <v/>
      </c>
      <c r="BH515" s="49" t="str">
        <f t="shared" si="347"/>
        <v/>
      </c>
      <c r="BI515" s="49" t="str">
        <f t="shared" si="348"/>
        <v/>
      </c>
      <c r="BJ515" s="22" t="str">
        <f t="shared" si="374"/>
        <v/>
      </c>
      <c r="BL515" s="21"/>
      <c r="BM515" s="21" t="str">
        <f>IF(OR(COUNT(B515:D1514)=0,AND('Choix pédagogiques'!$C$3&lt;&gt;1,'Choix pédagogiques'!$C$3&lt;&gt;2)),"",IF(AND(OR('Choix pédagogiques'!$C$3=1,'Choix pédagogiques'!$C$3=2),$B515&lt;&gt;"",$C515&lt;&gt;"",$D515&lt;&gt;""),1,0))</f>
        <v/>
      </c>
      <c r="BN515" s="21" t="str">
        <f>IF(OR(COUNT(G515:I1514)=0,AND('Choix pédagogiques'!$C$3&lt;&gt;1,'Choix pédagogiques'!$C$3&lt;&gt;2)),"",IF(AND(OR('Choix pédagogiques'!$C$3=1,'Choix pédagogiques'!$C$3=2),AND($G515&lt;&gt;"",$H515&lt;&gt;"",$I515&lt;&gt;"")),1,0))</f>
        <v/>
      </c>
      <c r="BO515" s="21" t="str">
        <f>IF(OR(COUNT(B515:D1514)=0,COUNT(G515:I1514)=0,'Choix pédagogiques'!C$3&lt;&gt;3),"",IF(AND('Choix pédagogiques'!$C$3=3,$B515&lt;&gt;"",$C515&lt;&gt;"",$D515&lt;&gt;"",$G515&lt;&gt;"",$H515&lt;&gt;"",$I515&lt;&gt;""),1,0))</f>
        <v/>
      </c>
      <c r="BR515" s="21">
        <v>871</v>
      </c>
      <c r="BS515" s="21">
        <v>1904</v>
      </c>
      <c r="BT515"/>
    </row>
    <row r="516" spans="1:72" s="23" customFormat="1" ht="18" customHeight="1" x14ac:dyDescent="0.3">
      <c r="A516" s="35" t="s">
        <v>506</v>
      </c>
      <c r="B516" s="37"/>
      <c r="C516" s="37"/>
      <c r="D516" s="37"/>
      <c r="E516" s="37"/>
      <c r="F516" s="35" t="s">
        <v>1514</v>
      </c>
      <c r="G516" s="37"/>
      <c r="H516" s="37"/>
      <c r="I516" s="37"/>
      <c r="J516" s="37"/>
      <c r="K516" s="21" t="str">
        <f t="shared" si="349"/>
        <v>Apprenant 504</v>
      </c>
      <c r="L516" s="22" t="str">
        <f t="shared" si="350"/>
        <v/>
      </c>
      <c r="M516" s="22" t="str">
        <f t="shared" si="351"/>
        <v/>
      </c>
      <c r="N516" s="22" t="str">
        <f t="shared" si="352"/>
        <v/>
      </c>
      <c r="O516" s="22" t="str">
        <f t="shared" si="353"/>
        <v/>
      </c>
      <c r="P516" s="21" t="str">
        <f t="shared" si="354"/>
        <v>Apprenant 504 ou 504'</v>
      </c>
      <c r="Q516" s="22" t="str">
        <f t="shared" si="355"/>
        <v/>
      </c>
      <c r="R516" s="22" t="str">
        <f t="shared" si="356"/>
        <v/>
      </c>
      <c r="S516" s="22" t="str">
        <f t="shared" si="357"/>
        <v/>
      </c>
      <c r="T516" s="22" t="str">
        <f t="shared" si="358"/>
        <v/>
      </c>
      <c r="V516" s="21" t="str">
        <f t="shared" si="359"/>
        <v>Apprenant 504</v>
      </c>
      <c r="W516" s="22" t="str">
        <f>IF(AND(OR('Choix pédagogiques'!$C$3=1,'Choix pédagogiques'!$C$3=2),$BM516=1),B516,IF(AND('Choix pédagogiques'!$C$3=3,$BO516=1),B516,""))</f>
        <v/>
      </c>
      <c r="X516" s="22" t="str">
        <f>IF(AND(OR('Choix pédagogiques'!$C$3=1,'Choix pédagogiques'!$C$3=2),$BM516=1),C516,IF(AND('Choix pédagogiques'!$C$3=3,$BO516=1),C516,""))</f>
        <v/>
      </c>
      <c r="Y516" s="22" t="str">
        <f>IF(AND(OR('Choix pédagogiques'!$C$3=1,'Choix pédagogiques'!$C$3=2),$BM516=1),D516,IF(AND('Choix pédagogiques'!$C$3=3,$BO516=1),D516,""))</f>
        <v/>
      </c>
      <c r="Z516" s="22" t="str">
        <f t="shared" si="360"/>
        <v/>
      </c>
      <c r="AA516" s="21" t="str">
        <f t="shared" si="361"/>
        <v>Apprenant 504 ou 504'</v>
      </c>
      <c r="AB516" s="22" t="str">
        <f>IF(AND(OR('Choix pédagogiques'!$C$3=1,'Choix pédagogiques'!$C$3=2),$BN516=1),G516,IF(AND('Choix pédagogiques'!$C$3=3,$BO516=1),G516,""))</f>
        <v/>
      </c>
      <c r="AC516" s="22" t="str">
        <f>IF(AND(OR('Choix pédagogiques'!$C$3=1,'Choix pédagogiques'!$C$3=2),$BN516=1),H516,IF(AND('Choix pédagogiques'!$C$3=3,$BO516=1),H516,""))</f>
        <v/>
      </c>
      <c r="AD516" s="22" t="str">
        <f>IF(AND(OR('Choix pédagogiques'!$C$3=1,'Choix pédagogiques'!$C$3=2),$BN516=1),I516,IF(AND('Choix pédagogiques'!$C$3=3,$BO516=1),I516,""))</f>
        <v/>
      </c>
      <c r="AE516" s="22" t="str">
        <f t="shared" si="362"/>
        <v/>
      </c>
      <c r="AF516" s="21" t="str">
        <f t="shared" si="363"/>
        <v>Apprenant 504</v>
      </c>
      <c r="AG516" s="22" t="str">
        <f t="shared" si="337"/>
        <v/>
      </c>
      <c r="AH516" s="22" t="str">
        <f t="shared" si="338"/>
        <v/>
      </c>
      <c r="AI516" s="22" t="str">
        <f t="shared" si="339"/>
        <v/>
      </c>
      <c r="AJ516" s="22" t="str">
        <f t="shared" si="364"/>
        <v/>
      </c>
      <c r="AK516" s="21" t="str">
        <f t="shared" si="365"/>
        <v>Apprenant 504 ou 504'</v>
      </c>
      <c r="AL516" s="22" t="str">
        <f t="shared" si="340"/>
        <v/>
      </c>
      <c r="AM516" s="22" t="str">
        <f t="shared" si="341"/>
        <v/>
      </c>
      <c r="AN516" s="22" t="str">
        <f t="shared" si="342"/>
        <v/>
      </c>
      <c r="AO516" s="22" t="str">
        <f t="shared" si="366"/>
        <v/>
      </c>
      <c r="AQ516" s="21" t="str">
        <f t="shared" si="367"/>
        <v>Apprenant 504</v>
      </c>
      <c r="AR516" s="49" t="str">
        <f>IF(AND('Choix pédagogiques'!$C$4&lt;&gt;"?",'Choix pédagogiques'!$C$5&lt;&gt;"?",W516&lt;&gt;""),(W516-'Choix pédagogiques'!$C$4)/('Choix pédagogiques'!$C$5-'Choix pédagogiques'!$C$4),"")</f>
        <v/>
      </c>
      <c r="AS516" s="49" t="str">
        <f>IF(AND('Choix pédagogiques'!$C$4&lt;&gt;"?",'Choix pédagogiques'!$C$5&lt;&gt;"?",X516&lt;&gt;""),(X516-'Choix pédagogiques'!$C$4)/('Choix pédagogiques'!$C$5-'Choix pédagogiques'!$C$4),"")</f>
        <v/>
      </c>
      <c r="AT516" s="49" t="str">
        <f>IF(AND('Choix pédagogiques'!$C$4&lt;&gt;"?",'Choix pédagogiques'!$C$5&lt;&gt;"?",Y516&lt;&gt;""),(Y516-'Choix pédagogiques'!$C$4)/('Choix pédagogiques'!$C$5-'Choix pédagogiques'!$C$4),"")</f>
        <v/>
      </c>
      <c r="AU516" s="22" t="str">
        <f t="shared" si="368"/>
        <v/>
      </c>
      <c r="AV516" s="21" t="str">
        <f t="shared" si="369"/>
        <v>Apprenant 504 ou 504'</v>
      </c>
      <c r="AW516" s="49" t="str">
        <f>IF(AND('Choix pédagogiques'!$C$4&lt;&gt;"?",'Choix pédagogiques'!$C$5&lt;&gt;"?",AB516&lt;&gt;""),(AB516-'Choix pédagogiques'!$C$4)/('Choix pédagogiques'!$C$5-'Choix pédagogiques'!$C$4),"")</f>
        <v/>
      </c>
      <c r="AX516" s="49" t="str">
        <f>IF(AND('Choix pédagogiques'!$C$4&lt;&gt;"?",'Choix pédagogiques'!$C$5&lt;&gt;"?",AC516&lt;&gt;""),(AC516-'Choix pédagogiques'!$C$4)/('Choix pédagogiques'!$C$5-'Choix pédagogiques'!$C$4),"")</f>
        <v/>
      </c>
      <c r="AY516" s="49" t="str">
        <f>IF(AND('Choix pédagogiques'!$C$4&lt;&gt;"?",'Choix pédagogiques'!$C$5&lt;&gt;"?",AD516&lt;&gt;""),(AD516-'Choix pédagogiques'!$C$4)/('Choix pédagogiques'!$C$5-'Choix pédagogiques'!$C$4),"")</f>
        <v/>
      </c>
      <c r="AZ516" s="22" t="str">
        <f t="shared" si="370"/>
        <v/>
      </c>
      <c r="BA516" s="21" t="str">
        <f t="shared" si="371"/>
        <v>Apprenant 504</v>
      </c>
      <c r="BB516" s="49" t="str">
        <f t="shared" si="343"/>
        <v/>
      </c>
      <c r="BC516" s="49" t="str">
        <f t="shared" si="344"/>
        <v/>
      </c>
      <c r="BD516" s="49" t="str">
        <f t="shared" si="345"/>
        <v/>
      </c>
      <c r="BE516" s="22" t="str">
        <f t="shared" si="372"/>
        <v/>
      </c>
      <c r="BF516" s="21" t="str">
        <f t="shared" si="373"/>
        <v>Apprenant 504 ou 504'</v>
      </c>
      <c r="BG516" s="49" t="str">
        <f t="shared" si="346"/>
        <v/>
      </c>
      <c r="BH516" s="49" t="str">
        <f t="shared" si="347"/>
        <v/>
      </c>
      <c r="BI516" s="49" t="str">
        <f t="shared" si="348"/>
        <v/>
      </c>
      <c r="BJ516" s="22" t="str">
        <f t="shared" si="374"/>
        <v/>
      </c>
      <c r="BL516" s="21"/>
      <c r="BM516" s="21" t="str">
        <f>IF(OR(COUNT(B516:D1515)=0,AND('Choix pédagogiques'!$C$3&lt;&gt;1,'Choix pédagogiques'!$C$3&lt;&gt;2)),"",IF(AND(OR('Choix pédagogiques'!$C$3=1,'Choix pédagogiques'!$C$3=2),$B516&lt;&gt;"",$C516&lt;&gt;"",$D516&lt;&gt;""),1,0))</f>
        <v/>
      </c>
      <c r="BN516" s="21" t="str">
        <f>IF(OR(COUNT(G516:I1515)=0,AND('Choix pédagogiques'!$C$3&lt;&gt;1,'Choix pédagogiques'!$C$3&lt;&gt;2)),"",IF(AND(OR('Choix pédagogiques'!$C$3=1,'Choix pédagogiques'!$C$3=2),AND($G516&lt;&gt;"",$H516&lt;&gt;"",$I516&lt;&gt;"")),1,0))</f>
        <v/>
      </c>
      <c r="BO516" s="21" t="str">
        <f>IF(OR(COUNT(B516:D1515)=0,COUNT(G516:I1515)=0,'Choix pédagogiques'!C$3&lt;&gt;3),"",IF(AND('Choix pédagogiques'!$C$3=3,$B516&lt;&gt;"",$C516&lt;&gt;"",$D516&lt;&gt;"",$G516&lt;&gt;"",$H516&lt;&gt;"",$I516&lt;&gt;""),1,0))</f>
        <v/>
      </c>
      <c r="BR516" s="21">
        <v>728</v>
      </c>
      <c r="BS516" s="21">
        <v>1486</v>
      </c>
      <c r="BT516"/>
    </row>
    <row r="517" spans="1:72" s="23" customFormat="1" ht="18" customHeight="1" x14ac:dyDescent="0.3">
      <c r="A517" s="35" t="s">
        <v>507</v>
      </c>
      <c r="B517" s="37"/>
      <c r="C517" s="37"/>
      <c r="D517" s="37"/>
      <c r="E517" s="37"/>
      <c r="F517" s="35" t="s">
        <v>1515</v>
      </c>
      <c r="G517" s="37"/>
      <c r="H517" s="37"/>
      <c r="I517" s="37"/>
      <c r="J517" s="37"/>
      <c r="K517" s="21" t="str">
        <f t="shared" si="349"/>
        <v>Apprenant 505</v>
      </c>
      <c r="L517" s="22" t="str">
        <f t="shared" si="350"/>
        <v/>
      </c>
      <c r="M517" s="22" t="str">
        <f t="shared" si="351"/>
        <v/>
      </c>
      <c r="N517" s="22" t="str">
        <f t="shared" si="352"/>
        <v/>
      </c>
      <c r="O517" s="22" t="str">
        <f t="shared" si="353"/>
        <v/>
      </c>
      <c r="P517" s="21" t="str">
        <f t="shared" si="354"/>
        <v>Apprenant 505 ou 505'</v>
      </c>
      <c r="Q517" s="22" t="str">
        <f t="shared" si="355"/>
        <v/>
      </c>
      <c r="R517" s="22" t="str">
        <f t="shared" si="356"/>
        <v/>
      </c>
      <c r="S517" s="22" t="str">
        <f t="shared" si="357"/>
        <v/>
      </c>
      <c r="T517" s="22" t="str">
        <f t="shared" si="358"/>
        <v/>
      </c>
      <c r="V517" s="21" t="str">
        <f t="shared" si="359"/>
        <v>Apprenant 505</v>
      </c>
      <c r="W517" s="22" t="str">
        <f>IF(AND(OR('Choix pédagogiques'!$C$3=1,'Choix pédagogiques'!$C$3=2),$BM517=1),B517,IF(AND('Choix pédagogiques'!$C$3=3,$BO517=1),B517,""))</f>
        <v/>
      </c>
      <c r="X517" s="22" t="str">
        <f>IF(AND(OR('Choix pédagogiques'!$C$3=1,'Choix pédagogiques'!$C$3=2),$BM517=1),C517,IF(AND('Choix pédagogiques'!$C$3=3,$BO517=1),C517,""))</f>
        <v/>
      </c>
      <c r="Y517" s="22" t="str">
        <f>IF(AND(OR('Choix pédagogiques'!$C$3=1,'Choix pédagogiques'!$C$3=2),$BM517=1),D517,IF(AND('Choix pédagogiques'!$C$3=3,$BO517=1),D517,""))</f>
        <v/>
      </c>
      <c r="Z517" s="22" t="str">
        <f t="shared" si="360"/>
        <v/>
      </c>
      <c r="AA517" s="21" t="str">
        <f t="shared" si="361"/>
        <v>Apprenant 505 ou 505'</v>
      </c>
      <c r="AB517" s="22" t="str">
        <f>IF(AND(OR('Choix pédagogiques'!$C$3=1,'Choix pédagogiques'!$C$3=2),$BN517=1),G517,IF(AND('Choix pédagogiques'!$C$3=3,$BO517=1),G517,""))</f>
        <v/>
      </c>
      <c r="AC517" s="22" t="str">
        <f>IF(AND(OR('Choix pédagogiques'!$C$3=1,'Choix pédagogiques'!$C$3=2),$BN517=1),H517,IF(AND('Choix pédagogiques'!$C$3=3,$BO517=1),H517,""))</f>
        <v/>
      </c>
      <c r="AD517" s="22" t="str">
        <f>IF(AND(OR('Choix pédagogiques'!$C$3=1,'Choix pédagogiques'!$C$3=2),$BN517=1),I517,IF(AND('Choix pédagogiques'!$C$3=3,$BO517=1),I517,""))</f>
        <v/>
      </c>
      <c r="AE517" s="22" t="str">
        <f t="shared" si="362"/>
        <v/>
      </c>
      <c r="AF517" s="21" t="str">
        <f t="shared" si="363"/>
        <v>Apprenant 505</v>
      </c>
      <c r="AG517" s="22" t="str">
        <f t="shared" si="337"/>
        <v/>
      </c>
      <c r="AH517" s="22" t="str">
        <f t="shared" si="338"/>
        <v/>
      </c>
      <c r="AI517" s="22" t="str">
        <f t="shared" si="339"/>
        <v/>
      </c>
      <c r="AJ517" s="22" t="str">
        <f t="shared" si="364"/>
        <v/>
      </c>
      <c r="AK517" s="21" t="str">
        <f t="shared" si="365"/>
        <v>Apprenant 505 ou 505'</v>
      </c>
      <c r="AL517" s="22" t="str">
        <f t="shared" si="340"/>
        <v/>
      </c>
      <c r="AM517" s="22" t="str">
        <f t="shared" si="341"/>
        <v/>
      </c>
      <c r="AN517" s="22" t="str">
        <f t="shared" si="342"/>
        <v/>
      </c>
      <c r="AO517" s="22" t="str">
        <f t="shared" si="366"/>
        <v/>
      </c>
      <c r="AQ517" s="21" t="str">
        <f t="shared" si="367"/>
        <v>Apprenant 505</v>
      </c>
      <c r="AR517" s="49" t="str">
        <f>IF(AND('Choix pédagogiques'!$C$4&lt;&gt;"?",'Choix pédagogiques'!$C$5&lt;&gt;"?",W517&lt;&gt;""),(W517-'Choix pédagogiques'!$C$4)/('Choix pédagogiques'!$C$5-'Choix pédagogiques'!$C$4),"")</f>
        <v/>
      </c>
      <c r="AS517" s="49" t="str">
        <f>IF(AND('Choix pédagogiques'!$C$4&lt;&gt;"?",'Choix pédagogiques'!$C$5&lt;&gt;"?",X517&lt;&gt;""),(X517-'Choix pédagogiques'!$C$4)/('Choix pédagogiques'!$C$5-'Choix pédagogiques'!$C$4),"")</f>
        <v/>
      </c>
      <c r="AT517" s="49" t="str">
        <f>IF(AND('Choix pédagogiques'!$C$4&lt;&gt;"?",'Choix pédagogiques'!$C$5&lt;&gt;"?",Y517&lt;&gt;""),(Y517-'Choix pédagogiques'!$C$4)/('Choix pédagogiques'!$C$5-'Choix pédagogiques'!$C$4),"")</f>
        <v/>
      </c>
      <c r="AU517" s="22" t="str">
        <f t="shared" si="368"/>
        <v/>
      </c>
      <c r="AV517" s="21" t="str">
        <f t="shared" si="369"/>
        <v>Apprenant 505 ou 505'</v>
      </c>
      <c r="AW517" s="49" t="str">
        <f>IF(AND('Choix pédagogiques'!$C$4&lt;&gt;"?",'Choix pédagogiques'!$C$5&lt;&gt;"?",AB517&lt;&gt;""),(AB517-'Choix pédagogiques'!$C$4)/('Choix pédagogiques'!$C$5-'Choix pédagogiques'!$C$4),"")</f>
        <v/>
      </c>
      <c r="AX517" s="49" t="str">
        <f>IF(AND('Choix pédagogiques'!$C$4&lt;&gt;"?",'Choix pédagogiques'!$C$5&lt;&gt;"?",AC517&lt;&gt;""),(AC517-'Choix pédagogiques'!$C$4)/('Choix pédagogiques'!$C$5-'Choix pédagogiques'!$C$4),"")</f>
        <v/>
      </c>
      <c r="AY517" s="49" t="str">
        <f>IF(AND('Choix pédagogiques'!$C$4&lt;&gt;"?",'Choix pédagogiques'!$C$5&lt;&gt;"?",AD517&lt;&gt;""),(AD517-'Choix pédagogiques'!$C$4)/('Choix pédagogiques'!$C$5-'Choix pédagogiques'!$C$4),"")</f>
        <v/>
      </c>
      <c r="AZ517" s="22" t="str">
        <f t="shared" si="370"/>
        <v/>
      </c>
      <c r="BA517" s="21" t="str">
        <f t="shared" si="371"/>
        <v>Apprenant 505</v>
      </c>
      <c r="BB517" s="49" t="str">
        <f t="shared" si="343"/>
        <v/>
      </c>
      <c r="BC517" s="49" t="str">
        <f t="shared" si="344"/>
        <v/>
      </c>
      <c r="BD517" s="49" t="str">
        <f t="shared" si="345"/>
        <v/>
      </c>
      <c r="BE517" s="22" t="str">
        <f t="shared" si="372"/>
        <v/>
      </c>
      <c r="BF517" s="21" t="str">
        <f t="shared" si="373"/>
        <v>Apprenant 505 ou 505'</v>
      </c>
      <c r="BG517" s="49" t="str">
        <f t="shared" si="346"/>
        <v/>
      </c>
      <c r="BH517" s="49" t="str">
        <f t="shared" si="347"/>
        <v/>
      </c>
      <c r="BI517" s="49" t="str">
        <f t="shared" si="348"/>
        <v/>
      </c>
      <c r="BJ517" s="22" t="str">
        <f t="shared" si="374"/>
        <v/>
      </c>
      <c r="BL517" s="21"/>
      <c r="BM517" s="21" t="str">
        <f>IF(OR(COUNT(B517:D1516)=0,AND('Choix pédagogiques'!$C$3&lt;&gt;1,'Choix pédagogiques'!$C$3&lt;&gt;2)),"",IF(AND(OR('Choix pédagogiques'!$C$3=1,'Choix pédagogiques'!$C$3=2),$B517&lt;&gt;"",$C517&lt;&gt;"",$D517&lt;&gt;""),1,0))</f>
        <v/>
      </c>
      <c r="BN517" s="21" t="str">
        <f>IF(OR(COUNT(G517:I1516)=0,AND('Choix pédagogiques'!$C$3&lt;&gt;1,'Choix pédagogiques'!$C$3&lt;&gt;2)),"",IF(AND(OR('Choix pédagogiques'!$C$3=1,'Choix pédagogiques'!$C$3=2),AND($G517&lt;&gt;"",$H517&lt;&gt;"",$I517&lt;&gt;"")),1,0))</f>
        <v/>
      </c>
      <c r="BO517" s="21" t="str">
        <f>IF(OR(COUNT(B517:D1516)=0,COUNT(G517:I1516)=0,'Choix pédagogiques'!C$3&lt;&gt;3),"",IF(AND('Choix pédagogiques'!$C$3=3,$B517&lt;&gt;"",$C517&lt;&gt;"",$D517&lt;&gt;"",$G517&lt;&gt;"",$H517&lt;&gt;"",$I517&lt;&gt;""),1,0))</f>
        <v/>
      </c>
      <c r="BR517" s="21">
        <v>663</v>
      </c>
      <c r="BS517" s="21">
        <v>1956</v>
      </c>
      <c r="BT517"/>
    </row>
    <row r="518" spans="1:72" s="23" customFormat="1" ht="18" customHeight="1" x14ac:dyDescent="0.3">
      <c r="A518" s="35" t="s">
        <v>508</v>
      </c>
      <c r="B518" s="37"/>
      <c r="C518" s="37"/>
      <c r="D518" s="37"/>
      <c r="E518" s="37"/>
      <c r="F518" s="35" t="s">
        <v>1516</v>
      </c>
      <c r="G518" s="37"/>
      <c r="H518" s="37"/>
      <c r="I518" s="37"/>
      <c r="J518" s="37"/>
      <c r="K518" s="21" t="str">
        <f t="shared" si="349"/>
        <v>Apprenant 506</v>
      </c>
      <c r="L518" s="22" t="str">
        <f t="shared" si="350"/>
        <v/>
      </c>
      <c r="M518" s="22" t="str">
        <f t="shared" si="351"/>
        <v/>
      </c>
      <c r="N518" s="22" t="str">
        <f t="shared" si="352"/>
        <v/>
      </c>
      <c r="O518" s="22" t="str">
        <f t="shared" si="353"/>
        <v/>
      </c>
      <c r="P518" s="21" t="str">
        <f t="shared" si="354"/>
        <v>Apprenant 506 ou 506'</v>
      </c>
      <c r="Q518" s="22" t="str">
        <f t="shared" si="355"/>
        <v/>
      </c>
      <c r="R518" s="22" t="str">
        <f t="shared" si="356"/>
        <v/>
      </c>
      <c r="S518" s="22" t="str">
        <f t="shared" si="357"/>
        <v/>
      </c>
      <c r="T518" s="22" t="str">
        <f t="shared" si="358"/>
        <v/>
      </c>
      <c r="V518" s="21" t="str">
        <f t="shared" si="359"/>
        <v>Apprenant 506</v>
      </c>
      <c r="W518" s="22" t="str">
        <f>IF(AND(OR('Choix pédagogiques'!$C$3=1,'Choix pédagogiques'!$C$3=2),$BM518=1),B518,IF(AND('Choix pédagogiques'!$C$3=3,$BO518=1),B518,""))</f>
        <v/>
      </c>
      <c r="X518" s="22" t="str">
        <f>IF(AND(OR('Choix pédagogiques'!$C$3=1,'Choix pédagogiques'!$C$3=2),$BM518=1),C518,IF(AND('Choix pédagogiques'!$C$3=3,$BO518=1),C518,""))</f>
        <v/>
      </c>
      <c r="Y518" s="22" t="str">
        <f>IF(AND(OR('Choix pédagogiques'!$C$3=1,'Choix pédagogiques'!$C$3=2),$BM518=1),D518,IF(AND('Choix pédagogiques'!$C$3=3,$BO518=1),D518,""))</f>
        <v/>
      </c>
      <c r="Z518" s="22" t="str">
        <f t="shared" si="360"/>
        <v/>
      </c>
      <c r="AA518" s="21" t="str">
        <f t="shared" si="361"/>
        <v>Apprenant 506 ou 506'</v>
      </c>
      <c r="AB518" s="22" t="str">
        <f>IF(AND(OR('Choix pédagogiques'!$C$3=1,'Choix pédagogiques'!$C$3=2),$BN518=1),G518,IF(AND('Choix pédagogiques'!$C$3=3,$BO518=1),G518,""))</f>
        <v/>
      </c>
      <c r="AC518" s="22" t="str">
        <f>IF(AND(OR('Choix pédagogiques'!$C$3=1,'Choix pédagogiques'!$C$3=2),$BN518=1),H518,IF(AND('Choix pédagogiques'!$C$3=3,$BO518=1),H518,""))</f>
        <v/>
      </c>
      <c r="AD518" s="22" t="str">
        <f>IF(AND(OR('Choix pédagogiques'!$C$3=1,'Choix pédagogiques'!$C$3=2),$BN518=1),I518,IF(AND('Choix pédagogiques'!$C$3=3,$BO518=1),I518,""))</f>
        <v/>
      </c>
      <c r="AE518" s="22" t="str">
        <f t="shared" si="362"/>
        <v/>
      </c>
      <c r="AF518" s="21" t="str">
        <f t="shared" si="363"/>
        <v>Apprenant 506</v>
      </c>
      <c r="AG518" s="22" t="str">
        <f t="shared" si="337"/>
        <v/>
      </c>
      <c r="AH518" s="22" t="str">
        <f t="shared" si="338"/>
        <v/>
      </c>
      <c r="AI518" s="22" t="str">
        <f t="shared" si="339"/>
        <v/>
      </c>
      <c r="AJ518" s="22" t="str">
        <f t="shared" si="364"/>
        <v/>
      </c>
      <c r="AK518" s="21" t="str">
        <f t="shared" si="365"/>
        <v>Apprenant 506 ou 506'</v>
      </c>
      <c r="AL518" s="22" t="str">
        <f t="shared" si="340"/>
        <v/>
      </c>
      <c r="AM518" s="22" t="str">
        <f t="shared" si="341"/>
        <v/>
      </c>
      <c r="AN518" s="22" t="str">
        <f t="shared" si="342"/>
        <v/>
      </c>
      <c r="AO518" s="22" t="str">
        <f t="shared" si="366"/>
        <v/>
      </c>
      <c r="AQ518" s="21" t="str">
        <f t="shared" si="367"/>
        <v>Apprenant 506</v>
      </c>
      <c r="AR518" s="49" t="str">
        <f>IF(AND('Choix pédagogiques'!$C$4&lt;&gt;"?",'Choix pédagogiques'!$C$5&lt;&gt;"?",W518&lt;&gt;""),(W518-'Choix pédagogiques'!$C$4)/('Choix pédagogiques'!$C$5-'Choix pédagogiques'!$C$4),"")</f>
        <v/>
      </c>
      <c r="AS518" s="49" t="str">
        <f>IF(AND('Choix pédagogiques'!$C$4&lt;&gt;"?",'Choix pédagogiques'!$C$5&lt;&gt;"?",X518&lt;&gt;""),(X518-'Choix pédagogiques'!$C$4)/('Choix pédagogiques'!$C$5-'Choix pédagogiques'!$C$4),"")</f>
        <v/>
      </c>
      <c r="AT518" s="49" t="str">
        <f>IF(AND('Choix pédagogiques'!$C$4&lt;&gt;"?",'Choix pédagogiques'!$C$5&lt;&gt;"?",Y518&lt;&gt;""),(Y518-'Choix pédagogiques'!$C$4)/('Choix pédagogiques'!$C$5-'Choix pédagogiques'!$C$4),"")</f>
        <v/>
      </c>
      <c r="AU518" s="22" t="str">
        <f t="shared" si="368"/>
        <v/>
      </c>
      <c r="AV518" s="21" t="str">
        <f t="shared" si="369"/>
        <v>Apprenant 506 ou 506'</v>
      </c>
      <c r="AW518" s="49" t="str">
        <f>IF(AND('Choix pédagogiques'!$C$4&lt;&gt;"?",'Choix pédagogiques'!$C$5&lt;&gt;"?",AB518&lt;&gt;""),(AB518-'Choix pédagogiques'!$C$4)/('Choix pédagogiques'!$C$5-'Choix pédagogiques'!$C$4),"")</f>
        <v/>
      </c>
      <c r="AX518" s="49" t="str">
        <f>IF(AND('Choix pédagogiques'!$C$4&lt;&gt;"?",'Choix pédagogiques'!$C$5&lt;&gt;"?",AC518&lt;&gt;""),(AC518-'Choix pédagogiques'!$C$4)/('Choix pédagogiques'!$C$5-'Choix pédagogiques'!$C$4),"")</f>
        <v/>
      </c>
      <c r="AY518" s="49" t="str">
        <f>IF(AND('Choix pédagogiques'!$C$4&lt;&gt;"?",'Choix pédagogiques'!$C$5&lt;&gt;"?",AD518&lt;&gt;""),(AD518-'Choix pédagogiques'!$C$4)/('Choix pédagogiques'!$C$5-'Choix pédagogiques'!$C$4),"")</f>
        <v/>
      </c>
      <c r="AZ518" s="22" t="str">
        <f t="shared" si="370"/>
        <v/>
      </c>
      <c r="BA518" s="21" t="str">
        <f t="shared" si="371"/>
        <v>Apprenant 506</v>
      </c>
      <c r="BB518" s="49" t="str">
        <f t="shared" si="343"/>
        <v/>
      </c>
      <c r="BC518" s="49" t="str">
        <f t="shared" si="344"/>
        <v/>
      </c>
      <c r="BD518" s="49" t="str">
        <f t="shared" si="345"/>
        <v/>
      </c>
      <c r="BE518" s="22" t="str">
        <f t="shared" si="372"/>
        <v/>
      </c>
      <c r="BF518" s="21" t="str">
        <f t="shared" si="373"/>
        <v>Apprenant 506 ou 506'</v>
      </c>
      <c r="BG518" s="49" t="str">
        <f t="shared" si="346"/>
        <v/>
      </c>
      <c r="BH518" s="49" t="str">
        <f t="shared" si="347"/>
        <v/>
      </c>
      <c r="BI518" s="49" t="str">
        <f t="shared" si="348"/>
        <v/>
      </c>
      <c r="BJ518" s="22" t="str">
        <f t="shared" si="374"/>
        <v/>
      </c>
      <c r="BL518" s="21"/>
      <c r="BM518" s="21" t="str">
        <f>IF(OR(COUNT(B518:D1517)=0,AND('Choix pédagogiques'!$C$3&lt;&gt;1,'Choix pédagogiques'!$C$3&lt;&gt;2)),"",IF(AND(OR('Choix pédagogiques'!$C$3=1,'Choix pédagogiques'!$C$3=2),$B518&lt;&gt;"",$C518&lt;&gt;"",$D518&lt;&gt;""),1,0))</f>
        <v/>
      </c>
      <c r="BN518" s="21" t="str">
        <f>IF(OR(COUNT(G518:I1517)=0,AND('Choix pédagogiques'!$C$3&lt;&gt;1,'Choix pédagogiques'!$C$3&lt;&gt;2)),"",IF(AND(OR('Choix pédagogiques'!$C$3=1,'Choix pédagogiques'!$C$3=2),AND($G518&lt;&gt;"",$H518&lt;&gt;"",$I518&lt;&gt;"")),1,0))</f>
        <v/>
      </c>
      <c r="BO518" s="21" t="str">
        <f>IF(OR(COUNT(B518:D1517)=0,COUNT(G518:I1517)=0,'Choix pédagogiques'!C$3&lt;&gt;3),"",IF(AND('Choix pédagogiques'!$C$3=3,$B518&lt;&gt;"",$C518&lt;&gt;"",$D518&lt;&gt;"",$G518&lt;&gt;"",$H518&lt;&gt;"",$I518&lt;&gt;""),1,0))</f>
        <v/>
      </c>
      <c r="BR518" s="21">
        <v>825</v>
      </c>
      <c r="BS518" s="21">
        <v>1177</v>
      </c>
      <c r="BT518"/>
    </row>
    <row r="519" spans="1:72" s="23" customFormat="1" ht="18" customHeight="1" x14ac:dyDescent="0.3">
      <c r="A519" s="35" t="s">
        <v>509</v>
      </c>
      <c r="B519" s="37"/>
      <c r="C519" s="37"/>
      <c r="D519" s="37"/>
      <c r="E519" s="37"/>
      <c r="F519" s="35" t="s">
        <v>1517</v>
      </c>
      <c r="G519" s="37"/>
      <c r="H519" s="37"/>
      <c r="I519" s="37"/>
      <c r="J519" s="37"/>
      <c r="K519" s="21" t="str">
        <f t="shared" si="349"/>
        <v>Apprenant 507</v>
      </c>
      <c r="L519" s="22" t="str">
        <f t="shared" si="350"/>
        <v/>
      </c>
      <c r="M519" s="22" t="str">
        <f t="shared" si="351"/>
        <v/>
      </c>
      <c r="N519" s="22" t="str">
        <f t="shared" si="352"/>
        <v/>
      </c>
      <c r="O519" s="22" t="str">
        <f t="shared" si="353"/>
        <v/>
      </c>
      <c r="P519" s="21" t="str">
        <f t="shared" si="354"/>
        <v>Apprenant 507 ou 507'</v>
      </c>
      <c r="Q519" s="22" t="str">
        <f t="shared" si="355"/>
        <v/>
      </c>
      <c r="R519" s="22" t="str">
        <f t="shared" si="356"/>
        <v/>
      </c>
      <c r="S519" s="22" t="str">
        <f t="shared" si="357"/>
        <v/>
      </c>
      <c r="T519" s="22" t="str">
        <f t="shared" si="358"/>
        <v/>
      </c>
      <c r="V519" s="21" t="str">
        <f t="shared" si="359"/>
        <v>Apprenant 507</v>
      </c>
      <c r="W519" s="22" t="str">
        <f>IF(AND(OR('Choix pédagogiques'!$C$3=1,'Choix pédagogiques'!$C$3=2),$BM519=1),B519,IF(AND('Choix pédagogiques'!$C$3=3,$BO519=1),B519,""))</f>
        <v/>
      </c>
      <c r="X519" s="22" t="str">
        <f>IF(AND(OR('Choix pédagogiques'!$C$3=1,'Choix pédagogiques'!$C$3=2),$BM519=1),C519,IF(AND('Choix pédagogiques'!$C$3=3,$BO519=1),C519,""))</f>
        <v/>
      </c>
      <c r="Y519" s="22" t="str">
        <f>IF(AND(OR('Choix pédagogiques'!$C$3=1,'Choix pédagogiques'!$C$3=2),$BM519=1),D519,IF(AND('Choix pédagogiques'!$C$3=3,$BO519=1),D519,""))</f>
        <v/>
      </c>
      <c r="Z519" s="22" t="str">
        <f t="shared" si="360"/>
        <v/>
      </c>
      <c r="AA519" s="21" t="str">
        <f t="shared" si="361"/>
        <v>Apprenant 507 ou 507'</v>
      </c>
      <c r="AB519" s="22" t="str">
        <f>IF(AND(OR('Choix pédagogiques'!$C$3=1,'Choix pédagogiques'!$C$3=2),$BN519=1),G519,IF(AND('Choix pédagogiques'!$C$3=3,$BO519=1),G519,""))</f>
        <v/>
      </c>
      <c r="AC519" s="22" t="str">
        <f>IF(AND(OR('Choix pédagogiques'!$C$3=1,'Choix pédagogiques'!$C$3=2),$BN519=1),H519,IF(AND('Choix pédagogiques'!$C$3=3,$BO519=1),H519,""))</f>
        <v/>
      </c>
      <c r="AD519" s="22" t="str">
        <f>IF(AND(OR('Choix pédagogiques'!$C$3=1,'Choix pédagogiques'!$C$3=2),$BN519=1),I519,IF(AND('Choix pédagogiques'!$C$3=3,$BO519=1),I519,""))</f>
        <v/>
      </c>
      <c r="AE519" s="22" t="str">
        <f t="shared" si="362"/>
        <v/>
      </c>
      <c r="AF519" s="21" t="str">
        <f t="shared" si="363"/>
        <v>Apprenant 507</v>
      </c>
      <c r="AG519" s="22" t="str">
        <f t="shared" si="337"/>
        <v/>
      </c>
      <c r="AH519" s="22" t="str">
        <f t="shared" si="338"/>
        <v/>
      </c>
      <c r="AI519" s="22" t="str">
        <f t="shared" si="339"/>
        <v/>
      </c>
      <c r="AJ519" s="22" t="str">
        <f t="shared" si="364"/>
        <v/>
      </c>
      <c r="AK519" s="21" t="str">
        <f t="shared" si="365"/>
        <v>Apprenant 507 ou 507'</v>
      </c>
      <c r="AL519" s="22" t="str">
        <f t="shared" si="340"/>
        <v/>
      </c>
      <c r="AM519" s="22" t="str">
        <f t="shared" si="341"/>
        <v/>
      </c>
      <c r="AN519" s="22" t="str">
        <f t="shared" si="342"/>
        <v/>
      </c>
      <c r="AO519" s="22" t="str">
        <f t="shared" si="366"/>
        <v/>
      </c>
      <c r="AQ519" s="21" t="str">
        <f t="shared" si="367"/>
        <v>Apprenant 507</v>
      </c>
      <c r="AR519" s="49" t="str">
        <f>IF(AND('Choix pédagogiques'!$C$4&lt;&gt;"?",'Choix pédagogiques'!$C$5&lt;&gt;"?",W519&lt;&gt;""),(W519-'Choix pédagogiques'!$C$4)/('Choix pédagogiques'!$C$5-'Choix pédagogiques'!$C$4),"")</f>
        <v/>
      </c>
      <c r="AS519" s="49" t="str">
        <f>IF(AND('Choix pédagogiques'!$C$4&lt;&gt;"?",'Choix pédagogiques'!$C$5&lt;&gt;"?",X519&lt;&gt;""),(X519-'Choix pédagogiques'!$C$4)/('Choix pédagogiques'!$C$5-'Choix pédagogiques'!$C$4),"")</f>
        <v/>
      </c>
      <c r="AT519" s="49" t="str">
        <f>IF(AND('Choix pédagogiques'!$C$4&lt;&gt;"?",'Choix pédagogiques'!$C$5&lt;&gt;"?",Y519&lt;&gt;""),(Y519-'Choix pédagogiques'!$C$4)/('Choix pédagogiques'!$C$5-'Choix pédagogiques'!$C$4),"")</f>
        <v/>
      </c>
      <c r="AU519" s="22" t="str">
        <f t="shared" si="368"/>
        <v/>
      </c>
      <c r="AV519" s="21" t="str">
        <f t="shared" si="369"/>
        <v>Apprenant 507 ou 507'</v>
      </c>
      <c r="AW519" s="49" t="str">
        <f>IF(AND('Choix pédagogiques'!$C$4&lt;&gt;"?",'Choix pédagogiques'!$C$5&lt;&gt;"?",AB519&lt;&gt;""),(AB519-'Choix pédagogiques'!$C$4)/('Choix pédagogiques'!$C$5-'Choix pédagogiques'!$C$4),"")</f>
        <v/>
      </c>
      <c r="AX519" s="49" t="str">
        <f>IF(AND('Choix pédagogiques'!$C$4&lt;&gt;"?",'Choix pédagogiques'!$C$5&lt;&gt;"?",AC519&lt;&gt;""),(AC519-'Choix pédagogiques'!$C$4)/('Choix pédagogiques'!$C$5-'Choix pédagogiques'!$C$4),"")</f>
        <v/>
      </c>
      <c r="AY519" s="49" t="str">
        <f>IF(AND('Choix pédagogiques'!$C$4&lt;&gt;"?",'Choix pédagogiques'!$C$5&lt;&gt;"?",AD519&lt;&gt;""),(AD519-'Choix pédagogiques'!$C$4)/('Choix pédagogiques'!$C$5-'Choix pédagogiques'!$C$4),"")</f>
        <v/>
      </c>
      <c r="AZ519" s="22" t="str">
        <f t="shared" si="370"/>
        <v/>
      </c>
      <c r="BA519" s="21" t="str">
        <f t="shared" si="371"/>
        <v>Apprenant 507</v>
      </c>
      <c r="BB519" s="49" t="str">
        <f t="shared" si="343"/>
        <v/>
      </c>
      <c r="BC519" s="49" t="str">
        <f t="shared" si="344"/>
        <v/>
      </c>
      <c r="BD519" s="49" t="str">
        <f t="shared" si="345"/>
        <v/>
      </c>
      <c r="BE519" s="22" t="str">
        <f t="shared" si="372"/>
        <v/>
      </c>
      <c r="BF519" s="21" t="str">
        <f t="shared" si="373"/>
        <v>Apprenant 507 ou 507'</v>
      </c>
      <c r="BG519" s="49" t="str">
        <f t="shared" si="346"/>
        <v/>
      </c>
      <c r="BH519" s="49" t="str">
        <f t="shared" si="347"/>
        <v/>
      </c>
      <c r="BI519" s="49" t="str">
        <f t="shared" si="348"/>
        <v/>
      </c>
      <c r="BJ519" s="22" t="str">
        <f t="shared" si="374"/>
        <v/>
      </c>
      <c r="BL519" s="21"/>
      <c r="BM519" s="21" t="str">
        <f>IF(OR(COUNT(B519:D1518)=0,AND('Choix pédagogiques'!$C$3&lt;&gt;1,'Choix pédagogiques'!$C$3&lt;&gt;2)),"",IF(AND(OR('Choix pédagogiques'!$C$3=1,'Choix pédagogiques'!$C$3=2),$B519&lt;&gt;"",$C519&lt;&gt;"",$D519&lt;&gt;""),1,0))</f>
        <v/>
      </c>
      <c r="BN519" s="21" t="str">
        <f>IF(OR(COUNT(G519:I1518)=0,AND('Choix pédagogiques'!$C$3&lt;&gt;1,'Choix pédagogiques'!$C$3&lt;&gt;2)),"",IF(AND(OR('Choix pédagogiques'!$C$3=1,'Choix pédagogiques'!$C$3=2),AND($G519&lt;&gt;"",$H519&lt;&gt;"",$I519&lt;&gt;"")),1,0))</f>
        <v/>
      </c>
      <c r="BO519" s="21" t="str">
        <f>IF(OR(COUNT(B519:D1518)=0,COUNT(G519:I1518)=0,'Choix pédagogiques'!C$3&lt;&gt;3),"",IF(AND('Choix pédagogiques'!$C$3=3,$B519&lt;&gt;"",$C519&lt;&gt;"",$D519&lt;&gt;"",$G519&lt;&gt;"",$H519&lt;&gt;"",$I519&lt;&gt;""),1,0))</f>
        <v/>
      </c>
      <c r="BR519" s="21">
        <v>897</v>
      </c>
      <c r="BS519" s="21">
        <v>1168</v>
      </c>
      <c r="BT519"/>
    </row>
    <row r="520" spans="1:72" s="23" customFormat="1" ht="18" customHeight="1" x14ac:dyDescent="0.3">
      <c r="A520" s="35" t="s">
        <v>510</v>
      </c>
      <c r="B520" s="37"/>
      <c r="C520" s="37"/>
      <c r="D520" s="37"/>
      <c r="E520" s="37"/>
      <c r="F520" s="35" t="s">
        <v>1518</v>
      </c>
      <c r="G520" s="37"/>
      <c r="H520" s="37"/>
      <c r="I520" s="37"/>
      <c r="J520" s="37"/>
      <c r="K520" s="21" t="str">
        <f t="shared" si="349"/>
        <v>Apprenant 508</v>
      </c>
      <c r="L520" s="22" t="str">
        <f t="shared" si="350"/>
        <v/>
      </c>
      <c r="M520" s="22" t="str">
        <f t="shared" si="351"/>
        <v/>
      </c>
      <c r="N520" s="22" t="str">
        <f t="shared" si="352"/>
        <v/>
      </c>
      <c r="O520" s="22" t="str">
        <f t="shared" si="353"/>
        <v/>
      </c>
      <c r="P520" s="21" t="str">
        <f t="shared" si="354"/>
        <v>Apprenant 508 ou 508'</v>
      </c>
      <c r="Q520" s="22" t="str">
        <f t="shared" si="355"/>
        <v/>
      </c>
      <c r="R520" s="22" t="str">
        <f t="shared" si="356"/>
        <v/>
      </c>
      <c r="S520" s="22" t="str">
        <f t="shared" si="357"/>
        <v/>
      </c>
      <c r="T520" s="22" t="str">
        <f t="shared" si="358"/>
        <v/>
      </c>
      <c r="V520" s="21" t="str">
        <f t="shared" si="359"/>
        <v>Apprenant 508</v>
      </c>
      <c r="W520" s="22" t="str">
        <f>IF(AND(OR('Choix pédagogiques'!$C$3=1,'Choix pédagogiques'!$C$3=2),$BM520=1),B520,IF(AND('Choix pédagogiques'!$C$3=3,$BO520=1),B520,""))</f>
        <v/>
      </c>
      <c r="X520" s="22" t="str">
        <f>IF(AND(OR('Choix pédagogiques'!$C$3=1,'Choix pédagogiques'!$C$3=2),$BM520=1),C520,IF(AND('Choix pédagogiques'!$C$3=3,$BO520=1),C520,""))</f>
        <v/>
      </c>
      <c r="Y520" s="22" t="str">
        <f>IF(AND(OR('Choix pédagogiques'!$C$3=1,'Choix pédagogiques'!$C$3=2),$BM520=1),D520,IF(AND('Choix pédagogiques'!$C$3=3,$BO520=1),D520,""))</f>
        <v/>
      </c>
      <c r="Z520" s="22" t="str">
        <f t="shared" si="360"/>
        <v/>
      </c>
      <c r="AA520" s="21" t="str">
        <f t="shared" si="361"/>
        <v>Apprenant 508 ou 508'</v>
      </c>
      <c r="AB520" s="22" t="str">
        <f>IF(AND(OR('Choix pédagogiques'!$C$3=1,'Choix pédagogiques'!$C$3=2),$BN520=1),G520,IF(AND('Choix pédagogiques'!$C$3=3,$BO520=1),G520,""))</f>
        <v/>
      </c>
      <c r="AC520" s="22" t="str">
        <f>IF(AND(OR('Choix pédagogiques'!$C$3=1,'Choix pédagogiques'!$C$3=2),$BN520=1),H520,IF(AND('Choix pédagogiques'!$C$3=3,$BO520=1),H520,""))</f>
        <v/>
      </c>
      <c r="AD520" s="22" t="str">
        <f>IF(AND(OR('Choix pédagogiques'!$C$3=1,'Choix pédagogiques'!$C$3=2),$BN520=1),I520,IF(AND('Choix pédagogiques'!$C$3=3,$BO520=1),I520,""))</f>
        <v/>
      </c>
      <c r="AE520" s="22" t="str">
        <f t="shared" si="362"/>
        <v/>
      </c>
      <c r="AF520" s="21" t="str">
        <f t="shared" si="363"/>
        <v>Apprenant 508</v>
      </c>
      <c r="AG520" s="22" t="str">
        <f t="shared" si="337"/>
        <v/>
      </c>
      <c r="AH520" s="22" t="str">
        <f t="shared" si="338"/>
        <v/>
      </c>
      <c r="AI520" s="22" t="str">
        <f t="shared" si="339"/>
        <v/>
      </c>
      <c r="AJ520" s="22" t="str">
        <f t="shared" si="364"/>
        <v/>
      </c>
      <c r="AK520" s="21" t="str">
        <f t="shared" si="365"/>
        <v>Apprenant 508 ou 508'</v>
      </c>
      <c r="AL520" s="22" t="str">
        <f t="shared" si="340"/>
        <v/>
      </c>
      <c r="AM520" s="22" t="str">
        <f t="shared" si="341"/>
        <v/>
      </c>
      <c r="AN520" s="22" t="str">
        <f t="shared" si="342"/>
        <v/>
      </c>
      <c r="AO520" s="22" t="str">
        <f t="shared" si="366"/>
        <v/>
      </c>
      <c r="AQ520" s="21" t="str">
        <f t="shared" si="367"/>
        <v>Apprenant 508</v>
      </c>
      <c r="AR520" s="49" t="str">
        <f>IF(AND('Choix pédagogiques'!$C$4&lt;&gt;"?",'Choix pédagogiques'!$C$5&lt;&gt;"?",W520&lt;&gt;""),(W520-'Choix pédagogiques'!$C$4)/('Choix pédagogiques'!$C$5-'Choix pédagogiques'!$C$4),"")</f>
        <v/>
      </c>
      <c r="AS520" s="49" t="str">
        <f>IF(AND('Choix pédagogiques'!$C$4&lt;&gt;"?",'Choix pédagogiques'!$C$5&lt;&gt;"?",X520&lt;&gt;""),(X520-'Choix pédagogiques'!$C$4)/('Choix pédagogiques'!$C$5-'Choix pédagogiques'!$C$4),"")</f>
        <v/>
      </c>
      <c r="AT520" s="49" t="str">
        <f>IF(AND('Choix pédagogiques'!$C$4&lt;&gt;"?",'Choix pédagogiques'!$C$5&lt;&gt;"?",Y520&lt;&gt;""),(Y520-'Choix pédagogiques'!$C$4)/('Choix pédagogiques'!$C$5-'Choix pédagogiques'!$C$4),"")</f>
        <v/>
      </c>
      <c r="AU520" s="22" t="str">
        <f t="shared" si="368"/>
        <v/>
      </c>
      <c r="AV520" s="21" t="str">
        <f t="shared" si="369"/>
        <v>Apprenant 508 ou 508'</v>
      </c>
      <c r="AW520" s="49" t="str">
        <f>IF(AND('Choix pédagogiques'!$C$4&lt;&gt;"?",'Choix pédagogiques'!$C$5&lt;&gt;"?",AB520&lt;&gt;""),(AB520-'Choix pédagogiques'!$C$4)/('Choix pédagogiques'!$C$5-'Choix pédagogiques'!$C$4),"")</f>
        <v/>
      </c>
      <c r="AX520" s="49" t="str">
        <f>IF(AND('Choix pédagogiques'!$C$4&lt;&gt;"?",'Choix pédagogiques'!$C$5&lt;&gt;"?",AC520&lt;&gt;""),(AC520-'Choix pédagogiques'!$C$4)/('Choix pédagogiques'!$C$5-'Choix pédagogiques'!$C$4),"")</f>
        <v/>
      </c>
      <c r="AY520" s="49" t="str">
        <f>IF(AND('Choix pédagogiques'!$C$4&lt;&gt;"?",'Choix pédagogiques'!$C$5&lt;&gt;"?",AD520&lt;&gt;""),(AD520-'Choix pédagogiques'!$C$4)/('Choix pédagogiques'!$C$5-'Choix pédagogiques'!$C$4),"")</f>
        <v/>
      </c>
      <c r="AZ520" s="22" t="str">
        <f t="shared" si="370"/>
        <v/>
      </c>
      <c r="BA520" s="21" t="str">
        <f t="shared" si="371"/>
        <v>Apprenant 508</v>
      </c>
      <c r="BB520" s="49" t="str">
        <f t="shared" si="343"/>
        <v/>
      </c>
      <c r="BC520" s="49" t="str">
        <f t="shared" si="344"/>
        <v/>
      </c>
      <c r="BD520" s="49" t="str">
        <f t="shared" si="345"/>
        <v/>
      </c>
      <c r="BE520" s="22" t="str">
        <f t="shared" si="372"/>
        <v/>
      </c>
      <c r="BF520" s="21" t="str">
        <f t="shared" si="373"/>
        <v>Apprenant 508 ou 508'</v>
      </c>
      <c r="BG520" s="49" t="str">
        <f t="shared" si="346"/>
        <v/>
      </c>
      <c r="BH520" s="49" t="str">
        <f t="shared" si="347"/>
        <v/>
      </c>
      <c r="BI520" s="49" t="str">
        <f t="shared" si="348"/>
        <v/>
      </c>
      <c r="BJ520" s="22" t="str">
        <f t="shared" si="374"/>
        <v/>
      </c>
      <c r="BL520" s="21"/>
      <c r="BM520" s="21" t="str">
        <f>IF(OR(COUNT(B520:D1519)=0,AND('Choix pédagogiques'!$C$3&lt;&gt;1,'Choix pédagogiques'!$C$3&lt;&gt;2)),"",IF(AND(OR('Choix pédagogiques'!$C$3=1,'Choix pédagogiques'!$C$3=2),$B520&lt;&gt;"",$C520&lt;&gt;"",$D520&lt;&gt;""),1,0))</f>
        <v/>
      </c>
      <c r="BN520" s="21" t="str">
        <f>IF(OR(COUNT(G520:I1519)=0,AND('Choix pédagogiques'!$C$3&lt;&gt;1,'Choix pédagogiques'!$C$3&lt;&gt;2)),"",IF(AND(OR('Choix pédagogiques'!$C$3=1,'Choix pédagogiques'!$C$3=2),AND($G520&lt;&gt;"",$H520&lt;&gt;"",$I520&lt;&gt;"")),1,0))</f>
        <v/>
      </c>
      <c r="BO520" s="21" t="str">
        <f>IF(OR(COUNT(B520:D1519)=0,COUNT(G520:I1519)=0,'Choix pédagogiques'!C$3&lt;&gt;3),"",IF(AND('Choix pédagogiques'!$C$3=3,$B520&lt;&gt;"",$C520&lt;&gt;"",$D520&lt;&gt;"",$G520&lt;&gt;"",$H520&lt;&gt;"",$I520&lt;&gt;""),1,0))</f>
        <v/>
      </c>
      <c r="BR520" s="21">
        <v>101</v>
      </c>
      <c r="BS520" s="21">
        <v>1018</v>
      </c>
      <c r="BT520"/>
    </row>
    <row r="521" spans="1:72" s="23" customFormat="1" ht="18" customHeight="1" x14ac:dyDescent="0.3">
      <c r="A521" s="35" t="s">
        <v>511</v>
      </c>
      <c r="B521" s="37"/>
      <c r="C521" s="37"/>
      <c r="D521" s="37"/>
      <c r="E521" s="37"/>
      <c r="F521" s="35" t="s">
        <v>1519</v>
      </c>
      <c r="G521" s="37"/>
      <c r="H521" s="37"/>
      <c r="I521" s="37"/>
      <c r="J521" s="37"/>
      <c r="K521" s="21" t="str">
        <f t="shared" si="349"/>
        <v>Apprenant 509</v>
      </c>
      <c r="L521" s="22" t="str">
        <f t="shared" si="350"/>
        <v/>
      </c>
      <c r="M521" s="22" t="str">
        <f t="shared" si="351"/>
        <v/>
      </c>
      <c r="N521" s="22" t="str">
        <f t="shared" si="352"/>
        <v/>
      </c>
      <c r="O521" s="22" t="str">
        <f t="shared" si="353"/>
        <v/>
      </c>
      <c r="P521" s="21" t="str">
        <f t="shared" si="354"/>
        <v>Apprenant 509 ou 509'</v>
      </c>
      <c r="Q521" s="22" t="str">
        <f t="shared" si="355"/>
        <v/>
      </c>
      <c r="R521" s="22" t="str">
        <f t="shared" si="356"/>
        <v/>
      </c>
      <c r="S521" s="22" t="str">
        <f t="shared" si="357"/>
        <v/>
      </c>
      <c r="T521" s="22" t="str">
        <f t="shared" si="358"/>
        <v/>
      </c>
      <c r="V521" s="21" t="str">
        <f t="shared" si="359"/>
        <v>Apprenant 509</v>
      </c>
      <c r="W521" s="22" t="str">
        <f>IF(AND(OR('Choix pédagogiques'!$C$3=1,'Choix pédagogiques'!$C$3=2),$BM521=1),B521,IF(AND('Choix pédagogiques'!$C$3=3,$BO521=1),B521,""))</f>
        <v/>
      </c>
      <c r="X521" s="22" t="str">
        <f>IF(AND(OR('Choix pédagogiques'!$C$3=1,'Choix pédagogiques'!$C$3=2),$BM521=1),C521,IF(AND('Choix pédagogiques'!$C$3=3,$BO521=1),C521,""))</f>
        <v/>
      </c>
      <c r="Y521" s="22" t="str">
        <f>IF(AND(OR('Choix pédagogiques'!$C$3=1,'Choix pédagogiques'!$C$3=2),$BM521=1),D521,IF(AND('Choix pédagogiques'!$C$3=3,$BO521=1),D521,""))</f>
        <v/>
      </c>
      <c r="Z521" s="22" t="str">
        <f t="shared" si="360"/>
        <v/>
      </c>
      <c r="AA521" s="21" t="str">
        <f t="shared" si="361"/>
        <v>Apprenant 509 ou 509'</v>
      </c>
      <c r="AB521" s="22" t="str">
        <f>IF(AND(OR('Choix pédagogiques'!$C$3=1,'Choix pédagogiques'!$C$3=2),$BN521=1),G521,IF(AND('Choix pédagogiques'!$C$3=3,$BO521=1),G521,""))</f>
        <v/>
      </c>
      <c r="AC521" s="22" t="str">
        <f>IF(AND(OR('Choix pédagogiques'!$C$3=1,'Choix pédagogiques'!$C$3=2),$BN521=1),H521,IF(AND('Choix pédagogiques'!$C$3=3,$BO521=1),H521,""))</f>
        <v/>
      </c>
      <c r="AD521" s="22" t="str">
        <f>IF(AND(OR('Choix pédagogiques'!$C$3=1,'Choix pédagogiques'!$C$3=2),$BN521=1),I521,IF(AND('Choix pédagogiques'!$C$3=3,$BO521=1),I521,""))</f>
        <v/>
      </c>
      <c r="AE521" s="22" t="str">
        <f t="shared" si="362"/>
        <v/>
      </c>
      <c r="AF521" s="21" t="str">
        <f t="shared" si="363"/>
        <v>Apprenant 509</v>
      </c>
      <c r="AG521" s="22" t="str">
        <f t="shared" si="337"/>
        <v/>
      </c>
      <c r="AH521" s="22" t="str">
        <f t="shared" si="338"/>
        <v/>
      </c>
      <c r="AI521" s="22" t="str">
        <f t="shared" si="339"/>
        <v/>
      </c>
      <c r="AJ521" s="22" t="str">
        <f t="shared" si="364"/>
        <v/>
      </c>
      <c r="AK521" s="21" t="str">
        <f t="shared" si="365"/>
        <v>Apprenant 509 ou 509'</v>
      </c>
      <c r="AL521" s="22" t="str">
        <f t="shared" si="340"/>
        <v/>
      </c>
      <c r="AM521" s="22" t="str">
        <f t="shared" si="341"/>
        <v/>
      </c>
      <c r="AN521" s="22" t="str">
        <f t="shared" si="342"/>
        <v/>
      </c>
      <c r="AO521" s="22" t="str">
        <f t="shared" si="366"/>
        <v/>
      </c>
      <c r="AQ521" s="21" t="str">
        <f t="shared" si="367"/>
        <v>Apprenant 509</v>
      </c>
      <c r="AR521" s="49" t="str">
        <f>IF(AND('Choix pédagogiques'!$C$4&lt;&gt;"?",'Choix pédagogiques'!$C$5&lt;&gt;"?",W521&lt;&gt;""),(W521-'Choix pédagogiques'!$C$4)/('Choix pédagogiques'!$C$5-'Choix pédagogiques'!$C$4),"")</f>
        <v/>
      </c>
      <c r="AS521" s="49" t="str">
        <f>IF(AND('Choix pédagogiques'!$C$4&lt;&gt;"?",'Choix pédagogiques'!$C$5&lt;&gt;"?",X521&lt;&gt;""),(X521-'Choix pédagogiques'!$C$4)/('Choix pédagogiques'!$C$5-'Choix pédagogiques'!$C$4),"")</f>
        <v/>
      </c>
      <c r="AT521" s="49" t="str">
        <f>IF(AND('Choix pédagogiques'!$C$4&lt;&gt;"?",'Choix pédagogiques'!$C$5&lt;&gt;"?",Y521&lt;&gt;""),(Y521-'Choix pédagogiques'!$C$4)/('Choix pédagogiques'!$C$5-'Choix pédagogiques'!$C$4),"")</f>
        <v/>
      </c>
      <c r="AU521" s="22" t="str">
        <f t="shared" si="368"/>
        <v/>
      </c>
      <c r="AV521" s="21" t="str">
        <f t="shared" si="369"/>
        <v>Apprenant 509 ou 509'</v>
      </c>
      <c r="AW521" s="49" t="str">
        <f>IF(AND('Choix pédagogiques'!$C$4&lt;&gt;"?",'Choix pédagogiques'!$C$5&lt;&gt;"?",AB521&lt;&gt;""),(AB521-'Choix pédagogiques'!$C$4)/('Choix pédagogiques'!$C$5-'Choix pédagogiques'!$C$4),"")</f>
        <v/>
      </c>
      <c r="AX521" s="49" t="str">
        <f>IF(AND('Choix pédagogiques'!$C$4&lt;&gt;"?",'Choix pédagogiques'!$C$5&lt;&gt;"?",AC521&lt;&gt;""),(AC521-'Choix pédagogiques'!$C$4)/('Choix pédagogiques'!$C$5-'Choix pédagogiques'!$C$4),"")</f>
        <v/>
      </c>
      <c r="AY521" s="49" t="str">
        <f>IF(AND('Choix pédagogiques'!$C$4&lt;&gt;"?",'Choix pédagogiques'!$C$5&lt;&gt;"?",AD521&lt;&gt;""),(AD521-'Choix pédagogiques'!$C$4)/('Choix pédagogiques'!$C$5-'Choix pédagogiques'!$C$4),"")</f>
        <v/>
      </c>
      <c r="AZ521" s="22" t="str">
        <f t="shared" si="370"/>
        <v/>
      </c>
      <c r="BA521" s="21" t="str">
        <f t="shared" si="371"/>
        <v>Apprenant 509</v>
      </c>
      <c r="BB521" s="49" t="str">
        <f t="shared" si="343"/>
        <v/>
      </c>
      <c r="BC521" s="49" t="str">
        <f t="shared" si="344"/>
        <v/>
      </c>
      <c r="BD521" s="49" t="str">
        <f t="shared" si="345"/>
        <v/>
      </c>
      <c r="BE521" s="22" t="str">
        <f t="shared" si="372"/>
        <v/>
      </c>
      <c r="BF521" s="21" t="str">
        <f t="shared" si="373"/>
        <v>Apprenant 509 ou 509'</v>
      </c>
      <c r="BG521" s="49" t="str">
        <f t="shared" si="346"/>
        <v/>
      </c>
      <c r="BH521" s="49" t="str">
        <f t="shared" si="347"/>
        <v/>
      </c>
      <c r="BI521" s="49" t="str">
        <f t="shared" si="348"/>
        <v/>
      </c>
      <c r="BJ521" s="22" t="str">
        <f t="shared" si="374"/>
        <v/>
      </c>
      <c r="BL521" s="21"/>
      <c r="BM521" s="21" t="str">
        <f>IF(OR(COUNT(B521:D1520)=0,AND('Choix pédagogiques'!$C$3&lt;&gt;1,'Choix pédagogiques'!$C$3&lt;&gt;2)),"",IF(AND(OR('Choix pédagogiques'!$C$3=1,'Choix pédagogiques'!$C$3=2),$B521&lt;&gt;"",$C521&lt;&gt;"",$D521&lt;&gt;""),1,0))</f>
        <v/>
      </c>
      <c r="BN521" s="21" t="str">
        <f>IF(OR(COUNT(G521:I1520)=0,AND('Choix pédagogiques'!$C$3&lt;&gt;1,'Choix pédagogiques'!$C$3&lt;&gt;2)),"",IF(AND(OR('Choix pédagogiques'!$C$3=1,'Choix pédagogiques'!$C$3=2),AND($G521&lt;&gt;"",$H521&lt;&gt;"",$I521&lt;&gt;"")),1,0))</f>
        <v/>
      </c>
      <c r="BO521" s="21" t="str">
        <f>IF(OR(COUNT(B521:D1520)=0,COUNT(G521:I1520)=0,'Choix pédagogiques'!C$3&lt;&gt;3),"",IF(AND('Choix pédagogiques'!$C$3=3,$B521&lt;&gt;"",$C521&lt;&gt;"",$D521&lt;&gt;"",$G521&lt;&gt;"",$H521&lt;&gt;"",$I521&lt;&gt;""),1,0))</f>
        <v/>
      </c>
      <c r="BR521" s="21">
        <v>795</v>
      </c>
      <c r="BS521" s="21">
        <v>1230</v>
      </c>
      <c r="BT521"/>
    </row>
    <row r="522" spans="1:72" s="23" customFormat="1" ht="18" customHeight="1" x14ac:dyDescent="0.3">
      <c r="A522" s="35" t="s">
        <v>512</v>
      </c>
      <c r="B522" s="37"/>
      <c r="C522" s="37"/>
      <c r="D522" s="37"/>
      <c r="E522" s="37"/>
      <c r="F522" s="35" t="s">
        <v>1520</v>
      </c>
      <c r="G522" s="37"/>
      <c r="H522" s="37"/>
      <c r="I522" s="37"/>
      <c r="J522" s="37"/>
      <c r="K522" s="21" t="str">
        <f t="shared" si="349"/>
        <v>Apprenant 510</v>
      </c>
      <c r="L522" s="22" t="str">
        <f t="shared" si="350"/>
        <v/>
      </c>
      <c r="M522" s="22" t="str">
        <f t="shared" si="351"/>
        <v/>
      </c>
      <c r="N522" s="22" t="str">
        <f t="shared" si="352"/>
        <v/>
      </c>
      <c r="O522" s="22" t="str">
        <f t="shared" si="353"/>
        <v/>
      </c>
      <c r="P522" s="21" t="str">
        <f t="shared" si="354"/>
        <v>Apprenant 510 ou 510'</v>
      </c>
      <c r="Q522" s="22" t="str">
        <f t="shared" si="355"/>
        <v/>
      </c>
      <c r="R522" s="22" t="str">
        <f t="shared" si="356"/>
        <v/>
      </c>
      <c r="S522" s="22" t="str">
        <f t="shared" si="357"/>
        <v/>
      </c>
      <c r="T522" s="22" t="str">
        <f t="shared" si="358"/>
        <v/>
      </c>
      <c r="V522" s="21" t="str">
        <f t="shared" si="359"/>
        <v>Apprenant 510</v>
      </c>
      <c r="W522" s="22" t="str">
        <f>IF(AND(OR('Choix pédagogiques'!$C$3=1,'Choix pédagogiques'!$C$3=2),$BM522=1),B522,IF(AND('Choix pédagogiques'!$C$3=3,$BO522=1),B522,""))</f>
        <v/>
      </c>
      <c r="X522" s="22" t="str">
        <f>IF(AND(OR('Choix pédagogiques'!$C$3=1,'Choix pédagogiques'!$C$3=2),$BM522=1),C522,IF(AND('Choix pédagogiques'!$C$3=3,$BO522=1),C522,""))</f>
        <v/>
      </c>
      <c r="Y522" s="22" t="str">
        <f>IF(AND(OR('Choix pédagogiques'!$C$3=1,'Choix pédagogiques'!$C$3=2),$BM522=1),D522,IF(AND('Choix pédagogiques'!$C$3=3,$BO522=1),D522,""))</f>
        <v/>
      </c>
      <c r="Z522" s="22" t="str">
        <f t="shared" si="360"/>
        <v/>
      </c>
      <c r="AA522" s="21" t="str">
        <f t="shared" si="361"/>
        <v>Apprenant 510 ou 510'</v>
      </c>
      <c r="AB522" s="22" t="str">
        <f>IF(AND(OR('Choix pédagogiques'!$C$3=1,'Choix pédagogiques'!$C$3=2),$BN522=1),G522,IF(AND('Choix pédagogiques'!$C$3=3,$BO522=1),G522,""))</f>
        <v/>
      </c>
      <c r="AC522" s="22" t="str">
        <f>IF(AND(OR('Choix pédagogiques'!$C$3=1,'Choix pédagogiques'!$C$3=2),$BN522=1),H522,IF(AND('Choix pédagogiques'!$C$3=3,$BO522=1),H522,""))</f>
        <v/>
      </c>
      <c r="AD522" s="22" t="str">
        <f>IF(AND(OR('Choix pédagogiques'!$C$3=1,'Choix pédagogiques'!$C$3=2),$BN522=1),I522,IF(AND('Choix pédagogiques'!$C$3=3,$BO522=1),I522,""))</f>
        <v/>
      </c>
      <c r="AE522" s="22" t="str">
        <f t="shared" si="362"/>
        <v/>
      </c>
      <c r="AF522" s="21" t="str">
        <f t="shared" si="363"/>
        <v>Apprenant 510</v>
      </c>
      <c r="AG522" s="22" t="str">
        <f t="shared" si="337"/>
        <v/>
      </c>
      <c r="AH522" s="22" t="str">
        <f t="shared" si="338"/>
        <v/>
      </c>
      <c r="AI522" s="22" t="str">
        <f t="shared" si="339"/>
        <v/>
      </c>
      <c r="AJ522" s="22" t="str">
        <f t="shared" si="364"/>
        <v/>
      </c>
      <c r="AK522" s="21" t="str">
        <f t="shared" si="365"/>
        <v>Apprenant 510 ou 510'</v>
      </c>
      <c r="AL522" s="22" t="str">
        <f t="shared" si="340"/>
        <v/>
      </c>
      <c r="AM522" s="22" t="str">
        <f t="shared" si="341"/>
        <v/>
      </c>
      <c r="AN522" s="22" t="str">
        <f t="shared" si="342"/>
        <v/>
      </c>
      <c r="AO522" s="22" t="str">
        <f t="shared" si="366"/>
        <v/>
      </c>
      <c r="AQ522" s="21" t="str">
        <f t="shared" si="367"/>
        <v>Apprenant 510</v>
      </c>
      <c r="AR522" s="49" t="str">
        <f>IF(AND('Choix pédagogiques'!$C$4&lt;&gt;"?",'Choix pédagogiques'!$C$5&lt;&gt;"?",W522&lt;&gt;""),(W522-'Choix pédagogiques'!$C$4)/('Choix pédagogiques'!$C$5-'Choix pédagogiques'!$C$4),"")</f>
        <v/>
      </c>
      <c r="AS522" s="49" t="str">
        <f>IF(AND('Choix pédagogiques'!$C$4&lt;&gt;"?",'Choix pédagogiques'!$C$5&lt;&gt;"?",X522&lt;&gt;""),(X522-'Choix pédagogiques'!$C$4)/('Choix pédagogiques'!$C$5-'Choix pédagogiques'!$C$4),"")</f>
        <v/>
      </c>
      <c r="AT522" s="49" t="str">
        <f>IF(AND('Choix pédagogiques'!$C$4&lt;&gt;"?",'Choix pédagogiques'!$C$5&lt;&gt;"?",Y522&lt;&gt;""),(Y522-'Choix pédagogiques'!$C$4)/('Choix pédagogiques'!$C$5-'Choix pédagogiques'!$C$4),"")</f>
        <v/>
      </c>
      <c r="AU522" s="22" t="str">
        <f t="shared" si="368"/>
        <v/>
      </c>
      <c r="AV522" s="21" t="str">
        <f t="shared" si="369"/>
        <v>Apprenant 510 ou 510'</v>
      </c>
      <c r="AW522" s="49" t="str">
        <f>IF(AND('Choix pédagogiques'!$C$4&lt;&gt;"?",'Choix pédagogiques'!$C$5&lt;&gt;"?",AB522&lt;&gt;""),(AB522-'Choix pédagogiques'!$C$4)/('Choix pédagogiques'!$C$5-'Choix pédagogiques'!$C$4),"")</f>
        <v/>
      </c>
      <c r="AX522" s="49" t="str">
        <f>IF(AND('Choix pédagogiques'!$C$4&lt;&gt;"?",'Choix pédagogiques'!$C$5&lt;&gt;"?",AC522&lt;&gt;""),(AC522-'Choix pédagogiques'!$C$4)/('Choix pédagogiques'!$C$5-'Choix pédagogiques'!$C$4),"")</f>
        <v/>
      </c>
      <c r="AY522" s="49" t="str">
        <f>IF(AND('Choix pédagogiques'!$C$4&lt;&gt;"?",'Choix pédagogiques'!$C$5&lt;&gt;"?",AD522&lt;&gt;""),(AD522-'Choix pédagogiques'!$C$4)/('Choix pédagogiques'!$C$5-'Choix pédagogiques'!$C$4),"")</f>
        <v/>
      </c>
      <c r="AZ522" s="22" t="str">
        <f t="shared" si="370"/>
        <v/>
      </c>
      <c r="BA522" s="21" t="str">
        <f t="shared" si="371"/>
        <v>Apprenant 510</v>
      </c>
      <c r="BB522" s="49" t="str">
        <f t="shared" si="343"/>
        <v/>
      </c>
      <c r="BC522" s="49" t="str">
        <f t="shared" si="344"/>
        <v/>
      </c>
      <c r="BD522" s="49" t="str">
        <f t="shared" si="345"/>
        <v/>
      </c>
      <c r="BE522" s="22" t="str">
        <f t="shared" si="372"/>
        <v/>
      </c>
      <c r="BF522" s="21" t="str">
        <f t="shared" si="373"/>
        <v>Apprenant 510 ou 510'</v>
      </c>
      <c r="BG522" s="49" t="str">
        <f t="shared" si="346"/>
        <v/>
      </c>
      <c r="BH522" s="49" t="str">
        <f t="shared" si="347"/>
        <v/>
      </c>
      <c r="BI522" s="49" t="str">
        <f t="shared" si="348"/>
        <v/>
      </c>
      <c r="BJ522" s="22" t="str">
        <f t="shared" si="374"/>
        <v/>
      </c>
      <c r="BL522" s="21"/>
      <c r="BM522" s="21" t="str">
        <f>IF(OR(COUNT(B522:D1521)=0,AND('Choix pédagogiques'!$C$3&lt;&gt;1,'Choix pédagogiques'!$C$3&lt;&gt;2)),"",IF(AND(OR('Choix pédagogiques'!$C$3=1,'Choix pédagogiques'!$C$3=2),$B522&lt;&gt;"",$C522&lt;&gt;"",$D522&lt;&gt;""),1,0))</f>
        <v/>
      </c>
      <c r="BN522" s="21" t="str">
        <f>IF(OR(COUNT(G522:I1521)=0,AND('Choix pédagogiques'!$C$3&lt;&gt;1,'Choix pédagogiques'!$C$3&lt;&gt;2)),"",IF(AND(OR('Choix pédagogiques'!$C$3=1,'Choix pédagogiques'!$C$3=2),AND($G522&lt;&gt;"",$H522&lt;&gt;"",$I522&lt;&gt;"")),1,0))</f>
        <v/>
      </c>
      <c r="BO522" s="21" t="str">
        <f>IF(OR(COUNT(B522:D1521)=0,COUNT(G522:I1521)=0,'Choix pédagogiques'!C$3&lt;&gt;3),"",IF(AND('Choix pédagogiques'!$C$3=3,$B522&lt;&gt;"",$C522&lt;&gt;"",$D522&lt;&gt;"",$G522&lt;&gt;"",$H522&lt;&gt;"",$I522&lt;&gt;""),1,0))</f>
        <v/>
      </c>
      <c r="BR522" s="21">
        <v>264</v>
      </c>
      <c r="BS522" s="21">
        <v>1700</v>
      </c>
      <c r="BT522"/>
    </row>
    <row r="523" spans="1:72" s="23" customFormat="1" ht="18" customHeight="1" x14ac:dyDescent="0.3">
      <c r="A523" s="35" t="s">
        <v>513</v>
      </c>
      <c r="B523" s="37"/>
      <c r="C523" s="37"/>
      <c r="D523" s="37"/>
      <c r="E523" s="37"/>
      <c r="F523" s="35" t="s">
        <v>1521</v>
      </c>
      <c r="G523" s="37"/>
      <c r="H523" s="37"/>
      <c r="I523" s="37"/>
      <c r="J523" s="37"/>
      <c r="K523" s="21" t="str">
        <f t="shared" si="349"/>
        <v>Apprenant 511</v>
      </c>
      <c r="L523" s="22" t="str">
        <f t="shared" si="350"/>
        <v/>
      </c>
      <c r="M523" s="22" t="str">
        <f t="shared" si="351"/>
        <v/>
      </c>
      <c r="N523" s="22" t="str">
        <f t="shared" si="352"/>
        <v/>
      </c>
      <c r="O523" s="22" t="str">
        <f t="shared" si="353"/>
        <v/>
      </c>
      <c r="P523" s="21" t="str">
        <f t="shared" si="354"/>
        <v>Apprenant 511 ou 511'</v>
      </c>
      <c r="Q523" s="22" t="str">
        <f t="shared" si="355"/>
        <v/>
      </c>
      <c r="R523" s="22" t="str">
        <f t="shared" si="356"/>
        <v/>
      </c>
      <c r="S523" s="22" t="str">
        <f t="shared" si="357"/>
        <v/>
      </c>
      <c r="T523" s="22" t="str">
        <f t="shared" si="358"/>
        <v/>
      </c>
      <c r="V523" s="21" t="str">
        <f t="shared" si="359"/>
        <v>Apprenant 511</v>
      </c>
      <c r="W523" s="22" t="str">
        <f>IF(AND(OR('Choix pédagogiques'!$C$3=1,'Choix pédagogiques'!$C$3=2),$BM523=1),B523,IF(AND('Choix pédagogiques'!$C$3=3,$BO523=1),B523,""))</f>
        <v/>
      </c>
      <c r="X523" s="22" t="str">
        <f>IF(AND(OR('Choix pédagogiques'!$C$3=1,'Choix pédagogiques'!$C$3=2),$BM523=1),C523,IF(AND('Choix pédagogiques'!$C$3=3,$BO523=1),C523,""))</f>
        <v/>
      </c>
      <c r="Y523" s="22" t="str">
        <f>IF(AND(OR('Choix pédagogiques'!$C$3=1,'Choix pédagogiques'!$C$3=2),$BM523=1),D523,IF(AND('Choix pédagogiques'!$C$3=3,$BO523=1),D523,""))</f>
        <v/>
      </c>
      <c r="Z523" s="22" t="str">
        <f t="shared" si="360"/>
        <v/>
      </c>
      <c r="AA523" s="21" t="str">
        <f t="shared" si="361"/>
        <v>Apprenant 511 ou 511'</v>
      </c>
      <c r="AB523" s="22" t="str">
        <f>IF(AND(OR('Choix pédagogiques'!$C$3=1,'Choix pédagogiques'!$C$3=2),$BN523=1),G523,IF(AND('Choix pédagogiques'!$C$3=3,$BO523=1),G523,""))</f>
        <v/>
      </c>
      <c r="AC523" s="22" t="str">
        <f>IF(AND(OR('Choix pédagogiques'!$C$3=1,'Choix pédagogiques'!$C$3=2),$BN523=1),H523,IF(AND('Choix pédagogiques'!$C$3=3,$BO523=1),H523,""))</f>
        <v/>
      </c>
      <c r="AD523" s="22" t="str">
        <f>IF(AND(OR('Choix pédagogiques'!$C$3=1,'Choix pédagogiques'!$C$3=2),$BN523=1),I523,IF(AND('Choix pédagogiques'!$C$3=3,$BO523=1),I523,""))</f>
        <v/>
      </c>
      <c r="AE523" s="22" t="str">
        <f t="shared" si="362"/>
        <v/>
      </c>
      <c r="AF523" s="21" t="str">
        <f t="shared" si="363"/>
        <v>Apprenant 511</v>
      </c>
      <c r="AG523" s="22" t="str">
        <f t="shared" si="337"/>
        <v/>
      </c>
      <c r="AH523" s="22" t="str">
        <f t="shared" si="338"/>
        <v/>
      </c>
      <c r="AI523" s="22" t="str">
        <f t="shared" si="339"/>
        <v/>
      </c>
      <c r="AJ523" s="22" t="str">
        <f t="shared" si="364"/>
        <v/>
      </c>
      <c r="AK523" s="21" t="str">
        <f t="shared" si="365"/>
        <v>Apprenant 511 ou 511'</v>
      </c>
      <c r="AL523" s="22" t="str">
        <f t="shared" si="340"/>
        <v/>
      </c>
      <c r="AM523" s="22" t="str">
        <f t="shared" si="341"/>
        <v/>
      </c>
      <c r="AN523" s="22" t="str">
        <f t="shared" si="342"/>
        <v/>
      </c>
      <c r="AO523" s="22" t="str">
        <f t="shared" si="366"/>
        <v/>
      </c>
      <c r="AQ523" s="21" t="str">
        <f t="shared" si="367"/>
        <v>Apprenant 511</v>
      </c>
      <c r="AR523" s="49" t="str">
        <f>IF(AND('Choix pédagogiques'!$C$4&lt;&gt;"?",'Choix pédagogiques'!$C$5&lt;&gt;"?",W523&lt;&gt;""),(W523-'Choix pédagogiques'!$C$4)/('Choix pédagogiques'!$C$5-'Choix pédagogiques'!$C$4),"")</f>
        <v/>
      </c>
      <c r="AS523" s="49" t="str">
        <f>IF(AND('Choix pédagogiques'!$C$4&lt;&gt;"?",'Choix pédagogiques'!$C$5&lt;&gt;"?",X523&lt;&gt;""),(X523-'Choix pédagogiques'!$C$4)/('Choix pédagogiques'!$C$5-'Choix pédagogiques'!$C$4),"")</f>
        <v/>
      </c>
      <c r="AT523" s="49" t="str">
        <f>IF(AND('Choix pédagogiques'!$C$4&lt;&gt;"?",'Choix pédagogiques'!$C$5&lt;&gt;"?",Y523&lt;&gt;""),(Y523-'Choix pédagogiques'!$C$4)/('Choix pédagogiques'!$C$5-'Choix pédagogiques'!$C$4),"")</f>
        <v/>
      </c>
      <c r="AU523" s="22" t="str">
        <f t="shared" si="368"/>
        <v/>
      </c>
      <c r="AV523" s="21" t="str">
        <f t="shared" si="369"/>
        <v>Apprenant 511 ou 511'</v>
      </c>
      <c r="AW523" s="49" t="str">
        <f>IF(AND('Choix pédagogiques'!$C$4&lt;&gt;"?",'Choix pédagogiques'!$C$5&lt;&gt;"?",AB523&lt;&gt;""),(AB523-'Choix pédagogiques'!$C$4)/('Choix pédagogiques'!$C$5-'Choix pédagogiques'!$C$4),"")</f>
        <v/>
      </c>
      <c r="AX523" s="49" t="str">
        <f>IF(AND('Choix pédagogiques'!$C$4&lt;&gt;"?",'Choix pédagogiques'!$C$5&lt;&gt;"?",AC523&lt;&gt;""),(AC523-'Choix pédagogiques'!$C$4)/('Choix pédagogiques'!$C$5-'Choix pédagogiques'!$C$4),"")</f>
        <v/>
      </c>
      <c r="AY523" s="49" t="str">
        <f>IF(AND('Choix pédagogiques'!$C$4&lt;&gt;"?",'Choix pédagogiques'!$C$5&lt;&gt;"?",AD523&lt;&gt;""),(AD523-'Choix pédagogiques'!$C$4)/('Choix pédagogiques'!$C$5-'Choix pédagogiques'!$C$4),"")</f>
        <v/>
      </c>
      <c r="AZ523" s="22" t="str">
        <f t="shared" si="370"/>
        <v/>
      </c>
      <c r="BA523" s="21" t="str">
        <f t="shared" si="371"/>
        <v>Apprenant 511</v>
      </c>
      <c r="BB523" s="49" t="str">
        <f t="shared" si="343"/>
        <v/>
      </c>
      <c r="BC523" s="49" t="str">
        <f t="shared" si="344"/>
        <v/>
      </c>
      <c r="BD523" s="49" t="str">
        <f t="shared" si="345"/>
        <v/>
      </c>
      <c r="BE523" s="22" t="str">
        <f t="shared" si="372"/>
        <v/>
      </c>
      <c r="BF523" s="21" t="str">
        <f t="shared" si="373"/>
        <v>Apprenant 511 ou 511'</v>
      </c>
      <c r="BG523" s="49" t="str">
        <f t="shared" si="346"/>
        <v/>
      </c>
      <c r="BH523" s="49" t="str">
        <f t="shared" si="347"/>
        <v/>
      </c>
      <c r="BI523" s="49" t="str">
        <f t="shared" si="348"/>
        <v/>
      </c>
      <c r="BJ523" s="22" t="str">
        <f t="shared" si="374"/>
        <v/>
      </c>
      <c r="BL523" s="21"/>
      <c r="BM523" s="21" t="str">
        <f>IF(OR(COUNT(B523:D1522)=0,AND('Choix pédagogiques'!$C$3&lt;&gt;1,'Choix pédagogiques'!$C$3&lt;&gt;2)),"",IF(AND(OR('Choix pédagogiques'!$C$3=1,'Choix pédagogiques'!$C$3=2),$B523&lt;&gt;"",$C523&lt;&gt;"",$D523&lt;&gt;""),1,0))</f>
        <v/>
      </c>
      <c r="BN523" s="21" t="str">
        <f>IF(OR(COUNT(G523:I1522)=0,AND('Choix pédagogiques'!$C$3&lt;&gt;1,'Choix pédagogiques'!$C$3&lt;&gt;2)),"",IF(AND(OR('Choix pédagogiques'!$C$3=1,'Choix pédagogiques'!$C$3=2),AND($G523&lt;&gt;"",$H523&lt;&gt;"",$I523&lt;&gt;"")),1,0))</f>
        <v/>
      </c>
      <c r="BO523" s="21" t="str">
        <f>IF(OR(COUNT(B523:D1522)=0,COUNT(G523:I1522)=0,'Choix pédagogiques'!C$3&lt;&gt;3),"",IF(AND('Choix pédagogiques'!$C$3=3,$B523&lt;&gt;"",$C523&lt;&gt;"",$D523&lt;&gt;"",$G523&lt;&gt;"",$H523&lt;&gt;"",$I523&lt;&gt;""),1,0))</f>
        <v/>
      </c>
      <c r="BR523" s="21">
        <v>849</v>
      </c>
      <c r="BS523" s="21">
        <v>1922</v>
      </c>
      <c r="BT523"/>
    </row>
    <row r="524" spans="1:72" s="23" customFormat="1" ht="18" customHeight="1" x14ac:dyDescent="0.3">
      <c r="A524" s="35" t="s">
        <v>514</v>
      </c>
      <c r="B524" s="37"/>
      <c r="C524" s="37"/>
      <c r="D524" s="37"/>
      <c r="E524" s="37"/>
      <c r="F524" s="35" t="s">
        <v>1522</v>
      </c>
      <c r="G524" s="37"/>
      <c r="H524" s="37"/>
      <c r="I524" s="37"/>
      <c r="J524" s="37"/>
      <c r="K524" s="21" t="str">
        <f t="shared" si="349"/>
        <v>Apprenant 512</v>
      </c>
      <c r="L524" s="22" t="str">
        <f t="shared" si="350"/>
        <v/>
      </c>
      <c r="M524" s="22" t="str">
        <f t="shared" si="351"/>
        <v/>
      </c>
      <c r="N524" s="22" t="str">
        <f t="shared" si="352"/>
        <v/>
      </c>
      <c r="O524" s="22" t="str">
        <f t="shared" si="353"/>
        <v/>
      </c>
      <c r="P524" s="21" t="str">
        <f t="shared" si="354"/>
        <v>Apprenant 512 ou 512'</v>
      </c>
      <c r="Q524" s="22" t="str">
        <f t="shared" si="355"/>
        <v/>
      </c>
      <c r="R524" s="22" t="str">
        <f t="shared" si="356"/>
        <v/>
      </c>
      <c r="S524" s="22" t="str">
        <f t="shared" si="357"/>
        <v/>
      </c>
      <c r="T524" s="22" t="str">
        <f t="shared" si="358"/>
        <v/>
      </c>
      <c r="V524" s="21" t="str">
        <f t="shared" si="359"/>
        <v>Apprenant 512</v>
      </c>
      <c r="W524" s="22" t="str">
        <f>IF(AND(OR('Choix pédagogiques'!$C$3=1,'Choix pédagogiques'!$C$3=2),$BM524=1),B524,IF(AND('Choix pédagogiques'!$C$3=3,$BO524=1),B524,""))</f>
        <v/>
      </c>
      <c r="X524" s="22" t="str">
        <f>IF(AND(OR('Choix pédagogiques'!$C$3=1,'Choix pédagogiques'!$C$3=2),$BM524=1),C524,IF(AND('Choix pédagogiques'!$C$3=3,$BO524=1),C524,""))</f>
        <v/>
      </c>
      <c r="Y524" s="22" t="str">
        <f>IF(AND(OR('Choix pédagogiques'!$C$3=1,'Choix pédagogiques'!$C$3=2),$BM524=1),D524,IF(AND('Choix pédagogiques'!$C$3=3,$BO524=1),D524,""))</f>
        <v/>
      </c>
      <c r="Z524" s="22" t="str">
        <f t="shared" si="360"/>
        <v/>
      </c>
      <c r="AA524" s="21" t="str">
        <f t="shared" si="361"/>
        <v>Apprenant 512 ou 512'</v>
      </c>
      <c r="AB524" s="22" t="str">
        <f>IF(AND(OR('Choix pédagogiques'!$C$3=1,'Choix pédagogiques'!$C$3=2),$BN524=1),G524,IF(AND('Choix pédagogiques'!$C$3=3,$BO524=1),G524,""))</f>
        <v/>
      </c>
      <c r="AC524" s="22" t="str">
        <f>IF(AND(OR('Choix pédagogiques'!$C$3=1,'Choix pédagogiques'!$C$3=2),$BN524=1),H524,IF(AND('Choix pédagogiques'!$C$3=3,$BO524=1),H524,""))</f>
        <v/>
      </c>
      <c r="AD524" s="22" t="str">
        <f>IF(AND(OR('Choix pédagogiques'!$C$3=1,'Choix pédagogiques'!$C$3=2),$BN524=1),I524,IF(AND('Choix pédagogiques'!$C$3=3,$BO524=1),I524,""))</f>
        <v/>
      </c>
      <c r="AE524" s="22" t="str">
        <f t="shared" si="362"/>
        <v/>
      </c>
      <c r="AF524" s="21" t="str">
        <f t="shared" si="363"/>
        <v>Apprenant 512</v>
      </c>
      <c r="AG524" s="22" t="str">
        <f t="shared" si="337"/>
        <v/>
      </c>
      <c r="AH524" s="22" t="str">
        <f t="shared" si="338"/>
        <v/>
      </c>
      <c r="AI524" s="22" t="str">
        <f t="shared" si="339"/>
        <v/>
      </c>
      <c r="AJ524" s="22" t="str">
        <f t="shared" si="364"/>
        <v/>
      </c>
      <c r="AK524" s="21" t="str">
        <f t="shared" si="365"/>
        <v>Apprenant 512 ou 512'</v>
      </c>
      <c r="AL524" s="22" t="str">
        <f t="shared" si="340"/>
        <v/>
      </c>
      <c r="AM524" s="22" t="str">
        <f t="shared" si="341"/>
        <v/>
      </c>
      <c r="AN524" s="22" t="str">
        <f t="shared" si="342"/>
        <v/>
      </c>
      <c r="AO524" s="22" t="str">
        <f t="shared" si="366"/>
        <v/>
      </c>
      <c r="AQ524" s="21" t="str">
        <f t="shared" si="367"/>
        <v>Apprenant 512</v>
      </c>
      <c r="AR524" s="49" t="str">
        <f>IF(AND('Choix pédagogiques'!$C$4&lt;&gt;"?",'Choix pédagogiques'!$C$5&lt;&gt;"?",W524&lt;&gt;""),(W524-'Choix pédagogiques'!$C$4)/('Choix pédagogiques'!$C$5-'Choix pédagogiques'!$C$4),"")</f>
        <v/>
      </c>
      <c r="AS524" s="49" t="str">
        <f>IF(AND('Choix pédagogiques'!$C$4&lt;&gt;"?",'Choix pédagogiques'!$C$5&lt;&gt;"?",X524&lt;&gt;""),(X524-'Choix pédagogiques'!$C$4)/('Choix pédagogiques'!$C$5-'Choix pédagogiques'!$C$4),"")</f>
        <v/>
      </c>
      <c r="AT524" s="49" t="str">
        <f>IF(AND('Choix pédagogiques'!$C$4&lt;&gt;"?",'Choix pédagogiques'!$C$5&lt;&gt;"?",Y524&lt;&gt;""),(Y524-'Choix pédagogiques'!$C$4)/('Choix pédagogiques'!$C$5-'Choix pédagogiques'!$C$4),"")</f>
        <v/>
      </c>
      <c r="AU524" s="22" t="str">
        <f t="shared" si="368"/>
        <v/>
      </c>
      <c r="AV524" s="21" t="str">
        <f t="shared" si="369"/>
        <v>Apprenant 512 ou 512'</v>
      </c>
      <c r="AW524" s="49" t="str">
        <f>IF(AND('Choix pédagogiques'!$C$4&lt;&gt;"?",'Choix pédagogiques'!$C$5&lt;&gt;"?",AB524&lt;&gt;""),(AB524-'Choix pédagogiques'!$C$4)/('Choix pédagogiques'!$C$5-'Choix pédagogiques'!$C$4),"")</f>
        <v/>
      </c>
      <c r="AX524" s="49" t="str">
        <f>IF(AND('Choix pédagogiques'!$C$4&lt;&gt;"?",'Choix pédagogiques'!$C$5&lt;&gt;"?",AC524&lt;&gt;""),(AC524-'Choix pédagogiques'!$C$4)/('Choix pédagogiques'!$C$5-'Choix pédagogiques'!$C$4),"")</f>
        <v/>
      </c>
      <c r="AY524" s="49" t="str">
        <f>IF(AND('Choix pédagogiques'!$C$4&lt;&gt;"?",'Choix pédagogiques'!$C$5&lt;&gt;"?",AD524&lt;&gt;""),(AD524-'Choix pédagogiques'!$C$4)/('Choix pédagogiques'!$C$5-'Choix pédagogiques'!$C$4),"")</f>
        <v/>
      </c>
      <c r="AZ524" s="22" t="str">
        <f t="shared" si="370"/>
        <v/>
      </c>
      <c r="BA524" s="21" t="str">
        <f t="shared" si="371"/>
        <v>Apprenant 512</v>
      </c>
      <c r="BB524" s="49" t="str">
        <f t="shared" si="343"/>
        <v/>
      </c>
      <c r="BC524" s="49" t="str">
        <f t="shared" si="344"/>
        <v/>
      </c>
      <c r="BD524" s="49" t="str">
        <f t="shared" si="345"/>
        <v/>
      </c>
      <c r="BE524" s="22" t="str">
        <f t="shared" si="372"/>
        <v/>
      </c>
      <c r="BF524" s="21" t="str">
        <f t="shared" si="373"/>
        <v>Apprenant 512 ou 512'</v>
      </c>
      <c r="BG524" s="49" t="str">
        <f t="shared" si="346"/>
        <v/>
      </c>
      <c r="BH524" s="49" t="str">
        <f t="shared" si="347"/>
        <v/>
      </c>
      <c r="BI524" s="49" t="str">
        <f t="shared" si="348"/>
        <v/>
      </c>
      <c r="BJ524" s="22" t="str">
        <f t="shared" si="374"/>
        <v/>
      </c>
      <c r="BL524" s="21"/>
      <c r="BM524" s="21" t="str">
        <f>IF(OR(COUNT(B524:D1523)=0,AND('Choix pédagogiques'!$C$3&lt;&gt;1,'Choix pédagogiques'!$C$3&lt;&gt;2)),"",IF(AND(OR('Choix pédagogiques'!$C$3=1,'Choix pédagogiques'!$C$3=2),$B524&lt;&gt;"",$C524&lt;&gt;"",$D524&lt;&gt;""),1,0))</f>
        <v/>
      </c>
      <c r="BN524" s="21" t="str">
        <f>IF(OR(COUNT(G524:I1523)=0,AND('Choix pédagogiques'!$C$3&lt;&gt;1,'Choix pédagogiques'!$C$3&lt;&gt;2)),"",IF(AND(OR('Choix pédagogiques'!$C$3=1,'Choix pédagogiques'!$C$3=2),AND($G524&lt;&gt;"",$H524&lt;&gt;"",$I524&lt;&gt;"")),1,0))</f>
        <v/>
      </c>
      <c r="BO524" s="21" t="str">
        <f>IF(OR(COUNT(B524:D1523)=0,COUNT(G524:I1523)=0,'Choix pédagogiques'!C$3&lt;&gt;3),"",IF(AND('Choix pédagogiques'!$C$3=3,$B524&lt;&gt;"",$C524&lt;&gt;"",$D524&lt;&gt;"",$G524&lt;&gt;"",$H524&lt;&gt;"",$I524&lt;&gt;""),1,0))</f>
        <v/>
      </c>
      <c r="BR524" s="21">
        <v>496</v>
      </c>
      <c r="BS524" s="21">
        <v>1716</v>
      </c>
      <c r="BT524"/>
    </row>
    <row r="525" spans="1:72" s="23" customFormat="1" ht="18" customHeight="1" x14ac:dyDescent="0.3">
      <c r="A525" s="35" t="s">
        <v>515</v>
      </c>
      <c r="B525" s="37"/>
      <c r="C525" s="37"/>
      <c r="D525" s="37"/>
      <c r="E525" s="37"/>
      <c r="F525" s="35" t="s">
        <v>1523</v>
      </c>
      <c r="G525" s="37"/>
      <c r="H525" s="37"/>
      <c r="I525" s="37"/>
      <c r="J525" s="37"/>
      <c r="K525" s="21" t="str">
        <f t="shared" si="349"/>
        <v>Apprenant 513</v>
      </c>
      <c r="L525" s="22" t="str">
        <f t="shared" si="350"/>
        <v/>
      </c>
      <c r="M525" s="22" t="str">
        <f t="shared" si="351"/>
        <v/>
      </c>
      <c r="N525" s="22" t="str">
        <f t="shared" si="352"/>
        <v/>
      </c>
      <c r="O525" s="22" t="str">
        <f t="shared" si="353"/>
        <v/>
      </c>
      <c r="P525" s="21" t="str">
        <f t="shared" si="354"/>
        <v>Apprenant 513 ou 513'</v>
      </c>
      <c r="Q525" s="22" t="str">
        <f t="shared" si="355"/>
        <v/>
      </c>
      <c r="R525" s="22" t="str">
        <f t="shared" si="356"/>
        <v/>
      </c>
      <c r="S525" s="22" t="str">
        <f t="shared" si="357"/>
        <v/>
      </c>
      <c r="T525" s="22" t="str">
        <f t="shared" si="358"/>
        <v/>
      </c>
      <c r="V525" s="21" t="str">
        <f t="shared" si="359"/>
        <v>Apprenant 513</v>
      </c>
      <c r="W525" s="22" t="str">
        <f>IF(AND(OR('Choix pédagogiques'!$C$3=1,'Choix pédagogiques'!$C$3=2),$BM525=1),B525,IF(AND('Choix pédagogiques'!$C$3=3,$BO525=1),B525,""))</f>
        <v/>
      </c>
      <c r="X525" s="22" t="str">
        <f>IF(AND(OR('Choix pédagogiques'!$C$3=1,'Choix pédagogiques'!$C$3=2),$BM525=1),C525,IF(AND('Choix pédagogiques'!$C$3=3,$BO525=1),C525,""))</f>
        <v/>
      </c>
      <c r="Y525" s="22" t="str">
        <f>IF(AND(OR('Choix pédagogiques'!$C$3=1,'Choix pédagogiques'!$C$3=2),$BM525=1),D525,IF(AND('Choix pédagogiques'!$C$3=3,$BO525=1),D525,""))</f>
        <v/>
      </c>
      <c r="Z525" s="22" t="str">
        <f t="shared" si="360"/>
        <v/>
      </c>
      <c r="AA525" s="21" t="str">
        <f t="shared" si="361"/>
        <v>Apprenant 513 ou 513'</v>
      </c>
      <c r="AB525" s="22" t="str">
        <f>IF(AND(OR('Choix pédagogiques'!$C$3=1,'Choix pédagogiques'!$C$3=2),$BN525=1),G525,IF(AND('Choix pédagogiques'!$C$3=3,$BO525=1),G525,""))</f>
        <v/>
      </c>
      <c r="AC525" s="22" t="str">
        <f>IF(AND(OR('Choix pédagogiques'!$C$3=1,'Choix pédagogiques'!$C$3=2),$BN525=1),H525,IF(AND('Choix pédagogiques'!$C$3=3,$BO525=1),H525,""))</f>
        <v/>
      </c>
      <c r="AD525" s="22" t="str">
        <f>IF(AND(OR('Choix pédagogiques'!$C$3=1,'Choix pédagogiques'!$C$3=2),$BN525=1),I525,IF(AND('Choix pédagogiques'!$C$3=3,$BO525=1),I525,""))</f>
        <v/>
      </c>
      <c r="AE525" s="22" t="str">
        <f t="shared" si="362"/>
        <v/>
      </c>
      <c r="AF525" s="21" t="str">
        <f t="shared" si="363"/>
        <v>Apprenant 513</v>
      </c>
      <c r="AG525" s="22" t="str">
        <f t="shared" ref="AG525:AG588" si="375">IF(AND($W525&lt;&gt;"",$X525&lt;&gt;""),$X525-$W525,"")</f>
        <v/>
      </c>
      <c r="AH525" s="22" t="str">
        <f t="shared" ref="AH525:AH588" si="376">IF(AND($W525&lt;&gt;"",$Y525&lt;&gt;""),$Y525-$W525,"")</f>
        <v/>
      </c>
      <c r="AI525" s="22" t="str">
        <f t="shared" ref="AI525:AI588" si="377">IF(AND($X525&lt;&gt;"",$Y525&lt;&gt;""),$Y525-$X525,"")</f>
        <v/>
      </c>
      <c r="AJ525" s="22" t="str">
        <f t="shared" si="364"/>
        <v/>
      </c>
      <c r="AK525" s="21" t="str">
        <f t="shared" si="365"/>
        <v>Apprenant 513 ou 513'</v>
      </c>
      <c r="AL525" s="22" t="str">
        <f t="shared" ref="AL525:AL588" si="378">IF(AND($AB525&lt;&gt;"",$AC525&lt;&gt;""),$AC525-$AB525,"")</f>
        <v/>
      </c>
      <c r="AM525" s="22" t="str">
        <f t="shared" ref="AM525:AM588" si="379">IF(AND($AB525&lt;&gt;"",$AD525&lt;&gt;""),$AD525-$AB525,"")</f>
        <v/>
      </c>
      <c r="AN525" s="22" t="str">
        <f t="shared" ref="AN525:AN588" si="380">IF(AND($AC525&lt;&gt;"",$AD525&lt;&gt;""),$AD525-$AC525,"")</f>
        <v/>
      </c>
      <c r="AO525" s="22" t="str">
        <f t="shared" si="366"/>
        <v/>
      </c>
      <c r="AQ525" s="21" t="str">
        <f t="shared" si="367"/>
        <v>Apprenant 513</v>
      </c>
      <c r="AR525" s="49" t="str">
        <f>IF(AND('Choix pédagogiques'!$C$4&lt;&gt;"?",'Choix pédagogiques'!$C$5&lt;&gt;"?",W525&lt;&gt;""),(W525-'Choix pédagogiques'!$C$4)/('Choix pédagogiques'!$C$5-'Choix pédagogiques'!$C$4),"")</f>
        <v/>
      </c>
      <c r="AS525" s="49" t="str">
        <f>IF(AND('Choix pédagogiques'!$C$4&lt;&gt;"?",'Choix pédagogiques'!$C$5&lt;&gt;"?",X525&lt;&gt;""),(X525-'Choix pédagogiques'!$C$4)/('Choix pédagogiques'!$C$5-'Choix pédagogiques'!$C$4),"")</f>
        <v/>
      </c>
      <c r="AT525" s="49" t="str">
        <f>IF(AND('Choix pédagogiques'!$C$4&lt;&gt;"?",'Choix pédagogiques'!$C$5&lt;&gt;"?",Y525&lt;&gt;""),(Y525-'Choix pédagogiques'!$C$4)/('Choix pédagogiques'!$C$5-'Choix pédagogiques'!$C$4),"")</f>
        <v/>
      </c>
      <c r="AU525" s="22" t="str">
        <f t="shared" si="368"/>
        <v/>
      </c>
      <c r="AV525" s="21" t="str">
        <f t="shared" si="369"/>
        <v>Apprenant 513 ou 513'</v>
      </c>
      <c r="AW525" s="49" t="str">
        <f>IF(AND('Choix pédagogiques'!$C$4&lt;&gt;"?",'Choix pédagogiques'!$C$5&lt;&gt;"?",AB525&lt;&gt;""),(AB525-'Choix pédagogiques'!$C$4)/('Choix pédagogiques'!$C$5-'Choix pédagogiques'!$C$4),"")</f>
        <v/>
      </c>
      <c r="AX525" s="49" t="str">
        <f>IF(AND('Choix pédagogiques'!$C$4&lt;&gt;"?",'Choix pédagogiques'!$C$5&lt;&gt;"?",AC525&lt;&gt;""),(AC525-'Choix pédagogiques'!$C$4)/('Choix pédagogiques'!$C$5-'Choix pédagogiques'!$C$4),"")</f>
        <v/>
      </c>
      <c r="AY525" s="49" t="str">
        <f>IF(AND('Choix pédagogiques'!$C$4&lt;&gt;"?",'Choix pédagogiques'!$C$5&lt;&gt;"?",AD525&lt;&gt;""),(AD525-'Choix pédagogiques'!$C$4)/('Choix pédagogiques'!$C$5-'Choix pédagogiques'!$C$4),"")</f>
        <v/>
      </c>
      <c r="AZ525" s="22" t="str">
        <f t="shared" si="370"/>
        <v/>
      </c>
      <c r="BA525" s="21" t="str">
        <f t="shared" si="371"/>
        <v>Apprenant 513</v>
      </c>
      <c r="BB525" s="49" t="str">
        <f t="shared" ref="BB525:BB588" si="381">IF(AND($AR525&lt;&gt;"",$AS525&lt;&gt;""),$AS525-$AR525,"")</f>
        <v/>
      </c>
      <c r="BC525" s="49" t="str">
        <f t="shared" ref="BC525:BC588" si="382">IF(AND($AR525&lt;&gt;"",$AT525&lt;&gt;""),$AT525-$AR525,"")</f>
        <v/>
      </c>
      <c r="BD525" s="49" t="str">
        <f t="shared" ref="BD525:BD588" si="383">IF(AND($AS525&lt;&gt;"",$AT525&lt;&gt;""),$AT525-$AS525,"")</f>
        <v/>
      </c>
      <c r="BE525" s="22" t="str">
        <f t="shared" si="372"/>
        <v/>
      </c>
      <c r="BF525" s="21" t="str">
        <f t="shared" si="373"/>
        <v>Apprenant 513 ou 513'</v>
      </c>
      <c r="BG525" s="49" t="str">
        <f t="shared" ref="BG525:BG588" si="384">IF(AND($AW525&lt;&gt;"",$AX525&lt;&gt;""),$AX525-$AW525,"")</f>
        <v/>
      </c>
      <c r="BH525" s="49" t="str">
        <f t="shared" ref="BH525:BH588" si="385">IF(AND($AW525&lt;&gt;"",$AY525&lt;&gt;""),$AY525-$AW525,"")</f>
        <v/>
      </c>
      <c r="BI525" s="49" t="str">
        <f t="shared" ref="BI525:BI588" si="386">IF(AND($AX525&lt;&gt;"",$AY525&lt;&gt;""),$AY525-$AX525,"")</f>
        <v/>
      </c>
      <c r="BJ525" s="22" t="str">
        <f t="shared" si="374"/>
        <v/>
      </c>
      <c r="BL525" s="21"/>
      <c r="BM525" s="21" t="str">
        <f>IF(OR(COUNT(B525:D1524)=0,AND('Choix pédagogiques'!$C$3&lt;&gt;1,'Choix pédagogiques'!$C$3&lt;&gt;2)),"",IF(AND(OR('Choix pédagogiques'!$C$3=1,'Choix pédagogiques'!$C$3=2),$B525&lt;&gt;"",$C525&lt;&gt;"",$D525&lt;&gt;""),1,0))</f>
        <v/>
      </c>
      <c r="BN525" s="21" t="str">
        <f>IF(OR(COUNT(G525:I1524)=0,AND('Choix pédagogiques'!$C$3&lt;&gt;1,'Choix pédagogiques'!$C$3&lt;&gt;2)),"",IF(AND(OR('Choix pédagogiques'!$C$3=1,'Choix pédagogiques'!$C$3=2),AND($G525&lt;&gt;"",$H525&lt;&gt;"",$I525&lt;&gt;"")),1,0))</f>
        <v/>
      </c>
      <c r="BO525" s="21" t="str">
        <f>IF(OR(COUNT(B525:D1524)=0,COUNT(G525:I1524)=0,'Choix pédagogiques'!C$3&lt;&gt;3),"",IF(AND('Choix pédagogiques'!$C$3=3,$B525&lt;&gt;"",$C525&lt;&gt;"",$D525&lt;&gt;"",$G525&lt;&gt;"",$H525&lt;&gt;"",$I525&lt;&gt;""),1,0))</f>
        <v/>
      </c>
      <c r="BR525" s="21">
        <v>480</v>
      </c>
      <c r="BS525" s="21">
        <v>1921</v>
      </c>
      <c r="BT525"/>
    </row>
    <row r="526" spans="1:72" s="23" customFormat="1" ht="18" customHeight="1" x14ac:dyDescent="0.3">
      <c r="A526" s="35" t="s">
        <v>516</v>
      </c>
      <c r="B526" s="37"/>
      <c r="C526" s="37"/>
      <c r="D526" s="37"/>
      <c r="E526" s="37"/>
      <c r="F526" s="35" t="s">
        <v>1524</v>
      </c>
      <c r="G526" s="37"/>
      <c r="H526" s="37"/>
      <c r="I526" s="37"/>
      <c r="J526" s="37"/>
      <c r="K526" s="21" t="str">
        <f t="shared" ref="K526:K589" si="387">IF($A526&lt;&gt;"",$A526,"")</f>
        <v>Apprenant 514</v>
      </c>
      <c r="L526" s="22" t="str">
        <f t="shared" ref="L526:L589" si="388">IF(AND($B526&lt;&gt;"",$C526&lt;&gt;""),$C526-$B526,"")</f>
        <v/>
      </c>
      <c r="M526" s="22" t="str">
        <f t="shared" ref="M526:M589" si="389">IF(AND($B526&lt;&gt;"",$D526&lt;&gt;""),$D526-$B526,"")</f>
        <v/>
      </c>
      <c r="N526" s="22" t="str">
        <f t="shared" ref="N526:N589" si="390">IF(AND($C526&lt;&gt;"",$D526&lt;&gt;""),$D526-$C526,"")</f>
        <v/>
      </c>
      <c r="O526" s="22" t="str">
        <f t="shared" ref="O526:O589" si="391">IF($E526&lt;&gt;"",$E526,"")</f>
        <v/>
      </c>
      <c r="P526" s="21" t="str">
        <f t="shared" ref="P526:P589" si="392">IF($F526&lt;&gt;"",$F526,"")</f>
        <v>Apprenant 514 ou 514'</v>
      </c>
      <c r="Q526" s="22" t="str">
        <f t="shared" ref="Q526:Q589" si="393">IF(AND($G526&lt;&gt;"",$H526&lt;&gt;""),$H526-$G526,"")</f>
        <v/>
      </c>
      <c r="R526" s="22" t="str">
        <f t="shared" ref="R526:R589" si="394">IF(AND($G526&lt;&gt;"",$I526&lt;&gt;""),$I526-$G526,"")</f>
        <v/>
      </c>
      <c r="S526" s="22" t="str">
        <f t="shared" ref="S526:S589" si="395">IF(AND($H526&lt;&gt;"",$I526&lt;&gt;""),$I526-$H526,"")</f>
        <v/>
      </c>
      <c r="T526" s="22" t="str">
        <f t="shared" ref="T526:T589" si="396">IF($J526&lt;&gt;"",$J526,"")</f>
        <v/>
      </c>
      <c r="V526" s="21" t="str">
        <f t="shared" ref="V526:V589" si="397">IF($A526&lt;&gt;"",$A526,"")</f>
        <v>Apprenant 514</v>
      </c>
      <c r="W526" s="22" t="str">
        <f>IF(AND(OR('Choix pédagogiques'!$C$3=1,'Choix pédagogiques'!$C$3=2),$BM526=1),B526,IF(AND('Choix pédagogiques'!$C$3=3,$BO526=1),B526,""))</f>
        <v/>
      </c>
      <c r="X526" s="22" t="str">
        <f>IF(AND(OR('Choix pédagogiques'!$C$3=1,'Choix pédagogiques'!$C$3=2),$BM526=1),C526,IF(AND('Choix pédagogiques'!$C$3=3,$BO526=1),C526,""))</f>
        <v/>
      </c>
      <c r="Y526" s="22" t="str">
        <f>IF(AND(OR('Choix pédagogiques'!$C$3=1,'Choix pédagogiques'!$C$3=2),$BM526=1),D526,IF(AND('Choix pédagogiques'!$C$3=3,$BO526=1),D526,""))</f>
        <v/>
      </c>
      <c r="Z526" s="22" t="str">
        <f t="shared" ref="Z526:Z589" si="398">IF($E526&lt;&gt;"",$E526,"")</f>
        <v/>
      </c>
      <c r="AA526" s="21" t="str">
        <f t="shared" ref="AA526:AA589" si="399">IF($F526&lt;&gt;"",$F526,"")</f>
        <v>Apprenant 514 ou 514'</v>
      </c>
      <c r="AB526" s="22" t="str">
        <f>IF(AND(OR('Choix pédagogiques'!$C$3=1,'Choix pédagogiques'!$C$3=2),$BN526=1),G526,IF(AND('Choix pédagogiques'!$C$3=3,$BO526=1),G526,""))</f>
        <v/>
      </c>
      <c r="AC526" s="22" t="str">
        <f>IF(AND(OR('Choix pédagogiques'!$C$3=1,'Choix pédagogiques'!$C$3=2),$BN526=1),H526,IF(AND('Choix pédagogiques'!$C$3=3,$BO526=1),H526,""))</f>
        <v/>
      </c>
      <c r="AD526" s="22" t="str">
        <f>IF(AND(OR('Choix pédagogiques'!$C$3=1,'Choix pédagogiques'!$C$3=2),$BN526=1),I526,IF(AND('Choix pédagogiques'!$C$3=3,$BO526=1),I526,""))</f>
        <v/>
      </c>
      <c r="AE526" s="22" t="str">
        <f t="shared" ref="AE526:AE589" si="400">IF($J526&lt;&gt;"",$J526,"")</f>
        <v/>
      </c>
      <c r="AF526" s="21" t="str">
        <f t="shared" ref="AF526:AF589" si="401">IF($A526&lt;&gt;"",$A526,"")</f>
        <v>Apprenant 514</v>
      </c>
      <c r="AG526" s="22" t="str">
        <f t="shared" si="375"/>
        <v/>
      </c>
      <c r="AH526" s="22" t="str">
        <f t="shared" si="376"/>
        <v/>
      </c>
      <c r="AI526" s="22" t="str">
        <f t="shared" si="377"/>
        <v/>
      </c>
      <c r="AJ526" s="22" t="str">
        <f t="shared" ref="AJ526:AJ589" si="402">IF($E526&lt;&gt;"",$E526,"")</f>
        <v/>
      </c>
      <c r="AK526" s="21" t="str">
        <f t="shared" ref="AK526:AK589" si="403">IF($F526&lt;&gt;"",$F526,"")</f>
        <v>Apprenant 514 ou 514'</v>
      </c>
      <c r="AL526" s="22" t="str">
        <f t="shared" si="378"/>
        <v/>
      </c>
      <c r="AM526" s="22" t="str">
        <f t="shared" si="379"/>
        <v/>
      </c>
      <c r="AN526" s="22" t="str">
        <f t="shared" si="380"/>
        <v/>
      </c>
      <c r="AO526" s="22" t="str">
        <f t="shared" ref="AO526:AO589" si="404">IF($J526&lt;&gt;"",$J526,"")</f>
        <v/>
      </c>
      <c r="AQ526" s="21" t="str">
        <f t="shared" ref="AQ526:AQ589" si="405">IF($A526&lt;&gt;"",$A526,"")</f>
        <v>Apprenant 514</v>
      </c>
      <c r="AR526" s="49" t="str">
        <f>IF(AND('Choix pédagogiques'!$C$4&lt;&gt;"?",'Choix pédagogiques'!$C$5&lt;&gt;"?",W526&lt;&gt;""),(W526-'Choix pédagogiques'!$C$4)/('Choix pédagogiques'!$C$5-'Choix pédagogiques'!$C$4),"")</f>
        <v/>
      </c>
      <c r="AS526" s="49" t="str">
        <f>IF(AND('Choix pédagogiques'!$C$4&lt;&gt;"?",'Choix pédagogiques'!$C$5&lt;&gt;"?",X526&lt;&gt;""),(X526-'Choix pédagogiques'!$C$4)/('Choix pédagogiques'!$C$5-'Choix pédagogiques'!$C$4),"")</f>
        <v/>
      </c>
      <c r="AT526" s="49" t="str">
        <f>IF(AND('Choix pédagogiques'!$C$4&lt;&gt;"?",'Choix pédagogiques'!$C$5&lt;&gt;"?",Y526&lt;&gt;""),(Y526-'Choix pédagogiques'!$C$4)/('Choix pédagogiques'!$C$5-'Choix pédagogiques'!$C$4),"")</f>
        <v/>
      </c>
      <c r="AU526" s="22" t="str">
        <f t="shared" ref="AU526:AU589" si="406">IF($E526&lt;&gt;"",$E526,"")</f>
        <v/>
      </c>
      <c r="AV526" s="21" t="str">
        <f t="shared" ref="AV526:AV589" si="407">IF($F526&lt;&gt;"",$F526,"")</f>
        <v>Apprenant 514 ou 514'</v>
      </c>
      <c r="AW526" s="49" t="str">
        <f>IF(AND('Choix pédagogiques'!$C$4&lt;&gt;"?",'Choix pédagogiques'!$C$5&lt;&gt;"?",AB526&lt;&gt;""),(AB526-'Choix pédagogiques'!$C$4)/('Choix pédagogiques'!$C$5-'Choix pédagogiques'!$C$4),"")</f>
        <v/>
      </c>
      <c r="AX526" s="49" t="str">
        <f>IF(AND('Choix pédagogiques'!$C$4&lt;&gt;"?",'Choix pédagogiques'!$C$5&lt;&gt;"?",AC526&lt;&gt;""),(AC526-'Choix pédagogiques'!$C$4)/('Choix pédagogiques'!$C$5-'Choix pédagogiques'!$C$4),"")</f>
        <v/>
      </c>
      <c r="AY526" s="49" t="str">
        <f>IF(AND('Choix pédagogiques'!$C$4&lt;&gt;"?",'Choix pédagogiques'!$C$5&lt;&gt;"?",AD526&lt;&gt;""),(AD526-'Choix pédagogiques'!$C$4)/('Choix pédagogiques'!$C$5-'Choix pédagogiques'!$C$4),"")</f>
        <v/>
      </c>
      <c r="AZ526" s="22" t="str">
        <f t="shared" ref="AZ526:AZ589" si="408">IF($J526&lt;&gt;"",$J526,"")</f>
        <v/>
      </c>
      <c r="BA526" s="21" t="str">
        <f t="shared" ref="BA526:BA589" si="409">IF($A526&lt;&gt;"",$A526,"")</f>
        <v>Apprenant 514</v>
      </c>
      <c r="BB526" s="49" t="str">
        <f t="shared" si="381"/>
        <v/>
      </c>
      <c r="BC526" s="49" t="str">
        <f t="shared" si="382"/>
        <v/>
      </c>
      <c r="BD526" s="49" t="str">
        <f t="shared" si="383"/>
        <v/>
      </c>
      <c r="BE526" s="22" t="str">
        <f t="shared" ref="BE526:BE589" si="410">IF($E526&lt;&gt;"",$E526,"")</f>
        <v/>
      </c>
      <c r="BF526" s="21" t="str">
        <f t="shared" ref="BF526:BF589" si="411">IF($F526&lt;&gt;"",$F526,"")</f>
        <v>Apprenant 514 ou 514'</v>
      </c>
      <c r="BG526" s="49" t="str">
        <f t="shared" si="384"/>
        <v/>
      </c>
      <c r="BH526" s="49" t="str">
        <f t="shared" si="385"/>
        <v/>
      </c>
      <c r="BI526" s="49" t="str">
        <f t="shared" si="386"/>
        <v/>
      </c>
      <c r="BJ526" s="22" t="str">
        <f t="shared" ref="BJ526:BJ589" si="412">IF($J526&lt;&gt;"",$J526,"")</f>
        <v/>
      </c>
      <c r="BL526" s="21"/>
      <c r="BM526" s="21" t="str">
        <f>IF(OR(COUNT(B526:D1525)=0,AND('Choix pédagogiques'!$C$3&lt;&gt;1,'Choix pédagogiques'!$C$3&lt;&gt;2)),"",IF(AND(OR('Choix pédagogiques'!$C$3=1,'Choix pédagogiques'!$C$3=2),$B526&lt;&gt;"",$C526&lt;&gt;"",$D526&lt;&gt;""),1,0))</f>
        <v/>
      </c>
      <c r="BN526" s="21" t="str">
        <f>IF(OR(COUNT(G526:I1525)=0,AND('Choix pédagogiques'!$C$3&lt;&gt;1,'Choix pédagogiques'!$C$3&lt;&gt;2)),"",IF(AND(OR('Choix pédagogiques'!$C$3=1,'Choix pédagogiques'!$C$3=2),AND($G526&lt;&gt;"",$H526&lt;&gt;"",$I526&lt;&gt;"")),1,0))</f>
        <v/>
      </c>
      <c r="BO526" s="21" t="str">
        <f>IF(OR(COUNT(B526:D1525)=0,COUNT(G526:I1525)=0,'Choix pédagogiques'!C$3&lt;&gt;3),"",IF(AND('Choix pédagogiques'!$C$3=3,$B526&lt;&gt;"",$C526&lt;&gt;"",$D526&lt;&gt;"",$G526&lt;&gt;"",$H526&lt;&gt;"",$I526&lt;&gt;""),1,0))</f>
        <v/>
      </c>
      <c r="BR526" s="21">
        <v>517</v>
      </c>
      <c r="BS526" s="21">
        <v>1576</v>
      </c>
      <c r="BT526"/>
    </row>
    <row r="527" spans="1:72" s="23" customFormat="1" ht="18" customHeight="1" x14ac:dyDescent="0.3">
      <c r="A527" s="35" t="s">
        <v>517</v>
      </c>
      <c r="B527" s="37"/>
      <c r="C527" s="37"/>
      <c r="D527" s="37"/>
      <c r="E527" s="37"/>
      <c r="F527" s="35" t="s">
        <v>1525</v>
      </c>
      <c r="G527" s="37"/>
      <c r="H527" s="37"/>
      <c r="I527" s="37"/>
      <c r="J527" s="37"/>
      <c r="K527" s="21" t="str">
        <f t="shared" si="387"/>
        <v>Apprenant 515</v>
      </c>
      <c r="L527" s="22" t="str">
        <f t="shared" si="388"/>
        <v/>
      </c>
      <c r="M527" s="22" t="str">
        <f t="shared" si="389"/>
        <v/>
      </c>
      <c r="N527" s="22" t="str">
        <f t="shared" si="390"/>
        <v/>
      </c>
      <c r="O527" s="22" t="str">
        <f t="shared" si="391"/>
        <v/>
      </c>
      <c r="P527" s="21" t="str">
        <f t="shared" si="392"/>
        <v>Apprenant 515 ou 515'</v>
      </c>
      <c r="Q527" s="22" t="str">
        <f t="shared" si="393"/>
        <v/>
      </c>
      <c r="R527" s="22" t="str">
        <f t="shared" si="394"/>
        <v/>
      </c>
      <c r="S527" s="22" t="str">
        <f t="shared" si="395"/>
        <v/>
      </c>
      <c r="T527" s="22" t="str">
        <f t="shared" si="396"/>
        <v/>
      </c>
      <c r="V527" s="21" t="str">
        <f t="shared" si="397"/>
        <v>Apprenant 515</v>
      </c>
      <c r="W527" s="22" t="str">
        <f>IF(AND(OR('Choix pédagogiques'!$C$3=1,'Choix pédagogiques'!$C$3=2),$BM527=1),B527,IF(AND('Choix pédagogiques'!$C$3=3,$BO527=1),B527,""))</f>
        <v/>
      </c>
      <c r="X527" s="22" t="str">
        <f>IF(AND(OR('Choix pédagogiques'!$C$3=1,'Choix pédagogiques'!$C$3=2),$BM527=1),C527,IF(AND('Choix pédagogiques'!$C$3=3,$BO527=1),C527,""))</f>
        <v/>
      </c>
      <c r="Y527" s="22" t="str">
        <f>IF(AND(OR('Choix pédagogiques'!$C$3=1,'Choix pédagogiques'!$C$3=2),$BM527=1),D527,IF(AND('Choix pédagogiques'!$C$3=3,$BO527=1),D527,""))</f>
        <v/>
      </c>
      <c r="Z527" s="22" t="str">
        <f t="shared" si="398"/>
        <v/>
      </c>
      <c r="AA527" s="21" t="str">
        <f t="shared" si="399"/>
        <v>Apprenant 515 ou 515'</v>
      </c>
      <c r="AB527" s="22" t="str">
        <f>IF(AND(OR('Choix pédagogiques'!$C$3=1,'Choix pédagogiques'!$C$3=2),$BN527=1),G527,IF(AND('Choix pédagogiques'!$C$3=3,$BO527=1),G527,""))</f>
        <v/>
      </c>
      <c r="AC527" s="22" t="str">
        <f>IF(AND(OR('Choix pédagogiques'!$C$3=1,'Choix pédagogiques'!$C$3=2),$BN527=1),H527,IF(AND('Choix pédagogiques'!$C$3=3,$BO527=1),H527,""))</f>
        <v/>
      </c>
      <c r="AD527" s="22" t="str">
        <f>IF(AND(OR('Choix pédagogiques'!$C$3=1,'Choix pédagogiques'!$C$3=2),$BN527=1),I527,IF(AND('Choix pédagogiques'!$C$3=3,$BO527=1),I527,""))</f>
        <v/>
      </c>
      <c r="AE527" s="22" t="str">
        <f t="shared" si="400"/>
        <v/>
      </c>
      <c r="AF527" s="21" t="str">
        <f t="shared" si="401"/>
        <v>Apprenant 515</v>
      </c>
      <c r="AG527" s="22" t="str">
        <f t="shared" si="375"/>
        <v/>
      </c>
      <c r="AH527" s="22" t="str">
        <f t="shared" si="376"/>
        <v/>
      </c>
      <c r="AI527" s="22" t="str">
        <f t="shared" si="377"/>
        <v/>
      </c>
      <c r="AJ527" s="22" t="str">
        <f t="shared" si="402"/>
        <v/>
      </c>
      <c r="AK527" s="21" t="str">
        <f t="shared" si="403"/>
        <v>Apprenant 515 ou 515'</v>
      </c>
      <c r="AL527" s="22" t="str">
        <f t="shared" si="378"/>
        <v/>
      </c>
      <c r="AM527" s="22" t="str">
        <f t="shared" si="379"/>
        <v/>
      </c>
      <c r="AN527" s="22" t="str">
        <f t="shared" si="380"/>
        <v/>
      </c>
      <c r="AO527" s="22" t="str">
        <f t="shared" si="404"/>
        <v/>
      </c>
      <c r="AQ527" s="21" t="str">
        <f t="shared" si="405"/>
        <v>Apprenant 515</v>
      </c>
      <c r="AR527" s="49" t="str">
        <f>IF(AND('Choix pédagogiques'!$C$4&lt;&gt;"?",'Choix pédagogiques'!$C$5&lt;&gt;"?",W527&lt;&gt;""),(W527-'Choix pédagogiques'!$C$4)/('Choix pédagogiques'!$C$5-'Choix pédagogiques'!$C$4),"")</f>
        <v/>
      </c>
      <c r="AS527" s="49" t="str">
        <f>IF(AND('Choix pédagogiques'!$C$4&lt;&gt;"?",'Choix pédagogiques'!$C$5&lt;&gt;"?",X527&lt;&gt;""),(X527-'Choix pédagogiques'!$C$4)/('Choix pédagogiques'!$C$5-'Choix pédagogiques'!$C$4),"")</f>
        <v/>
      </c>
      <c r="AT527" s="49" t="str">
        <f>IF(AND('Choix pédagogiques'!$C$4&lt;&gt;"?",'Choix pédagogiques'!$C$5&lt;&gt;"?",Y527&lt;&gt;""),(Y527-'Choix pédagogiques'!$C$4)/('Choix pédagogiques'!$C$5-'Choix pédagogiques'!$C$4),"")</f>
        <v/>
      </c>
      <c r="AU527" s="22" t="str">
        <f t="shared" si="406"/>
        <v/>
      </c>
      <c r="AV527" s="21" t="str">
        <f t="shared" si="407"/>
        <v>Apprenant 515 ou 515'</v>
      </c>
      <c r="AW527" s="49" t="str">
        <f>IF(AND('Choix pédagogiques'!$C$4&lt;&gt;"?",'Choix pédagogiques'!$C$5&lt;&gt;"?",AB527&lt;&gt;""),(AB527-'Choix pédagogiques'!$C$4)/('Choix pédagogiques'!$C$5-'Choix pédagogiques'!$C$4),"")</f>
        <v/>
      </c>
      <c r="AX527" s="49" t="str">
        <f>IF(AND('Choix pédagogiques'!$C$4&lt;&gt;"?",'Choix pédagogiques'!$C$5&lt;&gt;"?",AC527&lt;&gt;""),(AC527-'Choix pédagogiques'!$C$4)/('Choix pédagogiques'!$C$5-'Choix pédagogiques'!$C$4),"")</f>
        <v/>
      </c>
      <c r="AY527" s="49" t="str">
        <f>IF(AND('Choix pédagogiques'!$C$4&lt;&gt;"?",'Choix pédagogiques'!$C$5&lt;&gt;"?",AD527&lt;&gt;""),(AD527-'Choix pédagogiques'!$C$4)/('Choix pédagogiques'!$C$5-'Choix pédagogiques'!$C$4),"")</f>
        <v/>
      </c>
      <c r="AZ527" s="22" t="str">
        <f t="shared" si="408"/>
        <v/>
      </c>
      <c r="BA527" s="21" t="str">
        <f t="shared" si="409"/>
        <v>Apprenant 515</v>
      </c>
      <c r="BB527" s="49" t="str">
        <f t="shared" si="381"/>
        <v/>
      </c>
      <c r="BC527" s="49" t="str">
        <f t="shared" si="382"/>
        <v/>
      </c>
      <c r="BD527" s="49" t="str">
        <f t="shared" si="383"/>
        <v/>
      </c>
      <c r="BE527" s="22" t="str">
        <f t="shared" si="410"/>
        <v/>
      </c>
      <c r="BF527" s="21" t="str">
        <f t="shared" si="411"/>
        <v>Apprenant 515 ou 515'</v>
      </c>
      <c r="BG527" s="49" t="str">
        <f t="shared" si="384"/>
        <v/>
      </c>
      <c r="BH527" s="49" t="str">
        <f t="shared" si="385"/>
        <v/>
      </c>
      <c r="BI527" s="49" t="str">
        <f t="shared" si="386"/>
        <v/>
      </c>
      <c r="BJ527" s="22" t="str">
        <f t="shared" si="412"/>
        <v/>
      </c>
      <c r="BL527" s="21"/>
      <c r="BM527" s="21" t="str">
        <f>IF(OR(COUNT(B527:D1526)=0,AND('Choix pédagogiques'!$C$3&lt;&gt;1,'Choix pédagogiques'!$C$3&lt;&gt;2)),"",IF(AND(OR('Choix pédagogiques'!$C$3=1,'Choix pédagogiques'!$C$3=2),$B527&lt;&gt;"",$C527&lt;&gt;"",$D527&lt;&gt;""),1,0))</f>
        <v/>
      </c>
      <c r="BN527" s="21" t="str">
        <f>IF(OR(COUNT(G527:I1526)=0,AND('Choix pédagogiques'!$C$3&lt;&gt;1,'Choix pédagogiques'!$C$3&lt;&gt;2)),"",IF(AND(OR('Choix pédagogiques'!$C$3=1,'Choix pédagogiques'!$C$3=2),AND($G527&lt;&gt;"",$H527&lt;&gt;"",$I527&lt;&gt;"")),1,0))</f>
        <v/>
      </c>
      <c r="BO527" s="21" t="str">
        <f>IF(OR(COUNT(B527:D1526)=0,COUNT(G527:I1526)=0,'Choix pédagogiques'!C$3&lt;&gt;3),"",IF(AND('Choix pédagogiques'!$C$3=3,$B527&lt;&gt;"",$C527&lt;&gt;"",$D527&lt;&gt;"",$G527&lt;&gt;"",$H527&lt;&gt;"",$I527&lt;&gt;""),1,0))</f>
        <v/>
      </c>
      <c r="BR527" s="21">
        <v>44</v>
      </c>
      <c r="BS527" s="21">
        <v>1699</v>
      </c>
      <c r="BT527"/>
    </row>
    <row r="528" spans="1:72" s="23" customFormat="1" ht="18" customHeight="1" x14ac:dyDescent="0.3">
      <c r="A528" s="35" t="s">
        <v>518</v>
      </c>
      <c r="B528" s="37"/>
      <c r="C528" s="37"/>
      <c r="D528" s="37"/>
      <c r="E528" s="37"/>
      <c r="F528" s="35" t="s">
        <v>1526</v>
      </c>
      <c r="G528" s="37"/>
      <c r="H528" s="37"/>
      <c r="I528" s="37"/>
      <c r="J528" s="37"/>
      <c r="K528" s="21" t="str">
        <f t="shared" si="387"/>
        <v>Apprenant 516</v>
      </c>
      <c r="L528" s="22" t="str">
        <f t="shared" si="388"/>
        <v/>
      </c>
      <c r="M528" s="22" t="str">
        <f t="shared" si="389"/>
        <v/>
      </c>
      <c r="N528" s="22" t="str">
        <f t="shared" si="390"/>
        <v/>
      </c>
      <c r="O528" s="22" t="str">
        <f t="shared" si="391"/>
        <v/>
      </c>
      <c r="P528" s="21" t="str">
        <f t="shared" si="392"/>
        <v>Apprenant 516 ou 516'</v>
      </c>
      <c r="Q528" s="22" t="str">
        <f t="shared" si="393"/>
        <v/>
      </c>
      <c r="R528" s="22" t="str">
        <f t="shared" si="394"/>
        <v/>
      </c>
      <c r="S528" s="22" t="str">
        <f t="shared" si="395"/>
        <v/>
      </c>
      <c r="T528" s="22" t="str">
        <f t="shared" si="396"/>
        <v/>
      </c>
      <c r="V528" s="21" t="str">
        <f t="shared" si="397"/>
        <v>Apprenant 516</v>
      </c>
      <c r="W528" s="22" t="str">
        <f>IF(AND(OR('Choix pédagogiques'!$C$3=1,'Choix pédagogiques'!$C$3=2),$BM528=1),B528,IF(AND('Choix pédagogiques'!$C$3=3,$BO528=1),B528,""))</f>
        <v/>
      </c>
      <c r="X528" s="22" t="str">
        <f>IF(AND(OR('Choix pédagogiques'!$C$3=1,'Choix pédagogiques'!$C$3=2),$BM528=1),C528,IF(AND('Choix pédagogiques'!$C$3=3,$BO528=1),C528,""))</f>
        <v/>
      </c>
      <c r="Y528" s="22" t="str">
        <f>IF(AND(OR('Choix pédagogiques'!$C$3=1,'Choix pédagogiques'!$C$3=2),$BM528=1),D528,IF(AND('Choix pédagogiques'!$C$3=3,$BO528=1),D528,""))</f>
        <v/>
      </c>
      <c r="Z528" s="22" t="str">
        <f t="shared" si="398"/>
        <v/>
      </c>
      <c r="AA528" s="21" t="str">
        <f t="shared" si="399"/>
        <v>Apprenant 516 ou 516'</v>
      </c>
      <c r="AB528" s="22" t="str">
        <f>IF(AND(OR('Choix pédagogiques'!$C$3=1,'Choix pédagogiques'!$C$3=2),$BN528=1),G528,IF(AND('Choix pédagogiques'!$C$3=3,$BO528=1),G528,""))</f>
        <v/>
      </c>
      <c r="AC528" s="22" t="str">
        <f>IF(AND(OR('Choix pédagogiques'!$C$3=1,'Choix pédagogiques'!$C$3=2),$BN528=1),H528,IF(AND('Choix pédagogiques'!$C$3=3,$BO528=1),H528,""))</f>
        <v/>
      </c>
      <c r="AD528" s="22" t="str">
        <f>IF(AND(OR('Choix pédagogiques'!$C$3=1,'Choix pédagogiques'!$C$3=2),$BN528=1),I528,IF(AND('Choix pédagogiques'!$C$3=3,$BO528=1),I528,""))</f>
        <v/>
      </c>
      <c r="AE528" s="22" t="str">
        <f t="shared" si="400"/>
        <v/>
      </c>
      <c r="AF528" s="21" t="str">
        <f t="shared" si="401"/>
        <v>Apprenant 516</v>
      </c>
      <c r="AG528" s="22" t="str">
        <f t="shared" si="375"/>
        <v/>
      </c>
      <c r="AH528" s="22" t="str">
        <f t="shared" si="376"/>
        <v/>
      </c>
      <c r="AI528" s="22" t="str">
        <f t="shared" si="377"/>
        <v/>
      </c>
      <c r="AJ528" s="22" t="str">
        <f t="shared" si="402"/>
        <v/>
      </c>
      <c r="AK528" s="21" t="str">
        <f t="shared" si="403"/>
        <v>Apprenant 516 ou 516'</v>
      </c>
      <c r="AL528" s="22" t="str">
        <f t="shared" si="378"/>
        <v/>
      </c>
      <c r="AM528" s="22" t="str">
        <f t="shared" si="379"/>
        <v/>
      </c>
      <c r="AN528" s="22" t="str">
        <f t="shared" si="380"/>
        <v/>
      </c>
      <c r="AO528" s="22" t="str">
        <f t="shared" si="404"/>
        <v/>
      </c>
      <c r="AQ528" s="21" t="str">
        <f t="shared" si="405"/>
        <v>Apprenant 516</v>
      </c>
      <c r="AR528" s="49" t="str">
        <f>IF(AND('Choix pédagogiques'!$C$4&lt;&gt;"?",'Choix pédagogiques'!$C$5&lt;&gt;"?",W528&lt;&gt;""),(W528-'Choix pédagogiques'!$C$4)/('Choix pédagogiques'!$C$5-'Choix pédagogiques'!$C$4),"")</f>
        <v/>
      </c>
      <c r="AS528" s="49" t="str">
        <f>IF(AND('Choix pédagogiques'!$C$4&lt;&gt;"?",'Choix pédagogiques'!$C$5&lt;&gt;"?",X528&lt;&gt;""),(X528-'Choix pédagogiques'!$C$4)/('Choix pédagogiques'!$C$5-'Choix pédagogiques'!$C$4),"")</f>
        <v/>
      </c>
      <c r="AT528" s="49" t="str">
        <f>IF(AND('Choix pédagogiques'!$C$4&lt;&gt;"?",'Choix pédagogiques'!$C$5&lt;&gt;"?",Y528&lt;&gt;""),(Y528-'Choix pédagogiques'!$C$4)/('Choix pédagogiques'!$C$5-'Choix pédagogiques'!$C$4),"")</f>
        <v/>
      </c>
      <c r="AU528" s="22" t="str">
        <f t="shared" si="406"/>
        <v/>
      </c>
      <c r="AV528" s="21" t="str">
        <f t="shared" si="407"/>
        <v>Apprenant 516 ou 516'</v>
      </c>
      <c r="AW528" s="49" t="str">
        <f>IF(AND('Choix pédagogiques'!$C$4&lt;&gt;"?",'Choix pédagogiques'!$C$5&lt;&gt;"?",AB528&lt;&gt;""),(AB528-'Choix pédagogiques'!$C$4)/('Choix pédagogiques'!$C$5-'Choix pédagogiques'!$C$4),"")</f>
        <v/>
      </c>
      <c r="AX528" s="49" t="str">
        <f>IF(AND('Choix pédagogiques'!$C$4&lt;&gt;"?",'Choix pédagogiques'!$C$5&lt;&gt;"?",AC528&lt;&gt;""),(AC528-'Choix pédagogiques'!$C$4)/('Choix pédagogiques'!$C$5-'Choix pédagogiques'!$C$4),"")</f>
        <v/>
      </c>
      <c r="AY528" s="49" t="str">
        <f>IF(AND('Choix pédagogiques'!$C$4&lt;&gt;"?",'Choix pédagogiques'!$C$5&lt;&gt;"?",AD528&lt;&gt;""),(AD528-'Choix pédagogiques'!$C$4)/('Choix pédagogiques'!$C$5-'Choix pédagogiques'!$C$4),"")</f>
        <v/>
      </c>
      <c r="AZ528" s="22" t="str">
        <f t="shared" si="408"/>
        <v/>
      </c>
      <c r="BA528" s="21" t="str">
        <f t="shared" si="409"/>
        <v>Apprenant 516</v>
      </c>
      <c r="BB528" s="49" t="str">
        <f t="shared" si="381"/>
        <v/>
      </c>
      <c r="BC528" s="49" t="str">
        <f t="shared" si="382"/>
        <v/>
      </c>
      <c r="BD528" s="49" t="str">
        <f t="shared" si="383"/>
        <v/>
      </c>
      <c r="BE528" s="22" t="str">
        <f t="shared" si="410"/>
        <v/>
      </c>
      <c r="BF528" s="21" t="str">
        <f t="shared" si="411"/>
        <v>Apprenant 516 ou 516'</v>
      </c>
      <c r="BG528" s="49" t="str">
        <f t="shared" si="384"/>
        <v/>
      </c>
      <c r="BH528" s="49" t="str">
        <f t="shared" si="385"/>
        <v/>
      </c>
      <c r="BI528" s="49" t="str">
        <f t="shared" si="386"/>
        <v/>
      </c>
      <c r="BJ528" s="22" t="str">
        <f t="shared" si="412"/>
        <v/>
      </c>
      <c r="BL528" s="21"/>
      <c r="BM528" s="21" t="str">
        <f>IF(OR(COUNT(B528:D1527)=0,AND('Choix pédagogiques'!$C$3&lt;&gt;1,'Choix pédagogiques'!$C$3&lt;&gt;2)),"",IF(AND(OR('Choix pédagogiques'!$C$3=1,'Choix pédagogiques'!$C$3=2),$B528&lt;&gt;"",$C528&lt;&gt;"",$D528&lt;&gt;""),1,0))</f>
        <v/>
      </c>
      <c r="BN528" s="21" t="str">
        <f>IF(OR(COUNT(G528:I1527)=0,AND('Choix pédagogiques'!$C$3&lt;&gt;1,'Choix pédagogiques'!$C$3&lt;&gt;2)),"",IF(AND(OR('Choix pédagogiques'!$C$3=1,'Choix pédagogiques'!$C$3=2),AND($G528&lt;&gt;"",$H528&lt;&gt;"",$I528&lt;&gt;"")),1,0))</f>
        <v/>
      </c>
      <c r="BO528" s="21" t="str">
        <f>IF(OR(COUNT(B528:D1527)=0,COUNT(G528:I1527)=0,'Choix pédagogiques'!C$3&lt;&gt;3),"",IF(AND('Choix pédagogiques'!$C$3=3,$B528&lt;&gt;"",$C528&lt;&gt;"",$D528&lt;&gt;"",$G528&lt;&gt;"",$H528&lt;&gt;"",$I528&lt;&gt;""),1,0))</f>
        <v/>
      </c>
      <c r="BR528" s="21">
        <v>599</v>
      </c>
      <c r="BS528" s="21">
        <v>1412</v>
      </c>
      <c r="BT528"/>
    </row>
    <row r="529" spans="1:72" s="23" customFormat="1" ht="18" customHeight="1" x14ac:dyDescent="0.3">
      <c r="A529" s="35" t="s">
        <v>519</v>
      </c>
      <c r="B529" s="37"/>
      <c r="C529" s="37"/>
      <c r="D529" s="37"/>
      <c r="E529" s="37"/>
      <c r="F529" s="35" t="s">
        <v>1527</v>
      </c>
      <c r="G529" s="37"/>
      <c r="H529" s="37"/>
      <c r="I529" s="37"/>
      <c r="J529" s="37"/>
      <c r="K529" s="21" t="str">
        <f t="shared" si="387"/>
        <v>Apprenant 517</v>
      </c>
      <c r="L529" s="22" t="str">
        <f t="shared" si="388"/>
        <v/>
      </c>
      <c r="M529" s="22" t="str">
        <f t="shared" si="389"/>
        <v/>
      </c>
      <c r="N529" s="22" t="str">
        <f t="shared" si="390"/>
        <v/>
      </c>
      <c r="O529" s="22" t="str">
        <f t="shared" si="391"/>
        <v/>
      </c>
      <c r="P529" s="21" t="str">
        <f t="shared" si="392"/>
        <v>Apprenant 517 ou 517'</v>
      </c>
      <c r="Q529" s="22" t="str">
        <f t="shared" si="393"/>
        <v/>
      </c>
      <c r="R529" s="22" t="str">
        <f t="shared" si="394"/>
        <v/>
      </c>
      <c r="S529" s="22" t="str">
        <f t="shared" si="395"/>
        <v/>
      </c>
      <c r="T529" s="22" t="str">
        <f t="shared" si="396"/>
        <v/>
      </c>
      <c r="V529" s="21" t="str">
        <f t="shared" si="397"/>
        <v>Apprenant 517</v>
      </c>
      <c r="W529" s="22" t="str">
        <f>IF(AND(OR('Choix pédagogiques'!$C$3=1,'Choix pédagogiques'!$C$3=2),$BM529=1),B529,IF(AND('Choix pédagogiques'!$C$3=3,$BO529=1),B529,""))</f>
        <v/>
      </c>
      <c r="X529" s="22" t="str">
        <f>IF(AND(OR('Choix pédagogiques'!$C$3=1,'Choix pédagogiques'!$C$3=2),$BM529=1),C529,IF(AND('Choix pédagogiques'!$C$3=3,$BO529=1),C529,""))</f>
        <v/>
      </c>
      <c r="Y529" s="22" t="str">
        <f>IF(AND(OR('Choix pédagogiques'!$C$3=1,'Choix pédagogiques'!$C$3=2),$BM529=1),D529,IF(AND('Choix pédagogiques'!$C$3=3,$BO529=1),D529,""))</f>
        <v/>
      </c>
      <c r="Z529" s="22" t="str">
        <f t="shared" si="398"/>
        <v/>
      </c>
      <c r="AA529" s="21" t="str">
        <f t="shared" si="399"/>
        <v>Apprenant 517 ou 517'</v>
      </c>
      <c r="AB529" s="22" t="str">
        <f>IF(AND(OR('Choix pédagogiques'!$C$3=1,'Choix pédagogiques'!$C$3=2),$BN529=1),G529,IF(AND('Choix pédagogiques'!$C$3=3,$BO529=1),G529,""))</f>
        <v/>
      </c>
      <c r="AC529" s="22" t="str">
        <f>IF(AND(OR('Choix pédagogiques'!$C$3=1,'Choix pédagogiques'!$C$3=2),$BN529=1),H529,IF(AND('Choix pédagogiques'!$C$3=3,$BO529=1),H529,""))</f>
        <v/>
      </c>
      <c r="AD529" s="22" t="str">
        <f>IF(AND(OR('Choix pédagogiques'!$C$3=1,'Choix pédagogiques'!$C$3=2),$BN529=1),I529,IF(AND('Choix pédagogiques'!$C$3=3,$BO529=1),I529,""))</f>
        <v/>
      </c>
      <c r="AE529" s="22" t="str">
        <f t="shared" si="400"/>
        <v/>
      </c>
      <c r="AF529" s="21" t="str">
        <f t="shared" si="401"/>
        <v>Apprenant 517</v>
      </c>
      <c r="AG529" s="22" t="str">
        <f t="shared" si="375"/>
        <v/>
      </c>
      <c r="AH529" s="22" t="str">
        <f t="shared" si="376"/>
        <v/>
      </c>
      <c r="AI529" s="22" t="str">
        <f t="shared" si="377"/>
        <v/>
      </c>
      <c r="AJ529" s="22" t="str">
        <f t="shared" si="402"/>
        <v/>
      </c>
      <c r="AK529" s="21" t="str">
        <f t="shared" si="403"/>
        <v>Apprenant 517 ou 517'</v>
      </c>
      <c r="AL529" s="22" t="str">
        <f t="shared" si="378"/>
        <v/>
      </c>
      <c r="AM529" s="22" t="str">
        <f t="shared" si="379"/>
        <v/>
      </c>
      <c r="AN529" s="22" t="str">
        <f t="shared" si="380"/>
        <v/>
      </c>
      <c r="AO529" s="22" t="str">
        <f t="shared" si="404"/>
        <v/>
      </c>
      <c r="AQ529" s="21" t="str">
        <f t="shared" si="405"/>
        <v>Apprenant 517</v>
      </c>
      <c r="AR529" s="49" t="str">
        <f>IF(AND('Choix pédagogiques'!$C$4&lt;&gt;"?",'Choix pédagogiques'!$C$5&lt;&gt;"?",W529&lt;&gt;""),(W529-'Choix pédagogiques'!$C$4)/('Choix pédagogiques'!$C$5-'Choix pédagogiques'!$C$4),"")</f>
        <v/>
      </c>
      <c r="AS529" s="49" t="str">
        <f>IF(AND('Choix pédagogiques'!$C$4&lt;&gt;"?",'Choix pédagogiques'!$C$5&lt;&gt;"?",X529&lt;&gt;""),(X529-'Choix pédagogiques'!$C$4)/('Choix pédagogiques'!$C$5-'Choix pédagogiques'!$C$4),"")</f>
        <v/>
      </c>
      <c r="AT529" s="49" t="str">
        <f>IF(AND('Choix pédagogiques'!$C$4&lt;&gt;"?",'Choix pédagogiques'!$C$5&lt;&gt;"?",Y529&lt;&gt;""),(Y529-'Choix pédagogiques'!$C$4)/('Choix pédagogiques'!$C$5-'Choix pédagogiques'!$C$4),"")</f>
        <v/>
      </c>
      <c r="AU529" s="22" t="str">
        <f t="shared" si="406"/>
        <v/>
      </c>
      <c r="AV529" s="21" t="str">
        <f t="shared" si="407"/>
        <v>Apprenant 517 ou 517'</v>
      </c>
      <c r="AW529" s="49" t="str">
        <f>IF(AND('Choix pédagogiques'!$C$4&lt;&gt;"?",'Choix pédagogiques'!$C$5&lt;&gt;"?",AB529&lt;&gt;""),(AB529-'Choix pédagogiques'!$C$4)/('Choix pédagogiques'!$C$5-'Choix pédagogiques'!$C$4),"")</f>
        <v/>
      </c>
      <c r="AX529" s="49" t="str">
        <f>IF(AND('Choix pédagogiques'!$C$4&lt;&gt;"?",'Choix pédagogiques'!$C$5&lt;&gt;"?",AC529&lt;&gt;""),(AC529-'Choix pédagogiques'!$C$4)/('Choix pédagogiques'!$C$5-'Choix pédagogiques'!$C$4),"")</f>
        <v/>
      </c>
      <c r="AY529" s="49" t="str">
        <f>IF(AND('Choix pédagogiques'!$C$4&lt;&gt;"?",'Choix pédagogiques'!$C$5&lt;&gt;"?",AD529&lt;&gt;""),(AD529-'Choix pédagogiques'!$C$4)/('Choix pédagogiques'!$C$5-'Choix pédagogiques'!$C$4),"")</f>
        <v/>
      </c>
      <c r="AZ529" s="22" t="str">
        <f t="shared" si="408"/>
        <v/>
      </c>
      <c r="BA529" s="21" t="str">
        <f t="shared" si="409"/>
        <v>Apprenant 517</v>
      </c>
      <c r="BB529" s="49" t="str">
        <f t="shared" si="381"/>
        <v/>
      </c>
      <c r="BC529" s="49" t="str">
        <f t="shared" si="382"/>
        <v/>
      </c>
      <c r="BD529" s="49" t="str">
        <f t="shared" si="383"/>
        <v/>
      </c>
      <c r="BE529" s="22" t="str">
        <f t="shared" si="410"/>
        <v/>
      </c>
      <c r="BF529" s="21" t="str">
        <f t="shared" si="411"/>
        <v>Apprenant 517 ou 517'</v>
      </c>
      <c r="BG529" s="49" t="str">
        <f t="shared" si="384"/>
        <v/>
      </c>
      <c r="BH529" s="49" t="str">
        <f t="shared" si="385"/>
        <v/>
      </c>
      <c r="BI529" s="49" t="str">
        <f t="shared" si="386"/>
        <v/>
      </c>
      <c r="BJ529" s="22" t="str">
        <f t="shared" si="412"/>
        <v/>
      </c>
      <c r="BL529" s="21"/>
      <c r="BM529" s="21" t="str">
        <f>IF(OR(COUNT(B529:D1528)=0,AND('Choix pédagogiques'!$C$3&lt;&gt;1,'Choix pédagogiques'!$C$3&lt;&gt;2)),"",IF(AND(OR('Choix pédagogiques'!$C$3=1,'Choix pédagogiques'!$C$3=2),$B529&lt;&gt;"",$C529&lt;&gt;"",$D529&lt;&gt;""),1,0))</f>
        <v/>
      </c>
      <c r="BN529" s="21" t="str">
        <f>IF(OR(COUNT(G529:I1528)=0,AND('Choix pédagogiques'!$C$3&lt;&gt;1,'Choix pédagogiques'!$C$3&lt;&gt;2)),"",IF(AND(OR('Choix pédagogiques'!$C$3=1,'Choix pédagogiques'!$C$3=2),AND($G529&lt;&gt;"",$H529&lt;&gt;"",$I529&lt;&gt;"")),1,0))</f>
        <v/>
      </c>
      <c r="BO529" s="21" t="str">
        <f>IF(OR(COUNT(B529:D1528)=0,COUNT(G529:I1528)=0,'Choix pédagogiques'!C$3&lt;&gt;3),"",IF(AND('Choix pédagogiques'!$C$3=3,$B529&lt;&gt;"",$C529&lt;&gt;"",$D529&lt;&gt;"",$G529&lt;&gt;"",$H529&lt;&gt;"",$I529&lt;&gt;""),1,0))</f>
        <v/>
      </c>
      <c r="BR529" s="21">
        <v>857</v>
      </c>
      <c r="BS529" s="21">
        <v>1179</v>
      </c>
      <c r="BT529"/>
    </row>
    <row r="530" spans="1:72" s="23" customFormat="1" ht="18" customHeight="1" x14ac:dyDescent="0.3">
      <c r="A530" s="35" t="s">
        <v>520</v>
      </c>
      <c r="B530" s="37"/>
      <c r="C530" s="37"/>
      <c r="D530" s="37"/>
      <c r="E530" s="37"/>
      <c r="F530" s="35" t="s">
        <v>1528</v>
      </c>
      <c r="G530" s="37"/>
      <c r="H530" s="37"/>
      <c r="I530" s="37"/>
      <c r="J530" s="37"/>
      <c r="K530" s="21" t="str">
        <f t="shared" si="387"/>
        <v>Apprenant 518</v>
      </c>
      <c r="L530" s="22" t="str">
        <f t="shared" si="388"/>
        <v/>
      </c>
      <c r="M530" s="22" t="str">
        <f t="shared" si="389"/>
        <v/>
      </c>
      <c r="N530" s="22" t="str">
        <f t="shared" si="390"/>
        <v/>
      </c>
      <c r="O530" s="22" t="str">
        <f t="shared" si="391"/>
        <v/>
      </c>
      <c r="P530" s="21" t="str">
        <f t="shared" si="392"/>
        <v>Apprenant 518 ou 518'</v>
      </c>
      <c r="Q530" s="22" t="str">
        <f t="shared" si="393"/>
        <v/>
      </c>
      <c r="R530" s="22" t="str">
        <f t="shared" si="394"/>
        <v/>
      </c>
      <c r="S530" s="22" t="str">
        <f t="shared" si="395"/>
        <v/>
      </c>
      <c r="T530" s="22" t="str">
        <f t="shared" si="396"/>
        <v/>
      </c>
      <c r="V530" s="21" t="str">
        <f t="shared" si="397"/>
        <v>Apprenant 518</v>
      </c>
      <c r="W530" s="22" t="str">
        <f>IF(AND(OR('Choix pédagogiques'!$C$3=1,'Choix pédagogiques'!$C$3=2),$BM530=1),B530,IF(AND('Choix pédagogiques'!$C$3=3,$BO530=1),B530,""))</f>
        <v/>
      </c>
      <c r="X530" s="22" t="str">
        <f>IF(AND(OR('Choix pédagogiques'!$C$3=1,'Choix pédagogiques'!$C$3=2),$BM530=1),C530,IF(AND('Choix pédagogiques'!$C$3=3,$BO530=1),C530,""))</f>
        <v/>
      </c>
      <c r="Y530" s="22" t="str">
        <f>IF(AND(OR('Choix pédagogiques'!$C$3=1,'Choix pédagogiques'!$C$3=2),$BM530=1),D530,IF(AND('Choix pédagogiques'!$C$3=3,$BO530=1),D530,""))</f>
        <v/>
      </c>
      <c r="Z530" s="22" t="str">
        <f t="shared" si="398"/>
        <v/>
      </c>
      <c r="AA530" s="21" t="str">
        <f t="shared" si="399"/>
        <v>Apprenant 518 ou 518'</v>
      </c>
      <c r="AB530" s="22" t="str">
        <f>IF(AND(OR('Choix pédagogiques'!$C$3=1,'Choix pédagogiques'!$C$3=2),$BN530=1),G530,IF(AND('Choix pédagogiques'!$C$3=3,$BO530=1),G530,""))</f>
        <v/>
      </c>
      <c r="AC530" s="22" t="str">
        <f>IF(AND(OR('Choix pédagogiques'!$C$3=1,'Choix pédagogiques'!$C$3=2),$BN530=1),H530,IF(AND('Choix pédagogiques'!$C$3=3,$BO530=1),H530,""))</f>
        <v/>
      </c>
      <c r="AD530" s="22" t="str">
        <f>IF(AND(OR('Choix pédagogiques'!$C$3=1,'Choix pédagogiques'!$C$3=2),$BN530=1),I530,IF(AND('Choix pédagogiques'!$C$3=3,$BO530=1),I530,""))</f>
        <v/>
      </c>
      <c r="AE530" s="22" t="str">
        <f t="shared" si="400"/>
        <v/>
      </c>
      <c r="AF530" s="21" t="str">
        <f t="shared" si="401"/>
        <v>Apprenant 518</v>
      </c>
      <c r="AG530" s="22" t="str">
        <f t="shared" si="375"/>
        <v/>
      </c>
      <c r="AH530" s="22" t="str">
        <f t="shared" si="376"/>
        <v/>
      </c>
      <c r="AI530" s="22" t="str">
        <f t="shared" si="377"/>
        <v/>
      </c>
      <c r="AJ530" s="22" t="str">
        <f t="shared" si="402"/>
        <v/>
      </c>
      <c r="AK530" s="21" t="str">
        <f t="shared" si="403"/>
        <v>Apprenant 518 ou 518'</v>
      </c>
      <c r="AL530" s="22" t="str">
        <f t="shared" si="378"/>
        <v/>
      </c>
      <c r="AM530" s="22" t="str">
        <f t="shared" si="379"/>
        <v/>
      </c>
      <c r="AN530" s="22" t="str">
        <f t="shared" si="380"/>
        <v/>
      </c>
      <c r="AO530" s="22" t="str">
        <f t="shared" si="404"/>
        <v/>
      </c>
      <c r="AQ530" s="21" t="str">
        <f t="shared" si="405"/>
        <v>Apprenant 518</v>
      </c>
      <c r="AR530" s="49" t="str">
        <f>IF(AND('Choix pédagogiques'!$C$4&lt;&gt;"?",'Choix pédagogiques'!$C$5&lt;&gt;"?",W530&lt;&gt;""),(W530-'Choix pédagogiques'!$C$4)/('Choix pédagogiques'!$C$5-'Choix pédagogiques'!$C$4),"")</f>
        <v/>
      </c>
      <c r="AS530" s="49" t="str">
        <f>IF(AND('Choix pédagogiques'!$C$4&lt;&gt;"?",'Choix pédagogiques'!$C$5&lt;&gt;"?",X530&lt;&gt;""),(X530-'Choix pédagogiques'!$C$4)/('Choix pédagogiques'!$C$5-'Choix pédagogiques'!$C$4),"")</f>
        <v/>
      </c>
      <c r="AT530" s="49" t="str">
        <f>IF(AND('Choix pédagogiques'!$C$4&lt;&gt;"?",'Choix pédagogiques'!$C$5&lt;&gt;"?",Y530&lt;&gt;""),(Y530-'Choix pédagogiques'!$C$4)/('Choix pédagogiques'!$C$5-'Choix pédagogiques'!$C$4),"")</f>
        <v/>
      </c>
      <c r="AU530" s="22" t="str">
        <f t="shared" si="406"/>
        <v/>
      </c>
      <c r="AV530" s="21" t="str">
        <f t="shared" si="407"/>
        <v>Apprenant 518 ou 518'</v>
      </c>
      <c r="AW530" s="49" t="str">
        <f>IF(AND('Choix pédagogiques'!$C$4&lt;&gt;"?",'Choix pédagogiques'!$C$5&lt;&gt;"?",AB530&lt;&gt;""),(AB530-'Choix pédagogiques'!$C$4)/('Choix pédagogiques'!$C$5-'Choix pédagogiques'!$C$4),"")</f>
        <v/>
      </c>
      <c r="AX530" s="49" t="str">
        <f>IF(AND('Choix pédagogiques'!$C$4&lt;&gt;"?",'Choix pédagogiques'!$C$5&lt;&gt;"?",AC530&lt;&gt;""),(AC530-'Choix pédagogiques'!$C$4)/('Choix pédagogiques'!$C$5-'Choix pédagogiques'!$C$4),"")</f>
        <v/>
      </c>
      <c r="AY530" s="49" t="str">
        <f>IF(AND('Choix pédagogiques'!$C$4&lt;&gt;"?",'Choix pédagogiques'!$C$5&lt;&gt;"?",AD530&lt;&gt;""),(AD530-'Choix pédagogiques'!$C$4)/('Choix pédagogiques'!$C$5-'Choix pédagogiques'!$C$4),"")</f>
        <v/>
      </c>
      <c r="AZ530" s="22" t="str">
        <f t="shared" si="408"/>
        <v/>
      </c>
      <c r="BA530" s="21" t="str">
        <f t="shared" si="409"/>
        <v>Apprenant 518</v>
      </c>
      <c r="BB530" s="49" t="str">
        <f t="shared" si="381"/>
        <v/>
      </c>
      <c r="BC530" s="49" t="str">
        <f t="shared" si="382"/>
        <v/>
      </c>
      <c r="BD530" s="49" t="str">
        <f t="shared" si="383"/>
        <v/>
      </c>
      <c r="BE530" s="22" t="str">
        <f t="shared" si="410"/>
        <v/>
      </c>
      <c r="BF530" s="21" t="str">
        <f t="shared" si="411"/>
        <v>Apprenant 518 ou 518'</v>
      </c>
      <c r="BG530" s="49" t="str">
        <f t="shared" si="384"/>
        <v/>
      </c>
      <c r="BH530" s="49" t="str">
        <f t="shared" si="385"/>
        <v/>
      </c>
      <c r="BI530" s="49" t="str">
        <f t="shared" si="386"/>
        <v/>
      </c>
      <c r="BJ530" s="22" t="str">
        <f t="shared" si="412"/>
        <v/>
      </c>
      <c r="BL530" s="21"/>
      <c r="BM530" s="21" t="str">
        <f>IF(OR(COUNT(B530:D1529)=0,AND('Choix pédagogiques'!$C$3&lt;&gt;1,'Choix pédagogiques'!$C$3&lt;&gt;2)),"",IF(AND(OR('Choix pédagogiques'!$C$3=1,'Choix pédagogiques'!$C$3=2),$B530&lt;&gt;"",$C530&lt;&gt;"",$D530&lt;&gt;""),1,0))</f>
        <v/>
      </c>
      <c r="BN530" s="21" t="str">
        <f>IF(OR(COUNT(G530:I1529)=0,AND('Choix pédagogiques'!$C$3&lt;&gt;1,'Choix pédagogiques'!$C$3&lt;&gt;2)),"",IF(AND(OR('Choix pédagogiques'!$C$3=1,'Choix pédagogiques'!$C$3=2),AND($G530&lt;&gt;"",$H530&lt;&gt;"",$I530&lt;&gt;"")),1,0))</f>
        <v/>
      </c>
      <c r="BO530" s="21" t="str">
        <f>IF(OR(COUNT(B530:D1529)=0,COUNT(G530:I1529)=0,'Choix pédagogiques'!C$3&lt;&gt;3),"",IF(AND('Choix pédagogiques'!$C$3=3,$B530&lt;&gt;"",$C530&lt;&gt;"",$D530&lt;&gt;"",$G530&lt;&gt;"",$H530&lt;&gt;"",$I530&lt;&gt;""),1,0))</f>
        <v/>
      </c>
      <c r="BR530" s="21">
        <v>492</v>
      </c>
      <c r="BS530" s="21">
        <v>1426</v>
      </c>
      <c r="BT530"/>
    </row>
    <row r="531" spans="1:72" s="23" customFormat="1" ht="18" customHeight="1" x14ac:dyDescent="0.3">
      <c r="A531" s="35" t="s">
        <v>521</v>
      </c>
      <c r="B531" s="37"/>
      <c r="C531" s="37"/>
      <c r="D531" s="37"/>
      <c r="E531" s="37"/>
      <c r="F531" s="35" t="s">
        <v>1529</v>
      </c>
      <c r="G531" s="37"/>
      <c r="H531" s="37"/>
      <c r="I531" s="37"/>
      <c r="J531" s="37"/>
      <c r="K531" s="21" t="str">
        <f t="shared" si="387"/>
        <v>Apprenant 519</v>
      </c>
      <c r="L531" s="22" t="str">
        <f t="shared" si="388"/>
        <v/>
      </c>
      <c r="M531" s="22" t="str">
        <f t="shared" si="389"/>
        <v/>
      </c>
      <c r="N531" s="22" t="str">
        <f t="shared" si="390"/>
        <v/>
      </c>
      <c r="O531" s="22" t="str">
        <f t="shared" si="391"/>
        <v/>
      </c>
      <c r="P531" s="21" t="str">
        <f t="shared" si="392"/>
        <v>Apprenant 519 ou 519'</v>
      </c>
      <c r="Q531" s="22" t="str">
        <f t="shared" si="393"/>
        <v/>
      </c>
      <c r="R531" s="22" t="str">
        <f t="shared" si="394"/>
        <v/>
      </c>
      <c r="S531" s="22" t="str">
        <f t="shared" si="395"/>
        <v/>
      </c>
      <c r="T531" s="22" t="str">
        <f t="shared" si="396"/>
        <v/>
      </c>
      <c r="V531" s="21" t="str">
        <f t="shared" si="397"/>
        <v>Apprenant 519</v>
      </c>
      <c r="W531" s="22" t="str">
        <f>IF(AND(OR('Choix pédagogiques'!$C$3=1,'Choix pédagogiques'!$C$3=2),$BM531=1),B531,IF(AND('Choix pédagogiques'!$C$3=3,$BO531=1),B531,""))</f>
        <v/>
      </c>
      <c r="X531" s="22" t="str">
        <f>IF(AND(OR('Choix pédagogiques'!$C$3=1,'Choix pédagogiques'!$C$3=2),$BM531=1),C531,IF(AND('Choix pédagogiques'!$C$3=3,$BO531=1),C531,""))</f>
        <v/>
      </c>
      <c r="Y531" s="22" t="str">
        <f>IF(AND(OR('Choix pédagogiques'!$C$3=1,'Choix pédagogiques'!$C$3=2),$BM531=1),D531,IF(AND('Choix pédagogiques'!$C$3=3,$BO531=1),D531,""))</f>
        <v/>
      </c>
      <c r="Z531" s="22" t="str">
        <f t="shared" si="398"/>
        <v/>
      </c>
      <c r="AA531" s="21" t="str">
        <f t="shared" si="399"/>
        <v>Apprenant 519 ou 519'</v>
      </c>
      <c r="AB531" s="22" t="str">
        <f>IF(AND(OR('Choix pédagogiques'!$C$3=1,'Choix pédagogiques'!$C$3=2),$BN531=1),G531,IF(AND('Choix pédagogiques'!$C$3=3,$BO531=1),G531,""))</f>
        <v/>
      </c>
      <c r="AC531" s="22" t="str">
        <f>IF(AND(OR('Choix pédagogiques'!$C$3=1,'Choix pédagogiques'!$C$3=2),$BN531=1),H531,IF(AND('Choix pédagogiques'!$C$3=3,$BO531=1),H531,""))</f>
        <v/>
      </c>
      <c r="AD531" s="22" t="str">
        <f>IF(AND(OR('Choix pédagogiques'!$C$3=1,'Choix pédagogiques'!$C$3=2),$BN531=1),I531,IF(AND('Choix pédagogiques'!$C$3=3,$BO531=1),I531,""))</f>
        <v/>
      </c>
      <c r="AE531" s="22" t="str">
        <f t="shared" si="400"/>
        <v/>
      </c>
      <c r="AF531" s="21" t="str">
        <f t="shared" si="401"/>
        <v>Apprenant 519</v>
      </c>
      <c r="AG531" s="22" t="str">
        <f t="shared" si="375"/>
        <v/>
      </c>
      <c r="AH531" s="22" t="str">
        <f t="shared" si="376"/>
        <v/>
      </c>
      <c r="AI531" s="22" t="str">
        <f t="shared" si="377"/>
        <v/>
      </c>
      <c r="AJ531" s="22" t="str">
        <f t="shared" si="402"/>
        <v/>
      </c>
      <c r="AK531" s="21" t="str">
        <f t="shared" si="403"/>
        <v>Apprenant 519 ou 519'</v>
      </c>
      <c r="AL531" s="22" t="str">
        <f t="shared" si="378"/>
        <v/>
      </c>
      <c r="AM531" s="22" t="str">
        <f t="shared" si="379"/>
        <v/>
      </c>
      <c r="AN531" s="22" t="str">
        <f t="shared" si="380"/>
        <v/>
      </c>
      <c r="AO531" s="22" t="str">
        <f t="shared" si="404"/>
        <v/>
      </c>
      <c r="AQ531" s="21" t="str">
        <f t="shared" si="405"/>
        <v>Apprenant 519</v>
      </c>
      <c r="AR531" s="49" t="str">
        <f>IF(AND('Choix pédagogiques'!$C$4&lt;&gt;"?",'Choix pédagogiques'!$C$5&lt;&gt;"?",W531&lt;&gt;""),(W531-'Choix pédagogiques'!$C$4)/('Choix pédagogiques'!$C$5-'Choix pédagogiques'!$C$4),"")</f>
        <v/>
      </c>
      <c r="AS531" s="49" t="str">
        <f>IF(AND('Choix pédagogiques'!$C$4&lt;&gt;"?",'Choix pédagogiques'!$C$5&lt;&gt;"?",X531&lt;&gt;""),(X531-'Choix pédagogiques'!$C$4)/('Choix pédagogiques'!$C$5-'Choix pédagogiques'!$C$4),"")</f>
        <v/>
      </c>
      <c r="AT531" s="49" t="str">
        <f>IF(AND('Choix pédagogiques'!$C$4&lt;&gt;"?",'Choix pédagogiques'!$C$5&lt;&gt;"?",Y531&lt;&gt;""),(Y531-'Choix pédagogiques'!$C$4)/('Choix pédagogiques'!$C$5-'Choix pédagogiques'!$C$4),"")</f>
        <v/>
      </c>
      <c r="AU531" s="22" t="str">
        <f t="shared" si="406"/>
        <v/>
      </c>
      <c r="AV531" s="21" t="str">
        <f t="shared" si="407"/>
        <v>Apprenant 519 ou 519'</v>
      </c>
      <c r="AW531" s="49" t="str">
        <f>IF(AND('Choix pédagogiques'!$C$4&lt;&gt;"?",'Choix pédagogiques'!$C$5&lt;&gt;"?",AB531&lt;&gt;""),(AB531-'Choix pédagogiques'!$C$4)/('Choix pédagogiques'!$C$5-'Choix pédagogiques'!$C$4),"")</f>
        <v/>
      </c>
      <c r="AX531" s="49" t="str">
        <f>IF(AND('Choix pédagogiques'!$C$4&lt;&gt;"?",'Choix pédagogiques'!$C$5&lt;&gt;"?",AC531&lt;&gt;""),(AC531-'Choix pédagogiques'!$C$4)/('Choix pédagogiques'!$C$5-'Choix pédagogiques'!$C$4),"")</f>
        <v/>
      </c>
      <c r="AY531" s="49" t="str">
        <f>IF(AND('Choix pédagogiques'!$C$4&lt;&gt;"?",'Choix pédagogiques'!$C$5&lt;&gt;"?",AD531&lt;&gt;""),(AD531-'Choix pédagogiques'!$C$4)/('Choix pédagogiques'!$C$5-'Choix pédagogiques'!$C$4),"")</f>
        <v/>
      </c>
      <c r="AZ531" s="22" t="str">
        <f t="shared" si="408"/>
        <v/>
      </c>
      <c r="BA531" s="21" t="str">
        <f t="shared" si="409"/>
        <v>Apprenant 519</v>
      </c>
      <c r="BB531" s="49" t="str">
        <f t="shared" si="381"/>
        <v/>
      </c>
      <c r="BC531" s="49" t="str">
        <f t="shared" si="382"/>
        <v/>
      </c>
      <c r="BD531" s="49" t="str">
        <f t="shared" si="383"/>
        <v/>
      </c>
      <c r="BE531" s="22" t="str">
        <f t="shared" si="410"/>
        <v/>
      </c>
      <c r="BF531" s="21" t="str">
        <f t="shared" si="411"/>
        <v>Apprenant 519 ou 519'</v>
      </c>
      <c r="BG531" s="49" t="str">
        <f t="shared" si="384"/>
        <v/>
      </c>
      <c r="BH531" s="49" t="str">
        <f t="shared" si="385"/>
        <v/>
      </c>
      <c r="BI531" s="49" t="str">
        <f t="shared" si="386"/>
        <v/>
      </c>
      <c r="BJ531" s="22" t="str">
        <f t="shared" si="412"/>
        <v/>
      </c>
      <c r="BL531" s="21"/>
      <c r="BM531" s="21" t="str">
        <f>IF(OR(COUNT(B531:D1530)=0,AND('Choix pédagogiques'!$C$3&lt;&gt;1,'Choix pédagogiques'!$C$3&lt;&gt;2)),"",IF(AND(OR('Choix pédagogiques'!$C$3=1,'Choix pédagogiques'!$C$3=2),$B531&lt;&gt;"",$C531&lt;&gt;"",$D531&lt;&gt;""),1,0))</f>
        <v/>
      </c>
      <c r="BN531" s="21" t="str">
        <f>IF(OR(COUNT(G531:I1530)=0,AND('Choix pédagogiques'!$C$3&lt;&gt;1,'Choix pédagogiques'!$C$3&lt;&gt;2)),"",IF(AND(OR('Choix pédagogiques'!$C$3=1,'Choix pédagogiques'!$C$3=2),AND($G531&lt;&gt;"",$H531&lt;&gt;"",$I531&lt;&gt;"")),1,0))</f>
        <v/>
      </c>
      <c r="BO531" s="21" t="str">
        <f>IF(OR(COUNT(B531:D1530)=0,COUNT(G531:I1530)=0,'Choix pédagogiques'!C$3&lt;&gt;3),"",IF(AND('Choix pédagogiques'!$C$3=3,$B531&lt;&gt;"",$C531&lt;&gt;"",$D531&lt;&gt;"",$G531&lt;&gt;"",$H531&lt;&gt;"",$I531&lt;&gt;""),1,0))</f>
        <v/>
      </c>
      <c r="BR531" s="21">
        <v>540</v>
      </c>
      <c r="BS531" s="21">
        <v>1125</v>
      </c>
      <c r="BT531"/>
    </row>
    <row r="532" spans="1:72" s="23" customFormat="1" ht="18" customHeight="1" x14ac:dyDescent="0.3">
      <c r="A532" s="35" t="s">
        <v>522</v>
      </c>
      <c r="B532" s="37"/>
      <c r="C532" s="37"/>
      <c r="D532" s="37"/>
      <c r="E532" s="37"/>
      <c r="F532" s="35" t="s">
        <v>1530</v>
      </c>
      <c r="G532" s="37"/>
      <c r="H532" s="37"/>
      <c r="I532" s="37"/>
      <c r="J532" s="37"/>
      <c r="K532" s="21" t="str">
        <f t="shared" si="387"/>
        <v>Apprenant 520</v>
      </c>
      <c r="L532" s="22" t="str">
        <f t="shared" si="388"/>
        <v/>
      </c>
      <c r="M532" s="22" t="str">
        <f t="shared" si="389"/>
        <v/>
      </c>
      <c r="N532" s="22" t="str">
        <f t="shared" si="390"/>
        <v/>
      </c>
      <c r="O532" s="22" t="str">
        <f t="shared" si="391"/>
        <v/>
      </c>
      <c r="P532" s="21" t="str">
        <f t="shared" si="392"/>
        <v>Apprenant 520 ou 520'</v>
      </c>
      <c r="Q532" s="22" t="str">
        <f t="shared" si="393"/>
        <v/>
      </c>
      <c r="R532" s="22" t="str">
        <f t="shared" si="394"/>
        <v/>
      </c>
      <c r="S532" s="22" t="str">
        <f t="shared" si="395"/>
        <v/>
      </c>
      <c r="T532" s="22" t="str">
        <f t="shared" si="396"/>
        <v/>
      </c>
      <c r="V532" s="21" t="str">
        <f t="shared" si="397"/>
        <v>Apprenant 520</v>
      </c>
      <c r="W532" s="22" t="str">
        <f>IF(AND(OR('Choix pédagogiques'!$C$3=1,'Choix pédagogiques'!$C$3=2),$BM532=1),B532,IF(AND('Choix pédagogiques'!$C$3=3,$BO532=1),B532,""))</f>
        <v/>
      </c>
      <c r="X532" s="22" t="str">
        <f>IF(AND(OR('Choix pédagogiques'!$C$3=1,'Choix pédagogiques'!$C$3=2),$BM532=1),C532,IF(AND('Choix pédagogiques'!$C$3=3,$BO532=1),C532,""))</f>
        <v/>
      </c>
      <c r="Y532" s="22" t="str">
        <f>IF(AND(OR('Choix pédagogiques'!$C$3=1,'Choix pédagogiques'!$C$3=2),$BM532=1),D532,IF(AND('Choix pédagogiques'!$C$3=3,$BO532=1),D532,""))</f>
        <v/>
      </c>
      <c r="Z532" s="22" t="str">
        <f t="shared" si="398"/>
        <v/>
      </c>
      <c r="AA532" s="21" t="str">
        <f t="shared" si="399"/>
        <v>Apprenant 520 ou 520'</v>
      </c>
      <c r="AB532" s="22" t="str">
        <f>IF(AND(OR('Choix pédagogiques'!$C$3=1,'Choix pédagogiques'!$C$3=2),$BN532=1),G532,IF(AND('Choix pédagogiques'!$C$3=3,$BO532=1),G532,""))</f>
        <v/>
      </c>
      <c r="AC532" s="22" t="str">
        <f>IF(AND(OR('Choix pédagogiques'!$C$3=1,'Choix pédagogiques'!$C$3=2),$BN532=1),H532,IF(AND('Choix pédagogiques'!$C$3=3,$BO532=1),H532,""))</f>
        <v/>
      </c>
      <c r="AD532" s="22" t="str">
        <f>IF(AND(OR('Choix pédagogiques'!$C$3=1,'Choix pédagogiques'!$C$3=2),$BN532=1),I532,IF(AND('Choix pédagogiques'!$C$3=3,$BO532=1),I532,""))</f>
        <v/>
      </c>
      <c r="AE532" s="22" t="str">
        <f t="shared" si="400"/>
        <v/>
      </c>
      <c r="AF532" s="21" t="str">
        <f t="shared" si="401"/>
        <v>Apprenant 520</v>
      </c>
      <c r="AG532" s="22" t="str">
        <f t="shared" si="375"/>
        <v/>
      </c>
      <c r="AH532" s="22" t="str">
        <f t="shared" si="376"/>
        <v/>
      </c>
      <c r="AI532" s="22" t="str">
        <f t="shared" si="377"/>
        <v/>
      </c>
      <c r="AJ532" s="22" t="str">
        <f t="shared" si="402"/>
        <v/>
      </c>
      <c r="AK532" s="21" t="str">
        <f t="shared" si="403"/>
        <v>Apprenant 520 ou 520'</v>
      </c>
      <c r="AL532" s="22" t="str">
        <f t="shared" si="378"/>
        <v/>
      </c>
      <c r="AM532" s="22" t="str">
        <f t="shared" si="379"/>
        <v/>
      </c>
      <c r="AN532" s="22" t="str">
        <f t="shared" si="380"/>
        <v/>
      </c>
      <c r="AO532" s="22" t="str">
        <f t="shared" si="404"/>
        <v/>
      </c>
      <c r="AQ532" s="21" t="str">
        <f t="shared" si="405"/>
        <v>Apprenant 520</v>
      </c>
      <c r="AR532" s="49" t="str">
        <f>IF(AND('Choix pédagogiques'!$C$4&lt;&gt;"?",'Choix pédagogiques'!$C$5&lt;&gt;"?",W532&lt;&gt;""),(W532-'Choix pédagogiques'!$C$4)/('Choix pédagogiques'!$C$5-'Choix pédagogiques'!$C$4),"")</f>
        <v/>
      </c>
      <c r="AS532" s="49" t="str">
        <f>IF(AND('Choix pédagogiques'!$C$4&lt;&gt;"?",'Choix pédagogiques'!$C$5&lt;&gt;"?",X532&lt;&gt;""),(X532-'Choix pédagogiques'!$C$4)/('Choix pédagogiques'!$C$5-'Choix pédagogiques'!$C$4),"")</f>
        <v/>
      </c>
      <c r="AT532" s="49" t="str">
        <f>IF(AND('Choix pédagogiques'!$C$4&lt;&gt;"?",'Choix pédagogiques'!$C$5&lt;&gt;"?",Y532&lt;&gt;""),(Y532-'Choix pédagogiques'!$C$4)/('Choix pédagogiques'!$C$5-'Choix pédagogiques'!$C$4),"")</f>
        <v/>
      </c>
      <c r="AU532" s="22" t="str">
        <f t="shared" si="406"/>
        <v/>
      </c>
      <c r="AV532" s="21" t="str">
        <f t="shared" si="407"/>
        <v>Apprenant 520 ou 520'</v>
      </c>
      <c r="AW532" s="49" t="str">
        <f>IF(AND('Choix pédagogiques'!$C$4&lt;&gt;"?",'Choix pédagogiques'!$C$5&lt;&gt;"?",AB532&lt;&gt;""),(AB532-'Choix pédagogiques'!$C$4)/('Choix pédagogiques'!$C$5-'Choix pédagogiques'!$C$4),"")</f>
        <v/>
      </c>
      <c r="AX532" s="49" t="str">
        <f>IF(AND('Choix pédagogiques'!$C$4&lt;&gt;"?",'Choix pédagogiques'!$C$5&lt;&gt;"?",AC532&lt;&gt;""),(AC532-'Choix pédagogiques'!$C$4)/('Choix pédagogiques'!$C$5-'Choix pédagogiques'!$C$4),"")</f>
        <v/>
      </c>
      <c r="AY532" s="49" t="str">
        <f>IF(AND('Choix pédagogiques'!$C$4&lt;&gt;"?",'Choix pédagogiques'!$C$5&lt;&gt;"?",AD532&lt;&gt;""),(AD532-'Choix pédagogiques'!$C$4)/('Choix pédagogiques'!$C$5-'Choix pédagogiques'!$C$4),"")</f>
        <v/>
      </c>
      <c r="AZ532" s="22" t="str">
        <f t="shared" si="408"/>
        <v/>
      </c>
      <c r="BA532" s="21" t="str">
        <f t="shared" si="409"/>
        <v>Apprenant 520</v>
      </c>
      <c r="BB532" s="49" t="str">
        <f t="shared" si="381"/>
        <v/>
      </c>
      <c r="BC532" s="49" t="str">
        <f t="shared" si="382"/>
        <v/>
      </c>
      <c r="BD532" s="49" t="str">
        <f t="shared" si="383"/>
        <v/>
      </c>
      <c r="BE532" s="22" t="str">
        <f t="shared" si="410"/>
        <v/>
      </c>
      <c r="BF532" s="21" t="str">
        <f t="shared" si="411"/>
        <v>Apprenant 520 ou 520'</v>
      </c>
      <c r="BG532" s="49" t="str">
        <f t="shared" si="384"/>
        <v/>
      </c>
      <c r="BH532" s="49" t="str">
        <f t="shared" si="385"/>
        <v/>
      </c>
      <c r="BI532" s="49" t="str">
        <f t="shared" si="386"/>
        <v/>
      </c>
      <c r="BJ532" s="22" t="str">
        <f t="shared" si="412"/>
        <v/>
      </c>
      <c r="BL532" s="21"/>
      <c r="BM532" s="21" t="str">
        <f>IF(OR(COUNT(B532:D1531)=0,AND('Choix pédagogiques'!$C$3&lt;&gt;1,'Choix pédagogiques'!$C$3&lt;&gt;2)),"",IF(AND(OR('Choix pédagogiques'!$C$3=1,'Choix pédagogiques'!$C$3=2),$B532&lt;&gt;"",$C532&lt;&gt;"",$D532&lt;&gt;""),1,0))</f>
        <v/>
      </c>
      <c r="BN532" s="21" t="str">
        <f>IF(OR(COUNT(G532:I1531)=0,AND('Choix pédagogiques'!$C$3&lt;&gt;1,'Choix pédagogiques'!$C$3&lt;&gt;2)),"",IF(AND(OR('Choix pédagogiques'!$C$3=1,'Choix pédagogiques'!$C$3=2),AND($G532&lt;&gt;"",$H532&lt;&gt;"",$I532&lt;&gt;"")),1,0))</f>
        <v/>
      </c>
      <c r="BO532" s="21" t="str">
        <f>IF(OR(COUNT(B532:D1531)=0,COUNT(G532:I1531)=0,'Choix pédagogiques'!C$3&lt;&gt;3),"",IF(AND('Choix pédagogiques'!$C$3=3,$B532&lt;&gt;"",$C532&lt;&gt;"",$D532&lt;&gt;"",$G532&lt;&gt;"",$H532&lt;&gt;"",$I532&lt;&gt;""),1,0))</f>
        <v/>
      </c>
      <c r="BR532" s="21">
        <v>851</v>
      </c>
      <c r="BS532" s="21">
        <v>1217</v>
      </c>
      <c r="BT532"/>
    </row>
    <row r="533" spans="1:72" s="23" customFormat="1" ht="18" customHeight="1" x14ac:dyDescent="0.3">
      <c r="A533" s="35" t="s">
        <v>523</v>
      </c>
      <c r="B533" s="37"/>
      <c r="C533" s="37"/>
      <c r="D533" s="37"/>
      <c r="E533" s="37"/>
      <c r="F533" s="35" t="s">
        <v>1531</v>
      </c>
      <c r="G533" s="37"/>
      <c r="H533" s="37"/>
      <c r="I533" s="37"/>
      <c r="J533" s="37"/>
      <c r="K533" s="21" t="str">
        <f t="shared" si="387"/>
        <v>Apprenant 521</v>
      </c>
      <c r="L533" s="22" t="str">
        <f t="shared" si="388"/>
        <v/>
      </c>
      <c r="M533" s="22" t="str">
        <f t="shared" si="389"/>
        <v/>
      </c>
      <c r="N533" s="22" t="str">
        <f t="shared" si="390"/>
        <v/>
      </c>
      <c r="O533" s="22" t="str">
        <f t="shared" si="391"/>
        <v/>
      </c>
      <c r="P533" s="21" t="str">
        <f t="shared" si="392"/>
        <v>Apprenant 521 ou 521'</v>
      </c>
      <c r="Q533" s="22" t="str">
        <f t="shared" si="393"/>
        <v/>
      </c>
      <c r="R533" s="22" t="str">
        <f t="shared" si="394"/>
        <v/>
      </c>
      <c r="S533" s="22" t="str">
        <f t="shared" si="395"/>
        <v/>
      </c>
      <c r="T533" s="22" t="str">
        <f t="shared" si="396"/>
        <v/>
      </c>
      <c r="V533" s="21" t="str">
        <f t="shared" si="397"/>
        <v>Apprenant 521</v>
      </c>
      <c r="W533" s="22" t="str">
        <f>IF(AND(OR('Choix pédagogiques'!$C$3=1,'Choix pédagogiques'!$C$3=2),$BM533=1),B533,IF(AND('Choix pédagogiques'!$C$3=3,$BO533=1),B533,""))</f>
        <v/>
      </c>
      <c r="X533" s="22" t="str">
        <f>IF(AND(OR('Choix pédagogiques'!$C$3=1,'Choix pédagogiques'!$C$3=2),$BM533=1),C533,IF(AND('Choix pédagogiques'!$C$3=3,$BO533=1),C533,""))</f>
        <v/>
      </c>
      <c r="Y533" s="22" t="str">
        <f>IF(AND(OR('Choix pédagogiques'!$C$3=1,'Choix pédagogiques'!$C$3=2),$BM533=1),D533,IF(AND('Choix pédagogiques'!$C$3=3,$BO533=1),D533,""))</f>
        <v/>
      </c>
      <c r="Z533" s="22" t="str">
        <f t="shared" si="398"/>
        <v/>
      </c>
      <c r="AA533" s="21" t="str">
        <f t="shared" si="399"/>
        <v>Apprenant 521 ou 521'</v>
      </c>
      <c r="AB533" s="22" t="str">
        <f>IF(AND(OR('Choix pédagogiques'!$C$3=1,'Choix pédagogiques'!$C$3=2),$BN533=1),G533,IF(AND('Choix pédagogiques'!$C$3=3,$BO533=1),G533,""))</f>
        <v/>
      </c>
      <c r="AC533" s="22" t="str">
        <f>IF(AND(OR('Choix pédagogiques'!$C$3=1,'Choix pédagogiques'!$C$3=2),$BN533=1),H533,IF(AND('Choix pédagogiques'!$C$3=3,$BO533=1),H533,""))</f>
        <v/>
      </c>
      <c r="AD533" s="22" t="str">
        <f>IF(AND(OR('Choix pédagogiques'!$C$3=1,'Choix pédagogiques'!$C$3=2),$BN533=1),I533,IF(AND('Choix pédagogiques'!$C$3=3,$BO533=1),I533,""))</f>
        <v/>
      </c>
      <c r="AE533" s="22" t="str">
        <f t="shared" si="400"/>
        <v/>
      </c>
      <c r="AF533" s="21" t="str">
        <f t="shared" si="401"/>
        <v>Apprenant 521</v>
      </c>
      <c r="AG533" s="22" t="str">
        <f t="shared" si="375"/>
        <v/>
      </c>
      <c r="AH533" s="22" t="str">
        <f t="shared" si="376"/>
        <v/>
      </c>
      <c r="AI533" s="22" t="str">
        <f t="shared" si="377"/>
        <v/>
      </c>
      <c r="AJ533" s="22" t="str">
        <f t="shared" si="402"/>
        <v/>
      </c>
      <c r="AK533" s="21" t="str">
        <f t="shared" si="403"/>
        <v>Apprenant 521 ou 521'</v>
      </c>
      <c r="AL533" s="22" t="str">
        <f t="shared" si="378"/>
        <v/>
      </c>
      <c r="AM533" s="22" t="str">
        <f t="shared" si="379"/>
        <v/>
      </c>
      <c r="AN533" s="22" t="str">
        <f t="shared" si="380"/>
        <v/>
      </c>
      <c r="AO533" s="22" t="str">
        <f t="shared" si="404"/>
        <v/>
      </c>
      <c r="AQ533" s="21" t="str">
        <f t="shared" si="405"/>
        <v>Apprenant 521</v>
      </c>
      <c r="AR533" s="49" t="str">
        <f>IF(AND('Choix pédagogiques'!$C$4&lt;&gt;"?",'Choix pédagogiques'!$C$5&lt;&gt;"?",W533&lt;&gt;""),(W533-'Choix pédagogiques'!$C$4)/('Choix pédagogiques'!$C$5-'Choix pédagogiques'!$C$4),"")</f>
        <v/>
      </c>
      <c r="AS533" s="49" t="str">
        <f>IF(AND('Choix pédagogiques'!$C$4&lt;&gt;"?",'Choix pédagogiques'!$C$5&lt;&gt;"?",X533&lt;&gt;""),(X533-'Choix pédagogiques'!$C$4)/('Choix pédagogiques'!$C$5-'Choix pédagogiques'!$C$4),"")</f>
        <v/>
      </c>
      <c r="AT533" s="49" t="str">
        <f>IF(AND('Choix pédagogiques'!$C$4&lt;&gt;"?",'Choix pédagogiques'!$C$5&lt;&gt;"?",Y533&lt;&gt;""),(Y533-'Choix pédagogiques'!$C$4)/('Choix pédagogiques'!$C$5-'Choix pédagogiques'!$C$4),"")</f>
        <v/>
      </c>
      <c r="AU533" s="22" t="str">
        <f t="shared" si="406"/>
        <v/>
      </c>
      <c r="AV533" s="21" t="str">
        <f t="shared" si="407"/>
        <v>Apprenant 521 ou 521'</v>
      </c>
      <c r="AW533" s="49" t="str">
        <f>IF(AND('Choix pédagogiques'!$C$4&lt;&gt;"?",'Choix pédagogiques'!$C$5&lt;&gt;"?",AB533&lt;&gt;""),(AB533-'Choix pédagogiques'!$C$4)/('Choix pédagogiques'!$C$5-'Choix pédagogiques'!$C$4),"")</f>
        <v/>
      </c>
      <c r="AX533" s="49" t="str">
        <f>IF(AND('Choix pédagogiques'!$C$4&lt;&gt;"?",'Choix pédagogiques'!$C$5&lt;&gt;"?",AC533&lt;&gt;""),(AC533-'Choix pédagogiques'!$C$4)/('Choix pédagogiques'!$C$5-'Choix pédagogiques'!$C$4),"")</f>
        <v/>
      </c>
      <c r="AY533" s="49" t="str">
        <f>IF(AND('Choix pédagogiques'!$C$4&lt;&gt;"?",'Choix pédagogiques'!$C$5&lt;&gt;"?",AD533&lt;&gt;""),(AD533-'Choix pédagogiques'!$C$4)/('Choix pédagogiques'!$C$5-'Choix pédagogiques'!$C$4),"")</f>
        <v/>
      </c>
      <c r="AZ533" s="22" t="str">
        <f t="shared" si="408"/>
        <v/>
      </c>
      <c r="BA533" s="21" t="str">
        <f t="shared" si="409"/>
        <v>Apprenant 521</v>
      </c>
      <c r="BB533" s="49" t="str">
        <f t="shared" si="381"/>
        <v/>
      </c>
      <c r="BC533" s="49" t="str">
        <f t="shared" si="382"/>
        <v/>
      </c>
      <c r="BD533" s="49" t="str">
        <f t="shared" si="383"/>
        <v/>
      </c>
      <c r="BE533" s="22" t="str">
        <f t="shared" si="410"/>
        <v/>
      </c>
      <c r="BF533" s="21" t="str">
        <f t="shared" si="411"/>
        <v>Apprenant 521 ou 521'</v>
      </c>
      <c r="BG533" s="49" t="str">
        <f t="shared" si="384"/>
        <v/>
      </c>
      <c r="BH533" s="49" t="str">
        <f t="shared" si="385"/>
        <v/>
      </c>
      <c r="BI533" s="49" t="str">
        <f t="shared" si="386"/>
        <v/>
      </c>
      <c r="BJ533" s="22" t="str">
        <f t="shared" si="412"/>
        <v/>
      </c>
      <c r="BL533" s="21"/>
      <c r="BM533" s="21" t="str">
        <f>IF(OR(COUNT(B533:D1532)=0,AND('Choix pédagogiques'!$C$3&lt;&gt;1,'Choix pédagogiques'!$C$3&lt;&gt;2)),"",IF(AND(OR('Choix pédagogiques'!$C$3=1,'Choix pédagogiques'!$C$3=2),$B533&lt;&gt;"",$C533&lt;&gt;"",$D533&lt;&gt;""),1,0))</f>
        <v/>
      </c>
      <c r="BN533" s="21" t="str">
        <f>IF(OR(COUNT(G533:I1532)=0,AND('Choix pédagogiques'!$C$3&lt;&gt;1,'Choix pédagogiques'!$C$3&lt;&gt;2)),"",IF(AND(OR('Choix pédagogiques'!$C$3=1,'Choix pédagogiques'!$C$3=2),AND($G533&lt;&gt;"",$H533&lt;&gt;"",$I533&lt;&gt;"")),1,0))</f>
        <v/>
      </c>
      <c r="BO533" s="21" t="str">
        <f>IF(OR(COUNT(B533:D1532)=0,COUNT(G533:I1532)=0,'Choix pédagogiques'!C$3&lt;&gt;3),"",IF(AND('Choix pédagogiques'!$C$3=3,$B533&lt;&gt;"",$C533&lt;&gt;"",$D533&lt;&gt;"",$G533&lt;&gt;"",$H533&lt;&gt;"",$I533&lt;&gt;""),1,0))</f>
        <v/>
      </c>
      <c r="BR533" s="21">
        <v>796</v>
      </c>
      <c r="BS533" s="21">
        <v>1627</v>
      </c>
      <c r="BT533"/>
    </row>
    <row r="534" spans="1:72" s="23" customFormat="1" ht="18" customHeight="1" x14ac:dyDescent="0.3">
      <c r="A534" s="35" t="s">
        <v>524</v>
      </c>
      <c r="B534" s="37"/>
      <c r="C534" s="37"/>
      <c r="D534" s="37"/>
      <c r="E534" s="37"/>
      <c r="F534" s="35" t="s">
        <v>1532</v>
      </c>
      <c r="G534" s="37"/>
      <c r="H534" s="37"/>
      <c r="I534" s="37"/>
      <c r="J534" s="37"/>
      <c r="K534" s="21" t="str">
        <f t="shared" si="387"/>
        <v>Apprenant 522</v>
      </c>
      <c r="L534" s="22" t="str">
        <f t="shared" si="388"/>
        <v/>
      </c>
      <c r="M534" s="22" t="str">
        <f t="shared" si="389"/>
        <v/>
      </c>
      <c r="N534" s="22" t="str">
        <f t="shared" si="390"/>
        <v/>
      </c>
      <c r="O534" s="22" t="str">
        <f t="shared" si="391"/>
        <v/>
      </c>
      <c r="P534" s="21" t="str">
        <f t="shared" si="392"/>
        <v>Apprenant 522 ou 522'</v>
      </c>
      <c r="Q534" s="22" t="str">
        <f t="shared" si="393"/>
        <v/>
      </c>
      <c r="R534" s="22" t="str">
        <f t="shared" si="394"/>
        <v/>
      </c>
      <c r="S534" s="22" t="str">
        <f t="shared" si="395"/>
        <v/>
      </c>
      <c r="T534" s="22" t="str">
        <f t="shared" si="396"/>
        <v/>
      </c>
      <c r="V534" s="21" t="str">
        <f t="shared" si="397"/>
        <v>Apprenant 522</v>
      </c>
      <c r="W534" s="22" t="str">
        <f>IF(AND(OR('Choix pédagogiques'!$C$3=1,'Choix pédagogiques'!$C$3=2),$BM534=1),B534,IF(AND('Choix pédagogiques'!$C$3=3,$BO534=1),B534,""))</f>
        <v/>
      </c>
      <c r="X534" s="22" t="str">
        <f>IF(AND(OR('Choix pédagogiques'!$C$3=1,'Choix pédagogiques'!$C$3=2),$BM534=1),C534,IF(AND('Choix pédagogiques'!$C$3=3,$BO534=1),C534,""))</f>
        <v/>
      </c>
      <c r="Y534" s="22" t="str">
        <f>IF(AND(OR('Choix pédagogiques'!$C$3=1,'Choix pédagogiques'!$C$3=2),$BM534=1),D534,IF(AND('Choix pédagogiques'!$C$3=3,$BO534=1),D534,""))</f>
        <v/>
      </c>
      <c r="Z534" s="22" t="str">
        <f t="shared" si="398"/>
        <v/>
      </c>
      <c r="AA534" s="21" t="str">
        <f t="shared" si="399"/>
        <v>Apprenant 522 ou 522'</v>
      </c>
      <c r="AB534" s="22" t="str">
        <f>IF(AND(OR('Choix pédagogiques'!$C$3=1,'Choix pédagogiques'!$C$3=2),$BN534=1),G534,IF(AND('Choix pédagogiques'!$C$3=3,$BO534=1),G534,""))</f>
        <v/>
      </c>
      <c r="AC534" s="22" t="str">
        <f>IF(AND(OR('Choix pédagogiques'!$C$3=1,'Choix pédagogiques'!$C$3=2),$BN534=1),H534,IF(AND('Choix pédagogiques'!$C$3=3,$BO534=1),H534,""))</f>
        <v/>
      </c>
      <c r="AD534" s="22" t="str">
        <f>IF(AND(OR('Choix pédagogiques'!$C$3=1,'Choix pédagogiques'!$C$3=2),$BN534=1),I534,IF(AND('Choix pédagogiques'!$C$3=3,$BO534=1),I534,""))</f>
        <v/>
      </c>
      <c r="AE534" s="22" t="str">
        <f t="shared" si="400"/>
        <v/>
      </c>
      <c r="AF534" s="21" t="str">
        <f t="shared" si="401"/>
        <v>Apprenant 522</v>
      </c>
      <c r="AG534" s="22" t="str">
        <f t="shared" si="375"/>
        <v/>
      </c>
      <c r="AH534" s="22" t="str">
        <f t="shared" si="376"/>
        <v/>
      </c>
      <c r="AI534" s="22" t="str">
        <f t="shared" si="377"/>
        <v/>
      </c>
      <c r="AJ534" s="22" t="str">
        <f t="shared" si="402"/>
        <v/>
      </c>
      <c r="AK534" s="21" t="str">
        <f t="shared" si="403"/>
        <v>Apprenant 522 ou 522'</v>
      </c>
      <c r="AL534" s="22" t="str">
        <f t="shared" si="378"/>
        <v/>
      </c>
      <c r="AM534" s="22" t="str">
        <f t="shared" si="379"/>
        <v/>
      </c>
      <c r="AN534" s="22" t="str">
        <f t="shared" si="380"/>
        <v/>
      </c>
      <c r="AO534" s="22" t="str">
        <f t="shared" si="404"/>
        <v/>
      </c>
      <c r="AQ534" s="21" t="str">
        <f t="shared" si="405"/>
        <v>Apprenant 522</v>
      </c>
      <c r="AR534" s="49" t="str">
        <f>IF(AND('Choix pédagogiques'!$C$4&lt;&gt;"?",'Choix pédagogiques'!$C$5&lt;&gt;"?",W534&lt;&gt;""),(W534-'Choix pédagogiques'!$C$4)/('Choix pédagogiques'!$C$5-'Choix pédagogiques'!$C$4),"")</f>
        <v/>
      </c>
      <c r="AS534" s="49" t="str">
        <f>IF(AND('Choix pédagogiques'!$C$4&lt;&gt;"?",'Choix pédagogiques'!$C$5&lt;&gt;"?",X534&lt;&gt;""),(X534-'Choix pédagogiques'!$C$4)/('Choix pédagogiques'!$C$5-'Choix pédagogiques'!$C$4),"")</f>
        <v/>
      </c>
      <c r="AT534" s="49" t="str">
        <f>IF(AND('Choix pédagogiques'!$C$4&lt;&gt;"?",'Choix pédagogiques'!$C$5&lt;&gt;"?",Y534&lt;&gt;""),(Y534-'Choix pédagogiques'!$C$4)/('Choix pédagogiques'!$C$5-'Choix pédagogiques'!$C$4),"")</f>
        <v/>
      </c>
      <c r="AU534" s="22" t="str">
        <f t="shared" si="406"/>
        <v/>
      </c>
      <c r="AV534" s="21" t="str">
        <f t="shared" si="407"/>
        <v>Apprenant 522 ou 522'</v>
      </c>
      <c r="AW534" s="49" t="str">
        <f>IF(AND('Choix pédagogiques'!$C$4&lt;&gt;"?",'Choix pédagogiques'!$C$5&lt;&gt;"?",AB534&lt;&gt;""),(AB534-'Choix pédagogiques'!$C$4)/('Choix pédagogiques'!$C$5-'Choix pédagogiques'!$C$4),"")</f>
        <v/>
      </c>
      <c r="AX534" s="49" t="str">
        <f>IF(AND('Choix pédagogiques'!$C$4&lt;&gt;"?",'Choix pédagogiques'!$C$5&lt;&gt;"?",AC534&lt;&gt;""),(AC534-'Choix pédagogiques'!$C$4)/('Choix pédagogiques'!$C$5-'Choix pédagogiques'!$C$4),"")</f>
        <v/>
      </c>
      <c r="AY534" s="49" t="str">
        <f>IF(AND('Choix pédagogiques'!$C$4&lt;&gt;"?",'Choix pédagogiques'!$C$5&lt;&gt;"?",AD534&lt;&gt;""),(AD534-'Choix pédagogiques'!$C$4)/('Choix pédagogiques'!$C$5-'Choix pédagogiques'!$C$4),"")</f>
        <v/>
      </c>
      <c r="AZ534" s="22" t="str">
        <f t="shared" si="408"/>
        <v/>
      </c>
      <c r="BA534" s="21" t="str">
        <f t="shared" si="409"/>
        <v>Apprenant 522</v>
      </c>
      <c r="BB534" s="49" t="str">
        <f t="shared" si="381"/>
        <v/>
      </c>
      <c r="BC534" s="49" t="str">
        <f t="shared" si="382"/>
        <v/>
      </c>
      <c r="BD534" s="49" t="str">
        <f t="shared" si="383"/>
        <v/>
      </c>
      <c r="BE534" s="22" t="str">
        <f t="shared" si="410"/>
        <v/>
      </c>
      <c r="BF534" s="21" t="str">
        <f t="shared" si="411"/>
        <v>Apprenant 522 ou 522'</v>
      </c>
      <c r="BG534" s="49" t="str">
        <f t="shared" si="384"/>
        <v/>
      </c>
      <c r="BH534" s="49" t="str">
        <f t="shared" si="385"/>
        <v/>
      </c>
      <c r="BI534" s="49" t="str">
        <f t="shared" si="386"/>
        <v/>
      </c>
      <c r="BJ534" s="22" t="str">
        <f t="shared" si="412"/>
        <v/>
      </c>
      <c r="BL534" s="21"/>
      <c r="BM534" s="21" t="str">
        <f>IF(OR(COUNT(B534:D1533)=0,AND('Choix pédagogiques'!$C$3&lt;&gt;1,'Choix pédagogiques'!$C$3&lt;&gt;2)),"",IF(AND(OR('Choix pédagogiques'!$C$3=1,'Choix pédagogiques'!$C$3=2),$B534&lt;&gt;"",$C534&lt;&gt;"",$D534&lt;&gt;""),1,0))</f>
        <v/>
      </c>
      <c r="BN534" s="21" t="str">
        <f>IF(OR(COUNT(G534:I1533)=0,AND('Choix pédagogiques'!$C$3&lt;&gt;1,'Choix pédagogiques'!$C$3&lt;&gt;2)),"",IF(AND(OR('Choix pédagogiques'!$C$3=1,'Choix pédagogiques'!$C$3=2),AND($G534&lt;&gt;"",$H534&lt;&gt;"",$I534&lt;&gt;"")),1,0))</f>
        <v/>
      </c>
      <c r="BO534" s="21" t="str">
        <f>IF(OR(COUNT(B534:D1533)=0,COUNT(G534:I1533)=0,'Choix pédagogiques'!C$3&lt;&gt;3),"",IF(AND('Choix pédagogiques'!$C$3=3,$B534&lt;&gt;"",$C534&lt;&gt;"",$D534&lt;&gt;"",$G534&lt;&gt;"",$H534&lt;&gt;"",$I534&lt;&gt;""),1,0))</f>
        <v/>
      </c>
      <c r="BR534" s="21">
        <v>522</v>
      </c>
      <c r="BS534" s="21">
        <v>1047</v>
      </c>
      <c r="BT534"/>
    </row>
    <row r="535" spans="1:72" s="23" customFormat="1" ht="18" customHeight="1" x14ac:dyDescent="0.3">
      <c r="A535" s="35" t="s">
        <v>525</v>
      </c>
      <c r="B535" s="37"/>
      <c r="C535" s="37"/>
      <c r="D535" s="37"/>
      <c r="E535" s="37"/>
      <c r="F535" s="35" t="s">
        <v>1533</v>
      </c>
      <c r="G535" s="37"/>
      <c r="H535" s="37"/>
      <c r="I535" s="37"/>
      <c r="J535" s="37"/>
      <c r="K535" s="21" t="str">
        <f t="shared" si="387"/>
        <v>Apprenant 523</v>
      </c>
      <c r="L535" s="22" t="str">
        <f t="shared" si="388"/>
        <v/>
      </c>
      <c r="M535" s="22" t="str">
        <f t="shared" si="389"/>
        <v/>
      </c>
      <c r="N535" s="22" t="str">
        <f t="shared" si="390"/>
        <v/>
      </c>
      <c r="O535" s="22" t="str">
        <f t="shared" si="391"/>
        <v/>
      </c>
      <c r="P535" s="21" t="str">
        <f t="shared" si="392"/>
        <v>Apprenant 523 ou 523'</v>
      </c>
      <c r="Q535" s="22" t="str">
        <f t="shared" si="393"/>
        <v/>
      </c>
      <c r="R535" s="22" t="str">
        <f t="shared" si="394"/>
        <v/>
      </c>
      <c r="S535" s="22" t="str">
        <f t="shared" si="395"/>
        <v/>
      </c>
      <c r="T535" s="22" t="str">
        <f t="shared" si="396"/>
        <v/>
      </c>
      <c r="V535" s="21" t="str">
        <f t="shared" si="397"/>
        <v>Apprenant 523</v>
      </c>
      <c r="W535" s="22" t="str">
        <f>IF(AND(OR('Choix pédagogiques'!$C$3=1,'Choix pédagogiques'!$C$3=2),$BM535=1),B535,IF(AND('Choix pédagogiques'!$C$3=3,$BO535=1),B535,""))</f>
        <v/>
      </c>
      <c r="X535" s="22" t="str">
        <f>IF(AND(OR('Choix pédagogiques'!$C$3=1,'Choix pédagogiques'!$C$3=2),$BM535=1),C535,IF(AND('Choix pédagogiques'!$C$3=3,$BO535=1),C535,""))</f>
        <v/>
      </c>
      <c r="Y535" s="22" t="str">
        <f>IF(AND(OR('Choix pédagogiques'!$C$3=1,'Choix pédagogiques'!$C$3=2),$BM535=1),D535,IF(AND('Choix pédagogiques'!$C$3=3,$BO535=1),D535,""))</f>
        <v/>
      </c>
      <c r="Z535" s="22" t="str">
        <f t="shared" si="398"/>
        <v/>
      </c>
      <c r="AA535" s="21" t="str">
        <f t="shared" si="399"/>
        <v>Apprenant 523 ou 523'</v>
      </c>
      <c r="AB535" s="22" t="str">
        <f>IF(AND(OR('Choix pédagogiques'!$C$3=1,'Choix pédagogiques'!$C$3=2),$BN535=1),G535,IF(AND('Choix pédagogiques'!$C$3=3,$BO535=1),G535,""))</f>
        <v/>
      </c>
      <c r="AC535" s="22" t="str">
        <f>IF(AND(OR('Choix pédagogiques'!$C$3=1,'Choix pédagogiques'!$C$3=2),$BN535=1),H535,IF(AND('Choix pédagogiques'!$C$3=3,$BO535=1),H535,""))</f>
        <v/>
      </c>
      <c r="AD535" s="22" t="str">
        <f>IF(AND(OR('Choix pédagogiques'!$C$3=1,'Choix pédagogiques'!$C$3=2),$BN535=1),I535,IF(AND('Choix pédagogiques'!$C$3=3,$BO535=1),I535,""))</f>
        <v/>
      </c>
      <c r="AE535" s="22" t="str">
        <f t="shared" si="400"/>
        <v/>
      </c>
      <c r="AF535" s="21" t="str">
        <f t="shared" si="401"/>
        <v>Apprenant 523</v>
      </c>
      <c r="AG535" s="22" t="str">
        <f t="shared" si="375"/>
        <v/>
      </c>
      <c r="AH535" s="22" t="str">
        <f t="shared" si="376"/>
        <v/>
      </c>
      <c r="AI535" s="22" t="str">
        <f t="shared" si="377"/>
        <v/>
      </c>
      <c r="AJ535" s="22" t="str">
        <f t="shared" si="402"/>
        <v/>
      </c>
      <c r="AK535" s="21" t="str">
        <f t="shared" si="403"/>
        <v>Apprenant 523 ou 523'</v>
      </c>
      <c r="AL535" s="22" t="str">
        <f t="shared" si="378"/>
        <v/>
      </c>
      <c r="AM535" s="22" t="str">
        <f t="shared" si="379"/>
        <v/>
      </c>
      <c r="AN535" s="22" t="str">
        <f t="shared" si="380"/>
        <v/>
      </c>
      <c r="AO535" s="22" t="str">
        <f t="shared" si="404"/>
        <v/>
      </c>
      <c r="AQ535" s="21" t="str">
        <f t="shared" si="405"/>
        <v>Apprenant 523</v>
      </c>
      <c r="AR535" s="49" t="str">
        <f>IF(AND('Choix pédagogiques'!$C$4&lt;&gt;"?",'Choix pédagogiques'!$C$5&lt;&gt;"?",W535&lt;&gt;""),(W535-'Choix pédagogiques'!$C$4)/('Choix pédagogiques'!$C$5-'Choix pédagogiques'!$C$4),"")</f>
        <v/>
      </c>
      <c r="AS535" s="49" t="str">
        <f>IF(AND('Choix pédagogiques'!$C$4&lt;&gt;"?",'Choix pédagogiques'!$C$5&lt;&gt;"?",X535&lt;&gt;""),(X535-'Choix pédagogiques'!$C$4)/('Choix pédagogiques'!$C$5-'Choix pédagogiques'!$C$4),"")</f>
        <v/>
      </c>
      <c r="AT535" s="49" t="str">
        <f>IF(AND('Choix pédagogiques'!$C$4&lt;&gt;"?",'Choix pédagogiques'!$C$5&lt;&gt;"?",Y535&lt;&gt;""),(Y535-'Choix pédagogiques'!$C$4)/('Choix pédagogiques'!$C$5-'Choix pédagogiques'!$C$4),"")</f>
        <v/>
      </c>
      <c r="AU535" s="22" t="str">
        <f t="shared" si="406"/>
        <v/>
      </c>
      <c r="AV535" s="21" t="str">
        <f t="shared" si="407"/>
        <v>Apprenant 523 ou 523'</v>
      </c>
      <c r="AW535" s="49" t="str">
        <f>IF(AND('Choix pédagogiques'!$C$4&lt;&gt;"?",'Choix pédagogiques'!$C$5&lt;&gt;"?",AB535&lt;&gt;""),(AB535-'Choix pédagogiques'!$C$4)/('Choix pédagogiques'!$C$5-'Choix pédagogiques'!$C$4),"")</f>
        <v/>
      </c>
      <c r="AX535" s="49" t="str">
        <f>IF(AND('Choix pédagogiques'!$C$4&lt;&gt;"?",'Choix pédagogiques'!$C$5&lt;&gt;"?",AC535&lt;&gt;""),(AC535-'Choix pédagogiques'!$C$4)/('Choix pédagogiques'!$C$5-'Choix pédagogiques'!$C$4),"")</f>
        <v/>
      </c>
      <c r="AY535" s="49" t="str">
        <f>IF(AND('Choix pédagogiques'!$C$4&lt;&gt;"?",'Choix pédagogiques'!$C$5&lt;&gt;"?",AD535&lt;&gt;""),(AD535-'Choix pédagogiques'!$C$4)/('Choix pédagogiques'!$C$5-'Choix pédagogiques'!$C$4),"")</f>
        <v/>
      </c>
      <c r="AZ535" s="22" t="str">
        <f t="shared" si="408"/>
        <v/>
      </c>
      <c r="BA535" s="21" t="str">
        <f t="shared" si="409"/>
        <v>Apprenant 523</v>
      </c>
      <c r="BB535" s="49" t="str">
        <f t="shared" si="381"/>
        <v/>
      </c>
      <c r="BC535" s="49" t="str">
        <f t="shared" si="382"/>
        <v/>
      </c>
      <c r="BD535" s="49" t="str">
        <f t="shared" si="383"/>
        <v/>
      </c>
      <c r="BE535" s="22" t="str">
        <f t="shared" si="410"/>
        <v/>
      </c>
      <c r="BF535" s="21" t="str">
        <f t="shared" si="411"/>
        <v>Apprenant 523 ou 523'</v>
      </c>
      <c r="BG535" s="49" t="str">
        <f t="shared" si="384"/>
        <v/>
      </c>
      <c r="BH535" s="49" t="str">
        <f t="shared" si="385"/>
        <v/>
      </c>
      <c r="BI535" s="49" t="str">
        <f t="shared" si="386"/>
        <v/>
      </c>
      <c r="BJ535" s="22" t="str">
        <f t="shared" si="412"/>
        <v/>
      </c>
      <c r="BL535" s="21"/>
      <c r="BM535" s="21" t="str">
        <f>IF(OR(COUNT(B535:D1534)=0,AND('Choix pédagogiques'!$C$3&lt;&gt;1,'Choix pédagogiques'!$C$3&lt;&gt;2)),"",IF(AND(OR('Choix pédagogiques'!$C$3=1,'Choix pédagogiques'!$C$3=2),$B535&lt;&gt;"",$C535&lt;&gt;"",$D535&lt;&gt;""),1,0))</f>
        <v/>
      </c>
      <c r="BN535" s="21" t="str">
        <f>IF(OR(COUNT(G535:I1534)=0,AND('Choix pédagogiques'!$C$3&lt;&gt;1,'Choix pédagogiques'!$C$3&lt;&gt;2)),"",IF(AND(OR('Choix pédagogiques'!$C$3=1,'Choix pédagogiques'!$C$3=2),AND($G535&lt;&gt;"",$H535&lt;&gt;"",$I535&lt;&gt;"")),1,0))</f>
        <v/>
      </c>
      <c r="BO535" s="21" t="str">
        <f>IF(OR(COUNT(B535:D1534)=0,COUNT(G535:I1534)=0,'Choix pédagogiques'!C$3&lt;&gt;3),"",IF(AND('Choix pédagogiques'!$C$3=3,$B535&lt;&gt;"",$C535&lt;&gt;"",$D535&lt;&gt;"",$G535&lt;&gt;"",$H535&lt;&gt;"",$I535&lt;&gt;""),1,0))</f>
        <v/>
      </c>
      <c r="BR535" s="21">
        <v>421</v>
      </c>
      <c r="BS535" s="21">
        <v>1450</v>
      </c>
      <c r="BT535"/>
    </row>
    <row r="536" spans="1:72" s="23" customFormat="1" ht="18" customHeight="1" x14ac:dyDescent="0.3">
      <c r="A536" s="35" t="s">
        <v>526</v>
      </c>
      <c r="B536" s="37"/>
      <c r="C536" s="37"/>
      <c r="D536" s="37"/>
      <c r="E536" s="37"/>
      <c r="F536" s="35" t="s">
        <v>1534</v>
      </c>
      <c r="G536" s="37"/>
      <c r="H536" s="37"/>
      <c r="I536" s="37"/>
      <c r="J536" s="37"/>
      <c r="K536" s="21" t="str">
        <f t="shared" si="387"/>
        <v>Apprenant 524</v>
      </c>
      <c r="L536" s="22" t="str">
        <f t="shared" si="388"/>
        <v/>
      </c>
      <c r="M536" s="22" t="str">
        <f t="shared" si="389"/>
        <v/>
      </c>
      <c r="N536" s="22" t="str">
        <f t="shared" si="390"/>
        <v/>
      </c>
      <c r="O536" s="22" t="str">
        <f t="shared" si="391"/>
        <v/>
      </c>
      <c r="P536" s="21" t="str">
        <f t="shared" si="392"/>
        <v>Apprenant 524 ou 524'</v>
      </c>
      <c r="Q536" s="22" t="str">
        <f t="shared" si="393"/>
        <v/>
      </c>
      <c r="R536" s="22" t="str">
        <f t="shared" si="394"/>
        <v/>
      </c>
      <c r="S536" s="22" t="str">
        <f t="shared" si="395"/>
        <v/>
      </c>
      <c r="T536" s="22" t="str">
        <f t="shared" si="396"/>
        <v/>
      </c>
      <c r="V536" s="21" t="str">
        <f t="shared" si="397"/>
        <v>Apprenant 524</v>
      </c>
      <c r="W536" s="22" t="str">
        <f>IF(AND(OR('Choix pédagogiques'!$C$3=1,'Choix pédagogiques'!$C$3=2),$BM536=1),B536,IF(AND('Choix pédagogiques'!$C$3=3,$BO536=1),B536,""))</f>
        <v/>
      </c>
      <c r="X536" s="22" t="str">
        <f>IF(AND(OR('Choix pédagogiques'!$C$3=1,'Choix pédagogiques'!$C$3=2),$BM536=1),C536,IF(AND('Choix pédagogiques'!$C$3=3,$BO536=1),C536,""))</f>
        <v/>
      </c>
      <c r="Y536" s="22" t="str">
        <f>IF(AND(OR('Choix pédagogiques'!$C$3=1,'Choix pédagogiques'!$C$3=2),$BM536=1),D536,IF(AND('Choix pédagogiques'!$C$3=3,$BO536=1),D536,""))</f>
        <v/>
      </c>
      <c r="Z536" s="22" t="str">
        <f t="shared" si="398"/>
        <v/>
      </c>
      <c r="AA536" s="21" t="str">
        <f t="shared" si="399"/>
        <v>Apprenant 524 ou 524'</v>
      </c>
      <c r="AB536" s="22" t="str">
        <f>IF(AND(OR('Choix pédagogiques'!$C$3=1,'Choix pédagogiques'!$C$3=2),$BN536=1),G536,IF(AND('Choix pédagogiques'!$C$3=3,$BO536=1),G536,""))</f>
        <v/>
      </c>
      <c r="AC536" s="22" t="str">
        <f>IF(AND(OR('Choix pédagogiques'!$C$3=1,'Choix pédagogiques'!$C$3=2),$BN536=1),H536,IF(AND('Choix pédagogiques'!$C$3=3,$BO536=1),H536,""))</f>
        <v/>
      </c>
      <c r="AD536" s="22" t="str">
        <f>IF(AND(OR('Choix pédagogiques'!$C$3=1,'Choix pédagogiques'!$C$3=2),$BN536=1),I536,IF(AND('Choix pédagogiques'!$C$3=3,$BO536=1),I536,""))</f>
        <v/>
      </c>
      <c r="AE536" s="22" t="str">
        <f t="shared" si="400"/>
        <v/>
      </c>
      <c r="AF536" s="21" t="str">
        <f t="shared" si="401"/>
        <v>Apprenant 524</v>
      </c>
      <c r="AG536" s="22" t="str">
        <f t="shared" si="375"/>
        <v/>
      </c>
      <c r="AH536" s="22" t="str">
        <f t="shared" si="376"/>
        <v/>
      </c>
      <c r="AI536" s="22" t="str">
        <f t="shared" si="377"/>
        <v/>
      </c>
      <c r="AJ536" s="22" t="str">
        <f t="shared" si="402"/>
        <v/>
      </c>
      <c r="AK536" s="21" t="str">
        <f t="shared" si="403"/>
        <v>Apprenant 524 ou 524'</v>
      </c>
      <c r="AL536" s="22" t="str">
        <f t="shared" si="378"/>
        <v/>
      </c>
      <c r="AM536" s="22" t="str">
        <f t="shared" si="379"/>
        <v/>
      </c>
      <c r="AN536" s="22" t="str">
        <f t="shared" si="380"/>
        <v/>
      </c>
      <c r="AO536" s="22" t="str">
        <f t="shared" si="404"/>
        <v/>
      </c>
      <c r="AQ536" s="21" t="str">
        <f t="shared" si="405"/>
        <v>Apprenant 524</v>
      </c>
      <c r="AR536" s="49" t="str">
        <f>IF(AND('Choix pédagogiques'!$C$4&lt;&gt;"?",'Choix pédagogiques'!$C$5&lt;&gt;"?",W536&lt;&gt;""),(W536-'Choix pédagogiques'!$C$4)/('Choix pédagogiques'!$C$5-'Choix pédagogiques'!$C$4),"")</f>
        <v/>
      </c>
      <c r="AS536" s="49" t="str">
        <f>IF(AND('Choix pédagogiques'!$C$4&lt;&gt;"?",'Choix pédagogiques'!$C$5&lt;&gt;"?",X536&lt;&gt;""),(X536-'Choix pédagogiques'!$C$4)/('Choix pédagogiques'!$C$5-'Choix pédagogiques'!$C$4),"")</f>
        <v/>
      </c>
      <c r="AT536" s="49" t="str">
        <f>IF(AND('Choix pédagogiques'!$C$4&lt;&gt;"?",'Choix pédagogiques'!$C$5&lt;&gt;"?",Y536&lt;&gt;""),(Y536-'Choix pédagogiques'!$C$4)/('Choix pédagogiques'!$C$5-'Choix pédagogiques'!$C$4),"")</f>
        <v/>
      </c>
      <c r="AU536" s="22" t="str">
        <f t="shared" si="406"/>
        <v/>
      </c>
      <c r="AV536" s="21" t="str">
        <f t="shared" si="407"/>
        <v>Apprenant 524 ou 524'</v>
      </c>
      <c r="AW536" s="49" t="str">
        <f>IF(AND('Choix pédagogiques'!$C$4&lt;&gt;"?",'Choix pédagogiques'!$C$5&lt;&gt;"?",AB536&lt;&gt;""),(AB536-'Choix pédagogiques'!$C$4)/('Choix pédagogiques'!$C$5-'Choix pédagogiques'!$C$4),"")</f>
        <v/>
      </c>
      <c r="AX536" s="49" t="str">
        <f>IF(AND('Choix pédagogiques'!$C$4&lt;&gt;"?",'Choix pédagogiques'!$C$5&lt;&gt;"?",AC536&lt;&gt;""),(AC536-'Choix pédagogiques'!$C$4)/('Choix pédagogiques'!$C$5-'Choix pédagogiques'!$C$4),"")</f>
        <v/>
      </c>
      <c r="AY536" s="49" t="str">
        <f>IF(AND('Choix pédagogiques'!$C$4&lt;&gt;"?",'Choix pédagogiques'!$C$5&lt;&gt;"?",AD536&lt;&gt;""),(AD536-'Choix pédagogiques'!$C$4)/('Choix pédagogiques'!$C$5-'Choix pédagogiques'!$C$4),"")</f>
        <v/>
      </c>
      <c r="AZ536" s="22" t="str">
        <f t="shared" si="408"/>
        <v/>
      </c>
      <c r="BA536" s="21" t="str">
        <f t="shared" si="409"/>
        <v>Apprenant 524</v>
      </c>
      <c r="BB536" s="49" t="str">
        <f t="shared" si="381"/>
        <v/>
      </c>
      <c r="BC536" s="49" t="str">
        <f t="shared" si="382"/>
        <v/>
      </c>
      <c r="BD536" s="49" t="str">
        <f t="shared" si="383"/>
        <v/>
      </c>
      <c r="BE536" s="22" t="str">
        <f t="shared" si="410"/>
        <v/>
      </c>
      <c r="BF536" s="21" t="str">
        <f t="shared" si="411"/>
        <v>Apprenant 524 ou 524'</v>
      </c>
      <c r="BG536" s="49" t="str">
        <f t="shared" si="384"/>
        <v/>
      </c>
      <c r="BH536" s="49" t="str">
        <f t="shared" si="385"/>
        <v/>
      </c>
      <c r="BI536" s="49" t="str">
        <f t="shared" si="386"/>
        <v/>
      </c>
      <c r="BJ536" s="22" t="str">
        <f t="shared" si="412"/>
        <v/>
      </c>
      <c r="BL536" s="21"/>
      <c r="BM536" s="21" t="str">
        <f>IF(OR(COUNT(B536:D1535)=0,AND('Choix pédagogiques'!$C$3&lt;&gt;1,'Choix pédagogiques'!$C$3&lt;&gt;2)),"",IF(AND(OR('Choix pédagogiques'!$C$3=1,'Choix pédagogiques'!$C$3=2),$B536&lt;&gt;"",$C536&lt;&gt;"",$D536&lt;&gt;""),1,0))</f>
        <v/>
      </c>
      <c r="BN536" s="21" t="str">
        <f>IF(OR(COUNT(G536:I1535)=0,AND('Choix pédagogiques'!$C$3&lt;&gt;1,'Choix pédagogiques'!$C$3&lt;&gt;2)),"",IF(AND(OR('Choix pédagogiques'!$C$3=1,'Choix pédagogiques'!$C$3=2),AND($G536&lt;&gt;"",$H536&lt;&gt;"",$I536&lt;&gt;"")),1,0))</f>
        <v/>
      </c>
      <c r="BO536" s="21" t="str">
        <f>IF(OR(COUNT(B536:D1535)=0,COUNT(G536:I1535)=0,'Choix pédagogiques'!C$3&lt;&gt;3),"",IF(AND('Choix pédagogiques'!$C$3=3,$B536&lt;&gt;"",$C536&lt;&gt;"",$D536&lt;&gt;"",$G536&lt;&gt;"",$H536&lt;&gt;"",$I536&lt;&gt;""),1,0))</f>
        <v/>
      </c>
      <c r="BR536" s="21">
        <v>839</v>
      </c>
      <c r="BS536" s="21">
        <v>1122</v>
      </c>
      <c r="BT536"/>
    </row>
    <row r="537" spans="1:72" s="23" customFormat="1" ht="18" customHeight="1" x14ac:dyDescent="0.3">
      <c r="A537" s="35" t="s">
        <v>527</v>
      </c>
      <c r="B537" s="37"/>
      <c r="C537" s="37"/>
      <c r="D537" s="37"/>
      <c r="E537" s="37"/>
      <c r="F537" s="35" t="s">
        <v>1535</v>
      </c>
      <c r="G537" s="37"/>
      <c r="H537" s="37"/>
      <c r="I537" s="37"/>
      <c r="J537" s="37"/>
      <c r="K537" s="21" t="str">
        <f t="shared" si="387"/>
        <v>Apprenant 525</v>
      </c>
      <c r="L537" s="22" t="str">
        <f t="shared" si="388"/>
        <v/>
      </c>
      <c r="M537" s="22" t="str">
        <f t="shared" si="389"/>
        <v/>
      </c>
      <c r="N537" s="22" t="str">
        <f t="shared" si="390"/>
        <v/>
      </c>
      <c r="O537" s="22" t="str">
        <f t="shared" si="391"/>
        <v/>
      </c>
      <c r="P537" s="21" t="str">
        <f t="shared" si="392"/>
        <v>Apprenant 525 ou 525'</v>
      </c>
      <c r="Q537" s="22" t="str">
        <f t="shared" si="393"/>
        <v/>
      </c>
      <c r="R537" s="22" t="str">
        <f t="shared" si="394"/>
        <v/>
      </c>
      <c r="S537" s="22" t="str">
        <f t="shared" si="395"/>
        <v/>
      </c>
      <c r="T537" s="22" t="str">
        <f t="shared" si="396"/>
        <v/>
      </c>
      <c r="V537" s="21" t="str">
        <f t="shared" si="397"/>
        <v>Apprenant 525</v>
      </c>
      <c r="W537" s="22" t="str">
        <f>IF(AND(OR('Choix pédagogiques'!$C$3=1,'Choix pédagogiques'!$C$3=2),$BM537=1),B537,IF(AND('Choix pédagogiques'!$C$3=3,$BO537=1),B537,""))</f>
        <v/>
      </c>
      <c r="X537" s="22" t="str">
        <f>IF(AND(OR('Choix pédagogiques'!$C$3=1,'Choix pédagogiques'!$C$3=2),$BM537=1),C537,IF(AND('Choix pédagogiques'!$C$3=3,$BO537=1),C537,""))</f>
        <v/>
      </c>
      <c r="Y537" s="22" t="str">
        <f>IF(AND(OR('Choix pédagogiques'!$C$3=1,'Choix pédagogiques'!$C$3=2),$BM537=1),D537,IF(AND('Choix pédagogiques'!$C$3=3,$BO537=1),D537,""))</f>
        <v/>
      </c>
      <c r="Z537" s="22" t="str">
        <f t="shared" si="398"/>
        <v/>
      </c>
      <c r="AA537" s="21" t="str">
        <f t="shared" si="399"/>
        <v>Apprenant 525 ou 525'</v>
      </c>
      <c r="AB537" s="22" t="str">
        <f>IF(AND(OR('Choix pédagogiques'!$C$3=1,'Choix pédagogiques'!$C$3=2),$BN537=1),G537,IF(AND('Choix pédagogiques'!$C$3=3,$BO537=1),G537,""))</f>
        <v/>
      </c>
      <c r="AC537" s="22" t="str">
        <f>IF(AND(OR('Choix pédagogiques'!$C$3=1,'Choix pédagogiques'!$C$3=2),$BN537=1),H537,IF(AND('Choix pédagogiques'!$C$3=3,$BO537=1),H537,""))</f>
        <v/>
      </c>
      <c r="AD537" s="22" t="str">
        <f>IF(AND(OR('Choix pédagogiques'!$C$3=1,'Choix pédagogiques'!$C$3=2),$BN537=1),I537,IF(AND('Choix pédagogiques'!$C$3=3,$BO537=1),I537,""))</f>
        <v/>
      </c>
      <c r="AE537" s="22" t="str">
        <f t="shared" si="400"/>
        <v/>
      </c>
      <c r="AF537" s="21" t="str">
        <f t="shared" si="401"/>
        <v>Apprenant 525</v>
      </c>
      <c r="AG537" s="22" t="str">
        <f t="shared" si="375"/>
        <v/>
      </c>
      <c r="AH537" s="22" t="str">
        <f t="shared" si="376"/>
        <v/>
      </c>
      <c r="AI537" s="22" t="str">
        <f t="shared" si="377"/>
        <v/>
      </c>
      <c r="AJ537" s="22" t="str">
        <f t="shared" si="402"/>
        <v/>
      </c>
      <c r="AK537" s="21" t="str">
        <f t="shared" si="403"/>
        <v>Apprenant 525 ou 525'</v>
      </c>
      <c r="AL537" s="22" t="str">
        <f t="shared" si="378"/>
        <v/>
      </c>
      <c r="AM537" s="22" t="str">
        <f t="shared" si="379"/>
        <v/>
      </c>
      <c r="AN537" s="22" t="str">
        <f t="shared" si="380"/>
        <v/>
      </c>
      <c r="AO537" s="22" t="str">
        <f t="shared" si="404"/>
        <v/>
      </c>
      <c r="AQ537" s="21" t="str">
        <f t="shared" si="405"/>
        <v>Apprenant 525</v>
      </c>
      <c r="AR537" s="49" t="str">
        <f>IF(AND('Choix pédagogiques'!$C$4&lt;&gt;"?",'Choix pédagogiques'!$C$5&lt;&gt;"?",W537&lt;&gt;""),(W537-'Choix pédagogiques'!$C$4)/('Choix pédagogiques'!$C$5-'Choix pédagogiques'!$C$4),"")</f>
        <v/>
      </c>
      <c r="AS537" s="49" t="str">
        <f>IF(AND('Choix pédagogiques'!$C$4&lt;&gt;"?",'Choix pédagogiques'!$C$5&lt;&gt;"?",X537&lt;&gt;""),(X537-'Choix pédagogiques'!$C$4)/('Choix pédagogiques'!$C$5-'Choix pédagogiques'!$C$4),"")</f>
        <v/>
      </c>
      <c r="AT537" s="49" t="str">
        <f>IF(AND('Choix pédagogiques'!$C$4&lt;&gt;"?",'Choix pédagogiques'!$C$5&lt;&gt;"?",Y537&lt;&gt;""),(Y537-'Choix pédagogiques'!$C$4)/('Choix pédagogiques'!$C$5-'Choix pédagogiques'!$C$4),"")</f>
        <v/>
      </c>
      <c r="AU537" s="22" t="str">
        <f t="shared" si="406"/>
        <v/>
      </c>
      <c r="AV537" s="21" t="str">
        <f t="shared" si="407"/>
        <v>Apprenant 525 ou 525'</v>
      </c>
      <c r="AW537" s="49" t="str">
        <f>IF(AND('Choix pédagogiques'!$C$4&lt;&gt;"?",'Choix pédagogiques'!$C$5&lt;&gt;"?",AB537&lt;&gt;""),(AB537-'Choix pédagogiques'!$C$4)/('Choix pédagogiques'!$C$5-'Choix pédagogiques'!$C$4),"")</f>
        <v/>
      </c>
      <c r="AX537" s="49" t="str">
        <f>IF(AND('Choix pédagogiques'!$C$4&lt;&gt;"?",'Choix pédagogiques'!$C$5&lt;&gt;"?",AC537&lt;&gt;""),(AC537-'Choix pédagogiques'!$C$4)/('Choix pédagogiques'!$C$5-'Choix pédagogiques'!$C$4),"")</f>
        <v/>
      </c>
      <c r="AY537" s="49" t="str">
        <f>IF(AND('Choix pédagogiques'!$C$4&lt;&gt;"?",'Choix pédagogiques'!$C$5&lt;&gt;"?",AD537&lt;&gt;""),(AD537-'Choix pédagogiques'!$C$4)/('Choix pédagogiques'!$C$5-'Choix pédagogiques'!$C$4),"")</f>
        <v/>
      </c>
      <c r="AZ537" s="22" t="str">
        <f t="shared" si="408"/>
        <v/>
      </c>
      <c r="BA537" s="21" t="str">
        <f t="shared" si="409"/>
        <v>Apprenant 525</v>
      </c>
      <c r="BB537" s="49" t="str">
        <f t="shared" si="381"/>
        <v/>
      </c>
      <c r="BC537" s="49" t="str">
        <f t="shared" si="382"/>
        <v/>
      </c>
      <c r="BD537" s="49" t="str">
        <f t="shared" si="383"/>
        <v/>
      </c>
      <c r="BE537" s="22" t="str">
        <f t="shared" si="410"/>
        <v/>
      </c>
      <c r="BF537" s="21" t="str">
        <f t="shared" si="411"/>
        <v>Apprenant 525 ou 525'</v>
      </c>
      <c r="BG537" s="49" t="str">
        <f t="shared" si="384"/>
        <v/>
      </c>
      <c r="BH537" s="49" t="str">
        <f t="shared" si="385"/>
        <v/>
      </c>
      <c r="BI537" s="49" t="str">
        <f t="shared" si="386"/>
        <v/>
      </c>
      <c r="BJ537" s="22" t="str">
        <f t="shared" si="412"/>
        <v/>
      </c>
      <c r="BL537" s="21"/>
      <c r="BM537" s="21" t="str">
        <f>IF(OR(COUNT(B537:D1536)=0,AND('Choix pédagogiques'!$C$3&lt;&gt;1,'Choix pédagogiques'!$C$3&lt;&gt;2)),"",IF(AND(OR('Choix pédagogiques'!$C$3=1,'Choix pédagogiques'!$C$3=2),$B537&lt;&gt;"",$C537&lt;&gt;"",$D537&lt;&gt;""),1,0))</f>
        <v/>
      </c>
      <c r="BN537" s="21" t="str">
        <f>IF(OR(COUNT(G537:I1536)=0,AND('Choix pédagogiques'!$C$3&lt;&gt;1,'Choix pédagogiques'!$C$3&lt;&gt;2)),"",IF(AND(OR('Choix pédagogiques'!$C$3=1,'Choix pédagogiques'!$C$3=2),AND($G537&lt;&gt;"",$H537&lt;&gt;"",$I537&lt;&gt;"")),1,0))</f>
        <v/>
      </c>
      <c r="BO537" s="21" t="str">
        <f>IF(OR(COUNT(B537:D1536)=0,COUNT(G537:I1536)=0,'Choix pédagogiques'!C$3&lt;&gt;3),"",IF(AND('Choix pédagogiques'!$C$3=3,$B537&lt;&gt;"",$C537&lt;&gt;"",$D537&lt;&gt;"",$G537&lt;&gt;"",$H537&lt;&gt;"",$I537&lt;&gt;""),1,0))</f>
        <v/>
      </c>
      <c r="BR537" s="21">
        <v>793</v>
      </c>
      <c r="BS537" s="21">
        <v>1691</v>
      </c>
      <c r="BT537"/>
    </row>
    <row r="538" spans="1:72" s="23" customFormat="1" ht="18" customHeight="1" x14ac:dyDescent="0.3">
      <c r="A538" s="35" t="s">
        <v>528</v>
      </c>
      <c r="B538" s="37"/>
      <c r="C538" s="37"/>
      <c r="D538" s="37"/>
      <c r="E538" s="37"/>
      <c r="F538" s="35" t="s">
        <v>1536</v>
      </c>
      <c r="G538" s="37"/>
      <c r="H538" s="37"/>
      <c r="I538" s="37"/>
      <c r="J538" s="37"/>
      <c r="K538" s="21" t="str">
        <f t="shared" si="387"/>
        <v>Apprenant 526</v>
      </c>
      <c r="L538" s="22" t="str">
        <f t="shared" si="388"/>
        <v/>
      </c>
      <c r="M538" s="22" t="str">
        <f t="shared" si="389"/>
        <v/>
      </c>
      <c r="N538" s="22" t="str">
        <f t="shared" si="390"/>
        <v/>
      </c>
      <c r="O538" s="22" t="str">
        <f t="shared" si="391"/>
        <v/>
      </c>
      <c r="P538" s="21" t="str">
        <f t="shared" si="392"/>
        <v>Apprenant 526 ou 526'</v>
      </c>
      <c r="Q538" s="22" t="str">
        <f t="shared" si="393"/>
        <v/>
      </c>
      <c r="R538" s="22" t="str">
        <f t="shared" si="394"/>
        <v/>
      </c>
      <c r="S538" s="22" t="str">
        <f t="shared" si="395"/>
        <v/>
      </c>
      <c r="T538" s="22" t="str">
        <f t="shared" si="396"/>
        <v/>
      </c>
      <c r="V538" s="21" t="str">
        <f t="shared" si="397"/>
        <v>Apprenant 526</v>
      </c>
      <c r="W538" s="22" t="str">
        <f>IF(AND(OR('Choix pédagogiques'!$C$3=1,'Choix pédagogiques'!$C$3=2),$BM538=1),B538,IF(AND('Choix pédagogiques'!$C$3=3,$BO538=1),B538,""))</f>
        <v/>
      </c>
      <c r="X538" s="22" t="str">
        <f>IF(AND(OR('Choix pédagogiques'!$C$3=1,'Choix pédagogiques'!$C$3=2),$BM538=1),C538,IF(AND('Choix pédagogiques'!$C$3=3,$BO538=1),C538,""))</f>
        <v/>
      </c>
      <c r="Y538" s="22" t="str">
        <f>IF(AND(OR('Choix pédagogiques'!$C$3=1,'Choix pédagogiques'!$C$3=2),$BM538=1),D538,IF(AND('Choix pédagogiques'!$C$3=3,$BO538=1),D538,""))</f>
        <v/>
      </c>
      <c r="Z538" s="22" t="str">
        <f t="shared" si="398"/>
        <v/>
      </c>
      <c r="AA538" s="21" t="str">
        <f t="shared" si="399"/>
        <v>Apprenant 526 ou 526'</v>
      </c>
      <c r="AB538" s="22" t="str">
        <f>IF(AND(OR('Choix pédagogiques'!$C$3=1,'Choix pédagogiques'!$C$3=2),$BN538=1),G538,IF(AND('Choix pédagogiques'!$C$3=3,$BO538=1),G538,""))</f>
        <v/>
      </c>
      <c r="AC538" s="22" t="str">
        <f>IF(AND(OR('Choix pédagogiques'!$C$3=1,'Choix pédagogiques'!$C$3=2),$BN538=1),H538,IF(AND('Choix pédagogiques'!$C$3=3,$BO538=1),H538,""))</f>
        <v/>
      </c>
      <c r="AD538" s="22" t="str">
        <f>IF(AND(OR('Choix pédagogiques'!$C$3=1,'Choix pédagogiques'!$C$3=2),$BN538=1),I538,IF(AND('Choix pédagogiques'!$C$3=3,$BO538=1),I538,""))</f>
        <v/>
      </c>
      <c r="AE538" s="22" t="str">
        <f t="shared" si="400"/>
        <v/>
      </c>
      <c r="AF538" s="21" t="str">
        <f t="shared" si="401"/>
        <v>Apprenant 526</v>
      </c>
      <c r="AG538" s="22" t="str">
        <f t="shared" si="375"/>
        <v/>
      </c>
      <c r="AH538" s="22" t="str">
        <f t="shared" si="376"/>
        <v/>
      </c>
      <c r="AI538" s="22" t="str">
        <f t="shared" si="377"/>
        <v/>
      </c>
      <c r="AJ538" s="22" t="str">
        <f t="shared" si="402"/>
        <v/>
      </c>
      <c r="AK538" s="21" t="str">
        <f t="shared" si="403"/>
        <v>Apprenant 526 ou 526'</v>
      </c>
      <c r="AL538" s="22" t="str">
        <f t="shared" si="378"/>
        <v/>
      </c>
      <c r="AM538" s="22" t="str">
        <f t="shared" si="379"/>
        <v/>
      </c>
      <c r="AN538" s="22" t="str">
        <f t="shared" si="380"/>
        <v/>
      </c>
      <c r="AO538" s="22" t="str">
        <f t="shared" si="404"/>
        <v/>
      </c>
      <c r="AQ538" s="21" t="str">
        <f t="shared" si="405"/>
        <v>Apprenant 526</v>
      </c>
      <c r="AR538" s="49" t="str">
        <f>IF(AND('Choix pédagogiques'!$C$4&lt;&gt;"?",'Choix pédagogiques'!$C$5&lt;&gt;"?",W538&lt;&gt;""),(W538-'Choix pédagogiques'!$C$4)/('Choix pédagogiques'!$C$5-'Choix pédagogiques'!$C$4),"")</f>
        <v/>
      </c>
      <c r="AS538" s="49" t="str">
        <f>IF(AND('Choix pédagogiques'!$C$4&lt;&gt;"?",'Choix pédagogiques'!$C$5&lt;&gt;"?",X538&lt;&gt;""),(X538-'Choix pédagogiques'!$C$4)/('Choix pédagogiques'!$C$5-'Choix pédagogiques'!$C$4),"")</f>
        <v/>
      </c>
      <c r="AT538" s="49" t="str">
        <f>IF(AND('Choix pédagogiques'!$C$4&lt;&gt;"?",'Choix pédagogiques'!$C$5&lt;&gt;"?",Y538&lt;&gt;""),(Y538-'Choix pédagogiques'!$C$4)/('Choix pédagogiques'!$C$5-'Choix pédagogiques'!$C$4),"")</f>
        <v/>
      </c>
      <c r="AU538" s="22" t="str">
        <f t="shared" si="406"/>
        <v/>
      </c>
      <c r="AV538" s="21" t="str">
        <f t="shared" si="407"/>
        <v>Apprenant 526 ou 526'</v>
      </c>
      <c r="AW538" s="49" t="str">
        <f>IF(AND('Choix pédagogiques'!$C$4&lt;&gt;"?",'Choix pédagogiques'!$C$5&lt;&gt;"?",AB538&lt;&gt;""),(AB538-'Choix pédagogiques'!$C$4)/('Choix pédagogiques'!$C$5-'Choix pédagogiques'!$C$4),"")</f>
        <v/>
      </c>
      <c r="AX538" s="49" t="str">
        <f>IF(AND('Choix pédagogiques'!$C$4&lt;&gt;"?",'Choix pédagogiques'!$C$5&lt;&gt;"?",AC538&lt;&gt;""),(AC538-'Choix pédagogiques'!$C$4)/('Choix pédagogiques'!$C$5-'Choix pédagogiques'!$C$4),"")</f>
        <v/>
      </c>
      <c r="AY538" s="49" t="str">
        <f>IF(AND('Choix pédagogiques'!$C$4&lt;&gt;"?",'Choix pédagogiques'!$C$5&lt;&gt;"?",AD538&lt;&gt;""),(AD538-'Choix pédagogiques'!$C$4)/('Choix pédagogiques'!$C$5-'Choix pédagogiques'!$C$4),"")</f>
        <v/>
      </c>
      <c r="AZ538" s="22" t="str">
        <f t="shared" si="408"/>
        <v/>
      </c>
      <c r="BA538" s="21" t="str">
        <f t="shared" si="409"/>
        <v>Apprenant 526</v>
      </c>
      <c r="BB538" s="49" t="str">
        <f t="shared" si="381"/>
        <v/>
      </c>
      <c r="BC538" s="49" t="str">
        <f t="shared" si="382"/>
        <v/>
      </c>
      <c r="BD538" s="49" t="str">
        <f t="shared" si="383"/>
        <v/>
      </c>
      <c r="BE538" s="22" t="str">
        <f t="shared" si="410"/>
        <v/>
      </c>
      <c r="BF538" s="21" t="str">
        <f t="shared" si="411"/>
        <v>Apprenant 526 ou 526'</v>
      </c>
      <c r="BG538" s="49" t="str">
        <f t="shared" si="384"/>
        <v/>
      </c>
      <c r="BH538" s="49" t="str">
        <f t="shared" si="385"/>
        <v/>
      </c>
      <c r="BI538" s="49" t="str">
        <f t="shared" si="386"/>
        <v/>
      </c>
      <c r="BJ538" s="22" t="str">
        <f t="shared" si="412"/>
        <v/>
      </c>
      <c r="BL538" s="21"/>
      <c r="BM538" s="21" t="str">
        <f>IF(OR(COUNT(B538:D1537)=0,AND('Choix pédagogiques'!$C$3&lt;&gt;1,'Choix pédagogiques'!$C$3&lt;&gt;2)),"",IF(AND(OR('Choix pédagogiques'!$C$3=1,'Choix pédagogiques'!$C$3=2),$B538&lt;&gt;"",$C538&lt;&gt;"",$D538&lt;&gt;""),1,0))</f>
        <v/>
      </c>
      <c r="BN538" s="21" t="str">
        <f>IF(OR(COUNT(G538:I1537)=0,AND('Choix pédagogiques'!$C$3&lt;&gt;1,'Choix pédagogiques'!$C$3&lt;&gt;2)),"",IF(AND(OR('Choix pédagogiques'!$C$3=1,'Choix pédagogiques'!$C$3=2),AND($G538&lt;&gt;"",$H538&lt;&gt;"",$I538&lt;&gt;"")),1,0))</f>
        <v/>
      </c>
      <c r="BO538" s="21" t="str">
        <f>IF(OR(COUNT(B538:D1537)=0,COUNT(G538:I1537)=0,'Choix pédagogiques'!C$3&lt;&gt;3),"",IF(AND('Choix pédagogiques'!$C$3=3,$B538&lt;&gt;"",$C538&lt;&gt;"",$D538&lt;&gt;"",$G538&lt;&gt;"",$H538&lt;&gt;"",$I538&lt;&gt;""),1,0))</f>
        <v/>
      </c>
      <c r="BR538" s="21">
        <v>335</v>
      </c>
      <c r="BS538" s="21">
        <v>1137</v>
      </c>
      <c r="BT538"/>
    </row>
    <row r="539" spans="1:72" s="23" customFormat="1" ht="18" customHeight="1" x14ac:dyDescent="0.3">
      <c r="A539" s="35" t="s">
        <v>529</v>
      </c>
      <c r="B539" s="37"/>
      <c r="C539" s="37"/>
      <c r="D539" s="37"/>
      <c r="E539" s="37"/>
      <c r="F539" s="35" t="s">
        <v>1537</v>
      </c>
      <c r="G539" s="37"/>
      <c r="H539" s="37"/>
      <c r="I539" s="37"/>
      <c r="J539" s="37"/>
      <c r="K539" s="21" t="str">
        <f t="shared" si="387"/>
        <v>Apprenant 527</v>
      </c>
      <c r="L539" s="22" t="str">
        <f t="shared" si="388"/>
        <v/>
      </c>
      <c r="M539" s="22" t="str">
        <f t="shared" si="389"/>
        <v/>
      </c>
      <c r="N539" s="22" t="str">
        <f t="shared" si="390"/>
        <v/>
      </c>
      <c r="O539" s="22" t="str">
        <f t="shared" si="391"/>
        <v/>
      </c>
      <c r="P539" s="21" t="str">
        <f t="shared" si="392"/>
        <v>Apprenant 527 ou 527'</v>
      </c>
      <c r="Q539" s="22" t="str">
        <f t="shared" si="393"/>
        <v/>
      </c>
      <c r="R539" s="22" t="str">
        <f t="shared" si="394"/>
        <v/>
      </c>
      <c r="S539" s="22" t="str">
        <f t="shared" si="395"/>
        <v/>
      </c>
      <c r="T539" s="22" t="str">
        <f t="shared" si="396"/>
        <v/>
      </c>
      <c r="V539" s="21" t="str">
        <f t="shared" si="397"/>
        <v>Apprenant 527</v>
      </c>
      <c r="W539" s="22" t="str">
        <f>IF(AND(OR('Choix pédagogiques'!$C$3=1,'Choix pédagogiques'!$C$3=2),$BM539=1),B539,IF(AND('Choix pédagogiques'!$C$3=3,$BO539=1),B539,""))</f>
        <v/>
      </c>
      <c r="X539" s="22" t="str">
        <f>IF(AND(OR('Choix pédagogiques'!$C$3=1,'Choix pédagogiques'!$C$3=2),$BM539=1),C539,IF(AND('Choix pédagogiques'!$C$3=3,$BO539=1),C539,""))</f>
        <v/>
      </c>
      <c r="Y539" s="22" t="str">
        <f>IF(AND(OR('Choix pédagogiques'!$C$3=1,'Choix pédagogiques'!$C$3=2),$BM539=1),D539,IF(AND('Choix pédagogiques'!$C$3=3,$BO539=1),D539,""))</f>
        <v/>
      </c>
      <c r="Z539" s="22" t="str">
        <f t="shared" si="398"/>
        <v/>
      </c>
      <c r="AA539" s="21" t="str">
        <f t="shared" si="399"/>
        <v>Apprenant 527 ou 527'</v>
      </c>
      <c r="AB539" s="22" t="str">
        <f>IF(AND(OR('Choix pédagogiques'!$C$3=1,'Choix pédagogiques'!$C$3=2),$BN539=1),G539,IF(AND('Choix pédagogiques'!$C$3=3,$BO539=1),G539,""))</f>
        <v/>
      </c>
      <c r="AC539" s="22" t="str">
        <f>IF(AND(OR('Choix pédagogiques'!$C$3=1,'Choix pédagogiques'!$C$3=2),$BN539=1),H539,IF(AND('Choix pédagogiques'!$C$3=3,$BO539=1),H539,""))</f>
        <v/>
      </c>
      <c r="AD539" s="22" t="str">
        <f>IF(AND(OR('Choix pédagogiques'!$C$3=1,'Choix pédagogiques'!$C$3=2),$BN539=1),I539,IF(AND('Choix pédagogiques'!$C$3=3,$BO539=1),I539,""))</f>
        <v/>
      </c>
      <c r="AE539" s="22" t="str">
        <f t="shared" si="400"/>
        <v/>
      </c>
      <c r="AF539" s="21" t="str">
        <f t="shared" si="401"/>
        <v>Apprenant 527</v>
      </c>
      <c r="AG539" s="22" t="str">
        <f t="shared" si="375"/>
        <v/>
      </c>
      <c r="AH539" s="22" t="str">
        <f t="shared" si="376"/>
        <v/>
      </c>
      <c r="AI539" s="22" t="str">
        <f t="shared" si="377"/>
        <v/>
      </c>
      <c r="AJ539" s="22" t="str">
        <f t="shared" si="402"/>
        <v/>
      </c>
      <c r="AK539" s="21" t="str">
        <f t="shared" si="403"/>
        <v>Apprenant 527 ou 527'</v>
      </c>
      <c r="AL539" s="22" t="str">
        <f t="shared" si="378"/>
        <v/>
      </c>
      <c r="AM539" s="22" t="str">
        <f t="shared" si="379"/>
        <v/>
      </c>
      <c r="AN539" s="22" t="str">
        <f t="shared" si="380"/>
        <v/>
      </c>
      <c r="AO539" s="22" t="str">
        <f t="shared" si="404"/>
        <v/>
      </c>
      <c r="AQ539" s="21" t="str">
        <f t="shared" si="405"/>
        <v>Apprenant 527</v>
      </c>
      <c r="AR539" s="49" t="str">
        <f>IF(AND('Choix pédagogiques'!$C$4&lt;&gt;"?",'Choix pédagogiques'!$C$5&lt;&gt;"?",W539&lt;&gt;""),(W539-'Choix pédagogiques'!$C$4)/('Choix pédagogiques'!$C$5-'Choix pédagogiques'!$C$4),"")</f>
        <v/>
      </c>
      <c r="AS539" s="49" t="str">
        <f>IF(AND('Choix pédagogiques'!$C$4&lt;&gt;"?",'Choix pédagogiques'!$C$5&lt;&gt;"?",X539&lt;&gt;""),(X539-'Choix pédagogiques'!$C$4)/('Choix pédagogiques'!$C$5-'Choix pédagogiques'!$C$4),"")</f>
        <v/>
      </c>
      <c r="AT539" s="49" t="str">
        <f>IF(AND('Choix pédagogiques'!$C$4&lt;&gt;"?",'Choix pédagogiques'!$C$5&lt;&gt;"?",Y539&lt;&gt;""),(Y539-'Choix pédagogiques'!$C$4)/('Choix pédagogiques'!$C$5-'Choix pédagogiques'!$C$4),"")</f>
        <v/>
      </c>
      <c r="AU539" s="22" t="str">
        <f t="shared" si="406"/>
        <v/>
      </c>
      <c r="AV539" s="21" t="str">
        <f t="shared" si="407"/>
        <v>Apprenant 527 ou 527'</v>
      </c>
      <c r="AW539" s="49" t="str">
        <f>IF(AND('Choix pédagogiques'!$C$4&lt;&gt;"?",'Choix pédagogiques'!$C$5&lt;&gt;"?",AB539&lt;&gt;""),(AB539-'Choix pédagogiques'!$C$4)/('Choix pédagogiques'!$C$5-'Choix pédagogiques'!$C$4),"")</f>
        <v/>
      </c>
      <c r="AX539" s="49" t="str">
        <f>IF(AND('Choix pédagogiques'!$C$4&lt;&gt;"?",'Choix pédagogiques'!$C$5&lt;&gt;"?",AC539&lt;&gt;""),(AC539-'Choix pédagogiques'!$C$4)/('Choix pédagogiques'!$C$5-'Choix pédagogiques'!$C$4),"")</f>
        <v/>
      </c>
      <c r="AY539" s="49" t="str">
        <f>IF(AND('Choix pédagogiques'!$C$4&lt;&gt;"?",'Choix pédagogiques'!$C$5&lt;&gt;"?",AD539&lt;&gt;""),(AD539-'Choix pédagogiques'!$C$4)/('Choix pédagogiques'!$C$5-'Choix pédagogiques'!$C$4),"")</f>
        <v/>
      </c>
      <c r="AZ539" s="22" t="str">
        <f t="shared" si="408"/>
        <v/>
      </c>
      <c r="BA539" s="21" t="str">
        <f t="shared" si="409"/>
        <v>Apprenant 527</v>
      </c>
      <c r="BB539" s="49" t="str">
        <f t="shared" si="381"/>
        <v/>
      </c>
      <c r="BC539" s="49" t="str">
        <f t="shared" si="382"/>
        <v/>
      </c>
      <c r="BD539" s="49" t="str">
        <f t="shared" si="383"/>
        <v/>
      </c>
      <c r="BE539" s="22" t="str">
        <f t="shared" si="410"/>
        <v/>
      </c>
      <c r="BF539" s="21" t="str">
        <f t="shared" si="411"/>
        <v>Apprenant 527 ou 527'</v>
      </c>
      <c r="BG539" s="49" t="str">
        <f t="shared" si="384"/>
        <v/>
      </c>
      <c r="BH539" s="49" t="str">
        <f t="shared" si="385"/>
        <v/>
      </c>
      <c r="BI539" s="49" t="str">
        <f t="shared" si="386"/>
        <v/>
      </c>
      <c r="BJ539" s="22" t="str">
        <f t="shared" si="412"/>
        <v/>
      </c>
      <c r="BL539" s="21"/>
      <c r="BM539" s="21" t="str">
        <f>IF(OR(COUNT(B539:D1538)=0,AND('Choix pédagogiques'!$C$3&lt;&gt;1,'Choix pédagogiques'!$C$3&lt;&gt;2)),"",IF(AND(OR('Choix pédagogiques'!$C$3=1,'Choix pédagogiques'!$C$3=2),$B539&lt;&gt;"",$C539&lt;&gt;"",$D539&lt;&gt;""),1,0))</f>
        <v/>
      </c>
      <c r="BN539" s="21" t="str">
        <f>IF(OR(COUNT(G539:I1538)=0,AND('Choix pédagogiques'!$C$3&lt;&gt;1,'Choix pédagogiques'!$C$3&lt;&gt;2)),"",IF(AND(OR('Choix pédagogiques'!$C$3=1,'Choix pédagogiques'!$C$3=2),AND($G539&lt;&gt;"",$H539&lt;&gt;"",$I539&lt;&gt;"")),1,0))</f>
        <v/>
      </c>
      <c r="BO539" s="21" t="str">
        <f>IF(OR(COUNT(B539:D1538)=0,COUNT(G539:I1538)=0,'Choix pédagogiques'!C$3&lt;&gt;3),"",IF(AND('Choix pédagogiques'!$C$3=3,$B539&lt;&gt;"",$C539&lt;&gt;"",$D539&lt;&gt;"",$G539&lt;&gt;"",$H539&lt;&gt;"",$I539&lt;&gt;""),1,0))</f>
        <v/>
      </c>
      <c r="BR539" s="21">
        <v>986</v>
      </c>
      <c r="BS539" s="21">
        <v>1679</v>
      </c>
      <c r="BT539"/>
    </row>
    <row r="540" spans="1:72" s="23" customFormat="1" ht="18" customHeight="1" x14ac:dyDescent="0.3">
      <c r="A540" s="35" t="s">
        <v>530</v>
      </c>
      <c r="B540" s="37"/>
      <c r="C540" s="37"/>
      <c r="D540" s="37"/>
      <c r="E540" s="37"/>
      <c r="F540" s="35" t="s">
        <v>1538</v>
      </c>
      <c r="G540" s="37"/>
      <c r="H540" s="37"/>
      <c r="I540" s="37"/>
      <c r="J540" s="37"/>
      <c r="K540" s="21" t="str">
        <f t="shared" si="387"/>
        <v>Apprenant 528</v>
      </c>
      <c r="L540" s="22" t="str">
        <f t="shared" si="388"/>
        <v/>
      </c>
      <c r="M540" s="22" t="str">
        <f t="shared" si="389"/>
        <v/>
      </c>
      <c r="N540" s="22" t="str">
        <f t="shared" si="390"/>
        <v/>
      </c>
      <c r="O540" s="22" t="str">
        <f t="shared" si="391"/>
        <v/>
      </c>
      <c r="P540" s="21" t="str">
        <f t="shared" si="392"/>
        <v>Apprenant 528 ou 528'</v>
      </c>
      <c r="Q540" s="22" t="str">
        <f t="shared" si="393"/>
        <v/>
      </c>
      <c r="R540" s="22" t="str">
        <f t="shared" si="394"/>
        <v/>
      </c>
      <c r="S540" s="22" t="str">
        <f t="shared" si="395"/>
        <v/>
      </c>
      <c r="T540" s="22" t="str">
        <f t="shared" si="396"/>
        <v/>
      </c>
      <c r="V540" s="21" t="str">
        <f t="shared" si="397"/>
        <v>Apprenant 528</v>
      </c>
      <c r="W540" s="22" t="str">
        <f>IF(AND(OR('Choix pédagogiques'!$C$3=1,'Choix pédagogiques'!$C$3=2),$BM540=1),B540,IF(AND('Choix pédagogiques'!$C$3=3,$BO540=1),B540,""))</f>
        <v/>
      </c>
      <c r="X540" s="22" t="str">
        <f>IF(AND(OR('Choix pédagogiques'!$C$3=1,'Choix pédagogiques'!$C$3=2),$BM540=1),C540,IF(AND('Choix pédagogiques'!$C$3=3,$BO540=1),C540,""))</f>
        <v/>
      </c>
      <c r="Y540" s="22" t="str">
        <f>IF(AND(OR('Choix pédagogiques'!$C$3=1,'Choix pédagogiques'!$C$3=2),$BM540=1),D540,IF(AND('Choix pédagogiques'!$C$3=3,$BO540=1),D540,""))</f>
        <v/>
      </c>
      <c r="Z540" s="22" t="str">
        <f t="shared" si="398"/>
        <v/>
      </c>
      <c r="AA540" s="21" t="str">
        <f t="shared" si="399"/>
        <v>Apprenant 528 ou 528'</v>
      </c>
      <c r="AB540" s="22" t="str">
        <f>IF(AND(OR('Choix pédagogiques'!$C$3=1,'Choix pédagogiques'!$C$3=2),$BN540=1),G540,IF(AND('Choix pédagogiques'!$C$3=3,$BO540=1),G540,""))</f>
        <v/>
      </c>
      <c r="AC540" s="22" t="str">
        <f>IF(AND(OR('Choix pédagogiques'!$C$3=1,'Choix pédagogiques'!$C$3=2),$BN540=1),H540,IF(AND('Choix pédagogiques'!$C$3=3,$BO540=1),H540,""))</f>
        <v/>
      </c>
      <c r="AD540" s="22" t="str">
        <f>IF(AND(OR('Choix pédagogiques'!$C$3=1,'Choix pédagogiques'!$C$3=2),$BN540=1),I540,IF(AND('Choix pédagogiques'!$C$3=3,$BO540=1),I540,""))</f>
        <v/>
      </c>
      <c r="AE540" s="22" t="str">
        <f t="shared" si="400"/>
        <v/>
      </c>
      <c r="AF540" s="21" t="str">
        <f t="shared" si="401"/>
        <v>Apprenant 528</v>
      </c>
      <c r="AG540" s="22" t="str">
        <f t="shared" si="375"/>
        <v/>
      </c>
      <c r="AH540" s="22" t="str">
        <f t="shared" si="376"/>
        <v/>
      </c>
      <c r="AI540" s="22" t="str">
        <f t="shared" si="377"/>
        <v/>
      </c>
      <c r="AJ540" s="22" t="str">
        <f t="shared" si="402"/>
        <v/>
      </c>
      <c r="AK540" s="21" t="str">
        <f t="shared" si="403"/>
        <v>Apprenant 528 ou 528'</v>
      </c>
      <c r="AL540" s="22" t="str">
        <f t="shared" si="378"/>
        <v/>
      </c>
      <c r="AM540" s="22" t="str">
        <f t="shared" si="379"/>
        <v/>
      </c>
      <c r="AN540" s="22" t="str">
        <f t="shared" si="380"/>
        <v/>
      </c>
      <c r="AO540" s="22" t="str">
        <f t="shared" si="404"/>
        <v/>
      </c>
      <c r="AQ540" s="21" t="str">
        <f t="shared" si="405"/>
        <v>Apprenant 528</v>
      </c>
      <c r="AR540" s="49" t="str">
        <f>IF(AND('Choix pédagogiques'!$C$4&lt;&gt;"?",'Choix pédagogiques'!$C$5&lt;&gt;"?",W540&lt;&gt;""),(W540-'Choix pédagogiques'!$C$4)/('Choix pédagogiques'!$C$5-'Choix pédagogiques'!$C$4),"")</f>
        <v/>
      </c>
      <c r="AS540" s="49" t="str">
        <f>IF(AND('Choix pédagogiques'!$C$4&lt;&gt;"?",'Choix pédagogiques'!$C$5&lt;&gt;"?",X540&lt;&gt;""),(X540-'Choix pédagogiques'!$C$4)/('Choix pédagogiques'!$C$5-'Choix pédagogiques'!$C$4),"")</f>
        <v/>
      </c>
      <c r="AT540" s="49" t="str">
        <f>IF(AND('Choix pédagogiques'!$C$4&lt;&gt;"?",'Choix pédagogiques'!$C$5&lt;&gt;"?",Y540&lt;&gt;""),(Y540-'Choix pédagogiques'!$C$4)/('Choix pédagogiques'!$C$5-'Choix pédagogiques'!$C$4),"")</f>
        <v/>
      </c>
      <c r="AU540" s="22" t="str">
        <f t="shared" si="406"/>
        <v/>
      </c>
      <c r="AV540" s="21" t="str">
        <f t="shared" si="407"/>
        <v>Apprenant 528 ou 528'</v>
      </c>
      <c r="AW540" s="49" t="str">
        <f>IF(AND('Choix pédagogiques'!$C$4&lt;&gt;"?",'Choix pédagogiques'!$C$5&lt;&gt;"?",AB540&lt;&gt;""),(AB540-'Choix pédagogiques'!$C$4)/('Choix pédagogiques'!$C$5-'Choix pédagogiques'!$C$4),"")</f>
        <v/>
      </c>
      <c r="AX540" s="49" t="str">
        <f>IF(AND('Choix pédagogiques'!$C$4&lt;&gt;"?",'Choix pédagogiques'!$C$5&lt;&gt;"?",AC540&lt;&gt;""),(AC540-'Choix pédagogiques'!$C$4)/('Choix pédagogiques'!$C$5-'Choix pédagogiques'!$C$4),"")</f>
        <v/>
      </c>
      <c r="AY540" s="49" t="str">
        <f>IF(AND('Choix pédagogiques'!$C$4&lt;&gt;"?",'Choix pédagogiques'!$C$5&lt;&gt;"?",AD540&lt;&gt;""),(AD540-'Choix pédagogiques'!$C$4)/('Choix pédagogiques'!$C$5-'Choix pédagogiques'!$C$4),"")</f>
        <v/>
      </c>
      <c r="AZ540" s="22" t="str">
        <f t="shared" si="408"/>
        <v/>
      </c>
      <c r="BA540" s="21" t="str">
        <f t="shared" si="409"/>
        <v>Apprenant 528</v>
      </c>
      <c r="BB540" s="49" t="str">
        <f t="shared" si="381"/>
        <v/>
      </c>
      <c r="BC540" s="49" t="str">
        <f t="shared" si="382"/>
        <v/>
      </c>
      <c r="BD540" s="49" t="str">
        <f t="shared" si="383"/>
        <v/>
      </c>
      <c r="BE540" s="22" t="str">
        <f t="shared" si="410"/>
        <v/>
      </c>
      <c r="BF540" s="21" t="str">
        <f t="shared" si="411"/>
        <v>Apprenant 528 ou 528'</v>
      </c>
      <c r="BG540" s="49" t="str">
        <f t="shared" si="384"/>
        <v/>
      </c>
      <c r="BH540" s="49" t="str">
        <f t="shared" si="385"/>
        <v/>
      </c>
      <c r="BI540" s="49" t="str">
        <f t="shared" si="386"/>
        <v/>
      </c>
      <c r="BJ540" s="22" t="str">
        <f t="shared" si="412"/>
        <v/>
      </c>
      <c r="BL540" s="21"/>
      <c r="BM540" s="21" t="str">
        <f>IF(OR(COUNT(B540:D1539)=0,AND('Choix pédagogiques'!$C$3&lt;&gt;1,'Choix pédagogiques'!$C$3&lt;&gt;2)),"",IF(AND(OR('Choix pédagogiques'!$C$3=1,'Choix pédagogiques'!$C$3=2),$B540&lt;&gt;"",$C540&lt;&gt;"",$D540&lt;&gt;""),1,0))</f>
        <v/>
      </c>
      <c r="BN540" s="21" t="str">
        <f>IF(OR(COUNT(G540:I1539)=0,AND('Choix pédagogiques'!$C$3&lt;&gt;1,'Choix pédagogiques'!$C$3&lt;&gt;2)),"",IF(AND(OR('Choix pédagogiques'!$C$3=1,'Choix pédagogiques'!$C$3=2),AND($G540&lt;&gt;"",$H540&lt;&gt;"",$I540&lt;&gt;"")),1,0))</f>
        <v/>
      </c>
      <c r="BO540" s="21" t="str">
        <f>IF(OR(COUNT(B540:D1539)=0,COUNT(G540:I1539)=0,'Choix pédagogiques'!C$3&lt;&gt;3),"",IF(AND('Choix pédagogiques'!$C$3=3,$B540&lt;&gt;"",$C540&lt;&gt;"",$D540&lt;&gt;"",$G540&lt;&gt;"",$H540&lt;&gt;"",$I540&lt;&gt;""),1,0))</f>
        <v/>
      </c>
      <c r="BR540" s="21">
        <v>596</v>
      </c>
      <c r="BS540" s="21">
        <v>1748</v>
      </c>
      <c r="BT540"/>
    </row>
    <row r="541" spans="1:72" s="23" customFormat="1" ht="18" customHeight="1" x14ac:dyDescent="0.3">
      <c r="A541" s="35" t="s">
        <v>531</v>
      </c>
      <c r="B541" s="37"/>
      <c r="C541" s="37"/>
      <c r="D541" s="37"/>
      <c r="E541" s="37"/>
      <c r="F541" s="35" t="s">
        <v>1539</v>
      </c>
      <c r="G541" s="37"/>
      <c r="H541" s="37"/>
      <c r="I541" s="37"/>
      <c r="J541" s="37"/>
      <c r="K541" s="21" t="str">
        <f t="shared" si="387"/>
        <v>Apprenant 529</v>
      </c>
      <c r="L541" s="22" t="str">
        <f t="shared" si="388"/>
        <v/>
      </c>
      <c r="M541" s="22" t="str">
        <f t="shared" si="389"/>
        <v/>
      </c>
      <c r="N541" s="22" t="str">
        <f t="shared" si="390"/>
        <v/>
      </c>
      <c r="O541" s="22" t="str">
        <f t="shared" si="391"/>
        <v/>
      </c>
      <c r="P541" s="21" t="str">
        <f t="shared" si="392"/>
        <v>Apprenant 529 ou 529'</v>
      </c>
      <c r="Q541" s="22" t="str">
        <f t="shared" si="393"/>
        <v/>
      </c>
      <c r="R541" s="22" t="str">
        <f t="shared" si="394"/>
        <v/>
      </c>
      <c r="S541" s="22" t="str">
        <f t="shared" si="395"/>
        <v/>
      </c>
      <c r="T541" s="22" t="str">
        <f t="shared" si="396"/>
        <v/>
      </c>
      <c r="V541" s="21" t="str">
        <f t="shared" si="397"/>
        <v>Apprenant 529</v>
      </c>
      <c r="W541" s="22" t="str">
        <f>IF(AND(OR('Choix pédagogiques'!$C$3=1,'Choix pédagogiques'!$C$3=2),$BM541=1),B541,IF(AND('Choix pédagogiques'!$C$3=3,$BO541=1),B541,""))</f>
        <v/>
      </c>
      <c r="X541" s="22" t="str">
        <f>IF(AND(OR('Choix pédagogiques'!$C$3=1,'Choix pédagogiques'!$C$3=2),$BM541=1),C541,IF(AND('Choix pédagogiques'!$C$3=3,$BO541=1),C541,""))</f>
        <v/>
      </c>
      <c r="Y541" s="22" t="str">
        <f>IF(AND(OR('Choix pédagogiques'!$C$3=1,'Choix pédagogiques'!$C$3=2),$BM541=1),D541,IF(AND('Choix pédagogiques'!$C$3=3,$BO541=1),D541,""))</f>
        <v/>
      </c>
      <c r="Z541" s="22" t="str">
        <f t="shared" si="398"/>
        <v/>
      </c>
      <c r="AA541" s="21" t="str">
        <f t="shared" si="399"/>
        <v>Apprenant 529 ou 529'</v>
      </c>
      <c r="AB541" s="22" t="str">
        <f>IF(AND(OR('Choix pédagogiques'!$C$3=1,'Choix pédagogiques'!$C$3=2),$BN541=1),G541,IF(AND('Choix pédagogiques'!$C$3=3,$BO541=1),G541,""))</f>
        <v/>
      </c>
      <c r="AC541" s="22" t="str">
        <f>IF(AND(OR('Choix pédagogiques'!$C$3=1,'Choix pédagogiques'!$C$3=2),$BN541=1),H541,IF(AND('Choix pédagogiques'!$C$3=3,$BO541=1),H541,""))</f>
        <v/>
      </c>
      <c r="AD541" s="22" t="str">
        <f>IF(AND(OR('Choix pédagogiques'!$C$3=1,'Choix pédagogiques'!$C$3=2),$BN541=1),I541,IF(AND('Choix pédagogiques'!$C$3=3,$BO541=1),I541,""))</f>
        <v/>
      </c>
      <c r="AE541" s="22" t="str">
        <f t="shared" si="400"/>
        <v/>
      </c>
      <c r="AF541" s="21" t="str">
        <f t="shared" si="401"/>
        <v>Apprenant 529</v>
      </c>
      <c r="AG541" s="22" t="str">
        <f t="shared" si="375"/>
        <v/>
      </c>
      <c r="AH541" s="22" t="str">
        <f t="shared" si="376"/>
        <v/>
      </c>
      <c r="AI541" s="22" t="str">
        <f t="shared" si="377"/>
        <v/>
      </c>
      <c r="AJ541" s="22" t="str">
        <f t="shared" si="402"/>
        <v/>
      </c>
      <c r="AK541" s="21" t="str">
        <f t="shared" si="403"/>
        <v>Apprenant 529 ou 529'</v>
      </c>
      <c r="AL541" s="22" t="str">
        <f t="shared" si="378"/>
        <v/>
      </c>
      <c r="AM541" s="22" t="str">
        <f t="shared" si="379"/>
        <v/>
      </c>
      <c r="AN541" s="22" t="str">
        <f t="shared" si="380"/>
        <v/>
      </c>
      <c r="AO541" s="22" t="str">
        <f t="shared" si="404"/>
        <v/>
      </c>
      <c r="AQ541" s="21" t="str">
        <f t="shared" si="405"/>
        <v>Apprenant 529</v>
      </c>
      <c r="AR541" s="49" t="str">
        <f>IF(AND('Choix pédagogiques'!$C$4&lt;&gt;"?",'Choix pédagogiques'!$C$5&lt;&gt;"?",W541&lt;&gt;""),(W541-'Choix pédagogiques'!$C$4)/('Choix pédagogiques'!$C$5-'Choix pédagogiques'!$C$4),"")</f>
        <v/>
      </c>
      <c r="AS541" s="49" t="str">
        <f>IF(AND('Choix pédagogiques'!$C$4&lt;&gt;"?",'Choix pédagogiques'!$C$5&lt;&gt;"?",X541&lt;&gt;""),(X541-'Choix pédagogiques'!$C$4)/('Choix pédagogiques'!$C$5-'Choix pédagogiques'!$C$4),"")</f>
        <v/>
      </c>
      <c r="AT541" s="49" t="str">
        <f>IF(AND('Choix pédagogiques'!$C$4&lt;&gt;"?",'Choix pédagogiques'!$C$5&lt;&gt;"?",Y541&lt;&gt;""),(Y541-'Choix pédagogiques'!$C$4)/('Choix pédagogiques'!$C$5-'Choix pédagogiques'!$C$4),"")</f>
        <v/>
      </c>
      <c r="AU541" s="22" t="str">
        <f t="shared" si="406"/>
        <v/>
      </c>
      <c r="AV541" s="21" t="str">
        <f t="shared" si="407"/>
        <v>Apprenant 529 ou 529'</v>
      </c>
      <c r="AW541" s="49" t="str">
        <f>IF(AND('Choix pédagogiques'!$C$4&lt;&gt;"?",'Choix pédagogiques'!$C$5&lt;&gt;"?",AB541&lt;&gt;""),(AB541-'Choix pédagogiques'!$C$4)/('Choix pédagogiques'!$C$5-'Choix pédagogiques'!$C$4),"")</f>
        <v/>
      </c>
      <c r="AX541" s="49" t="str">
        <f>IF(AND('Choix pédagogiques'!$C$4&lt;&gt;"?",'Choix pédagogiques'!$C$5&lt;&gt;"?",AC541&lt;&gt;""),(AC541-'Choix pédagogiques'!$C$4)/('Choix pédagogiques'!$C$5-'Choix pédagogiques'!$C$4),"")</f>
        <v/>
      </c>
      <c r="AY541" s="49" t="str">
        <f>IF(AND('Choix pédagogiques'!$C$4&lt;&gt;"?",'Choix pédagogiques'!$C$5&lt;&gt;"?",AD541&lt;&gt;""),(AD541-'Choix pédagogiques'!$C$4)/('Choix pédagogiques'!$C$5-'Choix pédagogiques'!$C$4),"")</f>
        <v/>
      </c>
      <c r="AZ541" s="22" t="str">
        <f t="shared" si="408"/>
        <v/>
      </c>
      <c r="BA541" s="21" t="str">
        <f t="shared" si="409"/>
        <v>Apprenant 529</v>
      </c>
      <c r="BB541" s="49" t="str">
        <f t="shared" si="381"/>
        <v/>
      </c>
      <c r="BC541" s="49" t="str">
        <f t="shared" si="382"/>
        <v/>
      </c>
      <c r="BD541" s="49" t="str">
        <f t="shared" si="383"/>
        <v/>
      </c>
      <c r="BE541" s="22" t="str">
        <f t="shared" si="410"/>
        <v/>
      </c>
      <c r="BF541" s="21" t="str">
        <f t="shared" si="411"/>
        <v>Apprenant 529 ou 529'</v>
      </c>
      <c r="BG541" s="49" t="str">
        <f t="shared" si="384"/>
        <v/>
      </c>
      <c r="BH541" s="49" t="str">
        <f t="shared" si="385"/>
        <v/>
      </c>
      <c r="BI541" s="49" t="str">
        <f t="shared" si="386"/>
        <v/>
      </c>
      <c r="BJ541" s="22" t="str">
        <f t="shared" si="412"/>
        <v/>
      </c>
      <c r="BL541" s="21"/>
      <c r="BM541" s="21" t="str">
        <f>IF(OR(COUNT(B541:D1540)=0,AND('Choix pédagogiques'!$C$3&lt;&gt;1,'Choix pédagogiques'!$C$3&lt;&gt;2)),"",IF(AND(OR('Choix pédagogiques'!$C$3=1,'Choix pédagogiques'!$C$3=2),$B541&lt;&gt;"",$C541&lt;&gt;"",$D541&lt;&gt;""),1,0))</f>
        <v/>
      </c>
      <c r="BN541" s="21" t="str">
        <f>IF(OR(COUNT(G541:I1540)=0,AND('Choix pédagogiques'!$C$3&lt;&gt;1,'Choix pédagogiques'!$C$3&lt;&gt;2)),"",IF(AND(OR('Choix pédagogiques'!$C$3=1,'Choix pédagogiques'!$C$3=2),AND($G541&lt;&gt;"",$H541&lt;&gt;"",$I541&lt;&gt;"")),1,0))</f>
        <v/>
      </c>
      <c r="BO541" s="21" t="str">
        <f>IF(OR(COUNT(B541:D1540)=0,COUNT(G541:I1540)=0,'Choix pédagogiques'!C$3&lt;&gt;3),"",IF(AND('Choix pédagogiques'!$C$3=3,$B541&lt;&gt;"",$C541&lt;&gt;"",$D541&lt;&gt;"",$G541&lt;&gt;"",$H541&lt;&gt;"",$I541&lt;&gt;""),1,0))</f>
        <v/>
      </c>
      <c r="BR541" s="21">
        <v>444</v>
      </c>
      <c r="BS541" s="21">
        <v>1685</v>
      </c>
      <c r="BT541"/>
    </row>
    <row r="542" spans="1:72" s="23" customFormat="1" ht="18" customHeight="1" x14ac:dyDescent="0.3">
      <c r="A542" s="35" t="s">
        <v>532</v>
      </c>
      <c r="B542" s="37"/>
      <c r="C542" s="37"/>
      <c r="D542" s="37"/>
      <c r="E542" s="37"/>
      <c r="F542" s="35" t="s">
        <v>1540</v>
      </c>
      <c r="G542" s="37"/>
      <c r="H542" s="37"/>
      <c r="I542" s="37"/>
      <c r="J542" s="37"/>
      <c r="K542" s="21" t="str">
        <f t="shared" si="387"/>
        <v>Apprenant 530</v>
      </c>
      <c r="L542" s="22" t="str">
        <f t="shared" si="388"/>
        <v/>
      </c>
      <c r="M542" s="22" t="str">
        <f t="shared" si="389"/>
        <v/>
      </c>
      <c r="N542" s="22" t="str">
        <f t="shared" si="390"/>
        <v/>
      </c>
      <c r="O542" s="22" t="str">
        <f t="shared" si="391"/>
        <v/>
      </c>
      <c r="P542" s="21" t="str">
        <f t="shared" si="392"/>
        <v>Apprenant 530 ou 530'</v>
      </c>
      <c r="Q542" s="22" t="str">
        <f t="shared" si="393"/>
        <v/>
      </c>
      <c r="R542" s="22" t="str">
        <f t="shared" si="394"/>
        <v/>
      </c>
      <c r="S542" s="22" t="str">
        <f t="shared" si="395"/>
        <v/>
      </c>
      <c r="T542" s="22" t="str">
        <f t="shared" si="396"/>
        <v/>
      </c>
      <c r="V542" s="21" t="str">
        <f t="shared" si="397"/>
        <v>Apprenant 530</v>
      </c>
      <c r="W542" s="22" t="str">
        <f>IF(AND(OR('Choix pédagogiques'!$C$3=1,'Choix pédagogiques'!$C$3=2),$BM542=1),B542,IF(AND('Choix pédagogiques'!$C$3=3,$BO542=1),B542,""))</f>
        <v/>
      </c>
      <c r="X542" s="22" t="str">
        <f>IF(AND(OR('Choix pédagogiques'!$C$3=1,'Choix pédagogiques'!$C$3=2),$BM542=1),C542,IF(AND('Choix pédagogiques'!$C$3=3,$BO542=1),C542,""))</f>
        <v/>
      </c>
      <c r="Y542" s="22" t="str">
        <f>IF(AND(OR('Choix pédagogiques'!$C$3=1,'Choix pédagogiques'!$C$3=2),$BM542=1),D542,IF(AND('Choix pédagogiques'!$C$3=3,$BO542=1),D542,""))</f>
        <v/>
      </c>
      <c r="Z542" s="22" t="str">
        <f t="shared" si="398"/>
        <v/>
      </c>
      <c r="AA542" s="21" t="str">
        <f t="shared" si="399"/>
        <v>Apprenant 530 ou 530'</v>
      </c>
      <c r="AB542" s="22" t="str">
        <f>IF(AND(OR('Choix pédagogiques'!$C$3=1,'Choix pédagogiques'!$C$3=2),$BN542=1),G542,IF(AND('Choix pédagogiques'!$C$3=3,$BO542=1),G542,""))</f>
        <v/>
      </c>
      <c r="AC542" s="22" t="str">
        <f>IF(AND(OR('Choix pédagogiques'!$C$3=1,'Choix pédagogiques'!$C$3=2),$BN542=1),H542,IF(AND('Choix pédagogiques'!$C$3=3,$BO542=1),H542,""))</f>
        <v/>
      </c>
      <c r="AD542" s="22" t="str">
        <f>IF(AND(OR('Choix pédagogiques'!$C$3=1,'Choix pédagogiques'!$C$3=2),$BN542=1),I542,IF(AND('Choix pédagogiques'!$C$3=3,$BO542=1),I542,""))</f>
        <v/>
      </c>
      <c r="AE542" s="22" t="str">
        <f t="shared" si="400"/>
        <v/>
      </c>
      <c r="AF542" s="21" t="str">
        <f t="shared" si="401"/>
        <v>Apprenant 530</v>
      </c>
      <c r="AG542" s="22" t="str">
        <f t="shared" si="375"/>
        <v/>
      </c>
      <c r="AH542" s="22" t="str">
        <f t="shared" si="376"/>
        <v/>
      </c>
      <c r="AI542" s="22" t="str">
        <f t="shared" si="377"/>
        <v/>
      </c>
      <c r="AJ542" s="22" t="str">
        <f t="shared" si="402"/>
        <v/>
      </c>
      <c r="AK542" s="21" t="str">
        <f t="shared" si="403"/>
        <v>Apprenant 530 ou 530'</v>
      </c>
      <c r="AL542" s="22" t="str">
        <f t="shared" si="378"/>
        <v/>
      </c>
      <c r="AM542" s="22" t="str">
        <f t="shared" si="379"/>
        <v/>
      </c>
      <c r="AN542" s="22" t="str">
        <f t="shared" si="380"/>
        <v/>
      </c>
      <c r="AO542" s="22" t="str">
        <f t="shared" si="404"/>
        <v/>
      </c>
      <c r="AQ542" s="21" t="str">
        <f t="shared" si="405"/>
        <v>Apprenant 530</v>
      </c>
      <c r="AR542" s="49" t="str">
        <f>IF(AND('Choix pédagogiques'!$C$4&lt;&gt;"?",'Choix pédagogiques'!$C$5&lt;&gt;"?",W542&lt;&gt;""),(W542-'Choix pédagogiques'!$C$4)/('Choix pédagogiques'!$C$5-'Choix pédagogiques'!$C$4),"")</f>
        <v/>
      </c>
      <c r="AS542" s="49" t="str">
        <f>IF(AND('Choix pédagogiques'!$C$4&lt;&gt;"?",'Choix pédagogiques'!$C$5&lt;&gt;"?",X542&lt;&gt;""),(X542-'Choix pédagogiques'!$C$4)/('Choix pédagogiques'!$C$5-'Choix pédagogiques'!$C$4),"")</f>
        <v/>
      </c>
      <c r="AT542" s="49" t="str">
        <f>IF(AND('Choix pédagogiques'!$C$4&lt;&gt;"?",'Choix pédagogiques'!$C$5&lt;&gt;"?",Y542&lt;&gt;""),(Y542-'Choix pédagogiques'!$C$4)/('Choix pédagogiques'!$C$5-'Choix pédagogiques'!$C$4),"")</f>
        <v/>
      </c>
      <c r="AU542" s="22" t="str">
        <f t="shared" si="406"/>
        <v/>
      </c>
      <c r="AV542" s="21" t="str">
        <f t="shared" si="407"/>
        <v>Apprenant 530 ou 530'</v>
      </c>
      <c r="AW542" s="49" t="str">
        <f>IF(AND('Choix pédagogiques'!$C$4&lt;&gt;"?",'Choix pédagogiques'!$C$5&lt;&gt;"?",AB542&lt;&gt;""),(AB542-'Choix pédagogiques'!$C$4)/('Choix pédagogiques'!$C$5-'Choix pédagogiques'!$C$4),"")</f>
        <v/>
      </c>
      <c r="AX542" s="49" t="str">
        <f>IF(AND('Choix pédagogiques'!$C$4&lt;&gt;"?",'Choix pédagogiques'!$C$5&lt;&gt;"?",AC542&lt;&gt;""),(AC542-'Choix pédagogiques'!$C$4)/('Choix pédagogiques'!$C$5-'Choix pédagogiques'!$C$4),"")</f>
        <v/>
      </c>
      <c r="AY542" s="49" t="str">
        <f>IF(AND('Choix pédagogiques'!$C$4&lt;&gt;"?",'Choix pédagogiques'!$C$5&lt;&gt;"?",AD542&lt;&gt;""),(AD542-'Choix pédagogiques'!$C$4)/('Choix pédagogiques'!$C$5-'Choix pédagogiques'!$C$4),"")</f>
        <v/>
      </c>
      <c r="AZ542" s="22" t="str">
        <f t="shared" si="408"/>
        <v/>
      </c>
      <c r="BA542" s="21" t="str">
        <f t="shared" si="409"/>
        <v>Apprenant 530</v>
      </c>
      <c r="BB542" s="49" t="str">
        <f t="shared" si="381"/>
        <v/>
      </c>
      <c r="BC542" s="49" t="str">
        <f t="shared" si="382"/>
        <v/>
      </c>
      <c r="BD542" s="49" t="str">
        <f t="shared" si="383"/>
        <v/>
      </c>
      <c r="BE542" s="22" t="str">
        <f t="shared" si="410"/>
        <v/>
      </c>
      <c r="BF542" s="21" t="str">
        <f t="shared" si="411"/>
        <v>Apprenant 530 ou 530'</v>
      </c>
      <c r="BG542" s="49" t="str">
        <f t="shared" si="384"/>
        <v/>
      </c>
      <c r="BH542" s="49" t="str">
        <f t="shared" si="385"/>
        <v/>
      </c>
      <c r="BI542" s="49" t="str">
        <f t="shared" si="386"/>
        <v/>
      </c>
      <c r="BJ542" s="22" t="str">
        <f t="shared" si="412"/>
        <v/>
      </c>
      <c r="BL542" s="21"/>
      <c r="BM542" s="21" t="str">
        <f>IF(OR(COUNT(B542:D1541)=0,AND('Choix pédagogiques'!$C$3&lt;&gt;1,'Choix pédagogiques'!$C$3&lt;&gt;2)),"",IF(AND(OR('Choix pédagogiques'!$C$3=1,'Choix pédagogiques'!$C$3=2),$B542&lt;&gt;"",$C542&lt;&gt;"",$D542&lt;&gt;""),1,0))</f>
        <v/>
      </c>
      <c r="BN542" s="21" t="str">
        <f>IF(OR(COUNT(G542:I1541)=0,AND('Choix pédagogiques'!$C$3&lt;&gt;1,'Choix pédagogiques'!$C$3&lt;&gt;2)),"",IF(AND(OR('Choix pédagogiques'!$C$3=1,'Choix pédagogiques'!$C$3=2),AND($G542&lt;&gt;"",$H542&lt;&gt;"",$I542&lt;&gt;"")),1,0))</f>
        <v/>
      </c>
      <c r="BO542" s="21" t="str">
        <f>IF(OR(COUNT(B542:D1541)=0,COUNT(G542:I1541)=0,'Choix pédagogiques'!C$3&lt;&gt;3),"",IF(AND('Choix pédagogiques'!$C$3=3,$B542&lt;&gt;"",$C542&lt;&gt;"",$D542&lt;&gt;"",$G542&lt;&gt;"",$H542&lt;&gt;"",$I542&lt;&gt;""),1,0))</f>
        <v/>
      </c>
      <c r="BR542" s="21">
        <v>294</v>
      </c>
      <c r="BS542" s="21">
        <v>1274</v>
      </c>
      <c r="BT542"/>
    </row>
    <row r="543" spans="1:72" s="23" customFormat="1" ht="18" customHeight="1" x14ac:dyDescent="0.3">
      <c r="A543" s="35" t="s">
        <v>533</v>
      </c>
      <c r="B543" s="37"/>
      <c r="C543" s="37"/>
      <c r="D543" s="37"/>
      <c r="E543" s="37"/>
      <c r="F543" s="35" t="s">
        <v>1541</v>
      </c>
      <c r="G543" s="37"/>
      <c r="H543" s="37"/>
      <c r="I543" s="37"/>
      <c r="J543" s="37"/>
      <c r="K543" s="21" t="str">
        <f t="shared" si="387"/>
        <v>Apprenant 531</v>
      </c>
      <c r="L543" s="22" t="str">
        <f t="shared" si="388"/>
        <v/>
      </c>
      <c r="M543" s="22" t="str">
        <f t="shared" si="389"/>
        <v/>
      </c>
      <c r="N543" s="22" t="str">
        <f t="shared" si="390"/>
        <v/>
      </c>
      <c r="O543" s="22" t="str">
        <f t="shared" si="391"/>
        <v/>
      </c>
      <c r="P543" s="21" t="str">
        <f t="shared" si="392"/>
        <v>Apprenant 531 ou 531'</v>
      </c>
      <c r="Q543" s="22" t="str">
        <f t="shared" si="393"/>
        <v/>
      </c>
      <c r="R543" s="22" t="str">
        <f t="shared" si="394"/>
        <v/>
      </c>
      <c r="S543" s="22" t="str">
        <f t="shared" si="395"/>
        <v/>
      </c>
      <c r="T543" s="22" t="str">
        <f t="shared" si="396"/>
        <v/>
      </c>
      <c r="V543" s="21" t="str">
        <f t="shared" si="397"/>
        <v>Apprenant 531</v>
      </c>
      <c r="W543" s="22" t="str">
        <f>IF(AND(OR('Choix pédagogiques'!$C$3=1,'Choix pédagogiques'!$C$3=2),$BM543=1),B543,IF(AND('Choix pédagogiques'!$C$3=3,$BO543=1),B543,""))</f>
        <v/>
      </c>
      <c r="X543" s="22" t="str">
        <f>IF(AND(OR('Choix pédagogiques'!$C$3=1,'Choix pédagogiques'!$C$3=2),$BM543=1),C543,IF(AND('Choix pédagogiques'!$C$3=3,$BO543=1),C543,""))</f>
        <v/>
      </c>
      <c r="Y543" s="22" t="str">
        <f>IF(AND(OR('Choix pédagogiques'!$C$3=1,'Choix pédagogiques'!$C$3=2),$BM543=1),D543,IF(AND('Choix pédagogiques'!$C$3=3,$BO543=1),D543,""))</f>
        <v/>
      </c>
      <c r="Z543" s="22" t="str">
        <f t="shared" si="398"/>
        <v/>
      </c>
      <c r="AA543" s="21" t="str">
        <f t="shared" si="399"/>
        <v>Apprenant 531 ou 531'</v>
      </c>
      <c r="AB543" s="22" t="str">
        <f>IF(AND(OR('Choix pédagogiques'!$C$3=1,'Choix pédagogiques'!$C$3=2),$BN543=1),G543,IF(AND('Choix pédagogiques'!$C$3=3,$BO543=1),G543,""))</f>
        <v/>
      </c>
      <c r="AC543" s="22" t="str">
        <f>IF(AND(OR('Choix pédagogiques'!$C$3=1,'Choix pédagogiques'!$C$3=2),$BN543=1),H543,IF(AND('Choix pédagogiques'!$C$3=3,$BO543=1),H543,""))</f>
        <v/>
      </c>
      <c r="AD543" s="22" t="str">
        <f>IF(AND(OR('Choix pédagogiques'!$C$3=1,'Choix pédagogiques'!$C$3=2),$BN543=1),I543,IF(AND('Choix pédagogiques'!$C$3=3,$BO543=1),I543,""))</f>
        <v/>
      </c>
      <c r="AE543" s="22" t="str">
        <f t="shared" si="400"/>
        <v/>
      </c>
      <c r="AF543" s="21" t="str">
        <f t="shared" si="401"/>
        <v>Apprenant 531</v>
      </c>
      <c r="AG543" s="22" t="str">
        <f t="shared" si="375"/>
        <v/>
      </c>
      <c r="AH543" s="22" t="str">
        <f t="shared" si="376"/>
        <v/>
      </c>
      <c r="AI543" s="22" t="str">
        <f t="shared" si="377"/>
        <v/>
      </c>
      <c r="AJ543" s="22" t="str">
        <f t="shared" si="402"/>
        <v/>
      </c>
      <c r="AK543" s="21" t="str">
        <f t="shared" si="403"/>
        <v>Apprenant 531 ou 531'</v>
      </c>
      <c r="AL543" s="22" t="str">
        <f t="shared" si="378"/>
        <v/>
      </c>
      <c r="AM543" s="22" t="str">
        <f t="shared" si="379"/>
        <v/>
      </c>
      <c r="AN543" s="22" t="str">
        <f t="shared" si="380"/>
        <v/>
      </c>
      <c r="AO543" s="22" t="str">
        <f t="shared" si="404"/>
        <v/>
      </c>
      <c r="AQ543" s="21" t="str">
        <f t="shared" si="405"/>
        <v>Apprenant 531</v>
      </c>
      <c r="AR543" s="49" t="str">
        <f>IF(AND('Choix pédagogiques'!$C$4&lt;&gt;"?",'Choix pédagogiques'!$C$5&lt;&gt;"?",W543&lt;&gt;""),(W543-'Choix pédagogiques'!$C$4)/('Choix pédagogiques'!$C$5-'Choix pédagogiques'!$C$4),"")</f>
        <v/>
      </c>
      <c r="AS543" s="49" t="str">
        <f>IF(AND('Choix pédagogiques'!$C$4&lt;&gt;"?",'Choix pédagogiques'!$C$5&lt;&gt;"?",X543&lt;&gt;""),(X543-'Choix pédagogiques'!$C$4)/('Choix pédagogiques'!$C$5-'Choix pédagogiques'!$C$4),"")</f>
        <v/>
      </c>
      <c r="AT543" s="49" t="str">
        <f>IF(AND('Choix pédagogiques'!$C$4&lt;&gt;"?",'Choix pédagogiques'!$C$5&lt;&gt;"?",Y543&lt;&gt;""),(Y543-'Choix pédagogiques'!$C$4)/('Choix pédagogiques'!$C$5-'Choix pédagogiques'!$C$4),"")</f>
        <v/>
      </c>
      <c r="AU543" s="22" t="str">
        <f t="shared" si="406"/>
        <v/>
      </c>
      <c r="AV543" s="21" t="str">
        <f t="shared" si="407"/>
        <v>Apprenant 531 ou 531'</v>
      </c>
      <c r="AW543" s="49" t="str">
        <f>IF(AND('Choix pédagogiques'!$C$4&lt;&gt;"?",'Choix pédagogiques'!$C$5&lt;&gt;"?",AB543&lt;&gt;""),(AB543-'Choix pédagogiques'!$C$4)/('Choix pédagogiques'!$C$5-'Choix pédagogiques'!$C$4),"")</f>
        <v/>
      </c>
      <c r="AX543" s="49" t="str">
        <f>IF(AND('Choix pédagogiques'!$C$4&lt;&gt;"?",'Choix pédagogiques'!$C$5&lt;&gt;"?",AC543&lt;&gt;""),(AC543-'Choix pédagogiques'!$C$4)/('Choix pédagogiques'!$C$5-'Choix pédagogiques'!$C$4),"")</f>
        <v/>
      </c>
      <c r="AY543" s="49" t="str">
        <f>IF(AND('Choix pédagogiques'!$C$4&lt;&gt;"?",'Choix pédagogiques'!$C$5&lt;&gt;"?",AD543&lt;&gt;""),(AD543-'Choix pédagogiques'!$C$4)/('Choix pédagogiques'!$C$5-'Choix pédagogiques'!$C$4),"")</f>
        <v/>
      </c>
      <c r="AZ543" s="22" t="str">
        <f t="shared" si="408"/>
        <v/>
      </c>
      <c r="BA543" s="21" t="str">
        <f t="shared" si="409"/>
        <v>Apprenant 531</v>
      </c>
      <c r="BB543" s="49" t="str">
        <f t="shared" si="381"/>
        <v/>
      </c>
      <c r="BC543" s="49" t="str">
        <f t="shared" si="382"/>
        <v/>
      </c>
      <c r="BD543" s="49" t="str">
        <f t="shared" si="383"/>
        <v/>
      </c>
      <c r="BE543" s="22" t="str">
        <f t="shared" si="410"/>
        <v/>
      </c>
      <c r="BF543" s="21" t="str">
        <f t="shared" si="411"/>
        <v>Apprenant 531 ou 531'</v>
      </c>
      <c r="BG543" s="49" t="str">
        <f t="shared" si="384"/>
        <v/>
      </c>
      <c r="BH543" s="49" t="str">
        <f t="shared" si="385"/>
        <v/>
      </c>
      <c r="BI543" s="49" t="str">
        <f t="shared" si="386"/>
        <v/>
      </c>
      <c r="BJ543" s="22" t="str">
        <f t="shared" si="412"/>
        <v/>
      </c>
      <c r="BL543" s="21"/>
      <c r="BM543" s="21" t="str">
        <f>IF(OR(COUNT(B543:D1542)=0,AND('Choix pédagogiques'!$C$3&lt;&gt;1,'Choix pédagogiques'!$C$3&lt;&gt;2)),"",IF(AND(OR('Choix pédagogiques'!$C$3=1,'Choix pédagogiques'!$C$3=2),$B543&lt;&gt;"",$C543&lt;&gt;"",$D543&lt;&gt;""),1,0))</f>
        <v/>
      </c>
      <c r="BN543" s="21" t="str">
        <f>IF(OR(COUNT(G543:I1542)=0,AND('Choix pédagogiques'!$C$3&lt;&gt;1,'Choix pédagogiques'!$C$3&lt;&gt;2)),"",IF(AND(OR('Choix pédagogiques'!$C$3=1,'Choix pédagogiques'!$C$3=2),AND($G543&lt;&gt;"",$H543&lt;&gt;"",$I543&lt;&gt;"")),1,0))</f>
        <v/>
      </c>
      <c r="BO543" s="21" t="str">
        <f>IF(OR(COUNT(B543:D1542)=0,COUNT(G543:I1542)=0,'Choix pédagogiques'!C$3&lt;&gt;3),"",IF(AND('Choix pédagogiques'!$C$3=3,$B543&lt;&gt;"",$C543&lt;&gt;"",$D543&lt;&gt;"",$G543&lt;&gt;"",$H543&lt;&gt;"",$I543&lt;&gt;""),1,0))</f>
        <v/>
      </c>
      <c r="BR543" s="21">
        <v>627</v>
      </c>
      <c r="BS543" s="21">
        <v>1028</v>
      </c>
      <c r="BT543"/>
    </row>
    <row r="544" spans="1:72" s="23" customFormat="1" ht="18" customHeight="1" x14ac:dyDescent="0.3">
      <c r="A544" s="35" t="s">
        <v>534</v>
      </c>
      <c r="B544" s="37"/>
      <c r="C544" s="37"/>
      <c r="D544" s="37"/>
      <c r="E544" s="37"/>
      <c r="F544" s="35" t="s">
        <v>1542</v>
      </c>
      <c r="G544" s="37"/>
      <c r="H544" s="37"/>
      <c r="I544" s="37"/>
      <c r="J544" s="37"/>
      <c r="K544" s="21" t="str">
        <f t="shared" si="387"/>
        <v>Apprenant 532</v>
      </c>
      <c r="L544" s="22" t="str">
        <f t="shared" si="388"/>
        <v/>
      </c>
      <c r="M544" s="22" t="str">
        <f t="shared" si="389"/>
        <v/>
      </c>
      <c r="N544" s="22" t="str">
        <f t="shared" si="390"/>
        <v/>
      </c>
      <c r="O544" s="22" t="str">
        <f t="shared" si="391"/>
        <v/>
      </c>
      <c r="P544" s="21" t="str">
        <f t="shared" si="392"/>
        <v>Apprenant 532 ou 532'</v>
      </c>
      <c r="Q544" s="22" t="str">
        <f t="shared" si="393"/>
        <v/>
      </c>
      <c r="R544" s="22" t="str">
        <f t="shared" si="394"/>
        <v/>
      </c>
      <c r="S544" s="22" t="str">
        <f t="shared" si="395"/>
        <v/>
      </c>
      <c r="T544" s="22" t="str">
        <f t="shared" si="396"/>
        <v/>
      </c>
      <c r="V544" s="21" t="str">
        <f t="shared" si="397"/>
        <v>Apprenant 532</v>
      </c>
      <c r="W544" s="22" t="str">
        <f>IF(AND(OR('Choix pédagogiques'!$C$3=1,'Choix pédagogiques'!$C$3=2),$BM544=1),B544,IF(AND('Choix pédagogiques'!$C$3=3,$BO544=1),B544,""))</f>
        <v/>
      </c>
      <c r="X544" s="22" t="str">
        <f>IF(AND(OR('Choix pédagogiques'!$C$3=1,'Choix pédagogiques'!$C$3=2),$BM544=1),C544,IF(AND('Choix pédagogiques'!$C$3=3,$BO544=1),C544,""))</f>
        <v/>
      </c>
      <c r="Y544" s="22" t="str">
        <f>IF(AND(OR('Choix pédagogiques'!$C$3=1,'Choix pédagogiques'!$C$3=2),$BM544=1),D544,IF(AND('Choix pédagogiques'!$C$3=3,$BO544=1),D544,""))</f>
        <v/>
      </c>
      <c r="Z544" s="22" t="str">
        <f t="shared" si="398"/>
        <v/>
      </c>
      <c r="AA544" s="21" t="str">
        <f t="shared" si="399"/>
        <v>Apprenant 532 ou 532'</v>
      </c>
      <c r="AB544" s="22" t="str">
        <f>IF(AND(OR('Choix pédagogiques'!$C$3=1,'Choix pédagogiques'!$C$3=2),$BN544=1),G544,IF(AND('Choix pédagogiques'!$C$3=3,$BO544=1),G544,""))</f>
        <v/>
      </c>
      <c r="AC544" s="22" t="str">
        <f>IF(AND(OR('Choix pédagogiques'!$C$3=1,'Choix pédagogiques'!$C$3=2),$BN544=1),H544,IF(AND('Choix pédagogiques'!$C$3=3,$BO544=1),H544,""))</f>
        <v/>
      </c>
      <c r="AD544" s="22" t="str">
        <f>IF(AND(OR('Choix pédagogiques'!$C$3=1,'Choix pédagogiques'!$C$3=2),$BN544=1),I544,IF(AND('Choix pédagogiques'!$C$3=3,$BO544=1),I544,""))</f>
        <v/>
      </c>
      <c r="AE544" s="22" t="str">
        <f t="shared" si="400"/>
        <v/>
      </c>
      <c r="AF544" s="21" t="str">
        <f t="shared" si="401"/>
        <v>Apprenant 532</v>
      </c>
      <c r="AG544" s="22" t="str">
        <f t="shared" si="375"/>
        <v/>
      </c>
      <c r="AH544" s="22" t="str">
        <f t="shared" si="376"/>
        <v/>
      </c>
      <c r="AI544" s="22" t="str">
        <f t="shared" si="377"/>
        <v/>
      </c>
      <c r="AJ544" s="22" t="str">
        <f t="shared" si="402"/>
        <v/>
      </c>
      <c r="AK544" s="21" t="str">
        <f t="shared" si="403"/>
        <v>Apprenant 532 ou 532'</v>
      </c>
      <c r="AL544" s="22" t="str">
        <f t="shared" si="378"/>
        <v/>
      </c>
      <c r="AM544" s="22" t="str">
        <f t="shared" si="379"/>
        <v/>
      </c>
      <c r="AN544" s="22" t="str">
        <f t="shared" si="380"/>
        <v/>
      </c>
      <c r="AO544" s="22" t="str">
        <f t="shared" si="404"/>
        <v/>
      </c>
      <c r="AQ544" s="21" t="str">
        <f t="shared" si="405"/>
        <v>Apprenant 532</v>
      </c>
      <c r="AR544" s="49" t="str">
        <f>IF(AND('Choix pédagogiques'!$C$4&lt;&gt;"?",'Choix pédagogiques'!$C$5&lt;&gt;"?",W544&lt;&gt;""),(W544-'Choix pédagogiques'!$C$4)/('Choix pédagogiques'!$C$5-'Choix pédagogiques'!$C$4),"")</f>
        <v/>
      </c>
      <c r="AS544" s="49" t="str">
        <f>IF(AND('Choix pédagogiques'!$C$4&lt;&gt;"?",'Choix pédagogiques'!$C$5&lt;&gt;"?",X544&lt;&gt;""),(X544-'Choix pédagogiques'!$C$4)/('Choix pédagogiques'!$C$5-'Choix pédagogiques'!$C$4),"")</f>
        <v/>
      </c>
      <c r="AT544" s="49" t="str">
        <f>IF(AND('Choix pédagogiques'!$C$4&lt;&gt;"?",'Choix pédagogiques'!$C$5&lt;&gt;"?",Y544&lt;&gt;""),(Y544-'Choix pédagogiques'!$C$4)/('Choix pédagogiques'!$C$5-'Choix pédagogiques'!$C$4),"")</f>
        <v/>
      </c>
      <c r="AU544" s="22" t="str">
        <f t="shared" si="406"/>
        <v/>
      </c>
      <c r="AV544" s="21" t="str">
        <f t="shared" si="407"/>
        <v>Apprenant 532 ou 532'</v>
      </c>
      <c r="AW544" s="49" t="str">
        <f>IF(AND('Choix pédagogiques'!$C$4&lt;&gt;"?",'Choix pédagogiques'!$C$5&lt;&gt;"?",AB544&lt;&gt;""),(AB544-'Choix pédagogiques'!$C$4)/('Choix pédagogiques'!$C$5-'Choix pédagogiques'!$C$4),"")</f>
        <v/>
      </c>
      <c r="AX544" s="49" t="str">
        <f>IF(AND('Choix pédagogiques'!$C$4&lt;&gt;"?",'Choix pédagogiques'!$C$5&lt;&gt;"?",AC544&lt;&gt;""),(AC544-'Choix pédagogiques'!$C$4)/('Choix pédagogiques'!$C$5-'Choix pédagogiques'!$C$4),"")</f>
        <v/>
      </c>
      <c r="AY544" s="49" t="str">
        <f>IF(AND('Choix pédagogiques'!$C$4&lt;&gt;"?",'Choix pédagogiques'!$C$5&lt;&gt;"?",AD544&lt;&gt;""),(AD544-'Choix pédagogiques'!$C$4)/('Choix pédagogiques'!$C$5-'Choix pédagogiques'!$C$4),"")</f>
        <v/>
      </c>
      <c r="AZ544" s="22" t="str">
        <f t="shared" si="408"/>
        <v/>
      </c>
      <c r="BA544" s="21" t="str">
        <f t="shared" si="409"/>
        <v>Apprenant 532</v>
      </c>
      <c r="BB544" s="49" t="str">
        <f t="shared" si="381"/>
        <v/>
      </c>
      <c r="BC544" s="49" t="str">
        <f t="shared" si="382"/>
        <v/>
      </c>
      <c r="BD544" s="49" t="str">
        <f t="shared" si="383"/>
        <v/>
      </c>
      <c r="BE544" s="22" t="str">
        <f t="shared" si="410"/>
        <v/>
      </c>
      <c r="BF544" s="21" t="str">
        <f t="shared" si="411"/>
        <v>Apprenant 532 ou 532'</v>
      </c>
      <c r="BG544" s="49" t="str">
        <f t="shared" si="384"/>
        <v/>
      </c>
      <c r="BH544" s="49" t="str">
        <f t="shared" si="385"/>
        <v/>
      </c>
      <c r="BI544" s="49" t="str">
        <f t="shared" si="386"/>
        <v/>
      </c>
      <c r="BJ544" s="22" t="str">
        <f t="shared" si="412"/>
        <v/>
      </c>
      <c r="BL544" s="21"/>
      <c r="BM544" s="21" t="str">
        <f>IF(OR(COUNT(B544:D1543)=0,AND('Choix pédagogiques'!$C$3&lt;&gt;1,'Choix pédagogiques'!$C$3&lt;&gt;2)),"",IF(AND(OR('Choix pédagogiques'!$C$3=1,'Choix pédagogiques'!$C$3=2),$B544&lt;&gt;"",$C544&lt;&gt;"",$D544&lt;&gt;""),1,0))</f>
        <v/>
      </c>
      <c r="BN544" s="21" t="str">
        <f>IF(OR(COUNT(G544:I1543)=0,AND('Choix pédagogiques'!$C$3&lt;&gt;1,'Choix pédagogiques'!$C$3&lt;&gt;2)),"",IF(AND(OR('Choix pédagogiques'!$C$3=1,'Choix pédagogiques'!$C$3=2),AND($G544&lt;&gt;"",$H544&lt;&gt;"",$I544&lt;&gt;"")),1,0))</f>
        <v/>
      </c>
      <c r="BO544" s="21" t="str">
        <f>IF(OR(COUNT(B544:D1543)=0,COUNT(G544:I1543)=0,'Choix pédagogiques'!C$3&lt;&gt;3),"",IF(AND('Choix pédagogiques'!$C$3=3,$B544&lt;&gt;"",$C544&lt;&gt;"",$D544&lt;&gt;"",$G544&lt;&gt;"",$H544&lt;&gt;"",$I544&lt;&gt;""),1,0))</f>
        <v/>
      </c>
      <c r="BR544" s="21">
        <v>416</v>
      </c>
      <c r="BS544" s="21">
        <v>1958</v>
      </c>
      <c r="BT544"/>
    </row>
    <row r="545" spans="1:72" s="23" customFormat="1" ht="18" customHeight="1" x14ac:dyDescent="0.3">
      <c r="A545" s="35" t="s">
        <v>535</v>
      </c>
      <c r="B545" s="37"/>
      <c r="C545" s="37"/>
      <c r="D545" s="37"/>
      <c r="E545" s="37"/>
      <c r="F545" s="35" t="s">
        <v>1543</v>
      </c>
      <c r="G545" s="37"/>
      <c r="H545" s="37"/>
      <c r="I545" s="37"/>
      <c r="J545" s="37"/>
      <c r="K545" s="21" t="str">
        <f t="shared" si="387"/>
        <v>Apprenant 533</v>
      </c>
      <c r="L545" s="22" t="str">
        <f t="shared" si="388"/>
        <v/>
      </c>
      <c r="M545" s="22" t="str">
        <f t="shared" si="389"/>
        <v/>
      </c>
      <c r="N545" s="22" t="str">
        <f t="shared" si="390"/>
        <v/>
      </c>
      <c r="O545" s="22" t="str">
        <f t="shared" si="391"/>
        <v/>
      </c>
      <c r="P545" s="21" t="str">
        <f t="shared" si="392"/>
        <v>Apprenant 533 ou 533'</v>
      </c>
      <c r="Q545" s="22" t="str">
        <f t="shared" si="393"/>
        <v/>
      </c>
      <c r="R545" s="22" t="str">
        <f t="shared" si="394"/>
        <v/>
      </c>
      <c r="S545" s="22" t="str">
        <f t="shared" si="395"/>
        <v/>
      </c>
      <c r="T545" s="22" t="str">
        <f t="shared" si="396"/>
        <v/>
      </c>
      <c r="V545" s="21" t="str">
        <f t="shared" si="397"/>
        <v>Apprenant 533</v>
      </c>
      <c r="W545" s="22" t="str">
        <f>IF(AND(OR('Choix pédagogiques'!$C$3=1,'Choix pédagogiques'!$C$3=2),$BM545=1),B545,IF(AND('Choix pédagogiques'!$C$3=3,$BO545=1),B545,""))</f>
        <v/>
      </c>
      <c r="X545" s="22" t="str">
        <f>IF(AND(OR('Choix pédagogiques'!$C$3=1,'Choix pédagogiques'!$C$3=2),$BM545=1),C545,IF(AND('Choix pédagogiques'!$C$3=3,$BO545=1),C545,""))</f>
        <v/>
      </c>
      <c r="Y545" s="22" t="str">
        <f>IF(AND(OR('Choix pédagogiques'!$C$3=1,'Choix pédagogiques'!$C$3=2),$BM545=1),D545,IF(AND('Choix pédagogiques'!$C$3=3,$BO545=1),D545,""))</f>
        <v/>
      </c>
      <c r="Z545" s="22" t="str">
        <f t="shared" si="398"/>
        <v/>
      </c>
      <c r="AA545" s="21" t="str">
        <f t="shared" si="399"/>
        <v>Apprenant 533 ou 533'</v>
      </c>
      <c r="AB545" s="22" t="str">
        <f>IF(AND(OR('Choix pédagogiques'!$C$3=1,'Choix pédagogiques'!$C$3=2),$BN545=1),G545,IF(AND('Choix pédagogiques'!$C$3=3,$BO545=1),G545,""))</f>
        <v/>
      </c>
      <c r="AC545" s="22" t="str">
        <f>IF(AND(OR('Choix pédagogiques'!$C$3=1,'Choix pédagogiques'!$C$3=2),$BN545=1),H545,IF(AND('Choix pédagogiques'!$C$3=3,$BO545=1),H545,""))</f>
        <v/>
      </c>
      <c r="AD545" s="22" t="str">
        <f>IF(AND(OR('Choix pédagogiques'!$C$3=1,'Choix pédagogiques'!$C$3=2),$BN545=1),I545,IF(AND('Choix pédagogiques'!$C$3=3,$BO545=1),I545,""))</f>
        <v/>
      </c>
      <c r="AE545" s="22" t="str">
        <f t="shared" si="400"/>
        <v/>
      </c>
      <c r="AF545" s="21" t="str">
        <f t="shared" si="401"/>
        <v>Apprenant 533</v>
      </c>
      <c r="AG545" s="22" t="str">
        <f t="shared" si="375"/>
        <v/>
      </c>
      <c r="AH545" s="22" t="str">
        <f t="shared" si="376"/>
        <v/>
      </c>
      <c r="AI545" s="22" t="str">
        <f t="shared" si="377"/>
        <v/>
      </c>
      <c r="AJ545" s="22" t="str">
        <f t="shared" si="402"/>
        <v/>
      </c>
      <c r="AK545" s="21" t="str">
        <f t="shared" si="403"/>
        <v>Apprenant 533 ou 533'</v>
      </c>
      <c r="AL545" s="22" t="str">
        <f t="shared" si="378"/>
        <v/>
      </c>
      <c r="AM545" s="22" t="str">
        <f t="shared" si="379"/>
        <v/>
      </c>
      <c r="AN545" s="22" t="str">
        <f t="shared" si="380"/>
        <v/>
      </c>
      <c r="AO545" s="22" t="str">
        <f t="shared" si="404"/>
        <v/>
      </c>
      <c r="AQ545" s="21" t="str">
        <f t="shared" si="405"/>
        <v>Apprenant 533</v>
      </c>
      <c r="AR545" s="49" t="str">
        <f>IF(AND('Choix pédagogiques'!$C$4&lt;&gt;"?",'Choix pédagogiques'!$C$5&lt;&gt;"?",W545&lt;&gt;""),(W545-'Choix pédagogiques'!$C$4)/('Choix pédagogiques'!$C$5-'Choix pédagogiques'!$C$4),"")</f>
        <v/>
      </c>
      <c r="AS545" s="49" t="str">
        <f>IF(AND('Choix pédagogiques'!$C$4&lt;&gt;"?",'Choix pédagogiques'!$C$5&lt;&gt;"?",X545&lt;&gt;""),(X545-'Choix pédagogiques'!$C$4)/('Choix pédagogiques'!$C$5-'Choix pédagogiques'!$C$4),"")</f>
        <v/>
      </c>
      <c r="AT545" s="49" t="str">
        <f>IF(AND('Choix pédagogiques'!$C$4&lt;&gt;"?",'Choix pédagogiques'!$C$5&lt;&gt;"?",Y545&lt;&gt;""),(Y545-'Choix pédagogiques'!$C$4)/('Choix pédagogiques'!$C$5-'Choix pédagogiques'!$C$4),"")</f>
        <v/>
      </c>
      <c r="AU545" s="22" t="str">
        <f t="shared" si="406"/>
        <v/>
      </c>
      <c r="AV545" s="21" t="str">
        <f t="shared" si="407"/>
        <v>Apprenant 533 ou 533'</v>
      </c>
      <c r="AW545" s="49" t="str">
        <f>IF(AND('Choix pédagogiques'!$C$4&lt;&gt;"?",'Choix pédagogiques'!$C$5&lt;&gt;"?",AB545&lt;&gt;""),(AB545-'Choix pédagogiques'!$C$4)/('Choix pédagogiques'!$C$5-'Choix pédagogiques'!$C$4),"")</f>
        <v/>
      </c>
      <c r="AX545" s="49" t="str">
        <f>IF(AND('Choix pédagogiques'!$C$4&lt;&gt;"?",'Choix pédagogiques'!$C$5&lt;&gt;"?",AC545&lt;&gt;""),(AC545-'Choix pédagogiques'!$C$4)/('Choix pédagogiques'!$C$5-'Choix pédagogiques'!$C$4),"")</f>
        <v/>
      </c>
      <c r="AY545" s="49" t="str">
        <f>IF(AND('Choix pédagogiques'!$C$4&lt;&gt;"?",'Choix pédagogiques'!$C$5&lt;&gt;"?",AD545&lt;&gt;""),(AD545-'Choix pédagogiques'!$C$4)/('Choix pédagogiques'!$C$5-'Choix pédagogiques'!$C$4),"")</f>
        <v/>
      </c>
      <c r="AZ545" s="22" t="str">
        <f t="shared" si="408"/>
        <v/>
      </c>
      <c r="BA545" s="21" t="str">
        <f t="shared" si="409"/>
        <v>Apprenant 533</v>
      </c>
      <c r="BB545" s="49" t="str">
        <f t="shared" si="381"/>
        <v/>
      </c>
      <c r="BC545" s="49" t="str">
        <f t="shared" si="382"/>
        <v/>
      </c>
      <c r="BD545" s="49" t="str">
        <f t="shared" si="383"/>
        <v/>
      </c>
      <c r="BE545" s="22" t="str">
        <f t="shared" si="410"/>
        <v/>
      </c>
      <c r="BF545" s="21" t="str">
        <f t="shared" si="411"/>
        <v>Apprenant 533 ou 533'</v>
      </c>
      <c r="BG545" s="49" t="str">
        <f t="shared" si="384"/>
        <v/>
      </c>
      <c r="BH545" s="49" t="str">
        <f t="shared" si="385"/>
        <v/>
      </c>
      <c r="BI545" s="49" t="str">
        <f t="shared" si="386"/>
        <v/>
      </c>
      <c r="BJ545" s="22" t="str">
        <f t="shared" si="412"/>
        <v/>
      </c>
      <c r="BL545" s="21"/>
      <c r="BM545" s="21" t="str">
        <f>IF(OR(COUNT(B545:D1544)=0,AND('Choix pédagogiques'!$C$3&lt;&gt;1,'Choix pédagogiques'!$C$3&lt;&gt;2)),"",IF(AND(OR('Choix pédagogiques'!$C$3=1,'Choix pédagogiques'!$C$3=2),$B545&lt;&gt;"",$C545&lt;&gt;"",$D545&lt;&gt;""),1,0))</f>
        <v/>
      </c>
      <c r="BN545" s="21" t="str">
        <f>IF(OR(COUNT(G545:I1544)=0,AND('Choix pédagogiques'!$C$3&lt;&gt;1,'Choix pédagogiques'!$C$3&lt;&gt;2)),"",IF(AND(OR('Choix pédagogiques'!$C$3=1,'Choix pédagogiques'!$C$3=2),AND($G545&lt;&gt;"",$H545&lt;&gt;"",$I545&lt;&gt;"")),1,0))</f>
        <v/>
      </c>
      <c r="BO545" s="21" t="str">
        <f>IF(OR(COUNT(B545:D1544)=0,COUNT(G545:I1544)=0,'Choix pédagogiques'!C$3&lt;&gt;3),"",IF(AND('Choix pédagogiques'!$C$3=3,$B545&lt;&gt;"",$C545&lt;&gt;"",$D545&lt;&gt;"",$G545&lt;&gt;"",$H545&lt;&gt;"",$I545&lt;&gt;""),1,0))</f>
        <v/>
      </c>
      <c r="BR545" s="21">
        <v>606</v>
      </c>
      <c r="BS545" s="21">
        <v>1014</v>
      </c>
      <c r="BT545"/>
    </row>
    <row r="546" spans="1:72" s="23" customFormat="1" ht="18" customHeight="1" x14ac:dyDescent="0.3">
      <c r="A546" s="35" t="s">
        <v>536</v>
      </c>
      <c r="B546" s="37"/>
      <c r="C546" s="37"/>
      <c r="D546" s="37"/>
      <c r="E546" s="37"/>
      <c r="F546" s="35" t="s">
        <v>1544</v>
      </c>
      <c r="G546" s="37"/>
      <c r="H546" s="37"/>
      <c r="I546" s="37"/>
      <c r="J546" s="37"/>
      <c r="K546" s="21" t="str">
        <f t="shared" si="387"/>
        <v>Apprenant 534</v>
      </c>
      <c r="L546" s="22" t="str">
        <f t="shared" si="388"/>
        <v/>
      </c>
      <c r="M546" s="22" t="str">
        <f t="shared" si="389"/>
        <v/>
      </c>
      <c r="N546" s="22" t="str">
        <f t="shared" si="390"/>
        <v/>
      </c>
      <c r="O546" s="22" t="str">
        <f t="shared" si="391"/>
        <v/>
      </c>
      <c r="P546" s="21" t="str">
        <f t="shared" si="392"/>
        <v>Apprenant 534 ou 534'</v>
      </c>
      <c r="Q546" s="22" t="str">
        <f t="shared" si="393"/>
        <v/>
      </c>
      <c r="R546" s="22" t="str">
        <f t="shared" si="394"/>
        <v/>
      </c>
      <c r="S546" s="22" t="str">
        <f t="shared" si="395"/>
        <v/>
      </c>
      <c r="T546" s="22" t="str">
        <f t="shared" si="396"/>
        <v/>
      </c>
      <c r="V546" s="21" t="str">
        <f t="shared" si="397"/>
        <v>Apprenant 534</v>
      </c>
      <c r="W546" s="22" t="str">
        <f>IF(AND(OR('Choix pédagogiques'!$C$3=1,'Choix pédagogiques'!$C$3=2),$BM546=1),B546,IF(AND('Choix pédagogiques'!$C$3=3,$BO546=1),B546,""))</f>
        <v/>
      </c>
      <c r="X546" s="22" t="str">
        <f>IF(AND(OR('Choix pédagogiques'!$C$3=1,'Choix pédagogiques'!$C$3=2),$BM546=1),C546,IF(AND('Choix pédagogiques'!$C$3=3,$BO546=1),C546,""))</f>
        <v/>
      </c>
      <c r="Y546" s="22" t="str">
        <f>IF(AND(OR('Choix pédagogiques'!$C$3=1,'Choix pédagogiques'!$C$3=2),$BM546=1),D546,IF(AND('Choix pédagogiques'!$C$3=3,$BO546=1),D546,""))</f>
        <v/>
      </c>
      <c r="Z546" s="22" t="str">
        <f t="shared" si="398"/>
        <v/>
      </c>
      <c r="AA546" s="21" t="str">
        <f t="shared" si="399"/>
        <v>Apprenant 534 ou 534'</v>
      </c>
      <c r="AB546" s="22" t="str">
        <f>IF(AND(OR('Choix pédagogiques'!$C$3=1,'Choix pédagogiques'!$C$3=2),$BN546=1),G546,IF(AND('Choix pédagogiques'!$C$3=3,$BO546=1),G546,""))</f>
        <v/>
      </c>
      <c r="AC546" s="22" t="str">
        <f>IF(AND(OR('Choix pédagogiques'!$C$3=1,'Choix pédagogiques'!$C$3=2),$BN546=1),H546,IF(AND('Choix pédagogiques'!$C$3=3,$BO546=1),H546,""))</f>
        <v/>
      </c>
      <c r="AD546" s="22" t="str">
        <f>IF(AND(OR('Choix pédagogiques'!$C$3=1,'Choix pédagogiques'!$C$3=2),$BN546=1),I546,IF(AND('Choix pédagogiques'!$C$3=3,$BO546=1),I546,""))</f>
        <v/>
      </c>
      <c r="AE546" s="22" t="str">
        <f t="shared" si="400"/>
        <v/>
      </c>
      <c r="AF546" s="21" t="str">
        <f t="shared" si="401"/>
        <v>Apprenant 534</v>
      </c>
      <c r="AG546" s="22" t="str">
        <f t="shared" si="375"/>
        <v/>
      </c>
      <c r="AH546" s="22" t="str">
        <f t="shared" si="376"/>
        <v/>
      </c>
      <c r="AI546" s="22" t="str">
        <f t="shared" si="377"/>
        <v/>
      </c>
      <c r="AJ546" s="22" t="str">
        <f t="shared" si="402"/>
        <v/>
      </c>
      <c r="AK546" s="21" t="str">
        <f t="shared" si="403"/>
        <v>Apprenant 534 ou 534'</v>
      </c>
      <c r="AL546" s="22" t="str">
        <f t="shared" si="378"/>
        <v/>
      </c>
      <c r="AM546" s="22" t="str">
        <f t="shared" si="379"/>
        <v/>
      </c>
      <c r="AN546" s="22" t="str">
        <f t="shared" si="380"/>
        <v/>
      </c>
      <c r="AO546" s="22" t="str">
        <f t="shared" si="404"/>
        <v/>
      </c>
      <c r="AQ546" s="21" t="str">
        <f t="shared" si="405"/>
        <v>Apprenant 534</v>
      </c>
      <c r="AR546" s="49" t="str">
        <f>IF(AND('Choix pédagogiques'!$C$4&lt;&gt;"?",'Choix pédagogiques'!$C$5&lt;&gt;"?",W546&lt;&gt;""),(W546-'Choix pédagogiques'!$C$4)/('Choix pédagogiques'!$C$5-'Choix pédagogiques'!$C$4),"")</f>
        <v/>
      </c>
      <c r="AS546" s="49" t="str">
        <f>IF(AND('Choix pédagogiques'!$C$4&lt;&gt;"?",'Choix pédagogiques'!$C$5&lt;&gt;"?",X546&lt;&gt;""),(X546-'Choix pédagogiques'!$C$4)/('Choix pédagogiques'!$C$5-'Choix pédagogiques'!$C$4),"")</f>
        <v/>
      </c>
      <c r="AT546" s="49" t="str">
        <f>IF(AND('Choix pédagogiques'!$C$4&lt;&gt;"?",'Choix pédagogiques'!$C$5&lt;&gt;"?",Y546&lt;&gt;""),(Y546-'Choix pédagogiques'!$C$4)/('Choix pédagogiques'!$C$5-'Choix pédagogiques'!$C$4),"")</f>
        <v/>
      </c>
      <c r="AU546" s="22" t="str">
        <f t="shared" si="406"/>
        <v/>
      </c>
      <c r="AV546" s="21" t="str">
        <f t="shared" si="407"/>
        <v>Apprenant 534 ou 534'</v>
      </c>
      <c r="AW546" s="49" t="str">
        <f>IF(AND('Choix pédagogiques'!$C$4&lt;&gt;"?",'Choix pédagogiques'!$C$5&lt;&gt;"?",AB546&lt;&gt;""),(AB546-'Choix pédagogiques'!$C$4)/('Choix pédagogiques'!$C$5-'Choix pédagogiques'!$C$4),"")</f>
        <v/>
      </c>
      <c r="AX546" s="49" t="str">
        <f>IF(AND('Choix pédagogiques'!$C$4&lt;&gt;"?",'Choix pédagogiques'!$C$5&lt;&gt;"?",AC546&lt;&gt;""),(AC546-'Choix pédagogiques'!$C$4)/('Choix pédagogiques'!$C$5-'Choix pédagogiques'!$C$4),"")</f>
        <v/>
      </c>
      <c r="AY546" s="49" t="str">
        <f>IF(AND('Choix pédagogiques'!$C$4&lt;&gt;"?",'Choix pédagogiques'!$C$5&lt;&gt;"?",AD546&lt;&gt;""),(AD546-'Choix pédagogiques'!$C$4)/('Choix pédagogiques'!$C$5-'Choix pédagogiques'!$C$4),"")</f>
        <v/>
      </c>
      <c r="AZ546" s="22" t="str">
        <f t="shared" si="408"/>
        <v/>
      </c>
      <c r="BA546" s="21" t="str">
        <f t="shared" si="409"/>
        <v>Apprenant 534</v>
      </c>
      <c r="BB546" s="49" t="str">
        <f t="shared" si="381"/>
        <v/>
      </c>
      <c r="BC546" s="49" t="str">
        <f t="shared" si="382"/>
        <v/>
      </c>
      <c r="BD546" s="49" t="str">
        <f t="shared" si="383"/>
        <v/>
      </c>
      <c r="BE546" s="22" t="str">
        <f t="shared" si="410"/>
        <v/>
      </c>
      <c r="BF546" s="21" t="str">
        <f t="shared" si="411"/>
        <v>Apprenant 534 ou 534'</v>
      </c>
      <c r="BG546" s="49" t="str">
        <f t="shared" si="384"/>
        <v/>
      </c>
      <c r="BH546" s="49" t="str">
        <f t="shared" si="385"/>
        <v/>
      </c>
      <c r="BI546" s="49" t="str">
        <f t="shared" si="386"/>
        <v/>
      </c>
      <c r="BJ546" s="22" t="str">
        <f t="shared" si="412"/>
        <v/>
      </c>
      <c r="BL546" s="21"/>
      <c r="BM546" s="21" t="str">
        <f>IF(OR(COUNT(B546:D1545)=0,AND('Choix pédagogiques'!$C$3&lt;&gt;1,'Choix pédagogiques'!$C$3&lt;&gt;2)),"",IF(AND(OR('Choix pédagogiques'!$C$3=1,'Choix pédagogiques'!$C$3=2),$B546&lt;&gt;"",$C546&lt;&gt;"",$D546&lt;&gt;""),1,0))</f>
        <v/>
      </c>
      <c r="BN546" s="21" t="str">
        <f>IF(OR(COUNT(G546:I1545)=0,AND('Choix pédagogiques'!$C$3&lt;&gt;1,'Choix pédagogiques'!$C$3&lt;&gt;2)),"",IF(AND(OR('Choix pédagogiques'!$C$3=1,'Choix pédagogiques'!$C$3=2),AND($G546&lt;&gt;"",$H546&lt;&gt;"",$I546&lt;&gt;"")),1,0))</f>
        <v/>
      </c>
      <c r="BO546" s="21" t="str">
        <f>IF(OR(COUNT(B546:D1545)=0,COUNT(G546:I1545)=0,'Choix pédagogiques'!C$3&lt;&gt;3),"",IF(AND('Choix pédagogiques'!$C$3=3,$B546&lt;&gt;"",$C546&lt;&gt;"",$D546&lt;&gt;"",$G546&lt;&gt;"",$H546&lt;&gt;"",$I546&lt;&gt;""),1,0))</f>
        <v/>
      </c>
      <c r="BR546" s="21">
        <v>491</v>
      </c>
      <c r="BS546" s="21">
        <v>1709</v>
      </c>
      <c r="BT546"/>
    </row>
    <row r="547" spans="1:72" s="23" customFormat="1" ht="18" customHeight="1" x14ac:dyDescent="0.3">
      <c r="A547" s="35" t="s">
        <v>537</v>
      </c>
      <c r="B547" s="37"/>
      <c r="C547" s="37"/>
      <c r="D547" s="37"/>
      <c r="E547" s="37"/>
      <c r="F547" s="35" t="s">
        <v>1545</v>
      </c>
      <c r="G547" s="37"/>
      <c r="H547" s="37"/>
      <c r="I547" s="37"/>
      <c r="J547" s="37"/>
      <c r="K547" s="21" t="str">
        <f t="shared" si="387"/>
        <v>Apprenant 535</v>
      </c>
      <c r="L547" s="22" t="str">
        <f t="shared" si="388"/>
        <v/>
      </c>
      <c r="M547" s="22" t="str">
        <f t="shared" si="389"/>
        <v/>
      </c>
      <c r="N547" s="22" t="str">
        <f t="shared" si="390"/>
        <v/>
      </c>
      <c r="O547" s="22" t="str">
        <f t="shared" si="391"/>
        <v/>
      </c>
      <c r="P547" s="21" t="str">
        <f t="shared" si="392"/>
        <v>Apprenant 535 ou 535'</v>
      </c>
      <c r="Q547" s="22" t="str">
        <f t="shared" si="393"/>
        <v/>
      </c>
      <c r="R547" s="22" t="str">
        <f t="shared" si="394"/>
        <v/>
      </c>
      <c r="S547" s="22" t="str">
        <f t="shared" si="395"/>
        <v/>
      </c>
      <c r="T547" s="22" t="str">
        <f t="shared" si="396"/>
        <v/>
      </c>
      <c r="V547" s="21" t="str">
        <f t="shared" si="397"/>
        <v>Apprenant 535</v>
      </c>
      <c r="W547" s="22" t="str">
        <f>IF(AND(OR('Choix pédagogiques'!$C$3=1,'Choix pédagogiques'!$C$3=2),$BM547=1),B547,IF(AND('Choix pédagogiques'!$C$3=3,$BO547=1),B547,""))</f>
        <v/>
      </c>
      <c r="X547" s="22" t="str">
        <f>IF(AND(OR('Choix pédagogiques'!$C$3=1,'Choix pédagogiques'!$C$3=2),$BM547=1),C547,IF(AND('Choix pédagogiques'!$C$3=3,$BO547=1),C547,""))</f>
        <v/>
      </c>
      <c r="Y547" s="22" t="str">
        <f>IF(AND(OR('Choix pédagogiques'!$C$3=1,'Choix pédagogiques'!$C$3=2),$BM547=1),D547,IF(AND('Choix pédagogiques'!$C$3=3,$BO547=1),D547,""))</f>
        <v/>
      </c>
      <c r="Z547" s="22" t="str">
        <f t="shared" si="398"/>
        <v/>
      </c>
      <c r="AA547" s="21" t="str">
        <f t="shared" si="399"/>
        <v>Apprenant 535 ou 535'</v>
      </c>
      <c r="AB547" s="22" t="str">
        <f>IF(AND(OR('Choix pédagogiques'!$C$3=1,'Choix pédagogiques'!$C$3=2),$BN547=1),G547,IF(AND('Choix pédagogiques'!$C$3=3,$BO547=1),G547,""))</f>
        <v/>
      </c>
      <c r="AC547" s="22" t="str">
        <f>IF(AND(OR('Choix pédagogiques'!$C$3=1,'Choix pédagogiques'!$C$3=2),$BN547=1),H547,IF(AND('Choix pédagogiques'!$C$3=3,$BO547=1),H547,""))</f>
        <v/>
      </c>
      <c r="AD547" s="22" t="str">
        <f>IF(AND(OR('Choix pédagogiques'!$C$3=1,'Choix pédagogiques'!$C$3=2),$BN547=1),I547,IF(AND('Choix pédagogiques'!$C$3=3,$BO547=1),I547,""))</f>
        <v/>
      </c>
      <c r="AE547" s="22" t="str">
        <f t="shared" si="400"/>
        <v/>
      </c>
      <c r="AF547" s="21" t="str">
        <f t="shared" si="401"/>
        <v>Apprenant 535</v>
      </c>
      <c r="AG547" s="22" t="str">
        <f t="shared" si="375"/>
        <v/>
      </c>
      <c r="AH547" s="22" t="str">
        <f t="shared" si="376"/>
        <v/>
      </c>
      <c r="AI547" s="22" t="str">
        <f t="shared" si="377"/>
        <v/>
      </c>
      <c r="AJ547" s="22" t="str">
        <f t="shared" si="402"/>
        <v/>
      </c>
      <c r="AK547" s="21" t="str">
        <f t="shared" si="403"/>
        <v>Apprenant 535 ou 535'</v>
      </c>
      <c r="AL547" s="22" t="str">
        <f t="shared" si="378"/>
        <v/>
      </c>
      <c r="AM547" s="22" t="str">
        <f t="shared" si="379"/>
        <v/>
      </c>
      <c r="AN547" s="22" t="str">
        <f t="shared" si="380"/>
        <v/>
      </c>
      <c r="AO547" s="22" t="str">
        <f t="shared" si="404"/>
        <v/>
      </c>
      <c r="AQ547" s="21" t="str">
        <f t="shared" si="405"/>
        <v>Apprenant 535</v>
      </c>
      <c r="AR547" s="49" t="str">
        <f>IF(AND('Choix pédagogiques'!$C$4&lt;&gt;"?",'Choix pédagogiques'!$C$5&lt;&gt;"?",W547&lt;&gt;""),(W547-'Choix pédagogiques'!$C$4)/('Choix pédagogiques'!$C$5-'Choix pédagogiques'!$C$4),"")</f>
        <v/>
      </c>
      <c r="AS547" s="49" t="str">
        <f>IF(AND('Choix pédagogiques'!$C$4&lt;&gt;"?",'Choix pédagogiques'!$C$5&lt;&gt;"?",X547&lt;&gt;""),(X547-'Choix pédagogiques'!$C$4)/('Choix pédagogiques'!$C$5-'Choix pédagogiques'!$C$4),"")</f>
        <v/>
      </c>
      <c r="AT547" s="49" t="str">
        <f>IF(AND('Choix pédagogiques'!$C$4&lt;&gt;"?",'Choix pédagogiques'!$C$5&lt;&gt;"?",Y547&lt;&gt;""),(Y547-'Choix pédagogiques'!$C$4)/('Choix pédagogiques'!$C$5-'Choix pédagogiques'!$C$4),"")</f>
        <v/>
      </c>
      <c r="AU547" s="22" t="str">
        <f t="shared" si="406"/>
        <v/>
      </c>
      <c r="AV547" s="21" t="str">
        <f t="shared" si="407"/>
        <v>Apprenant 535 ou 535'</v>
      </c>
      <c r="AW547" s="49" t="str">
        <f>IF(AND('Choix pédagogiques'!$C$4&lt;&gt;"?",'Choix pédagogiques'!$C$5&lt;&gt;"?",AB547&lt;&gt;""),(AB547-'Choix pédagogiques'!$C$4)/('Choix pédagogiques'!$C$5-'Choix pédagogiques'!$C$4),"")</f>
        <v/>
      </c>
      <c r="AX547" s="49" t="str">
        <f>IF(AND('Choix pédagogiques'!$C$4&lt;&gt;"?",'Choix pédagogiques'!$C$5&lt;&gt;"?",AC547&lt;&gt;""),(AC547-'Choix pédagogiques'!$C$4)/('Choix pédagogiques'!$C$5-'Choix pédagogiques'!$C$4),"")</f>
        <v/>
      </c>
      <c r="AY547" s="49" t="str">
        <f>IF(AND('Choix pédagogiques'!$C$4&lt;&gt;"?",'Choix pédagogiques'!$C$5&lt;&gt;"?",AD547&lt;&gt;""),(AD547-'Choix pédagogiques'!$C$4)/('Choix pédagogiques'!$C$5-'Choix pédagogiques'!$C$4),"")</f>
        <v/>
      </c>
      <c r="AZ547" s="22" t="str">
        <f t="shared" si="408"/>
        <v/>
      </c>
      <c r="BA547" s="21" t="str">
        <f t="shared" si="409"/>
        <v>Apprenant 535</v>
      </c>
      <c r="BB547" s="49" t="str">
        <f t="shared" si="381"/>
        <v/>
      </c>
      <c r="BC547" s="49" t="str">
        <f t="shared" si="382"/>
        <v/>
      </c>
      <c r="BD547" s="49" t="str">
        <f t="shared" si="383"/>
        <v/>
      </c>
      <c r="BE547" s="22" t="str">
        <f t="shared" si="410"/>
        <v/>
      </c>
      <c r="BF547" s="21" t="str">
        <f t="shared" si="411"/>
        <v>Apprenant 535 ou 535'</v>
      </c>
      <c r="BG547" s="49" t="str">
        <f t="shared" si="384"/>
        <v/>
      </c>
      <c r="BH547" s="49" t="str">
        <f t="shared" si="385"/>
        <v/>
      </c>
      <c r="BI547" s="49" t="str">
        <f t="shared" si="386"/>
        <v/>
      </c>
      <c r="BJ547" s="22" t="str">
        <f t="shared" si="412"/>
        <v/>
      </c>
      <c r="BL547" s="21"/>
      <c r="BM547" s="21" t="str">
        <f>IF(OR(COUNT(B547:D1546)=0,AND('Choix pédagogiques'!$C$3&lt;&gt;1,'Choix pédagogiques'!$C$3&lt;&gt;2)),"",IF(AND(OR('Choix pédagogiques'!$C$3=1,'Choix pédagogiques'!$C$3=2),$B547&lt;&gt;"",$C547&lt;&gt;"",$D547&lt;&gt;""),1,0))</f>
        <v/>
      </c>
      <c r="BN547" s="21" t="str">
        <f>IF(OR(COUNT(G547:I1546)=0,AND('Choix pédagogiques'!$C$3&lt;&gt;1,'Choix pédagogiques'!$C$3&lt;&gt;2)),"",IF(AND(OR('Choix pédagogiques'!$C$3=1,'Choix pédagogiques'!$C$3=2),AND($G547&lt;&gt;"",$H547&lt;&gt;"",$I547&lt;&gt;"")),1,0))</f>
        <v/>
      </c>
      <c r="BO547" s="21" t="str">
        <f>IF(OR(COUNT(B547:D1546)=0,COUNT(G547:I1546)=0,'Choix pédagogiques'!C$3&lt;&gt;3),"",IF(AND('Choix pédagogiques'!$C$3=3,$B547&lt;&gt;"",$C547&lt;&gt;"",$D547&lt;&gt;"",$G547&lt;&gt;"",$H547&lt;&gt;"",$I547&lt;&gt;""),1,0))</f>
        <v/>
      </c>
      <c r="BR547" s="21">
        <v>906</v>
      </c>
      <c r="BS547" s="21">
        <v>1069</v>
      </c>
      <c r="BT547"/>
    </row>
    <row r="548" spans="1:72" s="23" customFormat="1" ht="18" customHeight="1" x14ac:dyDescent="0.3">
      <c r="A548" s="35" t="s">
        <v>538</v>
      </c>
      <c r="B548" s="37"/>
      <c r="C548" s="37"/>
      <c r="D548" s="37"/>
      <c r="E548" s="37"/>
      <c r="F548" s="35" t="s">
        <v>1546</v>
      </c>
      <c r="G548" s="37"/>
      <c r="H548" s="37"/>
      <c r="I548" s="37"/>
      <c r="J548" s="37"/>
      <c r="K548" s="21" t="str">
        <f t="shared" si="387"/>
        <v>Apprenant 536</v>
      </c>
      <c r="L548" s="22" t="str">
        <f t="shared" si="388"/>
        <v/>
      </c>
      <c r="M548" s="22" t="str">
        <f t="shared" si="389"/>
        <v/>
      </c>
      <c r="N548" s="22" t="str">
        <f t="shared" si="390"/>
        <v/>
      </c>
      <c r="O548" s="22" t="str">
        <f t="shared" si="391"/>
        <v/>
      </c>
      <c r="P548" s="21" t="str">
        <f t="shared" si="392"/>
        <v>Apprenant 536 ou 536'</v>
      </c>
      <c r="Q548" s="22" t="str">
        <f t="shared" si="393"/>
        <v/>
      </c>
      <c r="R548" s="22" t="str">
        <f t="shared" si="394"/>
        <v/>
      </c>
      <c r="S548" s="22" t="str">
        <f t="shared" si="395"/>
        <v/>
      </c>
      <c r="T548" s="22" t="str">
        <f t="shared" si="396"/>
        <v/>
      </c>
      <c r="V548" s="21" t="str">
        <f t="shared" si="397"/>
        <v>Apprenant 536</v>
      </c>
      <c r="W548" s="22" t="str">
        <f>IF(AND(OR('Choix pédagogiques'!$C$3=1,'Choix pédagogiques'!$C$3=2),$BM548=1),B548,IF(AND('Choix pédagogiques'!$C$3=3,$BO548=1),B548,""))</f>
        <v/>
      </c>
      <c r="X548" s="22" t="str">
        <f>IF(AND(OR('Choix pédagogiques'!$C$3=1,'Choix pédagogiques'!$C$3=2),$BM548=1),C548,IF(AND('Choix pédagogiques'!$C$3=3,$BO548=1),C548,""))</f>
        <v/>
      </c>
      <c r="Y548" s="22" t="str">
        <f>IF(AND(OR('Choix pédagogiques'!$C$3=1,'Choix pédagogiques'!$C$3=2),$BM548=1),D548,IF(AND('Choix pédagogiques'!$C$3=3,$BO548=1),D548,""))</f>
        <v/>
      </c>
      <c r="Z548" s="22" t="str">
        <f t="shared" si="398"/>
        <v/>
      </c>
      <c r="AA548" s="21" t="str">
        <f t="shared" si="399"/>
        <v>Apprenant 536 ou 536'</v>
      </c>
      <c r="AB548" s="22" t="str">
        <f>IF(AND(OR('Choix pédagogiques'!$C$3=1,'Choix pédagogiques'!$C$3=2),$BN548=1),G548,IF(AND('Choix pédagogiques'!$C$3=3,$BO548=1),G548,""))</f>
        <v/>
      </c>
      <c r="AC548" s="22" t="str">
        <f>IF(AND(OR('Choix pédagogiques'!$C$3=1,'Choix pédagogiques'!$C$3=2),$BN548=1),H548,IF(AND('Choix pédagogiques'!$C$3=3,$BO548=1),H548,""))</f>
        <v/>
      </c>
      <c r="AD548" s="22" t="str">
        <f>IF(AND(OR('Choix pédagogiques'!$C$3=1,'Choix pédagogiques'!$C$3=2),$BN548=1),I548,IF(AND('Choix pédagogiques'!$C$3=3,$BO548=1),I548,""))</f>
        <v/>
      </c>
      <c r="AE548" s="22" t="str">
        <f t="shared" si="400"/>
        <v/>
      </c>
      <c r="AF548" s="21" t="str">
        <f t="shared" si="401"/>
        <v>Apprenant 536</v>
      </c>
      <c r="AG548" s="22" t="str">
        <f t="shared" si="375"/>
        <v/>
      </c>
      <c r="AH548" s="22" t="str">
        <f t="shared" si="376"/>
        <v/>
      </c>
      <c r="AI548" s="22" t="str">
        <f t="shared" si="377"/>
        <v/>
      </c>
      <c r="AJ548" s="22" t="str">
        <f t="shared" si="402"/>
        <v/>
      </c>
      <c r="AK548" s="21" t="str">
        <f t="shared" si="403"/>
        <v>Apprenant 536 ou 536'</v>
      </c>
      <c r="AL548" s="22" t="str">
        <f t="shared" si="378"/>
        <v/>
      </c>
      <c r="AM548" s="22" t="str">
        <f t="shared" si="379"/>
        <v/>
      </c>
      <c r="AN548" s="22" t="str">
        <f t="shared" si="380"/>
        <v/>
      </c>
      <c r="AO548" s="22" t="str">
        <f t="shared" si="404"/>
        <v/>
      </c>
      <c r="AQ548" s="21" t="str">
        <f t="shared" si="405"/>
        <v>Apprenant 536</v>
      </c>
      <c r="AR548" s="49" t="str">
        <f>IF(AND('Choix pédagogiques'!$C$4&lt;&gt;"?",'Choix pédagogiques'!$C$5&lt;&gt;"?",W548&lt;&gt;""),(W548-'Choix pédagogiques'!$C$4)/('Choix pédagogiques'!$C$5-'Choix pédagogiques'!$C$4),"")</f>
        <v/>
      </c>
      <c r="AS548" s="49" t="str">
        <f>IF(AND('Choix pédagogiques'!$C$4&lt;&gt;"?",'Choix pédagogiques'!$C$5&lt;&gt;"?",X548&lt;&gt;""),(X548-'Choix pédagogiques'!$C$4)/('Choix pédagogiques'!$C$5-'Choix pédagogiques'!$C$4),"")</f>
        <v/>
      </c>
      <c r="AT548" s="49" t="str">
        <f>IF(AND('Choix pédagogiques'!$C$4&lt;&gt;"?",'Choix pédagogiques'!$C$5&lt;&gt;"?",Y548&lt;&gt;""),(Y548-'Choix pédagogiques'!$C$4)/('Choix pédagogiques'!$C$5-'Choix pédagogiques'!$C$4),"")</f>
        <v/>
      </c>
      <c r="AU548" s="22" t="str">
        <f t="shared" si="406"/>
        <v/>
      </c>
      <c r="AV548" s="21" t="str">
        <f t="shared" si="407"/>
        <v>Apprenant 536 ou 536'</v>
      </c>
      <c r="AW548" s="49" t="str">
        <f>IF(AND('Choix pédagogiques'!$C$4&lt;&gt;"?",'Choix pédagogiques'!$C$5&lt;&gt;"?",AB548&lt;&gt;""),(AB548-'Choix pédagogiques'!$C$4)/('Choix pédagogiques'!$C$5-'Choix pédagogiques'!$C$4),"")</f>
        <v/>
      </c>
      <c r="AX548" s="49" t="str">
        <f>IF(AND('Choix pédagogiques'!$C$4&lt;&gt;"?",'Choix pédagogiques'!$C$5&lt;&gt;"?",AC548&lt;&gt;""),(AC548-'Choix pédagogiques'!$C$4)/('Choix pédagogiques'!$C$5-'Choix pédagogiques'!$C$4),"")</f>
        <v/>
      </c>
      <c r="AY548" s="49" t="str">
        <f>IF(AND('Choix pédagogiques'!$C$4&lt;&gt;"?",'Choix pédagogiques'!$C$5&lt;&gt;"?",AD548&lt;&gt;""),(AD548-'Choix pédagogiques'!$C$4)/('Choix pédagogiques'!$C$5-'Choix pédagogiques'!$C$4),"")</f>
        <v/>
      </c>
      <c r="AZ548" s="22" t="str">
        <f t="shared" si="408"/>
        <v/>
      </c>
      <c r="BA548" s="21" t="str">
        <f t="shared" si="409"/>
        <v>Apprenant 536</v>
      </c>
      <c r="BB548" s="49" t="str">
        <f t="shared" si="381"/>
        <v/>
      </c>
      <c r="BC548" s="49" t="str">
        <f t="shared" si="382"/>
        <v/>
      </c>
      <c r="BD548" s="49" t="str">
        <f t="shared" si="383"/>
        <v/>
      </c>
      <c r="BE548" s="22" t="str">
        <f t="shared" si="410"/>
        <v/>
      </c>
      <c r="BF548" s="21" t="str">
        <f t="shared" si="411"/>
        <v>Apprenant 536 ou 536'</v>
      </c>
      <c r="BG548" s="49" t="str">
        <f t="shared" si="384"/>
        <v/>
      </c>
      <c r="BH548" s="49" t="str">
        <f t="shared" si="385"/>
        <v/>
      </c>
      <c r="BI548" s="49" t="str">
        <f t="shared" si="386"/>
        <v/>
      </c>
      <c r="BJ548" s="22" t="str">
        <f t="shared" si="412"/>
        <v/>
      </c>
      <c r="BL548" s="21"/>
      <c r="BM548" s="21" t="str">
        <f>IF(OR(COUNT(B548:D1547)=0,AND('Choix pédagogiques'!$C$3&lt;&gt;1,'Choix pédagogiques'!$C$3&lt;&gt;2)),"",IF(AND(OR('Choix pédagogiques'!$C$3=1,'Choix pédagogiques'!$C$3=2),$B548&lt;&gt;"",$C548&lt;&gt;"",$D548&lt;&gt;""),1,0))</f>
        <v/>
      </c>
      <c r="BN548" s="21" t="str">
        <f>IF(OR(COUNT(G548:I1547)=0,AND('Choix pédagogiques'!$C$3&lt;&gt;1,'Choix pédagogiques'!$C$3&lt;&gt;2)),"",IF(AND(OR('Choix pédagogiques'!$C$3=1,'Choix pédagogiques'!$C$3=2),AND($G548&lt;&gt;"",$H548&lt;&gt;"",$I548&lt;&gt;"")),1,0))</f>
        <v/>
      </c>
      <c r="BO548" s="21" t="str">
        <f>IF(OR(COUNT(B548:D1547)=0,COUNT(G548:I1547)=0,'Choix pédagogiques'!C$3&lt;&gt;3),"",IF(AND('Choix pédagogiques'!$C$3=3,$B548&lt;&gt;"",$C548&lt;&gt;"",$D548&lt;&gt;"",$G548&lt;&gt;"",$H548&lt;&gt;"",$I548&lt;&gt;""),1,0))</f>
        <v/>
      </c>
      <c r="BR548" s="21">
        <v>804</v>
      </c>
      <c r="BS548" s="21">
        <v>1015</v>
      </c>
      <c r="BT548"/>
    </row>
    <row r="549" spans="1:72" s="23" customFormat="1" ht="18" customHeight="1" x14ac:dyDescent="0.3">
      <c r="A549" s="35" t="s">
        <v>539</v>
      </c>
      <c r="B549" s="37"/>
      <c r="C549" s="37"/>
      <c r="D549" s="37"/>
      <c r="E549" s="37"/>
      <c r="F549" s="35" t="s">
        <v>1547</v>
      </c>
      <c r="G549" s="37"/>
      <c r="H549" s="37"/>
      <c r="I549" s="37"/>
      <c r="J549" s="37"/>
      <c r="K549" s="21" t="str">
        <f t="shared" si="387"/>
        <v>Apprenant 537</v>
      </c>
      <c r="L549" s="22" t="str">
        <f t="shared" si="388"/>
        <v/>
      </c>
      <c r="M549" s="22" t="str">
        <f t="shared" si="389"/>
        <v/>
      </c>
      <c r="N549" s="22" t="str">
        <f t="shared" si="390"/>
        <v/>
      </c>
      <c r="O549" s="22" t="str">
        <f t="shared" si="391"/>
        <v/>
      </c>
      <c r="P549" s="21" t="str">
        <f t="shared" si="392"/>
        <v>Apprenant 537 ou 537'</v>
      </c>
      <c r="Q549" s="22" t="str">
        <f t="shared" si="393"/>
        <v/>
      </c>
      <c r="R549" s="22" t="str">
        <f t="shared" si="394"/>
        <v/>
      </c>
      <c r="S549" s="22" t="str">
        <f t="shared" si="395"/>
        <v/>
      </c>
      <c r="T549" s="22" t="str">
        <f t="shared" si="396"/>
        <v/>
      </c>
      <c r="V549" s="21" t="str">
        <f t="shared" si="397"/>
        <v>Apprenant 537</v>
      </c>
      <c r="W549" s="22" t="str">
        <f>IF(AND(OR('Choix pédagogiques'!$C$3=1,'Choix pédagogiques'!$C$3=2),$BM549=1),B549,IF(AND('Choix pédagogiques'!$C$3=3,$BO549=1),B549,""))</f>
        <v/>
      </c>
      <c r="X549" s="22" t="str">
        <f>IF(AND(OR('Choix pédagogiques'!$C$3=1,'Choix pédagogiques'!$C$3=2),$BM549=1),C549,IF(AND('Choix pédagogiques'!$C$3=3,$BO549=1),C549,""))</f>
        <v/>
      </c>
      <c r="Y549" s="22" t="str">
        <f>IF(AND(OR('Choix pédagogiques'!$C$3=1,'Choix pédagogiques'!$C$3=2),$BM549=1),D549,IF(AND('Choix pédagogiques'!$C$3=3,$BO549=1),D549,""))</f>
        <v/>
      </c>
      <c r="Z549" s="22" t="str">
        <f t="shared" si="398"/>
        <v/>
      </c>
      <c r="AA549" s="21" t="str">
        <f t="shared" si="399"/>
        <v>Apprenant 537 ou 537'</v>
      </c>
      <c r="AB549" s="22" t="str">
        <f>IF(AND(OR('Choix pédagogiques'!$C$3=1,'Choix pédagogiques'!$C$3=2),$BN549=1),G549,IF(AND('Choix pédagogiques'!$C$3=3,$BO549=1),G549,""))</f>
        <v/>
      </c>
      <c r="AC549" s="22" t="str">
        <f>IF(AND(OR('Choix pédagogiques'!$C$3=1,'Choix pédagogiques'!$C$3=2),$BN549=1),H549,IF(AND('Choix pédagogiques'!$C$3=3,$BO549=1),H549,""))</f>
        <v/>
      </c>
      <c r="AD549" s="22" t="str">
        <f>IF(AND(OR('Choix pédagogiques'!$C$3=1,'Choix pédagogiques'!$C$3=2),$BN549=1),I549,IF(AND('Choix pédagogiques'!$C$3=3,$BO549=1),I549,""))</f>
        <v/>
      </c>
      <c r="AE549" s="22" t="str">
        <f t="shared" si="400"/>
        <v/>
      </c>
      <c r="AF549" s="21" t="str">
        <f t="shared" si="401"/>
        <v>Apprenant 537</v>
      </c>
      <c r="AG549" s="22" t="str">
        <f t="shared" si="375"/>
        <v/>
      </c>
      <c r="AH549" s="22" t="str">
        <f t="shared" si="376"/>
        <v/>
      </c>
      <c r="AI549" s="22" t="str">
        <f t="shared" si="377"/>
        <v/>
      </c>
      <c r="AJ549" s="22" t="str">
        <f t="shared" si="402"/>
        <v/>
      </c>
      <c r="AK549" s="21" t="str">
        <f t="shared" si="403"/>
        <v>Apprenant 537 ou 537'</v>
      </c>
      <c r="AL549" s="22" t="str">
        <f t="shared" si="378"/>
        <v/>
      </c>
      <c r="AM549" s="22" t="str">
        <f t="shared" si="379"/>
        <v/>
      </c>
      <c r="AN549" s="22" t="str">
        <f t="shared" si="380"/>
        <v/>
      </c>
      <c r="AO549" s="22" t="str">
        <f t="shared" si="404"/>
        <v/>
      </c>
      <c r="AQ549" s="21" t="str">
        <f t="shared" si="405"/>
        <v>Apprenant 537</v>
      </c>
      <c r="AR549" s="49" t="str">
        <f>IF(AND('Choix pédagogiques'!$C$4&lt;&gt;"?",'Choix pédagogiques'!$C$5&lt;&gt;"?",W549&lt;&gt;""),(W549-'Choix pédagogiques'!$C$4)/('Choix pédagogiques'!$C$5-'Choix pédagogiques'!$C$4),"")</f>
        <v/>
      </c>
      <c r="AS549" s="49" t="str">
        <f>IF(AND('Choix pédagogiques'!$C$4&lt;&gt;"?",'Choix pédagogiques'!$C$5&lt;&gt;"?",X549&lt;&gt;""),(X549-'Choix pédagogiques'!$C$4)/('Choix pédagogiques'!$C$5-'Choix pédagogiques'!$C$4),"")</f>
        <v/>
      </c>
      <c r="AT549" s="49" t="str">
        <f>IF(AND('Choix pédagogiques'!$C$4&lt;&gt;"?",'Choix pédagogiques'!$C$5&lt;&gt;"?",Y549&lt;&gt;""),(Y549-'Choix pédagogiques'!$C$4)/('Choix pédagogiques'!$C$5-'Choix pédagogiques'!$C$4),"")</f>
        <v/>
      </c>
      <c r="AU549" s="22" t="str">
        <f t="shared" si="406"/>
        <v/>
      </c>
      <c r="AV549" s="21" t="str">
        <f t="shared" si="407"/>
        <v>Apprenant 537 ou 537'</v>
      </c>
      <c r="AW549" s="49" t="str">
        <f>IF(AND('Choix pédagogiques'!$C$4&lt;&gt;"?",'Choix pédagogiques'!$C$5&lt;&gt;"?",AB549&lt;&gt;""),(AB549-'Choix pédagogiques'!$C$4)/('Choix pédagogiques'!$C$5-'Choix pédagogiques'!$C$4),"")</f>
        <v/>
      </c>
      <c r="AX549" s="49" t="str">
        <f>IF(AND('Choix pédagogiques'!$C$4&lt;&gt;"?",'Choix pédagogiques'!$C$5&lt;&gt;"?",AC549&lt;&gt;""),(AC549-'Choix pédagogiques'!$C$4)/('Choix pédagogiques'!$C$5-'Choix pédagogiques'!$C$4),"")</f>
        <v/>
      </c>
      <c r="AY549" s="49" t="str">
        <f>IF(AND('Choix pédagogiques'!$C$4&lt;&gt;"?",'Choix pédagogiques'!$C$5&lt;&gt;"?",AD549&lt;&gt;""),(AD549-'Choix pédagogiques'!$C$4)/('Choix pédagogiques'!$C$5-'Choix pédagogiques'!$C$4),"")</f>
        <v/>
      </c>
      <c r="AZ549" s="22" t="str">
        <f t="shared" si="408"/>
        <v/>
      </c>
      <c r="BA549" s="21" t="str">
        <f t="shared" si="409"/>
        <v>Apprenant 537</v>
      </c>
      <c r="BB549" s="49" t="str">
        <f t="shared" si="381"/>
        <v/>
      </c>
      <c r="BC549" s="49" t="str">
        <f t="shared" si="382"/>
        <v/>
      </c>
      <c r="BD549" s="49" t="str">
        <f t="shared" si="383"/>
        <v/>
      </c>
      <c r="BE549" s="22" t="str">
        <f t="shared" si="410"/>
        <v/>
      </c>
      <c r="BF549" s="21" t="str">
        <f t="shared" si="411"/>
        <v>Apprenant 537 ou 537'</v>
      </c>
      <c r="BG549" s="49" t="str">
        <f t="shared" si="384"/>
        <v/>
      </c>
      <c r="BH549" s="49" t="str">
        <f t="shared" si="385"/>
        <v/>
      </c>
      <c r="BI549" s="49" t="str">
        <f t="shared" si="386"/>
        <v/>
      </c>
      <c r="BJ549" s="22" t="str">
        <f t="shared" si="412"/>
        <v/>
      </c>
      <c r="BL549" s="21"/>
      <c r="BM549" s="21" t="str">
        <f>IF(OR(COUNT(B549:D1548)=0,AND('Choix pédagogiques'!$C$3&lt;&gt;1,'Choix pédagogiques'!$C$3&lt;&gt;2)),"",IF(AND(OR('Choix pédagogiques'!$C$3=1,'Choix pédagogiques'!$C$3=2),$B549&lt;&gt;"",$C549&lt;&gt;"",$D549&lt;&gt;""),1,0))</f>
        <v/>
      </c>
      <c r="BN549" s="21" t="str">
        <f>IF(OR(COUNT(G549:I1548)=0,AND('Choix pédagogiques'!$C$3&lt;&gt;1,'Choix pédagogiques'!$C$3&lt;&gt;2)),"",IF(AND(OR('Choix pédagogiques'!$C$3=1,'Choix pédagogiques'!$C$3=2),AND($G549&lt;&gt;"",$H549&lt;&gt;"",$I549&lt;&gt;"")),1,0))</f>
        <v/>
      </c>
      <c r="BO549" s="21" t="str">
        <f>IF(OR(COUNT(B549:D1548)=0,COUNT(G549:I1548)=0,'Choix pédagogiques'!C$3&lt;&gt;3),"",IF(AND('Choix pédagogiques'!$C$3=3,$B549&lt;&gt;"",$C549&lt;&gt;"",$D549&lt;&gt;"",$G549&lt;&gt;"",$H549&lt;&gt;"",$I549&lt;&gt;""),1,0))</f>
        <v/>
      </c>
      <c r="BR549" s="21">
        <v>686</v>
      </c>
      <c r="BS549" s="21">
        <v>1521</v>
      </c>
      <c r="BT549"/>
    </row>
    <row r="550" spans="1:72" s="23" customFormat="1" ht="18" customHeight="1" x14ac:dyDescent="0.3">
      <c r="A550" s="35" t="s">
        <v>540</v>
      </c>
      <c r="B550" s="37"/>
      <c r="C550" s="37"/>
      <c r="D550" s="37"/>
      <c r="E550" s="37"/>
      <c r="F550" s="35" t="s">
        <v>1548</v>
      </c>
      <c r="G550" s="37"/>
      <c r="H550" s="37"/>
      <c r="I550" s="37"/>
      <c r="J550" s="37"/>
      <c r="K550" s="21" t="str">
        <f t="shared" si="387"/>
        <v>Apprenant 538</v>
      </c>
      <c r="L550" s="22" t="str">
        <f t="shared" si="388"/>
        <v/>
      </c>
      <c r="M550" s="22" t="str">
        <f t="shared" si="389"/>
        <v/>
      </c>
      <c r="N550" s="22" t="str">
        <f t="shared" si="390"/>
        <v/>
      </c>
      <c r="O550" s="22" t="str">
        <f t="shared" si="391"/>
        <v/>
      </c>
      <c r="P550" s="21" t="str">
        <f t="shared" si="392"/>
        <v>Apprenant 538 ou 538'</v>
      </c>
      <c r="Q550" s="22" t="str">
        <f t="shared" si="393"/>
        <v/>
      </c>
      <c r="R550" s="22" t="str">
        <f t="shared" si="394"/>
        <v/>
      </c>
      <c r="S550" s="22" t="str">
        <f t="shared" si="395"/>
        <v/>
      </c>
      <c r="T550" s="22" t="str">
        <f t="shared" si="396"/>
        <v/>
      </c>
      <c r="V550" s="21" t="str">
        <f t="shared" si="397"/>
        <v>Apprenant 538</v>
      </c>
      <c r="W550" s="22" t="str">
        <f>IF(AND(OR('Choix pédagogiques'!$C$3=1,'Choix pédagogiques'!$C$3=2),$BM550=1),B550,IF(AND('Choix pédagogiques'!$C$3=3,$BO550=1),B550,""))</f>
        <v/>
      </c>
      <c r="X550" s="22" t="str">
        <f>IF(AND(OR('Choix pédagogiques'!$C$3=1,'Choix pédagogiques'!$C$3=2),$BM550=1),C550,IF(AND('Choix pédagogiques'!$C$3=3,$BO550=1),C550,""))</f>
        <v/>
      </c>
      <c r="Y550" s="22" t="str">
        <f>IF(AND(OR('Choix pédagogiques'!$C$3=1,'Choix pédagogiques'!$C$3=2),$BM550=1),D550,IF(AND('Choix pédagogiques'!$C$3=3,$BO550=1),D550,""))</f>
        <v/>
      </c>
      <c r="Z550" s="22" t="str">
        <f t="shared" si="398"/>
        <v/>
      </c>
      <c r="AA550" s="21" t="str">
        <f t="shared" si="399"/>
        <v>Apprenant 538 ou 538'</v>
      </c>
      <c r="AB550" s="22" t="str">
        <f>IF(AND(OR('Choix pédagogiques'!$C$3=1,'Choix pédagogiques'!$C$3=2),$BN550=1),G550,IF(AND('Choix pédagogiques'!$C$3=3,$BO550=1),G550,""))</f>
        <v/>
      </c>
      <c r="AC550" s="22" t="str">
        <f>IF(AND(OR('Choix pédagogiques'!$C$3=1,'Choix pédagogiques'!$C$3=2),$BN550=1),H550,IF(AND('Choix pédagogiques'!$C$3=3,$BO550=1),H550,""))</f>
        <v/>
      </c>
      <c r="AD550" s="22" t="str">
        <f>IF(AND(OR('Choix pédagogiques'!$C$3=1,'Choix pédagogiques'!$C$3=2),$BN550=1),I550,IF(AND('Choix pédagogiques'!$C$3=3,$BO550=1),I550,""))</f>
        <v/>
      </c>
      <c r="AE550" s="22" t="str">
        <f t="shared" si="400"/>
        <v/>
      </c>
      <c r="AF550" s="21" t="str">
        <f t="shared" si="401"/>
        <v>Apprenant 538</v>
      </c>
      <c r="AG550" s="22" t="str">
        <f t="shared" si="375"/>
        <v/>
      </c>
      <c r="AH550" s="22" t="str">
        <f t="shared" si="376"/>
        <v/>
      </c>
      <c r="AI550" s="22" t="str">
        <f t="shared" si="377"/>
        <v/>
      </c>
      <c r="AJ550" s="22" t="str">
        <f t="shared" si="402"/>
        <v/>
      </c>
      <c r="AK550" s="21" t="str">
        <f t="shared" si="403"/>
        <v>Apprenant 538 ou 538'</v>
      </c>
      <c r="AL550" s="22" t="str">
        <f t="shared" si="378"/>
        <v/>
      </c>
      <c r="AM550" s="22" t="str">
        <f t="shared" si="379"/>
        <v/>
      </c>
      <c r="AN550" s="22" t="str">
        <f t="shared" si="380"/>
        <v/>
      </c>
      <c r="AO550" s="22" t="str">
        <f t="shared" si="404"/>
        <v/>
      </c>
      <c r="AQ550" s="21" t="str">
        <f t="shared" si="405"/>
        <v>Apprenant 538</v>
      </c>
      <c r="AR550" s="49" t="str">
        <f>IF(AND('Choix pédagogiques'!$C$4&lt;&gt;"?",'Choix pédagogiques'!$C$5&lt;&gt;"?",W550&lt;&gt;""),(W550-'Choix pédagogiques'!$C$4)/('Choix pédagogiques'!$C$5-'Choix pédagogiques'!$C$4),"")</f>
        <v/>
      </c>
      <c r="AS550" s="49" t="str">
        <f>IF(AND('Choix pédagogiques'!$C$4&lt;&gt;"?",'Choix pédagogiques'!$C$5&lt;&gt;"?",X550&lt;&gt;""),(X550-'Choix pédagogiques'!$C$4)/('Choix pédagogiques'!$C$5-'Choix pédagogiques'!$C$4),"")</f>
        <v/>
      </c>
      <c r="AT550" s="49" t="str">
        <f>IF(AND('Choix pédagogiques'!$C$4&lt;&gt;"?",'Choix pédagogiques'!$C$5&lt;&gt;"?",Y550&lt;&gt;""),(Y550-'Choix pédagogiques'!$C$4)/('Choix pédagogiques'!$C$5-'Choix pédagogiques'!$C$4),"")</f>
        <v/>
      </c>
      <c r="AU550" s="22" t="str">
        <f t="shared" si="406"/>
        <v/>
      </c>
      <c r="AV550" s="21" t="str">
        <f t="shared" si="407"/>
        <v>Apprenant 538 ou 538'</v>
      </c>
      <c r="AW550" s="49" t="str">
        <f>IF(AND('Choix pédagogiques'!$C$4&lt;&gt;"?",'Choix pédagogiques'!$C$5&lt;&gt;"?",AB550&lt;&gt;""),(AB550-'Choix pédagogiques'!$C$4)/('Choix pédagogiques'!$C$5-'Choix pédagogiques'!$C$4),"")</f>
        <v/>
      </c>
      <c r="AX550" s="49" t="str">
        <f>IF(AND('Choix pédagogiques'!$C$4&lt;&gt;"?",'Choix pédagogiques'!$C$5&lt;&gt;"?",AC550&lt;&gt;""),(AC550-'Choix pédagogiques'!$C$4)/('Choix pédagogiques'!$C$5-'Choix pédagogiques'!$C$4),"")</f>
        <v/>
      </c>
      <c r="AY550" s="49" t="str">
        <f>IF(AND('Choix pédagogiques'!$C$4&lt;&gt;"?",'Choix pédagogiques'!$C$5&lt;&gt;"?",AD550&lt;&gt;""),(AD550-'Choix pédagogiques'!$C$4)/('Choix pédagogiques'!$C$5-'Choix pédagogiques'!$C$4),"")</f>
        <v/>
      </c>
      <c r="AZ550" s="22" t="str">
        <f t="shared" si="408"/>
        <v/>
      </c>
      <c r="BA550" s="21" t="str">
        <f t="shared" si="409"/>
        <v>Apprenant 538</v>
      </c>
      <c r="BB550" s="49" t="str">
        <f t="shared" si="381"/>
        <v/>
      </c>
      <c r="BC550" s="49" t="str">
        <f t="shared" si="382"/>
        <v/>
      </c>
      <c r="BD550" s="49" t="str">
        <f t="shared" si="383"/>
        <v/>
      </c>
      <c r="BE550" s="22" t="str">
        <f t="shared" si="410"/>
        <v/>
      </c>
      <c r="BF550" s="21" t="str">
        <f t="shared" si="411"/>
        <v>Apprenant 538 ou 538'</v>
      </c>
      <c r="BG550" s="49" t="str">
        <f t="shared" si="384"/>
        <v/>
      </c>
      <c r="BH550" s="49" t="str">
        <f t="shared" si="385"/>
        <v/>
      </c>
      <c r="BI550" s="49" t="str">
        <f t="shared" si="386"/>
        <v/>
      </c>
      <c r="BJ550" s="22" t="str">
        <f t="shared" si="412"/>
        <v/>
      </c>
      <c r="BL550" s="21"/>
      <c r="BM550" s="21" t="str">
        <f>IF(OR(COUNT(B550:D1549)=0,AND('Choix pédagogiques'!$C$3&lt;&gt;1,'Choix pédagogiques'!$C$3&lt;&gt;2)),"",IF(AND(OR('Choix pédagogiques'!$C$3=1,'Choix pédagogiques'!$C$3=2),$B550&lt;&gt;"",$C550&lt;&gt;"",$D550&lt;&gt;""),1,0))</f>
        <v/>
      </c>
      <c r="BN550" s="21" t="str">
        <f>IF(OR(COUNT(G550:I1549)=0,AND('Choix pédagogiques'!$C$3&lt;&gt;1,'Choix pédagogiques'!$C$3&lt;&gt;2)),"",IF(AND(OR('Choix pédagogiques'!$C$3=1,'Choix pédagogiques'!$C$3=2),AND($G550&lt;&gt;"",$H550&lt;&gt;"",$I550&lt;&gt;"")),1,0))</f>
        <v/>
      </c>
      <c r="BO550" s="21" t="str">
        <f>IF(OR(COUNT(B550:D1549)=0,COUNT(G550:I1549)=0,'Choix pédagogiques'!C$3&lt;&gt;3),"",IF(AND('Choix pédagogiques'!$C$3=3,$B550&lt;&gt;"",$C550&lt;&gt;"",$D550&lt;&gt;"",$G550&lt;&gt;"",$H550&lt;&gt;"",$I550&lt;&gt;""),1,0))</f>
        <v/>
      </c>
      <c r="BR550" s="21">
        <v>12</v>
      </c>
      <c r="BS550" s="21">
        <v>1954</v>
      </c>
      <c r="BT550"/>
    </row>
    <row r="551" spans="1:72" s="23" customFormat="1" ht="18" customHeight="1" x14ac:dyDescent="0.3">
      <c r="A551" s="35" t="s">
        <v>541</v>
      </c>
      <c r="B551" s="37"/>
      <c r="C551" s="37"/>
      <c r="D551" s="37"/>
      <c r="E551" s="37"/>
      <c r="F551" s="35" t="s">
        <v>1549</v>
      </c>
      <c r="G551" s="37"/>
      <c r="H551" s="37"/>
      <c r="I551" s="37"/>
      <c r="J551" s="37"/>
      <c r="K551" s="21" t="str">
        <f t="shared" si="387"/>
        <v>Apprenant 539</v>
      </c>
      <c r="L551" s="22" t="str">
        <f t="shared" si="388"/>
        <v/>
      </c>
      <c r="M551" s="22" t="str">
        <f t="shared" si="389"/>
        <v/>
      </c>
      <c r="N551" s="22" t="str">
        <f t="shared" si="390"/>
        <v/>
      </c>
      <c r="O551" s="22" t="str">
        <f t="shared" si="391"/>
        <v/>
      </c>
      <c r="P551" s="21" t="str">
        <f t="shared" si="392"/>
        <v>Apprenant 539 ou 539'</v>
      </c>
      <c r="Q551" s="22" t="str">
        <f t="shared" si="393"/>
        <v/>
      </c>
      <c r="R551" s="22" t="str">
        <f t="shared" si="394"/>
        <v/>
      </c>
      <c r="S551" s="22" t="str">
        <f t="shared" si="395"/>
        <v/>
      </c>
      <c r="T551" s="22" t="str">
        <f t="shared" si="396"/>
        <v/>
      </c>
      <c r="V551" s="21" t="str">
        <f t="shared" si="397"/>
        <v>Apprenant 539</v>
      </c>
      <c r="W551" s="22" t="str">
        <f>IF(AND(OR('Choix pédagogiques'!$C$3=1,'Choix pédagogiques'!$C$3=2),$BM551=1),B551,IF(AND('Choix pédagogiques'!$C$3=3,$BO551=1),B551,""))</f>
        <v/>
      </c>
      <c r="X551" s="22" t="str">
        <f>IF(AND(OR('Choix pédagogiques'!$C$3=1,'Choix pédagogiques'!$C$3=2),$BM551=1),C551,IF(AND('Choix pédagogiques'!$C$3=3,$BO551=1),C551,""))</f>
        <v/>
      </c>
      <c r="Y551" s="22" t="str">
        <f>IF(AND(OR('Choix pédagogiques'!$C$3=1,'Choix pédagogiques'!$C$3=2),$BM551=1),D551,IF(AND('Choix pédagogiques'!$C$3=3,$BO551=1),D551,""))</f>
        <v/>
      </c>
      <c r="Z551" s="22" t="str">
        <f t="shared" si="398"/>
        <v/>
      </c>
      <c r="AA551" s="21" t="str">
        <f t="shared" si="399"/>
        <v>Apprenant 539 ou 539'</v>
      </c>
      <c r="AB551" s="22" t="str">
        <f>IF(AND(OR('Choix pédagogiques'!$C$3=1,'Choix pédagogiques'!$C$3=2),$BN551=1),G551,IF(AND('Choix pédagogiques'!$C$3=3,$BO551=1),G551,""))</f>
        <v/>
      </c>
      <c r="AC551" s="22" t="str">
        <f>IF(AND(OR('Choix pédagogiques'!$C$3=1,'Choix pédagogiques'!$C$3=2),$BN551=1),H551,IF(AND('Choix pédagogiques'!$C$3=3,$BO551=1),H551,""))</f>
        <v/>
      </c>
      <c r="AD551" s="22" t="str">
        <f>IF(AND(OR('Choix pédagogiques'!$C$3=1,'Choix pédagogiques'!$C$3=2),$BN551=1),I551,IF(AND('Choix pédagogiques'!$C$3=3,$BO551=1),I551,""))</f>
        <v/>
      </c>
      <c r="AE551" s="22" t="str">
        <f t="shared" si="400"/>
        <v/>
      </c>
      <c r="AF551" s="21" t="str">
        <f t="shared" si="401"/>
        <v>Apprenant 539</v>
      </c>
      <c r="AG551" s="22" t="str">
        <f t="shared" si="375"/>
        <v/>
      </c>
      <c r="AH551" s="22" t="str">
        <f t="shared" si="376"/>
        <v/>
      </c>
      <c r="AI551" s="22" t="str">
        <f t="shared" si="377"/>
        <v/>
      </c>
      <c r="AJ551" s="22" t="str">
        <f t="shared" si="402"/>
        <v/>
      </c>
      <c r="AK551" s="21" t="str">
        <f t="shared" si="403"/>
        <v>Apprenant 539 ou 539'</v>
      </c>
      <c r="AL551" s="22" t="str">
        <f t="shared" si="378"/>
        <v/>
      </c>
      <c r="AM551" s="22" t="str">
        <f t="shared" si="379"/>
        <v/>
      </c>
      <c r="AN551" s="22" t="str">
        <f t="shared" si="380"/>
        <v/>
      </c>
      <c r="AO551" s="22" t="str">
        <f t="shared" si="404"/>
        <v/>
      </c>
      <c r="AQ551" s="21" t="str">
        <f t="shared" si="405"/>
        <v>Apprenant 539</v>
      </c>
      <c r="AR551" s="49" t="str">
        <f>IF(AND('Choix pédagogiques'!$C$4&lt;&gt;"?",'Choix pédagogiques'!$C$5&lt;&gt;"?",W551&lt;&gt;""),(W551-'Choix pédagogiques'!$C$4)/('Choix pédagogiques'!$C$5-'Choix pédagogiques'!$C$4),"")</f>
        <v/>
      </c>
      <c r="AS551" s="49" t="str">
        <f>IF(AND('Choix pédagogiques'!$C$4&lt;&gt;"?",'Choix pédagogiques'!$C$5&lt;&gt;"?",X551&lt;&gt;""),(X551-'Choix pédagogiques'!$C$4)/('Choix pédagogiques'!$C$5-'Choix pédagogiques'!$C$4),"")</f>
        <v/>
      </c>
      <c r="AT551" s="49" t="str">
        <f>IF(AND('Choix pédagogiques'!$C$4&lt;&gt;"?",'Choix pédagogiques'!$C$5&lt;&gt;"?",Y551&lt;&gt;""),(Y551-'Choix pédagogiques'!$C$4)/('Choix pédagogiques'!$C$5-'Choix pédagogiques'!$C$4),"")</f>
        <v/>
      </c>
      <c r="AU551" s="22" t="str">
        <f t="shared" si="406"/>
        <v/>
      </c>
      <c r="AV551" s="21" t="str">
        <f t="shared" si="407"/>
        <v>Apprenant 539 ou 539'</v>
      </c>
      <c r="AW551" s="49" t="str">
        <f>IF(AND('Choix pédagogiques'!$C$4&lt;&gt;"?",'Choix pédagogiques'!$C$5&lt;&gt;"?",AB551&lt;&gt;""),(AB551-'Choix pédagogiques'!$C$4)/('Choix pédagogiques'!$C$5-'Choix pédagogiques'!$C$4),"")</f>
        <v/>
      </c>
      <c r="AX551" s="49" t="str">
        <f>IF(AND('Choix pédagogiques'!$C$4&lt;&gt;"?",'Choix pédagogiques'!$C$5&lt;&gt;"?",AC551&lt;&gt;""),(AC551-'Choix pédagogiques'!$C$4)/('Choix pédagogiques'!$C$5-'Choix pédagogiques'!$C$4),"")</f>
        <v/>
      </c>
      <c r="AY551" s="49" t="str">
        <f>IF(AND('Choix pédagogiques'!$C$4&lt;&gt;"?",'Choix pédagogiques'!$C$5&lt;&gt;"?",AD551&lt;&gt;""),(AD551-'Choix pédagogiques'!$C$4)/('Choix pédagogiques'!$C$5-'Choix pédagogiques'!$C$4),"")</f>
        <v/>
      </c>
      <c r="AZ551" s="22" t="str">
        <f t="shared" si="408"/>
        <v/>
      </c>
      <c r="BA551" s="21" t="str">
        <f t="shared" si="409"/>
        <v>Apprenant 539</v>
      </c>
      <c r="BB551" s="49" t="str">
        <f t="shared" si="381"/>
        <v/>
      </c>
      <c r="BC551" s="49" t="str">
        <f t="shared" si="382"/>
        <v/>
      </c>
      <c r="BD551" s="49" t="str">
        <f t="shared" si="383"/>
        <v/>
      </c>
      <c r="BE551" s="22" t="str">
        <f t="shared" si="410"/>
        <v/>
      </c>
      <c r="BF551" s="21" t="str">
        <f t="shared" si="411"/>
        <v>Apprenant 539 ou 539'</v>
      </c>
      <c r="BG551" s="49" t="str">
        <f t="shared" si="384"/>
        <v/>
      </c>
      <c r="BH551" s="49" t="str">
        <f t="shared" si="385"/>
        <v/>
      </c>
      <c r="BI551" s="49" t="str">
        <f t="shared" si="386"/>
        <v/>
      </c>
      <c r="BJ551" s="22" t="str">
        <f t="shared" si="412"/>
        <v/>
      </c>
      <c r="BL551" s="21"/>
      <c r="BM551" s="21" t="str">
        <f>IF(OR(COUNT(B551:D1550)=0,AND('Choix pédagogiques'!$C$3&lt;&gt;1,'Choix pédagogiques'!$C$3&lt;&gt;2)),"",IF(AND(OR('Choix pédagogiques'!$C$3=1,'Choix pédagogiques'!$C$3=2),$B551&lt;&gt;"",$C551&lt;&gt;"",$D551&lt;&gt;""),1,0))</f>
        <v/>
      </c>
      <c r="BN551" s="21" t="str">
        <f>IF(OR(COUNT(G551:I1550)=0,AND('Choix pédagogiques'!$C$3&lt;&gt;1,'Choix pédagogiques'!$C$3&lt;&gt;2)),"",IF(AND(OR('Choix pédagogiques'!$C$3=1,'Choix pédagogiques'!$C$3=2),AND($G551&lt;&gt;"",$H551&lt;&gt;"",$I551&lt;&gt;"")),1,0))</f>
        <v/>
      </c>
      <c r="BO551" s="21" t="str">
        <f>IF(OR(COUNT(B551:D1550)=0,COUNT(G551:I1550)=0,'Choix pédagogiques'!C$3&lt;&gt;3),"",IF(AND('Choix pédagogiques'!$C$3=3,$B551&lt;&gt;"",$C551&lt;&gt;"",$D551&lt;&gt;"",$G551&lt;&gt;"",$H551&lt;&gt;"",$I551&lt;&gt;""),1,0))</f>
        <v/>
      </c>
      <c r="BR551" s="21">
        <v>505</v>
      </c>
      <c r="BS551" s="21">
        <v>1763</v>
      </c>
      <c r="BT551"/>
    </row>
    <row r="552" spans="1:72" s="23" customFormat="1" ht="18" customHeight="1" x14ac:dyDescent="0.3">
      <c r="A552" s="35" t="s">
        <v>542</v>
      </c>
      <c r="B552" s="37"/>
      <c r="C552" s="37"/>
      <c r="D552" s="37"/>
      <c r="E552" s="37"/>
      <c r="F552" s="35" t="s">
        <v>1550</v>
      </c>
      <c r="G552" s="37"/>
      <c r="H552" s="37"/>
      <c r="I552" s="37"/>
      <c r="J552" s="37"/>
      <c r="K552" s="21" t="str">
        <f t="shared" si="387"/>
        <v>Apprenant 540</v>
      </c>
      <c r="L552" s="22" t="str">
        <f t="shared" si="388"/>
        <v/>
      </c>
      <c r="M552" s="22" t="str">
        <f t="shared" si="389"/>
        <v/>
      </c>
      <c r="N552" s="22" t="str">
        <f t="shared" si="390"/>
        <v/>
      </c>
      <c r="O552" s="22" t="str">
        <f t="shared" si="391"/>
        <v/>
      </c>
      <c r="P552" s="21" t="str">
        <f t="shared" si="392"/>
        <v>Apprenant 540 ou 540'</v>
      </c>
      <c r="Q552" s="22" t="str">
        <f t="shared" si="393"/>
        <v/>
      </c>
      <c r="R552" s="22" t="str">
        <f t="shared" si="394"/>
        <v/>
      </c>
      <c r="S552" s="22" t="str">
        <f t="shared" si="395"/>
        <v/>
      </c>
      <c r="T552" s="22" t="str">
        <f t="shared" si="396"/>
        <v/>
      </c>
      <c r="V552" s="21" t="str">
        <f t="shared" si="397"/>
        <v>Apprenant 540</v>
      </c>
      <c r="W552" s="22" t="str">
        <f>IF(AND(OR('Choix pédagogiques'!$C$3=1,'Choix pédagogiques'!$C$3=2),$BM552=1),B552,IF(AND('Choix pédagogiques'!$C$3=3,$BO552=1),B552,""))</f>
        <v/>
      </c>
      <c r="X552" s="22" t="str">
        <f>IF(AND(OR('Choix pédagogiques'!$C$3=1,'Choix pédagogiques'!$C$3=2),$BM552=1),C552,IF(AND('Choix pédagogiques'!$C$3=3,$BO552=1),C552,""))</f>
        <v/>
      </c>
      <c r="Y552" s="22" t="str">
        <f>IF(AND(OR('Choix pédagogiques'!$C$3=1,'Choix pédagogiques'!$C$3=2),$BM552=1),D552,IF(AND('Choix pédagogiques'!$C$3=3,$BO552=1),D552,""))</f>
        <v/>
      </c>
      <c r="Z552" s="22" t="str">
        <f t="shared" si="398"/>
        <v/>
      </c>
      <c r="AA552" s="21" t="str">
        <f t="shared" si="399"/>
        <v>Apprenant 540 ou 540'</v>
      </c>
      <c r="AB552" s="22" t="str">
        <f>IF(AND(OR('Choix pédagogiques'!$C$3=1,'Choix pédagogiques'!$C$3=2),$BN552=1),G552,IF(AND('Choix pédagogiques'!$C$3=3,$BO552=1),G552,""))</f>
        <v/>
      </c>
      <c r="AC552" s="22" t="str">
        <f>IF(AND(OR('Choix pédagogiques'!$C$3=1,'Choix pédagogiques'!$C$3=2),$BN552=1),H552,IF(AND('Choix pédagogiques'!$C$3=3,$BO552=1),H552,""))</f>
        <v/>
      </c>
      <c r="AD552" s="22" t="str">
        <f>IF(AND(OR('Choix pédagogiques'!$C$3=1,'Choix pédagogiques'!$C$3=2),$BN552=1),I552,IF(AND('Choix pédagogiques'!$C$3=3,$BO552=1),I552,""))</f>
        <v/>
      </c>
      <c r="AE552" s="22" t="str">
        <f t="shared" si="400"/>
        <v/>
      </c>
      <c r="AF552" s="21" t="str">
        <f t="shared" si="401"/>
        <v>Apprenant 540</v>
      </c>
      <c r="AG552" s="22" t="str">
        <f t="shared" si="375"/>
        <v/>
      </c>
      <c r="AH552" s="22" t="str">
        <f t="shared" si="376"/>
        <v/>
      </c>
      <c r="AI552" s="22" t="str">
        <f t="shared" si="377"/>
        <v/>
      </c>
      <c r="AJ552" s="22" t="str">
        <f t="shared" si="402"/>
        <v/>
      </c>
      <c r="AK552" s="21" t="str">
        <f t="shared" si="403"/>
        <v>Apprenant 540 ou 540'</v>
      </c>
      <c r="AL552" s="22" t="str">
        <f t="shared" si="378"/>
        <v/>
      </c>
      <c r="AM552" s="22" t="str">
        <f t="shared" si="379"/>
        <v/>
      </c>
      <c r="AN552" s="22" t="str">
        <f t="shared" si="380"/>
        <v/>
      </c>
      <c r="AO552" s="22" t="str">
        <f t="shared" si="404"/>
        <v/>
      </c>
      <c r="AQ552" s="21" t="str">
        <f t="shared" si="405"/>
        <v>Apprenant 540</v>
      </c>
      <c r="AR552" s="49" t="str">
        <f>IF(AND('Choix pédagogiques'!$C$4&lt;&gt;"?",'Choix pédagogiques'!$C$5&lt;&gt;"?",W552&lt;&gt;""),(W552-'Choix pédagogiques'!$C$4)/('Choix pédagogiques'!$C$5-'Choix pédagogiques'!$C$4),"")</f>
        <v/>
      </c>
      <c r="AS552" s="49" t="str">
        <f>IF(AND('Choix pédagogiques'!$C$4&lt;&gt;"?",'Choix pédagogiques'!$C$5&lt;&gt;"?",X552&lt;&gt;""),(X552-'Choix pédagogiques'!$C$4)/('Choix pédagogiques'!$C$5-'Choix pédagogiques'!$C$4),"")</f>
        <v/>
      </c>
      <c r="AT552" s="49" t="str">
        <f>IF(AND('Choix pédagogiques'!$C$4&lt;&gt;"?",'Choix pédagogiques'!$C$5&lt;&gt;"?",Y552&lt;&gt;""),(Y552-'Choix pédagogiques'!$C$4)/('Choix pédagogiques'!$C$5-'Choix pédagogiques'!$C$4),"")</f>
        <v/>
      </c>
      <c r="AU552" s="22" t="str">
        <f t="shared" si="406"/>
        <v/>
      </c>
      <c r="AV552" s="21" t="str">
        <f t="shared" si="407"/>
        <v>Apprenant 540 ou 540'</v>
      </c>
      <c r="AW552" s="49" t="str">
        <f>IF(AND('Choix pédagogiques'!$C$4&lt;&gt;"?",'Choix pédagogiques'!$C$5&lt;&gt;"?",AB552&lt;&gt;""),(AB552-'Choix pédagogiques'!$C$4)/('Choix pédagogiques'!$C$5-'Choix pédagogiques'!$C$4),"")</f>
        <v/>
      </c>
      <c r="AX552" s="49" t="str">
        <f>IF(AND('Choix pédagogiques'!$C$4&lt;&gt;"?",'Choix pédagogiques'!$C$5&lt;&gt;"?",AC552&lt;&gt;""),(AC552-'Choix pédagogiques'!$C$4)/('Choix pédagogiques'!$C$5-'Choix pédagogiques'!$C$4),"")</f>
        <v/>
      </c>
      <c r="AY552" s="49" t="str">
        <f>IF(AND('Choix pédagogiques'!$C$4&lt;&gt;"?",'Choix pédagogiques'!$C$5&lt;&gt;"?",AD552&lt;&gt;""),(AD552-'Choix pédagogiques'!$C$4)/('Choix pédagogiques'!$C$5-'Choix pédagogiques'!$C$4),"")</f>
        <v/>
      </c>
      <c r="AZ552" s="22" t="str">
        <f t="shared" si="408"/>
        <v/>
      </c>
      <c r="BA552" s="21" t="str">
        <f t="shared" si="409"/>
        <v>Apprenant 540</v>
      </c>
      <c r="BB552" s="49" t="str">
        <f t="shared" si="381"/>
        <v/>
      </c>
      <c r="BC552" s="49" t="str">
        <f t="shared" si="382"/>
        <v/>
      </c>
      <c r="BD552" s="49" t="str">
        <f t="shared" si="383"/>
        <v/>
      </c>
      <c r="BE552" s="22" t="str">
        <f t="shared" si="410"/>
        <v/>
      </c>
      <c r="BF552" s="21" t="str">
        <f t="shared" si="411"/>
        <v>Apprenant 540 ou 540'</v>
      </c>
      <c r="BG552" s="49" t="str">
        <f t="shared" si="384"/>
        <v/>
      </c>
      <c r="BH552" s="49" t="str">
        <f t="shared" si="385"/>
        <v/>
      </c>
      <c r="BI552" s="49" t="str">
        <f t="shared" si="386"/>
        <v/>
      </c>
      <c r="BJ552" s="22" t="str">
        <f t="shared" si="412"/>
        <v/>
      </c>
      <c r="BL552" s="21"/>
      <c r="BM552" s="21" t="str">
        <f>IF(OR(COUNT(B552:D1551)=0,AND('Choix pédagogiques'!$C$3&lt;&gt;1,'Choix pédagogiques'!$C$3&lt;&gt;2)),"",IF(AND(OR('Choix pédagogiques'!$C$3=1,'Choix pédagogiques'!$C$3=2),$B552&lt;&gt;"",$C552&lt;&gt;"",$D552&lt;&gt;""),1,0))</f>
        <v/>
      </c>
      <c r="BN552" s="21" t="str">
        <f>IF(OR(COUNT(G552:I1551)=0,AND('Choix pédagogiques'!$C$3&lt;&gt;1,'Choix pédagogiques'!$C$3&lt;&gt;2)),"",IF(AND(OR('Choix pédagogiques'!$C$3=1,'Choix pédagogiques'!$C$3=2),AND($G552&lt;&gt;"",$H552&lt;&gt;"",$I552&lt;&gt;"")),1,0))</f>
        <v/>
      </c>
      <c r="BO552" s="21" t="str">
        <f>IF(OR(COUNT(B552:D1551)=0,COUNT(G552:I1551)=0,'Choix pédagogiques'!C$3&lt;&gt;3),"",IF(AND('Choix pédagogiques'!$C$3=3,$B552&lt;&gt;"",$C552&lt;&gt;"",$D552&lt;&gt;"",$G552&lt;&gt;"",$H552&lt;&gt;"",$I552&lt;&gt;""),1,0))</f>
        <v/>
      </c>
      <c r="BR552" s="21">
        <v>832</v>
      </c>
      <c r="BS552" s="21">
        <v>1859</v>
      </c>
      <c r="BT552"/>
    </row>
    <row r="553" spans="1:72" s="23" customFormat="1" ht="18" customHeight="1" x14ac:dyDescent="0.3">
      <c r="A553" s="35" t="s">
        <v>543</v>
      </c>
      <c r="B553" s="37"/>
      <c r="C553" s="37"/>
      <c r="D553" s="37"/>
      <c r="E553" s="37"/>
      <c r="F553" s="35" t="s">
        <v>1551</v>
      </c>
      <c r="G553" s="37"/>
      <c r="H553" s="37"/>
      <c r="I553" s="37"/>
      <c r="J553" s="37"/>
      <c r="K553" s="21" t="str">
        <f t="shared" si="387"/>
        <v>Apprenant 541</v>
      </c>
      <c r="L553" s="22" t="str">
        <f t="shared" si="388"/>
        <v/>
      </c>
      <c r="M553" s="22" t="str">
        <f t="shared" si="389"/>
        <v/>
      </c>
      <c r="N553" s="22" t="str">
        <f t="shared" si="390"/>
        <v/>
      </c>
      <c r="O553" s="22" t="str">
        <f t="shared" si="391"/>
        <v/>
      </c>
      <c r="P553" s="21" t="str">
        <f t="shared" si="392"/>
        <v>Apprenant 541 ou 541'</v>
      </c>
      <c r="Q553" s="22" t="str">
        <f t="shared" si="393"/>
        <v/>
      </c>
      <c r="R553" s="22" t="str">
        <f t="shared" si="394"/>
        <v/>
      </c>
      <c r="S553" s="22" t="str">
        <f t="shared" si="395"/>
        <v/>
      </c>
      <c r="T553" s="22" t="str">
        <f t="shared" si="396"/>
        <v/>
      </c>
      <c r="V553" s="21" t="str">
        <f t="shared" si="397"/>
        <v>Apprenant 541</v>
      </c>
      <c r="W553" s="22" t="str">
        <f>IF(AND(OR('Choix pédagogiques'!$C$3=1,'Choix pédagogiques'!$C$3=2),$BM553=1),B553,IF(AND('Choix pédagogiques'!$C$3=3,$BO553=1),B553,""))</f>
        <v/>
      </c>
      <c r="X553" s="22" t="str">
        <f>IF(AND(OR('Choix pédagogiques'!$C$3=1,'Choix pédagogiques'!$C$3=2),$BM553=1),C553,IF(AND('Choix pédagogiques'!$C$3=3,$BO553=1),C553,""))</f>
        <v/>
      </c>
      <c r="Y553" s="22" t="str">
        <f>IF(AND(OR('Choix pédagogiques'!$C$3=1,'Choix pédagogiques'!$C$3=2),$BM553=1),D553,IF(AND('Choix pédagogiques'!$C$3=3,$BO553=1),D553,""))</f>
        <v/>
      </c>
      <c r="Z553" s="22" t="str">
        <f t="shared" si="398"/>
        <v/>
      </c>
      <c r="AA553" s="21" t="str">
        <f t="shared" si="399"/>
        <v>Apprenant 541 ou 541'</v>
      </c>
      <c r="AB553" s="22" t="str">
        <f>IF(AND(OR('Choix pédagogiques'!$C$3=1,'Choix pédagogiques'!$C$3=2),$BN553=1),G553,IF(AND('Choix pédagogiques'!$C$3=3,$BO553=1),G553,""))</f>
        <v/>
      </c>
      <c r="AC553" s="22" t="str">
        <f>IF(AND(OR('Choix pédagogiques'!$C$3=1,'Choix pédagogiques'!$C$3=2),$BN553=1),H553,IF(AND('Choix pédagogiques'!$C$3=3,$BO553=1),H553,""))</f>
        <v/>
      </c>
      <c r="AD553" s="22" t="str">
        <f>IF(AND(OR('Choix pédagogiques'!$C$3=1,'Choix pédagogiques'!$C$3=2),$BN553=1),I553,IF(AND('Choix pédagogiques'!$C$3=3,$BO553=1),I553,""))</f>
        <v/>
      </c>
      <c r="AE553" s="22" t="str">
        <f t="shared" si="400"/>
        <v/>
      </c>
      <c r="AF553" s="21" t="str">
        <f t="shared" si="401"/>
        <v>Apprenant 541</v>
      </c>
      <c r="AG553" s="22" t="str">
        <f t="shared" si="375"/>
        <v/>
      </c>
      <c r="AH553" s="22" t="str">
        <f t="shared" si="376"/>
        <v/>
      </c>
      <c r="AI553" s="22" t="str">
        <f t="shared" si="377"/>
        <v/>
      </c>
      <c r="AJ553" s="22" t="str">
        <f t="shared" si="402"/>
        <v/>
      </c>
      <c r="AK553" s="21" t="str">
        <f t="shared" si="403"/>
        <v>Apprenant 541 ou 541'</v>
      </c>
      <c r="AL553" s="22" t="str">
        <f t="shared" si="378"/>
        <v/>
      </c>
      <c r="AM553" s="22" t="str">
        <f t="shared" si="379"/>
        <v/>
      </c>
      <c r="AN553" s="22" t="str">
        <f t="shared" si="380"/>
        <v/>
      </c>
      <c r="AO553" s="22" t="str">
        <f t="shared" si="404"/>
        <v/>
      </c>
      <c r="AQ553" s="21" t="str">
        <f t="shared" si="405"/>
        <v>Apprenant 541</v>
      </c>
      <c r="AR553" s="49" t="str">
        <f>IF(AND('Choix pédagogiques'!$C$4&lt;&gt;"?",'Choix pédagogiques'!$C$5&lt;&gt;"?",W553&lt;&gt;""),(W553-'Choix pédagogiques'!$C$4)/('Choix pédagogiques'!$C$5-'Choix pédagogiques'!$C$4),"")</f>
        <v/>
      </c>
      <c r="AS553" s="49" t="str">
        <f>IF(AND('Choix pédagogiques'!$C$4&lt;&gt;"?",'Choix pédagogiques'!$C$5&lt;&gt;"?",X553&lt;&gt;""),(X553-'Choix pédagogiques'!$C$4)/('Choix pédagogiques'!$C$5-'Choix pédagogiques'!$C$4),"")</f>
        <v/>
      </c>
      <c r="AT553" s="49" t="str">
        <f>IF(AND('Choix pédagogiques'!$C$4&lt;&gt;"?",'Choix pédagogiques'!$C$5&lt;&gt;"?",Y553&lt;&gt;""),(Y553-'Choix pédagogiques'!$C$4)/('Choix pédagogiques'!$C$5-'Choix pédagogiques'!$C$4),"")</f>
        <v/>
      </c>
      <c r="AU553" s="22" t="str">
        <f t="shared" si="406"/>
        <v/>
      </c>
      <c r="AV553" s="21" t="str">
        <f t="shared" si="407"/>
        <v>Apprenant 541 ou 541'</v>
      </c>
      <c r="AW553" s="49" t="str">
        <f>IF(AND('Choix pédagogiques'!$C$4&lt;&gt;"?",'Choix pédagogiques'!$C$5&lt;&gt;"?",AB553&lt;&gt;""),(AB553-'Choix pédagogiques'!$C$4)/('Choix pédagogiques'!$C$5-'Choix pédagogiques'!$C$4),"")</f>
        <v/>
      </c>
      <c r="AX553" s="49" t="str">
        <f>IF(AND('Choix pédagogiques'!$C$4&lt;&gt;"?",'Choix pédagogiques'!$C$5&lt;&gt;"?",AC553&lt;&gt;""),(AC553-'Choix pédagogiques'!$C$4)/('Choix pédagogiques'!$C$5-'Choix pédagogiques'!$C$4),"")</f>
        <v/>
      </c>
      <c r="AY553" s="49" t="str">
        <f>IF(AND('Choix pédagogiques'!$C$4&lt;&gt;"?",'Choix pédagogiques'!$C$5&lt;&gt;"?",AD553&lt;&gt;""),(AD553-'Choix pédagogiques'!$C$4)/('Choix pédagogiques'!$C$5-'Choix pédagogiques'!$C$4),"")</f>
        <v/>
      </c>
      <c r="AZ553" s="22" t="str">
        <f t="shared" si="408"/>
        <v/>
      </c>
      <c r="BA553" s="21" t="str">
        <f t="shared" si="409"/>
        <v>Apprenant 541</v>
      </c>
      <c r="BB553" s="49" t="str">
        <f t="shared" si="381"/>
        <v/>
      </c>
      <c r="BC553" s="49" t="str">
        <f t="shared" si="382"/>
        <v/>
      </c>
      <c r="BD553" s="49" t="str">
        <f t="shared" si="383"/>
        <v/>
      </c>
      <c r="BE553" s="22" t="str">
        <f t="shared" si="410"/>
        <v/>
      </c>
      <c r="BF553" s="21" t="str">
        <f t="shared" si="411"/>
        <v>Apprenant 541 ou 541'</v>
      </c>
      <c r="BG553" s="49" t="str">
        <f t="shared" si="384"/>
        <v/>
      </c>
      <c r="BH553" s="49" t="str">
        <f t="shared" si="385"/>
        <v/>
      </c>
      <c r="BI553" s="49" t="str">
        <f t="shared" si="386"/>
        <v/>
      </c>
      <c r="BJ553" s="22" t="str">
        <f t="shared" si="412"/>
        <v/>
      </c>
      <c r="BL553" s="21"/>
      <c r="BM553" s="21" t="str">
        <f>IF(OR(COUNT(B553:D1552)=0,AND('Choix pédagogiques'!$C$3&lt;&gt;1,'Choix pédagogiques'!$C$3&lt;&gt;2)),"",IF(AND(OR('Choix pédagogiques'!$C$3=1,'Choix pédagogiques'!$C$3=2),$B553&lt;&gt;"",$C553&lt;&gt;"",$D553&lt;&gt;""),1,0))</f>
        <v/>
      </c>
      <c r="BN553" s="21" t="str">
        <f>IF(OR(COUNT(G553:I1552)=0,AND('Choix pédagogiques'!$C$3&lt;&gt;1,'Choix pédagogiques'!$C$3&lt;&gt;2)),"",IF(AND(OR('Choix pédagogiques'!$C$3=1,'Choix pédagogiques'!$C$3=2),AND($G553&lt;&gt;"",$H553&lt;&gt;"",$I553&lt;&gt;"")),1,0))</f>
        <v/>
      </c>
      <c r="BO553" s="21" t="str">
        <f>IF(OR(COUNT(B553:D1552)=0,COUNT(G553:I1552)=0,'Choix pédagogiques'!C$3&lt;&gt;3),"",IF(AND('Choix pédagogiques'!$C$3=3,$B553&lt;&gt;"",$C553&lt;&gt;"",$D553&lt;&gt;"",$G553&lt;&gt;"",$H553&lt;&gt;"",$I553&lt;&gt;""),1,0))</f>
        <v/>
      </c>
      <c r="BR553" s="21">
        <v>642</v>
      </c>
      <c r="BS553" s="21">
        <v>1440</v>
      </c>
      <c r="BT553"/>
    </row>
    <row r="554" spans="1:72" s="23" customFormat="1" ht="18" customHeight="1" x14ac:dyDescent="0.3">
      <c r="A554" s="35" t="s">
        <v>544</v>
      </c>
      <c r="B554" s="37"/>
      <c r="C554" s="37"/>
      <c r="D554" s="37"/>
      <c r="E554" s="37"/>
      <c r="F554" s="35" t="s">
        <v>1552</v>
      </c>
      <c r="G554" s="37"/>
      <c r="H554" s="37"/>
      <c r="I554" s="37"/>
      <c r="J554" s="37"/>
      <c r="K554" s="21" t="str">
        <f t="shared" si="387"/>
        <v>Apprenant 542</v>
      </c>
      <c r="L554" s="22" t="str">
        <f t="shared" si="388"/>
        <v/>
      </c>
      <c r="M554" s="22" t="str">
        <f t="shared" si="389"/>
        <v/>
      </c>
      <c r="N554" s="22" t="str">
        <f t="shared" si="390"/>
        <v/>
      </c>
      <c r="O554" s="22" t="str">
        <f t="shared" si="391"/>
        <v/>
      </c>
      <c r="P554" s="21" t="str">
        <f t="shared" si="392"/>
        <v>Apprenant 542 ou 542'</v>
      </c>
      <c r="Q554" s="22" t="str">
        <f t="shared" si="393"/>
        <v/>
      </c>
      <c r="R554" s="22" t="str">
        <f t="shared" si="394"/>
        <v/>
      </c>
      <c r="S554" s="22" t="str">
        <f t="shared" si="395"/>
        <v/>
      </c>
      <c r="T554" s="22" t="str">
        <f t="shared" si="396"/>
        <v/>
      </c>
      <c r="V554" s="21" t="str">
        <f t="shared" si="397"/>
        <v>Apprenant 542</v>
      </c>
      <c r="W554" s="22" t="str">
        <f>IF(AND(OR('Choix pédagogiques'!$C$3=1,'Choix pédagogiques'!$C$3=2),$BM554=1),B554,IF(AND('Choix pédagogiques'!$C$3=3,$BO554=1),B554,""))</f>
        <v/>
      </c>
      <c r="X554" s="22" t="str">
        <f>IF(AND(OR('Choix pédagogiques'!$C$3=1,'Choix pédagogiques'!$C$3=2),$BM554=1),C554,IF(AND('Choix pédagogiques'!$C$3=3,$BO554=1),C554,""))</f>
        <v/>
      </c>
      <c r="Y554" s="22" t="str">
        <f>IF(AND(OR('Choix pédagogiques'!$C$3=1,'Choix pédagogiques'!$C$3=2),$BM554=1),D554,IF(AND('Choix pédagogiques'!$C$3=3,$BO554=1),D554,""))</f>
        <v/>
      </c>
      <c r="Z554" s="22" t="str">
        <f t="shared" si="398"/>
        <v/>
      </c>
      <c r="AA554" s="21" t="str">
        <f t="shared" si="399"/>
        <v>Apprenant 542 ou 542'</v>
      </c>
      <c r="AB554" s="22" t="str">
        <f>IF(AND(OR('Choix pédagogiques'!$C$3=1,'Choix pédagogiques'!$C$3=2),$BN554=1),G554,IF(AND('Choix pédagogiques'!$C$3=3,$BO554=1),G554,""))</f>
        <v/>
      </c>
      <c r="AC554" s="22" t="str">
        <f>IF(AND(OR('Choix pédagogiques'!$C$3=1,'Choix pédagogiques'!$C$3=2),$BN554=1),H554,IF(AND('Choix pédagogiques'!$C$3=3,$BO554=1),H554,""))</f>
        <v/>
      </c>
      <c r="AD554" s="22" t="str">
        <f>IF(AND(OR('Choix pédagogiques'!$C$3=1,'Choix pédagogiques'!$C$3=2),$BN554=1),I554,IF(AND('Choix pédagogiques'!$C$3=3,$BO554=1),I554,""))</f>
        <v/>
      </c>
      <c r="AE554" s="22" t="str">
        <f t="shared" si="400"/>
        <v/>
      </c>
      <c r="AF554" s="21" t="str">
        <f t="shared" si="401"/>
        <v>Apprenant 542</v>
      </c>
      <c r="AG554" s="22" t="str">
        <f t="shared" si="375"/>
        <v/>
      </c>
      <c r="AH554" s="22" t="str">
        <f t="shared" si="376"/>
        <v/>
      </c>
      <c r="AI554" s="22" t="str">
        <f t="shared" si="377"/>
        <v/>
      </c>
      <c r="AJ554" s="22" t="str">
        <f t="shared" si="402"/>
        <v/>
      </c>
      <c r="AK554" s="21" t="str">
        <f t="shared" si="403"/>
        <v>Apprenant 542 ou 542'</v>
      </c>
      <c r="AL554" s="22" t="str">
        <f t="shared" si="378"/>
        <v/>
      </c>
      <c r="AM554" s="22" t="str">
        <f t="shared" si="379"/>
        <v/>
      </c>
      <c r="AN554" s="22" t="str">
        <f t="shared" si="380"/>
        <v/>
      </c>
      <c r="AO554" s="22" t="str">
        <f t="shared" si="404"/>
        <v/>
      </c>
      <c r="AQ554" s="21" t="str">
        <f t="shared" si="405"/>
        <v>Apprenant 542</v>
      </c>
      <c r="AR554" s="49" t="str">
        <f>IF(AND('Choix pédagogiques'!$C$4&lt;&gt;"?",'Choix pédagogiques'!$C$5&lt;&gt;"?",W554&lt;&gt;""),(W554-'Choix pédagogiques'!$C$4)/('Choix pédagogiques'!$C$5-'Choix pédagogiques'!$C$4),"")</f>
        <v/>
      </c>
      <c r="AS554" s="49" t="str">
        <f>IF(AND('Choix pédagogiques'!$C$4&lt;&gt;"?",'Choix pédagogiques'!$C$5&lt;&gt;"?",X554&lt;&gt;""),(X554-'Choix pédagogiques'!$C$4)/('Choix pédagogiques'!$C$5-'Choix pédagogiques'!$C$4),"")</f>
        <v/>
      </c>
      <c r="AT554" s="49" t="str">
        <f>IF(AND('Choix pédagogiques'!$C$4&lt;&gt;"?",'Choix pédagogiques'!$C$5&lt;&gt;"?",Y554&lt;&gt;""),(Y554-'Choix pédagogiques'!$C$4)/('Choix pédagogiques'!$C$5-'Choix pédagogiques'!$C$4),"")</f>
        <v/>
      </c>
      <c r="AU554" s="22" t="str">
        <f t="shared" si="406"/>
        <v/>
      </c>
      <c r="AV554" s="21" t="str">
        <f t="shared" si="407"/>
        <v>Apprenant 542 ou 542'</v>
      </c>
      <c r="AW554" s="49" t="str">
        <f>IF(AND('Choix pédagogiques'!$C$4&lt;&gt;"?",'Choix pédagogiques'!$C$5&lt;&gt;"?",AB554&lt;&gt;""),(AB554-'Choix pédagogiques'!$C$4)/('Choix pédagogiques'!$C$5-'Choix pédagogiques'!$C$4),"")</f>
        <v/>
      </c>
      <c r="AX554" s="49" t="str">
        <f>IF(AND('Choix pédagogiques'!$C$4&lt;&gt;"?",'Choix pédagogiques'!$C$5&lt;&gt;"?",AC554&lt;&gt;""),(AC554-'Choix pédagogiques'!$C$4)/('Choix pédagogiques'!$C$5-'Choix pédagogiques'!$C$4),"")</f>
        <v/>
      </c>
      <c r="AY554" s="49" t="str">
        <f>IF(AND('Choix pédagogiques'!$C$4&lt;&gt;"?",'Choix pédagogiques'!$C$5&lt;&gt;"?",AD554&lt;&gt;""),(AD554-'Choix pédagogiques'!$C$4)/('Choix pédagogiques'!$C$5-'Choix pédagogiques'!$C$4),"")</f>
        <v/>
      </c>
      <c r="AZ554" s="22" t="str">
        <f t="shared" si="408"/>
        <v/>
      </c>
      <c r="BA554" s="21" t="str">
        <f t="shared" si="409"/>
        <v>Apprenant 542</v>
      </c>
      <c r="BB554" s="49" t="str">
        <f t="shared" si="381"/>
        <v/>
      </c>
      <c r="BC554" s="49" t="str">
        <f t="shared" si="382"/>
        <v/>
      </c>
      <c r="BD554" s="49" t="str">
        <f t="shared" si="383"/>
        <v/>
      </c>
      <c r="BE554" s="22" t="str">
        <f t="shared" si="410"/>
        <v/>
      </c>
      <c r="BF554" s="21" t="str">
        <f t="shared" si="411"/>
        <v>Apprenant 542 ou 542'</v>
      </c>
      <c r="BG554" s="49" t="str">
        <f t="shared" si="384"/>
        <v/>
      </c>
      <c r="BH554" s="49" t="str">
        <f t="shared" si="385"/>
        <v/>
      </c>
      <c r="BI554" s="49" t="str">
        <f t="shared" si="386"/>
        <v/>
      </c>
      <c r="BJ554" s="22" t="str">
        <f t="shared" si="412"/>
        <v/>
      </c>
      <c r="BL554" s="21"/>
      <c r="BM554" s="21" t="str">
        <f>IF(OR(COUNT(B554:D1553)=0,AND('Choix pédagogiques'!$C$3&lt;&gt;1,'Choix pédagogiques'!$C$3&lt;&gt;2)),"",IF(AND(OR('Choix pédagogiques'!$C$3=1,'Choix pédagogiques'!$C$3=2),$B554&lt;&gt;"",$C554&lt;&gt;"",$D554&lt;&gt;""),1,0))</f>
        <v/>
      </c>
      <c r="BN554" s="21" t="str">
        <f>IF(OR(COUNT(G554:I1553)=0,AND('Choix pédagogiques'!$C$3&lt;&gt;1,'Choix pédagogiques'!$C$3&lt;&gt;2)),"",IF(AND(OR('Choix pédagogiques'!$C$3=1,'Choix pédagogiques'!$C$3=2),AND($G554&lt;&gt;"",$H554&lt;&gt;"",$I554&lt;&gt;"")),1,0))</f>
        <v/>
      </c>
      <c r="BO554" s="21" t="str">
        <f>IF(OR(COUNT(B554:D1553)=0,COUNT(G554:I1553)=0,'Choix pédagogiques'!C$3&lt;&gt;3),"",IF(AND('Choix pédagogiques'!$C$3=3,$B554&lt;&gt;"",$C554&lt;&gt;"",$D554&lt;&gt;"",$G554&lt;&gt;"",$H554&lt;&gt;"",$I554&lt;&gt;""),1,0))</f>
        <v/>
      </c>
      <c r="BR554" s="21">
        <v>582</v>
      </c>
      <c r="BS554" s="21">
        <v>1207</v>
      </c>
      <c r="BT554"/>
    </row>
    <row r="555" spans="1:72" s="23" customFormat="1" ht="18" customHeight="1" x14ac:dyDescent="0.3">
      <c r="A555" s="35" t="s">
        <v>545</v>
      </c>
      <c r="B555" s="37"/>
      <c r="C555" s="37"/>
      <c r="D555" s="37"/>
      <c r="E555" s="37"/>
      <c r="F555" s="35" t="s">
        <v>1553</v>
      </c>
      <c r="G555" s="37"/>
      <c r="H555" s="37"/>
      <c r="I555" s="37"/>
      <c r="J555" s="37"/>
      <c r="K555" s="21" t="str">
        <f t="shared" si="387"/>
        <v>Apprenant 543</v>
      </c>
      <c r="L555" s="22" t="str">
        <f t="shared" si="388"/>
        <v/>
      </c>
      <c r="M555" s="22" t="str">
        <f t="shared" si="389"/>
        <v/>
      </c>
      <c r="N555" s="22" t="str">
        <f t="shared" si="390"/>
        <v/>
      </c>
      <c r="O555" s="22" t="str">
        <f t="shared" si="391"/>
        <v/>
      </c>
      <c r="P555" s="21" t="str">
        <f t="shared" si="392"/>
        <v>Apprenant 543 ou 543'</v>
      </c>
      <c r="Q555" s="22" t="str">
        <f t="shared" si="393"/>
        <v/>
      </c>
      <c r="R555" s="22" t="str">
        <f t="shared" si="394"/>
        <v/>
      </c>
      <c r="S555" s="22" t="str">
        <f t="shared" si="395"/>
        <v/>
      </c>
      <c r="T555" s="22" t="str">
        <f t="shared" si="396"/>
        <v/>
      </c>
      <c r="V555" s="21" t="str">
        <f t="shared" si="397"/>
        <v>Apprenant 543</v>
      </c>
      <c r="W555" s="22" t="str">
        <f>IF(AND(OR('Choix pédagogiques'!$C$3=1,'Choix pédagogiques'!$C$3=2),$BM555=1),B555,IF(AND('Choix pédagogiques'!$C$3=3,$BO555=1),B555,""))</f>
        <v/>
      </c>
      <c r="X555" s="22" t="str">
        <f>IF(AND(OR('Choix pédagogiques'!$C$3=1,'Choix pédagogiques'!$C$3=2),$BM555=1),C555,IF(AND('Choix pédagogiques'!$C$3=3,$BO555=1),C555,""))</f>
        <v/>
      </c>
      <c r="Y555" s="22" t="str">
        <f>IF(AND(OR('Choix pédagogiques'!$C$3=1,'Choix pédagogiques'!$C$3=2),$BM555=1),D555,IF(AND('Choix pédagogiques'!$C$3=3,$BO555=1),D555,""))</f>
        <v/>
      </c>
      <c r="Z555" s="22" t="str">
        <f t="shared" si="398"/>
        <v/>
      </c>
      <c r="AA555" s="21" t="str">
        <f t="shared" si="399"/>
        <v>Apprenant 543 ou 543'</v>
      </c>
      <c r="AB555" s="22" t="str">
        <f>IF(AND(OR('Choix pédagogiques'!$C$3=1,'Choix pédagogiques'!$C$3=2),$BN555=1),G555,IF(AND('Choix pédagogiques'!$C$3=3,$BO555=1),G555,""))</f>
        <v/>
      </c>
      <c r="AC555" s="22" t="str">
        <f>IF(AND(OR('Choix pédagogiques'!$C$3=1,'Choix pédagogiques'!$C$3=2),$BN555=1),H555,IF(AND('Choix pédagogiques'!$C$3=3,$BO555=1),H555,""))</f>
        <v/>
      </c>
      <c r="AD555" s="22" t="str">
        <f>IF(AND(OR('Choix pédagogiques'!$C$3=1,'Choix pédagogiques'!$C$3=2),$BN555=1),I555,IF(AND('Choix pédagogiques'!$C$3=3,$BO555=1),I555,""))</f>
        <v/>
      </c>
      <c r="AE555" s="22" t="str">
        <f t="shared" si="400"/>
        <v/>
      </c>
      <c r="AF555" s="21" t="str">
        <f t="shared" si="401"/>
        <v>Apprenant 543</v>
      </c>
      <c r="AG555" s="22" t="str">
        <f t="shared" si="375"/>
        <v/>
      </c>
      <c r="AH555" s="22" t="str">
        <f t="shared" si="376"/>
        <v/>
      </c>
      <c r="AI555" s="22" t="str">
        <f t="shared" si="377"/>
        <v/>
      </c>
      <c r="AJ555" s="22" t="str">
        <f t="shared" si="402"/>
        <v/>
      </c>
      <c r="AK555" s="21" t="str">
        <f t="shared" si="403"/>
        <v>Apprenant 543 ou 543'</v>
      </c>
      <c r="AL555" s="22" t="str">
        <f t="shared" si="378"/>
        <v/>
      </c>
      <c r="AM555" s="22" t="str">
        <f t="shared" si="379"/>
        <v/>
      </c>
      <c r="AN555" s="22" t="str">
        <f t="shared" si="380"/>
        <v/>
      </c>
      <c r="AO555" s="22" t="str">
        <f t="shared" si="404"/>
        <v/>
      </c>
      <c r="AQ555" s="21" t="str">
        <f t="shared" si="405"/>
        <v>Apprenant 543</v>
      </c>
      <c r="AR555" s="49" t="str">
        <f>IF(AND('Choix pédagogiques'!$C$4&lt;&gt;"?",'Choix pédagogiques'!$C$5&lt;&gt;"?",W555&lt;&gt;""),(W555-'Choix pédagogiques'!$C$4)/('Choix pédagogiques'!$C$5-'Choix pédagogiques'!$C$4),"")</f>
        <v/>
      </c>
      <c r="AS555" s="49" t="str">
        <f>IF(AND('Choix pédagogiques'!$C$4&lt;&gt;"?",'Choix pédagogiques'!$C$5&lt;&gt;"?",X555&lt;&gt;""),(X555-'Choix pédagogiques'!$C$4)/('Choix pédagogiques'!$C$5-'Choix pédagogiques'!$C$4),"")</f>
        <v/>
      </c>
      <c r="AT555" s="49" t="str">
        <f>IF(AND('Choix pédagogiques'!$C$4&lt;&gt;"?",'Choix pédagogiques'!$C$5&lt;&gt;"?",Y555&lt;&gt;""),(Y555-'Choix pédagogiques'!$C$4)/('Choix pédagogiques'!$C$5-'Choix pédagogiques'!$C$4),"")</f>
        <v/>
      </c>
      <c r="AU555" s="22" t="str">
        <f t="shared" si="406"/>
        <v/>
      </c>
      <c r="AV555" s="21" t="str">
        <f t="shared" si="407"/>
        <v>Apprenant 543 ou 543'</v>
      </c>
      <c r="AW555" s="49" t="str">
        <f>IF(AND('Choix pédagogiques'!$C$4&lt;&gt;"?",'Choix pédagogiques'!$C$5&lt;&gt;"?",AB555&lt;&gt;""),(AB555-'Choix pédagogiques'!$C$4)/('Choix pédagogiques'!$C$5-'Choix pédagogiques'!$C$4),"")</f>
        <v/>
      </c>
      <c r="AX555" s="49" t="str">
        <f>IF(AND('Choix pédagogiques'!$C$4&lt;&gt;"?",'Choix pédagogiques'!$C$5&lt;&gt;"?",AC555&lt;&gt;""),(AC555-'Choix pédagogiques'!$C$4)/('Choix pédagogiques'!$C$5-'Choix pédagogiques'!$C$4),"")</f>
        <v/>
      </c>
      <c r="AY555" s="49" t="str">
        <f>IF(AND('Choix pédagogiques'!$C$4&lt;&gt;"?",'Choix pédagogiques'!$C$5&lt;&gt;"?",AD555&lt;&gt;""),(AD555-'Choix pédagogiques'!$C$4)/('Choix pédagogiques'!$C$5-'Choix pédagogiques'!$C$4),"")</f>
        <v/>
      </c>
      <c r="AZ555" s="22" t="str">
        <f t="shared" si="408"/>
        <v/>
      </c>
      <c r="BA555" s="21" t="str">
        <f t="shared" si="409"/>
        <v>Apprenant 543</v>
      </c>
      <c r="BB555" s="49" t="str">
        <f t="shared" si="381"/>
        <v/>
      </c>
      <c r="BC555" s="49" t="str">
        <f t="shared" si="382"/>
        <v/>
      </c>
      <c r="BD555" s="49" t="str">
        <f t="shared" si="383"/>
        <v/>
      </c>
      <c r="BE555" s="22" t="str">
        <f t="shared" si="410"/>
        <v/>
      </c>
      <c r="BF555" s="21" t="str">
        <f t="shared" si="411"/>
        <v>Apprenant 543 ou 543'</v>
      </c>
      <c r="BG555" s="49" t="str">
        <f t="shared" si="384"/>
        <v/>
      </c>
      <c r="BH555" s="49" t="str">
        <f t="shared" si="385"/>
        <v/>
      </c>
      <c r="BI555" s="49" t="str">
        <f t="shared" si="386"/>
        <v/>
      </c>
      <c r="BJ555" s="22" t="str">
        <f t="shared" si="412"/>
        <v/>
      </c>
      <c r="BL555" s="21"/>
      <c r="BM555" s="21" t="str">
        <f>IF(OR(COUNT(B555:D1554)=0,AND('Choix pédagogiques'!$C$3&lt;&gt;1,'Choix pédagogiques'!$C$3&lt;&gt;2)),"",IF(AND(OR('Choix pédagogiques'!$C$3=1,'Choix pédagogiques'!$C$3=2),$B555&lt;&gt;"",$C555&lt;&gt;"",$D555&lt;&gt;""),1,0))</f>
        <v/>
      </c>
      <c r="BN555" s="21" t="str">
        <f>IF(OR(COUNT(G555:I1554)=0,AND('Choix pédagogiques'!$C$3&lt;&gt;1,'Choix pédagogiques'!$C$3&lt;&gt;2)),"",IF(AND(OR('Choix pédagogiques'!$C$3=1,'Choix pédagogiques'!$C$3=2),AND($G555&lt;&gt;"",$H555&lt;&gt;"",$I555&lt;&gt;"")),1,0))</f>
        <v/>
      </c>
      <c r="BO555" s="21" t="str">
        <f>IF(OR(COUNT(B555:D1554)=0,COUNT(G555:I1554)=0,'Choix pédagogiques'!C$3&lt;&gt;3),"",IF(AND('Choix pédagogiques'!$C$3=3,$B555&lt;&gt;"",$C555&lt;&gt;"",$D555&lt;&gt;"",$G555&lt;&gt;"",$H555&lt;&gt;"",$I555&lt;&gt;""),1,0))</f>
        <v/>
      </c>
      <c r="BR555" s="21">
        <v>66</v>
      </c>
      <c r="BS555" s="21">
        <v>1772</v>
      </c>
      <c r="BT555"/>
    </row>
    <row r="556" spans="1:72" s="23" customFormat="1" ht="18" customHeight="1" x14ac:dyDescent="0.3">
      <c r="A556" s="35" t="s">
        <v>546</v>
      </c>
      <c r="B556" s="37"/>
      <c r="C556" s="37"/>
      <c r="D556" s="37"/>
      <c r="E556" s="37"/>
      <c r="F556" s="35" t="s">
        <v>1554</v>
      </c>
      <c r="G556" s="37"/>
      <c r="H556" s="37"/>
      <c r="I556" s="37"/>
      <c r="J556" s="37"/>
      <c r="K556" s="21" t="str">
        <f t="shared" si="387"/>
        <v>Apprenant 544</v>
      </c>
      <c r="L556" s="22" t="str">
        <f t="shared" si="388"/>
        <v/>
      </c>
      <c r="M556" s="22" t="str">
        <f t="shared" si="389"/>
        <v/>
      </c>
      <c r="N556" s="22" t="str">
        <f t="shared" si="390"/>
        <v/>
      </c>
      <c r="O556" s="22" t="str">
        <f t="shared" si="391"/>
        <v/>
      </c>
      <c r="P556" s="21" t="str">
        <f t="shared" si="392"/>
        <v>Apprenant 544 ou 544'</v>
      </c>
      <c r="Q556" s="22" t="str">
        <f t="shared" si="393"/>
        <v/>
      </c>
      <c r="R556" s="22" t="str">
        <f t="shared" si="394"/>
        <v/>
      </c>
      <c r="S556" s="22" t="str">
        <f t="shared" si="395"/>
        <v/>
      </c>
      <c r="T556" s="22" t="str">
        <f t="shared" si="396"/>
        <v/>
      </c>
      <c r="V556" s="21" t="str">
        <f t="shared" si="397"/>
        <v>Apprenant 544</v>
      </c>
      <c r="W556" s="22" t="str">
        <f>IF(AND(OR('Choix pédagogiques'!$C$3=1,'Choix pédagogiques'!$C$3=2),$BM556=1),B556,IF(AND('Choix pédagogiques'!$C$3=3,$BO556=1),B556,""))</f>
        <v/>
      </c>
      <c r="X556" s="22" t="str">
        <f>IF(AND(OR('Choix pédagogiques'!$C$3=1,'Choix pédagogiques'!$C$3=2),$BM556=1),C556,IF(AND('Choix pédagogiques'!$C$3=3,$BO556=1),C556,""))</f>
        <v/>
      </c>
      <c r="Y556" s="22" t="str">
        <f>IF(AND(OR('Choix pédagogiques'!$C$3=1,'Choix pédagogiques'!$C$3=2),$BM556=1),D556,IF(AND('Choix pédagogiques'!$C$3=3,$BO556=1),D556,""))</f>
        <v/>
      </c>
      <c r="Z556" s="22" t="str">
        <f t="shared" si="398"/>
        <v/>
      </c>
      <c r="AA556" s="21" t="str">
        <f t="shared" si="399"/>
        <v>Apprenant 544 ou 544'</v>
      </c>
      <c r="AB556" s="22" t="str">
        <f>IF(AND(OR('Choix pédagogiques'!$C$3=1,'Choix pédagogiques'!$C$3=2),$BN556=1),G556,IF(AND('Choix pédagogiques'!$C$3=3,$BO556=1),G556,""))</f>
        <v/>
      </c>
      <c r="AC556" s="22" t="str">
        <f>IF(AND(OR('Choix pédagogiques'!$C$3=1,'Choix pédagogiques'!$C$3=2),$BN556=1),H556,IF(AND('Choix pédagogiques'!$C$3=3,$BO556=1),H556,""))</f>
        <v/>
      </c>
      <c r="AD556" s="22" t="str">
        <f>IF(AND(OR('Choix pédagogiques'!$C$3=1,'Choix pédagogiques'!$C$3=2),$BN556=1),I556,IF(AND('Choix pédagogiques'!$C$3=3,$BO556=1),I556,""))</f>
        <v/>
      </c>
      <c r="AE556" s="22" t="str">
        <f t="shared" si="400"/>
        <v/>
      </c>
      <c r="AF556" s="21" t="str">
        <f t="shared" si="401"/>
        <v>Apprenant 544</v>
      </c>
      <c r="AG556" s="22" t="str">
        <f t="shared" si="375"/>
        <v/>
      </c>
      <c r="AH556" s="22" t="str">
        <f t="shared" si="376"/>
        <v/>
      </c>
      <c r="AI556" s="22" t="str">
        <f t="shared" si="377"/>
        <v/>
      </c>
      <c r="AJ556" s="22" t="str">
        <f t="shared" si="402"/>
        <v/>
      </c>
      <c r="AK556" s="21" t="str">
        <f t="shared" si="403"/>
        <v>Apprenant 544 ou 544'</v>
      </c>
      <c r="AL556" s="22" t="str">
        <f t="shared" si="378"/>
        <v/>
      </c>
      <c r="AM556" s="22" t="str">
        <f t="shared" si="379"/>
        <v/>
      </c>
      <c r="AN556" s="22" t="str">
        <f t="shared" si="380"/>
        <v/>
      </c>
      <c r="AO556" s="22" t="str">
        <f t="shared" si="404"/>
        <v/>
      </c>
      <c r="AQ556" s="21" t="str">
        <f t="shared" si="405"/>
        <v>Apprenant 544</v>
      </c>
      <c r="AR556" s="49" t="str">
        <f>IF(AND('Choix pédagogiques'!$C$4&lt;&gt;"?",'Choix pédagogiques'!$C$5&lt;&gt;"?",W556&lt;&gt;""),(W556-'Choix pédagogiques'!$C$4)/('Choix pédagogiques'!$C$5-'Choix pédagogiques'!$C$4),"")</f>
        <v/>
      </c>
      <c r="AS556" s="49" t="str">
        <f>IF(AND('Choix pédagogiques'!$C$4&lt;&gt;"?",'Choix pédagogiques'!$C$5&lt;&gt;"?",X556&lt;&gt;""),(X556-'Choix pédagogiques'!$C$4)/('Choix pédagogiques'!$C$5-'Choix pédagogiques'!$C$4),"")</f>
        <v/>
      </c>
      <c r="AT556" s="49" t="str">
        <f>IF(AND('Choix pédagogiques'!$C$4&lt;&gt;"?",'Choix pédagogiques'!$C$5&lt;&gt;"?",Y556&lt;&gt;""),(Y556-'Choix pédagogiques'!$C$4)/('Choix pédagogiques'!$C$5-'Choix pédagogiques'!$C$4),"")</f>
        <v/>
      </c>
      <c r="AU556" s="22" t="str">
        <f t="shared" si="406"/>
        <v/>
      </c>
      <c r="AV556" s="21" t="str">
        <f t="shared" si="407"/>
        <v>Apprenant 544 ou 544'</v>
      </c>
      <c r="AW556" s="49" t="str">
        <f>IF(AND('Choix pédagogiques'!$C$4&lt;&gt;"?",'Choix pédagogiques'!$C$5&lt;&gt;"?",AB556&lt;&gt;""),(AB556-'Choix pédagogiques'!$C$4)/('Choix pédagogiques'!$C$5-'Choix pédagogiques'!$C$4),"")</f>
        <v/>
      </c>
      <c r="AX556" s="49" t="str">
        <f>IF(AND('Choix pédagogiques'!$C$4&lt;&gt;"?",'Choix pédagogiques'!$C$5&lt;&gt;"?",AC556&lt;&gt;""),(AC556-'Choix pédagogiques'!$C$4)/('Choix pédagogiques'!$C$5-'Choix pédagogiques'!$C$4),"")</f>
        <v/>
      </c>
      <c r="AY556" s="49" t="str">
        <f>IF(AND('Choix pédagogiques'!$C$4&lt;&gt;"?",'Choix pédagogiques'!$C$5&lt;&gt;"?",AD556&lt;&gt;""),(AD556-'Choix pédagogiques'!$C$4)/('Choix pédagogiques'!$C$5-'Choix pédagogiques'!$C$4),"")</f>
        <v/>
      </c>
      <c r="AZ556" s="22" t="str">
        <f t="shared" si="408"/>
        <v/>
      </c>
      <c r="BA556" s="21" t="str">
        <f t="shared" si="409"/>
        <v>Apprenant 544</v>
      </c>
      <c r="BB556" s="49" t="str">
        <f t="shared" si="381"/>
        <v/>
      </c>
      <c r="BC556" s="49" t="str">
        <f t="shared" si="382"/>
        <v/>
      </c>
      <c r="BD556" s="49" t="str">
        <f t="shared" si="383"/>
        <v/>
      </c>
      <c r="BE556" s="22" t="str">
        <f t="shared" si="410"/>
        <v/>
      </c>
      <c r="BF556" s="21" t="str">
        <f t="shared" si="411"/>
        <v>Apprenant 544 ou 544'</v>
      </c>
      <c r="BG556" s="49" t="str">
        <f t="shared" si="384"/>
        <v/>
      </c>
      <c r="BH556" s="49" t="str">
        <f t="shared" si="385"/>
        <v/>
      </c>
      <c r="BI556" s="49" t="str">
        <f t="shared" si="386"/>
        <v/>
      </c>
      <c r="BJ556" s="22" t="str">
        <f t="shared" si="412"/>
        <v/>
      </c>
      <c r="BL556" s="21"/>
      <c r="BM556" s="21" t="str">
        <f>IF(OR(COUNT(B556:D1555)=0,AND('Choix pédagogiques'!$C$3&lt;&gt;1,'Choix pédagogiques'!$C$3&lt;&gt;2)),"",IF(AND(OR('Choix pédagogiques'!$C$3=1,'Choix pédagogiques'!$C$3=2),$B556&lt;&gt;"",$C556&lt;&gt;"",$D556&lt;&gt;""),1,0))</f>
        <v/>
      </c>
      <c r="BN556" s="21" t="str">
        <f>IF(OR(COUNT(G556:I1555)=0,AND('Choix pédagogiques'!$C$3&lt;&gt;1,'Choix pédagogiques'!$C$3&lt;&gt;2)),"",IF(AND(OR('Choix pédagogiques'!$C$3=1,'Choix pédagogiques'!$C$3=2),AND($G556&lt;&gt;"",$H556&lt;&gt;"",$I556&lt;&gt;"")),1,0))</f>
        <v/>
      </c>
      <c r="BO556" s="21" t="str">
        <f>IF(OR(COUNT(B556:D1555)=0,COUNT(G556:I1555)=0,'Choix pédagogiques'!C$3&lt;&gt;3),"",IF(AND('Choix pédagogiques'!$C$3=3,$B556&lt;&gt;"",$C556&lt;&gt;"",$D556&lt;&gt;"",$G556&lt;&gt;"",$H556&lt;&gt;"",$I556&lt;&gt;""),1,0))</f>
        <v/>
      </c>
      <c r="BR556" s="21">
        <v>43</v>
      </c>
      <c r="BS556" s="21">
        <v>1882</v>
      </c>
      <c r="BT556"/>
    </row>
    <row r="557" spans="1:72" s="23" customFormat="1" ht="18" customHeight="1" x14ac:dyDescent="0.3">
      <c r="A557" s="35" t="s">
        <v>547</v>
      </c>
      <c r="B557" s="37"/>
      <c r="C557" s="37"/>
      <c r="D557" s="37"/>
      <c r="E557" s="37"/>
      <c r="F557" s="35" t="s">
        <v>1555</v>
      </c>
      <c r="G557" s="37"/>
      <c r="H557" s="37"/>
      <c r="I557" s="37"/>
      <c r="J557" s="37"/>
      <c r="K557" s="21" t="str">
        <f t="shared" si="387"/>
        <v>Apprenant 545</v>
      </c>
      <c r="L557" s="22" t="str">
        <f t="shared" si="388"/>
        <v/>
      </c>
      <c r="M557" s="22" t="str">
        <f t="shared" si="389"/>
        <v/>
      </c>
      <c r="N557" s="22" t="str">
        <f t="shared" si="390"/>
        <v/>
      </c>
      <c r="O557" s="22" t="str">
        <f t="shared" si="391"/>
        <v/>
      </c>
      <c r="P557" s="21" t="str">
        <f t="shared" si="392"/>
        <v>Apprenant 545 ou 545'</v>
      </c>
      <c r="Q557" s="22" t="str">
        <f t="shared" si="393"/>
        <v/>
      </c>
      <c r="R557" s="22" t="str">
        <f t="shared" si="394"/>
        <v/>
      </c>
      <c r="S557" s="22" t="str">
        <f t="shared" si="395"/>
        <v/>
      </c>
      <c r="T557" s="22" t="str">
        <f t="shared" si="396"/>
        <v/>
      </c>
      <c r="V557" s="21" t="str">
        <f t="shared" si="397"/>
        <v>Apprenant 545</v>
      </c>
      <c r="W557" s="22" t="str">
        <f>IF(AND(OR('Choix pédagogiques'!$C$3=1,'Choix pédagogiques'!$C$3=2),$BM557=1),B557,IF(AND('Choix pédagogiques'!$C$3=3,$BO557=1),B557,""))</f>
        <v/>
      </c>
      <c r="X557" s="22" t="str">
        <f>IF(AND(OR('Choix pédagogiques'!$C$3=1,'Choix pédagogiques'!$C$3=2),$BM557=1),C557,IF(AND('Choix pédagogiques'!$C$3=3,$BO557=1),C557,""))</f>
        <v/>
      </c>
      <c r="Y557" s="22" t="str">
        <f>IF(AND(OR('Choix pédagogiques'!$C$3=1,'Choix pédagogiques'!$C$3=2),$BM557=1),D557,IF(AND('Choix pédagogiques'!$C$3=3,$BO557=1),D557,""))</f>
        <v/>
      </c>
      <c r="Z557" s="22" t="str">
        <f t="shared" si="398"/>
        <v/>
      </c>
      <c r="AA557" s="21" t="str">
        <f t="shared" si="399"/>
        <v>Apprenant 545 ou 545'</v>
      </c>
      <c r="AB557" s="22" t="str">
        <f>IF(AND(OR('Choix pédagogiques'!$C$3=1,'Choix pédagogiques'!$C$3=2),$BN557=1),G557,IF(AND('Choix pédagogiques'!$C$3=3,$BO557=1),G557,""))</f>
        <v/>
      </c>
      <c r="AC557" s="22" t="str">
        <f>IF(AND(OR('Choix pédagogiques'!$C$3=1,'Choix pédagogiques'!$C$3=2),$BN557=1),H557,IF(AND('Choix pédagogiques'!$C$3=3,$BO557=1),H557,""))</f>
        <v/>
      </c>
      <c r="AD557" s="22" t="str">
        <f>IF(AND(OR('Choix pédagogiques'!$C$3=1,'Choix pédagogiques'!$C$3=2),$BN557=1),I557,IF(AND('Choix pédagogiques'!$C$3=3,$BO557=1),I557,""))</f>
        <v/>
      </c>
      <c r="AE557" s="22" t="str">
        <f t="shared" si="400"/>
        <v/>
      </c>
      <c r="AF557" s="21" t="str">
        <f t="shared" si="401"/>
        <v>Apprenant 545</v>
      </c>
      <c r="AG557" s="22" t="str">
        <f t="shared" si="375"/>
        <v/>
      </c>
      <c r="AH557" s="22" t="str">
        <f t="shared" si="376"/>
        <v/>
      </c>
      <c r="AI557" s="22" t="str">
        <f t="shared" si="377"/>
        <v/>
      </c>
      <c r="AJ557" s="22" t="str">
        <f t="shared" si="402"/>
        <v/>
      </c>
      <c r="AK557" s="21" t="str">
        <f t="shared" si="403"/>
        <v>Apprenant 545 ou 545'</v>
      </c>
      <c r="AL557" s="22" t="str">
        <f t="shared" si="378"/>
        <v/>
      </c>
      <c r="AM557" s="22" t="str">
        <f t="shared" si="379"/>
        <v/>
      </c>
      <c r="AN557" s="22" t="str">
        <f t="shared" si="380"/>
        <v/>
      </c>
      <c r="AO557" s="22" t="str">
        <f t="shared" si="404"/>
        <v/>
      </c>
      <c r="AQ557" s="21" t="str">
        <f t="shared" si="405"/>
        <v>Apprenant 545</v>
      </c>
      <c r="AR557" s="49" t="str">
        <f>IF(AND('Choix pédagogiques'!$C$4&lt;&gt;"?",'Choix pédagogiques'!$C$5&lt;&gt;"?",W557&lt;&gt;""),(W557-'Choix pédagogiques'!$C$4)/('Choix pédagogiques'!$C$5-'Choix pédagogiques'!$C$4),"")</f>
        <v/>
      </c>
      <c r="AS557" s="49" t="str">
        <f>IF(AND('Choix pédagogiques'!$C$4&lt;&gt;"?",'Choix pédagogiques'!$C$5&lt;&gt;"?",X557&lt;&gt;""),(X557-'Choix pédagogiques'!$C$4)/('Choix pédagogiques'!$C$5-'Choix pédagogiques'!$C$4),"")</f>
        <v/>
      </c>
      <c r="AT557" s="49" t="str">
        <f>IF(AND('Choix pédagogiques'!$C$4&lt;&gt;"?",'Choix pédagogiques'!$C$5&lt;&gt;"?",Y557&lt;&gt;""),(Y557-'Choix pédagogiques'!$C$4)/('Choix pédagogiques'!$C$5-'Choix pédagogiques'!$C$4),"")</f>
        <v/>
      </c>
      <c r="AU557" s="22" t="str">
        <f t="shared" si="406"/>
        <v/>
      </c>
      <c r="AV557" s="21" t="str">
        <f t="shared" si="407"/>
        <v>Apprenant 545 ou 545'</v>
      </c>
      <c r="AW557" s="49" t="str">
        <f>IF(AND('Choix pédagogiques'!$C$4&lt;&gt;"?",'Choix pédagogiques'!$C$5&lt;&gt;"?",AB557&lt;&gt;""),(AB557-'Choix pédagogiques'!$C$4)/('Choix pédagogiques'!$C$5-'Choix pédagogiques'!$C$4),"")</f>
        <v/>
      </c>
      <c r="AX557" s="49" t="str">
        <f>IF(AND('Choix pédagogiques'!$C$4&lt;&gt;"?",'Choix pédagogiques'!$C$5&lt;&gt;"?",AC557&lt;&gt;""),(AC557-'Choix pédagogiques'!$C$4)/('Choix pédagogiques'!$C$5-'Choix pédagogiques'!$C$4),"")</f>
        <v/>
      </c>
      <c r="AY557" s="49" t="str">
        <f>IF(AND('Choix pédagogiques'!$C$4&lt;&gt;"?",'Choix pédagogiques'!$C$5&lt;&gt;"?",AD557&lt;&gt;""),(AD557-'Choix pédagogiques'!$C$4)/('Choix pédagogiques'!$C$5-'Choix pédagogiques'!$C$4),"")</f>
        <v/>
      </c>
      <c r="AZ557" s="22" t="str">
        <f t="shared" si="408"/>
        <v/>
      </c>
      <c r="BA557" s="21" t="str">
        <f t="shared" si="409"/>
        <v>Apprenant 545</v>
      </c>
      <c r="BB557" s="49" t="str">
        <f t="shared" si="381"/>
        <v/>
      </c>
      <c r="BC557" s="49" t="str">
        <f t="shared" si="382"/>
        <v/>
      </c>
      <c r="BD557" s="49" t="str">
        <f t="shared" si="383"/>
        <v/>
      </c>
      <c r="BE557" s="22" t="str">
        <f t="shared" si="410"/>
        <v/>
      </c>
      <c r="BF557" s="21" t="str">
        <f t="shared" si="411"/>
        <v>Apprenant 545 ou 545'</v>
      </c>
      <c r="BG557" s="49" t="str">
        <f t="shared" si="384"/>
        <v/>
      </c>
      <c r="BH557" s="49" t="str">
        <f t="shared" si="385"/>
        <v/>
      </c>
      <c r="BI557" s="49" t="str">
        <f t="shared" si="386"/>
        <v/>
      </c>
      <c r="BJ557" s="22" t="str">
        <f t="shared" si="412"/>
        <v/>
      </c>
      <c r="BL557" s="21"/>
      <c r="BM557" s="21" t="str">
        <f>IF(OR(COUNT(B557:D1556)=0,AND('Choix pédagogiques'!$C$3&lt;&gt;1,'Choix pédagogiques'!$C$3&lt;&gt;2)),"",IF(AND(OR('Choix pédagogiques'!$C$3=1,'Choix pédagogiques'!$C$3=2),$B557&lt;&gt;"",$C557&lt;&gt;"",$D557&lt;&gt;""),1,0))</f>
        <v/>
      </c>
      <c r="BN557" s="21" t="str">
        <f>IF(OR(COUNT(G557:I1556)=0,AND('Choix pédagogiques'!$C$3&lt;&gt;1,'Choix pédagogiques'!$C$3&lt;&gt;2)),"",IF(AND(OR('Choix pédagogiques'!$C$3=1,'Choix pédagogiques'!$C$3=2),AND($G557&lt;&gt;"",$H557&lt;&gt;"",$I557&lt;&gt;"")),1,0))</f>
        <v/>
      </c>
      <c r="BO557" s="21" t="str">
        <f>IF(OR(COUNT(B557:D1556)=0,COUNT(G557:I1556)=0,'Choix pédagogiques'!C$3&lt;&gt;3),"",IF(AND('Choix pédagogiques'!$C$3=3,$B557&lt;&gt;"",$C557&lt;&gt;"",$D557&lt;&gt;"",$G557&lt;&gt;"",$H557&lt;&gt;"",$I557&lt;&gt;""),1,0))</f>
        <v/>
      </c>
      <c r="BR557" s="21">
        <v>960</v>
      </c>
      <c r="BS557" s="21">
        <v>1153</v>
      </c>
      <c r="BT557"/>
    </row>
    <row r="558" spans="1:72" s="23" customFormat="1" ht="18" customHeight="1" x14ac:dyDescent="0.3">
      <c r="A558" s="35" t="s">
        <v>548</v>
      </c>
      <c r="B558" s="37"/>
      <c r="C558" s="37"/>
      <c r="D558" s="37"/>
      <c r="E558" s="37"/>
      <c r="F558" s="35" t="s">
        <v>1556</v>
      </c>
      <c r="G558" s="37"/>
      <c r="H558" s="37"/>
      <c r="I558" s="37"/>
      <c r="J558" s="37"/>
      <c r="K558" s="21" t="str">
        <f t="shared" si="387"/>
        <v>Apprenant 546</v>
      </c>
      <c r="L558" s="22" t="str">
        <f t="shared" si="388"/>
        <v/>
      </c>
      <c r="M558" s="22" t="str">
        <f t="shared" si="389"/>
        <v/>
      </c>
      <c r="N558" s="22" t="str">
        <f t="shared" si="390"/>
        <v/>
      </c>
      <c r="O558" s="22" t="str">
        <f t="shared" si="391"/>
        <v/>
      </c>
      <c r="P558" s="21" t="str">
        <f t="shared" si="392"/>
        <v>Apprenant 546 ou 546'</v>
      </c>
      <c r="Q558" s="22" t="str">
        <f t="shared" si="393"/>
        <v/>
      </c>
      <c r="R558" s="22" t="str">
        <f t="shared" si="394"/>
        <v/>
      </c>
      <c r="S558" s="22" t="str">
        <f t="shared" si="395"/>
        <v/>
      </c>
      <c r="T558" s="22" t="str">
        <f t="shared" si="396"/>
        <v/>
      </c>
      <c r="V558" s="21" t="str">
        <f t="shared" si="397"/>
        <v>Apprenant 546</v>
      </c>
      <c r="W558" s="22" t="str">
        <f>IF(AND(OR('Choix pédagogiques'!$C$3=1,'Choix pédagogiques'!$C$3=2),$BM558=1),B558,IF(AND('Choix pédagogiques'!$C$3=3,$BO558=1),B558,""))</f>
        <v/>
      </c>
      <c r="X558" s="22" t="str">
        <f>IF(AND(OR('Choix pédagogiques'!$C$3=1,'Choix pédagogiques'!$C$3=2),$BM558=1),C558,IF(AND('Choix pédagogiques'!$C$3=3,$BO558=1),C558,""))</f>
        <v/>
      </c>
      <c r="Y558" s="22" t="str">
        <f>IF(AND(OR('Choix pédagogiques'!$C$3=1,'Choix pédagogiques'!$C$3=2),$BM558=1),D558,IF(AND('Choix pédagogiques'!$C$3=3,$BO558=1),D558,""))</f>
        <v/>
      </c>
      <c r="Z558" s="22" t="str">
        <f t="shared" si="398"/>
        <v/>
      </c>
      <c r="AA558" s="21" t="str">
        <f t="shared" si="399"/>
        <v>Apprenant 546 ou 546'</v>
      </c>
      <c r="AB558" s="22" t="str">
        <f>IF(AND(OR('Choix pédagogiques'!$C$3=1,'Choix pédagogiques'!$C$3=2),$BN558=1),G558,IF(AND('Choix pédagogiques'!$C$3=3,$BO558=1),G558,""))</f>
        <v/>
      </c>
      <c r="AC558" s="22" t="str">
        <f>IF(AND(OR('Choix pédagogiques'!$C$3=1,'Choix pédagogiques'!$C$3=2),$BN558=1),H558,IF(AND('Choix pédagogiques'!$C$3=3,$BO558=1),H558,""))</f>
        <v/>
      </c>
      <c r="AD558" s="22" t="str">
        <f>IF(AND(OR('Choix pédagogiques'!$C$3=1,'Choix pédagogiques'!$C$3=2),$BN558=1),I558,IF(AND('Choix pédagogiques'!$C$3=3,$BO558=1),I558,""))</f>
        <v/>
      </c>
      <c r="AE558" s="22" t="str">
        <f t="shared" si="400"/>
        <v/>
      </c>
      <c r="AF558" s="21" t="str">
        <f t="shared" si="401"/>
        <v>Apprenant 546</v>
      </c>
      <c r="AG558" s="22" t="str">
        <f t="shared" si="375"/>
        <v/>
      </c>
      <c r="AH558" s="22" t="str">
        <f t="shared" si="376"/>
        <v/>
      </c>
      <c r="AI558" s="22" t="str">
        <f t="shared" si="377"/>
        <v/>
      </c>
      <c r="AJ558" s="22" t="str">
        <f t="shared" si="402"/>
        <v/>
      </c>
      <c r="AK558" s="21" t="str">
        <f t="shared" si="403"/>
        <v>Apprenant 546 ou 546'</v>
      </c>
      <c r="AL558" s="22" t="str">
        <f t="shared" si="378"/>
        <v/>
      </c>
      <c r="AM558" s="22" t="str">
        <f t="shared" si="379"/>
        <v/>
      </c>
      <c r="AN558" s="22" t="str">
        <f t="shared" si="380"/>
        <v/>
      </c>
      <c r="AO558" s="22" t="str">
        <f t="shared" si="404"/>
        <v/>
      </c>
      <c r="AQ558" s="21" t="str">
        <f t="shared" si="405"/>
        <v>Apprenant 546</v>
      </c>
      <c r="AR558" s="49" t="str">
        <f>IF(AND('Choix pédagogiques'!$C$4&lt;&gt;"?",'Choix pédagogiques'!$C$5&lt;&gt;"?",W558&lt;&gt;""),(W558-'Choix pédagogiques'!$C$4)/('Choix pédagogiques'!$C$5-'Choix pédagogiques'!$C$4),"")</f>
        <v/>
      </c>
      <c r="AS558" s="49" t="str">
        <f>IF(AND('Choix pédagogiques'!$C$4&lt;&gt;"?",'Choix pédagogiques'!$C$5&lt;&gt;"?",X558&lt;&gt;""),(X558-'Choix pédagogiques'!$C$4)/('Choix pédagogiques'!$C$5-'Choix pédagogiques'!$C$4),"")</f>
        <v/>
      </c>
      <c r="AT558" s="49" t="str">
        <f>IF(AND('Choix pédagogiques'!$C$4&lt;&gt;"?",'Choix pédagogiques'!$C$5&lt;&gt;"?",Y558&lt;&gt;""),(Y558-'Choix pédagogiques'!$C$4)/('Choix pédagogiques'!$C$5-'Choix pédagogiques'!$C$4),"")</f>
        <v/>
      </c>
      <c r="AU558" s="22" t="str">
        <f t="shared" si="406"/>
        <v/>
      </c>
      <c r="AV558" s="21" t="str">
        <f t="shared" si="407"/>
        <v>Apprenant 546 ou 546'</v>
      </c>
      <c r="AW558" s="49" t="str">
        <f>IF(AND('Choix pédagogiques'!$C$4&lt;&gt;"?",'Choix pédagogiques'!$C$5&lt;&gt;"?",AB558&lt;&gt;""),(AB558-'Choix pédagogiques'!$C$4)/('Choix pédagogiques'!$C$5-'Choix pédagogiques'!$C$4),"")</f>
        <v/>
      </c>
      <c r="AX558" s="49" t="str">
        <f>IF(AND('Choix pédagogiques'!$C$4&lt;&gt;"?",'Choix pédagogiques'!$C$5&lt;&gt;"?",AC558&lt;&gt;""),(AC558-'Choix pédagogiques'!$C$4)/('Choix pédagogiques'!$C$5-'Choix pédagogiques'!$C$4),"")</f>
        <v/>
      </c>
      <c r="AY558" s="49" t="str">
        <f>IF(AND('Choix pédagogiques'!$C$4&lt;&gt;"?",'Choix pédagogiques'!$C$5&lt;&gt;"?",AD558&lt;&gt;""),(AD558-'Choix pédagogiques'!$C$4)/('Choix pédagogiques'!$C$5-'Choix pédagogiques'!$C$4),"")</f>
        <v/>
      </c>
      <c r="AZ558" s="22" t="str">
        <f t="shared" si="408"/>
        <v/>
      </c>
      <c r="BA558" s="21" t="str">
        <f t="shared" si="409"/>
        <v>Apprenant 546</v>
      </c>
      <c r="BB558" s="49" t="str">
        <f t="shared" si="381"/>
        <v/>
      </c>
      <c r="BC558" s="49" t="str">
        <f t="shared" si="382"/>
        <v/>
      </c>
      <c r="BD558" s="49" t="str">
        <f t="shared" si="383"/>
        <v/>
      </c>
      <c r="BE558" s="22" t="str">
        <f t="shared" si="410"/>
        <v/>
      </c>
      <c r="BF558" s="21" t="str">
        <f t="shared" si="411"/>
        <v>Apprenant 546 ou 546'</v>
      </c>
      <c r="BG558" s="49" t="str">
        <f t="shared" si="384"/>
        <v/>
      </c>
      <c r="BH558" s="49" t="str">
        <f t="shared" si="385"/>
        <v/>
      </c>
      <c r="BI558" s="49" t="str">
        <f t="shared" si="386"/>
        <v/>
      </c>
      <c r="BJ558" s="22" t="str">
        <f t="shared" si="412"/>
        <v/>
      </c>
      <c r="BL558" s="21"/>
      <c r="BM558" s="21" t="str">
        <f>IF(OR(COUNT(B558:D1557)=0,AND('Choix pédagogiques'!$C$3&lt;&gt;1,'Choix pédagogiques'!$C$3&lt;&gt;2)),"",IF(AND(OR('Choix pédagogiques'!$C$3=1,'Choix pédagogiques'!$C$3=2),$B558&lt;&gt;"",$C558&lt;&gt;"",$D558&lt;&gt;""),1,0))</f>
        <v/>
      </c>
      <c r="BN558" s="21" t="str">
        <f>IF(OR(COUNT(G558:I1557)=0,AND('Choix pédagogiques'!$C$3&lt;&gt;1,'Choix pédagogiques'!$C$3&lt;&gt;2)),"",IF(AND(OR('Choix pédagogiques'!$C$3=1,'Choix pédagogiques'!$C$3=2),AND($G558&lt;&gt;"",$H558&lt;&gt;"",$I558&lt;&gt;"")),1,0))</f>
        <v/>
      </c>
      <c r="BO558" s="21" t="str">
        <f>IF(OR(COUNT(B558:D1557)=0,COUNT(G558:I1557)=0,'Choix pédagogiques'!C$3&lt;&gt;3),"",IF(AND('Choix pédagogiques'!$C$3=3,$B558&lt;&gt;"",$C558&lt;&gt;"",$D558&lt;&gt;"",$G558&lt;&gt;"",$H558&lt;&gt;"",$I558&lt;&gt;""),1,0))</f>
        <v/>
      </c>
      <c r="BR558" s="21">
        <v>46</v>
      </c>
      <c r="BS558" s="21">
        <v>1849</v>
      </c>
      <c r="BT558"/>
    </row>
    <row r="559" spans="1:72" s="23" customFormat="1" ht="18" customHeight="1" x14ac:dyDescent="0.3">
      <c r="A559" s="35" t="s">
        <v>549</v>
      </c>
      <c r="B559" s="37"/>
      <c r="C559" s="37"/>
      <c r="D559" s="37"/>
      <c r="E559" s="37"/>
      <c r="F559" s="35" t="s">
        <v>1557</v>
      </c>
      <c r="G559" s="37"/>
      <c r="H559" s="37"/>
      <c r="I559" s="37"/>
      <c r="J559" s="37"/>
      <c r="K559" s="21" t="str">
        <f t="shared" si="387"/>
        <v>Apprenant 547</v>
      </c>
      <c r="L559" s="22" t="str">
        <f t="shared" si="388"/>
        <v/>
      </c>
      <c r="M559" s="22" t="str">
        <f t="shared" si="389"/>
        <v/>
      </c>
      <c r="N559" s="22" t="str">
        <f t="shared" si="390"/>
        <v/>
      </c>
      <c r="O559" s="22" t="str">
        <f t="shared" si="391"/>
        <v/>
      </c>
      <c r="P559" s="21" t="str">
        <f t="shared" si="392"/>
        <v>Apprenant 547 ou 547'</v>
      </c>
      <c r="Q559" s="22" t="str">
        <f t="shared" si="393"/>
        <v/>
      </c>
      <c r="R559" s="22" t="str">
        <f t="shared" si="394"/>
        <v/>
      </c>
      <c r="S559" s="22" t="str">
        <f t="shared" si="395"/>
        <v/>
      </c>
      <c r="T559" s="22" t="str">
        <f t="shared" si="396"/>
        <v/>
      </c>
      <c r="V559" s="21" t="str">
        <f t="shared" si="397"/>
        <v>Apprenant 547</v>
      </c>
      <c r="W559" s="22" t="str">
        <f>IF(AND(OR('Choix pédagogiques'!$C$3=1,'Choix pédagogiques'!$C$3=2),$BM559=1),B559,IF(AND('Choix pédagogiques'!$C$3=3,$BO559=1),B559,""))</f>
        <v/>
      </c>
      <c r="X559" s="22" t="str">
        <f>IF(AND(OR('Choix pédagogiques'!$C$3=1,'Choix pédagogiques'!$C$3=2),$BM559=1),C559,IF(AND('Choix pédagogiques'!$C$3=3,$BO559=1),C559,""))</f>
        <v/>
      </c>
      <c r="Y559" s="22" t="str">
        <f>IF(AND(OR('Choix pédagogiques'!$C$3=1,'Choix pédagogiques'!$C$3=2),$BM559=1),D559,IF(AND('Choix pédagogiques'!$C$3=3,$BO559=1),D559,""))</f>
        <v/>
      </c>
      <c r="Z559" s="22" t="str">
        <f t="shared" si="398"/>
        <v/>
      </c>
      <c r="AA559" s="21" t="str">
        <f t="shared" si="399"/>
        <v>Apprenant 547 ou 547'</v>
      </c>
      <c r="AB559" s="22" t="str">
        <f>IF(AND(OR('Choix pédagogiques'!$C$3=1,'Choix pédagogiques'!$C$3=2),$BN559=1),G559,IF(AND('Choix pédagogiques'!$C$3=3,$BO559=1),G559,""))</f>
        <v/>
      </c>
      <c r="AC559" s="22" t="str">
        <f>IF(AND(OR('Choix pédagogiques'!$C$3=1,'Choix pédagogiques'!$C$3=2),$BN559=1),H559,IF(AND('Choix pédagogiques'!$C$3=3,$BO559=1),H559,""))</f>
        <v/>
      </c>
      <c r="AD559" s="22" t="str">
        <f>IF(AND(OR('Choix pédagogiques'!$C$3=1,'Choix pédagogiques'!$C$3=2),$BN559=1),I559,IF(AND('Choix pédagogiques'!$C$3=3,$BO559=1),I559,""))</f>
        <v/>
      </c>
      <c r="AE559" s="22" t="str">
        <f t="shared" si="400"/>
        <v/>
      </c>
      <c r="AF559" s="21" t="str">
        <f t="shared" si="401"/>
        <v>Apprenant 547</v>
      </c>
      <c r="AG559" s="22" t="str">
        <f t="shared" si="375"/>
        <v/>
      </c>
      <c r="AH559" s="22" t="str">
        <f t="shared" si="376"/>
        <v/>
      </c>
      <c r="AI559" s="22" t="str">
        <f t="shared" si="377"/>
        <v/>
      </c>
      <c r="AJ559" s="22" t="str">
        <f t="shared" si="402"/>
        <v/>
      </c>
      <c r="AK559" s="21" t="str">
        <f t="shared" si="403"/>
        <v>Apprenant 547 ou 547'</v>
      </c>
      <c r="AL559" s="22" t="str">
        <f t="shared" si="378"/>
        <v/>
      </c>
      <c r="AM559" s="22" t="str">
        <f t="shared" si="379"/>
        <v/>
      </c>
      <c r="AN559" s="22" t="str">
        <f t="shared" si="380"/>
        <v/>
      </c>
      <c r="AO559" s="22" t="str">
        <f t="shared" si="404"/>
        <v/>
      </c>
      <c r="AQ559" s="21" t="str">
        <f t="shared" si="405"/>
        <v>Apprenant 547</v>
      </c>
      <c r="AR559" s="49" t="str">
        <f>IF(AND('Choix pédagogiques'!$C$4&lt;&gt;"?",'Choix pédagogiques'!$C$5&lt;&gt;"?",W559&lt;&gt;""),(W559-'Choix pédagogiques'!$C$4)/('Choix pédagogiques'!$C$5-'Choix pédagogiques'!$C$4),"")</f>
        <v/>
      </c>
      <c r="AS559" s="49" t="str">
        <f>IF(AND('Choix pédagogiques'!$C$4&lt;&gt;"?",'Choix pédagogiques'!$C$5&lt;&gt;"?",X559&lt;&gt;""),(X559-'Choix pédagogiques'!$C$4)/('Choix pédagogiques'!$C$5-'Choix pédagogiques'!$C$4),"")</f>
        <v/>
      </c>
      <c r="AT559" s="49" t="str">
        <f>IF(AND('Choix pédagogiques'!$C$4&lt;&gt;"?",'Choix pédagogiques'!$C$5&lt;&gt;"?",Y559&lt;&gt;""),(Y559-'Choix pédagogiques'!$C$4)/('Choix pédagogiques'!$C$5-'Choix pédagogiques'!$C$4),"")</f>
        <v/>
      </c>
      <c r="AU559" s="22" t="str">
        <f t="shared" si="406"/>
        <v/>
      </c>
      <c r="AV559" s="21" t="str">
        <f t="shared" si="407"/>
        <v>Apprenant 547 ou 547'</v>
      </c>
      <c r="AW559" s="49" t="str">
        <f>IF(AND('Choix pédagogiques'!$C$4&lt;&gt;"?",'Choix pédagogiques'!$C$5&lt;&gt;"?",AB559&lt;&gt;""),(AB559-'Choix pédagogiques'!$C$4)/('Choix pédagogiques'!$C$5-'Choix pédagogiques'!$C$4),"")</f>
        <v/>
      </c>
      <c r="AX559" s="49" t="str">
        <f>IF(AND('Choix pédagogiques'!$C$4&lt;&gt;"?",'Choix pédagogiques'!$C$5&lt;&gt;"?",AC559&lt;&gt;""),(AC559-'Choix pédagogiques'!$C$4)/('Choix pédagogiques'!$C$5-'Choix pédagogiques'!$C$4),"")</f>
        <v/>
      </c>
      <c r="AY559" s="49" t="str">
        <f>IF(AND('Choix pédagogiques'!$C$4&lt;&gt;"?",'Choix pédagogiques'!$C$5&lt;&gt;"?",AD559&lt;&gt;""),(AD559-'Choix pédagogiques'!$C$4)/('Choix pédagogiques'!$C$5-'Choix pédagogiques'!$C$4),"")</f>
        <v/>
      </c>
      <c r="AZ559" s="22" t="str">
        <f t="shared" si="408"/>
        <v/>
      </c>
      <c r="BA559" s="21" t="str">
        <f t="shared" si="409"/>
        <v>Apprenant 547</v>
      </c>
      <c r="BB559" s="49" t="str">
        <f t="shared" si="381"/>
        <v/>
      </c>
      <c r="BC559" s="49" t="str">
        <f t="shared" si="382"/>
        <v/>
      </c>
      <c r="BD559" s="49" t="str">
        <f t="shared" si="383"/>
        <v/>
      </c>
      <c r="BE559" s="22" t="str">
        <f t="shared" si="410"/>
        <v/>
      </c>
      <c r="BF559" s="21" t="str">
        <f t="shared" si="411"/>
        <v>Apprenant 547 ou 547'</v>
      </c>
      <c r="BG559" s="49" t="str">
        <f t="shared" si="384"/>
        <v/>
      </c>
      <c r="BH559" s="49" t="str">
        <f t="shared" si="385"/>
        <v/>
      </c>
      <c r="BI559" s="49" t="str">
        <f t="shared" si="386"/>
        <v/>
      </c>
      <c r="BJ559" s="22" t="str">
        <f t="shared" si="412"/>
        <v/>
      </c>
      <c r="BL559" s="21"/>
      <c r="BM559" s="21" t="str">
        <f>IF(OR(COUNT(B559:D1558)=0,AND('Choix pédagogiques'!$C$3&lt;&gt;1,'Choix pédagogiques'!$C$3&lt;&gt;2)),"",IF(AND(OR('Choix pédagogiques'!$C$3=1,'Choix pédagogiques'!$C$3=2),$B559&lt;&gt;"",$C559&lt;&gt;"",$D559&lt;&gt;""),1,0))</f>
        <v/>
      </c>
      <c r="BN559" s="21" t="str">
        <f>IF(OR(COUNT(G559:I1558)=0,AND('Choix pédagogiques'!$C$3&lt;&gt;1,'Choix pédagogiques'!$C$3&lt;&gt;2)),"",IF(AND(OR('Choix pédagogiques'!$C$3=1,'Choix pédagogiques'!$C$3=2),AND($G559&lt;&gt;"",$H559&lt;&gt;"",$I559&lt;&gt;"")),1,0))</f>
        <v/>
      </c>
      <c r="BO559" s="21" t="str">
        <f>IF(OR(COUNT(B559:D1558)=0,COUNT(G559:I1558)=0,'Choix pédagogiques'!C$3&lt;&gt;3),"",IF(AND('Choix pédagogiques'!$C$3=3,$B559&lt;&gt;"",$C559&lt;&gt;"",$D559&lt;&gt;"",$G559&lt;&gt;"",$H559&lt;&gt;"",$I559&lt;&gt;""),1,0))</f>
        <v/>
      </c>
      <c r="BR559" s="21">
        <v>931</v>
      </c>
      <c r="BS559" s="21">
        <v>1830</v>
      </c>
      <c r="BT559"/>
    </row>
    <row r="560" spans="1:72" s="23" customFormat="1" ht="18" customHeight="1" x14ac:dyDescent="0.3">
      <c r="A560" s="35" t="s">
        <v>550</v>
      </c>
      <c r="B560" s="37"/>
      <c r="C560" s="37"/>
      <c r="D560" s="37"/>
      <c r="E560" s="37"/>
      <c r="F560" s="35" t="s">
        <v>1558</v>
      </c>
      <c r="G560" s="37"/>
      <c r="H560" s="37"/>
      <c r="I560" s="37"/>
      <c r="J560" s="37"/>
      <c r="K560" s="21" t="str">
        <f t="shared" si="387"/>
        <v>Apprenant 548</v>
      </c>
      <c r="L560" s="22" t="str">
        <f t="shared" si="388"/>
        <v/>
      </c>
      <c r="M560" s="22" t="str">
        <f t="shared" si="389"/>
        <v/>
      </c>
      <c r="N560" s="22" t="str">
        <f t="shared" si="390"/>
        <v/>
      </c>
      <c r="O560" s="22" t="str">
        <f t="shared" si="391"/>
        <v/>
      </c>
      <c r="P560" s="21" t="str">
        <f t="shared" si="392"/>
        <v>Apprenant 548 ou 548'</v>
      </c>
      <c r="Q560" s="22" t="str">
        <f t="shared" si="393"/>
        <v/>
      </c>
      <c r="R560" s="22" t="str">
        <f t="shared" si="394"/>
        <v/>
      </c>
      <c r="S560" s="22" t="str">
        <f t="shared" si="395"/>
        <v/>
      </c>
      <c r="T560" s="22" t="str">
        <f t="shared" si="396"/>
        <v/>
      </c>
      <c r="V560" s="21" t="str">
        <f t="shared" si="397"/>
        <v>Apprenant 548</v>
      </c>
      <c r="W560" s="22" t="str">
        <f>IF(AND(OR('Choix pédagogiques'!$C$3=1,'Choix pédagogiques'!$C$3=2),$BM560=1),B560,IF(AND('Choix pédagogiques'!$C$3=3,$BO560=1),B560,""))</f>
        <v/>
      </c>
      <c r="X560" s="22" t="str">
        <f>IF(AND(OR('Choix pédagogiques'!$C$3=1,'Choix pédagogiques'!$C$3=2),$BM560=1),C560,IF(AND('Choix pédagogiques'!$C$3=3,$BO560=1),C560,""))</f>
        <v/>
      </c>
      <c r="Y560" s="22" t="str">
        <f>IF(AND(OR('Choix pédagogiques'!$C$3=1,'Choix pédagogiques'!$C$3=2),$BM560=1),D560,IF(AND('Choix pédagogiques'!$C$3=3,$BO560=1),D560,""))</f>
        <v/>
      </c>
      <c r="Z560" s="22" t="str">
        <f t="shared" si="398"/>
        <v/>
      </c>
      <c r="AA560" s="21" t="str">
        <f t="shared" si="399"/>
        <v>Apprenant 548 ou 548'</v>
      </c>
      <c r="AB560" s="22" t="str">
        <f>IF(AND(OR('Choix pédagogiques'!$C$3=1,'Choix pédagogiques'!$C$3=2),$BN560=1),G560,IF(AND('Choix pédagogiques'!$C$3=3,$BO560=1),G560,""))</f>
        <v/>
      </c>
      <c r="AC560" s="22" t="str">
        <f>IF(AND(OR('Choix pédagogiques'!$C$3=1,'Choix pédagogiques'!$C$3=2),$BN560=1),H560,IF(AND('Choix pédagogiques'!$C$3=3,$BO560=1),H560,""))</f>
        <v/>
      </c>
      <c r="AD560" s="22" t="str">
        <f>IF(AND(OR('Choix pédagogiques'!$C$3=1,'Choix pédagogiques'!$C$3=2),$BN560=1),I560,IF(AND('Choix pédagogiques'!$C$3=3,$BO560=1),I560,""))</f>
        <v/>
      </c>
      <c r="AE560" s="22" t="str">
        <f t="shared" si="400"/>
        <v/>
      </c>
      <c r="AF560" s="21" t="str">
        <f t="shared" si="401"/>
        <v>Apprenant 548</v>
      </c>
      <c r="AG560" s="22" t="str">
        <f t="shared" si="375"/>
        <v/>
      </c>
      <c r="AH560" s="22" t="str">
        <f t="shared" si="376"/>
        <v/>
      </c>
      <c r="AI560" s="22" t="str">
        <f t="shared" si="377"/>
        <v/>
      </c>
      <c r="AJ560" s="22" t="str">
        <f t="shared" si="402"/>
        <v/>
      </c>
      <c r="AK560" s="21" t="str">
        <f t="shared" si="403"/>
        <v>Apprenant 548 ou 548'</v>
      </c>
      <c r="AL560" s="22" t="str">
        <f t="shared" si="378"/>
        <v/>
      </c>
      <c r="AM560" s="22" t="str">
        <f t="shared" si="379"/>
        <v/>
      </c>
      <c r="AN560" s="22" t="str">
        <f t="shared" si="380"/>
        <v/>
      </c>
      <c r="AO560" s="22" t="str">
        <f t="shared" si="404"/>
        <v/>
      </c>
      <c r="AQ560" s="21" t="str">
        <f t="shared" si="405"/>
        <v>Apprenant 548</v>
      </c>
      <c r="AR560" s="49" t="str">
        <f>IF(AND('Choix pédagogiques'!$C$4&lt;&gt;"?",'Choix pédagogiques'!$C$5&lt;&gt;"?",W560&lt;&gt;""),(W560-'Choix pédagogiques'!$C$4)/('Choix pédagogiques'!$C$5-'Choix pédagogiques'!$C$4),"")</f>
        <v/>
      </c>
      <c r="AS560" s="49" t="str">
        <f>IF(AND('Choix pédagogiques'!$C$4&lt;&gt;"?",'Choix pédagogiques'!$C$5&lt;&gt;"?",X560&lt;&gt;""),(X560-'Choix pédagogiques'!$C$4)/('Choix pédagogiques'!$C$5-'Choix pédagogiques'!$C$4),"")</f>
        <v/>
      </c>
      <c r="AT560" s="49" t="str">
        <f>IF(AND('Choix pédagogiques'!$C$4&lt;&gt;"?",'Choix pédagogiques'!$C$5&lt;&gt;"?",Y560&lt;&gt;""),(Y560-'Choix pédagogiques'!$C$4)/('Choix pédagogiques'!$C$5-'Choix pédagogiques'!$C$4),"")</f>
        <v/>
      </c>
      <c r="AU560" s="22" t="str">
        <f t="shared" si="406"/>
        <v/>
      </c>
      <c r="AV560" s="21" t="str">
        <f t="shared" si="407"/>
        <v>Apprenant 548 ou 548'</v>
      </c>
      <c r="AW560" s="49" t="str">
        <f>IF(AND('Choix pédagogiques'!$C$4&lt;&gt;"?",'Choix pédagogiques'!$C$5&lt;&gt;"?",AB560&lt;&gt;""),(AB560-'Choix pédagogiques'!$C$4)/('Choix pédagogiques'!$C$5-'Choix pédagogiques'!$C$4),"")</f>
        <v/>
      </c>
      <c r="AX560" s="49" t="str">
        <f>IF(AND('Choix pédagogiques'!$C$4&lt;&gt;"?",'Choix pédagogiques'!$C$5&lt;&gt;"?",AC560&lt;&gt;""),(AC560-'Choix pédagogiques'!$C$4)/('Choix pédagogiques'!$C$5-'Choix pédagogiques'!$C$4),"")</f>
        <v/>
      </c>
      <c r="AY560" s="49" t="str">
        <f>IF(AND('Choix pédagogiques'!$C$4&lt;&gt;"?",'Choix pédagogiques'!$C$5&lt;&gt;"?",AD560&lt;&gt;""),(AD560-'Choix pédagogiques'!$C$4)/('Choix pédagogiques'!$C$5-'Choix pédagogiques'!$C$4),"")</f>
        <v/>
      </c>
      <c r="AZ560" s="22" t="str">
        <f t="shared" si="408"/>
        <v/>
      </c>
      <c r="BA560" s="21" t="str">
        <f t="shared" si="409"/>
        <v>Apprenant 548</v>
      </c>
      <c r="BB560" s="49" t="str">
        <f t="shared" si="381"/>
        <v/>
      </c>
      <c r="BC560" s="49" t="str">
        <f t="shared" si="382"/>
        <v/>
      </c>
      <c r="BD560" s="49" t="str">
        <f t="shared" si="383"/>
        <v/>
      </c>
      <c r="BE560" s="22" t="str">
        <f t="shared" si="410"/>
        <v/>
      </c>
      <c r="BF560" s="21" t="str">
        <f t="shared" si="411"/>
        <v>Apprenant 548 ou 548'</v>
      </c>
      <c r="BG560" s="49" t="str">
        <f t="shared" si="384"/>
        <v/>
      </c>
      <c r="BH560" s="49" t="str">
        <f t="shared" si="385"/>
        <v/>
      </c>
      <c r="BI560" s="49" t="str">
        <f t="shared" si="386"/>
        <v/>
      </c>
      <c r="BJ560" s="22" t="str">
        <f t="shared" si="412"/>
        <v/>
      </c>
      <c r="BL560" s="21"/>
      <c r="BM560" s="21" t="str">
        <f>IF(OR(COUNT(B560:D1559)=0,AND('Choix pédagogiques'!$C$3&lt;&gt;1,'Choix pédagogiques'!$C$3&lt;&gt;2)),"",IF(AND(OR('Choix pédagogiques'!$C$3=1,'Choix pédagogiques'!$C$3=2),$B560&lt;&gt;"",$C560&lt;&gt;"",$D560&lt;&gt;""),1,0))</f>
        <v/>
      </c>
      <c r="BN560" s="21" t="str">
        <f>IF(OR(COUNT(G560:I1559)=0,AND('Choix pédagogiques'!$C$3&lt;&gt;1,'Choix pédagogiques'!$C$3&lt;&gt;2)),"",IF(AND(OR('Choix pédagogiques'!$C$3=1,'Choix pédagogiques'!$C$3=2),AND($G560&lt;&gt;"",$H560&lt;&gt;"",$I560&lt;&gt;"")),1,0))</f>
        <v/>
      </c>
      <c r="BO560" s="21" t="str">
        <f>IF(OR(COUNT(B560:D1559)=0,COUNT(G560:I1559)=0,'Choix pédagogiques'!C$3&lt;&gt;3),"",IF(AND('Choix pédagogiques'!$C$3=3,$B560&lt;&gt;"",$C560&lt;&gt;"",$D560&lt;&gt;"",$G560&lt;&gt;"",$H560&lt;&gt;"",$I560&lt;&gt;""),1,0))</f>
        <v/>
      </c>
      <c r="BR560" s="21">
        <v>252</v>
      </c>
      <c r="BS560" s="21">
        <v>1980</v>
      </c>
      <c r="BT560"/>
    </row>
    <row r="561" spans="1:72" s="23" customFormat="1" ht="18" customHeight="1" x14ac:dyDescent="0.3">
      <c r="A561" s="35" t="s">
        <v>551</v>
      </c>
      <c r="B561" s="37"/>
      <c r="C561" s="37"/>
      <c r="D561" s="37"/>
      <c r="E561" s="37"/>
      <c r="F561" s="35" t="s">
        <v>1559</v>
      </c>
      <c r="G561" s="37"/>
      <c r="H561" s="37"/>
      <c r="I561" s="37"/>
      <c r="J561" s="37"/>
      <c r="K561" s="21" t="str">
        <f t="shared" si="387"/>
        <v>Apprenant 549</v>
      </c>
      <c r="L561" s="22" t="str">
        <f t="shared" si="388"/>
        <v/>
      </c>
      <c r="M561" s="22" t="str">
        <f t="shared" si="389"/>
        <v/>
      </c>
      <c r="N561" s="22" t="str">
        <f t="shared" si="390"/>
        <v/>
      </c>
      <c r="O561" s="22" t="str">
        <f t="shared" si="391"/>
        <v/>
      </c>
      <c r="P561" s="21" t="str">
        <f t="shared" si="392"/>
        <v>Apprenant 549 ou 549'</v>
      </c>
      <c r="Q561" s="22" t="str">
        <f t="shared" si="393"/>
        <v/>
      </c>
      <c r="R561" s="22" t="str">
        <f t="shared" si="394"/>
        <v/>
      </c>
      <c r="S561" s="22" t="str">
        <f t="shared" si="395"/>
        <v/>
      </c>
      <c r="T561" s="22" t="str">
        <f t="shared" si="396"/>
        <v/>
      </c>
      <c r="V561" s="21" t="str">
        <f t="shared" si="397"/>
        <v>Apprenant 549</v>
      </c>
      <c r="W561" s="22" t="str">
        <f>IF(AND(OR('Choix pédagogiques'!$C$3=1,'Choix pédagogiques'!$C$3=2),$BM561=1),B561,IF(AND('Choix pédagogiques'!$C$3=3,$BO561=1),B561,""))</f>
        <v/>
      </c>
      <c r="X561" s="22" t="str">
        <f>IF(AND(OR('Choix pédagogiques'!$C$3=1,'Choix pédagogiques'!$C$3=2),$BM561=1),C561,IF(AND('Choix pédagogiques'!$C$3=3,$BO561=1),C561,""))</f>
        <v/>
      </c>
      <c r="Y561" s="22" t="str">
        <f>IF(AND(OR('Choix pédagogiques'!$C$3=1,'Choix pédagogiques'!$C$3=2),$BM561=1),D561,IF(AND('Choix pédagogiques'!$C$3=3,$BO561=1),D561,""))</f>
        <v/>
      </c>
      <c r="Z561" s="22" t="str">
        <f t="shared" si="398"/>
        <v/>
      </c>
      <c r="AA561" s="21" t="str">
        <f t="shared" si="399"/>
        <v>Apprenant 549 ou 549'</v>
      </c>
      <c r="AB561" s="22" t="str">
        <f>IF(AND(OR('Choix pédagogiques'!$C$3=1,'Choix pédagogiques'!$C$3=2),$BN561=1),G561,IF(AND('Choix pédagogiques'!$C$3=3,$BO561=1),G561,""))</f>
        <v/>
      </c>
      <c r="AC561" s="22" t="str">
        <f>IF(AND(OR('Choix pédagogiques'!$C$3=1,'Choix pédagogiques'!$C$3=2),$BN561=1),H561,IF(AND('Choix pédagogiques'!$C$3=3,$BO561=1),H561,""))</f>
        <v/>
      </c>
      <c r="AD561" s="22" t="str">
        <f>IF(AND(OR('Choix pédagogiques'!$C$3=1,'Choix pédagogiques'!$C$3=2),$BN561=1),I561,IF(AND('Choix pédagogiques'!$C$3=3,$BO561=1),I561,""))</f>
        <v/>
      </c>
      <c r="AE561" s="22" t="str">
        <f t="shared" si="400"/>
        <v/>
      </c>
      <c r="AF561" s="21" t="str">
        <f t="shared" si="401"/>
        <v>Apprenant 549</v>
      </c>
      <c r="AG561" s="22" t="str">
        <f t="shared" si="375"/>
        <v/>
      </c>
      <c r="AH561" s="22" t="str">
        <f t="shared" si="376"/>
        <v/>
      </c>
      <c r="AI561" s="22" t="str">
        <f t="shared" si="377"/>
        <v/>
      </c>
      <c r="AJ561" s="22" t="str">
        <f t="shared" si="402"/>
        <v/>
      </c>
      <c r="AK561" s="21" t="str">
        <f t="shared" si="403"/>
        <v>Apprenant 549 ou 549'</v>
      </c>
      <c r="AL561" s="22" t="str">
        <f t="shared" si="378"/>
        <v/>
      </c>
      <c r="AM561" s="22" t="str">
        <f t="shared" si="379"/>
        <v/>
      </c>
      <c r="AN561" s="22" t="str">
        <f t="shared" si="380"/>
        <v/>
      </c>
      <c r="AO561" s="22" t="str">
        <f t="shared" si="404"/>
        <v/>
      </c>
      <c r="AQ561" s="21" t="str">
        <f t="shared" si="405"/>
        <v>Apprenant 549</v>
      </c>
      <c r="AR561" s="49" t="str">
        <f>IF(AND('Choix pédagogiques'!$C$4&lt;&gt;"?",'Choix pédagogiques'!$C$5&lt;&gt;"?",W561&lt;&gt;""),(W561-'Choix pédagogiques'!$C$4)/('Choix pédagogiques'!$C$5-'Choix pédagogiques'!$C$4),"")</f>
        <v/>
      </c>
      <c r="AS561" s="49" t="str">
        <f>IF(AND('Choix pédagogiques'!$C$4&lt;&gt;"?",'Choix pédagogiques'!$C$5&lt;&gt;"?",X561&lt;&gt;""),(X561-'Choix pédagogiques'!$C$4)/('Choix pédagogiques'!$C$5-'Choix pédagogiques'!$C$4),"")</f>
        <v/>
      </c>
      <c r="AT561" s="49" t="str">
        <f>IF(AND('Choix pédagogiques'!$C$4&lt;&gt;"?",'Choix pédagogiques'!$C$5&lt;&gt;"?",Y561&lt;&gt;""),(Y561-'Choix pédagogiques'!$C$4)/('Choix pédagogiques'!$C$5-'Choix pédagogiques'!$C$4),"")</f>
        <v/>
      </c>
      <c r="AU561" s="22" t="str">
        <f t="shared" si="406"/>
        <v/>
      </c>
      <c r="AV561" s="21" t="str">
        <f t="shared" si="407"/>
        <v>Apprenant 549 ou 549'</v>
      </c>
      <c r="AW561" s="49" t="str">
        <f>IF(AND('Choix pédagogiques'!$C$4&lt;&gt;"?",'Choix pédagogiques'!$C$5&lt;&gt;"?",AB561&lt;&gt;""),(AB561-'Choix pédagogiques'!$C$4)/('Choix pédagogiques'!$C$5-'Choix pédagogiques'!$C$4),"")</f>
        <v/>
      </c>
      <c r="AX561" s="49" t="str">
        <f>IF(AND('Choix pédagogiques'!$C$4&lt;&gt;"?",'Choix pédagogiques'!$C$5&lt;&gt;"?",AC561&lt;&gt;""),(AC561-'Choix pédagogiques'!$C$4)/('Choix pédagogiques'!$C$5-'Choix pédagogiques'!$C$4),"")</f>
        <v/>
      </c>
      <c r="AY561" s="49" t="str">
        <f>IF(AND('Choix pédagogiques'!$C$4&lt;&gt;"?",'Choix pédagogiques'!$C$5&lt;&gt;"?",AD561&lt;&gt;""),(AD561-'Choix pédagogiques'!$C$4)/('Choix pédagogiques'!$C$5-'Choix pédagogiques'!$C$4),"")</f>
        <v/>
      </c>
      <c r="AZ561" s="22" t="str">
        <f t="shared" si="408"/>
        <v/>
      </c>
      <c r="BA561" s="21" t="str">
        <f t="shared" si="409"/>
        <v>Apprenant 549</v>
      </c>
      <c r="BB561" s="49" t="str">
        <f t="shared" si="381"/>
        <v/>
      </c>
      <c r="BC561" s="49" t="str">
        <f t="shared" si="382"/>
        <v/>
      </c>
      <c r="BD561" s="49" t="str">
        <f t="shared" si="383"/>
        <v/>
      </c>
      <c r="BE561" s="22" t="str">
        <f t="shared" si="410"/>
        <v/>
      </c>
      <c r="BF561" s="21" t="str">
        <f t="shared" si="411"/>
        <v>Apprenant 549 ou 549'</v>
      </c>
      <c r="BG561" s="49" t="str">
        <f t="shared" si="384"/>
        <v/>
      </c>
      <c r="BH561" s="49" t="str">
        <f t="shared" si="385"/>
        <v/>
      </c>
      <c r="BI561" s="49" t="str">
        <f t="shared" si="386"/>
        <v/>
      </c>
      <c r="BJ561" s="22" t="str">
        <f t="shared" si="412"/>
        <v/>
      </c>
      <c r="BL561" s="21"/>
      <c r="BM561" s="21" t="str">
        <f>IF(OR(COUNT(B561:D1560)=0,AND('Choix pédagogiques'!$C$3&lt;&gt;1,'Choix pédagogiques'!$C$3&lt;&gt;2)),"",IF(AND(OR('Choix pédagogiques'!$C$3=1,'Choix pédagogiques'!$C$3=2),$B561&lt;&gt;"",$C561&lt;&gt;"",$D561&lt;&gt;""),1,0))</f>
        <v/>
      </c>
      <c r="BN561" s="21" t="str">
        <f>IF(OR(COUNT(G561:I1560)=0,AND('Choix pédagogiques'!$C$3&lt;&gt;1,'Choix pédagogiques'!$C$3&lt;&gt;2)),"",IF(AND(OR('Choix pédagogiques'!$C$3=1,'Choix pédagogiques'!$C$3=2),AND($G561&lt;&gt;"",$H561&lt;&gt;"",$I561&lt;&gt;"")),1,0))</f>
        <v/>
      </c>
      <c r="BO561" s="21" t="str">
        <f>IF(OR(COUNT(B561:D1560)=0,COUNT(G561:I1560)=0,'Choix pédagogiques'!C$3&lt;&gt;3),"",IF(AND('Choix pédagogiques'!$C$3=3,$B561&lt;&gt;"",$C561&lt;&gt;"",$D561&lt;&gt;"",$G561&lt;&gt;"",$H561&lt;&gt;"",$I561&lt;&gt;""),1,0))</f>
        <v/>
      </c>
      <c r="BR561" s="21">
        <v>258</v>
      </c>
      <c r="BS561" s="21">
        <v>1982</v>
      </c>
      <c r="BT561"/>
    </row>
    <row r="562" spans="1:72" s="23" customFormat="1" ht="18" customHeight="1" x14ac:dyDescent="0.3">
      <c r="A562" s="35" t="s">
        <v>552</v>
      </c>
      <c r="B562" s="37"/>
      <c r="C562" s="37"/>
      <c r="D562" s="37"/>
      <c r="E562" s="37"/>
      <c r="F562" s="35" t="s">
        <v>1560</v>
      </c>
      <c r="G562" s="37"/>
      <c r="H562" s="37"/>
      <c r="I562" s="37"/>
      <c r="J562" s="37"/>
      <c r="K562" s="21" t="str">
        <f t="shared" si="387"/>
        <v>Apprenant 550</v>
      </c>
      <c r="L562" s="22" t="str">
        <f t="shared" si="388"/>
        <v/>
      </c>
      <c r="M562" s="22" t="str">
        <f t="shared" si="389"/>
        <v/>
      </c>
      <c r="N562" s="22" t="str">
        <f t="shared" si="390"/>
        <v/>
      </c>
      <c r="O562" s="22" t="str">
        <f t="shared" si="391"/>
        <v/>
      </c>
      <c r="P562" s="21" t="str">
        <f t="shared" si="392"/>
        <v>Apprenant 550 ou 550'</v>
      </c>
      <c r="Q562" s="22" t="str">
        <f t="shared" si="393"/>
        <v/>
      </c>
      <c r="R562" s="22" t="str">
        <f t="shared" si="394"/>
        <v/>
      </c>
      <c r="S562" s="22" t="str">
        <f t="shared" si="395"/>
        <v/>
      </c>
      <c r="T562" s="22" t="str">
        <f t="shared" si="396"/>
        <v/>
      </c>
      <c r="V562" s="21" t="str">
        <f t="shared" si="397"/>
        <v>Apprenant 550</v>
      </c>
      <c r="W562" s="22" t="str">
        <f>IF(AND(OR('Choix pédagogiques'!$C$3=1,'Choix pédagogiques'!$C$3=2),$BM562=1),B562,IF(AND('Choix pédagogiques'!$C$3=3,$BO562=1),B562,""))</f>
        <v/>
      </c>
      <c r="X562" s="22" t="str">
        <f>IF(AND(OR('Choix pédagogiques'!$C$3=1,'Choix pédagogiques'!$C$3=2),$BM562=1),C562,IF(AND('Choix pédagogiques'!$C$3=3,$BO562=1),C562,""))</f>
        <v/>
      </c>
      <c r="Y562" s="22" t="str">
        <f>IF(AND(OR('Choix pédagogiques'!$C$3=1,'Choix pédagogiques'!$C$3=2),$BM562=1),D562,IF(AND('Choix pédagogiques'!$C$3=3,$BO562=1),D562,""))</f>
        <v/>
      </c>
      <c r="Z562" s="22" t="str">
        <f t="shared" si="398"/>
        <v/>
      </c>
      <c r="AA562" s="21" t="str">
        <f t="shared" si="399"/>
        <v>Apprenant 550 ou 550'</v>
      </c>
      <c r="AB562" s="22" t="str">
        <f>IF(AND(OR('Choix pédagogiques'!$C$3=1,'Choix pédagogiques'!$C$3=2),$BN562=1),G562,IF(AND('Choix pédagogiques'!$C$3=3,$BO562=1),G562,""))</f>
        <v/>
      </c>
      <c r="AC562" s="22" t="str">
        <f>IF(AND(OR('Choix pédagogiques'!$C$3=1,'Choix pédagogiques'!$C$3=2),$BN562=1),H562,IF(AND('Choix pédagogiques'!$C$3=3,$BO562=1),H562,""))</f>
        <v/>
      </c>
      <c r="AD562" s="22" t="str">
        <f>IF(AND(OR('Choix pédagogiques'!$C$3=1,'Choix pédagogiques'!$C$3=2),$BN562=1),I562,IF(AND('Choix pédagogiques'!$C$3=3,$BO562=1),I562,""))</f>
        <v/>
      </c>
      <c r="AE562" s="22" t="str">
        <f t="shared" si="400"/>
        <v/>
      </c>
      <c r="AF562" s="21" t="str">
        <f t="shared" si="401"/>
        <v>Apprenant 550</v>
      </c>
      <c r="AG562" s="22" t="str">
        <f t="shared" si="375"/>
        <v/>
      </c>
      <c r="AH562" s="22" t="str">
        <f t="shared" si="376"/>
        <v/>
      </c>
      <c r="AI562" s="22" t="str">
        <f t="shared" si="377"/>
        <v/>
      </c>
      <c r="AJ562" s="22" t="str">
        <f t="shared" si="402"/>
        <v/>
      </c>
      <c r="AK562" s="21" t="str">
        <f t="shared" si="403"/>
        <v>Apprenant 550 ou 550'</v>
      </c>
      <c r="AL562" s="22" t="str">
        <f t="shared" si="378"/>
        <v/>
      </c>
      <c r="AM562" s="22" t="str">
        <f t="shared" si="379"/>
        <v/>
      </c>
      <c r="AN562" s="22" t="str">
        <f t="shared" si="380"/>
        <v/>
      </c>
      <c r="AO562" s="22" t="str">
        <f t="shared" si="404"/>
        <v/>
      </c>
      <c r="AQ562" s="21" t="str">
        <f t="shared" si="405"/>
        <v>Apprenant 550</v>
      </c>
      <c r="AR562" s="49" t="str">
        <f>IF(AND('Choix pédagogiques'!$C$4&lt;&gt;"?",'Choix pédagogiques'!$C$5&lt;&gt;"?",W562&lt;&gt;""),(W562-'Choix pédagogiques'!$C$4)/('Choix pédagogiques'!$C$5-'Choix pédagogiques'!$C$4),"")</f>
        <v/>
      </c>
      <c r="AS562" s="49" t="str">
        <f>IF(AND('Choix pédagogiques'!$C$4&lt;&gt;"?",'Choix pédagogiques'!$C$5&lt;&gt;"?",X562&lt;&gt;""),(X562-'Choix pédagogiques'!$C$4)/('Choix pédagogiques'!$C$5-'Choix pédagogiques'!$C$4),"")</f>
        <v/>
      </c>
      <c r="AT562" s="49" t="str">
        <f>IF(AND('Choix pédagogiques'!$C$4&lt;&gt;"?",'Choix pédagogiques'!$C$5&lt;&gt;"?",Y562&lt;&gt;""),(Y562-'Choix pédagogiques'!$C$4)/('Choix pédagogiques'!$C$5-'Choix pédagogiques'!$C$4),"")</f>
        <v/>
      </c>
      <c r="AU562" s="22" t="str">
        <f t="shared" si="406"/>
        <v/>
      </c>
      <c r="AV562" s="21" t="str">
        <f t="shared" si="407"/>
        <v>Apprenant 550 ou 550'</v>
      </c>
      <c r="AW562" s="49" t="str">
        <f>IF(AND('Choix pédagogiques'!$C$4&lt;&gt;"?",'Choix pédagogiques'!$C$5&lt;&gt;"?",AB562&lt;&gt;""),(AB562-'Choix pédagogiques'!$C$4)/('Choix pédagogiques'!$C$5-'Choix pédagogiques'!$C$4),"")</f>
        <v/>
      </c>
      <c r="AX562" s="49" t="str">
        <f>IF(AND('Choix pédagogiques'!$C$4&lt;&gt;"?",'Choix pédagogiques'!$C$5&lt;&gt;"?",AC562&lt;&gt;""),(AC562-'Choix pédagogiques'!$C$4)/('Choix pédagogiques'!$C$5-'Choix pédagogiques'!$C$4),"")</f>
        <v/>
      </c>
      <c r="AY562" s="49" t="str">
        <f>IF(AND('Choix pédagogiques'!$C$4&lt;&gt;"?",'Choix pédagogiques'!$C$5&lt;&gt;"?",AD562&lt;&gt;""),(AD562-'Choix pédagogiques'!$C$4)/('Choix pédagogiques'!$C$5-'Choix pédagogiques'!$C$4),"")</f>
        <v/>
      </c>
      <c r="AZ562" s="22" t="str">
        <f t="shared" si="408"/>
        <v/>
      </c>
      <c r="BA562" s="21" t="str">
        <f t="shared" si="409"/>
        <v>Apprenant 550</v>
      </c>
      <c r="BB562" s="49" t="str">
        <f t="shared" si="381"/>
        <v/>
      </c>
      <c r="BC562" s="49" t="str">
        <f t="shared" si="382"/>
        <v/>
      </c>
      <c r="BD562" s="49" t="str">
        <f t="shared" si="383"/>
        <v/>
      </c>
      <c r="BE562" s="22" t="str">
        <f t="shared" si="410"/>
        <v/>
      </c>
      <c r="BF562" s="21" t="str">
        <f t="shared" si="411"/>
        <v>Apprenant 550 ou 550'</v>
      </c>
      <c r="BG562" s="49" t="str">
        <f t="shared" si="384"/>
        <v/>
      </c>
      <c r="BH562" s="49" t="str">
        <f t="shared" si="385"/>
        <v/>
      </c>
      <c r="BI562" s="49" t="str">
        <f t="shared" si="386"/>
        <v/>
      </c>
      <c r="BJ562" s="22" t="str">
        <f t="shared" si="412"/>
        <v/>
      </c>
      <c r="BL562" s="21"/>
      <c r="BM562" s="21" t="str">
        <f>IF(OR(COUNT(B562:D1561)=0,AND('Choix pédagogiques'!$C$3&lt;&gt;1,'Choix pédagogiques'!$C$3&lt;&gt;2)),"",IF(AND(OR('Choix pédagogiques'!$C$3=1,'Choix pédagogiques'!$C$3=2),$B562&lt;&gt;"",$C562&lt;&gt;"",$D562&lt;&gt;""),1,0))</f>
        <v/>
      </c>
      <c r="BN562" s="21" t="str">
        <f>IF(OR(COUNT(G562:I1561)=0,AND('Choix pédagogiques'!$C$3&lt;&gt;1,'Choix pédagogiques'!$C$3&lt;&gt;2)),"",IF(AND(OR('Choix pédagogiques'!$C$3=1,'Choix pédagogiques'!$C$3=2),AND($G562&lt;&gt;"",$H562&lt;&gt;"",$I562&lt;&gt;"")),1,0))</f>
        <v/>
      </c>
      <c r="BO562" s="21" t="str">
        <f>IF(OR(COUNT(B562:D1561)=0,COUNT(G562:I1561)=0,'Choix pédagogiques'!C$3&lt;&gt;3),"",IF(AND('Choix pédagogiques'!$C$3=3,$B562&lt;&gt;"",$C562&lt;&gt;"",$D562&lt;&gt;"",$G562&lt;&gt;"",$H562&lt;&gt;"",$I562&lt;&gt;""),1,0))</f>
        <v/>
      </c>
      <c r="BR562" s="21">
        <v>334</v>
      </c>
      <c r="BS562" s="21">
        <v>1870</v>
      </c>
      <c r="BT562"/>
    </row>
    <row r="563" spans="1:72" s="23" customFormat="1" ht="18" customHeight="1" x14ac:dyDescent="0.3">
      <c r="A563" s="35" t="s">
        <v>553</v>
      </c>
      <c r="B563" s="37"/>
      <c r="C563" s="37"/>
      <c r="D563" s="37"/>
      <c r="E563" s="37"/>
      <c r="F563" s="35" t="s">
        <v>1561</v>
      </c>
      <c r="G563" s="37"/>
      <c r="H563" s="37"/>
      <c r="I563" s="37"/>
      <c r="J563" s="37"/>
      <c r="K563" s="21" t="str">
        <f t="shared" si="387"/>
        <v>Apprenant 551</v>
      </c>
      <c r="L563" s="22" t="str">
        <f t="shared" si="388"/>
        <v/>
      </c>
      <c r="M563" s="22" t="str">
        <f t="shared" si="389"/>
        <v/>
      </c>
      <c r="N563" s="22" t="str">
        <f t="shared" si="390"/>
        <v/>
      </c>
      <c r="O563" s="22" t="str">
        <f t="shared" si="391"/>
        <v/>
      </c>
      <c r="P563" s="21" t="str">
        <f t="shared" si="392"/>
        <v>Apprenant 551 ou 551'</v>
      </c>
      <c r="Q563" s="22" t="str">
        <f t="shared" si="393"/>
        <v/>
      </c>
      <c r="R563" s="22" t="str">
        <f t="shared" si="394"/>
        <v/>
      </c>
      <c r="S563" s="22" t="str">
        <f t="shared" si="395"/>
        <v/>
      </c>
      <c r="T563" s="22" t="str">
        <f t="shared" si="396"/>
        <v/>
      </c>
      <c r="V563" s="21" t="str">
        <f t="shared" si="397"/>
        <v>Apprenant 551</v>
      </c>
      <c r="W563" s="22" t="str">
        <f>IF(AND(OR('Choix pédagogiques'!$C$3=1,'Choix pédagogiques'!$C$3=2),$BM563=1),B563,IF(AND('Choix pédagogiques'!$C$3=3,$BO563=1),B563,""))</f>
        <v/>
      </c>
      <c r="X563" s="22" t="str">
        <f>IF(AND(OR('Choix pédagogiques'!$C$3=1,'Choix pédagogiques'!$C$3=2),$BM563=1),C563,IF(AND('Choix pédagogiques'!$C$3=3,$BO563=1),C563,""))</f>
        <v/>
      </c>
      <c r="Y563" s="22" t="str">
        <f>IF(AND(OR('Choix pédagogiques'!$C$3=1,'Choix pédagogiques'!$C$3=2),$BM563=1),D563,IF(AND('Choix pédagogiques'!$C$3=3,$BO563=1),D563,""))</f>
        <v/>
      </c>
      <c r="Z563" s="22" t="str">
        <f t="shared" si="398"/>
        <v/>
      </c>
      <c r="AA563" s="21" t="str">
        <f t="shared" si="399"/>
        <v>Apprenant 551 ou 551'</v>
      </c>
      <c r="AB563" s="22" t="str">
        <f>IF(AND(OR('Choix pédagogiques'!$C$3=1,'Choix pédagogiques'!$C$3=2),$BN563=1),G563,IF(AND('Choix pédagogiques'!$C$3=3,$BO563=1),G563,""))</f>
        <v/>
      </c>
      <c r="AC563" s="22" t="str">
        <f>IF(AND(OR('Choix pédagogiques'!$C$3=1,'Choix pédagogiques'!$C$3=2),$BN563=1),H563,IF(AND('Choix pédagogiques'!$C$3=3,$BO563=1),H563,""))</f>
        <v/>
      </c>
      <c r="AD563" s="22" t="str">
        <f>IF(AND(OR('Choix pédagogiques'!$C$3=1,'Choix pédagogiques'!$C$3=2),$BN563=1),I563,IF(AND('Choix pédagogiques'!$C$3=3,$BO563=1),I563,""))</f>
        <v/>
      </c>
      <c r="AE563" s="22" t="str">
        <f t="shared" si="400"/>
        <v/>
      </c>
      <c r="AF563" s="21" t="str">
        <f t="shared" si="401"/>
        <v>Apprenant 551</v>
      </c>
      <c r="AG563" s="22" t="str">
        <f t="shared" si="375"/>
        <v/>
      </c>
      <c r="AH563" s="22" t="str">
        <f t="shared" si="376"/>
        <v/>
      </c>
      <c r="AI563" s="22" t="str">
        <f t="shared" si="377"/>
        <v/>
      </c>
      <c r="AJ563" s="22" t="str">
        <f t="shared" si="402"/>
        <v/>
      </c>
      <c r="AK563" s="21" t="str">
        <f t="shared" si="403"/>
        <v>Apprenant 551 ou 551'</v>
      </c>
      <c r="AL563" s="22" t="str">
        <f t="shared" si="378"/>
        <v/>
      </c>
      <c r="AM563" s="22" t="str">
        <f t="shared" si="379"/>
        <v/>
      </c>
      <c r="AN563" s="22" t="str">
        <f t="shared" si="380"/>
        <v/>
      </c>
      <c r="AO563" s="22" t="str">
        <f t="shared" si="404"/>
        <v/>
      </c>
      <c r="AQ563" s="21" t="str">
        <f t="shared" si="405"/>
        <v>Apprenant 551</v>
      </c>
      <c r="AR563" s="49" t="str">
        <f>IF(AND('Choix pédagogiques'!$C$4&lt;&gt;"?",'Choix pédagogiques'!$C$5&lt;&gt;"?",W563&lt;&gt;""),(W563-'Choix pédagogiques'!$C$4)/('Choix pédagogiques'!$C$5-'Choix pédagogiques'!$C$4),"")</f>
        <v/>
      </c>
      <c r="AS563" s="49" t="str">
        <f>IF(AND('Choix pédagogiques'!$C$4&lt;&gt;"?",'Choix pédagogiques'!$C$5&lt;&gt;"?",X563&lt;&gt;""),(X563-'Choix pédagogiques'!$C$4)/('Choix pédagogiques'!$C$5-'Choix pédagogiques'!$C$4),"")</f>
        <v/>
      </c>
      <c r="AT563" s="49" t="str">
        <f>IF(AND('Choix pédagogiques'!$C$4&lt;&gt;"?",'Choix pédagogiques'!$C$5&lt;&gt;"?",Y563&lt;&gt;""),(Y563-'Choix pédagogiques'!$C$4)/('Choix pédagogiques'!$C$5-'Choix pédagogiques'!$C$4),"")</f>
        <v/>
      </c>
      <c r="AU563" s="22" t="str">
        <f t="shared" si="406"/>
        <v/>
      </c>
      <c r="AV563" s="21" t="str">
        <f t="shared" si="407"/>
        <v>Apprenant 551 ou 551'</v>
      </c>
      <c r="AW563" s="49" t="str">
        <f>IF(AND('Choix pédagogiques'!$C$4&lt;&gt;"?",'Choix pédagogiques'!$C$5&lt;&gt;"?",AB563&lt;&gt;""),(AB563-'Choix pédagogiques'!$C$4)/('Choix pédagogiques'!$C$5-'Choix pédagogiques'!$C$4),"")</f>
        <v/>
      </c>
      <c r="AX563" s="49" t="str">
        <f>IF(AND('Choix pédagogiques'!$C$4&lt;&gt;"?",'Choix pédagogiques'!$C$5&lt;&gt;"?",AC563&lt;&gt;""),(AC563-'Choix pédagogiques'!$C$4)/('Choix pédagogiques'!$C$5-'Choix pédagogiques'!$C$4),"")</f>
        <v/>
      </c>
      <c r="AY563" s="49" t="str">
        <f>IF(AND('Choix pédagogiques'!$C$4&lt;&gt;"?",'Choix pédagogiques'!$C$5&lt;&gt;"?",AD563&lt;&gt;""),(AD563-'Choix pédagogiques'!$C$4)/('Choix pédagogiques'!$C$5-'Choix pédagogiques'!$C$4),"")</f>
        <v/>
      </c>
      <c r="AZ563" s="22" t="str">
        <f t="shared" si="408"/>
        <v/>
      </c>
      <c r="BA563" s="21" t="str">
        <f t="shared" si="409"/>
        <v>Apprenant 551</v>
      </c>
      <c r="BB563" s="49" t="str">
        <f t="shared" si="381"/>
        <v/>
      </c>
      <c r="BC563" s="49" t="str">
        <f t="shared" si="382"/>
        <v/>
      </c>
      <c r="BD563" s="49" t="str">
        <f t="shared" si="383"/>
        <v/>
      </c>
      <c r="BE563" s="22" t="str">
        <f t="shared" si="410"/>
        <v/>
      </c>
      <c r="BF563" s="21" t="str">
        <f t="shared" si="411"/>
        <v>Apprenant 551 ou 551'</v>
      </c>
      <c r="BG563" s="49" t="str">
        <f t="shared" si="384"/>
        <v/>
      </c>
      <c r="BH563" s="49" t="str">
        <f t="shared" si="385"/>
        <v/>
      </c>
      <c r="BI563" s="49" t="str">
        <f t="shared" si="386"/>
        <v/>
      </c>
      <c r="BJ563" s="22" t="str">
        <f t="shared" si="412"/>
        <v/>
      </c>
      <c r="BL563" s="21"/>
      <c r="BM563" s="21" t="str">
        <f>IF(OR(COUNT(B563:D1562)=0,AND('Choix pédagogiques'!$C$3&lt;&gt;1,'Choix pédagogiques'!$C$3&lt;&gt;2)),"",IF(AND(OR('Choix pédagogiques'!$C$3=1,'Choix pédagogiques'!$C$3=2),$B563&lt;&gt;"",$C563&lt;&gt;"",$D563&lt;&gt;""),1,0))</f>
        <v/>
      </c>
      <c r="BN563" s="21" t="str">
        <f>IF(OR(COUNT(G563:I1562)=0,AND('Choix pédagogiques'!$C$3&lt;&gt;1,'Choix pédagogiques'!$C$3&lt;&gt;2)),"",IF(AND(OR('Choix pédagogiques'!$C$3=1,'Choix pédagogiques'!$C$3=2),AND($G563&lt;&gt;"",$H563&lt;&gt;"",$I563&lt;&gt;"")),1,0))</f>
        <v/>
      </c>
      <c r="BO563" s="21" t="str">
        <f>IF(OR(COUNT(B563:D1562)=0,COUNT(G563:I1562)=0,'Choix pédagogiques'!C$3&lt;&gt;3),"",IF(AND('Choix pédagogiques'!$C$3=3,$B563&lt;&gt;"",$C563&lt;&gt;"",$D563&lt;&gt;"",$G563&lt;&gt;"",$H563&lt;&gt;"",$I563&lt;&gt;""),1,0))</f>
        <v/>
      </c>
      <c r="BR563" s="21">
        <v>78</v>
      </c>
      <c r="BS563" s="21">
        <v>1524</v>
      </c>
      <c r="BT563"/>
    </row>
    <row r="564" spans="1:72" s="23" customFormat="1" ht="18" customHeight="1" x14ac:dyDescent="0.3">
      <c r="A564" s="35" t="s">
        <v>554</v>
      </c>
      <c r="B564" s="37"/>
      <c r="C564" s="37"/>
      <c r="D564" s="37"/>
      <c r="E564" s="37"/>
      <c r="F564" s="35" t="s">
        <v>1562</v>
      </c>
      <c r="G564" s="37"/>
      <c r="H564" s="37"/>
      <c r="I564" s="37"/>
      <c r="J564" s="37"/>
      <c r="K564" s="21" t="str">
        <f t="shared" si="387"/>
        <v>Apprenant 552</v>
      </c>
      <c r="L564" s="22" t="str">
        <f t="shared" si="388"/>
        <v/>
      </c>
      <c r="M564" s="22" t="str">
        <f t="shared" si="389"/>
        <v/>
      </c>
      <c r="N564" s="22" t="str">
        <f t="shared" si="390"/>
        <v/>
      </c>
      <c r="O564" s="22" t="str">
        <f t="shared" si="391"/>
        <v/>
      </c>
      <c r="P564" s="21" t="str">
        <f t="shared" si="392"/>
        <v>Apprenant 552 ou 552'</v>
      </c>
      <c r="Q564" s="22" t="str">
        <f t="shared" si="393"/>
        <v/>
      </c>
      <c r="R564" s="22" t="str">
        <f t="shared" si="394"/>
        <v/>
      </c>
      <c r="S564" s="22" t="str">
        <f t="shared" si="395"/>
        <v/>
      </c>
      <c r="T564" s="22" t="str">
        <f t="shared" si="396"/>
        <v/>
      </c>
      <c r="V564" s="21" t="str">
        <f t="shared" si="397"/>
        <v>Apprenant 552</v>
      </c>
      <c r="W564" s="22" t="str">
        <f>IF(AND(OR('Choix pédagogiques'!$C$3=1,'Choix pédagogiques'!$C$3=2),$BM564=1),B564,IF(AND('Choix pédagogiques'!$C$3=3,$BO564=1),B564,""))</f>
        <v/>
      </c>
      <c r="X564" s="22" t="str">
        <f>IF(AND(OR('Choix pédagogiques'!$C$3=1,'Choix pédagogiques'!$C$3=2),$BM564=1),C564,IF(AND('Choix pédagogiques'!$C$3=3,$BO564=1),C564,""))</f>
        <v/>
      </c>
      <c r="Y564" s="22" t="str">
        <f>IF(AND(OR('Choix pédagogiques'!$C$3=1,'Choix pédagogiques'!$C$3=2),$BM564=1),D564,IF(AND('Choix pédagogiques'!$C$3=3,$BO564=1),D564,""))</f>
        <v/>
      </c>
      <c r="Z564" s="22" t="str">
        <f t="shared" si="398"/>
        <v/>
      </c>
      <c r="AA564" s="21" t="str">
        <f t="shared" si="399"/>
        <v>Apprenant 552 ou 552'</v>
      </c>
      <c r="AB564" s="22" t="str">
        <f>IF(AND(OR('Choix pédagogiques'!$C$3=1,'Choix pédagogiques'!$C$3=2),$BN564=1),G564,IF(AND('Choix pédagogiques'!$C$3=3,$BO564=1),G564,""))</f>
        <v/>
      </c>
      <c r="AC564" s="22" t="str">
        <f>IF(AND(OR('Choix pédagogiques'!$C$3=1,'Choix pédagogiques'!$C$3=2),$BN564=1),H564,IF(AND('Choix pédagogiques'!$C$3=3,$BO564=1),H564,""))</f>
        <v/>
      </c>
      <c r="AD564" s="22" t="str">
        <f>IF(AND(OR('Choix pédagogiques'!$C$3=1,'Choix pédagogiques'!$C$3=2),$BN564=1),I564,IF(AND('Choix pédagogiques'!$C$3=3,$BO564=1),I564,""))</f>
        <v/>
      </c>
      <c r="AE564" s="22" t="str">
        <f t="shared" si="400"/>
        <v/>
      </c>
      <c r="AF564" s="21" t="str">
        <f t="shared" si="401"/>
        <v>Apprenant 552</v>
      </c>
      <c r="AG564" s="22" t="str">
        <f t="shared" si="375"/>
        <v/>
      </c>
      <c r="AH564" s="22" t="str">
        <f t="shared" si="376"/>
        <v/>
      </c>
      <c r="AI564" s="22" t="str">
        <f t="shared" si="377"/>
        <v/>
      </c>
      <c r="AJ564" s="22" t="str">
        <f t="shared" si="402"/>
        <v/>
      </c>
      <c r="AK564" s="21" t="str">
        <f t="shared" si="403"/>
        <v>Apprenant 552 ou 552'</v>
      </c>
      <c r="AL564" s="22" t="str">
        <f t="shared" si="378"/>
        <v/>
      </c>
      <c r="AM564" s="22" t="str">
        <f t="shared" si="379"/>
        <v/>
      </c>
      <c r="AN564" s="22" t="str">
        <f t="shared" si="380"/>
        <v/>
      </c>
      <c r="AO564" s="22" t="str">
        <f t="shared" si="404"/>
        <v/>
      </c>
      <c r="AQ564" s="21" t="str">
        <f t="shared" si="405"/>
        <v>Apprenant 552</v>
      </c>
      <c r="AR564" s="49" t="str">
        <f>IF(AND('Choix pédagogiques'!$C$4&lt;&gt;"?",'Choix pédagogiques'!$C$5&lt;&gt;"?",W564&lt;&gt;""),(W564-'Choix pédagogiques'!$C$4)/('Choix pédagogiques'!$C$5-'Choix pédagogiques'!$C$4),"")</f>
        <v/>
      </c>
      <c r="AS564" s="49" t="str">
        <f>IF(AND('Choix pédagogiques'!$C$4&lt;&gt;"?",'Choix pédagogiques'!$C$5&lt;&gt;"?",X564&lt;&gt;""),(X564-'Choix pédagogiques'!$C$4)/('Choix pédagogiques'!$C$5-'Choix pédagogiques'!$C$4),"")</f>
        <v/>
      </c>
      <c r="AT564" s="49" t="str">
        <f>IF(AND('Choix pédagogiques'!$C$4&lt;&gt;"?",'Choix pédagogiques'!$C$5&lt;&gt;"?",Y564&lt;&gt;""),(Y564-'Choix pédagogiques'!$C$4)/('Choix pédagogiques'!$C$5-'Choix pédagogiques'!$C$4),"")</f>
        <v/>
      </c>
      <c r="AU564" s="22" t="str">
        <f t="shared" si="406"/>
        <v/>
      </c>
      <c r="AV564" s="21" t="str">
        <f t="shared" si="407"/>
        <v>Apprenant 552 ou 552'</v>
      </c>
      <c r="AW564" s="49" t="str">
        <f>IF(AND('Choix pédagogiques'!$C$4&lt;&gt;"?",'Choix pédagogiques'!$C$5&lt;&gt;"?",AB564&lt;&gt;""),(AB564-'Choix pédagogiques'!$C$4)/('Choix pédagogiques'!$C$5-'Choix pédagogiques'!$C$4),"")</f>
        <v/>
      </c>
      <c r="AX564" s="49" t="str">
        <f>IF(AND('Choix pédagogiques'!$C$4&lt;&gt;"?",'Choix pédagogiques'!$C$5&lt;&gt;"?",AC564&lt;&gt;""),(AC564-'Choix pédagogiques'!$C$4)/('Choix pédagogiques'!$C$5-'Choix pédagogiques'!$C$4),"")</f>
        <v/>
      </c>
      <c r="AY564" s="49" t="str">
        <f>IF(AND('Choix pédagogiques'!$C$4&lt;&gt;"?",'Choix pédagogiques'!$C$5&lt;&gt;"?",AD564&lt;&gt;""),(AD564-'Choix pédagogiques'!$C$4)/('Choix pédagogiques'!$C$5-'Choix pédagogiques'!$C$4),"")</f>
        <v/>
      </c>
      <c r="AZ564" s="22" t="str">
        <f t="shared" si="408"/>
        <v/>
      </c>
      <c r="BA564" s="21" t="str">
        <f t="shared" si="409"/>
        <v>Apprenant 552</v>
      </c>
      <c r="BB564" s="49" t="str">
        <f t="shared" si="381"/>
        <v/>
      </c>
      <c r="BC564" s="49" t="str">
        <f t="shared" si="382"/>
        <v/>
      </c>
      <c r="BD564" s="49" t="str">
        <f t="shared" si="383"/>
        <v/>
      </c>
      <c r="BE564" s="22" t="str">
        <f t="shared" si="410"/>
        <v/>
      </c>
      <c r="BF564" s="21" t="str">
        <f t="shared" si="411"/>
        <v>Apprenant 552 ou 552'</v>
      </c>
      <c r="BG564" s="49" t="str">
        <f t="shared" si="384"/>
        <v/>
      </c>
      <c r="BH564" s="49" t="str">
        <f t="shared" si="385"/>
        <v/>
      </c>
      <c r="BI564" s="49" t="str">
        <f t="shared" si="386"/>
        <v/>
      </c>
      <c r="BJ564" s="22" t="str">
        <f t="shared" si="412"/>
        <v/>
      </c>
      <c r="BL564" s="21"/>
      <c r="BM564" s="21" t="str">
        <f>IF(OR(COUNT(B564:D1563)=0,AND('Choix pédagogiques'!$C$3&lt;&gt;1,'Choix pédagogiques'!$C$3&lt;&gt;2)),"",IF(AND(OR('Choix pédagogiques'!$C$3=1,'Choix pédagogiques'!$C$3=2),$B564&lt;&gt;"",$C564&lt;&gt;"",$D564&lt;&gt;""),1,0))</f>
        <v/>
      </c>
      <c r="BN564" s="21" t="str">
        <f>IF(OR(COUNT(G564:I1563)=0,AND('Choix pédagogiques'!$C$3&lt;&gt;1,'Choix pédagogiques'!$C$3&lt;&gt;2)),"",IF(AND(OR('Choix pédagogiques'!$C$3=1,'Choix pédagogiques'!$C$3=2),AND($G564&lt;&gt;"",$H564&lt;&gt;"",$I564&lt;&gt;"")),1,0))</f>
        <v/>
      </c>
      <c r="BO564" s="21" t="str">
        <f>IF(OR(COUNT(B564:D1563)=0,COUNT(G564:I1563)=0,'Choix pédagogiques'!C$3&lt;&gt;3),"",IF(AND('Choix pédagogiques'!$C$3=3,$B564&lt;&gt;"",$C564&lt;&gt;"",$D564&lt;&gt;"",$G564&lt;&gt;"",$H564&lt;&gt;"",$I564&lt;&gt;""),1,0))</f>
        <v/>
      </c>
      <c r="BR564" s="21">
        <v>885</v>
      </c>
      <c r="BS564" s="21">
        <v>1694</v>
      </c>
      <c r="BT564"/>
    </row>
    <row r="565" spans="1:72" s="23" customFormat="1" ht="18" customHeight="1" x14ac:dyDescent="0.3">
      <c r="A565" s="35" t="s">
        <v>555</v>
      </c>
      <c r="B565" s="37"/>
      <c r="C565" s="37"/>
      <c r="D565" s="37"/>
      <c r="E565" s="37"/>
      <c r="F565" s="35" t="s">
        <v>1563</v>
      </c>
      <c r="G565" s="37"/>
      <c r="H565" s="37"/>
      <c r="I565" s="37"/>
      <c r="J565" s="37"/>
      <c r="K565" s="21" t="str">
        <f t="shared" si="387"/>
        <v>Apprenant 553</v>
      </c>
      <c r="L565" s="22" t="str">
        <f t="shared" si="388"/>
        <v/>
      </c>
      <c r="M565" s="22" t="str">
        <f t="shared" si="389"/>
        <v/>
      </c>
      <c r="N565" s="22" t="str">
        <f t="shared" si="390"/>
        <v/>
      </c>
      <c r="O565" s="22" t="str">
        <f t="shared" si="391"/>
        <v/>
      </c>
      <c r="P565" s="21" t="str">
        <f t="shared" si="392"/>
        <v>Apprenant 553 ou 553'</v>
      </c>
      <c r="Q565" s="22" t="str">
        <f t="shared" si="393"/>
        <v/>
      </c>
      <c r="R565" s="22" t="str">
        <f t="shared" si="394"/>
        <v/>
      </c>
      <c r="S565" s="22" t="str">
        <f t="shared" si="395"/>
        <v/>
      </c>
      <c r="T565" s="22" t="str">
        <f t="shared" si="396"/>
        <v/>
      </c>
      <c r="V565" s="21" t="str">
        <f t="shared" si="397"/>
        <v>Apprenant 553</v>
      </c>
      <c r="W565" s="22" t="str">
        <f>IF(AND(OR('Choix pédagogiques'!$C$3=1,'Choix pédagogiques'!$C$3=2),$BM565=1),B565,IF(AND('Choix pédagogiques'!$C$3=3,$BO565=1),B565,""))</f>
        <v/>
      </c>
      <c r="X565" s="22" t="str">
        <f>IF(AND(OR('Choix pédagogiques'!$C$3=1,'Choix pédagogiques'!$C$3=2),$BM565=1),C565,IF(AND('Choix pédagogiques'!$C$3=3,$BO565=1),C565,""))</f>
        <v/>
      </c>
      <c r="Y565" s="22" t="str">
        <f>IF(AND(OR('Choix pédagogiques'!$C$3=1,'Choix pédagogiques'!$C$3=2),$BM565=1),D565,IF(AND('Choix pédagogiques'!$C$3=3,$BO565=1),D565,""))</f>
        <v/>
      </c>
      <c r="Z565" s="22" t="str">
        <f t="shared" si="398"/>
        <v/>
      </c>
      <c r="AA565" s="21" t="str">
        <f t="shared" si="399"/>
        <v>Apprenant 553 ou 553'</v>
      </c>
      <c r="AB565" s="22" t="str">
        <f>IF(AND(OR('Choix pédagogiques'!$C$3=1,'Choix pédagogiques'!$C$3=2),$BN565=1),G565,IF(AND('Choix pédagogiques'!$C$3=3,$BO565=1),G565,""))</f>
        <v/>
      </c>
      <c r="AC565" s="22" t="str">
        <f>IF(AND(OR('Choix pédagogiques'!$C$3=1,'Choix pédagogiques'!$C$3=2),$BN565=1),H565,IF(AND('Choix pédagogiques'!$C$3=3,$BO565=1),H565,""))</f>
        <v/>
      </c>
      <c r="AD565" s="22" t="str">
        <f>IF(AND(OR('Choix pédagogiques'!$C$3=1,'Choix pédagogiques'!$C$3=2),$BN565=1),I565,IF(AND('Choix pédagogiques'!$C$3=3,$BO565=1),I565,""))</f>
        <v/>
      </c>
      <c r="AE565" s="22" t="str">
        <f t="shared" si="400"/>
        <v/>
      </c>
      <c r="AF565" s="21" t="str">
        <f t="shared" si="401"/>
        <v>Apprenant 553</v>
      </c>
      <c r="AG565" s="22" t="str">
        <f t="shared" si="375"/>
        <v/>
      </c>
      <c r="AH565" s="22" t="str">
        <f t="shared" si="376"/>
        <v/>
      </c>
      <c r="AI565" s="22" t="str">
        <f t="shared" si="377"/>
        <v/>
      </c>
      <c r="AJ565" s="22" t="str">
        <f t="shared" si="402"/>
        <v/>
      </c>
      <c r="AK565" s="21" t="str">
        <f t="shared" si="403"/>
        <v>Apprenant 553 ou 553'</v>
      </c>
      <c r="AL565" s="22" t="str">
        <f t="shared" si="378"/>
        <v/>
      </c>
      <c r="AM565" s="22" t="str">
        <f t="shared" si="379"/>
        <v/>
      </c>
      <c r="AN565" s="22" t="str">
        <f t="shared" si="380"/>
        <v/>
      </c>
      <c r="AO565" s="22" t="str">
        <f t="shared" si="404"/>
        <v/>
      </c>
      <c r="AQ565" s="21" t="str">
        <f t="shared" si="405"/>
        <v>Apprenant 553</v>
      </c>
      <c r="AR565" s="49" t="str">
        <f>IF(AND('Choix pédagogiques'!$C$4&lt;&gt;"?",'Choix pédagogiques'!$C$5&lt;&gt;"?",W565&lt;&gt;""),(W565-'Choix pédagogiques'!$C$4)/('Choix pédagogiques'!$C$5-'Choix pédagogiques'!$C$4),"")</f>
        <v/>
      </c>
      <c r="AS565" s="49" t="str">
        <f>IF(AND('Choix pédagogiques'!$C$4&lt;&gt;"?",'Choix pédagogiques'!$C$5&lt;&gt;"?",X565&lt;&gt;""),(X565-'Choix pédagogiques'!$C$4)/('Choix pédagogiques'!$C$5-'Choix pédagogiques'!$C$4),"")</f>
        <v/>
      </c>
      <c r="AT565" s="49" t="str">
        <f>IF(AND('Choix pédagogiques'!$C$4&lt;&gt;"?",'Choix pédagogiques'!$C$5&lt;&gt;"?",Y565&lt;&gt;""),(Y565-'Choix pédagogiques'!$C$4)/('Choix pédagogiques'!$C$5-'Choix pédagogiques'!$C$4),"")</f>
        <v/>
      </c>
      <c r="AU565" s="22" t="str">
        <f t="shared" si="406"/>
        <v/>
      </c>
      <c r="AV565" s="21" t="str">
        <f t="shared" si="407"/>
        <v>Apprenant 553 ou 553'</v>
      </c>
      <c r="AW565" s="49" t="str">
        <f>IF(AND('Choix pédagogiques'!$C$4&lt;&gt;"?",'Choix pédagogiques'!$C$5&lt;&gt;"?",AB565&lt;&gt;""),(AB565-'Choix pédagogiques'!$C$4)/('Choix pédagogiques'!$C$5-'Choix pédagogiques'!$C$4),"")</f>
        <v/>
      </c>
      <c r="AX565" s="49" t="str">
        <f>IF(AND('Choix pédagogiques'!$C$4&lt;&gt;"?",'Choix pédagogiques'!$C$5&lt;&gt;"?",AC565&lt;&gt;""),(AC565-'Choix pédagogiques'!$C$4)/('Choix pédagogiques'!$C$5-'Choix pédagogiques'!$C$4),"")</f>
        <v/>
      </c>
      <c r="AY565" s="49" t="str">
        <f>IF(AND('Choix pédagogiques'!$C$4&lt;&gt;"?",'Choix pédagogiques'!$C$5&lt;&gt;"?",AD565&lt;&gt;""),(AD565-'Choix pédagogiques'!$C$4)/('Choix pédagogiques'!$C$5-'Choix pédagogiques'!$C$4),"")</f>
        <v/>
      </c>
      <c r="AZ565" s="22" t="str">
        <f t="shared" si="408"/>
        <v/>
      </c>
      <c r="BA565" s="21" t="str">
        <f t="shared" si="409"/>
        <v>Apprenant 553</v>
      </c>
      <c r="BB565" s="49" t="str">
        <f t="shared" si="381"/>
        <v/>
      </c>
      <c r="BC565" s="49" t="str">
        <f t="shared" si="382"/>
        <v/>
      </c>
      <c r="BD565" s="49" t="str">
        <f t="shared" si="383"/>
        <v/>
      </c>
      <c r="BE565" s="22" t="str">
        <f t="shared" si="410"/>
        <v/>
      </c>
      <c r="BF565" s="21" t="str">
        <f t="shared" si="411"/>
        <v>Apprenant 553 ou 553'</v>
      </c>
      <c r="BG565" s="49" t="str">
        <f t="shared" si="384"/>
        <v/>
      </c>
      <c r="BH565" s="49" t="str">
        <f t="shared" si="385"/>
        <v/>
      </c>
      <c r="BI565" s="49" t="str">
        <f t="shared" si="386"/>
        <v/>
      </c>
      <c r="BJ565" s="22" t="str">
        <f t="shared" si="412"/>
        <v/>
      </c>
      <c r="BL565" s="21"/>
      <c r="BM565" s="21" t="str">
        <f>IF(OR(COUNT(B565:D1564)=0,AND('Choix pédagogiques'!$C$3&lt;&gt;1,'Choix pédagogiques'!$C$3&lt;&gt;2)),"",IF(AND(OR('Choix pédagogiques'!$C$3=1,'Choix pédagogiques'!$C$3=2),$B565&lt;&gt;"",$C565&lt;&gt;"",$D565&lt;&gt;""),1,0))</f>
        <v/>
      </c>
      <c r="BN565" s="21" t="str">
        <f>IF(OR(COUNT(G565:I1564)=0,AND('Choix pédagogiques'!$C$3&lt;&gt;1,'Choix pédagogiques'!$C$3&lt;&gt;2)),"",IF(AND(OR('Choix pédagogiques'!$C$3=1,'Choix pédagogiques'!$C$3=2),AND($G565&lt;&gt;"",$H565&lt;&gt;"",$I565&lt;&gt;"")),1,0))</f>
        <v/>
      </c>
      <c r="BO565" s="21" t="str">
        <f>IF(OR(COUNT(B565:D1564)=0,COUNT(G565:I1564)=0,'Choix pédagogiques'!C$3&lt;&gt;3),"",IF(AND('Choix pédagogiques'!$C$3=3,$B565&lt;&gt;"",$C565&lt;&gt;"",$D565&lt;&gt;"",$G565&lt;&gt;"",$H565&lt;&gt;"",$I565&lt;&gt;""),1,0))</f>
        <v/>
      </c>
      <c r="BR565" s="21">
        <v>366</v>
      </c>
      <c r="BS565" s="21">
        <v>1515</v>
      </c>
      <c r="BT565"/>
    </row>
    <row r="566" spans="1:72" s="23" customFormat="1" ht="18" customHeight="1" x14ac:dyDescent="0.3">
      <c r="A566" s="35" t="s">
        <v>556</v>
      </c>
      <c r="B566" s="37"/>
      <c r="C566" s="37"/>
      <c r="D566" s="37"/>
      <c r="E566" s="37"/>
      <c r="F566" s="35" t="s">
        <v>1564</v>
      </c>
      <c r="G566" s="37"/>
      <c r="H566" s="37"/>
      <c r="I566" s="37"/>
      <c r="J566" s="37"/>
      <c r="K566" s="21" t="str">
        <f t="shared" si="387"/>
        <v>Apprenant 554</v>
      </c>
      <c r="L566" s="22" t="str">
        <f t="shared" si="388"/>
        <v/>
      </c>
      <c r="M566" s="22" t="str">
        <f t="shared" si="389"/>
        <v/>
      </c>
      <c r="N566" s="22" t="str">
        <f t="shared" si="390"/>
        <v/>
      </c>
      <c r="O566" s="22" t="str">
        <f t="shared" si="391"/>
        <v/>
      </c>
      <c r="P566" s="21" t="str">
        <f t="shared" si="392"/>
        <v>Apprenant 554 ou 554'</v>
      </c>
      <c r="Q566" s="22" t="str">
        <f t="shared" si="393"/>
        <v/>
      </c>
      <c r="R566" s="22" t="str">
        <f t="shared" si="394"/>
        <v/>
      </c>
      <c r="S566" s="22" t="str">
        <f t="shared" si="395"/>
        <v/>
      </c>
      <c r="T566" s="22" t="str">
        <f t="shared" si="396"/>
        <v/>
      </c>
      <c r="V566" s="21" t="str">
        <f t="shared" si="397"/>
        <v>Apprenant 554</v>
      </c>
      <c r="W566" s="22" t="str">
        <f>IF(AND(OR('Choix pédagogiques'!$C$3=1,'Choix pédagogiques'!$C$3=2),$BM566=1),B566,IF(AND('Choix pédagogiques'!$C$3=3,$BO566=1),B566,""))</f>
        <v/>
      </c>
      <c r="X566" s="22" t="str">
        <f>IF(AND(OR('Choix pédagogiques'!$C$3=1,'Choix pédagogiques'!$C$3=2),$BM566=1),C566,IF(AND('Choix pédagogiques'!$C$3=3,$BO566=1),C566,""))</f>
        <v/>
      </c>
      <c r="Y566" s="22" t="str">
        <f>IF(AND(OR('Choix pédagogiques'!$C$3=1,'Choix pédagogiques'!$C$3=2),$BM566=1),D566,IF(AND('Choix pédagogiques'!$C$3=3,$BO566=1),D566,""))</f>
        <v/>
      </c>
      <c r="Z566" s="22" t="str">
        <f t="shared" si="398"/>
        <v/>
      </c>
      <c r="AA566" s="21" t="str">
        <f t="shared" si="399"/>
        <v>Apprenant 554 ou 554'</v>
      </c>
      <c r="AB566" s="22" t="str">
        <f>IF(AND(OR('Choix pédagogiques'!$C$3=1,'Choix pédagogiques'!$C$3=2),$BN566=1),G566,IF(AND('Choix pédagogiques'!$C$3=3,$BO566=1),G566,""))</f>
        <v/>
      </c>
      <c r="AC566" s="22" t="str">
        <f>IF(AND(OR('Choix pédagogiques'!$C$3=1,'Choix pédagogiques'!$C$3=2),$BN566=1),H566,IF(AND('Choix pédagogiques'!$C$3=3,$BO566=1),H566,""))</f>
        <v/>
      </c>
      <c r="AD566" s="22" t="str">
        <f>IF(AND(OR('Choix pédagogiques'!$C$3=1,'Choix pédagogiques'!$C$3=2),$BN566=1),I566,IF(AND('Choix pédagogiques'!$C$3=3,$BO566=1),I566,""))</f>
        <v/>
      </c>
      <c r="AE566" s="22" t="str">
        <f t="shared" si="400"/>
        <v/>
      </c>
      <c r="AF566" s="21" t="str">
        <f t="shared" si="401"/>
        <v>Apprenant 554</v>
      </c>
      <c r="AG566" s="22" t="str">
        <f t="shared" si="375"/>
        <v/>
      </c>
      <c r="AH566" s="22" t="str">
        <f t="shared" si="376"/>
        <v/>
      </c>
      <c r="AI566" s="22" t="str">
        <f t="shared" si="377"/>
        <v/>
      </c>
      <c r="AJ566" s="22" t="str">
        <f t="shared" si="402"/>
        <v/>
      </c>
      <c r="AK566" s="21" t="str">
        <f t="shared" si="403"/>
        <v>Apprenant 554 ou 554'</v>
      </c>
      <c r="AL566" s="22" t="str">
        <f t="shared" si="378"/>
        <v/>
      </c>
      <c r="AM566" s="22" t="str">
        <f t="shared" si="379"/>
        <v/>
      </c>
      <c r="AN566" s="22" t="str">
        <f t="shared" si="380"/>
        <v/>
      </c>
      <c r="AO566" s="22" t="str">
        <f t="shared" si="404"/>
        <v/>
      </c>
      <c r="AQ566" s="21" t="str">
        <f t="shared" si="405"/>
        <v>Apprenant 554</v>
      </c>
      <c r="AR566" s="49" t="str">
        <f>IF(AND('Choix pédagogiques'!$C$4&lt;&gt;"?",'Choix pédagogiques'!$C$5&lt;&gt;"?",W566&lt;&gt;""),(W566-'Choix pédagogiques'!$C$4)/('Choix pédagogiques'!$C$5-'Choix pédagogiques'!$C$4),"")</f>
        <v/>
      </c>
      <c r="AS566" s="49" t="str">
        <f>IF(AND('Choix pédagogiques'!$C$4&lt;&gt;"?",'Choix pédagogiques'!$C$5&lt;&gt;"?",X566&lt;&gt;""),(X566-'Choix pédagogiques'!$C$4)/('Choix pédagogiques'!$C$5-'Choix pédagogiques'!$C$4),"")</f>
        <v/>
      </c>
      <c r="AT566" s="49" t="str">
        <f>IF(AND('Choix pédagogiques'!$C$4&lt;&gt;"?",'Choix pédagogiques'!$C$5&lt;&gt;"?",Y566&lt;&gt;""),(Y566-'Choix pédagogiques'!$C$4)/('Choix pédagogiques'!$C$5-'Choix pédagogiques'!$C$4),"")</f>
        <v/>
      </c>
      <c r="AU566" s="22" t="str">
        <f t="shared" si="406"/>
        <v/>
      </c>
      <c r="AV566" s="21" t="str">
        <f t="shared" si="407"/>
        <v>Apprenant 554 ou 554'</v>
      </c>
      <c r="AW566" s="49" t="str">
        <f>IF(AND('Choix pédagogiques'!$C$4&lt;&gt;"?",'Choix pédagogiques'!$C$5&lt;&gt;"?",AB566&lt;&gt;""),(AB566-'Choix pédagogiques'!$C$4)/('Choix pédagogiques'!$C$5-'Choix pédagogiques'!$C$4),"")</f>
        <v/>
      </c>
      <c r="AX566" s="49" t="str">
        <f>IF(AND('Choix pédagogiques'!$C$4&lt;&gt;"?",'Choix pédagogiques'!$C$5&lt;&gt;"?",AC566&lt;&gt;""),(AC566-'Choix pédagogiques'!$C$4)/('Choix pédagogiques'!$C$5-'Choix pédagogiques'!$C$4),"")</f>
        <v/>
      </c>
      <c r="AY566" s="49" t="str">
        <f>IF(AND('Choix pédagogiques'!$C$4&lt;&gt;"?",'Choix pédagogiques'!$C$5&lt;&gt;"?",AD566&lt;&gt;""),(AD566-'Choix pédagogiques'!$C$4)/('Choix pédagogiques'!$C$5-'Choix pédagogiques'!$C$4),"")</f>
        <v/>
      </c>
      <c r="AZ566" s="22" t="str">
        <f t="shared" si="408"/>
        <v/>
      </c>
      <c r="BA566" s="21" t="str">
        <f t="shared" si="409"/>
        <v>Apprenant 554</v>
      </c>
      <c r="BB566" s="49" t="str">
        <f t="shared" si="381"/>
        <v/>
      </c>
      <c r="BC566" s="49" t="str">
        <f t="shared" si="382"/>
        <v/>
      </c>
      <c r="BD566" s="49" t="str">
        <f t="shared" si="383"/>
        <v/>
      </c>
      <c r="BE566" s="22" t="str">
        <f t="shared" si="410"/>
        <v/>
      </c>
      <c r="BF566" s="21" t="str">
        <f t="shared" si="411"/>
        <v>Apprenant 554 ou 554'</v>
      </c>
      <c r="BG566" s="49" t="str">
        <f t="shared" si="384"/>
        <v/>
      </c>
      <c r="BH566" s="49" t="str">
        <f t="shared" si="385"/>
        <v/>
      </c>
      <c r="BI566" s="49" t="str">
        <f t="shared" si="386"/>
        <v/>
      </c>
      <c r="BJ566" s="22" t="str">
        <f t="shared" si="412"/>
        <v/>
      </c>
      <c r="BL566" s="21"/>
      <c r="BM566" s="21" t="str">
        <f>IF(OR(COUNT(B566:D1565)=0,AND('Choix pédagogiques'!$C$3&lt;&gt;1,'Choix pédagogiques'!$C$3&lt;&gt;2)),"",IF(AND(OR('Choix pédagogiques'!$C$3=1,'Choix pédagogiques'!$C$3=2),$B566&lt;&gt;"",$C566&lt;&gt;"",$D566&lt;&gt;""),1,0))</f>
        <v/>
      </c>
      <c r="BN566" s="21" t="str">
        <f>IF(OR(COUNT(G566:I1565)=0,AND('Choix pédagogiques'!$C$3&lt;&gt;1,'Choix pédagogiques'!$C$3&lt;&gt;2)),"",IF(AND(OR('Choix pédagogiques'!$C$3=1,'Choix pédagogiques'!$C$3=2),AND($G566&lt;&gt;"",$H566&lt;&gt;"",$I566&lt;&gt;"")),1,0))</f>
        <v/>
      </c>
      <c r="BO566" s="21" t="str">
        <f>IF(OR(COUNT(B566:D1565)=0,COUNT(G566:I1565)=0,'Choix pédagogiques'!C$3&lt;&gt;3),"",IF(AND('Choix pédagogiques'!$C$3=3,$B566&lt;&gt;"",$C566&lt;&gt;"",$D566&lt;&gt;"",$G566&lt;&gt;"",$H566&lt;&gt;"",$I566&lt;&gt;""),1,0))</f>
        <v/>
      </c>
      <c r="BR566" s="21">
        <v>997</v>
      </c>
      <c r="BS566" s="21">
        <v>1078</v>
      </c>
      <c r="BT566"/>
    </row>
    <row r="567" spans="1:72" s="23" customFormat="1" ht="18" customHeight="1" x14ac:dyDescent="0.3">
      <c r="A567" s="35" t="s">
        <v>557</v>
      </c>
      <c r="B567" s="37"/>
      <c r="C567" s="37"/>
      <c r="D567" s="37"/>
      <c r="E567" s="37"/>
      <c r="F567" s="35" t="s">
        <v>1565</v>
      </c>
      <c r="G567" s="37"/>
      <c r="H567" s="37"/>
      <c r="I567" s="37"/>
      <c r="J567" s="37"/>
      <c r="K567" s="21" t="str">
        <f t="shared" si="387"/>
        <v>Apprenant 555</v>
      </c>
      <c r="L567" s="22" t="str">
        <f t="shared" si="388"/>
        <v/>
      </c>
      <c r="M567" s="22" t="str">
        <f t="shared" si="389"/>
        <v/>
      </c>
      <c r="N567" s="22" t="str">
        <f t="shared" si="390"/>
        <v/>
      </c>
      <c r="O567" s="22" t="str">
        <f t="shared" si="391"/>
        <v/>
      </c>
      <c r="P567" s="21" t="str">
        <f t="shared" si="392"/>
        <v>Apprenant 555 ou 555'</v>
      </c>
      <c r="Q567" s="22" t="str">
        <f t="shared" si="393"/>
        <v/>
      </c>
      <c r="R567" s="22" t="str">
        <f t="shared" si="394"/>
        <v/>
      </c>
      <c r="S567" s="22" t="str">
        <f t="shared" si="395"/>
        <v/>
      </c>
      <c r="T567" s="22" t="str">
        <f t="shared" si="396"/>
        <v/>
      </c>
      <c r="V567" s="21" t="str">
        <f t="shared" si="397"/>
        <v>Apprenant 555</v>
      </c>
      <c r="W567" s="22" t="str">
        <f>IF(AND(OR('Choix pédagogiques'!$C$3=1,'Choix pédagogiques'!$C$3=2),$BM567=1),B567,IF(AND('Choix pédagogiques'!$C$3=3,$BO567=1),B567,""))</f>
        <v/>
      </c>
      <c r="X567" s="22" t="str">
        <f>IF(AND(OR('Choix pédagogiques'!$C$3=1,'Choix pédagogiques'!$C$3=2),$BM567=1),C567,IF(AND('Choix pédagogiques'!$C$3=3,$BO567=1),C567,""))</f>
        <v/>
      </c>
      <c r="Y567" s="22" t="str">
        <f>IF(AND(OR('Choix pédagogiques'!$C$3=1,'Choix pédagogiques'!$C$3=2),$BM567=1),D567,IF(AND('Choix pédagogiques'!$C$3=3,$BO567=1),D567,""))</f>
        <v/>
      </c>
      <c r="Z567" s="22" t="str">
        <f t="shared" si="398"/>
        <v/>
      </c>
      <c r="AA567" s="21" t="str">
        <f t="shared" si="399"/>
        <v>Apprenant 555 ou 555'</v>
      </c>
      <c r="AB567" s="22" t="str">
        <f>IF(AND(OR('Choix pédagogiques'!$C$3=1,'Choix pédagogiques'!$C$3=2),$BN567=1),G567,IF(AND('Choix pédagogiques'!$C$3=3,$BO567=1),G567,""))</f>
        <v/>
      </c>
      <c r="AC567" s="22" t="str">
        <f>IF(AND(OR('Choix pédagogiques'!$C$3=1,'Choix pédagogiques'!$C$3=2),$BN567=1),H567,IF(AND('Choix pédagogiques'!$C$3=3,$BO567=1),H567,""))</f>
        <v/>
      </c>
      <c r="AD567" s="22" t="str">
        <f>IF(AND(OR('Choix pédagogiques'!$C$3=1,'Choix pédagogiques'!$C$3=2),$BN567=1),I567,IF(AND('Choix pédagogiques'!$C$3=3,$BO567=1),I567,""))</f>
        <v/>
      </c>
      <c r="AE567" s="22" t="str">
        <f t="shared" si="400"/>
        <v/>
      </c>
      <c r="AF567" s="21" t="str">
        <f t="shared" si="401"/>
        <v>Apprenant 555</v>
      </c>
      <c r="AG567" s="22" t="str">
        <f t="shared" si="375"/>
        <v/>
      </c>
      <c r="AH567" s="22" t="str">
        <f t="shared" si="376"/>
        <v/>
      </c>
      <c r="AI567" s="22" t="str">
        <f t="shared" si="377"/>
        <v/>
      </c>
      <c r="AJ567" s="22" t="str">
        <f t="shared" si="402"/>
        <v/>
      </c>
      <c r="AK567" s="21" t="str">
        <f t="shared" si="403"/>
        <v>Apprenant 555 ou 555'</v>
      </c>
      <c r="AL567" s="22" t="str">
        <f t="shared" si="378"/>
        <v/>
      </c>
      <c r="AM567" s="22" t="str">
        <f t="shared" si="379"/>
        <v/>
      </c>
      <c r="AN567" s="22" t="str">
        <f t="shared" si="380"/>
        <v/>
      </c>
      <c r="AO567" s="22" t="str">
        <f t="shared" si="404"/>
        <v/>
      </c>
      <c r="AQ567" s="21" t="str">
        <f t="shared" si="405"/>
        <v>Apprenant 555</v>
      </c>
      <c r="AR567" s="49" t="str">
        <f>IF(AND('Choix pédagogiques'!$C$4&lt;&gt;"?",'Choix pédagogiques'!$C$5&lt;&gt;"?",W567&lt;&gt;""),(W567-'Choix pédagogiques'!$C$4)/('Choix pédagogiques'!$C$5-'Choix pédagogiques'!$C$4),"")</f>
        <v/>
      </c>
      <c r="AS567" s="49" t="str">
        <f>IF(AND('Choix pédagogiques'!$C$4&lt;&gt;"?",'Choix pédagogiques'!$C$5&lt;&gt;"?",X567&lt;&gt;""),(X567-'Choix pédagogiques'!$C$4)/('Choix pédagogiques'!$C$5-'Choix pédagogiques'!$C$4),"")</f>
        <v/>
      </c>
      <c r="AT567" s="49" t="str">
        <f>IF(AND('Choix pédagogiques'!$C$4&lt;&gt;"?",'Choix pédagogiques'!$C$5&lt;&gt;"?",Y567&lt;&gt;""),(Y567-'Choix pédagogiques'!$C$4)/('Choix pédagogiques'!$C$5-'Choix pédagogiques'!$C$4),"")</f>
        <v/>
      </c>
      <c r="AU567" s="22" t="str">
        <f t="shared" si="406"/>
        <v/>
      </c>
      <c r="AV567" s="21" t="str">
        <f t="shared" si="407"/>
        <v>Apprenant 555 ou 555'</v>
      </c>
      <c r="AW567" s="49" t="str">
        <f>IF(AND('Choix pédagogiques'!$C$4&lt;&gt;"?",'Choix pédagogiques'!$C$5&lt;&gt;"?",AB567&lt;&gt;""),(AB567-'Choix pédagogiques'!$C$4)/('Choix pédagogiques'!$C$5-'Choix pédagogiques'!$C$4),"")</f>
        <v/>
      </c>
      <c r="AX567" s="49" t="str">
        <f>IF(AND('Choix pédagogiques'!$C$4&lt;&gt;"?",'Choix pédagogiques'!$C$5&lt;&gt;"?",AC567&lt;&gt;""),(AC567-'Choix pédagogiques'!$C$4)/('Choix pédagogiques'!$C$5-'Choix pédagogiques'!$C$4),"")</f>
        <v/>
      </c>
      <c r="AY567" s="49" t="str">
        <f>IF(AND('Choix pédagogiques'!$C$4&lt;&gt;"?",'Choix pédagogiques'!$C$5&lt;&gt;"?",AD567&lt;&gt;""),(AD567-'Choix pédagogiques'!$C$4)/('Choix pédagogiques'!$C$5-'Choix pédagogiques'!$C$4),"")</f>
        <v/>
      </c>
      <c r="AZ567" s="22" t="str">
        <f t="shared" si="408"/>
        <v/>
      </c>
      <c r="BA567" s="21" t="str">
        <f t="shared" si="409"/>
        <v>Apprenant 555</v>
      </c>
      <c r="BB567" s="49" t="str">
        <f t="shared" si="381"/>
        <v/>
      </c>
      <c r="BC567" s="49" t="str">
        <f t="shared" si="382"/>
        <v/>
      </c>
      <c r="BD567" s="49" t="str">
        <f t="shared" si="383"/>
        <v/>
      </c>
      <c r="BE567" s="22" t="str">
        <f t="shared" si="410"/>
        <v/>
      </c>
      <c r="BF567" s="21" t="str">
        <f t="shared" si="411"/>
        <v>Apprenant 555 ou 555'</v>
      </c>
      <c r="BG567" s="49" t="str">
        <f t="shared" si="384"/>
        <v/>
      </c>
      <c r="BH567" s="49" t="str">
        <f t="shared" si="385"/>
        <v/>
      </c>
      <c r="BI567" s="49" t="str">
        <f t="shared" si="386"/>
        <v/>
      </c>
      <c r="BJ567" s="22" t="str">
        <f t="shared" si="412"/>
        <v/>
      </c>
      <c r="BL567" s="21"/>
      <c r="BM567" s="21" t="str">
        <f>IF(OR(COUNT(B567:D1566)=0,AND('Choix pédagogiques'!$C$3&lt;&gt;1,'Choix pédagogiques'!$C$3&lt;&gt;2)),"",IF(AND(OR('Choix pédagogiques'!$C$3=1,'Choix pédagogiques'!$C$3=2),$B567&lt;&gt;"",$C567&lt;&gt;"",$D567&lt;&gt;""),1,0))</f>
        <v/>
      </c>
      <c r="BN567" s="21" t="str">
        <f>IF(OR(COUNT(G567:I1566)=0,AND('Choix pédagogiques'!$C$3&lt;&gt;1,'Choix pédagogiques'!$C$3&lt;&gt;2)),"",IF(AND(OR('Choix pédagogiques'!$C$3=1,'Choix pédagogiques'!$C$3=2),AND($G567&lt;&gt;"",$H567&lt;&gt;"",$I567&lt;&gt;"")),1,0))</f>
        <v/>
      </c>
      <c r="BO567" s="21" t="str">
        <f>IF(OR(COUNT(B567:D1566)=0,COUNT(G567:I1566)=0,'Choix pédagogiques'!C$3&lt;&gt;3),"",IF(AND('Choix pédagogiques'!$C$3=3,$B567&lt;&gt;"",$C567&lt;&gt;"",$D567&lt;&gt;"",$G567&lt;&gt;"",$H567&lt;&gt;"",$I567&lt;&gt;""),1,0))</f>
        <v/>
      </c>
      <c r="BR567" s="21">
        <v>58</v>
      </c>
      <c r="BS567" s="21">
        <v>1112</v>
      </c>
      <c r="BT567"/>
    </row>
    <row r="568" spans="1:72" s="23" customFormat="1" ht="18" customHeight="1" x14ac:dyDescent="0.3">
      <c r="A568" s="35" t="s">
        <v>558</v>
      </c>
      <c r="B568" s="37"/>
      <c r="C568" s="37"/>
      <c r="D568" s="37"/>
      <c r="E568" s="37"/>
      <c r="F568" s="35" t="s">
        <v>1566</v>
      </c>
      <c r="G568" s="37"/>
      <c r="H568" s="37"/>
      <c r="I568" s="37"/>
      <c r="J568" s="37"/>
      <c r="K568" s="21" t="str">
        <f t="shared" si="387"/>
        <v>Apprenant 556</v>
      </c>
      <c r="L568" s="22" t="str">
        <f t="shared" si="388"/>
        <v/>
      </c>
      <c r="M568" s="22" t="str">
        <f t="shared" si="389"/>
        <v/>
      </c>
      <c r="N568" s="22" t="str">
        <f t="shared" si="390"/>
        <v/>
      </c>
      <c r="O568" s="22" t="str">
        <f t="shared" si="391"/>
        <v/>
      </c>
      <c r="P568" s="21" t="str">
        <f t="shared" si="392"/>
        <v>Apprenant 556 ou 556'</v>
      </c>
      <c r="Q568" s="22" t="str">
        <f t="shared" si="393"/>
        <v/>
      </c>
      <c r="R568" s="22" t="str">
        <f t="shared" si="394"/>
        <v/>
      </c>
      <c r="S568" s="22" t="str">
        <f t="shared" si="395"/>
        <v/>
      </c>
      <c r="T568" s="22" t="str">
        <f t="shared" si="396"/>
        <v/>
      </c>
      <c r="V568" s="21" t="str">
        <f t="shared" si="397"/>
        <v>Apprenant 556</v>
      </c>
      <c r="W568" s="22" t="str">
        <f>IF(AND(OR('Choix pédagogiques'!$C$3=1,'Choix pédagogiques'!$C$3=2),$BM568=1),B568,IF(AND('Choix pédagogiques'!$C$3=3,$BO568=1),B568,""))</f>
        <v/>
      </c>
      <c r="X568" s="22" t="str">
        <f>IF(AND(OR('Choix pédagogiques'!$C$3=1,'Choix pédagogiques'!$C$3=2),$BM568=1),C568,IF(AND('Choix pédagogiques'!$C$3=3,$BO568=1),C568,""))</f>
        <v/>
      </c>
      <c r="Y568" s="22" t="str">
        <f>IF(AND(OR('Choix pédagogiques'!$C$3=1,'Choix pédagogiques'!$C$3=2),$BM568=1),D568,IF(AND('Choix pédagogiques'!$C$3=3,$BO568=1),D568,""))</f>
        <v/>
      </c>
      <c r="Z568" s="22" t="str">
        <f t="shared" si="398"/>
        <v/>
      </c>
      <c r="AA568" s="21" t="str">
        <f t="shared" si="399"/>
        <v>Apprenant 556 ou 556'</v>
      </c>
      <c r="AB568" s="22" t="str">
        <f>IF(AND(OR('Choix pédagogiques'!$C$3=1,'Choix pédagogiques'!$C$3=2),$BN568=1),G568,IF(AND('Choix pédagogiques'!$C$3=3,$BO568=1),G568,""))</f>
        <v/>
      </c>
      <c r="AC568" s="22" t="str">
        <f>IF(AND(OR('Choix pédagogiques'!$C$3=1,'Choix pédagogiques'!$C$3=2),$BN568=1),H568,IF(AND('Choix pédagogiques'!$C$3=3,$BO568=1),H568,""))</f>
        <v/>
      </c>
      <c r="AD568" s="22" t="str">
        <f>IF(AND(OR('Choix pédagogiques'!$C$3=1,'Choix pédagogiques'!$C$3=2),$BN568=1),I568,IF(AND('Choix pédagogiques'!$C$3=3,$BO568=1),I568,""))</f>
        <v/>
      </c>
      <c r="AE568" s="22" t="str">
        <f t="shared" si="400"/>
        <v/>
      </c>
      <c r="AF568" s="21" t="str">
        <f t="shared" si="401"/>
        <v>Apprenant 556</v>
      </c>
      <c r="AG568" s="22" t="str">
        <f t="shared" si="375"/>
        <v/>
      </c>
      <c r="AH568" s="22" t="str">
        <f t="shared" si="376"/>
        <v/>
      </c>
      <c r="AI568" s="22" t="str">
        <f t="shared" si="377"/>
        <v/>
      </c>
      <c r="AJ568" s="22" t="str">
        <f t="shared" si="402"/>
        <v/>
      </c>
      <c r="AK568" s="21" t="str">
        <f t="shared" si="403"/>
        <v>Apprenant 556 ou 556'</v>
      </c>
      <c r="AL568" s="22" t="str">
        <f t="shared" si="378"/>
        <v/>
      </c>
      <c r="AM568" s="22" t="str">
        <f t="shared" si="379"/>
        <v/>
      </c>
      <c r="AN568" s="22" t="str">
        <f t="shared" si="380"/>
        <v/>
      </c>
      <c r="AO568" s="22" t="str">
        <f t="shared" si="404"/>
        <v/>
      </c>
      <c r="AQ568" s="21" t="str">
        <f t="shared" si="405"/>
        <v>Apprenant 556</v>
      </c>
      <c r="AR568" s="49" t="str">
        <f>IF(AND('Choix pédagogiques'!$C$4&lt;&gt;"?",'Choix pédagogiques'!$C$5&lt;&gt;"?",W568&lt;&gt;""),(W568-'Choix pédagogiques'!$C$4)/('Choix pédagogiques'!$C$5-'Choix pédagogiques'!$C$4),"")</f>
        <v/>
      </c>
      <c r="AS568" s="49" t="str">
        <f>IF(AND('Choix pédagogiques'!$C$4&lt;&gt;"?",'Choix pédagogiques'!$C$5&lt;&gt;"?",X568&lt;&gt;""),(X568-'Choix pédagogiques'!$C$4)/('Choix pédagogiques'!$C$5-'Choix pédagogiques'!$C$4),"")</f>
        <v/>
      </c>
      <c r="AT568" s="49" t="str">
        <f>IF(AND('Choix pédagogiques'!$C$4&lt;&gt;"?",'Choix pédagogiques'!$C$5&lt;&gt;"?",Y568&lt;&gt;""),(Y568-'Choix pédagogiques'!$C$4)/('Choix pédagogiques'!$C$5-'Choix pédagogiques'!$C$4),"")</f>
        <v/>
      </c>
      <c r="AU568" s="22" t="str">
        <f t="shared" si="406"/>
        <v/>
      </c>
      <c r="AV568" s="21" t="str">
        <f t="shared" si="407"/>
        <v>Apprenant 556 ou 556'</v>
      </c>
      <c r="AW568" s="49" t="str">
        <f>IF(AND('Choix pédagogiques'!$C$4&lt;&gt;"?",'Choix pédagogiques'!$C$5&lt;&gt;"?",AB568&lt;&gt;""),(AB568-'Choix pédagogiques'!$C$4)/('Choix pédagogiques'!$C$5-'Choix pédagogiques'!$C$4),"")</f>
        <v/>
      </c>
      <c r="AX568" s="49" t="str">
        <f>IF(AND('Choix pédagogiques'!$C$4&lt;&gt;"?",'Choix pédagogiques'!$C$5&lt;&gt;"?",AC568&lt;&gt;""),(AC568-'Choix pédagogiques'!$C$4)/('Choix pédagogiques'!$C$5-'Choix pédagogiques'!$C$4),"")</f>
        <v/>
      </c>
      <c r="AY568" s="49" t="str">
        <f>IF(AND('Choix pédagogiques'!$C$4&lt;&gt;"?",'Choix pédagogiques'!$C$5&lt;&gt;"?",AD568&lt;&gt;""),(AD568-'Choix pédagogiques'!$C$4)/('Choix pédagogiques'!$C$5-'Choix pédagogiques'!$C$4),"")</f>
        <v/>
      </c>
      <c r="AZ568" s="22" t="str">
        <f t="shared" si="408"/>
        <v/>
      </c>
      <c r="BA568" s="21" t="str">
        <f t="shared" si="409"/>
        <v>Apprenant 556</v>
      </c>
      <c r="BB568" s="49" t="str">
        <f t="shared" si="381"/>
        <v/>
      </c>
      <c r="BC568" s="49" t="str">
        <f t="shared" si="382"/>
        <v/>
      </c>
      <c r="BD568" s="49" t="str">
        <f t="shared" si="383"/>
        <v/>
      </c>
      <c r="BE568" s="22" t="str">
        <f t="shared" si="410"/>
        <v/>
      </c>
      <c r="BF568" s="21" t="str">
        <f t="shared" si="411"/>
        <v>Apprenant 556 ou 556'</v>
      </c>
      <c r="BG568" s="49" t="str">
        <f t="shared" si="384"/>
        <v/>
      </c>
      <c r="BH568" s="49" t="str">
        <f t="shared" si="385"/>
        <v/>
      </c>
      <c r="BI568" s="49" t="str">
        <f t="shared" si="386"/>
        <v/>
      </c>
      <c r="BJ568" s="22" t="str">
        <f t="shared" si="412"/>
        <v/>
      </c>
      <c r="BL568" s="21"/>
      <c r="BM568" s="21" t="str">
        <f>IF(OR(COUNT(B568:D1567)=0,AND('Choix pédagogiques'!$C$3&lt;&gt;1,'Choix pédagogiques'!$C$3&lt;&gt;2)),"",IF(AND(OR('Choix pédagogiques'!$C$3=1,'Choix pédagogiques'!$C$3=2),$B568&lt;&gt;"",$C568&lt;&gt;"",$D568&lt;&gt;""),1,0))</f>
        <v/>
      </c>
      <c r="BN568" s="21" t="str">
        <f>IF(OR(COUNT(G568:I1567)=0,AND('Choix pédagogiques'!$C$3&lt;&gt;1,'Choix pédagogiques'!$C$3&lt;&gt;2)),"",IF(AND(OR('Choix pédagogiques'!$C$3=1,'Choix pédagogiques'!$C$3=2),AND($G568&lt;&gt;"",$H568&lt;&gt;"",$I568&lt;&gt;"")),1,0))</f>
        <v/>
      </c>
      <c r="BO568" s="21" t="str">
        <f>IF(OR(COUNT(B568:D1567)=0,COUNT(G568:I1567)=0,'Choix pédagogiques'!C$3&lt;&gt;3),"",IF(AND('Choix pédagogiques'!$C$3=3,$B568&lt;&gt;"",$C568&lt;&gt;"",$D568&lt;&gt;"",$G568&lt;&gt;"",$H568&lt;&gt;"",$I568&lt;&gt;""),1,0))</f>
        <v/>
      </c>
      <c r="BR568" s="21">
        <v>400</v>
      </c>
      <c r="BS568" s="21">
        <v>1599</v>
      </c>
      <c r="BT568"/>
    </row>
    <row r="569" spans="1:72" s="23" customFormat="1" ht="18" customHeight="1" x14ac:dyDescent="0.3">
      <c r="A569" s="35" t="s">
        <v>559</v>
      </c>
      <c r="B569" s="37"/>
      <c r="C569" s="37"/>
      <c r="D569" s="37"/>
      <c r="E569" s="37"/>
      <c r="F569" s="35" t="s">
        <v>1567</v>
      </c>
      <c r="G569" s="37"/>
      <c r="H569" s="37"/>
      <c r="I569" s="37"/>
      <c r="J569" s="37"/>
      <c r="K569" s="21" t="str">
        <f t="shared" si="387"/>
        <v>Apprenant 557</v>
      </c>
      <c r="L569" s="22" t="str">
        <f t="shared" si="388"/>
        <v/>
      </c>
      <c r="M569" s="22" t="str">
        <f t="shared" si="389"/>
        <v/>
      </c>
      <c r="N569" s="22" t="str">
        <f t="shared" si="390"/>
        <v/>
      </c>
      <c r="O569" s="22" t="str">
        <f t="shared" si="391"/>
        <v/>
      </c>
      <c r="P569" s="21" t="str">
        <f t="shared" si="392"/>
        <v>Apprenant 557 ou 557'</v>
      </c>
      <c r="Q569" s="22" t="str">
        <f t="shared" si="393"/>
        <v/>
      </c>
      <c r="R569" s="22" t="str">
        <f t="shared" si="394"/>
        <v/>
      </c>
      <c r="S569" s="22" t="str">
        <f t="shared" si="395"/>
        <v/>
      </c>
      <c r="T569" s="22" t="str">
        <f t="shared" si="396"/>
        <v/>
      </c>
      <c r="V569" s="21" t="str">
        <f t="shared" si="397"/>
        <v>Apprenant 557</v>
      </c>
      <c r="W569" s="22" t="str">
        <f>IF(AND(OR('Choix pédagogiques'!$C$3=1,'Choix pédagogiques'!$C$3=2),$BM569=1),B569,IF(AND('Choix pédagogiques'!$C$3=3,$BO569=1),B569,""))</f>
        <v/>
      </c>
      <c r="X569" s="22" t="str">
        <f>IF(AND(OR('Choix pédagogiques'!$C$3=1,'Choix pédagogiques'!$C$3=2),$BM569=1),C569,IF(AND('Choix pédagogiques'!$C$3=3,$BO569=1),C569,""))</f>
        <v/>
      </c>
      <c r="Y569" s="22" t="str">
        <f>IF(AND(OR('Choix pédagogiques'!$C$3=1,'Choix pédagogiques'!$C$3=2),$BM569=1),D569,IF(AND('Choix pédagogiques'!$C$3=3,$BO569=1),D569,""))</f>
        <v/>
      </c>
      <c r="Z569" s="22" t="str">
        <f t="shared" si="398"/>
        <v/>
      </c>
      <c r="AA569" s="21" t="str">
        <f t="shared" si="399"/>
        <v>Apprenant 557 ou 557'</v>
      </c>
      <c r="AB569" s="22" t="str">
        <f>IF(AND(OR('Choix pédagogiques'!$C$3=1,'Choix pédagogiques'!$C$3=2),$BN569=1),G569,IF(AND('Choix pédagogiques'!$C$3=3,$BO569=1),G569,""))</f>
        <v/>
      </c>
      <c r="AC569" s="22" t="str">
        <f>IF(AND(OR('Choix pédagogiques'!$C$3=1,'Choix pédagogiques'!$C$3=2),$BN569=1),H569,IF(AND('Choix pédagogiques'!$C$3=3,$BO569=1),H569,""))</f>
        <v/>
      </c>
      <c r="AD569" s="22" t="str">
        <f>IF(AND(OR('Choix pédagogiques'!$C$3=1,'Choix pédagogiques'!$C$3=2),$BN569=1),I569,IF(AND('Choix pédagogiques'!$C$3=3,$BO569=1),I569,""))</f>
        <v/>
      </c>
      <c r="AE569" s="22" t="str">
        <f t="shared" si="400"/>
        <v/>
      </c>
      <c r="AF569" s="21" t="str">
        <f t="shared" si="401"/>
        <v>Apprenant 557</v>
      </c>
      <c r="AG569" s="22" t="str">
        <f t="shared" si="375"/>
        <v/>
      </c>
      <c r="AH569" s="22" t="str">
        <f t="shared" si="376"/>
        <v/>
      </c>
      <c r="AI569" s="22" t="str">
        <f t="shared" si="377"/>
        <v/>
      </c>
      <c r="AJ569" s="22" t="str">
        <f t="shared" si="402"/>
        <v/>
      </c>
      <c r="AK569" s="21" t="str">
        <f t="shared" si="403"/>
        <v>Apprenant 557 ou 557'</v>
      </c>
      <c r="AL569" s="22" t="str">
        <f t="shared" si="378"/>
        <v/>
      </c>
      <c r="AM569" s="22" t="str">
        <f t="shared" si="379"/>
        <v/>
      </c>
      <c r="AN569" s="22" t="str">
        <f t="shared" si="380"/>
        <v/>
      </c>
      <c r="AO569" s="22" t="str">
        <f t="shared" si="404"/>
        <v/>
      </c>
      <c r="AQ569" s="21" t="str">
        <f t="shared" si="405"/>
        <v>Apprenant 557</v>
      </c>
      <c r="AR569" s="49" t="str">
        <f>IF(AND('Choix pédagogiques'!$C$4&lt;&gt;"?",'Choix pédagogiques'!$C$5&lt;&gt;"?",W569&lt;&gt;""),(W569-'Choix pédagogiques'!$C$4)/('Choix pédagogiques'!$C$5-'Choix pédagogiques'!$C$4),"")</f>
        <v/>
      </c>
      <c r="AS569" s="49" t="str">
        <f>IF(AND('Choix pédagogiques'!$C$4&lt;&gt;"?",'Choix pédagogiques'!$C$5&lt;&gt;"?",X569&lt;&gt;""),(X569-'Choix pédagogiques'!$C$4)/('Choix pédagogiques'!$C$5-'Choix pédagogiques'!$C$4),"")</f>
        <v/>
      </c>
      <c r="AT569" s="49" t="str">
        <f>IF(AND('Choix pédagogiques'!$C$4&lt;&gt;"?",'Choix pédagogiques'!$C$5&lt;&gt;"?",Y569&lt;&gt;""),(Y569-'Choix pédagogiques'!$C$4)/('Choix pédagogiques'!$C$5-'Choix pédagogiques'!$C$4),"")</f>
        <v/>
      </c>
      <c r="AU569" s="22" t="str">
        <f t="shared" si="406"/>
        <v/>
      </c>
      <c r="AV569" s="21" t="str">
        <f t="shared" si="407"/>
        <v>Apprenant 557 ou 557'</v>
      </c>
      <c r="AW569" s="49" t="str">
        <f>IF(AND('Choix pédagogiques'!$C$4&lt;&gt;"?",'Choix pédagogiques'!$C$5&lt;&gt;"?",AB569&lt;&gt;""),(AB569-'Choix pédagogiques'!$C$4)/('Choix pédagogiques'!$C$5-'Choix pédagogiques'!$C$4),"")</f>
        <v/>
      </c>
      <c r="AX569" s="49" t="str">
        <f>IF(AND('Choix pédagogiques'!$C$4&lt;&gt;"?",'Choix pédagogiques'!$C$5&lt;&gt;"?",AC569&lt;&gt;""),(AC569-'Choix pédagogiques'!$C$4)/('Choix pédagogiques'!$C$5-'Choix pédagogiques'!$C$4),"")</f>
        <v/>
      </c>
      <c r="AY569" s="49" t="str">
        <f>IF(AND('Choix pédagogiques'!$C$4&lt;&gt;"?",'Choix pédagogiques'!$C$5&lt;&gt;"?",AD569&lt;&gt;""),(AD569-'Choix pédagogiques'!$C$4)/('Choix pédagogiques'!$C$5-'Choix pédagogiques'!$C$4),"")</f>
        <v/>
      </c>
      <c r="AZ569" s="22" t="str">
        <f t="shared" si="408"/>
        <v/>
      </c>
      <c r="BA569" s="21" t="str">
        <f t="shared" si="409"/>
        <v>Apprenant 557</v>
      </c>
      <c r="BB569" s="49" t="str">
        <f t="shared" si="381"/>
        <v/>
      </c>
      <c r="BC569" s="49" t="str">
        <f t="shared" si="382"/>
        <v/>
      </c>
      <c r="BD569" s="49" t="str">
        <f t="shared" si="383"/>
        <v/>
      </c>
      <c r="BE569" s="22" t="str">
        <f t="shared" si="410"/>
        <v/>
      </c>
      <c r="BF569" s="21" t="str">
        <f t="shared" si="411"/>
        <v>Apprenant 557 ou 557'</v>
      </c>
      <c r="BG569" s="49" t="str">
        <f t="shared" si="384"/>
        <v/>
      </c>
      <c r="BH569" s="49" t="str">
        <f t="shared" si="385"/>
        <v/>
      </c>
      <c r="BI569" s="49" t="str">
        <f t="shared" si="386"/>
        <v/>
      </c>
      <c r="BJ569" s="22" t="str">
        <f t="shared" si="412"/>
        <v/>
      </c>
      <c r="BL569" s="21"/>
      <c r="BM569" s="21" t="str">
        <f>IF(OR(COUNT(B569:D1568)=0,AND('Choix pédagogiques'!$C$3&lt;&gt;1,'Choix pédagogiques'!$C$3&lt;&gt;2)),"",IF(AND(OR('Choix pédagogiques'!$C$3=1,'Choix pédagogiques'!$C$3=2),$B569&lt;&gt;"",$C569&lt;&gt;"",$D569&lt;&gt;""),1,0))</f>
        <v/>
      </c>
      <c r="BN569" s="21" t="str">
        <f>IF(OR(COUNT(G569:I1568)=0,AND('Choix pédagogiques'!$C$3&lt;&gt;1,'Choix pédagogiques'!$C$3&lt;&gt;2)),"",IF(AND(OR('Choix pédagogiques'!$C$3=1,'Choix pédagogiques'!$C$3=2),AND($G569&lt;&gt;"",$H569&lt;&gt;"",$I569&lt;&gt;"")),1,0))</f>
        <v/>
      </c>
      <c r="BO569" s="21" t="str">
        <f>IF(OR(COUNT(B569:D1568)=0,COUNT(G569:I1568)=0,'Choix pédagogiques'!C$3&lt;&gt;3),"",IF(AND('Choix pédagogiques'!$C$3=3,$B569&lt;&gt;"",$C569&lt;&gt;"",$D569&lt;&gt;"",$G569&lt;&gt;"",$H569&lt;&gt;"",$I569&lt;&gt;""),1,0))</f>
        <v/>
      </c>
      <c r="BR569" s="21">
        <v>176</v>
      </c>
      <c r="BS569" s="21">
        <v>1382</v>
      </c>
      <c r="BT569"/>
    </row>
    <row r="570" spans="1:72" s="23" customFormat="1" ht="18" customHeight="1" x14ac:dyDescent="0.3">
      <c r="A570" s="35" t="s">
        <v>560</v>
      </c>
      <c r="B570" s="37"/>
      <c r="C570" s="37"/>
      <c r="D570" s="37"/>
      <c r="E570" s="37"/>
      <c r="F570" s="35" t="s">
        <v>1568</v>
      </c>
      <c r="G570" s="37"/>
      <c r="H570" s="37"/>
      <c r="I570" s="37"/>
      <c r="J570" s="37"/>
      <c r="K570" s="21" t="str">
        <f t="shared" si="387"/>
        <v>Apprenant 558</v>
      </c>
      <c r="L570" s="22" t="str">
        <f t="shared" si="388"/>
        <v/>
      </c>
      <c r="M570" s="22" t="str">
        <f t="shared" si="389"/>
        <v/>
      </c>
      <c r="N570" s="22" t="str">
        <f t="shared" si="390"/>
        <v/>
      </c>
      <c r="O570" s="22" t="str">
        <f t="shared" si="391"/>
        <v/>
      </c>
      <c r="P570" s="21" t="str">
        <f t="shared" si="392"/>
        <v>Apprenant 558 ou 558'</v>
      </c>
      <c r="Q570" s="22" t="str">
        <f t="shared" si="393"/>
        <v/>
      </c>
      <c r="R570" s="22" t="str">
        <f t="shared" si="394"/>
        <v/>
      </c>
      <c r="S570" s="22" t="str">
        <f t="shared" si="395"/>
        <v/>
      </c>
      <c r="T570" s="22" t="str">
        <f t="shared" si="396"/>
        <v/>
      </c>
      <c r="V570" s="21" t="str">
        <f t="shared" si="397"/>
        <v>Apprenant 558</v>
      </c>
      <c r="W570" s="22" t="str">
        <f>IF(AND(OR('Choix pédagogiques'!$C$3=1,'Choix pédagogiques'!$C$3=2),$BM570=1),B570,IF(AND('Choix pédagogiques'!$C$3=3,$BO570=1),B570,""))</f>
        <v/>
      </c>
      <c r="X570" s="22" t="str">
        <f>IF(AND(OR('Choix pédagogiques'!$C$3=1,'Choix pédagogiques'!$C$3=2),$BM570=1),C570,IF(AND('Choix pédagogiques'!$C$3=3,$BO570=1),C570,""))</f>
        <v/>
      </c>
      <c r="Y570" s="22" t="str">
        <f>IF(AND(OR('Choix pédagogiques'!$C$3=1,'Choix pédagogiques'!$C$3=2),$BM570=1),D570,IF(AND('Choix pédagogiques'!$C$3=3,$BO570=1),D570,""))</f>
        <v/>
      </c>
      <c r="Z570" s="22" t="str">
        <f t="shared" si="398"/>
        <v/>
      </c>
      <c r="AA570" s="21" t="str">
        <f t="shared" si="399"/>
        <v>Apprenant 558 ou 558'</v>
      </c>
      <c r="AB570" s="22" t="str">
        <f>IF(AND(OR('Choix pédagogiques'!$C$3=1,'Choix pédagogiques'!$C$3=2),$BN570=1),G570,IF(AND('Choix pédagogiques'!$C$3=3,$BO570=1),G570,""))</f>
        <v/>
      </c>
      <c r="AC570" s="22" t="str">
        <f>IF(AND(OR('Choix pédagogiques'!$C$3=1,'Choix pédagogiques'!$C$3=2),$BN570=1),H570,IF(AND('Choix pédagogiques'!$C$3=3,$BO570=1),H570,""))</f>
        <v/>
      </c>
      <c r="AD570" s="22" t="str">
        <f>IF(AND(OR('Choix pédagogiques'!$C$3=1,'Choix pédagogiques'!$C$3=2),$BN570=1),I570,IF(AND('Choix pédagogiques'!$C$3=3,$BO570=1),I570,""))</f>
        <v/>
      </c>
      <c r="AE570" s="22" t="str">
        <f t="shared" si="400"/>
        <v/>
      </c>
      <c r="AF570" s="21" t="str">
        <f t="shared" si="401"/>
        <v>Apprenant 558</v>
      </c>
      <c r="AG570" s="22" t="str">
        <f t="shared" si="375"/>
        <v/>
      </c>
      <c r="AH570" s="22" t="str">
        <f t="shared" si="376"/>
        <v/>
      </c>
      <c r="AI570" s="22" t="str">
        <f t="shared" si="377"/>
        <v/>
      </c>
      <c r="AJ570" s="22" t="str">
        <f t="shared" si="402"/>
        <v/>
      </c>
      <c r="AK570" s="21" t="str">
        <f t="shared" si="403"/>
        <v>Apprenant 558 ou 558'</v>
      </c>
      <c r="AL570" s="22" t="str">
        <f t="shared" si="378"/>
        <v/>
      </c>
      <c r="AM570" s="22" t="str">
        <f t="shared" si="379"/>
        <v/>
      </c>
      <c r="AN570" s="22" t="str">
        <f t="shared" si="380"/>
        <v/>
      </c>
      <c r="AO570" s="22" t="str">
        <f t="shared" si="404"/>
        <v/>
      </c>
      <c r="AQ570" s="21" t="str">
        <f t="shared" si="405"/>
        <v>Apprenant 558</v>
      </c>
      <c r="AR570" s="49" t="str">
        <f>IF(AND('Choix pédagogiques'!$C$4&lt;&gt;"?",'Choix pédagogiques'!$C$5&lt;&gt;"?",W570&lt;&gt;""),(W570-'Choix pédagogiques'!$C$4)/('Choix pédagogiques'!$C$5-'Choix pédagogiques'!$C$4),"")</f>
        <v/>
      </c>
      <c r="AS570" s="49" t="str">
        <f>IF(AND('Choix pédagogiques'!$C$4&lt;&gt;"?",'Choix pédagogiques'!$C$5&lt;&gt;"?",X570&lt;&gt;""),(X570-'Choix pédagogiques'!$C$4)/('Choix pédagogiques'!$C$5-'Choix pédagogiques'!$C$4),"")</f>
        <v/>
      </c>
      <c r="AT570" s="49" t="str">
        <f>IF(AND('Choix pédagogiques'!$C$4&lt;&gt;"?",'Choix pédagogiques'!$C$5&lt;&gt;"?",Y570&lt;&gt;""),(Y570-'Choix pédagogiques'!$C$4)/('Choix pédagogiques'!$C$5-'Choix pédagogiques'!$C$4),"")</f>
        <v/>
      </c>
      <c r="AU570" s="22" t="str">
        <f t="shared" si="406"/>
        <v/>
      </c>
      <c r="AV570" s="21" t="str">
        <f t="shared" si="407"/>
        <v>Apprenant 558 ou 558'</v>
      </c>
      <c r="AW570" s="49" t="str">
        <f>IF(AND('Choix pédagogiques'!$C$4&lt;&gt;"?",'Choix pédagogiques'!$C$5&lt;&gt;"?",AB570&lt;&gt;""),(AB570-'Choix pédagogiques'!$C$4)/('Choix pédagogiques'!$C$5-'Choix pédagogiques'!$C$4),"")</f>
        <v/>
      </c>
      <c r="AX570" s="49" t="str">
        <f>IF(AND('Choix pédagogiques'!$C$4&lt;&gt;"?",'Choix pédagogiques'!$C$5&lt;&gt;"?",AC570&lt;&gt;""),(AC570-'Choix pédagogiques'!$C$4)/('Choix pédagogiques'!$C$5-'Choix pédagogiques'!$C$4),"")</f>
        <v/>
      </c>
      <c r="AY570" s="49" t="str">
        <f>IF(AND('Choix pédagogiques'!$C$4&lt;&gt;"?",'Choix pédagogiques'!$C$5&lt;&gt;"?",AD570&lt;&gt;""),(AD570-'Choix pédagogiques'!$C$4)/('Choix pédagogiques'!$C$5-'Choix pédagogiques'!$C$4),"")</f>
        <v/>
      </c>
      <c r="AZ570" s="22" t="str">
        <f t="shared" si="408"/>
        <v/>
      </c>
      <c r="BA570" s="21" t="str">
        <f t="shared" si="409"/>
        <v>Apprenant 558</v>
      </c>
      <c r="BB570" s="49" t="str">
        <f t="shared" si="381"/>
        <v/>
      </c>
      <c r="BC570" s="49" t="str">
        <f t="shared" si="382"/>
        <v/>
      </c>
      <c r="BD570" s="49" t="str">
        <f t="shared" si="383"/>
        <v/>
      </c>
      <c r="BE570" s="22" t="str">
        <f t="shared" si="410"/>
        <v/>
      </c>
      <c r="BF570" s="21" t="str">
        <f t="shared" si="411"/>
        <v>Apprenant 558 ou 558'</v>
      </c>
      <c r="BG570" s="49" t="str">
        <f t="shared" si="384"/>
        <v/>
      </c>
      <c r="BH570" s="49" t="str">
        <f t="shared" si="385"/>
        <v/>
      </c>
      <c r="BI570" s="49" t="str">
        <f t="shared" si="386"/>
        <v/>
      </c>
      <c r="BJ570" s="22" t="str">
        <f t="shared" si="412"/>
        <v/>
      </c>
      <c r="BL570" s="21"/>
      <c r="BM570" s="21" t="str">
        <f>IF(OR(COUNT(B570:D1569)=0,AND('Choix pédagogiques'!$C$3&lt;&gt;1,'Choix pédagogiques'!$C$3&lt;&gt;2)),"",IF(AND(OR('Choix pédagogiques'!$C$3=1,'Choix pédagogiques'!$C$3=2),$B570&lt;&gt;"",$C570&lt;&gt;"",$D570&lt;&gt;""),1,0))</f>
        <v/>
      </c>
      <c r="BN570" s="21" t="str">
        <f>IF(OR(COUNT(G570:I1569)=0,AND('Choix pédagogiques'!$C$3&lt;&gt;1,'Choix pédagogiques'!$C$3&lt;&gt;2)),"",IF(AND(OR('Choix pédagogiques'!$C$3=1,'Choix pédagogiques'!$C$3=2),AND($G570&lt;&gt;"",$H570&lt;&gt;"",$I570&lt;&gt;"")),1,0))</f>
        <v/>
      </c>
      <c r="BO570" s="21" t="str">
        <f>IF(OR(COUNT(B570:D1569)=0,COUNT(G570:I1569)=0,'Choix pédagogiques'!C$3&lt;&gt;3),"",IF(AND('Choix pédagogiques'!$C$3=3,$B570&lt;&gt;"",$C570&lt;&gt;"",$D570&lt;&gt;"",$G570&lt;&gt;"",$H570&lt;&gt;"",$I570&lt;&gt;""),1,0))</f>
        <v/>
      </c>
      <c r="BR570" s="21">
        <v>932</v>
      </c>
      <c r="BS570" s="21">
        <v>1294</v>
      </c>
      <c r="BT570"/>
    </row>
    <row r="571" spans="1:72" s="23" customFormat="1" ht="18" customHeight="1" x14ac:dyDescent="0.3">
      <c r="A571" s="35" t="s">
        <v>561</v>
      </c>
      <c r="B571" s="37"/>
      <c r="C571" s="37"/>
      <c r="D571" s="37"/>
      <c r="E571" s="37"/>
      <c r="F571" s="35" t="s">
        <v>1569</v>
      </c>
      <c r="G571" s="37"/>
      <c r="H571" s="37"/>
      <c r="I571" s="37"/>
      <c r="J571" s="37"/>
      <c r="K571" s="21" t="str">
        <f t="shared" si="387"/>
        <v>Apprenant 559</v>
      </c>
      <c r="L571" s="22" t="str">
        <f t="shared" si="388"/>
        <v/>
      </c>
      <c r="M571" s="22" t="str">
        <f t="shared" si="389"/>
        <v/>
      </c>
      <c r="N571" s="22" t="str">
        <f t="shared" si="390"/>
        <v/>
      </c>
      <c r="O571" s="22" t="str">
        <f t="shared" si="391"/>
        <v/>
      </c>
      <c r="P571" s="21" t="str">
        <f t="shared" si="392"/>
        <v>Apprenant 559 ou 559'</v>
      </c>
      <c r="Q571" s="22" t="str">
        <f t="shared" si="393"/>
        <v/>
      </c>
      <c r="R571" s="22" t="str">
        <f t="shared" si="394"/>
        <v/>
      </c>
      <c r="S571" s="22" t="str">
        <f t="shared" si="395"/>
        <v/>
      </c>
      <c r="T571" s="22" t="str">
        <f t="shared" si="396"/>
        <v/>
      </c>
      <c r="V571" s="21" t="str">
        <f t="shared" si="397"/>
        <v>Apprenant 559</v>
      </c>
      <c r="W571" s="22" t="str">
        <f>IF(AND(OR('Choix pédagogiques'!$C$3=1,'Choix pédagogiques'!$C$3=2),$BM571=1),B571,IF(AND('Choix pédagogiques'!$C$3=3,$BO571=1),B571,""))</f>
        <v/>
      </c>
      <c r="X571" s="22" t="str">
        <f>IF(AND(OR('Choix pédagogiques'!$C$3=1,'Choix pédagogiques'!$C$3=2),$BM571=1),C571,IF(AND('Choix pédagogiques'!$C$3=3,$BO571=1),C571,""))</f>
        <v/>
      </c>
      <c r="Y571" s="22" t="str">
        <f>IF(AND(OR('Choix pédagogiques'!$C$3=1,'Choix pédagogiques'!$C$3=2),$BM571=1),D571,IF(AND('Choix pédagogiques'!$C$3=3,$BO571=1),D571,""))</f>
        <v/>
      </c>
      <c r="Z571" s="22" t="str">
        <f t="shared" si="398"/>
        <v/>
      </c>
      <c r="AA571" s="21" t="str">
        <f t="shared" si="399"/>
        <v>Apprenant 559 ou 559'</v>
      </c>
      <c r="AB571" s="22" t="str">
        <f>IF(AND(OR('Choix pédagogiques'!$C$3=1,'Choix pédagogiques'!$C$3=2),$BN571=1),G571,IF(AND('Choix pédagogiques'!$C$3=3,$BO571=1),G571,""))</f>
        <v/>
      </c>
      <c r="AC571" s="22" t="str">
        <f>IF(AND(OR('Choix pédagogiques'!$C$3=1,'Choix pédagogiques'!$C$3=2),$BN571=1),H571,IF(AND('Choix pédagogiques'!$C$3=3,$BO571=1),H571,""))</f>
        <v/>
      </c>
      <c r="AD571" s="22" t="str">
        <f>IF(AND(OR('Choix pédagogiques'!$C$3=1,'Choix pédagogiques'!$C$3=2),$BN571=1),I571,IF(AND('Choix pédagogiques'!$C$3=3,$BO571=1),I571,""))</f>
        <v/>
      </c>
      <c r="AE571" s="22" t="str">
        <f t="shared" si="400"/>
        <v/>
      </c>
      <c r="AF571" s="21" t="str">
        <f t="shared" si="401"/>
        <v>Apprenant 559</v>
      </c>
      <c r="AG571" s="22" t="str">
        <f t="shared" si="375"/>
        <v/>
      </c>
      <c r="AH571" s="22" t="str">
        <f t="shared" si="376"/>
        <v/>
      </c>
      <c r="AI571" s="22" t="str">
        <f t="shared" si="377"/>
        <v/>
      </c>
      <c r="AJ571" s="22" t="str">
        <f t="shared" si="402"/>
        <v/>
      </c>
      <c r="AK571" s="21" t="str">
        <f t="shared" si="403"/>
        <v>Apprenant 559 ou 559'</v>
      </c>
      <c r="AL571" s="22" t="str">
        <f t="shared" si="378"/>
        <v/>
      </c>
      <c r="AM571" s="22" t="str">
        <f t="shared" si="379"/>
        <v/>
      </c>
      <c r="AN571" s="22" t="str">
        <f t="shared" si="380"/>
        <v/>
      </c>
      <c r="AO571" s="22" t="str">
        <f t="shared" si="404"/>
        <v/>
      </c>
      <c r="AQ571" s="21" t="str">
        <f t="shared" si="405"/>
        <v>Apprenant 559</v>
      </c>
      <c r="AR571" s="49" t="str">
        <f>IF(AND('Choix pédagogiques'!$C$4&lt;&gt;"?",'Choix pédagogiques'!$C$5&lt;&gt;"?",W571&lt;&gt;""),(W571-'Choix pédagogiques'!$C$4)/('Choix pédagogiques'!$C$5-'Choix pédagogiques'!$C$4),"")</f>
        <v/>
      </c>
      <c r="AS571" s="49" t="str">
        <f>IF(AND('Choix pédagogiques'!$C$4&lt;&gt;"?",'Choix pédagogiques'!$C$5&lt;&gt;"?",X571&lt;&gt;""),(X571-'Choix pédagogiques'!$C$4)/('Choix pédagogiques'!$C$5-'Choix pédagogiques'!$C$4),"")</f>
        <v/>
      </c>
      <c r="AT571" s="49" t="str">
        <f>IF(AND('Choix pédagogiques'!$C$4&lt;&gt;"?",'Choix pédagogiques'!$C$5&lt;&gt;"?",Y571&lt;&gt;""),(Y571-'Choix pédagogiques'!$C$4)/('Choix pédagogiques'!$C$5-'Choix pédagogiques'!$C$4),"")</f>
        <v/>
      </c>
      <c r="AU571" s="22" t="str">
        <f t="shared" si="406"/>
        <v/>
      </c>
      <c r="AV571" s="21" t="str">
        <f t="shared" si="407"/>
        <v>Apprenant 559 ou 559'</v>
      </c>
      <c r="AW571" s="49" t="str">
        <f>IF(AND('Choix pédagogiques'!$C$4&lt;&gt;"?",'Choix pédagogiques'!$C$5&lt;&gt;"?",AB571&lt;&gt;""),(AB571-'Choix pédagogiques'!$C$4)/('Choix pédagogiques'!$C$5-'Choix pédagogiques'!$C$4),"")</f>
        <v/>
      </c>
      <c r="AX571" s="49" t="str">
        <f>IF(AND('Choix pédagogiques'!$C$4&lt;&gt;"?",'Choix pédagogiques'!$C$5&lt;&gt;"?",AC571&lt;&gt;""),(AC571-'Choix pédagogiques'!$C$4)/('Choix pédagogiques'!$C$5-'Choix pédagogiques'!$C$4),"")</f>
        <v/>
      </c>
      <c r="AY571" s="49" t="str">
        <f>IF(AND('Choix pédagogiques'!$C$4&lt;&gt;"?",'Choix pédagogiques'!$C$5&lt;&gt;"?",AD571&lt;&gt;""),(AD571-'Choix pédagogiques'!$C$4)/('Choix pédagogiques'!$C$5-'Choix pédagogiques'!$C$4),"")</f>
        <v/>
      </c>
      <c r="AZ571" s="22" t="str">
        <f t="shared" si="408"/>
        <v/>
      </c>
      <c r="BA571" s="21" t="str">
        <f t="shared" si="409"/>
        <v>Apprenant 559</v>
      </c>
      <c r="BB571" s="49" t="str">
        <f t="shared" si="381"/>
        <v/>
      </c>
      <c r="BC571" s="49" t="str">
        <f t="shared" si="382"/>
        <v/>
      </c>
      <c r="BD571" s="49" t="str">
        <f t="shared" si="383"/>
        <v/>
      </c>
      <c r="BE571" s="22" t="str">
        <f t="shared" si="410"/>
        <v/>
      </c>
      <c r="BF571" s="21" t="str">
        <f t="shared" si="411"/>
        <v>Apprenant 559 ou 559'</v>
      </c>
      <c r="BG571" s="49" t="str">
        <f t="shared" si="384"/>
        <v/>
      </c>
      <c r="BH571" s="49" t="str">
        <f t="shared" si="385"/>
        <v/>
      </c>
      <c r="BI571" s="49" t="str">
        <f t="shared" si="386"/>
        <v/>
      </c>
      <c r="BJ571" s="22" t="str">
        <f t="shared" si="412"/>
        <v/>
      </c>
      <c r="BL571" s="21"/>
      <c r="BM571" s="21" t="str">
        <f>IF(OR(COUNT(B571:D1570)=0,AND('Choix pédagogiques'!$C$3&lt;&gt;1,'Choix pédagogiques'!$C$3&lt;&gt;2)),"",IF(AND(OR('Choix pédagogiques'!$C$3=1,'Choix pédagogiques'!$C$3=2),$B571&lt;&gt;"",$C571&lt;&gt;"",$D571&lt;&gt;""),1,0))</f>
        <v/>
      </c>
      <c r="BN571" s="21" t="str">
        <f>IF(OR(COUNT(G571:I1570)=0,AND('Choix pédagogiques'!$C$3&lt;&gt;1,'Choix pédagogiques'!$C$3&lt;&gt;2)),"",IF(AND(OR('Choix pédagogiques'!$C$3=1,'Choix pédagogiques'!$C$3=2),AND($G571&lt;&gt;"",$H571&lt;&gt;"",$I571&lt;&gt;"")),1,0))</f>
        <v/>
      </c>
      <c r="BO571" s="21" t="str">
        <f>IF(OR(COUNT(B571:D1570)=0,COUNT(G571:I1570)=0,'Choix pédagogiques'!C$3&lt;&gt;3),"",IF(AND('Choix pédagogiques'!$C$3=3,$B571&lt;&gt;"",$C571&lt;&gt;"",$D571&lt;&gt;"",$G571&lt;&gt;"",$H571&lt;&gt;"",$I571&lt;&gt;""),1,0))</f>
        <v/>
      </c>
      <c r="BR571" s="21">
        <v>548</v>
      </c>
      <c r="BS571" s="21">
        <v>1541</v>
      </c>
      <c r="BT571"/>
    </row>
    <row r="572" spans="1:72" s="23" customFormat="1" ht="18" customHeight="1" x14ac:dyDescent="0.3">
      <c r="A572" s="35" t="s">
        <v>562</v>
      </c>
      <c r="B572" s="37"/>
      <c r="C572" s="37"/>
      <c r="D572" s="37"/>
      <c r="E572" s="37"/>
      <c r="F572" s="35" t="s">
        <v>1570</v>
      </c>
      <c r="G572" s="37"/>
      <c r="H572" s="37"/>
      <c r="I572" s="37"/>
      <c r="J572" s="37"/>
      <c r="K572" s="21" t="str">
        <f t="shared" si="387"/>
        <v>Apprenant 560</v>
      </c>
      <c r="L572" s="22" t="str">
        <f t="shared" si="388"/>
        <v/>
      </c>
      <c r="M572" s="22" t="str">
        <f t="shared" si="389"/>
        <v/>
      </c>
      <c r="N572" s="22" t="str">
        <f t="shared" si="390"/>
        <v/>
      </c>
      <c r="O572" s="22" t="str">
        <f t="shared" si="391"/>
        <v/>
      </c>
      <c r="P572" s="21" t="str">
        <f t="shared" si="392"/>
        <v>Apprenant 560 ou 560'</v>
      </c>
      <c r="Q572" s="22" t="str">
        <f t="shared" si="393"/>
        <v/>
      </c>
      <c r="R572" s="22" t="str">
        <f t="shared" si="394"/>
        <v/>
      </c>
      <c r="S572" s="22" t="str">
        <f t="shared" si="395"/>
        <v/>
      </c>
      <c r="T572" s="22" t="str">
        <f t="shared" si="396"/>
        <v/>
      </c>
      <c r="V572" s="21" t="str">
        <f t="shared" si="397"/>
        <v>Apprenant 560</v>
      </c>
      <c r="W572" s="22" t="str">
        <f>IF(AND(OR('Choix pédagogiques'!$C$3=1,'Choix pédagogiques'!$C$3=2),$BM572=1),B572,IF(AND('Choix pédagogiques'!$C$3=3,$BO572=1),B572,""))</f>
        <v/>
      </c>
      <c r="X572" s="22" t="str">
        <f>IF(AND(OR('Choix pédagogiques'!$C$3=1,'Choix pédagogiques'!$C$3=2),$BM572=1),C572,IF(AND('Choix pédagogiques'!$C$3=3,$BO572=1),C572,""))</f>
        <v/>
      </c>
      <c r="Y572" s="22" t="str">
        <f>IF(AND(OR('Choix pédagogiques'!$C$3=1,'Choix pédagogiques'!$C$3=2),$BM572=1),D572,IF(AND('Choix pédagogiques'!$C$3=3,$BO572=1),D572,""))</f>
        <v/>
      </c>
      <c r="Z572" s="22" t="str">
        <f t="shared" si="398"/>
        <v/>
      </c>
      <c r="AA572" s="21" t="str">
        <f t="shared" si="399"/>
        <v>Apprenant 560 ou 560'</v>
      </c>
      <c r="AB572" s="22" t="str">
        <f>IF(AND(OR('Choix pédagogiques'!$C$3=1,'Choix pédagogiques'!$C$3=2),$BN572=1),G572,IF(AND('Choix pédagogiques'!$C$3=3,$BO572=1),G572,""))</f>
        <v/>
      </c>
      <c r="AC572" s="22" t="str">
        <f>IF(AND(OR('Choix pédagogiques'!$C$3=1,'Choix pédagogiques'!$C$3=2),$BN572=1),H572,IF(AND('Choix pédagogiques'!$C$3=3,$BO572=1),H572,""))</f>
        <v/>
      </c>
      <c r="AD572" s="22" t="str">
        <f>IF(AND(OR('Choix pédagogiques'!$C$3=1,'Choix pédagogiques'!$C$3=2),$BN572=1),I572,IF(AND('Choix pédagogiques'!$C$3=3,$BO572=1),I572,""))</f>
        <v/>
      </c>
      <c r="AE572" s="22" t="str">
        <f t="shared" si="400"/>
        <v/>
      </c>
      <c r="AF572" s="21" t="str">
        <f t="shared" si="401"/>
        <v>Apprenant 560</v>
      </c>
      <c r="AG572" s="22" t="str">
        <f t="shared" si="375"/>
        <v/>
      </c>
      <c r="AH572" s="22" t="str">
        <f t="shared" si="376"/>
        <v/>
      </c>
      <c r="AI572" s="22" t="str">
        <f t="shared" si="377"/>
        <v/>
      </c>
      <c r="AJ572" s="22" t="str">
        <f t="shared" si="402"/>
        <v/>
      </c>
      <c r="AK572" s="21" t="str">
        <f t="shared" si="403"/>
        <v>Apprenant 560 ou 560'</v>
      </c>
      <c r="AL572" s="22" t="str">
        <f t="shared" si="378"/>
        <v/>
      </c>
      <c r="AM572" s="22" t="str">
        <f t="shared" si="379"/>
        <v/>
      </c>
      <c r="AN572" s="22" t="str">
        <f t="shared" si="380"/>
        <v/>
      </c>
      <c r="AO572" s="22" t="str">
        <f t="shared" si="404"/>
        <v/>
      </c>
      <c r="AQ572" s="21" t="str">
        <f t="shared" si="405"/>
        <v>Apprenant 560</v>
      </c>
      <c r="AR572" s="49" t="str">
        <f>IF(AND('Choix pédagogiques'!$C$4&lt;&gt;"?",'Choix pédagogiques'!$C$5&lt;&gt;"?",W572&lt;&gt;""),(W572-'Choix pédagogiques'!$C$4)/('Choix pédagogiques'!$C$5-'Choix pédagogiques'!$C$4),"")</f>
        <v/>
      </c>
      <c r="AS572" s="49" t="str">
        <f>IF(AND('Choix pédagogiques'!$C$4&lt;&gt;"?",'Choix pédagogiques'!$C$5&lt;&gt;"?",X572&lt;&gt;""),(X572-'Choix pédagogiques'!$C$4)/('Choix pédagogiques'!$C$5-'Choix pédagogiques'!$C$4),"")</f>
        <v/>
      </c>
      <c r="AT572" s="49" t="str">
        <f>IF(AND('Choix pédagogiques'!$C$4&lt;&gt;"?",'Choix pédagogiques'!$C$5&lt;&gt;"?",Y572&lt;&gt;""),(Y572-'Choix pédagogiques'!$C$4)/('Choix pédagogiques'!$C$5-'Choix pédagogiques'!$C$4),"")</f>
        <v/>
      </c>
      <c r="AU572" s="22" t="str">
        <f t="shared" si="406"/>
        <v/>
      </c>
      <c r="AV572" s="21" t="str">
        <f t="shared" si="407"/>
        <v>Apprenant 560 ou 560'</v>
      </c>
      <c r="AW572" s="49" t="str">
        <f>IF(AND('Choix pédagogiques'!$C$4&lt;&gt;"?",'Choix pédagogiques'!$C$5&lt;&gt;"?",AB572&lt;&gt;""),(AB572-'Choix pédagogiques'!$C$4)/('Choix pédagogiques'!$C$5-'Choix pédagogiques'!$C$4),"")</f>
        <v/>
      </c>
      <c r="AX572" s="49" t="str">
        <f>IF(AND('Choix pédagogiques'!$C$4&lt;&gt;"?",'Choix pédagogiques'!$C$5&lt;&gt;"?",AC572&lt;&gt;""),(AC572-'Choix pédagogiques'!$C$4)/('Choix pédagogiques'!$C$5-'Choix pédagogiques'!$C$4),"")</f>
        <v/>
      </c>
      <c r="AY572" s="49" t="str">
        <f>IF(AND('Choix pédagogiques'!$C$4&lt;&gt;"?",'Choix pédagogiques'!$C$5&lt;&gt;"?",AD572&lt;&gt;""),(AD572-'Choix pédagogiques'!$C$4)/('Choix pédagogiques'!$C$5-'Choix pédagogiques'!$C$4),"")</f>
        <v/>
      </c>
      <c r="AZ572" s="22" t="str">
        <f t="shared" si="408"/>
        <v/>
      </c>
      <c r="BA572" s="21" t="str">
        <f t="shared" si="409"/>
        <v>Apprenant 560</v>
      </c>
      <c r="BB572" s="49" t="str">
        <f t="shared" si="381"/>
        <v/>
      </c>
      <c r="BC572" s="49" t="str">
        <f t="shared" si="382"/>
        <v/>
      </c>
      <c r="BD572" s="49" t="str">
        <f t="shared" si="383"/>
        <v/>
      </c>
      <c r="BE572" s="22" t="str">
        <f t="shared" si="410"/>
        <v/>
      </c>
      <c r="BF572" s="21" t="str">
        <f t="shared" si="411"/>
        <v>Apprenant 560 ou 560'</v>
      </c>
      <c r="BG572" s="49" t="str">
        <f t="shared" si="384"/>
        <v/>
      </c>
      <c r="BH572" s="49" t="str">
        <f t="shared" si="385"/>
        <v/>
      </c>
      <c r="BI572" s="49" t="str">
        <f t="shared" si="386"/>
        <v/>
      </c>
      <c r="BJ572" s="22" t="str">
        <f t="shared" si="412"/>
        <v/>
      </c>
      <c r="BL572" s="21"/>
      <c r="BM572" s="21" t="str">
        <f>IF(OR(COUNT(B572:D1571)=0,AND('Choix pédagogiques'!$C$3&lt;&gt;1,'Choix pédagogiques'!$C$3&lt;&gt;2)),"",IF(AND(OR('Choix pédagogiques'!$C$3=1,'Choix pédagogiques'!$C$3=2),$B572&lt;&gt;"",$C572&lt;&gt;"",$D572&lt;&gt;""),1,0))</f>
        <v/>
      </c>
      <c r="BN572" s="21" t="str">
        <f>IF(OR(COUNT(G572:I1571)=0,AND('Choix pédagogiques'!$C$3&lt;&gt;1,'Choix pédagogiques'!$C$3&lt;&gt;2)),"",IF(AND(OR('Choix pédagogiques'!$C$3=1,'Choix pédagogiques'!$C$3=2),AND($G572&lt;&gt;"",$H572&lt;&gt;"",$I572&lt;&gt;"")),1,0))</f>
        <v/>
      </c>
      <c r="BO572" s="21" t="str">
        <f>IF(OR(COUNT(B572:D1571)=0,COUNT(G572:I1571)=0,'Choix pédagogiques'!C$3&lt;&gt;3),"",IF(AND('Choix pédagogiques'!$C$3=3,$B572&lt;&gt;"",$C572&lt;&gt;"",$D572&lt;&gt;"",$G572&lt;&gt;"",$H572&lt;&gt;"",$I572&lt;&gt;""),1,0))</f>
        <v/>
      </c>
      <c r="BR572" s="21">
        <v>597</v>
      </c>
      <c r="BS572" s="21">
        <v>1837</v>
      </c>
      <c r="BT572"/>
    </row>
    <row r="573" spans="1:72" s="23" customFormat="1" ht="18" customHeight="1" x14ac:dyDescent="0.3">
      <c r="A573" s="35" t="s">
        <v>563</v>
      </c>
      <c r="B573" s="37"/>
      <c r="C573" s="37"/>
      <c r="D573" s="37"/>
      <c r="E573" s="37"/>
      <c r="F573" s="35" t="s">
        <v>1571</v>
      </c>
      <c r="G573" s="37"/>
      <c r="H573" s="37"/>
      <c r="I573" s="37"/>
      <c r="J573" s="37"/>
      <c r="K573" s="21" t="str">
        <f t="shared" si="387"/>
        <v>Apprenant 561</v>
      </c>
      <c r="L573" s="22" t="str">
        <f t="shared" si="388"/>
        <v/>
      </c>
      <c r="M573" s="22" t="str">
        <f t="shared" si="389"/>
        <v/>
      </c>
      <c r="N573" s="22" t="str">
        <f t="shared" si="390"/>
        <v/>
      </c>
      <c r="O573" s="22" t="str">
        <f t="shared" si="391"/>
        <v/>
      </c>
      <c r="P573" s="21" t="str">
        <f t="shared" si="392"/>
        <v>Apprenant 561 ou 561'</v>
      </c>
      <c r="Q573" s="22" t="str">
        <f t="shared" si="393"/>
        <v/>
      </c>
      <c r="R573" s="22" t="str">
        <f t="shared" si="394"/>
        <v/>
      </c>
      <c r="S573" s="22" t="str">
        <f t="shared" si="395"/>
        <v/>
      </c>
      <c r="T573" s="22" t="str">
        <f t="shared" si="396"/>
        <v/>
      </c>
      <c r="V573" s="21" t="str">
        <f t="shared" si="397"/>
        <v>Apprenant 561</v>
      </c>
      <c r="W573" s="22" t="str">
        <f>IF(AND(OR('Choix pédagogiques'!$C$3=1,'Choix pédagogiques'!$C$3=2),$BM573=1),B573,IF(AND('Choix pédagogiques'!$C$3=3,$BO573=1),B573,""))</f>
        <v/>
      </c>
      <c r="X573" s="22" t="str">
        <f>IF(AND(OR('Choix pédagogiques'!$C$3=1,'Choix pédagogiques'!$C$3=2),$BM573=1),C573,IF(AND('Choix pédagogiques'!$C$3=3,$BO573=1),C573,""))</f>
        <v/>
      </c>
      <c r="Y573" s="22" t="str">
        <f>IF(AND(OR('Choix pédagogiques'!$C$3=1,'Choix pédagogiques'!$C$3=2),$BM573=1),D573,IF(AND('Choix pédagogiques'!$C$3=3,$BO573=1),D573,""))</f>
        <v/>
      </c>
      <c r="Z573" s="22" t="str">
        <f t="shared" si="398"/>
        <v/>
      </c>
      <c r="AA573" s="21" t="str">
        <f t="shared" si="399"/>
        <v>Apprenant 561 ou 561'</v>
      </c>
      <c r="AB573" s="22" t="str">
        <f>IF(AND(OR('Choix pédagogiques'!$C$3=1,'Choix pédagogiques'!$C$3=2),$BN573=1),G573,IF(AND('Choix pédagogiques'!$C$3=3,$BO573=1),G573,""))</f>
        <v/>
      </c>
      <c r="AC573" s="22" t="str">
        <f>IF(AND(OR('Choix pédagogiques'!$C$3=1,'Choix pédagogiques'!$C$3=2),$BN573=1),H573,IF(AND('Choix pédagogiques'!$C$3=3,$BO573=1),H573,""))</f>
        <v/>
      </c>
      <c r="AD573" s="22" t="str">
        <f>IF(AND(OR('Choix pédagogiques'!$C$3=1,'Choix pédagogiques'!$C$3=2),$BN573=1),I573,IF(AND('Choix pédagogiques'!$C$3=3,$BO573=1),I573,""))</f>
        <v/>
      </c>
      <c r="AE573" s="22" t="str">
        <f t="shared" si="400"/>
        <v/>
      </c>
      <c r="AF573" s="21" t="str">
        <f t="shared" si="401"/>
        <v>Apprenant 561</v>
      </c>
      <c r="AG573" s="22" t="str">
        <f t="shared" si="375"/>
        <v/>
      </c>
      <c r="AH573" s="22" t="str">
        <f t="shared" si="376"/>
        <v/>
      </c>
      <c r="AI573" s="22" t="str">
        <f t="shared" si="377"/>
        <v/>
      </c>
      <c r="AJ573" s="22" t="str">
        <f t="shared" si="402"/>
        <v/>
      </c>
      <c r="AK573" s="21" t="str">
        <f t="shared" si="403"/>
        <v>Apprenant 561 ou 561'</v>
      </c>
      <c r="AL573" s="22" t="str">
        <f t="shared" si="378"/>
        <v/>
      </c>
      <c r="AM573" s="22" t="str">
        <f t="shared" si="379"/>
        <v/>
      </c>
      <c r="AN573" s="22" t="str">
        <f t="shared" si="380"/>
        <v/>
      </c>
      <c r="AO573" s="22" t="str">
        <f t="shared" si="404"/>
        <v/>
      </c>
      <c r="AQ573" s="21" t="str">
        <f t="shared" si="405"/>
        <v>Apprenant 561</v>
      </c>
      <c r="AR573" s="49" t="str">
        <f>IF(AND('Choix pédagogiques'!$C$4&lt;&gt;"?",'Choix pédagogiques'!$C$5&lt;&gt;"?",W573&lt;&gt;""),(W573-'Choix pédagogiques'!$C$4)/('Choix pédagogiques'!$C$5-'Choix pédagogiques'!$C$4),"")</f>
        <v/>
      </c>
      <c r="AS573" s="49" t="str">
        <f>IF(AND('Choix pédagogiques'!$C$4&lt;&gt;"?",'Choix pédagogiques'!$C$5&lt;&gt;"?",X573&lt;&gt;""),(X573-'Choix pédagogiques'!$C$4)/('Choix pédagogiques'!$C$5-'Choix pédagogiques'!$C$4),"")</f>
        <v/>
      </c>
      <c r="AT573" s="49" t="str">
        <f>IF(AND('Choix pédagogiques'!$C$4&lt;&gt;"?",'Choix pédagogiques'!$C$5&lt;&gt;"?",Y573&lt;&gt;""),(Y573-'Choix pédagogiques'!$C$4)/('Choix pédagogiques'!$C$5-'Choix pédagogiques'!$C$4),"")</f>
        <v/>
      </c>
      <c r="AU573" s="22" t="str">
        <f t="shared" si="406"/>
        <v/>
      </c>
      <c r="AV573" s="21" t="str">
        <f t="shared" si="407"/>
        <v>Apprenant 561 ou 561'</v>
      </c>
      <c r="AW573" s="49" t="str">
        <f>IF(AND('Choix pédagogiques'!$C$4&lt;&gt;"?",'Choix pédagogiques'!$C$5&lt;&gt;"?",AB573&lt;&gt;""),(AB573-'Choix pédagogiques'!$C$4)/('Choix pédagogiques'!$C$5-'Choix pédagogiques'!$C$4),"")</f>
        <v/>
      </c>
      <c r="AX573" s="49" t="str">
        <f>IF(AND('Choix pédagogiques'!$C$4&lt;&gt;"?",'Choix pédagogiques'!$C$5&lt;&gt;"?",AC573&lt;&gt;""),(AC573-'Choix pédagogiques'!$C$4)/('Choix pédagogiques'!$C$5-'Choix pédagogiques'!$C$4),"")</f>
        <v/>
      </c>
      <c r="AY573" s="49" t="str">
        <f>IF(AND('Choix pédagogiques'!$C$4&lt;&gt;"?",'Choix pédagogiques'!$C$5&lt;&gt;"?",AD573&lt;&gt;""),(AD573-'Choix pédagogiques'!$C$4)/('Choix pédagogiques'!$C$5-'Choix pédagogiques'!$C$4),"")</f>
        <v/>
      </c>
      <c r="AZ573" s="22" t="str">
        <f t="shared" si="408"/>
        <v/>
      </c>
      <c r="BA573" s="21" t="str">
        <f t="shared" si="409"/>
        <v>Apprenant 561</v>
      </c>
      <c r="BB573" s="49" t="str">
        <f t="shared" si="381"/>
        <v/>
      </c>
      <c r="BC573" s="49" t="str">
        <f t="shared" si="382"/>
        <v/>
      </c>
      <c r="BD573" s="49" t="str">
        <f t="shared" si="383"/>
        <v/>
      </c>
      <c r="BE573" s="22" t="str">
        <f t="shared" si="410"/>
        <v/>
      </c>
      <c r="BF573" s="21" t="str">
        <f t="shared" si="411"/>
        <v>Apprenant 561 ou 561'</v>
      </c>
      <c r="BG573" s="49" t="str">
        <f t="shared" si="384"/>
        <v/>
      </c>
      <c r="BH573" s="49" t="str">
        <f t="shared" si="385"/>
        <v/>
      </c>
      <c r="BI573" s="49" t="str">
        <f t="shared" si="386"/>
        <v/>
      </c>
      <c r="BJ573" s="22" t="str">
        <f t="shared" si="412"/>
        <v/>
      </c>
      <c r="BL573" s="21"/>
      <c r="BM573" s="21" t="str">
        <f>IF(OR(COUNT(B573:D1572)=0,AND('Choix pédagogiques'!$C$3&lt;&gt;1,'Choix pédagogiques'!$C$3&lt;&gt;2)),"",IF(AND(OR('Choix pédagogiques'!$C$3=1,'Choix pédagogiques'!$C$3=2),$B573&lt;&gt;"",$C573&lt;&gt;"",$D573&lt;&gt;""),1,0))</f>
        <v/>
      </c>
      <c r="BN573" s="21" t="str">
        <f>IF(OR(COUNT(G573:I1572)=0,AND('Choix pédagogiques'!$C$3&lt;&gt;1,'Choix pédagogiques'!$C$3&lt;&gt;2)),"",IF(AND(OR('Choix pédagogiques'!$C$3=1,'Choix pédagogiques'!$C$3=2),AND($G573&lt;&gt;"",$H573&lt;&gt;"",$I573&lt;&gt;"")),1,0))</f>
        <v/>
      </c>
      <c r="BO573" s="21" t="str">
        <f>IF(OR(COUNT(B573:D1572)=0,COUNT(G573:I1572)=0,'Choix pédagogiques'!C$3&lt;&gt;3),"",IF(AND('Choix pédagogiques'!$C$3=3,$B573&lt;&gt;"",$C573&lt;&gt;"",$D573&lt;&gt;"",$G573&lt;&gt;"",$H573&lt;&gt;"",$I573&lt;&gt;""),1,0))</f>
        <v/>
      </c>
      <c r="BR573" s="21">
        <v>17</v>
      </c>
      <c r="BS573" s="21">
        <v>1597</v>
      </c>
      <c r="BT573"/>
    </row>
    <row r="574" spans="1:72" s="23" customFormat="1" ht="18" customHeight="1" x14ac:dyDescent="0.3">
      <c r="A574" s="35" t="s">
        <v>564</v>
      </c>
      <c r="B574" s="37"/>
      <c r="C574" s="37"/>
      <c r="D574" s="37"/>
      <c r="E574" s="37"/>
      <c r="F574" s="35" t="s">
        <v>1572</v>
      </c>
      <c r="G574" s="37"/>
      <c r="H574" s="37"/>
      <c r="I574" s="37"/>
      <c r="J574" s="37"/>
      <c r="K574" s="21" t="str">
        <f t="shared" si="387"/>
        <v>Apprenant 562</v>
      </c>
      <c r="L574" s="22" t="str">
        <f t="shared" si="388"/>
        <v/>
      </c>
      <c r="M574" s="22" t="str">
        <f t="shared" si="389"/>
        <v/>
      </c>
      <c r="N574" s="22" t="str">
        <f t="shared" si="390"/>
        <v/>
      </c>
      <c r="O574" s="22" t="str">
        <f t="shared" si="391"/>
        <v/>
      </c>
      <c r="P574" s="21" t="str">
        <f t="shared" si="392"/>
        <v>Apprenant 562 ou 562'</v>
      </c>
      <c r="Q574" s="22" t="str">
        <f t="shared" si="393"/>
        <v/>
      </c>
      <c r="R574" s="22" t="str">
        <f t="shared" si="394"/>
        <v/>
      </c>
      <c r="S574" s="22" t="str">
        <f t="shared" si="395"/>
        <v/>
      </c>
      <c r="T574" s="22" t="str">
        <f t="shared" si="396"/>
        <v/>
      </c>
      <c r="V574" s="21" t="str">
        <f t="shared" si="397"/>
        <v>Apprenant 562</v>
      </c>
      <c r="W574" s="22" t="str">
        <f>IF(AND(OR('Choix pédagogiques'!$C$3=1,'Choix pédagogiques'!$C$3=2),$BM574=1),B574,IF(AND('Choix pédagogiques'!$C$3=3,$BO574=1),B574,""))</f>
        <v/>
      </c>
      <c r="X574" s="22" t="str">
        <f>IF(AND(OR('Choix pédagogiques'!$C$3=1,'Choix pédagogiques'!$C$3=2),$BM574=1),C574,IF(AND('Choix pédagogiques'!$C$3=3,$BO574=1),C574,""))</f>
        <v/>
      </c>
      <c r="Y574" s="22" t="str">
        <f>IF(AND(OR('Choix pédagogiques'!$C$3=1,'Choix pédagogiques'!$C$3=2),$BM574=1),D574,IF(AND('Choix pédagogiques'!$C$3=3,$BO574=1),D574,""))</f>
        <v/>
      </c>
      <c r="Z574" s="22" t="str">
        <f t="shared" si="398"/>
        <v/>
      </c>
      <c r="AA574" s="21" t="str">
        <f t="shared" si="399"/>
        <v>Apprenant 562 ou 562'</v>
      </c>
      <c r="AB574" s="22" t="str">
        <f>IF(AND(OR('Choix pédagogiques'!$C$3=1,'Choix pédagogiques'!$C$3=2),$BN574=1),G574,IF(AND('Choix pédagogiques'!$C$3=3,$BO574=1),G574,""))</f>
        <v/>
      </c>
      <c r="AC574" s="22" t="str">
        <f>IF(AND(OR('Choix pédagogiques'!$C$3=1,'Choix pédagogiques'!$C$3=2),$BN574=1),H574,IF(AND('Choix pédagogiques'!$C$3=3,$BO574=1),H574,""))</f>
        <v/>
      </c>
      <c r="AD574" s="22" t="str">
        <f>IF(AND(OR('Choix pédagogiques'!$C$3=1,'Choix pédagogiques'!$C$3=2),$BN574=1),I574,IF(AND('Choix pédagogiques'!$C$3=3,$BO574=1),I574,""))</f>
        <v/>
      </c>
      <c r="AE574" s="22" t="str">
        <f t="shared" si="400"/>
        <v/>
      </c>
      <c r="AF574" s="21" t="str">
        <f t="shared" si="401"/>
        <v>Apprenant 562</v>
      </c>
      <c r="AG574" s="22" t="str">
        <f t="shared" si="375"/>
        <v/>
      </c>
      <c r="AH574" s="22" t="str">
        <f t="shared" si="376"/>
        <v/>
      </c>
      <c r="AI574" s="22" t="str">
        <f t="shared" si="377"/>
        <v/>
      </c>
      <c r="AJ574" s="22" t="str">
        <f t="shared" si="402"/>
        <v/>
      </c>
      <c r="AK574" s="21" t="str">
        <f t="shared" si="403"/>
        <v>Apprenant 562 ou 562'</v>
      </c>
      <c r="AL574" s="22" t="str">
        <f t="shared" si="378"/>
        <v/>
      </c>
      <c r="AM574" s="22" t="str">
        <f t="shared" si="379"/>
        <v/>
      </c>
      <c r="AN574" s="22" t="str">
        <f t="shared" si="380"/>
        <v/>
      </c>
      <c r="AO574" s="22" t="str">
        <f t="shared" si="404"/>
        <v/>
      </c>
      <c r="AQ574" s="21" t="str">
        <f t="shared" si="405"/>
        <v>Apprenant 562</v>
      </c>
      <c r="AR574" s="49" t="str">
        <f>IF(AND('Choix pédagogiques'!$C$4&lt;&gt;"?",'Choix pédagogiques'!$C$5&lt;&gt;"?",W574&lt;&gt;""),(W574-'Choix pédagogiques'!$C$4)/('Choix pédagogiques'!$C$5-'Choix pédagogiques'!$C$4),"")</f>
        <v/>
      </c>
      <c r="AS574" s="49" t="str">
        <f>IF(AND('Choix pédagogiques'!$C$4&lt;&gt;"?",'Choix pédagogiques'!$C$5&lt;&gt;"?",X574&lt;&gt;""),(X574-'Choix pédagogiques'!$C$4)/('Choix pédagogiques'!$C$5-'Choix pédagogiques'!$C$4),"")</f>
        <v/>
      </c>
      <c r="AT574" s="49" t="str">
        <f>IF(AND('Choix pédagogiques'!$C$4&lt;&gt;"?",'Choix pédagogiques'!$C$5&lt;&gt;"?",Y574&lt;&gt;""),(Y574-'Choix pédagogiques'!$C$4)/('Choix pédagogiques'!$C$5-'Choix pédagogiques'!$C$4),"")</f>
        <v/>
      </c>
      <c r="AU574" s="22" t="str">
        <f t="shared" si="406"/>
        <v/>
      </c>
      <c r="AV574" s="21" t="str">
        <f t="shared" si="407"/>
        <v>Apprenant 562 ou 562'</v>
      </c>
      <c r="AW574" s="49" t="str">
        <f>IF(AND('Choix pédagogiques'!$C$4&lt;&gt;"?",'Choix pédagogiques'!$C$5&lt;&gt;"?",AB574&lt;&gt;""),(AB574-'Choix pédagogiques'!$C$4)/('Choix pédagogiques'!$C$5-'Choix pédagogiques'!$C$4),"")</f>
        <v/>
      </c>
      <c r="AX574" s="49" t="str">
        <f>IF(AND('Choix pédagogiques'!$C$4&lt;&gt;"?",'Choix pédagogiques'!$C$5&lt;&gt;"?",AC574&lt;&gt;""),(AC574-'Choix pédagogiques'!$C$4)/('Choix pédagogiques'!$C$5-'Choix pédagogiques'!$C$4),"")</f>
        <v/>
      </c>
      <c r="AY574" s="49" t="str">
        <f>IF(AND('Choix pédagogiques'!$C$4&lt;&gt;"?",'Choix pédagogiques'!$C$5&lt;&gt;"?",AD574&lt;&gt;""),(AD574-'Choix pédagogiques'!$C$4)/('Choix pédagogiques'!$C$5-'Choix pédagogiques'!$C$4),"")</f>
        <v/>
      </c>
      <c r="AZ574" s="22" t="str">
        <f t="shared" si="408"/>
        <v/>
      </c>
      <c r="BA574" s="21" t="str">
        <f t="shared" si="409"/>
        <v>Apprenant 562</v>
      </c>
      <c r="BB574" s="49" t="str">
        <f t="shared" si="381"/>
        <v/>
      </c>
      <c r="BC574" s="49" t="str">
        <f t="shared" si="382"/>
        <v/>
      </c>
      <c r="BD574" s="49" t="str">
        <f t="shared" si="383"/>
        <v/>
      </c>
      <c r="BE574" s="22" t="str">
        <f t="shared" si="410"/>
        <v/>
      </c>
      <c r="BF574" s="21" t="str">
        <f t="shared" si="411"/>
        <v>Apprenant 562 ou 562'</v>
      </c>
      <c r="BG574" s="49" t="str">
        <f t="shared" si="384"/>
        <v/>
      </c>
      <c r="BH574" s="49" t="str">
        <f t="shared" si="385"/>
        <v/>
      </c>
      <c r="BI574" s="49" t="str">
        <f t="shared" si="386"/>
        <v/>
      </c>
      <c r="BJ574" s="22" t="str">
        <f t="shared" si="412"/>
        <v/>
      </c>
      <c r="BL574" s="21"/>
      <c r="BM574" s="21" t="str">
        <f>IF(OR(COUNT(B574:D1573)=0,AND('Choix pédagogiques'!$C$3&lt;&gt;1,'Choix pédagogiques'!$C$3&lt;&gt;2)),"",IF(AND(OR('Choix pédagogiques'!$C$3=1,'Choix pédagogiques'!$C$3=2),$B574&lt;&gt;"",$C574&lt;&gt;"",$D574&lt;&gt;""),1,0))</f>
        <v/>
      </c>
      <c r="BN574" s="21" t="str">
        <f>IF(OR(COUNT(G574:I1573)=0,AND('Choix pédagogiques'!$C$3&lt;&gt;1,'Choix pédagogiques'!$C$3&lt;&gt;2)),"",IF(AND(OR('Choix pédagogiques'!$C$3=1,'Choix pédagogiques'!$C$3=2),AND($G574&lt;&gt;"",$H574&lt;&gt;"",$I574&lt;&gt;"")),1,0))</f>
        <v/>
      </c>
      <c r="BO574" s="21" t="str">
        <f>IF(OR(COUNT(B574:D1573)=0,COUNT(G574:I1573)=0,'Choix pédagogiques'!C$3&lt;&gt;3),"",IF(AND('Choix pédagogiques'!$C$3=3,$B574&lt;&gt;"",$C574&lt;&gt;"",$D574&lt;&gt;"",$G574&lt;&gt;"",$H574&lt;&gt;"",$I574&lt;&gt;""),1,0))</f>
        <v/>
      </c>
      <c r="BR574" s="21">
        <v>414</v>
      </c>
      <c r="BS574" s="21">
        <v>1012</v>
      </c>
      <c r="BT574"/>
    </row>
    <row r="575" spans="1:72" s="23" customFormat="1" ht="18" customHeight="1" x14ac:dyDescent="0.3">
      <c r="A575" s="35" t="s">
        <v>565</v>
      </c>
      <c r="B575" s="37"/>
      <c r="C575" s="37"/>
      <c r="D575" s="37"/>
      <c r="E575" s="37"/>
      <c r="F575" s="35" t="s">
        <v>1573</v>
      </c>
      <c r="G575" s="37"/>
      <c r="H575" s="37"/>
      <c r="I575" s="37"/>
      <c r="J575" s="37"/>
      <c r="K575" s="21" t="str">
        <f t="shared" si="387"/>
        <v>Apprenant 563</v>
      </c>
      <c r="L575" s="22" t="str">
        <f t="shared" si="388"/>
        <v/>
      </c>
      <c r="M575" s="22" t="str">
        <f t="shared" si="389"/>
        <v/>
      </c>
      <c r="N575" s="22" t="str">
        <f t="shared" si="390"/>
        <v/>
      </c>
      <c r="O575" s="22" t="str">
        <f t="shared" si="391"/>
        <v/>
      </c>
      <c r="P575" s="21" t="str">
        <f t="shared" si="392"/>
        <v>Apprenant 563 ou 563'</v>
      </c>
      <c r="Q575" s="22" t="str">
        <f t="shared" si="393"/>
        <v/>
      </c>
      <c r="R575" s="22" t="str">
        <f t="shared" si="394"/>
        <v/>
      </c>
      <c r="S575" s="22" t="str">
        <f t="shared" si="395"/>
        <v/>
      </c>
      <c r="T575" s="22" t="str">
        <f t="shared" si="396"/>
        <v/>
      </c>
      <c r="V575" s="21" t="str">
        <f t="shared" si="397"/>
        <v>Apprenant 563</v>
      </c>
      <c r="W575" s="22" t="str">
        <f>IF(AND(OR('Choix pédagogiques'!$C$3=1,'Choix pédagogiques'!$C$3=2),$BM575=1),B575,IF(AND('Choix pédagogiques'!$C$3=3,$BO575=1),B575,""))</f>
        <v/>
      </c>
      <c r="X575" s="22" t="str">
        <f>IF(AND(OR('Choix pédagogiques'!$C$3=1,'Choix pédagogiques'!$C$3=2),$BM575=1),C575,IF(AND('Choix pédagogiques'!$C$3=3,$BO575=1),C575,""))</f>
        <v/>
      </c>
      <c r="Y575" s="22" t="str">
        <f>IF(AND(OR('Choix pédagogiques'!$C$3=1,'Choix pédagogiques'!$C$3=2),$BM575=1),D575,IF(AND('Choix pédagogiques'!$C$3=3,$BO575=1),D575,""))</f>
        <v/>
      </c>
      <c r="Z575" s="22" t="str">
        <f t="shared" si="398"/>
        <v/>
      </c>
      <c r="AA575" s="21" t="str">
        <f t="shared" si="399"/>
        <v>Apprenant 563 ou 563'</v>
      </c>
      <c r="AB575" s="22" t="str">
        <f>IF(AND(OR('Choix pédagogiques'!$C$3=1,'Choix pédagogiques'!$C$3=2),$BN575=1),G575,IF(AND('Choix pédagogiques'!$C$3=3,$BO575=1),G575,""))</f>
        <v/>
      </c>
      <c r="AC575" s="22" t="str">
        <f>IF(AND(OR('Choix pédagogiques'!$C$3=1,'Choix pédagogiques'!$C$3=2),$BN575=1),H575,IF(AND('Choix pédagogiques'!$C$3=3,$BO575=1),H575,""))</f>
        <v/>
      </c>
      <c r="AD575" s="22" t="str">
        <f>IF(AND(OR('Choix pédagogiques'!$C$3=1,'Choix pédagogiques'!$C$3=2),$BN575=1),I575,IF(AND('Choix pédagogiques'!$C$3=3,$BO575=1),I575,""))</f>
        <v/>
      </c>
      <c r="AE575" s="22" t="str">
        <f t="shared" si="400"/>
        <v/>
      </c>
      <c r="AF575" s="21" t="str">
        <f t="shared" si="401"/>
        <v>Apprenant 563</v>
      </c>
      <c r="AG575" s="22" t="str">
        <f t="shared" si="375"/>
        <v/>
      </c>
      <c r="AH575" s="22" t="str">
        <f t="shared" si="376"/>
        <v/>
      </c>
      <c r="AI575" s="22" t="str">
        <f t="shared" si="377"/>
        <v/>
      </c>
      <c r="AJ575" s="22" t="str">
        <f t="shared" si="402"/>
        <v/>
      </c>
      <c r="AK575" s="21" t="str">
        <f t="shared" si="403"/>
        <v>Apprenant 563 ou 563'</v>
      </c>
      <c r="AL575" s="22" t="str">
        <f t="shared" si="378"/>
        <v/>
      </c>
      <c r="AM575" s="22" t="str">
        <f t="shared" si="379"/>
        <v/>
      </c>
      <c r="AN575" s="22" t="str">
        <f t="shared" si="380"/>
        <v/>
      </c>
      <c r="AO575" s="22" t="str">
        <f t="shared" si="404"/>
        <v/>
      </c>
      <c r="AQ575" s="21" t="str">
        <f t="shared" si="405"/>
        <v>Apprenant 563</v>
      </c>
      <c r="AR575" s="49" t="str">
        <f>IF(AND('Choix pédagogiques'!$C$4&lt;&gt;"?",'Choix pédagogiques'!$C$5&lt;&gt;"?",W575&lt;&gt;""),(W575-'Choix pédagogiques'!$C$4)/('Choix pédagogiques'!$C$5-'Choix pédagogiques'!$C$4),"")</f>
        <v/>
      </c>
      <c r="AS575" s="49" t="str">
        <f>IF(AND('Choix pédagogiques'!$C$4&lt;&gt;"?",'Choix pédagogiques'!$C$5&lt;&gt;"?",X575&lt;&gt;""),(X575-'Choix pédagogiques'!$C$4)/('Choix pédagogiques'!$C$5-'Choix pédagogiques'!$C$4),"")</f>
        <v/>
      </c>
      <c r="AT575" s="49" t="str">
        <f>IF(AND('Choix pédagogiques'!$C$4&lt;&gt;"?",'Choix pédagogiques'!$C$5&lt;&gt;"?",Y575&lt;&gt;""),(Y575-'Choix pédagogiques'!$C$4)/('Choix pédagogiques'!$C$5-'Choix pédagogiques'!$C$4),"")</f>
        <v/>
      </c>
      <c r="AU575" s="22" t="str">
        <f t="shared" si="406"/>
        <v/>
      </c>
      <c r="AV575" s="21" t="str">
        <f t="shared" si="407"/>
        <v>Apprenant 563 ou 563'</v>
      </c>
      <c r="AW575" s="49" t="str">
        <f>IF(AND('Choix pédagogiques'!$C$4&lt;&gt;"?",'Choix pédagogiques'!$C$5&lt;&gt;"?",AB575&lt;&gt;""),(AB575-'Choix pédagogiques'!$C$4)/('Choix pédagogiques'!$C$5-'Choix pédagogiques'!$C$4),"")</f>
        <v/>
      </c>
      <c r="AX575" s="49" t="str">
        <f>IF(AND('Choix pédagogiques'!$C$4&lt;&gt;"?",'Choix pédagogiques'!$C$5&lt;&gt;"?",AC575&lt;&gt;""),(AC575-'Choix pédagogiques'!$C$4)/('Choix pédagogiques'!$C$5-'Choix pédagogiques'!$C$4),"")</f>
        <v/>
      </c>
      <c r="AY575" s="49" t="str">
        <f>IF(AND('Choix pédagogiques'!$C$4&lt;&gt;"?",'Choix pédagogiques'!$C$5&lt;&gt;"?",AD575&lt;&gt;""),(AD575-'Choix pédagogiques'!$C$4)/('Choix pédagogiques'!$C$5-'Choix pédagogiques'!$C$4),"")</f>
        <v/>
      </c>
      <c r="AZ575" s="22" t="str">
        <f t="shared" si="408"/>
        <v/>
      </c>
      <c r="BA575" s="21" t="str">
        <f t="shared" si="409"/>
        <v>Apprenant 563</v>
      </c>
      <c r="BB575" s="49" t="str">
        <f t="shared" si="381"/>
        <v/>
      </c>
      <c r="BC575" s="49" t="str">
        <f t="shared" si="382"/>
        <v/>
      </c>
      <c r="BD575" s="49" t="str">
        <f t="shared" si="383"/>
        <v/>
      </c>
      <c r="BE575" s="22" t="str">
        <f t="shared" si="410"/>
        <v/>
      </c>
      <c r="BF575" s="21" t="str">
        <f t="shared" si="411"/>
        <v>Apprenant 563 ou 563'</v>
      </c>
      <c r="BG575" s="49" t="str">
        <f t="shared" si="384"/>
        <v/>
      </c>
      <c r="BH575" s="49" t="str">
        <f t="shared" si="385"/>
        <v/>
      </c>
      <c r="BI575" s="49" t="str">
        <f t="shared" si="386"/>
        <v/>
      </c>
      <c r="BJ575" s="22" t="str">
        <f t="shared" si="412"/>
        <v/>
      </c>
      <c r="BL575" s="21"/>
      <c r="BM575" s="21" t="str">
        <f>IF(OR(COUNT(B575:D1574)=0,AND('Choix pédagogiques'!$C$3&lt;&gt;1,'Choix pédagogiques'!$C$3&lt;&gt;2)),"",IF(AND(OR('Choix pédagogiques'!$C$3=1,'Choix pédagogiques'!$C$3=2),$B575&lt;&gt;"",$C575&lt;&gt;"",$D575&lt;&gt;""),1,0))</f>
        <v/>
      </c>
      <c r="BN575" s="21" t="str">
        <f>IF(OR(COUNT(G575:I1574)=0,AND('Choix pédagogiques'!$C$3&lt;&gt;1,'Choix pédagogiques'!$C$3&lt;&gt;2)),"",IF(AND(OR('Choix pédagogiques'!$C$3=1,'Choix pédagogiques'!$C$3=2),AND($G575&lt;&gt;"",$H575&lt;&gt;"",$I575&lt;&gt;"")),1,0))</f>
        <v/>
      </c>
      <c r="BO575" s="21" t="str">
        <f>IF(OR(COUNT(B575:D1574)=0,COUNT(G575:I1574)=0,'Choix pédagogiques'!C$3&lt;&gt;3),"",IF(AND('Choix pédagogiques'!$C$3=3,$B575&lt;&gt;"",$C575&lt;&gt;"",$D575&lt;&gt;"",$G575&lt;&gt;"",$H575&lt;&gt;"",$I575&lt;&gt;""),1,0))</f>
        <v/>
      </c>
      <c r="BR575" s="21">
        <v>821</v>
      </c>
      <c r="BS575" s="21">
        <v>1972</v>
      </c>
      <c r="BT575"/>
    </row>
    <row r="576" spans="1:72" s="23" customFormat="1" ht="18" customHeight="1" x14ac:dyDescent="0.3">
      <c r="A576" s="35" t="s">
        <v>566</v>
      </c>
      <c r="B576" s="37"/>
      <c r="C576" s="37"/>
      <c r="D576" s="37"/>
      <c r="E576" s="37"/>
      <c r="F576" s="35" t="s">
        <v>1574</v>
      </c>
      <c r="G576" s="37"/>
      <c r="H576" s="37"/>
      <c r="I576" s="37"/>
      <c r="J576" s="37"/>
      <c r="K576" s="21" t="str">
        <f t="shared" si="387"/>
        <v>Apprenant 564</v>
      </c>
      <c r="L576" s="22" t="str">
        <f t="shared" si="388"/>
        <v/>
      </c>
      <c r="M576" s="22" t="str">
        <f t="shared" si="389"/>
        <v/>
      </c>
      <c r="N576" s="22" t="str">
        <f t="shared" si="390"/>
        <v/>
      </c>
      <c r="O576" s="22" t="str">
        <f t="shared" si="391"/>
        <v/>
      </c>
      <c r="P576" s="21" t="str">
        <f t="shared" si="392"/>
        <v>Apprenant 564 ou 564'</v>
      </c>
      <c r="Q576" s="22" t="str">
        <f t="shared" si="393"/>
        <v/>
      </c>
      <c r="R576" s="22" t="str">
        <f t="shared" si="394"/>
        <v/>
      </c>
      <c r="S576" s="22" t="str">
        <f t="shared" si="395"/>
        <v/>
      </c>
      <c r="T576" s="22" t="str">
        <f t="shared" si="396"/>
        <v/>
      </c>
      <c r="V576" s="21" t="str">
        <f t="shared" si="397"/>
        <v>Apprenant 564</v>
      </c>
      <c r="W576" s="22" t="str">
        <f>IF(AND(OR('Choix pédagogiques'!$C$3=1,'Choix pédagogiques'!$C$3=2),$BM576=1),B576,IF(AND('Choix pédagogiques'!$C$3=3,$BO576=1),B576,""))</f>
        <v/>
      </c>
      <c r="X576" s="22" t="str">
        <f>IF(AND(OR('Choix pédagogiques'!$C$3=1,'Choix pédagogiques'!$C$3=2),$BM576=1),C576,IF(AND('Choix pédagogiques'!$C$3=3,$BO576=1),C576,""))</f>
        <v/>
      </c>
      <c r="Y576" s="22" t="str">
        <f>IF(AND(OR('Choix pédagogiques'!$C$3=1,'Choix pédagogiques'!$C$3=2),$BM576=1),D576,IF(AND('Choix pédagogiques'!$C$3=3,$BO576=1),D576,""))</f>
        <v/>
      </c>
      <c r="Z576" s="22" t="str">
        <f t="shared" si="398"/>
        <v/>
      </c>
      <c r="AA576" s="21" t="str">
        <f t="shared" si="399"/>
        <v>Apprenant 564 ou 564'</v>
      </c>
      <c r="AB576" s="22" t="str">
        <f>IF(AND(OR('Choix pédagogiques'!$C$3=1,'Choix pédagogiques'!$C$3=2),$BN576=1),G576,IF(AND('Choix pédagogiques'!$C$3=3,$BO576=1),G576,""))</f>
        <v/>
      </c>
      <c r="AC576" s="22" t="str">
        <f>IF(AND(OR('Choix pédagogiques'!$C$3=1,'Choix pédagogiques'!$C$3=2),$BN576=1),H576,IF(AND('Choix pédagogiques'!$C$3=3,$BO576=1),H576,""))</f>
        <v/>
      </c>
      <c r="AD576" s="22" t="str">
        <f>IF(AND(OR('Choix pédagogiques'!$C$3=1,'Choix pédagogiques'!$C$3=2),$BN576=1),I576,IF(AND('Choix pédagogiques'!$C$3=3,$BO576=1),I576,""))</f>
        <v/>
      </c>
      <c r="AE576" s="22" t="str">
        <f t="shared" si="400"/>
        <v/>
      </c>
      <c r="AF576" s="21" t="str">
        <f t="shared" si="401"/>
        <v>Apprenant 564</v>
      </c>
      <c r="AG576" s="22" t="str">
        <f t="shared" si="375"/>
        <v/>
      </c>
      <c r="AH576" s="22" t="str">
        <f t="shared" si="376"/>
        <v/>
      </c>
      <c r="AI576" s="22" t="str">
        <f t="shared" si="377"/>
        <v/>
      </c>
      <c r="AJ576" s="22" t="str">
        <f t="shared" si="402"/>
        <v/>
      </c>
      <c r="AK576" s="21" t="str">
        <f t="shared" si="403"/>
        <v>Apprenant 564 ou 564'</v>
      </c>
      <c r="AL576" s="22" t="str">
        <f t="shared" si="378"/>
        <v/>
      </c>
      <c r="AM576" s="22" t="str">
        <f t="shared" si="379"/>
        <v/>
      </c>
      <c r="AN576" s="22" t="str">
        <f t="shared" si="380"/>
        <v/>
      </c>
      <c r="AO576" s="22" t="str">
        <f t="shared" si="404"/>
        <v/>
      </c>
      <c r="AQ576" s="21" t="str">
        <f t="shared" si="405"/>
        <v>Apprenant 564</v>
      </c>
      <c r="AR576" s="49" t="str">
        <f>IF(AND('Choix pédagogiques'!$C$4&lt;&gt;"?",'Choix pédagogiques'!$C$5&lt;&gt;"?",W576&lt;&gt;""),(W576-'Choix pédagogiques'!$C$4)/('Choix pédagogiques'!$C$5-'Choix pédagogiques'!$C$4),"")</f>
        <v/>
      </c>
      <c r="AS576" s="49" t="str">
        <f>IF(AND('Choix pédagogiques'!$C$4&lt;&gt;"?",'Choix pédagogiques'!$C$5&lt;&gt;"?",X576&lt;&gt;""),(X576-'Choix pédagogiques'!$C$4)/('Choix pédagogiques'!$C$5-'Choix pédagogiques'!$C$4),"")</f>
        <v/>
      </c>
      <c r="AT576" s="49" t="str">
        <f>IF(AND('Choix pédagogiques'!$C$4&lt;&gt;"?",'Choix pédagogiques'!$C$5&lt;&gt;"?",Y576&lt;&gt;""),(Y576-'Choix pédagogiques'!$C$4)/('Choix pédagogiques'!$C$5-'Choix pédagogiques'!$C$4),"")</f>
        <v/>
      </c>
      <c r="AU576" s="22" t="str">
        <f t="shared" si="406"/>
        <v/>
      </c>
      <c r="AV576" s="21" t="str">
        <f t="shared" si="407"/>
        <v>Apprenant 564 ou 564'</v>
      </c>
      <c r="AW576" s="49" t="str">
        <f>IF(AND('Choix pédagogiques'!$C$4&lt;&gt;"?",'Choix pédagogiques'!$C$5&lt;&gt;"?",AB576&lt;&gt;""),(AB576-'Choix pédagogiques'!$C$4)/('Choix pédagogiques'!$C$5-'Choix pédagogiques'!$C$4),"")</f>
        <v/>
      </c>
      <c r="AX576" s="49" t="str">
        <f>IF(AND('Choix pédagogiques'!$C$4&lt;&gt;"?",'Choix pédagogiques'!$C$5&lt;&gt;"?",AC576&lt;&gt;""),(AC576-'Choix pédagogiques'!$C$4)/('Choix pédagogiques'!$C$5-'Choix pédagogiques'!$C$4),"")</f>
        <v/>
      </c>
      <c r="AY576" s="49" t="str">
        <f>IF(AND('Choix pédagogiques'!$C$4&lt;&gt;"?",'Choix pédagogiques'!$C$5&lt;&gt;"?",AD576&lt;&gt;""),(AD576-'Choix pédagogiques'!$C$4)/('Choix pédagogiques'!$C$5-'Choix pédagogiques'!$C$4),"")</f>
        <v/>
      </c>
      <c r="AZ576" s="22" t="str">
        <f t="shared" si="408"/>
        <v/>
      </c>
      <c r="BA576" s="21" t="str">
        <f t="shared" si="409"/>
        <v>Apprenant 564</v>
      </c>
      <c r="BB576" s="49" t="str">
        <f t="shared" si="381"/>
        <v/>
      </c>
      <c r="BC576" s="49" t="str">
        <f t="shared" si="382"/>
        <v/>
      </c>
      <c r="BD576" s="49" t="str">
        <f t="shared" si="383"/>
        <v/>
      </c>
      <c r="BE576" s="22" t="str">
        <f t="shared" si="410"/>
        <v/>
      </c>
      <c r="BF576" s="21" t="str">
        <f t="shared" si="411"/>
        <v>Apprenant 564 ou 564'</v>
      </c>
      <c r="BG576" s="49" t="str">
        <f t="shared" si="384"/>
        <v/>
      </c>
      <c r="BH576" s="49" t="str">
        <f t="shared" si="385"/>
        <v/>
      </c>
      <c r="BI576" s="49" t="str">
        <f t="shared" si="386"/>
        <v/>
      </c>
      <c r="BJ576" s="22" t="str">
        <f t="shared" si="412"/>
        <v/>
      </c>
      <c r="BL576" s="21"/>
      <c r="BM576" s="21" t="str">
        <f>IF(OR(COUNT(B576:D1575)=0,AND('Choix pédagogiques'!$C$3&lt;&gt;1,'Choix pédagogiques'!$C$3&lt;&gt;2)),"",IF(AND(OR('Choix pédagogiques'!$C$3=1,'Choix pédagogiques'!$C$3=2),$B576&lt;&gt;"",$C576&lt;&gt;"",$D576&lt;&gt;""),1,0))</f>
        <v/>
      </c>
      <c r="BN576" s="21" t="str">
        <f>IF(OR(COUNT(G576:I1575)=0,AND('Choix pédagogiques'!$C$3&lt;&gt;1,'Choix pédagogiques'!$C$3&lt;&gt;2)),"",IF(AND(OR('Choix pédagogiques'!$C$3=1,'Choix pédagogiques'!$C$3=2),AND($G576&lt;&gt;"",$H576&lt;&gt;"",$I576&lt;&gt;"")),1,0))</f>
        <v/>
      </c>
      <c r="BO576" s="21" t="str">
        <f>IF(OR(COUNT(B576:D1575)=0,COUNT(G576:I1575)=0,'Choix pédagogiques'!C$3&lt;&gt;3),"",IF(AND('Choix pédagogiques'!$C$3=3,$B576&lt;&gt;"",$C576&lt;&gt;"",$D576&lt;&gt;"",$G576&lt;&gt;"",$H576&lt;&gt;"",$I576&lt;&gt;""),1,0))</f>
        <v/>
      </c>
      <c r="BR576" s="21">
        <v>684</v>
      </c>
      <c r="BS576" s="21">
        <v>1534</v>
      </c>
      <c r="BT576"/>
    </row>
    <row r="577" spans="1:72" s="23" customFormat="1" ht="18" customHeight="1" x14ac:dyDescent="0.3">
      <c r="A577" s="35" t="s">
        <v>567</v>
      </c>
      <c r="B577" s="37"/>
      <c r="C577" s="37"/>
      <c r="D577" s="37"/>
      <c r="E577" s="37"/>
      <c r="F577" s="35" t="s">
        <v>1575</v>
      </c>
      <c r="G577" s="37"/>
      <c r="H577" s="37"/>
      <c r="I577" s="37"/>
      <c r="J577" s="37"/>
      <c r="K577" s="21" t="str">
        <f t="shared" si="387"/>
        <v>Apprenant 565</v>
      </c>
      <c r="L577" s="22" t="str">
        <f t="shared" si="388"/>
        <v/>
      </c>
      <c r="M577" s="22" t="str">
        <f t="shared" si="389"/>
        <v/>
      </c>
      <c r="N577" s="22" t="str">
        <f t="shared" si="390"/>
        <v/>
      </c>
      <c r="O577" s="22" t="str">
        <f t="shared" si="391"/>
        <v/>
      </c>
      <c r="P577" s="21" t="str">
        <f t="shared" si="392"/>
        <v>Apprenant 565 ou 565'</v>
      </c>
      <c r="Q577" s="22" t="str">
        <f t="shared" si="393"/>
        <v/>
      </c>
      <c r="R577" s="22" t="str">
        <f t="shared" si="394"/>
        <v/>
      </c>
      <c r="S577" s="22" t="str">
        <f t="shared" si="395"/>
        <v/>
      </c>
      <c r="T577" s="22" t="str">
        <f t="shared" si="396"/>
        <v/>
      </c>
      <c r="V577" s="21" t="str">
        <f t="shared" si="397"/>
        <v>Apprenant 565</v>
      </c>
      <c r="W577" s="22" t="str">
        <f>IF(AND(OR('Choix pédagogiques'!$C$3=1,'Choix pédagogiques'!$C$3=2),$BM577=1),B577,IF(AND('Choix pédagogiques'!$C$3=3,$BO577=1),B577,""))</f>
        <v/>
      </c>
      <c r="X577" s="22" t="str">
        <f>IF(AND(OR('Choix pédagogiques'!$C$3=1,'Choix pédagogiques'!$C$3=2),$BM577=1),C577,IF(AND('Choix pédagogiques'!$C$3=3,$BO577=1),C577,""))</f>
        <v/>
      </c>
      <c r="Y577" s="22" t="str">
        <f>IF(AND(OR('Choix pédagogiques'!$C$3=1,'Choix pédagogiques'!$C$3=2),$BM577=1),D577,IF(AND('Choix pédagogiques'!$C$3=3,$BO577=1),D577,""))</f>
        <v/>
      </c>
      <c r="Z577" s="22" t="str">
        <f t="shared" si="398"/>
        <v/>
      </c>
      <c r="AA577" s="21" t="str">
        <f t="shared" si="399"/>
        <v>Apprenant 565 ou 565'</v>
      </c>
      <c r="AB577" s="22" t="str">
        <f>IF(AND(OR('Choix pédagogiques'!$C$3=1,'Choix pédagogiques'!$C$3=2),$BN577=1),G577,IF(AND('Choix pédagogiques'!$C$3=3,$BO577=1),G577,""))</f>
        <v/>
      </c>
      <c r="AC577" s="22" t="str">
        <f>IF(AND(OR('Choix pédagogiques'!$C$3=1,'Choix pédagogiques'!$C$3=2),$BN577=1),H577,IF(AND('Choix pédagogiques'!$C$3=3,$BO577=1),H577,""))</f>
        <v/>
      </c>
      <c r="AD577" s="22" t="str">
        <f>IF(AND(OR('Choix pédagogiques'!$C$3=1,'Choix pédagogiques'!$C$3=2),$BN577=1),I577,IF(AND('Choix pédagogiques'!$C$3=3,$BO577=1),I577,""))</f>
        <v/>
      </c>
      <c r="AE577" s="22" t="str">
        <f t="shared" si="400"/>
        <v/>
      </c>
      <c r="AF577" s="21" t="str">
        <f t="shared" si="401"/>
        <v>Apprenant 565</v>
      </c>
      <c r="AG577" s="22" t="str">
        <f t="shared" si="375"/>
        <v/>
      </c>
      <c r="AH577" s="22" t="str">
        <f t="shared" si="376"/>
        <v/>
      </c>
      <c r="AI577" s="22" t="str">
        <f t="shared" si="377"/>
        <v/>
      </c>
      <c r="AJ577" s="22" t="str">
        <f t="shared" si="402"/>
        <v/>
      </c>
      <c r="AK577" s="21" t="str">
        <f t="shared" si="403"/>
        <v>Apprenant 565 ou 565'</v>
      </c>
      <c r="AL577" s="22" t="str">
        <f t="shared" si="378"/>
        <v/>
      </c>
      <c r="AM577" s="22" t="str">
        <f t="shared" si="379"/>
        <v/>
      </c>
      <c r="AN577" s="22" t="str">
        <f t="shared" si="380"/>
        <v/>
      </c>
      <c r="AO577" s="22" t="str">
        <f t="shared" si="404"/>
        <v/>
      </c>
      <c r="AQ577" s="21" t="str">
        <f t="shared" si="405"/>
        <v>Apprenant 565</v>
      </c>
      <c r="AR577" s="49" t="str">
        <f>IF(AND('Choix pédagogiques'!$C$4&lt;&gt;"?",'Choix pédagogiques'!$C$5&lt;&gt;"?",W577&lt;&gt;""),(W577-'Choix pédagogiques'!$C$4)/('Choix pédagogiques'!$C$5-'Choix pédagogiques'!$C$4),"")</f>
        <v/>
      </c>
      <c r="AS577" s="49" t="str">
        <f>IF(AND('Choix pédagogiques'!$C$4&lt;&gt;"?",'Choix pédagogiques'!$C$5&lt;&gt;"?",X577&lt;&gt;""),(X577-'Choix pédagogiques'!$C$4)/('Choix pédagogiques'!$C$5-'Choix pédagogiques'!$C$4),"")</f>
        <v/>
      </c>
      <c r="AT577" s="49" t="str">
        <f>IF(AND('Choix pédagogiques'!$C$4&lt;&gt;"?",'Choix pédagogiques'!$C$5&lt;&gt;"?",Y577&lt;&gt;""),(Y577-'Choix pédagogiques'!$C$4)/('Choix pédagogiques'!$C$5-'Choix pédagogiques'!$C$4),"")</f>
        <v/>
      </c>
      <c r="AU577" s="22" t="str">
        <f t="shared" si="406"/>
        <v/>
      </c>
      <c r="AV577" s="21" t="str">
        <f t="shared" si="407"/>
        <v>Apprenant 565 ou 565'</v>
      </c>
      <c r="AW577" s="49" t="str">
        <f>IF(AND('Choix pédagogiques'!$C$4&lt;&gt;"?",'Choix pédagogiques'!$C$5&lt;&gt;"?",AB577&lt;&gt;""),(AB577-'Choix pédagogiques'!$C$4)/('Choix pédagogiques'!$C$5-'Choix pédagogiques'!$C$4),"")</f>
        <v/>
      </c>
      <c r="AX577" s="49" t="str">
        <f>IF(AND('Choix pédagogiques'!$C$4&lt;&gt;"?",'Choix pédagogiques'!$C$5&lt;&gt;"?",AC577&lt;&gt;""),(AC577-'Choix pédagogiques'!$C$4)/('Choix pédagogiques'!$C$5-'Choix pédagogiques'!$C$4),"")</f>
        <v/>
      </c>
      <c r="AY577" s="49" t="str">
        <f>IF(AND('Choix pédagogiques'!$C$4&lt;&gt;"?",'Choix pédagogiques'!$C$5&lt;&gt;"?",AD577&lt;&gt;""),(AD577-'Choix pédagogiques'!$C$4)/('Choix pédagogiques'!$C$5-'Choix pédagogiques'!$C$4),"")</f>
        <v/>
      </c>
      <c r="AZ577" s="22" t="str">
        <f t="shared" si="408"/>
        <v/>
      </c>
      <c r="BA577" s="21" t="str">
        <f t="shared" si="409"/>
        <v>Apprenant 565</v>
      </c>
      <c r="BB577" s="49" t="str">
        <f t="shared" si="381"/>
        <v/>
      </c>
      <c r="BC577" s="49" t="str">
        <f t="shared" si="382"/>
        <v/>
      </c>
      <c r="BD577" s="49" t="str">
        <f t="shared" si="383"/>
        <v/>
      </c>
      <c r="BE577" s="22" t="str">
        <f t="shared" si="410"/>
        <v/>
      </c>
      <c r="BF577" s="21" t="str">
        <f t="shared" si="411"/>
        <v>Apprenant 565 ou 565'</v>
      </c>
      <c r="BG577" s="49" t="str">
        <f t="shared" si="384"/>
        <v/>
      </c>
      <c r="BH577" s="49" t="str">
        <f t="shared" si="385"/>
        <v/>
      </c>
      <c r="BI577" s="49" t="str">
        <f t="shared" si="386"/>
        <v/>
      </c>
      <c r="BJ577" s="22" t="str">
        <f t="shared" si="412"/>
        <v/>
      </c>
      <c r="BL577" s="21"/>
      <c r="BM577" s="21" t="str">
        <f>IF(OR(COUNT(B577:D1576)=0,AND('Choix pédagogiques'!$C$3&lt;&gt;1,'Choix pédagogiques'!$C$3&lt;&gt;2)),"",IF(AND(OR('Choix pédagogiques'!$C$3=1,'Choix pédagogiques'!$C$3=2),$B577&lt;&gt;"",$C577&lt;&gt;"",$D577&lt;&gt;""),1,0))</f>
        <v/>
      </c>
      <c r="BN577" s="21" t="str">
        <f>IF(OR(COUNT(G577:I1576)=0,AND('Choix pédagogiques'!$C$3&lt;&gt;1,'Choix pédagogiques'!$C$3&lt;&gt;2)),"",IF(AND(OR('Choix pédagogiques'!$C$3=1,'Choix pédagogiques'!$C$3=2),AND($G577&lt;&gt;"",$H577&lt;&gt;"",$I577&lt;&gt;"")),1,0))</f>
        <v/>
      </c>
      <c r="BO577" s="21" t="str">
        <f>IF(OR(COUNT(B577:D1576)=0,COUNT(G577:I1576)=0,'Choix pédagogiques'!C$3&lt;&gt;3),"",IF(AND('Choix pédagogiques'!$C$3=3,$B577&lt;&gt;"",$C577&lt;&gt;"",$D577&lt;&gt;"",$G577&lt;&gt;"",$H577&lt;&gt;"",$I577&lt;&gt;""),1,0))</f>
        <v/>
      </c>
      <c r="BR577" s="21">
        <v>49</v>
      </c>
      <c r="BS577" s="21">
        <v>1559</v>
      </c>
      <c r="BT577"/>
    </row>
    <row r="578" spans="1:72" s="23" customFormat="1" ht="18" customHeight="1" x14ac:dyDescent="0.3">
      <c r="A578" s="35" t="s">
        <v>568</v>
      </c>
      <c r="B578" s="37"/>
      <c r="C578" s="37"/>
      <c r="D578" s="37"/>
      <c r="E578" s="37"/>
      <c r="F578" s="35" t="s">
        <v>1576</v>
      </c>
      <c r="G578" s="37"/>
      <c r="H578" s="37"/>
      <c r="I578" s="37"/>
      <c r="J578" s="37"/>
      <c r="K578" s="21" t="str">
        <f t="shared" si="387"/>
        <v>Apprenant 566</v>
      </c>
      <c r="L578" s="22" t="str">
        <f t="shared" si="388"/>
        <v/>
      </c>
      <c r="M578" s="22" t="str">
        <f t="shared" si="389"/>
        <v/>
      </c>
      <c r="N578" s="22" t="str">
        <f t="shared" si="390"/>
        <v/>
      </c>
      <c r="O578" s="22" t="str">
        <f t="shared" si="391"/>
        <v/>
      </c>
      <c r="P578" s="21" t="str">
        <f t="shared" si="392"/>
        <v>Apprenant 566 ou 566'</v>
      </c>
      <c r="Q578" s="22" t="str">
        <f t="shared" si="393"/>
        <v/>
      </c>
      <c r="R578" s="22" t="str">
        <f t="shared" si="394"/>
        <v/>
      </c>
      <c r="S578" s="22" t="str">
        <f t="shared" si="395"/>
        <v/>
      </c>
      <c r="T578" s="22" t="str">
        <f t="shared" si="396"/>
        <v/>
      </c>
      <c r="V578" s="21" t="str">
        <f t="shared" si="397"/>
        <v>Apprenant 566</v>
      </c>
      <c r="W578" s="22" t="str">
        <f>IF(AND(OR('Choix pédagogiques'!$C$3=1,'Choix pédagogiques'!$C$3=2),$BM578=1),B578,IF(AND('Choix pédagogiques'!$C$3=3,$BO578=1),B578,""))</f>
        <v/>
      </c>
      <c r="X578" s="22" t="str">
        <f>IF(AND(OR('Choix pédagogiques'!$C$3=1,'Choix pédagogiques'!$C$3=2),$BM578=1),C578,IF(AND('Choix pédagogiques'!$C$3=3,$BO578=1),C578,""))</f>
        <v/>
      </c>
      <c r="Y578" s="22" t="str">
        <f>IF(AND(OR('Choix pédagogiques'!$C$3=1,'Choix pédagogiques'!$C$3=2),$BM578=1),D578,IF(AND('Choix pédagogiques'!$C$3=3,$BO578=1),D578,""))</f>
        <v/>
      </c>
      <c r="Z578" s="22" t="str">
        <f t="shared" si="398"/>
        <v/>
      </c>
      <c r="AA578" s="21" t="str">
        <f t="shared" si="399"/>
        <v>Apprenant 566 ou 566'</v>
      </c>
      <c r="AB578" s="22" t="str">
        <f>IF(AND(OR('Choix pédagogiques'!$C$3=1,'Choix pédagogiques'!$C$3=2),$BN578=1),G578,IF(AND('Choix pédagogiques'!$C$3=3,$BO578=1),G578,""))</f>
        <v/>
      </c>
      <c r="AC578" s="22" t="str">
        <f>IF(AND(OR('Choix pédagogiques'!$C$3=1,'Choix pédagogiques'!$C$3=2),$BN578=1),H578,IF(AND('Choix pédagogiques'!$C$3=3,$BO578=1),H578,""))</f>
        <v/>
      </c>
      <c r="AD578" s="22" t="str">
        <f>IF(AND(OR('Choix pédagogiques'!$C$3=1,'Choix pédagogiques'!$C$3=2),$BN578=1),I578,IF(AND('Choix pédagogiques'!$C$3=3,$BO578=1),I578,""))</f>
        <v/>
      </c>
      <c r="AE578" s="22" t="str">
        <f t="shared" si="400"/>
        <v/>
      </c>
      <c r="AF578" s="21" t="str">
        <f t="shared" si="401"/>
        <v>Apprenant 566</v>
      </c>
      <c r="AG578" s="22" t="str">
        <f t="shared" si="375"/>
        <v/>
      </c>
      <c r="AH578" s="22" t="str">
        <f t="shared" si="376"/>
        <v/>
      </c>
      <c r="AI578" s="22" t="str">
        <f t="shared" si="377"/>
        <v/>
      </c>
      <c r="AJ578" s="22" t="str">
        <f t="shared" si="402"/>
        <v/>
      </c>
      <c r="AK578" s="21" t="str">
        <f t="shared" si="403"/>
        <v>Apprenant 566 ou 566'</v>
      </c>
      <c r="AL578" s="22" t="str">
        <f t="shared" si="378"/>
        <v/>
      </c>
      <c r="AM578" s="22" t="str">
        <f t="shared" si="379"/>
        <v/>
      </c>
      <c r="AN578" s="22" t="str">
        <f t="shared" si="380"/>
        <v/>
      </c>
      <c r="AO578" s="22" t="str">
        <f t="shared" si="404"/>
        <v/>
      </c>
      <c r="AQ578" s="21" t="str">
        <f t="shared" si="405"/>
        <v>Apprenant 566</v>
      </c>
      <c r="AR578" s="49" t="str">
        <f>IF(AND('Choix pédagogiques'!$C$4&lt;&gt;"?",'Choix pédagogiques'!$C$5&lt;&gt;"?",W578&lt;&gt;""),(W578-'Choix pédagogiques'!$C$4)/('Choix pédagogiques'!$C$5-'Choix pédagogiques'!$C$4),"")</f>
        <v/>
      </c>
      <c r="AS578" s="49" t="str">
        <f>IF(AND('Choix pédagogiques'!$C$4&lt;&gt;"?",'Choix pédagogiques'!$C$5&lt;&gt;"?",X578&lt;&gt;""),(X578-'Choix pédagogiques'!$C$4)/('Choix pédagogiques'!$C$5-'Choix pédagogiques'!$C$4),"")</f>
        <v/>
      </c>
      <c r="AT578" s="49" t="str">
        <f>IF(AND('Choix pédagogiques'!$C$4&lt;&gt;"?",'Choix pédagogiques'!$C$5&lt;&gt;"?",Y578&lt;&gt;""),(Y578-'Choix pédagogiques'!$C$4)/('Choix pédagogiques'!$C$5-'Choix pédagogiques'!$C$4),"")</f>
        <v/>
      </c>
      <c r="AU578" s="22" t="str">
        <f t="shared" si="406"/>
        <v/>
      </c>
      <c r="AV578" s="21" t="str">
        <f t="shared" si="407"/>
        <v>Apprenant 566 ou 566'</v>
      </c>
      <c r="AW578" s="49" t="str">
        <f>IF(AND('Choix pédagogiques'!$C$4&lt;&gt;"?",'Choix pédagogiques'!$C$5&lt;&gt;"?",AB578&lt;&gt;""),(AB578-'Choix pédagogiques'!$C$4)/('Choix pédagogiques'!$C$5-'Choix pédagogiques'!$C$4),"")</f>
        <v/>
      </c>
      <c r="AX578" s="49" t="str">
        <f>IF(AND('Choix pédagogiques'!$C$4&lt;&gt;"?",'Choix pédagogiques'!$C$5&lt;&gt;"?",AC578&lt;&gt;""),(AC578-'Choix pédagogiques'!$C$4)/('Choix pédagogiques'!$C$5-'Choix pédagogiques'!$C$4),"")</f>
        <v/>
      </c>
      <c r="AY578" s="49" t="str">
        <f>IF(AND('Choix pédagogiques'!$C$4&lt;&gt;"?",'Choix pédagogiques'!$C$5&lt;&gt;"?",AD578&lt;&gt;""),(AD578-'Choix pédagogiques'!$C$4)/('Choix pédagogiques'!$C$5-'Choix pédagogiques'!$C$4),"")</f>
        <v/>
      </c>
      <c r="AZ578" s="22" t="str">
        <f t="shared" si="408"/>
        <v/>
      </c>
      <c r="BA578" s="21" t="str">
        <f t="shared" si="409"/>
        <v>Apprenant 566</v>
      </c>
      <c r="BB578" s="49" t="str">
        <f t="shared" si="381"/>
        <v/>
      </c>
      <c r="BC578" s="49" t="str">
        <f t="shared" si="382"/>
        <v/>
      </c>
      <c r="BD578" s="49" t="str">
        <f t="shared" si="383"/>
        <v/>
      </c>
      <c r="BE578" s="22" t="str">
        <f t="shared" si="410"/>
        <v/>
      </c>
      <c r="BF578" s="21" t="str">
        <f t="shared" si="411"/>
        <v>Apprenant 566 ou 566'</v>
      </c>
      <c r="BG578" s="49" t="str">
        <f t="shared" si="384"/>
        <v/>
      </c>
      <c r="BH578" s="49" t="str">
        <f t="shared" si="385"/>
        <v/>
      </c>
      <c r="BI578" s="49" t="str">
        <f t="shared" si="386"/>
        <v/>
      </c>
      <c r="BJ578" s="22" t="str">
        <f t="shared" si="412"/>
        <v/>
      </c>
      <c r="BL578" s="21"/>
      <c r="BM578" s="21" t="str">
        <f>IF(OR(COUNT(B578:D1577)=0,AND('Choix pédagogiques'!$C$3&lt;&gt;1,'Choix pédagogiques'!$C$3&lt;&gt;2)),"",IF(AND(OR('Choix pédagogiques'!$C$3=1,'Choix pédagogiques'!$C$3=2),$B578&lt;&gt;"",$C578&lt;&gt;"",$D578&lt;&gt;""),1,0))</f>
        <v/>
      </c>
      <c r="BN578" s="21" t="str">
        <f>IF(OR(COUNT(G578:I1577)=0,AND('Choix pédagogiques'!$C$3&lt;&gt;1,'Choix pédagogiques'!$C$3&lt;&gt;2)),"",IF(AND(OR('Choix pédagogiques'!$C$3=1,'Choix pédagogiques'!$C$3=2),AND($G578&lt;&gt;"",$H578&lt;&gt;"",$I578&lt;&gt;"")),1,0))</f>
        <v/>
      </c>
      <c r="BO578" s="21" t="str">
        <f>IF(OR(COUNT(B578:D1577)=0,COUNT(G578:I1577)=0,'Choix pédagogiques'!C$3&lt;&gt;3),"",IF(AND('Choix pédagogiques'!$C$3=3,$B578&lt;&gt;"",$C578&lt;&gt;"",$D578&lt;&gt;"",$G578&lt;&gt;"",$H578&lt;&gt;"",$I578&lt;&gt;""),1,0))</f>
        <v/>
      </c>
      <c r="BR578" s="21">
        <v>715</v>
      </c>
      <c r="BS578" s="21">
        <v>1968</v>
      </c>
      <c r="BT578"/>
    </row>
    <row r="579" spans="1:72" s="23" customFormat="1" ht="18" customHeight="1" x14ac:dyDescent="0.3">
      <c r="A579" s="35" t="s">
        <v>569</v>
      </c>
      <c r="B579" s="37"/>
      <c r="C579" s="37"/>
      <c r="D579" s="37"/>
      <c r="E579" s="37"/>
      <c r="F579" s="35" t="s">
        <v>1577</v>
      </c>
      <c r="G579" s="37"/>
      <c r="H579" s="37"/>
      <c r="I579" s="37"/>
      <c r="J579" s="37"/>
      <c r="K579" s="21" t="str">
        <f t="shared" si="387"/>
        <v>Apprenant 567</v>
      </c>
      <c r="L579" s="22" t="str">
        <f t="shared" si="388"/>
        <v/>
      </c>
      <c r="M579" s="22" t="str">
        <f t="shared" si="389"/>
        <v/>
      </c>
      <c r="N579" s="22" t="str">
        <f t="shared" si="390"/>
        <v/>
      </c>
      <c r="O579" s="22" t="str">
        <f t="shared" si="391"/>
        <v/>
      </c>
      <c r="P579" s="21" t="str">
        <f t="shared" si="392"/>
        <v>Apprenant 567 ou 567'</v>
      </c>
      <c r="Q579" s="22" t="str">
        <f t="shared" si="393"/>
        <v/>
      </c>
      <c r="R579" s="22" t="str">
        <f t="shared" si="394"/>
        <v/>
      </c>
      <c r="S579" s="22" t="str">
        <f t="shared" si="395"/>
        <v/>
      </c>
      <c r="T579" s="22" t="str">
        <f t="shared" si="396"/>
        <v/>
      </c>
      <c r="V579" s="21" t="str">
        <f t="shared" si="397"/>
        <v>Apprenant 567</v>
      </c>
      <c r="W579" s="22" t="str">
        <f>IF(AND(OR('Choix pédagogiques'!$C$3=1,'Choix pédagogiques'!$C$3=2),$BM579=1),B579,IF(AND('Choix pédagogiques'!$C$3=3,$BO579=1),B579,""))</f>
        <v/>
      </c>
      <c r="X579" s="22" t="str">
        <f>IF(AND(OR('Choix pédagogiques'!$C$3=1,'Choix pédagogiques'!$C$3=2),$BM579=1),C579,IF(AND('Choix pédagogiques'!$C$3=3,$BO579=1),C579,""))</f>
        <v/>
      </c>
      <c r="Y579" s="22" t="str">
        <f>IF(AND(OR('Choix pédagogiques'!$C$3=1,'Choix pédagogiques'!$C$3=2),$BM579=1),D579,IF(AND('Choix pédagogiques'!$C$3=3,$BO579=1),D579,""))</f>
        <v/>
      </c>
      <c r="Z579" s="22" t="str">
        <f t="shared" si="398"/>
        <v/>
      </c>
      <c r="AA579" s="21" t="str">
        <f t="shared" si="399"/>
        <v>Apprenant 567 ou 567'</v>
      </c>
      <c r="AB579" s="22" t="str">
        <f>IF(AND(OR('Choix pédagogiques'!$C$3=1,'Choix pédagogiques'!$C$3=2),$BN579=1),G579,IF(AND('Choix pédagogiques'!$C$3=3,$BO579=1),G579,""))</f>
        <v/>
      </c>
      <c r="AC579" s="22" t="str">
        <f>IF(AND(OR('Choix pédagogiques'!$C$3=1,'Choix pédagogiques'!$C$3=2),$BN579=1),H579,IF(AND('Choix pédagogiques'!$C$3=3,$BO579=1),H579,""))</f>
        <v/>
      </c>
      <c r="AD579" s="22" t="str">
        <f>IF(AND(OR('Choix pédagogiques'!$C$3=1,'Choix pédagogiques'!$C$3=2),$BN579=1),I579,IF(AND('Choix pédagogiques'!$C$3=3,$BO579=1),I579,""))</f>
        <v/>
      </c>
      <c r="AE579" s="22" t="str">
        <f t="shared" si="400"/>
        <v/>
      </c>
      <c r="AF579" s="21" t="str">
        <f t="shared" si="401"/>
        <v>Apprenant 567</v>
      </c>
      <c r="AG579" s="22" t="str">
        <f t="shared" si="375"/>
        <v/>
      </c>
      <c r="AH579" s="22" t="str">
        <f t="shared" si="376"/>
        <v/>
      </c>
      <c r="AI579" s="22" t="str">
        <f t="shared" si="377"/>
        <v/>
      </c>
      <c r="AJ579" s="22" t="str">
        <f t="shared" si="402"/>
        <v/>
      </c>
      <c r="AK579" s="21" t="str">
        <f t="shared" si="403"/>
        <v>Apprenant 567 ou 567'</v>
      </c>
      <c r="AL579" s="22" t="str">
        <f t="shared" si="378"/>
        <v/>
      </c>
      <c r="AM579" s="22" t="str">
        <f t="shared" si="379"/>
        <v/>
      </c>
      <c r="AN579" s="22" t="str">
        <f t="shared" si="380"/>
        <v/>
      </c>
      <c r="AO579" s="22" t="str">
        <f t="shared" si="404"/>
        <v/>
      </c>
      <c r="AQ579" s="21" t="str">
        <f t="shared" si="405"/>
        <v>Apprenant 567</v>
      </c>
      <c r="AR579" s="49" t="str">
        <f>IF(AND('Choix pédagogiques'!$C$4&lt;&gt;"?",'Choix pédagogiques'!$C$5&lt;&gt;"?",W579&lt;&gt;""),(W579-'Choix pédagogiques'!$C$4)/('Choix pédagogiques'!$C$5-'Choix pédagogiques'!$C$4),"")</f>
        <v/>
      </c>
      <c r="AS579" s="49" t="str">
        <f>IF(AND('Choix pédagogiques'!$C$4&lt;&gt;"?",'Choix pédagogiques'!$C$5&lt;&gt;"?",X579&lt;&gt;""),(X579-'Choix pédagogiques'!$C$4)/('Choix pédagogiques'!$C$5-'Choix pédagogiques'!$C$4),"")</f>
        <v/>
      </c>
      <c r="AT579" s="49" t="str">
        <f>IF(AND('Choix pédagogiques'!$C$4&lt;&gt;"?",'Choix pédagogiques'!$C$5&lt;&gt;"?",Y579&lt;&gt;""),(Y579-'Choix pédagogiques'!$C$4)/('Choix pédagogiques'!$C$5-'Choix pédagogiques'!$C$4),"")</f>
        <v/>
      </c>
      <c r="AU579" s="22" t="str">
        <f t="shared" si="406"/>
        <v/>
      </c>
      <c r="AV579" s="21" t="str">
        <f t="shared" si="407"/>
        <v>Apprenant 567 ou 567'</v>
      </c>
      <c r="AW579" s="49" t="str">
        <f>IF(AND('Choix pédagogiques'!$C$4&lt;&gt;"?",'Choix pédagogiques'!$C$5&lt;&gt;"?",AB579&lt;&gt;""),(AB579-'Choix pédagogiques'!$C$4)/('Choix pédagogiques'!$C$5-'Choix pédagogiques'!$C$4),"")</f>
        <v/>
      </c>
      <c r="AX579" s="49" t="str">
        <f>IF(AND('Choix pédagogiques'!$C$4&lt;&gt;"?",'Choix pédagogiques'!$C$5&lt;&gt;"?",AC579&lt;&gt;""),(AC579-'Choix pédagogiques'!$C$4)/('Choix pédagogiques'!$C$5-'Choix pédagogiques'!$C$4),"")</f>
        <v/>
      </c>
      <c r="AY579" s="49" t="str">
        <f>IF(AND('Choix pédagogiques'!$C$4&lt;&gt;"?",'Choix pédagogiques'!$C$5&lt;&gt;"?",AD579&lt;&gt;""),(AD579-'Choix pédagogiques'!$C$4)/('Choix pédagogiques'!$C$5-'Choix pédagogiques'!$C$4),"")</f>
        <v/>
      </c>
      <c r="AZ579" s="22" t="str">
        <f t="shared" si="408"/>
        <v/>
      </c>
      <c r="BA579" s="21" t="str">
        <f t="shared" si="409"/>
        <v>Apprenant 567</v>
      </c>
      <c r="BB579" s="49" t="str">
        <f t="shared" si="381"/>
        <v/>
      </c>
      <c r="BC579" s="49" t="str">
        <f t="shared" si="382"/>
        <v/>
      </c>
      <c r="BD579" s="49" t="str">
        <f t="shared" si="383"/>
        <v/>
      </c>
      <c r="BE579" s="22" t="str">
        <f t="shared" si="410"/>
        <v/>
      </c>
      <c r="BF579" s="21" t="str">
        <f t="shared" si="411"/>
        <v>Apprenant 567 ou 567'</v>
      </c>
      <c r="BG579" s="49" t="str">
        <f t="shared" si="384"/>
        <v/>
      </c>
      <c r="BH579" s="49" t="str">
        <f t="shared" si="385"/>
        <v/>
      </c>
      <c r="BI579" s="49" t="str">
        <f t="shared" si="386"/>
        <v/>
      </c>
      <c r="BJ579" s="22" t="str">
        <f t="shared" si="412"/>
        <v/>
      </c>
      <c r="BL579" s="21"/>
      <c r="BM579" s="21" t="str">
        <f>IF(OR(COUNT(B579:D1578)=0,AND('Choix pédagogiques'!$C$3&lt;&gt;1,'Choix pédagogiques'!$C$3&lt;&gt;2)),"",IF(AND(OR('Choix pédagogiques'!$C$3=1,'Choix pédagogiques'!$C$3=2),$B579&lt;&gt;"",$C579&lt;&gt;"",$D579&lt;&gt;""),1,0))</f>
        <v/>
      </c>
      <c r="BN579" s="21" t="str">
        <f>IF(OR(COUNT(G579:I1578)=0,AND('Choix pédagogiques'!$C$3&lt;&gt;1,'Choix pédagogiques'!$C$3&lt;&gt;2)),"",IF(AND(OR('Choix pédagogiques'!$C$3=1,'Choix pédagogiques'!$C$3=2),AND($G579&lt;&gt;"",$H579&lt;&gt;"",$I579&lt;&gt;"")),1,0))</f>
        <v/>
      </c>
      <c r="BO579" s="21" t="str">
        <f>IF(OR(COUNT(B579:D1578)=0,COUNT(G579:I1578)=0,'Choix pédagogiques'!C$3&lt;&gt;3),"",IF(AND('Choix pédagogiques'!$C$3=3,$B579&lt;&gt;"",$C579&lt;&gt;"",$D579&lt;&gt;"",$G579&lt;&gt;"",$H579&lt;&gt;"",$I579&lt;&gt;""),1,0))</f>
        <v/>
      </c>
      <c r="BR579" s="21">
        <v>727</v>
      </c>
      <c r="BS579" s="21">
        <v>1131</v>
      </c>
      <c r="BT579"/>
    </row>
    <row r="580" spans="1:72" s="23" customFormat="1" ht="18" customHeight="1" x14ac:dyDescent="0.3">
      <c r="A580" s="35" t="s">
        <v>570</v>
      </c>
      <c r="B580" s="37"/>
      <c r="C580" s="37"/>
      <c r="D580" s="37"/>
      <c r="E580" s="37"/>
      <c r="F580" s="35" t="s">
        <v>1578</v>
      </c>
      <c r="G580" s="37"/>
      <c r="H580" s="37"/>
      <c r="I580" s="37"/>
      <c r="J580" s="37"/>
      <c r="K580" s="21" t="str">
        <f t="shared" si="387"/>
        <v>Apprenant 568</v>
      </c>
      <c r="L580" s="22" t="str">
        <f t="shared" si="388"/>
        <v/>
      </c>
      <c r="M580" s="22" t="str">
        <f t="shared" si="389"/>
        <v/>
      </c>
      <c r="N580" s="22" t="str">
        <f t="shared" si="390"/>
        <v/>
      </c>
      <c r="O580" s="22" t="str">
        <f t="shared" si="391"/>
        <v/>
      </c>
      <c r="P580" s="21" t="str">
        <f t="shared" si="392"/>
        <v>Apprenant 568 ou 568'</v>
      </c>
      <c r="Q580" s="22" t="str">
        <f t="shared" si="393"/>
        <v/>
      </c>
      <c r="R580" s="22" t="str">
        <f t="shared" si="394"/>
        <v/>
      </c>
      <c r="S580" s="22" t="str">
        <f t="shared" si="395"/>
        <v/>
      </c>
      <c r="T580" s="22" t="str">
        <f t="shared" si="396"/>
        <v/>
      </c>
      <c r="V580" s="21" t="str">
        <f t="shared" si="397"/>
        <v>Apprenant 568</v>
      </c>
      <c r="W580" s="22" t="str">
        <f>IF(AND(OR('Choix pédagogiques'!$C$3=1,'Choix pédagogiques'!$C$3=2),$BM580=1),B580,IF(AND('Choix pédagogiques'!$C$3=3,$BO580=1),B580,""))</f>
        <v/>
      </c>
      <c r="X580" s="22" t="str">
        <f>IF(AND(OR('Choix pédagogiques'!$C$3=1,'Choix pédagogiques'!$C$3=2),$BM580=1),C580,IF(AND('Choix pédagogiques'!$C$3=3,$BO580=1),C580,""))</f>
        <v/>
      </c>
      <c r="Y580" s="22" t="str">
        <f>IF(AND(OR('Choix pédagogiques'!$C$3=1,'Choix pédagogiques'!$C$3=2),$BM580=1),D580,IF(AND('Choix pédagogiques'!$C$3=3,$BO580=1),D580,""))</f>
        <v/>
      </c>
      <c r="Z580" s="22" t="str">
        <f t="shared" si="398"/>
        <v/>
      </c>
      <c r="AA580" s="21" t="str">
        <f t="shared" si="399"/>
        <v>Apprenant 568 ou 568'</v>
      </c>
      <c r="AB580" s="22" t="str">
        <f>IF(AND(OR('Choix pédagogiques'!$C$3=1,'Choix pédagogiques'!$C$3=2),$BN580=1),G580,IF(AND('Choix pédagogiques'!$C$3=3,$BO580=1),G580,""))</f>
        <v/>
      </c>
      <c r="AC580" s="22" t="str">
        <f>IF(AND(OR('Choix pédagogiques'!$C$3=1,'Choix pédagogiques'!$C$3=2),$BN580=1),H580,IF(AND('Choix pédagogiques'!$C$3=3,$BO580=1),H580,""))</f>
        <v/>
      </c>
      <c r="AD580" s="22" t="str">
        <f>IF(AND(OR('Choix pédagogiques'!$C$3=1,'Choix pédagogiques'!$C$3=2),$BN580=1),I580,IF(AND('Choix pédagogiques'!$C$3=3,$BO580=1),I580,""))</f>
        <v/>
      </c>
      <c r="AE580" s="22" t="str">
        <f t="shared" si="400"/>
        <v/>
      </c>
      <c r="AF580" s="21" t="str">
        <f t="shared" si="401"/>
        <v>Apprenant 568</v>
      </c>
      <c r="AG580" s="22" t="str">
        <f t="shared" si="375"/>
        <v/>
      </c>
      <c r="AH580" s="22" t="str">
        <f t="shared" si="376"/>
        <v/>
      </c>
      <c r="AI580" s="22" t="str">
        <f t="shared" si="377"/>
        <v/>
      </c>
      <c r="AJ580" s="22" t="str">
        <f t="shared" si="402"/>
        <v/>
      </c>
      <c r="AK580" s="21" t="str">
        <f t="shared" si="403"/>
        <v>Apprenant 568 ou 568'</v>
      </c>
      <c r="AL580" s="22" t="str">
        <f t="shared" si="378"/>
        <v/>
      </c>
      <c r="AM580" s="22" t="str">
        <f t="shared" si="379"/>
        <v/>
      </c>
      <c r="AN580" s="22" t="str">
        <f t="shared" si="380"/>
        <v/>
      </c>
      <c r="AO580" s="22" t="str">
        <f t="shared" si="404"/>
        <v/>
      </c>
      <c r="AQ580" s="21" t="str">
        <f t="shared" si="405"/>
        <v>Apprenant 568</v>
      </c>
      <c r="AR580" s="49" t="str">
        <f>IF(AND('Choix pédagogiques'!$C$4&lt;&gt;"?",'Choix pédagogiques'!$C$5&lt;&gt;"?",W580&lt;&gt;""),(W580-'Choix pédagogiques'!$C$4)/('Choix pédagogiques'!$C$5-'Choix pédagogiques'!$C$4),"")</f>
        <v/>
      </c>
      <c r="AS580" s="49" t="str">
        <f>IF(AND('Choix pédagogiques'!$C$4&lt;&gt;"?",'Choix pédagogiques'!$C$5&lt;&gt;"?",X580&lt;&gt;""),(X580-'Choix pédagogiques'!$C$4)/('Choix pédagogiques'!$C$5-'Choix pédagogiques'!$C$4),"")</f>
        <v/>
      </c>
      <c r="AT580" s="49" t="str">
        <f>IF(AND('Choix pédagogiques'!$C$4&lt;&gt;"?",'Choix pédagogiques'!$C$5&lt;&gt;"?",Y580&lt;&gt;""),(Y580-'Choix pédagogiques'!$C$4)/('Choix pédagogiques'!$C$5-'Choix pédagogiques'!$C$4),"")</f>
        <v/>
      </c>
      <c r="AU580" s="22" t="str">
        <f t="shared" si="406"/>
        <v/>
      </c>
      <c r="AV580" s="21" t="str">
        <f t="shared" si="407"/>
        <v>Apprenant 568 ou 568'</v>
      </c>
      <c r="AW580" s="49" t="str">
        <f>IF(AND('Choix pédagogiques'!$C$4&lt;&gt;"?",'Choix pédagogiques'!$C$5&lt;&gt;"?",AB580&lt;&gt;""),(AB580-'Choix pédagogiques'!$C$4)/('Choix pédagogiques'!$C$5-'Choix pédagogiques'!$C$4),"")</f>
        <v/>
      </c>
      <c r="AX580" s="49" t="str">
        <f>IF(AND('Choix pédagogiques'!$C$4&lt;&gt;"?",'Choix pédagogiques'!$C$5&lt;&gt;"?",AC580&lt;&gt;""),(AC580-'Choix pédagogiques'!$C$4)/('Choix pédagogiques'!$C$5-'Choix pédagogiques'!$C$4),"")</f>
        <v/>
      </c>
      <c r="AY580" s="49" t="str">
        <f>IF(AND('Choix pédagogiques'!$C$4&lt;&gt;"?",'Choix pédagogiques'!$C$5&lt;&gt;"?",AD580&lt;&gt;""),(AD580-'Choix pédagogiques'!$C$4)/('Choix pédagogiques'!$C$5-'Choix pédagogiques'!$C$4),"")</f>
        <v/>
      </c>
      <c r="AZ580" s="22" t="str">
        <f t="shared" si="408"/>
        <v/>
      </c>
      <c r="BA580" s="21" t="str">
        <f t="shared" si="409"/>
        <v>Apprenant 568</v>
      </c>
      <c r="BB580" s="49" t="str">
        <f t="shared" si="381"/>
        <v/>
      </c>
      <c r="BC580" s="49" t="str">
        <f t="shared" si="382"/>
        <v/>
      </c>
      <c r="BD580" s="49" t="str">
        <f t="shared" si="383"/>
        <v/>
      </c>
      <c r="BE580" s="22" t="str">
        <f t="shared" si="410"/>
        <v/>
      </c>
      <c r="BF580" s="21" t="str">
        <f t="shared" si="411"/>
        <v>Apprenant 568 ou 568'</v>
      </c>
      <c r="BG580" s="49" t="str">
        <f t="shared" si="384"/>
        <v/>
      </c>
      <c r="BH580" s="49" t="str">
        <f t="shared" si="385"/>
        <v/>
      </c>
      <c r="BI580" s="49" t="str">
        <f t="shared" si="386"/>
        <v/>
      </c>
      <c r="BJ580" s="22" t="str">
        <f t="shared" si="412"/>
        <v/>
      </c>
      <c r="BL580" s="21"/>
      <c r="BM580" s="21" t="str">
        <f>IF(OR(COUNT(B580:D1579)=0,AND('Choix pédagogiques'!$C$3&lt;&gt;1,'Choix pédagogiques'!$C$3&lt;&gt;2)),"",IF(AND(OR('Choix pédagogiques'!$C$3=1,'Choix pédagogiques'!$C$3=2),$B580&lt;&gt;"",$C580&lt;&gt;"",$D580&lt;&gt;""),1,0))</f>
        <v/>
      </c>
      <c r="BN580" s="21" t="str">
        <f>IF(OR(COUNT(G580:I1579)=0,AND('Choix pédagogiques'!$C$3&lt;&gt;1,'Choix pédagogiques'!$C$3&lt;&gt;2)),"",IF(AND(OR('Choix pédagogiques'!$C$3=1,'Choix pédagogiques'!$C$3=2),AND($G580&lt;&gt;"",$H580&lt;&gt;"",$I580&lt;&gt;"")),1,0))</f>
        <v/>
      </c>
      <c r="BO580" s="21" t="str">
        <f>IF(OR(COUNT(B580:D1579)=0,COUNT(G580:I1579)=0,'Choix pédagogiques'!C$3&lt;&gt;3),"",IF(AND('Choix pédagogiques'!$C$3=3,$B580&lt;&gt;"",$C580&lt;&gt;"",$D580&lt;&gt;"",$G580&lt;&gt;"",$H580&lt;&gt;"",$I580&lt;&gt;""),1,0))</f>
        <v/>
      </c>
      <c r="BR580" s="21">
        <v>537</v>
      </c>
      <c r="BS580" s="21">
        <v>1796</v>
      </c>
      <c r="BT580"/>
    </row>
    <row r="581" spans="1:72" s="23" customFormat="1" ht="18" customHeight="1" x14ac:dyDescent="0.3">
      <c r="A581" s="35" t="s">
        <v>571</v>
      </c>
      <c r="B581" s="37"/>
      <c r="C581" s="37"/>
      <c r="D581" s="37"/>
      <c r="E581" s="37"/>
      <c r="F581" s="35" t="s">
        <v>1579</v>
      </c>
      <c r="G581" s="37"/>
      <c r="H581" s="37"/>
      <c r="I581" s="37"/>
      <c r="J581" s="37"/>
      <c r="K581" s="21" t="str">
        <f t="shared" si="387"/>
        <v>Apprenant 569</v>
      </c>
      <c r="L581" s="22" t="str">
        <f t="shared" si="388"/>
        <v/>
      </c>
      <c r="M581" s="22" t="str">
        <f t="shared" si="389"/>
        <v/>
      </c>
      <c r="N581" s="22" t="str">
        <f t="shared" si="390"/>
        <v/>
      </c>
      <c r="O581" s="22" t="str">
        <f t="shared" si="391"/>
        <v/>
      </c>
      <c r="P581" s="21" t="str">
        <f t="shared" si="392"/>
        <v>Apprenant 569 ou 569'</v>
      </c>
      <c r="Q581" s="22" t="str">
        <f t="shared" si="393"/>
        <v/>
      </c>
      <c r="R581" s="22" t="str">
        <f t="shared" si="394"/>
        <v/>
      </c>
      <c r="S581" s="22" t="str">
        <f t="shared" si="395"/>
        <v/>
      </c>
      <c r="T581" s="22" t="str">
        <f t="shared" si="396"/>
        <v/>
      </c>
      <c r="V581" s="21" t="str">
        <f t="shared" si="397"/>
        <v>Apprenant 569</v>
      </c>
      <c r="W581" s="22" t="str">
        <f>IF(AND(OR('Choix pédagogiques'!$C$3=1,'Choix pédagogiques'!$C$3=2),$BM581=1),B581,IF(AND('Choix pédagogiques'!$C$3=3,$BO581=1),B581,""))</f>
        <v/>
      </c>
      <c r="X581" s="22" t="str">
        <f>IF(AND(OR('Choix pédagogiques'!$C$3=1,'Choix pédagogiques'!$C$3=2),$BM581=1),C581,IF(AND('Choix pédagogiques'!$C$3=3,$BO581=1),C581,""))</f>
        <v/>
      </c>
      <c r="Y581" s="22" t="str">
        <f>IF(AND(OR('Choix pédagogiques'!$C$3=1,'Choix pédagogiques'!$C$3=2),$BM581=1),D581,IF(AND('Choix pédagogiques'!$C$3=3,$BO581=1),D581,""))</f>
        <v/>
      </c>
      <c r="Z581" s="22" t="str">
        <f t="shared" si="398"/>
        <v/>
      </c>
      <c r="AA581" s="21" t="str">
        <f t="shared" si="399"/>
        <v>Apprenant 569 ou 569'</v>
      </c>
      <c r="AB581" s="22" t="str">
        <f>IF(AND(OR('Choix pédagogiques'!$C$3=1,'Choix pédagogiques'!$C$3=2),$BN581=1),G581,IF(AND('Choix pédagogiques'!$C$3=3,$BO581=1),G581,""))</f>
        <v/>
      </c>
      <c r="AC581" s="22" t="str">
        <f>IF(AND(OR('Choix pédagogiques'!$C$3=1,'Choix pédagogiques'!$C$3=2),$BN581=1),H581,IF(AND('Choix pédagogiques'!$C$3=3,$BO581=1),H581,""))</f>
        <v/>
      </c>
      <c r="AD581" s="22" t="str">
        <f>IF(AND(OR('Choix pédagogiques'!$C$3=1,'Choix pédagogiques'!$C$3=2),$BN581=1),I581,IF(AND('Choix pédagogiques'!$C$3=3,$BO581=1),I581,""))</f>
        <v/>
      </c>
      <c r="AE581" s="22" t="str">
        <f t="shared" si="400"/>
        <v/>
      </c>
      <c r="AF581" s="21" t="str">
        <f t="shared" si="401"/>
        <v>Apprenant 569</v>
      </c>
      <c r="AG581" s="22" t="str">
        <f t="shared" si="375"/>
        <v/>
      </c>
      <c r="AH581" s="22" t="str">
        <f t="shared" si="376"/>
        <v/>
      </c>
      <c r="AI581" s="22" t="str">
        <f t="shared" si="377"/>
        <v/>
      </c>
      <c r="AJ581" s="22" t="str">
        <f t="shared" si="402"/>
        <v/>
      </c>
      <c r="AK581" s="21" t="str">
        <f t="shared" si="403"/>
        <v>Apprenant 569 ou 569'</v>
      </c>
      <c r="AL581" s="22" t="str">
        <f t="shared" si="378"/>
        <v/>
      </c>
      <c r="AM581" s="22" t="str">
        <f t="shared" si="379"/>
        <v/>
      </c>
      <c r="AN581" s="22" t="str">
        <f t="shared" si="380"/>
        <v/>
      </c>
      <c r="AO581" s="22" t="str">
        <f t="shared" si="404"/>
        <v/>
      </c>
      <c r="AQ581" s="21" t="str">
        <f t="shared" si="405"/>
        <v>Apprenant 569</v>
      </c>
      <c r="AR581" s="49" t="str">
        <f>IF(AND('Choix pédagogiques'!$C$4&lt;&gt;"?",'Choix pédagogiques'!$C$5&lt;&gt;"?",W581&lt;&gt;""),(W581-'Choix pédagogiques'!$C$4)/('Choix pédagogiques'!$C$5-'Choix pédagogiques'!$C$4),"")</f>
        <v/>
      </c>
      <c r="AS581" s="49" t="str">
        <f>IF(AND('Choix pédagogiques'!$C$4&lt;&gt;"?",'Choix pédagogiques'!$C$5&lt;&gt;"?",X581&lt;&gt;""),(X581-'Choix pédagogiques'!$C$4)/('Choix pédagogiques'!$C$5-'Choix pédagogiques'!$C$4),"")</f>
        <v/>
      </c>
      <c r="AT581" s="49" t="str">
        <f>IF(AND('Choix pédagogiques'!$C$4&lt;&gt;"?",'Choix pédagogiques'!$C$5&lt;&gt;"?",Y581&lt;&gt;""),(Y581-'Choix pédagogiques'!$C$4)/('Choix pédagogiques'!$C$5-'Choix pédagogiques'!$C$4),"")</f>
        <v/>
      </c>
      <c r="AU581" s="22" t="str">
        <f t="shared" si="406"/>
        <v/>
      </c>
      <c r="AV581" s="21" t="str">
        <f t="shared" si="407"/>
        <v>Apprenant 569 ou 569'</v>
      </c>
      <c r="AW581" s="49" t="str">
        <f>IF(AND('Choix pédagogiques'!$C$4&lt;&gt;"?",'Choix pédagogiques'!$C$5&lt;&gt;"?",AB581&lt;&gt;""),(AB581-'Choix pédagogiques'!$C$4)/('Choix pédagogiques'!$C$5-'Choix pédagogiques'!$C$4),"")</f>
        <v/>
      </c>
      <c r="AX581" s="49" t="str">
        <f>IF(AND('Choix pédagogiques'!$C$4&lt;&gt;"?",'Choix pédagogiques'!$C$5&lt;&gt;"?",AC581&lt;&gt;""),(AC581-'Choix pédagogiques'!$C$4)/('Choix pédagogiques'!$C$5-'Choix pédagogiques'!$C$4),"")</f>
        <v/>
      </c>
      <c r="AY581" s="49" t="str">
        <f>IF(AND('Choix pédagogiques'!$C$4&lt;&gt;"?",'Choix pédagogiques'!$C$5&lt;&gt;"?",AD581&lt;&gt;""),(AD581-'Choix pédagogiques'!$C$4)/('Choix pédagogiques'!$C$5-'Choix pédagogiques'!$C$4),"")</f>
        <v/>
      </c>
      <c r="AZ581" s="22" t="str">
        <f t="shared" si="408"/>
        <v/>
      </c>
      <c r="BA581" s="21" t="str">
        <f t="shared" si="409"/>
        <v>Apprenant 569</v>
      </c>
      <c r="BB581" s="49" t="str">
        <f t="shared" si="381"/>
        <v/>
      </c>
      <c r="BC581" s="49" t="str">
        <f t="shared" si="382"/>
        <v/>
      </c>
      <c r="BD581" s="49" t="str">
        <f t="shared" si="383"/>
        <v/>
      </c>
      <c r="BE581" s="22" t="str">
        <f t="shared" si="410"/>
        <v/>
      </c>
      <c r="BF581" s="21" t="str">
        <f t="shared" si="411"/>
        <v>Apprenant 569 ou 569'</v>
      </c>
      <c r="BG581" s="49" t="str">
        <f t="shared" si="384"/>
        <v/>
      </c>
      <c r="BH581" s="49" t="str">
        <f t="shared" si="385"/>
        <v/>
      </c>
      <c r="BI581" s="49" t="str">
        <f t="shared" si="386"/>
        <v/>
      </c>
      <c r="BJ581" s="22" t="str">
        <f t="shared" si="412"/>
        <v/>
      </c>
      <c r="BL581" s="21"/>
      <c r="BM581" s="21" t="str">
        <f>IF(OR(COUNT(B581:D1580)=0,AND('Choix pédagogiques'!$C$3&lt;&gt;1,'Choix pédagogiques'!$C$3&lt;&gt;2)),"",IF(AND(OR('Choix pédagogiques'!$C$3=1,'Choix pédagogiques'!$C$3=2),$B581&lt;&gt;"",$C581&lt;&gt;"",$D581&lt;&gt;""),1,0))</f>
        <v/>
      </c>
      <c r="BN581" s="21" t="str">
        <f>IF(OR(COUNT(G581:I1580)=0,AND('Choix pédagogiques'!$C$3&lt;&gt;1,'Choix pédagogiques'!$C$3&lt;&gt;2)),"",IF(AND(OR('Choix pédagogiques'!$C$3=1,'Choix pédagogiques'!$C$3=2),AND($G581&lt;&gt;"",$H581&lt;&gt;"",$I581&lt;&gt;"")),1,0))</f>
        <v/>
      </c>
      <c r="BO581" s="21" t="str">
        <f>IF(OR(COUNT(B581:D1580)=0,COUNT(G581:I1580)=0,'Choix pédagogiques'!C$3&lt;&gt;3),"",IF(AND('Choix pédagogiques'!$C$3=3,$B581&lt;&gt;"",$C581&lt;&gt;"",$D581&lt;&gt;"",$G581&lt;&gt;"",$H581&lt;&gt;"",$I581&lt;&gt;""),1,0))</f>
        <v/>
      </c>
      <c r="BR581" s="21">
        <v>756</v>
      </c>
      <c r="BS581" s="21">
        <v>1933</v>
      </c>
      <c r="BT581"/>
    </row>
    <row r="582" spans="1:72" s="23" customFormat="1" ht="18" customHeight="1" x14ac:dyDescent="0.3">
      <c r="A582" s="35" t="s">
        <v>572</v>
      </c>
      <c r="B582" s="37"/>
      <c r="C582" s="37"/>
      <c r="D582" s="37"/>
      <c r="E582" s="37"/>
      <c r="F582" s="35" t="s">
        <v>1580</v>
      </c>
      <c r="G582" s="37"/>
      <c r="H582" s="37"/>
      <c r="I582" s="37"/>
      <c r="J582" s="37"/>
      <c r="K582" s="21" t="str">
        <f t="shared" si="387"/>
        <v>Apprenant 570</v>
      </c>
      <c r="L582" s="22" t="str">
        <f t="shared" si="388"/>
        <v/>
      </c>
      <c r="M582" s="22" t="str">
        <f t="shared" si="389"/>
        <v/>
      </c>
      <c r="N582" s="22" t="str">
        <f t="shared" si="390"/>
        <v/>
      </c>
      <c r="O582" s="22" t="str">
        <f t="shared" si="391"/>
        <v/>
      </c>
      <c r="P582" s="21" t="str">
        <f t="shared" si="392"/>
        <v>Apprenant 570 ou 570'</v>
      </c>
      <c r="Q582" s="22" t="str">
        <f t="shared" si="393"/>
        <v/>
      </c>
      <c r="R582" s="22" t="str">
        <f t="shared" si="394"/>
        <v/>
      </c>
      <c r="S582" s="22" t="str">
        <f t="shared" si="395"/>
        <v/>
      </c>
      <c r="T582" s="22" t="str">
        <f t="shared" si="396"/>
        <v/>
      </c>
      <c r="V582" s="21" t="str">
        <f t="shared" si="397"/>
        <v>Apprenant 570</v>
      </c>
      <c r="W582" s="22" t="str">
        <f>IF(AND(OR('Choix pédagogiques'!$C$3=1,'Choix pédagogiques'!$C$3=2),$BM582=1),B582,IF(AND('Choix pédagogiques'!$C$3=3,$BO582=1),B582,""))</f>
        <v/>
      </c>
      <c r="X582" s="22" t="str">
        <f>IF(AND(OR('Choix pédagogiques'!$C$3=1,'Choix pédagogiques'!$C$3=2),$BM582=1),C582,IF(AND('Choix pédagogiques'!$C$3=3,$BO582=1),C582,""))</f>
        <v/>
      </c>
      <c r="Y582" s="22" t="str">
        <f>IF(AND(OR('Choix pédagogiques'!$C$3=1,'Choix pédagogiques'!$C$3=2),$BM582=1),D582,IF(AND('Choix pédagogiques'!$C$3=3,$BO582=1),D582,""))</f>
        <v/>
      </c>
      <c r="Z582" s="22" t="str">
        <f t="shared" si="398"/>
        <v/>
      </c>
      <c r="AA582" s="21" t="str">
        <f t="shared" si="399"/>
        <v>Apprenant 570 ou 570'</v>
      </c>
      <c r="AB582" s="22" t="str">
        <f>IF(AND(OR('Choix pédagogiques'!$C$3=1,'Choix pédagogiques'!$C$3=2),$BN582=1),G582,IF(AND('Choix pédagogiques'!$C$3=3,$BO582=1),G582,""))</f>
        <v/>
      </c>
      <c r="AC582" s="22" t="str">
        <f>IF(AND(OR('Choix pédagogiques'!$C$3=1,'Choix pédagogiques'!$C$3=2),$BN582=1),H582,IF(AND('Choix pédagogiques'!$C$3=3,$BO582=1),H582,""))</f>
        <v/>
      </c>
      <c r="AD582" s="22" t="str">
        <f>IF(AND(OR('Choix pédagogiques'!$C$3=1,'Choix pédagogiques'!$C$3=2),$BN582=1),I582,IF(AND('Choix pédagogiques'!$C$3=3,$BO582=1),I582,""))</f>
        <v/>
      </c>
      <c r="AE582" s="22" t="str">
        <f t="shared" si="400"/>
        <v/>
      </c>
      <c r="AF582" s="21" t="str">
        <f t="shared" si="401"/>
        <v>Apprenant 570</v>
      </c>
      <c r="AG582" s="22" t="str">
        <f t="shared" si="375"/>
        <v/>
      </c>
      <c r="AH582" s="22" t="str">
        <f t="shared" si="376"/>
        <v/>
      </c>
      <c r="AI582" s="22" t="str">
        <f t="shared" si="377"/>
        <v/>
      </c>
      <c r="AJ582" s="22" t="str">
        <f t="shared" si="402"/>
        <v/>
      </c>
      <c r="AK582" s="21" t="str">
        <f t="shared" si="403"/>
        <v>Apprenant 570 ou 570'</v>
      </c>
      <c r="AL582" s="22" t="str">
        <f t="shared" si="378"/>
        <v/>
      </c>
      <c r="AM582" s="22" t="str">
        <f t="shared" si="379"/>
        <v/>
      </c>
      <c r="AN582" s="22" t="str">
        <f t="shared" si="380"/>
        <v/>
      </c>
      <c r="AO582" s="22" t="str">
        <f t="shared" si="404"/>
        <v/>
      </c>
      <c r="AQ582" s="21" t="str">
        <f t="shared" si="405"/>
        <v>Apprenant 570</v>
      </c>
      <c r="AR582" s="49" t="str">
        <f>IF(AND('Choix pédagogiques'!$C$4&lt;&gt;"?",'Choix pédagogiques'!$C$5&lt;&gt;"?",W582&lt;&gt;""),(W582-'Choix pédagogiques'!$C$4)/('Choix pédagogiques'!$C$5-'Choix pédagogiques'!$C$4),"")</f>
        <v/>
      </c>
      <c r="AS582" s="49" t="str">
        <f>IF(AND('Choix pédagogiques'!$C$4&lt;&gt;"?",'Choix pédagogiques'!$C$5&lt;&gt;"?",X582&lt;&gt;""),(X582-'Choix pédagogiques'!$C$4)/('Choix pédagogiques'!$C$5-'Choix pédagogiques'!$C$4),"")</f>
        <v/>
      </c>
      <c r="AT582" s="49" t="str">
        <f>IF(AND('Choix pédagogiques'!$C$4&lt;&gt;"?",'Choix pédagogiques'!$C$5&lt;&gt;"?",Y582&lt;&gt;""),(Y582-'Choix pédagogiques'!$C$4)/('Choix pédagogiques'!$C$5-'Choix pédagogiques'!$C$4),"")</f>
        <v/>
      </c>
      <c r="AU582" s="22" t="str">
        <f t="shared" si="406"/>
        <v/>
      </c>
      <c r="AV582" s="21" t="str">
        <f t="shared" si="407"/>
        <v>Apprenant 570 ou 570'</v>
      </c>
      <c r="AW582" s="49" t="str">
        <f>IF(AND('Choix pédagogiques'!$C$4&lt;&gt;"?",'Choix pédagogiques'!$C$5&lt;&gt;"?",AB582&lt;&gt;""),(AB582-'Choix pédagogiques'!$C$4)/('Choix pédagogiques'!$C$5-'Choix pédagogiques'!$C$4),"")</f>
        <v/>
      </c>
      <c r="AX582" s="49" t="str">
        <f>IF(AND('Choix pédagogiques'!$C$4&lt;&gt;"?",'Choix pédagogiques'!$C$5&lt;&gt;"?",AC582&lt;&gt;""),(AC582-'Choix pédagogiques'!$C$4)/('Choix pédagogiques'!$C$5-'Choix pédagogiques'!$C$4),"")</f>
        <v/>
      </c>
      <c r="AY582" s="49" t="str">
        <f>IF(AND('Choix pédagogiques'!$C$4&lt;&gt;"?",'Choix pédagogiques'!$C$5&lt;&gt;"?",AD582&lt;&gt;""),(AD582-'Choix pédagogiques'!$C$4)/('Choix pédagogiques'!$C$5-'Choix pédagogiques'!$C$4),"")</f>
        <v/>
      </c>
      <c r="AZ582" s="22" t="str">
        <f t="shared" si="408"/>
        <v/>
      </c>
      <c r="BA582" s="21" t="str">
        <f t="shared" si="409"/>
        <v>Apprenant 570</v>
      </c>
      <c r="BB582" s="49" t="str">
        <f t="shared" si="381"/>
        <v/>
      </c>
      <c r="BC582" s="49" t="str">
        <f t="shared" si="382"/>
        <v/>
      </c>
      <c r="BD582" s="49" t="str">
        <f t="shared" si="383"/>
        <v/>
      </c>
      <c r="BE582" s="22" t="str">
        <f t="shared" si="410"/>
        <v/>
      </c>
      <c r="BF582" s="21" t="str">
        <f t="shared" si="411"/>
        <v>Apprenant 570 ou 570'</v>
      </c>
      <c r="BG582" s="49" t="str">
        <f t="shared" si="384"/>
        <v/>
      </c>
      <c r="BH582" s="49" t="str">
        <f t="shared" si="385"/>
        <v/>
      </c>
      <c r="BI582" s="49" t="str">
        <f t="shared" si="386"/>
        <v/>
      </c>
      <c r="BJ582" s="22" t="str">
        <f t="shared" si="412"/>
        <v/>
      </c>
      <c r="BL582" s="21"/>
      <c r="BM582" s="21" t="str">
        <f>IF(OR(COUNT(B582:D1581)=0,AND('Choix pédagogiques'!$C$3&lt;&gt;1,'Choix pédagogiques'!$C$3&lt;&gt;2)),"",IF(AND(OR('Choix pédagogiques'!$C$3=1,'Choix pédagogiques'!$C$3=2),$B582&lt;&gt;"",$C582&lt;&gt;"",$D582&lt;&gt;""),1,0))</f>
        <v/>
      </c>
      <c r="BN582" s="21" t="str">
        <f>IF(OR(COUNT(G582:I1581)=0,AND('Choix pédagogiques'!$C$3&lt;&gt;1,'Choix pédagogiques'!$C$3&lt;&gt;2)),"",IF(AND(OR('Choix pédagogiques'!$C$3=1,'Choix pédagogiques'!$C$3=2),AND($G582&lt;&gt;"",$H582&lt;&gt;"",$I582&lt;&gt;"")),1,0))</f>
        <v/>
      </c>
      <c r="BO582" s="21" t="str">
        <f>IF(OR(COUNT(B582:D1581)=0,COUNT(G582:I1581)=0,'Choix pédagogiques'!C$3&lt;&gt;3),"",IF(AND('Choix pédagogiques'!$C$3=3,$B582&lt;&gt;"",$C582&lt;&gt;"",$D582&lt;&gt;"",$G582&lt;&gt;"",$H582&lt;&gt;"",$I582&lt;&gt;""),1,0))</f>
        <v/>
      </c>
      <c r="BR582" s="21">
        <v>732</v>
      </c>
      <c r="BS582" s="21">
        <v>1070</v>
      </c>
      <c r="BT582"/>
    </row>
    <row r="583" spans="1:72" s="23" customFormat="1" ht="18" customHeight="1" x14ac:dyDescent="0.3">
      <c r="A583" s="35" t="s">
        <v>573</v>
      </c>
      <c r="B583" s="37"/>
      <c r="C583" s="37"/>
      <c r="D583" s="37"/>
      <c r="E583" s="37"/>
      <c r="F583" s="35" t="s">
        <v>1581</v>
      </c>
      <c r="G583" s="37"/>
      <c r="H583" s="37"/>
      <c r="I583" s="37"/>
      <c r="J583" s="37"/>
      <c r="K583" s="21" t="str">
        <f t="shared" si="387"/>
        <v>Apprenant 571</v>
      </c>
      <c r="L583" s="22" t="str">
        <f t="shared" si="388"/>
        <v/>
      </c>
      <c r="M583" s="22" t="str">
        <f t="shared" si="389"/>
        <v/>
      </c>
      <c r="N583" s="22" t="str">
        <f t="shared" si="390"/>
        <v/>
      </c>
      <c r="O583" s="22" t="str">
        <f t="shared" si="391"/>
        <v/>
      </c>
      <c r="P583" s="21" t="str">
        <f t="shared" si="392"/>
        <v>Apprenant 571 ou 571'</v>
      </c>
      <c r="Q583" s="22" t="str">
        <f t="shared" si="393"/>
        <v/>
      </c>
      <c r="R583" s="22" t="str">
        <f t="shared" si="394"/>
        <v/>
      </c>
      <c r="S583" s="22" t="str">
        <f t="shared" si="395"/>
        <v/>
      </c>
      <c r="T583" s="22" t="str">
        <f t="shared" si="396"/>
        <v/>
      </c>
      <c r="V583" s="21" t="str">
        <f t="shared" si="397"/>
        <v>Apprenant 571</v>
      </c>
      <c r="W583" s="22" t="str">
        <f>IF(AND(OR('Choix pédagogiques'!$C$3=1,'Choix pédagogiques'!$C$3=2),$BM583=1),B583,IF(AND('Choix pédagogiques'!$C$3=3,$BO583=1),B583,""))</f>
        <v/>
      </c>
      <c r="X583" s="22" t="str">
        <f>IF(AND(OR('Choix pédagogiques'!$C$3=1,'Choix pédagogiques'!$C$3=2),$BM583=1),C583,IF(AND('Choix pédagogiques'!$C$3=3,$BO583=1),C583,""))</f>
        <v/>
      </c>
      <c r="Y583" s="22" t="str">
        <f>IF(AND(OR('Choix pédagogiques'!$C$3=1,'Choix pédagogiques'!$C$3=2),$BM583=1),D583,IF(AND('Choix pédagogiques'!$C$3=3,$BO583=1),D583,""))</f>
        <v/>
      </c>
      <c r="Z583" s="22" t="str">
        <f t="shared" si="398"/>
        <v/>
      </c>
      <c r="AA583" s="21" t="str">
        <f t="shared" si="399"/>
        <v>Apprenant 571 ou 571'</v>
      </c>
      <c r="AB583" s="22" t="str">
        <f>IF(AND(OR('Choix pédagogiques'!$C$3=1,'Choix pédagogiques'!$C$3=2),$BN583=1),G583,IF(AND('Choix pédagogiques'!$C$3=3,$BO583=1),G583,""))</f>
        <v/>
      </c>
      <c r="AC583" s="22" t="str">
        <f>IF(AND(OR('Choix pédagogiques'!$C$3=1,'Choix pédagogiques'!$C$3=2),$BN583=1),H583,IF(AND('Choix pédagogiques'!$C$3=3,$BO583=1),H583,""))</f>
        <v/>
      </c>
      <c r="AD583" s="22" t="str">
        <f>IF(AND(OR('Choix pédagogiques'!$C$3=1,'Choix pédagogiques'!$C$3=2),$BN583=1),I583,IF(AND('Choix pédagogiques'!$C$3=3,$BO583=1),I583,""))</f>
        <v/>
      </c>
      <c r="AE583" s="22" t="str">
        <f t="shared" si="400"/>
        <v/>
      </c>
      <c r="AF583" s="21" t="str">
        <f t="shared" si="401"/>
        <v>Apprenant 571</v>
      </c>
      <c r="AG583" s="22" t="str">
        <f t="shared" si="375"/>
        <v/>
      </c>
      <c r="AH583" s="22" t="str">
        <f t="shared" si="376"/>
        <v/>
      </c>
      <c r="AI583" s="22" t="str">
        <f t="shared" si="377"/>
        <v/>
      </c>
      <c r="AJ583" s="22" t="str">
        <f t="shared" si="402"/>
        <v/>
      </c>
      <c r="AK583" s="21" t="str">
        <f t="shared" si="403"/>
        <v>Apprenant 571 ou 571'</v>
      </c>
      <c r="AL583" s="22" t="str">
        <f t="shared" si="378"/>
        <v/>
      </c>
      <c r="AM583" s="22" t="str">
        <f t="shared" si="379"/>
        <v/>
      </c>
      <c r="AN583" s="22" t="str">
        <f t="shared" si="380"/>
        <v/>
      </c>
      <c r="AO583" s="22" t="str">
        <f t="shared" si="404"/>
        <v/>
      </c>
      <c r="AQ583" s="21" t="str">
        <f t="shared" si="405"/>
        <v>Apprenant 571</v>
      </c>
      <c r="AR583" s="49" t="str">
        <f>IF(AND('Choix pédagogiques'!$C$4&lt;&gt;"?",'Choix pédagogiques'!$C$5&lt;&gt;"?",W583&lt;&gt;""),(W583-'Choix pédagogiques'!$C$4)/('Choix pédagogiques'!$C$5-'Choix pédagogiques'!$C$4),"")</f>
        <v/>
      </c>
      <c r="AS583" s="49" t="str">
        <f>IF(AND('Choix pédagogiques'!$C$4&lt;&gt;"?",'Choix pédagogiques'!$C$5&lt;&gt;"?",X583&lt;&gt;""),(X583-'Choix pédagogiques'!$C$4)/('Choix pédagogiques'!$C$5-'Choix pédagogiques'!$C$4),"")</f>
        <v/>
      </c>
      <c r="AT583" s="49" t="str">
        <f>IF(AND('Choix pédagogiques'!$C$4&lt;&gt;"?",'Choix pédagogiques'!$C$5&lt;&gt;"?",Y583&lt;&gt;""),(Y583-'Choix pédagogiques'!$C$4)/('Choix pédagogiques'!$C$5-'Choix pédagogiques'!$C$4),"")</f>
        <v/>
      </c>
      <c r="AU583" s="22" t="str">
        <f t="shared" si="406"/>
        <v/>
      </c>
      <c r="AV583" s="21" t="str">
        <f t="shared" si="407"/>
        <v>Apprenant 571 ou 571'</v>
      </c>
      <c r="AW583" s="49" t="str">
        <f>IF(AND('Choix pédagogiques'!$C$4&lt;&gt;"?",'Choix pédagogiques'!$C$5&lt;&gt;"?",AB583&lt;&gt;""),(AB583-'Choix pédagogiques'!$C$4)/('Choix pédagogiques'!$C$5-'Choix pédagogiques'!$C$4),"")</f>
        <v/>
      </c>
      <c r="AX583" s="49" t="str">
        <f>IF(AND('Choix pédagogiques'!$C$4&lt;&gt;"?",'Choix pédagogiques'!$C$5&lt;&gt;"?",AC583&lt;&gt;""),(AC583-'Choix pédagogiques'!$C$4)/('Choix pédagogiques'!$C$5-'Choix pédagogiques'!$C$4),"")</f>
        <v/>
      </c>
      <c r="AY583" s="49" t="str">
        <f>IF(AND('Choix pédagogiques'!$C$4&lt;&gt;"?",'Choix pédagogiques'!$C$5&lt;&gt;"?",AD583&lt;&gt;""),(AD583-'Choix pédagogiques'!$C$4)/('Choix pédagogiques'!$C$5-'Choix pédagogiques'!$C$4),"")</f>
        <v/>
      </c>
      <c r="AZ583" s="22" t="str">
        <f t="shared" si="408"/>
        <v/>
      </c>
      <c r="BA583" s="21" t="str">
        <f t="shared" si="409"/>
        <v>Apprenant 571</v>
      </c>
      <c r="BB583" s="49" t="str">
        <f t="shared" si="381"/>
        <v/>
      </c>
      <c r="BC583" s="49" t="str">
        <f t="shared" si="382"/>
        <v/>
      </c>
      <c r="BD583" s="49" t="str">
        <f t="shared" si="383"/>
        <v/>
      </c>
      <c r="BE583" s="22" t="str">
        <f t="shared" si="410"/>
        <v/>
      </c>
      <c r="BF583" s="21" t="str">
        <f t="shared" si="411"/>
        <v>Apprenant 571 ou 571'</v>
      </c>
      <c r="BG583" s="49" t="str">
        <f t="shared" si="384"/>
        <v/>
      </c>
      <c r="BH583" s="49" t="str">
        <f t="shared" si="385"/>
        <v/>
      </c>
      <c r="BI583" s="49" t="str">
        <f t="shared" si="386"/>
        <v/>
      </c>
      <c r="BJ583" s="22" t="str">
        <f t="shared" si="412"/>
        <v/>
      </c>
      <c r="BL583" s="21"/>
      <c r="BM583" s="21" t="str">
        <f>IF(OR(COUNT(B583:D1582)=0,AND('Choix pédagogiques'!$C$3&lt;&gt;1,'Choix pédagogiques'!$C$3&lt;&gt;2)),"",IF(AND(OR('Choix pédagogiques'!$C$3=1,'Choix pédagogiques'!$C$3=2),$B583&lt;&gt;"",$C583&lt;&gt;"",$D583&lt;&gt;""),1,0))</f>
        <v/>
      </c>
      <c r="BN583" s="21" t="str">
        <f>IF(OR(COUNT(G583:I1582)=0,AND('Choix pédagogiques'!$C$3&lt;&gt;1,'Choix pédagogiques'!$C$3&lt;&gt;2)),"",IF(AND(OR('Choix pédagogiques'!$C$3=1,'Choix pédagogiques'!$C$3=2),AND($G583&lt;&gt;"",$H583&lt;&gt;"",$I583&lt;&gt;"")),1,0))</f>
        <v/>
      </c>
      <c r="BO583" s="21" t="str">
        <f>IF(OR(COUNT(B583:D1582)=0,COUNT(G583:I1582)=0,'Choix pédagogiques'!C$3&lt;&gt;3),"",IF(AND('Choix pédagogiques'!$C$3=3,$B583&lt;&gt;"",$C583&lt;&gt;"",$D583&lt;&gt;"",$G583&lt;&gt;"",$H583&lt;&gt;"",$I583&lt;&gt;""),1,0))</f>
        <v/>
      </c>
      <c r="BR583" s="21">
        <v>536</v>
      </c>
      <c r="BS583" s="21">
        <v>1091</v>
      </c>
      <c r="BT583"/>
    </row>
    <row r="584" spans="1:72" s="23" customFormat="1" ht="18" customHeight="1" x14ac:dyDescent="0.3">
      <c r="A584" s="35" t="s">
        <v>574</v>
      </c>
      <c r="B584" s="37"/>
      <c r="C584" s="37"/>
      <c r="D584" s="37"/>
      <c r="E584" s="37"/>
      <c r="F584" s="35" t="s">
        <v>1582</v>
      </c>
      <c r="G584" s="37"/>
      <c r="H584" s="37"/>
      <c r="I584" s="37"/>
      <c r="J584" s="37"/>
      <c r="K584" s="21" t="str">
        <f t="shared" si="387"/>
        <v>Apprenant 572</v>
      </c>
      <c r="L584" s="22" t="str">
        <f t="shared" si="388"/>
        <v/>
      </c>
      <c r="M584" s="22" t="str">
        <f t="shared" si="389"/>
        <v/>
      </c>
      <c r="N584" s="22" t="str">
        <f t="shared" si="390"/>
        <v/>
      </c>
      <c r="O584" s="22" t="str">
        <f t="shared" si="391"/>
        <v/>
      </c>
      <c r="P584" s="21" t="str">
        <f t="shared" si="392"/>
        <v>Apprenant 572 ou 572'</v>
      </c>
      <c r="Q584" s="22" t="str">
        <f t="shared" si="393"/>
        <v/>
      </c>
      <c r="R584" s="22" t="str">
        <f t="shared" si="394"/>
        <v/>
      </c>
      <c r="S584" s="22" t="str">
        <f t="shared" si="395"/>
        <v/>
      </c>
      <c r="T584" s="22" t="str">
        <f t="shared" si="396"/>
        <v/>
      </c>
      <c r="V584" s="21" t="str">
        <f t="shared" si="397"/>
        <v>Apprenant 572</v>
      </c>
      <c r="W584" s="22" t="str">
        <f>IF(AND(OR('Choix pédagogiques'!$C$3=1,'Choix pédagogiques'!$C$3=2),$BM584=1),B584,IF(AND('Choix pédagogiques'!$C$3=3,$BO584=1),B584,""))</f>
        <v/>
      </c>
      <c r="X584" s="22" t="str">
        <f>IF(AND(OR('Choix pédagogiques'!$C$3=1,'Choix pédagogiques'!$C$3=2),$BM584=1),C584,IF(AND('Choix pédagogiques'!$C$3=3,$BO584=1),C584,""))</f>
        <v/>
      </c>
      <c r="Y584" s="22" t="str">
        <f>IF(AND(OR('Choix pédagogiques'!$C$3=1,'Choix pédagogiques'!$C$3=2),$BM584=1),D584,IF(AND('Choix pédagogiques'!$C$3=3,$BO584=1),D584,""))</f>
        <v/>
      </c>
      <c r="Z584" s="22" t="str">
        <f t="shared" si="398"/>
        <v/>
      </c>
      <c r="AA584" s="21" t="str">
        <f t="shared" si="399"/>
        <v>Apprenant 572 ou 572'</v>
      </c>
      <c r="AB584" s="22" t="str">
        <f>IF(AND(OR('Choix pédagogiques'!$C$3=1,'Choix pédagogiques'!$C$3=2),$BN584=1),G584,IF(AND('Choix pédagogiques'!$C$3=3,$BO584=1),G584,""))</f>
        <v/>
      </c>
      <c r="AC584" s="22" t="str">
        <f>IF(AND(OR('Choix pédagogiques'!$C$3=1,'Choix pédagogiques'!$C$3=2),$BN584=1),H584,IF(AND('Choix pédagogiques'!$C$3=3,$BO584=1),H584,""))</f>
        <v/>
      </c>
      <c r="AD584" s="22" t="str">
        <f>IF(AND(OR('Choix pédagogiques'!$C$3=1,'Choix pédagogiques'!$C$3=2),$BN584=1),I584,IF(AND('Choix pédagogiques'!$C$3=3,$BO584=1),I584,""))</f>
        <v/>
      </c>
      <c r="AE584" s="22" t="str">
        <f t="shared" si="400"/>
        <v/>
      </c>
      <c r="AF584" s="21" t="str">
        <f t="shared" si="401"/>
        <v>Apprenant 572</v>
      </c>
      <c r="AG584" s="22" t="str">
        <f t="shared" si="375"/>
        <v/>
      </c>
      <c r="AH584" s="22" t="str">
        <f t="shared" si="376"/>
        <v/>
      </c>
      <c r="AI584" s="22" t="str">
        <f t="shared" si="377"/>
        <v/>
      </c>
      <c r="AJ584" s="22" t="str">
        <f t="shared" si="402"/>
        <v/>
      </c>
      <c r="AK584" s="21" t="str">
        <f t="shared" si="403"/>
        <v>Apprenant 572 ou 572'</v>
      </c>
      <c r="AL584" s="22" t="str">
        <f t="shared" si="378"/>
        <v/>
      </c>
      <c r="AM584" s="22" t="str">
        <f t="shared" si="379"/>
        <v/>
      </c>
      <c r="AN584" s="22" t="str">
        <f t="shared" si="380"/>
        <v/>
      </c>
      <c r="AO584" s="22" t="str">
        <f t="shared" si="404"/>
        <v/>
      </c>
      <c r="AQ584" s="21" t="str">
        <f t="shared" si="405"/>
        <v>Apprenant 572</v>
      </c>
      <c r="AR584" s="49" t="str">
        <f>IF(AND('Choix pédagogiques'!$C$4&lt;&gt;"?",'Choix pédagogiques'!$C$5&lt;&gt;"?",W584&lt;&gt;""),(W584-'Choix pédagogiques'!$C$4)/('Choix pédagogiques'!$C$5-'Choix pédagogiques'!$C$4),"")</f>
        <v/>
      </c>
      <c r="AS584" s="49" t="str">
        <f>IF(AND('Choix pédagogiques'!$C$4&lt;&gt;"?",'Choix pédagogiques'!$C$5&lt;&gt;"?",X584&lt;&gt;""),(X584-'Choix pédagogiques'!$C$4)/('Choix pédagogiques'!$C$5-'Choix pédagogiques'!$C$4),"")</f>
        <v/>
      </c>
      <c r="AT584" s="49" t="str">
        <f>IF(AND('Choix pédagogiques'!$C$4&lt;&gt;"?",'Choix pédagogiques'!$C$5&lt;&gt;"?",Y584&lt;&gt;""),(Y584-'Choix pédagogiques'!$C$4)/('Choix pédagogiques'!$C$5-'Choix pédagogiques'!$C$4),"")</f>
        <v/>
      </c>
      <c r="AU584" s="22" t="str">
        <f t="shared" si="406"/>
        <v/>
      </c>
      <c r="AV584" s="21" t="str">
        <f t="shared" si="407"/>
        <v>Apprenant 572 ou 572'</v>
      </c>
      <c r="AW584" s="49" t="str">
        <f>IF(AND('Choix pédagogiques'!$C$4&lt;&gt;"?",'Choix pédagogiques'!$C$5&lt;&gt;"?",AB584&lt;&gt;""),(AB584-'Choix pédagogiques'!$C$4)/('Choix pédagogiques'!$C$5-'Choix pédagogiques'!$C$4),"")</f>
        <v/>
      </c>
      <c r="AX584" s="49" t="str">
        <f>IF(AND('Choix pédagogiques'!$C$4&lt;&gt;"?",'Choix pédagogiques'!$C$5&lt;&gt;"?",AC584&lt;&gt;""),(AC584-'Choix pédagogiques'!$C$4)/('Choix pédagogiques'!$C$5-'Choix pédagogiques'!$C$4),"")</f>
        <v/>
      </c>
      <c r="AY584" s="49" t="str">
        <f>IF(AND('Choix pédagogiques'!$C$4&lt;&gt;"?",'Choix pédagogiques'!$C$5&lt;&gt;"?",AD584&lt;&gt;""),(AD584-'Choix pédagogiques'!$C$4)/('Choix pédagogiques'!$C$5-'Choix pédagogiques'!$C$4),"")</f>
        <v/>
      </c>
      <c r="AZ584" s="22" t="str">
        <f t="shared" si="408"/>
        <v/>
      </c>
      <c r="BA584" s="21" t="str">
        <f t="shared" si="409"/>
        <v>Apprenant 572</v>
      </c>
      <c r="BB584" s="49" t="str">
        <f t="shared" si="381"/>
        <v/>
      </c>
      <c r="BC584" s="49" t="str">
        <f t="shared" si="382"/>
        <v/>
      </c>
      <c r="BD584" s="49" t="str">
        <f t="shared" si="383"/>
        <v/>
      </c>
      <c r="BE584" s="22" t="str">
        <f t="shared" si="410"/>
        <v/>
      </c>
      <c r="BF584" s="21" t="str">
        <f t="shared" si="411"/>
        <v>Apprenant 572 ou 572'</v>
      </c>
      <c r="BG584" s="49" t="str">
        <f t="shared" si="384"/>
        <v/>
      </c>
      <c r="BH584" s="49" t="str">
        <f t="shared" si="385"/>
        <v/>
      </c>
      <c r="BI584" s="49" t="str">
        <f t="shared" si="386"/>
        <v/>
      </c>
      <c r="BJ584" s="22" t="str">
        <f t="shared" si="412"/>
        <v/>
      </c>
      <c r="BL584" s="21"/>
      <c r="BM584" s="21" t="str">
        <f>IF(OR(COUNT(B584:D1583)=0,AND('Choix pédagogiques'!$C$3&lt;&gt;1,'Choix pédagogiques'!$C$3&lt;&gt;2)),"",IF(AND(OR('Choix pédagogiques'!$C$3=1,'Choix pédagogiques'!$C$3=2),$B584&lt;&gt;"",$C584&lt;&gt;"",$D584&lt;&gt;""),1,0))</f>
        <v/>
      </c>
      <c r="BN584" s="21" t="str">
        <f>IF(OR(COUNT(G584:I1583)=0,AND('Choix pédagogiques'!$C$3&lt;&gt;1,'Choix pédagogiques'!$C$3&lt;&gt;2)),"",IF(AND(OR('Choix pédagogiques'!$C$3=1,'Choix pédagogiques'!$C$3=2),AND($G584&lt;&gt;"",$H584&lt;&gt;"",$I584&lt;&gt;"")),1,0))</f>
        <v/>
      </c>
      <c r="BO584" s="21" t="str">
        <f>IF(OR(COUNT(B584:D1583)=0,COUNT(G584:I1583)=0,'Choix pédagogiques'!C$3&lt;&gt;3),"",IF(AND('Choix pédagogiques'!$C$3=3,$B584&lt;&gt;"",$C584&lt;&gt;"",$D584&lt;&gt;"",$G584&lt;&gt;"",$H584&lt;&gt;"",$I584&lt;&gt;""),1,0))</f>
        <v/>
      </c>
      <c r="BR584" s="21">
        <v>835</v>
      </c>
      <c r="BS584" s="21">
        <v>1624</v>
      </c>
      <c r="BT584"/>
    </row>
    <row r="585" spans="1:72" s="23" customFormat="1" ht="18" customHeight="1" x14ac:dyDescent="0.3">
      <c r="A585" s="35" t="s">
        <v>575</v>
      </c>
      <c r="B585" s="37"/>
      <c r="C585" s="37"/>
      <c r="D585" s="37"/>
      <c r="E585" s="37"/>
      <c r="F585" s="35" t="s">
        <v>1583</v>
      </c>
      <c r="G585" s="37"/>
      <c r="H585" s="37"/>
      <c r="I585" s="37"/>
      <c r="J585" s="37"/>
      <c r="K585" s="21" t="str">
        <f t="shared" si="387"/>
        <v>Apprenant 573</v>
      </c>
      <c r="L585" s="22" t="str">
        <f t="shared" si="388"/>
        <v/>
      </c>
      <c r="M585" s="22" t="str">
        <f t="shared" si="389"/>
        <v/>
      </c>
      <c r="N585" s="22" t="str">
        <f t="shared" si="390"/>
        <v/>
      </c>
      <c r="O585" s="22" t="str">
        <f t="shared" si="391"/>
        <v/>
      </c>
      <c r="P585" s="21" t="str">
        <f t="shared" si="392"/>
        <v>Apprenant 573 ou 573'</v>
      </c>
      <c r="Q585" s="22" t="str">
        <f t="shared" si="393"/>
        <v/>
      </c>
      <c r="R585" s="22" t="str">
        <f t="shared" si="394"/>
        <v/>
      </c>
      <c r="S585" s="22" t="str">
        <f t="shared" si="395"/>
        <v/>
      </c>
      <c r="T585" s="22" t="str">
        <f t="shared" si="396"/>
        <v/>
      </c>
      <c r="V585" s="21" t="str">
        <f t="shared" si="397"/>
        <v>Apprenant 573</v>
      </c>
      <c r="W585" s="22" t="str">
        <f>IF(AND(OR('Choix pédagogiques'!$C$3=1,'Choix pédagogiques'!$C$3=2),$BM585=1),B585,IF(AND('Choix pédagogiques'!$C$3=3,$BO585=1),B585,""))</f>
        <v/>
      </c>
      <c r="X585" s="22" t="str">
        <f>IF(AND(OR('Choix pédagogiques'!$C$3=1,'Choix pédagogiques'!$C$3=2),$BM585=1),C585,IF(AND('Choix pédagogiques'!$C$3=3,$BO585=1),C585,""))</f>
        <v/>
      </c>
      <c r="Y585" s="22" t="str">
        <f>IF(AND(OR('Choix pédagogiques'!$C$3=1,'Choix pédagogiques'!$C$3=2),$BM585=1),D585,IF(AND('Choix pédagogiques'!$C$3=3,$BO585=1),D585,""))</f>
        <v/>
      </c>
      <c r="Z585" s="22" t="str">
        <f t="shared" si="398"/>
        <v/>
      </c>
      <c r="AA585" s="21" t="str">
        <f t="shared" si="399"/>
        <v>Apprenant 573 ou 573'</v>
      </c>
      <c r="AB585" s="22" t="str">
        <f>IF(AND(OR('Choix pédagogiques'!$C$3=1,'Choix pédagogiques'!$C$3=2),$BN585=1),G585,IF(AND('Choix pédagogiques'!$C$3=3,$BO585=1),G585,""))</f>
        <v/>
      </c>
      <c r="AC585" s="22" t="str">
        <f>IF(AND(OR('Choix pédagogiques'!$C$3=1,'Choix pédagogiques'!$C$3=2),$BN585=1),H585,IF(AND('Choix pédagogiques'!$C$3=3,$BO585=1),H585,""))</f>
        <v/>
      </c>
      <c r="AD585" s="22" t="str">
        <f>IF(AND(OR('Choix pédagogiques'!$C$3=1,'Choix pédagogiques'!$C$3=2),$BN585=1),I585,IF(AND('Choix pédagogiques'!$C$3=3,$BO585=1),I585,""))</f>
        <v/>
      </c>
      <c r="AE585" s="22" t="str">
        <f t="shared" si="400"/>
        <v/>
      </c>
      <c r="AF585" s="21" t="str">
        <f t="shared" si="401"/>
        <v>Apprenant 573</v>
      </c>
      <c r="AG585" s="22" t="str">
        <f t="shared" si="375"/>
        <v/>
      </c>
      <c r="AH585" s="22" t="str">
        <f t="shared" si="376"/>
        <v/>
      </c>
      <c r="AI585" s="22" t="str">
        <f t="shared" si="377"/>
        <v/>
      </c>
      <c r="AJ585" s="22" t="str">
        <f t="shared" si="402"/>
        <v/>
      </c>
      <c r="AK585" s="21" t="str">
        <f t="shared" si="403"/>
        <v>Apprenant 573 ou 573'</v>
      </c>
      <c r="AL585" s="22" t="str">
        <f t="shared" si="378"/>
        <v/>
      </c>
      <c r="AM585" s="22" t="str">
        <f t="shared" si="379"/>
        <v/>
      </c>
      <c r="AN585" s="22" t="str">
        <f t="shared" si="380"/>
        <v/>
      </c>
      <c r="AO585" s="22" t="str">
        <f t="shared" si="404"/>
        <v/>
      </c>
      <c r="AQ585" s="21" t="str">
        <f t="shared" si="405"/>
        <v>Apprenant 573</v>
      </c>
      <c r="AR585" s="49" t="str">
        <f>IF(AND('Choix pédagogiques'!$C$4&lt;&gt;"?",'Choix pédagogiques'!$C$5&lt;&gt;"?",W585&lt;&gt;""),(W585-'Choix pédagogiques'!$C$4)/('Choix pédagogiques'!$C$5-'Choix pédagogiques'!$C$4),"")</f>
        <v/>
      </c>
      <c r="AS585" s="49" t="str">
        <f>IF(AND('Choix pédagogiques'!$C$4&lt;&gt;"?",'Choix pédagogiques'!$C$5&lt;&gt;"?",X585&lt;&gt;""),(X585-'Choix pédagogiques'!$C$4)/('Choix pédagogiques'!$C$5-'Choix pédagogiques'!$C$4),"")</f>
        <v/>
      </c>
      <c r="AT585" s="49" t="str">
        <f>IF(AND('Choix pédagogiques'!$C$4&lt;&gt;"?",'Choix pédagogiques'!$C$5&lt;&gt;"?",Y585&lt;&gt;""),(Y585-'Choix pédagogiques'!$C$4)/('Choix pédagogiques'!$C$5-'Choix pédagogiques'!$C$4),"")</f>
        <v/>
      </c>
      <c r="AU585" s="22" t="str">
        <f t="shared" si="406"/>
        <v/>
      </c>
      <c r="AV585" s="21" t="str">
        <f t="shared" si="407"/>
        <v>Apprenant 573 ou 573'</v>
      </c>
      <c r="AW585" s="49" t="str">
        <f>IF(AND('Choix pédagogiques'!$C$4&lt;&gt;"?",'Choix pédagogiques'!$C$5&lt;&gt;"?",AB585&lt;&gt;""),(AB585-'Choix pédagogiques'!$C$4)/('Choix pédagogiques'!$C$5-'Choix pédagogiques'!$C$4),"")</f>
        <v/>
      </c>
      <c r="AX585" s="49" t="str">
        <f>IF(AND('Choix pédagogiques'!$C$4&lt;&gt;"?",'Choix pédagogiques'!$C$5&lt;&gt;"?",AC585&lt;&gt;""),(AC585-'Choix pédagogiques'!$C$4)/('Choix pédagogiques'!$C$5-'Choix pédagogiques'!$C$4),"")</f>
        <v/>
      </c>
      <c r="AY585" s="49" t="str">
        <f>IF(AND('Choix pédagogiques'!$C$4&lt;&gt;"?",'Choix pédagogiques'!$C$5&lt;&gt;"?",AD585&lt;&gt;""),(AD585-'Choix pédagogiques'!$C$4)/('Choix pédagogiques'!$C$5-'Choix pédagogiques'!$C$4),"")</f>
        <v/>
      </c>
      <c r="AZ585" s="22" t="str">
        <f t="shared" si="408"/>
        <v/>
      </c>
      <c r="BA585" s="21" t="str">
        <f t="shared" si="409"/>
        <v>Apprenant 573</v>
      </c>
      <c r="BB585" s="49" t="str">
        <f t="shared" si="381"/>
        <v/>
      </c>
      <c r="BC585" s="49" t="str">
        <f t="shared" si="382"/>
        <v/>
      </c>
      <c r="BD585" s="49" t="str">
        <f t="shared" si="383"/>
        <v/>
      </c>
      <c r="BE585" s="22" t="str">
        <f t="shared" si="410"/>
        <v/>
      </c>
      <c r="BF585" s="21" t="str">
        <f t="shared" si="411"/>
        <v>Apprenant 573 ou 573'</v>
      </c>
      <c r="BG585" s="49" t="str">
        <f t="shared" si="384"/>
        <v/>
      </c>
      <c r="BH585" s="49" t="str">
        <f t="shared" si="385"/>
        <v/>
      </c>
      <c r="BI585" s="49" t="str">
        <f t="shared" si="386"/>
        <v/>
      </c>
      <c r="BJ585" s="22" t="str">
        <f t="shared" si="412"/>
        <v/>
      </c>
      <c r="BL585" s="21"/>
      <c r="BM585" s="21" t="str">
        <f>IF(OR(COUNT(B585:D1584)=0,AND('Choix pédagogiques'!$C$3&lt;&gt;1,'Choix pédagogiques'!$C$3&lt;&gt;2)),"",IF(AND(OR('Choix pédagogiques'!$C$3=1,'Choix pédagogiques'!$C$3=2),$B585&lt;&gt;"",$C585&lt;&gt;"",$D585&lt;&gt;""),1,0))</f>
        <v/>
      </c>
      <c r="BN585" s="21" t="str">
        <f>IF(OR(COUNT(G585:I1584)=0,AND('Choix pédagogiques'!$C$3&lt;&gt;1,'Choix pédagogiques'!$C$3&lt;&gt;2)),"",IF(AND(OR('Choix pédagogiques'!$C$3=1,'Choix pédagogiques'!$C$3=2),AND($G585&lt;&gt;"",$H585&lt;&gt;"",$I585&lt;&gt;"")),1,0))</f>
        <v/>
      </c>
      <c r="BO585" s="21" t="str">
        <f>IF(OR(COUNT(B585:D1584)=0,COUNT(G585:I1584)=0,'Choix pédagogiques'!C$3&lt;&gt;3),"",IF(AND('Choix pédagogiques'!$C$3=3,$B585&lt;&gt;"",$C585&lt;&gt;"",$D585&lt;&gt;"",$G585&lt;&gt;"",$H585&lt;&gt;"",$I585&lt;&gt;""),1,0))</f>
        <v/>
      </c>
      <c r="BR585" s="21">
        <v>150</v>
      </c>
      <c r="BS585" s="21">
        <v>1155</v>
      </c>
      <c r="BT585"/>
    </row>
    <row r="586" spans="1:72" s="23" customFormat="1" ht="18" customHeight="1" x14ac:dyDescent="0.3">
      <c r="A586" s="35" t="s">
        <v>576</v>
      </c>
      <c r="B586" s="37"/>
      <c r="C586" s="37"/>
      <c r="D586" s="37"/>
      <c r="E586" s="37"/>
      <c r="F586" s="35" t="s">
        <v>1584</v>
      </c>
      <c r="G586" s="37"/>
      <c r="H586" s="37"/>
      <c r="I586" s="37"/>
      <c r="J586" s="37"/>
      <c r="K586" s="21" t="str">
        <f t="shared" si="387"/>
        <v>Apprenant 574</v>
      </c>
      <c r="L586" s="22" t="str">
        <f t="shared" si="388"/>
        <v/>
      </c>
      <c r="M586" s="22" t="str">
        <f t="shared" si="389"/>
        <v/>
      </c>
      <c r="N586" s="22" t="str">
        <f t="shared" si="390"/>
        <v/>
      </c>
      <c r="O586" s="22" t="str">
        <f t="shared" si="391"/>
        <v/>
      </c>
      <c r="P586" s="21" t="str">
        <f t="shared" si="392"/>
        <v>Apprenant 574 ou 574'</v>
      </c>
      <c r="Q586" s="22" t="str">
        <f t="shared" si="393"/>
        <v/>
      </c>
      <c r="R586" s="22" t="str">
        <f t="shared" si="394"/>
        <v/>
      </c>
      <c r="S586" s="22" t="str">
        <f t="shared" si="395"/>
        <v/>
      </c>
      <c r="T586" s="22" t="str">
        <f t="shared" si="396"/>
        <v/>
      </c>
      <c r="V586" s="21" t="str">
        <f t="shared" si="397"/>
        <v>Apprenant 574</v>
      </c>
      <c r="W586" s="22" t="str">
        <f>IF(AND(OR('Choix pédagogiques'!$C$3=1,'Choix pédagogiques'!$C$3=2),$BM586=1),B586,IF(AND('Choix pédagogiques'!$C$3=3,$BO586=1),B586,""))</f>
        <v/>
      </c>
      <c r="X586" s="22" t="str">
        <f>IF(AND(OR('Choix pédagogiques'!$C$3=1,'Choix pédagogiques'!$C$3=2),$BM586=1),C586,IF(AND('Choix pédagogiques'!$C$3=3,$BO586=1),C586,""))</f>
        <v/>
      </c>
      <c r="Y586" s="22" t="str">
        <f>IF(AND(OR('Choix pédagogiques'!$C$3=1,'Choix pédagogiques'!$C$3=2),$BM586=1),D586,IF(AND('Choix pédagogiques'!$C$3=3,$BO586=1),D586,""))</f>
        <v/>
      </c>
      <c r="Z586" s="22" t="str">
        <f t="shared" si="398"/>
        <v/>
      </c>
      <c r="AA586" s="21" t="str">
        <f t="shared" si="399"/>
        <v>Apprenant 574 ou 574'</v>
      </c>
      <c r="AB586" s="22" t="str">
        <f>IF(AND(OR('Choix pédagogiques'!$C$3=1,'Choix pédagogiques'!$C$3=2),$BN586=1),G586,IF(AND('Choix pédagogiques'!$C$3=3,$BO586=1),G586,""))</f>
        <v/>
      </c>
      <c r="AC586" s="22" t="str">
        <f>IF(AND(OR('Choix pédagogiques'!$C$3=1,'Choix pédagogiques'!$C$3=2),$BN586=1),H586,IF(AND('Choix pédagogiques'!$C$3=3,$BO586=1),H586,""))</f>
        <v/>
      </c>
      <c r="AD586" s="22" t="str">
        <f>IF(AND(OR('Choix pédagogiques'!$C$3=1,'Choix pédagogiques'!$C$3=2),$BN586=1),I586,IF(AND('Choix pédagogiques'!$C$3=3,$BO586=1),I586,""))</f>
        <v/>
      </c>
      <c r="AE586" s="22" t="str">
        <f t="shared" si="400"/>
        <v/>
      </c>
      <c r="AF586" s="21" t="str">
        <f t="shared" si="401"/>
        <v>Apprenant 574</v>
      </c>
      <c r="AG586" s="22" t="str">
        <f t="shared" si="375"/>
        <v/>
      </c>
      <c r="AH586" s="22" t="str">
        <f t="shared" si="376"/>
        <v/>
      </c>
      <c r="AI586" s="22" t="str">
        <f t="shared" si="377"/>
        <v/>
      </c>
      <c r="AJ586" s="22" t="str">
        <f t="shared" si="402"/>
        <v/>
      </c>
      <c r="AK586" s="21" t="str">
        <f t="shared" si="403"/>
        <v>Apprenant 574 ou 574'</v>
      </c>
      <c r="AL586" s="22" t="str">
        <f t="shared" si="378"/>
        <v/>
      </c>
      <c r="AM586" s="22" t="str">
        <f t="shared" si="379"/>
        <v/>
      </c>
      <c r="AN586" s="22" t="str">
        <f t="shared" si="380"/>
        <v/>
      </c>
      <c r="AO586" s="22" t="str">
        <f t="shared" si="404"/>
        <v/>
      </c>
      <c r="AQ586" s="21" t="str">
        <f t="shared" si="405"/>
        <v>Apprenant 574</v>
      </c>
      <c r="AR586" s="49" t="str">
        <f>IF(AND('Choix pédagogiques'!$C$4&lt;&gt;"?",'Choix pédagogiques'!$C$5&lt;&gt;"?",W586&lt;&gt;""),(W586-'Choix pédagogiques'!$C$4)/('Choix pédagogiques'!$C$5-'Choix pédagogiques'!$C$4),"")</f>
        <v/>
      </c>
      <c r="AS586" s="49" t="str">
        <f>IF(AND('Choix pédagogiques'!$C$4&lt;&gt;"?",'Choix pédagogiques'!$C$5&lt;&gt;"?",X586&lt;&gt;""),(X586-'Choix pédagogiques'!$C$4)/('Choix pédagogiques'!$C$5-'Choix pédagogiques'!$C$4),"")</f>
        <v/>
      </c>
      <c r="AT586" s="49" t="str">
        <f>IF(AND('Choix pédagogiques'!$C$4&lt;&gt;"?",'Choix pédagogiques'!$C$5&lt;&gt;"?",Y586&lt;&gt;""),(Y586-'Choix pédagogiques'!$C$4)/('Choix pédagogiques'!$C$5-'Choix pédagogiques'!$C$4),"")</f>
        <v/>
      </c>
      <c r="AU586" s="22" t="str">
        <f t="shared" si="406"/>
        <v/>
      </c>
      <c r="AV586" s="21" t="str">
        <f t="shared" si="407"/>
        <v>Apprenant 574 ou 574'</v>
      </c>
      <c r="AW586" s="49" t="str">
        <f>IF(AND('Choix pédagogiques'!$C$4&lt;&gt;"?",'Choix pédagogiques'!$C$5&lt;&gt;"?",AB586&lt;&gt;""),(AB586-'Choix pédagogiques'!$C$4)/('Choix pédagogiques'!$C$5-'Choix pédagogiques'!$C$4),"")</f>
        <v/>
      </c>
      <c r="AX586" s="49" t="str">
        <f>IF(AND('Choix pédagogiques'!$C$4&lt;&gt;"?",'Choix pédagogiques'!$C$5&lt;&gt;"?",AC586&lt;&gt;""),(AC586-'Choix pédagogiques'!$C$4)/('Choix pédagogiques'!$C$5-'Choix pédagogiques'!$C$4),"")</f>
        <v/>
      </c>
      <c r="AY586" s="49" t="str">
        <f>IF(AND('Choix pédagogiques'!$C$4&lt;&gt;"?",'Choix pédagogiques'!$C$5&lt;&gt;"?",AD586&lt;&gt;""),(AD586-'Choix pédagogiques'!$C$4)/('Choix pédagogiques'!$C$5-'Choix pédagogiques'!$C$4),"")</f>
        <v/>
      </c>
      <c r="AZ586" s="22" t="str">
        <f t="shared" si="408"/>
        <v/>
      </c>
      <c r="BA586" s="21" t="str">
        <f t="shared" si="409"/>
        <v>Apprenant 574</v>
      </c>
      <c r="BB586" s="49" t="str">
        <f t="shared" si="381"/>
        <v/>
      </c>
      <c r="BC586" s="49" t="str">
        <f t="shared" si="382"/>
        <v/>
      </c>
      <c r="BD586" s="49" t="str">
        <f t="shared" si="383"/>
        <v/>
      </c>
      <c r="BE586" s="22" t="str">
        <f t="shared" si="410"/>
        <v/>
      </c>
      <c r="BF586" s="21" t="str">
        <f t="shared" si="411"/>
        <v>Apprenant 574 ou 574'</v>
      </c>
      <c r="BG586" s="49" t="str">
        <f t="shared" si="384"/>
        <v/>
      </c>
      <c r="BH586" s="49" t="str">
        <f t="shared" si="385"/>
        <v/>
      </c>
      <c r="BI586" s="49" t="str">
        <f t="shared" si="386"/>
        <v/>
      </c>
      <c r="BJ586" s="22" t="str">
        <f t="shared" si="412"/>
        <v/>
      </c>
      <c r="BL586" s="21"/>
      <c r="BM586" s="21" t="str">
        <f>IF(OR(COUNT(B586:D1585)=0,AND('Choix pédagogiques'!$C$3&lt;&gt;1,'Choix pédagogiques'!$C$3&lt;&gt;2)),"",IF(AND(OR('Choix pédagogiques'!$C$3=1,'Choix pédagogiques'!$C$3=2),$B586&lt;&gt;"",$C586&lt;&gt;"",$D586&lt;&gt;""),1,0))</f>
        <v/>
      </c>
      <c r="BN586" s="21" t="str">
        <f>IF(OR(COUNT(G586:I1585)=0,AND('Choix pédagogiques'!$C$3&lt;&gt;1,'Choix pédagogiques'!$C$3&lt;&gt;2)),"",IF(AND(OR('Choix pédagogiques'!$C$3=1,'Choix pédagogiques'!$C$3=2),AND($G586&lt;&gt;"",$H586&lt;&gt;"",$I586&lt;&gt;"")),1,0))</f>
        <v/>
      </c>
      <c r="BO586" s="21" t="str">
        <f>IF(OR(COUNT(B586:D1585)=0,COUNT(G586:I1585)=0,'Choix pédagogiques'!C$3&lt;&gt;3),"",IF(AND('Choix pédagogiques'!$C$3=3,$B586&lt;&gt;"",$C586&lt;&gt;"",$D586&lt;&gt;"",$G586&lt;&gt;"",$H586&lt;&gt;"",$I586&lt;&gt;""),1,0))</f>
        <v/>
      </c>
      <c r="BR586" s="21">
        <v>539</v>
      </c>
      <c r="BS586" s="21">
        <v>1453</v>
      </c>
      <c r="BT586"/>
    </row>
    <row r="587" spans="1:72" s="23" customFormat="1" ht="18" customHeight="1" x14ac:dyDescent="0.3">
      <c r="A587" s="35" t="s">
        <v>577</v>
      </c>
      <c r="B587" s="37"/>
      <c r="C587" s="37"/>
      <c r="D587" s="37"/>
      <c r="E587" s="37"/>
      <c r="F587" s="35" t="s">
        <v>1585</v>
      </c>
      <c r="G587" s="37"/>
      <c r="H587" s="37"/>
      <c r="I587" s="37"/>
      <c r="J587" s="37"/>
      <c r="K587" s="21" t="str">
        <f t="shared" si="387"/>
        <v>Apprenant 575</v>
      </c>
      <c r="L587" s="22" t="str">
        <f t="shared" si="388"/>
        <v/>
      </c>
      <c r="M587" s="22" t="str">
        <f t="shared" si="389"/>
        <v/>
      </c>
      <c r="N587" s="22" t="str">
        <f t="shared" si="390"/>
        <v/>
      </c>
      <c r="O587" s="22" t="str">
        <f t="shared" si="391"/>
        <v/>
      </c>
      <c r="P587" s="21" t="str">
        <f t="shared" si="392"/>
        <v>Apprenant 575 ou 575'</v>
      </c>
      <c r="Q587" s="22" t="str">
        <f t="shared" si="393"/>
        <v/>
      </c>
      <c r="R587" s="22" t="str">
        <f t="shared" si="394"/>
        <v/>
      </c>
      <c r="S587" s="22" t="str">
        <f t="shared" si="395"/>
        <v/>
      </c>
      <c r="T587" s="22" t="str">
        <f t="shared" si="396"/>
        <v/>
      </c>
      <c r="V587" s="21" t="str">
        <f t="shared" si="397"/>
        <v>Apprenant 575</v>
      </c>
      <c r="W587" s="22" t="str">
        <f>IF(AND(OR('Choix pédagogiques'!$C$3=1,'Choix pédagogiques'!$C$3=2),$BM587=1),B587,IF(AND('Choix pédagogiques'!$C$3=3,$BO587=1),B587,""))</f>
        <v/>
      </c>
      <c r="X587" s="22" t="str">
        <f>IF(AND(OR('Choix pédagogiques'!$C$3=1,'Choix pédagogiques'!$C$3=2),$BM587=1),C587,IF(AND('Choix pédagogiques'!$C$3=3,$BO587=1),C587,""))</f>
        <v/>
      </c>
      <c r="Y587" s="22" t="str">
        <f>IF(AND(OR('Choix pédagogiques'!$C$3=1,'Choix pédagogiques'!$C$3=2),$BM587=1),D587,IF(AND('Choix pédagogiques'!$C$3=3,$BO587=1),D587,""))</f>
        <v/>
      </c>
      <c r="Z587" s="22" t="str">
        <f t="shared" si="398"/>
        <v/>
      </c>
      <c r="AA587" s="21" t="str">
        <f t="shared" si="399"/>
        <v>Apprenant 575 ou 575'</v>
      </c>
      <c r="AB587" s="22" t="str">
        <f>IF(AND(OR('Choix pédagogiques'!$C$3=1,'Choix pédagogiques'!$C$3=2),$BN587=1),G587,IF(AND('Choix pédagogiques'!$C$3=3,$BO587=1),G587,""))</f>
        <v/>
      </c>
      <c r="AC587" s="22" t="str">
        <f>IF(AND(OR('Choix pédagogiques'!$C$3=1,'Choix pédagogiques'!$C$3=2),$BN587=1),H587,IF(AND('Choix pédagogiques'!$C$3=3,$BO587=1),H587,""))</f>
        <v/>
      </c>
      <c r="AD587" s="22" t="str">
        <f>IF(AND(OR('Choix pédagogiques'!$C$3=1,'Choix pédagogiques'!$C$3=2),$BN587=1),I587,IF(AND('Choix pédagogiques'!$C$3=3,$BO587=1),I587,""))</f>
        <v/>
      </c>
      <c r="AE587" s="22" t="str">
        <f t="shared" si="400"/>
        <v/>
      </c>
      <c r="AF587" s="21" t="str">
        <f t="shared" si="401"/>
        <v>Apprenant 575</v>
      </c>
      <c r="AG587" s="22" t="str">
        <f t="shared" si="375"/>
        <v/>
      </c>
      <c r="AH587" s="22" t="str">
        <f t="shared" si="376"/>
        <v/>
      </c>
      <c r="AI587" s="22" t="str">
        <f t="shared" si="377"/>
        <v/>
      </c>
      <c r="AJ587" s="22" t="str">
        <f t="shared" si="402"/>
        <v/>
      </c>
      <c r="AK587" s="21" t="str">
        <f t="shared" si="403"/>
        <v>Apprenant 575 ou 575'</v>
      </c>
      <c r="AL587" s="22" t="str">
        <f t="shared" si="378"/>
        <v/>
      </c>
      <c r="AM587" s="22" t="str">
        <f t="shared" si="379"/>
        <v/>
      </c>
      <c r="AN587" s="22" t="str">
        <f t="shared" si="380"/>
        <v/>
      </c>
      <c r="AO587" s="22" t="str">
        <f t="shared" si="404"/>
        <v/>
      </c>
      <c r="AQ587" s="21" t="str">
        <f t="shared" si="405"/>
        <v>Apprenant 575</v>
      </c>
      <c r="AR587" s="49" t="str">
        <f>IF(AND('Choix pédagogiques'!$C$4&lt;&gt;"?",'Choix pédagogiques'!$C$5&lt;&gt;"?",W587&lt;&gt;""),(W587-'Choix pédagogiques'!$C$4)/('Choix pédagogiques'!$C$5-'Choix pédagogiques'!$C$4),"")</f>
        <v/>
      </c>
      <c r="AS587" s="49" t="str">
        <f>IF(AND('Choix pédagogiques'!$C$4&lt;&gt;"?",'Choix pédagogiques'!$C$5&lt;&gt;"?",X587&lt;&gt;""),(X587-'Choix pédagogiques'!$C$4)/('Choix pédagogiques'!$C$5-'Choix pédagogiques'!$C$4),"")</f>
        <v/>
      </c>
      <c r="AT587" s="49" t="str">
        <f>IF(AND('Choix pédagogiques'!$C$4&lt;&gt;"?",'Choix pédagogiques'!$C$5&lt;&gt;"?",Y587&lt;&gt;""),(Y587-'Choix pédagogiques'!$C$4)/('Choix pédagogiques'!$C$5-'Choix pédagogiques'!$C$4),"")</f>
        <v/>
      </c>
      <c r="AU587" s="22" t="str">
        <f t="shared" si="406"/>
        <v/>
      </c>
      <c r="AV587" s="21" t="str">
        <f t="shared" si="407"/>
        <v>Apprenant 575 ou 575'</v>
      </c>
      <c r="AW587" s="49" t="str">
        <f>IF(AND('Choix pédagogiques'!$C$4&lt;&gt;"?",'Choix pédagogiques'!$C$5&lt;&gt;"?",AB587&lt;&gt;""),(AB587-'Choix pédagogiques'!$C$4)/('Choix pédagogiques'!$C$5-'Choix pédagogiques'!$C$4),"")</f>
        <v/>
      </c>
      <c r="AX587" s="49" t="str">
        <f>IF(AND('Choix pédagogiques'!$C$4&lt;&gt;"?",'Choix pédagogiques'!$C$5&lt;&gt;"?",AC587&lt;&gt;""),(AC587-'Choix pédagogiques'!$C$4)/('Choix pédagogiques'!$C$5-'Choix pédagogiques'!$C$4),"")</f>
        <v/>
      </c>
      <c r="AY587" s="49" t="str">
        <f>IF(AND('Choix pédagogiques'!$C$4&lt;&gt;"?",'Choix pédagogiques'!$C$5&lt;&gt;"?",AD587&lt;&gt;""),(AD587-'Choix pédagogiques'!$C$4)/('Choix pédagogiques'!$C$5-'Choix pédagogiques'!$C$4),"")</f>
        <v/>
      </c>
      <c r="AZ587" s="22" t="str">
        <f t="shared" si="408"/>
        <v/>
      </c>
      <c r="BA587" s="21" t="str">
        <f t="shared" si="409"/>
        <v>Apprenant 575</v>
      </c>
      <c r="BB587" s="49" t="str">
        <f t="shared" si="381"/>
        <v/>
      </c>
      <c r="BC587" s="49" t="str">
        <f t="shared" si="382"/>
        <v/>
      </c>
      <c r="BD587" s="49" t="str">
        <f t="shared" si="383"/>
        <v/>
      </c>
      <c r="BE587" s="22" t="str">
        <f t="shared" si="410"/>
        <v/>
      </c>
      <c r="BF587" s="21" t="str">
        <f t="shared" si="411"/>
        <v>Apprenant 575 ou 575'</v>
      </c>
      <c r="BG587" s="49" t="str">
        <f t="shared" si="384"/>
        <v/>
      </c>
      <c r="BH587" s="49" t="str">
        <f t="shared" si="385"/>
        <v/>
      </c>
      <c r="BI587" s="49" t="str">
        <f t="shared" si="386"/>
        <v/>
      </c>
      <c r="BJ587" s="22" t="str">
        <f t="shared" si="412"/>
        <v/>
      </c>
      <c r="BL587" s="21"/>
      <c r="BM587" s="21" t="str">
        <f>IF(OR(COUNT(B587:D1586)=0,AND('Choix pédagogiques'!$C$3&lt;&gt;1,'Choix pédagogiques'!$C$3&lt;&gt;2)),"",IF(AND(OR('Choix pédagogiques'!$C$3=1,'Choix pédagogiques'!$C$3=2),$B587&lt;&gt;"",$C587&lt;&gt;"",$D587&lt;&gt;""),1,0))</f>
        <v/>
      </c>
      <c r="BN587" s="21" t="str">
        <f>IF(OR(COUNT(G587:I1586)=0,AND('Choix pédagogiques'!$C$3&lt;&gt;1,'Choix pédagogiques'!$C$3&lt;&gt;2)),"",IF(AND(OR('Choix pédagogiques'!$C$3=1,'Choix pédagogiques'!$C$3=2),AND($G587&lt;&gt;"",$H587&lt;&gt;"",$I587&lt;&gt;"")),1,0))</f>
        <v/>
      </c>
      <c r="BO587" s="21" t="str">
        <f>IF(OR(COUNT(B587:D1586)=0,COUNT(G587:I1586)=0,'Choix pédagogiques'!C$3&lt;&gt;3),"",IF(AND('Choix pédagogiques'!$C$3=3,$B587&lt;&gt;"",$C587&lt;&gt;"",$D587&lt;&gt;"",$G587&lt;&gt;"",$H587&lt;&gt;"",$I587&lt;&gt;""),1,0))</f>
        <v/>
      </c>
      <c r="BR587" s="21">
        <v>572</v>
      </c>
      <c r="BS587" s="21">
        <v>1531</v>
      </c>
      <c r="BT587"/>
    </row>
    <row r="588" spans="1:72" s="23" customFormat="1" ht="18" customHeight="1" x14ac:dyDescent="0.3">
      <c r="A588" s="35" t="s">
        <v>578</v>
      </c>
      <c r="B588" s="37"/>
      <c r="C588" s="37"/>
      <c r="D588" s="37"/>
      <c r="E588" s="37"/>
      <c r="F588" s="35" t="s">
        <v>1586</v>
      </c>
      <c r="G588" s="37"/>
      <c r="H588" s="37"/>
      <c r="I588" s="37"/>
      <c r="J588" s="37"/>
      <c r="K588" s="21" t="str">
        <f t="shared" si="387"/>
        <v>Apprenant 576</v>
      </c>
      <c r="L588" s="22" t="str">
        <f t="shared" si="388"/>
        <v/>
      </c>
      <c r="M588" s="22" t="str">
        <f t="shared" si="389"/>
        <v/>
      </c>
      <c r="N588" s="22" t="str">
        <f t="shared" si="390"/>
        <v/>
      </c>
      <c r="O588" s="22" t="str">
        <f t="shared" si="391"/>
        <v/>
      </c>
      <c r="P588" s="21" t="str">
        <f t="shared" si="392"/>
        <v>Apprenant 576 ou 576'</v>
      </c>
      <c r="Q588" s="22" t="str">
        <f t="shared" si="393"/>
        <v/>
      </c>
      <c r="R588" s="22" t="str">
        <f t="shared" si="394"/>
        <v/>
      </c>
      <c r="S588" s="22" t="str">
        <f t="shared" si="395"/>
        <v/>
      </c>
      <c r="T588" s="22" t="str">
        <f t="shared" si="396"/>
        <v/>
      </c>
      <c r="V588" s="21" t="str">
        <f t="shared" si="397"/>
        <v>Apprenant 576</v>
      </c>
      <c r="W588" s="22" t="str">
        <f>IF(AND(OR('Choix pédagogiques'!$C$3=1,'Choix pédagogiques'!$C$3=2),$BM588=1),B588,IF(AND('Choix pédagogiques'!$C$3=3,$BO588=1),B588,""))</f>
        <v/>
      </c>
      <c r="X588" s="22" t="str">
        <f>IF(AND(OR('Choix pédagogiques'!$C$3=1,'Choix pédagogiques'!$C$3=2),$BM588=1),C588,IF(AND('Choix pédagogiques'!$C$3=3,$BO588=1),C588,""))</f>
        <v/>
      </c>
      <c r="Y588" s="22" t="str">
        <f>IF(AND(OR('Choix pédagogiques'!$C$3=1,'Choix pédagogiques'!$C$3=2),$BM588=1),D588,IF(AND('Choix pédagogiques'!$C$3=3,$BO588=1),D588,""))</f>
        <v/>
      </c>
      <c r="Z588" s="22" t="str">
        <f t="shared" si="398"/>
        <v/>
      </c>
      <c r="AA588" s="21" t="str">
        <f t="shared" si="399"/>
        <v>Apprenant 576 ou 576'</v>
      </c>
      <c r="AB588" s="22" t="str">
        <f>IF(AND(OR('Choix pédagogiques'!$C$3=1,'Choix pédagogiques'!$C$3=2),$BN588=1),G588,IF(AND('Choix pédagogiques'!$C$3=3,$BO588=1),G588,""))</f>
        <v/>
      </c>
      <c r="AC588" s="22" t="str">
        <f>IF(AND(OR('Choix pédagogiques'!$C$3=1,'Choix pédagogiques'!$C$3=2),$BN588=1),H588,IF(AND('Choix pédagogiques'!$C$3=3,$BO588=1),H588,""))</f>
        <v/>
      </c>
      <c r="AD588" s="22" t="str">
        <f>IF(AND(OR('Choix pédagogiques'!$C$3=1,'Choix pédagogiques'!$C$3=2),$BN588=1),I588,IF(AND('Choix pédagogiques'!$C$3=3,$BO588=1),I588,""))</f>
        <v/>
      </c>
      <c r="AE588" s="22" t="str">
        <f t="shared" si="400"/>
        <v/>
      </c>
      <c r="AF588" s="21" t="str">
        <f t="shared" si="401"/>
        <v>Apprenant 576</v>
      </c>
      <c r="AG588" s="22" t="str">
        <f t="shared" si="375"/>
        <v/>
      </c>
      <c r="AH588" s="22" t="str">
        <f t="shared" si="376"/>
        <v/>
      </c>
      <c r="AI588" s="22" t="str">
        <f t="shared" si="377"/>
        <v/>
      </c>
      <c r="AJ588" s="22" t="str">
        <f t="shared" si="402"/>
        <v/>
      </c>
      <c r="AK588" s="21" t="str">
        <f t="shared" si="403"/>
        <v>Apprenant 576 ou 576'</v>
      </c>
      <c r="AL588" s="22" t="str">
        <f t="shared" si="378"/>
        <v/>
      </c>
      <c r="AM588" s="22" t="str">
        <f t="shared" si="379"/>
        <v/>
      </c>
      <c r="AN588" s="22" t="str">
        <f t="shared" si="380"/>
        <v/>
      </c>
      <c r="AO588" s="22" t="str">
        <f t="shared" si="404"/>
        <v/>
      </c>
      <c r="AQ588" s="21" t="str">
        <f t="shared" si="405"/>
        <v>Apprenant 576</v>
      </c>
      <c r="AR588" s="49" t="str">
        <f>IF(AND('Choix pédagogiques'!$C$4&lt;&gt;"?",'Choix pédagogiques'!$C$5&lt;&gt;"?",W588&lt;&gt;""),(W588-'Choix pédagogiques'!$C$4)/('Choix pédagogiques'!$C$5-'Choix pédagogiques'!$C$4),"")</f>
        <v/>
      </c>
      <c r="AS588" s="49" t="str">
        <f>IF(AND('Choix pédagogiques'!$C$4&lt;&gt;"?",'Choix pédagogiques'!$C$5&lt;&gt;"?",X588&lt;&gt;""),(X588-'Choix pédagogiques'!$C$4)/('Choix pédagogiques'!$C$5-'Choix pédagogiques'!$C$4),"")</f>
        <v/>
      </c>
      <c r="AT588" s="49" t="str">
        <f>IF(AND('Choix pédagogiques'!$C$4&lt;&gt;"?",'Choix pédagogiques'!$C$5&lt;&gt;"?",Y588&lt;&gt;""),(Y588-'Choix pédagogiques'!$C$4)/('Choix pédagogiques'!$C$5-'Choix pédagogiques'!$C$4),"")</f>
        <v/>
      </c>
      <c r="AU588" s="22" t="str">
        <f t="shared" si="406"/>
        <v/>
      </c>
      <c r="AV588" s="21" t="str">
        <f t="shared" si="407"/>
        <v>Apprenant 576 ou 576'</v>
      </c>
      <c r="AW588" s="49" t="str">
        <f>IF(AND('Choix pédagogiques'!$C$4&lt;&gt;"?",'Choix pédagogiques'!$C$5&lt;&gt;"?",AB588&lt;&gt;""),(AB588-'Choix pédagogiques'!$C$4)/('Choix pédagogiques'!$C$5-'Choix pédagogiques'!$C$4),"")</f>
        <v/>
      </c>
      <c r="AX588" s="49" t="str">
        <f>IF(AND('Choix pédagogiques'!$C$4&lt;&gt;"?",'Choix pédagogiques'!$C$5&lt;&gt;"?",AC588&lt;&gt;""),(AC588-'Choix pédagogiques'!$C$4)/('Choix pédagogiques'!$C$5-'Choix pédagogiques'!$C$4),"")</f>
        <v/>
      </c>
      <c r="AY588" s="49" t="str">
        <f>IF(AND('Choix pédagogiques'!$C$4&lt;&gt;"?",'Choix pédagogiques'!$C$5&lt;&gt;"?",AD588&lt;&gt;""),(AD588-'Choix pédagogiques'!$C$4)/('Choix pédagogiques'!$C$5-'Choix pédagogiques'!$C$4),"")</f>
        <v/>
      </c>
      <c r="AZ588" s="22" t="str">
        <f t="shared" si="408"/>
        <v/>
      </c>
      <c r="BA588" s="21" t="str">
        <f t="shared" si="409"/>
        <v>Apprenant 576</v>
      </c>
      <c r="BB588" s="49" t="str">
        <f t="shared" si="381"/>
        <v/>
      </c>
      <c r="BC588" s="49" t="str">
        <f t="shared" si="382"/>
        <v/>
      </c>
      <c r="BD588" s="49" t="str">
        <f t="shared" si="383"/>
        <v/>
      </c>
      <c r="BE588" s="22" t="str">
        <f t="shared" si="410"/>
        <v/>
      </c>
      <c r="BF588" s="21" t="str">
        <f t="shared" si="411"/>
        <v>Apprenant 576 ou 576'</v>
      </c>
      <c r="BG588" s="49" t="str">
        <f t="shared" si="384"/>
        <v/>
      </c>
      <c r="BH588" s="49" t="str">
        <f t="shared" si="385"/>
        <v/>
      </c>
      <c r="BI588" s="49" t="str">
        <f t="shared" si="386"/>
        <v/>
      </c>
      <c r="BJ588" s="22" t="str">
        <f t="shared" si="412"/>
        <v/>
      </c>
      <c r="BL588" s="21"/>
      <c r="BM588" s="21" t="str">
        <f>IF(OR(COUNT(B588:D1587)=0,AND('Choix pédagogiques'!$C$3&lt;&gt;1,'Choix pédagogiques'!$C$3&lt;&gt;2)),"",IF(AND(OR('Choix pédagogiques'!$C$3=1,'Choix pédagogiques'!$C$3=2),$B588&lt;&gt;"",$C588&lt;&gt;"",$D588&lt;&gt;""),1,0))</f>
        <v/>
      </c>
      <c r="BN588" s="21" t="str">
        <f>IF(OR(COUNT(G588:I1587)=0,AND('Choix pédagogiques'!$C$3&lt;&gt;1,'Choix pédagogiques'!$C$3&lt;&gt;2)),"",IF(AND(OR('Choix pédagogiques'!$C$3=1,'Choix pédagogiques'!$C$3=2),AND($G588&lt;&gt;"",$H588&lt;&gt;"",$I588&lt;&gt;"")),1,0))</f>
        <v/>
      </c>
      <c r="BO588" s="21" t="str">
        <f>IF(OR(COUNT(B588:D1587)=0,COUNT(G588:I1587)=0,'Choix pédagogiques'!C$3&lt;&gt;3),"",IF(AND('Choix pédagogiques'!$C$3=3,$B588&lt;&gt;"",$C588&lt;&gt;"",$D588&lt;&gt;"",$G588&lt;&gt;"",$H588&lt;&gt;"",$I588&lt;&gt;""),1,0))</f>
        <v/>
      </c>
      <c r="BR588" s="21">
        <v>298</v>
      </c>
      <c r="BS588" s="21">
        <v>1609</v>
      </c>
      <c r="BT588"/>
    </row>
    <row r="589" spans="1:72" s="23" customFormat="1" ht="18" customHeight="1" x14ac:dyDescent="0.3">
      <c r="A589" s="35" t="s">
        <v>579</v>
      </c>
      <c r="B589" s="37"/>
      <c r="C589" s="37"/>
      <c r="D589" s="37"/>
      <c r="E589" s="37"/>
      <c r="F589" s="35" t="s">
        <v>1587</v>
      </c>
      <c r="G589" s="37"/>
      <c r="H589" s="37"/>
      <c r="I589" s="37"/>
      <c r="J589" s="37"/>
      <c r="K589" s="21" t="str">
        <f t="shared" si="387"/>
        <v>Apprenant 577</v>
      </c>
      <c r="L589" s="22" t="str">
        <f t="shared" si="388"/>
        <v/>
      </c>
      <c r="M589" s="22" t="str">
        <f t="shared" si="389"/>
        <v/>
      </c>
      <c r="N589" s="22" t="str">
        <f t="shared" si="390"/>
        <v/>
      </c>
      <c r="O589" s="22" t="str">
        <f t="shared" si="391"/>
        <v/>
      </c>
      <c r="P589" s="21" t="str">
        <f t="shared" si="392"/>
        <v>Apprenant 577 ou 577'</v>
      </c>
      <c r="Q589" s="22" t="str">
        <f t="shared" si="393"/>
        <v/>
      </c>
      <c r="R589" s="22" t="str">
        <f t="shared" si="394"/>
        <v/>
      </c>
      <c r="S589" s="22" t="str">
        <f t="shared" si="395"/>
        <v/>
      </c>
      <c r="T589" s="22" t="str">
        <f t="shared" si="396"/>
        <v/>
      </c>
      <c r="V589" s="21" t="str">
        <f t="shared" si="397"/>
        <v>Apprenant 577</v>
      </c>
      <c r="W589" s="22" t="str">
        <f>IF(AND(OR('Choix pédagogiques'!$C$3=1,'Choix pédagogiques'!$C$3=2),$BM589=1),B589,IF(AND('Choix pédagogiques'!$C$3=3,$BO589=1),B589,""))</f>
        <v/>
      </c>
      <c r="X589" s="22" t="str">
        <f>IF(AND(OR('Choix pédagogiques'!$C$3=1,'Choix pédagogiques'!$C$3=2),$BM589=1),C589,IF(AND('Choix pédagogiques'!$C$3=3,$BO589=1),C589,""))</f>
        <v/>
      </c>
      <c r="Y589" s="22" t="str">
        <f>IF(AND(OR('Choix pédagogiques'!$C$3=1,'Choix pédagogiques'!$C$3=2),$BM589=1),D589,IF(AND('Choix pédagogiques'!$C$3=3,$BO589=1),D589,""))</f>
        <v/>
      </c>
      <c r="Z589" s="22" t="str">
        <f t="shared" si="398"/>
        <v/>
      </c>
      <c r="AA589" s="21" t="str">
        <f t="shared" si="399"/>
        <v>Apprenant 577 ou 577'</v>
      </c>
      <c r="AB589" s="22" t="str">
        <f>IF(AND(OR('Choix pédagogiques'!$C$3=1,'Choix pédagogiques'!$C$3=2),$BN589=1),G589,IF(AND('Choix pédagogiques'!$C$3=3,$BO589=1),G589,""))</f>
        <v/>
      </c>
      <c r="AC589" s="22" t="str">
        <f>IF(AND(OR('Choix pédagogiques'!$C$3=1,'Choix pédagogiques'!$C$3=2),$BN589=1),H589,IF(AND('Choix pédagogiques'!$C$3=3,$BO589=1),H589,""))</f>
        <v/>
      </c>
      <c r="AD589" s="22" t="str">
        <f>IF(AND(OR('Choix pédagogiques'!$C$3=1,'Choix pédagogiques'!$C$3=2),$BN589=1),I589,IF(AND('Choix pédagogiques'!$C$3=3,$BO589=1),I589,""))</f>
        <v/>
      </c>
      <c r="AE589" s="22" t="str">
        <f t="shared" si="400"/>
        <v/>
      </c>
      <c r="AF589" s="21" t="str">
        <f t="shared" si="401"/>
        <v>Apprenant 577</v>
      </c>
      <c r="AG589" s="22" t="str">
        <f t="shared" ref="AG589:AG652" si="413">IF(AND($W589&lt;&gt;"",$X589&lt;&gt;""),$X589-$W589,"")</f>
        <v/>
      </c>
      <c r="AH589" s="22" t="str">
        <f t="shared" ref="AH589:AH652" si="414">IF(AND($W589&lt;&gt;"",$Y589&lt;&gt;""),$Y589-$W589,"")</f>
        <v/>
      </c>
      <c r="AI589" s="22" t="str">
        <f t="shared" ref="AI589:AI652" si="415">IF(AND($X589&lt;&gt;"",$Y589&lt;&gt;""),$Y589-$X589,"")</f>
        <v/>
      </c>
      <c r="AJ589" s="22" t="str">
        <f t="shared" si="402"/>
        <v/>
      </c>
      <c r="AK589" s="21" t="str">
        <f t="shared" si="403"/>
        <v>Apprenant 577 ou 577'</v>
      </c>
      <c r="AL589" s="22" t="str">
        <f t="shared" ref="AL589:AL652" si="416">IF(AND($AB589&lt;&gt;"",$AC589&lt;&gt;""),$AC589-$AB589,"")</f>
        <v/>
      </c>
      <c r="AM589" s="22" t="str">
        <f t="shared" ref="AM589:AM652" si="417">IF(AND($AB589&lt;&gt;"",$AD589&lt;&gt;""),$AD589-$AB589,"")</f>
        <v/>
      </c>
      <c r="AN589" s="22" t="str">
        <f t="shared" ref="AN589:AN652" si="418">IF(AND($AC589&lt;&gt;"",$AD589&lt;&gt;""),$AD589-$AC589,"")</f>
        <v/>
      </c>
      <c r="AO589" s="22" t="str">
        <f t="shared" si="404"/>
        <v/>
      </c>
      <c r="AQ589" s="21" t="str">
        <f t="shared" si="405"/>
        <v>Apprenant 577</v>
      </c>
      <c r="AR589" s="49" t="str">
        <f>IF(AND('Choix pédagogiques'!$C$4&lt;&gt;"?",'Choix pédagogiques'!$C$5&lt;&gt;"?",W589&lt;&gt;""),(W589-'Choix pédagogiques'!$C$4)/('Choix pédagogiques'!$C$5-'Choix pédagogiques'!$C$4),"")</f>
        <v/>
      </c>
      <c r="AS589" s="49" t="str">
        <f>IF(AND('Choix pédagogiques'!$C$4&lt;&gt;"?",'Choix pédagogiques'!$C$5&lt;&gt;"?",X589&lt;&gt;""),(X589-'Choix pédagogiques'!$C$4)/('Choix pédagogiques'!$C$5-'Choix pédagogiques'!$C$4),"")</f>
        <v/>
      </c>
      <c r="AT589" s="49" t="str">
        <f>IF(AND('Choix pédagogiques'!$C$4&lt;&gt;"?",'Choix pédagogiques'!$C$5&lt;&gt;"?",Y589&lt;&gt;""),(Y589-'Choix pédagogiques'!$C$4)/('Choix pédagogiques'!$C$5-'Choix pédagogiques'!$C$4),"")</f>
        <v/>
      </c>
      <c r="AU589" s="22" t="str">
        <f t="shared" si="406"/>
        <v/>
      </c>
      <c r="AV589" s="21" t="str">
        <f t="shared" si="407"/>
        <v>Apprenant 577 ou 577'</v>
      </c>
      <c r="AW589" s="49" t="str">
        <f>IF(AND('Choix pédagogiques'!$C$4&lt;&gt;"?",'Choix pédagogiques'!$C$5&lt;&gt;"?",AB589&lt;&gt;""),(AB589-'Choix pédagogiques'!$C$4)/('Choix pédagogiques'!$C$5-'Choix pédagogiques'!$C$4),"")</f>
        <v/>
      </c>
      <c r="AX589" s="49" t="str">
        <f>IF(AND('Choix pédagogiques'!$C$4&lt;&gt;"?",'Choix pédagogiques'!$C$5&lt;&gt;"?",AC589&lt;&gt;""),(AC589-'Choix pédagogiques'!$C$4)/('Choix pédagogiques'!$C$5-'Choix pédagogiques'!$C$4),"")</f>
        <v/>
      </c>
      <c r="AY589" s="49" t="str">
        <f>IF(AND('Choix pédagogiques'!$C$4&lt;&gt;"?",'Choix pédagogiques'!$C$5&lt;&gt;"?",AD589&lt;&gt;""),(AD589-'Choix pédagogiques'!$C$4)/('Choix pédagogiques'!$C$5-'Choix pédagogiques'!$C$4),"")</f>
        <v/>
      </c>
      <c r="AZ589" s="22" t="str">
        <f t="shared" si="408"/>
        <v/>
      </c>
      <c r="BA589" s="21" t="str">
        <f t="shared" si="409"/>
        <v>Apprenant 577</v>
      </c>
      <c r="BB589" s="49" t="str">
        <f t="shared" ref="BB589:BB652" si="419">IF(AND($AR589&lt;&gt;"",$AS589&lt;&gt;""),$AS589-$AR589,"")</f>
        <v/>
      </c>
      <c r="BC589" s="49" t="str">
        <f t="shared" ref="BC589:BC652" si="420">IF(AND($AR589&lt;&gt;"",$AT589&lt;&gt;""),$AT589-$AR589,"")</f>
        <v/>
      </c>
      <c r="BD589" s="49" t="str">
        <f t="shared" ref="BD589:BD652" si="421">IF(AND($AS589&lt;&gt;"",$AT589&lt;&gt;""),$AT589-$AS589,"")</f>
        <v/>
      </c>
      <c r="BE589" s="22" t="str">
        <f t="shared" si="410"/>
        <v/>
      </c>
      <c r="BF589" s="21" t="str">
        <f t="shared" si="411"/>
        <v>Apprenant 577 ou 577'</v>
      </c>
      <c r="BG589" s="49" t="str">
        <f t="shared" ref="BG589:BG652" si="422">IF(AND($AW589&lt;&gt;"",$AX589&lt;&gt;""),$AX589-$AW589,"")</f>
        <v/>
      </c>
      <c r="BH589" s="49" t="str">
        <f t="shared" ref="BH589:BH652" si="423">IF(AND($AW589&lt;&gt;"",$AY589&lt;&gt;""),$AY589-$AW589,"")</f>
        <v/>
      </c>
      <c r="BI589" s="49" t="str">
        <f t="shared" ref="BI589:BI652" si="424">IF(AND($AX589&lt;&gt;"",$AY589&lt;&gt;""),$AY589-$AX589,"")</f>
        <v/>
      </c>
      <c r="BJ589" s="22" t="str">
        <f t="shared" si="412"/>
        <v/>
      </c>
      <c r="BL589" s="21"/>
      <c r="BM589" s="21" t="str">
        <f>IF(OR(COUNT(B589:D1588)=0,AND('Choix pédagogiques'!$C$3&lt;&gt;1,'Choix pédagogiques'!$C$3&lt;&gt;2)),"",IF(AND(OR('Choix pédagogiques'!$C$3=1,'Choix pédagogiques'!$C$3=2),$B589&lt;&gt;"",$C589&lt;&gt;"",$D589&lt;&gt;""),1,0))</f>
        <v/>
      </c>
      <c r="BN589" s="21" t="str">
        <f>IF(OR(COUNT(G589:I1588)=0,AND('Choix pédagogiques'!$C$3&lt;&gt;1,'Choix pédagogiques'!$C$3&lt;&gt;2)),"",IF(AND(OR('Choix pédagogiques'!$C$3=1,'Choix pédagogiques'!$C$3=2),AND($G589&lt;&gt;"",$H589&lt;&gt;"",$I589&lt;&gt;"")),1,0))</f>
        <v/>
      </c>
      <c r="BO589" s="21" t="str">
        <f>IF(OR(COUNT(B589:D1588)=0,COUNT(G589:I1588)=0,'Choix pédagogiques'!C$3&lt;&gt;3),"",IF(AND('Choix pédagogiques'!$C$3=3,$B589&lt;&gt;"",$C589&lt;&gt;"",$D589&lt;&gt;"",$G589&lt;&gt;"",$H589&lt;&gt;"",$I589&lt;&gt;""),1,0))</f>
        <v/>
      </c>
      <c r="BR589" s="21">
        <v>787</v>
      </c>
      <c r="BS589" s="21">
        <v>1704</v>
      </c>
      <c r="BT589"/>
    </row>
    <row r="590" spans="1:72" s="23" customFormat="1" ht="18" customHeight="1" x14ac:dyDescent="0.3">
      <c r="A590" s="35" t="s">
        <v>580</v>
      </c>
      <c r="B590" s="37"/>
      <c r="C590" s="37"/>
      <c r="D590" s="37"/>
      <c r="E590" s="37"/>
      <c r="F590" s="35" t="s">
        <v>1588</v>
      </c>
      <c r="G590" s="37"/>
      <c r="H590" s="37"/>
      <c r="I590" s="37"/>
      <c r="J590" s="37"/>
      <c r="K590" s="21" t="str">
        <f t="shared" ref="K590:K653" si="425">IF($A590&lt;&gt;"",$A590,"")</f>
        <v>Apprenant 578</v>
      </c>
      <c r="L590" s="22" t="str">
        <f t="shared" ref="L590:L653" si="426">IF(AND($B590&lt;&gt;"",$C590&lt;&gt;""),$C590-$B590,"")</f>
        <v/>
      </c>
      <c r="M590" s="22" t="str">
        <f t="shared" ref="M590:M653" si="427">IF(AND($B590&lt;&gt;"",$D590&lt;&gt;""),$D590-$B590,"")</f>
        <v/>
      </c>
      <c r="N590" s="22" t="str">
        <f t="shared" ref="N590:N653" si="428">IF(AND($C590&lt;&gt;"",$D590&lt;&gt;""),$D590-$C590,"")</f>
        <v/>
      </c>
      <c r="O590" s="22" t="str">
        <f t="shared" ref="O590:O653" si="429">IF($E590&lt;&gt;"",$E590,"")</f>
        <v/>
      </c>
      <c r="P590" s="21" t="str">
        <f t="shared" ref="P590:P653" si="430">IF($F590&lt;&gt;"",$F590,"")</f>
        <v>Apprenant 578 ou 578'</v>
      </c>
      <c r="Q590" s="22" t="str">
        <f t="shared" ref="Q590:Q653" si="431">IF(AND($G590&lt;&gt;"",$H590&lt;&gt;""),$H590-$G590,"")</f>
        <v/>
      </c>
      <c r="R590" s="22" t="str">
        <f t="shared" ref="R590:R653" si="432">IF(AND($G590&lt;&gt;"",$I590&lt;&gt;""),$I590-$G590,"")</f>
        <v/>
      </c>
      <c r="S590" s="22" t="str">
        <f t="shared" ref="S590:S653" si="433">IF(AND($H590&lt;&gt;"",$I590&lt;&gt;""),$I590-$H590,"")</f>
        <v/>
      </c>
      <c r="T590" s="22" t="str">
        <f t="shared" ref="T590:T653" si="434">IF($J590&lt;&gt;"",$J590,"")</f>
        <v/>
      </c>
      <c r="V590" s="21" t="str">
        <f t="shared" ref="V590:V653" si="435">IF($A590&lt;&gt;"",$A590,"")</f>
        <v>Apprenant 578</v>
      </c>
      <c r="W590" s="22" t="str">
        <f>IF(AND(OR('Choix pédagogiques'!$C$3=1,'Choix pédagogiques'!$C$3=2),$BM590=1),B590,IF(AND('Choix pédagogiques'!$C$3=3,$BO590=1),B590,""))</f>
        <v/>
      </c>
      <c r="X590" s="22" t="str">
        <f>IF(AND(OR('Choix pédagogiques'!$C$3=1,'Choix pédagogiques'!$C$3=2),$BM590=1),C590,IF(AND('Choix pédagogiques'!$C$3=3,$BO590=1),C590,""))</f>
        <v/>
      </c>
      <c r="Y590" s="22" t="str">
        <f>IF(AND(OR('Choix pédagogiques'!$C$3=1,'Choix pédagogiques'!$C$3=2),$BM590=1),D590,IF(AND('Choix pédagogiques'!$C$3=3,$BO590=1),D590,""))</f>
        <v/>
      </c>
      <c r="Z590" s="22" t="str">
        <f t="shared" ref="Z590:Z653" si="436">IF($E590&lt;&gt;"",$E590,"")</f>
        <v/>
      </c>
      <c r="AA590" s="21" t="str">
        <f t="shared" ref="AA590:AA653" si="437">IF($F590&lt;&gt;"",$F590,"")</f>
        <v>Apprenant 578 ou 578'</v>
      </c>
      <c r="AB590" s="22" t="str">
        <f>IF(AND(OR('Choix pédagogiques'!$C$3=1,'Choix pédagogiques'!$C$3=2),$BN590=1),G590,IF(AND('Choix pédagogiques'!$C$3=3,$BO590=1),G590,""))</f>
        <v/>
      </c>
      <c r="AC590" s="22" t="str">
        <f>IF(AND(OR('Choix pédagogiques'!$C$3=1,'Choix pédagogiques'!$C$3=2),$BN590=1),H590,IF(AND('Choix pédagogiques'!$C$3=3,$BO590=1),H590,""))</f>
        <v/>
      </c>
      <c r="AD590" s="22" t="str">
        <f>IF(AND(OR('Choix pédagogiques'!$C$3=1,'Choix pédagogiques'!$C$3=2),$BN590=1),I590,IF(AND('Choix pédagogiques'!$C$3=3,$BO590=1),I590,""))</f>
        <v/>
      </c>
      <c r="AE590" s="22" t="str">
        <f t="shared" ref="AE590:AE653" si="438">IF($J590&lt;&gt;"",$J590,"")</f>
        <v/>
      </c>
      <c r="AF590" s="21" t="str">
        <f t="shared" ref="AF590:AF653" si="439">IF($A590&lt;&gt;"",$A590,"")</f>
        <v>Apprenant 578</v>
      </c>
      <c r="AG590" s="22" t="str">
        <f t="shared" si="413"/>
        <v/>
      </c>
      <c r="AH590" s="22" t="str">
        <f t="shared" si="414"/>
        <v/>
      </c>
      <c r="AI590" s="22" t="str">
        <f t="shared" si="415"/>
        <v/>
      </c>
      <c r="AJ590" s="22" t="str">
        <f t="shared" ref="AJ590:AJ653" si="440">IF($E590&lt;&gt;"",$E590,"")</f>
        <v/>
      </c>
      <c r="AK590" s="21" t="str">
        <f t="shared" ref="AK590:AK653" si="441">IF($F590&lt;&gt;"",$F590,"")</f>
        <v>Apprenant 578 ou 578'</v>
      </c>
      <c r="AL590" s="22" t="str">
        <f t="shared" si="416"/>
        <v/>
      </c>
      <c r="AM590" s="22" t="str">
        <f t="shared" si="417"/>
        <v/>
      </c>
      <c r="AN590" s="22" t="str">
        <f t="shared" si="418"/>
        <v/>
      </c>
      <c r="AO590" s="22" t="str">
        <f t="shared" ref="AO590:AO653" si="442">IF($J590&lt;&gt;"",$J590,"")</f>
        <v/>
      </c>
      <c r="AQ590" s="21" t="str">
        <f t="shared" ref="AQ590:AQ653" si="443">IF($A590&lt;&gt;"",$A590,"")</f>
        <v>Apprenant 578</v>
      </c>
      <c r="AR590" s="49" t="str">
        <f>IF(AND('Choix pédagogiques'!$C$4&lt;&gt;"?",'Choix pédagogiques'!$C$5&lt;&gt;"?",W590&lt;&gt;""),(W590-'Choix pédagogiques'!$C$4)/('Choix pédagogiques'!$C$5-'Choix pédagogiques'!$C$4),"")</f>
        <v/>
      </c>
      <c r="AS590" s="49" t="str">
        <f>IF(AND('Choix pédagogiques'!$C$4&lt;&gt;"?",'Choix pédagogiques'!$C$5&lt;&gt;"?",X590&lt;&gt;""),(X590-'Choix pédagogiques'!$C$4)/('Choix pédagogiques'!$C$5-'Choix pédagogiques'!$C$4),"")</f>
        <v/>
      </c>
      <c r="AT590" s="49" t="str">
        <f>IF(AND('Choix pédagogiques'!$C$4&lt;&gt;"?",'Choix pédagogiques'!$C$5&lt;&gt;"?",Y590&lt;&gt;""),(Y590-'Choix pédagogiques'!$C$4)/('Choix pédagogiques'!$C$5-'Choix pédagogiques'!$C$4),"")</f>
        <v/>
      </c>
      <c r="AU590" s="22" t="str">
        <f t="shared" ref="AU590:AU653" si="444">IF($E590&lt;&gt;"",$E590,"")</f>
        <v/>
      </c>
      <c r="AV590" s="21" t="str">
        <f t="shared" ref="AV590:AV653" si="445">IF($F590&lt;&gt;"",$F590,"")</f>
        <v>Apprenant 578 ou 578'</v>
      </c>
      <c r="AW590" s="49" t="str">
        <f>IF(AND('Choix pédagogiques'!$C$4&lt;&gt;"?",'Choix pédagogiques'!$C$5&lt;&gt;"?",AB590&lt;&gt;""),(AB590-'Choix pédagogiques'!$C$4)/('Choix pédagogiques'!$C$5-'Choix pédagogiques'!$C$4),"")</f>
        <v/>
      </c>
      <c r="AX590" s="49" t="str">
        <f>IF(AND('Choix pédagogiques'!$C$4&lt;&gt;"?",'Choix pédagogiques'!$C$5&lt;&gt;"?",AC590&lt;&gt;""),(AC590-'Choix pédagogiques'!$C$4)/('Choix pédagogiques'!$C$5-'Choix pédagogiques'!$C$4),"")</f>
        <v/>
      </c>
      <c r="AY590" s="49" t="str">
        <f>IF(AND('Choix pédagogiques'!$C$4&lt;&gt;"?",'Choix pédagogiques'!$C$5&lt;&gt;"?",AD590&lt;&gt;""),(AD590-'Choix pédagogiques'!$C$4)/('Choix pédagogiques'!$C$5-'Choix pédagogiques'!$C$4),"")</f>
        <v/>
      </c>
      <c r="AZ590" s="22" t="str">
        <f t="shared" ref="AZ590:AZ653" si="446">IF($J590&lt;&gt;"",$J590,"")</f>
        <v/>
      </c>
      <c r="BA590" s="21" t="str">
        <f t="shared" ref="BA590:BA653" si="447">IF($A590&lt;&gt;"",$A590,"")</f>
        <v>Apprenant 578</v>
      </c>
      <c r="BB590" s="49" t="str">
        <f t="shared" si="419"/>
        <v/>
      </c>
      <c r="BC590" s="49" t="str">
        <f t="shared" si="420"/>
        <v/>
      </c>
      <c r="BD590" s="49" t="str">
        <f t="shared" si="421"/>
        <v/>
      </c>
      <c r="BE590" s="22" t="str">
        <f t="shared" ref="BE590:BE653" si="448">IF($E590&lt;&gt;"",$E590,"")</f>
        <v/>
      </c>
      <c r="BF590" s="21" t="str">
        <f t="shared" ref="BF590:BF653" si="449">IF($F590&lt;&gt;"",$F590,"")</f>
        <v>Apprenant 578 ou 578'</v>
      </c>
      <c r="BG590" s="49" t="str">
        <f t="shared" si="422"/>
        <v/>
      </c>
      <c r="BH590" s="49" t="str">
        <f t="shared" si="423"/>
        <v/>
      </c>
      <c r="BI590" s="49" t="str">
        <f t="shared" si="424"/>
        <v/>
      </c>
      <c r="BJ590" s="22" t="str">
        <f t="shared" ref="BJ590:BJ653" si="450">IF($J590&lt;&gt;"",$J590,"")</f>
        <v/>
      </c>
      <c r="BL590" s="21"/>
      <c r="BM590" s="21" t="str">
        <f>IF(OR(COUNT(B590:D1589)=0,AND('Choix pédagogiques'!$C$3&lt;&gt;1,'Choix pédagogiques'!$C$3&lt;&gt;2)),"",IF(AND(OR('Choix pédagogiques'!$C$3=1,'Choix pédagogiques'!$C$3=2),$B590&lt;&gt;"",$C590&lt;&gt;"",$D590&lt;&gt;""),1,0))</f>
        <v/>
      </c>
      <c r="BN590" s="21" t="str">
        <f>IF(OR(COUNT(G590:I1589)=0,AND('Choix pédagogiques'!$C$3&lt;&gt;1,'Choix pédagogiques'!$C$3&lt;&gt;2)),"",IF(AND(OR('Choix pédagogiques'!$C$3=1,'Choix pédagogiques'!$C$3=2),AND($G590&lt;&gt;"",$H590&lt;&gt;"",$I590&lt;&gt;"")),1,0))</f>
        <v/>
      </c>
      <c r="BO590" s="21" t="str">
        <f>IF(OR(COUNT(B590:D1589)=0,COUNT(G590:I1589)=0,'Choix pédagogiques'!C$3&lt;&gt;3),"",IF(AND('Choix pédagogiques'!$C$3=3,$B590&lt;&gt;"",$C590&lt;&gt;"",$D590&lt;&gt;"",$G590&lt;&gt;"",$H590&lt;&gt;"",$I590&lt;&gt;""),1,0))</f>
        <v/>
      </c>
      <c r="BR590" s="21">
        <v>207</v>
      </c>
      <c r="BS590" s="21">
        <v>1504</v>
      </c>
      <c r="BT590"/>
    </row>
    <row r="591" spans="1:72" s="23" customFormat="1" ht="18" customHeight="1" x14ac:dyDescent="0.3">
      <c r="A591" s="35" t="s">
        <v>581</v>
      </c>
      <c r="B591" s="37"/>
      <c r="C591" s="37"/>
      <c r="D591" s="37"/>
      <c r="E591" s="37"/>
      <c r="F591" s="35" t="s">
        <v>1589</v>
      </c>
      <c r="G591" s="37"/>
      <c r="H591" s="37"/>
      <c r="I591" s="37"/>
      <c r="J591" s="37"/>
      <c r="K591" s="21" t="str">
        <f t="shared" si="425"/>
        <v>Apprenant 579</v>
      </c>
      <c r="L591" s="22" t="str">
        <f t="shared" si="426"/>
        <v/>
      </c>
      <c r="M591" s="22" t="str">
        <f t="shared" si="427"/>
        <v/>
      </c>
      <c r="N591" s="22" t="str">
        <f t="shared" si="428"/>
        <v/>
      </c>
      <c r="O591" s="22" t="str">
        <f t="shared" si="429"/>
        <v/>
      </c>
      <c r="P591" s="21" t="str">
        <f t="shared" si="430"/>
        <v>Apprenant 579 ou 579'</v>
      </c>
      <c r="Q591" s="22" t="str">
        <f t="shared" si="431"/>
        <v/>
      </c>
      <c r="R591" s="22" t="str">
        <f t="shared" si="432"/>
        <v/>
      </c>
      <c r="S591" s="22" t="str">
        <f t="shared" si="433"/>
        <v/>
      </c>
      <c r="T591" s="22" t="str">
        <f t="shared" si="434"/>
        <v/>
      </c>
      <c r="V591" s="21" t="str">
        <f t="shared" si="435"/>
        <v>Apprenant 579</v>
      </c>
      <c r="W591" s="22" t="str">
        <f>IF(AND(OR('Choix pédagogiques'!$C$3=1,'Choix pédagogiques'!$C$3=2),$BM591=1),B591,IF(AND('Choix pédagogiques'!$C$3=3,$BO591=1),B591,""))</f>
        <v/>
      </c>
      <c r="X591" s="22" t="str">
        <f>IF(AND(OR('Choix pédagogiques'!$C$3=1,'Choix pédagogiques'!$C$3=2),$BM591=1),C591,IF(AND('Choix pédagogiques'!$C$3=3,$BO591=1),C591,""))</f>
        <v/>
      </c>
      <c r="Y591" s="22" t="str">
        <f>IF(AND(OR('Choix pédagogiques'!$C$3=1,'Choix pédagogiques'!$C$3=2),$BM591=1),D591,IF(AND('Choix pédagogiques'!$C$3=3,$BO591=1),D591,""))</f>
        <v/>
      </c>
      <c r="Z591" s="22" t="str">
        <f t="shared" si="436"/>
        <v/>
      </c>
      <c r="AA591" s="21" t="str">
        <f t="shared" si="437"/>
        <v>Apprenant 579 ou 579'</v>
      </c>
      <c r="AB591" s="22" t="str">
        <f>IF(AND(OR('Choix pédagogiques'!$C$3=1,'Choix pédagogiques'!$C$3=2),$BN591=1),G591,IF(AND('Choix pédagogiques'!$C$3=3,$BO591=1),G591,""))</f>
        <v/>
      </c>
      <c r="AC591" s="22" t="str">
        <f>IF(AND(OR('Choix pédagogiques'!$C$3=1,'Choix pédagogiques'!$C$3=2),$BN591=1),H591,IF(AND('Choix pédagogiques'!$C$3=3,$BO591=1),H591,""))</f>
        <v/>
      </c>
      <c r="AD591" s="22" t="str">
        <f>IF(AND(OR('Choix pédagogiques'!$C$3=1,'Choix pédagogiques'!$C$3=2),$BN591=1),I591,IF(AND('Choix pédagogiques'!$C$3=3,$BO591=1),I591,""))</f>
        <v/>
      </c>
      <c r="AE591" s="22" t="str">
        <f t="shared" si="438"/>
        <v/>
      </c>
      <c r="AF591" s="21" t="str">
        <f t="shared" si="439"/>
        <v>Apprenant 579</v>
      </c>
      <c r="AG591" s="22" t="str">
        <f t="shared" si="413"/>
        <v/>
      </c>
      <c r="AH591" s="22" t="str">
        <f t="shared" si="414"/>
        <v/>
      </c>
      <c r="AI591" s="22" t="str">
        <f t="shared" si="415"/>
        <v/>
      </c>
      <c r="AJ591" s="22" t="str">
        <f t="shared" si="440"/>
        <v/>
      </c>
      <c r="AK591" s="21" t="str">
        <f t="shared" si="441"/>
        <v>Apprenant 579 ou 579'</v>
      </c>
      <c r="AL591" s="22" t="str">
        <f t="shared" si="416"/>
        <v/>
      </c>
      <c r="AM591" s="22" t="str">
        <f t="shared" si="417"/>
        <v/>
      </c>
      <c r="AN591" s="22" t="str">
        <f t="shared" si="418"/>
        <v/>
      </c>
      <c r="AO591" s="22" t="str">
        <f t="shared" si="442"/>
        <v/>
      </c>
      <c r="AQ591" s="21" t="str">
        <f t="shared" si="443"/>
        <v>Apprenant 579</v>
      </c>
      <c r="AR591" s="49" t="str">
        <f>IF(AND('Choix pédagogiques'!$C$4&lt;&gt;"?",'Choix pédagogiques'!$C$5&lt;&gt;"?",W591&lt;&gt;""),(W591-'Choix pédagogiques'!$C$4)/('Choix pédagogiques'!$C$5-'Choix pédagogiques'!$C$4),"")</f>
        <v/>
      </c>
      <c r="AS591" s="49" t="str">
        <f>IF(AND('Choix pédagogiques'!$C$4&lt;&gt;"?",'Choix pédagogiques'!$C$5&lt;&gt;"?",X591&lt;&gt;""),(X591-'Choix pédagogiques'!$C$4)/('Choix pédagogiques'!$C$5-'Choix pédagogiques'!$C$4),"")</f>
        <v/>
      </c>
      <c r="AT591" s="49" t="str">
        <f>IF(AND('Choix pédagogiques'!$C$4&lt;&gt;"?",'Choix pédagogiques'!$C$5&lt;&gt;"?",Y591&lt;&gt;""),(Y591-'Choix pédagogiques'!$C$4)/('Choix pédagogiques'!$C$5-'Choix pédagogiques'!$C$4),"")</f>
        <v/>
      </c>
      <c r="AU591" s="22" t="str">
        <f t="shared" si="444"/>
        <v/>
      </c>
      <c r="AV591" s="21" t="str">
        <f t="shared" si="445"/>
        <v>Apprenant 579 ou 579'</v>
      </c>
      <c r="AW591" s="49" t="str">
        <f>IF(AND('Choix pédagogiques'!$C$4&lt;&gt;"?",'Choix pédagogiques'!$C$5&lt;&gt;"?",AB591&lt;&gt;""),(AB591-'Choix pédagogiques'!$C$4)/('Choix pédagogiques'!$C$5-'Choix pédagogiques'!$C$4),"")</f>
        <v/>
      </c>
      <c r="AX591" s="49" t="str">
        <f>IF(AND('Choix pédagogiques'!$C$4&lt;&gt;"?",'Choix pédagogiques'!$C$5&lt;&gt;"?",AC591&lt;&gt;""),(AC591-'Choix pédagogiques'!$C$4)/('Choix pédagogiques'!$C$5-'Choix pédagogiques'!$C$4),"")</f>
        <v/>
      </c>
      <c r="AY591" s="49" t="str">
        <f>IF(AND('Choix pédagogiques'!$C$4&lt;&gt;"?",'Choix pédagogiques'!$C$5&lt;&gt;"?",AD591&lt;&gt;""),(AD591-'Choix pédagogiques'!$C$4)/('Choix pédagogiques'!$C$5-'Choix pédagogiques'!$C$4),"")</f>
        <v/>
      </c>
      <c r="AZ591" s="22" t="str">
        <f t="shared" si="446"/>
        <v/>
      </c>
      <c r="BA591" s="21" t="str">
        <f t="shared" si="447"/>
        <v>Apprenant 579</v>
      </c>
      <c r="BB591" s="49" t="str">
        <f t="shared" si="419"/>
        <v/>
      </c>
      <c r="BC591" s="49" t="str">
        <f t="shared" si="420"/>
        <v/>
      </c>
      <c r="BD591" s="49" t="str">
        <f t="shared" si="421"/>
        <v/>
      </c>
      <c r="BE591" s="22" t="str">
        <f t="shared" si="448"/>
        <v/>
      </c>
      <c r="BF591" s="21" t="str">
        <f t="shared" si="449"/>
        <v>Apprenant 579 ou 579'</v>
      </c>
      <c r="BG591" s="49" t="str">
        <f t="shared" si="422"/>
        <v/>
      </c>
      <c r="BH591" s="49" t="str">
        <f t="shared" si="423"/>
        <v/>
      </c>
      <c r="BI591" s="49" t="str">
        <f t="shared" si="424"/>
        <v/>
      </c>
      <c r="BJ591" s="22" t="str">
        <f t="shared" si="450"/>
        <v/>
      </c>
      <c r="BL591" s="21"/>
      <c r="BM591" s="21" t="str">
        <f>IF(OR(COUNT(B591:D1590)=0,AND('Choix pédagogiques'!$C$3&lt;&gt;1,'Choix pédagogiques'!$C$3&lt;&gt;2)),"",IF(AND(OR('Choix pédagogiques'!$C$3=1,'Choix pédagogiques'!$C$3=2),$B591&lt;&gt;"",$C591&lt;&gt;"",$D591&lt;&gt;""),1,0))</f>
        <v/>
      </c>
      <c r="BN591" s="21" t="str">
        <f>IF(OR(COUNT(G591:I1590)=0,AND('Choix pédagogiques'!$C$3&lt;&gt;1,'Choix pédagogiques'!$C$3&lt;&gt;2)),"",IF(AND(OR('Choix pédagogiques'!$C$3=1,'Choix pédagogiques'!$C$3=2),AND($G591&lt;&gt;"",$H591&lt;&gt;"",$I591&lt;&gt;"")),1,0))</f>
        <v/>
      </c>
      <c r="BO591" s="21" t="str">
        <f>IF(OR(COUNT(B591:D1590)=0,COUNT(G591:I1590)=0,'Choix pédagogiques'!C$3&lt;&gt;3),"",IF(AND('Choix pédagogiques'!$C$3=3,$B591&lt;&gt;"",$C591&lt;&gt;"",$D591&lt;&gt;"",$G591&lt;&gt;"",$H591&lt;&gt;"",$I591&lt;&gt;""),1,0))</f>
        <v/>
      </c>
      <c r="BR591" s="21">
        <v>108</v>
      </c>
      <c r="BS591" s="21">
        <v>1736</v>
      </c>
      <c r="BT591"/>
    </row>
    <row r="592" spans="1:72" s="23" customFormat="1" ht="18" customHeight="1" x14ac:dyDescent="0.3">
      <c r="A592" s="35" t="s">
        <v>582</v>
      </c>
      <c r="B592" s="37"/>
      <c r="C592" s="37"/>
      <c r="D592" s="37"/>
      <c r="E592" s="37"/>
      <c r="F592" s="35" t="s">
        <v>1590</v>
      </c>
      <c r="G592" s="37"/>
      <c r="H592" s="37"/>
      <c r="I592" s="37"/>
      <c r="J592" s="37"/>
      <c r="K592" s="21" t="str">
        <f t="shared" si="425"/>
        <v>Apprenant 580</v>
      </c>
      <c r="L592" s="22" t="str">
        <f t="shared" si="426"/>
        <v/>
      </c>
      <c r="M592" s="22" t="str">
        <f t="shared" si="427"/>
        <v/>
      </c>
      <c r="N592" s="22" t="str">
        <f t="shared" si="428"/>
        <v/>
      </c>
      <c r="O592" s="22" t="str">
        <f t="shared" si="429"/>
        <v/>
      </c>
      <c r="P592" s="21" t="str">
        <f t="shared" si="430"/>
        <v>Apprenant 580 ou 580'</v>
      </c>
      <c r="Q592" s="22" t="str">
        <f t="shared" si="431"/>
        <v/>
      </c>
      <c r="R592" s="22" t="str">
        <f t="shared" si="432"/>
        <v/>
      </c>
      <c r="S592" s="22" t="str">
        <f t="shared" si="433"/>
        <v/>
      </c>
      <c r="T592" s="22" t="str">
        <f t="shared" si="434"/>
        <v/>
      </c>
      <c r="V592" s="21" t="str">
        <f t="shared" si="435"/>
        <v>Apprenant 580</v>
      </c>
      <c r="W592" s="22" t="str">
        <f>IF(AND(OR('Choix pédagogiques'!$C$3=1,'Choix pédagogiques'!$C$3=2),$BM592=1),B592,IF(AND('Choix pédagogiques'!$C$3=3,$BO592=1),B592,""))</f>
        <v/>
      </c>
      <c r="X592" s="22" t="str">
        <f>IF(AND(OR('Choix pédagogiques'!$C$3=1,'Choix pédagogiques'!$C$3=2),$BM592=1),C592,IF(AND('Choix pédagogiques'!$C$3=3,$BO592=1),C592,""))</f>
        <v/>
      </c>
      <c r="Y592" s="22" t="str">
        <f>IF(AND(OR('Choix pédagogiques'!$C$3=1,'Choix pédagogiques'!$C$3=2),$BM592=1),D592,IF(AND('Choix pédagogiques'!$C$3=3,$BO592=1),D592,""))</f>
        <v/>
      </c>
      <c r="Z592" s="22" t="str">
        <f t="shared" si="436"/>
        <v/>
      </c>
      <c r="AA592" s="21" t="str">
        <f t="shared" si="437"/>
        <v>Apprenant 580 ou 580'</v>
      </c>
      <c r="AB592" s="22" t="str">
        <f>IF(AND(OR('Choix pédagogiques'!$C$3=1,'Choix pédagogiques'!$C$3=2),$BN592=1),G592,IF(AND('Choix pédagogiques'!$C$3=3,$BO592=1),G592,""))</f>
        <v/>
      </c>
      <c r="AC592" s="22" t="str">
        <f>IF(AND(OR('Choix pédagogiques'!$C$3=1,'Choix pédagogiques'!$C$3=2),$BN592=1),H592,IF(AND('Choix pédagogiques'!$C$3=3,$BO592=1),H592,""))</f>
        <v/>
      </c>
      <c r="AD592" s="22" t="str">
        <f>IF(AND(OR('Choix pédagogiques'!$C$3=1,'Choix pédagogiques'!$C$3=2),$BN592=1),I592,IF(AND('Choix pédagogiques'!$C$3=3,$BO592=1),I592,""))</f>
        <v/>
      </c>
      <c r="AE592" s="22" t="str">
        <f t="shared" si="438"/>
        <v/>
      </c>
      <c r="AF592" s="21" t="str">
        <f t="shared" si="439"/>
        <v>Apprenant 580</v>
      </c>
      <c r="AG592" s="22" t="str">
        <f t="shared" si="413"/>
        <v/>
      </c>
      <c r="AH592" s="22" t="str">
        <f t="shared" si="414"/>
        <v/>
      </c>
      <c r="AI592" s="22" t="str">
        <f t="shared" si="415"/>
        <v/>
      </c>
      <c r="AJ592" s="22" t="str">
        <f t="shared" si="440"/>
        <v/>
      </c>
      <c r="AK592" s="21" t="str">
        <f t="shared" si="441"/>
        <v>Apprenant 580 ou 580'</v>
      </c>
      <c r="AL592" s="22" t="str">
        <f t="shared" si="416"/>
        <v/>
      </c>
      <c r="AM592" s="22" t="str">
        <f t="shared" si="417"/>
        <v/>
      </c>
      <c r="AN592" s="22" t="str">
        <f t="shared" si="418"/>
        <v/>
      </c>
      <c r="AO592" s="22" t="str">
        <f t="shared" si="442"/>
        <v/>
      </c>
      <c r="AQ592" s="21" t="str">
        <f t="shared" si="443"/>
        <v>Apprenant 580</v>
      </c>
      <c r="AR592" s="49" t="str">
        <f>IF(AND('Choix pédagogiques'!$C$4&lt;&gt;"?",'Choix pédagogiques'!$C$5&lt;&gt;"?",W592&lt;&gt;""),(W592-'Choix pédagogiques'!$C$4)/('Choix pédagogiques'!$C$5-'Choix pédagogiques'!$C$4),"")</f>
        <v/>
      </c>
      <c r="AS592" s="49" t="str">
        <f>IF(AND('Choix pédagogiques'!$C$4&lt;&gt;"?",'Choix pédagogiques'!$C$5&lt;&gt;"?",X592&lt;&gt;""),(X592-'Choix pédagogiques'!$C$4)/('Choix pédagogiques'!$C$5-'Choix pédagogiques'!$C$4),"")</f>
        <v/>
      </c>
      <c r="AT592" s="49" t="str">
        <f>IF(AND('Choix pédagogiques'!$C$4&lt;&gt;"?",'Choix pédagogiques'!$C$5&lt;&gt;"?",Y592&lt;&gt;""),(Y592-'Choix pédagogiques'!$C$4)/('Choix pédagogiques'!$C$5-'Choix pédagogiques'!$C$4),"")</f>
        <v/>
      </c>
      <c r="AU592" s="22" t="str">
        <f t="shared" si="444"/>
        <v/>
      </c>
      <c r="AV592" s="21" t="str">
        <f t="shared" si="445"/>
        <v>Apprenant 580 ou 580'</v>
      </c>
      <c r="AW592" s="49" t="str">
        <f>IF(AND('Choix pédagogiques'!$C$4&lt;&gt;"?",'Choix pédagogiques'!$C$5&lt;&gt;"?",AB592&lt;&gt;""),(AB592-'Choix pédagogiques'!$C$4)/('Choix pédagogiques'!$C$5-'Choix pédagogiques'!$C$4),"")</f>
        <v/>
      </c>
      <c r="AX592" s="49" t="str">
        <f>IF(AND('Choix pédagogiques'!$C$4&lt;&gt;"?",'Choix pédagogiques'!$C$5&lt;&gt;"?",AC592&lt;&gt;""),(AC592-'Choix pédagogiques'!$C$4)/('Choix pédagogiques'!$C$5-'Choix pédagogiques'!$C$4),"")</f>
        <v/>
      </c>
      <c r="AY592" s="49" t="str">
        <f>IF(AND('Choix pédagogiques'!$C$4&lt;&gt;"?",'Choix pédagogiques'!$C$5&lt;&gt;"?",AD592&lt;&gt;""),(AD592-'Choix pédagogiques'!$C$4)/('Choix pédagogiques'!$C$5-'Choix pédagogiques'!$C$4),"")</f>
        <v/>
      </c>
      <c r="AZ592" s="22" t="str">
        <f t="shared" si="446"/>
        <v/>
      </c>
      <c r="BA592" s="21" t="str">
        <f t="shared" si="447"/>
        <v>Apprenant 580</v>
      </c>
      <c r="BB592" s="49" t="str">
        <f t="shared" si="419"/>
        <v/>
      </c>
      <c r="BC592" s="49" t="str">
        <f t="shared" si="420"/>
        <v/>
      </c>
      <c r="BD592" s="49" t="str">
        <f t="shared" si="421"/>
        <v/>
      </c>
      <c r="BE592" s="22" t="str">
        <f t="shared" si="448"/>
        <v/>
      </c>
      <c r="BF592" s="21" t="str">
        <f t="shared" si="449"/>
        <v>Apprenant 580 ou 580'</v>
      </c>
      <c r="BG592" s="49" t="str">
        <f t="shared" si="422"/>
        <v/>
      </c>
      <c r="BH592" s="49" t="str">
        <f t="shared" si="423"/>
        <v/>
      </c>
      <c r="BI592" s="49" t="str">
        <f t="shared" si="424"/>
        <v/>
      </c>
      <c r="BJ592" s="22" t="str">
        <f t="shared" si="450"/>
        <v/>
      </c>
      <c r="BL592" s="21"/>
      <c r="BM592" s="21" t="str">
        <f>IF(OR(COUNT(B592:D1591)=0,AND('Choix pédagogiques'!$C$3&lt;&gt;1,'Choix pédagogiques'!$C$3&lt;&gt;2)),"",IF(AND(OR('Choix pédagogiques'!$C$3=1,'Choix pédagogiques'!$C$3=2),$B592&lt;&gt;"",$C592&lt;&gt;"",$D592&lt;&gt;""),1,0))</f>
        <v/>
      </c>
      <c r="BN592" s="21" t="str">
        <f>IF(OR(COUNT(G592:I1591)=0,AND('Choix pédagogiques'!$C$3&lt;&gt;1,'Choix pédagogiques'!$C$3&lt;&gt;2)),"",IF(AND(OR('Choix pédagogiques'!$C$3=1,'Choix pédagogiques'!$C$3=2),AND($G592&lt;&gt;"",$H592&lt;&gt;"",$I592&lt;&gt;"")),1,0))</f>
        <v/>
      </c>
      <c r="BO592" s="21" t="str">
        <f>IF(OR(COUNT(B592:D1591)=0,COUNT(G592:I1591)=0,'Choix pédagogiques'!C$3&lt;&gt;3),"",IF(AND('Choix pédagogiques'!$C$3=3,$B592&lt;&gt;"",$C592&lt;&gt;"",$D592&lt;&gt;"",$G592&lt;&gt;"",$H592&lt;&gt;"",$I592&lt;&gt;""),1,0))</f>
        <v/>
      </c>
      <c r="BR592" s="21">
        <v>654</v>
      </c>
      <c r="BS592" s="21">
        <v>1899</v>
      </c>
      <c r="BT592"/>
    </row>
    <row r="593" spans="1:72" s="23" customFormat="1" ht="18" customHeight="1" x14ac:dyDescent="0.3">
      <c r="A593" s="35" t="s">
        <v>583</v>
      </c>
      <c r="B593" s="37"/>
      <c r="C593" s="37"/>
      <c r="D593" s="37"/>
      <c r="E593" s="37"/>
      <c r="F593" s="35" t="s">
        <v>1591</v>
      </c>
      <c r="G593" s="37"/>
      <c r="H593" s="37"/>
      <c r="I593" s="37"/>
      <c r="J593" s="37"/>
      <c r="K593" s="21" t="str">
        <f t="shared" si="425"/>
        <v>Apprenant 581</v>
      </c>
      <c r="L593" s="22" t="str">
        <f t="shared" si="426"/>
        <v/>
      </c>
      <c r="M593" s="22" t="str">
        <f t="shared" si="427"/>
        <v/>
      </c>
      <c r="N593" s="22" t="str">
        <f t="shared" si="428"/>
        <v/>
      </c>
      <c r="O593" s="22" t="str">
        <f t="shared" si="429"/>
        <v/>
      </c>
      <c r="P593" s="21" t="str">
        <f t="shared" si="430"/>
        <v>Apprenant 581 ou 581'</v>
      </c>
      <c r="Q593" s="22" t="str">
        <f t="shared" si="431"/>
        <v/>
      </c>
      <c r="R593" s="22" t="str">
        <f t="shared" si="432"/>
        <v/>
      </c>
      <c r="S593" s="22" t="str">
        <f t="shared" si="433"/>
        <v/>
      </c>
      <c r="T593" s="22" t="str">
        <f t="shared" si="434"/>
        <v/>
      </c>
      <c r="V593" s="21" t="str">
        <f t="shared" si="435"/>
        <v>Apprenant 581</v>
      </c>
      <c r="W593" s="22" t="str">
        <f>IF(AND(OR('Choix pédagogiques'!$C$3=1,'Choix pédagogiques'!$C$3=2),$BM593=1),B593,IF(AND('Choix pédagogiques'!$C$3=3,$BO593=1),B593,""))</f>
        <v/>
      </c>
      <c r="X593" s="22" t="str">
        <f>IF(AND(OR('Choix pédagogiques'!$C$3=1,'Choix pédagogiques'!$C$3=2),$BM593=1),C593,IF(AND('Choix pédagogiques'!$C$3=3,$BO593=1),C593,""))</f>
        <v/>
      </c>
      <c r="Y593" s="22" t="str">
        <f>IF(AND(OR('Choix pédagogiques'!$C$3=1,'Choix pédagogiques'!$C$3=2),$BM593=1),D593,IF(AND('Choix pédagogiques'!$C$3=3,$BO593=1),D593,""))</f>
        <v/>
      </c>
      <c r="Z593" s="22" t="str">
        <f t="shared" si="436"/>
        <v/>
      </c>
      <c r="AA593" s="21" t="str">
        <f t="shared" si="437"/>
        <v>Apprenant 581 ou 581'</v>
      </c>
      <c r="AB593" s="22" t="str">
        <f>IF(AND(OR('Choix pédagogiques'!$C$3=1,'Choix pédagogiques'!$C$3=2),$BN593=1),G593,IF(AND('Choix pédagogiques'!$C$3=3,$BO593=1),G593,""))</f>
        <v/>
      </c>
      <c r="AC593" s="22" t="str">
        <f>IF(AND(OR('Choix pédagogiques'!$C$3=1,'Choix pédagogiques'!$C$3=2),$BN593=1),H593,IF(AND('Choix pédagogiques'!$C$3=3,$BO593=1),H593,""))</f>
        <v/>
      </c>
      <c r="AD593" s="22" t="str">
        <f>IF(AND(OR('Choix pédagogiques'!$C$3=1,'Choix pédagogiques'!$C$3=2),$BN593=1),I593,IF(AND('Choix pédagogiques'!$C$3=3,$BO593=1),I593,""))</f>
        <v/>
      </c>
      <c r="AE593" s="22" t="str">
        <f t="shared" si="438"/>
        <v/>
      </c>
      <c r="AF593" s="21" t="str">
        <f t="shared" si="439"/>
        <v>Apprenant 581</v>
      </c>
      <c r="AG593" s="22" t="str">
        <f t="shared" si="413"/>
        <v/>
      </c>
      <c r="AH593" s="22" t="str">
        <f t="shared" si="414"/>
        <v/>
      </c>
      <c r="AI593" s="22" t="str">
        <f t="shared" si="415"/>
        <v/>
      </c>
      <c r="AJ593" s="22" t="str">
        <f t="shared" si="440"/>
        <v/>
      </c>
      <c r="AK593" s="21" t="str">
        <f t="shared" si="441"/>
        <v>Apprenant 581 ou 581'</v>
      </c>
      <c r="AL593" s="22" t="str">
        <f t="shared" si="416"/>
        <v/>
      </c>
      <c r="AM593" s="22" t="str">
        <f t="shared" si="417"/>
        <v/>
      </c>
      <c r="AN593" s="22" t="str">
        <f t="shared" si="418"/>
        <v/>
      </c>
      <c r="AO593" s="22" t="str">
        <f t="shared" si="442"/>
        <v/>
      </c>
      <c r="AQ593" s="21" t="str">
        <f t="shared" si="443"/>
        <v>Apprenant 581</v>
      </c>
      <c r="AR593" s="49" t="str">
        <f>IF(AND('Choix pédagogiques'!$C$4&lt;&gt;"?",'Choix pédagogiques'!$C$5&lt;&gt;"?",W593&lt;&gt;""),(W593-'Choix pédagogiques'!$C$4)/('Choix pédagogiques'!$C$5-'Choix pédagogiques'!$C$4),"")</f>
        <v/>
      </c>
      <c r="AS593" s="49" t="str">
        <f>IF(AND('Choix pédagogiques'!$C$4&lt;&gt;"?",'Choix pédagogiques'!$C$5&lt;&gt;"?",X593&lt;&gt;""),(X593-'Choix pédagogiques'!$C$4)/('Choix pédagogiques'!$C$5-'Choix pédagogiques'!$C$4),"")</f>
        <v/>
      </c>
      <c r="AT593" s="49" t="str">
        <f>IF(AND('Choix pédagogiques'!$C$4&lt;&gt;"?",'Choix pédagogiques'!$C$5&lt;&gt;"?",Y593&lt;&gt;""),(Y593-'Choix pédagogiques'!$C$4)/('Choix pédagogiques'!$C$5-'Choix pédagogiques'!$C$4),"")</f>
        <v/>
      </c>
      <c r="AU593" s="22" t="str">
        <f t="shared" si="444"/>
        <v/>
      </c>
      <c r="AV593" s="21" t="str">
        <f t="shared" si="445"/>
        <v>Apprenant 581 ou 581'</v>
      </c>
      <c r="AW593" s="49" t="str">
        <f>IF(AND('Choix pédagogiques'!$C$4&lt;&gt;"?",'Choix pédagogiques'!$C$5&lt;&gt;"?",AB593&lt;&gt;""),(AB593-'Choix pédagogiques'!$C$4)/('Choix pédagogiques'!$C$5-'Choix pédagogiques'!$C$4),"")</f>
        <v/>
      </c>
      <c r="AX593" s="49" t="str">
        <f>IF(AND('Choix pédagogiques'!$C$4&lt;&gt;"?",'Choix pédagogiques'!$C$5&lt;&gt;"?",AC593&lt;&gt;""),(AC593-'Choix pédagogiques'!$C$4)/('Choix pédagogiques'!$C$5-'Choix pédagogiques'!$C$4),"")</f>
        <v/>
      </c>
      <c r="AY593" s="49" t="str">
        <f>IF(AND('Choix pédagogiques'!$C$4&lt;&gt;"?",'Choix pédagogiques'!$C$5&lt;&gt;"?",AD593&lt;&gt;""),(AD593-'Choix pédagogiques'!$C$4)/('Choix pédagogiques'!$C$5-'Choix pédagogiques'!$C$4),"")</f>
        <v/>
      </c>
      <c r="AZ593" s="22" t="str">
        <f t="shared" si="446"/>
        <v/>
      </c>
      <c r="BA593" s="21" t="str">
        <f t="shared" si="447"/>
        <v>Apprenant 581</v>
      </c>
      <c r="BB593" s="49" t="str">
        <f t="shared" si="419"/>
        <v/>
      </c>
      <c r="BC593" s="49" t="str">
        <f t="shared" si="420"/>
        <v/>
      </c>
      <c r="BD593" s="49" t="str">
        <f t="shared" si="421"/>
        <v/>
      </c>
      <c r="BE593" s="22" t="str">
        <f t="shared" si="448"/>
        <v/>
      </c>
      <c r="BF593" s="21" t="str">
        <f t="shared" si="449"/>
        <v>Apprenant 581 ou 581'</v>
      </c>
      <c r="BG593" s="49" t="str">
        <f t="shared" si="422"/>
        <v/>
      </c>
      <c r="BH593" s="49" t="str">
        <f t="shared" si="423"/>
        <v/>
      </c>
      <c r="BI593" s="49" t="str">
        <f t="shared" si="424"/>
        <v/>
      </c>
      <c r="BJ593" s="22" t="str">
        <f t="shared" si="450"/>
        <v/>
      </c>
      <c r="BL593" s="21"/>
      <c r="BM593" s="21" t="str">
        <f>IF(OR(COUNT(B593:D1592)=0,AND('Choix pédagogiques'!$C$3&lt;&gt;1,'Choix pédagogiques'!$C$3&lt;&gt;2)),"",IF(AND(OR('Choix pédagogiques'!$C$3=1,'Choix pédagogiques'!$C$3=2),$B593&lt;&gt;"",$C593&lt;&gt;"",$D593&lt;&gt;""),1,0))</f>
        <v/>
      </c>
      <c r="BN593" s="21" t="str">
        <f>IF(OR(COUNT(G593:I1592)=0,AND('Choix pédagogiques'!$C$3&lt;&gt;1,'Choix pédagogiques'!$C$3&lt;&gt;2)),"",IF(AND(OR('Choix pédagogiques'!$C$3=1,'Choix pédagogiques'!$C$3=2),AND($G593&lt;&gt;"",$H593&lt;&gt;"",$I593&lt;&gt;"")),1,0))</f>
        <v/>
      </c>
      <c r="BO593" s="21" t="str">
        <f>IF(OR(COUNT(B593:D1592)=0,COUNT(G593:I1592)=0,'Choix pédagogiques'!C$3&lt;&gt;3),"",IF(AND('Choix pédagogiques'!$C$3=3,$B593&lt;&gt;"",$C593&lt;&gt;"",$D593&lt;&gt;"",$G593&lt;&gt;"",$H593&lt;&gt;"",$I593&lt;&gt;""),1,0))</f>
        <v/>
      </c>
      <c r="BR593" s="21">
        <v>447</v>
      </c>
      <c r="BS593" s="21">
        <v>1263</v>
      </c>
      <c r="BT593"/>
    </row>
    <row r="594" spans="1:72" s="23" customFormat="1" ht="18" customHeight="1" x14ac:dyDescent="0.3">
      <c r="A594" s="35" t="s">
        <v>584</v>
      </c>
      <c r="B594" s="37"/>
      <c r="C594" s="37"/>
      <c r="D594" s="37"/>
      <c r="E594" s="37"/>
      <c r="F594" s="35" t="s">
        <v>1592</v>
      </c>
      <c r="G594" s="37"/>
      <c r="H594" s="37"/>
      <c r="I594" s="37"/>
      <c r="J594" s="37"/>
      <c r="K594" s="21" t="str">
        <f t="shared" si="425"/>
        <v>Apprenant 582</v>
      </c>
      <c r="L594" s="22" t="str">
        <f t="shared" si="426"/>
        <v/>
      </c>
      <c r="M594" s="22" t="str">
        <f t="shared" si="427"/>
        <v/>
      </c>
      <c r="N594" s="22" t="str">
        <f t="shared" si="428"/>
        <v/>
      </c>
      <c r="O594" s="22" t="str">
        <f t="shared" si="429"/>
        <v/>
      </c>
      <c r="P594" s="21" t="str">
        <f t="shared" si="430"/>
        <v>Apprenant 582 ou 582'</v>
      </c>
      <c r="Q594" s="22" t="str">
        <f t="shared" si="431"/>
        <v/>
      </c>
      <c r="R594" s="22" t="str">
        <f t="shared" si="432"/>
        <v/>
      </c>
      <c r="S594" s="22" t="str">
        <f t="shared" si="433"/>
        <v/>
      </c>
      <c r="T594" s="22" t="str">
        <f t="shared" si="434"/>
        <v/>
      </c>
      <c r="V594" s="21" t="str">
        <f t="shared" si="435"/>
        <v>Apprenant 582</v>
      </c>
      <c r="W594" s="22" t="str">
        <f>IF(AND(OR('Choix pédagogiques'!$C$3=1,'Choix pédagogiques'!$C$3=2),$BM594=1),B594,IF(AND('Choix pédagogiques'!$C$3=3,$BO594=1),B594,""))</f>
        <v/>
      </c>
      <c r="X594" s="22" t="str">
        <f>IF(AND(OR('Choix pédagogiques'!$C$3=1,'Choix pédagogiques'!$C$3=2),$BM594=1),C594,IF(AND('Choix pédagogiques'!$C$3=3,$BO594=1),C594,""))</f>
        <v/>
      </c>
      <c r="Y594" s="22" t="str">
        <f>IF(AND(OR('Choix pédagogiques'!$C$3=1,'Choix pédagogiques'!$C$3=2),$BM594=1),D594,IF(AND('Choix pédagogiques'!$C$3=3,$BO594=1),D594,""))</f>
        <v/>
      </c>
      <c r="Z594" s="22" t="str">
        <f t="shared" si="436"/>
        <v/>
      </c>
      <c r="AA594" s="21" t="str">
        <f t="shared" si="437"/>
        <v>Apprenant 582 ou 582'</v>
      </c>
      <c r="AB594" s="22" t="str">
        <f>IF(AND(OR('Choix pédagogiques'!$C$3=1,'Choix pédagogiques'!$C$3=2),$BN594=1),G594,IF(AND('Choix pédagogiques'!$C$3=3,$BO594=1),G594,""))</f>
        <v/>
      </c>
      <c r="AC594" s="22" t="str">
        <f>IF(AND(OR('Choix pédagogiques'!$C$3=1,'Choix pédagogiques'!$C$3=2),$BN594=1),H594,IF(AND('Choix pédagogiques'!$C$3=3,$BO594=1),H594,""))</f>
        <v/>
      </c>
      <c r="AD594" s="22" t="str">
        <f>IF(AND(OR('Choix pédagogiques'!$C$3=1,'Choix pédagogiques'!$C$3=2),$BN594=1),I594,IF(AND('Choix pédagogiques'!$C$3=3,$BO594=1),I594,""))</f>
        <v/>
      </c>
      <c r="AE594" s="22" t="str">
        <f t="shared" si="438"/>
        <v/>
      </c>
      <c r="AF594" s="21" t="str">
        <f t="shared" si="439"/>
        <v>Apprenant 582</v>
      </c>
      <c r="AG594" s="22" t="str">
        <f t="shared" si="413"/>
        <v/>
      </c>
      <c r="AH594" s="22" t="str">
        <f t="shared" si="414"/>
        <v/>
      </c>
      <c r="AI594" s="22" t="str">
        <f t="shared" si="415"/>
        <v/>
      </c>
      <c r="AJ594" s="22" t="str">
        <f t="shared" si="440"/>
        <v/>
      </c>
      <c r="AK594" s="21" t="str">
        <f t="shared" si="441"/>
        <v>Apprenant 582 ou 582'</v>
      </c>
      <c r="AL594" s="22" t="str">
        <f t="shared" si="416"/>
        <v/>
      </c>
      <c r="AM594" s="22" t="str">
        <f t="shared" si="417"/>
        <v/>
      </c>
      <c r="AN594" s="22" t="str">
        <f t="shared" si="418"/>
        <v/>
      </c>
      <c r="AO594" s="22" t="str">
        <f t="shared" si="442"/>
        <v/>
      </c>
      <c r="AQ594" s="21" t="str">
        <f t="shared" si="443"/>
        <v>Apprenant 582</v>
      </c>
      <c r="AR594" s="49" t="str">
        <f>IF(AND('Choix pédagogiques'!$C$4&lt;&gt;"?",'Choix pédagogiques'!$C$5&lt;&gt;"?",W594&lt;&gt;""),(W594-'Choix pédagogiques'!$C$4)/('Choix pédagogiques'!$C$5-'Choix pédagogiques'!$C$4),"")</f>
        <v/>
      </c>
      <c r="AS594" s="49" t="str">
        <f>IF(AND('Choix pédagogiques'!$C$4&lt;&gt;"?",'Choix pédagogiques'!$C$5&lt;&gt;"?",X594&lt;&gt;""),(X594-'Choix pédagogiques'!$C$4)/('Choix pédagogiques'!$C$5-'Choix pédagogiques'!$C$4),"")</f>
        <v/>
      </c>
      <c r="AT594" s="49" t="str">
        <f>IF(AND('Choix pédagogiques'!$C$4&lt;&gt;"?",'Choix pédagogiques'!$C$5&lt;&gt;"?",Y594&lt;&gt;""),(Y594-'Choix pédagogiques'!$C$4)/('Choix pédagogiques'!$C$5-'Choix pédagogiques'!$C$4),"")</f>
        <v/>
      </c>
      <c r="AU594" s="22" t="str">
        <f t="shared" si="444"/>
        <v/>
      </c>
      <c r="AV594" s="21" t="str">
        <f t="shared" si="445"/>
        <v>Apprenant 582 ou 582'</v>
      </c>
      <c r="AW594" s="49" t="str">
        <f>IF(AND('Choix pédagogiques'!$C$4&lt;&gt;"?",'Choix pédagogiques'!$C$5&lt;&gt;"?",AB594&lt;&gt;""),(AB594-'Choix pédagogiques'!$C$4)/('Choix pédagogiques'!$C$5-'Choix pédagogiques'!$C$4),"")</f>
        <v/>
      </c>
      <c r="AX594" s="49" t="str">
        <f>IF(AND('Choix pédagogiques'!$C$4&lt;&gt;"?",'Choix pédagogiques'!$C$5&lt;&gt;"?",AC594&lt;&gt;""),(AC594-'Choix pédagogiques'!$C$4)/('Choix pédagogiques'!$C$5-'Choix pédagogiques'!$C$4),"")</f>
        <v/>
      </c>
      <c r="AY594" s="49" t="str">
        <f>IF(AND('Choix pédagogiques'!$C$4&lt;&gt;"?",'Choix pédagogiques'!$C$5&lt;&gt;"?",AD594&lt;&gt;""),(AD594-'Choix pédagogiques'!$C$4)/('Choix pédagogiques'!$C$5-'Choix pédagogiques'!$C$4),"")</f>
        <v/>
      </c>
      <c r="AZ594" s="22" t="str">
        <f t="shared" si="446"/>
        <v/>
      </c>
      <c r="BA594" s="21" t="str">
        <f t="shared" si="447"/>
        <v>Apprenant 582</v>
      </c>
      <c r="BB594" s="49" t="str">
        <f t="shared" si="419"/>
        <v/>
      </c>
      <c r="BC594" s="49" t="str">
        <f t="shared" si="420"/>
        <v/>
      </c>
      <c r="BD594" s="49" t="str">
        <f t="shared" si="421"/>
        <v/>
      </c>
      <c r="BE594" s="22" t="str">
        <f t="shared" si="448"/>
        <v/>
      </c>
      <c r="BF594" s="21" t="str">
        <f t="shared" si="449"/>
        <v>Apprenant 582 ou 582'</v>
      </c>
      <c r="BG594" s="49" t="str">
        <f t="shared" si="422"/>
        <v/>
      </c>
      <c r="BH594" s="49" t="str">
        <f t="shared" si="423"/>
        <v/>
      </c>
      <c r="BI594" s="49" t="str">
        <f t="shared" si="424"/>
        <v/>
      </c>
      <c r="BJ594" s="22" t="str">
        <f t="shared" si="450"/>
        <v/>
      </c>
      <c r="BL594" s="21"/>
      <c r="BM594" s="21" t="str">
        <f>IF(OR(COUNT(B594:D1593)=0,AND('Choix pédagogiques'!$C$3&lt;&gt;1,'Choix pédagogiques'!$C$3&lt;&gt;2)),"",IF(AND(OR('Choix pédagogiques'!$C$3=1,'Choix pédagogiques'!$C$3=2),$B594&lt;&gt;"",$C594&lt;&gt;"",$D594&lt;&gt;""),1,0))</f>
        <v/>
      </c>
      <c r="BN594" s="21" t="str">
        <f>IF(OR(COUNT(G594:I1593)=0,AND('Choix pédagogiques'!$C$3&lt;&gt;1,'Choix pédagogiques'!$C$3&lt;&gt;2)),"",IF(AND(OR('Choix pédagogiques'!$C$3=1,'Choix pédagogiques'!$C$3=2),AND($G594&lt;&gt;"",$H594&lt;&gt;"",$I594&lt;&gt;"")),1,0))</f>
        <v/>
      </c>
      <c r="BO594" s="21" t="str">
        <f>IF(OR(COUNT(B594:D1593)=0,COUNT(G594:I1593)=0,'Choix pédagogiques'!C$3&lt;&gt;3),"",IF(AND('Choix pédagogiques'!$C$3=3,$B594&lt;&gt;"",$C594&lt;&gt;"",$D594&lt;&gt;"",$G594&lt;&gt;"",$H594&lt;&gt;"",$I594&lt;&gt;""),1,0))</f>
        <v/>
      </c>
      <c r="BR594" s="21">
        <v>972</v>
      </c>
      <c r="BS594" s="21">
        <v>1613</v>
      </c>
      <c r="BT594"/>
    </row>
    <row r="595" spans="1:72" s="23" customFormat="1" ht="18" customHeight="1" x14ac:dyDescent="0.3">
      <c r="A595" s="35" t="s">
        <v>585</v>
      </c>
      <c r="B595" s="37"/>
      <c r="C595" s="37"/>
      <c r="D595" s="37"/>
      <c r="E595" s="37"/>
      <c r="F595" s="35" t="s">
        <v>1593</v>
      </c>
      <c r="G595" s="37"/>
      <c r="H595" s="37"/>
      <c r="I595" s="37"/>
      <c r="J595" s="37"/>
      <c r="K595" s="21" t="str">
        <f t="shared" si="425"/>
        <v>Apprenant 583</v>
      </c>
      <c r="L595" s="22" t="str">
        <f t="shared" si="426"/>
        <v/>
      </c>
      <c r="M595" s="22" t="str">
        <f t="shared" si="427"/>
        <v/>
      </c>
      <c r="N595" s="22" t="str">
        <f t="shared" si="428"/>
        <v/>
      </c>
      <c r="O595" s="22" t="str">
        <f t="shared" si="429"/>
        <v/>
      </c>
      <c r="P595" s="21" t="str">
        <f t="shared" si="430"/>
        <v>Apprenant 583 ou 583'</v>
      </c>
      <c r="Q595" s="22" t="str">
        <f t="shared" si="431"/>
        <v/>
      </c>
      <c r="R595" s="22" t="str">
        <f t="shared" si="432"/>
        <v/>
      </c>
      <c r="S595" s="22" t="str">
        <f t="shared" si="433"/>
        <v/>
      </c>
      <c r="T595" s="22" t="str">
        <f t="shared" si="434"/>
        <v/>
      </c>
      <c r="V595" s="21" t="str">
        <f t="shared" si="435"/>
        <v>Apprenant 583</v>
      </c>
      <c r="W595" s="22" t="str">
        <f>IF(AND(OR('Choix pédagogiques'!$C$3=1,'Choix pédagogiques'!$C$3=2),$BM595=1),B595,IF(AND('Choix pédagogiques'!$C$3=3,$BO595=1),B595,""))</f>
        <v/>
      </c>
      <c r="X595" s="22" t="str">
        <f>IF(AND(OR('Choix pédagogiques'!$C$3=1,'Choix pédagogiques'!$C$3=2),$BM595=1),C595,IF(AND('Choix pédagogiques'!$C$3=3,$BO595=1),C595,""))</f>
        <v/>
      </c>
      <c r="Y595" s="22" t="str">
        <f>IF(AND(OR('Choix pédagogiques'!$C$3=1,'Choix pédagogiques'!$C$3=2),$BM595=1),D595,IF(AND('Choix pédagogiques'!$C$3=3,$BO595=1),D595,""))</f>
        <v/>
      </c>
      <c r="Z595" s="22" t="str">
        <f t="shared" si="436"/>
        <v/>
      </c>
      <c r="AA595" s="21" t="str">
        <f t="shared" si="437"/>
        <v>Apprenant 583 ou 583'</v>
      </c>
      <c r="AB595" s="22" t="str">
        <f>IF(AND(OR('Choix pédagogiques'!$C$3=1,'Choix pédagogiques'!$C$3=2),$BN595=1),G595,IF(AND('Choix pédagogiques'!$C$3=3,$BO595=1),G595,""))</f>
        <v/>
      </c>
      <c r="AC595" s="22" t="str">
        <f>IF(AND(OR('Choix pédagogiques'!$C$3=1,'Choix pédagogiques'!$C$3=2),$BN595=1),H595,IF(AND('Choix pédagogiques'!$C$3=3,$BO595=1),H595,""))</f>
        <v/>
      </c>
      <c r="AD595" s="22" t="str">
        <f>IF(AND(OR('Choix pédagogiques'!$C$3=1,'Choix pédagogiques'!$C$3=2),$BN595=1),I595,IF(AND('Choix pédagogiques'!$C$3=3,$BO595=1),I595,""))</f>
        <v/>
      </c>
      <c r="AE595" s="22" t="str">
        <f t="shared" si="438"/>
        <v/>
      </c>
      <c r="AF595" s="21" t="str">
        <f t="shared" si="439"/>
        <v>Apprenant 583</v>
      </c>
      <c r="AG595" s="22" t="str">
        <f t="shared" si="413"/>
        <v/>
      </c>
      <c r="AH595" s="22" t="str">
        <f t="shared" si="414"/>
        <v/>
      </c>
      <c r="AI595" s="22" t="str">
        <f t="shared" si="415"/>
        <v/>
      </c>
      <c r="AJ595" s="22" t="str">
        <f t="shared" si="440"/>
        <v/>
      </c>
      <c r="AK595" s="21" t="str">
        <f t="shared" si="441"/>
        <v>Apprenant 583 ou 583'</v>
      </c>
      <c r="AL595" s="22" t="str">
        <f t="shared" si="416"/>
        <v/>
      </c>
      <c r="AM595" s="22" t="str">
        <f t="shared" si="417"/>
        <v/>
      </c>
      <c r="AN595" s="22" t="str">
        <f t="shared" si="418"/>
        <v/>
      </c>
      <c r="AO595" s="22" t="str">
        <f t="shared" si="442"/>
        <v/>
      </c>
      <c r="AQ595" s="21" t="str">
        <f t="shared" si="443"/>
        <v>Apprenant 583</v>
      </c>
      <c r="AR595" s="49" t="str">
        <f>IF(AND('Choix pédagogiques'!$C$4&lt;&gt;"?",'Choix pédagogiques'!$C$5&lt;&gt;"?",W595&lt;&gt;""),(W595-'Choix pédagogiques'!$C$4)/('Choix pédagogiques'!$C$5-'Choix pédagogiques'!$C$4),"")</f>
        <v/>
      </c>
      <c r="AS595" s="49" t="str">
        <f>IF(AND('Choix pédagogiques'!$C$4&lt;&gt;"?",'Choix pédagogiques'!$C$5&lt;&gt;"?",X595&lt;&gt;""),(X595-'Choix pédagogiques'!$C$4)/('Choix pédagogiques'!$C$5-'Choix pédagogiques'!$C$4),"")</f>
        <v/>
      </c>
      <c r="AT595" s="49" t="str">
        <f>IF(AND('Choix pédagogiques'!$C$4&lt;&gt;"?",'Choix pédagogiques'!$C$5&lt;&gt;"?",Y595&lt;&gt;""),(Y595-'Choix pédagogiques'!$C$4)/('Choix pédagogiques'!$C$5-'Choix pédagogiques'!$C$4),"")</f>
        <v/>
      </c>
      <c r="AU595" s="22" t="str">
        <f t="shared" si="444"/>
        <v/>
      </c>
      <c r="AV595" s="21" t="str">
        <f t="shared" si="445"/>
        <v>Apprenant 583 ou 583'</v>
      </c>
      <c r="AW595" s="49" t="str">
        <f>IF(AND('Choix pédagogiques'!$C$4&lt;&gt;"?",'Choix pédagogiques'!$C$5&lt;&gt;"?",AB595&lt;&gt;""),(AB595-'Choix pédagogiques'!$C$4)/('Choix pédagogiques'!$C$5-'Choix pédagogiques'!$C$4),"")</f>
        <v/>
      </c>
      <c r="AX595" s="49" t="str">
        <f>IF(AND('Choix pédagogiques'!$C$4&lt;&gt;"?",'Choix pédagogiques'!$C$5&lt;&gt;"?",AC595&lt;&gt;""),(AC595-'Choix pédagogiques'!$C$4)/('Choix pédagogiques'!$C$5-'Choix pédagogiques'!$C$4),"")</f>
        <v/>
      </c>
      <c r="AY595" s="49" t="str">
        <f>IF(AND('Choix pédagogiques'!$C$4&lt;&gt;"?",'Choix pédagogiques'!$C$5&lt;&gt;"?",AD595&lt;&gt;""),(AD595-'Choix pédagogiques'!$C$4)/('Choix pédagogiques'!$C$5-'Choix pédagogiques'!$C$4),"")</f>
        <v/>
      </c>
      <c r="AZ595" s="22" t="str">
        <f t="shared" si="446"/>
        <v/>
      </c>
      <c r="BA595" s="21" t="str">
        <f t="shared" si="447"/>
        <v>Apprenant 583</v>
      </c>
      <c r="BB595" s="49" t="str">
        <f t="shared" si="419"/>
        <v/>
      </c>
      <c r="BC595" s="49" t="str">
        <f t="shared" si="420"/>
        <v/>
      </c>
      <c r="BD595" s="49" t="str">
        <f t="shared" si="421"/>
        <v/>
      </c>
      <c r="BE595" s="22" t="str">
        <f t="shared" si="448"/>
        <v/>
      </c>
      <c r="BF595" s="21" t="str">
        <f t="shared" si="449"/>
        <v>Apprenant 583 ou 583'</v>
      </c>
      <c r="BG595" s="49" t="str">
        <f t="shared" si="422"/>
        <v/>
      </c>
      <c r="BH595" s="49" t="str">
        <f t="shared" si="423"/>
        <v/>
      </c>
      <c r="BI595" s="49" t="str">
        <f t="shared" si="424"/>
        <v/>
      </c>
      <c r="BJ595" s="22" t="str">
        <f t="shared" si="450"/>
        <v/>
      </c>
      <c r="BL595" s="21"/>
      <c r="BM595" s="21" t="str">
        <f>IF(OR(COUNT(B595:D1594)=0,AND('Choix pédagogiques'!$C$3&lt;&gt;1,'Choix pédagogiques'!$C$3&lt;&gt;2)),"",IF(AND(OR('Choix pédagogiques'!$C$3=1,'Choix pédagogiques'!$C$3=2),$B595&lt;&gt;"",$C595&lt;&gt;"",$D595&lt;&gt;""),1,0))</f>
        <v/>
      </c>
      <c r="BN595" s="21" t="str">
        <f>IF(OR(COUNT(G595:I1594)=0,AND('Choix pédagogiques'!$C$3&lt;&gt;1,'Choix pédagogiques'!$C$3&lt;&gt;2)),"",IF(AND(OR('Choix pédagogiques'!$C$3=1,'Choix pédagogiques'!$C$3=2),AND($G595&lt;&gt;"",$H595&lt;&gt;"",$I595&lt;&gt;"")),1,0))</f>
        <v/>
      </c>
      <c r="BO595" s="21" t="str">
        <f>IF(OR(COUNT(B595:D1594)=0,COUNT(G595:I1594)=0,'Choix pédagogiques'!C$3&lt;&gt;3),"",IF(AND('Choix pédagogiques'!$C$3=3,$B595&lt;&gt;"",$C595&lt;&gt;"",$D595&lt;&gt;"",$G595&lt;&gt;"",$H595&lt;&gt;"",$I595&lt;&gt;""),1,0))</f>
        <v/>
      </c>
      <c r="BR595" s="21">
        <v>776</v>
      </c>
      <c r="BS595" s="21">
        <v>1255</v>
      </c>
      <c r="BT595"/>
    </row>
    <row r="596" spans="1:72" s="23" customFormat="1" ht="18" customHeight="1" x14ac:dyDescent="0.3">
      <c r="A596" s="35" t="s">
        <v>586</v>
      </c>
      <c r="B596" s="37"/>
      <c r="C596" s="37"/>
      <c r="D596" s="37"/>
      <c r="E596" s="37"/>
      <c r="F596" s="35" t="s">
        <v>1594</v>
      </c>
      <c r="G596" s="37"/>
      <c r="H596" s="37"/>
      <c r="I596" s="37"/>
      <c r="J596" s="37"/>
      <c r="K596" s="21" t="str">
        <f t="shared" si="425"/>
        <v>Apprenant 584</v>
      </c>
      <c r="L596" s="22" t="str">
        <f t="shared" si="426"/>
        <v/>
      </c>
      <c r="M596" s="22" t="str">
        <f t="shared" si="427"/>
        <v/>
      </c>
      <c r="N596" s="22" t="str">
        <f t="shared" si="428"/>
        <v/>
      </c>
      <c r="O596" s="22" t="str">
        <f t="shared" si="429"/>
        <v/>
      </c>
      <c r="P596" s="21" t="str">
        <f t="shared" si="430"/>
        <v>Apprenant 584 ou 584'</v>
      </c>
      <c r="Q596" s="22" t="str">
        <f t="shared" si="431"/>
        <v/>
      </c>
      <c r="R596" s="22" t="str">
        <f t="shared" si="432"/>
        <v/>
      </c>
      <c r="S596" s="22" t="str">
        <f t="shared" si="433"/>
        <v/>
      </c>
      <c r="T596" s="22" t="str">
        <f t="shared" si="434"/>
        <v/>
      </c>
      <c r="V596" s="21" t="str">
        <f t="shared" si="435"/>
        <v>Apprenant 584</v>
      </c>
      <c r="W596" s="22" t="str">
        <f>IF(AND(OR('Choix pédagogiques'!$C$3=1,'Choix pédagogiques'!$C$3=2),$BM596=1),B596,IF(AND('Choix pédagogiques'!$C$3=3,$BO596=1),B596,""))</f>
        <v/>
      </c>
      <c r="X596" s="22" t="str">
        <f>IF(AND(OR('Choix pédagogiques'!$C$3=1,'Choix pédagogiques'!$C$3=2),$BM596=1),C596,IF(AND('Choix pédagogiques'!$C$3=3,$BO596=1),C596,""))</f>
        <v/>
      </c>
      <c r="Y596" s="22" t="str">
        <f>IF(AND(OR('Choix pédagogiques'!$C$3=1,'Choix pédagogiques'!$C$3=2),$BM596=1),D596,IF(AND('Choix pédagogiques'!$C$3=3,$BO596=1),D596,""))</f>
        <v/>
      </c>
      <c r="Z596" s="22" t="str">
        <f t="shared" si="436"/>
        <v/>
      </c>
      <c r="AA596" s="21" t="str">
        <f t="shared" si="437"/>
        <v>Apprenant 584 ou 584'</v>
      </c>
      <c r="AB596" s="22" t="str">
        <f>IF(AND(OR('Choix pédagogiques'!$C$3=1,'Choix pédagogiques'!$C$3=2),$BN596=1),G596,IF(AND('Choix pédagogiques'!$C$3=3,$BO596=1),G596,""))</f>
        <v/>
      </c>
      <c r="AC596" s="22" t="str">
        <f>IF(AND(OR('Choix pédagogiques'!$C$3=1,'Choix pédagogiques'!$C$3=2),$BN596=1),H596,IF(AND('Choix pédagogiques'!$C$3=3,$BO596=1),H596,""))</f>
        <v/>
      </c>
      <c r="AD596" s="22" t="str">
        <f>IF(AND(OR('Choix pédagogiques'!$C$3=1,'Choix pédagogiques'!$C$3=2),$BN596=1),I596,IF(AND('Choix pédagogiques'!$C$3=3,$BO596=1),I596,""))</f>
        <v/>
      </c>
      <c r="AE596" s="22" t="str">
        <f t="shared" si="438"/>
        <v/>
      </c>
      <c r="AF596" s="21" t="str">
        <f t="shared" si="439"/>
        <v>Apprenant 584</v>
      </c>
      <c r="AG596" s="22" t="str">
        <f t="shared" si="413"/>
        <v/>
      </c>
      <c r="AH596" s="22" t="str">
        <f t="shared" si="414"/>
        <v/>
      </c>
      <c r="AI596" s="22" t="str">
        <f t="shared" si="415"/>
        <v/>
      </c>
      <c r="AJ596" s="22" t="str">
        <f t="shared" si="440"/>
        <v/>
      </c>
      <c r="AK596" s="21" t="str">
        <f t="shared" si="441"/>
        <v>Apprenant 584 ou 584'</v>
      </c>
      <c r="AL596" s="22" t="str">
        <f t="shared" si="416"/>
        <v/>
      </c>
      <c r="AM596" s="22" t="str">
        <f t="shared" si="417"/>
        <v/>
      </c>
      <c r="AN596" s="22" t="str">
        <f t="shared" si="418"/>
        <v/>
      </c>
      <c r="AO596" s="22" t="str">
        <f t="shared" si="442"/>
        <v/>
      </c>
      <c r="AQ596" s="21" t="str">
        <f t="shared" si="443"/>
        <v>Apprenant 584</v>
      </c>
      <c r="AR596" s="49" t="str">
        <f>IF(AND('Choix pédagogiques'!$C$4&lt;&gt;"?",'Choix pédagogiques'!$C$5&lt;&gt;"?",W596&lt;&gt;""),(W596-'Choix pédagogiques'!$C$4)/('Choix pédagogiques'!$C$5-'Choix pédagogiques'!$C$4),"")</f>
        <v/>
      </c>
      <c r="AS596" s="49" t="str">
        <f>IF(AND('Choix pédagogiques'!$C$4&lt;&gt;"?",'Choix pédagogiques'!$C$5&lt;&gt;"?",X596&lt;&gt;""),(X596-'Choix pédagogiques'!$C$4)/('Choix pédagogiques'!$C$5-'Choix pédagogiques'!$C$4),"")</f>
        <v/>
      </c>
      <c r="AT596" s="49" t="str">
        <f>IF(AND('Choix pédagogiques'!$C$4&lt;&gt;"?",'Choix pédagogiques'!$C$5&lt;&gt;"?",Y596&lt;&gt;""),(Y596-'Choix pédagogiques'!$C$4)/('Choix pédagogiques'!$C$5-'Choix pédagogiques'!$C$4),"")</f>
        <v/>
      </c>
      <c r="AU596" s="22" t="str">
        <f t="shared" si="444"/>
        <v/>
      </c>
      <c r="AV596" s="21" t="str">
        <f t="shared" si="445"/>
        <v>Apprenant 584 ou 584'</v>
      </c>
      <c r="AW596" s="49" t="str">
        <f>IF(AND('Choix pédagogiques'!$C$4&lt;&gt;"?",'Choix pédagogiques'!$C$5&lt;&gt;"?",AB596&lt;&gt;""),(AB596-'Choix pédagogiques'!$C$4)/('Choix pédagogiques'!$C$5-'Choix pédagogiques'!$C$4),"")</f>
        <v/>
      </c>
      <c r="AX596" s="49" t="str">
        <f>IF(AND('Choix pédagogiques'!$C$4&lt;&gt;"?",'Choix pédagogiques'!$C$5&lt;&gt;"?",AC596&lt;&gt;""),(AC596-'Choix pédagogiques'!$C$4)/('Choix pédagogiques'!$C$5-'Choix pédagogiques'!$C$4),"")</f>
        <v/>
      </c>
      <c r="AY596" s="49" t="str">
        <f>IF(AND('Choix pédagogiques'!$C$4&lt;&gt;"?",'Choix pédagogiques'!$C$5&lt;&gt;"?",AD596&lt;&gt;""),(AD596-'Choix pédagogiques'!$C$4)/('Choix pédagogiques'!$C$5-'Choix pédagogiques'!$C$4),"")</f>
        <v/>
      </c>
      <c r="AZ596" s="22" t="str">
        <f t="shared" si="446"/>
        <v/>
      </c>
      <c r="BA596" s="21" t="str">
        <f t="shared" si="447"/>
        <v>Apprenant 584</v>
      </c>
      <c r="BB596" s="49" t="str">
        <f t="shared" si="419"/>
        <v/>
      </c>
      <c r="BC596" s="49" t="str">
        <f t="shared" si="420"/>
        <v/>
      </c>
      <c r="BD596" s="49" t="str">
        <f t="shared" si="421"/>
        <v/>
      </c>
      <c r="BE596" s="22" t="str">
        <f t="shared" si="448"/>
        <v/>
      </c>
      <c r="BF596" s="21" t="str">
        <f t="shared" si="449"/>
        <v>Apprenant 584 ou 584'</v>
      </c>
      <c r="BG596" s="49" t="str">
        <f t="shared" si="422"/>
        <v/>
      </c>
      <c r="BH596" s="49" t="str">
        <f t="shared" si="423"/>
        <v/>
      </c>
      <c r="BI596" s="49" t="str">
        <f t="shared" si="424"/>
        <v/>
      </c>
      <c r="BJ596" s="22" t="str">
        <f t="shared" si="450"/>
        <v/>
      </c>
      <c r="BL596" s="21"/>
      <c r="BM596" s="21" t="str">
        <f>IF(OR(COUNT(B596:D1595)=0,AND('Choix pédagogiques'!$C$3&lt;&gt;1,'Choix pédagogiques'!$C$3&lt;&gt;2)),"",IF(AND(OR('Choix pédagogiques'!$C$3=1,'Choix pédagogiques'!$C$3=2),$B596&lt;&gt;"",$C596&lt;&gt;"",$D596&lt;&gt;""),1,0))</f>
        <v/>
      </c>
      <c r="BN596" s="21" t="str">
        <f>IF(OR(COUNT(G596:I1595)=0,AND('Choix pédagogiques'!$C$3&lt;&gt;1,'Choix pédagogiques'!$C$3&lt;&gt;2)),"",IF(AND(OR('Choix pédagogiques'!$C$3=1,'Choix pédagogiques'!$C$3=2),AND($G596&lt;&gt;"",$H596&lt;&gt;"",$I596&lt;&gt;"")),1,0))</f>
        <v/>
      </c>
      <c r="BO596" s="21" t="str">
        <f>IF(OR(COUNT(B596:D1595)=0,COUNT(G596:I1595)=0,'Choix pédagogiques'!C$3&lt;&gt;3),"",IF(AND('Choix pédagogiques'!$C$3=3,$B596&lt;&gt;"",$C596&lt;&gt;"",$D596&lt;&gt;"",$G596&lt;&gt;"",$H596&lt;&gt;"",$I596&lt;&gt;""),1,0))</f>
        <v/>
      </c>
      <c r="BR596" s="21">
        <v>418</v>
      </c>
      <c r="BS596" s="21">
        <v>1510</v>
      </c>
      <c r="BT596"/>
    </row>
    <row r="597" spans="1:72" s="23" customFormat="1" ht="18" customHeight="1" x14ac:dyDescent="0.3">
      <c r="A597" s="35" t="s">
        <v>587</v>
      </c>
      <c r="B597" s="37"/>
      <c r="C597" s="37"/>
      <c r="D597" s="37"/>
      <c r="E597" s="37"/>
      <c r="F597" s="35" t="s">
        <v>1595</v>
      </c>
      <c r="G597" s="37"/>
      <c r="H597" s="37"/>
      <c r="I597" s="37"/>
      <c r="J597" s="37"/>
      <c r="K597" s="21" t="str">
        <f t="shared" si="425"/>
        <v>Apprenant 585</v>
      </c>
      <c r="L597" s="22" t="str">
        <f t="shared" si="426"/>
        <v/>
      </c>
      <c r="M597" s="22" t="str">
        <f t="shared" si="427"/>
        <v/>
      </c>
      <c r="N597" s="22" t="str">
        <f t="shared" si="428"/>
        <v/>
      </c>
      <c r="O597" s="22" t="str">
        <f t="shared" si="429"/>
        <v/>
      </c>
      <c r="P597" s="21" t="str">
        <f t="shared" si="430"/>
        <v>Apprenant 585 ou 585'</v>
      </c>
      <c r="Q597" s="22" t="str">
        <f t="shared" si="431"/>
        <v/>
      </c>
      <c r="R597" s="22" t="str">
        <f t="shared" si="432"/>
        <v/>
      </c>
      <c r="S597" s="22" t="str">
        <f t="shared" si="433"/>
        <v/>
      </c>
      <c r="T597" s="22" t="str">
        <f t="shared" si="434"/>
        <v/>
      </c>
      <c r="V597" s="21" t="str">
        <f t="shared" si="435"/>
        <v>Apprenant 585</v>
      </c>
      <c r="W597" s="22" t="str">
        <f>IF(AND(OR('Choix pédagogiques'!$C$3=1,'Choix pédagogiques'!$C$3=2),$BM597=1),B597,IF(AND('Choix pédagogiques'!$C$3=3,$BO597=1),B597,""))</f>
        <v/>
      </c>
      <c r="X597" s="22" t="str">
        <f>IF(AND(OR('Choix pédagogiques'!$C$3=1,'Choix pédagogiques'!$C$3=2),$BM597=1),C597,IF(AND('Choix pédagogiques'!$C$3=3,$BO597=1),C597,""))</f>
        <v/>
      </c>
      <c r="Y597" s="22" t="str">
        <f>IF(AND(OR('Choix pédagogiques'!$C$3=1,'Choix pédagogiques'!$C$3=2),$BM597=1),D597,IF(AND('Choix pédagogiques'!$C$3=3,$BO597=1),D597,""))</f>
        <v/>
      </c>
      <c r="Z597" s="22" t="str">
        <f t="shared" si="436"/>
        <v/>
      </c>
      <c r="AA597" s="21" t="str">
        <f t="shared" si="437"/>
        <v>Apprenant 585 ou 585'</v>
      </c>
      <c r="AB597" s="22" t="str">
        <f>IF(AND(OR('Choix pédagogiques'!$C$3=1,'Choix pédagogiques'!$C$3=2),$BN597=1),G597,IF(AND('Choix pédagogiques'!$C$3=3,$BO597=1),G597,""))</f>
        <v/>
      </c>
      <c r="AC597" s="22" t="str">
        <f>IF(AND(OR('Choix pédagogiques'!$C$3=1,'Choix pédagogiques'!$C$3=2),$BN597=1),H597,IF(AND('Choix pédagogiques'!$C$3=3,$BO597=1),H597,""))</f>
        <v/>
      </c>
      <c r="AD597" s="22" t="str">
        <f>IF(AND(OR('Choix pédagogiques'!$C$3=1,'Choix pédagogiques'!$C$3=2),$BN597=1),I597,IF(AND('Choix pédagogiques'!$C$3=3,$BO597=1),I597,""))</f>
        <v/>
      </c>
      <c r="AE597" s="22" t="str">
        <f t="shared" si="438"/>
        <v/>
      </c>
      <c r="AF597" s="21" t="str">
        <f t="shared" si="439"/>
        <v>Apprenant 585</v>
      </c>
      <c r="AG597" s="22" t="str">
        <f t="shared" si="413"/>
        <v/>
      </c>
      <c r="AH597" s="22" t="str">
        <f t="shared" si="414"/>
        <v/>
      </c>
      <c r="AI597" s="22" t="str">
        <f t="shared" si="415"/>
        <v/>
      </c>
      <c r="AJ597" s="22" t="str">
        <f t="shared" si="440"/>
        <v/>
      </c>
      <c r="AK597" s="21" t="str">
        <f t="shared" si="441"/>
        <v>Apprenant 585 ou 585'</v>
      </c>
      <c r="AL597" s="22" t="str">
        <f t="shared" si="416"/>
        <v/>
      </c>
      <c r="AM597" s="22" t="str">
        <f t="shared" si="417"/>
        <v/>
      </c>
      <c r="AN597" s="22" t="str">
        <f t="shared" si="418"/>
        <v/>
      </c>
      <c r="AO597" s="22" t="str">
        <f t="shared" si="442"/>
        <v/>
      </c>
      <c r="AQ597" s="21" t="str">
        <f t="shared" si="443"/>
        <v>Apprenant 585</v>
      </c>
      <c r="AR597" s="49" t="str">
        <f>IF(AND('Choix pédagogiques'!$C$4&lt;&gt;"?",'Choix pédagogiques'!$C$5&lt;&gt;"?",W597&lt;&gt;""),(W597-'Choix pédagogiques'!$C$4)/('Choix pédagogiques'!$C$5-'Choix pédagogiques'!$C$4),"")</f>
        <v/>
      </c>
      <c r="AS597" s="49" t="str">
        <f>IF(AND('Choix pédagogiques'!$C$4&lt;&gt;"?",'Choix pédagogiques'!$C$5&lt;&gt;"?",X597&lt;&gt;""),(X597-'Choix pédagogiques'!$C$4)/('Choix pédagogiques'!$C$5-'Choix pédagogiques'!$C$4),"")</f>
        <v/>
      </c>
      <c r="AT597" s="49" t="str">
        <f>IF(AND('Choix pédagogiques'!$C$4&lt;&gt;"?",'Choix pédagogiques'!$C$5&lt;&gt;"?",Y597&lt;&gt;""),(Y597-'Choix pédagogiques'!$C$4)/('Choix pédagogiques'!$C$5-'Choix pédagogiques'!$C$4),"")</f>
        <v/>
      </c>
      <c r="AU597" s="22" t="str">
        <f t="shared" si="444"/>
        <v/>
      </c>
      <c r="AV597" s="21" t="str">
        <f t="shared" si="445"/>
        <v>Apprenant 585 ou 585'</v>
      </c>
      <c r="AW597" s="49" t="str">
        <f>IF(AND('Choix pédagogiques'!$C$4&lt;&gt;"?",'Choix pédagogiques'!$C$5&lt;&gt;"?",AB597&lt;&gt;""),(AB597-'Choix pédagogiques'!$C$4)/('Choix pédagogiques'!$C$5-'Choix pédagogiques'!$C$4),"")</f>
        <v/>
      </c>
      <c r="AX597" s="49" t="str">
        <f>IF(AND('Choix pédagogiques'!$C$4&lt;&gt;"?",'Choix pédagogiques'!$C$5&lt;&gt;"?",AC597&lt;&gt;""),(AC597-'Choix pédagogiques'!$C$4)/('Choix pédagogiques'!$C$5-'Choix pédagogiques'!$C$4),"")</f>
        <v/>
      </c>
      <c r="AY597" s="49" t="str">
        <f>IF(AND('Choix pédagogiques'!$C$4&lt;&gt;"?",'Choix pédagogiques'!$C$5&lt;&gt;"?",AD597&lt;&gt;""),(AD597-'Choix pédagogiques'!$C$4)/('Choix pédagogiques'!$C$5-'Choix pédagogiques'!$C$4),"")</f>
        <v/>
      </c>
      <c r="AZ597" s="22" t="str">
        <f t="shared" si="446"/>
        <v/>
      </c>
      <c r="BA597" s="21" t="str">
        <f t="shared" si="447"/>
        <v>Apprenant 585</v>
      </c>
      <c r="BB597" s="49" t="str">
        <f t="shared" si="419"/>
        <v/>
      </c>
      <c r="BC597" s="49" t="str">
        <f t="shared" si="420"/>
        <v/>
      </c>
      <c r="BD597" s="49" t="str">
        <f t="shared" si="421"/>
        <v/>
      </c>
      <c r="BE597" s="22" t="str">
        <f t="shared" si="448"/>
        <v/>
      </c>
      <c r="BF597" s="21" t="str">
        <f t="shared" si="449"/>
        <v>Apprenant 585 ou 585'</v>
      </c>
      <c r="BG597" s="49" t="str">
        <f t="shared" si="422"/>
        <v/>
      </c>
      <c r="BH597" s="49" t="str">
        <f t="shared" si="423"/>
        <v/>
      </c>
      <c r="BI597" s="49" t="str">
        <f t="shared" si="424"/>
        <v/>
      </c>
      <c r="BJ597" s="22" t="str">
        <f t="shared" si="450"/>
        <v/>
      </c>
      <c r="BL597" s="21"/>
      <c r="BM597" s="21" t="str">
        <f>IF(OR(COUNT(B597:D1596)=0,AND('Choix pédagogiques'!$C$3&lt;&gt;1,'Choix pédagogiques'!$C$3&lt;&gt;2)),"",IF(AND(OR('Choix pédagogiques'!$C$3=1,'Choix pédagogiques'!$C$3=2),$B597&lt;&gt;"",$C597&lt;&gt;"",$D597&lt;&gt;""),1,0))</f>
        <v/>
      </c>
      <c r="BN597" s="21" t="str">
        <f>IF(OR(COUNT(G597:I1596)=0,AND('Choix pédagogiques'!$C$3&lt;&gt;1,'Choix pédagogiques'!$C$3&lt;&gt;2)),"",IF(AND(OR('Choix pédagogiques'!$C$3=1,'Choix pédagogiques'!$C$3=2),AND($G597&lt;&gt;"",$H597&lt;&gt;"",$I597&lt;&gt;"")),1,0))</f>
        <v/>
      </c>
      <c r="BO597" s="21" t="str">
        <f>IF(OR(COUNT(B597:D1596)=0,COUNT(G597:I1596)=0,'Choix pédagogiques'!C$3&lt;&gt;3),"",IF(AND('Choix pédagogiques'!$C$3=3,$B597&lt;&gt;"",$C597&lt;&gt;"",$D597&lt;&gt;"",$G597&lt;&gt;"",$H597&lt;&gt;"",$I597&lt;&gt;""),1,0))</f>
        <v/>
      </c>
      <c r="BR597" s="21">
        <v>916</v>
      </c>
      <c r="BS597" s="21">
        <v>1393</v>
      </c>
      <c r="BT597"/>
    </row>
    <row r="598" spans="1:72" s="23" customFormat="1" ht="18" customHeight="1" x14ac:dyDescent="0.3">
      <c r="A598" s="35" t="s">
        <v>588</v>
      </c>
      <c r="B598" s="37"/>
      <c r="C598" s="37"/>
      <c r="D598" s="37"/>
      <c r="E598" s="37"/>
      <c r="F598" s="35" t="s">
        <v>1596</v>
      </c>
      <c r="G598" s="37"/>
      <c r="H598" s="37"/>
      <c r="I598" s="37"/>
      <c r="J598" s="37"/>
      <c r="K598" s="21" t="str">
        <f t="shared" si="425"/>
        <v>Apprenant 586</v>
      </c>
      <c r="L598" s="22" t="str">
        <f t="shared" si="426"/>
        <v/>
      </c>
      <c r="M598" s="22" t="str">
        <f t="shared" si="427"/>
        <v/>
      </c>
      <c r="N598" s="22" t="str">
        <f t="shared" si="428"/>
        <v/>
      </c>
      <c r="O598" s="22" t="str">
        <f t="shared" si="429"/>
        <v/>
      </c>
      <c r="P598" s="21" t="str">
        <f t="shared" si="430"/>
        <v>Apprenant 586 ou 586'</v>
      </c>
      <c r="Q598" s="22" t="str">
        <f t="shared" si="431"/>
        <v/>
      </c>
      <c r="R598" s="22" t="str">
        <f t="shared" si="432"/>
        <v/>
      </c>
      <c r="S598" s="22" t="str">
        <f t="shared" si="433"/>
        <v/>
      </c>
      <c r="T598" s="22" t="str">
        <f t="shared" si="434"/>
        <v/>
      </c>
      <c r="V598" s="21" t="str">
        <f t="shared" si="435"/>
        <v>Apprenant 586</v>
      </c>
      <c r="W598" s="22" t="str">
        <f>IF(AND(OR('Choix pédagogiques'!$C$3=1,'Choix pédagogiques'!$C$3=2),$BM598=1),B598,IF(AND('Choix pédagogiques'!$C$3=3,$BO598=1),B598,""))</f>
        <v/>
      </c>
      <c r="X598" s="22" t="str">
        <f>IF(AND(OR('Choix pédagogiques'!$C$3=1,'Choix pédagogiques'!$C$3=2),$BM598=1),C598,IF(AND('Choix pédagogiques'!$C$3=3,$BO598=1),C598,""))</f>
        <v/>
      </c>
      <c r="Y598" s="22" t="str">
        <f>IF(AND(OR('Choix pédagogiques'!$C$3=1,'Choix pédagogiques'!$C$3=2),$BM598=1),D598,IF(AND('Choix pédagogiques'!$C$3=3,$BO598=1),D598,""))</f>
        <v/>
      </c>
      <c r="Z598" s="22" t="str">
        <f t="shared" si="436"/>
        <v/>
      </c>
      <c r="AA598" s="21" t="str">
        <f t="shared" si="437"/>
        <v>Apprenant 586 ou 586'</v>
      </c>
      <c r="AB598" s="22" t="str">
        <f>IF(AND(OR('Choix pédagogiques'!$C$3=1,'Choix pédagogiques'!$C$3=2),$BN598=1),G598,IF(AND('Choix pédagogiques'!$C$3=3,$BO598=1),G598,""))</f>
        <v/>
      </c>
      <c r="AC598" s="22" t="str">
        <f>IF(AND(OR('Choix pédagogiques'!$C$3=1,'Choix pédagogiques'!$C$3=2),$BN598=1),H598,IF(AND('Choix pédagogiques'!$C$3=3,$BO598=1),H598,""))</f>
        <v/>
      </c>
      <c r="AD598" s="22" t="str">
        <f>IF(AND(OR('Choix pédagogiques'!$C$3=1,'Choix pédagogiques'!$C$3=2),$BN598=1),I598,IF(AND('Choix pédagogiques'!$C$3=3,$BO598=1),I598,""))</f>
        <v/>
      </c>
      <c r="AE598" s="22" t="str">
        <f t="shared" si="438"/>
        <v/>
      </c>
      <c r="AF598" s="21" t="str">
        <f t="shared" si="439"/>
        <v>Apprenant 586</v>
      </c>
      <c r="AG598" s="22" t="str">
        <f t="shared" si="413"/>
        <v/>
      </c>
      <c r="AH598" s="22" t="str">
        <f t="shared" si="414"/>
        <v/>
      </c>
      <c r="AI598" s="22" t="str">
        <f t="shared" si="415"/>
        <v/>
      </c>
      <c r="AJ598" s="22" t="str">
        <f t="shared" si="440"/>
        <v/>
      </c>
      <c r="AK598" s="21" t="str">
        <f t="shared" si="441"/>
        <v>Apprenant 586 ou 586'</v>
      </c>
      <c r="AL598" s="22" t="str">
        <f t="shared" si="416"/>
        <v/>
      </c>
      <c r="AM598" s="22" t="str">
        <f t="shared" si="417"/>
        <v/>
      </c>
      <c r="AN598" s="22" t="str">
        <f t="shared" si="418"/>
        <v/>
      </c>
      <c r="AO598" s="22" t="str">
        <f t="shared" si="442"/>
        <v/>
      </c>
      <c r="AQ598" s="21" t="str">
        <f t="shared" si="443"/>
        <v>Apprenant 586</v>
      </c>
      <c r="AR598" s="49" t="str">
        <f>IF(AND('Choix pédagogiques'!$C$4&lt;&gt;"?",'Choix pédagogiques'!$C$5&lt;&gt;"?",W598&lt;&gt;""),(W598-'Choix pédagogiques'!$C$4)/('Choix pédagogiques'!$C$5-'Choix pédagogiques'!$C$4),"")</f>
        <v/>
      </c>
      <c r="AS598" s="49" t="str">
        <f>IF(AND('Choix pédagogiques'!$C$4&lt;&gt;"?",'Choix pédagogiques'!$C$5&lt;&gt;"?",X598&lt;&gt;""),(X598-'Choix pédagogiques'!$C$4)/('Choix pédagogiques'!$C$5-'Choix pédagogiques'!$C$4),"")</f>
        <v/>
      </c>
      <c r="AT598" s="49" t="str">
        <f>IF(AND('Choix pédagogiques'!$C$4&lt;&gt;"?",'Choix pédagogiques'!$C$5&lt;&gt;"?",Y598&lt;&gt;""),(Y598-'Choix pédagogiques'!$C$4)/('Choix pédagogiques'!$C$5-'Choix pédagogiques'!$C$4),"")</f>
        <v/>
      </c>
      <c r="AU598" s="22" t="str">
        <f t="shared" si="444"/>
        <v/>
      </c>
      <c r="AV598" s="21" t="str">
        <f t="shared" si="445"/>
        <v>Apprenant 586 ou 586'</v>
      </c>
      <c r="AW598" s="49" t="str">
        <f>IF(AND('Choix pédagogiques'!$C$4&lt;&gt;"?",'Choix pédagogiques'!$C$5&lt;&gt;"?",AB598&lt;&gt;""),(AB598-'Choix pédagogiques'!$C$4)/('Choix pédagogiques'!$C$5-'Choix pédagogiques'!$C$4),"")</f>
        <v/>
      </c>
      <c r="AX598" s="49" t="str">
        <f>IF(AND('Choix pédagogiques'!$C$4&lt;&gt;"?",'Choix pédagogiques'!$C$5&lt;&gt;"?",AC598&lt;&gt;""),(AC598-'Choix pédagogiques'!$C$4)/('Choix pédagogiques'!$C$5-'Choix pédagogiques'!$C$4),"")</f>
        <v/>
      </c>
      <c r="AY598" s="49" t="str">
        <f>IF(AND('Choix pédagogiques'!$C$4&lt;&gt;"?",'Choix pédagogiques'!$C$5&lt;&gt;"?",AD598&lt;&gt;""),(AD598-'Choix pédagogiques'!$C$4)/('Choix pédagogiques'!$C$5-'Choix pédagogiques'!$C$4),"")</f>
        <v/>
      </c>
      <c r="AZ598" s="22" t="str">
        <f t="shared" si="446"/>
        <v/>
      </c>
      <c r="BA598" s="21" t="str">
        <f t="shared" si="447"/>
        <v>Apprenant 586</v>
      </c>
      <c r="BB598" s="49" t="str">
        <f t="shared" si="419"/>
        <v/>
      </c>
      <c r="BC598" s="49" t="str">
        <f t="shared" si="420"/>
        <v/>
      </c>
      <c r="BD598" s="49" t="str">
        <f t="shared" si="421"/>
        <v/>
      </c>
      <c r="BE598" s="22" t="str">
        <f t="shared" si="448"/>
        <v/>
      </c>
      <c r="BF598" s="21" t="str">
        <f t="shared" si="449"/>
        <v>Apprenant 586 ou 586'</v>
      </c>
      <c r="BG598" s="49" t="str">
        <f t="shared" si="422"/>
        <v/>
      </c>
      <c r="BH598" s="49" t="str">
        <f t="shared" si="423"/>
        <v/>
      </c>
      <c r="BI598" s="49" t="str">
        <f t="shared" si="424"/>
        <v/>
      </c>
      <c r="BJ598" s="22" t="str">
        <f t="shared" si="450"/>
        <v/>
      </c>
      <c r="BL598" s="21"/>
      <c r="BM598" s="21" t="str">
        <f>IF(OR(COUNT(B598:D1597)=0,AND('Choix pédagogiques'!$C$3&lt;&gt;1,'Choix pédagogiques'!$C$3&lt;&gt;2)),"",IF(AND(OR('Choix pédagogiques'!$C$3=1,'Choix pédagogiques'!$C$3=2),$B598&lt;&gt;"",$C598&lt;&gt;"",$D598&lt;&gt;""),1,0))</f>
        <v/>
      </c>
      <c r="BN598" s="21" t="str">
        <f>IF(OR(COUNT(G598:I1597)=0,AND('Choix pédagogiques'!$C$3&lt;&gt;1,'Choix pédagogiques'!$C$3&lt;&gt;2)),"",IF(AND(OR('Choix pédagogiques'!$C$3=1,'Choix pédagogiques'!$C$3=2),AND($G598&lt;&gt;"",$H598&lt;&gt;"",$I598&lt;&gt;"")),1,0))</f>
        <v/>
      </c>
      <c r="BO598" s="21" t="str">
        <f>IF(OR(COUNT(B598:D1597)=0,COUNT(G598:I1597)=0,'Choix pédagogiques'!C$3&lt;&gt;3),"",IF(AND('Choix pédagogiques'!$C$3=3,$B598&lt;&gt;"",$C598&lt;&gt;"",$D598&lt;&gt;"",$G598&lt;&gt;"",$H598&lt;&gt;"",$I598&lt;&gt;""),1,0))</f>
        <v/>
      </c>
      <c r="BR598" s="21">
        <v>459</v>
      </c>
      <c r="BS598" s="21">
        <v>1076</v>
      </c>
      <c r="BT598"/>
    </row>
    <row r="599" spans="1:72" s="23" customFormat="1" ht="18" customHeight="1" x14ac:dyDescent="0.3">
      <c r="A599" s="35" t="s">
        <v>589</v>
      </c>
      <c r="B599" s="37"/>
      <c r="C599" s="37"/>
      <c r="D599" s="37"/>
      <c r="E599" s="37"/>
      <c r="F599" s="35" t="s">
        <v>1597</v>
      </c>
      <c r="G599" s="37"/>
      <c r="H599" s="37"/>
      <c r="I599" s="37"/>
      <c r="J599" s="37"/>
      <c r="K599" s="21" t="str">
        <f t="shared" si="425"/>
        <v>Apprenant 587</v>
      </c>
      <c r="L599" s="22" t="str">
        <f t="shared" si="426"/>
        <v/>
      </c>
      <c r="M599" s="22" t="str">
        <f t="shared" si="427"/>
        <v/>
      </c>
      <c r="N599" s="22" t="str">
        <f t="shared" si="428"/>
        <v/>
      </c>
      <c r="O599" s="22" t="str">
        <f t="shared" si="429"/>
        <v/>
      </c>
      <c r="P599" s="21" t="str">
        <f t="shared" si="430"/>
        <v>Apprenant 587 ou 587'</v>
      </c>
      <c r="Q599" s="22" t="str">
        <f t="shared" si="431"/>
        <v/>
      </c>
      <c r="R599" s="22" t="str">
        <f t="shared" si="432"/>
        <v/>
      </c>
      <c r="S599" s="22" t="str">
        <f t="shared" si="433"/>
        <v/>
      </c>
      <c r="T599" s="22" t="str">
        <f t="shared" si="434"/>
        <v/>
      </c>
      <c r="V599" s="21" t="str">
        <f t="shared" si="435"/>
        <v>Apprenant 587</v>
      </c>
      <c r="W599" s="22" t="str">
        <f>IF(AND(OR('Choix pédagogiques'!$C$3=1,'Choix pédagogiques'!$C$3=2),$BM599=1),B599,IF(AND('Choix pédagogiques'!$C$3=3,$BO599=1),B599,""))</f>
        <v/>
      </c>
      <c r="X599" s="22" t="str">
        <f>IF(AND(OR('Choix pédagogiques'!$C$3=1,'Choix pédagogiques'!$C$3=2),$BM599=1),C599,IF(AND('Choix pédagogiques'!$C$3=3,$BO599=1),C599,""))</f>
        <v/>
      </c>
      <c r="Y599" s="22" t="str">
        <f>IF(AND(OR('Choix pédagogiques'!$C$3=1,'Choix pédagogiques'!$C$3=2),$BM599=1),D599,IF(AND('Choix pédagogiques'!$C$3=3,$BO599=1),D599,""))</f>
        <v/>
      </c>
      <c r="Z599" s="22" t="str">
        <f t="shared" si="436"/>
        <v/>
      </c>
      <c r="AA599" s="21" t="str">
        <f t="shared" si="437"/>
        <v>Apprenant 587 ou 587'</v>
      </c>
      <c r="AB599" s="22" t="str">
        <f>IF(AND(OR('Choix pédagogiques'!$C$3=1,'Choix pédagogiques'!$C$3=2),$BN599=1),G599,IF(AND('Choix pédagogiques'!$C$3=3,$BO599=1),G599,""))</f>
        <v/>
      </c>
      <c r="AC599" s="22" t="str">
        <f>IF(AND(OR('Choix pédagogiques'!$C$3=1,'Choix pédagogiques'!$C$3=2),$BN599=1),H599,IF(AND('Choix pédagogiques'!$C$3=3,$BO599=1),H599,""))</f>
        <v/>
      </c>
      <c r="AD599" s="22" t="str">
        <f>IF(AND(OR('Choix pédagogiques'!$C$3=1,'Choix pédagogiques'!$C$3=2),$BN599=1),I599,IF(AND('Choix pédagogiques'!$C$3=3,$BO599=1),I599,""))</f>
        <v/>
      </c>
      <c r="AE599" s="22" t="str">
        <f t="shared" si="438"/>
        <v/>
      </c>
      <c r="AF599" s="21" t="str">
        <f t="shared" si="439"/>
        <v>Apprenant 587</v>
      </c>
      <c r="AG599" s="22" t="str">
        <f t="shared" si="413"/>
        <v/>
      </c>
      <c r="AH599" s="22" t="str">
        <f t="shared" si="414"/>
        <v/>
      </c>
      <c r="AI599" s="22" t="str">
        <f t="shared" si="415"/>
        <v/>
      </c>
      <c r="AJ599" s="22" t="str">
        <f t="shared" si="440"/>
        <v/>
      </c>
      <c r="AK599" s="21" t="str">
        <f t="shared" si="441"/>
        <v>Apprenant 587 ou 587'</v>
      </c>
      <c r="AL599" s="22" t="str">
        <f t="shared" si="416"/>
        <v/>
      </c>
      <c r="AM599" s="22" t="str">
        <f t="shared" si="417"/>
        <v/>
      </c>
      <c r="AN599" s="22" t="str">
        <f t="shared" si="418"/>
        <v/>
      </c>
      <c r="AO599" s="22" t="str">
        <f t="shared" si="442"/>
        <v/>
      </c>
      <c r="AQ599" s="21" t="str">
        <f t="shared" si="443"/>
        <v>Apprenant 587</v>
      </c>
      <c r="AR599" s="49" t="str">
        <f>IF(AND('Choix pédagogiques'!$C$4&lt;&gt;"?",'Choix pédagogiques'!$C$5&lt;&gt;"?",W599&lt;&gt;""),(W599-'Choix pédagogiques'!$C$4)/('Choix pédagogiques'!$C$5-'Choix pédagogiques'!$C$4),"")</f>
        <v/>
      </c>
      <c r="AS599" s="49" t="str">
        <f>IF(AND('Choix pédagogiques'!$C$4&lt;&gt;"?",'Choix pédagogiques'!$C$5&lt;&gt;"?",X599&lt;&gt;""),(X599-'Choix pédagogiques'!$C$4)/('Choix pédagogiques'!$C$5-'Choix pédagogiques'!$C$4),"")</f>
        <v/>
      </c>
      <c r="AT599" s="49" t="str">
        <f>IF(AND('Choix pédagogiques'!$C$4&lt;&gt;"?",'Choix pédagogiques'!$C$5&lt;&gt;"?",Y599&lt;&gt;""),(Y599-'Choix pédagogiques'!$C$4)/('Choix pédagogiques'!$C$5-'Choix pédagogiques'!$C$4),"")</f>
        <v/>
      </c>
      <c r="AU599" s="22" t="str">
        <f t="shared" si="444"/>
        <v/>
      </c>
      <c r="AV599" s="21" t="str">
        <f t="shared" si="445"/>
        <v>Apprenant 587 ou 587'</v>
      </c>
      <c r="AW599" s="49" t="str">
        <f>IF(AND('Choix pédagogiques'!$C$4&lt;&gt;"?",'Choix pédagogiques'!$C$5&lt;&gt;"?",AB599&lt;&gt;""),(AB599-'Choix pédagogiques'!$C$4)/('Choix pédagogiques'!$C$5-'Choix pédagogiques'!$C$4),"")</f>
        <v/>
      </c>
      <c r="AX599" s="49" t="str">
        <f>IF(AND('Choix pédagogiques'!$C$4&lt;&gt;"?",'Choix pédagogiques'!$C$5&lt;&gt;"?",AC599&lt;&gt;""),(AC599-'Choix pédagogiques'!$C$4)/('Choix pédagogiques'!$C$5-'Choix pédagogiques'!$C$4),"")</f>
        <v/>
      </c>
      <c r="AY599" s="49" t="str">
        <f>IF(AND('Choix pédagogiques'!$C$4&lt;&gt;"?",'Choix pédagogiques'!$C$5&lt;&gt;"?",AD599&lt;&gt;""),(AD599-'Choix pédagogiques'!$C$4)/('Choix pédagogiques'!$C$5-'Choix pédagogiques'!$C$4),"")</f>
        <v/>
      </c>
      <c r="AZ599" s="22" t="str">
        <f t="shared" si="446"/>
        <v/>
      </c>
      <c r="BA599" s="21" t="str">
        <f t="shared" si="447"/>
        <v>Apprenant 587</v>
      </c>
      <c r="BB599" s="49" t="str">
        <f t="shared" si="419"/>
        <v/>
      </c>
      <c r="BC599" s="49" t="str">
        <f t="shared" si="420"/>
        <v/>
      </c>
      <c r="BD599" s="49" t="str">
        <f t="shared" si="421"/>
        <v/>
      </c>
      <c r="BE599" s="22" t="str">
        <f t="shared" si="448"/>
        <v/>
      </c>
      <c r="BF599" s="21" t="str">
        <f t="shared" si="449"/>
        <v>Apprenant 587 ou 587'</v>
      </c>
      <c r="BG599" s="49" t="str">
        <f t="shared" si="422"/>
        <v/>
      </c>
      <c r="BH599" s="49" t="str">
        <f t="shared" si="423"/>
        <v/>
      </c>
      <c r="BI599" s="49" t="str">
        <f t="shared" si="424"/>
        <v/>
      </c>
      <c r="BJ599" s="22" t="str">
        <f t="shared" si="450"/>
        <v/>
      </c>
      <c r="BL599" s="21"/>
      <c r="BM599" s="21" t="str">
        <f>IF(OR(COUNT(B599:D1598)=0,AND('Choix pédagogiques'!$C$3&lt;&gt;1,'Choix pédagogiques'!$C$3&lt;&gt;2)),"",IF(AND(OR('Choix pédagogiques'!$C$3=1,'Choix pédagogiques'!$C$3=2),$B599&lt;&gt;"",$C599&lt;&gt;"",$D599&lt;&gt;""),1,0))</f>
        <v/>
      </c>
      <c r="BN599" s="21" t="str">
        <f>IF(OR(COUNT(G599:I1598)=0,AND('Choix pédagogiques'!$C$3&lt;&gt;1,'Choix pédagogiques'!$C$3&lt;&gt;2)),"",IF(AND(OR('Choix pédagogiques'!$C$3=1,'Choix pédagogiques'!$C$3=2),AND($G599&lt;&gt;"",$H599&lt;&gt;"",$I599&lt;&gt;"")),1,0))</f>
        <v/>
      </c>
      <c r="BO599" s="21" t="str">
        <f>IF(OR(COUNT(B599:D1598)=0,COUNT(G599:I1598)=0,'Choix pédagogiques'!C$3&lt;&gt;3),"",IF(AND('Choix pédagogiques'!$C$3=3,$B599&lt;&gt;"",$C599&lt;&gt;"",$D599&lt;&gt;"",$G599&lt;&gt;"",$H599&lt;&gt;"",$I599&lt;&gt;""),1,0))</f>
        <v/>
      </c>
      <c r="BR599" s="21">
        <v>204</v>
      </c>
      <c r="BS599" s="21">
        <v>1815</v>
      </c>
      <c r="BT599"/>
    </row>
    <row r="600" spans="1:72" s="23" customFormat="1" ht="18" customHeight="1" x14ac:dyDescent="0.3">
      <c r="A600" s="35" t="s">
        <v>590</v>
      </c>
      <c r="B600" s="37"/>
      <c r="C600" s="37"/>
      <c r="D600" s="37"/>
      <c r="E600" s="37"/>
      <c r="F600" s="35" t="s">
        <v>1598</v>
      </c>
      <c r="G600" s="37"/>
      <c r="H600" s="37"/>
      <c r="I600" s="37"/>
      <c r="J600" s="37"/>
      <c r="K600" s="21" t="str">
        <f t="shared" si="425"/>
        <v>Apprenant 588</v>
      </c>
      <c r="L600" s="22" t="str">
        <f t="shared" si="426"/>
        <v/>
      </c>
      <c r="M600" s="22" t="str">
        <f t="shared" si="427"/>
        <v/>
      </c>
      <c r="N600" s="22" t="str">
        <f t="shared" si="428"/>
        <v/>
      </c>
      <c r="O600" s="22" t="str">
        <f t="shared" si="429"/>
        <v/>
      </c>
      <c r="P600" s="21" t="str">
        <f t="shared" si="430"/>
        <v>Apprenant 588 ou 588'</v>
      </c>
      <c r="Q600" s="22" t="str">
        <f t="shared" si="431"/>
        <v/>
      </c>
      <c r="R600" s="22" t="str">
        <f t="shared" si="432"/>
        <v/>
      </c>
      <c r="S600" s="22" t="str">
        <f t="shared" si="433"/>
        <v/>
      </c>
      <c r="T600" s="22" t="str">
        <f t="shared" si="434"/>
        <v/>
      </c>
      <c r="V600" s="21" t="str">
        <f t="shared" si="435"/>
        <v>Apprenant 588</v>
      </c>
      <c r="W600" s="22" t="str">
        <f>IF(AND(OR('Choix pédagogiques'!$C$3=1,'Choix pédagogiques'!$C$3=2),$BM600=1),B600,IF(AND('Choix pédagogiques'!$C$3=3,$BO600=1),B600,""))</f>
        <v/>
      </c>
      <c r="X600" s="22" t="str">
        <f>IF(AND(OR('Choix pédagogiques'!$C$3=1,'Choix pédagogiques'!$C$3=2),$BM600=1),C600,IF(AND('Choix pédagogiques'!$C$3=3,$BO600=1),C600,""))</f>
        <v/>
      </c>
      <c r="Y600" s="22" t="str">
        <f>IF(AND(OR('Choix pédagogiques'!$C$3=1,'Choix pédagogiques'!$C$3=2),$BM600=1),D600,IF(AND('Choix pédagogiques'!$C$3=3,$BO600=1),D600,""))</f>
        <v/>
      </c>
      <c r="Z600" s="22" t="str">
        <f t="shared" si="436"/>
        <v/>
      </c>
      <c r="AA600" s="21" t="str">
        <f t="shared" si="437"/>
        <v>Apprenant 588 ou 588'</v>
      </c>
      <c r="AB600" s="22" t="str">
        <f>IF(AND(OR('Choix pédagogiques'!$C$3=1,'Choix pédagogiques'!$C$3=2),$BN600=1),G600,IF(AND('Choix pédagogiques'!$C$3=3,$BO600=1),G600,""))</f>
        <v/>
      </c>
      <c r="AC600" s="22" t="str">
        <f>IF(AND(OR('Choix pédagogiques'!$C$3=1,'Choix pédagogiques'!$C$3=2),$BN600=1),H600,IF(AND('Choix pédagogiques'!$C$3=3,$BO600=1),H600,""))</f>
        <v/>
      </c>
      <c r="AD600" s="22" t="str">
        <f>IF(AND(OR('Choix pédagogiques'!$C$3=1,'Choix pédagogiques'!$C$3=2),$BN600=1),I600,IF(AND('Choix pédagogiques'!$C$3=3,$BO600=1),I600,""))</f>
        <v/>
      </c>
      <c r="AE600" s="22" t="str">
        <f t="shared" si="438"/>
        <v/>
      </c>
      <c r="AF600" s="21" t="str">
        <f t="shared" si="439"/>
        <v>Apprenant 588</v>
      </c>
      <c r="AG600" s="22" t="str">
        <f t="shared" si="413"/>
        <v/>
      </c>
      <c r="AH600" s="22" t="str">
        <f t="shared" si="414"/>
        <v/>
      </c>
      <c r="AI600" s="22" t="str">
        <f t="shared" si="415"/>
        <v/>
      </c>
      <c r="AJ600" s="22" t="str">
        <f t="shared" si="440"/>
        <v/>
      </c>
      <c r="AK600" s="21" t="str">
        <f t="shared" si="441"/>
        <v>Apprenant 588 ou 588'</v>
      </c>
      <c r="AL600" s="22" t="str">
        <f t="shared" si="416"/>
        <v/>
      </c>
      <c r="AM600" s="22" t="str">
        <f t="shared" si="417"/>
        <v/>
      </c>
      <c r="AN600" s="22" t="str">
        <f t="shared" si="418"/>
        <v/>
      </c>
      <c r="AO600" s="22" t="str">
        <f t="shared" si="442"/>
        <v/>
      </c>
      <c r="AQ600" s="21" t="str">
        <f t="shared" si="443"/>
        <v>Apprenant 588</v>
      </c>
      <c r="AR600" s="49" t="str">
        <f>IF(AND('Choix pédagogiques'!$C$4&lt;&gt;"?",'Choix pédagogiques'!$C$5&lt;&gt;"?",W600&lt;&gt;""),(W600-'Choix pédagogiques'!$C$4)/('Choix pédagogiques'!$C$5-'Choix pédagogiques'!$C$4),"")</f>
        <v/>
      </c>
      <c r="AS600" s="49" t="str">
        <f>IF(AND('Choix pédagogiques'!$C$4&lt;&gt;"?",'Choix pédagogiques'!$C$5&lt;&gt;"?",X600&lt;&gt;""),(X600-'Choix pédagogiques'!$C$4)/('Choix pédagogiques'!$C$5-'Choix pédagogiques'!$C$4),"")</f>
        <v/>
      </c>
      <c r="AT600" s="49" t="str">
        <f>IF(AND('Choix pédagogiques'!$C$4&lt;&gt;"?",'Choix pédagogiques'!$C$5&lt;&gt;"?",Y600&lt;&gt;""),(Y600-'Choix pédagogiques'!$C$4)/('Choix pédagogiques'!$C$5-'Choix pédagogiques'!$C$4),"")</f>
        <v/>
      </c>
      <c r="AU600" s="22" t="str">
        <f t="shared" si="444"/>
        <v/>
      </c>
      <c r="AV600" s="21" t="str">
        <f t="shared" si="445"/>
        <v>Apprenant 588 ou 588'</v>
      </c>
      <c r="AW600" s="49" t="str">
        <f>IF(AND('Choix pédagogiques'!$C$4&lt;&gt;"?",'Choix pédagogiques'!$C$5&lt;&gt;"?",AB600&lt;&gt;""),(AB600-'Choix pédagogiques'!$C$4)/('Choix pédagogiques'!$C$5-'Choix pédagogiques'!$C$4),"")</f>
        <v/>
      </c>
      <c r="AX600" s="49" t="str">
        <f>IF(AND('Choix pédagogiques'!$C$4&lt;&gt;"?",'Choix pédagogiques'!$C$5&lt;&gt;"?",AC600&lt;&gt;""),(AC600-'Choix pédagogiques'!$C$4)/('Choix pédagogiques'!$C$5-'Choix pédagogiques'!$C$4),"")</f>
        <v/>
      </c>
      <c r="AY600" s="49" t="str">
        <f>IF(AND('Choix pédagogiques'!$C$4&lt;&gt;"?",'Choix pédagogiques'!$C$5&lt;&gt;"?",AD600&lt;&gt;""),(AD600-'Choix pédagogiques'!$C$4)/('Choix pédagogiques'!$C$5-'Choix pédagogiques'!$C$4),"")</f>
        <v/>
      </c>
      <c r="AZ600" s="22" t="str">
        <f t="shared" si="446"/>
        <v/>
      </c>
      <c r="BA600" s="21" t="str">
        <f t="shared" si="447"/>
        <v>Apprenant 588</v>
      </c>
      <c r="BB600" s="49" t="str">
        <f t="shared" si="419"/>
        <v/>
      </c>
      <c r="BC600" s="49" t="str">
        <f t="shared" si="420"/>
        <v/>
      </c>
      <c r="BD600" s="49" t="str">
        <f t="shared" si="421"/>
        <v/>
      </c>
      <c r="BE600" s="22" t="str">
        <f t="shared" si="448"/>
        <v/>
      </c>
      <c r="BF600" s="21" t="str">
        <f t="shared" si="449"/>
        <v>Apprenant 588 ou 588'</v>
      </c>
      <c r="BG600" s="49" t="str">
        <f t="shared" si="422"/>
        <v/>
      </c>
      <c r="BH600" s="49" t="str">
        <f t="shared" si="423"/>
        <v/>
      </c>
      <c r="BI600" s="49" t="str">
        <f t="shared" si="424"/>
        <v/>
      </c>
      <c r="BJ600" s="22" t="str">
        <f t="shared" si="450"/>
        <v/>
      </c>
      <c r="BL600" s="21"/>
      <c r="BM600" s="21" t="str">
        <f>IF(OR(COUNT(B600:D1599)=0,AND('Choix pédagogiques'!$C$3&lt;&gt;1,'Choix pédagogiques'!$C$3&lt;&gt;2)),"",IF(AND(OR('Choix pédagogiques'!$C$3=1,'Choix pédagogiques'!$C$3=2),$B600&lt;&gt;"",$C600&lt;&gt;"",$D600&lt;&gt;""),1,0))</f>
        <v/>
      </c>
      <c r="BN600" s="21" t="str">
        <f>IF(OR(COUNT(G600:I1599)=0,AND('Choix pédagogiques'!$C$3&lt;&gt;1,'Choix pédagogiques'!$C$3&lt;&gt;2)),"",IF(AND(OR('Choix pédagogiques'!$C$3=1,'Choix pédagogiques'!$C$3=2),AND($G600&lt;&gt;"",$H600&lt;&gt;"",$I600&lt;&gt;"")),1,0))</f>
        <v/>
      </c>
      <c r="BO600" s="21" t="str">
        <f>IF(OR(COUNT(B600:D1599)=0,COUNT(G600:I1599)=0,'Choix pédagogiques'!C$3&lt;&gt;3),"",IF(AND('Choix pédagogiques'!$C$3=3,$B600&lt;&gt;"",$C600&lt;&gt;"",$D600&lt;&gt;"",$G600&lt;&gt;"",$H600&lt;&gt;"",$I600&lt;&gt;""),1,0))</f>
        <v/>
      </c>
      <c r="BR600" s="21">
        <v>356</v>
      </c>
      <c r="BS600" s="21">
        <v>1205</v>
      </c>
      <c r="BT600"/>
    </row>
    <row r="601" spans="1:72" s="23" customFormat="1" ht="18" customHeight="1" x14ac:dyDescent="0.3">
      <c r="A601" s="35" t="s">
        <v>591</v>
      </c>
      <c r="B601" s="37"/>
      <c r="C601" s="37"/>
      <c r="D601" s="37"/>
      <c r="E601" s="37"/>
      <c r="F601" s="35" t="s">
        <v>1599</v>
      </c>
      <c r="G601" s="37"/>
      <c r="H601" s="37"/>
      <c r="I601" s="37"/>
      <c r="J601" s="37"/>
      <c r="K601" s="21" t="str">
        <f t="shared" si="425"/>
        <v>Apprenant 589</v>
      </c>
      <c r="L601" s="22" t="str">
        <f t="shared" si="426"/>
        <v/>
      </c>
      <c r="M601" s="22" t="str">
        <f t="shared" si="427"/>
        <v/>
      </c>
      <c r="N601" s="22" t="str">
        <f t="shared" si="428"/>
        <v/>
      </c>
      <c r="O601" s="22" t="str">
        <f t="shared" si="429"/>
        <v/>
      </c>
      <c r="P601" s="21" t="str">
        <f t="shared" si="430"/>
        <v>Apprenant 589 ou 589'</v>
      </c>
      <c r="Q601" s="22" t="str">
        <f t="shared" si="431"/>
        <v/>
      </c>
      <c r="R601" s="22" t="str">
        <f t="shared" si="432"/>
        <v/>
      </c>
      <c r="S601" s="22" t="str">
        <f t="shared" si="433"/>
        <v/>
      </c>
      <c r="T601" s="22" t="str">
        <f t="shared" si="434"/>
        <v/>
      </c>
      <c r="V601" s="21" t="str">
        <f t="shared" si="435"/>
        <v>Apprenant 589</v>
      </c>
      <c r="W601" s="22" t="str">
        <f>IF(AND(OR('Choix pédagogiques'!$C$3=1,'Choix pédagogiques'!$C$3=2),$BM601=1),B601,IF(AND('Choix pédagogiques'!$C$3=3,$BO601=1),B601,""))</f>
        <v/>
      </c>
      <c r="X601" s="22" t="str">
        <f>IF(AND(OR('Choix pédagogiques'!$C$3=1,'Choix pédagogiques'!$C$3=2),$BM601=1),C601,IF(AND('Choix pédagogiques'!$C$3=3,$BO601=1),C601,""))</f>
        <v/>
      </c>
      <c r="Y601" s="22" t="str">
        <f>IF(AND(OR('Choix pédagogiques'!$C$3=1,'Choix pédagogiques'!$C$3=2),$BM601=1),D601,IF(AND('Choix pédagogiques'!$C$3=3,$BO601=1),D601,""))</f>
        <v/>
      </c>
      <c r="Z601" s="22" t="str">
        <f t="shared" si="436"/>
        <v/>
      </c>
      <c r="AA601" s="21" t="str">
        <f t="shared" si="437"/>
        <v>Apprenant 589 ou 589'</v>
      </c>
      <c r="AB601" s="22" t="str">
        <f>IF(AND(OR('Choix pédagogiques'!$C$3=1,'Choix pédagogiques'!$C$3=2),$BN601=1),G601,IF(AND('Choix pédagogiques'!$C$3=3,$BO601=1),G601,""))</f>
        <v/>
      </c>
      <c r="AC601" s="22" t="str">
        <f>IF(AND(OR('Choix pédagogiques'!$C$3=1,'Choix pédagogiques'!$C$3=2),$BN601=1),H601,IF(AND('Choix pédagogiques'!$C$3=3,$BO601=1),H601,""))</f>
        <v/>
      </c>
      <c r="AD601" s="22" t="str">
        <f>IF(AND(OR('Choix pédagogiques'!$C$3=1,'Choix pédagogiques'!$C$3=2),$BN601=1),I601,IF(AND('Choix pédagogiques'!$C$3=3,$BO601=1),I601,""))</f>
        <v/>
      </c>
      <c r="AE601" s="22" t="str">
        <f t="shared" si="438"/>
        <v/>
      </c>
      <c r="AF601" s="21" t="str">
        <f t="shared" si="439"/>
        <v>Apprenant 589</v>
      </c>
      <c r="AG601" s="22" t="str">
        <f t="shared" si="413"/>
        <v/>
      </c>
      <c r="AH601" s="22" t="str">
        <f t="shared" si="414"/>
        <v/>
      </c>
      <c r="AI601" s="22" t="str">
        <f t="shared" si="415"/>
        <v/>
      </c>
      <c r="AJ601" s="22" t="str">
        <f t="shared" si="440"/>
        <v/>
      </c>
      <c r="AK601" s="21" t="str">
        <f t="shared" si="441"/>
        <v>Apprenant 589 ou 589'</v>
      </c>
      <c r="AL601" s="22" t="str">
        <f t="shared" si="416"/>
        <v/>
      </c>
      <c r="AM601" s="22" t="str">
        <f t="shared" si="417"/>
        <v/>
      </c>
      <c r="AN601" s="22" t="str">
        <f t="shared" si="418"/>
        <v/>
      </c>
      <c r="AO601" s="22" t="str">
        <f t="shared" si="442"/>
        <v/>
      </c>
      <c r="AQ601" s="21" t="str">
        <f t="shared" si="443"/>
        <v>Apprenant 589</v>
      </c>
      <c r="AR601" s="49" t="str">
        <f>IF(AND('Choix pédagogiques'!$C$4&lt;&gt;"?",'Choix pédagogiques'!$C$5&lt;&gt;"?",W601&lt;&gt;""),(W601-'Choix pédagogiques'!$C$4)/('Choix pédagogiques'!$C$5-'Choix pédagogiques'!$C$4),"")</f>
        <v/>
      </c>
      <c r="AS601" s="49" t="str">
        <f>IF(AND('Choix pédagogiques'!$C$4&lt;&gt;"?",'Choix pédagogiques'!$C$5&lt;&gt;"?",X601&lt;&gt;""),(X601-'Choix pédagogiques'!$C$4)/('Choix pédagogiques'!$C$5-'Choix pédagogiques'!$C$4),"")</f>
        <v/>
      </c>
      <c r="AT601" s="49" t="str">
        <f>IF(AND('Choix pédagogiques'!$C$4&lt;&gt;"?",'Choix pédagogiques'!$C$5&lt;&gt;"?",Y601&lt;&gt;""),(Y601-'Choix pédagogiques'!$C$4)/('Choix pédagogiques'!$C$5-'Choix pédagogiques'!$C$4),"")</f>
        <v/>
      </c>
      <c r="AU601" s="22" t="str">
        <f t="shared" si="444"/>
        <v/>
      </c>
      <c r="AV601" s="21" t="str">
        <f t="shared" si="445"/>
        <v>Apprenant 589 ou 589'</v>
      </c>
      <c r="AW601" s="49" t="str">
        <f>IF(AND('Choix pédagogiques'!$C$4&lt;&gt;"?",'Choix pédagogiques'!$C$5&lt;&gt;"?",AB601&lt;&gt;""),(AB601-'Choix pédagogiques'!$C$4)/('Choix pédagogiques'!$C$5-'Choix pédagogiques'!$C$4),"")</f>
        <v/>
      </c>
      <c r="AX601" s="49" t="str">
        <f>IF(AND('Choix pédagogiques'!$C$4&lt;&gt;"?",'Choix pédagogiques'!$C$5&lt;&gt;"?",AC601&lt;&gt;""),(AC601-'Choix pédagogiques'!$C$4)/('Choix pédagogiques'!$C$5-'Choix pédagogiques'!$C$4),"")</f>
        <v/>
      </c>
      <c r="AY601" s="49" t="str">
        <f>IF(AND('Choix pédagogiques'!$C$4&lt;&gt;"?",'Choix pédagogiques'!$C$5&lt;&gt;"?",AD601&lt;&gt;""),(AD601-'Choix pédagogiques'!$C$4)/('Choix pédagogiques'!$C$5-'Choix pédagogiques'!$C$4),"")</f>
        <v/>
      </c>
      <c r="AZ601" s="22" t="str">
        <f t="shared" si="446"/>
        <v/>
      </c>
      <c r="BA601" s="21" t="str">
        <f t="shared" si="447"/>
        <v>Apprenant 589</v>
      </c>
      <c r="BB601" s="49" t="str">
        <f t="shared" si="419"/>
        <v/>
      </c>
      <c r="BC601" s="49" t="str">
        <f t="shared" si="420"/>
        <v/>
      </c>
      <c r="BD601" s="49" t="str">
        <f t="shared" si="421"/>
        <v/>
      </c>
      <c r="BE601" s="22" t="str">
        <f t="shared" si="448"/>
        <v/>
      </c>
      <c r="BF601" s="21" t="str">
        <f t="shared" si="449"/>
        <v>Apprenant 589 ou 589'</v>
      </c>
      <c r="BG601" s="49" t="str">
        <f t="shared" si="422"/>
        <v/>
      </c>
      <c r="BH601" s="49" t="str">
        <f t="shared" si="423"/>
        <v/>
      </c>
      <c r="BI601" s="49" t="str">
        <f t="shared" si="424"/>
        <v/>
      </c>
      <c r="BJ601" s="22" t="str">
        <f t="shared" si="450"/>
        <v/>
      </c>
      <c r="BL601" s="21"/>
      <c r="BM601" s="21" t="str">
        <f>IF(OR(COUNT(B601:D1600)=0,AND('Choix pédagogiques'!$C$3&lt;&gt;1,'Choix pédagogiques'!$C$3&lt;&gt;2)),"",IF(AND(OR('Choix pédagogiques'!$C$3=1,'Choix pédagogiques'!$C$3=2),$B601&lt;&gt;"",$C601&lt;&gt;"",$D601&lt;&gt;""),1,0))</f>
        <v/>
      </c>
      <c r="BN601" s="21" t="str">
        <f>IF(OR(COUNT(G601:I1600)=0,AND('Choix pédagogiques'!$C$3&lt;&gt;1,'Choix pédagogiques'!$C$3&lt;&gt;2)),"",IF(AND(OR('Choix pédagogiques'!$C$3=1,'Choix pédagogiques'!$C$3=2),AND($G601&lt;&gt;"",$H601&lt;&gt;"",$I601&lt;&gt;"")),1,0))</f>
        <v/>
      </c>
      <c r="BO601" s="21" t="str">
        <f>IF(OR(COUNT(B601:D1600)=0,COUNT(G601:I1600)=0,'Choix pédagogiques'!C$3&lt;&gt;3),"",IF(AND('Choix pédagogiques'!$C$3=3,$B601&lt;&gt;"",$C601&lt;&gt;"",$D601&lt;&gt;"",$G601&lt;&gt;"",$H601&lt;&gt;"",$I601&lt;&gt;""),1,0))</f>
        <v/>
      </c>
      <c r="BR601" s="21">
        <v>570</v>
      </c>
      <c r="BS601" s="21">
        <v>1444</v>
      </c>
      <c r="BT601"/>
    </row>
    <row r="602" spans="1:72" s="23" customFormat="1" ht="18" customHeight="1" x14ac:dyDescent="0.3">
      <c r="A602" s="35" t="s">
        <v>592</v>
      </c>
      <c r="B602" s="37"/>
      <c r="C602" s="37"/>
      <c r="D602" s="37"/>
      <c r="E602" s="37"/>
      <c r="F602" s="35" t="s">
        <v>1600</v>
      </c>
      <c r="G602" s="37"/>
      <c r="H602" s="37"/>
      <c r="I602" s="37"/>
      <c r="J602" s="37"/>
      <c r="K602" s="21" t="str">
        <f t="shared" si="425"/>
        <v>Apprenant 590</v>
      </c>
      <c r="L602" s="22" t="str">
        <f t="shared" si="426"/>
        <v/>
      </c>
      <c r="M602" s="22" t="str">
        <f t="shared" si="427"/>
        <v/>
      </c>
      <c r="N602" s="22" t="str">
        <f t="shared" si="428"/>
        <v/>
      </c>
      <c r="O602" s="22" t="str">
        <f t="shared" si="429"/>
        <v/>
      </c>
      <c r="P602" s="21" t="str">
        <f t="shared" si="430"/>
        <v>Apprenant 590 ou 590'</v>
      </c>
      <c r="Q602" s="22" t="str">
        <f t="shared" si="431"/>
        <v/>
      </c>
      <c r="R602" s="22" t="str">
        <f t="shared" si="432"/>
        <v/>
      </c>
      <c r="S602" s="22" t="str">
        <f t="shared" si="433"/>
        <v/>
      </c>
      <c r="T602" s="22" t="str">
        <f t="shared" si="434"/>
        <v/>
      </c>
      <c r="V602" s="21" t="str">
        <f t="shared" si="435"/>
        <v>Apprenant 590</v>
      </c>
      <c r="W602" s="22" t="str">
        <f>IF(AND(OR('Choix pédagogiques'!$C$3=1,'Choix pédagogiques'!$C$3=2),$BM602=1),B602,IF(AND('Choix pédagogiques'!$C$3=3,$BO602=1),B602,""))</f>
        <v/>
      </c>
      <c r="X602" s="22" t="str">
        <f>IF(AND(OR('Choix pédagogiques'!$C$3=1,'Choix pédagogiques'!$C$3=2),$BM602=1),C602,IF(AND('Choix pédagogiques'!$C$3=3,$BO602=1),C602,""))</f>
        <v/>
      </c>
      <c r="Y602" s="22" t="str">
        <f>IF(AND(OR('Choix pédagogiques'!$C$3=1,'Choix pédagogiques'!$C$3=2),$BM602=1),D602,IF(AND('Choix pédagogiques'!$C$3=3,$BO602=1),D602,""))</f>
        <v/>
      </c>
      <c r="Z602" s="22" t="str">
        <f t="shared" si="436"/>
        <v/>
      </c>
      <c r="AA602" s="21" t="str">
        <f t="shared" si="437"/>
        <v>Apprenant 590 ou 590'</v>
      </c>
      <c r="AB602" s="22" t="str">
        <f>IF(AND(OR('Choix pédagogiques'!$C$3=1,'Choix pédagogiques'!$C$3=2),$BN602=1),G602,IF(AND('Choix pédagogiques'!$C$3=3,$BO602=1),G602,""))</f>
        <v/>
      </c>
      <c r="AC602" s="22" t="str">
        <f>IF(AND(OR('Choix pédagogiques'!$C$3=1,'Choix pédagogiques'!$C$3=2),$BN602=1),H602,IF(AND('Choix pédagogiques'!$C$3=3,$BO602=1),H602,""))</f>
        <v/>
      </c>
      <c r="AD602" s="22" t="str">
        <f>IF(AND(OR('Choix pédagogiques'!$C$3=1,'Choix pédagogiques'!$C$3=2),$BN602=1),I602,IF(AND('Choix pédagogiques'!$C$3=3,$BO602=1),I602,""))</f>
        <v/>
      </c>
      <c r="AE602" s="22" t="str">
        <f t="shared" si="438"/>
        <v/>
      </c>
      <c r="AF602" s="21" t="str">
        <f t="shared" si="439"/>
        <v>Apprenant 590</v>
      </c>
      <c r="AG602" s="22" t="str">
        <f t="shared" si="413"/>
        <v/>
      </c>
      <c r="AH602" s="22" t="str">
        <f t="shared" si="414"/>
        <v/>
      </c>
      <c r="AI602" s="22" t="str">
        <f t="shared" si="415"/>
        <v/>
      </c>
      <c r="AJ602" s="22" t="str">
        <f t="shared" si="440"/>
        <v/>
      </c>
      <c r="AK602" s="21" t="str">
        <f t="shared" si="441"/>
        <v>Apprenant 590 ou 590'</v>
      </c>
      <c r="AL602" s="22" t="str">
        <f t="shared" si="416"/>
        <v/>
      </c>
      <c r="AM602" s="22" t="str">
        <f t="shared" si="417"/>
        <v/>
      </c>
      <c r="AN602" s="22" t="str">
        <f t="shared" si="418"/>
        <v/>
      </c>
      <c r="AO602" s="22" t="str">
        <f t="shared" si="442"/>
        <v/>
      </c>
      <c r="AQ602" s="21" t="str">
        <f t="shared" si="443"/>
        <v>Apprenant 590</v>
      </c>
      <c r="AR602" s="49" t="str">
        <f>IF(AND('Choix pédagogiques'!$C$4&lt;&gt;"?",'Choix pédagogiques'!$C$5&lt;&gt;"?",W602&lt;&gt;""),(W602-'Choix pédagogiques'!$C$4)/('Choix pédagogiques'!$C$5-'Choix pédagogiques'!$C$4),"")</f>
        <v/>
      </c>
      <c r="AS602" s="49" t="str">
        <f>IF(AND('Choix pédagogiques'!$C$4&lt;&gt;"?",'Choix pédagogiques'!$C$5&lt;&gt;"?",X602&lt;&gt;""),(X602-'Choix pédagogiques'!$C$4)/('Choix pédagogiques'!$C$5-'Choix pédagogiques'!$C$4),"")</f>
        <v/>
      </c>
      <c r="AT602" s="49" t="str">
        <f>IF(AND('Choix pédagogiques'!$C$4&lt;&gt;"?",'Choix pédagogiques'!$C$5&lt;&gt;"?",Y602&lt;&gt;""),(Y602-'Choix pédagogiques'!$C$4)/('Choix pédagogiques'!$C$5-'Choix pédagogiques'!$C$4),"")</f>
        <v/>
      </c>
      <c r="AU602" s="22" t="str">
        <f t="shared" si="444"/>
        <v/>
      </c>
      <c r="AV602" s="21" t="str">
        <f t="shared" si="445"/>
        <v>Apprenant 590 ou 590'</v>
      </c>
      <c r="AW602" s="49" t="str">
        <f>IF(AND('Choix pédagogiques'!$C$4&lt;&gt;"?",'Choix pédagogiques'!$C$5&lt;&gt;"?",AB602&lt;&gt;""),(AB602-'Choix pédagogiques'!$C$4)/('Choix pédagogiques'!$C$5-'Choix pédagogiques'!$C$4),"")</f>
        <v/>
      </c>
      <c r="AX602" s="49" t="str">
        <f>IF(AND('Choix pédagogiques'!$C$4&lt;&gt;"?",'Choix pédagogiques'!$C$5&lt;&gt;"?",AC602&lt;&gt;""),(AC602-'Choix pédagogiques'!$C$4)/('Choix pédagogiques'!$C$5-'Choix pédagogiques'!$C$4),"")</f>
        <v/>
      </c>
      <c r="AY602" s="49" t="str">
        <f>IF(AND('Choix pédagogiques'!$C$4&lt;&gt;"?",'Choix pédagogiques'!$C$5&lt;&gt;"?",AD602&lt;&gt;""),(AD602-'Choix pédagogiques'!$C$4)/('Choix pédagogiques'!$C$5-'Choix pédagogiques'!$C$4),"")</f>
        <v/>
      </c>
      <c r="AZ602" s="22" t="str">
        <f t="shared" si="446"/>
        <v/>
      </c>
      <c r="BA602" s="21" t="str">
        <f t="shared" si="447"/>
        <v>Apprenant 590</v>
      </c>
      <c r="BB602" s="49" t="str">
        <f t="shared" si="419"/>
        <v/>
      </c>
      <c r="BC602" s="49" t="str">
        <f t="shared" si="420"/>
        <v/>
      </c>
      <c r="BD602" s="49" t="str">
        <f t="shared" si="421"/>
        <v/>
      </c>
      <c r="BE602" s="22" t="str">
        <f t="shared" si="448"/>
        <v/>
      </c>
      <c r="BF602" s="21" t="str">
        <f t="shared" si="449"/>
        <v>Apprenant 590 ou 590'</v>
      </c>
      <c r="BG602" s="49" t="str">
        <f t="shared" si="422"/>
        <v/>
      </c>
      <c r="BH602" s="49" t="str">
        <f t="shared" si="423"/>
        <v/>
      </c>
      <c r="BI602" s="49" t="str">
        <f t="shared" si="424"/>
        <v/>
      </c>
      <c r="BJ602" s="22" t="str">
        <f t="shared" si="450"/>
        <v/>
      </c>
      <c r="BL602" s="21"/>
      <c r="BM602" s="21" t="str">
        <f>IF(OR(COUNT(B602:D1601)=0,AND('Choix pédagogiques'!$C$3&lt;&gt;1,'Choix pédagogiques'!$C$3&lt;&gt;2)),"",IF(AND(OR('Choix pédagogiques'!$C$3=1,'Choix pédagogiques'!$C$3=2),$B602&lt;&gt;"",$C602&lt;&gt;"",$D602&lt;&gt;""),1,0))</f>
        <v/>
      </c>
      <c r="BN602" s="21" t="str">
        <f>IF(OR(COUNT(G602:I1601)=0,AND('Choix pédagogiques'!$C$3&lt;&gt;1,'Choix pédagogiques'!$C$3&lt;&gt;2)),"",IF(AND(OR('Choix pédagogiques'!$C$3=1,'Choix pédagogiques'!$C$3=2),AND($G602&lt;&gt;"",$H602&lt;&gt;"",$I602&lt;&gt;"")),1,0))</f>
        <v/>
      </c>
      <c r="BO602" s="21" t="str">
        <f>IF(OR(COUNT(B602:D1601)=0,COUNT(G602:I1601)=0,'Choix pédagogiques'!C$3&lt;&gt;3),"",IF(AND('Choix pédagogiques'!$C$3=3,$B602&lt;&gt;"",$C602&lt;&gt;"",$D602&lt;&gt;"",$G602&lt;&gt;"",$H602&lt;&gt;"",$I602&lt;&gt;""),1,0))</f>
        <v/>
      </c>
      <c r="BR602" s="21">
        <v>689</v>
      </c>
      <c r="BS602" s="21">
        <v>1468</v>
      </c>
      <c r="BT602"/>
    </row>
    <row r="603" spans="1:72" s="23" customFormat="1" ht="18" customHeight="1" x14ac:dyDescent="0.3">
      <c r="A603" s="35" t="s">
        <v>593</v>
      </c>
      <c r="B603" s="37"/>
      <c r="C603" s="37"/>
      <c r="D603" s="37"/>
      <c r="E603" s="37"/>
      <c r="F603" s="35" t="s">
        <v>1601</v>
      </c>
      <c r="G603" s="37"/>
      <c r="H603" s="37"/>
      <c r="I603" s="37"/>
      <c r="J603" s="37"/>
      <c r="K603" s="21" t="str">
        <f t="shared" si="425"/>
        <v>Apprenant 591</v>
      </c>
      <c r="L603" s="22" t="str">
        <f t="shared" si="426"/>
        <v/>
      </c>
      <c r="M603" s="22" t="str">
        <f t="shared" si="427"/>
        <v/>
      </c>
      <c r="N603" s="22" t="str">
        <f t="shared" si="428"/>
        <v/>
      </c>
      <c r="O603" s="22" t="str">
        <f t="shared" si="429"/>
        <v/>
      </c>
      <c r="P603" s="21" t="str">
        <f t="shared" si="430"/>
        <v>Apprenant 591 ou 591'</v>
      </c>
      <c r="Q603" s="22" t="str">
        <f t="shared" si="431"/>
        <v/>
      </c>
      <c r="R603" s="22" t="str">
        <f t="shared" si="432"/>
        <v/>
      </c>
      <c r="S603" s="22" t="str">
        <f t="shared" si="433"/>
        <v/>
      </c>
      <c r="T603" s="22" t="str">
        <f t="shared" si="434"/>
        <v/>
      </c>
      <c r="V603" s="21" t="str">
        <f t="shared" si="435"/>
        <v>Apprenant 591</v>
      </c>
      <c r="W603" s="22" t="str">
        <f>IF(AND(OR('Choix pédagogiques'!$C$3=1,'Choix pédagogiques'!$C$3=2),$BM603=1),B603,IF(AND('Choix pédagogiques'!$C$3=3,$BO603=1),B603,""))</f>
        <v/>
      </c>
      <c r="X603" s="22" t="str">
        <f>IF(AND(OR('Choix pédagogiques'!$C$3=1,'Choix pédagogiques'!$C$3=2),$BM603=1),C603,IF(AND('Choix pédagogiques'!$C$3=3,$BO603=1),C603,""))</f>
        <v/>
      </c>
      <c r="Y603" s="22" t="str">
        <f>IF(AND(OR('Choix pédagogiques'!$C$3=1,'Choix pédagogiques'!$C$3=2),$BM603=1),D603,IF(AND('Choix pédagogiques'!$C$3=3,$BO603=1),D603,""))</f>
        <v/>
      </c>
      <c r="Z603" s="22" t="str">
        <f t="shared" si="436"/>
        <v/>
      </c>
      <c r="AA603" s="21" t="str">
        <f t="shared" si="437"/>
        <v>Apprenant 591 ou 591'</v>
      </c>
      <c r="AB603" s="22" t="str">
        <f>IF(AND(OR('Choix pédagogiques'!$C$3=1,'Choix pédagogiques'!$C$3=2),$BN603=1),G603,IF(AND('Choix pédagogiques'!$C$3=3,$BO603=1),G603,""))</f>
        <v/>
      </c>
      <c r="AC603" s="22" t="str">
        <f>IF(AND(OR('Choix pédagogiques'!$C$3=1,'Choix pédagogiques'!$C$3=2),$BN603=1),H603,IF(AND('Choix pédagogiques'!$C$3=3,$BO603=1),H603,""))</f>
        <v/>
      </c>
      <c r="AD603" s="22" t="str">
        <f>IF(AND(OR('Choix pédagogiques'!$C$3=1,'Choix pédagogiques'!$C$3=2),$BN603=1),I603,IF(AND('Choix pédagogiques'!$C$3=3,$BO603=1),I603,""))</f>
        <v/>
      </c>
      <c r="AE603" s="22" t="str">
        <f t="shared" si="438"/>
        <v/>
      </c>
      <c r="AF603" s="21" t="str">
        <f t="shared" si="439"/>
        <v>Apprenant 591</v>
      </c>
      <c r="AG603" s="22" t="str">
        <f t="shared" si="413"/>
        <v/>
      </c>
      <c r="AH603" s="22" t="str">
        <f t="shared" si="414"/>
        <v/>
      </c>
      <c r="AI603" s="22" t="str">
        <f t="shared" si="415"/>
        <v/>
      </c>
      <c r="AJ603" s="22" t="str">
        <f t="shared" si="440"/>
        <v/>
      </c>
      <c r="AK603" s="21" t="str">
        <f t="shared" si="441"/>
        <v>Apprenant 591 ou 591'</v>
      </c>
      <c r="AL603" s="22" t="str">
        <f t="shared" si="416"/>
        <v/>
      </c>
      <c r="AM603" s="22" t="str">
        <f t="shared" si="417"/>
        <v/>
      </c>
      <c r="AN603" s="22" t="str">
        <f t="shared" si="418"/>
        <v/>
      </c>
      <c r="AO603" s="22" t="str">
        <f t="shared" si="442"/>
        <v/>
      </c>
      <c r="AQ603" s="21" t="str">
        <f t="shared" si="443"/>
        <v>Apprenant 591</v>
      </c>
      <c r="AR603" s="49" t="str">
        <f>IF(AND('Choix pédagogiques'!$C$4&lt;&gt;"?",'Choix pédagogiques'!$C$5&lt;&gt;"?",W603&lt;&gt;""),(W603-'Choix pédagogiques'!$C$4)/('Choix pédagogiques'!$C$5-'Choix pédagogiques'!$C$4),"")</f>
        <v/>
      </c>
      <c r="AS603" s="49" t="str">
        <f>IF(AND('Choix pédagogiques'!$C$4&lt;&gt;"?",'Choix pédagogiques'!$C$5&lt;&gt;"?",X603&lt;&gt;""),(X603-'Choix pédagogiques'!$C$4)/('Choix pédagogiques'!$C$5-'Choix pédagogiques'!$C$4),"")</f>
        <v/>
      </c>
      <c r="AT603" s="49" t="str">
        <f>IF(AND('Choix pédagogiques'!$C$4&lt;&gt;"?",'Choix pédagogiques'!$C$5&lt;&gt;"?",Y603&lt;&gt;""),(Y603-'Choix pédagogiques'!$C$4)/('Choix pédagogiques'!$C$5-'Choix pédagogiques'!$C$4),"")</f>
        <v/>
      </c>
      <c r="AU603" s="22" t="str">
        <f t="shared" si="444"/>
        <v/>
      </c>
      <c r="AV603" s="21" t="str">
        <f t="shared" si="445"/>
        <v>Apprenant 591 ou 591'</v>
      </c>
      <c r="AW603" s="49" t="str">
        <f>IF(AND('Choix pédagogiques'!$C$4&lt;&gt;"?",'Choix pédagogiques'!$C$5&lt;&gt;"?",AB603&lt;&gt;""),(AB603-'Choix pédagogiques'!$C$4)/('Choix pédagogiques'!$C$5-'Choix pédagogiques'!$C$4),"")</f>
        <v/>
      </c>
      <c r="AX603" s="49" t="str">
        <f>IF(AND('Choix pédagogiques'!$C$4&lt;&gt;"?",'Choix pédagogiques'!$C$5&lt;&gt;"?",AC603&lt;&gt;""),(AC603-'Choix pédagogiques'!$C$4)/('Choix pédagogiques'!$C$5-'Choix pédagogiques'!$C$4),"")</f>
        <v/>
      </c>
      <c r="AY603" s="49" t="str">
        <f>IF(AND('Choix pédagogiques'!$C$4&lt;&gt;"?",'Choix pédagogiques'!$C$5&lt;&gt;"?",AD603&lt;&gt;""),(AD603-'Choix pédagogiques'!$C$4)/('Choix pédagogiques'!$C$5-'Choix pédagogiques'!$C$4),"")</f>
        <v/>
      </c>
      <c r="AZ603" s="22" t="str">
        <f t="shared" si="446"/>
        <v/>
      </c>
      <c r="BA603" s="21" t="str">
        <f t="shared" si="447"/>
        <v>Apprenant 591</v>
      </c>
      <c r="BB603" s="49" t="str">
        <f t="shared" si="419"/>
        <v/>
      </c>
      <c r="BC603" s="49" t="str">
        <f t="shared" si="420"/>
        <v/>
      </c>
      <c r="BD603" s="49" t="str">
        <f t="shared" si="421"/>
        <v/>
      </c>
      <c r="BE603" s="22" t="str">
        <f t="shared" si="448"/>
        <v/>
      </c>
      <c r="BF603" s="21" t="str">
        <f t="shared" si="449"/>
        <v>Apprenant 591 ou 591'</v>
      </c>
      <c r="BG603" s="49" t="str">
        <f t="shared" si="422"/>
        <v/>
      </c>
      <c r="BH603" s="49" t="str">
        <f t="shared" si="423"/>
        <v/>
      </c>
      <c r="BI603" s="49" t="str">
        <f t="shared" si="424"/>
        <v/>
      </c>
      <c r="BJ603" s="22" t="str">
        <f t="shared" si="450"/>
        <v/>
      </c>
      <c r="BL603" s="21"/>
      <c r="BM603" s="21" t="str">
        <f>IF(OR(COUNT(B603:D1602)=0,AND('Choix pédagogiques'!$C$3&lt;&gt;1,'Choix pédagogiques'!$C$3&lt;&gt;2)),"",IF(AND(OR('Choix pédagogiques'!$C$3=1,'Choix pédagogiques'!$C$3=2),$B603&lt;&gt;"",$C603&lt;&gt;"",$D603&lt;&gt;""),1,0))</f>
        <v/>
      </c>
      <c r="BN603" s="21" t="str">
        <f>IF(OR(COUNT(G603:I1602)=0,AND('Choix pédagogiques'!$C$3&lt;&gt;1,'Choix pédagogiques'!$C$3&lt;&gt;2)),"",IF(AND(OR('Choix pédagogiques'!$C$3=1,'Choix pédagogiques'!$C$3=2),AND($G603&lt;&gt;"",$H603&lt;&gt;"",$I603&lt;&gt;"")),1,0))</f>
        <v/>
      </c>
      <c r="BO603" s="21" t="str">
        <f>IF(OR(COUNT(B603:D1602)=0,COUNT(G603:I1602)=0,'Choix pédagogiques'!C$3&lt;&gt;3),"",IF(AND('Choix pédagogiques'!$C$3=3,$B603&lt;&gt;"",$C603&lt;&gt;"",$D603&lt;&gt;"",$G603&lt;&gt;"",$H603&lt;&gt;"",$I603&lt;&gt;""),1,0))</f>
        <v/>
      </c>
      <c r="BR603" s="21">
        <v>641</v>
      </c>
      <c r="BS603" s="21">
        <v>1465</v>
      </c>
      <c r="BT603"/>
    </row>
    <row r="604" spans="1:72" s="23" customFormat="1" ht="18" customHeight="1" x14ac:dyDescent="0.3">
      <c r="A604" s="35" t="s">
        <v>594</v>
      </c>
      <c r="B604" s="37"/>
      <c r="C604" s="37"/>
      <c r="D604" s="37"/>
      <c r="E604" s="37"/>
      <c r="F604" s="35" t="s">
        <v>1602</v>
      </c>
      <c r="G604" s="37"/>
      <c r="H604" s="37"/>
      <c r="I604" s="37"/>
      <c r="J604" s="37"/>
      <c r="K604" s="21" t="str">
        <f t="shared" si="425"/>
        <v>Apprenant 592</v>
      </c>
      <c r="L604" s="22" t="str">
        <f t="shared" si="426"/>
        <v/>
      </c>
      <c r="M604" s="22" t="str">
        <f t="shared" si="427"/>
        <v/>
      </c>
      <c r="N604" s="22" t="str">
        <f t="shared" si="428"/>
        <v/>
      </c>
      <c r="O604" s="22" t="str">
        <f t="shared" si="429"/>
        <v/>
      </c>
      <c r="P604" s="21" t="str">
        <f t="shared" si="430"/>
        <v>Apprenant 592 ou 592'</v>
      </c>
      <c r="Q604" s="22" t="str">
        <f t="shared" si="431"/>
        <v/>
      </c>
      <c r="R604" s="22" t="str">
        <f t="shared" si="432"/>
        <v/>
      </c>
      <c r="S604" s="22" t="str">
        <f t="shared" si="433"/>
        <v/>
      </c>
      <c r="T604" s="22" t="str">
        <f t="shared" si="434"/>
        <v/>
      </c>
      <c r="V604" s="21" t="str">
        <f t="shared" si="435"/>
        <v>Apprenant 592</v>
      </c>
      <c r="W604" s="22" t="str">
        <f>IF(AND(OR('Choix pédagogiques'!$C$3=1,'Choix pédagogiques'!$C$3=2),$BM604=1),B604,IF(AND('Choix pédagogiques'!$C$3=3,$BO604=1),B604,""))</f>
        <v/>
      </c>
      <c r="X604" s="22" t="str">
        <f>IF(AND(OR('Choix pédagogiques'!$C$3=1,'Choix pédagogiques'!$C$3=2),$BM604=1),C604,IF(AND('Choix pédagogiques'!$C$3=3,$BO604=1),C604,""))</f>
        <v/>
      </c>
      <c r="Y604" s="22" t="str">
        <f>IF(AND(OR('Choix pédagogiques'!$C$3=1,'Choix pédagogiques'!$C$3=2),$BM604=1),D604,IF(AND('Choix pédagogiques'!$C$3=3,$BO604=1),D604,""))</f>
        <v/>
      </c>
      <c r="Z604" s="22" t="str">
        <f t="shared" si="436"/>
        <v/>
      </c>
      <c r="AA604" s="21" t="str">
        <f t="shared" si="437"/>
        <v>Apprenant 592 ou 592'</v>
      </c>
      <c r="AB604" s="22" t="str">
        <f>IF(AND(OR('Choix pédagogiques'!$C$3=1,'Choix pédagogiques'!$C$3=2),$BN604=1),G604,IF(AND('Choix pédagogiques'!$C$3=3,$BO604=1),G604,""))</f>
        <v/>
      </c>
      <c r="AC604" s="22" t="str">
        <f>IF(AND(OR('Choix pédagogiques'!$C$3=1,'Choix pédagogiques'!$C$3=2),$BN604=1),H604,IF(AND('Choix pédagogiques'!$C$3=3,$BO604=1),H604,""))</f>
        <v/>
      </c>
      <c r="AD604" s="22" t="str">
        <f>IF(AND(OR('Choix pédagogiques'!$C$3=1,'Choix pédagogiques'!$C$3=2),$BN604=1),I604,IF(AND('Choix pédagogiques'!$C$3=3,$BO604=1),I604,""))</f>
        <v/>
      </c>
      <c r="AE604" s="22" t="str">
        <f t="shared" si="438"/>
        <v/>
      </c>
      <c r="AF604" s="21" t="str">
        <f t="shared" si="439"/>
        <v>Apprenant 592</v>
      </c>
      <c r="AG604" s="22" t="str">
        <f t="shared" si="413"/>
        <v/>
      </c>
      <c r="AH604" s="22" t="str">
        <f t="shared" si="414"/>
        <v/>
      </c>
      <c r="AI604" s="22" t="str">
        <f t="shared" si="415"/>
        <v/>
      </c>
      <c r="AJ604" s="22" t="str">
        <f t="shared" si="440"/>
        <v/>
      </c>
      <c r="AK604" s="21" t="str">
        <f t="shared" si="441"/>
        <v>Apprenant 592 ou 592'</v>
      </c>
      <c r="AL604" s="22" t="str">
        <f t="shared" si="416"/>
        <v/>
      </c>
      <c r="AM604" s="22" t="str">
        <f t="shared" si="417"/>
        <v/>
      </c>
      <c r="AN604" s="22" t="str">
        <f t="shared" si="418"/>
        <v/>
      </c>
      <c r="AO604" s="22" t="str">
        <f t="shared" si="442"/>
        <v/>
      </c>
      <c r="AQ604" s="21" t="str">
        <f t="shared" si="443"/>
        <v>Apprenant 592</v>
      </c>
      <c r="AR604" s="49" t="str">
        <f>IF(AND('Choix pédagogiques'!$C$4&lt;&gt;"?",'Choix pédagogiques'!$C$5&lt;&gt;"?",W604&lt;&gt;""),(W604-'Choix pédagogiques'!$C$4)/('Choix pédagogiques'!$C$5-'Choix pédagogiques'!$C$4),"")</f>
        <v/>
      </c>
      <c r="AS604" s="49" t="str">
        <f>IF(AND('Choix pédagogiques'!$C$4&lt;&gt;"?",'Choix pédagogiques'!$C$5&lt;&gt;"?",X604&lt;&gt;""),(X604-'Choix pédagogiques'!$C$4)/('Choix pédagogiques'!$C$5-'Choix pédagogiques'!$C$4),"")</f>
        <v/>
      </c>
      <c r="AT604" s="49" t="str">
        <f>IF(AND('Choix pédagogiques'!$C$4&lt;&gt;"?",'Choix pédagogiques'!$C$5&lt;&gt;"?",Y604&lt;&gt;""),(Y604-'Choix pédagogiques'!$C$4)/('Choix pédagogiques'!$C$5-'Choix pédagogiques'!$C$4),"")</f>
        <v/>
      </c>
      <c r="AU604" s="22" t="str">
        <f t="shared" si="444"/>
        <v/>
      </c>
      <c r="AV604" s="21" t="str">
        <f t="shared" si="445"/>
        <v>Apprenant 592 ou 592'</v>
      </c>
      <c r="AW604" s="49" t="str">
        <f>IF(AND('Choix pédagogiques'!$C$4&lt;&gt;"?",'Choix pédagogiques'!$C$5&lt;&gt;"?",AB604&lt;&gt;""),(AB604-'Choix pédagogiques'!$C$4)/('Choix pédagogiques'!$C$5-'Choix pédagogiques'!$C$4),"")</f>
        <v/>
      </c>
      <c r="AX604" s="49" t="str">
        <f>IF(AND('Choix pédagogiques'!$C$4&lt;&gt;"?",'Choix pédagogiques'!$C$5&lt;&gt;"?",AC604&lt;&gt;""),(AC604-'Choix pédagogiques'!$C$4)/('Choix pédagogiques'!$C$5-'Choix pédagogiques'!$C$4),"")</f>
        <v/>
      </c>
      <c r="AY604" s="49" t="str">
        <f>IF(AND('Choix pédagogiques'!$C$4&lt;&gt;"?",'Choix pédagogiques'!$C$5&lt;&gt;"?",AD604&lt;&gt;""),(AD604-'Choix pédagogiques'!$C$4)/('Choix pédagogiques'!$C$5-'Choix pédagogiques'!$C$4),"")</f>
        <v/>
      </c>
      <c r="AZ604" s="22" t="str">
        <f t="shared" si="446"/>
        <v/>
      </c>
      <c r="BA604" s="21" t="str">
        <f t="shared" si="447"/>
        <v>Apprenant 592</v>
      </c>
      <c r="BB604" s="49" t="str">
        <f t="shared" si="419"/>
        <v/>
      </c>
      <c r="BC604" s="49" t="str">
        <f t="shared" si="420"/>
        <v/>
      </c>
      <c r="BD604" s="49" t="str">
        <f t="shared" si="421"/>
        <v/>
      </c>
      <c r="BE604" s="22" t="str">
        <f t="shared" si="448"/>
        <v/>
      </c>
      <c r="BF604" s="21" t="str">
        <f t="shared" si="449"/>
        <v>Apprenant 592 ou 592'</v>
      </c>
      <c r="BG604" s="49" t="str">
        <f t="shared" si="422"/>
        <v/>
      </c>
      <c r="BH604" s="49" t="str">
        <f t="shared" si="423"/>
        <v/>
      </c>
      <c r="BI604" s="49" t="str">
        <f t="shared" si="424"/>
        <v/>
      </c>
      <c r="BJ604" s="22" t="str">
        <f t="shared" si="450"/>
        <v/>
      </c>
      <c r="BL604" s="21"/>
      <c r="BM604" s="21" t="str">
        <f>IF(OR(COUNT(B604:D1603)=0,AND('Choix pédagogiques'!$C$3&lt;&gt;1,'Choix pédagogiques'!$C$3&lt;&gt;2)),"",IF(AND(OR('Choix pédagogiques'!$C$3=1,'Choix pédagogiques'!$C$3=2),$B604&lt;&gt;"",$C604&lt;&gt;"",$D604&lt;&gt;""),1,0))</f>
        <v/>
      </c>
      <c r="BN604" s="21" t="str">
        <f>IF(OR(COUNT(G604:I1603)=0,AND('Choix pédagogiques'!$C$3&lt;&gt;1,'Choix pédagogiques'!$C$3&lt;&gt;2)),"",IF(AND(OR('Choix pédagogiques'!$C$3=1,'Choix pédagogiques'!$C$3=2),AND($G604&lt;&gt;"",$H604&lt;&gt;"",$I604&lt;&gt;"")),1,0))</f>
        <v/>
      </c>
      <c r="BO604" s="21" t="str">
        <f>IF(OR(COUNT(B604:D1603)=0,COUNT(G604:I1603)=0,'Choix pédagogiques'!C$3&lt;&gt;3),"",IF(AND('Choix pédagogiques'!$C$3=3,$B604&lt;&gt;"",$C604&lt;&gt;"",$D604&lt;&gt;"",$G604&lt;&gt;"",$H604&lt;&gt;"",$I604&lt;&gt;""),1,0))</f>
        <v/>
      </c>
      <c r="BR604" s="21">
        <v>472</v>
      </c>
      <c r="BS604" s="21">
        <v>1831</v>
      </c>
      <c r="BT604"/>
    </row>
    <row r="605" spans="1:72" s="23" customFormat="1" ht="18" customHeight="1" x14ac:dyDescent="0.3">
      <c r="A605" s="35" t="s">
        <v>595</v>
      </c>
      <c r="B605" s="37"/>
      <c r="C605" s="37"/>
      <c r="D605" s="37"/>
      <c r="E605" s="37"/>
      <c r="F605" s="35" t="s">
        <v>1603</v>
      </c>
      <c r="G605" s="37"/>
      <c r="H605" s="37"/>
      <c r="I605" s="37"/>
      <c r="J605" s="37"/>
      <c r="K605" s="21" t="str">
        <f t="shared" si="425"/>
        <v>Apprenant 593</v>
      </c>
      <c r="L605" s="22" t="str">
        <f t="shared" si="426"/>
        <v/>
      </c>
      <c r="M605" s="22" t="str">
        <f t="shared" si="427"/>
        <v/>
      </c>
      <c r="N605" s="22" t="str">
        <f t="shared" si="428"/>
        <v/>
      </c>
      <c r="O605" s="22" t="str">
        <f t="shared" si="429"/>
        <v/>
      </c>
      <c r="P605" s="21" t="str">
        <f t="shared" si="430"/>
        <v>Apprenant 593 ou 593'</v>
      </c>
      <c r="Q605" s="22" t="str">
        <f t="shared" si="431"/>
        <v/>
      </c>
      <c r="R605" s="22" t="str">
        <f t="shared" si="432"/>
        <v/>
      </c>
      <c r="S605" s="22" t="str">
        <f t="shared" si="433"/>
        <v/>
      </c>
      <c r="T605" s="22" t="str">
        <f t="shared" si="434"/>
        <v/>
      </c>
      <c r="V605" s="21" t="str">
        <f t="shared" si="435"/>
        <v>Apprenant 593</v>
      </c>
      <c r="W605" s="22" t="str">
        <f>IF(AND(OR('Choix pédagogiques'!$C$3=1,'Choix pédagogiques'!$C$3=2),$BM605=1),B605,IF(AND('Choix pédagogiques'!$C$3=3,$BO605=1),B605,""))</f>
        <v/>
      </c>
      <c r="X605" s="22" t="str">
        <f>IF(AND(OR('Choix pédagogiques'!$C$3=1,'Choix pédagogiques'!$C$3=2),$BM605=1),C605,IF(AND('Choix pédagogiques'!$C$3=3,$BO605=1),C605,""))</f>
        <v/>
      </c>
      <c r="Y605" s="22" t="str">
        <f>IF(AND(OR('Choix pédagogiques'!$C$3=1,'Choix pédagogiques'!$C$3=2),$BM605=1),D605,IF(AND('Choix pédagogiques'!$C$3=3,$BO605=1),D605,""))</f>
        <v/>
      </c>
      <c r="Z605" s="22" t="str">
        <f t="shared" si="436"/>
        <v/>
      </c>
      <c r="AA605" s="21" t="str">
        <f t="shared" si="437"/>
        <v>Apprenant 593 ou 593'</v>
      </c>
      <c r="AB605" s="22" t="str">
        <f>IF(AND(OR('Choix pédagogiques'!$C$3=1,'Choix pédagogiques'!$C$3=2),$BN605=1),G605,IF(AND('Choix pédagogiques'!$C$3=3,$BO605=1),G605,""))</f>
        <v/>
      </c>
      <c r="AC605" s="22" t="str">
        <f>IF(AND(OR('Choix pédagogiques'!$C$3=1,'Choix pédagogiques'!$C$3=2),$BN605=1),H605,IF(AND('Choix pédagogiques'!$C$3=3,$BO605=1),H605,""))</f>
        <v/>
      </c>
      <c r="AD605" s="22" t="str">
        <f>IF(AND(OR('Choix pédagogiques'!$C$3=1,'Choix pédagogiques'!$C$3=2),$BN605=1),I605,IF(AND('Choix pédagogiques'!$C$3=3,$BO605=1),I605,""))</f>
        <v/>
      </c>
      <c r="AE605" s="22" t="str">
        <f t="shared" si="438"/>
        <v/>
      </c>
      <c r="AF605" s="21" t="str">
        <f t="shared" si="439"/>
        <v>Apprenant 593</v>
      </c>
      <c r="AG605" s="22" t="str">
        <f t="shared" si="413"/>
        <v/>
      </c>
      <c r="AH605" s="22" t="str">
        <f t="shared" si="414"/>
        <v/>
      </c>
      <c r="AI605" s="22" t="str">
        <f t="shared" si="415"/>
        <v/>
      </c>
      <c r="AJ605" s="22" t="str">
        <f t="shared" si="440"/>
        <v/>
      </c>
      <c r="AK605" s="21" t="str">
        <f t="shared" si="441"/>
        <v>Apprenant 593 ou 593'</v>
      </c>
      <c r="AL605" s="22" t="str">
        <f t="shared" si="416"/>
        <v/>
      </c>
      <c r="AM605" s="22" t="str">
        <f t="shared" si="417"/>
        <v/>
      </c>
      <c r="AN605" s="22" t="str">
        <f t="shared" si="418"/>
        <v/>
      </c>
      <c r="AO605" s="22" t="str">
        <f t="shared" si="442"/>
        <v/>
      </c>
      <c r="AQ605" s="21" t="str">
        <f t="shared" si="443"/>
        <v>Apprenant 593</v>
      </c>
      <c r="AR605" s="49" t="str">
        <f>IF(AND('Choix pédagogiques'!$C$4&lt;&gt;"?",'Choix pédagogiques'!$C$5&lt;&gt;"?",W605&lt;&gt;""),(W605-'Choix pédagogiques'!$C$4)/('Choix pédagogiques'!$C$5-'Choix pédagogiques'!$C$4),"")</f>
        <v/>
      </c>
      <c r="AS605" s="49" t="str">
        <f>IF(AND('Choix pédagogiques'!$C$4&lt;&gt;"?",'Choix pédagogiques'!$C$5&lt;&gt;"?",X605&lt;&gt;""),(X605-'Choix pédagogiques'!$C$4)/('Choix pédagogiques'!$C$5-'Choix pédagogiques'!$C$4),"")</f>
        <v/>
      </c>
      <c r="AT605" s="49" t="str">
        <f>IF(AND('Choix pédagogiques'!$C$4&lt;&gt;"?",'Choix pédagogiques'!$C$5&lt;&gt;"?",Y605&lt;&gt;""),(Y605-'Choix pédagogiques'!$C$4)/('Choix pédagogiques'!$C$5-'Choix pédagogiques'!$C$4),"")</f>
        <v/>
      </c>
      <c r="AU605" s="22" t="str">
        <f t="shared" si="444"/>
        <v/>
      </c>
      <c r="AV605" s="21" t="str">
        <f t="shared" si="445"/>
        <v>Apprenant 593 ou 593'</v>
      </c>
      <c r="AW605" s="49" t="str">
        <f>IF(AND('Choix pédagogiques'!$C$4&lt;&gt;"?",'Choix pédagogiques'!$C$5&lt;&gt;"?",AB605&lt;&gt;""),(AB605-'Choix pédagogiques'!$C$4)/('Choix pédagogiques'!$C$5-'Choix pédagogiques'!$C$4),"")</f>
        <v/>
      </c>
      <c r="AX605" s="49" t="str">
        <f>IF(AND('Choix pédagogiques'!$C$4&lt;&gt;"?",'Choix pédagogiques'!$C$5&lt;&gt;"?",AC605&lt;&gt;""),(AC605-'Choix pédagogiques'!$C$4)/('Choix pédagogiques'!$C$5-'Choix pédagogiques'!$C$4),"")</f>
        <v/>
      </c>
      <c r="AY605" s="49" t="str">
        <f>IF(AND('Choix pédagogiques'!$C$4&lt;&gt;"?",'Choix pédagogiques'!$C$5&lt;&gt;"?",AD605&lt;&gt;""),(AD605-'Choix pédagogiques'!$C$4)/('Choix pédagogiques'!$C$5-'Choix pédagogiques'!$C$4),"")</f>
        <v/>
      </c>
      <c r="AZ605" s="22" t="str">
        <f t="shared" si="446"/>
        <v/>
      </c>
      <c r="BA605" s="21" t="str">
        <f t="shared" si="447"/>
        <v>Apprenant 593</v>
      </c>
      <c r="BB605" s="49" t="str">
        <f t="shared" si="419"/>
        <v/>
      </c>
      <c r="BC605" s="49" t="str">
        <f t="shared" si="420"/>
        <v/>
      </c>
      <c r="BD605" s="49" t="str">
        <f t="shared" si="421"/>
        <v/>
      </c>
      <c r="BE605" s="22" t="str">
        <f t="shared" si="448"/>
        <v/>
      </c>
      <c r="BF605" s="21" t="str">
        <f t="shared" si="449"/>
        <v>Apprenant 593 ou 593'</v>
      </c>
      <c r="BG605" s="49" t="str">
        <f t="shared" si="422"/>
        <v/>
      </c>
      <c r="BH605" s="49" t="str">
        <f t="shared" si="423"/>
        <v/>
      </c>
      <c r="BI605" s="49" t="str">
        <f t="shared" si="424"/>
        <v/>
      </c>
      <c r="BJ605" s="22" t="str">
        <f t="shared" si="450"/>
        <v/>
      </c>
      <c r="BL605" s="21"/>
      <c r="BM605" s="21" t="str">
        <f>IF(OR(COUNT(B605:D1604)=0,AND('Choix pédagogiques'!$C$3&lt;&gt;1,'Choix pédagogiques'!$C$3&lt;&gt;2)),"",IF(AND(OR('Choix pédagogiques'!$C$3=1,'Choix pédagogiques'!$C$3=2),$B605&lt;&gt;"",$C605&lt;&gt;"",$D605&lt;&gt;""),1,0))</f>
        <v/>
      </c>
      <c r="BN605" s="21" t="str">
        <f>IF(OR(COUNT(G605:I1604)=0,AND('Choix pédagogiques'!$C$3&lt;&gt;1,'Choix pédagogiques'!$C$3&lt;&gt;2)),"",IF(AND(OR('Choix pédagogiques'!$C$3=1,'Choix pédagogiques'!$C$3=2),AND($G605&lt;&gt;"",$H605&lt;&gt;"",$I605&lt;&gt;"")),1,0))</f>
        <v/>
      </c>
      <c r="BO605" s="21" t="str">
        <f>IF(OR(COUNT(B605:D1604)=0,COUNT(G605:I1604)=0,'Choix pédagogiques'!C$3&lt;&gt;3),"",IF(AND('Choix pédagogiques'!$C$3=3,$B605&lt;&gt;"",$C605&lt;&gt;"",$D605&lt;&gt;"",$G605&lt;&gt;"",$H605&lt;&gt;"",$I605&lt;&gt;""),1,0))</f>
        <v/>
      </c>
      <c r="BR605" s="21">
        <v>99</v>
      </c>
      <c r="BS605" s="21">
        <v>1995</v>
      </c>
      <c r="BT605"/>
    </row>
    <row r="606" spans="1:72" s="23" customFormat="1" ht="18" customHeight="1" x14ac:dyDescent="0.3">
      <c r="A606" s="35" t="s">
        <v>596</v>
      </c>
      <c r="B606" s="37"/>
      <c r="C606" s="37"/>
      <c r="D606" s="37"/>
      <c r="E606" s="37"/>
      <c r="F606" s="35" t="s">
        <v>1604</v>
      </c>
      <c r="G606" s="37"/>
      <c r="H606" s="37"/>
      <c r="I606" s="37"/>
      <c r="J606" s="37"/>
      <c r="K606" s="21" t="str">
        <f t="shared" si="425"/>
        <v>Apprenant 594</v>
      </c>
      <c r="L606" s="22" t="str">
        <f t="shared" si="426"/>
        <v/>
      </c>
      <c r="M606" s="22" t="str">
        <f t="shared" si="427"/>
        <v/>
      </c>
      <c r="N606" s="22" t="str">
        <f t="shared" si="428"/>
        <v/>
      </c>
      <c r="O606" s="22" t="str">
        <f t="shared" si="429"/>
        <v/>
      </c>
      <c r="P606" s="21" t="str">
        <f t="shared" si="430"/>
        <v>Apprenant 594 ou 594'</v>
      </c>
      <c r="Q606" s="22" t="str">
        <f t="shared" si="431"/>
        <v/>
      </c>
      <c r="R606" s="22" t="str">
        <f t="shared" si="432"/>
        <v/>
      </c>
      <c r="S606" s="22" t="str">
        <f t="shared" si="433"/>
        <v/>
      </c>
      <c r="T606" s="22" t="str">
        <f t="shared" si="434"/>
        <v/>
      </c>
      <c r="V606" s="21" t="str">
        <f t="shared" si="435"/>
        <v>Apprenant 594</v>
      </c>
      <c r="W606" s="22" t="str">
        <f>IF(AND(OR('Choix pédagogiques'!$C$3=1,'Choix pédagogiques'!$C$3=2),$BM606=1),B606,IF(AND('Choix pédagogiques'!$C$3=3,$BO606=1),B606,""))</f>
        <v/>
      </c>
      <c r="X606" s="22" t="str">
        <f>IF(AND(OR('Choix pédagogiques'!$C$3=1,'Choix pédagogiques'!$C$3=2),$BM606=1),C606,IF(AND('Choix pédagogiques'!$C$3=3,$BO606=1),C606,""))</f>
        <v/>
      </c>
      <c r="Y606" s="22" t="str">
        <f>IF(AND(OR('Choix pédagogiques'!$C$3=1,'Choix pédagogiques'!$C$3=2),$BM606=1),D606,IF(AND('Choix pédagogiques'!$C$3=3,$BO606=1),D606,""))</f>
        <v/>
      </c>
      <c r="Z606" s="22" t="str">
        <f t="shared" si="436"/>
        <v/>
      </c>
      <c r="AA606" s="21" t="str">
        <f t="shared" si="437"/>
        <v>Apprenant 594 ou 594'</v>
      </c>
      <c r="AB606" s="22" t="str">
        <f>IF(AND(OR('Choix pédagogiques'!$C$3=1,'Choix pédagogiques'!$C$3=2),$BN606=1),G606,IF(AND('Choix pédagogiques'!$C$3=3,$BO606=1),G606,""))</f>
        <v/>
      </c>
      <c r="AC606" s="22" t="str">
        <f>IF(AND(OR('Choix pédagogiques'!$C$3=1,'Choix pédagogiques'!$C$3=2),$BN606=1),H606,IF(AND('Choix pédagogiques'!$C$3=3,$BO606=1),H606,""))</f>
        <v/>
      </c>
      <c r="AD606" s="22" t="str">
        <f>IF(AND(OR('Choix pédagogiques'!$C$3=1,'Choix pédagogiques'!$C$3=2),$BN606=1),I606,IF(AND('Choix pédagogiques'!$C$3=3,$BO606=1),I606,""))</f>
        <v/>
      </c>
      <c r="AE606" s="22" t="str">
        <f t="shared" si="438"/>
        <v/>
      </c>
      <c r="AF606" s="21" t="str">
        <f t="shared" si="439"/>
        <v>Apprenant 594</v>
      </c>
      <c r="AG606" s="22" t="str">
        <f t="shared" si="413"/>
        <v/>
      </c>
      <c r="AH606" s="22" t="str">
        <f t="shared" si="414"/>
        <v/>
      </c>
      <c r="AI606" s="22" t="str">
        <f t="shared" si="415"/>
        <v/>
      </c>
      <c r="AJ606" s="22" t="str">
        <f t="shared" si="440"/>
        <v/>
      </c>
      <c r="AK606" s="21" t="str">
        <f t="shared" si="441"/>
        <v>Apprenant 594 ou 594'</v>
      </c>
      <c r="AL606" s="22" t="str">
        <f t="shared" si="416"/>
        <v/>
      </c>
      <c r="AM606" s="22" t="str">
        <f t="shared" si="417"/>
        <v/>
      </c>
      <c r="AN606" s="22" t="str">
        <f t="shared" si="418"/>
        <v/>
      </c>
      <c r="AO606" s="22" t="str">
        <f t="shared" si="442"/>
        <v/>
      </c>
      <c r="AQ606" s="21" t="str">
        <f t="shared" si="443"/>
        <v>Apprenant 594</v>
      </c>
      <c r="AR606" s="49" t="str">
        <f>IF(AND('Choix pédagogiques'!$C$4&lt;&gt;"?",'Choix pédagogiques'!$C$5&lt;&gt;"?",W606&lt;&gt;""),(W606-'Choix pédagogiques'!$C$4)/('Choix pédagogiques'!$C$5-'Choix pédagogiques'!$C$4),"")</f>
        <v/>
      </c>
      <c r="AS606" s="49" t="str">
        <f>IF(AND('Choix pédagogiques'!$C$4&lt;&gt;"?",'Choix pédagogiques'!$C$5&lt;&gt;"?",X606&lt;&gt;""),(X606-'Choix pédagogiques'!$C$4)/('Choix pédagogiques'!$C$5-'Choix pédagogiques'!$C$4),"")</f>
        <v/>
      </c>
      <c r="AT606" s="49" t="str">
        <f>IF(AND('Choix pédagogiques'!$C$4&lt;&gt;"?",'Choix pédagogiques'!$C$5&lt;&gt;"?",Y606&lt;&gt;""),(Y606-'Choix pédagogiques'!$C$4)/('Choix pédagogiques'!$C$5-'Choix pédagogiques'!$C$4),"")</f>
        <v/>
      </c>
      <c r="AU606" s="22" t="str">
        <f t="shared" si="444"/>
        <v/>
      </c>
      <c r="AV606" s="21" t="str">
        <f t="shared" si="445"/>
        <v>Apprenant 594 ou 594'</v>
      </c>
      <c r="AW606" s="49" t="str">
        <f>IF(AND('Choix pédagogiques'!$C$4&lt;&gt;"?",'Choix pédagogiques'!$C$5&lt;&gt;"?",AB606&lt;&gt;""),(AB606-'Choix pédagogiques'!$C$4)/('Choix pédagogiques'!$C$5-'Choix pédagogiques'!$C$4),"")</f>
        <v/>
      </c>
      <c r="AX606" s="49" t="str">
        <f>IF(AND('Choix pédagogiques'!$C$4&lt;&gt;"?",'Choix pédagogiques'!$C$5&lt;&gt;"?",AC606&lt;&gt;""),(AC606-'Choix pédagogiques'!$C$4)/('Choix pédagogiques'!$C$5-'Choix pédagogiques'!$C$4),"")</f>
        <v/>
      </c>
      <c r="AY606" s="49" t="str">
        <f>IF(AND('Choix pédagogiques'!$C$4&lt;&gt;"?",'Choix pédagogiques'!$C$5&lt;&gt;"?",AD606&lt;&gt;""),(AD606-'Choix pédagogiques'!$C$4)/('Choix pédagogiques'!$C$5-'Choix pédagogiques'!$C$4),"")</f>
        <v/>
      </c>
      <c r="AZ606" s="22" t="str">
        <f t="shared" si="446"/>
        <v/>
      </c>
      <c r="BA606" s="21" t="str">
        <f t="shared" si="447"/>
        <v>Apprenant 594</v>
      </c>
      <c r="BB606" s="49" t="str">
        <f t="shared" si="419"/>
        <v/>
      </c>
      <c r="BC606" s="49" t="str">
        <f t="shared" si="420"/>
        <v/>
      </c>
      <c r="BD606" s="49" t="str">
        <f t="shared" si="421"/>
        <v/>
      </c>
      <c r="BE606" s="22" t="str">
        <f t="shared" si="448"/>
        <v/>
      </c>
      <c r="BF606" s="21" t="str">
        <f t="shared" si="449"/>
        <v>Apprenant 594 ou 594'</v>
      </c>
      <c r="BG606" s="49" t="str">
        <f t="shared" si="422"/>
        <v/>
      </c>
      <c r="BH606" s="49" t="str">
        <f t="shared" si="423"/>
        <v/>
      </c>
      <c r="BI606" s="49" t="str">
        <f t="shared" si="424"/>
        <v/>
      </c>
      <c r="BJ606" s="22" t="str">
        <f t="shared" si="450"/>
        <v/>
      </c>
      <c r="BL606" s="21"/>
      <c r="BM606" s="21" t="str">
        <f>IF(OR(COUNT(B606:D1605)=0,AND('Choix pédagogiques'!$C$3&lt;&gt;1,'Choix pédagogiques'!$C$3&lt;&gt;2)),"",IF(AND(OR('Choix pédagogiques'!$C$3=1,'Choix pédagogiques'!$C$3=2),$B606&lt;&gt;"",$C606&lt;&gt;"",$D606&lt;&gt;""),1,0))</f>
        <v/>
      </c>
      <c r="BN606" s="21" t="str">
        <f>IF(OR(COUNT(G606:I1605)=0,AND('Choix pédagogiques'!$C$3&lt;&gt;1,'Choix pédagogiques'!$C$3&lt;&gt;2)),"",IF(AND(OR('Choix pédagogiques'!$C$3=1,'Choix pédagogiques'!$C$3=2),AND($G606&lt;&gt;"",$H606&lt;&gt;"",$I606&lt;&gt;"")),1,0))</f>
        <v/>
      </c>
      <c r="BO606" s="21" t="str">
        <f>IF(OR(COUNT(B606:D1605)=0,COUNT(G606:I1605)=0,'Choix pédagogiques'!C$3&lt;&gt;3),"",IF(AND('Choix pédagogiques'!$C$3=3,$B606&lt;&gt;"",$C606&lt;&gt;"",$D606&lt;&gt;"",$G606&lt;&gt;"",$H606&lt;&gt;"",$I606&lt;&gt;""),1,0))</f>
        <v/>
      </c>
      <c r="BR606" s="21">
        <v>947</v>
      </c>
      <c r="BS606" s="21">
        <v>1546</v>
      </c>
      <c r="BT606"/>
    </row>
    <row r="607" spans="1:72" s="23" customFormat="1" ht="18" customHeight="1" x14ac:dyDescent="0.3">
      <c r="A607" s="35" t="s">
        <v>597</v>
      </c>
      <c r="B607" s="37"/>
      <c r="C607" s="37"/>
      <c r="D607" s="37"/>
      <c r="E607" s="37"/>
      <c r="F607" s="35" t="s">
        <v>1605</v>
      </c>
      <c r="G607" s="37"/>
      <c r="H607" s="37"/>
      <c r="I607" s="37"/>
      <c r="J607" s="37"/>
      <c r="K607" s="21" t="str">
        <f t="shared" si="425"/>
        <v>Apprenant 595</v>
      </c>
      <c r="L607" s="22" t="str">
        <f t="shared" si="426"/>
        <v/>
      </c>
      <c r="M607" s="22" t="str">
        <f t="shared" si="427"/>
        <v/>
      </c>
      <c r="N607" s="22" t="str">
        <f t="shared" si="428"/>
        <v/>
      </c>
      <c r="O607" s="22" t="str">
        <f t="shared" si="429"/>
        <v/>
      </c>
      <c r="P607" s="21" t="str">
        <f t="shared" si="430"/>
        <v>Apprenant 595 ou 595'</v>
      </c>
      <c r="Q607" s="22" t="str">
        <f t="shared" si="431"/>
        <v/>
      </c>
      <c r="R607" s="22" t="str">
        <f t="shared" si="432"/>
        <v/>
      </c>
      <c r="S607" s="22" t="str">
        <f t="shared" si="433"/>
        <v/>
      </c>
      <c r="T607" s="22" t="str">
        <f t="shared" si="434"/>
        <v/>
      </c>
      <c r="V607" s="21" t="str">
        <f t="shared" si="435"/>
        <v>Apprenant 595</v>
      </c>
      <c r="W607" s="22" t="str">
        <f>IF(AND(OR('Choix pédagogiques'!$C$3=1,'Choix pédagogiques'!$C$3=2),$BM607=1),B607,IF(AND('Choix pédagogiques'!$C$3=3,$BO607=1),B607,""))</f>
        <v/>
      </c>
      <c r="X607" s="22" t="str">
        <f>IF(AND(OR('Choix pédagogiques'!$C$3=1,'Choix pédagogiques'!$C$3=2),$BM607=1),C607,IF(AND('Choix pédagogiques'!$C$3=3,$BO607=1),C607,""))</f>
        <v/>
      </c>
      <c r="Y607" s="22" t="str">
        <f>IF(AND(OR('Choix pédagogiques'!$C$3=1,'Choix pédagogiques'!$C$3=2),$BM607=1),D607,IF(AND('Choix pédagogiques'!$C$3=3,$BO607=1),D607,""))</f>
        <v/>
      </c>
      <c r="Z607" s="22" t="str">
        <f t="shared" si="436"/>
        <v/>
      </c>
      <c r="AA607" s="21" t="str">
        <f t="shared" si="437"/>
        <v>Apprenant 595 ou 595'</v>
      </c>
      <c r="AB607" s="22" t="str">
        <f>IF(AND(OR('Choix pédagogiques'!$C$3=1,'Choix pédagogiques'!$C$3=2),$BN607=1),G607,IF(AND('Choix pédagogiques'!$C$3=3,$BO607=1),G607,""))</f>
        <v/>
      </c>
      <c r="AC607" s="22" t="str">
        <f>IF(AND(OR('Choix pédagogiques'!$C$3=1,'Choix pédagogiques'!$C$3=2),$BN607=1),H607,IF(AND('Choix pédagogiques'!$C$3=3,$BO607=1),H607,""))</f>
        <v/>
      </c>
      <c r="AD607" s="22" t="str">
        <f>IF(AND(OR('Choix pédagogiques'!$C$3=1,'Choix pédagogiques'!$C$3=2),$BN607=1),I607,IF(AND('Choix pédagogiques'!$C$3=3,$BO607=1),I607,""))</f>
        <v/>
      </c>
      <c r="AE607" s="22" t="str">
        <f t="shared" si="438"/>
        <v/>
      </c>
      <c r="AF607" s="21" t="str">
        <f t="shared" si="439"/>
        <v>Apprenant 595</v>
      </c>
      <c r="AG607" s="22" t="str">
        <f t="shared" si="413"/>
        <v/>
      </c>
      <c r="AH607" s="22" t="str">
        <f t="shared" si="414"/>
        <v/>
      </c>
      <c r="AI607" s="22" t="str">
        <f t="shared" si="415"/>
        <v/>
      </c>
      <c r="AJ607" s="22" t="str">
        <f t="shared" si="440"/>
        <v/>
      </c>
      <c r="AK607" s="21" t="str">
        <f t="shared" si="441"/>
        <v>Apprenant 595 ou 595'</v>
      </c>
      <c r="AL607" s="22" t="str">
        <f t="shared" si="416"/>
        <v/>
      </c>
      <c r="AM607" s="22" t="str">
        <f t="shared" si="417"/>
        <v/>
      </c>
      <c r="AN607" s="22" t="str">
        <f t="shared" si="418"/>
        <v/>
      </c>
      <c r="AO607" s="22" t="str">
        <f t="shared" si="442"/>
        <v/>
      </c>
      <c r="AQ607" s="21" t="str">
        <f t="shared" si="443"/>
        <v>Apprenant 595</v>
      </c>
      <c r="AR607" s="49" t="str">
        <f>IF(AND('Choix pédagogiques'!$C$4&lt;&gt;"?",'Choix pédagogiques'!$C$5&lt;&gt;"?",W607&lt;&gt;""),(W607-'Choix pédagogiques'!$C$4)/('Choix pédagogiques'!$C$5-'Choix pédagogiques'!$C$4),"")</f>
        <v/>
      </c>
      <c r="AS607" s="49" t="str">
        <f>IF(AND('Choix pédagogiques'!$C$4&lt;&gt;"?",'Choix pédagogiques'!$C$5&lt;&gt;"?",X607&lt;&gt;""),(X607-'Choix pédagogiques'!$C$4)/('Choix pédagogiques'!$C$5-'Choix pédagogiques'!$C$4),"")</f>
        <v/>
      </c>
      <c r="AT607" s="49" t="str">
        <f>IF(AND('Choix pédagogiques'!$C$4&lt;&gt;"?",'Choix pédagogiques'!$C$5&lt;&gt;"?",Y607&lt;&gt;""),(Y607-'Choix pédagogiques'!$C$4)/('Choix pédagogiques'!$C$5-'Choix pédagogiques'!$C$4),"")</f>
        <v/>
      </c>
      <c r="AU607" s="22" t="str">
        <f t="shared" si="444"/>
        <v/>
      </c>
      <c r="AV607" s="21" t="str">
        <f t="shared" si="445"/>
        <v>Apprenant 595 ou 595'</v>
      </c>
      <c r="AW607" s="49" t="str">
        <f>IF(AND('Choix pédagogiques'!$C$4&lt;&gt;"?",'Choix pédagogiques'!$C$5&lt;&gt;"?",AB607&lt;&gt;""),(AB607-'Choix pédagogiques'!$C$4)/('Choix pédagogiques'!$C$5-'Choix pédagogiques'!$C$4),"")</f>
        <v/>
      </c>
      <c r="AX607" s="49" t="str">
        <f>IF(AND('Choix pédagogiques'!$C$4&lt;&gt;"?",'Choix pédagogiques'!$C$5&lt;&gt;"?",AC607&lt;&gt;""),(AC607-'Choix pédagogiques'!$C$4)/('Choix pédagogiques'!$C$5-'Choix pédagogiques'!$C$4),"")</f>
        <v/>
      </c>
      <c r="AY607" s="49" t="str">
        <f>IF(AND('Choix pédagogiques'!$C$4&lt;&gt;"?",'Choix pédagogiques'!$C$5&lt;&gt;"?",AD607&lt;&gt;""),(AD607-'Choix pédagogiques'!$C$4)/('Choix pédagogiques'!$C$5-'Choix pédagogiques'!$C$4),"")</f>
        <v/>
      </c>
      <c r="AZ607" s="22" t="str">
        <f t="shared" si="446"/>
        <v/>
      </c>
      <c r="BA607" s="21" t="str">
        <f t="shared" si="447"/>
        <v>Apprenant 595</v>
      </c>
      <c r="BB607" s="49" t="str">
        <f t="shared" si="419"/>
        <v/>
      </c>
      <c r="BC607" s="49" t="str">
        <f t="shared" si="420"/>
        <v/>
      </c>
      <c r="BD607" s="49" t="str">
        <f t="shared" si="421"/>
        <v/>
      </c>
      <c r="BE607" s="22" t="str">
        <f t="shared" si="448"/>
        <v/>
      </c>
      <c r="BF607" s="21" t="str">
        <f t="shared" si="449"/>
        <v>Apprenant 595 ou 595'</v>
      </c>
      <c r="BG607" s="49" t="str">
        <f t="shared" si="422"/>
        <v/>
      </c>
      <c r="BH607" s="49" t="str">
        <f t="shared" si="423"/>
        <v/>
      </c>
      <c r="BI607" s="49" t="str">
        <f t="shared" si="424"/>
        <v/>
      </c>
      <c r="BJ607" s="22" t="str">
        <f t="shared" si="450"/>
        <v/>
      </c>
      <c r="BL607" s="21"/>
      <c r="BM607" s="21" t="str">
        <f>IF(OR(COUNT(B607:D1606)=0,AND('Choix pédagogiques'!$C$3&lt;&gt;1,'Choix pédagogiques'!$C$3&lt;&gt;2)),"",IF(AND(OR('Choix pédagogiques'!$C$3=1,'Choix pédagogiques'!$C$3=2),$B607&lt;&gt;"",$C607&lt;&gt;"",$D607&lt;&gt;""),1,0))</f>
        <v/>
      </c>
      <c r="BN607" s="21" t="str">
        <f>IF(OR(COUNT(G607:I1606)=0,AND('Choix pédagogiques'!$C$3&lt;&gt;1,'Choix pédagogiques'!$C$3&lt;&gt;2)),"",IF(AND(OR('Choix pédagogiques'!$C$3=1,'Choix pédagogiques'!$C$3=2),AND($G607&lt;&gt;"",$H607&lt;&gt;"",$I607&lt;&gt;"")),1,0))</f>
        <v/>
      </c>
      <c r="BO607" s="21" t="str">
        <f>IF(OR(COUNT(B607:D1606)=0,COUNT(G607:I1606)=0,'Choix pédagogiques'!C$3&lt;&gt;3),"",IF(AND('Choix pédagogiques'!$C$3=3,$B607&lt;&gt;"",$C607&lt;&gt;"",$D607&lt;&gt;"",$G607&lt;&gt;"",$H607&lt;&gt;"",$I607&lt;&gt;""),1,0))</f>
        <v/>
      </c>
      <c r="BR607" s="21">
        <v>250</v>
      </c>
      <c r="BS607" s="21">
        <v>1947</v>
      </c>
      <c r="BT607"/>
    </row>
    <row r="608" spans="1:72" s="23" customFormat="1" ht="18" customHeight="1" x14ac:dyDescent="0.3">
      <c r="A608" s="35" t="s">
        <v>598</v>
      </c>
      <c r="B608" s="37"/>
      <c r="C608" s="37"/>
      <c r="D608" s="37"/>
      <c r="E608" s="37"/>
      <c r="F608" s="35" t="s">
        <v>1606</v>
      </c>
      <c r="G608" s="37"/>
      <c r="H608" s="37"/>
      <c r="I608" s="37"/>
      <c r="J608" s="37"/>
      <c r="K608" s="21" t="str">
        <f t="shared" si="425"/>
        <v>Apprenant 596</v>
      </c>
      <c r="L608" s="22" t="str">
        <f t="shared" si="426"/>
        <v/>
      </c>
      <c r="M608" s="22" t="str">
        <f t="shared" si="427"/>
        <v/>
      </c>
      <c r="N608" s="22" t="str">
        <f t="shared" si="428"/>
        <v/>
      </c>
      <c r="O608" s="22" t="str">
        <f t="shared" si="429"/>
        <v/>
      </c>
      <c r="P608" s="21" t="str">
        <f t="shared" si="430"/>
        <v>Apprenant 596 ou 596'</v>
      </c>
      <c r="Q608" s="22" t="str">
        <f t="shared" si="431"/>
        <v/>
      </c>
      <c r="R608" s="22" t="str">
        <f t="shared" si="432"/>
        <v/>
      </c>
      <c r="S608" s="22" t="str">
        <f t="shared" si="433"/>
        <v/>
      </c>
      <c r="T608" s="22" t="str">
        <f t="shared" si="434"/>
        <v/>
      </c>
      <c r="V608" s="21" t="str">
        <f t="shared" si="435"/>
        <v>Apprenant 596</v>
      </c>
      <c r="W608" s="22" t="str">
        <f>IF(AND(OR('Choix pédagogiques'!$C$3=1,'Choix pédagogiques'!$C$3=2),$BM608=1),B608,IF(AND('Choix pédagogiques'!$C$3=3,$BO608=1),B608,""))</f>
        <v/>
      </c>
      <c r="X608" s="22" t="str">
        <f>IF(AND(OR('Choix pédagogiques'!$C$3=1,'Choix pédagogiques'!$C$3=2),$BM608=1),C608,IF(AND('Choix pédagogiques'!$C$3=3,$BO608=1),C608,""))</f>
        <v/>
      </c>
      <c r="Y608" s="22" t="str">
        <f>IF(AND(OR('Choix pédagogiques'!$C$3=1,'Choix pédagogiques'!$C$3=2),$BM608=1),D608,IF(AND('Choix pédagogiques'!$C$3=3,$BO608=1),D608,""))</f>
        <v/>
      </c>
      <c r="Z608" s="22" t="str">
        <f t="shared" si="436"/>
        <v/>
      </c>
      <c r="AA608" s="21" t="str">
        <f t="shared" si="437"/>
        <v>Apprenant 596 ou 596'</v>
      </c>
      <c r="AB608" s="22" t="str">
        <f>IF(AND(OR('Choix pédagogiques'!$C$3=1,'Choix pédagogiques'!$C$3=2),$BN608=1),G608,IF(AND('Choix pédagogiques'!$C$3=3,$BO608=1),G608,""))</f>
        <v/>
      </c>
      <c r="AC608" s="22" t="str">
        <f>IF(AND(OR('Choix pédagogiques'!$C$3=1,'Choix pédagogiques'!$C$3=2),$BN608=1),H608,IF(AND('Choix pédagogiques'!$C$3=3,$BO608=1),H608,""))</f>
        <v/>
      </c>
      <c r="AD608" s="22" t="str">
        <f>IF(AND(OR('Choix pédagogiques'!$C$3=1,'Choix pédagogiques'!$C$3=2),$BN608=1),I608,IF(AND('Choix pédagogiques'!$C$3=3,$BO608=1),I608,""))</f>
        <v/>
      </c>
      <c r="AE608" s="22" t="str">
        <f t="shared" si="438"/>
        <v/>
      </c>
      <c r="AF608" s="21" t="str">
        <f t="shared" si="439"/>
        <v>Apprenant 596</v>
      </c>
      <c r="AG608" s="22" t="str">
        <f t="shared" si="413"/>
        <v/>
      </c>
      <c r="AH608" s="22" t="str">
        <f t="shared" si="414"/>
        <v/>
      </c>
      <c r="AI608" s="22" t="str">
        <f t="shared" si="415"/>
        <v/>
      </c>
      <c r="AJ608" s="22" t="str">
        <f t="shared" si="440"/>
        <v/>
      </c>
      <c r="AK608" s="21" t="str">
        <f t="shared" si="441"/>
        <v>Apprenant 596 ou 596'</v>
      </c>
      <c r="AL608" s="22" t="str">
        <f t="shared" si="416"/>
        <v/>
      </c>
      <c r="AM608" s="22" t="str">
        <f t="shared" si="417"/>
        <v/>
      </c>
      <c r="AN608" s="22" t="str">
        <f t="shared" si="418"/>
        <v/>
      </c>
      <c r="AO608" s="22" t="str">
        <f t="shared" si="442"/>
        <v/>
      </c>
      <c r="AQ608" s="21" t="str">
        <f t="shared" si="443"/>
        <v>Apprenant 596</v>
      </c>
      <c r="AR608" s="49" t="str">
        <f>IF(AND('Choix pédagogiques'!$C$4&lt;&gt;"?",'Choix pédagogiques'!$C$5&lt;&gt;"?",W608&lt;&gt;""),(W608-'Choix pédagogiques'!$C$4)/('Choix pédagogiques'!$C$5-'Choix pédagogiques'!$C$4),"")</f>
        <v/>
      </c>
      <c r="AS608" s="49" t="str">
        <f>IF(AND('Choix pédagogiques'!$C$4&lt;&gt;"?",'Choix pédagogiques'!$C$5&lt;&gt;"?",X608&lt;&gt;""),(X608-'Choix pédagogiques'!$C$4)/('Choix pédagogiques'!$C$5-'Choix pédagogiques'!$C$4),"")</f>
        <v/>
      </c>
      <c r="AT608" s="49" t="str">
        <f>IF(AND('Choix pédagogiques'!$C$4&lt;&gt;"?",'Choix pédagogiques'!$C$5&lt;&gt;"?",Y608&lt;&gt;""),(Y608-'Choix pédagogiques'!$C$4)/('Choix pédagogiques'!$C$5-'Choix pédagogiques'!$C$4),"")</f>
        <v/>
      </c>
      <c r="AU608" s="22" t="str">
        <f t="shared" si="444"/>
        <v/>
      </c>
      <c r="AV608" s="21" t="str">
        <f t="shared" si="445"/>
        <v>Apprenant 596 ou 596'</v>
      </c>
      <c r="AW608" s="49" t="str">
        <f>IF(AND('Choix pédagogiques'!$C$4&lt;&gt;"?",'Choix pédagogiques'!$C$5&lt;&gt;"?",AB608&lt;&gt;""),(AB608-'Choix pédagogiques'!$C$4)/('Choix pédagogiques'!$C$5-'Choix pédagogiques'!$C$4),"")</f>
        <v/>
      </c>
      <c r="AX608" s="49" t="str">
        <f>IF(AND('Choix pédagogiques'!$C$4&lt;&gt;"?",'Choix pédagogiques'!$C$5&lt;&gt;"?",AC608&lt;&gt;""),(AC608-'Choix pédagogiques'!$C$4)/('Choix pédagogiques'!$C$5-'Choix pédagogiques'!$C$4),"")</f>
        <v/>
      </c>
      <c r="AY608" s="49" t="str">
        <f>IF(AND('Choix pédagogiques'!$C$4&lt;&gt;"?",'Choix pédagogiques'!$C$5&lt;&gt;"?",AD608&lt;&gt;""),(AD608-'Choix pédagogiques'!$C$4)/('Choix pédagogiques'!$C$5-'Choix pédagogiques'!$C$4),"")</f>
        <v/>
      </c>
      <c r="AZ608" s="22" t="str">
        <f t="shared" si="446"/>
        <v/>
      </c>
      <c r="BA608" s="21" t="str">
        <f t="shared" si="447"/>
        <v>Apprenant 596</v>
      </c>
      <c r="BB608" s="49" t="str">
        <f t="shared" si="419"/>
        <v/>
      </c>
      <c r="BC608" s="49" t="str">
        <f t="shared" si="420"/>
        <v/>
      </c>
      <c r="BD608" s="49" t="str">
        <f t="shared" si="421"/>
        <v/>
      </c>
      <c r="BE608" s="22" t="str">
        <f t="shared" si="448"/>
        <v/>
      </c>
      <c r="BF608" s="21" t="str">
        <f t="shared" si="449"/>
        <v>Apprenant 596 ou 596'</v>
      </c>
      <c r="BG608" s="49" t="str">
        <f t="shared" si="422"/>
        <v/>
      </c>
      <c r="BH608" s="49" t="str">
        <f t="shared" si="423"/>
        <v/>
      </c>
      <c r="BI608" s="49" t="str">
        <f t="shared" si="424"/>
        <v/>
      </c>
      <c r="BJ608" s="22" t="str">
        <f t="shared" si="450"/>
        <v/>
      </c>
      <c r="BL608" s="21"/>
      <c r="BM608" s="21" t="str">
        <f>IF(OR(COUNT(B608:D1607)=0,AND('Choix pédagogiques'!$C$3&lt;&gt;1,'Choix pédagogiques'!$C$3&lt;&gt;2)),"",IF(AND(OR('Choix pédagogiques'!$C$3=1,'Choix pédagogiques'!$C$3=2),$B608&lt;&gt;"",$C608&lt;&gt;"",$D608&lt;&gt;""),1,0))</f>
        <v/>
      </c>
      <c r="BN608" s="21" t="str">
        <f>IF(OR(COUNT(G608:I1607)=0,AND('Choix pédagogiques'!$C$3&lt;&gt;1,'Choix pédagogiques'!$C$3&lt;&gt;2)),"",IF(AND(OR('Choix pédagogiques'!$C$3=1,'Choix pédagogiques'!$C$3=2),AND($G608&lt;&gt;"",$H608&lt;&gt;"",$I608&lt;&gt;"")),1,0))</f>
        <v/>
      </c>
      <c r="BO608" s="21" t="str">
        <f>IF(OR(COUNT(B608:D1607)=0,COUNT(G608:I1607)=0,'Choix pédagogiques'!C$3&lt;&gt;3),"",IF(AND('Choix pédagogiques'!$C$3=3,$B608&lt;&gt;"",$C608&lt;&gt;"",$D608&lt;&gt;"",$G608&lt;&gt;"",$H608&lt;&gt;"",$I608&lt;&gt;""),1,0))</f>
        <v/>
      </c>
      <c r="BR608" s="21">
        <v>82</v>
      </c>
      <c r="BS608" s="21">
        <v>1943</v>
      </c>
      <c r="BT608"/>
    </row>
    <row r="609" spans="1:72" s="23" customFormat="1" ht="18" customHeight="1" x14ac:dyDescent="0.3">
      <c r="A609" s="35" t="s">
        <v>599</v>
      </c>
      <c r="B609" s="37"/>
      <c r="C609" s="37"/>
      <c r="D609" s="37"/>
      <c r="E609" s="37"/>
      <c r="F609" s="35" t="s">
        <v>1607</v>
      </c>
      <c r="G609" s="37"/>
      <c r="H609" s="37"/>
      <c r="I609" s="37"/>
      <c r="J609" s="37"/>
      <c r="K609" s="21" t="str">
        <f t="shared" si="425"/>
        <v>Apprenant 597</v>
      </c>
      <c r="L609" s="22" t="str">
        <f t="shared" si="426"/>
        <v/>
      </c>
      <c r="M609" s="22" t="str">
        <f t="shared" si="427"/>
        <v/>
      </c>
      <c r="N609" s="22" t="str">
        <f t="shared" si="428"/>
        <v/>
      </c>
      <c r="O609" s="22" t="str">
        <f t="shared" si="429"/>
        <v/>
      </c>
      <c r="P609" s="21" t="str">
        <f t="shared" si="430"/>
        <v>Apprenant 597 ou 597'</v>
      </c>
      <c r="Q609" s="22" t="str">
        <f t="shared" si="431"/>
        <v/>
      </c>
      <c r="R609" s="22" t="str">
        <f t="shared" si="432"/>
        <v/>
      </c>
      <c r="S609" s="22" t="str">
        <f t="shared" si="433"/>
        <v/>
      </c>
      <c r="T609" s="22" t="str">
        <f t="shared" si="434"/>
        <v/>
      </c>
      <c r="V609" s="21" t="str">
        <f t="shared" si="435"/>
        <v>Apprenant 597</v>
      </c>
      <c r="W609" s="22" t="str">
        <f>IF(AND(OR('Choix pédagogiques'!$C$3=1,'Choix pédagogiques'!$C$3=2),$BM609=1),B609,IF(AND('Choix pédagogiques'!$C$3=3,$BO609=1),B609,""))</f>
        <v/>
      </c>
      <c r="X609" s="22" t="str">
        <f>IF(AND(OR('Choix pédagogiques'!$C$3=1,'Choix pédagogiques'!$C$3=2),$BM609=1),C609,IF(AND('Choix pédagogiques'!$C$3=3,$BO609=1),C609,""))</f>
        <v/>
      </c>
      <c r="Y609" s="22" t="str">
        <f>IF(AND(OR('Choix pédagogiques'!$C$3=1,'Choix pédagogiques'!$C$3=2),$BM609=1),D609,IF(AND('Choix pédagogiques'!$C$3=3,$BO609=1),D609,""))</f>
        <v/>
      </c>
      <c r="Z609" s="22" t="str">
        <f t="shared" si="436"/>
        <v/>
      </c>
      <c r="AA609" s="21" t="str">
        <f t="shared" si="437"/>
        <v>Apprenant 597 ou 597'</v>
      </c>
      <c r="AB609" s="22" t="str">
        <f>IF(AND(OR('Choix pédagogiques'!$C$3=1,'Choix pédagogiques'!$C$3=2),$BN609=1),G609,IF(AND('Choix pédagogiques'!$C$3=3,$BO609=1),G609,""))</f>
        <v/>
      </c>
      <c r="AC609" s="22" t="str">
        <f>IF(AND(OR('Choix pédagogiques'!$C$3=1,'Choix pédagogiques'!$C$3=2),$BN609=1),H609,IF(AND('Choix pédagogiques'!$C$3=3,$BO609=1),H609,""))</f>
        <v/>
      </c>
      <c r="AD609" s="22" t="str">
        <f>IF(AND(OR('Choix pédagogiques'!$C$3=1,'Choix pédagogiques'!$C$3=2),$BN609=1),I609,IF(AND('Choix pédagogiques'!$C$3=3,$BO609=1),I609,""))</f>
        <v/>
      </c>
      <c r="AE609" s="22" t="str">
        <f t="shared" si="438"/>
        <v/>
      </c>
      <c r="AF609" s="21" t="str">
        <f t="shared" si="439"/>
        <v>Apprenant 597</v>
      </c>
      <c r="AG609" s="22" t="str">
        <f t="shared" si="413"/>
        <v/>
      </c>
      <c r="AH609" s="22" t="str">
        <f t="shared" si="414"/>
        <v/>
      </c>
      <c r="AI609" s="22" t="str">
        <f t="shared" si="415"/>
        <v/>
      </c>
      <c r="AJ609" s="22" t="str">
        <f t="shared" si="440"/>
        <v/>
      </c>
      <c r="AK609" s="21" t="str">
        <f t="shared" si="441"/>
        <v>Apprenant 597 ou 597'</v>
      </c>
      <c r="AL609" s="22" t="str">
        <f t="shared" si="416"/>
        <v/>
      </c>
      <c r="AM609" s="22" t="str">
        <f t="shared" si="417"/>
        <v/>
      </c>
      <c r="AN609" s="22" t="str">
        <f t="shared" si="418"/>
        <v/>
      </c>
      <c r="AO609" s="22" t="str">
        <f t="shared" si="442"/>
        <v/>
      </c>
      <c r="AQ609" s="21" t="str">
        <f t="shared" si="443"/>
        <v>Apprenant 597</v>
      </c>
      <c r="AR609" s="49" t="str">
        <f>IF(AND('Choix pédagogiques'!$C$4&lt;&gt;"?",'Choix pédagogiques'!$C$5&lt;&gt;"?",W609&lt;&gt;""),(W609-'Choix pédagogiques'!$C$4)/('Choix pédagogiques'!$C$5-'Choix pédagogiques'!$C$4),"")</f>
        <v/>
      </c>
      <c r="AS609" s="49" t="str">
        <f>IF(AND('Choix pédagogiques'!$C$4&lt;&gt;"?",'Choix pédagogiques'!$C$5&lt;&gt;"?",X609&lt;&gt;""),(X609-'Choix pédagogiques'!$C$4)/('Choix pédagogiques'!$C$5-'Choix pédagogiques'!$C$4),"")</f>
        <v/>
      </c>
      <c r="AT609" s="49" t="str">
        <f>IF(AND('Choix pédagogiques'!$C$4&lt;&gt;"?",'Choix pédagogiques'!$C$5&lt;&gt;"?",Y609&lt;&gt;""),(Y609-'Choix pédagogiques'!$C$4)/('Choix pédagogiques'!$C$5-'Choix pédagogiques'!$C$4),"")</f>
        <v/>
      </c>
      <c r="AU609" s="22" t="str">
        <f t="shared" si="444"/>
        <v/>
      </c>
      <c r="AV609" s="21" t="str">
        <f t="shared" si="445"/>
        <v>Apprenant 597 ou 597'</v>
      </c>
      <c r="AW609" s="49" t="str">
        <f>IF(AND('Choix pédagogiques'!$C$4&lt;&gt;"?",'Choix pédagogiques'!$C$5&lt;&gt;"?",AB609&lt;&gt;""),(AB609-'Choix pédagogiques'!$C$4)/('Choix pédagogiques'!$C$5-'Choix pédagogiques'!$C$4),"")</f>
        <v/>
      </c>
      <c r="AX609" s="49" t="str">
        <f>IF(AND('Choix pédagogiques'!$C$4&lt;&gt;"?",'Choix pédagogiques'!$C$5&lt;&gt;"?",AC609&lt;&gt;""),(AC609-'Choix pédagogiques'!$C$4)/('Choix pédagogiques'!$C$5-'Choix pédagogiques'!$C$4),"")</f>
        <v/>
      </c>
      <c r="AY609" s="49" t="str">
        <f>IF(AND('Choix pédagogiques'!$C$4&lt;&gt;"?",'Choix pédagogiques'!$C$5&lt;&gt;"?",AD609&lt;&gt;""),(AD609-'Choix pédagogiques'!$C$4)/('Choix pédagogiques'!$C$5-'Choix pédagogiques'!$C$4),"")</f>
        <v/>
      </c>
      <c r="AZ609" s="22" t="str">
        <f t="shared" si="446"/>
        <v/>
      </c>
      <c r="BA609" s="21" t="str">
        <f t="shared" si="447"/>
        <v>Apprenant 597</v>
      </c>
      <c r="BB609" s="49" t="str">
        <f t="shared" si="419"/>
        <v/>
      </c>
      <c r="BC609" s="49" t="str">
        <f t="shared" si="420"/>
        <v/>
      </c>
      <c r="BD609" s="49" t="str">
        <f t="shared" si="421"/>
        <v/>
      </c>
      <c r="BE609" s="22" t="str">
        <f t="shared" si="448"/>
        <v/>
      </c>
      <c r="BF609" s="21" t="str">
        <f t="shared" si="449"/>
        <v>Apprenant 597 ou 597'</v>
      </c>
      <c r="BG609" s="49" t="str">
        <f t="shared" si="422"/>
        <v/>
      </c>
      <c r="BH609" s="49" t="str">
        <f t="shared" si="423"/>
        <v/>
      </c>
      <c r="BI609" s="49" t="str">
        <f t="shared" si="424"/>
        <v/>
      </c>
      <c r="BJ609" s="22" t="str">
        <f t="shared" si="450"/>
        <v/>
      </c>
      <c r="BL609" s="21"/>
      <c r="BM609" s="21" t="str">
        <f>IF(OR(COUNT(B609:D1608)=0,AND('Choix pédagogiques'!$C$3&lt;&gt;1,'Choix pédagogiques'!$C$3&lt;&gt;2)),"",IF(AND(OR('Choix pédagogiques'!$C$3=1,'Choix pédagogiques'!$C$3=2),$B609&lt;&gt;"",$C609&lt;&gt;"",$D609&lt;&gt;""),1,0))</f>
        <v/>
      </c>
      <c r="BN609" s="21" t="str">
        <f>IF(OR(COUNT(G609:I1608)=0,AND('Choix pédagogiques'!$C$3&lt;&gt;1,'Choix pédagogiques'!$C$3&lt;&gt;2)),"",IF(AND(OR('Choix pédagogiques'!$C$3=1,'Choix pédagogiques'!$C$3=2),AND($G609&lt;&gt;"",$H609&lt;&gt;"",$I609&lt;&gt;"")),1,0))</f>
        <v/>
      </c>
      <c r="BO609" s="21" t="str">
        <f>IF(OR(COUNT(B609:D1608)=0,COUNT(G609:I1608)=0,'Choix pédagogiques'!C$3&lt;&gt;3),"",IF(AND('Choix pédagogiques'!$C$3=3,$B609&lt;&gt;"",$C609&lt;&gt;"",$D609&lt;&gt;"",$G609&lt;&gt;"",$H609&lt;&gt;"",$I609&lt;&gt;""),1,0))</f>
        <v/>
      </c>
      <c r="BR609" s="21">
        <v>119</v>
      </c>
      <c r="BS609" s="21">
        <v>1571</v>
      </c>
      <c r="BT609"/>
    </row>
    <row r="610" spans="1:72" s="23" customFormat="1" ht="18" customHeight="1" x14ac:dyDescent="0.3">
      <c r="A610" s="35" t="s">
        <v>600</v>
      </c>
      <c r="B610" s="37"/>
      <c r="C610" s="37"/>
      <c r="D610" s="37"/>
      <c r="E610" s="37"/>
      <c r="F610" s="35" t="s">
        <v>1608</v>
      </c>
      <c r="G610" s="37"/>
      <c r="H610" s="37"/>
      <c r="I610" s="37"/>
      <c r="J610" s="37"/>
      <c r="K610" s="21" t="str">
        <f t="shared" si="425"/>
        <v>Apprenant 598</v>
      </c>
      <c r="L610" s="22" t="str">
        <f t="shared" si="426"/>
        <v/>
      </c>
      <c r="M610" s="22" t="str">
        <f t="shared" si="427"/>
        <v/>
      </c>
      <c r="N610" s="22" t="str">
        <f t="shared" si="428"/>
        <v/>
      </c>
      <c r="O610" s="22" t="str">
        <f t="shared" si="429"/>
        <v/>
      </c>
      <c r="P610" s="21" t="str">
        <f t="shared" si="430"/>
        <v>Apprenant 598 ou 598'</v>
      </c>
      <c r="Q610" s="22" t="str">
        <f t="shared" si="431"/>
        <v/>
      </c>
      <c r="R610" s="22" t="str">
        <f t="shared" si="432"/>
        <v/>
      </c>
      <c r="S610" s="22" t="str">
        <f t="shared" si="433"/>
        <v/>
      </c>
      <c r="T610" s="22" t="str">
        <f t="shared" si="434"/>
        <v/>
      </c>
      <c r="V610" s="21" t="str">
        <f t="shared" si="435"/>
        <v>Apprenant 598</v>
      </c>
      <c r="W610" s="22" t="str">
        <f>IF(AND(OR('Choix pédagogiques'!$C$3=1,'Choix pédagogiques'!$C$3=2),$BM610=1),B610,IF(AND('Choix pédagogiques'!$C$3=3,$BO610=1),B610,""))</f>
        <v/>
      </c>
      <c r="X610" s="22" t="str">
        <f>IF(AND(OR('Choix pédagogiques'!$C$3=1,'Choix pédagogiques'!$C$3=2),$BM610=1),C610,IF(AND('Choix pédagogiques'!$C$3=3,$BO610=1),C610,""))</f>
        <v/>
      </c>
      <c r="Y610" s="22" t="str">
        <f>IF(AND(OR('Choix pédagogiques'!$C$3=1,'Choix pédagogiques'!$C$3=2),$BM610=1),D610,IF(AND('Choix pédagogiques'!$C$3=3,$BO610=1),D610,""))</f>
        <v/>
      </c>
      <c r="Z610" s="22" t="str">
        <f t="shared" si="436"/>
        <v/>
      </c>
      <c r="AA610" s="21" t="str">
        <f t="shared" si="437"/>
        <v>Apprenant 598 ou 598'</v>
      </c>
      <c r="AB610" s="22" t="str">
        <f>IF(AND(OR('Choix pédagogiques'!$C$3=1,'Choix pédagogiques'!$C$3=2),$BN610=1),G610,IF(AND('Choix pédagogiques'!$C$3=3,$BO610=1),G610,""))</f>
        <v/>
      </c>
      <c r="AC610" s="22" t="str">
        <f>IF(AND(OR('Choix pédagogiques'!$C$3=1,'Choix pédagogiques'!$C$3=2),$BN610=1),H610,IF(AND('Choix pédagogiques'!$C$3=3,$BO610=1),H610,""))</f>
        <v/>
      </c>
      <c r="AD610" s="22" t="str">
        <f>IF(AND(OR('Choix pédagogiques'!$C$3=1,'Choix pédagogiques'!$C$3=2),$BN610=1),I610,IF(AND('Choix pédagogiques'!$C$3=3,$BO610=1),I610,""))</f>
        <v/>
      </c>
      <c r="AE610" s="22" t="str">
        <f t="shared" si="438"/>
        <v/>
      </c>
      <c r="AF610" s="21" t="str">
        <f t="shared" si="439"/>
        <v>Apprenant 598</v>
      </c>
      <c r="AG610" s="22" t="str">
        <f t="shared" si="413"/>
        <v/>
      </c>
      <c r="AH610" s="22" t="str">
        <f t="shared" si="414"/>
        <v/>
      </c>
      <c r="AI610" s="22" t="str">
        <f t="shared" si="415"/>
        <v/>
      </c>
      <c r="AJ610" s="22" t="str">
        <f t="shared" si="440"/>
        <v/>
      </c>
      <c r="AK610" s="21" t="str">
        <f t="shared" si="441"/>
        <v>Apprenant 598 ou 598'</v>
      </c>
      <c r="AL610" s="22" t="str">
        <f t="shared" si="416"/>
        <v/>
      </c>
      <c r="AM610" s="22" t="str">
        <f t="shared" si="417"/>
        <v/>
      </c>
      <c r="AN610" s="22" t="str">
        <f t="shared" si="418"/>
        <v/>
      </c>
      <c r="AO610" s="22" t="str">
        <f t="shared" si="442"/>
        <v/>
      </c>
      <c r="AQ610" s="21" t="str">
        <f t="shared" si="443"/>
        <v>Apprenant 598</v>
      </c>
      <c r="AR610" s="49" t="str">
        <f>IF(AND('Choix pédagogiques'!$C$4&lt;&gt;"?",'Choix pédagogiques'!$C$5&lt;&gt;"?",W610&lt;&gt;""),(W610-'Choix pédagogiques'!$C$4)/('Choix pédagogiques'!$C$5-'Choix pédagogiques'!$C$4),"")</f>
        <v/>
      </c>
      <c r="AS610" s="49" t="str">
        <f>IF(AND('Choix pédagogiques'!$C$4&lt;&gt;"?",'Choix pédagogiques'!$C$5&lt;&gt;"?",X610&lt;&gt;""),(X610-'Choix pédagogiques'!$C$4)/('Choix pédagogiques'!$C$5-'Choix pédagogiques'!$C$4),"")</f>
        <v/>
      </c>
      <c r="AT610" s="49" t="str">
        <f>IF(AND('Choix pédagogiques'!$C$4&lt;&gt;"?",'Choix pédagogiques'!$C$5&lt;&gt;"?",Y610&lt;&gt;""),(Y610-'Choix pédagogiques'!$C$4)/('Choix pédagogiques'!$C$5-'Choix pédagogiques'!$C$4),"")</f>
        <v/>
      </c>
      <c r="AU610" s="22" t="str">
        <f t="shared" si="444"/>
        <v/>
      </c>
      <c r="AV610" s="21" t="str">
        <f t="shared" si="445"/>
        <v>Apprenant 598 ou 598'</v>
      </c>
      <c r="AW610" s="49" t="str">
        <f>IF(AND('Choix pédagogiques'!$C$4&lt;&gt;"?",'Choix pédagogiques'!$C$5&lt;&gt;"?",AB610&lt;&gt;""),(AB610-'Choix pédagogiques'!$C$4)/('Choix pédagogiques'!$C$5-'Choix pédagogiques'!$C$4),"")</f>
        <v/>
      </c>
      <c r="AX610" s="49" t="str">
        <f>IF(AND('Choix pédagogiques'!$C$4&lt;&gt;"?",'Choix pédagogiques'!$C$5&lt;&gt;"?",AC610&lt;&gt;""),(AC610-'Choix pédagogiques'!$C$4)/('Choix pédagogiques'!$C$5-'Choix pédagogiques'!$C$4),"")</f>
        <v/>
      </c>
      <c r="AY610" s="49" t="str">
        <f>IF(AND('Choix pédagogiques'!$C$4&lt;&gt;"?",'Choix pédagogiques'!$C$5&lt;&gt;"?",AD610&lt;&gt;""),(AD610-'Choix pédagogiques'!$C$4)/('Choix pédagogiques'!$C$5-'Choix pédagogiques'!$C$4),"")</f>
        <v/>
      </c>
      <c r="AZ610" s="22" t="str">
        <f t="shared" si="446"/>
        <v/>
      </c>
      <c r="BA610" s="21" t="str">
        <f t="shared" si="447"/>
        <v>Apprenant 598</v>
      </c>
      <c r="BB610" s="49" t="str">
        <f t="shared" si="419"/>
        <v/>
      </c>
      <c r="BC610" s="49" t="str">
        <f t="shared" si="420"/>
        <v/>
      </c>
      <c r="BD610" s="49" t="str">
        <f t="shared" si="421"/>
        <v/>
      </c>
      <c r="BE610" s="22" t="str">
        <f t="shared" si="448"/>
        <v/>
      </c>
      <c r="BF610" s="21" t="str">
        <f t="shared" si="449"/>
        <v>Apprenant 598 ou 598'</v>
      </c>
      <c r="BG610" s="49" t="str">
        <f t="shared" si="422"/>
        <v/>
      </c>
      <c r="BH610" s="49" t="str">
        <f t="shared" si="423"/>
        <v/>
      </c>
      <c r="BI610" s="49" t="str">
        <f t="shared" si="424"/>
        <v/>
      </c>
      <c r="BJ610" s="22" t="str">
        <f t="shared" si="450"/>
        <v/>
      </c>
      <c r="BL610" s="21"/>
      <c r="BM610" s="21" t="str">
        <f>IF(OR(COUNT(B610:D1609)=0,AND('Choix pédagogiques'!$C$3&lt;&gt;1,'Choix pédagogiques'!$C$3&lt;&gt;2)),"",IF(AND(OR('Choix pédagogiques'!$C$3=1,'Choix pédagogiques'!$C$3=2),$B610&lt;&gt;"",$C610&lt;&gt;"",$D610&lt;&gt;""),1,0))</f>
        <v/>
      </c>
      <c r="BN610" s="21" t="str">
        <f>IF(OR(COUNT(G610:I1609)=0,AND('Choix pédagogiques'!$C$3&lt;&gt;1,'Choix pédagogiques'!$C$3&lt;&gt;2)),"",IF(AND(OR('Choix pédagogiques'!$C$3=1,'Choix pédagogiques'!$C$3=2),AND($G610&lt;&gt;"",$H610&lt;&gt;"",$I610&lt;&gt;"")),1,0))</f>
        <v/>
      </c>
      <c r="BO610" s="21" t="str">
        <f>IF(OR(COUNT(B610:D1609)=0,COUNT(G610:I1609)=0,'Choix pédagogiques'!C$3&lt;&gt;3),"",IF(AND('Choix pédagogiques'!$C$3=3,$B610&lt;&gt;"",$C610&lt;&gt;"",$D610&lt;&gt;"",$G610&lt;&gt;"",$H610&lt;&gt;"",$I610&lt;&gt;""),1,0))</f>
        <v/>
      </c>
      <c r="BR610" s="21">
        <v>945</v>
      </c>
      <c r="BS610" s="21">
        <v>1030</v>
      </c>
      <c r="BT610"/>
    </row>
    <row r="611" spans="1:72" s="23" customFormat="1" ht="18" customHeight="1" x14ac:dyDescent="0.3">
      <c r="A611" s="35" t="s">
        <v>601</v>
      </c>
      <c r="B611" s="37"/>
      <c r="C611" s="37"/>
      <c r="D611" s="37"/>
      <c r="E611" s="37"/>
      <c r="F611" s="35" t="s">
        <v>1609</v>
      </c>
      <c r="G611" s="37"/>
      <c r="H611" s="37"/>
      <c r="I611" s="37"/>
      <c r="J611" s="37"/>
      <c r="K611" s="21" t="str">
        <f t="shared" si="425"/>
        <v>Apprenant 599</v>
      </c>
      <c r="L611" s="22" t="str">
        <f t="shared" si="426"/>
        <v/>
      </c>
      <c r="M611" s="22" t="str">
        <f t="shared" si="427"/>
        <v/>
      </c>
      <c r="N611" s="22" t="str">
        <f t="shared" si="428"/>
        <v/>
      </c>
      <c r="O611" s="22" t="str">
        <f t="shared" si="429"/>
        <v/>
      </c>
      <c r="P611" s="21" t="str">
        <f t="shared" si="430"/>
        <v>Apprenant 599 ou 599'</v>
      </c>
      <c r="Q611" s="22" t="str">
        <f t="shared" si="431"/>
        <v/>
      </c>
      <c r="R611" s="22" t="str">
        <f t="shared" si="432"/>
        <v/>
      </c>
      <c r="S611" s="22" t="str">
        <f t="shared" si="433"/>
        <v/>
      </c>
      <c r="T611" s="22" t="str">
        <f t="shared" si="434"/>
        <v/>
      </c>
      <c r="V611" s="21" t="str">
        <f t="shared" si="435"/>
        <v>Apprenant 599</v>
      </c>
      <c r="W611" s="22" t="str">
        <f>IF(AND(OR('Choix pédagogiques'!$C$3=1,'Choix pédagogiques'!$C$3=2),$BM611=1),B611,IF(AND('Choix pédagogiques'!$C$3=3,$BO611=1),B611,""))</f>
        <v/>
      </c>
      <c r="X611" s="22" t="str">
        <f>IF(AND(OR('Choix pédagogiques'!$C$3=1,'Choix pédagogiques'!$C$3=2),$BM611=1),C611,IF(AND('Choix pédagogiques'!$C$3=3,$BO611=1),C611,""))</f>
        <v/>
      </c>
      <c r="Y611" s="22" t="str">
        <f>IF(AND(OR('Choix pédagogiques'!$C$3=1,'Choix pédagogiques'!$C$3=2),$BM611=1),D611,IF(AND('Choix pédagogiques'!$C$3=3,$BO611=1),D611,""))</f>
        <v/>
      </c>
      <c r="Z611" s="22" t="str">
        <f t="shared" si="436"/>
        <v/>
      </c>
      <c r="AA611" s="21" t="str">
        <f t="shared" si="437"/>
        <v>Apprenant 599 ou 599'</v>
      </c>
      <c r="AB611" s="22" t="str">
        <f>IF(AND(OR('Choix pédagogiques'!$C$3=1,'Choix pédagogiques'!$C$3=2),$BN611=1),G611,IF(AND('Choix pédagogiques'!$C$3=3,$BO611=1),G611,""))</f>
        <v/>
      </c>
      <c r="AC611" s="22" t="str">
        <f>IF(AND(OR('Choix pédagogiques'!$C$3=1,'Choix pédagogiques'!$C$3=2),$BN611=1),H611,IF(AND('Choix pédagogiques'!$C$3=3,$BO611=1),H611,""))</f>
        <v/>
      </c>
      <c r="AD611" s="22" t="str">
        <f>IF(AND(OR('Choix pédagogiques'!$C$3=1,'Choix pédagogiques'!$C$3=2),$BN611=1),I611,IF(AND('Choix pédagogiques'!$C$3=3,$BO611=1),I611,""))</f>
        <v/>
      </c>
      <c r="AE611" s="22" t="str">
        <f t="shared" si="438"/>
        <v/>
      </c>
      <c r="AF611" s="21" t="str">
        <f t="shared" si="439"/>
        <v>Apprenant 599</v>
      </c>
      <c r="AG611" s="22" t="str">
        <f t="shared" si="413"/>
        <v/>
      </c>
      <c r="AH611" s="22" t="str">
        <f t="shared" si="414"/>
        <v/>
      </c>
      <c r="AI611" s="22" t="str">
        <f t="shared" si="415"/>
        <v/>
      </c>
      <c r="AJ611" s="22" t="str">
        <f t="shared" si="440"/>
        <v/>
      </c>
      <c r="AK611" s="21" t="str">
        <f t="shared" si="441"/>
        <v>Apprenant 599 ou 599'</v>
      </c>
      <c r="AL611" s="22" t="str">
        <f t="shared" si="416"/>
        <v/>
      </c>
      <c r="AM611" s="22" t="str">
        <f t="shared" si="417"/>
        <v/>
      </c>
      <c r="AN611" s="22" t="str">
        <f t="shared" si="418"/>
        <v/>
      </c>
      <c r="AO611" s="22" t="str">
        <f t="shared" si="442"/>
        <v/>
      </c>
      <c r="AQ611" s="21" t="str">
        <f t="shared" si="443"/>
        <v>Apprenant 599</v>
      </c>
      <c r="AR611" s="49" t="str">
        <f>IF(AND('Choix pédagogiques'!$C$4&lt;&gt;"?",'Choix pédagogiques'!$C$5&lt;&gt;"?",W611&lt;&gt;""),(W611-'Choix pédagogiques'!$C$4)/('Choix pédagogiques'!$C$5-'Choix pédagogiques'!$C$4),"")</f>
        <v/>
      </c>
      <c r="AS611" s="49" t="str">
        <f>IF(AND('Choix pédagogiques'!$C$4&lt;&gt;"?",'Choix pédagogiques'!$C$5&lt;&gt;"?",X611&lt;&gt;""),(X611-'Choix pédagogiques'!$C$4)/('Choix pédagogiques'!$C$5-'Choix pédagogiques'!$C$4),"")</f>
        <v/>
      </c>
      <c r="AT611" s="49" t="str">
        <f>IF(AND('Choix pédagogiques'!$C$4&lt;&gt;"?",'Choix pédagogiques'!$C$5&lt;&gt;"?",Y611&lt;&gt;""),(Y611-'Choix pédagogiques'!$C$4)/('Choix pédagogiques'!$C$5-'Choix pédagogiques'!$C$4),"")</f>
        <v/>
      </c>
      <c r="AU611" s="22" t="str">
        <f t="shared" si="444"/>
        <v/>
      </c>
      <c r="AV611" s="21" t="str">
        <f t="shared" si="445"/>
        <v>Apprenant 599 ou 599'</v>
      </c>
      <c r="AW611" s="49" t="str">
        <f>IF(AND('Choix pédagogiques'!$C$4&lt;&gt;"?",'Choix pédagogiques'!$C$5&lt;&gt;"?",AB611&lt;&gt;""),(AB611-'Choix pédagogiques'!$C$4)/('Choix pédagogiques'!$C$5-'Choix pédagogiques'!$C$4),"")</f>
        <v/>
      </c>
      <c r="AX611" s="49" t="str">
        <f>IF(AND('Choix pédagogiques'!$C$4&lt;&gt;"?",'Choix pédagogiques'!$C$5&lt;&gt;"?",AC611&lt;&gt;""),(AC611-'Choix pédagogiques'!$C$4)/('Choix pédagogiques'!$C$5-'Choix pédagogiques'!$C$4),"")</f>
        <v/>
      </c>
      <c r="AY611" s="49" t="str">
        <f>IF(AND('Choix pédagogiques'!$C$4&lt;&gt;"?",'Choix pédagogiques'!$C$5&lt;&gt;"?",AD611&lt;&gt;""),(AD611-'Choix pédagogiques'!$C$4)/('Choix pédagogiques'!$C$5-'Choix pédagogiques'!$C$4),"")</f>
        <v/>
      </c>
      <c r="AZ611" s="22" t="str">
        <f t="shared" si="446"/>
        <v/>
      </c>
      <c r="BA611" s="21" t="str">
        <f t="shared" si="447"/>
        <v>Apprenant 599</v>
      </c>
      <c r="BB611" s="49" t="str">
        <f t="shared" si="419"/>
        <v/>
      </c>
      <c r="BC611" s="49" t="str">
        <f t="shared" si="420"/>
        <v/>
      </c>
      <c r="BD611" s="49" t="str">
        <f t="shared" si="421"/>
        <v/>
      </c>
      <c r="BE611" s="22" t="str">
        <f t="shared" si="448"/>
        <v/>
      </c>
      <c r="BF611" s="21" t="str">
        <f t="shared" si="449"/>
        <v>Apprenant 599 ou 599'</v>
      </c>
      <c r="BG611" s="49" t="str">
        <f t="shared" si="422"/>
        <v/>
      </c>
      <c r="BH611" s="49" t="str">
        <f t="shared" si="423"/>
        <v/>
      </c>
      <c r="BI611" s="49" t="str">
        <f t="shared" si="424"/>
        <v/>
      </c>
      <c r="BJ611" s="22" t="str">
        <f t="shared" si="450"/>
        <v/>
      </c>
      <c r="BL611" s="21"/>
      <c r="BM611" s="21" t="str">
        <f>IF(OR(COUNT(B611:D1610)=0,AND('Choix pédagogiques'!$C$3&lt;&gt;1,'Choix pédagogiques'!$C$3&lt;&gt;2)),"",IF(AND(OR('Choix pédagogiques'!$C$3=1,'Choix pédagogiques'!$C$3=2),$B611&lt;&gt;"",$C611&lt;&gt;"",$D611&lt;&gt;""),1,0))</f>
        <v/>
      </c>
      <c r="BN611" s="21" t="str">
        <f>IF(OR(COUNT(G611:I1610)=0,AND('Choix pédagogiques'!$C$3&lt;&gt;1,'Choix pédagogiques'!$C$3&lt;&gt;2)),"",IF(AND(OR('Choix pédagogiques'!$C$3=1,'Choix pédagogiques'!$C$3=2),AND($G611&lt;&gt;"",$H611&lt;&gt;"",$I611&lt;&gt;"")),1,0))</f>
        <v/>
      </c>
      <c r="BO611" s="21" t="str">
        <f>IF(OR(COUNT(B611:D1610)=0,COUNT(G611:I1610)=0,'Choix pédagogiques'!C$3&lt;&gt;3),"",IF(AND('Choix pédagogiques'!$C$3=3,$B611&lt;&gt;"",$C611&lt;&gt;"",$D611&lt;&gt;"",$G611&lt;&gt;"",$H611&lt;&gt;"",$I611&lt;&gt;""),1,0))</f>
        <v/>
      </c>
      <c r="BR611" s="21">
        <v>2</v>
      </c>
      <c r="BS611" s="21">
        <v>1684</v>
      </c>
      <c r="BT611"/>
    </row>
    <row r="612" spans="1:72" s="23" customFormat="1" ht="18" customHeight="1" x14ac:dyDescent="0.3">
      <c r="A612" s="35" t="s">
        <v>602</v>
      </c>
      <c r="B612" s="37"/>
      <c r="C612" s="37"/>
      <c r="D612" s="37"/>
      <c r="E612" s="37"/>
      <c r="F612" s="35" t="s">
        <v>1610</v>
      </c>
      <c r="G612" s="37"/>
      <c r="H612" s="37"/>
      <c r="I612" s="37"/>
      <c r="J612" s="37"/>
      <c r="K612" s="21" t="str">
        <f t="shared" si="425"/>
        <v>Apprenant 600</v>
      </c>
      <c r="L612" s="22" t="str">
        <f t="shared" si="426"/>
        <v/>
      </c>
      <c r="M612" s="22" t="str">
        <f t="shared" si="427"/>
        <v/>
      </c>
      <c r="N612" s="22" t="str">
        <f t="shared" si="428"/>
        <v/>
      </c>
      <c r="O612" s="22" t="str">
        <f t="shared" si="429"/>
        <v/>
      </c>
      <c r="P612" s="21" t="str">
        <f t="shared" si="430"/>
        <v>Apprenant 600 ou 600'</v>
      </c>
      <c r="Q612" s="22" t="str">
        <f t="shared" si="431"/>
        <v/>
      </c>
      <c r="R612" s="22" t="str">
        <f t="shared" si="432"/>
        <v/>
      </c>
      <c r="S612" s="22" t="str">
        <f t="shared" si="433"/>
        <v/>
      </c>
      <c r="T612" s="22" t="str">
        <f t="shared" si="434"/>
        <v/>
      </c>
      <c r="V612" s="21" t="str">
        <f t="shared" si="435"/>
        <v>Apprenant 600</v>
      </c>
      <c r="W612" s="22" t="str">
        <f>IF(AND(OR('Choix pédagogiques'!$C$3=1,'Choix pédagogiques'!$C$3=2),$BM612=1),B612,IF(AND('Choix pédagogiques'!$C$3=3,$BO612=1),B612,""))</f>
        <v/>
      </c>
      <c r="X612" s="22" t="str">
        <f>IF(AND(OR('Choix pédagogiques'!$C$3=1,'Choix pédagogiques'!$C$3=2),$BM612=1),C612,IF(AND('Choix pédagogiques'!$C$3=3,$BO612=1),C612,""))</f>
        <v/>
      </c>
      <c r="Y612" s="22" t="str">
        <f>IF(AND(OR('Choix pédagogiques'!$C$3=1,'Choix pédagogiques'!$C$3=2),$BM612=1),D612,IF(AND('Choix pédagogiques'!$C$3=3,$BO612=1),D612,""))</f>
        <v/>
      </c>
      <c r="Z612" s="22" t="str">
        <f t="shared" si="436"/>
        <v/>
      </c>
      <c r="AA612" s="21" t="str">
        <f t="shared" si="437"/>
        <v>Apprenant 600 ou 600'</v>
      </c>
      <c r="AB612" s="22" t="str">
        <f>IF(AND(OR('Choix pédagogiques'!$C$3=1,'Choix pédagogiques'!$C$3=2),$BN612=1),G612,IF(AND('Choix pédagogiques'!$C$3=3,$BO612=1),G612,""))</f>
        <v/>
      </c>
      <c r="AC612" s="22" t="str">
        <f>IF(AND(OR('Choix pédagogiques'!$C$3=1,'Choix pédagogiques'!$C$3=2),$BN612=1),H612,IF(AND('Choix pédagogiques'!$C$3=3,$BO612=1),H612,""))</f>
        <v/>
      </c>
      <c r="AD612" s="22" t="str">
        <f>IF(AND(OR('Choix pédagogiques'!$C$3=1,'Choix pédagogiques'!$C$3=2),$BN612=1),I612,IF(AND('Choix pédagogiques'!$C$3=3,$BO612=1),I612,""))</f>
        <v/>
      </c>
      <c r="AE612" s="22" t="str">
        <f t="shared" si="438"/>
        <v/>
      </c>
      <c r="AF612" s="21" t="str">
        <f t="shared" si="439"/>
        <v>Apprenant 600</v>
      </c>
      <c r="AG612" s="22" t="str">
        <f t="shared" si="413"/>
        <v/>
      </c>
      <c r="AH612" s="22" t="str">
        <f t="shared" si="414"/>
        <v/>
      </c>
      <c r="AI612" s="22" t="str">
        <f t="shared" si="415"/>
        <v/>
      </c>
      <c r="AJ612" s="22" t="str">
        <f t="shared" si="440"/>
        <v/>
      </c>
      <c r="AK612" s="21" t="str">
        <f t="shared" si="441"/>
        <v>Apprenant 600 ou 600'</v>
      </c>
      <c r="AL612" s="22" t="str">
        <f t="shared" si="416"/>
        <v/>
      </c>
      <c r="AM612" s="22" t="str">
        <f t="shared" si="417"/>
        <v/>
      </c>
      <c r="AN612" s="22" t="str">
        <f t="shared" si="418"/>
        <v/>
      </c>
      <c r="AO612" s="22" t="str">
        <f t="shared" si="442"/>
        <v/>
      </c>
      <c r="AQ612" s="21" t="str">
        <f t="shared" si="443"/>
        <v>Apprenant 600</v>
      </c>
      <c r="AR612" s="49" t="str">
        <f>IF(AND('Choix pédagogiques'!$C$4&lt;&gt;"?",'Choix pédagogiques'!$C$5&lt;&gt;"?",W612&lt;&gt;""),(W612-'Choix pédagogiques'!$C$4)/('Choix pédagogiques'!$C$5-'Choix pédagogiques'!$C$4),"")</f>
        <v/>
      </c>
      <c r="AS612" s="49" t="str">
        <f>IF(AND('Choix pédagogiques'!$C$4&lt;&gt;"?",'Choix pédagogiques'!$C$5&lt;&gt;"?",X612&lt;&gt;""),(X612-'Choix pédagogiques'!$C$4)/('Choix pédagogiques'!$C$5-'Choix pédagogiques'!$C$4),"")</f>
        <v/>
      </c>
      <c r="AT612" s="49" t="str">
        <f>IF(AND('Choix pédagogiques'!$C$4&lt;&gt;"?",'Choix pédagogiques'!$C$5&lt;&gt;"?",Y612&lt;&gt;""),(Y612-'Choix pédagogiques'!$C$4)/('Choix pédagogiques'!$C$5-'Choix pédagogiques'!$C$4),"")</f>
        <v/>
      </c>
      <c r="AU612" s="22" t="str">
        <f t="shared" si="444"/>
        <v/>
      </c>
      <c r="AV612" s="21" t="str">
        <f t="shared" si="445"/>
        <v>Apprenant 600 ou 600'</v>
      </c>
      <c r="AW612" s="49" t="str">
        <f>IF(AND('Choix pédagogiques'!$C$4&lt;&gt;"?",'Choix pédagogiques'!$C$5&lt;&gt;"?",AB612&lt;&gt;""),(AB612-'Choix pédagogiques'!$C$4)/('Choix pédagogiques'!$C$5-'Choix pédagogiques'!$C$4),"")</f>
        <v/>
      </c>
      <c r="AX612" s="49" t="str">
        <f>IF(AND('Choix pédagogiques'!$C$4&lt;&gt;"?",'Choix pédagogiques'!$C$5&lt;&gt;"?",AC612&lt;&gt;""),(AC612-'Choix pédagogiques'!$C$4)/('Choix pédagogiques'!$C$5-'Choix pédagogiques'!$C$4),"")</f>
        <v/>
      </c>
      <c r="AY612" s="49" t="str">
        <f>IF(AND('Choix pédagogiques'!$C$4&lt;&gt;"?",'Choix pédagogiques'!$C$5&lt;&gt;"?",AD612&lt;&gt;""),(AD612-'Choix pédagogiques'!$C$4)/('Choix pédagogiques'!$C$5-'Choix pédagogiques'!$C$4),"")</f>
        <v/>
      </c>
      <c r="AZ612" s="22" t="str">
        <f t="shared" si="446"/>
        <v/>
      </c>
      <c r="BA612" s="21" t="str">
        <f t="shared" si="447"/>
        <v>Apprenant 600</v>
      </c>
      <c r="BB612" s="49" t="str">
        <f t="shared" si="419"/>
        <v/>
      </c>
      <c r="BC612" s="49" t="str">
        <f t="shared" si="420"/>
        <v/>
      </c>
      <c r="BD612" s="49" t="str">
        <f t="shared" si="421"/>
        <v/>
      </c>
      <c r="BE612" s="22" t="str">
        <f t="shared" si="448"/>
        <v/>
      </c>
      <c r="BF612" s="21" t="str">
        <f t="shared" si="449"/>
        <v>Apprenant 600 ou 600'</v>
      </c>
      <c r="BG612" s="49" t="str">
        <f t="shared" si="422"/>
        <v/>
      </c>
      <c r="BH612" s="49" t="str">
        <f t="shared" si="423"/>
        <v/>
      </c>
      <c r="BI612" s="49" t="str">
        <f t="shared" si="424"/>
        <v/>
      </c>
      <c r="BJ612" s="22" t="str">
        <f t="shared" si="450"/>
        <v/>
      </c>
      <c r="BL612" s="21"/>
      <c r="BM612" s="21" t="str">
        <f>IF(OR(COUNT(B612:D1611)=0,AND('Choix pédagogiques'!$C$3&lt;&gt;1,'Choix pédagogiques'!$C$3&lt;&gt;2)),"",IF(AND(OR('Choix pédagogiques'!$C$3=1,'Choix pédagogiques'!$C$3=2),$B612&lt;&gt;"",$C612&lt;&gt;"",$D612&lt;&gt;""),1,0))</f>
        <v/>
      </c>
      <c r="BN612" s="21" t="str">
        <f>IF(OR(COUNT(G612:I1611)=0,AND('Choix pédagogiques'!$C$3&lt;&gt;1,'Choix pédagogiques'!$C$3&lt;&gt;2)),"",IF(AND(OR('Choix pédagogiques'!$C$3=1,'Choix pédagogiques'!$C$3=2),AND($G612&lt;&gt;"",$H612&lt;&gt;"",$I612&lt;&gt;"")),1,0))</f>
        <v/>
      </c>
      <c r="BO612" s="21" t="str">
        <f>IF(OR(COUNT(B612:D1611)=0,COUNT(G612:I1611)=0,'Choix pédagogiques'!C$3&lt;&gt;3),"",IF(AND('Choix pédagogiques'!$C$3=3,$B612&lt;&gt;"",$C612&lt;&gt;"",$D612&lt;&gt;"",$G612&lt;&gt;"",$H612&lt;&gt;"",$I612&lt;&gt;""),1,0))</f>
        <v/>
      </c>
      <c r="BR612" s="21">
        <v>465</v>
      </c>
      <c r="BS612" s="21">
        <v>1338</v>
      </c>
      <c r="BT612"/>
    </row>
    <row r="613" spans="1:72" s="23" customFormat="1" ht="18" customHeight="1" x14ac:dyDescent="0.3">
      <c r="A613" s="35" t="s">
        <v>603</v>
      </c>
      <c r="B613" s="37"/>
      <c r="C613" s="37"/>
      <c r="D613" s="37"/>
      <c r="E613" s="37"/>
      <c r="F613" s="35" t="s">
        <v>1611</v>
      </c>
      <c r="G613" s="37"/>
      <c r="H613" s="37"/>
      <c r="I613" s="37"/>
      <c r="J613" s="37"/>
      <c r="K613" s="21" t="str">
        <f t="shared" si="425"/>
        <v>Apprenant 601</v>
      </c>
      <c r="L613" s="22" t="str">
        <f t="shared" si="426"/>
        <v/>
      </c>
      <c r="M613" s="22" t="str">
        <f t="shared" si="427"/>
        <v/>
      </c>
      <c r="N613" s="22" t="str">
        <f t="shared" si="428"/>
        <v/>
      </c>
      <c r="O613" s="22" t="str">
        <f t="shared" si="429"/>
        <v/>
      </c>
      <c r="P613" s="21" t="str">
        <f t="shared" si="430"/>
        <v>Apprenant 601 ou 601'</v>
      </c>
      <c r="Q613" s="22" t="str">
        <f t="shared" si="431"/>
        <v/>
      </c>
      <c r="R613" s="22" t="str">
        <f t="shared" si="432"/>
        <v/>
      </c>
      <c r="S613" s="22" t="str">
        <f t="shared" si="433"/>
        <v/>
      </c>
      <c r="T613" s="22" t="str">
        <f t="shared" si="434"/>
        <v/>
      </c>
      <c r="V613" s="21" t="str">
        <f t="shared" si="435"/>
        <v>Apprenant 601</v>
      </c>
      <c r="W613" s="22" t="str">
        <f>IF(AND(OR('Choix pédagogiques'!$C$3=1,'Choix pédagogiques'!$C$3=2),$BM613=1),B613,IF(AND('Choix pédagogiques'!$C$3=3,$BO613=1),B613,""))</f>
        <v/>
      </c>
      <c r="X613" s="22" t="str">
        <f>IF(AND(OR('Choix pédagogiques'!$C$3=1,'Choix pédagogiques'!$C$3=2),$BM613=1),C613,IF(AND('Choix pédagogiques'!$C$3=3,$BO613=1),C613,""))</f>
        <v/>
      </c>
      <c r="Y613" s="22" t="str">
        <f>IF(AND(OR('Choix pédagogiques'!$C$3=1,'Choix pédagogiques'!$C$3=2),$BM613=1),D613,IF(AND('Choix pédagogiques'!$C$3=3,$BO613=1),D613,""))</f>
        <v/>
      </c>
      <c r="Z613" s="22" t="str">
        <f t="shared" si="436"/>
        <v/>
      </c>
      <c r="AA613" s="21" t="str">
        <f t="shared" si="437"/>
        <v>Apprenant 601 ou 601'</v>
      </c>
      <c r="AB613" s="22" t="str">
        <f>IF(AND(OR('Choix pédagogiques'!$C$3=1,'Choix pédagogiques'!$C$3=2),$BN613=1),G613,IF(AND('Choix pédagogiques'!$C$3=3,$BO613=1),G613,""))</f>
        <v/>
      </c>
      <c r="AC613" s="22" t="str">
        <f>IF(AND(OR('Choix pédagogiques'!$C$3=1,'Choix pédagogiques'!$C$3=2),$BN613=1),H613,IF(AND('Choix pédagogiques'!$C$3=3,$BO613=1),H613,""))</f>
        <v/>
      </c>
      <c r="AD613" s="22" t="str">
        <f>IF(AND(OR('Choix pédagogiques'!$C$3=1,'Choix pédagogiques'!$C$3=2),$BN613=1),I613,IF(AND('Choix pédagogiques'!$C$3=3,$BO613=1),I613,""))</f>
        <v/>
      </c>
      <c r="AE613" s="22" t="str">
        <f t="shared" si="438"/>
        <v/>
      </c>
      <c r="AF613" s="21" t="str">
        <f t="shared" si="439"/>
        <v>Apprenant 601</v>
      </c>
      <c r="AG613" s="22" t="str">
        <f t="shared" si="413"/>
        <v/>
      </c>
      <c r="AH613" s="22" t="str">
        <f t="shared" si="414"/>
        <v/>
      </c>
      <c r="AI613" s="22" t="str">
        <f t="shared" si="415"/>
        <v/>
      </c>
      <c r="AJ613" s="22" t="str">
        <f t="shared" si="440"/>
        <v/>
      </c>
      <c r="AK613" s="21" t="str">
        <f t="shared" si="441"/>
        <v>Apprenant 601 ou 601'</v>
      </c>
      <c r="AL613" s="22" t="str">
        <f t="shared" si="416"/>
        <v/>
      </c>
      <c r="AM613" s="22" t="str">
        <f t="shared" si="417"/>
        <v/>
      </c>
      <c r="AN613" s="22" t="str">
        <f t="shared" si="418"/>
        <v/>
      </c>
      <c r="AO613" s="22" t="str">
        <f t="shared" si="442"/>
        <v/>
      </c>
      <c r="AQ613" s="21" t="str">
        <f t="shared" si="443"/>
        <v>Apprenant 601</v>
      </c>
      <c r="AR613" s="49" t="str">
        <f>IF(AND('Choix pédagogiques'!$C$4&lt;&gt;"?",'Choix pédagogiques'!$C$5&lt;&gt;"?",W613&lt;&gt;""),(W613-'Choix pédagogiques'!$C$4)/('Choix pédagogiques'!$C$5-'Choix pédagogiques'!$C$4),"")</f>
        <v/>
      </c>
      <c r="AS613" s="49" t="str">
        <f>IF(AND('Choix pédagogiques'!$C$4&lt;&gt;"?",'Choix pédagogiques'!$C$5&lt;&gt;"?",X613&lt;&gt;""),(X613-'Choix pédagogiques'!$C$4)/('Choix pédagogiques'!$C$5-'Choix pédagogiques'!$C$4),"")</f>
        <v/>
      </c>
      <c r="AT613" s="49" t="str">
        <f>IF(AND('Choix pédagogiques'!$C$4&lt;&gt;"?",'Choix pédagogiques'!$C$5&lt;&gt;"?",Y613&lt;&gt;""),(Y613-'Choix pédagogiques'!$C$4)/('Choix pédagogiques'!$C$5-'Choix pédagogiques'!$C$4),"")</f>
        <v/>
      </c>
      <c r="AU613" s="22" t="str">
        <f t="shared" si="444"/>
        <v/>
      </c>
      <c r="AV613" s="21" t="str">
        <f t="shared" si="445"/>
        <v>Apprenant 601 ou 601'</v>
      </c>
      <c r="AW613" s="49" t="str">
        <f>IF(AND('Choix pédagogiques'!$C$4&lt;&gt;"?",'Choix pédagogiques'!$C$5&lt;&gt;"?",AB613&lt;&gt;""),(AB613-'Choix pédagogiques'!$C$4)/('Choix pédagogiques'!$C$5-'Choix pédagogiques'!$C$4),"")</f>
        <v/>
      </c>
      <c r="AX613" s="49" t="str">
        <f>IF(AND('Choix pédagogiques'!$C$4&lt;&gt;"?",'Choix pédagogiques'!$C$5&lt;&gt;"?",AC613&lt;&gt;""),(AC613-'Choix pédagogiques'!$C$4)/('Choix pédagogiques'!$C$5-'Choix pédagogiques'!$C$4),"")</f>
        <v/>
      </c>
      <c r="AY613" s="49" t="str">
        <f>IF(AND('Choix pédagogiques'!$C$4&lt;&gt;"?",'Choix pédagogiques'!$C$5&lt;&gt;"?",AD613&lt;&gt;""),(AD613-'Choix pédagogiques'!$C$4)/('Choix pédagogiques'!$C$5-'Choix pédagogiques'!$C$4),"")</f>
        <v/>
      </c>
      <c r="AZ613" s="22" t="str">
        <f t="shared" si="446"/>
        <v/>
      </c>
      <c r="BA613" s="21" t="str">
        <f t="shared" si="447"/>
        <v>Apprenant 601</v>
      </c>
      <c r="BB613" s="49" t="str">
        <f t="shared" si="419"/>
        <v/>
      </c>
      <c r="BC613" s="49" t="str">
        <f t="shared" si="420"/>
        <v/>
      </c>
      <c r="BD613" s="49" t="str">
        <f t="shared" si="421"/>
        <v/>
      </c>
      <c r="BE613" s="22" t="str">
        <f t="shared" si="448"/>
        <v/>
      </c>
      <c r="BF613" s="21" t="str">
        <f t="shared" si="449"/>
        <v>Apprenant 601 ou 601'</v>
      </c>
      <c r="BG613" s="49" t="str">
        <f t="shared" si="422"/>
        <v/>
      </c>
      <c r="BH613" s="49" t="str">
        <f t="shared" si="423"/>
        <v/>
      </c>
      <c r="BI613" s="49" t="str">
        <f t="shared" si="424"/>
        <v/>
      </c>
      <c r="BJ613" s="22" t="str">
        <f t="shared" si="450"/>
        <v/>
      </c>
      <c r="BL613" s="21"/>
      <c r="BM613" s="21" t="str">
        <f>IF(OR(COUNT(B613:D1612)=0,AND('Choix pédagogiques'!$C$3&lt;&gt;1,'Choix pédagogiques'!$C$3&lt;&gt;2)),"",IF(AND(OR('Choix pédagogiques'!$C$3=1,'Choix pédagogiques'!$C$3=2),$B613&lt;&gt;"",$C613&lt;&gt;"",$D613&lt;&gt;""),1,0))</f>
        <v/>
      </c>
      <c r="BN613" s="21" t="str">
        <f>IF(OR(COUNT(G613:I1612)=0,AND('Choix pédagogiques'!$C$3&lt;&gt;1,'Choix pédagogiques'!$C$3&lt;&gt;2)),"",IF(AND(OR('Choix pédagogiques'!$C$3=1,'Choix pédagogiques'!$C$3=2),AND($G613&lt;&gt;"",$H613&lt;&gt;"",$I613&lt;&gt;"")),1,0))</f>
        <v/>
      </c>
      <c r="BO613" s="21" t="str">
        <f>IF(OR(COUNT(B613:D1612)=0,COUNT(G613:I1612)=0,'Choix pédagogiques'!C$3&lt;&gt;3),"",IF(AND('Choix pédagogiques'!$C$3=3,$B613&lt;&gt;"",$C613&lt;&gt;"",$D613&lt;&gt;"",$G613&lt;&gt;"",$H613&lt;&gt;"",$I613&lt;&gt;""),1,0))</f>
        <v/>
      </c>
      <c r="BR613" s="21">
        <v>257</v>
      </c>
      <c r="BS613" s="21">
        <v>1413</v>
      </c>
      <c r="BT613"/>
    </row>
    <row r="614" spans="1:72" s="23" customFormat="1" ht="18" customHeight="1" x14ac:dyDescent="0.3">
      <c r="A614" s="35" t="s">
        <v>604</v>
      </c>
      <c r="B614" s="37"/>
      <c r="C614" s="37"/>
      <c r="D614" s="37"/>
      <c r="E614" s="37"/>
      <c r="F614" s="35" t="s">
        <v>1612</v>
      </c>
      <c r="G614" s="37"/>
      <c r="H614" s="37"/>
      <c r="I614" s="37"/>
      <c r="J614" s="37"/>
      <c r="K614" s="21" t="str">
        <f t="shared" si="425"/>
        <v>Apprenant 602</v>
      </c>
      <c r="L614" s="22" t="str">
        <f t="shared" si="426"/>
        <v/>
      </c>
      <c r="M614" s="22" t="str">
        <f t="shared" si="427"/>
        <v/>
      </c>
      <c r="N614" s="22" t="str">
        <f t="shared" si="428"/>
        <v/>
      </c>
      <c r="O614" s="22" t="str">
        <f t="shared" si="429"/>
        <v/>
      </c>
      <c r="P614" s="21" t="str">
        <f t="shared" si="430"/>
        <v>Apprenant 602 ou 602'</v>
      </c>
      <c r="Q614" s="22" t="str">
        <f t="shared" si="431"/>
        <v/>
      </c>
      <c r="R614" s="22" t="str">
        <f t="shared" si="432"/>
        <v/>
      </c>
      <c r="S614" s="22" t="str">
        <f t="shared" si="433"/>
        <v/>
      </c>
      <c r="T614" s="22" t="str">
        <f t="shared" si="434"/>
        <v/>
      </c>
      <c r="V614" s="21" t="str">
        <f t="shared" si="435"/>
        <v>Apprenant 602</v>
      </c>
      <c r="W614" s="22" t="str">
        <f>IF(AND(OR('Choix pédagogiques'!$C$3=1,'Choix pédagogiques'!$C$3=2),$BM614=1),B614,IF(AND('Choix pédagogiques'!$C$3=3,$BO614=1),B614,""))</f>
        <v/>
      </c>
      <c r="X614" s="22" t="str">
        <f>IF(AND(OR('Choix pédagogiques'!$C$3=1,'Choix pédagogiques'!$C$3=2),$BM614=1),C614,IF(AND('Choix pédagogiques'!$C$3=3,$BO614=1),C614,""))</f>
        <v/>
      </c>
      <c r="Y614" s="22" t="str">
        <f>IF(AND(OR('Choix pédagogiques'!$C$3=1,'Choix pédagogiques'!$C$3=2),$BM614=1),D614,IF(AND('Choix pédagogiques'!$C$3=3,$BO614=1),D614,""))</f>
        <v/>
      </c>
      <c r="Z614" s="22" t="str">
        <f t="shared" si="436"/>
        <v/>
      </c>
      <c r="AA614" s="21" t="str">
        <f t="shared" si="437"/>
        <v>Apprenant 602 ou 602'</v>
      </c>
      <c r="AB614" s="22" t="str">
        <f>IF(AND(OR('Choix pédagogiques'!$C$3=1,'Choix pédagogiques'!$C$3=2),$BN614=1),G614,IF(AND('Choix pédagogiques'!$C$3=3,$BO614=1),G614,""))</f>
        <v/>
      </c>
      <c r="AC614" s="22" t="str">
        <f>IF(AND(OR('Choix pédagogiques'!$C$3=1,'Choix pédagogiques'!$C$3=2),$BN614=1),H614,IF(AND('Choix pédagogiques'!$C$3=3,$BO614=1),H614,""))</f>
        <v/>
      </c>
      <c r="AD614" s="22" t="str">
        <f>IF(AND(OR('Choix pédagogiques'!$C$3=1,'Choix pédagogiques'!$C$3=2),$BN614=1),I614,IF(AND('Choix pédagogiques'!$C$3=3,$BO614=1),I614,""))</f>
        <v/>
      </c>
      <c r="AE614" s="22" t="str">
        <f t="shared" si="438"/>
        <v/>
      </c>
      <c r="AF614" s="21" t="str">
        <f t="shared" si="439"/>
        <v>Apprenant 602</v>
      </c>
      <c r="AG614" s="22" t="str">
        <f t="shared" si="413"/>
        <v/>
      </c>
      <c r="AH614" s="22" t="str">
        <f t="shared" si="414"/>
        <v/>
      </c>
      <c r="AI614" s="22" t="str">
        <f t="shared" si="415"/>
        <v/>
      </c>
      <c r="AJ614" s="22" t="str">
        <f t="shared" si="440"/>
        <v/>
      </c>
      <c r="AK614" s="21" t="str">
        <f t="shared" si="441"/>
        <v>Apprenant 602 ou 602'</v>
      </c>
      <c r="AL614" s="22" t="str">
        <f t="shared" si="416"/>
        <v/>
      </c>
      <c r="AM614" s="22" t="str">
        <f t="shared" si="417"/>
        <v/>
      </c>
      <c r="AN614" s="22" t="str">
        <f t="shared" si="418"/>
        <v/>
      </c>
      <c r="AO614" s="22" t="str">
        <f t="shared" si="442"/>
        <v/>
      </c>
      <c r="AQ614" s="21" t="str">
        <f t="shared" si="443"/>
        <v>Apprenant 602</v>
      </c>
      <c r="AR614" s="49" t="str">
        <f>IF(AND('Choix pédagogiques'!$C$4&lt;&gt;"?",'Choix pédagogiques'!$C$5&lt;&gt;"?",W614&lt;&gt;""),(W614-'Choix pédagogiques'!$C$4)/('Choix pédagogiques'!$C$5-'Choix pédagogiques'!$C$4),"")</f>
        <v/>
      </c>
      <c r="AS614" s="49" t="str">
        <f>IF(AND('Choix pédagogiques'!$C$4&lt;&gt;"?",'Choix pédagogiques'!$C$5&lt;&gt;"?",X614&lt;&gt;""),(X614-'Choix pédagogiques'!$C$4)/('Choix pédagogiques'!$C$5-'Choix pédagogiques'!$C$4),"")</f>
        <v/>
      </c>
      <c r="AT614" s="49" t="str">
        <f>IF(AND('Choix pédagogiques'!$C$4&lt;&gt;"?",'Choix pédagogiques'!$C$5&lt;&gt;"?",Y614&lt;&gt;""),(Y614-'Choix pédagogiques'!$C$4)/('Choix pédagogiques'!$C$5-'Choix pédagogiques'!$C$4),"")</f>
        <v/>
      </c>
      <c r="AU614" s="22" t="str">
        <f t="shared" si="444"/>
        <v/>
      </c>
      <c r="AV614" s="21" t="str">
        <f t="shared" si="445"/>
        <v>Apprenant 602 ou 602'</v>
      </c>
      <c r="AW614" s="49" t="str">
        <f>IF(AND('Choix pédagogiques'!$C$4&lt;&gt;"?",'Choix pédagogiques'!$C$5&lt;&gt;"?",AB614&lt;&gt;""),(AB614-'Choix pédagogiques'!$C$4)/('Choix pédagogiques'!$C$5-'Choix pédagogiques'!$C$4),"")</f>
        <v/>
      </c>
      <c r="AX614" s="49" t="str">
        <f>IF(AND('Choix pédagogiques'!$C$4&lt;&gt;"?",'Choix pédagogiques'!$C$5&lt;&gt;"?",AC614&lt;&gt;""),(AC614-'Choix pédagogiques'!$C$4)/('Choix pédagogiques'!$C$5-'Choix pédagogiques'!$C$4),"")</f>
        <v/>
      </c>
      <c r="AY614" s="49" t="str">
        <f>IF(AND('Choix pédagogiques'!$C$4&lt;&gt;"?",'Choix pédagogiques'!$C$5&lt;&gt;"?",AD614&lt;&gt;""),(AD614-'Choix pédagogiques'!$C$4)/('Choix pédagogiques'!$C$5-'Choix pédagogiques'!$C$4),"")</f>
        <v/>
      </c>
      <c r="AZ614" s="22" t="str">
        <f t="shared" si="446"/>
        <v/>
      </c>
      <c r="BA614" s="21" t="str">
        <f t="shared" si="447"/>
        <v>Apprenant 602</v>
      </c>
      <c r="BB614" s="49" t="str">
        <f t="shared" si="419"/>
        <v/>
      </c>
      <c r="BC614" s="49" t="str">
        <f t="shared" si="420"/>
        <v/>
      </c>
      <c r="BD614" s="49" t="str">
        <f t="shared" si="421"/>
        <v/>
      </c>
      <c r="BE614" s="22" t="str">
        <f t="shared" si="448"/>
        <v/>
      </c>
      <c r="BF614" s="21" t="str">
        <f t="shared" si="449"/>
        <v>Apprenant 602 ou 602'</v>
      </c>
      <c r="BG614" s="49" t="str">
        <f t="shared" si="422"/>
        <v/>
      </c>
      <c r="BH614" s="49" t="str">
        <f t="shared" si="423"/>
        <v/>
      </c>
      <c r="BI614" s="49" t="str">
        <f t="shared" si="424"/>
        <v/>
      </c>
      <c r="BJ614" s="22" t="str">
        <f t="shared" si="450"/>
        <v/>
      </c>
      <c r="BL614" s="21"/>
      <c r="BM614" s="21" t="str">
        <f>IF(OR(COUNT(B614:D1613)=0,AND('Choix pédagogiques'!$C$3&lt;&gt;1,'Choix pédagogiques'!$C$3&lt;&gt;2)),"",IF(AND(OR('Choix pédagogiques'!$C$3=1,'Choix pédagogiques'!$C$3=2),$B614&lt;&gt;"",$C614&lt;&gt;"",$D614&lt;&gt;""),1,0))</f>
        <v/>
      </c>
      <c r="BN614" s="21" t="str">
        <f>IF(OR(COUNT(G614:I1613)=0,AND('Choix pédagogiques'!$C$3&lt;&gt;1,'Choix pédagogiques'!$C$3&lt;&gt;2)),"",IF(AND(OR('Choix pédagogiques'!$C$3=1,'Choix pédagogiques'!$C$3=2),AND($G614&lt;&gt;"",$H614&lt;&gt;"",$I614&lt;&gt;"")),1,0))</f>
        <v/>
      </c>
      <c r="BO614" s="21" t="str">
        <f>IF(OR(COUNT(B614:D1613)=0,COUNT(G614:I1613)=0,'Choix pédagogiques'!C$3&lt;&gt;3),"",IF(AND('Choix pédagogiques'!$C$3=3,$B614&lt;&gt;"",$C614&lt;&gt;"",$D614&lt;&gt;"",$G614&lt;&gt;"",$H614&lt;&gt;"",$I614&lt;&gt;""),1,0))</f>
        <v/>
      </c>
      <c r="BR614" s="21">
        <v>460</v>
      </c>
      <c r="BS614" s="21">
        <v>1707</v>
      </c>
      <c r="BT614"/>
    </row>
    <row r="615" spans="1:72" s="23" customFormat="1" ht="18" customHeight="1" x14ac:dyDescent="0.3">
      <c r="A615" s="35" t="s">
        <v>605</v>
      </c>
      <c r="B615" s="37"/>
      <c r="C615" s="37"/>
      <c r="D615" s="37"/>
      <c r="E615" s="37"/>
      <c r="F615" s="35" t="s">
        <v>1613</v>
      </c>
      <c r="G615" s="37"/>
      <c r="H615" s="37"/>
      <c r="I615" s="37"/>
      <c r="J615" s="37"/>
      <c r="K615" s="21" t="str">
        <f t="shared" si="425"/>
        <v>Apprenant 603</v>
      </c>
      <c r="L615" s="22" t="str">
        <f t="shared" si="426"/>
        <v/>
      </c>
      <c r="M615" s="22" t="str">
        <f t="shared" si="427"/>
        <v/>
      </c>
      <c r="N615" s="22" t="str">
        <f t="shared" si="428"/>
        <v/>
      </c>
      <c r="O615" s="22" t="str">
        <f t="shared" si="429"/>
        <v/>
      </c>
      <c r="P615" s="21" t="str">
        <f t="shared" si="430"/>
        <v>Apprenant 603 ou 603'</v>
      </c>
      <c r="Q615" s="22" t="str">
        <f t="shared" si="431"/>
        <v/>
      </c>
      <c r="R615" s="22" t="str">
        <f t="shared" si="432"/>
        <v/>
      </c>
      <c r="S615" s="22" t="str">
        <f t="shared" si="433"/>
        <v/>
      </c>
      <c r="T615" s="22" t="str">
        <f t="shared" si="434"/>
        <v/>
      </c>
      <c r="V615" s="21" t="str">
        <f t="shared" si="435"/>
        <v>Apprenant 603</v>
      </c>
      <c r="W615" s="22" t="str">
        <f>IF(AND(OR('Choix pédagogiques'!$C$3=1,'Choix pédagogiques'!$C$3=2),$BM615=1),B615,IF(AND('Choix pédagogiques'!$C$3=3,$BO615=1),B615,""))</f>
        <v/>
      </c>
      <c r="X615" s="22" t="str">
        <f>IF(AND(OR('Choix pédagogiques'!$C$3=1,'Choix pédagogiques'!$C$3=2),$BM615=1),C615,IF(AND('Choix pédagogiques'!$C$3=3,$BO615=1),C615,""))</f>
        <v/>
      </c>
      <c r="Y615" s="22" t="str">
        <f>IF(AND(OR('Choix pédagogiques'!$C$3=1,'Choix pédagogiques'!$C$3=2),$BM615=1),D615,IF(AND('Choix pédagogiques'!$C$3=3,$BO615=1),D615,""))</f>
        <v/>
      </c>
      <c r="Z615" s="22" t="str">
        <f t="shared" si="436"/>
        <v/>
      </c>
      <c r="AA615" s="21" t="str">
        <f t="shared" si="437"/>
        <v>Apprenant 603 ou 603'</v>
      </c>
      <c r="AB615" s="22" t="str">
        <f>IF(AND(OR('Choix pédagogiques'!$C$3=1,'Choix pédagogiques'!$C$3=2),$BN615=1),G615,IF(AND('Choix pédagogiques'!$C$3=3,$BO615=1),G615,""))</f>
        <v/>
      </c>
      <c r="AC615" s="22" t="str">
        <f>IF(AND(OR('Choix pédagogiques'!$C$3=1,'Choix pédagogiques'!$C$3=2),$BN615=1),H615,IF(AND('Choix pédagogiques'!$C$3=3,$BO615=1),H615,""))</f>
        <v/>
      </c>
      <c r="AD615" s="22" t="str">
        <f>IF(AND(OR('Choix pédagogiques'!$C$3=1,'Choix pédagogiques'!$C$3=2),$BN615=1),I615,IF(AND('Choix pédagogiques'!$C$3=3,$BO615=1),I615,""))</f>
        <v/>
      </c>
      <c r="AE615" s="22" t="str">
        <f t="shared" si="438"/>
        <v/>
      </c>
      <c r="AF615" s="21" t="str">
        <f t="shared" si="439"/>
        <v>Apprenant 603</v>
      </c>
      <c r="AG615" s="22" t="str">
        <f t="shared" si="413"/>
        <v/>
      </c>
      <c r="AH615" s="22" t="str">
        <f t="shared" si="414"/>
        <v/>
      </c>
      <c r="AI615" s="22" t="str">
        <f t="shared" si="415"/>
        <v/>
      </c>
      <c r="AJ615" s="22" t="str">
        <f t="shared" si="440"/>
        <v/>
      </c>
      <c r="AK615" s="21" t="str">
        <f t="shared" si="441"/>
        <v>Apprenant 603 ou 603'</v>
      </c>
      <c r="AL615" s="22" t="str">
        <f t="shared" si="416"/>
        <v/>
      </c>
      <c r="AM615" s="22" t="str">
        <f t="shared" si="417"/>
        <v/>
      </c>
      <c r="AN615" s="22" t="str">
        <f t="shared" si="418"/>
        <v/>
      </c>
      <c r="AO615" s="22" t="str">
        <f t="shared" si="442"/>
        <v/>
      </c>
      <c r="AQ615" s="21" t="str">
        <f t="shared" si="443"/>
        <v>Apprenant 603</v>
      </c>
      <c r="AR615" s="49" t="str">
        <f>IF(AND('Choix pédagogiques'!$C$4&lt;&gt;"?",'Choix pédagogiques'!$C$5&lt;&gt;"?",W615&lt;&gt;""),(W615-'Choix pédagogiques'!$C$4)/('Choix pédagogiques'!$C$5-'Choix pédagogiques'!$C$4),"")</f>
        <v/>
      </c>
      <c r="AS615" s="49" t="str">
        <f>IF(AND('Choix pédagogiques'!$C$4&lt;&gt;"?",'Choix pédagogiques'!$C$5&lt;&gt;"?",X615&lt;&gt;""),(X615-'Choix pédagogiques'!$C$4)/('Choix pédagogiques'!$C$5-'Choix pédagogiques'!$C$4),"")</f>
        <v/>
      </c>
      <c r="AT615" s="49" t="str">
        <f>IF(AND('Choix pédagogiques'!$C$4&lt;&gt;"?",'Choix pédagogiques'!$C$5&lt;&gt;"?",Y615&lt;&gt;""),(Y615-'Choix pédagogiques'!$C$4)/('Choix pédagogiques'!$C$5-'Choix pédagogiques'!$C$4),"")</f>
        <v/>
      </c>
      <c r="AU615" s="22" t="str">
        <f t="shared" si="444"/>
        <v/>
      </c>
      <c r="AV615" s="21" t="str">
        <f t="shared" si="445"/>
        <v>Apprenant 603 ou 603'</v>
      </c>
      <c r="AW615" s="49" t="str">
        <f>IF(AND('Choix pédagogiques'!$C$4&lt;&gt;"?",'Choix pédagogiques'!$C$5&lt;&gt;"?",AB615&lt;&gt;""),(AB615-'Choix pédagogiques'!$C$4)/('Choix pédagogiques'!$C$5-'Choix pédagogiques'!$C$4),"")</f>
        <v/>
      </c>
      <c r="AX615" s="49" t="str">
        <f>IF(AND('Choix pédagogiques'!$C$4&lt;&gt;"?",'Choix pédagogiques'!$C$5&lt;&gt;"?",AC615&lt;&gt;""),(AC615-'Choix pédagogiques'!$C$4)/('Choix pédagogiques'!$C$5-'Choix pédagogiques'!$C$4),"")</f>
        <v/>
      </c>
      <c r="AY615" s="49" t="str">
        <f>IF(AND('Choix pédagogiques'!$C$4&lt;&gt;"?",'Choix pédagogiques'!$C$5&lt;&gt;"?",AD615&lt;&gt;""),(AD615-'Choix pédagogiques'!$C$4)/('Choix pédagogiques'!$C$5-'Choix pédagogiques'!$C$4),"")</f>
        <v/>
      </c>
      <c r="AZ615" s="22" t="str">
        <f t="shared" si="446"/>
        <v/>
      </c>
      <c r="BA615" s="21" t="str">
        <f t="shared" si="447"/>
        <v>Apprenant 603</v>
      </c>
      <c r="BB615" s="49" t="str">
        <f t="shared" si="419"/>
        <v/>
      </c>
      <c r="BC615" s="49" t="str">
        <f t="shared" si="420"/>
        <v/>
      </c>
      <c r="BD615" s="49" t="str">
        <f t="shared" si="421"/>
        <v/>
      </c>
      <c r="BE615" s="22" t="str">
        <f t="shared" si="448"/>
        <v/>
      </c>
      <c r="BF615" s="21" t="str">
        <f t="shared" si="449"/>
        <v>Apprenant 603 ou 603'</v>
      </c>
      <c r="BG615" s="49" t="str">
        <f t="shared" si="422"/>
        <v/>
      </c>
      <c r="BH615" s="49" t="str">
        <f t="shared" si="423"/>
        <v/>
      </c>
      <c r="BI615" s="49" t="str">
        <f t="shared" si="424"/>
        <v/>
      </c>
      <c r="BJ615" s="22" t="str">
        <f t="shared" si="450"/>
        <v/>
      </c>
      <c r="BL615" s="21"/>
      <c r="BM615" s="21" t="str">
        <f>IF(OR(COUNT(B615:D1614)=0,AND('Choix pédagogiques'!$C$3&lt;&gt;1,'Choix pédagogiques'!$C$3&lt;&gt;2)),"",IF(AND(OR('Choix pédagogiques'!$C$3=1,'Choix pédagogiques'!$C$3=2),$B615&lt;&gt;"",$C615&lt;&gt;"",$D615&lt;&gt;""),1,0))</f>
        <v/>
      </c>
      <c r="BN615" s="21" t="str">
        <f>IF(OR(COUNT(G615:I1614)=0,AND('Choix pédagogiques'!$C$3&lt;&gt;1,'Choix pédagogiques'!$C$3&lt;&gt;2)),"",IF(AND(OR('Choix pédagogiques'!$C$3=1,'Choix pédagogiques'!$C$3=2),AND($G615&lt;&gt;"",$H615&lt;&gt;"",$I615&lt;&gt;"")),1,0))</f>
        <v/>
      </c>
      <c r="BO615" s="21" t="str">
        <f>IF(OR(COUNT(B615:D1614)=0,COUNT(G615:I1614)=0,'Choix pédagogiques'!C$3&lt;&gt;3),"",IF(AND('Choix pédagogiques'!$C$3=3,$B615&lt;&gt;"",$C615&lt;&gt;"",$D615&lt;&gt;"",$G615&lt;&gt;"",$H615&lt;&gt;"",$I615&lt;&gt;""),1,0))</f>
        <v/>
      </c>
      <c r="BR615" s="21">
        <v>995</v>
      </c>
      <c r="BS615" s="21">
        <v>1696</v>
      </c>
      <c r="BT615"/>
    </row>
    <row r="616" spans="1:72" s="23" customFormat="1" ht="18" customHeight="1" x14ac:dyDescent="0.3">
      <c r="A616" s="35" t="s">
        <v>606</v>
      </c>
      <c r="B616" s="37"/>
      <c r="C616" s="37"/>
      <c r="D616" s="37"/>
      <c r="E616" s="37"/>
      <c r="F616" s="35" t="s">
        <v>1614</v>
      </c>
      <c r="G616" s="37"/>
      <c r="H616" s="37"/>
      <c r="I616" s="37"/>
      <c r="J616" s="37"/>
      <c r="K616" s="21" t="str">
        <f t="shared" si="425"/>
        <v>Apprenant 604</v>
      </c>
      <c r="L616" s="22" t="str">
        <f t="shared" si="426"/>
        <v/>
      </c>
      <c r="M616" s="22" t="str">
        <f t="shared" si="427"/>
        <v/>
      </c>
      <c r="N616" s="22" t="str">
        <f t="shared" si="428"/>
        <v/>
      </c>
      <c r="O616" s="22" t="str">
        <f t="shared" si="429"/>
        <v/>
      </c>
      <c r="P616" s="21" t="str">
        <f t="shared" si="430"/>
        <v>Apprenant 604 ou 604'</v>
      </c>
      <c r="Q616" s="22" t="str">
        <f t="shared" si="431"/>
        <v/>
      </c>
      <c r="R616" s="22" t="str">
        <f t="shared" si="432"/>
        <v/>
      </c>
      <c r="S616" s="22" t="str">
        <f t="shared" si="433"/>
        <v/>
      </c>
      <c r="T616" s="22" t="str">
        <f t="shared" si="434"/>
        <v/>
      </c>
      <c r="V616" s="21" t="str">
        <f t="shared" si="435"/>
        <v>Apprenant 604</v>
      </c>
      <c r="W616" s="22" t="str">
        <f>IF(AND(OR('Choix pédagogiques'!$C$3=1,'Choix pédagogiques'!$C$3=2),$BM616=1),B616,IF(AND('Choix pédagogiques'!$C$3=3,$BO616=1),B616,""))</f>
        <v/>
      </c>
      <c r="X616" s="22" t="str">
        <f>IF(AND(OR('Choix pédagogiques'!$C$3=1,'Choix pédagogiques'!$C$3=2),$BM616=1),C616,IF(AND('Choix pédagogiques'!$C$3=3,$BO616=1),C616,""))</f>
        <v/>
      </c>
      <c r="Y616" s="22" t="str">
        <f>IF(AND(OR('Choix pédagogiques'!$C$3=1,'Choix pédagogiques'!$C$3=2),$BM616=1),D616,IF(AND('Choix pédagogiques'!$C$3=3,$BO616=1),D616,""))</f>
        <v/>
      </c>
      <c r="Z616" s="22" t="str">
        <f t="shared" si="436"/>
        <v/>
      </c>
      <c r="AA616" s="21" t="str">
        <f t="shared" si="437"/>
        <v>Apprenant 604 ou 604'</v>
      </c>
      <c r="AB616" s="22" t="str">
        <f>IF(AND(OR('Choix pédagogiques'!$C$3=1,'Choix pédagogiques'!$C$3=2),$BN616=1),G616,IF(AND('Choix pédagogiques'!$C$3=3,$BO616=1),G616,""))</f>
        <v/>
      </c>
      <c r="AC616" s="22" t="str">
        <f>IF(AND(OR('Choix pédagogiques'!$C$3=1,'Choix pédagogiques'!$C$3=2),$BN616=1),H616,IF(AND('Choix pédagogiques'!$C$3=3,$BO616=1),H616,""))</f>
        <v/>
      </c>
      <c r="AD616" s="22" t="str">
        <f>IF(AND(OR('Choix pédagogiques'!$C$3=1,'Choix pédagogiques'!$C$3=2),$BN616=1),I616,IF(AND('Choix pédagogiques'!$C$3=3,$BO616=1),I616,""))</f>
        <v/>
      </c>
      <c r="AE616" s="22" t="str">
        <f t="shared" si="438"/>
        <v/>
      </c>
      <c r="AF616" s="21" t="str">
        <f t="shared" si="439"/>
        <v>Apprenant 604</v>
      </c>
      <c r="AG616" s="22" t="str">
        <f t="shared" si="413"/>
        <v/>
      </c>
      <c r="AH616" s="22" t="str">
        <f t="shared" si="414"/>
        <v/>
      </c>
      <c r="AI616" s="22" t="str">
        <f t="shared" si="415"/>
        <v/>
      </c>
      <c r="AJ616" s="22" t="str">
        <f t="shared" si="440"/>
        <v/>
      </c>
      <c r="AK616" s="21" t="str">
        <f t="shared" si="441"/>
        <v>Apprenant 604 ou 604'</v>
      </c>
      <c r="AL616" s="22" t="str">
        <f t="shared" si="416"/>
        <v/>
      </c>
      <c r="AM616" s="22" t="str">
        <f t="shared" si="417"/>
        <v/>
      </c>
      <c r="AN616" s="22" t="str">
        <f t="shared" si="418"/>
        <v/>
      </c>
      <c r="AO616" s="22" t="str">
        <f t="shared" si="442"/>
        <v/>
      </c>
      <c r="AQ616" s="21" t="str">
        <f t="shared" si="443"/>
        <v>Apprenant 604</v>
      </c>
      <c r="AR616" s="49" t="str">
        <f>IF(AND('Choix pédagogiques'!$C$4&lt;&gt;"?",'Choix pédagogiques'!$C$5&lt;&gt;"?",W616&lt;&gt;""),(W616-'Choix pédagogiques'!$C$4)/('Choix pédagogiques'!$C$5-'Choix pédagogiques'!$C$4),"")</f>
        <v/>
      </c>
      <c r="AS616" s="49" t="str">
        <f>IF(AND('Choix pédagogiques'!$C$4&lt;&gt;"?",'Choix pédagogiques'!$C$5&lt;&gt;"?",X616&lt;&gt;""),(X616-'Choix pédagogiques'!$C$4)/('Choix pédagogiques'!$C$5-'Choix pédagogiques'!$C$4),"")</f>
        <v/>
      </c>
      <c r="AT616" s="49" t="str">
        <f>IF(AND('Choix pédagogiques'!$C$4&lt;&gt;"?",'Choix pédagogiques'!$C$5&lt;&gt;"?",Y616&lt;&gt;""),(Y616-'Choix pédagogiques'!$C$4)/('Choix pédagogiques'!$C$5-'Choix pédagogiques'!$C$4),"")</f>
        <v/>
      </c>
      <c r="AU616" s="22" t="str">
        <f t="shared" si="444"/>
        <v/>
      </c>
      <c r="AV616" s="21" t="str">
        <f t="shared" si="445"/>
        <v>Apprenant 604 ou 604'</v>
      </c>
      <c r="AW616" s="49" t="str">
        <f>IF(AND('Choix pédagogiques'!$C$4&lt;&gt;"?",'Choix pédagogiques'!$C$5&lt;&gt;"?",AB616&lt;&gt;""),(AB616-'Choix pédagogiques'!$C$4)/('Choix pédagogiques'!$C$5-'Choix pédagogiques'!$C$4),"")</f>
        <v/>
      </c>
      <c r="AX616" s="49" t="str">
        <f>IF(AND('Choix pédagogiques'!$C$4&lt;&gt;"?",'Choix pédagogiques'!$C$5&lt;&gt;"?",AC616&lt;&gt;""),(AC616-'Choix pédagogiques'!$C$4)/('Choix pédagogiques'!$C$5-'Choix pédagogiques'!$C$4),"")</f>
        <v/>
      </c>
      <c r="AY616" s="49" t="str">
        <f>IF(AND('Choix pédagogiques'!$C$4&lt;&gt;"?",'Choix pédagogiques'!$C$5&lt;&gt;"?",AD616&lt;&gt;""),(AD616-'Choix pédagogiques'!$C$4)/('Choix pédagogiques'!$C$5-'Choix pédagogiques'!$C$4),"")</f>
        <v/>
      </c>
      <c r="AZ616" s="22" t="str">
        <f t="shared" si="446"/>
        <v/>
      </c>
      <c r="BA616" s="21" t="str">
        <f t="shared" si="447"/>
        <v>Apprenant 604</v>
      </c>
      <c r="BB616" s="49" t="str">
        <f t="shared" si="419"/>
        <v/>
      </c>
      <c r="BC616" s="49" t="str">
        <f t="shared" si="420"/>
        <v/>
      </c>
      <c r="BD616" s="49" t="str">
        <f t="shared" si="421"/>
        <v/>
      </c>
      <c r="BE616" s="22" t="str">
        <f t="shared" si="448"/>
        <v/>
      </c>
      <c r="BF616" s="21" t="str">
        <f t="shared" si="449"/>
        <v>Apprenant 604 ou 604'</v>
      </c>
      <c r="BG616" s="49" t="str">
        <f t="shared" si="422"/>
        <v/>
      </c>
      <c r="BH616" s="49" t="str">
        <f t="shared" si="423"/>
        <v/>
      </c>
      <c r="BI616" s="49" t="str">
        <f t="shared" si="424"/>
        <v/>
      </c>
      <c r="BJ616" s="22" t="str">
        <f t="shared" si="450"/>
        <v/>
      </c>
      <c r="BL616" s="21"/>
      <c r="BM616" s="21" t="str">
        <f>IF(OR(COUNT(B616:D1615)=0,AND('Choix pédagogiques'!$C$3&lt;&gt;1,'Choix pédagogiques'!$C$3&lt;&gt;2)),"",IF(AND(OR('Choix pédagogiques'!$C$3=1,'Choix pédagogiques'!$C$3=2),$B616&lt;&gt;"",$C616&lt;&gt;"",$D616&lt;&gt;""),1,0))</f>
        <v/>
      </c>
      <c r="BN616" s="21" t="str">
        <f>IF(OR(COUNT(G616:I1615)=0,AND('Choix pédagogiques'!$C$3&lt;&gt;1,'Choix pédagogiques'!$C$3&lt;&gt;2)),"",IF(AND(OR('Choix pédagogiques'!$C$3=1,'Choix pédagogiques'!$C$3=2),AND($G616&lt;&gt;"",$H616&lt;&gt;"",$I616&lt;&gt;"")),1,0))</f>
        <v/>
      </c>
      <c r="BO616" s="21" t="str">
        <f>IF(OR(COUNT(B616:D1615)=0,COUNT(G616:I1615)=0,'Choix pédagogiques'!C$3&lt;&gt;3),"",IF(AND('Choix pédagogiques'!$C$3=3,$B616&lt;&gt;"",$C616&lt;&gt;"",$D616&lt;&gt;"",$G616&lt;&gt;"",$H616&lt;&gt;"",$I616&lt;&gt;""),1,0))</f>
        <v/>
      </c>
      <c r="BR616" s="21">
        <v>898</v>
      </c>
      <c r="BS616" s="21">
        <v>1860</v>
      </c>
      <c r="BT616"/>
    </row>
    <row r="617" spans="1:72" s="23" customFormat="1" ht="18" customHeight="1" x14ac:dyDescent="0.3">
      <c r="A617" s="35" t="s">
        <v>607</v>
      </c>
      <c r="B617" s="37"/>
      <c r="C617" s="37"/>
      <c r="D617" s="37"/>
      <c r="E617" s="37"/>
      <c r="F617" s="35" t="s">
        <v>1615</v>
      </c>
      <c r="G617" s="37"/>
      <c r="H617" s="37"/>
      <c r="I617" s="37"/>
      <c r="J617" s="37"/>
      <c r="K617" s="21" t="str">
        <f t="shared" si="425"/>
        <v>Apprenant 605</v>
      </c>
      <c r="L617" s="22" t="str">
        <f t="shared" si="426"/>
        <v/>
      </c>
      <c r="M617" s="22" t="str">
        <f t="shared" si="427"/>
        <v/>
      </c>
      <c r="N617" s="22" t="str">
        <f t="shared" si="428"/>
        <v/>
      </c>
      <c r="O617" s="22" t="str">
        <f t="shared" si="429"/>
        <v/>
      </c>
      <c r="P617" s="21" t="str">
        <f t="shared" si="430"/>
        <v>Apprenant 605 ou 605'</v>
      </c>
      <c r="Q617" s="22" t="str">
        <f t="shared" si="431"/>
        <v/>
      </c>
      <c r="R617" s="22" t="str">
        <f t="shared" si="432"/>
        <v/>
      </c>
      <c r="S617" s="22" t="str">
        <f t="shared" si="433"/>
        <v/>
      </c>
      <c r="T617" s="22" t="str">
        <f t="shared" si="434"/>
        <v/>
      </c>
      <c r="V617" s="21" t="str">
        <f t="shared" si="435"/>
        <v>Apprenant 605</v>
      </c>
      <c r="W617" s="22" t="str">
        <f>IF(AND(OR('Choix pédagogiques'!$C$3=1,'Choix pédagogiques'!$C$3=2),$BM617=1),B617,IF(AND('Choix pédagogiques'!$C$3=3,$BO617=1),B617,""))</f>
        <v/>
      </c>
      <c r="X617" s="22" t="str">
        <f>IF(AND(OR('Choix pédagogiques'!$C$3=1,'Choix pédagogiques'!$C$3=2),$BM617=1),C617,IF(AND('Choix pédagogiques'!$C$3=3,$BO617=1),C617,""))</f>
        <v/>
      </c>
      <c r="Y617" s="22" t="str">
        <f>IF(AND(OR('Choix pédagogiques'!$C$3=1,'Choix pédagogiques'!$C$3=2),$BM617=1),D617,IF(AND('Choix pédagogiques'!$C$3=3,$BO617=1),D617,""))</f>
        <v/>
      </c>
      <c r="Z617" s="22" t="str">
        <f t="shared" si="436"/>
        <v/>
      </c>
      <c r="AA617" s="21" t="str">
        <f t="shared" si="437"/>
        <v>Apprenant 605 ou 605'</v>
      </c>
      <c r="AB617" s="22" t="str">
        <f>IF(AND(OR('Choix pédagogiques'!$C$3=1,'Choix pédagogiques'!$C$3=2),$BN617=1),G617,IF(AND('Choix pédagogiques'!$C$3=3,$BO617=1),G617,""))</f>
        <v/>
      </c>
      <c r="AC617" s="22" t="str">
        <f>IF(AND(OR('Choix pédagogiques'!$C$3=1,'Choix pédagogiques'!$C$3=2),$BN617=1),H617,IF(AND('Choix pédagogiques'!$C$3=3,$BO617=1),H617,""))</f>
        <v/>
      </c>
      <c r="AD617" s="22" t="str">
        <f>IF(AND(OR('Choix pédagogiques'!$C$3=1,'Choix pédagogiques'!$C$3=2),$BN617=1),I617,IF(AND('Choix pédagogiques'!$C$3=3,$BO617=1),I617,""))</f>
        <v/>
      </c>
      <c r="AE617" s="22" t="str">
        <f t="shared" si="438"/>
        <v/>
      </c>
      <c r="AF617" s="21" t="str">
        <f t="shared" si="439"/>
        <v>Apprenant 605</v>
      </c>
      <c r="AG617" s="22" t="str">
        <f t="shared" si="413"/>
        <v/>
      </c>
      <c r="AH617" s="22" t="str">
        <f t="shared" si="414"/>
        <v/>
      </c>
      <c r="AI617" s="22" t="str">
        <f t="shared" si="415"/>
        <v/>
      </c>
      <c r="AJ617" s="22" t="str">
        <f t="shared" si="440"/>
        <v/>
      </c>
      <c r="AK617" s="21" t="str">
        <f t="shared" si="441"/>
        <v>Apprenant 605 ou 605'</v>
      </c>
      <c r="AL617" s="22" t="str">
        <f t="shared" si="416"/>
        <v/>
      </c>
      <c r="AM617" s="22" t="str">
        <f t="shared" si="417"/>
        <v/>
      </c>
      <c r="AN617" s="22" t="str">
        <f t="shared" si="418"/>
        <v/>
      </c>
      <c r="AO617" s="22" t="str">
        <f t="shared" si="442"/>
        <v/>
      </c>
      <c r="AQ617" s="21" t="str">
        <f t="shared" si="443"/>
        <v>Apprenant 605</v>
      </c>
      <c r="AR617" s="49" t="str">
        <f>IF(AND('Choix pédagogiques'!$C$4&lt;&gt;"?",'Choix pédagogiques'!$C$5&lt;&gt;"?",W617&lt;&gt;""),(W617-'Choix pédagogiques'!$C$4)/('Choix pédagogiques'!$C$5-'Choix pédagogiques'!$C$4),"")</f>
        <v/>
      </c>
      <c r="AS617" s="49" t="str">
        <f>IF(AND('Choix pédagogiques'!$C$4&lt;&gt;"?",'Choix pédagogiques'!$C$5&lt;&gt;"?",X617&lt;&gt;""),(X617-'Choix pédagogiques'!$C$4)/('Choix pédagogiques'!$C$5-'Choix pédagogiques'!$C$4),"")</f>
        <v/>
      </c>
      <c r="AT617" s="49" t="str">
        <f>IF(AND('Choix pédagogiques'!$C$4&lt;&gt;"?",'Choix pédagogiques'!$C$5&lt;&gt;"?",Y617&lt;&gt;""),(Y617-'Choix pédagogiques'!$C$4)/('Choix pédagogiques'!$C$5-'Choix pédagogiques'!$C$4),"")</f>
        <v/>
      </c>
      <c r="AU617" s="22" t="str">
        <f t="shared" si="444"/>
        <v/>
      </c>
      <c r="AV617" s="21" t="str">
        <f t="shared" si="445"/>
        <v>Apprenant 605 ou 605'</v>
      </c>
      <c r="AW617" s="49" t="str">
        <f>IF(AND('Choix pédagogiques'!$C$4&lt;&gt;"?",'Choix pédagogiques'!$C$5&lt;&gt;"?",AB617&lt;&gt;""),(AB617-'Choix pédagogiques'!$C$4)/('Choix pédagogiques'!$C$5-'Choix pédagogiques'!$C$4),"")</f>
        <v/>
      </c>
      <c r="AX617" s="49" t="str">
        <f>IF(AND('Choix pédagogiques'!$C$4&lt;&gt;"?",'Choix pédagogiques'!$C$5&lt;&gt;"?",AC617&lt;&gt;""),(AC617-'Choix pédagogiques'!$C$4)/('Choix pédagogiques'!$C$5-'Choix pédagogiques'!$C$4),"")</f>
        <v/>
      </c>
      <c r="AY617" s="49" t="str">
        <f>IF(AND('Choix pédagogiques'!$C$4&lt;&gt;"?",'Choix pédagogiques'!$C$5&lt;&gt;"?",AD617&lt;&gt;""),(AD617-'Choix pédagogiques'!$C$4)/('Choix pédagogiques'!$C$5-'Choix pédagogiques'!$C$4),"")</f>
        <v/>
      </c>
      <c r="AZ617" s="22" t="str">
        <f t="shared" si="446"/>
        <v/>
      </c>
      <c r="BA617" s="21" t="str">
        <f t="shared" si="447"/>
        <v>Apprenant 605</v>
      </c>
      <c r="BB617" s="49" t="str">
        <f t="shared" si="419"/>
        <v/>
      </c>
      <c r="BC617" s="49" t="str">
        <f t="shared" si="420"/>
        <v/>
      </c>
      <c r="BD617" s="49" t="str">
        <f t="shared" si="421"/>
        <v/>
      </c>
      <c r="BE617" s="22" t="str">
        <f t="shared" si="448"/>
        <v/>
      </c>
      <c r="BF617" s="21" t="str">
        <f t="shared" si="449"/>
        <v>Apprenant 605 ou 605'</v>
      </c>
      <c r="BG617" s="49" t="str">
        <f t="shared" si="422"/>
        <v/>
      </c>
      <c r="BH617" s="49" t="str">
        <f t="shared" si="423"/>
        <v/>
      </c>
      <c r="BI617" s="49" t="str">
        <f t="shared" si="424"/>
        <v/>
      </c>
      <c r="BJ617" s="22" t="str">
        <f t="shared" si="450"/>
        <v/>
      </c>
      <c r="BL617" s="21"/>
      <c r="BM617" s="21" t="str">
        <f>IF(OR(COUNT(B617:D1616)=0,AND('Choix pédagogiques'!$C$3&lt;&gt;1,'Choix pédagogiques'!$C$3&lt;&gt;2)),"",IF(AND(OR('Choix pédagogiques'!$C$3=1,'Choix pédagogiques'!$C$3=2),$B617&lt;&gt;"",$C617&lt;&gt;"",$D617&lt;&gt;""),1,0))</f>
        <v/>
      </c>
      <c r="BN617" s="21" t="str">
        <f>IF(OR(COUNT(G617:I1616)=0,AND('Choix pédagogiques'!$C$3&lt;&gt;1,'Choix pédagogiques'!$C$3&lt;&gt;2)),"",IF(AND(OR('Choix pédagogiques'!$C$3=1,'Choix pédagogiques'!$C$3=2),AND($G617&lt;&gt;"",$H617&lt;&gt;"",$I617&lt;&gt;"")),1,0))</f>
        <v/>
      </c>
      <c r="BO617" s="21" t="str">
        <f>IF(OR(COUNT(B617:D1616)=0,COUNT(G617:I1616)=0,'Choix pédagogiques'!C$3&lt;&gt;3),"",IF(AND('Choix pédagogiques'!$C$3=3,$B617&lt;&gt;"",$C617&lt;&gt;"",$D617&lt;&gt;"",$G617&lt;&gt;"",$H617&lt;&gt;"",$I617&lt;&gt;""),1,0))</f>
        <v/>
      </c>
      <c r="BR617" s="21">
        <v>580</v>
      </c>
      <c r="BS617" s="21">
        <v>1251</v>
      </c>
      <c r="BT617"/>
    </row>
    <row r="618" spans="1:72" s="23" customFormat="1" ht="18" customHeight="1" x14ac:dyDescent="0.3">
      <c r="A618" s="35" t="s">
        <v>608</v>
      </c>
      <c r="B618" s="37"/>
      <c r="C618" s="37"/>
      <c r="D618" s="37"/>
      <c r="E618" s="37"/>
      <c r="F618" s="35" t="s">
        <v>1616</v>
      </c>
      <c r="G618" s="37"/>
      <c r="H618" s="37"/>
      <c r="I618" s="37"/>
      <c r="J618" s="37"/>
      <c r="K618" s="21" t="str">
        <f t="shared" si="425"/>
        <v>Apprenant 606</v>
      </c>
      <c r="L618" s="22" t="str">
        <f t="shared" si="426"/>
        <v/>
      </c>
      <c r="M618" s="22" t="str">
        <f t="shared" si="427"/>
        <v/>
      </c>
      <c r="N618" s="22" t="str">
        <f t="shared" si="428"/>
        <v/>
      </c>
      <c r="O618" s="22" t="str">
        <f t="shared" si="429"/>
        <v/>
      </c>
      <c r="P618" s="21" t="str">
        <f t="shared" si="430"/>
        <v>Apprenant 606 ou 606'</v>
      </c>
      <c r="Q618" s="22" t="str">
        <f t="shared" si="431"/>
        <v/>
      </c>
      <c r="R618" s="22" t="str">
        <f t="shared" si="432"/>
        <v/>
      </c>
      <c r="S618" s="22" t="str">
        <f t="shared" si="433"/>
        <v/>
      </c>
      <c r="T618" s="22" t="str">
        <f t="shared" si="434"/>
        <v/>
      </c>
      <c r="V618" s="21" t="str">
        <f t="shared" si="435"/>
        <v>Apprenant 606</v>
      </c>
      <c r="W618" s="22" t="str">
        <f>IF(AND(OR('Choix pédagogiques'!$C$3=1,'Choix pédagogiques'!$C$3=2),$BM618=1),B618,IF(AND('Choix pédagogiques'!$C$3=3,$BO618=1),B618,""))</f>
        <v/>
      </c>
      <c r="X618" s="22" t="str">
        <f>IF(AND(OR('Choix pédagogiques'!$C$3=1,'Choix pédagogiques'!$C$3=2),$BM618=1),C618,IF(AND('Choix pédagogiques'!$C$3=3,$BO618=1),C618,""))</f>
        <v/>
      </c>
      <c r="Y618" s="22" t="str">
        <f>IF(AND(OR('Choix pédagogiques'!$C$3=1,'Choix pédagogiques'!$C$3=2),$BM618=1),D618,IF(AND('Choix pédagogiques'!$C$3=3,$BO618=1),D618,""))</f>
        <v/>
      </c>
      <c r="Z618" s="22" t="str">
        <f t="shared" si="436"/>
        <v/>
      </c>
      <c r="AA618" s="21" t="str">
        <f t="shared" si="437"/>
        <v>Apprenant 606 ou 606'</v>
      </c>
      <c r="AB618" s="22" t="str">
        <f>IF(AND(OR('Choix pédagogiques'!$C$3=1,'Choix pédagogiques'!$C$3=2),$BN618=1),G618,IF(AND('Choix pédagogiques'!$C$3=3,$BO618=1),G618,""))</f>
        <v/>
      </c>
      <c r="AC618" s="22" t="str">
        <f>IF(AND(OR('Choix pédagogiques'!$C$3=1,'Choix pédagogiques'!$C$3=2),$BN618=1),H618,IF(AND('Choix pédagogiques'!$C$3=3,$BO618=1),H618,""))</f>
        <v/>
      </c>
      <c r="AD618" s="22" t="str">
        <f>IF(AND(OR('Choix pédagogiques'!$C$3=1,'Choix pédagogiques'!$C$3=2),$BN618=1),I618,IF(AND('Choix pédagogiques'!$C$3=3,$BO618=1),I618,""))</f>
        <v/>
      </c>
      <c r="AE618" s="22" t="str">
        <f t="shared" si="438"/>
        <v/>
      </c>
      <c r="AF618" s="21" t="str">
        <f t="shared" si="439"/>
        <v>Apprenant 606</v>
      </c>
      <c r="AG618" s="22" t="str">
        <f t="shared" si="413"/>
        <v/>
      </c>
      <c r="AH618" s="22" t="str">
        <f t="shared" si="414"/>
        <v/>
      </c>
      <c r="AI618" s="22" t="str">
        <f t="shared" si="415"/>
        <v/>
      </c>
      <c r="AJ618" s="22" t="str">
        <f t="shared" si="440"/>
        <v/>
      </c>
      <c r="AK618" s="21" t="str">
        <f t="shared" si="441"/>
        <v>Apprenant 606 ou 606'</v>
      </c>
      <c r="AL618" s="22" t="str">
        <f t="shared" si="416"/>
        <v/>
      </c>
      <c r="AM618" s="22" t="str">
        <f t="shared" si="417"/>
        <v/>
      </c>
      <c r="AN618" s="22" t="str">
        <f t="shared" si="418"/>
        <v/>
      </c>
      <c r="AO618" s="22" t="str">
        <f t="shared" si="442"/>
        <v/>
      </c>
      <c r="AQ618" s="21" t="str">
        <f t="shared" si="443"/>
        <v>Apprenant 606</v>
      </c>
      <c r="AR618" s="49" t="str">
        <f>IF(AND('Choix pédagogiques'!$C$4&lt;&gt;"?",'Choix pédagogiques'!$C$5&lt;&gt;"?",W618&lt;&gt;""),(W618-'Choix pédagogiques'!$C$4)/('Choix pédagogiques'!$C$5-'Choix pédagogiques'!$C$4),"")</f>
        <v/>
      </c>
      <c r="AS618" s="49" t="str">
        <f>IF(AND('Choix pédagogiques'!$C$4&lt;&gt;"?",'Choix pédagogiques'!$C$5&lt;&gt;"?",X618&lt;&gt;""),(X618-'Choix pédagogiques'!$C$4)/('Choix pédagogiques'!$C$5-'Choix pédagogiques'!$C$4),"")</f>
        <v/>
      </c>
      <c r="AT618" s="49" t="str">
        <f>IF(AND('Choix pédagogiques'!$C$4&lt;&gt;"?",'Choix pédagogiques'!$C$5&lt;&gt;"?",Y618&lt;&gt;""),(Y618-'Choix pédagogiques'!$C$4)/('Choix pédagogiques'!$C$5-'Choix pédagogiques'!$C$4),"")</f>
        <v/>
      </c>
      <c r="AU618" s="22" t="str">
        <f t="shared" si="444"/>
        <v/>
      </c>
      <c r="AV618" s="21" t="str">
        <f t="shared" si="445"/>
        <v>Apprenant 606 ou 606'</v>
      </c>
      <c r="AW618" s="49" t="str">
        <f>IF(AND('Choix pédagogiques'!$C$4&lt;&gt;"?",'Choix pédagogiques'!$C$5&lt;&gt;"?",AB618&lt;&gt;""),(AB618-'Choix pédagogiques'!$C$4)/('Choix pédagogiques'!$C$5-'Choix pédagogiques'!$C$4),"")</f>
        <v/>
      </c>
      <c r="AX618" s="49" t="str">
        <f>IF(AND('Choix pédagogiques'!$C$4&lt;&gt;"?",'Choix pédagogiques'!$C$5&lt;&gt;"?",AC618&lt;&gt;""),(AC618-'Choix pédagogiques'!$C$4)/('Choix pédagogiques'!$C$5-'Choix pédagogiques'!$C$4),"")</f>
        <v/>
      </c>
      <c r="AY618" s="49" t="str">
        <f>IF(AND('Choix pédagogiques'!$C$4&lt;&gt;"?",'Choix pédagogiques'!$C$5&lt;&gt;"?",AD618&lt;&gt;""),(AD618-'Choix pédagogiques'!$C$4)/('Choix pédagogiques'!$C$5-'Choix pédagogiques'!$C$4),"")</f>
        <v/>
      </c>
      <c r="AZ618" s="22" t="str">
        <f t="shared" si="446"/>
        <v/>
      </c>
      <c r="BA618" s="21" t="str">
        <f t="shared" si="447"/>
        <v>Apprenant 606</v>
      </c>
      <c r="BB618" s="49" t="str">
        <f t="shared" si="419"/>
        <v/>
      </c>
      <c r="BC618" s="49" t="str">
        <f t="shared" si="420"/>
        <v/>
      </c>
      <c r="BD618" s="49" t="str">
        <f t="shared" si="421"/>
        <v/>
      </c>
      <c r="BE618" s="22" t="str">
        <f t="shared" si="448"/>
        <v/>
      </c>
      <c r="BF618" s="21" t="str">
        <f t="shared" si="449"/>
        <v>Apprenant 606 ou 606'</v>
      </c>
      <c r="BG618" s="49" t="str">
        <f t="shared" si="422"/>
        <v/>
      </c>
      <c r="BH618" s="49" t="str">
        <f t="shared" si="423"/>
        <v/>
      </c>
      <c r="BI618" s="49" t="str">
        <f t="shared" si="424"/>
        <v/>
      </c>
      <c r="BJ618" s="22" t="str">
        <f t="shared" si="450"/>
        <v/>
      </c>
      <c r="BL618" s="21"/>
      <c r="BM618" s="21" t="str">
        <f>IF(OR(COUNT(B618:D1617)=0,AND('Choix pédagogiques'!$C$3&lt;&gt;1,'Choix pédagogiques'!$C$3&lt;&gt;2)),"",IF(AND(OR('Choix pédagogiques'!$C$3=1,'Choix pédagogiques'!$C$3=2),$B618&lt;&gt;"",$C618&lt;&gt;"",$D618&lt;&gt;""),1,0))</f>
        <v/>
      </c>
      <c r="BN618" s="21" t="str">
        <f>IF(OR(COUNT(G618:I1617)=0,AND('Choix pédagogiques'!$C$3&lt;&gt;1,'Choix pédagogiques'!$C$3&lt;&gt;2)),"",IF(AND(OR('Choix pédagogiques'!$C$3=1,'Choix pédagogiques'!$C$3=2),AND($G618&lt;&gt;"",$H618&lt;&gt;"",$I618&lt;&gt;"")),1,0))</f>
        <v/>
      </c>
      <c r="BO618" s="21" t="str">
        <f>IF(OR(COUNT(B618:D1617)=0,COUNT(G618:I1617)=0,'Choix pédagogiques'!C$3&lt;&gt;3),"",IF(AND('Choix pédagogiques'!$C$3=3,$B618&lt;&gt;"",$C618&lt;&gt;"",$D618&lt;&gt;"",$G618&lt;&gt;"",$H618&lt;&gt;"",$I618&lt;&gt;""),1,0))</f>
        <v/>
      </c>
      <c r="BR618" s="21">
        <v>970</v>
      </c>
      <c r="BS618" s="21">
        <v>1414</v>
      </c>
      <c r="BT618"/>
    </row>
    <row r="619" spans="1:72" s="23" customFormat="1" ht="18" customHeight="1" x14ac:dyDescent="0.3">
      <c r="A619" s="35" t="s">
        <v>609</v>
      </c>
      <c r="B619" s="37"/>
      <c r="C619" s="37"/>
      <c r="D619" s="37"/>
      <c r="E619" s="37"/>
      <c r="F619" s="35" t="s">
        <v>1617</v>
      </c>
      <c r="G619" s="37"/>
      <c r="H619" s="37"/>
      <c r="I619" s="37"/>
      <c r="J619" s="37"/>
      <c r="K619" s="21" t="str">
        <f t="shared" si="425"/>
        <v>Apprenant 607</v>
      </c>
      <c r="L619" s="22" t="str">
        <f t="shared" si="426"/>
        <v/>
      </c>
      <c r="M619" s="22" t="str">
        <f t="shared" si="427"/>
        <v/>
      </c>
      <c r="N619" s="22" t="str">
        <f t="shared" si="428"/>
        <v/>
      </c>
      <c r="O619" s="22" t="str">
        <f t="shared" si="429"/>
        <v/>
      </c>
      <c r="P619" s="21" t="str">
        <f t="shared" si="430"/>
        <v>Apprenant 607 ou 607'</v>
      </c>
      <c r="Q619" s="22" t="str">
        <f t="shared" si="431"/>
        <v/>
      </c>
      <c r="R619" s="22" t="str">
        <f t="shared" si="432"/>
        <v/>
      </c>
      <c r="S619" s="22" t="str">
        <f t="shared" si="433"/>
        <v/>
      </c>
      <c r="T619" s="22" t="str">
        <f t="shared" si="434"/>
        <v/>
      </c>
      <c r="V619" s="21" t="str">
        <f t="shared" si="435"/>
        <v>Apprenant 607</v>
      </c>
      <c r="W619" s="22" t="str">
        <f>IF(AND(OR('Choix pédagogiques'!$C$3=1,'Choix pédagogiques'!$C$3=2),$BM619=1),B619,IF(AND('Choix pédagogiques'!$C$3=3,$BO619=1),B619,""))</f>
        <v/>
      </c>
      <c r="X619" s="22" t="str">
        <f>IF(AND(OR('Choix pédagogiques'!$C$3=1,'Choix pédagogiques'!$C$3=2),$BM619=1),C619,IF(AND('Choix pédagogiques'!$C$3=3,$BO619=1),C619,""))</f>
        <v/>
      </c>
      <c r="Y619" s="22" t="str">
        <f>IF(AND(OR('Choix pédagogiques'!$C$3=1,'Choix pédagogiques'!$C$3=2),$BM619=1),D619,IF(AND('Choix pédagogiques'!$C$3=3,$BO619=1),D619,""))</f>
        <v/>
      </c>
      <c r="Z619" s="22" t="str">
        <f t="shared" si="436"/>
        <v/>
      </c>
      <c r="AA619" s="21" t="str">
        <f t="shared" si="437"/>
        <v>Apprenant 607 ou 607'</v>
      </c>
      <c r="AB619" s="22" t="str">
        <f>IF(AND(OR('Choix pédagogiques'!$C$3=1,'Choix pédagogiques'!$C$3=2),$BN619=1),G619,IF(AND('Choix pédagogiques'!$C$3=3,$BO619=1),G619,""))</f>
        <v/>
      </c>
      <c r="AC619" s="22" t="str">
        <f>IF(AND(OR('Choix pédagogiques'!$C$3=1,'Choix pédagogiques'!$C$3=2),$BN619=1),H619,IF(AND('Choix pédagogiques'!$C$3=3,$BO619=1),H619,""))</f>
        <v/>
      </c>
      <c r="AD619" s="22" t="str">
        <f>IF(AND(OR('Choix pédagogiques'!$C$3=1,'Choix pédagogiques'!$C$3=2),$BN619=1),I619,IF(AND('Choix pédagogiques'!$C$3=3,$BO619=1),I619,""))</f>
        <v/>
      </c>
      <c r="AE619" s="22" t="str">
        <f t="shared" si="438"/>
        <v/>
      </c>
      <c r="AF619" s="21" t="str">
        <f t="shared" si="439"/>
        <v>Apprenant 607</v>
      </c>
      <c r="AG619" s="22" t="str">
        <f t="shared" si="413"/>
        <v/>
      </c>
      <c r="AH619" s="22" t="str">
        <f t="shared" si="414"/>
        <v/>
      </c>
      <c r="AI619" s="22" t="str">
        <f t="shared" si="415"/>
        <v/>
      </c>
      <c r="AJ619" s="22" t="str">
        <f t="shared" si="440"/>
        <v/>
      </c>
      <c r="AK619" s="21" t="str">
        <f t="shared" si="441"/>
        <v>Apprenant 607 ou 607'</v>
      </c>
      <c r="AL619" s="22" t="str">
        <f t="shared" si="416"/>
        <v/>
      </c>
      <c r="AM619" s="22" t="str">
        <f t="shared" si="417"/>
        <v/>
      </c>
      <c r="AN619" s="22" t="str">
        <f t="shared" si="418"/>
        <v/>
      </c>
      <c r="AO619" s="22" t="str">
        <f t="shared" si="442"/>
        <v/>
      </c>
      <c r="AQ619" s="21" t="str">
        <f t="shared" si="443"/>
        <v>Apprenant 607</v>
      </c>
      <c r="AR619" s="49" t="str">
        <f>IF(AND('Choix pédagogiques'!$C$4&lt;&gt;"?",'Choix pédagogiques'!$C$5&lt;&gt;"?",W619&lt;&gt;""),(W619-'Choix pédagogiques'!$C$4)/('Choix pédagogiques'!$C$5-'Choix pédagogiques'!$C$4),"")</f>
        <v/>
      </c>
      <c r="AS619" s="49" t="str">
        <f>IF(AND('Choix pédagogiques'!$C$4&lt;&gt;"?",'Choix pédagogiques'!$C$5&lt;&gt;"?",X619&lt;&gt;""),(X619-'Choix pédagogiques'!$C$4)/('Choix pédagogiques'!$C$5-'Choix pédagogiques'!$C$4),"")</f>
        <v/>
      </c>
      <c r="AT619" s="49" t="str">
        <f>IF(AND('Choix pédagogiques'!$C$4&lt;&gt;"?",'Choix pédagogiques'!$C$5&lt;&gt;"?",Y619&lt;&gt;""),(Y619-'Choix pédagogiques'!$C$4)/('Choix pédagogiques'!$C$5-'Choix pédagogiques'!$C$4),"")</f>
        <v/>
      </c>
      <c r="AU619" s="22" t="str">
        <f t="shared" si="444"/>
        <v/>
      </c>
      <c r="AV619" s="21" t="str">
        <f t="shared" si="445"/>
        <v>Apprenant 607 ou 607'</v>
      </c>
      <c r="AW619" s="49" t="str">
        <f>IF(AND('Choix pédagogiques'!$C$4&lt;&gt;"?",'Choix pédagogiques'!$C$5&lt;&gt;"?",AB619&lt;&gt;""),(AB619-'Choix pédagogiques'!$C$4)/('Choix pédagogiques'!$C$5-'Choix pédagogiques'!$C$4),"")</f>
        <v/>
      </c>
      <c r="AX619" s="49" t="str">
        <f>IF(AND('Choix pédagogiques'!$C$4&lt;&gt;"?",'Choix pédagogiques'!$C$5&lt;&gt;"?",AC619&lt;&gt;""),(AC619-'Choix pédagogiques'!$C$4)/('Choix pédagogiques'!$C$5-'Choix pédagogiques'!$C$4),"")</f>
        <v/>
      </c>
      <c r="AY619" s="49" t="str">
        <f>IF(AND('Choix pédagogiques'!$C$4&lt;&gt;"?",'Choix pédagogiques'!$C$5&lt;&gt;"?",AD619&lt;&gt;""),(AD619-'Choix pédagogiques'!$C$4)/('Choix pédagogiques'!$C$5-'Choix pédagogiques'!$C$4),"")</f>
        <v/>
      </c>
      <c r="AZ619" s="22" t="str">
        <f t="shared" si="446"/>
        <v/>
      </c>
      <c r="BA619" s="21" t="str">
        <f t="shared" si="447"/>
        <v>Apprenant 607</v>
      </c>
      <c r="BB619" s="49" t="str">
        <f t="shared" si="419"/>
        <v/>
      </c>
      <c r="BC619" s="49" t="str">
        <f t="shared" si="420"/>
        <v/>
      </c>
      <c r="BD619" s="49" t="str">
        <f t="shared" si="421"/>
        <v/>
      </c>
      <c r="BE619" s="22" t="str">
        <f t="shared" si="448"/>
        <v/>
      </c>
      <c r="BF619" s="21" t="str">
        <f t="shared" si="449"/>
        <v>Apprenant 607 ou 607'</v>
      </c>
      <c r="BG619" s="49" t="str">
        <f t="shared" si="422"/>
        <v/>
      </c>
      <c r="BH619" s="49" t="str">
        <f t="shared" si="423"/>
        <v/>
      </c>
      <c r="BI619" s="49" t="str">
        <f t="shared" si="424"/>
        <v/>
      </c>
      <c r="BJ619" s="22" t="str">
        <f t="shared" si="450"/>
        <v/>
      </c>
      <c r="BL619" s="21"/>
      <c r="BM619" s="21" t="str">
        <f>IF(OR(COUNT(B619:D1618)=0,AND('Choix pédagogiques'!$C$3&lt;&gt;1,'Choix pédagogiques'!$C$3&lt;&gt;2)),"",IF(AND(OR('Choix pédagogiques'!$C$3=1,'Choix pédagogiques'!$C$3=2),$B619&lt;&gt;"",$C619&lt;&gt;"",$D619&lt;&gt;""),1,0))</f>
        <v/>
      </c>
      <c r="BN619" s="21" t="str">
        <f>IF(OR(COUNT(G619:I1618)=0,AND('Choix pédagogiques'!$C$3&lt;&gt;1,'Choix pédagogiques'!$C$3&lt;&gt;2)),"",IF(AND(OR('Choix pédagogiques'!$C$3=1,'Choix pédagogiques'!$C$3=2),AND($G619&lt;&gt;"",$H619&lt;&gt;"",$I619&lt;&gt;"")),1,0))</f>
        <v/>
      </c>
      <c r="BO619" s="21" t="str">
        <f>IF(OR(COUNT(B619:D1618)=0,COUNT(G619:I1618)=0,'Choix pédagogiques'!C$3&lt;&gt;3),"",IF(AND('Choix pédagogiques'!$C$3=3,$B619&lt;&gt;"",$C619&lt;&gt;"",$D619&lt;&gt;"",$G619&lt;&gt;"",$H619&lt;&gt;"",$I619&lt;&gt;""),1,0))</f>
        <v/>
      </c>
      <c r="BR619" s="21">
        <v>369</v>
      </c>
      <c r="BS619" s="21">
        <v>1584</v>
      </c>
      <c r="BT619"/>
    </row>
    <row r="620" spans="1:72" s="23" customFormat="1" ht="18" customHeight="1" x14ac:dyDescent="0.3">
      <c r="A620" s="35" t="s">
        <v>610</v>
      </c>
      <c r="B620" s="37"/>
      <c r="C620" s="37"/>
      <c r="D620" s="37"/>
      <c r="E620" s="37"/>
      <c r="F620" s="35" t="s">
        <v>1618</v>
      </c>
      <c r="G620" s="37"/>
      <c r="H620" s="37"/>
      <c r="I620" s="37"/>
      <c r="J620" s="37"/>
      <c r="K620" s="21" t="str">
        <f t="shared" si="425"/>
        <v>Apprenant 608</v>
      </c>
      <c r="L620" s="22" t="str">
        <f t="shared" si="426"/>
        <v/>
      </c>
      <c r="M620" s="22" t="str">
        <f t="shared" si="427"/>
        <v/>
      </c>
      <c r="N620" s="22" t="str">
        <f t="shared" si="428"/>
        <v/>
      </c>
      <c r="O620" s="22" t="str">
        <f t="shared" si="429"/>
        <v/>
      </c>
      <c r="P620" s="21" t="str">
        <f t="shared" si="430"/>
        <v>Apprenant 608 ou 608'</v>
      </c>
      <c r="Q620" s="22" t="str">
        <f t="shared" si="431"/>
        <v/>
      </c>
      <c r="R620" s="22" t="str">
        <f t="shared" si="432"/>
        <v/>
      </c>
      <c r="S620" s="22" t="str">
        <f t="shared" si="433"/>
        <v/>
      </c>
      <c r="T620" s="22" t="str">
        <f t="shared" si="434"/>
        <v/>
      </c>
      <c r="V620" s="21" t="str">
        <f t="shared" si="435"/>
        <v>Apprenant 608</v>
      </c>
      <c r="W620" s="22" t="str">
        <f>IF(AND(OR('Choix pédagogiques'!$C$3=1,'Choix pédagogiques'!$C$3=2),$BM620=1),B620,IF(AND('Choix pédagogiques'!$C$3=3,$BO620=1),B620,""))</f>
        <v/>
      </c>
      <c r="X620" s="22" t="str">
        <f>IF(AND(OR('Choix pédagogiques'!$C$3=1,'Choix pédagogiques'!$C$3=2),$BM620=1),C620,IF(AND('Choix pédagogiques'!$C$3=3,$BO620=1),C620,""))</f>
        <v/>
      </c>
      <c r="Y620" s="22" t="str">
        <f>IF(AND(OR('Choix pédagogiques'!$C$3=1,'Choix pédagogiques'!$C$3=2),$BM620=1),D620,IF(AND('Choix pédagogiques'!$C$3=3,$BO620=1),D620,""))</f>
        <v/>
      </c>
      <c r="Z620" s="22" t="str">
        <f t="shared" si="436"/>
        <v/>
      </c>
      <c r="AA620" s="21" t="str">
        <f t="shared" si="437"/>
        <v>Apprenant 608 ou 608'</v>
      </c>
      <c r="AB620" s="22" t="str">
        <f>IF(AND(OR('Choix pédagogiques'!$C$3=1,'Choix pédagogiques'!$C$3=2),$BN620=1),G620,IF(AND('Choix pédagogiques'!$C$3=3,$BO620=1),G620,""))</f>
        <v/>
      </c>
      <c r="AC620" s="22" t="str">
        <f>IF(AND(OR('Choix pédagogiques'!$C$3=1,'Choix pédagogiques'!$C$3=2),$BN620=1),H620,IF(AND('Choix pédagogiques'!$C$3=3,$BO620=1),H620,""))</f>
        <v/>
      </c>
      <c r="AD620" s="22" t="str">
        <f>IF(AND(OR('Choix pédagogiques'!$C$3=1,'Choix pédagogiques'!$C$3=2),$BN620=1),I620,IF(AND('Choix pédagogiques'!$C$3=3,$BO620=1),I620,""))</f>
        <v/>
      </c>
      <c r="AE620" s="22" t="str">
        <f t="shared" si="438"/>
        <v/>
      </c>
      <c r="AF620" s="21" t="str">
        <f t="shared" si="439"/>
        <v>Apprenant 608</v>
      </c>
      <c r="AG620" s="22" t="str">
        <f t="shared" si="413"/>
        <v/>
      </c>
      <c r="AH620" s="22" t="str">
        <f t="shared" si="414"/>
        <v/>
      </c>
      <c r="AI620" s="22" t="str">
        <f t="shared" si="415"/>
        <v/>
      </c>
      <c r="AJ620" s="22" t="str">
        <f t="shared" si="440"/>
        <v/>
      </c>
      <c r="AK620" s="21" t="str">
        <f t="shared" si="441"/>
        <v>Apprenant 608 ou 608'</v>
      </c>
      <c r="AL620" s="22" t="str">
        <f t="shared" si="416"/>
        <v/>
      </c>
      <c r="AM620" s="22" t="str">
        <f t="shared" si="417"/>
        <v/>
      </c>
      <c r="AN620" s="22" t="str">
        <f t="shared" si="418"/>
        <v/>
      </c>
      <c r="AO620" s="22" t="str">
        <f t="shared" si="442"/>
        <v/>
      </c>
      <c r="AQ620" s="21" t="str">
        <f t="shared" si="443"/>
        <v>Apprenant 608</v>
      </c>
      <c r="AR620" s="49" t="str">
        <f>IF(AND('Choix pédagogiques'!$C$4&lt;&gt;"?",'Choix pédagogiques'!$C$5&lt;&gt;"?",W620&lt;&gt;""),(W620-'Choix pédagogiques'!$C$4)/('Choix pédagogiques'!$C$5-'Choix pédagogiques'!$C$4),"")</f>
        <v/>
      </c>
      <c r="AS620" s="49" t="str">
        <f>IF(AND('Choix pédagogiques'!$C$4&lt;&gt;"?",'Choix pédagogiques'!$C$5&lt;&gt;"?",X620&lt;&gt;""),(X620-'Choix pédagogiques'!$C$4)/('Choix pédagogiques'!$C$5-'Choix pédagogiques'!$C$4),"")</f>
        <v/>
      </c>
      <c r="AT620" s="49" t="str">
        <f>IF(AND('Choix pédagogiques'!$C$4&lt;&gt;"?",'Choix pédagogiques'!$C$5&lt;&gt;"?",Y620&lt;&gt;""),(Y620-'Choix pédagogiques'!$C$4)/('Choix pédagogiques'!$C$5-'Choix pédagogiques'!$C$4),"")</f>
        <v/>
      </c>
      <c r="AU620" s="22" t="str">
        <f t="shared" si="444"/>
        <v/>
      </c>
      <c r="AV620" s="21" t="str">
        <f t="shared" si="445"/>
        <v>Apprenant 608 ou 608'</v>
      </c>
      <c r="AW620" s="49" t="str">
        <f>IF(AND('Choix pédagogiques'!$C$4&lt;&gt;"?",'Choix pédagogiques'!$C$5&lt;&gt;"?",AB620&lt;&gt;""),(AB620-'Choix pédagogiques'!$C$4)/('Choix pédagogiques'!$C$5-'Choix pédagogiques'!$C$4),"")</f>
        <v/>
      </c>
      <c r="AX620" s="49" t="str">
        <f>IF(AND('Choix pédagogiques'!$C$4&lt;&gt;"?",'Choix pédagogiques'!$C$5&lt;&gt;"?",AC620&lt;&gt;""),(AC620-'Choix pédagogiques'!$C$4)/('Choix pédagogiques'!$C$5-'Choix pédagogiques'!$C$4),"")</f>
        <v/>
      </c>
      <c r="AY620" s="49" t="str">
        <f>IF(AND('Choix pédagogiques'!$C$4&lt;&gt;"?",'Choix pédagogiques'!$C$5&lt;&gt;"?",AD620&lt;&gt;""),(AD620-'Choix pédagogiques'!$C$4)/('Choix pédagogiques'!$C$5-'Choix pédagogiques'!$C$4),"")</f>
        <v/>
      </c>
      <c r="AZ620" s="22" t="str">
        <f t="shared" si="446"/>
        <v/>
      </c>
      <c r="BA620" s="21" t="str">
        <f t="shared" si="447"/>
        <v>Apprenant 608</v>
      </c>
      <c r="BB620" s="49" t="str">
        <f t="shared" si="419"/>
        <v/>
      </c>
      <c r="BC620" s="49" t="str">
        <f t="shared" si="420"/>
        <v/>
      </c>
      <c r="BD620" s="49" t="str">
        <f t="shared" si="421"/>
        <v/>
      </c>
      <c r="BE620" s="22" t="str">
        <f t="shared" si="448"/>
        <v/>
      </c>
      <c r="BF620" s="21" t="str">
        <f t="shared" si="449"/>
        <v>Apprenant 608 ou 608'</v>
      </c>
      <c r="BG620" s="49" t="str">
        <f t="shared" si="422"/>
        <v/>
      </c>
      <c r="BH620" s="49" t="str">
        <f t="shared" si="423"/>
        <v/>
      </c>
      <c r="BI620" s="49" t="str">
        <f t="shared" si="424"/>
        <v/>
      </c>
      <c r="BJ620" s="22" t="str">
        <f t="shared" si="450"/>
        <v/>
      </c>
      <c r="BL620" s="21"/>
      <c r="BM620" s="21" t="str">
        <f>IF(OR(COUNT(B620:D1619)=0,AND('Choix pédagogiques'!$C$3&lt;&gt;1,'Choix pédagogiques'!$C$3&lt;&gt;2)),"",IF(AND(OR('Choix pédagogiques'!$C$3=1,'Choix pédagogiques'!$C$3=2),$B620&lt;&gt;"",$C620&lt;&gt;"",$D620&lt;&gt;""),1,0))</f>
        <v/>
      </c>
      <c r="BN620" s="21" t="str">
        <f>IF(OR(COUNT(G620:I1619)=0,AND('Choix pédagogiques'!$C$3&lt;&gt;1,'Choix pédagogiques'!$C$3&lt;&gt;2)),"",IF(AND(OR('Choix pédagogiques'!$C$3=1,'Choix pédagogiques'!$C$3=2),AND($G620&lt;&gt;"",$H620&lt;&gt;"",$I620&lt;&gt;"")),1,0))</f>
        <v/>
      </c>
      <c r="BO620" s="21" t="str">
        <f>IF(OR(COUNT(B620:D1619)=0,COUNT(G620:I1619)=0,'Choix pédagogiques'!C$3&lt;&gt;3),"",IF(AND('Choix pédagogiques'!$C$3=3,$B620&lt;&gt;"",$C620&lt;&gt;"",$D620&lt;&gt;"",$G620&lt;&gt;"",$H620&lt;&gt;"",$I620&lt;&gt;""),1,0))</f>
        <v/>
      </c>
      <c r="BR620" s="21">
        <v>791</v>
      </c>
      <c r="BS620" s="21">
        <v>1075</v>
      </c>
      <c r="BT620"/>
    </row>
    <row r="621" spans="1:72" s="23" customFormat="1" ht="18" customHeight="1" x14ac:dyDescent="0.3">
      <c r="A621" s="35" t="s">
        <v>611</v>
      </c>
      <c r="B621" s="37"/>
      <c r="C621" s="37"/>
      <c r="D621" s="37"/>
      <c r="E621" s="37"/>
      <c r="F621" s="35" t="s">
        <v>1619</v>
      </c>
      <c r="G621" s="37"/>
      <c r="H621" s="37"/>
      <c r="I621" s="37"/>
      <c r="J621" s="37"/>
      <c r="K621" s="21" t="str">
        <f t="shared" si="425"/>
        <v>Apprenant 609</v>
      </c>
      <c r="L621" s="22" t="str">
        <f t="shared" si="426"/>
        <v/>
      </c>
      <c r="M621" s="22" t="str">
        <f t="shared" si="427"/>
        <v/>
      </c>
      <c r="N621" s="22" t="str">
        <f t="shared" si="428"/>
        <v/>
      </c>
      <c r="O621" s="22" t="str">
        <f t="shared" si="429"/>
        <v/>
      </c>
      <c r="P621" s="21" t="str">
        <f t="shared" si="430"/>
        <v>Apprenant 609 ou 609'</v>
      </c>
      <c r="Q621" s="22" t="str">
        <f t="shared" si="431"/>
        <v/>
      </c>
      <c r="R621" s="22" t="str">
        <f t="shared" si="432"/>
        <v/>
      </c>
      <c r="S621" s="22" t="str">
        <f t="shared" si="433"/>
        <v/>
      </c>
      <c r="T621" s="22" t="str">
        <f t="shared" si="434"/>
        <v/>
      </c>
      <c r="V621" s="21" t="str">
        <f t="shared" si="435"/>
        <v>Apprenant 609</v>
      </c>
      <c r="W621" s="22" t="str">
        <f>IF(AND(OR('Choix pédagogiques'!$C$3=1,'Choix pédagogiques'!$C$3=2),$BM621=1),B621,IF(AND('Choix pédagogiques'!$C$3=3,$BO621=1),B621,""))</f>
        <v/>
      </c>
      <c r="X621" s="22" t="str">
        <f>IF(AND(OR('Choix pédagogiques'!$C$3=1,'Choix pédagogiques'!$C$3=2),$BM621=1),C621,IF(AND('Choix pédagogiques'!$C$3=3,$BO621=1),C621,""))</f>
        <v/>
      </c>
      <c r="Y621" s="22" t="str">
        <f>IF(AND(OR('Choix pédagogiques'!$C$3=1,'Choix pédagogiques'!$C$3=2),$BM621=1),D621,IF(AND('Choix pédagogiques'!$C$3=3,$BO621=1),D621,""))</f>
        <v/>
      </c>
      <c r="Z621" s="22" t="str">
        <f t="shared" si="436"/>
        <v/>
      </c>
      <c r="AA621" s="21" t="str">
        <f t="shared" si="437"/>
        <v>Apprenant 609 ou 609'</v>
      </c>
      <c r="AB621" s="22" t="str">
        <f>IF(AND(OR('Choix pédagogiques'!$C$3=1,'Choix pédagogiques'!$C$3=2),$BN621=1),G621,IF(AND('Choix pédagogiques'!$C$3=3,$BO621=1),G621,""))</f>
        <v/>
      </c>
      <c r="AC621" s="22" t="str">
        <f>IF(AND(OR('Choix pédagogiques'!$C$3=1,'Choix pédagogiques'!$C$3=2),$BN621=1),H621,IF(AND('Choix pédagogiques'!$C$3=3,$BO621=1),H621,""))</f>
        <v/>
      </c>
      <c r="AD621" s="22" t="str">
        <f>IF(AND(OR('Choix pédagogiques'!$C$3=1,'Choix pédagogiques'!$C$3=2),$BN621=1),I621,IF(AND('Choix pédagogiques'!$C$3=3,$BO621=1),I621,""))</f>
        <v/>
      </c>
      <c r="AE621" s="22" t="str">
        <f t="shared" si="438"/>
        <v/>
      </c>
      <c r="AF621" s="21" t="str">
        <f t="shared" si="439"/>
        <v>Apprenant 609</v>
      </c>
      <c r="AG621" s="22" t="str">
        <f t="shared" si="413"/>
        <v/>
      </c>
      <c r="AH621" s="22" t="str">
        <f t="shared" si="414"/>
        <v/>
      </c>
      <c r="AI621" s="22" t="str">
        <f t="shared" si="415"/>
        <v/>
      </c>
      <c r="AJ621" s="22" t="str">
        <f t="shared" si="440"/>
        <v/>
      </c>
      <c r="AK621" s="21" t="str">
        <f t="shared" si="441"/>
        <v>Apprenant 609 ou 609'</v>
      </c>
      <c r="AL621" s="22" t="str">
        <f t="shared" si="416"/>
        <v/>
      </c>
      <c r="AM621" s="22" t="str">
        <f t="shared" si="417"/>
        <v/>
      </c>
      <c r="AN621" s="22" t="str">
        <f t="shared" si="418"/>
        <v/>
      </c>
      <c r="AO621" s="22" t="str">
        <f t="shared" si="442"/>
        <v/>
      </c>
      <c r="AQ621" s="21" t="str">
        <f t="shared" si="443"/>
        <v>Apprenant 609</v>
      </c>
      <c r="AR621" s="49" t="str">
        <f>IF(AND('Choix pédagogiques'!$C$4&lt;&gt;"?",'Choix pédagogiques'!$C$5&lt;&gt;"?",W621&lt;&gt;""),(W621-'Choix pédagogiques'!$C$4)/('Choix pédagogiques'!$C$5-'Choix pédagogiques'!$C$4),"")</f>
        <v/>
      </c>
      <c r="AS621" s="49" t="str">
        <f>IF(AND('Choix pédagogiques'!$C$4&lt;&gt;"?",'Choix pédagogiques'!$C$5&lt;&gt;"?",X621&lt;&gt;""),(X621-'Choix pédagogiques'!$C$4)/('Choix pédagogiques'!$C$5-'Choix pédagogiques'!$C$4),"")</f>
        <v/>
      </c>
      <c r="AT621" s="49" t="str">
        <f>IF(AND('Choix pédagogiques'!$C$4&lt;&gt;"?",'Choix pédagogiques'!$C$5&lt;&gt;"?",Y621&lt;&gt;""),(Y621-'Choix pédagogiques'!$C$4)/('Choix pédagogiques'!$C$5-'Choix pédagogiques'!$C$4),"")</f>
        <v/>
      </c>
      <c r="AU621" s="22" t="str">
        <f t="shared" si="444"/>
        <v/>
      </c>
      <c r="AV621" s="21" t="str">
        <f t="shared" si="445"/>
        <v>Apprenant 609 ou 609'</v>
      </c>
      <c r="AW621" s="49" t="str">
        <f>IF(AND('Choix pédagogiques'!$C$4&lt;&gt;"?",'Choix pédagogiques'!$C$5&lt;&gt;"?",AB621&lt;&gt;""),(AB621-'Choix pédagogiques'!$C$4)/('Choix pédagogiques'!$C$5-'Choix pédagogiques'!$C$4),"")</f>
        <v/>
      </c>
      <c r="AX621" s="49" t="str">
        <f>IF(AND('Choix pédagogiques'!$C$4&lt;&gt;"?",'Choix pédagogiques'!$C$5&lt;&gt;"?",AC621&lt;&gt;""),(AC621-'Choix pédagogiques'!$C$4)/('Choix pédagogiques'!$C$5-'Choix pédagogiques'!$C$4),"")</f>
        <v/>
      </c>
      <c r="AY621" s="49" t="str">
        <f>IF(AND('Choix pédagogiques'!$C$4&lt;&gt;"?",'Choix pédagogiques'!$C$5&lt;&gt;"?",AD621&lt;&gt;""),(AD621-'Choix pédagogiques'!$C$4)/('Choix pédagogiques'!$C$5-'Choix pédagogiques'!$C$4),"")</f>
        <v/>
      </c>
      <c r="AZ621" s="22" t="str">
        <f t="shared" si="446"/>
        <v/>
      </c>
      <c r="BA621" s="21" t="str">
        <f t="shared" si="447"/>
        <v>Apprenant 609</v>
      </c>
      <c r="BB621" s="49" t="str">
        <f t="shared" si="419"/>
        <v/>
      </c>
      <c r="BC621" s="49" t="str">
        <f t="shared" si="420"/>
        <v/>
      </c>
      <c r="BD621" s="49" t="str">
        <f t="shared" si="421"/>
        <v/>
      </c>
      <c r="BE621" s="22" t="str">
        <f t="shared" si="448"/>
        <v/>
      </c>
      <c r="BF621" s="21" t="str">
        <f t="shared" si="449"/>
        <v>Apprenant 609 ou 609'</v>
      </c>
      <c r="BG621" s="49" t="str">
        <f t="shared" si="422"/>
        <v/>
      </c>
      <c r="BH621" s="49" t="str">
        <f t="shared" si="423"/>
        <v/>
      </c>
      <c r="BI621" s="49" t="str">
        <f t="shared" si="424"/>
        <v/>
      </c>
      <c r="BJ621" s="22" t="str">
        <f t="shared" si="450"/>
        <v/>
      </c>
      <c r="BL621" s="21"/>
      <c r="BM621" s="21" t="str">
        <f>IF(OR(COUNT(B621:D1620)=0,AND('Choix pédagogiques'!$C$3&lt;&gt;1,'Choix pédagogiques'!$C$3&lt;&gt;2)),"",IF(AND(OR('Choix pédagogiques'!$C$3=1,'Choix pédagogiques'!$C$3=2),$B621&lt;&gt;"",$C621&lt;&gt;"",$D621&lt;&gt;""),1,0))</f>
        <v/>
      </c>
      <c r="BN621" s="21" t="str">
        <f>IF(OR(COUNT(G621:I1620)=0,AND('Choix pédagogiques'!$C$3&lt;&gt;1,'Choix pédagogiques'!$C$3&lt;&gt;2)),"",IF(AND(OR('Choix pédagogiques'!$C$3=1,'Choix pédagogiques'!$C$3=2),AND($G621&lt;&gt;"",$H621&lt;&gt;"",$I621&lt;&gt;"")),1,0))</f>
        <v/>
      </c>
      <c r="BO621" s="21" t="str">
        <f>IF(OR(COUNT(B621:D1620)=0,COUNT(G621:I1620)=0,'Choix pédagogiques'!C$3&lt;&gt;3),"",IF(AND('Choix pédagogiques'!$C$3=3,$B621&lt;&gt;"",$C621&lt;&gt;"",$D621&lt;&gt;"",$G621&lt;&gt;"",$H621&lt;&gt;"",$I621&lt;&gt;""),1,0))</f>
        <v/>
      </c>
      <c r="BR621" s="21">
        <v>320</v>
      </c>
      <c r="BS621" s="21">
        <v>1488</v>
      </c>
      <c r="BT621"/>
    </row>
    <row r="622" spans="1:72" s="23" customFormat="1" ht="18" customHeight="1" x14ac:dyDescent="0.3">
      <c r="A622" s="35" t="s">
        <v>612</v>
      </c>
      <c r="B622" s="37"/>
      <c r="C622" s="37"/>
      <c r="D622" s="37"/>
      <c r="E622" s="37"/>
      <c r="F622" s="35" t="s">
        <v>1620</v>
      </c>
      <c r="G622" s="37"/>
      <c r="H622" s="37"/>
      <c r="I622" s="37"/>
      <c r="J622" s="37"/>
      <c r="K622" s="21" t="str">
        <f t="shared" si="425"/>
        <v>Apprenant 610</v>
      </c>
      <c r="L622" s="22" t="str">
        <f t="shared" si="426"/>
        <v/>
      </c>
      <c r="M622" s="22" t="str">
        <f t="shared" si="427"/>
        <v/>
      </c>
      <c r="N622" s="22" t="str">
        <f t="shared" si="428"/>
        <v/>
      </c>
      <c r="O622" s="22" t="str">
        <f t="shared" si="429"/>
        <v/>
      </c>
      <c r="P622" s="21" t="str">
        <f t="shared" si="430"/>
        <v>Apprenant 610 ou 610'</v>
      </c>
      <c r="Q622" s="22" t="str">
        <f t="shared" si="431"/>
        <v/>
      </c>
      <c r="R622" s="22" t="str">
        <f t="shared" si="432"/>
        <v/>
      </c>
      <c r="S622" s="22" t="str">
        <f t="shared" si="433"/>
        <v/>
      </c>
      <c r="T622" s="22" t="str">
        <f t="shared" si="434"/>
        <v/>
      </c>
      <c r="V622" s="21" t="str">
        <f t="shared" si="435"/>
        <v>Apprenant 610</v>
      </c>
      <c r="W622" s="22" t="str">
        <f>IF(AND(OR('Choix pédagogiques'!$C$3=1,'Choix pédagogiques'!$C$3=2),$BM622=1),B622,IF(AND('Choix pédagogiques'!$C$3=3,$BO622=1),B622,""))</f>
        <v/>
      </c>
      <c r="X622" s="22" t="str">
        <f>IF(AND(OR('Choix pédagogiques'!$C$3=1,'Choix pédagogiques'!$C$3=2),$BM622=1),C622,IF(AND('Choix pédagogiques'!$C$3=3,$BO622=1),C622,""))</f>
        <v/>
      </c>
      <c r="Y622" s="22" t="str">
        <f>IF(AND(OR('Choix pédagogiques'!$C$3=1,'Choix pédagogiques'!$C$3=2),$BM622=1),D622,IF(AND('Choix pédagogiques'!$C$3=3,$BO622=1),D622,""))</f>
        <v/>
      </c>
      <c r="Z622" s="22" t="str">
        <f t="shared" si="436"/>
        <v/>
      </c>
      <c r="AA622" s="21" t="str">
        <f t="shared" si="437"/>
        <v>Apprenant 610 ou 610'</v>
      </c>
      <c r="AB622" s="22" t="str">
        <f>IF(AND(OR('Choix pédagogiques'!$C$3=1,'Choix pédagogiques'!$C$3=2),$BN622=1),G622,IF(AND('Choix pédagogiques'!$C$3=3,$BO622=1),G622,""))</f>
        <v/>
      </c>
      <c r="AC622" s="22" t="str">
        <f>IF(AND(OR('Choix pédagogiques'!$C$3=1,'Choix pédagogiques'!$C$3=2),$BN622=1),H622,IF(AND('Choix pédagogiques'!$C$3=3,$BO622=1),H622,""))</f>
        <v/>
      </c>
      <c r="AD622" s="22" t="str">
        <f>IF(AND(OR('Choix pédagogiques'!$C$3=1,'Choix pédagogiques'!$C$3=2),$BN622=1),I622,IF(AND('Choix pédagogiques'!$C$3=3,$BO622=1),I622,""))</f>
        <v/>
      </c>
      <c r="AE622" s="22" t="str">
        <f t="shared" si="438"/>
        <v/>
      </c>
      <c r="AF622" s="21" t="str">
        <f t="shared" si="439"/>
        <v>Apprenant 610</v>
      </c>
      <c r="AG622" s="22" t="str">
        <f t="shared" si="413"/>
        <v/>
      </c>
      <c r="AH622" s="22" t="str">
        <f t="shared" si="414"/>
        <v/>
      </c>
      <c r="AI622" s="22" t="str">
        <f t="shared" si="415"/>
        <v/>
      </c>
      <c r="AJ622" s="22" t="str">
        <f t="shared" si="440"/>
        <v/>
      </c>
      <c r="AK622" s="21" t="str">
        <f t="shared" si="441"/>
        <v>Apprenant 610 ou 610'</v>
      </c>
      <c r="AL622" s="22" t="str">
        <f t="shared" si="416"/>
        <v/>
      </c>
      <c r="AM622" s="22" t="str">
        <f t="shared" si="417"/>
        <v/>
      </c>
      <c r="AN622" s="22" t="str">
        <f t="shared" si="418"/>
        <v/>
      </c>
      <c r="AO622" s="22" t="str">
        <f t="shared" si="442"/>
        <v/>
      </c>
      <c r="AQ622" s="21" t="str">
        <f t="shared" si="443"/>
        <v>Apprenant 610</v>
      </c>
      <c r="AR622" s="49" t="str">
        <f>IF(AND('Choix pédagogiques'!$C$4&lt;&gt;"?",'Choix pédagogiques'!$C$5&lt;&gt;"?",W622&lt;&gt;""),(W622-'Choix pédagogiques'!$C$4)/('Choix pédagogiques'!$C$5-'Choix pédagogiques'!$C$4),"")</f>
        <v/>
      </c>
      <c r="AS622" s="49" t="str">
        <f>IF(AND('Choix pédagogiques'!$C$4&lt;&gt;"?",'Choix pédagogiques'!$C$5&lt;&gt;"?",X622&lt;&gt;""),(X622-'Choix pédagogiques'!$C$4)/('Choix pédagogiques'!$C$5-'Choix pédagogiques'!$C$4),"")</f>
        <v/>
      </c>
      <c r="AT622" s="49" t="str">
        <f>IF(AND('Choix pédagogiques'!$C$4&lt;&gt;"?",'Choix pédagogiques'!$C$5&lt;&gt;"?",Y622&lt;&gt;""),(Y622-'Choix pédagogiques'!$C$4)/('Choix pédagogiques'!$C$5-'Choix pédagogiques'!$C$4),"")</f>
        <v/>
      </c>
      <c r="AU622" s="22" t="str">
        <f t="shared" si="444"/>
        <v/>
      </c>
      <c r="AV622" s="21" t="str">
        <f t="shared" si="445"/>
        <v>Apprenant 610 ou 610'</v>
      </c>
      <c r="AW622" s="49" t="str">
        <f>IF(AND('Choix pédagogiques'!$C$4&lt;&gt;"?",'Choix pédagogiques'!$C$5&lt;&gt;"?",AB622&lt;&gt;""),(AB622-'Choix pédagogiques'!$C$4)/('Choix pédagogiques'!$C$5-'Choix pédagogiques'!$C$4),"")</f>
        <v/>
      </c>
      <c r="AX622" s="49" t="str">
        <f>IF(AND('Choix pédagogiques'!$C$4&lt;&gt;"?",'Choix pédagogiques'!$C$5&lt;&gt;"?",AC622&lt;&gt;""),(AC622-'Choix pédagogiques'!$C$4)/('Choix pédagogiques'!$C$5-'Choix pédagogiques'!$C$4),"")</f>
        <v/>
      </c>
      <c r="AY622" s="49" t="str">
        <f>IF(AND('Choix pédagogiques'!$C$4&lt;&gt;"?",'Choix pédagogiques'!$C$5&lt;&gt;"?",AD622&lt;&gt;""),(AD622-'Choix pédagogiques'!$C$4)/('Choix pédagogiques'!$C$5-'Choix pédagogiques'!$C$4),"")</f>
        <v/>
      </c>
      <c r="AZ622" s="22" t="str">
        <f t="shared" si="446"/>
        <v/>
      </c>
      <c r="BA622" s="21" t="str">
        <f t="shared" si="447"/>
        <v>Apprenant 610</v>
      </c>
      <c r="BB622" s="49" t="str">
        <f t="shared" si="419"/>
        <v/>
      </c>
      <c r="BC622" s="49" t="str">
        <f t="shared" si="420"/>
        <v/>
      </c>
      <c r="BD622" s="49" t="str">
        <f t="shared" si="421"/>
        <v/>
      </c>
      <c r="BE622" s="22" t="str">
        <f t="shared" si="448"/>
        <v/>
      </c>
      <c r="BF622" s="21" t="str">
        <f t="shared" si="449"/>
        <v>Apprenant 610 ou 610'</v>
      </c>
      <c r="BG622" s="49" t="str">
        <f t="shared" si="422"/>
        <v/>
      </c>
      <c r="BH622" s="49" t="str">
        <f t="shared" si="423"/>
        <v/>
      </c>
      <c r="BI622" s="49" t="str">
        <f t="shared" si="424"/>
        <v/>
      </c>
      <c r="BJ622" s="22" t="str">
        <f t="shared" si="450"/>
        <v/>
      </c>
      <c r="BL622" s="21"/>
      <c r="BM622" s="21" t="str">
        <f>IF(OR(COUNT(B622:D1621)=0,AND('Choix pédagogiques'!$C$3&lt;&gt;1,'Choix pédagogiques'!$C$3&lt;&gt;2)),"",IF(AND(OR('Choix pédagogiques'!$C$3=1,'Choix pédagogiques'!$C$3=2),$B622&lt;&gt;"",$C622&lt;&gt;"",$D622&lt;&gt;""),1,0))</f>
        <v/>
      </c>
      <c r="BN622" s="21" t="str">
        <f>IF(OR(COUNT(G622:I1621)=0,AND('Choix pédagogiques'!$C$3&lt;&gt;1,'Choix pédagogiques'!$C$3&lt;&gt;2)),"",IF(AND(OR('Choix pédagogiques'!$C$3=1,'Choix pédagogiques'!$C$3=2),AND($G622&lt;&gt;"",$H622&lt;&gt;"",$I622&lt;&gt;"")),1,0))</f>
        <v/>
      </c>
      <c r="BO622" s="21" t="str">
        <f>IF(OR(COUNT(B622:D1621)=0,COUNT(G622:I1621)=0,'Choix pédagogiques'!C$3&lt;&gt;3),"",IF(AND('Choix pédagogiques'!$C$3=3,$B622&lt;&gt;"",$C622&lt;&gt;"",$D622&lt;&gt;"",$G622&lt;&gt;"",$H622&lt;&gt;"",$I622&lt;&gt;""),1,0))</f>
        <v/>
      </c>
      <c r="BR622" s="21">
        <v>299</v>
      </c>
      <c r="BS622" s="21">
        <v>1929</v>
      </c>
      <c r="BT622"/>
    </row>
    <row r="623" spans="1:72" s="23" customFormat="1" ht="18" customHeight="1" x14ac:dyDescent="0.3">
      <c r="A623" s="35" t="s">
        <v>613</v>
      </c>
      <c r="B623" s="37"/>
      <c r="C623" s="37"/>
      <c r="D623" s="37"/>
      <c r="E623" s="37"/>
      <c r="F623" s="35" t="s">
        <v>1621</v>
      </c>
      <c r="G623" s="37"/>
      <c r="H623" s="37"/>
      <c r="I623" s="37"/>
      <c r="J623" s="37"/>
      <c r="K623" s="21" t="str">
        <f t="shared" si="425"/>
        <v>Apprenant 611</v>
      </c>
      <c r="L623" s="22" t="str">
        <f t="shared" si="426"/>
        <v/>
      </c>
      <c r="M623" s="22" t="str">
        <f t="shared" si="427"/>
        <v/>
      </c>
      <c r="N623" s="22" t="str">
        <f t="shared" si="428"/>
        <v/>
      </c>
      <c r="O623" s="22" t="str">
        <f t="shared" si="429"/>
        <v/>
      </c>
      <c r="P623" s="21" t="str">
        <f t="shared" si="430"/>
        <v>Apprenant 611 ou 611'</v>
      </c>
      <c r="Q623" s="22" t="str">
        <f t="shared" si="431"/>
        <v/>
      </c>
      <c r="R623" s="22" t="str">
        <f t="shared" si="432"/>
        <v/>
      </c>
      <c r="S623" s="22" t="str">
        <f t="shared" si="433"/>
        <v/>
      </c>
      <c r="T623" s="22" t="str">
        <f t="shared" si="434"/>
        <v/>
      </c>
      <c r="V623" s="21" t="str">
        <f t="shared" si="435"/>
        <v>Apprenant 611</v>
      </c>
      <c r="W623" s="22" t="str">
        <f>IF(AND(OR('Choix pédagogiques'!$C$3=1,'Choix pédagogiques'!$C$3=2),$BM623=1),B623,IF(AND('Choix pédagogiques'!$C$3=3,$BO623=1),B623,""))</f>
        <v/>
      </c>
      <c r="X623" s="22" t="str">
        <f>IF(AND(OR('Choix pédagogiques'!$C$3=1,'Choix pédagogiques'!$C$3=2),$BM623=1),C623,IF(AND('Choix pédagogiques'!$C$3=3,$BO623=1),C623,""))</f>
        <v/>
      </c>
      <c r="Y623" s="22" t="str">
        <f>IF(AND(OR('Choix pédagogiques'!$C$3=1,'Choix pédagogiques'!$C$3=2),$BM623=1),D623,IF(AND('Choix pédagogiques'!$C$3=3,$BO623=1),D623,""))</f>
        <v/>
      </c>
      <c r="Z623" s="22" t="str">
        <f t="shared" si="436"/>
        <v/>
      </c>
      <c r="AA623" s="21" t="str">
        <f t="shared" si="437"/>
        <v>Apprenant 611 ou 611'</v>
      </c>
      <c r="AB623" s="22" t="str">
        <f>IF(AND(OR('Choix pédagogiques'!$C$3=1,'Choix pédagogiques'!$C$3=2),$BN623=1),G623,IF(AND('Choix pédagogiques'!$C$3=3,$BO623=1),G623,""))</f>
        <v/>
      </c>
      <c r="AC623" s="22" t="str">
        <f>IF(AND(OR('Choix pédagogiques'!$C$3=1,'Choix pédagogiques'!$C$3=2),$BN623=1),H623,IF(AND('Choix pédagogiques'!$C$3=3,$BO623=1),H623,""))</f>
        <v/>
      </c>
      <c r="AD623" s="22" t="str">
        <f>IF(AND(OR('Choix pédagogiques'!$C$3=1,'Choix pédagogiques'!$C$3=2),$BN623=1),I623,IF(AND('Choix pédagogiques'!$C$3=3,$BO623=1),I623,""))</f>
        <v/>
      </c>
      <c r="AE623" s="22" t="str">
        <f t="shared" si="438"/>
        <v/>
      </c>
      <c r="AF623" s="21" t="str">
        <f t="shared" si="439"/>
        <v>Apprenant 611</v>
      </c>
      <c r="AG623" s="22" t="str">
        <f t="shared" si="413"/>
        <v/>
      </c>
      <c r="AH623" s="22" t="str">
        <f t="shared" si="414"/>
        <v/>
      </c>
      <c r="AI623" s="22" t="str">
        <f t="shared" si="415"/>
        <v/>
      </c>
      <c r="AJ623" s="22" t="str">
        <f t="shared" si="440"/>
        <v/>
      </c>
      <c r="AK623" s="21" t="str">
        <f t="shared" si="441"/>
        <v>Apprenant 611 ou 611'</v>
      </c>
      <c r="AL623" s="22" t="str">
        <f t="shared" si="416"/>
        <v/>
      </c>
      <c r="AM623" s="22" t="str">
        <f t="shared" si="417"/>
        <v/>
      </c>
      <c r="AN623" s="22" t="str">
        <f t="shared" si="418"/>
        <v/>
      </c>
      <c r="AO623" s="22" t="str">
        <f t="shared" si="442"/>
        <v/>
      </c>
      <c r="AQ623" s="21" t="str">
        <f t="shared" si="443"/>
        <v>Apprenant 611</v>
      </c>
      <c r="AR623" s="49" t="str">
        <f>IF(AND('Choix pédagogiques'!$C$4&lt;&gt;"?",'Choix pédagogiques'!$C$5&lt;&gt;"?",W623&lt;&gt;""),(W623-'Choix pédagogiques'!$C$4)/('Choix pédagogiques'!$C$5-'Choix pédagogiques'!$C$4),"")</f>
        <v/>
      </c>
      <c r="AS623" s="49" t="str">
        <f>IF(AND('Choix pédagogiques'!$C$4&lt;&gt;"?",'Choix pédagogiques'!$C$5&lt;&gt;"?",X623&lt;&gt;""),(X623-'Choix pédagogiques'!$C$4)/('Choix pédagogiques'!$C$5-'Choix pédagogiques'!$C$4),"")</f>
        <v/>
      </c>
      <c r="AT623" s="49" t="str">
        <f>IF(AND('Choix pédagogiques'!$C$4&lt;&gt;"?",'Choix pédagogiques'!$C$5&lt;&gt;"?",Y623&lt;&gt;""),(Y623-'Choix pédagogiques'!$C$4)/('Choix pédagogiques'!$C$5-'Choix pédagogiques'!$C$4),"")</f>
        <v/>
      </c>
      <c r="AU623" s="22" t="str">
        <f t="shared" si="444"/>
        <v/>
      </c>
      <c r="AV623" s="21" t="str">
        <f t="shared" si="445"/>
        <v>Apprenant 611 ou 611'</v>
      </c>
      <c r="AW623" s="49" t="str">
        <f>IF(AND('Choix pédagogiques'!$C$4&lt;&gt;"?",'Choix pédagogiques'!$C$5&lt;&gt;"?",AB623&lt;&gt;""),(AB623-'Choix pédagogiques'!$C$4)/('Choix pédagogiques'!$C$5-'Choix pédagogiques'!$C$4),"")</f>
        <v/>
      </c>
      <c r="AX623" s="49" t="str">
        <f>IF(AND('Choix pédagogiques'!$C$4&lt;&gt;"?",'Choix pédagogiques'!$C$5&lt;&gt;"?",AC623&lt;&gt;""),(AC623-'Choix pédagogiques'!$C$4)/('Choix pédagogiques'!$C$5-'Choix pédagogiques'!$C$4),"")</f>
        <v/>
      </c>
      <c r="AY623" s="49" t="str">
        <f>IF(AND('Choix pédagogiques'!$C$4&lt;&gt;"?",'Choix pédagogiques'!$C$5&lt;&gt;"?",AD623&lt;&gt;""),(AD623-'Choix pédagogiques'!$C$4)/('Choix pédagogiques'!$C$5-'Choix pédagogiques'!$C$4),"")</f>
        <v/>
      </c>
      <c r="AZ623" s="22" t="str">
        <f t="shared" si="446"/>
        <v/>
      </c>
      <c r="BA623" s="21" t="str">
        <f t="shared" si="447"/>
        <v>Apprenant 611</v>
      </c>
      <c r="BB623" s="49" t="str">
        <f t="shared" si="419"/>
        <v/>
      </c>
      <c r="BC623" s="49" t="str">
        <f t="shared" si="420"/>
        <v/>
      </c>
      <c r="BD623" s="49" t="str">
        <f t="shared" si="421"/>
        <v/>
      </c>
      <c r="BE623" s="22" t="str">
        <f t="shared" si="448"/>
        <v/>
      </c>
      <c r="BF623" s="21" t="str">
        <f t="shared" si="449"/>
        <v>Apprenant 611 ou 611'</v>
      </c>
      <c r="BG623" s="49" t="str">
        <f t="shared" si="422"/>
        <v/>
      </c>
      <c r="BH623" s="49" t="str">
        <f t="shared" si="423"/>
        <v/>
      </c>
      <c r="BI623" s="49" t="str">
        <f t="shared" si="424"/>
        <v/>
      </c>
      <c r="BJ623" s="22" t="str">
        <f t="shared" si="450"/>
        <v/>
      </c>
      <c r="BL623" s="21"/>
      <c r="BM623" s="21" t="str">
        <f>IF(OR(COUNT(B623:D1622)=0,AND('Choix pédagogiques'!$C$3&lt;&gt;1,'Choix pédagogiques'!$C$3&lt;&gt;2)),"",IF(AND(OR('Choix pédagogiques'!$C$3=1,'Choix pédagogiques'!$C$3=2),$B623&lt;&gt;"",$C623&lt;&gt;"",$D623&lt;&gt;""),1,0))</f>
        <v/>
      </c>
      <c r="BN623" s="21" t="str">
        <f>IF(OR(COUNT(G623:I1622)=0,AND('Choix pédagogiques'!$C$3&lt;&gt;1,'Choix pédagogiques'!$C$3&lt;&gt;2)),"",IF(AND(OR('Choix pédagogiques'!$C$3=1,'Choix pédagogiques'!$C$3=2),AND($G623&lt;&gt;"",$H623&lt;&gt;"",$I623&lt;&gt;"")),1,0))</f>
        <v/>
      </c>
      <c r="BO623" s="21" t="str">
        <f>IF(OR(COUNT(B623:D1622)=0,COUNT(G623:I1622)=0,'Choix pédagogiques'!C$3&lt;&gt;3),"",IF(AND('Choix pédagogiques'!$C$3=3,$B623&lt;&gt;"",$C623&lt;&gt;"",$D623&lt;&gt;"",$G623&lt;&gt;"",$H623&lt;&gt;"",$I623&lt;&gt;""),1,0))</f>
        <v/>
      </c>
      <c r="BR623" s="21">
        <v>67</v>
      </c>
      <c r="BS623" s="21">
        <v>1695</v>
      </c>
      <c r="BT623"/>
    </row>
    <row r="624" spans="1:72" s="23" customFormat="1" ht="18" customHeight="1" x14ac:dyDescent="0.3">
      <c r="A624" s="35" t="s">
        <v>614</v>
      </c>
      <c r="B624" s="37"/>
      <c r="C624" s="37"/>
      <c r="D624" s="37"/>
      <c r="E624" s="37"/>
      <c r="F624" s="35" t="s">
        <v>1622</v>
      </c>
      <c r="G624" s="37"/>
      <c r="H624" s="37"/>
      <c r="I624" s="37"/>
      <c r="J624" s="37"/>
      <c r="K624" s="21" t="str">
        <f t="shared" si="425"/>
        <v>Apprenant 612</v>
      </c>
      <c r="L624" s="22" t="str">
        <f t="shared" si="426"/>
        <v/>
      </c>
      <c r="M624" s="22" t="str">
        <f t="shared" si="427"/>
        <v/>
      </c>
      <c r="N624" s="22" t="str">
        <f t="shared" si="428"/>
        <v/>
      </c>
      <c r="O624" s="22" t="str">
        <f t="shared" si="429"/>
        <v/>
      </c>
      <c r="P624" s="21" t="str">
        <f t="shared" si="430"/>
        <v>Apprenant 612 ou 612'</v>
      </c>
      <c r="Q624" s="22" t="str">
        <f t="shared" si="431"/>
        <v/>
      </c>
      <c r="R624" s="22" t="str">
        <f t="shared" si="432"/>
        <v/>
      </c>
      <c r="S624" s="22" t="str">
        <f t="shared" si="433"/>
        <v/>
      </c>
      <c r="T624" s="22" t="str">
        <f t="shared" si="434"/>
        <v/>
      </c>
      <c r="V624" s="21" t="str">
        <f t="shared" si="435"/>
        <v>Apprenant 612</v>
      </c>
      <c r="W624" s="22" t="str">
        <f>IF(AND(OR('Choix pédagogiques'!$C$3=1,'Choix pédagogiques'!$C$3=2),$BM624=1),B624,IF(AND('Choix pédagogiques'!$C$3=3,$BO624=1),B624,""))</f>
        <v/>
      </c>
      <c r="X624" s="22" t="str">
        <f>IF(AND(OR('Choix pédagogiques'!$C$3=1,'Choix pédagogiques'!$C$3=2),$BM624=1),C624,IF(AND('Choix pédagogiques'!$C$3=3,$BO624=1),C624,""))</f>
        <v/>
      </c>
      <c r="Y624" s="22" t="str">
        <f>IF(AND(OR('Choix pédagogiques'!$C$3=1,'Choix pédagogiques'!$C$3=2),$BM624=1),D624,IF(AND('Choix pédagogiques'!$C$3=3,$BO624=1),D624,""))</f>
        <v/>
      </c>
      <c r="Z624" s="22" t="str">
        <f t="shared" si="436"/>
        <v/>
      </c>
      <c r="AA624" s="21" t="str">
        <f t="shared" si="437"/>
        <v>Apprenant 612 ou 612'</v>
      </c>
      <c r="AB624" s="22" t="str">
        <f>IF(AND(OR('Choix pédagogiques'!$C$3=1,'Choix pédagogiques'!$C$3=2),$BN624=1),G624,IF(AND('Choix pédagogiques'!$C$3=3,$BO624=1),G624,""))</f>
        <v/>
      </c>
      <c r="AC624" s="22" t="str">
        <f>IF(AND(OR('Choix pédagogiques'!$C$3=1,'Choix pédagogiques'!$C$3=2),$BN624=1),H624,IF(AND('Choix pédagogiques'!$C$3=3,$BO624=1),H624,""))</f>
        <v/>
      </c>
      <c r="AD624" s="22" t="str">
        <f>IF(AND(OR('Choix pédagogiques'!$C$3=1,'Choix pédagogiques'!$C$3=2),$BN624=1),I624,IF(AND('Choix pédagogiques'!$C$3=3,$BO624=1),I624,""))</f>
        <v/>
      </c>
      <c r="AE624" s="22" t="str">
        <f t="shared" si="438"/>
        <v/>
      </c>
      <c r="AF624" s="21" t="str">
        <f t="shared" si="439"/>
        <v>Apprenant 612</v>
      </c>
      <c r="AG624" s="22" t="str">
        <f t="shared" si="413"/>
        <v/>
      </c>
      <c r="AH624" s="22" t="str">
        <f t="shared" si="414"/>
        <v/>
      </c>
      <c r="AI624" s="22" t="str">
        <f t="shared" si="415"/>
        <v/>
      </c>
      <c r="AJ624" s="22" t="str">
        <f t="shared" si="440"/>
        <v/>
      </c>
      <c r="AK624" s="21" t="str">
        <f t="shared" si="441"/>
        <v>Apprenant 612 ou 612'</v>
      </c>
      <c r="AL624" s="22" t="str">
        <f t="shared" si="416"/>
        <v/>
      </c>
      <c r="AM624" s="22" t="str">
        <f t="shared" si="417"/>
        <v/>
      </c>
      <c r="AN624" s="22" t="str">
        <f t="shared" si="418"/>
        <v/>
      </c>
      <c r="AO624" s="22" t="str">
        <f t="shared" si="442"/>
        <v/>
      </c>
      <c r="AQ624" s="21" t="str">
        <f t="shared" si="443"/>
        <v>Apprenant 612</v>
      </c>
      <c r="AR624" s="49" t="str">
        <f>IF(AND('Choix pédagogiques'!$C$4&lt;&gt;"?",'Choix pédagogiques'!$C$5&lt;&gt;"?",W624&lt;&gt;""),(W624-'Choix pédagogiques'!$C$4)/('Choix pédagogiques'!$C$5-'Choix pédagogiques'!$C$4),"")</f>
        <v/>
      </c>
      <c r="AS624" s="49" t="str">
        <f>IF(AND('Choix pédagogiques'!$C$4&lt;&gt;"?",'Choix pédagogiques'!$C$5&lt;&gt;"?",X624&lt;&gt;""),(X624-'Choix pédagogiques'!$C$4)/('Choix pédagogiques'!$C$5-'Choix pédagogiques'!$C$4),"")</f>
        <v/>
      </c>
      <c r="AT624" s="49" t="str">
        <f>IF(AND('Choix pédagogiques'!$C$4&lt;&gt;"?",'Choix pédagogiques'!$C$5&lt;&gt;"?",Y624&lt;&gt;""),(Y624-'Choix pédagogiques'!$C$4)/('Choix pédagogiques'!$C$5-'Choix pédagogiques'!$C$4),"")</f>
        <v/>
      </c>
      <c r="AU624" s="22" t="str">
        <f t="shared" si="444"/>
        <v/>
      </c>
      <c r="AV624" s="21" t="str">
        <f t="shared" si="445"/>
        <v>Apprenant 612 ou 612'</v>
      </c>
      <c r="AW624" s="49" t="str">
        <f>IF(AND('Choix pédagogiques'!$C$4&lt;&gt;"?",'Choix pédagogiques'!$C$5&lt;&gt;"?",AB624&lt;&gt;""),(AB624-'Choix pédagogiques'!$C$4)/('Choix pédagogiques'!$C$5-'Choix pédagogiques'!$C$4),"")</f>
        <v/>
      </c>
      <c r="AX624" s="49" t="str">
        <f>IF(AND('Choix pédagogiques'!$C$4&lt;&gt;"?",'Choix pédagogiques'!$C$5&lt;&gt;"?",AC624&lt;&gt;""),(AC624-'Choix pédagogiques'!$C$4)/('Choix pédagogiques'!$C$5-'Choix pédagogiques'!$C$4),"")</f>
        <v/>
      </c>
      <c r="AY624" s="49" t="str">
        <f>IF(AND('Choix pédagogiques'!$C$4&lt;&gt;"?",'Choix pédagogiques'!$C$5&lt;&gt;"?",AD624&lt;&gt;""),(AD624-'Choix pédagogiques'!$C$4)/('Choix pédagogiques'!$C$5-'Choix pédagogiques'!$C$4),"")</f>
        <v/>
      </c>
      <c r="AZ624" s="22" t="str">
        <f t="shared" si="446"/>
        <v/>
      </c>
      <c r="BA624" s="21" t="str">
        <f t="shared" si="447"/>
        <v>Apprenant 612</v>
      </c>
      <c r="BB624" s="49" t="str">
        <f t="shared" si="419"/>
        <v/>
      </c>
      <c r="BC624" s="49" t="str">
        <f t="shared" si="420"/>
        <v/>
      </c>
      <c r="BD624" s="49" t="str">
        <f t="shared" si="421"/>
        <v/>
      </c>
      <c r="BE624" s="22" t="str">
        <f t="shared" si="448"/>
        <v/>
      </c>
      <c r="BF624" s="21" t="str">
        <f t="shared" si="449"/>
        <v>Apprenant 612 ou 612'</v>
      </c>
      <c r="BG624" s="49" t="str">
        <f t="shared" si="422"/>
        <v/>
      </c>
      <c r="BH624" s="49" t="str">
        <f t="shared" si="423"/>
        <v/>
      </c>
      <c r="BI624" s="49" t="str">
        <f t="shared" si="424"/>
        <v/>
      </c>
      <c r="BJ624" s="22" t="str">
        <f t="shared" si="450"/>
        <v/>
      </c>
      <c r="BL624" s="21"/>
      <c r="BM624" s="21" t="str">
        <f>IF(OR(COUNT(B624:D1623)=0,AND('Choix pédagogiques'!$C$3&lt;&gt;1,'Choix pédagogiques'!$C$3&lt;&gt;2)),"",IF(AND(OR('Choix pédagogiques'!$C$3=1,'Choix pédagogiques'!$C$3=2),$B624&lt;&gt;"",$C624&lt;&gt;"",$D624&lt;&gt;""),1,0))</f>
        <v/>
      </c>
      <c r="BN624" s="21" t="str">
        <f>IF(OR(COUNT(G624:I1623)=0,AND('Choix pédagogiques'!$C$3&lt;&gt;1,'Choix pédagogiques'!$C$3&lt;&gt;2)),"",IF(AND(OR('Choix pédagogiques'!$C$3=1,'Choix pédagogiques'!$C$3=2),AND($G624&lt;&gt;"",$H624&lt;&gt;"",$I624&lt;&gt;"")),1,0))</f>
        <v/>
      </c>
      <c r="BO624" s="21" t="str">
        <f>IF(OR(COUNT(B624:D1623)=0,COUNT(G624:I1623)=0,'Choix pédagogiques'!C$3&lt;&gt;3),"",IF(AND('Choix pédagogiques'!$C$3=3,$B624&lt;&gt;"",$C624&lt;&gt;"",$D624&lt;&gt;"",$G624&lt;&gt;"",$H624&lt;&gt;"",$I624&lt;&gt;""),1,0))</f>
        <v/>
      </c>
      <c r="BR624" s="21">
        <v>324</v>
      </c>
      <c r="BS624" s="21">
        <v>1646</v>
      </c>
      <c r="BT624"/>
    </row>
    <row r="625" spans="1:72" s="23" customFormat="1" ht="18" customHeight="1" x14ac:dyDescent="0.3">
      <c r="A625" s="35" t="s">
        <v>615</v>
      </c>
      <c r="B625" s="37"/>
      <c r="C625" s="37"/>
      <c r="D625" s="37"/>
      <c r="E625" s="37"/>
      <c r="F625" s="35" t="s">
        <v>1623</v>
      </c>
      <c r="G625" s="37"/>
      <c r="H625" s="37"/>
      <c r="I625" s="37"/>
      <c r="J625" s="37"/>
      <c r="K625" s="21" t="str">
        <f t="shared" si="425"/>
        <v>Apprenant 613</v>
      </c>
      <c r="L625" s="22" t="str">
        <f t="shared" si="426"/>
        <v/>
      </c>
      <c r="M625" s="22" t="str">
        <f t="shared" si="427"/>
        <v/>
      </c>
      <c r="N625" s="22" t="str">
        <f t="shared" si="428"/>
        <v/>
      </c>
      <c r="O625" s="22" t="str">
        <f t="shared" si="429"/>
        <v/>
      </c>
      <c r="P625" s="21" t="str">
        <f t="shared" si="430"/>
        <v>Apprenant 613 ou 613'</v>
      </c>
      <c r="Q625" s="22" t="str">
        <f t="shared" si="431"/>
        <v/>
      </c>
      <c r="R625" s="22" t="str">
        <f t="shared" si="432"/>
        <v/>
      </c>
      <c r="S625" s="22" t="str">
        <f t="shared" si="433"/>
        <v/>
      </c>
      <c r="T625" s="22" t="str">
        <f t="shared" si="434"/>
        <v/>
      </c>
      <c r="V625" s="21" t="str">
        <f t="shared" si="435"/>
        <v>Apprenant 613</v>
      </c>
      <c r="W625" s="22" t="str">
        <f>IF(AND(OR('Choix pédagogiques'!$C$3=1,'Choix pédagogiques'!$C$3=2),$BM625=1),B625,IF(AND('Choix pédagogiques'!$C$3=3,$BO625=1),B625,""))</f>
        <v/>
      </c>
      <c r="X625" s="22" t="str">
        <f>IF(AND(OR('Choix pédagogiques'!$C$3=1,'Choix pédagogiques'!$C$3=2),$BM625=1),C625,IF(AND('Choix pédagogiques'!$C$3=3,$BO625=1),C625,""))</f>
        <v/>
      </c>
      <c r="Y625" s="22" t="str">
        <f>IF(AND(OR('Choix pédagogiques'!$C$3=1,'Choix pédagogiques'!$C$3=2),$BM625=1),D625,IF(AND('Choix pédagogiques'!$C$3=3,$BO625=1),D625,""))</f>
        <v/>
      </c>
      <c r="Z625" s="22" t="str">
        <f t="shared" si="436"/>
        <v/>
      </c>
      <c r="AA625" s="21" t="str">
        <f t="shared" si="437"/>
        <v>Apprenant 613 ou 613'</v>
      </c>
      <c r="AB625" s="22" t="str">
        <f>IF(AND(OR('Choix pédagogiques'!$C$3=1,'Choix pédagogiques'!$C$3=2),$BN625=1),G625,IF(AND('Choix pédagogiques'!$C$3=3,$BO625=1),G625,""))</f>
        <v/>
      </c>
      <c r="AC625" s="22" t="str">
        <f>IF(AND(OR('Choix pédagogiques'!$C$3=1,'Choix pédagogiques'!$C$3=2),$BN625=1),H625,IF(AND('Choix pédagogiques'!$C$3=3,$BO625=1),H625,""))</f>
        <v/>
      </c>
      <c r="AD625" s="22" t="str">
        <f>IF(AND(OR('Choix pédagogiques'!$C$3=1,'Choix pédagogiques'!$C$3=2),$BN625=1),I625,IF(AND('Choix pédagogiques'!$C$3=3,$BO625=1),I625,""))</f>
        <v/>
      </c>
      <c r="AE625" s="22" t="str">
        <f t="shared" si="438"/>
        <v/>
      </c>
      <c r="AF625" s="21" t="str">
        <f t="shared" si="439"/>
        <v>Apprenant 613</v>
      </c>
      <c r="AG625" s="22" t="str">
        <f t="shared" si="413"/>
        <v/>
      </c>
      <c r="AH625" s="22" t="str">
        <f t="shared" si="414"/>
        <v/>
      </c>
      <c r="AI625" s="22" t="str">
        <f t="shared" si="415"/>
        <v/>
      </c>
      <c r="AJ625" s="22" t="str">
        <f t="shared" si="440"/>
        <v/>
      </c>
      <c r="AK625" s="21" t="str">
        <f t="shared" si="441"/>
        <v>Apprenant 613 ou 613'</v>
      </c>
      <c r="AL625" s="22" t="str">
        <f t="shared" si="416"/>
        <v/>
      </c>
      <c r="AM625" s="22" t="str">
        <f t="shared" si="417"/>
        <v/>
      </c>
      <c r="AN625" s="22" t="str">
        <f t="shared" si="418"/>
        <v/>
      </c>
      <c r="AO625" s="22" t="str">
        <f t="shared" si="442"/>
        <v/>
      </c>
      <c r="AQ625" s="21" t="str">
        <f t="shared" si="443"/>
        <v>Apprenant 613</v>
      </c>
      <c r="AR625" s="49" t="str">
        <f>IF(AND('Choix pédagogiques'!$C$4&lt;&gt;"?",'Choix pédagogiques'!$C$5&lt;&gt;"?",W625&lt;&gt;""),(W625-'Choix pédagogiques'!$C$4)/('Choix pédagogiques'!$C$5-'Choix pédagogiques'!$C$4),"")</f>
        <v/>
      </c>
      <c r="AS625" s="49" t="str">
        <f>IF(AND('Choix pédagogiques'!$C$4&lt;&gt;"?",'Choix pédagogiques'!$C$5&lt;&gt;"?",X625&lt;&gt;""),(X625-'Choix pédagogiques'!$C$4)/('Choix pédagogiques'!$C$5-'Choix pédagogiques'!$C$4),"")</f>
        <v/>
      </c>
      <c r="AT625" s="49" t="str">
        <f>IF(AND('Choix pédagogiques'!$C$4&lt;&gt;"?",'Choix pédagogiques'!$C$5&lt;&gt;"?",Y625&lt;&gt;""),(Y625-'Choix pédagogiques'!$C$4)/('Choix pédagogiques'!$C$5-'Choix pédagogiques'!$C$4),"")</f>
        <v/>
      </c>
      <c r="AU625" s="22" t="str">
        <f t="shared" si="444"/>
        <v/>
      </c>
      <c r="AV625" s="21" t="str">
        <f t="shared" si="445"/>
        <v>Apprenant 613 ou 613'</v>
      </c>
      <c r="AW625" s="49" t="str">
        <f>IF(AND('Choix pédagogiques'!$C$4&lt;&gt;"?",'Choix pédagogiques'!$C$5&lt;&gt;"?",AB625&lt;&gt;""),(AB625-'Choix pédagogiques'!$C$4)/('Choix pédagogiques'!$C$5-'Choix pédagogiques'!$C$4),"")</f>
        <v/>
      </c>
      <c r="AX625" s="49" t="str">
        <f>IF(AND('Choix pédagogiques'!$C$4&lt;&gt;"?",'Choix pédagogiques'!$C$5&lt;&gt;"?",AC625&lt;&gt;""),(AC625-'Choix pédagogiques'!$C$4)/('Choix pédagogiques'!$C$5-'Choix pédagogiques'!$C$4),"")</f>
        <v/>
      </c>
      <c r="AY625" s="49" t="str">
        <f>IF(AND('Choix pédagogiques'!$C$4&lt;&gt;"?",'Choix pédagogiques'!$C$5&lt;&gt;"?",AD625&lt;&gt;""),(AD625-'Choix pédagogiques'!$C$4)/('Choix pédagogiques'!$C$5-'Choix pédagogiques'!$C$4),"")</f>
        <v/>
      </c>
      <c r="AZ625" s="22" t="str">
        <f t="shared" si="446"/>
        <v/>
      </c>
      <c r="BA625" s="21" t="str">
        <f t="shared" si="447"/>
        <v>Apprenant 613</v>
      </c>
      <c r="BB625" s="49" t="str">
        <f t="shared" si="419"/>
        <v/>
      </c>
      <c r="BC625" s="49" t="str">
        <f t="shared" si="420"/>
        <v/>
      </c>
      <c r="BD625" s="49" t="str">
        <f t="shared" si="421"/>
        <v/>
      </c>
      <c r="BE625" s="22" t="str">
        <f t="shared" si="448"/>
        <v/>
      </c>
      <c r="BF625" s="21" t="str">
        <f t="shared" si="449"/>
        <v>Apprenant 613 ou 613'</v>
      </c>
      <c r="BG625" s="49" t="str">
        <f t="shared" si="422"/>
        <v/>
      </c>
      <c r="BH625" s="49" t="str">
        <f t="shared" si="423"/>
        <v/>
      </c>
      <c r="BI625" s="49" t="str">
        <f t="shared" si="424"/>
        <v/>
      </c>
      <c r="BJ625" s="22" t="str">
        <f t="shared" si="450"/>
        <v/>
      </c>
      <c r="BL625" s="21"/>
      <c r="BM625" s="21" t="str">
        <f>IF(OR(COUNT(B625:D1624)=0,AND('Choix pédagogiques'!$C$3&lt;&gt;1,'Choix pédagogiques'!$C$3&lt;&gt;2)),"",IF(AND(OR('Choix pédagogiques'!$C$3=1,'Choix pédagogiques'!$C$3=2),$B625&lt;&gt;"",$C625&lt;&gt;"",$D625&lt;&gt;""),1,0))</f>
        <v/>
      </c>
      <c r="BN625" s="21" t="str">
        <f>IF(OR(COUNT(G625:I1624)=0,AND('Choix pédagogiques'!$C$3&lt;&gt;1,'Choix pédagogiques'!$C$3&lt;&gt;2)),"",IF(AND(OR('Choix pédagogiques'!$C$3=1,'Choix pédagogiques'!$C$3=2),AND($G625&lt;&gt;"",$H625&lt;&gt;"",$I625&lt;&gt;"")),1,0))</f>
        <v/>
      </c>
      <c r="BO625" s="21" t="str">
        <f>IF(OR(COUNT(B625:D1624)=0,COUNT(G625:I1624)=0,'Choix pédagogiques'!C$3&lt;&gt;3),"",IF(AND('Choix pédagogiques'!$C$3=3,$B625&lt;&gt;"",$C625&lt;&gt;"",$D625&lt;&gt;"",$G625&lt;&gt;"",$H625&lt;&gt;"",$I625&lt;&gt;""),1,0))</f>
        <v/>
      </c>
      <c r="BR625" s="21">
        <v>14</v>
      </c>
      <c r="BS625" s="21">
        <v>1761</v>
      </c>
      <c r="BT625"/>
    </row>
    <row r="626" spans="1:72" s="23" customFormat="1" ht="18" customHeight="1" x14ac:dyDescent="0.3">
      <c r="A626" s="35" t="s">
        <v>616</v>
      </c>
      <c r="B626" s="37"/>
      <c r="C626" s="37"/>
      <c r="D626" s="37"/>
      <c r="E626" s="37"/>
      <c r="F626" s="35" t="s">
        <v>1624</v>
      </c>
      <c r="G626" s="37"/>
      <c r="H626" s="37"/>
      <c r="I626" s="37"/>
      <c r="J626" s="37"/>
      <c r="K626" s="21" t="str">
        <f t="shared" si="425"/>
        <v>Apprenant 614</v>
      </c>
      <c r="L626" s="22" t="str">
        <f t="shared" si="426"/>
        <v/>
      </c>
      <c r="M626" s="22" t="str">
        <f t="shared" si="427"/>
        <v/>
      </c>
      <c r="N626" s="22" t="str">
        <f t="shared" si="428"/>
        <v/>
      </c>
      <c r="O626" s="22" t="str">
        <f t="shared" si="429"/>
        <v/>
      </c>
      <c r="P626" s="21" t="str">
        <f t="shared" si="430"/>
        <v>Apprenant 614 ou 614'</v>
      </c>
      <c r="Q626" s="22" t="str">
        <f t="shared" si="431"/>
        <v/>
      </c>
      <c r="R626" s="22" t="str">
        <f t="shared" si="432"/>
        <v/>
      </c>
      <c r="S626" s="22" t="str">
        <f t="shared" si="433"/>
        <v/>
      </c>
      <c r="T626" s="22" t="str">
        <f t="shared" si="434"/>
        <v/>
      </c>
      <c r="V626" s="21" t="str">
        <f t="shared" si="435"/>
        <v>Apprenant 614</v>
      </c>
      <c r="W626" s="22" t="str">
        <f>IF(AND(OR('Choix pédagogiques'!$C$3=1,'Choix pédagogiques'!$C$3=2),$BM626=1),B626,IF(AND('Choix pédagogiques'!$C$3=3,$BO626=1),B626,""))</f>
        <v/>
      </c>
      <c r="X626" s="22" t="str">
        <f>IF(AND(OR('Choix pédagogiques'!$C$3=1,'Choix pédagogiques'!$C$3=2),$BM626=1),C626,IF(AND('Choix pédagogiques'!$C$3=3,$BO626=1),C626,""))</f>
        <v/>
      </c>
      <c r="Y626" s="22" t="str">
        <f>IF(AND(OR('Choix pédagogiques'!$C$3=1,'Choix pédagogiques'!$C$3=2),$BM626=1),D626,IF(AND('Choix pédagogiques'!$C$3=3,$BO626=1),D626,""))</f>
        <v/>
      </c>
      <c r="Z626" s="22" t="str">
        <f t="shared" si="436"/>
        <v/>
      </c>
      <c r="AA626" s="21" t="str">
        <f t="shared" si="437"/>
        <v>Apprenant 614 ou 614'</v>
      </c>
      <c r="AB626" s="22" t="str">
        <f>IF(AND(OR('Choix pédagogiques'!$C$3=1,'Choix pédagogiques'!$C$3=2),$BN626=1),G626,IF(AND('Choix pédagogiques'!$C$3=3,$BO626=1),G626,""))</f>
        <v/>
      </c>
      <c r="AC626" s="22" t="str">
        <f>IF(AND(OR('Choix pédagogiques'!$C$3=1,'Choix pédagogiques'!$C$3=2),$BN626=1),H626,IF(AND('Choix pédagogiques'!$C$3=3,$BO626=1),H626,""))</f>
        <v/>
      </c>
      <c r="AD626" s="22" t="str">
        <f>IF(AND(OR('Choix pédagogiques'!$C$3=1,'Choix pédagogiques'!$C$3=2),$BN626=1),I626,IF(AND('Choix pédagogiques'!$C$3=3,$BO626=1),I626,""))</f>
        <v/>
      </c>
      <c r="AE626" s="22" t="str">
        <f t="shared" si="438"/>
        <v/>
      </c>
      <c r="AF626" s="21" t="str">
        <f t="shared" si="439"/>
        <v>Apprenant 614</v>
      </c>
      <c r="AG626" s="22" t="str">
        <f t="shared" si="413"/>
        <v/>
      </c>
      <c r="AH626" s="22" t="str">
        <f t="shared" si="414"/>
        <v/>
      </c>
      <c r="AI626" s="22" t="str">
        <f t="shared" si="415"/>
        <v/>
      </c>
      <c r="AJ626" s="22" t="str">
        <f t="shared" si="440"/>
        <v/>
      </c>
      <c r="AK626" s="21" t="str">
        <f t="shared" si="441"/>
        <v>Apprenant 614 ou 614'</v>
      </c>
      <c r="AL626" s="22" t="str">
        <f t="shared" si="416"/>
        <v/>
      </c>
      <c r="AM626" s="22" t="str">
        <f t="shared" si="417"/>
        <v/>
      </c>
      <c r="AN626" s="22" t="str">
        <f t="shared" si="418"/>
        <v/>
      </c>
      <c r="AO626" s="22" t="str">
        <f t="shared" si="442"/>
        <v/>
      </c>
      <c r="AQ626" s="21" t="str">
        <f t="shared" si="443"/>
        <v>Apprenant 614</v>
      </c>
      <c r="AR626" s="49" t="str">
        <f>IF(AND('Choix pédagogiques'!$C$4&lt;&gt;"?",'Choix pédagogiques'!$C$5&lt;&gt;"?",W626&lt;&gt;""),(W626-'Choix pédagogiques'!$C$4)/('Choix pédagogiques'!$C$5-'Choix pédagogiques'!$C$4),"")</f>
        <v/>
      </c>
      <c r="AS626" s="49" t="str">
        <f>IF(AND('Choix pédagogiques'!$C$4&lt;&gt;"?",'Choix pédagogiques'!$C$5&lt;&gt;"?",X626&lt;&gt;""),(X626-'Choix pédagogiques'!$C$4)/('Choix pédagogiques'!$C$5-'Choix pédagogiques'!$C$4),"")</f>
        <v/>
      </c>
      <c r="AT626" s="49" t="str">
        <f>IF(AND('Choix pédagogiques'!$C$4&lt;&gt;"?",'Choix pédagogiques'!$C$5&lt;&gt;"?",Y626&lt;&gt;""),(Y626-'Choix pédagogiques'!$C$4)/('Choix pédagogiques'!$C$5-'Choix pédagogiques'!$C$4),"")</f>
        <v/>
      </c>
      <c r="AU626" s="22" t="str">
        <f t="shared" si="444"/>
        <v/>
      </c>
      <c r="AV626" s="21" t="str">
        <f t="shared" si="445"/>
        <v>Apprenant 614 ou 614'</v>
      </c>
      <c r="AW626" s="49" t="str">
        <f>IF(AND('Choix pédagogiques'!$C$4&lt;&gt;"?",'Choix pédagogiques'!$C$5&lt;&gt;"?",AB626&lt;&gt;""),(AB626-'Choix pédagogiques'!$C$4)/('Choix pédagogiques'!$C$5-'Choix pédagogiques'!$C$4),"")</f>
        <v/>
      </c>
      <c r="AX626" s="49" t="str">
        <f>IF(AND('Choix pédagogiques'!$C$4&lt;&gt;"?",'Choix pédagogiques'!$C$5&lt;&gt;"?",AC626&lt;&gt;""),(AC626-'Choix pédagogiques'!$C$4)/('Choix pédagogiques'!$C$5-'Choix pédagogiques'!$C$4),"")</f>
        <v/>
      </c>
      <c r="AY626" s="49" t="str">
        <f>IF(AND('Choix pédagogiques'!$C$4&lt;&gt;"?",'Choix pédagogiques'!$C$5&lt;&gt;"?",AD626&lt;&gt;""),(AD626-'Choix pédagogiques'!$C$4)/('Choix pédagogiques'!$C$5-'Choix pédagogiques'!$C$4),"")</f>
        <v/>
      </c>
      <c r="AZ626" s="22" t="str">
        <f t="shared" si="446"/>
        <v/>
      </c>
      <c r="BA626" s="21" t="str">
        <f t="shared" si="447"/>
        <v>Apprenant 614</v>
      </c>
      <c r="BB626" s="49" t="str">
        <f t="shared" si="419"/>
        <v/>
      </c>
      <c r="BC626" s="49" t="str">
        <f t="shared" si="420"/>
        <v/>
      </c>
      <c r="BD626" s="49" t="str">
        <f t="shared" si="421"/>
        <v/>
      </c>
      <c r="BE626" s="22" t="str">
        <f t="shared" si="448"/>
        <v/>
      </c>
      <c r="BF626" s="21" t="str">
        <f t="shared" si="449"/>
        <v>Apprenant 614 ou 614'</v>
      </c>
      <c r="BG626" s="49" t="str">
        <f t="shared" si="422"/>
        <v/>
      </c>
      <c r="BH626" s="49" t="str">
        <f t="shared" si="423"/>
        <v/>
      </c>
      <c r="BI626" s="49" t="str">
        <f t="shared" si="424"/>
        <v/>
      </c>
      <c r="BJ626" s="22" t="str">
        <f t="shared" si="450"/>
        <v/>
      </c>
      <c r="BL626" s="21"/>
      <c r="BM626" s="21" t="str">
        <f>IF(OR(COUNT(B626:D1625)=0,AND('Choix pédagogiques'!$C$3&lt;&gt;1,'Choix pédagogiques'!$C$3&lt;&gt;2)),"",IF(AND(OR('Choix pédagogiques'!$C$3=1,'Choix pédagogiques'!$C$3=2),$B626&lt;&gt;"",$C626&lt;&gt;"",$D626&lt;&gt;""),1,0))</f>
        <v/>
      </c>
      <c r="BN626" s="21" t="str">
        <f>IF(OR(COUNT(G626:I1625)=0,AND('Choix pédagogiques'!$C$3&lt;&gt;1,'Choix pédagogiques'!$C$3&lt;&gt;2)),"",IF(AND(OR('Choix pédagogiques'!$C$3=1,'Choix pédagogiques'!$C$3=2),AND($G626&lt;&gt;"",$H626&lt;&gt;"",$I626&lt;&gt;"")),1,0))</f>
        <v/>
      </c>
      <c r="BO626" s="21" t="str">
        <f>IF(OR(COUNT(B626:D1625)=0,COUNT(G626:I1625)=0,'Choix pédagogiques'!C$3&lt;&gt;3),"",IF(AND('Choix pédagogiques'!$C$3=3,$B626&lt;&gt;"",$C626&lt;&gt;"",$D626&lt;&gt;"",$G626&lt;&gt;"",$H626&lt;&gt;"",$I626&lt;&gt;""),1,0))</f>
        <v/>
      </c>
      <c r="BR626" s="21">
        <v>766</v>
      </c>
      <c r="BS626" s="21">
        <v>1406</v>
      </c>
      <c r="BT626"/>
    </row>
    <row r="627" spans="1:72" s="23" customFormat="1" ht="18" customHeight="1" x14ac:dyDescent="0.3">
      <c r="A627" s="35" t="s">
        <v>617</v>
      </c>
      <c r="B627" s="37"/>
      <c r="C627" s="37"/>
      <c r="D627" s="37"/>
      <c r="E627" s="37"/>
      <c r="F627" s="35" t="s">
        <v>1625</v>
      </c>
      <c r="G627" s="37"/>
      <c r="H627" s="37"/>
      <c r="I627" s="37"/>
      <c r="J627" s="37"/>
      <c r="K627" s="21" t="str">
        <f t="shared" si="425"/>
        <v>Apprenant 615</v>
      </c>
      <c r="L627" s="22" t="str">
        <f t="shared" si="426"/>
        <v/>
      </c>
      <c r="M627" s="22" t="str">
        <f t="shared" si="427"/>
        <v/>
      </c>
      <c r="N627" s="22" t="str">
        <f t="shared" si="428"/>
        <v/>
      </c>
      <c r="O627" s="22" t="str">
        <f t="shared" si="429"/>
        <v/>
      </c>
      <c r="P627" s="21" t="str">
        <f t="shared" si="430"/>
        <v>Apprenant 615 ou 615'</v>
      </c>
      <c r="Q627" s="22" t="str">
        <f t="shared" si="431"/>
        <v/>
      </c>
      <c r="R627" s="22" t="str">
        <f t="shared" si="432"/>
        <v/>
      </c>
      <c r="S627" s="22" t="str">
        <f t="shared" si="433"/>
        <v/>
      </c>
      <c r="T627" s="22" t="str">
        <f t="shared" si="434"/>
        <v/>
      </c>
      <c r="V627" s="21" t="str">
        <f t="shared" si="435"/>
        <v>Apprenant 615</v>
      </c>
      <c r="W627" s="22" t="str">
        <f>IF(AND(OR('Choix pédagogiques'!$C$3=1,'Choix pédagogiques'!$C$3=2),$BM627=1),B627,IF(AND('Choix pédagogiques'!$C$3=3,$BO627=1),B627,""))</f>
        <v/>
      </c>
      <c r="X627" s="22" t="str">
        <f>IF(AND(OR('Choix pédagogiques'!$C$3=1,'Choix pédagogiques'!$C$3=2),$BM627=1),C627,IF(AND('Choix pédagogiques'!$C$3=3,$BO627=1),C627,""))</f>
        <v/>
      </c>
      <c r="Y627" s="22" t="str">
        <f>IF(AND(OR('Choix pédagogiques'!$C$3=1,'Choix pédagogiques'!$C$3=2),$BM627=1),D627,IF(AND('Choix pédagogiques'!$C$3=3,$BO627=1),D627,""))</f>
        <v/>
      </c>
      <c r="Z627" s="22" t="str">
        <f t="shared" si="436"/>
        <v/>
      </c>
      <c r="AA627" s="21" t="str">
        <f t="shared" si="437"/>
        <v>Apprenant 615 ou 615'</v>
      </c>
      <c r="AB627" s="22" t="str">
        <f>IF(AND(OR('Choix pédagogiques'!$C$3=1,'Choix pédagogiques'!$C$3=2),$BN627=1),G627,IF(AND('Choix pédagogiques'!$C$3=3,$BO627=1),G627,""))</f>
        <v/>
      </c>
      <c r="AC627" s="22" t="str">
        <f>IF(AND(OR('Choix pédagogiques'!$C$3=1,'Choix pédagogiques'!$C$3=2),$BN627=1),H627,IF(AND('Choix pédagogiques'!$C$3=3,$BO627=1),H627,""))</f>
        <v/>
      </c>
      <c r="AD627" s="22" t="str">
        <f>IF(AND(OR('Choix pédagogiques'!$C$3=1,'Choix pédagogiques'!$C$3=2),$BN627=1),I627,IF(AND('Choix pédagogiques'!$C$3=3,$BO627=1),I627,""))</f>
        <v/>
      </c>
      <c r="AE627" s="22" t="str">
        <f t="shared" si="438"/>
        <v/>
      </c>
      <c r="AF627" s="21" t="str">
        <f t="shared" si="439"/>
        <v>Apprenant 615</v>
      </c>
      <c r="AG627" s="22" t="str">
        <f t="shared" si="413"/>
        <v/>
      </c>
      <c r="AH627" s="22" t="str">
        <f t="shared" si="414"/>
        <v/>
      </c>
      <c r="AI627" s="22" t="str">
        <f t="shared" si="415"/>
        <v/>
      </c>
      <c r="AJ627" s="22" t="str">
        <f t="shared" si="440"/>
        <v/>
      </c>
      <c r="AK627" s="21" t="str">
        <f t="shared" si="441"/>
        <v>Apprenant 615 ou 615'</v>
      </c>
      <c r="AL627" s="22" t="str">
        <f t="shared" si="416"/>
        <v/>
      </c>
      <c r="AM627" s="22" t="str">
        <f t="shared" si="417"/>
        <v/>
      </c>
      <c r="AN627" s="22" t="str">
        <f t="shared" si="418"/>
        <v/>
      </c>
      <c r="AO627" s="22" t="str">
        <f t="shared" si="442"/>
        <v/>
      </c>
      <c r="AQ627" s="21" t="str">
        <f t="shared" si="443"/>
        <v>Apprenant 615</v>
      </c>
      <c r="AR627" s="49" t="str">
        <f>IF(AND('Choix pédagogiques'!$C$4&lt;&gt;"?",'Choix pédagogiques'!$C$5&lt;&gt;"?",W627&lt;&gt;""),(W627-'Choix pédagogiques'!$C$4)/('Choix pédagogiques'!$C$5-'Choix pédagogiques'!$C$4),"")</f>
        <v/>
      </c>
      <c r="AS627" s="49" t="str">
        <f>IF(AND('Choix pédagogiques'!$C$4&lt;&gt;"?",'Choix pédagogiques'!$C$5&lt;&gt;"?",X627&lt;&gt;""),(X627-'Choix pédagogiques'!$C$4)/('Choix pédagogiques'!$C$5-'Choix pédagogiques'!$C$4),"")</f>
        <v/>
      </c>
      <c r="AT627" s="49" t="str">
        <f>IF(AND('Choix pédagogiques'!$C$4&lt;&gt;"?",'Choix pédagogiques'!$C$5&lt;&gt;"?",Y627&lt;&gt;""),(Y627-'Choix pédagogiques'!$C$4)/('Choix pédagogiques'!$C$5-'Choix pédagogiques'!$C$4),"")</f>
        <v/>
      </c>
      <c r="AU627" s="22" t="str">
        <f t="shared" si="444"/>
        <v/>
      </c>
      <c r="AV627" s="21" t="str">
        <f t="shared" si="445"/>
        <v>Apprenant 615 ou 615'</v>
      </c>
      <c r="AW627" s="49" t="str">
        <f>IF(AND('Choix pédagogiques'!$C$4&lt;&gt;"?",'Choix pédagogiques'!$C$5&lt;&gt;"?",AB627&lt;&gt;""),(AB627-'Choix pédagogiques'!$C$4)/('Choix pédagogiques'!$C$5-'Choix pédagogiques'!$C$4),"")</f>
        <v/>
      </c>
      <c r="AX627" s="49" t="str">
        <f>IF(AND('Choix pédagogiques'!$C$4&lt;&gt;"?",'Choix pédagogiques'!$C$5&lt;&gt;"?",AC627&lt;&gt;""),(AC627-'Choix pédagogiques'!$C$4)/('Choix pédagogiques'!$C$5-'Choix pédagogiques'!$C$4),"")</f>
        <v/>
      </c>
      <c r="AY627" s="49" t="str">
        <f>IF(AND('Choix pédagogiques'!$C$4&lt;&gt;"?",'Choix pédagogiques'!$C$5&lt;&gt;"?",AD627&lt;&gt;""),(AD627-'Choix pédagogiques'!$C$4)/('Choix pédagogiques'!$C$5-'Choix pédagogiques'!$C$4),"")</f>
        <v/>
      </c>
      <c r="AZ627" s="22" t="str">
        <f t="shared" si="446"/>
        <v/>
      </c>
      <c r="BA627" s="21" t="str">
        <f t="shared" si="447"/>
        <v>Apprenant 615</v>
      </c>
      <c r="BB627" s="49" t="str">
        <f t="shared" si="419"/>
        <v/>
      </c>
      <c r="BC627" s="49" t="str">
        <f t="shared" si="420"/>
        <v/>
      </c>
      <c r="BD627" s="49" t="str">
        <f t="shared" si="421"/>
        <v/>
      </c>
      <c r="BE627" s="22" t="str">
        <f t="shared" si="448"/>
        <v/>
      </c>
      <c r="BF627" s="21" t="str">
        <f t="shared" si="449"/>
        <v>Apprenant 615 ou 615'</v>
      </c>
      <c r="BG627" s="49" t="str">
        <f t="shared" si="422"/>
        <v/>
      </c>
      <c r="BH627" s="49" t="str">
        <f t="shared" si="423"/>
        <v/>
      </c>
      <c r="BI627" s="49" t="str">
        <f t="shared" si="424"/>
        <v/>
      </c>
      <c r="BJ627" s="22" t="str">
        <f t="shared" si="450"/>
        <v/>
      </c>
      <c r="BL627" s="21"/>
      <c r="BM627" s="21" t="str">
        <f>IF(OR(COUNT(B627:D1626)=0,AND('Choix pédagogiques'!$C$3&lt;&gt;1,'Choix pédagogiques'!$C$3&lt;&gt;2)),"",IF(AND(OR('Choix pédagogiques'!$C$3=1,'Choix pédagogiques'!$C$3=2),$B627&lt;&gt;"",$C627&lt;&gt;"",$D627&lt;&gt;""),1,0))</f>
        <v/>
      </c>
      <c r="BN627" s="21" t="str">
        <f>IF(OR(COUNT(G627:I1626)=0,AND('Choix pédagogiques'!$C$3&lt;&gt;1,'Choix pédagogiques'!$C$3&lt;&gt;2)),"",IF(AND(OR('Choix pédagogiques'!$C$3=1,'Choix pédagogiques'!$C$3=2),AND($G627&lt;&gt;"",$H627&lt;&gt;"",$I627&lt;&gt;"")),1,0))</f>
        <v/>
      </c>
      <c r="BO627" s="21" t="str">
        <f>IF(OR(COUNT(B627:D1626)=0,COUNT(G627:I1626)=0,'Choix pédagogiques'!C$3&lt;&gt;3),"",IF(AND('Choix pédagogiques'!$C$3=3,$B627&lt;&gt;"",$C627&lt;&gt;"",$D627&lt;&gt;"",$G627&lt;&gt;"",$H627&lt;&gt;"",$I627&lt;&gt;""),1,0))</f>
        <v/>
      </c>
      <c r="BR627" s="21">
        <v>288</v>
      </c>
      <c r="BS627" s="21">
        <v>1564</v>
      </c>
      <c r="BT627"/>
    </row>
    <row r="628" spans="1:72" s="23" customFormat="1" ht="18" customHeight="1" x14ac:dyDescent="0.3">
      <c r="A628" s="35" t="s">
        <v>618</v>
      </c>
      <c r="B628" s="37"/>
      <c r="C628" s="37"/>
      <c r="D628" s="37"/>
      <c r="E628" s="37"/>
      <c r="F628" s="35" t="s">
        <v>1626</v>
      </c>
      <c r="G628" s="37"/>
      <c r="H628" s="37"/>
      <c r="I628" s="37"/>
      <c r="J628" s="37"/>
      <c r="K628" s="21" t="str">
        <f t="shared" si="425"/>
        <v>Apprenant 616</v>
      </c>
      <c r="L628" s="22" t="str">
        <f t="shared" si="426"/>
        <v/>
      </c>
      <c r="M628" s="22" t="str">
        <f t="shared" si="427"/>
        <v/>
      </c>
      <c r="N628" s="22" t="str">
        <f t="shared" si="428"/>
        <v/>
      </c>
      <c r="O628" s="22" t="str">
        <f t="shared" si="429"/>
        <v/>
      </c>
      <c r="P628" s="21" t="str">
        <f t="shared" si="430"/>
        <v>Apprenant 616 ou 616'</v>
      </c>
      <c r="Q628" s="22" t="str">
        <f t="shared" si="431"/>
        <v/>
      </c>
      <c r="R628" s="22" t="str">
        <f t="shared" si="432"/>
        <v/>
      </c>
      <c r="S628" s="22" t="str">
        <f t="shared" si="433"/>
        <v/>
      </c>
      <c r="T628" s="22" t="str">
        <f t="shared" si="434"/>
        <v/>
      </c>
      <c r="V628" s="21" t="str">
        <f t="shared" si="435"/>
        <v>Apprenant 616</v>
      </c>
      <c r="W628" s="22" t="str">
        <f>IF(AND(OR('Choix pédagogiques'!$C$3=1,'Choix pédagogiques'!$C$3=2),$BM628=1),B628,IF(AND('Choix pédagogiques'!$C$3=3,$BO628=1),B628,""))</f>
        <v/>
      </c>
      <c r="X628" s="22" t="str">
        <f>IF(AND(OR('Choix pédagogiques'!$C$3=1,'Choix pédagogiques'!$C$3=2),$BM628=1),C628,IF(AND('Choix pédagogiques'!$C$3=3,$BO628=1),C628,""))</f>
        <v/>
      </c>
      <c r="Y628" s="22" t="str">
        <f>IF(AND(OR('Choix pédagogiques'!$C$3=1,'Choix pédagogiques'!$C$3=2),$BM628=1),D628,IF(AND('Choix pédagogiques'!$C$3=3,$BO628=1),D628,""))</f>
        <v/>
      </c>
      <c r="Z628" s="22" t="str">
        <f t="shared" si="436"/>
        <v/>
      </c>
      <c r="AA628" s="21" t="str">
        <f t="shared" si="437"/>
        <v>Apprenant 616 ou 616'</v>
      </c>
      <c r="AB628" s="22" t="str">
        <f>IF(AND(OR('Choix pédagogiques'!$C$3=1,'Choix pédagogiques'!$C$3=2),$BN628=1),G628,IF(AND('Choix pédagogiques'!$C$3=3,$BO628=1),G628,""))</f>
        <v/>
      </c>
      <c r="AC628" s="22" t="str">
        <f>IF(AND(OR('Choix pédagogiques'!$C$3=1,'Choix pédagogiques'!$C$3=2),$BN628=1),H628,IF(AND('Choix pédagogiques'!$C$3=3,$BO628=1),H628,""))</f>
        <v/>
      </c>
      <c r="AD628" s="22" t="str">
        <f>IF(AND(OR('Choix pédagogiques'!$C$3=1,'Choix pédagogiques'!$C$3=2),$BN628=1),I628,IF(AND('Choix pédagogiques'!$C$3=3,$BO628=1),I628,""))</f>
        <v/>
      </c>
      <c r="AE628" s="22" t="str">
        <f t="shared" si="438"/>
        <v/>
      </c>
      <c r="AF628" s="21" t="str">
        <f t="shared" si="439"/>
        <v>Apprenant 616</v>
      </c>
      <c r="AG628" s="22" t="str">
        <f t="shared" si="413"/>
        <v/>
      </c>
      <c r="AH628" s="22" t="str">
        <f t="shared" si="414"/>
        <v/>
      </c>
      <c r="AI628" s="22" t="str">
        <f t="shared" si="415"/>
        <v/>
      </c>
      <c r="AJ628" s="22" t="str">
        <f t="shared" si="440"/>
        <v/>
      </c>
      <c r="AK628" s="21" t="str">
        <f t="shared" si="441"/>
        <v>Apprenant 616 ou 616'</v>
      </c>
      <c r="AL628" s="22" t="str">
        <f t="shared" si="416"/>
        <v/>
      </c>
      <c r="AM628" s="22" t="str">
        <f t="shared" si="417"/>
        <v/>
      </c>
      <c r="AN628" s="22" t="str">
        <f t="shared" si="418"/>
        <v/>
      </c>
      <c r="AO628" s="22" t="str">
        <f t="shared" si="442"/>
        <v/>
      </c>
      <c r="AQ628" s="21" t="str">
        <f t="shared" si="443"/>
        <v>Apprenant 616</v>
      </c>
      <c r="AR628" s="49" t="str">
        <f>IF(AND('Choix pédagogiques'!$C$4&lt;&gt;"?",'Choix pédagogiques'!$C$5&lt;&gt;"?",W628&lt;&gt;""),(W628-'Choix pédagogiques'!$C$4)/('Choix pédagogiques'!$C$5-'Choix pédagogiques'!$C$4),"")</f>
        <v/>
      </c>
      <c r="AS628" s="49" t="str">
        <f>IF(AND('Choix pédagogiques'!$C$4&lt;&gt;"?",'Choix pédagogiques'!$C$5&lt;&gt;"?",X628&lt;&gt;""),(X628-'Choix pédagogiques'!$C$4)/('Choix pédagogiques'!$C$5-'Choix pédagogiques'!$C$4),"")</f>
        <v/>
      </c>
      <c r="AT628" s="49" t="str">
        <f>IF(AND('Choix pédagogiques'!$C$4&lt;&gt;"?",'Choix pédagogiques'!$C$5&lt;&gt;"?",Y628&lt;&gt;""),(Y628-'Choix pédagogiques'!$C$4)/('Choix pédagogiques'!$C$5-'Choix pédagogiques'!$C$4),"")</f>
        <v/>
      </c>
      <c r="AU628" s="22" t="str">
        <f t="shared" si="444"/>
        <v/>
      </c>
      <c r="AV628" s="21" t="str">
        <f t="shared" si="445"/>
        <v>Apprenant 616 ou 616'</v>
      </c>
      <c r="AW628" s="49" t="str">
        <f>IF(AND('Choix pédagogiques'!$C$4&lt;&gt;"?",'Choix pédagogiques'!$C$5&lt;&gt;"?",AB628&lt;&gt;""),(AB628-'Choix pédagogiques'!$C$4)/('Choix pédagogiques'!$C$5-'Choix pédagogiques'!$C$4),"")</f>
        <v/>
      </c>
      <c r="AX628" s="49" t="str">
        <f>IF(AND('Choix pédagogiques'!$C$4&lt;&gt;"?",'Choix pédagogiques'!$C$5&lt;&gt;"?",AC628&lt;&gt;""),(AC628-'Choix pédagogiques'!$C$4)/('Choix pédagogiques'!$C$5-'Choix pédagogiques'!$C$4),"")</f>
        <v/>
      </c>
      <c r="AY628" s="49" t="str">
        <f>IF(AND('Choix pédagogiques'!$C$4&lt;&gt;"?",'Choix pédagogiques'!$C$5&lt;&gt;"?",AD628&lt;&gt;""),(AD628-'Choix pédagogiques'!$C$4)/('Choix pédagogiques'!$C$5-'Choix pédagogiques'!$C$4),"")</f>
        <v/>
      </c>
      <c r="AZ628" s="22" t="str">
        <f t="shared" si="446"/>
        <v/>
      </c>
      <c r="BA628" s="21" t="str">
        <f t="shared" si="447"/>
        <v>Apprenant 616</v>
      </c>
      <c r="BB628" s="49" t="str">
        <f t="shared" si="419"/>
        <v/>
      </c>
      <c r="BC628" s="49" t="str">
        <f t="shared" si="420"/>
        <v/>
      </c>
      <c r="BD628" s="49" t="str">
        <f t="shared" si="421"/>
        <v/>
      </c>
      <c r="BE628" s="22" t="str">
        <f t="shared" si="448"/>
        <v/>
      </c>
      <c r="BF628" s="21" t="str">
        <f t="shared" si="449"/>
        <v>Apprenant 616 ou 616'</v>
      </c>
      <c r="BG628" s="49" t="str">
        <f t="shared" si="422"/>
        <v/>
      </c>
      <c r="BH628" s="49" t="str">
        <f t="shared" si="423"/>
        <v/>
      </c>
      <c r="BI628" s="49" t="str">
        <f t="shared" si="424"/>
        <v/>
      </c>
      <c r="BJ628" s="22" t="str">
        <f t="shared" si="450"/>
        <v/>
      </c>
      <c r="BL628" s="21"/>
      <c r="BM628" s="21" t="str">
        <f>IF(OR(COUNT(B628:D1627)=0,AND('Choix pédagogiques'!$C$3&lt;&gt;1,'Choix pédagogiques'!$C$3&lt;&gt;2)),"",IF(AND(OR('Choix pédagogiques'!$C$3=1,'Choix pédagogiques'!$C$3=2),$B628&lt;&gt;"",$C628&lt;&gt;"",$D628&lt;&gt;""),1,0))</f>
        <v/>
      </c>
      <c r="BN628" s="21" t="str">
        <f>IF(OR(COUNT(G628:I1627)=0,AND('Choix pédagogiques'!$C$3&lt;&gt;1,'Choix pédagogiques'!$C$3&lt;&gt;2)),"",IF(AND(OR('Choix pédagogiques'!$C$3=1,'Choix pédagogiques'!$C$3=2),AND($G628&lt;&gt;"",$H628&lt;&gt;"",$I628&lt;&gt;"")),1,0))</f>
        <v/>
      </c>
      <c r="BO628" s="21" t="str">
        <f>IF(OR(COUNT(B628:D1627)=0,COUNT(G628:I1627)=0,'Choix pédagogiques'!C$3&lt;&gt;3),"",IF(AND('Choix pédagogiques'!$C$3=3,$B628&lt;&gt;"",$C628&lt;&gt;"",$D628&lt;&gt;"",$G628&lt;&gt;"",$H628&lt;&gt;"",$I628&lt;&gt;""),1,0))</f>
        <v/>
      </c>
      <c r="BR628" s="21">
        <v>975</v>
      </c>
      <c r="BS628" s="21">
        <v>1220</v>
      </c>
      <c r="BT628"/>
    </row>
    <row r="629" spans="1:72" s="23" customFormat="1" ht="18" customHeight="1" x14ac:dyDescent="0.3">
      <c r="A629" s="35" t="s">
        <v>619</v>
      </c>
      <c r="B629" s="37"/>
      <c r="C629" s="37"/>
      <c r="D629" s="37"/>
      <c r="E629" s="37"/>
      <c r="F629" s="35" t="s">
        <v>1627</v>
      </c>
      <c r="G629" s="37"/>
      <c r="H629" s="37"/>
      <c r="I629" s="37"/>
      <c r="J629" s="37"/>
      <c r="K629" s="21" t="str">
        <f t="shared" si="425"/>
        <v>Apprenant 617</v>
      </c>
      <c r="L629" s="22" t="str">
        <f t="shared" si="426"/>
        <v/>
      </c>
      <c r="M629" s="22" t="str">
        <f t="shared" si="427"/>
        <v/>
      </c>
      <c r="N629" s="22" t="str">
        <f t="shared" si="428"/>
        <v/>
      </c>
      <c r="O629" s="22" t="str">
        <f t="shared" si="429"/>
        <v/>
      </c>
      <c r="P629" s="21" t="str">
        <f t="shared" si="430"/>
        <v>Apprenant 617 ou 617'</v>
      </c>
      <c r="Q629" s="22" t="str">
        <f t="shared" si="431"/>
        <v/>
      </c>
      <c r="R629" s="22" t="str">
        <f t="shared" si="432"/>
        <v/>
      </c>
      <c r="S629" s="22" t="str">
        <f t="shared" si="433"/>
        <v/>
      </c>
      <c r="T629" s="22" t="str">
        <f t="shared" si="434"/>
        <v/>
      </c>
      <c r="V629" s="21" t="str">
        <f t="shared" si="435"/>
        <v>Apprenant 617</v>
      </c>
      <c r="W629" s="22" t="str">
        <f>IF(AND(OR('Choix pédagogiques'!$C$3=1,'Choix pédagogiques'!$C$3=2),$BM629=1),B629,IF(AND('Choix pédagogiques'!$C$3=3,$BO629=1),B629,""))</f>
        <v/>
      </c>
      <c r="X629" s="22" t="str">
        <f>IF(AND(OR('Choix pédagogiques'!$C$3=1,'Choix pédagogiques'!$C$3=2),$BM629=1),C629,IF(AND('Choix pédagogiques'!$C$3=3,$BO629=1),C629,""))</f>
        <v/>
      </c>
      <c r="Y629" s="22" t="str">
        <f>IF(AND(OR('Choix pédagogiques'!$C$3=1,'Choix pédagogiques'!$C$3=2),$BM629=1),D629,IF(AND('Choix pédagogiques'!$C$3=3,$BO629=1),D629,""))</f>
        <v/>
      </c>
      <c r="Z629" s="22" t="str">
        <f t="shared" si="436"/>
        <v/>
      </c>
      <c r="AA629" s="21" t="str">
        <f t="shared" si="437"/>
        <v>Apprenant 617 ou 617'</v>
      </c>
      <c r="AB629" s="22" t="str">
        <f>IF(AND(OR('Choix pédagogiques'!$C$3=1,'Choix pédagogiques'!$C$3=2),$BN629=1),G629,IF(AND('Choix pédagogiques'!$C$3=3,$BO629=1),G629,""))</f>
        <v/>
      </c>
      <c r="AC629" s="22" t="str">
        <f>IF(AND(OR('Choix pédagogiques'!$C$3=1,'Choix pédagogiques'!$C$3=2),$BN629=1),H629,IF(AND('Choix pédagogiques'!$C$3=3,$BO629=1),H629,""))</f>
        <v/>
      </c>
      <c r="AD629" s="22" t="str">
        <f>IF(AND(OR('Choix pédagogiques'!$C$3=1,'Choix pédagogiques'!$C$3=2),$BN629=1),I629,IF(AND('Choix pédagogiques'!$C$3=3,$BO629=1),I629,""))</f>
        <v/>
      </c>
      <c r="AE629" s="22" t="str">
        <f t="shared" si="438"/>
        <v/>
      </c>
      <c r="AF629" s="21" t="str">
        <f t="shared" si="439"/>
        <v>Apprenant 617</v>
      </c>
      <c r="AG629" s="22" t="str">
        <f t="shared" si="413"/>
        <v/>
      </c>
      <c r="AH629" s="22" t="str">
        <f t="shared" si="414"/>
        <v/>
      </c>
      <c r="AI629" s="22" t="str">
        <f t="shared" si="415"/>
        <v/>
      </c>
      <c r="AJ629" s="22" t="str">
        <f t="shared" si="440"/>
        <v/>
      </c>
      <c r="AK629" s="21" t="str">
        <f t="shared" si="441"/>
        <v>Apprenant 617 ou 617'</v>
      </c>
      <c r="AL629" s="22" t="str">
        <f t="shared" si="416"/>
        <v/>
      </c>
      <c r="AM629" s="22" t="str">
        <f t="shared" si="417"/>
        <v/>
      </c>
      <c r="AN629" s="22" t="str">
        <f t="shared" si="418"/>
        <v/>
      </c>
      <c r="AO629" s="22" t="str">
        <f t="shared" si="442"/>
        <v/>
      </c>
      <c r="AQ629" s="21" t="str">
        <f t="shared" si="443"/>
        <v>Apprenant 617</v>
      </c>
      <c r="AR629" s="49" t="str">
        <f>IF(AND('Choix pédagogiques'!$C$4&lt;&gt;"?",'Choix pédagogiques'!$C$5&lt;&gt;"?",W629&lt;&gt;""),(W629-'Choix pédagogiques'!$C$4)/('Choix pédagogiques'!$C$5-'Choix pédagogiques'!$C$4),"")</f>
        <v/>
      </c>
      <c r="AS629" s="49" t="str">
        <f>IF(AND('Choix pédagogiques'!$C$4&lt;&gt;"?",'Choix pédagogiques'!$C$5&lt;&gt;"?",X629&lt;&gt;""),(X629-'Choix pédagogiques'!$C$4)/('Choix pédagogiques'!$C$5-'Choix pédagogiques'!$C$4),"")</f>
        <v/>
      </c>
      <c r="AT629" s="49" t="str">
        <f>IF(AND('Choix pédagogiques'!$C$4&lt;&gt;"?",'Choix pédagogiques'!$C$5&lt;&gt;"?",Y629&lt;&gt;""),(Y629-'Choix pédagogiques'!$C$4)/('Choix pédagogiques'!$C$5-'Choix pédagogiques'!$C$4),"")</f>
        <v/>
      </c>
      <c r="AU629" s="22" t="str">
        <f t="shared" si="444"/>
        <v/>
      </c>
      <c r="AV629" s="21" t="str">
        <f t="shared" si="445"/>
        <v>Apprenant 617 ou 617'</v>
      </c>
      <c r="AW629" s="49" t="str">
        <f>IF(AND('Choix pédagogiques'!$C$4&lt;&gt;"?",'Choix pédagogiques'!$C$5&lt;&gt;"?",AB629&lt;&gt;""),(AB629-'Choix pédagogiques'!$C$4)/('Choix pédagogiques'!$C$5-'Choix pédagogiques'!$C$4),"")</f>
        <v/>
      </c>
      <c r="AX629" s="49" t="str">
        <f>IF(AND('Choix pédagogiques'!$C$4&lt;&gt;"?",'Choix pédagogiques'!$C$5&lt;&gt;"?",AC629&lt;&gt;""),(AC629-'Choix pédagogiques'!$C$4)/('Choix pédagogiques'!$C$5-'Choix pédagogiques'!$C$4),"")</f>
        <v/>
      </c>
      <c r="AY629" s="49" t="str">
        <f>IF(AND('Choix pédagogiques'!$C$4&lt;&gt;"?",'Choix pédagogiques'!$C$5&lt;&gt;"?",AD629&lt;&gt;""),(AD629-'Choix pédagogiques'!$C$4)/('Choix pédagogiques'!$C$5-'Choix pédagogiques'!$C$4),"")</f>
        <v/>
      </c>
      <c r="AZ629" s="22" t="str">
        <f t="shared" si="446"/>
        <v/>
      </c>
      <c r="BA629" s="21" t="str">
        <f t="shared" si="447"/>
        <v>Apprenant 617</v>
      </c>
      <c r="BB629" s="49" t="str">
        <f t="shared" si="419"/>
        <v/>
      </c>
      <c r="BC629" s="49" t="str">
        <f t="shared" si="420"/>
        <v/>
      </c>
      <c r="BD629" s="49" t="str">
        <f t="shared" si="421"/>
        <v/>
      </c>
      <c r="BE629" s="22" t="str">
        <f t="shared" si="448"/>
        <v/>
      </c>
      <c r="BF629" s="21" t="str">
        <f t="shared" si="449"/>
        <v>Apprenant 617 ou 617'</v>
      </c>
      <c r="BG629" s="49" t="str">
        <f t="shared" si="422"/>
        <v/>
      </c>
      <c r="BH629" s="49" t="str">
        <f t="shared" si="423"/>
        <v/>
      </c>
      <c r="BI629" s="49" t="str">
        <f t="shared" si="424"/>
        <v/>
      </c>
      <c r="BJ629" s="22" t="str">
        <f t="shared" si="450"/>
        <v/>
      </c>
      <c r="BL629" s="21"/>
      <c r="BM629" s="21" t="str">
        <f>IF(OR(COUNT(B629:D1628)=0,AND('Choix pédagogiques'!$C$3&lt;&gt;1,'Choix pédagogiques'!$C$3&lt;&gt;2)),"",IF(AND(OR('Choix pédagogiques'!$C$3=1,'Choix pédagogiques'!$C$3=2),$B629&lt;&gt;"",$C629&lt;&gt;"",$D629&lt;&gt;""),1,0))</f>
        <v/>
      </c>
      <c r="BN629" s="21" t="str">
        <f>IF(OR(COUNT(G629:I1628)=0,AND('Choix pédagogiques'!$C$3&lt;&gt;1,'Choix pédagogiques'!$C$3&lt;&gt;2)),"",IF(AND(OR('Choix pédagogiques'!$C$3=1,'Choix pédagogiques'!$C$3=2),AND($G629&lt;&gt;"",$H629&lt;&gt;"",$I629&lt;&gt;"")),1,0))</f>
        <v/>
      </c>
      <c r="BO629" s="21" t="str">
        <f>IF(OR(COUNT(B629:D1628)=0,COUNT(G629:I1628)=0,'Choix pédagogiques'!C$3&lt;&gt;3),"",IF(AND('Choix pédagogiques'!$C$3=3,$B629&lt;&gt;"",$C629&lt;&gt;"",$D629&lt;&gt;"",$G629&lt;&gt;"",$H629&lt;&gt;"",$I629&lt;&gt;""),1,0))</f>
        <v/>
      </c>
      <c r="BR629" s="21">
        <v>657</v>
      </c>
      <c r="BS629" s="21">
        <v>1671</v>
      </c>
      <c r="BT629"/>
    </row>
    <row r="630" spans="1:72" s="23" customFormat="1" ht="18" customHeight="1" x14ac:dyDescent="0.3">
      <c r="A630" s="35" t="s">
        <v>620</v>
      </c>
      <c r="B630" s="37"/>
      <c r="C630" s="37"/>
      <c r="D630" s="37"/>
      <c r="E630" s="37"/>
      <c r="F630" s="35" t="s">
        <v>1628</v>
      </c>
      <c r="G630" s="37"/>
      <c r="H630" s="37"/>
      <c r="I630" s="37"/>
      <c r="J630" s="37"/>
      <c r="K630" s="21" t="str">
        <f t="shared" si="425"/>
        <v>Apprenant 618</v>
      </c>
      <c r="L630" s="22" t="str">
        <f t="shared" si="426"/>
        <v/>
      </c>
      <c r="M630" s="22" t="str">
        <f t="shared" si="427"/>
        <v/>
      </c>
      <c r="N630" s="22" t="str">
        <f t="shared" si="428"/>
        <v/>
      </c>
      <c r="O630" s="22" t="str">
        <f t="shared" si="429"/>
        <v/>
      </c>
      <c r="P630" s="21" t="str">
        <f t="shared" si="430"/>
        <v>Apprenant 618 ou 618'</v>
      </c>
      <c r="Q630" s="22" t="str">
        <f t="shared" si="431"/>
        <v/>
      </c>
      <c r="R630" s="22" t="str">
        <f t="shared" si="432"/>
        <v/>
      </c>
      <c r="S630" s="22" t="str">
        <f t="shared" si="433"/>
        <v/>
      </c>
      <c r="T630" s="22" t="str">
        <f t="shared" si="434"/>
        <v/>
      </c>
      <c r="V630" s="21" t="str">
        <f t="shared" si="435"/>
        <v>Apprenant 618</v>
      </c>
      <c r="W630" s="22" t="str">
        <f>IF(AND(OR('Choix pédagogiques'!$C$3=1,'Choix pédagogiques'!$C$3=2),$BM630=1),B630,IF(AND('Choix pédagogiques'!$C$3=3,$BO630=1),B630,""))</f>
        <v/>
      </c>
      <c r="X630" s="22" t="str">
        <f>IF(AND(OR('Choix pédagogiques'!$C$3=1,'Choix pédagogiques'!$C$3=2),$BM630=1),C630,IF(AND('Choix pédagogiques'!$C$3=3,$BO630=1),C630,""))</f>
        <v/>
      </c>
      <c r="Y630" s="22" t="str">
        <f>IF(AND(OR('Choix pédagogiques'!$C$3=1,'Choix pédagogiques'!$C$3=2),$BM630=1),D630,IF(AND('Choix pédagogiques'!$C$3=3,$BO630=1),D630,""))</f>
        <v/>
      </c>
      <c r="Z630" s="22" t="str">
        <f t="shared" si="436"/>
        <v/>
      </c>
      <c r="AA630" s="21" t="str">
        <f t="shared" si="437"/>
        <v>Apprenant 618 ou 618'</v>
      </c>
      <c r="AB630" s="22" t="str">
        <f>IF(AND(OR('Choix pédagogiques'!$C$3=1,'Choix pédagogiques'!$C$3=2),$BN630=1),G630,IF(AND('Choix pédagogiques'!$C$3=3,$BO630=1),G630,""))</f>
        <v/>
      </c>
      <c r="AC630" s="22" t="str">
        <f>IF(AND(OR('Choix pédagogiques'!$C$3=1,'Choix pédagogiques'!$C$3=2),$BN630=1),H630,IF(AND('Choix pédagogiques'!$C$3=3,$BO630=1),H630,""))</f>
        <v/>
      </c>
      <c r="AD630" s="22" t="str">
        <f>IF(AND(OR('Choix pédagogiques'!$C$3=1,'Choix pédagogiques'!$C$3=2),$BN630=1),I630,IF(AND('Choix pédagogiques'!$C$3=3,$BO630=1),I630,""))</f>
        <v/>
      </c>
      <c r="AE630" s="22" t="str">
        <f t="shared" si="438"/>
        <v/>
      </c>
      <c r="AF630" s="21" t="str">
        <f t="shared" si="439"/>
        <v>Apprenant 618</v>
      </c>
      <c r="AG630" s="22" t="str">
        <f t="shared" si="413"/>
        <v/>
      </c>
      <c r="AH630" s="22" t="str">
        <f t="shared" si="414"/>
        <v/>
      </c>
      <c r="AI630" s="22" t="str">
        <f t="shared" si="415"/>
        <v/>
      </c>
      <c r="AJ630" s="22" t="str">
        <f t="shared" si="440"/>
        <v/>
      </c>
      <c r="AK630" s="21" t="str">
        <f t="shared" si="441"/>
        <v>Apprenant 618 ou 618'</v>
      </c>
      <c r="AL630" s="22" t="str">
        <f t="shared" si="416"/>
        <v/>
      </c>
      <c r="AM630" s="22" t="str">
        <f t="shared" si="417"/>
        <v/>
      </c>
      <c r="AN630" s="22" t="str">
        <f t="shared" si="418"/>
        <v/>
      </c>
      <c r="AO630" s="22" t="str">
        <f t="shared" si="442"/>
        <v/>
      </c>
      <c r="AQ630" s="21" t="str">
        <f t="shared" si="443"/>
        <v>Apprenant 618</v>
      </c>
      <c r="AR630" s="49" t="str">
        <f>IF(AND('Choix pédagogiques'!$C$4&lt;&gt;"?",'Choix pédagogiques'!$C$5&lt;&gt;"?",W630&lt;&gt;""),(W630-'Choix pédagogiques'!$C$4)/('Choix pédagogiques'!$C$5-'Choix pédagogiques'!$C$4),"")</f>
        <v/>
      </c>
      <c r="AS630" s="49" t="str">
        <f>IF(AND('Choix pédagogiques'!$C$4&lt;&gt;"?",'Choix pédagogiques'!$C$5&lt;&gt;"?",X630&lt;&gt;""),(X630-'Choix pédagogiques'!$C$4)/('Choix pédagogiques'!$C$5-'Choix pédagogiques'!$C$4),"")</f>
        <v/>
      </c>
      <c r="AT630" s="49" t="str">
        <f>IF(AND('Choix pédagogiques'!$C$4&lt;&gt;"?",'Choix pédagogiques'!$C$5&lt;&gt;"?",Y630&lt;&gt;""),(Y630-'Choix pédagogiques'!$C$4)/('Choix pédagogiques'!$C$5-'Choix pédagogiques'!$C$4),"")</f>
        <v/>
      </c>
      <c r="AU630" s="22" t="str">
        <f t="shared" si="444"/>
        <v/>
      </c>
      <c r="AV630" s="21" t="str">
        <f t="shared" si="445"/>
        <v>Apprenant 618 ou 618'</v>
      </c>
      <c r="AW630" s="49" t="str">
        <f>IF(AND('Choix pédagogiques'!$C$4&lt;&gt;"?",'Choix pédagogiques'!$C$5&lt;&gt;"?",AB630&lt;&gt;""),(AB630-'Choix pédagogiques'!$C$4)/('Choix pédagogiques'!$C$5-'Choix pédagogiques'!$C$4),"")</f>
        <v/>
      </c>
      <c r="AX630" s="49" t="str">
        <f>IF(AND('Choix pédagogiques'!$C$4&lt;&gt;"?",'Choix pédagogiques'!$C$5&lt;&gt;"?",AC630&lt;&gt;""),(AC630-'Choix pédagogiques'!$C$4)/('Choix pédagogiques'!$C$5-'Choix pédagogiques'!$C$4),"")</f>
        <v/>
      </c>
      <c r="AY630" s="49" t="str">
        <f>IF(AND('Choix pédagogiques'!$C$4&lt;&gt;"?",'Choix pédagogiques'!$C$5&lt;&gt;"?",AD630&lt;&gt;""),(AD630-'Choix pédagogiques'!$C$4)/('Choix pédagogiques'!$C$5-'Choix pédagogiques'!$C$4),"")</f>
        <v/>
      </c>
      <c r="AZ630" s="22" t="str">
        <f t="shared" si="446"/>
        <v/>
      </c>
      <c r="BA630" s="21" t="str">
        <f t="shared" si="447"/>
        <v>Apprenant 618</v>
      </c>
      <c r="BB630" s="49" t="str">
        <f t="shared" si="419"/>
        <v/>
      </c>
      <c r="BC630" s="49" t="str">
        <f t="shared" si="420"/>
        <v/>
      </c>
      <c r="BD630" s="49" t="str">
        <f t="shared" si="421"/>
        <v/>
      </c>
      <c r="BE630" s="22" t="str">
        <f t="shared" si="448"/>
        <v/>
      </c>
      <c r="BF630" s="21" t="str">
        <f t="shared" si="449"/>
        <v>Apprenant 618 ou 618'</v>
      </c>
      <c r="BG630" s="49" t="str">
        <f t="shared" si="422"/>
        <v/>
      </c>
      <c r="BH630" s="49" t="str">
        <f t="shared" si="423"/>
        <v/>
      </c>
      <c r="BI630" s="49" t="str">
        <f t="shared" si="424"/>
        <v/>
      </c>
      <c r="BJ630" s="22" t="str">
        <f t="shared" si="450"/>
        <v/>
      </c>
      <c r="BL630" s="21"/>
      <c r="BM630" s="21" t="str">
        <f>IF(OR(COUNT(B630:D1629)=0,AND('Choix pédagogiques'!$C$3&lt;&gt;1,'Choix pédagogiques'!$C$3&lt;&gt;2)),"",IF(AND(OR('Choix pédagogiques'!$C$3=1,'Choix pédagogiques'!$C$3=2),$B630&lt;&gt;"",$C630&lt;&gt;"",$D630&lt;&gt;""),1,0))</f>
        <v/>
      </c>
      <c r="BN630" s="21" t="str">
        <f>IF(OR(COUNT(G630:I1629)=0,AND('Choix pédagogiques'!$C$3&lt;&gt;1,'Choix pédagogiques'!$C$3&lt;&gt;2)),"",IF(AND(OR('Choix pédagogiques'!$C$3=1,'Choix pédagogiques'!$C$3=2),AND($G630&lt;&gt;"",$H630&lt;&gt;"",$I630&lt;&gt;"")),1,0))</f>
        <v/>
      </c>
      <c r="BO630" s="21" t="str">
        <f>IF(OR(COUNT(B630:D1629)=0,COUNT(G630:I1629)=0,'Choix pédagogiques'!C$3&lt;&gt;3),"",IF(AND('Choix pédagogiques'!$C$3=3,$B630&lt;&gt;"",$C630&lt;&gt;"",$D630&lt;&gt;"",$G630&lt;&gt;"",$H630&lt;&gt;"",$I630&lt;&gt;""),1,0))</f>
        <v/>
      </c>
      <c r="BR630" s="21">
        <v>427</v>
      </c>
      <c r="BS630" s="21">
        <v>1760</v>
      </c>
      <c r="BT630"/>
    </row>
    <row r="631" spans="1:72" s="23" customFormat="1" ht="18" customHeight="1" x14ac:dyDescent="0.3">
      <c r="A631" s="35" t="s">
        <v>621</v>
      </c>
      <c r="B631" s="37"/>
      <c r="C631" s="37"/>
      <c r="D631" s="37"/>
      <c r="E631" s="37"/>
      <c r="F631" s="35" t="s">
        <v>1629</v>
      </c>
      <c r="G631" s="37"/>
      <c r="H631" s="37"/>
      <c r="I631" s="37"/>
      <c r="J631" s="37"/>
      <c r="K631" s="21" t="str">
        <f t="shared" si="425"/>
        <v>Apprenant 619</v>
      </c>
      <c r="L631" s="22" t="str">
        <f t="shared" si="426"/>
        <v/>
      </c>
      <c r="M631" s="22" t="str">
        <f t="shared" si="427"/>
        <v/>
      </c>
      <c r="N631" s="22" t="str">
        <f t="shared" si="428"/>
        <v/>
      </c>
      <c r="O631" s="22" t="str">
        <f t="shared" si="429"/>
        <v/>
      </c>
      <c r="P631" s="21" t="str">
        <f t="shared" si="430"/>
        <v>Apprenant 619 ou 619'</v>
      </c>
      <c r="Q631" s="22" t="str">
        <f t="shared" si="431"/>
        <v/>
      </c>
      <c r="R631" s="22" t="str">
        <f t="shared" si="432"/>
        <v/>
      </c>
      <c r="S631" s="22" t="str">
        <f t="shared" si="433"/>
        <v/>
      </c>
      <c r="T631" s="22" t="str">
        <f t="shared" si="434"/>
        <v/>
      </c>
      <c r="V631" s="21" t="str">
        <f t="shared" si="435"/>
        <v>Apprenant 619</v>
      </c>
      <c r="W631" s="22" t="str">
        <f>IF(AND(OR('Choix pédagogiques'!$C$3=1,'Choix pédagogiques'!$C$3=2),$BM631=1),B631,IF(AND('Choix pédagogiques'!$C$3=3,$BO631=1),B631,""))</f>
        <v/>
      </c>
      <c r="X631" s="22" t="str">
        <f>IF(AND(OR('Choix pédagogiques'!$C$3=1,'Choix pédagogiques'!$C$3=2),$BM631=1),C631,IF(AND('Choix pédagogiques'!$C$3=3,$BO631=1),C631,""))</f>
        <v/>
      </c>
      <c r="Y631" s="22" t="str">
        <f>IF(AND(OR('Choix pédagogiques'!$C$3=1,'Choix pédagogiques'!$C$3=2),$BM631=1),D631,IF(AND('Choix pédagogiques'!$C$3=3,$BO631=1),D631,""))</f>
        <v/>
      </c>
      <c r="Z631" s="22" t="str">
        <f t="shared" si="436"/>
        <v/>
      </c>
      <c r="AA631" s="21" t="str">
        <f t="shared" si="437"/>
        <v>Apprenant 619 ou 619'</v>
      </c>
      <c r="AB631" s="22" t="str">
        <f>IF(AND(OR('Choix pédagogiques'!$C$3=1,'Choix pédagogiques'!$C$3=2),$BN631=1),G631,IF(AND('Choix pédagogiques'!$C$3=3,$BO631=1),G631,""))</f>
        <v/>
      </c>
      <c r="AC631" s="22" t="str">
        <f>IF(AND(OR('Choix pédagogiques'!$C$3=1,'Choix pédagogiques'!$C$3=2),$BN631=1),H631,IF(AND('Choix pédagogiques'!$C$3=3,$BO631=1),H631,""))</f>
        <v/>
      </c>
      <c r="AD631" s="22" t="str">
        <f>IF(AND(OR('Choix pédagogiques'!$C$3=1,'Choix pédagogiques'!$C$3=2),$BN631=1),I631,IF(AND('Choix pédagogiques'!$C$3=3,$BO631=1),I631,""))</f>
        <v/>
      </c>
      <c r="AE631" s="22" t="str">
        <f t="shared" si="438"/>
        <v/>
      </c>
      <c r="AF631" s="21" t="str">
        <f t="shared" si="439"/>
        <v>Apprenant 619</v>
      </c>
      <c r="AG631" s="22" t="str">
        <f t="shared" si="413"/>
        <v/>
      </c>
      <c r="AH631" s="22" t="str">
        <f t="shared" si="414"/>
        <v/>
      </c>
      <c r="AI631" s="22" t="str">
        <f t="shared" si="415"/>
        <v/>
      </c>
      <c r="AJ631" s="22" t="str">
        <f t="shared" si="440"/>
        <v/>
      </c>
      <c r="AK631" s="21" t="str">
        <f t="shared" si="441"/>
        <v>Apprenant 619 ou 619'</v>
      </c>
      <c r="AL631" s="22" t="str">
        <f t="shared" si="416"/>
        <v/>
      </c>
      <c r="AM631" s="22" t="str">
        <f t="shared" si="417"/>
        <v/>
      </c>
      <c r="AN631" s="22" t="str">
        <f t="shared" si="418"/>
        <v/>
      </c>
      <c r="AO631" s="22" t="str">
        <f t="shared" si="442"/>
        <v/>
      </c>
      <c r="AQ631" s="21" t="str">
        <f t="shared" si="443"/>
        <v>Apprenant 619</v>
      </c>
      <c r="AR631" s="49" t="str">
        <f>IF(AND('Choix pédagogiques'!$C$4&lt;&gt;"?",'Choix pédagogiques'!$C$5&lt;&gt;"?",W631&lt;&gt;""),(W631-'Choix pédagogiques'!$C$4)/('Choix pédagogiques'!$C$5-'Choix pédagogiques'!$C$4),"")</f>
        <v/>
      </c>
      <c r="AS631" s="49" t="str">
        <f>IF(AND('Choix pédagogiques'!$C$4&lt;&gt;"?",'Choix pédagogiques'!$C$5&lt;&gt;"?",X631&lt;&gt;""),(X631-'Choix pédagogiques'!$C$4)/('Choix pédagogiques'!$C$5-'Choix pédagogiques'!$C$4),"")</f>
        <v/>
      </c>
      <c r="AT631" s="49" t="str">
        <f>IF(AND('Choix pédagogiques'!$C$4&lt;&gt;"?",'Choix pédagogiques'!$C$5&lt;&gt;"?",Y631&lt;&gt;""),(Y631-'Choix pédagogiques'!$C$4)/('Choix pédagogiques'!$C$5-'Choix pédagogiques'!$C$4),"")</f>
        <v/>
      </c>
      <c r="AU631" s="22" t="str">
        <f t="shared" si="444"/>
        <v/>
      </c>
      <c r="AV631" s="21" t="str">
        <f t="shared" si="445"/>
        <v>Apprenant 619 ou 619'</v>
      </c>
      <c r="AW631" s="49" t="str">
        <f>IF(AND('Choix pédagogiques'!$C$4&lt;&gt;"?",'Choix pédagogiques'!$C$5&lt;&gt;"?",AB631&lt;&gt;""),(AB631-'Choix pédagogiques'!$C$4)/('Choix pédagogiques'!$C$5-'Choix pédagogiques'!$C$4),"")</f>
        <v/>
      </c>
      <c r="AX631" s="49" t="str">
        <f>IF(AND('Choix pédagogiques'!$C$4&lt;&gt;"?",'Choix pédagogiques'!$C$5&lt;&gt;"?",AC631&lt;&gt;""),(AC631-'Choix pédagogiques'!$C$4)/('Choix pédagogiques'!$C$5-'Choix pédagogiques'!$C$4),"")</f>
        <v/>
      </c>
      <c r="AY631" s="49" t="str">
        <f>IF(AND('Choix pédagogiques'!$C$4&lt;&gt;"?",'Choix pédagogiques'!$C$5&lt;&gt;"?",AD631&lt;&gt;""),(AD631-'Choix pédagogiques'!$C$4)/('Choix pédagogiques'!$C$5-'Choix pédagogiques'!$C$4),"")</f>
        <v/>
      </c>
      <c r="AZ631" s="22" t="str">
        <f t="shared" si="446"/>
        <v/>
      </c>
      <c r="BA631" s="21" t="str">
        <f t="shared" si="447"/>
        <v>Apprenant 619</v>
      </c>
      <c r="BB631" s="49" t="str">
        <f t="shared" si="419"/>
        <v/>
      </c>
      <c r="BC631" s="49" t="str">
        <f t="shared" si="420"/>
        <v/>
      </c>
      <c r="BD631" s="49" t="str">
        <f t="shared" si="421"/>
        <v/>
      </c>
      <c r="BE631" s="22" t="str">
        <f t="shared" si="448"/>
        <v/>
      </c>
      <c r="BF631" s="21" t="str">
        <f t="shared" si="449"/>
        <v>Apprenant 619 ou 619'</v>
      </c>
      <c r="BG631" s="49" t="str">
        <f t="shared" si="422"/>
        <v/>
      </c>
      <c r="BH631" s="49" t="str">
        <f t="shared" si="423"/>
        <v/>
      </c>
      <c r="BI631" s="49" t="str">
        <f t="shared" si="424"/>
        <v/>
      </c>
      <c r="BJ631" s="22" t="str">
        <f t="shared" si="450"/>
        <v/>
      </c>
      <c r="BL631" s="21"/>
      <c r="BM631" s="21" t="str">
        <f>IF(OR(COUNT(B631:D1630)=0,AND('Choix pédagogiques'!$C$3&lt;&gt;1,'Choix pédagogiques'!$C$3&lt;&gt;2)),"",IF(AND(OR('Choix pédagogiques'!$C$3=1,'Choix pédagogiques'!$C$3=2),$B631&lt;&gt;"",$C631&lt;&gt;"",$D631&lt;&gt;""),1,0))</f>
        <v/>
      </c>
      <c r="BN631" s="21" t="str">
        <f>IF(OR(COUNT(G631:I1630)=0,AND('Choix pédagogiques'!$C$3&lt;&gt;1,'Choix pédagogiques'!$C$3&lt;&gt;2)),"",IF(AND(OR('Choix pédagogiques'!$C$3=1,'Choix pédagogiques'!$C$3=2),AND($G631&lt;&gt;"",$H631&lt;&gt;"",$I631&lt;&gt;"")),1,0))</f>
        <v/>
      </c>
      <c r="BO631" s="21" t="str">
        <f>IF(OR(COUNT(B631:D1630)=0,COUNT(G631:I1630)=0,'Choix pédagogiques'!C$3&lt;&gt;3),"",IF(AND('Choix pédagogiques'!$C$3=3,$B631&lt;&gt;"",$C631&lt;&gt;"",$D631&lt;&gt;"",$G631&lt;&gt;"",$H631&lt;&gt;"",$I631&lt;&gt;""),1,0))</f>
        <v/>
      </c>
      <c r="BR631" s="21">
        <v>677</v>
      </c>
      <c r="BS631" s="21">
        <v>1368</v>
      </c>
      <c r="BT631"/>
    </row>
    <row r="632" spans="1:72" s="23" customFormat="1" ht="18" customHeight="1" x14ac:dyDescent="0.3">
      <c r="A632" s="35" t="s">
        <v>622</v>
      </c>
      <c r="B632" s="37"/>
      <c r="C632" s="37"/>
      <c r="D632" s="37"/>
      <c r="E632" s="37"/>
      <c r="F632" s="35" t="s">
        <v>1630</v>
      </c>
      <c r="G632" s="37"/>
      <c r="H632" s="37"/>
      <c r="I632" s="37"/>
      <c r="J632" s="37"/>
      <c r="K632" s="21" t="str">
        <f t="shared" si="425"/>
        <v>Apprenant 620</v>
      </c>
      <c r="L632" s="22" t="str">
        <f t="shared" si="426"/>
        <v/>
      </c>
      <c r="M632" s="22" t="str">
        <f t="shared" si="427"/>
        <v/>
      </c>
      <c r="N632" s="22" t="str">
        <f t="shared" si="428"/>
        <v/>
      </c>
      <c r="O632" s="22" t="str">
        <f t="shared" si="429"/>
        <v/>
      </c>
      <c r="P632" s="21" t="str">
        <f t="shared" si="430"/>
        <v>Apprenant 620 ou 620'</v>
      </c>
      <c r="Q632" s="22" t="str">
        <f t="shared" si="431"/>
        <v/>
      </c>
      <c r="R632" s="22" t="str">
        <f t="shared" si="432"/>
        <v/>
      </c>
      <c r="S632" s="22" t="str">
        <f t="shared" si="433"/>
        <v/>
      </c>
      <c r="T632" s="22" t="str">
        <f t="shared" si="434"/>
        <v/>
      </c>
      <c r="V632" s="21" t="str">
        <f t="shared" si="435"/>
        <v>Apprenant 620</v>
      </c>
      <c r="W632" s="22" t="str">
        <f>IF(AND(OR('Choix pédagogiques'!$C$3=1,'Choix pédagogiques'!$C$3=2),$BM632=1),B632,IF(AND('Choix pédagogiques'!$C$3=3,$BO632=1),B632,""))</f>
        <v/>
      </c>
      <c r="X632" s="22" t="str">
        <f>IF(AND(OR('Choix pédagogiques'!$C$3=1,'Choix pédagogiques'!$C$3=2),$BM632=1),C632,IF(AND('Choix pédagogiques'!$C$3=3,$BO632=1),C632,""))</f>
        <v/>
      </c>
      <c r="Y632" s="22" t="str">
        <f>IF(AND(OR('Choix pédagogiques'!$C$3=1,'Choix pédagogiques'!$C$3=2),$BM632=1),D632,IF(AND('Choix pédagogiques'!$C$3=3,$BO632=1),D632,""))</f>
        <v/>
      </c>
      <c r="Z632" s="22" t="str">
        <f t="shared" si="436"/>
        <v/>
      </c>
      <c r="AA632" s="21" t="str">
        <f t="shared" si="437"/>
        <v>Apprenant 620 ou 620'</v>
      </c>
      <c r="AB632" s="22" t="str">
        <f>IF(AND(OR('Choix pédagogiques'!$C$3=1,'Choix pédagogiques'!$C$3=2),$BN632=1),G632,IF(AND('Choix pédagogiques'!$C$3=3,$BO632=1),G632,""))</f>
        <v/>
      </c>
      <c r="AC632" s="22" t="str">
        <f>IF(AND(OR('Choix pédagogiques'!$C$3=1,'Choix pédagogiques'!$C$3=2),$BN632=1),H632,IF(AND('Choix pédagogiques'!$C$3=3,$BO632=1),H632,""))</f>
        <v/>
      </c>
      <c r="AD632" s="22" t="str">
        <f>IF(AND(OR('Choix pédagogiques'!$C$3=1,'Choix pédagogiques'!$C$3=2),$BN632=1),I632,IF(AND('Choix pédagogiques'!$C$3=3,$BO632=1),I632,""))</f>
        <v/>
      </c>
      <c r="AE632" s="22" t="str">
        <f t="shared" si="438"/>
        <v/>
      </c>
      <c r="AF632" s="21" t="str">
        <f t="shared" si="439"/>
        <v>Apprenant 620</v>
      </c>
      <c r="AG632" s="22" t="str">
        <f t="shared" si="413"/>
        <v/>
      </c>
      <c r="AH632" s="22" t="str">
        <f t="shared" si="414"/>
        <v/>
      </c>
      <c r="AI632" s="22" t="str">
        <f t="shared" si="415"/>
        <v/>
      </c>
      <c r="AJ632" s="22" t="str">
        <f t="shared" si="440"/>
        <v/>
      </c>
      <c r="AK632" s="21" t="str">
        <f t="shared" si="441"/>
        <v>Apprenant 620 ou 620'</v>
      </c>
      <c r="AL632" s="22" t="str">
        <f t="shared" si="416"/>
        <v/>
      </c>
      <c r="AM632" s="22" t="str">
        <f t="shared" si="417"/>
        <v/>
      </c>
      <c r="AN632" s="22" t="str">
        <f t="shared" si="418"/>
        <v/>
      </c>
      <c r="AO632" s="22" t="str">
        <f t="shared" si="442"/>
        <v/>
      </c>
      <c r="AQ632" s="21" t="str">
        <f t="shared" si="443"/>
        <v>Apprenant 620</v>
      </c>
      <c r="AR632" s="49" t="str">
        <f>IF(AND('Choix pédagogiques'!$C$4&lt;&gt;"?",'Choix pédagogiques'!$C$5&lt;&gt;"?",W632&lt;&gt;""),(W632-'Choix pédagogiques'!$C$4)/('Choix pédagogiques'!$C$5-'Choix pédagogiques'!$C$4),"")</f>
        <v/>
      </c>
      <c r="AS632" s="49" t="str">
        <f>IF(AND('Choix pédagogiques'!$C$4&lt;&gt;"?",'Choix pédagogiques'!$C$5&lt;&gt;"?",X632&lt;&gt;""),(X632-'Choix pédagogiques'!$C$4)/('Choix pédagogiques'!$C$5-'Choix pédagogiques'!$C$4),"")</f>
        <v/>
      </c>
      <c r="AT632" s="49" t="str">
        <f>IF(AND('Choix pédagogiques'!$C$4&lt;&gt;"?",'Choix pédagogiques'!$C$5&lt;&gt;"?",Y632&lt;&gt;""),(Y632-'Choix pédagogiques'!$C$4)/('Choix pédagogiques'!$C$5-'Choix pédagogiques'!$C$4),"")</f>
        <v/>
      </c>
      <c r="AU632" s="22" t="str">
        <f t="shared" si="444"/>
        <v/>
      </c>
      <c r="AV632" s="21" t="str">
        <f t="shared" si="445"/>
        <v>Apprenant 620 ou 620'</v>
      </c>
      <c r="AW632" s="49" t="str">
        <f>IF(AND('Choix pédagogiques'!$C$4&lt;&gt;"?",'Choix pédagogiques'!$C$5&lt;&gt;"?",AB632&lt;&gt;""),(AB632-'Choix pédagogiques'!$C$4)/('Choix pédagogiques'!$C$5-'Choix pédagogiques'!$C$4),"")</f>
        <v/>
      </c>
      <c r="AX632" s="49" t="str">
        <f>IF(AND('Choix pédagogiques'!$C$4&lt;&gt;"?",'Choix pédagogiques'!$C$5&lt;&gt;"?",AC632&lt;&gt;""),(AC632-'Choix pédagogiques'!$C$4)/('Choix pédagogiques'!$C$5-'Choix pédagogiques'!$C$4),"")</f>
        <v/>
      </c>
      <c r="AY632" s="49" t="str">
        <f>IF(AND('Choix pédagogiques'!$C$4&lt;&gt;"?",'Choix pédagogiques'!$C$5&lt;&gt;"?",AD632&lt;&gt;""),(AD632-'Choix pédagogiques'!$C$4)/('Choix pédagogiques'!$C$5-'Choix pédagogiques'!$C$4),"")</f>
        <v/>
      </c>
      <c r="AZ632" s="22" t="str">
        <f t="shared" si="446"/>
        <v/>
      </c>
      <c r="BA632" s="21" t="str">
        <f t="shared" si="447"/>
        <v>Apprenant 620</v>
      </c>
      <c r="BB632" s="49" t="str">
        <f t="shared" si="419"/>
        <v/>
      </c>
      <c r="BC632" s="49" t="str">
        <f t="shared" si="420"/>
        <v/>
      </c>
      <c r="BD632" s="49" t="str">
        <f t="shared" si="421"/>
        <v/>
      </c>
      <c r="BE632" s="22" t="str">
        <f t="shared" si="448"/>
        <v/>
      </c>
      <c r="BF632" s="21" t="str">
        <f t="shared" si="449"/>
        <v>Apprenant 620 ou 620'</v>
      </c>
      <c r="BG632" s="49" t="str">
        <f t="shared" si="422"/>
        <v/>
      </c>
      <c r="BH632" s="49" t="str">
        <f t="shared" si="423"/>
        <v/>
      </c>
      <c r="BI632" s="49" t="str">
        <f t="shared" si="424"/>
        <v/>
      </c>
      <c r="BJ632" s="22" t="str">
        <f t="shared" si="450"/>
        <v/>
      </c>
      <c r="BL632" s="21"/>
      <c r="BM632" s="21" t="str">
        <f>IF(OR(COUNT(B632:D1631)=0,AND('Choix pédagogiques'!$C$3&lt;&gt;1,'Choix pédagogiques'!$C$3&lt;&gt;2)),"",IF(AND(OR('Choix pédagogiques'!$C$3=1,'Choix pédagogiques'!$C$3=2),$B632&lt;&gt;"",$C632&lt;&gt;"",$D632&lt;&gt;""),1,0))</f>
        <v/>
      </c>
      <c r="BN632" s="21" t="str">
        <f>IF(OR(COUNT(G632:I1631)=0,AND('Choix pédagogiques'!$C$3&lt;&gt;1,'Choix pédagogiques'!$C$3&lt;&gt;2)),"",IF(AND(OR('Choix pédagogiques'!$C$3=1,'Choix pédagogiques'!$C$3=2),AND($G632&lt;&gt;"",$H632&lt;&gt;"",$I632&lt;&gt;"")),1,0))</f>
        <v/>
      </c>
      <c r="BO632" s="21" t="str">
        <f>IF(OR(COUNT(B632:D1631)=0,COUNT(G632:I1631)=0,'Choix pédagogiques'!C$3&lt;&gt;3),"",IF(AND('Choix pédagogiques'!$C$3=3,$B632&lt;&gt;"",$C632&lt;&gt;"",$D632&lt;&gt;"",$G632&lt;&gt;"",$H632&lt;&gt;"",$I632&lt;&gt;""),1,0))</f>
        <v/>
      </c>
      <c r="BR632" s="21">
        <v>785</v>
      </c>
      <c r="BS632" s="21">
        <v>1668</v>
      </c>
      <c r="BT632"/>
    </row>
    <row r="633" spans="1:72" s="23" customFormat="1" ht="18" customHeight="1" x14ac:dyDescent="0.3">
      <c r="A633" s="35" t="s">
        <v>623</v>
      </c>
      <c r="B633" s="37"/>
      <c r="C633" s="37"/>
      <c r="D633" s="37"/>
      <c r="E633" s="37"/>
      <c r="F633" s="35" t="s">
        <v>1631</v>
      </c>
      <c r="G633" s="37"/>
      <c r="H633" s="37"/>
      <c r="I633" s="37"/>
      <c r="J633" s="37"/>
      <c r="K633" s="21" t="str">
        <f t="shared" si="425"/>
        <v>Apprenant 621</v>
      </c>
      <c r="L633" s="22" t="str">
        <f t="shared" si="426"/>
        <v/>
      </c>
      <c r="M633" s="22" t="str">
        <f t="shared" si="427"/>
        <v/>
      </c>
      <c r="N633" s="22" t="str">
        <f t="shared" si="428"/>
        <v/>
      </c>
      <c r="O633" s="22" t="str">
        <f t="shared" si="429"/>
        <v/>
      </c>
      <c r="P633" s="21" t="str">
        <f t="shared" si="430"/>
        <v>Apprenant 621 ou 621'</v>
      </c>
      <c r="Q633" s="22" t="str">
        <f t="shared" si="431"/>
        <v/>
      </c>
      <c r="R633" s="22" t="str">
        <f t="shared" si="432"/>
        <v/>
      </c>
      <c r="S633" s="22" t="str">
        <f t="shared" si="433"/>
        <v/>
      </c>
      <c r="T633" s="22" t="str">
        <f t="shared" si="434"/>
        <v/>
      </c>
      <c r="V633" s="21" t="str">
        <f t="shared" si="435"/>
        <v>Apprenant 621</v>
      </c>
      <c r="W633" s="22" t="str">
        <f>IF(AND(OR('Choix pédagogiques'!$C$3=1,'Choix pédagogiques'!$C$3=2),$BM633=1),B633,IF(AND('Choix pédagogiques'!$C$3=3,$BO633=1),B633,""))</f>
        <v/>
      </c>
      <c r="X633" s="22" t="str">
        <f>IF(AND(OR('Choix pédagogiques'!$C$3=1,'Choix pédagogiques'!$C$3=2),$BM633=1),C633,IF(AND('Choix pédagogiques'!$C$3=3,$BO633=1),C633,""))</f>
        <v/>
      </c>
      <c r="Y633" s="22" t="str">
        <f>IF(AND(OR('Choix pédagogiques'!$C$3=1,'Choix pédagogiques'!$C$3=2),$BM633=1),D633,IF(AND('Choix pédagogiques'!$C$3=3,$BO633=1),D633,""))</f>
        <v/>
      </c>
      <c r="Z633" s="22" t="str">
        <f t="shared" si="436"/>
        <v/>
      </c>
      <c r="AA633" s="21" t="str">
        <f t="shared" si="437"/>
        <v>Apprenant 621 ou 621'</v>
      </c>
      <c r="AB633" s="22" t="str">
        <f>IF(AND(OR('Choix pédagogiques'!$C$3=1,'Choix pédagogiques'!$C$3=2),$BN633=1),G633,IF(AND('Choix pédagogiques'!$C$3=3,$BO633=1),G633,""))</f>
        <v/>
      </c>
      <c r="AC633" s="22" t="str">
        <f>IF(AND(OR('Choix pédagogiques'!$C$3=1,'Choix pédagogiques'!$C$3=2),$BN633=1),H633,IF(AND('Choix pédagogiques'!$C$3=3,$BO633=1),H633,""))</f>
        <v/>
      </c>
      <c r="AD633" s="22" t="str">
        <f>IF(AND(OR('Choix pédagogiques'!$C$3=1,'Choix pédagogiques'!$C$3=2),$BN633=1),I633,IF(AND('Choix pédagogiques'!$C$3=3,$BO633=1),I633,""))</f>
        <v/>
      </c>
      <c r="AE633" s="22" t="str">
        <f t="shared" si="438"/>
        <v/>
      </c>
      <c r="AF633" s="21" t="str">
        <f t="shared" si="439"/>
        <v>Apprenant 621</v>
      </c>
      <c r="AG633" s="22" t="str">
        <f t="shared" si="413"/>
        <v/>
      </c>
      <c r="AH633" s="22" t="str">
        <f t="shared" si="414"/>
        <v/>
      </c>
      <c r="AI633" s="22" t="str">
        <f t="shared" si="415"/>
        <v/>
      </c>
      <c r="AJ633" s="22" t="str">
        <f t="shared" si="440"/>
        <v/>
      </c>
      <c r="AK633" s="21" t="str">
        <f t="shared" si="441"/>
        <v>Apprenant 621 ou 621'</v>
      </c>
      <c r="AL633" s="22" t="str">
        <f t="shared" si="416"/>
        <v/>
      </c>
      <c r="AM633" s="22" t="str">
        <f t="shared" si="417"/>
        <v/>
      </c>
      <c r="AN633" s="22" t="str">
        <f t="shared" si="418"/>
        <v/>
      </c>
      <c r="AO633" s="22" t="str">
        <f t="shared" si="442"/>
        <v/>
      </c>
      <c r="AQ633" s="21" t="str">
        <f t="shared" si="443"/>
        <v>Apprenant 621</v>
      </c>
      <c r="AR633" s="49" t="str">
        <f>IF(AND('Choix pédagogiques'!$C$4&lt;&gt;"?",'Choix pédagogiques'!$C$5&lt;&gt;"?",W633&lt;&gt;""),(W633-'Choix pédagogiques'!$C$4)/('Choix pédagogiques'!$C$5-'Choix pédagogiques'!$C$4),"")</f>
        <v/>
      </c>
      <c r="AS633" s="49" t="str">
        <f>IF(AND('Choix pédagogiques'!$C$4&lt;&gt;"?",'Choix pédagogiques'!$C$5&lt;&gt;"?",X633&lt;&gt;""),(X633-'Choix pédagogiques'!$C$4)/('Choix pédagogiques'!$C$5-'Choix pédagogiques'!$C$4),"")</f>
        <v/>
      </c>
      <c r="AT633" s="49" t="str">
        <f>IF(AND('Choix pédagogiques'!$C$4&lt;&gt;"?",'Choix pédagogiques'!$C$5&lt;&gt;"?",Y633&lt;&gt;""),(Y633-'Choix pédagogiques'!$C$4)/('Choix pédagogiques'!$C$5-'Choix pédagogiques'!$C$4),"")</f>
        <v/>
      </c>
      <c r="AU633" s="22" t="str">
        <f t="shared" si="444"/>
        <v/>
      </c>
      <c r="AV633" s="21" t="str">
        <f t="shared" si="445"/>
        <v>Apprenant 621 ou 621'</v>
      </c>
      <c r="AW633" s="49" t="str">
        <f>IF(AND('Choix pédagogiques'!$C$4&lt;&gt;"?",'Choix pédagogiques'!$C$5&lt;&gt;"?",AB633&lt;&gt;""),(AB633-'Choix pédagogiques'!$C$4)/('Choix pédagogiques'!$C$5-'Choix pédagogiques'!$C$4),"")</f>
        <v/>
      </c>
      <c r="AX633" s="49" t="str">
        <f>IF(AND('Choix pédagogiques'!$C$4&lt;&gt;"?",'Choix pédagogiques'!$C$5&lt;&gt;"?",AC633&lt;&gt;""),(AC633-'Choix pédagogiques'!$C$4)/('Choix pédagogiques'!$C$5-'Choix pédagogiques'!$C$4),"")</f>
        <v/>
      </c>
      <c r="AY633" s="49" t="str">
        <f>IF(AND('Choix pédagogiques'!$C$4&lt;&gt;"?",'Choix pédagogiques'!$C$5&lt;&gt;"?",AD633&lt;&gt;""),(AD633-'Choix pédagogiques'!$C$4)/('Choix pédagogiques'!$C$5-'Choix pédagogiques'!$C$4),"")</f>
        <v/>
      </c>
      <c r="AZ633" s="22" t="str">
        <f t="shared" si="446"/>
        <v/>
      </c>
      <c r="BA633" s="21" t="str">
        <f t="shared" si="447"/>
        <v>Apprenant 621</v>
      </c>
      <c r="BB633" s="49" t="str">
        <f t="shared" si="419"/>
        <v/>
      </c>
      <c r="BC633" s="49" t="str">
        <f t="shared" si="420"/>
        <v/>
      </c>
      <c r="BD633" s="49" t="str">
        <f t="shared" si="421"/>
        <v/>
      </c>
      <c r="BE633" s="22" t="str">
        <f t="shared" si="448"/>
        <v/>
      </c>
      <c r="BF633" s="21" t="str">
        <f t="shared" si="449"/>
        <v>Apprenant 621 ou 621'</v>
      </c>
      <c r="BG633" s="49" t="str">
        <f t="shared" si="422"/>
        <v/>
      </c>
      <c r="BH633" s="49" t="str">
        <f t="shared" si="423"/>
        <v/>
      </c>
      <c r="BI633" s="49" t="str">
        <f t="shared" si="424"/>
        <v/>
      </c>
      <c r="BJ633" s="22" t="str">
        <f t="shared" si="450"/>
        <v/>
      </c>
      <c r="BL633" s="21"/>
      <c r="BM633" s="21" t="str">
        <f>IF(OR(COUNT(B633:D1632)=0,AND('Choix pédagogiques'!$C$3&lt;&gt;1,'Choix pédagogiques'!$C$3&lt;&gt;2)),"",IF(AND(OR('Choix pédagogiques'!$C$3=1,'Choix pédagogiques'!$C$3=2),$B633&lt;&gt;"",$C633&lt;&gt;"",$D633&lt;&gt;""),1,0))</f>
        <v/>
      </c>
      <c r="BN633" s="21" t="str">
        <f>IF(OR(COUNT(G633:I1632)=0,AND('Choix pédagogiques'!$C$3&lt;&gt;1,'Choix pédagogiques'!$C$3&lt;&gt;2)),"",IF(AND(OR('Choix pédagogiques'!$C$3=1,'Choix pédagogiques'!$C$3=2),AND($G633&lt;&gt;"",$H633&lt;&gt;"",$I633&lt;&gt;"")),1,0))</f>
        <v/>
      </c>
      <c r="BO633" s="21" t="str">
        <f>IF(OR(COUNT(B633:D1632)=0,COUNT(G633:I1632)=0,'Choix pédagogiques'!C$3&lt;&gt;3),"",IF(AND('Choix pédagogiques'!$C$3=3,$B633&lt;&gt;"",$C633&lt;&gt;"",$D633&lt;&gt;"",$G633&lt;&gt;"",$H633&lt;&gt;"",$I633&lt;&gt;""),1,0))</f>
        <v/>
      </c>
      <c r="BR633" s="21">
        <v>318</v>
      </c>
      <c r="BS633" s="21">
        <v>1799</v>
      </c>
      <c r="BT633"/>
    </row>
    <row r="634" spans="1:72" s="23" customFormat="1" ht="18" customHeight="1" x14ac:dyDescent="0.3">
      <c r="A634" s="35" t="s">
        <v>624</v>
      </c>
      <c r="B634" s="37"/>
      <c r="C634" s="37"/>
      <c r="D634" s="37"/>
      <c r="E634" s="37"/>
      <c r="F634" s="35" t="s">
        <v>1632</v>
      </c>
      <c r="G634" s="37"/>
      <c r="H634" s="37"/>
      <c r="I634" s="37"/>
      <c r="J634" s="37"/>
      <c r="K634" s="21" t="str">
        <f t="shared" si="425"/>
        <v>Apprenant 622</v>
      </c>
      <c r="L634" s="22" t="str">
        <f t="shared" si="426"/>
        <v/>
      </c>
      <c r="M634" s="22" t="str">
        <f t="shared" si="427"/>
        <v/>
      </c>
      <c r="N634" s="22" t="str">
        <f t="shared" si="428"/>
        <v/>
      </c>
      <c r="O634" s="22" t="str">
        <f t="shared" si="429"/>
        <v/>
      </c>
      <c r="P634" s="21" t="str">
        <f t="shared" si="430"/>
        <v>Apprenant 622 ou 622'</v>
      </c>
      <c r="Q634" s="22" t="str">
        <f t="shared" si="431"/>
        <v/>
      </c>
      <c r="R634" s="22" t="str">
        <f t="shared" si="432"/>
        <v/>
      </c>
      <c r="S634" s="22" t="str">
        <f t="shared" si="433"/>
        <v/>
      </c>
      <c r="T634" s="22" t="str">
        <f t="shared" si="434"/>
        <v/>
      </c>
      <c r="V634" s="21" t="str">
        <f t="shared" si="435"/>
        <v>Apprenant 622</v>
      </c>
      <c r="W634" s="22" t="str">
        <f>IF(AND(OR('Choix pédagogiques'!$C$3=1,'Choix pédagogiques'!$C$3=2),$BM634=1),B634,IF(AND('Choix pédagogiques'!$C$3=3,$BO634=1),B634,""))</f>
        <v/>
      </c>
      <c r="X634" s="22" t="str">
        <f>IF(AND(OR('Choix pédagogiques'!$C$3=1,'Choix pédagogiques'!$C$3=2),$BM634=1),C634,IF(AND('Choix pédagogiques'!$C$3=3,$BO634=1),C634,""))</f>
        <v/>
      </c>
      <c r="Y634" s="22" t="str">
        <f>IF(AND(OR('Choix pédagogiques'!$C$3=1,'Choix pédagogiques'!$C$3=2),$BM634=1),D634,IF(AND('Choix pédagogiques'!$C$3=3,$BO634=1),D634,""))</f>
        <v/>
      </c>
      <c r="Z634" s="22" t="str">
        <f t="shared" si="436"/>
        <v/>
      </c>
      <c r="AA634" s="21" t="str">
        <f t="shared" si="437"/>
        <v>Apprenant 622 ou 622'</v>
      </c>
      <c r="AB634" s="22" t="str">
        <f>IF(AND(OR('Choix pédagogiques'!$C$3=1,'Choix pédagogiques'!$C$3=2),$BN634=1),G634,IF(AND('Choix pédagogiques'!$C$3=3,$BO634=1),G634,""))</f>
        <v/>
      </c>
      <c r="AC634" s="22" t="str">
        <f>IF(AND(OR('Choix pédagogiques'!$C$3=1,'Choix pédagogiques'!$C$3=2),$BN634=1),H634,IF(AND('Choix pédagogiques'!$C$3=3,$BO634=1),H634,""))</f>
        <v/>
      </c>
      <c r="AD634" s="22" t="str">
        <f>IF(AND(OR('Choix pédagogiques'!$C$3=1,'Choix pédagogiques'!$C$3=2),$BN634=1),I634,IF(AND('Choix pédagogiques'!$C$3=3,$BO634=1),I634,""))</f>
        <v/>
      </c>
      <c r="AE634" s="22" t="str">
        <f t="shared" si="438"/>
        <v/>
      </c>
      <c r="AF634" s="21" t="str">
        <f t="shared" si="439"/>
        <v>Apprenant 622</v>
      </c>
      <c r="AG634" s="22" t="str">
        <f t="shared" si="413"/>
        <v/>
      </c>
      <c r="AH634" s="22" t="str">
        <f t="shared" si="414"/>
        <v/>
      </c>
      <c r="AI634" s="22" t="str">
        <f t="shared" si="415"/>
        <v/>
      </c>
      <c r="AJ634" s="22" t="str">
        <f t="shared" si="440"/>
        <v/>
      </c>
      <c r="AK634" s="21" t="str">
        <f t="shared" si="441"/>
        <v>Apprenant 622 ou 622'</v>
      </c>
      <c r="AL634" s="22" t="str">
        <f t="shared" si="416"/>
        <v/>
      </c>
      <c r="AM634" s="22" t="str">
        <f t="shared" si="417"/>
        <v/>
      </c>
      <c r="AN634" s="22" t="str">
        <f t="shared" si="418"/>
        <v/>
      </c>
      <c r="AO634" s="22" t="str">
        <f t="shared" si="442"/>
        <v/>
      </c>
      <c r="AQ634" s="21" t="str">
        <f t="shared" si="443"/>
        <v>Apprenant 622</v>
      </c>
      <c r="AR634" s="49" t="str">
        <f>IF(AND('Choix pédagogiques'!$C$4&lt;&gt;"?",'Choix pédagogiques'!$C$5&lt;&gt;"?",W634&lt;&gt;""),(W634-'Choix pédagogiques'!$C$4)/('Choix pédagogiques'!$C$5-'Choix pédagogiques'!$C$4),"")</f>
        <v/>
      </c>
      <c r="AS634" s="49" t="str">
        <f>IF(AND('Choix pédagogiques'!$C$4&lt;&gt;"?",'Choix pédagogiques'!$C$5&lt;&gt;"?",X634&lt;&gt;""),(X634-'Choix pédagogiques'!$C$4)/('Choix pédagogiques'!$C$5-'Choix pédagogiques'!$C$4),"")</f>
        <v/>
      </c>
      <c r="AT634" s="49" t="str">
        <f>IF(AND('Choix pédagogiques'!$C$4&lt;&gt;"?",'Choix pédagogiques'!$C$5&lt;&gt;"?",Y634&lt;&gt;""),(Y634-'Choix pédagogiques'!$C$4)/('Choix pédagogiques'!$C$5-'Choix pédagogiques'!$C$4),"")</f>
        <v/>
      </c>
      <c r="AU634" s="22" t="str">
        <f t="shared" si="444"/>
        <v/>
      </c>
      <c r="AV634" s="21" t="str">
        <f t="shared" si="445"/>
        <v>Apprenant 622 ou 622'</v>
      </c>
      <c r="AW634" s="49" t="str">
        <f>IF(AND('Choix pédagogiques'!$C$4&lt;&gt;"?",'Choix pédagogiques'!$C$5&lt;&gt;"?",AB634&lt;&gt;""),(AB634-'Choix pédagogiques'!$C$4)/('Choix pédagogiques'!$C$5-'Choix pédagogiques'!$C$4),"")</f>
        <v/>
      </c>
      <c r="AX634" s="49" t="str">
        <f>IF(AND('Choix pédagogiques'!$C$4&lt;&gt;"?",'Choix pédagogiques'!$C$5&lt;&gt;"?",AC634&lt;&gt;""),(AC634-'Choix pédagogiques'!$C$4)/('Choix pédagogiques'!$C$5-'Choix pédagogiques'!$C$4),"")</f>
        <v/>
      </c>
      <c r="AY634" s="49" t="str">
        <f>IF(AND('Choix pédagogiques'!$C$4&lt;&gt;"?",'Choix pédagogiques'!$C$5&lt;&gt;"?",AD634&lt;&gt;""),(AD634-'Choix pédagogiques'!$C$4)/('Choix pédagogiques'!$C$5-'Choix pédagogiques'!$C$4),"")</f>
        <v/>
      </c>
      <c r="AZ634" s="22" t="str">
        <f t="shared" si="446"/>
        <v/>
      </c>
      <c r="BA634" s="21" t="str">
        <f t="shared" si="447"/>
        <v>Apprenant 622</v>
      </c>
      <c r="BB634" s="49" t="str">
        <f t="shared" si="419"/>
        <v/>
      </c>
      <c r="BC634" s="49" t="str">
        <f t="shared" si="420"/>
        <v/>
      </c>
      <c r="BD634" s="49" t="str">
        <f t="shared" si="421"/>
        <v/>
      </c>
      <c r="BE634" s="22" t="str">
        <f t="shared" si="448"/>
        <v/>
      </c>
      <c r="BF634" s="21" t="str">
        <f t="shared" si="449"/>
        <v>Apprenant 622 ou 622'</v>
      </c>
      <c r="BG634" s="49" t="str">
        <f t="shared" si="422"/>
        <v/>
      </c>
      <c r="BH634" s="49" t="str">
        <f t="shared" si="423"/>
        <v/>
      </c>
      <c r="BI634" s="49" t="str">
        <f t="shared" si="424"/>
        <v/>
      </c>
      <c r="BJ634" s="22" t="str">
        <f t="shared" si="450"/>
        <v/>
      </c>
      <c r="BL634" s="21"/>
      <c r="BM634" s="21" t="str">
        <f>IF(OR(COUNT(B634:D1633)=0,AND('Choix pédagogiques'!$C$3&lt;&gt;1,'Choix pédagogiques'!$C$3&lt;&gt;2)),"",IF(AND(OR('Choix pédagogiques'!$C$3=1,'Choix pédagogiques'!$C$3=2),$B634&lt;&gt;"",$C634&lt;&gt;"",$D634&lt;&gt;""),1,0))</f>
        <v/>
      </c>
      <c r="BN634" s="21" t="str">
        <f>IF(OR(COUNT(G634:I1633)=0,AND('Choix pédagogiques'!$C$3&lt;&gt;1,'Choix pédagogiques'!$C$3&lt;&gt;2)),"",IF(AND(OR('Choix pédagogiques'!$C$3=1,'Choix pédagogiques'!$C$3=2),AND($G634&lt;&gt;"",$H634&lt;&gt;"",$I634&lt;&gt;"")),1,0))</f>
        <v/>
      </c>
      <c r="BO634" s="21" t="str">
        <f>IF(OR(COUNT(B634:D1633)=0,COUNT(G634:I1633)=0,'Choix pédagogiques'!C$3&lt;&gt;3),"",IF(AND('Choix pédagogiques'!$C$3=3,$B634&lt;&gt;"",$C634&lt;&gt;"",$D634&lt;&gt;"",$G634&lt;&gt;"",$H634&lt;&gt;"",$I634&lt;&gt;""),1,0))</f>
        <v/>
      </c>
      <c r="BR634" s="21">
        <v>775</v>
      </c>
      <c r="BS634" s="21">
        <v>1728</v>
      </c>
      <c r="BT634"/>
    </row>
    <row r="635" spans="1:72" s="23" customFormat="1" ht="18" customHeight="1" x14ac:dyDescent="0.3">
      <c r="A635" s="35" t="s">
        <v>625</v>
      </c>
      <c r="B635" s="37"/>
      <c r="C635" s="37"/>
      <c r="D635" s="37"/>
      <c r="E635" s="37"/>
      <c r="F635" s="35" t="s">
        <v>1633</v>
      </c>
      <c r="G635" s="37"/>
      <c r="H635" s="37"/>
      <c r="I635" s="37"/>
      <c r="J635" s="37"/>
      <c r="K635" s="21" t="str">
        <f t="shared" si="425"/>
        <v>Apprenant 623</v>
      </c>
      <c r="L635" s="22" t="str">
        <f t="shared" si="426"/>
        <v/>
      </c>
      <c r="M635" s="22" t="str">
        <f t="shared" si="427"/>
        <v/>
      </c>
      <c r="N635" s="22" t="str">
        <f t="shared" si="428"/>
        <v/>
      </c>
      <c r="O635" s="22" t="str">
        <f t="shared" si="429"/>
        <v/>
      </c>
      <c r="P635" s="21" t="str">
        <f t="shared" si="430"/>
        <v>Apprenant 623 ou 623'</v>
      </c>
      <c r="Q635" s="22" t="str">
        <f t="shared" si="431"/>
        <v/>
      </c>
      <c r="R635" s="22" t="str">
        <f t="shared" si="432"/>
        <v/>
      </c>
      <c r="S635" s="22" t="str">
        <f t="shared" si="433"/>
        <v/>
      </c>
      <c r="T635" s="22" t="str">
        <f t="shared" si="434"/>
        <v/>
      </c>
      <c r="V635" s="21" t="str">
        <f t="shared" si="435"/>
        <v>Apprenant 623</v>
      </c>
      <c r="W635" s="22" t="str">
        <f>IF(AND(OR('Choix pédagogiques'!$C$3=1,'Choix pédagogiques'!$C$3=2),$BM635=1),B635,IF(AND('Choix pédagogiques'!$C$3=3,$BO635=1),B635,""))</f>
        <v/>
      </c>
      <c r="X635" s="22" t="str">
        <f>IF(AND(OR('Choix pédagogiques'!$C$3=1,'Choix pédagogiques'!$C$3=2),$BM635=1),C635,IF(AND('Choix pédagogiques'!$C$3=3,$BO635=1),C635,""))</f>
        <v/>
      </c>
      <c r="Y635" s="22" t="str">
        <f>IF(AND(OR('Choix pédagogiques'!$C$3=1,'Choix pédagogiques'!$C$3=2),$BM635=1),D635,IF(AND('Choix pédagogiques'!$C$3=3,$BO635=1),D635,""))</f>
        <v/>
      </c>
      <c r="Z635" s="22" t="str">
        <f t="shared" si="436"/>
        <v/>
      </c>
      <c r="AA635" s="21" t="str">
        <f t="shared" si="437"/>
        <v>Apprenant 623 ou 623'</v>
      </c>
      <c r="AB635" s="22" t="str">
        <f>IF(AND(OR('Choix pédagogiques'!$C$3=1,'Choix pédagogiques'!$C$3=2),$BN635=1),G635,IF(AND('Choix pédagogiques'!$C$3=3,$BO635=1),G635,""))</f>
        <v/>
      </c>
      <c r="AC635" s="22" t="str">
        <f>IF(AND(OR('Choix pédagogiques'!$C$3=1,'Choix pédagogiques'!$C$3=2),$BN635=1),H635,IF(AND('Choix pédagogiques'!$C$3=3,$BO635=1),H635,""))</f>
        <v/>
      </c>
      <c r="AD635" s="22" t="str">
        <f>IF(AND(OR('Choix pédagogiques'!$C$3=1,'Choix pédagogiques'!$C$3=2),$BN635=1),I635,IF(AND('Choix pédagogiques'!$C$3=3,$BO635=1),I635,""))</f>
        <v/>
      </c>
      <c r="AE635" s="22" t="str">
        <f t="shared" si="438"/>
        <v/>
      </c>
      <c r="AF635" s="21" t="str">
        <f t="shared" si="439"/>
        <v>Apprenant 623</v>
      </c>
      <c r="AG635" s="22" t="str">
        <f t="shared" si="413"/>
        <v/>
      </c>
      <c r="AH635" s="22" t="str">
        <f t="shared" si="414"/>
        <v/>
      </c>
      <c r="AI635" s="22" t="str">
        <f t="shared" si="415"/>
        <v/>
      </c>
      <c r="AJ635" s="22" t="str">
        <f t="shared" si="440"/>
        <v/>
      </c>
      <c r="AK635" s="21" t="str">
        <f t="shared" si="441"/>
        <v>Apprenant 623 ou 623'</v>
      </c>
      <c r="AL635" s="22" t="str">
        <f t="shared" si="416"/>
        <v/>
      </c>
      <c r="AM635" s="22" t="str">
        <f t="shared" si="417"/>
        <v/>
      </c>
      <c r="AN635" s="22" t="str">
        <f t="shared" si="418"/>
        <v/>
      </c>
      <c r="AO635" s="22" t="str">
        <f t="shared" si="442"/>
        <v/>
      </c>
      <c r="AQ635" s="21" t="str">
        <f t="shared" si="443"/>
        <v>Apprenant 623</v>
      </c>
      <c r="AR635" s="49" t="str">
        <f>IF(AND('Choix pédagogiques'!$C$4&lt;&gt;"?",'Choix pédagogiques'!$C$5&lt;&gt;"?",W635&lt;&gt;""),(W635-'Choix pédagogiques'!$C$4)/('Choix pédagogiques'!$C$5-'Choix pédagogiques'!$C$4),"")</f>
        <v/>
      </c>
      <c r="AS635" s="49" t="str">
        <f>IF(AND('Choix pédagogiques'!$C$4&lt;&gt;"?",'Choix pédagogiques'!$C$5&lt;&gt;"?",X635&lt;&gt;""),(X635-'Choix pédagogiques'!$C$4)/('Choix pédagogiques'!$C$5-'Choix pédagogiques'!$C$4),"")</f>
        <v/>
      </c>
      <c r="AT635" s="49" t="str">
        <f>IF(AND('Choix pédagogiques'!$C$4&lt;&gt;"?",'Choix pédagogiques'!$C$5&lt;&gt;"?",Y635&lt;&gt;""),(Y635-'Choix pédagogiques'!$C$4)/('Choix pédagogiques'!$C$5-'Choix pédagogiques'!$C$4),"")</f>
        <v/>
      </c>
      <c r="AU635" s="22" t="str">
        <f t="shared" si="444"/>
        <v/>
      </c>
      <c r="AV635" s="21" t="str">
        <f t="shared" si="445"/>
        <v>Apprenant 623 ou 623'</v>
      </c>
      <c r="AW635" s="49" t="str">
        <f>IF(AND('Choix pédagogiques'!$C$4&lt;&gt;"?",'Choix pédagogiques'!$C$5&lt;&gt;"?",AB635&lt;&gt;""),(AB635-'Choix pédagogiques'!$C$4)/('Choix pédagogiques'!$C$5-'Choix pédagogiques'!$C$4),"")</f>
        <v/>
      </c>
      <c r="AX635" s="49" t="str">
        <f>IF(AND('Choix pédagogiques'!$C$4&lt;&gt;"?",'Choix pédagogiques'!$C$5&lt;&gt;"?",AC635&lt;&gt;""),(AC635-'Choix pédagogiques'!$C$4)/('Choix pédagogiques'!$C$5-'Choix pédagogiques'!$C$4),"")</f>
        <v/>
      </c>
      <c r="AY635" s="49" t="str">
        <f>IF(AND('Choix pédagogiques'!$C$4&lt;&gt;"?",'Choix pédagogiques'!$C$5&lt;&gt;"?",AD635&lt;&gt;""),(AD635-'Choix pédagogiques'!$C$4)/('Choix pédagogiques'!$C$5-'Choix pédagogiques'!$C$4),"")</f>
        <v/>
      </c>
      <c r="AZ635" s="22" t="str">
        <f t="shared" si="446"/>
        <v/>
      </c>
      <c r="BA635" s="21" t="str">
        <f t="shared" si="447"/>
        <v>Apprenant 623</v>
      </c>
      <c r="BB635" s="49" t="str">
        <f t="shared" si="419"/>
        <v/>
      </c>
      <c r="BC635" s="49" t="str">
        <f t="shared" si="420"/>
        <v/>
      </c>
      <c r="BD635" s="49" t="str">
        <f t="shared" si="421"/>
        <v/>
      </c>
      <c r="BE635" s="22" t="str">
        <f t="shared" si="448"/>
        <v/>
      </c>
      <c r="BF635" s="21" t="str">
        <f t="shared" si="449"/>
        <v>Apprenant 623 ou 623'</v>
      </c>
      <c r="BG635" s="49" t="str">
        <f t="shared" si="422"/>
        <v/>
      </c>
      <c r="BH635" s="49" t="str">
        <f t="shared" si="423"/>
        <v/>
      </c>
      <c r="BI635" s="49" t="str">
        <f t="shared" si="424"/>
        <v/>
      </c>
      <c r="BJ635" s="22" t="str">
        <f t="shared" si="450"/>
        <v/>
      </c>
      <c r="BL635" s="21"/>
      <c r="BM635" s="21" t="str">
        <f>IF(OR(COUNT(B635:D1634)=0,AND('Choix pédagogiques'!$C$3&lt;&gt;1,'Choix pédagogiques'!$C$3&lt;&gt;2)),"",IF(AND(OR('Choix pédagogiques'!$C$3=1,'Choix pédagogiques'!$C$3=2),$B635&lt;&gt;"",$C635&lt;&gt;"",$D635&lt;&gt;""),1,0))</f>
        <v/>
      </c>
      <c r="BN635" s="21" t="str">
        <f>IF(OR(COUNT(G635:I1634)=0,AND('Choix pédagogiques'!$C$3&lt;&gt;1,'Choix pédagogiques'!$C$3&lt;&gt;2)),"",IF(AND(OR('Choix pédagogiques'!$C$3=1,'Choix pédagogiques'!$C$3=2),AND($G635&lt;&gt;"",$H635&lt;&gt;"",$I635&lt;&gt;"")),1,0))</f>
        <v/>
      </c>
      <c r="BO635" s="21" t="str">
        <f>IF(OR(COUNT(B635:D1634)=0,COUNT(G635:I1634)=0,'Choix pédagogiques'!C$3&lt;&gt;3),"",IF(AND('Choix pédagogiques'!$C$3=3,$B635&lt;&gt;"",$C635&lt;&gt;"",$D635&lt;&gt;"",$G635&lt;&gt;"",$H635&lt;&gt;"",$I635&lt;&gt;""),1,0))</f>
        <v/>
      </c>
      <c r="BR635" s="21">
        <v>466</v>
      </c>
      <c r="BS635" s="21">
        <v>1842</v>
      </c>
      <c r="BT635"/>
    </row>
    <row r="636" spans="1:72" s="23" customFormat="1" ht="18" customHeight="1" x14ac:dyDescent="0.3">
      <c r="A636" s="35" t="s">
        <v>626</v>
      </c>
      <c r="B636" s="37"/>
      <c r="C636" s="37"/>
      <c r="D636" s="37"/>
      <c r="E636" s="37"/>
      <c r="F636" s="35" t="s">
        <v>1634</v>
      </c>
      <c r="G636" s="37"/>
      <c r="H636" s="37"/>
      <c r="I636" s="37"/>
      <c r="J636" s="37"/>
      <c r="K636" s="21" t="str">
        <f t="shared" si="425"/>
        <v>Apprenant 624</v>
      </c>
      <c r="L636" s="22" t="str">
        <f t="shared" si="426"/>
        <v/>
      </c>
      <c r="M636" s="22" t="str">
        <f t="shared" si="427"/>
        <v/>
      </c>
      <c r="N636" s="22" t="str">
        <f t="shared" si="428"/>
        <v/>
      </c>
      <c r="O636" s="22" t="str">
        <f t="shared" si="429"/>
        <v/>
      </c>
      <c r="P636" s="21" t="str">
        <f t="shared" si="430"/>
        <v>Apprenant 624 ou 624'</v>
      </c>
      <c r="Q636" s="22" t="str">
        <f t="shared" si="431"/>
        <v/>
      </c>
      <c r="R636" s="22" t="str">
        <f t="shared" si="432"/>
        <v/>
      </c>
      <c r="S636" s="22" t="str">
        <f t="shared" si="433"/>
        <v/>
      </c>
      <c r="T636" s="22" t="str">
        <f t="shared" si="434"/>
        <v/>
      </c>
      <c r="V636" s="21" t="str">
        <f t="shared" si="435"/>
        <v>Apprenant 624</v>
      </c>
      <c r="W636" s="22" t="str">
        <f>IF(AND(OR('Choix pédagogiques'!$C$3=1,'Choix pédagogiques'!$C$3=2),$BM636=1),B636,IF(AND('Choix pédagogiques'!$C$3=3,$BO636=1),B636,""))</f>
        <v/>
      </c>
      <c r="X636" s="22" t="str">
        <f>IF(AND(OR('Choix pédagogiques'!$C$3=1,'Choix pédagogiques'!$C$3=2),$BM636=1),C636,IF(AND('Choix pédagogiques'!$C$3=3,$BO636=1),C636,""))</f>
        <v/>
      </c>
      <c r="Y636" s="22" t="str">
        <f>IF(AND(OR('Choix pédagogiques'!$C$3=1,'Choix pédagogiques'!$C$3=2),$BM636=1),D636,IF(AND('Choix pédagogiques'!$C$3=3,$BO636=1),D636,""))</f>
        <v/>
      </c>
      <c r="Z636" s="22" t="str">
        <f t="shared" si="436"/>
        <v/>
      </c>
      <c r="AA636" s="21" t="str">
        <f t="shared" si="437"/>
        <v>Apprenant 624 ou 624'</v>
      </c>
      <c r="AB636" s="22" t="str">
        <f>IF(AND(OR('Choix pédagogiques'!$C$3=1,'Choix pédagogiques'!$C$3=2),$BN636=1),G636,IF(AND('Choix pédagogiques'!$C$3=3,$BO636=1),G636,""))</f>
        <v/>
      </c>
      <c r="AC636" s="22" t="str">
        <f>IF(AND(OR('Choix pédagogiques'!$C$3=1,'Choix pédagogiques'!$C$3=2),$BN636=1),H636,IF(AND('Choix pédagogiques'!$C$3=3,$BO636=1),H636,""))</f>
        <v/>
      </c>
      <c r="AD636" s="22" t="str">
        <f>IF(AND(OR('Choix pédagogiques'!$C$3=1,'Choix pédagogiques'!$C$3=2),$BN636=1),I636,IF(AND('Choix pédagogiques'!$C$3=3,$BO636=1),I636,""))</f>
        <v/>
      </c>
      <c r="AE636" s="22" t="str">
        <f t="shared" si="438"/>
        <v/>
      </c>
      <c r="AF636" s="21" t="str">
        <f t="shared" si="439"/>
        <v>Apprenant 624</v>
      </c>
      <c r="AG636" s="22" t="str">
        <f t="shared" si="413"/>
        <v/>
      </c>
      <c r="AH636" s="22" t="str">
        <f t="shared" si="414"/>
        <v/>
      </c>
      <c r="AI636" s="22" t="str">
        <f t="shared" si="415"/>
        <v/>
      </c>
      <c r="AJ636" s="22" t="str">
        <f t="shared" si="440"/>
        <v/>
      </c>
      <c r="AK636" s="21" t="str">
        <f t="shared" si="441"/>
        <v>Apprenant 624 ou 624'</v>
      </c>
      <c r="AL636" s="22" t="str">
        <f t="shared" si="416"/>
        <v/>
      </c>
      <c r="AM636" s="22" t="str">
        <f t="shared" si="417"/>
        <v/>
      </c>
      <c r="AN636" s="22" t="str">
        <f t="shared" si="418"/>
        <v/>
      </c>
      <c r="AO636" s="22" t="str">
        <f t="shared" si="442"/>
        <v/>
      </c>
      <c r="AQ636" s="21" t="str">
        <f t="shared" si="443"/>
        <v>Apprenant 624</v>
      </c>
      <c r="AR636" s="49" t="str">
        <f>IF(AND('Choix pédagogiques'!$C$4&lt;&gt;"?",'Choix pédagogiques'!$C$5&lt;&gt;"?",W636&lt;&gt;""),(W636-'Choix pédagogiques'!$C$4)/('Choix pédagogiques'!$C$5-'Choix pédagogiques'!$C$4),"")</f>
        <v/>
      </c>
      <c r="AS636" s="49" t="str">
        <f>IF(AND('Choix pédagogiques'!$C$4&lt;&gt;"?",'Choix pédagogiques'!$C$5&lt;&gt;"?",X636&lt;&gt;""),(X636-'Choix pédagogiques'!$C$4)/('Choix pédagogiques'!$C$5-'Choix pédagogiques'!$C$4),"")</f>
        <v/>
      </c>
      <c r="AT636" s="49" t="str">
        <f>IF(AND('Choix pédagogiques'!$C$4&lt;&gt;"?",'Choix pédagogiques'!$C$5&lt;&gt;"?",Y636&lt;&gt;""),(Y636-'Choix pédagogiques'!$C$4)/('Choix pédagogiques'!$C$5-'Choix pédagogiques'!$C$4),"")</f>
        <v/>
      </c>
      <c r="AU636" s="22" t="str">
        <f t="shared" si="444"/>
        <v/>
      </c>
      <c r="AV636" s="21" t="str">
        <f t="shared" si="445"/>
        <v>Apprenant 624 ou 624'</v>
      </c>
      <c r="AW636" s="49" t="str">
        <f>IF(AND('Choix pédagogiques'!$C$4&lt;&gt;"?",'Choix pédagogiques'!$C$5&lt;&gt;"?",AB636&lt;&gt;""),(AB636-'Choix pédagogiques'!$C$4)/('Choix pédagogiques'!$C$5-'Choix pédagogiques'!$C$4),"")</f>
        <v/>
      </c>
      <c r="AX636" s="49" t="str">
        <f>IF(AND('Choix pédagogiques'!$C$4&lt;&gt;"?",'Choix pédagogiques'!$C$5&lt;&gt;"?",AC636&lt;&gt;""),(AC636-'Choix pédagogiques'!$C$4)/('Choix pédagogiques'!$C$5-'Choix pédagogiques'!$C$4),"")</f>
        <v/>
      </c>
      <c r="AY636" s="49" t="str">
        <f>IF(AND('Choix pédagogiques'!$C$4&lt;&gt;"?",'Choix pédagogiques'!$C$5&lt;&gt;"?",AD636&lt;&gt;""),(AD636-'Choix pédagogiques'!$C$4)/('Choix pédagogiques'!$C$5-'Choix pédagogiques'!$C$4),"")</f>
        <v/>
      </c>
      <c r="AZ636" s="22" t="str">
        <f t="shared" si="446"/>
        <v/>
      </c>
      <c r="BA636" s="21" t="str">
        <f t="shared" si="447"/>
        <v>Apprenant 624</v>
      </c>
      <c r="BB636" s="49" t="str">
        <f t="shared" si="419"/>
        <v/>
      </c>
      <c r="BC636" s="49" t="str">
        <f t="shared" si="420"/>
        <v/>
      </c>
      <c r="BD636" s="49" t="str">
        <f t="shared" si="421"/>
        <v/>
      </c>
      <c r="BE636" s="22" t="str">
        <f t="shared" si="448"/>
        <v/>
      </c>
      <c r="BF636" s="21" t="str">
        <f t="shared" si="449"/>
        <v>Apprenant 624 ou 624'</v>
      </c>
      <c r="BG636" s="49" t="str">
        <f t="shared" si="422"/>
        <v/>
      </c>
      <c r="BH636" s="49" t="str">
        <f t="shared" si="423"/>
        <v/>
      </c>
      <c r="BI636" s="49" t="str">
        <f t="shared" si="424"/>
        <v/>
      </c>
      <c r="BJ636" s="22" t="str">
        <f t="shared" si="450"/>
        <v/>
      </c>
      <c r="BL636" s="21"/>
      <c r="BM636" s="21" t="str">
        <f>IF(OR(COUNT(B636:D1635)=0,AND('Choix pédagogiques'!$C$3&lt;&gt;1,'Choix pédagogiques'!$C$3&lt;&gt;2)),"",IF(AND(OR('Choix pédagogiques'!$C$3=1,'Choix pédagogiques'!$C$3=2),$B636&lt;&gt;"",$C636&lt;&gt;"",$D636&lt;&gt;""),1,0))</f>
        <v/>
      </c>
      <c r="BN636" s="21" t="str">
        <f>IF(OR(COUNT(G636:I1635)=0,AND('Choix pédagogiques'!$C$3&lt;&gt;1,'Choix pédagogiques'!$C$3&lt;&gt;2)),"",IF(AND(OR('Choix pédagogiques'!$C$3=1,'Choix pédagogiques'!$C$3=2),AND($G636&lt;&gt;"",$H636&lt;&gt;"",$I636&lt;&gt;"")),1,0))</f>
        <v/>
      </c>
      <c r="BO636" s="21" t="str">
        <f>IF(OR(COUNT(B636:D1635)=0,COUNT(G636:I1635)=0,'Choix pédagogiques'!C$3&lt;&gt;3),"",IF(AND('Choix pédagogiques'!$C$3=3,$B636&lt;&gt;"",$C636&lt;&gt;"",$D636&lt;&gt;"",$G636&lt;&gt;"",$H636&lt;&gt;"",$I636&lt;&gt;""),1,0))</f>
        <v/>
      </c>
      <c r="BR636" s="21">
        <v>939</v>
      </c>
      <c r="BS636" s="21">
        <v>1655</v>
      </c>
      <c r="BT636"/>
    </row>
    <row r="637" spans="1:72" s="23" customFormat="1" ht="18" customHeight="1" x14ac:dyDescent="0.3">
      <c r="A637" s="35" t="s">
        <v>627</v>
      </c>
      <c r="B637" s="37"/>
      <c r="C637" s="37"/>
      <c r="D637" s="37"/>
      <c r="E637" s="37"/>
      <c r="F637" s="35" t="s">
        <v>1635</v>
      </c>
      <c r="G637" s="37"/>
      <c r="H637" s="37"/>
      <c r="I637" s="37"/>
      <c r="J637" s="37"/>
      <c r="K637" s="21" t="str">
        <f t="shared" si="425"/>
        <v>Apprenant 625</v>
      </c>
      <c r="L637" s="22" t="str">
        <f t="shared" si="426"/>
        <v/>
      </c>
      <c r="M637" s="22" t="str">
        <f t="shared" si="427"/>
        <v/>
      </c>
      <c r="N637" s="22" t="str">
        <f t="shared" si="428"/>
        <v/>
      </c>
      <c r="O637" s="22" t="str">
        <f t="shared" si="429"/>
        <v/>
      </c>
      <c r="P637" s="21" t="str">
        <f t="shared" si="430"/>
        <v>Apprenant 625 ou 625'</v>
      </c>
      <c r="Q637" s="22" t="str">
        <f t="shared" si="431"/>
        <v/>
      </c>
      <c r="R637" s="22" t="str">
        <f t="shared" si="432"/>
        <v/>
      </c>
      <c r="S637" s="22" t="str">
        <f t="shared" si="433"/>
        <v/>
      </c>
      <c r="T637" s="22" t="str">
        <f t="shared" si="434"/>
        <v/>
      </c>
      <c r="V637" s="21" t="str">
        <f t="shared" si="435"/>
        <v>Apprenant 625</v>
      </c>
      <c r="W637" s="22" t="str">
        <f>IF(AND(OR('Choix pédagogiques'!$C$3=1,'Choix pédagogiques'!$C$3=2),$BM637=1),B637,IF(AND('Choix pédagogiques'!$C$3=3,$BO637=1),B637,""))</f>
        <v/>
      </c>
      <c r="X637" s="22" t="str">
        <f>IF(AND(OR('Choix pédagogiques'!$C$3=1,'Choix pédagogiques'!$C$3=2),$BM637=1),C637,IF(AND('Choix pédagogiques'!$C$3=3,$BO637=1),C637,""))</f>
        <v/>
      </c>
      <c r="Y637" s="22" t="str">
        <f>IF(AND(OR('Choix pédagogiques'!$C$3=1,'Choix pédagogiques'!$C$3=2),$BM637=1),D637,IF(AND('Choix pédagogiques'!$C$3=3,$BO637=1),D637,""))</f>
        <v/>
      </c>
      <c r="Z637" s="22" t="str">
        <f t="shared" si="436"/>
        <v/>
      </c>
      <c r="AA637" s="21" t="str">
        <f t="shared" si="437"/>
        <v>Apprenant 625 ou 625'</v>
      </c>
      <c r="AB637" s="22" t="str">
        <f>IF(AND(OR('Choix pédagogiques'!$C$3=1,'Choix pédagogiques'!$C$3=2),$BN637=1),G637,IF(AND('Choix pédagogiques'!$C$3=3,$BO637=1),G637,""))</f>
        <v/>
      </c>
      <c r="AC637" s="22" t="str">
        <f>IF(AND(OR('Choix pédagogiques'!$C$3=1,'Choix pédagogiques'!$C$3=2),$BN637=1),H637,IF(AND('Choix pédagogiques'!$C$3=3,$BO637=1),H637,""))</f>
        <v/>
      </c>
      <c r="AD637" s="22" t="str">
        <f>IF(AND(OR('Choix pédagogiques'!$C$3=1,'Choix pédagogiques'!$C$3=2),$BN637=1),I637,IF(AND('Choix pédagogiques'!$C$3=3,$BO637=1),I637,""))</f>
        <v/>
      </c>
      <c r="AE637" s="22" t="str">
        <f t="shared" si="438"/>
        <v/>
      </c>
      <c r="AF637" s="21" t="str">
        <f t="shared" si="439"/>
        <v>Apprenant 625</v>
      </c>
      <c r="AG637" s="22" t="str">
        <f t="shared" si="413"/>
        <v/>
      </c>
      <c r="AH637" s="22" t="str">
        <f t="shared" si="414"/>
        <v/>
      </c>
      <c r="AI637" s="22" t="str">
        <f t="shared" si="415"/>
        <v/>
      </c>
      <c r="AJ637" s="22" t="str">
        <f t="shared" si="440"/>
        <v/>
      </c>
      <c r="AK637" s="21" t="str">
        <f t="shared" si="441"/>
        <v>Apprenant 625 ou 625'</v>
      </c>
      <c r="AL637" s="22" t="str">
        <f t="shared" si="416"/>
        <v/>
      </c>
      <c r="AM637" s="22" t="str">
        <f t="shared" si="417"/>
        <v/>
      </c>
      <c r="AN637" s="22" t="str">
        <f t="shared" si="418"/>
        <v/>
      </c>
      <c r="AO637" s="22" t="str">
        <f t="shared" si="442"/>
        <v/>
      </c>
      <c r="AQ637" s="21" t="str">
        <f t="shared" si="443"/>
        <v>Apprenant 625</v>
      </c>
      <c r="AR637" s="49" t="str">
        <f>IF(AND('Choix pédagogiques'!$C$4&lt;&gt;"?",'Choix pédagogiques'!$C$5&lt;&gt;"?",W637&lt;&gt;""),(W637-'Choix pédagogiques'!$C$4)/('Choix pédagogiques'!$C$5-'Choix pédagogiques'!$C$4),"")</f>
        <v/>
      </c>
      <c r="AS637" s="49" t="str">
        <f>IF(AND('Choix pédagogiques'!$C$4&lt;&gt;"?",'Choix pédagogiques'!$C$5&lt;&gt;"?",X637&lt;&gt;""),(X637-'Choix pédagogiques'!$C$4)/('Choix pédagogiques'!$C$5-'Choix pédagogiques'!$C$4),"")</f>
        <v/>
      </c>
      <c r="AT637" s="49" t="str">
        <f>IF(AND('Choix pédagogiques'!$C$4&lt;&gt;"?",'Choix pédagogiques'!$C$5&lt;&gt;"?",Y637&lt;&gt;""),(Y637-'Choix pédagogiques'!$C$4)/('Choix pédagogiques'!$C$5-'Choix pédagogiques'!$C$4),"")</f>
        <v/>
      </c>
      <c r="AU637" s="22" t="str">
        <f t="shared" si="444"/>
        <v/>
      </c>
      <c r="AV637" s="21" t="str">
        <f t="shared" si="445"/>
        <v>Apprenant 625 ou 625'</v>
      </c>
      <c r="AW637" s="49" t="str">
        <f>IF(AND('Choix pédagogiques'!$C$4&lt;&gt;"?",'Choix pédagogiques'!$C$5&lt;&gt;"?",AB637&lt;&gt;""),(AB637-'Choix pédagogiques'!$C$4)/('Choix pédagogiques'!$C$5-'Choix pédagogiques'!$C$4),"")</f>
        <v/>
      </c>
      <c r="AX637" s="49" t="str">
        <f>IF(AND('Choix pédagogiques'!$C$4&lt;&gt;"?",'Choix pédagogiques'!$C$5&lt;&gt;"?",AC637&lt;&gt;""),(AC637-'Choix pédagogiques'!$C$4)/('Choix pédagogiques'!$C$5-'Choix pédagogiques'!$C$4),"")</f>
        <v/>
      </c>
      <c r="AY637" s="49" t="str">
        <f>IF(AND('Choix pédagogiques'!$C$4&lt;&gt;"?",'Choix pédagogiques'!$C$5&lt;&gt;"?",AD637&lt;&gt;""),(AD637-'Choix pédagogiques'!$C$4)/('Choix pédagogiques'!$C$5-'Choix pédagogiques'!$C$4),"")</f>
        <v/>
      </c>
      <c r="AZ637" s="22" t="str">
        <f t="shared" si="446"/>
        <v/>
      </c>
      <c r="BA637" s="21" t="str">
        <f t="shared" si="447"/>
        <v>Apprenant 625</v>
      </c>
      <c r="BB637" s="49" t="str">
        <f t="shared" si="419"/>
        <v/>
      </c>
      <c r="BC637" s="49" t="str">
        <f t="shared" si="420"/>
        <v/>
      </c>
      <c r="BD637" s="49" t="str">
        <f t="shared" si="421"/>
        <v/>
      </c>
      <c r="BE637" s="22" t="str">
        <f t="shared" si="448"/>
        <v/>
      </c>
      <c r="BF637" s="21" t="str">
        <f t="shared" si="449"/>
        <v>Apprenant 625 ou 625'</v>
      </c>
      <c r="BG637" s="49" t="str">
        <f t="shared" si="422"/>
        <v/>
      </c>
      <c r="BH637" s="49" t="str">
        <f t="shared" si="423"/>
        <v/>
      </c>
      <c r="BI637" s="49" t="str">
        <f t="shared" si="424"/>
        <v/>
      </c>
      <c r="BJ637" s="22" t="str">
        <f t="shared" si="450"/>
        <v/>
      </c>
      <c r="BL637" s="21"/>
      <c r="BM637" s="21" t="str">
        <f>IF(OR(COUNT(B637:D1636)=0,AND('Choix pédagogiques'!$C$3&lt;&gt;1,'Choix pédagogiques'!$C$3&lt;&gt;2)),"",IF(AND(OR('Choix pédagogiques'!$C$3=1,'Choix pédagogiques'!$C$3=2),$B637&lt;&gt;"",$C637&lt;&gt;"",$D637&lt;&gt;""),1,0))</f>
        <v/>
      </c>
      <c r="BN637" s="21" t="str">
        <f>IF(OR(COUNT(G637:I1636)=0,AND('Choix pédagogiques'!$C$3&lt;&gt;1,'Choix pédagogiques'!$C$3&lt;&gt;2)),"",IF(AND(OR('Choix pédagogiques'!$C$3=1,'Choix pédagogiques'!$C$3=2),AND($G637&lt;&gt;"",$H637&lt;&gt;"",$I637&lt;&gt;"")),1,0))</f>
        <v/>
      </c>
      <c r="BO637" s="21" t="str">
        <f>IF(OR(COUNT(B637:D1636)=0,COUNT(G637:I1636)=0,'Choix pédagogiques'!C$3&lt;&gt;3),"",IF(AND('Choix pédagogiques'!$C$3=3,$B637&lt;&gt;"",$C637&lt;&gt;"",$D637&lt;&gt;"",$G637&lt;&gt;"",$H637&lt;&gt;"",$I637&lt;&gt;""),1,0))</f>
        <v/>
      </c>
      <c r="BR637" s="21">
        <v>391</v>
      </c>
      <c r="BS637" s="21">
        <v>1142</v>
      </c>
      <c r="BT637"/>
    </row>
    <row r="638" spans="1:72" s="23" customFormat="1" ht="18" customHeight="1" x14ac:dyDescent="0.3">
      <c r="A638" s="35" t="s">
        <v>628</v>
      </c>
      <c r="B638" s="37"/>
      <c r="C638" s="37"/>
      <c r="D638" s="37"/>
      <c r="E638" s="37"/>
      <c r="F638" s="35" t="s">
        <v>1636</v>
      </c>
      <c r="G638" s="37"/>
      <c r="H638" s="37"/>
      <c r="I638" s="37"/>
      <c r="J638" s="37"/>
      <c r="K638" s="21" t="str">
        <f t="shared" si="425"/>
        <v>Apprenant 626</v>
      </c>
      <c r="L638" s="22" t="str">
        <f t="shared" si="426"/>
        <v/>
      </c>
      <c r="M638" s="22" t="str">
        <f t="shared" si="427"/>
        <v/>
      </c>
      <c r="N638" s="22" t="str">
        <f t="shared" si="428"/>
        <v/>
      </c>
      <c r="O638" s="22" t="str">
        <f t="shared" si="429"/>
        <v/>
      </c>
      <c r="P638" s="21" t="str">
        <f t="shared" si="430"/>
        <v>Apprenant 626 ou 626'</v>
      </c>
      <c r="Q638" s="22" t="str">
        <f t="shared" si="431"/>
        <v/>
      </c>
      <c r="R638" s="22" t="str">
        <f t="shared" si="432"/>
        <v/>
      </c>
      <c r="S638" s="22" t="str">
        <f t="shared" si="433"/>
        <v/>
      </c>
      <c r="T638" s="22" t="str">
        <f t="shared" si="434"/>
        <v/>
      </c>
      <c r="V638" s="21" t="str">
        <f t="shared" si="435"/>
        <v>Apprenant 626</v>
      </c>
      <c r="W638" s="22" t="str">
        <f>IF(AND(OR('Choix pédagogiques'!$C$3=1,'Choix pédagogiques'!$C$3=2),$BM638=1),B638,IF(AND('Choix pédagogiques'!$C$3=3,$BO638=1),B638,""))</f>
        <v/>
      </c>
      <c r="X638" s="22" t="str">
        <f>IF(AND(OR('Choix pédagogiques'!$C$3=1,'Choix pédagogiques'!$C$3=2),$BM638=1),C638,IF(AND('Choix pédagogiques'!$C$3=3,$BO638=1),C638,""))</f>
        <v/>
      </c>
      <c r="Y638" s="22" t="str">
        <f>IF(AND(OR('Choix pédagogiques'!$C$3=1,'Choix pédagogiques'!$C$3=2),$BM638=1),D638,IF(AND('Choix pédagogiques'!$C$3=3,$BO638=1),D638,""))</f>
        <v/>
      </c>
      <c r="Z638" s="22" t="str">
        <f t="shared" si="436"/>
        <v/>
      </c>
      <c r="AA638" s="21" t="str">
        <f t="shared" si="437"/>
        <v>Apprenant 626 ou 626'</v>
      </c>
      <c r="AB638" s="22" t="str">
        <f>IF(AND(OR('Choix pédagogiques'!$C$3=1,'Choix pédagogiques'!$C$3=2),$BN638=1),G638,IF(AND('Choix pédagogiques'!$C$3=3,$BO638=1),G638,""))</f>
        <v/>
      </c>
      <c r="AC638" s="22" t="str">
        <f>IF(AND(OR('Choix pédagogiques'!$C$3=1,'Choix pédagogiques'!$C$3=2),$BN638=1),H638,IF(AND('Choix pédagogiques'!$C$3=3,$BO638=1),H638,""))</f>
        <v/>
      </c>
      <c r="AD638" s="22" t="str">
        <f>IF(AND(OR('Choix pédagogiques'!$C$3=1,'Choix pédagogiques'!$C$3=2),$BN638=1),I638,IF(AND('Choix pédagogiques'!$C$3=3,$BO638=1),I638,""))</f>
        <v/>
      </c>
      <c r="AE638" s="22" t="str">
        <f t="shared" si="438"/>
        <v/>
      </c>
      <c r="AF638" s="21" t="str">
        <f t="shared" si="439"/>
        <v>Apprenant 626</v>
      </c>
      <c r="AG638" s="22" t="str">
        <f t="shared" si="413"/>
        <v/>
      </c>
      <c r="AH638" s="22" t="str">
        <f t="shared" si="414"/>
        <v/>
      </c>
      <c r="AI638" s="22" t="str">
        <f t="shared" si="415"/>
        <v/>
      </c>
      <c r="AJ638" s="22" t="str">
        <f t="shared" si="440"/>
        <v/>
      </c>
      <c r="AK638" s="21" t="str">
        <f t="shared" si="441"/>
        <v>Apprenant 626 ou 626'</v>
      </c>
      <c r="AL638" s="22" t="str">
        <f t="shared" si="416"/>
        <v/>
      </c>
      <c r="AM638" s="22" t="str">
        <f t="shared" si="417"/>
        <v/>
      </c>
      <c r="AN638" s="22" t="str">
        <f t="shared" si="418"/>
        <v/>
      </c>
      <c r="AO638" s="22" t="str">
        <f t="shared" si="442"/>
        <v/>
      </c>
      <c r="AQ638" s="21" t="str">
        <f t="shared" si="443"/>
        <v>Apprenant 626</v>
      </c>
      <c r="AR638" s="49" t="str">
        <f>IF(AND('Choix pédagogiques'!$C$4&lt;&gt;"?",'Choix pédagogiques'!$C$5&lt;&gt;"?",W638&lt;&gt;""),(W638-'Choix pédagogiques'!$C$4)/('Choix pédagogiques'!$C$5-'Choix pédagogiques'!$C$4),"")</f>
        <v/>
      </c>
      <c r="AS638" s="49" t="str">
        <f>IF(AND('Choix pédagogiques'!$C$4&lt;&gt;"?",'Choix pédagogiques'!$C$5&lt;&gt;"?",X638&lt;&gt;""),(X638-'Choix pédagogiques'!$C$4)/('Choix pédagogiques'!$C$5-'Choix pédagogiques'!$C$4),"")</f>
        <v/>
      </c>
      <c r="AT638" s="49" t="str">
        <f>IF(AND('Choix pédagogiques'!$C$4&lt;&gt;"?",'Choix pédagogiques'!$C$5&lt;&gt;"?",Y638&lt;&gt;""),(Y638-'Choix pédagogiques'!$C$4)/('Choix pédagogiques'!$C$5-'Choix pédagogiques'!$C$4),"")</f>
        <v/>
      </c>
      <c r="AU638" s="22" t="str">
        <f t="shared" si="444"/>
        <v/>
      </c>
      <c r="AV638" s="21" t="str">
        <f t="shared" si="445"/>
        <v>Apprenant 626 ou 626'</v>
      </c>
      <c r="AW638" s="49" t="str">
        <f>IF(AND('Choix pédagogiques'!$C$4&lt;&gt;"?",'Choix pédagogiques'!$C$5&lt;&gt;"?",AB638&lt;&gt;""),(AB638-'Choix pédagogiques'!$C$4)/('Choix pédagogiques'!$C$5-'Choix pédagogiques'!$C$4),"")</f>
        <v/>
      </c>
      <c r="AX638" s="49" t="str">
        <f>IF(AND('Choix pédagogiques'!$C$4&lt;&gt;"?",'Choix pédagogiques'!$C$5&lt;&gt;"?",AC638&lt;&gt;""),(AC638-'Choix pédagogiques'!$C$4)/('Choix pédagogiques'!$C$5-'Choix pédagogiques'!$C$4),"")</f>
        <v/>
      </c>
      <c r="AY638" s="49" t="str">
        <f>IF(AND('Choix pédagogiques'!$C$4&lt;&gt;"?",'Choix pédagogiques'!$C$5&lt;&gt;"?",AD638&lt;&gt;""),(AD638-'Choix pédagogiques'!$C$4)/('Choix pédagogiques'!$C$5-'Choix pédagogiques'!$C$4),"")</f>
        <v/>
      </c>
      <c r="AZ638" s="22" t="str">
        <f t="shared" si="446"/>
        <v/>
      </c>
      <c r="BA638" s="21" t="str">
        <f t="shared" si="447"/>
        <v>Apprenant 626</v>
      </c>
      <c r="BB638" s="49" t="str">
        <f t="shared" si="419"/>
        <v/>
      </c>
      <c r="BC638" s="49" t="str">
        <f t="shared" si="420"/>
        <v/>
      </c>
      <c r="BD638" s="49" t="str">
        <f t="shared" si="421"/>
        <v/>
      </c>
      <c r="BE638" s="22" t="str">
        <f t="shared" si="448"/>
        <v/>
      </c>
      <c r="BF638" s="21" t="str">
        <f t="shared" si="449"/>
        <v>Apprenant 626 ou 626'</v>
      </c>
      <c r="BG638" s="49" t="str">
        <f t="shared" si="422"/>
        <v/>
      </c>
      <c r="BH638" s="49" t="str">
        <f t="shared" si="423"/>
        <v/>
      </c>
      <c r="BI638" s="49" t="str">
        <f t="shared" si="424"/>
        <v/>
      </c>
      <c r="BJ638" s="22" t="str">
        <f t="shared" si="450"/>
        <v/>
      </c>
      <c r="BL638" s="21"/>
      <c r="BM638" s="21" t="str">
        <f>IF(OR(COUNT(B638:D1637)=0,AND('Choix pédagogiques'!$C$3&lt;&gt;1,'Choix pédagogiques'!$C$3&lt;&gt;2)),"",IF(AND(OR('Choix pédagogiques'!$C$3=1,'Choix pédagogiques'!$C$3=2),$B638&lt;&gt;"",$C638&lt;&gt;"",$D638&lt;&gt;""),1,0))</f>
        <v/>
      </c>
      <c r="BN638" s="21" t="str">
        <f>IF(OR(COUNT(G638:I1637)=0,AND('Choix pédagogiques'!$C$3&lt;&gt;1,'Choix pédagogiques'!$C$3&lt;&gt;2)),"",IF(AND(OR('Choix pédagogiques'!$C$3=1,'Choix pédagogiques'!$C$3=2),AND($G638&lt;&gt;"",$H638&lt;&gt;"",$I638&lt;&gt;"")),1,0))</f>
        <v/>
      </c>
      <c r="BO638" s="21" t="str">
        <f>IF(OR(COUNT(B638:D1637)=0,COUNT(G638:I1637)=0,'Choix pédagogiques'!C$3&lt;&gt;3),"",IF(AND('Choix pédagogiques'!$C$3=3,$B638&lt;&gt;"",$C638&lt;&gt;"",$D638&lt;&gt;"",$G638&lt;&gt;"",$H638&lt;&gt;"",$I638&lt;&gt;""),1,0))</f>
        <v/>
      </c>
      <c r="BR638" s="21">
        <v>623</v>
      </c>
      <c r="BS638" s="21">
        <v>1319</v>
      </c>
      <c r="BT638"/>
    </row>
    <row r="639" spans="1:72" s="23" customFormat="1" ht="18" customHeight="1" x14ac:dyDescent="0.3">
      <c r="A639" s="35" t="s">
        <v>629</v>
      </c>
      <c r="B639" s="37"/>
      <c r="C639" s="37"/>
      <c r="D639" s="37"/>
      <c r="E639" s="37"/>
      <c r="F639" s="35" t="s">
        <v>1637</v>
      </c>
      <c r="G639" s="37"/>
      <c r="H639" s="37"/>
      <c r="I639" s="37"/>
      <c r="J639" s="37"/>
      <c r="K639" s="21" t="str">
        <f t="shared" si="425"/>
        <v>Apprenant 627</v>
      </c>
      <c r="L639" s="22" t="str">
        <f t="shared" si="426"/>
        <v/>
      </c>
      <c r="M639" s="22" t="str">
        <f t="shared" si="427"/>
        <v/>
      </c>
      <c r="N639" s="22" t="str">
        <f t="shared" si="428"/>
        <v/>
      </c>
      <c r="O639" s="22" t="str">
        <f t="shared" si="429"/>
        <v/>
      </c>
      <c r="P639" s="21" t="str">
        <f t="shared" si="430"/>
        <v>Apprenant 627 ou 627'</v>
      </c>
      <c r="Q639" s="22" t="str">
        <f t="shared" si="431"/>
        <v/>
      </c>
      <c r="R639" s="22" t="str">
        <f t="shared" si="432"/>
        <v/>
      </c>
      <c r="S639" s="22" t="str">
        <f t="shared" si="433"/>
        <v/>
      </c>
      <c r="T639" s="22" t="str">
        <f t="shared" si="434"/>
        <v/>
      </c>
      <c r="V639" s="21" t="str">
        <f t="shared" si="435"/>
        <v>Apprenant 627</v>
      </c>
      <c r="W639" s="22" t="str">
        <f>IF(AND(OR('Choix pédagogiques'!$C$3=1,'Choix pédagogiques'!$C$3=2),$BM639=1),B639,IF(AND('Choix pédagogiques'!$C$3=3,$BO639=1),B639,""))</f>
        <v/>
      </c>
      <c r="X639" s="22" t="str">
        <f>IF(AND(OR('Choix pédagogiques'!$C$3=1,'Choix pédagogiques'!$C$3=2),$BM639=1),C639,IF(AND('Choix pédagogiques'!$C$3=3,$BO639=1),C639,""))</f>
        <v/>
      </c>
      <c r="Y639" s="22" t="str">
        <f>IF(AND(OR('Choix pédagogiques'!$C$3=1,'Choix pédagogiques'!$C$3=2),$BM639=1),D639,IF(AND('Choix pédagogiques'!$C$3=3,$BO639=1),D639,""))</f>
        <v/>
      </c>
      <c r="Z639" s="22" t="str">
        <f t="shared" si="436"/>
        <v/>
      </c>
      <c r="AA639" s="21" t="str">
        <f t="shared" si="437"/>
        <v>Apprenant 627 ou 627'</v>
      </c>
      <c r="AB639" s="22" t="str">
        <f>IF(AND(OR('Choix pédagogiques'!$C$3=1,'Choix pédagogiques'!$C$3=2),$BN639=1),G639,IF(AND('Choix pédagogiques'!$C$3=3,$BO639=1),G639,""))</f>
        <v/>
      </c>
      <c r="AC639" s="22" t="str">
        <f>IF(AND(OR('Choix pédagogiques'!$C$3=1,'Choix pédagogiques'!$C$3=2),$BN639=1),H639,IF(AND('Choix pédagogiques'!$C$3=3,$BO639=1),H639,""))</f>
        <v/>
      </c>
      <c r="AD639" s="22" t="str">
        <f>IF(AND(OR('Choix pédagogiques'!$C$3=1,'Choix pédagogiques'!$C$3=2),$BN639=1),I639,IF(AND('Choix pédagogiques'!$C$3=3,$BO639=1),I639,""))</f>
        <v/>
      </c>
      <c r="AE639" s="22" t="str">
        <f t="shared" si="438"/>
        <v/>
      </c>
      <c r="AF639" s="21" t="str">
        <f t="shared" si="439"/>
        <v>Apprenant 627</v>
      </c>
      <c r="AG639" s="22" t="str">
        <f t="shared" si="413"/>
        <v/>
      </c>
      <c r="AH639" s="22" t="str">
        <f t="shared" si="414"/>
        <v/>
      </c>
      <c r="AI639" s="22" t="str">
        <f t="shared" si="415"/>
        <v/>
      </c>
      <c r="AJ639" s="22" t="str">
        <f t="shared" si="440"/>
        <v/>
      </c>
      <c r="AK639" s="21" t="str">
        <f t="shared" si="441"/>
        <v>Apprenant 627 ou 627'</v>
      </c>
      <c r="AL639" s="22" t="str">
        <f t="shared" si="416"/>
        <v/>
      </c>
      <c r="AM639" s="22" t="str">
        <f t="shared" si="417"/>
        <v/>
      </c>
      <c r="AN639" s="22" t="str">
        <f t="shared" si="418"/>
        <v/>
      </c>
      <c r="AO639" s="22" t="str">
        <f t="shared" si="442"/>
        <v/>
      </c>
      <c r="AQ639" s="21" t="str">
        <f t="shared" si="443"/>
        <v>Apprenant 627</v>
      </c>
      <c r="AR639" s="49" t="str">
        <f>IF(AND('Choix pédagogiques'!$C$4&lt;&gt;"?",'Choix pédagogiques'!$C$5&lt;&gt;"?",W639&lt;&gt;""),(W639-'Choix pédagogiques'!$C$4)/('Choix pédagogiques'!$C$5-'Choix pédagogiques'!$C$4),"")</f>
        <v/>
      </c>
      <c r="AS639" s="49" t="str">
        <f>IF(AND('Choix pédagogiques'!$C$4&lt;&gt;"?",'Choix pédagogiques'!$C$5&lt;&gt;"?",X639&lt;&gt;""),(X639-'Choix pédagogiques'!$C$4)/('Choix pédagogiques'!$C$5-'Choix pédagogiques'!$C$4),"")</f>
        <v/>
      </c>
      <c r="AT639" s="49" t="str">
        <f>IF(AND('Choix pédagogiques'!$C$4&lt;&gt;"?",'Choix pédagogiques'!$C$5&lt;&gt;"?",Y639&lt;&gt;""),(Y639-'Choix pédagogiques'!$C$4)/('Choix pédagogiques'!$C$5-'Choix pédagogiques'!$C$4),"")</f>
        <v/>
      </c>
      <c r="AU639" s="22" t="str">
        <f t="shared" si="444"/>
        <v/>
      </c>
      <c r="AV639" s="21" t="str">
        <f t="shared" si="445"/>
        <v>Apprenant 627 ou 627'</v>
      </c>
      <c r="AW639" s="49" t="str">
        <f>IF(AND('Choix pédagogiques'!$C$4&lt;&gt;"?",'Choix pédagogiques'!$C$5&lt;&gt;"?",AB639&lt;&gt;""),(AB639-'Choix pédagogiques'!$C$4)/('Choix pédagogiques'!$C$5-'Choix pédagogiques'!$C$4),"")</f>
        <v/>
      </c>
      <c r="AX639" s="49" t="str">
        <f>IF(AND('Choix pédagogiques'!$C$4&lt;&gt;"?",'Choix pédagogiques'!$C$5&lt;&gt;"?",AC639&lt;&gt;""),(AC639-'Choix pédagogiques'!$C$4)/('Choix pédagogiques'!$C$5-'Choix pédagogiques'!$C$4),"")</f>
        <v/>
      </c>
      <c r="AY639" s="49" t="str">
        <f>IF(AND('Choix pédagogiques'!$C$4&lt;&gt;"?",'Choix pédagogiques'!$C$5&lt;&gt;"?",AD639&lt;&gt;""),(AD639-'Choix pédagogiques'!$C$4)/('Choix pédagogiques'!$C$5-'Choix pédagogiques'!$C$4),"")</f>
        <v/>
      </c>
      <c r="AZ639" s="22" t="str">
        <f t="shared" si="446"/>
        <v/>
      </c>
      <c r="BA639" s="21" t="str">
        <f t="shared" si="447"/>
        <v>Apprenant 627</v>
      </c>
      <c r="BB639" s="49" t="str">
        <f t="shared" si="419"/>
        <v/>
      </c>
      <c r="BC639" s="49" t="str">
        <f t="shared" si="420"/>
        <v/>
      </c>
      <c r="BD639" s="49" t="str">
        <f t="shared" si="421"/>
        <v/>
      </c>
      <c r="BE639" s="22" t="str">
        <f t="shared" si="448"/>
        <v/>
      </c>
      <c r="BF639" s="21" t="str">
        <f t="shared" si="449"/>
        <v>Apprenant 627 ou 627'</v>
      </c>
      <c r="BG639" s="49" t="str">
        <f t="shared" si="422"/>
        <v/>
      </c>
      <c r="BH639" s="49" t="str">
        <f t="shared" si="423"/>
        <v/>
      </c>
      <c r="BI639" s="49" t="str">
        <f t="shared" si="424"/>
        <v/>
      </c>
      <c r="BJ639" s="22" t="str">
        <f t="shared" si="450"/>
        <v/>
      </c>
      <c r="BL639" s="21"/>
      <c r="BM639" s="21" t="str">
        <f>IF(OR(COUNT(B639:D1638)=0,AND('Choix pédagogiques'!$C$3&lt;&gt;1,'Choix pédagogiques'!$C$3&lt;&gt;2)),"",IF(AND(OR('Choix pédagogiques'!$C$3=1,'Choix pédagogiques'!$C$3=2),$B639&lt;&gt;"",$C639&lt;&gt;"",$D639&lt;&gt;""),1,0))</f>
        <v/>
      </c>
      <c r="BN639" s="21" t="str">
        <f>IF(OR(COUNT(G639:I1638)=0,AND('Choix pédagogiques'!$C$3&lt;&gt;1,'Choix pédagogiques'!$C$3&lt;&gt;2)),"",IF(AND(OR('Choix pédagogiques'!$C$3=1,'Choix pédagogiques'!$C$3=2),AND($G639&lt;&gt;"",$H639&lt;&gt;"",$I639&lt;&gt;"")),1,0))</f>
        <v/>
      </c>
      <c r="BO639" s="21" t="str">
        <f>IF(OR(COUNT(B639:D1638)=0,COUNT(G639:I1638)=0,'Choix pédagogiques'!C$3&lt;&gt;3),"",IF(AND('Choix pédagogiques'!$C$3=3,$B639&lt;&gt;"",$C639&lt;&gt;"",$D639&lt;&gt;"",$G639&lt;&gt;"",$H639&lt;&gt;"",$I639&lt;&gt;""),1,0))</f>
        <v/>
      </c>
      <c r="BR639" s="21">
        <v>362</v>
      </c>
      <c r="BS639" s="21">
        <v>1423</v>
      </c>
      <c r="BT639"/>
    </row>
    <row r="640" spans="1:72" s="23" customFormat="1" ht="18" customHeight="1" x14ac:dyDescent="0.3">
      <c r="A640" s="35" t="s">
        <v>630</v>
      </c>
      <c r="B640" s="37"/>
      <c r="C640" s="37"/>
      <c r="D640" s="37"/>
      <c r="E640" s="37"/>
      <c r="F640" s="35" t="s">
        <v>1638</v>
      </c>
      <c r="G640" s="37"/>
      <c r="H640" s="37"/>
      <c r="I640" s="37"/>
      <c r="J640" s="37"/>
      <c r="K640" s="21" t="str">
        <f t="shared" si="425"/>
        <v>Apprenant 628</v>
      </c>
      <c r="L640" s="22" t="str">
        <f t="shared" si="426"/>
        <v/>
      </c>
      <c r="M640" s="22" t="str">
        <f t="shared" si="427"/>
        <v/>
      </c>
      <c r="N640" s="22" t="str">
        <f t="shared" si="428"/>
        <v/>
      </c>
      <c r="O640" s="22" t="str">
        <f t="shared" si="429"/>
        <v/>
      </c>
      <c r="P640" s="21" t="str">
        <f t="shared" si="430"/>
        <v>Apprenant 628 ou 628'</v>
      </c>
      <c r="Q640" s="22" t="str">
        <f t="shared" si="431"/>
        <v/>
      </c>
      <c r="R640" s="22" t="str">
        <f t="shared" si="432"/>
        <v/>
      </c>
      <c r="S640" s="22" t="str">
        <f t="shared" si="433"/>
        <v/>
      </c>
      <c r="T640" s="22" t="str">
        <f t="shared" si="434"/>
        <v/>
      </c>
      <c r="V640" s="21" t="str">
        <f t="shared" si="435"/>
        <v>Apprenant 628</v>
      </c>
      <c r="W640" s="22" t="str">
        <f>IF(AND(OR('Choix pédagogiques'!$C$3=1,'Choix pédagogiques'!$C$3=2),$BM640=1),B640,IF(AND('Choix pédagogiques'!$C$3=3,$BO640=1),B640,""))</f>
        <v/>
      </c>
      <c r="X640" s="22" t="str">
        <f>IF(AND(OR('Choix pédagogiques'!$C$3=1,'Choix pédagogiques'!$C$3=2),$BM640=1),C640,IF(AND('Choix pédagogiques'!$C$3=3,$BO640=1),C640,""))</f>
        <v/>
      </c>
      <c r="Y640" s="22" t="str">
        <f>IF(AND(OR('Choix pédagogiques'!$C$3=1,'Choix pédagogiques'!$C$3=2),$BM640=1),D640,IF(AND('Choix pédagogiques'!$C$3=3,$BO640=1),D640,""))</f>
        <v/>
      </c>
      <c r="Z640" s="22" t="str">
        <f t="shared" si="436"/>
        <v/>
      </c>
      <c r="AA640" s="21" t="str">
        <f t="shared" si="437"/>
        <v>Apprenant 628 ou 628'</v>
      </c>
      <c r="AB640" s="22" t="str">
        <f>IF(AND(OR('Choix pédagogiques'!$C$3=1,'Choix pédagogiques'!$C$3=2),$BN640=1),G640,IF(AND('Choix pédagogiques'!$C$3=3,$BO640=1),G640,""))</f>
        <v/>
      </c>
      <c r="AC640" s="22" t="str">
        <f>IF(AND(OR('Choix pédagogiques'!$C$3=1,'Choix pédagogiques'!$C$3=2),$BN640=1),H640,IF(AND('Choix pédagogiques'!$C$3=3,$BO640=1),H640,""))</f>
        <v/>
      </c>
      <c r="AD640" s="22" t="str">
        <f>IF(AND(OR('Choix pédagogiques'!$C$3=1,'Choix pédagogiques'!$C$3=2),$BN640=1),I640,IF(AND('Choix pédagogiques'!$C$3=3,$BO640=1),I640,""))</f>
        <v/>
      </c>
      <c r="AE640" s="22" t="str">
        <f t="shared" si="438"/>
        <v/>
      </c>
      <c r="AF640" s="21" t="str">
        <f t="shared" si="439"/>
        <v>Apprenant 628</v>
      </c>
      <c r="AG640" s="22" t="str">
        <f t="shared" si="413"/>
        <v/>
      </c>
      <c r="AH640" s="22" t="str">
        <f t="shared" si="414"/>
        <v/>
      </c>
      <c r="AI640" s="22" t="str">
        <f t="shared" si="415"/>
        <v/>
      </c>
      <c r="AJ640" s="22" t="str">
        <f t="shared" si="440"/>
        <v/>
      </c>
      <c r="AK640" s="21" t="str">
        <f t="shared" si="441"/>
        <v>Apprenant 628 ou 628'</v>
      </c>
      <c r="AL640" s="22" t="str">
        <f t="shared" si="416"/>
        <v/>
      </c>
      <c r="AM640" s="22" t="str">
        <f t="shared" si="417"/>
        <v/>
      </c>
      <c r="AN640" s="22" t="str">
        <f t="shared" si="418"/>
        <v/>
      </c>
      <c r="AO640" s="22" t="str">
        <f t="shared" si="442"/>
        <v/>
      </c>
      <c r="AQ640" s="21" t="str">
        <f t="shared" si="443"/>
        <v>Apprenant 628</v>
      </c>
      <c r="AR640" s="49" t="str">
        <f>IF(AND('Choix pédagogiques'!$C$4&lt;&gt;"?",'Choix pédagogiques'!$C$5&lt;&gt;"?",W640&lt;&gt;""),(W640-'Choix pédagogiques'!$C$4)/('Choix pédagogiques'!$C$5-'Choix pédagogiques'!$C$4),"")</f>
        <v/>
      </c>
      <c r="AS640" s="49" t="str">
        <f>IF(AND('Choix pédagogiques'!$C$4&lt;&gt;"?",'Choix pédagogiques'!$C$5&lt;&gt;"?",X640&lt;&gt;""),(X640-'Choix pédagogiques'!$C$4)/('Choix pédagogiques'!$C$5-'Choix pédagogiques'!$C$4),"")</f>
        <v/>
      </c>
      <c r="AT640" s="49" t="str">
        <f>IF(AND('Choix pédagogiques'!$C$4&lt;&gt;"?",'Choix pédagogiques'!$C$5&lt;&gt;"?",Y640&lt;&gt;""),(Y640-'Choix pédagogiques'!$C$4)/('Choix pédagogiques'!$C$5-'Choix pédagogiques'!$C$4),"")</f>
        <v/>
      </c>
      <c r="AU640" s="22" t="str">
        <f t="shared" si="444"/>
        <v/>
      </c>
      <c r="AV640" s="21" t="str">
        <f t="shared" si="445"/>
        <v>Apprenant 628 ou 628'</v>
      </c>
      <c r="AW640" s="49" t="str">
        <f>IF(AND('Choix pédagogiques'!$C$4&lt;&gt;"?",'Choix pédagogiques'!$C$5&lt;&gt;"?",AB640&lt;&gt;""),(AB640-'Choix pédagogiques'!$C$4)/('Choix pédagogiques'!$C$5-'Choix pédagogiques'!$C$4),"")</f>
        <v/>
      </c>
      <c r="AX640" s="49" t="str">
        <f>IF(AND('Choix pédagogiques'!$C$4&lt;&gt;"?",'Choix pédagogiques'!$C$5&lt;&gt;"?",AC640&lt;&gt;""),(AC640-'Choix pédagogiques'!$C$4)/('Choix pédagogiques'!$C$5-'Choix pédagogiques'!$C$4),"")</f>
        <v/>
      </c>
      <c r="AY640" s="49" t="str">
        <f>IF(AND('Choix pédagogiques'!$C$4&lt;&gt;"?",'Choix pédagogiques'!$C$5&lt;&gt;"?",AD640&lt;&gt;""),(AD640-'Choix pédagogiques'!$C$4)/('Choix pédagogiques'!$C$5-'Choix pédagogiques'!$C$4),"")</f>
        <v/>
      </c>
      <c r="AZ640" s="22" t="str">
        <f t="shared" si="446"/>
        <v/>
      </c>
      <c r="BA640" s="21" t="str">
        <f t="shared" si="447"/>
        <v>Apprenant 628</v>
      </c>
      <c r="BB640" s="49" t="str">
        <f t="shared" si="419"/>
        <v/>
      </c>
      <c r="BC640" s="49" t="str">
        <f t="shared" si="420"/>
        <v/>
      </c>
      <c r="BD640" s="49" t="str">
        <f t="shared" si="421"/>
        <v/>
      </c>
      <c r="BE640" s="22" t="str">
        <f t="shared" si="448"/>
        <v/>
      </c>
      <c r="BF640" s="21" t="str">
        <f t="shared" si="449"/>
        <v>Apprenant 628 ou 628'</v>
      </c>
      <c r="BG640" s="49" t="str">
        <f t="shared" si="422"/>
        <v/>
      </c>
      <c r="BH640" s="49" t="str">
        <f t="shared" si="423"/>
        <v/>
      </c>
      <c r="BI640" s="49" t="str">
        <f t="shared" si="424"/>
        <v/>
      </c>
      <c r="BJ640" s="22" t="str">
        <f t="shared" si="450"/>
        <v/>
      </c>
      <c r="BL640" s="21"/>
      <c r="BM640" s="21" t="str">
        <f>IF(OR(COUNT(B640:D1639)=0,AND('Choix pédagogiques'!$C$3&lt;&gt;1,'Choix pédagogiques'!$C$3&lt;&gt;2)),"",IF(AND(OR('Choix pédagogiques'!$C$3=1,'Choix pédagogiques'!$C$3=2),$B640&lt;&gt;"",$C640&lt;&gt;"",$D640&lt;&gt;""),1,0))</f>
        <v/>
      </c>
      <c r="BN640" s="21" t="str">
        <f>IF(OR(COUNT(G640:I1639)=0,AND('Choix pédagogiques'!$C$3&lt;&gt;1,'Choix pédagogiques'!$C$3&lt;&gt;2)),"",IF(AND(OR('Choix pédagogiques'!$C$3=1,'Choix pédagogiques'!$C$3=2),AND($G640&lt;&gt;"",$H640&lt;&gt;"",$I640&lt;&gt;"")),1,0))</f>
        <v/>
      </c>
      <c r="BO640" s="21" t="str">
        <f>IF(OR(COUNT(B640:D1639)=0,COUNT(G640:I1639)=0,'Choix pédagogiques'!C$3&lt;&gt;3),"",IF(AND('Choix pédagogiques'!$C$3=3,$B640&lt;&gt;"",$C640&lt;&gt;"",$D640&lt;&gt;"",$G640&lt;&gt;"",$H640&lt;&gt;"",$I640&lt;&gt;""),1,0))</f>
        <v/>
      </c>
      <c r="BR640" s="21">
        <v>875</v>
      </c>
      <c r="BS640" s="21">
        <v>1777</v>
      </c>
      <c r="BT640"/>
    </row>
    <row r="641" spans="1:72" s="23" customFormat="1" ht="18" customHeight="1" x14ac:dyDescent="0.3">
      <c r="A641" s="35" t="s">
        <v>631</v>
      </c>
      <c r="B641" s="37"/>
      <c r="C641" s="37"/>
      <c r="D641" s="37"/>
      <c r="E641" s="37"/>
      <c r="F641" s="35" t="s">
        <v>1639</v>
      </c>
      <c r="G641" s="37"/>
      <c r="H641" s="37"/>
      <c r="I641" s="37"/>
      <c r="J641" s="37"/>
      <c r="K641" s="21" t="str">
        <f t="shared" si="425"/>
        <v>Apprenant 629</v>
      </c>
      <c r="L641" s="22" t="str">
        <f t="shared" si="426"/>
        <v/>
      </c>
      <c r="M641" s="22" t="str">
        <f t="shared" si="427"/>
        <v/>
      </c>
      <c r="N641" s="22" t="str">
        <f t="shared" si="428"/>
        <v/>
      </c>
      <c r="O641" s="22" t="str">
        <f t="shared" si="429"/>
        <v/>
      </c>
      <c r="P641" s="21" t="str">
        <f t="shared" si="430"/>
        <v>Apprenant 629 ou 629'</v>
      </c>
      <c r="Q641" s="22" t="str">
        <f t="shared" si="431"/>
        <v/>
      </c>
      <c r="R641" s="22" t="str">
        <f t="shared" si="432"/>
        <v/>
      </c>
      <c r="S641" s="22" t="str">
        <f t="shared" si="433"/>
        <v/>
      </c>
      <c r="T641" s="22" t="str">
        <f t="shared" si="434"/>
        <v/>
      </c>
      <c r="V641" s="21" t="str">
        <f t="shared" si="435"/>
        <v>Apprenant 629</v>
      </c>
      <c r="W641" s="22" t="str">
        <f>IF(AND(OR('Choix pédagogiques'!$C$3=1,'Choix pédagogiques'!$C$3=2),$BM641=1),B641,IF(AND('Choix pédagogiques'!$C$3=3,$BO641=1),B641,""))</f>
        <v/>
      </c>
      <c r="X641" s="22" t="str">
        <f>IF(AND(OR('Choix pédagogiques'!$C$3=1,'Choix pédagogiques'!$C$3=2),$BM641=1),C641,IF(AND('Choix pédagogiques'!$C$3=3,$BO641=1),C641,""))</f>
        <v/>
      </c>
      <c r="Y641" s="22" t="str">
        <f>IF(AND(OR('Choix pédagogiques'!$C$3=1,'Choix pédagogiques'!$C$3=2),$BM641=1),D641,IF(AND('Choix pédagogiques'!$C$3=3,$BO641=1),D641,""))</f>
        <v/>
      </c>
      <c r="Z641" s="22" t="str">
        <f t="shared" si="436"/>
        <v/>
      </c>
      <c r="AA641" s="21" t="str">
        <f t="shared" si="437"/>
        <v>Apprenant 629 ou 629'</v>
      </c>
      <c r="AB641" s="22" t="str">
        <f>IF(AND(OR('Choix pédagogiques'!$C$3=1,'Choix pédagogiques'!$C$3=2),$BN641=1),G641,IF(AND('Choix pédagogiques'!$C$3=3,$BO641=1),G641,""))</f>
        <v/>
      </c>
      <c r="AC641" s="22" t="str">
        <f>IF(AND(OR('Choix pédagogiques'!$C$3=1,'Choix pédagogiques'!$C$3=2),$BN641=1),H641,IF(AND('Choix pédagogiques'!$C$3=3,$BO641=1),H641,""))</f>
        <v/>
      </c>
      <c r="AD641" s="22" t="str">
        <f>IF(AND(OR('Choix pédagogiques'!$C$3=1,'Choix pédagogiques'!$C$3=2),$BN641=1),I641,IF(AND('Choix pédagogiques'!$C$3=3,$BO641=1),I641,""))</f>
        <v/>
      </c>
      <c r="AE641" s="22" t="str">
        <f t="shared" si="438"/>
        <v/>
      </c>
      <c r="AF641" s="21" t="str">
        <f t="shared" si="439"/>
        <v>Apprenant 629</v>
      </c>
      <c r="AG641" s="22" t="str">
        <f t="shared" si="413"/>
        <v/>
      </c>
      <c r="AH641" s="22" t="str">
        <f t="shared" si="414"/>
        <v/>
      </c>
      <c r="AI641" s="22" t="str">
        <f t="shared" si="415"/>
        <v/>
      </c>
      <c r="AJ641" s="22" t="str">
        <f t="shared" si="440"/>
        <v/>
      </c>
      <c r="AK641" s="21" t="str">
        <f t="shared" si="441"/>
        <v>Apprenant 629 ou 629'</v>
      </c>
      <c r="AL641" s="22" t="str">
        <f t="shared" si="416"/>
        <v/>
      </c>
      <c r="AM641" s="22" t="str">
        <f t="shared" si="417"/>
        <v/>
      </c>
      <c r="AN641" s="22" t="str">
        <f t="shared" si="418"/>
        <v/>
      </c>
      <c r="AO641" s="22" t="str">
        <f t="shared" si="442"/>
        <v/>
      </c>
      <c r="AQ641" s="21" t="str">
        <f t="shared" si="443"/>
        <v>Apprenant 629</v>
      </c>
      <c r="AR641" s="49" t="str">
        <f>IF(AND('Choix pédagogiques'!$C$4&lt;&gt;"?",'Choix pédagogiques'!$C$5&lt;&gt;"?",W641&lt;&gt;""),(W641-'Choix pédagogiques'!$C$4)/('Choix pédagogiques'!$C$5-'Choix pédagogiques'!$C$4),"")</f>
        <v/>
      </c>
      <c r="AS641" s="49" t="str">
        <f>IF(AND('Choix pédagogiques'!$C$4&lt;&gt;"?",'Choix pédagogiques'!$C$5&lt;&gt;"?",X641&lt;&gt;""),(X641-'Choix pédagogiques'!$C$4)/('Choix pédagogiques'!$C$5-'Choix pédagogiques'!$C$4),"")</f>
        <v/>
      </c>
      <c r="AT641" s="49" t="str">
        <f>IF(AND('Choix pédagogiques'!$C$4&lt;&gt;"?",'Choix pédagogiques'!$C$5&lt;&gt;"?",Y641&lt;&gt;""),(Y641-'Choix pédagogiques'!$C$4)/('Choix pédagogiques'!$C$5-'Choix pédagogiques'!$C$4),"")</f>
        <v/>
      </c>
      <c r="AU641" s="22" t="str">
        <f t="shared" si="444"/>
        <v/>
      </c>
      <c r="AV641" s="21" t="str">
        <f t="shared" si="445"/>
        <v>Apprenant 629 ou 629'</v>
      </c>
      <c r="AW641" s="49" t="str">
        <f>IF(AND('Choix pédagogiques'!$C$4&lt;&gt;"?",'Choix pédagogiques'!$C$5&lt;&gt;"?",AB641&lt;&gt;""),(AB641-'Choix pédagogiques'!$C$4)/('Choix pédagogiques'!$C$5-'Choix pédagogiques'!$C$4),"")</f>
        <v/>
      </c>
      <c r="AX641" s="49" t="str">
        <f>IF(AND('Choix pédagogiques'!$C$4&lt;&gt;"?",'Choix pédagogiques'!$C$5&lt;&gt;"?",AC641&lt;&gt;""),(AC641-'Choix pédagogiques'!$C$4)/('Choix pédagogiques'!$C$5-'Choix pédagogiques'!$C$4),"")</f>
        <v/>
      </c>
      <c r="AY641" s="49" t="str">
        <f>IF(AND('Choix pédagogiques'!$C$4&lt;&gt;"?",'Choix pédagogiques'!$C$5&lt;&gt;"?",AD641&lt;&gt;""),(AD641-'Choix pédagogiques'!$C$4)/('Choix pédagogiques'!$C$5-'Choix pédagogiques'!$C$4),"")</f>
        <v/>
      </c>
      <c r="AZ641" s="22" t="str">
        <f t="shared" si="446"/>
        <v/>
      </c>
      <c r="BA641" s="21" t="str">
        <f t="shared" si="447"/>
        <v>Apprenant 629</v>
      </c>
      <c r="BB641" s="49" t="str">
        <f t="shared" si="419"/>
        <v/>
      </c>
      <c r="BC641" s="49" t="str">
        <f t="shared" si="420"/>
        <v/>
      </c>
      <c r="BD641" s="49" t="str">
        <f t="shared" si="421"/>
        <v/>
      </c>
      <c r="BE641" s="22" t="str">
        <f t="shared" si="448"/>
        <v/>
      </c>
      <c r="BF641" s="21" t="str">
        <f t="shared" si="449"/>
        <v>Apprenant 629 ou 629'</v>
      </c>
      <c r="BG641" s="49" t="str">
        <f t="shared" si="422"/>
        <v/>
      </c>
      <c r="BH641" s="49" t="str">
        <f t="shared" si="423"/>
        <v/>
      </c>
      <c r="BI641" s="49" t="str">
        <f t="shared" si="424"/>
        <v/>
      </c>
      <c r="BJ641" s="22" t="str">
        <f t="shared" si="450"/>
        <v/>
      </c>
      <c r="BL641" s="21"/>
      <c r="BM641" s="21" t="str">
        <f>IF(OR(COUNT(B641:D1640)=0,AND('Choix pédagogiques'!$C$3&lt;&gt;1,'Choix pédagogiques'!$C$3&lt;&gt;2)),"",IF(AND(OR('Choix pédagogiques'!$C$3=1,'Choix pédagogiques'!$C$3=2),$B641&lt;&gt;"",$C641&lt;&gt;"",$D641&lt;&gt;""),1,0))</f>
        <v/>
      </c>
      <c r="BN641" s="21" t="str">
        <f>IF(OR(COUNT(G641:I1640)=0,AND('Choix pédagogiques'!$C$3&lt;&gt;1,'Choix pédagogiques'!$C$3&lt;&gt;2)),"",IF(AND(OR('Choix pédagogiques'!$C$3=1,'Choix pédagogiques'!$C$3=2),AND($G641&lt;&gt;"",$H641&lt;&gt;"",$I641&lt;&gt;"")),1,0))</f>
        <v/>
      </c>
      <c r="BO641" s="21" t="str">
        <f>IF(OR(COUNT(B641:D1640)=0,COUNT(G641:I1640)=0,'Choix pédagogiques'!C$3&lt;&gt;3),"",IF(AND('Choix pédagogiques'!$C$3=3,$B641&lt;&gt;"",$C641&lt;&gt;"",$D641&lt;&gt;"",$G641&lt;&gt;"",$H641&lt;&gt;"",$I641&lt;&gt;""),1,0))</f>
        <v/>
      </c>
      <c r="BR641" s="21">
        <v>114</v>
      </c>
      <c r="BS641" s="21">
        <v>1056</v>
      </c>
      <c r="BT641"/>
    </row>
    <row r="642" spans="1:72" s="23" customFormat="1" ht="18" customHeight="1" x14ac:dyDescent="0.3">
      <c r="A642" s="35" t="s">
        <v>632</v>
      </c>
      <c r="B642" s="37"/>
      <c r="C642" s="37"/>
      <c r="D642" s="37"/>
      <c r="E642" s="37"/>
      <c r="F642" s="35" t="s">
        <v>1640</v>
      </c>
      <c r="G642" s="37"/>
      <c r="H642" s="37"/>
      <c r="I642" s="37"/>
      <c r="J642" s="37"/>
      <c r="K642" s="21" t="str">
        <f t="shared" si="425"/>
        <v>Apprenant 630</v>
      </c>
      <c r="L642" s="22" t="str">
        <f t="shared" si="426"/>
        <v/>
      </c>
      <c r="M642" s="22" t="str">
        <f t="shared" si="427"/>
        <v/>
      </c>
      <c r="N642" s="22" t="str">
        <f t="shared" si="428"/>
        <v/>
      </c>
      <c r="O642" s="22" t="str">
        <f t="shared" si="429"/>
        <v/>
      </c>
      <c r="P642" s="21" t="str">
        <f t="shared" si="430"/>
        <v>Apprenant 630 ou 630'</v>
      </c>
      <c r="Q642" s="22" t="str">
        <f t="shared" si="431"/>
        <v/>
      </c>
      <c r="R642" s="22" t="str">
        <f t="shared" si="432"/>
        <v/>
      </c>
      <c r="S642" s="22" t="str">
        <f t="shared" si="433"/>
        <v/>
      </c>
      <c r="T642" s="22" t="str">
        <f t="shared" si="434"/>
        <v/>
      </c>
      <c r="V642" s="21" t="str">
        <f t="shared" si="435"/>
        <v>Apprenant 630</v>
      </c>
      <c r="W642" s="22" t="str">
        <f>IF(AND(OR('Choix pédagogiques'!$C$3=1,'Choix pédagogiques'!$C$3=2),$BM642=1),B642,IF(AND('Choix pédagogiques'!$C$3=3,$BO642=1),B642,""))</f>
        <v/>
      </c>
      <c r="X642" s="22" t="str">
        <f>IF(AND(OR('Choix pédagogiques'!$C$3=1,'Choix pédagogiques'!$C$3=2),$BM642=1),C642,IF(AND('Choix pédagogiques'!$C$3=3,$BO642=1),C642,""))</f>
        <v/>
      </c>
      <c r="Y642" s="22" t="str">
        <f>IF(AND(OR('Choix pédagogiques'!$C$3=1,'Choix pédagogiques'!$C$3=2),$BM642=1),D642,IF(AND('Choix pédagogiques'!$C$3=3,$BO642=1),D642,""))</f>
        <v/>
      </c>
      <c r="Z642" s="22" t="str">
        <f t="shared" si="436"/>
        <v/>
      </c>
      <c r="AA642" s="21" t="str">
        <f t="shared" si="437"/>
        <v>Apprenant 630 ou 630'</v>
      </c>
      <c r="AB642" s="22" t="str">
        <f>IF(AND(OR('Choix pédagogiques'!$C$3=1,'Choix pédagogiques'!$C$3=2),$BN642=1),G642,IF(AND('Choix pédagogiques'!$C$3=3,$BO642=1),G642,""))</f>
        <v/>
      </c>
      <c r="AC642" s="22" t="str">
        <f>IF(AND(OR('Choix pédagogiques'!$C$3=1,'Choix pédagogiques'!$C$3=2),$BN642=1),H642,IF(AND('Choix pédagogiques'!$C$3=3,$BO642=1),H642,""))</f>
        <v/>
      </c>
      <c r="AD642" s="22" t="str">
        <f>IF(AND(OR('Choix pédagogiques'!$C$3=1,'Choix pédagogiques'!$C$3=2),$BN642=1),I642,IF(AND('Choix pédagogiques'!$C$3=3,$BO642=1),I642,""))</f>
        <v/>
      </c>
      <c r="AE642" s="22" t="str">
        <f t="shared" si="438"/>
        <v/>
      </c>
      <c r="AF642" s="21" t="str">
        <f t="shared" si="439"/>
        <v>Apprenant 630</v>
      </c>
      <c r="AG642" s="22" t="str">
        <f t="shared" si="413"/>
        <v/>
      </c>
      <c r="AH642" s="22" t="str">
        <f t="shared" si="414"/>
        <v/>
      </c>
      <c r="AI642" s="22" t="str">
        <f t="shared" si="415"/>
        <v/>
      </c>
      <c r="AJ642" s="22" t="str">
        <f t="shared" si="440"/>
        <v/>
      </c>
      <c r="AK642" s="21" t="str">
        <f t="shared" si="441"/>
        <v>Apprenant 630 ou 630'</v>
      </c>
      <c r="AL642" s="22" t="str">
        <f t="shared" si="416"/>
        <v/>
      </c>
      <c r="AM642" s="22" t="str">
        <f t="shared" si="417"/>
        <v/>
      </c>
      <c r="AN642" s="22" t="str">
        <f t="shared" si="418"/>
        <v/>
      </c>
      <c r="AO642" s="22" t="str">
        <f t="shared" si="442"/>
        <v/>
      </c>
      <c r="AQ642" s="21" t="str">
        <f t="shared" si="443"/>
        <v>Apprenant 630</v>
      </c>
      <c r="AR642" s="49" t="str">
        <f>IF(AND('Choix pédagogiques'!$C$4&lt;&gt;"?",'Choix pédagogiques'!$C$5&lt;&gt;"?",W642&lt;&gt;""),(W642-'Choix pédagogiques'!$C$4)/('Choix pédagogiques'!$C$5-'Choix pédagogiques'!$C$4),"")</f>
        <v/>
      </c>
      <c r="AS642" s="49" t="str">
        <f>IF(AND('Choix pédagogiques'!$C$4&lt;&gt;"?",'Choix pédagogiques'!$C$5&lt;&gt;"?",X642&lt;&gt;""),(X642-'Choix pédagogiques'!$C$4)/('Choix pédagogiques'!$C$5-'Choix pédagogiques'!$C$4),"")</f>
        <v/>
      </c>
      <c r="AT642" s="49" t="str">
        <f>IF(AND('Choix pédagogiques'!$C$4&lt;&gt;"?",'Choix pédagogiques'!$C$5&lt;&gt;"?",Y642&lt;&gt;""),(Y642-'Choix pédagogiques'!$C$4)/('Choix pédagogiques'!$C$5-'Choix pédagogiques'!$C$4),"")</f>
        <v/>
      </c>
      <c r="AU642" s="22" t="str">
        <f t="shared" si="444"/>
        <v/>
      </c>
      <c r="AV642" s="21" t="str">
        <f t="shared" si="445"/>
        <v>Apprenant 630 ou 630'</v>
      </c>
      <c r="AW642" s="49" t="str">
        <f>IF(AND('Choix pédagogiques'!$C$4&lt;&gt;"?",'Choix pédagogiques'!$C$5&lt;&gt;"?",AB642&lt;&gt;""),(AB642-'Choix pédagogiques'!$C$4)/('Choix pédagogiques'!$C$5-'Choix pédagogiques'!$C$4),"")</f>
        <v/>
      </c>
      <c r="AX642" s="49" t="str">
        <f>IF(AND('Choix pédagogiques'!$C$4&lt;&gt;"?",'Choix pédagogiques'!$C$5&lt;&gt;"?",AC642&lt;&gt;""),(AC642-'Choix pédagogiques'!$C$4)/('Choix pédagogiques'!$C$5-'Choix pédagogiques'!$C$4),"")</f>
        <v/>
      </c>
      <c r="AY642" s="49" t="str">
        <f>IF(AND('Choix pédagogiques'!$C$4&lt;&gt;"?",'Choix pédagogiques'!$C$5&lt;&gt;"?",AD642&lt;&gt;""),(AD642-'Choix pédagogiques'!$C$4)/('Choix pédagogiques'!$C$5-'Choix pédagogiques'!$C$4),"")</f>
        <v/>
      </c>
      <c r="AZ642" s="22" t="str">
        <f t="shared" si="446"/>
        <v/>
      </c>
      <c r="BA642" s="21" t="str">
        <f t="shared" si="447"/>
        <v>Apprenant 630</v>
      </c>
      <c r="BB642" s="49" t="str">
        <f t="shared" si="419"/>
        <v/>
      </c>
      <c r="BC642" s="49" t="str">
        <f t="shared" si="420"/>
        <v/>
      </c>
      <c r="BD642" s="49" t="str">
        <f t="shared" si="421"/>
        <v/>
      </c>
      <c r="BE642" s="22" t="str">
        <f t="shared" si="448"/>
        <v/>
      </c>
      <c r="BF642" s="21" t="str">
        <f t="shared" si="449"/>
        <v>Apprenant 630 ou 630'</v>
      </c>
      <c r="BG642" s="49" t="str">
        <f t="shared" si="422"/>
        <v/>
      </c>
      <c r="BH642" s="49" t="str">
        <f t="shared" si="423"/>
        <v/>
      </c>
      <c r="BI642" s="49" t="str">
        <f t="shared" si="424"/>
        <v/>
      </c>
      <c r="BJ642" s="22" t="str">
        <f t="shared" si="450"/>
        <v/>
      </c>
      <c r="BL642" s="21"/>
      <c r="BM642" s="21" t="str">
        <f>IF(OR(COUNT(B642:D1641)=0,AND('Choix pédagogiques'!$C$3&lt;&gt;1,'Choix pédagogiques'!$C$3&lt;&gt;2)),"",IF(AND(OR('Choix pédagogiques'!$C$3=1,'Choix pédagogiques'!$C$3=2),$B642&lt;&gt;"",$C642&lt;&gt;"",$D642&lt;&gt;""),1,0))</f>
        <v/>
      </c>
      <c r="BN642" s="21" t="str">
        <f>IF(OR(COUNT(G642:I1641)=0,AND('Choix pédagogiques'!$C$3&lt;&gt;1,'Choix pédagogiques'!$C$3&lt;&gt;2)),"",IF(AND(OR('Choix pédagogiques'!$C$3=1,'Choix pédagogiques'!$C$3=2),AND($G642&lt;&gt;"",$H642&lt;&gt;"",$I642&lt;&gt;"")),1,0))</f>
        <v/>
      </c>
      <c r="BO642" s="21" t="str">
        <f>IF(OR(COUNT(B642:D1641)=0,COUNT(G642:I1641)=0,'Choix pédagogiques'!C$3&lt;&gt;3),"",IF(AND('Choix pédagogiques'!$C$3=3,$B642&lt;&gt;"",$C642&lt;&gt;"",$D642&lt;&gt;"",$G642&lt;&gt;"",$H642&lt;&gt;"",$I642&lt;&gt;""),1,0))</f>
        <v/>
      </c>
      <c r="BR642" s="21">
        <v>994</v>
      </c>
      <c r="BS642" s="21">
        <v>1184</v>
      </c>
      <c r="BT642"/>
    </row>
    <row r="643" spans="1:72" s="23" customFormat="1" ht="18" customHeight="1" x14ac:dyDescent="0.3">
      <c r="A643" s="35" t="s">
        <v>633</v>
      </c>
      <c r="B643" s="37"/>
      <c r="C643" s="37"/>
      <c r="D643" s="37"/>
      <c r="E643" s="37"/>
      <c r="F643" s="35" t="s">
        <v>1641</v>
      </c>
      <c r="G643" s="37"/>
      <c r="H643" s="37"/>
      <c r="I643" s="37"/>
      <c r="J643" s="37"/>
      <c r="K643" s="21" t="str">
        <f t="shared" si="425"/>
        <v>Apprenant 631</v>
      </c>
      <c r="L643" s="22" t="str">
        <f t="shared" si="426"/>
        <v/>
      </c>
      <c r="M643" s="22" t="str">
        <f t="shared" si="427"/>
        <v/>
      </c>
      <c r="N643" s="22" t="str">
        <f t="shared" si="428"/>
        <v/>
      </c>
      <c r="O643" s="22" t="str">
        <f t="shared" si="429"/>
        <v/>
      </c>
      <c r="P643" s="21" t="str">
        <f t="shared" si="430"/>
        <v>Apprenant 631 ou 631'</v>
      </c>
      <c r="Q643" s="22" t="str">
        <f t="shared" si="431"/>
        <v/>
      </c>
      <c r="R643" s="22" t="str">
        <f t="shared" si="432"/>
        <v/>
      </c>
      <c r="S643" s="22" t="str">
        <f t="shared" si="433"/>
        <v/>
      </c>
      <c r="T643" s="22" t="str">
        <f t="shared" si="434"/>
        <v/>
      </c>
      <c r="V643" s="21" t="str">
        <f t="shared" si="435"/>
        <v>Apprenant 631</v>
      </c>
      <c r="W643" s="22" t="str">
        <f>IF(AND(OR('Choix pédagogiques'!$C$3=1,'Choix pédagogiques'!$C$3=2),$BM643=1),B643,IF(AND('Choix pédagogiques'!$C$3=3,$BO643=1),B643,""))</f>
        <v/>
      </c>
      <c r="X643" s="22" t="str">
        <f>IF(AND(OR('Choix pédagogiques'!$C$3=1,'Choix pédagogiques'!$C$3=2),$BM643=1),C643,IF(AND('Choix pédagogiques'!$C$3=3,$BO643=1),C643,""))</f>
        <v/>
      </c>
      <c r="Y643" s="22" t="str">
        <f>IF(AND(OR('Choix pédagogiques'!$C$3=1,'Choix pédagogiques'!$C$3=2),$BM643=1),D643,IF(AND('Choix pédagogiques'!$C$3=3,$BO643=1),D643,""))</f>
        <v/>
      </c>
      <c r="Z643" s="22" t="str">
        <f t="shared" si="436"/>
        <v/>
      </c>
      <c r="AA643" s="21" t="str">
        <f t="shared" si="437"/>
        <v>Apprenant 631 ou 631'</v>
      </c>
      <c r="AB643" s="22" t="str">
        <f>IF(AND(OR('Choix pédagogiques'!$C$3=1,'Choix pédagogiques'!$C$3=2),$BN643=1),G643,IF(AND('Choix pédagogiques'!$C$3=3,$BO643=1),G643,""))</f>
        <v/>
      </c>
      <c r="AC643" s="22" t="str">
        <f>IF(AND(OR('Choix pédagogiques'!$C$3=1,'Choix pédagogiques'!$C$3=2),$BN643=1),H643,IF(AND('Choix pédagogiques'!$C$3=3,$BO643=1),H643,""))</f>
        <v/>
      </c>
      <c r="AD643" s="22" t="str">
        <f>IF(AND(OR('Choix pédagogiques'!$C$3=1,'Choix pédagogiques'!$C$3=2),$BN643=1),I643,IF(AND('Choix pédagogiques'!$C$3=3,$BO643=1),I643,""))</f>
        <v/>
      </c>
      <c r="AE643" s="22" t="str">
        <f t="shared" si="438"/>
        <v/>
      </c>
      <c r="AF643" s="21" t="str">
        <f t="shared" si="439"/>
        <v>Apprenant 631</v>
      </c>
      <c r="AG643" s="22" t="str">
        <f t="shared" si="413"/>
        <v/>
      </c>
      <c r="AH643" s="22" t="str">
        <f t="shared" si="414"/>
        <v/>
      </c>
      <c r="AI643" s="22" t="str">
        <f t="shared" si="415"/>
        <v/>
      </c>
      <c r="AJ643" s="22" t="str">
        <f t="shared" si="440"/>
        <v/>
      </c>
      <c r="AK643" s="21" t="str">
        <f t="shared" si="441"/>
        <v>Apprenant 631 ou 631'</v>
      </c>
      <c r="AL643" s="22" t="str">
        <f t="shared" si="416"/>
        <v/>
      </c>
      <c r="AM643" s="22" t="str">
        <f t="shared" si="417"/>
        <v/>
      </c>
      <c r="AN643" s="22" t="str">
        <f t="shared" si="418"/>
        <v/>
      </c>
      <c r="AO643" s="22" t="str">
        <f t="shared" si="442"/>
        <v/>
      </c>
      <c r="AQ643" s="21" t="str">
        <f t="shared" si="443"/>
        <v>Apprenant 631</v>
      </c>
      <c r="AR643" s="49" t="str">
        <f>IF(AND('Choix pédagogiques'!$C$4&lt;&gt;"?",'Choix pédagogiques'!$C$5&lt;&gt;"?",W643&lt;&gt;""),(W643-'Choix pédagogiques'!$C$4)/('Choix pédagogiques'!$C$5-'Choix pédagogiques'!$C$4),"")</f>
        <v/>
      </c>
      <c r="AS643" s="49" t="str">
        <f>IF(AND('Choix pédagogiques'!$C$4&lt;&gt;"?",'Choix pédagogiques'!$C$5&lt;&gt;"?",X643&lt;&gt;""),(X643-'Choix pédagogiques'!$C$4)/('Choix pédagogiques'!$C$5-'Choix pédagogiques'!$C$4),"")</f>
        <v/>
      </c>
      <c r="AT643" s="49" t="str">
        <f>IF(AND('Choix pédagogiques'!$C$4&lt;&gt;"?",'Choix pédagogiques'!$C$5&lt;&gt;"?",Y643&lt;&gt;""),(Y643-'Choix pédagogiques'!$C$4)/('Choix pédagogiques'!$C$5-'Choix pédagogiques'!$C$4),"")</f>
        <v/>
      </c>
      <c r="AU643" s="22" t="str">
        <f t="shared" si="444"/>
        <v/>
      </c>
      <c r="AV643" s="21" t="str">
        <f t="shared" si="445"/>
        <v>Apprenant 631 ou 631'</v>
      </c>
      <c r="AW643" s="49" t="str">
        <f>IF(AND('Choix pédagogiques'!$C$4&lt;&gt;"?",'Choix pédagogiques'!$C$5&lt;&gt;"?",AB643&lt;&gt;""),(AB643-'Choix pédagogiques'!$C$4)/('Choix pédagogiques'!$C$5-'Choix pédagogiques'!$C$4),"")</f>
        <v/>
      </c>
      <c r="AX643" s="49" t="str">
        <f>IF(AND('Choix pédagogiques'!$C$4&lt;&gt;"?",'Choix pédagogiques'!$C$5&lt;&gt;"?",AC643&lt;&gt;""),(AC643-'Choix pédagogiques'!$C$4)/('Choix pédagogiques'!$C$5-'Choix pédagogiques'!$C$4),"")</f>
        <v/>
      </c>
      <c r="AY643" s="49" t="str">
        <f>IF(AND('Choix pédagogiques'!$C$4&lt;&gt;"?",'Choix pédagogiques'!$C$5&lt;&gt;"?",AD643&lt;&gt;""),(AD643-'Choix pédagogiques'!$C$4)/('Choix pédagogiques'!$C$5-'Choix pédagogiques'!$C$4),"")</f>
        <v/>
      </c>
      <c r="AZ643" s="22" t="str">
        <f t="shared" si="446"/>
        <v/>
      </c>
      <c r="BA643" s="21" t="str">
        <f t="shared" si="447"/>
        <v>Apprenant 631</v>
      </c>
      <c r="BB643" s="49" t="str">
        <f t="shared" si="419"/>
        <v/>
      </c>
      <c r="BC643" s="49" t="str">
        <f t="shared" si="420"/>
        <v/>
      </c>
      <c r="BD643" s="49" t="str">
        <f t="shared" si="421"/>
        <v/>
      </c>
      <c r="BE643" s="22" t="str">
        <f t="shared" si="448"/>
        <v/>
      </c>
      <c r="BF643" s="21" t="str">
        <f t="shared" si="449"/>
        <v>Apprenant 631 ou 631'</v>
      </c>
      <c r="BG643" s="49" t="str">
        <f t="shared" si="422"/>
        <v/>
      </c>
      <c r="BH643" s="49" t="str">
        <f t="shared" si="423"/>
        <v/>
      </c>
      <c r="BI643" s="49" t="str">
        <f t="shared" si="424"/>
        <v/>
      </c>
      <c r="BJ643" s="22" t="str">
        <f t="shared" si="450"/>
        <v/>
      </c>
      <c r="BL643" s="21"/>
      <c r="BM643" s="21" t="str">
        <f>IF(OR(COUNT(B643:D1642)=0,AND('Choix pédagogiques'!$C$3&lt;&gt;1,'Choix pédagogiques'!$C$3&lt;&gt;2)),"",IF(AND(OR('Choix pédagogiques'!$C$3=1,'Choix pédagogiques'!$C$3=2),$B643&lt;&gt;"",$C643&lt;&gt;"",$D643&lt;&gt;""),1,0))</f>
        <v/>
      </c>
      <c r="BN643" s="21" t="str">
        <f>IF(OR(COUNT(G643:I1642)=0,AND('Choix pédagogiques'!$C$3&lt;&gt;1,'Choix pédagogiques'!$C$3&lt;&gt;2)),"",IF(AND(OR('Choix pédagogiques'!$C$3=1,'Choix pédagogiques'!$C$3=2),AND($G643&lt;&gt;"",$H643&lt;&gt;"",$I643&lt;&gt;"")),1,0))</f>
        <v/>
      </c>
      <c r="BO643" s="21" t="str">
        <f>IF(OR(COUNT(B643:D1642)=0,COUNT(G643:I1642)=0,'Choix pédagogiques'!C$3&lt;&gt;3),"",IF(AND('Choix pédagogiques'!$C$3=3,$B643&lt;&gt;"",$C643&lt;&gt;"",$D643&lt;&gt;"",$G643&lt;&gt;"",$H643&lt;&gt;"",$I643&lt;&gt;""),1,0))</f>
        <v/>
      </c>
      <c r="BR643" s="21">
        <v>930</v>
      </c>
      <c r="BS643" s="21">
        <v>1658</v>
      </c>
      <c r="BT643"/>
    </row>
    <row r="644" spans="1:72" s="23" customFormat="1" ht="18" customHeight="1" x14ac:dyDescent="0.3">
      <c r="A644" s="35" t="s">
        <v>634</v>
      </c>
      <c r="B644" s="37"/>
      <c r="C644" s="37"/>
      <c r="D644" s="37"/>
      <c r="E644" s="37"/>
      <c r="F644" s="35" t="s">
        <v>1642</v>
      </c>
      <c r="G644" s="37"/>
      <c r="H644" s="37"/>
      <c r="I644" s="37"/>
      <c r="J644" s="37"/>
      <c r="K644" s="21" t="str">
        <f t="shared" si="425"/>
        <v>Apprenant 632</v>
      </c>
      <c r="L644" s="22" t="str">
        <f t="shared" si="426"/>
        <v/>
      </c>
      <c r="M644" s="22" t="str">
        <f t="shared" si="427"/>
        <v/>
      </c>
      <c r="N644" s="22" t="str">
        <f t="shared" si="428"/>
        <v/>
      </c>
      <c r="O644" s="22" t="str">
        <f t="shared" si="429"/>
        <v/>
      </c>
      <c r="P644" s="21" t="str">
        <f t="shared" si="430"/>
        <v>Apprenant 632 ou 632'</v>
      </c>
      <c r="Q644" s="22" t="str">
        <f t="shared" si="431"/>
        <v/>
      </c>
      <c r="R644" s="22" t="str">
        <f t="shared" si="432"/>
        <v/>
      </c>
      <c r="S644" s="22" t="str">
        <f t="shared" si="433"/>
        <v/>
      </c>
      <c r="T644" s="22" t="str">
        <f t="shared" si="434"/>
        <v/>
      </c>
      <c r="V644" s="21" t="str">
        <f t="shared" si="435"/>
        <v>Apprenant 632</v>
      </c>
      <c r="W644" s="22" t="str">
        <f>IF(AND(OR('Choix pédagogiques'!$C$3=1,'Choix pédagogiques'!$C$3=2),$BM644=1),B644,IF(AND('Choix pédagogiques'!$C$3=3,$BO644=1),B644,""))</f>
        <v/>
      </c>
      <c r="X644" s="22" t="str">
        <f>IF(AND(OR('Choix pédagogiques'!$C$3=1,'Choix pédagogiques'!$C$3=2),$BM644=1),C644,IF(AND('Choix pédagogiques'!$C$3=3,$BO644=1),C644,""))</f>
        <v/>
      </c>
      <c r="Y644" s="22" t="str">
        <f>IF(AND(OR('Choix pédagogiques'!$C$3=1,'Choix pédagogiques'!$C$3=2),$BM644=1),D644,IF(AND('Choix pédagogiques'!$C$3=3,$BO644=1),D644,""))</f>
        <v/>
      </c>
      <c r="Z644" s="22" t="str">
        <f t="shared" si="436"/>
        <v/>
      </c>
      <c r="AA644" s="21" t="str">
        <f t="shared" si="437"/>
        <v>Apprenant 632 ou 632'</v>
      </c>
      <c r="AB644" s="22" t="str">
        <f>IF(AND(OR('Choix pédagogiques'!$C$3=1,'Choix pédagogiques'!$C$3=2),$BN644=1),G644,IF(AND('Choix pédagogiques'!$C$3=3,$BO644=1),G644,""))</f>
        <v/>
      </c>
      <c r="AC644" s="22" t="str">
        <f>IF(AND(OR('Choix pédagogiques'!$C$3=1,'Choix pédagogiques'!$C$3=2),$BN644=1),H644,IF(AND('Choix pédagogiques'!$C$3=3,$BO644=1),H644,""))</f>
        <v/>
      </c>
      <c r="AD644" s="22" t="str">
        <f>IF(AND(OR('Choix pédagogiques'!$C$3=1,'Choix pédagogiques'!$C$3=2),$BN644=1),I644,IF(AND('Choix pédagogiques'!$C$3=3,$BO644=1),I644,""))</f>
        <v/>
      </c>
      <c r="AE644" s="22" t="str">
        <f t="shared" si="438"/>
        <v/>
      </c>
      <c r="AF644" s="21" t="str">
        <f t="shared" si="439"/>
        <v>Apprenant 632</v>
      </c>
      <c r="AG644" s="22" t="str">
        <f t="shared" si="413"/>
        <v/>
      </c>
      <c r="AH644" s="22" t="str">
        <f t="shared" si="414"/>
        <v/>
      </c>
      <c r="AI644" s="22" t="str">
        <f t="shared" si="415"/>
        <v/>
      </c>
      <c r="AJ644" s="22" t="str">
        <f t="shared" si="440"/>
        <v/>
      </c>
      <c r="AK644" s="21" t="str">
        <f t="shared" si="441"/>
        <v>Apprenant 632 ou 632'</v>
      </c>
      <c r="AL644" s="22" t="str">
        <f t="shared" si="416"/>
        <v/>
      </c>
      <c r="AM644" s="22" t="str">
        <f t="shared" si="417"/>
        <v/>
      </c>
      <c r="AN644" s="22" t="str">
        <f t="shared" si="418"/>
        <v/>
      </c>
      <c r="AO644" s="22" t="str">
        <f t="shared" si="442"/>
        <v/>
      </c>
      <c r="AQ644" s="21" t="str">
        <f t="shared" si="443"/>
        <v>Apprenant 632</v>
      </c>
      <c r="AR644" s="49" t="str">
        <f>IF(AND('Choix pédagogiques'!$C$4&lt;&gt;"?",'Choix pédagogiques'!$C$5&lt;&gt;"?",W644&lt;&gt;""),(W644-'Choix pédagogiques'!$C$4)/('Choix pédagogiques'!$C$5-'Choix pédagogiques'!$C$4),"")</f>
        <v/>
      </c>
      <c r="AS644" s="49" t="str">
        <f>IF(AND('Choix pédagogiques'!$C$4&lt;&gt;"?",'Choix pédagogiques'!$C$5&lt;&gt;"?",X644&lt;&gt;""),(X644-'Choix pédagogiques'!$C$4)/('Choix pédagogiques'!$C$5-'Choix pédagogiques'!$C$4),"")</f>
        <v/>
      </c>
      <c r="AT644" s="49" t="str">
        <f>IF(AND('Choix pédagogiques'!$C$4&lt;&gt;"?",'Choix pédagogiques'!$C$5&lt;&gt;"?",Y644&lt;&gt;""),(Y644-'Choix pédagogiques'!$C$4)/('Choix pédagogiques'!$C$5-'Choix pédagogiques'!$C$4),"")</f>
        <v/>
      </c>
      <c r="AU644" s="22" t="str">
        <f t="shared" si="444"/>
        <v/>
      </c>
      <c r="AV644" s="21" t="str">
        <f t="shared" si="445"/>
        <v>Apprenant 632 ou 632'</v>
      </c>
      <c r="AW644" s="49" t="str">
        <f>IF(AND('Choix pédagogiques'!$C$4&lt;&gt;"?",'Choix pédagogiques'!$C$5&lt;&gt;"?",AB644&lt;&gt;""),(AB644-'Choix pédagogiques'!$C$4)/('Choix pédagogiques'!$C$5-'Choix pédagogiques'!$C$4),"")</f>
        <v/>
      </c>
      <c r="AX644" s="49" t="str">
        <f>IF(AND('Choix pédagogiques'!$C$4&lt;&gt;"?",'Choix pédagogiques'!$C$5&lt;&gt;"?",AC644&lt;&gt;""),(AC644-'Choix pédagogiques'!$C$4)/('Choix pédagogiques'!$C$5-'Choix pédagogiques'!$C$4),"")</f>
        <v/>
      </c>
      <c r="AY644" s="49" t="str">
        <f>IF(AND('Choix pédagogiques'!$C$4&lt;&gt;"?",'Choix pédagogiques'!$C$5&lt;&gt;"?",AD644&lt;&gt;""),(AD644-'Choix pédagogiques'!$C$4)/('Choix pédagogiques'!$C$5-'Choix pédagogiques'!$C$4),"")</f>
        <v/>
      </c>
      <c r="AZ644" s="22" t="str">
        <f t="shared" si="446"/>
        <v/>
      </c>
      <c r="BA644" s="21" t="str">
        <f t="shared" si="447"/>
        <v>Apprenant 632</v>
      </c>
      <c r="BB644" s="49" t="str">
        <f t="shared" si="419"/>
        <v/>
      </c>
      <c r="BC644" s="49" t="str">
        <f t="shared" si="420"/>
        <v/>
      </c>
      <c r="BD644" s="49" t="str">
        <f t="shared" si="421"/>
        <v/>
      </c>
      <c r="BE644" s="22" t="str">
        <f t="shared" si="448"/>
        <v/>
      </c>
      <c r="BF644" s="21" t="str">
        <f t="shared" si="449"/>
        <v>Apprenant 632 ou 632'</v>
      </c>
      <c r="BG644" s="49" t="str">
        <f t="shared" si="422"/>
        <v/>
      </c>
      <c r="BH644" s="49" t="str">
        <f t="shared" si="423"/>
        <v/>
      </c>
      <c r="BI644" s="49" t="str">
        <f t="shared" si="424"/>
        <v/>
      </c>
      <c r="BJ644" s="22" t="str">
        <f t="shared" si="450"/>
        <v/>
      </c>
      <c r="BL644" s="21"/>
      <c r="BM644" s="21" t="str">
        <f>IF(OR(COUNT(B644:D1643)=0,AND('Choix pédagogiques'!$C$3&lt;&gt;1,'Choix pédagogiques'!$C$3&lt;&gt;2)),"",IF(AND(OR('Choix pédagogiques'!$C$3=1,'Choix pédagogiques'!$C$3=2),$B644&lt;&gt;"",$C644&lt;&gt;"",$D644&lt;&gt;""),1,0))</f>
        <v/>
      </c>
      <c r="BN644" s="21" t="str">
        <f>IF(OR(COUNT(G644:I1643)=0,AND('Choix pédagogiques'!$C$3&lt;&gt;1,'Choix pédagogiques'!$C$3&lt;&gt;2)),"",IF(AND(OR('Choix pédagogiques'!$C$3=1,'Choix pédagogiques'!$C$3=2),AND($G644&lt;&gt;"",$H644&lt;&gt;"",$I644&lt;&gt;"")),1,0))</f>
        <v/>
      </c>
      <c r="BO644" s="21" t="str">
        <f>IF(OR(COUNT(B644:D1643)=0,COUNT(G644:I1643)=0,'Choix pédagogiques'!C$3&lt;&gt;3),"",IF(AND('Choix pédagogiques'!$C$3=3,$B644&lt;&gt;"",$C644&lt;&gt;"",$D644&lt;&gt;"",$G644&lt;&gt;"",$H644&lt;&gt;"",$I644&lt;&gt;""),1,0))</f>
        <v/>
      </c>
      <c r="BR644" s="21">
        <v>538</v>
      </c>
      <c r="BS644" s="21">
        <v>1801</v>
      </c>
      <c r="BT644"/>
    </row>
    <row r="645" spans="1:72" s="23" customFormat="1" ht="18" customHeight="1" x14ac:dyDescent="0.3">
      <c r="A645" s="35" t="s">
        <v>635</v>
      </c>
      <c r="B645" s="37"/>
      <c r="C645" s="37"/>
      <c r="D645" s="37"/>
      <c r="E645" s="37"/>
      <c r="F645" s="35" t="s">
        <v>1643</v>
      </c>
      <c r="G645" s="37"/>
      <c r="H645" s="37"/>
      <c r="I645" s="37"/>
      <c r="J645" s="37"/>
      <c r="K645" s="21" t="str">
        <f t="shared" si="425"/>
        <v>Apprenant 633</v>
      </c>
      <c r="L645" s="22" t="str">
        <f t="shared" si="426"/>
        <v/>
      </c>
      <c r="M645" s="22" t="str">
        <f t="shared" si="427"/>
        <v/>
      </c>
      <c r="N645" s="22" t="str">
        <f t="shared" si="428"/>
        <v/>
      </c>
      <c r="O645" s="22" t="str">
        <f t="shared" si="429"/>
        <v/>
      </c>
      <c r="P645" s="21" t="str">
        <f t="shared" si="430"/>
        <v>Apprenant 633 ou 633'</v>
      </c>
      <c r="Q645" s="22" t="str">
        <f t="shared" si="431"/>
        <v/>
      </c>
      <c r="R645" s="22" t="str">
        <f t="shared" si="432"/>
        <v/>
      </c>
      <c r="S645" s="22" t="str">
        <f t="shared" si="433"/>
        <v/>
      </c>
      <c r="T645" s="22" t="str">
        <f t="shared" si="434"/>
        <v/>
      </c>
      <c r="V645" s="21" t="str">
        <f t="shared" si="435"/>
        <v>Apprenant 633</v>
      </c>
      <c r="W645" s="22" t="str">
        <f>IF(AND(OR('Choix pédagogiques'!$C$3=1,'Choix pédagogiques'!$C$3=2),$BM645=1),B645,IF(AND('Choix pédagogiques'!$C$3=3,$BO645=1),B645,""))</f>
        <v/>
      </c>
      <c r="X645" s="22" t="str">
        <f>IF(AND(OR('Choix pédagogiques'!$C$3=1,'Choix pédagogiques'!$C$3=2),$BM645=1),C645,IF(AND('Choix pédagogiques'!$C$3=3,$BO645=1),C645,""))</f>
        <v/>
      </c>
      <c r="Y645" s="22" t="str">
        <f>IF(AND(OR('Choix pédagogiques'!$C$3=1,'Choix pédagogiques'!$C$3=2),$BM645=1),D645,IF(AND('Choix pédagogiques'!$C$3=3,$BO645=1),D645,""))</f>
        <v/>
      </c>
      <c r="Z645" s="22" t="str">
        <f t="shared" si="436"/>
        <v/>
      </c>
      <c r="AA645" s="21" t="str">
        <f t="shared" si="437"/>
        <v>Apprenant 633 ou 633'</v>
      </c>
      <c r="AB645" s="22" t="str">
        <f>IF(AND(OR('Choix pédagogiques'!$C$3=1,'Choix pédagogiques'!$C$3=2),$BN645=1),G645,IF(AND('Choix pédagogiques'!$C$3=3,$BO645=1),G645,""))</f>
        <v/>
      </c>
      <c r="AC645" s="22" t="str">
        <f>IF(AND(OR('Choix pédagogiques'!$C$3=1,'Choix pédagogiques'!$C$3=2),$BN645=1),H645,IF(AND('Choix pédagogiques'!$C$3=3,$BO645=1),H645,""))</f>
        <v/>
      </c>
      <c r="AD645" s="22" t="str">
        <f>IF(AND(OR('Choix pédagogiques'!$C$3=1,'Choix pédagogiques'!$C$3=2),$BN645=1),I645,IF(AND('Choix pédagogiques'!$C$3=3,$BO645=1),I645,""))</f>
        <v/>
      </c>
      <c r="AE645" s="22" t="str">
        <f t="shared" si="438"/>
        <v/>
      </c>
      <c r="AF645" s="21" t="str">
        <f t="shared" si="439"/>
        <v>Apprenant 633</v>
      </c>
      <c r="AG645" s="22" t="str">
        <f t="shared" si="413"/>
        <v/>
      </c>
      <c r="AH645" s="22" t="str">
        <f t="shared" si="414"/>
        <v/>
      </c>
      <c r="AI645" s="22" t="str">
        <f t="shared" si="415"/>
        <v/>
      </c>
      <c r="AJ645" s="22" t="str">
        <f t="shared" si="440"/>
        <v/>
      </c>
      <c r="AK645" s="21" t="str">
        <f t="shared" si="441"/>
        <v>Apprenant 633 ou 633'</v>
      </c>
      <c r="AL645" s="22" t="str">
        <f t="shared" si="416"/>
        <v/>
      </c>
      <c r="AM645" s="22" t="str">
        <f t="shared" si="417"/>
        <v/>
      </c>
      <c r="AN645" s="22" t="str">
        <f t="shared" si="418"/>
        <v/>
      </c>
      <c r="AO645" s="22" t="str">
        <f t="shared" si="442"/>
        <v/>
      </c>
      <c r="AQ645" s="21" t="str">
        <f t="shared" si="443"/>
        <v>Apprenant 633</v>
      </c>
      <c r="AR645" s="49" t="str">
        <f>IF(AND('Choix pédagogiques'!$C$4&lt;&gt;"?",'Choix pédagogiques'!$C$5&lt;&gt;"?",W645&lt;&gt;""),(W645-'Choix pédagogiques'!$C$4)/('Choix pédagogiques'!$C$5-'Choix pédagogiques'!$C$4),"")</f>
        <v/>
      </c>
      <c r="AS645" s="49" t="str">
        <f>IF(AND('Choix pédagogiques'!$C$4&lt;&gt;"?",'Choix pédagogiques'!$C$5&lt;&gt;"?",X645&lt;&gt;""),(X645-'Choix pédagogiques'!$C$4)/('Choix pédagogiques'!$C$5-'Choix pédagogiques'!$C$4),"")</f>
        <v/>
      </c>
      <c r="AT645" s="49" t="str">
        <f>IF(AND('Choix pédagogiques'!$C$4&lt;&gt;"?",'Choix pédagogiques'!$C$5&lt;&gt;"?",Y645&lt;&gt;""),(Y645-'Choix pédagogiques'!$C$4)/('Choix pédagogiques'!$C$5-'Choix pédagogiques'!$C$4),"")</f>
        <v/>
      </c>
      <c r="AU645" s="22" t="str">
        <f t="shared" si="444"/>
        <v/>
      </c>
      <c r="AV645" s="21" t="str">
        <f t="shared" si="445"/>
        <v>Apprenant 633 ou 633'</v>
      </c>
      <c r="AW645" s="49" t="str">
        <f>IF(AND('Choix pédagogiques'!$C$4&lt;&gt;"?",'Choix pédagogiques'!$C$5&lt;&gt;"?",AB645&lt;&gt;""),(AB645-'Choix pédagogiques'!$C$4)/('Choix pédagogiques'!$C$5-'Choix pédagogiques'!$C$4),"")</f>
        <v/>
      </c>
      <c r="AX645" s="49" t="str">
        <f>IF(AND('Choix pédagogiques'!$C$4&lt;&gt;"?",'Choix pédagogiques'!$C$5&lt;&gt;"?",AC645&lt;&gt;""),(AC645-'Choix pédagogiques'!$C$4)/('Choix pédagogiques'!$C$5-'Choix pédagogiques'!$C$4),"")</f>
        <v/>
      </c>
      <c r="AY645" s="49" t="str">
        <f>IF(AND('Choix pédagogiques'!$C$4&lt;&gt;"?",'Choix pédagogiques'!$C$5&lt;&gt;"?",AD645&lt;&gt;""),(AD645-'Choix pédagogiques'!$C$4)/('Choix pédagogiques'!$C$5-'Choix pédagogiques'!$C$4),"")</f>
        <v/>
      </c>
      <c r="AZ645" s="22" t="str">
        <f t="shared" si="446"/>
        <v/>
      </c>
      <c r="BA645" s="21" t="str">
        <f t="shared" si="447"/>
        <v>Apprenant 633</v>
      </c>
      <c r="BB645" s="49" t="str">
        <f t="shared" si="419"/>
        <v/>
      </c>
      <c r="BC645" s="49" t="str">
        <f t="shared" si="420"/>
        <v/>
      </c>
      <c r="BD645" s="49" t="str">
        <f t="shared" si="421"/>
        <v/>
      </c>
      <c r="BE645" s="22" t="str">
        <f t="shared" si="448"/>
        <v/>
      </c>
      <c r="BF645" s="21" t="str">
        <f t="shared" si="449"/>
        <v>Apprenant 633 ou 633'</v>
      </c>
      <c r="BG645" s="49" t="str">
        <f t="shared" si="422"/>
        <v/>
      </c>
      <c r="BH645" s="49" t="str">
        <f t="shared" si="423"/>
        <v/>
      </c>
      <c r="BI645" s="49" t="str">
        <f t="shared" si="424"/>
        <v/>
      </c>
      <c r="BJ645" s="22" t="str">
        <f t="shared" si="450"/>
        <v/>
      </c>
      <c r="BL645" s="21"/>
      <c r="BM645" s="21" t="str">
        <f>IF(OR(COUNT(B645:D1644)=0,AND('Choix pédagogiques'!$C$3&lt;&gt;1,'Choix pédagogiques'!$C$3&lt;&gt;2)),"",IF(AND(OR('Choix pédagogiques'!$C$3=1,'Choix pédagogiques'!$C$3=2),$B645&lt;&gt;"",$C645&lt;&gt;"",$D645&lt;&gt;""),1,0))</f>
        <v/>
      </c>
      <c r="BN645" s="21" t="str">
        <f>IF(OR(COUNT(G645:I1644)=0,AND('Choix pédagogiques'!$C$3&lt;&gt;1,'Choix pédagogiques'!$C$3&lt;&gt;2)),"",IF(AND(OR('Choix pédagogiques'!$C$3=1,'Choix pédagogiques'!$C$3=2),AND($G645&lt;&gt;"",$H645&lt;&gt;"",$I645&lt;&gt;"")),1,0))</f>
        <v/>
      </c>
      <c r="BO645" s="21" t="str">
        <f>IF(OR(COUNT(B645:D1644)=0,COUNT(G645:I1644)=0,'Choix pédagogiques'!C$3&lt;&gt;3),"",IF(AND('Choix pédagogiques'!$C$3=3,$B645&lt;&gt;"",$C645&lt;&gt;"",$D645&lt;&gt;"",$G645&lt;&gt;"",$H645&lt;&gt;"",$I645&lt;&gt;""),1,0))</f>
        <v/>
      </c>
      <c r="BR645" s="21">
        <v>281</v>
      </c>
      <c r="BS645" s="21">
        <v>1648</v>
      </c>
      <c r="BT645"/>
    </row>
    <row r="646" spans="1:72" s="23" customFormat="1" ht="18" customHeight="1" x14ac:dyDescent="0.3">
      <c r="A646" s="35" t="s">
        <v>636</v>
      </c>
      <c r="B646" s="37"/>
      <c r="C646" s="37"/>
      <c r="D646" s="37"/>
      <c r="E646" s="37"/>
      <c r="F646" s="35" t="s">
        <v>1644</v>
      </c>
      <c r="G646" s="37"/>
      <c r="H646" s="37"/>
      <c r="I646" s="37"/>
      <c r="J646" s="37"/>
      <c r="K646" s="21" t="str">
        <f t="shared" si="425"/>
        <v>Apprenant 634</v>
      </c>
      <c r="L646" s="22" t="str">
        <f t="shared" si="426"/>
        <v/>
      </c>
      <c r="M646" s="22" t="str">
        <f t="shared" si="427"/>
        <v/>
      </c>
      <c r="N646" s="22" t="str">
        <f t="shared" si="428"/>
        <v/>
      </c>
      <c r="O646" s="22" t="str">
        <f t="shared" si="429"/>
        <v/>
      </c>
      <c r="P646" s="21" t="str">
        <f t="shared" si="430"/>
        <v>Apprenant 634 ou 634'</v>
      </c>
      <c r="Q646" s="22" t="str">
        <f t="shared" si="431"/>
        <v/>
      </c>
      <c r="R646" s="22" t="str">
        <f t="shared" si="432"/>
        <v/>
      </c>
      <c r="S646" s="22" t="str">
        <f t="shared" si="433"/>
        <v/>
      </c>
      <c r="T646" s="22" t="str">
        <f t="shared" si="434"/>
        <v/>
      </c>
      <c r="V646" s="21" t="str">
        <f t="shared" si="435"/>
        <v>Apprenant 634</v>
      </c>
      <c r="W646" s="22" t="str">
        <f>IF(AND(OR('Choix pédagogiques'!$C$3=1,'Choix pédagogiques'!$C$3=2),$BM646=1),B646,IF(AND('Choix pédagogiques'!$C$3=3,$BO646=1),B646,""))</f>
        <v/>
      </c>
      <c r="X646" s="22" t="str">
        <f>IF(AND(OR('Choix pédagogiques'!$C$3=1,'Choix pédagogiques'!$C$3=2),$BM646=1),C646,IF(AND('Choix pédagogiques'!$C$3=3,$BO646=1),C646,""))</f>
        <v/>
      </c>
      <c r="Y646" s="22" t="str">
        <f>IF(AND(OR('Choix pédagogiques'!$C$3=1,'Choix pédagogiques'!$C$3=2),$BM646=1),D646,IF(AND('Choix pédagogiques'!$C$3=3,$BO646=1),D646,""))</f>
        <v/>
      </c>
      <c r="Z646" s="22" t="str">
        <f t="shared" si="436"/>
        <v/>
      </c>
      <c r="AA646" s="21" t="str">
        <f t="shared" si="437"/>
        <v>Apprenant 634 ou 634'</v>
      </c>
      <c r="AB646" s="22" t="str">
        <f>IF(AND(OR('Choix pédagogiques'!$C$3=1,'Choix pédagogiques'!$C$3=2),$BN646=1),G646,IF(AND('Choix pédagogiques'!$C$3=3,$BO646=1),G646,""))</f>
        <v/>
      </c>
      <c r="AC646" s="22" t="str">
        <f>IF(AND(OR('Choix pédagogiques'!$C$3=1,'Choix pédagogiques'!$C$3=2),$BN646=1),H646,IF(AND('Choix pédagogiques'!$C$3=3,$BO646=1),H646,""))</f>
        <v/>
      </c>
      <c r="AD646" s="22" t="str">
        <f>IF(AND(OR('Choix pédagogiques'!$C$3=1,'Choix pédagogiques'!$C$3=2),$BN646=1),I646,IF(AND('Choix pédagogiques'!$C$3=3,$BO646=1),I646,""))</f>
        <v/>
      </c>
      <c r="AE646" s="22" t="str">
        <f t="shared" si="438"/>
        <v/>
      </c>
      <c r="AF646" s="21" t="str">
        <f t="shared" si="439"/>
        <v>Apprenant 634</v>
      </c>
      <c r="AG646" s="22" t="str">
        <f t="shared" si="413"/>
        <v/>
      </c>
      <c r="AH646" s="22" t="str">
        <f t="shared" si="414"/>
        <v/>
      </c>
      <c r="AI646" s="22" t="str">
        <f t="shared" si="415"/>
        <v/>
      </c>
      <c r="AJ646" s="22" t="str">
        <f t="shared" si="440"/>
        <v/>
      </c>
      <c r="AK646" s="21" t="str">
        <f t="shared" si="441"/>
        <v>Apprenant 634 ou 634'</v>
      </c>
      <c r="AL646" s="22" t="str">
        <f t="shared" si="416"/>
        <v/>
      </c>
      <c r="AM646" s="22" t="str">
        <f t="shared" si="417"/>
        <v/>
      </c>
      <c r="AN646" s="22" t="str">
        <f t="shared" si="418"/>
        <v/>
      </c>
      <c r="AO646" s="22" t="str">
        <f t="shared" si="442"/>
        <v/>
      </c>
      <c r="AQ646" s="21" t="str">
        <f t="shared" si="443"/>
        <v>Apprenant 634</v>
      </c>
      <c r="AR646" s="49" t="str">
        <f>IF(AND('Choix pédagogiques'!$C$4&lt;&gt;"?",'Choix pédagogiques'!$C$5&lt;&gt;"?",W646&lt;&gt;""),(W646-'Choix pédagogiques'!$C$4)/('Choix pédagogiques'!$C$5-'Choix pédagogiques'!$C$4),"")</f>
        <v/>
      </c>
      <c r="AS646" s="49" t="str">
        <f>IF(AND('Choix pédagogiques'!$C$4&lt;&gt;"?",'Choix pédagogiques'!$C$5&lt;&gt;"?",X646&lt;&gt;""),(X646-'Choix pédagogiques'!$C$4)/('Choix pédagogiques'!$C$5-'Choix pédagogiques'!$C$4),"")</f>
        <v/>
      </c>
      <c r="AT646" s="49" t="str">
        <f>IF(AND('Choix pédagogiques'!$C$4&lt;&gt;"?",'Choix pédagogiques'!$C$5&lt;&gt;"?",Y646&lt;&gt;""),(Y646-'Choix pédagogiques'!$C$4)/('Choix pédagogiques'!$C$5-'Choix pédagogiques'!$C$4),"")</f>
        <v/>
      </c>
      <c r="AU646" s="22" t="str">
        <f t="shared" si="444"/>
        <v/>
      </c>
      <c r="AV646" s="21" t="str">
        <f t="shared" si="445"/>
        <v>Apprenant 634 ou 634'</v>
      </c>
      <c r="AW646" s="49" t="str">
        <f>IF(AND('Choix pédagogiques'!$C$4&lt;&gt;"?",'Choix pédagogiques'!$C$5&lt;&gt;"?",AB646&lt;&gt;""),(AB646-'Choix pédagogiques'!$C$4)/('Choix pédagogiques'!$C$5-'Choix pédagogiques'!$C$4),"")</f>
        <v/>
      </c>
      <c r="AX646" s="49" t="str">
        <f>IF(AND('Choix pédagogiques'!$C$4&lt;&gt;"?",'Choix pédagogiques'!$C$5&lt;&gt;"?",AC646&lt;&gt;""),(AC646-'Choix pédagogiques'!$C$4)/('Choix pédagogiques'!$C$5-'Choix pédagogiques'!$C$4),"")</f>
        <v/>
      </c>
      <c r="AY646" s="49" t="str">
        <f>IF(AND('Choix pédagogiques'!$C$4&lt;&gt;"?",'Choix pédagogiques'!$C$5&lt;&gt;"?",AD646&lt;&gt;""),(AD646-'Choix pédagogiques'!$C$4)/('Choix pédagogiques'!$C$5-'Choix pédagogiques'!$C$4),"")</f>
        <v/>
      </c>
      <c r="AZ646" s="22" t="str">
        <f t="shared" si="446"/>
        <v/>
      </c>
      <c r="BA646" s="21" t="str">
        <f t="shared" si="447"/>
        <v>Apprenant 634</v>
      </c>
      <c r="BB646" s="49" t="str">
        <f t="shared" si="419"/>
        <v/>
      </c>
      <c r="BC646" s="49" t="str">
        <f t="shared" si="420"/>
        <v/>
      </c>
      <c r="BD646" s="49" t="str">
        <f t="shared" si="421"/>
        <v/>
      </c>
      <c r="BE646" s="22" t="str">
        <f t="shared" si="448"/>
        <v/>
      </c>
      <c r="BF646" s="21" t="str">
        <f t="shared" si="449"/>
        <v>Apprenant 634 ou 634'</v>
      </c>
      <c r="BG646" s="49" t="str">
        <f t="shared" si="422"/>
        <v/>
      </c>
      <c r="BH646" s="49" t="str">
        <f t="shared" si="423"/>
        <v/>
      </c>
      <c r="BI646" s="49" t="str">
        <f t="shared" si="424"/>
        <v/>
      </c>
      <c r="BJ646" s="22" t="str">
        <f t="shared" si="450"/>
        <v/>
      </c>
      <c r="BL646" s="21"/>
      <c r="BM646" s="21" t="str">
        <f>IF(OR(COUNT(B646:D1645)=0,AND('Choix pédagogiques'!$C$3&lt;&gt;1,'Choix pédagogiques'!$C$3&lt;&gt;2)),"",IF(AND(OR('Choix pédagogiques'!$C$3=1,'Choix pédagogiques'!$C$3=2),$B646&lt;&gt;"",$C646&lt;&gt;"",$D646&lt;&gt;""),1,0))</f>
        <v/>
      </c>
      <c r="BN646" s="21" t="str">
        <f>IF(OR(COUNT(G646:I1645)=0,AND('Choix pédagogiques'!$C$3&lt;&gt;1,'Choix pédagogiques'!$C$3&lt;&gt;2)),"",IF(AND(OR('Choix pédagogiques'!$C$3=1,'Choix pédagogiques'!$C$3=2),AND($G646&lt;&gt;"",$H646&lt;&gt;"",$I646&lt;&gt;"")),1,0))</f>
        <v/>
      </c>
      <c r="BO646" s="21" t="str">
        <f>IF(OR(COUNT(B646:D1645)=0,COUNT(G646:I1645)=0,'Choix pédagogiques'!C$3&lt;&gt;3),"",IF(AND('Choix pédagogiques'!$C$3=3,$B646&lt;&gt;"",$C646&lt;&gt;"",$D646&lt;&gt;"",$G646&lt;&gt;"",$H646&lt;&gt;"",$I646&lt;&gt;""),1,0))</f>
        <v/>
      </c>
      <c r="BR646" s="21">
        <v>736</v>
      </c>
      <c r="BS646" s="21">
        <v>1544</v>
      </c>
      <c r="BT646"/>
    </row>
    <row r="647" spans="1:72" s="23" customFormat="1" ht="18" customHeight="1" x14ac:dyDescent="0.3">
      <c r="A647" s="35" t="s">
        <v>637</v>
      </c>
      <c r="B647" s="37"/>
      <c r="C647" s="37"/>
      <c r="D647" s="37"/>
      <c r="E647" s="37"/>
      <c r="F647" s="35" t="s">
        <v>1645</v>
      </c>
      <c r="G647" s="37"/>
      <c r="H647" s="37"/>
      <c r="I647" s="37"/>
      <c r="J647" s="37"/>
      <c r="K647" s="21" t="str">
        <f t="shared" si="425"/>
        <v>Apprenant 635</v>
      </c>
      <c r="L647" s="22" t="str">
        <f t="shared" si="426"/>
        <v/>
      </c>
      <c r="M647" s="22" t="str">
        <f t="shared" si="427"/>
        <v/>
      </c>
      <c r="N647" s="22" t="str">
        <f t="shared" si="428"/>
        <v/>
      </c>
      <c r="O647" s="22" t="str">
        <f t="shared" si="429"/>
        <v/>
      </c>
      <c r="P647" s="21" t="str">
        <f t="shared" si="430"/>
        <v>Apprenant 635 ou 635'</v>
      </c>
      <c r="Q647" s="22" t="str">
        <f t="shared" si="431"/>
        <v/>
      </c>
      <c r="R647" s="22" t="str">
        <f t="shared" si="432"/>
        <v/>
      </c>
      <c r="S647" s="22" t="str">
        <f t="shared" si="433"/>
        <v/>
      </c>
      <c r="T647" s="22" t="str">
        <f t="shared" si="434"/>
        <v/>
      </c>
      <c r="V647" s="21" t="str">
        <f t="shared" si="435"/>
        <v>Apprenant 635</v>
      </c>
      <c r="W647" s="22" t="str">
        <f>IF(AND(OR('Choix pédagogiques'!$C$3=1,'Choix pédagogiques'!$C$3=2),$BM647=1),B647,IF(AND('Choix pédagogiques'!$C$3=3,$BO647=1),B647,""))</f>
        <v/>
      </c>
      <c r="X647" s="22" t="str">
        <f>IF(AND(OR('Choix pédagogiques'!$C$3=1,'Choix pédagogiques'!$C$3=2),$BM647=1),C647,IF(AND('Choix pédagogiques'!$C$3=3,$BO647=1),C647,""))</f>
        <v/>
      </c>
      <c r="Y647" s="22" t="str">
        <f>IF(AND(OR('Choix pédagogiques'!$C$3=1,'Choix pédagogiques'!$C$3=2),$BM647=1),D647,IF(AND('Choix pédagogiques'!$C$3=3,$BO647=1),D647,""))</f>
        <v/>
      </c>
      <c r="Z647" s="22" t="str">
        <f t="shared" si="436"/>
        <v/>
      </c>
      <c r="AA647" s="21" t="str">
        <f t="shared" si="437"/>
        <v>Apprenant 635 ou 635'</v>
      </c>
      <c r="AB647" s="22" t="str">
        <f>IF(AND(OR('Choix pédagogiques'!$C$3=1,'Choix pédagogiques'!$C$3=2),$BN647=1),G647,IF(AND('Choix pédagogiques'!$C$3=3,$BO647=1),G647,""))</f>
        <v/>
      </c>
      <c r="AC647" s="22" t="str">
        <f>IF(AND(OR('Choix pédagogiques'!$C$3=1,'Choix pédagogiques'!$C$3=2),$BN647=1),H647,IF(AND('Choix pédagogiques'!$C$3=3,$BO647=1),H647,""))</f>
        <v/>
      </c>
      <c r="AD647" s="22" t="str">
        <f>IF(AND(OR('Choix pédagogiques'!$C$3=1,'Choix pédagogiques'!$C$3=2),$BN647=1),I647,IF(AND('Choix pédagogiques'!$C$3=3,$BO647=1),I647,""))</f>
        <v/>
      </c>
      <c r="AE647" s="22" t="str">
        <f t="shared" si="438"/>
        <v/>
      </c>
      <c r="AF647" s="21" t="str">
        <f t="shared" si="439"/>
        <v>Apprenant 635</v>
      </c>
      <c r="AG647" s="22" t="str">
        <f t="shared" si="413"/>
        <v/>
      </c>
      <c r="AH647" s="22" t="str">
        <f t="shared" si="414"/>
        <v/>
      </c>
      <c r="AI647" s="22" t="str">
        <f t="shared" si="415"/>
        <v/>
      </c>
      <c r="AJ647" s="22" t="str">
        <f t="shared" si="440"/>
        <v/>
      </c>
      <c r="AK647" s="21" t="str">
        <f t="shared" si="441"/>
        <v>Apprenant 635 ou 635'</v>
      </c>
      <c r="AL647" s="22" t="str">
        <f t="shared" si="416"/>
        <v/>
      </c>
      <c r="AM647" s="22" t="str">
        <f t="shared" si="417"/>
        <v/>
      </c>
      <c r="AN647" s="22" t="str">
        <f t="shared" si="418"/>
        <v/>
      </c>
      <c r="AO647" s="22" t="str">
        <f t="shared" si="442"/>
        <v/>
      </c>
      <c r="AQ647" s="21" t="str">
        <f t="shared" si="443"/>
        <v>Apprenant 635</v>
      </c>
      <c r="AR647" s="49" t="str">
        <f>IF(AND('Choix pédagogiques'!$C$4&lt;&gt;"?",'Choix pédagogiques'!$C$5&lt;&gt;"?",W647&lt;&gt;""),(W647-'Choix pédagogiques'!$C$4)/('Choix pédagogiques'!$C$5-'Choix pédagogiques'!$C$4),"")</f>
        <v/>
      </c>
      <c r="AS647" s="49" t="str">
        <f>IF(AND('Choix pédagogiques'!$C$4&lt;&gt;"?",'Choix pédagogiques'!$C$5&lt;&gt;"?",X647&lt;&gt;""),(X647-'Choix pédagogiques'!$C$4)/('Choix pédagogiques'!$C$5-'Choix pédagogiques'!$C$4),"")</f>
        <v/>
      </c>
      <c r="AT647" s="49" t="str">
        <f>IF(AND('Choix pédagogiques'!$C$4&lt;&gt;"?",'Choix pédagogiques'!$C$5&lt;&gt;"?",Y647&lt;&gt;""),(Y647-'Choix pédagogiques'!$C$4)/('Choix pédagogiques'!$C$5-'Choix pédagogiques'!$C$4),"")</f>
        <v/>
      </c>
      <c r="AU647" s="22" t="str">
        <f t="shared" si="444"/>
        <v/>
      </c>
      <c r="AV647" s="21" t="str">
        <f t="shared" si="445"/>
        <v>Apprenant 635 ou 635'</v>
      </c>
      <c r="AW647" s="49" t="str">
        <f>IF(AND('Choix pédagogiques'!$C$4&lt;&gt;"?",'Choix pédagogiques'!$C$5&lt;&gt;"?",AB647&lt;&gt;""),(AB647-'Choix pédagogiques'!$C$4)/('Choix pédagogiques'!$C$5-'Choix pédagogiques'!$C$4),"")</f>
        <v/>
      </c>
      <c r="AX647" s="49" t="str">
        <f>IF(AND('Choix pédagogiques'!$C$4&lt;&gt;"?",'Choix pédagogiques'!$C$5&lt;&gt;"?",AC647&lt;&gt;""),(AC647-'Choix pédagogiques'!$C$4)/('Choix pédagogiques'!$C$5-'Choix pédagogiques'!$C$4),"")</f>
        <v/>
      </c>
      <c r="AY647" s="49" t="str">
        <f>IF(AND('Choix pédagogiques'!$C$4&lt;&gt;"?",'Choix pédagogiques'!$C$5&lt;&gt;"?",AD647&lt;&gt;""),(AD647-'Choix pédagogiques'!$C$4)/('Choix pédagogiques'!$C$5-'Choix pédagogiques'!$C$4),"")</f>
        <v/>
      </c>
      <c r="AZ647" s="22" t="str">
        <f t="shared" si="446"/>
        <v/>
      </c>
      <c r="BA647" s="21" t="str">
        <f t="shared" si="447"/>
        <v>Apprenant 635</v>
      </c>
      <c r="BB647" s="49" t="str">
        <f t="shared" si="419"/>
        <v/>
      </c>
      <c r="BC647" s="49" t="str">
        <f t="shared" si="420"/>
        <v/>
      </c>
      <c r="BD647" s="49" t="str">
        <f t="shared" si="421"/>
        <v/>
      </c>
      <c r="BE647" s="22" t="str">
        <f t="shared" si="448"/>
        <v/>
      </c>
      <c r="BF647" s="21" t="str">
        <f t="shared" si="449"/>
        <v>Apprenant 635 ou 635'</v>
      </c>
      <c r="BG647" s="49" t="str">
        <f t="shared" si="422"/>
        <v/>
      </c>
      <c r="BH647" s="49" t="str">
        <f t="shared" si="423"/>
        <v/>
      </c>
      <c r="BI647" s="49" t="str">
        <f t="shared" si="424"/>
        <v/>
      </c>
      <c r="BJ647" s="22" t="str">
        <f t="shared" si="450"/>
        <v/>
      </c>
      <c r="BL647" s="21"/>
      <c r="BM647" s="21" t="str">
        <f>IF(OR(COUNT(B647:D1646)=0,AND('Choix pédagogiques'!$C$3&lt;&gt;1,'Choix pédagogiques'!$C$3&lt;&gt;2)),"",IF(AND(OR('Choix pédagogiques'!$C$3=1,'Choix pédagogiques'!$C$3=2),$B647&lt;&gt;"",$C647&lt;&gt;"",$D647&lt;&gt;""),1,0))</f>
        <v/>
      </c>
      <c r="BN647" s="21" t="str">
        <f>IF(OR(COUNT(G647:I1646)=0,AND('Choix pédagogiques'!$C$3&lt;&gt;1,'Choix pédagogiques'!$C$3&lt;&gt;2)),"",IF(AND(OR('Choix pédagogiques'!$C$3=1,'Choix pédagogiques'!$C$3=2),AND($G647&lt;&gt;"",$H647&lt;&gt;"",$I647&lt;&gt;"")),1,0))</f>
        <v/>
      </c>
      <c r="BO647" s="21" t="str">
        <f>IF(OR(COUNT(B647:D1646)=0,COUNT(G647:I1646)=0,'Choix pédagogiques'!C$3&lt;&gt;3),"",IF(AND('Choix pédagogiques'!$C$3=3,$B647&lt;&gt;"",$C647&lt;&gt;"",$D647&lt;&gt;"",$G647&lt;&gt;"",$H647&lt;&gt;"",$I647&lt;&gt;""),1,0))</f>
        <v/>
      </c>
      <c r="BR647" s="21">
        <v>779</v>
      </c>
      <c r="BS647" s="21">
        <v>1301</v>
      </c>
      <c r="BT647"/>
    </row>
    <row r="648" spans="1:72" s="23" customFormat="1" ht="18" customHeight="1" x14ac:dyDescent="0.3">
      <c r="A648" s="35" t="s">
        <v>638</v>
      </c>
      <c r="B648" s="37"/>
      <c r="C648" s="37"/>
      <c r="D648" s="37"/>
      <c r="E648" s="37"/>
      <c r="F648" s="35" t="s">
        <v>1646</v>
      </c>
      <c r="G648" s="37"/>
      <c r="H648" s="37"/>
      <c r="I648" s="37"/>
      <c r="J648" s="37"/>
      <c r="K648" s="21" t="str">
        <f t="shared" si="425"/>
        <v>Apprenant 636</v>
      </c>
      <c r="L648" s="22" t="str">
        <f t="shared" si="426"/>
        <v/>
      </c>
      <c r="M648" s="22" t="str">
        <f t="shared" si="427"/>
        <v/>
      </c>
      <c r="N648" s="22" t="str">
        <f t="shared" si="428"/>
        <v/>
      </c>
      <c r="O648" s="22" t="str">
        <f t="shared" si="429"/>
        <v/>
      </c>
      <c r="P648" s="21" t="str">
        <f t="shared" si="430"/>
        <v>Apprenant 636 ou 636'</v>
      </c>
      <c r="Q648" s="22" t="str">
        <f t="shared" si="431"/>
        <v/>
      </c>
      <c r="R648" s="22" t="str">
        <f t="shared" si="432"/>
        <v/>
      </c>
      <c r="S648" s="22" t="str">
        <f t="shared" si="433"/>
        <v/>
      </c>
      <c r="T648" s="22" t="str">
        <f t="shared" si="434"/>
        <v/>
      </c>
      <c r="V648" s="21" t="str">
        <f t="shared" si="435"/>
        <v>Apprenant 636</v>
      </c>
      <c r="W648" s="22" t="str">
        <f>IF(AND(OR('Choix pédagogiques'!$C$3=1,'Choix pédagogiques'!$C$3=2),$BM648=1),B648,IF(AND('Choix pédagogiques'!$C$3=3,$BO648=1),B648,""))</f>
        <v/>
      </c>
      <c r="X648" s="22" t="str">
        <f>IF(AND(OR('Choix pédagogiques'!$C$3=1,'Choix pédagogiques'!$C$3=2),$BM648=1),C648,IF(AND('Choix pédagogiques'!$C$3=3,$BO648=1),C648,""))</f>
        <v/>
      </c>
      <c r="Y648" s="22" t="str">
        <f>IF(AND(OR('Choix pédagogiques'!$C$3=1,'Choix pédagogiques'!$C$3=2),$BM648=1),D648,IF(AND('Choix pédagogiques'!$C$3=3,$BO648=1),D648,""))</f>
        <v/>
      </c>
      <c r="Z648" s="22" t="str">
        <f t="shared" si="436"/>
        <v/>
      </c>
      <c r="AA648" s="21" t="str">
        <f t="shared" si="437"/>
        <v>Apprenant 636 ou 636'</v>
      </c>
      <c r="AB648" s="22" t="str">
        <f>IF(AND(OR('Choix pédagogiques'!$C$3=1,'Choix pédagogiques'!$C$3=2),$BN648=1),G648,IF(AND('Choix pédagogiques'!$C$3=3,$BO648=1),G648,""))</f>
        <v/>
      </c>
      <c r="AC648" s="22" t="str">
        <f>IF(AND(OR('Choix pédagogiques'!$C$3=1,'Choix pédagogiques'!$C$3=2),$BN648=1),H648,IF(AND('Choix pédagogiques'!$C$3=3,$BO648=1),H648,""))</f>
        <v/>
      </c>
      <c r="AD648" s="22" t="str">
        <f>IF(AND(OR('Choix pédagogiques'!$C$3=1,'Choix pédagogiques'!$C$3=2),$BN648=1),I648,IF(AND('Choix pédagogiques'!$C$3=3,$BO648=1),I648,""))</f>
        <v/>
      </c>
      <c r="AE648" s="22" t="str">
        <f t="shared" si="438"/>
        <v/>
      </c>
      <c r="AF648" s="21" t="str">
        <f t="shared" si="439"/>
        <v>Apprenant 636</v>
      </c>
      <c r="AG648" s="22" t="str">
        <f t="shared" si="413"/>
        <v/>
      </c>
      <c r="AH648" s="22" t="str">
        <f t="shared" si="414"/>
        <v/>
      </c>
      <c r="AI648" s="22" t="str">
        <f t="shared" si="415"/>
        <v/>
      </c>
      <c r="AJ648" s="22" t="str">
        <f t="shared" si="440"/>
        <v/>
      </c>
      <c r="AK648" s="21" t="str">
        <f t="shared" si="441"/>
        <v>Apprenant 636 ou 636'</v>
      </c>
      <c r="AL648" s="22" t="str">
        <f t="shared" si="416"/>
        <v/>
      </c>
      <c r="AM648" s="22" t="str">
        <f t="shared" si="417"/>
        <v/>
      </c>
      <c r="AN648" s="22" t="str">
        <f t="shared" si="418"/>
        <v/>
      </c>
      <c r="AO648" s="22" t="str">
        <f t="shared" si="442"/>
        <v/>
      </c>
      <c r="AQ648" s="21" t="str">
        <f t="shared" si="443"/>
        <v>Apprenant 636</v>
      </c>
      <c r="AR648" s="49" t="str">
        <f>IF(AND('Choix pédagogiques'!$C$4&lt;&gt;"?",'Choix pédagogiques'!$C$5&lt;&gt;"?",W648&lt;&gt;""),(W648-'Choix pédagogiques'!$C$4)/('Choix pédagogiques'!$C$5-'Choix pédagogiques'!$C$4),"")</f>
        <v/>
      </c>
      <c r="AS648" s="49" t="str">
        <f>IF(AND('Choix pédagogiques'!$C$4&lt;&gt;"?",'Choix pédagogiques'!$C$5&lt;&gt;"?",X648&lt;&gt;""),(X648-'Choix pédagogiques'!$C$4)/('Choix pédagogiques'!$C$5-'Choix pédagogiques'!$C$4),"")</f>
        <v/>
      </c>
      <c r="AT648" s="49" t="str">
        <f>IF(AND('Choix pédagogiques'!$C$4&lt;&gt;"?",'Choix pédagogiques'!$C$5&lt;&gt;"?",Y648&lt;&gt;""),(Y648-'Choix pédagogiques'!$C$4)/('Choix pédagogiques'!$C$5-'Choix pédagogiques'!$C$4),"")</f>
        <v/>
      </c>
      <c r="AU648" s="22" t="str">
        <f t="shared" si="444"/>
        <v/>
      </c>
      <c r="AV648" s="21" t="str">
        <f t="shared" si="445"/>
        <v>Apprenant 636 ou 636'</v>
      </c>
      <c r="AW648" s="49" t="str">
        <f>IF(AND('Choix pédagogiques'!$C$4&lt;&gt;"?",'Choix pédagogiques'!$C$5&lt;&gt;"?",AB648&lt;&gt;""),(AB648-'Choix pédagogiques'!$C$4)/('Choix pédagogiques'!$C$5-'Choix pédagogiques'!$C$4),"")</f>
        <v/>
      </c>
      <c r="AX648" s="49" t="str">
        <f>IF(AND('Choix pédagogiques'!$C$4&lt;&gt;"?",'Choix pédagogiques'!$C$5&lt;&gt;"?",AC648&lt;&gt;""),(AC648-'Choix pédagogiques'!$C$4)/('Choix pédagogiques'!$C$5-'Choix pédagogiques'!$C$4),"")</f>
        <v/>
      </c>
      <c r="AY648" s="49" t="str">
        <f>IF(AND('Choix pédagogiques'!$C$4&lt;&gt;"?",'Choix pédagogiques'!$C$5&lt;&gt;"?",AD648&lt;&gt;""),(AD648-'Choix pédagogiques'!$C$4)/('Choix pédagogiques'!$C$5-'Choix pédagogiques'!$C$4),"")</f>
        <v/>
      </c>
      <c r="AZ648" s="22" t="str">
        <f t="shared" si="446"/>
        <v/>
      </c>
      <c r="BA648" s="21" t="str">
        <f t="shared" si="447"/>
        <v>Apprenant 636</v>
      </c>
      <c r="BB648" s="49" t="str">
        <f t="shared" si="419"/>
        <v/>
      </c>
      <c r="BC648" s="49" t="str">
        <f t="shared" si="420"/>
        <v/>
      </c>
      <c r="BD648" s="49" t="str">
        <f t="shared" si="421"/>
        <v/>
      </c>
      <c r="BE648" s="22" t="str">
        <f t="shared" si="448"/>
        <v/>
      </c>
      <c r="BF648" s="21" t="str">
        <f t="shared" si="449"/>
        <v>Apprenant 636 ou 636'</v>
      </c>
      <c r="BG648" s="49" t="str">
        <f t="shared" si="422"/>
        <v/>
      </c>
      <c r="BH648" s="49" t="str">
        <f t="shared" si="423"/>
        <v/>
      </c>
      <c r="BI648" s="49" t="str">
        <f t="shared" si="424"/>
        <v/>
      </c>
      <c r="BJ648" s="22" t="str">
        <f t="shared" si="450"/>
        <v/>
      </c>
      <c r="BL648" s="21"/>
      <c r="BM648" s="21" t="str">
        <f>IF(OR(COUNT(B648:D1647)=0,AND('Choix pédagogiques'!$C$3&lt;&gt;1,'Choix pédagogiques'!$C$3&lt;&gt;2)),"",IF(AND(OR('Choix pédagogiques'!$C$3=1,'Choix pédagogiques'!$C$3=2),$B648&lt;&gt;"",$C648&lt;&gt;"",$D648&lt;&gt;""),1,0))</f>
        <v/>
      </c>
      <c r="BN648" s="21" t="str">
        <f>IF(OR(COUNT(G648:I1647)=0,AND('Choix pédagogiques'!$C$3&lt;&gt;1,'Choix pédagogiques'!$C$3&lt;&gt;2)),"",IF(AND(OR('Choix pédagogiques'!$C$3=1,'Choix pédagogiques'!$C$3=2),AND($G648&lt;&gt;"",$H648&lt;&gt;"",$I648&lt;&gt;"")),1,0))</f>
        <v/>
      </c>
      <c r="BO648" s="21" t="str">
        <f>IF(OR(COUNT(B648:D1647)=0,COUNT(G648:I1647)=0,'Choix pédagogiques'!C$3&lt;&gt;3),"",IF(AND('Choix pédagogiques'!$C$3=3,$B648&lt;&gt;"",$C648&lt;&gt;"",$D648&lt;&gt;"",$G648&lt;&gt;"",$H648&lt;&gt;"",$I648&lt;&gt;""),1,0))</f>
        <v/>
      </c>
      <c r="BR648" s="21">
        <v>767</v>
      </c>
      <c r="BS648" s="21">
        <v>1639</v>
      </c>
      <c r="BT648"/>
    </row>
    <row r="649" spans="1:72" s="23" customFormat="1" ht="18" customHeight="1" x14ac:dyDescent="0.3">
      <c r="A649" s="35" t="s">
        <v>639</v>
      </c>
      <c r="B649" s="37"/>
      <c r="C649" s="37"/>
      <c r="D649" s="37"/>
      <c r="E649" s="37"/>
      <c r="F649" s="35" t="s">
        <v>1647</v>
      </c>
      <c r="G649" s="37"/>
      <c r="H649" s="37"/>
      <c r="I649" s="37"/>
      <c r="J649" s="37"/>
      <c r="K649" s="21" t="str">
        <f t="shared" si="425"/>
        <v>Apprenant 637</v>
      </c>
      <c r="L649" s="22" t="str">
        <f t="shared" si="426"/>
        <v/>
      </c>
      <c r="M649" s="22" t="str">
        <f t="shared" si="427"/>
        <v/>
      </c>
      <c r="N649" s="22" t="str">
        <f t="shared" si="428"/>
        <v/>
      </c>
      <c r="O649" s="22" t="str">
        <f t="shared" si="429"/>
        <v/>
      </c>
      <c r="P649" s="21" t="str">
        <f t="shared" si="430"/>
        <v>Apprenant 637 ou 637'</v>
      </c>
      <c r="Q649" s="22" t="str">
        <f t="shared" si="431"/>
        <v/>
      </c>
      <c r="R649" s="22" t="str">
        <f t="shared" si="432"/>
        <v/>
      </c>
      <c r="S649" s="22" t="str">
        <f t="shared" si="433"/>
        <v/>
      </c>
      <c r="T649" s="22" t="str">
        <f t="shared" si="434"/>
        <v/>
      </c>
      <c r="V649" s="21" t="str">
        <f t="shared" si="435"/>
        <v>Apprenant 637</v>
      </c>
      <c r="W649" s="22" t="str">
        <f>IF(AND(OR('Choix pédagogiques'!$C$3=1,'Choix pédagogiques'!$C$3=2),$BM649=1),B649,IF(AND('Choix pédagogiques'!$C$3=3,$BO649=1),B649,""))</f>
        <v/>
      </c>
      <c r="X649" s="22" t="str">
        <f>IF(AND(OR('Choix pédagogiques'!$C$3=1,'Choix pédagogiques'!$C$3=2),$BM649=1),C649,IF(AND('Choix pédagogiques'!$C$3=3,$BO649=1),C649,""))</f>
        <v/>
      </c>
      <c r="Y649" s="22" t="str">
        <f>IF(AND(OR('Choix pédagogiques'!$C$3=1,'Choix pédagogiques'!$C$3=2),$BM649=1),D649,IF(AND('Choix pédagogiques'!$C$3=3,$BO649=1),D649,""))</f>
        <v/>
      </c>
      <c r="Z649" s="22" t="str">
        <f t="shared" si="436"/>
        <v/>
      </c>
      <c r="AA649" s="21" t="str">
        <f t="shared" si="437"/>
        <v>Apprenant 637 ou 637'</v>
      </c>
      <c r="AB649" s="22" t="str">
        <f>IF(AND(OR('Choix pédagogiques'!$C$3=1,'Choix pédagogiques'!$C$3=2),$BN649=1),G649,IF(AND('Choix pédagogiques'!$C$3=3,$BO649=1),G649,""))</f>
        <v/>
      </c>
      <c r="AC649" s="22" t="str">
        <f>IF(AND(OR('Choix pédagogiques'!$C$3=1,'Choix pédagogiques'!$C$3=2),$BN649=1),H649,IF(AND('Choix pédagogiques'!$C$3=3,$BO649=1),H649,""))</f>
        <v/>
      </c>
      <c r="AD649" s="22" t="str">
        <f>IF(AND(OR('Choix pédagogiques'!$C$3=1,'Choix pédagogiques'!$C$3=2),$BN649=1),I649,IF(AND('Choix pédagogiques'!$C$3=3,$BO649=1),I649,""))</f>
        <v/>
      </c>
      <c r="AE649" s="22" t="str">
        <f t="shared" si="438"/>
        <v/>
      </c>
      <c r="AF649" s="21" t="str">
        <f t="shared" si="439"/>
        <v>Apprenant 637</v>
      </c>
      <c r="AG649" s="22" t="str">
        <f t="shared" si="413"/>
        <v/>
      </c>
      <c r="AH649" s="22" t="str">
        <f t="shared" si="414"/>
        <v/>
      </c>
      <c r="AI649" s="22" t="str">
        <f t="shared" si="415"/>
        <v/>
      </c>
      <c r="AJ649" s="22" t="str">
        <f t="shared" si="440"/>
        <v/>
      </c>
      <c r="AK649" s="21" t="str">
        <f t="shared" si="441"/>
        <v>Apprenant 637 ou 637'</v>
      </c>
      <c r="AL649" s="22" t="str">
        <f t="shared" si="416"/>
        <v/>
      </c>
      <c r="AM649" s="22" t="str">
        <f t="shared" si="417"/>
        <v/>
      </c>
      <c r="AN649" s="22" t="str">
        <f t="shared" si="418"/>
        <v/>
      </c>
      <c r="AO649" s="22" t="str">
        <f t="shared" si="442"/>
        <v/>
      </c>
      <c r="AQ649" s="21" t="str">
        <f t="shared" si="443"/>
        <v>Apprenant 637</v>
      </c>
      <c r="AR649" s="49" t="str">
        <f>IF(AND('Choix pédagogiques'!$C$4&lt;&gt;"?",'Choix pédagogiques'!$C$5&lt;&gt;"?",W649&lt;&gt;""),(W649-'Choix pédagogiques'!$C$4)/('Choix pédagogiques'!$C$5-'Choix pédagogiques'!$C$4),"")</f>
        <v/>
      </c>
      <c r="AS649" s="49" t="str">
        <f>IF(AND('Choix pédagogiques'!$C$4&lt;&gt;"?",'Choix pédagogiques'!$C$5&lt;&gt;"?",X649&lt;&gt;""),(X649-'Choix pédagogiques'!$C$4)/('Choix pédagogiques'!$C$5-'Choix pédagogiques'!$C$4),"")</f>
        <v/>
      </c>
      <c r="AT649" s="49" t="str">
        <f>IF(AND('Choix pédagogiques'!$C$4&lt;&gt;"?",'Choix pédagogiques'!$C$5&lt;&gt;"?",Y649&lt;&gt;""),(Y649-'Choix pédagogiques'!$C$4)/('Choix pédagogiques'!$C$5-'Choix pédagogiques'!$C$4),"")</f>
        <v/>
      </c>
      <c r="AU649" s="22" t="str">
        <f t="shared" si="444"/>
        <v/>
      </c>
      <c r="AV649" s="21" t="str">
        <f t="shared" si="445"/>
        <v>Apprenant 637 ou 637'</v>
      </c>
      <c r="AW649" s="49" t="str">
        <f>IF(AND('Choix pédagogiques'!$C$4&lt;&gt;"?",'Choix pédagogiques'!$C$5&lt;&gt;"?",AB649&lt;&gt;""),(AB649-'Choix pédagogiques'!$C$4)/('Choix pédagogiques'!$C$5-'Choix pédagogiques'!$C$4),"")</f>
        <v/>
      </c>
      <c r="AX649" s="49" t="str">
        <f>IF(AND('Choix pédagogiques'!$C$4&lt;&gt;"?",'Choix pédagogiques'!$C$5&lt;&gt;"?",AC649&lt;&gt;""),(AC649-'Choix pédagogiques'!$C$4)/('Choix pédagogiques'!$C$5-'Choix pédagogiques'!$C$4),"")</f>
        <v/>
      </c>
      <c r="AY649" s="49" t="str">
        <f>IF(AND('Choix pédagogiques'!$C$4&lt;&gt;"?",'Choix pédagogiques'!$C$5&lt;&gt;"?",AD649&lt;&gt;""),(AD649-'Choix pédagogiques'!$C$4)/('Choix pédagogiques'!$C$5-'Choix pédagogiques'!$C$4),"")</f>
        <v/>
      </c>
      <c r="AZ649" s="22" t="str">
        <f t="shared" si="446"/>
        <v/>
      </c>
      <c r="BA649" s="21" t="str">
        <f t="shared" si="447"/>
        <v>Apprenant 637</v>
      </c>
      <c r="BB649" s="49" t="str">
        <f t="shared" si="419"/>
        <v/>
      </c>
      <c r="BC649" s="49" t="str">
        <f t="shared" si="420"/>
        <v/>
      </c>
      <c r="BD649" s="49" t="str">
        <f t="shared" si="421"/>
        <v/>
      </c>
      <c r="BE649" s="22" t="str">
        <f t="shared" si="448"/>
        <v/>
      </c>
      <c r="BF649" s="21" t="str">
        <f t="shared" si="449"/>
        <v>Apprenant 637 ou 637'</v>
      </c>
      <c r="BG649" s="49" t="str">
        <f t="shared" si="422"/>
        <v/>
      </c>
      <c r="BH649" s="49" t="str">
        <f t="shared" si="423"/>
        <v/>
      </c>
      <c r="BI649" s="49" t="str">
        <f t="shared" si="424"/>
        <v/>
      </c>
      <c r="BJ649" s="22" t="str">
        <f t="shared" si="450"/>
        <v/>
      </c>
      <c r="BL649" s="21"/>
      <c r="BM649" s="21" t="str">
        <f>IF(OR(COUNT(B649:D1648)=0,AND('Choix pédagogiques'!$C$3&lt;&gt;1,'Choix pédagogiques'!$C$3&lt;&gt;2)),"",IF(AND(OR('Choix pédagogiques'!$C$3=1,'Choix pédagogiques'!$C$3=2),$B649&lt;&gt;"",$C649&lt;&gt;"",$D649&lt;&gt;""),1,0))</f>
        <v/>
      </c>
      <c r="BN649" s="21" t="str">
        <f>IF(OR(COUNT(G649:I1648)=0,AND('Choix pédagogiques'!$C$3&lt;&gt;1,'Choix pédagogiques'!$C$3&lt;&gt;2)),"",IF(AND(OR('Choix pédagogiques'!$C$3=1,'Choix pédagogiques'!$C$3=2),AND($G649&lt;&gt;"",$H649&lt;&gt;"",$I649&lt;&gt;"")),1,0))</f>
        <v/>
      </c>
      <c r="BO649" s="21" t="str">
        <f>IF(OR(COUNT(B649:D1648)=0,COUNT(G649:I1648)=0,'Choix pédagogiques'!C$3&lt;&gt;3),"",IF(AND('Choix pédagogiques'!$C$3=3,$B649&lt;&gt;"",$C649&lt;&gt;"",$D649&lt;&gt;"",$G649&lt;&gt;"",$H649&lt;&gt;"",$I649&lt;&gt;""),1,0))</f>
        <v/>
      </c>
      <c r="BR649" s="21">
        <v>786</v>
      </c>
      <c r="BS649" s="21">
        <v>1769</v>
      </c>
      <c r="BT649"/>
    </row>
    <row r="650" spans="1:72" s="23" customFormat="1" ht="18" customHeight="1" x14ac:dyDescent="0.3">
      <c r="A650" s="35" t="s">
        <v>640</v>
      </c>
      <c r="B650" s="37"/>
      <c r="C650" s="37"/>
      <c r="D650" s="37"/>
      <c r="E650" s="37"/>
      <c r="F650" s="35" t="s">
        <v>1648</v>
      </c>
      <c r="G650" s="37"/>
      <c r="H650" s="37"/>
      <c r="I650" s="37"/>
      <c r="J650" s="37"/>
      <c r="K650" s="21" t="str">
        <f t="shared" si="425"/>
        <v>Apprenant 638</v>
      </c>
      <c r="L650" s="22" t="str">
        <f t="shared" si="426"/>
        <v/>
      </c>
      <c r="M650" s="22" t="str">
        <f t="shared" si="427"/>
        <v/>
      </c>
      <c r="N650" s="22" t="str">
        <f t="shared" si="428"/>
        <v/>
      </c>
      <c r="O650" s="22" t="str">
        <f t="shared" si="429"/>
        <v/>
      </c>
      <c r="P650" s="21" t="str">
        <f t="shared" si="430"/>
        <v>Apprenant 638 ou 638'</v>
      </c>
      <c r="Q650" s="22" t="str">
        <f t="shared" si="431"/>
        <v/>
      </c>
      <c r="R650" s="22" t="str">
        <f t="shared" si="432"/>
        <v/>
      </c>
      <c r="S650" s="22" t="str">
        <f t="shared" si="433"/>
        <v/>
      </c>
      <c r="T650" s="22" t="str">
        <f t="shared" si="434"/>
        <v/>
      </c>
      <c r="V650" s="21" t="str">
        <f t="shared" si="435"/>
        <v>Apprenant 638</v>
      </c>
      <c r="W650" s="22" t="str">
        <f>IF(AND(OR('Choix pédagogiques'!$C$3=1,'Choix pédagogiques'!$C$3=2),$BM650=1),B650,IF(AND('Choix pédagogiques'!$C$3=3,$BO650=1),B650,""))</f>
        <v/>
      </c>
      <c r="X650" s="22" t="str">
        <f>IF(AND(OR('Choix pédagogiques'!$C$3=1,'Choix pédagogiques'!$C$3=2),$BM650=1),C650,IF(AND('Choix pédagogiques'!$C$3=3,$BO650=1),C650,""))</f>
        <v/>
      </c>
      <c r="Y650" s="22" t="str">
        <f>IF(AND(OR('Choix pédagogiques'!$C$3=1,'Choix pédagogiques'!$C$3=2),$BM650=1),D650,IF(AND('Choix pédagogiques'!$C$3=3,$BO650=1),D650,""))</f>
        <v/>
      </c>
      <c r="Z650" s="22" t="str">
        <f t="shared" si="436"/>
        <v/>
      </c>
      <c r="AA650" s="21" t="str">
        <f t="shared" si="437"/>
        <v>Apprenant 638 ou 638'</v>
      </c>
      <c r="AB650" s="22" t="str">
        <f>IF(AND(OR('Choix pédagogiques'!$C$3=1,'Choix pédagogiques'!$C$3=2),$BN650=1),G650,IF(AND('Choix pédagogiques'!$C$3=3,$BO650=1),G650,""))</f>
        <v/>
      </c>
      <c r="AC650" s="22" t="str">
        <f>IF(AND(OR('Choix pédagogiques'!$C$3=1,'Choix pédagogiques'!$C$3=2),$BN650=1),H650,IF(AND('Choix pédagogiques'!$C$3=3,$BO650=1),H650,""))</f>
        <v/>
      </c>
      <c r="AD650" s="22" t="str">
        <f>IF(AND(OR('Choix pédagogiques'!$C$3=1,'Choix pédagogiques'!$C$3=2),$BN650=1),I650,IF(AND('Choix pédagogiques'!$C$3=3,$BO650=1),I650,""))</f>
        <v/>
      </c>
      <c r="AE650" s="22" t="str">
        <f t="shared" si="438"/>
        <v/>
      </c>
      <c r="AF650" s="21" t="str">
        <f t="shared" si="439"/>
        <v>Apprenant 638</v>
      </c>
      <c r="AG650" s="22" t="str">
        <f t="shared" si="413"/>
        <v/>
      </c>
      <c r="AH650" s="22" t="str">
        <f t="shared" si="414"/>
        <v/>
      </c>
      <c r="AI650" s="22" t="str">
        <f t="shared" si="415"/>
        <v/>
      </c>
      <c r="AJ650" s="22" t="str">
        <f t="shared" si="440"/>
        <v/>
      </c>
      <c r="AK650" s="21" t="str">
        <f t="shared" si="441"/>
        <v>Apprenant 638 ou 638'</v>
      </c>
      <c r="AL650" s="22" t="str">
        <f t="shared" si="416"/>
        <v/>
      </c>
      <c r="AM650" s="22" t="str">
        <f t="shared" si="417"/>
        <v/>
      </c>
      <c r="AN650" s="22" t="str">
        <f t="shared" si="418"/>
        <v/>
      </c>
      <c r="AO650" s="22" t="str">
        <f t="shared" si="442"/>
        <v/>
      </c>
      <c r="AQ650" s="21" t="str">
        <f t="shared" si="443"/>
        <v>Apprenant 638</v>
      </c>
      <c r="AR650" s="49" t="str">
        <f>IF(AND('Choix pédagogiques'!$C$4&lt;&gt;"?",'Choix pédagogiques'!$C$5&lt;&gt;"?",W650&lt;&gt;""),(W650-'Choix pédagogiques'!$C$4)/('Choix pédagogiques'!$C$5-'Choix pédagogiques'!$C$4),"")</f>
        <v/>
      </c>
      <c r="AS650" s="49" t="str">
        <f>IF(AND('Choix pédagogiques'!$C$4&lt;&gt;"?",'Choix pédagogiques'!$C$5&lt;&gt;"?",X650&lt;&gt;""),(X650-'Choix pédagogiques'!$C$4)/('Choix pédagogiques'!$C$5-'Choix pédagogiques'!$C$4),"")</f>
        <v/>
      </c>
      <c r="AT650" s="49" t="str">
        <f>IF(AND('Choix pédagogiques'!$C$4&lt;&gt;"?",'Choix pédagogiques'!$C$5&lt;&gt;"?",Y650&lt;&gt;""),(Y650-'Choix pédagogiques'!$C$4)/('Choix pédagogiques'!$C$5-'Choix pédagogiques'!$C$4),"")</f>
        <v/>
      </c>
      <c r="AU650" s="22" t="str">
        <f t="shared" si="444"/>
        <v/>
      </c>
      <c r="AV650" s="21" t="str">
        <f t="shared" si="445"/>
        <v>Apprenant 638 ou 638'</v>
      </c>
      <c r="AW650" s="49" t="str">
        <f>IF(AND('Choix pédagogiques'!$C$4&lt;&gt;"?",'Choix pédagogiques'!$C$5&lt;&gt;"?",AB650&lt;&gt;""),(AB650-'Choix pédagogiques'!$C$4)/('Choix pédagogiques'!$C$5-'Choix pédagogiques'!$C$4),"")</f>
        <v/>
      </c>
      <c r="AX650" s="49" t="str">
        <f>IF(AND('Choix pédagogiques'!$C$4&lt;&gt;"?",'Choix pédagogiques'!$C$5&lt;&gt;"?",AC650&lt;&gt;""),(AC650-'Choix pédagogiques'!$C$4)/('Choix pédagogiques'!$C$5-'Choix pédagogiques'!$C$4),"")</f>
        <v/>
      </c>
      <c r="AY650" s="49" t="str">
        <f>IF(AND('Choix pédagogiques'!$C$4&lt;&gt;"?",'Choix pédagogiques'!$C$5&lt;&gt;"?",AD650&lt;&gt;""),(AD650-'Choix pédagogiques'!$C$4)/('Choix pédagogiques'!$C$5-'Choix pédagogiques'!$C$4),"")</f>
        <v/>
      </c>
      <c r="AZ650" s="22" t="str">
        <f t="shared" si="446"/>
        <v/>
      </c>
      <c r="BA650" s="21" t="str">
        <f t="shared" si="447"/>
        <v>Apprenant 638</v>
      </c>
      <c r="BB650" s="49" t="str">
        <f t="shared" si="419"/>
        <v/>
      </c>
      <c r="BC650" s="49" t="str">
        <f t="shared" si="420"/>
        <v/>
      </c>
      <c r="BD650" s="49" t="str">
        <f t="shared" si="421"/>
        <v/>
      </c>
      <c r="BE650" s="22" t="str">
        <f t="shared" si="448"/>
        <v/>
      </c>
      <c r="BF650" s="21" t="str">
        <f t="shared" si="449"/>
        <v>Apprenant 638 ou 638'</v>
      </c>
      <c r="BG650" s="49" t="str">
        <f t="shared" si="422"/>
        <v/>
      </c>
      <c r="BH650" s="49" t="str">
        <f t="shared" si="423"/>
        <v/>
      </c>
      <c r="BI650" s="49" t="str">
        <f t="shared" si="424"/>
        <v/>
      </c>
      <c r="BJ650" s="22" t="str">
        <f t="shared" si="450"/>
        <v/>
      </c>
      <c r="BL650" s="21"/>
      <c r="BM650" s="21" t="str">
        <f>IF(OR(COUNT(B650:D1649)=0,AND('Choix pédagogiques'!$C$3&lt;&gt;1,'Choix pédagogiques'!$C$3&lt;&gt;2)),"",IF(AND(OR('Choix pédagogiques'!$C$3=1,'Choix pédagogiques'!$C$3=2),$B650&lt;&gt;"",$C650&lt;&gt;"",$D650&lt;&gt;""),1,0))</f>
        <v/>
      </c>
      <c r="BN650" s="21" t="str">
        <f>IF(OR(COUNT(G650:I1649)=0,AND('Choix pédagogiques'!$C$3&lt;&gt;1,'Choix pédagogiques'!$C$3&lt;&gt;2)),"",IF(AND(OR('Choix pédagogiques'!$C$3=1,'Choix pédagogiques'!$C$3=2),AND($G650&lt;&gt;"",$H650&lt;&gt;"",$I650&lt;&gt;"")),1,0))</f>
        <v/>
      </c>
      <c r="BO650" s="21" t="str">
        <f>IF(OR(COUNT(B650:D1649)=0,COUNT(G650:I1649)=0,'Choix pédagogiques'!C$3&lt;&gt;3),"",IF(AND('Choix pédagogiques'!$C$3=3,$B650&lt;&gt;"",$C650&lt;&gt;"",$D650&lt;&gt;"",$G650&lt;&gt;"",$H650&lt;&gt;"",$I650&lt;&gt;""),1,0))</f>
        <v/>
      </c>
      <c r="BR650" s="21">
        <v>377</v>
      </c>
      <c r="BS650" s="21">
        <v>1729</v>
      </c>
      <c r="BT650"/>
    </row>
    <row r="651" spans="1:72" s="23" customFormat="1" ht="18" customHeight="1" x14ac:dyDescent="0.3">
      <c r="A651" s="35" t="s">
        <v>641</v>
      </c>
      <c r="B651" s="37"/>
      <c r="C651" s="37"/>
      <c r="D651" s="37"/>
      <c r="E651" s="37"/>
      <c r="F651" s="35" t="s">
        <v>1649</v>
      </c>
      <c r="G651" s="37"/>
      <c r="H651" s="37"/>
      <c r="I651" s="37"/>
      <c r="J651" s="37"/>
      <c r="K651" s="21" t="str">
        <f t="shared" si="425"/>
        <v>Apprenant 639</v>
      </c>
      <c r="L651" s="22" t="str">
        <f t="shared" si="426"/>
        <v/>
      </c>
      <c r="M651" s="22" t="str">
        <f t="shared" si="427"/>
        <v/>
      </c>
      <c r="N651" s="22" t="str">
        <f t="shared" si="428"/>
        <v/>
      </c>
      <c r="O651" s="22" t="str">
        <f t="shared" si="429"/>
        <v/>
      </c>
      <c r="P651" s="21" t="str">
        <f t="shared" si="430"/>
        <v>Apprenant 639 ou 639'</v>
      </c>
      <c r="Q651" s="22" t="str">
        <f t="shared" si="431"/>
        <v/>
      </c>
      <c r="R651" s="22" t="str">
        <f t="shared" si="432"/>
        <v/>
      </c>
      <c r="S651" s="22" t="str">
        <f t="shared" si="433"/>
        <v/>
      </c>
      <c r="T651" s="22" t="str">
        <f t="shared" si="434"/>
        <v/>
      </c>
      <c r="V651" s="21" t="str">
        <f t="shared" si="435"/>
        <v>Apprenant 639</v>
      </c>
      <c r="W651" s="22" t="str">
        <f>IF(AND(OR('Choix pédagogiques'!$C$3=1,'Choix pédagogiques'!$C$3=2),$BM651=1),B651,IF(AND('Choix pédagogiques'!$C$3=3,$BO651=1),B651,""))</f>
        <v/>
      </c>
      <c r="X651" s="22" t="str">
        <f>IF(AND(OR('Choix pédagogiques'!$C$3=1,'Choix pédagogiques'!$C$3=2),$BM651=1),C651,IF(AND('Choix pédagogiques'!$C$3=3,$BO651=1),C651,""))</f>
        <v/>
      </c>
      <c r="Y651" s="22" t="str">
        <f>IF(AND(OR('Choix pédagogiques'!$C$3=1,'Choix pédagogiques'!$C$3=2),$BM651=1),D651,IF(AND('Choix pédagogiques'!$C$3=3,$BO651=1),D651,""))</f>
        <v/>
      </c>
      <c r="Z651" s="22" t="str">
        <f t="shared" si="436"/>
        <v/>
      </c>
      <c r="AA651" s="21" t="str">
        <f t="shared" si="437"/>
        <v>Apprenant 639 ou 639'</v>
      </c>
      <c r="AB651" s="22" t="str">
        <f>IF(AND(OR('Choix pédagogiques'!$C$3=1,'Choix pédagogiques'!$C$3=2),$BN651=1),G651,IF(AND('Choix pédagogiques'!$C$3=3,$BO651=1),G651,""))</f>
        <v/>
      </c>
      <c r="AC651" s="22" t="str">
        <f>IF(AND(OR('Choix pédagogiques'!$C$3=1,'Choix pédagogiques'!$C$3=2),$BN651=1),H651,IF(AND('Choix pédagogiques'!$C$3=3,$BO651=1),H651,""))</f>
        <v/>
      </c>
      <c r="AD651" s="22" t="str">
        <f>IF(AND(OR('Choix pédagogiques'!$C$3=1,'Choix pédagogiques'!$C$3=2),$BN651=1),I651,IF(AND('Choix pédagogiques'!$C$3=3,$BO651=1),I651,""))</f>
        <v/>
      </c>
      <c r="AE651" s="22" t="str">
        <f t="shared" si="438"/>
        <v/>
      </c>
      <c r="AF651" s="21" t="str">
        <f t="shared" si="439"/>
        <v>Apprenant 639</v>
      </c>
      <c r="AG651" s="22" t="str">
        <f t="shared" si="413"/>
        <v/>
      </c>
      <c r="AH651" s="22" t="str">
        <f t="shared" si="414"/>
        <v/>
      </c>
      <c r="AI651" s="22" t="str">
        <f t="shared" si="415"/>
        <v/>
      </c>
      <c r="AJ651" s="22" t="str">
        <f t="shared" si="440"/>
        <v/>
      </c>
      <c r="AK651" s="21" t="str">
        <f t="shared" si="441"/>
        <v>Apprenant 639 ou 639'</v>
      </c>
      <c r="AL651" s="22" t="str">
        <f t="shared" si="416"/>
        <v/>
      </c>
      <c r="AM651" s="22" t="str">
        <f t="shared" si="417"/>
        <v/>
      </c>
      <c r="AN651" s="22" t="str">
        <f t="shared" si="418"/>
        <v/>
      </c>
      <c r="AO651" s="22" t="str">
        <f t="shared" si="442"/>
        <v/>
      </c>
      <c r="AQ651" s="21" t="str">
        <f t="shared" si="443"/>
        <v>Apprenant 639</v>
      </c>
      <c r="AR651" s="49" t="str">
        <f>IF(AND('Choix pédagogiques'!$C$4&lt;&gt;"?",'Choix pédagogiques'!$C$5&lt;&gt;"?",W651&lt;&gt;""),(W651-'Choix pédagogiques'!$C$4)/('Choix pédagogiques'!$C$5-'Choix pédagogiques'!$C$4),"")</f>
        <v/>
      </c>
      <c r="AS651" s="49" t="str">
        <f>IF(AND('Choix pédagogiques'!$C$4&lt;&gt;"?",'Choix pédagogiques'!$C$5&lt;&gt;"?",X651&lt;&gt;""),(X651-'Choix pédagogiques'!$C$4)/('Choix pédagogiques'!$C$5-'Choix pédagogiques'!$C$4),"")</f>
        <v/>
      </c>
      <c r="AT651" s="49" t="str">
        <f>IF(AND('Choix pédagogiques'!$C$4&lt;&gt;"?",'Choix pédagogiques'!$C$5&lt;&gt;"?",Y651&lt;&gt;""),(Y651-'Choix pédagogiques'!$C$4)/('Choix pédagogiques'!$C$5-'Choix pédagogiques'!$C$4),"")</f>
        <v/>
      </c>
      <c r="AU651" s="22" t="str">
        <f t="shared" si="444"/>
        <v/>
      </c>
      <c r="AV651" s="21" t="str">
        <f t="shared" si="445"/>
        <v>Apprenant 639 ou 639'</v>
      </c>
      <c r="AW651" s="49" t="str">
        <f>IF(AND('Choix pédagogiques'!$C$4&lt;&gt;"?",'Choix pédagogiques'!$C$5&lt;&gt;"?",AB651&lt;&gt;""),(AB651-'Choix pédagogiques'!$C$4)/('Choix pédagogiques'!$C$5-'Choix pédagogiques'!$C$4),"")</f>
        <v/>
      </c>
      <c r="AX651" s="49" t="str">
        <f>IF(AND('Choix pédagogiques'!$C$4&lt;&gt;"?",'Choix pédagogiques'!$C$5&lt;&gt;"?",AC651&lt;&gt;""),(AC651-'Choix pédagogiques'!$C$4)/('Choix pédagogiques'!$C$5-'Choix pédagogiques'!$C$4),"")</f>
        <v/>
      </c>
      <c r="AY651" s="49" t="str">
        <f>IF(AND('Choix pédagogiques'!$C$4&lt;&gt;"?",'Choix pédagogiques'!$C$5&lt;&gt;"?",AD651&lt;&gt;""),(AD651-'Choix pédagogiques'!$C$4)/('Choix pédagogiques'!$C$5-'Choix pédagogiques'!$C$4),"")</f>
        <v/>
      </c>
      <c r="AZ651" s="22" t="str">
        <f t="shared" si="446"/>
        <v/>
      </c>
      <c r="BA651" s="21" t="str">
        <f t="shared" si="447"/>
        <v>Apprenant 639</v>
      </c>
      <c r="BB651" s="49" t="str">
        <f t="shared" si="419"/>
        <v/>
      </c>
      <c r="BC651" s="49" t="str">
        <f t="shared" si="420"/>
        <v/>
      </c>
      <c r="BD651" s="49" t="str">
        <f t="shared" si="421"/>
        <v/>
      </c>
      <c r="BE651" s="22" t="str">
        <f t="shared" si="448"/>
        <v/>
      </c>
      <c r="BF651" s="21" t="str">
        <f t="shared" si="449"/>
        <v>Apprenant 639 ou 639'</v>
      </c>
      <c r="BG651" s="49" t="str">
        <f t="shared" si="422"/>
        <v/>
      </c>
      <c r="BH651" s="49" t="str">
        <f t="shared" si="423"/>
        <v/>
      </c>
      <c r="BI651" s="49" t="str">
        <f t="shared" si="424"/>
        <v/>
      </c>
      <c r="BJ651" s="22" t="str">
        <f t="shared" si="450"/>
        <v/>
      </c>
      <c r="BL651" s="21"/>
      <c r="BM651" s="21" t="str">
        <f>IF(OR(COUNT(B651:D1650)=0,AND('Choix pédagogiques'!$C$3&lt;&gt;1,'Choix pédagogiques'!$C$3&lt;&gt;2)),"",IF(AND(OR('Choix pédagogiques'!$C$3=1,'Choix pédagogiques'!$C$3=2),$B651&lt;&gt;"",$C651&lt;&gt;"",$D651&lt;&gt;""),1,0))</f>
        <v/>
      </c>
      <c r="BN651" s="21" t="str">
        <f>IF(OR(COUNT(G651:I1650)=0,AND('Choix pédagogiques'!$C$3&lt;&gt;1,'Choix pédagogiques'!$C$3&lt;&gt;2)),"",IF(AND(OR('Choix pédagogiques'!$C$3=1,'Choix pédagogiques'!$C$3=2),AND($G651&lt;&gt;"",$H651&lt;&gt;"",$I651&lt;&gt;"")),1,0))</f>
        <v/>
      </c>
      <c r="BO651" s="21" t="str">
        <f>IF(OR(COUNT(B651:D1650)=0,COUNT(G651:I1650)=0,'Choix pédagogiques'!C$3&lt;&gt;3),"",IF(AND('Choix pédagogiques'!$C$3=3,$B651&lt;&gt;"",$C651&lt;&gt;"",$D651&lt;&gt;"",$G651&lt;&gt;"",$H651&lt;&gt;"",$I651&lt;&gt;""),1,0))</f>
        <v/>
      </c>
      <c r="BR651" s="21">
        <v>56</v>
      </c>
      <c r="BS651" s="21">
        <v>1395</v>
      </c>
      <c r="BT651"/>
    </row>
    <row r="652" spans="1:72" s="23" customFormat="1" ht="18" customHeight="1" x14ac:dyDescent="0.3">
      <c r="A652" s="35" t="s">
        <v>642</v>
      </c>
      <c r="B652" s="37"/>
      <c r="C652" s="37"/>
      <c r="D652" s="37"/>
      <c r="E652" s="37"/>
      <c r="F652" s="35" t="s">
        <v>1650</v>
      </c>
      <c r="G652" s="37"/>
      <c r="H652" s="37"/>
      <c r="I652" s="37"/>
      <c r="J652" s="37"/>
      <c r="K652" s="21" t="str">
        <f t="shared" si="425"/>
        <v>Apprenant 640</v>
      </c>
      <c r="L652" s="22" t="str">
        <f t="shared" si="426"/>
        <v/>
      </c>
      <c r="M652" s="22" t="str">
        <f t="shared" si="427"/>
        <v/>
      </c>
      <c r="N652" s="22" t="str">
        <f t="shared" si="428"/>
        <v/>
      </c>
      <c r="O652" s="22" t="str">
        <f t="shared" si="429"/>
        <v/>
      </c>
      <c r="P652" s="21" t="str">
        <f t="shared" si="430"/>
        <v>Apprenant 640 ou 640'</v>
      </c>
      <c r="Q652" s="22" t="str">
        <f t="shared" si="431"/>
        <v/>
      </c>
      <c r="R652" s="22" t="str">
        <f t="shared" si="432"/>
        <v/>
      </c>
      <c r="S652" s="22" t="str">
        <f t="shared" si="433"/>
        <v/>
      </c>
      <c r="T652" s="22" t="str">
        <f t="shared" si="434"/>
        <v/>
      </c>
      <c r="V652" s="21" t="str">
        <f t="shared" si="435"/>
        <v>Apprenant 640</v>
      </c>
      <c r="W652" s="22" t="str">
        <f>IF(AND(OR('Choix pédagogiques'!$C$3=1,'Choix pédagogiques'!$C$3=2),$BM652=1),B652,IF(AND('Choix pédagogiques'!$C$3=3,$BO652=1),B652,""))</f>
        <v/>
      </c>
      <c r="X652" s="22" t="str">
        <f>IF(AND(OR('Choix pédagogiques'!$C$3=1,'Choix pédagogiques'!$C$3=2),$BM652=1),C652,IF(AND('Choix pédagogiques'!$C$3=3,$BO652=1),C652,""))</f>
        <v/>
      </c>
      <c r="Y652" s="22" t="str">
        <f>IF(AND(OR('Choix pédagogiques'!$C$3=1,'Choix pédagogiques'!$C$3=2),$BM652=1),D652,IF(AND('Choix pédagogiques'!$C$3=3,$BO652=1),D652,""))</f>
        <v/>
      </c>
      <c r="Z652" s="22" t="str">
        <f t="shared" si="436"/>
        <v/>
      </c>
      <c r="AA652" s="21" t="str">
        <f t="shared" si="437"/>
        <v>Apprenant 640 ou 640'</v>
      </c>
      <c r="AB652" s="22" t="str">
        <f>IF(AND(OR('Choix pédagogiques'!$C$3=1,'Choix pédagogiques'!$C$3=2),$BN652=1),G652,IF(AND('Choix pédagogiques'!$C$3=3,$BO652=1),G652,""))</f>
        <v/>
      </c>
      <c r="AC652" s="22" t="str">
        <f>IF(AND(OR('Choix pédagogiques'!$C$3=1,'Choix pédagogiques'!$C$3=2),$BN652=1),H652,IF(AND('Choix pédagogiques'!$C$3=3,$BO652=1),H652,""))</f>
        <v/>
      </c>
      <c r="AD652" s="22" t="str">
        <f>IF(AND(OR('Choix pédagogiques'!$C$3=1,'Choix pédagogiques'!$C$3=2),$BN652=1),I652,IF(AND('Choix pédagogiques'!$C$3=3,$BO652=1),I652,""))</f>
        <v/>
      </c>
      <c r="AE652" s="22" t="str">
        <f t="shared" si="438"/>
        <v/>
      </c>
      <c r="AF652" s="21" t="str">
        <f t="shared" si="439"/>
        <v>Apprenant 640</v>
      </c>
      <c r="AG652" s="22" t="str">
        <f t="shared" si="413"/>
        <v/>
      </c>
      <c r="AH652" s="22" t="str">
        <f t="shared" si="414"/>
        <v/>
      </c>
      <c r="AI652" s="22" t="str">
        <f t="shared" si="415"/>
        <v/>
      </c>
      <c r="AJ652" s="22" t="str">
        <f t="shared" si="440"/>
        <v/>
      </c>
      <c r="AK652" s="21" t="str">
        <f t="shared" si="441"/>
        <v>Apprenant 640 ou 640'</v>
      </c>
      <c r="AL652" s="22" t="str">
        <f t="shared" si="416"/>
        <v/>
      </c>
      <c r="AM652" s="22" t="str">
        <f t="shared" si="417"/>
        <v/>
      </c>
      <c r="AN652" s="22" t="str">
        <f t="shared" si="418"/>
        <v/>
      </c>
      <c r="AO652" s="22" t="str">
        <f t="shared" si="442"/>
        <v/>
      </c>
      <c r="AQ652" s="21" t="str">
        <f t="shared" si="443"/>
        <v>Apprenant 640</v>
      </c>
      <c r="AR652" s="49" t="str">
        <f>IF(AND('Choix pédagogiques'!$C$4&lt;&gt;"?",'Choix pédagogiques'!$C$5&lt;&gt;"?",W652&lt;&gt;""),(W652-'Choix pédagogiques'!$C$4)/('Choix pédagogiques'!$C$5-'Choix pédagogiques'!$C$4),"")</f>
        <v/>
      </c>
      <c r="AS652" s="49" t="str">
        <f>IF(AND('Choix pédagogiques'!$C$4&lt;&gt;"?",'Choix pédagogiques'!$C$5&lt;&gt;"?",X652&lt;&gt;""),(X652-'Choix pédagogiques'!$C$4)/('Choix pédagogiques'!$C$5-'Choix pédagogiques'!$C$4),"")</f>
        <v/>
      </c>
      <c r="AT652" s="49" t="str">
        <f>IF(AND('Choix pédagogiques'!$C$4&lt;&gt;"?",'Choix pédagogiques'!$C$5&lt;&gt;"?",Y652&lt;&gt;""),(Y652-'Choix pédagogiques'!$C$4)/('Choix pédagogiques'!$C$5-'Choix pédagogiques'!$C$4),"")</f>
        <v/>
      </c>
      <c r="AU652" s="22" t="str">
        <f t="shared" si="444"/>
        <v/>
      </c>
      <c r="AV652" s="21" t="str">
        <f t="shared" si="445"/>
        <v>Apprenant 640 ou 640'</v>
      </c>
      <c r="AW652" s="49" t="str">
        <f>IF(AND('Choix pédagogiques'!$C$4&lt;&gt;"?",'Choix pédagogiques'!$C$5&lt;&gt;"?",AB652&lt;&gt;""),(AB652-'Choix pédagogiques'!$C$4)/('Choix pédagogiques'!$C$5-'Choix pédagogiques'!$C$4),"")</f>
        <v/>
      </c>
      <c r="AX652" s="49" t="str">
        <f>IF(AND('Choix pédagogiques'!$C$4&lt;&gt;"?",'Choix pédagogiques'!$C$5&lt;&gt;"?",AC652&lt;&gt;""),(AC652-'Choix pédagogiques'!$C$4)/('Choix pédagogiques'!$C$5-'Choix pédagogiques'!$C$4),"")</f>
        <v/>
      </c>
      <c r="AY652" s="49" t="str">
        <f>IF(AND('Choix pédagogiques'!$C$4&lt;&gt;"?",'Choix pédagogiques'!$C$5&lt;&gt;"?",AD652&lt;&gt;""),(AD652-'Choix pédagogiques'!$C$4)/('Choix pédagogiques'!$C$5-'Choix pédagogiques'!$C$4),"")</f>
        <v/>
      </c>
      <c r="AZ652" s="22" t="str">
        <f t="shared" si="446"/>
        <v/>
      </c>
      <c r="BA652" s="21" t="str">
        <f t="shared" si="447"/>
        <v>Apprenant 640</v>
      </c>
      <c r="BB652" s="49" t="str">
        <f t="shared" si="419"/>
        <v/>
      </c>
      <c r="BC652" s="49" t="str">
        <f t="shared" si="420"/>
        <v/>
      </c>
      <c r="BD652" s="49" t="str">
        <f t="shared" si="421"/>
        <v/>
      </c>
      <c r="BE652" s="22" t="str">
        <f t="shared" si="448"/>
        <v/>
      </c>
      <c r="BF652" s="21" t="str">
        <f t="shared" si="449"/>
        <v>Apprenant 640 ou 640'</v>
      </c>
      <c r="BG652" s="49" t="str">
        <f t="shared" si="422"/>
        <v/>
      </c>
      <c r="BH652" s="49" t="str">
        <f t="shared" si="423"/>
        <v/>
      </c>
      <c r="BI652" s="49" t="str">
        <f t="shared" si="424"/>
        <v/>
      </c>
      <c r="BJ652" s="22" t="str">
        <f t="shared" si="450"/>
        <v/>
      </c>
      <c r="BL652" s="21"/>
      <c r="BM652" s="21" t="str">
        <f>IF(OR(COUNT(B652:D1651)=0,AND('Choix pédagogiques'!$C$3&lt;&gt;1,'Choix pédagogiques'!$C$3&lt;&gt;2)),"",IF(AND(OR('Choix pédagogiques'!$C$3=1,'Choix pédagogiques'!$C$3=2),$B652&lt;&gt;"",$C652&lt;&gt;"",$D652&lt;&gt;""),1,0))</f>
        <v/>
      </c>
      <c r="BN652" s="21" t="str">
        <f>IF(OR(COUNT(G652:I1651)=0,AND('Choix pédagogiques'!$C$3&lt;&gt;1,'Choix pédagogiques'!$C$3&lt;&gt;2)),"",IF(AND(OR('Choix pédagogiques'!$C$3=1,'Choix pédagogiques'!$C$3=2),AND($G652&lt;&gt;"",$H652&lt;&gt;"",$I652&lt;&gt;"")),1,0))</f>
        <v/>
      </c>
      <c r="BO652" s="21" t="str">
        <f>IF(OR(COUNT(B652:D1651)=0,COUNT(G652:I1651)=0,'Choix pédagogiques'!C$3&lt;&gt;3),"",IF(AND('Choix pédagogiques'!$C$3=3,$B652&lt;&gt;"",$C652&lt;&gt;"",$D652&lt;&gt;"",$G652&lt;&gt;"",$H652&lt;&gt;"",$I652&lt;&gt;""),1,0))</f>
        <v/>
      </c>
      <c r="BR652" s="21">
        <v>419</v>
      </c>
      <c r="BS652" s="21">
        <v>1575</v>
      </c>
      <c r="BT652"/>
    </row>
    <row r="653" spans="1:72" s="23" customFormat="1" ht="18" customHeight="1" x14ac:dyDescent="0.3">
      <c r="A653" s="35" t="s">
        <v>643</v>
      </c>
      <c r="B653" s="37"/>
      <c r="C653" s="37"/>
      <c r="D653" s="37"/>
      <c r="E653" s="37"/>
      <c r="F653" s="35" t="s">
        <v>1651</v>
      </c>
      <c r="G653" s="37"/>
      <c r="H653" s="37"/>
      <c r="I653" s="37"/>
      <c r="J653" s="37"/>
      <c r="K653" s="21" t="str">
        <f t="shared" si="425"/>
        <v>Apprenant 641</v>
      </c>
      <c r="L653" s="22" t="str">
        <f t="shared" si="426"/>
        <v/>
      </c>
      <c r="M653" s="22" t="str">
        <f t="shared" si="427"/>
        <v/>
      </c>
      <c r="N653" s="22" t="str">
        <f t="shared" si="428"/>
        <v/>
      </c>
      <c r="O653" s="22" t="str">
        <f t="shared" si="429"/>
        <v/>
      </c>
      <c r="P653" s="21" t="str">
        <f t="shared" si="430"/>
        <v>Apprenant 641 ou 641'</v>
      </c>
      <c r="Q653" s="22" t="str">
        <f t="shared" si="431"/>
        <v/>
      </c>
      <c r="R653" s="22" t="str">
        <f t="shared" si="432"/>
        <v/>
      </c>
      <c r="S653" s="22" t="str">
        <f t="shared" si="433"/>
        <v/>
      </c>
      <c r="T653" s="22" t="str">
        <f t="shared" si="434"/>
        <v/>
      </c>
      <c r="V653" s="21" t="str">
        <f t="shared" si="435"/>
        <v>Apprenant 641</v>
      </c>
      <c r="W653" s="22" t="str">
        <f>IF(AND(OR('Choix pédagogiques'!$C$3=1,'Choix pédagogiques'!$C$3=2),$BM653=1),B653,IF(AND('Choix pédagogiques'!$C$3=3,$BO653=1),B653,""))</f>
        <v/>
      </c>
      <c r="X653" s="22" t="str">
        <f>IF(AND(OR('Choix pédagogiques'!$C$3=1,'Choix pédagogiques'!$C$3=2),$BM653=1),C653,IF(AND('Choix pédagogiques'!$C$3=3,$BO653=1),C653,""))</f>
        <v/>
      </c>
      <c r="Y653" s="22" t="str">
        <f>IF(AND(OR('Choix pédagogiques'!$C$3=1,'Choix pédagogiques'!$C$3=2),$BM653=1),D653,IF(AND('Choix pédagogiques'!$C$3=3,$BO653=1),D653,""))</f>
        <v/>
      </c>
      <c r="Z653" s="22" t="str">
        <f t="shared" si="436"/>
        <v/>
      </c>
      <c r="AA653" s="21" t="str">
        <f t="shared" si="437"/>
        <v>Apprenant 641 ou 641'</v>
      </c>
      <c r="AB653" s="22" t="str">
        <f>IF(AND(OR('Choix pédagogiques'!$C$3=1,'Choix pédagogiques'!$C$3=2),$BN653=1),G653,IF(AND('Choix pédagogiques'!$C$3=3,$BO653=1),G653,""))</f>
        <v/>
      </c>
      <c r="AC653" s="22" t="str">
        <f>IF(AND(OR('Choix pédagogiques'!$C$3=1,'Choix pédagogiques'!$C$3=2),$BN653=1),H653,IF(AND('Choix pédagogiques'!$C$3=3,$BO653=1),H653,""))</f>
        <v/>
      </c>
      <c r="AD653" s="22" t="str">
        <f>IF(AND(OR('Choix pédagogiques'!$C$3=1,'Choix pédagogiques'!$C$3=2),$BN653=1),I653,IF(AND('Choix pédagogiques'!$C$3=3,$BO653=1),I653,""))</f>
        <v/>
      </c>
      <c r="AE653" s="22" t="str">
        <f t="shared" si="438"/>
        <v/>
      </c>
      <c r="AF653" s="21" t="str">
        <f t="shared" si="439"/>
        <v>Apprenant 641</v>
      </c>
      <c r="AG653" s="22" t="str">
        <f t="shared" ref="AG653:AG716" si="451">IF(AND($W653&lt;&gt;"",$X653&lt;&gt;""),$X653-$W653,"")</f>
        <v/>
      </c>
      <c r="AH653" s="22" t="str">
        <f t="shared" ref="AH653:AH716" si="452">IF(AND($W653&lt;&gt;"",$Y653&lt;&gt;""),$Y653-$W653,"")</f>
        <v/>
      </c>
      <c r="AI653" s="22" t="str">
        <f t="shared" ref="AI653:AI716" si="453">IF(AND($X653&lt;&gt;"",$Y653&lt;&gt;""),$Y653-$X653,"")</f>
        <v/>
      </c>
      <c r="AJ653" s="22" t="str">
        <f t="shared" si="440"/>
        <v/>
      </c>
      <c r="AK653" s="21" t="str">
        <f t="shared" si="441"/>
        <v>Apprenant 641 ou 641'</v>
      </c>
      <c r="AL653" s="22" t="str">
        <f t="shared" ref="AL653:AL716" si="454">IF(AND($AB653&lt;&gt;"",$AC653&lt;&gt;""),$AC653-$AB653,"")</f>
        <v/>
      </c>
      <c r="AM653" s="22" t="str">
        <f t="shared" ref="AM653:AM716" si="455">IF(AND($AB653&lt;&gt;"",$AD653&lt;&gt;""),$AD653-$AB653,"")</f>
        <v/>
      </c>
      <c r="AN653" s="22" t="str">
        <f t="shared" ref="AN653:AN716" si="456">IF(AND($AC653&lt;&gt;"",$AD653&lt;&gt;""),$AD653-$AC653,"")</f>
        <v/>
      </c>
      <c r="AO653" s="22" t="str">
        <f t="shared" si="442"/>
        <v/>
      </c>
      <c r="AQ653" s="21" t="str">
        <f t="shared" si="443"/>
        <v>Apprenant 641</v>
      </c>
      <c r="AR653" s="49" t="str">
        <f>IF(AND('Choix pédagogiques'!$C$4&lt;&gt;"?",'Choix pédagogiques'!$C$5&lt;&gt;"?",W653&lt;&gt;""),(W653-'Choix pédagogiques'!$C$4)/('Choix pédagogiques'!$C$5-'Choix pédagogiques'!$C$4),"")</f>
        <v/>
      </c>
      <c r="AS653" s="49" t="str">
        <f>IF(AND('Choix pédagogiques'!$C$4&lt;&gt;"?",'Choix pédagogiques'!$C$5&lt;&gt;"?",X653&lt;&gt;""),(X653-'Choix pédagogiques'!$C$4)/('Choix pédagogiques'!$C$5-'Choix pédagogiques'!$C$4),"")</f>
        <v/>
      </c>
      <c r="AT653" s="49" t="str">
        <f>IF(AND('Choix pédagogiques'!$C$4&lt;&gt;"?",'Choix pédagogiques'!$C$5&lt;&gt;"?",Y653&lt;&gt;""),(Y653-'Choix pédagogiques'!$C$4)/('Choix pédagogiques'!$C$5-'Choix pédagogiques'!$C$4),"")</f>
        <v/>
      </c>
      <c r="AU653" s="22" t="str">
        <f t="shared" si="444"/>
        <v/>
      </c>
      <c r="AV653" s="21" t="str">
        <f t="shared" si="445"/>
        <v>Apprenant 641 ou 641'</v>
      </c>
      <c r="AW653" s="49" t="str">
        <f>IF(AND('Choix pédagogiques'!$C$4&lt;&gt;"?",'Choix pédagogiques'!$C$5&lt;&gt;"?",AB653&lt;&gt;""),(AB653-'Choix pédagogiques'!$C$4)/('Choix pédagogiques'!$C$5-'Choix pédagogiques'!$C$4),"")</f>
        <v/>
      </c>
      <c r="AX653" s="49" t="str">
        <f>IF(AND('Choix pédagogiques'!$C$4&lt;&gt;"?",'Choix pédagogiques'!$C$5&lt;&gt;"?",AC653&lt;&gt;""),(AC653-'Choix pédagogiques'!$C$4)/('Choix pédagogiques'!$C$5-'Choix pédagogiques'!$C$4),"")</f>
        <v/>
      </c>
      <c r="AY653" s="49" t="str">
        <f>IF(AND('Choix pédagogiques'!$C$4&lt;&gt;"?",'Choix pédagogiques'!$C$5&lt;&gt;"?",AD653&lt;&gt;""),(AD653-'Choix pédagogiques'!$C$4)/('Choix pédagogiques'!$C$5-'Choix pédagogiques'!$C$4),"")</f>
        <v/>
      </c>
      <c r="AZ653" s="22" t="str">
        <f t="shared" si="446"/>
        <v/>
      </c>
      <c r="BA653" s="21" t="str">
        <f t="shared" si="447"/>
        <v>Apprenant 641</v>
      </c>
      <c r="BB653" s="49" t="str">
        <f t="shared" ref="BB653:BB716" si="457">IF(AND($AR653&lt;&gt;"",$AS653&lt;&gt;""),$AS653-$AR653,"")</f>
        <v/>
      </c>
      <c r="BC653" s="49" t="str">
        <f t="shared" ref="BC653:BC716" si="458">IF(AND($AR653&lt;&gt;"",$AT653&lt;&gt;""),$AT653-$AR653,"")</f>
        <v/>
      </c>
      <c r="BD653" s="49" t="str">
        <f t="shared" ref="BD653:BD716" si="459">IF(AND($AS653&lt;&gt;"",$AT653&lt;&gt;""),$AT653-$AS653,"")</f>
        <v/>
      </c>
      <c r="BE653" s="22" t="str">
        <f t="shared" si="448"/>
        <v/>
      </c>
      <c r="BF653" s="21" t="str">
        <f t="shared" si="449"/>
        <v>Apprenant 641 ou 641'</v>
      </c>
      <c r="BG653" s="49" t="str">
        <f t="shared" ref="BG653:BG716" si="460">IF(AND($AW653&lt;&gt;"",$AX653&lt;&gt;""),$AX653-$AW653,"")</f>
        <v/>
      </c>
      <c r="BH653" s="49" t="str">
        <f t="shared" ref="BH653:BH716" si="461">IF(AND($AW653&lt;&gt;"",$AY653&lt;&gt;""),$AY653-$AW653,"")</f>
        <v/>
      </c>
      <c r="BI653" s="49" t="str">
        <f t="shared" ref="BI653:BI716" si="462">IF(AND($AX653&lt;&gt;"",$AY653&lt;&gt;""),$AY653-$AX653,"")</f>
        <v/>
      </c>
      <c r="BJ653" s="22" t="str">
        <f t="shared" si="450"/>
        <v/>
      </c>
      <c r="BL653" s="21"/>
      <c r="BM653" s="21" t="str">
        <f>IF(OR(COUNT(B653:D1652)=0,AND('Choix pédagogiques'!$C$3&lt;&gt;1,'Choix pédagogiques'!$C$3&lt;&gt;2)),"",IF(AND(OR('Choix pédagogiques'!$C$3=1,'Choix pédagogiques'!$C$3=2),$B653&lt;&gt;"",$C653&lt;&gt;"",$D653&lt;&gt;""),1,0))</f>
        <v/>
      </c>
      <c r="BN653" s="21" t="str">
        <f>IF(OR(COUNT(G653:I1652)=0,AND('Choix pédagogiques'!$C$3&lt;&gt;1,'Choix pédagogiques'!$C$3&lt;&gt;2)),"",IF(AND(OR('Choix pédagogiques'!$C$3=1,'Choix pédagogiques'!$C$3=2),AND($G653&lt;&gt;"",$H653&lt;&gt;"",$I653&lt;&gt;"")),1,0))</f>
        <v/>
      </c>
      <c r="BO653" s="21" t="str">
        <f>IF(OR(COUNT(B653:D1652)=0,COUNT(G653:I1652)=0,'Choix pédagogiques'!C$3&lt;&gt;3),"",IF(AND('Choix pédagogiques'!$C$3=3,$B653&lt;&gt;"",$C653&lt;&gt;"",$D653&lt;&gt;"",$G653&lt;&gt;"",$H653&lt;&gt;"",$I653&lt;&gt;""),1,0))</f>
        <v/>
      </c>
      <c r="BR653" s="21">
        <v>184</v>
      </c>
      <c r="BS653" s="21">
        <v>1055</v>
      </c>
      <c r="BT653"/>
    </row>
    <row r="654" spans="1:72" s="23" customFormat="1" ht="18" customHeight="1" x14ac:dyDescent="0.3">
      <c r="A654" s="35" t="s">
        <v>644</v>
      </c>
      <c r="B654" s="37"/>
      <c r="C654" s="37"/>
      <c r="D654" s="37"/>
      <c r="E654" s="37"/>
      <c r="F654" s="35" t="s">
        <v>1652</v>
      </c>
      <c r="G654" s="37"/>
      <c r="H654" s="37"/>
      <c r="I654" s="37"/>
      <c r="J654" s="37"/>
      <c r="K654" s="21" t="str">
        <f t="shared" ref="K654:K717" si="463">IF($A654&lt;&gt;"",$A654,"")</f>
        <v>Apprenant 642</v>
      </c>
      <c r="L654" s="22" t="str">
        <f t="shared" ref="L654:L717" si="464">IF(AND($B654&lt;&gt;"",$C654&lt;&gt;""),$C654-$B654,"")</f>
        <v/>
      </c>
      <c r="M654" s="22" t="str">
        <f t="shared" ref="M654:M717" si="465">IF(AND($B654&lt;&gt;"",$D654&lt;&gt;""),$D654-$B654,"")</f>
        <v/>
      </c>
      <c r="N654" s="22" t="str">
        <f t="shared" ref="N654:N717" si="466">IF(AND($C654&lt;&gt;"",$D654&lt;&gt;""),$D654-$C654,"")</f>
        <v/>
      </c>
      <c r="O654" s="22" t="str">
        <f t="shared" ref="O654:O717" si="467">IF($E654&lt;&gt;"",$E654,"")</f>
        <v/>
      </c>
      <c r="P654" s="21" t="str">
        <f t="shared" ref="P654:P717" si="468">IF($F654&lt;&gt;"",$F654,"")</f>
        <v>Apprenant 642 ou 642'</v>
      </c>
      <c r="Q654" s="22" t="str">
        <f t="shared" ref="Q654:Q717" si="469">IF(AND($G654&lt;&gt;"",$H654&lt;&gt;""),$H654-$G654,"")</f>
        <v/>
      </c>
      <c r="R654" s="22" t="str">
        <f t="shared" ref="R654:R717" si="470">IF(AND($G654&lt;&gt;"",$I654&lt;&gt;""),$I654-$G654,"")</f>
        <v/>
      </c>
      <c r="S654" s="22" t="str">
        <f t="shared" ref="S654:S717" si="471">IF(AND($H654&lt;&gt;"",$I654&lt;&gt;""),$I654-$H654,"")</f>
        <v/>
      </c>
      <c r="T654" s="22" t="str">
        <f t="shared" ref="T654:T717" si="472">IF($J654&lt;&gt;"",$J654,"")</f>
        <v/>
      </c>
      <c r="V654" s="21" t="str">
        <f t="shared" ref="V654:V717" si="473">IF($A654&lt;&gt;"",$A654,"")</f>
        <v>Apprenant 642</v>
      </c>
      <c r="W654" s="22" t="str">
        <f>IF(AND(OR('Choix pédagogiques'!$C$3=1,'Choix pédagogiques'!$C$3=2),$BM654=1),B654,IF(AND('Choix pédagogiques'!$C$3=3,$BO654=1),B654,""))</f>
        <v/>
      </c>
      <c r="X654" s="22" t="str">
        <f>IF(AND(OR('Choix pédagogiques'!$C$3=1,'Choix pédagogiques'!$C$3=2),$BM654=1),C654,IF(AND('Choix pédagogiques'!$C$3=3,$BO654=1),C654,""))</f>
        <v/>
      </c>
      <c r="Y654" s="22" t="str">
        <f>IF(AND(OR('Choix pédagogiques'!$C$3=1,'Choix pédagogiques'!$C$3=2),$BM654=1),D654,IF(AND('Choix pédagogiques'!$C$3=3,$BO654=1),D654,""))</f>
        <v/>
      </c>
      <c r="Z654" s="22" t="str">
        <f t="shared" ref="Z654:Z717" si="474">IF($E654&lt;&gt;"",$E654,"")</f>
        <v/>
      </c>
      <c r="AA654" s="21" t="str">
        <f t="shared" ref="AA654:AA717" si="475">IF($F654&lt;&gt;"",$F654,"")</f>
        <v>Apprenant 642 ou 642'</v>
      </c>
      <c r="AB654" s="22" t="str">
        <f>IF(AND(OR('Choix pédagogiques'!$C$3=1,'Choix pédagogiques'!$C$3=2),$BN654=1),G654,IF(AND('Choix pédagogiques'!$C$3=3,$BO654=1),G654,""))</f>
        <v/>
      </c>
      <c r="AC654" s="22" t="str">
        <f>IF(AND(OR('Choix pédagogiques'!$C$3=1,'Choix pédagogiques'!$C$3=2),$BN654=1),H654,IF(AND('Choix pédagogiques'!$C$3=3,$BO654=1),H654,""))</f>
        <v/>
      </c>
      <c r="AD654" s="22" t="str">
        <f>IF(AND(OR('Choix pédagogiques'!$C$3=1,'Choix pédagogiques'!$C$3=2),$BN654=1),I654,IF(AND('Choix pédagogiques'!$C$3=3,$BO654=1),I654,""))</f>
        <v/>
      </c>
      <c r="AE654" s="22" t="str">
        <f t="shared" ref="AE654:AE717" si="476">IF($J654&lt;&gt;"",$J654,"")</f>
        <v/>
      </c>
      <c r="AF654" s="21" t="str">
        <f t="shared" ref="AF654:AF717" si="477">IF($A654&lt;&gt;"",$A654,"")</f>
        <v>Apprenant 642</v>
      </c>
      <c r="AG654" s="22" t="str">
        <f t="shared" si="451"/>
        <v/>
      </c>
      <c r="AH654" s="22" t="str">
        <f t="shared" si="452"/>
        <v/>
      </c>
      <c r="AI654" s="22" t="str">
        <f t="shared" si="453"/>
        <v/>
      </c>
      <c r="AJ654" s="22" t="str">
        <f t="shared" ref="AJ654:AJ717" si="478">IF($E654&lt;&gt;"",$E654,"")</f>
        <v/>
      </c>
      <c r="AK654" s="21" t="str">
        <f t="shared" ref="AK654:AK717" si="479">IF($F654&lt;&gt;"",$F654,"")</f>
        <v>Apprenant 642 ou 642'</v>
      </c>
      <c r="AL654" s="22" t="str">
        <f t="shared" si="454"/>
        <v/>
      </c>
      <c r="AM654" s="22" t="str">
        <f t="shared" si="455"/>
        <v/>
      </c>
      <c r="AN654" s="22" t="str">
        <f t="shared" si="456"/>
        <v/>
      </c>
      <c r="AO654" s="22" t="str">
        <f t="shared" ref="AO654:AO717" si="480">IF($J654&lt;&gt;"",$J654,"")</f>
        <v/>
      </c>
      <c r="AQ654" s="21" t="str">
        <f t="shared" ref="AQ654:AQ717" si="481">IF($A654&lt;&gt;"",$A654,"")</f>
        <v>Apprenant 642</v>
      </c>
      <c r="AR654" s="49" t="str">
        <f>IF(AND('Choix pédagogiques'!$C$4&lt;&gt;"?",'Choix pédagogiques'!$C$5&lt;&gt;"?",W654&lt;&gt;""),(W654-'Choix pédagogiques'!$C$4)/('Choix pédagogiques'!$C$5-'Choix pédagogiques'!$C$4),"")</f>
        <v/>
      </c>
      <c r="AS654" s="49" t="str">
        <f>IF(AND('Choix pédagogiques'!$C$4&lt;&gt;"?",'Choix pédagogiques'!$C$5&lt;&gt;"?",X654&lt;&gt;""),(X654-'Choix pédagogiques'!$C$4)/('Choix pédagogiques'!$C$5-'Choix pédagogiques'!$C$4),"")</f>
        <v/>
      </c>
      <c r="AT654" s="49" t="str">
        <f>IF(AND('Choix pédagogiques'!$C$4&lt;&gt;"?",'Choix pédagogiques'!$C$5&lt;&gt;"?",Y654&lt;&gt;""),(Y654-'Choix pédagogiques'!$C$4)/('Choix pédagogiques'!$C$5-'Choix pédagogiques'!$C$4),"")</f>
        <v/>
      </c>
      <c r="AU654" s="22" t="str">
        <f t="shared" ref="AU654:AU717" si="482">IF($E654&lt;&gt;"",$E654,"")</f>
        <v/>
      </c>
      <c r="AV654" s="21" t="str">
        <f t="shared" ref="AV654:AV717" si="483">IF($F654&lt;&gt;"",$F654,"")</f>
        <v>Apprenant 642 ou 642'</v>
      </c>
      <c r="AW654" s="49" t="str">
        <f>IF(AND('Choix pédagogiques'!$C$4&lt;&gt;"?",'Choix pédagogiques'!$C$5&lt;&gt;"?",AB654&lt;&gt;""),(AB654-'Choix pédagogiques'!$C$4)/('Choix pédagogiques'!$C$5-'Choix pédagogiques'!$C$4),"")</f>
        <v/>
      </c>
      <c r="AX654" s="49" t="str">
        <f>IF(AND('Choix pédagogiques'!$C$4&lt;&gt;"?",'Choix pédagogiques'!$C$5&lt;&gt;"?",AC654&lt;&gt;""),(AC654-'Choix pédagogiques'!$C$4)/('Choix pédagogiques'!$C$5-'Choix pédagogiques'!$C$4),"")</f>
        <v/>
      </c>
      <c r="AY654" s="49" t="str">
        <f>IF(AND('Choix pédagogiques'!$C$4&lt;&gt;"?",'Choix pédagogiques'!$C$5&lt;&gt;"?",AD654&lt;&gt;""),(AD654-'Choix pédagogiques'!$C$4)/('Choix pédagogiques'!$C$5-'Choix pédagogiques'!$C$4),"")</f>
        <v/>
      </c>
      <c r="AZ654" s="22" t="str">
        <f t="shared" ref="AZ654:AZ717" si="484">IF($J654&lt;&gt;"",$J654,"")</f>
        <v/>
      </c>
      <c r="BA654" s="21" t="str">
        <f t="shared" ref="BA654:BA717" si="485">IF($A654&lt;&gt;"",$A654,"")</f>
        <v>Apprenant 642</v>
      </c>
      <c r="BB654" s="49" t="str">
        <f t="shared" si="457"/>
        <v/>
      </c>
      <c r="BC654" s="49" t="str">
        <f t="shared" si="458"/>
        <v/>
      </c>
      <c r="BD654" s="49" t="str">
        <f t="shared" si="459"/>
        <v/>
      </c>
      <c r="BE654" s="22" t="str">
        <f t="shared" ref="BE654:BE717" si="486">IF($E654&lt;&gt;"",$E654,"")</f>
        <v/>
      </c>
      <c r="BF654" s="21" t="str">
        <f t="shared" ref="BF654:BF717" si="487">IF($F654&lt;&gt;"",$F654,"")</f>
        <v>Apprenant 642 ou 642'</v>
      </c>
      <c r="BG654" s="49" t="str">
        <f t="shared" si="460"/>
        <v/>
      </c>
      <c r="BH654" s="49" t="str">
        <f t="shared" si="461"/>
        <v/>
      </c>
      <c r="BI654" s="49" t="str">
        <f t="shared" si="462"/>
        <v/>
      </c>
      <c r="BJ654" s="22" t="str">
        <f t="shared" ref="BJ654:BJ717" si="488">IF($J654&lt;&gt;"",$J654,"")</f>
        <v/>
      </c>
      <c r="BL654" s="21"/>
      <c r="BM654" s="21" t="str">
        <f>IF(OR(COUNT(B654:D1653)=0,AND('Choix pédagogiques'!$C$3&lt;&gt;1,'Choix pédagogiques'!$C$3&lt;&gt;2)),"",IF(AND(OR('Choix pédagogiques'!$C$3=1,'Choix pédagogiques'!$C$3=2),$B654&lt;&gt;"",$C654&lt;&gt;"",$D654&lt;&gt;""),1,0))</f>
        <v/>
      </c>
      <c r="BN654" s="21" t="str">
        <f>IF(OR(COUNT(G654:I1653)=0,AND('Choix pédagogiques'!$C$3&lt;&gt;1,'Choix pédagogiques'!$C$3&lt;&gt;2)),"",IF(AND(OR('Choix pédagogiques'!$C$3=1,'Choix pédagogiques'!$C$3=2),AND($G654&lt;&gt;"",$H654&lt;&gt;"",$I654&lt;&gt;"")),1,0))</f>
        <v/>
      </c>
      <c r="BO654" s="21" t="str">
        <f>IF(OR(COUNT(B654:D1653)=0,COUNT(G654:I1653)=0,'Choix pédagogiques'!C$3&lt;&gt;3),"",IF(AND('Choix pédagogiques'!$C$3=3,$B654&lt;&gt;"",$C654&lt;&gt;"",$D654&lt;&gt;"",$G654&lt;&gt;"",$H654&lt;&gt;"",$I654&lt;&gt;""),1,0))</f>
        <v/>
      </c>
      <c r="BR654" s="21">
        <v>375</v>
      </c>
      <c r="BS654" s="21">
        <v>1392</v>
      </c>
      <c r="BT654"/>
    </row>
    <row r="655" spans="1:72" s="23" customFormat="1" ht="18" customHeight="1" x14ac:dyDescent="0.3">
      <c r="A655" s="35" t="s">
        <v>645</v>
      </c>
      <c r="B655" s="37"/>
      <c r="C655" s="37"/>
      <c r="D655" s="37"/>
      <c r="E655" s="37"/>
      <c r="F655" s="35" t="s">
        <v>1653</v>
      </c>
      <c r="G655" s="37"/>
      <c r="H655" s="37"/>
      <c r="I655" s="37"/>
      <c r="J655" s="37"/>
      <c r="K655" s="21" t="str">
        <f t="shared" si="463"/>
        <v>Apprenant 643</v>
      </c>
      <c r="L655" s="22" t="str">
        <f t="shared" si="464"/>
        <v/>
      </c>
      <c r="M655" s="22" t="str">
        <f t="shared" si="465"/>
        <v/>
      </c>
      <c r="N655" s="22" t="str">
        <f t="shared" si="466"/>
        <v/>
      </c>
      <c r="O655" s="22" t="str">
        <f t="shared" si="467"/>
        <v/>
      </c>
      <c r="P655" s="21" t="str">
        <f t="shared" si="468"/>
        <v>Apprenant 643 ou 643'</v>
      </c>
      <c r="Q655" s="22" t="str">
        <f t="shared" si="469"/>
        <v/>
      </c>
      <c r="R655" s="22" t="str">
        <f t="shared" si="470"/>
        <v/>
      </c>
      <c r="S655" s="22" t="str">
        <f t="shared" si="471"/>
        <v/>
      </c>
      <c r="T655" s="22" t="str">
        <f t="shared" si="472"/>
        <v/>
      </c>
      <c r="V655" s="21" t="str">
        <f t="shared" si="473"/>
        <v>Apprenant 643</v>
      </c>
      <c r="W655" s="22" t="str">
        <f>IF(AND(OR('Choix pédagogiques'!$C$3=1,'Choix pédagogiques'!$C$3=2),$BM655=1),B655,IF(AND('Choix pédagogiques'!$C$3=3,$BO655=1),B655,""))</f>
        <v/>
      </c>
      <c r="X655" s="22" t="str">
        <f>IF(AND(OR('Choix pédagogiques'!$C$3=1,'Choix pédagogiques'!$C$3=2),$BM655=1),C655,IF(AND('Choix pédagogiques'!$C$3=3,$BO655=1),C655,""))</f>
        <v/>
      </c>
      <c r="Y655" s="22" t="str">
        <f>IF(AND(OR('Choix pédagogiques'!$C$3=1,'Choix pédagogiques'!$C$3=2),$BM655=1),D655,IF(AND('Choix pédagogiques'!$C$3=3,$BO655=1),D655,""))</f>
        <v/>
      </c>
      <c r="Z655" s="22" t="str">
        <f t="shared" si="474"/>
        <v/>
      </c>
      <c r="AA655" s="21" t="str">
        <f t="shared" si="475"/>
        <v>Apprenant 643 ou 643'</v>
      </c>
      <c r="AB655" s="22" t="str">
        <f>IF(AND(OR('Choix pédagogiques'!$C$3=1,'Choix pédagogiques'!$C$3=2),$BN655=1),G655,IF(AND('Choix pédagogiques'!$C$3=3,$BO655=1),G655,""))</f>
        <v/>
      </c>
      <c r="AC655" s="22" t="str">
        <f>IF(AND(OR('Choix pédagogiques'!$C$3=1,'Choix pédagogiques'!$C$3=2),$BN655=1),H655,IF(AND('Choix pédagogiques'!$C$3=3,$BO655=1),H655,""))</f>
        <v/>
      </c>
      <c r="AD655" s="22" t="str">
        <f>IF(AND(OR('Choix pédagogiques'!$C$3=1,'Choix pédagogiques'!$C$3=2),$BN655=1),I655,IF(AND('Choix pédagogiques'!$C$3=3,$BO655=1),I655,""))</f>
        <v/>
      </c>
      <c r="AE655" s="22" t="str">
        <f t="shared" si="476"/>
        <v/>
      </c>
      <c r="AF655" s="21" t="str">
        <f t="shared" si="477"/>
        <v>Apprenant 643</v>
      </c>
      <c r="AG655" s="22" t="str">
        <f t="shared" si="451"/>
        <v/>
      </c>
      <c r="AH655" s="22" t="str">
        <f t="shared" si="452"/>
        <v/>
      </c>
      <c r="AI655" s="22" t="str">
        <f t="shared" si="453"/>
        <v/>
      </c>
      <c r="AJ655" s="22" t="str">
        <f t="shared" si="478"/>
        <v/>
      </c>
      <c r="AK655" s="21" t="str">
        <f t="shared" si="479"/>
        <v>Apprenant 643 ou 643'</v>
      </c>
      <c r="AL655" s="22" t="str">
        <f t="shared" si="454"/>
        <v/>
      </c>
      <c r="AM655" s="22" t="str">
        <f t="shared" si="455"/>
        <v/>
      </c>
      <c r="AN655" s="22" t="str">
        <f t="shared" si="456"/>
        <v/>
      </c>
      <c r="AO655" s="22" t="str">
        <f t="shared" si="480"/>
        <v/>
      </c>
      <c r="AQ655" s="21" t="str">
        <f t="shared" si="481"/>
        <v>Apprenant 643</v>
      </c>
      <c r="AR655" s="49" t="str">
        <f>IF(AND('Choix pédagogiques'!$C$4&lt;&gt;"?",'Choix pédagogiques'!$C$5&lt;&gt;"?",W655&lt;&gt;""),(W655-'Choix pédagogiques'!$C$4)/('Choix pédagogiques'!$C$5-'Choix pédagogiques'!$C$4),"")</f>
        <v/>
      </c>
      <c r="AS655" s="49" t="str">
        <f>IF(AND('Choix pédagogiques'!$C$4&lt;&gt;"?",'Choix pédagogiques'!$C$5&lt;&gt;"?",X655&lt;&gt;""),(X655-'Choix pédagogiques'!$C$4)/('Choix pédagogiques'!$C$5-'Choix pédagogiques'!$C$4),"")</f>
        <v/>
      </c>
      <c r="AT655" s="49" t="str">
        <f>IF(AND('Choix pédagogiques'!$C$4&lt;&gt;"?",'Choix pédagogiques'!$C$5&lt;&gt;"?",Y655&lt;&gt;""),(Y655-'Choix pédagogiques'!$C$4)/('Choix pédagogiques'!$C$5-'Choix pédagogiques'!$C$4),"")</f>
        <v/>
      </c>
      <c r="AU655" s="22" t="str">
        <f t="shared" si="482"/>
        <v/>
      </c>
      <c r="AV655" s="21" t="str">
        <f t="shared" si="483"/>
        <v>Apprenant 643 ou 643'</v>
      </c>
      <c r="AW655" s="49" t="str">
        <f>IF(AND('Choix pédagogiques'!$C$4&lt;&gt;"?",'Choix pédagogiques'!$C$5&lt;&gt;"?",AB655&lt;&gt;""),(AB655-'Choix pédagogiques'!$C$4)/('Choix pédagogiques'!$C$5-'Choix pédagogiques'!$C$4),"")</f>
        <v/>
      </c>
      <c r="AX655" s="49" t="str">
        <f>IF(AND('Choix pédagogiques'!$C$4&lt;&gt;"?",'Choix pédagogiques'!$C$5&lt;&gt;"?",AC655&lt;&gt;""),(AC655-'Choix pédagogiques'!$C$4)/('Choix pédagogiques'!$C$5-'Choix pédagogiques'!$C$4),"")</f>
        <v/>
      </c>
      <c r="AY655" s="49" t="str">
        <f>IF(AND('Choix pédagogiques'!$C$4&lt;&gt;"?",'Choix pédagogiques'!$C$5&lt;&gt;"?",AD655&lt;&gt;""),(AD655-'Choix pédagogiques'!$C$4)/('Choix pédagogiques'!$C$5-'Choix pédagogiques'!$C$4),"")</f>
        <v/>
      </c>
      <c r="AZ655" s="22" t="str">
        <f t="shared" si="484"/>
        <v/>
      </c>
      <c r="BA655" s="21" t="str">
        <f t="shared" si="485"/>
        <v>Apprenant 643</v>
      </c>
      <c r="BB655" s="49" t="str">
        <f t="shared" si="457"/>
        <v/>
      </c>
      <c r="BC655" s="49" t="str">
        <f t="shared" si="458"/>
        <v/>
      </c>
      <c r="BD655" s="49" t="str">
        <f t="shared" si="459"/>
        <v/>
      </c>
      <c r="BE655" s="22" t="str">
        <f t="shared" si="486"/>
        <v/>
      </c>
      <c r="BF655" s="21" t="str">
        <f t="shared" si="487"/>
        <v>Apprenant 643 ou 643'</v>
      </c>
      <c r="BG655" s="49" t="str">
        <f t="shared" si="460"/>
        <v/>
      </c>
      <c r="BH655" s="49" t="str">
        <f t="shared" si="461"/>
        <v/>
      </c>
      <c r="BI655" s="49" t="str">
        <f t="shared" si="462"/>
        <v/>
      </c>
      <c r="BJ655" s="22" t="str">
        <f t="shared" si="488"/>
        <v/>
      </c>
      <c r="BL655" s="21"/>
      <c r="BM655" s="21" t="str">
        <f>IF(OR(COUNT(B655:D1654)=0,AND('Choix pédagogiques'!$C$3&lt;&gt;1,'Choix pédagogiques'!$C$3&lt;&gt;2)),"",IF(AND(OR('Choix pédagogiques'!$C$3=1,'Choix pédagogiques'!$C$3=2),$B655&lt;&gt;"",$C655&lt;&gt;"",$D655&lt;&gt;""),1,0))</f>
        <v/>
      </c>
      <c r="BN655" s="21" t="str">
        <f>IF(OR(COUNT(G655:I1654)=0,AND('Choix pédagogiques'!$C$3&lt;&gt;1,'Choix pédagogiques'!$C$3&lt;&gt;2)),"",IF(AND(OR('Choix pédagogiques'!$C$3=1,'Choix pédagogiques'!$C$3=2),AND($G655&lt;&gt;"",$H655&lt;&gt;"",$I655&lt;&gt;"")),1,0))</f>
        <v/>
      </c>
      <c r="BO655" s="21" t="str">
        <f>IF(OR(COUNT(B655:D1654)=0,COUNT(G655:I1654)=0,'Choix pédagogiques'!C$3&lt;&gt;3),"",IF(AND('Choix pédagogiques'!$C$3=3,$B655&lt;&gt;"",$C655&lt;&gt;"",$D655&lt;&gt;"",$G655&lt;&gt;"",$H655&lt;&gt;"",$I655&lt;&gt;""),1,0))</f>
        <v/>
      </c>
      <c r="BR655" s="21">
        <v>316</v>
      </c>
      <c r="BS655" s="21">
        <v>1764</v>
      </c>
      <c r="BT655"/>
    </row>
    <row r="656" spans="1:72" s="23" customFormat="1" ht="18" customHeight="1" x14ac:dyDescent="0.3">
      <c r="A656" s="35" t="s">
        <v>646</v>
      </c>
      <c r="B656" s="37"/>
      <c r="C656" s="37"/>
      <c r="D656" s="37"/>
      <c r="E656" s="37"/>
      <c r="F656" s="35" t="s">
        <v>1654</v>
      </c>
      <c r="G656" s="37"/>
      <c r="H656" s="37"/>
      <c r="I656" s="37"/>
      <c r="J656" s="37"/>
      <c r="K656" s="21" t="str">
        <f t="shared" si="463"/>
        <v>Apprenant 644</v>
      </c>
      <c r="L656" s="22" t="str">
        <f t="shared" si="464"/>
        <v/>
      </c>
      <c r="M656" s="22" t="str">
        <f t="shared" si="465"/>
        <v/>
      </c>
      <c r="N656" s="22" t="str">
        <f t="shared" si="466"/>
        <v/>
      </c>
      <c r="O656" s="22" t="str">
        <f t="shared" si="467"/>
        <v/>
      </c>
      <c r="P656" s="21" t="str">
        <f t="shared" si="468"/>
        <v>Apprenant 644 ou 644'</v>
      </c>
      <c r="Q656" s="22" t="str">
        <f t="shared" si="469"/>
        <v/>
      </c>
      <c r="R656" s="22" t="str">
        <f t="shared" si="470"/>
        <v/>
      </c>
      <c r="S656" s="22" t="str">
        <f t="shared" si="471"/>
        <v/>
      </c>
      <c r="T656" s="22" t="str">
        <f t="shared" si="472"/>
        <v/>
      </c>
      <c r="V656" s="21" t="str">
        <f t="shared" si="473"/>
        <v>Apprenant 644</v>
      </c>
      <c r="W656" s="22" t="str">
        <f>IF(AND(OR('Choix pédagogiques'!$C$3=1,'Choix pédagogiques'!$C$3=2),$BM656=1),B656,IF(AND('Choix pédagogiques'!$C$3=3,$BO656=1),B656,""))</f>
        <v/>
      </c>
      <c r="X656" s="22" t="str">
        <f>IF(AND(OR('Choix pédagogiques'!$C$3=1,'Choix pédagogiques'!$C$3=2),$BM656=1),C656,IF(AND('Choix pédagogiques'!$C$3=3,$BO656=1),C656,""))</f>
        <v/>
      </c>
      <c r="Y656" s="22" t="str">
        <f>IF(AND(OR('Choix pédagogiques'!$C$3=1,'Choix pédagogiques'!$C$3=2),$BM656=1),D656,IF(AND('Choix pédagogiques'!$C$3=3,$BO656=1),D656,""))</f>
        <v/>
      </c>
      <c r="Z656" s="22" t="str">
        <f t="shared" si="474"/>
        <v/>
      </c>
      <c r="AA656" s="21" t="str">
        <f t="shared" si="475"/>
        <v>Apprenant 644 ou 644'</v>
      </c>
      <c r="AB656" s="22" t="str">
        <f>IF(AND(OR('Choix pédagogiques'!$C$3=1,'Choix pédagogiques'!$C$3=2),$BN656=1),G656,IF(AND('Choix pédagogiques'!$C$3=3,$BO656=1),G656,""))</f>
        <v/>
      </c>
      <c r="AC656" s="22" t="str">
        <f>IF(AND(OR('Choix pédagogiques'!$C$3=1,'Choix pédagogiques'!$C$3=2),$BN656=1),H656,IF(AND('Choix pédagogiques'!$C$3=3,$BO656=1),H656,""))</f>
        <v/>
      </c>
      <c r="AD656" s="22" t="str">
        <f>IF(AND(OR('Choix pédagogiques'!$C$3=1,'Choix pédagogiques'!$C$3=2),$BN656=1),I656,IF(AND('Choix pédagogiques'!$C$3=3,$BO656=1),I656,""))</f>
        <v/>
      </c>
      <c r="AE656" s="22" t="str">
        <f t="shared" si="476"/>
        <v/>
      </c>
      <c r="AF656" s="21" t="str">
        <f t="shared" si="477"/>
        <v>Apprenant 644</v>
      </c>
      <c r="AG656" s="22" t="str">
        <f t="shared" si="451"/>
        <v/>
      </c>
      <c r="AH656" s="22" t="str">
        <f t="shared" si="452"/>
        <v/>
      </c>
      <c r="AI656" s="22" t="str">
        <f t="shared" si="453"/>
        <v/>
      </c>
      <c r="AJ656" s="22" t="str">
        <f t="shared" si="478"/>
        <v/>
      </c>
      <c r="AK656" s="21" t="str">
        <f t="shared" si="479"/>
        <v>Apprenant 644 ou 644'</v>
      </c>
      <c r="AL656" s="22" t="str">
        <f t="shared" si="454"/>
        <v/>
      </c>
      <c r="AM656" s="22" t="str">
        <f t="shared" si="455"/>
        <v/>
      </c>
      <c r="AN656" s="22" t="str">
        <f t="shared" si="456"/>
        <v/>
      </c>
      <c r="AO656" s="22" t="str">
        <f t="shared" si="480"/>
        <v/>
      </c>
      <c r="AQ656" s="21" t="str">
        <f t="shared" si="481"/>
        <v>Apprenant 644</v>
      </c>
      <c r="AR656" s="49" t="str">
        <f>IF(AND('Choix pédagogiques'!$C$4&lt;&gt;"?",'Choix pédagogiques'!$C$5&lt;&gt;"?",W656&lt;&gt;""),(W656-'Choix pédagogiques'!$C$4)/('Choix pédagogiques'!$C$5-'Choix pédagogiques'!$C$4),"")</f>
        <v/>
      </c>
      <c r="AS656" s="49" t="str">
        <f>IF(AND('Choix pédagogiques'!$C$4&lt;&gt;"?",'Choix pédagogiques'!$C$5&lt;&gt;"?",X656&lt;&gt;""),(X656-'Choix pédagogiques'!$C$4)/('Choix pédagogiques'!$C$5-'Choix pédagogiques'!$C$4),"")</f>
        <v/>
      </c>
      <c r="AT656" s="49" t="str">
        <f>IF(AND('Choix pédagogiques'!$C$4&lt;&gt;"?",'Choix pédagogiques'!$C$5&lt;&gt;"?",Y656&lt;&gt;""),(Y656-'Choix pédagogiques'!$C$4)/('Choix pédagogiques'!$C$5-'Choix pédagogiques'!$C$4),"")</f>
        <v/>
      </c>
      <c r="AU656" s="22" t="str">
        <f t="shared" si="482"/>
        <v/>
      </c>
      <c r="AV656" s="21" t="str">
        <f t="shared" si="483"/>
        <v>Apprenant 644 ou 644'</v>
      </c>
      <c r="AW656" s="49" t="str">
        <f>IF(AND('Choix pédagogiques'!$C$4&lt;&gt;"?",'Choix pédagogiques'!$C$5&lt;&gt;"?",AB656&lt;&gt;""),(AB656-'Choix pédagogiques'!$C$4)/('Choix pédagogiques'!$C$5-'Choix pédagogiques'!$C$4),"")</f>
        <v/>
      </c>
      <c r="AX656" s="49" t="str">
        <f>IF(AND('Choix pédagogiques'!$C$4&lt;&gt;"?",'Choix pédagogiques'!$C$5&lt;&gt;"?",AC656&lt;&gt;""),(AC656-'Choix pédagogiques'!$C$4)/('Choix pédagogiques'!$C$5-'Choix pédagogiques'!$C$4),"")</f>
        <v/>
      </c>
      <c r="AY656" s="49" t="str">
        <f>IF(AND('Choix pédagogiques'!$C$4&lt;&gt;"?",'Choix pédagogiques'!$C$5&lt;&gt;"?",AD656&lt;&gt;""),(AD656-'Choix pédagogiques'!$C$4)/('Choix pédagogiques'!$C$5-'Choix pédagogiques'!$C$4),"")</f>
        <v/>
      </c>
      <c r="AZ656" s="22" t="str">
        <f t="shared" si="484"/>
        <v/>
      </c>
      <c r="BA656" s="21" t="str">
        <f t="shared" si="485"/>
        <v>Apprenant 644</v>
      </c>
      <c r="BB656" s="49" t="str">
        <f t="shared" si="457"/>
        <v/>
      </c>
      <c r="BC656" s="49" t="str">
        <f t="shared" si="458"/>
        <v/>
      </c>
      <c r="BD656" s="49" t="str">
        <f t="shared" si="459"/>
        <v/>
      </c>
      <c r="BE656" s="22" t="str">
        <f t="shared" si="486"/>
        <v/>
      </c>
      <c r="BF656" s="21" t="str">
        <f t="shared" si="487"/>
        <v>Apprenant 644 ou 644'</v>
      </c>
      <c r="BG656" s="49" t="str">
        <f t="shared" si="460"/>
        <v/>
      </c>
      <c r="BH656" s="49" t="str">
        <f t="shared" si="461"/>
        <v/>
      </c>
      <c r="BI656" s="49" t="str">
        <f t="shared" si="462"/>
        <v/>
      </c>
      <c r="BJ656" s="22" t="str">
        <f t="shared" si="488"/>
        <v/>
      </c>
      <c r="BL656" s="21"/>
      <c r="BM656" s="21" t="str">
        <f>IF(OR(COUNT(B656:D1655)=0,AND('Choix pédagogiques'!$C$3&lt;&gt;1,'Choix pédagogiques'!$C$3&lt;&gt;2)),"",IF(AND(OR('Choix pédagogiques'!$C$3=1,'Choix pédagogiques'!$C$3=2),$B656&lt;&gt;"",$C656&lt;&gt;"",$D656&lt;&gt;""),1,0))</f>
        <v/>
      </c>
      <c r="BN656" s="21" t="str">
        <f>IF(OR(COUNT(G656:I1655)=0,AND('Choix pédagogiques'!$C$3&lt;&gt;1,'Choix pédagogiques'!$C$3&lt;&gt;2)),"",IF(AND(OR('Choix pédagogiques'!$C$3=1,'Choix pédagogiques'!$C$3=2),AND($G656&lt;&gt;"",$H656&lt;&gt;"",$I656&lt;&gt;"")),1,0))</f>
        <v/>
      </c>
      <c r="BO656" s="21" t="str">
        <f>IF(OR(COUNT(B656:D1655)=0,COUNT(G656:I1655)=0,'Choix pédagogiques'!C$3&lt;&gt;3),"",IF(AND('Choix pédagogiques'!$C$3=3,$B656&lt;&gt;"",$C656&lt;&gt;"",$D656&lt;&gt;"",$G656&lt;&gt;"",$H656&lt;&gt;"",$I656&lt;&gt;""),1,0))</f>
        <v/>
      </c>
      <c r="BR656" s="21">
        <v>381</v>
      </c>
      <c r="BS656" s="21">
        <v>1327</v>
      </c>
      <c r="BT656"/>
    </row>
    <row r="657" spans="1:72" s="23" customFormat="1" ht="18" customHeight="1" x14ac:dyDescent="0.3">
      <c r="A657" s="35" t="s">
        <v>647</v>
      </c>
      <c r="B657" s="37"/>
      <c r="C657" s="37"/>
      <c r="D657" s="37"/>
      <c r="E657" s="37"/>
      <c r="F657" s="35" t="s">
        <v>1655</v>
      </c>
      <c r="G657" s="37"/>
      <c r="H657" s="37"/>
      <c r="I657" s="37"/>
      <c r="J657" s="37"/>
      <c r="K657" s="21" t="str">
        <f t="shared" si="463"/>
        <v>Apprenant 645</v>
      </c>
      <c r="L657" s="22" t="str">
        <f t="shared" si="464"/>
        <v/>
      </c>
      <c r="M657" s="22" t="str">
        <f t="shared" si="465"/>
        <v/>
      </c>
      <c r="N657" s="22" t="str">
        <f t="shared" si="466"/>
        <v/>
      </c>
      <c r="O657" s="22" t="str">
        <f t="shared" si="467"/>
        <v/>
      </c>
      <c r="P657" s="21" t="str">
        <f t="shared" si="468"/>
        <v>Apprenant 645 ou 645'</v>
      </c>
      <c r="Q657" s="22" t="str">
        <f t="shared" si="469"/>
        <v/>
      </c>
      <c r="R657" s="22" t="str">
        <f t="shared" si="470"/>
        <v/>
      </c>
      <c r="S657" s="22" t="str">
        <f t="shared" si="471"/>
        <v/>
      </c>
      <c r="T657" s="22" t="str">
        <f t="shared" si="472"/>
        <v/>
      </c>
      <c r="V657" s="21" t="str">
        <f t="shared" si="473"/>
        <v>Apprenant 645</v>
      </c>
      <c r="W657" s="22" t="str">
        <f>IF(AND(OR('Choix pédagogiques'!$C$3=1,'Choix pédagogiques'!$C$3=2),$BM657=1),B657,IF(AND('Choix pédagogiques'!$C$3=3,$BO657=1),B657,""))</f>
        <v/>
      </c>
      <c r="X657" s="22" t="str">
        <f>IF(AND(OR('Choix pédagogiques'!$C$3=1,'Choix pédagogiques'!$C$3=2),$BM657=1),C657,IF(AND('Choix pédagogiques'!$C$3=3,$BO657=1),C657,""))</f>
        <v/>
      </c>
      <c r="Y657" s="22" t="str">
        <f>IF(AND(OR('Choix pédagogiques'!$C$3=1,'Choix pédagogiques'!$C$3=2),$BM657=1),D657,IF(AND('Choix pédagogiques'!$C$3=3,$BO657=1),D657,""))</f>
        <v/>
      </c>
      <c r="Z657" s="22" t="str">
        <f t="shared" si="474"/>
        <v/>
      </c>
      <c r="AA657" s="21" t="str">
        <f t="shared" si="475"/>
        <v>Apprenant 645 ou 645'</v>
      </c>
      <c r="AB657" s="22" t="str">
        <f>IF(AND(OR('Choix pédagogiques'!$C$3=1,'Choix pédagogiques'!$C$3=2),$BN657=1),G657,IF(AND('Choix pédagogiques'!$C$3=3,$BO657=1),G657,""))</f>
        <v/>
      </c>
      <c r="AC657" s="22" t="str">
        <f>IF(AND(OR('Choix pédagogiques'!$C$3=1,'Choix pédagogiques'!$C$3=2),$BN657=1),H657,IF(AND('Choix pédagogiques'!$C$3=3,$BO657=1),H657,""))</f>
        <v/>
      </c>
      <c r="AD657" s="22" t="str">
        <f>IF(AND(OR('Choix pédagogiques'!$C$3=1,'Choix pédagogiques'!$C$3=2),$BN657=1),I657,IF(AND('Choix pédagogiques'!$C$3=3,$BO657=1),I657,""))</f>
        <v/>
      </c>
      <c r="AE657" s="22" t="str">
        <f t="shared" si="476"/>
        <v/>
      </c>
      <c r="AF657" s="21" t="str">
        <f t="shared" si="477"/>
        <v>Apprenant 645</v>
      </c>
      <c r="AG657" s="22" t="str">
        <f t="shared" si="451"/>
        <v/>
      </c>
      <c r="AH657" s="22" t="str">
        <f t="shared" si="452"/>
        <v/>
      </c>
      <c r="AI657" s="22" t="str">
        <f t="shared" si="453"/>
        <v/>
      </c>
      <c r="AJ657" s="22" t="str">
        <f t="shared" si="478"/>
        <v/>
      </c>
      <c r="AK657" s="21" t="str">
        <f t="shared" si="479"/>
        <v>Apprenant 645 ou 645'</v>
      </c>
      <c r="AL657" s="22" t="str">
        <f t="shared" si="454"/>
        <v/>
      </c>
      <c r="AM657" s="22" t="str">
        <f t="shared" si="455"/>
        <v/>
      </c>
      <c r="AN657" s="22" t="str">
        <f t="shared" si="456"/>
        <v/>
      </c>
      <c r="AO657" s="22" t="str">
        <f t="shared" si="480"/>
        <v/>
      </c>
      <c r="AQ657" s="21" t="str">
        <f t="shared" si="481"/>
        <v>Apprenant 645</v>
      </c>
      <c r="AR657" s="49" t="str">
        <f>IF(AND('Choix pédagogiques'!$C$4&lt;&gt;"?",'Choix pédagogiques'!$C$5&lt;&gt;"?",W657&lt;&gt;""),(W657-'Choix pédagogiques'!$C$4)/('Choix pédagogiques'!$C$5-'Choix pédagogiques'!$C$4),"")</f>
        <v/>
      </c>
      <c r="AS657" s="49" t="str">
        <f>IF(AND('Choix pédagogiques'!$C$4&lt;&gt;"?",'Choix pédagogiques'!$C$5&lt;&gt;"?",X657&lt;&gt;""),(X657-'Choix pédagogiques'!$C$4)/('Choix pédagogiques'!$C$5-'Choix pédagogiques'!$C$4),"")</f>
        <v/>
      </c>
      <c r="AT657" s="49" t="str">
        <f>IF(AND('Choix pédagogiques'!$C$4&lt;&gt;"?",'Choix pédagogiques'!$C$5&lt;&gt;"?",Y657&lt;&gt;""),(Y657-'Choix pédagogiques'!$C$4)/('Choix pédagogiques'!$C$5-'Choix pédagogiques'!$C$4),"")</f>
        <v/>
      </c>
      <c r="AU657" s="22" t="str">
        <f t="shared" si="482"/>
        <v/>
      </c>
      <c r="AV657" s="21" t="str">
        <f t="shared" si="483"/>
        <v>Apprenant 645 ou 645'</v>
      </c>
      <c r="AW657" s="49" t="str">
        <f>IF(AND('Choix pédagogiques'!$C$4&lt;&gt;"?",'Choix pédagogiques'!$C$5&lt;&gt;"?",AB657&lt;&gt;""),(AB657-'Choix pédagogiques'!$C$4)/('Choix pédagogiques'!$C$5-'Choix pédagogiques'!$C$4),"")</f>
        <v/>
      </c>
      <c r="AX657" s="49" t="str">
        <f>IF(AND('Choix pédagogiques'!$C$4&lt;&gt;"?",'Choix pédagogiques'!$C$5&lt;&gt;"?",AC657&lt;&gt;""),(AC657-'Choix pédagogiques'!$C$4)/('Choix pédagogiques'!$C$5-'Choix pédagogiques'!$C$4),"")</f>
        <v/>
      </c>
      <c r="AY657" s="49" t="str">
        <f>IF(AND('Choix pédagogiques'!$C$4&lt;&gt;"?",'Choix pédagogiques'!$C$5&lt;&gt;"?",AD657&lt;&gt;""),(AD657-'Choix pédagogiques'!$C$4)/('Choix pédagogiques'!$C$5-'Choix pédagogiques'!$C$4),"")</f>
        <v/>
      </c>
      <c r="AZ657" s="22" t="str">
        <f t="shared" si="484"/>
        <v/>
      </c>
      <c r="BA657" s="21" t="str">
        <f t="shared" si="485"/>
        <v>Apprenant 645</v>
      </c>
      <c r="BB657" s="49" t="str">
        <f t="shared" si="457"/>
        <v/>
      </c>
      <c r="BC657" s="49" t="str">
        <f t="shared" si="458"/>
        <v/>
      </c>
      <c r="BD657" s="49" t="str">
        <f t="shared" si="459"/>
        <v/>
      </c>
      <c r="BE657" s="22" t="str">
        <f t="shared" si="486"/>
        <v/>
      </c>
      <c r="BF657" s="21" t="str">
        <f t="shared" si="487"/>
        <v>Apprenant 645 ou 645'</v>
      </c>
      <c r="BG657" s="49" t="str">
        <f t="shared" si="460"/>
        <v/>
      </c>
      <c r="BH657" s="49" t="str">
        <f t="shared" si="461"/>
        <v/>
      </c>
      <c r="BI657" s="49" t="str">
        <f t="shared" si="462"/>
        <v/>
      </c>
      <c r="BJ657" s="22" t="str">
        <f t="shared" si="488"/>
        <v/>
      </c>
      <c r="BL657" s="21"/>
      <c r="BM657" s="21" t="str">
        <f>IF(OR(COUNT(B657:D1656)=0,AND('Choix pédagogiques'!$C$3&lt;&gt;1,'Choix pédagogiques'!$C$3&lt;&gt;2)),"",IF(AND(OR('Choix pédagogiques'!$C$3=1,'Choix pédagogiques'!$C$3=2),$B657&lt;&gt;"",$C657&lt;&gt;"",$D657&lt;&gt;""),1,0))</f>
        <v/>
      </c>
      <c r="BN657" s="21" t="str">
        <f>IF(OR(COUNT(G657:I1656)=0,AND('Choix pédagogiques'!$C$3&lt;&gt;1,'Choix pédagogiques'!$C$3&lt;&gt;2)),"",IF(AND(OR('Choix pédagogiques'!$C$3=1,'Choix pédagogiques'!$C$3=2),AND($G657&lt;&gt;"",$H657&lt;&gt;"",$I657&lt;&gt;"")),1,0))</f>
        <v/>
      </c>
      <c r="BO657" s="21" t="str">
        <f>IF(OR(COUNT(B657:D1656)=0,COUNT(G657:I1656)=0,'Choix pédagogiques'!C$3&lt;&gt;3),"",IF(AND('Choix pédagogiques'!$C$3=3,$B657&lt;&gt;"",$C657&lt;&gt;"",$D657&lt;&gt;"",$G657&lt;&gt;"",$H657&lt;&gt;"",$I657&lt;&gt;""),1,0))</f>
        <v/>
      </c>
      <c r="BR657" s="21">
        <v>373</v>
      </c>
      <c r="BS657" s="21">
        <v>1124</v>
      </c>
      <c r="BT657"/>
    </row>
    <row r="658" spans="1:72" s="23" customFormat="1" ht="18" customHeight="1" x14ac:dyDescent="0.3">
      <c r="A658" s="35" t="s">
        <v>648</v>
      </c>
      <c r="B658" s="37"/>
      <c r="C658" s="37"/>
      <c r="D658" s="37"/>
      <c r="E658" s="37"/>
      <c r="F658" s="35" t="s">
        <v>1656</v>
      </c>
      <c r="G658" s="37"/>
      <c r="H658" s="37"/>
      <c r="I658" s="37"/>
      <c r="J658" s="37"/>
      <c r="K658" s="21" t="str">
        <f t="shared" si="463"/>
        <v>Apprenant 646</v>
      </c>
      <c r="L658" s="22" t="str">
        <f t="shared" si="464"/>
        <v/>
      </c>
      <c r="M658" s="22" t="str">
        <f t="shared" si="465"/>
        <v/>
      </c>
      <c r="N658" s="22" t="str">
        <f t="shared" si="466"/>
        <v/>
      </c>
      <c r="O658" s="22" t="str">
        <f t="shared" si="467"/>
        <v/>
      </c>
      <c r="P658" s="21" t="str">
        <f t="shared" si="468"/>
        <v>Apprenant 646 ou 646'</v>
      </c>
      <c r="Q658" s="22" t="str">
        <f t="shared" si="469"/>
        <v/>
      </c>
      <c r="R658" s="22" t="str">
        <f t="shared" si="470"/>
        <v/>
      </c>
      <c r="S658" s="22" t="str">
        <f t="shared" si="471"/>
        <v/>
      </c>
      <c r="T658" s="22" t="str">
        <f t="shared" si="472"/>
        <v/>
      </c>
      <c r="V658" s="21" t="str">
        <f t="shared" si="473"/>
        <v>Apprenant 646</v>
      </c>
      <c r="W658" s="22" t="str">
        <f>IF(AND(OR('Choix pédagogiques'!$C$3=1,'Choix pédagogiques'!$C$3=2),$BM658=1),B658,IF(AND('Choix pédagogiques'!$C$3=3,$BO658=1),B658,""))</f>
        <v/>
      </c>
      <c r="X658" s="22" t="str">
        <f>IF(AND(OR('Choix pédagogiques'!$C$3=1,'Choix pédagogiques'!$C$3=2),$BM658=1),C658,IF(AND('Choix pédagogiques'!$C$3=3,$BO658=1),C658,""))</f>
        <v/>
      </c>
      <c r="Y658" s="22" t="str">
        <f>IF(AND(OR('Choix pédagogiques'!$C$3=1,'Choix pédagogiques'!$C$3=2),$BM658=1),D658,IF(AND('Choix pédagogiques'!$C$3=3,$BO658=1),D658,""))</f>
        <v/>
      </c>
      <c r="Z658" s="22" t="str">
        <f t="shared" si="474"/>
        <v/>
      </c>
      <c r="AA658" s="21" t="str">
        <f t="shared" si="475"/>
        <v>Apprenant 646 ou 646'</v>
      </c>
      <c r="AB658" s="22" t="str">
        <f>IF(AND(OR('Choix pédagogiques'!$C$3=1,'Choix pédagogiques'!$C$3=2),$BN658=1),G658,IF(AND('Choix pédagogiques'!$C$3=3,$BO658=1),G658,""))</f>
        <v/>
      </c>
      <c r="AC658" s="22" t="str">
        <f>IF(AND(OR('Choix pédagogiques'!$C$3=1,'Choix pédagogiques'!$C$3=2),$BN658=1),H658,IF(AND('Choix pédagogiques'!$C$3=3,$BO658=1),H658,""))</f>
        <v/>
      </c>
      <c r="AD658" s="22" t="str">
        <f>IF(AND(OR('Choix pédagogiques'!$C$3=1,'Choix pédagogiques'!$C$3=2),$BN658=1),I658,IF(AND('Choix pédagogiques'!$C$3=3,$BO658=1),I658,""))</f>
        <v/>
      </c>
      <c r="AE658" s="22" t="str">
        <f t="shared" si="476"/>
        <v/>
      </c>
      <c r="AF658" s="21" t="str">
        <f t="shared" si="477"/>
        <v>Apprenant 646</v>
      </c>
      <c r="AG658" s="22" t="str">
        <f t="shared" si="451"/>
        <v/>
      </c>
      <c r="AH658" s="22" t="str">
        <f t="shared" si="452"/>
        <v/>
      </c>
      <c r="AI658" s="22" t="str">
        <f t="shared" si="453"/>
        <v/>
      </c>
      <c r="AJ658" s="22" t="str">
        <f t="shared" si="478"/>
        <v/>
      </c>
      <c r="AK658" s="21" t="str">
        <f t="shared" si="479"/>
        <v>Apprenant 646 ou 646'</v>
      </c>
      <c r="AL658" s="22" t="str">
        <f t="shared" si="454"/>
        <v/>
      </c>
      <c r="AM658" s="22" t="str">
        <f t="shared" si="455"/>
        <v/>
      </c>
      <c r="AN658" s="22" t="str">
        <f t="shared" si="456"/>
        <v/>
      </c>
      <c r="AO658" s="22" t="str">
        <f t="shared" si="480"/>
        <v/>
      </c>
      <c r="AQ658" s="21" t="str">
        <f t="shared" si="481"/>
        <v>Apprenant 646</v>
      </c>
      <c r="AR658" s="49" t="str">
        <f>IF(AND('Choix pédagogiques'!$C$4&lt;&gt;"?",'Choix pédagogiques'!$C$5&lt;&gt;"?",W658&lt;&gt;""),(W658-'Choix pédagogiques'!$C$4)/('Choix pédagogiques'!$C$5-'Choix pédagogiques'!$C$4),"")</f>
        <v/>
      </c>
      <c r="AS658" s="49" t="str">
        <f>IF(AND('Choix pédagogiques'!$C$4&lt;&gt;"?",'Choix pédagogiques'!$C$5&lt;&gt;"?",X658&lt;&gt;""),(X658-'Choix pédagogiques'!$C$4)/('Choix pédagogiques'!$C$5-'Choix pédagogiques'!$C$4),"")</f>
        <v/>
      </c>
      <c r="AT658" s="49" t="str">
        <f>IF(AND('Choix pédagogiques'!$C$4&lt;&gt;"?",'Choix pédagogiques'!$C$5&lt;&gt;"?",Y658&lt;&gt;""),(Y658-'Choix pédagogiques'!$C$4)/('Choix pédagogiques'!$C$5-'Choix pédagogiques'!$C$4),"")</f>
        <v/>
      </c>
      <c r="AU658" s="22" t="str">
        <f t="shared" si="482"/>
        <v/>
      </c>
      <c r="AV658" s="21" t="str">
        <f t="shared" si="483"/>
        <v>Apprenant 646 ou 646'</v>
      </c>
      <c r="AW658" s="49" t="str">
        <f>IF(AND('Choix pédagogiques'!$C$4&lt;&gt;"?",'Choix pédagogiques'!$C$5&lt;&gt;"?",AB658&lt;&gt;""),(AB658-'Choix pédagogiques'!$C$4)/('Choix pédagogiques'!$C$5-'Choix pédagogiques'!$C$4),"")</f>
        <v/>
      </c>
      <c r="AX658" s="49" t="str">
        <f>IF(AND('Choix pédagogiques'!$C$4&lt;&gt;"?",'Choix pédagogiques'!$C$5&lt;&gt;"?",AC658&lt;&gt;""),(AC658-'Choix pédagogiques'!$C$4)/('Choix pédagogiques'!$C$5-'Choix pédagogiques'!$C$4),"")</f>
        <v/>
      </c>
      <c r="AY658" s="49" t="str">
        <f>IF(AND('Choix pédagogiques'!$C$4&lt;&gt;"?",'Choix pédagogiques'!$C$5&lt;&gt;"?",AD658&lt;&gt;""),(AD658-'Choix pédagogiques'!$C$4)/('Choix pédagogiques'!$C$5-'Choix pédagogiques'!$C$4),"")</f>
        <v/>
      </c>
      <c r="AZ658" s="22" t="str">
        <f t="shared" si="484"/>
        <v/>
      </c>
      <c r="BA658" s="21" t="str">
        <f t="shared" si="485"/>
        <v>Apprenant 646</v>
      </c>
      <c r="BB658" s="49" t="str">
        <f t="shared" si="457"/>
        <v/>
      </c>
      <c r="BC658" s="49" t="str">
        <f t="shared" si="458"/>
        <v/>
      </c>
      <c r="BD658" s="49" t="str">
        <f t="shared" si="459"/>
        <v/>
      </c>
      <c r="BE658" s="22" t="str">
        <f t="shared" si="486"/>
        <v/>
      </c>
      <c r="BF658" s="21" t="str">
        <f t="shared" si="487"/>
        <v>Apprenant 646 ou 646'</v>
      </c>
      <c r="BG658" s="49" t="str">
        <f t="shared" si="460"/>
        <v/>
      </c>
      <c r="BH658" s="49" t="str">
        <f t="shared" si="461"/>
        <v/>
      </c>
      <c r="BI658" s="49" t="str">
        <f t="shared" si="462"/>
        <v/>
      </c>
      <c r="BJ658" s="22" t="str">
        <f t="shared" si="488"/>
        <v/>
      </c>
      <c r="BL658" s="21"/>
      <c r="BM658" s="21" t="str">
        <f>IF(OR(COUNT(B658:D1657)=0,AND('Choix pédagogiques'!$C$3&lt;&gt;1,'Choix pédagogiques'!$C$3&lt;&gt;2)),"",IF(AND(OR('Choix pédagogiques'!$C$3=1,'Choix pédagogiques'!$C$3=2),$B658&lt;&gt;"",$C658&lt;&gt;"",$D658&lt;&gt;""),1,0))</f>
        <v/>
      </c>
      <c r="BN658" s="21" t="str">
        <f>IF(OR(COUNT(G658:I1657)=0,AND('Choix pédagogiques'!$C$3&lt;&gt;1,'Choix pédagogiques'!$C$3&lt;&gt;2)),"",IF(AND(OR('Choix pédagogiques'!$C$3=1,'Choix pédagogiques'!$C$3=2),AND($G658&lt;&gt;"",$H658&lt;&gt;"",$I658&lt;&gt;"")),1,0))</f>
        <v/>
      </c>
      <c r="BO658" s="21" t="str">
        <f>IF(OR(COUNT(B658:D1657)=0,COUNT(G658:I1657)=0,'Choix pédagogiques'!C$3&lt;&gt;3),"",IF(AND('Choix pédagogiques'!$C$3=3,$B658&lt;&gt;"",$C658&lt;&gt;"",$D658&lt;&gt;"",$G658&lt;&gt;"",$H658&lt;&gt;"",$I658&lt;&gt;""),1,0))</f>
        <v/>
      </c>
      <c r="BR658" s="21">
        <v>959</v>
      </c>
      <c r="BS658" s="21">
        <v>1266</v>
      </c>
      <c r="BT658"/>
    </row>
    <row r="659" spans="1:72" s="23" customFormat="1" ht="18" customHeight="1" x14ac:dyDescent="0.3">
      <c r="A659" s="35" t="s">
        <v>649</v>
      </c>
      <c r="B659" s="37"/>
      <c r="C659" s="37"/>
      <c r="D659" s="37"/>
      <c r="E659" s="37"/>
      <c r="F659" s="35" t="s">
        <v>1657</v>
      </c>
      <c r="G659" s="37"/>
      <c r="H659" s="37"/>
      <c r="I659" s="37"/>
      <c r="J659" s="37"/>
      <c r="K659" s="21" t="str">
        <f t="shared" si="463"/>
        <v>Apprenant 647</v>
      </c>
      <c r="L659" s="22" t="str">
        <f t="shared" si="464"/>
        <v/>
      </c>
      <c r="M659" s="22" t="str">
        <f t="shared" si="465"/>
        <v/>
      </c>
      <c r="N659" s="22" t="str">
        <f t="shared" si="466"/>
        <v/>
      </c>
      <c r="O659" s="22" t="str">
        <f t="shared" si="467"/>
        <v/>
      </c>
      <c r="P659" s="21" t="str">
        <f t="shared" si="468"/>
        <v>Apprenant 647 ou 647'</v>
      </c>
      <c r="Q659" s="22" t="str">
        <f t="shared" si="469"/>
        <v/>
      </c>
      <c r="R659" s="22" t="str">
        <f t="shared" si="470"/>
        <v/>
      </c>
      <c r="S659" s="22" t="str">
        <f t="shared" si="471"/>
        <v/>
      </c>
      <c r="T659" s="22" t="str">
        <f t="shared" si="472"/>
        <v/>
      </c>
      <c r="V659" s="21" t="str">
        <f t="shared" si="473"/>
        <v>Apprenant 647</v>
      </c>
      <c r="W659" s="22" t="str">
        <f>IF(AND(OR('Choix pédagogiques'!$C$3=1,'Choix pédagogiques'!$C$3=2),$BM659=1),B659,IF(AND('Choix pédagogiques'!$C$3=3,$BO659=1),B659,""))</f>
        <v/>
      </c>
      <c r="X659" s="22" t="str">
        <f>IF(AND(OR('Choix pédagogiques'!$C$3=1,'Choix pédagogiques'!$C$3=2),$BM659=1),C659,IF(AND('Choix pédagogiques'!$C$3=3,$BO659=1),C659,""))</f>
        <v/>
      </c>
      <c r="Y659" s="22" t="str">
        <f>IF(AND(OR('Choix pédagogiques'!$C$3=1,'Choix pédagogiques'!$C$3=2),$BM659=1),D659,IF(AND('Choix pédagogiques'!$C$3=3,$BO659=1),D659,""))</f>
        <v/>
      </c>
      <c r="Z659" s="22" t="str">
        <f t="shared" si="474"/>
        <v/>
      </c>
      <c r="AA659" s="21" t="str">
        <f t="shared" si="475"/>
        <v>Apprenant 647 ou 647'</v>
      </c>
      <c r="AB659" s="22" t="str">
        <f>IF(AND(OR('Choix pédagogiques'!$C$3=1,'Choix pédagogiques'!$C$3=2),$BN659=1),G659,IF(AND('Choix pédagogiques'!$C$3=3,$BO659=1),G659,""))</f>
        <v/>
      </c>
      <c r="AC659" s="22" t="str">
        <f>IF(AND(OR('Choix pédagogiques'!$C$3=1,'Choix pédagogiques'!$C$3=2),$BN659=1),H659,IF(AND('Choix pédagogiques'!$C$3=3,$BO659=1),H659,""))</f>
        <v/>
      </c>
      <c r="AD659" s="22" t="str">
        <f>IF(AND(OR('Choix pédagogiques'!$C$3=1,'Choix pédagogiques'!$C$3=2),$BN659=1),I659,IF(AND('Choix pédagogiques'!$C$3=3,$BO659=1),I659,""))</f>
        <v/>
      </c>
      <c r="AE659" s="22" t="str">
        <f t="shared" si="476"/>
        <v/>
      </c>
      <c r="AF659" s="21" t="str">
        <f t="shared" si="477"/>
        <v>Apprenant 647</v>
      </c>
      <c r="AG659" s="22" t="str">
        <f t="shared" si="451"/>
        <v/>
      </c>
      <c r="AH659" s="22" t="str">
        <f t="shared" si="452"/>
        <v/>
      </c>
      <c r="AI659" s="22" t="str">
        <f t="shared" si="453"/>
        <v/>
      </c>
      <c r="AJ659" s="22" t="str">
        <f t="shared" si="478"/>
        <v/>
      </c>
      <c r="AK659" s="21" t="str">
        <f t="shared" si="479"/>
        <v>Apprenant 647 ou 647'</v>
      </c>
      <c r="AL659" s="22" t="str">
        <f t="shared" si="454"/>
        <v/>
      </c>
      <c r="AM659" s="22" t="str">
        <f t="shared" si="455"/>
        <v/>
      </c>
      <c r="AN659" s="22" t="str">
        <f t="shared" si="456"/>
        <v/>
      </c>
      <c r="AO659" s="22" t="str">
        <f t="shared" si="480"/>
        <v/>
      </c>
      <c r="AQ659" s="21" t="str">
        <f t="shared" si="481"/>
        <v>Apprenant 647</v>
      </c>
      <c r="AR659" s="49" t="str">
        <f>IF(AND('Choix pédagogiques'!$C$4&lt;&gt;"?",'Choix pédagogiques'!$C$5&lt;&gt;"?",W659&lt;&gt;""),(W659-'Choix pédagogiques'!$C$4)/('Choix pédagogiques'!$C$5-'Choix pédagogiques'!$C$4),"")</f>
        <v/>
      </c>
      <c r="AS659" s="49" t="str">
        <f>IF(AND('Choix pédagogiques'!$C$4&lt;&gt;"?",'Choix pédagogiques'!$C$5&lt;&gt;"?",X659&lt;&gt;""),(X659-'Choix pédagogiques'!$C$4)/('Choix pédagogiques'!$C$5-'Choix pédagogiques'!$C$4),"")</f>
        <v/>
      </c>
      <c r="AT659" s="49" t="str">
        <f>IF(AND('Choix pédagogiques'!$C$4&lt;&gt;"?",'Choix pédagogiques'!$C$5&lt;&gt;"?",Y659&lt;&gt;""),(Y659-'Choix pédagogiques'!$C$4)/('Choix pédagogiques'!$C$5-'Choix pédagogiques'!$C$4),"")</f>
        <v/>
      </c>
      <c r="AU659" s="22" t="str">
        <f t="shared" si="482"/>
        <v/>
      </c>
      <c r="AV659" s="21" t="str">
        <f t="shared" si="483"/>
        <v>Apprenant 647 ou 647'</v>
      </c>
      <c r="AW659" s="49" t="str">
        <f>IF(AND('Choix pédagogiques'!$C$4&lt;&gt;"?",'Choix pédagogiques'!$C$5&lt;&gt;"?",AB659&lt;&gt;""),(AB659-'Choix pédagogiques'!$C$4)/('Choix pédagogiques'!$C$5-'Choix pédagogiques'!$C$4),"")</f>
        <v/>
      </c>
      <c r="AX659" s="49" t="str">
        <f>IF(AND('Choix pédagogiques'!$C$4&lt;&gt;"?",'Choix pédagogiques'!$C$5&lt;&gt;"?",AC659&lt;&gt;""),(AC659-'Choix pédagogiques'!$C$4)/('Choix pédagogiques'!$C$5-'Choix pédagogiques'!$C$4),"")</f>
        <v/>
      </c>
      <c r="AY659" s="49" t="str">
        <f>IF(AND('Choix pédagogiques'!$C$4&lt;&gt;"?",'Choix pédagogiques'!$C$5&lt;&gt;"?",AD659&lt;&gt;""),(AD659-'Choix pédagogiques'!$C$4)/('Choix pédagogiques'!$C$5-'Choix pédagogiques'!$C$4),"")</f>
        <v/>
      </c>
      <c r="AZ659" s="22" t="str">
        <f t="shared" si="484"/>
        <v/>
      </c>
      <c r="BA659" s="21" t="str">
        <f t="shared" si="485"/>
        <v>Apprenant 647</v>
      </c>
      <c r="BB659" s="49" t="str">
        <f t="shared" si="457"/>
        <v/>
      </c>
      <c r="BC659" s="49" t="str">
        <f t="shared" si="458"/>
        <v/>
      </c>
      <c r="BD659" s="49" t="str">
        <f t="shared" si="459"/>
        <v/>
      </c>
      <c r="BE659" s="22" t="str">
        <f t="shared" si="486"/>
        <v/>
      </c>
      <c r="BF659" s="21" t="str">
        <f t="shared" si="487"/>
        <v>Apprenant 647 ou 647'</v>
      </c>
      <c r="BG659" s="49" t="str">
        <f t="shared" si="460"/>
        <v/>
      </c>
      <c r="BH659" s="49" t="str">
        <f t="shared" si="461"/>
        <v/>
      </c>
      <c r="BI659" s="49" t="str">
        <f t="shared" si="462"/>
        <v/>
      </c>
      <c r="BJ659" s="22" t="str">
        <f t="shared" si="488"/>
        <v/>
      </c>
      <c r="BL659" s="21"/>
      <c r="BM659" s="21" t="str">
        <f>IF(OR(COUNT(B659:D1658)=0,AND('Choix pédagogiques'!$C$3&lt;&gt;1,'Choix pédagogiques'!$C$3&lt;&gt;2)),"",IF(AND(OR('Choix pédagogiques'!$C$3=1,'Choix pédagogiques'!$C$3=2),$B659&lt;&gt;"",$C659&lt;&gt;"",$D659&lt;&gt;""),1,0))</f>
        <v/>
      </c>
      <c r="BN659" s="21" t="str">
        <f>IF(OR(COUNT(G659:I1658)=0,AND('Choix pédagogiques'!$C$3&lt;&gt;1,'Choix pédagogiques'!$C$3&lt;&gt;2)),"",IF(AND(OR('Choix pédagogiques'!$C$3=1,'Choix pédagogiques'!$C$3=2),AND($G659&lt;&gt;"",$H659&lt;&gt;"",$I659&lt;&gt;"")),1,0))</f>
        <v/>
      </c>
      <c r="BO659" s="21" t="str">
        <f>IF(OR(COUNT(B659:D1658)=0,COUNT(G659:I1658)=0,'Choix pédagogiques'!C$3&lt;&gt;3),"",IF(AND('Choix pédagogiques'!$C$3=3,$B659&lt;&gt;"",$C659&lt;&gt;"",$D659&lt;&gt;"",$G659&lt;&gt;"",$H659&lt;&gt;"",$I659&lt;&gt;""),1,0))</f>
        <v/>
      </c>
      <c r="BR659" s="21">
        <v>695</v>
      </c>
      <c r="BS659" s="21">
        <v>1334</v>
      </c>
      <c r="BT659"/>
    </row>
    <row r="660" spans="1:72" s="23" customFormat="1" ht="18" customHeight="1" x14ac:dyDescent="0.3">
      <c r="A660" s="35" t="s">
        <v>650</v>
      </c>
      <c r="B660" s="37"/>
      <c r="C660" s="37"/>
      <c r="D660" s="37"/>
      <c r="E660" s="37"/>
      <c r="F660" s="35" t="s">
        <v>1658</v>
      </c>
      <c r="G660" s="37"/>
      <c r="H660" s="37"/>
      <c r="I660" s="37"/>
      <c r="J660" s="37"/>
      <c r="K660" s="21" t="str">
        <f t="shared" si="463"/>
        <v>Apprenant 648</v>
      </c>
      <c r="L660" s="22" t="str">
        <f t="shared" si="464"/>
        <v/>
      </c>
      <c r="M660" s="22" t="str">
        <f t="shared" si="465"/>
        <v/>
      </c>
      <c r="N660" s="22" t="str">
        <f t="shared" si="466"/>
        <v/>
      </c>
      <c r="O660" s="22" t="str">
        <f t="shared" si="467"/>
        <v/>
      </c>
      <c r="P660" s="21" t="str">
        <f t="shared" si="468"/>
        <v>Apprenant 648 ou 648'</v>
      </c>
      <c r="Q660" s="22" t="str">
        <f t="shared" si="469"/>
        <v/>
      </c>
      <c r="R660" s="22" t="str">
        <f t="shared" si="470"/>
        <v/>
      </c>
      <c r="S660" s="22" t="str">
        <f t="shared" si="471"/>
        <v/>
      </c>
      <c r="T660" s="22" t="str">
        <f t="shared" si="472"/>
        <v/>
      </c>
      <c r="V660" s="21" t="str">
        <f t="shared" si="473"/>
        <v>Apprenant 648</v>
      </c>
      <c r="W660" s="22" t="str">
        <f>IF(AND(OR('Choix pédagogiques'!$C$3=1,'Choix pédagogiques'!$C$3=2),$BM660=1),B660,IF(AND('Choix pédagogiques'!$C$3=3,$BO660=1),B660,""))</f>
        <v/>
      </c>
      <c r="X660" s="22" t="str">
        <f>IF(AND(OR('Choix pédagogiques'!$C$3=1,'Choix pédagogiques'!$C$3=2),$BM660=1),C660,IF(AND('Choix pédagogiques'!$C$3=3,$BO660=1),C660,""))</f>
        <v/>
      </c>
      <c r="Y660" s="22" t="str">
        <f>IF(AND(OR('Choix pédagogiques'!$C$3=1,'Choix pédagogiques'!$C$3=2),$BM660=1),D660,IF(AND('Choix pédagogiques'!$C$3=3,$BO660=1),D660,""))</f>
        <v/>
      </c>
      <c r="Z660" s="22" t="str">
        <f t="shared" si="474"/>
        <v/>
      </c>
      <c r="AA660" s="21" t="str">
        <f t="shared" si="475"/>
        <v>Apprenant 648 ou 648'</v>
      </c>
      <c r="AB660" s="22" t="str">
        <f>IF(AND(OR('Choix pédagogiques'!$C$3=1,'Choix pédagogiques'!$C$3=2),$BN660=1),G660,IF(AND('Choix pédagogiques'!$C$3=3,$BO660=1),G660,""))</f>
        <v/>
      </c>
      <c r="AC660" s="22" t="str">
        <f>IF(AND(OR('Choix pédagogiques'!$C$3=1,'Choix pédagogiques'!$C$3=2),$BN660=1),H660,IF(AND('Choix pédagogiques'!$C$3=3,$BO660=1),H660,""))</f>
        <v/>
      </c>
      <c r="AD660" s="22" t="str">
        <f>IF(AND(OR('Choix pédagogiques'!$C$3=1,'Choix pédagogiques'!$C$3=2),$BN660=1),I660,IF(AND('Choix pédagogiques'!$C$3=3,$BO660=1),I660,""))</f>
        <v/>
      </c>
      <c r="AE660" s="22" t="str">
        <f t="shared" si="476"/>
        <v/>
      </c>
      <c r="AF660" s="21" t="str">
        <f t="shared" si="477"/>
        <v>Apprenant 648</v>
      </c>
      <c r="AG660" s="22" t="str">
        <f t="shared" si="451"/>
        <v/>
      </c>
      <c r="AH660" s="22" t="str">
        <f t="shared" si="452"/>
        <v/>
      </c>
      <c r="AI660" s="22" t="str">
        <f t="shared" si="453"/>
        <v/>
      </c>
      <c r="AJ660" s="22" t="str">
        <f t="shared" si="478"/>
        <v/>
      </c>
      <c r="AK660" s="21" t="str">
        <f t="shared" si="479"/>
        <v>Apprenant 648 ou 648'</v>
      </c>
      <c r="AL660" s="22" t="str">
        <f t="shared" si="454"/>
        <v/>
      </c>
      <c r="AM660" s="22" t="str">
        <f t="shared" si="455"/>
        <v/>
      </c>
      <c r="AN660" s="22" t="str">
        <f t="shared" si="456"/>
        <v/>
      </c>
      <c r="AO660" s="22" t="str">
        <f t="shared" si="480"/>
        <v/>
      </c>
      <c r="AQ660" s="21" t="str">
        <f t="shared" si="481"/>
        <v>Apprenant 648</v>
      </c>
      <c r="AR660" s="49" t="str">
        <f>IF(AND('Choix pédagogiques'!$C$4&lt;&gt;"?",'Choix pédagogiques'!$C$5&lt;&gt;"?",W660&lt;&gt;""),(W660-'Choix pédagogiques'!$C$4)/('Choix pédagogiques'!$C$5-'Choix pédagogiques'!$C$4),"")</f>
        <v/>
      </c>
      <c r="AS660" s="49" t="str">
        <f>IF(AND('Choix pédagogiques'!$C$4&lt;&gt;"?",'Choix pédagogiques'!$C$5&lt;&gt;"?",X660&lt;&gt;""),(X660-'Choix pédagogiques'!$C$4)/('Choix pédagogiques'!$C$5-'Choix pédagogiques'!$C$4),"")</f>
        <v/>
      </c>
      <c r="AT660" s="49" t="str">
        <f>IF(AND('Choix pédagogiques'!$C$4&lt;&gt;"?",'Choix pédagogiques'!$C$5&lt;&gt;"?",Y660&lt;&gt;""),(Y660-'Choix pédagogiques'!$C$4)/('Choix pédagogiques'!$C$5-'Choix pédagogiques'!$C$4),"")</f>
        <v/>
      </c>
      <c r="AU660" s="22" t="str">
        <f t="shared" si="482"/>
        <v/>
      </c>
      <c r="AV660" s="21" t="str">
        <f t="shared" si="483"/>
        <v>Apprenant 648 ou 648'</v>
      </c>
      <c r="AW660" s="49" t="str">
        <f>IF(AND('Choix pédagogiques'!$C$4&lt;&gt;"?",'Choix pédagogiques'!$C$5&lt;&gt;"?",AB660&lt;&gt;""),(AB660-'Choix pédagogiques'!$C$4)/('Choix pédagogiques'!$C$5-'Choix pédagogiques'!$C$4),"")</f>
        <v/>
      </c>
      <c r="AX660" s="49" t="str">
        <f>IF(AND('Choix pédagogiques'!$C$4&lt;&gt;"?",'Choix pédagogiques'!$C$5&lt;&gt;"?",AC660&lt;&gt;""),(AC660-'Choix pédagogiques'!$C$4)/('Choix pédagogiques'!$C$5-'Choix pédagogiques'!$C$4),"")</f>
        <v/>
      </c>
      <c r="AY660" s="49" t="str">
        <f>IF(AND('Choix pédagogiques'!$C$4&lt;&gt;"?",'Choix pédagogiques'!$C$5&lt;&gt;"?",AD660&lt;&gt;""),(AD660-'Choix pédagogiques'!$C$4)/('Choix pédagogiques'!$C$5-'Choix pédagogiques'!$C$4),"")</f>
        <v/>
      </c>
      <c r="AZ660" s="22" t="str">
        <f t="shared" si="484"/>
        <v/>
      </c>
      <c r="BA660" s="21" t="str">
        <f t="shared" si="485"/>
        <v>Apprenant 648</v>
      </c>
      <c r="BB660" s="49" t="str">
        <f t="shared" si="457"/>
        <v/>
      </c>
      <c r="BC660" s="49" t="str">
        <f t="shared" si="458"/>
        <v/>
      </c>
      <c r="BD660" s="49" t="str">
        <f t="shared" si="459"/>
        <v/>
      </c>
      <c r="BE660" s="22" t="str">
        <f t="shared" si="486"/>
        <v/>
      </c>
      <c r="BF660" s="21" t="str">
        <f t="shared" si="487"/>
        <v>Apprenant 648 ou 648'</v>
      </c>
      <c r="BG660" s="49" t="str">
        <f t="shared" si="460"/>
        <v/>
      </c>
      <c r="BH660" s="49" t="str">
        <f t="shared" si="461"/>
        <v/>
      </c>
      <c r="BI660" s="49" t="str">
        <f t="shared" si="462"/>
        <v/>
      </c>
      <c r="BJ660" s="22" t="str">
        <f t="shared" si="488"/>
        <v/>
      </c>
      <c r="BL660" s="21"/>
      <c r="BM660" s="21" t="str">
        <f>IF(OR(COUNT(B660:D1659)=0,AND('Choix pédagogiques'!$C$3&lt;&gt;1,'Choix pédagogiques'!$C$3&lt;&gt;2)),"",IF(AND(OR('Choix pédagogiques'!$C$3=1,'Choix pédagogiques'!$C$3=2),$B660&lt;&gt;"",$C660&lt;&gt;"",$D660&lt;&gt;""),1,0))</f>
        <v/>
      </c>
      <c r="BN660" s="21" t="str">
        <f>IF(OR(COUNT(G660:I1659)=0,AND('Choix pédagogiques'!$C$3&lt;&gt;1,'Choix pédagogiques'!$C$3&lt;&gt;2)),"",IF(AND(OR('Choix pédagogiques'!$C$3=1,'Choix pédagogiques'!$C$3=2),AND($G660&lt;&gt;"",$H660&lt;&gt;"",$I660&lt;&gt;"")),1,0))</f>
        <v/>
      </c>
      <c r="BO660" s="21" t="str">
        <f>IF(OR(COUNT(B660:D1659)=0,COUNT(G660:I1659)=0,'Choix pédagogiques'!C$3&lt;&gt;3),"",IF(AND('Choix pédagogiques'!$C$3=3,$B660&lt;&gt;"",$C660&lt;&gt;"",$D660&lt;&gt;"",$G660&lt;&gt;"",$H660&lt;&gt;"",$I660&lt;&gt;""),1,0))</f>
        <v/>
      </c>
      <c r="BR660" s="21">
        <v>653</v>
      </c>
      <c r="BS660" s="21">
        <v>1032</v>
      </c>
      <c r="BT660"/>
    </row>
    <row r="661" spans="1:72" s="23" customFormat="1" ht="18" customHeight="1" x14ac:dyDescent="0.3">
      <c r="A661" s="35" t="s">
        <v>651</v>
      </c>
      <c r="B661" s="37"/>
      <c r="C661" s="37"/>
      <c r="D661" s="37"/>
      <c r="E661" s="37"/>
      <c r="F661" s="35" t="s">
        <v>1659</v>
      </c>
      <c r="G661" s="37"/>
      <c r="H661" s="37"/>
      <c r="I661" s="37"/>
      <c r="J661" s="37"/>
      <c r="K661" s="21" t="str">
        <f t="shared" si="463"/>
        <v>Apprenant 649</v>
      </c>
      <c r="L661" s="22" t="str">
        <f t="shared" si="464"/>
        <v/>
      </c>
      <c r="M661" s="22" t="str">
        <f t="shared" si="465"/>
        <v/>
      </c>
      <c r="N661" s="22" t="str">
        <f t="shared" si="466"/>
        <v/>
      </c>
      <c r="O661" s="22" t="str">
        <f t="shared" si="467"/>
        <v/>
      </c>
      <c r="P661" s="21" t="str">
        <f t="shared" si="468"/>
        <v>Apprenant 649 ou 649'</v>
      </c>
      <c r="Q661" s="22" t="str">
        <f t="shared" si="469"/>
        <v/>
      </c>
      <c r="R661" s="22" t="str">
        <f t="shared" si="470"/>
        <v/>
      </c>
      <c r="S661" s="22" t="str">
        <f t="shared" si="471"/>
        <v/>
      </c>
      <c r="T661" s="22" t="str">
        <f t="shared" si="472"/>
        <v/>
      </c>
      <c r="V661" s="21" t="str">
        <f t="shared" si="473"/>
        <v>Apprenant 649</v>
      </c>
      <c r="W661" s="22" t="str">
        <f>IF(AND(OR('Choix pédagogiques'!$C$3=1,'Choix pédagogiques'!$C$3=2),$BM661=1),B661,IF(AND('Choix pédagogiques'!$C$3=3,$BO661=1),B661,""))</f>
        <v/>
      </c>
      <c r="X661" s="22" t="str">
        <f>IF(AND(OR('Choix pédagogiques'!$C$3=1,'Choix pédagogiques'!$C$3=2),$BM661=1),C661,IF(AND('Choix pédagogiques'!$C$3=3,$BO661=1),C661,""))</f>
        <v/>
      </c>
      <c r="Y661" s="22" t="str">
        <f>IF(AND(OR('Choix pédagogiques'!$C$3=1,'Choix pédagogiques'!$C$3=2),$BM661=1),D661,IF(AND('Choix pédagogiques'!$C$3=3,$BO661=1),D661,""))</f>
        <v/>
      </c>
      <c r="Z661" s="22" t="str">
        <f t="shared" si="474"/>
        <v/>
      </c>
      <c r="AA661" s="21" t="str">
        <f t="shared" si="475"/>
        <v>Apprenant 649 ou 649'</v>
      </c>
      <c r="AB661" s="22" t="str">
        <f>IF(AND(OR('Choix pédagogiques'!$C$3=1,'Choix pédagogiques'!$C$3=2),$BN661=1),G661,IF(AND('Choix pédagogiques'!$C$3=3,$BO661=1),G661,""))</f>
        <v/>
      </c>
      <c r="AC661" s="22" t="str">
        <f>IF(AND(OR('Choix pédagogiques'!$C$3=1,'Choix pédagogiques'!$C$3=2),$BN661=1),H661,IF(AND('Choix pédagogiques'!$C$3=3,$BO661=1),H661,""))</f>
        <v/>
      </c>
      <c r="AD661" s="22" t="str">
        <f>IF(AND(OR('Choix pédagogiques'!$C$3=1,'Choix pédagogiques'!$C$3=2),$BN661=1),I661,IF(AND('Choix pédagogiques'!$C$3=3,$BO661=1),I661,""))</f>
        <v/>
      </c>
      <c r="AE661" s="22" t="str">
        <f t="shared" si="476"/>
        <v/>
      </c>
      <c r="AF661" s="21" t="str">
        <f t="shared" si="477"/>
        <v>Apprenant 649</v>
      </c>
      <c r="AG661" s="22" t="str">
        <f t="shared" si="451"/>
        <v/>
      </c>
      <c r="AH661" s="22" t="str">
        <f t="shared" si="452"/>
        <v/>
      </c>
      <c r="AI661" s="22" t="str">
        <f t="shared" si="453"/>
        <v/>
      </c>
      <c r="AJ661" s="22" t="str">
        <f t="shared" si="478"/>
        <v/>
      </c>
      <c r="AK661" s="21" t="str">
        <f t="shared" si="479"/>
        <v>Apprenant 649 ou 649'</v>
      </c>
      <c r="AL661" s="22" t="str">
        <f t="shared" si="454"/>
        <v/>
      </c>
      <c r="AM661" s="22" t="str">
        <f t="shared" si="455"/>
        <v/>
      </c>
      <c r="AN661" s="22" t="str">
        <f t="shared" si="456"/>
        <v/>
      </c>
      <c r="AO661" s="22" t="str">
        <f t="shared" si="480"/>
        <v/>
      </c>
      <c r="AQ661" s="21" t="str">
        <f t="shared" si="481"/>
        <v>Apprenant 649</v>
      </c>
      <c r="AR661" s="49" t="str">
        <f>IF(AND('Choix pédagogiques'!$C$4&lt;&gt;"?",'Choix pédagogiques'!$C$5&lt;&gt;"?",W661&lt;&gt;""),(W661-'Choix pédagogiques'!$C$4)/('Choix pédagogiques'!$C$5-'Choix pédagogiques'!$C$4),"")</f>
        <v/>
      </c>
      <c r="AS661" s="49" t="str">
        <f>IF(AND('Choix pédagogiques'!$C$4&lt;&gt;"?",'Choix pédagogiques'!$C$5&lt;&gt;"?",X661&lt;&gt;""),(X661-'Choix pédagogiques'!$C$4)/('Choix pédagogiques'!$C$5-'Choix pédagogiques'!$C$4),"")</f>
        <v/>
      </c>
      <c r="AT661" s="49" t="str">
        <f>IF(AND('Choix pédagogiques'!$C$4&lt;&gt;"?",'Choix pédagogiques'!$C$5&lt;&gt;"?",Y661&lt;&gt;""),(Y661-'Choix pédagogiques'!$C$4)/('Choix pédagogiques'!$C$5-'Choix pédagogiques'!$C$4),"")</f>
        <v/>
      </c>
      <c r="AU661" s="22" t="str">
        <f t="shared" si="482"/>
        <v/>
      </c>
      <c r="AV661" s="21" t="str">
        <f t="shared" si="483"/>
        <v>Apprenant 649 ou 649'</v>
      </c>
      <c r="AW661" s="49" t="str">
        <f>IF(AND('Choix pédagogiques'!$C$4&lt;&gt;"?",'Choix pédagogiques'!$C$5&lt;&gt;"?",AB661&lt;&gt;""),(AB661-'Choix pédagogiques'!$C$4)/('Choix pédagogiques'!$C$5-'Choix pédagogiques'!$C$4),"")</f>
        <v/>
      </c>
      <c r="AX661" s="49" t="str">
        <f>IF(AND('Choix pédagogiques'!$C$4&lt;&gt;"?",'Choix pédagogiques'!$C$5&lt;&gt;"?",AC661&lt;&gt;""),(AC661-'Choix pédagogiques'!$C$4)/('Choix pédagogiques'!$C$5-'Choix pédagogiques'!$C$4),"")</f>
        <v/>
      </c>
      <c r="AY661" s="49" t="str">
        <f>IF(AND('Choix pédagogiques'!$C$4&lt;&gt;"?",'Choix pédagogiques'!$C$5&lt;&gt;"?",AD661&lt;&gt;""),(AD661-'Choix pédagogiques'!$C$4)/('Choix pédagogiques'!$C$5-'Choix pédagogiques'!$C$4),"")</f>
        <v/>
      </c>
      <c r="AZ661" s="22" t="str">
        <f t="shared" si="484"/>
        <v/>
      </c>
      <c r="BA661" s="21" t="str">
        <f t="shared" si="485"/>
        <v>Apprenant 649</v>
      </c>
      <c r="BB661" s="49" t="str">
        <f t="shared" si="457"/>
        <v/>
      </c>
      <c r="BC661" s="49" t="str">
        <f t="shared" si="458"/>
        <v/>
      </c>
      <c r="BD661" s="49" t="str">
        <f t="shared" si="459"/>
        <v/>
      </c>
      <c r="BE661" s="22" t="str">
        <f t="shared" si="486"/>
        <v/>
      </c>
      <c r="BF661" s="21" t="str">
        <f t="shared" si="487"/>
        <v>Apprenant 649 ou 649'</v>
      </c>
      <c r="BG661" s="49" t="str">
        <f t="shared" si="460"/>
        <v/>
      </c>
      <c r="BH661" s="49" t="str">
        <f t="shared" si="461"/>
        <v/>
      </c>
      <c r="BI661" s="49" t="str">
        <f t="shared" si="462"/>
        <v/>
      </c>
      <c r="BJ661" s="22" t="str">
        <f t="shared" si="488"/>
        <v/>
      </c>
      <c r="BL661" s="21"/>
      <c r="BM661" s="21" t="str">
        <f>IF(OR(COUNT(B661:D1660)=0,AND('Choix pédagogiques'!$C$3&lt;&gt;1,'Choix pédagogiques'!$C$3&lt;&gt;2)),"",IF(AND(OR('Choix pédagogiques'!$C$3=1,'Choix pédagogiques'!$C$3=2),$B661&lt;&gt;"",$C661&lt;&gt;"",$D661&lt;&gt;""),1,0))</f>
        <v/>
      </c>
      <c r="BN661" s="21" t="str">
        <f>IF(OR(COUNT(G661:I1660)=0,AND('Choix pédagogiques'!$C$3&lt;&gt;1,'Choix pédagogiques'!$C$3&lt;&gt;2)),"",IF(AND(OR('Choix pédagogiques'!$C$3=1,'Choix pédagogiques'!$C$3=2),AND($G661&lt;&gt;"",$H661&lt;&gt;"",$I661&lt;&gt;"")),1,0))</f>
        <v/>
      </c>
      <c r="BO661" s="21" t="str">
        <f>IF(OR(COUNT(B661:D1660)=0,COUNT(G661:I1660)=0,'Choix pédagogiques'!C$3&lt;&gt;3),"",IF(AND('Choix pédagogiques'!$C$3=3,$B661&lt;&gt;"",$C661&lt;&gt;"",$D661&lt;&gt;"",$G661&lt;&gt;"",$H661&lt;&gt;"",$I661&lt;&gt;""),1,0))</f>
        <v/>
      </c>
      <c r="BR661" s="21">
        <v>368</v>
      </c>
      <c r="BS661" s="21">
        <v>1602</v>
      </c>
      <c r="BT661"/>
    </row>
    <row r="662" spans="1:72" s="23" customFormat="1" ht="18" customHeight="1" x14ac:dyDescent="0.3">
      <c r="A662" s="35" t="s">
        <v>652</v>
      </c>
      <c r="B662" s="37"/>
      <c r="C662" s="37"/>
      <c r="D662" s="37"/>
      <c r="E662" s="37"/>
      <c r="F662" s="35" t="s">
        <v>1660</v>
      </c>
      <c r="G662" s="37"/>
      <c r="H662" s="37"/>
      <c r="I662" s="37"/>
      <c r="J662" s="37"/>
      <c r="K662" s="21" t="str">
        <f t="shared" si="463"/>
        <v>Apprenant 650</v>
      </c>
      <c r="L662" s="22" t="str">
        <f t="shared" si="464"/>
        <v/>
      </c>
      <c r="M662" s="22" t="str">
        <f t="shared" si="465"/>
        <v/>
      </c>
      <c r="N662" s="22" t="str">
        <f t="shared" si="466"/>
        <v/>
      </c>
      <c r="O662" s="22" t="str">
        <f t="shared" si="467"/>
        <v/>
      </c>
      <c r="P662" s="21" t="str">
        <f t="shared" si="468"/>
        <v>Apprenant 650 ou 650'</v>
      </c>
      <c r="Q662" s="22" t="str">
        <f t="shared" si="469"/>
        <v/>
      </c>
      <c r="R662" s="22" t="str">
        <f t="shared" si="470"/>
        <v/>
      </c>
      <c r="S662" s="22" t="str">
        <f t="shared" si="471"/>
        <v/>
      </c>
      <c r="T662" s="22" t="str">
        <f t="shared" si="472"/>
        <v/>
      </c>
      <c r="V662" s="21" t="str">
        <f t="shared" si="473"/>
        <v>Apprenant 650</v>
      </c>
      <c r="W662" s="22" t="str">
        <f>IF(AND(OR('Choix pédagogiques'!$C$3=1,'Choix pédagogiques'!$C$3=2),$BM662=1),B662,IF(AND('Choix pédagogiques'!$C$3=3,$BO662=1),B662,""))</f>
        <v/>
      </c>
      <c r="X662" s="22" t="str">
        <f>IF(AND(OR('Choix pédagogiques'!$C$3=1,'Choix pédagogiques'!$C$3=2),$BM662=1),C662,IF(AND('Choix pédagogiques'!$C$3=3,$BO662=1),C662,""))</f>
        <v/>
      </c>
      <c r="Y662" s="22" t="str">
        <f>IF(AND(OR('Choix pédagogiques'!$C$3=1,'Choix pédagogiques'!$C$3=2),$BM662=1),D662,IF(AND('Choix pédagogiques'!$C$3=3,$BO662=1),D662,""))</f>
        <v/>
      </c>
      <c r="Z662" s="22" t="str">
        <f t="shared" si="474"/>
        <v/>
      </c>
      <c r="AA662" s="21" t="str">
        <f t="shared" si="475"/>
        <v>Apprenant 650 ou 650'</v>
      </c>
      <c r="AB662" s="22" t="str">
        <f>IF(AND(OR('Choix pédagogiques'!$C$3=1,'Choix pédagogiques'!$C$3=2),$BN662=1),G662,IF(AND('Choix pédagogiques'!$C$3=3,$BO662=1),G662,""))</f>
        <v/>
      </c>
      <c r="AC662" s="22" t="str">
        <f>IF(AND(OR('Choix pédagogiques'!$C$3=1,'Choix pédagogiques'!$C$3=2),$BN662=1),H662,IF(AND('Choix pédagogiques'!$C$3=3,$BO662=1),H662,""))</f>
        <v/>
      </c>
      <c r="AD662" s="22" t="str">
        <f>IF(AND(OR('Choix pédagogiques'!$C$3=1,'Choix pédagogiques'!$C$3=2),$BN662=1),I662,IF(AND('Choix pédagogiques'!$C$3=3,$BO662=1),I662,""))</f>
        <v/>
      </c>
      <c r="AE662" s="22" t="str">
        <f t="shared" si="476"/>
        <v/>
      </c>
      <c r="AF662" s="21" t="str">
        <f t="shared" si="477"/>
        <v>Apprenant 650</v>
      </c>
      <c r="AG662" s="22" t="str">
        <f t="shared" si="451"/>
        <v/>
      </c>
      <c r="AH662" s="22" t="str">
        <f t="shared" si="452"/>
        <v/>
      </c>
      <c r="AI662" s="22" t="str">
        <f t="shared" si="453"/>
        <v/>
      </c>
      <c r="AJ662" s="22" t="str">
        <f t="shared" si="478"/>
        <v/>
      </c>
      <c r="AK662" s="21" t="str">
        <f t="shared" si="479"/>
        <v>Apprenant 650 ou 650'</v>
      </c>
      <c r="AL662" s="22" t="str">
        <f t="shared" si="454"/>
        <v/>
      </c>
      <c r="AM662" s="22" t="str">
        <f t="shared" si="455"/>
        <v/>
      </c>
      <c r="AN662" s="22" t="str">
        <f t="shared" si="456"/>
        <v/>
      </c>
      <c r="AO662" s="22" t="str">
        <f t="shared" si="480"/>
        <v/>
      </c>
      <c r="AQ662" s="21" t="str">
        <f t="shared" si="481"/>
        <v>Apprenant 650</v>
      </c>
      <c r="AR662" s="49" t="str">
        <f>IF(AND('Choix pédagogiques'!$C$4&lt;&gt;"?",'Choix pédagogiques'!$C$5&lt;&gt;"?",W662&lt;&gt;""),(W662-'Choix pédagogiques'!$C$4)/('Choix pédagogiques'!$C$5-'Choix pédagogiques'!$C$4),"")</f>
        <v/>
      </c>
      <c r="AS662" s="49" t="str">
        <f>IF(AND('Choix pédagogiques'!$C$4&lt;&gt;"?",'Choix pédagogiques'!$C$5&lt;&gt;"?",X662&lt;&gt;""),(X662-'Choix pédagogiques'!$C$4)/('Choix pédagogiques'!$C$5-'Choix pédagogiques'!$C$4),"")</f>
        <v/>
      </c>
      <c r="AT662" s="49" t="str">
        <f>IF(AND('Choix pédagogiques'!$C$4&lt;&gt;"?",'Choix pédagogiques'!$C$5&lt;&gt;"?",Y662&lt;&gt;""),(Y662-'Choix pédagogiques'!$C$4)/('Choix pédagogiques'!$C$5-'Choix pédagogiques'!$C$4),"")</f>
        <v/>
      </c>
      <c r="AU662" s="22" t="str">
        <f t="shared" si="482"/>
        <v/>
      </c>
      <c r="AV662" s="21" t="str">
        <f t="shared" si="483"/>
        <v>Apprenant 650 ou 650'</v>
      </c>
      <c r="AW662" s="49" t="str">
        <f>IF(AND('Choix pédagogiques'!$C$4&lt;&gt;"?",'Choix pédagogiques'!$C$5&lt;&gt;"?",AB662&lt;&gt;""),(AB662-'Choix pédagogiques'!$C$4)/('Choix pédagogiques'!$C$5-'Choix pédagogiques'!$C$4),"")</f>
        <v/>
      </c>
      <c r="AX662" s="49" t="str">
        <f>IF(AND('Choix pédagogiques'!$C$4&lt;&gt;"?",'Choix pédagogiques'!$C$5&lt;&gt;"?",AC662&lt;&gt;""),(AC662-'Choix pédagogiques'!$C$4)/('Choix pédagogiques'!$C$5-'Choix pédagogiques'!$C$4),"")</f>
        <v/>
      </c>
      <c r="AY662" s="49" t="str">
        <f>IF(AND('Choix pédagogiques'!$C$4&lt;&gt;"?",'Choix pédagogiques'!$C$5&lt;&gt;"?",AD662&lt;&gt;""),(AD662-'Choix pédagogiques'!$C$4)/('Choix pédagogiques'!$C$5-'Choix pédagogiques'!$C$4),"")</f>
        <v/>
      </c>
      <c r="AZ662" s="22" t="str">
        <f t="shared" si="484"/>
        <v/>
      </c>
      <c r="BA662" s="21" t="str">
        <f t="shared" si="485"/>
        <v>Apprenant 650</v>
      </c>
      <c r="BB662" s="49" t="str">
        <f t="shared" si="457"/>
        <v/>
      </c>
      <c r="BC662" s="49" t="str">
        <f t="shared" si="458"/>
        <v/>
      </c>
      <c r="BD662" s="49" t="str">
        <f t="shared" si="459"/>
        <v/>
      </c>
      <c r="BE662" s="22" t="str">
        <f t="shared" si="486"/>
        <v/>
      </c>
      <c r="BF662" s="21" t="str">
        <f t="shared" si="487"/>
        <v>Apprenant 650 ou 650'</v>
      </c>
      <c r="BG662" s="49" t="str">
        <f t="shared" si="460"/>
        <v/>
      </c>
      <c r="BH662" s="49" t="str">
        <f t="shared" si="461"/>
        <v/>
      </c>
      <c r="BI662" s="49" t="str">
        <f t="shared" si="462"/>
        <v/>
      </c>
      <c r="BJ662" s="22" t="str">
        <f t="shared" si="488"/>
        <v/>
      </c>
      <c r="BL662" s="21"/>
      <c r="BM662" s="21" t="str">
        <f>IF(OR(COUNT(B662:D1661)=0,AND('Choix pédagogiques'!$C$3&lt;&gt;1,'Choix pédagogiques'!$C$3&lt;&gt;2)),"",IF(AND(OR('Choix pédagogiques'!$C$3=1,'Choix pédagogiques'!$C$3=2),$B662&lt;&gt;"",$C662&lt;&gt;"",$D662&lt;&gt;""),1,0))</f>
        <v/>
      </c>
      <c r="BN662" s="21" t="str">
        <f>IF(OR(COUNT(G662:I1661)=0,AND('Choix pédagogiques'!$C$3&lt;&gt;1,'Choix pédagogiques'!$C$3&lt;&gt;2)),"",IF(AND(OR('Choix pédagogiques'!$C$3=1,'Choix pédagogiques'!$C$3=2),AND($G662&lt;&gt;"",$H662&lt;&gt;"",$I662&lt;&gt;"")),1,0))</f>
        <v/>
      </c>
      <c r="BO662" s="21" t="str">
        <f>IF(OR(COUNT(B662:D1661)=0,COUNT(G662:I1661)=0,'Choix pédagogiques'!C$3&lt;&gt;3),"",IF(AND('Choix pédagogiques'!$C$3=3,$B662&lt;&gt;"",$C662&lt;&gt;"",$D662&lt;&gt;"",$G662&lt;&gt;"",$H662&lt;&gt;"",$I662&lt;&gt;""),1,0))</f>
        <v/>
      </c>
      <c r="BR662" s="21">
        <v>731</v>
      </c>
      <c r="BS662" s="21">
        <v>1672</v>
      </c>
      <c r="BT662"/>
    </row>
    <row r="663" spans="1:72" s="23" customFormat="1" ht="18" customHeight="1" x14ac:dyDescent="0.3">
      <c r="A663" s="35" t="s">
        <v>653</v>
      </c>
      <c r="B663" s="37"/>
      <c r="C663" s="37"/>
      <c r="D663" s="37"/>
      <c r="E663" s="37"/>
      <c r="F663" s="35" t="s">
        <v>1661</v>
      </c>
      <c r="G663" s="37"/>
      <c r="H663" s="37"/>
      <c r="I663" s="37"/>
      <c r="J663" s="37"/>
      <c r="K663" s="21" t="str">
        <f t="shared" si="463"/>
        <v>Apprenant 651</v>
      </c>
      <c r="L663" s="22" t="str">
        <f t="shared" si="464"/>
        <v/>
      </c>
      <c r="M663" s="22" t="str">
        <f t="shared" si="465"/>
        <v/>
      </c>
      <c r="N663" s="22" t="str">
        <f t="shared" si="466"/>
        <v/>
      </c>
      <c r="O663" s="22" t="str">
        <f t="shared" si="467"/>
        <v/>
      </c>
      <c r="P663" s="21" t="str">
        <f t="shared" si="468"/>
        <v>Apprenant 651 ou 651'</v>
      </c>
      <c r="Q663" s="22" t="str">
        <f t="shared" si="469"/>
        <v/>
      </c>
      <c r="R663" s="22" t="str">
        <f t="shared" si="470"/>
        <v/>
      </c>
      <c r="S663" s="22" t="str">
        <f t="shared" si="471"/>
        <v/>
      </c>
      <c r="T663" s="22" t="str">
        <f t="shared" si="472"/>
        <v/>
      </c>
      <c r="V663" s="21" t="str">
        <f t="shared" si="473"/>
        <v>Apprenant 651</v>
      </c>
      <c r="W663" s="22" t="str">
        <f>IF(AND(OR('Choix pédagogiques'!$C$3=1,'Choix pédagogiques'!$C$3=2),$BM663=1),B663,IF(AND('Choix pédagogiques'!$C$3=3,$BO663=1),B663,""))</f>
        <v/>
      </c>
      <c r="X663" s="22" t="str">
        <f>IF(AND(OR('Choix pédagogiques'!$C$3=1,'Choix pédagogiques'!$C$3=2),$BM663=1),C663,IF(AND('Choix pédagogiques'!$C$3=3,$BO663=1),C663,""))</f>
        <v/>
      </c>
      <c r="Y663" s="22" t="str">
        <f>IF(AND(OR('Choix pédagogiques'!$C$3=1,'Choix pédagogiques'!$C$3=2),$BM663=1),D663,IF(AND('Choix pédagogiques'!$C$3=3,$BO663=1),D663,""))</f>
        <v/>
      </c>
      <c r="Z663" s="22" t="str">
        <f t="shared" si="474"/>
        <v/>
      </c>
      <c r="AA663" s="21" t="str">
        <f t="shared" si="475"/>
        <v>Apprenant 651 ou 651'</v>
      </c>
      <c r="AB663" s="22" t="str">
        <f>IF(AND(OR('Choix pédagogiques'!$C$3=1,'Choix pédagogiques'!$C$3=2),$BN663=1),G663,IF(AND('Choix pédagogiques'!$C$3=3,$BO663=1),G663,""))</f>
        <v/>
      </c>
      <c r="AC663" s="22" t="str">
        <f>IF(AND(OR('Choix pédagogiques'!$C$3=1,'Choix pédagogiques'!$C$3=2),$BN663=1),H663,IF(AND('Choix pédagogiques'!$C$3=3,$BO663=1),H663,""))</f>
        <v/>
      </c>
      <c r="AD663" s="22" t="str">
        <f>IF(AND(OR('Choix pédagogiques'!$C$3=1,'Choix pédagogiques'!$C$3=2),$BN663=1),I663,IF(AND('Choix pédagogiques'!$C$3=3,$BO663=1),I663,""))</f>
        <v/>
      </c>
      <c r="AE663" s="22" t="str">
        <f t="shared" si="476"/>
        <v/>
      </c>
      <c r="AF663" s="21" t="str">
        <f t="shared" si="477"/>
        <v>Apprenant 651</v>
      </c>
      <c r="AG663" s="22" t="str">
        <f t="shared" si="451"/>
        <v/>
      </c>
      <c r="AH663" s="22" t="str">
        <f t="shared" si="452"/>
        <v/>
      </c>
      <c r="AI663" s="22" t="str">
        <f t="shared" si="453"/>
        <v/>
      </c>
      <c r="AJ663" s="22" t="str">
        <f t="shared" si="478"/>
        <v/>
      </c>
      <c r="AK663" s="21" t="str">
        <f t="shared" si="479"/>
        <v>Apprenant 651 ou 651'</v>
      </c>
      <c r="AL663" s="22" t="str">
        <f t="shared" si="454"/>
        <v/>
      </c>
      <c r="AM663" s="22" t="str">
        <f t="shared" si="455"/>
        <v/>
      </c>
      <c r="AN663" s="22" t="str">
        <f t="shared" si="456"/>
        <v/>
      </c>
      <c r="AO663" s="22" t="str">
        <f t="shared" si="480"/>
        <v/>
      </c>
      <c r="AQ663" s="21" t="str">
        <f t="shared" si="481"/>
        <v>Apprenant 651</v>
      </c>
      <c r="AR663" s="49" t="str">
        <f>IF(AND('Choix pédagogiques'!$C$4&lt;&gt;"?",'Choix pédagogiques'!$C$5&lt;&gt;"?",W663&lt;&gt;""),(W663-'Choix pédagogiques'!$C$4)/('Choix pédagogiques'!$C$5-'Choix pédagogiques'!$C$4),"")</f>
        <v/>
      </c>
      <c r="AS663" s="49" t="str">
        <f>IF(AND('Choix pédagogiques'!$C$4&lt;&gt;"?",'Choix pédagogiques'!$C$5&lt;&gt;"?",X663&lt;&gt;""),(X663-'Choix pédagogiques'!$C$4)/('Choix pédagogiques'!$C$5-'Choix pédagogiques'!$C$4),"")</f>
        <v/>
      </c>
      <c r="AT663" s="49" t="str">
        <f>IF(AND('Choix pédagogiques'!$C$4&lt;&gt;"?",'Choix pédagogiques'!$C$5&lt;&gt;"?",Y663&lt;&gt;""),(Y663-'Choix pédagogiques'!$C$4)/('Choix pédagogiques'!$C$5-'Choix pédagogiques'!$C$4),"")</f>
        <v/>
      </c>
      <c r="AU663" s="22" t="str">
        <f t="shared" si="482"/>
        <v/>
      </c>
      <c r="AV663" s="21" t="str">
        <f t="shared" si="483"/>
        <v>Apprenant 651 ou 651'</v>
      </c>
      <c r="AW663" s="49" t="str">
        <f>IF(AND('Choix pédagogiques'!$C$4&lt;&gt;"?",'Choix pédagogiques'!$C$5&lt;&gt;"?",AB663&lt;&gt;""),(AB663-'Choix pédagogiques'!$C$4)/('Choix pédagogiques'!$C$5-'Choix pédagogiques'!$C$4),"")</f>
        <v/>
      </c>
      <c r="AX663" s="49" t="str">
        <f>IF(AND('Choix pédagogiques'!$C$4&lt;&gt;"?",'Choix pédagogiques'!$C$5&lt;&gt;"?",AC663&lt;&gt;""),(AC663-'Choix pédagogiques'!$C$4)/('Choix pédagogiques'!$C$5-'Choix pédagogiques'!$C$4),"")</f>
        <v/>
      </c>
      <c r="AY663" s="49" t="str">
        <f>IF(AND('Choix pédagogiques'!$C$4&lt;&gt;"?",'Choix pédagogiques'!$C$5&lt;&gt;"?",AD663&lt;&gt;""),(AD663-'Choix pédagogiques'!$C$4)/('Choix pédagogiques'!$C$5-'Choix pédagogiques'!$C$4),"")</f>
        <v/>
      </c>
      <c r="AZ663" s="22" t="str">
        <f t="shared" si="484"/>
        <v/>
      </c>
      <c r="BA663" s="21" t="str">
        <f t="shared" si="485"/>
        <v>Apprenant 651</v>
      </c>
      <c r="BB663" s="49" t="str">
        <f t="shared" si="457"/>
        <v/>
      </c>
      <c r="BC663" s="49" t="str">
        <f t="shared" si="458"/>
        <v/>
      </c>
      <c r="BD663" s="49" t="str">
        <f t="shared" si="459"/>
        <v/>
      </c>
      <c r="BE663" s="22" t="str">
        <f t="shared" si="486"/>
        <v/>
      </c>
      <c r="BF663" s="21" t="str">
        <f t="shared" si="487"/>
        <v>Apprenant 651 ou 651'</v>
      </c>
      <c r="BG663" s="49" t="str">
        <f t="shared" si="460"/>
        <v/>
      </c>
      <c r="BH663" s="49" t="str">
        <f t="shared" si="461"/>
        <v/>
      </c>
      <c r="BI663" s="49" t="str">
        <f t="shared" si="462"/>
        <v/>
      </c>
      <c r="BJ663" s="22" t="str">
        <f t="shared" si="488"/>
        <v/>
      </c>
      <c r="BL663" s="21"/>
      <c r="BM663" s="21" t="str">
        <f>IF(OR(COUNT(B663:D1662)=0,AND('Choix pédagogiques'!$C$3&lt;&gt;1,'Choix pédagogiques'!$C$3&lt;&gt;2)),"",IF(AND(OR('Choix pédagogiques'!$C$3=1,'Choix pédagogiques'!$C$3=2),$B663&lt;&gt;"",$C663&lt;&gt;"",$D663&lt;&gt;""),1,0))</f>
        <v/>
      </c>
      <c r="BN663" s="21" t="str">
        <f>IF(OR(COUNT(G663:I1662)=0,AND('Choix pédagogiques'!$C$3&lt;&gt;1,'Choix pédagogiques'!$C$3&lt;&gt;2)),"",IF(AND(OR('Choix pédagogiques'!$C$3=1,'Choix pédagogiques'!$C$3=2),AND($G663&lt;&gt;"",$H663&lt;&gt;"",$I663&lt;&gt;"")),1,0))</f>
        <v/>
      </c>
      <c r="BO663" s="21" t="str">
        <f>IF(OR(COUNT(B663:D1662)=0,COUNT(G663:I1662)=0,'Choix pédagogiques'!C$3&lt;&gt;3),"",IF(AND('Choix pédagogiques'!$C$3=3,$B663&lt;&gt;"",$C663&lt;&gt;"",$D663&lt;&gt;"",$G663&lt;&gt;"",$H663&lt;&gt;"",$I663&lt;&gt;""),1,0))</f>
        <v/>
      </c>
      <c r="BR663" s="21">
        <v>815</v>
      </c>
      <c r="BS663" s="21">
        <v>1360</v>
      </c>
      <c r="BT663"/>
    </row>
    <row r="664" spans="1:72" s="23" customFormat="1" ht="18" customHeight="1" x14ac:dyDescent="0.3">
      <c r="A664" s="35" t="s">
        <v>654</v>
      </c>
      <c r="B664" s="37"/>
      <c r="C664" s="37"/>
      <c r="D664" s="37"/>
      <c r="E664" s="37"/>
      <c r="F664" s="35" t="s">
        <v>1662</v>
      </c>
      <c r="G664" s="37"/>
      <c r="H664" s="37"/>
      <c r="I664" s="37"/>
      <c r="J664" s="37"/>
      <c r="K664" s="21" t="str">
        <f t="shared" si="463"/>
        <v>Apprenant 652</v>
      </c>
      <c r="L664" s="22" t="str">
        <f t="shared" si="464"/>
        <v/>
      </c>
      <c r="M664" s="22" t="str">
        <f t="shared" si="465"/>
        <v/>
      </c>
      <c r="N664" s="22" t="str">
        <f t="shared" si="466"/>
        <v/>
      </c>
      <c r="O664" s="22" t="str">
        <f t="shared" si="467"/>
        <v/>
      </c>
      <c r="P664" s="21" t="str">
        <f t="shared" si="468"/>
        <v>Apprenant 652 ou 652'</v>
      </c>
      <c r="Q664" s="22" t="str">
        <f t="shared" si="469"/>
        <v/>
      </c>
      <c r="R664" s="22" t="str">
        <f t="shared" si="470"/>
        <v/>
      </c>
      <c r="S664" s="22" t="str">
        <f t="shared" si="471"/>
        <v/>
      </c>
      <c r="T664" s="22" t="str">
        <f t="shared" si="472"/>
        <v/>
      </c>
      <c r="V664" s="21" t="str">
        <f t="shared" si="473"/>
        <v>Apprenant 652</v>
      </c>
      <c r="W664" s="22" t="str">
        <f>IF(AND(OR('Choix pédagogiques'!$C$3=1,'Choix pédagogiques'!$C$3=2),$BM664=1),B664,IF(AND('Choix pédagogiques'!$C$3=3,$BO664=1),B664,""))</f>
        <v/>
      </c>
      <c r="X664" s="22" t="str">
        <f>IF(AND(OR('Choix pédagogiques'!$C$3=1,'Choix pédagogiques'!$C$3=2),$BM664=1),C664,IF(AND('Choix pédagogiques'!$C$3=3,$BO664=1),C664,""))</f>
        <v/>
      </c>
      <c r="Y664" s="22" t="str">
        <f>IF(AND(OR('Choix pédagogiques'!$C$3=1,'Choix pédagogiques'!$C$3=2),$BM664=1),D664,IF(AND('Choix pédagogiques'!$C$3=3,$BO664=1),D664,""))</f>
        <v/>
      </c>
      <c r="Z664" s="22" t="str">
        <f t="shared" si="474"/>
        <v/>
      </c>
      <c r="AA664" s="21" t="str">
        <f t="shared" si="475"/>
        <v>Apprenant 652 ou 652'</v>
      </c>
      <c r="AB664" s="22" t="str">
        <f>IF(AND(OR('Choix pédagogiques'!$C$3=1,'Choix pédagogiques'!$C$3=2),$BN664=1),G664,IF(AND('Choix pédagogiques'!$C$3=3,$BO664=1),G664,""))</f>
        <v/>
      </c>
      <c r="AC664" s="22" t="str">
        <f>IF(AND(OR('Choix pédagogiques'!$C$3=1,'Choix pédagogiques'!$C$3=2),$BN664=1),H664,IF(AND('Choix pédagogiques'!$C$3=3,$BO664=1),H664,""))</f>
        <v/>
      </c>
      <c r="AD664" s="22" t="str">
        <f>IF(AND(OR('Choix pédagogiques'!$C$3=1,'Choix pédagogiques'!$C$3=2),$BN664=1),I664,IF(AND('Choix pédagogiques'!$C$3=3,$BO664=1),I664,""))</f>
        <v/>
      </c>
      <c r="AE664" s="22" t="str">
        <f t="shared" si="476"/>
        <v/>
      </c>
      <c r="AF664" s="21" t="str">
        <f t="shared" si="477"/>
        <v>Apprenant 652</v>
      </c>
      <c r="AG664" s="22" t="str">
        <f t="shared" si="451"/>
        <v/>
      </c>
      <c r="AH664" s="22" t="str">
        <f t="shared" si="452"/>
        <v/>
      </c>
      <c r="AI664" s="22" t="str">
        <f t="shared" si="453"/>
        <v/>
      </c>
      <c r="AJ664" s="22" t="str">
        <f t="shared" si="478"/>
        <v/>
      </c>
      <c r="AK664" s="21" t="str">
        <f t="shared" si="479"/>
        <v>Apprenant 652 ou 652'</v>
      </c>
      <c r="AL664" s="22" t="str">
        <f t="shared" si="454"/>
        <v/>
      </c>
      <c r="AM664" s="22" t="str">
        <f t="shared" si="455"/>
        <v/>
      </c>
      <c r="AN664" s="22" t="str">
        <f t="shared" si="456"/>
        <v/>
      </c>
      <c r="AO664" s="22" t="str">
        <f t="shared" si="480"/>
        <v/>
      </c>
      <c r="AQ664" s="21" t="str">
        <f t="shared" si="481"/>
        <v>Apprenant 652</v>
      </c>
      <c r="AR664" s="49" t="str">
        <f>IF(AND('Choix pédagogiques'!$C$4&lt;&gt;"?",'Choix pédagogiques'!$C$5&lt;&gt;"?",W664&lt;&gt;""),(W664-'Choix pédagogiques'!$C$4)/('Choix pédagogiques'!$C$5-'Choix pédagogiques'!$C$4),"")</f>
        <v/>
      </c>
      <c r="AS664" s="49" t="str">
        <f>IF(AND('Choix pédagogiques'!$C$4&lt;&gt;"?",'Choix pédagogiques'!$C$5&lt;&gt;"?",X664&lt;&gt;""),(X664-'Choix pédagogiques'!$C$4)/('Choix pédagogiques'!$C$5-'Choix pédagogiques'!$C$4),"")</f>
        <v/>
      </c>
      <c r="AT664" s="49" t="str">
        <f>IF(AND('Choix pédagogiques'!$C$4&lt;&gt;"?",'Choix pédagogiques'!$C$5&lt;&gt;"?",Y664&lt;&gt;""),(Y664-'Choix pédagogiques'!$C$4)/('Choix pédagogiques'!$C$5-'Choix pédagogiques'!$C$4),"")</f>
        <v/>
      </c>
      <c r="AU664" s="22" t="str">
        <f t="shared" si="482"/>
        <v/>
      </c>
      <c r="AV664" s="21" t="str">
        <f t="shared" si="483"/>
        <v>Apprenant 652 ou 652'</v>
      </c>
      <c r="AW664" s="49" t="str">
        <f>IF(AND('Choix pédagogiques'!$C$4&lt;&gt;"?",'Choix pédagogiques'!$C$5&lt;&gt;"?",AB664&lt;&gt;""),(AB664-'Choix pédagogiques'!$C$4)/('Choix pédagogiques'!$C$5-'Choix pédagogiques'!$C$4),"")</f>
        <v/>
      </c>
      <c r="AX664" s="49" t="str">
        <f>IF(AND('Choix pédagogiques'!$C$4&lt;&gt;"?",'Choix pédagogiques'!$C$5&lt;&gt;"?",AC664&lt;&gt;""),(AC664-'Choix pédagogiques'!$C$4)/('Choix pédagogiques'!$C$5-'Choix pédagogiques'!$C$4),"")</f>
        <v/>
      </c>
      <c r="AY664" s="49" t="str">
        <f>IF(AND('Choix pédagogiques'!$C$4&lt;&gt;"?",'Choix pédagogiques'!$C$5&lt;&gt;"?",AD664&lt;&gt;""),(AD664-'Choix pédagogiques'!$C$4)/('Choix pédagogiques'!$C$5-'Choix pédagogiques'!$C$4),"")</f>
        <v/>
      </c>
      <c r="AZ664" s="22" t="str">
        <f t="shared" si="484"/>
        <v/>
      </c>
      <c r="BA664" s="21" t="str">
        <f t="shared" si="485"/>
        <v>Apprenant 652</v>
      </c>
      <c r="BB664" s="49" t="str">
        <f t="shared" si="457"/>
        <v/>
      </c>
      <c r="BC664" s="49" t="str">
        <f t="shared" si="458"/>
        <v/>
      </c>
      <c r="BD664" s="49" t="str">
        <f t="shared" si="459"/>
        <v/>
      </c>
      <c r="BE664" s="22" t="str">
        <f t="shared" si="486"/>
        <v/>
      </c>
      <c r="BF664" s="21" t="str">
        <f t="shared" si="487"/>
        <v>Apprenant 652 ou 652'</v>
      </c>
      <c r="BG664" s="49" t="str">
        <f t="shared" si="460"/>
        <v/>
      </c>
      <c r="BH664" s="49" t="str">
        <f t="shared" si="461"/>
        <v/>
      </c>
      <c r="BI664" s="49" t="str">
        <f t="shared" si="462"/>
        <v/>
      </c>
      <c r="BJ664" s="22" t="str">
        <f t="shared" si="488"/>
        <v/>
      </c>
      <c r="BL664" s="21"/>
      <c r="BM664" s="21" t="str">
        <f>IF(OR(COUNT(B664:D1663)=0,AND('Choix pédagogiques'!$C$3&lt;&gt;1,'Choix pédagogiques'!$C$3&lt;&gt;2)),"",IF(AND(OR('Choix pédagogiques'!$C$3=1,'Choix pédagogiques'!$C$3=2),$B664&lt;&gt;"",$C664&lt;&gt;"",$D664&lt;&gt;""),1,0))</f>
        <v/>
      </c>
      <c r="BN664" s="21" t="str">
        <f>IF(OR(COUNT(G664:I1663)=0,AND('Choix pédagogiques'!$C$3&lt;&gt;1,'Choix pédagogiques'!$C$3&lt;&gt;2)),"",IF(AND(OR('Choix pédagogiques'!$C$3=1,'Choix pédagogiques'!$C$3=2),AND($G664&lt;&gt;"",$H664&lt;&gt;"",$I664&lt;&gt;"")),1,0))</f>
        <v/>
      </c>
      <c r="BO664" s="21" t="str">
        <f>IF(OR(COUNT(B664:D1663)=0,COUNT(G664:I1663)=0,'Choix pédagogiques'!C$3&lt;&gt;3),"",IF(AND('Choix pédagogiques'!$C$3=3,$B664&lt;&gt;"",$C664&lt;&gt;"",$D664&lt;&gt;"",$G664&lt;&gt;"",$H664&lt;&gt;"",$I664&lt;&gt;""),1,0))</f>
        <v/>
      </c>
      <c r="BR664" s="21">
        <v>909</v>
      </c>
      <c r="BS664" s="21">
        <v>1915</v>
      </c>
      <c r="BT664"/>
    </row>
    <row r="665" spans="1:72" s="23" customFormat="1" ht="18" customHeight="1" x14ac:dyDescent="0.3">
      <c r="A665" s="35" t="s">
        <v>655</v>
      </c>
      <c r="B665" s="37"/>
      <c r="C665" s="37"/>
      <c r="D665" s="37"/>
      <c r="E665" s="37"/>
      <c r="F665" s="35" t="s">
        <v>1663</v>
      </c>
      <c r="G665" s="37"/>
      <c r="H665" s="37"/>
      <c r="I665" s="37"/>
      <c r="J665" s="37"/>
      <c r="K665" s="21" t="str">
        <f t="shared" si="463"/>
        <v>Apprenant 653</v>
      </c>
      <c r="L665" s="22" t="str">
        <f t="shared" si="464"/>
        <v/>
      </c>
      <c r="M665" s="22" t="str">
        <f t="shared" si="465"/>
        <v/>
      </c>
      <c r="N665" s="22" t="str">
        <f t="shared" si="466"/>
        <v/>
      </c>
      <c r="O665" s="22" t="str">
        <f t="shared" si="467"/>
        <v/>
      </c>
      <c r="P665" s="21" t="str">
        <f t="shared" si="468"/>
        <v>Apprenant 653 ou 653'</v>
      </c>
      <c r="Q665" s="22" t="str">
        <f t="shared" si="469"/>
        <v/>
      </c>
      <c r="R665" s="22" t="str">
        <f t="shared" si="470"/>
        <v/>
      </c>
      <c r="S665" s="22" t="str">
        <f t="shared" si="471"/>
        <v/>
      </c>
      <c r="T665" s="22" t="str">
        <f t="shared" si="472"/>
        <v/>
      </c>
      <c r="V665" s="21" t="str">
        <f t="shared" si="473"/>
        <v>Apprenant 653</v>
      </c>
      <c r="W665" s="22" t="str">
        <f>IF(AND(OR('Choix pédagogiques'!$C$3=1,'Choix pédagogiques'!$C$3=2),$BM665=1),B665,IF(AND('Choix pédagogiques'!$C$3=3,$BO665=1),B665,""))</f>
        <v/>
      </c>
      <c r="X665" s="22" t="str">
        <f>IF(AND(OR('Choix pédagogiques'!$C$3=1,'Choix pédagogiques'!$C$3=2),$BM665=1),C665,IF(AND('Choix pédagogiques'!$C$3=3,$BO665=1),C665,""))</f>
        <v/>
      </c>
      <c r="Y665" s="22" t="str">
        <f>IF(AND(OR('Choix pédagogiques'!$C$3=1,'Choix pédagogiques'!$C$3=2),$BM665=1),D665,IF(AND('Choix pédagogiques'!$C$3=3,$BO665=1),D665,""))</f>
        <v/>
      </c>
      <c r="Z665" s="22" t="str">
        <f t="shared" si="474"/>
        <v/>
      </c>
      <c r="AA665" s="21" t="str">
        <f t="shared" si="475"/>
        <v>Apprenant 653 ou 653'</v>
      </c>
      <c r="AB665" s="22" t="str">
        <f>IF(AND(OR('Choix pédagogiques'!$C$3=1,'Choix pédagogiques'!$C$3=2),$BN665=1),G665,IF(AND('Choix pédagogiques'!$C$3=3,$BO665=1),G665,""))</f>
        <v/>
      </c>
      <c r="AC665" s="22" t="str">
        <f>IF(AND(OR('Choix pédagogiques'!$C$3=1,'Choix pédagogiques'!$C$3=2),$BN665=1),H665,IF(AND('Choix pédagogiques'!$C$3=3,$BO665=1),H665,""))</f>
        <v/>
      </c>
      <c r="AD665" s="22" t="str">
        <f>IF(AND(OR('Choix pédagogiques'!$C$3=1,'Choix pédagogiques'!$C$3=2),$BN665=1),I665,IF(AND('Choix pédagogiques'!$C$3=3,$BO665=1),I665,""))</f>
        <v/>
      </c>
      <c r="AE665" s="22" t="str">
        <f t="shared" si="476"/>
        <v/>
      </c>
      <c r="AF665" s="21" t="str">
        <f t="shared" si="477"/>
        <v>Apprenant 653</v>
      </c>
      <c r="AG665" s="22" t="str">
        <f t="shared" si="451"/>
        <v/>
      </c>
      <c r="AH665" s="22" t="str">
        <f t="shared" si="452"/>
        <v/>
      </c>
      <c r="AI665" s="22" t="str">
        <f t="shared" si="453"/>
        <v/>
      </c>
      <c r="AJ665" s="22" t="str">
        <f t="shared" si="478"/>
        <v/>
      </c>
      <c r="AK665" s="21" t="str">
        <f t="shared" si="479"/>
        <v>Apprenant 653 ou 653'</v>
      </c>
      <c r="AL665" s="22" t="str">
        <f t="shared" si="454"/>
        <v/>
      </c>
      <c r="AM665" s="22" t="str">
        <f t="shared" si="455"/>
        <v/>
      </c>
      <c r="AN665" s="22" t="str">
        <f t="shared" si="456"/>
        <v/>
      </c>
      <c r="AO665" s="22" t="str">
        <f t="shared" si="480"/>
        <v/>
      </c>
      <c r="AQ665" s="21" t="str">
        <f t="shared" si="481"/>
        <v>Apprenant 653</v>
      </c>
      <c r="AR665" s="49" t="str">
        <f>IF(AND('Choix pédagogiques'!$C$4&lt;&gt;"?",'Choix pédagogiques'!$C$5&lt;&gt;"?",W665&lt;&gt;""),(W665-'Choix pédagogiques'!$C$4)/('Choix pédagogiques'!$C$5-'Choix pédagogiques'!$C$4),"")</f>
        <v/>
      </c>
      <c r="AS665" s="49" t="str">
        <f>IF(AND('Choix pédagogiques'!$C$4&lt;&gt;"?",'Choix pédagogiques'!$C$5&lt;&gt;"?",X665&lt;&gt;""),(X665-'Choix pédagogiques'!$C$4)/('Choix pédagogiques'!$C$5-'Choix pédagogiques'!$C$4),"")</f>
        <v/>
      </c>
      <c r="AT665" s="49" t="str">
        <f>IF(AND('Choix pédagogiques'!$C$4&lt;&gt;"?",'Choix pédagogiques'!$C$5&lt;&gt;"?",Y665&lt;&gt;""),(Y665-'Choix pédagogiques'!$C$4)/('Choix pédagogiques'!$C$5-'Choix pédagogiques'!$C$4),"")</f>
        <v/>
      </c>
      <c r="AU665" s="22" t="str">
        <f t="shared" si="482"/>
        <v/>
      </c>
      <c r="AV665" s="21" t="str">
        <f t="shared" si="483"/>
        <v>Apprenant 653 ou 653'</v>
      </c>
      <c r="AW665" s="49" t="str">
        <f>IF(AND('Choix pédagogiques'!$C$4&lt;&gt;"?",'Choix pédagogiques'!$C$5&lt;&gt;"?",AB665&lt;&gt;""),(AB665-'Choix pédagogiques'!$C$4)/('Choix pédagogiques'!$C$5-'Choix pédagogiques'!$C$4),"")</f>
        <v/>
      </c>
      <c r="AX665" s="49" t="str">
        <f>IF(AND('Choix pédagogiques'!$C$4&lt;&gt;"?",'Choix pédagogiques'!$C$5&lt;&gt;"?",AC665&lt;&gt;""),(AC665-'Choix pédagogiques'!$C$4)/('Choix pédagogiques'!$C$5-'Choix pédagogiques'!$C$4),"")</f>
        <v/>
      </c>
      <c r="AY665" s="49" t="str">
        <f>IF(AND('Choix pédagogiques'!$C$4&lt;&gt;"?",'Choix pédagogiques'!$C$5&lt;&gt;"?",AD665&lt;&gt;""),(AD665-'Choix pédagogiques'!$C$4)/('Choix pédagogiques'!$C$5-'Choix pédagogiques'!$C$4),"")</f>
        <v/>
      </c>
      <c r="AZ665" s="22" t="str">
        <f t="shared" si="484"/>
        <v/>
      </c>
      <c r="BA665" s="21" t="str">
        <f t="shared" si="485"/>
        <v>Apprenant 653</v>
      </c>
      <c r="BB665" s="49" t="str">
        <f t="shared" si="457"/>
        <v/>
      </c>
      <c r="BC665" s="49" t="str">
        <f t="shared" si="458"/>
        <v/>
      </c>
      <c r="BD665" s="49" t="str">
        <f t="shared" si="459"/>
        <v/>
      </c>
      <c r="BE665" s="22" t="str">
        <f t="shared" si="486"/>
        <v/>
      </c>
      <c r="BF665" s="21" t="str">
        <f t="shared" si="487"/>
        <v>Apprenant 653 ou 653'</v>
      </c>
      <c r="BG665" s="49" t="str">
        <f t="shared" si="460"/>
        <v/>
      </c>
      <c r="BH665" s="49" t="str">
        <f t="shared" si="461"/>
        <v/>
      </c>
      <c r="BI665" s="49" t="str">
        <f t="shared" si="462"/>
        <v/>
      </c>
      <c r="BJ665" s="22" t="str">
        <f t="shared" si="488"/>
        <v/>
      </c>
      <c r="BL665" s="21"/>
      <c r="BM665" s="21" t="str">
        <f>IF(OR(COUNT(B665:D1664)=0,AND('Choix pédagogiques'!$C$3&lt;&gt;1,'Choix pédagogiques'!$C$3&lt;&gt;2)),"",IF(AND(OR('Choix pédagogiques'!$C$3=1,'Choix pédagogiques'!$C$3=2),$B665&lt;&gt;"",$C665&lt;&gt;"",$D665&lt;&gt;""),1,0))</f>
        <v/>
      </c>
      <c r="BN665" s="21" t="str">
        <f>IF(OR(COUNT(G665:I1664)=0,AND('Choix pédagogiques'!$C$3&lt;&gt;1,'Choix pédagogiques'!$C$3&lt;&gt;2)),"",IF(AND(OR('Choix pédagogiques'!$C$3=1,'Choix pédagogiques'!$C$3=2),AND($G665&lt;&gt;"",$H665&lt;&gt;"",$I665&lt;&gt;"")),1,0))</f>
        <v/>
      </c>
      <c r="BO665" s="21" t="str">
        <f>IF(OR(COUNT(B665:D1664)=0,COUNT(G665:I1664)=0,'Choix pédagogiques'!C$3&lt;&gt;3),"",IF(AND('Choix pédagogiques'!$C$3=3,$B665&lt;&gt;"",$C665&lt;&gt;"",$D665&lt;&gt;"",$G665&lt;&gt;"",$H665&lt;&gt;"",$I665&lt;&gt;""),1,0))</f>
        <v/>
      </c>
      <c r="BR665" s="21">
        <v>149</v>
      </c>
      <c r="BS665" s="21">
        <v>1394</v>
      </c>
      <c r="BT665"/>
    </row>
    <row r="666" spans="1:72" s="23" customFormat="1" ht="18" customHeight="1" x14ac:dyDescent="0.3">
      <c r="A666" s="35" t="s">
        <v>656</v>
      </c>
      <c r="B666" s="37"/>
      <c r="C666" s="37"/>
      <c r="D666" s="37"/>
      <c r="E666" s="37"/>
      <c r="F666" s="35" t="s">
        <v>1664</v>
      </c>
      <c r="G666" s="37"/>
      <c r="H666" s="37"/>
      <c r="I666" s="37"/>
      <c r="J666" s="37"/>
      <c r="K666" s="21" t="str">
        <f t="shared" si="463"/>
        <v>Apprenant 654</v>
      </c>
      <c r="L666" s="22" t="str">
        <f t="shared" si="464"/>
        <v/>
      </c>
      <c r="M666" s="22" t="str">
        <f t="shared" si="465"/>
        <v/>
      </c>
      <c r="N666" s="22" t="str">
        <f t="shared" si="466"/>
        <v/>
      </c>
      <c r="O666" s="22" t="str">
        <f t="shared" si="467"/>
        <v/>
      </c>
      <c r="P666" s="21" t="str">
        <f t="shared" si="468"/>
        <v>Apprenant 654 ou 654'</v>
      </c>
      <c r="Q666" s="22" t="str">
        <f t="shared" si="469"/>
        <v/>
      </c>
      <c r="R666" s="22" t="str">
        <f t="shared" si="470"/>
        <v/>
      </c>
      <c r="S666" s="22" t="str">
        <f t="shared" si="471"/>
        <v/>
      </c>
      <c r="T666" s="22" t="str">
        <f t="shared" si="472"/>
        <v/>
      </c>
      <c r="V666" s="21" t="str">
        <f t="shared" si="473"/>
        <v>Apprenant 654</v>
      </c>
      <c r="W666" s="22" t="str">
        <f>IF(AND(OR('Choix pédagogiques'!$C$3=1,'Choix pédagogiques'!$C$3=2),$BM666=1),B666,IF(AND('Choix pédagogiques'!$C$3=3,$BO666=1),B666,""))</f>
        <v/>
      </c>
      <c r="X666" s="22" t="str">
        <f>IF(AND(OR('Choix pédagogiques'!$C$3=1,'Choix pédagogiques'!$C$3=2),$BM666=1),C666,IF(AND('Choix pédagogiques'!$C$3=3,$BO666=1),C666,""))</f>
        <v/>
      </c>
      <c r="Y666" s="22" t="str">
        <f>IF(AND(OR('Choix pédagogiques'!$C$3=1,'Choix pédagogiques'!$C$3=2),$BM666=1),D666,IF(AND('Choix pédagogiques'!$C$3=3,$BO666=1),D666,""))</f>
        <v/>
      </c>
      <c r="Z666" s="22" t="str">
        <f t="shared" si="474"/>
        <v/>
      </c>
      <c r="AA666" s="21" t="str">
        <f t="shared" si="475"/>
        <v>Apprenant 654 ou 654'</v>
      </c>
      <c r="AB666" s="22" t="str">
        <f>IF(AND(OR('Choix pédagogiques'!$C$3=1,'Choix pédagogiques'!$C$3=2),$BN666=1),G666,IF(AND('Choix pédagogiques'!$C$3=3,$BO666=1),G666,""))</f>
        <v/>
      </c>
      <c r="AC666" s="22" t="str">
        <f>IF(AND(OR('Choix pédagogiques'!$C$3=1,'Choix pédagogiques'!$C$3=2),$BN666=1),H666,IF(AND('Choix pédagogiques'!$C$3=3,$BO666=1),H666,""))</f>
        <v/>
      </c>
      <c r="AD666" s="22" t="str">
        <f>IF(AND(OR('Choix pédagogiques'!$C$3=1,'Choix pédagogiques'!$C$3=2),$BN666=1),I666,IF(AND('Choix pédagogiques'!$C$3=3,$BO666=1),I666,""))</f>
        <v/>
      </c>
      <c r="AE666" s="22" t="str">
        <f t="shared" si="476"/>
        <v/>
      </c>
      <c r="AF666" s="21" t="str">
        <f t="shared" si="477"/>
        <v>Apprenant 654</v>
      </c>
      <c r="AG666" s="22" t="str">
        <f t="shared" si="451"/>
        <v/>
      </c>
      <c r="AH666" s="22" t="str">
        <f t="shared" si="452"/>
        <v/>
      </c>
      <c r="AI666" s="22" t="str">
        <f t="shared" si="453"/>
        <v/>
      </c>
      <c r="AJ666" s="22" t="str">
        <f t="shared" si="478"/>
        <v/>
      </c>
      <c r="AK666" s="21" t="str">
        <f t="shared" si="479"/>
        <v>Apprenant 654 ou 654'</v>
      </c>
      <c r="AL666" s="22" t="str">
        <f t="shared" si="454"/>
        <v/>
      </c>
      <c r="AM666" s="22" t="str">
        <f t="shared" si="455"/>
        <v/>
      </c>
      <c r="AN666" s="22" t="str">
        <f t="shared" si="456"/>
        <v/>
      </c>
      <c r="AO666" s="22" t="str">
        <f t="shared" si="480"/>
        <v/>
      </c>
      <c r="AQ666" s="21" t="str">
        <f t="shared" si="481"/>
        <v>Apprenant 654</v>
      </c>
      <c r="AR666" s="49" t="str">
        <f>IF(AND('Choix pédagogiques'!$C$4&lt;&gt;"?",'Choix pédagogiques'!$C$5&lt;&gt;"?",W666&lt;&gt;""),(W666-'Choix pédagogiques'!$C$4)/('Choix pédagogiques'!$C$5-'Choix pédagogiques'!$C$4),"")</f>
        <v/>
      </c>
      <c r="AS666" s="49" t="str">
        <f>IF(AND('Choix pédagogiques'!$C$4&lt;&gt;"?",'Choix pédagogiques'!$C$5&lt;&gt;"?",X666&lt;&gt;""),(X666-'Choix pédagogiques'!$C$4)/('Choix pédagogiques'!$C$5-'Choix pédagogiques'!$C$4),"")</f>
        <v/>
      </c>
      <c r="AT666" s="49" t="str">
        <f>IF(AND('Choix pédagogiques'!$C$4&lt;&gt;"?",'Choix pédagogiques'!$C$5&lt;&gt;"?",Y666&lt;&gt;""),(Y666-'Choix pédagogiques'!$C$4)/('Choix pédagogiques'!$C$5-'Choix pédagogiques'!$C$4),"")</f>
        <v/>
      </c>
      <c r="AU666" s="22" t="str">
        <f t="shared" si="482"/>
        <v/>
      </c>
      <c r="AV666" s="21" t="str">
        <f t="shared" si="483"/>
        <v>Apprenant 654 ou 654'</v>
      </c>
      <c r="AW666" s="49" t="str">
        <f>IF(AND('Choix pédagogiques'!$C$4&lt;&gt;"?",'Choix pédagogiques'!$C$5&lt;&gt;"?",AB666&lt;&gt;""),(AB666-'Choix pédagogiques'!$C$4)/('Choix pédagogiques'!$C$5-'Choix pédagogiques'!$C$4),"")</f>
        <v/>
      </c>
      <c r="AX666" s="49" t="str">
        <f>IF(AND('Choix pédagogiques'!$C$4&lt;&gt;"?",'Choix pédagogiques'!$C$5&lt;&gt;"?",AC666&lt;&gt;""),(AC666-'Choix pédagogiques'!$C$4)/('Choix pédagogiques'!$C$5-'Choix pédagogiques'!$C$4),"")</f>
        <v/>
      </c>
      <c r="AY666" s="49" t="str">
        <f>IF(AND('Choix pédagogiques'!$C$4&lt;&gt;"?",'Choix pédagogiques'!$C$5&lt;&gt;"?",AD666&lt;&gt;""),(AD666-'Choix pédagogiques'!$C$4)/('Choix pédagogiques'!$C$5-'Choix pédagogiques'!$C$4),"")</f>
        <v/>
      </c>
      <c r="AZ666" s="22" t="str">
        <f t="shared" si="484"/>
        <v/>
      </c>
      <c r="BA666" s="21" t="str">
        <f t="shared" si="485"/>
        <v>Apprenant 654</v>
      </c>
      <c r="BB666" s="49" t="str">
        <f t="shared" si="457"/>
        <v/>
      </c>
      <c r="BC666" s="49" t="str">
        <f t="shared" si="458"/>
        <v/>
      </c>
      <c r="BD666" s="49" t="str">
        <f t="shared" si="459"/>
        <v/>
      </c>
      <c r="BE666" s="22" t="str">
        <f t="shared" si="486"/>
        <v/>
      </c>
      <c r="BF666" s="21" t="str">
        <f t="shared" si="487"/>
        <v>Apprenant 654 ou 654'</v>
      </c>
      <c r="BG666" s="49" t="str">
        <f t="shared" si="460"/>
        <v/>
      </c>
      <c r="BH666" s="49" t="str">
        <f t="shared" si="461"/>
        <v/>
      </c>
      <c r="BI666" s="49" t="str">
        <f t="shared" si="462"/>
        <v/>
      </c>
      <c r="BJ666" s="22" t="str">
        <f t="shared" si="488"/>
        <v/>
      </c>
      <c r="BL666" s="21"/>
      <c r="BM666" s="21" t="str">
        <f>IF(OR(COUNT(B666:D1665)=0,AND('Choix pédagogiques'!$C$3&lt;&gt;1,'Choix pédagogiques'!$C$3&lt;&gt;2)),"",IF(AND(OR('Choix pédagogiques'!$C$3=1,'Choix pédagogiques'!$C$3=2),$B666&lt;&gt;"",$C666&lt;&gt;"",$D666&lt;&gt;""),1,0))</f>
        <v/>
      </c>
      <c r="BN666" s="21" t="str">
        <f>IF(OR(COUNT(G666:I1665)=0,AND('Choix pédagogiques'!$C$3&lt;&gt;1,'Choix pédagogiques'!$C$3&lt;&gt;2)),"",IF(AND(OR('Choix pédagogiques'!$C$3=1,'Choix pédagogiques'!$C$3=2),AND($G666&lt;&gt;"",$H666&lt;&gt;"",$I666&lt;&gt;"")),1,0))</f>
        <v/>
      </c>
      <c r="BO666" s="21" t="str">
        <f>IF(OR(COUNT(B666:D1665)=0,COUNT(G666:I1665)=0,'Choix pédagogiques'!C$3&lt;&gt;3),"",IF(AND('Choix pédagogiques'!$C$3=3,$B666&lt;&gt;"",$C666&lt;&gt;"",$D666&lt;&gt;"",$G666&lt;&gt;"",$H666&lt;&gt;"",$I666&lt;&gt;""),1,0))</f>
        <v/>
      </c>
      <c r="BR666" s="21">
        <v>52</v>
      </c>
      <c r="BS666" s="21">
        <v>1753</v>
      </c>
      <c r="BT666"/>
    </row>
    <row r="667" spans="1:72" s="23" customFormat="1" ht="18" customHeight="1" x14ac:dyDescent="0.3">
      <c r="A667" s="35" t="s">
        <v>657</v>
      </c>
      <c r="B667" s="37"/>
      <c r="C667" s="37"/>
      <c r="D667" s="37"/>
      <c r="E667" s="37"/>
      <c r="F667" s="35" t="s">
        <v>1665</v>
      </c>
      <c r="G667" s="37"/>
      <c r="H667" s="37"/>
      <c r="I667" s="37"/>
      <c r="J667" s="37"/>
      <c r="K667" s="21" t="str">
        <f t="shared" si="463"/>
        <v>Apprenant 655</v>
      </c>
      <c r="L667" s="22" t="str">
        <f t="shared" si="464"/>
        <v/>
      </c>
      <c r="M667" s="22" t="str">
        <f t="shared" si="465"/>
        <v/>
      </c>
      <c r="N667" s="22" t="str">
        <f t="shared" si="466"/>
        <v/>
      </c>
      <c r="O667" s="22" t="str">
        <f t="shared" si="467"/>
        <v/>
      </c>
      <c r="P667" s="21" t="str">
        <f t="shared" si="468"/>
        <v>Apprenant 655 ou 655'</v>
      </c>
      <c r="Q667" s="22" t="str">
        <f t="shared" si="469"/>
        <v/>
      </c>
      <c r="R667" s="22" t="str">
        <f t="shared" si="470"/>
        <v/>
      </c>
      <c r="S667" s="22" t="str">
        <f t="shared" si="471"/>
        <v/>
      </c>
      <c r="T667" s="22" t="str">
        <f t="shared" si="472"/>
        <v/>
      </c>
      <c r="V667" s="21" t="str">
        <f t="shared" si="473"/>
        <v>Apprenant 655</v>
      </c>
      <c r="W667" s="22" t="str">
        <f>IF(AND(OR('Choix pédagogiques'!$C$3=1,'Choix pédagogiques'!$C$3=2),$BM667=1),B667,IF(AND('Choix pédagogiques'!$C$3=3,$BO667=1),B667,""))</f>
        <v/>
      </c>
      <c r="X667" s="22" t="str">
        <f>IF(AND(OR('Choix pédagogiques'!$C$3=1,'Choix pédagogiques'!$C$3=2),$BM667=1),C667,IF(AND('Choix pédagogiques'!$C$3=3,$BO667=1),C667,""))</f>
        <v/>
      </c>
      <c r="Y667" s="22" t="str">
        <f>IF(AND(OR('Choix pédagogiques'!$C$3=1,'Choix pédagogiques'!$C$3=2),$BM667=1),D667,IF(AND('Choix pédagogiques'!$C$3=3,$BO667=1),D667,""))</f>
        <v/>
      </c>
      <c r="Z667" s="22" t="str">
        <f t="shared" si="474"/>
        <v/>
      </c>
      <c r="AA667" s="21" t="str">
        <f t="shared" si="475"/>
        <v>Apprenant 655 ou 655'</v>
      </c>
      <c r="AB667" s="22" t="str">
        <f>IF(AND(OR('Choix pédagogiques'!$C$3=1,'Choix pédagogiques'!$C$3=2),$BN667=1),G667,IF(AND('Choix pédagogiques'!$C$3=3,$BO667=1),G667,""))</f>
        <v/>
      </c>
      <c r="AC667" s="22" t="str">
        <f>IF(AND(OR('Choix pédagogiques'!$C$3=1,'Choix pédagogiques'!$C$3=2),$BN667=1),H667,IF(AND('Choix pédagogiques'!$C$3=3,$BO667=1),H667,""))</f>
        <v/>
      </c>
      <c r="AD667" s="22" t="str">
        <f>IF(AND(OR('Choix pédagogiques'!$C$3=1,'Choix pédagogiques'!$C$3=2),$BN667=1),I667,IF(AND('Choix pédagogiques'!$C$3=3,$BO667=1),I667,""))</f>
        <v/>
      </c>
      <c r="AE667" s="22" t="str">
        <f t="shared" si="476"/>
        <v/>
      </c>
      <c r="AF667" s="21" t="str">
        <f t="shared" si="477"/>
        <v>Apprenant 655</v>
      </c>
      <c r="AG667" s="22" t="str">
        <f t="shared" si="451"/>
        <v/>
      </c>
      <c r="AH667" s="22" t="str">
        <f t="shared" si="452"/>
        <v/>
      </c>
      <c r="AI667" s="22" t="str">
        <f t="shared" si="453"/>
        <v/>
      </c>
      <c r="AJ667" s="22" t="str">
        <f t="shared" si="478"/>
        <v/>
      </c>
      <c r="AK667" s="21" t="str">
        <f t="shared" si="479"/>
        <v>Apprenant 655 ou 655'</v>
      </c>
      <c r="AL667" s="22" t="str">
        <f t="shared" si="454"/>
        <v/>
      </c>
      <c r="AM667" s="22" t="str">
        <f t="shared" si="455"/>
        <v/>
      </c>
      <c r="AN667" s="22" t="str">
        <f t="shared" si="456"/>
        <v/>
      </c>
      <c r="AO667" s="22" t="str">
        <f t="shared" si="480"/>
        <v/>
      </c>
      <c r="AQ667" s="21" t="str">
        <f t="shared" si="481"/>
        <v>Apprenant 655</v>
      </c>
      <c r="AR667" s="49" t="str">
        <f>IF(AND('Choix pédagogiques'!$C$4&lt;&gt;"?",'Choix pédagogiques'!$C$5&lt;&gt;"?",W667&lt;&gt;""),(W667-'Choix pédagogiques'!$C$4)/('Choix pédagogiques'!$C$5-'Choix pédagogiques'!$C$4),"")</f>
        <v/>
      </c>
      <c r="AS667" s="49" t="str">
        <f>IF(AND('Choix pédagogiques'!$C$4&lt;&gt;"?",'Choix pédagogiques'!$C$5&lt;&gt;"?",X667&lt;&gt;""),(X667-'Choix pédagogiques'!$C$4)/('Choix pédagogiques'!$C$5-'Choix pédagogiques'!$C$4),"")</f>
        <v/>
      </c>
      <c r="AT667" s="49" t="str">
        <f>IF(AND('Choix pédagogiques'!$C$4&lt;&gt;"?",'Choix pédagogiques'!$C$5&lt;&gt;"?",Y667&lt;&gt;""),(Y667-'Choix pédagogiques'!$C$4)/('Choix pédagogiques'!$C$5-'Choix pédagogiques'!$C$4),"")</f>
        <v/>
      </c>
      <c r="AU667" s="22" t="str">
        <f t="shared" si="482"/>
        <v/>
      </c>
      <c r="AV667" s="21" t="str">
        <f t="shared" si="483"/>
        <v>Apprenant 655 ou 655'</v>
      </c>
      <c r="AW667" s="49" t="str">
        <f>IF(AND('Choix pédagogiques'!$C$4&lt;&gt;"?",'Choix pédagogiques'!$C$5&lt;&gt;"?",AB667&lt;&gt;""),(AB667-'Choix pédagogiques'!$C$4)/('Choix pédagogiques'!$C$5-'Choix pédagogiques'!$C$4),"")</f>
        <v/>
      </c>
      <c r="AX667" s="49" t="str">
        <f>IF(AND('Choix pédagogiques'!$C$4&lt;&gt;"?",'Choix pédagogiques'!$C$5&lt;&gt;"?",AC667&lt;&gt;""),(AC667-'Choix pédagogiques'!$C$4)/('Choix pédagogiques'!$C$5-'Choix pédagogiques'!$C$4),"")</f>
        <v/>
      </c>
      <c r="AY667" s="49" t="str">
        <f>IF(AND('Choix pédagogiques'!$C$4&lt;&gt;"?",'Choix pédagogiques'!$C$5&lt;&gt;"?",AD667&lt;&gt;""),(AD667-'Choix pédagogiques'!$C$4)/('Choix pédagogiques'!$C$5-'Choix pédagogiques'!$C$4),"")</f>
        <v/>
      </c>
      <c r="AZ667" s="22" t="str">
        <f t="shared" si="484"/>
        <v/>
      </c>
      <c r="BA667" s="21" t="str">
        <f t="shared" si="485"/>
        <v>Apprenant 655</v>
      </c>
      <c r="BB667" s="49" t="str">
        <f t="shared" si="457"/>
        <v/>
      </c>
      <c r="BC667" s="49" t="str">
        <f t="shared" si="458"/>
        <v/>
      </c>
      <c r="BD667" s="49" t="str">
        <f t="shared" si="459"/>
        <v/>
      </c>
      <c r="BE667" s="22" t="str">
        <f t="shared" si="486"/>
        <v/>
      </c>
      <c r="BF667" s="21" t="str">
        <f t="shared" si="487"/>
        <v>Apprenant 655 ou 655'</v>
      </c>
      <c r="BG667" s="49" t="str">
        <f t="shared" si="460"/>
        <v/>
      </c>
      <c r="BH667" s="49" t="str">
        <f t="shared" si="461"/>
        <v/>
      </c>
      <c r="BI667" s="49" t="str">
        <f t="shared" si="462"/>
        <v/>
      </c>
      <c r="BJ667" s="22" t="str">
        <f t="shared" si="488"/>
        <v/>
      </c>
      <c r="BL667" s="21"/>
      <c r="BM667" s="21" t="str">
        <f>IF(OR(COUNT(B667:D1666)=0,AND('Choix pédagogiques'!$C$3&lt;&gt;1,'Choix pédagogiques'!$C$3&lt;&gt;2)),"",IF(AND(OR('Choix pédagogiques'!$C$3=1,'Choix pédagogiques'!$C$3=2),$B667&lt;&gt;"",$C667&lt;&gt;"",$D667&lt;&gt;""),1,0))</f>
        <v/>
      </c>
      <c r="BN667" s="21" t="str">
        <f>IF(OR(COUNT(G667:I1666)=0,AND('Choix pédagogiques'!$C$3&lt;&gt;1,'Choix pédagogiques'!$C$3&lt;&gt;2)),"",IF(AND(OR('Choix pédagogiques'!$C$3=1,'Choix pédagogiques'!$C$3=2),AND($G667&lt;&gt;"",$H667&lt;&gt;"",$I667&lt;&gt;"")),1,0))</f>
        <v/>
      </c>
      <c r="BO667" s="21" t="str">
        <f>IF(OR(COUNT(B667:D1666)=0,COUNT(G667:I1666)=0,'Choix pédagogiques'!C$3&lt;&gt;3),"",IF(AND('Choix pédagogiques'!$C$3=3,$B667&lt;&gt;"",$C667&lt;&gt;"",$D667&lt;&gt;"",$G667&lt;&gt;"",$H667&lt;&gt;"",$I667&lt;&gt;""),1,0))</f>
        <v/>
      </c>
      <c r="BR667" s="21">
        <v>15</v>
      </c>
      <c r="BS667" s="21">
        <v>1732</v>
      </c>
      <c r="BT667"/>
    </row>
    <row r="668" spans="1:72" s="23" customFormat="1" ht="18" customHeight="1" x14ac:dyDescent="0.3">
      <c r="A668" s="35" t="s">
        <v>658</v>
      </c>
      <c r="B668" s="37"/>
      <c r="C668" s="37"/>
      <c r="D668" s="37"/>
      <c r="E668" s="37"/>
      <c r="F668" s="35" t="s">
        <v>1666</v>
      </c>
      <c r="G668" s="37"/>
      <c r="H668" s="37"/>
      <c r="I668" s="37"/>
      <c r="J668" s="37"/>
      <c r="K668" s="21" t="str">
        <f t="shared" si="463"/>
        <v>Apprenant 656</v>
      </c>
      <c r="L668" s="22" t="str">
        <f t="shared" si="464"/>
        <v/>
      </c>
      <c r="M668" s="22" t="str">
        <f t="shared" si="465"/>
        <v/>
      </c>
      <c r="N668" s="22" t="str">
        <f t="shared" si="466"/>
        <v/>
      </c>
      <c r="O668" s="22" t="str">
        <f t="shared" si="467"/>
        <v/>
      </c>
      <c r="P668" s="21" t="str">
        <f t="shared" si="468"/>
        <v>Apprenant 656 ou 656'</v>
      </c>
      <c r="Q668" s="22" t="str">
        <f t="shared" si="469"/>
        <v/>
      </c>
      <c r="R668" s="22" t="str">
        <f t="shared" si="470"/>
        <v/>
      </c>
      <c r="S668" s="22" t="str">
        <f t="shared" si="471"/>
        <v/>
      </c>
      <c r="T668" s="22" t="str">
        <f t="shared" si="472"/>
        <v/>
      </c>
      <c r="V668" s="21" t="str">
        <f t="shared" si="473"/>
        <v>Apprenant 656</v>
      </c>
      <c r="W668" s="22" t="str">
        <f>IF(AND(OR('Choix pédagogiques'!$C$3=1,'Choix pédagogiques'!$C$3=2),$BM668=1),B668,IF(AND('Choix pédagogiques'!$C$3=3,$BO668=1),B668,""))</f>
        <v/>
      </c>
      <c r="X668" s="22" t="str">
        <f>IF(AND(OR('Choix pédagogiques'!$C$3=1,'Choix pédagogiques'!$C$3=2),$BM668=1),C668,IF(AND('Choix pédagogiques'!$C$3=3,$BO668=1),C668,""))</f>
        <v/>
      </c>
      <c r="Y668" s="22" t="str">
        <f>IF(AND(OR('Choix pédagogiques'!$C$3=1,'Choix pédagogiques'!$C$3=2),$BM668=1),D668,IF(AND('Choix pédagogiques'!$C$3=3,$BO668=1),D668,""))</f>
        <v/>
      </c>
      <c r="Z668" s="22" t="str">
        <f t="shared" si="474"/>
        <v/>
      </c>
      <c r="AA668" s="21" t="str">
        <f t="shared" si="475"/>
        <v>Apprenant 656 ou 656'</v>
      </c>
      <c r="AB668" s="22" t="str">
        <f>IF(AND(OR('Choix pédagogiques'!$C$3=1,'Choix pédagogiques'!$C$3=2),$BN668=1),G668,IF(AND('Choix pédagogiques'!$C$3=3,$BO668=1),G668,""))</f>
        <v/>
      </c>
      <c r="AC668" s="22" t="str">
        <f>IF(AND(OR('Choix pédagogiques'!$C$3=1,'Choix pédagogiques'!$C$3=2),$BN668=1),H668,IF(AND('Choix pédagogiques'!$C$3=3,$BO668=1),H668,""))</f>
        <v/>
      </c>
      <c r="AD668" s="22" t="str">
        <f>IF(AND(OR('Choix pédagogiques'!$C$3=1,'Choix pédagogiques'!$C$3=2),$BN668=1),I668,IF(AND('Choix pédagogiques'!$C$3=3,$BO668=1),I668,""))</f>
        <v/>
      </c>
      <c r="AE668" s="22" t="str">
        <f t="shared" si="476"/>
        <v/>
      </c>
      <c r="AF668" s="21" t="str">
        <f t="shared" si="477"/>
        <v>Apprenant 656</v>
      </c>
      <c r="AG668" s="22" t="str">
        <f t="shared" si="451"/>
        <v/>
      </c>
      <c r="AH668" s="22" t="str">
        <f t="shared" si="452"/>
        <v/>
      </c>
      <c r="AI668" s="22" t="str">
        <f t="shared" si="453"/>
        <v/>
      </c>
      <c r="AJ668" s="22" t="str">
        <f t="shared" si="478"/>
        <v/>
      </c>
      <c r="AK668" s="21" t="str">
        <f t="shared" si="479"/>
        <v>Apprenant 656 ou 656'</v>
      </c>
      <c r="AL668" s="22" t="str">
        <f t="shared" si="454"/>
        <v/>
      </c>
      <c r="AM668" s="22" t="str">
        <f t="shared" si="455"/>
        <v/>
      </c>
      <c r="AN668" s="22" t="str">
        <f t="shared" si="456"/>
        <v/>
      </c>
      <c r="AO668" s="22" t="str">
        <f t="shared" si="480"/>
        <v/>
      </c>
      <c r="AQ668" s="21" t="str">
        <f t="shared" si="481"/>
        <v>Apprenant 656</v>
      </c>
      <c r="AR668" s="49" t="str">
        <f>IF(AND('Choix pédagogiques'!$C$4&lt;&gt;"?",'Choix pédagogiques'!$C$5&lt;&gt;"?",W668&lt;&gt;""),(W668-'Choix pédagogiques'!$C$4)/('Choix pédagogiques'!$C$5-'Choix pédagogiques'!$C$4),"")</f>
        <v/>
      </c>
      <c r="AS668" s="49" t="str">
        <f>IF(AND('Choix pédagogiques'!$C$4&lt;&gt;"?",'Choix pédagogiques'!$C$5&lt;&gt;"?",X668&lt;&gt;""),(X668-'Choix pédagogiques'!$C$4)/('Choix pédagogiques'!$C$5-'Choix pédagogiques'!$C$4),"")</f>
        <v/>
      </c>
      <c r="AT668" s="49" t="str">
        <f>IF(AND('Choix pédagogiques'!$C$4&lt;&gt;"?",'Choix pédagogiques'!$C$5&lt;&gt;"?",Y668&lt;&gt;""),(Y668-'Choix pédagogiques'!$C$4)/('Choix pédagogiques'!$C$5-'Choix pédagogiques'!$C$4),"")</f>
        <v/>
      </c>
      <c r="AU668" s="22" t="str">
        <f t="shared" si="482"/>
        <v/>
      </c>
      <c r="AV668" s="21" t="str">
        <f t="shared" si="483"/>
        <v>Apprenant 656 ou 656'</v>
      </c>
      <c r="AW668" s="49" t="str">
        <f>IF(AND('Choix pédagogiques'!$C$4&lt;&gt;"?",'Choix pédagogiques'!$C$5&lt;&gt;"?",AB668&lt;&gt;""),(AB668-'Choix pédagogiques'!$C$4)/('Choix pédagogiques'!$C$5-'Choix pédagogiques'!$C$4),"")</f>
        <v/>
      </c>
      <c r="AX668" s="49" t="str">
        <f>IF(AND('Choix pédagogiques'!$C$4&lt;&gt;"?",'Choix pédagogiques'!$C$5&lt;&gt;"?",AC668&lt;&gt;""),(AC668-'Choix pédagogiques'!$C$4)/('Choix pédagogiques'!$C$5-'Choix pédagogiques'!$C$4),"")</f>
        <v/>
      </c>
      <c r="AY668" s="49" t="str">
        <f>IF(AND('Choix pédagogiques'!$C$4&lt;&gt;"?",'Choix pédagogiques'!$C$5&lt;&gt;"?",AD668&lt;&gt;""),(AD668-'Choix pédagogiques'!$C$4)/('Choix pédagogiques'!$C$5-'Choix pédagogiques'!$C$4),"")</f>
        <v/>
      </c>
      <c r="AZ668" s="22" t="str">
        <f t="shared" si="484"/>
        <v/>
      </c>
      <c r="BA668" s="21" t="str">
        <f t="shared" si="485"/>
        <v>Apprenant 656</v>
      </c>
      <c r="BB668" s="49" t="str">
        <f t="shared" si="457"/>
        <v/>
      </c>
      <c r="BC668" s="49" t="str">
        <f t="shared" si="458"/>
        <v/>
      </c>
      <c r="BD668" s="49" t="str">
        <f t="shared" si="459"/>
        <v/>
      </c>
      <c r="BE668" s="22" t="str">
        <f t="shared" si="486"/>
        <v/>
      </c>
      <c r="BF668" s="21" t="str">
        <f t="shared" si="487"/>
        <v>Apprenant 656 ou 656'</v>
      </c>
      <c r="BG668" s="49" t="str">
        <f t="shared" si="460"/>
        <v/>
      </c>
      <c r="BH668" s="49" t="str">
        <f t="shared" si="461"/>
        <v/>
      </c>
      <c r="BI668" s="49" t="str">
        <f t="shared" si="462"/>
        <v/>
      </c>
      <c r="BJ668" s="22" t="str">
        <f t="shared" si="488"/>
        <v/>
      </c>
      <c r="BL668" s="21"/>
      <c r="BM668" s="21" t="str">
        <f>IF(OR(COUNT(B668:D1667)=0,AND('Choix pédagogiques'!$C$3&lt;&gt;1,'Choix pédagogiques'!$C$3&lt;&gt;2)),"",IF(AND(OR('Choix pédagogiques'!$C$3=1,'Choix pédagogiques'!$C$3=2),$B668&lt;&gt;"",$C668&lt;&gt;"",$D668&lt;&gt;""),1,0))</f>
        <v/>
      </c>
      <c r="BN668" s="21" t="str">
        <f>IF(OR(COUNT(G668:I1667)=0,AND('Choix pédagogiques'!$C$3&lt;&gt;1,'Choix pédagogiques'!$C$3&lt;&gt;2)),"",IF(AND(OR('Choix pédagogiques'!$C$3=1,'Choix pédagogiques'!$C$3=2),AND($G668&lt;&gt;"",$H668&lt;&gt;"",$I668&lt;&gt;"")),1,0))</f>
        <v/>
      </c>
      <c r="BO668" s="21" t="str">
        <f>IF(OR(COUNT(B668:D1667)=0,COUNT(G668:I1667)=0,'Choix pédagogiques'!C$3&lt;&gt;3),"",IF(AND('Choix pédagogiques'!$C$3=3,$B668&lt;&gt;"",$C668&lt;&gt;"",$D668&lt;&gt;"",$G668&lt;&gt;"",$H668&lt;&gt;"",$I668&lt;&gt;""),1,0))</f>
        <v/>
      </c>
      <c r="BR668" s="21">
        <v>996</v>
      </c>
      <c r="BS668" s="21">
        <v>1042</v>
      </c>
      <c r="BT668"/>
    </row>
    <row r="669" spans="1:72" s="23" customFormat="1" ht="18" customHeight="1" x14ac:dyDescent="0.3">
      <c r="A669" s="35" t="s">
        <v>659</v>
      </c>
      <c r="B669" s="37"/>
      <c r="C669" s="37"/>
      <c r="D669" s="37"/>
      <c r="E669" s="37"/>
      <c r="F669" s="35" t="s">
        <v>1667</v>
      </c>
      <c r="G669" s="37"/>
      <c r="H669" s="37"/>
      <c r="I669" s="37"/>
      <c r="J669" s="37"/>
      <c r="K669" s="21" t="str">
        <f t="shared" si="463"/>
        <v>Apprenant 657</v>
      </c>
      <c r="L669" s="22" t="str">
        <f t="shared" si="464"/>
        <v/>
      </c>
      <c r="M669" s="22" t="str">
        <f t="shared" si="465"/>
        <v/>
      </c>
      <c r="N669" s="22" t="str">
        <f t="shared" si="466"/>
        <v/>
      </c>
      <c r="O669" s="22" t="str">
        <f t="shared" si="467"/>
        <v/>
      </c>
      <c r="P669" s="21" t="str">
        <f t="shared" si="468"/>
        <v>Apprenant 657 ou 657'</v>
      </c>
      <c r="Q669" s="22" t="str">
        <f t="shared" si="469"/>
        <v/>
      </c>
      <c r="R669" s="22" t="str">
        <f t="shared" si="470"/>
        <v/>
      </c>
      <c r="S669" s="22" t="str">
        <f t="shared" si="471"/>
        <v/>
      </c>
      <c r="T669" s="22" t="str">
        <f t="shared" si="472"/>
        <v/>
      </c>
      <c r="V669" s="21" t="str">
        <f t="shared" si="473"/>
        <v>Apprenant 657</v>
      </c>
      <c r="W669" s="22" t="str">
        <f>IF(AND(OR('Choix pédagogiques'!$C$3=1,'Choix pédagogiques'!$C$3=2),$BM669=1),B669,IF(AND('Choix pédagogiques'!$C$3=3,$BO669=1),B669,""))</f>
        <v/>
      </c>
      <c r="X669" s="22" t="str">
        <f>IF(AND(OR('Choix pédagogiques'!$C$3=1,'Choix pédagogiques'!$C$3=2),$BM669=1),C669,IF(AND('Choix pédagogiques'!$C$3=3,$BO669=1),C669,""))</f>
        <v/>
      </c>
      <c r="Y669" s="22" t="str">
        <f>IF(AND(OR('Choix pédagogiques'!$C$3=1,'Choix pédagogiques'!$C$3=2),$BM669=1),D669,IF(AND('Choix pédagogiques'!$C$3=3,$BO669=1),D669,""))</f>
        <v/>
      </c>
      <c r="Z669" s="22" t="str">
        <f t="shared" si="474"/>
        <v/>
      </c>
      <c r="AA669" s="21" t="str">
        <f t="shared" si="475"/>
        <v>Apprenant 657 ou 657'</v>
      </c>
      <c r="AB669" s="22" t="str">
        <f>IF(AND(OR('Choix pédagogiques'!$C$3=1,'Choix pédagogiques'!$C$3=2),$BN669=1),G669,IF(AND('Choix pédagogiques'!$C$3=3,$BO669=1),G669,""))</f>
        <v/>
      </c>
      <c r="AC669" s="22" t="str">
        <f>IF(AND(OR('Choix pédagogiques'!$C$3=1,'Choix pédagogiques'!$C$3=2),$BN669=1),H669,IF(AND('Choix pédagogiques'!$C$3=3,$BO669=1),H669,""))</f>
        <v/>
      </c>
      <c r="AD669" s="22" t="str">
        <f>IF(AND(OR('Choix pédagogiques'!$C$3=1,'Choix pédagogiques'!$C$3=2),$BN669=1),I669,IF(AND('Choix pédagogiques'!$C$3=3,$BO669=1),I669,""))</f>
        <v/>
      </c>
      <c r="AE669" s="22" t="str">
        <f t="shared" si="476"/>
        <v/>
      </c>
      <c r="AF669" s="21" t="str">
        <f t="shared" si="477"/>
        <v>Apprenant 657</v>
      </c>
      <c r="AG669" s="22" t="str">
        <f t="shared" si="451"/>
        <v/>
      </c>
      <c r="AH669" s="22" t="str">
        <f t="shared" si="452"/>
        <v/>
      </c>
      <c r="AI669" s="22" t="str">
        <f t="shared" si="453"/>
        <v/>
      </c>
      <c r="AJ669" s="22" t="str">
        <f t="shared" si="478"/>
        <v/>
      </c>
      <c r="AK669" s="21" t="str">
        <f t="shared" si="479"/>
        <v>Apprenant 657 ou 657'</v>
      </c>
      <c r="AL669" s="22" t="str">
        <f t="shared" si="454"/>
        <v/>
      </c>
      <c r="AM669" s="22" t="str">
        <f t="shared" si="455"/>
        <v/>
      </c>
      <c r="AN669" s="22" t="str">
        <f t="shared" si="456"/>
        <v/>
      </c>
      <c r="AO669" s="22" t="str">
        <f t="shared" si="480"/>
        <v/>
      </c>
      <c r="AQ669" s="21" t="str">
        <f t="shared" si="481"/>
        <v>Apprenant 657</v>
      </c>
      <c r="AR669" s="49" t="str">
        <f>IF(AND('Choix pédagogiques'!$C$4&lt;&gt;"?",'Choix pédagogiques'!$C$5&lt;&gt;"?",W669&lt;&gt;""),(W669-'Choix pédagogiques'!$C$4)/('Choix pédagogiques'!$C$5-'Choix pédagogiques'!$C$4),"")</f>
        <v/>
      </c>
      <c r="AS669" s="49" t="str">
        <f>IF(AND('Choix pédagogiques'!$C$4&lt;&gt;"?",'Choix pédagogiques'!$C$5&lt;&gt;"?",X669&lt;&gt;""),(X669-'Choix pédagogiques'!$C$4)/('Choix pédagogiques'!$C$5-'Choix pédagogiques'!$C$4),"")</f>
        <v/>
      </c>
      <c r="AT669" s="49" t="str">
        <f>IF(AND('Choix pédagogiques'!$C$4&lt;&gt;"?",'Choix pédagogiques'!$C$5&lt;&gt;"?",Y669&lt;&gt;""),(Y669-'Choix pédagogiques'!$C$4)/('Choix pédagogiques'!$C$5-'Choix pédagogiques'!$C$4),"")</f>
        <v/>
      </c>
      <c r="AU669" s="22" t="str">
        <f t="shared" si="482"/>
        <v/>
      </c>
      <c r="AV669" s="21" t="str">
        <f t="shared" si="483"/>
        <v>Apprenant 657 ou 657'</v>
      </c>
      <c r="AW669" s="49" t="str">
        <f>IF(AND('Choix pédagogiques'!$C$4&lt;&gt;"?",'Choix pédagogiques'!$C$5&lt;&gt;"?",AB669&lt;&gt;""),(AB669-'Choix pédagogiques'!$C$4)/('Choix pédagogiques'!$C$5-'Choix pédagogiques'!$C$4),"")</f>
        <v/>
      </c>
      <c r="AX669" s="49" t="str">
        <f>IF(AND('Choix pédagogiques'!$C$4&lt;&gt;"?",'Choix pédagogiques'!$C$5&lt;&gt;"?",AC669&lt;&gt;""),(AC669-'Choix pédagogiques'!$C$4)/('Choix pédagogiques'!$C$5-'Choix pédagogiques'!$C$4),"")</f>
        <v/>
      </c>
      <c r="AY669" s="49" t="str">
        <f>IF(AND('Choix pédagogiques'!$C$4&lt;&gt;"?",'Choix pédagogiques'!$C$5&lt;&gt;"?",AD669&lt;&gt;""),(AD669-'Choix pédagogiques'!$C$4)/('Choix pédagogiques'!$C$5-'Choix pédagogiques'!$C$4),"")</f>
        <v/>
      </c>
      <c r="AZ669" s="22" t="str">
        <f t="shared" si="484"/>
        <v/>
      </c>
      <c r="BA669" s="21" t="str">
        <f t="shared" si="485"/>
        <v>Apprenant 657</v>
      </c>
      <c r="BB669" s="49" t="str">
        <f t="shared" si="457"/>
        <v/>
      </c>
      <c r="BC669" s="49" t="str">
        <f t="shared" si="458"/>
        <v/>
      </c>
      <c r="BD669" s="49" t="str">
        <f t="shared" si="459"/>
        <v/>
      </c>
      <c r="BE669" s="22" t="str">
        <f t="shared" si="486"/>
        <v/>
      </c>
      <c r="BF669" s="21" t="str">
        <f t="shared" si="487"/>
        <v>Apprenant 657 ou 657'</v>
      </c>
      <c r="BG669" s="49" t="str">
        <f t="shared" si="460"/>
        <v/>
      </c>
      <c r="BH669" s="49" t="str">
        <f t="shared" si="461"/>
        <v/>
      </c>
      <c r="BI669" s="49" t="str">
        <f t="shared" si="462"/>
        <v/>
      </c>
      <c r="BJ669" s="22" t="str">
        <f t="shared" si="488"/>
        <v/>
      </c>
      <c r="BL669" s="21"/>
      <c r="BM669" s="21" t="str">
        <f>IF(OR(COUNT(B669:D1668)=0,AND('Choix pédagogiques'!$C$3&lt;&gt;1,'Choix pédagogiques'!$C$3&lt;&gt;2)),"",IF(AND(OR('Choix pédagogiques'!$C$3=1,'Choix pédagogiques'!$C$3=2),$B669&lt;&gt;"",$C669&lt;&gt;"",$D669&lt;&gt;""),1,0))</f>
        <v/>
      </c>
      <c r="BN669" s="21" t="str">
        <f>IF(OR(COUNT(G669:I1668)=0,AND('Choix pédagogiques'!$C$3&lt;&gt;1,'Choix pédagogiques'!$C$3&lt;&gt;2)),"",IF(AND(OR('Choix pédagogiques'!$C$3=1,'Choix pédagogiques'!$C$3=2),AND($G669&lt;&gt;"",$H669&lt;&gt;"",$I669&lt;&gt;"")),1,0))</f>
        <v/>
      </c>
      <c r="BO669" s="21" t="str">
        <f>IF(OR(COUNT(B669:D1668)=0,COUNT(G669:I1668)=0,'Choix pédagogiques'!C$3&lt;&gt;3),"",IF(AND('Choix pédagogiques'!$C$3=3,$B669&lt;&gt;"",$C669&lt;&gt;"",$D669&lt;&gt;"",$G669&lt;&gt;"",$H669&lt;&gt;"",$I669&lt;&gt;""),1,0))</f>
        <v/>
      </c>
      <c r="BR669" s="21">
        <v>918</v>
      </c>
      <c r="BS669" s="21">
        <v>1724</v>
      </c>
      <c r="BT669"/>
    </row>
    <row r="670" spans="1:72" s="23" customFormat="1" ht="18" customHeight="1" x14ac:dyDescent="0.3">
      <c r="A670" s="35" t="s">
        <v>660</v>
      </c>
      <c r="B670" s="37"/>
      <c r="C670" s="37"/>
      <c r="D670" s="37"/>
      <c r="E670" s="37"/>
      <c r="F670" s="35" t="s">
        <v>1668</v>
      </c>
      <c r="G670" s="37"/>
      <c r="H670" s="37"/>
      <c r="I670" s="37"/>
      <c r="J670" s="37"/>
      <c r="K670" s="21" t="str">
        <f t="shared" si="463"/>
        <v>Apprenant 658</v>
      </c>
      <c r="L670" s="22" t="str">
        <f t="shared" si="464"/>
        <v/>
      </c>
      <c r="M670" s="22" t="str">
        <f t="shared" si="465"/>
        <v/>
      </c>
      <c r="N670" s="22" t="str">
        <f t="shared" si="466"/>
        <v/>
      </c>
      <c r="O670" s="22" t="str">
        <f t="shared" si="467"/>
        <v/>
      </c>
      <c r="P670" s="21" t="str">
        <f t="shared" si="468"/>
        <v>Apprenant 658 ou 658'</v>
      </c>
      <c r="Q670" s="22" t="str">
        <f t="shared" si="469"/>
        <v/>
      </c>
      <c r="R670" s="22" t="str">
        <f t="shared" si="470"/>
        <v/>
      </c>
      <c r="S670" s="22" t="str">
        <f t="shared" si="471"/>
        <v/>
      </c>
      <c r="T670" s="22" t="str">
        <f t="shared" si="472"/>
        <v/>
      </c>
      <c r="V670" s="21" t="str">
        <f t="shared" si="473"/>
        <v>Apprenant 658</v>
      </c>
      <c r="W670" s="22" t="str">
        <f>IF(AND(OR('Choix pédagogiques'!$C$3=1,'Choix pédagogiques'!$C$3=2),$BM670=1),B670,IF(AND('Choix pédagogiques'!$C$3=3,$BO670=1),B670,""))</f>
        <v/>
      </c>
      <c r="X670" s="22" t="str">
        <f>IF(AND(OR('Choix pédagogiques'!$C$3=1,'Choix pédagogiques'!$C$3=2),$BM670=1),C670,IF(AND('Choix pédagogiques'!$C$3=3,$BO670=1),C670,""))</f>
        <v/>
      </c>
      <c r="Y670" s="22" t="str">
        <f>IF(AND(OR('Choix pédagogiques'!$C$3=1,'Choix pédagogiques'!$C$3=2),$BM670=1),D670,IF(AND('Choix pédagogiques'!$C$3=3,$BO670=1),D670,""))</f>
        <v/>
      </c>
      <c r="Z670" s="22" t="str">
        <f t="shared" si="474"/>
        <v/>
      </c>
      <c r="AA670" s="21" t="str">
        <f t="shared" si="475"/>
        <v>Apprenant 658 ou 658'</v>
      </c>
      <c r="AB670" s="22" t="str">
        <f>IF(AND(OR('Choix pédagogiques'!$C$3=1,'Choix pédagogiques'!$C$3=2),$BN670=1),G670,IF(AND('Choix pédagogiques'!$C$3=3,$BO670=1),G670,""))</f>
        <v/>
      </c>
      <c r="AC670" s="22" t="str">
        <f>IF(AND(OR('Choix pédagogiques'!$C$3=1,'Choix pédagogiques'!$C$3=2),$BN670=1),H670,IF(AND('Choix pédagogiques'!$C$3=3,$BO670=1),H670,""))</f>
        <v/>
      </c>
      <c r="AD670" s="22" t="str">
        <f>IF(AND(OR('Choix pédagogiques'!$C$3=1,'Choix pédagogiques'!$C$3=2),$BN670=1),I670,IF(AND('Choix pédagogiques'!$C$3=3,$BO670=1),I670,""))</f>
        <v/>
      </c>
      <c r="AE670" s="22" t="str">
        <f t="shared" si="476"/>
        <v/>
      </c>
      <c r="AF670" s="21" t="str">
        <f t="shared" si="477"/>
        <v>Apprenant 658</v>
      </c>
      <c r="AG670" s="22" t="str">
        <f t="shared" si="451"/>
        <v/>
      </c>
      <c r="AH670" s="22" t="str">
        <f t="shared" si="452"/>
        <v/>
      </c>
      <c r="AI670" s="22" t="str">
        <f t="shared" si="453"/>
        <v/>
      </c>
      <c r="AJ670" s="22" t="str">
        <f t="shared" si="478"/>
        <v/>
      </c>
      <c r="AK670" s="21" t="str">
        <f t="shared" si="479"/>
        <v>Apprenant 658 ou 658'</v>
      </c>
      <c r="AL670" s="22" t="str">
        <f t="shared" si="454"/>
        <v/>
      </c>
      <c r="AM670" s="22" t="str">
        <f t="shared" si="455"/>
        <v/>
      </c>
      <c r="AN670" s="22" t="str">
        <f t="shared" si="456"/>
        <v/>
      </c>
      <c r="AO670" s="22" t="str">
        <f t="shared" si="480"/>
        <v/>
      </c>
      <c r="AQ670" s="21" t="str">
        <f t="shared" si="481"/>
        <v>Apprenant 658</v>
      </c>
      <c r="AR670" s="49" t="str">
        <f>IF(AND('Choix pédagogiques'!$C$4&lt;&gt;"?",'Choix pédagogiques'!$C$5&lt;&gt;"?",W670&lt;&gt;""),(W670-'Choix pédagogiques'!$C$4)/('Choix pédagogiques'!$C$5-'Choix pédagogiques'!$C$4),"")</f>
        <v/>
      </c>
      <c r="AS670" s="49" t="str">
        <f>IF(AND('Choix pédagogiques'!$C$4&lt;&gt;"?",'Choix pédagogiques'!$C$5&lt;&gt;"?",X670&lt;&gt;""),(X670-'Choix pédagogiques'!$C$4)/('Choix pédagogiques'!$C$5-'Choix pédagogiques'!$C$4),"")</f>
        <v/>
      </c>
      <c r="AT670" s="49" t="str">
        <f>IF(AND('Choix pédagogiques'!$C$4&lt;&gt;"?",'Choix pédagogiques'!$C$5&lt;&gt;"?",Y670&lt;&gt;""),(Y670-'Choix pédagogiques'!$C$4)/('Choix pédagogiques'!$C$5-'Choix pédagogiques'!$C$4),"")</f>
        <v/>
      </c>
      <c r="AU670" s="22" t="str">
        <f t="shared" si="482"/>
        <v/>
      </c>
      <c r="AV670" s="21" t="str">
        <f t="shared" si="483"/>
        <v>Apprenant 658 ou 658'</v>
      </c>
      <c r="AW670" s="49" t="str">
        <f>IF(AND('Choix pédagogiques'!$C$4&lt;&gt;"?",'Choix pédagogiques'!$C$5&lt;&gt;"?",AB670&lt;&gt;""),(AB670-'Choix pédagogiques'!$C$4)/('Choix pédagogiques'!$C$5-'Choix pédagogiques'!$C$4),"")</f>
        <v/>
      </c>
      <c r="AX670" s="49" t="str">
        <f>IF(AND('Choix pédagogiques'!$C$4&lt;&gt;"?",'Choix pédagogiques'!$C$5&lt;&gt;"?",AC670&lt;&gt;""),(AC670-'Choix pédagogiques'!$C$4)/('Choix pédagogiques'!$C$5-'Choix pédagogiques'!$C$4),"")</f>
        <v/>
      </c>
      <c r="AY670" s="49" t="str">
        <f>IF(AND('Choix pédagogiques'!$C$4&lt;&gt;"?",'Choix pédagogiques'!$C$5&lt;&gt;"?",AD670&lt;&gt;""),(AD670-'Choix pédagogiques'!$C$4)/('Choix pédagogiques'!$C$5-'Choix pédagogiques'!$C$4),"")</f>
        <v/>
      </c>
      <c r="AZ670" s="22" t="str">
        <f t="shared" si="484"/>
        <v/>
      </c>
      <c r="BA670" s="21" t="str">
        <f t="shared" si="485"/>
        <v>Apprenant 658</v>
      </c>
      <c r="BB670" s="49" t="str">
        <f t="shared" si="457"/>
        <v/>
      </c>
      <c r="BC670" s="49" t="str">
        <f t="shared" si="458"/>
        <v/>
      </c>
      <c r="BD670" s="49" t="str">
        <f t="shared" si="459"/>
        <v/>
      </c>
      <c r="BE670" s="22" t="str">
        <f t="shared" si="486"/>
        <v/>
      </c>
      <c r="BF670" s="21" t="str">
        <f t="shared" si="487"/>
        <v>Apprenant 658 ou 658'</v>
      </c>
      <c r="BG670" s="49" t="str">
        <f t="shared" si="460"/>
        <v/>
      </c>
      <c r="BH670" s="49" t="str">
        <f t="shared" si="461"/>
        <v/>
      </c>
      <c r="BI670" s="49" t="str">
        <f t="shared" si="462"/>
        <v/>
      </c>
      <c r="BJ670" s="22" t="str">
        <f t="shared" si="488"/>
        <v/>
      </c>
      <c r="BL670" s="21"/>
      <c r="BM670" s="21" t="str">
        <f>IF(OR(COUNT(B670:D1669)=0,AND('Choix pédagogiques'!$C$3&lt;&gt;1,'Choix pédagogiques'!$C$3&lt;&gt;2)),"",IF(AND(OR('Choix pédagogiques'!$C$3=1,'Choix pédagogiques'!$C$3=2),$B670&lt;&gt;"",$C670&lt;&gt;"",$D670&lt;&gt;""),1,0))</f>
        <v/>
      </c>
      <c r="BN670" s="21" t="str">
        <f>IF(OR(COUNT(G670:I1669)=0,AND('Choix pédagogiques'!$C$3&lt;&gt;1,'Choix pédagogiques'!$C$3&lt;&gt;2)),"",IF(AND(OR('Choix pédagogiques'!$C$3=1,'Choix pédagogiques'!$C$3=2),AND($G670&lt;&gt;"",$H670&lt;&gt;"",$I670&lt;&gt;"")),1,0))</f>
        <v/>
      </c>
      <c r="BO670" s="21" t="str">
        <f>IF(OR(COUNT(B670:D1669)=0,COUNT(G670:I1669)=0,'Choix pédagogiques'!C$3&lt;&gt;3),"",IF(AND('Choix pédagogiques'!$C$3=3,$B670&lt;&gt;"",$C670&lt;&gt;"",$D670&lt;&gt;"",$G670&lt;&gt;"",$H670&lt;&gt;"",$I670&lt;&gt;""),1,0))</f>
        <v/>
      </c>
      <c r="BR670" s="21">
        <v>750</v>
      </c>
      <c r="BS670" s="21">
        <v>1275</v>
      </c>
      <c r="BT670"/>
    </row>
    <row r="671" spans="1:72" s="23" customFormat="1" ht="18" customHeight="1" x14ac:dyDescent="0.3">
      <c r="A671" s="35" t="s">
        <v>661</v>
      </c>
      <c r="B671" s="37"/>
      <c r="C671" s="37"/>
      <c r="D671" s="37"/>
      <c r="E671" s="37"/>
      <c r="F671" s="35" t="s">
        <v>1669</v>
      </c>
      <c r="G671" s="37"/>
      <c r="H671" s="37"/>
      <c r="I671" s="37"/>
      <c r="J671" s="37"/>
      <c r="K671" s="21" t="str">
        <f t="shared" si="463"/>
        <v>Apprenant 659</v>
      </c>
      <c r="L671" s="22" t="str">
        <f t="shared" si="464"/>
        <v/>
      </c>
      <c r="M671" s="22" t="str">
        <f t="shared" si="465"/>
        <v/>
      </c>
      <c r="N671" s="22" t="str">
        <f t="shared" si="466"/>
        <v/>
      </c>
      <c r="O671" s="22" t="str">
        <f t="shared" si="467"/>
        <v/>
      </c>
      <c r="P671" s="21" t="str">
        <f t="shared" si="468"/>
        <v>Apprenant 659 ou 659'</v>
      </c>
      <c r="Q671" s="22" t="str">
        <f t="shared" si="469"/>
        <v/>
      </c>
      <c r="R671" s="22" t="str">
        <f t="shared" si="470"/>
        <v/>
      </c>
      <c r="S671" s="22" t="str">
        <f t="shared" si="471"/>
        <v/>
      </c>
      <c r="T671" s="22" t="str">
        <f t="shared" si="472"/>
        <v/>
      </c>
      <c r="V671" s="21" t="str">
        <f t="shared" si="473"/>
        <v>Apprenant 659</v>
      </c>
      <c r="W671" s="22" t="str">
        <f>IF(AND(OR('Choix pédagogiques'!$C$3=1,'Choix pédagogiques'!$C$3=2),$BM671=1),B671,IF(AND('Choix pédagogiques'!$C$3=3,$BO671=1),B671,""))</f>
        <v/>
      </c>
      <c r="X671" s="22" t="str">
        <f>IF(AND(OR('Choix pédagogiques'!$C$3=1,'Choix pédagogiques'!$C$3=2),$BM671=1),C671,IF(AND('Choix pédagogiques'!$C$3=3,$BO671=1),C671,""))</f>
        <v/>
      </c>
      <c r="Y671" s="22" t="str">
        <f>IF(AND(OR('Choix pédagogiques'!$C$3=1,'Choix pédagogiques'!$C$3=2),$BM671=1),D671,IF(AND('Choix pédagogiques'!$C$3=3,$BO671=1),D671,""))</f>
        <v/>
      </c>
      <c r="Z671" s="22" t="str">
        <f t="shared" si="474"/>
        <v/>
      </c>
      <c r="AA671" s="21" t="str">
        <f t="shared" si="475"/>
        <v>Apprenant 659 ou 659'</v>
      </c>
      <c r="AB671" s="22" t="str">
        <f>IF(AND(OR('Choix pédagogiques'!$C$3=1,'Choix pédagogiques'!$C$3=2),$BN671=1),G671,IF(AND('Choix pédagogiques'!$C$3=3,$BO671=1),G671,""))</f>
        <v/>
      </c>
      <c r="AC671" s="22" t="str">
        <f>IF(AND(OR('Choix pédagogiques'!$C$3=1,'Choix pédagogiques'!$C$3=2),$BN671=1),H671,IF(AND('Choix pédagogiques'!$C$3=3,$BO671=1),H671,""))</f>
        <v/>
      </c>
      <c r="AD671" s="22" t="str">
        <f>IF(AND(OR('Choix pédagogiques'!$C$3=1,'Choix pédagogiques'!$C$3=2),$BN671=1),I671,IF(AND('Choix pédagogiques'!$C$3=3,$BO671=1),I671,""))</f>
        <v/>
      </c>
      <c r="AE671" s="22" t="str">
        <f t="shared" si="476"/>
        <v/>
      </c>
      <c r="AF671" s="21" t="str">
        <f t="shared" si="477"/>
        <v>Apprenant 659</v>
      </c>
      <c r="AG671" s="22" t="str">
        <f t="shared" si="451"/>
        <v/>
      </c>
      <c r="AH671" s="22" t="str">
        <f t="shared" si="452"/>
        <v/>
      </c>
      <c r="AI671" s="22" t="str">
        <f t="shared" si="453"/>
        <v/>
      </c>
      <c r="AJ671" s="22" t="str">
        <f t="shared" si="478"/>
        <v/>
      </c>
      <c r="AK671" s="21" t="str">
        <f t="shared" si="479"/>
        <v>Apprenant 659 ou 659'</v>
      </c>
      <c r="AL671" s="22" t="str">
        <f t="shared" si="454"/>
        <v/>
      </c>
      <c r="AM671" s="22" t="str">
        <f t="shared" si="455"/>
        <v/>
      </c>
      <c r="AN671" s="22" t="str">
        <f t="shared" si="456"/>
        <v/>
      </c>
      <c r="AO671" s="22" t="str">
        <f t="shared" si="480"/>
        <v/>
      </c>
      <c r="AQ671" s="21" t="str">
        <f t="shared" si="481"/>
        <v>Apprenant 659</v>
      </c>
      <c r="AR671" s="49" t="str">
        <f>IF(AND('Choix pédagogiques'!$C$4&lt;&gt;"?",'Choix pédagogiques'!$C$5&lt;&gt;"?",W671&lt;&gt;""),(W671-'Choix pédagogiques'!$C$4)/('Choix pédagogiques'!$C$5-'Choix pédagogiques'!$C$4),"")</f>
        <v/>
      </c>
      <c r="AS671" s="49" t="str">
        <f>IF(AND('Choix pédagogiques'!$C$4&lt;&gt;"?",'Choix pédagogiques'!$C$5&lt;&gt;"?",X671&lt;&gt;""),(X671-'Choix pédagogiques'!$C$4)/('Choix pédagogiques'!$C$5-'Choix pédagogiques'!$C$4),"")</f>
        <v/>
      </c>
      <c r="AT671" s="49" t="str">
        <f>IF(AND('Choix pédagogiques'!$C$4&lt;&gt;"?",'Choix pédagogiques'!$C$5&lt;&gt;"?",Y671&lt;&gt;""),(Y671-'Choix pédagogiques'!$C$4)/('Choix pédagogiques'!$C$5-'Choix pédagogiques'!$C$4),"")</f>
        <v/>
      </c>
      <c r="AU671" s="22" t="str">
        <f t="shared" si="482"/>
        <v/>
      </c>
      <c r="AV671" s="21" t="str">
        <f t="shared" si="483"/>
        <v>Apprenant 659 ou 659'</v>
      </c>
      <c r="AW671" s="49" t="str">
        <f>IF(AND('Choix pédagogiques'!$C$4&lt;&gt;"?",'Choix pédagogiques'!$C$5&lt;&gt;"?",AB671&lt;&gt;""),(AB671-'Choix pédagogiques'!$C$4)/('Choix pédagogiques'!$C$5-'Choix pédagogiques'!$C$4),"")</f>
        <v/>
      </c>
      <c r="AX671" s="49" t="str">
        <f>IF(AND('Choix pédagogiques'!$C$4&lt;&gt;"?",'Choix pédagogiques'!$C$5&lt;&gt;"?",AC671&lt;&gt;""),(AC671-'Choix pédagogiques'!$C$4)/('Choix pédagogiques'!$C$5-'Choix pédagogiques'!$C$4),"")</f>
        <v/>
      </c>
      <c r="AY671" s="49" t="str">
        <f>IF(AND('Choix pédagogiques'!$C$4&lt;&gt;"?",'Choix pédagogiques'!$C$5&lt;&gt;"?",AD671&lt;&gt;""),(AD671-'Choix pédagogiques'!$C$4)/('Choix pédagogiques'!$C$5-'Choix pédagogiques'!$C$4),"")</f>
        <v/>
      </c>
      <c r="AZ671" s="22" t="str">
        <f t="shared" si="484"/>
        <v/>
      </c>
      <c r="BA671" s="21" t="str">
        <f t="shared" si="485"/>
        <v>Apprenant 659</v>
      </c>
      <c r="BB671" s="49" t="str">
        <f t="shared" si="457"/>
        <v/>
      </c>
      <c r="BC671" s="49" t="str">
        <f t="shared" si="458"/>
        <v/>
      </c>
      <c r="BD671" s="49" t="str">
        <f t="shared" si="459"/>
        <v/>
      </c>
      <c r="BE671" s="22" t="str">
        <f t="shared" si="486"/>
        <v/>
      </c>
      <c r="BF671" s="21" t="str">
        <f t="shared" si="487"/>
        <v>Apprenant 659 ou 659'</v>
      </c>
      <c r="BG671" s="49" t="str">
        <f t="shared" si="460"/>
        <v/>
      </c>
      <c r="BH671" s="49" t="str">
        <f t="shared" si="461"/>
        <v/>
      </c>
      <c r="BI671" s="49" t="str">
        <f t="shared" si="462"/>
        <v/>
      </c>
      <c r="BJ671" s="22" t="str">
        <f t="shared" si="488"/>
        <v/>
      </c>
      <c r="BL671" s="21"/>
      <c r="BM671" s="21" t="str">
        <f>IF(OR(COUNT(B671:D1670)=0,AND('Choix pédagogiques'!$C$3&lt;&gt;1,'Choix pédagogiques'!$C$3&lt;&gt;2)),"",IF(AND(OR('Choix pédagogiques'!$C$3=1,'Choix pédagogiques'!$C$3=2),$B671&lt;&gt;"",$C671&lt;&gt;"",$D671&lt;&gt;""),1,0))</f>
        <v/>
      </c>
      <c r="BN671" s="21" t="str">
        <f>IF(OR(COUNT(G671:I1670)=0,AND('Choix pédagogiques'!$C$3&lt;&gt;1,'Choix pédagogiques'!$C$3&lt;&gt;2)),"",IF(AND(OR('Choix pédagogiques'!$C$3=1,'Choix pédagogiques'!$C$3=2),AND($G671&lt;&gt;"",$H671&lt;&gt;"",$I671&lt;&gt;"")),1,0))</f>
        <v/>
      </c>
      <c r="BO671" s="21" t="str">
        <f>IF(OR(COUNT(B671:D1670)=0,COUNT(G671:I1670)=0,'Choix pédagogiques'!C$3&lt;&gt;3),"",IF(AND('Choix pédagogiques'!$C$3=3,$B671&lt;&gt;"",$C671&lt;&gt;"",$D671&lt;&gt;"",$G671&lt;&gt;"",$H671&lt;&gt;"",$I671&lt;&gt;""),1,0))</f>
        <v/>
      </c>
      <c r="BR671" s="21">
        <v>48</v>
      </c>
      <c r="BS671" s="21">
        <v>1612</v>
      </c>
      <c r="BT671"/>
    </row>
    <row r="672" spans="1:72" s="23" customFormat="1" ht="18" customHeight="1" x14ac:dyDescent="0.3">
      <c r="A672" s="35" t="s">
        <v>662</v>
      </c>
      <c r="B672" s="37"/>
      <c r="C672" s="37"/>
      <c r="D672" s="37"/>
      <c r="E672" s="37"/>
      <c r="F672" s="35" t="s">
        <v>1670</v>
      </c>
      <c r="G672" s="37"/>
      <c r="H672" s="37"/>
      <c r="I672" s="37"/>
      <c r="J672" s="37"/>
      <c r="K672" s="21" t="str">
        <f t="shared" si="463"/>
        <v>Apprenant 660</v>
      </c>
      <c r="L672" s="22" t="str">
        <f t="shared" si="464"/>
        <v/>
      </c>
      <c r="M672" s="22" t="str">
        <f t="shared" si="465"/>
        <v/>
      </c>
      <c r="N672" s="22" t="str">
        <f t="shared" si="466"/>
        <v/>
      </c>
      <c r="O672" s="22" t="str">
        <f t="shared" si="467"/>
        <v/>
      </c>
      <c r="P672" s="21" t="str">
        <f t="shared" si="468"/>
        <v>Apprenant 660 ou 660'</v>
      </c>
      <c r="Q672" s="22" t="str">
        <f t="shared" si="469"/>
        <v/>
      </c>
      <c r="R672" s="22" t="str">
        <f t="shared" si="470"/>
        <v/>
      </c>
      <c r="S672" s="22" t="str">
        <f t="shared" si="471"/>
        <v/>
      </c>
      <c r="T672" s="22" t="str">
        <f t="shared" si="472"/>
        <v/>
      </c>
      <c r="V672" s="21" t="str">
        <f t="shared" si="473"/>
        <v>Apprenant 660</v>
      </c>
      <c r="W672" s="22" t="str">
        <f>IF(AND(OR('Choix pédagogiques'!$C$3=1,'Choix pédagogiques'!$C$3=2),$BM672=1),B672,IF(AND('Choix pédagogiques'!$C$3=3,$BO672=1),B672,""))</f>
        <v/>
      </c>
      <c r="X672" s="22" t="str">
        <f>IF(AND(OR('Choix pédagogiques'!$C$3=1,'Choix pédagogiques'!$C$3=2),$BM672=1),C672,IF(AND('Choix pédagogiques'!$C$3=3,$BO672=1),C672,""))</f>
        <v/>
      </c>
      <c r="Y672" s="22" t="str">
        <f>IF(AND(OR('Choix pédagogiques'!$C$3=1,'Choix pédagogiques'!$C$3=2),$BM672=1),D672,IF(AND('Choix pédagogiques'!$C$3=3,$BO672=1),D672,""))</f>
        <v/>
      </c>
      <c r="Z672" s="22" t="str">
        <f t="shared" si="474"/>
        <v/>
      </c>
      <c r="AA672" s="21" t="str">
        <f t="shared" si="475"/>
        <v>Apprenant 660 ou 660'</v>
      </c>
      <c r="AB672" s="22" t="str">
        <f>IF(AND(OR('Choix pédagogiques'!$C$3=1,'Choix pédagogiques'!$C$3=2),$BN672=1),G672,IF(AND('Choix pédagogiques'!$C$3=3,$BO672=1),G672,""))</f>
        <v/>
      </c>
      <c r="AC672" s="22" t="str">
        <f>IF(AND(OR('Choix pédagogiques'!$C$3=1,'Choix pédagogiques'!$C$3=2),$BN672=1),H672,IF(AND('Choix pédagogiques'!$C$3=3,$BO672=1),H672,""))</f>
        <v/>
      </c>
      <c r="AD672" s="22" t="str">
        <f>IF(AND(OR('Choix pédagogiques'!$C$3=1,'Choix pédagogiques'!$C$3=2),$BN672=1),I672,IF(AND('Choix pédagogiques'!$C$3=3,$BO672=1),I672,""))</f>
        <v/>
      </c>
      <c r="AE672" s="22" t="str">
        <f t="shared" si="476"/>
        <v/>
      </c>
      <c r="AF672" s="21" t="str">
        <f t="shared" si="477"/>
        <v>Apprenant 660</v>
      </c>
      <c r="AG672" s="22" t="str">
        <f t="shared" si="451"/>
        <v/>
      </c>
      <c r="AH672" s="22" t="str">
        <f t="shared" si="452"/>
        <v/>
      </c>
      <c r="AI672" s="22" t="str">
        <f t="shared" si="453"/>
        <v/>
      </c>
      <c r="AJ672" s="22" t="str">
        <f t="shared" si="478"/>
        <v/>
      </c>
      <c r="AK672" s="21" t="str">
        <f t="shared" si="479"/>
        <v>Apprenant 660 ou 660'</v>
      </c>
      <c r="AL672" s="22" t="str">
        <f t="shared" si="454"/>
        <v/>
      </c>
      <c r="AM672" s="22" t="str">
        <f t="shared" si="455"/>
        <v/>
      </c>
      <c r="AN672" s="22" t="str">
        <f t="shared" si="456"/>
        <v/>
      </c>
      <c r="AO672" s="22" t="str">
        <f t="shared" si="480"/>
        <v/>
      </c>
      <c r="AQ672" s="21" t="str">
        <f t="shared" si="481"/>
        <v>Apprenant 660</v>
      </c>
      <c r="AR672" s="49" t="str">
        <f>IF(AND('Choix pédagogiques'!$C$4&lt;&gt;"?",'Choix pédagogiques'!$C$5&lt;&gt;"?",W672&lt;&gt;""),(W672-'Choix pédagogiques'!$C$4)/('Choix pédagogiques'!$C$5-'Choix pédagogiques'!$C$4),"")</f>
        <v/>
      </c>
      <c r="AS672" s="49" t="str">
        <f>IF(AND('Choix pédagogiques'!$C$4&lt;&gt;"?",'Choix pédagogiques'!$C$5&lt;&gt;"?",X672&lt;&gt;""),(X672-'Choix pédagogiques'!$C$4)/('Choix pédagogiques'!$C$5-'Choix pédagogiques'!$C$4),"")</f>
        <v/>
      </c>
      <c r="AT672" s="49" t="str">
        <f>IF(AND('Choix pédagogiques'!$C$4&lt;&gt;"?",'Choix pédagogiques'!$C$5&lt;&gt;"?",Y672&lt;&gt;""),(Y672-'Choix pédagogiques'!$C$4)/('Choix pédagogiques'!$C$5-'Choix pédagogiques'!$C$4),"")</f>
        <v/>
      </c>
      <c r="AU672" s="22" t="str">
        <f t="shared" si="482"/>
        <v/>
      </c>
      <c r="AV672" s="21" t="str">
        <f t="shared" si="483"/>
        <v>Apprenant 660 ou 660'</v>
      </c>
      <c r="AW672" s="49" t="str">
        <f>IF(AND('Choix pédagogiques'!$C$4&lt;&gt;"?",'Choix pédagogiques'!$C$5&lt;&gt;"?",AB672&lt;&gt;""),(AB672-'Choix pédagogiques'!$C$4)/('Choix pédagogiques'!$C$5-'Choix pédagogiques'!$C$4),"")</f>
        <v/>
      </c>
      <c r="AX672" s="49" t="str">
        <f>IF(AND('Choix pédagogiques'!$C$4&lt;&gt;"?",'Choix pédagogiques'!$C$5&lt;&gt;"?",AC672&lt;&gt;""),(AC672-'Choix pédagogiques'!$C$4)/('Choix pédagogiques'!$C$5-'Choix pédagogiques'!$C$4),"")</f>
        <v/>
      </c>
      <c r="AY672" s="49" t="str">
        <f>IF(AND('Choix pédagogiques'!$C$4&lt;&gt;"?",'Choix pédagogiques'!$C$5&lt;&gt;"?",AD672&lt;&gt;""),(AD672-'Choix pédagogiques'!$C$4)/('Choix pédagogiques'!$C$5-'Choix pédagogiques'!$C$4),"")</f>
        <v/>
      </c>
      <c r="AZ672" s="22" t="str">
        <f t="shared" si="484"/>
        <v/>
      </c>
      <c r="BA672" s="21" t="str">
        <f t="shared" si="485"/>
        <v>Apprenant 660</v>
      </c>
      <c r="BB672" s="49" t="str">
        <f t="shared" si="457"/>
        <v/>
      </c>
      <c r="BC672" s="49" t="str">
        <f t="shared" si="458"/>
        <v/>
      </c>
      <c r="BD672" s="49" t="str">
        <f t="shared" si="459"/>
        <v/>
      </c>
      <c r="BE672" s="22" t="str">
        <f t="shared" si="486"/>
        <v/>
      </c>
      <c r="BF672" s="21" t="str">
        <f t="shared" si="487"/>
        <v>Apprenant 660 ou 660'</v>
      </c>
      <c r="BG672" s="49" t="str">
        <f t="shared" si="460"/>
        <v/>
      </c>
      <c r="BH672" s="49" t="str">
        <f t="shared" si="461"/>
        <v/>
      </c>
      <c r="BI672" s="49" t="str">
        <f t="shared" si="462"/>
        <v/>
      </c>
      <c r="BJ672" s="22" t="str">
        <f t="shared" si="488"/>
        <v/>
      </c>
      <c r="BL672" s="21"/>
      <c r="BM672" s="21" t="str">
        <f>IF(OR(COUNT(B672:D1671)=0,AND('Choix pédagogiques'!$C$3&lt;&gt;1,'Choix pédagogiques'!$C$3&lt;&gt;2)),"",IF(AND(OR('Choix pédagogiques'!$C$3=1,'Choix pédagogiques'!$C$3=2),$B672&lt;&gt;"",$C672&lt;&gt;"",$D672&lt;&gt;""),1,0))</f>
        <v/>
      </c>
      <c r="BN672" s="21" t="str">
        <f>IF(OR(COUNT(G672:I1671)=0,AND('Choix pédagogiques'!$C$3&lt;&gt;1,'Choix pédagogiques'!$C$3&lt;&gt;2)),"",IF(AND(OR('Choix pédagogiques'!$C$3=1,'Choix pédagogiques'!$C$3=2),AND($G672&lt;&gt;"",$H672&lt;&gt;"",$I672&lt;&gt;"")),1,0))</f>
        <v/>
      </c>
      <c r="BO672" s="21" t="str">
        <f>IF(OR(COUNT(B672:D1671)=0,COUNT(G672:I1671)=0,'Choix pédagogiques'!C$3&lt;&gt;3),"",IF(AND('Choix pédagogiques'!$C$3=3,$B672&lt;&gt;"",$C672&lt;&gt;"",$D672&lt;&gt;"",$G672&lt;&gt;"",$H672&lt;&gt;"",$I672&lt;&gt;""),1,0))</f>
        <v/>
      </c>
      <c r="BR672" s="21">
        <v>510</v>
      </c>
      <c r="BS672" s="21">
        <v>1747</v>
      </c>
      <c r="BT672"/>
    </row>
    <row r="673" spans="1:72" s="23" customFormat="1" ht="18" customHeight="1" x14ac:dyDescent="0.3">
      <c r="A673" s="35" t="s">
        <v>663</v>
      </c>
      <c r="B673" s="37"/>
      <c r="C673" s="37"/>
      <c r="D673" s="37"/>
      <c r="E673" s="37"/>
      <c r="F673" s="35" t="s">
        <v>1671</v>
      </c>
      <c r="G673" s="37"/>
      <c r="H673" s="37"/>
      <c r="I673" s="37"/>
      <c r="J673" s="37"/>
      <c r="K673" s="21" t="str">
        <f t="shared" si="463"/>
        <v>Apprenant 661</v>
      </c>
      <c r="L673" s="22" t="str">
        <f t="shared" si="464"/>
        <v/>
      </c>
      <c r="M673" s="22" t="str">
        <f t="shared" si="465"/>
        <v/>
      </c>
      <c r="N673" s="22" t="str">
        <f t="shared" si="466"/>
        <v/>
      </c>
      <c r="O673" s="22" t="str">
        <f t="shared" si="467"/>
        <v/>
      </c>
      <c r="P673" s="21" t="str">
        <f t="shared" si="468"/>
        <v>Apprenant 661 ou 661'</v>
      </c>
      <c r="Q673" s="22" t="str">
        <f t="shared" si="469"/>
        <v/>
      </c>
      <c r="R673" s="22" t="str">
        <f t="shared" si="470"/>
        <v/>
      </c>
      <c r="S673" s="22" t="str">
        <f t="shared" si="471"/>
        <v/>
      </c>
      <c r="T673" s="22" t="str">
        <f t="shared" si="472"/>
        <v/>
      </c>
      <c r="V673" s="21" t="str">
        <f t="shared" si="473"/>
        <v>Apprenant 661</v>
      </c>
      <c r="W673" s="22" t="str">
        <f>IF(AND(OR('Choix pédagogiques'!$C$3=1,'Choix pédagogiques'!$C$3=2),$BM673=1),B673,IF(AND('Choix pédagogiques'!$C$3=3,$BO673=1),B673,""))</f>
        <v/>
      </c>
      <c r="X673" s="22" t="str">
        <f>IF(AND(OR('Choix pédagogiques'!$C$3=1,'Choix pédagogiques'!$C$3=2),$BM673=1),C673,IF(AND('Choix pédagogiques'!$C$3=3,$BO673=1),C673,""))</f>
        <v/>
      </c>
      <c r="Y673" s="22" t="str">
        <f>IF(AND(OR('Choix pédagogiques'!$C$3=1,'Choix pédagogiques'!$C$3=2),$BM673=1),D673,IF(AND('Choix pédagogiques'!$C$3=3,$BO673=1),D673,""))</f>
        <v/>
      </c>
      <c r="Z673" s="22" t="str">
        <f t="shared" si="474"/>
        <v/>
      </c>
      <c r="AA673" s="21" t="str">
        <f t="shared" si="475"/>
        <v>Apprenant 661 ou 661'</v>
      </c>
      <c r="AB673" s="22" t="str">
        <f>IF(AND(OR('Choix pédagogiques'!$C$3=1,'Choix pédagogiques'!$C$3=2),$BN673=1),G673,IF(AND('Choix pédagogiques'!$C$3=3,$BO673=1),G673,""))</f>
        <v/>
      </c>
      <c r="AC673" s="22" t="str">
        <f>IF(AND(OR('Choix pédagogiques'!$C$3=1,'Choix pédagogiques'!$C$3=2),$BN673=1),H673,IF(AND('Choix pédagogiques'!$C$3=3,$BO673=1),H673,""))</f>
        <v/>
      </c>
      <c r="AD673" s="22" t="str">
        <f>IF(AND(OR('Choix pédagogiques'!$C$3=1,'Choix pédagogiques'!$C$3=2),$BN673=1),I673,IF(AND('Choix pédagogiques'!$C$3=3,$BO673=1),I673,""))</f>
        <v/>
      </c>
      <c r="AE673" s="22" t="str">
        <f t="shared" si="476"/>
        <v/>
      </c>
      <c r="AF673" s="21" t="str">
        <f t="shared" si="477"/>
        <v>Apprenant 661</v>
      </c>
      <c r="AG673" s="22" t="str">
        <f t="shared" si="451"/>
        <v/>
      </c>
      <c r="AH673" s="22" t="str">
        <f t="shared" si="452"/>
        <v/>
      </c>
      <c r="AI673" s="22" t="str">
        <f t="shared" si="453"/>
        <v/>
      </c>
      <c r="AJ673" s="22" t="str">
        <f t="shared" si="478"/>
        <v/>
      </c>
      <c r="AK673" s="21" t="str">
        <f t="shared" si="479"/>
        <v>Apprenant 661 ou 661'</v>
      </c>
      <c r="AL673" s="22" t="str">
        <f t="shared" si="454"/>
        <v/>
      </c>
      <c r="AM673" s="22" t="str">
        <f t="shared" si="455"/>
        <v/>
      </c>
      <c r="AN673" s="22" t="str">
        <f t="shared" si="456"/>
        <v/>
      </c>
      <c r="AO673" s="22" t="str">
        <f t="shared" si="480"/>
        <v/>
      </c>
      <c r="AQ673" s="21" t="str">
        <f t="shared" si="481"/>
        <v>Apprenant 661</v>
      </c>
      <c r="AR673" s="49" t="str">
        <f>IF(AND('Choix pédagogiques'!$C$4&lt;&gt;"?",'Choix pédagogiques'!$C$5&lt;&gt;"?",W673&lt;&gt;""),(W673-'Choix pédagogiques'!$C$4)/('Choix pédagogiques'!$C$5-'Choix pédagogiques'!$C$4),"")</f>
        <v/>
      </c>
      <c r="AS673" s="49" t="str">
        <f>IF(AND('Choix pédagogiques'!$C$4&lt;&gt;"?",'Choix pédagogiques'!$C$5&lt;&gt;"?",X673&lt;&gt;""),(X673-'Choix pédagogiques'!$C$4)/('Choix pédagogiques'!$C$5-'Choix pédagogiques'!$C$4),"")</f>
        <v/>
      </c>
      <c r="AT673" s="49" t="str">
        <f>IF(AND('Choix pédagogiques'!$C$4&lt;&gt;"?",'Choix pédagogiques'!$C$5&lt;&gt;"?",Y673&lt;&gt;""),(Y673-'Choix pédagogiques'!$C$4)/('Choix pédagogiques'!$C$5-'Choix pédagogiques'!$C$4),"")</f>
        <v/>
      </c>
      <c r="AU673" s="22" t="str">
        <f t="shared" si="482"/>
        <v/>
      </c>
      <c r="AV673" s="21" t="str">
        <f t="shared" si="483"/>
        <v>Apprenant 661 ou 661'</v>
      </c>
      <c r="AW673" s="49" t="str">
        <f>IF(AND('Choix pédagogiques'!$C$4&lt;&gt;"?",'Choix pédagogiques'!$C$5&lt;&gt;"?",AB673&lt;&gt;""),(AB673-'Choix pédagogiques'!$C$4)/('Choix pédagogiques'!$C$5-'Choix pédagogiques'!$C$4),"")</f>
        <v/>
      </c>
      <c r="AX673" s="49" t="str">
        <f>IF(AND('Choix pédagogiques'!$C$4&lt;&gt;"?",'Choix pédagogiques'!$C$5&lt;&gt;"?",AC673&lt;&gt;""),(AC673-'Choix pédagogiques'!$C$4)/('Choix pédagogiques'!$C$5-'Choix pédagogiques'!$C$4),"")</f>
        <v/>
      </c>
      <c r="AY673" s="49" t="str">
        <f>IF(AND('Choix pédagogiques'!$C$4&lt;&gt;"?",'Choix pédagogiques'!$C$5&lt;&gt;"?",AD673&lt;&gt;""),(AD673-'Choix pédagogiques'!$C$4)/('Choix pédagogiques'!$C$5-'Choix pédagogiques'!$C$4),"")</f>
        <v/>
      </c>
      <c r="AZ673" s="22" t="str">
        <f t="shared" si="484"/>
        <v/>
      </c>
      <c r="BA673" s="21" t="str">
        <f t="shared" si="485"/>
        <v>Apprenant 661</v>
      </c>
      <c r="BB673" s="49" t="str">
        <f t="shared" si="457"/>
        <v/>
      </c>
      <c r="BC673" s="49" t="str">
        <f t="shared" si="458"/>
        <v/>
      </c>
      <c r="BD673" s="49" t="str">
        <f t="shared" si="459"/>
        <v/>
      </c>
      <c r="BE673" s="22" t="str">
        <f t="shared" si="486"/>
        <v/>
      </c>
      <c r="BF673" s="21" t="str">
        <f t="shared" si="487"/>
        <v>Apprenant 661 ou 661'</v>
      </c>
      <c r="BG673" s="49" t="str">
        <f t="shared" si="460"/>
        <v/>
      </c>
      <c r="BH673" s="49" t="str">
        <f t="shared" si="461"/>
        <v/>
      </c>
      <c r="BI673" s="49" t="str">
        <f t="shared" si="462"/>
        <v/>
      </c>
      <c r="BJ673" s="22" t="str">
        <f t="shared" si="488"/>
        <v/>
      </c>
      <c r="BL673" s="21"/>
      <c r="BM673" s="21" t="str">
        <f>IF(OR(COUNT(B673:D1672)=0,AND('Choix pédagogiques'!$C$3&lt;&gt;1,'Choix pédagogiques'!$C$3&lt;&gt;2)),"",IF(AND(OR('Choix pédagogiques'!$C$3=1,'Choix pédagogiques'!$C$3=2),$B673&lt;&gt;"",$C673&lt;&gt;"",$D673&lt;&gt;""),1,0))</f>
        <v/>
      </c>
      <c r="BN673" s="21" t="str">
        <f>IF(OR(COUNT(G673:I1672)=0,AND('Choix pédagogiques'!$C$3&lt;&gt;1,'Choix pédagogiques'!$C$3&lt;&gt;2)),"",IF(AND(OR('Choix pédagogiques'!$C$3=1,'Choix pédagogiques'!$C$3=2),AND($G673&lt;&gt;"",$H673&lt;&gt;"",$I673&lt;&gt;"")),1,0))</f>
        <v/>
      </c>
      <c r="BO673" s="21" t="str">
        <f>IF(OR(COUNT(B673:D1672)=0,COUNT(G673:I1672)=0,'Choix pédagogiques'!C$3&lt;&gt;3),"",IF(AND('Choix pédagogiques'!$C$3=3,$B673&lt;&gt;"",$C673&lt;&gt;"",$D673&lt;&gt;"",$G673&lt;&gt;"",$H673&lt;&gt;"",$I673&lt;&gt;""),1,0))</f>
        <v/>
      </c>
      <c r="BR673" s="21">
        <v>788</v>
      </c>
      <c r="BS673" s="21">
        <v>1366</v>
      </c>
      <c r="BT673"/>
    </row>
    <row r="674" spans="1:72" s="23" customFormat="1" ht="18" customHeight="1" x14ac:dyDescent="0.3">
      <c r="A674" s="35" t="s">
        <v>664</v>
      </c>
      <c r="B674" s="37"/>
      <c r="C674" s="37"/>
      <c r="D674" s="37"/>
      <c r="E674" s="37"/>
      <c r="F674" s="35" t="s">
        <v>1672</v>
      </c>
      <c r="G674" s="37"/>
      <c r="H674" s="37"/>
      <c r="I674" s="37"/>
      <c r="J674" s="37"/>
      <c r="K674" s="21" t="str">
        <f t="shared" si="463"/>
        <v>Apprenant 662</v>
      </c>
      <c r="L674" s="22" t="str">
        <f t="shared" si="464"/>
        <v/>
      </c>
      <c r="M674" s="22" t="str">
        <f t="shared" si="465"/>
        <v/>
      </c>
      <c r="N674" s="22" t="str">
        <f t="shared" si="466"/>
        <v/>
      </c>
      <c r="O674" s="22" t="str">
        <f t="shared" si="467"/>
        <v/>
      </c>
      <c r="P674" s="21" t="str">
        <f t="shared" si="468"/>
        <v>Apprenant 662 ou 662'</v>
      </c>
      <c r="Q674" s="22" t="str">
        <f t="shared" si="469"/>
        <v/>
      </c>
      <c r="R674" s="22" t="str">
        <f t="shared" si="470"/>
        <v/>
      </c>
      <c r="S674" s="22" t="str">
        <f t="shared" si="471"/>
        <v/>
      </c>
      <c r="T674" s="22" t="str">
        <f t="shared" si="472"/>
        <v/>
      </c>
      <c r="V674" s="21" t="str">
        <f t="shared" si="473"/>
        <v>Apprenant 662</v>
      </c>
      <c r="W674" s="22" t="str">
        <f>IF(AND(OR('Choix pédagogiques'!$C$3=1,'Choix pédagogiques'!$C$3=2),$BM674=1),B674,IF(AND('Choix pédagogiques'!$C$3=3,$BO674=1),B674,""))</f>
        <v/>
      </c>
      <c r="X674" s="22" t="str">
        <f>IF(AND(OR('Choix pédagogiques'!$C$3=1,'Choix pédagogiques'!$C$3=2),$BM674=1),C674,IF(AND('Choix pédagogiques'!$C$3=3,$BO674=1),C674,""))</f>
        <v/>
      </c>
      <c r="Y674" s="22" t="str">
        <f>IF(AND(OR('Choix pédagogiques'!$C$3=1,'Choix pédagogiques'!$C$3=2),$BM674=1),D674,IF(AND('Choix pédagogiques'!$C$3=3,$BO674=1),D674,""))</f>
        <v/>
      </c>
      <c r="Z674" s="22" t="str">
        <f t="shared" si="474"/>
        <v/>
      </c>
      <c r="AA674" s="21" t="str">
        <f t="shared" si="475"/>
        <v>Apprenant 662 ou 662'</v>
      </c>
      <c r="AB674" s="22" t="str">
        <f>IF(AND(OR('Choix pédagogiques'!$C$3=1,'Choix pédagogiques'!$C$3=2),$BN674=1),G674,IF(AND('Choix pédagogiques'!$C$3=3,$BO674=1),G674,""))</f>
        <v/>
      </c>
      <c r="AC674" s="22" t="str">
        <f>IF(AND(OR('Choix pédagogiques'!$C$3=1,'Choix pédagogiques'!$C$3=2),$BN674=1),H674,IF(AND('Choix pédagogiques'!$C$3=3,$BO674=1),H674,""))</f>
        <v/>
      </c>
      <c r="AD674" s="22" t="str">
        <f>IF(AND(OR('Choix pédagogiques'!$C$3=1,'Choix pédagogiques'!$C$3=2),$BN674=1),I674,IF(AND('Choix pédagogiques'!$C$3=3,$BO674=1),I674,""))</f>
        <v/>
      </c>
      <c r="AE674" s="22" t="str">
        <f t="shared" si="476"/>
        <v/>
      </c>
      <c r="AF674" s="21" t="str">
        <f t="shared" si="477"/>
        <v>Apprenant 662</v>
      </c>
      <c r="AG674" s="22" t="str">
        <f t="shared" si="451"/>
        <v/>
      </c>
      <c r="AH674" s="22" t="str">
        <f t="shared" si="452"/>
        <v/>
      </c>
      <c r="AI674" s="22" t="str">
        <f t="shared" si="453"/>
        <v/>
      </c>
      <c r="AJ674" s="22" t="str">
        <f t="shared" si="478"/>
        <v/>
      </c>
      <c r="AK674" s="21" t="str">
        <f t="shared" si="479"/>
        <v>Apprenant 662 ou 662'</v>
      </c>
      <c r="AL674" s="22" t="str">
        <f t="shared" si="454"/>
        <v/>
      </c>
      <c r="AM674" s="22" t="str">
        <f t="shared" si="455"/>
        <v/>
      </c>
      <c r="AN674" s="22" t="str">
        <f t="shared" si="456"/>
        <v/>
      </c>
      <c r="AO674" s="22" t="str">
        <f t="shared" si="480"/>
        <v/>
      </c>
      <c r="AQ674" s="21" t="str">
        <f t="shared" si="481"/>
        <v>Apprenant 662</v>
      </c>
      <c r="AR674" s="49" t="str">
        <f>IF(AND('Choix pédagogiques'!$C$4&lt;&gt;"?",'Choix pédagogiques'!$C$5&lt;&gt;"?",W674&lt;&gt;""),(W674-'Choix pédagogiques'!$C$4)/('Choix pédagogiques'!$C$5-'Choix pédagogiques'!$C$4),"")</f>
        <v/>
      </c>
      <c r="AS674" s="49" t="str">
        <f>IF(AND('Choix pédagogiques'!$C$4&lt;&gt;"?",'Choix pédagogiques'!$C$5&lt;&gt;"?",X674&lt;&gt;""),(X674-'Choix pédagogiques'!$C$4)/('Choix pédagogiques'!$C$5-'Choix pédagogiques'!$C$4),"")</f>
        <v/>
      </c>
      <c r="AT674" s="49" t="str">
        <f>IF(AND('Choix pédagogiques'!$C$4&lt;&gt;"?",'Choix pédagogiques'!$C$5&lt;&gt;"?",Y674&lt;&gt;""),(Y674-'Choix pédagogiques'!$C$4)/('Choix pédagogiques'!$C$5-'Choix pédagogiques'!$C$4),"")</f>
        <v/>
      </c>
      <c r="AU674" s="22" t="str">
        <f t="shared" si="482"/>
        <v/>
      </c>
      <c r="AV674" s="21" t="str">
        <f t="shared" si="483"/>
        <v>Apprenant 662 ou 662'</v>
      </c>
      <c r="AW674" s="49" t="str">
        <f>IF(AND('Choix pédagogiques'!$C$4&lt;&gt;"?",'Choix pédagogiques'!$C$5&lt;&gt;"?",AB674&lt;&gt;""),(AB674-'Choix pédagogiques'!$C$4)/('Choix pédagogiques'!$C$5-'Choix pédagogiques'!$C$4),"")</f>
        <v/>
      </c>
      <c r="AX674" s="49" t="str">
        <f>IF(AND('Choix pédagogiques'!$C$4&lt;&gt;"?",'Choix pédagogiques'!$C$5&lt;&gt;"?",AC674&lt;&gt;""),(AC674-'Choix pédagogiques'!$C$4)/('Choix pédagogiques'!$C$5-'Choix pédagogiques'!$C$4),"")</f>
        <v/>
      </c>
      <c r="AY674" s="49" t="str">
        <f>IF(AND('Choix pédagogiques'!$C$4&lt;&gt;"?",'Choix pédagogiques'!$C$5&lt;&gt;"?",AD674&lt;&gt;""),(AD674-'Choix pédagogiques'!$C$4)/('Choix pédagogiques'!$C$5-'Choix pédagogiques'!$C$4),"")</f>
        <v/>
      </c>
      <c r="AZ674" s="22" t="str">
        <f t="shared" si="484"/>
        <v/>
      </c>
      <c r="BA674" s="21" t="str">
        <f t="shared" si="485"/>
        <v>Apprenant 662</v>
      </c>
      <c r="BB674" s="49" t="str">
        <f t="shared" si="457"/>
        <v/>
      </c>
      <c r="BC674" s="49" t="str">
        <f t="shared" si="458"/>
        <v/>
      </c>
      <c r="BD674" s="49" t="str">
        <f t="shared" si="459"/>
        <v/>
      </c>
      <c r="BE674" s="22" t="str">
        <f t="shared" si="486"/>
        <v/>
      </c>
      <c r="BF674" s="21" t="str">
        <f t="shared" si="487"/>
        <v>Apprenant 662 ou 662'</v>
      </c>
      <c r="BG674" s="49" t="str">
        <f t="shared" si="460"/>
        <v/>
      </c>
      <c r="BH674" s="49" t="str">
        <f t="shared" si="461"/>
        <v/>
      </c>
      <c r="BI674" s="49" t="str">
        <f t="shared" si="462"/>
        <v/>
      </c>
      <c r="BJ674" s="22" t="str">
        <f t="shared" si="488"/>
        <v/>
      </c>
      <c r="BL674" s="21"/>
      <c r="BM674" s="21" t="str">
        <f>IF(OR(COUNT(B674:D1673)=0,AND('Choix pédagogiques'!$C$3&lt;&gt;1,'Choix pédagogiques'!$C$3&lt;&gt;2)),"",IF(AND(OR('Choix pédagogiques'!$C$3=1,'Choix pédagogiques'!$C$3=2),$B674&lt;&gt;"",$C674&lt;&gt;"",$D674&lt;&gt;""),1,0))</f>
        <v/>
      </c>
      <c r="BN674" s="21" t="str">
        <f>IF(OR(COUNT(G674:I1673)=0,AND('Choix pédagogiques'!$C$3&lt;&gt;1,'Choix pédagogiques'!$C$3&lt;&gt;2)),"",IF(AND(OR('Choix pédagogiques'!$C$3=1,'Choix pédagogiques'!$C$3=2),AND($G674&lt;&gt;"",$H674&lt;&gt;"",$I674&lt;&gt;"")),1,0))</f>
        <v/>
      </c>
      <c r="BO674" s="21" t="str">
        <f>IF(OR(COUNT(B674:D1673)=0,COUNT(G674:I1673)=0,'Choix pédagogiques'!C$3&lt;&gt;3),"",IF(AND('Choix pédagogiques'!$C$3=3,$B674&lt;&gt;"",$C674&lt;&gt;"",$D674&lt;&gt;"",$G674&lt;&gt;"",$H674&lt;&gt;"",$I674&lt;&gt;""),1,0))</f>
        <v/>
      </c>
      <c r="BR674" s="21">
        <v>87</v>
      </c>
      <c r="BS674" s="21">
        <v>1755</v>
      </c>
      <c r="BT674"/>
    </row>
    <row r="675" spans="1:72" s="23" customFormat="1" ht="18" customHeight="1" x14ac:dyDescent="0.3">
      <c r="A675" s="35" t="s">
        <v>665</v>
      </c>
      <c r="B675" s="37"/>
      <c r="C675" s="37"/>
      <c r="D675" s="37"/>
      <c r="E675" s="37"/>
      <c r="F675" s="35" t="s">
        <v>1673</v>
      </c>
      <c r="G675" s="37"/>
      <c r="H675" s="37"/>
      <c r="I675" s="37"/>
      <c r="J675" s="37"/>
      <c r="K675" s="21" t="str">
        <f t="shared" si="463"/>
        <v>Apprenant 663</v>
      </c>
      <c r="L675" s="22" t="str">
        <f t="shared" si="464"/>
        <v/>
      </c>
      <c r="M675" s="22" t="str">
        <f t="shared" si="465"/>
        <v/>
      </c>
      <c r="N675" s="22" t="str">
        <f t="shared" si="466"/>
        <v/>
      </c>
      <c r="O675" s="22" t="str">
        <f t="shared" si="467"/>
        <v/>
      </c>
      <c r="P675" s="21" t="str">
        <f t="shared" si="468"/>
        <v>Apprenant 663 ou 663'</v>
      </c>
      <c r="Q675" s="22" t="str">
        <f t="shared" si="469"/>
        <v/>
      </c>
      <c r="R675" s="22" t="str">
        <f t="shared" si="470"/>
        <v/>
      </c>
      <c r="S675" s="22" t="str">
        <f t="shared" si="471"/>
        <v/>
      </c>
      <c r="T675" s="22" t="str">
        <f t="shared" si="472"/>
        <v/>
      </c>
      <c r="V675" s="21" t="str">
        <f t="shared" si="473"/>
        <v>Apprenant 663</v>
      </c>
      <c r="W675" s="22" t="str">
        <f>IF(AND(OR('Choix pédagogiques'!$C$3=1,'Choix pédagogiques'!$C$3=2),$BM675=1),B675,IF(AND('Choix pédagogiques'!$C$3=3,$BO675=1),B675,""))</f>
        <v/>
      </c>
      <c r="X675" s="22" t="str">
        <f>IF(AND(OR('Choix pédagogiques'!$C$3=1,'Choix pédagogiques'!$C$3=2),$BM675=1),C675,IF(AND('Choix pédagogiques'!$C$3=3,$BO675=1),C675,""))</f>
        <v/>
      </c>
      <c r="Y675" s="22" t="str">
        <f>IF(AND(OR('Choix pédagogiques'!$C$3=1,'Choix pédagogiques'!$C$3=2),$BM675=1),D675,IF(AND('Choix pédagogiques'!$C$3=3,$BO675=1),D675,""))</f>
        <v/>
      </c>
      <c r="Z675" s="22" t="str">
        <f t="shared" si="474"/>
        <v/>
      </c>
      <c r="AA675" s="21" t="str">
        <f t="shared" si="475"/>
        <v>Apprenant 663 ou 663'</v>
      </c>
      <c r="AB675" s="22" t="str">
        <f>IF(AND(OR('Choix pédagogiques'!$C$3=1,'Choix pédagogiques'!$C$3=2),$BN675=1),G675,IF(AND('Choix pédagogiques'!$C$3=3,$BO675=1),G675,""))</f>
        <v/>
      </c>
      <c r="AC675" s="22" t="str">
        <f>IF(AND(OR('Choix pédagogiques'!$C$3=1,'Choix pédagogiques'!$C$3=2),$BN675=1),H675,IF(AND('Choix pédagogiques'!$C$3=3,$BO675=1),H675,""))</f>
        <v/>
      </c>
      <c r="AD675" s="22" t="str">
        <f>IF(AND(OR('Choix pédagogiques'!$C$3=1,'Choix pédagogiques'!$C$3=2),$BN675=1),I675,IF(AND('Choix pédagogiques'!$C$3=3,$BO675=1),I675,""))</f>
        <v/>
      </c>
      <c r="AE675" s="22" t="str">
        <f t="shared" si="476"/>
        <v/>
      </c>
      <c r="AF675" s="21" t="str">
        <f t="shared" si="477"/>
        <v>Apprenant 663</v>
      </c>
      <c r="AG675" s="22" t="str">
        <f t="shared" si="451"/>
        <v/>
      </c>
      <c r="AH675" s="22" t="str">
        <f t="shared" si="452"/>
        <v/>
      </c>
      <c r="AI675" s="22" t="str">
        <f t="shared" si="453"/>
        <v/>
      </c>
      <c r="AJ675" s="22" t="str">
        <f t="shared" si="478"/>
        <v/>
      </c>
      <c r="AK675" s="21" t="str">
        <f t="shared" si="479"/>
        <v>Apprenant 663 ou 663'</v>
      </c>
      <c r="AL675" s="22" t="str">
        <f t="shared" si="454"/>
        <v/>
      </c>
      <c r="AM675" s="22" t="str">
        <f t="shared" si="455"/>
        <v/>
      </c>
      <c r="AN675" s="22" t="str">
        <f t="shared" si="456"/>
        <v/>
      </c>
      <c r="AO675" s="22" t="str">
        <f t="shared" si="480"/>
        <v/>
      </c>
      <c r="AQ675" s="21" t="str">
        <f t="shared" si="481"/>
        <v>Apprenant 663</v>
      </c>
      <c r="AR675" s="49" t="str">
        <f>IF(AND('Choix pédagogiques'!$C$4&lt;&gt;"?",'Choix pédagogiques'!$C$5&lt;&gt;"?",W675&lt;&gt;""),(W675-'Choix pédagogiques'!$C$4)/('Choix pédagogiques'!$C$5-'Choix pédagogiques'!$C$4),"")</f>
        <v/>
      </c>
      <c r="AS675" s="49" t="str">
        <f>IF(AND('Choix pédagogiques'!$C$4&lt;&gt;"?",'Choix pédagogiques'!$C$5&lt;&gt;"?",X675&lt;&gt;""),(X675-'Choix pédagogiques'!$C$4)/('Choix pédagogiques'!$C$5-'Choix pédagogiques'!$C$4),"")</f>
        <v/>
      </c>
      <c r="AT675" s="49" t="str">
        <f>IF(AND('Choix pédagogiques'!$C$4&lt;&gt;"?",'Choix pédagogiques'!$C$5&lt;&gt;"?",Y675&lt;&gt;""),(Y675-'Choix pédagogiques'!$C$4)/('Choix pédagogiques'!$C$5-'Choix pédagogiques'!$C$4),"")</f>
        <v/>
      </c>
      <c r="AU675" s="22" t="str">
        <f t="shared" si="482"/>
        <v/>
      </c>
      <c r="AV675" s="21" t="str">
        <f t="shared" si="483"/>
        <v>Apprenant 663 ou 663'</v>
      </c>
      <c r="AW675" s="49" t="str">
        <f>IF(AND('Choix pédagogiques'!$C$4&lt;&gt;"?",'Choix pédagogiques'!$C$5&lt;&gt;"?",AB675&lt;&gt;""),(AB675-'Choix pédagogiques'!$C$4)/('Choix pédagogiques'!$C$5-'Choix pédagogiques'!$C$4),"")</f>
        <v/>
      </c>
      <c r="AX675" s="49" t="str">
        <f>IF(AND('Choix pédagogiques'!$C$4&lt;&gt;"?",'Choix pédagogiques'!$C$5&lt;&gt;"?",AC675&lt;&gt;""),(AC675-'Choix pédagogiques'!$C$4)/('Choix pédagogiques'!$C$5-'Choix pédagogiques'!$C$4),"")</f>
        <v/>
      </c>
      <c r="AY675" s="49" t="str">
        <f>IF(AND('Choix pédagogiques'!$C$4&lt;&gt;"?",'Choix pédagogiques'!$C$5&lt;&gt;"?",AD675&lt;&gt;""),(AD675-'Choix pédagogiques'!$C$4)/('Choix pédagogiques'!$C$5-'Choix pédagogiques'!$C$4),"")</f>
        <v/>
      </c>
      <c r="AZ675" s="22" t="str">
        <f t="shared" si="484"/>
        <v/>
      </c>
      <c r="BA675" s="21" t="str">
        <f t="shared" si="485"/>
        <v>Apprenant 663</v>
      </c>
      <c r="BB675" s="49" t="str">
        <f t="shared" si="457"/>
        <v/>
      </c>
      <c r="BC675" s="49" t="str">
        <f t="shared" si="458"/>
        <v/>
      </c>
      <c r="BD675" s="49" t="str">
        <f t="shared" si="459"/>
        <v/>
      </c>
      <c r="BE675" s="22" t="str">
        <f t="shared" si="486"/>
        <v/>
      </c>
      <c r="BF675" s="21" t="str">
        <f t="shared" si="487"/>
        <v>Apprenant 663 ou 663'</v>
      </c>
      <c r="BG675" s="49" t="str">
        <f t="shared" si="460"/>
        <v/>
      </c>
      <c r="BH675" s="49" t="str">
        <f t="shared" si="461"/>
        <v/>
      </c>
      <c r="BI675" s="49" t="str">
        <f t="shared" si="462"/>
        <v/>
      </c>
      <c r="BJ675" s="22" t="str">
        <f t="shared" si="488"/>
        <v/>
      </c>
      <c r="BL675" s="21"/>
      <c r="BM675" s="21" t="str">
        <f>IF(OR(COUNT(B675:D1674)=0,AND('Choix pédagogiques'!$C$3&lt;&gt;1,'Choix pédagogiques'!$C$3&lt;&gt;2)),"",IF(AND(OR('Choix pédagogiques'!$C$3=1,'Choix pédagogiques'!$C$3=2),$B675&lt;&gt;"",$C675&lt;&gt;"",$D675&lt;&gt;""),1,0))</f>
        <v/>
      </c>
      <c r="BN675" s="21" t="str">
        <f>IF(OR(COUNT(G675:I1674)=0,AND('Choix pédagogiques'!$C$3&lt;&gt;1,'Choix pédagogiques'!$C$3&lt;&gt;2)),"",IF(AND(OR('Choix pédagogiques'!$C$3=1,'Choix pédagogiques'!$C$3=2),AND($G675&lt;&gt;"",$H675&lt;&gt;"",$I675&lt;&gt;"")),1,0))</f>
        <v/>
      </c>
      <c r="BO675" s="21" t="str">
        <f>IF(OR(COUNT(B675:D1674)=0,COUNT(G675:I1674)=0,'Choix pédagogiques'!C$3&lt;&gt;3),"",IF(AND('Choix pédagogiques'!$C$3=3,$B675&lt;&gt;"",$C675&lt;&gt;"",$D675&lt;&gt;"",$G675&lt;&gt;"",$H675&lt;&gt;"",$I675&lt;&gt;""),1,0))</f>
        <v/>
      </c>
      <c r="BR675" s="21">
        <v>782</v>
      </c>
      <c r="BS675" s="21">
        <v>1992</v>
      </c>
      <c r="BT675"/>
    </row>
    <row r="676" spans="1:72" s="23" customFormat="1" ht="18" customHeight="1" x14ac:dyDescent="0.3">
      <c r="A676" s="35" t="s">
        <v>666</v>
      </c>
      <c r="B676" s="37"/>
      <c r="C676" s="37"/>
      <c r="D676" s="37"/>
      <c r="E676" s="37"/>
      <c r="F676" s="35" t="s">
        <v>1674</v>
      </c>
      <c r="G676" s="37"/>
      <c r="H676" s="37"/>
      <c r="I676" s="37"/>
      <c r="J676" s="37"/>
      <c r="K676" s="21" t="str">
        <f t="shared" si="463"/>
        <v>Apprenant 664</v>
      </c>
      <c r="L676" s="22" t="str">
        <f t="shared" si="464"/>
        <v/>
      </c>
      <c r="M676" s="22" t="str">
        <f t="shared" si="465"/>
        <v/>
      </c>
      <c r="N676" s="22" t="str">
        <f t="shared" si="466"/>
        <v/>
      </c>
      <c r="O676" s="22" t="str">
        <f t="shared" si="467"/>
        <v/>
      </c>
      <c r="P676" s="21" t="str">
        <f t="shared" si="468"/>
        <v>Apprenant 664 ou 664'</v>
      </c>
      <c r="Q676" s="22" t="str">
        <f t="shared" si="469"/>
        <v/>
      </c>
      <c r="R676" s="22" t="str">
        <f t="shared" si="470"/>
        <v/>
      </c>
      <c r="S676" s="22" t="str">
        <f t="shared" si="471"/>
        <v/>
      </c>
      <c r="T676" s="22" t="str">
        <f t="shared" si="472"/>
        <v/>
      </c>
      <c r="V676" s="21" t="str">
        <f t="shared" si="473"/>
        <v>Apprenant 664</v>
      </c>
      <c r="W676" s="22" t="str">
        <f>IF(AND(OR('Choix pédagogiques'!$C$3=1,'Choix pédagogiques'!$C$3=2),$BM676=1),B676,IF(AND('Choix pédagogiques'!$C$3=3,$BO676=1),B676,""))</f>
        <v/>
      </c>
      <c r="X676" s="22" t="str">
        <f>IF(AND(OR('Choix pédagogiques'!$C$3=1,'Choix pédagogiques'!$C$3=2),$BM676=1),C676,IF(AND('Choix pédagogiques'!$C$3=3,$BO676=1),C676,""))</f>
        <v/>
      </c>
      <c r="Y676" s="22" t="str">
        <f>IF(AND(OR('Choix pédagogiques'!$C$3=1,'Choix pédagogiques'!$C$3=2),$BM676=1),D676,IF(AND('Choix pédagogiques'!$C$3=3,$BO676=1),D676,""))</f>
        <v/>
      </c>
      <c r="Z676" s="22" t="str">
        <f t="shared" si="474"/>
        <v/>
      </c>
      <c r="AA676" s="21" t="str">
        <f t="shared" si="475"/>
        <v>Apprenant 664 ou 664'</v>
      </c>
      <c r="AB676" s="22" t="str">
        <f>IF(AND(OR('Choix pédagogiques'!$C$3=1,'Choix pédagogiques'!$C$3=2),$BN676=1),G676,IF(AND('Choix pédagogiques'!$C$3=3,$BO676=1),G676,""))</f>
        <v/>
      </c>
      <c r="AC676" s="22" t="str">
        <f>IF(AND(OR('Choix pédagogiques'!$C$3=1,'Choix pédagogiques'!$C$3=2),$BN676=1),H676,IF(AND('Choix pédagogiques'!$C$3=3,$BO676=1),H676,""))</f>
        <v/>
      </c>
      <c r="AD676" s="22" t="str">
        <f>IF(AND(OR('Choix pédagogiques'!$C$3=1,'Choix pédagogiques'!$C$3=2),$BN676=1),I676,IF(AND('Choix pédagogiques'!$C$3=3,$BO676=1),I676,""))</f>
        <v/>
      </c>
      <c r="AE676" s="22" t="str">
        <f t="shared" si="476"/>
        <v/>
      </c>
      <c r="AF676" s="21" t="str">
        <f t="shared" si="477"/>
        <v>Apprenant 664</v>
      </c>
      <c r="AG676" s="22" t="str">
        <f t="shared" si="451"/>
        <v/>
      </c>
      <c r="AH676" s="22" t="str">
        <f t="shared" si="452"/>
        <v/>
      </c>
      <c r="AI676" s="22" t="str">
        <f t="shared" si="453"/>
        <v/>
      </c>
      <c r="AJ676" s="22" t="str">
        <f t="shared" si="478"/>
        <v/>
      </c>
      <c r="AK676" s="21" t="str">
        <f t="shared" si="479"/>
        <v>Apprenant 664 ou 664'</v>
      </c>
      <c r="AL676" s="22" t="str">
        <f t="shared" si="454"/>
        <v/>
      </c>
      <c r="AM676" s="22" t="str">
        <f t="shared" si="455"/>
        <v/>
      </c>
      <c r="AN676" s="22" t="str">
        <f t="shared" si="456"/>
        <v/>
      </c>
      <c r="AO676" s="22" t="str">
        <f t="shared" si="480"/>
        <v/>
      </c>
      <c r="AQ676" s="21" t="str">
        <f t="shared" si="481"/>
        <v>Apprenant 664</v>
      </c>
      <c r="AR676" s="49" t="str">
        <f>IF(AND('Choix pédagogiques'!$C$4&lt;&gt;"?",'Choix pédagogiques'!$C$5&lt;&gt;"?",W676&lt;&gt;""),(W676-'Choix pédagogiques'!$C$4)/('Choix pédagogiques'!$C$5-'Choix pédagogiques'!$C$4),"")</f>
        <v/>
      </c>
      <c r="AS676" s="49" t="str">
        <f>IF(AND('Choix pédagogiques'!$C$4&lt;&gt;"?",'Choix pédagogiques'!$C$5&lt;&gt;"?",X676&lt;&gt;""),(X676-'Choix pédagogiques'!$C$4)/('Choix pédagogiques'!$C$5-'Choix pédagogiques'!$C$4),"")</f>
        <v/>
      </c>
      <c r="AT676" s="49" t="str">
        <f>IF(AND('Choix pédagogiques'!$C$4&lt;&gt;"?",'Choix pédagogiques'!$C$5&lt;&gt;"?",Y676&lt;&gt;""),(Y676-'Choix pédagogiques'!$C$4)/('Choix pédagogiques'!$C$5-'Choix pédagogiques'!$C$4),"")</f>
        <v/>
      </c>
      <c r="AU676" s="22" t="str">
        <f t="shared" si="482"/>
        <v/>
      </c>
      <c r="AV676" s="21" t="str">
        <f t="shared" si="483"/>
        <v>Apprenant 664 ou 664'</v>
      </c>
      <c r="AW676" s="49" t="str">
        <f>IF(AND('Choix pédagogiques'!$C$4&lt;&gt;"?",'Choix pédagogiques'!$C$5&lt;&gt;"?",AB676&lt;&gt;""),(AB676-'Choix pédagogiques'!$C$4)/('Choix pédagogiques'!$C$5-'Choix pédagogiques'!$C$4),"")</f>
        <v/>
      </c>
      <c r="AX676" s="49" t="str">
        <f>IF(AND('Choix pédagogiques'!$C$4&lt;&gt;"?",'Choix pédagogiques'!$C$5&lt;&gt;"?",AC676&lt;&gt;""),(AC676-'Choix pédagogiques'!$C$4)/('Choix pédagogiques'!$C$5-'Choix pédagogiques'!$C$4),"")</f>
        <v/>
      </c>
      <c r="AY676" s="49" t="str">
        <f>IF(AND('Choix pédagogiques'!$C$4&lt;&gt;"?",'Choix pédagogiques'!$C$5&lt;&gt;"?",AD676&lt;&gt;""),(AD676-'Choix pédagogiques'!$C$4)/('Choix pédagogiques'!$C$5-'Choix pédagogiques'!$C$4),"")</f>
        <v/>
      </c>
      <c r="AZ676" s="22" t="str">
        <f t="shared" si="484"/>
        <v/>
      </c>
      <c r="BA676" s="21" t="str">
        <f t="shared" si="485"/>
        <v>Apprenant 664</v>
      </c>
      <c r="BB676" s="49" t="str">
        <f t="shared" si="457"/>
        <v/>
      </c>
      <c r="BC676" s="49" t="str">
        <f t="shared" si="458"/>
        <v/>
      </c>
      <c r="BD676" s="49" t="str">
        <f t="shared" si="459"/>
        <v/>
      </c>
      <c r="BE676" s="22" t="str">
        <f t="shared" si="486"/>
        <v/>
      </c>
      <c r="BF676" s="21" t="str">
        <f t="shared" si="487"/>
        <v>Apprenant 664 ou 664'</v>
      </c>
      <c r="BG676" s="49" t="str">
        <f t="shared" si="460"/>
        <v/>
      </c>
      <c r="BH676" s="49" t="str">
        <f t="shared" si="461"/>
        <v/>
      </c>
      <c r="BI676" s="49" t="str">
        <f t="shared" si="462"/>
        <v/>
      </c>
      <c r="BJ676" s="22" t="str">
        <f t="shared" si="488"/>
        <v/>
      </c>
      <c r="BL676" s="21"/>
      <c r="BM676" s="21" t="str">
        <f>IF(OR(COUNT(B676:D1675)=0,AND('Choix pédagogiques'!$C$3&lt;&gt;1,'Choix pédagogiques'!$C$3&lt;&gt;2)),"",IF(AND(OR('Choix pédagogiques'!$C$3=1,'Choix pédagogiques'!$C$3=2),$B676&lt;&gt;"",$C676&lt;&gt;"",$D676&lt;&gt;""),1,0))</f>
        <v/>
      </c>
      <c r="BN676" s="21" t="str">
        <f>IF(OR(COUNT(G676:I1675)=0,AND('Choix pédagogiques'!$C$3&lt;&gt;1,'Choix pédagogiques'!$C$3&lt;&gt;2)),"",IF(AND(OR('Choix pédagogiques'!$C$3=1,'Choix pédagogiques'!$C$3=2),AND($G676&lt;&gt;"",$H676&lt;&gt;"",$I676&lt;&gt;"")),1,0))</f>
        <v/>
      </c>
      <c r="BO676" s="21" t="str">
        <f>IF(OR(COUNT(B676:D1675)=0,COUNT(G676:I1675)=0,'Choix pédagogiques'!C$3&lt;&gt;3),"",IF(AND('Choix pédagogiques'!$C$3=3,$B676&lt;&gt;"",$C676&lt;&gt;"",$D676&lt;&gt;"",$G676&lt;&gt;"",$H676&lt;&gt;"",$I676&lt;&gt;""),1,0))</f>
        <v/>
      </c>
      <c r="BR676" s="21">
        <v>774</v>
      </c>
      <c r="BS676" s="21">
        <v>1136</v>
      </c>
      <c r="BT676"/>
    </row>
    <row r="677" spans="1:72" s="23" customFormat="1" ht="18" customHeight="1" x14ac:dyDescent="0.3">
      <c r="A677" s="35" t="s">
        <v>667</v>
      </c>
      <c r="B677" s="37"/>
      <c r="C677" s="37"/>
      <c r="D677" s="37"/>
      <c r="E677" s="37"/>
      <c r="F677" s="35" t="s">
        <v>1675</v>
      </c>
      <c r="G677" s="37"/>
      <c r="H677" s="37"/>
      <c r="I677" s="37"/>
      <c r="J677" s="37"/>
      <c r="K677" s="21" t="str">
        <f t="shared" si="463"/>
        <v>Apprenant 665</v>
      </c>
      <c r="L677" s="22" t="str">
        <f t="shared" si="464"/>
        <v/>
      </c>
      <c r="M677" s="22" t="str">
        <f t="shared" si="465"/>
        <v/>
      </c>
      <c r="N677" s="22" t="str">
        <f t="shared" si="466"/>
        <v/>
      </c>
      <c r="O677" s="22" t="str">
        <f t="shared" si="467"/>
        <v/>
      </c>
      <c r="P677" s="21" t="str">
        <f t="shared" si="468"/>
        <v>Apprenant 665 ou 665'</v>
      </c>
      <c r="Q677" s="22" t="str">
        <f t="shared" si="469"/>
        <v/>
      </c>
      <c r="R677" s="22" t="str">
        <f t="shared" si="470"/>
        <v/>
      </c>
      <c r="S677" s="22" t="str">
        <f t="shared" si="471"/>
        <v/>
      </c>
      <c r="T677" s="22" t="str">
        <f t="shared" si="472"/>
        <v/>
      </c>
      <c r="V677" s="21" t="str">
        <f t="shared" si="473"/>
        <v>Apprenant 665</v>
      </c>
      <c r="W677" s="22" t="str">
        <f>IF(AND(OR('Choix pédagogiques'!$C$3=1,'Choix pédagogiques'!$C$3=2),$BM677=1),B677,IF(AND('Choix pédagogiques'!$C$3=3,$BO677=1),B677,""))</f>
        <v/>
      </c>
      <c r="X677" s="22" t="str">
        <f>IF(AND(OR('Choix pédagogiques'!$C$3=1,'Choix pédagogiques'!$C$3=2),$BM677=1),C677,IF(AND('Choix pédagogiques'!$C$3=3,$BO677=1),C677,""))</f>
        <v/>
      </c>
      <c r="Y677" s="22" t="str">
        <f>IF(AND(OR('Choix pédagogiques'!$C$3=1,'Choix pédagogiques'!$C$3=2),$BM677=1),D677,IF(AND('Choix pédagogiques'!$C$3=3,$BO677=1),D677,""))</f>
        <v/>
      </c>
      <c r="Z677" s="22" t="str">
        <f t="shared" si="474"/>
        <v/>
      </c>
      <c r="AA677" s="21" t="str">
        <f t="shared" si="475"/>
        <v>Apprenant 665 ou 665'</v>
      </c>
      <c r="AB677" s="22" t="str">
        <f>IF(AND(OR('Choix pédagogiques'!$C$3=1,'Choix pédagogiques'!$C$3=2),$BN677=1),G677,IF(AND('Choix pédagogiques'!$C$3=3,$BO677=1),G677,""))</f>
        <v/>
      </c>
      <c r="AC677" s="22" t="str">
        <f>IF(AND(OR('Choix pédagogiques'!$C$3=1,'Choix pédagogiques'!$C$3=2),$BN677=1),H677,IF(AND('Choix pédagogiques'!$C$3=3,$BO677=1),H677,""))</f>
        <v/>
      </c>
      <c r="AD677" s="22" t="str">
        <f>IF(AND(OR('Choix pédagogiques'!$C$3=1,'Choix pédagogiques'!$C$3=2),$BN677=1),I677,IF(AND('Choix pédagogiques'!$C$3=3,$BO677=1),I677,""))</f>
        <v/>
      </c>
      <c r="AE677" s="22" t="str">
        <f t="shared" si="476"/>
        <v/>
      </c>
      <c r="AF677" s="21" t="str">
        <f t="shared" si="477"/>
        <v>Apprenant 665</v>
      </c>
      <c r="AG677" s="22" t="str">
        <f t="shared" si="451"/>
        <v/>
      </c>
      <c r="AH677" s="22" t="str">
        <f t="shared" si="452"/>
        <v/>
      </c>
      <c r="AI677" s="22" t="str">
        <f t="shared" si="453"/>
        <v/>
      </c>
      <c r="AJ677" s="22" t="str">
        <f t="shared" si="478"/>
        <v/>
      </c>
      <c r="AK677" s="21" t="str">
        <f t="shared" si="479"/>
        <v>Apprenant 665 ou 665'</v>
      </c>
      <c r="AL677" s="22" t="str">
        <f t="shared" si="454"/>
        <v/>
      </c>
      <c r="AM677" s="22" t="str">
        <f t="shared" si="455"/>
        <v/>
      </c>
      <c r="AN677" s="22" t="str">
        <f t="shared" si="456"/>
        <v/>
      </c>
      <c r="AO677" s="22" t="str">
        <f t="shared" si="480"/>
        <v/>
      </c>
      <c r="AQ677" s="21" t="str">
        <f t="shared" si="481"/>
        <v>Apprenant 665</v>
      </c>
      <c r="AR677" s="49" t="str">
        <f>IF(AND('Choix pédagogiques'!$C$4&lt;&gt;"?",'Choix pédagogiques'!$C$5&lt;&gt;"?",W677&lt;&gt;""),(W677-'Choix pédagogiques'!$C$4)/('Choix pédagogiques'!$C$5-'Choix pédagogiques'!$C$4),"")</f>
        <v/>
      </c>
      <c r="AS677" s="49" t="str">
        <f>IF(AND('Choix pédagogiques'!$C$4&lt;&gt;"?",'Choix pédagogiques'!$C$5&lt;&gt;"?",X677&lt;&gt;""),(X677-'Choix pédagogiques'!$C$4)/('Choix pédagogiques'!$C$5-'Choix pédagogiques'!$C$4),"")</f>
        <v/>
      </c>
      <c r="AT677" s="49" t="str">
        <f>IF(AND('Choix pédagogiques'!$C$4&lt;&gt;"?",'Choix pédagogiques'!$C$5&lt;&gt;"?",Y677&lt;&gt;""),(Y677-'Choix pédagogiques'!$C$4)/('Choix pédagogiques'!$C$5-'Choix pédagogiques'!$C$4),"")</f>
        <v/>
      </c>
      <c r="AU677" s="22" t="str">
        <f t="shared" si="482"/>
        <v/>
      </c>
      <c r="AV677" s="21" t="str">
        <f t="shared" si="483"/>
        <v>Apprenant 665 ou 665'</v>
      </c>
      <c r="AW677" s="49" t="str">
        <f>IF(AND('Choix pédagogiques'!$C$4&lt;&gt;"?",'Choix pédagogiques'!$C$5&lt;&gt;"?",AB677&lt;&gt;""),(AB677-'Choix pédagogiques'!$C$4)/('Choix pédagogiques'!$C$5-'Choix pédagogiques'!$C$4),"")</f>
        <v/>
      </c>
      <c r="AX677" s="49" t="str">
        <f>IF(AND('Choix pédagogiques'!$C$4&lt;&gt;"?",'Choix pédagogiques'!$C$5&lt;&gt;"?",AC677&lt;&gt;""),(AC677-'Choix pédagogiques'!$C$4)/('Choix pédagogiques'!$C$5-'Choix pédagogiques'!$C$4),"")</f>
        <v/>
      </c>
      <c r="AY677" s="49" t="str">
        <f>IF(AND('Choix pédagogiques'!$C$4&lt;&gt;"?",'Choix pédagogiques'!$C$5&lt;&gt;"?",AD677&lt;&gt;""),(AD677-'Choix pédagogiques'!$C$4)/('Choix pédagogiques'!$C$5-'Choix pédagogiques'!$C$4),"")</f>
        <v/>
      </c>
      <c r="AZ677" s="22" t="str">
        <f t="shared" si="484"/>
        <v/>
      </c>
      <c r="BA677" s="21" t="str">
        <f t="shared" si="485"/>
        <v>Apprenant 665</v>
      </c>
      <c r="BB677" s="49" t="str">
        <f t="shared" si="457"/>
        <v/>
      </c>
      <c r="BC677" s="49" t="str">
        <f t="shared" si="458"/>
        <v/>
      </c>
      <c r="BD677" s="49" t="str">
        <f t="shared" si="459"/>
        <v/>
      </c>
      <c r="BE677" s="22" t="str">
        <f t="shared" si="486"/>
        <v/>
      </c>
      <c r="BF677" s="21" t="str">
        <f t="shared" si="487"/>
        <v>Apprenant 665 ou 665'</v>
      </c>
      <c r="BG677" s="49" t="str">
        <f t="shared" si="460"/>
        <v/>
      </c>
      <c r="BH677" s="49" t="str">
        <f t="shared" si="461"/>
        <v/>
      </c>
      <c r="BI677" s="49" t="str">
        <f t="shared" si="462"/>
        <v/>
      </c>
      <c r="BJ677" s="22" t="str">
        <f t="shared" si="488"/>
        <v/>
      </c>
      <c r="BL677" s="21"/>
      <c r="BM677" s="21" t="str">
        <f>IF(OR(COUNT(B677:D1676)=0,AND('Choix pédagogiques'!$C$3&lt;&gt;1,'Choix pédagogiques'!$C$3&lt;&gt;2)),"",IF(AND(OR('Choix pédagogiques'!$C$3=1,'Choix pédagogiques'!$C$3=2),$B677&lt;&gt;"",$C677&lt;&gt;"",$D677&lt;&gt;""),1,0))</f>
        <v/>
      </c>
      <c r="BN677" s="21" t="str">
        <f>IF(OR(COUNT(G677:I1676)=0,AND('Choix pédagogiques'!$C$3&lt;&gt;1,'Choix pédagogiques'!$C$3&lt;&gt;2)),"",IF(AND(OR('Choix pédagogiques'!$C$3=1,'Choix pédagogiques'!$C$3=2),AND($G677&lt;&gt;"",$H677&lt;&gt;"",$I677&lt;&gt;"")),1,0))</f>
        <v/>
      </c>
      <c r="BO677" s="21" t="str">
        <f>IF(OR(COUNT(B677:D1676)=0,COUNT(G677:I1676)=0,'Choix pédagogiques'!C$3&lt;&gt;3),"",IF(AND('Choix pédagogiques'!$C$3=3,$B677&lt;&gt;"",$C677&lt;&gt;"",$D677&lt;&gt;"",$G677&lt;&gt;"",$H677&lt;&gt;"",$I677&lt;&gt;""),1,0))</f>
        <v/>
      </c>
      <c r="BR677" s="21">
        <v>532</v>
      </c>
      <c r="BS677" s="21">
        <v>1620</v>
      </c>
      <c r="BT677"/>
    </row>
    <row r="678" spans="1:72" s="23" customFormat="1" ht="18" customHeight="1" x14ac:dyDescent="0.3">
      <c r="A678" s="35" t="s">
        <v>668</v>
      </c>
      <c r="B678" s="37"/>
      <c r="C678" s="37"/>
      <c r="D678" s="37"/>
      <c r="E678" s="37"/>
      <c r="F678" s="35" t="s">
        <v>1676</v>
      </c>
      <c r="G678" s="37"/>
      <c r="H678" s="37"/>
      <c r="I678" s="37"/>
      <c r="J678" s="37"/>
      <c r="K678" s="21" t="str">
        <f t="shared" si="463"/>
        <v>Apprenant 666</v>
      </c>
      <c r="L678" s="22" t="str">
        <f t="shared" si="464"/>
        <v/>
      </c>
      <c r="M678" s="22" t="str">
        <f t="shared" si="465"/>
        <v/>
      </c>
      <c r="N678" s="22" t="str">
        <f t="shared" si="466"/>
        <v/>
      </c>
      <c r="O678" s="22" t="str">
        <f t="shared" si="467"/>
        <v/>
      </c>
      <c r="P678" s="21" t="str">
        <f t="shared" si="468"/>
        <v>Apprenant 666 ou 666'</v>
      </c>
      <c r="Q678" s="22" t="str">
        <f t="shared" si="469"/>
        <v/>
      </c>
      <c r="R678" s="22" t="str">
        <f t="shared" si="470"/>
        <v/>
      </c>
      <c r="S678" s="22" t="str">
        <f t="shared" si="471"/>
        <v/>
      </c>
      <c r="T678" s="22" t="str">
        <f t="shared" si="472"/>
        <v/>
      </c>
      <c r="V678" s="21" t="str">
        <f t="shared" si="473"/>
        <v>Apprenant 666</v>
      </c>
      <c r="W678" s="22" t="str">
        <f>IF(AND(OR('Choix pédagogiques'!$C$3=1,'Choix pédagogiques'!$C$3=2),$BM678=1),B678,IF(AND('Choix pédagogiques'!$C$3=3,$BO678=1),B678,""))</f>
        <v/>
      </c>
      <c r="X678" s="22" t="str">
        <f>IF(AND(OR('Choix pédagogiques'!$C$3=1,'Choix pédagogiques'!$C$3=2),$BM678=1),C678,IF(AND('Choix pédagogiques'!$C$3=3,$BO678=1),C678,""))</f>
        <v/>
      </c>
      <c r="Y678" s="22" t="str">
        <f>IF(AND(OR('Choix pédagogiques'!$C$3=1,'Choix pédagogiques'!$C$3=2),$BM678=1),D678,IF(AND('Choix pédagogiques'!$C$3=3,$BO678=1),D678,""))</f>
        <v/>
      </c>
      <c r="Z678" s="22" t="str">
        <f t="shared" si="474"/>
        <v/>
      </c>
      <c r="AA678" s="21" t="str">
        <f t="shared" si="475"/>
        <v>Apprenant 666 ou 666'</v>
      </c>
      <c r="AB678" s="22" t="str">
        <f>IF(AND(OR('Choix pédagogiques'!$C$3=1,'Choix pédagogiques'!$C$3=2),$BN678=1),G678,IF(AND('Choix pédagogiques'!$C$3=3,$BO678=1),G678,""))</f>
        <v/>
      </c>
      <c r="AC678" s="22" t="str">
        <f>IF(AND(OR('Choix pédagogiques'!$C$3=1,'Choix pédagogiques'!$C$3=2),$BN678=1),H678,IF(AND('Choix pédagogiques'!$C$3=3,$BO678=1),H678,""))</f>
        <v/>
      </c>
      <c r="AD678" s="22" t="str">
        <f>IF(AND(OR('Choix pédagogiques'!$C$3=1,'Choix pédagogiques'!$C$3=2),$BN678=1),I678,IF(AND('Choix pédagogiques'!$C$3=3,$BO678=1),I678,""))</f>
        <v/>
      </c>
      <c r="AE678" s="22" t="str">
        <f t="shared" si="476"/>
        <v/>
      </c>
      <c r="AF678" s="21" t="str">
        <f t="shared" si="477"/>
        <v>Apprenant 666</v>
      </c>
      <c r="AG678" s="22" t="str">
        <f t="shared" si="451"/>
        <v/>
      </c>
      <c r="AH678" s="22" t="str">
        <f t="shared" si="452"/>
        <v/>
      </c>
      <c r="AI678" s="22" t="str">
        <f t="shared" si="453"/>
        <v/>
      </c>
      <c r="AJ678" s="22" t="str">
        <f t="shared" si="478"/>
        <v/>
      </c>
      <c r="AK678" s="21" t="str">
        <f t="shared" si="479"/>
        <v>Apprenant 666 ou 666'</v>
      </c>
      <c r="AL678" s="22" t="str">
        <f t="shared" si="454"/>
        <v/>
      </c>
      <c r="AM678" s="22" t="str">
        <f t="shared" si="455"/>
        <v/>
      </c>
      <c r="AN678" s="22" t="str">
        <f t="shared" si="456"/>
        <v/>
      </c>
      <c r="AO678" s="22" t="str">
        <f t="shared" si="480"/>
        <v/>
      </c>
      <c r="AQ678" s="21" t="str">
        <f t="shared" si="481"/>
        <v>Apprenant 666</v>
      </c>
      <c r="AR678" s="49" t="str">
        <f>IF(AND('Choix pédagogiques'!$C$4&lt;&gt;"?",'Choix pédagogiques'!$C$5&lt;&gt;"?",W678&lt;&gt;""),(W678-'Choix pédagogiques'!$C$4)/('Choix pédagogiques'!$C$5-'Choix pédagogiques'!$C$4),"")</f>
        <v/>
      </c>
      <c r="AS678" s="49" t="str">
        <f>IF(AND('Choix pédagogiques'!$C$4&lt;&gt;"?",'Choix pédagogiques'!$C$5&lt;&gt;"?",X678&lt;&gt;""),(X678-'Choix pédagogiques'!$C$4)/('Choix pédagogiques'!$C$5-'Choix pédagogiques'!$C$4),"")</f>
        <v/>
      </c>
      <c r="AT678" s="49" t="str">
        <f>IF(AND('Choix pédagogiques'!$C$4&lt;&gt;"?",'Choix pédagogiques'!$C$5&lt;&gt;"?",Y678&lt;&gt;""),(Y678-'Choix pédagogiques'!$C$4)/('Choix pédagogiques'!$C$5-'Choix pédagogiques'!$C$4),"")</f>
        <v/>
      </c>
      <c r="AU678" s="22" t="str">
        <f t="shared" si="482"/>
        <v/>
      </c>
      <c r="AV678" s="21" t="str">
        <f t="shared" si="483"/>
        <v>Apprenant 666 ou 666'</v>
      </c>
      <c r="AW678" s="49" t="str">
        <f>IF(AND('Choix pédagogiques'!$C$4&lt;&gt;"?",'Choix pédagogiques'!$C$5&lt;&gt;"?",AB678&lt;&gt;""),(AB678-'Choix pédagogiques'!$C$4)/('Choix pédagogiques'!$C$5-'Choix pédagogiques'!$C$4),"")</f>
        <v/>
      </c>
      <c r="AX678" s="49" t="str">
        <f>IF(AND('Choix pédagogiques'!$C$4&lt;&gt;"?",'Choix pédagogiques'!$C$5&lt;&gt;"?",AC678&lt;&gt;""),(AC678-'Choix pédagogiques'!$C$4)/('Choix pédagogiques'!$C$5-'Choix pédagogiques'!$C$4),"")</f>
        <v/>
      </c>
      <c r="AY678" s="49" t="str">
        <f>IF(AND('Choix pédagogiques'!$C$4&lt;&gt;"?",'Choix pédagogiques'!$C$5&lt;&gt;"?",AD678&lt;&gt;""),(AD678-'Choix pédagogiques'!$C$4)/('Choix pédagogiques'!$C$5-'Choix pédagogiques'!$C$4),"")</f>
        <v/>
      </c>
      <c r="AZ678" s="22" t="str">
        <f t="shared" si="484"/>
        <v/>
      </c>
      <c r="BA678" s="21" t="str">
        <f t="shared" si="485"/>
        <v>Apprenant 666</v>
      </c>
      <c r="BB678" s="49" t="str">
        <f t="shared" si="457"/>
        <v/>
      </c>
      <c r="BC678" s="49" t="str">
        <f t="shared" si="458"/>
        <v/>
      </c>
      <c r="BD678" s="49" t="str">
        <f t="shared" si="459"/>
        <v/>
      </c>
      <c r="BE678" s="22" t="str">
        <f t="shared" si="486"/>
        <v/>
      </c>
      <c r="BF678" s="21" t="str">
        <f t="shared" si="487"/>
        <v>Apprenant 666 ou 666'</v>
      </c>
      <c r="BG678" s="49" t="str">
        <f t="shared" si="460"/>
        <v/>
      </c>
      <c r="BH678" s="49" t="str">
        <f t="shared" si="461"/>
        <v/>
      </c>
      <c r="BI678" s="49" t="str">
        <f t="shared" si="462"/>
        <v/>
      </c>
      <c r="BJ678" s="22" t="str">
        <f t="shared" si="488"/>
        <v/>
      </c>
      <c r="BL678" s="21"/>
      <c r="BM678" s="21" t="str">
        <f>IF(OR(COUNT(B678:D1677)=0,AND('Choix pédagogiques'!$C$3&lt;&gt;1,'Choix pédagogiques'!$C$3&lt;&gt;2)),"",IF(AND(OR('Choix pédagogiques'!$C$3=1,'Choix pédagogiques'!$C$3=2),$B678&lt;&gt;"",$C678&lt;&gt;"",$D678&lt;&gt;""),1,0))</f>
        <v/>
      </c>
      <c r="BN678" s="21" t="str">
        <f>IF(OR(COUNT(G678:I1677)=0,AND('Choix pédagogiques'!$C$3&lt;&gt;1,'Choix pédagogiques'!$C$3&lt;&gt;2)),"",IF(AND(OR('Choix pédagogiques'!$C$3=1,'Choix pédagogiques'!$C$3=2),AND($G678&lt;&gt;"",$H678&lt;&gt;"",$I678&lt;&gt;"")),1,0))</f>
        <v/>
      </c>
      <c r="BO678" s="21" t="str">
        <f>IF(OR(COUNT(B678:D1677)=0,COUNT(G678:I1677)=0,'Choix pédagogiques'!C$3&lt;&gt;3),"",IF(AND('Choix pédagogiques'!$C$3=3,$B678&lt;&gt;"",$C678&lt;&gt;"",$D678&lt;&gt;"",$G678&lt;&gt;"",$H678&lt;&gt;"",$I678&lt;&gt;""),1,0))</f>
        <v/>
      </c>
      <c r="BR678" s="21">
        <v>450</v>
      </c>
      <c r="BS678" s="21">
        <v>1701</v>
      </c>
      <c r="BT678"/>
    </row>
    <row r="679" spans="1:72" s="23" customFormat="1" ht="18" customHeight="1" x14ac:dyDescent="0.3">
      <c r="A679" s="35" t="s">
        <v>669</v>
      </c>
      <c r="B679" s="37"/>
      <c r="C679" s="37"/>
      <c r="D679" s="37"/>
      <c r="E679" s="37"/>
      <c r="F679" s="35" t="s">
        <v>1677</v>
      </c>
      <c r="G679" s="37"/>
      <c r="H679" s="37"/>
      <c r="I679" s="37"/>
      <c r="J679" s="37"/>
      <c r="K679" s="21" t="str">
        <f t="shared" si="463"/>
        <v>Apprenant 667</v>
      </c>
      <c r="L679" s="22" t="str">
        <f t="shared" si="464"/>
        <v/>
      </c>
      <c r="M679" s="22" t="str">
        <f t="shared" si="465"/>
        <v/>
      </c>
      <c r="N679" s="22" t="str">
        <f t="shared" si="466"/>
        <v/>
      </c>
      <c r="O679" s="22" t="str">
        <f t="shared" si="467"/>
        <v/>
      </c>
      <c r="P679" s="21" t="str">
        <f t="shared" si="468"/>
        <v>Apprenant 667 ou 667'</v>
      </c>
      <c r="Q679" s="22" t="str">
        <f t="shared" si="469"/>
        <v/>
      </c>
      <c r="R679" s="22" t="str">
        <f t="shared" si="470"/>
        <v/>
      </c>
      <c r="S679" s="22" t="str">
        <f t="shared" si="471"/>
        <v/>
      </c>
      <c r="T679" s="22" t="str">
        <f t="shared" si="472"/>
        <v/>
      </c>
      <c r="V679" s="21" t="str">
        <f t="shared" si="473"/>
        <v>Apprenant 667</v>
      </c>
      <c r="W679" s="22" t="str">
        <f>IF(AND(OR('Choix pédagogiques'!$C$3=1,'Choix pédagogiques'!$C$3=2),$BM679=1),B679,IF(AND('Choix pédagogiques'!$C$3=3,$BO679=1),B679,""))</f>
        <v/>
      </c>
      <c r="X679" s="22" t="str">
        <f>IF(AND(OR('Choix pédagogiques'!$C$3=1,'Choix pédagogiques'!$C$3=2),$BM679=1),C679,IF(AND('Choix pédagogiques'!$C$3=3,$BO679=1),C679,""))</f>
        <v/>
      </c>
      <c r="Y679" s="22" t="str">
        <f>IF(AND(OR('Choix pédagogiques'!$C$3=1,'Choix pédagogiques'!$C$3=2),$BM679=1),D679,IF(AND('Choix pédagogiques'!$C$3=3,$BO679=1),D679,""))</f>
        <v/>
      </c>
      <c r="Z679" s="22" t="str">
        <f t="shared" si="474"/>
        <v/>
      </c>
      <c r="AA679" s="21" t="str">
        <f t="shared" si="475"/>
        <v>Apprenant 667 ou 667'</v>
      </c>
      <c r="AB679" s="22" t="str">
        <f>IF(AND(OR('Choix pédagogiques'!$C$3=1,'Choix pédagogiques'!$C$3=2),$BN679=1),G679,IF(AND('Choix pédagogiques'!$C$3=3,$BO679=1),G679,""))</f>
        <v/>
      </c>
      <c r="AC679" s="22" t="str">
        <f>IF(AND(OR('Choix pédagogiques'!$C$3=1,'Choix pédagogiques'!$C$3=2),$BN679=1),H679,IF(AND('Choix pédagogiques'!$C$3=3,$BO679=1),H679,""))</f>
        <v/>
      </c>
      <c r="AD679" s="22" t="str">
        <f>IF(AND(OR('Choix pédagogiques'!$C$3=1,'Choix pédagogiques'!$C$3=2),$BN679=1),I679,IF(AND('Choix pédagogiques'!$C$3=3,$BO679=1),I679,""))</f>
        <v/>
      </c>
      <c r="AE679" s="22" t="str">
        <f t="shared" si="476"/>
        <v/>
      </c>
      <c r="AF679" s="21" t="str">
        <f t="shared" si="477"/>
        <v>Apprenant 667</v>
      </c>
      <c r="AG679" s="22" t="str">
        <f t="shared" si="451"/>
        <v/>
      </c>
      <c r="AH679" s="22" t="str">
        <f t="shared" si="452"/>
        <v/>
      </c>
      <c r="AI679" s="22" t="str">
        <f t="shared" si="453"/>
        <v/>
      </c>
      <c r="AJ679" s="22" t="str">
        <f t="shared" si="478"/>
        <v/>
      </c>
      <c r="AK679" s="21" t="str">
        <f t="shared" si="479"/>
        <v>Apprenant 667 ou 667'</v>
      </c>
      <c r="AL679" s="22" t="str">
        <f t="shared" si="454"/>
        <v/>
      </c>
      <c r="AM679" s="22" t="str">
        <f t="shared" si="455"/>
        <v/>
      </c>
      <c r="AN679" s="22" t="str">
        <f t="shared" si="456"/>
        <v/>
      </c>
      <c r="AO679" s="22" t="str">
        <f t="shared" si="480"/>
        <v/>
      </c>
      <c r="AQ679" s="21" t="str">
        <f t="shared" si="481"/>
        <v>Apprenant 667</v>
      </c>
      <c r="AR679" s="49" t="str">
        <f>IF(AND('Choix pédagogiques'!$C$4&lt;&gt;"?",'Choix pédagogiques'!$C$5&lt;&gt;"?",W679&lt;&gt;""),(W679-'Choix pédagogiques'!$C$4)/('Choix pédagogiques'!$C$5-'Choix pédagogiques'!$C$4),"")</f>
        <v/>
      </c>
      <c r="AS679" s="49" t="str">
        <f>IF(AND('Choix pédagogiques'!$C$4&lt;&gt;"?",'Choix pédagogiques'!$C$5&lt;&gt;"?",X679&lt;&gt;""),(X679-'Choix pédagogiques'!$C$4)/('Choix pédagogiques'!$C$5-'Choix pédagogiques'!$C$4),"")</f>
        <v/>
      </c>
      <c r="AT679" s="49" t="str">
        <f>IF(AND('Choix pédagogiques'!$C$4&lt;&gt;"?",'Choix pédagogiques'!$C$5&lt;&gt;"?",Y679&lt;&gt;""),(Y679-'Choix pédagogiques'!$C$4)/('Choix pédagogiques'!$C$5-'Choix pédagogiques'!$C$4),"")</f>
        <v/>
      </c>
      <c r="AU679" s="22" t="str">
        <f t="shared" si="482"/>
        <v/>
      </c>
      <c r="AV679" s="21" t="str">
        <f t="shared" si="483"/>
        <v>Apprenant 667 ou 667'</v>
      </c>
      <c r="AW679" s="49" t="str">
        <f>IF(AND('Choix pédagogiques'!$C$4&lt;&gt;"?",'Choix pédagogiques'!$C$5&lt;&gt;"?",AB679&lt;&gt;""),(AB679-'Choix pédagogiques'!$C$4)/('Choix pédagogiques'!$C$5-'Choix pédagogiques'!$C$4),"")</f>
        <v/>
      </c>
      <c r="AX679" s="49" t="str">
        <f>IF(AND('Choix pédagogiques'!$C$4&lt;&gt;"?",'Choix pédagogiques'!$C$5&lt;&gt;"?",AC679&lt;&gt;""),(AC679-'Choix pédagogiques'!$C$4)/('Choix pédagogiques'!$C$5-'Choix pédagogiques'!$C$4),"")</f>
        <v/>
      </c>
      <c r="AY679" s="49" t="str">
        <f>IF(AND('Choix pédagogiques'!$C$4&lt;&gt;"?",'Choix pédagogiques'!$C$5&lt;&gt;"?",AD679&lt;&gt;""),(AD679-'Choix pédagogiques'!$C$4)/('Choix pédagogiques'!$C$5-'Choix pédagogiques'!$C$4),"")</f>
        <v/>
      </c>
      <c r="AZ679" s="22" t="str">
        <f t="shared" si="484"/>
        <v/>
      </c>
      <c r="BA679" s="21" t="str">
        <f t="shared" si="485"/>
        <v>Apprenant 667</v>
      </c>
      <c r="BB679" s="49" t="str">
        <f t="shared" si="457"/>
        <v/>
      </c>
      <c r="BC679" s="49" t="str">
        <f t="shared" si="458"/>
        <v/>
      </c>
      <c r="BD679" s="49" t="str">
        <f t="shared" si="459"/>
        <v/>
      </c>
      <c r="BE679" s="22" t="str">
        <f t="shared" si="486"/>
        <v/>
      </c>
      <c r="BF679" s="21" t="str">
        <f t="shared" si="487"/>
        <v>Apprenant 667 ou 667'</v>
      </c>
      <c r="BG679" s="49" t="str">
        <f t="shared" si="460"/>
        <v/>
      </c>
      <c r="BH679" s="49" t="str">
        <f t="shared" si="461"/>
        <v/>
      </c>
      <c r="BI679" s="49" t="str">
        <f t="shared" si="462"/>
        <v/>
      </c>
      <c r="BJ679" s="22" t="str">
        <f t="shared" si="488"/>
        <v/>
      </c>
      <c r="BL679" s="21"/>
      <c r="BM679" s="21" t="str">
        <f>IF(OR(COUNT(B679:D1678)=0,AND('Choix pédagogiques'!$C$3&lt;&gt;1,'Choix pédagogiques'!$C$3&lt;&gt;2)),"",IF(AND(OR('Choix pédagogiques'!$C$3=1,'Choix pédagogiques'!$C$3=2),$B679&lt;&gt;"",$C679&lt;&gt;"",$D679&lt;&gt;""),1,0))</f>
        <v/>
      </c>
      <c r="BN679" s="21" t="str">
        <f>IF(OR(COUNT(G679:I1678)=0,AND('Choix pédagogiques'!$C$3&lt;&gt;1,'Choix pédagogiques'!$C$3&lt;&gt;2)),"",IF(AND(OR('Choix pédagogiques'!$C$3=1,'Choix pédagogiques'!$C$3=2),AND($G679&lt;&gt;"",$H679&lt;&gt;"",$I679&lt;&gt;"")),1,0))</f>
        <v/>
      </c>
      <c r="BO679" s="21" t="str">
        <f>IF(OR(COUNT(B679:D1678)=0,COUNT(G679:I1678)=0,'Choix pédagogiques'!C$3&lt;&gt;3),"",IF(AND('Choix pédagogiques'!$C$3=3,$B679&lt;&gt;"",$C679&lt;&gt;"",$D679&lt;&gt;"",$G679&lt;&gt;"",$H679&lt;&gt;"",$I679&lt;&gt;""),1,0))</f>
        <v/>
      </c>
      <c r="BR679" s="21">
        <v>194</v>
      </c>
      <c r="BS679" s="21">
        <v>1547</v>
      </c>
      <c r="BT679"/>
    </row>
    <row r="680" spans="1:72" s="23" customFormat="1" ht="18" customHeight="1" x14ac:dyDescent="0.3">
      <c r="A680" s="35" t="s">
        <v>670</v>
      </c>
      <c r="B680" s="37"/>
      <c r="C680" s="37"/>
      <c r="D680" s="37"/>
      <c r="E680" s="37"/>
      <c r="F680" s="35" t="s">
        <v>1678</v>
      </c>
      <c r="G680" s="37"/>
      <c r="H680" s="37"/>
      <c r="I680" s="37"/>
      <c r="J680" s="37"/>
      <c r="K680" s="21" t="str">
        <f t="shared" si="463"/>
        <v>Apprenant 668</v>
      </c>
      <c r="L680" s="22" t="str">
        <f t="shared" si="464"/>
        <v/>
      </c>
      <c r="M680" s="22" t="str">
        <f t="shared" si="465"/>
        <v/>
      </c>
      <c r="N680" s="22" t="str">
        <f t="shared" si="466"/>
        <v/>
      </c>
      <c r="O680" s="22" t="str">
        <f t="shared" si="467"/>
        <v/>
      </c>
      <c r="P680" s="21" t="str">
        <f t="shared" si="468"/>
        <v>Apprenant 668 ou 668'</v>
      </c>
      <c r="Q680" s="22" t="str">
        <f t="shared" si="469"/>
        <v/>
      </c>
      <c r="R680" s="22" t="str">
        <f t="shared" si="470"/>
        <v/>
      </c>
      <c r="S680" s="22" t="str">
        <f t="shared" si="471"/>
        <v/>
      </c>
      <c r="T680" s="22" t="str">
        <f t="shared" si="472"/>
        <v/>
      </c>
      <c r="V680" s="21" t="str">
        <f t="shared" si="473"/>
        <v>Apprenant 668</v>
      </c>
      <c r="W680" s="22" t="str">
        <f>IF(AND(OR('Choix pédagogiques'!$C$3=1,'Choix pédagogiques'!$C$3=2),$BM680=1),B680,IF(AND('Choix pédagogiques'!$C$3=3,$BO680=1),B680,""))</f>
        <v/>
      </c>
      <c r="X680" s="22" t="str">
        <f>IF(AND(OR('Choix pédagogiques'!$C$3=1,'Choix pédagogiques'!$C$3=2),$BM680=1),C680,IF(AND('Choix pédagogiques'!$C$3=3,$BO680=1),C680,""))</f>
        <v/>
      </c>
      <c r="Y680" s="22" t="str">
        <f>IF(AND(OR('Choix pédagogiques'!$C$3=1,'Choix pédagogiques'!$C$3=2),$BM680=1),D680,IF(AND('Choix pédagogiques'!$C$3=3,$BO680=1),D680,""))</f>
        <v/>
      </c>
      <c r="Z680" s="22" t="str">
        <f t="shared" si="474"/>
        <v/>
      </c>
      <c r="AA680" s="21" t="str">
        <f t="shared" si="475"/>
        <v>Apprenant 668 ou 668'</v>
      </c>
      <c r="AB680" s="22" t="str">
        <f>IF(AND(OR('Choix pédagogiques'!$C$3=1,'Choix pédagogiques'!$C$3=2),$BN680=1),G680,IF(AND('Choix pédagogiques'!$C$3=3,$BO680=1),G680,""))</f>
        <v/>
      </c>
      <c r="AC680" s="22" t="str">
        <f>IF(AND(OR('Choix pédagogiques'!$C$3=1,'Choix pédagogiques'!$C$3=2),$BN680=1),H680,IF(AND('Choix pédagogiques'!$C$3=3,$BO680=1),H680,""))</f>
        <v/>
      </c>
      <c r="AD680" s="22" t="str">
        <f>IF(AND(OR('Choix pédagogiques'!$C$3=1,'Choix pédagogiques'!$C$3=2),$BN680=1),I680,IF(AND('Choix pédagogiques'!$C$3=3,$BO680=1),I680,""))</f>
        <v/>
      </c>
      <c r="AE680" s="22" t="str">
        <f t="shared" si="476"/>
        <v/>
      </c>
      <c r="AF680" s="21" t="str">
        <f t="shared" si="477"/>
        <v>Apprenant 668</v>
      </c>
      <c r="AG680" s="22" t="str">
        <f t="shared" si="451"/>
        <v/>
      </c>
      <c r="AH680" s="22" t="str">
        <f t="shared" si="452"/>
        <v/>
      </c>
      <c r="AI680" s="22" t="str">
        <f t="shared" si="453"/>
        <v/>
      </c>
      <c r="AJ680" s="22" t="str">
        <f t="shared" si="478"/>
        <v/>
      </c>
      <c r="AK680" s="21" t="str">
        <f t="shared" si="479"/>
        <v>Apprenant 668 ou 668'</v>
      </c>
      <c r="AL680" s="22" t="str">
        <f t="shared" si="454"/>
        <v/>
      </c>
      <c r="AM680" s="22" t="str">
        <f t="shared" si="455"/>
        <v/>
      </c>
      <c r="AN680" s="22" t="str">
        <f t="shared" si="456"/>
        <v/>
      </c>
      <c r="AO680" s="22" t="str">
        <f t="shared" si="480"/>
        <v/>
      </c>
      <c r="AQ680" s="21" t="str">
        <f t="shared" si="481"/>
        <v>Apprenant 668</v>
      </c>
      <c r="AR680" s="49" t="str">
        <f>IF(AND('Choix pédagogiques'!$C$4&lt;&gt;"?",'Choix pédagogiques'!$C$5&lt;&gt;"?",W680&lt;&gt;""),(W680-'Choix pédagogiques'!$C$4)/('Choix pédagogiques'!$C$5-'Choix pédagogiques'!$C$4),"")</f>
        <v/>
      </c>
      <c r="AS680" s="49" t="str">
        <f>IF(AND('Choix pédagogiques'!$C$4&lt;&gt;"?",'Choix pédagogiques'!$C$5&lt;&gt;"?",X680&lt;&gt;""),(X680-'Choix pédagogiques'!$C$4)/('Choix pédagogiques'!$C$5-'Choix pédagogiques'!$C$4),"")</f>
        <v/>
      </c>
      <c r="AT680" s="49" t="str">
        <f>IF(AND('Choix pédagogiques'!$C$4&lt;&gt;"?",'Choix pédagogiques'!$C$5&lt;&gt;"?",Y680&lt;&gt;""),(Y680-'Choix pédagogiques'!$C$4)/('Choix pédagogiques'!$C$5-'Choix pédagogiques'!$C$4),"")</f>
        <v/>
      </c>
      <c r="AU680" s="22" t="str">
        <f t="shared" si="482"/>
        <v/>
      </c>
      <c r="AV680" s="21" t="str">
        <f t="shared" si="483"/>
        <v>Apprenant 668 ou 668'</v>
      </c>
      <c r="AW680" s="49" t="str">
        <f>IF(AND('Choix pédagogiques'!$C$4&lt;&gt;"?",'Choix pédagogiques'!$C$5&lt;&gt;"?",AB680&lt;&gt;""),(AB680-'Choix pédagogiques'!$C$4)/('Choix pédagogiques'!$C$5-'Choix pédagogiques'!$C$4),"")</f>
        <v/>
      </c>
      <c r="AX680" s="49" t="str">
        <f>IF(AND('Choix pédagogiques'!$C$4&lt;&gt;"?",'Choix pédagogiques'!$C$5&lt;&gt;"?",AC680&lt;&gt;""),(AC680-'Choix pédagogiques'!$C$4)/('Choix pédagogiques'!$C$5-'Choix pédagogiques'!$C$4),"")</f>
        <v/>
      </c>
      <c r="AY680" s="49" t="str">
        <f>IF(AND('Choix pédagogiques'!$C$4&lt;&gt;"?",'Choix pédagogiques'!$C$5&lt;&gt;"?",AD680&lt;&gt;""),(AD680-'Choix pédagogiques'!$C$4)/('Choix pédagogiques'!$C$5-'Choix pédagogiques'!$C$4),"")</f>
        <v/>
      </c>
      <c r="AZ680" s="22" t="str">
        <f t="shared" si="484"/>
        <v/>
      </c>
      <c r="BA680" s="21" t="str">
        <f t="shared" si="485"/>
        <v>Apprenant 668</v>
      </c>
      <c r="BB680" s="49" t="str">
        <f t="shared" si="457"/>
        <v/>
      </c>
      <c r="BC680" s="49" t="str">
        <f t="shared" si="458"/>
        <v/>
      </c>
      <c r="BD680" s="49" t="str">
        <f t="shared" si="459"/>
        <v/>
      </c>
      <c r="BE680" s="22" t="str">
        <f t="shared" si="486"/>
        <v/>
      </c>
      <c r="BF680" s="21" t="str">
        <f t="shared" si="487"/>
        <v>Apprenant 668 ou 668'</v>
      </c>
      <c r="BG680" s="49" t="str">
        <f t="shared" si="460"/>
        <v/>
      </c>
      <c r="BH680" s="49" t="str">
        <f t="shared" si="461"/>
        <v/>
      </c>
      <c r="BI680" s="49" t="str">
        <f t="shared" si="462"/>
        <v/>
      </c>
      <c r="BJ680" s="22" t="str">
        <f t="shared" si="488"/>
        <v/>
      </c>
      <c r="BL680" s="21"/>
      <c r="BM680" s="21" t="str">
        <f>IF(OR(COUNT(B680:D1679)=0,AND('Choix pédagogiques'!$C$3&lt;&gt;1,'Choix pédagogiques'!$C$3&lt;&gt;2)),"",IF(AND(OR('Choix pédagogiques'!$C$3=1,'Choix pédagogiques'!$C$3=2),$B680&lt;&gt;"",$C680&lt;&gt;"",$D680&lt;&gt;""),1,0))</f>
        <v/>
      </c>
      <c r="BN680" s="21" t="str">
        <f>IF(OR(COUNT(G680:I1679)=0,AND('Choix pédagogiques'!$C$3&lt;&gt;1,'Choix pédagogiques'!$C$3&lt;&gt;2)),"",IF(AND(OR('Choix pédagogiques'!$C$3=1,'Choix pédagogiques'!$C$3=2),AND($G680&lt;&gt;"",$H680&lt;&gt;"",$I680&lt;&gt;"")),1,0))</f>
        <v/>
      </c>
      <c r="BO680" s="21" t="str">
        <f>IF(OR(COUNT(B680:D1679)=0,COUNT(G680:I1679)=0,'Choix pédagogiques'!C$3&lt;&gt;3),"",IF(AND('Choix pédagogiques'!$C$3=3,$B680&lt;&gt;"",$C680&lt;&gt;"",$D680&lt;&gt;"",$G680&lt;&gt;"",$H680&lt;&gt;"",$I680&lt;&gt;""),1,0))</f>
        <v/>
      </c>
      <c r="BR680" s="21">
        <v>592</v>
      </c>
      <c r="BS680" s="21">
        <v>1917</v>
      </c>
      <c r="BT680"/>
    </row>
    <row r="681" spans="1:72" s="23" customFormat="1" ht="18" customHeight="1" x14ac:dyDescent="0.3">
      <c r="A681" s="35" t="s">
        <v>671</v>
      </c>
      <c r="B681" s="37"/>
      <c r="C681" s="37"/>
      <c r="D681" s="37"/>
      <c r="E681" s="37"/>
      <c r="F681" s="35" t="s">
        <v>1679</v>
      </c>
      <c r="G681" s="37"/>
      <c r="H681" s="37"/>
      <c r="I681" s="37"/>
      <c r="J681" s="37"/>
      <c r="K681" s="21" t="str">
        <f t="shared" si="463"/>
        <v>Apprenant 669</v>
      </c>
      <c r="L681" s="22" t="str">
        <f t="shared" si="464"/>
        <v/>
      </c>
      <c r="M681" s="22" t="str">
        <f t="shared" si="465"/>
        <v/>
      </c>
      <c r="N681" s="22" t="str">
        <f t="shared" si="466"/>
        <v/>
      </c>
      <c r="O681" s="22" t="str">
        <f t="shared" si="467"/>
        <v/>
      </c>
      <c r="P681" s="21" t="str">
        <f t="shared" si="468"/>
        <v>Apprenant 669 ou 669'</v>
      </c>
      <c r="Q681" s="22" t="str">
        <f t="shared" si="469"/>
        <v/>
      </c>
      <c r="R681" s="22" t="str">
        <f t="shared" si="470"/>
        <v/>
      </c>
      <c r="S681" s="22" t="str">
        <f t="shared" si="471"/>
        <v/>
      </c>
      <c r="T681" s="22" t="str">
        <f t="shared" si="472"/>
        <v/>
      </c>
      <c r="V681" s="21" t="str">
        <f t="shared" si="473"/>
        <v>Apprenant 669</v>
      </c>
      <c r="W681" s="22" t="str">
        <f>IF(AND(OR('Choix pédagogiques'!$C$3=1,'Choix pédagogiques'!$C$3=2),$BM681=1),B681,IF(AND('Choix pédagogiques'!$C$3=3,$BO681=1),B681,""))</f>
        <v/>
      </c>
      <c r="X681" s="22" t="str">
        <f>IF(AND(OR('Choix pédagogiques'!$C$3=1,'Choix pédagogiques'!$C$3=2),$BM681=1),C681,IF(AND('Choix pédagogiques'!$C$3=3,$BO681=1),C681,""))</f>
        <v/>
      </c>
      <c r="Y681" s="22" t="str">
        <f>IF(AND(OR('Choix pédagogiques'!$C$3=1,'Choix pédagogiques'!$C$3=2),$BM681=1),D681,IF(AND('Choix pédagogiques'!$C$3=3,$BO681=1),D681,""))</f>
        <v/>
      </c>
      <c r="Z681" s="22" t="str">
        <f t="shared" si="474"/>
        <v/>
      </c>
      <c r="AA681" s="21" t="str">
        <f t="shared" si="475"/>
        <v>Apprenant 669 ou 669'</v>
      </c>
      <c r="AB681" s="22" t="str">
        <f>IF(AND(OR('Choix pédagogiques'!$C$3=1,'Choix pédagogiques'!$C$3=2),$BN681=1),G681,IF(AND('Choix pédagogiques'!$C$3=3,$BO681=1),G681,""))</f>
        <v/>
      </c>
      <c r="AC681" s="22" t="str">
        <f>IF(AND(OR('Choix pédagogiques'!$C$3=1,'Choix pédagogiques'!$C$3=2),$BN681=1),H681,IF(AND('Choix pédagogiques'!$C$3=3,$BO681=1),H681,""))</f>
        <v/>
      </c>
      <c r="AD681" s="22" t="str">
        <f>IF(AND(OR('Choix pédagogiques'!$C$3=1,'Choix pédagogiques'!$C$3=2),$BN681=1),I681,IF(AND('Choix pédagogiques'!$C$3=3,$BO681=1),I681,""))</f>
        <v/>
      </c>
      <c r="AE681" s="22" t="str">
        <f t="shared" si="476"/>
        <v/>
      </c>
      <c r="AF681" s="21" t="str">
        <f t="shared" si="477"/>
        <v>Apprenant 669</v>
      </c>
      <c r="AG681" s="22" t="str">
        <f t="shared" si="451"/>
        <v/>
      </c>
      <c r="AH681" s="22" t="str">
        <f t="shared" si="452"/>
        <v/>
      </c>
      <c r="AI681" s="22" t="str">
        <f t="shared" si="453"/>
        <v/>
      </c>
      <c r="AJ681" s="22" t="str">
        <f t="shared" si="478"/>
        <v/>
      </c>
      <c r="AK681" s="21" t="str">
        <f t="shared" si="479"/>
        <v>Apprenant 669 ou 669'</v>
      </c>
      <c r="AL681" s="22" t="str">
        <f t="shared" si="454"/>
        <v/>
      </c>
      <c r="AM681" s="22" t="str">
        <f t="shared" si="455"/>
        <v/>
      </c>
      <c r="AN681" s="22" t="str">
        <f t="shared" si="456"/>
        <v/>
      </c>
      <c r="AO681" s="22" t="str">
        <f t="shared" si="480"/>
        <v/>
      </c>
      <c r="AQ681" s="21" t="str">
        <f t="shared" si="481"/>
        <v>Apprenant 669</v>
      </c>
      <c r="AR681" s="49" t="str">
        <f>IF(AND('Choix pédagogiques'!$C$4&lt;&gt;"?",'Choix pédagogiques'!$C$5&lt;&gt;"?",W681&lt;&gt;""),(W681-'Choix pédagogiques'!$C$4)/('Choix pédagogiques'!$C$5-'Choix pédagogiques'!$C$4),"")</f>
        <v/>
      </c>
      <c r="AS681" s="49" t="str">
        <f>IF(AND('Choix pédagogiques'!$C$4&lt;&gt;"?",'Choix pédagogiques'!$C$5&lt;&gt;"?",X681&lt;&gt;""),(X681-'Choix pédagogiques'!$C$4)/('Choix pédagogiques'!$C$5-'Choix pédagogiques'!$C$4),"")</f>
        <v/>
      </c>
      <c r="AT681" s="49" t="str">
        <f>IF(AND('Choix pédagogiques'!$C$4&lt;&gt;"?",'Choix pédagogiques'!$C$5&lt;&gt;"?",Y681&lt;&gt;""),(Y681-'Choix pédagogiques'!$C$4)/('Choix pédagogiques'!$C$5-'Choix pédagogiques'!$C$4),"")</f>
        <v/>
      </c>
      <c r="AU681" s="22" t="str">
        <f t="shared" si="482"/>
        <v/>
      </c>
      <c r="AV681" s="21" t="str">
        <f t="shared" si="483"/>
        <v>Apprenant 669 ou 669'</v>
      </c>
      <c r="AW681" s="49" t="str">
        <f>IF(AND('Choix pédagogiques'!$C$4&lt;&gt;"?",'Choix pédagogiques'!$C$5&lt;&gt;"?",AB681&lt;&gt;""),(AB681-'Choix pédagogiques'!$C$4)/('Choix pédagogiques'!$C$5-'Choix pédagogiques'!$C$4),"")</f>
        <v/>
      </c>
      <c r="AX681" s="49" t="str">
        <f>IF(AND('Choix pédagogiques'!$C$4&lt;&gt;"?",'Choix pédagogiques'!$C$5&lt;&gt;"?",AC681&lt;&gt;""),(AC681-'Choix pédagogiques'!$C$4)/('Choix pédagogiques'!$C$5-'Choix pédagogiques'!$C$4),"")</f>
        <v/>
      </c>
      <c r="AY681" s="49" t="str">
        <f>IF(AND('Choix pédagogiques'!$C$4&lt;&gt;"?",'Choix pédagogiques'!$C$5&lt;&gt;"?",AD681&lt;&gt;""),(AD681-'Choix pédagogiques'!$C$4)/('Choix pédagogiques'!$C$5-'Choix pédagogiques'!$C$4),"")</f>
        <v/>
      </c>
      <c r="AZ681" s="22" t="str">
        <f t="shared" si="484"/>
        <v/>
      </c>
      <c r="BA681" s="21" t="str">
        <f t="shared" si="485"/>
        <v>Apprenant 669</v>
      </c>
      <c r="BB681" s="49" t="str">
        <f t="shared" si="457"/>
        <v/>
      </c>
      <c r="BC681" s="49" t="str">
        <f t="shared" si="458"/>
        <v/>
      </c>
      <c r="BD681" s="49" t="str">
        <f t="shared" si="459"/>
        <v/>
      </c>
      <c r="BE681" s="22" t="str">
        <f t="shared" si="486"/>
        <v/>
      </c>
      <c r="BF681" s="21" t="str">
        <f t="shared" si="487"/>
        <v>Apprenant 669 ou 669'</v>
      </c>
      <c r="BG681" s="49" t="str">
        <f t="shared" si="460"/>
        <v/>
      </c>
      <c r="BH681" s="49" t="str">
        <f t="shared" si="461"/>
        <v/>
      </c>
      <c r="BI681" s="49" t="str">
        <f t="shared" si="462"/>
        <v/>
      </c>
      <c r="BJ681" s="22" t="str">
        <f t="shared" si="488"/>
        <v/>
      </c>
      <c r="BL681" s="21"/>
      <c r="BM681" s="21" t="str">
        <f>IF(OR(COUNT(B681:D1680)=0,AND('Choix pédagogiques'!$C$3&lt;&gt;1,'Choix pédagogiques'!$C$3&lt;&gt;2)),"",IF(AND(OR('Choix pédagogiques'!$C$3=1,'Choix pédagogiques'!$C$3=2),$B681&lt;&gt;"",$C681&lt;&gt;"",$D681&lt;&gt;""),1,0))</f>
        <v/>
      </c>
      <c r="BN681" s="21" t="str">
        <f>IF(OR(COUNT(G681:I1680)=0,AND('Choix pédagogiques'!$C$3&lt;&gt;1,'Choix pédagogiques'!$C$3&lt;&gt;2)),"",IF(AND(OR('Choix pédagogiques'!$C$3=1,'Choix pédagogiques'!$C$3=2),AND($G681&lt;&gt;"",$H681&lt;&gt;"",$I681&lt;&gt;"")),1,0))</f>
        <v/>
      </c>
      <c r="BO681" s="21" t="str">
        <f>IF(OR(COUNT(B681:D1680)=0,COUNT(G681:I1680)=0,'Choix pédagogiques'!C$3&lt;&gt;3),"",IF(AND('Choix pédagogiques'!$C$3=3,$B681&lt;&gt;"",$C681&lt;&gt;"",$D681&lt;&gt;"",$G681&lt;&gt;"",$H681&lt;&gt;"",$I681&lt;&gt;""),1,0))</f>
        <v/>
      </c>
      <c r="BR681" s="21">
        <v>352</v>
      </c>
      <c r="BS681" s="21">
        <v>1369</v>
      </c>
      <c r="BT681"/>
    </row>
    <row r="682" spans="1:72" s="23" customFormat="1" ht="18" customHeight="1" x14ac:dyDescent="0.3">
      <c r="A682" s="35" t="s">
        <v>672</v>
      </c>
      <c r="B682" s="37"/>
      <c r="C682" s="37"/>
      <c r="D682" s="37"/>
      <c r="E682" s="37"/>
      <c r="F682" s="35" t="s">
        <v>1680</v>
      </c>
      <c r="G682" s="37"/>
      <c r="H682" s="37"/>
      <c r="I682" s="37"/>
      <c r="J682" s="37"/>
      <c r="K682" s="21" t="str">
        <f t="shared" si="463"/>
        <v>Apprenant 670</v>
      </c>
      <c r="L682" s="22" t="str">
        <f t="shared" si="464"/>
        <v/>
      </c>
      <c r="M682" s="22" t="str">
        <f t="shared" si="465"/>
        <v/>
      </c>
      <c r="N682" s="22" t="str">
        <f t="shared" si="466"/>
        <v/>
      </c>
      <c r="O682" s="22" t="str">
        <f t="shared" si="467"/>
        <v/>
      </c>
      <c r="P682" s="21" t="str">
        <f t="shared" si="468"/>
        <v>Apprenant 670 ou 670'</v>
      </c>
      <c r="Q682" s="22" t="str">
        <f t="shared" si="469"/>
        <v/>
      </c>
      <c r="R682" s="22" t="str">
        <f t="shared" si="470"/>
        <v/>
      </c>
      <c r="S682" s="22" t="str">
        <f t="shared" si="471"/>
        <v/>
      </c>
      <c r="T682" s="22" t="str">
        <f t="shared" si="472"/>
        <v/>
      </c>
      <c r="V682" s="21" t="str">
        <f t="shared" si="473"/>
        <v>Apprenant 670</v>
      </c>
      <c r="W682" s="22" t="str">
        <f>IF(AND(OR('Choix pédagogiques'!$C$3=1,'Choix pédagogiques'!$C$3=2),$BM682=1),B682,IF(AND('Choix pédagogiques'!$C$3=3,$BO682=1),B682,""))</f>
        <v/>
      </c>
      <c r="X682" s="22" t="str">
        <f>IF(AND(OR('Choix pédagogiques'!$C$3=1,'Choix pédagogiques'!$C$3=2),$BM682=1),C682,IF(AND('Choix pédagogiques'!$C$3=3,$BO682=1),C682,""))</f>
        <v/>
      </c>
      <c r="Y682" s="22" t="str">
        <f>IF(AND(OR('Choix pédagogiques'!$C$3=1,'Choix pédagogiques'!$C$3=2),$BM682=1),D682,IF(AND('Choix pédagogiques'!$C$3=3,$BO682=1),D682,""))</f>
        <v/>
      </c>
      <c r="Z682" s="22" t="str">
        <f t="shared" si="474"/>
        <v/>
      </c>
      <c r="AA682" s="21" t="str">
        <f t="shared" si="475"/>
        <v>Apprenant 670 ou 670'</v>
      </c>
      <c r="AB682" s="22" t="str">
        <f>IF(AND(OR('Choix pédagogiques'!$C$3=1,'Choix pédagogiques'!$C$3=2),$BN682=1),G682,IF(AND('Choix pédagogiques'!$C$3=3,$BO682=1),G682,""))</f>
        <v/>
      </c>
      <c r="AC682" s="22" t="str">
        <f>IF(AND(OR('Choix pédagogiques'!$C$3=1,'Choix pédagogiques'!$C$3=2),$BN682=1),H682,IF(AND('Choix pédagogiques'!$C$3=3,$BO682=1),H682,""))</f>
        <v/>
      </c>
      <c r="AD682" s="22" t="str">
        <f>IF(AND(OR('Choix pédagogiques'!$C$3=1,'Choix pédagogiques'!$C$3=2),$BN682=1),I682,IF(AND('Choix pédagogiques'!$C$3=3,$BO682=1),I682,""))</f>
        <v/>
      </c>
      <c r="AE682" s="22" t="str">
        <f t="shared" si="476"/>
        <v/>
      </c>
      <c r="AF682" s="21" t="str">
        <f t="shared" si="477"/>
        <v>Apprenant 670</v>
      </c>
      <c r="AG682" s="22" t="str">
        <f t="shared" si="451"/>
        <v/>
      </c>
      <c r="AH682" s="22" t="str">
        <f t="shared" si="452"/>
        <v/>
      </c>
      <c r="AI682" s="22" t="str">
        <f t="shared" si="453"/>
        <v/>
      </c>
      <c r="AJ682" s="22" t="str">
        <f t="shared" si="478"/>
        <v/>
      </c>
      <c r="AK682" s="21" t="str">
        <f t="shared" si="479"/>
        <v>Apprenant 670 ou 670'</v>
      </c>
      <c r="AL682" s="22" t="str">
        <f t="shared" si="454"/>
        <v/>
      </c>
      <c r="AM682" s="22" t="str">
        <f t="shared" si="455"/>
        <v/>
      </c>
      <c r="AN682" s="22" t="str">
        <f t="shared" si="456"/>
        <v/>
      </c>
      <c r="AO682" s="22" t="str">
        <f t="shared" si="480"/>
        <v/>
      </c>
      <c r="AQ682" s="21" t="str">
        <f t="shared" si="481"/>
        <v>Apprenant 670</v>
      </c>
      <c r="AR682" s="49" t="str">
        <f>IF(AND('Choix pédagogiques'!$C$4&lt;&gt;"?",'Choix pédagogiques'!$C$5&lt;&gt;"?",W682&lt;&gt;""),(W682-'Choix pédagogiques'!$C$4)/('Choix pédagogiques'!$C$5-'Choix pédagogiques'!$C$4),"")</f>
        <v/>
      </c>
      <c r="AS682" s="49" t="str">
        <f>IF(AND('Choix pédagogiques'!$C$4&lt;&gt;"?",'Choix pédagogiques'!$C$5&lt;&gt;"?",X682&lt;&gt;""),(X682-'Choix pédagogiques'!$C$4)/('Choix pédagogiques'!$C$5-'Choix pédagogiques'!$C$4),"")</f>
        <v/>
      </c>
      <c r="AT682" s="49" t="str">
        <f>IF(AND('Choix pédagogiques'!$C$4&lt;&gt;"?",'Choix pédagogiques'!$C$5&lt;&gt;"?",Y682&lt;&gt;""),(Y682-'Choix pédagogiques'!$C$4)/('Choix pédagogiques'!$C$5-'Choix pédagogiques'!$C$4),"")</f>
        <v/>
      </c>
      <c r="AU682" s="22" t="str">
        <f t="shared" si="482"/>
        <v/>
      </c>
      <c r="AV682" s="21" t="str">
        <f t="shared" si="483"/>
        <v>Apprenant 670 ou 670'</v>
      </c>
      <c r="AW682" s="49" t="str">
        <f>IF(AND('Choix pédagogiques'!$C$4&lt;&gt;"?",'Choix pédagogiques'!$C$5&lt;&gt;"?",AB682&lt;&gt;""),(AB682-'Choix pédagogiques'!$C$4)/('Choix pédagogiques'!$C$5-'Choix pédagogiques'!$C$4),"")</f>
        <v/>
      </c>
      <c r="AX682" s="49" t="str">
        <f>IF(AND('Choix pédagogiques'!$C$4&lt;&gt;"?",'Choix pédagogiques'!$C$5&lt;&gt;"?",AC682&lt;&gt;""),(AC682-'Choix pédagogiques'!$C$4)/('Choix pédagogiques'!$C$5-'Choix pédagogiques'!$C$4),"")</f>
        <v/>
      </c>
      <c r="AY682" s="49" t="str">
        <f>IF(AND('Choix pédagogiques'!$C$4&lt;&gt;"?",'Choix pédagogiques'!$C$5&lt;&gt;"?",AD682&lt;&gt;""),(AD682-'Choix pédagogiques'!$C$4)/('Choix pédagogiques'!$C$5-'Choix pédagogiques'!$C$4),"")</f>
        <v/>
      </c>
      <c r="AZ682" s="22" t="str">
        <f t="shared" si="484"/>
        <v/>
      </c>
      <c r="BA682" s="21" t="str">
        <f t="shared" si="485"/>
        <v>Apprenant 670</v>
      </c>
      <c r="BB682" s="49" t="str">
        <f t="shared" si="457"/>
        <v/>
      </c>
      <c r="BC682" s="49" t="str">
        <f t="shared" si="458"/>
        <v/>
      </c>
      <c r="BD682" s="49" t="str">
        <f t="shared" si="459"/>
        <v/>
      </c>
      <c r="BE682" s="22" t="str">
        <f t="shared" si="486"/>
        <v/>
      </c>
      <c r="BF682" s="21" t="str">
        <f t="shared" si="487"/>
        <v>Apprenant 670 ou 670'</v>
      </c>
      <c r="BG682" s="49" t="str">
        <f t="shared" si="460"/>
        <v/>
      </c>
      <c r="BH682" s="49" t="str">
        <f t="shared" si="461"/>
        <v/>
      </c>
      <c r="BI682" s="49" t="str">
        <f t="shared" si="462"/>
        <v/>
      </c>
      <c r="BJ682" s="22" t="str">
        <f t="shared" si="488"/>
        <v/>
      </c>
      <c r="BL682" s="21"/>
      <c r="BM682" s="21" t="str">
        <f>IF(OR(COUNT(B682:D1681)=0,AND('Choix pédagogiques'!$C$3&lt;&gt;1,'Choix pédagogiques'!$C$3&lt;&gt;2)),"",IF(AND(OR('Choix pédagogiques'!$C$3=1,'Choix pédagogiques'!$C$3=2),$B682&lt;&gt;"",$C682&lt;&gt;"",$D682&lt;&gt;""),1,0))</f>
        <v/>
      </c>
      <c r="BN682" s="21" t="str">
        <f>IF(OR(COUNT(G682:I1681)=0,AND('Choix pédagogiques'!$C$3&lt;&gt;1,'Choix pédagogiques'!$C$3&lt;&gt;2)),"",IF(AND(OR('Choix pédagogiques'!$C$3=1,'Choix pédagogiques'!$C$3=2),AND($G682&lt;&gt;"",$H682&lt;&gt;"",$I682&lt;&gt;"")),1,0))</f>
        <v/>
      </c>
      <c r="BO682" s="21" t="str">
        <f>IF(OR(COUNT(B682:D1681)=0,COUNT(G682:I1681)=0,'Choix pédagogiques'!C$3&lt;&gt;3),"",IF(AND('Choix pédagogiques'!$C$3=3,$B682&lt;&gt;"",$C682&lt;&gt;"",$D682&lt;&gt;"",$G682&lt;&gt;"",$H682&lt;&gt;"",$I682&lt;&gt;""),1,0))</f>
        <v/>
      </c>
      <c r="BR682" s="21">
        <v>850</v>
      </c>
      <c r="BS682" s="21">
        <v>1872</v>
      </c>
      <c r="BT682"/>
    </row>
    <row r="683" spans="1:72" s="23" customFormat="1" ht="18" customHeight="1" x14ac:dyDescent="0.3">
      <c r="A683" s="35" t="s">
        <v>673</v>
      </c>
      <c r="B683" s="37"/>
      <c r="C683" s="37"/>
      <c r="D683" s="37"/>
      <c r="E683" s="37"/>
      <c r="F683" s="35" t="s">
        <v>1681</v>
      </c>
      <c r="G683" s="37"/>
      <c r="H683" s="37"/>
      <c r="I683" s="37"/>
      <c r="J683" s="37"/>
      <c r="K683" s="21" t="str">
        <f t="shared" si="463"/>
        <v>Apprenant 671</v>
      </c>
      <c r="L683" s="22" t="str">
        <f t="shared" si="464"/>
        <v/>
      </c>
      <c r="M683" s="22" t="str">
        <f t="shared" si="465"/>
        <v/>
      </c>
      <c r="N683" s="22" t="str">
        <f t="shared" si="466"/>
        <v/>
      </c>
      <c r="O683" s="22" t="str">
        <f t="shared" si="467"/>
        <v/>
      </c>
      <c r="P683" s="21" t="str">
        <f t="shared" si="468"/>
        <v>Apprenant 671 ou 671'</v>
      </c>
      <c r="Q683" s="22" t="str">
        <f t="shared" si="469"/>
        <v/>
      </c>
      <c r="R683" s="22" t="str">
        <f t="shared" si="470"/>
        <v/>
      </c>
      <c r="S683" s="22" t="str">
        <f t="shared" si="471"/>
        <v/>
      </c>
      <c r="T683" s="22" t="str">
        <f t="shared" si="472"/>
        <v/>
      </c>
      <c r="V683" s="21" t="str">
        <f t="shared" si="473"/>
        <v>Apprenant 671</v>
      </c>
      <c r="W683" s="22" t="str">
        <f>IF(AND(OR('Choix pédagogiques'!$C$3=1,'Choix pédagogiques'!$C$3=2),$BM683=1),B683,IF(AND('Choix pédagogiques'!$C$3=3,$BO683=1),B683,""))</f>
        <v/>
      </c>
      <c r="X683" s="22" t="str">
        <f>IF(AND(OR('Choix pédagogiques'!$C$3=1,'Choix pédagogiques'!$C$3=2),$BM683=1),C683,IF(AND('Choix pédagogiques'!$C$3=3,$BO683=1),C683,""))</f>
        <v/>
      </c>
      <c r="Y683" s="22" t="str">
        <f>IF(AND(OR('Choix pédagogiques'!$C$3=1,'Choix pédagogiques'!$C$3=2),$BM683=1),D683,IF(AND('Choix pédagogiques'!$C$3=3,$BO683=1),D683,""))</f>
        <v/>
      </c>
      <c r="Z683" s="22" t="str">
        <f t="shared" si="474"/>
        <v/>
      </c>
      <c r="AA683" s="21" t="str">
        <f t="shared" si="475"/>
        <v>Apprenant 671 ou 671'</v>
      </c>
      <c r="AB683" s="22" t="str">
        <f>IF(AND(OR('Choix pédagogiques'!$C$3=1,'Choix pédagogiques'!$C$3=2),$BN683=1),G683,IF(AND('Choix pédagogiques'!$C$3=3,$BO683=1),G683,""))</f>
        <v/>
      </c>
      <c r="AC683" s="22" t="str">
        <f>IF(AND(OR('Choix pédagogiques'!$C$3=1,'Choix pédagogiques'!$C$3=2),$BN683=1),H683,IF(AND('Choix pédagogiques'!$C$3=3,$BO683=1),H683,""))</f>
        <v/>
      </c>
      <c r="AD683" s="22" t="str">
        <f>IF(AND(OR('Choix pédagogiques'!$C$3=1,'Choix pédagogiques'!$C$3=2),$BN683=1),I683,IF(AND('Choix pédagogiques'!$C$3=3,$BO683=1),I683,""))</f>
        <v/>
      </c>
      <c r="AE683" s="22" t="str">
        <f t="shared" si="476"/>
        <v/>
      </c>
      <c r="AF683" s="21" t="str">
        <f t="shared" si="477"/>
        <v>Apprenant 671</v>
      </c>
      <c r="AG683" s="22" t="str">
        <f t="shared" si="451"/>
        <v/>
      </c>
      <c r="AH683" s="22" t="str">
        <f t="shared" si="452"/>
        <v/>
      </c>
      <c r="AI683" s="22" t="str">
        <f t="shared" si="453"/>
        <v/>
      </c>
      <c r="AJ683" s="22" t="str">
        <f t="shared" si="478"/>
        <v/>
      </c>
      <c r="AK683" s="21" t="str">
        <f t="shared" si="479"/>
        <v>Apprenant 671 ou 671'</v>
      </c>
      <c r="AL683" s="22" t="str">
        <f t="shared" si="454"/>
        <v/>
      </c>
      <c r="AM683" s="22" t="str">
        <f t="shared" si="455"/>
        <v/>
      </c>
      <c r="AN683" s="22" t="str">
        <f t="shared" si="456"/>
        <v/>
      </c>
      <c r="AO683" s="22" t="str">
        <f t="shared" si="480"/>
        <v/>
      </c>
      <c r="AQ683" s="21" t="str">
        <f t="shared" si="481"/>
        <v>Apprenant 671</v>
      </c>
      <c r="AR683" s="49" t="str">
        <f>IF(AND('Choix pédagogiques'!$C$4&lt;&gt;"?",'Choix pédagogiques'!$C$5&lt;&gt;"?",W683&lt;&gt;""),(W683-'Choix pédagogiques'!$C$4)/('Choix pédagogiques'!$C$5-'Choix pédagogiques'!$C$4),"")</f>
        <v/>
      </c>
      <c r="AS683" s="49" t="str">
        <f>IF(AND('Choix pédagogiques'!$C$4&lt;&gt;"?",'Choix pédagogiques'!$C$5&lt;&gt;"?",X683&lt;&gt;""),(X683-'Choix pédagogiques'!$C$4)/('Choix pédagogiques'!$C$5-'Choix pédagogiques'!$C$4),"")</f>
        <v/>
      </c>
      <c r="AT683" s="49" t="str">
        <f>IF(AND('Choix pédagogiques'!$C$4&lt;&gt;"?",'Choix pédagogiques'!$C$5&lt;&gt;"?",Y683&lt;&gt;""),(Y683-'Choix pédagogiques'!$C$4)/('Choix pédagogiques'!$C$5-'Choix pédagogiques'!$C$4),"")</f>
        <v/>
      </c>
      <c r="AU683" s="22" t="str">
        <f t="shared" si="482"/>
        <v/>
      </c>
      <c r="AV683" s="21" t="str">
        <f t="shared" si="483"/>
        <v>Apprenant 671 ou 671'</v>
      </c>
      <c r="AW683" s="49" t="str">
        <f>IF(AND('Choix pédagogiques'!$C$4&lt;&gt;"?",'Choix pédagogiques'!$C$5&lt;&gt;"?",AB683&lt;&gt;""),(AB683-'Choix pédagogiques'!$C$4)/('Choix pédagogiques'!$C$5-'Choix pédagogiques'!$C$4),"")</f>
        <v/>
      </c>
      <c r="AX683" s="49" t="str">
        <f>IF(AND('Choix pédagogiques'!$C$4&lt;&gt;"?",'Choix pédagogiques'!$C$5&lt;&gt;"?",AC683&lt;&gt;""),(AC683-'Choix pédagogiques'!$C$4)/('Choix pédagogiques'!$C$5-'Choix pédagogiques'!$C$4),"")</f>
        <v/>
      </c>
      <c r="AY683" s="49" t="str">
        <f>IF(AND('Choix pédagogiques'!$C$4&lt;&gt;"?",'Choix pédagogiques'!$C$5&lt;&gt;"?",AD683&lt;&gt;""),(AD683-'Choix pédagogiques'!$C$4)/('Choix pédagogiques'!$C$5-'Choix pédagogiques'!$C$4),"")</f>
        <v/>
      </c>
      <c r="AZ683" s="22" t="str">
        <f t="shared" si="484"/>
        <v/>
      </c>
      <c r="BA683" s="21" t="str">
        <f t="shared" si="485"/>
        <v>Apprenant 671</v>
      </c>
      <c r="BB683" s="49" t="str">
        <f t="shared" si="457"/>
        <v/>
      </c>
      <c r="BC683" s="49" t="str">
        <f t="shared" si="458"/>
        <v/>
      </c>
      <c r="BD683" s="49" t="str">
        <f t="shared" si="459"/>
        <v/>
      </c>
      <c r="BE683" s="22" t="str">
        <f t="shared" si="486"/>
        <v/>
      </c>
      <c r="BF683" s="21" t="str">
        <f t="shared" si="487"/>
        <v>Apprenant 671 ou 671'</v>
      </c>
      <c r="BG683" s="49" t="str">
        <f t="shared" si="460"/>
        <v/>
      </c>
      <c r="BH683" s="49" t="str">
        <f t="shared" si="461"/>
        <v/>
      </c>
      <c r="BI683" s="49" t="str">
        <f t="shared" si="462"/>
        <v/>
      </c>
      <c r="BJ683" s="22" t="str">
        <f t="shared" si="488"/>
        <v/>
      </c>
      <c r="BL683" s="21"/>
      <c r="BM683" s="21" t="str">
        <f>IF(OR(COUNT(B683:D1682)=0,AND('Choix pédagogiques'!$C$3&lt;&gt;1,'Choix pédagogiques'!$C$3&lt;&gt;2)),"",IF(AND(OR('Choix pédagogiques'!$C$3=1,'Choix pédagogiques'!$C$3=2),$B683&lt;&gt;"",$C683&lt;&gt;"",$D683&lt;&gt;""),1,0))</f>
        <v/>
      </c>
      <c r="BN683" s="21" t="str">
        <f>IF(OR(COUNT(G683:I1682)=0,AND('Choix pédagogiques'!$C$3&lt;&gt;1,'Choix pédagogiques'!$C$3&lt;&gt;2)),"",IF(AND(OR('Choix pédagogiques'!$C$3=1,'Choix pédagogiques'!$C$3=2),AND($G683&lt;&gt;"",$H683&lt;&gt;"",$I683&lt;&gt;"")),1,0))</f>
        <v/>
      </c>
      <c r="BO683" s="21" t="str">
        <f>IF(OR(COUNT(B683:D1682)=0,COUNT(G683:I1682)=0,'Choix pédagogiques'!C$3&lt;&gt;3),"",IF(AND('Choix pédagogiques'!$C$3=3,$B683&lt;&gt;"",$C683&lt;&gt;"",$D683&lt;&gt;"",$G683&lt;&gt;"",$H683&lt;&gt;"",$I683&lt;&gt;""),1,0))</f>
        <v/>
      </c>
      <c r="BR683" s="21">
        <v>614</v>
      </c>
      <c r="BS683" s="21">
        <v>1162</v>
      </c>
      <c r="BT683"/>
    </row>
    <row r="684" spans="1:72" s="23" customFormat="1" ht="18" customHeight="1" x14ac:dyDescent="0.3">
      <c r="A684" s="35" t="s">
        <v>674</v>
      </c>
      <c r="B684" s="37"/>
      <c r="C684" s="37"/>
      <c r="D684" s="37"/>
      <c r="E684" s="37"/>
      <c r="F684" s="35" t="s">
        <v>1682</v>
      </c>
      <c r="G684" s="37"/>
      <c r="H684" s="37"/>
      <c r="I684" s="37"/>
      <c r="J684" s="37"/>
      <c r="K684" s="21" t="str">
        <f t="shared" si="463"/>
        <v>Apprenant 672</v>
      </c>
      <c r="L684" s="22" t="str">
        <f t="shared" si="464"/>
        <v/>
      </c>
      <c r="M684" s="22" t="str">
        <f t="shared" si="465"/>
        <v/>
      </c>
      <c r="N684" s="22" t="str">
        <f t="shared" si="466"/>
        <v/>
      </c>
      <c r="O684" s="22" t="str">
        <f t="shared" si="467"/>
        <v/>
      </c>
      <c r="P684" s="21" t="str">
        <f t="shared" si="468"/>
        <v>Apprenant 672 ou 672'</v>
      </c>
      <c r="Q684" s="22" t="str">
        <f t="shared" si="469"/>
        <v/>
      </c>
      <c r="R684" s="22" t="str">
        <f t="shared" si="470"/>
        <v/>
      </c>
      <c r="S684" s="22" t="str">
        <f t="shared" si="471"/>
        <v/>
      </c>
      <c r="T684" s="22" t="str">
        <f t="shared" si="472"/>
        <v/>
      </c>
      <c r="V684" s="21" t="str">
        <f t="shared" si="473"/>
        <v>Apprenant 672</v>
      </c>
      <c r="W684" s="22" t="str">
        <f>IF(AND(OR('Choix pédagogiques'!$C$3=1,'Choix pédagogiques'!$C$3=2),$BM684=1),B684,IF(AND('Choix pédagogiques'!$C$3=3,$BO684=1),B684,""))</f>
        <v/>
      </c>
      <c r="X684" s="22" t="str">
        <f>IF(AND(OR('Choix pédagogiques'!$C$3=1,'Choix pédagogiques'!$C$3=2),$BM684=1),C684,IF(AND('Choix pédagogiques'!$C$3=3,$BO684=1),C684,""))</f>
        <v/>
      </c>
      <c r="Y684" s="22" t="str">
        <f>IF(AND(OR('Choix pédagogiques'!$C$3=1,'Choix pédagogiques'!$C$3=2),$BM684=1),D684,IF(AND('Choix pédagogiques'!$C$3=3,$BO684=1),D684,""))</f>
        <v/>
      </c>
      <c r="Z684" s="22" t="str">
        <f t="shared" si="474"/>
        <v/>
      </c>
      <c r="AA684" s="21" t="str">
        <f t="shared" si="475"/>
        <v>Apprenant 672 ou 672'</v>
      </c>
      <c r="AB684" s="22" t="str">
        <f>IF(AND(OR('Choix pédagogiques'!$C$3=1,'Choix pédagogiques'!$C$3=2),$BN684=1),G684,IF(AND('Choix pédagogiques'!$C$3=3,$BO684=1),G684,""))</f>
        <v/>
      </c>
      <c r="AC684" s="22" t="str">
        <f>IF(AND(OR('Choix pédagogiques'!$C$3=1,'Choix pédagogiques'!$C$3=2),$BN684=1),H684,IF(AND('Choix pédagogiques'!$C$3=3,$BO684=1),H684,""))</f>
        <v/>
      </c>
      <c r="AD684" s="22" t="str">
        <f>IF(AND(OR('Choix pédagogiques'!$C$3=1,'Choix pédagogiques'!$C$3=2),$BN684=1),I684,IF(AND('Choix pédagogiques'!$C$3=3,$BO684=1),I684,""))</f>
        <v/>
      </c>
      <c r="AE684" s="22" t="str">
        <f t="shared" si="476"/>
        <v/>
      </c>
      <c r="AF684" s="21" t="str">
        <f t="shared" si="477"/>
        <v>Apprenant 672</v>
      </c>
      <c r="AG684" s="22" t="str">
        <f t="shared" si="451"/>
        <v/>
      </c>
      <c r="AH684" s="22" t="str">
        <f t="shared" si="452"/>
        <v/>
      </c>
      <c r="AI684" s="22" t="str">
        <f t="shared" si="453"/>
        <v/>
      </c>
      <c r="AJ684" s="22" t="str">
        <f t="shared" si="478"/>
        <v/>
      </c>
      <c r="AK684" s="21" t="str">
        <f t="shared" si="479"/>
        <v>Apprenant 672 ou 672'</v>
      </c>
      <c r="AL684" s="22" t="str">
        <f t="shared" si="454"/>
        <v/>
      </c>
      <c r="AM684" s="22" t="str">
        <f t="shared" si="455"/>
        <v/>
      </c>
      <c r="AN684" s="22" t="str">
        <f t="shared" si="456"/>
        <v/>
      </c>
      <c r="AO684" s="22" t="str">
        <f t="shared" si="480"/>
        <v/>
      </c>
      <c r="AQ684" s="21" t="str">
        <f t="shared" si="481"/>
        <v>Apprenant 672</v>
      </c>
      <c r="AR684" s="49" t="str">
        <f>IF(AND('Choix pédagogiques'!$C$4&lt;&gt;"?",'Choix pédagogiques'!$C$5&lt;&gt;"?",W684&lt;&gt;""),(W684-'Choix pédagogiques'!$C$4)/('Choix pédagogiques'!$C$5-'Choix pédagogiques'!$C$4),"")</f>
        <v/>
      </c>
      <c r="AS684" s="49" t="str">
        <f>IF(AND('Choix pédagogiques'!$C$4&lt;&gt;"?",'Choix pédagogiques'!$C$5&lt;&gt;"?",X684&lt;&gt;""),(X684-'Choix pédagogiques'!$C$4)/('Choix pédagogiques'!$C$5-'Choix pédagogiques'!$C$4),"")</f>
        <v/>
      </c>
      <c r="AT684" s="49" t="str">
        <f>IF(AND('Choix pédagogiques'!$C$4&lt;&gt;"?",'Choix pédagogiques'!$C$5&lt;&gt;"?",Y684&lt;&gt;""),(Y684-'Choix pédagogiques'!$C$4)/('Choix pédagogiques'!$C$5-'Choix pédagogiques'!$C$4),"")</f>
        <v/>
      </c>
      <c r="AU684" s="22" t="str">
        <f t="shared" si="482"/>
        <v/>
      </c>
      <c r="AV684" s="21" t="str">
        <f t="shared" si="483"/>
        <v>Apprenant 672 ou 672'</v>
      </c>
      <c r="AW684" s="49" t="str">
        <f>IF(AND('Choix pédagogiques'!$C$4&lt;&gt;"?",'Choix pédagogiques'!$C$5&lt;&gt;"?",AB684&lt;&gt;""),(AB684-'Choix pédagogiques'!$C$4)/('Choix pédagogiques'!$C$5-'Choix pédagogiques'!$C$4),"")</f>
        <v/>
      </c>
      <c r="AX684" s="49" t="str">
        <f>IF(AND('Choix pédagogiques'!$C$4&lt;&gt;"?",'Choix pédagogiques'!$C$5&lt;&gt;"?",AC684&lt;&gt;""),(AC684-'Choix pédagogiques'!$C$4)/('Choix pédagogiques'!$C$5-'Choix pédagogiques'!$C$4),"")</f>
        <v/>
      </c>
      <c r="AY684" s="49" t="str">
        <f>IF(AND('Choix pédagogiques'!$C$4&lt;&gt;"?",'Choix pédagogiques'!$C$5&lt;&gt;"?",AD684&lt;&gt;""),(AD684-'Choix pédagogiques'!$C$4)/('Choix pédagogiques'!$C$5-'Choix pédagogiques'!$C$4),"")</f>
        <v/>
      </c>
      <c r="AZ684" s="22" t="str">
        <f t="shared" si="484"/>
        <v/>
      </c>
      <c r="BA684" s="21" t="str">
        <f t="shared" si="485"/>
        <v>Apprenant 672</v>
      </c>
      <c r="BB684" s="49" t="str">
        <f t="shared" si="457"/>
        <v/>
      </c>
      <c r="BC684" s="49" t="str">
        <f t="shared" si="458"/>
        <v/>
      </c>
      <c r="BD684" s="49" t="str">
        <f t="shared" si="459"/>
        <v/>
      </c>
      <c r="BE684" s="22" t="str">
        <f t="shared" si="486"/>
        <v/>
      </c>
      <c r="BF684" s="21" t="str">
        <f t="shared" si="487"/>
        <v>Apprenant 672 ou 672'</v>
      </c>
      <c r="BG684" s="49" t="str">
        <f t="shared" si="460"/>
        <v/>
      </c>
      <c r="BH684" s="49" t="str">
        <f t="shared" si="461"/>
        <v/>
      </c>
      <c r="BI684" s="49" t="str">
        <f t="shared" si="462"/>
        <v/>
      </c>
      <c r="BJ684" s="22" t="str">
        <f t="shared" si="488"/>
        <v/>
      </c>
      <c r="BL684" s="21"/>
      <c r="BM684" s="21" t="str">
        <f>IF(OR(COUNT(B684:D1683)=0,AND('Choix pédagogiques'!$C$3&lt;&gt;1,'Choix pédagogiques'!$C$3&lt;&gt;2)),"",IF(AND(OR('Choix pédagogiques'!$C$3=1,'Choix pédagogiques'!$C$3=2),$B684&lt;&gt;"",$C684&lt;&gt;"",$D684&lt;&gt;""),1,0))</f>
        <v/>
      </c>
      <c r="BN684" s="21" t="str">
        <f>IF(OR(COUNT(G684:I1683)=0,AND('Choix pédagogiques'!$C$3&lt;&gt;1,'Choix pédagogiques'!$C$3&lt;&gt;2)),"",IF(AND(OR('Choix pédagogiques'!$C$3=1,'Choix pédagogiques'!$C$3=2),AND($G684&lt;&gt;"",$H684&lt;&gt;"",$I684&lt;&gt;"")),1,0))</f>
        <v/>
      </c>
      <c r="BO684" s="21" t="str">
        <f>IF(OR(COUNT(B684:D1683)=0,COUNT(G684:I1683)=0,'Choix pédagogiques'!C$3&lt;&gt;3),"",IF(AND('Choix pédagogiques'!$C$3=3,$B684&lt;&gt;"",$C684&lt;&gt;"",$D684&lt;&gt;"",$G684&lt;&gt;"",$H684&lt;&gt;"",$I684&lt;&gt;""),1,0))</f>
        <v/>
      </c>
      <c r="BR684" s="21">
        <v>647</v>
      </c>
      <c r="BS684" s="21">
        <v>1713</v>
      </c>
      <c r="BT684"/>
    </row>
    <row r="685" spans="1:72" s="23" customFormat="1" ht="18" customHeight="1" x14ac:dyDescent="0.3">
      <c r="A685" s="35" t="s">
        <v>675</v>
      </c>
      <c r="B685" s="37"/>
      <c r="C685" s="37"/>
      <c r="D685" s="37"/>
      <c r="E685" s="37"/>
      <c r="F685" s="35" t="s">
        <v>1683</v>
      </c>
      <c r="G685" s="37"/>
      <c r="H685" s="37"/>
      <c r="I685" s="37"/>
      <c r="J685" s="37"/>
      <c r="K685" s="21" t="str">
        <f t="shared" si="463"/>
        <v>Apprenant 673</v>
      </c>
      <c r="L685" s="22" t="str">
        <f t="shared" si="464"/>
        <v/>
      </c>
      <c r="M685" s="22" t="str">
        <f t="shared" si="465"/>
        <v/>
      </c>
      <c r="N685" s="22" t="str">
        <f t="shared" si="466"/>
        <v/>
      </c>
      <c r="O685" s="22" t="str">
        <f t="shared" si="467"/>
        <v/>
      </c>
      <c r="P685" s="21" t="str">
        <f t="shared" si="468"/>
        <v>Apprenant 673 ou 673'</v>
      </c>
      <c r="Q685" s="22" t="str">
        <f t="shared" si="469"/>
        <v/>
      </c>
      <c r="R685" s="22" t="str">
        <f t="shared" si="470"/>
        <v/>
      </c>
      <c r="S685" s="22" t="str">
        <f t="shared" si="471"/>
        <v/>
      </c>
      <c r="T685" s="22" t="str">
        <f t="shared" si="472"/>
        <v/>
      </c>
      <c r="V685" s="21" t="str">
        <f t="shared" si="473"/>
        <v>Apprenant 673</v>
      </c>
      <c r="W685" s="22" t="str">
        <f>IF(AND(OR('Choix pédagogiques'!$C$3=1,'Choix pédagogiques'!$C$3=2),$BM685=1),B685,IF(AND('Choix pédagogiques'!$C$3=3,$BO685=1),B685,""))</f>
        <v/>
      </c>
      <c r="X685" s="22" t="str">
        <f>IF(AND(OR('Choix pédagogiques'!$C$3=1,'Choix pédagogiques'!$C$3=2),$BM685=1),C685,IF(AND('Choix pédagogiques'!$C$3=3,$BO685=1),C685,""))</f>
        <v/>
      </c>
      <c r="Y685" s="22" t="str">
        <f>IF(AND(OR('Choix pédagogiques'!$C$3=1,'Choix pédagogiques'!$C$3=2),$BM685=1),D685,IF(AND('Choix pédagogiques'!$C$3=3,$BO685=1),D685,""))</f>
        <v/>
      </c>
      <c r="Z685" s="22" t="str">
        <f t="shared" si="474"/>
        <v/>
      </c>
      <c r="AA685" s="21" t="str">
        <f t="shared" si="475"/>
        <v>Apprenant 673 ou 673'</v>
      </c>
      <c r="AB685" s="22" t="str">
        <f>IF(AND(OR('Choix pédagogiques'!$C$3=1,'Choix pédagogiques'!$C$3=2),$BN685=1),G685,IF(AND('Choix pédagogiques'!$C$3=3,$BO685=1),G685,""))</f>
        <v/>
      </c>
      <c r="AC685" s="22" t="str">
        <f>IF(AND(OR('Choix pédagogiques'!$C$3=1,'Choix pédagogiques'!$C$3=2),$BN685=1),H685,IF(AND('Choix pédagogiques'!$C$3=3,$BO685=1),H685,""))</f>
        <v/>
      </c>
      <c r="AD685" s="22" t="str">
        <f>IF(AND(OR('Choix pédagogiques'!$C$3=1,'Choix pédagogiques'!$C$3=2),$BN685=1),I685,IF(AND('Choix pédagogiques'!$C$3=3,$BO685=1),I685,""))</f>
        <v/>
      </c>
      <c r="AE685" s="22" t="str">
        <f t="shared" si="476"/>
        <v/>
      </c>
      <c r="AF685" s="21" t="str">
        <f t="shared" si="477"/>
        <v>Apprenant 673</v>
      </c>
      <c r="AG685" s="22" t="str">
        <f t="shared" si="451"/>
        <v/>
      </c>
      <c r="AH685" s="22" t="str">
        <f t="shared" si="452"/>
        <v/>
      </c>
      <c r="AI685" s="22" t="str">
        <f t="shared" si="453"/>
        <v/>
      </c>
      <c r="AJ685" s="22" t="str">
        <f t="shared" si="478"/>
        <v/>
      </c>
      <c r="AK685" s="21" t="str">
        <f t="shared" si="479"/>
        <v>Apprenant 673 ou 673'</v>
      </c>
      <c r="AL685" s="22" t="str">
        <f t="shared" si="454"/>
        <v/>
      </c>
      <c r="AM685" s="22" t="str">
        <f t="shared" si="455"/>
        <v/>
      </c>
      <c r="AN685" s="22" t="str">
        <f t="shared" si="456"/>
        <v/>
      </c>
      <c r="AO685" s="22" t="str">
        <f t="shared" si="480"/>
        <v/>
      </c>
      <c r="AQ685" s="21" t="str">
        <f t="shared" si="481"/>
        <v>Apprenant 673</v>
      </c>
      <c r="AR685" s="49" t="str">
        <f>IF(AND('Choix pédagogiques'!$C$4&lt;&gt;"?",'Choix pédagogiques'!$C$5&lt;&gt;"?",W685&lt;&gt;""),(W685-'Choix pédagogiques'!$C$4)/('Choix pédagogiques'!$C$5-'Choix pédagogiques'!$C$4),"")</f>
        <v/>
      </c>
      <c r="AS685" s="49" t="str">
        <f>IF(AND('Choix pédagogiques'!$C$4&lt;&gt;"?",'Choix pédagogiques'!$C$5&lt;&gt;"?",X685&lt;&gt;""),(X685-'Choix pédagogiques'!$C$4)/('Choix pédagogiques'!$C$5-'Choix pédagogiques'!$C$4),"")</f>
        <v/>
      </c>
      <c r="AT685" s="49" t="str">
        <f>IF(AND('Choix pédagogiques'!$C$4&lt;&gt;"?",'Choix pédagogiques'!$C$5&lt;&gt;"?",Y685&lt;&gt;""),(Y685-'Choix pédagogiques'!$C$4)/('Choix pédagogiques'!$C$5-'Choix pédagogiques'!$C$4),"")</f>
        <v/>
      </c>
      <c r="AU685" s="22" t="str">
        <f t="shared" si="482"/>
        <v/>
      </c>
      <c r="AV685" s="21" t="str">
        <f t="shared" si="483"/>
        <v>Apprenant 673 ou 673'</v>
      </c>
      <c r="AW685" s="49" t="str">
        <f>IF(AND('Choix pédagogiques'!$C$4&lt;&gt;"?",'Choix pédagogiques'!$C$5&lt;&gt;"?",AB685&lt;&gt;""),(AB685-'Choix pédagogiques'!$C$4)/('Choix pédagogiques'!$C$5-'Choix pédagogiques'!$C$4),"")</f>
        <v/>
      </c>
      <c r="AX685" s="49" t="str">
        <f>IF(AND('Choix pédagogiques'!$C$4&lt;&gt;"?",'Choix pédagogiques'!$C$5&lt;&gt;"?",AC685&lt;&gt;""),(AC685-'Choix pédagogiques'!$C$4)/('Choix pédagogiques'!$C$5-'Choix pédagogiques'!$C$4),"")</f>
        <v/>
      </c>
      <c r="AY685" s="49" t="str">
        <f>IF(AND('Choix pédagogiques'!$C$4&lt;&gt;"?",'Choix pédagogiques'!$C$5&lt;&gt;"?",AD685&lt;&gt;""),(AD685-'Choix pédagogiques'!$C$4)/('Choix pédagogiques'!$C$5-'Choix pédagogiques'!$C$4),"")</f>
        <v/>
      </c>
      <c r="AZ685" s="22" t="str">
        <f t="shared" si="484"/>
        <v/>
      </c>
      <c r="BA685" s="21" t="str">
        <f t="shared" si="485"/>
        <v>Apprenant 673</v>
      </c>
      <c r="BB685" s="49" t="str">
        <f t="shared" si="457"/>
        <v/>
      </c>
      <c r="BC685" s="49" t="str">
        <f t="shared" si="458"/>
        <v/>
      </c>
      <c r="BD685" s="49" t="str">
        <f t="shared" si="459"/>
        <v/>
      </c>
      <c r="BE685" s="22" t="str">
        <f t="shared" si="486"/>
        <v/>
      </c>
      <c r="BF685" s="21" t="str">
        <f t="shared" si="487"/>
        <v>Apprenant 673 ou 673'</v>
      </c>
      <c r="BG685" s="49" t="str">
        <f t="shared" si="460"/>
        <v/>
      </c>
      <c r="BH685" s="49" t="str">
        <f t="shared" si="461"/>
        <v/>
      </c>
      <c r="BI685" s="49" t="str">
        <f t="shared" si="462"/>
        <v/>
      </c>
      <c r="BJ685" s="22" t="str">
        <f t="shared" si="488"/>
        <v/>
      </c>
      <c r="BL685" s="21"/>
      <c r="BM685" s="21" t="str">
        <f>IF(OR(COUNT(B685:D1684)=0,AND('Choix pédagogiques'!$C$3&lt;&gt;1,'Choix pédagogiques'!$C$3&lt;&gt;2)),"",IF(AND(OR('Choix pédagogiques'!$C$3=1,'Choix pédagogiques'!$C$3=2),$B685&lt;&gt;"",$C685&lt;&gt;"",$D685&lt;&gt;""),1,0))</f>
        <v/>
      </c>
      <c r="BN685" s="21" t="str">
        <f>IF(OR(COUNT(G685:I1684)=0,AND('Choix pédagogiques'!$C$3&lt;&gt;1,'Choix pédagogiques'!$C$3&lt;&gt;2)),"",IF(AND(OR('Choix pédagogiques'!$C$3=1,'Choix pédagogiques'!$C$3=2),AND($G685&lt;&gt;"",$H685&lt;&gt;"",$I685&lt;&gt;"")),1,0))</f>
        <v/>
      </c>
      <c r="BO685" s="21" t="str">
        <f>IF(OR(COUNT(B685:D1684)=0,COUNT(G685:I1684)=0,'Choix pédagogiques'!C$3&lt;&gt;3),"",IF(AND('Choix pédagogiques'!$C$3=3,$B685&lt;&gt;"",$C685&lt;&gt;"",$D685&lt;&gt;"",$G685&lt;&gt;"",$H685&lt;&gt;"",$I685&lt;&gt;""),1,0))</f>
        <v/>
      </c>
      <c r="BR685" s="21">
        <v>578</v>
      </c>
      <c r="BS685" s="21">
        <v>1311</v>
      </c>
      <c r="BT685"/>
    </row>
    <row r="686" spans="1:72" s="23" customFormat="1" ht="18" customHeight="1" x14ac:dyDescent="0.3">
      <c r="A686" s="35" t="s">
        <v>676</v>
      </c>
      <c r="B686" s="37"/>
      <c r="C686" s="37"/>
      <c r="D686" s="37"/>
      <c r="E686" s="37"/>
      <c r="F686" s="35" t="s">
        <v>1684</v>
      </c>
      <c r="G686" s="37"/>
      <c r="H686" s="37"/>
      <c r="I686" s="37"/>
      <c r="J686" s="37"/>
      <c r="K686" s="21" t="str">
        <f t="shared" si="463"/>
        <v>Apprenant 674</v>
      </c>
      <c r="L686" s="22" t="str">
        <f t="shared" si="464"/>
        <v/>
      </c>
      <c r="M686" s="22" t="str">
        <f t="shared" si="465"/>
        <v/>
      </c>
      <c r="N686" s="22" t="str">
        <f t="shared" si="466"/>
        <v/>
      </c>
      <c r="O686" s="22" t="str">
        <f t="shared" si="467"/>
        <v/>
      </c>
      <c r="P686" s="21" t="str">
        <f t="shared" si="468"/>
        <v>Apprenant 674 ou 674'</v>
      </c>
      <c r="Q686" s="22" t="str">
        <f t="shared" si="469"/>
        <v/>
      </c>
      <c r="R686" s="22" t="str">
        <f t="shared" si="470"/>
        <v/>
      </c>
      <c r="S686" s="22" t="str">
        <f t="shared" si="471"/>
        <v/>
      </c>
      <c r="T686" s="22" t="str">
        <f t="shared" si="472"/>
        <v/>
      </c>
      <c r="V686" s="21" t="str">
        <f t="shared" si="473"/>
        <v>Apprenant 674</v>
      </c>
      <c r="W686" s="22" t="str">
        <f>IF(AND(OR('Choix pédagogiques'!$C$3=1,'Choix pédagogiques'!$C$3=2),$BM686=1),B686,IF(AND('Choix pédagogiques'!$C$3=3,$BO686=1),B686,""))</f>
        <v/>
      </c>
      <c r="X686" s="22" t="str">
        <f>IF(AND(OR('Choix pédagogiques'!$C$3=1,'Choix pédagogiques'!$C$3=2),$BM686=1),C686,IF(AND('Choix pédagogiques'!$C$3=3,$BO686=1),C686,""))</f>
        <v/>
      </c>
      <c r="Y686" s="22" t="str">
        <f>IF(AND(OR('Choix pédagogiques'!$C$3=1,'Choix pédagogiques'!$C$3=2),$BM686=1),D686,IF(AND('Choix pédagogiques'!$C$3=3,$BO686=1),D686,""))</f>
        <v/>
      </c>
      <c r="Z686" s="22" t="str">
        <f t="shared" si="474"/>
        <v/>
      </c>
      <c r="AA686" s="21" t="str">
        <f t="shared" si="475"/>
        <v>Apprenant 674 ou 674'</v>
      </c>
      <c r="AB686" s="22" t="str">
        <f>IF(AND(OR('Choix pédagogiques'!$C$3=1,'Choix pédagogiques'!$C$3=2),$BN686=1),G686,IF(AND('Choix pédagogiques'!$C$3=3,$BO686=1),G686,""))</f>
        <v/>
      </c>
      <c r="AC686" s="22" t="str">
        <f>IF(AND(OR('Choix pédagogiques'!$C$3=1,'Choix pédagogiques'!$C$3=2),$BN686=1),H686,IF(AND('Choix pédagogiques'!$C$3=3,$BO686=1),H686,""))</f>
        <v/>
      </c>
      <c r="AD686" s="22" t="str">
        <f>IF(AND(OR('Choix pédagogiques'!$C$3=1,'Choix pédagogiques'!$C$3=2),$BN686=1),I686,IF(AND('Choix pédagogiques'!$C$3=3,$BO686=1),I686,""))</f>
        <v/>
      </c>
      <c r="AE686" s="22" t="str">
        <f t="shared" si="476"/>
        <v/>
      </c>
      <c r="AF686" s="21" t="str">
        <f t="shared" si="477"/>
        <v>Apprenant 674</v>
      </c>
      <c r="AG686" s="22" t="str">
        <f t="shared" si="451"/>
        <v/>
      </c>
      <c r="AH686" s="22" t="str">
        <f t="shared" si="452"/>
        <v/>
      </c>
      <c r="AI686" s="22" t="str">
        <f t="shared" si="453"/>
        <v/>
      </c>
      <c r="AJ686" s="22" t="str">
        <f t="shared" si="478"/>
        <v/>
      </c>
      <c r="AK686" s="21" t="str">
        <f t="shared" si="479"/>
        <v>Apprenant 674 ou 674'</v>
      </c>
      <c r="AL686" s="22" t="str">
        <f t="shared" si="454"/>
        <v/>
      </c>
      <c r="AM686" s="22" t="str">
        <f t="shared" si="455"/>
        <v/>
      </c>
      <c r="AN686" s="22" t="str">
        <f t="shared" si="456"/>
        <v/>
      </c>
      <c r="AO686" s="22" t="str">
        <f t="shared" si="480"/>
        <v/>
      </c>
      <c r="AQ686" s="21" t="str">
        <f t="shared" si="481"/>
        <v>Apprenant 674</v>
      </c>
      <c r="AR686" s="49" t="str">
        <f>IF(AND('Choix pédagogiques'!$C$4&lt;&gt;"?",'Choix pédagogiques'!$C$5&lt;&gt;"?",W686&lt;&gt;""),(W686-'Choix pédagogiques'!$C$4)/('Choix pédagogiques'!$C$5-'Choix pédagogiques'!$C$4),"")</f>
        <v/>
      </c>
      <c r="AS686" s="49" t="str">
        <f>IF(AND('Choix pédagogiques'!$C$4&lt;&gt;"?",'Choix pédagogiques'!$C$5&lt;&gt;"?",X686&lt;&gt;""),(X686-'Choix pédagogiques'!$C$4)/('Choix pédagogiques'!$C$5-'Choix pédagogiques'!$C$4),"")</f>
        <v/>
      </c>
      <c r="AT686" s="49" t="str">
        <f>IF(AND('Choix pédagogiques'!$C$4&lt;&gt;"?",'Choix pédagogiques'!$C$5&lt;&gt;"?",Y686&lt;&gt;""),(Y686-'Choix pédagogiques'!$C$4)/('Choix pédagogiques'!$C$5-'Choix pédagogiques'!$C$4),"")</f>
        <v/>
      </c>
      <c r="AU686" s="22" t="str">
        <f t="shared" si="482"/>
        <v/>
      </c>
      <c r="AV686" s="21" t="str">
        <f t="shared" si="483"/>
        <v>Apprenant 674 ou 674'</v>
      </c>
      <c r="AW686" s="49" t="str">
        <f>IF(AND('Choix pédagogiques'!$C$4&lt;&gt;"?",'Choix pédagogiques'!$C$5&lt;&gt;"?",AB686&lt;&gt;""),(AB686-'Choix pédagogiques'!$C$4)/('Choix pédagogiques'!$C$5-'Choix pédagogiques'!$C$4),"")</f>
        <v/>
      </c>
      <c r="AX686" s="49" t="str">
        <f>IF(AND('Choix pédagogiques'!$C$4&lt;&gt;"?",'Choix pédagogiques'!$C$5&lt;&gt;"?",AC686&lt;&gt;""),(AC686-'Choix pédagogiques'!$C$4)/('Choix pédagogiques'!$C$5-'Choix pédagogiques'!$C$4),"")</f>
        <v/>
      </c>
      <c r="AY686" s="49" t="str">
        <f>IF(AND('Choix pédagogiques'!$C$4&lt;&gt;"?",'Choix pédagogiques'!$C$5&lt;&gt;"?",AD686&lt;&gt;""),(AD686-'Choix pédagogiques'!$C$4)/('Choix pédagogiques'!$C$5-'Choix pédagogiques'!$C$4),"")</f>
        <v/>
      </c>
      <c r="AZ686" s="22" t="str">
        <f t="shared" si="484"/>
        <v/>
      </c>
      <c r="BA686" s="21" t="str">
        <f t="shared" si="485"/>
        <v>Apprenant 674</v>
      </c>
      <c r="BB686" s="49" t="str">
        <f t="shared" si="457"/>
        <v/>
      </c>
      <c r="BC686" s="49" t="str">
        <f t="shared" si="458"/>
        <v/>
      </c>
      <c r="BD686" s="49" t="str">
        <f t="shared" si="459"/>
        <v/>
      </c>
      <c r="BE686" s="22" t="str">
        <f t="shared" si="486"/>
        <v/>
      </c>
      <c r="BF686" s="21" t="str">
        <f t="shared" si="487"/>
        <v>Apprenant 674 ou 674'</v>
      </c>
      <c r="BG686" s="49" t="str">
        <f t="shared" si="460"/>
        <v/>
      </c>
      <c r="BH686" s="49" t="str">
        <f t="shared" si="461"/>
        <v/>
      </c>
      <c r="BI686" s="49" t="str">
        <f t="shared" si="462"/>
        <v/>
      </c>
      <c r="BJ686" s="22" t="str">
        <f t="shared" si="488"/>
        <v/>
      </c>
      <c r="BL686" s="21"/>
      <c r="BM686" s="21" t="str">
        <f>IF(OR(COUNT(B686:D1685)=0,AND('Choix pédagogiques'!$C$3&lt;&gt;1,'Choix pédagogiques'!$C$3&lt;&gt;2)),"",IF(AND(OR('Choix pédagogiques'!$C$3=1,'Choix pédagogiques'!$C$3=2),$B686&lt;&gt;"",$C686&lt;&gt;"",$D686&lt;&gt;""),1,0))</f>
        <v/>
      </c>
      <c r="BN686" s="21" t="str">
        <f>IF(OR(COUNT(G686:I1685)=0,AND('Choix pédagogiques'!$C$3&lt;&gt;1,'Choix pédagogiques'!$C$3&lt;&gt;2)),"",IF(AND(OR('Choix pédagogiques'!$C$3=1,'Choix pédagogiques'!$C$3=2),AND($G686&lt;&gt;"",$H686&lt;&gt;"",$I686&lt;&gt;"")),1,0))</f>
        <v/>
      </c>
      <c r="BO686" s="21" t="str">
        <f>IF(OR(COUNT(B686:D1685)=0,COUNT(G686:I1685)=0,'Choix pédagogiques'!C$3&lt;&gt;3),"",IF(AND('Choix pédagogiques'!$C$3=3,$B686&lt;&gt;"",$C686&lt;&gt;"",$D686&lt;&gt;"",$G686&lt;&gt;"",$H686&lt;&gt;"",$I686&lt;&gt;""),1,0))</f>
        <v/>
      </c>
      <c r="BR686" s="21">
        <v>232</v>
      </c>
      <c r="BS686" s="21">
        <v>1993</v>
      </c>
      <c r="BT686"/>
    </row>
    <row r="687" spans="1:72" s="23" customFormat="1" ht="18" customHeight="1" x14ac:dyDescent="0.3">
      <c r="A687" s="35" t="s">
        <v>677</v>
      </c>
      <c r="B687" s="37"/>
      <c r="C687" s="37"/>
      <c r="D687" s="37"/>
      <c r="E687" s="37"/>
      <c r="F687" s="35" t="s">
        <v>1685</v>
      </c>
      <c r="G687" s="37"/>
      <c r="H687" s="37"/>
      <c r="I687" s="37"/>
      <c r="J687" s="37"/>
      <c r="K687" s="21" t="str">
        <f t="shared" si="463"/>
        <v>Apprenant 675</v>
      </c>
      <c r="L687" s="22" t="str">
        <f t="shared" si="464"/>
        <v/>
      </c>
      <c r="M687" s="22" t="str">
        <f t="shared" si="465"/>
        <v/>
      </c>
      <c r="N687" s="22" t="str">
        <f t="shared" si="466"/>
        <v/>
      </c>
      <c r="O687" s="22" t="str">
        <f t="shared" si="467"/>
        <v/>
      </c>
      <c r="P687" s="21" t="str">
        <f t="shared" si="468"/>
        <v>Apprenant 675 ou 675'</v>
      </c>
      <c r="Q687" s="22" t="str">
        <f t="shared" si="469"/>
        <v/>
      </c>
      <c r="R687" s="22" t="str">
        <f t="shared" si="470"/>
        <v/>
      </c>
      <c r="S687" s="22" t="str">
        <f t="shared" si="471"/>
        <v/>
      </c>
      <c r="T687" s="22" t="str">
        <f t="shared" si="472"/>
        <v/>
      </c>
      <c r="V687" s="21" t="str">
        <f t="shared" si="473"/>
        <v>Apprenant 675</v>
      </c>
      <c r="W687" s="22" t="str">
        <f>IF(AND(OR('Choix pédagogiques'!$C$3=1,'Choix pédagogiques'!$C$3=2),$BM687=1),B687,IF(AND('Choix pédagogiques'!$C$3=3,$BO687=1),B687,""))</f>
        <v/>
      </c>
      <c r="X687" s="22" t="str">
        <f>IF(AND(OR('Choix pédagogiques'!$C$3=1,'Choix pédagogiques'!$C$3=2),$BM687=1),C687,IF(AND('Choix pédagogiques'!$C$3=3,$BO687=1),C687,""))</f>
        <v/>
      </c>
      <c r="Y687" s="22" t="str">
        <f>IF(AND(OR('Choix pédagogiques'!$C$3=1,'Choix pédagogiques'!$C$3=2),$BM687=1),D687,IF(AND('Choix pédagogiques'!$C$3=3,$BO687=1),D687,""))</f>
        <v/>
      </c>
      <c r="Z687" s="22" t="str">
        <f t="shared" si="474"/>
        <v/>
      </c>
      <c r="AA687" s="21" t="str">
        <f t="shared" si="475"/>
        <v>Apprenant 675 ou 675'</v>
      </c>
      <c r="AB687" s="22" t="str">
        <f>IF(AND(OR('Choix pédagogiques'!$C$3=1,'Choix pédagogiques'!$C$3=2),$BN687=1),G687,IF(AND('Choix pédagogiques'!$C$3=3,$BO687=1),G687,""))</f>
        <v/>
      </c>
      <c r="AC687" s="22" t="str">
        <f>IF(AND(OR('Choix pédagogiques'!$C$3=1,'Choix pédagogiques'!$C$3=2),$BN687=1),H687,IF(AND('Choix pédagogiques'!$C$3=3,$BO687=1),H687,""))</f>
        <v/>
      </c>
      <c r="AD687" s="22" t="str">
        <f>IF(AND(OR('Choix pédagogiques'!$C$3=1,'Choix pédagogiques'!$C$3=2),$BN687=1),I687,IF(AND('Choix pédagogiques'!$C$3=3,$BO687=1),I687,""))</f>
        <v/>
      </c>
      <c r="AE687" s="22" t="str">
        <f t="shared" si="476"/>
        <v/>
      </c>
      <c r="AF687" s="21" t="str">
        <f t="shared" si="477"/>
        <v>Apprenant 675</v>
      </c>
      <c r="AG687" s="22" t="str">
        <f t="shared" si="451"/>
        <v/>
      </c>
      <c r="AH687" s="22" t="str">
        <f t="shared" si="452"/>
        <v/>
      </c>
      <c r="AI687" s="22" t="str">
        <f t="shared" si="453"/>
        <v/>
      </c>
      <c r="AJ687" s="22" t="str">
        <f t="shared" si="478"/>
        <v/>
      </c>
      <c r="AK687" s="21" t="str">
        <f t="shared" si="479"/>
        <v>Apprenant 675 ou 675'</v>
      </c>
      <c r="AL687" s="22" t="str">
        <f t="shared" si="454"/>
        <v/>
      </c>
      <c r="AM687" s="22" t="str">
        <f t="shared" si="455"/>
        <v/>
      </c>
      <c r="AN687" s="22" t="str">
        <f t="shared" si="456"/>
        <v/>
      </c>
      <c r="AO687" s="22" t="str">
        <f t="shared" si="480"/>
        <v/>
      </c>
      <c r="AQ687" s="21" t="str">
        <f t="shared" si="481"/>
        <v>Apprenant 675</v>
      </c>
      <c r="AR687" s="49" t="str">
        <f>IF(AND('Choix pédagogiques'!$C$4&lt;&gt;"?",'Choix pédagogiques'!$C$5&lt;&gt;"?",W687&lt;&gt;""),(W687-'Choix pédagogiques'!$C$4)/('Choix pédagogiques'!$C$5-'Choix pédagogiques'!$C$4),"")</f>
        <v/>
      </c>
      <c r="AS687" s="49" t="str">
        <f>IF(AND('Choix pédagogiques'!$C$4&lt;&gt;"?",'Choix pédagogiques'!$C$5&lt;&gt;"?",X687&lt;&gt;""),(X687-'Choix pédagogiques'!$C$4)/('Choix pédagogiques'!$C$5-'Choix pédagogiques'!$C$4),"")</f>
        <v/>
      </c>
      <c r="AT687" s="49" t="str">
        <f>IF(AND('Choix pédagogiques'!$C$4&lt;&gt;"?",'Choix pédagogiques'!$C$5&lt;&gt;"?",Y687&lt;&gt;""),(Y687-'Choix pédagogiques'!$C$4)/('Choix pédagogiques'!$C$5-'Choix pédagogiques'!$C$4),"")</f>
        <v/>
      </c>
      <c r="AU687" s="22" t="str">
        <f t="shared" si="482"/>
        <v/>
      </c>
      <c r="AV687" s="21" t="str">
        <f t="shared" si="483"/>
        <v>Apprenant 675 ou 675'</v>
      </c>
      <c r="AW687" s="49" t="str">
        <f>IF(AND('Choix pédagogiques'!$C$4&lt;&gt;"?",'Choix pédagogiques'!$C$5&lt;&gt;"?",AB687&lt;&gt;""),(AB687-'Choix pédagogiques'!$C$4)/('Choix pédagogiques'!$C$5-'Choix pédagogiques'!$C$4),"")</f>
        <v/>
      </c>
      <c r="AX687" s="49" t="str">
        <f>IF(AND('Choix pédagogiques'!$C$4&lt;&gt;"?",'Choix pédagogiques'!$C$5&lt;&gt;"?",AC687&lt;&gt;""),(AC687-'Choix pédagogiques'!$C$4)/('Choix pédagogiques'!$C$5-'Choix pédagogiques'!$C$4),"")</f>
        <v/>
      </c>
      <c r="AY687" s="49" t="str">
        <f>IF(AND('Choix pédagogiques'!$C$4&lt;&gt;"?",'Choix pédagogiques'!$C$5&lt;&gt;"?",AD687&lt;&gt;""),(AD687-'Choix pédagogiques'!$C$4)/('Choix pédagogiques'!$C$5-'Choix pédagogiques'!$C$4),"")</f>
        <v/>
      </c>
      <c r="AZ687" s="22" t="str">
        <f t="shared" si="484"/>
        <v/>
      </c>
      <c r="BA687" s="21" t="str">
        <f t="shared" si="485"/>
        <v>Apprenant 675</v>
      </c>
      <c r="BB687" s="49" t="str">
        <f t="shared" si="457"/>
        <v/>
      </c>
      <c r="BC687" s="49" t="str">
        <f t="shared" si="458"/>
        <v/>
      </c>
      <c r="BD687" s="49" t="str">
        <f t="shared" si="459"/>
        <v/>
      </c>
      <c r="BE687" s="22" t="str">
        <f t="shared" si="486"/>
        <v/>
      </c>
      <c r="BF687" s="21" t="str">
        <f t="shared" si="487"/>
        <v>Apprenant 675 ou 675'</v>
      </c>
      <c r="BG687" s="49" t="str">
        <f t="shared" si="460"/>
        <v/>
      </c>
      <c r="BH687" s="49" t="str">
        <f t="shared" si="461"/>
        <v/>
      </c>
      <c r="BI687" s="49" t="str">
        <f t="shared" si="462"/>
        <v/>
      </c>
      <c r="BJ687" s="22" t="str">
        <f t="shared" si="488"/>
        <v/>
      </c>
      <c r="BL687" s="21"/>
      <c r="BM687" s="21" t="str">
        <f>IF(OR(COUNT(B687:D1686)=0,AND('Choix pédagogiques'!$C$3&lt;&gt;1,'Choix pédagogiques'!$C$3&lt;&gt;2)),"",IF(AND(OR('Choix pédagogiques'!$C$3=1,'Choix pédagogiques'!$C$3=2),$B687&lt;&gt;"",$C687&lt;&gt;"",$D687&lt;&gt;""),1,0))</f>
        <v/>
      </c>
      <c r="BN687" s="21" t="str">
        <f>IF(OR(COUNT(G687:I1686)=0,AND('Choix pédagogiques'!$C$3&lt;&gt;1,'Choix pédagogiques'!$C$3&lt;&gt;2)),"",IF(AND(OR('Choix pédagogiques'!$C$3=1,'Choix pédagogiques'!$C$3=2),AND($G687&lt;&gt;"",$H687&lt;&gt;"",$I687&lt;&gt;"")),1,0))</f>
        <v/>
      </c>
      <c r="BO687" s="21" t="str">
        <f>IF(OR(COUNT(B687:D1686)=0,COUNT(G687:I1686)=0,'Choix pédagogiques'!C$3&lt;&gt;3),"",IF(AND('Choix pédagogiques'!$C$3=3,$B687&lt;&gt;"",$C687&lt;&gt;"",$D687&lt;&gt;"",$G687&lt;&gt;"",$H687&lt;&gt;"",$I687&lt;&gt;""),1,0))</f>
        <v/>
      </c>
      <c r="BR687" s="21">
        <v>122</v>
      </c>
      <c r="BS687" s="21">
        <v>1208</v>
      </c>
      <c r="BT687"/>
    </row>
    <row r="688" spans="1:72" s="23" customFormat="1" ht="18" customHeight="1" x14ac:dyDescent="0.3">
      <c r="A688" s="35" t="s">
        <v>678</v>
      </c>
      <c r="B688" s="37"/>
      <c r="C688" s="37"/>
      <c r="D688" s="37"/>
      <c r="E688" s="37"/>
      <c r="F688" s="35" t="s">
        <v>1686</v>
      </c>
      <c r="G688" s="37"/>
      <c r="H688" s="37"/>
      <c r="I688" s="37"/>
      <c r="J688" s="37"/>
      <c r="K688" s="21" t="str">
        <f t="shared" si="463"/>
        <v>Apprenant 676</v>
      </c>
      <c r="L688" s="22" t="str">
        <f t="shared" si="464"/>
        <v/>
      </c>
      <c r="M688" s="22" t="str">
        <f t="shared" si="465"/>
        <v/>
      </c>
      <c r="N688" s="22" t="str">
        <f t="shared" si="466"/>
        <v/>
      </c>
      <c r="O688" s="22" t="str">
        <f t="shared" si="467"/>
        <v/>
      </c>
      <c r="P688" s="21" t="str">
        <f t="shared" si="468"/>
        <v>Apprenant 676 ou 676'</v>
      </c>
      <c r="Q688" s="22" t="str">
        <f t="shared" si="469"/>
        <v/>
      </c>
      <c r="R688" s="22" t="str">
        <f t="shared" si="470"/>
        <v/>
      </c>
      <c r="S688" s="22" t="str">
        <f t="shared" si="471"/>
        <v/>
      </c>
      <c r="T688" s="22" t="str">
        <f t="shared" si="472"/>
        <v/>
      </c>
      <c r="V688" s="21" t="str">
        <f t="shared" si="473"/>
        <v>Apprenant 676</v>
      </c>
      <c r="W688" s="22" t="str">
        <f>IF(AND(OR('Choix pédagogiques'!$C$3=1,'Choix pédagogiques'!$C$3=2),$BM688=1),B688,IF(AND('Choix pédagogiques'!$C$3=3,$BO688=1),B688,""))</f>
        <v/>
      </c>
      <c r="X688" s="22" t="str">
        <f>IF(AND(OR('Choix pédagogiques'!$C$3=1,'Choix pédagogiques'!$C$3=2),$BM688=1),C688,IF(AND('Choix pédagogiques'!$C$3=3,$BO688=1),C688,""))</f>
        <v/>
      </c>
      <c r="Y688" s="22" t="str">
        <f>IF(AND(OR('Choix pédagogiques'!$C$3=1,'Choix pédagogiques'!$C$3=2),$BM688=1),D688,IF(AND('Choix pédagogiques'!$C$3=3,$BO688=1),D688,""))</f>
        <v/>
      </c>
      <c r="Z688" s="22" t="str">
        <f t="shared" si="474"/>
        <v/>
      </c>
      <c r="AA688" s="21" t="str">
        <f t="shared" si="475"/>
        <v>Apprenant 676 ou 676'</v>
      </c>
      <c r="AB688" s="22" t="str">
        <f>IF(AND(OR('Choix pédagogiques'!$C$3=1,'Choix pédagogiques'!$C$3=2),$BN688=1),G688,IF(AND('Choix pédagogiques'!$C$3=3,$BO688=1),G688,""))</f>
        <v/>
      </c>
      <c r="AC688" s="22" t="str">
        <f>IF(AND(OR('Choix pédagogiques'!$C$3=1,'Choix pédagogiques'!$C$3=2),$BN688=1),H688,IF(AND('Choix pédagogiques'!$C$3=3,$BO688=1),H688,""))</f>
        <v/>
      </c>
      <c r="AD688" s="22" t="str">
        <f>IF(AND(OR('Choix pédagogiques'!$C$3=1,'Choix pédagogiques'!$C$3=2),$BN688=1),I688,IF(AND('Choix pédagogiques'!$C$3=3,$BO688=1),I688,""))</f>
        <v/>
      </c>
      <c r="AE688" s="22" t="str">
        <f t="shared" si="476"/>
        <v/>
      </c>
      <c r="AF688" s="21" t="str">
        <f t="shared" si="477"/>
        <v>Apprenant 676</v>
      </c>
      <c r="AG688" s="22" t="str">
        <f t="shared" si="451"/>
        <v/>
      </c>
      <c r="AH688" s="22" t="str">
        <f t="shared" si="452"/>
        <v/>
      </c>
      <c r="AI688" s="22" t="str">
        <f t="shared" si="453"/>
        <v/>
      </c>
      <c r="AJ688" s="22" t="str">
        <f t="shared" si="478"/>
        <v/>
      </c>
      <c r="AK688" s="21" t="str">
        <f t="shared" si="479"/>
        <v>Apprenant 676 ou 676'</v>
      </c>
      <c r="AL688" s="22" t="str">
        <f t="shared" si="454"/>
        <v/>
      </c>
      <c r="AM688" s="22" t="str">
        <f t="shared" si="455"/>
        <v/>
      </c>
      <c r="AN688" s="22" t="str">
        <f t="shared" si="456"/>
        <v/>
      </c>
      <c r="AO688" s="22" t="str">
        <f t="shared" si="480"/>
        <v/>
      </c>
      <c r="AQ688" s="21" t="str">
        <f t="shared" si="481"/>
        <v>Apprenant 676</v>
      </c>
      <c r="AR688" s="49" t="str">
        <f>IF(AND('Choix pédagogiques'!$C$4&lt;&gt;"?",'Choix pédagogiques'!$C$5&lt;&gt;"?",W688&lt;&gt;""),(W688-'Choix pédagogiques'!$C$4)/('Choix pédagogiques'!$C$5-'Choix pédagogiques'!$C$4),"")</f>
        <v/>
      </c>
      <c r="AS688" s="49" t="str">
        <f>IF(AND('Choix pédagogiques'!$C$4&lt;&gt;"?",'Choix pédagogiques'!$C$5&lt;&gt;"?",X688&lt;&gt;""),(X688-'Choix pédagogiques'!$C$4)/('Choix pédagogiques'!$C$5-'Choix pédagogiques'!$C$4),"")</f>
        <v/>
      </c>
      <c r="AT688" s="49" t="str">
        <f>IF(AND('Choix pédagogiques'!$C$4&lt;&gt;"?",'Choix pédagogiques'!$C$5&lt;&gt;"?",Y688&lt;&gt;""),(Y688-'Choix pédagogiques'!$C$4)/('Choix pédagogiques'!$C$5-'Choix pédagogiques'!$C$4),"")</f>
        <v/>
      </c>
      <c r="AU688" s="22" t="str">
        <f t="shared" si="482"/>
        <v/>
      </c>
      <c r="AV688" s="21" t="str">
        <f t="shared" si="483"/>
        <v>Apprenant 676 ou 676'</v>
      </c>
      <c r="AW688" s="49" t="str">
        <f>IF(AND('Choix pédagogiques'!$C$4&lt;&gt;"?",'Choix pédagogiques'!$C$5&lt;&gt;"?",AB688&lt;&gt;""),(AB688-'Choix pédagogiques'!$C$4)/('Choix pédagogiques'!$C$5-'Choix pédagogiques'!$C$4),"")</f>
        <v/>
      </c>
      <c r="AX688" s="49" t="str">
        <f>IF(AND('Choix pédagogiques'!$C$4&lt;&gt;"?",'Choix pédagogiques'!$C$5&lt;&gt;"?",AC688&lt;&gt;""),(AC688-'Choix pédagogiques'!$C$4)/('Choix pédagogiques'!$C$5-'Choix pédagogiques'!$C$4),"")</f>
        <v/>
      </c>
      <c r="AY688" s="49" t="str">
        <f>IF(AND('Choix pédagogiques'!$C$4&lt;&gt;"?",'Choix pédagogiques'!$C$5&lt;&gt;"?",AD688&lt;&gt;""),(AD688-'Choix pédagogiques'!$C$4)/('Choix pédagogiques'!$C$5-'Choix pédagogiques'!$C$4),"")</f>
        <v/>
      </c>
      <c r="AZ688" s="22" t="str">
        <f t="shared" si="484"/>
        <v/>
      </c>
      <c r="BA688" s="21" t="str">
        <f t="shared" si="485"/>
        <v>Apprenant 676</v>
      </c>
      <c r="BB688" s="49" t="str">
        <f t="shared" si="457"/>
        <v/>
      </c>
      <c r="BC688" s="49" t="str">
        <f t="shared" si="458"/>
        <v/>
      </c>
      <c r="BD688" s="49" t="str">
        <f t="shared" si="459"/>
        <v/>
      </c>
      <c r="BE688" s="22" t="str">
        <f t="shared" si="486"/>
        <v/>
      </c>
      <c r="BF688" s="21" t="str">
        <f t="shared" si="487"/>
        <v>Apprenant 676 ou 676'</v>
      </c>
      <c r="BG688" s="49" t="str">
        <f t="shared" si="460"/>
        <v/>
      </c>
      <c r="BH688" s="49" t="str">
        <f t="shared" si="461"/>
        <v/>
      </c>
      <c r="BI688" s="49" t="str">
        <f t="shared" si="462"/>
        <v/>
      </c>
      <c r="BJ688" s="22" t="str">
        <f t="shared" si="488"/>
        <v/>
      </c>
      <c r="BL688" s="21"/>
      <c r="BM688" s="21" t="str">
        <f>IF(OR(COUNT(B688:D1687)=0,AND('Choix pédagogiques'!$C$3&lt;&gt;1,'Choix pédagogiques'!$C$3&lt;&gt;2)),"",IF(AND(OR('Choix pédagogiques'!$C$3=1,'Choix pédagogiques'!$C$3=2),$B688&lt;&gt;"",$C688&lt;&gt;"",$D688&lt;&gt;""),1,0))</f>
        <v/>
      </c>
      <c r="BN688" s="21" t="str">
        <f>IF(OR(COUNT(G688:I1687)=0,AND('Choix pédagogiques'!$C$3&lt;&gt;1,'Choix pédagogiques'!$C$3&lt;&gt;2)),"",IF(AND(OR('Choix pédagogiques'!$C$3=1,'Choix pédagogiques'!$C$3=2),AND($G688&lt;&gt;"",$H688&lt;&gt;"",$I688&lt;&gt;"")),1,0))</f>
        <v/>
      </c>
      <c r="BO688" s="21" t="str">
        <f>IF(OR(COUNT(B688:D1687)=0,COUNT(G688:I1687)=0,'Choix pédagogiques'!C$3&lt;&gt;3),"",IF(AND('Choix pédagogiques'!$C$3=3,$B688&lt;&gt;"",$C688&lt;&gt;"",$D688&lt;&gt;"",$G688&lt;&gt;"",$H688&lt;&gt;"",$I688&lt;&gt;""),1,0))</f>
        <v/>
      </c>
      <c r="BR688" s="21">
        <v>708</v>
      </c>
      <c r="BS688" s="21">
        <v>1771</v>
      </c>
      <c r="BT688"/>
    </row>
    <row r="689" spans="1:72" s="23" customFormat="1" ht="18" customHeight="1" x14ac:dyDescent="0.3">
      <c r="A689" s="35" t="s">
        <v>679</v>
      </c>
      <c r="B689" s="37"/>
      <c r="C689" s="37"/>
      <c r="D689" s="37"/>
      <c r="E689" s="37"/>
      <c r="F689" s="35" t="s">
        <v>1687</v>
      </c>
      <c r="G689" s="37"/>
      <c r="H689" s="37"/>
      <c r="I689" s="37"/>
      <c r="J689" s="37"/>
      <c r="K689" s="21" t="str">
        <f t="shared" si="463"/>
        <v>Apprenant 677</v>
      </c>
      <c r="L689" s="22" t="str">
        <f t="shared" si="464"/>
        <v/>
      </c>
      <c r="M689" s="22" t="str">
        <f t="shared" si="465"/>
        <v/>
      </c>
      <c r="N689" s="22" t="str">
        <f t="shared" si="466"/>
        <v/>
      </c>
      <c r="O689" s="22" t="str">
        <f t="shared" si="467"/>
        <v/>
      </c>
      <c r="P689" s="21" t="str">
        <f t="shared" si="468"/>
        <v>Apprenant 677 ou 677'</v>
      </c>
      <c r="Q689" s="22" t="str">
        <f t="shared" si="469"/>
        <v/>
      </c>
      <c r="R689" s="22" t="str">
        <f t="shared" si="470"/>
        <v/>
      </c>
      <c r="S689" s="22" t="str">
        <f t="shared" si="471"/>
        <v/>
      </c>
      <c r="T689" s="22" t="str">
        <f t="shared" si="472"/>
        <v/>
      </c>
      <c r="V689" s="21" t="str">
        <f t="shared" si="473"/>
        <v>Apprenant 677</v>
      </c>
      <c r="W689" s="22" t="str">
        <f>IF(AND(OR('Choix pédagogiques'!$C$3=1,'Choix pédagogiques'!$C$3=2),$BM689=1),B689,IF(AND('Choix pédagogiques'!$C$3=3,$BO689=1),B689,""))</f>
        <v/>
      </c>
      <c r="X689" s="22" t="str">
        <f>IF(AND(OR('Choix pédagogiques'!$C$3=1,'Choix pédagogiques'!$C$3=2),$BM689=1),C689,IF(AND('Choix pédagogiques'!$C$3=3,$BO689=1),C689,""))</f>
        <v/>
      </c>
      <c r="Y689" s="22" t="str">
        <f>IF(AND(OR('Choix pédagogiques'!$C$3=1,'Choix pédagogiques'!$C$3=2),$BM689=1),D689,IF(AND('Choix pédagogiques'!$C$3=3,$BO689=1),D689,""))</f>
        <v/>
      </c>
      <c r="Z689" s="22" t="str">
        <f t="shared" si="474"/>
        <v/>
      </c>
      <c r="AA689" s="21" t="str">
        <f t="shared" si="475"/>
        <v>Apprenant 677 ou 677'</v>
      </c>
      <c r="AB689" s="22" t="str">
        <f>IF(AND(OR('Choix pédagogiques'!$C$3=1,'Choix pédagogiques'!$C$3=2),$BN689=1),G689,IF(AND('Choix pédagogiques'!$C$3=3,$BO689=1),G689,""))</f>
        <v/>
      </c>
      <c r="AC689" s="22" t="str">
        <f>IF(AND(OR('Choix pédagogiques'!$C$3=1,'Choix pédagogiques'!$C$3=2),$BN689=1),H689,IF(AND('Choix pédagogiques'!$C$3=3,$BO689=1),H689,""))</f>
        <v/>
      </c>
      <c r="AD689" s="22" t="str">
        <f>IF(AND(OR('Choix pédagogiques'!$C$3=1,'Choix pédagogiques'!$C$3=2),$BN689=1),I689,IF(AND('Choix pédagogiques'!$C$3=3,$BO689=1),I689,""))</f>
        <v/>
      </c>
      <c r="AE689" s="22" t="str">
        <f t="shared" si="476"/>
        <v/>
      </c>
      <c r="AF689" s="21" t="str">
        <f t="shared" si="477"/>
        <v>Apprenant 677</v>
      </c>
      <c r="AG689" s="22" t="str">
        <f t="shared" si="451"/>
        <v/>
      </c>
      <c r="AH689" s="22" t="str">
        <f t="shared" si="452"/>
        <v/>
      </c>
      <c r="AI689" s="22" t="str">
        <f t="shared" si="453"/>
        <v/>
      </c>
      <c r="AJ689" s="22" t="str">
        <f t="shared" si="478"/>
        <v/>
      </c>
      <c r="AK689" s="21" t="str">
        <f t="shared" si="479"/>
        <v>Apprenant 677 ou 677'</v>
      </c>
      <c r="AL689" s="22" t="str">
        <f t="shared" si="454"/>
        <v/>
      </c>
      <c r="AM689" s="22" t="str">
        <f t="shared" si="455"/>
        <v/>
      </c>
      <c r="AN689" s="22" t="str">
        <f t="shared" si="456"/>
        <v/>
      </c>
      <c r="AO689" s="22" t="str">
        <f t="shared" si="480"/>
        <v/>
      </c>
      <c r="AQ689" s="21" t="str">
        <f t="shared" si="481"/>
        <v>Apprenant 677</v>
      </c>
      <c r="AR689" s="49" t="str">
        <f>IF(AND('Choix pédagogiques'!$C$4&lt;&gt;"?",'Choix pédagogiques'!$C$5&lt;&gt;"?",W689&lt;&gt;""),(W689-'Choix pédagogiques'!$C$4)/('Choix pédagogiques'!$C$5-'Choix pédagogiques'!$C$4),"")</f>
        <v/>
      </c>
      <c r="AS689" s="49" t="str">
        <f>IF(AND('Choix pédagogiques'!$C$4&lt;&gt;"?",'Choix pédagogiques'!$C$5&lt;&gt;"?",X689&lt;&gt;""),(X689-'Choix pédagogiques'!$C$4)/('Choix pédagogiques'!$C$5-'Choix pédagogiques'!$C$4),"")</f>
        <v/>
      </c>
      <c r="AT689" s="49" t="str">
        <f>IF(AND('Choix pédagogiques'!$C$4&lt;&gt;"?",'Choix pédagogiques'!$C$5&lt;&gt;"?",Y689&lt;&gt;""),(Y689-'Choix pédagogiques'!$C$4)/('Choix pédagogiques'!$C$5-'Choix pédagogiques'!$C$4),"")</f>
        <v/>
      </c>
      <c r="AU689" s="22" t="str">
        <f t="shared" si="482"/>
        <v/>
      </c>
      <c r="AV689" s="21" t="str">
        <f t="shared" si="483"/>
        <v>Apprenant 677 ou 677'</v>
      </c>
      <c r="AW689" s="49" t="str">
        <f>IF(AND('Choix pédagogiques'!$C$4&lt;&gt;"?",'Choix pédagogiques'!$C$5&lt;&gt;"?",AB689&lt;&gt;""),(AB689-'Choix pédagogiques'!$C$4)/('Choix pédagogiques'!$C$5-'Choix pédagogiques'!$C$4),"")</f>
        <v/>
      </c>
      <c r="AX689" s="49" t="str">
        <f>IF(AND('Choix pédagogiques'!$C$4&lt;&gt;"?",'Choix pédagogiques'!$C$5&lt;&gt;"?",AC689&lt;&gt;""),(AC689-'Choix pédagogiques'!$C$4)/('Choix pédagogiques'!$C$5-'Choix pédagogiques'!$C$4),"")</f>
        <v/>
      </c>
      <c r="AY689" s="49" t="str">
        <f>IF(AND('Choix pédagogiques'!$C$4&lt;&gt;"?",'Choix pédagogiques'!$C$5&lt;&gt;"?",AD689&lt;&gt;""),(AD689-'Choix pédagogiques'!$C$4)/('Choix pédagogiques'!$C$5-'Choix pédagogiques'!$C$4),"")</f>
        <v/>
      </c>
      <c r="AZ689" s="22" t="str">
        <f t="shared" si="484"/>
        <v/>
      </c>
      <c r="BA689" s="21" t="str">
        <f t="shared" si="485"/>
        <v>Apprenant 677</v>
      </c>
      <c r="BB689" s="49" t="str">
        <f t="shared" si="457"/>
        <v/>
      </c>
      <c r="BC689" s="49" t="str">
        <f t="shared" si="458"/>
        <v/>
      </c>
      <c r="BD689" s="49" t="str">
        <f t="shared" si="459"/>
        <v/>
      </c>
      <c r="BE689" s="22" t="str">
        <f t="shared" si="486"/>
        <v/>
      </c>
      <c r="BF689" s="21" t="str">
        <f t="shared" si="487"/>
        <v>Apprenant 677 ou 677'</v>
      </c>
      <c r="BG689" s="49" t="str">
        <f t="shared" si="460"/>
        <v/>
      </c>
      <c r="BH689" s="49" t="str">
        <f t="shared" si="461"/>
        <v/>
      </c>
      <c r="BI689" s="49" t="str">
        <f t="shared" si="462"/>
        <v/>
      </c>
      <c r="BJ689" s="22" t="str">
        <f t="shared" si="488"/>
        <v/>
      </c>
      <c r="BL689" s="21"/>
      <c r="BM689" s="21" t="str">
        <f>IF(OR(COUNT(B689:D1688)=0,AND('Choix pédagogiques'!$C$3&lt;&gt;1,'Choix pédagogiques'!$C$3&lt;&gt;2)),"",IF(AND(OR('Choix pédagogiques'!$C$3=1,'Choix pédagogiques'!$C$3=2),$B689&lt;&gt;"",$C689&lt;&gt;"",$D689&lt;&gt;""),1,0))</f>
        <v/>
      </c>
      <c r="BN689" s="21" t="str">
        <f>IF(OR(COUNT(G689:I1688)=0,AND('Choix pédagogiques'!$C$3&lt;&gt;1,'Choix pédagogiques'!$C$3&lt;&gt;2)),"",IF(AND(OR('Choix pédagogiques'!$C$3=1,'Choix pédagogiques'!$C$3=2),AND($G689&lt;&gt;"",$H689&lt;&gt;"",$I689&lt;&gt;"")),1,0))</f>
        <v/>
      </c>
      <c r="BO689" s="21" t="str">
        <f>IF(OR(COUNT(B689:D1688)=0,COUNT(G689:I1688)=0,'Choix pédagogiques'!C$3&lt;&gt;3),"",IF(AND('Choix pédagogiques'!$C$3=3,$B689&lt;&gt;"",$C689&lt;&gt;"",$D689&lt;&gt;"",$G689&lt;&gt;"",$H689&lt;&gt;"",$I689&lt;&gt;""),1,0))</f>
        <v/>
      </c>
      <c r="BR689" s="21">
        <v>4</v>
      </c>
      <c r="BS689" s="21">
        <v>1242</v>
      </c>
      <c r="BT689"/>
    </row>
    <row r="690" spans="1:72" s="23" customFormat="1" ht="18" customHeight="1" x14ac:dyDescent="0.3">
      <c r="A690" s="35" t="s">
        <v>680</v>
      </c>
      <c r="B690" s="37"/>
      <c r="C690" s="37"/>
      <c r="D690" s="37"/>
      <c r="E690" s="37"/>
      <c r="F690" s="35" t="s">
        <v>1688</v>
      </c>
      <c r="G690" s="37"/>
      <c r="H690" s="37"/>
      <c r="I690" s="37"/>
      <c r="J690" s="37"/>
      <c r="K690" s="21" t="str">
        <f t="shared" si="463"/>
        <v>Apprenant 678</v>
      </c>
      <c r="L690" s="22" t="str">
        <f t="shared" si="464"/>
        <v/>
      </c>
      <c r="M690" s="22" t="str">
        <f t="shared" si="465"/>
        <v/>
      </c>
      <c r="N690" s="22" t="str">
        <f t="shared" si="466"/>
        <v/>
      </c>
      <c r="O690" s="22" t="str">
        <f t="shared" si="467"/>
        <v/>
      </c>
      <c r="P690" s="21" t="str">
        <f t="shared" si="468"/>
        <v>Apprenant 678 ou 678'</v>
      </c>
      <c r="Q690" s="22" t="str">
        <f t="shared" si="469"/>
        <v/>
      </c>
      <c r="R690" s="22" t="str">
        <f t="shared" si="470"/>
        <v/>
      </c>
      <c r="S690" s="22" t="str">
        <f t="shared" si="471"/>
        <v/>
      </c>
      <c r="T690" s="22" t="str">
        <f t="shared" si="472"/>
        <v/>
      </c>
      <c r="V690" s="21" t="str">
        <f t="shared" si="473"/>
        <v>Apprenant 678</v>
      </c>
      <c r="W690" s="22" t="str">
        <f>IF(AND(OR('Choix pédagogiques'!$C$3=1,'Choix pédagogiques'!$C$3=2),$BM690=1),B690,IF(AND('Choix pédagogiques'!$C$3=3,$BO690=1),B690,""))</f>
        <v/>
      </c>
      <c r="X690" s="22" t="str">
        <f>IF(AND(OR('Choix pédagogiques'!$C$3=1,'Choix pédagogiques'!$C$3=2),$BM690=1),C690,IF(AND('Choix pédagogiques'!$C$3=3,$BO690=1),C690,""))</f>
        <v/>
      </c>
      <c r="Y690" s="22" t="str">
        <f>IF(AND(OR('Choix pédagogiques'!$C$3=1,'Choix pédagogiques'!$C$3=2),$BM690=1),D690,IF(AND('Choix pédagogiques'!$C$3=3,$BO690=1),D690,""))</f>
        <v/>
      </c>
      <c r="Z690" s="22" t="str">
        <f t="shared" si="474"/>
        <v/>
      </c>
      <c r="AA690" s="21" t="str">
        <f t="shared" si="475"/>
        <v>Apprenant 678 ou 678'</v>
      </c>
      <c r="AB690" s="22" t="str">
        <f>IF(AND(OR('Choix pédagogiques'!$C$3=1,'Choix pédagogiques'!$C$3=2),$BN690=1),G690,IF(AND('Choix pédagogiques'!$C$3=3,$BO690=1),G690,""))</f>
        <v/>
      </c>
      <c r="AC690" s="22" t="str">
        <f>IF(AND(OR('Choix pédagogiques'!$C$3=1,'Choix pédagogiques'!$C$3=2),$BN690=1),H690,IF(AND('Choix pédagogiques'!$C$3=3,$BO690=1),H690,""))</f>
        <v/>
      </c>
      <c r="AD690" s="22" t="str">
        <f>IF(AND(OR('Choix pédagogiques'!$C$3=1,'Choix pédagogiques'!$C$3=2),$BN690=1),I690,IF(AND('Choix pédagogiques'!$C$3=3,$BO690=1),I690,""))</f>
        <v/>
      </c>
      <c r="AE690" s="22" t="str">
        <f t="shared" si="476"/>
        <v/>
      </c>
      <c r="AF690" s="21" t="str">
        <f t="shared" si="477"/>
        <v>Apprenant 678</v>
      </c>
      <c r="AG690" s="22" t="str">
        <f t="shared" si="451"/>
        <v/>
      </c>
      <c r="AH690" s="22" t="str">
        <f t="shared" si="452"/>
        <v/>
      </c>
      <c r="AI690" s="22" t="str">
        <f t="shared" si="453"/>
        <v/>
      </c>
      <c r="AJ690" s="22" t="str">
        <f t="shared" si="478"/>
        <v/>
      </c>
      <c r="AK690" s="21" t="str">
        <f t="shared" si="479"/>
        <v>Apprenant 678 ou 678'</v>
      </c>
      <c r="AL690" s="22" t="str">
        <f t="shared" si="454"/>
        <v/>
      </c>
      <c r="AM690" s="22" t="str">
        <f t="shared" si="455"/>
        <v/>
      </c>
      <c r="AN690" s="22" t="str">
        <f t="shared" si="456"/>
        <v/>
      </c>
      <c r="AO690" s="22" t="str">
        <f t="shared" si="480"/>
        <v/>
      </c>
      <c r="AQ690" s="21" t="str">
        <f t="shared" si="481"/>
        <v>Apprenant 678</v>
      </c>
      <c r="AR690" s="49" t="str">
        <f>IF(AND('Choix pédagogiques'!$C$4&lt;&gt;"?",'Choix pédagogiques'!$C$5&lt;&gt;"?",W690&lt;&gt;""),(W690-'Choix pédagogiques'!$C$4)/('Choix pédagogiques'!$C$5-'Choix pédagogiques'!$C$4),"")</f>
        <v/>
      </c>
      <c r="AS690" s="49" t="str">
        <f>IF(AND('Choix pédagogiques'!$C$4&lt;&gt;"?",'Choix pédagogiques'!$C$5&lt;&gt;"?",X690&lt;&gt;""),(X690-'Choix pédagogiques'!$C$4)/('Choix pédagogiques'!$C$5-'Choix pédagogiques'!$C$4),"")</f>
        <v/>
      </c>
      <c r="AT690" s="49" t="str">
        <f>IF(AND('Choix pédagogiques'!$C$4&lt;&gt;"?",'Choix pédagogiques'!$C$5&lt;&gt;"?",Y690&lt;&gt;""),(Y690-'Choix pédagogiques'!$C$4)/('Choix pédagogiques'!$C$5-'Choix pédagogiques'!$C$4),"")</f>
        <v/>
      </c>
      <c r="AU690" s="22" t="str">
        <f t="shared" si="482"/>
        <v/>
      </c>
      <c r="AV690" s="21" t="str">
        <f t="shared" si="483"/>
        <v>Apprenant 678 ou 678'</v>
      </c>
      <c r="AW690" s="49" t="str">
        <f>IF(AND('Choix pédagogiques'!$C$4&lt;&gt;"?",'Choix pédagogiques'!$C$5&lt;&gt;"?",AB690&lt;&gt;""),(AB690-'Choix pédagogiques'!$C$4)/('Choix pédagogiques'!$C$5-'Choix pédagogiques'!$C$4),"")</f>
        <v/>
      </c>
      <c r="AX690" s="49" t="str">
        <f>IF(AND('Choix pédagogiques'!$C$4&lt;&gt;"?",'Choix pédagogiques'!$C$5&lt;&gt;"?",AC690&lt;&gt;""),(AC690-'Choix pédagogiques'!$C$4)/('Choix pédagogiques'!$C$5-'Choix pédagogiques'!$C$4),"")</f>
        <v/>
      </c>
      <c r="AY690" s="49" t="str">
        <f>IF(AND('Choix pédagogiques'!$C$4&lt;&gt;"?",'Choix pédagogiques'!$C$5&lt;&gt;"?",AD690&lt;&gt;""),(AD690-'Choix pédagogiques'!$C$4)/('Choix pédagogiques'!$C$5-'Choix pédagogiques'!$C$4),"")</f>
        <v/>
      </c>
      <c r="AZ690" s="22" t="str">
        <f t="shared" si="484"/>
        <v/>
      </c>
      <c r="BA690" s="21" t="str">
        <f t="shared" si="485"/>
        <v>Apprenant 678</v>
      </c>
      <c r="BB690" s="49" t="str">
        <f t="shared" si="457"/>
        <v/>
      </c>
      <c r="BC690" s="49" t="str">
        <f t="shared" si="458"/>
        <v/>
      </c>
      <c r="BD690" s="49" t="str">
        <f t="shared" si="459"/>
        <v/>
      </c>
      <c r="BE690" s="22" t="str">
        <f t="shared" si="486"/>
        <v/>
      </c>
      <c r="BF690" s="21" t="str">
        <f t="shared" si="487"/>
        <v>Apprenant 678 ou 678'</v>
      </c>
      <c r="BG690" s="49" t="str">
        <f t="shared" si="460"/>
        <v/>
      </c>
      <c r="BH690" s="49" t="str">
        <f t="shared" si="461"/>
        <v/>
      </c>
      <c r="BI690" s="49" t="str">
        <f t="shared" si="462"/>
        <v/>
      </c>
      <c r="BJ690" s="22" t="str">
        <f t="shared" si="488"/>
        <v/>
      </c>
      <c r="BL690" s="21"/>
      <c r="BM690" s="21" t="str">
        <f>IF(OR(COUNT(B690:D1689)=0,AND('Choix pédagogiques'!$C$3&lt;&gt;1,'Choix pédagogiques'!$C$3&lt;&gt;2)),"",IF(AND(OR('Choix pédagogiques'!$C$3=1,'Choix pédagogiques'!$C$3=2),$B690&lt;&gt;"",$C690&lt;&gt;"",$D690&lt;&gt;""),1,0))</f>
        <v/>
      </c>
      <c r="BN690" s="21" t="str">
        <f>IF(OR(COUNT(G690:I1689)=0,AND('Choix pédagogiques'!$C$3&lt;&gt;1,'Choix pédagogiques'!$C$3&lt;&gt;2)),"",IF(AND(OR('Choix pédagogiques'!$C$3=1,'Choix pédagogiques'!$C$3=2),AND($G690&lt;&gt;"",$H690&lt;&gt;"",$I690&lt;&gt;"")),1,0))</f>
        <v/>
      </c>
      <c r="BO690" s="21" t="str">
        <f>IF(OR(COUNT(B690:D1689)=0,COUNT(G690:I1689)=0,'Choix pédagogiques'!C$3&lt;&gt;3),"",IF(AND('Choix pédagogiques'!$C$3=3,$B690&lt;&gt;"",$C690&lt;&gt;"",$D690&lt;&gt;"",$G690&lt;&gt;"",$H690&lt;&gt;"",$I690&lt;&gt;""),1,0))</f>
        <v/>
      </c>
      <c r="BR690" s="21">
        <v>354</v>
      </c>
      <c r="BS690" s="21">
        <v>1148</v>
      </c>
      <c r="BT690"/>
    </row>
    <row r="691" spans="1:72" s="23" customFormat="1" ht="18" customHeight="1" x14ac:dyDescent="0.3">
      <c r="A691" s="35" t="s">
        <v>681</v>
      </c>
      <c r="B691" s="37"/>
      <c r="C691" s="37"/>
      <c r="D691" s="37"/>
      <c r="E691" s="37"/>
      <c r="F691" s="35" t="s">
        <v>1689</v>
      </c>
      <c r="G691" s="37"/>
      <c r="H691" s="37"/>
      <c r="I691" s="37"/>
      <c r="J691" s="37"/>
      <c r="K691" s="21" t="str">
        <f t="shared" si="463"/>
        <v>Apprenant 679</v>
      </c>
      <c r="L691" s="22" t="str">
        <f t="shared" si="464"/>
        <v/>
      </c>
      <c r="M691" s="22" t="str">
        <f t="shared" si="465"/>
        <v/>
      </c>
      <c r="N691" s="22" t="str">
        <f t="shared" si="466"/>
        <v/>
      </c>
      <c r="O691" s="22" t="str">
        <f t="shared" si="467"/>
        <v/>
      </c>
      <c r="P691" s="21" t="str">
        <f t="shared" si="468"/>
        <v>Apprenant 679 ou 679'</v>
      </c>
      <c r="Q691" s="22" t="str">
        <f t="shared" si="469"/>
        <v/>
      </c>
      <c r="R691" s="22" t="str">
        <f t="shared" si="470"/>
        <v/>
      </c>
      <c r="S691" s="22" t="str">
        <f t="shared" si="471"/>
        <v/>
      </c>
      <c r="T691" s="22" t="str">
        <f t="shared" si="472"/>
        <v/>
      </c>
      <c r="V691" s="21" t="str">
        <f t="shared" si="473"/>
        <v>Apprenant 679</v>
      </c>
      <c r="W691" s="22" t="str">
        <f>IF(AND(OR('Choix pédagogiques'!$C$3=1,'Choix pédagogiques'!$C$3=2),$BM691=1),B691,IF(AND('Choix pédagogiques'!$C$3=3,$BO691=1),B691,""))</f>
        <v/>
      </c>
      <c r="X691" s="22" t="str">
        <f>IF(AND(OR('Choix pédagogiques'!$C$3=1,'Choix pédagogiques'!$C$3=2),$BM691=1),C691,IF(AND('Choix pédagogiques'!$C$3=3,$BO691=1),C691,""))</f>
        <v/>
      </c>
      <c r="Y691" s="22" t="str">
        <f>IF(AND(OR('Choix pédagogiques'!$C$3=1,'Choix pédagogiques'!$C$3=2),$BM691=1),D691,IF(AND('Choix pédagogiques'!$C$3=3,$BO691=1),D691,""))</f>
        <v/>
      </c>
      <c r="Z691" s="22" t="str">
        <f t="shared" si="474"/>
        <v/>
      </c>
      <c r="AA691" s="21" t="str">
        <f t="shared" si="475"/>
        <v>Apprenant 679 ou 679'</v>
      </c>
      <c r="AB691" s="22" t="str">
        <f>IF(AND(OR('Choix pédagogiques'!$C$3=1,'Choix pédagogiques'!$C$3=2),$BN691=1),G691,IF(AND('Choix pédagogiques'!$C$3=3,$BO691=1),G691,""))</f>
        <v/>
      </c>
      <c r="AC691" s="22" t="str">
        <f>IF(AND(OR('Choix pédagogiques'!$C$3=1,'Choix pédagogiques'!$C$3=2),$BN691=1),H691,IF(AND('Choix pédagogiques'!$C$3=3,$BO691=1),H691,""))</f>
        <v/>
      </c>
      <c r="AD691" s="22" t="str">
        <f>IF(AND(OR('Choix pédagogiques'!$C$3=1,'Choix pédagogiques'!$C$3=2),$BN691=1),I691,IF(AND('Choix pédagogiques'!$C$3=3,$BO691=1),I691,""))</f>
        <v/>
      </c>
      <c r="AE691" s="22" t="str">
        <f t="shared" si="476"/>
        <v/>
      </c>
      <c r="AF691" s="21" t="str">
        <f t="shared" si="477"/>
        <v>Apprenant 679</v>
      </c>
      <c r="AG691" s="22" t="str">
        <f t="shared" si="451"/>
        <v/>
      </c>
      <c r="AH691" s="22" t="str">
        <f t="shared" si="452"/>
        <v/>
      </c>
      <c r="AI691" s="22" t="str">
        <f t="shared" si="453"/>
        <v/>
      </c>
      <c r="AJ691" s="22" t="str">
        <f t="shared" si="478"/>
        <v/>
      </c>
      <c r="AK691" s="21" t="str">
        <f t="shared" si="479"/>
        <v>Apprenant 679 ou 679'</v>
      </c>
      <c r="AL691" s="22" t="str">
        <f t="shared" si="454"/>
        <v/>
      </c>
      <c r="AM691" s="22" t="str">
        <f t="shared" si="455"/>
        <v/>
      </c>
      <c r="AN691" s="22" t="str">
        <f t="shared" si="456"/>
        <v/>
      </c>
      <c r="AO691" s="22" t="str">
        <f t="shared" si="480"/>
        <v/>
      </c>
      <c r="AQ691" s="21" t="str">
        <f t="shared" si="481"/>
        <v>Apprenant 679</v>
      </c>
      <c r="AR691" s="49" t="str">
        <f>IF(AND('Choix pédagogiques'!$C$4&lt;&gt;"?",'Choix pédagogiques'!$C$5&lt;&gt;"?",W691&lt;&gt;""),(W691-'Choix pédagogiques'!$C$4)/('Choix pédagogiques'!$C$5-'Choix pédagogiques'!$C$4),"")</f>
        <v/>
      </c>
      <c r="AS691" s="49" t="str">
        <f>IF(AND('Choix pédagogiques'!$C$4&lt;&gt;"?",'Choix pédagogiques'!$C$5&lt;&gt;"?",X691&lt;&gt;""),(X691-'Choix pédagogiques'!$C$4)/('Choix pédagogiques'!$C$5-'Choix pédagogiques'!$C$4),"")</f>
        <v/>
      </c>
      <c r="AT691" s="49" t="str">
        <f>IF(AND('Choix pédagogiques'!$C$4&lt;&gt;"?",'Choix pédagogiques'!$C$5&lt;&gt;"?",Y691&lt;&gt;""),(Y691-'Choix pédagogiques'!$C$4)/('Choix pédagogiques'!$C$5-'Choix pédagogiques'!$C$4),"")</f>
        <v/>
      </c>
      <c r="AU691" s="22" t="str">
        <f t="shared" si="482"/>
        <v/>
      </c>
      <c r="AV691" s="21" t="str">
        <f t="shared" si="483"/>
        <v>Apprenant 679 ou 679'</v>
      </c>
      <c r="AW691" s="49" t="str">
        <f>IF(AND('Choix pédagogiques'!$C$4&lt;&gt;"?",'Choix pédagogiques'!$C$5&lt;&gt;"?",AB691&lt;&gt;""),(AB691-'Choix pédagogiques'!$C$4)/('Choix pédagogiques'!$C$5-'Choix pédagogiques'!$C$4),"")</f>
        <v/>
      </c>
      <c r="AX691" s="49" t="str">
        <f>IF(AND('Choix pédagogiques'!$C$4&lt;&gt;"?",'Choix pédagogiques'!$C$5&lt;&gt;"?",AC691&lt;&gt;""),(AC691-'Choix pédagogiques'!$C$4)/('Choix pédagogiques'!$C$5-'Choix pédagogiques'!$C$4),"")</f>
        <v/>
      </c>
      <c r="AY691" s="49" t="str">
        <f>IF(AND('Choix pédagogiques'!$C$4&lt;&gt;"?",'Choix pédagogiques'!$C$5&lt;&gt;"?",AD691&lt;&gt;""),(AD691-'Choix pédagogiques'!$C$4)/('Choix pédagogiques'!$C$5-'Choix pédagogiques'!$C$4),"")</f>
        <v/>
      </c>
      <c r="AZ691" s="22" t="str">
        <f t="shared" si="484"/>
        <v/>
      </c>
      <c r="BA691" s="21" t="str">
        <f t="shared" si="485"/>
        <v>Apprenant 679</v>
      </c>
      <c r="BB691" s="49" t="str">
        <f t="shared" si="457"/>
        <v/>
      </c>
      <c r="BC691" s="49" t="str">
        <f t="shared" si="458"/>
        <v/>
      </c>
      <c r="BD691" s="49" t="str">
        <f t="shared" si="459"/>
        <v/>
      </c>
      <c r="BE691" s="22" t="str">
        <f t="shared" si="486"/>
        <v/>
      </c>
      <c r="BF691" s="21" t="str">
        <f t="shared" si="487"/>
        <v>Apprenant 679 ou 679'</v>
      </c>
      <c r="BG691" s="49" t="str">
        <f t="shared" si="460"/>
        <v/>
      </c>
      <c r="BH691" s="49" t="str">
        <f t="shared" si="461"/>
        <v/>
      </c>
      <c r="BI691" s="49" t="str">
        <f t="shared" si="462"/>
        <v/>
      </c>
      <c r="BJ691" s="22" t="str">
        <f t="shared" si="488"/>
        <v/>
      </c>
      <c r="BL691" s="21"/>
      <c r="BM691" s="21" t="str">
        <f>IF(OR(COUNT(B691:D1690)=0,AND('Choix pédagogiques'!$C$3&lt;&gt;1,'Choix pédagogiques'!$C$3&lt;&gt;2)),"",IF(AND(OR('Choix pédagogiques'!$C$3=1,'Choix pédagogiques'!$C$3=2),$B691&lt;&gt;"",$C691&lt;&gt;"",$D691&lt;&gt;""),1,0))</f>
        <v/>
      </c>
      <c r="BN691" s="21" t="str">
        <f>IF(OR(COUNT(G691:I1690)=0,AND('Choix pédagogiques'!$C$3&lt;&gt;1,'Choix pédagogiques'!$C$3&lt;&gt;2)),"",IF(AND(OR('Choix pédagogiques'!$C$3=1,'Choix pédagogiques'!$C$3=2),AND($G691&lt;&gt;"",$H691&lt;&gt;"",$I691&lt;&gt;"")),1,0))</f>
        <v/>
      </c>
      <c r="BO691" s="21" t="str">
        <f>IF(OR(COUNT(B691:D1690)=0,COUNT(G691:I1690)=0,'Choix pédagogiques'!C$3&lt;&gt;3),"",IF(AND('Choix pédagogiques'!$C$3=3,$B691&lt;&gt;"",$C691&lt;&gt;"",$D691&lt;&gt;"",$G691&lt;&gt;"",$H691&lt;&gt;"",$I691&lt;&gt;""),1,0))</f>
        <v/>
      </c>
      <c r="BR691" s="21">
        <v>423</v>
      </c>
      <c r="BS691" s="21">
        <v>1029</v>
      </c>
      <c r="BT691"/>
    </row>
    <row r="692" spans="1:72" s="23" customFormat="1" ht="18" customHeight="1" x14ac:dyDescent="0.3">
      <c r="A692" s="35" t="s">
        <v>682</v>
      </c>
      <c r="B692" s="37"/>
      <c r="C692" s="37"/>
      <c r="D692" s="37"/>
      <c r="E692" s="37"/>
      <c r="F692" s="35" t="s">
        <v>1690</v>
      </c>
      <c r="G692" s="37"/>
      <c r="H692" s="37"/>
      <c r="I692" s="37"/>
      <c r="J692" s="37"/>
      <c r="K692" s="21" t="str">
        <f t="shared" si="463"/>
        <v>Apprenant 680</v>
      </c>
      <c r="L692" s="22" t="str">
        <f t="shared" si="464"/>
        <v/>
      </c>
      <c r="M692" s="22" t="str">
        <f t="shared" si="465"/>
        <v/>
      </c>
      <c r="N692" s="22" t="str">
        <f t="shared" si="466"/>
        <v/>
      </c>
      <c r="O692" s="22" t="str">
        <f t="shared" si="467"/>
        <v/>
      </c>
      <c r="P692" s="21" t="str">
        <f t="shared" si="468"/>
        <v>Apprenant 680 ou 680'</v>
      </c>
      <c r="Q692" s="22" t="str">
        <f t="shared" si="469"/>
        <v/>
      </c>
      <c r="R692" s="22" t="str">
        <f t="shared" si="470"/>
        <v/>
      </c>
      <c r="S692" s="22" t="str">
        <f t="shared" si="471"/>
        <v/>
      </c>
      <c r="T692" s="22" t="str">
        <f t="shared" si="472"/>
        <v/>
      </c>
      <c r="V692" s="21" t="str">
        <f t="shared" si="473"/>
        <v>Apprenant 680</v>
      </c>
      <c r="W692" s="22" t="str">
        <f>IF(AND(OR('Choix pédagogiques'!$C$3=1,'Choix pédagogiques'!$C$3=2),$BM692=1),B692,IF(AND('Choix pédagogiques'!$C$3=3,$BO692=1),B692,""))</f>
        <v/>
      </c>
      <c r="X692" s="22" t="str">
        <f>IF(AND(OR('Choix pédagogiques'!$C$3=1,'Choix pédagogiques'!$C$3=2),$BM692=1),C692,IF(AND('Choix pédagogiques'!$C$3=3,$BO692=1),C692,""))</f>
        <v/>
      </c>
      <c r="Y692" s="22" t="str">
        <f>IF(AND(OR('Choix pédagogiques'!$C$3=1,'Choix pédagogiques'!$C$3=2),$BM692=1),D692,IF(AND('Choix pédagogiques'!$C$3=3,$BO692=1),D692,""))</f>
        <v/>
      </c>
      <c r="Z692" s="22" t="str">
        <f t="shared" si="474"/>
        <v/>
      </c>
      <c r="AA692" s="21" t="str">
        <f t="shared" si="475"/>
        <v>Apprenant 680 ou 680'</v>
      </c>
      <c r="AB692" s="22" t="str">
        <f>IF(AND(OR('Choix pédagogiques'!$C$3=1,'Choix pédagogiques'!$C$3=2),$BN692=1),G692,IF(AND('Choix pédagogiques'!$C$3=3,$BO692=1),G692,""))</f>
        <v/>
      </c>
      <c r="AC692" s="22" t="str">
        <f>IF(AND(OR('Choix pédagogiques'!$C$3=1,'Choix pédagogiques'!$C$3=2),$BN692=1),H692,IF(AND('Choix pédagogiques'!$C$3=3,$BO692=1),H692,""))</f>
        <v/>
      </c>
      <c r="AD692" s="22" t="str">
        <f>IF(AND(OR('Choix pédagogiques'!$C$3=1,'Choix pédagogiques'!$C$3=2),$BN692=1),I692,IF(AND('Choix pédagogiques'!$C$3=3,$BO692=1),I692,""))</f>
        <v/>
      </c>
      <c r="AE692" s="22" t="str">
        <f t="shared" si="476"/>
        <v/>
      </c>
      <c r="AF692" s="21" t="str">
        <f t="shared" si="477"/>
        <v>Apprenant 680</v>
      </c>
      <c r="AG692" s="22" t="str">
        <f t="shared" si="451"/>
        <v/>
      </c>
      <c r="AH692" s="22" t="str">
        <f t="shared" si="452"/>
        <v/>
      </c>
      <c r="AI692" s="22" t="str">
        <f t="shared" si="453"/>
        <v/>
      </c>
      <c r="AJ692" s="22" t="str">
        <f t="shared" si="478"/>
        <v/>
      </c>
      <c r="AK692" s="21" t="str">
        <f t="shared" si="479"/>
        <v>Apprenant 680 ou 680'</v>
      </c>
      <c r="AL692" s="22" t="str">
        <f t="shared" si="454"/>
        <v/>
      </c>
      <c r="AM692" s="22" t="str">
        <f t="shared" si="455"/>
        <v/>
      </c>
      <c r="AN692" s="22" t="str">
        <f t="shared" si="456"/>
        <v/>
      </c>
      <c r="AO692" s="22" t="str">
        <f t="shared" si="480"/>
        <v/>
      </c>
      <c r="AQ692" s="21" t="str">
        <f t="shared" si="481"/>
        <v>Apprenant 680</v>
      </c>
      <c r="AR692" s="49" t="str">
        <f>IF(AND('Choix pédagogiques'!$C$4&lt;&gt;"?",'Choix pédagogiques'!$C$5&lt;&gt;"?",W692&lt;&gt;""),(W692-'Choix pédagogiques'!$C$4)/('Choix pédagogiques'!$C$5-'Choix pédagogiques'!$C$4),"")</f>
        <v/>
      </c>
      <c r="AS692" s="49" t="str">
        <f>IF(AND('Choix pédagogiques'!$C$4&lt;&gt;"?",'Choix pédagogiques'!$C$5&lt;&gt;"?",X692&lt;&gt;""),(X692-'Choix pédagogiques'!$C$4)/('Choix pédagogiques'!$C$5-'Choix pédagogiques'!$C$4),"")</f>
        <v/>
      </c>
      <c r="AT692" s="49" t="str">
        <f>IF(AND('Choix pédagogiques'!$C$4&lt;&gt;"?",'Choix pédagogiques'!$C$5&lt;&gt;"?",Y692&lt;&gt;""),(Y692-'Choix pédagogiques'!$C$4)/('Choix pédagogiques'!$C$5-'Choix pédagogiques'!$C$4),"")</f>
        <v/>
      </c>
      <c r="AU692" s="22" t="str">
        <f t="shared" si="482"/>
        <v/>
      </c>
      <c r="AV692" s="21" t="str">
        <f t="shared" si="483"/>
        <v>Apprenant 680 ou 680'</v>
      </c>
      <c r="AW692" s="49" t="str">
        <f>IF(AND('Choix pédagogiques'!$C$4&lt;&gt;"?",'Choix pédagogiques'!$C$5&lt;&gt;"?",AB692&lt;&gt;""),(AB692-'Choix pédagogiques'!$C$4)/('Choix pédagogiques'!$C$5-'Choix pédagogiques'!$C$4),"")</f>
        <v/>
      </c>
      <c r="AX692" s="49" t="str">
        <f>IF(AND('Choix pédagogiques'!$C$4&lt;&gt;"?",'Choix pédagogiques'!$C$5&lt;&gt;"?",AC692&lt;&gt;""),(AC692-'Choix pédagogiques'!$C$4)/('Choix pédagogiques'!$C$5-'Choix pédagogiques'!$C$4),"")</f>
        <v/>
      </c>
      <c r="AY692" s="49" t="str">
        <f>IF(AND('Choix pédagogiques'!$C$4&lt;&gt;"?",'Choix pédagogiques'!$C$5&lt;&gt;"?",AD692&lt;&gt;""),(AD692-'Choix pédagogiques'!$C$4)/('Choix pédagogiques'!$C$5-'Choix pédagogiques'!$C$4),"")</f>
        <v/>
      </c>
      <c r="AZ692" s="22" t="str">
        <f t="shared" si="484"/>
        <v/>
      </c>
      <c r="BA692" s="21" t="str">
        <f t="shared" si="485"/>
        <v>Apprenant 680</v>
      </c>
      <c r="BB692" s="49" t="str">
        <f t="shared" si="457"/>
        <v/>
      </c>
      <c r="BC692" s="49" t="str">
        <f t="shared" si="458"/>
        <v/>
      </c>
      <c r="BD692" s="49" t="str">
        <f t="shared" si="459"/>
        <v/>
      </c>
      <c r="BE692" s="22" t="str">
        <f t="shared" si="486"/>
        <v/>
      </c>
      <c r="BF692" s="21" t="str">
        <f t="shared" si="487"/>
        <v>Apprenant 680 ou 680'</v>
      </c>
      <c r="BG692" s="49" t="str">
        <f t="shared" si="460"/>
        <v/>
      </c>
      <c r="BH692" s="49" t="str">
        <f t="shared" si="461"/>
        <v/>
      </c>
      <c r="BI692" s="49" t="str">
        <f t="shared" si="462"/>
        <v/>
      </c>
      <c r="BJ692" s="22" t="str">
        <f t="shared" si="488"/>
        <v/>
      </c>
      <c r="BL692" s="21"/>
      <c r="BM692" s="21" t="str">
        <f>IF(OR(COUNT(B692:D1691)=0,AND('Choix pédagogiques'!$C$3&lt;&gt;1,'Choix pédagogiques'!$C$3&lt;&gt;2)),"",IF(AND(OR('Choix pédagogiques'!$C$3=1,'Choix pédagogiques'!$C$3=2),$B692&lt;&gt;"",$C692&lt;&gt;"",$D692&lt;&gt;""),1,0))</f>
        <v/>
      </c>
      <c r="BN692" s="21" t="str">
        <f>IF(OR(COUNT(G692:I1691)=0,AND('Choix pédagogiques'!$C$3&lt;&gt;1,'Choix pédagogiques'!$C$3&lt;&gt;2)),"",IF(AND(OR('Choix pédagogiques'!$C$3=1,'Choix pédagogiques'!$C$3=2),AND($G692&lt;&gt;"",$H692&lt;&gt;"",$I692&lt;&gt;"")),1,0))</f>
        <v/>
      </c>
      <c r="BO692" s="21" t="str">
        <f>IF(OR(COUNT(B692:D1691)=0,COUNT(G692:I1691)=0,'Choix pédagogiques'!C$3&lt;&gt;3),"",IF(AND('Choix pédagogiques'!$C$3=3,$B692&lt;&gt;"",$C692&lt;&gt;"",$D692&lt;&gt;"",$G692&lt;&gt;"",$H692&lt;&gt;"",$I692&lt;&gt;""),1,0))</f>
        <v/>
      </c>
      <c r="BR692" s="21">
        <v>912</v>
      </c>
      <c r="BS692" s="21">
        <v>1687</v>
      </c>
      <c r="BT692"/>
    </row>
    <row r="693" spans="1:72" s="23" customFormat="1" ht="18" customHeight="1" x14ac:dyDescent="0.3">
      <c r="A693" s="35" t="s">
        <v>683</v>
      </c>
      <c r="B693" s="37"/>
      <c r="C693" s="37"/>
      <c r="D693" s="37"/>
      <c r="E693" s="37"/>
      <c r="F693" s="35" t="s">
        <v>1691</v>
      </c>
      <c r="G693" s="37"/>
      <c r="H693" s="37"/>
      <c r="I693" s="37"/>
      <c r="J693" s="37"/>
      <c r="K693" s="21" t="str">
        <f t="shared" si="463"/>
        <v>Apprenant 681</v>
      </c>
      <c r="L693" s="22" t="str">
        <f t="shared" si="464"/>
        <v/>
      </c>
      <c r="M693" s="22" t="str">
        <f t="shared" si="465"/>
        <v/>
      </c>
      <c r="N693" s="22" t="str">
        <f t="shared" si="466"/>
        <v/>
      </c>
      <c r="O693" s="22" t="str">
        <f t="shared" si="467"/>
        <v/>
      </c>
      <c r="P693" s="21" t="str">
        <f t="shared" si="468"/>
        <v>Apprenant 681 ou 681'</v>
      </c>
      <c r="Q693" s="22" t="str">
        <f t="shared" si="469"/>
        <v/>
      </c>
      <c r="R693" s="22" t="str">
        <f t="shared" si="470"/>
        <v/>
      </c>
      <c r="S693" s="22" t="str">
        <f t="shared" si="471"/>
        <v/>
      </c>
      <c r="T693" s="22" t="str">
        <f t="shared" si="472"/>
        <v/>
      </c>
      <c r="V693" s="21" t="str">
        <f t="shared" si="473"/>
        <v>Apprenant 681</v>
      </c>
      <c r="W693" s="22" t="str">
        <f>IF(AND(OR('Choix pédagogiques'!$C$3=1,'Choix pédagogiques'!$C$3=2),$BM693=1),B693,IF(AND('Choix pédagogiques'!$C$3=3,$BO693=1),B693,""))</f>
        <v/>
      </c>
      <c r="X693" s="22" t="str">
        <f>IF(AND(OR('Choix pédagogiques'!$C$3=1,'Choix pédagogiques'!$C$3=2),$BM693=1),C693,IF(AND('Choix pédagogiques'!$C$3=3,$BO693=1),C693,""))</f>
        <v/>
      </c>
      <c r="Y693" s="22" t="str">
        <f>IF(AND(OR('Choix pédagogiques'!$C$3=1,'Choix pédagogiques'!$C$3=2),$BM693=1),D693,IF(AND('Choix pédagogiques'!$C$3=3,$BO693=1),D693,""))</f>
        <v/>
      </c>
      <c r="Z693" s="22" t="str">
        <f t="shared" si="474"/>
        <v/>
      </c>
      <c r="AA693" s="21" t="str">
        <f t="shared" si="475"/>
        <v>Apprenant 681 ou 681'</v>
      </c>
      <c r="AB693" s="22" t="str">
        <f>IF(AND(OR('Choix pédagogiques'!$C$3=1,'Choix pédagogiques'!$C$3=2),$BN693=1),G693,IF(AND('Choix pédagogiques'!$C$3=3,$BO693=1),G693,""))</f>
        <v/>
      </c>
      <c r="AC693" s="22" t="str">
        <f>IF(AND(OR('Choix pédagogiques'!$C$3=1,'Choix pédagogiques'!$C$3=2),$BN693=1),H693,IF(AND('Choix pédagogiques'!$C$3=3,$BO693=1),H693,""))</f>
        <v/>
      </c>
      <c r="AD693" s="22" t="str">
        <f>IF(AND(OR('Choix pédagogiques'!$C$3=1,'Choix pédagogiques'!$C$3=2),$BN693=1),I693,IF(AND('Choix pédagogiques'!$C$3=3,$BO693=1),I693,""))</f>
        <v/>
      </c>
      <c r="AE693" s="22" t="str">
        <f t="shared" si="476"/>
        <v/>
      </c>
      <c r="AF693" s="21" t="str">
        <f t="shared" si="477"/>
        <v>Apprenant 681</v>
      </c>
      <c r="AG693" s="22" t="str">
        <f t="shared" si="451"/>
        <v/>
      </c>
      <c r="AH693" s="22" t="str">
        <f t="shared" si="452"/>
        <v/>
      </c>
      <c r="AI693" s="22" t="str">
        <f t="shared" si="453"/>
        <v/>
      </c>
      <c r="AJ693" s="22" t="str">
        <f t="shared" si="478"/>
        <v/>
      </c>
      <c r="AK693" s="21" t="str">
        <f t="shared" si="479"/>
        <v>Apprenant 681 ou 681'</v>
      </c>
      <c r="AL693" s="22" t="str">
        <f t="shared" si="454"/>
        <v/>
      </c>
      <c r="AM693" s="22" t="str">
        <f t="shared" si="455"/>
        <v/>
      </c>
      <c r="AN693" s="22" t="str">
        <f t="shared" si="456"/>
        <v/>
      </c>
      <c r="AO693" s="22" t="str">
        <f t="shared" si="480"/>
        <v/>
      </c>
      <c r="AQ693" s="21" t="str">
        <f t="shared" si="481"/>
        <v>Apprenant 681</v>
      </c>
      <c r="AR693" s="49" t="str">
        <f>IF(AND('Choix pédagogiques'!$C$4&lt;&gt;"?",'Choix pédagogiques'!$C$5&lt;&gt;"?",W693&lt;&gt;""),(W693-'Choix pédagogiques'!$C$4)/('Choix pédagogiques'!$C$5-'Choix pédagogiques'!$C$4),"")</f>
        <v/>
      </c>
      <c r="AS693" s="49" t="str">
        <f>IF(AND('Choix pédagogiques'!$C$4&lt;&gt;"?",'Choix pédagogiques'!$C$5&lt;&gt;"?",X693&lt;&gt;""),(X693-'Choix pédagogiques'!$C$4)/('Choix pédagogiques'!$C$5-'Choix pédagogiques'!$C$4),"")</f>
        <v/>
      </c>
      <c r="AT693" s="49" t="str">
        <f>IF(AND('Choix pédagogiques'!$C$4&lt;&gt;"?",'Choix pédagogiques'!$C$5&lt;&gt;"?",Y693&lt;&gt;""),(Y693-'Choix pédagogiques'!$C$4)/('Choix pédagogiques'!$C$5-'Choix pédagogiques'!$C$4),"")</f>
        <v/>
      </c>
      <c r="AU693" s="22" t="str">
        <f t="shared" si="482"/>
        <v/>
      </c>
      <c r="AV693" s="21" t="str">
        <f t="shared" si="483"/>
        <v>Apprenant 681 ou 681'</v>
      </c>
      <c r="AW693" s="49" t="str">
        <f>IF(AND('Choix pédagogiques'!$C$4&lt;&gt;"?",'Choix pédagogiques'!$C$5&lt;&gt;"?",AB693&lt;&gt;""),(AB693-'Choix pédagogiques'!$C$4)/('Choix pédagogiques'!$C$5-'Choix pédagogiques'!$C$4),"")</f>
        <v/>
      </c>
      <c r="AX693" s="49" t="str">
        <f>IF(AND('Choix pédagogiques'!$C$4&lt;&gt;"?",'Choix pédagogiques'!$C$5&lt;&gt;"?",AC693&lt;&gt;""),(AC693-'Choix pédagogiques'!$C$4)/('Choix pédagogiques'!$C$5-'Choix pédagogiques'!$C$4),"")</f>
        <v/>
      </c>
      <c r="AY693" s="49" t="str">
        <f>IF(AND('Choix pédagogiques'!$C$4&lt;&gt;"?",'Choix pédagogiques'!$C$5&lt;&gt;"?",AD693&lt;&gt;""),(AD693-'Choix pédagogiques'!$C$4)/('Choix pédagogiques'!$C$5-'Choix pédagogiques'!$C$4),"")</f>
        <v/>
      </c>
      <c r="AZ693" s="22" t="str">
        <f t="shared" si="484"/>
        <v/>
      </c>
      <c r="BA693" s="21" t="str">
        <f t="shared" si="485"/>
        <v>Apprenant 681</v>
      </c>
      <c r="BB693" s="49" t="str">
        <f t="shared" si="457"/>
        <v/>
      </c>
      <c r="BC693" s="49" t="str">
        <f t="shared" si="458"/>
        <v/>
      </c>
      <c r="BD693" s="49" t="str">
        <f t="shared" si="459"/>
        <v/>
      </c>
      <c r="BE693" s="22" t="str">
        <f t="shared" si="486"/>
        <v/>
      </c>
      <c r="BF693" s="21" t="str">
        <f t="shared" si="487"/>
        <v>Apprenant 681 ou 681'</v>
      </c>
      <c r="BG693" s="49" t="str">
        <f t="shared" si="460"/>
        <v/>
      </c>
      <c r="BH693" s="49" t="str">
        <f t="shared" si="461"/>
        <v/>
      </c>
      <c r="BI693" s="49" t="str">
        <f t="shared" si="462"/>
        <v/>
      </c>
      <c r="BJ693" s="22" t="str">
        <f t="shared" si="488"/>
        <v/>
      </c>
      <c r="BL693" s="21"/>
      <c r="BM693" s="21" t="str">
        <f>IF(OR(COUNT(B693:D1692)=0,AND('Choix pédagogiques'!$C$3&lt;&gt;1,'Choix pédagogiques'!$C$3&lt;&gt;2)),"",IF(AND(OR('Choix pédagogiques'!$C$3=1,'Choix pédagogiques'!$C$3=2),$B693&lt;&gt;"",$C693&lt;&gt;"",$D693&lt;&gt;""),1,0))</f>
        <v/>
      </c>
      <c r="BN693" s="21" t="str">
        <f>IF(OR(COUNT(G693:I1692)=0,AND('Choix pédagogiques'!$C$3&lt;&gt;1,'Choix pédagogiques'!$C$3&lt;&gt;2)),"",IF(AND(OR('Choix pédagogiques'!$C$3=1,'Choix pédagogiques'!$C$3=2),AND($G693&lt;&gt;"",$H693&lt;&gt;"",$I693&lt;&gt;"")),1,0))</f>
        <v/>
      </c>
      <c r="BO693" s="21" t="str">
        <f>IF(OR(COUNT(B693:D1692)=0,COUNT(G693:I1692)=0,'Choix pédagogiques'!C$3&lt;&gt;3),"",IF(AND('Choix pédagogiques'!$C$3=3,$B693&lt;&gt;"",$C693&lt;&gt;"",$D693&lt;&gt;"",$G693&lt;&gt;"",$H693&lt;&gt;"",$I693&lt;&gt;""),1,0))</f>
        <v/>
      </c>
      <c r="BR693" s="21">
        <v>710</v>
      </c>
      <c r="BS693" s="21">
        <v>1389</v>
      </c>
      <c r="BT693"/>
    </row>
    <row r="694" spans="1:72" s="23" customFormat="1" ht="18" customHeight="1" x14ac:dyDescent="0.3">
      <c r="A694" s="35" t="s">
        <v>684</v>
      </c>
      <c r="B694" s="37"/>
      <c r="C694" s="37"/>
      <c r="D694" s="37"/>
      <c r="E694" s="37"/>
      <c r="F694" s="35" t="s">
        <v>1692</v>
      </c>
      <c r="G694" s="37"/>
      <c r="H694" s="37"/>
      <c r="I694" s="37"/>
      <c r="J694" s="37"/>
      <c r="K694" s="21" t="str">
        <f t="shared" si="463"/>
        <v>Apprenant 682</v>
      </c>
      <c r="L694" s="22" t="str">
        <f t="shared" si="464"/>
        <v/>
      </c>
      <c r="M694" s="22" t="str">
        <f t="shared" si="465"/>
        <v/>
      </c>
      <c r="N694" s="22" t="str">
        <f t="shared" si="466"/>
        <v/>
      </c>
      <c r="O694" s="22" t="str">
        <f t="shared" si="467"/>
        <v/>
      </c>
      <c r="P694" s="21" t="str">
        <f t="shared" si="468"/>
        <v>Apprenant 682 ou 682'</v>
      </c>
      <c r="Q694" s="22" t="str">
        <f t="shared" si="469"/>
        <v/>
      </c>
      <c r="R694" s="22" t="str">
        <f t="shared" si="470"/>
        <v/>
      </c>
      <c r="S694" s="22" t="str">
        <f t="shared" si="471"/>
        <v/>
      </c>
      <c r="T694" s="22" t="str">
        <f t="shared" si="472"/>
        <v/>
      </c>
      <c r="V694" s="21" t="str">
        <f t="shared" si="473"/>
        <v>Apprenant 682</v>
      </c>
      <c r="W694" s="22" t="str">
        <f>IF(AND(OR('Choix pédagogiques'!$C$3=1,'Choix pédagogiques'!$C$3=2),$BM694=1),B694,IF(AND('Choix pédagogiques'!$C$3=3,$BO694=1),B694,""))</f>
        <v/>
      </c>
      <c r="X694" s="22" t="str">
        <f>IF(AND(OR('Choix pédagogiques'!$C$3=1,'Choix pédagogiques'!$C$3=2),$BM694=1),C694,IF(AND('Choix pédagogiques'!$C$3=3,$BO694=1),C694,""))</f>
        <v/>
      </c>
      <c r="Y694" s="22" t="str">
        <f>IF(AND(OR('Choix pédagogiques'!$C$3=1,'Choix pédagogiques'!$C$3=2),$BM694=1),D694,IF(AND('Choix pédagogiques'!$C$3=3,$BO694=1),D694,""))</f>
        <v/>
      </c>
      <c r="Z694" s="22" t="str">
        <f t="shared" si="474"/>
        <v/>
      </c>
      <c r="AA694" s="21" t="str">
        <f t="shared" si="475"/>
        <v>Apprenant 682 ou 682'</v>
      </c>
      <c r="AB694" s="22" t="str">
        <f>IF(AND(OR('Choix pédagogiques'!$C$3=1,'Choix pédagogiques'!$C$3=2),$BN694=1),G694,IF(AND('Choix pédagogiques'!$C$3=3,$BO694=1),G694,""))</f>
        <v/>
      </c>
      <c r="AC694" s="22" t="str">
        <f>IF(AND(OR('Choix pédagogiques'!$C$3=1,'Choix pédagogiques'!$C$3=2),$BN694=1),H694,IF(AND('Choix pédagogiques'!$C$3=3,$BO694=1),H694,""))</f>
        <v/>
      </c>
      <c r="AD694" s="22" t="str">
        <f>IF(AND(OR('Choix pédagogiques'!$C$3=1,'Choix pédagogiques'!$C$3=2),$BN694=1),I694,IF(AND('Choix pédagogiques'!$C$3=3,$BO694=1),I694,""))</f>
        <v/>
      </c>
      <c r="AE694" s="22" t="str">
        <f t="shared" si="476"/>
        <v/>
      </c>
      <c r="AF694" s="21" t="str">
        <f t="shared" si="477"/>
        <v>Apprenant 682</v>
      </c>
      <c r="AG694" s="22" t="str">
        <f t="shared" si="451"/>
        <v/>
      </c>
      <c r="AH694" s="22" t="str">
        <f t="shared" si="452"/>
        <v/>
      </c>
      <c r="AI694" s="22" t="str">
        <f t="shared" si="453"/>
        <v/>
      </c>
      <c r="AJ694" s="22" t="str">
        <f t="shared" si="478"/>
        <v/>
      </c>
      <c r="AK694" s="21" t="str">
        <f t="shared" si="479"/>
        <v>Apprenant 682 ou 682'</v>
      </c>
      <c r="AL694" s="22" t="str">
        <f t="shared" si="454"/>
        <v/>
      </c>
      <c r="AM694" s="22" t="str">
        <f t="shared" si="455"/>
        <v/>
      </c>
      <c r="AN694" s="22" t="str">
        <f t="shared" si="456"/>
        <v/>
      </c>
      <c r="AO694" s="22" t="str">
        <f t="shared" si="480"/>
        <v/>
      </c>
      <c r="AQ694" s="21" t="str">
        <f t="shared" si="481"/>
        <v>Apprenant 682</v>
      </c>
      <c r="AR694" s="49" t="str">
        <f>IF(AND('Choix pédagogiques'!$C$4&lt;&gt;"?",'Choix pédagogiques'!$C$5&lt;&gt;"?",W694&lt;&gt;""),(W694-'Choix pédagogiques'!$C$4)/('Choix pédagogiques'!$C$5-'Choix pédagogiques'!$C$4),"")</f>
        <v/>
      </c>
      <c r="AS694" s="49" t="str">
        <f>IF(AND('Choix pédagogiques'!$C$4&lt;&gt;"?",'Choix pédagogiques'!$C$5&lt;&gt;"?",X694&lt;&gt;""),(X694-'Choix pédagogiques'!$C$4)/('Choix pédagogiques'!$C$5-'Choix pédagogiques'!$C$4),"")</f>
        <v/>
      </c>
      <c r="AT694" s="49" t="str">
        <f>IF(AND('Choix pédagogiques'!$C$4&lt;&gt;"?",'Choix pédagogiques'!$C$5&lt;&gt;"?",Y694&lt;&gt;""),(Y694-'Choix pédagogiques'!$C$4)/('Choix pédagogiques'!$C$5-'Choix pédagogiques'!$C$4),"")</f>
        <v/>
      </c>
      <c r="AU694" s="22" t="str">
        <f t="shared" si="482"/>
        <v/>
      </c>
      <c r="AV694" s="21" t="str">
        <f t="shared" si="483"/>
        <v>Apprenant 682 ou 682'</v>
      </c>
      <c r="AW694" s="49" t="str">
        <f>IF(AND('Choix pédagogiques'!$C$4&lt;&gt;"?",'Choix pédagogiques'!$C$5&lt;&gt;"?",AB694&lt;&gt;""),(AB694-'Choix pédagogiques'!$C$4)/('Choix pédagogiques'!$C$5-'Choix pédagogiques'!$C$4),"")</f>
        <v/>
      </c>
      <c r="AX694" s="49" t="str">
        <f>IF(AND('Choix pédagogiques'!$C$4&lt;&gt;"?",'Choix pédagogiques'!$C$5&lt;&gt;"?",AC694&lt;&gt;""),(AC694-'Choix pédagogiques'!$C$4)/('Choix pédagogiques'!$C$5-'Choix pédagogiques'!$C$4),"")</f>
        <v/>
      </c>
      <c r="AY694" s="49" t="str">
        <f>IF(AND('Choix pédagogiques'!$C$4&lt;&gt;"?",'Choix pédagogiques'!$C$5&lt;&gt;"?",AD694&lt;&gt;""),(AD694-'Choix pédagogiques'!$C$4)/('Choix pédagogiques'!$C$5-'Choix pédagogiques'!$C$4),"")</f>
        <v/>
      </c>
      <c r="AZ694" s="22" t="str">
        <f t="shared" si="484"/>
        <v/>
      </c>
      <c r="BA694" s="21" t="str">
        <f t="shared" si="485"/>
        <v>Apprenant 682</v>
      </c>
      <c r="BB694" s="49" t="str">
        <f t="shared" si="457"/>
        <v/>
      </c>
      <c r="BC694" s="49" t="str">
        <f t="shared" si="458"/>
        <v/>
      </c>
      <c r="BD694" s="49" t="str">
        <f t="shared" si="459"/>
        <v/>
      </c>
      <c r="BE694" s="22" t="str">
        <f t="shared" si="486"/>
        <v/>
      </c>
      <c r="BF694" s="21" t="str">
        <f t="shared" si="487"/>
        <v>Apprenant 682 ou 682'</v>
      </c>
      <c r="BG694" s="49" t="str">
        <f t="shared" si="460"/>
        <v/>
      </c>
      <c r="BH694" s="49" t="str">
        <f t="shared" si="461"/>
        <v/>
      </c>
      <c r="BI694" s="49" t="str">
        <f t="shared" si="462"/>
        <v/>
      </c>
      <c r="BJ694" s="22" t="str">
        <f t="shared" si="488"/>
        <v/>
      </c>
      <c r="BL694" s="21"/>
      <c r="BM694" s="21" t="str">
        <f>IF(OR(COUNT(B694:D1693)=0,AND('Choix pédagogiques'!$C$3&lt;&gt;1,'Choix pédagogiques'!$C$3&lt;&gt;2)),"",IF(AND(OR('Choix pédagogiques'!$C$3=1,'Choix pédagogiques'!$C$3=2),$B694&lt;&gt;"",$C694&lt;&gt;"",$D694&lt;&gt;""),1,0))</f>
        <v/>
      </c>
      <c r="BN694" s="21" t="str">
        <f>IF(OR(COUNT(G694:I1693)=0,AND('Choix pédagogiques'!$C$3&lt;&gt;1,'Choix pédagogiques'!$C$3&lt;&gt;2)),"",IF(AND(OR('Choix pédagogiques'!$C$3=1,'Choix pédagogiques'!$C$3=2),AND($G694&lt;&gt;"",$H694&lt;&gt;"",$I694&lt;&gt;"")),1,0))</f>
        <v/>
      </c>
      <c r="BO694" s="21" t="str">
        <f>IF(OR(COUNT(B694:D1693)=0,COUNT(G694:I1693)=0,'Choix pédagogiques'!C$3&lt;&gt;3),"",IF(AND('Choix pédagogiques'!$C$3=3,$B694&lt;&gt;"",$C694&lt;&gt;"",$D694&lt;&gt;"",$G694&lt;&gt;"",$H694&lt;&gt;"",$I694&lt;&gt;""),1,0))</f>
        <v/>
      </c>
      <c r="BR694" s="21">
        <v>733</v>
      </c>
      <c r="BS694" s="21">
        <v>1228</v>
      </c>
      <c r="BT694"/>
    </row>
    <row r="695" spans="1:72" s="23" customFormat="1" ht="18" customHeight="1" x14ac:dyDescent="0.3">
      <c r="A695" s="35" t="s">
        <v>685</v>
      </c>
      <c r="B695" s="37"/>
      <c r="C695" s="37"/>
      <c r="D695" s="37"/>
      <c r="E695" s="37"/>
      <c r="F695" s="35" t="s">
        <v>1693</v>
      </c>
      <c r="G695" s="37"/>
      <c r="H695" s="37"/>
      <c r="I695" s="37"/>
      <c r="J695" s="37"/>
      <c r="K695" s="21" t="str">
        <f t="shared" si="463"/>
        <v>Apprenant 683</v>
      </c>
      <c r="L695" s="22" t="str">
        <f t="shared" si="464"/>
        <v/>
      </c>
      <c r="M695" s="22" t="str">
        <f t="shared" si="465"/>
        <v/>
      </c>
      <c r="N695" s="22" t="str">
        <f t="shared" si="466"/>
        <v/>
      </c>
      <c r="O695" s="22" t="str">
        <f t="shared" si="467"/>
        <v/>
      </c>
      <c r="P695" s="21" t="str">
        <f t="shared" si="468"/>
        <v>Apprenant 683 ou 683'</v>
      </c>
      <c r="Q695" s="22" t="str">
        <f t="shared" si="469"/>
        <v/>
      </c>
      <c r="R695" s="22" t="str">
        <f t="shared" si="470"/>
        <v/>
      </c>
      <c r="S695" s="22" t="str">
        <f t="shared" si="471"/>
        <v/>
      </c>
      <c r="T695" s="22" t="str">
        <f t="shared" si="472"/>
        <v/>
      </c>
      <c r="V695" s="21" t="str">
        <f t="shared" si="473"/>
        <v>Apprenant 683</v>
      </c>
      <c r="W695" s="22" t="str">
        <f>IF(AND(OR('Choix pédagogiques'!$C$3=1,'Choix pédagogiques'!$C$3=2),$BM695=1),B695,IF(AND('Choix pédagogiques'!$C$3=3,$BO695=1),B695,""))</f>
        <v/>
      </c>
      <c r="X695" s="22" t="str">
        <f>IF(AND(OR('Choix pédagogiques'!$C$3=1,'Choix pédagogiques'!$C$3=2),$BM695=1),C695,IF(AND('Choix pédagogiques'!$C$3=3,$BO695=1),C695,""))</f>
        <v/>
      </c>
      <c r="Y695" s="22" t="str">
        <f>IF(AND(OR('Choix pédagogiques'!$C$3=1,'Choix pédagogiques'!$C$3=2),$BM695=1),D695,IF(AND('Choix pédagogiques'!$C$3=3,$BO695=1),D695,""))</f>
        <v/>
      </c>
      <c r="Z695" s="22" t="str">
        <f t="shared" si="474"/>
        <v/>
      </c>
      <c r="AA695" s="21" t="str">
        <f t="shared" si="475"/>
        <v>Apprenant 683 ou 683'</v>
      </c>
      <c r="AB695" s="22" t="str">
        <f>IF(AND(OR('Choix pédagogiques'!$C$3=1,'Choix pédagogiques'!$C$3=2),$BN695=1),G695,IF(AND('Choix pédagogiques'!$C$3=3,$BO695=1),G695,""))</f>
        <v/>
      </c>
      <c r="AC695" s="22" t="str">
        <f>IF(AND(OR('Choix pédagogiques'!$C$3=1,'Choix pédagogiques'!$C$3=2),$BN695=1),H695,IF(AND('Choix pédagogiques'!$C$3=3,$BO695=1),H695,""))</f>
        <v/>
      </c>
      <c r="AD695" s="22" t="str">
        <f>IF(AND(OR('Choix pédagogiques'!$C$3=1,'Choix pédagogiques'!$C$3=2),$BN695=1),I695,IF(AND('Choix pédagogiques'!$C$3=3,$BO695=1),I695,""))</f>
        <v/>
      </c>
      <c r="AE695" s="22" t="str">
        <f t="shared" si="476"/>
        <v/>
      </c>
      <c r="AF695" s="21" t="str">
        <f t="shared" si="477"/>
        <v>Apprenant 683</v>
      </c>
      <c r="AG695" s="22" t="str">
        <f t="shared" si="451"/>
        <v/>
      </c>
      <c r="AH695" s="22" t="str">
        <f t="shared" si="452"/>
        <v/>
      </c>
      <c r="AI695" s="22" t="str">
        <f t="shared" si="453"/>
        <v/>
      </c>
      <c r="AJ695" s="22" t="str">
        <f t="shared" si="478"/>
        <v/>
      </c>
      <c r="AK695" s="21" t="str">
        <f t="shared" si="479"/>
        <v>Apprenant 683 ou 683'</v>
      </c>
      <c r="AL695" s="22" t="str">
        <f t="shared" si="454"/>
        <v/>
      </c>
      <c r="AM695" s="22" t="str">
        <f t="shared" si="455"/>
        <v/>
      </c>
      <c r="AN695" s="22" t="str">
        <f t="shared" si="456"/>
        <v/>
      </c>
      <c r="AO695" s="22" t="str">
        <f t="shared" si="480"/>
        <v/>
      </c>
      <c r="AQ695" s="21" t="str">
        <f t="shared" si="481"/>
        <v>Apprenant 683</v>
      </c>
      <c r="AR695" s="49" t="str">
        <f>IF(AND('Choix pédagogiques'!$C$4&lt;&gt;"?",'Choix pédagogiques'!$C$5&lt;&gt;"?",W695&lt;&gt;""),(W695-'Choix pédagogiques'!$C$4)/('Choix pédagogiques'!$C$5-'Choix pédagogiques'!$C$4),"")</f>
        <v/>
      </c>
      <c r="AS695" s="49" t="str">
        <f>IF(AND('Choix pédagogiques'!$C$4&lt;&gt;"?",'Choix pédagogiques'!$C$5&lt;&gt;"?",X695&lt;&gt;""),(X695-'Choix pédagogiques'!$C$4)/('Choix pédagogiques'!$C$5-'Choix pédagogiques'!$C$4),"")</f>
        <v/>
      </c>
      <c r="AT695" s="49" t="str">
        <f>IF(AND('Choix pédagogiques'!$C$4&lt;&gt;"?",'Choix pédagogiques'!$C$5&lt;&gt;"?",Y695&lt;&gt;""),(Y695-'Choix pédagogiques'!$C$4)/('Choix pédagogiques'!$C$5-'Choix pédagogiques'!$C$4),"")</f>
        <v/>
      </c>
      <c r="AU695" s="22" t="str">
        <f t="shared" si="482"/>
        <v/>
      </c>
      <c r="AV695" s="21" t="str">
        <f t="shared" si="483"/>
        <v>Apprenant 683 ou 683'</v>
      </c>
      <c r="AW695" s="49" t="str">
        <f>IF(AND('Choix pédagogiques'!$C$4&lt;&gt;"?",'Choix pédagogiques'!$C$5&lt;&gt;"?",AB695&lt;&gt;""),(AB695-'Choix pédagogiques'!$C$4)/('Choix pédagogiques'!$C$5-'Choix pédagogiques'!$C$4),"")</f>
        <v/>
      </c>
      <c r="AX695" s="49" t="str">
        <f>IF(AND('Choix pédagogiques'!$C$4&lt;&gt;"?",'Choix pédagogiques'!$C$5&lt;&gt;"?",AC695&lt;&gt;""),(AC695-'Choix pédagogiques'!$C$4)/('Choix pédagogiques'!$C$5-'Choix pédagogiques'!$C$4),"")</f>
        <v/>
      </c>
      <c r="AY695" s="49" t="str">
        <f>IF(AND('Choix pédagogiques'!$C$4&lt;&gt;"?",'Choix pédagogiques'!$C$5&lt;&gt;"?",AD695&lt;&gt;""),(AD695-'Choix pédagogiques'!$C$4)/('Choix pédagogiques'!$C$5-'Choix pédagogiques'!$C$4),"")</f>
        <v/>
      </c>
      <c r="AZ695" s="22" t="str">
        <f t="shared" si="484"/>
        <v/>
      </c>
      <c r="BA695" s="21" t="str">
        <f t="shared" si="485"/>
        <v>Apprenant 683</v>
      </c>
      <c r="BB695" s="49" t="str">
        <f t="shared" si="457"/>
        <v/>
      </c>
      <c r="BC695" s="49" t="str">
        <f t="shared" si="458"/>
        <v/>
      </c>
      <c r="BD695" s="49" t="str">
        <f t="shared" si="459"/>
        <v/>
      </c>
      <c r="BE695" s="22" t="str">
        <f t="shared" si="486"/>
        <v/>
      </c>
      <c r="BF695" s="21" t="str">
        <f t="shared" si="487"/>
        <v>Apprenant 683 ou 683'</v>
      </c>
      <c r="BG695" s="49" t="str">
        <f t="shared" si="460"/>
        <v/>
      </c>
      <c r="BH695" s="49" t="str">
        <f t="shared" si="461"/>
        <v/>
      </c>
      <c r="BI695" s="49" t="str">
        <f t="shared" si="462"/>
        <v/>
      </c>
      <c r="BJ695" s="22" t="str">
        <f t="shared" si="488"/>
        <v/>
      </c>
      <c r="BL695" s="21"/>
      <c r="BM695" s="21" t="str">
        <f>IF(OR(COUNT(B695:D1694)=0,AND('Choix pédagogiques'!$C$3&lt;&gt;1,'Choix pédagogiques'!$C$3&lt;&gt;2)),"",IF(AND(OR('Choix pédagogiques'!$C$3=1,'Choix pédagogiques'!$C$3=2),$B695&lt;&gt;"",$C695&lt;&gt;"",$D695&lt;&gt;""),1,0))</f>
        <v/>
      </c>
      <c r="BN695" s="21" t="str">
        <f>IF(OR(COUNT(G695:I1694)=0,AND('Choix pédagogiques'!$C$3&lt;&gt;1,'Choix pédagogiques'!$C$3&lt;&gt;2)),"",IF(AND(OR('Choix pédagogiques'!$C$3=1,'Choix pédagogiques'!$C$3=2),AND($G695&lt;&gt;"",$H695&lt;&gt;"",$I695&lt;&gt;"")),1,0))</f>
        <v/>
      </c>
      <c r="BO695" s="21" t="str">
        <f>IF(OR(COUNT(B695:D1694)=0,COUNT(G695:I1694)=0,'Choix pédagogiques'!C$3&lt;&gt;3),"",IF(AND('Choix pédagogiques'!$C$3=3,$B695&lt;&gt;"",$C695&lt;&gt;"",$D695&lt;&gt;"",$G695&lt;&gt;"",$H695&lt;&gt;"",$I695&lt;&gt;""),1,0))</f>
        <v/>
      </c>
      <c r="BR695" s="21">
        <v>951</v>
      </c>
      <c r="BS695" s="21">
        <v>1616</v>
      </c>
      <c r="BT695"/>
    </row>
    <row r="696" spans="1:72" s="23" customFormat="1" ht="18" customHeight="1" x14ac:dyDescent="0.3">
      <c r="A696" s="35" t="s">
        <v>686</v>
      </c>
      <c r="B696" s="37"/>
      <c r="C696" s="37"/>
      <c r="D696" s="37"/>
      <c r="E696" s="37"/>
      <c r="F696" s="35" t="s">
        <v>1694</v>
      </c>
      <c r="G696" s="37"/>
      <c r="H696" s="37"/>
      <c r="I696" s="37"/>
      <c r="J696" s="37"/>
      <c r="K696" s="21" t="str">
        <f t="shared" si="463"/>
        <v>Apprenant 684</v>
      </c>
      <c r="L696" s="22" t="str">
        <f t="shared" si="464"/>
        <v/>
      </c>
      <c r="M696" s="22" t="str">
        <f t="shared" si="465"/>
        <v/>
      </c>
      <c r="N696" s="22" t="str">
        <f t="shared" si="466"/>
        <v/>
      </c>
      <c r="O696" s="22" t="str">
        <f t="shared" si="467"/>
        <v/>
      </c>
      <c r="P696" s="21" t="str">
        <f t="shared" si="468"/>
        <v>Apprenant 684 ou 684'</v>
      </c>
      <c r="Q696" s="22" t="str">
        <f t="shared" si="469"/>
        <v/>
      </c>
      <c r="R696" s="22" t="str">
        <f t="shared" si="470"/>
        <v/>
      </c>
      <c r="S696" s="22" t="str">
        <f t="shared" si="471"/>
        <v/>
      </c>
      <c r="T696" s="22" t="str">
        <f t="shared" si="472"/>
        <v/>
      </c>
      <c r="V696" s="21" t="str">
        <f t="shared" si="473"/>
        <v>Apprenant 684</v>
      </c>
      <c r="W696" s="22" t="str">
        <f>IF(AND(OR('Choix pédagogiques'!$C$3=1,'Choix pédagogiques'!$C$3=2),$BM696=1),B696,IF(AND('Choix pédagogiques'!$C$3=3,$BO696=1),B696,""))</f>
        <v/>
      </c>
      <c r="X696" s="22" t="str">
        <f>IF(AND(OR('Choix pédagogiques'!$C$3=1,'Choix pédagogiques'!$C$3=2),$BM696=1),C696,IF(AND('Choix pédagogiques'!$C$3=3,$BO696=1),C696,""))</f>
        <v/>
      </c>
      <c r="Y696" s="22" t="str">
        <f>IF(AND(OR('Choix pédagogiques'!$C$3=1,'Choix pédagogiques'!$C$3=2),$BM696=1),D696,IF(AND('Choix pédagogiques'!$C$3=3,$BO696=1),D696,""))</f>
        <v/>
      </c>
      <c r="Z696" s="22" t="str">
        <f t="shared" si="474"/>
        <v/>
      </c>
      <c r="AA696" s="21" t="str">
        <f t="shared" si="475"/>
        <v>Apprenant 684 ou 684'</v>
      </c>
      <c r="AB696" s="22" t="str">
        <f>IF(AND(OR('Choix pédagogiques'!$C$3=1,'Choix pédagogiques'!$C$3=2),$BN696=1),G696,IF(AND('Choix pédagogiques'!$C$3=3,$BO696=1),G696,""))</f>
        <v/>
      </c>
      <c r="AC696" s="22" t="str">
        <f>IF(AND(OR('Choix pédagogiques'!$C$3=1,'Choix pédagogiques'!$C$3=2),$BN696=1),H696,IF(AND('Choix pédagogiques'!$C$3=3,$BO696=1),H696,""))</f>
        <v/>
      </c>
      <c r="AD696" s="22" t="str">
        <f>IF(AND(OR('Choix pédagogiques'!$C$3=1,'Choix pédagogiques'!$C$3=2),$BN696=1),I696,IF(AND('Choix pédagogiques'!$C$3=3,$BO696=1),I696,""))</f>
        <v/>
      </c>
      <c r="AE696" s="22" t="str">
        <f t="shared" si="476"/>
        <v/>
      </c>
      <c r="AF696" s="21" t="str">
        <f t="shared" si="477"/>
        <v>Apprenant 684</v>
      </c>
      <c r="AG696" s="22" t="str">
        <f t="shared" si="451"/>
        <v/>
      </c>
      <c r="AH696" s="22" t="str">
        <f t="shared" si="452"/>
        <v/>
      </c>
      <c r="AI696" s="22" t="str">
        <f t="shared" si="453"/>
        <v/>
      </c>
      <c r="AJ696" s="22" t="str">
        <f t="shared" si="478"/>
        <v/>
      </c>
      <c r="AK696" s="21" t="str">
        <f t="shared" si="479"/>
        <v>Apprenant 684 ou 684'</v>
      </c>
      <c r="AL696" s="22" t="str">
        <f t="shared" si="454"/>
        <v/>
      </c>
      <c r="AM696" s="22" t="str">
        <f t="shared" si="455"/>
        <v/>
      </c>
      <c r="AN696" s="22" t="str">
        <f t="shared" si="456"/>
        <v/>
      </c>
      <c r="AO696" s="22" t="str">
        <f t="shared" si="480"/>
        <v/>
      </c>
      <c r="AQ696" s="21" t="str">
        <f t="shared" si="481"/>
        <v>Apprenant 684</v>
      </c>
      <c r="AR696" s="49" t="str">
        <f>IF(AND('Choix pédagogiques'!$C$4&lt;&gt;"?",'Choix pédagogiques'!$C$5&lt;&gt;"?",W696&lt;&gt;""),(W696-'Choix pédagogiques'!$C$4)/('Choix pédagogiques'!$C$5-'Choix pédagogiques'!$C$4),"")</f>
        <v/>
      </c>
      <c r="AS696" s="49" t="str">
        <f>IF(AND('Choix pédagogiques'!$C$4&lt;&gt;"?",'Choix pédagogiques'!$C$5&lt;&gt;"?",X696&lt;&gt;""),(X696-'Choix pédagogiques'!$C$4)/('Choix pédagogiques'!$C$5-'Choix pédagogiques'!$C$4),"")</f>
        <v/>
      </c>
      <c r="AT696" s="49" t="str">
        <f>IF(AND('Choix pédagogiques'!$C$4&lt;&gt;"?",'Choix pédagogiques'!$C$5&lt;&gt;"?",Y696&lt;&gt;""),(Y696-'Choix pédagogiques'!$C$4)/('Choix pédagogiques'!$C$5-'Choix pédagogiques'!$C$4),"")</f>
        <v/>
      </c>
      <c r="AU696" s="22" t="str">
        <f t="shared" si="482"/>
        <v/>
      </c>
      <c r="AV696" s="21" t="str">
        <f t="shared" si="483"/>
        <v>Apprenant 684 ou 684'</v>
      </c>
      <c r="AW696" s="49" t="str">
        <f>IF(AND('Choix pédagogiques'!$C$4&lt;&gt;"?",'Choix pédagogiques'!$C$5&lt;&gt;"?",AB696&lt;&gt;""),(AB696-'Choix pédagogiques'!$C$4)/('Choix pédagogiques'!$C$5-'Choix pédagogiques'!$C$4),"")</f>
        <v/>
      </c>
      <c r="AX696" s="49" t="str">
        <f>IF(AND('Choix pédagogiques'!$C$4&lt;&gt;"?",'Choix pédagogiques'!$C$5&lt;&gt;"?",AC696&lt;&gt;""),(AC696-'Choix pédagogiques'!$C$4)/('Choix pédagogiques'!$C$5-'Choix pédagogiques'!$C$4),"")</f>
        <v/>
      </c>
      <c r="AY696" s="49" t="str">
        <f>IF(AND('Choix pédagogiques'!$C$4&lt;&gt;"?",'Choix pédagogiques'!$C$5&lt;&gt;"?",AD696&lt;&gt;""),(AD696-'Choix pédagogiques'!$C$4)/('Choix pédagogiques'!$C$5-'Choix pédagogiques'!$C$4),"")</f>
        <v/>
      </c>
      <c r="AZ696" s="22" t="str">
        <f t="shared" si="484"/>
        <v/>
      </c>
      <c r="BA696" s="21" t="str">
        <f t="shared" si="485"/>
        <v>Apprenant 684</v>
      </c>
      <c r="BB696" s="49" t="str">
        <f t="shared" si="457"/>
        <v/>
      </c>
      <c r="BC696" s="49" t="str">
        <f t="shared" si="458"/>
        <v/>
      </c>
      <c r="BD696" s="49" t="str">
        <f t="shared" si="459"/>
        <v/>
      </c>
      <c r="BE696" s="22" t="str">
        <f t="shared" si="486"/>
        <v/>
      </c>
      <c r="BF696" s="21" t="str">
        <f t="shared" si="487"/>
        <v>Apprenant 684 ou 684'</v>
      </c>
      <c r="BG696" s="49" t="str">
        <f t="shared" si="460"/>
        <v/>
      </c>
      <c r="BH696" s="49" t="str">
        <f t="shared" si="461"/>
        <v/>
      </c>
      <c r="BI696" s="49" t="str">
        <f t="shared" si="462"/>
        <v/>
      </c>
      <c r="BJ696" s="22" t="str">
        <f t="shared" si="488"/>
        <v/>
      </c>
      <c r="BL696" s="21"/>
      <c r="BM696" s="21" t="str">
        <f>IF(OR(COUNT(B696:D1695)=0,AND('Choix pédagogiques'!$C$3&lt;&gt;1,'Choix pédagogiques'!$C$3&lt;&gt;2)),"",IF(AND(OR('Choix pédagogiques'!$C$3=1,'Choix pédagogiques'!$C$3=2),$B696&lt;&gt;"",$C696&lt;&gt;"",$D696&lt;&gt;""),1,0))</f>
        <v/>
      </c>
      <c r="BN696" s="21" t="str">
        <f>IF(OR(COUNT(G696:I1695)=0,AND('Choix pédagogiques'!$C$3&lt;&gt;1,'Choix pédagogiques'!$C$3&lt;&gt;2)),"",IF(AND(OR('Choix pédagogiques'!$C$3=1,'Choix pédagogiques'!$C$3=2),AND($G696&lt;&gt;"",$H696&lt;&gt;"",$I696&lt;&gt;"")),1,0))</f>
        <v/>
      </c>
      <c r="BO696" s="21" t="str">
        <f>IF(OR(COUNT(B696:D1695)=0,COUNT(G696:I1695)=0,'Choix pédagogiques'!C$3&lt;&gt;3),"",IF(AND('Choix pédagogiques'!$C$3=3,$B696&lt;&gt;"",$C696&lt;&gt;"",$D696&lt;&gt;"",$G696&lt;&gt;"",$H696&lt;&gt;"",$I696&lt;&gt;""),1,0))</f>
        <v/>
      </c>
      <c r="BR696" s="21">
        <v>33</v>
      </c>
      <c r="BS696" s="21">
        <v>1618</v>
      </c>
      <c r="BT696"/>
    </row>
    <row r="697" spans="1:72" s="23" customFormat="1" ht="18" customHeight="1" x14ac:dyDescent="0.3">
      <c r="A697" s="35" t="s">
        <v>687</v>
      </c>
      <c r="B697" s="37"/>
      <c r="C697" s="37"/>
      <c r="D697" s="37"/>
      <c r="E697" s="37"/>
      <c r="F697" s="35" t="s">
        <v>1695</v>
      </c>
      <c r="G697" s="37"/>
      <c r="H697" s="37"/>
      <c r="I697" s="37"/>
      <c r="J697" s="37"/>
      <c r="K697" s="21" t="str">
        <f t="shared" si="463"/>
        <v>Apprenant 685</v>
      </c>
      <c r="L697" s="22" t="str">
        <f t="shared" si="464"/>
        <v/>
      </c>
      <c r="M697" s="22" t="str">
        <f t="shared" si="465"/>
        <v/>
      </c>
      <c r="N697" s="22" t="str">
        <f t="shared" si="466"/>
        <v/>
      </c>
      <c r="O697" s="22" t="str">
        <f t="shared" si="467"/>
        <v/>
      </c>
      <c r="P697" s="21" t="str">
        <f t="shared" si="468"/>
        <v>Apprenant 685 ou 685'</v>
      </c>
      <c r="Q697" s="22" t="str">
        <f t="shared" si="469"/>
        <v/>
      </c>
      <c r="R697" s="22" t="str">
        <f t="shared" si="470"/>
        <v/>
      </c>
      <c r="S697" s="22" t="str">
        <f t="shared" si="471"/>
        <v/>
      </c>
      <c r="T697" s="22" t="str">
        <f t="shared" si="472"/>
        <v/>
      </c>
      <c r="V697" s="21" t="str">
        <f t="shared" si="473"/>
        <v>Apprenant 685</v>
      </c>
      <c r="W697" s="22" t="str">
        <f>IF(AND(OR('Choix pédagogiques'!$C$3=1,'Choix pédagogiques'!$C$3=2),$BM697=1),B697,IF(AND('Choix pédagogiques'!$C$3=3,$BO697=1),B697,""))</f>
        <v/>
      </c>
      <c r="X697" s="22" t="str">
        <f>IF(AND(OR('Choix pédagogiques'!$C$3=1,'Choix pédagogiques'!$C$3=2),$BM697=1),C697,IF(AND('Choix pédagogiques'!$C$3=3,$BO697=1),C697,""))</f>
        <v/>
      </c>
      <c r="Y697" s="22" t="str">
        <f>IF(AND(OR('Choix pédagogiques'!$C$3=1,'Choix pédagogiques'!$C$3=2),$BM697=1),D697,IF(AND('Choix pédagogiques'!$C$3=3,$BO697=1),D697,""))</f>
        <v/>
      </c>
      <c r="Z697" s="22" t="str">
        <f t="shared" si="474"/>
        <v/>
      </c>
      <c r="AA697" s="21" t="str">
        <f t="shared" si="475"/>
        <v>Apprenant 685 ou 685'</v>
      </c>
      <c r="AB697" s="22" t="str">
        <f>IF(AND(OR('Choix pédagogiques'!$C$3=1,'Choix pédagogiques'!$C$3=2),$BN697=1),G697,IF(AND('Choix pédagogiques'!$C$3=3,$BO697=1),G697,""))</f>
        <v/>
      </c>
      <c r="AC697" s="22" t="str">
        <f>IF(AND(OR('Choix pédagogiques'!$C$3=1,'Choix pédagogiques'!$C$3=2),$BN697=1),H697,IF(AND('Choix pédagogiques'!$C$3=3,$BO697=1),H697,""))</f>
        <v/>
      </c>
      <c r="AD697" s="22" t="str">
        <f>IF(AND(OR('Choix pédagogiques'!$C$3=1,'Choix pédagogiques'!$C$3=2),$BN697=1),I697,IF(AND('Choix pédagogiques'!$C$3=3,$BO697=1),I697,""))</f>
        <v/>
      </c>
      <c r="AE697" s="22" t="str">
        <f t="shared" si="476"/>
        <v/>
      </c>
      <c r="AF697" s="21" t="str">
        <f t="shared" si="477"/>
        <v>Apprenant 685</v>
      </c>
      <c r="AG697" s="22" t="str">
        <f t="shared" si="451"/>
        <v/>
      </c>
      <c r="AH697" s="22" t="str">
        <f t="shared" si="452"/>
        <v/>
      </c>
      <c r="AI697" s="22" t="str">
        <f t="shared" si="453"/>
        <v/>
      </c>
      <c r="AJ697" s="22" t="str">
        <f t="shared" si="478"/>
        <v/>
      </c>
      <c r="AK697" s="21" t="str">
        <f t="shared" si="479"/>
        <v>Apprenant 685 ou 685'</v>
      </c>
      <c r="AL697" s="22" t="str">
        <f t="shared" si="454"/>
        <v/>
      </c>
      <c r="AM697" s="22" t="str">
        <f t="shared" si="455"/>
        <v/>
      </c>
      <c r="AN697" s="22" t="str">
        <f t="shared" si="456"/>
        <v/>
      </c>
      <c r="AO697" s="22" t="str">
        <f t="shared" si="480"/>
        <v/>
      </c>
      <c r="AQ697" s="21" t="str">
        <f t="shared" si="481"/>
        <v>Apprenant 685</v>
      </c>
      <c r="AR697" s="49" t="str">
        <f>IF(AND('Choix pédagogiques'!$C$4&lt;&gt;"?",'Choix pédagogiques'!$C$5&lt;&gt;"?",W697&lt;&gt;""),(W697-'Choix pédagogiques'!$C$4)/('Choix pédagogiques'!$C$5-'Choix pédagogiques'!$C$4),"")</f>
        <v/>
      </c>
      <c r="AS697" s="49" t="str">
        <f>IF(AND('Choix pédagogiques'!$C$4&lt;&gt;"?",'Choix pédagogiques'!$C$5&lt;&gt;"?",X697&lt;&gt;""),(X697-'Choix pédagogiques'!$C$4)/('Choix pédagogiques'!$C$5-'Choix pédagogiques'!$C$4),"")</f>
        <v/>
      </c>
      <c r="AT697" s="49" t="str">
        <f>IF(AND('Choix pédagogiques'!$C$4&lt;&gt;"?",'Choix pédagogiques'!$C$5&lt;&gt;"?",Y697&lt;&gt;""),(Y697-'Choix pédagogiques'!$C$4)/('Choix pédagogiques'!$C$5-'Choix pédagogiques'!$C$4),"")</f>
        <v/>
      </c>
      <c r="AU697" s="22" t="str">
        <f t="shared" si="482"/>
        <v/>
      </c>
      <c r="AV697" s="21" t="str">
        <f t="shared" si="483"/>
        <v>Apprenant 685 ou 685'</v>
      </c>
      <c r="AW697" s="49" t="str">
        <f>IF(AND('Choix pédagogiques'!$C$4&lt;&gt;"?",'Choix pédagogiques'!$C$5&lt;&gt;"?",AB697&lt;&gt;""),(AB697-'Choix pédagogiques'!$C$4)/('Choix pédagogiques'!$C$5-'Choix pédagogiques'!$C$4),"")</f>
        <v/>
      </c>
      <c r="AX697" s="49" t="str">
        <f>IF(AND('Choix pédagogiques'!$C$4&lt;&gt;"?",'Choix pédagogiques'!$C$5&lt;&gt;"?",AC697&lt;&gt;""),(AC697-'Choix pédagogiques'!$C$4)/('Choix pédagogiques'!$C$5-'Choix pédagogiques'!$C$4),"")</f>
        <v/>
      </c>
      <c r="AY697" s="49" t="str">
        <f>IF(AND('Choix pédagogiques'!$C$4&lt;&gt;"?",'Choix pédagogiques'!$C$5&lt;&gt;"?",AD697&lt;&gt;""),(AD697-'Choix pédagogiques'!$C$4)/('Choix pédagogiques'!$C$5-'Choix pédagogiques'!$C$4),"")</f>
        <v/>
      </c>
      <c r="AZ697" s="22" t="str">
        <f t="shared" si="484"/>
        <v/>
      </c>
      <c r="BA697" s="21" t="str">
        <f t="shared" si="485"/>
        <v>Apprenant 685</v>
      </c>
      <c r="BB697" s="49" t="str">
        <f t="shared" si="457"/>
        <v/>
      </c>
      <c r="BC697" s="49" t="str">
        <f t="shared" si="458"/>
        <v/>
      </c>
      <c r="BD697" s="49" t="str">
        <f t="shared" si="459"/>
        <v/>
      </c>
      <c r="BE697" s="22" t="str">
        <f t="shared" si="486"/>
        <v/>
      </c>
      <c r="BF697" s="21" t="str">
        <f t="shared" si="487"/>
        <v>Apprenant 685 ou 685'</v>
      </c>
      <c r="BG697" s="49" t="str">
        <f t="shared" si="460"/>
        <v/>
      </c>
      <c r="BH697" s="49" t="str">
        <f t="shared" si="461"/>
        <v/>
      </c>
      <c r="BI697" s="49" t="str">
        <f t="shared" si="462"/>
        <v/>
      </c>
      <c r="BJ697" s="22" t="str">
        <f t="shared" si="488"/>
        <v/>
      </c>
      <c r="BL697" s="21"/>
      <c r="BM697" s="21" t="str">
        <f>IF(OR(COUNT(B697:D1696)=0,AND('Choix pédagogiques'!$C$3&lt;&gt;1,'Choix pédagogiques'!$C$3&lt;&gt;2)),"",IF(AND(OR('Choix pédagogiques'!$C$3=1,'Choix pédagogiques'!$C$3=2),$B697&lt;&gt;"",$C697&lt;&gt;"",$D697&lt;&gt;""),1,0))</f>
        <v/>
      </c>
      <c r="BN697" s="21" t="str">
        <f>IF(OR(COUNT(G697:I1696)=0,AND('Choix pédagogiques'!$C$3&lt;&gt;1,'Choix pédagogiques'!$C$3&lt;&gt;2)),"",IF(AND(OR('Choix pédagogiques'!$C$3=1,'Choix pédagogiques'!$C$3=2),AND($G697&lt;&gt;"",$H697&lt;&gt;"",$I697&lt;&gt;"")),1,0))</f>
        <v/>
      </c>
      <c r="BO697" s="21" t="str">
        <f>IF(OR(COUNT(B697:D1696)=0,COUNT(G697:I1696)=0,'Choix pédagogiques'!C$3&lt;&gt;3),"",IF(AND('Choix pédagogiques'!$C$3=3,$B697&lt;&gt;"",$C697&lt;&gt;"",$D697&lt;&gt;"",$G697&lt;&gt;"",$H697&lt;&gt;"",$I697&lt;&gt;""),1,0))</f>
        <v/>
      </c>
      <c r="BR697" s="21">
        <v>156</v>
      </c>
      <c r="BS697" s="21">
        <v>1462</v>
      </c>
      <c r="BT697"/>
    </row>
    <row r="698" spans="1:72" s="23" customFormat="1" ht="18" customHeight="1" x14ac:dyDescent="0.3">
      <c r="A698" s="35" t="s">
        <v>688</v>
      </c>
      <c r="B698" s="37"/>
      <c r="C698" s="37"/>
      <c r="D698" s="37"/>
      <c r="E698" s="37"/>
      <c r="F698" s="35" t="s">
        <v>1696</v>
      </c>
      <c r="G698" s="37"/>
      <c r="H698" s="37"/>
      <c r="I698" s="37"/>
      <c r="J698" s="37"/>
      <c r="K698" s="21" t="str">
        <f t="shared" si="463"/>
        <v>Apprenant 686</v>
      </c>
      <c r="L698" s="22" t="str">
        <f t="shared" si="464"/>
        <v/>
      </c>
      <c r="M698" s="22" t="str">
        <f t="shared" si="465"/>
        <v/>
      </c>
      <c r="N698" s="22" t="str">
        <f t="shared" si="466"/>
        <v/>
      </c>
      <c r="O698" s="22" t="str">
        <f t="shared" si="467"/>
        <v/>
      </c>
      <c r="P698" s="21" t="str">
        <f t="shared" si="468"/>
        <v>Apprenant 686 ou 686'</v>
      </c>
      <c r="Q698" s="22" t="str">
        <f t="shared" si="469"/>
        <v/>
      </c>
      <c r="R698" s="22" t="str">
        <f t="shared" si="470"/>
        <v/>
      </c>
      <c r="S698" s="22" t="str">
        <f t="shared" si="471"/>
        <v/>
      </c>
      <c r="T698" s="22" t="str">
        <f t="shared" si="472"/>
        <v/>
      </c>
      <c r="V698" s="21" t="str">
        <f t="shared" si="473"/>
        <v>Apprenant 686</v>
      </c>
      <c r="W698" s="22" t="str">
        <f>IF(AND(OR('Choix pédagogiques'!$C$3=1,'Choix pédagogiques'!$C$3=2),$BM698=1),B698,IF(AND('Choix pédagogiques'!$C$3=3,$BO698=1),B698,""))</f>
        <v/>
      </c>
      <c r="X698" s="22" t="str">
        <f>IF(AND(OR('Choix pédagogiques'!$C$3=1,'Choix pédagogiques'!$C$3=2),$BM698=1),C698,IF(AND('Choix pédagogiques'!$C$3=3,$BO698=1),C698,""))</f>
        <v/>
      </c>
      <c r="Y698" s="22" t="str">
        <f>IF(AND(OR('Choix pédagogiques'!$C$3=1,'Choix pédagogiques'!$C$3=2),$BM698=1),D698,IF(AND('Choix pédagogiques'!$C$3=3,$BO698=1),D698,""))</f>
        <v/>
      </c>
      <c r="Z698" s="22" t="str">
        <f t="shared" si="474"/>
        <v/>
      </c>
      <c r="AA698" s="21" t="str">
        <f t="shared" si="475"/>
        <v>Apprenant 686 ou 686'</v>
      </c>
      <c r="AB698" s="22" t="str">
        <f>IF(AND(OR('Choix pédagogiques'!$C$3=1,'Choix pédagogiques'!$C$3=2),$BN698=1),G698,IF(AND('Choix pédagogiques'!$C$3=3,$BO698=1),G698,""))</f>
        <v/>
      </c>
      <c r="AC698" s="22" t="str">
        <f>IF(AND(OR('Choix pédagogiques'!$C$3=1,'Choix pédagogiques'!$C$3=2),$BN698=1),H698,IF(AND('Choix pédagogiques'!$C$3=3,$BO698=1),H698,""))</f>
        <v/>
      </c>
      <c r="AD698" s="22" t="str">
        <f>IF(AND(OR('Choix pédagogiques'!$C$3=1,'Choix pédagogiques'!$C$3=2),$BN698=1),I698,IF(AND('Choix pédagogiques'!$C$3=3,$BO698=1),I698,""))</f>
        <v/>
      </c>
      <c r="AE698" s="22" t="str">
        <f t="shared" si="476"/>
        <v/>
      </c>
      <c r="AF698" s="21" t="str">
        <f t="shared" si="477"/>
        <v>Apprenant 686</v>
      </c>
      <c r="AG698" s="22" t="str">
        <f t="shared" si="451"/>
        <v/>
      </c>
      <c r="AH698" s="22" t="str">
        <f t="shared" si="452"/>
        <v/>
      </c>
      <c r="AI698" s="22" t="str">
        <f t="shared" si="453"/>
        <v/>
      </c>
      <c r="AJ698" s="22" t="str">
        <f t="shared" si="478"/>
        <v/>
      </c>
      <c r="AK698" s="21" t="str">
        <f t="shared" si="479"/>
        <v>Apprenant 686 ou 686'</v>
      </c>
      <c r="AL698" s="22" t="str">
        <f t="shared" si="454"/>
        <v/>
      </c>
      <c r="AM698" s="22" t="str">
        <f t="shared" si="455"/>
        <v/>
      </c>
      <c r="AN698" s="22" t="str">
        <f t="shared" si="456"/>
        <v/>
      </c>
      <c r="AO698" s="22" t="str">
        <f t="shared" si="480"/>
        <v/>
      </c>
      <c r="AQ698" s="21" t="str">
        <f t="shared" si="481"/>
        <v>Apprenant 686</v>
      </c>
      <c r="AR698" s="49" t="str">
        <f>IF(AND('Choix pédagogiques'!$C$4&lt;&gt;"?",'Choix pédagogiques'!$C$5&lt;&gt;"?",W698&lt;&gt;""),(W698-'Choix pédagogiques'!$C$4)/('Choix pédagogiques'!$C$5-'Choix pédagogiques'!$C$4),"")</f>
        <v/>
      </c>
      <c r="AS698" s="49" t="str">
        <f>IF(AND('Choix pédagogiques'!$C$4&lt;&gt;"?",'Choix pédagogiques'!$C$5&lt;&gt;"?",X698&lt;&gt;""),(X698-'Choix pédagogiques'!$C$4)/('Choix pédagogiques'!$C$5-'Choix pédagogiques'!$C$4),"")</f>
        <v/>
      </c>
      <c r="AT698" s="49" t="str">
        <f>IF(AND('Choix pédagogiques'!$C$4&lt;&gt;"?",'Choix pédagogiques'!$C$5&lt;&gt;"?",Y698&lt;&gt;""),(Y698-'Choix pédagogiques'!$C$4)/('Choix pédagogiques'!$C$5-'Choix pédagogiques'!$C$4),"")</f>
        <v/>
      </c>
      <c r="AU698" s="22" t="str">
        <f t="shared" si="482"/>
        <v/>
      </c>
      <c r="AV698" s="21" t="str">
        <f t="shared" si="483"/>
        <v>Apprenant 686 ou 686'</v>
      </c>
      <c r="AW698" s="49" t="str">
        <f>IF(AND('Choix pédagogiques'!$C$4&lt;&gt;"?",'Choix pédagogiques'!$C$5&lt;&gt;"?",AB698&lt;&gt;""),(AB698-'Choix pédagogiques'!$C$4)/('Choix pédagogiques'!$C$5-'Choix pédagogiques'!$C$4),"")</f>
        <v/>
      </c>
      <c r="AX698" s="49" t="str">
        <f>IF(AND('Choix pédagogiques'!$C$4&lt;&gt;"?",'Choix pédagogiques'!$C$5&lt;&gt;"?",AC698&lt;&gt;""),(AC698-'Choix pédagogiques'!$C$4)/('Choix pédagogiques'!$C$5-'Choix pédagogiques'!$C$4),"")</f>
        <v/>
      </c>
      <c r="AY698" s="49" t="str">
        <f>IF(AND('Choix pédagogiques'!$C$4&lt;&gt;"?",'Choix pédagogiques'!$C$5&lt;&gt;"?",AD698&lt;&gt;""),(AD698-'Choix pédagogiques'!$C$4)/('Choix pédagogiques'!$C$5-'Choix pédagogiques'!$C$4),"")</f>
        <v/>
      </c>
      <c r="AZ698" s="22" t="str">
        <f t="shared" si="484"/>
        <v/>
      </c>
      <c r="BA698" s="21" t="str">
        <f t="shared" si="485"/>
        <v>Apprenant 686</v>
      </c>
      <c r="BB698" s="49" t="str">
        <f t="shared" si="457"/>
        <v/>
      </c>
      <c r="BC698" s="49" t="str">
        <f t="shared" si="458"/>
        <v/>
      </c>
      <c r="BD698" s="49" t="str">
        <f t="shared" si="459"/>
        <v/>
      </c>
      <c r="BE698" s="22" t="str">
        <f t="shared" si="486"/>
        <v/>
      </c>
      <c r="BF698" s="21" t="str">
        <f t="shared" si="487"/>
        <v>Apprenant 686 ou 686'</v>
      </c>
      <c r="BG698" s="49" t="str">
        <f t="shared" si="460"/>
        <v/>
      </c>
      <c r="BH698" s="49" t="str">
        <f t="shared" si="461"/>
        <v/>
      </c>
      <c r="BI698" s="49" t="str">
        <f t="shared" si="462"/>
        <v/>
      </c>
      <c r="BJ698" s="22" t="str">
        <f t="shared" si="488"/>
        <v/>
      </c>
      <c r="BL698" s="21"/>
      <c r="BM698" s="21" t="str">
        <f>IF(OR(COUNT(B698:D1697)=0,AND('Choix pédagogiques'!$C$3&lt;&gt;1,'Choix pédagogiques'!$C$3&lt;&gt;2)),"",IF(AND(OR('Choix pédagogiques'!$C$3=1,'Choix pédagogiques'!$C$3=2),$B698&lt;&gt;"",$C698&lt;&gt;"",$D698&lt;&gt;""),1,0))</f>
        <v/>
      </c>
      <c r="BN698" s="21" t="str">
        <f>IF(OR(COUNT(G698:I1697)=0,AND('Choix pédagogiques'!$C$3&lt;&gt;1,'Choix pédagogiques'!$C$3&lt;&gt;2)),"",IF(AND(OR('Choix pédagogiques'!$C$3=1,'Choix pédagogiques'!$C$3=2),AND($G698&lt;&gt;"",$H698&lt;&gt;"",$I698&lt;&gt;"")),1,0))</f>
        <v/>
      </c>
      <c r="BO698" s="21" t="str">
        <f>IF(OR(COUNT(B698:D1697)=0,COUNT(G698:I1697)=0,'Choix pédagogiques'!C$3&lt;&gt;3),"",IF(AND('Choix pédagogiques'!$C$3=3,$B698&lt;&gt;"",$C698&lt;&gt;"",$D698&lt;&gt;"",$G698&lt;&gt;"",$H698&lt;&gt;"",$I698&lt;&gt;""),1,0))</f>
        <v/>
      </c>
      <c r="BR698" s="21">
        <v>950</v>
      </c>
      <c r="BS698" s="21">
        <v>1854</v>
      </c>
      <c r="BT698"/>
    </row>
    <row r="699" spans="1:72" s="23" customFormat="1" ht="18" customHeight="1" x14ac:dyDescent="0.3">
      <c r="A699" s="35" t="s">
        <v>689</v>
      </c>
      <c r="B699" s="37"/>
      <c r="C699" s="37"/>
      <c r="D699" s="37"/>
      <c r="E699" s="37"/>
      <c r="F699" s="35" t="s">
        <v>1697</v>
      </c>
      <c r="G699" s="37"/>
      <c r="H699" s="37"/>
      <c r="I699" s="37"/>
      <c r="J699" s="37"/>
      <c r="K699" s="21" t="str">
        <f t="shared" si="463"/>
        <v>Apprenant 687</v>
      </c>
      <c r="L699" s="22" t="str">
        <f t="shared" si="464"/>
        <v/>
      </c>
      <c r="M699" s="22" t="str">
        <f t="shared" si="465"/>
        <v/>
      </c>
      <c r="N699" s="22" t="str">
        <f t="shared" si="466"/>
        <v/>
      </c>
      <c r="O699" s="22" t="str">
        <f t="shared" si="467"/>
        <v/>
      </c>
      <c r="P699" s="21" t="str">
        <f t="shared" si="468"/>
        <v>Apprenant 687 ou 687'</v>
      </c>
      <c r="Q699" s="22" t="str">
        <f t="shared" si="469"/>
        <v/>
      </c>
      <c r="R699" s="22" t="str">
        <f t="shared" si="470"/>
        <v/>
      </c>
      <c r="S699" s="22" t="str">
        <f t="shared" si="471"/>
        <v/>
      </c>
      <c r="T699" s="22" t="str">
        <f t="shared" si="472"/>
        <v/>
      </c>
      <c r="V699" s="21" t="str">
        <f t="shared" si="473"/>
        <v>Apprenant 687</v>
      </c>
      <c r="W699" s="22" t="str">
        <f>IF(AND(OR('Choix pédagogiques'!$C$3=1,'Choix pédagogiques'!$C$3=2),$BM699=1),B699,IF(AND('Choix pédagogiques'!$C$3=3,$BO699=1),B699,""))</f>
        <v/>
      </c>
      <c r="X699" s="22" t="str">
        <f>IF(AND(OR('Choix pédagogiques'!$C$3=1,'Choix pédagogiques'!$C$3=2),$BM699=1),C699,IF(AND('Choix pédagogiques'!$C$3=3,$BO699=1),C699,""))</f>
        <v/>
      </c>
      <c r="Y699" s="22" t="str">
        <f>IF(AND(OR('Choix pédagogiques'!$C$3=1,'Choix pédagogiques'!$C$3=2),$BM699=1),D699,IF(AND('Choix pédagogiques'!$C$3=3,$BO699=1),D699,""))</f>
        <v/>
      </c>
      <c r="Z699" s="22" t="str">
        <f t="shared" si="474"/>
        <v/>
      </c>
      <c r="AA699" s="21" t="str">
        <f t="shared" si="475"/>
        <v>Apprenant 687 ou 687'</v>
      </c>
      <c r="AB699" s="22" t="str">
        <f>IF(AND(OR('Choix pédagogiques'!$C$3=1,'Choix pédagogiques'!$C$3=2),$BN699=1),G699,IF(AND('Choix pédagogiques'!$C$3=3,$BO699=1),G699,""))</f>
        <v/>
      </c>
      <c r="AC699" s="22" t="str">
        <f>IF(AND(OR('Choix pédagogiques'!$C$3=1,'Choix pédagogiques'!$C$3=2),$BN699=1),H699,IF(AND('Choix pédagogiques'!$C$3=3,$BO699=1),H699,""))</f>
        <v/>
      </c>
      <c r="AD699" s="22" t="str">
        <f>IF(AND(OR('Choix pédagogiques'!$C$3=1,'Choix pédagogiques'!$C$3=2),$BN699=1),I699,IF(AND('Choix pédagogiques'!$C$3=3,$BO699=1),I699,""))</f>
        <v/>
      </c>
      <c r="AE699" s="22" t="str">
        <f t="shared" si="476"/>
        <v/>
      </c>
      <c r="AF699" s="21" t="str">
        <f t="shared" si="477"/>
        <v>Apprenant 687</v>
      </c>
      <c r="AG699" s="22" t="str">
        <f t="shared" si="451"/>
        <v/>
      </c>
      <c r="AH699" s="22" t="str">
        <f t="shared" si="452"/>
        <v/>
      </c>
      <c r="AI699" s="22" t="str">
        <f t="shared" si="453"/>
        <v/>
      </c>
      <c r="AJ699" s="22" t="str">
        <f t="shared" si="478"/>
        <v/>
      </c>
      <c r="AK699" s="21" t="str">
        <f t="shared" si="479"/>
        <v>Apprenant 687 ou 687'</v>
      </c>
      <c r="AL699" s="22" t="str">
        <f t="shared" si="454"/>
        <v/>
      </c>
      <c r="AM699" s="22" t="str">
        <f t="shared" si="455"/>
        <v/>
      </c>
      <c r="AN699" s="22" t="str">
        <f t="shared" si="456"/>
        <v/>
      </c>
      <c r="AO699" s="22" t="str">
        <f t="shared" si="480"/>
        <v/>
      </c>
      <c r="AQ699" s="21" t="str">
        <f t="shared" si="481"/>
        <v>Apprenant 687</v>
      </c>
      <c r="AR699" s="49" t="str">
        <f>IF(AND('Choix pédagogiques'!$C$4&lt;&gt;"?",'Choix pédagogiques'!$C$5&lt;&gt;"?",W699&lt;&gt;""),(W699-'Choix pédagogiques'!$C$4)/('Choix pédagogiques'!$C$5-'Choix pédagogiques'!$C$4),"")</f>
        <v/>
      </c>
      <c r="AS699" s="49" t="str">
        <f>IF(AND('Choix pédagogiques'!$C$4&lt;&gt;"?",'Choix pédagogiques'!$C$5&lt;&gt;"?",X699&lt;&gt;""),(X699-'Choix pédagogiques'!$C$4)/('Choix pédagogiques'!$C$5-'Choix pédagogiques'!$C$4),"")</f>
        <v/>
      </c>
      <c r="AT699" s="49" t="str">
        <f>IF(AND('Choix pédagogiques'!$C$4&lt;&gt;"?",'Choix pédagogiques'!$C$5&lt;&gt;"?",Y699&lt;&gt;""),(Y699-'Choix pédagogiques'!$C$4)/('Choix pédagogiques'!$C$5-'Choix pédagogiques'!$C$4),"")</f>
        <v/>
      </c>
      <c r="AU699" s="22" t="str">
        <f t="shared" si="482"/>
        <v/>
      </c>
      <c r="AV699" s="21" t="str">
        <f t="shared" si="483"/>
        <v>Apprenant 687 ou 687'</v>
      </c>
      <c r="AW699" s="49" t="str">
        <f>IF(AND('Choix pédagogiques'!$C$4&lt;&gt;"?",'Choix pédagogiques'!$C$5&lt;&gt;"?",AB699&lt;&gt;""),(AB699-'Choix pédagogiques'!$C$4)/('Choix pédagogiques'!$C$5-'Choix pédagogiques'!$C$4),"")</f>
        <v/>
      </c>
      <c r="AX699" s="49" t="str">
        <f>IF(AND('Choix pédagogiques'!$C$4&lt;&gt;"?",'Choix pédagogiques'!$C$5&lt;&gt;"?",AC699&lt;&gt;""),(AC699-'Choix pédagogiques'!$C$4)/('Choix pédagogiques'!$C$5-'Choix pédagogiques'!$C$4),"")</f>
        <v/>
      </c>
      <c r="AY699" s="49" t="str">
        <f>IF(AND('Choix pédagogiques'!$C$4&lt;&gt;"?",'Choix pédagogiques'!$C$5&lt;&gt;"?",AD699&lt;&gt;""),(AD699-'Choix pédagogiques'!$C$4)/('Choix pédagogiques'!$C$5-'Choix pédagogiques'!$C$4),"")</f>
        <v/>
      </c>
      <c r="AZ699" s="22" t="str">
        <f t="shared" si="484"/>
        <v/>
      </c>
      <c r="BA699" s="21" t="str">
        <f t="shared" si="485"/>
        <v>Apprenant 687</v>
      </c>
      <c r="BB699" s="49" t="str">
        <f t="shared" si="457"/>
        <v/>
      </c>
      <c r="BC699" s="49" t="str">
        <f t="shared" si="458"/>
        <v/>
      </c>
      <c r="BD699" s="49" t="str">
        <f t="shared" si="459"/>
        <v/>
      </c>
      <c r="BE699" s="22" t="str">
        <f t="shared" si="486"/>
        <v/>
      </c>
      <c r="BF699" s="21" t="str">
        <f t="shared" si="487"/>
        <v>Apprenant 687 ou 687'</v>
      </c>
      <c r="BG699" s="49" t="str">
        <f t="shared" si="460"/>
        <v/>
      </c>
      <c r="BH699" s="49" t="str">
        <f t="shared" si="461"/>
        <v/>
      </c>
      <c r="BI699" s="49" t="str">
        <f t="shared" si="462"/>
        <v/>
      </c>
      <c r="BJ699" s="22" t="str">
        <f t="shared" si="488"/>
        <v/>
      </c>
      <c r="BL699" s="21"/>
      <c r="BM699" s="21" t="str">
        <f>IF(OR(COUNT(B699:D1698)=0,AND('Choix pédagogiques'!$C$3&lt;&gt;1,'Choix pédagogiques'!$C$3&lt;&gt;2)),"",IF(AND(OR('Choix pédagogiques'!$C$3=1,'Choix pédagogiques'!$C$3=2),$B699&lt;&gt;"",$C699&lt;&gt;"",$D699&lt;&gt;""),1,0))</f>
        <v/>
      </c>
      <c r="BN699" s="21" t="str">
        <f>IF(OR(COUNT(G699:I1698)=0,AND('Choix pédagogiques'!$C$3&lt;&gt;1,'Choix pédagogiques'!$C$3&lt;&gt;2)),"",IF(AND(OR('Choix pédagogiques'!$C$3=1,'Choix pédagogiques'!$C$3=2),AND($G699&lt;&gt;"",$H699&lt;&gt;"",$I699&lt;&gt;"")),1,0))</f>
        <v/>
      </c>
      <c r="BO699" s="21" t="str">
        <f>IF(OR(COUNT(B699:D1698)=0,COUNT(G699:I1698)=0,'Choix pédagogiques'!C$3&lt;&gt;3),"",IF(AND('Choix pédagogiques'!$C$3=3,$B699&lt;&gt;"",$C699&lt;&gt;"",$D699&lt;&gt;"",$G699&lt;&gt;"",$H699&lt;&gt;"",$I699&lt;&gt;""),1,0))</f>
        <v/>
      </c>
      <c r="BR699" s="21">
        <v>31</v>
      </c>
      <c r="BS699" s="21">
        <v>1431</v>
      </c>
      <c r="BT699"/>
    </row>
    <row r="700" spans="1:72" s="23" customFormat="1" ht="18" customHeight="1" x14ac:dyDescent="0.3">
      <c r="A700" s="35" t="s">
        <v>690</v>
      </c>
      <c r="B700" s="37"/>
      <c r="C700" s="37"/>
      <c r="D700" s="37"/>
      <c r="E700" s="37"/>
      <c r="F700" s="35" t="s">
        <v>1698</v>
      </c>
      <c r="G700" s="37"/>
      <c r="H700" s="37"/>
      <c r="I700" s="37"/>
      <c r="J700" s="37"/>
      <c r="K700" s="21" t="str">
        <f t="shared" si="463"/>
        <v>Apprenant 688</v>
      </c>
      <c r="L700" s="22" t="str">
        <f t="shared" si="464"/>
        <v/>
      </c>
      <c r="M700" s="22" t="str">
        <f t="shared" si="465"/>
        <v/>
      </c>
      <c r="N700" s="22" t="str">
        <f t="shared" si="466"/>
        <v/>
      </c>
      <c r="O700" s="22" t="str">
        <f t="shared" si="467"/>
        <v/>
      </c>
      <c r="P700" s="21" t="str">
        <f t="shared" si="468"/>
        <v>Apprenant 688 ou 688'</v>
      </c>
      <c r="Q700" s="22" t="str">
        <f t="shared" si="469"/>
        <v/>
      </c>
      <c r="R700" s="22" t="str">
        <f t="shared" si="470"/>
        <v/>
      </c>
      <c r="S700" s="22" t="str">
        <f t="shared" si="471"/>
        <v/>
      </c>
      <c r="T700" s="22" t="str">
        <f t="shared" si="472"/>
        <v/>
      </c>
      <c r="V700" s="21" t="str">
        <f t="shared" si="473"/>
        <v>Apprenant 688</v>
      </c>
      <c r="W700" s="22" t="str">
        <f>IF(AND(OR('Choix pédagogiques'!$C$3=1,'Choix pédagogiques'!$C$3=2),$BM700=1),B700,IF(AND('Choix pédagogiques'!$C$3=3,$BO700=1),B700,""))</f>
        <v/>
      </c>
      <c r="X700" s="22" t="str">
        <f>IF(AND(OR('Choix pédagogiques'!$C$3=1,'Choix pédagogiques'!$C$3=2),$BM700=1),C700,IF(AND('Choix pédagogiques'!$C$3=3,$BO700=1),C700,""))</f>
        <v/>
      </c>
      <c r="Y700" s="22" t="str">
        <f>IF(AND(OR('Choix pédagogiques'!$C$3=1,'Choix pédagogiques'!$C$3=2),$BM700=1),D700,IF(AND('Choix pédagogiques'!$C$3=3,$BO700=1),D700,""))</f>
        <v/>
      </c>
      <c r="Z700" s="22" t="str">
        <f t="shared" si="474"/>
        <v/>
      </c>
      <c r="AA700" s="21" t="str">
        <f t="shared" si="475"/>
        <v>Apprenant 688 ou 688'</v>
      </c>
      <c r="AB700" s="22" t="str">
        <f>IF(AND(OR('Choix pédagogiques'!$C$3=1,'Choix pédagogiques'!$C$3=2),$BN700=1),G700,IF(AND('Choix pédagogiques'!$C$3=3,$BO700=1),G700,""))</f>
        <v/>
      </c>
      <c r="AC700" s="22" t="str">
        <f>IF(AND(OR('Choix pédagogiques'!$C$3=1,'Choix pédagogiques'!$C$3=2),$BN700=1),H700,IF(AND('Choix pédagogiques'!$C$3=3,$BO700=1),H700,""))</f>
        <v/>
      </c>
      <c r="AD700" s="22" t="str">
        <f>IF(AND(OR('Choix pédagogiques'!$C$3=1,'Choix pédagogiques'!$C$3=2),$BN700=1),I700,IF(AND('Choix pédagogiques'!$C$3=3,$BO700=1),I700,""))</f>
        <v/>
      </c>
      <c r="AE700" s="22" t="str">
        <f t="shared" si="476"/>
        <v/>
      </c>
      <c r="AF700" s="21" t="str">
        <f t="shared" si="477"/>
        <v>Apprenant 688</v>
      </c>
      <c r="AG700" s="22" t="str">
        <f t="shared" si="451"/>
        <v/>
      </c>
      <c r="AH700" s="22" t="str">
        <f t="shared" si="452"/>
        <v/>
      </c>
      <c r="AI700" s="22" t="str">
        <f t="shared" si="453"/>
        <v/>
      </c>
      <c r="AJ700" s="22" t="str">
        <f t="shared" si="478"/>
        <v/>
      </c>
      <c r="AK700" s="21" t="str">
        <f t="shared" si="479"/>
        <v>Apprenant 688 ou 688'</v>
      </c>
      <c r="AL700" s="22" t="str">
        <f t="shared" si="454"/>
        <v/>
      </c>
      <c r="AM700" s="22" t="str">
        <f t="shared" si="455"/>
        <v/>
      </c>
      <c r="AN700" s="22" t="str">
        <f t="shared" si="456"/>
        <v/>
      </c>
      <c r="AO700" s="22" t="str">
        <f t="shared" si="480"/>
        <v/>
      </c>
      <c r="AQ700" s="21" t="str">
        <f t="shared" si="481"/>
        <v>Apprenant 688</v>
      </c>
      <c r="AR700" s="49" t="str">
        <f>IF(AND('Choix pédagogiques'!$C$4&lt;&gt;"?",'Choix pédagogiques'!$C$5&lt;&gt;"?",W700&lt;&gt;""),(W700-'Choix pédagogiques'!$C$4)/('Choix pédagogiques'!$C$5-'Choix pédagogiques'!$C$4),"")</f>
        <v/>
      </c>
      <c r="AS700" s="49" t="str">
        <f>IF(AND('Choix pédagogiques'!$C$4&lt;&gt;"?",'Choix pédagogiques'!$C$5&lt;&gt;"?",X700&lt;&gt;""),(X700-'Choix pédagogiques'!$C$4)/('Choix pédagogiques'!$C$5-'Choix pédagogiques'!$C$4),"")</f>
        <v/>
      </c>
      <c r="AT700" s="49" t="str">
        <f>IF(AND('Choix pédagogiques'!$C$4&lt;&gt;"?",'Choix pédagogiques'!$C$5&lt;&gt;"?",Y700&lt;&gt;""),(Y700-'Choix pédagogiques'!$C$4)/('Choix pédagogiques'!$C$5-'Choix pédagogiques'!$C$4),"")</f>
        <v/>
      </c>
      <c r="AU700" s="22" t="str">
        <f t="shared" si="482"/>
        <v/>
      </c>
      <c r="AV700" s="21" t="str">
        <f t="shared" si="483"/>
        <v>Apprenant 688 ou 688'</v>
      </c>
      <c r="AW700" s="49" t="str">
        <f>IF(AND('Choix pédagogiques'!$C$4&lt;&gt;"?",'Choix pédagogiques'!$C$5&lt;&gt;"?",AB700&lt;&gt;""),(AB700-'Choix pédagogiques'!$C$4)/('Choix pédagogiques'!$C$5-'Choix pédagogiques'!$C$4),"")</f>
        <v/>
      </c>
      <c r="AX700" s="49" t="str">
        <f>IF(AND('Choix pédagogiques'!$C$4&lt;&gt;"?",'Choix pédagogiques'!$C$5&lt;&gt;"?",AC700&lt;&gt;""),(AC700-'Choix pédagogiques'!$C$4)/('Choix pédagogiques'!$C$5-'Choix pédagogiques'!$C$4),"")</f>
        <v/>
      </c>
      <c r="AY700" s="49" t="str">
        <f>IF(AND('Choix pédagogiques'!$C$4&lt;&gt;"?",'Choix pédagogiques'!$C$5&lt;&gt;"?",AD700&lt;&gt;""),(AD700-'Choix pédagogiques'!$C$4)/('Choix pédagogiques'!$C$5-'Choix pédagogiques'!$C$4),"")</f>
        <v/>
      </c>
      <c r="AZ700" s="22" t="str">
        <f t="shared" si="484"/>
        <v/>
      </c>
      <c r="BA700" s="21" t="str">
        <f t="shared" si="485"/>
        <v>Apprenant 688</v>
      </c>
      <c r="BB700" s="49" t="str">
        <f t="shared" si="457"/>
        <v/>
      </c>
      <c r="BC700" s="49" t="str">
        <f t="shared" si="458"/>
        <v/>
      </c>
      <c r="BD700" s="49" t="str">
        <f t="shared" si="459"/>
        <v/>
      </c>
      <c r="BE700" s="22" t="str">
        <f t="shared" si="486"/>
        <v/>
      </c>
      <c r="BF700" s="21" t="str">
        <f t="shared" si="487"/>
        <v>Apprenant 688 ou 688'</v>
      </c>
      <c r="BG700" s="49" t="str">
        <f t="shared" si="460"/>
        <v/>
      </c>
      <c r="BH700" s="49" t="str">
        <f t="shared" si="461"/>
        <v/>
      </c>
      <c r="BI700" s="49" t="str">
        <f t="shared" si="462"/>
        <v/>
      </c>
      <c r="BJ700" s="22" t="str">
        <f t="shared" si="488"/>
        <v/>
      </c>
      <c r="BL700" s="21"/>
      <c r="BM700" s="21" t="str">
        <f>IF(OR(COUNT(B700:D1699)=0,AND('Choix pédagogiques'!$C$3&lt;&gt;1,'Choix pédagogiques'!$C$3&lt;&gt;2)),"",IF(AND(OR('Choix pédagogiques'!$C$3=1,'Choix pédagogiques'!$C$3=2),$B700&lt;&gt;"",$C700&lt;&gt;"",$D700&lt;&gt;""),1,0))</f>
        <v/>
      </c>
      <c r="BN700" s="21" t="str">
        <f>IF(OR(COUNT(G700:I1699)=0,AND('Choix pédagogiques'!$C$3&lt;&gt;1,'Choix pédagogiques'!$C$3&lt;&gt;2)),"",IF(AND(OR('Choix pédagogiques'!$C$3=1,'Choix pédagogiques'!$C$3=2),AND($G700&lt;&gt;"",$H700&lt;&gt;"",$I700&lt;&gt;"")),1,0))</f>
        <v/>
      </c>
      <c r="BO700" s="21" t="str">
        <f>IF(OR(COUNT(B700:D1699)=0,COUNT(G700:I1699)=0,'Choix pédagogiques'!C$3&lt;&gt;3),"",IF(AND('Choix pédagogiques'!$C$3=3,$B700&lt;&gt;"",$C700&lt;&gt;"",$D700&lt;&gt;"",$G700&lt;&gt;"",$H700&lt;&gt;"",$I700&lt;&gt;""),1,0))</f>
        <v/>
      </c>
      <c r="BR700" s="21">
        <v>11</v>
      </c>
      <c r="BS700" s="21">
        <v>1862</v>
      </c>
      <c r="BT700"/>
    </row>
    <row r="701" spans="1:72" s="23" customFormat="1" ht="18" customHeight="1" x14ac:dyDescent="0.3">
      <c r="A701" s="35" t="s">
        <v>691</v>
      </c>
      <c r="B701" s="37"/>
      <c r="C701" s="37"/>
      <c r="D701" s="37"/>
      <c r="E701" s="37"/>
      <c r="F701" s="35" t="s">
        <v>1699</v>
      </c>
      <c r="G701" s="37"/>
      <c r="H701" s="37"/>
      <c r="I701" s="37"/>
      <c r="J701" s="37"/>
      <c r="K701" s="21" t="str">
        <f t="shared" si="463"/>
        <v>Apprenant 689</v>
      </c>
      <c r="L701" s="22" t="str">
        <f t="shared" si="464"/>
        <v/>
      </c>
      <c r="M701" s="22" t="str">
        <f t="shared" si="465"/>
        <v/>
      </c>
      <c r="N701" s="22" t="str">
        <f t="shared" si="466"/>
        <v/>
      </c>
      <c r="O701" s="22" t="str">
        <f t="shared" si="467"/>
        <v/>
      </c>
      <c r="P701" s="21" t="str">
        <f t="shared" si="468"/>
        <v>Apprenant 689 ou 689'</v>
      </c>
      <c r="Q701" s="22" t="str">
        <f t="shared" si="469"/>
        <v/>
      </c>
      <c r="R701" s="22" t="str">
        <f t="shared" si="470"/>
        <v/>
      </c>
      <c r="S701" s="22" t="str">
        <f t="shared" si="471"/>
        <v/>
      </c>
      <c r="T701" s="22" t="str">
        <f t="shared" si="472"/>
        <v/>
      </c>
      <c r="V701" s="21" t="str">
        <f t="shared" si="473"/>
        <v>Apprenant 689</v>
      </c>
      <c r="W701" s="22" t="str">
        <f>IF(AND(OR('Choix pédagogiques'!$C$3=1,'Choix pédagogiques'!$C$3=2),$BM701=1),B701,IF(AND('Choix pédagogiques'!$C$3=3,$BO701=1),B701,""))</f>
        <v/>
      </c>
      <c r="X701" s="22" t="str">
        <f>IF(AND(OR('Choix pédagogiques'!$C$3=1,'Choix pédagogiques'!$C$3=2),$BM701=1),C701,IF(AND('Choix pédagogiques'!$C$3=3,$BO701=1),C701,""))</f>
        <v/>
      </c>
      <c r="Y701" s="22" t="str">
        <f>IF(AND(OR('Choix pédagogiques'!$C$3=1,'Choix pédagogiques'!$C$3=2),$BM701=1),D701,IF(AND('Choix pédagogiques'!$C$3=3,$BO701=1),D701,""))</f>
        <v/>
      </c>
      <c r="Z701" s="22" t="str">
        <f t="shared" si="474"/>
        <v/>
      </c>
      <c r="AA701" s="21" t="str">
        <f t="shared" si="475"/>
        <v>Apprenant 689 ou 689'</v>
      </c>
      <c r="AB701" s="22" t="str">
        <f>IF(AND(OR('Choix pédagogiques'!$C$3=1,'Choix pédagogiques'!$C$3=2),$BN701=1),G701,IF(AND('Choix pédagogiques'!$C$3=3,$BO701=1),G701,""))</f>
        <v/>
      </c>
      <c r="AC701" s="22" t="str">
        <f>IF(AND(OR('Choix pédagogiques'!$C$3=1,'Choix pédagogiques'!$C$3=2),$BN701=1),H701,IF(AND('Choix pédagogiques'!$C$3=3,$BO701=1),H701,""))</f>
        <v/>
      </c>
      <c r="AD701" s="22" t="str">
        <f>IF(AND(OR('Choix pédagogiques'!$C$3=1,'Choix pédagogiques'!$C$3=2),$BN701=1),I701,IF(AND('Choix pédagogiques'!$C$3=3,$BO701=1),I701,""))</f>
        <v/>
      </c>
      <c r="AE701" s="22" t="str">
        <f t="shared" si="476"/>
        <v/>
      </c>
      <c r="AF701" s="21" t="str">
        <f t="shared" si="477"/>
        <v>Apprenant 689</v>
      </c>
      <c r="AG701" s="22" t="str">
        <f t="shared" si="451"/>
        <v/>
      </c>
      <c r="AH701" s="22" t="str">
        <f t="shared" si="452"/>
        <v/>
      </c>
      <c r="AI701" s="22" t="str">
        <f t="shared" si="453"/>
        <v/>
      </c>
      <c r="AJ701" s="22" t="str">
        <f t="shared" si="478"/>
        <v/>
      </c>
      <c r="AK701" s="21" t="str">
        <f t="shared" si="479"/>
        <v>Apprenant 689 ou 689'</v>
      </c>
      <c r="AL701" s="22" t="str">
        <f t="shared" si="454"/>
        <v/>
      </c>
      <c r="AM701" s="22" t="str">
        <f t="shared" si="455"/>
        <v/>
      </c>
      <c r="AN701" s="22" t="str">
        <f t="shared" si="456"/>
        <v/>
      </c>
      <c r="AO701" s="22" t="str">
        <f t="shared" si="480"/>
        <v/>
      </c>
      <c r="AQ701" s="21" t="str">
        <f t="shared" si="481"/>
        <v>Apprenant 689</v>
      </c>
      <c r="AR701" s="49" t="str">
        <f>IF(AND('Choix pédagogiques'!$C$4&lt;&gt;"?",'Choix pédagogiques'!$C$5&lt;&gt;"?",W701&lt;&gt;""),(W701-'Choix pédagogiques'!$C$4)/('Choix pédagogiques'!$C$5-'Choix pédagogiques'!$C$4),"")</f>
        <v/>
      </c>
      <c r="AS701" s="49" t="str">
        <f>IF(AND('Choix pédagogiques'!$C$4&lt;&gt;"?",'Choix pédagogiques'!$C$5&lt;&gt;"?",X701&lt;&gt;""),(X701-'Choix pédagogiques'!$C$4)/('Choix pédagogiques'!$C$5-'Choix pédagogiques'!$C$4),"")</f>
        <v/>
      </c>
      <c r="AT701" s="49" t="str">
        <f>IF(AND('Choix pédagogiques'!$C$4&lt;&gt;"?",'Choix pédagogiques'!$C$5&lt;&gt;"?",Y701&lt;&gt;""),(Y701-'Choix pédagogiques'!$C$4)/('Choix pédagogiques'!$C$5-'Choix pédagogiques'!$C$4),"")</f>
        <v/>
      </c>
      <c r="AU701" s="22" t="str">
        <f t="shared" si="482"/>
        <v/>
      </c>
      <c r="AV701" s="21" t="str">
        <f t="shared" si="483"/>
        <v>Apprenant 689 ou 689'</v>
      </c>
      <c r="AW701" s="49" t="str">
        <f>IF(AND('Choix pédagogiques'!$C$4&lt;&gt;"?",'Choix pédagogiques'!$C$5&lt;&gt;"?",AB701&lt;&gt;""),(AB701-'Choix pédagogiques'!$C$4)/('Choix pédagogiques'!$C$5-'Choix pédagogiques'!$C$4),"")</f>
        <v/>
      </c>
      <c r="AX701" s="49" t="str">
        <f>IF(AND('Choix pédagogiques'!$C$4&lt;&gt;"?",'Choix pédagogiques'!$C$5&lt;&gt;"?",AC701&lt;&gt;""),(AC701-'Choix pédagogiques'!$C$4)/('Choix pédagogiques'!$C$5-'Choix pédagogiques'!$C$4),"")</f>
        <v/>
      </c>
      <c r="AY701" s="49" t="str">
        <f>IF(AND('Choix pédagogiques'!$C$4&lt;&gt;"?",'Choix pédagogiques'!$C$5&lt;&gt;"?",AD701&lt;&gt;""),(AD701-'Choix pédagogiques'!$C$4)/('Choix pédagogiques'!$C$5-'Choix pédagogiques'!$C$4),"")</f>
        <v/>
      </c>
      <c r="AZ701" s="22" t="str">
        <f t="shared" si="484"/>
        <v/>
      </c>
      <c r="BA701" s="21" t="str">
        <f t="shared" si="485"/>
        <v>Apprenant 689</v>
      </c>
      <c r="BB701" s="49" t="str">
        <f t="shared" si="457"/>
        <v/>
      </c>
      <c r="BC701" s="49" t="str">
        <f t="shared" si="458"/>
        <v/>
      </c>
      <c r="BD701" s="49" t="str">
        <f t="shared" si="459"/>
        <v/>
      </c>
      <c r="BE701" s="22" t="str">
        <f t="shared" si="486"/>
        <v/>
      </c>
      <c r="BF701" s="21" t="str">
        <f t="shared" si="487"/>
        <v>Apprenant 689 ou 689'</v>
      </c>
      <c r="BG701" s="49" t="str">
        <f t="shared" si="460"/>
        <v/>
      </c>
      <c r="BH701" s="49" t="str">
        <f t="shared" si="461"/>
        <v/>
      </c>
      <c r="BI701" s="49" t="str">
        <f t="shared" si="462"/>
        <v/>
      </c>
      <c r="BJ701" s="22" t="str">
        <f t="shared" si="488"/>
        <v/>
      </c>
      <c r="BL701" s="21"/>
      <c r="BM701" s="21" t="str">
        <f>IF(OR(COUNT(B701:D1700)=0,AND('Choix pédagogiques'!$C$3&lt;&gt;1,'Choix pédagogiques'!$C$3&lt;&gt;2)),"",IF(AND(OR('Choix pédagogiques'!$C$3=1,'Choix pédagogiques'!$C$3=2),$B701&lt;&gt;"",$C701&lt;&gt;"",$D701&lt;&gt;""),1,0))</f>
        <v/>
      </c>
      <c r="BN701" s="21" t="str">
        <f>IF(OR(COUNT(G701:I1700)=0,AND('Choix pédagogiques'!$C$3&lt;&gt;1,'Choix pédagogiques'!$C$3&lt;&gt;2)),"",IF(AND(OR('Choix pédagogiques'!$C$3=1,'Choix pédagogiques'!$C$3=2),AND($G701&lt;&gt;"",$H701&lt;&gt;"",$I701&lt;&gt;"")),1,0))</f>
        <v/>
      </c>
      <c r="BO701" s="21" t="str">
        <f>IF(OR(COUNT(B701:D1700)=0,COUNT(G701:I1700)=0,'Choix pédagogiques'!C$3&lt;&gt;3),"",IF(AND('Choix pédagogiques'!$C$3=3,$B701&lt;&gt;"",$C701&lt;&gt;"",$D701&lt;&gt;"",$G701&lt;&gt;"",$H701&lt;&gt;"",$I701&lt;&gt;""),1,0))</f>
        <v/>
      </c>
      <c r="BR701" s="21">
        <v>486</v>
      </c>
      <c r="BS701" s="21">
        <v>1898</v>
      </c>
      <c r="BT701"/>
    </row>
    <row r="702" spans="1:72" s="23" customFormat="1" ht="18" customHeight="1" x14ac:dyDescent="0.3">
      <c r="A702" s="35" t="s">
        <v>692</v>
      </c>
      <c r="B702" s="37"/>
      <c r="C702" s="37"/>
      <c r="D702" s="37"/>
      <c r="E702" s="37"/>
      <c r="F702" s="35" t="s">
        <v>1700</v>
      </c>
      <c r="G702" s="37"/>
      <c r="H702" s="37"/>
      <c r="I702" s="37"/>
      <c r="J702" s="37"/>
      <c r="K702" s="21" t="str">
        <f t="shared" si="463"/>
        <v>Apprenant 690</v>
      </c>
      <c r="L702" s="22" t="str">
        <f t="shared" si="464"/>
        <v/>
      </c>
      <c r="M702" s="22" t="str">
        <f t="shared" si="465"/>
        <v/>
      </c>
      <c r="N702" s="22" t="str">
        <f t="shared" si="466"/>
        <v/>
      </c>
      <c r="O702" s="22" t="str">
        <f t="shared" si="467"/>
        <v/>
      </c>
      <c r="P702" s="21" t="str">
        <f t="shared" si="468"/>
        <v>Apprenant 690 ou 690'</v>
      </c>
      <c r="Q702" s="22" t="str">
        <f t="shared" si="469"/>
        <v/>
      </c>
      <c r="R702" s="22" t="str">
        <f t="shared" si="470"/>
        <v/>
      </c>
      <c r="S702" s="22" t="str">
        <f t="shared" si="471"/>
        <v/>
      </c>
      <c r="T702" s="22" t="str">
        <f t="shared" si="472"/>
        <v/>
      </c>
      <c r="V702" s="21" t="str">
        <f t="shared" si="473"/>
        <v>Apprenant 690</v>
      </c>
      <c r="W702" s="22" t="str">
        <f>IF(AND(OR('Choix pédagogiques'!$C$3=1,'Choix pédagogiques'!$C$3=2),$BM702=1),B702,IF(AND('Choix pédagogiques'!$C$3=3,$BO702=1),B702,""))</f>
        <v/>
      </c>
      <c r="X702" s="22" t="str">
        <f>IF(AND(OR('Choix pédagogiques'!$C$3=1,'Choix pédagogiques'!$C$3=2),$BM702=1),C702,IF(AND('Choix pédagogiques'!$C$3=3,$BO702=1),C702,""))</f>
        <v/>
      </c>
      <c r="Y702" s="22" t="str">
        <f>IF(AND(OR('Choix pédagogiques'!$C$3=1,'Choix pédagogiques'!$C$3=2),$BM702=1),D702,IF(AND('Choix pédagogiques'!$C$3=3,$BO702=1),D702,""))</f>
        <v/>
      </c>
      <c r="Z702" s="22" t="str">
        <f t="shared" si="474"/>
        <v/>
      </c>
      <c r="AA702" s="21" t="str">
        <f t="shared" si="475"/>
        <v>Apprenant 690 ou 690'</v>
      </c>
      <c r="AB702" s="22" t="str">
        <f>IF(AND(OR('Choix pédagogiques'!$C$3=1,'Choix pédagogiques'!$C$3=2),$BN702=1),G702,IF(AND('Choix pédagogiques'!$C$3=3,$BO702=1),G702,""))</f>
        <v/>
      </c>
      <c r="AC702" s="22" t="str">
        <f>IF(AND(OR('Choix pédagogiques'!$C$3=1,'Choix pédagogiques'!$C$3=2),$BN702=1),H702,IF(AND('Choix pédagogiques'!$C$3=3,$BO702=1),H702,""))</f>
        <v/>
      </c>
      <c r="AD702" s="22" t="str">
        <f>IF(AND(OR('Choix pédagogiques'!$C$3=1,'Choix pédagogiques'!$C$3=2),$BN702=1),I702,IF(AND('Choix pédagogiques'!$C$3=3,$BO702=1),I702,""))</f>
        <v/>
      </c>
      <c r="AE702" s="22" t="str">
        <f t="shared" si="476"/>
        <v/>
      </c>
      <c r="AF702" s="21" t="str">
        <f t="shared" si="477"/>
        <v>Apprenant 690</v>
      </c>
      <c r="AG702" s="22" t="str">
        <f t="shared" si="451"/>
        <v/>
      </c>
      <c r="AH702" s="22" t="str">
        <f t="shared" si="452"/>
        <v/>
      </c>
      <c r="AI702" s="22" t="str">
        <f t="shared" si="453"/>
        <v/>
      </c>
      <c r="AJ702" s="22" t="str">
        <f t="shared" si="478"/>
        <v/>
      </c>
      <c r="AK702" s="21" t="str">
        <f t="shared" si="479"/>
        <v>Apprenant 690 ou 690'</v>
      </c>
      <c r="AL702" s="22" t="str">
        <f t="shared" si="454"/>
        <v/>
      </c>
      <c r="AM702" s="22" t="str">
        <f t="shared" si="455"/>
        <v/>
      </c>
      <c r="AN702" s="22" t="str">
        <f t="shared" si="456"/>
        <v/>
      </c>
      <c r="AO702" s="22" t="str">
        <f t="shared" si="480"/>
        <v/>
      </c>
      <c r="AQ702" s="21" t="str">
        <f t="shared" si="481"/>
        <v>Apprenant 690</v>
      </c>
      <c r="AR702" s="49" t="str">
        <f>IF(AND('Choix pédagogiques'!$C$4&lt;&gt;"?",'Choix pédagogiques'!$C$5&lt;&gt;"?",W702&lt;&gt;""),(W702-'Choix pédagogiques'!$C$4)/('Choix pédagogiques'!$C$5-'Choix pédagogiques'!$C$4),"")</f>
        <v/>
      </c>
      <c r="AS702" s="49" t="str">
        <f>IF(AND('Choix pédagogiques'!$C$4&lt;&gt;"?",'Choix pédagogiques'!$C$5&lt;&gt;"?",X702&lt;&gt;""),(X702-'Choix pédagogiques'!$C$4)/('Choix pédagogiques'!$C$5-'Choix pédagogiques'!$C$4),"")</f>
        <v/>
      </c>
      <c r="AT702" s="49" t="str">
        <f>IF(AND('Choix pédagogiques'!$C$4&lt;&gt;"?",'Choix pédagogiques'!$C$5&lt;&gt;"?",Y702&lt;&gt;""),(Y702-'Choix pédagogiques'!$C$4)/('Choix pédagogiques'!$C$5-'Choix pédagogiques'!$C$4),"")</f>
        <v/>
      </c>
      <c r="AU702" s="22" t="str">
        <f t="shared" si="482"/>
        <v/>
      </c>
      <c r="AV702" s="21" t="str">
        <f t="shared" si="483"/>
        <v>Apprenant 690 ou 690'</v>
      </c>
      <c r="AW702" s="49" t="str">
        <f>IF(AND('Choix pédagogiques'!$C$4&lt;&gt;"?",'Choix pédagogiques'!$C$5&lt;&gt;"?",AB702&lt;&gt;""),(AB702-'Choix pédagogiques'!$C$4)/('Choix pédagogiques'!$C$5-'Choix pédagogiques'!$C$4),"")</f>
        <v/>
      </c>
      <c r="AX702" s="49" t="str">
        <f>IF(AND('Choix pédagogiques'!$C$4&lt;&gt;"?",'Choix pédagogiques'!$C$5&lt;&gt;"?",AC702&lt;&gt;""),(AC702-'Choix pédagogiques'!$C$4)/('Choix pédagogiques'!$C$5-'Choix pédagogiques'!$C$4),"")</f>
        <v/>
      </c>
      <c r="AY702" s="49" t="str">
        <f>IF(AND('Choix pédagogiques'!$C$4&lt;&gt;"?",'Choix pédagogiques'!$C$5&lt;&gt;"?",AD702&lt;&gt;""),(AD702-'Choix pédagogiques'!$C$4)/('Choix pédagogiques'!$C$5-'Choix pédagogiques'!$C$4),"")</f>
        <v/>
      </c>
      <c r="AZ702" s="22" t="str">
        <f t="shared" si="484"/>
        <v/>
      </c>
      <c r="BA702" s="21" t="str">
        <f t="shared" si="485"/>
        <v>Apprenant 690</v>
      </c>
      <c r="BB702" s="49" t="str">
        <f t="shared" si="457"/>
        <v/>
      </c>
      <c r="BC702" s="49" t="str">
        <f t="shared" si="458"/>
        <v/>
      </c>
      <c r="BD702" s="49" t="str">
        <f t="shared" si="459"/>
        <v/>
      </c>
      <c r="BE702" s="22" t="str">
        <f t="shared" si="486"/>
        <v/>
      </c>
      <c r="BF702" s="21" t="str">
        <f t="shared" si="487"/>
        <v>Apprenant 690 ou 690'</v>
      </c>
      <c r="BG702" s="49" t="str">
        <f t="shared" si="460"/>
        <v/>
      </c>
      <c r="BH702" s="49" t="str">
        <f t="shared" si="461"/>
        <v/>
      </c>
      <c r="BI702" s="49" t="str">
        <f t="shared" si="462"/>
        <v/>
      </c>
      <c r="BJ702" s="22" t="str">
        <f t="shared" si="488"/>
        <v/>
      </c>
      <c r="BL702" s="21"/>
      <c r="BM702" s="21" t="str">
        <f>IF(OR(COUNT(B702:D1701)=0,AND('Choix pédagogiques'!$C$3&lt;&gt;1,'Choix pédagogiques'!$C$3&lt;&gt;2)),"",IF(AND(OR('Choix pédagogiques'!$C$3=1,'Choix pédagogiques'!$C$3=2),$B702&lt;&gt;"",$C702&lt;&gt;"",$D702&lt;&gt;""),1,0))</f>
        <v/>
      </c>
      <c r="BN702" s="21" t="str">
        <f>IF(OR(COUNT(G702:I1701)=0,AND('Choix pédagogiques'!$C$3&lt;&gt;1,'Choix pédagogiques'!$C$3&lt;&gt;2)),"",IF(AND(OR('Choix pédagogiques'!$C$3=1,'Choix pédagogiques'!$C$3=2),AND($G702&lt;&gt;"",$H702&lt;&gt;"",$I702&lt;&gt;"")),1,0))</f>
        <v/>
      </c>
      <c r="BO702" s="21" t="str">
        <f>IF(OR(COUNT(B702:D1701)=0,COUNT(G702:I1701)=0,'Choix pédagogiques'!C$3&lt;&gt;3),"",IF(AND('Choix pédagogiques'!$C$3=3,$B702&lt;&gt;"",$C702&lt;&gt;"",$D702&lt;&gt;"",$G702&lt;&gt;"",$H702&lt;&gt;"",$I702&lt;&gt;""),1,0))</f>
        <v/>
      </c>
      <c r="BR702" s="21">
        <v>19</v>
      </c>
      <c r="BS702" s="21">
        <v>1312</v>
      </c>
      <c r="BT702"/>
    </row>
    <row r="703" spans="1:72" s="23" customFormat="1" ht="18" customHeight="1" x14ac:dyDescent="0.3">
      <c r="A703" s="35" t="s">
        <v>693</v>
      </c>
      <c r="B703" s="37"/>
      <c r="C703" s="37"/>
      <c r="D703" s="37"/>
      <c r="E703" s="37"/>
      <c r="F703" s="35" t="s">
        <v>1701</v>
      </c>
      <c r="G703" s="37"/>
      <c r="H703" s="37"/>
      <c r="I703" s="37"/>
      <c r="J703" s="37"/>
      <c r="K703" s="21" t="str">
        <f t="shared" si="463"/>
        <v>Apprenant 691</v>
      </c>
      <c r="L703" s="22" t="str">
        <f t="shared" si="464"/>
        <v/>
      </c>
      <c r="M703" s="22" t="str">
        <f t="shared" si="465"/>
        <v/>
      </c>
      <c r="N703" s="22" t="str">
        <f t="shared" si="466"/>
        <v/>
      </c>
      <c r="O703" s="22" t="str">
        <f t="shared" si="467"/>
        <v/>
      </c>
      <c r="P703" s="21" t="str">
        <f t="shared" si="468"/>
        <v>Apprenant 691 ou 691'</v>
      </c>
      <c r="Q703" s="22" t="str">
        <f t="shared" si="469"/>
        <v/>
      </c>
      <c r="R703" s="22" t="str">
        <f t="shared" si="470"/>
        <v/>
      </c>
      <c r="S703" s="22" t="str">
        <f t="shared" si="471"/>
        <v/>
      </c>
      <c r="T703" s="22" t="str">
        <f t="shared" si="472"/>
        <v/>
      </c>
      <c r="V703" s="21" t="str">
        <f t="shared" si="473"/>
        <v>Apprenant 691</v>
      </c>
      <c r="W703" s="22" t="str">
        <f>IF(AND(OR('Choix pédagogiques'!$C$3=1,'Choix pédagogiques'!$C$3=2),$BM703=1),B703,IF(AND('Choix pédagogiques'!$C$3=3,$BO703=1),B703,""))</f>
        <v/>
      </c>
      <c r="X703" s="22" t="str">
        <f>IF(AND(OR('Choix pédagogiques'!$C$3=1,'Choix pédagogiques'!$C$3=2),$BM703=1),C703,IF(AND('Choix pédagogiques'!$C$3=3,$BO703=1),C703,""))</f>
        <v/>
      </c>
      <c r="Y703" s="22" t="str">
        <f>IF(AND(OR('Choix pédagogiques'!$C$3=1,'Choix pédagogiques'!$C$3=2),$BM703=1),D703,IF(AND('Choix pédagogiques'!$C$3=3,$BO703=1),D703,""))</f>
        <v/>
      </c>
      <c r="Z703" s="22" t="str">
        <f t="shared" si="474"/>
        <v/>
      </c>
      <c r="AA703" s="21" t="str">
        <f t="shared" si="475"/>
        <v>Apprenant 691 ou 691'</v>
      </c>
      <c r="AB703" s="22" t="str">
        <f>IF(AND(OR('Choix pédagogiques'!$C$3=1,'Choix pédagogiques'!$C$3=2),$BN703=1),G703,IF(AND('Choix pédagogiques'!$C$3=3,$BO703=1),G703,""))</f>
        <v/>
      </c>
      <c r="AC703" s="22" t="str">
        <f>IF(AND(OR('Choix pédagogiques'!$C$3=1,'Choix pédagogiques'!$C$3=2),$BN703=1),H703,IF(AND('Choix pédagogiques'!$C$3=3,$BO703=1),H703,""))</f>
        <v/>
      </c>
      <c r="AD703" s="22" t="str">
        <f>IF(AND(OR('Choix pédagogiques'!$C$3=1,'Choix pédagogiques'!$C$3=2),$BN703=1),I703,IF(AND('Choix pédagogiques'!$C$3=3,$BO703=1),I703,""))</f>
        <v/>
      </c>
      <c r="AE703" s="22" t="str">
        <f t="shared" si="476"/>
        <v/>
      </c>
      <c r="AF703" s="21" t="str">
        <f t="shared" si="477"/>
        <v>Apprenant 691</v>
      </c>
      <c r="AG703" s="22" t="str">
        <f t="shared" si="451"/>
        <v/>
      </c>
      <c r="AH703" s="22" t="str">
        <f t="shared" si="452"/>
        <v/>
      </c>
      <c r="AI703" s="22" t="str">
        <f t="shared" si="453"/>
        <v/>
      </c>
      <c r="AJ703" s="22" t="str">
        <f t="shared" si="478"/>
        <v/>
      </c>
      <c r="AK703" s="21" t="str">
        <f t="shared" si="479"/>
        <v>Apprenant 691 ou 691'</v>
      </c>
      <c r="AL703" s="22" t="str">
        <f t="shared" si="454"/>
        <v/>
      </c>
      <c r="AM703" s="22" t="str">
        <f t="shared" si="455"/>
        <v/>
      </c>
      <c r="AN703" s="22" t="str">
        <f t="shared" si="456"/>
        <v/>
      </c>
      <c r="AO703" s="22" t="str">
        <f t="shared" si="480"/>
        <v/>
      </c>
      <c r="AQ703" s="21" t="str">
        <f t="shared" si="481"/>
        <v>Apprenant 691</v>
      </c>
      <c r="AR703" s="49" t="str">
        <f>IF(AND('Choix pédagogiques'!$C$4&lt;&gt;"?",'Choix pédagogiques'!$C$5&lt;&gt;"?",W703&lt;&gt;""),(W703-'Choix pédagogiques'!$C$4)/('Choix pédagogiques'!$C$5-'Choix pédagogiques'!$C$4),"")</f>
        <v/>
      </c>
      <c r="AS703" s="49" t="str">
        <f>IF(AND('Choix pédagogiques'!$C$4&lt;&gt;"?",'Choix pédagogiques'!$C$5&lt;&gt;"?",X703&lt;&gt;""),(X703-'Choix pédagogiques'!$C$4)/('Choix pédagogiques'!$C$5-'Choix pédagogiques'!$C$4),"")</f>
        <v/>
      </c>
      <c r="AT703" s="49" t="str">
        <f>IF(AND('Choix pédagogiques'!$C$4&lt;&gt;"?",'Choix pédagogiques'!$C$5&lt;&gt;"?",Y703&lt;&gt;""),(Y703-'Choix pédagogiques'!$C$4)/('Choix pédagogiques'!$C$5-'Choix pédagogiques'!$C$4),"")</f>
        <v/>
      </c>
      <c r="AU703" s="22" t="str">
        <f t="shared" si="482"/>
        <v/>
      </c>
      <c r="AV703" s="21" t="str">
        <f t="shared" si="483"/>
        <v>Apprenant 691 ou 691'</v>
      </c>
      <c r="AW703" s="49" t="str">
        <f>IF(AND('Choix pédagogiques'!$C$4&lt;&gt;"?",'Choix pédagogiques'!$C$5&lt;&gt;"?",AB703&lt;&gt;""),(AB703-'Choix pédagogiques'!$C$4)/('Choix pédagogiques'!$C$5-'Choix pédagogiques'!$C$4),"")</f>
        <v/>
      </c>
      <c r="AX703" s="49" t="str">
        <f>IF(AND('Choix pédagogiques'!$C$4&lt;&gt;"?",'Choix pédagogiques'!$C$5&lt;&gt;"?",AC703&lt;&gt;""),(AC703-'Choix pédagogiques'!$C$4)/('Choix pédagogiques'!$C$5-'Choix pédagogiques'!$C$4),"")</f>
        <v/>
      </c>
      <c r="AY703" s="49" t="str">
        <f>IF(AND('Choix pédagogiques'!$C$4&lt;&gt;"?",'Choix pédagogiques'!$C$5&lt;&gt;"?",AD703&lt;&gt;""),(AD703-'Choix pédagogiques'!$C$4)/('Choix pédagogiques'!$C$5-'Choix pédagogiques'!$C$4),"")</f>
        <v/>
      </c>
      <c r="AZ703" s="22" t="str">
        <f t="shared" si="484"/>
        <v/>
      </c>
      <c r="BA703" s="21" t="str">
        <f t="shared" si="485"/>
        <v>Apprenant 691</v>
      </c>
      <c r="BB703" s="49" t="str">
        <f t="shared" si="457"/>
        <v/>
      </c>
      <c r="BC703" s="49" t="str">
        <f t="shared" si="458"/>
        <v/>
      </c>
      <c r="BD703" s="49" t="str">
        <f t="shared" si="459"/>
        <v/>
      </c>
      <c r="BE703" s="22" t="str">
        <f t="shared" si="486"/>
        <v/>
      </c>
      <c r="BF703" s="21" t="str">
        <f t="shared" si="487"/>
        <v>Apprenant 691 ou 691'</v>
      </c>
      <c r="BG703" s="49" t="str">
        <f t="shared" si="460"/>
        <v/>
      </c>
      <c r="BH703" s="49" t="str">
        <f t="shared" si="461"/>
        <v/>
      </c>
      <c r="BI703" s="49" t="str">
        <f t="shared" si="462"/>
        <v/>
      </c>
      <c r="BJ703" s="22" t="str">
        <f t="shared" si="488"/>
        <v/>
      </c>
      <c r="BL703" s="21"/>
      <c r="BM703" s="21" t="str">
        <f>IF(OR(COUNT(B703:D1702)=0,AND('Choix pédagogiques'!$C$3&lt;&gt;1,'Choix pédagogiques'!$C$3&lt;&gt;2)),"",IF(AND(OR('Choix pédagogiques'!$C$3=1,'Choix pédagogiques'!$C$3=2),$B703&lt;&gt;"",$C703&lt;&gt;"",$D703&lt;&gt;""),1,0))</f>
        <v/>
      </c>
      <c r="BN703" s="21" t="str">
        <f>IF(OR(COUNT(G703:I1702)=0,AND('Choix pédagogiques'!$C$3&lt;&gt;1,'Choix pédagogiques'!$C$3&lt;&gt;2)),"",IF(AND(OR('Choix pédagogiques'!$C$3=1,'Choix pédagogiques'!$C$3=2),AND($G703&lt;&gt;"",$H703&lt;&gt;"",$I703&lt;&gt;"")),1,0))</f>
        <v/>
      </c>
      <c r="BO703" s="21" t="str">
        <f>IF(OR(COUNT(B703:D1702)=0,COUNT(G703:I1702)=0,'Choix pédagogiques'!C$3&lt;&gt;3),"",IF(AND('Choix pédagogiques'!$C$3=3,$B703&lt;&gt;"",$C703&lt;&gt;"",$D703&lt;&gt;"",$G703&lt;&gt;"",$H703&lt;&gt;"",$I703&lt;&gt;""),1,0))</f>
        <v/>
      </c>
      <c r="BR703" s="21">
        <v>454</v>
      </c>
      <c r="BS703" s="21">
        <v>1090</v>
      </c>
      <c r="BT703"/>
    </row>
    <row r="704" spans="1:72" s="23" customFormat="1" ht="18" customHeight="1" x14ac:dyDescent="0.3">
      <c r="A704" s="35" t="s">
        <v>694</v>
      </c>
      <c r="B704" s="37"/>
      <c r="C704" s="37"/>
      <c r="D704" s="37"/>
      <c r="E704" s="37"/>
      <c r="F704" s="35" t="s">
        <v>1702</v>
      </c>
      <c r="G704" s="37"/>
      <c r="H704" s="37"/>
      <c r="I704" s="37"/>
      <c r="J704" s="37"/>
      <c r="K704" s="21" t="str">
        <f t="shared" si="463"/>
        <v>Apprenant 692</v>
      </c>
      <c r="L704" s="22" t="str">
        <f t="shared" si="464"/>
        <v/>
      </c>
      <c r="M704" s="22" t="str">
        <f t="shared" si="465"/>
        <v/>
      </c>
      <c r="N704" s="22" t="str">
        <f t="shared" si="466"/>
        <v/>
      </c>
      <c r="O704" s="22" t="str">
        <f t="shared" si="467"/>
        <v/>
      </c>
      <c r="P704" s="21" t="str">
        <f t="shared" si="468"/>
        <v>Apprenant 692 ou 692'</v>
      </c>
      <c r="Q704" s="22" t="str">
        <f t="shared" si="469"/>
        <v/>
      </c>
      <c r="R704" s="22" t="str">
        <f t="shared" si="470"/>
        <v/>
      </c>
      <c r="S704" s="22" t="str">
        <f t="shared" si="471"/>
        <v/>
      </c>
      <c r="T704" s="22" t="str">
        <f t="shared" si="472"/>
        <v/>
      </c>
      <c r="V704" s="21" t="str">
        <f t="shared" si="473"/>
        <v>Apprenant 692</v>
      </c>
      <c r="W704" s="22" t="str">
        <f>IF(AND(OR('Choix pédagogiques'!$C$3=1,'Choix pédagogiques'!$C$3=2),$BM704=1),B704,IF(AND('Choix pédagogiques'!$C$3=3,$BO704=1),B704,""))</f>
        <v/>
      </c>
      <c r="X704" s="22" t="str">
        <f>IF(AND(OR('Choix pédagogiques'!$C$3=1,'Choix pédagogiques'!$C$3=2),$BM704=1),C704,IF(AND('Choix pédagogiques'!$C$3=3,$BO704=1),C704,""))</f>
        <v/>
      </c>
      <c r="Y704" s="22" t="str">
        <f>IF(AND(OR('Choix pédagogiques'!$C$3=1,'Choix pédagogiques'!$C$3=2),$BM704=1),D704,IF(AND('Choix pédagogiques'!$C$3=3,$BO704=1),D704,""))</f>
        <v/>
      </c>
      <c r="Z704" s="22" t="str">
        <f t="shared" si="474"/>
        <v/>
      </c>
      <c r="AA704" s="21" t="str">
        <f t="shared" si="475"/>
        <v>Apprenant 692 ou 692'</v>
      </c>
      <c r="AB704" s="22" t="str">
        <f>IF(AND(OR('Choix pédagogiques'!$C$3=1,'Choix pédagogiques'!$C$3=2),$BN704=1),G704,IF(AND('Choix pédagogiques'!$C$3=3,$BO704=1),G704,""))</f>
        <v/>
      </c>
      <c r="AC704" s="22" t="str">
        <f>IF(AND(OR('Choix pédagogiques'!$C$3=1,'Choix pédagogiques'!$C$3=2),$BN704=1),H704,IF(AND('Choix pédagogiques'!$C$3=3,$BO704=1),H704,""))</f>
        <v/>
      </c>
      <c r="AD704" s="22" t="str">
        <f>IF(AND(OR('Choix pédagogiques'!$C$3=1,'Choix pédagogiques'!$C$3=2),$BN704=1),I704,IF(AND('Choix pédagogiques'!$C$3=3,$BO704=1),I704,""))</f>
        <v/>
      </c>
      <c r="AE704" s="22" t="str">
        <f t="shared" si="476"/>
        <v/>
      </c>
      <c r="AF704" s="21" t="str">
        <f t="shared" si="477"/>
        <v>Apprenant 692</v>
      </c>
      <c r="AG704" s="22" t="str">
        <f t="shared" si="451"/>
        <v/>
      </c>
      <c r="AH704" s="22" t="str">
        <f t="shared" si="452"/>
        <v/>
      </c>
      <c r="AI704" s="22" t="str">
        <f t="shared" si="453"/>
        <v/>
      </c>
      <c r="AJ704" s="22" t="str">
        <f t="shared" si="478"/>
        <v/>
      </c>
      <c r="AK704" s="21" t="str">
        <f t="shared" si="479"/>
        <v>Apprenant 692 ou 692'</v>
      </c>
      <c r="AL704" s="22" t="str">
        <f t="shared" si="454"/>
        <v/>
      </c>
      <c r="AM704" s="22" t="str">
        <f t="shared" si="455"/>
        <v/>
      </c>
      <c r="AN704" s="22" t="str">
        <f t="shared" si="456"/>
        <v/>
      </c>
      <c r="AO704" s="22" t="str">
        <f t="shared" si="480"/>
        <v/>
      </c>
      <c r="AQ704" s="21" t="str">
        <f t="shared" si="481"/>
        <v>Apprenant 692</v>
      </c>
      <c r="AR704" s="49" t="str">
        <f>IF(AND('Choix pédagogiques'!$C$4&lt;&gt;"?",'Choix pédagogiques'!$C$5&lt;&gt;"?",W704&lt;&gt;""),(W704-'Choix pédagogiques'!$C$4)/('Choix pédagogiques'!$C$5-'Choix pédagogiques'!$C$4),"")</f>
        <v/>
      </c>
      <c r="AS704" s="49" t="str">
        <f>IF(AND('Choix pédagogiques'!$C$4&lt;&gt;"?",'Choix pédagogiques'!$C$5&lt;&gt;"?",X704&lt;&gt;""),(X704-'Choix pédagogiques'!$C$4)/('Choix pédagogiques'!$C$5-'Choix pédagogiques'!$C$4),"")</f>
        <v/>
      </c>
      <c r="AT704" s="49" t="str">
        <f>IF(AND('Choix pédagogiques'!$C$4&lt;&gt;"?",'Choix pédagogiques'!$C$5&lt;&gt;"?",Y704&lt;&gt;""),(Y704-'Choix pédagogiques'!$C$4)/('Choix pédagogiques'!$C$5-'Choix pédagogiques'!$C$4),"")</f>
        <v/>
      </c>
      <c r="AU704" s="22" t="str">
        <f t="shared" si="482"/>
        <v/>
      </c>
      <c r="AV704" s="21" t="str">
        <f t="shared" si="483"/>
        <v>Apprenant 692 ou 692'</v>
      </c>
      <c r="AW704" s="49" t="str">
        <f>IF(AND('Choix pédagogiques'!$C$4&lt;&gt;"?",'Choix pédagogiques'!$C$5&lt;&gt;"?",AB704&lt;&gt;""),(AB704-'Choix pédagogiques'!$C$4)/('Choix pédagogiques'!$C$5-'Choix pédagogiques'!$C$4),"")</f>
        <v/>
      </c>
      <c r="AX704" s="49" t="str">
        <f>IF(AND('Choix pédagogiques'!$C$4&lt;&gt;"?",'Choix pédagogiques'!$C$5&lt;&gt;"?",AC704&lt;&gt;""),(AC704-'Choix pédagogiques'!$C$4)/('Choix pédagogiques'!$C$5-'Choix pédagogiques'!$C$4),"")</f>
        <v/>
      </c>
      <c r="AY704" s="49" t="str">
        <f>IF(AND('Choix pédagogiques'!$C$4&lt;&gt;"?",'Choix pédagogiques'!$C$5&lt;&gt;"?",AD704&lt;&gt;""),(AD704-'Choix pédagogiques'!$C$4)/('Choix pédagogiques'!$C$5-'Choix pédagogiques'!$C$4),"")</f>
        <v/>
      </c>
      <c r="AZ704" s="22" t="str">
        <f t="shared" si="484"/>
        <v/>
      </c>
      <c r="BA704" s="21" t="str">
        <f t="shared" si="485"/>
        <v>Apprenant 692</v>
      </c>
      <c r="BB704" s="49" t="str">
        <f t="shared" si="457"/>
        <v/>
      </c>
      <c r="BC704" s="49" t="str">
        <f t="shared" si="458"/>
        <v/>
      </c>
      <c r="BD704" s="49" t="str">
        <f t="shared" si="459"/>
        <v/>
      </c>
      <c r="BE704" s="22" t="str">
        <f t="shared" si="486"/>
        <v/>
      </c>
      <c r="BF704" s="21" t="str">
        <f t="shared" si="487"/>
        <v>Apprenant 692 ou 692'</v>
      </c>
      <c r="BG704" s="49" t="str">
        <f t="shared" si="460"/>
        <v/>
      </c>
      <c r="BH704" s="49" t="str">
        <f t="shared" si="461"/>
        <v/>
      </c>
      <c r="BI704" s="49" t="str">
        <f t="shared" si="462"/>
        <v/>
      </c>
      <c r="BJ704" s="22" t="str">
        <f t="shared" si="488"/>
        <v/>
      </c>
      <c r="BL704" s="21"/>
      <c r="BM704" s="21" t="str">
        <f>IF(OR(COUNT(B704:D1703)=0,AND('Choix pédagogiques'!$C$3&lt;&gt;1,'Choix pédagogiques'!$C$3&lt;&gt;2)),"",IF(AND(OR('Choix pédagogiques'!$C$3=1,'Choix pédagogiques'!$C$3=2),$B704&lt;&gt;"",$C704&lt;&gt;"",$D704&lt;&gt;""),1,0))</f>
        <v/>
      </c>
      <c r="BN704" s="21" t="str">
        <f>IF(OR(COUNT(G704:I1703)=0,AND('Choix pédagogiques'!$C$3&lt;&gt;1,'Choix pédagogiques'!$C$3&lt;&gt;2)),"",IF(AND(OR('Choix pédagogiques'!$C$3=1,'Choix pédagogiques'!$C$3=2),AND($G704&lt;&gt;"",$H704&lt;&gt;"",$I704&lt;&gt;"")),1,0))</f>
        <v/>
      </c>
      <c r="BO704" s="21" t="str">
        <f>IF(OR(COUNT(B704:D1703)=0,COUNT(G704:I1703)=0,'Choix pédagogiques'!C$3&lt;&gt;3),"",IF(AND('Choix pédagogiques'!$C$3=3,$B704&lt;&gt;"",$C704&lt;&gt;"",$D704&lt;&gt;"",$G704&lt;&gt;"",$H704&lt;&gt;"",$I704&lt;&gt;""),1,0))</f>
        <v/>
      </c>
      <c r="BR704" s="21">
        <v>824</v>
      </c>
      <c r="BS704" s="21">
        <v>1203</v>
      </c>
      <c r="BT704"/>
    </row>
    <row r="705" spans="1:72" s="23" customFormat="1" ht="18" customHeight="1" x14ac:dyDescent="0.3">
      <c r="A705" s="35" t="s">
        <v>695</v>
      </c>
      <c r="B705" s="37"/>
      <c r="C705" s="37"/>
      <c r="D705" s="37"/>
      <c r="E705" s="37"/>
      <c r="F705" s="35" t="s">
        <v>1703</v>
      </c>
      <c r="G705" s="37"/>
      <c r="H705" s="37"/>
      <c r="I705" s="37"/>
      <c r="J705" s="37"/>
      <c r="K705" s="21" t="str">
        <f t="shared" si="463"/>
        <v>Apprenant 693</v>
      </c>
      <c r="L705" s="22" t="str">
        <f t="shared" si="464"/>
        <v/>
      </c>
      <c r="M705" s="22" t="str">
        <f t="shared" si="465"/>
        <v/>
      </c>
      <c r="N705" s="22" t="str">
        <f t="shared" si="466"/>
        <v/>
      </c>
      <c r="O705" s="22" t="str">
        <f t="shared" si="467"/>
        <v/>
      </c>
      <c r="P705" s="21" t="str">
        <f t="shared" si="468"/>
        <v>Apprenant 693 ou 693'</v>
      </c>
      <c r="Q705" s="22" t="str">
        <f t="shared" si="469"/>
        <v/>
      </c>
      <c r="R705" s="22" t="str">
        <f t="shared" si="470"/>
        <v/>
      </c>
      <c r="S705" s="22" t="str">
        <f t="shared" si="471"/>
        <v/>
      </c>
      <c r="T705" s="22" t="str">
        <f t="shared" si="472"/>
        <v/>
      </c>
      <c r="V705" s="21" t="str">
        <f t="shared" si="473"/>
        <v>Apprenant 693</v>
      </c>
      <c r="W705" s="22" t="str">
        <f>IF(AND(OR('Choix pédagogiques'!$C$3=1,'Choix pédagogiques'!$C$3=2),$BM705=1),B705,IF(AND('Choix pédagogiques'!$C$3=3,$BO705=1),B705,""))</f>
        <v/>
      </c>
      <c r="X705" s="22" t="str">
        <f>IF(AND(OR('Choix pédagogiques'!$C$3=1,'Choix pédagogiques'!$C$3=2),$BM705=1),C705,IF(AND('Choix pédagogiques'!$C$3=3,$BO705=1),C705,""))</f>
        <v/>
      </c>
      <c r="Y705" s="22" t="str">
        <f>IF(AND(OR('Choix pédagogiques'!$C$3=1,'Choix pédagogiques'!$C$3=2),$BM705=1),D705,IF(AND('Choix pédagogiques'!$C$3=3,$BO705=1),D705,""))</f>
        <v/>
      </c>
      <c r="Z705" s="22" t="str">
        <f t="shared" si="474"/>
        <v/>
      </c>
      <c r="AA705" s="21" t="str">
        <f t="shared" si="475"/>
        <v>Apprenant 693 ou 693'</v>
      </c>
      <c r="AB705" s="22" t="str">
        <f>IF(AND(OR('Choix pédagogiques'!$C$3=1,'Choix pédagogiques'!$C$3=2),$BN705=1),G705,IF(AND('Choix pédagogiques'!$C$3=3,$BO705=1),G705,""))</f>
        <v/>
      </c>
      <c r="AC705" s="22" t="str">
        <f>IF(AND(OR('Choix pédagogiques'!$C$3=1,'Choix pédagogiques'!$C$3=2),$BN705=1),H705,IF(AND('Choix pédagogiques'!$C$3=3,$BO705=1),H705,""))</f>
        <v/>
      </c>
      <c r="AD705" s="22" t="str">
        <f>IF(AND(OR('Choix pédagogiques'!$C$3=1,'Choix pédagogiques'!$C$3=2),$BN705=1),I705,IF(AND('Choix pédagogiques'!$C$3=3,$BO705=1),I705,""))</f>
        <v/>
      </c>
      <c r="AE705" s="22" t="str">
        <f t="shared" si="476"/>
        <v/>
      </c>
      <c r="AF705" s="21" t="str">
        <f t="shared" si="477"/>
        <v>Apprenant 693</v>
      </c>
      <c r="AG705" s="22" t="str">
        <f t="shared" si="451"/>
        <v/>
      </c>
      <c r="AH705" s="22" t="str">
        <f t="shared" si="452"/>
        <v/>
      </c>
      <c r="AI705" s="22" t="str">
        <f t="shared" si="453"/>
        <v/>
      </c>
      <c r="AJ705" s="22" t="str">
        <f t="shared" si="478"/>
        <v/>
      </c>
      <c r="AK705" s="21" t="str">
        <f t="shared" si="479"/>
        <v>Apprenant 693 ou 693'</v>
      </c>
      <c r="AL705" s="22" t="str">
        <f t="shared" si="454"/>
        <v/>
      </c>
      <c r="AM705" s="22" t="str">
        <f t="shared" si="455"/>
        <v/>
      </c>
      <c r="AN705" s="22" t="str">
        <f t="shared" si="456"/>
        <v/>
      </c>
      <c r="AO705" s="22" t="str">
        <f t="shared" si="480"/>
        <v/>
      </c>
      <c r="AQ705" s="21" t="str">
        <f t="shared" si="481"/>
        <v>Apprenant 693</v>
      </c>
      <c r="AR705" s="49" t="str">
        <f>IF(AND('Choix pédagogiques'!$C$4&lt;&gt;"?",'Choix pédagogiques'!$C$5&lt;&gt;"?",W705&lt;&gt;""),(W705-'Choix pédagogiques'!$C$4)/('Choix pédagogiques'!$C$5-'Choix pédagogiques'!$C$4),"")</f>
        <v/>
      </c>
      <c r="AS705" s="49" t="str">
        <f>IF(AND('Choix pédagogiques'!$C$4&lt;&gt;"?",'Choix pédagogiques'!$C$5&lt;&gt;"?",X705&lt;&gt;""),(X705-'Choix pédagogiques'!$C$4)/('Choix pédagogiques'!$C$5-'Choix pédagogiques'!$C$4),"")</f>
        <v/>
      </c>
      <c r="AT705" s="49" t="str">
        <f>IF(AND('Choix pédagogiques'!$C$4&lt;&gt;"?",'Choix pédagogiques'!$C$5&lt;&gt;"?",Y705&lt;&gt;""),(Y705-'Choix pédagogiques'!$C$4)/('Choix pédagogiques'!$C$5-'Choix pédagogiques'!$C$4),"")</f>
        <v/>
      </c>
      <c r="AU705" s="22" t="str">
        <f t="shared" si="482"/>
        <v/>
      </c>
      <c r="AV705" s="21" t="str">
        <f t="shared" si="483"/>
        <v>Apprenant 693 ou 693'</v>
      </c>
      <c r="AW705" s="49" t="str">
        <f>IF(AND('Choix pédagogiques'!$C$4&lt;&gt;"?",'Choix pédagogiques'!$C$5&lt;&gt;"?",AB705&lt;&gt;""),(AB705-'Choix pédagogiques'!$C$4)/('Choix pédagogiques'!$C$5-'Choix pédagogiques'!$C$4),"")</f>
        <v/>
      </c>
      <c r="AX705" s="49" t="str">
        <f>IF(AND('Choix pédagogiques'!$C$4&lt;&gt;"?",'Choix pédagogiques'!$C$5&lt;&gt;"?",AC705&lt;&gt;""),(AC705-'Choix pédagogiques'!$C$4)/('Choix pédagogiques'!$C$5-'Choix pédagogiques'!$C$4),"")</f>
        <v/>
      </c>
      <c r="AY705" s="49" t="str">
        <f>IF(AND('Choix pédagogiques'!$C$4&lt;&gt;"?",'Choix pédagogiques'!$C$5&lt;&gt;"?",AD705&lt;&gt;""),(AD705-'Choix pédagogiques'!$C$4)/('Choix pédagogiques'!$C$5-'Choix pédagogiques'!$C$4),"")</f>
        <v/>
      </c>
      <c r="AZ705" s="22" t="str">
        <f t="shared" si="484"/>
        <v/>
      </c>
      <c r="BA705" s="21" t="str">
        <f t="shared" si="485"/>
        <v>Apprenant 693</v>
      </c>
      <c r="BB705" s="49" t="str">
        <f t="shared" si="457"/>
        <v/>
      </c>
      <c r="BC705" s="49" t="str">
        <f t="shared" si="458"/>
        <v/>
      </c>
      <c r="BD705" s="49" t="str">
        <f t="shared" si="459"/>
        <v/>
      </c>
      <c r="BE705" s="22" t="str">
        <f t="shared" si="486"/>
        <v/>
      </c>
      <c r="BF705" s="21" t="str">
        <f t="shared" si="487"/>
        <v>Apprenant 693 ou 693'</v>
      </c>
      <c r="BG705" s="49" t="str">
        <f t="shared" si="460"/>
        <v/>
      </c>
      <c r="BH705" s="49" t="str">
        <f t="shared" si="461"/>
        <v/>
      </c>
      <c r="BI705" s="49" t="str">
        <f t="shared" si="462"/>
        <v/>
      </c>
      <c r="BJ705" s="22" t="str">
        <f t="shared" si="488"/>
        <v/>
      </c>
      <c r="BL705" s="21"/>
      <c r="BM705" s="21" t="str">
        <f>IF(OR(COUNT(B705:D1704)=0,AND('Choix pédagogiques'!$C$3&lt;&gt;1,'Choix pédagogiques'!$C$3&lt;&gt;2)),"",IF(AND(OR('Choix pédagogiques'!$C$3=1,'Choix pédagogiques'!$C$3=2),$B705&lt;&gt;"",$C705&lt;&gt;"",$D705&lt;&gt;""),1,0))</f>
        <v/>
      </c>
      <c r="BN705" s="21" t="str">
        <f>IF(OR(COUNT(G705:I1704)=0,AND('Choix pédagogiques'!$C$3&lt;&gt;1,'Choix pédagogiques'!$C$3&lt;&gt;2)),"",IF(AND(OR('Choix pédagogiques'!$C$3=1,'Choix pédagogiques'!$C$3=2),AND($G705&lt;&gt;"",$H705&lt;&gt;"",$I705&lt;&gt;"")),1,0))</f>
        <v/>
      </c>
      <c r="BO705" s="21" t="str">
        <f>IF(OR(COUNT(B705:D1704)=0,COUNT(G705:I1704)=0,'Choix pédagogiques'!C$3&lt;&gt;3),"",IF(AND('Choix pédagogiques'!$C$3=3,$B705&lt;&gt;"",$C705&lt;&gt;"",$D705&lt;&gt;"",$G705&lt;&gt;"",$H705&lt;&gt;"",$I705&lt;&gt;""),1,0))</f>
        <v/>
      </c>
      <c r="BR705" s="21">
        <v>866</v>
      </c>
      <c r="BS705" s="21">
        <v>1174</v>
      </c>
      <c r="BT705"/>
    </row>
    <row r="706" spans="1:72" s="23" customFormat="1" ht="18" customHeight="1" x14ac:dyDescent="0.3">
      <c r="A706" s="35" t="s">
        <v>696</v>
      </c>
      <c r="B706" s="37"/>
      <c r="C706" s="37"/>
      <c r="D706" s="37"/>
      <c r="E706" s="37"/>
      <c r="F706" s="35" t="s">
        <v>1704</v>
      </c>
      <c r="G706" s="37"/>
      <c r="H706" s="37"/>
      <c r="I706" s="37"/>
      <c r="J706" s="37"/>
      <c r="K706" s="21" t="str">
        <f t="shared" si="463"/>
        <v>Apprenant 694</v>
      </c>
      <c r="L706" s="22" t="str">
        <f t="shared" si="464"/>
        <v/>
      </c>
      <c r="M706" s="22" t="str">
        <f t="shared" si="465"/>
        <v/>
      </c>
      <c r="N706" s="22" t="str">
        <f t="shared" si="466"/>
        <v/>
      </c>
      <c r="O706" s="22" t="str">
        <f t="shared" si="467"/>
        <v/>
      </c>
      <c r="P706" s="21" t="str">
        <f t="shared" si="468"/>
        <v>Apprenant 694 ou 694'</v>
      </c>
      <c r="Q706" s="22" t="str">
        <f t="shared" si="469"/>
        <v/>
      </c>
      <c r="R706" s="22" t="str">
        <f t="shared" si="470"/>
        <v/>
      </c>
      <c r="S706" s="22" t="str">
        <f t="shared" si="471"/>
        <v/>
      </c>
      <c r="T706" s="22" t="str">
        <f t="shared" si="472"/>
        <v/>
      </c>
      <c r="V706" s="21" t="str">
        <f t="shared" si="473"/>
        <v>Apprenant 694</v>
      </c>
      <c r="W706" s="22" t="str">
        <f>IF(AND(OR('Choix pédagogiques'!$C$3=1,'Choix pédagogiques'!$C$3=2),$BM706=1),B706,IF(AND('Choix pédagogiques'!$C$3=3,$BO706=1),B706,""))</f>
        <v/>
      </c>
      <c r="X706" s="22" t="str">
        <f>IF(AND(OR('Choix pédagogiques'!$C$3=1,'Choix pédagogiques'!$C$3=2),$BM706=1),C706,IF(AND('Choix pédagogiques'!$C$3=3,$BO706=1),C706,""))</f>
        <v/>
      </c>
      <c r="Y706" s="22" t="str">
        <f>IF(AND(OR('Choix pédagogiques'!$C$3=1,'Choix pédagogiques'!$C$3=2),$BM706=1),D706,IF(AND('Choix pédagogiques'!$C$3=3,$BO706=1),D706,""))</f>
        <v/>
      </c>
      <c r="Z706" s="22" t="str">
        <f t="shared" si="474"/>
        <v/>
      </c>
      <c r="AA706" s="21" t="str">
        <f t="shared" si="475"/>
        <v>Apprenant 694 ou 694'</v>
      </c>
      <c r="AB706" s="22" t="str">
        <f>IF(AND(OR('Choix pédagogiques'!$C$3=1,'Choix pédagogiques'!$C$3=2),$BN706=1),G706,IF(AND('Choix pédagogiques'!$C$3=3,$BO706=1),G706,""))</f>
        <v/>
      </c>
      <c r="AC706" s="22" t="str">
        <f>IF(AND(OR('Choix pédagogiques'!$C$3=1,'Choix pédagogiques'!$C$3=2),$BN706=1),H706,IF(AND('Choix pédagogiques'!$C$3=3,$BO706=1),H706,""))</f>
        <v/>
      </c>
      <c r="AD706" s="22" t="str">
        <f>IF(AND(OR('Choix pédagogiques'!$C$3=1,'Choix pédagogiques'!$C$3=2),$BN706=1),I706,IF(AND('Choix pédagogiques'!$C$3=3,$BO706=1),I706,""))</f>
        <v/>
      </c>
      <c r="AE706" s="22" t="str">
        <f t="shared" si="476"/>
        <v/>
      </c>
      <c r="AF706" s="21" t="str">
        <f t="shared" si="477"/>
        <v>Apprenant 694</v>
      </c>
      <c r="AG706" s="22" t="str">
        <f t="shared" si="451"/>
        <v/>
      </c>
      <c r="AH706" s="22" t="str">
        <f t="shared" si="452"/>
        <v/>
      </c>
      <c r="AI706" s="22" t="str">
        <f t="shared" si="453"/>
        <v/>
      </c>
      <c r="AJ706" s="22" t="str">
        <f t="shared" si="478"/>
        <v/>
      </c>
      <c r="AK706" s="21" t="str">
        <f t="shared" si="479"/>
        <v>Apprenant 694 ou 694'</v>
      </c>
      <c r="AL706" s="22" t="str">
        <f t="shared" si="454"/>
        <v/>
      </c>
      <c r="AM706" s="22" t="str">
        <f t="shared" si="455"/>
        <v/>
      </c>
      <c r="AN706" s="22" t="str">
        <f t="shared" si="456"/>
        <v/>
      </c>
      <c r="AO706" s="22" t="str">
        <f t="shared" si="480"/>
        <v/>
      </c>
      <c r="AQ706" s="21" t="str">
        <f t="shared" si="481"/>
        <v>Apprenant 694</v>
      </c>
      <c r="AR706" s="49" t="str">
        <f>IF(AND('Choix pédagogiques'!$C$4&lt;&gt;"?",'Choix pédagogiques'!$C$5&lt;&gt;"?",W706&lt;&gt;""),(W706-'Choix pédagogiques'!$C$4)/('Choix pédagogiques'!$C$5-'Choix pédagogiques'!$C$4),"")</f>
        <v/>
      </c>
      <c r="AS706" s="49" t="str">
        <f>IF(AND('Choix pédagogiques'!$C$4&lt;&gt;"?",'Choix pédagogiques'!$C$5&lt;&gt;"?",X706&lt;&gt;""),(X706-'Choix pédagogiques'!$C$4)/('Choix pédagogiques'!$C$5-'Choix pédagogiques'!$C$4),"")</f>
        <v/>
      </c>
      <c r="AT706" s="49" t="str">
        <f>IF(AND('Choix pédagogiques'!$C$4&lt;&gt;"?",'Choix pédagogiques'!$C$5&lt;&gt;"?",Y706&lt;&gt;""),(Y706-'Choix pédagogiques'!$C$4)/('Choix pédagogiques'!$C$5-'Choix pédagogiques'!$C$4),"")</f>
        <v/>
      </c>
      <c r="AU706" s="22" t="str">
        <f t="shared" si="482"/>
        <v/>
      </c>
      <c r="AV706" s="21" t="str">
        <f t="shared" si="483"/>
        <v>Apprenant 694 ou 694'</v>
      </c>
      <c r="AW706" s="49" t="str">
        <f>IF(AND('Choix pédagogiques'!$C$4&lt;&gt;"?",'Choix pédagogiques'!$C$5&lt;&gt;"?",AB706&lt;&gt;""),(AB706-'Choix pédagogiques'!$C$4)/('Choix pédagogiques'!$C$5-'Choix pédagogiques'!$C$4),"")</f>
        <v/>
      </c>
      <c r="AX706" s="49" t="str">
        <f>IF(AND('Choix pédagogiques'!$C$4&lt;&gt;"?",'Choix pédagogiques'!$C$5&lt;&gt;"?",AC706&lt;&gt;""),(AC706-'Choix pédagogiques'!$C$4)/('Choix pédagogiques'!$C$5-'Choix pédagogiques'!$C$4),"")</f>
        <v/>
      </c>
      <c r="AY706" s="49" t="str">
        <f>IF(AND('Choix pédagogiques'!$C$4&lt;&gt;"?",'Choix pédagogiques'!$C$5&lt;&gt;"?",AD706&lt;&gt;""),(AD706-'Choix pédagogiques'!$C$4)/('Choix pédagogiques'!$C$5-'Choix pédagogiques'!$C$4),"")</f>
        <v/>
      </c>
      <c r="AZ706" s="22" t="str">
        <f t="shared" si="484"/>
        <v/>
      </c>
      <c r="BA706" s="21" t="str">
        <f t="shared" si="485"/>
        <v>Apprenant 694</v>
      </c>
      <c r="BB706" s="49" t="str">
        <f t="shared" si="457"/>
        <v/>
      </c>
      <c r="BC706" s="49" t="str">
        <f t="shared" si="458"/>
        <v/>
      </c>
      <c r="BD706" s="49" t="str">
        <f t="shared" si="459"/>
        <v/>
      </c>
      <c r="BE706" s="22" t="str">
        <f t="shared" si="486"/>
        <v/>
      </c>
      <c r="BF706" s="21" t="str">
        <f t="shared" si="487"/>
        <v>Apprenant 694 ou 694'</v>
      </c>
      <c r="BG706" s="49" t="str">
        <f t="shared" si="460"/>
        <v/>
      </c>
      <c r="BH706" s="49" t="str">
        <f t="shared" si="461"/>
        <v/>
      </c>
      <c r="BI706" s="49" t="str">
        <f t="shared" si="462"/>
        <v/>
      </c>
      <c r="BJ706" s="22" t="str">
        <f t="shared" si="488"/>
        <v/>
      </c>
      <c r="BL706" s="21"/>
      <c r="BM706" s="21" t="str">
        <f>IF(OR(COUNT(B706:D1705)=0,AND('Choix pédagogiques'!$C$3&lt;&gt;1,'Choix pédagogiques'!$C$3&lt;&gt;2)),"",IF(AND(OR('Choix pédagogiques'!$C$3=1,'Choix pédagogiques'!$C$3=2),$B706&lt;&gt;"",$C706&lt;&gt;"",$D706&lt;&gt;""),1,0))</f>
        <v/>
      </c>
      <c r="BN706" s="21" t="str">
        <f>IF(OR(COUNT(G706:I1705)=0,AND('Choix pédagogiques'!$C$3&lt;&gt;1,'Choix pédagogiques'!$C$3&lt;&gt;2)),"",IF(AND(OR('Choix pédagogiques'!$C$3=1,'Choix pédagogiques'!$C$3=2),AND($G706&lt;&gt;"",$H706&lt;&gt;"",$I706&lt;&gt;"")),1,0))</f>
        <v/>
      </c>
      <c r="BO706" s="21" t="str">
        <f>IF(OR(COUNT(B706:D1705)=0,COUNT(G706:I1705)=0,'Choix pédagogiques'!C$3&lt;&gt;3),"",IF(AND('Choix pédagogiques'!$C$3=3,$B706&lt;&gt;"",$C706&lt;&gt;"",$D706&lt;&gt;"",$G706&lt;&gt;"",$H706&lt;&gt;"",$I706&lt;&gt;""),1,0))</f>
        <v/>
      </c>
      <c r="BR706" s="21">
        <v>687</v>
      </c>
      <c r="BS706" s="21">
        <v>1049</v>
      </c>
      <c r="BT706"/>
    </row>
    <row r="707" spans="1:72" s="23" customFormat="1" ht="18" customHeight="1" x14ac:dyDescent="0.3">
      <c r="A707" s="35" t="s">
        <v>697</v>
      </c>
      <c r="B707" s="37"/>
      <c r="C707" s="37"/>
      <c r="D707" s="37"/>
      <c r="E707" s="37"/>
      <c r="F707" s="35" t="s">
        <v>1705</v>
      </c>
      <c r="G707" s="37"/>
      <c r="H707" s="37"/>
      <c r="I707" s="37"/>
      <c r="J707" s="37"/>
      <c r="K707" s="21" t="str">
        <f t="shared" si="463"/>
        <v>Apprenant 695</v>
      </c>
      <c r="L707" s="22" t="str">
        <f t="shared" si="464"/>
        <v/>
      </c>
      <c r="M707" s="22" t="str">
        <f t="shared" si="465"/>
        <v/>
      </c>
      <c r="N707" s="22" t="str">
        <f t="shared" si="466"/>
        <v/>
      </c>
      <c r="O707" s="22" t="str">
        <f t="shared" si="467"/>
        <v/>
      </c>
      <c r="P707" s="21" t="str">
        <f t="shared" si="468"/>
        <v>Apprenant 695 ou 695'</v>
      </c>
      <c r="Q707" s="22" t="str">
        <f t="shared" si="469"/>
        <v/>
      </c>
      <c r="R707" s="22" t="str">
        <f t="shared" si="470"/>
        <v/>
      </c>
      <c r="S707" s="22" t="str">
        <f t="shared" si="471"/>
        <v/>
      </c>
      <c r="T707" s="22" t="str">
        <f t="shared" si="472"/>
        <v/>
      </c>
      <c r="V707" s="21" t="str">
        <f t="shared" si="473"/>
        <v>Apprenant 695</v>
      </c>
      <c r="W707" s="22" t="str">
        <f>IF(AND(OR('Choix pédagogiques'!$C$3=1,'Choix pédagogiques'!$C$3=2),$BM707=1),B707,IF(AND('Choix pédagogiques'!$C$3=3,$BO707=1),B707,""))</f>
        <v/>
      </c>
      <c r="X707" s="22" t="str">
        <f>IF(AND(OR('Choix pédagogiques'!$C$3=1,'Choix pédagogiques'!$C$3=2),$BM707=1),C707,IF(AND('Choix pédagogiques'!$C$3=3,$BO707=1),C707,""))</f>
        <v/>
      </c>
      <c r="Y707" s="22" t="str">
        <f>IF(AND(OR('Choix pédagogiques'!$C$3=1,'Choix pédagogiques'!$C$3=2),$BM707=1),D707,IF(AND('Choix pédagogiques'!$C$3=3,$BO707=1),D707,""))</f>
        <v/>
      </c>
      <c r="Z707" s="22" t="str">
        <f t="shared" si="474"/>
        <v/>
      </c>
      <c r="AA707" s="21" t="str">
        <f t="shared" si="475"/>
        <v>Apprenant 695 ou 695'</v>
      </c>
      <c r="AB707" s="22" t="str">
        <f>IF(AND(OR('Choix pédagogiques'!$C$3=1,'Choix pédagogiques'!$C$3=2),$BN707=1),G707,IF(AND('Choix pédagogiques'!$C$3=3,$BO707=1),G707,""))</f>
        <v/>
      </c>
      <c r="AC707" s="22" t="str">
        <f>IF(AND(OR('Choix pédagogiques'!$C$3=1,'Choix pédagogiques'!$C$3=2),$BN707=1),H707,IF(AND('Choix pédagogiques'!$C$3=3,$BO707=1),H707,""))</f>
        <v/>
      </c>
      <c r="AD707" s="22" t="str">
        <f>IF(AND(OR('Choix pédagogiques'!$C$3=1,'Choix pédagogiques'!$C$3=2),$BN707=1),I707,IF(AND('Choix pédagogiques'!$C$3=3,$BO707=1),I707,""))</f>
        <v/>
      </c>
      <c r="AE707" s="22" t="str">
        <f t="shared" si="476"/>
        <v/>
      </c>
      <c r="AF707" s="21" t="str">
        <f t="shared" si="477"/>
        <v>Apprenant 695</v>
      </c>
      <c r="AG707" s="22" t="str">
        <f t="shared" si="451"/>
        <v/>
      </c>
      <c r="AH707" s="22" t="str">
        <f t="shared" si="452"/>
        <v/>
      </c>
      <c r="AI707" s="22" t="str">
        <f t="shared" si="453"/>
        <v/>
      </c>
      <c r="AJ707" s="22" t="str">
        <f t="shared" si="478"/>
        <v/>
      </c>
      <c r="AK707" s="21" t="str">
        <f t="shared" si="479"/>
        <v>Apprenant 695 ou 695'</v>
      </c>
      <c r="AL707" s="22" t="str">
        <f t="shared" si="454"/>
        <v/>
      </c>
      <c r="AM707" s="22" t="str">
        <f t="shared" si="455"/>
        <v/>
      </c>
      <c r="AN707" s="22" t="str">
        <f t="shared" si="456"/>
        <v/>
      </c>
      <c r="AO707" s="22" t="str">
        <f t="shared" si="480"/>
        <v/>
      </c>
      <c r="AQ707" s="21" t="str">
        <f t="shared" si="481"/>
        <v>Apprenant 695</v>
      </c>
      <c r="AR707" s="49" t="str">
        <f>IF(AND('Choix pédagogiques'!$C$4&lt;&gt;"?",'Choix pédagogiques'!$C$5&lt;&gt;"?",W707&lt;&gt;""),(W707-'Choix pédagogiques'!$C$4)/('Choix pédagogiques'!$C$5-'Choix pédagogiques'!$C$4),"")</f>
        <v/>
      </c>
      <c r="AS707" s="49" t="str">
        <f>IF(AND('Choix pédagogiques'!$C$4&lt;&gt;"?",'Choix pédagogiques'!$C$5&lt;&gt;"?",X707&lt;&gt;""),(X707-'Choix pédagogiques'!$C$4)/('Choix pédagogiques'!$C$5-'Choix pédagogiques'!$C$4),"")</f>
        <v/>
      </c>
      <c r="AT707" s="49" t="str">
        <f>IF(AND('Choix pédagogiques'!$C$4&lt;&gt;"?",'Choix pédagogiques'!$C$5&lt;&gt;"?",Y707&lt;&gt;""),(Y707-'Choix pédagogiques'!$C$4)/('Choix pédagogiques'!$C$5-'Choix pédagogiques'!$C$4),"")</f>
        <v/>
      </c>
      <c r="AU707" s="22" t="str">
        <f t="shared" si="482"/>
        <v/>
      </c>
      <c r="AV707" s="21" t="str">
        <f t="shared" si="483"/>
        <v>Apprenant 695 ou 695'</v>
      </c>
      <c r="AW707" s="49" t="str">
        <f>IF(AND('Choix pédagogiques'!$C$4&lt;&gt;"?",'Choix pédagogiques'!$C$5&lt;&gt;"?",AB707&lt;&gt;""),(AB707-'Choix pédagogiques'!$C$4)/('Choix pédagogiques'!$C$5-'Choix pédagogiques'!$C$4),"")</f>
        <v/>
      </c>
      <c r="AX707" s="49" t="str">
        <f>IF(AND('Choix pédagogiques'!$C$4&lt;&gt;"?",'Choix pédagogiques'!$C$5&lt;&gt;"?",AC707&lt;&gt;""),(AC707-'Choix pédagogiques'!$C$4)/('Choix pédagogiques'!$C$5-'Choix pédagogiques'!$C$4),"")</f>
        <v/>
      </c>
      <c r="AY707" s="49" t="str">
        <f>IF(AND('Choix pédagogiques'!$C$4&lt;&gt;"?",'Choix pédagogiques'!$C$5&lt;&gt;"?",AD707&lt;&gt;""),(AD707-'Choix pédagogiques'!$C$4)/('Choix pédagogiques'!$C$5-'Choix pédagogiques'!$C$4),"")</f>
        <v/>
      </c>
      <c r="AZ707" s="22" t="str">
        <f t="shared" si="484"/>
        <v/>
      </c>
      <c r="BA707" s="21" t="str">
        <f t="shared" si="485"/>
        <v>Apprenant 695</v>
      </c>
      <c r="BB707" s="49" t="str">
        <f t="shared" si="457"/>
        <v/>
      </c>
      <c r="BC707" s="49" t="str">
        <f t="shared" si="458"/>
        <v/>
      </c>
      <c r="BD707" s="49" t="str">
        <f t="shared" si="459"/>
        <v/>
      </c>
      <c r="BE707" s="22" t="str">
        <f t="shared" si="486"/>
        <v/>
      </c>
      <c r="BF707" s="21" t="str">
        <f t="shared" si="487"/>
        <v>Apprenant 695 ou 695'</v>
      </c>
      <c r="BG707" s="49" t="str">
        <f t="shared" si="460"/>
        <v/>
      </c>
      <c r="BH707" s="49" t="str">
        <f t="shared" si="461"/>
        <v/>
      </c>
      <c r="BI707" s="49" t="str">
        <f t="shared" si="462"/>
        <v/>
      </c>
      <c r="BJ707" s="22" t="str">
        <f t="shared" si="488"/>
        <v/>
      </c>
      <c r="BL707" s="21"/>
      <c r="BM707" s="21" t="str">
        <f>IF(OR(COUNT(B707:D1706)=0,AND('Choix pédagogiques'!$C$3&lt;&gt;1,'Choix pédagogiques'!$C$3&lt;&gt;2)),"",IF(AND(OR('Choix pédagogiques'!$C$3=1,'Choix pédagogiques'!$C$3=2),$B707&lt;&gt;"",$C707&lt;&gt;"",$D707&lt;&gt;""),1,0))</f>
        <v/>
      </c>
      <c r="BN707" s="21" t="str">
        <f>IF(OR(COUNT(G707:I1706)=0,AND('Choix pédagogiques'!$C$3&lt;&gt;1,'Choix pédagogiques'!$C$3&lt;&gt;2)),"",IF(AND(OR('Choix pédagogiques'!$C$3=1,'Choix pédagogiques'!$C$3=2),AND($G707&lt;&gt;"",$H707&lt;&gt;"",$I707&lt;&gt;"")),1,0))</f>
        <v/>
      </c>
      <c r="BO707" s="21" t="str">
        <f>IF(OR(COUNT(B707:D1706)=0,COUNT(G707:I1706)=0,'Choix pédagogiques'!C$3&lt;&gt;3),"",IF(AND('Choix pédagogiques'!$C$3=3,$B707&lt;&gt;"",$C707&lt;&gt;"",$D707&lt;&gt;"",$G707&lt;&gt;"",$H707&lt;&gt;"",$I707&lt;&gt;""),1,0))</f>
        <v/>
      </c>
      <c r="BR707" s="21">
        <v>895</v>
      </c>
      <c r="BS707" s="21">
        <v>1762</v>
      </c>
      <c r="BT707"/>
    </row>
    <row r="708" spans="1:72" s="23" customFormat="1" ht="18" customHeight="1" x14ac:dyDescent="0.3">
      <c r="A708" s="35" t="s">
        <v>698</v>
      </c>
      <c r="B708" s="37"/>
      <c r="C708" s="37"/>
      <c r="D708" s="37"/>
      <c r="E708" s="37"/>
      <c r="F708" s="35" t="s">
        <v>1706</v>
      </c>
      <c r="G708" s="37"/>
      <c r="H708" s="37"/>
      <c r="I708" s="37"/>
      <c r="J708" s="37"/>
      <c r="K708" s="21" t="str">
        <f t="shared" si="463"/>
        <v>Apprenant 696</v>
      </c>
      <c r="L708" s="22" t="str">
        <f t="shared" si="464"/>
        <v/>
      </c>
      <c r="M708" s="22" t="str">
        <f t="shared" si="465"/>
        <v/>
      </c>
      <c r="N708" s="22" t="str">
        <f t="shared" si="466"/>
        <v/>
      </c>
      <c r="O708" s="22" t="str">
        <f t="shared" si="467"/>
        <v/>
      </c>
      <c r="P708" s="21" t="str">
        <f t="shared" si="468"/>
        <v>Apprenant 696 ou 696'</v>
      </c>
      <c r="Q708" s="22" t="str">
        <f t="shared" si="469"/>
        <v/>
      </c>
      <c r="R708" s="22" t="str">
        <f t="shared" si="470"/>
        <v/>
      </c>
      <c r="S708" s="22" t="str">
        <f t="shared" si="471"/>
        <v/>
      </c>
      <c r="T708" s="22" t="str">
        <f t="shared" si="472"/>
        <v/>
      </c>
      <c r="V708" s="21" t="str">
        <f t="shared" si="473"/>
        <v>Apprenant 696</v>
      </c>
      <c r="W708" s="22" t="str">
        <f>IF(AND(OR('Choix pédagogiques'!$C$3=1,'Choix pédagogiques'!$C$3=2),$BM708=1),B708,IF(AND('Choix pédagogiques'!$C$3=3,$BO708=1),B708,""))</f>
        <v/>
      </c>
      <c r="X708" s="22" t="str">
        <f>IF(AND(OR('Choix pédagogiques'!$C$3=1,'Choix pédagogiques'!$C$3=2),$BM708=1),C708,IF(AND('Choix pédagogiques'!$C$3=3,$BO708=1),C708,""))</f>
        <v/>
      </c>
      <c r="Y708" s="22" t="str">
        <f>IF(AND(OR('Choix pédagogiques'!$C$3=1,'Choix pédagogiques'!$C$3=2),$BM708=1),D708,IF(AND('Choix pédagogiques'!$C$3=3,$BO708=1),D708,""))</f>
        <v/>
      </c>
      <c r="Z708" s="22" t="str">
        <f t="shared" si="474"/>
        <v/>
      </c>
      <c r="AA708" s="21" t="str">
        <f t="shared" si="475"/>
        <v>Apprenant 696 ou 696'</v>
      </c>
      <c r="AB708" s="22" t="str">
        <f>IF(AND(OR('Choix pédagogiques'!$C$3=1,'Choix pédagogiques'!$C$3=2),$BN708=1),G708,IF(AND('Choix pédagogiques'!$C$3=3,$BO708=1),G708,""))</f>
        <v/>
      </c>
      <c r="AC708" s="22" t="str">
        <f>IF(AND(OR('Choix pédagogiques'!$C$3=1,'Choix pédagogiques'!$C$3=2),$BN708=1),H708,IF(AND('Choix pédagogiques'!$C$3=3,$BO708=1),H708,""))</f>
        <v/>
      </c>
      <c r="AD708" s="22" t="str">
        <f>IF(AND(OR('Choix pédagogiques'!$C$3=1,'Choix pédagogiques'!$C$3=2),$BN708=1),I708,IF(AND('Choix pédagogiques'!$C$3=3,$BO708=1),I708,""))</f>
        <v/>
      </c>
      <c r="AE708" s="22" t="str">
        <f t="shared" si="476"/>
        <v/>
      </c>
      <c r="AF708" s="21" t="str">
        <f t="shared" si="477"/>
        <v>Apprenant 696</v>
      </c>
      <c r="AG708" s="22" t="str">
        <f t="shared" si="451"/>
        <v/>
      </c>
      <c r="AH708" s="22" t="str">
        <f t="shared" si="452"/>
        <v/>
      </c>
      <c r="AI708" s="22" t="str">
        <f t="shared" si="453"/>
        <v/>
      </c>
      <c r="AJ708" s="22" t="str">
        <f t="shared" si="478"/>
        <v/>
      </c>
      <c r="AK708" s="21" t="str">
        <f t="shared" si="479"/>
        <v>Apprenant 696 ou 696'</v>
      </c>
      <c r="AL708" s="22" t="str">
        <f t="shared" si="454"/>
        <v/>
      </c>
      <c r="AM708" s="22" t="str">
        <f t="shared" si="455"/>
        <v/>
      </c>
      <c r="AN708" s="22" t="str">
        <f t="shared" si="456"/>
        <v/>
      </c>
      <c r="AO708" s="22" t="str">
        <f t="shared" si="480"/>
        <v/>
      </c>
      <c r="AQ708" s="21" t="str">
        <f t="shared" si="481"/>
        <v>Apprenant 696</v>
      </c>
      <c r="AR708" s="49" t="str">
        <f>IF(AND('Choix pédagogiques'!$C$4&lt;&gt;"?",'Choix pédagogiques'!$C$5&lt;&gt;"?",W708&lt;&gt;""),(W708-'Choix pédagogiques'!$C$4)/('Choix pédagogiques'!$C$5-'Choix pédagogiques'!$C$4),"")</f>
        <v/>
      </c>
      <c r="AS708" s="49" t="str">
        <f>IF(AND('Choix pédagogiques'!$C$4&lt;&gt;"?",'Choix pédagogiques'!$C$5&lt;&gt;"?",X708&lt;&gt;""),(X708-'Choix pédagogiques'!$C$4)/('Choix pédagogiques'!$C$5-'Choix pédagogiques'!$C$4),"")</f>
        <v/>
      </c>
      <c r="AT708" s="49" t="str">
        <f>IF(AND('Choix pédagogiques'!$C$4&lt;&gt;"?",'Choix pédagogiques'!$C$5&lt;&gt;"?",Y708&lt;&gt;""),(Y708-'Choix pédagogiques'!$C$4)/('Choix pédagogiques'!$C$5-'Choix pédagogiques'!$C$4),"")</f>
        <v/>
      </c>
      <c r="AU708" s="22" t="str">
        <f t="shared" si="482"/>
        <v/>
      </c>
      <c r="AV708" s="21" t="str">
        <f t="shared" si="483"/>
        <v>Apprenant 696 ou 696'</v>
      </c>
      <c r="AW708" s="49" t="str">
        <f>IF(AND('Choix pédagogiques'!$C$4&lt;&gt;"?",'Choix pédagogiques'!$C$5&lt;&gt;"?",AB708&lt;&gt;""),(AB708-'Choix pédagogiques'!$C$4)/('Choix pédagogiques'!$C$5-'Choix pédagogiques'!$C$4),"")</f>
        <v/>
      </c>
      <c r="AX708" s="49" t="str">
        <f>IF(AND('Choix pédagogiques'!$C$4&lt;&gt;"?",'Choix pédagogiques'!$C$5&lt;&gt;"?",AC708&lt;&gt;""),(AC708-'Choix pédagogiques'!$C$4)/('Choix pédagogiques'!$C$5-'Choix pédagogiques'!$C$4),"")</f>
        <v/>
      </c>
      <c r="AY708" s="49" t="str">
        <f>IF(AND('Choix pédagogiques'!$C$4&lt;&gt;"?",'Choix pédagogiques'!$C$5&lt;&gt;"?",AD708&lt;&gt;""),(AD708-'Choix pédagogiques'!$C$4)/('Choix pédagogiques'!$C$5-'Choix pédagogiques'!$C$4),"")</f>
        <v/>
      </c>
      <c r="AZ708" s="22" t="str">
        <f t="shared" si="484"/>
        <v/>
      </c>
      <c r="BA708" s="21" t="str">
        <f t="shared" si="485"/>
        <v>Apprenant 696</v>
      </c>
      <c r="BB708" s="49" t="str">
        <f t="shared" si="457"/>
        <v/>
      </c>
      <c r="BC708" s="49" t="str">
        <f t="shared" si="458"/>
        <v/>
      </c>
      <c r="BD708" s="49" t="str">
        <f t="shared" si="459"/>
        <v/>
      </c>
      <c r="BE708" s="22" t="str">
        <f t="shared" si="486"/>
        <v/>
      </c>
      <c r="BF708" s="21" t="str">
        <f t="shared" si="487"/>
        <v>Apprenant 696 ou 696'</v>
      </c>
      <c r="BG708" s="49" t="str">
        <f t="shared" si="460"/>
        <v/>
      </c>
      <c r="BH708" s="49" t="str">
        <f t="shared" si="461"/>
        <v/>
      </c>
      <c r="BI708" s="49" t="str">
        <f t="shared" si="462"/>
        <v/>
      </c>
      <c r="BJ708" s="22" t="str">
        <f t="shared" si="488"/>
        <v/>
      </c>
      <c r="BL708" s="21"/>
      <c r="BM708" s="21" t="str">
        <f>IF(OR(COUNT(B708:D1707)=0,AND('Choix pédagogiques'!$C$3&lt;&gt;1,'Choix pédagogiques'!$C$3&lt;&gt;2)),"",IF(AND(OR('Choix pédagogiques'!$C$3=1,'Choix pédagogiques'!$C$3=2),$B708&lt;&gt;"",$C708&lt;&gt;"",$D708&lt;&gt;""),1,0))</f>
        <v/>
      </c>
      <c r="BN708" s="21" t="str">
        <f>IF(OR(COUNT(G708:I1707)=0,AND('Choix pédagogiques'!$C$3&lt;&gt;1,'Choix pédagogiques'!$C$3&lt;&gt;2)),"",IF(AND(OR('Choix pédagogiques'!$C$3=1,'Choix pédagogiques'!$C$3=2),AND($G708&lt;&gt;"",$H708&lt;&gt;"",$I708&lt;&gt;"")),1,0))</f>
        <v/>
      </c>
      <c r="BO708" s="21" t="str">
        <f>IF(OR(COUNT(B708:D1707)=0,COUNT(G708:I1707)=0,'Choix pédagogiques'!C$3&lt;&gt;3),"",IF(AND('Choix pédagogiques'!$C$3=3,$B708&lt;&gt;"",$C708&lt;&gt;"",$D708&lt;&gt;"",$G708&lt;&gt;"",$H708&lt;&gt;"",$I708&lt;&gt;""),1,0))</f>
        <v/>
      </c>
      <c r="BR708" s="21">
        <v>954</v>
      </c>
      <c r="BS708" s="21">
        <v>1381</v>
      </c>
      <c r="BT708"/>
    </row>
    <row r="709" spans="1:72" s="23" customFormat="1" ht="18" customHeight="1" x14ac:dyDescent="0.3">
      <c r="A709" s="35" t="s">
        <v>699</v>
      </c>
      <c r="B709" s="37"/>
      <c r="C709" s="37"/>
      <c r="D709" s="37"/>
      <c r="E709" s="37"/>
      <c r="F709" s="35" t="s">
        <v>1707</v>
      </c>
      <c r="G709" s="37"/>
      <c r="H709" s="37"/>
      <c r="I709" s="37"/>
      <c r="J709" s="37"/>
      <c r="K709" s="21" t="str">
        <f t="shared" si="463"/>
        <v>Apprenant 697</v>
      </c>
      <c r="L709" s="22" t="str">
        <f t="shared" si="464"/>
        <v/>
      </c>
      <c r="M709" s="22" t="str">
        <f t="shared" si="465"/>
        <v/>
      </c>
      <c r="N709" s="22" t="str">
        <f t="shared" si="466"/>
        <v/>
      </c>
      <c r="O709" s="22" t="str">
        <f t="shared" si="467"/>
        <v/>
      </c>
      <c r="P709" s="21" t="str">
        <f t="shared" si="468"/>
        <v>Apprenant 697 ou 697'</v>
      </c>
      <c r="Q709" s="22" t="str">
        <f t="shared" si="469"/>
        <v/>
      </c>
      <c r="R709" s="22" t="str">
        <f t="shared" si="470"/>
        <v/>
      </c>
      <c r="S709" s="22" t="str">
        <f t="shared" si="471"/>
        <v/>
      </c>
      <c r="T709" s="22" t="str">
        <f t="shared" si="472"/>
        <v/>
      </c>
      <c r="V709" s="21" t="str">
        <f t="shared" si="473"/>
        <v>Apprenant 697</v>
      </c>
      <c r="W709" s="22" t="str">
        <f>IF(AND(OR('Choix pédagogiques'!$C$3=1,'Choix pédagogiques'!$C$3=2),$BM709=1),B709,IF(AND('Choix pédagogiques'!$C$3=3,$BO709=1),B709,""))</f>
        <v/>
      </c>
      <c r="X709" s="22" t="str">
        <f>IF(AND(OR('Choix pédagogiques'!$C$3=1,'Choix pédagogiques'!$C$3=2),$BM709=1),C709,IF(AND('Choix pédagogiques'!$C$3=3,$BO709=1),C709,""))</f>
        <v/>
      </c>
      <c r="Y709" s="22" t="str">
        <f>IF(AND(OR('Choix pédagogiques'!$C$3=1,'Choix pédagogiques'!$C$3=2),$BM709=1),D709,IF(AND('Choix pédagogiques'!$C$3=3,$BO709=1),D709,""))</f>
        <v/>
      </c>
      <c r="Z709" s="22" t="str">
        <f t="shared" si="474"/>
        <v/>
      </c>
      <c r="AA709" s="21" t="str">
        <f t="shared" si="475"/>
        <v>Apprenant 697 ou 697'</v>
      </c>
      <c r="AB709" s="22" t="str">
        <f>IF(AND(OR('Choix pédagogiques'!$C$3=1,'Choix pédagogiques'!$C$3=2),$BN709=1),G709,IF(AND('Choix pédagogiques'!$C$3=3,$BO709=1),G709,""))</f>
        <v/>
      </c>
      <c r="AC709" s="22" t="str">
        <f>IF(AND(OR('Choix pédagogiques'!$C$3=1,'Choix pédagogiques'!$C$3=2),$BN709=1),H709,IF(AND('Choix pédagogiques'!$C$3=3,$BO709=1),H709,""))</f>
        <v/>
      </c>
      <c r="AD709" s="22" t="str">
        <f>IF(AND(OR('Choix pédagogiques'!$C$3=1,'Choix pédagogiques'!$C$3=2),$BN709=1),I709,IF(AND('Choix pédagogiques'!$C$3=3,$BO709=1),I709,""))</f>
        <v/>
      </c>
      <c r="AE709" s="22" t="str">
        <f t="shared" si="476"/>
        <v/>
      </c>
      <c r="AF709" s="21" t="str">
        <f t="shared" si="477"/>
        <v>Apprenant 697</v>
      </c>
      <c r="AG709" s="22" t="str">
        <f t="shared" si="451"/>
        <v/>
      </c>
      <c r="AH709" s="22" t="str">
        <f t="shared" si="452"/>
        <v/>
      </c>
      <c r="AI709" s="22" t="str">
        <f t="shared" si="453"/>
        <v/>
      </c>
      <c r="AJ709" s="22" t="str">
        <f t="shared" si="478"/>
        <v/>
      </c>
      <c r="AK709" s="21" t="str">
        <f t="shared" si="479"/>
        <v>Apprenant 697 ou 697'</v>
      </c>
      <c r="AL709" s="22" t="str">
        <f t="shared" si="454"/>
        <v/>
      </c>
      <c r="AM709" s="22" t="str">
        <f t="shared" si="455"/>
        <v/>
      </c>
      <c r="AN709" s="22" t="str">
        <f t="shared" si="456"/>
        <v/>
      </c>
      <c r="AO709" s="22" t="str">
        <f t="shared" si="480"/>
        <v/>
      </c>
      <c r="AQ709" s="21" t="str">
        <f t="shared" si="481"/>
        <v>Apprenant 697</v>
      </c>
      <c r="AR709" s="49" t="str">
        <f>IF(AND('Choix pédagogiques'!$C$4&lt;&gt;"?",'Choix pédagogiques'!$C$5&lt;&gt;"?",W709&lt;&gt;""),(W709-'Choix pédagogiques'!$C$4)/('Choix pédagogiques'!$C$5-'Choix pédagogiques'!$C$4),"")</f>
        <v/>
      </c>
      <c r="AS709" s="49" t="str">
        <f>IF(AND('Choix pédagogiques'!$C$4&lt;&gt;"?",'Choix pédagogiques'!$C$5&lt;&gt;"?",X709&lt;&gt;""),(X709-'Choix pédagogiques'!$C$4)/('Choix pédagogiques'!$C$5-'Choix pédagogiques'!$C$4),"")</f>
        <v/>
      </c>
      <c r="AT709" s="49" t="str">
        <f>IF(AND('Choix pédagogiques'!$C$4&lt;&gt;"?",'Choix pédagogiques'!$C$5&lt;&gt;"?",Y709&lt;&gt;""),(Y709-'Choix pédagogiques'!$C$4)/('Choix pédagogiques'!$C$5-'Choix pédagogiques'!$C$4),"")</f>
        <v/>
      </c>
      <c r="AU709" s="22" t="str">
        <f t="shared" si="482"/>
        <v/>
      </c>
      <c r="AV709" s="21" t="str">
        <f t="shared" si="483"/>
        <v>Apprenant 697 ou 697'</v>
      </c>
      <c r="AW709" s="49" t="str">
        <f>IF(AND('Choix pédagogiques'!$C$4&lt;&gt;"?",'Choix pédagogiques'!$C$5&lt;&gt;"?",AB709&lt;&gt;""),(AB709-'Choix pédagogiques'!$C$4)/('Choix pédagogiques'!$C$5-'Choix pédagogiques'!$C$4),"")</f>
        <v/>
      </c>
      <c r="AX709" s="49" t="str">
        <f>IF(AND('Choix pédagogiques'!$C$4&lt;&gt;"?",'Choix pédagogiques'!$C$5&lt;&gt;"?",AC709&lt;&gt;""),(AC709-'Choix pédagogiques'!$C$4)/('Choix pédagogiques'!$C$5-'Choix pédagogiques'!$C$4),"")</f>
        <v/>
      </c>
      <c r="AY709" s="49" t="str">
        <f>IF(AND('Choix pédagogiques'!$C$4&lt;&gt;"?",'Choix pédagogiques'!$C$5&lt;&gt;"?",AD709&lt;&gt;""),(AD709-'Choix pédagogiques'!$C$4)/('Choix pédagogiques'!$C$5-'Choix pédagogiques'!$C$4),"")</f>
        <v/>
      </c>
      <c r="AZ709" s="22" t="str">
        <f t="shared" si="484"/>
        <v/>
      </c>
      <c r="BA709" s="21" t="str">
        <f t="shared" si="485"/>
        <v>Apprenant 697</v>
      </c>
      <c r="BB709" s="49" t="str">
        <f t="shared" si="457"/>
        <v/>
      </c>
      <c r="BC709" s="49" t="str">
        <f t="shared" si="458"/>
        <v/>
      </c>
      <c r="BD709" s="49" t="str">
        <f t="shared" si="459"/>
        <v/>
      </c>
      <c r="BE709" s="22" t="str">
        <f t="shared" si="486"/>
        <v/>
      </c>
      <c r="BF709" s="21" t="str">
        <f t="shared" si="487"/>
        <v>Apprenant 697 ou 697'</v>
      </c>
      <c r="BG709" s="49" t="str">
        <f t="shared" si="460"/>
        <v/>
      </c>
      <c r="BH709" s="49" t="str">
        <f t="shared" si="461"/>
        <v/>
      </c>
      <c r="BI709" s="49" t="str">
        <f t="shared" si="462"/>
        <v/>
      </c>
      <c r="BJ709" s="22" t="str">
        <f t="shared" si="488"/>
        <v/>
      </c>
      <c r="BL709" s="21"/>
      <c r="BM709" s="21" t="str">
        <f>IF(OR(COUNT(B709:D1708)=0,AND('Choix pédagogiques'!$C$3&lt;&gt;1,'Choix pédagogiques'!$C$3&lt;&gt;2)),"",IF(AND(OR('Choix pédagogiques'!$C$3=1,'Choix pédagogiques'!$C$3=2),$B709&lt;&gt;"",$C709&lt;&gt;"",$D709&lt;&gt;""),1,0))</f>
        <v/>
      </c>
      <c r="BN709" s="21" t="str">
        <f>IF(OR(COUNT(G709:I1708)=0,AND('Choix pédagogiques'!$C$3&lt;&gt;1,'Choix pédagogiques'!$C$3&lt;&gt;2)),"",IF(AND(OR('Choix pédagogiques'!$C$3=1,'Choix pédagogiques'!$C$3=2),AND($G709&lt;&gt;"",$H709&lt;&gt;"",$I709&lt;&gt;"")),1,0))</f>
        <v/>
      </c>
      <c r="BO709" s="21" t="str">
        <f>IF(OR(COUNT(B709:D1708)=0,COUNT(G709:I1708)=0,'Choix pédagogiques'!C$3&lt;&gt;3),"",IF(AND('Choix pédagogiques'!$C$3=3,$B709&lt;&gt;"",$C709&lt;&gt;"",$D709&lt;&gt;"",$G709&lt;&gt;"",$H709&lt;&gt;"",$I709&lt;&gt;""),1,0))</f>
        <v/>
      </c>
      <c r="BR709" s="21">
        <v>439</v>
      </c>
      <c r="BS709" s="21">
        <v>1902</v>
      </c>
      <c r="BT709"/>
    </row>
    <row r="710" spans="1:72" s="23" customFormat="1" ht="18" customHeight="1" x14ac:dyDescent="0.3">
      <c r="A710" s="35" t="s">
        <v>700</v>
      </c>
      <c r="B710" s="37"/>
      <c r="C710" s="37"/>
      <c r="D710" s="37"/>
      <c r="E710" s="37"/>
      <c r="F710" s="35" t="s">
        <v>1708</v>
      </c>
      <c r="G710" s="37"/>
      <c r="H710" s="37"/>
      <c r="I710" s="37"/>
      <c r="J710" s="37"/>
      <c r="K710" s="21" t="str">
        <f t="shared" si="463"/>
        <v>Apprenant 698</v>
      </c>
      <c r="L710" s="22" t="str">
        <f t="shared" si="464"/>
        <v/>
      </c>
      <c r="M710" s="22" t="str">
        <f t="shared" si="465"/>
        <v/>
      </c>
      <c r="N710" s="22" t="str">
        <f t="shared" si="466"/>
        <v/>
      </c>
      <c r="O710" s="22" t="str">
        <f t="shared" si="467"/>
        <v/>
      </c>
      <c r="P710" s="21" t="str">
        <f t="shared" si="468"/>
        <v>Apprenant 698 ou 698'</v>
      </c>
      <c r="Q710" s="22" t="str">
        <f t="shared" si="469"/>
        <v/>
      </c>
      <c r="R710" s="22" t="str">
        <f t="shared" si="470"/>
        <v/>
      </c>
      <c r="S710" s="22" t="str">
        <f t="shared" si="471"/>
        <v/>
      </c>
      <c r="T710" s="22" t="str">
        <f t="shared" si="472"/>
        <v/>
      </c>
      <c r="V710" s="21" t="str">
        <f t="shared" si="473"/>
        <v>Apprenant 698</v>
      </c>
      <c r="W710" s="22" t="str">
        <f>IF(AND(OR('Choix pédagogiques'!$C$3=1,'Choix pédagogiques'!$C$3=2),$BM710=1),B710,IF(AND('Choix pédagogiques'!$C$3=3,$BO710=1),B710,""))</f>
        <v/>
      </c>
      <c r="X710" s="22" t="str">
        <f>IF(AND(OR('Choix pédagogiques'!$C$3=1,'Choix pédagogiques'!$C$3=2),$BM710=1),C710,IF(AND('Choix pédagogiques'!$C$3=3,$BO710=1),C710,""))</f>
        <v/>
      </c>
      <c r="Y710" s="22" t="str">
        <f>IF(AND(OR('Choix pédagogiques'!$C$3=1,'Choix pédagogiques'!$C$3=2),$BM710=1),D710,IF(AND('Choix pédagogiques'!$C$3=3,$BO710=1),D710,""))</f>
        <v/>
      </c>
      <c r="Z710" s="22" t="str">
        <f t="shared" si="474"/>
        <v/>
      </c>
      <c r="AA710" s="21" t="str">
        <f t="shared" si="475"/>
        <v>Apprenant 698 ou 698'</v>
      </c>
      <c r="AB710" s="22" t="str">
        <f>IF(AND(OR('Choix pédagogiques'!$C$3=1,'Choix pédagogiques'!$C$3=2),$BN710=1),G710,IF(AND('Choix pédagogiques'!$C$3=3,$BO710=1),G710,""))</f>
        <v/>
      </c>
      <c r="AC710" s="22" t="str">
        <f>IF(AND(OR('Choix pédagogiques'!$C$3=1,'Choix pédagogiques'!$C$3=2),$BN710=1),H710,IF(AND('Choix pédagogiques'!$C$3=3,$BO710=1),H710,""))</f>
        <v/>
      </c>
      <c r="AD710" s="22" t="str">
        <f>IF(AND(OR('Choix pédagogiques'!$C$3=1,'Choix pédagogiques'!$C$3=2),$BN710=1),I710,IF(AND('Choix pédagogiques'!$C$3=3,$BO710=1),I710,""))</f>
        <v/>
      </c>
      <c r="AE710" s="22" t="str">
        <f t="shared" si="476"/>
        <v/>
      </c>
      <c r="AF710" s="21" t="str">
        <f t="shared" si="477"/>
        <v>Apprenant 698</v>
      </c>
      <c r="AG710" s="22" t="str">
        <f t="shared" si="451"/>
        <v/>
      </c>
      <c r="AH710" s="22" t="str">
        <f t="shared" si="452"/>
        <v/>
      </c>
      <c r="AI710" s="22" t="str">
        <f t="shared" si="453"/>
        <v/>
      </c>
      <c r="AJ710" s="22" t="str">
        <f t="shared" si="478"/>
        <v/>
      </c>
      <c r="AK710" s="21" t="str">
        <f t="shared" si="479"/>
        <v>Apprenant 698 ou 698'</v>
      </c>
      <c r="AL710" s="22" t="str">
        <f t="shared" si="454"/>
        <v/>
      </c>
      <c r="AM710" s="22" t="str">
        <f t="shared" si="455"/>
        <v/>
      </c>
      <c r="AN710" s="22" t="str">
        <f t="shared" si="456"/>
        <v/>
      </c>
      <c r="AO710" s="22" t="str">
        <f t="shared" si="480"/>
        <v/>
      </c>
      <c r="AQ710" s="21" t="str">
        <f t="shared" si="481"/>
        <v>Apprenant 698</v>
      </c>
      <c r="AR710" s="49" t="str">
        <f>IF(AND('Choix pédagogiques'!$C$4&lt;&gt;"?",'Choix pédagogiques'!$C$5&lt;&gt;"?",W710&lt;&gt;""),(W710-'Choix pédagogiques'!$C$4)/('Choix pédagogiques'!$C$5-'Choix pédagogiques'!$C$4),"")</f>
        <v/>
      </c>
      <c r="AS710" s="49" t="str">
        <f>IF(AND('Choix pédagogiques'!$C$4&lt;&gt;"?",'Choix pédagogiques'!$C$5&lt;&gt;"?",X710&lt;&gt;""),(X710-'Choix pédagogiques'!$C$4)/('Choix pédagogiques'!$C$5-'Choix pédagogiques'!$C$4),"")</f>
        <v/>
      </c>
      <c r="AT710" s="49" t="str">
        <f>IF(AND('Choix pédagogiques'!$C$4&lt;&gt;"?",'Choix pédagogiques'!$C$5&lt;&gt;"?",Y710&lt;&gt;""),(Y710-'Choix pédagogiques'!$C$4)/('Choix pédagogiques'!$C$5-'Choix pédagogiques'!$C$4),"")</f>
        <v/>
      </c>
      <c r="AU710" s="22" t="str">
        <f t="shared" si="482"/>
        <v/>
      </c>
      <c r="AV710" s="21" t="str">
        <f t="shared" si="483"/>
        <v>Apprenant 698 ou 698'</v>
      </c>
      <c r="AW710" s="49" t="str">
        <f>IF(AND('Choix pédagogiques'!$C$4&lt;&gt;"?",'Choix pédagogiques'!$C$5&lt;&gt;"?",AB710&lt;&gt;""),(AB710-'Choix pédagogiques'!$C$4)/('Choix pédagogiques'!$C$5-'Choix pédagogiques'!$C$4),"")</f>
        <v/>
      </c>
      <c r="AX710" s="49" t="str">
        <f>IF(AND('Choix pédagogiques'!$C$4&lt;&gt;"?",'Choix pédagogiques'!$C$5&lt;&gt;"?",AC710&lt;&gt;""),(AC710-'Choix pédagogiques'!$C$4)/('Choix pédagogiques'!$C$5-'Choix pédagogiques'!$C$4),"")</f>
        <v/>
      </c>
      <c r="AY710" s="49" t="str">
        <f>IF(AND('Choix pédagogiques'!$C$4&lt;&gt;"?",'Choix pédagogiques'!$C$5&lt;&gt;"?",AD710&lt;&gt;""),(AD710-'Choix pédagogiques'!$C$4)/('Choix pédagogiques'!$C$5-'Choix pédagogiques'!$C$4),"")</f>
        <v/>
      </c>
      <c r="AZ710" s="22" t="str">
        <f t="shared" si="484"/>
        <v/>
      </c>
      <c r="BA710" s="21" t="str">
        <f t="shared" si="485"/>
        <v>Apprenant 698</v>
      </c>
      <c r="BB710" s="49" t="str">
        <f t="shared" si="457"/>
        <v/>
      </c>
      <c r="BC710" s="49" t="str">
        <f t="shared" si="458"/>
        <v/>
      </c>
      <c r="BD710" s="49" t="str">
        <f t="shared" si="459"/>
        <v/>
      </c>
      <c r="BE710" s="22" t="str">
        <f t="shared" si="486"/>
        <v/>
      </c>
      <c r="BF710" s="21" t="str">
        <f t="shared" si="487"/>
        <v>Apprenant 698 ou 698'</v>
      </c>
      <c r="BG710" s="49" t="str">
        <f t="shared" si="460"/>
        <v/>
      </c>
      <c r="BH710" s="49" t="str">
        <f t="shared" si="461"/>
        <v/>
      </c>
      <c r="BI710" s="49" t="str">
        <f t="shared" si="462"/>
        <v/>
      </c>
      <c r="BJ710" s="22" t="str">
        <f t="shared" si="488"/>
        <v/>
      </c>
      <c r="BL710" s="21"/>
      <c r="BM710" s="21" t="str">
        <f>IF(OR(COUNT(B710:D1709)=0,AND('Choix pédagogiques'!$C$3&lt;&gt;1,'Choix pédagogiques'!$C$3&lt;&gt;2)),"",IF(AND(OR('Choix pédagogiques'!$C$3=1,'Choix pédagogiques'!$C$3=2),$B710&lt;&gt;"",$C710&lt;&gt;"",$D710&lt;&gt;""),1,0))</f>
        <v/>
      </c>
      <c r="BN710" s="21" t="str">
        <f>IF(OR(COUNT(G710:I1709)=0,AND('Choix pédagogiques'!$C$3&lt;&gt;1,'Choix pédagogiques'!$C$3&lt;&gt;2)),"",IF(AND(OR('Choix pédagogiques'!$C$3=1,'Choix pédagogiques'!$C$3=2),AND($G710&lt;&gt;"",$H710&lt;&gt;"",$I710&lt;&gt;"")),1,0))</f>
        <v/>
      </c>
      <c r="BO710" s="21" t="str">
        <f>IF(OR(COUNT(B710:D1709)=0,COUNT(G710:I1709)=0,'Choix pédagogiques'!C$3&lt;&gt;3),"",IF(AND('Choix pédagogiques'!$C$3=3,$B710&lt;&gt;"",$C710&lt;&gt;"",$D710&lt;&gt;"",$G710&lt;&gt;"",$H710&lt;&gt;"",$I710&lt;&gt;""),1,0))</f>
        <v/>
      </c>
      <c r="BR710" s="21">
        <v>698</v>
      </c>
      <c r="BS710" s="21">
        <v>1407</v>
      </c>
      <c r="BT710"/>
    </row>
    <row r="711" spans="1:72" s="23" customFormat="1" ht="18" customHeight="1" x14ac:dyDescent="0.3">
      <c r="A711" s="35" t="s">
        <v>701</v>
      </c>
      <c r="B711" s="37"/>
      <c r="C711" s="37"/>
      <c r="D711" s="37"/>
      <c r="E711" s="37"/>
      <c r="F711" s="35" t="s">
        <v>1709</v>
      </c>
      <c r="G711" s="37"/>
      <c r="H711" s="37"/>
      <c r="I711" s="37"/>
      <c r="J711" s="37"/>
      <c r="K711" s="21" t="str">
        <f t="shared" si="463"/>
        <v>Apprenant 699</v>
      </c>
      <c r="L711" s="22" t="str">
        <f t="shared" si="464"/>
        <v/>
      </c>
      <c r="M711" s="22" t="str">
        <f t="shared" si="465"/>
        <v/>
      </c>
      <c r="N711" s="22" t="str">
        <f t="shared" si="466"/>
        <v/>
      </c>
      <c r="O711" s="22" t="str">
        <f t="shared" si="467"/>
        <v/>
      </c>
      <c r="P711" s="21" t="str">
        <f t="shared" si="468"/>
        <v>Apprenant 699 ou 699'</v>
      </c>
      <c r="Q711" s="22" t="str">
        <f t="shared" si="469"/>
        <v/>
      </c>
      <c r="R711" s="22" t="str">
        <f t="shared" si="470"/>
        <v/>
      </c>
      <c r="S711" s="22" t="str">
        <f t="shared" si="471"/>
        <v/>
      </c>
      <c r="T711" s="22" t="str">
        <f t="shared" si="472"/>
        <v/>
      </c>
      <c r="V711" s="21" t="str">
        <f t="shared" si="473"/>
        <v>Apprenant 699</v>
      </c>
      <c r="W711" s="22" t="str">
        <f>IF(AND(OR('Choix pédagogiques'!$C$3=1,'Choix pédagogiques'!$C$3=2),$BM711=1),B711,IF(AND('Choix pédagogiques'!$C$3=3,$BO711=1),B711,""))</f>
        <v/>
      </c>
      <c r="X711" s="22" t="str">
        <f>IF(AND(OR('Choix pédagogiques'!$C$3=1,'Choix pédagogiques'!$C$3=2),$BM711=1),C711,IF(AND('Choix pédagogiques'!$C$3=3,$BO711=1),C711,""))</f>
        <v/>
      </c>
      <c r="Y711" s="22" t="str">
        <f>IF(AND(OR('Choix pédagogiques'!$C$3=1,'Choix pédagogiques'!$C$3=2),$BM711=1),D711,IF(AND('Choix pédagogiques'!$C$3=3,$BO711=1),D711,""))</f>
        <v/>
      </c>
      <c r="Z711" s="22" t="str">
        <f t="shared" si="474"/>
        <v/>
      </c>
      <c r="AA711" s="21" t="str">
        <f t="shared" si="475"/>
        <v>Apprenant 699 ou 699'</v>
      </c>
      <c r="AB711" s="22" t="str">
        <f>IF(AND(OR('Choix pédagogiques'!$C$3=1,'Choix pédagogiques'!$C$3=2),$BN711=1),G711,IF(AND('Choix pédagogiques'!$C$3=3,$BO711=1),G711,""))</f>
        <v/>
      </c>
      <c r="AC711" s="22" t="str">
        <f>IF(AND(OR('Choix pédagogiques'!$C$3=1,'Choix pédagogiques'!$C$3=2),$BN711=1),H711,IF(AND('Choix pédagogiques'!$C$3=3,$BO711=1),H711,""))</f>
        <v/>
      </c>
      <c r="AD711" s="22" t="str">
        <f>IF(AND(OR('Choix pédagogiques'!$C$3=1,'Choix pédagogiques'!$C$3=2),$BN711=1),I711,IF(AND('Choix pédagogiques'!$C$3=3,$BO711=1),I711,""))</f>
        <v/>
      </c>
      <c r="AE711" s="22" t="str">
        <f t="shared" si="476"/>
        <v/>
      </c>
      <c r="AF711" s="21" t="str">
        <f t="shared" si="477"/>
        <v>Apprenant 699</v>
      </c>
      <c r="AG711" s="22" t="str">
        <f t="shared" si="451"/>
        <v/>
      </c>
      <c r="AH711" s="22" t="str">
        <f t="shared" si="452"/>
        <v/>
      </c>
      <c r="AI711" s="22" t="str">
        <f t="shared" si="453"/>
        <v/>
      </c>
      <c r="AJ711" s="22" t="str">
        <f t="shared" si="478"/>
        <v/>
      </c>
      <c r="AK711" s="21" t="str">
        <f t="shared" si="479"/>
        <v>Apprenant 699 ou 699'</v>
      </c>
      <c r="AL711" s="22" t="str">
        <f t="shared" si="454"/>
        <v/>
      </c>
      <c r="AM711" s="22" t="str">
        <f t="shared" si="455"/>
        <v/>
      </c>
      <c r="AN711" s="22" t="str">
        <f t="shared" si="456"/>
        <v/>
      </c>
      <c r="AO711" s="22" t="str">
        <f t="shared" si="480"/>
        <v/>
      </c>
      <c r="AQ711" s="21" t="str">
        <f t="shared" si="481"/>
        <v>Apprenant 699</v>
      </c>
      <c r="AR711" s="49" t="str">
        <f>IF(AND('Choix pédagogiques'!$C$4&lt;&gt;"?",'Choix pédagogiques'!$C$5&lt;&gt;"?",W711&lt;&gt;""),(W711-'Choix pédagogiques'!$C$4)/('Choix pédagogiques'!$C$5-'Choix pédagogiques'!$C$4),"")</f>
        <v/>
      </c>
      <c r="AS711" s="49" t="str">
        <f>IF(AND('Choix pédagogiques'!$C$4&lt;&gt;"?",'Choix pédagogiques'!$C$5&lt;&gt;"?",X711&lt;&gt;""),(X711-'Choix pédagogiques'!$C$4)/('Choix pédagogiques'!$C$5-'Choix pédagogiques'!$C$4),"")</f>
        <v/>
      </c>
      <c r="AT711" s="49" t="str">
        <f>IF(AND('Choix pédagogiques'!$C$4&lt;&gt;"?",'Choix pédagogiques'!$C$5&lt;&gt;"?",Y711&lt;&gt;""),(Y711-'Choix pédagogiques'!$C$4)/('Choix pédagogiques'!$C$5-'Choix pédagogiques'!$C$4),"")</f>
        <v/>
      </c>
      <c r="AU711" s="22" t="str">
        <f t="shared" si="482"/>
        <v/>
      </c>
      <c r="AV711" s="21" t="str">
        <f t="shared" si="483"/>
        <v>Apprenant 699 ou 699'</v>
      </c>
      <c r="AW711" s="49" t="str">
        <f>IF(AND('Choix pédagogiques'!$C$4&lt;&gt;"?",'Choix pédagogiques'!$C$5&lt;&gt;"?",AB711&lt;&gt;""),(AB711-'Choix pédagogiques'!$C$4)/('Choix pédagogiques'!$C$5-'Choix pédagogiques'!$C$4),"")</f>
        <v/>
      </c>
      <c r="AX711" s="49" t="str">
        <f>IF(AND('Choix pédagogiques'!$C$4&lt;&gt;"?",'Choix pédagogiques'!$C$5&lt;&gt;"?",AC711&lt;&gt;""),(AC711-'Choix pédagogiques'!$C$4)/('Choix pédagogiques'!$C$5-'Choix pédagogiques'!$C$4),"")</f>
        <v/>
      </c>
      <c r="AY711" s="49" t="str">
        <f>IF(AND('Choix pédagogiques'!$C$4&lt;&gt;"?",'Choix pédagogiques'!$C$5&lt;&gt;"?",AD711&lt;&gt;""),(AD711-'Choix pédagogiques'!$C$4)/('Choix pédagogiques'!$C$5-'Choix pédagogiques'!$C$4),"")</f>
        <v/>
      </c>
      <c r="AZ711" s="22" t="str">
        <f t="shared" si="484"/>
        <v/>
      </c>
      <c r="BA711" s="21" t="str">
        <f t="shared" si="485"/>
        <v>Apprenant 699</v>
      </c>
      <c r="BB711" s="49" t="str">
        <f t="shared" si="457"/>
        <v/>
      </c>
      <c r="BC711" s="49" t="str">
        <f t="shared" si="458"/>
        <v/>
      </c>
      <c r="BD711" s="49" t="str">
        <f t="shared" si="459"/>
        <v/>
      </c>
      <c r="BE711" s="22" t="str">
        <f t="shared" si="486"/>
        <v/>
      </c>
      <c r="BF711" s="21" t="str">
        <f t="shared" si="487"/>
        <v>Apprenant 699 ou 699'</v>
      </c>
      <c r="BG711" s="49" t="str">
        <f t="shared" si="460"/>
        <v/>
      </c>
      <c r="BH711" s="49" t="str">
        <f t="shared" si="461"/>
        <v/>
      </c>
      <c r="BI711" s="49" t="str">
        <f t="shared" si="462"/>
        <v/>
      </c>
      <c r="BJ711" s="22" t="str">
        <f t="shared" si="488"/>
        <v/>
      </c>
      <c r="BL711" s="21"/>
      <c r="BM711" s="21" t="str">
        <f>IF(OR(COUNT(B711:D1710)=0,AND('Choix pédagogiques'!$C$3&lt;&gt;1,'Choix pédagogiques'!$C$3&lt;&gt;2)),"",IF(AND(OR('Choix pédagogiques'!$C$3=1,'Choix pédagogiques'!$C$3=2),$B711&lt;&gt;"",$C711&lt;&gt;"",$D711&lt;&gt;""),1,0))</f>
        <v/>
      </c>
      <c r="BN711" s="21" t="str">
        <f>IF(OR(COUNT(G711:I1710)=0,AND('Choix pédagogiques'!$C$3&lt;&gt;1,'Choix pédagogiques'!$C$3&lt;&gt;2)),"",IF(AND(OR('Choix pédagogiques'!$C$3=1,'Choix pédagogiques'!$C$3=2),AND($G711&lt;&gt;"",$H711&lt;&gt;"",$I711&lt;&gt;"")),1,0))</f>
        <v/>
      </c>
      <c r="BO711" s="21" t="str">
        <f>IF(OR(COUNT(B711:D1710)=0,COUNT(G711:I1710)=0,'Choix pédagogiques'!C$3&lt;&gt;3),"",IF(AND('Choix pédagogiques'!$C$3=3,$B711&lt;&gt;"",$C711&lt;&gt;"",$D711&lt;&gt;"",$G711&lt;&gt;"",$H711&lt;&gt;"",$I711&lt;&gt;""),1,0))</f>
        <v/>
      </c>
      <c r="BR711" s="21">
        <v>221</v>
      </c>
      <c r="BS711" s="21">
        <v>1680</v>
      </c>
      <c r="BT711"/>
    </row>
    <row r="712" spans="1:72" s="23" customFormat="1" ht="18" customHeight="1" x14ac:dyDescent="0.3">
      <c r="A712" s="35" t="s">
        <v>702</v>
      </c>
      <c r="B712" s="37"/>
      <c r="C712" s="37"/>
      <c r="D712" s="37"/>
      <c r="E712" s="37"/>
      <c r="F712" s="35" t="s">
        <v>1710</v>
      </c>
      <c r="G712" s="37"/>
      <c r="H712" s="37"/>
      <c r="I712" s="37"/>
      <c r="J712" s="37"/>
      <c r="K712" s="21" t="str">
        <f t="shared" si="463"/>
        <v>Apprenant 700</v>
      </c>
      <c r="L712" s="22" t="str">
        <f t="shared" si="464"/>
        <v/>
      </c>
      <c r="M712" s="22" t="str">
        <f t="shared" si="465"/>
        <v/>
      </c>
      <c r="N712" s="22" t="str">
        <f t="shared" si="466"/>
        <v/>
      </c>
      <c r="O712" s="22" t="str">
        <f t="shared" si="467"/>
        <v/>
      </c>
      <c r="P712" s="21" t="str">
        <f t="shared" si="468"/>
        <v>Apprenant 700 ou 700'</v>
      </c>
      <c r="Q712" s="22" t="str">
        <f t="shared" si="469"/>
        <v/>
      </c>
      <c r="R712" s="22" t="str">
        <f t="shared" si="470"/>
        <v/>
      </c>
      <c r="S712" s="22" t="str">
        <f t="shared" si="471"/>
        <v/>
      </c>
      <c r="T712" s="22" t="str">
        <f t="shared" si="472"/>
        <v/>
      </c>
      <c r="V712" s="21" t="str">
        <f t="shared" si="473"/>
        <v>Apprenant 700</v>
      </c>
      <c r="W712" s="22" t="str">
        <f>IF(AND(OR('Choix pédagogiques'!$C$3=1,'Choix pédagogiques'!$C$3=2),$BM712=1),B712,IF(AND('Choix pédagogiques'!$C$3=3,$BO712=1),B712,""))</f>
        <v/>
      </c>
      <c r="X712" s="22" t="str">
        <f>IF(AND(OR('Choix pédagogiques'!$C$3=1,'Choix pédagogiques'!$C$3=2),$BM712=1),C712,IF(AND('Choix pédagogiques'!$C$3=3,$BO712=1),C712,""))</f>
        <v/>
      </c>
      <c r="Y712" s="22" t="str">
        <f>IF(AND(OR('Choix pédagogiques'!$C$3=1,'Choix pédagogiques'!$C$3=2),$BM712=1),D712,IF(AND('Choix pédagogiques'!$C$3=3,$BO712=1),D712,""))</f>
        <v/>
      </c>
      <c r="Z712" s="22" t="str">
        <f t="shared" si="474"/>
        <v/>
      </c>
      <c r="AA712" s="21" t="str">
        <f t="shared" si="475"/>
        <v>Apprenant 700 ou 700'</v>
      </c>
      <c r="AB712" s="22" t="str">
        <f>IF(AND(OR('Choix pédagogiques'!$C$3=1,'Choix pédagogiques'!$C$3=2),$BN712=1),G712,IF(AND('Choix pédagogiques'!$C$3=3,$BO712=1),G712,""))</f>
        <v/>
      </c>
      <c r="AC712" s="22" t="str">
        <f>IF(AND(OR('Choix pédagogiques'!$C$3=1,'Choix pédagogiques'!$C$3=2),$BN712=1),H712,IF(AND('Choix pédagogiques'!$C$3=3,$BO712=1),H712,""))</f>
        <v/>
      </c>
      <c r="AD712" s="22" t="str">
        <f>IF(AND(OR('Choix pédagogiques'!$C$3=1,'Choix pédagogiques'!$C$3=2),$BN712=1),I712,IF(AND('Choix pédagogiques'!$C$3=3,$BO712=1),I712,""))</f>
        <v/>
      </c>
      <c r="AE712" s="22" t="str">
        <f t="shared" si="476"/>
        <v/>
      </c>
      <c r="AF712" s="21" t="str">
        <f t="shared" si="477"/>
        <v>Apprenant 700</v>
      </c>
      <c r="AG712" s="22" t="str">
        <f t="shared" si="451"/>
        <v/>
      </c>
      <c r="AH712" s="22" t="str">
        <f t="shared" si="452"/>
        <v/>
      </c>
      <c r="AI712" s="22" t="str">
        <f t="shared" si="453"/>
        <v/>
      </c>
      <c r="AJ712" s="22" t="str">
        <f t="shared" si="478"/>
        <v/>
      </c>
      <c r="AK712" s="21" t="str">
        <f t="shared" si="479"/>
        <v>Apprenant 700 ou 700'</v>
      </c>
      <c r="AL712" s="22" t="str">
        <f t="shared" si="454"/>
        <v/>
      </c>
      <c r="AM712" s="22" t="str">
        <f t="shared" si="455"/>
        <v/>
      </c>
      <c r="AN712" s="22" t="str">
        <f t="shared" si="456"/>
        <v/>
      </c>
      <c r="AO712" s="22" t="str">
        <f t="shared" si="480"/>
        <v/>
      </c>
      <c r="AQ712" s="21" t="str">
        <f t="shared" si="481"/>
        <v>Apprenant 700</v>
      </c>
      <c r="AR712" s="49" t="str">
        <f>IF(AND('Choix pédagogiques'!$C$4&lt;&gt;"?",'Choix pédagogiques'!$C$5&lt;&gt;"?",W712&lt;&gt;""),(W712-'Choix pédagogiques'!$C$4)/('Choix pédagogiques'!$C$5-'Choix pédagogiques'!$C$4),"")</f>
        <v/>
      </c>
      <c r="AS712" s="49" t="str">
        <f>IF(AND('Choix pédagogiques'!$C$4&lt;&gt;"?",'Choix pédagogiques'!$C$5&lt;&gt;"?",X712&lt;&gt;""),(X712-'Choix pédagogiques'!$C$4)/('Choix pédagogiques'!$C$5-'Choix pédagogiques'!$C$4),"")</f>
        <v/>
      </c>
      <c r="AT712" s="49" t="str">
        <f>IF(AND('Choix pédagogiques'!$C$4&lt;&gt;"?",'Choix pédagogiques'!$C$5&lt;&gt;"?",Y712&lt;&gt;""),(Y712-'Choix pédagogiques'!$C$4)/('Choix pédagogiques'!$C$5-'Choix pédagogiques'!$C$4),"")</f>
        <v/>
      </c>
      <c r="AU712" s="22" t="str">
        <f t="shared" si="482"/>
        <v/>
      </c>
      <c r="AV712" s="21" t="str">
        <f t="shared" si="483"/>
        <v>Apprenant 700 ou 700'</v>
      </c>
      <c r="AW712" s="49" t="str">
        <f>IF(AND('Choix pédagogiques'!$C$4&lt;&gt;"?",'Choix pédagogiques'!$C$5&lt;&gt;"?",AB712&lt;&gt;""),(AB712-'Choix pédagogiques'!$C$4)/('Choix pédagogiques'!$C$5-'Choix pédagogiques'!$C$4),"")</f>
        <v/>
      </c>
      <c r="AX712" s="49" t="str">
        <f>IF(AND('Choix pédagogiques'!$C$4&lt;&gt;"?",'Choix pédagogiques'!$C$5&lt;&gt;"?",AC712&lt;&gt;""),(AC712-'Choix pédagogiques'!$C$4)/('Choix pédagogiques'!$C$5-'Choix pédagogiques'!$C$4),"")</f>
        <v/>
      </c>
      <c r="AY712" s="49" t="str">
        <f>IF(AND('Choix pédagogiques'!$C$4&lt;&gt;"?",'Choix pédagogiques'!$C$5&lt;&gt;"?",AD712&lt;&gt;""),(AD712-'Choix pédagogiques'!$C$4)/('Choix pédagogiques'!$C$5-'Choix pédagogiques'!$C$4),"")</f>
        <v/>
      </c>
      <c r="AZ712" s="22" t="str">
        <f t="shared" si="484"/>
        <v/>
      </c>
      <c r="BA712" s="21" t="str">
        <f t="shared" si="485"/>
        <v>Apprenant 700</v>
      </c>
      <c r="BB712" s="49" t="str">
        <f t="shared" si="457"/>
        <v/>
      </c>
      <c r="BC712" s="49" t="str">
        <f t="shared" si="458"/>
        <v/>
      </c>
      <c r="BD712" s="49" t="str">
        <f t="shared" si="459"/>
        <v/>
      </c>
      <c r="BE712" s="22" t="str">
        <f t="shared" si="486"/>
        <v/>
      </c>
      <c r="BF712" s="21" t="str">
        <f t="shared" si="487"/>
        <v>Apprenant 700 ou 700'</v>
      </c>
      <c r="BG712" s="49" t="str">
        <f t="shared" si="460"/>
        <v/>
      </c>
      <c r="BH712" s="49" t="str">
        <f t="shared" si="461"/>
        <v/>
      </c>
      <c r="BI712" s="49" t="str">
        <f t="shared" si="462"/>
        <v/>
      </c>
      <c r="BJ712" s="22" t="str">
        <f t="shared" si="488"/>
        <v/>
      </c>
      <c r="BL712" s="21"/>
      <c r="BM712" s="21" t="str">
        <f>IF(OR(COUNT(B712:D1711)=0,AND('Choix pédagogiques'!$C$3&lt;&gt;1,'Choix pédagogiques'!$C$3&lt;&gt;2)),"",IF(AND(OR('Choix pédagogiques'!$C$3=1,'Choix pédagogiques'!$C$3=2),$B712&lt;&gt;"",$C712&lt;&gt;"",$D712&lt;&gt;""),1,0))</f>
        <v/>
      </c>
      <c r="BN712" s="21" t="str">
        <f>IF(OR(COUNT(G712:I1711)=0,AND('Choix pédagogiques'!$C$3&lt;&gt;1,'Choix pédagogiques'!$C$3&lt;&gt;2)),"",IF(AND(OR('Choix pédagogiques'!$C$3=1,'Choix pédagogiques'!$C$3=2),AND($G712&lt;&gt;"",$H712&lt;&gt;"",$I712&lt;&gt;"")),1,0))</f>
        <v/>
      </c>
      <c r="BO712" s="21" t="str">
        <f>IF(OR(COUNT(B712:D1711)=0,COUNT(G712:I1711)=0,'Choix pédagogiques'!C$3&lt;&gt;3),"",IF(AND('Choix pédagogiques'!$C$3=3,$B712&lt;&gt;"",$C712&lt;&gt;"",$D712&lt;&gt;"",$G712&lt;&gt;"",$H712&lt;&gt;"",$I712&lt;&gt;""),1,0))</f>
        <v/>
      </c>
      <c r="BR712" s="21">
        <v>411</v>
      </c>
      <c r="BS712" s="21">
        <v>1930</v>
      </c>
      <c r="BT712"/>
    </row>
    <row r="713" spans="1:72" s="23" customFormat="1" ht="18" customHeight="1" x14ac:dyDescent="0.3">
      <c r="A713" s="35" t="s">
        <v>703</v>
      </c>
      <c r="B713" s="37"/>
      <c r="C713" s="37"/>
      <c r="D713" s="37"/>
      <c r="E713" s="37"/>
      <c r="F713" s="35" t="s">
        <v>1711</v>
      </c>
      <c r="G713" s="37"/>
      <c r="H713" s="37"/>
      <c r="I713" s="37"/>
      <c r="J713" s="37"/>
      <c r="K713" s="21" t="str">
        <f t="shared" si="463"/>
        <v>Apprenant 701</v>
      </c>
      <c r="L713" s="22" t="str">
        <f t="shared" si="464"/>
        <v/>
      </c>
      <c r="M713" s="22" t="str">
        <f t="shared" si="465"/>
        <v/>
      </c>
      <c r="N713" s="22" t="str">
        <f t="shared" si="466"/>
        <v/>
      </c>
      <c r="O713" s="22" t="str">
        <f t="shared" si="467"/>
        <v/>
      </c>
      <c r="P713" s="21" t="str">
        <f t="shared" si="468"/>
        <v>Apprenant 701 ou 701'</v>
      </c>
      <c r="Q713" s="22" t="str">
        <f t="shared" si="469"/>
        <v/>
      </c>
      <c r="R713" s="22" t="str">
        <f t="shared" si="470"/>
        <v/>
      </c>
      <c r="S713" s="22" t="str">
        <f t="shared" si="471"/>
        <v/>
      </c>
      <c r="T713" s="22" t="str">
        <f t="shared" si="472"/>
        <v/>
      </c>
      <c r="V713" s="21" t="str">
        <f t="shared" si="473"/>
        <v>Apprenant 701</v>
      </c>
      <c r="W713" s="22" t="str">
        <f>IF(AND(OR('Choix pédagogiques'!$C$3=1,'Choix pédagogiques'!$C$3=2),$BM713=1),B713,IF(AND('Choix pédagogiques'!$C$3=3,$BO713=1),B713,""))</f>
        <v/>
      </c>
      <c r="X713" s="22" t="str">
        <f>IF(AND(OR('Choix pédagogiques'!$C$3=1,'Choix pédagogiques'!$C$3=2),$BM713=1),C713,IF(AND('Choix pédagogiques'!$C$3=3,$BO713=1),C713,""))</f>
        <v/>
      </c>
      <c r="Y713" s="22" t="str">
        <f>IF(AND(OR('Choix pédagogiques'!$C$3=1,'Choix pédagogiques'!$C$3=2),$BM713=1),D713,IF(AND('Choix pédagogiques'!$C$3=3,$BO713=1),D713,""))</f>
        <v/>
      </c>
      <c r="Z713" s="22" t="str">
        <f t="shared" si="474"/>
        <v/>
      </c>
      <c r="AA713" s="21" t="str">
        <f t="shared" si="475"/>
        <v>Apprenant 701 ou 701'</v>
      </c>
      <c r="AB713" s="22" t="str">
        <f>IF(AND(OR('Choix pédagogiques'!$C$3=1,'Choix pédagogiques'!$C$3=2),$BN713=1),G713,IF(AND('Choix pédagogiques'!$C$3=3,$BO713=1),G713,""))</f>
        <v/>
      </c>
      <c r="AC713" s="22" t="str">
        <f>IF(AND(OR('Choix pédagogiques'!$C$3=1,'Choix pédagogiques'!$C$3=2),$BN713=1),H713,IF(AND('Choix pédagogiques'!$C$3=3,$BO713=1),H713,""))</f>
        <v/>
      </c>
      <c r="AD713" s="22" t="str">
        <f>IF(AND(OR('Choix pédagogiques'!$C$3=1,'Choix pédagogiques'!$C$3=2),$BN713=1),I713,IF(AND('Choix pédagogiques'!$C$3=3,$BO713=1),I713,""))</f>
        <v/>
      </c>
      <c r="AE713" s="22" t="str">
        <f t="shared" si="476"/>
        <v/>
      </c>
      <c r="AF713" s="21" t="str">
        <f t="shared" si="477"/>
        <v>Apprenant 701</v>
      </c>
      <c r="AG713" s="22" t="str">
        <f t="shared" si="451"/>
        <v/>
      </c>
      <c r="AH713" s="22" t="str">
        <f t="shared" si="452"/>
        <v/>
      </c>
      <c r="AI713" s="22" t="str">
        <f t="shared" si="453"/>
        <v/>
      </c>
      <c r="AJ713" s="22" t="str">
        <f t="shared" si="478"/>
        <v/>
      </c>
      <c r="AK713" s="21" t="str">
        <f t="shared" si="479"/>
        <v>Apprenant 701 ou 701'</v>
      </c>
      <c r="AL713" s="22" t="str">
        <f t="shared" si="454"/>
        <v/>
      </c>
      <c r="AM713" s="22" t="str">
        <f t="shared" si="455"/>
        <v/>
      </c>
      <c r="AN713" s="22" t="str">
        <f t="shared" si="456"/>
        <v/>
      </c>
      <c r="AO713" s="22" t="str">
        <f t="shared" si="480"/>
        <v/>
      </c>
      <c r="AQ713" s="21" t="str">
        <f t="shared" si="481"/>
        <v>Apprenant 701</v>
      </c>
      <c r="AR713" s="49" t="str">
        <f>IF(AND('Choix pédagogiques'!$C$4&lt;&gt;"?",'Choix pédagogiques'!$C$5&lt;&gt;"?",W713&lt;&gt;""),(W713-'Choix pédagogiques'!$C$4)/('Choix pédagogiques'!$C$5-'Choix pédagogiques'!$C$4),"")</f>
        <v/>
      </c>
      <c r="AS713" s="49" t="str">
        <f>IF(AND('Choix pédagogiques'!$C$4&lt;&gt;"?",'Choix pédagogiques'!$C$5&lt;&gt;"?",X713&lt;&gt;""),(X713-'Choix pédagogiques'!$C$4)/('Choix pédagogiques'!$C$5-'Choix pédagogiques'!$C$4),"")</f>
        <v/>
      </c>
      <c r="AT713" s="49" t="str">
        <f>IF(AND('Choix pédagogiques'!$C$4&lt;&gt;"?",'Choix pédagogiques'!$C$5&lt;&gt;"?",Y713&lt;&gt;""),(Y713-'Choix pédagogiques'!$C$4)/('Choix pédagogiques'!$C$5-'Choix pédagogiques'!$C$4),"")</f>
        <v/>
      </c>
      <c r="AU713" s="22" t="str">
        <f t="shared" si="482"/>
        <v/>
      </c>
      <c r="AV713" s="21" t="str">
        <f t="shared" si="483"/>
        <v>Apprenant 701 ou 701'</v>
      </c>
      <c r="AW713" s="49" t="str">
        <f>IF(AND('Choix pédagogiques'!$C$4&lt;&gt;"?",'Choix pédagogiques'!$C$5&lt;&gt;"?",AB713&lt;&gt;""),(AB713-'Choix pédagogiques'!$C$4)/('Choix pédagogiques'!$C$5-'Choix pédagogiques'!$C$4),"")</f>
        <v/>
      </c>
      <c r="AX713" s="49" t="str">
        <f>IF(AND('Choix pédagogiques'!$C$4&lt;&gt;"?",'Choix pédagogiques'!$C$5&lt;&gt;"?",AC713&lt;&gt;""),(AC713-'Choix pédagogiques'!$C$4)/('Choix pédagogiques'!$C$5-'Choix pédagogiques'!$C$4),"")</f>
        <v/>
      </c>
      <c r="AY713" s="49" t="str">
        <f>IF(AND('Choix pédagogiques'!$C$4&lt;&gt;"?",'Choix pédagogiques'!$C$5&lt;&gt;"?",AD713&lt;&gt;""),(AD713-'Choix pédagogiques'!$C$4)/('Choix pédagogiques'!$C$5-'Choix pédagogiques'!$C$4),"")</f>
        <v/>
      </c>
      <c r="AZ713" s="22" t="str">
        <f t="shared" si="484"/>
        <v/>
      </c>
      <c r="BA713" s="21" t="str">
        <f t="shared" si="485"/>
        <v>Apprenant 701</v>
      </c>
      <c r="BB713" s="49" t="str">
        <f t="shared" si="457"/>
        <v/>
      </c>
      <c r="BC713" s="49" t="str">
        <f t="shared" si="458"/>
        <v/>
      </c>
      <c r="BD713" s="49" t="str">
        <f t="shared" si="459"/>
        <v/>
      </c>
      <c r="BE713" s="22" t="str">
        <f t="shared" si="486"/>
        <v/>
      </c>
      <c r="BF713" s="21" t="str">
        <f t="shared" si="487"/>
        <v>Apprenant 701 ou 701'</v>
      </c>
      <c r="BG713" s="49" t="str">
        <f t="shared" si="460"/>
        <v/>
      </c>
      <c r="BH713" s="49" t="str">
        <f t="shared" si="461"/>
        <v/>
      </c>
      <c r="BI713" s="49" t="str">
        <f t="shared" si="462"/>
        <v/>
      </c>
      <c r="BJ713" s="22" t="str">
        <f t="shared" si="488"/>
        <v/>
      </c>
      <c r="BL713" s="21"/>
      <c r="BM713" s="21" t="str">
        <f>IF(OR(COUNT(B713:D1712)=0,AND('Choix pédagogiques'!$C$3&lt;&gt;1,'Choix pédagogiques'!$C$3&lt;&gt;2)),"",IF(AND(OR('Choix pédagogiques'!$C$3=1,'Choix pédagogiques'!$C$3=2),$B713&lt;&gt;"",$C713&lt;&gt;"",$D713&lt;&gt;""),1,0))</f>
        <v/>
      </c>
      <c r="BN713" s="21" t="str">
        <f>IF(OR(COUNT(G713:I1712)=0,AND('Choix pédagogiques'!$C$3&lt;&gt;1,'Choix pédagogiques'!$C$3&lt;&gt;2)),"",IF(AND(OR('Choix pédagogiques'!$C$3=1,'Choix pédagogiques'!$C$3=2),AND($G713&lt;&gt;"",$H713&lt;&gt;"",$I713&lt;&gt;"")),1,0))</f>
        <v/>
      </c>
      <c r="BO713" s="21" t="str">
        <f>IF(OR(COUNT(B713:D1712)=0,COUNT(G713:I1712)=0,'Choix pédagogiques'!C$3&lt;&gt;3),"",IF(AND('Choix pédagogiques'!$C$3=3,$B713&lt;&gt;"",$C713&lt;&gt;"",$D713&lt;&gt;"",$G713&lt;&gt;"",$H713&lt;&gt;"",$I713&lt;&gt;""),1,0))</f>
        <v/>
      </c>
      <c r="BR713" s="21">
        <v>413</v>
      </c>
      <c r="BS713" s="21">
        <v>1818</v>
      </c>
      <c r="BT713"/>
    </row>
    <row r="714" spans="1:72" s="23" customFormat="1" ht="18" customHeight="1" x14ac:dyDescent="0.3">
      <c r="A714" s="35" t="s">
        <v>704</v>
      </c>
      <c r="B714" s="37"/>
      <c r="C714" s="37"/>
      <c r="D714" s="37"/>
      <c r="E714" s="37"/>
      <c r="F714" s="35" t="s">
        <v>1712</v>
      </c>
      <c r="G714" s="37"/>
      <c r="H714" s="37"/>
      <c r="I714" s="37"/>
      <c r="J714" s="37"/>
      <c r="K714" s="21" t="str">
        <f t="shared" si="463"/>
        <v>Apprenant 702</v>
      </c>
      <c r="L714" s="22" t="str">
        <f t="shared" si="464"/>
        <v/>
      </c>
      <c r="M714" s="22" t="str">
        <f t="shared" si="465"/>
        <v/>
      </c>
      <c r="N714" s="22" t="str">
        <f t="shared" si="466"/>
        <v/>
      </c>
      <c r="O714" s="22" t="str">
        <f t="shared" si="467"/>
        <v/>
      </c>
      <c r="P714" s="21" t="str">
        <f t="shared" si="468"/>
        <v>Apprenant 702 ou 702'</v>
      </c>
      <c r="Q714" s="22" t="str">
        <f t="shared" si="469"/>
        <v/>
      </c>
      <c r="R714" s="22" t="str">
        <f t="shared" si="470"/>
        <v/>
      </c>
      <c r="S714" s="22" t="str">
        <f t="shared" si="471"/>
        <v/>
      </c>
      <c r="T714" s="22" t="str">
        <f t="shared" si="472"/>
        <v/>
      </c>
      <c r="V714" s="21" t="str">
        <f t="shared" si="473"/>
        <v>Apprenant 702</v>
      </c>
      <c r="W714" s="22" t="str">
        <f>IF(AND(OR('Choix pédagogiques'!$C$3=1,'Choix pédagogiques'!$C$3=2),$BM714=1),B714,IF(AND('Choix pédagogiques'!$C$3=3,$BO714=1),B714,""))</f>
        <v/>
      </c>
      <c r="X714" s="22" t="str">
        <f>IF(AND(OR('Choix pédagogiques'!$C$3=1,'Choix pédagogiques'!$C$3=2),$BM714=1),C714,IF(AND('Choix pédagogiques'!$C$3=3,$BO714=1),C714,""))</f>
        <v/>
      </c>
      <c r="Y714" s="22" t="str">
        <f>IF(AND(OR('Choix pédagogiques'!$C$3=1,'Choix pédagogiques'!$C$3=2),$BM714=1),D714,IF(AND('Choix pédagogiques'!$C$3=3,$BO714=1),D714,""))</f>
        <v/>
      </c>
      <c r="Z714" s="22" t="str">
        <f t="shared" si="474"/>
        <v/>
      </c>
      <c r="AA714" s="21" t="str">
        <f t="shared" si="475"/>
        <v>Apprenant 702 ou 702'</v>
      </c>
      <c r="AB714" s="22" t="str">
        <f>IF(AND(OR('Choix pédagogiques'!$C$3=1,'Choix pédagogiques'!$C$3=2),$BN714=1),G714,IF(AND('Choix pédagogiques'!$C$3=3,$BO714=1),G714,""))</f>
        <v/>
      </c>
      <c r="AC714" s="22" t="str">
        <f>IF(AND(OR('Choix pédagogiques'!$C$3=1,'Choix pédagogiques'!$C$3=2),$BN714=1),H714,IF(AND('Choix pédagogiques'!$C$3=3,$BO714=1),H714,""))</f>
        <v/>
      </c>
      <c r="AD714" s="22" t="str">
        <f>IF(AND(OR('Choix pédagogiques'!$C$3=1,'Choix pédagogiques'!$C$3=2),$BN714=1),I714,IF(AND('Choix pédagogiques'!$C$3=3,$BO714=1),I714,""))</f>
        <v/>
      </c>
      <c r="AE714" s="22" t="str">
        <f t="shared" si="476"/>
        <v/>
      </c>
      <c r="AF714" s="21" t="str">
        <f t="shared" si="477"/>
        <v>Apprenant 702</v>
      </c>
      <c r="AG714" s="22" t="str">
        <f t="shared" si="451"/>
        <v/>
      </c>
      <c r="AH714" s="22" t="str">
        <f t="shared" si="452"/>
        <v/>
      </c>
      <c r="AI714" s="22" t="str">
        <f t="shared" si="453"/>
        <v/>
      </c>
      <c r="AJ714" s="22" t="str">
        <f t="shared" si="478"/>
        <v/>
      </c>
      <c r="AK714" s="21" t="str">
        <f t="shared" si="479"/>
        <v>Apprenant 702 ou 702'</v>
      </c>
      <c r="AL714" s="22" t="str">
        <f t="shared" si="454"/>
        <v/>
      </c>
      <c r="AM714" s="22" t="str">
        <f t="shared" si="455"/>
        <v/>
      </c>
      <c r="AN714" s="22" t="str">
        <f t="shared" si="456"/>
        <v/>
      </c>
      <c r="AO714" s="22" t="str">
        <f t="shared" si="480"/>
        <v/>
      </c>
      <c r="AQ714" s="21" t="str">
        <f t="shared" si="481"/>
        <v>Apprenant 702</v>
      </c>
      <c r="AR714" s="49" t="str">
        <f>IF(AND('Choix pédagogiques'!$C$4&lt;&gt;"?",'Choix pédagogiques'!$C$5&lt;&gt;"?",W714&lt;&gt;""),(W714-'Choix pédagogiques'!$C$4)/('Choix pédagogiques'!$C$5-'Choix pédagogiques'!$C$4),"")</f>
        <v/>
      </c>
      <c r="AS714" s="49" t="str">
        <f>IF(AND('Choix pédagogiques'!$C$4&lt;&gt;"?",'Choix pédagogiques'!$C$5&lt;&gt;"?",X714&lt;&gt;""),(X714-'Choix pédagogiques'!$C$4)/('Choix pédagogiques'!$C$5-'Choix pédagogiques'!$C$4),"")</f>
        <v/>
      </c>
      <c r="AT714" s="49" t="str">
        <f>IF(AND('Choix pédagogiques'!$C$4&lt;&gt;"?",'Choix pédagogiques'!$C$5&lt;&gt;"?",Y714&lt;&gt;""),(Y714-'Choix pédagogiques'!$C$4)/('Choix pédagogiques'!$C$5-'Choix pédagogiques'!$C$4),"")</f>
        <v/>
      </c>
      <c r="AU714" s="22" t="str">
        <f t="shared" si="482"/>
        <v/>
      </c>
      <c r="AV714" s="21" t="str">
        <f t="shared" si="483"/>
        <v>Apprenant 702 ou 702'</v>
      </c>
      <c r="AW714" s="49" t="str">
        <f>IF(AND('Choix pédagogiques'!$C$4&lt;&gt;"?",'Choix pédagogiques'!$C$5&lt;&gt;"?",AB714&lt;&gt;""),(AB714-'Choix pédagogiques'!$C$4)/('Choix pédagogiques'!$C$5-'Choix pédagogiques'!$C$4),"")</f>
        <v/>
      </c>
      <c r="AX714" s="49" t="str">
        <f>IF(AND('Choix pédagogiques'!$C$4&lt;&gt;"?",'Choix pédagogiques'!$C$5&lt;&gt;"?",AC714&lt;&gt;""),(AC714-'Choix pédagogiques'!$C$4)/('Choix pédagogiques'!$C$5-'Choix pédagogiques'!$C$4),"")</f>
        <v/>
      </c>
      <c r="AY714" s="49" t="str">
        <f>IF(AND('Choix pédagogiques'!$C$4&lt;&gt;"?",'Choix pédagogiques'!$C$5&lt;&gt;"?",AD714&lt;&gt;""),(AD714-'Choix pédagogiques'!$C$4)/('Choix pédagogiques'!$C$5-'Choix pédagogiques'!$C$4),"")</f>
        <v/>
      </c>
      <c r="AZ714" s="22" t="str">
        <f t="shared" si="484"/>
        <v/>
      </c>
      <c r="BA714" s="21" t="str">
        <f t="shared" si="485"/>
        <v>Apprenant 702</v>
      </c>
      <c r="BB714" s="49" t="str">
        <f t="shared" si="457"/>
        <v/>
      </c>
      <c r="BC714" s="49" t="str">
        <f t="shared" si="458"/>
        <v/>
      </c>
      <c r="BD714" s="49" t="str">
        <f t="shared" si="459"/>
        <v/>
      </c>
      <c r="BE714" s="22" t="str">
        <f t="shared" si="486"/>
        <v/>
      </c>
      <c r="BF714" s="21" t="str">
        <f t="shared" si="487"/>
        <v>Apprenant 702 ou 702'</v>
      </c>
      <c r="BG714" s="49" t="str">
        <f t="shared" si="460"/>
        <v/>
      </c>
      <c r="BH714" s="49" t="str">
        <f t="shared" si="461"/>
        <v/>
      </c>
      <c r="BI714" s="49" t="str">
        <f t="shared" si="462"/>
        <v/>
      </c>
      <c r="BJ714" s="22" t="str">
        <f t="shared" si="488"/>
        <v/>
      </c>
      <c r="BL714" s="21"/>
      <c r="BM714" s="21" t="str">
        <f>IF(OR(COUNT(B714:D1713)=0,AND('Choix pédagogiques'!$C$3&lt;&gt;1,'Choix pédagogiques'!$C$3&lt;&gt;2)),"",IF(AND(OR('Choix pédagogiques'!$C$3=1,'Choix pédagogiques'!$C$3=2),$B714&lt;&gt;"",$C714&lt;&gt;"",$D714&lt;&gt;""),1,0))</f>
        <v/>
      </c>
      <c r="BN714" s="21" t="str">
        <f>IF(OR(COUNT(G714:I1713)=0,AND('Choix pédagogiques'!$C$3&lt;&gt;1,'Choix pédagogiques'!$C$3&lt;&gt;2)),"",IF(AND(OR('Choix pédagogiques'!$C$3=1,'Choix pédagogiques'!$C$3=2),AND($G714&lt;&gt;"",$H714&lt;&gt;"",$I714&lt;&gt;"")),1,0))</f>
        <v/>
      </c>
      <c r="BO714" s="21" t="str">
        <f>IF(OR(COUNT(B714:D1713)=0,COUNT(G714:I1713)=0,'Choix pédagogiques'!C$3&lt;&gt;3),"",IF(AND('Choix pédagogiques'!$C$3=3,$B714&lt;&gt;"",$C714&lt;&gt;"",$D714&lt;&gt;"",$G714&lt;&gt;"",$H714&lt;&gt;"",$I714&lt;&gt;""),1,0))</f>
        <v/>
      </c>
      <c r="BR714" s="21">
        <v>507</v>
      </c>
      <c r="BS714" s="21">
        <v>1566</v>
      </c>
      <c r="BT714"/>
    </row>
    <row r="715" spans="1:72" s="23" customFormat="1" ht="18" customHeight="1" x14ac:dyDescent="0.3">
      <c r="A715" s="35" t="s">
        <v>705</v>
      </c>
      <c r="B715" s="37"/>
      <c r="C715" s="37"/>
      <c r="D715" s="37"/>
      <c r="E715" s="37"/>
      <c r="F715" s="35" t="s">
        <v>1713</v>
      </c>
      <c r="G715" s="37"/>
      <c r="H715" s="37"/>
      <c r="I715" s="37"/>
      <c r="J715" s="37"/>
      <c r="K715" s="21" t="str">
        <f t="shared" si="463"/>
        <v>Apprenant 703</v>
      </c>
      <c r="L715" s="22" t="str">
        <f t="shared" si="464"/>
        <v/>
      </c>
      <c r="M715" s="22" t="str">
        <f t="shared" si="465"/>
        <v/>
      </c>
      <c r="N715" s="22" t="str">
        <f t="shared" si="466"/>
        <v/>
      </c>
      <c r="O715" s="22" t="str">
        <f t="shared" si="467"/>
        <v/>
      </c>
      <c r="P715" s="21" t="str">
        <f t="shared" si="468"/>
        <v>Apprenant 703 ou 703'</v>
      </c>
      <c r="Q715" s="22" t="str">
        <f t="shared" si="469"/>
        <v/>
      </c>
      <c r="R715" s="22" t="str">
        <f t="shared" si="470"/>
        <v/>
      </c>
      <c r="S715" s="22" t="str">
        <f t="shared" si="471"/>
        <v/>
      </c>
      <c r="T715" s="22" t="str">
        <f t="shared" si="472"/>
        <v/>
      </c>
      <c r="V715" s="21" t="str">
        <f t="shared" si="473"/>
        <v>Apprenant 703</v>
      </c>
      <c r="W715" s="22" t="str">
        <f>IF(AND(OR('Choix pédagogiques'!$C$3=1,'Choix pédagogiques'!$C$3=2),$BM715=1),B715,IF(AND('Choix pédagogiques'!$C$3=3,$BO715=1),B715,""))</f>
        <v/>
      </c>
      <c r="X715" s="22" t="str">
        <f>IF(AND(OR('Choix pédagogiques'!$C$3=1,'Choix pédagogiques'!$C$3=2),$BM715=1),C715,IF(AND('Choix pédagogiques'!$C$3=3,$BO715=1),C715,""))</f>
        <v/>
      </c>
      <c r="Y715" s="22" t="str">
        <f>IF(AND(OR('Choix pédagogiques'!$C$3=1,'Choix pédagogiques'!$C$3=2),$BM715=1),D715,IF(AND('Choix pédagogiques'!$C$3=3,$BO715=1),D715,""))</f>
        <v/>
      </c>
      <c r="Z715" s="22" t="str">
        <f t="shared" si="474"/>
        <v/>
      </c>
      <c r="AA715" s="21" t="str">
        <f t="shared" si="475"/>
        <v>Apprenant 703 ou 703'</v>
      </c>
      <c r="AB715" s="22" t="str">
        <f>IF(AND(OR('Choix pédagogiques'!$C$3=1,'Choix pédagogiques'!$C$3=2),$BN715=1),G715,IF(AND('Choix pédagogiques'!$C$3=3,$BO715=1),G715,""))</f>
        <v/>
      </c>
      <c r="AC715" s="22" t="str">
        <f>IF(AND(OR('Choix pédagogiques'!$C$3=1,'Choix pédagogiques'!$C$3=2),$BN715=1),H715,IF(AND('Choix pédagogiques'!$C$3=3,$BO715=1),H715,""))</f>
        <v/>
      </c>
      <c r="AD715" s="22" t="str">
        <f>IF(AND(OR('Choix pédagogiques'!$C$3=1,'Choix pédagogiques'!$C$3=2),$BN715=1),I715,IF(AND('Choix pédagogiques'!$C$3=3,$BO715=1),I715,""))</f>
        <v/>
      </c>
      <c r="AE715" s="22" t="str">
        <f t="shared" si="476"/>
        <v/>
      </c>
      <c r="AF715" s="21" t="str">
        <f t="shared" si="477"/>
        <v>Apprenant 703</v>
      </c>
      <c r="AG715" s="22" t="str">
        <f t="shared" si="451"/>
        <v/>
      </c>
      <c r="AH715" s="22" t="str">
        <f t="shared" si="452"/>
        <v/>
      </c>
      <c r="AI715" s="22" t="str">
        <f t="shared" si="453"/>
        <v/>
      </c>
      <c r="AJ715" s="22" t="str">
        <f t="shared" si="478"/>
        <v/>
      </c>
      <c r="AK715" s="21" t="str">
        <f t="shared" si="479"/>
        <v>Apprenant 703 ou 703'</v>
      </c>
      <c r="AL715" s="22" t="str">
        <f t="shared" si="454"/>
        <v/>
      </c>
      <c r="AM715" s="22" t="str">
        <f t="shared" si="455"/>
        <v/>
      </c>
      <c r="AN715" s="22" t="str">
        <f t="shared" si="456"/>
        <v/>
      </c>
      <c r="AO715" s="22" t="str">
        <f t="shared" si="480"/>
        <v/>
      </c>
      <c r="AQ715" s="21" t="str">
        <f t="shared" si="481"/>
        <v>Apprenant 703</v>
      </c>
      <c r="AR715" s="49" t="str">
        <f>IF(AND('Choix pédagogiques'!$C$4&lt;&gt;"?",'Choix pédagogiques'!$C$5&lt;&gt;"?",W715&lt;&gt;""),(W715-'Choix pédagogiques'!$C$4)/('Choix pédagogiques'!$C$5-'Choix pédagogiques'!$C$4),"")</f>
        <v/>
      </c>
      <c r="AS715" s="49" t="str">
        <f>IF(AND('Choix pédagogiques'!$C$4&lt;&gt;"?",'Choix pédagogiques'!$C$5&lt;&gt;"?",X715&lt;&gt;""),(X715-'Choix pédagogiques'!$C$4)/('Choix pédagogiques'!$C$5-'Choix pédagogiques'!$C$4),"")</f>
        <v/>
      </c>
      <c r="AT715" s="49" t="str">
        <f>IF(AND('Choix pédagogiques'!$C$4&lt;&gt;"?",'Choix pédagogiques'!$C$5&lt;&gt;"?",Y715&lt;&gt;""),(Y715-'Choix pédagogiques'!$C$4)/('Choix pédagogiques'!$C$5-'Choix pédagogiques'!$C$4),"")</f>
        <v/>
      </c>
      <c r="AU715" s="22" t="str">
        <f t="shared" si="482"/>
        <v/>
      </c>
      <c r="AV715" s="21" t="str">
        <f t="shared" si="483"/>
        <v>Apprenant 703 ou 703'</v>
      </c>
      <c r="AW715" s="49" t="str">
        <f>IF(AND('Choix pédagogiques'!$C$4&lt;&gt;"?",'Choix pédagogiques'!$C$5&lt;&gt;"?",AB715&lt;&gt;""),(AB715-'Choix pédagogiques'!$C$4)/('Choix pédagogiques'!$C$5-'Choix pédagogiques'!$C$4),"")</f>
        <v/>
      </c>
      <c r="AX715" s="49" t="str">
        <f>IF(AND('Choix pédagogiques'!$C$4&lt;&gt;"?",'Choix pédagogiques'!$C$5&lt;&gt;"?",AC715&lt;&gt;""),(AC715-'Choix pédagogiques'!$C$4)/('Choix pédagogiques'!$C$5-'Choix pédagogiques'!$C$4),"")</f>
        <v/>
      </c>
      <c r="AY715" s="49" t="str">
        <f>IF(AND('Choix pédagogiques'!$C$4&lt;&gt;"?",'Choix pédagogiques'!$C$5&lt;&gt;"?",AD715&lt;&gt;""),(AD715-'Choix pédagogiques'!$C$4)/('Choix pédagogiques'!$C$5-'Choix pédagogiques'!$C$4),"")</f>
        <v/>
      </c>
      <c r="AZ715" s="22" t="str">
        <f t="shared" si="484"/>
        <v/>
      </c>
      <c r="BA715" s="21" t="str">
        <f t="shared" si="485"/>
        <v>Apprenant 703</v>
      </c>
      <c r="BB715" s="49" t="str">
        <f t="shared" si="457"/>
        <v/>
      </c>
      <c r="BC715" s="49" t="str">
        <f t="shared" si="458"/>
        <v/>
      </c>
      <c r="BD715" s="49" t="str">
        <f t="shared" si="459"/>
        <v/>
      </c>
      <c r="BE715" s="22" t="str">
        <f t="shared" si="486"/>
        <v/>
      </c>
      <c r="BF715" s="21" t="str">
        <f t="shared" si="487"/>
        <v>Apprenant 703 ou 703'</v>
      </c>
      <c r="BG715" s="49" t="str">
        <f t="shared" si="460"/>
        <v/>
      </c>
      <c r="BH715" s="49" t="str">
        <f t="shared" si="461"/>
        <v/>
      </c>
      <c r="BI715" s="49" t="str">
        <f t="shared" si="462"/>
        <v/>
      </c>
      <c r="BJ715" s="22" t="str">
        <f t="shared" si="488"/>
        <v/>
      </c>
      <c r="BL715" s="21"/>
      <c r="BM715" s="21" t="str">
        <f>IF(OR(COUNT(B715:D1714)=0,AND('Choix pédagogiques'!$C$3&lt;&gt;1,'Choix pédagogiques'!$C$3&lt;&gt;2)),"",IF(AND(OR('Choix pédagogiques'!$C$3=1,'Choix pédagogiques'!$C$3=2),$B715&lt;&gt;"",$C715&lt;&gt;"",$D715&lt;&gt;""),1,0))</f>
        <v/>
      </c>
      <c r="BN715" s="21" t="str">
        <f>IF(OR(COUNT(G715:I1714)=0,AND('Choix pédagogiques'!$C$3&lt;&gt;1,'Choix pédagogiques'!$C$3&lt;&gt;2)),"",IF(AND(OR('Choix pédagogiques'!$C$3=1,'Choix pédagogiques'!$C$3=2),AND($G715&lt;&gt;"",$H715&lt;&gt;"",$I715&lt;&gt;"")),1,0))</f>
        <v/>
      </c>
      <c r="BO715" s="21" t="str">
        <f>IF(OR(COUNT(B715:D1714)=0,COUNT(G715:I1714)=0,'Choix pédagogiques'!C$3&lt;&gt;3),"",IF(AND('Choix pédagogiques'!$C$3=3,$B715&lt;&gt;"",$C715&lt;&gt;"",$D715&lt;&gt;"",$G715&lt;&gt;"",$H715&lt;&gt;"",$I715&lt;&gt;""),1,0))</f>
        <v/>
      </c>
      <c r="BR715" s="21">
        <v>812</v>
      </c>
      <c r="BS715" s="21">
        <v>1907</v>
      </c>
      <c r="BT715"/>
    </row>
    <row r="716" spans="1:72" s="23" customFormat="1" ht="18" customHeight="1" x14ac:dyDescent="0.3">
      <c r="A716" s="35" t="s">
        <v>706</v>
      </c>
      <c r="B716" s="37"/>
      <c r="C716" s="37"/>
      <c r="D716" s="37"/>
      <c r="E716" s="37"/>
      <c r="F716" s="35" t="s">
        <v>1714</v>
      </c>
      <c r="G716" s="37"/>
      <c r="H716" s="37"/>
      <c r="I716" s="37"/>
      <c r="J716" s="37"/>
      <c r="K716" s="21" t="str">
        <f t="shared" si="463"/>
        <v>Apprenant 704</v>
      </c>
      <c r="L716" s="22" t="str">
        <f t="shared" si="464"/>
        <v/>
      </c>
      <c r="M716" s="22" t="str">
        <f t="shared" si="465"/>
        <v/>
      </c>
      <c r="N716" s="22" t="str">
        <f t="shared" si="466"/>
        <v/>
      </c>
      <c r="O716" s="22" t="str">
        <f t="shared" si="467"/>
        <v/>
      </c>
      <c r="P716" s="21" t="str">
        <f t="shared" si="468"/>
        <v>Apprenant 704 ou 704'</v>
      </c>
      <c r="Q716" s="22" t="str">
        <f t="shared" si="469"/>
        <v/>
      </c>
      <c r="R716" s="22" t="str">
        <f t="shared" si="470"/>
        <v/>
      </c>
      <c r="S716" s="22" t="str">
        <f t="shared" si="471"/>
        <v/>
      </c>
      <c r="T716" s="22" t="str">
        <f t="shared" si="472"/>
        <v/>
      </c>
      <c r="V716" s="21" t="str">
        <f t="shared" si="473"/>
        <v>Apprenant 704</v>
      </c>
      <c r="W716" s="22" t="str">
        <f>IF(AND(OR('Choix pédagogiques'!$C$3=1,'Choix pédagogiques'!$C$3=2),$BM716=1),B716,IF(AND('Choix pédagogiques'!$C$3=3,$BO716=1),B716,""))</f>
        <v/>
      </c>
      <c r="X716" s="22" t="str">
        <f>IF(AND(OR('Choix pédagogiques'!$C$3=1,'Choix pédagogiques'!$C$3=2),$BM716=1),C716,IF(AND('Choix pédagogiques'!$C$3=3,$BO716=1),C716,""))</f>
        <v/>
      </c>
      <c r="Y716" s="22" t="str">
        <f>IF(AND(OR('Choix pédagogiques'!$C$3=1,'Choix pédagogiques'!$C$3=2),$BM716=1),D716,IF(AND('Choix pédagogiques'!$C$3=3,$BO716=1),D716,""))</f>
        <v/>
      </c>
      <c r="Z716" s="22" t="str">
        <f t="shared" si="474"/>
        <v/>
      </c>
      <c r="AA716" s="21" t="str">
        <f t="shared" si="475"/>
        <v>Apprenant 704 ou 704'</v>
      </c>
      <c r="AB716" s="22" t="str">
        <f>IF(AND(OR('Choix pédagogiques'!$C$3=1,'Choix pédagogiques'!$C$3=2),$BN716=1),G716,IF(AND('Choix pédagogiques'!$C$3=3,$BO716=1),G716,""))</f>
        <v/>
      </c>
      <c r="AC716" s="22" t="str">
        <f>IF(AND(OR('Choix pédagogiques'!$C$3=1,'Choix pédagogiques'!$C$3=2),$BN716=1),H716,IF(AND('Choix pédagogiques'!$C$3=3,$BO716=1),H716,""))</f>
        <v/>
      </c>
      <c r="AD716" s="22" t="str">
        <f>IF(AND(OR('Choix pédagogiques'!$C$3=1,'Choix pédagogiques'!$C$3=2),$BN716=1),I716,IF(AND('Choix pédagogiques'!$C$3=3,$BO716=1),I716,""))</f>
        <v/>
      </c>
      <c r="AE716" s="22" t="str">
        <f t="shared" si="476"/>
        <v/>
      </c>
      <c r="AF716" s="21" t="str">
        <f t="shared" si="477"/>
        <v>Apprenant 704</v>
      </c>
      <c r="AG716" s="22" t="str">
        <f t="shared" si="451"/>
        <v/>
      </c>
      <c r="AH716" s="22" t="str">
        <f t="shared" si="452"/>
        <v/>
      </c>
      <c r="AI716" s="22" t="str">
        <f t="shared" si="453"/>
        <v/>
      </c>
      <c r="AJ716" s="22" t="str">
        <f t="shared" si="478"/>
        <v/>
      </c>
      <c r="AK716" s="21" t="str">
        <f t="shared" si="479"/>
        <v>Apprenant 704 ou 704'</v>
      </c>
      <c r="AL716" s="22" t="str">
        <f t="shared" si="454"/>
        <v/>
      </c>
      <c r="AM716" s="22" t="str">
        <f t="shared" si="455"/>
        <v/>
      </c>
      <c r="AN716" s="22" t="str">
        <f t="shared" si="456"/>
        <v/>
      </c>
      <c r="AO716" s="22" t="str">
        <f t="shared" si="480"/>
        <v/>
      </c>
      <c r="AQ716" s="21" t="str">
        <f t="shared" si="481"/>
        <v>Apprenant 704</v>
      </c>
      <c r="AR716" s="49" t="str">
        <f>IF(AND('Choix pédagogiques'!$C$4&lt;&gt;"?",'Choix pédagogiques'!$C$5&lt;&gt;"?",W716&lt;&gt;""),(W716-'Choix pédagogiques'!$C$4)/('Choix pédagogiques'!$C$5-'Choix pédagogiques'!$C$4),"")</f>
        <v/>
      </c>
      <c r="AS716" s="49" t="str">
        <f>IF(AND('Choix pédagogiques'!$C$4&lt;&gt;"?",'Choix pédagogiques'!$C$5&lt;&gt;"?",X716&lt;&gt;""),(X716-'Choix pédagogiques'!$C$4)/('Choix pédagogiques'!$C$5-'Choix pédagogiques'!$C$4),"")</f>
        <v/>
      </c>
      <c r="AT716" s="49" t="str">
        <f>IF(AND('Choix pédagogiques'!$C$4&lt;&gt;"?",'Choix pédagogiques'!$C$5&lt;&gt;"?",Y716&lt;&gt;""),(Y716-'Choix pédagogiques'!$C$4)/('Choix pédagogiques'!$C$5-'Choix pédagogiques'!$C$4),"")</f>
        <v/>
      </c>
      <c r="AU716" s="22" t="str">
        <f t="shared" si="482"/>
        <v/>
      </c>
      <c r="AV716" s="21" t="str">
        <f t="shared" si="483"/>
        <v>Apprenant 704 ou 704'</v>
      </c>
      <c r="AW716" s="49" t="str">
        <f>IF(AND('Choix pédagogiques'!$C$4&lt;&gt;"?",'Choix pédagogiques'!$C$5&lt;&gt;"?",AB716&lt;&gt;""),(AB716-'Choix pédagogiques'!$C$4)/('Choix pédagogiques'!$C$5-'Choix pédagogiques'!$C$4),"")</f>
        <v/>
      </c>
      <c r="AX716" s="49" t="str">
        <f>IF(AND('Choix pédagogiques'!$C$4&lt;&gt;"?",'Choix pédagogiques'!$C$5&lt;&gt;"?",AC716&lt;&gt;""),(AC716-'Choix pédagogiques'!$C$4)/('Choix pédagogiques'!$C$5-'Choix pédagogiques'!$C$4),"")</f>
        <v/>
      </c>
      <c r="AY716" s="49" t="str">
        <f>IF(AND('Choix pédagogiques'!$C$4&lt;&gt;"?",'Choix pédagogiques'!$C$5&lt;&gt;"?",AD716&lt;&gt;""),(AD716-'Choix pédagogiques'!$C$4)/('Choix pédagogiques'!$C$5-'Choix pédagogiques'!$C$4),"")</f>
        <v/>
      </c>
      <c r="AZ716" s="22" t="str">
        <f t="shared" si="484"/>
        <v/>
      </c>
      <c r="BA716" s="21" t="str">
        <f t="shared" si="485"/>
        <v>Apprenant 704</v>
      </c>
      <c r="BB716" s="49" t="str">
        <f t="shared" si="457"/>
        <v/>
      </c>
      <c r="BC716" s="49" t="str">
        <f t="shared" si="458"/>
        <v/>
      </c>
      <c r="BD716" s="49" t="str">
        <f t="shared" si="459"/>
        <v/>
      </c>
      <c r="BE716" s="22" t="str">
        <f t="shared" si="486"/>
        <v/>
      </c>
      <c r="BF716" s="21" t="str">
        <f t="shared" si="487"/>
        <v>Apprenant 704 ou 704'</v>
      </c>
      <c r="BG716" s="49" t="str">
        <f t="shared" si="460"/>
        <v/>
      </c>
      <c r="BH716" s="49" t="str">
        <f t="shared" si="461"/>
        <v/>
      </c>
      <c r="BI716" s="49" t="str">
        <f t="shared" si="462"/>
        <v/>
      </c>
      <c r="BJ716" s="22" t="str">
        <f t="shared" si="488"/>
        <v/>
      </c>
      <c r="BL716" s="21"/>
      <c r="BM716" s="21" t="str">
        <f>IF(OR(COUNT(B716:D1715)=0,AND('Choix pédagogiques'!$C$3&lt;&gt;1,'Choix pédagogiques'!$C$3&lt;&gt;2)),"",IF(AND(OR('Choix pédagogiques'!$C$3=1,'Choix pédagogiques'!$C$3=2),$B716&lt;&gt;"",$C716&lt;&gt;"",$D716&lt;&gt;""),1,0))</f>
        <v/>
      </c>
      <c r="BN716" s="21" t="str">
        <f>IF(OR(COUNT(G716:I1715)=0,AND('Choix pédagogiques'!$C$3&lt;&gt;1,'Choix pédagogiques'!$C$3&lt;&gt;2)),"",IF(AND(OR('Choix pédagogiques'!$C$3=1,'Choix pédagogiques'!$C$3=2),AND($G716&lt;&gt;"",$H716&lt;&gt;"",$I716&lt;&gt;"")),1,0))</f>
        <v/>
      </c>
      <c r="BO716" s="21" t="str">
        <f>IF(OR(COUNT(B716:D1715)=0,COUNT(G716:I1715)=0,'Choix pédagogiques'!C$3&lt;&gt;3),"",IF(AND('Choix pédagogiques'!$C$3=3,$B716&lt;&gt;"",$C716&lt;&gt;"",$D716&lt;&gt;"",$G716&lt;&gt;"",$H716&lt;&gt;"",$I716&lt;&gt;""),1,0))</f>
        <v/>
      </c>
      <c r="BR716" s="21">
        <v>201</v>
      </c>
      <c r="BS716" s="21">
        <v>1965</v>
      </c>
      <c r="BT716"/>
    </row>
    <row r="717" spans="1:72" s="23" customFormat="1" ht="18" customHeight="1" x14ac:dyDescent="0.3">
      <c r="A717" s="35" t="s">
        <v>707</v>
      </c>
      <c r="B717" s="37"/>
      <c r="C717" s="37"/>
      <c r="D717" s="37"/>
      <c r="E717" s="37"/>
      <c r="F717" s="35" t="s">
        <v>1715</v>
      </c>
      <c r="G717" s="37"/>
      <c r="H717" s="37"/>
      <c r="I717" s="37"/>
      <c r="J717" s="37"/>
      <c r="K717" s="21" t="str">
        <f t="shared" si="463"/>
        <v>Apprenant 705</v>
      </c>
      <c r="L717" s="22" t="str">
        <f t="shared" si="464"/>
        <v/>
      </c>
      <c r="M717" s="22" t="str">
        <f t="shared" si="465"/>
        <v/>
      </c>
      <c r="N717" s="22" t="str">
        <f t="shared" si="466"/>
        <v/>
      </c>
      <c r="O717" s="22" t="str">
        <f t="shared" si="467"/>
        <v/>
      </c>
      <c r="P717" s="21" t="str">
        <f t="shared" si="468"/>
        <v>Apprenant 705 ou 705'</v>
      </c>
      <c r="Q717" s="22" t="str">
        <f t="shared" si="469"/>
        <v/>
      </c>
      <c r="R717" s="22" t="str">
        <f t="shared" si="470"/>
        <v/>
      </c>
      <c r="S717" s="22" t="str">
        <f t="shared" si="471"/>
        <v/>
      </c>
      <c r="T717" s="22" t="str">
        <f t="shared" si="472"/>
        <v/>
      </c>
      <c r="V717" s="21" t="str">
        <f t="shared" si="473"/>
        <v>Apprenant 705</v>
      </c>
      <c r="W717" s="22" t="str">
        <f>IF(AND(OR('Choix pédagogiques'!$C$3=1,'Choix pédagogiques'!$C$3=2),$BM717=1),B717,IF(AND('Choix pédagogiques'!$C$3=3,$BO717=1),B717,""))</f>
        <v/>
      </c>
      <c r="X717" s="22" t="str">
        <f>IF(AND(OR('Choix pédagogiques'!$C$3=1,'Choix pédagogiques'!$C$3=2),$BM717=1),C717,IF(AND('Choix pédagogiques'!$C$3=3,$BO717=1),C717,""))</f>
        <v/>
      </c>
      <c r="Y717" s="22" t="str">
        <f>IF(AND(OR('Choix pédagogiques'!$C$3=1,'Choix pédagogiques'!$C$3=2),$BM717=1),D717,IF(AND('Choix pédagogiques'!$C$3=3,$BO717=1),D717,""))</f>
        <v/>
      </c>
      <c r="Z717" s="22" t="str">
        <f t="shared" si="474"/>
        <v/>
      </c>
      <c r="AA717" s="21" t="str">
        <f t="shared" si="475"/>
        <v>Apprenant 705 ou 705'</v>
      </c>
      <c r="AB717" s="22" t="str">
        <f>IF(AND(OR('Choix pédagogiques'!$C$3=1,'Choix pédagogiques'!$C$3=2),$BN717=1),G717,IF(AND('Choix pédagogiques'!$C$3=3,$BO717=1),G717,""))</f>
        <v/>
      </c>
      <c r="AC717" s="22" t="str">
        <f>IF(AND(OR('Choix pédagogiques'!$C$3=1,'Choix pédagogiques'!$C$3=2),$BN717=1),H717,IF(AND('Choix pédagogiques'!$C$3=3,$BO717=1),H717,""))</f>
        <v/>
      </c>
      <c r="AD717" s="22" t="str">
        <f>IF(AND(OR('Choix pédagogiques'!$C$3=1,'Choix pédagogiques'!$C$3=2),$BN717=1),I717,IF(AND('Choix pédagogiques'!$C$3=3,$BO717=1),I717,""))</f>
        <v/>
      </c>
      <c r="AE717" s="22" t="str">
        <f t="shared" si="476"/>
        <v/>
      </c>
      <c r="AF717" s="21" t="str">
        <f t="shared" si="477"/>
        <v>Apprenant 705</v>
      </c>
      <c r="AG717" s="22" t="str">
        <f t="shared" ref="AG717:AG780" si="489">IF(AND($W717&lt;&gt;"",$X717&lt;&gt;""),$X717-$W717,"")</f>
        <v/>
      </c>
      <c r="AH717" s="22" t="str">
        <f t="shared" ref="AH717:AH780" si="490">IF(AND($W717&lt;&gt;"",$Y717&lt;&gt;""),$Y717-$W717,"")</f>
        <v/>
      </c>
      <c r="AI717" s="22" t="str">
        <f t="shared" ref="AI717:AI780" si="491">IF(AND($X717&lt;&gt;"",$Y717&lt;&gt;""),$Y717-$X717,"")</f>
        <v/>
      </c>
      <c r="AJ717" s="22" t="str">
        <f t="shared" si="478"/>
        <v/>
      </c>
      <c r="AK717" s="21" t="str">
        <f t="shared" si="479"/>
        <v>Apprenant 705 ou 705'</v>
      </c>
      <c r="AL717" s="22" t="str">
        <f t="shared" ref="AL717:AL780" si="492">IF(AND($AB717&lt;&gt;"",$AC717&lt;&gt;""),$AC717-$AB717,"")</f>
        <v/>
      </c>
      <c r="AM717" s="22" t="str">
        <f t="shared" ref="AM717:AM780" si="493">IF(AND($AB717&lt;&gt;"",$AD717&lt;&gt;""),$AD717-$AB717,"")</f>
        <v/>
      </c>
      <c r="AN717" s="22" t="str">
        <f t="shared" ref="AN717:AN780" si="494">IF(AND($AC717&lt;&gt;"",$AD717&lt;&gt;""),$AD717-$AC717,"")</f>
        <v/>
      </c>
      <c r="AO717" s="22" t="str">
        <f t="shared" si="480"/>
        <v/>
      </c>
      <c r="AQ717" s="21" t="str">
        <f t="shared" si="481"/>
        <v>Apprenant 705</v>
      </c>
      <c r="AR717" s="49" t="str">
        <f>IF(AND('Choix pédagogiques'!$C$4&lt;&gt;"?",'Choix pédagogiques'!$C$5&lt;&gt;"?",W717&lt;&gt;""),(W717-'Choix pédagogiques'!$C$4)/('Choix pédagogiques'!$C$5-'Choix pédagogiques'!$C$4),"")</f>
        <v/>
      </c>
      <c r="AS717" s="49" t="str">
        <f>IF(AND('Choix pédagogiques'!$C$4&lt;&gt;"?",'Choix pédagogiques'!$C$5&lt;&gt;"?",X717&lt;&gt;""),(X717-'Choix pédagogiques'!$C$4)/('Choix pédagogiques'!$C$5-'Choix pédagogiques'!$C$4),"")</f>
        <v/>
      </c>
      <c r="AT717" s="49" t="str">
        <f>IF(AND('Choix pédagogiques'!$C$4&lt;&gt;"?",'Choix pédagogiques'!$C$5&lt;&gt;"?",Y717&lt;&gt;""),(Y717-'Choix pédagogiques'!$C$4)/('Choix pédagogiques'!$C$5-'Choix pédagogiques'!$C$4),"")</f>
        <v/>
      </c>
      <c r="AU717" s="22" t="str">
        <f t="shared" si="482"/>
        <v/>
      </c>
      <c r="AV717" s="21" t="str">
        <f t="shared" si="483"/>
        <v>Apprenant 705 ou 705'</v>
      </c>
      <c r="AW717" s="49" t="str">
        <f>IF(AND('Choix pédagogiques'!$C$4&lt;&gt;"?",'Choix pédagogiques'!$C$5&lt;&gt;"?",AB717&lt;&gt;""),(AB717-'Choix pédagogiques'!$C$4)/('Choix pédagogiques'!$C$5-'Choix pédagogiques'!$C$4),"")</f>
        <v/>
      </c>
      <c r="AX717" s="49" t="str">
        <f>IF(AND('Choix pédagogiques'!$C$4&lt;&gt;"?",'Choix pédagogiques'!$C$5&lt;&gt;"?",AC717&lt;&gt;""),(AC717-'Choix pédagogiques'!$C$4)/('Choix pédagogiques'!$C$5-'Choix pédagogiques'!$C$4),"")</f>
        <v/>
      </c>
      <c r="AY717" s="49" t="str">
        <f>IF(AND('Choix pédagogiques'!$C$4&lt;&gt;"?",'Choix pédagogiques'!$C$5&lt;&gt;"?",AD717&lt;&gt;""),(AD717-'Choix pédagogiques'!$C$4)/('Choix pédagogiques'!$C$5-'Choix pédagogiques'!$C$4),"")</f>
        <v/>
      </c>
      <c r="AZ717" s="22" t="str">
        <f t="shared" si="484"/>
        <v/>
      </c>
      <c r="BA717" s="21" t="str">
        <f t="shared" si="485"/>
        <v>Apprenant 705</v>
      </c>
      <c r="BB717" s="49" t="str">
        <f t="shared" ref="BB717:BB780" si="495">IF(AND($AR717&lt;&gt;"",$AS717&lt;&gt;""),$AS717-$AR717,"")</f>
        <v/>
      </c>
      <c r="BC717" s="49" t="str">
        <f t="shared" ref="BC717:BC780" si="496">IF(AND($AR717&lt;&gt;"",$AT717&lt;&gt;""),$AT717-$AR717,"")</f>
        <v/>
      </c>
      <c r="BD717" s="49" t="str">
        <f t="shared" ref="BD717:BD780" si="497">IF(AND($AS717&lt;&gt;"",$AT717&lt;&gt;""),$AT717-$AS717,"")</f>
        <v/>
      </c>
      <c r="BE717" s="22" t="str">
        <f t="shared" si="486"/>
        <v/>
      </c>
      <c r="BF717" s="21" t="str">
        <f t="shared" si="487"/>
        <v>Apprenant 705 ou 705'</v>
      </c>
      <c r="BG717" s="49" t="str">
        <f t="shared" ref="BG717:BG780" si="498">IF(AND($AW717&lt;&gt;"",$AX717&lt;&gt;""),$AX717-$AW717,"")</f>
        <v/>
      </c>
      <c r="BH717" s="49" t="str">
        <f t="shared" ref="BH717:BH780" si="499">IF(AND($AW717&lt;&gt;"",$AY717&lt;&gt;""),$AY717-$AW717,"")</f>
        <v/>
      </c>
      <c r="BI717" s="49" t="str">
        <f t="shared" ref="BI717:BI780" si="500">IF(AND($AX717&lt;&gt;"",$AY717&lt;&gt;""),$AY717-$AX717,"")</f>
        <v/>
      </c>
      <c r="BJ717" s="22" t="str">
        <f t="shared" si="488"/>
        <v/>
      </c>
      <c r="BL717" s="21"/>
      <c r="BM717" s="21" t="str">
        <f>IF(OR(COUNT(B717:D1716)=0,AND('Choix pédagogiques'!$C$3&lt;&gt;1,'Choix pédagogiques'!$C$3&lt;&gt;2)),"",IF(AND(OR('Choix pédagogiques'!$C$3=1,'Choix pédagogiques'!$C$3=2),$B717&lt;&gt;"",$C717&lt;&gt;"",$D717&lt;&gt;""),1,0))</f>
        <v/>
      </c>
      <c r="BN717" s="21" t="str">
        <f>IF(OR(COUNT(G717:I1716)=0,AND('Choix pédagogiques'!$C$3&lt;&gt;1,'Choix pédagogiques'!$C$3&lt;&gt;2)),"",IF(AND(OR('Choix pédagogiques'!$C$3=1,'Choix pédagogiques'!$C$3=2),AND($G717&lt;&gt;"",$H717&lt;&gt;"",$I717&lt;&gt;"")),1,0))</f>
        <v/>
      </c>
      <c r="BO717" s="21" t="str">
        <f>IF(OR(COUNT(B717:D1716)=0,COUNT(G717:I1716)=0,'Choix pédagogiques'!C$3&lt;&gt;3),"",IF(AND('Choix pédagogiques'!$C$3=3,$B717&lt;&gt;"",$C717&lt;&gt;"",$D717&lt;&gt;"",$G717&lt;&gt;"",$H717&lt;&gt;"",$I717&lt;&gt;""),1,0))</f>
        <v/>
      </c>
      <c r="BR717" s="21">
        <v>678</v>
      </c>
      <c r="BS717" s="21">
        <v>1481</v>
      </c>
      <c r="BT717"/>
    </row>
    <row r="718" spans="1:72" s="23" customFormat="1" ht="18" customHeight="1" x14ac:dyDescent="0.3">
      <c r="A718" s="35" t="s">
        <v>708</v>
      </c>
      <c r="B718" s="37"/>
      <c r="C718" s="37"/>
      <c r="D718" s="37"/>
      <c r="E718" s="37"/>
      <c r="F718" s="35" t="s">
        <v>1716</v>
      </c>
      <c r="G718" s="37"/>
      <c r="H718" s="37"/>
      <c r="I718" s="37"/>
      <c r="J718" s="37"/>
      <c r="K718" s="21" t="str">
        <f t="shared" ref="K718:K781" si="501">IF($A718&lt;&gt;"",$A718,"")</f>
        <v>Apprenant 706</v>
      </c>
      <c r="L718" s="22" t="str">
        <f t="shared" ref="L718:L781" si="502">IF(AND($B718&lt;&gt;"",$C718&lt;&gt;""),$C718-$B718,"")</f>
        <v/>
      </c>
      <c r="M718" s="22" t="str">
        <f t="shared" ref="M718:M781" si="503">IF(AND($B718&lt;&gt;"",$D718&lt;&gt;""),$D718-$B718,"")</f>
        <v/>
      </c>
      <c r="N718" s="22" t="str">
        <f t="shared" ref="N718:N781" si="504">IF(AND($C718&lt;&gt;"",$D718&lt;&gt;""),$D718-$C718,"")</f>
        <v/>
      </c>
      <c r="O718" s="22" t="str">
        <f t="shared" ref="O718:O781" si="505">IF($E718&lt;&gt;"",$E718,"")</f>
        <v/>
      </c>
      <c r="P718" s="21" t="str">
        <f t="shared" ref="P718:P781" si="506">IF($F718&lt;&gt;"",$F718,"")</f>
        <v>Apprenant 706 ou 706'</v>
      </c>
      <c r="Q718" s="22" t="str">
        <f t="shared" ref="Q718:Q781" si="507">IF(AND($G718&lt;&gt;"",$H718&lt;&gt;""),$H718-$G718,"")</f>
        <v/>
      </c>
      <c r="R718" s="22" t="str">
        <f t="shared" ref="R718:R781" si="508">IF(AND($G718&lt;&gt;"",$I718&lt;&gt;""),$I718-$G718,"")</f>
        <v/>
      </c>
      <c r="S718" s="22" t="str">
        <f t="shared" ref="S718:S781" si="509">IF(AND($H718&lt;&gt;"",$I718&lt;&gt;""),$I718-$H718,"")</f>
        <v/>
      </c>
      <c r="T718" s="22" t="str">
        <f t="shared" ref="T718:T781" si="510">IF($J718&lt;&gt;"",$J718,"")</f>
        <v/>
      </c>
      <c r="V718" s="21" t="str">
        <f t="shared" ref="V718:V781" si="511">IF($A718&lt;&gt;"",$A718,"")</f>
        <v>Apprenant 706</v>
      </c>
      <c r="W718" s="22" t="str">
        <f>IF(AND(OR('Choix pédagogiques'!$C$3=1,'Choix pédagogiques'!$C$3=2),$BM718=1),B718,IF(AND('Choix pédagogiques'!$C$3=3,$BO718=1),B718,""))</f>
        <v/>
      </c>
      <c r="X718" s="22" t="str">
        <f>IF(AND(OR('Choix pédagogiques'!$C$3=1,'Choix pédagogiques'!$C$3=2),$BM718=1),C718,IF(AND('Choix pédagogiques'!$C$3=3,$BO718=1),C718,""))</f>
        <v/>
      </c>
      <c r="Y718" s="22" t="str">
        <f>IF(AND(OR('Choix pédagogiques'!$C$3=1,'Choix pédagogiques'!$C$3=2),$BM718=1),D718,IF(AND('Choix pédagogiques'!$C$3=3,$BO718=1),D718,""))</f>
        <v/>
      </c>
      <c r="Z718" s="22" t="str">
        <f t="shared" ref="Z718:Z781" si="512">IF($E718&lt;&gt;"",$E718,"")</f>
        <v/>
      </c>
      <c r="AA718" s="21" t="str">
        <f t="shared" ref="AA718:AA781" si="513">IF($F718&lt;&gt;"",$F718,"")</f>
        <v>Apprenant 706 ou 706'</v>
      </c>
      <c r="AB718" s="22" t="str">
        <f>IF(AND(OR('Choix pédagogiques'!$C$3=1,'Choix pédagogiques'!$C$3=2),$BN718=1),G718,IF(AND('Choix pédagogiques'!$C$3=3,$BO718=1),G718,""))</f>
        <v/>
      </c>
      <c r="AC718" s="22" t="str">
        <f>IF(AND(OR('Choix pédagogiques'!$C$3=1,'Choix pédagogiques'!$C$3=2),$BN718=1),H718,IF(AND('Choix pédagogiques'!$C$3=3,$BO718=1),H718,""))</f>
        <v/>
      </c>
      <c r="AD718" s="22" t="str">
        <f>IF(AND(OR('Choix pédagogiques'!$C$3=1,'Choix pédagogiques'!$C$3=2),$BN718=1),I718,IF(AND('Choix pédagogiques'!$C$3=3,$BO718=1),I718,""))</f>
        <v/>
      </c>
      <c r="AE718" s="22" t="str">
        <f t="shared" ref="AE718:AE781" si="514">IF($J718&lt;&gt;"",$J718,"")</f>
        <v/>
      </c>
      <c r="AF718" s="21" t="str">
        <f t="shared" ref="AF718:AF781" si="515">IF($A718&lt;&gt;"",$A718,"")</f>
        <v>Apprenant 706</v>
      </c>
      <c r="AG718" s="22" t="str">
        <f t="shared" si="489"/>
        <v/>
      </c>
      <c r="AH718" s="22" t="str">
        <f t="shared" si="490"/>
        <v/>
      </c>
      <c r="AI718" s="22" t="str">
        <f t="shared" si="491"/>
        <v/>
      </c>
      <c r="AJ718" s="22" t="str">
        <f t="shared" ref="AJ718:AJ781" si="516">IF($E718&lt;&gt;"",$E718,"")</f>
        <v/>
      </c>
      <c r="AK718" s="21" t="str">
        <f t="shared" ref="AK718:AK781" si="517">IF($F718&lt;&gt;"",$F718,"")</f>
        <v>Apprenant 706 ou 706'</v>
      </c>
      <c r="AL718" s="22" t="str">
        <f t="shared" si="492"/>
        <v/>
      </c>
      <c r="AM718" s="22" t="str">
        <f t="shared" si="493"/>
        <v/>
      </c>
      <c r="AN718" s="22" t="str">
        <f t="shared" si="494"/>
        <v/>
      </c>
      <c r="AO718" s="22" t="str">
        <f t="shared" ref="AO718:AO781" si="518">IF($J718&lt;&gt;"",$J718,"")</f>
        <v/>
      </c>
      <c r="AQ718" s="21" t="str">
        <f t="shared" ref="AQ718:AQ781" si="519">IF($A718&lt;&gt;"",$A718,"")</f>
        <v>Apprenant 706</v>
      </c>
      <c r="AR718" s="49" t="str">
        <f>IF(AND('Choix pédagogiques'!$C$4&lt;&gt;"?",'Choix pédagogiques'!$C$5&lt;&gt;"?",W718&lt;&gt;""),(W718-'Choix pédagogiques'!$C$4)/('Choix pédagogiques'!$C$5-'Choix pédagogiques'!$C$4),"")</f>
        <v/>
      </c>
      <c r="AS718" s="49" t="str">
        <f>IF(AND('Choix pédagogiques'!$C$4&lt;&gt;"?",'Choix pédagogiques'!$C$5&lt;&gt;"?",X718&lt;&gt;""),(X718-'Choix pédagogiques'!$C$4)/('Choix pédagogiques'!$C$5-'Choix pédagogiques'!$C$4),"")</f>
        <v/>
      </c>
      <c r="AT718" s="49" t="str">
        <f>IF(AND('Choix pédagogiques'!$C$4&lt;&gt;"?",'Choix pédagogiques'!$C$5&lt;&gt;"?",Y718&lt;&gt;""),(Y718-'Choix pédagogiques'!$C$4)/('Choix pédagogiques'!$C$5-'Choix pédagogiques'!$C$4),"")</f>
        <v/>
      </c>
      <c r="AU718" s="22" t="str">
        <f t="shared" ref="AU718:AU781" si="520">IF($E718&lt;&gt;"",$E718,"")</f>
        <v/>
      </c>
      <c r="AV718" s="21" t="str">
        <f t="shared" ref="AV718:AV781" si="521">IF($F718&lt;&gt;"",$F718,"")</f>
        <v>Apprenant 706 ou 706'</v>
      </c>
      <c r="AW718" s="49" t="str">
        <f>IF(AND('Choix pédagogiques'!$C$4&lt;&gt;"?",'Choix pédagogiques'!$C$5&lt;&gt;"?",AB718&lt;&gt;""),(AB718-'Choix pédagogiques'!$C$4)/('Choix pédagogiques'!$C$5-'Choix pédagogiques'!$C$4),"")</f>
        <v/>
      </c>
      <c r="AX718" s="49" t="str">
        <f>IF(AND('Choix pédagogiques'!$C$4&lt;&gt;"?",'Choix pédagogiques'!$C$5&lt;&gt;"?",AC718&lt;&gt;""),(AC718-'Choix pédagogiques'!$C$4)/('Choix pédagogiques'!$C$5-'Choix pédagogiques'!$C$4),"")</f>
        <v/>
      </c>
      <c r="AY718" s="49" t="str">
        <f>IF(AND('Choix pédagogiques'!$C$4&lt;&gt;"?",'Choix pédagogiques'!$C$5&lt;&gt;"?",AD718&lt;&gt;""),(AD718-'Choix pédagogiques'!$C$4)/('Choix pédagogiques'!$C$5-'Choix pédagogiques'!$C$4),"")</f>
        <v/>
      </c>
      <c r="AZ718" s="22" t="str">
        <f t="shared" ref="AZ718:AZ781" si="522">IF($J718&lt;&gt;"",$J718,"")</f>
        <v/>
      </c>
      <c r="BA718" s="21" t="str">
        <f t="shared" ref="BA718:BA781" si="523">IF($A718&lt;&gt;"",$A718,"")</f>
        <v>Apprenant 706</v>
      </c>
      <c r="BB718" s="49" t="str">
        <f t="shared" si="495"/>
        <v/>
      </c>
      <c r="BC718" s="49" t="str">
        <f t="shared" si="496"/>
        <v/>
      </c>
      <c r="BD718" s="49" t="str">
        <f t="shared" si="497"/>
        <v/>
      </c>
      <c r="BE718" s="22" t="str">
        <f t="shared" ref="BE718:BE781" si="524">IF($E718&lt;&gt;"",$E718,"")</f>
        <v/>
      </c>
      <c r="BF718" s="21" t="str">
        <f t="shared" ref="BF718:BF781" si="525">IF($F718&lt;&gt;"",$F718,"")</f>
        <v>Apprenant 706 ou 706'</v>
      </c>
      <c r="BG718" s="49" t="str">
        <f t="shared" si="498"/>
        <v/>
      </c>
      <c r="BH718" s="49" t="str">
        <f t="shared" si="499"/>
        <v/>
      </c>
      <c r="BI718" s="49" t="str">
        <f t="shared" si="500"/>
        <v/>
      </c>
      <c r="BJ718" s="22" t="str">
        <f t="shared" ref="BJ718:BJ781" si="526">IF($J718&lt;&gt;"",$J718,"")</f>
        <v/>
      </c>
      <c r="BL718" s="21"/>
      <c r="BM718" s="21" t="str">
        <f>IF(OR(COUNT(B718:D1717)=0,AND('Choix pédagogiques'!$C$3&lt;&gt;1,'Choix pédagogiques'!$C$3&lt;&gt;2)),"",IF(AND(OR('Choix pédagogiques'!$C$3=1,'Choix pédagogiques'!$C$3=2),$B718&lt;&gt;"",$C718&lt;&gt;"",$D718&lt;&gt;""),1,0))</f>
        <v/>
      </c>
      <c r="BN718" s="21" t="str">
        <f>IF(OR(COUNT(G718:I1717)=0,AND('Choix pédagogiques'!$C$3&lt;&gt;1,'Choix pédagogiques'!$C$3&lt;&gt;2)),"",IF(AND(OR('Choix pédagogiques'!$C$3=1,'Choix pédagogiques'!$C$3=2),AND($G718&lt;&gt;"",$H718&lt;&gt;"",$I718&lt;&gt;"")),1,0))</f>
        <v/>
      </c>
      <c r="BO718" s="21" t="str">
        <f>IF(OR(COUNT(B718:D1717)=0,COUNT(G718:I1717)=0,'Choix pédagogiques'!C$3&lt;&gt;3),"",IF(AND('Choix pédagogiques'!$C$3=3,$B718&lt;&gt;"",$C718&lt;&gt;"",$D718&lt;&gt;"",$G718&lt;&gt;"",$H718&lt;&gt;"",$I718&lt;&gt;""),1,0))</f>
        <v/>
      </c>
      <c r="BR718" s="21">
        <v>7</v>
      </c>
      <c r="BS718" s="21">
        <v>1647</v>
      </c>
      <c r="BT718"/>
    </row>
    <row r="719" spans="1:72" s="23" customFormat="1" ht="18" customHeight="1" x14ac:dyDescent="0.3">
      <c r="A719" s="35" t="s">
        <v>709</v>
      </c>
      <c r="B719" s="37"/>
      <c r="C719" s="37"/>
      <c r="D719" s="37"/>
      <c r="E719" s="37"/>
      <c r="F719" s="35" t="s">
        <v>1717</v>
      </c>
      <c r="G719" s="37"/>
      <c r="H719" s="37"/>
      <c r="I719" s="37"/>
      <c r="J719" s="37"/>
      <c r="K719" s="21" t="str">
        <f t="shared" si="501"/>
        <v>Apprenant 707</v>
      </c>
      <c r="L719" s="22" t="str">
        <f t="shared" si="502"/>
        <v/>
      </c>
      <c r="M719" s="22" t="str">
        <f t="shared" si="503"/>
        <v/>
      </c>
      <c r="N719" s="22" t="str">
        <f t="shared" si="504"/>
        <v/>
      </c>
      <c r="O719" s="22" t="str">
        <f t="shared" si="505"/>
        <v/>
      </c>
      <c r="P719" s="21" t="str">
        <f t="shared" si="506"/>
        <v>Apprenant 707 ou 707'</v>
      </c>
      <c r="Q719" s="22" t="str">
        <f t="shared" si="507"/>
        <v/>
      </c>
      <c r="R719" s="22" t="str">
        <f t="shared" si="508"/>
        <v/>
      </c>
      <c r="S719" s="22" t="str">
        <f t="shared" si="509"/>
        <v/>
      </c>
      <c r="T719" s="22" t="str">
        <f t="shared" si="510"/>
        <v/>
      </c>
      <c r="V719" s="21" t="str">
        <f t="shared" si="511"/>
        <v>Apprenant 707</v>
      </c>
      <c r="W719" s="22" t="str">
        <f>IF(AND(OR('Choix pédagogiques'!$C$3=1,'Choix pédagogiques'!$C$3=2),$BM719=1),B719,IF(AND('Choix pédagogiques'!$C$3=3,$BO719=1),B719,""))</f>
        <v/>
      </c>
      <c r="X719" s="22" t="str">
        <f>IF(AND(OR('Choix pédagogiques'!$C$3=1,'Choix pédagogiques'!$C$3=2),$BM719=1),C719,IF(AND('Choix pédagogiques'!$C$3=3,$BO719=1),C719,""))</f>
        <v/>
      </c>
      <c r="Y719" s="22" t="str">
        <f>IF(AND(OR('Choix pédagogiques'!$C$3=1,'Choix pédagogiques'!$C$3=2),$BM719=1),D719,IF(AND('Choix pédagogiques'!$C$3=3,$BO719=1),D719,""))</f>
        <v/>
      </c>
      <c r="Z719" s="22" t="str">
        <f t="shared" si="512"/>
        <v/>
      </c>
      <c r="AA719" s="21" t="str">
        <f t="shared" si="513"/>
        <v>Apprenant 707 ou 707'</v>
      </c>
      <c r="AB719" s="22" t="str">
        <f>IF(AND(OR('Choix pédagogiques'!$C$3=1,'Choix pédagogiques'!$C$3=2),$BN719=1),G719,IF(AND('Choix pédagogiques'!$C$3=3,$BO719=1),G719,""))</f>
        <v/>
      </c>
      <c r="AC719" s="22" t="str">
        <f>IF(AND(OR('Choix pédagogiques'!$C$3=1,'Choix pédagogiques'!$C$3=2),$BN719=1),H719,IF(AND('Choix pédagogiques'!$C$3=3,$BO719=1),H719,""))</f>
        <v/>
      </c>
      <c r="AD719" s="22" t="str">
        <f>IF(AND(OR('Choix pédagogiques'!$C$3=1,'Choix pédagogiques'!$C$3=2),$BN719=1),I719,IF(AND('Choix pédagogiques'!$C$3=3,$BO719=1),I719,""))</f>
        <v/>
      </c>
      <c r="AE719" s="22" t="str">
        <f t="shared" si="514"/>
        <v/>
      </c>
      <c r="AF719" s="21" t="str">
        <f t="shared" si="515"/>
        <v>Apprenant 707</v>
      </c>
      <c r="AG719" s="22" t="str">
        <f t="shared" si="489"/>
        <v/>
      </c>
      <c r="AH719" s="22" t="str">
        <f t="shared" si="490"/>
        <v/>
      </c>
      <c r="AI719" s="22" t="str">
        <f t="shared" si="491"/>
        <v/>
      </c>
      <c r="AJ719" s="22" t="str">
        <f t="shared" si="516"/>
        <v/>
      </c>
      <c r="AK719" s="21" t="str">
        <f t="shared" si="517"/>
        <v>Apprenant 707 ou 707'</v>
      </c>
      <c r="AL719" s="22" t="str">
        <f t="shared" si="492"/>
        <v/>
      </c>
      <c r="AM719" s="22" t="str">
        <f t="shared" si="493"/>
        <v/>
      </c>
      <c r="AN719" s="22" t="str">
        <f t="shared" si="494"/>
        <v/>
      </c>
      <c r="AO719" s="22" t="str">
        <f t="shared" si="518"/>
        <v/>
      </c>
      <c r="AQ719" s="21" t="str">
        <f t="shared" si="519"/>
        <v>Apprenant 707</v>
      </c>
      <c r="AR719" s="49" t="str">
        <f>IF(AND('Choix pédagogiques'!$C$4&lt;&gt;"?",'Choix pédagogiques'!$C$5&lt;&gt;"?",W719&lt;&gt;""),(W719-'Choix pédagogiques'!$C$4)/('Choix pédagogiques'!$C$5-'Choix pédagogiques'!$C$4),"")</f>
        <v/>
      </c>
      <c r="AS719" s="49" t="str">
        <f>IF(AND('Choix pédagogiques'!$C$4&lt;&gt;"?",'Choix pédagogiques'!$C$5&lt;&gt;"?",X719&lt;&gt;""),(X719-'Choix pédagogiques'!$C$4)/('Choix pédagogiques'!$C$5-'Choix pédagogiques'!$C$4),"")</f>
        <v/>
      </c>
      <c r="AT719" s="49" t="str">
        <f>IF(AND('Choix pédagogiques'!$C$4&lt;&gt;"?",'Choix pédagogiques'!$C$5&lt;&gt;"?",Y719&lt;&gt;""),(Y719-'Choix pédagogiques'!$C$4)/('Choix pédagogiques'!$C$5-'Choix pédagogiques'!$C$4),"")</f>
        <v/>
      </c>
      <c r="AU719" s="22" t="str">
        <f t="shared" si="520"/>
        <v/>
      </c>
      <c r="AV719" s="21" t="str">
        <f t="shared" si="521"/>
        <v>Apprenant 707 ou 707'</v>
      </c>
      <c r="AW719" s="49" t="str">
        <f>IF(AND('Choix pédagogiques'!$C$4&lt;&gt;"?",'Choix pédagogiques'!$C$5&lt;&gt;"?",AB719&lt;&gt;""),(AB719-'Choix pédagogiques'!$C$4)/('Choix pédagogiques'!$C$5-'Choix pédagogiques'!$C$4),"")</f>
        <v/>
      </c>
      <c r="AX719" s="49" t="str">
        <f>IF(AND('Choix pédagogiques'!$C$4&lt;&gt;"?",'Choix pédagogiques'!$C$5&lt;&gt;"?",AC719&lt;&gt;""),(AC719-'Choix pédagogiques'!$C$4)/('Choix pédagogiques'!$C$5-'Choix pédagogiques'!$C$4),"")</f>
        <v/>
      </c>
      <c r="AY719" s="49" t="str">
        <f>IF(AND('Choix pédagogiques'!$C$4&lt;&gt;"?",'Choix pédagogiques'!$C$5&lt;&gt;"?",AD719&lt;&gt;""),(AD719-'Choix pédagogiques'!$C$4)/('Choix pédagogiques'!$C$5-'Choix pédagogiques'!$C$4),"")</f>
        <v/>
      </c>
      <c r="AZ719" s="22" t="str">
        <f t="shared" si="522"/>
        <v/>
      </c>
      <c r="BA719" s="21" t="str">
        <f t="shared" si="523"/>
        <v>Apprenant 707</v>
      </c>
      <c r="BB719" s="49" t="str">
        <f t="shared" si="495"/>
        <v/>
      </c>
      <c r="BC719" s="49" t="str">
        <f t="shared" si="496"/>
        <v/>
      </c>
      <c r="BD719" s="49" t="str">
        <f t="shared" si="497"/>
        <v/>
      </c>
      <c r="BE719" s="22" t="str">
        <f t="shared" si="524"/>
        <v/>
      </c>
      <c r="BF719" s="21" t="str">
        <f t="shared" si="525"/>
        <v>Apprenant 707 ou 707'</v>
      </c>
      <c r="BG719" s="49" t="str">
        <f t="shared" si="498"/>
        <v/>
      </c>
      <c r="BH719" s="49" t="str">
        <f t="shared" si="499"/>
        <v/>
      </c>
      <c r="BI719" s="49" t="str">
        <f t="shared" si="500"/>
        <v/>
      </c>
      <c r="BJ719" s="22" t="str">
        <f t="shared" si="526"/>
        <v/>
      </c>
      <c r="BL719" s="21"/>
      <c r="BM719" s="21" t="str">
        <f>IF(OR(COUNT(B719:D1718)=0,AND('Choix pédagogiques'!$C$3&lt;&gt;1,'Choix pédagogiques'!$C$3&lt;&gt;2)),"",IF(AND(OR('Choix pédagogiques'!$C$3=1,'Choix pédagogiques'!$C$3=2),$B719&lt;&gt;"",$C719&lt;&gt;"",$D719&lt;&gt;""),1,0))</f>
        <v/>
      </c>
      <c r="BN719" s="21" t="str">
        <f>IF(OR(COUNT(G719:I1718)=0,AND('Choix pédagogiques'!$C$3&lt;&gt;1,'Choix pédagogiques'!$C$3&lt;&gt;2)),"",IF(AND(OR('Choix pédagogiques'!$C$3=1,'Choix pédagogiques'!$C$3=2),AND($G719&lt;&gt;"",$H719&lt;&gt;"",$I719&lt;&gt;"")),1,0))</f>
        <v/>
      </c>
      <c r="BO719" s="21" t="str">
        <f>IF(OR(COUNT(B719:D1718)=0,COUNT(G719:I1718)=0,'Choix pédagogiques'!C$3&lt;&gt;3),"",IF(AND('Choix pédagogiques'!$C$3=3,$B719&lt;&gt;"",$C719&lt;&gt;"",$D719&lt;&gt;"",$G719&lt;&gt;"",$H719&lt;&gt;"",$I719&lt;&gt;""),1,0))</f>
        <v/>
      </c>
      <c r="BR719" s="21">
        <v>892</v>
      </c>
      <c r="BS719" s="21">
        <v>1260</v>
      </c>
      <c r="BT719"/>
    </row>
    <row r="720" spans="1:72" s="23" customFormat="1" ht="18" customHeight="1" x14ac:dyDescent="0.3">
      <c r="A720" s="35" t="s">
        <v>710</v>
      </c>
      <c r="B720" s="37"/>
      <c r="C720" s="37"/>
      <c r="D720" s="37"/>
      <c r="E720" s="37"/>
      <c r="F720" s="35" t="s">
        <v>1718</v>
      </c>
      <c r="G720" s="37"/>
      <c r="H720" s="37"/>
      <c r="I720" s="37"/>
      <c r="J720" s="37"/>
      <c r="K720" s="21" t="str">
        <f t="shared" si="501"/>
        <v>Apprenant 708</v>
      </c>
      <c r="L720" s="22" t="str">
        <f t="shared" si="502"/>
        <v/>
      </c>
      <c r="M720" s="22" t="str">
        <f t="shared" si="503"/>
        <v/>
      </c>
      <c r="N720" s="22" t="str">
        <f t="shared" si="504"/>
        <v/>
      </c>
      <c r="O720" s="22" t="str">
        <f t="shared" si="505"/>
        <v/>
      </c>
      <c r="P720" s="21" t="str">
        <f t="shared" si="506"/>
        <v>Apprenant 708 ou 708'</v>
      </c>
      <c r="Q720" s="22" t="str">
        <f t="shared" si="507"/>
        <v/>
      </c>
      <c r="R720" s="22" t="str">
        <f t="shared" si="508"/>
        <v/>
      </c>
      <c r="S720" s="22" t="str">
        <f t="shared" si="509"/>
        <v/>
      </c>
      <c r="T720" s="22" t="str">
        <f t="shared" si="510"/>
        <v/>
      </c>
      <c r="V720" s="21" t="str">
        <f t="shared" si="511"/>
        <v>Apprenant 708</v>
      </c>
      <c r="W720" s="22" t="str">
        <f>IF(AND(OR('Choix pédagogiques'!$C$3=1,'Choix pédagogiques'!$C$3=2),$BM720=1),B720,IF(AND('Choix pédagogiques'!$C$3=3,$BO720=1),B720,""))</f>
        <v/>
      </c>
      <c r="X720" s="22" t="str">
        <f>IF(AND(OR('Choix pédagogiques'!$C$3=1,'Choix pédagogiques'!$C$3=2),$BM720=1),C720,IF(AND('Choix pédagogiques'!$C$3=3,$BO720=1),C720,""))</f>
        <v/>
      </c>
      <c r="Y720" s="22" t="str">
        <f>IF(AND(OR('Choix pédagogiques'!$C$3=1,'Choix pédagogiques'!$C$3=2),$BM720=1),D720,IF(AND('Choix pédagogiques'!$C$3=3,$BO720=1),D720,""))</f>
        <v/>
      </c>
      <c r="Z720" s="22" t="str">
        <f t="shared" si="512"/>
        <v/>
      </c>
      <c r="AA720" s="21" t="str">
        <f t="shared" si="513"/>
        <v>Apprenant 708 ou 708'</v>
      </c>
      <c r="AB720" s="22" t="str">
        <f>IF(AND(OR('Choix pédagogiques'!$C$3=1,'Choix pédagogiques'!$C$3=2),$BN720=1),G720,IF(AND('Choix pédagogiques'!$C$3=3,$BO720=1),G720,""))</f>
        <v/>
      </c>
      <c r="AC720" s="22" t="str">
        <f>IF(AND(OR('Choix pédagogiques'!$C$3=1,'Choix pédagogiques'!$C$3=2),$BN720=1),H720,IF(AND('Choix pédagogiques'!$C$3=3,$BO720=1),H720,""))</f>
        <v/>
      </c>
      <c r="AD720" s="22" t="str">
        <f>IF(AND(OR('Choix pédagogiques'!$C$3=1,'Choix pédagogiques'!$C$3=2),$BN720=1),I720,IF(AND('Choix pédagogiques'!$C$3=3,$BO720=1),I720,""))</f>
        <v/>
      </c>
      <c r="AE720" s="22" t="str">
        <f t="shared" si="514"/>
        <v/>
      </c>
      <c r="AF720" s="21" t="str">
        <f t="shared" si="515"/>
        <v>Apprenant 708</v>
      </c>
      <c r="AG720" s="22" t="str">
        <f t="shared" si="489"/>
        <v/>
      </c>
      <c r="AH720" s="22" t="str">
        <f t="shared" si="490"/>
        <v/>
      </c>
      <c r="AI720" s="22" t="str">
        <f t="shared" si="491"/>
        <v/>
      </c>
      <c r="AJ720" s="22" t="str">
        <f t="shared" si="516"/>
        <v/>
      </c>
      <c r="AK720" s="21" t="str">
        <f t="shared" si="517"/>
        <v>Apprenant 708 ou 708'</v>
      </c>
      <c r="AL720" s="22" t="str">
        <f t="shared" si="492"/>
        <v/>
      </c>
      <c r="AM720" s="22" t="str">
        <f t="shared" si="493"/>
        <v/>
      </c>
      <c r="AN720" s="22" t="str">
        <f t="shared" si="494"/>
        <v/>
      </c>
      <c r="AO720" s="22" t="str">
        <f t="shared" si="518"/>
        <v/>
      </c>
      <c r="AQ720" s="21" t="str">
        <f t="shared" si="519"/>
        <v>Apprenant 708</v>
      </c>
      <c r="AR720" s="49" t="str">
        <f>IF(AND('Choix pédagogiques'!$C$4&lt;&gt;"?",'Choix pédagogiques'!$C$5&lt;&gt;"?",W720&lt;&gt;""),(W720-'Choix pédagogiques'!$C$4)/('Choix pédagogiques'!$C$5-'Choix pédagogiques'!$C$4),"")</f>
        <v/>
      </c>
      <c r="AS720" s="49" t="str">
        <f>IF(AND('Choix pédagogiques'!$C$4&lt;&gt;"?",'Choix pédagogiques'!$C$5&lt;&gt;"?",X720&lt;&gt;""),(X720-'Choix pédagogiques'!$C$4)/('Choix pédagogiques'!$C$5-'Choix pédagogiques'!$C$4),"")</f>
        <v/>
      </c>
      <c r="AT720" s="49" t="str">
        <f>IF(AND('Choix pédagogiques'!$C$4&lt;&gt;"?",'Choix pédagogiques'!$C$5&lt;&gt;"?",Y720&lt;&gt;""),(Y720-'Choix pédagogiques'!$C$4)/('Choix pédagogiques'!$C$5-'Choix pédagogiques'!$C$4),"")</f>
        <v/>
      </c>
      <c r="AU720" s="22" t="str">
        <f t="shared" si="520"/>
        <v/>
      </c>
      <c r="AV720" s="21" t="str">
        <f t="shared" si="521"/>
        <v>Apprenant 708 ou 708'</v>
      </c>
      <c r="AW720" s="49" t="str">
        <f>IF(AND('Choix pédagogiques'!$C$4&lt;&gt;"?",'Choix pédagogiques'!$C$5&lt;&gt;"?",AB720&lt;&gt;""),(AB720-'Choix pédagogiques'!$C$4)/('Choix pédagogiques'!$C$5-'Choix pédagogiques'!$C$4),"")</f>
        <v/>
      </c>
      <c r="AX720" s="49" t="str">
        <f>IF(AND('Choix pédagogiques'!$C$4&lt;&gt;"?",'Choix pédagogiques'!$C$5&lt;&gt;"?",AC720&lt;&gt;""),(AC720-'Choix pédagogiques'!$C$4)/('Choix pédagogiques'!$C$5-'Choix pédagogiques'!$C$4),"")</f>
        <v/>
      </c>
      <c r="AY720" s="49" t="str">
        <f>IF(AND('Choix pédagogiques'!$C$4&lt;&gt;"?",'Choix pédagogiques'!$C$5&lt;&gt;"?",AD720&lt;&gt;""),(AD720-'Choix pédagogiques'!$C$4)/('Choix pédagogiques'!$C$5-'Choix pédagogiques'!$C$4),"")</f>
        <v/>
      </c>
      <c r="AZ720" s="22" t="str">
        <f t="shared" si="522"/>
        <v/>
      </c>
      <c r="BA720" s="21" t="str">
        <f t="shared" si="523"/>
        <v>Apprenant 708</v>
      </c>
      <c r="BB720" s="49" t="str">
        <f t="shared" si="495"/>
        <v/>
      </c>
      <c r="BC720" s="49" t="str">
        <f t="shared" si="496"/>
        <v/>
      </c>
      <c r="BD720" s="49" t="str">
        <f t="shared" si="497"/>
        <v/>
      </c>
      <c r="BE720" s="22" t="str">
        <f t="shared" si="524"/>
        <v/>
      </c>
      <c r="BF720" s="21" t="str">
        <f t="shared" si="525"/>
        <v>Apprenant 708 ou 708'</v>
      </c>
      <c r="BG720" s="49" t="str">
        <f t="shared" si="498"/>
        <v/>
      </c>
      <c r="BH720" s="49" t="str">
        <f t="shared" si="499"/>
        <v/>
      </c>
      <c r="BI720" s="49" t="str">
        <f t="shared" si="500"/>
        <v/>
      </c>
      <c r="BJ720" s="22" t="str">
        <f t="shared" si="526"/>
        <v/>
      </c>
      <c r="BL720" s="21"/>
      <c r="BM720" s="21" t="str">
        <f>IF(OR(COUNT(B720:D1719)=0,AND('Choix pédagogiques'!$C$3&lt;&gt;1,'Choix pédagogiques'!$C$3&lt;&gt;2)),"",IF(AND(OR('Choix pédagogiques'!$C$3=1,'Choix pédagogiques'!$C$3=2),$B720&lt;&gt;"",$C720&lt;&gt;"",$D720&lt;&gt;""),1,0))</f>
        <v/>
      </c>
      <c r="BN720" s="21" t="str">
        <f>IF(OR(COUNT(G720:I1719)=0,AND('Choix pédagogiques'!$C$3&lt;&gt;1,'Choix pédagogiques'!$C$3&lt;&gt;2)),"",IF(AND(OR('Choix pédagogiques'!$C$3=1,'Choix pédagogiques'!$C$3=2),AND($G720&lt;&gt;"",$H720&lt;&gt;"",$I720&lt;&gt;"")),1,0))</f>
        <v/>
      </c>
      <c r="BO720" s="21" t="str">
        <f>IF(OR(COUNT(B720:D1719)=0,COUNT(G720:I1719)=0,'Choix pédagogiques'!C$3&lt;&gt;3),"",IF(AND('Choix pédagogiques'!$C$3=3,$B720&lt;&gt;"",$C720&lt;&gt;"",$D720&lt;&gt;"",$G720&lt;&gt;"",$H720&lt;&gt;"",$I720&lt;&gt;""),1,0))</f>
        <v/>
      </c>
      <c r="BR720" s="21">
        <v>203</v>
      </c>
      <c r="BS720" s="21">
        <v>1256</v>
      </c>
      <c r="BT720"/>
    </row>
    <row r="721" spans="1:72" s="23" customFormat="1" ht="18" customHeight="1" x14ac:dyDescent="0.3">
      <c r="A721" s="35" t="s">
        <v>711</v>
      </c>
      <c r="B721" s="37"/>
      <c r="C721" s="37"/>
      <c r="D721" s="37"/>
      <c r="E721" s="37"/>
      <c r="F721" s="35" t="s">
        <v>1719</v>
      </c>
      <c r="G721" s="37"/>
      <c r="H721" s="37"/>
      <c r="I721" s="37"/>
      <c r="J721" s="37"/>
      <c r="K721" s="21" t="str">
        <f t="shared" si="501"/>
        <v>Apprenant 709</v>
      </c>
      <c r="L721" s="22" t="str">
        <f t="shared" si="502"/>
        <v/>
      </c>
      <c r="M721" s="22" t="str">
        <f t="shared" si="503"/>
        <v/>
      </c>
      <c r="N721" s="22" t="str">
        <f t="shared" si="504"/>
        <v/>
      </c>
      <c r="O721" s="22" t="str">
        <f t="shared" si="505"/>
        <v/>
      </c>
      <c r="P721" s="21" t="str">
        <f t="shared" si="506"/>
        <v>Apprenant 709 ou 709'</v>
      </c>
      <c r="Q721" s="22" t="str">
        <f t="shared" si="507"/>
        <v/>
      </c>
      <c r="R721" s="22" t="str">
        <f t="shared" si="508"/>
        <v/>
      </c>
      <c r="S721" s="22" t="str">
        <f t="shared" si="509"/>
        <v/>
      </c>
      <c r="T721" s="22" t="str">
        <f t="shared" si="510"/>
        <v/>
      </c>
      <c r="V721" s="21" t="str">
        <f t="shared" si="511"/>
        <v>Apprenant 709</v>
      </c>
      <c r="W721" s="22" t="str">
        <f>IF(AND(OR('Choix pédagogiques'!$C$3=1,'Choix pédagogiques'!$C$3=2),$BM721=1),B721,IF(AND('Choix pédagogiques'!$C$3=3,$BO721=1),B721,""))</f>
        <v/>
      </c>
      <c r="X721" s="22" t="str">
        <f>IF(AND(OR('Choix pédagogiques'!$C$3=1,'Choix pédagogiques'!$C$3=2),$BM721=1),C721,IF(AND('Choix pédagogiques'!$C$3=3,$BO721=1),C721,""))</f>
        <v/>
      </c>
      <c r="Y721" s="22" t="str">
        <f>IF(AND(OR('Choix pédagogiques'!$C$3=1,'Choix pédagogiques'!$C$3=2),$BM721=1),D721,IF(AND('Choix pédagogiques'!$C$3=3,$BO721=1),D721,""))</f>
        <v/>
      </c>
      <c r="Z721" s="22" t="str">
        <f t="shared" si="512"/>
        <v/>
      </c>
      <c r="AA721" s="21" t="str">
        <f t="shared" si="513"/>
        <v>Apprenant 709 ou 709'</v>
      </c>
      <c r="AB721" s="22" t="str">
        <f>IF(AND(OR('Choix pédagogiques'!$C$3=1,'Choix pédagogiques'!$C$3=2),$BN721=1),G721,IF(AND('Choix pédagogiques'!$C$3=3,$BO721=1),G721,""))</f>
        <v/>
      </c>
      <c r="AC721" s="22" t="str">
        <f>IF(AND(OR('Choix pédagogiques'!$C$3=1,'Choix pédagogiques'!$C$3=2),$BN721=1),H721,IF(AND('Choix pédagogiques'!$C$3=3,$BO721=1),H721,""))</f>
        <v/>
      </c>
      <c r="AD721" s="22" t="str">
        <f>IF(AND(OR('Choix pédagogiques'!$C$3=1,'Choix pédagogiques'!$C$3=2),$BN721=1),I721,IF(AND('Choix pédagogiques'!$C$3=3,$BO721=1),I721,""))</f>
        <v/>
      </c>
      <c r="AE721" s="22" t="str">
        <f t="shared" si="514"/>
        <v/>
      </c>
      <c r="AF721" s="21" t="str">
        <f t="shared" si="515"/>
        <v>Apprenant 709</v>
      </c>
      <c r="AG721" s="22" t="str">
        <f t="shared" si="489"/>
        <v/>
      </c>
      <c r="AH721" s="22" t="str">
        <f t="shared" si="490"/>
        <v/>
      </c>
      <c r="AI721" s="22" t="str">
        <f t="shared" si="491"/>
        <v/>
      </c>
      <c r="AJ721" s="22" t="str">
        <f t="shared" si="516"/>
        <v/>
      </c>
      <c r="AK721" s="21" t="str">
        <f t="shared" si="517"/>
        <v>Apprenant 709 ou 709'</v>
      </c>
      <c r="AL721" s="22" t="str">
        <f t="shared" si="492"/>
        <v/>
      </c>
      <c r="AM721" s="22" t="str">
        <f t="shared" si="493"/>
        <v/>
      </c>
      <c r="AN721" s="22" t="str">
        <f t="shared" si="494"/>
        <v/>
      </c>
      <c r="AO721" s="22" t="str">
        <f t="shared" si="518"/>
        <v/>
      </c>
      <c r="AQ721" s="21" t="str">
        <f t="shared" si="519"/>
        <v>Apprenant 709</v>
      </c>
      <c r="AR721" s="49" t="str">
        <f>IF(AND('Choix pédagogiques'!$C$4&lt;&gt;"?",'Choix pédagogiques'!$C$5&lt;&gt;"?",W721&lt;&gt;""),(W721-'Choix pédagogiques'!$C$4)/('Choix pédagogiques'!$C$5-'Choix pédagogiques'!$C$4),"")</f>
        <v/>
      </c>
      <c r="AS721" s="49" t="str">
        <f>IF(AND('Choix pédagogiques'!$C$4&lt;&gt;"?",'Choix pédagogiques'!$C$5&lt;&gt;"?",X721&lt;&gt;""),(X721-'Choix pédagogiques'!$C$4)/('Choix pédagogiques'!$C$5-'Choix pédagogiques'!$C$4),"")</f>
        <v/>
      </c>
      <c r="AT721" s="49" t="str">
        <f>IF(AND('Choix pédagogiques'!$C$4&lt;&gt;"?",'Choix pédagogiques'!$C$5&lt;&gt;"?",Y721&lt;&gt;""),(Y721-'Choix pédagogiques'!$C$4)/('Choix pédagogiques'!$C$5-'Choix pédagogiques'!$C$4),"")</f>
        <v/>
      </c>
      <c r="AU721" s="22" t="str">
        <f t="shared" si="520"/>
        <v/>
      </c>
      <c r="AV721" s="21" t="str">
        <f t="shared" si="521"/>
        <v>Apprenant 709 ou 709'</v>
      </c>
      <c r="AW721" s="49" t="str">
        <f>IF(AND('Choix pédagogiques'!$C$4&lt;&gt;"?",'Choix pédagogiques'!$C$5&lt;&gt;"?",AB721&lt;&gt;""),(AB721-'Choix pédagogiques'!$C$4)/('Choix pédagogiques'!$C$5-'Choix pédagogiques'!$C$4),"")</f>
        <v/>
      </c>
      <c r="AX721" s="49" t="str">
        <f>IF(AND('Choix pédagogiques'!$C$4&lt;&gt;"?",'Choix pédagogiques'!$C$5&lt;&gt;"?",AC721&lt;&gt;""),(AC721-'Choix pédagogiques'!$C$4)/('Choix pédagogiques'!$C$5-'Choix pédagogiques'!$C$4),"")</f>
        <v/>
      </c>
      <c r="AY721" s="49" t="str">
        <f>IF(AND('Choix pédagogiques'!$C$4&lt;&gt;"?",'Choix pédagogiques'!$C$5&lt;&gt;"?",AD721&lt;&gt;""),(AD721-'Choix pédagogiques'!$C$4)/('Choix pédagogiques'!$C$5-'Choix pédagogiques'!$C$4),"")</f>
        <v/>
      </c>
      <c r="AZ721" s="22" t="str">
        <f t="shared" si="522"/>
        <v/>
      </c>
      <c r="BA721" s="21" t="str">
        <f t="shared" si="523"/>
        <v>Apprenant 709</v>
      </c>
      <c r="BB721" s="49" t="str">
        <f t="shared" si="495"/>
        <v/>
      </c>
      <c r="BC721" s="49" t="str">
        <f t="shared" si="496"/>
        <v/>
      </c>
      <c r="BD721" s="49" t="str">
        <f t="shared" si="497"/>
        <v/>
      </c>
      <c r="BE721" s="22" t="str">
        <f t="shared" si="524"/>
        <v/>
      </c>
      <c r="BF721" s="21" t="str">
        <f t="shared" si="525"/>
        <v>Apprenant 709 ou 709'</v>
      </c>
      <c r="BG721" s="49" t="str">
        <f t="shared" si="498"/>
        <v/>
      </c>
      <c r="BH721" s="49" t="str">
        <f t="shared" si="499"/>
        <v/>
      </c>
      <c r="BI721" s="49" t="str">
        <f t="shared" si="500"/>
        <v/>
      </c>
      <c r="BJ721" s="22" t="str">
        <f t="shared" si="526"/>
        <v/>
      </c>
      <c r="BL721" s="21"/>
      <c r="BM721" s="21" t="str">
        <f>IF(OR(COUNT(B721:D1720)=0,AND('Choix pédagogiques'!$C$3&lt;&gt;1,'Choix pédagogiques'!$C$3&lt;&gt;2)),"",IF(AND(OR('Choix pédagogiques'!$C$3=1,'Choix pédagogiques'!$C$3=2),$B721&lt;&gt;"",$C721&lt;&gt;"",$D721&lt;&gt;""),1,0))</f>
        <v/>
      </c>
      <c r="BN721" s="21" t="str">
        <f>IF(OR(COUNT(G721:I1720)=0,AND('Choix pédagogiques'!$C$3&lt;&gt;1,'Choix pédagogiques'!$C$3&lt;&gt;2)),"",IF(AND(OR('Choix pédagogiques'!$C$3=1,'Choix pédagogiques'!$C$3=2),AND($G721&lt;&gt;"",$H721&lt;&gt;"",$I721&lt;&gt;"")),1,0))</f>
        <v/>
      </c>
      <c r="BO721" s="21" t="str">
        <f>IF(OR(COUNT(B721:D1720)=0,COUNT(G721:I1720)=0,'Choix pédagogiques'!C$3&lt;&gt;3),"",IF(AND('Choix pédagogiques'!$C$3=3,$B721&lt;&gt;"",$C721&lt;&gt;"",$D721&lt;&gt;"",$G721&lt;&gt;"",$H721&lt;&gt;"",$I721&lt;&gt;""),1,0))</f>
        <v/>
      </c>
      <c r="BR721" s="21">
        <v>816</v>
      </c>
      <c r="BS721" s="21">
        <v>1892</v>
      </c>
      <c r="BT721"/>
    </row>
    <row r="722" spans="1:72" s="23" customFormat="1" ht="18" customHeight="1" x14ac:dyDescent="0.3">
      <c r="A722" s="35" t="s">
        <v>712</v>
      </c>
      <c r="B722" s="37"/>
      <c r="C722" s="37"/>
      <c r="D722" s="37"/>
      <c r="E722" s="37"/>
      <c r="F722" s="35" t="s">
        <v>1720</v>
      </c>
      <c r="G722" s="37"/>
      <c r="H722" s="37"/>
      <c r="I722" s="37"/>
      <c r="J722" s="37"/>
      <c r="K722" s="21" t="str">
        <f t="shared" si="501"/>
        <v>Apprenant 710</v>
      </c>
      <c r="L722" s="22" t="str">
        <f t="shared" si="502"/>
        <v/>
      </c>
      <c r="M722" s="22" t="str">
        <f t="shared" si="503"/>
        <v/>
      </c>
      <c r="N722" s="22" t="str">
        <f t="shared" si="504"/>
        <v/>
      </c>
      <c r="O722" s="22" t="str">
        <f t="shared" si="505"/>
        <v/>
      </c>
      <c r="P722" s="21" t="str">
        <f t="shared" si="506"/>
        <v>Apprenant 710 ou 710'</v>
      </c>
      <c r="Q722" s="22" t="str">
        <f t="shared" si="507"/>
        <v/>
      </c>
      <c r="R722" s="22" t="str">
        <f t="shared" si="508"/>
        <v/>
      </c>
      <c r="S722" s="22" t="str">
        <f t="shared" si="509"/>
        <v/>
      </c>
      <c r="T722" s="22" t="str">
        <f t="shared" si="510"/>
        <v/>
      </c>
      <c r="V722" s="21" t="str">
        <f t="shared" si="511"/>
        <v>Apprenant 710</v>
      </c>
      <c r="W722" s="22" t="str">
        <f>IF(AND(OR('Choix pédagogiques'!$C$3=1,'Choix pédagogiques'!$C$3=2),$BM722=1),B722,IF(AND('Choix pédagogiques'!$C$3=3,$BO722=1),B722,""))</f>
        <v/>
      </c>
      <c r="X722" s="22" t="str">
        <f>IF(AND(OR('Choix pédagogiques'!$C$3=1,'Choix pédagogiques'!$C$3=2),$BM722=1),C722,IF(AND('Choix pédagogiques'!$C$3=3,$BO722=1),C722,""))</f>
        <v/>
      </c>
      <c r="Y722" s="22" t="str">
        <f>IF(AND(OR('Choix pédagogiques'!$C$3=1,'Choix pédagogiques'!$C$3=2),$BM722=1),D722,IF(AND('Choix pédagogiques'!$C$3=3,$BO722=1),D722,""))</f>
        <v/>
      </c>
      <c r="Z722" s="22" t="str">
        <f t="shared" si="512"/>
        <v/>
      </c>
      <c r="AA722" s="21" t="str">
        <f t="shared" si="513"/>
        <v>Apprenant 710 ou 710'</v>
      </c>
      <c r="AB722" s="22" t="str">
        <f>IF(AND(OR('Choix pédagogiques'!$C$3=1,'Choix pédagogiques'!$C$3=2),$BN722=1),G722,IF(AND('Choix pédagogiques'!$C$3=3,$BO722=1),G722,""))</f>
        <v/>
      </c>
      <c r="AC722" s="22" t="str">
        <f>IF(AND(OR('Choix pédagogiques'!$C$3=1,'Choix pédagogiques'!$C$3=2),$BN722=1),H722,IF(AND('Choix pédagogiques'!$C$3=3,$BO722=1),H722,""))</f>
        <v/>
      </c>
      <c r="AD722" s="22" t="str">
        <f>IF(AND(OR('Choix pédagogiques'!$C$3=1,'Choix pédagogiques'!$C$3=2),$BN722=1),I722,IF(AND('Choix pédagogiques'!$C$3=3,$BO722=1),I722,""))</f>
        <v/>
      </c>
      <c r="AE722" s="22" t="str">
        <f t="shared" si="514"/>
        <v/>
      </c>
      <c r="AF722" s="21" t="str">
        <f t="shared" si="515"/>
        <v>Apprenant 710</v>
      </c>
      <c r="AG722" s="22" t="str">
        <f t="shared" si="489"/>
        <v/>
      </c>
      <c r="AH722" s="22" t="str">
        <f t="shared" si="490"/>
        <v/>
      </c>
      <c r="AI722" s="22" t="str">
        <f t="shared" si="491"/>
        <v/>
      </c>
      <c r="AJ722" s="22" t="str">
        <f t="shared" si="516"/>
        <v/>
      </c>
      <c r="AK722" s="21" t="str">
        <f t="shared" si="517"/>
        <v>Apprenant 710 ou 710'</v>
      </c>
      <c r="AL722" s="22" t="str">
        <f t="shared" si="492"/>
        <v/>
      </c>
      <c r="AM722" s="22" t="str">
        <f t="shared" si="493"/>
        <v/>
      </c>
      <c r="AN722" s="22" t="str">
        <f t="shared" si="494"/>
        <v/>
      </c>
      <c r="AO722" s="22" t="str">
        <f t="shared" si="518"/>
        <v/>
      </c>
      <c r="AQ722" s="21" t="str">
        <f t="shared" si="519"/>
        <v>Apprenant 710</v>
      </c>
      <c r="AR722" s="49" t="str">
        <f>IF(AND('Choix pédagogiques'!$C$4&lt;&gt;"?",'Choix pédagogiques'!$C$5&lt;&gt;"?",W722&lt;&gt;""),(W722-'Choix pédagogiques'!$C$4)/('Choix pédagogiques'!$C$5-'Choix pédagogiques'!$C$4),"")</f>
        <v/>
      </c>
      <c r="AS722" s="49" t="str">
        <f>IF(AND('Choix pédagogiques'!$C$4&lt;&gt;"?",'Choix pédagogiques'!$C$5&lt;&gt;"?",X722&lt;&gt;""),(X722-'Choix pédagogiques'!$C$4)/('Choix pédagogiques'!$C$5-'Choix pédagogiques'!$C$4),"")</f>
        <v/>
      </c>
      <c r="AT722" s="49" t="str">
        <f>IF(AND('Choix pédagogiques'!$C$4&lt;&gt;"?",'Choix pédagogiques'!$C$5&lt;&gt;"?",Y722&lt;&gt;""),(Y722-'Choix pédagogiques'!$C$4)/('Choix pédagogiques'!$C$5-'Choix pédagogiques'!$C$4),"")</f>
        <v/>
      </c>
      <c r="AU722" s="22" t="str">
        <f t="shared" si="520"/>
        <v/>
      </c>
      <c r="AV722" s="21" t="str">
        <f t="shared" si="521"/>
        <v>Apprenant 710 ou 710'</v>
      </c>
      <c r="AW722" s="49" t="str">
        <f>IF(AND('Choix pédagogiques'!$C$4&lt;&gt;"?",'Choix pédagogiques'!$C$5&lt;&gt;"?",AB722&lt;&gt;""),(AB722-'Choix pédagogiques'!$C$4)/('Choix pédagogiques'!$C$5-'Choix pédagogiques'!$C$4),"")</f>
        <v/>
      </c>
      <c r="AX722" s="49" t="str">
        <f>IF(AND('Choix pédagogiques'!$C$4&lt;&gt;"?",'Choix pédagogiques'!$C$5&lt;&gt;"?",AC722&lt;&gt;""),(AC722-'Choix pédagogiques'!$C$4)/('Choix pédagogiques'!$C$5-'Choix pédagogiques'!$C$4),"")</f>
        <v/>
      </c>
      <c r="AY722" s="49" t="str">
        <f>IF(AND('Choix pédagogiques'!$C$4&lt;&gt;"?",'Choix pédagogiques'!$C$5&lt;&gt;"?",AD722&lt;&gt;""),(AD722-'Choix pédagogiques'!$C$4)/('Choix pédagogiques'!$C$5-'Choix pédagogiques'!$C$4),"")</f>
        <v/>
      </c>
      <c r="AZ722" s="22" t="str">
        <f t="shared" si="522"/>
        <v/>
      </c>
      <c r="BA722" s="21" t="str">
        <f t="shared" si="523"/>
        <v>Apprenant 710</v>
      </c>
      <c r="BB722" s="49" t="str">
        <f t="shared" si="495"/>
        <v/>
      </c>
      <c r="BC722" s="49" t="str">
        <f t="shared" si="496"/>
        <v/>
      </c>
      <c r="BD722" s="49" t="str">
        <f t="shared" si="497"/>
        <v/>
      </c>
      <c r="BE722" s="22" t="str">
        <f t="shared" si="524"/>
        <v/>
      </c>
      <c r="BF722" s="21" t="str">
        <f t="shared" si="525"/>
        <v>Apprenant 710 ou 710'</v>
      </c>
      <c r="BG722" s="49" t="str">
        <f t="shared" si="498"/>
        <v/>
      </c>
      <c r="BH722" s="49" t="str">
        <f t="shared" si="499"/>
        <v/>
      </c>
      <c r="BI722" s="49" t="str">
        <f t="shared" si="500"/>
        <v/>
      </c>
      <c r="BJ722" s="22" t="str">
        <f t="shared" si="526"/>
        <v/>
      </c>
      <c r="BL722" s="21"/>
      <c r="BM722" s="21" t="str">
        <f>IF(OR(COUNT(B722:D1721)=0,AND('Choix pédagogiques'!$C$3&lt;&gt;1,'Choix pédagogiques'!$C$3&lt;&gt;2)),"",IF(AND(OR('Choix pédagogiques'!$C$3=1,'Choix pédagogiques'!$C$3=2),$B722&lt;&gt;"",$C722&lt;&gt;"",$D722&lt;&gt;""),1,0))</f>
        <v/>
      </c>
      <c r="BN722" s="21" t="str">
        <f>IF(OR(COUNT(G722:I1721)=0,AND('Choix pédagogiques'!$C$3&lt;&gt;1,'Choix pédagogiques'!$C$3&lt;&gt;2)),"",IF(AND(OR('Choix pédagogiques'!$C$3=1,'Choix pédagogiques'!$C$3=2),AND($G722&lt;&gt;"",$H722&lt;&gt;"",$I722&lt;&gt;"")),1,0))</f>
        <v/>
      </c>
      <c r="BO722" s="21" t="str">
        <f>IF(OR(COUNT(B722:D1721)=0,COUNT(G722:I1721)=0,'Choix pédagogiques'!C$3&lt;&gt;3),"",IF(AND('Choix pédagogiques'!$C$3=3,$B722&lt;&gt;"",$C722&lt;&gt;"",$D722&lt;&gt;"",$G722&lt;&gt;"",$H722&lt;&gt;"",$I722&lt;&gt;""),1,0))</f>
        <v/>
      </c>
      <c r="BR722" s="21">
        <v>312</v>
      </c>
      <c r="BS722" s="21">
        <v>1997</v>
      </c>
      <c r="BT722"/>
    </row>
    <row r="723" spans="1:72" s="23" customFormat="1" ht="18" customHeight="1" x14ac:dyDescent="0.3">
      <c r="A723" s="35" t="s">
        <v>713</v>
      </c>
      <c r="B723" s="37"/>
      <c r="C723" s="37"/>
      <c r="D723" s="37"/>
      <c r="E723" s="37"/>
      <c r="F723" s="35" t="s">
        <v>1721</v>
      </c>
      <c r="G723" s="37"/>
      <c r="H723" s="37"/>
      <c r="I723" s="37"/>
      <c r="J723" s="37"/>
      <c r="K723" s="21" t="str">
        <f t="shared" si="501"/>
        <v>Apprenant 711</v>
      </c>
      <c r="L723" s="22" t="str">
        <f t="shared" si="502"/>
        <v/>
      </c>
      <c r="M723" s="22" t="str">
        <f t="shared" si="503"/>
        <v/>
      </c>
      <c r="N723" s="22" t="str">
        <f t="shared" si="504"/>
        <v/>
      </c>
      <c r="O723" s="22" t="str">
        <f t="shared" si="505"/>
        <v/>
      </c>
      <c r="P723" s="21" t="str">
        <f t="shared" si="506"/>
        <v>Apprenant 711 ou 711'</v>
      </c>
      <c r="Q723" s="22" t="str">
        <f t="shared" si="507"/>
        <v/>
      </c>
      <c r="R723" s="22" t="str">
        <f t="shared" si="508"/>
        <v/>
      </c>
      <c r="S723" s="22" t="str">
        <f t="shared" si="509"/>
        <v/>
      </c>
      <c r="T723" s="22" t="str">
        <f t="shared" si="510"/>
        <v/>
      </c>
      <c r="V723" s="21" t="str">
        <f t="shared" si="511"/>
        <v>Apprenant 711</v>
      </c>
      <c r="W723" s="22" t="str">
        <f>IF(AND(OR('Choix pédagogiques'!$C$3=1,'Choix pédagogiques'!$C$3=2),$BM723=1),B723,IF(AND('Choix pédagogiques'!$C$3=3,$BO723=1),B723,""))</f>
        <v/>
      </c>
      <c r="X723" s="22" t="str">
        <f>IF(AND(OR('Choix pédagogiques'!$C$3=1,'Choix pédagogiques'!$C$3=2),$BM723=1),C723,IF(AND('Choix pédagogiques'!$C$3=3,$BO723=1),C723,""))</f>
        <v/>
      </c>
      <c r="Y723" s="22" t="str">
        <f>IF(AND(OR('Choix pédagogiques'!$C$3=1,'Choix pédagogiques'!$C$3=2),$BM723=1),D723,IF(AND('Choix pédagogiques'!$C$3=3,$BO723=1),D723,""))</f>
        <v/>
      </c>
      <c r="Z723" s="22" t="str">
        <f t="shared" si="512"/>
        <v/>
      </c>
      <c r="AA723" s="21" t="str">
        <f t="shared" si="513"/>
        <v>Apprenant 711 ou 711'</v>
      </c>
      <c r="AB723" s="22" t="str">
        <f>IF(AND(OR('Choix pédagogiques'!$C$3=1,'Choix pédagogiques'!$C$3=2),$BN723=1),G723,IF(AND('Choix pédagogiques'!$C$3=3,$BO723=1),G723,""))</f>
        <v/>
      </c>
      <c r="AC723" s="22" t="str">
        <f>IF(AND(OR('Choix pédagogiques'!$C$3=1,'Choix pédagogiques'!$C$3=2),$BN723=1),H723,IF(AND('Choix pédagogiques'!$C$3=3,$BO723=1),H723,""))</f>
        <v/>
      </c>
      <c r="AD723" s="22" t="str">
        <f>IF(AND(OR('Choix pédagogiques'!$C$3=1,'Choix pédagogiques'!$C$3=2),$BN723=1),I723,IF(AND('Choix pédagogiques'!$C$3=3,$BO723=1),I723,""))</f>
        <v/>
      </c>
      <c r="AE723" s="22" t="str">
        <f t="shared" si="514"/>
        <v/>
      </c>
      <c r="AF723" s="21" t="str">
        <f t="shared" si="515"/>
        <v>Apprenant 711</v>
      </c>
      <c r="AG723" s="22" t="str">
        <f t="shared" si="489"/>
        <v/>
      </c>
      <c r="AH723" s="22" t="str">
        <f t="shared" si="490"/>
        <v/>
      </c>
      <c r="AI723" s="22" t="str">
        <f t="shared" si="491"/>
        <v/>
      </c>
      <c r="AJ723" s="22" t="str">
        <f t="shared" si="516"/>
        <v/>
      </c>
      <c r="AK723" s="21" t="str">
        <f t="shared" si="517"/>
        <v>Apprenant 711 ou 711'</v>
      </c>
      <c r="AL723" s="22" t="str">
        <f t="shared" si="492"/>
        <v/>
      </c>
      <c r="AM723" s="22" t="str">
        <f t="shared" si="493"/>
        <v/>
      </c>
      <c r="AN723" s="22" t="str">
        <f t="shared" si="494"/>
        <v/>
      </c>
      <c r="AO723" s="22" t="str">
        <f t="shared" si="518"/>
        <v/>
      </c>
      <c r="AQ723" s="21" t="str">
        <f t="shared" si="519"/>
        <v>Apprenant 711</v>
      </c>
      <c r="AR723" s="49" t="str">
        <f>IF(AND('Choix pédagogiques'!$C$4&lt;&gt;"?",'Choix pédagogiques'!$C$5&lt;&gt;"?",W723&lt;&gt;""),(W723-'Choix pédagogiques'!$C$4)/('Choix pédagogiques'!$C$5-'Choix pédagogiques'!$C$4),"")</f>
        <v/>
      </c>
      <c r="AS723" s="49" t="str">
        <f>IF(AND('Choix pédagogiques'!$C$4&lt;&gt;"?",'Choix pédagogiques'!$C$5&lt;&gt;"?",X723&lt;&gt;""),(X723-'Choix pédagogiques'!$C$4)/('Choix pédagogiques'!$C$5-'Choix pédagogiques'!$C$4),"")</f>
        <v/>
      </c>
      <c r="AT723" s="49" t="str">
        <f>IF(AND('Choix pédagogiques'!$C$4&lt;&gt;"?",'Choix pédagogiques'!$C$5&lt;&gt;"?",Y723&lt;&gt;""),(Y723-'Choix pédagogiques'!$C$4)/('Choix pédagogiques'!$C$5-'Choix pédagogiques'!$C$4),"")</f>
        <v/>
      </c>
      <c r="AU723" s="22" t="str">
        <f t="shared" si="520"/>
        <v/>
      </c>
      <c r="AV723" s="21" t="str">
        <f t="shared" si="521"/>
        <v>Apprenant 711 ou 711'</v>
      </c>
      <c r="AW723" s="49" t="str">
        <f>IF(AND('Choix pédagogiques'!$C$4&lt;&gt;"?",'Choix pédagogiques'!$C$5&lt;&gt;"?",AB723&lt;&gt;""),(AB723-'Choix pédagogiques'!$C$4)/('Choix pédagogiques'!$C$5-'Choix pédagogiques'!$C$4),"")</f>
        <v/>
      </c>
      <c r="AX723" s="49" t="str">
        <f>IF(AND('Choix pédagogiques'!$C$4&lt;&gt;"?",'Choix pédagogiques'!$C$5&lt;&gt;"?",AC723&lt;&gt;""),(AC723-'Choix pédagogiques'!$C$4)/('Choix pédagogiques'!$C$5-'Choix pédagogiques'!$C$4),"")</f>
        <v/>
      </c>
      <c r="AY723" s="49" t="str">
        <f>IF(AND('Choix pédagogiques'!$C$4&lt;&gt;"?",'Choix pédagogiques'!$C$5&lt;&gt;"?",AD723&lt;&gt;""),(AD723-'Choix pédagogiques'!$C$4)/('Choix pédagogiques'!$C$5-'Choix pédagogiques'!$C$4),"")</f>
        <v/>
      </c>
      <c r="AZ723" s="22" t="str">
        <f t="shared" si="522"/>
        <v/>
      </c>
      <c r="BA723" s="21" t="str">
        <f t="shared" si="523"/>
        <v>Apprenant 711</v>
      </c>
      <c r="BB723" s="49" t="str">
        <f t="shared" si="495"/>
        <v/>
      </c>
      <c r="BC723" s="49" t="str">
        <f t="shared" si="496"/>
        <v/>
      </c>
      <c r="BD723" s="49" t="str">
        <f t="shared" si="497"/>
        <v/>
      </c>
      <c r="BE723" s="22" t="str">
        <f t="shared" si="524"/>
        <v/>
      </c>
      <c r="BF723" s="21" t="str">
        <f t="shared" si="525"/>
        <v>Apprenant 711 ou 711'</v>
      </c>
      <c r="BG723" s="49" t="str">
        <f t="shared" si="498"/>
        <v/>
      </c>
      <c r="BH723" s="49" t="str">
        <f t="shared" si="499"/>
        <v/>
      </c>
      <c r="BI723" s="49" t="str">
        <f t="shared" si="500"/>
        <v/>
      </c>
      <c r="BJ723" s="22" t="str">
        <f t="shared" si="526"/>
        <v/>
      </c>
      <c r="BL723" s="21"/>
      <c r="BM723" s="21" t="str">
        <f>IF(OR(COUNT(B723:D1722)=0,AND('Choix pédagogiques'!$C$3&lt;&gt;1,'Choix pédagogiques'!$C$3&lt;&gt;2)),"",IF(AND(OR('Choix pédagogiques'!$C$3=1,'Choix pédagogiques'!$C$3=2),$B723&lt;&gt;"",$C723&lt;&gt;"",$D723&lt;&gt;""),1,0))</f>
        <v/>
      </c>
      <c r="BN723" s="21" t="str">
        <f>IF(OR(COUNT(G723:I1722)=0,AND('Choix pédagogiques'!$C$3&lt;&gt;1,'Choix pédagogiques'!$C$3&lt;&gt;2)),"",IF(AND(OR('Choix pédagogiques'!$C$3=1,'Choix pédagogiques'!$C$3=2),AND($G723&lt;&gt;"",$H723&lt;&gt;"",$I723&lt;&gt;"")),1,0))</f>
        <v/>
      </c>
      <c r="BO723" s="21" t="str">
        <f>IF(OR(COUNT(B723:D1722)=0,COUNT(G723:I1722)=0,'Choix pédagogiques'!C$3&lt;&gt;3),"",IF(AND('Choix pédagogiques'!$C$3=3,$B723&lt;&gt;"",$C723&lt;&gt;"",$D723&lt;&gt;"",$G723&lt;&gt;"",$H723&lt;&gt;"",$I723&lt;&gt;""),1,0))</f>
        <v/>
      </c>
      <c r="BR723" s="21">
        <v>971</v>
      </c>
      <c r="BS723" s="21">
        <v>1659</v>
      </c>
      <c r="BT723"/>
    </row>
    <row r="724" spans="1:72" s="23" customFormat="1" ht="18" customHeight="1" x14ac:dyDescent="0.3">
      <c r="A724" s="35" t="s">
        <v>714</v>
      </c>
      <c r="B724" s="37"/>
      <c r="C724" s="37"/>
      <c r="D724" s="37"/>
      <c r="E724" s="37"/>
      <c r="F724" s="35" t="s">
        <v>1722</v>
      </c>
      <c r="G724" s="37"/>
      <c r="H724" s="37"/>
      <c r="I724" s="37"/>
      <c r="J724" s="37"/>
      <c r="K724" s="21" t="str">
        <f t="shared" si="501"/>
        <v>Apprenant 712</v>
      </c>
      <c r="L724" s="22" t="str">
        <f t="shared" si="502"/>
        <v/>
      </c>
      <c r="M724" s="22" t="str">
        <f t="shared" si="503"/>
        <v/>
      </c>
      <c r="N724" s="22" t="str">
        <f t="shared" si="504"/>
        <v/>
      </c>
      <c r="O724" s="22" t="str">
        <f t="shared" si="505"/>
        <v/>
      </c>
      <c r="P724" s="21" t="str">
        <f t="shared" si="506"/>
        <v>Apprenant 712 ou 712'</v>
      </c>
      <c r="Q724" s="22" t="str">
        <f t="shared" si="507"/>
        <v/>
      </c>
      <c r="R724" s="22" t="str">
        <f t="shared" si="508"/>
        <v/>
      </c>
      <c r="S724" s="22" t="str">
        <f t="shared" si="509"/>
        <v/>
      </c>
      <c r="T724" s="22" t="str">
        <f t="shared" si="510"/>
        <v/>
      </c>
      <c r="V724" s="21" t="str">
        <f t="shared" si="511"/>
        <v>Apprenant 712</v>
      </c>
      <c r="W724" s="22" t="str">
        <f>IF(AND(OR('Choix pédagogiques'!$C$3=1,'Choix pédagogiques'!$C$3=2),$BM724=1),B724,IF(AND('Choix pédagogiques'!$C$3=3,$BO724=1),B724,""))</f>
        <v/>
      </c>
      <c r="X724" s="22" t="str">
        <f>IF(AND(OR('Choix pédagogiques'!$C$3=1,'Choix pédagogiques'!$C$3=2),$BM724=1),C724,IF(AND('Choix pédagogiques'!$C$3=3,$BO724=1),C724,""))</f>
        <v/>
      </c>
      <c r="Y724" s="22" t="str">
        <f>IF(AND(OR('Choix pédagogiques'!$C$3=1,'Choix pédagogiques'!$C$3=2),$BM724=1),D724,IF(AND('Choix pédagogiques'!$C$3=3,$BO724=1),D724,""))</f>
        <v/>
      </c>
      <c r="Z724" s="22" t="str">
        <f t="shared" si="512"/>
        <v/>
      </c>
      <c r="AA724" s="21" t="str">
        <f t="shared" si="513"/>
        <v>Apprenant 712 ou 712'</v>
      </c>
      <c r="AB724" s="22" t="str">
        <f>IF(AND(OR('Choix pédagogiques'!$C$3=1,'Choix pédagogiques'!$C$3=2),$BN724=1),G724,IF(AND('Choix pédagogiques'!$C$3=3,$BO724=1),G724,""))</f>
        <v/>
      </c>
      <c r="AC724" s="22" t="str">
        <f>IF(AND(OR('Choix pédagogiques'!$C$3=1,'Choix pédagogiques'!$C$3=2),$BN724=1),H724,IF(AND('Choix pédagogiques'!$C$3=3,$BO724=1),H724,""))</f>
        <v/>
      </c>
      <c r="AD724" s="22" t="str">
        <f>IF(AND(OR('Choix pédagogiques'!$C$3=1,'Choix pédagogiques'!$C$3=2),$BN724=1),I724,IF(AND('Choix pédagogiques'!$C$3=3,$BO724=1),I724,""))</f>
        <v/>
      </c>
      <c r="AE724" s="22" t="str">
        <f t="shared" si="514"/>
        <v/>
      </c>
      <c r="AF724" s="21" t="str">
        <f t="shared" si="515"/>
        <v>Apprenant 712</v>
      </c>
      <c r="AG724" s="22" t="str">
        <f t="shared" si="489"/>
        <v/>
      </c>
      <c r="AH724" s="22" t="str">
        <f t="shared" si="490"/>
        <v/>
      </c>
      <c r="AI724" s="22" t="str">
        <f t="shared" si="491"/>
        <v/>
      </c>
      <c r="AJ724" s="22" t="str">
        <f t="shared" si="516"/>
        <v/>
      </c>
      <c r="AK724" s="21" t="str">
        <f t="shared" si="517"/>
        <v>Apprenant 712 ou 712'</v>
      </c>
      <c r="AL724" s="22" t="str">
        <f t="shared" si="492"/>
        <v/>
      </c>
      <c r="AM724" s="22" t="str">
        <f t="shared" si="493"/>
        <v/>
      </c>
      <c r="AN724" s="22" t="str">
        <f t="shared" si="494"/>
        <v/>
      </c>
      <c r="AO724" s="22" t="str">
        <f t="shared" si="518"/>
        <v/>
      </c>
      <c r="AQ724" s="21" t="str">
        <f t="shared" si="519"/>
        <v>Apprenant 712</v>
      </c>
      <c r="AR724" s="49" t="str">
        <f>IF(AND('Choix pédagogiques'!$C$4&lt;&gt;"?",'Choix pédagogiques'!$C$5&lt;&gt;"?",W724&lt;&gt;""),(W724-'Choix pédagogiques'!$C$4)/('Choix pédagogiques'!$C$5-'Choix pédagogiques'!$C$4),"")</f>
        <v/>
      </c>
      <c r="AS724" s="49" t="str">
        <f>IF(AND('Choix pédagogiques'!$C$4&lt;&gt;"?",'Choix pédagogiques'!$C$5&lt;&gt;"?",X724&lt;&gt;""),(X724-'Choix pédagogiques'!$C$4)/('Choix pédagogiques'!$C$5-'Choix pédagogiques'!$C$4),"")</f>
        <v/>
      </c>
      <c r="AT724" s="49" t="str">
        <f>IF(AND('Choix pédagogiques'!$C$4&lt;&gt;"?",'Choix pédagogiques'!$C$5&lt;&gt;"?",Y724&lt;&gt;""),(Y724-'Choix pédagogiques'!$C$4)/('Choix pédagogiques'!$C$5-'Choix pédagogiques'!$C$4),"")</f>
        <v/>
      </c>
      <c r="AU724" s="22" t="str">
        <f t="shared" si="520"/>
        <v/>
      </c>
      <c r="AV724" s="21" t="str">
        <f t="shared" si="521"/>
        <v>Apprenant 712 ou 712'</v>
      </c>
      <c r="AW724" s="49" t="str">
        <f>IF(AND('Choix pédagogiques'!$C$4&lt;&gt;"?",'Choix pédagogiques'!$C$5&lt;&gt;"?",AB724&lt;&gt;""),(AB724-'Choix pédagogiques'!$C$4)/('Choix pédagogiques'!$C$5-'Choix pédagogiques'!$C$4),"")</f>
        <v/>
      </c>
      <c r="AX724" s="49" t="str">
        <f>IF(AND('Choix pédagogiques'!$C$4&lt;&gt;"?",'Choix pédagogiques'!$C$5&lt;&gt;"?",AC724&lt;&gt;""),(AC724-'Choix pédagogiques'!$C$4)/('Choix pédagogiques'!$C$5-'Choix pédagogiques'!$C$4),"")</f>
        <v/>
      </c>
      <c r="AY724" s="49" t="str">
        <f>IF(AND('Choix pédagogiques'!$C$4&lt;&gt;"?",'Choix pédagogiques'!$C$5&lt;&gt;"?",AD724&lt;&gt;""),(AD724-'Choix pédagogiques'!$C$4)/('Choix pédagogiques'!$C$5-'Choix pédagogiques'!$C$4),"")</f>
        <v/>
      </c>
      <c r="AZ724" s="22" t="str">
        <f t="shared" si="522"/>
        <v/>
      </c>
      <c r="BA724" s="21" t="str">
        <f t="shared" si="523"/>
        <v>Apprenant 712</v>
      </c>
      <c r="BB724" s="49" t="str">
        <f t="shared" si="495"/>
        <v/>
      </c>
      <c r="BC724" s="49" t="str">
        <f t="shared" si="496"/>
        <v/>
      </c>
      <c r="BD724" s="49" t="str">
        <f t="shared" si="497"/>
        <v/>
      </c>
      <c r="BE724" s="22" t="str">
        <f t="shared" si="524"/>
        <v/>
      </c>
      <c r="BF724" s="21" t="str">
        <f t="shared" si="525"/>
        <v>Apprenant 712 ou 712'</v>
      </c>
      <c r="BG724" s="49" t="str">
        <f t="shared" si="498"/>
        <v/>
      </c>
      <c r="BH724" s="49" t="str">
        <f t="shared" si="499"/>
        <v/>
      </c>
      <c r="BI724" s="49" t="str">
        <f t="shared" si="500"/>
        <v/>
      </c>
      <c r="BJ724" s="22" t="str">
        <f t="shared" si="526"/>
        <v/>
      </c>
      <c r="BL724" s="21"/>
      <c r="BM724" s="21" t="str">
        <f>IF(OR(COUNT(B724:D1723)=0,AND('Choix pédagogiques'!$C$3&lt;&gt;1,'Choix pédagogiques'!$C$3&lt;&gt;2)),"",IF(AND(OR('Choix pédagogiques'!$C$3=1,'Choix pédagogiques'!$C$3=2),$B724&lt;&gt;"",$C724&lt;&gt;"",$D724&lt;&gt;""),1,0))</f>
        <v/>
      </c>
      <c r="BN724" s="21" t="str">
        <f>IF(OR(COUNT(G724:I1723)=0,AND('Choix pédagogiques'!$C$3&lt;&gt;1,'Choix pédagogiques'!$C$3&lt;&gt;2)),"",IF(AND(OR('Choix pédagogiques'!$C$3=1,'Choix pédagogiques'!$C$3=2),AND($G724&lt;&gt;"",$H724&lt;&gt;"",$I724&lt;&gt;"")),1,0))</f>
        <v/>
      </c>
      <c r="BO724" s="21" t="str">
        <f>IF(OR(COUNT(B724:D1723)=0,COUNT(G724:I1723)=0,'Choix pédagogiques'!C$3&lt;&gt;3),"",IF(AND('Choix pédagogiques'!$C$3=3,$B724&lt;&gt;"",$C724&lt;&gt;"",$D724&lt;&gt;"",$G724&lt;&gt;"",$H724&lt;&gt;"",$I724&lt;&gt;""),1,0))</f>
        <v/>
      </c>
      <c r="BR724" s="21">
        <v>327</v>
      </c>
      <c r="BS724" s="21">
        <v>1120</v>
      </c>
      <c r="BT724"/>
    </row>
    <row r="725" spans="1:72" s="23" customFormat="1" ht="18" customHeight="1" x14ac:dyDescent="0.3">
      <c r="A725" s="35" t="s">
        <v>715</v>
      </c>
      <c r="B725" s="37"/>
      <c r="C725" s="37"/>
      <c r="D725" s="37"/>
      <c r="E725" s="37"/>
      <c r="F725" s="35" t="s">
        <v>1723</v>
      </c>
      <c r="G725" s="37"/>
      <c r="H725" s="37"/>
      <c r="I725" s="37"/>
      <c r="J725" s="37"/>
      <c r="K725" s="21" t="str">
        <f t="shared" si="501"/>
        <v>Apprenant 713</v>
      </c>
      <c r="L725" s="22" t="str">
        <f t="shared" si="502"/>
        <v/>
      </c>
      <c r="M725" s="22" t="str">
        <f t="shared" si="503"/>
        <v/>
      </c>
      <c r="N725" s="22" t="str">
        <f t="shared" si="504"/>
        <v/>
      </c>
      <c r="O725" s="22" t="str">
        <f t="shared" si="505"/>
        <v/>
      </c>
      <c r="P725" s="21" t="str">
        <f t="shared" si="506"/>
        <v>Apprenant 713 ou 713'</v>
      </c>
      <c r="Q725" s="22" t="str">
        <f t="shared" si="507"/>
        <v/>
      </c>
      <c r="R725" s="22" t="str">
        <f t="shared" si="508"/>
        <v/>
      </c>
      <c r="S725" s="22" t="str">
        <f t="shared" si="509"/>
        <v/>
      </c>
      <c r="T725" s="22" t="str">
        <f t="shared" si="510"/>
        <v/>
      </c>
      <c r="V725" s="21" t="str">
        <f t="shared" si="511"/>
        <v>Apprenant 713</v>
      </c>
      <c r="W725" s="22" t="str">
        <f>IF(AND(OR('Choix pédagogiques'!$C$3=1,'Choix pédagogiques'!$C$3=2),$BM725=1),B725,IF(AND('Choix pédagogiques'!$C$3=3,$BO725=1),B725,""))</f>
        <v/>
      </c>
      <c r="X725" s="22" t="str">
        <f>IF(AND(OR('Choix pédagogiques'!$C$3=1,'Choix pédagogiques'!$C$3=2),$BM725=1),C725,IF(AND('Choix pédagogiques'!$C$3=3,$BO725=1),C725,""))</f>
        <v/>
      </c>
      <c r="Y725" s="22" t="str">
        <f>IF(AND(OR('Choix pédagogiques'!$C$3=1,'Choix pédagogiques'!$C$3=2),$BM725=1),D725,IF(AND('Choix pédagogiques'!$C$3=3,$BO725=1),D725,""))</f>
        <v/>
      </c>
      <c r="Z725" s="22" t="str">
        <f t="shared" si="512"/>
        <v/>
      </c>
      <c r="AA725" s="21" t="str">
        <f t="shared" si="513"/>
        <v>Apprenant 713 ou 713'</v>
      </c>
      <c r="AB725" s="22" t="str">
        <f>IF(AND(OR('Choix pédagogiques'!$C$3=1,'Choix pédagogiques'!$C$3=2),$BN725=1),G725,IF(AND('Choix pédagogiques'!$C$3=3,$BO725=1),G725,""))</f>
        <v/>
      </c>
      <c r="AC725" s="22" t="str">
        <f>IF(AND(OR('Choix pédagogiques'!$C$3=1,'Choix pédagogiques'!$C$3=2),$BN725=1),H725,IF(AND('Choix pédagogiques'!$C$3=3,$BO725=1),H725,""))</f>
        <v/>
      </c>
      <c r="AD725" s="22" t="str">
        <f>IF(AND(OR('Choix pédagogiques'!$C$3=1,'Choix pédagogiques'!$C$3=2),$BN725=1),I725,IF(AND('Choix pédagogiques'!$C$3=3,$BO725=1),I725,""))</f>
        <v/>
      </c>
      <c r="AE725" s="22" t="str">
        <f t="shared" si="514"/>
        <v/>
      </c>
      <c r="AF725" s="21" t="str">
        <f t="shared" si="515"/>
        <v>Apprenant 713</v>
      </c>
      <c r="AG725" s="22" t="str">
        <f t="shared" si="489"/>
        <v/>
      </c>
      <c r="AH725" s="22" t="str">
        <f t="shared" si="490"/>
        <v/>
      </c>
      <c r="AI725" s="22" t="str">
        <f t="shared" si="491"/>
        <v/>
      </c>
      <c r="AJ725" s="22" t="str">
        <f t="shared" si="516"/>
        <v/>
      </c>
      <c r="AK725" s="21" t="str">
        <f t="shared" si="517"/>
        <v>Apprenant 713 ou 713'</v>
      </c>
      <c r="AL725" s="22" t="str">
        <f t="shared" si="492"/>
        <v/>
      </c>
      <c r="AM725" s="22" t="str">
        <f t="shared" si="493"/>
        <v/>
      </c>
      <c r="AN725" s="22" t="str">
        <f t="shared" si="494"/>
        <v/>
      </c>
      <c r="AO725" s="22" t="str">
        <f t="shared" si="518"/>
        <v/>
      </c>
      <c r="AQ725" s="21" t="str">
        <f t="shared" si="519"/>
        <v>Apprenant 713</v>
      </c>
      <c r="AR725" s="49" t="str">
        <f>IF(AND('Choix pédagogiques'!$C$4&lt;&gt;"?",'Choix pédagogiques'!$C$5&lt;&gt;"?",W725&lt;&gt;""),(W725-'Choix pédagogiques'!$C$4)/('Choix pédagogiques'!$C$5-'Choix pédagogiques'!$C$4),"")</f>
        <v/>
      </c>
      <c r="AS725" s="49" t="str">
        <f>IF(AND('Choix pédagogiques'!$C$4&lt;&gt;"?",'Choix pédagogiques'!$C$5&lt;&gt;"?",X725&lt;&gt;""),(X725-'Choix pédagogiques'!$C$4)/('Choix pédagogiques'!$C$5-'Choix pédagogiques'!$C$4),"")</f>
        <v/>
      </c>
      <c r="AT725" s="49" t="str">
        <f>IF(AND('Choix pédagogiques'!$C$4&lt;&gt;"?",'Choix pédagogiques'!$C$5&lt;&gt;"?",Y725&lt;&gt;""),(Y725-'Choix pédagogiques'!$C$4)/('Choix pédagogiques'!$C$5-'Choix pédagogiques'!$C$4),"")</f>
        <v/>
      </c>
      <c r="AU725" s="22" t="str">
        <f t="shared" si="520"/>
        <v/>
      </c>
      <c r="AV725" s="21" t="str">
        <f t="shared" si="521"/>
        <v>Apprenant 713 ou 713'</v>
      </c>
      <c r="AW725" s="49" t="str">
        <f>IF(AND('Choix pédagogiques'!$C$4&lt;&gt;"?",'Choix pédagogiques'!$C$5&lt;&gt;"?",AB725&lt;&gt;""),(AB725-'Choix pédagogiques'!$C$4)/('Choix pédagogiques'!$C$5-'Choix pédagogiques'!$C$4),"")</f>
        <v/>
      </c>
      <c r="AX725" s="49" t="str">
        <f>IF(AND('Choix pédagogiques'!$C$4&lt;&gt;"?",'Choix pédagogiques'!$C$5&lt;&gt;"?",AC725&lt;&gt;""),(AC725-'Choix pédagogiques'!$C$4)/('Choix pédagogiques'!$C$5-'Choix pédagogiques'!$C$4),"")</f>
        <v/>
      </c>
      <c r="AY725" s="49" t="str">
        <f>IF(AND('Choix pédagogiques'!$C$4&lt;&gt;"?",'Choix pédagogiques'!$C$5&lt;&gt;"?",AD725&lt;&gt;""),(AD725-'Choix pédagogiques'!$C$4)/('Choix pédagogiques'!$C$5-'Choix pédagogiques'!$C$4),"")</f>
        <v/>
      </c>
      <c r="AZ725" s="22" t="str">
        <f t="shared" si="522"/>
        <v/>
      </c>
      <c r="BA725" s="21" t="str">
        <f t="shared" si="523"/>
        <v>Apprenant 713</v>
      </c>
      <c r="BB725" s="49" t="str">
        <f t="shared" si="495"/>
        <v/>
      </c>
      <c r="BC725" s="49" t="str">
        <f t="shared" si="496"/>
        <v/>
      </c>
      <c r="BD725" s="49" t="str">
        <f t="shared" si="497"/>
        <v/>
      </c>
      <c r="BE725" s="22" t="str">
        <f t="shared" si="524"/>
        <v/>
      </c>
      <c r="BF725" s="21" t="str">
        <f t="shared" si="525"/>
        <v>Apprenant 713 ou 713'</v>
      </c>
      <c r="BG725" s="49" t="str">
        <f t="shared" si="498"/>
        <v/>
      </c>
      <c r="BH725" s="49" t="str">
        <f t="shared" si="499"/>
        <v/>
      </c>
      <c r="BI725" s="49" t="str">
        <f t="shared" si="500"/>
        <v/>
      </c>
      <c r="BJ725" s="22" t="str">
        <f t="shared" si="526"/>
        <v/>
      </c>
      <c r="BL725" s="21"/>
      <c r="BM725" s="21" t="str">
        <f>IF(OR(COUNT(B725:D1724)=0,AND('Choix pédagogiques'!$C$3&lt;&gt;1,'Choix pédagogiques'!$C$3&lt;&gt;2)),"",IF(AND(OR('Choix pédagogiques'!$C$3=1,'Choix pédagogiques'!$C$3=2),$B725&lt;&gt;"",$C725&lt;&gt;"",$D725&lt;&gt;""),1,0))</f>
        <v/>
      </c>
      <c r="BN725" s="21" t="str">
        <f>IF(OR(COUNT(G725:I1724)=0,AND('Choix pédagogiques'!$C$3&lt;&gt;1,'Choix pédagogiques'!$C$3&lt;&gt;2)),"",IF(AND(OR('Choix pédagogiques'!$C$3=1,'Choix pédagogiques'!$C$3=2),AND($G725&lt;&gt;"",$H725&lt;&gt;"",$I725&lt;&gt;"")),1,0))</f>
        <v/>
      </c>
      <c r="BO725" s="21" t="str">
        <f>IF(OR(COUNT(B725:D1724)=0,COUNT(G725:I1724)=0,'Choix pédagogiques'!C$3&lt;&gt;3),"",IF(AND('Choix pédagogiques'!$C$3=3,$B725&lt;&gt;"",$C725&lt;&gt;"",$D725&lt;&gt;"",$G725&lt;&gt;"",$H725&lt;&gt;"",$I725&lt;&gt;""),1,0))</f>
        <v/>
      </c>
      <c r="BR725" s="21">
        <v>527</v>
      </c>
      <c r="BS725" s="21">
        <v>1247</v>
      </c>
      <c r="BT725"/>
    </row>
    <row r="726" spans="1:72" s="23" customFormat="1" ht="18" customHeight="1" x14ac:dyDescent="0.3">
      <c r="A726" s="35" t="s">
        <v>716</v>
      </c>
      <c r="B726" s="37"/>
      <c r="C726" s="37"/>
      <c r="D726" s="37"/>
      <c r="E726" s="37"/>
      <c r="F726" s="35" t="s">
        <v>1724</v>
      </c>
      <c r="G726" s="37"/>
      <c r="H726" s="37"/>
      <c r="I726" s="37"/>
      <c r="J726" s="37"/>
      <c r="K726" s="21" t="str">
        <f t="shared" si="501"/>
        <v>Apprenant 714</v>
      </c>
      <c r="L726" s="22" t="str">
        <f t="shared" si="502"/>
        <v/>
      </c>
      <c r="M726" s="22" t="str">
        <f t="shared" si="503"/>
        <v/>
      </c>
      <c r="N726" s="22" t="str">
        <f t="shared" si="504"/>
        <v/>
      </c>
      <c r="O726" s="22" t="str">
        <f t="shared" si="505"/>
        <v/>
      </c>
      <c r="P726" s="21" t="str">
        <f t="shared" si="506"/>
        <v>Apprenant 714 ou 714'</v>
      </c>
      <c r="Q726" s="22" t="str">
        <f t="shared" si="507"/>
        <v/>
      </c>
      <c r="R726" s="22" t="str">
        <f t="shared" si="508"/>
        <v/>
      </c>
      <c r="S726" s="22" t="str">
        <f t="shared" si="509"/>
        <v/>
      </c>
      <c r="T726" s="22" t="str">
        <f t="shared" si="510"/>
        <v/>
      </c>
      <c r="V726" s="21" t="str">
        <f t="shared" si="511"/>
        <v>Apprenant 714</v>
      </c>
      <c r="W726" s="22" t="str">
        <f>IF(AND(OR('Choix pédagogiques'!$C$3=1,'Choix pédagogiques'!$C$3=2),$BM726=1),B726,IF(AND('Choix pédagogiques'!$C$3=3,$BO726=1),B726,""))</f>
        <v/>
      </c>
      <c r="X726" s="22" t="str">
        <f>IF(AND(OR('Choix pédagogiques'!$C$3=1,'Choix pédagogiques'!$C$3=2),$BM726=1),C726,IF(AND('Choix pédagogiques'!$C$3=3,$BO726=1),C726,""))</f>
        <v/>
      </c>
      <c r="Y726" s="22" t="str">
        <f>IF(AND(OR('Choix pédagogiques'!$C$3=1,'Choix pédagogiques'!$C$3=2),$BM726=1),D726,IF(AND('Choix pédagogiques'!$C$3=3,$BO726=1),D726,""))</f>
        <v/>
      </c>
      <c r="Z726" s="22" t="str">
        <f t="shared" si="512"/>
        <v/>
      </c>
      <c r="AA726" s="21" t="str">
        <f t="shared" si="513"/>
        <v>Apprenant 714 ou 714'</v>
      </c>
      <c r="AB726" s="22" t="str">
        <f>IF(AND(OR('Choix pédagogiques'!$C$3=1,'Choix pédagogiques'!$C$3=2),$BN726=1),G726,IF(AND('Choix pédagogiques'!$C$3=3,$BO726=1),G726,""))</f>
        <v/>
      </c>
      <c r="AC726" s="22" t="str">
        <f>IF(AND(OR('Choix pédagogiques'!$C$3=1,'Choix pédagogiques'!$C$3=2),$BN726=1),H726,IF(AND('Choix pédagogiques'!$C$3=3,$BO726=1),H726,""))</f>
        <v/>
      </c>
      <c r="AD726" s="22" t="str">
        <f>IF(AND(OR('Choix pédagogiques'!$C$3=1,'Choix pédagogiques'!$C$3=2),$BN726=1),I726,IF(AND('Choix pédagogiques'!$C$3=3,$BO726=1),I726,""))</f>
        <v/>
      </c>
      <c r="AE726" s="22" t="str">
        <f t="shared" si="514"/>
        <v/>
      </c>
      <c r="AF726" s="21" t="str">
        <f t="shared" si="515"/>
        <v>Apprenant 714</v>
      </c>
      <c r="AG726" s="22" t="str">
        <f t="shared" si="489"/>
        <v/>
      </c>
      <c r="AH726" s="22" t="str">
        <f t="shared" si="490"/>
        <v/>
      </c>
      <c r="AI726" s="22" t="str">
        <f t="shared" si="491"/>
        <v/>
      </c>
      <c r="AJ726" s="22" t="str">
        <f t="shared" si="516"/>
        <v/>
      </c>
      <c r="AK726" s="21" t="str">
        <f t="shared" si="517"/>
        <v>Apprenant 714 ou 714'</v>
      </c>
      <c r="AL726" s="22" t="str">
        <f t="shared" si="492"/>
        <v/>
      </c>
      <c r="AM726" s="22" t="str">
        <f t="shared" si="493"/>
        <v/>
      </c>
      <c r="AN726" s="22" t="str">
        <f t="shared" si="494"/>
        <v/>
      </c>
      <c r="AO726" s="22" t="str">
        <f t="shared" si="518"/>
        <v/>
      </c>
      <c r="AQ726" s="21" t="str">
        <f t="shared" si="519"/>
        <v>Apprenant 714</v>
      </c>
      <c r="AR726" s="49" t="str">
        <f>IF(AND('Choix pédagogiques'!$C$4&lt;&gt;"?",'Choix pédagogiques'!$C$5&lt;&gt;"?",W726&lt;&gt;""),(W726-'Choix pédagogiques'!$C$4)/('Choix pédagogiques'!$C$5-'Choix pédagogiques'!$C$4),"")</f>
        <v/>
      </c>
      <c r="AS726" s="49" t="str">
        <f>IF(AND('Choix pédagogiques'!$C$4&lt;&gt;"?",'Choix pédagogiques'!$C$5&lt;&gt;"?",X726&lt;&gt;""),(X726-'Choix pédagogiques'!$C$4)/('Choix pédagogiques'!$C$5-'Choix pédagogiques'!$C$4),"")</f>
        <v/>
      </c>
      <c r="AT726" s="49" t="str">
        <f>IF(AND('Choix pédagogiques'!$C$4&lt;&gt;"?",'Choix pédagogiques'!$C$5&lt;&gt;"?",Y726&lt;&gt;""),(Y726-'Choix pédagogiques'!$C$4)/('Choix pédagogiques'!$C$5-'Choix pédagogiques'!$C$4),"")</f>
        <v/>
      </c>
      <c r="AU726" s="22" t="str">
        <f t="shared" si="520"/>
        <v/>
      </c>
      <c r="AV726" s="21" t="str">
        <f t="shared" si="521"/>
        <v>Apprenant 714 ou 714'</v>
      </c>
      <c r="AW726" s="49" t="str">
        <f>IF(AND('Choix pédagogiques'!$C$4&lt;&gt;"?",'Choix pédagogiques'!$C$5&lt;&gt;"?",AB726&lt;&gt;""),(AB726-'Choix pédagogiques'!$C$4)/('Choix pédagogiques'!$C$5-'Choix pédagogiques'!$C$4),"")</f>
        <v/>
      </c>
      <c r="AX726" s="49" t="str">
        <f>IF(AND('Choix pédagogiques'!$C$4&lt;&gt;"?",'Choix pédagogiques'!$C$5&lt;&gt;"?",AC726&lt;&gt;""),(AC726-'Choix pédagogiques'!$C$4)/('Choix pédagogiques'!$C$5-'Choix pédagogiques'!$C$4),"")</f>
        <v/>
      </c>
      <c r="AY726" s="49" t="str">
        <f>IF(AND('Choix pédagogiques'!$C$4&lt;&gt;"?",'Choix pédagogiques'!$C$5&lt;&gt;"?",AD726&lt;&gt;""),(AD726-'Choix pédagogiques'!$C$4)/('Choix pédagogiques'!$C$5-'Choix pédagogiques'!$C$4),"")</f>
        <v/>
      </c>
      <c r="AZ726" s="22" t="str">
        <f t="shared" si="522"/>
        <v/>
      </c>
      <c r="BA726" s="21" t="str">
        <f t="shared" si="523"/>
        <v>Apprenant 714</v>
      </c>
      <c r="BB726" s="49" t="str">
        <f t="shared" si="495"/>
        <v/>
      </c>
      <c r="BC726" s="49" t="str">
        <f t="shared" si="496"/>
        <v/>
      </c>
      <c r="BD726" s="49" t="str">
        <f t="shared" si="497"/>
        <v/>
      </c>
      <c r="BE726" s="22" t="str">
        <f t="shared" si="524"/>
        <v/>
      </c>
      <c r="BF726" s="21" t="str">
        <f t="shared" si="525"/>
        <v>Apprenant 714 ou 714'</v>
      </c>
      <c r="BG726" s="49" t="str">
        <f t="shared" si="498"/>
        <v/>
      </c>
      <c r="BH726" s="49" t="str">
        <f t="shared" si="499"/>
        <v/>
      </c>
      <c r="BI726" s="49" t="str">
        <f t="shared" si="500"/>
        <v/>
      </c>
      <c r="BJ726" s="22" t="str">
        <f t="shared" si="526"/>
        <v/>
      </c>
      <c r="BL726" s="21"/>
      <c r="BM726" s="21" t="str">
        <f>IF(OR(COUNT(B726:D1725)=0,AND('Choix pédagogiques'!$C$3&lt;&gt;1,'Choix pédagogiques'!$C$3&lt;&gt;2)),"",IF(AND(OR('Choix pédagogiques'!$C$3=1,'Choix pédagogiques'!$C$3=2),$B726&lt;&gt;"",$C726&lt;&gt;"",$D726&lt;&gt;""),1,0))</f>
        <v/>
      </c>
      <c r="BN726" s="21" t="str">
        <f>IF(OR(COUNT(G726:I1725)=0,AND('Choix pédagogiques'!$C$3&lt;&gt;1,'Choix pédagogiques'!$C$3&lt;&gt;2)),"",IF(AND(OR('Choix pédagogiques'!$C$3=1,'Choix pédagogiques'!$C$3=2),AND($G726&lt;&gt;"",$H726&lt;&gt;"",$I726&lt;&gt;"")),1,0))</f>
        <v/>
      </c>
      <c r="BO726" s="21" t="str">
        <f>IF(OR(COUNT(B726:D1725)=0,COUNT(G726:I1725)=0,'Choix pédagogiques'!C$3&lt;&gt;3),"",IF(AND('Choix pédagogiques'!$C$3=3,$B726&lt;&gt;"",$C726&lt;&gt;"",$D726&lt;&gt;"",$G726&lt;&gt;"",$H726&lt;&gt;"",$I726&lt;&gt;""),1,0))</f>
        <v/>
      </c>
      <c r="BR726" s="21">
        <v>702</v>
      </c>
      <c r="BS726" s="21">
        <v>1746</v>
      </c>
      <c r="BT726"/>
    </row>
    <row r="727" spans="1:72" s="23" customFormat="1" ht="18" customHeight="1" x14ac:dyDescent="0.3">
      <c r="A727" s="35" t="s">
        <v>717</v>
      </c>
      <c r="B727" s="37"/>
      <c r="C727" s="37"/>
      <c r="D727" s="37"/>
      <c r="E727" s="37"/>
      <c r="F727" s="35" t="s">
        <v>1725</v>
      </c>
      <c r="G727" s="37"/>
      <c r="H727" s="37"/>
      <c r="I727" s="37"/>
      <c r="J727" s="37"/>
      <c r="K727" s="21" t="str">
        <f t="shared" si="501"/>
        <v>Apprenant 715</v>
      </c>
      <c r="L727" s="22" t="str">
        <f t="shared" si="502"/>
        <v/>
      </c>
      <c r="M727" s="22" t="str">
        <f t="shared" si="503"/>
        <v/>
      </c>
      <c r="N727" s="22" t="str">
        <f t="shared" si="504"/>
        <v/>
      </c>
      <c r="O727" s="22" t="str">
        <f t="shared" si="505"/>
        <v/>
      </c>
      <c r="P727" s="21" t="str">
        <f t="shared" si="506"/>
        <v>Apprenant 715 ou 715'</v>
      </c>
      <c r="Q727" s="22" t="str">
        <f t="shared" si="507"/>
        <v/>
      </c>
      <c r="R727" s="22" t="str">
        <f t="shared" si="508"/>
        <v/>
      </c>
      <c r="S727" s="22" t="str">
        <f t="shared" si="509"/>
        <v/>
      </c>
      <c r="T727" s="22" t="str">
        <f t="shared" si="510"/>
        <v/>
      </c>
      <c r="V727" s="21" t="str">
        <f t="shared" si="511"/>
        <v>Apprenant 715</v>
      </c>
      <c r="W727" s="22" t="str">
        <f>IF(AND(OR('Choix pédagogiques'!$C$3=1,'Choix pédagogiques'!$C$3=2),$BM727=1),B727,IF(AND('Choix pédagogiques'!$C$3=3,$BO727=1),B727,""))</f>
        <v/>
      </c>
      <c r="X727" s="22" t="str">
        <f>IF(AND(OR('Choix pédagogiques'!$C$3=1,'Choix pédagogiques'!$C$3=2),$BM727=1),C727,IF(AND('Choix pédagogiques'!$C$3=3,$BO727=1),C727,""))</f>
        <v/>
      </c>
      <c r="Y727" s="22" t="str">
        <f>IF(AND(OR('Choix pédagogiques'!$C$3=1,'Choix pédagogiques'!$C$3=2),$BM727=1),D727,IF(AND('Choix pédagogiques'!$C$3=3,$BO727=1),D727,""))</f>
        <v/>
      </c>
      <c r="Z727" s="22" t="str">
        <f t="shared" si="512"/>
        <v/>
      </c>
      <c r="AA727" s="21" t="str">
        <f t="shared" si="513"/>
        <v>Apprenant 715 ou 715'</v>
      </c>
      <c r="AB727" s="22" t="str">
        <f>IF(AND(OR('Choix pédagogiques'!$C$3=1,'Choix pédagogiques'!$C$3=2),$BN727=1),G727,IF(AND('Choix pédagogiques'!$C$3=3,$BO727=1),G727,""))</f>
        <v/>
      </c>
      <c r="AC727" s="22" t="str">
        <f>IF(AND(OR('Choix pédagogiques'!$C$3=1,'Choix pédagogiques'!$C$3=2),$BN727=1),H727,IF(AND('Choix pédagogiques'!$C$3=3,$BO727=1),H727,""))</f>
        <v/>
      </c>
      <c r="AD727" s="22" t="str">
        <f>IF(AND(OR('Choix pédagogiques'!$C$3=1,'Choix pédagogiques'!$C$3=2),$BN727=1),I727,IF(AND('Choix pédagogiques'!$C$3=3,$BO727=1),I727,""))</f>
        <v/>
      </c>
      <c r="AE727" s="22" t="str">
        <f t="shared" si="514"/>
        <v/>
      </c>
      <c r="AF727" s="21" t="str">
        <f t="shared" si="515"/>
        <v>Apprenant 715</v>
      </c>
      <c r="AG727" s="22" t="str">
        <f t="shared" si="489"/>
        <v/>
      </c>
      <c r="AH727" s="22" t="str">
        <f t="shared" si="490"/>
        <v/>
      </c>
      <c r="AI727" s="22" t="str">
        <f t="shared" si="491"/>
        <v/>
      </c>
      <c r="AJ727" s="22" t="str">
        <f t="shared" si="516"/>
        <v/>
      </c>
      <c r="AK727" s="21" t="str">
        <f t="shared" si="517"/>
        <v>Apprenant 715 ou 715'</v>
      </c>
      <c r="AL727" s="22" t="str">
        <f t="shared" si="492"/>
        <v/>
      </c>
      <c r="AM727" s="22" t="str">
        <f t="shared" si="493"/>
        <v/>
      </c>
      <c r="AN727" s="22" t="str">
        <f t="shared" si="494"/>
        <v/>
      </c>
      <c r="AO727" s="22" t="str">
        <f t="shared" si="518"/>
        <v/>
      </c>
      <c r="AQ727" s="21" t="str">
        <f t="shared" si="519"/>
        <v>Apprenant 715</v>
      </c>
      <c r="AR727" s="49" t="str">
        <f>IF(AND('Choix pédagogiques'!$C$4&lt;&gt;"?",'Choix pédagogiques'!$C$5&lt;&gt;"?",W727&lt;&gt;""),(W727-'Choix pédagogiques'!$C$4)/('Choix pédagogiques'!$C$5-'Choix pédagogiques'!$C$4),"")</f>
        <v/>
      </c>
      <c r="AS727" s="49" t="str">
        <f>IF(AND('Choix pédagogiques'!$C$4&lt;&gt;"?",'Choix pédagogiques'!$C$5&lt;&gt;"?",X727&lt;&gt;""),(X727-'Choix pédagogiques'!$C$4)/('Choix pédagogiques'!$C$5-'Choix pédagogiques'!$C$4),"")</f>
        <v/>
      </c>
      <c r="AT727" s="49" t="str">
        <f>IF(AND('Choix pédagogiques'!$C$4&lt;&gt;"?",'Choix pédagogiques'!$C$5&lt;&gt;"?",Y727&lt;&gt;""),(Y727-'Choix pédagogiques'!$C$4)/('Choix pédagogiques'!$C$5-'Choix pédagogiques'!$C$4),"")</f>
        <v/>
      </c>
      <c r="AU727" s="22" t="str">
        <f t="shared" si="520"/>
        <v/>
      </c>
      <c r="AV727" s="21" t="str">
        <f t="shared" si="521"/>
        <v>Apprenant 715 ou 715'</v>
      </c>
      <c r="AW727" s="49" t="str">
        <f>IF(AND('Choix pédagogiques'!$C$4&lt;&gt;"?",'Choix pédagogiques'!$C$5&lt;&gt;"?",AB727&lt;&gt;""),(AB727-'Choix pédagogiques'!$C$4)/('Choix pédagogiques'!$C$5-'Choix pédagogiques'!$C$4),"")</f>
        <v/>
      </c>
      <c r="AX727" s="49" t="str">
        <f>IF(AND('Choix pédagogiques'!$C$4&lt;&gt;"?",'Choix pédagogiques'!$C$5&lt;&gt;"?",AC727&lt;&gt;""),(AC727-'Choix pédagogiques'!$C$4)/('Choix pédagogiques'!$C$5-'Choix pédagogiques'!$C$4),"")</f>
        <v/>
      </c>
      <c r="AY727" s="49" t="str">
        <f>IF(AND('Choix pédagogiques'!$C$4&lt;&gt;"?",'Choix pédagogiques'!$C$5&lt;&gt;"?",AD727&lt;&gt;""),(AD727-'Choix pédagogiques'!$C$4)/('Choix pédagogiques'!$C$5-'Choix pédagogiques'!$C$4),"")</f>
        <v/>
      </c>
      <c r="AZ727" s="22" t="str">
        <f t="shared" si="522"/>
        <v/>
      </c>
      <c r="BA727" s="21" t="str">
        <f t="shared" si="523"/>
        <v>Apprenant 715</v>
      </c>
      <c r="BB727" s="49" t="str">
        <f t="shared" si="495"/>
        <v/>
      </c>
      <c r="BC727" s="49" t="str">
        <f t="shared" si="496"/>
        <v/>
      </c>
      <c r="BD727" s="49" t="str">
        <f t="shared" si="497"/>
        <v/>
      </c>
      <c r="BE727" s="22" t="str">
        <f t="shared" si="524"/>
        <v/>
      </c>
      <c r="BF727" s="21" t="str">
        <f t="shared" si="525"/>
        <v>Apprenant 715 ou 715'</v>
      </c>
      <c r="BG727" s="49" t="str">
        <f t="shared" si="498"/>
        <v/>
      </c>
      <c r="BH727" s="49" t="str">
        <f t="shared" si="499"/>
        <v/>
      </c>
      <c r="BI727" s="49" t="str">
        <f t="shared" si="500"/>
        <v/>
      </c>
      <c r="BJ727" s="22" t="str">
        <f t="shared" si="526"/>
        <v/>
      </c>
      <c r="BL727" s="21"/>
      <c r="BM727" s="21" t="str">
        <f>IF(OR(COUNT(B727:D1726)=0,AND('Choix pédagogiques'!$C$3&lt;&gt;1,'Choix pédagogiques'!$C$3&lt;&gt;2)),"",IF(AND(OR('Choix pédagogiques'!$C$3=1,'Choix pédagogiques'!$C$3=2),$B727&lt;&gt;"",$C727&lt;&gt;"",$D727&lt;&gt;""),1,0))</f>
        <v/>
      </c>
      <c r="BN727" s="21" t="str">
        <f>IF(OR(COUNT(G727:I1726)=0,AND('Choix pédagogiques'!$C$3&lt;&gt;1,'Choix pédagogiques'!$C$3&lt;&gt;2)),"",IF(AND(OR('Choix pédagogiques'!$C$3=1,'Choix pédagogiques'!$C$3=2),AND($G727&lt;&gt;"",$H727&lt;&gt;"",$I727&lt;&gt;"")),1,0))</f>
        <v/>
      </c>
      <c r="BO727" s="21" t="str">
        <f>IF(OR(COUNT(B727:D1726)=0,COUNT(G727:I1726)=0,'Choix pédagogiques'!C$3&lt;&gt;3),"",IF(AND('Choix pédagogiques'!$C$3=3,$B727&lt;&gt;"",$C727&lt;&gt;"",$D727&lt;&gt;"",$G727&lt;&gt;"",$H727&lt;&gt;"",$I727&lt;&gt;""),1,0))</f>
        <v/>
      </c>
      <c r="BR727" s="21">
        <v>170</v>
      </c>
      <c r="BS727" s="21">
        <v>1240</v>
      </c>
      <c r="BT727"/>
    </row>
    <row r="728" spans="1:72" s="23" customFormat="1" ht="18" customHeight="1" x14ac:dyDescent="0.3">
      <c r="A728" s="35" t="s">
        <v>718</v>
      </c>
      <c r="B728" s="37"/>
      <c r="C728" s="37"/>
      <c r="D728" s="37"/>
      <c r="E728" s="37"/>
      <c r="F728" s="35" t="s">
        <v>1726</v>
      </c>
      <c r="G728" s="37"/>
      <c r="H728" s="37"/>
      <c r="I728" s="37"/>
      <c r="J728" s="37"/>
      <c r="K728" s="21" t="str">
        <f t="shared" si="501"/>
        <v>Apprenant 716</v>
      </c>
      <c r="L728" s="22" t="str">
        <f t="shared" si="502"/>
        <v/>
      </c>
      <c r="M728" s="22" t="str">
        <f t="shared" si="503"/>
        <v/>
      </c>
      <c r="N728" s="22" t="str">
        <f t="shared" si="504"/>
        <v/>
      </c>
      <c r="O728" s="22" t="str">
        <f t="shared" si="505"/>
        <v/>
      </c>
      <c r="P728" s="21" t="str">
        <f t="shared" si="506"/>
        <v>Apprenant 716 ou 716'</v>
      </c>
      <c r="Q728" s="22" t="str">
        <f t="shared" si="507"/>
        <v/>
      </c>
      <c r="R728" s="22" t="str">
        <f t="shared" si="508"/>
        <v/>
      </c>
      <c r="S728" s="22" t="str">
        <f t="shared" si="509"/>
        <v/>
      </c>
      <c r="T728" s="22" t="str">
        <f t="shared" si="510"/>
        <v/>
      </c>
      <c r="V728" s="21" t="str">
        <f t="shared" si="511"/>
        <v>Apprenant 716</v>
      </c>
      <c r="W728" s="22" t="str">
        <f>IF(AND(OR('Choix pédagogiques'!$C$3=1,'Choix pédagogiques'!$C$3=2),$BM728=1),B728,IF(AND('Choix pédagogiques'!$C$3=3,$BO728=1),B728,""))</f>
        <v/>
      </c>
      <c r="X728" s="22" t="str">
        <f>IF(AND(OR('Choix pédagogiques'!$C$3=1,'Choix pédagogiques'!$C$3=2),$BM728=1),C728,IF(AND('Choix pédagogiques'!$C$3=3,$BO728=1),C728,""))</f>
        <v/>
      </c>
      <c r="Y728" s="22" t="str">
        <f>IF(AND(OR('Choix pédagogiques'!$C$3=1,'Choix pédagogiques'!$C$3=2),$BM728=1),D728,IF(AND('Choix pédagogiques'!$C$3=3,$BO728=1),D728,""))</f>
        <v/>
      </c>
      <c r="Z728" s="22" t="str">
        <f t="shared" si="512"/>
        <v/>
      </c>
      <c r="AA728" s="21" t="str">
        <f t="shared" si="513"/>
        <v>Apprenant 716 ou 716'</v>
      </c>
      <c r="AB728" s="22" t="str">
        <f>IF(AND(OR('Choix pédagogiques'!$C$3=1,'Choix pédagogiques'!$C$3=2),$BN728=1),G728,IF(AND('Choix pédagogiques'!$C$3=3,$BO728=1),G728,""))</f>
        <v/>
      </c>
      <c r="AC728" s="22" t="str">
        <f>IF(AND(OR('Choix pédagogiques'!$C$3=1,'Choix pédagogiques'!$C$3=2),$BN728=1),H728,IF(AND('Choix pédagogiques'!$C$3=3,$BO728=1),H728,""))</f>
        <v/>
      </c>
      <c r="AD728" s="22" t="str">
        <f>IF(AND(OR('Choix pédagogiques'!$C$3=1,'Choix pédagogiques'!$C$3=2),$BN728=1),I728,IF(AND('Choix pédagogiques'!$C$3=3,$BO728=1),I728,""))</f>
        <v/>
      </c>
      <c r="AE728" s="22" t="str">
        <f t="shared" si="514"/>
        <v/>
      </c>
      <c r="AF728" s="21" t="str">
        <f t="shared" si="515"/>
        <v>Apprenant 716</v>
      </c>
      <c r="AG728" s="22" t="str">
        <f t="shared" si="489"/>
        <v/>
      </c>
      <c r="AH728" s="22" t="str">
        <f t="shared" si="490"/>
        <v/>
      </c>
      <c r="AI728" s="22" t="str">
        <f t="shared" si="491"/>
        <v/>
      </c>
      <c r="AJ728" s="22" t="str">
        <f t="shared" si="516"/>
        <v/>
      </c>
      <c r="AK728" s="21" t="str">
        <f t="shared" si="517"/>
        <v>Apprenant 716 ou 716'</v>
      </c>
      <c r="AL728" s="22" t="str">
        <f t="shared" si="492"/>
        <v/>
      </c>
      <c r="AM728" s="22" t="str">
        <f t="shared" si="493"/>
        <v/>
      </c>
      <c r="AN728" s="22" t="str">
        <f t="shared" si="494"/>
        <v/>
      </c>
      <c r="AO728" s="22" t="str">
        <f t="shared" si="518"/>
        <v/>
      </c>
      <c r="AQ728" s="21" t="str">
        <f t="shared" si="519"/>
        <v>Apprenant 716</v>
      </c>
      <c r="AR728" s="49" t="str">
        <f>IF(AND('Choix pédagogiques'!$C$4&lt;&gt;"?",'Choix pédagogiques'!$C$5&lt;&gt;"?",W728&lt;&gt;""),(W728-'Choix pédagogiques'!$C$4)/('Choix pédagogiques'!$C$5-'Choix pédagogiques'!$C$4),"")</f>
        <v/>
      </c>
      <c r="AS728" s="49" t="str">
        <f>IF(AND('Choix pédagogiques'!$C$4&lt;&gt;"?",'Choix pédagogiques'!$C$5&lt;&gt;"?",X728&lt;&gt;""),(X728-'Choix pédagogiques'!$C$4)/('Choix pédagogiques'!$C$5-'Choix pédagogiques'!$C$4),"")</f>
        <v/>
      </c>
      <c r="AT728" s="49" t="str">
        <f>IF(AND('Choix pédagogiques'!$C$4&lt;&gt;"?",'Choix pédagogiques'!$C$5&lt;&gt;"?",Y728&lt;&gt;""),(Y728-'Choix pédagogiques'!$C$4)/('Choix pédagogiques'!$C$5-'Choix pédagogiques'!$C$4),"")</f>
        <v/>
      </c>
      <c r="AU728" s="22" t="str">
        <f t="shared" si="520"/>
        <v/>
      </c>
      <c r="AV728" s="21" t="str">
        <f t="shared" si="521"/>
        <v>Apprenant 716 ou 716'</v>
      </c>
      <c r="AW728" s="49" t="str">
        <f>IF(AND('Choix pédagogiques'!$C$4&lt;&gt;"?",'Choix pédagogiques'!$C$5&lt;&gt;"?",AB728&lt;&gt;""),(AB728-'Choix pédagogiques'!$C$4)/('Choix pédagogiques'!$C$5-'Choix pédagogiques'!$C$4),"")</f>
        <v/>
      </c>
      <c r="AX728" s="49" t="str">
        <f>IF(AND('Choix pédagogiques'!$C$4&lt;&gt;"?",'Choix pédagogiques'!$C$5&lt;&gt;"?",AC728&lt;&gt;""),(AC728-'Choix pédagogiques'!$C$4)/('Choix pédagogiques'!$C$5-'Choix pédagogiques'!$C$4),"")</f>
        <v/>
      </c>
      <c r="AY728" s="49" t="str">
        <f>IF(AND('Choix pédagogiques'!$C$4&lt;&gt;"?",'Choix pédagogiques'!$C$5&lt;&gt;"?",AD728&lt;&gt;""),(AD728-'Choix pédagogiques'!$C$4)/('Choix pédagogiques'!$C$5-'Choix pédagogiques'!$C$4),"")</f>
        <v/>
      </c>
      <c r="AZ728" s="22" t="str">
        <f t="shared" si="522"/>
        <v/>
      </c>
      <c r="BA728" s="21" t="str">
        <f t="shared" si="523"/>
        <v>Apprenant 716</v>
      </c>
      <c r="BB728" s="49" t="str">
        <f t="shared" si="495"/>
        <v/>
      </c>
      <c r="BC728" s="49" t="str">
        <f t="shared" si="496"/>
        <v/>
      </c>
      <c r="BD728" s="49" t="str">
        <f t="shared" si="497"/>
        <v/>
      </c>
      <c r="BE728" s="22" t="str">
        <f t="shared" si="524"/>
        <v/>
      </c>
      <c r="BF728" s="21" t="str">
        <f t="shared" si="525"/>
        <v>Apprenant 716 ou 716'</v>
      </c>
      <c r="BG728" s="49" t="str">
        <f t="shared" si="498"/>
        <v/>
      </c>
      <c r="BH728" s="49" t="str">
        <f t="shared" si="499"/>
        <v/>
      </c>
      <c r="BI728" s="49" t="str">
        <f t="shared" si="500"/>
        <v/>
      </c>
      <c r="BJ728" s="22" t="str">
        <f t="shared" si="526"/>
        <v/>
      </c>
      <c r="BL728" s="21"/>
      <c r="BM728" s="21" t="str">
        <f>IF(OR(COUNT(B728:D1727)=0,AND('Choix pédagogiques'!$C$3&lt;&gt;1,'Choix pédagogiques'!$C$3&lt;&gt;2)),"",IF(AND(OR('Choix pédagogiques'!$C$3=1,'Choix pédagogiques'!$C$3=2),$B728&lt;&gt;"",$C728&lt;&gt;"",$D728&lt;&gt;""),1,0))</f>
        <v/>
      </c>
      <c r="BN728" s="21" t="str">
        <f>IF(OR(COUNT(G728:I1727)=0,AND('Choix pédagogiques'!$C$3&lt;&gt;1,'Choix pédagogiques'!$C$3&lt;&gt;2)),"",IF(AND(OR('Choix pédagogiques'!$C$3=1,'Choix pédagogiques'!$C$3=2),AND($G728&lt;&gt;"",$H728&lt;&gt;"",$I728&lt;&gt;"")),1,0))</f>
        <v/>
      </c>
      <c r="BO728" s="21" t="str">
        <f>IF(OR(COUNT(B728:D1727)=0,COUNT(G728:I1727)=0,'Choix pédagogiques'!C$3&lt;&gt;3),"",IF(AND('Choix pédagogiques'!$C$3=3,$B728&lt;&gt;"",$C728&lt;&gt;"",$D728&lt;&gt;"",$G728&lt;&gt;"",$H728&lt;&gt;"",$I728&lt;&gt;""),1,0))</f>
        <v/>
      </c>
      <c r="BR728" s="21">
        <v>89</v>
      </c>
      <c r="BS728" s="21">
        <v>1300</v>
      </c>
      <c r="BT728"/>
    </row>
    <row r="729" spans="1:72" s="23" customFormat="1" ht="18" customHeight="1" x14ac:dyDescent="0.3">
      <c r="A729" s="35" t="s">
        <v>719</v>
      </c>
      <c r="B729" s="37"/>
      <c r="C729" s="37"/>
      <c r="D729" s="37"/>
      <c r="E729" s="37"/>
      <c r="F729" s="35" t="s">
        <v>1727</v>
      </c>
      <c r="G729" s="37"/>
      <c r="H729" s="37"/>
      <c r="I729" s="37"/>
      <c r="J729" s="37"/>
      <c r="K729" s="21" t="str">
        <f t="shared" si="501"/>
        <v>Apprenant 717</v>
      </c>
      <c r="L729" s="22" t="str">
        <f t="shared" si="502"/>
        <v/>
      </c>
      <c r="M729" s="22" t="str">
        <f t="shared" si="503"/>
        <v/>
      </c>
      <c r="N729" s="22" t="str">
        <f t="shared" si="504"/>
        <v/>
      </c>
      <c r="O729" s="22" t="str">
        <f t="shared" si="505"/>
        <v/>
      </c>
      <c r="P729" s="21" t="str">
        <f t="shared" si="506"/>
        <v>Apprenant 717 ou 717'</v>
      </c>
      <c r="Q729" s="22" t="str">
        <f t="shared" si="507"/>
        <v/>
      </c>
      <c r="R729" s="22" t="str">
        <f t="shared" si="508"/>
        <v/>
      </c>
      <c r="S729" s="22" t="str">
        <f t="shared" si="509"/>
        <v/>
      </c>
      <c r="T729" s="22" t="str">
        <f t="shared" si="510"/>
        <v/>
      </c>
      <c r="V729" s="21" t="str">
        <f t="shared" si="511"/>
        <v>Apprenant 717</v>
      </c>
      <c r="W729" s="22" t="str">
        <f>IF(AND(OR('Choix pédagogiques'!$C$3=1,'Choix pédagogiques'!$C$3=2),$BM729=1),B729,IF(AND('Choix pédagogiques'!$C$3=3,$BO729=1),B729,""))</f>
        <v/>
      </c>
      <c r="X729" s="22" t="str">
        <f>IF(AND(OR('Choix pédagogiques'!$C$3=1,'Choix pédagogiques'!$C$3=2),$BM729=1),C729,IF(AND('Choix pédagogiques'!$C$3=3,$BO729=1),C729,""))</f>
        <v/>
      </c>
      <c r="Y729" s="22" t="str">
        <f>IF(AND(OR('Choix pédagogiques'!$C$3=1,'Choix pédagogiques'!$C$3=2),$BM729=1),D729,IF(AND('Choix pédagogiques'!$C$3=3,$BO729=1),D729,""))</f>
        <v/>
      </c>
      <c r="Z729" s="22" t="str">
        <f t="shared" si="512"/>
        <v/>
      </c>
      <c r="AA729" s="21" t="str">
        <f t="shared" si="513"/>
        <v>Apprenant 717 ou 717'</v>
      </c>
      <c r="AB729" s="22" t="str">
        <f>IF(AND(OR('Choix pédagogiques'!$C$3=1,'Choix pédagogiques'!$C$3=2),$BN729=1),G729,IF(AND('Choix pédagogiques'!$C$3=3,$BO729=1),G729,""))</f>
        <v/>
      </c>
      <c r="AC729" s="22" t="str">
        <f>IF(AND(OR('Choix pédagogiques'!$C$3=1,'Choix pédagogiques'!$C$3=2),$BN729=1),H729,IF(AND('Choix pédagogiques'!$C$3=3,$BO729=1),H729,""))</f>
        <v/>
      </c>
      <c r="AD729" s="22" t="str">
        <f>IF(AND(OR('Choix pédagogiques'!$C$3=1,'Choix pédagogiques'!$C$3=2),$BN729=1),I729,IF(AND('Choix pédagogiques'!$C$3=3,$BO729=1),I729,""))</f>
        <v/>
      </c>
      <c r="AE729" s="22" t="str">
        <f t="shared" si="514"/>
        <v/>
      </c>
      <c r="AF729" s="21" t="str">
        <f t="shared" si="515"/>
        <v>Apprenant 717</v>
      </c>
      <c r="AG729" s="22" t="str">
        <f t="shared" si="489"/>
        <v/>
      </c>
      <c r="AH729" s="22" t="str">
        <f t="shared" si="490"/>
        <v/>
      </c>
      <c r="AI729" s="22" t="str">
        <f t="shared" si="491"/>
        <v/>
      </c>
      <c r="AJ729" s="22" t="str">
        <f t="shared" si="516"/>
        <v/>
      </c>
      <c r="AK729" s="21" t="str">
        <f t="shared" si="517"/>
        <v>Apprenant 717 ou 717'</v>
      </c>
      <c r="AL729" s="22" t="str">
        <f t="shared" si="492"/>
        <v/>
      </c>
      <c r="AM729" s="22" t="str">
        <f t="shared" si="493"/>
        <v/>
      </c>
      <c r="AN729" s="22" t="str">
        <f t="shared" si="494"/>
        <v/>
      </c>
      <c r="AO729" s="22" t="str">
        <f t="shared" si="518"/>
        <v/>
      </c>
      <c r="AQ729" s="21" t="str">
        <f t="shared" si="519"/>
        <v>Apprenant 717</v>
      </c>
      <c r="AR729" s="49" t="str">
        <f>IF(AND('Choix pédagogiques'!$C$4&lt;&gt;"?",'Choix pédagogiques'!$C$5&lt;&gt;"?",W729&lt;&gt;""),(W729-'Choix pédagogiques'!$C$4)/('Choix pédagogiques'!$C$5-'Choix pédagogiques'!$C$4),"")</f>
        <v/>
      </c>
      <c r="AS729" s="49" t="str">
        <f>IF(AND('Choix pédagogiques'!$C$4&lt;&gt;"?",'Choix pédagogiques'!$C$5&lt;&gt;"?",X729&lt;&gt;""),(X729-'Choix pédagogiques'!$C$4)/('Choix pédagogiques'!$C$5-'Choix pédagogiques'!$C$4),"")</f>
        <v/>
      </c>
      <c r="AT729" s="49" t="str">
        <f>IF(AND('Choix pédagogiques'!$C$4&lt;&gt;"?",'Choix pédagogiques'!$C$5&lt;&gt;"?",Y729&lt;&gt;""),(Y729-'Choix pédagogiques'!$C$4)/('Choix pédagogiques'!$C$5-'Choix pédagogiques'!$C$4),"")</f>
        <v/>
      </c>
      <c r="AU729" s="22" t="str">
        <f t="shared" si="520"/>
        <v/>
      </c>
      <c r="AV729" s="21" t="str">
        <f t="shared" si="521"/>
        <v>Apprenant 717 ou 717'</v>
      </c>
      <c r="AW729" s="49" t="str">
        <f>IF(AND('Choix pédagogiques'!$C$4&lt;&gt;"?",'Choix pédagogiques'!$C$5&lt;&gt;"?",AB729&lt;&gt;""),(AB729-'Choix pédagogiques'!$C$4)/('Choix pédagogiques'!$C$5-'Choix pédagogiques'!$C$4),"")</f>
        <v/>
      </c>
      <c r="AX729" s="49" t="str">
        <f>IF(AND('Choix pédagogiques'!$C$4&lt;&gt;"?",'Choix pédagogiques'!$C$5&lt;&gt;"?",AC729&lt;&gt;""),(AC729-'Choix pédagogiques'!$C$4)/('Choix pédagogiques'!$C$5-'Choix pédagogiques'!$C$4),"")</f>
        <v/>
      </c>
      <c r="AY729" s="49" t="str">
        <f>IF(AND('Choix pédagogiques'!$C$4&lt;&gt;"?",'Choix pédagogiques'!$C$5&lt;&gt;"?",AD729&lt;&gt;""),(AD729-'Choix pédagogiques'!$C$4)/('Choix pédagogiques'!$C$5-'Choix pédagogiques'!$C$4),"")</f>
        <v/>
      </c>
      <c r="AZ729" s="22" t="str">
        <f t="shared" si="522"/>
        <v/>
      </c>
      <c r="BA729" s="21" t="str">
        <f t="shared" si="523"/>
        <v>Apprenant 717</v>
      </c>
      <c r="BB729" s="49" t="str">
        <f t="shared" si="495"/>
        <v/>
      </c>
      <c r="BC729" s="49" t="str">
        <f t="shared" si="496"/>
        <v/>
      </c>
      <c r="BD729" s="49" t="str">
        <f t="shared" si="497"/>
        <v/>
      </c>
      <c r="BE729" s="22" t="str">
        <f t="shared" si="524"/>
        <v/>
      </c>
      <c r="BF729" s="21" t="str">
        <f t="shared" si="525"/>
        <v>Apprenant 717 ou 717'</v>
      </c>
      <c r="BG729" s="49" t="str">
        <f t="shared" si="498"/>
        <v/>
      </c>
      <c r="BH729" s="49" t="str">
        <f t="shared" si="499"/>
        <v/>
      </c>
      <c r="BI729" s="49" t="str">
        <f t="shared" si="500"/>
        <v/>
      </c>
      <c r="BJ729" s="22" t="str">
        <f t="shared" si="526"/>
        <v/>
      </c>
      <c r="BL729" s="21"/>
      <c r="BM729" s="21" t="str">
        <f>IF(OR(COUNT(B729:D1728)=0,AND('Choix pédagogiques'!$C$3&lt;&gt;1,'Choix pédagogiques'!$C$3&lt;&gt;2)),"",IF(AND(OR('Choix pédagogiques'!$C$3=1,'Choix pédagogiques'!$C$3=2),$B729&lt;&gt;"",$C729&lt;&gt;"",$D729&lt;&gt;""),1,0))</f>
        <v/>
      </c>
      <c r="BN729" s="21" t="str">
        <f>IF(OR(COUNT(G729:I1728)=0,AND('Choix pédagogiques'!$C$3&lt;&gt;1,'Choix pédagogiques'!$C$3&lt;&gt;2)),"",IF(AND(OR('Choix pédagogiques'!$C$3=1,'Choix pédagogiques'!$C$3=2),AND($G729&lt;&gt;"",$H729&lt;&gt;"",$I729&lt;&gt;"")),1,0))</f>
        <v/>
      </c>
      <c r="BO729" s="21" t="str">
        <f>IF(OR(COUNT(B729:D1728)=0,COUNT(G729:I1728)=0,'Choix pédagogiques'!C$3&lt;&gt;3),"",IF(AND('Choix pédagogiques'!$C$3=3,$B729&lt;&gt;"",$C729&lt;&gt;"",$D729&lt;&gt;"",$G729&lt;&gt;"",$H729&lt;&gt;"",$I729&lt;&gt;""),1,0))</f>
        <v/>
      </c>
      <c r="BR729" s="21">
        <v>738</v>
      </c>
      <c r="BS729" s="21">
        <v>1359</v>
      </c>
      <c r="BT729"/>
    </row>
    <row r="730" spans="1:72" s="23" customFormat="1" ht="18" customHeight="1" x14ac:dyDescent="0.3">
      <c r="A730" s="35" t="s">
        <v>720</v>
      </c>
      <c r="B730" s="37"/>
      <c r="C730" s="37"/>
      <c r="D730" s="37"/>
      <c r="E730" s="37"/>
      <c r="F730" s="35" t="s">
        <v>1728</v>
      </c>
      <c r="G730" s="37"/>
      <c r="H730" s="37"/>
      <c r="I730" s="37"/>
      <c r="J730" s="37"/>
      <c r="K730" s="21" t="str">
        <f t="shared" si="501"/>
        <v>Apprenant 718</v>
      </c>
      <c r="L730" s="22" t="str">
        <f t="shared" si="502"/>
        <v/>
      </c>
      <c r="M730" s="22" t="str">
        <f t="shared" si="503"/>
        <v/>
      </c>
      <c r="N730" s="22" t="str">
        <f t="shared" si="504"/>
        <v/>
      </c>
      <c r="O730" s="22" t="str">
        <f t="shared" si="505"/>
        <v/>
      </c>
      <c r="P730" s="21" t="str">
        <f t="shared" si="506"/>
        <v>Apprenant 718 ou 718'</v>
      </c>
      <c r="Q730" s="22" t="str">
        <f t="shared" si="507"/>
        <v/>
      </c>
      <c r="R730" s="22" t="str">
        <f t="shared" si="508"/>
        <v/>
      </c>
      <c r="S730" s="22" t="str">
        <f t="shared" si="509"/>
        <v/>
      </c>
      <c r="T730" s="22" t="str">
        <f t="shared" si="510"/>
        <v/>
      </c>
      <c r="V730" s="21" t="str">
        <f t="shared" si="511"/>
        <v>Apprenant 718</v>
      </c>
      <c r="W730" s="22" t="str">
        <f>IF(AND(OR('Choix pédagogiques'!$C$3=1,'Choix pédagogiques'!$C$3=2),$BM730=1),B730,IF(AND('Choix pédagogiques'!$C$3=3,$BO730=1),B730,""))</f>
        <v/>
      </c>
      <c r="X730" s="22" t="str">
        <f>IF(AND(OR('Choix pédagogiques'!$C$3=1,'Choix pédagogiques'!$C$3=2),$BM730=1),C730,IF(AND('Choix pédagogiques'!$C$3=3,$BO730=1),C730,""))</f>
        <v/>
      </c>
      <c r="Y730" s="22" t="str">
        <f>IF(AND(OR('Choix pédagogiques'!$C$3=1,'Choix pédagogiques'!$C$3=2),$BM730=1),D730,IF(AND('Choix pédagogiques'!$C$3=3,$BO730=1),D730,""))</f>
        <v/>
      </c>
      <c r="Z730" s="22" t="str">
        <f t="shared" si="512"/>
        <v/>
      </c>
      <c r="AA730" s="21" t="str">
        <f t="shared" si="513"/>
        <v>Apprenant 718 ou 718'</v>
      </c>
      <c r="AB730" s="22" t="str">
        <f>IF(AND(OR('Choix pédagogiques'!$C$3=1,'Choix pédagogiques'!$C$3=2),$BN730=1),G730,IF(AND('Choix pédagogiques'!$C$3=3,$BO730=1),G730,""))</f>
        <v/>
      </c>
      <c r="AC730" s="22" t="str">
        <f>IF(AND(OR('Choix pédagogiques'!$C$3=1,'Choix pédagogiques'!$C$3=2),$BN730=1),H730,IF(AND('Choix pédagogiques'!$C$3=3,$BO730=1),H730,""))</f>
        <v/>
      </c>
      <c r="AD730" s="22" t="str">
        <f>IF(AND(OR('Choix pédagogiques'!$C$3=1,'Choix pédagogiques'!$C$3=2),$BN730=1),I730,IF(AND('Choix pédagogiques'!$C$3=3,$BO730=1),I730,""))</f>
        <v/>
      </c>
      <c r="AE730" s="22" t="str">
        <f t="shared" si="514"/>
        <v/>
      </c>
      <c r="AF730" s="21" t="str">
        <f t="shared" si="515"/>
        <v>Apprenant 718</v>
      </c>
      <c r="AG730" s="22" t="str">
        <f t="shared" si="489"/>
        <v/>
      </c>
      <c r="AH730" s="22" t="str">
        <f t="shared" si="490"/>
        <v/>
      </c>
      <c r="AI730" s="22" t="str">
        <f t="shared" si="491"/>
        <v/>
      </c>
      <c r="AJ730" s="22" t="str">
        <f t="shared" si="516"/>
        <v/>
      </c>
      <c r="AK730" s="21" t="str">
        <f t="shared" si="517"/>
        <v>Apprenant 718 ou 718'</v>
      </c>
      <c r="AL730" s="22" t="str">
        <f t="shared" si="492"/>
        <v/>
      </c>
      <c r="AM730" s="22" t="str">
        <f t="shared" si="493"/>
        <v/>
      </c>
      <c r="AN730" s="22" t="str">
        <f t="shared" si="494"/>
        <v/>
      </c>
      <c r="AO730" s="22" t="str">
        <f t="shared" si="518"/>
        <v/>
      </c>
      <c r="AQ730" s="21" t="str">
        <f t="shared" si="519"/>
        <v>Apprenant 718</v>
      </c>
      <c r="AR730" s="49" t="str">
        <f>IF(AND('Choix pédagogiques'!$C$4&lt;&gt;"?",'Choix pédagogiques'!$C$5&lt;&gt;"?",W730&lt;&gt;""),(W730-'Choix pédagogiques'!$C$4)/('Choix pédagogiques'!$C$5-'Choix pédagogiques'!$C$4),"")</f>
        <v/>
      </c>
      <c r="AS730" s="49" t="str">
        <f>IF(AND('Choix pédagogiques'!$C$4&lt;&gt;"?",'Choix pédagogiques'!$C$5&lt;&gt;"?",X730&lt;&gt;""),(X730-'Choix pédagogiques'!$C$4)/('Choix pédagogiques'!$C$5-'Choix pédagogiques'!$C$4),"")</f>
        <v/>
      </c>
      <c r="AT730" s="49" t="str">
        <f>IF(AND('Choix pédagogiques'!$C$4&lt;&gt;"?",'Choix pédagogiques'!$C$5&lt;&gt;"?",Y730&lt;&gt;""),(Y730-'Choix pédagogiques'!$C$4)/('Choix pédagogiques'!$C$5-'Choix pédagogiques'!$C$4),"")</f>
        <v/>
      </c>
      <c r="AU730" s="22" t="str">
        <f t="shared" si="520"/>
        <v/>
      </c>
      <c r="AV730" s="21" t="str">
        <f t="shared" si="521"/>
        <v>Apprenant 718 ou 718'</v>
      </c>
      <c r="AW730" s="49" t="str">
        <f>IF(AND('Choix pédagogiques'!$C$4&lt;&gt;"?",'Choix pédagogiques'!$C$5&lt;&gt;"?",AB730&lt;&gt;""),(AB730-'Choix pédagogiques'!$C$4)/('Choix pédagogiques'!$C$5-'Choix pédagogiques'!$C$4),"")</f>
        <v/>
      </c>
      <c r="AX730" s="49" t="str">
        <f>IF(AND('Choix pédagogiques'!$C$4&lt;&gt;"?",'Choix pédagogiques'!$C$5&lt;&gt;"?",AC730&lt;&gt;""),(AC730-'Choix pédagogiques'!$C$4)/('Choix pédagogiques'!$C$5-'Choix pédagogiques'!$C$4),"")</f>
        <v/>
      </c>
      <c r="AY730" s="49" t="str">
        <f>IF(AND('Choix pédagogiques'!$C$4&lt;&gt;"?",'Choix pédagogiques'!$C$5&lt;&gt;"?",AD730&lt;&gt;""),(AD730-'Choix pédagogiques'!$C$4)/('Choix pédagogiques'!$C$5-'Choix pédagogiques'!$C$4),"")</f>
        <v/>
      </c>
      <c r="AZ730" s="22" t="str">
        <f t="shared" si="522"/>
        <v/>
      </c>
      <c r="BA730" s="21" t="str">
        <f t="shared" si="523"/>
        <v>Apprenant 718</v>
      </c>
      <c r="BB730" s="49" t="str">
        <f t="shared" si="495"/>
        <v/>
      </c>
      <c r="BC730" s="49" t="str">
        <f t="shared" si="496"/>
        <v/>
      </c>
      <c r="BD730" s="49" t="str">
        <f t="shared" si="497"/>
        <v/>
      </c>
      <c r="BE730" s="22" t="str">
        <f t="shared" si="524"/>
        <v/>
      </c>
      <c r="BF730" s="21" t="str">
        <f t="shared" si="525"/>
        <v>Apprenant 718 ou 718'</v>
      </c>
      <c r="BG730" s="49" t="str">
        <f t="shared" si="498"/>
        <v/>
      </c>
      <c r="BH730" s="49" t="str">
        <f t="shared" si="499"/>
        <v/>
      </c>
      <c r="BI730" s="49" t="str">
        <f t="shared" si="500"/>
        <v/>
      </c>
      <c r="BJ730" s="22" t="str">
        <f t="shared" si="526"/>
        <v/>
      </c>
      <c r="BL730" s="21"/>
      <c r="BM730" s="21" t="str">
        <f>IF(OR(COUNT(B730:D1729)=0,AND('Choix pédagogiques'!$C$3&lt;&gt;1,'Choix pédagogiques'!$C$3&lt;&gt;2)),"",IF(AND(OR('Choix pédagogiques'!$C$3=1,'Choix pédagogiques'!$C$3=2),$B730&lt;&gt;"",$C730&lt;&gt;"",$D730&lt;&gt;""),1,0))</f>
        <v/>
      </c>
      <c r="BN730" s="21" t="str">
        <f>IF(OR(COUNT(G730:I1729)=0,AND('Choix pédagogiques'!$C$3&lt;&gt;1,'Choix pédagogiques'!$C$3&lt;&gt;2)),"",IF(AND(OR('Choix pédagogiques'!$C$3=1,'Choix pédagogiques'!$C$3=2),AND($G730&lt;&gt;"",$H730&lt;&gt;"",$I730&lt;&gt;"")),1,0))</f>
        <v/>
      </c>
      <c r="BO730" s="21" t="str">
        <f>IF(OR(COUNT(B730:D1729)=0,COUNT(G730:I1729)=0,'Choix pédagogiques'!C$3&lt;&gt;3),"",IF(AND('Choix pédagogiques'!$C$3=3,$B730&lt;&gt;"",$C730&lt;&gt;"",$D730&lt;&gt;"",$G730&lt;&gt;"",$H730&lt;&gt;"",$I730&lt;&gt;""),1,0))</f>
        <v/>
      </c>
      <c r="BR730" s="21">
        <v>648</v>
      </c>
      <c r="BS730" s="21">
        <v>1077</v>
      </c>
      <c r="BT730"/>
    </row>
    <row r="731" spans="1:72" s="23" customFormat="1" ht="18" customHeight="1" x14ac:dyDescent="0.3">
      <c r="A731" s="35" t="s">
        <v>721</v>
      </c>
      <c r="B731" s="37"/>
      <c r="C731" s="37"/>
      <c r="D731" s="37"/>
      <c r="E731" s="37"/>
      <c r="F731" s="35" t="s">
        <v>1729</v>
      </c>
      <c r="G731" s="37"/>
      <c r="H731" s="37"/>
      <c r="I731" s="37"/>
      <c r="J731" s="37"/>
      <c r="K731" s="21" t="str">
        <f t="shared" si="501"/>
        <v>Apprenant 719</v>
      </c>
      <c r="L731" s="22" t="str">
        <f t="shared" si="502"/>
        <v/>
      </c>
      <c r="M731" s="22" t="str">
        <f t="shared" si="503"/>
        <v/>
      </c>
      <c r="N731" s="22" t="str">
        <f t="shared" si="504"/>
        <v/>
      </c>
      <c r="O731" s="22" t="str">
        <f t="shared" si="505"/>
        <v/>
      </c>
      <c r="P731" s="21" t="str">
        <f t="shared" si="506"/>
        <v>Apprenant 719 ou 719'</v>
      </c>
      <c r="Q731" s="22" t="str">
        <f t="shared" si="507"/>
        <v/>
      </c>
      <c r="R731" s="22" t="str">
        <f t="shared" si="508"/>
        <v/>
      </c>
      <c r="S731" s="22" t="str">
        <f t="shared" si="509"/>
        <v/>
      </c>
      <c r="T731" s="22" t="str">
        <f t="shared" si="510"/>
        <v/>
      </c>
      <c r="V731" s="21" t="str">
        <f t="shared" si="511"/>
        <v>Apprenant 719</v>
      </c>
      <c r="W731" s="22" t="str">
        <f>IF(AND(OR('Choix pédagogiques'!$C$3=1,'Choix pédagogiques'!$C$3=2),$BM731=1),B731,IF(AND('Choix pédagogiques'!$C$3=3,$BO731=1),B731,""))</f>
        <v/>
      </c>
      <c r="X731" s="22" t="str">
        <f>IF(AND(OR('Choix pédagogiques'!$C$3=1,'Choix pédagogiques'!$C$3=2),$BM731=1),C731,IF(AND('Choix pédagogiques'!$C$3=3,$BO731=1),C731,""))</f>
        <v/>
      </c>
      <c r="Y731" s="22" t="str">
        <f>IF(AND(OR('Choix pédagogiques'!$C$3=1,'Choix pédagogiques'!$C$3=2),$BM731=1),D731,IF(AND('Choix pédagogiques'!$C$3=3,$BO731=1),D731,""))</f>
        <v/>
      </c>
      <c r="Z731" s="22" t="str">
        <f t="shared" si="512"/>
        <v/>
      </c>
      <c r="AA731" s="21" t="str">
        <f t="shared" si="513"/>
        <v>Apprenant 719 ou 719'</v>
      </c>
      <c r="AB731" s="22" t="str">
        <f>IF(AND(OR('Choix pédagogiques'!$C$3=1,'Choix pédagogiques'!$C$3=2),$BN731=1),G731,IF(AND('Choix pédagogiques'!$C$3=3,$BO731=1),G731,""))</f>
        <v/>
      </c>
      <c r="AC731" s="22" t="str">
        <f>IF(AND(OR('Choix pédagogiques'!$C$3=1,'Choix pédagogiques'!$C$3=2),$BN731=1),H731,IF(AND('Choix pédagogiques'!$C$3=3,$BO731=1),H731,""))</f>
        <v/>
      </c>
      <c r="AD731" s="22" t="str">
        <f>IF(AND(OR('Choix pédagogiques'!$C$3=1,'Choix pédagogiques'!$C$3=2),$BN731=1),I731,IF(AND('Choix pédagogiques'!$C$3=3,$BO731=1),I731,""))</f>
        <v/>
      </c>
      <c r="AE731" s="22" t="str">
        <f t="shared" si="514"/>
        <v/>
      </c>
      <c r="AF731" s="21" t="str">
        <f t="shared" si="515"/>
        <v>Apprenant 719</v>
      </c>
      <c r="AG731" s="22" t="str">
        <f t="shared" si="489"/>
        <v/>
      </c>
      <c r="AH731" s="22" t="str">
        <f t="shared" si="490"/>
        <v/>
      </c>
      <c r="AI731" s="22" t="str">
        <f t="shared" si="491"/>
        <v/>
      </c>
      <c r="AJ731" s="22" t="str">
        <f t="shared" si="516"/>
        <v/>
      </c>
      <c r="AK731" s="21" t="str">
        <f t="shared" si="517"/>
        <v>Apprenant 719 ou 719'</v>
      </c>
      <c r="AL731" s="22" t="str">
        <f t="shared" si="492"/>
        <v/>
      </c>
      <c r="AM731" s="22" t="str">
        <f t="shared" si="493"/>
        <v/>
      </c>
      <c r="AN731" s="22" t="str">
        <f t="shared" si="494"/>
        <v/>
      </c>
      <c r="AO731" s="22" t="str">
        <f t="shared" si="518"/>
        <v/>
      </c>
      <c r="AQ731" s="21" t="str">
        <f t="shared" si="519"/>
        <v>Apprenant 719</v>
      </c>
      <c r="AR731" s="49" t="str">
        <f>IF(AND('Choix pédagogiques'!$C$4&lt;&gt;"?",'Choix pédagogiques'!$C$5&lt;&gt;"?",W731&lt;&gt;""),(W731-'Choix pédagogiques'!$C$4)/('Choix pédagogiques'!$C$5-'Choix pédagogiques'!$C$4),"")</f>
        <v/>
      </c>
      <c r="AS731" s="49" t="str">
        <f>IF(AND('Choix pédagogiques'!$C$4&lt;&gt;"?",'Choix pédagogiques'!$C$5&lt;&gt;"?",X731&lt;&gt;""),(X731-'Choix pédagogiques'!$C$4)/('Choix pédagogiques'!$C$5-'Choix pédagogiques'!$C$4),"")</f>
        <v/>
      </c>
      <c r="AT731" s="49" t="str">
        <f>IF(AND('Choix pédagogiques'!$C$4&lt;&gt;"?",'Choix pédagogiques'!$C$5&lt;&gt;"?",Y731&lt;&gt;""),(Y731-'Choix pédagogiques'!$C$4)/('Choix pédagogiques'!$C$5-'Choix pédagogiques'!$C$4),"")</f>
        <v/>
      </c>
      <c r="AU731" s="22" t="str">
        <f t="shared" si="520"/>
        <v/>
      </c>
      <c r="AV731" s="21" t="str">
        <f t="shared" si="521"/>
        <v>Apprenant 719 ou 719'</v>
      </c>
      <c r="AW731" s="49" t="str">
        <f>IF(AND('Choix pédagogiques'!$C$4&lt;&gt;"?",'Choix pédagogiques'!$C$5&lt;&gt;"?",AB731&lt;&gt;""),(AB731-'Choix pédagogiques'!$C$4)/('Choix pédagogiques'!$C$5-'Choix pédagogiques'!$C$4),"")</f>
        <v/>
      </c>
      <c r="AX731" s="49" t="str">
        <f>IF(AND('Choix pédagogiques'!$C$4&lt;&gt;"?",'Choix pédagogiques'!$C$5&lt;&gt;"?",AC731&lt;&gt;""),(AC731-'Choix pédagogiques'!$C$4)/('Choix pédagogiques'!$C$5-'Choix pédagogiques'!$C$4),"")</f>
        <v/>
      </c>
      <c r="AY731" s="49" t="str">
        <f>IF(AND('Choix pédagogiques'!$C$4&lt;&gt;"?",'Choix pédagogiques'!$C$5&lt;&gt;"?",AD731&lt;&gt;""),(AD731-'Choix pédagogiques'!$C$4)/('Choix pédagogiques'!$C$5-'Choix pédagogiques'!$C$4),"")</f>
        <v/>
      </c>
      <c r="AZ731" s="22" t="str">
        <f t="shared" si="522"/>
        <v/>
      </c>
      <c r="BA731" s="21" t="str">
        <f t="shared" si="523"/>
        <v>Apprenant 719</v>
      </c>
      <c r="BB731" s="49" t="str">
        <f t="shared" si="495"/>
        <v/>
      </c>
      <c r="BC731" s="49" t="str">
        <f t="shared" si="496"/>
        <v/>
      </c>
      <c r="BD731" s="49" t="str">
        <f t="shared" si="497"/>
        <v/>
      </c>
      <c r="BE731" s="22" t="str">
        <f t="shared" si="524"/>
        <v/>
      </c>
      <c r="BF731" s="21" t="str">
        <f t="shared" si="525"/>
        <v>Apprenant 719 ou 719'</v>
      </c>
      <c r="BG731" s="49" t="str">
        <f t="shared" si="498"/>
        <v/>
      </c>
      <c r="BH731" s="49" t="str">
        <f t="shared" si="499"/>
        <v/>
      </c>
      <c r="BI731" s="49" t="str">
        <f t="shared" si="500"/>
        <v/>
      </c>
      <c r="BJ731" s="22" t="str">
        <f t="shared" si="526"/>
        <v/>
      </c>
      <c r="BL731" s="21"/>
      <c r="BM731" s="21" t="str">
        <f>IF(OR(COUNT(B731:D1730)=0,AND('Choix pédagogiques'!$C$3&lt;&gt;1,'Choix pédagogiques'!$C$3&lt;&gt;2)),"",IF(AND(OR('Choix pédagogiques'!$C$3=1,'Choix pédagogiques'!$C$3=2),$B731&lt;&gt;"",$C731&lt;&gt;"",$D731&lt;&gt;""),1,0))</f>
        <v/>
      </c>
      <c r="BN731" s="21" t="str">
        <f>IF(OR(COUNT(G731:I1730)=0,AND('Choix pédagogiques'!$C$3&lt;&gt;1,'Choix pédagogiques'!$C$3&lt;&gt;2)),"",IF(AND(OR('Choix pédagogiques'!$C$3=1,'Choix pédagogiques'!$C$3=2),AND($G731&lt;&gt;"",$H731&lt;&gt;"",$I731&lt;&gt;"")),1,0))</f>
        <v/>
      </c>
      <c r="BO731" s="21" t="str">
        <f>IF(OR(COUNT(B731:D1730)=0,COUNT(G731:I1730)=0,'Choix pédagogiques'!C$3&lt;&gt;3),"",IF(AND('Choix pédagogiques'!$C$3=3,$B731&lt;&gt;"",$C731&lt;&gt;"",$D731&lt;&gt;"",$G731&lt;&gt;"",$H731&lt;&gt;"",$I731&lt;&gt;""),1,0))</f>
        <v/>
      </c>
      <c r="BR731" s="21">
        <v>928</v>
      </c>
      <c r="BS731" s="21">
        <v>1567</v>
      </c>
      <c r="BT731"/>
    </row>
    <row r="732" spans="1:72" s="23" customFormat="1" ht="18" customHeight="1" x14ac:dyDescent="0.3">
      <c r="A732" s="35" t="s">
        <v>722</v>
      </c>
      <c r="B732" s="37"/>
      <c r="C732" s="37"/>
      <c r="D732" s="37"/>
      <c r="E732" s="37"/>
      <c r="F732" s="35" t="s">
        <v>1730</v>
      </c>
      <c r="G732" s="37"/>
      <c r="H732" s="37"/>
      <c r="I732" s="37"/>
      <c r="J732" s="37"/>
      <c r="K732" s="21" t="str">
        <f t="shared" si="501"/>
        <v>Apprenant 720</v>
      </c>
      <c r="L732" s="22" t="str">
        <f t="shared" si="502"/>
        <v/>
      </c>
      <c r="M732" s="22" t="str">
        <f t="shared" si="503"/>
        <v/>
      </c>
      <c r="N732" s="22" t="str">
        <f t="shared" si="504"/>
        <v/>
      </c>
      <c r="O732" s="22" t="str">
        <f t="shared" si="505"/>
        <v/>
      </c>
      <c r="P732" s="21" t="str">
        <f t="shared" si="506"/>
        <v>Apprenant 720 ou 720'</v>
      </c>
      <c r="Q732" s="22" t="str">
        <f t="shared" si="507"/>
        <v/>
      </c>
      <c r="R732" s="22" t="str">
        <f t="shared" si="508"/>
        <v/>
      </c>
      <c r="S732" s="22" t="str">
        <f t="shared" si="509"/>
        <v/>
      </c>
      <c r="T732" s="22" t="str">
        <f t="shared" si="510"/>
        <v/>
      </c>
      <c r="V732" s="21" t="str">
        <f t="shared" si="511"/>
        <v>Apprenant 720</v>
      </c>
      <c r="W732" s="22" t="str">
        <f>IF(AND(OR('Choix pédagogiques'!$C$3=1,'Choix pédagogiques'!$C$3=2),$BM732=1),B732,IF(AND('Choix pédagogiques'!$C$3=3,$BO732=1),B732,""))</f>
        <v/>
      </c>
      <c r="X732" s="22" t="str">
        <f>IF(AND(OR('Choix pédagogiques'!$C$3=1,'Choix pédagogiques'!$C$3=2),$BM732=1),C732,IF(AND('Choix pédagogiques'!$C$3=3,$BO732=1),C732,""))</f>
        <v/>
      </c>
      <c r="Y732" s="22" t="str">
        <f>IF(AND(OR('Choix pédagogiques'!$C$3=1,'Choix pédagogiques'!$C$3=2),$BM732=1),D732,IF(AND('Choix pédagogiques'!$C$3=3,$BO732=1),D732,""))</f>
        <v/>
      </c>
      <c r="Z732" s="22" t="str">
        <f t="shared" si="512"/>
        <v/>
      </c>
      <c r="AA732" s="21" t="str">
        <f t="shared" si="513"/>
        <v>Apprenant 720 ou 720'</v>
      </c>
      <c r="AB732" s="22" t="str">
        <f>IF(AND(OR('Choix pédagogiques'!$C$3=1,'Choix pédagogiques'!$C$3=2),$BN732=1),G732,IF(AND('Choix pédagogiques'!$C$3=3,$BO732=1),G732,""))</f>
        <v/>
      </c>
      <c r="AC732" s="22" t="str">
        <f>IF(AND(OR('Choix pédagogiques'!$C$3=1,'Choix pédagogiques'!$C$3=2),$BN732=1),H732,IF(AND('Choix pédagogiques'!$C$3=3,$BO732=1),H732,""))</f>
        <v/>
      </c>
      <c r="AD732" s="22" t="str">
        <f>IF(AND(OR('Choix pédagogiques'!$C$3=1,'Choix pédagogiques'!$C$3=2),$BN732=1),I732,IF(AND('Choix pédagogiques'!$C$3=3,$BO732=1),I732,""))</f>
        <v/>
      </c>
      <c r="AE732" s="22" t="str">
        <f t="shared" si="514"/>
        <v/>
      </c>
      <c r="AF732" s="21" t="str">
        <f t="shared" si="515"/>
        <v>Apprenant 720</v>
      </c>
      <c r="AG732" s="22" t="str">
        <f t="shared" si="489"/>
        <v/>
      </c>
      <c r="AH732" s="22" t="str">
        <f t="shared" si="490"/>
        <v/>
      </c>
      <c r="AI732" s="22" t="str">
        <f t="shared" si="491"/>
        <v/>
      </c>
      <c r="AJ732" s="22" t="str">
        <f t="shared" si="516"/>
        <v/>
      </c>
      <c r="AK732" s="21" t="str">
        <f t="shared" si="517"/>
        <v>Apprenant 720 ou 720'</v>
      </c>
      <c r="AL732" s="22" t="str">
        <f t="shared" si="492"/>
        <v/>
      </c>
      <c r="AM732" s="22" t="str">
        <f t="shared" si="493"/>
        <v/>
      </c>
      <c r="AN732" s="22" t="str">
        <f t="shared" si="494"/>
        <v/>
      </c>
      <c r="AO732" s="22" t="str">
        <f t="shared" si="518"/>
        <v/>
      </c>
      <c r="AQ732" s="21" t="str">
        <f t="shared" si="519"/>
        <v>Apprenant 720</v>
      </c>
      <c r="AR732" s="49" t="str">
        <f>IF(AND('Choix pédagogiques'!$C$4&lt;&gt;"?",'Choix pédagogiques'!$C$5&lt;&gt;"?",W732&lt;&gt;""),(W732-'Choix pédagogiques'!$C$4)/('Choix pédagogiques'!$C$5-'Choix pédagogiques'!$C$4),"")</f>
        <v/>
      </c>
      <c r="AS732" s="49" t="str">
        <f>IF(AND('Choix pédagogiques'!$C$4&lt;&gt;"?",'Choix pédagogiques'!$C$5&lt;&gt;"?",X732&lt;&gt;""),(X732-'Choix pédagogiques'!$C$4)/('Choix pédagogiques'!$C$5-'Choix pédagogiques'!$C$4),"")</f>
        <v/>
      </c>
      <c r="AT732" s="49" t="str">
        <f>IF(AND('Choix pédagogiques'!$C$4&lt;&gt;"?",'Choix pédagogiques'!$C$5&lt;&gt;"?",Y732&lt;&gt;""),(Y732-'Choix pédagogiques'!$C$4)/('Choix pédagogiques'!$C$5-'Choix pédagogiques'!$C$4),"")</f>
        <v/>
      </c>
      <c r="AU732" s="22" t="str">
        <f t="shared" si="520"/>
        <v/>
      </c>
      <c r="AV732" s="21" t="str">
        <f t="shared" si="521"/>
        <v>Apprenant 720 ou 720'</v>
      </c>
      <c r="AW732" s="49" t="str">
        <f>IF(AND('Choix pédagogiques'!$C$4&lt;&gt;"?",'Choix pédagogiques'!$C$5&lt;&gt;"?",AB732&lt;&gt;""),(AB732-'Choix pédagogiques'!$C$4)/('Choix pédagogiques'!$C$5-'Choix pédagogiques'!$C$4),"")</f>
        <v/>
      </c>
      <c r="AX732" s="49" t="str">
        <f>IF(AND('Choix pédagogiques'!$C$4&lt;&gt;"?",'Choix pédagogiques'!$C$5&lt;&gt;"?",AC732&lt;&gt;""),(AC732-'Choix pédagogiques'!$C$4)/('Choix pédagogiques'!$C$5-'Choix pédagogiques'!$C$4),"")</f>
        <v/>
      </c>
      <c r="AY732" s="49" t="str">
        <f>IF(AND('Choix pédagogiques'!$C$4&lt;&gt;"?",'Choix pédagogiques'!$C$5&lt;&gt;"?",AD732&lt;&gt;""),(AD732-'Choix pédagogiques'!$C$4)/('Choix pédagogiques'!$C$5-'Choix pédagogiques'!$C$4),"")</f>
        <v/>
      </c>
      <c r="AZ732" s="22" t="str">
        <f t="shared" si="522"/>
        <v/>
      </c>
      <c r="BA732" s="21" t="str">
        <f t="shared" si="523"/>
        <v>Apprenant 720</v>
      </c>
      <c r="BB732" s="49" t="str">
        <f t="shared" si="495"/>
        <v/>
      </c>
      <c r="BC732" s="49" t="str">
        <f t="shared" si="496"/>
        <v/>
      </c>
      <c r="BD732" s="49" t="str">
        <f t="shared" si="497"/>
        <v/>
      </c>
      <c r="BE732" s="22" t="str">
        <f t="shared" si="524"/>
        <v/>
      </c>
      <c r="BF732" s="21" t="str">
        <f t="shared" si="525"/>
        <v>Apprenant 720 ou 720'</v>
      </c>
      <c r="BG732" s="49" t="str">
        <f t="shared" si="498"/>
        <v/>
      </c>
      <c r="BH732" s="49" t="str">
        <f t="shared" si="499"/>
        <v/>
      </c>
      <c r="BI732" s="49" t="str">
        <f t="shared" si="500"/>
        <v/>
      </c>
      <c r="BJ732" s="22" t="str">
        <f t="shared" si="526"/>
        <v/>
      </c>
      <c r="BL732" s="21"/>
      <c r="BM732" s="21" t="str">
        <f>IF(OR(COUNT(B732:D1731)=0,AND('Choix pédagogiques'!$C$3&lt;&gt;1,'Choix pédagogiques'!$C$3&lt;&gt;2)),"",IF(AND(OR('Choix pédagogiques'!$C$3=1,'Choix pédagogiques'!$C$3=2),$B732&lt;&gt;"",$C732&lt;&gt;"",$D732&lt;&gt;""),1,0))</f>
        <v/>
      </c>
      <c r="BN732" s="21" t="str">
        <f>IF(OR(COUNT(G732:I1731)=0,AND('Choix pédagogiques'!$C$3&lt;&gt;1,'Choix pédagogiques'!$C$3&lt;&gt;2)),"",IF(AND(OR('Choix pédagogiques'!$C$3=1,'Choix pédagogiques'!$C$3=2),AND($G732&lt;&gt;"",$H732&lt;&gt;"",$I732&lt;&gt;"")),1,0))</f>
        <v/>
      </c>
      <c r="BO732" s="21" t="str">
        <f>IF(OR(COUNT(B732:D1731)=0,COUNT(G732:I1731)=0,'Choix pédagogiques'!C$3&lt;&gt;3),"",IF(AND('Choix pédagogiques'!$C$3=3,$B732&lt;&gt;"",$C732&lt;&gt;"",$D732&lt;&gt;"",$G732&lt;&gt;"",$H732&lt;&gt;"",$I732&lt;&gt;""),1,0))</f>
        <v/>
      </c>
      <c r="BR732" s="21">
        <v>371</v>
      </c>
      <c r="BS732" s="21">
        <v>1252</v>
      </c>
      <c r="BT732"/>
    </row>
    <row r="733" spans="1:72" s="23" customFormat="1" ht="18" customHeight="1" x14ac:dyDescent="0.3">
      <c r="A733" s="35" t="s">
        <v>723</v>
      </c>
      <c r="B733" s="37"/>
      <c r="C733" s="37"/>
      <c r="D733" s="37"/>
      <c r="E733" s="37"/>
      <c r="F733" s="35" t="s">
        <v>1731</v>
      </c>
      <c r="G733" s="37"/>
      <c r="H733" s="37"/>
      <c r="I733" s="37"/>
      <c r="J733" s="37"/>
      <c r="K733" s="21" t="str">
        <f t="shared" si="501"/>
        <v>Apprenant 721</v>
      </c>
      <c r="L733" s="22" t="str">
        <f t="shared" si="502"/>
        <v/>
      </c>
      <c r="M733" s="22" t="str">
        <f t="shared" si="503"/>
        <v/>
      </c>
      <c r="N733" s="22" t="str">
        <f t="shared" si="504"/>
        <v/>
      </c>
      <c r="O733" s="22" t="str">
        <f t="shared" si="505"/>
        <v/>
      </c>
      <c r="P733" s="21" t="str">
        <f t="shared" si="506"/>
        <v>Apprenant 721 ou 721'</v>
      </c>
      <c r="Q733" s="22" t="str">
        <f t="shared" si="507"/>
        <v/>
      </c>
      <c r="R733" s="22" t="str">
        <f t="shared" si="508"/>
        <v/>
      </c>
      <c r="S733" s="22" t="str">
        <f t="shared" si="509"/>
        <v/>
      </c>
      <c r="T733" s="22" t="str">
        <f t="shared" si="510"/>
        <v/>
      </c>
      <c r="V733" s="21" t="str">
        <f t="shared" si="511"/>
        <v>Apprenant 721</v>
      </c>
      <c r="W733" s="22" t="str">
        <f>IF(AND(OR('Choix pédagogiques'!$C$3=1,'Choix pédagogiques'!$C$3=2),$BM733=1),B733,IF(AND('Choix pédagogiques'!$C$3=3,$BO733=1),B733,""))</f>
        <v/>
      </c>
      <c r="X733" s="22" t="str">
        <f>IF(AND(OR('Choix pédagogiques'!$C$3=1,'Choix pédagogiques'!$C$3=2),$BM733=1),C733,IF(AND('Choix pédagogiques'!$C$3=3,$BO733=1),C733,""))</f>
        <v/>
      </c>
      <c r="Y733" s="22" t="str">
        <f>IF(AND(OR('Choix pédagogiques'!$C$3=1,'Choix pédagogiques'!$C$3=2),$BM733=1),D733,IF(AND('Choix pédagogiques'!$C$3=3,$BO733=1),D733,""))</f>
        <v/>
      </c>
      <c r="Z733" s="22" t="str">
        <f t="shared" si="512"/>
        <v/>
      </c>
      <c r="AA733" s="21" t="str">
        <f t="shared" si="513"/>
        <v>Apprenant 721 ou 721'</v>
      </c>
      <c r="AB733" s="22" t="str">
        <f>IF(AND(OR('Choix pédagogiques'!$C$3=1,'Choix pédagogiques'!$C$3=2),$BN733=1),G733,IF(AND('Choix pédagogiques'!$C$3=3,$BO733=1),G733,""))</f>
        <v/>
      </c>
      <c r="AC733" s="22" t="str">
        <f>IF(AND(OR('Choix pédagogiques'!$C$3=1,'Choix pédagogiques'!$C$3=2),$BN733=1),H733,IF(AND('Choix pédagogiques'!$C$3=3,$BO733=1),H733,""))</f>
        <v/>
      </c>
      <c r="AD733" s="22" t="str">
        <f>IF(AND(OR('Choix pédagogiques'!$C$3=1,'Choix pédagogiques'!$C$3=2),$BN733=1),I733,IF(AND('Choix pédagogiques'!$C$3=3,$BO733=1),I733,""))</f>
        <v/>
      </c>
      <c r="AE733" s="22" t="str">
        <f t="shared" si="514"/>
        <v/>
      </c>
      <c r="AF733" s="21" t="str">
        <f t="shared" si="515"/>
        <v>Apprenant 721</v>
      </c>
      <c r="AG733" s="22" t="str">
        <f t="shared" si="489"/>
        <v/>
      </c>
      <c r="AH733" s="22" t="str">
        <f t="shared" si="490"/>
        <v/>
      </c>
      <c r="AI733" s="22" t="str">
        <f t="shared" si="491"/>
        <v/>
      </c>
      <c r="AJ733" s="22" t="str">
        <f t="shared" si="516"/>
        <v/>
      </c>
      <c r="AK733" s="21" t="str">
        <f t="shared" si="517"/>
        <v>Apprenant 721 ou 721'</v>
      </c>
      <c r="AL733" s="22" t="str">
        <f t="shared" si="492"/>
        <v/>
      </c>
      <c r="AM733" s="22" t="str">
        <f t="shared" si="493"/>
        <v/>
      </c>
      <c r="AN733" s="22" t="str">
        <f t="shared" si="494"/>
        <v/>
      </c>
      <c r="AO733" s="22" t="str">
        <f t="shared" si="518"/>
        <v/>
      </c>
      <c r="AQ733" s="21" t="str">
        <f t="shared" si="519"/>
        <v>Apprenant 721</v>
      </c>
      <c r="AR733" s="49" t="str">
        <f>IF(AND('Choix pédagogiques'!$C$4&lt;&gt;"?",'Choix pédagogiques'!$C$5&lt;&gt;"?",W733&lt;&gt;""),(W733-'Choix pédagogiques'!$C$4)/('Choix pédagogiques'!$C$5-'Choix pédagogiques'!$C$4),"")</f>
        <v/>
      </c>
      <c r="AS733" s="49" t="str">
        <f>IF(AND('Choix pédagogiques'!$C$4&lt;&gt;"?",'Choix pédagogiques'!$C$5&lt;&gt;"?",X733&lt;&gt;""),(X733-'Choix pédagogiques'!$C$4)/('Choix pédagogiques'!$C$5-'Choix pédagogiques'!$C$4),"")</f>
        <v/>
      </c>
      <c r="AT733" s="49" t="str">
        <f>IF(AND('Choix pédagogiques'!$C$4&lt;&gt;"?",'Choix pédagogiques'!$C$5&lt;&gt;"?",Y733&lt;&gt;""),(Y733-'Choix pédagogiques'!$C$4)/('Choix pédagogiques'!$C$5-'Choix pédagogiques'!$C$4),"")</f>
        <v/>
      </c>
      <c r="AU733" s="22" t="str">
        <f t="shared" si="520"/>
        <v/>
      </c>
      <c r="AV733" s="21" t="str">
        <f t="shared" si="521"/>
        <v>Apprenant 721 ou 721'</v>
      </c>
      <c r="AW733" s="49" t="str">
        <f>IF(AND('Choix pédagogiques'!$C$4&lt;&gt;"?",'Choix pédagogiques'!$C$5&lt;&gt;"?",AB733&lt;&gt;""),(AB733-'Choix pédagogiques'!$C$4)/('Choix pédagogiques'!$C$5-'Choix pédagogiques'!$C$4),"")</f>
        <v/>
      </c>
      <c r="AX733" s="49" t="str">
        <f>IF(AND('Choix pédagogiques'!$C$4&lt;&gt;"?",'Choix pédagogiques'!$C$5&lt;&gt;"?",AC733&lt;&gt;""),(AC733-'Choix pédagogiques'!$C$4)/('Choix pédagogiques'!$C$5-'Choix pédagogiques'!$C$4),"")</f>
        <v/>
      </c>
      <c r="AY733" s="49" t="str">
        <f>IF(AND('Choix pédagogiques'!$C$4&lt;&gt;"?",'Choix pédagogiques'!$C$5&lt;&gt;"?",AD733&lt;&gt;""),(AD733-'Choix pédagogiques'!$C$4)/('Choix pédagogiques'!$C$5-'Choix pédagogiques'!$C$4),"")</f>
        <v/>
      </c>
      <c r="AZ733" s="22" t="str">
        <f t="shared" si="522"/>
        <v/>
      </c>
      <c r="BA733" s="21" t="str">
        <f t="shared" si="523"/>
        <v>Apprenant 721</v>
      </c>
      <c r="BB733" s="49" t="str">
        <f t="shared" si="495"/>
        <v/>
      </c>
      <c r="BC733" s="49" t="str">
        <f t="shared" si="496"/>
        <v/>
      </c>
      <c r="BD733" s="49" t="str">
        <f t="shared" si="497"/>
        <v/>
      </c>
      <c r="BE733" s="22" t="str">
        <f t="shared" si="524"/>
        <v/>
      </c>
      <c r="BF733" s="21" t="str">
        <f t="shared" si="525"/>
        <v>Apprenant 721 ou 721'</v>
      </c>
      <c r="BG733" s="49" t="str">
        <f t="shared" si="498"/>
        <v/>
      </c>
      <c r="BH733" s="49" t="str">
        <f t="shared" si="499"/>
        <v/>
      </c>
      <c r="BI733" s="49" t="str">
        <f t="shared" si="500"/>
        <v/>
      </c>
      <c r="BJ733" s="22" t="str">
        <f t="shared" si="526"/>
        <v/>
      </c>
      <c r="BL733" s="21"/>
      <c r="BM733" s="21" t="str">
        <f>IF(OR(COUNT(B733:D1732)=0,AND('Choix pédagogiques'!$C$3&lt;&gt;1,'Choix pédagogiques'!$C$3&lt;&gt;2)),"",IF(AND(OR('Choix pédagogiques'!$C$3=1,'Choix pédagogiques'!$C$3=2),$B733&lt;&gt;"",$C733&lt;&gt;"",$D733&lt;&gt;""),1,0))</f>
        <v/>
      </c>
      <c r="BN733" s="21" t="str">
        <f>IF(OR(COUNT(G733:I1732)=0,AND('Choix pédagogiques'!$C$3&lt;&gt;1,'Choix pédagogiques'!$C$3&lt;&gt;2)),"",IF(AND(OR('Choix pédagogiques'!$C$3=1,'Choix pédagogiques'!$C$3=2),AND($G733&lt;&gt;"",$H733&lt;&gt;"",$I733&lt;&gt;"")),1,0))</f>
        <v/>
      </c>
      <c r="BO733" s="21" t="str">
        <f>IF(OR(COUNT(B733:D1732)=0,COUNT(G733:I1732)=0,'Choix pédagogiques'!C$3&lt;&gt;3),"",IF(AND('Choix pédagogiques'!$C$3=3,$B733&lt;&gt;"",$C733&lt;&gt;"",$D733&lt;&gt;"",$G733&lt;&gt;"",$H733&lt;&gt;"",$I733&lt;&gt;""),1,0))</f>
        <v/>
      </c>
      <c r="BR733" s="21">
        <v>20</v>
      </c>
      <c r="BS733" s="21">
        <v>1233</v>
      </c>
      <c r="BT733"/>
    </row>
    <row r="734" spans="1:72" s="23" customFormat="1" ht="18" customHeight="1" x14ac:dyDescent="0.3">
      <c r="A734" s="35" t="s">
        <v>724</v>
      </c>
      <c r="B734" s="37"/>
      <c r="C734" s="37"/>
      <c r="D734" s="37"/>
      <c r="E734" s="37"/>
      <c r="F734" s="35" t="s">
        <v>1732</v>
      </c>
      <c r="G734" s="37"/>
      <c r="H734" s="37"/>
      <c r="I734" s="37"/>
      <c r="J734" s="37"/>
      <c r="K734" s="21" t="str">
        <f t="shared" si="501"/>
        <v>Apprenant 722</v>
      </c>
      <c r="L734" s="22" t="str">
        <f t="shared" si="502"/>
        <v/>
      </c>
      <c r="M734" s="22" t="str">
        <f t="shared" si="503"/>
        <v/>
      </c>
      <c r="N734" s="22" t="str">
        <f t="shared" si="504"/>
        <v/>
      </c>
      <c r="O734" s="22" t="str">
        <f t="shared" si="505"/>
        <v/>
      </c>
      <c r="P734" s="21" t="str">
        <f t="shared" si="506"/>
        <v>Apprenant 722 ou 722'</v>
      </c>
      <c r="Q734" s="22" t="str">
        <f t="shared" si="507"/>
        <v/>
      </c>
      <c r="R734" s="22" t="str">
        <f t="shared" si="508"/>
        <v/>
      </c>
      <c r="S734" s="22" t="str">
        <f t="shared" si="509"/>
        <v/>
      </c>
      <c r="T734" s="22" t="str">
        <f t="shared" si="510"/>
        <v/>
      </c>
      <c r="V734" s="21" t="str">
        <f t="shared" si="511"/>
        <v>Apprenant 722</v>
      </c>
      <c r="W734" s="22" t="str">
        <f>IF(AND(OR('Choix pédagogiques'!$C$3=1,'Choix pédagogiques'!$C$3=2),$BM734=1),B734,IF(AND('Choix pédagogiques'!$C$3=3,$BO734=1),B734,""))</f>
        <v/>
      </c>
      <c r="X734" s="22" t="str">
        <f>IF(AND(OR('Choix pédagogiques'!$C$3=1,'Choix pédagogiques'!$C$3=2),$BM734=1),C734,IF(AND('Choix pédagogiques'!$C$3=3,$BO734=1),C734,""))</f>
        <v/>
      </c>
      <c r="Y734" s="22" t="str">
        <f>IF(AND(OR('Choix pédagogiques'!$C$3=1,'Choix pédagogiques'!$C$3=2),$BM734=1),D734,IF(AND('Choix pédagogiques'!$C$3=3,$BO734=1),D734,""))</f>
        <v/>
      </c>
      <c r="Z734" s="22" t="str">
        <f t="shared" si="512"/>
        <v/>
      </c>
      <c r="AA734" s="21" t="str">
        <f t="shared" si="513"/>
        <v>Apprenant 722 ou 722'</v>
      </c>
      <c r="AB734" s="22" t="str">
        <f>IF(AND(OR('Choix pédagogiques'!$C$3=1,'Choix pédagogiques'!$C$3=2),$BN734=1),G734,IF(AND('Choix pédagogiques'!$C$3=3,$BO734=1),G734,""))</f>
        <v/>
      </c>
      <c r="AC734" s="22" t="str">
        <f>IF(AND(OR('Choix pédagogiques'!$C$3=1,'Choix pédagogiques'!$C$3=2),$BN734=1),H734,IF(AND('Choix pédagogiques'!$C$3=3,$BO734=1),H734,""))</f>
        <v/>
      </c>
      <c r="AD734" s="22" t="str">
        <f>IF(AND(OR('Choix pédagogiques'!$C$3=1,'Choix pédagogiques'!$C$3=2),$BN734=1),I734,IF(AND('Choix pédagogiques'!$C$3=3,$BO734=1),I734,""))</f>
        <v/>
      </c>
      <c r="AE734" s="22" t="str">
        <f t="shared" si="514"/>
        <v/>
      </c>
      <c r="AF734" s="21" t="str">
        <f t="shared" si="515"/>
        <v>Apprenant 722</v>
      </c>
      <c r="AG734" s="22" t="str">
        <f t="shared" si="489"/>
        <v/>
      </c>
      <c r="AH734" s="22" t="str">
        <f t="shared" si="490"/>
        <v/>
      </c>
      <c r="AI734" s="22" t="str">
        <f t="shared" si="491"/>
        <v/>
      </c>
      <c r="AJ734" s="22" t="str">
        <f t="shared" si="516"/>
        <v/>
      </c>
      <c r="AK734" s="21" t="str">
        <f t="shared" si="517"/>
        <v>Apprenant 722 ou 722'</v>
      </c>
      <c r="AL734" s="22" t="str">
        <f t="shared" si="492"/>
        <v/>
      </c>
      <c r="AM734" s="22" t="str">
        <f t="shared" si="493"/>
        <v/>
      </c>
      <c r="AN734" s="22" t="str">
        <f t="shared" si="494"/>
        <v/>
      </c>
      <c r="AO734" s="22" t="str">
        <f t="shared" si="518"/>
        <v/>
      </c>
      <c r="AQ734" s="21" t="str">
        <f t="shared" si="519"/>
        <v>Apprenant 722</v>
      </c>
      <c r="AR734" s="49" t="str">
        <f>IF(AND('Choix pédagogiques'!$C$4&lt;&gt;"?",'Choix pédagogiques'!$C$5&lt;&gt;"?",W734&lt;&gt;""),(W734-'Choix pédagogiques'!$C$4)/('Choix pédagogiques'!$C$5-'Choix pédagogiques'!$C$4),"")</f>
        <v/>
      </c>
      <c r="AS734" s="49" t="str">
        <f>IF(AND('Choix pédagogiques'!$C$4&lt;&gt;"?",'Choix pédagogiques'!$C$5&lt;&gt;"?",X734&lt;&gt;""),(X734-'Choix pédagogiques'!$C$4)/('Choix pédagogiques'!$C$5-'Choix pédagogiques'!$C$4),"")</f>
        <v/>
      </c>
      <c r="AT734" s="49" t="str">
        <f>IF(AND('Choix pédagogiques'!$C$4&lt;&gt;"?",'Choix pédagogiques'!$C$5&lt;&gt;"?",Y734&lt;&gt;""),(Y734-'Choix pédagogiques'!$C$4)/('Choix pédagogiques'!$C$5-'Choix pédagogiques'!$C$4),"")</f>
        <v/>
      </c>
      <c r="AU734" s="22" t="str">
        <f t="shared" si="520"/>
        <v/>
      </c>
      <c r="AV734" s="21" t="str">
        <f t="shared" si="521"/>
        <v>Apprenant 722 ou 722'</v>
      </c>
      <c r="AW734" s="49" t="str">
        <f>IF(AND('Choix pédagogiques'!$C$4&lt;&gt;"?",'Choix pédagogiques'!$C$5&lt;&gt;"?",AB734&lt;&gt;""),(AB734-'Choix pédagogiques'!$C$4)/('Choix pédagogiques'!$C$5-'Choix pédagogiques'!$C$4),"")</f>
        <v/>
      </c>
      <c r="AX734" s="49" t="str">
        <f>IF(AND('Choix pédagogiques'!$C$4&lt;&gt;"?",'Choix pédagogiques'!$C$5&lt;&gt;"?",AC734&lt;&gt;""),(AC734-'Choix pédagogiques'!$C$4)/('Choix pédagogiques'!$C$5-'Choix pédagogiques'!$C$4),"")</f>
        <v/>
      </c>
      <c r="AY734" s="49" t="str">
        <f>IF(AND('Choix pédagogiques'!$C$4&lt;&gt;"?",'Choix pédagogiques'!$C$5&lt;&gt;"?",AD734&lt;&gt;""),(AD734-'Choix pédagogiques'!$C$4)/('Choix pédagogiques'!$C$5-'Choix pédagogiques'!$C$4),"")</f>
        <v/>
      </c>
      <c r="AZ734" s="22" t="str">
        <f t="shared" si="522"/>
        <v/>
      </c>
      <c r="BA734" s="21" t="str">
        <f t="shared" si="523"/>
        <v>Apprenant 722</v>
      </c>
      <c r="BB734" s="49" t="str">
        <f t="shared" si="495"/>
        <v/>
      </c>
      <c r="BC734" s="49" t="str">
        <f t="shared" si="496"/>
        <v/>
      </c>
      <c r="BD734" s="49" t="str">
        <f t="shared" si="497"/>
        <v/>
      </c>
      <c r="BE734" s="22" t="str">
        <f t="shared" si="524"/>
        <v/>
      </c>
      <c r="BF734" s="21" t="str">
        <f t="shared" si="525"/>
        <v>Apprenant 722 ou 722'</v>
      </c>
      <c r="BG734" s="49" t="str">
        <f t="shared" si="498"/>
        <v/>
      </c>
      <c r="BH734" s="49" t="str">
        <f t="shared" si="499"/>
        <v/>
      </c>
      <c r="BI734" s="49" t="str">
        <f t="shared" si="500"/>
        <v/>
      </c>
      <c r="BJ734" s="22" t="str">
        <f t="shared" si="526"/>
        <v/>
      </c>
      <c r="BL734" s="21"/>
      <c r="BM734" s="21" t="str">
        <f>IF(OR(COUNT(B734:D1733)=0,AND('Choix pédagogiques'!$C$3&lt;&gt;1,'Choix pédagogiques'!$C$3&lt;&gt;2)),"",IF(AND(OR('Choix pédagogiques'!$C$3=1,'Choix pédagogiques'!$C$3=2),$B734&lt;&gt;"",$C734&lt;&gt;"",$D734&lt;&gt;""),1,0))</f>
        <v/>
      </c>
      <c r="BN734" s="21" t="str">
        <f>IF(OR(COUNT(G734:I1733)=0,AND('Choix pédagogiques'!$C$3&lt;&gt;1,'Choix pédagogiques'!$C$3&lt;&gt;2)),"",IF(AND(OR('Choix pédagogiques'!$C$3=1,'Choix pédagogiques'!$C$3=2),AND($G734&lt;&gt;"",$H734&lt;&gt;"",$I734&lt;&gt;"")),1,0))</f>
        <v/>
      </c>
      <c r="BO734" s="21" t="str">
        <f>IF(OR(COUNT(B734:D1733)=0,COUNT(G734:I1733)=0,'Choix pédagogiques'!C$3&lt;&gt;3),"",IF(AND('Choix pédagogiques'!$C$3=3,$B734&lt;&gt;"",$C734&lt;&gt;"",$D734&lt;&gt;"",$G734&lt;&gt;"",$H734&lt;&gt;"",$I734&lt;&gt;""),1,0))</f>
        <v/>
      </c>
      <c r="BR734" s="21">
        <v>965</v>
      </c>
      <c r="BS734" s="21">
        <v>1706</v>
      </c>
      <c r="BT734"/>
    </row>
    <row r="735" spans="1:72" s="23" customFormat="1" ht="18" customHeight="1" x14ac:dyDescent="0.3">
      <c r="A735" s="35" t="s">
        <v>725</v>
      </c>
      <c r="B735" s="37"/>
      <c r="C735" s="37"/>
      <c r="D735" s="37"/>
      <c r="E735" s="37"/>
      <c r="F735" s="35" t="s">
        <v>1733</v>
      </c>
      <c r="G735" s="37"/>
      <c r="H735" s="37"/>
      <c r="I735" s="37"/>
      <c r="J735" s="37"/>
      <c r="K735" s="21" t="str">
        <f t="shared" si="501"/>
        <v>Apprenant 723</v>
      </c>
      <c r="L735" s="22" t="str">
        <f t="shared" si="502"/>
        <v/>
      </c>
      <c r="M735" s="22" t="str">
        <f t="shared" si="503"/>
        <v/>
      </c>
      <c r="N735" s="22" t="str">
        <f t="shared" si="504"/>
        <v/>
      </c>
      <c r="O735" s="22" t="str">
        <f t="shared" si="505"/>
        <v/>
      </c>
      <c r="P735" s="21" t="str">
        <f t="shared" si="506"/>
        <v>Apprenant 723 ou 723'</v>
      </c>
      <c r="Q735" s="22" t="str">
        <f t="shared" si="507"/>
        <v/>
      </c>
      <c r="R735" s="22" t="str">
        <f t="shared" si="508"/>
        <v/>
      </c>
      <c r="S735" s="22" t="str">
        <f t="shared" si="509"/>
        <v/>
      </c>
      <c r="T735" s="22" t="str">
        <f t="shared" si="510"/>
        <v/>
      </c>
      <c r="V735" s="21" t="str">
        <f t="shared" si="511"/>
        <v>Apprenant 723</v>
      </c>
      <c r="W735" s="22" t="str">
        <f>IF(AND(OR('Choix pédagogiques'!$C$3=1,'Choix pédagogiques'!$C$3=2),$BM735=1),B735,IF(AND('Choix pédagogiques'!$C$3=3,$BO735=1),B735,""))</f>
        <v/>
      </c>
      <c r="X735" s="22" t="str">
        <f>IF(AND(OR('Choix pédagogiques'!$C$3=1,'Choix pédagogiques'!$C$3=2),$BM735=1),C735,IF(AND('Choix pédagogiques'!$C$3=3,$BO735=1),C735,""))</f>
        <v/>
      </c>
      <c r="Y735" s="22" t="str">
        <f>IF(AND(OR('Choix pédagogiques'!$C$3=1,'Choix pédagogiques'!$C$3=2),$BM735=1),D735,IF(AND('Choix pédagogiques'!$C$3=3,$BO735=1),D735,""))</f>
        <v/>
      </c>
      <c r="Z735" s="22" t="str">
        <f t="shared" si="512"/>
        <v/>
      </c>
      <c r="AA735" s="21" t="str">
        <f t="shared" si="513"/>
        <v>Apprenant 723 ou 723'</v>
      </c>
      <c r="AB735" s="22" t="str">
        <f>IF(AND(OR('Choix pédagogiques'!$C$3=1,'Choix pédagogiques'!$C$3=2),$BN735=1),G735,IF(AND('Choix pédagogiques'!$C$3=3,$BO735=1),G735,""))</f>
        <v/>
      </c>
      <c r="AC735" s="22" t="str">
        <f>IF(AND(OR('Choix pédagogiques'!$C$3=1,'Choix pédagogiques'!$C$3=2),$BN735=1),H735,IF(AND('Choix pédagogiques'!$C$3=3,$BO735=1),H735,""))</f>
        <v/>
      </c>
      <c r="AD735" s="22" t="str">
        <f>IF(AND(OR('Choix pédagogiques'!$C$3=1,'Choix pédagogiques'!$C$3=2),$BN735=1),I735,IF(AND('Choix pédagogiques'!$C$3=3,$BO735=1),I735,""))</f>
        <v/>
      </c>
      <c r="AE735" s="22" t="str">
        <f t="shared" si="514"/>
        <v/>
      </c>
      <c r="AF735" s="21" t="str">
        <f t="shared" si="515"/>
        <v>Apprenant 723</v>
      </c>
      <c r="AG735" s="22" t="str">
        <f t="shared" si="489"/>
        <v/>
      </c>
      <c r="AH735" s="22" t="str">
        <f t="shared" si="490"/>
        <v/>
      </c>
      <c r="AI735" s="22" t="str">
        <f t="shared" si="491"/>
        <v/>
      </c>
      <c r="AJ735" s="22" t="str">
        <f t="shared" si="516"/>
        <v/>
      </c>
      <c r="AK735" s="21" t="str">
        <f t="shared" si="517"/>
        <v>Apprenant 723 ou 723'</v>
      </c>
      <c r="AL735" s="22" t="str">
        <f t="shared" si="492"/>
        <v/>
      </c>
      <c r="AM735" s="22" t="str">
        <f t="shared" si="493"/>
        <v/>
      </c>
      <c r="AN735" s="22" t="str">
        <f t="shared" si="494"/>
        <v/>
      </c>
      <c r="AO735" s="22" t="str">
        <f t="shared" si="518"/>
        <v/>
      </c>
      <c r="AQ735" s="21" t="str">
        <f t="shared" si="519"/>
        <v>Apprenant 723</v>
      </c>
      <c r="AR735" s="49" t="str">
        <f>IF(AND('Choix pédagogiques'!$C$4&lt;&gt;"?",'Choix pédagogiques'!$C$5&lt;&gt;"?",W735&lt;&gt;""),(W735-'Choix pédagogiques'!$C$4)/('Choix pédagogiques'!$C$5-'Choix pédagogiques'!$C$4),"")</f>
        <v/>
      </c>
      <c r="AS735" s="49" t="str">
        <f>IF(AND('Choix pédagogiques'!$C$4&lt;&gt;"?",'Choix pédagogiques'!$C$5&lt;&gt;"?",X735&lt;&gt;""),(X735-'Choix pédagogiques'!$C$4)/('Choix pédagogiques'!$C$5-'Choix pédagogiques'!$C$4),"")</f>
        <v/>
      </c>
      <c r="AT735" s="49" t="str">
        <f>IF(AND('Choix pédagogiques'!$C$4&lt;&gt;"?",'Choix pédagogiques'!$C$5&lt;&gt;"?",Y735&lt;&gt;""),(Y735-'Choix pédagogiques'!$C$4)/('Choix pédagogiques'!$C$5-'Choix pédagogiques'!$C$4),"")</f>
        <v/>
      </c>
      <c r="AU735" s="22" t="str">
        <f t="shared" si="520"/>
        <v/>
      </c>
      <c r="AV735" s="21" t="str">
        <f t="shared" si="521"/>
        <v>Apprenant 723 ou 723'</v>
      </c>
      <c r="AW735" s="49" t="str">
        <f>IF(AND('Choix pédagogiques'!$C$4&lt;&gt;"?",'Choix pédagogiques'!$C$5&lt;&gt;"?",AB735&lt;&gt;""),(AB735-'Choix pédagogiques'!$C$4)/('Choix pédagogiques'!$C$5-'Choix pédagogiques'!$C$4),"")</f>
        <v/>
      </c>
      <c r="AX735" s="49" t="str">
        <f>IF(AND('Choix pédagogiques'!$C$4&lt;&gt;"?",'Choix pédagogiques'!$C$5&lt;&gt;"?",AC735&lt;&gt;""),(AC735-'Choix pédagogiques'!$C$4)/('Choix pédagogiques'!$C$5-'Choix pédagogiques'!$C$4),"")</f>
        <v/>
      </c>
      <c r="AY735" s="49" t="str">
        <f>IF(AND('Choix pédagogiques'!$C$4&lt;&gt;"?",'Choix pédagogiques'!$C$5&lt;&gt;"?",AD735&lt;&gt;""),(AD735-'Choix pédagogiques'!$C$4)/('Choix pédagogiques'!$C$5-'Choix pédagogiques'!$C$4),"")</f>
        <v/>
      </c>
      <c r="AZ735" s="22" t="str">
        <f t="shared" si="522"/>
        <v/>
      </c>
      <c r="BA735" s="21" t="str">
        <f t="shared" si="523"/>
        <v>Apprenant 723</v>
      </c>
      <c r="BB735" s="49" t="str">
        <f t="shared" si="495"/>
        <v/>
      </c>
      <c r="BC735" s="49" t="str">
        <f t="shared" si="496"/>
        <v/>
      </c>
      <c r="BD735" s="49" t="str">
        <f t="shared" si="497"/>
        <v/>
      </c>
      <c r="BE735" s="22" t="str">
        <f t="shared" si="524"/>
        <v/>
      </c>
      <c r="BF735" s="21" t="str">
        <f t="shared" si="525"/>
        <v>Apprenant 723 ou 723'</v>
      </c>
      <c r="BG735" s="49" t="str">
        <f t="shared" si="498"/>
        <v/>
      </c>
      <c r="BH735" s="49" t="str">
        <f t="shared" si="499"/>
        <v/>
      </c>
      <c r="BI735" s="49" t="str">
        <f t="shared" si="500"/>
        <v/>
      </c>
      <c r="BJ735" s="22" t="str">
        <f t="shared" si="526"/>
        <v/>
      </c>
      <c r="BL735" s="21"/>
      <c r="BM735" s="21" t="str">
        <f>IF(OR(COUNT(B735:D1734)=0,AND('Choix pédagogiques'!$C$3&lt;&gt;1,'Choix pédagogiques'!$C$3&lt;&gt;2)),"",IF(AND(OR('Choix pédagogiques'!$C$3=1,'Choix pédagogiques'!$C$3=2),$B735&lt;&gt;"",$C735&lt;&gt;"",$D735&lt;&gt;""),1,0))</f>
        <v/>
      </c>
      <c r="BN735" s="21" t="str">
        <f>IF(OR(COUNT(G735:I1734)=0,AND('Choix pédagogiques'!$C$3&lt;&gt;1,'Choix pédagogiques'!$C$3&lt;&gt;2)),"",IF(AND(OR('Choix pédagogiques'!$C$3=1,'Choix pédagogiques'!$C$3=2),AND($G735&lt;&gt;"",$H735&lt;&gt;"",$I735&lt;&gt;"")),1,0))</f>
        <v/>
      </c>
      <c r="BO735" s="21" t="str">
        <f>IF(OR(COUNT(B735:D1734)=0,COUNT(G735:I1734)=0,'Choix pédagogiques'!C$3&lt;&gt;3),"",IF(AND('Choix pédagogiques'!$C$3=3,$B735&lt;&gt;"",$C735&lt;&gt;"",$D735&lt;&gt;"",$G735&lt;&gt;"",$H735&lt;&gt;"",$I735&lt;&gt;""),1,0))</f>
        <v/>
      </c>
      <c r="BR735" s="21">
        <v>717</v>
      </c>
      <c r="BS735" s="21">
        <v>1569</v>
      </c>
      <c r="BT735"/>
    </row>
    <row r="736" spans="1:72" s="23" customFormat="1" ht="18" customHeight="1" x14ac:dyDescent="0.3">
      <c r="A736" s="35" t="s">
        <v>726</v>
      </c>
      <c r="B736" s="37"/>
      <c r="C736" s="37"/>
      <c r="D736" s="37"/>
      <c r="E736" s="37"/>
      <c r="F736" s="35" t="s">
        <v>1734</v>
      </c>
      <c r="G736" s="37"/>
      <c r="H736" s="37"/>
      <c r="I736" s="37"/>
      <c r="J736" s="37"/>
      <c r="K736" s="21" t="str">
        <f t="shared" si="501"/>
        <v>Apprenant 724</v>
      </c>
      <c r="L736" s="22" t="str">
        <f t="shared" si="502"/>
        <v/>
      </c>
      <c r="M736" s="22" t="str">
        <f t="shared" si="503"/>
        <v/>
      </c>
      <c r="N736" s="22" t="str">
        <f t="shared" si="504"/>
        <v/>
      </c>
      <c r="O736" s="22" t="str">
        <f t="shared" si="505"/>
        <v/>
      </c>
      <c r="P736" s="21" t="str">
        <f t="shared" si="506"/>
        <v>Apprenant 724 ou 724'</v>
      </c>
      <c r="Q736" s="22" t="str">
        <f t="shared" si="507"/>
        <v/>
      </c>
      <c r="R736" s="22" t="str">
        <f t="shared" si="508"/>
        <v/>
      </c>
      <c r="S736" s="22" t="str">
        <f t="shared" si="509"/>
        <v/>
      </c>
      <c r="T736" s="22" t="str">
        <f t="shared" si="510"/>
        <v/>
      </c>
      <c r="V736" s="21" t="str">
        <f t="shared" si="511"/>
        <v>Apprenant 724</v>
      </c>
      <c r="W736" s="22" t="str">
        <f>IF(AND(OR('Choix pédagogiques'!$C$3=1,'Choix pédagogiques'!$C$3=2),$BM736=1),B736,IF(AND('Choix pédagogiques'!$C$3=3,$BO736=1),B736,""))</f>
        <v/>
      </c>
      <c r="X736" s="22" t="str">
        <f>IF(AND(OR('Choix pédagogiques'!$C$3=1,'Choix pédagogiques'!$C$3=2),$BM736=1),C736,IF(AND('Choix pédagogiques'!$C$3=3,$BO736=1),C736,""))</f>
        <v/>
      </c>
      <c r="Y736" s="22" t="str">
        <f>IF(AND(OR('Choix pédagogiques'!$C$3=1,'Choix pédagogiques'!$C$3=2),$BM736=1),D736,IF(AND('Choix pédagogiques'!$C$3=3,$BO736=1),D736,""))</f>
        <v/>
      </c>
      <c r="Z736" s="22" t="str">
        <f t="shared" si="512"/>
        <v/>
      </c>
      <c r="AA736" s="21" t="str">
        <f t="shared" si="513"/>
        <v>Apprenant 724 ou 724'</v>
      </c>
      <c r="AB736" s="22" t="str">
        <f>IF(AND(OR('Choix pédagogiques'!$C$3=1,'Choix pédagogiques'!$C$3=2),$BN736=1),G736,IF(AND('Choix pédagogiques'!$C$3=3,$BO736=1),G736,""))</f>
        <v/>
      </c>
      <c r="AC736" s="22" t="str">
        <f>IF(AND(OR('Choix pédagogiques'!$C$3=1,'Choix pédagogiques'!$C$3=2),$BN736=1),H736,IF(AND('Choix pédagogiques'!$C$3=3,$BO736=1),H736,""))</f>
        <v/>
      </c>
      <c r="AD736" s="22" t="str">
        <f>IF(AND(OR('Choix pédagogiques'!$C$3=1,'Choix pédagogiques'!$C$3=2),$BN736=1),I736,IF(AND('Choix pédagogiques'!$C$3=3,$BO736=1),I736,""))</f>
        <v/>
      </c>
      <c r="AE736" s="22" t="str">
        <f t="shared" si="514"/>
        <v/>
      </c>
      <c r="AF736" s="21" t="str">
        <f t="shared" si="515"/>
        <v>Apprenant 724</v>
      </c>
      <c r="AG736" s="22" t="str">
        <f t="shared" si="489"/>
        <v/>
      </c>
      <c r="AH736" s="22" t="str">
        <f t="shared" si="490"/>
        <v/>
      </c>
      <c r="AI736" s="22" t="str">
        <f t="shared" si="491"/>
        <v/>
      </c>
      <c r="AJ736" s="22" t="str">
        <f t="shared" si="516"/>
        <v/>
      </c>
      <c r="AK736" s="21" t="str">
        <f t="shared" si="517"/>
        <v>Apprenant 724 ou 724'</v>
      </c>
      <c r="AL736" s="22" t="str">
        <f t="shared" si="492"/>
        <v/>
      </c>
      <c r="AM736" s="22" t="str">
        <f t="shared" si="493"/>
        <v/>
      </c>
      <c r="AN736" s="22" t="str">
        <f t="shared" si="494"/>
        <v/>
      </c>
      <c r="AO736" s="22" t="str">
        <f t="shared" si="518"/>
        <v/>
      </c>
      <c r="AQ736" s="21" t="str">
        <f t="shared" si="519"/>
        <v>Apprenant 724</v>
      </c>
      <c r="AR736" s="49" t="str">
        <f>IF(AND('Choix pédagogiques'!$C$4&lt;&gt;"?",'Choix pédagogiques'!$C$5&lt;&gt;"?",W736&lt;&gt;""),(W736-'Choix pédagogiques'!$C$4)/('Choix pédagogiques'!$C$5-'Choix pédagogiques'!$C$4),"")</f>
        <v/>
      </c>
      <c r="AS736" s="49" t="str">
        <f>IF(AND('Choix pédagogiques'!$C$4&lt;&gt;"?",'Choix pédagogiques'!$C$5&lt;&gt;"?",X736&lt;&gt;""),(X736-'Choix pédagogiques'!$C$4)/('Choix pédagogiques'!$C$5-'Choix pédagogiques'!$C$4),"")</f>
        <v/>
      </c>
      <c r="AT736" s="49" t="str">
        <f>IF(AND('Choix pédagogiques'!$C$4&lt;&gt;"?",'Choix pédagogiques'!$C$5&lt;&gt;"?",Y736&lt;&gt;""),(Y736-'Choix pédagogiques'!$C$4)/('Choix pédagogiques'!$C$5-'Choix pédagogiques'!$C$4),"")</f>
        <v/>
      </c>
      <c r="AU736" s="22" t="str">
        <f t="shared" si="520"/>
        <v/>
      </c>
      <c r="AV736" s="21" t="str">
        <f t="shared" si="521"/>
        <v>Apprenant 724 ou 724'</v>
      </c>
      <c r="AW736" s="49" t="str">
        <f>IF(AND('Choix pédagogiques'!$C$4&lt;&gt;"?",'Choix pédagogiques'!$C$5&lt;&gt;"?",AB736&lt;&gt;""),(AB736-'Choix pédagogiques'!$C$4)/('Choix pédagogiques'!$C$5-'Choix pédagogiques'!$C$4),"")</f>
        <v/>
      </c>
      <c r="AX736" s="49" t="str">
        <f>IF(AND('Choix pédagogiques'!$C$4&lt;&gt;"?",'Choix pédagogiques'!$C$5&lt;&gt;"?",AC736&lt;&gt;""),(AC736-'Choix pédagogiques'!$C$4)/('Choix pédagogiques'!$C$5-'Choix pédagogiques'!$C$4),"")</f>
        <v/>
      </c>
      <c r="AY736" s="49" t="str">
        <f>IF(AND('Choix pédagogiques'!$C$4&lt;&gt;"?",'Choix pédagogiques'!$C$5&lt;&gt;"?",AD736&lt;&gt;""),(AD736-'Choix pédagogiques'!$C$4)/('Choix pédagogiques'!$C$5-'Choix pédagogiques'!$C$4),"")</f>
        <v/>
      </c>
      <c r="AZ736" s="22" t="str">
        <f t="shared" si="522"/>
        <v/>
      </c>
      <c r="BA736" s="21" t="str">
        <f t="shared" si="523"/>
        <v>Apprenant 724</v>
      </c>
      <c r="BB736" s="49" t="str">
        <f t="shared" si="495"/>
        <v/>
      </c>
      <c r="BC736" s="49" t="str">
        <f t="shared" si="496"/>
        <v/>
      </c>
      <c r="BD736" s="49" t="str">
        <f t="shared" si="497"/>
        <v/>
      </c>
      <c r="BE736" s="22" t="str">
        <f t="shared" si="524"/>
        <v/>
      </c>
      <c r="BF736" s="21" t="str">
        <f t="shared" si="525"/>
        <v>Apprenant 724 ou 724'</v>
      </c>
      <c r="BG736" s="49" t="str">
        <f t="shared" si="498"/>
        <v/>
      </c>
      <c r="BH736" s="49" t="str">
        <f t="shared" si="499"/>
        <v/>
      </c>
      <c r="BI736" s="49" t="str">
        <f t="shared" si="500"/>
        <v/>
      </c>
      <c r="BJ736" s="22" t="str">
        <f t="shared" si="526"/>
        <v/>
      </c>
      <c r="BL736" s="21"/>
      <c r="BM736" s="21" t="str">
        <f>IF(OR(COUNT(B736:D1735)=0,AND('Choix pédagogiques'!$C$3&lt;&gt;1,'Choix pédagogiques'!$C$3&lt;&gt;2)),"",IF(AND(OR('Choix pédagogiques'!$C$3=1,'Choix pédagogiques'!$C$3=2),$B736&lt;&gt;"",$C736&lt;&gt;"",$D736&lt;&gt;""),1,0))</f>
        <v/>
      </c>
      <c r="BN736" s="21" t="str">
        <f>IF(OR(COUNT(G736:I1735)=0,AND('Choix pédagogiques'!$C$3&lt;&gt;1,'Choix pédagogiques'!$C$3&lt;&gt;2)),"",IF(AND(OR('Choix pédagogiques'!$C$3=1,'Choix pédagogiques'!$C$3=2),AND($G736&lt;&gt;"",$H736&lt;&gt;"",$I736&lt;&gt;"")),1,0))</f>
        <v/>
      </c>
      <c r="BO736" s="21" t="str">
        <f>IF(OR(COUNT(B736:D1735)=0,COUNT(G736:I1735)=0,'Choix pédagogiques'!C$3&lt;&gt;3),"",IF(AND('Choix pédagogiques'!$C$3=3,$B736&lt;&gt;"",$C736&lt;&gt;"",$D736&lt;&gt;"",$G736&lt;&gt;"",$H736&lt;&gt;"",$I736&lt;&gt;""),1,0))</f>
        <v/>
      </c>
      <c r="BR736" s="21">
        <v>919</v>
      </c>
      <c r="BS736" s="21">
        <v>1496</v>
      </c>
      <c r="BT736"/>
    </row>
    <row r="737" spans="1:72" s="23" customFormat="1" ht="18" customHeight="1" x14ac:dyDescent="0.3">
      <c r="A737" s="35" t="s">
        <v>727</v>
      </c>
      <c r="B737" s="37"/>
      <c r="C737" s="37"/>
      <c r="D737" s="37"/>
      <c r="E737" s="37"/>
      <c r="F737" s="35" t="s">
        <v>1735</v>
      </c>
      <c r="G737" s="37"/>
      <c r="H737" s="37"/>
      <c r="I737" s="37"/>
      <c r="J737" s="37"/>
      <c r="K737" s="21" t="str">
        <f t="shared" si="501"/>
        <v>Apprenant 725</v>
      </c>
      <c r="L737" s="22" t="str">
        <f t="shared" si="502"/>
        <v/>
      </c>
      <c r="M737" s="22" t="str">
        <f t="shared" si="503"/>
        <v/>
      </c>
      <c r="N737" s="22" t="str">
        <f t="shared" si="504"/>
        <v/>
      </c>
      <c r="O737" s="22" t="str">
        <f t="shared" si="505"/>
        <v/>
      </c>
      <c r="P737" s="21" t="str">
        <f t="shared" si="506"/>
        <v>Apprenant 725 ou 725'</v>
      </c>
      <c r="Q737" s="22" t="str">
        <f t="shared" si="507"/>
        <v/>
      </c>
      <c r="R737" s="22" t="str">
        <f t="shared" si="508"/>
        <v/>
      </c>
      <c r="S737" s="22" t="str">
        <f t="shared" si="509"/>
        <v/>
      </c>
      <c r="T737" s="22" t="str">
        <f t="shared" si="510"/>
        <v/>
      </c>
      <c r="V737" s="21" t="str">
        <f t="shared" si="511"/>
        <v>Apprenant 725</v>
      </c>
      <c r="W737" s="22" t="str">
        <f>IF(AND(OR('Choix pédagogiques'!$C$3=1,'Choix pédagogiques'!$C$3=2),$BM737=1),B737,IF(AND('Choix pédagogiques'!$C$3=3,$BO737=1),B737,""))</f>
        <v/>
      </c>
      <c r="X737" s="22" t="str">
        <f>IF(AND(OR('Choix pédagogiques'!$C$3=1,'Choix pédagogiques'!$C$3=2),$BM737=1),C737,IF(AND('Choix pédagogiques'!$C$3=3,$BO737=1),C737,""))</f>
        <v/>
      </c>
      <c r="Y737" s="22" t="str">
        <f>IF(AND(OR('Choix pédagogiques'!$C$3=1,'Choix pédagogiques'!$C$3=2),$BM737=1),D737,IF(AND('Choix pédagogiques'!$C$3=3,$BO737=1),D737,""))</f>
        <v/>
      </c>
      <c r="Z737" s="22" t="str">
        <f t="shared" si="512"/>
        <v/>
      </c>
      <c r="AA737" s="21" t="str">
        <f t="shared" si="513"/>
        <v>Apprenant 725 ou 725'</v>
      </c>
      <c r="AB737" s="22" t="str">
        <f>IF(AND(OR('Choix pédagogiques'!$C$3=1,'Choix pédagogiques'!$C$3=2),$BN737=1),G737,IF(AND('Choix pédagogiques'!$C$3=3,$BO737=1),G737,""))</f>
        <v/>
      </c>
      <c r="AC737" s="22" t="str">
        <f>IF(AND(OR('Choix pédagogiques'!$C$3=1,'Choix pédagogiques'!$C$3=2),$BN737=1),H737,IF(AND('Choix pédagogiques'!$C$3=3,$BO737=1),H737,""))</f>
        <v/>
      </c>
      <c r="AD737" s="22" t="str">
        <f>IF(AND(OR('Choix pédagogiques'!$C$3=1,'Choix pédagogiques'!$C$3=2),$BN737=1),I737,IF(AND('Choix pédagogiques'!$C$3=3,$BO737=1),I737,""))</f>
        <v/>
      </c>
      <c r="AE737" s="22" t="str">
        <f t="shared" si="514"/>
        <v/>
      </c>
      <c r="AF737" s="21" t="str">
        <f t="shared" si="515"/>
        <v>Apprenant 725</v>
      </c>
      <c r="AG737" s="22" t="str">
        <f t="shared" si="489"/>
        <v/>
      </c>
      <c r="AH737" s="22" t="str">
        <f t="shared" si="490"/>
        <v/>
      </c>
      <c r="AI737" s="22" t="str">
        <f t="shared" si="491"/>
        <v/>
      </c>
      <c r="AJ737" s="22" t="str">
        <f t="shared" si="516"/>
        <v/>
      </c>
      <c r="AK737" s="21" t="str">
        <f t="shared" si="517"/>
        <v>Apprenant 725 ou 725'</v>
      </c>
      <c r="AL737" s="22" t="str">
        <f t="shared" si="492"/>
        <v/>
      </c>
      <c r="AM737" s="22" t="str">
        <f t="shared" si="493"/>
        <v/>
      </c>
      <c r="AN737" s="22" t="str">
        <f t="shared" si="494"/>
        <v/>
      </c>
      <c r="AO737" s="22" t="str">
        <f t="shared" si="518"/>
        <v/>
      </c>
      <c r="AQ737" s="21" t="str">
        <f t="shared" si="519"/>
        <v>Apprenant 725</v>
      </c>
      <c r="AR737" s="49" t="str">
        <f>IF(AND('Choix pédagogiques'!$C$4&lt;&gt;"?",'Choix pédagogiques'!$C$5&lt;&gt;"?",W737&lt;&gt;""),(W737-'Choix pédagogiques'!$C$4)/('Choix pédagogiques'!$C$5-'Choix pédagogiques'!$C$4),"")</f>
        <v/>
      </c>
      <c r="AS737" s="49" t="str">
        <f>IF(AND('Choix pédagogiques'!$C$4&lt;&gt;"?",'Choix pédagogiques'!$C$5&lt;&gt;"?",X737&lt;&gt;""),(X737-'Choix pédagogiques'!$C$4)/('Choix pédagogiques'!$C$5-'Choix pédagogiques'!$C$4),"")</f>
        <v/>
      </c>
      <c r="AT737" s="49" t="str">
        <f>IF(AND('Choix pédagogiques'!$C$4&lt;&gt;"?",'Choix pédagogiques'!$C$5&lt;&gt;"?",Y737&lt;&gt;""),(Y737-'Choix pédagogiques'!$C$4)/('Choix pédagogiques'!$C$5-'Choix pédagogiques'!$C$4),"")</f>
        <v/>
      </c>
      <c r="AU737" s="22" t="str">
        <f t="shared" si="520"/>
        <v/>
      </c>
      <c r="AV737" s="21" t="str">
        <f t="shared" si="521"/>
        <v>Apprenant 725 ou 725'</v>
      </c>
      <c r="AW737" s="49" t="str">
        <f>IF(AND('Choix pédagogiques'!$C$4&lt;&gt;"?",'Choix pédagogiques'!$C$5&lt;&gt;"?",AB737&lt;&gt;""),(AB737-'Choix pédagogiques'!$C$4)/('Choix pédagogiques'!$C$5-'Choix pédagogiques'!$C$4),"")</f>
        <v/>
      </c>
      <c r="AX737" s="49" t="str">
        <f>IF(AND('Choix pédagogiques'!$C$4&lt;&gt;"?",'Choix pédagogiques'!$C$5&lt;&gt;"?",AC737&lt;&gt;""),(AC737-'Choix pédagogiques'!$C$4)/('Choix pédagogiques'!$C$5-'Choix pédagogiques'!$C$4),"")</f>
        <v/>
      </c>
      <c r="AY737" s="49" t="str">
        <f>IF(AND('Choix pédagogiques'!$C$4&lt;&gt;"?",'Choix pédagogiques'!$C$5&lt;&gt;"?",AD737&lt;&gt;""),(AD737-'Choix pédagogiques'!$C$4)/('Choix pédagogiques'!$C$5-'Choix pédagogiques'!$C$4),"")</f>
        <v/>
      </c>
      <c r="AZ737" s="22" t="str">
        <f t="shared" si="522"/>
        <v/>
      </c>
      <c r="BA737" s="21" t="str">
        <f t="shared" si="523"/>
        <v>Apprenant 725</v>
      </c>
      <c r="BB737" s="49" t="str">
        <f t="shared" si="495"/>
        <v/>
      </c>
      <c r="BC737" s="49" t="str">
        <f t="shared" si="496"/>
        <v/>
      </c>
      <c r="BD737" s="49" t="str">
        <f t="shared" si="497"/>
        <v/>
      </c>
      <c r="BE737" s="22" t="str">
        <f t="shared" si="524"/>
        <v/>
      </c>
      <c r="BF737" s="21" t="str">
        <f t="shared" si="525"/>
        <v>Apprenant 725 ou 725'</v>
      </c>
      <c r="BG737" s="49" t="str">
        <f t="shared" si="498"/>
        <v/>
      </c>
      <c r="BH737" s="49" t="str">
        <f t="shared" si="499"/>
        <v/>
      </c>
      <c r="BI737" s="49" t="str">
        <f t="shared" si="500"/>
        <v/>
      </c>
      <c r="BJ737" s="22" t="str">
        <f t="shared" si="526"/>
        <v/>
      </c>
      <c r="BL737" s="21"/>
      <c r="BM737" s="21" t="str">
        <f>IF(OR(COUNT(B737:D1736)=0,AND('Choix pédagogiques'!$C$3&lt;&gt;1,'Choix pédagogiques'!$C$3&lt;&gt;2)),"",IF(AND(OR('Choix pédagogiques'!$C$3=1,'Choix pédagogiques'!$C$3=2),$B737&lt;&gt;"",$C737&lt;&gt;"",$D737&lt;&gt;""),1,0))</f>
        <v/>
      </c>
      <c r="BN737" s="21" t="str">
        <f>IF(OR(COUNT(G737:I1736)=0,AND('Choix pédagogiques'!$C$3&lt;&gt;1,'Choix pédagogiques'!$C$3&lt;&gt;2)),"",IF(AND(OR('Choix pédagogiques'!$C$3=1,'Choix pédagogiques'!$C$3=2),AND($G737&lt;&gt;"",$H737&lt;&gt;"",$I737&lt;&gt;"")),1,0))</f>
        <v/>
      </c>
      <c r="BO737" s="21" t="str">
        <f>IF(OR(COUNT(B737:D1736)=0,COUNT(G737:I1736)=0,'Choix pédagogiques'!C$3&lt;&gt;3),"",IF(AND('Choix pédagogiques'!$C$3=3,$B737&lt;&gt;"",$C737&lt;&gt;"",$D737&lt;&gt;"",$G737&lt;&gt;"",$H737&lt;&gt;"",$I737&lt;&gt;""),1,0))</f>
        <v/>
      </c>
      <c r="BR737" s="21">
        <v>534</v>
      </c>
      <c r="BS737" s="21">
        <v>1383</v>
      </c>
      <c r="BT737"/>
    </row>
    <row r="738" spans="1:72" s="23" customFormat="1" ht="18" customHeight="1" x14ac:dyDescent="0.3">
      <c r="A738" s="35" t="s">
        <v>728</v>
      </c>
      <c r="B738" s="37"/>
      <c r="C738" s="37"/>
      <c r="D738" s="37"/>
      <c r="E738" s="37"/>
      <c r="F738" s="35" t="s">
        <v>1736</v>
      </c>
      <c r="G738" s="37"/>
      <c r="H738" s="37"/>
      <c r="I738" s="37"/>
      <c r="J738" s="37"/>
      <c r="K738" s="21" t="str">
        <f t="shared" si="501"/>
        <v>Apprenant 726</v>
      </c>
      <c r="L738" s="22" t="str">
        <f t="shared" si="502"/>
        <v/>
      </c>
      <c r="M738" s="22" t="str">
        <f t="shared" si="503"/>
        <v/>
      </c>
      <c r="N738" s="22" t="str">
        <f t="shared" si="504"/>
        <v/>
      </c>
      <c r="O738" s="22" t="str">
        <f t="shared" si="505"/>
        <v/>
      </c>
      <c r="P738" s="21" t="str">
        <f t="shared" si="506"/>
        <v>Apprenant 726 ou 726'</v>
      </c>
      <c r="Q738" s="22" t="str">
        <f t="shared" si="507"/>
        <v/>
      </c>
      <c r="R738" s="22" t="str">
        <f t="shared" si="508"/>
        <v/>
      </c>
      <c r="S738" s="22" t="str">
        <f t="shared" si="509"/>
        <v/>
      </c>
      <c r="T738" s="22" t="str">
        <f t="shared" si="510"/>
        <v/>
      </c>
      <c r="V738" s="21" t="str">
        <f t="shared" si="511"/>
        <v>Apprenant 726</v>
      </c>
      <c r="W738" s="22" t="str">
        <f>IF(AND(OR('Choix pédagogiques'!$C$3=1,'Choix pédagogiques'!$C$3=2),$BM738=1),B738,IF(AND('Choix pédagogiques'!$C$3=3,$BO738=1),B738,""))</f>
        <v/>
      </c>
      <c r="X738" s="22" t="str">
        <f>IF(AND(OR('Choix pédagogiques'!$C$3=1,'Choix pédagogiques'!$C$3=2),$BM738=1),C738,IF(AND('Choix pédagogiques'!$C$3=3,$BO738=1),C738,""))</f>
        <v/>
      </c>
      <c r="Y738" s="22" t="str">
        <f>IF(AND(OR('Choix pédagogiques'!$C$3=1,'Choix pédagogiques'!$C$3=2),$BM738=1),D738,IF(AND('Choix pédagogiques'!$C$3=3,$BO738=1),D738,""))</f>
        <v/>
      </c>
      <c r="Z738" s="22" t="str">
        <f t="shared" si="512"/>
        <v/>
      </c>
      <c r="AA738" s="21" t="str">
        <f t="shared" si="513"/>
        <v>Apprenant 726 ou 726'</v>
      </c>
      <c r="AB738" s="22" t="str">
        <f>IF(AND(OR('Choix pédagogiques'!$C$3=1,'Choix pédagogiques'!$C$3=2),$BN738=1),G738,IF(AND('Choix pédagogiques'!$C$3=3,$BO738=1),G738,""))</f>
        <v/>
      </c>
      <c r="AC738" s="22" t="str">
        <f>IF(AND(OR('Choix pédagogiques'!$C$3=1,'Choix pédagogiques'!$C$3=2),$BN738=1),H738,IF(AND('Choix pédagogiques'!$C$3=3,$BO738=1),H738,""))</f>
        <v/>
      </c>
      <c r="AD738" s="22" t="str">
        <f>IF(AND(OR('Choix pédagogiques'!$C$3=1,'Choix pédagogiques'!$C$3=2),$BN738=1),I738,IF(AND('Choix pédagogiques'!$C$3=3,$BO738=1),I738,""))</f>
        <v/>
      </c>
      <c r="AE738" s="22" t="str">
        <f t="shared" si="514"/>
        <v/>
      </c>
      <c r="AF738" s="21" t="str">
        <f t="shared" si="515"/>
        <v>Apprenant 726</v>
      </c>
      <c r="AG738" s="22" t="str">
        <f t="shared" si="489"/>
        <v/>
      </c>
      <c r="AH738" s="22" t="str">
        <f t="shared" si="490"/>
        <v/>
      </c>
      <c r="AI738" s="22" t="str">
        <f t="shared" si="491"/>
        <v/>
      </c>
      <c r="AJ738" s="22" t="str">
        <f t="shared" si="516"/>
        <v/>
      </c>
      <c r="AK738" s="21" t="str">
        <f t="shared" si="517"/>
        <v>Apprenant 726 ou 726'</v>
      </c>
      <c r="AL738" s="22" t="str">
        <f t="shared" si="492"/>
        <v/>
      </c>
      <c r="AM738" s="22" t="str">
        <f t="shared" si="493"/>
        <v/>
      </c>
      <c r="AN738" s="22" t="str">
        <f t="shared" si="494"/>
        <v/>
      </c>
      <c r="AO738" s="22" t="str">
        <f t="shared" si="518"/>
        <v/>
      </c>
      <c r="AQ738" s="21" t="str">
        <f t="shared" si="519"/>
        <v>Apprenant 726</v>
      </c>
      <c r="AR738" s="49" t="str">
        <f>IF(AND('Choix pédagogiques'!$C$4&lt;&gt;"?",'Choix pédagogiques'!$C$5&lt;&gt;"?",W738&lt;&gt;""),(W738-'Choix pédagogiques'!$C$4)/('Choix pédagogiques'!$C$5-'Choix pédagogiques'!$C$4),"")</f>
        <v/>
      </c>
      <c r="AS738" s="49" t="str">
        <f>IF(AND('Choix pédagogiques'!$C$4&lt;&gt;"?",'Choix pédagogiques'!$C$5&lt;&gt;"?",X738&lt;&gt;""),(X738-'Choix pédagogiques'!$C$4)/('Choix pédagogiques'!$C$5-'Choix pédagogiques'!$C$4),"")</f>
        <v/>
      </c>
      <c r="AT738" s="49" t="str">
        <f>IF(AND('Choix pédagogiques'!$C$4&lt;&gt;"?",'Choix pédagogiques'!$C$5&lt;&gt;"?",Y738&lt;&gt;""),(Y738-'Choix pédagogiques'!$C$4)/('Choix pédagogiques'!$C$5-'Choix pédagogiques'!$C$4),"")</f>
        <v/>
      </c>
      <c r="AU738" s="22" t="str">
        <f t="shared" si="520"/>
        <v/>
      </c>
      <c r="AV738" s="21" t="str">
        <f t="shared" si="521"/>
        <v>Apprenant 726 ou 726'</v>
      </c>
      <c r="AW738" s="49" t="str">
        <f>IF(AND('Choix pédagogiques'!$C$4&lt;&gt;"?",'Choix pédagogiques'!$C$5&lt;&gt;"?",AB738&lt;&gt;""),(AB738-'Choix pédagogiques'!$C$4)/('Choix pédagogiques'!$C$5-'Choix pédagogiques'!$C$4),"")</f>
        <v/>
      </c>
      <c r="AX738" s="49" t="str">
        <f>IF(AND('Choix pédagogiques'!$C$4&lt;&gt;"?",'Choix pédagogiques'!$C$5&lt;&gt;"?",AC738&lt;&gt;""),(AC738-'Choix pédagogiques'!$C$4)/('Choix pédagogiques'!$C$5-'Choix pédagogiques'!$C$4),"")</f>
        <v/>
      </c>
      <c r="AY738" s="49" t="str">
        <f>IF(AND('Choix pédagogiques'!$C$4&lt;&gt;"?",'Choix pédagogiques'!$C$5&lt;&gt;"?",AD738&lt;&gt;""),(AD738-'Choix pédagogiques'!$C$4)/('Choix pédagogiques'!$C$5-'Choix pédagogiques'!$C$4),"")</f>
        <v/>
      </c>
      <c r="AZ738" s="22" t="str">
        <f t="shared" si="522"/>
        <v/>
      </c>
      <c r="BA738" s="21" t="str">
        <f t="shared" si="523"/>
        <v>Apprenant 726</v>
      </c>
      <c r="BB738" s="49" t="str">
        <f t="shared" si="495"/>
        <v/>
      </c>
      <c r="BC738" s="49" t="str">
        <f t="shared" si="496"/>
        <v/>
      </c>
      <c r="BD738" s="49" t="str">
        <f t="shared" si="497"/>
        <v/>
      </c>
      <c r="BE738" s="22" t="str">
        <f t="shared" si="524"/>
        <v/>
      </c>
      <c r="BF738" s="21" t="str">
        <f t="shared" si="525"/>
        <v>Apprenant 726 ou 726'</v>
      </c>
      <c r="BG738" s="49" t="str">
        <f t="shared" si="498"/>
        <v/>
      </c>
      <c r="BH738" s="49" t="str">
        <f t="shared" si="499"/>
        <v/>
      </c>
      <c r="BI738" s="49" t="str">
        <f t="shared" si="500"/>
        <v/>
      </c>
      <c r="BJ738" s="22" t="str">
        <f t="shared" si="526"/>
        <v/>
      </c>
      <c r="BL738" s="21"/>
      <c r="BM738" s="21" t="str">
        <f>IF(OR(COUNT(B738:D1737)=0,AND('Choix pédagogiques'!$C$3&lt;&gt;1,'Choix pédagogiques'!$C$3&lt;&gt;2)),"",IF(AND(OR('Choix pédagogiques'!$C$3=1,'Choix pédagogiques'!$C$3=2),$B738&lt;&gt;"",$C738&lt;&gt;"",$D738&lt;&gt;""),1,0))</f>
        <v/>
      </c>
      <c r="BN738" s="21" t="str">
        <f>IF(OR(COUNT(G738:I1737)=0,AND('Choix pédagogiques'!$C$3&lt;&gt;1,'Choix pédagogiques'!$C$3&lt;&gt;2)),"",IF(AND(OR('Choix pédagogiques'!$C$3=1,'Choix pédagogiques'!$C$3=2),AND($G738&lt;&gt;"",$H738&lt;&gt;"",$I738&lt;&gt;"")),1,0))</f>
        <v/>
      </c>
      <c r="BO738" s="21" t="str">
        <f>IF(OR(COUNT(B738:D1737)=0,COUNT(G738:I1737)=0,'Choix pédagogiques'!C$3&lt;&gt;3),"",IF(AND('Choix pédagogiques'!$C$3=3,$B738&lt;&gt;"",$C738&lt;&gt;"",$D738&lt;&gt;"",$G738&lt;&gt;"",$H738&lt;&gt;"",$I738&lt;&gt;""),1,0))</f>
        <v/>
      </c>
      <c r="BR738" s="21">
        <v>659</v>
      </c>
      <c r="BS738" s="21">
        <v>1832</v>
      </c>
      <c r="BT738"/>
    </row>
    <row r="739" spans="1:72" s="23" customFormat="1" ht="18" customHeight="1" x14ac:dyDescent="0.3">
      <c r="A739" s="35" t="s">
        <v>729</v>
      </c>
      <c r="B739" s="37"/>
      <c r="C739" s="37"/>
      <c r="D739" s="37"/>
      <c r="E739" s="37"/>
      <c r="F739" s="35" t="s">
        <v>1737</v>
      </c>
      <c r="G739" s="37"/>
      <c r="H739" s="37"/>
      <c r="I739" s="37"/>
      <c r="J739" s="37"/>
      <c r="K739" s="21" t="str">
        <f t="shared" si="501"/>
        <v>Apprenant 727</v>
      </c>
      <c r="L739" s="22" t="str">
        <f t="shared" si="502"/>
        <v/>
      </c>
      <c r="M739" s="22" t="str">
        <f t="shared" si="503"/>
        <v/>
      </c>
      <c r="N739" s="22" t="str">
        <f t="shared" si="504"/>
        <v/>
      </c>
      <c r="O739" s="22" t="str">
        <f t="shared" si="505"/>
        <v/>
      </c>
      <c r="P739" s="21" t="str">
        <f t="shared" si="506"/>
        <v>Apprenant 727 ou 727'</v>
      </c>
      <c r="Q739" s="22" t="str">
        <f t="shared" si="507"/>
        <v/>
      </c>
      <c r="R739" s="22" t="str">
        <f t="shared" si="508"/>
        <v/>
      </c>
      <c r="S739" s="22" t="str">
        <f t="shared" si="509"/>
        <v/>
      </c>
      <c r="T739" s="22" t="str">
        <f t="shared" si="510"/>
        <v/>
      </c>
      <c r="V739" s="21" t="str">
        <f t="shared" si="511"/>
        <v>Apprenant 727</v>
      </c>
      <c r="W739" s="22" t="str">
        <f>IF(AND(OR('Choix pédagogiques'!$C$3=1,'Choix pédagogiques'!$C$3=2),$BM739=1),B739,IF(AND('Choix pédagogiques'!$C$3=3,$BO739=1),B739,""))</f>
        <v/>
      </c>
      <c r="X739" s="22" t="str">
        <f>IF(AND(OR('Choix pédagogiques'!$C$3=1,'Choix pédagogiques'!$C$3=2),$BM739=1),C739,IF(AND('Choix pédagogiques'!$C$3=3,$BO739=1),C739,""))</f>
        <v/>
      </c>
      <c r="Y739" s="22" t="str">
        <f>IF(AND(OR('Choix pédagogiques'!$C$3=1,'Choix pédagogiques'!$C$3=2),$BM739=1),D739,IF(AND('Choix pédagogiques'!$C$3=3,$BO739=1),D739,""))</f>
        <v/>
      </c>
      <c r="Z739" s="22" t="str">
        <f t="shared" si="512"/>
        <v/>
      </c>
      <c r="AA739" s="21" t="str">
        <f t="shared" si="513"/>
        <v>Apprenant 727 ou 727'</v>
      </c>
      <c r="AB739" s="22" t="str">
        <f>IF(AND(OR('Choix pédagogiques'!$C$3=1,'Choix pédagogiques'!$C$3=2),$BN739=1),G739,IF(AND('Choix pédagogiques'!$C$3=3,$BO739=1),G739,""))</f>
        <v/>
      </c>
      <c r="AC739" s="22" t="str">
        <f>IF(AND(OR('Choix pédagogiques'!$C$3=1,'Choix pédagogiques'!$C$3=2),$BN739=1),H739,IF(AND('Choix pédagogiques'!$C$3=3,$BO739=1),H739,""))</f>
        <v/>
      </c>
      <c r="AD739" s="22" t="str">
        <f>IF(AND(OR('Choix pédagogiques'!$C$3=1,'Choix pédagogiques'!$C$3=2),$BN739=1),I739,IF(AND('Choix pédagogiques'!$C$3=3,$BO739=1),I739,""))</f>
        <v/>
      </c>
      <c r="AE739" s="22" t="str">
        <f t="shared" si="514"/>
        <v/>
      </c>
      <c r="AF739" s="21" t="str">
        <f t="shared" si="515"/>
        <v>Apprenant 727</v>
      </c>
      <c r="AG739" s="22" t="str">
        <f t="shared" si="489"/>
        <v/>
      </c>
      <c r="AH739" s="22" t="str">
        <f t="shared" si="490"/>
        <v/>
      </c>
      <c r="AI739" s="22" t="str">
        <f t="shared" si="491"/>
        <v/>
      </c>
      <c r="AJ739" s="22" t="str">
        <f t="shared" si="516"/>
        <v/>
      </c>
      <c r="AK739" s="21" t="str">
        <f t="shared" si="517"/>
        <v>Apprenant 727 ou 727'</v>
      </c>
      <c r="AL739" s="22" t="str">
        <f t="shared" si="492"/>
        <v/>
      </c>
      <c r="AM739" s="22" t="str">
        <f t="shared" si="493"/>
        <v/>
      </c>
      <c r="AN739" s="22" t="str">
        <f t="shared" si="494"/>
        <v/>
      </c>
      <c r="AO739" s="22" t="str">
        <f t="shared" si="518"/>
        <v/>
      </c>
      <c r="AQ739" s="21" t="str">
        <f t="shared" si="519"/>
        <v>Apprenant 727</v>
      </c>
      <c r="AR739" s="49" t="str">
        <f>IF(AND('Choix pédagogiques'!$C$4&lt;&gt;"?",'Choix pédagogiques'!$C$5&lt;&gt;"?",W739&lt;&gt;""),(W739-'Choix pédagogiques'!$C$4)/('Choix pédagogiques'!$C$5-'Choix pédagogiques'!$C$4),"")</f>
        <v/>
      </c>
      <c r="AS739" s="49" t="str">
        <f>IF(AND('Choix pédagogiques'!$C$4&lt;&gt;"?",'Choix pédagogiques'!$C$5&lt;&gt;"?",X739&lt;&gt;""),(X739-'Choix pédagogiques'!$C$4)/('Choix pédagogiques'!$C$5-'Choix pédagogiques'!$C$4),"")</f>
        <v/>
      </c>
      <c r="AT739" s="49" t="str">
        <f>IF(AND('Choix pédagogiques'!$C$4&lt;&gt;"?",'Choix pédagogiques'!$C$5&lt;&gt;"?",Y739&lt;&gt;""),(Y739-'Choix pédagogiques'!$C$4)/('Choix pédagogiques'!$C$5-'Choix pédagogiques'!$C$4),"")</f>
        <v/>
      </c>
      <c r="AU739" s="22" t="str">
        <f t="shared" si="520"/>
        <v/>
      </c>
      <c r="AV739" s="21" t="str">
        <f t="shared" si="521"/>
        <v>Apprenant 727 ou 727'</v>
      </c>
      <c r="AW739" s="49" t="str">
        <f>IF(AND('Choix pédagogiques'!$C$4&lt;&gt;"?",'Choix pédagogiques'!$C$5&lt;&gt;"?",AB739&lt;&gt;""),(AB739-'Choix pédagogiques'!$C$4)/('Choix pédagogiques'!$C$5-'Choix pédagogiques'!$C$4),"")</f>
        <v/>
      </c>
      <c r="AX739" s="49" t="str">
        <f>IF(AND('Choix pédagogiques'!$C$4&lt;&gt;"?",'Choix pédagogiques'!$C$5&lt;&gt;"?",AC739&lt;&gt;""),(AC739-'Choix pédagogiques'!$C$4)/('Choix pédagogiques'!$C$5-'Choix pédagogiques'!$C$4),"")</f>
        <v/>
      </c>
      <c r="AY739" s="49" t="str">
        <f>IF(AND('Choix pédagogiques'!$C$4&lt;&gt;"?",'Choix pédagogiques'!$C$5&lt;&gt;"?",AD739&lt;&gt;""),(AD739-'Choix pédagogiques'!$C$4)/('Choix pédagogiques'!$C$5-'Choix pédagogiques'!$C$4),"")</f>
        <v/>
      </c>
      <c r="AZ739" s="22" t="str">
        <f t="shared" si="522"/>
        <v/>
      </c>
      <c r="BA739" s="21" t="str">
        <f t="shared" si="523"/>
        <v>Apprenant 727</v>
      </c>
      <c r="BB739" s="49" t="str">
        <f t="shared" si="495"/>
        <v/>
      </c>
      <c r="BC739" s="49" t="str">
        <f t="shared" si="496"/>
        <v/>
      </c>
      <c r="BD739" s="49" t="str">
        <f t="shared" si="497"/>
        <v/>
      </c>
      <c r="BE739" s="22" t="str">
        <f t="shared" si="524"/>
        <v/>
      </c>
      <c r="BF739" s="21" t="str">
        <f t="shared" si="525"/>
        <v>Apprenant 727 ou 727'</v>
      </c>
      <c r="BG739" s="49" t="str">
        <f t="shared" si="498"/>
        <v/>
      </c>
      <c r="BH739" s="49" t="str">
        <f t="shared" si="499"/>
        <v/>
      </c>
      <c r="BI739" s="49" t="str">
        <f t="shared" si="500"/>
        <v/>
      </c>
      <c r="BJ739" s="22" t="str">
        <f t="shared" si="526"/>
        <v/>
      </c>
      <c r="BL739" s="21"/>
      <c r="BM739" s="21" t="str">
        <f>IF(OR(COUNT(B739:D1738)=0,AND('Choix pédagogiques'!$C$3&lt;&gt;1,'Choix pédagogiques'!$C$3&lt;&gt;2)),"",IF(AND(OR('Choix pédagogiques'!$C$3=1,'Choix pédagogiques'!$C$3=2),$B739&lt;&gt;"",$C739&lt;&gt;"",$D739&lt;&gt;""),1,0))</f>
        <v/>
      </c>
      <c r="BN739" s="21" t="str">
        <f>IF(OR(COUNT(G739:I1738)=0,AND('Choix pédagogiques'!$C$3&lt;&gt;1,'Choix pédagogiques'!$C$3&lt;&gt;2)),"",IF(AND(OR('Choix pédagogiques'!$C$3=1,'Choix pédagogiques'!$C$3=2),AND($G739&lt;&gt;"",$H739&lt;&gt;"",$I739&lt;&gt;"")),1,0))</f>
        <v/>
      </c>
      <c r="BO739" s="21" t="str">
        <f>IF(OR(COUNT(B739:D1738)=0,COUNT(G739:I1738)=0,'Choix pédagogiques'!C$3&lt;&gt;3),"",IF(AND('Choix pédagogiques'!$C$3=3,$B739&lt;&gt;"",$C739&lt;&gt;"",$D739&lt;&gt;"",$G739&lt;&gt;"",$H739&lt;&gt;"",$I739&lt;&gt;""),1,0))</f>
        <v/>
      </c>
      <c r="BR739" s="21">
        <v>325</v>
      </c>
      <c r="BS739" s="21">
        <v>1906</v>
      </c>
      <c r="BT739"/>
    </row>
    <row r="740" spans="1:72" s="23" customFormat="1" ht="18" customHeight="1" x14ac:dyDescent="0.3">
      <c r="A740" s="35" t="s">
        <v>730</v>
      </c>
      <c r="B740" s="37"/>
      <c r="C740" s="37"/>
      <c r="D740" s="37"/>
      <c r="E740" s="37"/>
      <c r="F740" s="35" t="s">
        <v>1738</v>
      </c>
      <c r="G740" s="37"/>
      <c r="H740" s="37"/>
      <c r="I740" s="37"/>
      <c r="J740" s="37"/>
      <c r="K740" s="21" t="str">
        <f t="shared" si="501"/>
        <v>Apprenant 728</v>
      </c>
      <c r="L740" s="22" t="str">
        <f t="shared" si="502"/>
        <v/>
      </c>
      <c r="M740" s="22" t="str">
        <f t="shared" si="503"/>
        <v/>
      </c>
      <c r="N740" s="22" t="str">
        <f t="shared" si="504"/>
        <v/>
      </c>
      <c r="O740" s="22" t="str">
        <f t="shared" si="505"/>
        <v/>
      </c>
      <c r="P740" s="21" t="str">
        <f t="shared" si="506"/>
        <v>Apprenant 728 ou 728'</v>
      </c>
      <c r="Q740" s="22" t="str">
        <f t="shared" si="507"/>
        <v/>
      </c>
      <c r="R740" s="22" t="str">
        <f t="shared" si="508"/>
        <v/>
      </c>
      <c r="S740" s="22" t="str">
        <f t="shared" si="509"/>
        <v/>
      </c>
      <c r="T740" s="22" t="str">
        <f t="shared" si="510"/>
        <v/>
      </c>
      <c r="V740" s="21" t="str">
        <f t="shared" si="511"/>
        <v>Apprenant 728</v>
      </c>
      <c r="W740" s="22" t="str">
        <f>IF(AND(OR('Choix pédagogiques'!$C$3=1,'Choix pédagogiques'!$C$3=2),$BM740=1),B740,IF(AND('Choix pédagogiques'!$C$3=3,$BO740=1),B740,""))</f>
        <v/>
      </c>
      <c r="X740" s="22" t="str">
        <f>IF(AND(OR('Choix pédagogiques'!$C$3=1,'Choix pédagogiques'!$C$3=2),$BM740=1),C740,IF(AND('Choix pédagogiques'!$C$3=3,$BO740=1),C740,""))</f>
        <v/>
      </c>
      <c r="Y740" s="22" t="str">
        <f>IF(AND(OR('Choix pédagogiques'!$C$3=1,'Choix pédagogiques'!$C$3=2),$BM740=1),D740,IF(AND('Choix pédagogiques'!$C$3=3,$BO740=1),D740,""))</f>
        <v/>
      </c>
      <c r="Z740" s="22" t="str">
        <f t="shared" si="512"/>
        <v/>
      </c>
      <c r="AA740" s="21" t="str">
        <f t="shared" si="513"/>
        <v>Apprenant 728 ou 728'</v>
      </c>
      <c r="AB740" s="22" t="str">
        <f>IF(AND(OR('Choix pédagogiques'!$C$3=1,'Choix pédagogiques'!$C$3=2),$BN740=1),G740,IF(AND('Choix pédagogiques'!$C$3=3,$BO740=1),G740,""))</f>
        <v/>
      </c>
      <c r="AC740" s="22" t="str">
        <f>IF(AND(OR('Choix pédagogiques'!$C$3=1,'Choix pédagogiques'!$C$3=2),$BN740=1),H740,IF(AND('Choix pédagogiques'!$C$3=3,$BO740=1),H740,""))</f>
        <v/>
      </c>
      <c r="AD740" s="22" t="str">
        <f>IF(AND(OR('Choix pédagogiques'!$C$3=1,'Choix pédagogiques'!$C$3=2),$BN740=1),I740,IF(AND('Choix pédagogiques'!$C$3=3,$BO740=1),I740,""))</f>
        <v/>
      </c>
      <c r="AE740" s="22" t="str">
        <f t="shared" si="514"/>
        <v/>
      </c>
      <c r="AF740" s="21" t="str">
        <f t="shared" si="515"/>
        <v>Apprenant 728</v>
      </c>
      <c r="AG740" s="22" t="str">
        <f t="shared" si="489"/>
        <v/>
      </c>
      <c r="AH740" s="22" t="str">
        <f t="shared" si="490"/>
        <v/>
      </c>
      <c r="AI740" s="22" t="str">
        <f t="shared" si="491"/>
        <v/>
      </c>
      <c r="AJ740" s="22" t="str">
        <f t="shared" si="516"/>
        <v/>
      </c>
      <c r="AK740" s="21" t="str">
        <f t="shared" si="517"/>
        <v>Apprenant 728 ou 728'</v>
      </c>
      <c r="AL740" s="22" t="str">
        <f t="shared" si="492"/>
        <v/>
      </c>
      <c r="AM740" s="22" t="str">
        <f t="shared" si="493"/>
        <v/>
      </c>
      <c r="AN740" s="22" t="str">
        <f t="shared" si="494"/>
        <v/>
      </c>
      <c r="AO740" s="22" t="str">
        <f t="shared" si="518"/>
        <v/>
      </c>
      <c r="AQ740" s="21" t="str">
        <f t="shared" si="519"/>
        <v>Apprenant 728</v>
      </c>
      <c r="AR740" s="49" t="str">
        <f>IF(AND('Choix pédagogiques'!$C$4&lt;&gt;"?",'Choix pédagogiques'!$C$5&lt;&gt;"?",W740&lt;&gt;""),(W740-'Choix pédagogiques'!$C$4)/('Choix pédagogiques'!$C$5-'Choix pédagogiques'!$C$4),"")</f>
        <v/>
      </c>
      <c r="AS740" s="49" t="str">
        <f>IF(AND('Choix pédagogiques'!$C$4&lt;&gt;"?",'Choix pédagogiques'!$C$5&lt;&gt;"?",X740&lt;&gt;""),(X740-'Choix pédagogiques'!$C$4)/('Choix pédagogiques'!$C$5-'Choix pédagogiques'!$C$4),"")</f>
        <v/>
      </c>
      <c r="AT740" s="49" t="str">
        <f>IF(AND('Choix pédagogiques'!$C$4&lt;&gt;"?",'Choix pédagogiques'!$C$5&lt;&gt;"?",Y740&lt;&gt;""),(Y740-'Choix pédagogiques'!$C$4)/('Choix pédagogiques'!$C$5-'Choix pédagogiques'!$C$4),"")</f>
        <v/>
      </c>
      <c r="AU740" s="22" t="str">
        <f t="shared" si="520"/>
        <v/>
      </c>
      <c r="AV740" s="21" t="str">
        <f t="shared" si="521"/>
        <v>Apprenant 728 ou 728'</v>
      </c>
      <c r="AW740" s="49" t="str">
        <f>IF(AND('Choix pédagogiques'!$C$4&lt;&gt;"?",'Choix pédagogiques'!$C$5&lt;&gt;"?",AB740&lt;&gt;""),(AB740-'Choix pédagogiques'!$C$4)/('Choix pédagogiques'!$C$5-'Choix pédagogiques'!$C$4),"")</f>
        <v/>
      </c>
      <c r="AX740" s="49" t="str">
        <f>IF(AND('Choix pédagogiques'!$C$4&lt;&gt;"?",'Choix pédagogiques'!$C$5&lt;&gt;"?",AC740&lt;&gt;""),(AC740-'Choix pédagogiques'!$C$4)/('Choix pédagogiques'!$C$5-'Choix pédagogiques'!$C$4),"")</f>
        <v/>
      </c>
      <c r="AY740" s="49" t="str">
        <f>IF(AND('Choix pédagogiques'!$C$4&lt;&gt;"?",'Choix pédagogiques'!$C$5&lt;&gt;"?",AD740&lt;&gt;""),(AD740-'Choix pédagogiques'!$C$4)/('Choix pédagogiques'!$C$5-'Choix pédagogiques'!$C$4),"")</f>
        <v/>
      </c>
      <c r="AZ740" s="22" t="str">
        <f t="shared" si="522"/>
        <v/>
      </c>
      <c r="BA740" s="21" t="str">
        <f t="shared" si="523"/>
        <v>Apprenant 728</v>
      </c>
      <c r="BB740" s="49" t="str">
        <f t="shared" si="495"/>
        <v/>
      </c>
      <c r="BC740" s="49" t="str">
        <f t="shared" si="496"/>
        <v/>
      </c>
      <c r="BD740" s="49" t="str">
        <f t="shared" si="497"/>
        <v/>
      </c>
      <c r="BE740" s="22" t="str">
        <f t="shared" si="524"/>
        <v/>
      </c>
      <c r="BF740" s="21" t="str">
        <f t="shared" si="525"/>
        <v>Apprenant 728 ou 728'</v>
      </c>
      <c r="BG740" s="49" t="str">
        <f t="shared" si="498"/>
        <v/>
      </c>
      <c r="BH740" s="49" t="str">
        <f t="shared" si="499"/>
        <v/>
      </c>
      <c r="BI740" s="49" t="str">
        <f t="shared" si="500"/>
        <v/>
      </c>
      <c r="BJ740" s="22" t="str">
        <f t="shared" si="526"/>
        <v/>
      </c>
      <c r="BL740" s="21"/>
      <c r="BM740" s="21" t="str">
        <f>IF(OR(COUNT(B740:D1739)=0,AND('Choix pédagogiques'!$C$3&lt;&gt;1,'Choix pédagogiques'!$C$3&lt;&gt;2)),"",IF(AND(OR('Choix pédagogiques'!$C$3=1,'Choix pédagogiques'!$C$3=2),$B740&lt;&gt;"",$C740&lt;&gt;"",$D740&lt;&gt;""),1,0))</f>
        <v/>
      </c>
      <c r="BN740" s="21" t="str">
        <f>IF(OR(COUNT(G740:I1739)=0,AND('Choix pédagogiques'!$C$3&lt;&gt;1,'Choix pédagogiques'!$C$3&lt;&gt;2)),"",IF(AND(OR('Choix pédagogiques'!$C$3=1,'Choix pédagogiques'!$C$3=2),AND($G740&lt;&gt;"",$H740&lt;&gt;"",$I740&lt;&gt;"")),1,0))</f>
        <v/>
      </c>
      <c r="BO740" s="21" t="str">
        <f>IF(OR(COUNT(B740:D1739)=0,COUNT(G740:I1739)=0,'Choix pédagogiques'!C$3&lt;&gt;3),"",IF(AND('Choix pédagogiques'!$C$3=3,$B740&lt;&gt;"",$C740&lt;&gt;"",$D740&lt;&gt;"",$G740&lt;&gt;"",$H740&lt;&gt;"",$I740&lt;&gt;""),1,0))</f>
        <v/>
      </c>
      <c r="BR740" s="21">
        <v>936</v>
      </c>
      <c r="BS740" s="21">
        <v>1278</v>
      </c>
      <c r="BT740"/>
    </row>
    <row r="741" spans="1:72" s="23" customFormat="1" ht="18" customHeight="1" x14ac:dyDescent="0.3">
      <c r="A741" s="35" t="s">
        <v>731</v>
      </c>
      <c r="B741" s="37"/>
      <c r="C741" s="37"/>
      <c r="D741" s="37"/>
      <c r="E741" s="37"/>
      <c r="F741" s="35" t="s">
        <v>1739</v>
      </c>
      <c r="G741" s="37"/>
      <c r="H741" s="37"/>
      <c r="I741" s="37"/>
      <c r="J741" s="37"/>
      <c r="K741" s="21" t="str">
        <f t="shared" si="501"/>
        <v>Apprenant 729</v>
      </c>
      <c r="L741" s="22" t="str">
        <f t="shared" si="502"/>
        <v/>
      </c>
      <c r="M741" s="22" t="str">
        <f t="shared" si="503"/>
        <v/>
      </c>
      <c r="N741" s="22" t="str">
        <f t="shared" si="504"/>
        <v/>
      </c>
      <c r="O741" s="22" t="str">
        <f t="shared" si="505"/>
        <v/>
      </c>
      <c r="P741" s="21" t="str">
        <f t="shared" si="506"/>
        <v>Apprenant 729 ou 729'</v>
      </c>
      <c r="Q741" s="22" t="str">
        <f t="shared" si="507"/>
        <v/>
      </c>
      <c r="R741" s="22" t="str">
        <f t="shared" si="508"/>
        <v/>
      </c>
      <c r="S741" s="22" t="str">
        <f t="shared" si="509"/>
        <v/>
      </c>
      <c r="T741" s="22" t="str">
        <f t="shared" si="510"/>
        <v/>
      </c>
      <c r="V741" s="21" t="str">
        <f t="shared" si="511"/>
        <v>Apprenant 729</v>
      </c>
      <c r="W741" s="22" t="str">
        <f>IF(AND(OR('Choix pédagogiques'!$C$3=1,'Choix pédagogiques'!$C$3=2),$BM741=1),B741,IF(AND('Choix pédagogiques'!$C$3=3,$BO741=1),B741,""))</f>
        <v/>
      </c>
      <c r="X741" s="22" t="str">
        <f>IF(AND(OR('Choix pédagogiques'!$C$3=1,'Choix pédagogiques'!$C$3=2),$BM741=1),C741,IF(AND('Choix pédagogiques'!$C$3=3,$BO741=1),C741,""))</f>
        <v/>
      </c>
      <c r="Y741" s="22" t="str">
        <f>IF(AND(OR('Choix pédagogiques'!$C$3=1,'Choix pédagogiques'!$C$3=2),$BM741=1),D741,IF(AND('Choix pédagogiques'!$C$3=3,$BO741=1),D741,""))</f>
        <v/>
      </c>
      <c r="Z741" s="22" t="str">
        <f t="shared" si="512"/>
        <v/>
      </c>
      <c r="AA741" s="21" t="str">
        <f t="shared" si="513"/>
        <v>Apprenant 729 ou 729'</v>
      </c>
      <c r="AB741" s="22" t="str">
        <f>IF(AND(OR('Choix pédagogiques'!$C$3=1,'Choix pédagogiques'!$C$3=2),$BN741=1),G741,IF(AND('Choix pédagogiques'!$C$3=3,$BO741=1),G741,""))</f>
        <v/>
      </c>
      <c r="AC741" s="22" t="str">
        <f>IF(AND(OR('Choix pédagogiques'!$C$3=1,'Choix pédagogiques'!$C$3=2),$BN741=1),H741,IF(AND('Choix pédagogiques'!$C$3=3,$BO741=1),H741,""))</f>
        <v/>
      </c>
      <c r="AD741" s="22" t="str">
        <f>IF(AND(OR('Choix pédagogiques'!$C$3=1,'Choix pédagogiques'!$C$3=2),$BN741=1),I741,IF(AND('Choix pédagogiques'!$C$3=3,$BO741=1),I741,""))</f>
        <v/>
      </c>
      <c r="AE741" s="22" t="str">
        <f t="shared" si="514"/>
        <v/>
      </c>
      <c r="AF741" s="21" t="str">
        <f t="shared" si="515"/>
        <v>Apprenant 729</v>
      </c>
      <c r="AG741" s="22" t="str">
        <f t="shared" si="489"/>
        <v/>
      </c>
      <c r="AH741" s="22" t="str">
        <f t="shared" si="490"/>
        <v/>
      </c>
      <c r="AI741" s="22" t="str">
        <f t="shared" si="491"/>
        <v/>
      </c>
      <c r="AJ741" s="22" t="str">
        <f t="shared" si="516"/>
        <v/>
      </c>
      <c r="AK741" s="21" t="str">
        <f t="shared" si="517"/>
        <v>Apprenant 729 ou 729'</v>
      </c>
      <c r="AL741" s="22" t="str">
        <f t="shared" si="492"/>
        <v/>
      </c>
      <c r="AM741" s="22" t="str">
        <f t="shared" si="493"/>
        <v/>
      </c>
      <c r="AN741" s="22" t="str">
        <f t="shared" si="494"/>
        <v/>
      </c>
      <c r="AO741" s="22" t="str">
        <f t="shared" si="518"/>
        <v/>
      </c>
      <c r="AQ741" s="21" t="str">
        <f t="shared" si="519"/>
        <v>Apprenant 729</v>
      </c>
      <c r="AR741" s="49" t="str">
        <f>IF(AND('Choix pédagogiques'!$C$4&lt;&gt;"?",'Choix pédagogiques'!$C$5&lt;&gt;"?",W741&lt;&gt;""),(W741-'Choix pédagogiques'!$C$4)/('Choix pédagogiques'!$C$5-'Choix pédagogiques'!$C$4),"")</f>
        <v/>
      </c>
      <c r="AS741" s="49" t="str">
        <f>IF(AND('Choix pédagogiques'!$C$4&lt;&gt;"?",'Choix pédagogiques'!$C$5&lt;&gt;"?",X741&lt;&gt;""),(X741-'Choix pédagogiques'!$C$4)/('Choix pédagogiques'!$C$5-'Choix pédagogiques'!$C$4),"")</f>
        <v/>
      </c>
      <c r="AT741" s="49" t="str">
        <f>IF(AND('Choix pédagogiques'!$C$4&lt;&gt;"?",'Choix pédagogiques'!$C$5&lt;&gt;"?",Y741&lt;&gt;""),(Y741-'Choix pédagogiques'!$C$4)/('Choix pédagogiques'!$C$5-'Choix pédagogiques'!$C$4),"")</f>
        <v/>
      </c>
      <c r="AU741" s="22" t="str">
        <f t="shared" si="520"/>
        <v/>
      </c>
      <c r="AV741" s="21" t="str">
        <f t="shared" si="521"/>
        <v>Apprenant 729 ou 729'</v>
      </c>
      <c r="AW741" s="49" t="str">
        <f>IF(AND('Choix pédagogiques'!$C$4&lt;&gt;"?",'Choix pédagogiques'!$C$5&lt;&gt;"?",AB741&lt;&gt;""),(AB741-'Choix pédagogiques'!$C$4)/('Choix pédagogiques'!$C$5-'Choix pédagogiques'!$C$4),"")</f>
        <v/>
      </c>
      <c r="AX741" s="49" t="str">
        <f>IF(AND('Choix pédagogiques'!$C$4&lt;&gt;"?",'Choix pédagogiques'!$C$5&lt;&gt;"?",AC741&lt;&gt;""),(AC741-'Choix pédagogiques'!$C$4)/('Choix pédagogiques'!$C$5-'Choix pédagogiques'!$C$4),"")</f>
        <v/>
      </c>
      <c r="AY741" s="49" t="str">
        <f>IF(AND('Choix pédagogiques'!$C$4&lt;&gt;"?",'Choix pédagogiques'!$C$5&lt;&gt;"?",AD741&lt;&gt;""),(AD741-'Choix pédagogiques'!$C$4)/('Choix pédagogiques'!$C$5-'Choix pédagogiques'!$C$4),"")</f>
        <v/>
      </c>
      <c r="AZ741" s="22" t="str">
        <f t="shared" si="522"/>
        <v/>
      </c>
      <c r="BA741" s="21" t="str">
        <f t="shared" si="523"/>
        <v>Apprenant 729</v>
      </c>
      <c r="BB741" s="49" t="str">
        <f t="shared" si="495"/>
        <v/>
      </c>
      <c r="BC741" s="49" t="str">
        <f t="shared" si="496"/>
        <v/>
      </c>
      <c r="BD741" s="49" t="str">
        <f t="shared" si="497"/>
        <v/>
      </c>
      <c r="BE741" s="22" t="str">
        <f t="shared" si="524"/>
        <v/>
      </c>
      <c r="BF741" s="21" t="str">
        <f t="shared" si="525"/>
        <v>Apprenant 729 ou 729'</v>
      </c>
      <c r="BG741" s="49" t="str">
        <f t="shared" si="498"/>
        <v/>
      </c>
      <c r="BH741" s="49" t="str">
        <f t="shared" si="499"/>
        <v/>
      </c>
      <c r="BI741" s="49" t="str">
        <f t="shared" si="500"/>
        <v/>
      </c>
      <c r="BJ741" s="22" t="str">
        <f t="shared" si="526"/>
        <v/>
      </c>
      <c r="BL741" s="21"/>
      <c r="BM741" s="21" t="str">
        <f>IF(OR(COUNT(B741:D1740)=0,AND('Choix pédagogiques'!$C$3&lt;&gt;1,'Choix pédagogiques'!$C$3&lt;&gt;2)),"",IF(AND(OR('Choix pédagogiques'!$C$3=1,'Choix pédagogiques'!$C$3=2),$B741&lt;&gt;"",$C741&lt;&gt;"",$D741&lt;&gt;""),1,0))</f>
        <v/>
      </c>
      <c r="BN741" s="21" t="str">
        <f>IF(OR(COUNT(G741:I1740)=0,AND('Choix pédagogiques'!$C$3&lt;&gt;1,'Choix pédagogiques'!$C$3&lt;&gt;2)),"",IF(AND(OR('Choix pédagogiques'!$C$3=1,'Choix pédagogiques'!$C$3=2),AND($G741&lt;&gt;"",$H741&lt;&gt;"",$I741&lt;&gt;"")),1,0))</f>
        <v/>
      </c>
      <c r="BO741" s="21" t="str">
        <f>IF(OR(COUNT(B741:D1740)=0,COUNT(G741:I1740)=0,'Choix pédagogiques'!C$3&lt;&gt;3),"",IF(AND('Choix pédagogiques'!$C$3=3,$B741&lt;&gt;"",$C741&lt;&gt;"",$D741&lt;&gt;"",$G741&lt;&gt;"",$H741&lt;&gt;"",$I741&lt;&gt;""),1,0))</f>
        <v/>
      </c>
      <c r="BR741" s="21">
        <v>600</v>
      </c>
      <c r="BS741" s="21">
        <v>1827</v>
      </c>
      <c r="BT741"/>
    </row>
    <row r="742" spans="1:72" s="23" customFormat="1" ht="18" customHeight="1" x14ac:dyDescent="0.3">
      <c r="A742" s="35" t="s">
        <v>732</v>
      </c>
      <c r="B742" s="37"/>
      <c r="C742" s="37"/>
      <c r="D742" s="37"/>
      <c r="E742" s="37"/>
      <c r="F742" s="35" t="s">
        <v>1740</v>
      </c>
      <c r="G742" s="37"/>
      <c r="H742" s="37"/>
      <c r="I742" s="37"/>
      <c r="J742" s="37"/>
      <c r="K742" s="21" t="str">
        <f t="shared" si="501"/>
        <v>Apprenant 730</v>
      </c>
      <c r="L742" s="22" t="str">
        <f t="shared" si="502"/>
        <v/>
      </c>
      <c r="M742" s="22" t="str">
        <f t="shared" si="503"/>
        <v/>
      </c>
      <c r="N742" s="22" t="str">
        <f t="shared" si="504"/>
        <v/>
      </c>
      <c r="O742" s="22" t="str">
        <f t="shared" si="505"/>
        <v/>
      </c>
      <c r="P742" s="21" t="str">
        <f t="shared" si="506"/>
        <v>Apprenant 730 ou 730'</v>
      </c>
      <c r="Q742" s="22" t="str">
        <f t="shared" si="507"/>
        <v/>
      </c>
      <c r="R742" s="22" t="str">
        <f t="shared" si="508"/>
        <v/>
      </c>
      <c r="S742" s="22" t="str">
        <f t="shared" si="509"/>
        <v/>
      </c>
      <c r="T742" s="22" t="str">
        <f t="shared" si="510"/>
        <v/>
      </c>
      <c r="V742" s="21" t="str">
        <f t="shared" si="511"/>
        <v>Apprenant 730</v>
      </c>
      <c r="W742" s="22" t="str">
        <f>IF(AND(OR('Choix pédagogiques'!$C$3=1,'Choix pédagogiques'!$C$3=2),$BM742=1),B742,IF(AND('Choix pédagogiques'!$C$3=3,$BO742=1),B742,""))</f>
        <v/>
      </c>
      <c r="X742" s="22" t="str">
        <f>IF(AND(OR('Choix pédagogiques'!$C$3=1,'Choix pédagogiques'!$C$3=2),$BM742=1),C742,IF(AND('Choix pédagogiques'!$C$3=3,$BO742=1),C742,""))</f>
        <v/>
      </c>
      <c r="Y742" s="22" t="str">
        <f>IF(AND(OR('Choix pédagogiques'!$C$3=1,'Choix pédagogiques'!$C$3=2),$BM742=1),D742,IF(AND('Choix pédagogiques'!$C$3=3,$BO742=1),D742,""))</f>
        <v/>
      </c>
      <c r="Z742" s="22" t="str">
        <f t="shared" si="512"/>
        <v/>
      </c>
      <c r="AA742" s="21" t="str">
        <f t="shared" si="513"/>
        <v>Apprenant 730 ou 730'</v>
      </c>
      <c r="AB742" s="22" t="str">
        <f>IF(AND(OR('Choix pédagogiques'!$C$3=1,'Choix pédagogiques'!$C$3=2),$BN742=1),G742,IF(AND('Choix pédagogiques'!$C$3=3,$BO742=1),G742,""))</f>
        <v/>
      </c>
      <c r="AC742" s="22" t="str">
        <f>IF(AND(OR('Choix pédagogiques'!$C$3=1,'Choix pédagogiques'!$C$3=2),$BN742=1),H742,IF(AND('Choix pédagogiques'!$C$3=3,$BO742=1),H742,""))</f>
        <v/>
      </c>
      <c r="AD742" s="22" t="str">
        <f>IF(AND(OR('Choix pédagogiques'!$C$3=1,'Choix pédagogiques'!$C$3=2),$BN742=1),I742,IF(AND('Choix pédagogiques'!$C$3=3,$BO742=1),I742,""))</f>
        <v/>
      </c>
      <c r="AE742" s="22" t="str">
        <f t="shared" si="514"/>
        <v/>
      </c>
      <c r="AF742" s="21" t="str">
        <f t="shared" si="515"/>
        <v>Apprenant 730</v>
      </c>
      <c r="AG742" s="22" t="str">
        <f t="shared" si="489"/>
        <v/>
      </c>
      <c r="AH742" s="22" t="str">
        <f t="shared" si="490"/>
        <v/>
      </c>
      <c r="AI742" s="22" t="str">
        <f t="shared" si="491"/>
        <v/>
      </c>
      <c r="AJ742" s="22" t="str">
        <f t="shared" si="516"/>
        <v/>
      </c>
      <c r="AK742" s="21" t="str">
        <f t="shared" si="517"/>
        <v>Apprenant 730 ou 730'</v>
      </c>
      <c r="AL742" s="22" t="str">
        <f t="shared" si="492"/>
        <v/>
      </c>
      <c r="AM742" s="22" t="str">
        <f t="shared" si="493"/>
        <v/>
      </c>
      <c r="AN742" s="22" t="str">
        <f t="shared" si="494"/>
        <v/>
      </c>
      <c r="AO742" s="22" t="str">
        <f t="shared" si="518"/>
        <v/>
      </c>
      <c r="AQ742" s="21" t="str">
        <f t="shared" si="519"/>
        <v>Apprenant 730</v>
      </c>
      <c r="AR742" s="49" t="str">
        <f>IF(AND('Choix pédagogiques'!$C$4&lt;&gt;"?",'Choix pédagogiques'!$C$5&lt;&gt;"?",W742&lt;&gt;""),(W742-'Choix pédagogiques'!$C$4)/('Choix pédagogiques'!$C$5-'Choix pédagogiques'!$C$4),"")</f>
        <v/>
      </c>
      <c r="AS742" s="49" t="str">
        <f>IF(AND('Choix pédagogiques'!$C$4&lt;&gt;"?",'Choix pédagogiques'!$C$5&lt;&gt;"?",X742&lt;&gt;""),(X742-'Choix pédagogiques'!$C$4)/('Choix pédagogiques'!$C$5-'Choix pédagogiques'!$C$4),"")</f>
        <v/>
      </c>
      <c r="AT742" s="49" t="str">
        <f>IF(AND('Choix pédagogiques'!$C$4&lt;&gt;"?",'Choix pédagogiques'!$C$5&lt;&gt;"?",Y742&lt;&gt;""),(Y742-'Choix pédagogiques'!$C$4)/('Choix pédagogiques'!$C$5-'Choix pédagogiques'!$C$4),"")</f>
        <v/>
      </c>
      <c r="AU742" s="22" t="str">
        <f t="shared" si="520"/>
        <v/>
      </c>
      <c r="AV742" s="21" t="str">
        <f t="shared" si="521"/>
        <v>Apprenant 730 ou 730'</v>
      </c>
      <c r="AW742" s="49" t="str">
        <f>IF(AND('Choix pédagogiques'!$C$4&lt;&gt;"?",'Choix pédagogiques'!$C$5&lt;&gt;"?",AB742&lt;&gt;""),(AB742-'Choix pédagogiques'!$C$4)/('Choix pédagogiques'!$C$5-'Choix pédagogiques'!$C$4),"")</f>
        <v/>
      </c>
      <c r="AX742" s="49" t="str">
        <f>IF(AND('Choix pédagogiques'!$C$4&lt;&gt;"?",'Choix pédagogiques'!$C$5&lt;&gt;"?",AC742&lt;&gt;""),(AC742-'Choix pédagogiques'!$C$4)/('Choix pédagogiques'!$C$5-'Choix pédagogiques'!$C$4),"")</f>
        <v/>
      </c>
      <c r="AY742" s="49" t="str">
        <f>IF(AND('Choix pédagogiques'!$C$4&lt;&gt;"?",'Choix pédagogiques'!$C$5&lt;&gt;"?",AD742&lt;&gt;""),(AD742-'Choix pédagogiques'!$C$4)/('Choix pédagogiques'!$C$5-'Choix pédagogiques'!$C$4),"")</f>
        <v/>
      </c>
      <c r="AZ742" s="22" t="str">
        <f t="shared" si="522"/>
        <v/>
      </c>
      <c r="BA742" s="21" t="str">
        <f t="shared" si="523"/>
        <v>Apprenant 730</v>
      </c>
      <c r="BB742" s="49" t="str">
        <f t="shared" si="495"/>
        <v/>
      </c>
      <c r="BC742" s="49" t="str">
        <f t="shared" si="496"/>
        <v/>
      </c>
      <c r="BD742" s="49" t="str">
        <f t="shared" si="497"/>
        <v/>
      </c>
      <c r="BE742" s="22" t="str">
        <f t="shared" si="524"/>
        <v/>
      </c>
      <c r="BF742" s="21" t="str">
        <f t="shared" si="525"/>
        <v>Apprenant 730 ou 730'</v>
      </c>
      <c r="BG742" s="49" t="str">
        <f t="shared" si="498"/>
        <v/>
      </c>
      <c r="BH742" s="49" t="str">
        <f t="shared" si="499"/>
        <v/>
      </c>
      <c r="BI742" s="49" t="str">
        <f t="shared" si="500"/>
        <v/>
      </c>
      <c r="BJ742" s="22" t="str">
        <f t="shared" si="526"/>
        <v/>
      </c>
      <c r="BL742" s="21"/>
      <c r="BM742" s="21" t="str">
        <f>IF(OR(COUNT(B742:D1741)=0,AND('Choix pédagogiques'!$C$3&lt;&gt;1,'Choix pédagogiques'!$C$3&lt;&gt;2)),"",IF(AND(OR('Choix pédagogiques'!$C$3=1,'Choix pédagogiques'!$C$3=2),$B742&lt;&gt;"",$C742&lt;&gt;"",$D742&lt;&gt;""),1,0))</f>
        <v/>
      </c>
      <c r="BN742" s="21" t="str">
        <f>IF(OR(COUNT(G742:I1741)=0,AND('Choix pédagogiques'!$C$3&lt;&gt;1,'Choix pédagogiques'!$C$3&lt;&gt;2)),"",IF(AND(OR('Choix pédagogiques'!$C$3=1,'Choix pédagogiques'!$C$3=2),AND($G742&lt;&gt;"",$H742&lt;&gt;"",$I742&lt;&gt;"")),1,0))</f>
        <v/>
      </c>
      <c r="BO742" s="21" t="str">
        <f>IF(OR(COUNT(B742:D1741)=0,COUNT(G742:I1741)=0,'Choix pédagogiques'!C$3&lt;&gt;3),"",IF(AND('Choix pédagogiques'!$C$3=3,$B742&lt;&gt;"",$C742&lt;&gt;"",$D742&lt;&gt;"",$G742&lt;&gt;"",$H742&lt;&gt;"",$I742&lt;&gt;""),1,0))</f>
        <v/>
      </c>
      <c r="BR742" s="21">
        <v>436</v>
      </c>
      <c r="BS742" s="21">
        <v>1874</v>
      </c>
      <c r="BT742"/>
    </row>
    <row r="743" spans="1:72" s="23" customFormat="1" ht="18" customHeight="1" x14ac:dyDescent="0.3">
      <c r="A743" s="35" t="s">
        <v>733</v>
      </c>
      <c r="B743" s="37"/>
      <c r="C743" s="37"/>
      <c r="D743" s="37"/>
      <c r="E743" s="37"/>
      <c r="F743" s="35" t="s">
        <v>1741</v>
      </c>
      <c r="G743" s="37"/>
      <c r="H743" s="37"/>
      <c r="I743" s="37"/>
      <c r="J743" s="37"/>
      <c r="K743" s="21" t="str">
        <f t="shared" si="501"/>
        <v>Apprenant 731</v>
      </c>
      <c r="L743" s="22" t="str">
        <f t="shared" si="502"/>
        <v/>
      </c>
      <c r="M743" s="22" t="str">
        <f t="shared" si="503"/>
        <v/>
      </c>
      <c r="N743" s="22" t="str">
        <f t="shared" si="504"/>
        <v/>
      </c>
      <c r="O743" s="22" t="str">
        <f t="shared" si="505"/>
        <v/>
      </c>
      <c r="P743" s="21" t="str">
        <f t="shared" si="506"/>
        <v>Apprenant 731 ou 731'</v>
      </c>
      <c r="Q743" s="22" t="str">
        <f t="shared" si="507"/>
        <v/>
      </c>
      <c r="R743" s="22" t="str">
        <f t="shared" si="508"/>
        <v/>
      </c>
      <c r="S743" s="22" t="str">
        <f t="shared" si="509"/>
        <v/>
      </c>
      <c r="T743" s="22" t="str">
        <f t="shared" si="510"/>
        <v/>
      </c>
      <c r="V743" s="21" t="str">
        <f t="shared" si="511"/>
        <v>Apprenant 731</v>
      </c>
      <c r="W743" s="22" t="str">
        <f>IF(AND(OR('Choix pédagogiques'!$C$3=1,'Choix pédagogiques'!$C$3=2),$BM743=1),B743,IF(AND('Choix pédagogiques'!$C$3=3,$BO743=1),B743,""))</f>
        <v/>
      </c>
      <c r="X743" s="22" t="str">
        <f>IF(AND(OR('Choix pédagogiques'!$C$3=1,'Choix pédagogiques'!$C$3=2),$BM743=1),C743,IF(AND('Choix pédagogiques'!$C$3=3,$BO743=1),C743,""))</f>
        <v/>
      </c>
      <c r="Y743" s="22" t="str">
        <f>IF(AND(OR('Choix pédagogiques'!$C$3=1,'Choix pédagogiques'!$C$3=2),$BM743=1),D743,IF(AND('Choix pédagogiques'!$C$3=3,$BO743=1),D743,""))</f>
        <v/>
      </c>
      <c r="Z743" s="22" t="str">
        <f t="shared" si="512"/>
        <v/>
      </c>
      <c r="AA743" s="21" t="str">
        <f t="shared" si="513"/>
        <v>Apprenant 731 ou 731'</v>
      </c>
      <c r="AB743" s="22" t="str">
        <f>IF(AND(OR('Choix pédagogiques'!$C$3=1,'Choix pédagogiques'!$C$3=2),$BN743=1),G743,IF(AND('Choix pédagogiques'!$C$3=3,$BO743=1),G743,""))</f>
        <v/>
      </c>
      <c r="AC743" s="22" t="str">
        <f>IF(AND(OR('Choix pédagogiques'!$C$3=1,'Choix pédagogiques'!$C$3=2),$BN743=1),H743,IF(AND('Choix pédagogiques'!$C$3=3,$BO743=1),H743,""))</f>
        <v/>
      </c>
      <c r="AD743" s="22" t="str">
        <f>IF(AND(OR('Choix pédagogiques'!$C$3=1,'Choix pédagogiques'!$C$3=2),$BN743=1),I743,IF(AND('Choix pédagogiques'!$C$3=3,$BO743=1),I743,""))</f>
        <v/>
      </c>
      <c r="AE743" s="22" t="str">
        <f t="shared" si="514"/>
        <v/>
      </c>
      <c r="AF743" s="21" t="str">
        <f t="shared" si="515"/>
        <v>Apprenant 731</v>
      </c>
      <c r="AG743" s="22" t="str">
        <f t="shared" si="489"/>
        <v/>
      </c>
      <c r="AH743" s="22" t="str">
        <f t="shared" si="490"/>
        <v/>
      </c>
      <c r="AI743" s="22" t="str">
        <f t="shared" si="491"/>
        <v/>
      </c>
      <c r="AJ743" s="22" t="str">
        <f t="shared" si="516"/>
        <v/>
      </c>
      <c r="AK743" s="21" t="str">
        <f t="shared" si="517"/>
        <v>Apprenant 731 ou 731'</v>
      </c>
      <c r="AL743" s="22" t="str">
        <f t="shared" si="492"/>
        <v/>
      </c>
      <c r="AM743" s="22" t="str">
        <f t="shared" si="493"/>
        <v/>
      </c>
      <c r="AN743" s="22" t="str">
        <f t="shared" si="494"/>
        <v/>
      </c>
      <c r="AO743" s="22" t="str">
        <f t="shared" si="518"/>
        <v/>
      </c>
      <c r="AQ743" s="21" t="str">
        <f t="shared" si="519"/>
        <v>Apprenant 731</v>
      </c>
      <c r="AR743" s="49" t="str">
        <f>IF(AND('Choix pédagogiques'!$C$4&lt;&gt;"?",'Choix pédagogiques'!$C$5&lt;&gt;"?",W743&lt;&gt;""),(W743-'Choix pédagogiques'!$C$4)/('Choix pédagogiques'!$C$5-'Choix pédagogiques'!$C$4),"")</f>
        <v/>
      </c>
      <c r="AS743" s="49" t="str">
        <f>IF(AND('Choix pédagogiques'!$C$4&lt;&gt;"?",'Choix pédagogiques'!$C$5&lt;&gt;"?",X743&lt;&gt;""),(X743-'Choix pédagogiques'!$C$4)/('Choix pédagogiques'!$C$5-'Choix pédagogiques'!$C$4),"")</f>
        <v/>
      </c>
      <c r="AT743" s="49" t="str">
        <f>IF(AND('Choix pédagogiques'!$C$4&lt;&gt;"?",'Choix pédagogiques'!$C$5&lt;&gt;"?",Y743&lt;&gt;""),(Y743-'Choix pédagogiques'!$C$4)/('Choix pédagogiques'!$C$5-'Choix pédagogiques'!$C$4),"")</f>
        <v/>
      </c>
      <c r="AU743" s="22" t="str">
        <f t="shared" si="520"/>
        <v/>
      </c>
      <c r="AV743" s="21" t="str">
        <f t="shared" si="521"/>
        <v>Apprenant 731 ou 731'</v>
      </c>
      <c r="AW743" s="49" t="str">
        <f>IF(AND('Choix pédagogiques'!$C$4&lt;&gt;"?",'Choix pédagogiques'!$C$5&lt;&gt;"?",AB743&lt;&gt;""),(AB743-'Choix pédagogiques'!$C$4)/('Choix pédagogiques'!$C$5-'Choix pédagogiques'!$C$4),"")</f>
        <v/>
      </c>
      <c r="AX743" s="49" t="str">
        <f>IF(AND('Choix pédagogiques'!$C$4&lt;&gt;"?",'Choix pédagogiques'!$C$5&lt;&gt;"?",AC743&lt;&gt;""),(AC743-'Choix pédagogiques'!$C$4)/('Choix pédagogiques'!$C$5-'Choix pédagogiques'!$C$4),"")</f>
        <v/>
      </c>
      <c r="AY743" s="49" t="str">
        <f>IF(AND('Choix pédagogiques'!$C$4&lt;&gt;"?",'Choix pédagogiques'!$C$5&lt;&gt;"?",AD743&lt;&gt;""),(AD743-'Choix pédagogiques'!$C$4)/('Choix pédagogiques'!$C$5-'Choix pédagogiques'!$C$4),"")</f>
        <v/>
      </c>
      <c r="AZ743" s="22" t="str">
        <f t="shared" si="522"/>
        <v/>
      </c>
      <c r="BA743" s="21" t="str">
        <f t="shared" si="523"/>
        <v>Apprenant 731</v>
      </c>
      <c r="BB743" s="49" t="str">
        <f t="shared" si="495"/>
        <v/>
      </c>
      <c r="BC743" s="49" t="str">
        <f t="shared" si="496"/>
        <v/>
      </c>
      <c r="BD743" s="49" t="str">
        <f t="shared" si="497"/>
        <v/>
      </c>
      <c r="BE743" s="22" t="str">
        <f t="shared" si="524"/>
        <v/>
      </c>
      <c r="BF743" s="21" t="str">
        <f t="shared" si="525"/>
        <v>Apprenant 731 ou 731'</v>
      </c>
      <c r="BG743" s="49" t="str">
        <f t="shared" si="498"/>
        <v/>
      </c>
      <c r="BH743" s="49" t="str">
        <f t="shared" si="499"/>
        <v/>
      </c>
      <c r="BI743" s="49" t="str">
        <f t="shared" si="500"/>
        <v/>
      </c>
      <c r="BJ743" s="22" t="str">
        <f t="shared" si="526"/>
        <v/>
      </c>
      <c r="BL743" s="21"/>
      <c r="BM743" s="21" t="str">
        <f>IF(OR(COUNT(B743:D1742)=0,AND('Choix pédagogiques'!$C$3&lt;&gt;1,'Choix pédagogiques'!$C$3&lt;&gt;2)),"",IF(AND(OR('Choix pédagogiques'!$C$3=1,'Choix pédagogiques'!$C$3=2),$B743&lt;&gt;"",$C743&lt;&gt;"",$D743&lt;&gt;""),1,0))</f>
        <v/>
      </c>
      <c r="BN743" s="21" t="str">
        <f>IF(OR(COUNT(G743:I1742)=0,AND('Choix pédagogiques'!$C$3&lt;&gt;1,'Choix pédagogiques'!$C$3&lt;&gt;2)),"",IF(AND(OR('Choix pédagogiques'!$C$3=1,'Choix pédagogiques'!$C$3=2),AND($G743&lt;&gt;"",$H743&lt;&gt;"",$I743&lt;&gt;"")),1,0))</f>
        <v/>
      </c>
      <c r="BO743" s="21" t="str">
        <f>IF(OR(COUNT(B743:D1742)=0,COUNT(G743:I1742)=0,'Choix pédagogiques'!C$3&lt;&gt;3),"",IF(AND('Choix pédagogiques'!$C$3=3,$B743&lt;&gt;"",$C743&lt;&gt;"",$D743&lt;&gt;"",$G743&lt;&gt;"",$H743&lt;&gt;"",$I743&lt;&gt;""),1,0))</f>
        <v/>
      </c>
      <c r="BR743" s="21">
        <v>697</v>
      </c>
      <c r="BS743" s="21">
        <v>1563</v>
      </c>
      <c r="BT743"/>
    </row>
    <row r="744" spans="1:72" s="23" customFormat="1" ht="18" customHeight="1" x14ac:dyDescent="0.3">
      <c r="A744" s="35" t="s">
        <v>734</v>
      </c>
      <c r="B744" s="37"/>
      <c r="C744" s="37"/>
      <c r="D744" s="37"/>
      <c r="E744" s="37"/>
      <c r="F744" s="35" t="s">
        <v>1742</v>
      </c>
      <c r="G744" s="37"/>
      <c r="H744" s="37"/>
      <c r="I744" s="37"/>
      <c r="J744" s="37"/>
      <c r="K744" s="21" t="str">
        <f t="shared" si="501"/>
        <v>Apprenant 732</v>
      </c>
      <c r="L744" s="22" t="str">
        <f t="shared" si="502"/>
        <v/>
      </c>
      <c r="M744" s="22" t="str">
        <f t="shared" si="503"/>
        <v/>
      </c>
      <c r="N744" s="22" t="str">
        <f t="shared" si="504"/>
        <v/>
      </c>
      <c r="O744" s="22" t="str">
        <f t="shared" si="505"/>
        <v/>
      </c>
      <c r="P744" s="21" t="str">
        <f t="shared" si="506"/>
        <v>Apprenant 732 ou 732'</v>
      </c>
      <c r="Q744" s="22" t="str">
        <f t="shared" si="507"/>
        <v/>
      </c>
      <c r="R744" s="22" t="str">
        <f t="shared" si="508"/>
        <v/>
      </c>
      <c r="S744" s="22" t="str">
        <f t="shared" si="509"/>
        <v/>
      </c>
      <c r="T744" s="22" t="str">
        <f t="shared" si="510"/>
        <v/>
      </c>
      <c r="V744" s="21" t="str">
        <f t="shared" si="511"/>
        <v>Apprenant 732</v>
      </c>
      <c r="W744" s="22" t="str">
        <f>IF(AND(OR('Choix pédagogiques'!$C$3=1,'Choix pédagogiques'!$C$3=2),$BM744=1),B744,IF(AND('Choix pédagogiques'!$C$3=3,$BO744=1),B744,""))</f>
        <v/>
      </c>
      <c r="X744" s="22" t="str">
        <f>IF(AND(OR('Choix pédagogiques'!$C$3=1,'Choix pédagogiques'!$C$3=2),$BM744=1),C744,IF(AND('Choix pédagogiques'!$C$3=3,$BO744=1),C744,""))</f>
        <v/>
      </c>
      <c r="Y744" s="22" t="str">
        <f>IF(AND(OR('Choix pédagogiques'!$C$3=1,'Choix pédagogiques'!$C$3=2),$BM744=1),D744,IF(AND('Choix pédagogiques'!$C$3=3,$BO744=1),D744,""))</f>
        <v/>
      </c>
      <c r="Z744" s="22" t="str">
        <f t="shared" si="512"/>
        <v/>
      </c>
      <c r="AA744" s="21" t="str">
        <f t="shared" si="513"/>
        <v>Apprenant 732 ou 732'</v>
      </c>
      <c r="AB744" s="22" t="str">
        <f>IF(AND(OR('Choix pédagogiques'!$C$3=1,'Choix pédagogiques'!$C$3=2),$BN744=1),G744,IF(AND('Choix pédagogiques'!$C$3=3,$BO744=1),G744,""))</f>
        <v/>
      </c>
      <c r="AC744" s="22" t="str">
        <f>IF(AND(OR('Choix pédagogiques'!$C$3=1,'Choix pédagogiques'!$C$3=2),$BN744=1),H744,IF(AND('Choix pédagogiques'!$C$3=3,$BO744=1),H744,""))</f>
        <v/>
      </c>
      <c r="AD744" s="22" t="str">
        <f>IF(AND(OR('Choix pédagogiques'!$C$3=1,'Choix pédagogiques'!$C$3=2),$BN744=1),I744,IF(AND('Choix pédagogiques'!$C$3=3,$BO744=1),I744,""))</f>
        <v/>
      </c>
      <c r="AE744" s="22" t="str">
        <f t="shared" si="514"/>
        <v/>
      </c>
      <c r="AF744" s="21" t="str">
        <f t="shared" si="515"/>
        <v>Apprenant 732</v>
      </c>
      <c r="AG744" s="22" t="str">
        <f t="shared" si="489"/>
        <v/>
      </c>
      <c r="AH744" s="22" t="str">
        <f t="shared" si="490"/>
        <v/>
      </c>
      <c r="AI744" s="22" t="str">
        <f t="shared" si="491"/>
        <v/>
      </c>
      <c r="AJ744" s="22" t="str">
        <f t="shared" si="516"/>
        <v/>
      </c>
      <c r="AK744" s="21" t="str">
        <f t="shared" si="517"/>
        <v>Apprenant 732 ou 732'</v>
      </c>
      <c r="AL744" s="22" t="str">
        <f t="shared" si="492"/>
        <v/>
      </c>
      <c r="AM744" s="22" t="str">
        <f t="shared" si="493"/>
        <v/>
      </c>
      <c r="AN744" s="22" t="str">
        <f t="shared" si="494"/>
        <v/>
      </c>
      <c r="AO744" s="22" t="str">
        <f t="shared" si="518"/>
        <v/>
      </c>
      <c r="AQ744" s="21" t="str">
        <f t="shared" si="519"/>
        <v>Apprenant 732</v>
      </c>
      <c r="AR744" s="49" t="str">
        <f>IF(AND('Choix pédagogiques'!$C$4&lt;&gt;"?",'Choix pédagogiques'!$C$5&lt;&gt;"?",W744&lt;&gt;""),(W744-'Choix pédagogiques'!$C$4)/('Choix pédagogiques'!$C$5-'Choix pédagogiques'!$C$4),"")</f>
        <v/>
      </c>
      <c r="AS744" s="49" t="str">
        <f>IF(AND('Choix pédagogiques'!$C$4&lt;&gt;"?",'Choix pédagogiques'!$C$5&lt;&gt;"?",X744&lt;&gt;""),(X744-'Choix pédagogiques'!$C$4)/('Choix pédagogiques'!$C$5-'Choix pédagogiques'!$C$4),"")</f>
        <v/>
      </c>
      <c r="AT744" s="49" t="str">
        <f>IF(AND('Choix pédagogiques'!$C$4&lt;&gt;"?",'Choix pédagogiques'!$C$5&lt;&gt;"?",Y744&lt;&gt;""),(Y744-'Choix pédagogiques'!$C$4)/('Choix pédagogiques'!$C$5-'Choix pédagogiques'!$C$4),"")</f>
        <v/>
      </c>
      <c r="AU744" s="22" t="str">
        <f t="shared" si="520"/>
        <v/>
      </c>
      <c r="AV744" s="21" t="str">
        <f t="shared" si="521"/>
        <v>Apprenant 732 ou 732'</v>
      </c>
      <c r="AW744" s="49" t="str">
        <f>IF(AND('Choix pédagogiques'!$C$4&lt;&gt;"?",'Choix pédagogiques'!$C$5&lt;&gt;"?",AB744&lt;&gt;""),(AB744-'Choix pédagogiques'!$C$4)/('Choix pédagogiques'!$C$5-'Choix pédagogiques'!$C$4),"")</f>
        <v/>
      </c>
      <c r="AX744" s="49" t="str">
        <f>IF(AND('Choix pédagogiques'!$C$4&lt;&gt;"?",'Choix pédagogiques'!$C$5&lt;&gt;"?",AC744&lt;&gt;""),(AC744-'Choix pédagogiques'!$C$4)/('Choix pédagogiques'!$C$5-'Choix pédagogiques'!$C$4),"")</f>
        <v/>
      </c>
      <c r="AY744" s="49" t="str">
        <f>IF(AND('Choix pédagogiques'!$C$4&lt;&gt;"?",'Choix pédagogiques'!$C$5&lt;&gt;"?",AD744&lt;&gt;""),(AD744-'Choix pédagogiques'!$C$4)/('Choix pédagogiques'!$C$5-'Choix pédagogiques'!$C$4),"")</f>
        <v/>
      </c>
      <c r="AZ744" s="22" t="str">
        <f t="shared" si="522"/>
        <v/>
      </c>
      <c r="BA744" s="21" t="str">
        <f t="shared" si="523"/>
        <v>Apprenant 732</v>
      </c>
      <c r="BB744" s="49" t="str">
        <f t="shared" si="495"/>
        <v/>
      </c>
      <c r="BC744" s="49" t="str">
        <f t="shared" si="496"/>
        <v/>
      </c>
      <c r="BD744" s="49" t="str">
        <f t="shared" si="497"/>
        <v/>
      </c>
      <c r="BE744" s="22" t="str">
        <f t="shared" si="524"/>
        <v/>
      </c>
      <c r="BF744" s="21" t="str">
        <f t="shared" si="525"/>
        <v>Apprenant 732 ou 732'</v>
      </c>
      <c r="BG744" s="49" t="str">
        <f t="shared" si="498"/>
        <v/>
      </c>
      <c r="BH744" s="49" t="str">
        <f t="shared" si="499"/>
        <v/>
      </c>
      <c r="BI744" s="49" t="str">
        <f t="shared" si="500"/>
        <v/>
      </c>
      <c r="BJ744" s="22" t="str">
        <f t="shared" si="526"/>
        <v/>
      </c>
      <c r="BL744" s="21"/>
      <c r="BM744" s="21" t="str">
        <f>IF(OR(COUNT(B744:D1743)=0,AND('Choix pédagogiques'!$C$3&lt;&gt;1,'Choix pédagogiques'!$C$3&lt;&gt;2)),"",IF(AND(OR('Choix pédagogiques'!$C$3=1,'Choix pédagogiques'!$C$3=2),$B744&lt;&gt;"",$C744&lt;&gt;"",$D744&lt;&gt;""),1,0))</f>
        <v/>
      </c>
      <c r="BN744" s="21" t="str">
        <f>IF(OR(COUNT(G744:I1743)=0,AND('Choix pédagogiques'!$C$3&lt;&gt;1,'Choix pédagogiques'!$C$3&lt;&gt;2)),"",IF(AND(OR('Choix pédagogiques'!$C$3=1,'Choix pédagogiques'!$C$3=2),AND($G744&lt;&gt;"",$H744&lt;&gt;"",$I744&lt;&gt;"")),1,0))</f>
        <v/>
      </c>
      <c r="BO744" s="21" t="str">
        <f>IF(OR(COUNT(B744:D1743)=0,COUNT(G744:I1743)=0,'Choix pédagogiques'!C$3&lt;&gt;3),"",IF(AND('Choix pédagogiques'!$C$3=3,$B744&lt;&gt;"",$C744&lt;&gt;"",$D744&lt;&gt;"",$G744&lt;&gt;"",$H744&lt;&gt;"",$I744&lt;&gt;""),1,0))</f>
        <v/>
      </c>
      <c r="BR744" s="21">
        <v>267</v>
      </c>
      <c r="BS744" s="21">
        <v>1050</v>
      </c>
      <c r="BT744"/>
    </row>
    <row r="745" spans="1:72" s="23" customFormat="1" ht="18" customHeight="1" x14ac:dyDescent="0.3">
      <c r="A745" s="35" t="s">
        <v>735</v>
      </c>
      <c r="B745" s="37"/>
      <c r="C745" s="37"/>
      <c r="D745" s="37"/>
      <c r="E745" s="37"/>
      <c r="F745" s="35" t="s">
        <v>1743</v>
      </c>
      <c r="G745" s="37"/>
      <c r="H745" s="37"/>
      <c r="I745" s="37"/>
      <c r="J745" s="37"/>
      <c r="K745" s="21" t="str">
        <f t="shared" si="501"/>
        <v>Apprenant 733</v>
      </c>
      <c r="L745" s="22" t="str">
        <f t="shared" si="502"/>
        <v/>
      </c>
      <c r="M745" s="22" t="str">
        <f t="shared" si="503"/>
        <v/>
      </c>
      <c r="N745" s="22" t="str">
        <f t="shared" si="504"/>
        <v/>
      </c>
      <c r="O745" s="22" t="str">
        <f t="shared" si="505"/>
        <v/>
      </c>
      <c r="P745" s="21" t="str">
        <f t="shared" si="506"/>
        <v>Apprenant 733 ou 733'</v>
      </c>
      <c r="Q745" s="22" t="str">
        <f t="shared" si="507"/>
        <v/>
      </c>
      <c r="R745" s="22" t="str">
        <f t="shared" si="508"/>
        <v/>
      </c>
      <c r="S745" s="22" t="str">
        <f t="shared" si="509"/>
        <v/>
      </c>
      <c r="T745" s="22" t="str">
        <f t="shared" si="510"/>
        <v/>
      </c>
      <c r="V745" s="21" t="str">
        <f t="shared" si="511"/>
        <v>Apprenant 733</v>
      </c>
      <c r="W745" s="22" t="str">
        <f>IF(AND(OR('Choix pédagogiques'!$C$3=1,'Choix pédagogiques'!$C$3=2),$BM745=1),B745,IF(AND('Choix pédagogiques'!$C$3=3,$BO745=1),B745,""))</f>
        <v/>
      </c>
      <c r="X745" s="22" t="str">
        <f>IF(AND(OR('Choix pédagogiques'!$C$3=1,'Choix pédagogiques'!$C$3=2),$BM745=1),C745,IF(AND('Choix pédagogiques'!$C$3=3,$BO745=1),C745,""))</f>
        <v/>
      </c>
      <c r="Y745" s="22" t="str">
        <f>IF(AND(OR('Choix pédagogiques'!$C$3=1,'Choix pédagogiques'!$C$3=2),$BM745=1),D745,IF(AND('Choix pédagogiques'!$C$3=3,$BO745=1),D745,""))</f>
        <v/>
      </c>
      <c r="Z745" s="22" t="str">
        <f t="shared" si="512"/>
        <v/>
      </c>
      <c r="AA745" s="21" t="str">
        <f t="shared" si="513"/>
        <v>Apprenant 733 ou 733'</v>
      </c>
      <c r="AB745" s="22" t="str">
        <f>IF(AND(OR('Choix pédagogiques'!$C$3=1,'Choix pédagogiques'!$C$3=2),$BN745=1),G745,IF(AND('Choix pédagogiques'!$C$3=3,$BO745=1),G745,""))</f>
        <v/>
      </c>
      <c r="AC745" s="22" t="str">
        <f>IF(AND(OR('Choix pédagogiques'!$C$3=1,'Choix pédagogiques'!$C$3=2),$BN745=1),H745,IF(AND('Choix pédagogiques'!$C$3=3,$BO745=1),H745,""))</f>
        <v/>
      </c>
      <c r="AD745" s="22" t="str">
        <f>IF(AND(OR('Choix pédagogiques'!$C$3=1,'Choix pédagogiques'!$C$3=2),$BN745=1),I745,IF(AND('Choix pédagogiques'!$C$3=3,$BO745=1),I745,""))</f>
        <v/>
      </c>
      <c r="AE745" s="22" t="str">
        <f t="shared" si="514"/>
        <v/>
      </c>
      <c r="AF745" s="21" t="str">
        <f t="shared" si="515"/>
        <v>Apprenant 733</v>
      </c>
      <c r="AG745" s="22" t="str">
        <f t="shared" si="489"/>
        <v/>
      </c>
      <c r="AH745" s="22" t="str">
        <f t="shared" si="490"/>
        <v/>
      </c>
      <c r="AI745" s="22" t="str">
        <f t="shared" si="491"/>
        <v/>
      </c>
      <c r="AJ745" s="22" t="str">
        <f t="shared" si="516"/>
        <v/>
      </c>
      <c r="AK745" s="21" t="str">
        <f t="shared" si="517"/>
        <v>Apprenant 733 ou 733'</v>
      </c>
      <c r="AL745" s="22" t="str">
        <f t="shared" si="492"/>
        <v/>
      </c>
      <c r="AM745" s="22" t="str">
        <f t="shared" si="493"/>
        <v/>
      </c>
      <c r="AN745" s="22" t="str">
        <f t="shared" si="494"/>
        <v/>
      </c>
      <c r="AO745" s="22" t="str">
        <f t="shared" si="518"/>
        <v/>
      </c>
      <c r="AQ745" s="21" t="str">
        <f t="shared" si="519"/>
        <v>Apprenant 733</v>
      </c>
      <c r="AR745" s="49" t="str">
        <f>IF(AND('Choix pédagogiques'!$C$4&lt;&gt;"?",'Choix pédagogiques'!$C$5&lt;&gt;"?",W745&lt;&gt;""),(W745-'Choix pédagogiques'!$C$4)/('Choix pédagogiques'!$C$5-'Choix pédagogiques'!$C$4),"")</f>
        <v/>
      </c>
      <c r="AS745" s="49" t="str">
        <f>IF(AND('Choix pédagogiques'!$C$4&lt;&gt;"?",'Choix pédagogiques'!$C$5&lt;&gt;"?",X745&lt;&gt;""),(X745-'Choix pédagogiques'!$C$4)/('Choix pédagogiques'!$C$5-'Choix pédagogiques'!$C$4),"")</f>
        <v/>
      </c>
      <c r="AT745" s="49" t="str">
        <f>IF(AND('Choix pédagogiques'!$C$4&lt;&gt;"?",'Choix pédagogiques'!$C$5&lt;&gt;"?",Y745&lt;&gt;""),(Y745-'Choix pédagogiques'!$C$4)/('Choix pédagogiques'!$C$5-'Choix pédagogiques'!$C$4),"")</f>
        <v/>
      </c>
      <c r="AU745" s="22" t="str">
        <f t="shared" si="520"/>
        <v/>
      </c>
      <c r="AV745" s="21" t="str">
        <f t="shared" si="521"/>
        <v>Apprenant 733 ou 733'</v>
      </c>
      <c r="AW745" s="49" t="str">
        <f>IF(AND('Choix pédagogiques'!$C$4&lt;&gt;"?",'Choix pédagogiques'!$C$5&lt;&gt;"?",AB745&lt;&gt;""),(AB745-'Choix pédagogiques'!$C$4)/('Choix pédagogiques'!$C$5-'Choix pédagogiques'!$C$4),"")</f>
        <v/>
      </c>
      <c r="AX745" s="49" t="str">
        <f>IF(AND('Choix pédagogiques'!$C$4&lt;&gt;"?",'Choix pédagogiques'!$C$5&lt;&gt;"?",AC745&lt;&gt;""),(AC745-'Choix pédagogiques'!$C$4)/('Choix pédagogiques'!$C$5-'Choix pédagogiques'!$C$4),"")</f>
        <v/>
      </c>
      <c r="AY745" s="49" t="str">
        <f>IF(AND('Choix pédagogiques'!$C$4&lt;&gt;"?",'Choix pédagogiques'!$C$5&lt;&gt;"?",AD745&lt;&gt;""),(AD745-'Choix pédagogiques'!$C$4)/('Choix pédagogiques'!$C$5-'Choix pédagogiques'!$C$4),"")</f>
        <v/>
      </c>
      <c r="AZ745" s="22" t="str">
        <f t="shared" si="522"/>
        <v/>
      </c>
      <c r="BA745" s="21" t="str">
        <f t="shared" si="523"/>
        <v>Apprenant 733</v>
      </c>
      <c r="BB745" s="49" t="str">
        <f t="shared" si="495"/>
        <v/>
      </c>
      <c r="BC745" s="49" t="str">
        <f t="shared" si="496"/>
        <v/>
      </c>
      <c r="BD745" s="49" t="str">
        <f t="shared" si="497"/>
        <v/>
      </c>
      <c r="BE745" s="22" t="str">
        <f t="shared" si="524"/>
        <v/>
      </c>
      <c r="BF745" s="21" t="str">
        <f t="shared" si="525"/>
        <v>Apprenant 733 ou 733'</v>
      </c>
      <c r="BG745" s="49" t="str">
        <f t="shared" si="498"/>
        <v/>
      </c>
      <c r="BH745" s="49" t="str">
        <f t="shared" si="499"/>
        <v/>
      </c>
      <c r="BI745" s="49" t="str">
        <f t="shared" si="500"/>
        <v/>
      </c>
      <c r="BJ745" s="22" t="str">
        <f t="shared" si="526"/>
        <v/>
      </c>
      <c r="BL745" s="21"/>
      <c r="BM745" s="21" t="str">
        <f>IF(OR(COUNT(B745:D1744)=0,AND('Choix pédagogiques'!$C$3&lt;&gt;1,'Choix pédagogiques'!$C$3&lt;&gt;2)),"",IF(AND(OR('Choix pédagogiques'!$C$3=1,'Choix pédagogiques'!$C$3=2),$B745&lt;&gt;"",$C745&lt;&gt;"",$D745&lt;&gt;""),1,0))</f>
        <v/>
      </c>
      <c r="BN745" s="21" t="str">
        <f>IF(OR(COUNT(G745:I1744)=0,AND('Choix pédagogiques'!$C$3&lt;&gt;1,'Choix pédagogiques'!$C$3&lt;&gt;2)),"",IF(AND(OR('Choix pédagogiques'!$C$3=1,'Choix pédagogiques'!$C$3=2),AND($G745&lt;&gt;"",$H745&lt;&gt;"",$I745&lt;&gt;"")),1,0))</f>
        <v/>
      </c>
      <c r="BO745" s="21" t="str">
        <f>IF(OR(COUNT(B745:D1744)=0,COUNT(G745:I1744)=0,'Choix pédagogiques'!C$3&lt;&gt;3),"",IF(AND('Choix pédagogiques'!$C$3=3,$B745&lt;&gt;"",$C745&lt;&gt;"",$D745&lt;&gt;"",$G745&lt;&gt;"",$H745&lt;&gt;"",$I745&lt;&gt;""),1,0))</f>
        <v/>
      </c>
      <c r="BR745" s="21">
        <v>586</v>
      </c>
      <c r="BS745" s="21">
        <v>1291</v>
      </c>
      <c r="BT745"/>
    </row>
    <row r="746" spans="1:72" s="23" customFormat="1" ht="18" customHeight="1" x14ac:dyDescent="0.3">
      <c r="A746" s="35" t="s">
        <v>736</v>
      </c>
      <c r="B746" s="37"/>
      <c r="C746" s="37"/>
      <c r="D746" s="37"/>
      <c r="E746" s="37"/>
      <c r="F746" s="35" t="s">
        <v>1744</v>
      </c>
      <c r="G746" s="37"/>
      <c r="H746" s="37"/>
      <c r="I746" s="37"/>
      <c r="J746" s="37"/>
      <c r="K746" s="21" t="str">
        <f t="shared" si="501"/>
        <v>Apprenant 734</v>
      </c>
      <c r="L746" s="22" t="str">
        <f t="shared" si="502"/>
        <v/>
      </c>
      <c r="M746" s="22" t="str">
        <f t="shared" si="503"/>
        <v/>
      </c>
      <c r="N746" s="22" t="str">
        <f t="shared" si="504"/>
        <v/>
      </c>
      <c r="O746" s="22" t="str">
        <f t="shared" si="505"/>
        <v/>
      </c>
      <c r="P746" s="21" t="str">
        <f t="shared" si="506"/>
        <v>Apprenant 734 ou 734'</v>
      </c>
      <c r="Q746" s="22" t="str">
        <f t="shared" si="507"/>
        <v/>
      </c>
      <c r="R746" s="22" t="str">
        <f t="shared" si="508"/>
        <v/>
      </c>
      <c r="S746" s="22" t="str">
        <f t="shared" si="509"/>
        <v/>
      </c>
      <c r="T746" s="22" t="str">
        <f t="shared" si="510"/>
        <v/>
      </c>
      <c r="V746" s="21" t="str">
        <f t="shared" si="511"/>
        <v>Apprenant 734</v>
      </c>
      <c r="W746" s="22" t="str">
        <f>IF(AND(OR('Choix pédagogiques'!$C$3=1,'Choix pédagogiques'!$C$3=2),$BM746=1),B746,IF(AND('Choix pédagogiques'!$C$3=3,$BO746=1),B746,""))</f>
        <v/>
      </c>
      <c r="X746" s="22" t="str">
        <f>IF(AND(OR('Choix pédagogiques'!$C$3=1,'Choix pédagogiques'!$C$3=2),$BM746=1),C746,IF(AND('Choix pédagogiques'!$C$3=3,$BO746=1),C746,""))</f>
        <v/>
      </c>
      <c r="Y746" s="22" t="str">
        <f>IF(AND(OR('Choix pédagogiques'!$C$3=1,'Choix pédagogiques'!$C$3=2),$BM746=1),D746,IF(AND('Choix pédagogiques'!$C$3=3,$BO746=1),D746,""))</f>
        <v/>
      </c>
      <c r="Z746" s="22" t="str">
        <f t="shared" si="512"/>
        <v/>
      </c>
      <c r="AA746" s="21" t="str">
        <f t="shared" si="513"/>
        <v>Apprenant 734 ou 734'</v>
      </c>
      <c r="AB746" s="22" t="str">
        <f>IF(AND(OR('Choix pédagogiques'!$C$3=1,'Choix pédagogiques'!$C$3=2),$BN746=1),G746,IF(AND('Choix pédagogiques'!$C$3=3,$BO746=1),G746,""))</f>
        <v/>
      </c>
      <c r="AC746" s="22" t="str">
        <f>IF(AND(OR('Choix pédagogiques'!$C$3=1,'Choix pédagogiques'!$C$3=2),$BN746=1),H746,IF(AND('Choix pédagogiques'!$C$3=3,$BO746=1),H746,""))</f>
        <v/>
      </c>
      <c r="AD746" s="22" t="str">
        <f>IF(AND(OR('Choix pédagogiques'!$C$3=1,'Choix pédagogiques'!$C$3=2),$BN746=1),I746,IF(AND('Choix pédagogiques'!$C$3=3,$BO746=1),I746,""))</f>
        <v/>
      </c>
      <c r="AE746" s="22" t="str">
        <f t="shared" si="514"/>
        <v/>
      </c>
      <c r="AF746" s="21" t="str">
        <f t="shared" si="515"/>
        <v>Apprenant 734</v>
      </c>
      <c r="AG746" s="22" t="str">
        <f t="shared" si="489"/>
        <v/>
      </c>
      <c r="AH746" s="22" t="str">
        <f t="shared" si="490"/>
        <v/>
      </c>
      <c r="AI746" s="22" t="str">
        <f t="shared" si="491"/>
        <v/>
      </c>
      <c r="AJ746" s="22" t="str">
        <f t="shared" si="516"/>
        <v/>
      </c>
      <c r="AK746" s="21" t="str">
        <f t="shared" si="517"/>
        <v>Apprenant 734 ou 734'</v>
      </c>
      <c r="AL746" s="22" t="str">
        <f t="shared" si="492"/>
        <v/>
      </c>
      <c r="AM746" s="22" t="str">
        <f t="shared" si="493"/>
        <v/>
      </c>
      <c r="AN746" s="22" t="str">
        <f t="shared" si="494"/>
        <v/>
      </c>
      <c r="AO746" s="22" t="str">
        <f t="shared" si="518"/>
        <v/>
      </c>
      <c r="AQ746" s="21" t="str">
        <f t="shared" si="519"/>
        <v>Apprenant 734</v>
      </c>
      <c r="AR746" s="49" t="str">
        <f>IF(AND('Choix pédagogiques'!$C$4&lt;&gt;"?",'Choix pédagogiques'!$C$5&lt;&gt;"?",W746&lt;&gt;""),(W746-'Choix pédagogiques'!$C$4)/('Choix pédagogiques'!$C$5-'Choix pédagogiques'!$C$4),"")</f>
        <v/>
      </c>
      <c r="AS746" s="49" t="str">
        <f>IF(AND('Choix pédagogiques'!$C$4&lt;&gt;"?",'Choix pédagogiques'!$C$5&lt;&gt;"?",X746&lt;&gt;""),(X746-'Choix pédagogiques'!$C$4)/('Choix pédagogiques'!$C$5-'Choix pédagogiques'!$C$4),"")</f>
        <v/>
      </c>
      <c r="AT746" s="49" t="str">
        <f>IF(AND('Choix pédagogiques'!$C$4&lt;&gt;"?",'Choix pédagogiques'!$C$5&lt;&gt;"?",Y746&lt;&gt;""),(Y746-'Choix pédagogiques'!$C$4)/('Choix pédagogiques'!$C$5-'Choix pédagogiques'!$C$4),"")</f>
        <v/>
      </c>
      <c r="AU746" s="22" t="str">
        <f t="shared" si="520"/>
        <v/>
      </c>
      <c r="AV746" s="21" t="str">
        <f t="shared" si="521"/>
        <v>Apprenant 734 ou 734'</v>
      </c>
      <c r="AW746" s="49" t="str">
        <f>IF(AND('Choix pédagogiques'!$C$4&lt;&gt;"?",'Choix pédagogiques'!$C$5&lt;&gt;"?",AB746&lt;&gt;""),(AB746-'Choix pédagogiques'!$C$4)/('Choix pédagogiques'!$C$5-'Choix pédagogiques'!$C$4),"")</f>
        <v/>
      </c>
      <c r="AX746" s="49" t="str">
        <f>IF(AND('Choix pédagogiques'!$C$4&lt;&gt;"?",'Choix pédagogiques'!$C$5&lt;&gt;"?",AC746&lt;&gt;""),(AC746-'Choix pédagogiques'!$C$4)/('Choix pédagogiques'!$C$5-'Choix pédagogiques'!$C$4),"")</f>
        <v/>
      </c>
      <c r="AY746" s="49" t="str">
        <f>IF(AND('Choix pédagogiques'!$C$4&lt;&gt;"?",'Choix pédagogiques'!$C$5&lt;&gt;"?",AD746&lt;&gt;""),(AD746-'Choix pédagogiques'!$C$4)/('Choix pédagogiques'!$C$5-'Choix pédagogiques'!$C$4),"")</f>
        <v/>
      </c>
      <c r="AZ746" s="22" t="str">
        <f t="shared" si="522"/>
        <v/>
      </c>
      <c r="BA746" s="21" t="str">
        <f t="shared" si="523"/>
        <v>Apprenant 734</v>
      </c>
      <c r="BB746" s="49" t="str">
        <f t="shared" si="495"/>
        <v/>
      </c>
      <c r="BC746" s="49" t="str">
        <f t="shared" si="496"/>
        <v/>
      </c>
      <c r="BD746" s="49" t="str">
        <f t="shared" si="497"/>
        <v/>
      </c>
      <c r="BE746" s="22" t="str">
        <f t="shared" si="524"/>
        <v/>
      </c>
      <c r="BF746" s="21" t="str">
        <f t="shared" si="525"/>
        <v>Apprenant 734 ou 734'</v>
      </c>
      <c r="BG746" s="49" t="str">
        <f t="shared" si="498"/>
        <v/>
      </c>
      <c r="BH746" s="49" t="str">
        <f t="shared" si="499"/>
        <v/>
      </c>
      <c r="BI746" s="49" t="str">
        <f t="shared" si="500"/>
        <v/>
      </c>
      <c r="BJ746" s="22" t="str">
        <f t="shared" si="526"/>
        <v/>
      </c>
      <c r="BL746" s="21"/>
      <c r="BM746" s="21" t="str">
        <f>IF(OR(COUNT(B746:D1745)=0,AND('Choix pédagogiques'!$C$3&lt;&gt;1,'Choix pédagogiques'!$C$3&lt;&gt;2)),"",IF(AND(OR('Choix pédagogiques'!$C$3=1,'Choix pédagogiques'!$C$3=2),$B746&lt;&gt;"",$C746&lt;&gt;"",$D746&lt;&gt;""),1,0))</f>
        <v/>
      </c>
      <c r="BN746" s="21" t="str">
        <f>IF(OR(COUNT(G746:I1745)=0,AND('Choix pédagogiques'!$C$3&lt;&gt;1,'Choix pédagogiques'!$C$3&lt;&gt;2)),"",IF(AND(OR('Choix pédagogiques'!$C$3=1,'Choix pédagogiques'!$C$3=2),AND($G746&lt;&gt;"",$H746&lt;&gt;"",$I746&lt;&gt;"")),1,0))</f>
        <v/>
      </c>
      <c r="BO746" s="21" t="str">
        <f>IF(OR(COUNT(B746:D1745)=0,COUNT(G746:I1745)=0,'Choix pédagogiques'!C$3&lt;&gt;3),"",IF(AND('Choix pédagogiques'!$C$3=3,$B746&lt;&gt;"",$C746&lt;&gt;"",$D746&lt;&gt;"",$G746&lt;&gt;"",$H746&lt;&gt;"",$I746&lt;&gt;""),1,0))</f>
        <v/>
      </c>
      <c r="BR746" s="21">
        <v>403</v>
      </c>
      <c r="BS746" s="21">
        <v>1781</v>
      </c>
      <c r="BT746"/>
    </row>
    <row r="747" spans="1:72" s="23" customFormat="1" ht="18" customHeight="1" x14ac:dyDescent="0.3">
      <c r="A747" s="35" t="s">
        <v>737</v>
      </c>
      <c r="B747" s="37"/>
      <c r="C747" s="37"/>
      <c r="D747" s="37"/>
      <c r="E747" s="37"/>
      <c r="F747" s="35" t="s">
        <v>1745</v>
      </c>
      <c r="G747" s="37"/>
      <c r="H747" s="37"/>
      <c r="I747" s="37"/>
      <c r="J747" s="37"/>
      <c r="K747" s="21" t="str">
        <f t="shared" si="501"/>
        <v>Apprenant 735</v>
      </c>
      <c r="L747" s="22" t="str">
        <f t="shared" si="502"/>
        <v/>
      </c>
      <c r="M747" s="22" t="str">
        <f t="shared" si="503"/>
        <v/>
      </c>
      <c r="N747" s="22" t="str">
        <f t="shared" si="504"/>
        <v/>
      </c>
      <c r="O747" s="22" t="str">
        <f t="shared" si="505"/>
        <v/>
      </c>
      <c r="P747" s="21" t="str">
        <f t="shared" si="506"/>
        <v>Apprenant 735 ou 735'</v>
      </c>
      <c r="Q747" s="22" t="str">
        <f t="shared" si="507"/>
        <v/>
      </c>
      <c r="R747" s="22" t="str">
        <f t="shared" si="508"/>
        <v/>
      </c>
      <c r="S747" s="22" t="str">
        <f t="shared" si="509"/>
        <v/>
      </c>
      <c r="T747" s="22" t="str">
        <f t="shared" si="510"/>
        <v/>
      </c>
      <c r="V747" s="21" t="str">
        <f t="shared" si="511"/>
        <v>Apprenant 735</v>
      </c>
      <c r="W747" s="22" t="str">
        <f>IF(AND(OR('Choix pédagogiques'!$C$3=1,'Choix pédagogiques'!$C$3=2),$BM747=1),B747,IF(AND('Choix pédagogiques'!$C$3=3,$BO747=1),B747,""))</f>
        <v/>
      </c>
      <c r="X747" s="22" t="str">
        <f>IF(AND(OR('Choix pédagogiques'!$C$3=1,'Choix pédagogiques'!$C$3=2),$BM747=1),C747,IF(AND('Choix pédagogiques'!$C$3=3,$BO747=1),C747,""))</f>
        <v/>
      </c>
      <c r="Y747" s="22" t="str">
        <f>IF(AND(OR('Choix pédagogiques'!$C$3=1,'Choix pédagogiques'!$C$3=2),$BM747=1),D747,IF(AND('Choix pédagogiques'!$C$3=3,$BO747=1),D747,""))</f>
        <v/>
      </c>
      <c r="Z747" s="22" t="str">
        <f t="shared" si="512"/>
        <v/>
      </c>
      <c r="AA747" s="21" t="str">
        <f t="shared" si="513"/>
        <v>Apprenant 735 ou 735'</v>
      </c>
      <c r="AB747" s="22" t="str">
        <f>IF(AND(OR('Choix pédagogiques'!$C$3=1,'Choix pédagogiques'!$C$3=2),$BN747=1),G747,IF(AND('Choix pédagogiques'!$C$3=3,$BO747=1),G747,""))</f>
        <v/>
      </c>
      <c r="AC747" s="22" t="str">
        <f>IF(AND(OR('Choix pédagogiques'!$C$3=1,'Choix pédagogiques'!$C$3=2),$BN747=1),H747,IF(AND('Choix pédagogiques'!$C$3=3,$BO747=1),H747,""))</f>
        <v/>
      </c>
      <c r="AD747" s="22" t="str">
        <f>IF(AND(OR('Choix pédagogiques'!$C$3=1,'Choix pédagogiques'!$C$3=2),$BN747=1),I747,IF(AND('Choix pédagogiques'!$C$3=3,$BO747=1),I747,""))</f>
        <v/>
      </c>
      <c r="AE747" s="22" t="str">
        <f t="shared" si="514"/>
        <v/>
      </c>
      <c r="AF747" s="21" t="str">
        <f t="shared" si="515"/>
        <v>Apprenant 735</v>
      </c>
      <c r="AG747" s="22" t="str">
        <f t="shared" si="489"/>
        <v/>
      </c>
      <c r="AH747" s="22" t="str">
        <f t="shared" si="490"/>
        <v/>
      </c>
      <c r="AI747" s="22" t="str">
        <f t="shared" si="491"/>
        <v/>
      </c>
      <c r="AJ747" s="22" t="str">
        <f t="shared" si="516"/>
        <v/>
      </c>
      <c r="AK747" s="21" t="str">
        <f t="shared" si="517"/>
        <v>Apprenant 735 ou 735'</v>
      </c>
      <c r="AL747" s="22" t="str">
        <f t="shared" si="492"/>
        <v/>
      </c>
      <c r="AM747" s="22" t="str">
        <f t="shared" si="493"/>
        <v/>
      </c>
      <c r="AN747" s="22" t="str">
        <f t="shared" si="494"/>
        <v/>
      </c>
      <c r="AO747" s="22" t="str">
        <f t="shared" si="518"/>
        <v/>
      </c>
      <c r="AQ747" s="21" t="str">
        <f t="shared" si="519"/>
        <v>Apprenant 735</v>
      </c>
      <c r="AR747" s="49" t="str">
        <f>IF(AND('Choix pédagogiques'!$C$4&lt;&gt;"?",'Choix pédagogiques'!$C$5&lt;&gt;"?",W747&lt;&gt;""),(W747-'Choix pédagogiques'!$C$4)/('Choix pédagogiques'!$C$5-'Choix pédagogiques'!$C$4),"")</f>
        <v/>
      </c>
      <c r="AS747" s="49" t="str">
        <f>IF(AND('Choix pédagogiques'!$C$4&lt;&gt;"?",'Choix pédagogiques'!$C$5&lt;&gt;"?",X747&lt;&gt;""),(X747-'Choix pédagogiques'!$C$4)/('Choix pédagogiques'!$C$5-'Choix pédagogiques'!$C$4),"")</f>
        <v/>
      </c>
      <c r="AT747" s="49" t="str">
        <f>IF(AND('Choix pédagogiques'!$C$4&lt;&gt;"?",'Choix pédagogiques'!$C$5&lt;&gt;"?",Y747&lt;&gt;""),(Y747-'Choix pédagogiques'!$C$4)/('Choix pédagogiques'!$C$5-'Choix pédagogiques'!$C$4),"")</f>
        <v/>
      </c>
      <c r="AU747" s="22" t="str">
        <f t="shared" si="520"/>
        <v/>
      </c>
      <c r="AV747" s="21" t="str">
        <f t="shared" si="521"/>
        <v>Apprenant 735 ou 735'</v>
      </c>
      <c r="AW747" s="49" t="str">
        <f>IF(AND('Choix pédagogiques'!$C$4&lt;&gt;"?",'Choix pédagogiques'!$C$5&lt;&gt;"?",AB747&lt;&gt;""),(AB747-'Choix pédagogiques'!$C$4)/('Choix pédagogiques'!$C$5-'Choix pédagogiques'!$C$4),"")</f>
        <v/>
      </c>
      <c r="AX747" s="49" t="str">
        <f>IF(AND('Choix pédagogiques'!$C$4&lt;&gt;"?",'Choix pédagogiques'!$C$5&lt;&gt;"?",AC747&lt;&gt;""),(AC747-'Choix pédagogiques'!$C$4)/('Choix pédagogiques'!$C$5-'Choix pédagogiques'!$C$4),"")</f>
        <v/>
      </c>
      <c r="AY747" s="49" t="str">
        <f>IF(AND('Choix pédagogiques'!$C$4&lt;&gt;"?",'Choix pédagogiques'!$C$5&lt;&gt;"?",AD747&lt;&gt;""),(AD747-'Choix pédagogiques'!$C$4)/('Choix pédagogiques'!$C$5-'Choix pédagogiques'!$C$4),"")</f>
        <v/>
      </c>
      <c r="AZ747" s="22" t="str">
        <f t="shared" si="522"/>
        <v/>
      </c>
      <c r="BA747" s="21" t="str">
        <f t="shared" si="523"/>
        <v>Apprenant 735</v>
      </c>
      <c r="BB747" s="49" t="str">
        <f t="shared" si="495"/>
        <v/>
      </c>
      <c r="BC747" s="49" t="str">
        <f t="shared" si="496"/>
        <v/>
      </c>
      <c r="BD747" s="49" t="str">
        <f t="shared" si="497"/>
        <v/>
      </c>
      <c r="BE747" s="22" t="str">
        <f t="shared" si="524"/>
        <v/>
      </c>
      <c r="BF747" s="21" t="str">
        <f t="shared" si="525"/>
        <v>Apprenant 735 ou 735'</v>
      </c>
      <c r="BG747" s="49" t="str">
        <f t="shared" si="498"/>
        <v/>
      </c>
      <c r="BH747" s="49" t="str">
        <f t="shared" si="499"/>
        <v/>
      </c>
      <c r="BI747" s="49" t="str">
        <f t="shared" si="500"/>
        <v/>
      </c>
      <c r="BJ747" s="22" t="str">
        <f t="shared" si="526"/>
        <v/>
      </c>
      <c r="BL747" s="21"/>
      <c r="BM747" s="21" t="str">
        <f>IF(OR(COUNT(B747:D1746)=0,AND('Choix pédagogiques'!$C$3&lt;&gt;1,'Choix pédagogiques'!$C$3&lt;&gt;2)),"",IF(AND(OR('Choix pédagogiques'!$C$3=1,'Choix pédagogiques'!$C$3=2),$B747&lt;&gt;"",$C747&lt;&gt;"",$D747&lt;&gt;""),1,0))</f>
        <v/>
      </c>
      <c r="BN747" s="21" t="str">
        <f>IF(OR(COUNT(G747:I1746)=0,AND('Choix pédagogiques'!$C$3&lt;&gt;1,'Choix pédagogiques'!$C$3&lt;&gt;2)),"",IF(AND(OR('Choix pédagogiques'!$C$3=1,'Choix pédagogiques'!$C$3=2),AND($G747&lt;&gt;"",$H747&lt;&gt;"",$I747&lt;&gt;"")),1,0))</f>
        <v/>
      </c>
      <c r="BO747" s="21" t="str">
        <f>IF(OR(COUNT(B747:D1746)=0,COUNT(G747:I1746)=0,'Choix pédagogiques'!C$3&lt;&gt;3),"",IF(AND('Choix pédagogiques'!$C$3=3,$B747&lt;&gt;"",$C747&lt;&gt;"",$D747&lt;&gt;"",$G747&lt;&gt;"",$H747&lt;&gt;"",$I747&lt;&gt;""),1,0))</f>
        <v/>
      </c>
      <c r="BR747" s="21">
        <v>529</v>
      </c>
      <c r="BS747" s="21">
        <v>1912</v>
      </c>
      <c r="BT747"/>
    </row>
    <row r="748" spans="1:72" s="23" customFormat="1" ht="18" customHeight="1" x14ac:dyDescent="0.3">
      <c r="A748" s="35" t="s">
        <v>738</v>
      </c>
      <c r="B748" s="37"/>
      <c r="C748" s="37"/>
      <c r="D748" s="37"/>
      <c r="E748" s="37"/>
      <c r="F748" s="35" t="s">
        <v>1746</v>
      </c>
      <c r="G748" s="37"/>
      <c r="H748" s="37"/>
      <c r="I748" s="37"/>
      <c r="J748" s="37"/>
      <c r="K748" s="21" t="str">
        <f t="shared" si="501"/>
        <v>Apprenant 736</v>
      </c>
      <c r="L748" s="22" t="str">
        <f t="shared" si="502"/>
        <v/>
      </c>
      <c r="M748" s="22" t="str">
        <f t="shared" si="503"/>
        <v/>
      </c>
      <c r="N748" s="22" t="str">
        <f t="shared" si="504"/>
        <v/>
      </c>
      <c r="O748" s="22" t="str">
        <f t="shared" si="505"/>
        <v/>
      </c>
      <c r="P748" s="21" t="str">
        <f t="shared" si="506"/>
        <v>Apprenant 736 ou 736'</v>
      </c>
      <c r="Q748" s="22" t="str">
        <f t="shared" si="507"/>
        <v/>
      </c>
      <c r="R748" s="22" t="str">
        <f t="shared" si="508"/>
        <v/>
      </c>
      <c r="S748" s="22" t="str">
        <f t="shared" si="509"/>
        <v/>
      </c>
      <c r="T748" s="22" t="str">
        <f t="shared" si="510"/>
        <v/>
      </c>
      <c r="V748" s="21" t="str">
        <f t="shared" si="511"/>
        <v>Apprenant 736</v>
      </c>
      <c r="W748" s="22" t="str">
        <f>IF(AND(OR('Choix pédagogiques'!$C$3=1,'Choix pédagogiques'!$C$3=2),$BM748=1),B748,IF(AND('Choix pédagogiques'!$C$3=3,$BO748=1),B748,""))</f>
        <v/>
      </c>
      <c r="X748" s="22" t="str">
        <f>IF(AND(OR('Choix pédagogiques'!$C$3=1,'Choix pédagogiques'!$C$3=2),$BM748=1),C748,IF(AND('Choix pédagogiques'!$C$3=3,$BO748=1),C748,""))</f>
        <v/>
      </c>
      <c r="Y748" s="22" t="str">
        <f>IF(AND(OR('Choix pédagogiques'!$C$3=1,'Choix pédagogiques'!$C$3=2),$BM748=1),D748,IF(AND('Choix pédagogiques'!$C$3=3,$BO748=1),D748,""))</f>
        <v/>
      </c>
      <c r="Z748" s="22" t="str">
        <f t="shared" si="512"/>
        <v/>
      </c>
      <c r="AA748" s="21" t="str">
        <f t="shared" si="513"/>
        <v>Apprenant 736 ou 736'</v>
      </c>
      <c r="AB748" s="22" t="str">
        <f>IF(AND(OR('Choix pédagogiques'!$C$3=1,'Choix pédagogiques'!$C$3=2),$BN748=1),G748,IF(AND('Choix pédagogiques'!$C$3=3,$BO748=1),G748,""))</f>
        <v/>
      </c>
      <c r="AC748" s="22" t="str">
        <f>IF(AND(OR('Choix pédagogiques'!$C$3=1,'Choix pédagogiques'!$C$3=2),$BN748=1),H748,IF(AND('Choix pédagogiques'!$C$3=3,$BO748=1),H748,""))</f>
        <v/>
      </c>
      <c r="AD748" s="22" t="str">
        <f>IF(AND(OR('Choix pédagogiques'!$C$3=1,'Choix pédagogiques'!$C$3=2),$BN748=1),I748,IF(AND('Choix pédagogiques'!$C$3=3,$BO748=1),I748,""))</f>
        <v/>
      </c>
      <c r="AE748" s="22" t="str">
        <f t="shared" si="514"/>
        <v/>
      </c>
      <c r="AF748" s="21" t="str">
        <f t="shared" si="515"/>
        <v>Apprenant 736</v>
      </c>
      <c r="AG748" s="22" t="str">
        <f t="shared" si="489"/>
        <v/>
      </c>
      <c r="AH748" s="22" t="str">
        <f t="shared" si="490"/>
        <v/>
      </c>
      <c r="AI748" s="22" t="str">
        <f t="shared" si="491"/>
        <v/>
      </c>
      <c r="AJ748" s="22" t="str">
        <f t="shared" si="516"/>
        <v/>
      </c>
      <c r="AK748" s="21" t="str">
        <f t="shared" si="517"/>
        <v>Apprenant 736 ou 736'</v>
      </c>
      <c r="AL748" s="22" t="str">
        <f t="shared" si="492"/>
        <v/>
      </c>
      <c r="AM748" s="22" t="str">
        <f t="shared" si="493"/>
        <v/>
      </c>
      <c r="AN748" s="22" t="str">
        <f t="shared" si="494"/>
        <v/>
      </c>
      <c r="AO748" s="22" t="str">
        <f t="shared" si="518"/>
        <v/>
      </c>
      <c r="AQ748" s="21" t="str">
        <f t="shared" si="519"/>
        <v>Apprenant 736</v>
      </c>
      <c r="AR748" s="49" t="str">
        <f>IF(AND('Choix pédagogiques'!$C$4&lt;&gt;"?",'Choix pédagogiques'!$C$5&lt;&gt;"?",W748&lt;&gt;""),(W748-'Choix pédagogiques'!$C$4)/('Choix pédagogiques'!$C$5-'Choix pédagogiques'!$C$4),"")</f>
        <v/>
      </c>
      <c r="AS748" s="49" t="str">
        <f>IF(AND('Choix pédagogiques'!$C$4&lt;&gt;"?",'Choix pédagogiques'!$C$5&lt;&gt;"?",X748&lt;&gt;""),(X748-'Choix pédagogiques'!$C$4)/('Choix pédagogiques'!$C$5-'Choix pédagogiques'!$C$4),"")</f>
        <v/>
      </c>
      <c r="AT748" s="49" t="str">
        <f>IF(AND('Choix pédagogiques'!$C$4&lt;&gt;"?",'Choix pédagogiques'!$C$5&lt;&gt;"?",Y748&lt;&gt;""),(Y748-'Choix pédagogiques'!$C$4)/('Choix pédagogiques'!$C$5-'Choix pédagogiques'!$C$4),"")</f>
        <v/>
      </c>
      <c r="AU748" s="22" t="str">
        <f t="shared" si="520"/>
        <v/>
      </c>
      <c r="AV748" s="21" t="str">
        <f t="shared" si="521"/>
        <v>Apprenant 736 ou 736'</v>
      </c>
      <c r="AW748" s="49" t="str">
        <f>IF(AND('Choix pédagogiques'!$C$4&lt;&gt;"?",'Choix pédagogiques'!$C$5&lt;&gt;"?",AB748&lt;&gt;""),(AB748-'Choix pédagogiques'!$C$4)/('Choix pédagogiques'!$C$5-'Choix pédagogiques'!$C$4),"")</f>
        <v/>
      </c>
      <c r="AX748" s="49" t="str">
        <f>IF(AND('Choix pédagogiques'!$C$4&lt;&gt;"?",'Choix pédagogiques'!$C$5&lt;&gt;"?",AC748&lt;&gt;""),(AC748-'Choix pédagogiques'!$C$4)/('Choix pédagogiques'!$C$5-'Choix pédagogiques'!$C$4),"")</f>
        <v/>
      </c>
      <c r="AY748" s="49" t="str">
        <f>IF(AND('Choix pédagogiques'!$C$4&lt;&gt;"?",'Choix pédagogiques'!$C$5&lt;&gt;"?",AD748&lt;&gt;""),(AD748-'Choix pédagogiques'!$C$4)/('Choix pédagogiques'!$C$5-'Choix pédagogiques'!$C$4),"")</f>
        <v/>
      </c>
      <c r="AZ748" s="22" t="str">
        <f t="shared" si="522"/>
        <v/>
      </c>
      <c r="BA748" s="21" t="str">
        <f t="shared" si="523"/>
        <v>Apprenant 736</v>
      </c>
      <c r="BB748" s="49" t="str">
        <f t="shared" si="495"/>
        <v/>
      </c>
      <c r="BC748" s="49" t="str">
        <f t="shared" si="496"/>
        <v/>
      </c>
      <c r="BD748" s="49" t="str">
        <f t="shared" si="497"/>
        <v/>
      </c>
      <c r="BE748" s="22" t="str">
        <f t="shared" si="524"/>
        <v/>
      </c>
      <c r="BF748" s="21" t="str">
        <f t="shared" si="525"/>
        <v>Apprenant 736 ou 736'</v>
      </c>
      <c r="BG748" s="49" t="str">
        <f t="shared" si="498"/>
        <v/>
      </c>
      <c r="BH748" s="49" t="str">
        <f t="shared" si="499"/>
        <v/>
      </c>
      <c r="BI748" s="49" t="str">
        <f t="shared" si="500"/>
        <v/>
      </c>
      <c r="BJ748" s="22" t="str">
        <f t="shared" si="526"/>
        <v/>
      </c>
      <c r="BL748" s="21"/>
      <c r="BM748" s="21" t="str">
        <f>IF(OR(COUNT(B748:D1747)=0,AND('Choix pédagogiques'!$C$3&lt;&gt;1,'Choix pédagogiques'!$C$3&lt;&gt;2)),"",IF(AND(OR('Choix pédagogiques'!$C$3=1,'Choix pédagogiques'!$C$3=2),$B748&lt;&gt;"",$C748&lt;&gt;"",$D748&lt;&gt;""),1,0))</f>
        <v/>
      </c>
      <c r="BN748" s="21" t="str">
        <f>IF(OR(COUNT(G748:I1747)=0,AND('Choix pédagogiques'!$C$3&lt;&gt;1,'Choix pédagogiques'!$C$3&lt;&gt;2)),"",IF(AND(OR('Choix pédagogiques'!$C$3=1,'Choix pédagogiques'!$C$3=2),AND($G748&lt;&gt;"",$H748&lt;&gt;"",$I748&lt;&gt;"")),1,0))</f>
        <v/>
      </c>
      <c r="BO748" s="21" t="str">
        <f>IF(OR(COUNT(B748:D1747)=0,COUNT(G748:I1747)=0,'Choix pédagogiques'!C$3&lt;&gt;3),"",IF(AND('Choix pédagogiques'!$C$3=3,$B748&lt;&gt;"",$C748&lt;&gt;"",$D748&lt;&gt;"",$G748&lt;&gt;"",$H748&lt;&gt;"",$I748&lt;&gt;""),1,0))</f>
        <v/>
      </c>
      <c r="BR748" s="21">
        <v>53</v>
      </c>
      <c r="BS748" s="21">
        <v>1190</v>
      </c>
      <c r="BT748"/>
    </row>
    <row r="749" spans="1:72" s="23" customFormat="1" ht="18" customHeight="1" x14ac:dyDescent="0.3">
      <c r="A749" s="35" t="s">
        <v>739</v>
      </c>
      <c r="B749" s="37"/>
      <c r="C749" s="37"/>
      <c r="D749" s="37"/>
      <c r="E749" s="37"/>
      <c r="F749" s="35" t="s">
        <v>1747</v>
      </c>
      <c r="G749" s="37"/>
      <c r="H749" s="37"/>
      <c r="I749" s="37"/>
      <c r="J749" s="37"/>
      <c r="K749" s="21" t="str">
        <f t="shared" si="501"/>
        <v>Apprenant 737</v>
      </c>
      <c r="L749" s="22" t="str">
        <f t="shared" si="502"/>
        <v/>
      </c>
      <c r="M749" s="22" t="str">
        <f t="shared" si="503"/>
        <v/>
      </c>
      <c r="N749" s="22" t="str">
        <f t="shared" si="504"/>
        <v/>
      </c>
      <c r="O749" s="22" t="str">
        <f t="shared" si="505"/>
        <v/>
      </c>
      <c r="P749" s="21" t="str">
        <f t="shared" si="506"/>
        <v>Apprenant 737 ou 737'</v>
      </c>
      <c r="Q749" s="22" t="str">
        <f t="shared" si="507"/>
        <v/>
      </c>
      <c r="R749" s="22" t="str">
        <f t="shared" si="508"/>
        <v/>
      </c>
      <c r="S749" s="22" t="str">
        <f t="shared" si="509"/>
        <v/>
      </c>
      <c r="T749" s="22" t="str">
        <f t="shared" si="510"/>
        <v/>
      </c>
      <c r="V749" s="21" t="str">
        <f t="shared" si="511"/>
        <v>Apprenant 737</v>
      </c>
      <c r="W749" s="22" t="str">
        <f>IF(AND(OR('Choix pédagogiques'!$C$3=1,'Choix pédagogiques'!$C$3=2),$BM749=1),B749,IF(AND('Choix pédagogiques'!$C$3=3,$BO749=1),B749,""))</f>
        <v/>
      </c>
      <c r="X749" s="22" t="str">
        <f>IF(AND(OR('Choix pédagogiques'!$C$3=1,'Choix pédagogiques'!$C$3=2),$BM749=1),C749,IF(AND('Choix pédagogiques'!$C$3=3,$BO749=1),C749,""))</f>
        <v/>
      </c>
      <c r="Y749" s="22" t="str">
        <f>IF(AND(OR('Choix pédagogiques'!$C$3=1,'Choix pédagogiques'!$C$3=2),$BM749=1),D749,IF(AND('Choix pédagogiques'!$C$3=3,$BO749=1),D749,""))</f>
        <v/>
      </c>
      <c r="Z749" s="22" t="str">
        <f t="shared" si="512"/>
        <v/>
      </c>
      <c r="AA749" s="21" t="str">
        <f t="shared" si="513"/>
        <v>Apprenant 737 ou 737'</v>
      </c>
      <c r="AB749" s="22" t="str">
        <f>IF(AND(OR('Choix pédagogiques'!$C$3=1,'Choix pédagogiques'!$C$3=2),$BN749=1),G749,IF(AND('Choix pédagogiques'!$C$3=3,$BO749=1),G749,""))</f>
        <v/>
      </c>
      <c r="AC749" s="22" t="str">
        <f>IF(AND(OR('Choix pédagogiques'!$C$3=1,'Choix pédagogiques'!$C$3=2),$BN749=1),H749,IF(AND('Choix pédagogiques'!$C$3=3,$BO749=1),H749,""))</f>
        <v/>
      </c>
      <c r="AD749" s="22" t="str">
        <f>IF(AND(OR('Choix pédagogiques'!$C$3=1,'Choix pédagogiques'!$C$3=2),$BN749=1),I749,IF(AND('Choix pédagogiques'!$C$3=3,$BO749=1),I749,""))</f>
        <v/>
      </c>
      <c r="AE749" s="22" t="str">
        <f t="shared" si="514"/>
        <v/>
      </c>
      <c r="AF749" s="21" t="str">
        <f t="shared" si="515"/>
        <v>Apprenant 737</v>
      </c>
      <c r="AG749" s="22" t="str">
        <f t="shared" si="489"/>
        <v/>
      </c>
      <c r="AH749" s="22" t="str">
        <f t="shared" si="490"/>
        <v/>
      </c>
      <c r="AI749" s="22" t="str">
        <f t="shared" si="491"/>
        <v/>
      </c>
      <c r="AJ749" s="22" t="str">
        <f t="shared" si="516"/>
        <v/>
      </c>
      <c r="AK749" s="21" t="str">
        <f t="shared" si="517"/>
        <v>Apprenant 737 ou 737'</v>
      </c>
      <c r="AL749" s="22" t="str">
        <f t="shared" si="492"/>
        <v/>
      </c>
      <c r="AM749" s="22" t="str">
        <f t="shared" si="493"/>
        <v/>
      </c>
      <c r="AN749" s="22" t="str">
        <f t="shared" si="494"/>
        <v/>
      </c>
      <c r="AO749" s="22" t="str">
        <f t="shared" si="518"/>
        <v/>
      </c>
      <c r="AQ749" s="21" t="str">
        <f t="shared" si="519"/>
        <v>Apprenant 737</v>
      </c>
      <c r="AR749" s="49" t="str">
        <f>IF(AND('Choix pédagogiques'!$C$4&lt;&gt;"?",'Choix pédagogiques'!$C$5&lt;&gt;"?",W749&lt;&gt;""),(W749-'Choix pédagogiques'!$C$4)/('Choix pédagogiques'!$C$5-'Choix pédagogiques'!$C$4),"")</f>
        <v/>
      </c>
      <c r="AS749" s="49" t="str">
        <f>IF(AND('Choix pédagogiques'!$C$4&lt;&gt;"?",'Choix pédagogiques'!$C$5&lt;&gt;"?",X749&lt;&gt;""),(X749-'Choix pédagogiques'!$C$4)/('Choix pédagogiques'!$C$5-'Choix pédagogiques'!$C$4),"")</f>
        <v/>
      </c>
      <c r="AT749" s="49" t="str">
        <f>IF(AND('Choix pédagogiques'!$C$4&lt;&gt;"?",'Choix pédagogiques'!$C$5&lt;&gt;"?",Y749&lt;&gt;""),(Y749-'Choix pédagogiques'!$C$4)/('Choix pédagogiques'!$C$5-'Choix pédagogiques'!$C$4),"")</f>
        <v/>
      </c>
      <c r="AU749" s="22" t="str">
        <f t="shared" si="520"/>
        <v/>
      </c>
      <c r="AV749" s="21" t="str">
        <f t="shared" si="521"/>
        <v>Apprenant 737 ou 737'</v>
      </c>
      <c r="AW749" s="49" t="str">
        <f>IF(AND('Choix pédagogiques'!$C$4&lt;&gt;"?",'Choix pédagogiques'!$C$5&lt;&gt;"?",AB749&lt;&gt;""),(AB749-'Choix pédagogiques'!$C$4)/('Choix pédagogiques'!$C$5-'Choix pédagogiques'!$C$4),"")</f>
        <v/>
      </c>
      <c r="AX749" s="49" t="str">
        <f>IF(AND('Choix pédagogiques'!$C$4&lt;&gt;"?",'Choix pédagogiques'!$C$5&lt;&gt;"?",AC749&lt;&gt;""),(AC749-'Choix pédagogiques'!$C$4)/('Choix pédagogiques'!$C$5-'Choix pédagogiques'!$C$4),"")</f>
        <v/>
      </c>
      <c r="AY749" s="49" t="str">
        <f>IF(AND('Choix pédagogiques'!$C$4&lt;&gt;"?",'Choix pédagogiques'!$C$5&lt;&gt;"?",AD749&lt;&gt;""),(AD749-'Choix pédagogiques'!$C$4)/('Choix pédagogiques'!$C$5-'Choix pédagogiques'!$C$4),"")</f>
        <v/>
      </c>
      <c r="AZ749" s="22" t="str">
        <f t="shared" si="522"/>
        <v/>
      </c>
      <c r="BA749" s="21" t="str">
        <f t="shared" si="523"/>
        <v>Apprenant 737</v>
      </c>
      <c r="BB749" s="49" t="str">
        <f t="shared" si="495"/>
        <v/>
      </c>
      <c r="BC749" s="49" t="str">
        <f t="shared" si="496"/>
        <v/>
      </c>
      <c r="BD749" s="49" t="str">
        <f t="shared" si="497"/>
        <v/>
      </c>
      <c r="BE749" s="22" t="str">
        <f t="shared" si="524"/>
        <v/>
      </c>
      <c r="BF749" s="21" t="str">
        <f t="shared" si="525"/>
        <v>Apprenant 737 ou 737'</v>
      </c>
      <c r="BG749" s="49" t="str">
        <f t="shared" si="498"/>
        <v/>
      </c>
      <c r="BH749" s="49" t="str">
        <f t="shared" si="499"/>
        <v/>
      </c>
      <c r="BI749" s="49" t="str">
        <f t="shared" si="500"/>
        <v/>
      </c>
      <c r="BJ749" s="22" t="str">
        <f t="shared" si="526"/>
        <v/>
      </c>
      <c r="BL749" s="21"/>
      <c r="BM749" s="21" t="str">
        <f>IF(OR(COUNT(B749:D1748)=0,AND('Choix pédagogiques'!$C$3&lt;&gt;1,'Choix pédagogiques'!$C$3&lt;&gt;2)),"",IF(AND(OR('Choix pédagogiques'!$C$3=1,'Choix pédagogiques'!$C$3=2),$B749&lt;&gt;"",$C749&lt;&gt;"",$D749&lt;&gt;""),1,0))</f>
        <v/>
      </c>
      <c r="BN749" s="21" t="str">
        <f>IF(OR(COUNT(G749:I1748)=0,AND('Choix pédagogiques'!$C$3&lt;&gt;1,'Choix pédagogiques'!$C$3&lt;&gt;2)),"",IF(AND(OR('Choix pédagogiques'!$C$3=1,'Choix pédagogiques'!$C$3=2),AND($G749&lt;&gt;"",$H749&lt;&gt;"",$I749&lt;&gt;"")),1,0))</f>
        <v/>
      </c>
      <c r="BO749" s="21" t="str">
        <f>IF(OR(COUNT(B749:D1748)=0,COUNT(G749:I1748)=0,'Choix pédagogiques'!C$3&lt;&gt;3),"",IF(AND('Choix pédagogiques'!$C$3=3,$B749&lt;&gt;"",$C749&lt;&gt;"",$D749&lt;&gt;"",$G749&lt;&gt;"",$H749&lt;&gt;"",$I749&lt;&gt;""),1,0))</f>
        <v/>
      </c>
      <c r="BR749" s="21">
        <v>886</v>
      </c>
      <c r="BS749" s="21">
        <v>1491</v>
      </c>
      <c r="BT749"/>
    </row>
    <row r="750" spans="1:72" s="23" customFormat="1" ht="18" customHeight="1" x14ac:dyDescent="0.3">
      <c r="A750" s="35" t="s">
        <v>740</v>
      </c>
      <c r="B750" s="37"/>
      <c r="C750" s="37"/>
      <c r="D750" s="37"/>
      <c r="E750" s="37"/>
      <c r="F750" s="35" t="s">
        <v>1748</v>
      </c>
      <c r="G750" s="37"/>
      <c r="H750" s="37"/>
      <c r="I750" s="37"/>
      <c r="J750" s="37"/>
      <c r="K750" s="21" t="str">
        <f t="shared" si="501"/>
        <v>Apprenant 738</v>
      </c>
      <c r="L750" s="22" t="str">
        <f t="shared" si="502"/>
        <v/>
      </c>
      <c r="M750" s="22" t="str">
        <f t="shared" si="503"/>
        <v/>
      </c>
      <c r="N750" s="22" t="str">
        <f t="shared" si="504"/>
        <v/>
      </c>
      <c r="O750" s="22" t="str">
        <f t="shared" si="505"/>
        <v/>
      </c>
      <c r="P750" s="21" t="str">
        <f t="shared" si="506"/>
        <v>Apprenant 738 ou 738'</v>
      </c>
      <c r="Q750" s="22" t="str">
        <f t="shared" si="507"/>
        <v/>
      </c>
      <c r="R750" s="22" t="str">
        <f t="shared" si="508"/>
        <v/>
      </c>
      <c r="S750" s="22" t="str">
        <f t="shared" si="509"/>
        <v/>
      </c>
      <c r="T750" s="22" t="str">
        <f t="shared" si="510"/>
        <v/>
      </c>
      <c r="V750" s="21" t="str">
        <f t="shared" si="511"/>
        <v>Apprenant 738</v>
      </c>
      <c r="W750" s="22" t="str">
        <f>IF(AND(OR('Choix pédagogiques'!$C$3=1,'Choix pédagogiques'!$C$3=2),$BM750=1),B750,IF(AND('Choix pédagogiques'!$C$3=3,$BO750=1),B750,""))</f>
        <v/>
      </c>
      <c r="X750" s="22" t="str">
        <f>IF(AND(OR('Choix pédagogiques'!$C$3=1,'Choix pédagogiques'!$C$3=2),$BM750=1),C750,IF(AND('Choix pédagogiques'!$C$3=3,$BO750=1),C750,""))</f>
        <v/>
      </c>
      <c r="Y750" s="22" t="str">
        <f>IF(AND(OR('Choix pédagogiques'!$C$3=1,'Choix pédagogiques'!$C$3=2),$BM750=1),D750,IF(AND('Choix pédagogiques'!$C$3=3,$BO750=1),D750,""))</f>
        <v/>
      </c>
      <c r="Z750" s="22" t="str">
        <f t="shared" si="512"/>
        <v/>
      </c>
      <c r="AA750" s="21" t="str">
        <f t="shared" si="513"/>
        <v>Apprenant 738 ou 738'</v>
      </c>
      <c r="AB750" s="22" t="str">
        <f>IF(AND(OR('Choix pédagogiques'!$C$3=1,'Choix pédagogiques'!$C$3=2),$BN750=1),G750,IF(AND('Choix pédagogiques'!$C$3=3,$BO750=1),G750,""))</f>
        <v/>
      </c>
      <c r="AC750" s="22" t="str">
        <f>IF(AND(OR('Choix pédagogiques'!$C$3=1,'Choix pédagogiques'!$C$3=2),$BN750=1),H750,IF(AND('Choix pédagogiques'!$C$3=3,$BO750=1),H750,""))</f>
        <v/>
      </c>
      <c r="AD750" s="22" t="str">
        <f>IF(AND(OR('Choix pédagogiques'!$C$3=1,'Choix pédagogiques'!$C$3=2),$BN750=1),I750,IF(AND('Choix pédagogiques'!$C$3=3,$BO750=1),I750,""))</f>
        <v/>
      </c>
      <c r="AE750" s="22" t="str">
        <f t="shared" si="514"/>
        <v/>
      </c>
      <c r="AF750" s="21" t="str">
        <f t="shared" si="515"/>
        <v>Apprenant 738</v>
      </c>
      <c r="AG750" s="22" t="str">
        <f t="shared" si="489"/>
        <v/>
      </c>
      <c r="AH750" s="22" t="str">
        <f t="shared" si="490"/>
        <v/>
      </c>
      <c r="AI750" s="22" t="str">
        <f t="shared" si="491"/>
        <v/>
      </c>
      <c r="AJ750" s="22" t="str">
        <f t="shared" si="516"/>
        <v/>
      </c>
      <c r="AK750" s="21" t="str">
        <f t="shared" si="517"/>
        <v>Apprenant 738 ou 738'</v>
      </c>
      <c r="AL750" s="22" t="str">
        <f t="shared" si="492"/>
        <v/>
      </c>
      <c r="AM750" s="22" t="str">
        <f t="shared" si="493"/>
        <v/>
      </c>
      <c r="AN750" s="22" t="str">
        <f t="shared" si="494"/>
        <v/>
      </c>
      <c r="AO750" s="22" t="str">
        <f t="shared" si="518"/>
        <v/>
      </c>
      <c r="AQ750" s="21" t="str">
        <f t="shared" si="519"/>
        <v>Apprenant 738</v>
      </c>
      <c r="AR750" s="49" t="str">
        <f>IF(AND('Choix pédagogiques'!$C$4&lt;&gt;"?",'Choix pédagogiques'!$C$5&lt;&gt;"?",W750&lt;&gt;""),(W750-'Choix pédagogiques'!$C$4)/('Choix pédagogiques'!$C$5-'Choix pédagogiques'!$C$4),"")</f>
        <v/>
      </c>
      <c r="AS750" s="49" t="str">
        <f>IF(AND('Choix pédagogiques'!$C$4&lt;&gt;"?",'Choix pédagogiques'!$C$5&lt;&gt;"?",X750&lt;&gt;""),(X750-'Choix pédagogiques'!$C$4)/('Choix pédagogiques'!$C$5-'Choix pédagogiques'!$C$4),"")</f>
        <v/>
      </c>
      <c r="AT750" s="49" t="str">
        <f>IF(AND('Choix pédagogiques'!$C$4&lt;&gt;"?",'Choix pédagogiques'!$C$5&lt;&gt;"?",Y750&lt;&gt;""),(Y750-'Choix pédagogiques'!$C$4)/('Choix pédagogiques'!$C$5-'Choix pédagogiques'!$C$4),"")</f>
        <v/>
      </c>
      <c r="AU750" s="22" t="str">
        <f t="shared" si="520"/>
        <v/>
      </c>
      <c r="AV750" s="21" t="str">
        <f t="shared" si="521"/>
        <v>Apprenant 738 ou 738'</v>
      </c>
      <c r="AW750" s="49" t="str">
        <f>IF(AND('Choix pédagogiques'!$C$4&lt;&gt;"?",'Choix pédagogiques'!$C$5&lt;&gt;"?",AB750&lt;&gt;""),(AB750-'Choix pédagogiques'!$C$4)/('Choix pédagogiques'!$C$5-'Choix pédagogiques'!$C$4),"")</f>
        <v/>
      </c>
      <c r="AX750" s="49" t="str">
        <f>IF(AND('Choix pédagogiques'!$C$4&lt;&gt;"?",'Choix pédagogiques'!$C$5&lt;&gt;"?",AC750&lt;&gt;""),(AC750-'Choix pédagogiques'!$C$4)/('Choix pédagogiques'!$C$5-'Choix pédagogiques'!$C$4),"")</f>
        <v/>
      </c>
      <c r="AY750" s="49" t="str">
        <f>IF(AND('Choix pédagogiques'!$C$4&lt;&gt;"?",'Choix pédagogiques'!$C$5&lt;&gt;"?",AD750&lt;&gt;""),(AD750-'Choix pédagogiques'!$C$4)/('Choix pédagogiques'!$C$5-'Choix pédagogiques'!$C$4),"")</f>
        <v/>
      </c>
      <c r="AZ750" s="22" t="str">
        <f t="shared" si="522"/>
        <v/>
      </c>
      <c r="BA750" s="21" t="str">
        <f t="shared" si="523"/>
        <v>Apprenant 738</v>
      </c>
      <c r="BB750" s="49" t="str">
        <f t="shared" si="495"/>
        <v/>
      </c>
      <c r="BC750" s="49" t="str">
        <f t="shared" si="496"/>
        <v/>
      </c>
      <c r="BD750" s="49" t="str">
        <f t="shared" si="497"/>
        <v/>
      </c>
      <c r="BE750" s="22" t="str">
        <f t="shared" si="524"/>
        <v/>
      </c>
      <c r="BF750" s="21" t="str">
        <f t="shared" si="525"/>
        <v>Apprenant 738 ou 738'</v>
      </c>
      <c r="BG750" s="49" t="str">
        <f t="shared" si="498"/>
        <v/>
      </c>
      <c r="BH750" s="49" t="str">
        <f t="shared" si="499"/>
        <v/>
      </c>
      <c r="BI750" s="49" t="str">
        <f t="shared" si="500"/>
        <v/>
      </c>
      <c r="BJ750" s="22" t="str">
        <f t="shared" si="526"/>
        <v/>
      </c>
      <c r="BL750" s="21"/>
      <c r="BM750" s="21" t="str">
        <f>IF(OR(COUNT(B750:D1749)=0,AND('Choix pédagogiques'!$C$3&lt;&gt;1,'Choix pédagogiques'!$C$3&lt;&gt;2)),"",IF(AND(OR('Choix pédagogiques'!$C$3=1,'Choix pédagogiques'!$C$3=2),$B750&lt;&gt;"",$C750&lt;&gt;"",$D750&lt;&gt;""),1,0))</f>
        <v/>
      </c>
      <c r="BN750" s="21" t="str">
        <f>IF(OR(COUNT(G750:I1749)=0,AND('Choix pédagogiques'!$C$3&lt;&gt;1,'Choix pédagogiques'!$C$3&lt;&gt;2)),"",IF(AND(OR('Choix pédagogiques'!$C$3=1,'Choix pédagogiques'!$C$3=2),AND($G750&lt;&gt;"",$H750&lt;&gt;"",$I750&lt;&gt;"")),1,0))</f>
        <v/>
      </c>
      <c r="BO750" s="21" t="str">
        <f>IF(OR(COUNT(B750:D1749)=0,COUNT(G750:I1749)=0,'Choix pédagogiques'!C$3&lt;&gt;3),"",IF(AND('Choix pédagogiques'!$C$3=3,$B750&lt;&gt;"",$C750&lt;&gt;"",$D750&lt;&gt;"",$G750&lt;&gt;"",$H750&lt;&gt;"",$I750&lt;&gt;""),1,0))</f>
        <v/>
      </c>
      <c r="BR750" s="21">
        <v>304</v>
      </c>
      <c r="BS750" s="21">
        <v>1372</v>
      </c>
      <c r="BT750"/>
    </row>
    <row r="751" spans="1:72" s="23" customFormat="1" ht="18" customHeight="1" x14ac:dyDescent="0.3">
      <c r="A751" s="35" t="s">
        <v>741</v>
      </c>
      <c r="B751" s="37"/>
      <c r="C751" s="37"/>
      <c r="D751" s="37"/>
      <c r="E751" s="37"/>
      <c r="F751" s="35" t="s">
        <v>1749</v>
      </c>
      <c r="G751" s="37"/>
      <c r="H751" s="37"/>
      <c r="I751" s="37"/>
      <c r="J751" s="37"/>
      <c r="K751" s="21" t="str">
        <f t="shared" si="501"/>
        <v>Apprenant 739</v>
      </c>
      <c r="L751" s="22" t="str">
        <f t="shared" si="502"/>
        <v/>
      </c>
      <c r="M751" s="22" t="str">
        <f t="shared" si="503"/>
        <v/>
      </c>
      <c r="N751" s="22" t="str">
        <f t="shared" si="504"/>
        <v/>
      </c>
      <c r="O751" s="22" t="str">
        <f t="shared" si="505"/>
        <v/>
      </c>
      <c r="P751" s="21" t="str">
        <f t="shared" si="506"/>
        <v>Apprenant 739 ou 739'</v>
      </c>
      <c r="Q751" s="22" t="str">
        <f t="shared" si="507"/>
        <v/>
      </c>
      <c r="R751" s="22" t="str">
        <f t="shared" si="508"/>
        <v/>
      </c>
      <c r="S751" s="22" t="str">
        <f t="shared" si="509"/>
        <v/>
      </c>
      <c r="T751" s="22" t="str">
        <f t="shared" si="510"/>
        <v/>
      </c>
      <c r="V751" s="21" t="str">
        <f t="shared" si="511"/>
        <v>Apprenant 739</v>
      </c>
      <c r="W751" s="22" t="str">
        <f>IF(AND(OR('Choix pédagogiques'!$C$3=1,'Choix pédagogiques'!$C$3=2),$BM751=1),B751,IF(AND('Choix pédagogiques'!$C$3=3,$BO751=1),B751,""))</f>
        <v/>
      </c>
      <c r="X751" s="22" t="str">
        <f>IF(AND(OR('Choix pédagogiques'!$C$3=1,'Choix pédagogiques'!$C$3=2),$BM751=1),C751,IF(AND('Choix pédagogiques'!$C$3=3,$BO751=1),C751,""))</f>
        <v/>
      </c>
      <c r="Y751" s="22" t="str">
        <f>IF(AND(OR('Choix pédagogiques'!$C$3=1,'Choix pédagogiques'!$C$3=2),$BM751=1),D751,IF(AND('Choix pédagogiques'!$C$3=3,$BO751=1),D751,""))</f>
        <v/>
      </c>
      <c r="Z751" s="22" t="str">
        <f t="shared" si="512"/>
        <v/>
      </c>
      <c r="AA751" s="21" t="str">
        <f t="shared" si="513"/>
        <v>Apprenant 739 ou 739'</v>
      </c>
      <c r="AB751" s="22" t="str">
        <f>IF(AND(OR('Choix pédagogiques'!$C$3=1,'Choix pédagogiques'!$C$3=2),$BN751=1),G751,IF(AND('Choix pédagogiques'!$C$3=3,$BO751=1),G751,""))</f>
        <v/>
      </c>
      <c r="AC751" s="22" t="str">
        <f>IF(AND(OR('Choix pédagogiques'!$C$3=1,'Choix pédagogiques'!$C$3=2),$BN751=1),H751,IF(AND('Choix pédagogiques'!$C$3=3,$BO751=1),H751,""))</f>
        <v/>
      </c>
      <c r="AD751" s="22" t="str">
        <f>IF(AND(OR('Choix pédagogiques'!$C$3=1,'Choix pédagogiques'!$C$3=2),$BN751=1),I751,IF(AND('Choix pédagogiques'!$C$3=3,$BO751=1),I751,""))</f>
        <v/>
      </c>
      <c r="AE751" s="22" t="str">
        <f t="shared" si="514"/>
        <v/>
      </c>
      <c r="AF751" s="21" t="str">
        <f t="shared" si="515"/>
        <v>Apprenant 739</v>
      </c>
      <c r="AG751" s="22" t="str">
        <f t="shared" si="489"/>
        <v/>
      </c>
      <c r="AH751" s="22" t="str">
        <f t="shared" si="490"/>
        <v/>
      </c>
      <c r="AI751" s="22" t="str">
        <f t="shared" si="491"/>
        <v/>
      </c>
      <c r="AJ751" s="22" t="str">
        <f t="shared" si="516"/>
        <v/>
      </c>
      <c r="AK751" s="21" t="str">
        <f t="shared" si="517"/>
        <v>Apprenant 739 ou 739'</v>
      </c>
      <c r="AL751" s="22" t="str">
        <f t="shared" si="492"/>
        <v/>
      </c>
      <c r="AM751" s="22" t="str">
        <f t="shared" si="493"/>
        <v/>
      </c>
      <c r="AN751" s="22" t="str">
        <f t="shared" si="494"/>
        <v/>
      </c>
      <c r="AO751" s="22" t="str">
        <f t="shared" si="518"/>
        <v/>
      </c>
      <c r="AQ751" s="21" t="str">
        <f t="shared" si="519"/>
        <v>Apprenant 739</v>
      </c>
      <c r="AR751" s="49" t="str">
        <f>IF(AND('Choix pédagogiques'!$C$4&lt;&gt;"?",'Choix pédagogiques'!$C$5&lt;&gt;"?",W751&lt;&gt;""),(W751-'Choix pédagogiques'!$C$4)/('Choix pédagogiques'!$C$5-'Choix pédagogiques'!$C$4),"")</f>
        <v/>
      </c>
      <c r="AS751" s="49" t="str">
        <f>IF(AND('Choix pédagogiques'!$C$4&lt;&gt;"?",'Choix pédagogiques'!$C$5&lt;&gt;"?",X751&lt;&gt;""),(X751-'Choix pédagogiques'!$C$4)/('Choix pédagogiques'!$C$5-'Choix pédagogiques'!$C$4),"")</f>
        <v/>
      </c>
      <c r="AT751" s="49" t="str">
        <f>IF(AND('Choix pédagogiques'!$C$4&lt;&gt;"?",'Choix pédagogiques'!$C$5&lt;&gt;"?",Y751&lt;&gt;""),(Y751-'Choix pédagogiques'!$C$4)/('Choix pédagogiques'!$C$5-'Choix pédagogiques'!$C$4),"")</f>
        <v/>
      </c>
      <c r="AU751" s="22" t="str">
        <f t="shared" si="520"/>
        <v/>
      </c>
      <c r="AV751" s="21" t="str">
        <f t="shared" si="521"/>
        <v>Apprenant 739 ou 739'</v>
      </c>
      <c r="AW751" s="49" t="str">
        <f>IF(AND('Choix pédagogiques'!$C$4&lt;&gt;"?",'Choix pédagogiques'!$C$5&lt;&gt;"?",AB751&lt;&gt;""),(AB751-'Choix pédagogiques'!$C$4)/('Choix pédagogiques'!$C$5-'Choix pédagogiques'!$C$4),"")</f>
        <v/>
      </c>
      <c r="AX751" s="49" t="str">
        <f>IF(AND('Choix pédagogiques'!$C$4&lt;&gt;"?",'Choix pédagogiques'!$C$5&lt;&gt;"?",AC751&lt;&gt;""),(AC751-'Choix pédagogiques'!$C$4)/('Choix pédagogiques'!$C$5-'Choix pédagogiques'!$C$4),"")</f>
        <v/>
      </c>
      <c r="AY751" s="49" t="str">
        <f>IF(AND('Choix pédagogiques'!$C$4&lt;&gt;"?",'Choix pédagogiques'!$C$5&lt;&gt;"?",AD751&lt;&gt;""),(AD751-'Choix pédagogiques'!$C$4)/('Choix pédagogiques'!$C$5-'Choix pédagogiques'!$C$4),"")</f>
        <v/>
      </c>
      <c r="AZ751" s="22" t="str">
        <f t="shared" si="522"/>
        <v/>
      </c>
      <c r="BA751" s="21" t="str">
        <f t="shared" si="523"/>
        <v>Apprenant 739</v>
      </c>
      <c r="BB751" s="49" t="str">
        <f t="shared" si="495"/>
        <v/>
      </c>
      <c r="BC751" s="49" t="str">
        <f t="shared" si="496"/>
        <v/>
      </c>
      <c r="BD751" s="49" t="str">
        <f t="shared" si="497"/>
        <v/>
      </c>
      <c r="BE751" s="22" t="str">
        <f t="shared" si="524"/>
        <v/>
      </c>
      <c r="BF751" s="21" t="str">
        <f t="shared" si="525"/>
        <v>Apprenant 739 ou 739'</v>
      </c>
      <c r="BG751" s="49" t="str">
        <f t="shared" si="498"/>
        <v/>
      </c>
      <c r="BH751" s="49" t="str">
        <f t="shared" si="499"/>
        <v/>
      </c>
      <c r="BI751" s="49" t="str">
        <f t="shared" si="500"/>
        <v/>
      </c>
      <c r="BJ751" s="22" t="str">
        <f t="shared" si="526"/>
        <v/>
      </c>
      <c r="BL751" s="21"/>
      <c r="BM751" s="21" t="str">
        <f>IF(OR(COUNT(B751:D1750)=0,AND('Choix pédagogiques'!$C$3&lt;&gt;1,'Choix pédagogiques'!$C$3&lt;&gt;2)),"",IF(AND(OR('Choix pédagogiques'!$C$3=1,'Choix pédagogiques'!$C$3=2),$B751&lt;&gt;"",$C751&lt;&gt;"",$D751&lt;&gt;""),1,0))</f>
        <v/>
      </c>
      <c r="BN751" s="21" t="str">
        <f>IF(OR(COUNT(G751:I1750)=0,AND('Choix pédagogiques'!$C$3&lt;&gt;1,'Choix pédagogiques'!$C$3&lt;&gt;2)),"",IF(AND(OR('Choix pédagogiques'!$C$3=1,'Choix pédagogiques'!$C$3=2),AND($G751&lt;&gt;"",$H751&lt;&gt;"",$I751&lt;&gt;"")),1,0))</f>
        <v/>
      </c>
      <c r="BO751" s="21" t="str">
        <f>IF(OR(COUNT(B751:D1750)=0,COUNT(G751:I1750)=0,'Choix pédagogiques'!C$3&lt;&gt;3),"",IF(AND('Choix pédagogiques'!$C$3=3,$B751&lt;&gt;"",$C751&lt;&gt;"",$D751&lt;&gt;"",$G751&lt;&gt;"",$H751&lt;&gt;"",$I751&lt;&gt;""),1,0))</f>
        <v/>
      </c>
      <c r="BR751" s="21">
        <v>234</v>
      </c>
      <c r="BS751" s="21">
        <v>1959</v>
      </c>
      <c r="BT751"/>
    </row>
    <row r="752" spans="1:72" s="23" customFormat="1" ht="18" customHeight="1" x14ac:dyDescent="0.3">
      <c r="A752" s="35" t="s">
        <v>742</v>
      </c>
      <c r="B752" s="37"/>
      <c r="C752" s="37"/>
      <c r="D752" s="37"/>
      <c r="E752" s="37"/>
      <c r="F752" s="35" t="s">
        <v>1750</v>
      </c>
      <c r="G752" s="37"/>
      <c r="H752" s="37"/>
      <c r="I752" s="37"/>
      <c r="J752" s="37"/>
      <c r="K752" s="21" t="str">
        <f t="shared" si="501"/>
        <v>Apprenant 740</v>
      </c>
      <c r="L752" s="22" t="str">
        <f t="shared" si="502"/>
        <v/>
      </c>
      <c r="M752" s="22" t="str">
        <f t="shared" si="503"/>
        <v/>
      </c>
      <c r="N752" s="22" t="str">
        <f t="shared" si="504"/>
        <v/>
      </c>
      <c r="O752" s="22" t="str">
        <f t="shared" si="505"/>
        <v/>
      </c>
      <c r="P752" s="21" t="str">
        <f t="shared" si="506"/>
        <v>Apprenant 740 ou 740'</v>
      </c>
      <c r="Q752" s="22" t="str">
        <f t="shared" si="507"/>
        <v/>
      </c>
      <c r="R752" s="22" t="str">
        <f t="shared" si="508"/>
        <v/>
      </c>
      <c r="S752" s="22" t="str">
        <f t="shared" si="509"/>
        <v/>
      </c>
      <c r="T752" s="22" t="str">
        <f t="shared" si="510"/>
        <v/>
      </c>
      <c r="V752" s="21" t="str">
        <f t="shared" si="511"/>
        <v>Apprenant 740</v>
      </c>
      <c r="W752" s="22" t="str">
        <f>IF(AND(OR('Choix pédagogiques'!$C$3=1,'Choix pédagogiques'!$C$3=2),$BM752=1),B752,IF(AND('Choix pédagogiques'!$C$3=3,$BO752=1),B752,""))</f>
        <v/>
      </c>
      <c r="X752" s="22" t="str">
        <f>IF(AND(OR('Choix pédagogiques'!$C$3=1,'Choix pédagogiques'!$C$3=2),$BM752=1),C752,IF(AND('Choix pédagogiques'!$C$3=3,$BO752=1),C752,""))</f>
        <v/>
      </c>
      <c r="Y752" s="22" t="str">
        <f>IF(AND(OR('Choix pédagogiques'!$C$3=1,'Choix pédagogiques'!$C$3=2),$BM752=1),D752,IF(AND('Choix pédagogiques'!$C$3=3,$BO752=1),D752,""))</f>
        <v/>
      </c>
      <c r="Z752" s="22" t="str">
        <f t="shared" si="512"/>
        <v/>
      </c>
      <c r="AA752" s="21" t="str">
        <f t="shared" si="513"/>
        <v>Apprenant 740 ou 740'</v>
      </c>
      <c r="AB752" s="22" t="str">
        <f>IF(AND(OR('Choix pédagogiques'!$C$3=1,'Choix pédagogiques'!$C$3=2),$BN752=1),G752,IF(AND('Choix pédagogiques'!$C$3=3,$BO752=1),G752,""))</f>
        <v/>
      </c>
      <c r="AC752" s="22" t="str">
        <f>IF(AND(OR('Choix pédagogiques'!$C$3=1,'Choix pédagogiques'!$C$3=2),$BN752=1),H752,IF(AND('Choix pédagogiques'!$C$3=3,$BO752=1),H752,""))</f>
        <v/>
      </c>
      <c r="AD752" s="22" t="str">
        <f>IF(AND(OR('Choix pédagogiques'!$C$3=1,'Choix pédagogiques'!$C$3=2),$BN752=1),I752,IF(AND('Choix pédagogiques'!$C$3=3,$BO752=1),I752,""))</f>
        <v/>
      </c>
      <c r="AE752" s="22" t="str">
        <f t="shared" si="514"/>
        <v/>
      </c>
      <c r="AF752" s="21" t="str">
        <f t="shared" si="515"/>
        <v>Apprenant 740</v>
      </c>
      <c r="AG752" s="22" t="str">
        <f t="shared" si="489"/>
        <v/>
      </c>
      <c r="AH752" s="22" t="str">
        <f t="shared" si="490"/>
        <v/>
      </c>
      <c r="AI752" s="22" t="str">
        <f t="shared" si="491"/>
        <v/>
      </c>
      <c r="AJ752" s="22" t="str">
        <f t="shared" si="516"/>
        <v/>
      </c>
      <c r="AK752" s="21" t="str">
        <f t="shared" si="517"/>
        <v>Apprenant 740 ou 740'</v>
      </c>
      <c r="AL752" s="22" t="str">
        <f t="shared" si="492"/>
        <v/>
      </c>
      <c r="AM752" s="22" t="str">
        <f t="shared" si="493"/>
        <v/>
      </c>
      <c r="AN752" s="22" t="str">
        <f t="shared" si="494"/>
        <v/>
      </c>
      <c r="AO752" s="22" t="str">
        <f t="shared" si="518"/>
        <v/>
      </c>
      <c r="AQ752" s="21" t="str">
        <f t="shared" si="519"/>
        <v>Apprenant 740</v>
      </c>
      <c r="AR752" s="49" t="str">
        <f>IF(AND('Choix pédagogiques'!$C$4&lt;&gt;"?",'Choix pédagogiques'!$C$5&lt;&gt;"?",W752&lt;&gt;""),(W752-'Choix pédagogiques'!$C$4)/('Choix pédagogiques'!$C$5-'Choix pédagogiques'!$C$4),"")</f>
        <v/>
      </c>
      <c r="AS752" s="49" t="str">
        <f>IF(AND('Choix pédagogiques'!$C$4&lt;&gt;"?",'Choix pédagogiques'!$C$5&lt;&gt;"?",X752&lt;&gt;""),(X752-'Choix pédagogiques'!$C$4)/('Choix pédagogiques'!$C$5-'Choix pédagogiques'!$C$4),"")</f>
        <v/>
      </c>
      <c r="AT752" s="49" t="str">
        <f>IF(AND('Choix pédagogiques'!$C$4&lt;&gt;"?",'Choix pédagogiques'!$C$5&lt;&gt;"?",Y752&lt;&gt;""),(Y752-'Choix pédagogiques'!$C$4)/('Choix pédagogiques'!$C$5-'Choix pédagogiques'!$C$4),"")</f>
        <v/>
      </c>
      <c r="AU752" s="22" t="str">
        <f t="shared" si="520"/>
        <v/>
      </c>
      <c r="AV752" s="21" t="str">
        <f t="shared" si="521"/>
        <v>Apprenant 740 ou 740'</v>
      </c>
      <c r="AW752" s="49" t="str">
        <f>IF(AND('Choix pédagogiques'!$C$4&lt;&gt;"?",'Choix pédagogiques'!$C$5&lt;&gt;"?",AB752&lt;&gt;""),(AB752-'Choix pédagogiques'!$C$4)/('Choix pédagogiques'!$C$5-'Choix pédagogiques'!$C$4),"")</f>
        <v/>
      </c>
      <c r="AX752" s="49" t="str">
        <f>IF(AND('Choix pédagogiques'!$C$4&lt;&gt;"?",'Choix pédagogiques'!$C$5&lt;&gt;"?",AC752&lt;&gt;""),(AC752-'Choix pédagogiques'!$C$4)/('Choix pédagogiques'!$C$5-'Choix pédagogiques'!$C$4),"")</f>
        <v/>
      </c>
      <c r="AY752" s="49" t="str">
        <f>IF(AND('Choix pédagogiques'!$C$4&lt;&gt;"?",'Choix pédagogiques'!$C$5&lt;&gt;"?",AD752&lt;&gt;""),(AD752-'Choix pédagogiques'!$C$4)/('Choix pédagogiques'!$C$5-'Choix pédagogiques'!$C$4),"")</f>
        <v/>
      </c>
      <c r="AZ752" s="22" t="str">
        <f t="shared" si="522"/>
        <v/>
      </c>
      <c r="BA752" s="21" t="str">
        <f t="shared" si="523"/>
        <v>Apprenant 740</v>
      </c>
      <c r="BB752" s="49" t="str">
        <f t="shared" si="495"/>
        <v/>
      </c>
      <c r="BC752" s="49" t="str">
        <f t="shared" si="496"/>
        <v/>
      </c>
      <c r="BD752" s="49" t="str">
        <f t="shared" si="497"/>
        <v/>
      </c>
      <c r="BE752" s="22" t="str">
        <f t="shared" si="524"/>
        <v/>
      </c>
      <c r="BF752" s="21" t="str">
        <f t="shared" si="525"/>
        <v>Apprenant 740 ou 740'</v>
      </c>
      <c r="BG752" s="49" t="str">
        <f t="shared" si="498"/>
        <v/>
      </c>
      <c r="BH752" s="49" t="str">
        <f t="shared" si="499"/>
        <v/>
      </c>
      <c r="BI752" s="49" t="str">
        <f t="shared" si="500"/>
        <v/>
      </c>
      <c r="BJ752" s="22" t="str">
        <f t="shared" si="526"/>
        <v/>
      </c>
      <c r="BL752" s="21"/>
      <c r="BM752" s="21" t="str">
        <f>IF(OR(COUNT(B752:D1751)=0,AND('Choix pédagogiques'!$C$3&lt;&gt;1,'Choix pédagogiques'!$C$3&lt;&gt;2)),"",IF(AND(OR('Choix pédagogiques'!$C$3=1,'Choix pédagogiques'!$C$3=2),$B752&lt;&gt;"",$C752&lt;&gt;"",$D752&lt;&gt;""),1,0))</f>
        <v/>
      </c>
      <c r="BN752" s="21" t="str">
        <f>IF(OR(COUNT(G752:I1751)=0,AND('Choix pédagogiques'!$C$3&lt;&gt;1,'Choix pédagogiques'!$C$3&lt;&gt;2)),"",IF(AND(OR('Choix pédagogiques'!$C$3=1,'Choix pédagogiques'!$C$3=2),AND($G752&lt;&gt;"",$H752&lt;&gt;"",$I752&lt;&gt;"")),1,0))</f>
        <v/>
      </c>
      <c r="BO752" s="21" t="str">
        <f>IF(OR(COUNT(B752:D1751)=0,COUNT(G752:I1751)=0,'Choix pédagogiques'!C$3&lt;&gt;3),"",IF(AND('Choix pédagogiques'!$C$3=3,$B752&lt;&gt;"",$C752&lt;&gt;"",$D752&lt;&gt;"",$G752&lt;&gt;"",$H752&lt;&gt;"",$I752&lt;&gt;""),1,0))</f>
        <v/>
      </c>
      <c r="BR752" s="21">
        <v>541</v>
      </c>
      <c r="BS752" s="21">
        <v>1878</v>
      </c>
      <c r="BT752"/>
    </row>
    <row r="753" spans="1:72" s="23" customFormat="1" ht="18" customHeight="1" x14ac:dyDescent="0.3">
      <c r="A753" s="35" t="s">
        <v>743</v>
      </c>
      <c r="B753" s="37"/>
      <c r="C753" s="37"/>
      <c r="D753" s="37"/>
      <c r="E753" s="37"/>
      <c r="F753" s="35" t="s">
        <v>1751</v>
      </c>
      <c r="G753" s="37"/>
      <c r="H753" s="37"/>
      <c r="I753" s="37"/>
      <c r="J753" s="37"/>
      <c r="K753" s="21" t="str">
        <f t="shared" si="501"/>
        <v>Apprenant 741</v>
      </c>
      <c r="L753" s="22" t="str">
        <f t="shared" si="502"/>
        <v/>
      </c>
      <c r="M753" s="22" t="str">
        <f t="shared" si="503"/>
        <v/>
      </c>
      <c r="N753" s="22" t="str">
        <f t="shared" si="504"/>
        <v/>
      </c>
      <c r="O753" s="22" t="str">
        <f t="shared" si="505"/>
        <v/>
      </c>
      <c r="P753" s="21" t="str">
        <f t="shared" si="506"/>
        <v>Apprenant 741 ou 741'</v>
      </c>
      <c r="Q753" s="22" t="str">
        <f t="shared" si="507"/>
        <v/>
      </c>
      <c r="R753" s="22" t="str">
        <f t="shared" si="508"/>
        <v/>
      </c>
      <c r="S753" s="22" t="str">
        <f t="shared" si="509"/>
        <v/>
      </c>
      <c r="T753" s="22" t="str">
        <f t="shared" si="510"/>
        <v/>
      </c>
      <c r="V753" s="21" t="str">
        <f t="shared" si="511"/>
        <v>Apprenant 741</v>
      </c>
      <c r="W753" s="22" t="str">
        <f>IF(AND(OR('Choix pédagogiques'!$C$3=1,'Choix pédagogiques'!$C$3=2),$BM753=1),B753,IF(AND('Choix pédagogiques'!$C$3=3,$BO753=1),B753,""))</f>
        <v/>
      </c>
      <c r="X753" s="22" t="str">
        <f>IF(AND(OR('Choix pédagogiques'!$C$3=1,'Choix pédagogiques'!$C$3=2),$BM753=1),C753,IF(AND('Choix pédagogiques'!$C$3=3,$BO753=1),C753,""))</f>
        <v/>
      </c>
      <c r="Y753" s="22" t="str">
        <f>IF(AND(OR('Choix pédagogiques'!$C$3=1,'Choix pédagogiques'!$C$3=2),$BM753=1),D753,IF(AND('Choix pédagogiques'!$C$3=3,$BO753=1),D753,""))</f>
        <v/>
      </c>
      <c r="Z753" s="22" t="str">
        <f t="shared" si="512"/>
        <v/>
      </c>
      <c r="AA753" s="21" t="str">
        <f t="shared" si="513"/>
        <v>Apprenant 741 ou 741'</v>
      </c>
      <c r="AB753" s="22" t="str">
        <f>IF(AND(OR('Choix pédagogiques'!$C$3=1,'Choix pédagogiques'!$C$3=2),$BN753=1),G753,IF(AND('Choix pédagogiques'!$C$3=3,$BO753=1),G753,""))</f>
        <v/>
      </c>
      <c r="AC753" s="22" t="str">
        <f>IF(AND(OR('Choix pédagogiques'!$C$3=1,'Choix pédagogiques'!$C$3=2),$BN753=1),H753,IF(AND('Choix pédagogiques'!$C$3=3,$BO753=1),H753,""))</f>
        <v/>
      </c>
      <c r="AD753" s="22" t="str">
        <f>IF(AND(OR('Choix pédagogiques'!$C$3=1,'Choix pédagogiques'!$C$3=2),$BN753=1),I753,IF(AND('Choix pédagogiques'!$C$3=3,$BO753=1),I753,""))</f>
        <v/>
      </c>
      <c r="AE753" s="22" t="str">
        <f t="shared" si="514"/>
        <v/>
      </c>
      <c r="AF753" s="21" t="str">
        <f t="shared" si="515"/>
        <v>Apprenant 741</v>
      </c>
      <c r="AG753" s="22" t="str">
        <f t="shared" si="489"/>
        <v/>
      </c>
      <c r="AH753" s="22" t="str">
        <f t="shared" si="490"/>
        <v/>
      </c>
      <c r="AI753" s="22" t="str">
        <f t="shared" si="491"/>
        <v/>
      </c>
      <c r="AJ753" s="22" t="str">
        <f t="shared" si="516"/>
        <v/>
      </c>
      <c r="AK753" s="21" t="str">
        <f t="shared" si="517"/>
        <v>Apprenant 741 ou 741'</v>
      </c>
      <c r="AL753" s="22" t="str">
        <f t="shared" si="492"/>
        <v/>
      </c>
      <c r="AM753" s="22" t="str">
        <f t="shared" si="493"/>
        <v/>
      </c>
      <c r="AN753" s="22" t="str">
        <f t="shared" si="494"/>
        <v/>
      </c>
      <c r="AO753" s="22" t="str">
        <f t="shared" si="518"/>
        <v/>
      </c>
      <c r="AQ753" s="21" t="str">
        <f t="shared" si="519"/>
        <v>Apprenant 741</v>
      </c>
      <c r="AR753" s="49" t="str">
        <f>IF(AND('Choix pédagogiques'!$C$4&lt;&gt;"?",'Choix pédagogiques'!$C$5&lt;&gt;"?",W753&lt;&gt;""),(W753-'Choix pédagogiques'!$C$4)/('Choix pédagogiques'!$C$5-'Choix pédagogiques'!$C$4),"")</f>
        <v/>
      </c>
      <c r="AS753" s="49" t="str">
        <f>IF(AND('Choix pédagogiques'!$C$4&lt;&gt;"?",'Choix pédagogiques'!$C$5&lt;&gt;"?",X753&lt;&gt;""),(X753-'Choix pédagogiques'!$C$4)/('Choix pédagogiques'!$C$5-'Choix pédagogiques'!$C$4),"")</f>
        <v/>
      </c>
      <c r="AT753" s="49" t="str">
        <f>IF(AND('Choix pédagogiques'!$C$4&lt;&gt;"?",'Choix pédagogiques'!$C$5&lt;&gt;"?",Y753&lt;&gt;""),(Y753-'Choix pédagogiques'!$C$4)/('Choix pédagogiques'!$C$5-'Choix pédagogiques'!$C$4),"")</f>
        <v/>
      </c>
      <c r="AU753" s="22" t="str">
        <f t="shared" si="520"/>
        <v/>
      </c>
      <c r="AV753" s="21" t="str">
        <f t="shared" si="521"/>
        <v>Apprenant 741 ou 741'</v>
      </c>
      <c r="AW753" s="49" t="str">
        <f>IF(AND('Choix pédagogiques'!$C$4&lt;&gt;"?",'Choix pédagogiques'!$C$5&lt;&gt;"?",AB753&lt;&gt;""),(AB753-'Choix pédagogiques'!$C$4)/('Choix pédagogiques'!$C$5-'Choix pédagogiques'!$C$4),"")</f>
        <v/>
      </c>
      <c r="AX753" s="49" t="str">
        <f>IF(AND('Choix pédagogiques'!$C$4&lt;&gt;"?",'Choix pédagogiques'!$C$5&lt;&gt;"?",AC753&lt;&gt;""),(AC753-'Choix pédagogiques'!$C$4)/('Choix pédagogiques'!$C$5-'Choix pédagogiques'!$C$4),"")</f>
        <v/>
      </c>
      <c r="AY753" s="49" t="str">
        <f>IF(AND('Choix pédagogiques'!$C$4&lt;&gt;"?",'Choix pédagogiques'!$C$5&lt;&gt;"?",AD753&lt;&gt;""),(AD753-'Choix pédagogiques'!$C$4)/('Choix pédagogiques'!$C$5-'Choix pédagogiques'!$C$4),"")</f>
        <v/>
      </c>
      <c r="AZ753" s="22" t="str">
        <f t="shared" si="522"/>
        <v/>
      </c>
      <c r="BA753" s="21" t="str">
        <f t="shared" si="523"/>
        <v>Apprenant 741</v>
      </c>
      <c r="BB753" s="49" t="str">
        <f t="shared" si="495"/>
        <v/>
      </c>
      <c r="BC753" s="49" t="str">
        <f t="shared" si="496"/>
        <v/>
      </c>
      <c r="BD753" s="49" t="str">
        <f t="shared" si="497"/>
        <v/>
      </c>
      <c r="BE753" s="22" t="str">
        <f t="shared" si="524"/>
        <v/>
      </c>
      <c r="BF753" s="21" t="str">
        <f t="shared" si="525"/>
        <v>Apprenant 741 ou 741'</v>
      </c>
      <c r="BG753" s="49" t="str">
        <f t="shared" si="498"/>
        <v/>
      </c>
      <c r="BH753" s="49" t="str">
        <f t="shared" si="499"/>
        <v/>
      </c>
      <c r="BI753" s="49" t="str">
        <f t="shared" si="500"/>
        <v/>
      </c>
      <c r="BJ753" s="22" t="str">
        <f t="shared" si="526"/>
        <v/>
      </c>
      <c r="BL753" s="21"/>
      <c r="BM753" s="21" t="str">
        <f>IF(OR(COUNT(B753:D1752)=0,AND('Choix pédagogiques'!$C$3&lt;&gt;1,'Choix pédagogiques'!$C$3&lt;&gt;2)),"",IF(AND(OR('Choix pédagogiques'!$C$3=1,'Choix pédagogiques'!$C$3=2),$B753&lt;&gt;"",$C753&lt;&gt;"",$D753&lt;&gt;""),1,0))</f>
        <v/>
      </c>
      <c r="BN753" s="21" t="str">
        <f>IF(OR(COUNT(G753:I1752)=0,AND('Choix pédagogiques'!$C$3&lt;&gt;1,'Choix pédagogiques'!$C$3&lt;&gt;2)),"",IF(AND(OR('Choix pédagogiques'!$C$3=1,'Choix pédagogiques'!$C$3=2),AND($G753&lt;&gt;"",$H753&lt;&gt;"",$I753&lt;&gt;"")),1,0))</f>
        <v/>
      </c>
      <c r="BO753" s="21" t="str">
        <f>IF(OR(COUNT(B753:D1752)=0,COUNT(G753:I1752)=0,'Choix pédagogiques'!C$3&lt;&gt;3),"",IF(AND('Choix pédagogiques'!$C$3=3,$B753&lt;&gt;"",$C753&lt;&gt;"",$D753&lt;&gt;"",$G753&lt;&gt;"",$H753&lt;&gt;"",$I753&lt;&gt;""),1,0))</f>
        <v/>
      </c>
      <c r="BR753" s="21">
        <v>651</v>
      </c>
      <c r="BS753" s="21">
        <v>1587</v>
      </c>
      <c r="BT753"/>
    </row>
    <row r="754" spans="1:72" s="23" customFormat="1" ht="18" customHeight="1" x14ac:dyDescent="0.3">
      <c r="A754" s="35" t="s">
        <v>744</v>
      </c>
      <c r="B754" s="37"/>
      <c r="C754" s="37"/>
      <c r="D754" s="37"/>
      <c r="E754" s="37"/>
      <c r="F754" s="35" t="s">
        <v>1752</v>
      </c>
      <c r="G754" s="37"/>
      <c r="H754" s="37"/>
      <c r="I754" s="37"/>
      <c r="J754" s="37"/>
      <c r="K754" s="21" t="str">
        <f t="shared" si="501"/>
        <v>Apprenant 742</v>
      </c>
      <c r="L754" s="22" t="str">
        <f t="shared" si="502"/>
        <v/>
      </c>
      <c r="M754" s="22" t="str">
        <f t="shared" si="503"/>
        <v/>
      </c>
      <c r="N754" s="22" t="str">
        <f t="shared" si="504"/>
        <v/>
      </c>
      <c r="O754" s="22" t="str">
        <f t="shared" si="505"/>
        <v/>
      </c>
      <c r="P754" s="21" t="str">
        <f t="shared" si="506"/>
        <v>Apprenant 742 ou 742'</v>
      </c>
      <c r="Q754" s="22" t="str">
        <f t="shared" si="507"/>
        <v/>
      </c>
      <c r="R754" s="22" t="str">
        <f t="shared" si="508"/>
        <v/>
      </c>
      <c r="S754" s="22" t="str">
        <f t="shared" si="509"/>
        <v/>
      </c>
      <c r="T754" s="22" t="str">
        <f t="shared" si="510"/>
        <v/>
      </c>
      <c r="V754" s="21" t="str">
        <f t="shared" si="511"/>
        <v>Apprenant 742</v>
      </c>
      <c r="W754" s="22" t="str">
        <f>IF(AND(OR('Choix pédagogiques'!$C$3=1,'Choix pédagogiques'!$C$3=2),$BM754=1),B754,IF(AND('Choix pédagogiques'!$C$3=3,$BO754=1),B754,""))</f>
        <v/>
      </c>
      <c r="X754" s="22" t="str">
        <f>IF(AND(OR('Choix pédagogiques'!$C$3=1,'Choix pédagogiques'!$C$3=2),$BM754=1),C754,IF(AND('Choix pédagogiques'!$C$3=3,$BO754=1),C754,""))</f>
        <v/>
      </c>
      <c r="Y754" s="22" t="str">
        <f>IF(AND(OR('Choix pédagogiques'!$C$3=1,'Choix pédagogiques'!$C$3=2),$BM754=1),D754,IF(AND('Choix pédagogiques'!$C$3=3,$BO754=1),D754,""))</f>
        <v/>
      </c>
      <c r="Z754" s="22" t="str">
        <f t="shared" si="512"/>
        <v/>
      </c>
      <c r="AA754" s="21" t="str">
        <f t="shared" si="513"/>
        <v>Apprenant 742 ou 742'</v>
      </c>
      <c r="AB754" s="22" t="str">
        <f>IF(AND(OR('Choix pédagogiques'!$C$3=1,'Choix pédagogiques'!$C$3=2),$BN754=1),G754,IF(AND('Choix pédagogiques'!$C$3=3,$BO754=1),G754,""))</f>
        <v/>
      </c>
      <c r="AC754" s="22" t="str">
        <f>IF(AND(OR('Choix pédagogiques'!$C$3=1,'Choix pédagogiques'!$C$3=2),$BN754=1),H754,IF(AND('Choix pédagogiques'!$C$3=3,$BO754=1),H754,""))</f>
        <v/>
      </c>
      <c r="AD754" s="22" t="str">
        <f>IF(AND(OR('Choix pédagogiques'!$C$3=1,'Choix pédagogiques'!$C$3=2),$BN754=1),I754,IF(AND('Choix pédagogiques'!$C$3=3,$BO754=1),I754,""))</f>
        <v/>
      </c>
      <c r="AE754" s="22" t="str">
        <f t="shared" si="514"/>
        <v/>
      </c>
      <c r="AF754" s="21" t="str">
        <f t="shared" si="515"/>
        <v>Apprenant 742</v>
      </c>
      <c r="AG754" s="22" t="str">
        <f t="shared" si="489"/>
        <v/>
      </c>
      <c r="AH754" s="22" t="str">
        <f t="shared" si="490"/>
        <v/>
      </c>
      <c r="AI754" s="22" t="str">
        <f t="shared" si="491"/>
        <v/>
      </c>
      <c r="AJ754" s="22" t="str">
        <f t="shared" si="516"/>
        <v/>
      </c>
      <c r="AK754" s="21" t="str">
        <f t="shared" si="517"/>
        <v>Apprenant 742 ou 742'</v>
      </c>
      <c r="AL754" s="22" t="str">
        <f t="shared" si="492"/>
        <v/>
      </c>
      <c r="AM754" s="22" t="str">
        <f t="shared" si="493"/>
        <v/>
      </c>
      <c r="AN754" s="22" t="str">
        <f t="shared" si="494"/>
        <v/>
      </c>
      <c r="AO754" s="22" t="str">
        <f t="shared" si="518"/>
        <v/>
      </c>
      <c r="AQ754" s="21" t="str">
        <f t="shared" si="519"/>
        <v>Apprenant 742</v>
      </c>
      <c r="AR754" s="49" t="str">
        <f>IF(AND('Choix pédagogiques'!$C$4&lt;&gt;"?",'Choix pédagogiques'!$C$5&lt;&gt;"?",W754&lt;&gt;""),(W754-'Choix pédagogiques'!$C$4)/('Choix pédagogiques'!$C$5-'Choix pédagogiques'!$C$4),"")</f>
        <v/>
      </c>
      <c r="AS754" s="49" t="str">
        <f>IF(AND('Choix pédagogiques'!$C$4&lt;&gt;"?",'Choix pédagogiques'!$C$5&lt;&gt;"?",X754&lt;&gt;""),(X754-'Choix pédagogiques'!$C$4)/('Choix pédagogiques'!$C$5-'Choix pédagogiques'!$C$4),"")</f>
        <v/>
      </c>
      <c r="AT754" s="49" t="str">
        <f>IF(AND('Choix pédagogiques'!$C$4&lt;&gt;"?",'Choix pédagogiques'!$C$5&lt;&gt;"?",Y754&lt;&gt;""),(Y754-'Choix pédagogiques'!$C$4)/('Choix pédagogiques'!$C$5-'Choix pédagogiques'!$C$4),"")</f>
        <v/>
      </c>
      <c r="AU754" s="22" t="str">
        <f t="shared" si="520"/>
        <v/>
      </c>
      <c r="AV754" s="21" t="str">
        <f t="shared" si="521"/>
        <v>Apprenant 742 ou 742'</v>
      </c>
      <c r="AW754" s="49" t="str">
        <f>IF(AND('Choix pédagogiques'!$C$4&lt;&gt;"?",'Choix pédagogiques'!$C$5&lt;&gt;"?",AB754&lt;&gt;""),(AB754-'Choix pédagogiques'!$C$4)/('Choix pédagogiques'!$C$5-'Choix pédagogiques'!$C$4),"")</f>
        <v/>
      </c>
      <c r="AX754" s="49" t="str">
        <f>IF(AND('Choix pédagogiques'!$C$4&lt;&gt;"?",'Choix pédagogiques'!$C$5&lt;&gt;"?",AC754&lt;&gt;""),(AC754-'Choix pédagogiques'!$C$4)/('Choix pédagogiques'!$C$5-'Choix pédagogiques'!$C$4),"")</f>
        <v/>
      </c>
      <c r="AY754" s="49" t="str">
        <f>IF(AND('Choix pédagogiques'!$C$4&lt;&gt;"?",'Choix pédagogiques'!$C$5&lt;&gt;"?",AD754&lt;&gt;""),(AD754-'Choix pédagogiques'!$C$4)/('Choix pédagogiques'!$C$5-'Choix pédagogiques'!$C$4),"")</f>
        <v/>
      </c>
      <c r="AZ754" s="22" t="str">
        <f t="shared" si="522"/>
        <v/>
      </c>
      <c r="BA754" s="21" t="str">
        <f t="shared" si="523"/>
        <v>Apprenant 742</v>
      </c>
      <c r="BB754" s="49" t="str">
        <f t="shared" si="495"/>
        <v/>
      </c>
      <c r="BC754" s="49" t="str">
        <f t="shared" si="496"/>
        <v/>
      </c>
      <c r="BD754" s="49" t="str">
        <f t="shared" si="497"/>
        <v/>
      </c>
      <c r="BE754" s="22" t="str">
        <f t="shared" si="524"/>
        <v/>
      </c>
      <c r="BF754" s="21" t="str">
        <f t="shared" si="525"/>
        <v>Apprenant 742 ou 742'</v>
      </c>
      <c r="BG754" s="49" t="str">
        <f t="shared" si="498"/>
        <v/>
      </c>
      <c r="BH754" s="49" t="str">
        <f t="shared" si="499"/>
        <v/>
      </c>
      <c r="BI754" s="49" t="str">
        <f t="shared" si="500"/>
        <v/>
      </c>
      <c r="BJ754" s="22" t="str">
        <f t="shared" si="526"/>
        <v/>
      </c>
      <c r="BL754" s="21"/>
      <c r="BM754" s="21" t="str">
        <f>IF(OR(COUNT(B754:D1753)=0,AND('Choix pédagogiques'!$C$3&lt;&gt;1,'Choix pédagogiques'!$C$3&lt;&gt;2)),"",IF(AND(OR('Choix pédagogiques'!$C$3=1,'Choix pédagogiques'!$C$3=2),$B754&lt;&gt;"",$C754&lt;&gt;"",$D754&lt;&gt;""),1,0))</f>
        <v/>
      </c>
      <c r="BN754" s="21" t="str">
        <f>IF(OR(COUNT(G754:I1753)=0,AND('Choix pédagogiques'!$C$3&lt;&gt;1,'Choix pédagogiques'!$C$3&lt;&gt;2)),"",IF(AND(OR('Choix pédagogiques'!$C$3=1,'Choix pédagogiques'!$C$3=2),AND($G754&lt;&gt;"",$H754&lt;&gt;"",$I754&lt;&gt;"")),1,0))</f>
        <v/>
      </c>
      <c r="BO754" s="21" t="str">
        <f>IF(OR(COUNT(B754:D1753)=0,COUNT(G754:I1753)=0,'Choix pédagogiques'!C$3&lt;&gt;3),"",IF(AND('Choix pédagogiques'!$C$3=3,$B754&lt;&gt;"",$C754&lt;&gt;"",$D754&lt;&gt;"",$G754&lt;&gt;"",$H754&lt;&gt;"",$I754&lt;&gt;""),1,0))</f>
        <v/>
      </c>
      <c r="BR754" s="21">
        <v>475</v>
      </c>
      <c r="BS754" s="21">
        <v>1776</v>
      </c>
      <c r="BT754"/>
    </row>
    <row r="755" spans="1:72" s="23" customFormat="1" ht="18" customHeight="1" x14ac:dyDescent="0.3">
      <c r="A755" s="35" t="s">
        <v>745</v>
      </c>
      <c r="B755" s="37"/>
      <c r="C755" s="37"/>
      <c r="D755" s="37"/>
      <c r="E755" s="37"/>
      <c r="F755" s="35" t="s">
        <v>1753</v>
      </c>
      <c r="G755" s="37"/>
      <c r="H755" s="37"/>
      <c r="I755" s="37"/>
      <c r="J755" s="37"/>
      <c r="K755" s="21" t="str">
        <f t="shared" si="501"/>
        <v>Apprenant 743</v>
      </c>
      <c r="L755" s="22" t="str">
        <f t="shared" si="502"/>
        <v/>
      </c>
      <c r="M755" s="22" t="str">
        <f t="shared" si="503"/>
        <v/>
      </c>
      <c r="N755" s="22" t="str">
        <f t="shared" si="504"/>
        <v/>
      </c>
      <c r="O755" s="22" t="str">
        <f t="shared" si="505"/>
        <v/>
      </c>
      <c r="P755" s="21" t="str">
        <f t="shared" si="506"/>
        <v>Apprenant 743 ou 743'</v>
      </c>
      <c r="Q755" s="22" t="str">
        <f t="shared" si="507"/>
        <v/>
      </c>
      <c r="R755" s="22" t="str">
        <f t="shared" si="508"/>
        <v/>
      </c>
      <c r="S755" s="22" t="str">
        <f t="shared" si="509"/>
        <v/>
      </c>
      <c r="T755" s="22" t="str">
        <f t="shared" si="510"/>
        <v/>
      </c>
      <c r="V755" s="21" t="str">
        <f t="shared" si="511"/>
        <v>Apprenant 743</v>
      </c>
      <c r="W755" s="22" t="str">
        <f>IF(AND(OR('Choix pédagogiques'!$C$3=1,'Choix pédagogiques'!$C$3=2),$BM755=1),B755,IF(AND('Choix pédagogiques'!$C$3=3,$BO755=1),B755,""))</f>
        <v/>
      </c>
      <c r="X755" s="22" t="str">
        <f>IF(AND(OR('Choix pédagogiques'!$C$3=1,'Choix pédagogiques'!$C$3=2),$BM755=1),C755,IF(AND('Choix pédagogiques'!$C$3=3,$BO755=1),C755,""))</f>
        <v/>
      </c>
      <c r="Y755" s="22" t="str">
        <f>IF(AND(OR('Choix pédagogiques'!$C$3=1,'Choix pédagogiques'!$C$3=2),$BM755=1),D755,IF(AND('Choix pédagogiques'!$C$3=3,$BO755=1),D755,""))</f>
        <v/>
      </c>
      <c r="Z755" s="22" t="str">
        <f t="shared" si="512"/>
        <v/>
      </c>
      <c r="AA755" s="21" t="str">
        <f t="shared" si="513"/>
        <v>Apprenant 743 ou 743'</v>
      </c>
      <c r="AB755" s="22" t="str">
        <f>IF(AND(OR('Choix pédagogiques'!$C$3=1,'Choix pédagogiques'!$C$3=2),$BN755=1),G755,IF(AND('Choix pédagogiques'!$C$3=3,$BO755=1),G755,""))</f>
        <v/>
      </c>
      <c r="AC755" s="22" t="str">
        <f>IF(AND(OR('Choix pédagogiques'!$C$3=1,'Choix pédagogiques'!$C$3=2),$BN755=1),H755,IF(AND('Choix pédagogiques'!$C$3=3,$BO755=1),H755,""))</f>
        <v/>
      </c>
      <c r="AD755" s="22" t="str">
        <f>IF(AND(OR('Choix pédagogiques'!$C$3=1,'Choix pédagogiques'!$C$3=2),$BN755=1),I755,IF(AND('Choix pédagogiques'!$C$3=3,$BO755=1),I755,""))</f>
        <v/>
      </c>
      <c r="AE755" s="22" t="str">
        <f t="shared" si="514"/>
        <v/>
      </c>
      <c r="AF755" s="21" t="str">
        <f t="shared" si="515"/>
        <v>Apprenant 743</v>
      </c>
      <c r="AG755" s="22" t="str">
        <f t="shared" si="489"/>
        <v/>
      </c>
      <c r="AH755" s="22" t="str">
        <f t="shared" si="490"/>
        <v/>
      </c>
      <c r="AI755" s="22" t="str">
        <f t="shared" si="491"/>
        <v/>
      </c>
      <c r="AJ755" s="22" t="str">
        <f t="shared" si="516"/>
        <v/>
      </c>
      <c r="AK755" s="21" t="str">
        <f t="shared" si="517"/>
        <v>Apprenant 743 ou 743'</v>
      </c>
      <c r="AL755" s="22" t="str">
        <f t="shared" si="492"/>
        <v/>
      </c>
      <c r="AM755" s="22" t="str">
        <f t="shared" si="493"/>
        <v/>
      </c>
      <c r="AN755" s="22" t="str">
        <f t="shared" si="494"/>
        <v/>
      </c>
      <c r="AO755" s="22" t="str">
        <f t="shared" si="518"/>
        <v/>
      </c>
      <c r="AQ755" s="21" t="str">
        <f t="shared" si="519"/>
        <v>Apprenant 743</v>
      </c>
      <c r="AR755" s="49" t="str">
        <f>IF(AND('Choix pédagogiques'!$C$4&lt;&gt;"?",'Choix pédagogiques'!$C$5&lt;&gt;"?",W755&lt;&gt;""),(W755-'Choix pédagogiques'!$C$4)/('Choix pédagogiques'!$C$5-'Choix pédagogiques'!$C$4),"")</f>
        <v/>
      </c>
      <c r="AS755" s="49" t="str">
        <f>IF(AND('Choix pédagogiques'!$C$4&lt;&gt;"?",'Choix pédagogiques'!$C$5&lt;&gt;"?",X755&lt;&gt;""),(X755-'Choix pédagogiques'!$C$4)/('Choix pédagogiques'!$C$5-'Choix pédagogiques'!$C$4),"")</f>
        <v/>
      </c>
      <c r="AT755" s="49" t="str">
        <f>IF(AND('Choix pédagogiques'!$C$4&lt;&gt;"?",'Choix pédagogiques'!$C$5&lt;&gt;"?",Y755&lt;&gt;""),(Y755-'Choix pédagogiques'!$C$4)/('Choix pédagogiques'!$C$5-'Choix pédagogiques'!$C$4),"")</f>
        <v/>
      </c>
      <c r="AU755" s="22" t="str">
        <f t="shared" si="520"/>
        <v/>
      </c>
      <c r="AV755" s="21" t="str">
        <f t="shared" si="521"/>
        <v>Apprenant 743 ou 743'</v>
      </c>
      <c r="AW755" s="49" t="str">
        <f>IF(AND('Choix pédagogiques'!$C$4&lt;&gt;"?",'Choix pédagogiques'!$C$5&lt;&gt;"?",AB755&lt;&gt;""),(AB755-'Choix pédagogiques'!$C$4)/('Choix pédagogiques'!$C$5-'Choix pédagogiques'!$C$4),"")</f>
        <v/>
      </c>
      <c r="AX755" s="49" t="str">
        <f>IF(AND('Choix pédagogiques'!$C$4&lt;&gt;"?",'Choix pédagogiques'!$C$5&lt;&gt;"?",AC755&lt;&gt;""),(AC755-'Choix pédagogiques'!$C$4)/('Choix pédagogiques'!$C$5-'Choix pédagogiques'!$C$4),"")</f>
        <v/>
      </c>
      <c r="AY755" s="49" t="str">
        <f>IF(AND('Choix pédagogiques'!$C$4&lt;&gt;"?",'Choix pédagogiques'!$C$5&lt;&gt;"?",AD755&lt;&gt;""),(AD755-'Choix pédagogiques'!$C$4)/('Choix pédagogiques'!$C$5-'Choix pédagogiques'!$C$4),"")</f>
        <v/>
      </c>
      <c r="AZ755" s="22" t="str">
        <f t="shared" si="522"/>
        <v/>
      </c>
      <c r="BA755" s="21" t="str">
        <f t="shared" si="523"/>
        <v>Apprenant 743</v>
      </c>
      <c r="BB755" s="49" t="str">
        <f t="shared" si="495"/>
        <v/>
      </c>
      <c r="BC755" s="49" t="str">
        <f t="shared" si="496"/>
        <v/>
      </c>
      <c r="BD755" s="49" t="str">
        <f t="shared" si="497"/>
        <v/>
      </c>
      <c r="BE755" s="22" t="str">
        <f t="shared" si="524"/>
        <v/>
      </c>
      <c r="BF755" s="21" t="str">
        <f t="shared" si="525"/>
        <v>Apprenant 743 ou 743'</v>
      </c>
      <c r="BG755" s="49" t="str">
        <f t="shared" si="498"/>
        <v/>
      </c>
      <c r="BH755" s="49" t="str">
        <f t="shared" si="499"/>
        <v/>
      </c>
      <c r="BI755" s="49" t="str">
        <f t="shared" si="500"/>
        <v/>
      </c>
      <c r="BJ755" s="22" t="str">
        <f t="shared" si="526"/>
        <v/>
      </c>
      <c r="BL755" s="21"/>
      <c r="BM755" s="21" t="str">
        <f>IF(OR(COUNT(B755:D1754)=0,AND('Choix pédagogiques'!$C$3&lt;&gt;1,'Choix pédagogiques'!$C$3&lt;&gt;2)),"",IF(AND(OR('Choix pédagogiques'!$C$3=1,'Choix pédagogiques'!$C$3=2),$B755&lt;&gt;"",$C755&lt;&gt;"",$D755&lt;&gt;""),1,0))</f>
        <v/>
      </c>
      <c r="BN755" s="21" t="str">
        <f>IF(OR(COUNT(G755:I1754)=0,AND('Choix pédagogiques'!$C$3&lt;&gt;1,'Choix pédagogiques'!$C$3&lt;&gt;2)),"",IF(AND(OR('Choix pédagogiques'!$C$3=1,'Choix pédagogiques'!$C$3=2),AND($G755&lt;&gt;"",$H755&lt;&gt;"",$I755&lt;&gt;"")),1,0))</f>
        <v/>
      </c>
      <c r="BO755" s="21" t="str">
        <f>IF(OR(COUNT(B755:D1754)=0,COUNT(G755:I1754)=0,'Choix pédagogiques'!C$3&lt;&gt;3),"",IF(AND('Choix pédagogiques'!$C$3=3,$B755&lt;&gt;"",$C755&lt;&gt;"",$D755&lt;&gt;"",$G755&lt;&gt;"",$H755&lt;&gt;"",$I755&lt;&gt;""),1,0))</f>
        <v/>
      </c>
      <c r="BR755" s="21">
        <v>118</v>
      </c>
      <c r="BS755" s="21">
        <v>1147</v>
      </c>
      <c r="BT755"/>
    </row>
    <row r="756" spans="1:72" s="23" customFormat="1" ht="18" customHeight="1" x14ac:dyDescent="0.3">
      <c r="A756" s="35" t="s">
        <v>746</v>
      </c>
      <c r="B756" s="37"/>
      <c r="C756" s="37"/>
      <c r="D756" s="37"/>
      <c r="E756" s="37"/>
      <c r="F756" s="35" t="s">
        <v>1754</v>
      </c>
      <c r="G756" s="37"/>
      <c r="H756" s="37"/>
      <c r="I756" s="37"/>
      <c r="J756" s="37"/>
      <c r="K756" s="21" t="str">
        <f t="shared" si="501"/>
        <v>Apprenant 744</v>
      </c>
      <c r="L756" s="22" t="str">
        <f t="shared" si="502"/>
        <v/>
      </c>
      <c r="M756" s="22" t="str">
        <f t="shared" si="503"/>
        <v/>
      </c>
      <c r="N756" s="22" t="str">
        <f t="shared" si="504"/>
        <v/>
      </c>
      <c r="O756" s="22" t="str">
        <f t="shared" si="505"/>
        <v/>
      </c>
      <c r="P756" s="21" t="str">
        <f t="shared" si="506"/>
        <v>Apprenant 744 ou 744'</v>
      </c>
      <c r="Q756" s="22" t="str">
        <f t="shared" si="507"/>
        <v/>
      </c>
      <c r="R756" s="22" t="str">
        <f t="shared" si="508"/>
        <v/>
      </c>
      <c r="S756" s="22" t="str">
        <f t="shared" si="509"/>
        <v/>
      </c>
      <c r="T756" s="22" t="str">
        <f t="shared" si="510"/>
        <v/>
      </c>
      <c r="V756" s="21" t="str">
        <f t="shared" si="511"/>
        <v>Apprenant 744</v>
      </c>
      <c r="W756" s="22" t="str">
        <f>IF(AND(OR('Choix pédagogiques'!$C$3=1,'Choix pédagogiques'!$C$3=2),$BM756=1),B756,IF(AND('Choix pédagogiques'!$C$3=3,$BO756=1),B756,""))</f>
        <v/>
      </c>
      <c r="X756" s="22" t="str">
        <f>IF(AND(OR('Choix pédagogiques'!$C$3=1,'Choix pédagogiques'!$C$3=2),$BM756=1),C756,IF(AND('Choix pédagogiques'!$C$3=3,$BO756=1),C756,""))</f>
        <v/>
      </c>
      <c r="Y756" s="22" t="str">
        <f>IF(AND(OR('Choix pédagogiques'!$C$3=1,'Choix pédagogiques'!$C$3=2),$BM756=1),D756,IF(AND('Choix pédagogiques'!$C$3=3,$BO756=1),D756,""))</f>
        <v/>
      </c>
      <c r="Z756" s="22" t="str">
        <f t="shared" si="512"/>
        <v/>
      </c>
      <c r="AA756" s="21" t="str">
        <f t="shared" si="513"/>
        <v>Apprenant 744 ou 744'</v>
      </c>
      <c r="AB756" s="22" t="str">
        <f>IF(AND(OR('Choix pédagogiques'!$C$3=1,'Choix pédagogiques'!$C$3=2),$BN756=1),G756,IF(AND('Choix pédagogiques'!$C$3=3,$BO756=1),G756,""))</f>
        <v/>
      </c>
      <c r="AC756" s="22" t="str">
        <f>IF(AND(OR('Choix pédagogiques'!$C$3=1,'Choix pédagogiques'!$C$3=2),$BN756=1),H756,IF(AND('Choix pédagogiques'!$C$3=3,$BO756=1),H756,""))</f>
        <v/>
      </c>
      <c r="AD756" s="22" t="str">
        <f>IF(AND(OR('Choix pédagogiques'!$C$3=1,'Choix pédagogiques'!$C$3=2),$BN756=1),I756,IF(AND('Choix pédagogiques'!$C$3=3,$BO756=1),I756,""))</f>
        <v/>
      </c>
      <c r="AE756" s="22" t="str">
        <f t="shared" si="514"/>
        <v/>
      </c>
      <c r="AF756" s="21" t="str">
        <f t="shared" si="515"/>
        <v>Apprenant 744</v>
      </c>
      <c r="AG756" s="22" t="str">
        <f t="shared" si="489"/>
        <v/>
      </c>
      <c r="AH756" s="22" t="str">
        <f t="shared" si="490"/>
        <v/>
      </c>
      <c r="AI756" s="22" t="str">
        <f t="shared" si="491"/>
        <v/>
      </c>
      <c r="AJ756" s="22" t="str">
        <f t="shared" si="516"/>
        <v/>
      </c>
      <c r="AK756" s="21" t="str">
        <f t="shared" si="517"/>
        <v>Apprenant 744 ou 744'</v>
      </c>
      <c r="AL756" s="22" t="str">
        <f t="shared" si="492"/>
        <v/>
      </c>
      <c r="AM756" s="22" t="str">
        <f t="shared" si="493"/>
        <v/>
      </c>
      <c r="AN756" s="22" t="str">
        <f t="shared" si="494"/>
        <v/>
      </c>
      <c r="AO756" s="22" t="str">
        <f t="shared" si="518"/>
        <v/>
      </c>
      <c r="AQ756" s="21" t="str">
        <f t="shared" si="519"/>
        <v>Apprenant 744</v>
      </c>
      <c r="AR756" s="49" t="str">
        <f>IF(AND('Choix pédagogiques'!$C$4&lt;&gt;"?",'Choix pédagogiques'!$C$5&lt;&gt;"?",W756&lt;&gt;""),(W756-'Choix pédagogiques'!$C$4)/('Choix pédagogiques'!$C$5-'Choix pédagogiques'!$C$4),"")</f>
        <v/>
      </c>
      <c r="AS756" s="49" t="str">
        <f>IF(AND('Choix pédagogiques'!$C$4&lt;&gt;"?",'Choix pédagogiques'!$C$5&lt;&gt;"?",X756&lt;&gt;""),(X756-'Choix pédagogiques'!$C$4)/('Choix pédagogiques'!$C$5-'Choix pédagogiques'!$C$4),"")</f>
        <v/>
      </c>
      <c r="AT756" s="49" t="str">
        <f>IF(AND('Choix pédagogiques'!$C$4&lt;&gt;"?",'Choix pédagogiques'!$C$5&lt;&gt;"?",Y756&lt;&gt;""),(Y756-'Choix pédagogiques'!$C$4)/('Choix pédagogiques'!$C$5-'Choix pédagogiques'!$C$4),"")</f>
        <v/>
      </c>
      <c r="AU756" s="22" t="str">
        <f t="shared" si="520"/>
        <v/>
      </c>
      <c r="AV756" s="21" t="str">
        <f t="shared" si="521"/>
        <v>Apprenant 744 ou 744'</v>
      </c>
      <c r="AW756" s="49" t="str">
        <f>IF(AND('Choix pédagogiques'!$C$4&lt;&gt;"?",'Choix pédagogiques'!$C$5&lt;&gt;"?",AB756&lt;&gt;""),(AB756-'Choix pédagogiques'!$C$4)/('Choix pédagogiques'!$C$5-'Choix pédagogiques'!$C$4),"")</f>
        <v/>
      </c>
      <c r="AX756" s="49" t="str">
        <f>IF(AND('Choix pédagogiques'!$C$4&lt;&gt;"?",'Choix pédagogiques'!$C$5&lt;&gt;"?",AC756&lt;&gt;""),(AC756-'Choix pédagogiques'!$C$4)/('Choix pédagogiques'!$C$5-'Choix pédagogiques'!$C$4),"")</f>
        <v/>
      </c>
      <c r="AY756" s="49" t="str">
        <f>IF(AND('Choix pédagogiques'!$C$4&lt;&gt;"?",'Choix pédagogiques'!$C$5&lt;&gt;"?",AD756&lt;&gt;""),(AD756-'Choix pédagogiques'!$C$4)/('Choix pédagogiques'!$C$5-'Choix pédagogiques'!$C$4),"")</f>
        <v/>
      </c>
      <c r="AZ756" s="22" t="str">
        <f t="shared" si="522"/>
        <v/>
      </c>
      <c r="BA756" s="21" t="str">
        <f t="shared" si="523"/>
        <v>Apprenant 744</v>
      </c>
      <c r="BB756" s="49" t="str">
        <f t="shared" si="495"/>
        <v/>
      </c>
      <c r="BC756" s="49" t="str">
        <f t="shared" si="496"/>
        <v/>
      </c>
      <c r="BD756" s="49" t="str">
        <f t="shared" si="497"/>
        <v/>
      </c>
      <c r="BE756" s="22" t="str">
        <f t="shared" si="524"/>
        <v/>
      </c>
      <c r="BF756" s="21" t="str">
        <f t="shared" si="525"/>
        <v>Apprenant 744 ou 744'</v>
      </c>
      <c r="BG756" s="49" t="str">
        <f t="shared" si="498"/>
        <v/>
      </c>
      <c r="BH756" s="49" t="str">
        <f t="shared" si="499"/>
        <v/>
      </c>
      <c r="BI756" s="49" t="str">
        <f t="shared" si="500"/>
        <v/>
      </c>
      <c r="BJ756" s="22" t="str">
        <f t="shared" si="526"/>
        <v/>
      </c>
      <c r="BL756" s="21"/>
      <c r="BM756" s="21" t="str">
        <f>IF(OR(COUNT(B756:D1755)=0,AND('Choix pédagogiques'!$C$3&lt;&gt;1,'Choix pédagogiques'!$C$3&lt;&gt;2)),"",IF(AND(OR('Choix pédagogiques'!$C$3=1,'Choix pédagogiques'!$C$3=2),$B756&lt;&gt;"",$C756&lt;&gt;"",$D756&lt;&gt;""),1,0))</f>
        <v/>
      </c>
      <c r="BN756" s="21" t="str">
        <f>IF(OR(COUNT(G756:I1755)=0,AND('Choix pédagogiques'!$C$3&lt;&gt;1,'Choix pédagogiques'!$C$3&lt;&gt;2)),"",IF(AND(OR('Choix pédagogiques'!$C$3=1,'Choix pédagogiques'!$C$3=2),AND($G756&lt;&gt;"",$H756&lt;&gt;"",$I756&lt;&gt;"")),1,0))</f>
        <v/>
      </c>
      <c r="BO756" s="21" t="str">
        <f>IF(OR(COUNT(B756:D1755)=0,COUNT(G756:I1755)=0,'Choix pédagogiques'!C$3&lt;&gt;3),"",IF(AND('Choix pédagogiques'!$C$3=3,$B756&lt;&gt;"",$C756&lt;&gt;"",$D756&lt;&gt;"",$G756&lt;&gt;"",$H756&lt;&gt;"",$I756&lt;&gt;""),1,0))</f>
        <v/>
      </c>
      <c r="BR756" s="21">
        <v>626</v>
      </c>
      <c r="BS756" s="21">
        <v>1572</v>
      </c>
      <c r="BT756"/>
    </row>
    <row r="757" spans="1:72" s="23" customFormat="1" ht="18" customHeight="1" x14ac:dyDescent="0.3">
      <c r="A757" s="35" t="s">
        <v>747</v>
      </c>
      <c r="B757" s="37"/>
      <c r="C757" s="37"/>
      <c r="D757" s="37"/>
      <c r="E757" s="37"/>
      <c r="F757" s="35" t="s">
        <v>1755</v>
      </c>
      <c r="G757" s="37"/>
      <c r="H757" s="37"/>
      <c r="I757" s="37"/>
      <c r="J757" s="37"/>
      <c r="K757" s="21" t="str">
        <f t="shared" si="501"/>
        <v>Apprenant 745</v>
      </c>
      <c r="L757" s="22" t="str">
        <f t="shared" si="502"/>
        <v/>
      </c>
      <c r="M757" s="22" t="str">
        <f t="shared" si="503"/>
        <v/>
      </c>
      <c r="N757" s="22" t="str">
        <f t="shared" si="504"/>
        <v/>
      </c>
      <c r="O757" s="22" t="str">
        <f t="shared" si="505"/>
        <v/>
      </c>
      <c r="P757" s="21" t="str">
        <f t="shared" si="506"/>
        <v>Apprenant 745 ou 745'</v>
      </c>
      <c r="Q757" s="22" t="str">
        <f t="shared" si="507"/>
        <v/>
      </c>
      <c r="R757" s="22" t="str">
        <f t="shared" si="508"/>
        <v/>
      </c>
      <c r="S757" s="22" t="str">
        <f t="shared" si="509"/>
        <v/>
      </c>
      <c r="T757" s="22" t="str">
        <f t="shared" si="510"/>
        <v/>
      </c>
      <c r="V757" s="21" t="str">
        <f t="shared" si="511"/>
        <v>Apprenant 745</v>
      </c>
      <c r="W757" s="22" t="str">
        <f>IF(AND(OR('Choix pédagogiques'!$C$3=1,'Choix pédagogiques'!$C$3=2),$BM757=1),B757,IF(AND('Choix pédagogiques'!$C$3=3,$BO757=1),B757,""))</f>
        <v/>
      </c>
      <c r="X757" s="22" t="str">
        <f>IF(AND(OR('Choix pédagogiques'!$C$3=1,'Choix pédagogiques'!$C$3=2),$BM757=1),C757,IF(AND('Choix pédagogiques'!$C$3=3,$BO757=1),C757,""))</f>
        <v/>
      </c>
      <c r="Y757" s="22" t="str">
        <f>IF(AND(OR('Choix pédagogiques'!$C$3=1,'Choix pédagogiques'!$C$3=2),$BM757=1),D757,IF(AND('Choix pédagogiques'!$C$3=3,$BO757=1),D757,""))</f>
        <v/>
      </c>
      <c r="Z757" s="22" t="str">
        <f t="shared" si="512"/>
        <v/>
      </c>
      <c r="AA757" s="21" t="str">
        <f t="shared" si="513"/>
        <v>Apprenant 745 ou 745'</v>
      </c>
      <c r="AB757" s="22" t="str">
        <f>IF(AND(OR('Choix pédagogiques'!$C$3=1,'Choix pédagogiques'!$C$3=2),$BN757=1),G757,IF(AND('Choix pédagogiques'!$C$3=3,$BO757=1),G757,""))</f>
        <v/>
      </c>
      <c r="AC757" s="22" t="str">
        <f>IF(AND(OR('Choix pédagogiques'!$C$3=1,'Choix pédagogiques'!$C$3=2),$BN757=1),H757,IF(AND('Choix pédagogiques'!$C$3=3,$BO757=1),H757,""))</f>
        <v/>
      </c>
      <c r="AD757" s="22" t="str">
        <f>IF(AND(OR('Choix pédagogiques'!$C$3=1,'Choix pédagogiques'!$C$3=2),$BN757=1),I757,IF(AND('Choix pédagogiques'!$C$3=3,$BO757=1),I757,""))</f>
        <v/>
      </c>
      <c r="AE757" s="22" t="str">
        <f t="shared" si="514"/>
        <v/>
      </c>
      <c r="AF757" s="21" t="str">
        <f t="shared" si="515"/>
        <v>Apprenant 745</v>
      </c>
      <c r="AG757" s="22" t="str">
        <f t="shared" si="489"/>
        <v/>
      </c>
      <c r="AH757" s="22" t="str">
        <f t="shared" si="490"/>
        <v/>
      </c>
      <c r="AI757" s="22" t="str">
        <f t="shared" si="491"/>
        <v/>
      </c>
      <c r="AJ757" s="22" t="str">
        <f t="shared" si="516"/>
        <v/>
      </c>
      <c r="AK757" s="21" t="str">
        <f t="shared" si="517"/>
        <v>Apprenant 745 ou 745'</v>
      </c>
      <c r="AL757" s="22" t="str">
        <f t="shared" si="492"/>
        <v/>
      </c>
      <c r="AM757" s="22" t="str">
        <f t="shared" si="493"/>
        <v/>
      </c>
      <c r="AN757" s="22" t="str">
        <f t="shared" si="494"/>
        <v/>
      </c>
      <c r="AO757" s="22" t="str">
        <f t="shared" si="518"/>
        <v/>
      </c>
      <c r="AQ757" s="21" t="str">
        <f t="shared" si="519"/>
        <v>Apprenant 745</v>
      </c>
      <c r="AR757" s="49" t="str">
        <f>IF(AND('Choix pédagogiques'!$C$4&lt;&gt;"?",'Choix pédagogiques'!$C$5&lt;&gt;"?",W757&lt;&gt;""),(W757-'Choix pédagogiques'!$C$4)/('Choix pédagogiques'!$C$5-'Choix pédagogiques'!$C$4),"")</f>
        <v/>
      </c>
      <c r="AS757" s="49" t="str">
        <f>IF(AND('Choix pédagogiques'!$C$4&lt;&gt;"?",'Choix pédagogiques'!$C$5&lt;&gt;"?",X757&lt;&gt;""),(X757-'Choix pédagogiques'!$C$4)/('Choix pédagogiques'!$C$5-'Choix pédagogiques'!$C$4),"")</f>
        <v/>
      </c>
      <c r="AT757" s="49" t="str">
        <f>IF(AND('Choix pédagogiques'!$C$4&lt;&gt;"?",'Choix pédagogiques'!$C$5&lt;&gt;"?",Y757&lt;&gt;""),(Y757-'Choix pédagogiques'!$C$4)/('Choix pédagogiques'!$C$5-'Choix pédagogiques'!$C$4),"")</f>
        <v/>
      </c>
      <c r="AU757" s="22" t="str">
        <f t="shared" si="520"/>
        <v/>
      </c>
      <c r="AV757" s="21" t="str">
        <f t="shared" si="521"/>
        <v>Apprenant 745 ou 745'</v>
      </c>
      <c r="AW757" s="49" t="str">
        <f>IF(AND('Choix pédagogiques'!$C$4&lt;&gt;"?",'Choix pédagogiques'!$C$5&lt;&gt;"?",AB757&lt;&gt;""),(AB757-'Choix pédagogiques'!$C$4)/('Choix pédagogiques'!$C$5-'Choix pédagogiques'!$C$4),"")</f>
        <v/>
      </c>
      <c r="AX757" s="49" t="str">
        <f>IF(AND('Choix pédagogiques'!$C$4&lt;&gt;"?",'Choix pédagogiques'!$C$5&lt;&gt;"?",AC757&lt;&gt;""),(AC757-'Choix pédagogiques'!$C$4)/('Choix pédagogiques'!$C$5-'Choix pédagogiques'!$C$4),"")</f>
        <v/>
      </c>
      <c r="AY757" s="49" t="str">
        <f>IF(AND('Choix pédagogiques'!$C$4&lt;&gt;"?",'Choix pédagogiques'!$C$5&lt;&gt;"?",AD757&lt;&gt;""),(AD757-'Choix pédagogiques'!$C$4)/('Choix pédagogiques'!$C$5-'Choix pédagogiques'!$C$4),"")</f>
        <v/>
      </c>
      <c r="AZ757" s="22" t="str">
        <f t="shared" si="522"/>
        <v/>
      </c>
      <c r="BA757" s="21" t="str">
        <f t="shared" si="523"/>
        <v>Apprenant 745</v>
      </c>
      <c r="BB757" s="49" t="str">
        <f t="shared" si="495"/>
        <v/>
      </c>
      <c r="BC757" s="49" t="str">
        <f t="shared" si="496"/>
        <v/>
      </c>
      <c r="BD757" s="49" t="str">
        <f t="shared" si="497"/>
        <v/>
      </c>
      <c r="BE757" s="22" t="str">
        <f t="shared" si="524"/>
        <v/>
      </c>
      <c r="BF757" s="21" t="str">
        <f t="shared" si="525"/>
        <v>Apprenant 745 ou 745'</v>
      </c>
      <c r="BG757" s="49" t="str">
        <f t="shared" si="498"/>
        <v/>
      </c>
      <c r="BH757" s="49" t="str">
        <f t="shared" si="499"/>
        <v/>
      </c>
      <c r="BI757" s="49" t="str">
        <f t="shared" si="500"/>
        <v/>
      </c>
      <c r="BJ757" s="22" t="str">
        <f t="shared" si="526"/>
        <v/>
      </c>
      <c r="BL757" s="21"/>
      <c r="BM757" s="21" t="str">
        <f>IF(OR(COUNT(B757:D1756)=0,AND('Choix pédagogiques'!$C$3&lt;&gt;1,'Choix pédagogiques'!$C$3&lt;&gt;2)),"",IF(AND(OR('Choix pédagogiques'!$C$3=1,'Choix pédagogiques'!$C$3=2),$B757&lt;&gt;"",$C757&lt;&gt;"",$D757&lt;&gt;""),1,0))</f>
        <v/>
      </c>
      <c r="BN757" s="21" t="str">
        <f>IF(OR(COUNT(G757:I1756)=0,AND('Choix pédagogiques'!$C$3&lt;&gt;1,'Choix pédagogiques'!$C$3&lt;&gt;2)),"",IF(AND(OR('Choix pédagogiques'!$C$3=1,'Choix pédagogiques'!$C$3=2),AND($G757&lt;&gt;"",$H757&lt;&gt;"",$I757&lt;&gt;"")),1,0))</f>
        <v/>
      </c>
      <c r="BO757" s="21" t="str">
        <f>IF(OR(COUNT(B757:D1756)=0,COUNT(G757:I1756)=0,'Choix pédagogiques'!C$3&lt;&gt;3),"",IF(AND('Choix pédagogiques'!$C$3=3,$B757&lt;&gt;"",$C757&lt;&gt;"",$D757&lt;&gt;"",$G757&lt;&gt;"",$H757&lt;&gt;"",$I757&lt;&gt;""),1,0))</f>
        <v/>
      </c>
      <c r="BR757" s="21">
        <v>40</v>
      </c>
      <c r="BS757" s="21">
        <v>1976</v>
      </c>
      <c r="BT757"/>
    </row>
    <row r="758" spans="1:72" s="23" customFormat="1" ht="18" customHeight="1" x14ac:dyDescent="0.3">
      <c r="A758" s="35" t="s">
        <v>748</v>
      </c>
      <c r="B758" s="37"/>
      <c r="C758" s="37"/>
      <c r="D758" s="37"/>
      <c r="E758" s="37"/>
      <c r="F758" s="35" t="s">
        <v>1756</v>
      </c>
      <c r="G758" s="37"/>
      <c r="H758" s="37"/>
      <c r="I758" s="37"/>
      <c r="J758" s="37"/>
      <c r="K758" s="21" t="str">
        <f t="shared" si="501"/>
        <v>Apprenant 746</v>
      </c>
      <c r="L758" s="22" t="str">
        <f t="shared" si="502"/>
        <v/>
      </c>
      <c r="M758" s="22" t="str">
        <f t="shared" si="503"/>
        <v/>
      </c>
      <c r="N758" s="22" t="str">
        <f t="shared" si="504"/>
        <v/>
      </c>
      <c r="O758" s="22" t="str">
        <f t="shared" si="505"/>
        <v/>
      </c>
      <c r="P758" s="21" t="str">
        <f t="shared" si="506"/>
        <v>Apprenant 746 ou 746'</v>
      </c>
      <c r="Q758" s="22" t="str">
        <f t="shared" si="507"/>
        <v/>
      </c>
      <c r="R758" s="22" t="str">
        <f t="shared" si="508"/>
        <v/>
      </c>
      <c r="S758" s="22" t="str">
        <f t="shared" si="509"/>
        <v/>
      </c>
      <c r="T758" s="22" t="str">
        <f t="shared" si="510"/>
        <v/>
      </c>
      <c r="V758" s="21" t="str">
        <f t="shared" si="511"/>
        <v>Apprenant 746</v>
      </c>
      <c r="W758" s="22" t="str">
        <f>IF(AND(OR('Choix pédagogiques'!$C$3=1,'Choix pédagogiques'!$C$3=2),$BM758=1),B758,IF(AND('Choix pédagogiques'!$C$3=3,$BO758=1),B758,""))</f>
        <v/>
      </c>
      <c r="X758" s="22" t="str">
        <f>IF(AND(OR('Choix pédagogiques'!$C$3=1,'Choix pédagogiques'!$C$3=2),$BM758=1),C758,IF(AND('Choix pédagogiques'!$C$3=3,$BO758=1),C758,""))</f>
        <v/>
      </c>
      <c r="Y758" s="22" t="str">
        <f>IF(AND(OR('Choix pédagogiques'!$C$3=1,'Choix pédagogiques'!$C$3=2),$BM758=1),D758,IF(AND('Choix pédagogiques'!$C$3=3,$BO758=1),D758,""))</f>
        <v/>
      </c>
      <c r="Z758" s="22" t="str">
        <f t="shared" si="512"/>
        <v/>
      </c>
      <c r="AA758" s="21" t="str">
        <f t="shared" si="513"/>
        <v>Apprenant 746 ou 746'</v>
      </c>
      <c r="AB758" s="22" t="str">
        <f>IF(AND(OR('Choix pédagogiques'!$C$3=1,'Choix pédagogiques'!$C$3=2),$BN758=1),G758,IF(AND('Choix pédagogiques'!$C$3=3,$BO758=1),G758,""))</f>
        <v/>
      </c>
      <c r="AC758" s="22" t="str">
        <f>IF(AND(OR('Choix pédagogiques'!$C$3=1,'Choix pédagogiques'!$C$3=2),$BN758=1),H758,IF(AND('Choix pédagogiques'!$C$3=3,$BO758=1),H758,""))</f>
        <v/>
      </c>
      <c r="AD758" s="22" t="str">
        <f>IF(AND(OR('Choix pédagogiques'!$C$3=1,'Choix pédagogiques'!$C$3=2),$BN758=1),I758,IF(AND('Choix pédagogiques'!$C$3=3,$BO758=1),I758,""))</f>
        <v/>
      </c>
      <c r="AE758" s="22" t="str">
        <f t="shared" si="514"/>
        <v/>
      </c>
      <c r="AF758" s="21" t="str">
        <f t="shared" si="515"/>
        <v>Apprenant 746</v>
      </c>
      <c r="AG758" s="22" t="str">
        <f t="shared" si="489"/>
        <v/>
      </c>
      <c r="AH758" s="22" t="str">
        <f t="shared" si="490"/>
        <v/>
      </c>
      <c r="AI758" s="22" t="str">
        <f t="shared" si="491"/>
        <v/>
      </c>
      <c r="AJ758" s="22" t="str">
        <f t="shared" si="516"/>
        <v/>
      </c>
      <c r="AK758" s="21" t="str">
        <f t="shared" si="517"/>
        <v>Apprenant 746 ou 746'</v>
      </c>
      <c r="AL758" s="22" t="str">
        <f t="shared" si="492"/>
        <v/>
      </c>
      <c r="AM758" s="22" t="str">
        <f t="shared" si="493"/>
        <v/>
      </c>
      <c r="AN758" s="22" t="str">
        <f t="shared" si="494"/>
        <v/>
      </c>
      <c r="AO758" s="22" t="str">
        <f t="shared" si="518"/>
        <v/>
      </c>
      <c r="AQ758" s="21" t="str">
        <f t="shared" si="519"/>
        <v>Apprenant 746</v>
      </c>
      <c r="AR758" s="49" t="str">
        <f>IF(AND('Choix pédagogiques'!$C$4&lt;&gt;"?",'Choix pédagogiques'!$C$5&lt;&gt;"?",W758&lt;&gt;""),(W758-'Choix pédagogiques'!$C$4)/('Choix pédagogiques'!$C$5-'Choix pédagogiques'!$C$4),"")</f>
        <v/>
      </c>
      <c r="AS758" s="49" t="str">
        <f>IF(AND('Choix pédagogiques'!$C$4&lt;&gt;"?",'Choix pédagogiques'!$C$5&lt;&gt;"?",X758&lt;&gt;""),(X758-'Choix pédagogiques'!$C$4)/('Choix pédagogiques'!$C$5-'Choix pédagogiques'!$C$4),"")</f>
        <v/>
      </c>
      <c r="AT758" s="49" t="str">
        <f>IF(AND('Choix pédagogiques'!$C$4&lt;&gt;"?",'Choix pédagogiques'!$C$5&lt;&gt;"?",Y758&lt;&gt;""),(Y758-'Choix pédagogiques'!$C$4)/('Choix pédagogiques'!$C$5-'Choix pédagogiques'!$C$4),"")</f>
        <v/>
      </c>
      <c r="AU758" s="22" t="str">
        <f t="shared" si="520"/>
        <v/>
      </c>
      <c r="AV758" s="21" t="str">
        <f t="shared" si="521"/>
        <v>Apprenant 746 ou 746'</v>
      </c>
      <c r="AW758" s="49" t="str">
        <f>IF(AND('Choix pédagogiques'!$C$4&lt;&gt;"?",'Choix pédagogiques'!$C$5&lt;&gt;"?",AB758&lt;&gt;""),(AB758-'Choix pédagogiques'!$C$4)/('Choix pédagogiques'!$C$5-'Choix pédagogiques'!$C$4),"")</f>
        <v/>
      </c>
      <c r="AX758" s="49" t="str">
        <f>IF(AND('Choix pédagogiques'!$C$4&lt;&gt;"?",'Choix pédagogiques'!$C$5&lt;&gt;"?",AC758&lt;&gt;""),(AC758-'Choix pédagogiques'!$C$4)/('Choix pédagogiques'!$C$5-'Choix pédagogiques'!$C$4),"")</f>
        <v/>
      </c>
      <c r="AY758" s="49" t="str">
        <f>IF(AND('Choix pédagogiques'!$C$4&lt;&gt;"?",'Choix pédagogiques'!$C$5&lt;&gt;"?",AD758&lt;&gt;""),(AD758-'Choix pédagogiques'!$C$4)/('Choix pédagogiques'!$C$5-'Choix pédagogiques'!$C$4),"")</f>
        <v/>
      </c>
      <c r="AZ758" s="22" t="str">
        <f t="shared" si="522"/>
        <v/>
      </c>
      <c r="BA758" s="21" t="str">
        <f t="shared" si="523"/>
        <v>Apprenant 746</v>
      </c>
      <c r="BB758" s="49" t="str">
        <f t="shared" si="495"/>
        <v/>
      </c>
      <c r="BC758" s="49" t="str">
        <f t="shared" si="496"/>
        <v/>
      </c>
      <c r="BD758" s="49" t="str">
        <f t="shared" si="497"/>
        <v/>
      </c>
      <c r="BE758" s="22" t="str">
        <f t="shared" si="524"/>
        <v/>
      </c>
      <c r="BF758" s="21" t="str">
        <f t="shared" si="525"/>
        <v>Apprenant 746 ou 746'</v>
      </c>
      <c r="BG758" s="49" t="str">
        <f t="shared" si="498"/>
        <v/>
      </c>
      <c r="BH758" s="49" t="str">
        <f t="shared" si="499"/>
        <v/>
      </c>
      <c r="BI758" s="49" t="str">
        <f t="shared" si="500"/>
        <v/>
      </c>
      <c r="BJ758" s="22" t="str">
        <f t="shared" si="526"/>
        <v/>
      </c>
      <c r="BL758" s="21"/>
      <c r="BM758" s="21" t="str">
        <f>IF(OR(COUNT(B758:D1757)=0,AND('Choix pédagogiques'!$C$3&lt;&gt;1,'Choix pédagogiques'!$C$3&lt;&gt;2)),"",IF(AND(OR('Choix pédagogiques'!$C$3=1,'Choix pédagogiques'!$C$3=2),$B758&lt;&gt;"",$C758&lt;&gt;"",$D758&lt;&gt;""),1,0))</f>
        <v/>
      </c>
      <c r="BN758" s="21" t="str">
        <f>IF(OR(COUNT(G758:I1757)=0,AND('Choix pédagogiques'!$C$3&lt;&gt;1,'Choix pédagogiques'!$C$3&lt;&gt;2)),"",IF(AND(OR('Choix pédagogiques'!$C$3=1,'Choix pédagogiques'!$C$3=2),AND($G758&lt;&gt;"",$H758&lt;&gt;"",$I758&lt;&gt;"")),1,0))</f>
        <v/>
      </c>
      <c r="BO758" s="21" t="str">
        <f>IF(OR(COUNT(B758:D1757)=0,COUNT(G758:I1757)=0,'Choix pédagogiques'!C$3&lt;&gt;3),"",IF(AND('Choix pédagogiques'!$C$3=3,$B758&lt;&gt;"",$C758&lt;&gt;"",$D758&lt;&gt;"",$G758&lt;&gt;"",$H758&lt;&gt;"",$I758&lt;&gt;""),1,0))</f>
        <v/>
      </c>
      <c r="BR758" s="21">
        <v>310</v>
      </c>
      <c r="BS758" s="21">
        <v>1436</v>
      </c>
      <c r="BT758"/>
    </row>
    <row r="759" spans="1:72" s="23" customFormat="1" ht="18" customHeight="1" x14ac:dyDescent="0.3">
      <c r="A759" s="35" t="s">
        <v>749</v>
      </c>
      <c r="B759" s="37"/>
      <c r="C759" s="37"/>
      <c r="D759" s="37"/>
      <c r="E759" s="37"/>
      <c r="F759" s="35" t="s">
        <v>1757</v>
      </c>
      <c r="G759" s="37"/>
      <c r="H759" s="37"/>
      <c r="I759" s="37"/>
      <c r="J759" s="37"/>
      <c r="K759" s="21" t="str">
        <f t="shared" si="501"/>
        <v>Apprenant 747</v>
      </c>
      <c r="L759" s="22" t="str">
        <f t="shared" si="502"/>
        <v/>
      </c>
      <c r="M759" s="22" t="str">
        <f t="shared" si="503"/>
        <v/>
      </c>
      <c r="N759" s="22" t="str">
        <f t="shared" si="504"/>
        <v/>
      </c>
      <c r="O759" s="22" t="str">
        <f t="shared" si="505"/>
        <v/>
      </c>
      <c r="P759" s="21" t="str">
        <f t="shared" si="506"/>
        <v>Apprenant 747 ou 747'</v>
      </c>
      <c r="Q759" s="22" t="str">
        <f t="shared" si="507"/>
        <v/>
      </c>
      <c r="R759" s="22" t="str">
        <f t="shared" si="508"/>
        <v/>
      </c>
      <c r="S759" s="22" t="str">
        <f t="shared" si="509"/>
        <v/>
      </c>
      <c r="T759" s="22" t="str">
        <f t="shared" si="510"/>
        <v/>
      </c>
      <c r="V759" s="21" t="str">
        <f t="shared" si="511"/>
        <v>Apprenant 747</v>
      </c>
      <c r="W759" s="22" t="str">
        <f>IF(AND(OR('Choix pédagogiques'!$C$3=1,'Choix pédagogiques'!$C$3=2),$BM759=1),B759,IF(AND('Choix pédagogiques'!$C$3=3,$BO759=1),B759,""))</f>
        <v/>
      </c>
      <c r="X759" s="22" t="str">
        <f>IF(AND(OR('Choix pédagogiques'!$C$3=1,'Choix pédagogiques'!$C$3=2),$BM759=1),C759,IF(AND('Choix pédagogiques'!$C$3=3,$BO759=1),C759,""))</f>
        <v/>
      </c>
      <c r="Y759" s="22" t="str">
        <f>IF(AND(OR('Choix pédagogiques'!$C$3=1,'Choix pédagogiques'!$C$3=2),$BM759=1),D759,IF(AND('Choix pédagogiques'!$C$3=3,$BO759=1),D759,""))</f>
        <v/>
      </c>
      <c r="Z759" s="22" t="str">
        <f t="shared" si="512"/>
        <v/>
      </c>
      <c r="AA759" s="21" t="str">
        <f t="shared" si="513"/>
        <v>Apprenant 747 ou 747'</v>
      </c>
      <c r="AB759" s="22" t="str">
        <f>IF(AND(OR('Choix pédagogiques'!$C$3=1,'Choix pédagogiques'!$C$3=2),$BN759=1),G759,IF(AND('Choix pédagogiques'!$C$3=3,$BO759=1),G759,""))</f>
        <v/>
      </c>
      <c r="AC759" s="22" t="str">
        <f>IF(AND(OR('Choix pédagogiques'!$C$3=1,'Choix pédagogiques'!$C$3=2),$BN759=1),H759,IF(AND('Choix pédagogiques'!$C$3=3,$BO759=1),H759,""))</f>
        <v/>
      </c>
      <c r="AD759" s="22" t="str">
        <f>IF(AND(OR('Choix pédagogiques'!$C$3=1,'Choix pédagogiques'!$C$3=2),$BN759=1),I759,IF(AND('Choix pédagogiques'!$C$3=3,$BO759=1),I759,""))</f>
        <v/>
      </c>
      <c r="AE759" s="22" t="str">
        <f t="shared" si="514"/>
        <v/>
      </c>
      <c r="AF759" s="21" t="str">
        <f t="shared" si="515"/>
        <v>Apprenant 747</v>
      </c>
      <c r="AG759" s="22" t="str">
        <f t="shared" si="489"/>
        <v/>
      </c>
      <c r="AH759" s="22" t="str">
        <f t="shared" si="490"/>
        <v/>
      </c>
      <c r="AI759" s="22" t="str">
        <f t="shared" si="491"/>
        <v/>
      </c>
      <c r="AJ759" s="22" t="str">
        <f t="shared" si="516"/>
        <v/>
      </c>
      <c r="AK759" s="21" t="str">
        <f t="shared" si="517"/>
        <v>Apprenant 747 ou 747'</v>
      </c>
      <c r="AL759" s="22" t="str">
        <f t="shared" si="492"/>
        <v/>
      </c>
      <c r="AM759" s="22" t="str">
        <f t="shared" si="493"/>
        <v/>
      </c>
      <c r="AN759" s="22" t="str">
        <f t="shared" si="494"/>
        <v/>
      </c>
      <c r="AO759" s="22" t="str">
        <f t="shared" si="518"/>
        <v/>
      </c>
      <c r="AQ759" s="21" t="str">
        <f t="shared" si="519"/>
        <v>Apprenant 747</v>
      </c>
      <c r="AR759" s="49" t="str">
        <f>IF(AND('Choix pédagogiques'!$C$4&lt;&gt;"?",'Choix pédagogiques'!$C$5&lt;&gt;"?",W759&lt;&gt;""),(W759-'Choix pédagogiques'!$C$4)/('Choix pédagogiques'!$C$5-'Choix pédagogiques'!$C$4),"")</f>
        <v/>
      </c>
      <c r="AS759" s="49" t="str">
        <f>IF(AND('Choix pédagogiques'!$C$4&lt;&gt;"?",'Choix pédagogiques'!$C$5&lt;&gt;"?",X759&lt;&gt;""),(X759-'Choix pédagogiques'!$C$4)/('Choix pédagogiques'!$C$5-'Choix pédagogiques'!$C$4),"")</f>
        <v/>
      </c>
      <c r="AT759" s="49" t="str">
        <f>IF(AND('Choix pédagogiques'!$C$4&lt;&gt;"?",'Choix pédagogiques'!$C$5&lt;&gt;"?",Y759&lt;&gt;""),(Y759-'Choix pédagogiques'!$C$4)/('Choix pédagogiques'!$C$5-'Choix pédagogiques'!$C$4),"")</f>
        <v/>
      </c>
      <c r="AU759" s="22" t="str">
        <f t="shared" si="520"/>
        <v/>
      </c>
      <c r="AV759" s="21" t="str">
        <f t="shared" si="521"/>
        <v>Apprenant 747 ou 747'</v>
      </c>
      <c r="AW759" s="49" t="str">
        <f>IF(AND('Choix pédagogiques'!$C$4&lt;&gt;"?",'Choix pédagogiques'!$C$5&lt;&gt;"?",AB759&lt;&gt;""),(AB759-'Choix pédagogiques'!$C$4)/('Choix pédagogiques'!$C$5-'Choix pédagogiques'!$C$4),"")</f>
        <v/>
      </c>
      <c r="AX759" s="49" t="str">
        <f>IF(AND('Choix pédagogiques'!$C$4&lt;&gt;"?",'Choix pédagogiques'!$C$5&lt;&gt;"?",AC759&lt;&gt;""),(AC759-'Choix pédagogiques'!$C$4)/('Choix pédagogiques'!$C$5-'Choix pédagogiques'!$C$4),"")</f>
        <v/>
      </c>
      <c r="AY759" s="49" t="str">
        <f>IF(AND('Choix pédagogiques'!$C$4&lt;&gt;"?",'Choix pédagogiques'!$C$5&lt;&gt;"?",AD759&lt;&gt;""),(AD759-'Choix pédagogiques'!$C$4)/('Choix pédagogiques'!$C$5-'Choix pédagogiques'!$C$4),"")</f>
        <v/>
      </c>
      <c r="AZ759" s="22" t="str">
        <f t="shared" si="522"/>
        <v/>
      </c>
      <c r="BA759" s="21" t="str">
        <f t="shared" si="523"/>
        <v>Apprenant 747</v>
      </c>
      <c r="BB759" s="49" t="str">
        <f t="shared" si="495"/>
        <v/>
      </c>
      <c r="BC759" s="49" t="str">
        <f t="shared" si="496"/>
        <v/>
      </c>
      <c r="BD759" s="49" t="str">
        <f t="shared" si="497"/>
        <v/>
      </c>
      <c r="BE759" s="22" t="str">
        <f t="shared" si="524"/>
        <v/>
      </c>
      <c r="BF759" s="21" t="str">
        <f t="shared" si="525"/>
        <v>Apprenant 747 ou 747'</v>
      </c>
      <c r="BG759" s="49" t="str">
        <f t="shared" si="498"/>
        <v/>
      </c>
      <c r="BH759" s="49" t="str">
        <f t="shared" si="499"/>
        <v/>
      </c>
      <c r="BI759" s="49" t="str">
        <f t="shared" si="500"/>
        <v/>
      </c>
      <c r="BJ759" s="22" t="str">
        <f t="shared" si="526"/>
        <v/>
      </c>
      <c r="BL759" s="21"/>
      <c r="BM759" s="21" t="str">
        <f>IF(OR(COUNT(B759:D1758)=0,AND('Choix pédagogiques'!$C$3&lt;&gt;1,'Choix pédagogiques'!$C$3&lt;&gt;2)),"",IF(AND(OR('Choix pédagogiques'!$C$3=1,'Choix pédagogiques'!$C$3=2),$B759&lt;&gt;"",$C759&lt;&gt;"",$D759&lt;&gt;""),1,0))</f>
        <v/>
      </c>
      <c r="BN759" s="21" t="str">
        <f>IF(OR(COUNT(G759:I1758)=0,AND('Choix pédagogiques'!$C$3&lt;&gt;1,'Choix pédagogiques'!$C$3&lt;&gt;2)),"",IF(AND(OR('Choix pédagogiques'!$C$3=1,'Choix pédagogiques'!$C$3=2),AND($G759&lt;&gt;"",$H759&lt;&gt;"",$I759&lt;&gt;"")),1,0))</f>
        <v/>
      </c>
      <c r="BO759" s="21" t="str">
        <f>IF(OR(COUNT(B759:D1758)=0,COUNT(G759:I1758)=0,'Choix pédagogiques'!C$3&lt;&gt;3),"",IF(AND('Choix pédagogiques'!$C$3=3,$B759&lt;&gt;"",$C759&lt;&gt;"",$D759&lt;&gt;"",$G759&lt;&gt;"",$H759&lt;&gt;"",$I759&lt;&gt;""),1,0))</f>
        <v/>
      </c>
      <c r="BR759" s="21">
        <v>660</v>
      </c>
      <c r="BS759" s="21">
        <v>1628</v>
      </c>
      <c r="BT759"/>
    </row>
    <row r="760" spans="1:72" s="23" customFormat="1" ht="18" customHeight="1" x14ac:dyDescent="0.3">
      <c r="A760" s="35" t="s">
        <v>750</v>
      </c>
      <c r="B760" s="37"/>
      <c r="C760" s="37"/>
      <c r="D760" s="37"/>
      <c r="E760" s="37"/>
      <c r="F760" s="35" t="s">
        <v>1758</v>
      </c>
      <c r="G760" s="37"/>
      <c r="H760" s="37"/>
      <c r="I760" s="37"/>
      <c r="J760" s="37"/>
      <c r="K760" s="21" t="str">
        <f t="shared" si="501"/>
        <v>Apprenant 748</v>
      </c>
      <c r="L760" s="22" t="str">
        <f t="shared" si="502"/>
        <v/>
      </c>
      <c r="M760" s="22" t="str">
        <f t="shared" si="503"/>
        <v/>
      </c>
      <c r="N760" s="22" t="str">
        <f t="shared" si="504"/>
        <v/>
      </c>
      <c r="O760" s="22" t="str">
        <f t="shared" si="505"/>
        <v/>
      </c>
      <c r="P760" s="21" t="str">
        <f t="shared" si="506"/>
        <v>Apprenant 748 ou 748'</v>
      </c>
      <c r="Q760" s="22" t="str">
        <f t="shared" si="507"/>
        <v/>
      </c>
      <c r="R760" s="22" t="str">
        <f t="shared" si="508"/>
        <v/>
      </c>
      <c r="S760" s="22" t="str">
        <f t="shared" si="509"/>
        <v/>
      </c>
      <c r="T760" s="22" t="str">
        <f t="shared" si="510"/>
        <v/>
      </c>
      <c r="V760" s="21" t="str">
        <f t="shared" si="511"/>
        <v>Apprenant 748</v>
      </c>
      <c r="W760" s="22" t="str">
        <f>IF(AND(OR('Choix pédagogiques'!$C$3=1,'Choix pédagogiques'!$C$3=2),$BM760=1),B760,IF(AND('Choix pédagogiques'!$C$3=3,$BO760=1),B760,""))</f>
        <v/>
      </c>
      <c r="X760" s="22" t="str">
        <f>IF(AND(OR('Choix pédagogiques'!$C$3=1,'Choix pédagogiques'!$C$3=2),$BM760=1),C760,IF(AND('Choix pédagogiques'!$C$3=3,$BO760=1),C760,""))</f>
        <v/>
      </c>
      <c r="Y760" s="22" t="str">
        <f>IF(AND(OR('Choix pédagogiques'!$C$3=1,'Choix pédagogiques'!$C$3=2),$BM760=1),D760,IF(AND('Choix pédagogiques'!$C$3=3,$BO760=1),D760,""))</f>
        <v/>
      </c>
      <c r="Z760" s="22" t="str">
        <f t="shared" si="512"/>
        <v/>
      </c>
      <c r="AA760" s="21" t="str">
        <f t="shared" si="513"/>
        <v>Apprenant 748 ou 748'</v>
      </c>
      <c r="AB760" s="22" t="str">
        <f>IF(AND(OR('Choix pédagogiques'!$C$3=1,'Choix pédagogiques'!$C$3=2),$BN760=1),G760,IF(AND('Choix pédagogiques'!$C$3=3,$BO760=1),G760,""))</f>
        <v/>
      </c>
      <c r="AC760" s="22" t="str">
        <f>IF(AND(OR('Choix pédagogiques'!$C$3=1,'Choix pédagogiques'!$C$3=2),$BN760=1),H760,IF(AND('Choix pédagogiques'!$C$3=3,$BO760=1),H760,""))</f>
        <v/>
      </c>
      <c r="AD760" s="22" t="str">
        <f>IF(AND(OR('Choix pédagogiques'!$C$3=1,'Choix pédagogiques'!$C$3=2),$BN760=1),I760,IF(AND('Choix pédagogiques'!$C$3=3,$BO760=1),I760,""))</f>
        <v/>
      </c>
      <c r="AE760" s="22" t="str">
        <f t="shared" si="514"/>
        <v/>
      </c>
      <c r="AF760" s="21" t="str">
        <f t="shared" si="515"/>
        <v>Apprenant 748</v>
      </c>
      <c r="AG760" s="22" t="str">
        <f t="shared" si="489"/>
        <v/>
      </c>
      <c r="AH760" s="22" t="str">
        <f t="shared" si="490"/>
        <v/>
      </c>
      <c r="AI760" s="22" t="str">
        <f t="shared" si="491"/>
        <v/>
      </c>
      <c r="AJ760" s="22" t="str">
        <f t="shared" si="516"/>
        <v/>
      </c>
      <c r="AK760" s="21" t="str">
        <f t="shared" si="517"/>
        <v>Apprenant 748 ou 748'</v>
      </c>
      <c r="AL760" s="22" t="str">
        <f t="shared" si="492"/>
        <v/>
      </c>
      <c r="AM760" s="22" t="str">
        <f t="shared" si="493"/>
        <v/>
      </c>
      <c r="AN760" s="22" t="str">
        <f t="shared" si="494"/>
        <v/>
      </c>
      <c r="AO760" s="22" t="str">
        <f t="shared" si="518"/>
        <v/>
      </c>
      <c r="AQ760" s="21" t="str">
        <f t="shared" si="519"/>
        <v>Apprenant 748</v>
      </c>
      <c r="AR760" s="49" t="str">
        <f>IF(AND('Choix pédagogiques'!$C$4&lt;&gt;"?",'Choix pédagogiques'!$C$5&lt;&gt;"?",W760&lt;&gt;""),(W760-'Choix pédagogiques'!$C$4)/('Choix pédagogiques'!$C$5-'Choix pédagogiques'!$C$4),"")</f>
        <v/>
      </c>
      <c r="AS760" s="49" t="str">
        <f>IF(AND('Choix pédagogiques'!$C$4&lt;&gt;"?",'Choix pédagogiques'!$C$5&lt;&gt;"?",X760&lt;&gt;""),(X760-'Choix pédagogiques'!$C$4)/('Choix pédagogiques'!$C$5-'Choix pédagogiques'!$C$4),"")</f>
        <v/>
      </c>
      <c r="AT760" s="49" t="str">
        <f>IF(AND('Choix pédagogiques'!$C$4&lt;&gt;"?",'Choix pédagogiques'!$C$5&lt;&gt;"?",Y760&lt;&gt;""),(Y760-'Choix pédagogiques'!$C$4)/('Choix pédagogiques'!$C$5-'Choix pédagogiques'!$C$4),"")</f>
        <v/>
      </c>
      <c r="AU760" s="22" t="str">
        <f t="shared" si="520"/>
        <v/>
      </c>
      <c r="AV760" s="21" t="str">
        <f t="shared" si="521"/>
        <v>Apprenant 748 ou 748'</v>
      </c>
      <c r="AW760" s="49" t="str">
        <f>IF(AND('Choix pédagogiques'!$C$4&lt;&gt;"?",'Choix pédagogiques'!$C$5&lt;&gt;"?",AB760&lt;&gt;""),(AB760-'Choix pédagogiques'!$C$4)/('Choix pédagogiques'!$C$5-'Choix pédagogiques'!$C$4),"")</f>
        <v/>
      </c>
      <c r="AX760" s="49" t="str">
        <f>IF(AND('Choix pédagogiques'!$C$4&lt;&gt;"?",'Choix pédagogiques'!$C$5&lt;&gt;"?",AC760&lt;&gt;""),(AC760-'Choix pédagogiques'!$C$4)/('Choix pédagogiques'!$C$5-'Choix pédagogiques'!$C$4),"")</f>
        <v/>
      </c>
      <c r="AY760" s="49" t="str">
        <f>IF(AND('Choix pédagogiques'!$C$4&lt;&gt;"?",'Choix pédagogiques'!$C$5&lt;&gt;"?",AD760&lt;&gt;""),(AD760-'Choix pédagogiques'!$C$4)/('Choix pédagogiques'!$C$5-'Choix pédagogiques'!$C$4),"")</f>
        <v/>
      </c>
      <c r="AZ760" s="22" t="str">
        <f t="shared" si="522"/>
        <v/>
      </c>
      <c r="BA760" s="21" t="str">
        <f t="shared" si="523"/>
        <v>Apprenant 748</v>
      </c>
      <c r="BB760" s="49" t="str">
        <f t="shared" si="495"/>
        <v/>
      </c>
      <c r="BC760" s="49" t="str">
        <f t="shared" si="496"/>
        <v/>
      </c>
      <c r="BD760" s="49" t="str">
        <f t="shared" si="497"/>
        <v/>
      </c>
      <c r="BE760" s="22" t="str">
        <f t="shared" si="524"/>
        <v/>
      </c>
      <c r="BF760" s="21" t="str">
        <f t="shared" si="525"/>
        <v>Apprenant 748 ou 748'</v>
      </c>
      <c r="BG760" s="49" t="str">
        <f t="shared" si="498"/>
        <v/>
      </c>
      <c r="BH760" s="49" t="str">
        <f t="shared" si="499"/>
        <v/>
      </c>
      <c r="BI760" s="49" t="str">
        <f t="shared" si="500"/>
        <v/>
      </c>
      <c r="BJ760" s="22" t="str">
        <f t="shared" si="526"/>
        <v/>
      </c>
      <c r="BL760" s="21"/>
      <c r="BM760" s="21" t="str">
        <f>IF(OR(COUNT(B760:D1759)=0,AND('Choix pédagogiques'!$C$3&lt;&gt;1,'Choix pédagogiques'!$C$3&lt;&gt;2)),"",IF(AND(OR('Choix pédagogiques'!$C$3=1,'Choix pédagogiques'!$C$3=2),$B760&lt;&gt;"",$C760&lt;&gt;"",$D760&lt;&gt;""),1,0))</f>
        <v/>
      </c>
      <c r="BN760" s="21" t="str">
        <f>IF(OR(COUNT(G760:I1759)=0,AND('Choix pédagogiques'!$C$3&lt;&gt;1,'Choix pédagogiques'!$C$3&lt;&gt;2)),"",IF(AND(OR('Choix pédagogiques'!$C$3=1,'Choix pédagogiques'!$C$3=2),AND($G760&lt;&gt;"",$H760&lt;&gt;"",$I760&lt;&gt;"")),1,0))</f>
        <v/>
      </c>
      <c r="BO760" s="21" t="str">
        <f>IF(OR(COUNT(B760:D1759)=0,COUNT(G760:I1759)=0,'Choix pédagogiques'!C$3&lt;&gt;3),"",IF(AND('Choix pédagogiques'!$C$3=3,$B760&lt;&gt;"",$C760&lt;&gt;"",$D760&lt;&gt;"",$G760&lt;&gt;"",$H760&lt;&gt;"",$I760&lt;&gt;""),1,0))</f>
        <v/>
      </c>
      <c r="BR760" s="21">
        <v>179</v>
      </c>
      <c r="BS760" s="21">
        <v>1594</v>
      </c>
      <c r="BT760"/>
    </row>
    <row r="761" spans="1:72" s="23" customFormat="1" ht="18" customHeight="1" x14ac:dyDescent="0.3">
      <c r="A761" s="35" t="s">
        <v>751</v>
      </c>
      <c r="B761" s="37"/>
      <c r="C761" s="37"/>
      <c r="D761" s="37"/>
      <c r="E761" s="37"/>
      <c r="F761" s="35" t="s">
        <v>1759</v>
      </c>
      <c r="G761" s="37"/>
      <c r="H761" s="37"/>
      <c r="I761" s="37"/>
      <c r="J761" s="37"/>
      <c r="K761" s="21" t="str">
        <f t="shared" si="501"/>
        <v>Apprenant 749</v>
      </c>
      <c r="L761" s="22" t="str">
        <f t="shared" si="502"/>
        <v/>
      </c>
      <c r="M761" s="22" t="str">
        <f t="shared" si="503"/>
        <v/>
      </c>
      <c r="N761" s="22" t="str">
        <f t="shared" si="504"/>
        <v/>
      </c>
      <c r="O761" s="22" t="str">
        <f t="shared" si="505"/>
        <v/>
      </c>
      <c r="P761" s="21" t="str">
        <f t="shared" si="506"/>
        <v>Apprenant 749 ou 749'</v>
      </c>
      <c r="Q761" s="22" t="str">
        <f t="shared" si="507"/>
        <v/>
      </c>
      <c r="R761" s="22" t="str">
        <f t="shared" si="508"/>
        <v/>
      </c>
      <c r="S761" s="22" t="str">
        <f t="shared" si="509"/>
        <v/>
      </c>
      <c r="T761" s="22" t="str">
        <f t="shared" si="510"/>
        <v/>
      </c>
      <c r="V761" s="21" t="str">
        <f t="shared" si="511"/>
        <v>Apprenant 749</v>
      </c>
      <c r="W761" s="22" t="str">
        <f>IF(AND(OR('Choix pédagogiques'!$C$3=1,'Choix pédagogiques'!$C$3=2),$BM761=1),B761,IF(AND('Choix pédagogiques'!$C$3=3,$BO761=1),B761,""))</f>
        <v/>
      </c>
      <c r="X761" s="22" t="str">
        <f>IF(AND(OR('Choix pédagogiques'!$C$3=1,'Choix pédagogiques'!$C$3=2),$BM761=1),C761,IF(AND('Choix pédagogiques'!$C$3=3,$BO761=1),C761,""))</f>
        <v/>
      </c>
      <c r="Y761" s="22" t="str">
        <f>IF(AND(OR('Choix pédagogiques'!$C$3=1,'Choix pédagogiques'!$C$3=2),$BM761=1),D761,IF(AND('Choix pédagogiques'!$C$3=3,$BO761=1),D761,""))</f>
        <v/>
      </c>
      <c r="Z761" s="22" t="str">
        <f t="shared" si="512"/>
        <v/>
      </c>
      <c r="AA761" s="21" t="str">
        <f t="shared" si="513"/>
        <v>Apprenant 749 ou 749'</v>
      </c>
      <c r="AB761" s="22" t="str">
        <f>IF(AND(OR('Choix pédagogiques'!$C$3=1,'Choix pédagogiques'!$C$3=2),$BN761=1),G761,IF(AND('Choix pédagogiques'!$C$3=3,$BO761=1),G761,""))</f>
        <v/>
      </c>
      <c r="AC761" s="22" t="str">
        <f>IF(AND(OR('Choix pédagogiques'!$C$3=1,'Choix pédagogiques'!$C$3=2),$BN761=1),H761,IF(AND('Choix pédagogiques'!$C$3=3,$BO761=1),H761,""))</f>
        <v/>
      </c>
      <c r="AD761" s="22" t="str">
        <f>IF(AND(OR('Choix pédagogiques'!$C$3=1,'Choix pédagogiques'!$C$3=2),$BN761=1),I761,IF(AND('Choix pédagogiques'!$C$3=3,$BO761=1),I761,""))</f>
        <v/>
      </c>
      <c r="AE761" s="22" t="str">
        <f t="shared" si="514"/>
        <v/>
      </c>
      <c r="AF761" s="21" t="str">
        <f t="shared" si="515"/>
        <v>Apprenant 749</v>
      </c>
      <c r="AG761" s="22" t="str">
        <f t="shared" si="489"/>
        <v/>
      </c>
      <c r="AH761" s="22" t="str">
        <f t="shared" si="490"/>
        <v/>
      </c>
      <c r="AI761" s="22" t="str">
        <f t="shared" si="491"/>
        <v/>
      </c>
      <c r="AJ761" s="22" t="str">
        <f t="shared" si="516"/>
        <v/>
      </c>
      <c r="AK761" s="21" t="str">
        <f t="shared" si="517"/>
        <v>Apprenant 749 ou 749'</v>
      </c>
      <c r="AL761" s="22" t="str">
        <f t="shared" si="492"/>
        <v/>
      </c>
      <c r="AM761" s="22" t="str">
        <f t="shared" si="493"/>
        <v/>
      </c>
      <c r="AN761" s="22" t="str">
        <f t="shared" si="494"/>
        <v/>
      </c>
      <c r="AO761" s="22" t="str">
        <f t="shared" si="518"/>
        <v/>
      </c>
      <c r="AQ761" s="21" t="str">
        <f t="shared" si="519"/>
        <v>Apprenant 749</v>
      </c>
      <c r="AR761" s="49" t="str">
        <f>IF(AND('Choix pédagogiques'!$C$4&lt;&gt;"?",'Choix pédagogiques'!$C$5&lt;&gt;"?",W761&lt;&gt;""),(W761-'Choix pédagogiques'!$C$4)/('Choix pédagogiques'!$C$5-'Choix pédagogiques'!$C$4),"")</f>
        <v/>
      </c>
      <c r="AS761" s="49" t="str">
        <f>IF(AND('Choix pédagogiques'!$C$4&lt;&gt;"?",'Choix pédagogiques'!$C$5&lt;&gt;"?",X761&lt;&gt;""),(X761-'Choix pédagogiques'!$C$4)/('Choix pédagogiques'!$C$5-'Choix pédagogiques'!$C$4),"")</f>
        <v/>
      </c>
      <c r="AT761" s="49" t="str">
        <f>IF(AND('Choix pédagogiques'!$C$4&lt;&gt;"?",'Choix pédagogiques'!$C$5&lt;&gt;"?",Y761&lt;&gt;""),(Y761-'Choix pédagogiques'!$C$4)/('Choix pédagogiques'!$C$5-'Choix pédagogiques'!$C$4),"")</f>
        <v/>
      </c>
      <c r="AU761" s="22" t="str">
        <f t="shared" si="520"/>
        <v/>
      </c>
      <c r="AV761" s="21" t="str">
        <f t="shared" si="521"/>
        <v>Apprenant 749 ou 749'</v>
      </c>
      <c r="AW761" s="49" t="str">
        <f>IF(AND('Choix pédagogiques'!$C$4&lt;&gt;"?",'Choix pédagogiques'!$C$5&lt;&gt;"?",AB761&lt;&gt;""),(AB761-'Choix pédagogiques'!$C$4)/('Choix pédagogiques'!$C$5-'Choix pédagogiques'!$C$4),"")</f>
        <v/>
      </c>
      <c r="AX761" s="49" t="str">
        <f>IF(AND('Choix pédagogiques'!$C$4&lt;&gt;"?",'Choix pédagogiques'!$C$5&lt;&gt;"?",AC761&lt;&gt;""),(AC761-'Choix pédagogiques'!$C$4)/('Choix pédagogiques'!$C$5-'Choix pédagogiques'!$C$4),"")</f>
        <v/>
      </c>
      <c r="AY761" s="49" t="str">
        <f>IF(AND('Choix pédagogiques'!$C$4&lt;&gt;"?",'Choix pédagogiques'!$C$5&lt;&gt;"?",AD761&lt;&gt;""),(AD761-'Choix pédagogiques'!$C$4)/('Choix pédagogiques'!$C$5-'Choix pédagogiques'!$C$4),"")</f>
        <v/>
      </c>
      <c r="AZ761" s="22" t="str">
        <f t="shared" si="522"/>
        <v/>
      </c>
      <c r="BA761" s="21" t="str">
        <f t="shared" si="523"/>
        <v>Apprenant 749</v>
      </c>
      <c r="BB761" s="49" t="str">
        <f t="shared" si="495"/>
        <v/>
      </c>
      <c r="BC761" s="49" t="str">
        <f t="shared" si="496"/>
        <v/>
      </c>
      <c r="BD761" s="49" t="str">
        <f t="shared" si="497"/>
        <v/>
      </c>
      <c r="BE761" s="22" t="str">
        <f t="shared" si="524"/>
        <v/>
      </c>
      <c r="BF761" s="21" t="str">
        <f t="shared" si="525"/>
        <v>Apprenant 749 ou 749'</v>
      </c>
      <c r="BG761" s="49" t="str">
        <f t="shared" si="498"/>
        <v/>
      </c>
      <c r="BH761" s="49" t="str">
        <f t="shared" si="499"/>
        <v/>
      </c>
      <c r="BI761" s="49" t="str">
        <f t="shared" si="500"/>
        <v/>
      </c>
      <c r="BJ761" s="22" t="str">
        <f t="shared" si="526"/>
        <v/>
      </c>
      <c r="BL761" s="21"/>
      <c r="BM761" s="21" t="str">
        <f>IF(OR(COUNT(B761:D1760)=0,AND('Choix pédagogiques'!$C$3&lt;&gt;1,'Choix pédagogiques'!$C$3&lt;&gt;2)),"",IF(AND(OR('Choix pédagogiques'!$C$3=1,'Choix pédagogiques'!$C$3=2),$B761&lt;&gt;"",$C761&lt;&gt;"",$D761&lt;&gt;""),1,0))</f>
        <v/>
      </c>
      <c r="BN761" s="21" t="str">
        <f>IF(OR(COUNT(G761:I1760)=0,AND('Choix pédagogiques'!$C$3&lt;&gt;1,'Choix pédagogiques'!$C$3&lt;&gt;2)),"",IF(AND(OR('Choix pédagogiques'!$C$3=1,'Choix pédagogiques'!$C$3=2),AND($G761&lt;&gt;"",$H761&lt;&gt;"",$I761&lt;&gt;"")),1,0))</f>
        <v/>
      </c>
      <c r="BO761" s="21" t="str">
        <f>IF(OR(COUNT(B761:D1760)=0,COUNT(G761:I1760)=0,'Choix pédagogiques'!C$3&lt;&gt;3),"",IF(AND('Choix pédagogiques'!$C$3=3,$B761&lt;&gt;"",$C761&lt;&gt;"",$D761&lt;&gt;"",$G761&lt;&gt;"",$H761&lt;&gt;"",$I761&lt;&gt;""),1,0))</f>
        <v/>
      </c>
      <c r="BR761" s="21">
        <v>941</v>
      </c>
      <c r="BS761" s="21">
        <v>1446</v>
      </c>
      <c r="BT761"/>
    </row>
    <row r="762" spans="1:72" s="23" customFormat="1" ht="18" customHeight="1" x14ac:dyDescent="0.3">
      <c r="A762" s="35" t="s">
        <v>752</v>
      </c>
      <c r="B762" s="37"/>
      <c r="C762" s="37"/>
      <c r="D762" s="37"/>
      <c r="E762" s="37"/>
      <c r="F762" s="35" t="s">
        <v>1760</v>
      </c>
      <c r="G762" s="37"/>
      <c r="H762" s="37"/>
      <c r="I762" s="37"/>
      <c r="J762" s="37"/>
      <c r="K762" s="21" t="str">
        <f t="shared" si="501"/>
        <v>Apprenant 750</v>
      </c>
      <c r="L762" s="22" t="str">
        <f t="shared" si="502"/>
        <v/>
      </c>
      <c r="M762" s="22" t="str">
        <f t="shared" si="503"/>
        <v/>
      </c>
      <c r="N762" s="22" t="str">
        <f t="shared" si="504"/>
        <v/>
      </c>
      <c r="O762" s="22" t="str">
        <f t="shared" si="505"/>
        <v/>
      </c>
      <c r="P762" s="21" t="str">
        <f t="shared" si="506"/>
        <v>Apprenant 750 ou 750'</v>
      </c>
      <c r="Q762" s="22" t="str">
        <f t="shared" si="507"/>
        <v/>
      </c>
      <c r="R762" s="22" t="str">
        <f t="shared" si="508"/>
        <v/>
      </c>
      <c r="S762" s="22" t="str">
        <f t="shared" si="509"/>
        <v/>
      </c>
      <c r="T762" s="22" t="str">
        <f t="shared" si="510"/>
        <v/>
      </c>
      <c r="V762" s="21" t="str">
        <f t="shared" si="511"/>
        <v>Apprenant 750</v>
      </c>
      <c r="W762" s="22" t="str">
        <f>IF(AND(OR('Choix pédagogiques'!$C$3=1,'Choix pédagogiques'!$C$3=2),$BM762=1),B762,IF(AND('Choix pédagogiques'!$C$3=3,$BO762=1),B762,""))</f>
        <v/>
      </c>
      <c r="X762" s="22" t="str">
        <f>IF(AND(OR('Choix pédagogiques'!$C$3=1,'Choix pédagogiques'!$C$3=2),$BM762=1),C762,IF(AND('Choix pédagogiques'!$C$3=3,$BO762=1),C762,""))</f>
        <v/>
      </c>
      <c r="Y762" s="22" t="str">
        <f>IF(AND(OR('Choix pédagogiques'!$C$3=1,'Choix pédagogiques'!$C$3=2),$BM762=1),D762,IF(AND('Choix pédagogiques'!$C$3=3,$BO762=1),D762,""))</f>
        <v/>
      </c>
      <c r="Z762" s="22" t="str">
        <f t="shared" si="512"/>
        <v/>
      </c>
      <c r="AA762" s="21" t="str">
        <f t="shared" si="513"/>
        <v>Apprenant 750 ou 750'</v>
      </c>
      <c r="AB762" s="22" t="str">
        <f>IF(AND(OR('Choix pédagogiques'!$C$3=1,'Choix pédagogiques'!$C$3=2),$BN762=1),G762,IF(AND('Choix pédagogiques'!$C$3=3,$BO762=1),G762,""))</f>
        <v/>
      </c>
      <c r="AC762" s="22" t="str">
        <f>IF(AND(OR('Choix pédagogiques'!$C$3=1,'Choix pédagogiques'!$C$3=2),$BN762=1),H762,IF(AND('Choix pédagogiques'!$C$3=3,$BO762=1),H762,""))</f>
        <v/>
      </c>
      <c r="AD762" s="22" t="str">
        <f>IF(AND(OR('Choix pédagogiques'!$C$3=1,'Choix pédagogiques'!$C$3=2),$BN762=1),I762,IF(AND('Choix pédagogiques'!$C$3=3,$BO762=1),I762,""))</f>
        <v/>
      </c>
      <c r="AE762" s="22" t="str">
        <f t="shared" si="514"/>
        <v/>
      </c>
      <c r="AF762" s="21" t="str">
        <f t="shared" si="515"/>
        <v>Apprenant 750</v>
      </c>
      <c r="AG762" s="22" t="str">
        <f t="shared" si="489"/>
        <v/>
      </c>
      <c r="AH762" s="22" t="str">
        <f t="shared" si="490"/>
        <v/>
      </c>
      <c r="AI762" s="22" t="str">
        <f t="shared" si="491"/>
        <v/>
      </c>
      <c r="AJ762" s="22" t="str">
        <f t="shared" si="516"/>
        <v/>
      </c>
      <c r="AK762" s="21" t="str">
        <f t="shared" si="517"/>
        <v>Apprenant 750 ou 750'</v>
      </c>
      <c r="AL762" s="22" t="str">
        <f t="shared" si="492"/>
        <v/>
      </c>
      <c r="AM762" s="22" t="str">
        <f t="shared" si="493"/>
        <v/>
      </c>
      <c r="AN762" s="22" t="str">
        <f t="shared" si="494"/>
        <v/>
      </c>
      <c r="AO762" s="22" t="str">
        <f t="shared" si="518"/>
        <v/>
      </c>
      <c r="AQ762" s="21" t="str">
        <f t="shared" si="519"/>
        <v>Apprenant 750</v>
      </c>
      <c r="AR762" s="49" t="str">
        <f>IF(AND('Choix pédagogiques'!$C$4&lt;&gt;"?",'Choix pédagogiques'!$C$5&lt;&gt;"?",W762&lt;&gt;""),(W762-'Choix pédagogiques'!$C$4)/('Choix pédagogiques'!$C$5-'Choix pédagogiques'!$C$4),"")</f>
        <v/>
      </c>
      <c r="AS762" s="49" t="str">
        <f>IF(AND('Choix pédagogiques'!$C$4&lt;&gt;"?",'Choix pédagogiques'!$C$5&lt;&gt;"?",X762&lt;&gt;""),(X762-'Choix pédagogiques'!$C$4)/('Choix pédagogiques'!$C$5-'Choix pédagogiques'!$C$4),"")</f>
        <v/>
      </c>
      <c r="AT762" s="49" t="str">
        <f>IF(AND('Choix pédagogiques'!$C$4&lt;&gt;"?",'Choix pédagogiques'!$C$5&lt;&gt;"?",Y762&lt;&gt;""),(Y762-'Choix pédagogiques'!$C$4)/('Choix pédagogiques'!$C$5-'Choix pédagogiques'!$C$4),"")</f>
        <v/>
      </c>
      <c r="AU762" s="22" t="str">
        <f t="shared" si="520"/>
        <v/>
      </c>
      <c r="AV762" s="21" t="str">
        <f t="shared" si="521"/>
        <v>Apprenant 750 ou 750'</v>
      </c>
      <c r="AW762" s="49" t="str">
        <f>IF(AND('Choix pédagogiques'!$C$4&lt;&gt;"?",'Choix pédagogiques'!$C$5&lt;&gt;"?",AB762&lt;&gt;""),(AB762-'Choix pédagogiques'!$C$4)/('Choix pédagogiques'!$C$5-'Choix pédagogiques'!$C$4),"")</f>
        <v/>
      </c>
      <c r="AX762" s="49" t="str">
        <f>IF(AND('Choix pédagogiques'!$C$4&lt;&gt;"?",'Choix pédagogiques'!$C$5&lt;&gt;"?",AC762&lt;&gt;""),(AC762-'Choix pédagogiques'!$C$4)/('Choix pédagogiques'!$C$5-'Choix pédagogiques'!$C$4),"")</f>
        <v/>
      </c>
      <c r="AY762" s="49" t="str">
        <f>IF(AND('Choix pédagogiques'!$C$4&lt;&gt;"?",'Choix pédagogiques'!$C$5&lt;&gt;"?",AD762&lt;&gt;""),(AD762-'Choix pédagogiques'!$C$4)/('Choix pédagogiques'!$C$5-'Choix pédagogiques'!$C$4),"")</f>
        <v/>
      </c>
      <c r="AZ762" s="22" t="str">
        <f t="shared" si="522"/>
        <v/>
      </c>
      <c r="BA762" s="21" t="str">
        <f t="shared" si="523"/>
        <v>Apprenant 750</v>
      </c>
      <c r="BB762" s="49" t="str">
        <f t="shared" si="495"/>
        <v/>
      </c>
      <c r="BC762" s="49" t="str">
        <f t="shared" si="496"/>
        <v/>
      </c>
      <c r="BD762" s="49" t="str">
        <f t="shared" si="497"/>
        <v/>
      </c>
      <c r="BE762" s="22" t="str">
        <f t="shared" si="524"/>
        <v/>
      </c>
      <c r="BF762" s="21" t="str">
        <f t="shared" si="525"/>
        <v>Apprenant 750 ou 750'</v>
      </c>
      <c r="BG762" s="49" t="str">
        <f t="shared" si="498"/>
        <v/>
      </c>
      <c r="BH762" s="49" t="str">
        <f t="shared" si="499"/>
        <v/>
      </c>
      <c r="BI762" s="49" t="str">
        <f t="shared" si="500"/>
        <v/>
      </c>
      <c r="BJ762" s="22" t="str">
        <f t="shared" si="526"/>
        <v/>
      </c>
      <c r="BL762" s="21"/>
      <c r="BM762" s="21" t="str">
        <f>IF(OR(COUNT(B762:D1761)=0,AND('Choix pédagogiques'!$C$3&lt;&gt;1,'Choix pédagogiques'!$C$3&lt;&gt;2)),"",IF(AND(OR('Choix pédagogiques'!$C$3=1,'Choix pédagogiques'!$C$3=2),$B762&lt;&gt;"",$C762&lt;&gt;"",$D762&lt;&gt;""),1,0))</f>
        <v/>
      </c>
      <c r="BN762" s="21" t="str">
        <f>IF(OR(COUNT(G762:I1761)=0,AND('Choix pédagogiques'!$C$3&lt;&gt;1,'Choix pédagogiques'!$C$3&lt;&gt;2)),"",IF(AND(OR('Choix pédagogiques'!$C$3=1,'Choix pédagogiques'!$C$3=2),AND($G762&lt;&gt;"",$H762&lt;&gt;"",$I762&lt;&gt;"")),1,0))</f>
        <v/>
      </c>
      <c r="BO762" s="21" t="str">
        <f>IF(OR(COUNT(B762:D1761)=0,COUNT(G762:I1761)=0,'Choix pédagogiques'!C$3&lt;&gt;3),"",IF(AND('Choix pédagogiques'!$C$3=3,$B762&lt;&gt;"",$C762&lt;&gt;"",$D762&lt;&gt;"",$G762&lt;&gt;"",$H762&lt;&gt;"",$I762&lt;&gt;""),1,0))</f>
        <v/>
      </c>
      <c r="BR762" s="21">
        <v>428</v>
      </c>
      <c r="BS762" s="21">
        <v>1683</v>
      </c>
      <c r="BT762"/>
    </row>
    <row r="763" spans="1:72" s="23" customFormat="1" ht="18" customHeight="1" x14ac:dyDescent="0.3">
      <c r="A763" s="35" t="s">
        <v>753</v>
      </c>
      <c r="B763" s="37"/>
      <c r="C763" s="37"/>
      <c r="D763" s="37"/>
      <c r="E763" s="37"/>
      <c r="F763" s="35" t="s">
        <v>1761</v>
      </c>
      <c r="G763" s="37"/>
      <c r="H763" s="37"/>
      <c r="I763" s="37"/>
      <c r="J763" s="37"/>
      <c r="K763" s="21" t="str">
        <f t="shared" si="501"/>
        <v>Apprenant 751</v>
      </c>
      <c r="L763" s="22" t="str">
        <f t="shared" si="502"/>
        <v/>
      </c>
      <c r="M763" s="22" t="str">
        <f t="shared" si="503"/>
        <v/>
      </c>
      <c r="N763" s="22" t="str">
        <f t="shared" si="504"/>
        <v/>
      </c>
      <c r="O763" s="22" t="str">
        <f t="shared" si="505"/>
        <v/>
      </c>
      <c r="P763" s="21" t="str">
        <f t="shared" si="506"/>
        <v>Apprenant 751 ou 751'</v>
      </c>
      <c r="Q763" s="22" t="str">
        <f t="shared" si="507"/>
        <v/>
      </c>
      <c r="R763" s="22" t="str">
        <f t="shared" si="508"/>
        <v/>
      </c>
      <c r="S763" s="22" t="str">
        <f t="shared" si="509"/>
        <v/>
      </c>
      <c r="T763" s="22" t="str">
        <f t="shared" si="510"/>
        <v/>
      </c>
      <c r="V763" s="21" t="str">
        <f t="shared" si="511"/>
        <v>Apprenant 751</v>
      </c>
      <c r="W763" s="22" t="str">
        <f>IF(AND(OR('Choix pédagogiques'!$C$3=1,'Choix pédagogiques'!$C$3=2),$BM763=1),B763,IF(AND('Choix pédagogiques'!$C$3=3,$BO763=1),B763,""))</f>
        <v/>
      </c>
      <c r="X763" s="22" t="str">
        <f>IF(AND(OR('Choix pédagogiques'!$C$3=1,'Choix pédagogiques'!$C$3=2),$BM763=1),C763,IF(AND('Choix pédagogiques'!$C$3=3,$BO763=1),C763,""))</f>
        <v/>
      </c>
      <c r="Y763" s="22" t="str">
        <f>IF(AND(OR('Choix pédagogiques'!$C$3=1,'Choix pédagogiques'!$C$3=2),$BM763=1),D763,IF(AND('Choix pédagogiques'!$C$3=3,$BO763=1),D763,""))</f>
        <v/>
      </c>
      <c r="Z763" s="22" t="str">
        <f t="shared" si="512"/>
        <v/>
      </c>
      <c r="AA763" s="21" t="str">
        <f t="shared" si="513"/>
        <v>Apprenant 751 ou 751'</v>
      </c>
      <c r="AB763" s="22" t="str">
        <f>IF(AND(OR('Choix pédagogiques'!$C$3=1,'Choix pédagogiques'!$C$3=2),$BN763=1),G763,IF(AND('Choix pédagogiques'!$C$3=3,$BO763=1),G763,""))</f>
        <v/>
      </c>
      <c r="AC763" s="22" t="str">
        <f>IF(AND(OR('Choix pédagogiques'!$C$3=1,'Choix pédagogiques'!$C$3=2),$BN763=1),H763,IF(AND('Choix pédagogiques'!$C$3=3,$BO763=1),H763,""))</f>
        <v/>
      </c>
      <c r="AD763" s="22" t="str">
        <f>IF(AND(OR('Choix pédagogiques'!$C$3=1,'Choix pédagogiques'!$C$3=2),$BN763=1),I763,IF(AND('Choix pédagogiques'!$C$3=3,$BO763=1),I763,""))</f>
        <v/>
      </c>
      <c r="AE763" s="22" t="str">
        <f t="shared" si="514"/>
        <v/>
      </c>
      <c r="AF763" s="21" t="str">
        <f t="shared" si="515"/>
        <v>Apprenant 751</v>
      </c>
      <c r="AG763" s="22" t="str">
        <f t="shared" si="489"/>
        <v/>
      </c>
      <c r="AH763" s="22" t="str">
        <f t="shared" si="490"/>
        <v/>
      </c>
      <c r="AI763" s="22" t="str">
        <f t="shared" si="491"/>
        <v/>
      </c>
      <c r="AJ763" s="22" t="str">
        <f t="shared" si="516"/>
        <v/>
      </c>
      <c r="AK763" s="21" t="str">
        <f t="shared" si="517"/>
        <v>Apprenant 751 ou 751'</v>
      </c>
      <c r="AL763" s="22" t="str">
        <f t="shared" si="492"/>
        <v/>
      </c>
      <c r="AM763" s="22" t="str">
        <f t="shared" si="493"/>
        <v/>
      </c>
      <c r="AN763" s="22" t="str">
        <f t="shared" si="494"/>
        <v/>
      </c>
      <c r="AO763" s="22" t="str">
        <f t="shared" si="518"/>
        <v/>
      </c>
      <c r="AQ763" s="21" t="str">
        <f t="shared" si="519"/>
        <v>Apprenant 751</v>
      </c>
      <c r="AR763" s="49" t="str">
        <f>IF(AND('Choix pédagogiques'!$C$4&lt;&gt;"?",'Choix pédagogiques'!$C$5&lt;&gt;"?",W763&lt;&gt;""),(W763-'Choix pédagogiques'!$C$4)/('Choix pédagogiques'!$C$5-'Choix pédagogiques'!$C$4),"")</f>
        <v/>
      </c>
      <c r="AS763" s="49" t="str">
        <f>IF(AND('Choix pédagogiques'!$C$4&lt;&gt;"?",'Choix pédagogiques'!$C$5&lt;&gt;"?",X763&lt;&gt;""),(X763-'Choix pédagogiques'!$C$4)/('Choix pédagogiques'!$C$5-'Choix pédagogiques'!$C$4),"")</f>
        <v/>
      </c>
      <c r="AT763" s="49" t="str">
        <f>IF(AND('Choix pédagogiques'!$C$4&lt;&gt;"?",'Choix pédagogiques'!$C$5&lt;&gt;"?",Y763&lt;&gt;""),(Y763-'Choix pédagogiques'!$C$4)/('Choix pédagogiques'!$C$5-'Choix pédagogiques'!$C$4),"")</f>
        <v/>
      </c>
      <c r="AU763" s="22" t="str">
        <f t="shared" si="520"/>
        <v/>
      </c>
      <c r="AV763" s="21" t="str">
        <f t="shared" si="521"/>
        <v>Apprenant 751 ou 751'</v>
      </c>
      <c r="AW763" s="49" t="str">
        <f>IF(AND('Choix pédagogiques'!$C$4&lt;&gt;"?",'Choix pédagogiques'!$C$5&lt;&gt;"?",AB763&lt;&gt;""),(AB763-'Choix pédagogiques'!$C$4)/('Choix pédagogiques'!$C$5-'Choix pédagogiques'!$C$4),"")</f>
        <v/>
      </c>
      <c r="AX763" s="49" t="str">
        <f>IF(AND('Choix pédagogiques'!$C$4&lt;&gt;"?",'Choix pédagogiques'!$C$5&lt;&gt;"?",AC763&lt;&gt;""),(AC763-'Choix pédagogiques'!$C$4)/('Choix pédagogiques'!$C$5-'Choix pédagogiques'!$C$4),"")</f>
        <v/>
      </c>
      <c r="AY763" s="49" t="str">
        <f>IF(AND('Choix pédagogiques'!$C$4&lt;&gt;"?",'Choix pédagogiques'!$C$5&lt;&gt;"?",AD763&lt;&gt;""),(AD763-'Choix pédagogiques'!$C$4)/('Choix pédagogiques'!$C$5-'Choix pédagogiques'!$C$4),"")</f>
        <v/>
      </c>
      <c r="AZ763" s="22" t="str">
        <f t="shared" si="522"/>
        <v/>
      </c>
      <c r="BA763" s="21" t="str">
        <f t="shared" si="523"/>
        <v>Apprenant 751</v>
      </c>
      <c r="BB763" s="49" t="str">
        <f t="shared" si="495"/>
        <v/>
      </c>
      <c r="BC763" s="49" t="str">
        <f t="shared" si="496"/>
        <v/>
      </c>
      <c r="BD763" s="49" t="str">
        <f t="shared" si="497"/>
        <v/>
      </c>
      <c r="BE763" s="22" t="str">
        <f t="shared" si="524"/>
        <v/>
      </c>
      <c r="BF763" s="21" t="str">
        <f t="shared" si="525"/>
        <v>Apprenant 751 ou 751'</v>
      </c>
      <c r="BG763" s="49" t="str">
        <f t="shared" si="498"/>
        <v/>
      </c>
      <c r="BH763" s="49" t="str">
        <f t="shared" si="499"/>
        <v/>
      </c>
      <c r="BI763" s="49" t="str">
        <f t="shared" si="500"/>
        <v/>
      </c>
      <c r="BJ763" s="22" t="str">
        <f t="shared" si="526"/>
        <v/>
      </c>
      <c r="BL763" s="21"/>
      <c r="BM763" s="21" t="str">
        <f>IF(OR(COUNT(B763:D1762)=0,AND('Choix pédagogiques'!$C$3&lt;&gt;1,'Choix pédagogiques'!$C$3&lt;&gt;2)),"",IF(AND(OR('Choix pédagogiques'!$C$3=1,'Choix pédagogiques'!$C$3=2),$B763&lt;&gt;"",$C763&lt;&gt;"",$D763&lt;&gt;""),1,0))</f>
        <v/>
      </c>
      <c r="BN763" s="21" t="str">
        <f>IF(OR(COUNT(G763:I1762)=0,AND('Choix pédagogiques'!$C$3&lt;&gt;1,'Choix pédagogiques'!$C$3&lt;&gt;2)),"",IF(AND(OR('Choix pédagogiques'!$C$3=1,'Choix pédagogiques'!$C$3=2),AND($G763&lt;&gt;"",$H763&lt;&gt;"",$I763&lt;&gt;"")),1,0))</f>
        <v/>
      </c>
      <c r="BO763" s="21" t="str">
        <f>IF(OR(COUNT(B763:D1762)=0,COUNT(G763:I1762)=0,'Choix pédagogiques'!C$3&lt;&gt;3),"",IF(AND('Choix pédagogiques'!$C$3=3,$B763&lt;&gt;"",$C763&lt;&gt;"",$D763&lt;&gt;"",$G763&lt;&gt;"",$H763&lt;&gt;"",$I763&lt;&gt;""),1,0))</f>
        <v/>
      </c>
      <c r="BR763" s="21">
        <v>303</v>
      </c>
      <c r="BS763" s="21">
        <v>1607</v>
      </c>
      <c r="BT763"/>
    </row>
    <row r="764" spans="1:72" s="23" customFormat="1" ht="18" customHeight="1" x14ac:dyDescent="0.3">
      <c r="A764" s="35" t="s">
        <v>754</v>
      </c>
      <c r="B764" s="37"/>
      <c r="C764" s="37"/>
      <c r="D764" s="37"/>
      <c r="E764" s="37"/>
      <c r="F764" s="35" t="s">
        <v>1762</v>
      </c>
      <c r="G764" s="37"/>
      <c r="H764" s="37"/>
      <c r="I764" s="37"/>
      <c r="J764" s="37"/>
      <c r="K764" s="21" t="str">
        <f t="shared" si="501"/>
        <v>Apprenant 752</v>
      </c>
      <c r="L764" s="22" t="str">
        <f t="shared" si="502"/>
        <v/>
      </c>
      <c r="M764" s="22" t="str">
        <f t="shared" si="503"/>
        <v/>
      </c>
      <c r="N764" s="22" t="str">
        <f t="shared" si="504"/>
        <v/>
      </c>
      <c r="O764" s="22" t="str">
        <f t="shared" si="505"/>
        <v/>
      </c>
      <c r="P764" s="21" t="str">
        <f t="shared" si="506"/>
        <v>Apprenant 752 ou 752'</v>
      </c>
      <c r="Q764" s="22" t="str">
        <f t="shared" si="507"/>
        <v/>
      </c>
      <c r="R764" s="22" t="str">
        <f t="shared" si="508"/>
        <v/>
      </c>
      <c r="S764" s="22" t="str">
        <f t="shared" si="509"/>
        <v/>
      </c>
      <c r="T764" s="22" t="str">
        <f t="shared" si="510"/>
        <v/>
      </c>
      <c r="V764" s="21" t="str">
        <f t="shared" si="511"/>
        <v>Apprenant 752</v>
      </c>
      <c r="W764" s="22" t="str">
        <f>IF(AND(OR('Choix pédagogiques'!$C$3=1,'Choix pédagogiques'!$C$3=2),$BM764=1),B764,IF(AND('Choix pédagogiques'!$C$3=3,$BO764=1),B764,""))</f>
        <v/>
      </c>
      <c r="X764" s="22" t="str">
        <f>IF(AND(OR('Choix pédagogiques'!$C$3=1,'Choix pédagogiques'!$C$3=2),$BM764=1),C764,IF(AND('Choix pédagogiques'!$C$3=3,$BO764=1),C764,""))</f>
        <v/>
      </c>
      <c r="Y764" s="22" t="str">
        <f>IF(AND(OR('Choix pédagogiques'!$C$3=1,'Choix pédagogiques'!$C$3=2),$BM764=1),D764,IF(AND('Choix pédagogiques'!$C$3=3,$BO764=1),D764,""))</f>
        <v/>
      </c>
      <c r="Z764" s="22" t="str">
        <f t="shared" si="512"/>
        <v/>
      </c>
      <c r="AA764" s="21" t="str">
        <f t="shared" si="513"/>
        <v>Apprenant 752 ou 752'</v>
      </c>
      <c r="AB764" s="22" t="str">
        <f>IF(AND(OR('Choix pédagogiques'!$C$3=1,'Choix pédagogiques'!$C$3=2),$BN764=1),G764,IF(AND('Choix pédagogiques'!$C$3=3,$BO764=1),G764,""))</f>
        <v/>
      </c>
      <c r="AC764" s="22" t="str">
        <f>IF(AND(OR('Choix pédagogiques'!$C$3=1,'Choix pédagogiques'!$C$3=2),$BN764=1),H764,IF(AND('Choix pédagogiques'!$C$3=3,$BO764=1),H764,""))</f>
        <v/>
      </c>
      <c r="AD764" s="22" t="str">
        <f>IF(AND(OR('Choix pédagogiques'!$C$3=1,'Choix pédagogiques'!$C$3=2),$BN764=1),I764,IF(AND('Choix pédagogiques'!$C$3=3,$BO764=1),I764,""))</f>
        <v/>
      </c>
      <c r="AE764" s="22" t="str">
        <f t="shared" si="514"/>
        <v/>
      </c>
      <c r="AF764" s="21" t="str">
        <f t="shared" si="515"/>
        <v>Apprenant 752</v>
      </c>
      <c r="AG764" s="22" t="str">
        <f t="shared" si="489"/>
        <v/>
      </c>
      <c r="AH764" s="22" t="str">
        <f t="shared" si="490"/>
        <v/>
      </c>
      <c r="AI764" s="22" t="str">
        <f t="shared" si="491"/>
        <v/>
      </c>
      <c r="AJ764" s="22" t="str">
        <f t="shared" si="516"/>
        <v/>
      </c>
      <c r="AK764" s="21" t="str">
        <f t="shared" si="517"/>
        <v>Apprenant 752 ou 752'</v>
      </c>
      <c r="AL764" s="22" t="str">
        <f t="shared" si="492"/>
        <v/>
      </c>
      <c r="AM764" s="22" t="str">
        <f t="shared" si="493"/>
        <v/>
      </c>
      <c r="AN764" s="22" t="str">
        <f t="shared" si="494"/>
        <v/>
      </c>
      <c r="AO764" s="22" t="str">
        <f t="shared" si="518"/>
        <v/>
      </c>
      <c r="AQ764" s="21" t="str">
        <f t="shared" si="519"/>
        <v>Apprenant 752</v>
      </c>
      <c r="AR764" s="49" t="str">
        <f>IF(AND('Choix pédagogiques'!$C$4&lt;&gt;"?",'Choix pédagogiques'!$C$5&lt;&gt;"?",W764&lt;&gt;""),(W764-'Choix pédagogiques'!$C$4)/('Choix pédagogiques'!$C$5-'Choix pédagogiques'!$C$4),"")</f>
        <v/>
      </c>
      <c r="AS764" s="49" t="str">
        <f>IF(AND('Choix pédagogiques'!$C$4&lt;&gt;"?",'Choix pédagogiques'!$C$5&lt;&gt;"?",X764&lt;&gt;""),(X764-'Choix pédagogiques'!$C$4)/('Choix pédagogiques'!$C$5-'Choix pédagogiques'!$C$4),"")</f>
        <v/>
      </c>
      <c r="AT764" s="49" t="str">
        <f>IF(AND('Choix pédagogiques'!$C$4&lt;&gt;"?",'Choix pédagogiques'!$C$5&lt;&gt;"?",Y764&lt;&gt;""),(Y764-'Choix pédagogiques'!$C$4)/('Choix pédagogiques'!$C$5-'Choix pédagogiques'!$C$4),"")</f>
        <v/>
      </c>
      <c r="AU764" s="22" t="str">
        <f t="shared" si="520"/>
        <v/>
      </c>
      <c r="AV764" s="21" t="str">
        <f t="shared" si="521"/>
        <v>Apprenant 752 ou 752'</v>
      </c>
      <c r="AW764" s="49" t="str">
        <f>IF(AND('Choix pédagogiques'!$C$4&lt;&gt;"?",'Choix pédagogiques'!$C$5&lt;&gt;"?",AB764&lt;&gt;""),(AB764-'Choix pédagogiques'!$C$4)/('Choix pédagogiques'!$C$5-'Choix pédagogiques'!$C$4),"")</f>
        <v/>
      </c>
      <c r="AX764" s="49" t="str">
        <f>IF(AND('Choix pédagogiques'!$C$4&lt;&gt;"?",'Choix pédagogiques'!$C$5&lt;&gt;"?",AC764&lt;&gt;""),(AC764-'Choix pédagogiques'!$C$4)/('Choix pédagogiques'!$C$5-'Choix pédagogiques'!$C$4),"")</f>
        <v/>
      </c>
      <c r="AY764" s="49" t="str">
        <f>IF(AND('Choix pédagogiques'!$C$4&lt;&gt;"?",'Choix pédagogiques'!$C$5&lt;&gt;"?",AD764&lt;&gt;""),(AD764-'Choix pédagogiques'!$C$4)/('Choix pédagogiques'!$C$5-'Choix pédagogiques'!$C$4),"")</f>
        <v/>
      </c>
      <c r="AZ764" s="22" t="str">
        <f t="shared" si="522"/>
        <v/>
      </c>
      <c r="BA764" s="21" t="str">
        <f t="shared" si="523"/>
        <v>Apprenant 752</v>
      </c>
      <c r="BB764" s="49" t="str">
        <f t="shared" si="495"/>
        <v/>
      </c>
      <c r="BC764" s="49" t="str">
        <f t="shared" si="496"/>
        <v/>
      </c>
      <c r="BD764" s="49" t="str">
        <f t="shared" si="497"/>
        <v/>
      </c>
      <c r="BE764" s="22" t="str">
        <f t="shared" si="524"/>
        <v/>
      </c>
      <c r="BF764" s="21" t="str">
        <f t="shared" si="525"/>
        <v>Apprenant 752 ou 752'</v>
      </c>
      <c r="BG764" s="49" t="str">
        <f t="shared" si="498"/>
        <v/>
      </c>
      <c r="BH764" s="49" t="str">
        <f t="shared" si="499"/>
        <v/>
      </c>
      <c r="BI764" s="49" t="str">
        <f t="shared" si="500"/>
        <v/>
      </c>
      <c r="BJ764" s="22" t="str">
        <f t="shared" si="526"/>
        <v/>
      </c>
      <c r="BL764" s="21"/>
      <c r="BM764" s="21" t="str">
        <f>IF(OR(COUNT(B764:D1763)=0,AND('Choix pédagogiques'!$C$3&lt;&gt;1,'Choix pédagogiques'!$C$3&lt;&gt;2)),"",IF(AND(OR('Choix pédagogiques'!$C$3=1,'Choix pédagogiques'!$C$3=2),$B764&lt;&gt;"",$C764&lt;&gt;"",$D764&lt;&gt;""),1,0))</f>
        <v/>
      </c>
      <c r="BN764" s="21" t="str">
        <f>IF(OR(COUNT(G764:I1763)=0,AND('Choix pédagogiques'!$C$3&lt;&gt;1,'Choix pédagogiques'!$C$3&lt;&gt;2)),"",IF(AND(OR('Choix pédagogiques'!$C$3=1,'Choix pédagogiques'!$C$3=2),AND($G764&lt;&gt;"",$H764&lt;&gt;"",$I764&lt;&gt;"")),1,0))</f>
        <v/>
      </c>
      <c r="BO764" s="21" t="str">
        <f>IF(OR(COUNT(B764:D1763)=0,COUNT(G764:I1763)=0,'Choix pédagogiques'!C$3&lt;&gt;3),"",IF(AND('Choix pédagogiques'!$C$3=3,$B764&lt;&gt;"",$C764&lt;&gt;"",$D764&lt;&gt;"",$G764&lt;&gt;"",$H764&lt;&gt;"",$I764&lt;&gt;""),1,0))</f>
        <v/>
      </c>
      <c r="BR764" s="21">
        <v>286</v>
      </c>
      <c r="BS764" s="21">
        <v>1234</v>
      </c>
      <c r="BT764"/>
    </row>
    <row r="765" spans="1:72" s="23" customFormat="1" ht="18" customHeight="1" x14ac:dyDescent="0.3">
      <c r="A765" s="35" t="s">
        <v>755</v>
      </c>
      <c r="B765" s="37"/>
      <c r="C765" s="37"/>
      <c r="D765" s="37"/>
      <c r="E765" s="37"/>
      <c r="F765" s="35" t="s">
        <v>1763</v>
      </c>
      <c r="G765" s="37"/>
      <c r="H765" s="37"/>
      <c r="I765" s="37"/>
      <c r="J765" s="37"/>
      <c r="K765" s="21" t="str">
        <f t="shared" si="501"/>
        <v>Apprenant 753</v>
      </c>
      <c r="L765" s="22" t="str">
        <f t="shared" si="502"/>
        <v/>
      </c>
      <c r="M765" s="22" t="str">
        <f t="shared" si="503"/>
        <v/>
      </c>
      <c r="N765" s="22" t="str">
        <f t="shared" si="504"/>
        <v/>
      </c>
      <c r="O765" s="22" t="str">
        <f t="shared" si="505"/>
        <v/>
      </c>
      <c r="P765" s="21" t="str">
        <f t="shared" si="506"/>
        <v>Apprenant 753 ou 753'</v>
      </c>
      <c r="Q765" s="22" t="str">
        <f t="shared" si="507"/>
        <v/>
      </c>
      <c r="R765" s="22" t="str">
        <f t="shared" si="508"/>
        <v/>
      </c>
      <c r="S765" s="22" t="str">
        <f t="shared" si="509"/>
        <v/>
      </c>
      <c r="T765" s="22" t="str">
        <f t="shared" si="510"/>
        <v/>
      </c>
      <c r="V765" s="21" t="str">
        <f t="shared" si="511"/>
        <v>Apprenant 753</v>
      </c>
      <c r="W765" s="22" t="str">
        <f>IF(AND(OR('Choix pédagogiques'!$C$3=1,'Choix pédagogiques'!$C$3=2),$BM765=1),B765,IF(AND('Choix pédagogiques'!$C$3=3,$BO765=1),B765,""))</f>
        <v/>
      </c>
      <c r="X765" s="22" t="str">
        <f>IF(AND(OR('Choix pédagogiques'!$C$3=1,'Choix pédagogiques'!$C$3=2),$BM765=1),C765,IF(AND('Choix pédagogiques'!$C$3=3,$BO765=1),C765,""))</f>
        <v/>
      </c>
      <c r="Y765" s="22" t="str">
        <f>IF(AND(OR('Choix pédagogiques'!$C$3=1,'Choix pédagogiques'!$C$3=2),$BM765=1),D765,IF(AND('Choix pédagogiques'!$C$3=3,$BO765=1),D765,""))</f>
        <v/>
      </c>
      <c r="Z765" s="22" t="str">
        <f t="shared" si="512"/>
        <v/>
      </c>
      <c r="AA765" s="21" t="str">
        <f t="shared" si="513"/>
        <v>Apprenant 753 ou 753'</v>
      </c>
      <c r="AB765" s="22" t="str">
        <f>IF(AND(OR('Choix pédagogiques'!$C$3=1,'Choix pédagogiques'!$C$3=2),$BN765=1),G765,IF(AND('Choix pédagogiques'!$C$3=3,$BO765=1),G765,""))</f>
        <v/>
      </c>
      <c r="AC765" s="22" t="str">
        <f>IF(AND(OR('Choix pédagogiques'!$C$3=1,'Choix pédagogiques'!$C$3=2),$BN765=1),H765,IF(AND('Choix pédagogiques'!$C$3=3,$BO765=1),H765,""))</f>
        <v/>
      </c>
      <c r="AD765" s="22" t="str">
        <f>IF(AND(OR('Choix pédagogiques'!$C$3=1,'Choix pédagogiques'!$C$3=2),$BN765=1),I765,IF(AND('Choix pédagogiques'!$C$3=3,$BO765=1),I765,""))</f>
        <v/>
      </c>
      <c r="AE765" s="22" t="str">
        <f t="shared" si="514"/>
        <v/>
      </c>
      <c r="AF765" s="21" t="str">
        <f t="shared" si="515"/>
        <v>Apprenant 753</v>
      </c>
      <c r="AG765" s="22" t="str">
        <f t="shared" si="489"/>
        <v/>
      </c>
      <c r="AH765" s="22" t="str">
        <f t="shared" si="490"/>
        <v/>
      </c>
      <c r="AI765" s="22" t="str">
        <f t="shared" si="491"/>
        <v/>
      </c>
      <c r="AJ765" s="22" t="str">
        <f t="shared" si="516"/>
        <v/>
      </c>
      <c r="AK765" s="21" t="str">
        <f t="shared" si="517"/>
        <v>Apprenant 753 ou 753'</v>
      </c>
      <c r="AL765" s="22" t="str">
        <f t="shared" si="492"/>
        <v/>
      </c>
      <c r="AM765" s="22" t="str">
        <f t="shared" si="493"/>
        <v/>
      </c>
      <c r="AN765" s="22" t="str">
        <f t="shared" si="494"/>
        <v/>
      </c>
      <c r="AO765" s="22" t="str">
        <f t="shared" si="518"/>
        <v/>
      </c>
      <c r="AQ765" s="21" t="str">
        <f t="shared" si="519"/>
        <v>Apprenant 753</v>
      </c>
      <c r="AR765" s="49" t="str">
        <f>IF(AND('Choix pédagogiques'!$C$4&lt;&gt;"?",'Choix pédagogiques'!$C$5&lt;&gt;"?",W765&lt;&gt;""),(W765-'Choix pédagogiques'!$C$4)/('Choix pédagogiques'!$C$5-'Choix pédagogiques'!$C$4),"")</f>
        <v/>
      </c>
      <c r="AS765" s="49" t="str">
        <f>IF(AND('Choix pédagogiques'!$C$4&lt;&gt;"?",'Choix pédagogiques'!$C$5&lt;&gt;"?",X765&lt;&gt;""),(X765-'Choix pédagogiques'!$C$4)/('Choix pédagogiques'!$C$5-'Choix pédagogiques'!$C$4),"")</f>
        <v/>
      </c>
      <c r="AT765" s="49" t="str">
        <f>IF(AND('Choix pédagogiques'!$C$4&lt;&gt;"?",'Choix pédagogiques'!$C$5&lt;&gt;"?",Y765&lt;&gt;""),(Y765-'Choix pédagogiques'!$C$4)/('Choix pédagogiques'!$C$5-'Choix pédagogiques'!$C$4),"")</f>
        <v/>
      </c>
      <c r="AU765" s="22" t="str">
        <f t="shared" si="520"/>
        <v/>
      </c>
      <c r="AV765" s="21" t="str">
        <f t="shared" si="521"/>
        <v>Apprenant 753 ou 753'</v>
      </c>
      <c r="AW765" s="49" t="str">
        <f>IF(AND('Choix pédagogiques'!$C$4&lt;&gt;"?",'Choix pédagogiques'!$C$5&lt;&gt;"?",AB765&lt;&gt;""),(AB765-'Choix pédagogiques'!$C$4)/('Choix pédagogiques'!$C$5-'Choix pédagogiques'!$C$4),"")</f>
        <v/>
      </c>
      <c r="AX765" s="49" t="str">
        <f>IF(AND('Choix pédagogiques'!$C$4&lt;&gt;"?",'Choix pédagogiques'!$C$5&lt;&gt;"?",AC765&lt;&gt;""),(AC765-'Choix pédagogiques'!$C$4)/('Choix pédagogiques'!$C$5-'Choix pédagogiques'!$C$4),"")</f>
        <v/>
      </c>
      <c r="AY765" s="49" t="str">
        <f>IF(AND('Choix pédagogiques'!$C$4&lt;&gt;"?",'Choix pédagogiques'!$C$5&lt;&gt;"?",AD765&lt;&gt;""),(AD765-'Choix pédagogiques'!$C$4)/('Choix pédagogiques'!$C$5-'Choix pédagogiques'!$C$4),"")</f>
        <v/>
      </c>
      <c r="AZ765" s="22" t="str">
        <f t="shared" si="522"/>
        <v/>
      </c>
      <c r="BA765" s="21" t="str">
        <f t="shared" si="523"/>
        <v>Apprenant 753</v>
      </c>
      <c r="BB765" s="49" t="str">
        <f t="shared" si="495"/>
        <v/>
      </c>
      <c r="BC765" s="49" t="str">
        <f t="shared" si="496"/>
        <v/>
      </c>
      <c r="BD765" s="49" t="str">
        <f t="shared" si="497"/>
        <v/>
      </c>
      <c r="BE765" s="22" t="str">
        <f t="shared" si="524"/>
        <v/>
      </c>
      <c r="BF765" s="21" t="str">
        <f t="shared" si="525"/>
        <v>Apprenant 753 ou 753'</v>
      </c>
      <c r="BG765" s="49" t="str">
        <f t="shared" si="498"/>
        <v/>
      </c>
      <c r="BH765" s="49" t="str">
        <f t="shared" si="499"/>
        <v/>
      </c>
      <c r="BI765" s="49" t="str">
        <f t="shared" si="500"/>
        <v/>
      </c>
      <c r="BJ765" s="22" t="str">
        <f t="shared" si="526"/>
        <v/>
      </c>
      <c r="BL765" s="21"/>
      <c r="BM765" s="21" t="str">
        <f>IF(OR(COUNT(B765:D1764)=0,AND('Choix pédagogiques'!$C$3&lt;&gt;1,'Choix pédagogiques'!$C$3&lt;&gt;2)),"",IF(AND(OR('Choix pédagogiques'!$C$3=1,'Choix pédagogiques'!$C$3=2),$B765&lt;&gt;"",$C765&lt;&gt;"",$D765&lt;&gt;""),1,0))</f>
        <v/>
      </c>
      <c r="BN765" s="21" t="str">
        <f>IF(OR(COUNT(G765:I1764)=0,AND('Choix pédagogiques'!$C$3&lt;&gt;1,'Choix pédagogiques'!$C$3&lt;&gt;2)),"",IF(AND(OR('Choix pédagogiques'!$C$3=1,'Choix pédagogiques'!$C$3=2),AND($G765&lt;&gt;"",$H765&lt;&gt;"",$I765&lt;&gt;"")),1,0))</f>
        <v/>
      </c>
      <c r="BO765" s="21" t="str">
        <f>IF(OR(COUNT(B765:D1764)=0,COUNT(G765:I1764)=0,'Choix pédagogiques'!C$3&lt;&gt;3),"",IF(AND('Choix pédagogiques'!$C$3=3,$B765&lt;&gt;"",$C765&lt;&gt;"",$D765&lt;&gt;"",$G765&lt;&gt;"",$H765&lt;&gt;"",$I765&lt;&gt;""),1,0))</f>
        <v/>
      </c>
      <c r="BR765" s="21">
        <v>847</v>
      </c>
      <c r="BS765" s="21">
        <v>1290</v>
      </c>
      <c r="BT765"/>
    </row>
    <row r="766" spans="1:72" s="23" customFormat="1" ht="18" customHeight="1" x14ac:dyDescent="0.3">
      <c r="A766" s="35" t="s">
        <v>756</v>
      </c>
      <c r="B766" s="37"/>
      <c r="C766" s="37"/>
      <c r="D766" s="37"/>
      <c r="E766" s="37"/>
      <c r="F766" s="35" t="s">
        <v>1764</v>
      </c>
      <c r="G766" s="37"/>
      <c r="H766" s="37"/>
      <c r="I766" s="37"/>
      <c r="J766" s="37"/>
      <c r="K766" s="21" t="str">
        <f t="shared" si="501"/>
        <v>Apprenant 754</v>
      </c>
      <c r="L766" s="22" t="str">
        <f t="shared" si="502"/>
        <v/>
      </c>
      <c r="M766" s="22" t="str">
        <f t="shared" si="503"/>
        <v/>
      </c>
      <c r="N766" s="22" t="str">
        <f t="shared" si="504"/>
        <v/>
      </c>
      <c r="O766" s="22" t="str">
        <f t="shared" si="505"/>
        <v/>
      </c>
      <c r="P766" s="21" t="str">
        <f t="shared" si="506"/>
        <v>Apprenant 754 ou 754'</v>
      </c>
      <c r="Q766" s="22" t="str">
        <f t="shared" si="507"/>
        <v/>
      </c>
      <c r="R766" s="22" t="str">
        <f t="shared" si="508"/>
        <v/>
      </c>
      <c r="S766" s="22" t="str">
        <f t="shared" si="509"/>
        <v/>
      </c>
      <c r="T766" s="22" t="str">
        <f t="shared" si="510"/>
        <v/>
      </c>
      <c r="V766" s="21" t="str">
        <f t="shared" si="511"/>
        <v>Apprenant 754</v>
      </c>
      <c r="W766" s="22" t="str">
        <f>IF(AND(OR('Choix pédagogiques'!$C$3=1,'Choix pédagogiques'!$C$3=2),$BM766=1),B766,IF(AND('Choix pédagogiques'!$C$3=3,$BO766=1),B766,""))</f>
        <v/>
      </c>
      <c r="X766" s="22" t="str">
        <f>IF(AND(OR('Choix pédagogiques'!$C$3=1,'Choix pédagogiques'!$C$3=2),$BM766=1),C766,IF(AND('Choix pédagogiques'!$C$3=3,$BO766=1),C766,""))</f>
        <v/>
      </c>
      <c r="Y766" s="22" t="str">
        <f>IF(AND(OR('Choix pédagogiques'!$C$3=1,'Choix pédagogiques'!$C$3=2),$BM766=1),D766,IF(AND('Choix pédagogiques'!$C$3=3,$BO766=1),D766,""))</f>
        <v/>
      </c>
      <c r="Z766" s="22" t="str">
        <f t="shared" si="512"/>
        <v/>
      </c>
      <c r="AA766" s="21" t="str">
        <f t="shared" si="513"/>
        <v>Apprenant 754 ou 754'</v>
      </c>
      <c r="AB766" s="22" t="str">
        <f>IF(AND(OR('Choix pédagogiques'!$C$3=1,'Choix pédagogiques'!$C$3=2),$BN766=1),G766,IF(AND('Choix pédagogiques'!$C$3=3,$BO766=1),G766,""))</f>
        <v/>
      </c>
      <c r="AC766" s="22" t="str">
        <f>IF(AND(OR('Choix pédagogiques'!$C$3=1,'Choix pédagogiques'!$C$3=2),$BN766=1),H766,IF(AND('Choix pédagogiques'!$C$3=3,$BO766=1),H766,""))</f>
        <v/>
      </c>
      <c r="AD766" s="22" t="str">
        <f>IF(AND(OR('Choix pédagogiques'!$C$3=1,'Choix pédagogiques'!$C$3=2),$BN766=1),I766,IF(AND('Choix pédagogiques'!$C$3=3,$BO766=1),I766,""))</f>
        <v/>
      </c>
      <c r="AE766" s="22" t="str">
        <f t="shared" si="514"/>
        <v/>
      </c>
      <c r="AF766" s="21" t="str">
        <f t="shared" si="515"/>
        <v>Apprenant 754</v>
      </c>
      <c r="AG766" s="22" t="str">
        <f t="shared" si="489"/>
        <v/>
      </c>
      <c r="AH766" s="22" t="str">
        <f t="shared" si="490"/>
        <v/>
      </c>
      <c r="AI766" s="22" t="str">
        <f t="shared" si="491"/>
        <v/>
      </c>
      <c r="AJ766" s="22" t="str">
        <f t="shared" si="516"/>
        <v/>
      </c>
      <c r="AK766" s="21" t="str">
        <f t="shared" si="517"/>
        <v>Apprenant 754 ou 754'</v>
      </c>
      <c r="AL766" s="22" t="str">
        <f t="shared" si="492"/>
        <v/>
      </c>
      <c r="AM766" s="22" t="str">
        <f t="shared" si="493"/>
        <v/>
      </c>
      <c r="AN766" s="22" t="str">
        <f t="shared" si="494"/>
        <v/>
      </c>
      <c r="AO766" s="22" t="str">
        <f t="shared" si="518"/>
        <v/>
      </c>
      <c r="AQ766" s="21" t="str">
        <f t="shared" si="519"/>
        <v>Apprenant 754</v>
      </c>
      <c r="AR766" s="49" t="str">
        <f>IF(AND('Choix pédagogiques'!$C$4&lt;&gt;"?",'Choix pédagogiques'!$C$5&lt;&gt;"?",W766&lt;&gt;""),(W766-'Choix pédagogiques'!$C$4)/('Choix pédagogiques'!$C$5-'Choix pédagogiques'!$C$4),"")</f>
        <v/>
      </c>
      <c r="AS766" s="49" t="str">
        <f>IF(AND('Choix pédagogiques'!$C$4&lt;&gt;"?",'Choix pédagogiques'!$C$5&lt;&gt;"?",X766&lt;&gt;""),(X766-'Choix pédagogiques'!$C$4)/('Choix pédagogiques'!$C$5-'Choix pédagogiques'!$C$4),"")</f>
        <v/>
      </c>
      <c r="AT766" s="49" t="str">
        <f>IF(AND('Choix pédagogiques'!$C$4&lt;&gt;"?",'Choix pédagogiques'!$C$5&lt;&gt;"?",Y766&lt;&gt;""),(Y766-'Choix pédagogiques'!$C$4)/('Choix pédagogiques'!$C$5-'Choix pédagogiques'!$C$4),"")</f>
        <v/>
      </c>
      <c r="AU766" s="22" t="str">
        <f t="shared" si="520"/>
        <v/>
      </c>
      <c r="AV766" s="21" t="str">
        <f t="shared" si="521"/>
        <v>Apprenant 754 ou 754'</v>
      </c>
      <c r="AW766" s="49" t="str">
        <f>IF(AND('Choix pédagogiques'!$C$4&lt;&gt;"?",'Choix pédagogiques'!$C$5&lt;&gt;"?",AB766&lt;&gt;""),(AB766-'Choix pédagogiques'!$C$4)/('Choix pédagogiques'!$C$5-'Choix pédagogiques'!$C$4),"")</f>
        <v/>
      </c>
      <c r="AX766" s="49" t="str">
        <f>IF(AND('Choix pédagogiques'!$C$4&lt;&gt;"?",'Choix pédagogiques'!$C$5&lt;&gt;"?",AC766&lt;&gt;""),(AC766-'Choix pédagogiques'!$C$4)/('Choix pédagogiques'!$C$5-'Choix pédagogiques'!$C$4),"")</f>
        <v/>
      </c>
      <c r="AY766" s="49" t="str">
        <f>IF(AND('Choix pédagogiques'!$C$4&lt;&gt;"?",'Choix pédagogiques'!$C$5&lt;&gt;"?",AD766&lt;&gt;""),(AD766-'Choix pédagogiques'!$C$4)/('Choix pédagogiques'!$C$5-'Choix pédagogiques'!$C$4),"")</f>
        <v/>
      </c>
      <c r="AZ766" s="22" t="str">
        <f t="shared" si="522"/>
        <v/>
      </c>
      <c r="BA766" s="21" t="str">
        <f t="shared" si="523"/>
        <v>Apprenant 754</v>
      </c>
      <c r="BB766" s="49" t="str">
        <f t="shared" si="495"/>
        <v/>
      </c>
      <c r="BC766" s="49" t="str">
        <f t="shared" si="496"/>
        <v/>
      </c>
      <c r="BD766" s="49" t="str">
        <f t="shared" si="497"/>
        <v/>
      </c>
      <c r="BE766" s="22" t="str">
        <f t="shared" si="524"/>
        <v/>
      </c>
      <c r="BF766" s="21" t="str">
        <f t="shared" si="525"/>
        <v>Apprenant 754 ou 754'</v>
      </c>
      <c r="BG766" s="49" t="str">
        <f t="shared" si="498"/>
        <v/>
      </c>
      <c r="BH766" s="49" t="str">
        <f t="shared" si="499"/>
        <v/>
      </c>
      <c r="BI766" s="49" t="str">
        <f t="shared" si="500"/>
        <v/>
      </c>
      <c r="BJ766" s="22" t="str">
        <f t="shared" si="526"/>
        <v/>
      </c>
      <c r="BL766" s="21"/>
      <c r="BM766" s="21" t="str">
        <f>IF(OR(COUNT(B766:D1765)=0,AND('Choix pédagogiques'!$C$3&lt;&gt;1,'Choix pédagogiques'!$C$3&lt;&gt;2)),"",IF(AND(OR('Choix pédagogiques'!$C$3=1,'Choix pédagogiques'!$C$3=2),$B766&lt;&gt;"",$C766&lt;&gt;"",$D766&lt;&gt;""),1,0))</f>
        <v/>
      </c>
      <c r="BN766" s="21" t="str">
        <f>IF(OR(COUNT(G766:I1765)=0,AND('Choix pédagogiques'!$C$3&lt;&gt;1,'Choix pédagogiques'!$C$3&lt;&gt;2)),"",IF(AND(OR('Choix pédagogiques'!$C$3=1,'Choix pédagogiques'!$C$3=2),AND($G766&lt;&gt;"",$H766&lt;&gt;"",$I766&lt;&gt;"")),1,0))</f>
        <v/>
      </c>
      <c r="BO766" s="21" t="str">
        <f>IF(OR(COUNT(B766:D1765)=0,COUNT(G766:I1765)=0,'Choix pédagogiques'!C$3&lt;&gt;3),"",IF(AND('Choix pédagogiques'!$C$3=3,$B766&lt;&gt;"",$C766&lt;&gt;"",$D766&lt;&gt;"",$G766&lt;&gt;"",$H766&lt;&gt;"",$I766&lt;&gt;""),1,0))</f>
        <v/>
      </c>
      <c r="BR766" s="21">
        <v>858</v>
      </c>
      <c r="BS766" s="21">
        <v>1810</v>
      </c>
      <c r="BT766"/>
    </row>
    <row r="767" spans="1:72" s="23" customFormat="1" ht="18" customHeight="1" x14ac:dyDescent="0.3">
      <c r="A767" s="35" t="s">
        <v>757</v>
      </c>
      <c r="B767" s="37"/>
      <c r="C767" s="37"/>
      <c r="D767" s="37"/>
      <c r="E767" s="37"/>
      <c r="F767" s="35" t="s">
        <v>1765</v>
      </c>
      <c r="G767" s="37"/>
      <c r="H767" s="37"/>
      <c r="I767" s="37"/>
      <c r="J767" s="37"/>
      <c r="K767" s="21" t="str">
        <f t="shared" si="501"/>
        <v>Apprenant 755</v>
      </c>
      <c r="L767" s="22" t="str">
        <f t="shared" si="502"/>
        <v/>
      </c>
      <c r="M767" s="22" t="str">
        <f t="shared" si="503"/>
        <v/>
      </c>
      <c r="N767" s="22" t="str">
        <f t="shared" si="504"/>
        <v/>
      </c>
      <c r="O767" s="22" t="str">
        <f t="shared" si="505"/>
        <v/>
      </c>
      <c r="P767" s="21" t="str">
        <f t="shared" si="506"/>
        <v>Apprenant 755 ou 755'</v>
      </c>
      <c r="Q767" s="22" t="str">
        <f t="shared" si="507"/>
        <v/>
      </c>
      <c r="R767" s="22" t="str">
        <f t="shared" si="508"/>
        <v/>
      </c>
      <c r="S767" s="22" t="str">
        <f t="shared" si="509"/>
        <v/>
      </c>
      <c r="T767" s="22" t="str">
        <f t="shared" si="510"/>
        <v/>
      </c>
      <c r="V767" s="21" t="str">
        <f t="shared" si="511"/>
        <v>Apprenant 755</v>
      </c>
      <c r="W767" s="22" t="str">
        <f>IF(AND(OR('Choix pédagogiques'!$C$3=1,'Choix pédagogiques'!$C$3=2),$BM767=1),B767,IF(AND('Choix pédagogiques'!$C$3=3,$BO767=1),B767,""))</f>
        <v/>
      </c>
      <c r="X767" s="22" t="str">
        <f>IF(AND(OR('Choix pédagogiques'!$C$3=1,'Choix pédagogiques'!$C$3=2),$BM767=1),C767,IF(AND('Choix pédagogiques'!$C$3=3,$BO767=1),C767,""))</f>
        <v/>
      </c>
      <c r="Y767" s="22" t="str">
        <f>IF(AND(OR('Choix pédagogiques'!$C$3=1,'Choix pédagogiques'!$C$3=2),$BM767=1),D767,IF(AND('Choix pédagogiques'!$C$3=3,$BO767=1),D767,""))</f>
        <v/>
      </c>
      <c r="Z767" s="22" t="str">
        <f t="shared" si="512"/>
        <v/>
      </c>
      <c r="AA767" s="21" t="str">
        <f t="shared" si="513"/>
        <v>Apprenant 755 ou 755'</v>
      </c>
      <c r="AB767" s="22" t="str">
        <f>IF(AND(OR('Choix pédagogiques'!$C$3=1,'Choix pédagogiques'!$C$3=2),$BN767=1),G767,IF(AND('Choix pédagogiques'!$C$3=3,$BO767=1),G767,""))</f>
        <v/>
      </c>
      <c r="AC767" s="22" t="str">
        <f>IF(AND(OR('Choix pédagogiques'!$C$3=1,'Choix pédagogiques'!$C$3=2),$BN767=1),H767,IF(AND('Choix pédagogiques'!$C$3=3,$BO767=1),H767,""))</f>
        <v/>
      </c>
      <c r="AD767" s="22" t="str">
        <f>IF(AND(OR('Choix pédagogiques'!$C$3=1,'Choix pédagogiques'!$C$3=2),$BN767=1),I767,IF(AND('Choix pédagogiques'!$C$3=3,$BO767=1),I767,""))</f>
        <v/>
      </c>
      <c r="AE767" s="22" t="str">
        <f t="shared" si="514"/>
        <v/>
      </c>
      <c r="AF767" s="21" t="str">
        <f t="shared" si="515"/>
        <v>Apprenant 755</v>
      </c>
      <c r="AG767" s="22" t="str">
        <f t="shared" si="489"/>
        <v/>
      </c>
      <c r="AH767" s="22" t="str">
        <f t="shared" si="490"/>
        <v/>
      </c>
      <c r="AI767" s="22" t="str">
        <f t="shared" si="491"/>
        <v/>
      </c>
      <c r="AJ767" s="22" t="str">
        <f t="shared" si="516"/>
        <v/>
      </c>
      <c r="AK767" s="21" t="str">
        <f t="shared" si="517"/>
        <v>Apprenant 755 ou 755'</v>
      </c>
      <c r="AL767" s="22" t="str">
        <f t="shared" si="492"/>
        <v/>
      </c>
      <c r="AM767" s="22" t="str">
        <f t="shared" si="493"/>
        <v/>
      </c>
      <c r="AN767" s="22" t="str">
        <f t="shared" si="494"/>
        <v/>
      </c>
      <c r="AO767" s="22" t="str">
        <f t="shared" si="518"/>
        <v/>
      </c>
      <c r="AQ767" s="21" t="str">
        <f t="shared" si="519"/>
        <v>Apprenant 755</v>
      </c>
      <c r="AR767" s="49" t="str">
        <f>IF(AND('Choix pédagogiques'!$C$4&lt;&gt;"?",'Choix pédagogiques'!$C$5&lt;&gt;"?",W767&lt;&gt;""),(W767-'Choix pédagogiques'!$C$4)/('Choix pédagogiques'!$C$5-'Choix pédagogiques'!$C$4),"")</f>
        <v/>
      </c>
      <c r="AS767" s="49" t="str">
        <f>IF(AND('Choix pédagogiques'!$C$4&lt;&gt;"?",'Choix pédagogiques'!$C$5&lt;&gt;"?",X767&lt;&gt;""),(X767-'Choix pédagogiques'!$C$4)/('Choix pédagogiques'!$C$5-'Choix pédagogiques'!$C$4),"")</f>
        <v/>
      </c>
      <c r="AT767" s="49" t="str">
        <f>IF(AND('Choix pédagogiques'!$C$4&lt;&gt;"?",'Choix pédagogiques'!$C$5&lt;&gt;"?",Y767&lt;&gt;""),(Y767-'Choix pédagogiques'!$C$4)/('Choix pédagogiques'!$C$5-'Choix pédagogiques'!$C$4),"")</f>
        <v/>
      </c>
      <c r="AU767" s="22" t="str">
        <f t="shared" si="520"/>
        <v/>
      </c>
      <c r="AV767" s="21" t="str">
        <f t="shared" si="521"/>
        <v>Apprenant 755 ou 755'</v>
      </c>
      <c r="AW767" s="49" t="str">
        <f>IF(AND('Choix pédagogiques'!$C$4&lt;&gt;"?",'Choix pédagogiques'!$C$5&lt;&gt;"?",AB767&lt;&gt;""),(AB767-'Choix pédagogiques'!$C$4)/('Choix pédagogiques'!$C$5-'Choix pédagogiques'!$C$4),"")</f>
        <v/>
      </c>
      <c r="AX767" s="49" t="str">
        <f>IF(AND('Choix pédagogiques'!$C$4&lt;&gt;"?",'Choix pédagogiques'!$C$5&lt;&gt;"?",AC767&lt;&gt;""),(AC767-'Choix pédagogiques'!$C$4)/('Choix pédagogiques'!$C$5-'Choix pédagogiques'!$C$4),"")</f>
        <v/>
      </c>
      <c r="AY767" s="49" t="str">
        <f>IF(AND('Choix pédagogiques'!$C$4&lt;&gt;"?",'Choix pédagogiques'!$C$5&lt;&gt;"?",AD767&lt;&gt;""),(AD767-'Choix pédagogiques'!$C$4)/('Choix pédagogiques'!$C$5-'Choix pédagogiques'!$C$4),"")</f>
        <v/>
      </c>
      <c r="AZ767" s="22" t="str">
        <f t="shared" si="522"/>
        <v/>
      </c>
      <c r="BA767" s="21" t="str">
        <f t="shared" si="523"/>
        <v>Apprenant 755</v>
      </c>
      <c r="BB767" s="49" t="str">
        <f t="shared" si="495"/>
        <v/>
      </c>
      <c r="BC767" s="49" t="str">
        <f t="shared" si="496"/>
        <v/>
      </c>
      <c r="BD767" s="49" t="str">
        <f t="shared" si="497"/>
        <v/>
      </c>
      <c r="BE767" s="22" t="str">
        <f t="shared" si="524"/>
        <v/>
      </c>
      <c r="BF767" s="21" t="str">
        <f t="shared" si="525"/>
        <v>Apprenant 755 ou 755'</v>
      </c>
      <c r="BG767" s="49" t="str">
        <f t="shared" si="498"/>
        <v/>
      </c>
      <c r="BH767" s="49" t="str">
        <f t="shared" si="499"/>
        <v/>
      </c>
      <c r="BI767" s="49" t="str">
        <f t="shared" si="500"/>
        <v/>
      </c>
      <c r="BJ767" s="22" t="str">
        <f t="shared" si="526"/>
        <v/>
      </c>
      <c r="BL767" s="21"/>
      <c r="BM767" s="21" t="str">
        <f>IF(OR(COUNT(B767:D1766)=0,AND('Choix pédagogiques'!$C$3&lt;&gt;1,'Choix pédagogiques'!$C$3&lt;&gt;2)),"",IF(AND(OR('Choix pédagogiques'!$C$3=1,'Choix pédagogiques'!$C$3=2),$B767&lt;&gt;"",$C767&lt;&gt;"",$D767&lt;&gt;""),1,0))</f>
        <v/>
      </c>
      <c r="BN767" s="21" t="str">
        <f>IF(OR(COUNT(G767:I1766)=0,AND('Choix pédagogiques'!$C$3&lt;&gt;1,'Choix pédagogiques'!$C$3&lt;&gt;2)),"",IF(AND(OR('Choix pédagogiques'!$C$3=1,'Choix pédagogiques'!$C$3=2),AND($G767&lt;&gt;"",$H767&lt;&gt;"",$I767&lt;&gt;"")),1,0))</f>
        <v/>
      </c>
      <c r="BO767" s="21" t="str">
        <f>IF(OR(COUNT(B767:D1766)=0,COUNT(G767:I1766)=0,'Choix pédagogiques'!C$3&lt;&gt;3),"",IF(AND('Choix pédagogiques'!$C$3=3,$B767&lt;&gt;"",$C767&lt;&gt;"",$D767&lt;&gt;"",$G767&lt;&gt;"",$H767&lt;&gt;"",$I767&lt;&gt;""),1,0))</f>
        <v/>
      </c>
      <c r="BR767" s="21">
        <v>111</v>
      </c>
      <c r="BS767" s="21">
        <v>1931</v>
      </c>
      <c r="BT767"/>
    </row>
    <row r="768" spans="1:72" s="23" customFormat="1" ht="18" customHeight="1" x14ac:dyDescent="0.3">
      <c r="A768" s="35" t="s">
        <v>758</v>
      </c>
      <c r="B768" s="37"/>
      <c r="C768" s="37"/>
      <c r="D768" s="37"/>
      <c r="E768" s="37"/>
      <c r="F768" s="35" t="s">
        <v>1766</v>
      </c>
      <c r="G768" s="37"/>
      <c r="H768" s="37"/>
      <c r="I768" s="37"/>
      <c r="J768" s="37"/>
      <c r="K768" s="21" t="str">
        <f t="shared" si="501"/>
        <v>Apprenant 756</v>
      </c>
      <c r="L768" s="22" t="str">
        <f t="shared" si="502"/>
        <v/>
      </c>
      <c r="M768" s="22" t="str">
        <f t="shared" si="503"/>
        <v/>
      </c>
      <c r="N768" s="22" t="str">
        <f t="shared" si="504"/>
        <v/>
      </c>
      <c r="O768" s="22" t="str">
        <f t="shared" si="505"/>
        <v/>
      </c>
      <c r="P768" s="21" t="str">
        <f t="shared" si="506"/>
        <v>Apprenant 756 ou 756'</v>
      </c>
      <c r="Q768" s="22" t="str">
        <f t="shared" si="507"/>
        <v/>
      </c>
      <c r="R768" s="22" t="str">
        <f t="shared" si="508"/>
        <v/>
      </c>
      <c r="S768" s="22" t="str">
        <f t="shared" si="509"/>
        <v/>
      </c>
      <c r="T768" s="22" t="str">
        <f t="shared" si="510"/>
        <v/>
      </c>
      <c r="V768" s="21" t="str">
        <f t="shared" si="511"/>
        <v>Apprenant 756</v>
      </c>
      <c r="W768" s="22" t="str">
        <f>IF(AND(OR('Choix pédagogiques'!$C$3=1,'Choix pédagogiques'!$C$3=2),$BM768=1),B768,IF(AND('Choix pédagogiques'!$C$3=3,$BO768=1),B768,""))</f>
        <v/>
      </c>
      <c r="X768" s="22" t="str">
        <f>IF(AND(OR('Choix pédagogiques'!$C$3=1,'Choix pédagogiques'!$C$3=2),$BM768=1),C768,IF(AND('Choix pédagogiques'!$C$3=3,$BO768=1),C768,""))</f>
        <v/>
      </c>
      <c r="Y768" s="22" t="str">
        <f>IF(AND(OR('Choix pédagogiques'!$C$3=1,'Choix pédagogiques'!$C$3=2),$BM768=1),D768,IF(AND('Choix pédagogiques'!$C$3=3,$BO768=1),D768,""))</f>
        <v/>
      </c>
      <c r="Z768" s="22" t="str">
        <f t="shared" si="512"/>
        <v/>
      </c>
      <c r="AA768" s="21" t="str">
        <f t="shared" si="513"/>
        <v>Apprenant 756 ou 756'</v>
      </c>
      <c r="AB768" s="22" t="str">
        <f>IF(AND(OR('Choix pédagogiques'!$C$3=1,'Choix pédagogiques'!$C$3=2),$BN768=1),G768,IF(AND('Choix pédagogiques'!$C$3=3,$BO768=1),G768,""))</f>
        <v/>
      </c>
      <c r="AC768" s="22" t="str">
        <f>IF(AND(OR('Choix pédagogiques'!$C$3=1,'Choix pédagogiques'!$C$3=2),$BN768=1),H768,IF(AND('Choix pédagogiques'!$C$3=3,$BO768=1),H768,""))</f>
        <v/>
      </c>
      <c r="AD768" s="22" t="str">
        <f>IF(AND(OR('Choix pédagogiques'!$C$3=1,'Choix pédagogiques'!$C$3=2),$BN768=1),I768,IF(AND('Choix pédagogiques'!$C$3=3,$BO768=1),I768,""))</f>
        <v/>
      </c>
      <c r="AE768" s="22" t="str">
        <f t="shared" si="514"/>
        <v/>
      </c>
      <c r="AF768" s="21" t="str">
        <f t="shared" si="515"/>
        <v>Apprenant 756</v>
      </c>
      <c r="AG768" s="22" t="str">
        <f t="shared" si="489"/>
        <v/>
      </c>
      <c r="AH768" s="22" t="str">
        <f t="shared" si="490"/>
        <v/>
      </c>
      <c r="AI768" s="22" t="str">
        <f t="shared" si="491"/>
        <v/>
      </c>
      <c r="AJ768" s="22" t="str">
        <f t="shared" si="516"/>
        <v/>
      </c>
      <c r="AK768" s="21" t="str">
        <f t="shared" si="517"/>
        <v>Apprenant 756 ou 756'</v>
      </c>
      <c r="AL768" s="22" t="str">
        <f t="shared" si="492"/>
        <v/>
      </c>
      <c r="AM768" s="22" t="str">
        <f t="shared" si="493"/>
        <v/>
      </c>
      <c r="AN768" s="22" t="str">
        <f t="shared" si="494"/>
        <v/>
      </c>
      <c r="AO768" s="22" t="str">
        <f t="shared" si="518"/>
        <v/>
      </c>
      <c r="AQ768" s="21" t="str">
        <f t="shared" si="519"/>
        <v>Apprenant 756</v>
      </c>
      <c r="AR768" s="49" t="str">
        <f>IF(AND('Choix pédagogiques'!$C$4&lt;&gt;"?",'Choix pédagogiques'!$C$5&lt;&gt;"?",W768&lt;&gt;""),(W768-'Choix pédagogiques'!$C$4)/('Choix pédagogiques'!$C$5-'Choix pédagogiques'!$C$4),"")</f>
        <v/>
      </c>
      <c r="AS768" s="49" t="str">
        <f>IF(AND('Choix pédagogiques'!$C$4&lt;&gt;"?",'Choix pédagogiques'!$C$5&lt;&gt;"?",X768&lt;&gt;""),(X768-'Choix pédagogiques'!$C$4)/('Choix pédagogiques'!$C$5-'Choix pédagogiques'!$C$4),"")</f>
        <v/>
      </c>
      <c r="AT768" s="49" t="str">
        <f>IF(AND('Choix pédagogiques'!$C$4&lt;&gt;"?",'Choix pédagogiques'!$C$5&lt;&gt;"?",Y768&lt;&gt;""),(Y768-'Choix pédagogiques'!$C$4)/('Choix pédagogiques'!$C$5-'Choix pédagogiques'!$C$4),"")</f>
        <v/>
      </c>
      <c r="AU768" s="22" t="str">
        <f t="shared" si="520"/>
        <v/>
      </c>
      <c r="AV768" s="21" t="str">
        <f t="shared" si="521"/>
        <v>Apprenant 756 ou 756'</v>
      </c>
      <c r="AW768" s="49" t="str">
        <f>IF(AND('Choix pédagogiques'!$C$4&lt;&gt;"?",'Choix pédagogiques'!$C$5&lt;&gt;"?",AB768&lt;&gt;""),(AB768-'Choix pédagogiques'!$C$4)/('Choix pédagogiques'!$C$5-'Choix pédagogiques'!$C$4),"")</f>
        <v/>
      </c>
      <c r="AX768" s="49" t="str">
        <f>IF(AND('Choix pédagogiques'!$C$4&lt;&gt;"?",'Choix pédagogiques'!$C$5&lt;&gt;"?",AC768&lt;&gt;""),(AC768-'Choix pédagogiques'!$C$4)/('Choix pédagogiques'!$C$5-'Choix pédagogiques'!$C$4),"")</f>
        <v/>
      </c>
      <c r="AY768" s="49" t="str">
        <f>IF(AND('Choix pédagogiques'!$C$4&lt;&gt;"?",'Choix pédagogiques'!$C$5&lt;&gt;"?",AD768&lt;&gt;""),(AD768-'Choix pédagogiques'!$C$4)/('Choix pédagogiques'!$C$5-'Choix pédagogiques'!$C$4),"")</f>
        <v/>
      </c>
      <c r="AZ768" s="22" t="str">
        <f t="shared" si="522"/>
        <v/>
      </c>
      <c r="BA768" s="21" t="str">
        <f t="shared" si="523"/>
        <v>Apprenant 756</v>
      </c>
      <c r="BB768" s="49" t="str">
        <f t="shared" si="495"/>
        <v/>
      </c>
      <c r="BC768" s="49" t="str">
        <f t="shared" si="496"/>
        <v/>
      </c>
      <c r="BD768" s="49" t="str">
        <f t="shared" si="497"/>
        <v/>
      </c>
      <c r="BE768" s="22" t="str">
        <f t="shared" si="524"/>
        <v/>
      </c>
      <c r="BF768" s="21" t="str">
        <f t="shared" si="525"/>
        <v>Apprenant 756 ou 756'</v>
      </c>
      <c r="BG768" s="49" t="str">
        <f t="shared" si="498"/>
        <v/>
      </c>
      <c r="BH768" s="49" t="str">
        <f t="shared" si="499"/>
        <v/>
      </c>
      <c r="BI768" s="49" t="str">
        <f t="shared" si="500"/>
        <v/>
      </c>
      <c r="BJ768" s="22" t="str">
        <f t="shared" si="526"/>
        <v/>
      </c>
      <c r="BL768" s="21"/>
      <c r="BM768" s="21" t="str">
        <f>IF(OR(COUNT(B768:D1767)=0,AND('Choix pédagogiques'!$C$3&lt;&gt;1,'Choix pédagogiques'!$C$3&lt;&gt;2)),"",IF(AND(OR('Choix pédagogiques'!$C$3=1,'Choix pédagogiques'!$C$3=2),$B768&lt;&gt;"",$C768&lt;&gt;"",$D768&lt;&gt;""),1,0))</f>
        <v/>
      </c>
      <c r="BN768" s="21" t="str">
        <f>IF(OR(COUNT(G768:I1767)=0,AND('Choix pédagogiques'!$C$3&lt;&gt;1,'Choix pédagogiques'!$C$3&lt;&gt;2)),"",IF(AND(OR('Choix pédagogiques'!$C$3=1,'Choix pédagogiques'!$C$3=2),AND($G768&lt;&gt;"",$H768&lt;&gt;"",$I768&lt;&gt;"")),1,0))</f>
        <v/>
      </c>
      <c r="BO768" s="21" t="str">
        <f>IF(OR(COUNT(B768:D1767)=0,COUNT(G768:I1767)=0,'Choix pédagogiques'!C$3&lt;&gt;3),"",IF(AND('Choix pédagogiques'!$C$3=3,$B768&lt;&gt;"",$C768&lt;&gt;"",$D768&lt;&gt;"",$G768&lt;&gt;"",$H768&lt;&gt;"",$I768&lt;&gt;""),1,0))</f>
        <v/>
      </c>
      <c r="BR768" s="21">
        <v>550</v>
      </c>
      <c r="BS768" s="21">
        <v>1151</v>
      </c>
      <c r="BT768"/>
    </row>
    <row r="769" spans="1:72" s="23" customFormat="1" ht="18" customHeight="1" x14ac:dyDescent="0.3">
      <c r="A769" s="35" t="s">
        <v>759</v>
      </c>
      <c r="B769" s="37"/>
      <c r="C769" s="37"/>
      <c r="D769" s="37"/>
      <c r="E769" s="37"/>
      <c r="F769" s="35" t="s">
        <v>1767</v>
      </c>
      <c r="G769" s="37"/>
      <c r="H769" s="37"/>
      <c r="I769" s="37"/>
      <c r="J769" s="37"/>
      <c r="K769" s="21" t="str">
        <f t="shared" si="501"/>
        <v>Apprenant 757</v>
      </c>
      <c r="L769" s="22" t="str">
        <f t="shared" si="502"/>
        <v/>
      </c>
      <c r="M769" s="22" t="str">
        <f t="shared" si="503"/>
        <v/>
      </c>
      <c r="N769" s="22" t="str">
        <f t="shared" si="504"/>
        <v/>
      </c>
      <c r="O769" s="22" t="str">
        <f t="shared" si="505"/>
        <v/>
      </c>
      <c r="P769" s="21" t="str">
        <f t="shared" si="506"/>
        <v>Apprenant 757 ou 757'</v>
      </c>
      <c r="Q769" s="22" t="str">
        <f t="shared" si="507"/>
        <v/>
      </c>
      <c r="R769" s="22" t="str">
        <f t="shared" si="508"/>
        <v/>
      </c>
      <c r="S769" s="22" t="str">
        <f t="shared" si="509"/>
        <v/>
      </c>
      <c r="T769" s="22" t="str">
        <f t="shared" si="510"/>
        <v/>
      </c>
      <c r="V769" s="21" t="str">
        <f t="shared" si="511"/>
        <v>Apprenant 757</v>
      </c>
      <c r="W769" s="22" t="str">
        <f>IF(AND(OR('Choix pédagogiques'!$C$3=1,'Choix pédagogiques'!$C$3=2),$BM769=1),B769,IF(AND('Choix pédagogiques'!$C$3=3,$BO769=1),B769,""))</f>
        <v/>
      </c>
      <c r="X769" s="22" t="str">
        <f>IF(AND(OR('Choix pédagogiques'!$C$3=1,'Choix pédagogiques'!$C$3=2),$BM769=1),C769,IF(AND('Choix pédagogiques'!$C$3=3,$BO769=1),C769,""))</f>
        <v/>
      </c>
      <c r="Y769" s="22" t="str">
        <f>IF(AND(OR('Choix pédagogiques'!$C$3=1,'Choix pédagogiques'!$C$3=2),$BM769=1),D769,IF(AND('Choix pédagogiques'!$C$3=3,$BO769=1),D769,""))</f>
        <v/>
      </c>
      <c r="Z769" s="22" t="str">
        <f t="shared" si="512"/>
        <v/>
      </c>
      <c r="AA769" s="21" t="str">
        <f t="shared" si="513"/>
        <v>Apprenant 757 ou 757'</v>
      </c>
      <c r="AB769" s="22" t="str">
        <f>IF(AND(OR('Choix pédagogiques'!$C$3=1,'Choix pédagogiques'!$C$3=2),$BN769=1),G769,IF(AND('Choix pédagogiques'!$C$3=3,$BO769=1),G769,""))</f>
        <v/>
      </c>
      <c r="AC769" s="22" t="str">
        <f>IF(AND(OR('Choix pédagogiques'!$C$3=1,'Choix pédagogiques'!$C$3=2),$BN769=1),H769,IF(AND('Choix pédagogiques'!$C$3=3,$BO769=1),H769,""))</f>
        <v/>
      </c>
      <c r="AD769" s="22" t="str">
        <f>IF(AND(OR('Choix pédagogiques'!$C$3=1,'Choix pédagogiques'!$C$3=2),$BN769=1),I769,IF(AND('Choix pédagogiques'!$C$3=3,$BO769=1),I769,""))</f>
        <v/>
      </c>
      <c r="AE769" s="22" t="str">
        <f t="shared" si="514"/>
        <v/>
      </c>
      <c r="AF769" s="21" t="str">
        <f t="shared" si="515"/>
        <v>Apprenant 757</v>
      </c>
      <c r="AG769" s="22" t="str">
        <f t="shared" si="489"/>
        <v/>
      </c>
      <c r="AH769" s="22" t="str">
        <f t="shared" si="490"/>
        <v/>
      </c>
      <c r="AI769" s="22" t="str">
        <f t="shared" si="491"/>
        <v/>
      </c>
      <c r="AJ769" s="22" t="str">
        <f t="shared" si="516"/>
        <v/>
      </c>
      <c r="AK769" s="21" t="str">
        <f t="shared" si="517"/>
        <v>Apprenant 757 ou 757'</v>
      </c>
      <c r="AL769" s="22" t="str">
        <f t="shared" si="492"/>
        <v/>
      </c>
      <c r="AM769" s="22" t="str">
        <f t="shared" si="493"/>
        <v/>
      </c>
      <c r="AN769" s="22" t="str">
        <f t="shared" si="494"/>
        <v/>
      </c>
      <c r="AO769" s="22" t="str">
        <f t="shared" si="518"/>
        <v/>
      </c>
      <c r="AQ769" s="21" t="str">
        <f t="shared" si="519"/>
        <v>Apprenant 757</v>
      </c>
      <c r="AR769" s="49" t="str">
        <f>IF(AND('Choix pédagogiques'!$C$4&lt;&gt;"?",'Choix pédagogiques'!$C$5&lt;&gt;"?",W769&lt;&gt;""),(W769-'Choix pédagogiques'!$C$4)/('Choix pédagogiques'!$C$5-'Choix pédagogiques'!$C$4),"")</f>
        <v/>
      </c>
      <c r="AS769" s="49" t="str">
        <f>IF(AND('Choix pédagogiques'!$C$4&lt;&gt;"?",'Choix pédagogiques'!$C$5&lt;&gt;"?",X769&lt;&gt;""),(X769-'Choix pédagogiques'!$C$4)/('Choix pédagogiques'!$C$5-'Choix pédagogiques'!$C$4),"")</f>
        <v/>
      </c>
      <c r="AT769" s="49" t="str">
        <f>IF(AND('Choix pédagogiques'!$C$4&lt;&gt;"?",'Choix pédagogiques'!$C$5&lt;&gt;"?",Y769&lt;&gt;""),(Y769-'Choix pédagogiques'!$C$4)/('Choix pédagogiques'!$C$5-'Choix pédagogiques'!$C$4),"")</f>
        <v/>
      </c>
      <c r="AU769" s="22" t="str">
        <f t="shared" si="520"/>
        <v/>
      </c>
      <c r="AV769" s="21" t="str">
        <f t="shared" si="521"/>
        <v>Apprenant 757 ou 757'</v>
      </c>
      <c r="AW769" s="49" t="str">
        <f>IF(AND('Choix pédagogiques'!$C$4&lt;&gt;"?",'Choix pédagogiques'!$C$5&lt;&gt;"?",AB769&lt;&gt;""),(AB769-'Choix pédagogiques'!$C$4)/('Choix pédagogiques'!$C$5-'Choix pédagogiques'!$C$4),"")</f>
        <v/>
      </c>
      <c r="AX769" s="49" t="str">
        <f>IF(AND('Choix pédagogiques'!$C$4&lt;&gt;"?",'Choix pédagogiques'!$C$5&lt;&gt;"?",AC769&lt;&gt;""),(AC769-'Choix pédagogiques'!$C$4)/('Choix pédagogiques'!$C$5-'Choix pédagogiques'!$C$4),"")</f>
        <v/>
      </c>
      <c r="AY769" s="49" t="str">
        <f>IF(AND('Choix pédagogiques'!$C$4&lt;&gt;"?",'Choix pédagogiques'!$C$5&lt;&gt;"?",AD769&lt;&gt;""),(AD769-'Choix pédagogiques'!$C$4)/('Choix pédagogiques'!$C$5-'Choix pédagogiques'!$C$4),"")</f>
        <v/>
      </c>
      <c r="AZ769" s="22" t="str">
        <f t="shared" si="522"/>
        <v/>
      </c>
      <c r="BA769" s="21" t="str">
        <f t="shared" si="523"/>
        <v>Apprenant 757</v>
      </c>
      <c r="BB769" s="49" t="str">
        <f t="shared" si="495"/>
        <v/>
      </c>
      <c r="BC769" s="49" t="str">
        <f t="shared" si="496"/>
        <v/>
      </c>
      <c r="BD769" s="49" t="str">
        <f t="shared" si="497"/>
        <v/>
      </c>
      <c r="BE769" s="22" t="str">
        <f t="shared" si="524"/>
        <v/>
      </c>
      <c r="BF769" s="21" t="str">
        <f t="shared" si="525"/>
        <v>Apprenant 757 ou 757'</v>
      </c>
      <c r="BG769" s="49" t="str">
        <f t="shared" si="498"/>
        <v/>
      </c>
      <c r="BH769" s="49" t="str">
        <f t="shared" si="499"/>
        <v/>
      </c>
      <c r="BI769" s="49" t="str">
        <f t="shared" si="500"/>
        <v/>
      </c>
      <c r="BJ769" s="22" t="str">
        <f t="shared" si="526"/>
        <v/>
      </c>
      <c r="BL769" s="21"/>
      <c r="BM769" s="21" t="str">
        <f>IF(OR(COUNT(B769:D1768)=0,AND('Choix pédagogiques'!$C$3&lt;&gt;1,'Choix pédagogiques'!$C$3&lt;&gt;2)),"",IF(AND(OR('Choix pédagogiques'!$C$3=1,'Choix pédagogiques'!$C$3=2),$B769&lt;&gt;"",$C769&lt;&gt;"",$D769&lt;&gt;""),1,0))</f>
        <v/>
      </c>
      <c r="BN769" s="21" t="str">
        <f>IF(OR(COUNT(G769:I1768)=0,AND('Choix pédagogiques'!$C$3&lt;&gt;1,'Choix pédagogiques'!$C$3&lt;&gt;2)),"",IF(AND(OR('Choix pédagogiques'!$C$3=1,'Choix pédagogiques'!$C$3=2),AND($G769&lt;&gt;"",$H769&lt;&gt;"",$I769&lt;&gt;"")),1,0))</f>
        <v/>
      </c>
      <c r="BO769" s="21" t="str">
        <f>IF(OR(COUNT(B769:D1768)=0,COUNT(G769:I1768)=0,'Choix pédagogiques'!C$3&lt;&gt;3),"",IF(AND('Choix pédagogiques'!$C$3=3,$B769&lt;&gt;"",$C769&lt;&gt;"",$D769&lt;&gt;"",$G769&lt;&gt;"",$H769&lt;&gt;"",$I769&lt;&gt;""),1,0))</f>
        <v/>
      </c>
      <c r="BR769" s="21">
        <v>18</v>
      </c>
      <c r="BS769" s="21">
        <v>1225</v>
      </c>
      <c r="BT769"/>
    </row>
    <row r="770" spans="1:72" s="23" customFormat="1" ht="18" customHeight="1" x14ac:dyDescent="0.3">
      <c r="A770" s="35" t="s">
        <v>760</v>
      </c>
      <c r="B770" s="37"/>
      <c r="C770" s="37"/>
      <c r="D770" s="37"/>
      <c r="E770" s="37"/>
      <c r="F770" s="35" t="s">
        <v>1768</v>
      </c>
      <c r="G770" s="37"/>
      <c r="H770" s="37"/>
      <c r="I770" s="37"/>
      <c r="J770" s="37"/>
      <c r="K770" s="21" t="str">
        <f t="shared" si="501"/>
        <v>Apprenant 758</v>
      </c>
      <c r="L770" s="22" t="str">
        <f t="shared" si="502"/>
        <v/>
      </c>
      <c r="M770" s="22" t="str">
        <f t="shared" si="503"/>
        <v/>
      </c>
      <c r="N770" s="22" t="str">
        <f t="shared" si="504"/>
        <v/>
      </c>
      <c r="O770" s="22" t="str">
        <f t="shared" si="505"/>
        <v/>
      </c>
      <c r="P770" s="21" t="str">
        <f t="shared" si="506"/>
        <v>Apprenant 758 ou 758'</v>
      </c>
      <c r="Q770" s="22" t="str">
        <f t="shared" si="507"/>
        <v/>
      </c>
      <c r="R770" s="22" t="str">
        <f t="shared" si="508"/>
        <v/>
      </c>
      <c r="S770" s="22" t="str">
        <f t="shared" si="509"/>
        <v/>
      </c>
      <c r="T770" s="22" t="str">
        <f t="shared" si="510"/>
        <v/>
      </c>
      <c r="V770" s="21" t="str">
        <f t="shared" si="511"/>
        <v>Apprenant 758</v>
      </c>
      <c r="W770" s="22" t="str">
        <f>IF(AND(OR('Choix pédagogiques'!$C$3=1,'Choix pédagogiques'!$C$3=2),$BM770=1),B770,IF(AND('Choix pédagogiques'!$C$3=3,$BO770=1),B770,""))</f>
        <v/>
      </c>
      <c r="X770" s="22" t="str">
        <f>IF(AND(OR('Choix pédagogiques'!$C$3=1,'Choix pédagogiques'!$C$3=2),$BM770=1),C770,IF(AND('Choix pédagogiques'!$C$3=3,$BO770=1),C770,""))</f>
        <v/>
      </c>
      <c r="Y770" s="22" t="str">
        <f>IF(AND(OR('Choix pédagogiques'!$C$3=1,'Choix pédagogiques'!$C$3=2),$BM770=1),D770,IF(AND('Choix pédagogiques'!$C$3=3,$BO770=1),D770,""))</f>
        <v/>
      </c>
      <c r="Z770" s="22" t="str">
        <f t="shared" si="512"/>
        <v/>
      </c>
      <c r="AA770" s="21" t="str">
        <f t="shared" si="513"/>
        <v>Apprenant 758 ou 758'</v>
      </c>
      <c r="AB770" s="22" t="str">
        <f>IF(AND(OR('Choix pédagogiques'!$C$3=1,'Choix pédagogiques'!$C$3=2),$BN770=1),G770,IF(AND('Choix pédagogiques'!$C$3=3,$BO770=1),G770,""))</f>
        <v/>
      </c>
      <c r="AC770" s="22" t="str">
        <f>IF(AND(OR('Choix pédagogiques'!$C$3=1,'Choix pédagogiques'!$C$3=2),$BN770=1),H770,IF(AND('Choix pédagogiques'!$C$3=3,$BO770=1),H770,""))</f>
        <v/>
      </c>
      <c r="AD770" s="22" t="str">
        <f>IF(AND(OR('Choix pédagogiques'!$C$3=1,'Choix pédagogiques'!$C$3=2),$BN770=1),I770,IF(AND('Choix pédagogiques'!$C$3=3,$BO770=1),I770,""))</f>
        <v/>
      </c>
      <c r="AE770" s="22" t="str">
        <f t="shared" si="514"/>
        <v/>
      </c>
      <c r="AF770" s="21" t="str">
        <f t="shared" si="515"/>
        <v>Apprenant 758</v>
      </c>
      <c r="AG770" s="22" t="str">
        <f t="shared" si="489"/>
        <v/>
      </c>
      <c r="AH770" s="22" t="str">
        <f t="shared" si="490"/>
        <v/>
      </c>
      <c r="AI770" s="22" t="str">
        <f t="shared" si="491"/>
        <v/>
      </c>
      <c r="AJ770" s="22" t="str">
        <f t="shared" si="516"/>
        <v/>
      </c>
      <c r="AK770" s="21" t="str">
        <f t="shared" si="517"/>
        <v>Apprenant 758 ou 758'</v>
      </c>
      <c r="AL770" s="22" t="str">
        <f t="shared" si="492"/>
        <v/>
      </c>
      <c r="AM770" s="22" t="str">
        <f t="shared" si="493"/>
        <v/>
      </c>
      <c r="AN770" s="22" t="str">
        <f t="shared" si="494"/>
        <v/>
      </c>
      <c r="AO770" s="22" t="str">
        <f t="shared" si="518"/>
        <v/>
      </c>
      <c r="AQ770" s="21" t="str">
        <f t="shared" si="519"/>
        <v>Apprenant 758</v>
      </c>
      <c r="AR770" s="49" t="str">
        <f>IF(AND('Choix pédagogiques'!$C$4&lt;&gt;"?",'Choix pédagogiques'!$C$5&lt;&gt;"?",W770&lt;&gt;""),(W770-'Choix pédagogiques'!$C$4)/('Choix pédagogiques'!$C$5-'Choix pédagogiques'!$C$4),"")</f>
        <v/>
      </c>
      <c r="AS770" s="49" t="str">
        <f>IF(AND('Choix pédagogiques'!$C$4&lt;&gt;"?",'Choix pédagogiques'!$C$5&lt;&gt;"?",X770&lt;&gt;""),(X770-'Choix pédagogiques'!$C$4)/('Choix pédagogiques'!$C$5-'Choix pédagogiques'!$C$4),"")</f>
        <v/>
      </c>
      <c r="AT770" s="49" t="str">
        <f>IF(AND('Choix pédagogiques'!$C$4&lt;&gt;"?",'Choix pédagogiques'!$C$5&lt;&gt;"?",Y770&lt;&gt;""),(Y770-'Choix pédagogiques'!$C$4)/('Choix pédagogiques'!$C$5-'Choix pédagogiques'!$C$4),"")</f>
        <v/>
      </c>
      <c r="AU770" s="22" t="str">
        <f t="shared" si="520"/>
        <v/>
      </c>
      <c r="AV770" s="21" t="str">
        <f t="shared" si="521"/>
        <v>Apprenant 758 ou 758'</v>
      </c>
      <c r="AW770" s="49" t="str">
        <f>IF(AND('Choix pédagogiques'!$C$4&lt;&gt;"?",'Choix pédagogiques'!$C$5&lt;&gt;"?",AB770&lt;&gt;""),(AB770-'Choix pédagogiques'!$C$4)/('Choix pédagogiques'!$C$5-'Choix pédagogiques'!$C$4),"")</f>
        <v/>
      </c>
      <c r="AX770" s="49" t="str">
        <f>IF(AND('Choix pédagogiques'!$C$4&lt;&gt;"?",'Choix pédagogiques'!$C$5&lt;&gt;"?",AC770&lt;&gt;""),(AC770-'Choix pédagogiques'!$C$4)/('Choix pédagogiques'!$C$5-'Choix pédagogiques'!$C$4),"")</f>
        <v/>
      </c>
      <c r="AY770" s="49" t="str">
        <f>IF(AND('Choix pédagogiques'!$C$4&lt;&gt;"?",'Choix pédagogiques'!$C$5&lt;&gt;"?",AD770&lt;&gt;""),(AD770-'Choix pédagogiques'!$C$4)/('Choix pédagogiques'!$C$5-'Choix pédagogiques'!$C$4),"")</f>
        <v/>
      </c>
      <c r="AZ770" s="22" t="str">
        <f t="shared" si="522"/>
        <v/>
      </c>
      <c r="BA770" s="21" t="str">
        <f t="shared" si="523"/>
        <v>Apprenant 758</v>
      </c>
      <c r="BB770" s="49" t="str">
        <f t="shared" si="495"/>
        <v/>
      </c>
      <c r="BC770" s="49" t="str">
        <f t="shared" si="496"/>
        <v/>
      </c>
      <c r="BD770" s="49" t="str">
        <f t="shared" si="497"/>
        <v/>
      </c>
      <c r="BE770" s="22" t="str">
        <f t="shared" si="524"/>
        <v/>
      </c>
      <c r="BF770" s="21" t="str">
        <f t="shared" si="525"/>
        <v>Apprenant 758 ou 758'</v>
      </c>
      <c r="BG770" s="49" t="str">
        <f t="shared" si="498"/>
        <v/>
      </c>
      <c r="BH770" s="49" t="str">
        <f t="shared" si="499"/>
        <v/>
      </c>
      <c r="BI770" s="49" t="str">
        <f t="shared" si="500"/>
        <v/>
      </c>
      <c r="BJ770" s="22" t="str">
        <f t="shared" si="526"/>
        <v/>
      </c>
      <c r="BL770" s="21"/>
      <c r="BM770" s="21" t="str">
        <f>IF(OR(COUNT(B770:D1769)=0,AND('Choix pédagogiques'!$C$3&lt;&gt;1,'Choix pédagogiques'!$C$3&lt;&gt;2)),"",IF(AND(OR('Choix pédagogiques'!$C$3=1,'Choix pédagogiques'!$C$3=2),$B770&lt;&gt;"",$C770&lt;&gt;"",$D770&lt;&gt;""),1,0))</f>
        <v/>
      </c>
      <c r="BN770" s="21" t="str">
        <f>IF(OR(COUNT(G770:I1769)=0,AND('Choix pédagogiques'!$C$3&lt;&gt;1,'Choix pédagogiques'!$C$3&lt;&gt;2)),"",IF(AND(OR('Choix pédagogiques'!$C$3=1,'Choix pédagogiques'!$C$3=2),AND($G770&lt;&gt;"",$H770&lt;&gt;"",$I770&lt;&gt;"")),1,0))</f>
        <v/>
      </c>
      <c r="BO770" s="21" t="str">
        <f>IF(OR(COUNT(B770:D1769)=0,COUNT(G770:I1769)=0,'Choix pédagogiques'!C$3&lt;&gt;3),"",IF(AND('Choix pédagogiques'!$C$3=3,$B770&lt;&gt;"",$C770&lt;&gt;"",$D770&lt;&gt;"",$G770&lt;&gt;"",$H770&lt;&gt;"",$I770&lt;&gt;""),1,0))</f>
        <v/>
      </c>
      <c r="BR770" s="21">
        <v>535</v>
      </c>
      <c r="BS770" s="21">
        <v>1490</v>
      </c>
      <c r="BT770"/>
    </row>
    <row r="771" spans="1:72" s="23" customFormat="1" ht="18" customHeight="1" x14ac:dyDescent="0.3">
      <c r="A771" s="35" t="s">
        <v>761</v>
      </c>
      <c r="B771" s="37"/>
      <c r="C771" s="37"/>
      <c r="D771" s="37"/>
      <c r="E771" s="37"/>
      <c r="F771" s="35" t="s">
        <v>1769</v>
      </c>
      <c r="G771" s="37"/>
      <c r="H771" s="37"/>
      <c r="I771" s="37"/>
      <c r="J771" s="37"/>
      <c r="K771" s="21" t="str">
        <f t="shared" si="501"/>
        <v>Apprenant 759</v>
      </c>
      <c r="L771" s="22" t="str">
        <f t="shared" si="502"/>
        <v/>
      </c>
      <c r="M771" s="22" t="str">
        <f t="shared" si="503"/>
        <v/>
      </c>
      <c r="N771" s="22" t="str">
        <f t="shared" si="504"/>
        <v/>
      </c>
      <c r="O771" s="22" t="str">
        <f t="shared" si="505"/>
        <v/>
      </c>
      <c r="P771" s="21" t="str">
        <f t="shared" si="506"/>
        <v>Apprenant 759 ou 759'</v>
      </c>
      <c r="Q771" s="22" t="str">
        <f t="shared" si="507"/>
        <v/>
      </c>
      <c r="R771" s="22" t="str">
        <f t="shared" si="508"/>
        <v/>
      </c>
      <c r="S771" s="22" t="str">
        <f t="shared" si="509"/>
        <v/>
      </c>
      <c r="T771" s="22" t="str">
        <f t="shared" si="510"/>
        <v/>
      </c>
      <c r="V771" s="21" t="str">
        <f t="shared" si="511"/>
        <v>Apprenant 759</v>
      </c>
      <c r="W771" s="22" t="str">
        <f>IF(AND(OR('Choix pédagogiques'!$C$3=1,'Choix pédagogiques'!$C$3=2),$BM771=1),B771,IF(AND('Choix pédagogiques'!$C$3=3,$BO771=1),B771,""))</f>
        <v/>
      </c>
      <c r="X771" s="22" t="str">
        <f>IF(AND(OR('Choix pédagogiques'!$C$3=1,'Choix pédagogiques'!$C$3=2),$BM771=1),C771,IF(AND('Choix pédagogiques'!$C$3=3,$BO771=1),C771,""))</f>
        <v/>
      </c>
      <c r="Y771" s="22" t="str">
        <f>IF(AND(OR('Choix pédagogiques'!$C$3=1,'Choix pédagogiques'!$C$3=2),$BM771=1),D771,IF(AND('Choix pédagogiques'!$C$3=3,$BO771=1),D771,""))</f>
        <v/>
      </c>
      <c r="Z771" s="22" t="str">
        <f t="shared" si="512"/>
        <v/>
      </c>
      <c r="AA771" s="21" t="str">
        <f t="shared" si="513"/>
        <v>Apprenant 759 ou 759'</v>
      </c>
      <c r="AB771" s="22" t="str">
        <f>IF(AND(OR('Choix pédagogiques'!$C$3=1,'Choix pédagogiques'!$C$3=2),$BN771=1),G771,IF(AND('Choix pédagogiques'!$C$3=3,$BO771=1),G771,""))</f>
        <v/>
      </c>
      <c r="AC771" s="22" t="str">
        <f>IF(AND(OR('Choix pédagogiques'!$C$3=1,'Choix pédagogiques'!$C$3=2),$BN771=1),H771,IF(AND('Choix pédagogiques'!$C$3=3,$BO771=1),H771,""))</f>
        <v/>
      </c>
      <c r="AD771" s="22" t="str">
        <f>IF(AND(OR('Choix pédagogiques'!$C$3=1,'Choix pédagogiques'!$C$3=2),$BN771=1),I771,IF(AND('Choix pédagogiques'!$C$3=3,$BO771=1),I771,""))</f>
        <v/>
      </c>
      <c r="AE771" s="22" t="str">
        <f t="shared" si="514"/>
        <v/>
      </c>
      <c r="AF771" s="21" t="str">
        <f t="shared" si="515"/>
        <v>Apprenant 759</v>
      </c>
      <c r="AG771" s="22" t="str">
        <f t="shared" si="489"/>
        <v/>
      </c>
      <c r="AH771" s="22" t="str">
        <f t="shared" si="490"/>
        <v/>
      </c>
      <c r="AI771" s="22" t="str">
        <f t="shared" si="491"/>
        <v/>
      </c>
      <c r="AJ771" s="22" t="str">
        <f t="shared" si="516"/>
        <v/>
      </c>
      <c r="AK771" s="21" t="str">
        <f t="shared" si="517"/>
        <v>Apprenant 759 ou 759'</v>
      </c>
      <c r="AL771" s="22" t="str">
        <f t="shared" si="492"/>
        <v/>
      </c>
      <c r="AM771" s="22" t="str">
        <f t="shared" si="493"/>
        <v/>
      </c>
      <c r="AN771" s="22" t="str">
        <f t="shared" si="494"/>
        <v/>
      </c>
      <c r="AO771" s="22" t="str">
        <f t="shared" si="518"/>
        <v/>
      </c>
      <c r="AQ771" s="21" t="str">
        <f t="shared" si="519"/>
        <v>Apprenant 759</v>
      </c>
      <c r="AR771" s="49" t="str">
        <f>IF(AND('Choix pédagogiques'!$C$4&lt;&gt;"?",'Choix pédagogiques'!$C$5&lt;&gt;"?",W771&lt;&gt;""),(W771-'Choix pédagogiques'!$C$4)/('Choix pédagogiques'!$C$5-'Choix pédagogiques'!$C$4),"")</f>
        <v/>
      </c>
      <c r="AS771" s="49" t="str">
        <f>IF(AND('Choix pédagogiques'!$C$4&lt;&gt;"?",'Choix pédagogiques'!$C$5&lt;&gt;"?",X771&lt;&gt;""),(X771-'Choix pédagogiques'!$C$4)/('Choix pédagogiques'!$C$5-'Choix pédagogiques'!$C$4),"")</f>
        <v/>
      </c>
      <c r="AT771" s="49" t="str">
        <f>IF(AND('Choix pédagogiques'!$C$4&lt;&gt;"?",'Choix pédagogiques'!$C$5&lt;&gt;"?",Y771&lt;&gt;""),(Y771-'Choix pédagogiques'!$C$4)/('Choix pédagogiques'!$C$5-'Choix pédagogiques'!$C$4),"")</f>
        <v/>
      </c>
      <c r="AU771" s="22" t="str">
        <f t="shared" si="520"/>
        <v/>
      </c>
      <c r="AV771" s="21" t="str">
        <f t="shared" si="521"/>
        <v>Apprenant 759 ou 759'</v>
      </c>
      <c r="AW771" s="49" t="str">
        <f>IF(AND('Choix pédagogiques'!$C$4&lt;&gt;"?",'Choix pédagogiques'!$C$5&lt;&gt;"?",AB771&lt;&gt;""),(AB771-'Choix pédagogiques'!$C$4)/('Choix pédagogiques'!$C$5-'Choix pédagogiques'!$C$4),"")</f>
        <v/>
      </c>
      <c r="AX771" s="49" t="str">
        <f>IF(AND('Choix pédagogiques'!$C$4&lt;&gt;"?",'Choix pédagogiques'!$C$5&lt;&gt;"?",AC771&lt;&gt;""),(AC771-'Choix pédagogiques'!$C$4)/('Choix pédagogiques'!$C$5-'Choix pédagogiques'!$C$4),"")</f>
        <v/>
      </c>
      <c r="AY771" s="49" t="str">
        <f>IF(AND('Choix pédagogiques'!$C$4&lt;&gt;"?",'Choix pédagogiques'!$C$5&lt;&gt;"?",AD771&lt;&gt;""),(AD771-'Choix pédagogiques'!$C$4)/('Choix pédagogiques'!$C$5-'Choix pédagogiques'!$C$4),"")</f>
        <v/>
      </c>
      <c r="AZ771" s="22" t="str">
        <f t="shared" si="522"/>
        <v/>
      </c>
      <c r="BA771" s="21" t="str">
        <f t="shared" si="523"/>
        <v>Apprenant 759</v>
      </c>
      <c r="BB771" s="49" t="str">
        <f t="shared" si="495"/>
        <v/>
      </c>
      <c r="BC771" s="49" t="str">
        <f t="shared" si="496"/>
        <v/>
      </c>
      <c r="BD771" s="49" t="str">
        <f t="shared" si="497"/>
        <v/>
      </c>
      <c r="BE771" s="22" t="str">
        <f t="shared" si="524"/>
        <v/>
      </c>
      <c r="BF771" s="21" t="str">
        <f t="shared" si="525"/>
        <v>Apprenant 759 ou 759'</v>
      </c>
      <c r="BG771" s="49" t="str">
        <f t="shared" si="498"/>
        <v/>
      </c>
      <c r="BH771" s="49" t="str">
        <f t="shared" si="499"/>
        <v/>
      </c>
      <c r="BI771" s="49" t="str">
        <f t="shared" si="500"/>
        <v/>
      </c>
      <c r="BJ771" s="22" t="str">
        <f t="shared" si="526"/>
        <v/>
      </c>
      <c r="BL771" s="21"/>
      <c r="BM771" s="21" t="str">
        <f>IF(OR(COUNT(B771:D1770)=0,AND('Choix pédagogiques'!$C$3&lt;&gt;1,'Choix pédagogiques'!$C$3&lt;&gt;2)),"",IF(AND(OR('Choix pédagogiques'!$C$3=1,'Choix pédagogiques'!$C$3=2),$B771&lt;&gt;"",$C771&lt;&gt;"",$D771&lt;&gt;""),1,0))</f>
        <v/>
      </c>
      <c r="BN771" s="21" t="str">
        <f>IF(OR(COUNT(G771:I1770)=0,AND('Choix pédagogiques'!$C$3&lt;&gt;1,'Choix pédagogiques'!$C$3&lt;&gt;2)),"",IF(AND(OR('Choix pédagogiques'!$C$3=1,'Choix pédagogiques'!$C$3=2),AND($G771&lt;&gt;"",$H771&lt;&gt;"",$I771&lt;&gt;"")),1,0))</f>
        <v/>
      </c>
      <c r="BO771" s="21" t="str">
        <f>IF(OR(COUNT(B771:D1770)=0,COUNT(G771:I1770)=0,'Choix pédagogiques'!C$3&lt;&gt;3),"",IF(AND('Choix pédagogiques'!$C$3=3,$B771&lt;&gt;"",$C771&lt;&gt;"",$D771&lt;&gt;"",$G771&lt;&gt;"",$H771&lt;&gt;"",$I771&lt;&gt;""),1,0))</f>
        <v/>
      </c>
      <c r="BR771" s="21">
        <v>923</v>
      </c>
      <c r="BS771" s="21">
        <v>1261</v>
      </c>
      <c r="BT771"/>
    </row>
    <row r="772" spans="1:72" s="23" customFormat="1" ht="18" customHeight="1" x14ac:dyDescent="0.3">
      <c r="A772" s="35" t="s">
        <v>762</v>
      </c>
      <c r="B772" s="37"/>
      <c r="C772" s="37"/>
      <c r="D772" s="37"/>
      <c r="E772" s="37"/>
      <c r="F772" s="35" t="s">
        <v>1770</v>
      </c>
      <c r="G772" s="37"/>
      <c r="H772" s="37"/>
      <c r="I772" s="37"/>
      <c r="J772" s="37"/>
      <c r="K772" s="21" t="str">
        <f t="shared" si="501"/>
        <v>Apprenant 760</v>
      </c>
      <c r="L772" s="22" t="str">
        <f t="shared" si="502"/>
        <v/>
      </c>
      <c r="M772" s="22" t="str">
        <f t="shared" si="503"/>
        <v/>
      </c>
      <c r="N772" s="22" t="str">
        <f t="shared" si="504"/>
        <v/>
      </c>
      <c r="O772" s="22" t="str">
        <f t="shared" si="505"/>
        <v/>
      </c>
      <c r="P772" s="21" t="str">
        <f t="shared" si="506"/>
        <v>Apprenant 760 ou 760'</v>
      </c>
      <c r="Q772" s="22" t="str">
        <f t="shared" si="507"/>
        <v/>
      </c>
      <c r="R772" s="22" t="str">
        <f t="shared" si="508"/>
        <v/>
      </c>
      <c r="S772" s="22" t="str">
        <f t="shared" si="509"/>
        <v/>
      </c>
      <c r="T772" s="22" t="str">
        <f t="shared" si="510"/>
        <v/>
      </c>
      <c r="V772" s="21" t="str">
        <f t="shared" si="511"/>
        <v>Apprenant 760</v>
      </c>
      <c r="W772" s="22" t="str">
        <f>IF(AND(OR('Choix pédagogiques'!$C$3=1,'Choix pédagogiques'!$C$3=2),$BM772=1),B772,IF(AND('Choix pédagogiques'!$C$3=3,$BO772=1),B772,""))</f>
        <v/>
      </c>
      <c r="X772" s="22" t="str">
        <f>IF(AND(OR('Choix pédagogiques'!$C$3=1,'Choix pédagogiques'!$C$3=2),$BM772=1),C772,IF(AND('Choix pédagogiques'!$C$3=3,$BO772=1),C772,""))</f>
        <v/>
      </c>
      <c r="Y772" s="22" t="str">
        <f>IF(AND(OR('Choix pédagogiques'!$C$3=1,'Choix pédagogiques'!$C$3=2),$BM772=1),D772,IF(AND('Choix pédagogiques'!$C$3=3,$BO772=1),D772,""))</f>
        <v/>
      </c>
      <c r="Z772" s="22" t="str">
        <f t="shared" si="512"/>
        <v/>
      </c>
      <c r="AA772" s="21" t="str">
        <f t="shared" si="513"/>
        <v>Apprenant 760 ou 760'</v>
      </c>
      <c r="AB772" s="22" t="str">
        <f>IF(AND(OR('Choix pédagogiques'!$C$3=1,'Choix pédagogiques'!$C$3=2),$BN772=1),G772,IF(AND('Choix pédagogiques'!$C$3=3,$BO772=1),G772,""))</f>
        <v/>
      </c>
      <c r="AC772" s="22" t="str">
        <f>IF(AND(OR('Choix pédagogiques'!$C$3=1,'Choix pédagogiques'!$C$3=2),$BN772=1),H772,IF(AND('Choix pédagogiques'!$C$3=3,$BO772=1),H772,""))</f>
        <v/>
      </c>
      <c r="AD772" s="22" t="str">
        <f>IF(AND(OR('Choix pédagogiques'!$C$3=1,'Choix pédagogiques'!$C$3=2),$BN772=1),I772,IF(AND('Choix pédagogiques'!$C$3=3,$BO772=1),I772,""))</f>
        <v/>
      </c>
      <c r="AE772" s="22" t="str">
        <f t="shared" si="514"/>
        <v/>
      </c>
      <c r="AF772" s="21" t="str">
        <f t="shared" si="515"/>
        <v>Apprenant 760</v>
      </c>
      <c r="AG772" s="22" t="str">
        <f t="shared" si="489"/>
        <v/>
      </c>
      <c r="AH772" s="22" t="str">
        <f t="shared" si="490"/>
        <v/>
      </c>
      <c r="AI772" s="22" t="str">
        <f t="shared" si="491"/>
        <v/>
      </c>
      <c r="AJ772" s="22" t="str">
        <f t="shared" si="516"/>
        <v/>
      </c>
      <c r="AK772" s="21" t="str">
        <f t="shared" si="517"/>
        <v>Apprenant 760 ou 760'</v>
      </c>
      <c r="AL772" s="22" t="str">
        <f t="shared" si="492"/>
        <v/>
      </c>
      <c r="AM772" s="22" t="str">
        <f t="shared" si="493"/>
        <v/>
      </c>
      <c r="AN772" s="22" t="str">
        <f t="shared" si="494"/>
        <v/>
      </c>
      <c r="AO772" s="22" t="str">
        <f t="shared" si="518"/>
        <v/>
      </c>
      <c r="AQ772" s="21" t="str">
        <f t="shared" si="519"/>
        <v>Apprenant 760</v>
      </c>
      <c r="AR772" s="49" t="str">
        <f>IF(AND('Choix pédagogiques'!$C$4&lt;&gt;"?",'Choix pédagogiques'!$C$5&lt;&gt;"?",W772&lt;&gt;""),(W772-'Choix pédagogiques'!$C$4)/('Choix pédagogiques'!$C$5-'Choix pédagogiques'!$C$4),"")</f>
        <v/>
      </c>
      <c r="AS772" s="49" t="str">
        <f>IF(AND('Choix pédagogiques'!$C$4&lt;&gt;"?",'Choix pédagogiques'!$C$5&lt;&gt;"?",X772&lt;&gt;""),(X772-'Choix pédagogiques'!$C$4)/('Choix pédagogiques'!$C$5-'Choix pédagogiques'!$C$4),"")</f>
        <v/>
      </c>
      <c r="AT772" s="49" t="str">
        <f>IF(AND('Choix pédagogiques'!$C$4&lt;&gt;"?",'Choix pédagogiques'!$C$5&lt;&gt;"?",Y772&lt;&gt;""),(Y772-'Choix pédagogiques'!$C$4)/('Choix pédagogiques'!$C$5-'Choix pédagogiques'!$C$4),"")</f>
        <v/>
      </c>
      <c r="AU772" s="22" t="str">
        <f t="shared" si="520"/>
        <v/>
      </c>
      <c r="AV772" s="21" t="str">
        <f t="shared" si="521"/>
        <v>Apprenant 760 ou 760'</v>
      </c>
      <c r="AW772" s="49" t="str">
        <f>IF(AND('Choix pédagogiques'!$C$4&lt;&gt;"?",'Choix pédagogiques'!$C$5&lt;&gt;"?",AB772&lt;&gt;""),(AB772-'Choix pédagogiques'!$C$4)/('Choix pédagogiques'!$C$5-'Choix pédagogiques'!$C$4),"")</f>
        <v/>
      </c>
      <c r="AX772" s="49" t="str">
        <f>IF(AND('Choix pédagogiques'!$C$4&lt;&gt;"?",'Choix pédagogiques'!$C$5&lt;&gt;"?",AC772&lt;&gt;""),(AC772-'Choix pédagogiques'!$C$4)/('Choix pédagogiques'!$C$5-'Choix pédagogiques'!$C$4),"")</f>
        <v/>
      </c>
      <c r="AY772" s="49" t="str">
        <f>IF(AND('Choix pédagogiques'!$C$4&lt;&gt;"?",'Choix pédagogiques'!$C$5&lt;&gt;"?",AD772&lt;&gt;""),(AD772-'Choix pédagogiques'!$C$4)/('Choix pédagogiques'!$C$5-'Choix pédagogiques'!$C$4),"")</f>
        <v/>
      </c>
      <c r="AZ772" s="22" t="str">
        <f t="shared" si="522"/>
        <v/>
      </c>
      <c r="BA772" s="21" t="str">
        <f t="shared" si="523"/>
        <v>Apprenant 760</v>
      </c>
      <c r="BB772" s="49" t="str">
        <f t="shared" si="495"/>
        <v/>
      </c>
      <c r="BC772" s="49" t="str">
        <f t="shared" si="496"/>
        <v/>
      </c>
      <c r="BD772" s="49" t="str">
        <f t="shared" si="497"/>
        <v/>
      </c>
      <c r="BE772" s="22" t="str">
        <f t="shared" si="524"/>
        <v/>
      </c>
      <c r="BF772" s="21" t="str">
        <f t="shared" si="525"/>
        <v>Apprenant 760 ou 760'</v>
      </c>
      <c r="BG772" s="49" t="str">
        <f t="shared" si="498"/>
        <v/>
      </c>
      <c r="BH772" s="49" t="str">
        <f t="shared" si="499"/>
        <v/>
      </c>
      <c r="BI772" s="49" t="str">
        <f t="shared" si="500"/>
        <v/>
      </c>
      <c r="BJ772" s="22" t="str">
        <f t="shared" si="526"/>
        <v/>
      </c>
      <c r="BL772" s="21"/>
      <c r="BM772" s="21" t="str">
        <f>IF(OR(COUNT(B772:D1771)=0,AND('Choix pédagogiques'!$C$3&lt;&gt;1,'Choix pédagogiques'!$C$3&lt;&gt;2)),"",IF(AND(OR('Choix pédagogiques'!$C$3=1,'Choix pédagogiques'!$C$3=2),$B772&lt;&gt;"",$C772&lt;&gt;"",$D772&lt;&gt;""),1,0))</f>
        <v/>
      </c>
      <c r="BN772" s="21" t="str">
        <f>IF(OR(COUNT(G772:I1771)=0,AND('Choix pédagogiques'!$C$3&lt;&gt;1,'Choix pédagogiques'!$C$3&lt;&gt;2)),"",IF(AND(OR('Choix pédagogiques'!$C$3=1,'Choix pédagogiques'!$C$3=2),AND($G772&lt;&gt;"",$H772&lt;&gt;"",$I772&lt;&gt;"")),1,0))</f>
        <v/>
      </c>
      <c r="BO772" s="21" t="str">
        <f>IF(OR(COUNT(B772:D1771)=0,COUNT(G772:I1771)=0,'Choix pédagogiques'!C$3&lt;&gt;3),"",IF(AND('Choix pédagogiques'!$C$3=3,$B772&lt;&gt;"",$C772&lt;&gt;"",$D772&lt;&gt;"",$G772&lt;&gt;"",$H772&lt;&gt;"",$I772&lt;&gt;""),1,0))</f>
        <v/>
      </c>
      <c r="BR772" s="21">
        <v>696</v>
      </c>
      <c r="BS772" s="21">
        <v>1991</v>
      </c>
      <c r="BT772"/>
    </row>
    <row r="773" spans="1:72" s="23" customFormat="1" ht="18" customHeight="1" x14ac:dyDescent="0.3">
      <c r="A773" s="35" t="s">
        <v>763</v>
      </c>
      <c r="B773" s="37"/>
      <c r="C773" s="37"/>
      <c r="D773" s="37"/>
      <c r="E773" s="37"/>
      <c r="F773" s="35" t="s">
        <v>1771</v>
      </c>
      <c r="G773" s="37"/>
      <c r="H773" s="37"/>
      <c r="I773" s="37"/>
      <c r="J773" s="37"/>
      <c r="K773" s="21" t="str">
        <f t="shared" si="501"/>
        <v>Apprenant 761</v>
      </c>
      <c r="L773" s="22" t="str">
        <f t="shared" si="502"/>
        <v/>
      </c>
      <c r="M773" s="22" t="str">
        <f t="shared" si="503"/>
        <v/>
      </c>
      <c r="N773" s="22" t="str">
        <f t="shared" si="504"/>
        <v/>
      </c>
      <c r="O773" s="22" t="str">
        <f t="shared" si="505"/>
        <v/>
      </c>
      <c r="P773" s="21" t="str">
        <f t="shared" si="506"/>
        <v>Apprenant 761 ou 761'</v>
      </c>
      <c r="Q773" s="22" t="str">
        <f t="shared" si="507"/>
        <v/>
      </c>
      <c r="R773" s="22" t="str">
        <f t="shared" si="508"/>
        <v/>
      </c>
      <c r="S773" s="22" t="str">
        <f t="shared" si="509"/>
        <v/>
      </c>
      <c r="T773" s="22" t="str">
        <f t="shared" si="510"/>
        <v/>
      </c>
      <c r="V773" s="21" t="str">
        <f t="shared" si="511"/>
        <v>Apprenant 761</v>
      </c>
      <c r="W773" s="22" t="str">
        <f>IF(AND(OR('Choix pédagogiques'!$C$3=1,'Choix pédagogiques'!$C$3=2),$BM773=1),B773,IF(AND('Choix pédagogiques'!$C$3=3,$BO773=1),B773,""))</f>
        <v/>
      </c>
      <c r="X773" s="22" t="str">
        <f>IF(AND(OR('Choix pédagogiques'!$C$3=1,'Choix pédagogiques'!$C$3=2),$BM773=1),C773,IF(AND('Choix pédagogiques'!$C$3=3,$BO773=1),C773,""))</f>
        <v/>
      </c>
      <c r="Y773" s="22" t="str">
        <f>IF(AND(OR('Choix pédagogiques'!$C$3=1,'Choix pédagogiques'!$C$3=2),$BM773=1),D773,IF(AND('Choix pédagogiques'!$C$3=3,$BO773=1),D773,""))</f>
        <v/>
      </c>
      <c r="Z773" s="22" t="str">
        <f t="shared" si="512"/>
        <v/>
      </c>
      <c r="AA773" s="21" t="str">
        <f t="shared" si="513"/>
        <v>Apprenant 761 ou 761'</v>
      </c>
      <c r="AB773" s="22" t="str">
        <f>IF(AND(OR('Choix pédagogiques'!$C$3=1,'Choix pédagogiques'!$C$3=2),$BN773=1),G773,IF(AND('Choix pédagogiques'!$C$3=3,$BO773=1),G773,""))</f>
        <v/>
      </c>
      <c r="AC773" s="22" t="str">
        <f>IF(AND(OR('Choix pédagogiques'!$C$3=1,'Choix pédagogiques'!$C$3=2),$BN773=1),H773,IF(AND('Choix pédagogiques'!$C$3=3,$BO773=1),H773,""))</f>
        <v/>
      </c>
      <c r="AD773" s="22" t="str">
        <f>IF(AND(OR('Choix pédagogiques'!$C$3=1,'Choix pédagogiques'!$C$3=2),$BN773=1),I773,IF(AND('Choix pédagogiques'!$C$3=3,$BO773=1),I773,""))</f>
        <v/>
      </c>
      <c r="AE773" s="22" t="str">
        <f t="shared" si="514"/>
        <v/>
      </c>
      <c r="AF773" s="21" t="str">
        <f t="shared" si="515"/>
        <v>Apprenant 761</v>
      </c>
      <c r="AG773" s="22" t="str">
        <f t="shared" si="489"/>
        <v/>
      </c>
      <c r="AH773" s="22" t="str">
        <f t="shared" si="490"/>
        <v/>
      </c>
      <c r="AI773" s="22" t="str">
        <f t="shared" si="491"/>
        <v/>
      </c>
      <c r="AJ773" s="22" t="str">
        <f t="shared" si="516"/>
        <v/>
      </c>
      <c r="AK773" s="21" t="str">
        <f t="shared" si="517"/>
        <v>Apprenant 761 ou 761'</v>
      </c>
      <c r="AL773" s="22" t="str">
        <f t="shared" si="492"/>
        <v/>
      </c>
      <c r="AM773" s="22" t="str">
        <f t="shared" si="493"/>
        <v/>
      </c>
      <c r="AN773" s="22" t="str">
        <f t="shared" si="494"/>
        <v/>
      </c>
      <c r="AO773" s="22" t="str">
        <f t="shared" si="518"/>
        <v/>
      </c>
      <c r="AQ773" s="21" t="str">
        <f t="shared" si="519"/>
        <v>Apprenant 761</v>
      </c>
      <c r="AR773" s="49" t="str">
        <f>IF(AND('Choix pédagogiques'!$C$4&lt;&gt;"?",'Choix pédagogiques'!$C$5&lt;&gt;"?",W773&lt;&gt;""),(W773-'Choix pédagogiques'!$C$4)/('Choix pédagogiques'!$C$5-'Choix pédagogiques'!$C$4),"")</f>
        <v/>
      </c>
      <c r="AS773" s="49" t="str">
        <f>IF(AND('Choix pédagogiques'!$C$4&lt;&gt;"?",'Choix pédagogiques'!$C$5&lt;&gt;"?",X773&lt;&gt;""),(X773-'Choix pédagogiques'!$C$4)/('Choix pédagogiques'!$C$5-'Choix pédagogiques'!$C$4),"")</f>
        <v/>
      </c>
      <c r="AT773" s="49" t="str">
        <f>IF(AND('Choix pédagogiques'!$C$4&lt;&gt;"?",'Choix pédagogiques'!$C$5&lt;&gt;"?",Y773&lt;&gt;""),(Y773-'Choix pédagogiques'!$C$4)/('Choix pédagogiques'!$C$5-'Choix pédagogiques'!$C$4),"")</f>
        <v/>
      </c>
      <c r="AU773" s="22" t="str">
        <f t="shared" si="520"/>
        <v/>
      </c>
      <c r="AV773" s="21" t="str">
        <f t="shared" si="521"/>
        <v>Apprenant 761 ou 761'</v>
      </c>
      <c r="AW773" s="49" t="str">
        <f>IF(AND('Choix pédagogiques'!$C$4&lt;&gt;"?",'Choix pédagogiques'!$C$5&lt;&gt;"?",AB773&lt;&gt;""),(AB773-'Choix pédagogiques'!$C$4)/('Choix pédagogiques'!$C$5-'Choix pédagogiques'!$C$4),"")</f>
        <v/>
      </c>
      <c r="AX773" s="49" t="str">
        <f>IF(AND('Choix pédagogiques'!$C$4&lt;&gt;"?",'Choix pédagogiques'!$C$5&lt;&gt;"?",AC773&lt;&gt;""),(AC773-'Choix pédagogiques'!$C$4)/('Choix pédagogiques'!$C$5-'Choix pédagogiques'!$C$4),"")</f>
        <v/>
      </c>
      <c r="AY773" s="49" t="str">
        <f>IF(AND('Choix pédagogiques'!$C$4&lt;&gt;"?",'Choix pédagogiques'!$C$5&lt;&gt;"?",AD773&lt;&gt;""),(AD773-'Choix pédagogiques'!$C$4)/('Choix pédagogiques'!$C$5-'Choix pédagogiques'!$C$4),"")</f>
        <v/>
      </c>
      <c r="AZ773" s="22" t="str">
        <f t="shared" si="522"/>
        <v/>
      </c>
      <c r="BA773" s="21" t="str">
        <f t="shared" si="523"/>
        <v>Apprenant 761</v>
      </c>
      <c r="BB773" s="49" t="str">
        <f t="shared" si="495"/>
        <v/>
      </c>
      <c r="BC773" s="49" t="str">
        <f t="shared" si="496"/>
        <v/>
      </c>
      <c r="BD773" s="49" t="str">
        <f t="shared" si="497"/>
        <v/>
      </c>
      <c r="BE773" s="22" t="str">
        <f t="shared" si="524"/>
        <v/>
      </c>
      <c r="BF773" s="21" t="str">
        <f t="shared" si="525"/>
        <v>Apprenant 761 ou 761'</v>
      </c>
      <c r="BG773" s="49" t="str">
        <f t="shared" si="498"/>
        <v/>
      </c>
      <c r="BH773" s="49" t="str">
        <f t="shared" si="499"/>
        <v/>
      </c>
      <c r="BI773" s="49" t="str">
        <f t="shared" si="500"/>
        <v/>
      </c>
      <c r="BJ773" s="22" t="str">
        <f t="shared" si="526"/>
        <v/>
      </c>
      <c r="BL773" s="21"/>
      <c r="BM773" s="21" t="str">
        <f>IF(OR(COUNT(B773:D1772)=0,AND('Choix pédagogiques'!$C$3&lt;&gt;1,'Choix pédagogiques'!$C$3&lt;&gt;2)),"",IF(AND(OR('Choix pédagogiques'!$C$3=1,'Choix pédagogiques'!$C$3=2),$B773&lt;&gt;"",$C773&lt;&gt;"",$D773&lt;&gt;""),1,0))</f>
        <v/>
      </c>
      <c r="BN773" s="21" t="str">
        <f>IF(OR(COUNT(G773:I1772)=0,AND('Choix pédagogiques'!$C$3&lt;&gt;1,'Choix pédagogiques'!$C$3&lt;&gt;2)),"",IF(AND(OR('Choix pédagogiques'!$C$3=1,'Choix pédagogiques'!$C$3=2),AND($G773&lt;&gt;"",$H773&lt;&gt;"",$I773&lt;&gt;"")),1,0))</f>
        <v/>
      </c>
      <c r="BO773" s="21" t="str">
        <f>IF(OR(COUNT(B773:D1772)=0,COUNT(G773:I1772)=0,'Choix pédagogiques'!C$3&lt;&gt;3),"",IF(AND('Choix pédagogiques'!$C$3=3,$B773&lt;&gt;"",$C773&lt;&gt;"",$D773&lt;&gt;"",$G773&lt;&gt;"",$H773&lt;&gt;"",$I773&lt;&gt;""),1,0))</f>
        <v/>
      </c>
      <c r="BR773" s="21">
        <v>230</v>
      </c>
      <c r="BS773" s="21">
        <v>1037</v>
      </c>
      <c r="BT773"/>
    </row>
    <row r="774" spans="1:72" s="23" customFormat="1" ht="18" customHeight="1" x14ac:dyDescent="0.3">
      <c r="A774" s="35" t="s">
        <v>764</v>
      </c>
      <c r="B774" s="37"/>
      <c r="C774" s="37"/>
      <c r="D774" s="37"/>
      <c r="E774" s="37"/>
      <c r="F774" s="35" t="s">
        <v>1772</v>
      </c>
      <c r="G774" s="37"/>
      <c r="H774" s="37"/>
      <c r="I774" s="37"/>
      <c r="J774" s="37"/>
      <c r="K774" s="21" t="str">
        <f t="shared" si="501"/>
        <v>Apprenant 762</v>
      </c>
      <c r="L774" s="22" t="str">
        <f t="shared" si="502"/>
        <v/>
      </c>
      <c r="M774" s="22" t="str">
        <f t="shared" si="503"/>
        <v/>
      </c>
      <c r="N774" s="22" t="str">
        <f t="shared" si="504"/>
        <v/>
      </c>
      <c r="O774" s="22" t="str">
        <f t="shared" si="505"/>
        <v/>
      </c>
      <c r="P774" s="21" t="str">
        <f t="shared" si="506"/>
        <v>Apprenant 762 ou 762'</v>
      </c>
      <c r="Q774" s="22" t="str">
        <f t="shared" si="507"/>
        <v/>
      </c>
      <c r="R774" s="22" t="str">
        <f t="shared" si="508"/>
        <v/>
      </c>
      <c r="S774" s="22" t="str">
        <f t="shared" si="509"/>
        <v/>
      </c>
      <c r="T774" s="22" t="str">
        <f t="shared" si="510"/>
        <v/>
      </c>
      <c r="V774" s="21" t="str">
        <f t="shared" si="511"/>
        <v>Apprenant 762</v>
      </c>
      <c r="W774" s="22" t="str">
        <f>IF(AND(OR('Choix pédagogiques'!$C$3=1,'Choix pédagogiques'!$C$3=2),$BM774=1),B774,IF(AND('Choix pédagogiques'!$C$3=3,$BO774=1),B774,""))</f>
        <v/>
      </c>
      <c r="X774" s="22" t="str">
        <f>IF(AND(OR('Choix pédagogiques'!$C$3=1,'Choix pédagogiques'!$C$3=2),$BM774=1),C774,IF(AND('Choix pédagogiques'!$C$3=3,$BO774=1),C774,""))</f>
        <v/>
      </c>
      <c r="Y774" s="22" t="str">
        <f>IF(AND(OR('Choix pédagogiques'!$C$3=1,'Choix pédagogiques'!$C$3=2),$BM774=1),D774,IF(AND('Choix pédagogiques'!$C$3=3,$BO774=1),D774,""))</f>
        <v/>
      </c>
      <c r="Z774" s="22" t="str">
        <f t="shared" si="512"/>
        <v/>
      </c>
      <c r="AA774" s="21" t="str">
        <f t="shared" si="513"/>
        <v>Apprenant 762 ou 762'</v>
      </c>
      <c r="AB774" s="22" t="str">
        <f>IF(AND(OR('Choix pédagogiques'!$C$3=1,'Choix pédagogiques'!$C$3=2),$BN774=1),G774,IF(AND('Choix pédagogiques'!$C$3=3,$BO774=1),G774,""))</f>
        <v/>
      </c>
      <c r="AC774" s="22" t="str">
        <f>IF(AND(OR('Choix pédagogiques'!$C$3=1,'Choix pédagogiques'!$C$3=2),$BN774=1),H774,IF(AND('Choix pédagogiques'!$C$3=3,$BO774=1),H774,""))</f>
        <v/>
      </c>
      <c r="AD774" s="22" t="str">
        <f>IF(AND(OR('Choix pédagogiques'!$C$3=1,'Choix pédagogiques'!$C$3=2),$BN774=1),I774,IF(AND('Choix pédagogiques'!$C$3=3,$BO774=1),I774,""))</f>
        <v/>
      </c>
      <c r="AE774" s="22" t="str">
        <f t="shared" si="514"/>
        <v/>
      </c>
      <c r="AF774" s="21" t="str">
        <f t="shared" si="515"/>
        <v>Apprenant 762</v>
      </c>
      <c r="AG774" s="22" t="str">
        <f t="shared" si="489"/>
        <v/>
      </c>
      <c r="AH774" s="22" t="str">
        <f t="shared" si="490"/>
        <v/>
      </c>
      <c r="AI774" s="22" t="str">
        <f t="shared" si="491"/>
        <v/>
      </c>
      <c r="AJ774" s="22" t="str">
        <f t="shared" si="516"/>
        <v/>
      </c>
      <c r="AK774" s="21" t="str">
        <f t="shared" si="517"/>
        <v>Apprenant 762 ou 762'</v>
      </c>
      <c r="AL774" s="22" t="str">
        <f t="shared" si="492"/>
        <v/>
      </c>
      <c r="AM774" s="22" t="str">
        <f t="shared" si="493"/>
        <v/>
      </c>
      <c r="AN774" s="22" t="str">
        <f t="shared" si="494"/>
        <v/>
      </c>
      <c r="AO774" s="22" t="str">
        <f t="shared" si="518"/>
        <v/>
      </c>
      <c r="AQ774" s="21" t="str">
        <f t="shared" si="519"/>
        <v>Apprenant 762</v>
      </c>
      <c r="AR774" s="49" t="str">
        <f>IF(AND('Choix pédagogiques'!$C$4&lt;&gt;"?",'Choix pédagogiques'!$C$5&lt;&gt;"?",W774&lt;&gt;""),(W774-'Choix pédagogiques'!$C$4)/('Choix pédagogiques'!$C$5-'Choix pédagogiques'!$C$4),"")</f>
        <v/>
      </c>
      <c r="AS774" s="49" t="str">
        <f>IF(AND('Choix pédagogiques'!$C$4&lt;&gt;"?",'Choix pédagogiques'!$C$5&lt;&gt;"?",X774&lt;&gt;""),(X774-'Choix pédagogiques'!$C$4)/('Choix pédagogiques'!$C$5-'Choix pédagogiques'!$C$4),"")</f>
        <v/>
      </c>
      <c r="AT774" s="49" t="str">
        <f>IF(AND('Choix pédagogiques'!$C$4&lt;&gt;"?",'Choix pédagogiques'!$C$5&lt;&gt;"?",Y774&lt;&gt;""),(Y774-'Choix pédagogiques'!$C$4)/('Choix pédagogiques'!$C$5-'Choix pédagogiques'!$C$4),"")</f>
        <v/>
      </c>
      <c r="AU774" s="22" t="str">
        <f t="shared" si="520"/>
        <v/>
      </c>
      <c r="AV774" s="21" t="str">
        <f t="shared" si="521"/>
        <v>Apprenant 762 ou 762'</v>
      </c>
      <c r="AW774" s="49" t="str">
        <f>IF(AND('Choix pédagogiques'!$C$4&lt;&gt;"?",'Choix pédagogiques'!$C$5&lt;&gt;"?",AB774&lt;&gt;""),(AB774-'Choix pédagogiques'!$C$4)/('Choix pédagogiques'!$C$5-'Choix pédagogiques'!$C$4),"")</f>
        <v/>
      </c>
      <c r="AX774" s="49" t="str">
        <f>IF(AND('Choix pédagogiques'!$C$4&lt;&gt;"?",'Choix pédagogiques'!$C$5&lt;&gt;"?",AC774&lt;&gt;""),(AC774-'Choix pédagogiques'!$C$4)/('Choix pédagogiques'!$C$5-'Choix pédagogiques'!$C$4),"")</f>
        <v/>
      </c>
      <c r="AY774" s="49" t="str">
        <f>IF(AND('Choix pédagogiques'!$C$4&lt;&gt;"?",'Choix pédagogiques'!$C$5&lt;&gt;"?",AD774&lt;&gt;""),(AD774-'Choix pédagogiques'!$C$4)/('Choix pédagogiques'!$C$5-'Choix pédagogiques'!$C$4),"")</f>
        <v/>
      </c>
      <c r="AZ774" s="22" t="str">
        <f t="shared" si="522"/>
        <v/>
      </c>
      <c r="BA774" s="21" t="str">
        <f t="shared" si="523"/>
        <v>Apprenant 762</v>
      </c>
      <c r="BB774" s="49" t="str">
        <f t="shared" si="495"/>
        <v/>
      </c>
      <c r="BC774" s="49" t="str">
        <f t="shared" si="496"/>
        <v/>
      </c>
      <c r="BD774" s="49" t="str">
        <f t="shared" si="497"/>
        <v/>
      </c>
      <c r="BE774" s="22" t="str">
        <f t="shared" si="524"/>
        <v/>
      </c>
      <c r="BF774" s="21" t="str">
        <f t="shared" si="525"/>
        <v>Apprenant 762 ou 762'</v>
      </c>
      <c r="BG774" s="49" t="str">
        <f t="shared" si="498"/>
        <v/>
      </c>
      <c r="BH774" s="49" t="str">
        <f t="shared" si="499"/>
        <v/>
      </c>
      <c r="BI774" s="49" t="str">
        <f t="shared" si="500"/>
        <v/>
      </c>
      <c r="BJ774" s="22" t="str">
        <f t="shared" si="526"/>
        <v/>
      </c>
      <c r="BL774" s="21"/>
      <c r="BM774" s="21" t="str">
        <f>IF(OR(COUNT(B774:D1773)=0,AND('Choix pédagogiques'!$C$3&lt;&gt;1,'Choix pédagogiques'!$C$3&lt;&gt;2)),"",IF(AND(OR('Choix pédagogiques'!$C$3=1,'Choix pédagogiques'!$C$3=2),$B774&lt;&gt;"",$C774&lt;&gt;"",$D774&lt;&gt;""),1,0))</f>
        <v/>
      </c>
      <c r="BN774" s="21" t="str">
        <f>IF(OR(COUNT(G774:I1773)=0,AND('Choix pédagogiques'!$C$3&lt;&gt;1,'Choix pédagogiques'!$C$3&lt;&gt;2)),"",IF(AND(OR('Choix pédagogiques'!$C$3=1,'Choix pédagogiques'!$C$3=2),AND($G774&lt;&gt;"",$H774&lt;&gt;"",$I774&lt;&gt;"")),1,0))</f>
        <v/>
      </c>
      <c r="BO774" s="21" t="str">
        <f>IF(OR(COUNT(B774:D1773)=0,COUNT(G774:I1773)=0,'Choix pédagogiques'!C$3&lt;&gt;3),"",IF(AND('Choix pédagogiques'!$C$3=3,$B774&lt;&gt;"",$C774&lt;&gt;"",$D774&lt;&gt;"",$G774&lt;&gt;"",$H774&lt;&gt;"",$I774&lt;&gt;""),1,0))</f>
        <v/>
      </c>
      <c r="BR774" s="21">
        <v>830</v>
      </c>
      <c r="BS774" s="21">
        <v>1072</v>
      </c>
      <c r="BT774"/>
    </row>
    <row r="775" spans="1:72" s="23" customFormat="1" ht="18" customHeight="1" x14ac:dyDescent="0.3">
      <c r="A775" s="35" t="s">
        <v>765</v>
      </c>
      <c r="B775" s="37"/>
      <c r="C775" s="37"/>
      <c r="D775" s="37"/>
      <c r="E775" s="37"/>
      <c r="F775" s="35" t="s">
        <v>1773</v>
      </c>
      <c r="G775" s="37"/>
      <c r="H775" s="37"/>
      <c r="I775" s="37"/>
      <c r="J775" s="37"/>
      <c r="K775" s="21" t="str">
        <f t="shared" si="501"/>
        <v>Apprenant 763</v>
      </c>
      <c r="L775" s="22" t="str">
        <f t="shared" si="502"/>
        <v/>
      </c>
      <c r="M775" s="22" t="str">
        <f t="shared" si="503"/>
        <v/>
      </c>
      <c r="N775" s="22" t="str">
        <f t="shared" si="504"/>
        <v/>
      </c>
      <c r="O775" s="22" t="str">
        <f t="shared" si="505"/>
        <v/>
      </c>
      <c r="P775" s="21" t="str">
        <f t="shared" si="506"/>
        <v>Apprenant 763 ou 763'</v>
      </c>
      <c r="Q775" s="22" t="str">
        <f t="shared" si="507"/>
        <v/>
      </c>
      <c r="R775" s="22" t="str">
        <f t="shared" si="508"/>
        <v/>
      </c>
      <c r="S775" s="22" t="str">
        <f t="shared" si="509"/>
        <v/>
      </c>
      <c r="T775" s="22" t="str">
        <f t="shared" si="510"/>
        <v/>
      </c>
      <c r="V775" s="21" t="str">
        <f t="shared" si="511"/>
        <v>Apprenant 763</v>
      </c>
      <c r="W775" s="22" t="str">
        <f>IF(AND(OR('Choix pédagogiques'!$C$3=1,'Choix pédagogiques'!$C$3=2),$BM775=1),B775,IF(AND('Choix pédagogiques'!$C$3=3,$BO775=1),B775,""))</f>
        <v/>
      </c>
      <c r="X775" s="22" t="str">
        <f>IF(AND(OR('Choix pédagogiques'!$C$3=1,'Choix pédagogiques'!$C$3=2),$BM775=1),C775,IF(AND('Choix pédagogiques'!$C$3=3,$BO775=1),C775,""))</f>
        <v/>
      </c>
      <c r="Y775" s="22" t="str">
        <f>IF(AND(OR('Choix pédagogiques'!$C$3=1,'Choix pédagogiques'!$C$3=2),$BM775=1),D775,IF(AND('Choix pédagogiques'!$C$3=3,$BO775=1),D775,""))</f>
        <v/>
      </c>
      <c r="Z775" s="22" t="str">
        <f t="shared" si="512"/>
        <v/>
      </c>
      <c r="AA775" s="21" t="str">
        <f t="shared" si="513"/>
        <v>Apprenant 763 ou 763'</v>
      </c>
      <c r="AB775" s="22" t="str">
        <f>IF(AND(OR('Choix pédagogiques'!$C$3=1,'Choix pédagogiques'!$C$3=2),$BN775=1),G775,IF(AND('Choix pédagogiques'!$C$3=3,$BO775=1),G775,""))</f>
        <v/>
      </c>
      <c r="AC775" s="22" t="str">
        <f>IF(AND(OR('Choix pédagogiques'!$C$3=1,'Choix pédagogiques'!$C$3=2),$BN775=1),H775,IF(AND('Choix pédagogiques'!$C$3=3,$BO775=1),H775,""))</f>
        <v/>
      </c>
      <c r="AD775" s="22" t="str">
        <f>IF(AND(OR('Choix pédagogiques'!$C$3=1,'Choix pédagogiques'!$C$3=2),$BN775=1),I775,IF(AND('Choix pédagogiques'!$C$3=3,$BO775=1),I775,""))</f>
        <v/>
      </c>
      <c r="AE775" s="22" t="str">
        <f t="shared" si="514"/>
        <v/>
      </c>
      <c r="AF775" s="21" t="str">
        <f t="shared" si="515"/>
        <v>Apprenant 763</v>
      </c>
      <c r="AG775" s="22" t="str">
        <f t="shared" si="489"/>
        <v/>
      </c>
      <c r="AH775" s="22" t="str">
        <f t="shared" si="490"/>
        <v/>
      </c>
      <c r="AI775" s="22" t="str">
        <f t="shared" si="491"/>
        <v/>
      </c>
      <c r="AJ775" s="22" t="str">
        <f t="shared" si="516"/>
        <v/>
      </c>
      <c r="AK775" s="21" t="str">
        <f t="shared" si="517"/>
        <v>Apprenant 763 ou 763'</v>
      </c>
      <c r="AL775" s="22" t="str">
        <f t="shared" si="492"/>
        <v/>
      </c>
      <c r="AM775" s="22" t="str">
        <f t="shared" si="493"/>
        <v/>
      </c>
      <c r="AN775" s="22" t="str">
        <f t="shared" si="494"/>
        <v/>
      </c>
      <c r="AO775" s="22" t="str">
        <f t="shared" si="518"/>
        <v/>
      </c>
      <c r="AQ775" s="21" t="str">
        <f t="shared" si="519"/>
        <v>Apprenant 763</v>
      </c>
      <c r="AR775" s="49" t="str">
        <f>IF(AND('Choix pédagogiques'!$C$4&lt;&gt;"?",'Choix pédagogiques'!$C$5&lt;&gt;"?",W775&lt;&gt;""),(W775-'Choix pédagogiques'!$C$4)/('Choix pédagogiques'!$C$5-'Choix pédagogiques'!$C$4),"")</f>
        <v/>
      </c>
      <c r="AS775" s="49" t="str">
        <f>IF(AND('Choix pédagogiques'!$C$4&lt;&gt;"?",'Choix pédagogiques'!$C$5&lt;&gt;"?",X775&lt;&gt;""),(X775-'Choix pédagogiques'!$C$4)/('Choix pédagogiques'!$C$5-'Choix pédagogiques'!$C$4),"")</f>
        <v/>
      </c>
      <c r="AT775" s="49" t="str">
        <f>IF(AND('Choix pédagogiques'!$C$4&lt;&gt;"?",'Choix pédagogiques'!$C$5&lt;&gt;"?",Y775&lt;&gt;""),(Y775-'Choix pédagogiques'!$C$4)/('Choix pédagogiques'!$C$5-'Choix pédagogiques'!$C$4),"")</f>
        <v/>
      </c>
      <c r="AU775" s="22" t="str">
        <f t="shared" si="520"/>
        <v/>
      </c>
      <c r="AV775" s="21" t="str">
        <f t="shared" si="521"/>
        <v>Apprenant 763 ou 763'</v>
      </c>
      <c r="AW775" s="49" t="str">
        <f>IF(AND('Choix pédagogiques'!$C$4&lt;&gt;"?",'Choix pédagogiques'!$C$5&lt;&gt;"?",AB775&lt;&gt;""),(AB775-'Choix pédagogiques'!$C$4)/('Choix pédagogiques'!$C$5-'Choix pédagogiques'!$C$4),"")</f>
        <v/>
      </c>
      <c r="AX775" s="49" t="str">
        <f>IF(AND('Choix pédagogiques'!$C$4&lt;&gt;"?",'Choix pédagogiques'!$C$5&lt;&gt;"?",AC775&lt;&gt;""),(AC775-'Choix pédagogiques'!$C$4)/('Choix pédagogiques'!$C$5-'Choix pédagogiques'!$C$4),"")</f>
        <v/>
      </c>
      <c r="AY775" s="49" t="str">
        <f>IF(AND('Choix pédagogiques'!$C$4&lt;&gt;"?",'Choix pédagogiques'!$C$5&lt;&gt;"?",AD775&lt;&gt;""),(AD775-'Choix pédagogiques'!$C$4)/('Choix pédagogiques'!$C$5-'Choix pédagogiques'!$C$4),"")</f>
        <v/>
      </c>
      <c r="AZ775" s="22" t="str">
        <f t="shared" si="522"/>
        <v/>
      </c>
      <c r="BA775" s="21" t="str">
        <f t="shared" si="523"/>
        <v>Apprenant 763</v>
      </c>
      <c r="BB775" s="49" t="str">
        <f t="shared" si="495"/>
        <v/>
      </c>
      <c r="BC775" s="49" t="str">
        <f t="shared" si="496"/>
        <v/>
      </c>
      <c r="BD775" s="49" t="str">
        <f t="shared" si="497"/>
        <v/>
      </c>
      <c r="BE775" s="22" t="str">
        <f t="shared" si="524"/>
        <v/>
      </c>
      <c r="BF775" s="21" t="str">
        <f t="shared" si="525"/>
        <v>Apprenant 763 ou 763'</v>
      </c>
      <c r="BG775" s="49" t="str">
        <f t="shared" si="498"/>
        <v/>
      </c>
      <c r="BH775" s="49" t="str">
        <f t="shared" si="499"/>
        <v/>
      </c>
      <c r="BI775" s="49" t="str">
        <f t="shared" si="500"/>
        <v/>
      </c>
      <c r="BJ775" s="22" t="str">
        <f t="shared" si="526"/>
        <v/>
      </c>
      <c r="BL775" s="21"/>
      <c r="BM775" s="21" t="str">
        <f>IF(OR(COUNT(B775:D1774)=0,AND('Choix pédagogiques'!$C$3&lt;&gt;1,'Choix pédagogiques'!$C$3&lt;&gt;2)),"",IF(AND(OR('Choix pédagogiques'!$C$3=1,'Choix pédagogiques'!$C$3=2),$B775&lt;&gt;"",$C775&lt;&gt;"",$D775&lt;&gt;""),1,0))</f>
        <v/>
      </c>
      <c r="BN775" s="21" t="str">
        <f>IF(OR(COUNT(G775:I1774)=0,AND('Choix pédagogiques'!$C$3&lt;&gt;1,'Choix pédagogiques'!$C$3&lt;&gt;2)),"",IF(AND(OR('Choix pédagogiques'!$C$3=1,'Choix pédagogiques'!$C$3=2),AND($G775&lt;&gt;"",$H775&lt;&gt;"",$I775&lt;&gt;"")),1,0))</f>
        <v/>
      </c>
      <c r="BO775" s="21" t="str">
        <f>IF(OR(COUNT(B775:D1774)=0,COUNT(G775:I1774)=0,'Choix pédagogiques'!C$3&lt;&gt;3),"",IF(AND('Choix pédagogiques'!$C$3=3,$B775&lt;&gt;"",$C775&lt;&gt;"",$D775&lt;&gt;"",$G775&lt;&gt;"",$H775&lt;&gt;"",$I775&lt;&gt;""),1,0))</f>
        <v/>
      </c>
      <c r="BR775" s="21">
        <v>855</v>
      </c>
      <c r="BS775" s="21">
        <v>1681</v>
      </c>
      <c r="BT775"/>
    </row>
    <row r="776" spans="1:72" s="23" customFormat="1" ht="18" customHeight="1" x14ac:dyDescent="0.3">
      <c r="A776" s="35" t="s">
        <v>766</v>
      </c>
      <c r="B776" s="37"/>
      <c r="C776" s="37"/>
      <c r="D776" s="37"/>
      <c r="E776" s="37"/>
      <c r="F776" s="35" t="s">
        <v>1774</v>
      </c>
      <c r="G776" s="37"/>
      <c r="H776" s="37"/>
      <c r="I776" s="37"/>
      <c r="J776" s="37"/>
      <c r="K776" s="21" t="str">
        <f t="shared" si="501"/>
        <v>Apprenant 764</v>
      </c>
      <c r="L776" s="22" t="str">
        <f t="shared" si="502"/>
        <v/>
      </c>
      <c r="M776" s="22" t="str">
        <f t="shared" si="503"/>
        <v/>
      </c>
      <c r="N776" s="22" t="str">
        <f t="shared" si="504"/>
        <v/>
      </c>
      <c r="O776" s="22" t="str">
        <f t="shared" si="505"/>
        <v/>
      </c>
      <c r="P776" s="21" t="str">
        <f t="shared" si="506"/>
        <v>Apprenant 764 ou 764'</v>
      </c>
      <c r="Q776" s="22" t="str">
        <f t="shared" si="507"/>
        <v/>
      </c>
      <c r="R776" s="22" t="str">
        <f t="shared" si="508"/>
        <v/>
      </c>
      <c r="S776" s="22" t="str">
        <f t="shared" si="509"/>
        <v/>
      </c>
      <c r="T776" s="22" t="str">
        <f t="shared" si="510"/>
        <v/>
      </c>
      <c r="V776" s="21" t="str">
        <f t="shared" si="511"/>
        <v>Apprenant 764</v>
      </c>
      <c r="W776" s="22" t="str">
        <f>IF(AND(OR('Choix pédagogiques'!$C$3=1,'Choix pédagogiques'!$C$3=2),$BM776=1),B776,IF(AND('Choix pédagogiques'!$C$3=3,$BO776=1),B776,""))</f>
        <v/>
      </c>
      <c r="X776" s="22" t="str">
        <f>IF(AND(OR('Choix pédagogiques'!$C$3=1,'Choix pédagogiques'!$C$3=2),$BM776=1),C776,IF(AND('Choix pédagogiques'!$C$3=3,$BO776=1),C776,""))</f>
        <v/>
      </c>
      <c r="Y776" s="22" t="str">
        <f>IF(AND(OR('Choix pédagogiques'!$C$3=1,'Choix pédagogiques'!$C$3=2),$BM776=1),D776,IF(AND('Choix pédagogiques'!$C$3=3,$BO776=1),D776,""))</f>
        <v/>
      </c>
      <c r="Z776" s="22" t="str">
        <f t="shared" si="512"/>
        <v/>
      </c>
      <c r="AA776" s="21" t="str">
        <f t="shared" si="513"/>
        <v>Apprenant 764 ou 764'</v>
      </c>
      <c r="AB776" s="22" t="str">
        <f>IF(AND(OR('Choix pédagogiques'!$C$3=1,'Choix pédagogiques'!$C$3=2),$BN776=1),G776,IF(AND('Choix pédagogiques'!$C$3=3,$BO776=1),G776,""))</f>
        <v/>
      </c>
      <c r="AC776" s="22" t="str">
        <f>IF(AND(OR('Choix pédagogiques'!$C$3=1,'Choix pédagogiques'!$C$3=2),$BN776=1),H776,IF(AND('Choix pédagogiques'!$C$3=3,$BO776=1),H776,""))</f>
        <v/>
      </c>
      <c r="AD776" s="22" t="str">
        <f>IF(AND(OR('Choix pédagogiques'!$C$3=1,'Choix pédagogiques'!$C$3=2),$BN776=1),I776,IF(AND('Choix pédagogiques'!$C$3=3,$BO776=1),I776,""))</f>
        <v/>
      </c>
      <c r="AE776" s="22" t="str">
        <f t="shared" si="514"/>
        <v/>
      </c>
      <c r="AF776" s="21" t="str">
        <f t="shared" si="515"/>
        <v>Apprenant 764</v>
      </c>
      <c r="AG776" s="22" t="str">
        <f t="shared" si="489"/>
        <v/>
      </c>
      <c r="AH776" s="22" t="str">
        <f t="shared" si="490"/>
        <v/>
      </c>
      <c r="AI776" s="22" t="str">
        <f t="shared" si="491"/>
        <v/>
      </c>
      <c r="AJ776" s="22" t="str">
        <f t="shared" si="516"/>
        <v/>
      </c>
      <c r="AK776" s="21" t="str">
        <f t="shared" si="517"/>
        <v>Apprenant 764 ou 764'</v>
      </c>
      <c r="AL776" s="22" t="str">
        <f t="shared" si="492"/>
        <v/>
      </c>
      <c r="AM776" s="22" t="str">
        <f t="shared" si="493"/>
        <v/>
      </c>
      <c r="AN776" s="22" t="str">
        <f t="shared" si="494"/>
        <v/>
      </c>
      <c r="AO776" s="22" t="str">
        <f t="shared" si="518"/>
        <v/>
      </c>
      <c r="AQ776" s="21" t="str">
        <f t="shared" si="519"/>
        <v>Apprenant 764</v>
      </c>
      <c r="AR776" s="49" t="str">
        <f>IF(AND('Choix pédagogiques'!$C$4&lt;&gt;"?",'Choix pédagogiques'!$C$5&lt;&gt;"?",W776&lt;&gt;""),(W776-'Choix pédagogiques'!$C$4)/('Choix pédagogiques'!$C$5-'Choix pédagogiques'!$C$4),"")</f>
        <v/>
      </c>
      <c r="AS776" s="49" t="str">
        <f>IF(AND('Choix pédagogiques'!$C$4&lt;&gt;"?",'Choix pédagogiques'!$C$5&lt;&gt;"?",X776&lt;&gt;""),(X776-'Choix pédagogiques'!$C$4)/('Choix pédagogiques'!$C$5-'Choix pédagogiques'!$C$4),"")</f>
        <v/>
      </c>
      <c r="AT776" s="49" t="str">
        <f>IF(AND('Choix pédagogiques'!$C$4&lt;&gt;"?",'Choix pédagogiques'!$C$5&lt;&gt;"?",Y776&lt;&gt;""),(Y776-'Choix pédagogiques'!$C$4)/('Choix pédagogiques'!$C$5-'Choix pédagogiques'!$C$4),"")</f>
        <v/>
      </c>
      <c r="AU776" s="22" t="str">
        <f t="shared" si="520"/>
        <v/>
      </c>
      <c r="AV776" s="21" t="str">
        <f t="shared" si="521"/>
        <v>Apprenant 764 ou 764'</v>
      </c>
      <c r="AW776" s="49" t="str">
        <f>IF(AND('Choix pédagogiques'!$C$4&lt;&gt;"?",'Choix pédagogiques'!$C$5&lt;&gt;"?",AB776&lt;&gt;""),(AB776-'Choix pédagogiques'!$C$4)/('Choix pédagogiques'!$C$5-'Choix pédagogiques'!$C$4),"")</f>
        <v/>
      </c>
      <c r="AX776" s="49" t="str">
        <f>IF(AND('Choix pédagogiques'!$C$4&lt;&gt;"?",'Choix pédagogiques'!$C$5&lt;&gt;"?",AC776&lt;&gt;""),(AC776-'Choix pédagogiques'!$C$4)/('Choix pédagogiques'!$C$5-'Choix pédagogiques'!$C$4),"")</f>
        <v/>
      </c>
      <c r="AY776" s="49" t="str">
        <f>IF(AND('Choix pédagogiques'!$C$4&lt;&gt;"?",'Choix pédagogiques'!$C$5&lt;&gt;"?",AD776&lt;&gt;""),(AD776-'Choix pédagogiques'!$C$4)/('Choix pédagogiques'!$C$5-'Choix pédagogiques'!$C$4),"")</f>
        <v/>
      </c>
      <c r="AZ776" s="22" t="str">
        <f t="shared" si="522"/>
        <v/>
      </c>
      <c r="BA776" s="21" t="str">
        <f t="shared" si="523"/>
        <v>Apprenant 764</v>
      </c>
      <c r="BB776" s="49" t="str">
        <f t="shared" si="495"/>
        <v/>
      </c>
      <c r="BC776" s="49" t="str">
        <f t="shared" si="496"/>
        <v/>
      </c>
      <c r="BD776" s="49" t="str">
        <f t="shared" si="497"/>
        <v/>
      </c>
      <c r="BE776" s="22" t="str">
        <f t="shared" si="524"/>
        <v/>
      </c>
      <c r="BF776" s="21" t="str">
        <f t="shared" si="525"/>
        <v>Apprenant 764 ou 764'</v>
      </c>
      <c r="BG776" s="49" t="str">
        <f t="shared" si="498"/>
        <v/>
      </c>
      <c r="BH776" s="49" t="str">
        <f t="shared" si="499"/>
        <v/>
      </c>
      <c r="BI776" s="49" t="str">
        <f t="shared" si="500"/>
        <v/>
      </c>
      <c r="BJ776" s="22" t="str">
        <f t="shared" si="526"/>
        <v/>
      </c>
      <c r="BL776" s="21"/>
      <c r="BM776" s="21" t="str">
        <f>IF(OR(COUNT(B776:D1775)=0,AND('Choix pédagogiques'!$C$3&lt;&gt;1,'Choix pédagogiques'!$C$3&lt;&gt;2)),"",IF(AND(OR('Choix pédagogiques'!$C$3=1,'Choix pédagogiques'!$C$3=2),$B776&lt;&gt;"",$C776&lt;&gt;"",$D776&lt;&gt;""),1,0))</f>
        <v/>
      </c>
      <c r="BN776" s="21" t="str">
        <f>IF(OR(COUNT(G776:I1775)=0,AND('Choix pédagogiques'!$C$3&lt;&gt;1,'Choix pédagogiques'!$C$3&lt;&gt;2)),"",IF(AND(OR('Choix pédagogiques'!$C$3=1,'Choix pédagogiques'!$C$3=2),AND($G776&lt;&gt;"",$H776&lt;&gt;"",$I776&lt;&gt;"")),1,0))</f>
        <v/>
      </c>
      <c r="BO776" s="21" t="str">
        <f>IF(OR(COUNT(B776:D1775)=0,COUNT(G776:I1775)=0,'Choix pédagogiques'!C$3&lt;&gt;3),"",IF(AND('Choix pédagogiques'!$C$3=3,$B776&lt;&gt;"",$C776&lt;&gt;"",$D776&lt;&gt;"",$G776&lt;&gt;"",$H776&lt;&gt;"",$I776&lt;&gt;""),1,0))</f>
        <v/>
      </c>
      <c r="BR776" s="21">
        <v>639</v>
      </c>
      <c r="BS776" s="21">
        <v>1498</v>
      </c>
      <c r="BT776"/>
    </row>
    <row r="777" spans="1:72" s="23" customFormat="1" ht="18" customHeight="1" x14ac:dyDescent="0.3">
      <c r="A777" s="35" t="s">
        <v>767</v>
      </c>
      <c r="B777" s="37"/>
      <c r="C777" s="37"/>
      <c r="D777" s="37"/>
      <c r="E777" s="37"/>
      <c r="F777" s="35" t="s">
        <v>1775</v>
      </c>
      <c r="G777" s="37"/>
      <c r="H777" s="37"/>
      <c r="I777" s="37"/>
      <c r="J777" s="37"/>
      <c r="K777" s="21" t="str">
        <f t="shared" si="501"/>
        <v>Apprenant 765</v>
      </c>
      <c r="L777" s="22" t="str">
        <f t="shared" si="502"/>
        <v/>
      </c>
      <c r="M777" s="22" t="str">
        <f t="shared" si="503"/>
        <v/>
      </c>
      <c r="N777" s="22" t="str">
        <f t="shared" si="504"/>
        <v/>
      </c>
      <c r="O777" s="22" t="str">
        <f t="shared" si="505"/>
        <v/>
      </c>
      <c r="P777" s="21" t="str">
        <f t="shared" si="506"/>
        <v>Apprenant 765 ou 765'</v>
      </c>
      <c r="Q777" s="22" t="str">
        <f t="shared" si="507"/>
        <v/>
      </c>
      <c r="R777" s="22" t="str">
        <f t="shared" si="508"/>
        <v/>
      </c>
      <c r="S777" s="22" t="str">
        <f t="shared" si="509"/>
        <v/>
      </c>
      <c r="T777" s="22" t="str">
        <f t="shared" si="510"/>
        <v/>
      </c>
      <c r="V777" s="21" t="str">
        <f t="shared" si="511"/>
        <v>Apprenant 765</v>
      </c>
      <c r="W777" s="22" t="str">
        <f>IF(AND(OR('Choix pédagogiques'!$C$3=1,'Choix pédagogiques'!$C$3=2),$BM777=1),B777,IF(AND('Choix pédagogiques'!$C$3=3,$BO777=1),B777,""))</f>
        <v/>
      </c>
      <c r="X777" s="22" t="str">
        <f>IF(AND(OR('Choix pédagogiques'!$C$3=1,'Choix pédagogiques'!$C$3=2),$BM777=1),C777,IF(AND('Choix pédagogiques'!$C$3=3,$BO777=1),C777,""))</f>
        <v/>
      </c>
      <c r="Y777" s="22" t="str">
        <f>IF(AND(OR('Choix pédagogiques'!$C$3=1,'Choix pédagogiques'!$C$3=2),$BM777=1),D777,IF(AND('Choix pédagogiques'!$C$3=3,$BO777=1),D777,""))</f>
        <v/>
      </c>
      <c r="Z777" s="22" t="str">
        <f t="shared" si="512"/>
        <v/>
      </c>
      <c r="AA777" s="21" t="str">
        <f t="shared" si="513"/>
        <v>Apprenant 765 ou 765'</v>
      </c>
      <c r="AB777" s="22" t="str">
        <f>IF(AND(OR('Choix pédagogiques'!$C$3=1,'Choix pédagogiques'!$C$3=2),$BN777=1),G777,IF(AND('Choix pédagogiques'!$C$3=3,$BO777=1),G777,""))</f>
        <v/>
      </c>
      <c r="AC777" s="22" t="str">
        <f>IF(AND(OR('Choix pédagogiques'!$C$3=1,'Choix pédagogiques'!$C$3=2),$BN777=1),H777,IF(AND('Choix pédagogiques'!$C$3=3,$BO777=1),H777,""))</f>
        <v/>
      </c>
      <c r="AD777" s="22" t="str">
        <f>IF(AND(OR('Choix pédagogiques'!$C$3=1,'Choix pédagogiques'!$C$3=2),$BN777=1),I777,IF(AND('Choix pédagogiques'!$C$3=3,$BO777=1),I777,""))</f>
        <v/>
      </c>
      <c r="AE777" s="22" t="str">
        <f t="shared" si="514"/>
        <v/>
      </c>
      <c r="AF777" s="21" t="str">
        <f t="shared" si="515"/>
        <v>Apprenant 765</v>
      </c>
      <c r="AG777" s="22" t="str">
        <f t="shared" si="489"/>
        <v/>
      </c>
      <c r="AH777" s="22" t="str">
        <f t="shared" si="490"/>
        <v/>
      </c>
      <c r="AI777" s="22" t="str">
        <f t="shared" si="491"/>
        <v/>
      </c>
      <c r="AJ777" s="22" t="str">
        <f t="shared" si="516"/>
        <v/>
      </c>
      <c r="AK777" s="21" t="str">
        <f t="shared" si="517"/>
        <v>Apprenant 765 ou 765'</v>
      </c>
      <c r="AL777" s="22" t="str">
        <f t="shared" si="492"/>
        <v/>
      </c>
      <c r="AM777" s="22" t="str">
        <f t="shared" si="493"/>
        <v/>
      </c>
      <c r="AN777" s="22" t="str">
        <f t="shared" si="494"/>
        <v/>
      </c>
      <c r="AO777" s="22" t="str">
        <f t="shared" si="518"/>
        <v/>
      </c>
      <c r="AQ777" s="21" t="str">
        <f t="shared" si="519"/>
        <v>Apprenant 765</v>
      </c>
      <c r="AR777" s="49" t="str">
        <f>IF(AND('Choix pédagogiques'!$C$4&lt;&gt;"?",'Choix pédagogiques'!$C$5&lt;&gt;"?",W777&lt;&gt;""),(W777-'Choix pédagogiques'!$C$4)/('Choix pédagogiques'!$C$5-'Choix pédagogiques'!$C$4),"")</f>
        <v/>
      </c>
      <c r="AS777" s="49" t="str">
        <f>IF(AND('Choix pédagogiques'!$C$4&lt;&gt;"?",'Choix pédagogiques'!$C$5&lt;&gt;"?",X777&lt;&gt;""),(X777-'Choix pédagogiques'!$C$4)/('Choix pédagogiques'!$C$5-'Choix pédagogiques'!$C$4),"")</f>
        <v/>
      </c>
      <c r="AT777" s="49" t="str">
        <f>IF(AND('Choix pédagogiques'!$C$4&lt;&gt;"?",'Choix pédagogiques'!$C$5&lt;&gt;"?",Y777&lt;&gt;""),(Y777-'Choix pédagogiques'!$C$4)/('Choix pédagogiques'!$C$5-'Choix pédagogiques'!$C$4),"")</f>
        <v/>
      </c>
      <c r="AU777" s="22" t="str">
        <f t="shared" si="520"/>
        <v/>
      </c>
      <c r="AV777" s="21" t="str">
        <f t="shared" si="521"/>
        <v>Apprenant 765 ou 765'</v>
      </c>
      <c r="AW777" s="49" t="str">
        <f>IF(AND('Choix pédagogiques'!$C$4&lt;&gt;"?",'Choix pédagogiques'!$C$5&lt;&gt;"?",AB777&lt;&gt;""),(AB777-'Choix pédagogiques'!$C$4)/('Choix pédagogiques'!$C$5-'Choix pédagogiques'!$C$4),"")</f>
        <v/>
      </c>
      <c r="AX777" s="49" t="str">
        <f>IF(AND('Choix pédagogiques'!$C$4&lt;&gt;"?",'Choix pédagogiques'!$C$5&lt;&gt;"?",AC777&lt;&gt;""),(AC777-'Choix pédagogiques'!$C$4)/('Choix pédagogiques'!$C$5-'Choix pédagogiques'!$C$4),"")</f>
        <v/>
      </c>
      <c r="AY777" s="49" t="str">
        <f>IF(AND('Choix pédagogiques'!$C$4&lt;&gt;"?",'Choix pédagogiques'!$C$5&lt;&gt;"?",AD777&lt;&gt;""),(AD777-'Choix pédagogiques'!$C$4)/('Choix pédagogiques'!$C$5-'Choix pédagogiques'!$C$4),"")</f>
        <v/>
      </c>
      <c r="AZ777" s="22" t="str">
        <f t="shared" si="522"/>
        <v/>
      </c>
      <c r="BA777" s="21" t="str">
        <f t="shared" si="523"/>
        <v>Apprenant 765</v>
      </c>
      <c r="BB777" s="49" t="str">
        <f t="shared" si="495"/>
        <v/>
      </c>
      <c r="BC777" s="49" t="str">
        <f t="shared" si="496"/>
        <v/>
      </c>
      <c r="BD777" s="49" t="str">
        <f t="shared" si="497"/>
        <v/>
      </c>
      <c r="BE777" s="22" t="str">
        <f t="shared" si="524"/>
        <v/>
      </c>
      <c r="BF777" s="21" t="str">
        <f t="shared" si="525"/>
        <v>Apprenant 765 ou 765'</v>
      </c>
      <c r="BG777" s="49" t="str">
        <f t="shared" si="498"/>
        <v/>
      </c>
      <c r="BH777" s="49" t="str">
        <f t="shared" si="499"/>
        <v/>
      </c>
      <c r="BI777" s="49" t="str">
        <f t="shared" si="500"/>
        <v/>
      </c>
      <c r="BJ777" s="22" t="str">
        <f t="shared" si="526"/>
        <v/>
      </c>
      <c r="BL777" s="21"/>
      <c r="BM777" s="21" t="str">
        <f>IF(OR(COUNT(B777:D1776)=0,AND('Choix pédagogiques'!$C$3&lt;&gt;1,'Choix pédagogiques'!$C$3&lt;&gt;2)),"",IF(AND(OR('Choix pédagogiques'!$C$3=1,'Choix pédagogiques'!$C$3=2),$B777&lt;&gt;"",$C777&lt;&gt;"",$D777&lt;&gt;""),1,0))</f>
        <v/>
      </c>
      <c r="BN777" s="21" t="str">
        <f>IF(OR(COUNT(G777:I1776)=0,AND('Choix pédagogiques'!$C$3&lt;&gt;1,'Choix pédagogiques'!$C$3&lt;&gt;2)),"",IF(AND(OR('Choix pédagogiques'!$C$3=1,'Choix pédagogiques'!$C$3=2),AND($G777&lt;&gt;"",$H777&lt;&gt;"",$I777&lt;&gt;"")),1,0))</f>
        <v/>
      </c>
      <c r="BO777" s="21" t="str">
        <f>IF(OR(COUNT(B777:D1776)=0,COUNT(G777:I1776)=0,'Choix pédagogiques'!C$3&lt;&gt;3),"",IF(AND('Choix pédagogiques'!$C$3=3,$B777&lt;&gt;"",$C777&lt;&gt;"",$D777&lt;&gt;"",$G777&lt;&gt;"",$H777&lt;&gt;"",$I777&lt;&gt;""),1,0))</f>
        <v/>
      </c>
      <c r="BR777" s="21">
        <v>953</v>
      </c>
      <c r="BS777" s="21">
        <v>1253</v>
      </c>
      <c r="BT777"/>
    </row>
    <row r="778" spans="1:72" s="23" customFormat="1" ht="18" customHeight="1" x14ac:dyDescent="0.3">
      <c r="A778" s="35" t="s">
        <v>768</v>
      </c>
      <c r="B778" s="37"/>
      <c r="C778" s="37"/>
      <c r="D778" s="37"/>
      <c r="E778" s="37"/>
      <c r="F778" s="35" t="s">
        <v>1776</v>
      </c>
      <c r="G778" s="37"/>
      <c r="H778" s="37"/>
      <c r="I778" s="37"/>
      <c r="J778" s="37"/>
      <c r="K778" s="21" t="str">
        <f t="shared" si="501"/>
        <v>Apprenant 766</v>
      </c>
      <c r="L778" s="22" t="str">
        <f t="shared" si="502"/>
        <v/>
      </c>
      <c r="M778" s="22" t="str">
        <f t="shared" si="503"/>
        <v/>
      </c>
      <c r="N778" s="22" t="str">
        <f t="shared" si="504"/>
        <v/>
      </c>
      <c r="O778" s="22" t="str">
        <f t="shared" si="505"/>
        <v/>
      </c>
      <c r="P778" s="21" t="str">
        <f t="shared" si="506"/>
        <v>Apprenant 766 ou 766'</v>
      </c>
      <c r="Q778" s="22" t="str">
        <f t="shared" si="507"/>
        <v/>
      </c>
      <c r="R778" s="22" t="str">
        <f t="shared" si="508"/>
        <v/>
      </c>
      <c r="S778" s="22" t="str">
        <f t="shared" si="509"/>
        <v/>
      </c>
      <c r="T778" s="22" t="str">
        <f t="shared" si="510"/>
        <v/>
      </c>
      <c r="V778" s="21" t="str">
        <f t="shared" si="511"/>
        <v>Apprenant 766</v>
      </c>
      <c r="W778" s="22" t="str">
        <f>IF(AND(OR('Choix pédagogiques'!$C$3=1,'Choix pédagogiques'!$C$3=2),$BM778=1),B778,IF(AND('Choix pédagogiques'!$C$3=3,$BO778=1),B778,""))</f>
        <v/>
      </c>
      <c r="X778" s="22" t="str">
        <f>IF(AND(OR('Choix pédagogiques'!$C$3=1,'Choix pédagogiques'!$C$3=2),$BM778=1),C778,IF(AND('Choix pédagogiques'!$C$3=3,$BO778=1),C778,""))</f>
        <v/>
      </c>
      <c r="Y778" s="22" t="str">
        <f>IF(AND(OR('Choix pédagogiques'!$C$3=1,'Choix pédagogiques'!$C$3=2),$BM778=1),D778,IF(AND('Choix pédagogiques'!$C$3=3,$BO778=1),D778,""))</f>
        <v/>
      </c>
      <c r="Z778" s="22" t="str">
        <f t="shared" si="512"/>
        <v/>
      </c>
      <c r="AA778" s="21" t="str">
        <f t="shared" si="513"/>
        <v>Apprenant 766 ou 766'</v>
      </c>
      <c r="AB778" s="22" t="str">
        <f>IF(AND(OR('Choix pédagogiques'!$C$3=1,'Choix pédagogiques'!$C$3=2),$BN778=1),G778,IF(AND('Choix pédagogiques'!$C$3=3,$BO778=1),G778,""))</f>
        <v/>
      </c>
      <c r="AC778" s="22" t="str">
        <f>IF(AND(OR('Choix pédagogiques'!$C$3=1,'Choix pédagogiques'!$C$3=2),$BN778=1),H778,IF(AND('Choix pédagogiques'!$C$3=3,$BO778=1),H778,""))</f>
        <v/>
      </c>
      <c r="AD778" s="22" t="str">
        <f>IF(AND(OR('Choix pédagogiques'!$C$3=1,'Choix pédagogiques'!$C$3=2),$BN778=1),I778,IF(AND('Choix pédagogiques'!$C$3=3,$BO778=1),I778,""))</f>
        <v/>
      </c>
      <c r="AE778" s="22" t="str">
        <f t="shared" si="514"/>
        <v/>
      </c>
      <c r="AF778" s="21" t="str">
        <f t="shared" si="515"/>
        <v>Apprenant 766</v>
      </c>
      <c r="AG778" s="22" t="str">
        <f t="shared" si="489"/>
        <v/>
      </c>
      <c r="AH778" s="22" t="str">
        <f t="shared" si="490"/>
        <v/>
      </c>
      <c r="AI778" s="22" t="str">
        <f t="shared" si="491"/>
        <v/>
      </c>
      <c r="AJ778" s="22" t="str">
        <f t="shared" si="516"/>
        <v/>
      </c>
      <c r="AK778" s="21" t="str">
        <f t="shared" si="517"/>
        <v>Apprenant 766 ou 766'</v>
      </c>
      <c r="AL778" s="22" t="str">
        <f t="shared" si="492"/>
        <v/>
      </c>
      <c r="AM778" s="22" t="str">
        <f t="shared" si="493"/>
        <v/>
      </c>
      <c r="AN778" s="22" t="str">
        <f t="shared" si="494"/>
        <v/>
      </c>
      <c r="AO778" s="22" t="str">
        <f t="shared" si="518"/>
        <v/>
      </c>
      <c r="AQ778" s="21" t="str">
        <f t="shared" si="519"/>
        <v>Apprenant 766</v>
      </c>
      <c r="AR778" s="49" t="str">
        <f>IF(AND('Choix pédagogiques'!$C$4&lt;&gt;"?",'Choix pédagogiques'!$C$5&lt;&gt;"?",W778&lt;&gt;""),(W778-'Choix pédagogiques'!$C$4)/('Choix pédagogiques'!$C$5-'Choix pédagogiques'!$C$4),"")</f>
        <v/>
      </c>
      <c r="AS778" s="49" t="str">
        <f>IF(AND('Choix pédagogiques'!$C$4&lt;&gt;"?",'Choix pédagogiques'!$C$5&lt;&gt;"?",X778&lt;&gt;""),(X778-'Choix pédagogiques'!$C$4)/('Choix pédagogiques'!$C$5-'Choix pédagogiques'!$C$4),"")</f>
        <v/>
      </c>
      <c r="AT778" s="49" t="str">
        <f>IF(AND('Choix pédagogiques'!$C$4&lt;&gt;"?",'Choix pédagogiques'!$C$5&lt;&gt;"?",Y778&lt;&gt;""),(Y778-'Choix pédagogiques'!$C$4)/('Choix pédagogiques'!$C$5-'Choix pédagogiques'!$C$4),"")</f>
        <v/>
      </c>
      <c r="AU778" s="22" t="str">
        <f t="shared" si="520"/>
        <v/>
      </c>
      <c r="AV778" s="21" t="str">
        <f t="shared" si="521"/>
        <v>Apprenant 766 ou 766'</v>
      </c>
      <c r="AW778" s="49" t="str">
        <f>IF(AND('Choix pédagogiques'!$C$4&lt;&gt;"?",'Choix pédagogiques'!$C$5&lt;&gt;"?",AB778&lt;&gt;""),(AB778-'Choix pédagogiques'!$C$4)/('Choix pédagogiques'!$C$5-'Choix pédagogiques'!$C$4),"")</f>
        <v/>
      </c>
      <c r="AX778" s="49" t="str">
        <f>IF(AND('Choix pédagogiques'!$C$4&lt;&gt;"?",'Choix pédagogiques'!$C$5&lt;&gt;"?",AC778&lt;&gt;""),(AC778-'Choix pédagogiques'!$C$4)/('Choix pédagogiques'!$C$5-'Choix pédagogiques'!$C$4),"")</f>
        <v/>
      </c>
      <c r="AY778" s="49" t="str">
        <f>IF(AND('Choix pédagogiques'!$C$4&lt;&gt;"?",'Choix pédagogiques'!$C$5&lt;&gt;"?",AD778&lt;&gt;""),(AD778-'Choix pédagogiques'!$C$4)/('Choix pédagogiques'!$C$5-'Choix pédagogiques'!$C$4),"")</f>
        <v/>
      </c>
      <c r="AZ778" s="22" t="str">
        <f t="shared" si="522"/>
        <v/>
      </c>
      <c r="BA778" s="21" t="str">
        <f t="shared" si="523"/>
        <v>Apprenant 766</v>
      </c>
      <c r="BB778" s="49" t="str">
        <f t="shared" si="495"/>
        <v/>
      </c>
      <c r="BC778" s="49" t="str">
        <f t="shared" si="496"/>
        <v/>
      </c>
      <c r="BD778" s="49" t="str">
        <f t="shared" si="497"/>
        <v/>
      </c>
      <c r="BE778" s="22" t="str">
        <f t="shared" si="524"/>
        <v/>
      </c>
      <c r="BF778" s="21" t="str">
        <f t="shared" si="525"/>
        <v>Apprenant 766 ou 766'</v>
      </c>
      <c r="BG778" s="49" t="str">
        <f t="shared" si="498"/>
        <v/>
      </c>
      <c r="BH778" s="49" t="str">
        <f t="shared" si="499"/>
        <v/>
      </c>
      <c r="BI778" s="49" t="str">
        <f t="shared" si="500"/>
        <v/>
      </c>
      <c r="BJ778" s="22" t="str">
        <f t="shared" si="526"/>
        <v/>
      </c>
      <c r="BL778" s="21"/>
      <c r="BM778" s="21" t="str">
        <f>IF(OR(COUNT(B778:D1777)=0,AND('Choix pédagogiques'!$C$3&lt;&gt;1,'Choix pédagogiques'!$C$3&lt;&gt;2)),"",IF(AND(OR('Choix pédagogiques'!$C$3=1,'Choix pédagogiques'!$C$3=2),$B778&lt;&gt;"",$C778&lt;&gt;"",$D778&lt;&gt;""),1,0))</f>
        <v/>
      </c>
      <c r="BN778" s="21" t="str">
        <f>IF(OR(COUNT(G778:I1777)=0,AND('Choix pédagogiques'!$C$3&lt;&gt;1,'Choix pédagogiques'!$C$3&lt;&gt;2)),"",IF(AND(OR('Choix pédagogiques'!$C$3=1,'Choix pédagogiques'!$C$3=2),AND($G778&lt;&gt;"",$H778&lt;&gt;"",$I778&lt;&gt;"")),1,0))</f>
        <v/>
      </c>
      <c r="BO778" s="21" t="str">
        <f>IF(OR(COUNT(B778:D1777)=0,COUNT(G778:I1777)=0,'Choix pédagogiques'!C$3&lt;&gt;3),"",IF(AND('Choix pédagogiques'!$C$3=3,$B778&lt;&gt;"",$C778&lt;&gt;"",$D778&lt;&gt;"",$G778&lt;&gt;"",$H778&lt;&gt;"",$I778&lt;&gt;""),1,0))</f>
        <v/>
      </c>
      <c r="BR778" s="21">
        <v>306</v>
      </c>
      <c r="BS778" s="21">
        <v>1885</v>
      </c>
      <c r="BT778"/>
    </row>
    <row r="779" spans="1:72" s="23" customFormat="1" ht="18" customHeight="1" x14ac:dyDescent="0.3">
      <c r="A779" s="35" t="s">
        <v>769</v>
      </c>
      <c r="B779" s="37"/>
      <c r="C779" s="37"/>
      <c r="D779" s="37"/>
      <c r="E779" s="37"/>
      <c r="F779" s="35" t="s">
        <v>1777</v>
      </c>
      <c r="G779" s="37"/>
      <c r="H779" s="37"/>
      <c r="I779" s="37"/>
      <c r="J779" s="37"/>
      <c r="K779" s="21" t="str">
        <f t="shared" si="501"/>
        <v>Apprenant 767</v>
      </c>
      <c r="L779" s="22" t="str">
        <f t="shared" si="502"/>
        <v/>
      </c>
      <c r="M779" s="22" t="str">
        <f t="shared" si="503"/>
        <v/>
      </c>
      <c r="N779" s="22" t="str">
        <f t="shared" si="504"/>
        <v/>
      </c>
      <c r="O779" s="22" t="str">
        <f t="shared" si="505"/>
        <v/>
      </c>
      <c r="P779" s="21" t="str">
        <f t="shared" si="506"/>
        <v>Apprenant 767 ou 767'</v>
      </c>
      <c r="Q779" s="22" t="str">
        <f t="shared" si="507"/>
        <v/>
      </c>
      <c r="R779" s="22" t="str">
        <f t="shared" si="508"/>
        <v/>
      </c>
      <c r="S779" s="22" t="str">
        <f t="shared" si="509"/>
        <v/>
      </c>
      <c r="T779" s="22" t="str">
        <f t="shared" si="510"/>
        <v/>
      </c>
      <c r="V779" s="21" t="str">
        <f t="shared" si="511"/>
        <v>Apprenant 767</v>
      </c>
      <c r="W779" s="22" t="str">
        <f>IF(AND(OR('Choix pédagogiques'!$C$3=1,'Choix pédagogiques'!$C$3=2),$BM779=1),B779,IF(AND('Choix pédagogiques'!$C$3=3,$BO779=1),B779,""))</f>
        <v/>
      </c>
      <c r="X779" s="22" t="str">
        <f>IF(AND(OR('Choix pédagogiques'!$C$3=1,'Choix pédagogiques'!$C$3=2),$BM779=1),C779,IF(AND('Choix pédagogiques'!$C$3=3,$BO779=1),C779,""))</f>
        <v/>
      </c>
      <c r="Y779" s="22" t="str">
        <f>IF(AND(OR('Choix pédagogiques'!$C$3=1,'Choix pédagogiques'!$C$3=2),$BM779=1),D779,IF(AND('Choix pédagogiques'!$C$3=3,$BO779=1),D779,""))</f>
        <v/>
      </c>
      <c r="Z779" s="22" t="str">
        <f t="shared" si="512"/>
        <v/>
      </c>
      <c r="AA779" s="21" t="str">
        <f t="shared" si="513"/>
        <v>Apprenant 767 ou 767'</v>
      </c>
      <c r="AB779" s="22" t="str">
        <f>IF(AND(OR('Choix pédagogiques'!$C$3=1,'Choix pédagogiques'!$C$3=2),$BN779=1),G779,IF(AND('Choix pédagogiques'!$C$3=3,$BO779=1),G779,""))</f>
        <v/>
      </c>
      <c r="AC779" s="22" t="str">
        <f>IF(AND(OR('Choix pédagogiques'!$C$3=1,'Choix pédagogiques'!$C$3=2),$BN779=1),H779,IF(AND('Choix pédagogiques'!$C$3=3,$BO779=1),H779,""))</f>
        <v/>
      </c>
      <c r="AD779" s="22" t="str">
        <f>IF(AND(OR('Choix pédagogiques'!$C$3=1,'Choix pédagogiques'!$C$3=2),$BN779=1),I779,IF(AND('Choix pédagogiques'!$C$3=3,$BO779=1),I779,""))</f>
        <v/>
      </c>
      <c r="AE779" s="22" t="str">
        <f t="shared" si="514"/>
        <v/>
      </c>
      <c r="AF779" s="21" t="str">
        <f t="shared" si="515"/>
        <v>Apprenant 767</v>
      </c>
      <c r="AG779" s="22" t="str">
        <f t="shared" si="489"/>
        <v/>
      </c>
      <c r="AH779" s="22" t="str">
        <f t="shared" si="490"/>
        <v/>
      </c>
      <c r="AI779" s="22" t="str">
        <f t="shared" si="491"/>
        <v/>
      </c>
      <c r="AJ779" s="22" t="str">
        <f t="shared" si="516"/>
        <v/>
      </c>
      <c r="AK779" s="21" t="str">
        <f t="shared" si="517"/>
        <v>Apprenant 767 ou 767'</v>
      </c>
      <c r="AL779" s="22" t="str">
        <f t="shared" si="492"/>
        <v/>
      </c>
      <c r="AM779" s="22" t="str">
        <f t="shared" si="493"/>
        <v/>
      </c>
      <c r="AN779" s="22" t="str">
        <f t="shared" si="494"/>
        <v/>
      </c>
      <c r="AO779" s="22" t="str">
        <f t="shared" si="518"/>
        <v/>
      </c>
      <c r="AQ779" s="21" t="str">
        <f t="shared" si="519"/>
        <v>Apprenant 767</v>
      </c>
      <c r="AR779" s="49" t="str">
        <f>IF(AND('Choix pédagogiques'!$C$4&lt;&gt;"?",'Choix pédagogiques'!$C$5&lt;&gt;"?",W779&lt;&gt;""),(W779-'Choix pédagogiques'!$C$4)/('Choix pédagogiques'!$C$5-'Choix pédagogiques'!$C$4),"")</f>
        <v/>
      </c>
      <c r="AS779" s="49" t="str">
        <f>IF(AND('Choix pédagogiques'!$C$4&lt;&gt;"?",'Choix pédagogiques'!$C$5&lt;&gt;"?",X779&lt;&gt;""),(X779-'Choix pédagogiques'!$C$4)/('Choix pédagogiques'!$C$5-'Choix pédagogiques'!$C$4),"")</f>
        <v/>
      </c>
      <c r="AT779" s="49" t="str">
        <f>IF(AND('Choix pédagogiques'!$C$4&lt;&gt;"?",'Choix pédagogiques'!$C$5&lt;&gt;"?",Y779&lt;&gt;""),(Y779-'Choix pédagogiques'!$C$4)/('Choix pédagogiques'!$C$5-'Choix pédagogiques'!$C$4),"")</f>
        <v/>
      </c>
      <c r="AU779" s="22" t="str">
        <f t="shared" si="520"/>
        <v/>
      </c>
      <c r="AV779" s="21" t="str">
        <f t="shared" si="521"/>
        <v>Apprenant 767 ou 767'</v>
      </c>
      <c r="AW779" s="49" t="str">
        <f>IF(AND('Choix pédagogiques'!$C$4&lt;&gt;"?",'Choix pédagogiques'!$C$5&lt;&gt;"?",AB779&lt;&gt;""),(AB779-'Choix pédagogiques'!$C$4)/('Choix pédagogiques'!$C$5-'Choix pédagogiques'!$C$4),"")</f>
        <v/>
      </c>
      <c r="AX779" s="49" t="str">
        <f>IF(AND('Choix pédagogiques'!$C$4&lt;&gt;"?",'Choix pédagogiques'!$C$5&lt;&gt;"?",AC779&lt;&gt;""),(AC779-'Choix pédagogiques'!$C$4)/('Choix pédagogiques'!$C$5-'Choix pédagogiques'!$C$4),"")</f>
        <v/>
      </c>
      <c r="AY779" s="49" t="str">
        <f>IF(AND('Choix pédagogiques'!$C$4&lt;&gt;"?",'Choix pédagogiques'!$C$5&lt;&gt;"?",AD779&lt;&gt;""),(AD779-'Choix pédagogiques'!$C$4)/('Choix pédagogiques'!$C$5-'Choix pédagogiques'!$C$4),"")</f>
        <v/>
      </c>
      <c r="AZ779" s="22" t="str">
        <f t="shared" si="522"/>
        <v/>
      </c>
      <c r="BA779" s="21" t="str">
        <f t="shared" si="523"/>
        <v>Apprenant 767</v>
      </c>
      <c r="BB779" s="49" t="str">
        <f t="shared" si="495"/>
        <v/>
      </c>
      <c r="BC779" s="49" t="str">
        <f t="shared" si="496"/>
        <v/>
      </c>
      <c r="BD779" s="49" t="str">
        <f t="shared" si="497"/>
        <v/>
      </c>
      <c r="BE779" s="22" t="str">
        <f t="shared" si="524"/>
        <v/>
      </c>
      <c r="BF779" s="21" t="str">
        <f t="shared" si="525"/>
        <v>Apprenant 767 ou 767'</v>
      </c>
      <c r="BG779" s="49" t="str">
        <f t="shared" si="498"/>
        <v/>
      </c>
      <c r="BH779" s="49" t="str">
        <f t="shared" si="499"/>
        <v/>
      </c>
      <c r="BI779" s="49" t="str">
        <f t="shared" si="500"/>
        <v/>
      </c>
      <c r="BJ779" s="22" t="str">
        <f t="shared" si="526"/>
        <v/>
      </c>
      <c r="BL779" s="21"/>
      <c r="BM779" s="21" t="str">
        <f>IF(OR(COUNT(B779:D1778)=0,AND('Choix pédagogiques'!$C$3&lt;&gt;1,'Choix pédagogiques'!$C$3&lt;&gt;2)),"",IF(AND(OR('Choix pédagogiques'!$C$3=1,'Choix pédagogiques'!$C$3=2),$B779&lt;&gt;"",$C779&lt;&gt;"",$D779&lt;&gt;""),1,0))</f>
        <v/>
      </c>
      <c r="BN779" s="21" t="str">
        <f>IF(OR(COUNT(G779:I1778)=0,AND('Choix pédagogiques'!$C$3&lt;&gt;1,'Choix pédagogiques'!$C$3&lt;&gt;2)),"",IF(AND(OR('Choix pédagogiques'!$C$3=1,'Choix pédagogiques'!$C$3=2),AND($G779&lt;&gt;"",$H779&lt;&gt;"",$I779&lt;&gt;"")),1,0))</f>
        <v/>
      </c>
      <c r="BO779" s="21" t="str">
        <f>IF(OR(COUNT(B779:D1778)=0,COUNT(G779:I1778)=0,'Choix pédagogiques'!C$3&lt;&gt;3),"",IF(AND('Choix pédagogiques'!$C$3=3,$B779&lt;&gt;"",$C779&lt;&gt;"",$D779&lt;&gt;"",$G779&lt;&gt;"",$H779&lt;&gt;"",$I779&lt;&gt;""),1,0))</f>
        <v/>
      </c>
      <c r="BR779" s="21">
        <v>799</v>
      </c>
      <c r="BS779" s="21">
        <v>1759</v>
      </c>
      <c r="BT779"/>
    </row>
    <row r="780" spans="1:72" s="23" customFormat="1" ht="18" customHeight="1" x14ac:dyDescent="0.3">
      <c r="A780" s="35" t="s">
        <v>770</v>
      </c>
      <c r="B780" s="37"/>
      <c r="C780" s="37"/>
      <c r="D780" s="37"/>
      <c r="E780" s="37"/>
      <c r="F780" s="35" t="s">
        <v>1778</v>
      </c>
      <c r="G780" s="37"/>
      <c r="H780" s="37"/>
      <c r="I780" s="37"/>
      <c r="J780" s="37"/>
      <c r="K780" s="21" t="str">
        <f t="shared" si="501"/>
        <v>Apprenant 768</v>
      </c>
      <c r="L780" s="22" t="str">
        <f t="shared" si="502"/>
        <v/>
      </c>
      <c r="M780" s="22" t="str">
        <f t="shared" si="503"/>
        <v/>
      </c>
      <c r="N780" s="22" t="str">
        <f t="shared" si="504"/>
        <v/>
      </c>
      <c r="O780" s="22" t="str">
        <f t="shared" si="505"/>
        <v/>
      </c>
      <c r="P780" s="21" t="str">
        <f t="shared" si="506"/>
        <v>Apprenant 768 ou 768'</v>
      </c>
      <c r="Q780" s="22" t="str">
        <f t="shared" si="507"/>
        <v/>
      </c>
      <c r="R780" s="22" t="str">
        <f t="shared" si="508"/>
        <v/>
      </c>
      <c r="S780" s="22" t="str">
        <f t="shared" si="509"/>
        <v/>
      </c>
      <c r="T780" s="22" t="str">
        <f t="shared" si="510"/>
        <v/>
      </c>
      <c r="V780" s="21" t="str">
        <f t="shared" si="511"/>
        <v>Apprenant 768</v>
      </c>
      <c r="W780" s="22" t="str">
        <f>IF(AND(OR('Choix pédagogiques'!$C$3=1,'Choix pédagogiques'!$C$3=2),$BM780=1),B780,IF(AND('Choix pédagogiques'!$C$3=3,$BO780=1),B780,""))</f>
        <v/>
      </c>
      <c r="X780" s="22" t="str">
        <f>IF(AND(OR('Choix pédagogiques'!$C$3=1,'Choix pédagogiques'!$C$3=2),$BM780=1),C780,IF(AND('Choix pédagogiques'!$C$3=3,$BO780=1),C780,""))</f>
        <v/>
      </c>
      <c r="Y780" s="22" t="str">
        <f>IF(AND(OR('Choix pédagogiques'!$C$3=1,'Choix pédagogiques'!$C$3=2),$BM780=1),D780,IF(AND('Choix pédagogiques'!$C$3=3,$BO780=1),D780,""))</f>
        <v/>
      </c>
      <c r="Z780" s="22" t="str">
        <f t="shared" si="512"/>
        <v/>
      </c>
      <c r="AA780" s="21" t="str">
        <f t="shared" si="513"/>
        <v>Apprenant 768 ou 768'</v>
      </c>
      <c r="AB780" s="22" t="str">
        <f>IF(AND(OR('Choix pédagogiques'!$C$3=1,'Choix pédagogiques'!$C$3=2),$BN780=1),G780,IF(AND('Choix pédagogiques'!$C$3=3,$BO780=1),G780,""))</f>
        <v/>
      </c>
      <c r="AC780" s="22" t="str">
        <f>IF(AND(OR('Choix pédagogiques'!$C$3=1,'Choix pédagogiques'!$C$3=2),$BN780=1),H780,IF(AND('Choix pédagogiques'!$C$3=3,$BO780=1),H780,""))</f>
        <v/>
      </c>
      <c r="AD780" s="22" t="str">
        <f>IF(AND(OR('Choix pédagogiques'!$C$3=1,'Choix pédagogiques'!$C$3=2),$BN780=1),I780,IF(AND('Choix pédagogiques'!$C$3=3,$BO780=1),I780,""))</f>
        <v/>
      </c>
      <c r="AE780" s="22" t="str">
        <f t="shared" si="514"/>
        <v/>
      </c>
      <c r="AF780" s="21" t="str">
        <f t="shared" si="515"/>
        <v>Apprenant 768</v>
      </c>
      <c r="AG780" s="22" t="str">
        <f t="shared" si="489"/>
        <v/>
      </c>
      <c r="AH780" s="22" t="str">
        <f t="shared" si="490"/>
        <v/>
      </c>
      <c r="AI780" s="22" t="str">
        <f t="shared" si="491"/>
        <v/>
      </c>
      <c r="AJ780" s="22" t="str">
        <f t="shared" si="516"/>
        <v/>
      </c>
      <c r="AK780" s="21" t="str">
        <f t="shared" si="517"/>
        <v>Apprenant 768 ou 768'</v>
      </c>
      <c r="AL780" s="22" t="str">
        <f t="shared" si="492"/>
        <v/>
      </c>
      <c r="AM780" s="22" t="str">
        <f t="shared" si="493"/>
        <v/>
      </c>
      <c r="AN780" s="22" t="str">
        <f t="shared" si="494"/>
        <v/>
      </c>
      <c r="AO780" s="22" t="str">
        <f t="shared" si="518"/>
        <v/>
      </c>
      <c r="AQ780" s="21" t="str">
        <f t="shared" si="519"/>
        <v>Apprenant 768</v>
      </c>
      <c r="AR780" s="49" t="str">
        <f>IF(AND('Choix pédagogiques'!$C$4&lt;&gt;"?",'Choix pédagogiques'!$C$5&lt;&gt;"?",W780&lt;&gt;""),(W780-'Choix pédagogiques'!$C$4)/('Choix pédagogiques'!$C$5-'Choix pédagogiques'!$C$4),"")</f>
        <v/>
      </c>
      <c r="AS780" s="49" t="str">
        <f>IF(AND('Choix pédagogiques'!$C$4&lt;&gt;"?",'Choix pédagogiques'!$C$5&lt;&gt;"?",X780&lt;&gt;""),(X780-'Choix pédagogiques'!$C$4)/('Choix pédagogiques'!$C$5-'Choix pédagogiques'!$C$4),"")</f>
        <v/>
      </c>
      <c r="AT780" s="49" t="str">
        <f>IF(AND('Choix pédagogiques'!$C$4&lt;&gt;"?",'Choix pédagogiques'!$C$5&lt;&gt;"?",Y780&lt;&gt;""),(Y780-'Choix pédagogiques'!$C$4)/('Choix pédagogiques'!$C$5-'Choix pédagogiques'!$C$4),"")</f>
        <v/>
      </c>
      <c r="AU780" s="22" t="str">
        <f t="shared" si="520"/>
        <v/>
      </c>
      <c r="AV780" s="21" t="str">
        <f t="shared" si="521"/>
        <v>Apprenant 768 ou 768'</v>
      </c>
      <c r="AW780" s="49" t="str">
        <f>IF(AND('Choix pédagogiques'!$C$4&lt;&gt;"?",'Choix pédagogiques'!$C$5&lt;&gt;"?",AB780&lt;&gt;""),(AB780-'Choix pédagogiques'!$C$4)/('Choix pédagogiques'!$C$5-'Choix pédagogiques'!$C$4),"")</f>
        <v/>
      </c>
      <c r="AX780" s="49" t="str">
        <f>IF(AND('Choix pédagogiques'!$C$4&lt;&gt;"?",'Choix pédagogiques'!$C$5&lt;&gt;"?",AC780&lt;&gt;""),(AC780-'Choix pédagogiques'!$C$4)/('Choix pédagogiques'!$C$5-'Choix pédagogiques'!$C$4),"")</f>
        <v/>
      </c>
      <c r="AY780" s="49" t="str">
        <f>IF(AND('Choix pédagogiques'!$C$4&lt;&gt;"?",'Choix pédagogiques'!$C$5&lt;&gt;"?",AD780&lt;&gt;""),(AD780-'Choix pédagogiques'!$C$4)/('Choix pédagogiques'!$C$5-'Choix pédagogiques'!$C$4),"")</f>
        <v/>
      </c>
      <c r="AZ780" s="22" t="str">
        <f t="shared" si="522"/>
        <v/>
      </c>
      <c r="BA780" s="21" t="str">
        <f t="shared" si="523"/>
        <v>Apprenant 768</v>
      </c>
      <c r="BB780" s="49" t="str">
        <f t="shared" si="495"/>
        <v/>
      </c>
      <c r="BC780" s="49" t="str">
        <f t="shared" si="496"/>
        <v/>
      </c>
      <c r="BD780" s="49" t="str">
        <f t="shared" si="497"/>
        <v/>
      </c>
      <c r="BE780" s="22" t="str">
        <f t="shared" si="524"/>
        <v/>
      </c>
      <c r="BF780" s="21" t="str">
        <f t="shared" si="525"/>
        <v>Apprenant 768 ou 768'</v>
      </c>
      <c r="BG780" s="49" t="str">
        <f t="shared" si="498"/>
        <v/>
      </c>
      <c r="BH780" s="49" t="str">
        <f t="shared" si="499"/>
        <v/>
      </c>
      <c r="BI780" s="49" t="str">
        <f t="shared" si="500"/>
        <v/>
      </c>
      <c r="BJ780" s="22" t="str">
        <f t="shared" si="526"/>
        <v/>
      </c>
      <c r="BL780" s="21"/>
      <c r="BM780" s="21" t="str">
        <f>IF(OR(COUNT(B780:D1779)=0,AND('Choix pédagogiques'!$C$3&lt;&gt;1,'Choix pédagogiques'!$C$3&lt;&gt;2)),"",IF(AND(OR('Choix pédagogiques'!$C$3=1,'Choix pédagogiques'!$C$3=2),$B780&lt;&gt;"",$C780&lt;&gt;"",$D780&lt;&gt;""),1,0))</f>
        <v/>
      </c>
      <c r="BN780" s="21" t="str">
        <f>IF(OR(COUNT(G780:I1779)=0,AND('Choix pédagogiques'!$C$3&lt;&gt;1,'Choix pédagogiques'!$C$3&lt;&gt;2)),"",IF(AND(OR('Choix pédagogiques'!$C$3=1,'Choix pédagogiques'!$C$3=2),AND($G780&lt;&gt;"",$H780&lt;&gt;"",$I780&lt;&gt;"")),1,0))</f>
        <v/>
      </c>
      <c r="BO780" s="21" t="str">
        <f>IF(OR(COUNT(B780:D1779)=0,COUNT(G780:I1779)=0,'Choix pédagogiques'!C$3&lt;&gt;3),"",IF(AND('Choix pédagogiques'!$C$3=3,$B780&lt;&gt;"",$C780&lt;&gt;"",$D780&lt;&gt;"",$G780&lt;&gt;"",$H780&lt;&gt;"",$I780&lt;&gt;""),1,0))</f>
        <v/>
      </c>
      <c r="BR780" s="21">
        <v>646</v>
      </c>
      <c r="BS780" s="21">
        <v>1557</v>
      </c>
      <c r="BT780"/>
    </row>
    <row r="781" spans="1:72" s="23" customFormat="1" ht="18" customHeight="1" x14ac:dyDescent="0.3">
      <c r="A781" s="35" t="s">
        <v>771</v>
      </c>
      <c r="B781" s="37"/>
      <c r="C781" s="37"/>
      <c r="D781" s="37"/>
      <c r="E781" s="37"/>
      <c r="F781" s="35" t="s">
        <v>1779</v>
      </c>
      <c r="G781" s="37"/>
      <c r="H781" s="37"/>
      <c r="I781" s="37"/>
      <c r="J781" s="37"/>
      <c r="K781" s="21" t="str">
        <f t="shared" si="501"/>
        <v>Apprenant 769</v>
      </c>
      <c r="L781" s="22" t="str">
        <f t="shared" si="502"/>
        <v/>
      </c>
      <c r="M781" s="22" t="str">
        <f t="shared" si="503"/>
        <v/>
      </c>
      <c r="N781" s="22" t="str">
        <f t="shared" si="504"/>
        <v/>
      </c>
      <c r="O781" s="22" t="str">
        <f t="shared" si="505"/>
        <v/>
      </c>
      <c r="P781" s="21" t="str">
        <f t="shared" si="506"/>
        <v>Apprenant 769 ou 769'</v>
      </c>
      <c r="Q781" s="22" t="str">
        <f t="shared" si="507"/>
        <v/>
      </c>
      <c r="R781" s="22" t="str">
        <f t="shared" si="508"/>
        <v/>
      </c>
      <c r="S781" s="22" t="str">
        <f t="shared" si="509"/>
        <v/>
      </c>
      <c r="T781" s="22" t="str">
        <f t="shared" si="510"/>
        <v/>
      </c>
      <c r="V781" s="21" t="str">
        <f t="shared" si="511"/>
        <v>Apprenant 769</v>
      </c>
      <c r="W781" s="22" t="str">
        <f>IF(AND(OR('Choix pédagogiques'!$C$3=1,'Choix pédagogiques'!$C$3=2),$BM781=1),B781,IF(AND('Choix pédagogiques'!$C$3=3,$BO781=1),B781,""))</f>
        <v/>
      </c>
      <c r="X781" s="22" t="str">
        <f>IF(AND(OR('Choix pédagogiques'!$C$3=1,'Choix pédagogiques'!$C$3=2),$BM781=1),C781,IF(AND('Choix pédagogiques'!$C$3=3,$BO781=1),C781,""))</f>
        <v/>
      </c>
      <c r="Y781" s="22" t="str">
        <f>IF(AND(OR('Choix pédagogiques'!$C$3=1,'Choix pédagogiques'!$C$3=2),$BM781=1),D781,IF(AND('Choix pédagogiques'!$C$3=3,$BO781=1),D781,""))</f>
        <v/>
      </c>
      <c r="Z781" s="22" t="str">
        <f t="shared" si="512"/>
        <v/>
      </c>
      <c r="AA781" s="21" t="str">
        <f t="shared" si="513"/>
        <v>Apprenant 769 ou 769'</v>
      </c>
      <c r="AB781" s="22" t="str">
        <f>IF(AND(OR('Choix pédagogiques'!$C$3=1,'Choix pédagogiques'!$C$3=2),$BN781=1),G781,IF(AND('Choix pédagogiques'!$C$3=3,$BO781=1),G781,""))</f>
        <v/>
      </c>
      <c r="AC781" s="22" t="str">
        <f>IF(AND(OR('Choix pédagogiques'!$C$3=1,'Choix pédagogiques'!$C$3=2),$BN781=1),H781,IF(AND('Choix pédagogiques'!$C$3=3,$BO781=1),H781,""))</f>
        <v/>
      </c>
      <c r="AD781" s="22" t="str">
        <f>IF(AND(OR('Choix pédagogiques'!$C$3=1,'Choix pédagogiques'!$C$3=2),$BN781=1),I781,IF(AND('Choix pédagogiques'!$C$3=3,$BO781=1),I781,""))</f>
        <v/>
      </c>
      <c r="AE781" s="22" t="str">
        <f t="shared" si="514"/>
        <v/>
      </c>
      <c r="AF781" s="21" t="str">
        <f t="shared" si="515"/>
        <v>Apprenant 769</v>
      </c>
      <c r="AG781" s="22" t="str">
        <f t="shared" ref="AG781:AG844" si="527">IF(AND($W781&lt;&gt;"",$X781&lt;&gt;""),$X781-$W781,"")</f>
        <v/>
      </c>
      <c r="AH781" s="22" t="str">
        <f t="shared" ref="AH781:AH844" si="528">IF(AND($W781&lt;&gt;"",$Y781&lt;&gt;""),$Y781-$W781,"")</f>
        <v/>
      </c>
      <c r="AI781" s="22" t="str">
        <f t="shared" ref="AI781:AI844" si="529">IF(AND($X781&lt;&gt;"",$Y781&lt;&gt;""),$Y781-$X781,"")</f>
        <v/>
      </c>
      <c r="AJ781" s="22" t="str">
        <f t="shared" si="516"/>
        <v/>
      </c>
      <c r="AK781" s="21" t="str">
        <f t="shared" si="517"/>
        <v>Apprenant 769 ou 769'</v>
      </c>
      <c r="AL781" s="22" t="str">
        <f t="shared" ref="AL781:AL844" si="530">IF(AND($AB781&lt;&gt;"",$AC781&lt;&gt;""),$AC781-$AB781,"")</f>
        <v/>
      </c>
      <c r="AM781" s="22" t="str">
        <f t="shared" ref="AM781:AM844" si="531">IF(AND($AB781&lt;&gt;"",$AD781&lt;&gt;""),$AD781-$AB781,"")</f>
        <v/>
      </c>
      <c r="AN781" s="22" t="str">
        <f t="shared" ref="AN781:AN844" si="532">IF(AND($AC781&lt;&gt;"",$AD781&lt;&gt;""),$AD781-$AC781,"")</f>
        <v/>
      </c>
      <c r="AO781" s="22" t="str">
        <f t="shared" si="518"/>
        <v/>
      </c>
      <c r="AQ781" s="21" t="str">
        <f t="shared" si="519"/>
        <v>Apprenant 769</v>
      </c>
      <c r="AR781" s="49" t="str">
        <f>IF(AND('Choix pédagogiques'!$C$4&lt;&gt;"?",'Choix pédagogiques'!$C$5&lt;&gt;"?",W781&lt;&gt;""),(W781-'Choix pédagogiques'!$C$4)/('Choix pédagogiques'!$C$5-'Choix pédagogiques'!$C$4),"")</f>
        <v/>
      </c>
      <c r="AS781" s="49" t="str">
        <f>IF(AND('Choix pédagogiques'!$C$4&lt;&gt;"?",'Choix pédagogiques'!$C$5&lt;&gt;"?",X781&lt;&gt;""),(X781-'Choix pédagogiques'!$C$4)/('Choix pédagogiques'!$C$5-'Choix pédagogiques'!$C$4),"")</f>
        <v/>
      </c>
      <c r="AT781" s="49" t="str">
        <f>IF(AND('Choix pédagogiques'!$C$4&lt;&gt;"?",'Choix pédagogiques'!$C$5&lt;&gt;"?",Y781&lt;&gt;""),(Y781-'Choix pédagogiques'!$C$4)/('Choix pédagogiques'!$C$5-'Choix pédagogiques'!$C$4),"")</f>
        <v/>
      </c>
      <c r="AU781" s="22" t="str">
        <f t="shared" si="520"/>
        <v/>
      </c>
      <c r="AV781" s="21" t="str">
        <f t="shared" si="521"/>
        <v>Apprenant 769 ou 769'</v>
      </c>
      <c r="AW781" s="49" t="str">
        <f>IF(AND('Choix pédagogiques'!$C$4&lt;&gt;"?",'Choix pédagogiques'!$C$5&lt;&gt;"?",AB781&lt;&gt;""),(AB781-'Choix pédagogiques'!$C$4)/('Choix pédagogiques'!$C$5-'Choix pédagogiques'!$C$4),"")</f>
        <v/>
      </c>
      <c r="AX781" s="49" t="str">
        <f>IF(AND('Choix pédagogiques'!$C$4&lt;&gt;"?",'Choix pédagogiques'!$C$5&lt;&gt;"?",AC781&lt;&gt;""),(AC781-'Choix pédagogiques'!$C$4)/('Choix pédagogiques'!$C$5-'Choix pédagogiques'!$C$4),"")</f>
        <v/>
      </c>
      <c r="AY781" s="49" t="str">
        <f>IF(AND('Choix pédagogiques'!$C$4&lt;&gt;"?",'Choix pédagogiques'!$C$5&lt;&gt;"?",AD781&lt;&gt;""),(AD781-'Choix pédagogiques'!$C$4)/('Choix pédagogiques'!$C$5-'Choix pédagogiques'!$C$4),"")</f>
        <v/>
      </c>
      <c r="AZ781" s="22" t="str">
        <f t="shared" si="522"/>
        <v/>
      </c>
      <c r="BA781" s="21" t="str">
        <f t="shared" si="523"/>
        <v>Apprenant 769</v>
      </c>
      <c r="BB781" s="49" t="str">
        <f t="shared" ref="BB781:BB844" si="533">IF(AND($AR781&lt;&gt;"",$AS781&lt;&gt;""),$AS781-$AR781,"")</f>
        <v/>
      </c>
      <c r="BC781" s="49" t="str">
        <f t="shared" ref="BC781:BC844" si="534">IF(AND($AR781&lt;&gt;"",$AT781&lt;&gt;""),$AT781-$AR781,"")</f>
        <v/>
      </c>
      <c r="BD781" s="49" t="str">
        <f t="shared" ref="BD781:BD844" si="535">IF(AND($AS781&lt;&gt;"",$AT781&lt;&gt;""),$AT781-$AS781,"")</f>
        <v/>
      </c>
      <c r="BE781" s="22" t="str">
        <f t="shared" si="524"/>
        <v/>
      </c>
      <c r="BF781" s="21" t="str">
        <f t="shared" si="525"/>
        <v>Apprenant 769 ou 769'</v>
      </c>
      <c r="BG781" s="49" t="str">
        <f t="shared" ref="BG781:BG844" si="536">IF(AND($AW781&lt;&gt;"",$AX781&lt;&gt;""),$AX781-$AW781,"")</f>
        <v/>
      </c>
      <c r="BH781" s="49" t="str">
        <f t="shared" ref="BH781:BH844" si="537">IF(AND($AW781&lt;&gt;"",$AY781&lt;&gt;""),$AY781-$AW781,"")</f>
        <v/>
      </c>
      <c r="BI781" s="49" t="str">
        <f t="shared" ref="BI781:BI844" si="538">IF(AND($AX781&lt;&gt;"",$AY781&lt;&gt;""),$AY781-$AX781,"")</f>
        <v/>
      </c>
      <c r="BJ781" s="22" t="str">
        <f t="shared" si="526"/>
        <v/>
      </c>
      <c r="BL781" s="21"/>
      <c r="BM781" s="21" t="str">
        <f>IF(OR(COUNT(B781:D1780)=0,AND('Choix pédagogiques'!$C$3&lt;&gt;1,'Choix pédagogiques'!$C$3&lt;&gt;2)),"",IF(AND(OR('Choix pédagogiques'!$C$3=1,'Choix pédagogiques'!$C$3=2),$B781&lt;&gt;"",$C781&lt;&gt;"",$D781&lt;&gt;""),1,0))</f>
        <v/>
      </c>
      <c r="BN781" s="21" t="str">
        <f>IF(OR(COUNT(G781:I1780)=0,AND('Choix pédagogiques'!$C$3&lt;&gt;1,'Choix pédagogiques'!$C$3&lt;&gt;2)),"",IF(AND(OR('Choix pédagogiques'!$C$3=1,'Choix pédagogiques'!$C$3=2),AND($G781&lt;&gt;"",$H781&lt;&gt;"",$I781&lt;&gt;"")),1,0))</f>
        <v/>
      </c>
      <c r="BO781" s="21" t="str">
        <f>IF(OR(COUNT(B781:D1780)=0,COUNT(G781:I1780)=0,'Choix pédagogiques'!C$3&lt;&gt;3),"",IF(AND('Choix pédagogiques'!$C$3=3,$B781&lt;&gt;"",$C781&lt;&gt;"",$D781&lt;&gt;"",$G781&lt;&gt;"",$H781&lt;&gt;"",$I781&lt;&gt;""),1,0))</f>
        <v/>
      </c>
      <c r="BR781" s="21">
        <v>51</v>
      </c>
      <c r="BS781" s="21">
        <v>1140</v>
      </c>
      <c r="BT781"/>
    </row>
    <row r="782" spans="1:72" s="23" customFormat="1" ht="18" customHeight="1" x14ac:dyDescent="0.3">
      <c r="A782" s="35" t="s">
        <v>772</v>
      </c>
      <c r="B782" s="37"/>
      <c r="C782" s="37"/>
      <c r="D782" s="37"/>
      <c r="E782" s="37"/>
      <c r="F782" s="35" t="s">
        <v>1780</v>
      </c>
      <c r="G782" s="37"/>
      <c r="H782" s="37"/>
      <c r="I782" s="37"/>
      <c r="J782" s="37"/>
      <c r="K782" s="21" t="str">
        <f t="shared" ref="K782:K845" si="539">IF($A782&lt;&gt;"",$A782,"")</f>
        <v>Apprenant 770</v>
      </c>
      <c r="L782" s="22" t="str">
        <f t="shared" ref="L782:L845" si="540">IF(AND($B782&lt;&gt;"",$C782&lt;&gt;""),$C782-$B782,"")</f>
        <v/>
      </c>
      <c r="M782" s="22" t="str">
        <f t="shared" ref="M782:M845" si="541">IF(AND($B782&lt;&gt;"",$D782&lt;&gt;""),$D782-$B782,"")</f>
        <v/>
      </c>
      <c r="N782" s="22" t="str">
        <f t="shared" ref="N782:N845" si="542">IF(AND($C782&lt;&gt;"",$D782&lt;&gt;""),$D782-$C782,"")</f>
        <v/>
      </c>
      <c r="O782" s="22" t="str">
        <f t="shared" ref="O782:O845" si="543">IF($E782&lt;&gt;"",$E782,"")</f>
        <v/>
      </c>
      <c r="P782" s="21" t="str">
        <f t="shared" ref="P782:P845" si="544">IF($F782&lt;&gt;"",$F782,"")</f>
        <v>Apprenant 770 ou 770'</v>
      </c>
      <c r="Q782" s="22" t="str">
        <f t="shared" ref="Q782:Q845" si="545">IF(AND($G782&lt;&gt;"",$H782&lt;&gt;""),$H782-$G782,"")</f>
        <v/>
      </c>
      <c r="R782" s="22" t="str">
        <f t="shared" ref="R782:R845" si="546">IF(AND($G782&lt;&gt;"",$I782&lt;&gt;""),$I782-$G782,"")</f>
        <v/>
      </c>
      <c r="S782" s="22" t="str">
        <f t="shared" ref="S782:S845" si="547">IF(AND($H782&lt;&gt;"",$I782&lt;&gt;""),$I782-$H782,"")</f>
        <v/>
      </c>
      <c r="T782" s="22" t="str">
        <f t="shared" ref="T782:T845" si="548">IF($J782&lt;&gt;"",$J782,"")</f>
        <v/>
      </c>
      <c r="V782" s="21" t="str">
        <f t="shared" ref="V782:V845" si="549">IF($A782&lt;&gt;"",$A782,"")</f>
        <v>Apprenant 770</v>
      </c>
      <c r="W782" s="22" t="str">
        <f>IF(AND(OR('Choix pédagogiques'!$C$3=1,'Choix pédagogiques'!$C$3=2),$BM782=1),B782,IF(AND('Choix pédagogiques'!$C$3=3,$BO782=1),B782,""))</f>
        <v/>
      </c>
      <c r="X782" s="22" t="str">
        <f>IF(AND(OR('Choix pédagogiques'!$C$3=1,'Choix pédagogiques'!$C$3=2),$BM782=1),C782,IF(AND('Choix pédagogiques'!$C$3=3,$BO782=1),C782,""))</f>
        <v/>
      </c>
      <c r="Y782" s="22" t="str">
        <f>IF(AND(OR('Choix pédagogiques'!$C$3=1,'Choix pédagogiques'!$C$3=2),$BM782=1),D782,IF(AND('Choix pédagogiques'!$C$3=3,$BO782=1),D782,""))</f>
        <v/>
      </c>
      <c r="Z782" s="22" t="str">
        <f t="shared" ref="Z782:Z845" si="550">IF($E782&lt;&gt;"",$E782,"")</f>
        <v/>
      </c>
      <c r="AA782" s="21" t="str">
        <f t="shared" ref="AA782:AA845" si="551">IF($F782&lt;&gt;"",$F782,"")</f>
        <v>Apprenant 770 ou 770'</v>
      </c>
      <c r="AB782" s="22" t="str">
        <f>IF(AND(OR('Choix pédagogiques'!$C$3=1,'Choix pédagogiques'!$C$3=2),$BN782=1),G782,IF(AND('Choix pédagogiques'!$C$3=3,$BO782=1),G782,""))</f>
        <v/>
      </c>
      <c r="AC782" s="22" t="str">
        <f>IF(AND(OR('Choix pédagogiques'!$C$3=1,'Choix pédagogiques'!$C$3=2),$BN782=1),H782,IF(AND('Choix pédagogiques'!$C$3=3,$BO782=1),H782,""))</f>
        <v/>
      </c>
      <c r="AD782" s="22" t="str">
        <f>IF(AND(OR('Choix pédagogiques'!$C$3=1,'Choix pédagogiques'!$C$3=2),$BN782=1),I782,IF(AND('Choix pédagogiques'!$C$3=3,$BO782=1),I782,""))</f>
        <v/>
      </c>
      <c r="AE782" s="22" t="str">
        <f t="shared" ref="AE782:AE845" si="552">IF($J782&lt;&gt;"",$J782,"")</f>
        <v/>
      </c>
      <c r="AF782" s="21" t="str">
        <f t="shared" ref="AF782:AF845" si="553">IF($A782&lt;&gt;"",$A782,"")</f>
        <v>Apprenant 770</v>
      </c>
      <c r="AG782" s="22" t="str">
        <f t="shared" si="527"/>
        <v/>
      </c>
      <c r="AH782" s="22" t="str">
        <f t="shared" si="528"/>
        <v/>
      </c>
      <c r="AI782" s="22" t="str">
        <f t="shared" si="529"/>
        <v/>
      </c>
      <c r="AJ782" s="22" t="str">
        <f t="shared" ref="AJ782:AJ845" si="554">IF($E782&lt;&gt;"",$E782,"")</f>
        <v/>
      </c>
      <c r="AK782" s="21" t="str">
        <f t="shared" ref="AK782:AK845" si="555">IF($F782&lt;&gt;"",$F782,"")</f>
        <v>Apprenant 770 ou 770'</v>
      </c>
      <c r="AL782" s="22" t="str">
        <f t="shared" si="530"/>
        <v/>
      </c>
      <c r="AM782" s="22" t="str">
        <f t="shared" si="531"/>
        <v/>
      </c>
      <c r="AN782" s="22" t="str">
        <f t="shared" si="532"/>
        <v/>
      </c>
      <c r="AO782" s="22" t="str">
        <f t="shared" ref="AO782:AO845" si="556">IF($J782&lt;&gt;"",$J782,"")</f>
        <v/>
      </c>
      <c r="AQ782" s="21" t="str">
        <f t="shared" ref="AQ782:AQ845" si="557">IF($A782&lt;&gt;"",$A782,"")</f>
        <v>Apprenant 770</v>
      </c>
      <c r="AR782" s="49" t="str">
        <f>IF(AND('Choix pédagogiques'!$C$4&lt;&gt;"?",'Choix pédagogiques'!$C$5&lt;&gt;"?",W782&lt;&gt;""),(W782-'Choix pédagogiques'!$C$4)/('Choix pédagogiques'!$C$5-'Choix pédagogiques'!$C$4),"")</f>
        <v/>
      </c>
      <c r="AS782" s="49" t="str">
        <f>IF(AND('Choix pédagogiques'!$C$4&lt;&gt;"?",'Choix pédagogiques'!$C$5&lt;&gt;"?",X782&lt;&gt;""),(X782-'Choix pédagogiques'!$C$4)/('Choix pédagogiques'!$C$5-'Choix pédagogiques'!$C$4),"")</f>
        <v/>
      </c>
      <c r="AT782" s="49" t="str">
        <f>IF(AND('Choix pédagogiques'!$C$4&lt;&gt;"?",'Choix pédagogiques'!$C$5&lt;&gt;"?",Y782&lt;&gt;""),(Y782-'Choix pédagogiques'!$C$4)/('Choix pédagogiques'!$C$5-'Choix pédagogiques'!$C$4),"")</f>
        <v/>
      </c>
      <c r="AU782" s="22" t="str">
        <f t="shared" ref="AU782:AU845" si="558">IF($E782&lt;&gt;"",$E782,"")</f>
        <v/>
      </c>
      <c r="AV782" s="21" t="str">
        <f t="shared" ref="AV782:AV845" si="559">IF($F782&lt;&gt;"",$F782,"")</f>
        <v>Apprenant 770 ou 770'</v>
      </c>
      <c r="AW782" s="49" t="str">
        <f>IF(AND('Choix pédagogiques'!$C$4&lt;&gt;"?",'Choix pédagogiques'!$C$5&lt;&gt;"?",AB782&lt;&gt;""),(AB782-'Choix pédagogiques'!$C$4)/('Choix pédagogiques'!$C$5-'Choix pédagogiques'!$C$4),"")</f>
        <v/>
      </c>
      <c r="AX782" s="49" t="str">
        <f>IF(AND('Choix pédagogiques'!$C$4&lt;&gt;"?",'Choix pédagogiques'!$C$5&lt;&gt;"?",AC782&lt;&gt;""),(AC782-'Choix pédagogiques'!$C$4)/('Choix pédagogiques'!$C$5-'Choix pédagogiques'!$C$4),"")</f>
        <v/>
      </c>
      <c r="AY782" s="49" t="str">
        <f>IF(AND('Choix pédagogiques'!$C$4&lt;&gt;"?",'Choix pédagogiques'!$C$5&lt;&gt;"?",AD782&lt;&gt;""),(AD782-'Choix pédagogiques'!$C$4)/('Choix pédagogiques'!$C$5-'Choix pédagogiques'!$C$4),"")</f>
        <v/>
      </c>
      <c r="AZ782" s="22" t="str">
        <f t="shared" ref="AZ782:AZ845" si="560">IF($J782&lt;&gt;"",$J782,"")</f>
        <v/>
      </c>
      <c r="BA782" s="21" t="str">
        <f t="shared" ref="BA782:BA845" si="561">IF($A782&lt;&gt;"",$A782,"")</f>
        <v>Apprenant 770</v>
      </c>
      <c r="BB782" s="49" t="str">
        <f t="shared" si="533"/>
        <v/>
      </c>
      <c r="BC782" s="49" t="str">
        <f t="shared" si="534"/>
        <v/>
      </c>
      <c r="BD782" s="49" t="str">
        <f t="shared" si="535"/>
        <v/>
      </c>
      <c r="BE782" s="22" t="str">
        <f t="shared" ref="BE782:BE845" si="562">IF($E782&lt;&gt;"",$E782,"")</f>
        <v/>
      </c>
      <c r="BF782" s="21" t="str">
        <f t="shared" ref="BF782:BF845" si="563">IF($F782&lt;&gt;"",$F782,"")</f>
        <v>Apprenant 770 ou 770'</v>
      </c>
      <c r="BG782" s="49" t="str">
        <f t="shared" si="536"/>
        <v/>
      </c>
      <c r="BH782" s="49" t="str">
        <f t="shared" si="537"/>
        <v/>
      </c>
      <c r="BI782" s="49" t="str">
        <f t="shared" si="538"/>
        <v/>
      </c>
      <c r="BJ782" s="22" t="str">
        <f t="shared" ref="BJ782:BJ845" si="564">IF($J782&lt;&gt;"",$J782,"")</f>
        <v/>
      </c>
      <c r="BL782" s="21"/>
      <c r="BM782" s="21" t="str">
        <f>IF(OR(COUNT(B782:D1781)=0,AND('Choix pédagogiques'!$C$3&lt;&gt;1,'Choix pédagogiques'!$C$3&lt;&gt;2)),"",IF(AND(OR('Choix pédagogiques'!$C$3=1,'Choix pédagogiques'!$C$3=2),$B782&lt;&gt;"",$C782&lt;&gt;"",$D782&lt;&gt;""),1,0))</f>
        <v/>
      </c>
      <c r="BN782" s="21" t="str">
        <f>IF(OR(COUNT(G782:I1781)=0,AND('Choix pédagogiques'!$C$3&lt;&gt;1,'Choix pédagogiques'!$C$3&lt;&gt;2)),"",IF(AND(OR('Choix pédagogiques'!$C$3=1,'Choix pédagogiques'!$C$3=2),AND($G782&lt;&gt;"",$H782&lt;&gt;"",$I782&lt;&gt;"")),1,0))</f>
        <v/>
      </c>
      <c r="BO782" s="21" t="str">
        <f>IF(OR(COUNT(B782:D1781)=0,COUNT(G782:I1781)=0,'Choix pédagogiques'!C$3&lt;&gt;3),"",IF(AND('Choix pédagogiques'!$C$3=3,$B782&lt;&gt;"",$C782&lt;&gt;"",$D782&lt;&gt;"",$G782&lt;&gt;"",$H782&lt;&gt;"",$I782&lt;&gt;""),1,0))</f>
        <v/>
      </c>
      <c r="BR782" s="21">
        <v>920</v>
      </c>
      <c r="BS782" s="21">
        <v>1492</v>
      </c>
      <c r="BT782"/>
    </row>
    <row r="783" spans="1:72" s="23" customFormat="1" ht="18" customHeight="1" x14ac:dyDescent="0.3">
      <c r="A783" s="35" t="s">
        <v>773</v>
      </c>
      <c r="B783" s="37"/>
      <c r="C783" s="37"/>
      <c r="D783" s="37"/>
      <c r="E783" s="37"/>
      <c r="F783" s="35" t="s">
        <v>1781</v>
      </c>
      <c r="G783" s="37"/>
      <c r="H783" s="37"/>
      <c r="I783" s="37"/>
      <c r="J783" s="37"/>
      <c r="K783" s="21" t="str">
        <f t="shared" si="539"/>
        <v>Apprenant 771</v>
      </c>
      <c r="L783" s="22" t="str">
        <f t="shared" si="540"/>
        <v/>
      </c>
      <c r="M783" s="22" t="str">
        <f t="shared" si="541"/>
        <v/>
      </c>
      <c r="N783" s="22" t="str">
        <f t="shared" si="542"/>
        <v/>
      </c>
      <c r="O783" s="22" t="str">
        <f t="shared" si="543"/>
        <v/>
      </c>
      <c r="P783" s="21" t="str">
        <f t="shared" si="544"/>
        <v>Apprenant 771 ou 771'</v>
      </c>
      <c r="Q783" s="22" t="str">
        <f t="shared" si="545"/>
        <v/>
      </c>
      <c r="R783" s="22" t="str">
        <f t="shared" si="546"/>
        <v/>
      </c>
      <c r="S783" s="22" t="str">
        <f t="shared" si="547"/>
        <v/>
      </c>
      <c r="T783" s="22" t="str">
        <f t="shared" si="548"/>
        <v/>
      </c>
      <c r="V783" s="21" t="str">
        <f t="shared" si="549"/>
        <v>Apprenant 771</v>
      </c>
      <c r="W783" s="22" t="str">
        <f>IF(AND(OR('Choix pédagogiques'!$C$3=1,'Choix pédagogiques'!$C$3=2),$BM783=1),B783,IF(AND('Choix pédagogiques'!$C$3=3,$BO783=1),B783,""))</f>
        <v/>
      </c>
      <c r="X783" s="22" t="str">
        <f>IF(AND(OR('Choix pédagogiques'!$C$3=1,'Choix pédagogiques'!$C$3=2),$BM783=1),C783,IF(AND('Choix pédagogiques'!$C$3=3,$BO783=1),C783,""))</f>
        <v/>
      </c>
      <c r="Y783" s="22" t="str">
        <f>IF(AND(OR('Choix pédagogiques'!$C$3=1,'Choix pédagogiques'!$C$3=2),$BM783=1),D783,IF(AND('Choix pédagogiques'!$C$3=3,$BO783=1),D783,""))</f>
        <v/>
      </c>
      <c r="Z783" s="22" t="str">
        <f t="shared" si="550"/>
        <v/>
      </c>
      <c r="AA783" s="21" t="str">
        <f t="shared" si="551"/>
        <v>Apprenant 771 ou 771'</v>
      </c>
      <c r="AB783" s="22" t="str">
        <f>IF(AND(OR('Choix pédagogiques'!$C$3=1,'Choix pédagogiques'!$C$3=2),$BN783=1),G783,IF(AND('Choix pédagogiques'!$C$3=3,$BO783=1),G783,""))</f>
        <v/>
      </c>
      <c r="AC783" s="22" t="str">
        <f>IF(AND(OR('Choix pédagogiques'!$C$3=1,'Choix pédagogiques'!$C$3=2),$BN783=1),H783,IF(AND('Choix pédagogiques'!$C$3=3,$BO783=1),H783,""))</f>
        <v/>
      </c>
      <c r="AD783" s="22" t="str">
        <f>IF(AND(OR('Choix pédagogiques'!$C$3=1,'Choix pédagogiques'!$C$3=2),$BN783=1),I783,IF(AND('Choix pédagogiques'!$C$3=3,$BO783=1),I783,""))</f>
        <v/>
      </c>
      <c r="AE783" s="22" t="str">
        <f t="shared" si="552"/>
        <v/>
      </c>
      <c r="AF783" s="21" t="str">
        <f t="shared" si="553"/>
        <v>Apprenant 771</v>
      </c>
      <c r="AG783" s="22" t="str">
        <f t="shared" si="527"/>
        <v/>
      </c>
      <c r="AH783" s="22" t="str">
        <f t="shared" si="528"/>
        <v/>
      </c>
      <c r="AI783" s="22" t="str">
        <f t="shared" si="529"/>
        <v/>
      </c>
      <c r="AJ783" s="22" t="str">
        <f t="shared" si="554"/>
        <v/>
      </c>
      <c r="AK783" s="21" t="str">
        <f t="shared" si="555"/>
        <v>Apprenant 771 ou 771'</v>
      </c>
      <c r="AL783" s="22" t="str">
        <f t="shared" si="530"/>
        <v/>
      </c>
      <c r="AM783" s="22" t="str">
        <f t="shared" si="531"/>
        <v/>
      </c>
      <c r="AN783" s="22" t="str">
        <f t="shared" si="532"/>
        <v/>
      </c>
      <c r="AO783" s="22" t="str">
        <f t="shared" si="556"/>
        <v/>
      </c>
      <c r="AQ783" s="21" t="str">
        <f t="shared" si="557"/>
        <v>Apprenant 771</v>
      </c>
      <c r="AR783" s="49" t="str">
        <f>IF(AND('Choix pédagogiques'!$C$4&lt;&gt;"?",'Choix pédagogiques'!$C$5&lt;&gt;"?",W783&lt;&gt;""),(W783-'Choix pédagogiques'!$C$4)/('Choix pédagogiques'!$C$5-'Choix pédagogiques'!$C$4),"")</f>
        <v/>
      </c>
      <c r="AS783" s="49" t="str">
        <f>IF(AND('Choix pédagogiques'!$C$4&lt;&gt;"?",'Choix pédagogiques'!$C$5&lt;&gt;"?",X783&lt;&gt;""),(X783-'Choix pédagogiques'!$C$4)/('Choix pédagogiques'!$C$5-'Choix pédagogiques'!$C$4),"")</f>
        <v/>
      </c>
      <c r="AT783" s="49" t="str">
        <f>IF(AND('Choix pédagogiques'!$C$4&lt;&gt;"?",'Choix pédagogiques'!$C$5&lt;&gt;"?",Y783&lt;&gt;""),(Y783-'Choix pédagogiques'!$C$4)/('Choix pédagogiques'!$C$5-'Choix pédagogiques'!$C$4),"")</f>
        <v/>
      </c>
      <c r="AU783" s="22" t="str">
        <f t="shared" si="558"/>
        <v/>
      </c>
      <c r="AV783" s="21" t="str">
        <f t="shared" si="559"/>
        <v>Apprenant 771 ou 771'</v>
      </c>
      <c r="AW783" s="49" t="str">
        <f>IF(AND('Choix pédagogiques'!$C$4&lt;&gt;"?",'Choix pédagogiques'!$C$5&lt;&gt;"?",AB783&lt;&gt;""),(AB783-'Choix pédagogiques'!$C$4)/('Choix pédagogiques'!$C$5-'Choix pédagogiques'!$C$4),"")</f>
        <v/>
      </c>
      <c r="AX783" s="49" t="str">
        <f>IF(AND('Choix pédagogiques'!$C$4&lt;&gt;"?",'Choix pédagogiques'!$C$5&lt;&gt;"?",AC783&lt;&gt;""),(AC783-'Choix pédagogiques'!$C$4)/('Choix pédagogiques'!$C$5-'Choix pédagogiques'!$C$4),"")</f>
        <v/>
      </c>
      <c r="AY783" s="49" t="str">
        <f>IF(AND('Choix pédagogiques'!$C$4&lt;&gt;"?",'Choix pédagogiques'!$C$5&lt;&gt;"?",AD783&lt;&gt;""),(AD783-'Choix pédagogiques'!$C$4)/('Choix pédagogiques'!$C$5-'Choix pédagogiques'!$C$4),"")</f>
        <v/>
      </c>
      <c r="AZ783" s="22" t="str">
        <f t="shared" si="560"/>
        <v/>
      </c>
      <c r="BA783" s="21" t="str">
        <f t="shared" si="561"/>
        <v>Apprenant 771</v>
      </c>
      <c r="BB783" s="49" t="str">
        <f t="shared" si="533"/>
        <v/>
      </c>
      <c r="BC783" s="49" t="str">
        <f t="shared" si="534"/>
        <v/>
      </c>
      <c r="BD783" s="49" t="str">
        <f t="shared" si="535"/>
        <v/>
      </c>
      <c r="BE783" s="22" t="str">
        <f t="shared" si="562"/>
        <v/>
      </c>
      <c r="BF783" s="21" t="str">
        <f t="shared" si="563"/>
        <v>Apprenant 771 ou 771'</v>
      </c>
      <c r="BG783" s="49" t="str">
        <f t="shared" si="536"/>
        <v/>
      </c>
      <c r="BH783" s="49" t="str">
        <f t="shared" si="537"/>
        <v/>
      </c>
      <c r="BI783" s="49" t="str">
        <f t="shared" si="538"/>
        <v/>
      </c>
      <c r="BJ783" s="22" t="str">
        <f t="shared" si="564"/>
        <v/>
      </c>
      <c r="BL783" s="21"/>
      <c r="BM783" s="21" t="str">
        <f>IF(OR(COUNT(B783:D1782)=0,AND('Choix pédagogiques'!$C$3&lt;&gt;1,'Choix pédagogiques'!$C$3&lt;&gt;2)),"",IF(AND(OR('Choix pédagogiques'!$C$3=1,'Choix pédagogiques'!$C$3=2),$B783&lt;&gt;"",$C783&lt;&gt;"",$D783&lt;&gt;""),1,0))</f>
        <v/>
      </c>
      <c r="BN783" s="21" t="str">
        <f>IF(OR(COUNT(G783:I1782)=0,AND('Choix pédagogiques'!$C$3&lt;&gt;1,'Choix pédagogiques'!$C$3&lt;&gt;2)),"",IF(AND(OR('Choix pédagogiques'!$C$3=1,'Choix pédagogiques'!$C$3=2),AND($G783&lt;&gt;"",$H783&lt;&gt;"",$I783&lt;&gt;"")),1,0))</f>
        <v/>
      </c>
      <c r="BO783" s="21" t="str">
        <f>IF(OR(COUNT(B783:D1782)=0,COUNT(G783:I1782)=0,'Choix pédagogiques'!C$3&lt;&gt;3),"",IF(AND('Choix pédagogiques'!$C$3=3,$B783&lt;&gt;"",$C783&lt;&gt;"",$D783&lt;&gt;"",$G783&lt;&gt;"",$H783&lt;&gt;"",$I783&lt;&gt;""),1,0))</f>
        <v/>
      </c>
      <c r="BR783" s="21">
        <v>940</v>
      </c>
      <c r="BS783" s="21">
        <v>1816</v>
      </c>
      <c r="BT783"/>
    </row>
    <row r="784" spans="1:72" s="23" customFormat="1" ht="18" customHeight="1" x14ac:dyDescent="0.3">
      <c r="A784" s="35" t="s">
        <v>774</v>
      </c>
      <c r="B784" s="37"/>
      <c r="C784" s="37"/>
      <c r="D784" s="37"/>
      <c r="E784" s="37"/>
      <c r="F784" s="35" t="s">
        <v>1782</v>
      </c>
      <c r="G784" s="37"/>
      <c r="H784" s="37"/>
      <c r="I784" s="37"/>
      <c r="J784" s="37"/>
      <c r="K784" s="21" t="str">
        <f t="shared" si="539"/>
        <v>Apprenant 772</v>
      </c>
      <c r="L784" s="22" t="str">
        <f t="shared" si="540"/>
        <v/>
      </c>
      <c r="M784" s="22" t="str">
        <f t="shared" si="541"/>
        <v/>
      </c>
      <c r="N784" s="22" t="str">
        <f t="shared" si="542"/>
        <v/>
      </c>
      <c r="O784" s="22" t="str">
        <f t="shared" si="543"/>
        <v/>
      </c>
      <c r="P784" s="21" t="str">
        <f t="shared" si="544"/>
        <v>Apprenant 772 ou 772'</v>
      </c>
      <c r="Q784" s="22" t="str">
        <f t="shared" si="545"/>
        <v/>
      </c>
      <c r="R784" s="22" t="str">
        <f t="shared" si="546"/>
        <v/>
      </c>
      <c r="S784" s="22" t="str">
        <f t="shared" si="547"/>
        <v/>
      </c>
      <c r="T784" s="22" t="str">
        <f t="shared" si="548"/>
        <v/>
      </c>
      <c r="V784" s="21" t="str">
        <f t="shared" si="549"/>
        <v>Apprenant 772</v>
      </c>
      <c r="W784" s="22" t="str">
        <f>IF(AND(OR('Choix pédagogiques'!$C$3=1,'Choix pédagogiques'!$C$3=2),$BM784=1),B784,IF(AND('Choix pédagogiques'!$C$3=3,$BO784=1),B784,""))</f>
        <v/>
      </c>
      <c r="X784" s="22" t="str">
        <f>IF(AND(OR('Choix pédagogiques'!$C$3=1,'Choix pédagogiques'!$C$3=2),$BM784=1),C784,IF(AND('Choix pédagogiques'!$C$3=3,$BO784=1),C784,""))</f>
        <v/>
      </c>
      <c r="Y784" s="22" t="str">
        <f>IF(AND(OR('Choix pédagogiques'!$C$3=1,'Choix pédagogiques'!$C$3=2),$BM784=1),D784,IF(AND('Choix pédagogiques'!$C$3=3,$BO784=1),D784,""))</f>
        <v/>
      </c>
      <c r="Z784" s="22" t="str">
        <f t="shared" si="550"/>
        <v/>
      </c>
      <c r="AA784" s="21" t="str">
        <f t="shared" si="551"/>
        <v>Apprenant 772 ou 772'</v>
      </c>
      <c r="AB784" s="22" t="str">
        <f>IF(AND(OR('Choix pédagogiques'!$C$3=1,'Choix pédagogiques'!$C$3=2),$BN784=1),G784,IF(AND('Choix pédagogiques'!$C$3=3,$BO784=1),G784,""))</f>
        <v/>
      </c>
      <c r="AC784" s="22" t="str">
        <f>IF(AND(OR('Choix pédagogiques'!$C$3=1,'Choix pédagogiques'!$C$3=2),$BN784=1),H784,IF(AND('Choix pédagogiques'!$C$3=3,$BO784=1),H784,""))</f>
        <v/>
      </c>
      <c r="AD784" s="22" t="str">
        <f>IF(AND(OR('Choix pédagogiques'!$C$3=1,'Choix pédagogiques'!$C$3=2),$BN784=1),I784,IF(AND('Choix pédagogiques'!$C$3=3,$BO784=1),I784,""))</f>
        <v/>
      </c>
      <c r="AE784" s="22" t="str">
        <f t="shared" si="552"/>
        <v/>
      </c>
      <c r="AF784" s="21" t="str">
        <f t="shared" si="553"/>
        <v>Apprenant 772</v>
      </c>
      <c r="AG784" s="22" t="str">
        <f t="shared" si="527"/>
        <v/>
      </c>
      <c r="AH784" s="22" t="str">
        <f t="shared" si="528"/>
        <v/>
      </c>
      <c r="AI784" s="22" t="str">
        <f t="shared" si="529"/>
        <v/>
      </c>
      <c r="AJ784" s="22" t="str">
        <f t="shared" si="554"/>
        <v/>
      </c>
      <c r="AK784" s="21" t="str">
        <f t="shared" si="555"/>
        <v>Apprenant 772 ou 772'</v>
      </c>
      <c r="AL784" s="22" t="str">
        <f t="shared" si="530"/>
        <v/>
      </c>
      <c r="AM784" s="22" t="str">
        <f t="shared" si="531"/>
        <v/>
      </c>
      <c r="AN784" s="22" t="str">
        <f t="shared" si="532"/>
        <v/>
      </c>
      <c r="AO784" s="22" t="str">
        <f t="shared" si="556"/>
        <v/>
      </c>
      <c r="AQ784" s="21" t="str">
        <f t="shared" si="557"/>
        <v>Apprenant 772</v>
      </c>
      <c r="AR784" s="49" t="str">
        <f>IF(AND('Choix pédagogiques'!$C$4&lt;&gt;"?",'Choix pédagogiques'!$C$5&lt;&gt;"?",W784&lt;&gt;""),(W784-'Choix pédagogiques'!$C$4)/('Choix pédagogiques'!$C$5-'Choix pédagogiques'!$C$4),"")</f>
        <v/>
      </c>
      <c r="AS784" s="49" t="str">
        <f>IF(AND('Choix pédagogiques'!$C$4&lt;&gt;"?",'Choix pédagogiques'!$C$5&lt;&gt;"?",X784&lt;&gt;""),(X784-'Choix pédagogiques'!$C$4)/('Choix pédagogiques'!$C$5-'Choix pédagogiques'!$C$4),"")</f>
        <v/>
      </c>
      <c r="AT784" s="49" t="str">
        <f>IF(AND('Choix pédagogiques'!$C$4&lt;&gt;"?",'Choix pédagogiques'!$C$5&lt;&gt;"?",Y784&lt;&gt;""),(Y784-'Choix pédagogiques'!$C$4)/('Choix pédagogiques'!$C$5-'Choix pédagogiques'!$C$4),"")</f>
        <v/>
      </c>
      <c r="AU784" s="22" t="str">
        <f t="shared" si="558"/>
        <v/>
      </c>
      <c r="AV784" s="21" t="str">
        <f t="shared" si="559"/>
        <v>Apprenant 772 ou 772'</v>
      </c>
      <c r="AW784" s="49" t="str">
        <f>IF(AND('Choix pédagogiques'!$C$4&lt;&gt;"?",'Choix pédagogiques'!$C$5&lt;&gt;"?",AB784&lt;&gt;""),(AB784-'Choix pédagogiques'!$C$4)/('Choix pédagogiques'!$C$5-'Choix pédagogiques'!$C$4),"")</f>
        <v/>
      </c>
      <c r="AX784" s="49" t="str">
        <f>IF(AND('Choix pédagogiques'!$C$4&lt;&gt;"?",'Choix pédagogiques'!$C$5&lt;&gt;"?",AC784&lt;&gt;""),(AC784-'Choix pédagogiques'!$C$4)/('Choix pédagogiques'!$C$5-'Choix pédagogiques'!$C$4),"")</f>
        <v/>
      </c>
      <c r="AY784" s="49" t="str">
        <f>IF(AND('Choix pédagogiques'!$C$4&lt;&gt;"?",'Choix pédagogiques'!$C$5&lt;&gt;"?",AD784&lt;&gt;""),(AD784-'Choix pédagogiques'!$C$4)/('Choix pédagogiques'!$C$5-'Choix pédagogiques'!$C$4),"")</f>
        <v/>
      </c>
      <c r="AZ784" s="22" t="str">
        <f t="shared" si="560"/>
        <v/>
      </c>
      <c r="BA784" s="21" t="str">
        <f t="shared" si="561"/>
        <v>Apprenant 772</v>
      </c>
      <c r="BB784" s="49" t="str">
        <f t="shared" si="533"/>
        <v/>
      </c>
      <c r="BC784" s="49" t="str">
        <f t="shared" si="534"/>
        <v/>
      </c>
      <c r="BD784" s="49" t="str">
        <f t="shared" si="535"/>
        <v/>
      </c>
      <c r="BE784" s="22" t="str">
        <f t="shared" si="562"/>
        <v/>
      </c>
      <c r="BF784" s="21" t="str">
        <f t="shared" si="563"/>
        <v>Apprenant 772 ou 772'</v>
      </c>
      <c r="BG784" s="49" t="str">
        <f t="shared" si="536"/>
        <v/>
      </c>
      <c r="BH784" s="49" t="str">
        <f t="shared" si="537"/>
        <v/>
      </c>
      <c r="BI784" s="49" t="str">
        <f t="shared" si="538"/>
        <v/>
      </c>
      <c r="BJ784" s="22" t="str">
        <f t="shared" si="564"/>
        <v/>
      </c>
      <c r="BL784" s="21"/>
      <c r="BM784" s="21" t="str">
        <f>IF(OR(COUNT(B784:D1783)=0,AND('Choix pédagogiques'!$C$3&lt;&gt;1,'Choix pédagogiques'!$C$3&lt;&gt;2)),"",IF(AND(OR('Choix pédagogiques'!$C$3=1,'Choix pédagogiques'!$C$3=2),$B784&lt;&gt;"",$C784&lt;&gt;"",$D784&lt;&gt;""),1,0))</f>
        <v/>
      </c>
      <c r="BN784" s="21" t="str">
        <f>IF(OR(COUNT(G784:I1783)=0,AND('Choix pédagogiques'!$C$3&lt;&gt;1,'Choix pédagogiques'!$C$3&lt;&gt;2)),"",IF(AND(OR('Choix pédagogiques'!$C$3=1,'Choix pédagogiques'!$C$3=2),AND($G784&lt;&gt;"",$H784&lt;&gt;"",$I784&lt;&gt;"")),1,0))</f>
        <v/>
      </c>
      <c r="BO784" s="21" t="str">
        <f>IF(OR(COUNT(B784:D1783)=0,COUNT(G784:I1783)=0,'Choix pédagogiques'!C$3&lt;&gt;3),"",IF(AND('Choix pédagogiques'!$C$3=3,$B784&lt;&gt;"",$C784&lt;&gt;"",$D784&lt;&gt;"",$G784&lt;&gt;"",$H784&lt;&gt;"",$I784&lt;&gt;""),1,0))</f>
        <v/>
      </c>
      <c r="BR784" s="21">
        <v>177</v>
      </c>
      <c r="BS784" s="21">
        <v>1297</v>
      </c>
      <c r="BT784"/>
    </row>
    <row r="785" spans="1:72" s="23" customFormat="1" ht="18" customHeight="1" x14ac:dyDescent="0.3">
      <c r="A785" s="35" t="s">
        <v>775</v>
      </c>
      <c r="B785" s="37"/>
      <c r="C785" s="37"/>
      <c r="D785" s="37"/>
      <c r="E785" s="37"/>
      <c r="F785" s="35" t="s">
        <v>1783</v>
      </c>
      <c r="G785" s="37"/>
      <c r="H785" s="37"/>
      <c r="I785" s="37"/>
      <c r="J785" s="37"/>
      <c r="K785" s="21" t="str">
        <f t="shared" si="539"/>
        <v>Apprenant 773</v>
      </c>
      <c r="L785" s="22" t="str">
        <f t="shared" si="540"/>
        <v/>
      </c>
      <c r="M785" s="22" t="str">
        <f t="shared" si="541"/>
        <v/>
      </c>
      <c r="N785" s="22" t="str">
        <f t="shared" si="542"/>
        <v/>
      </c>
      <c r="O785" s="22" t="str">
        <f t="shared" si="543"/>
        <v/>
      </c>
      <c r="P785" s="21" t="str">
        <f t="shared" si="544"/>
        <v>Apprenant 773 ou 773'</v>
      </c>
      <c r="Q785" s="22" t="str">
        <f t="shared" si="545"/>
        <v/>
      </c>
      <c r="R785" s="22" t="str">
        <f t="shared" si="546"/>
        <v/>
      </c>
      <c r="S785" s="22" t="str">
        <f t="shared" si="547"/>
        <v/>
      </c>
      <c r="T785" s="22" t="str">
        <f t="shared" si="548"/>
        <v/>
      </c>
      <c r="V785" s="21" t="str">
        <f t="shared" si="549"/>
        <v>Apprenant 773</v>
      </c>
      <c r="W785" s="22" t="str">
        <f>IF(AND(OR('Choix pédagogiques'!$C$3=1,'Choix pédagogiques'!$C$3=2),$BM785=1),B785,IF(AND('Choix pédagogiques'!$C$3=3,$BO785=1),B785,""))</f>
        <v/>
      </c>
      <c r="X785" s="22" t="str">
        <f>IF(AND(OR('Choix pédagogiques'!$C$3=1,'Choix pédagogiques'!$C$3=2),$BM785=1),C785,IF(AND('Choix pédagogiques'!$C$3=3,$BO785=1),C785,""))</f>
        <v/>
      </c>
      <c r="Y785" s="22" t="str">
        <f>IF(AND(OR('Choix pédagogiques'!$C$3=1,'Choix pédagogiques'!$C$3=2),$BM785=1),D785,IF(AND('Choix pédagogiques'!$C$3=3,$BO785=1),D785,""))</f>
        <v/>
      </c>
      <c r="Z785" s="22" t="str">
        <f t="shared" si="550"/>
        <v/>
      </c>
      <c r="AA785" s="21" t="str">
        <f t="shared" si="551"/>
        <v>Apprenant 773 ou 773'</v>
      </c>
      <c r="AB785" s="22" t="str">
        <f>IF(AND(OR('Choix pédagogiques'!$C$3=1,'Choix pédagogiques'!$C$3=2),$BN785=1),G785,IF(AND('Choix pédagogiques'!$C$3=3,$BO785=1),G785,""))</f>
        <v/>
      </c>
      <c r="AC785" s="22" t="str">
        <f>IF(AND(OR('Choix pédagogiques'!$C$3=1,'Choix pédagogiques'!$C$3=2),$BN785=1),H785,IF(AND('Choix pédagogiques'!$C$3=3,$BO785=1),H785,""))</f>
        <v/>
      </c>
      <c r="AD785" s="22" t="str">
        <f>IF(AND(OR('Choix pédagogiques'!$C$3=1,'Choix pédagogiques'!$C$3=2),$BN785=1),I785,IF(AND('Choix pédagogiques'!$C$3=3,$BO785=1),I785,""))</f>
        <v/>
      </c>
      <c r="AE785" s="22" t="str">
        <f t="shared" si="552"/>
        <v/>
      </c>
      <c r="AF785" s="21" t="str">
        <f t="shared" si="553"/>
        <v>Apprenant 773</v>
      </c>
      <c r="AG785" s="22" t="str">
        <f t="shared" si="527"/>
        <v/>
      </c>
      <c r="AH785" s="22" t="str">
        <f t="shared" si="528"/>
        <v/>
      </c>
      <c r="AI785" s="22" t="str">
        <f t="shared" si="529"/>
        <v/>
      </c>
      <c r="AJ785" s="22" t="str">
        <f t="shared" si="554"/>
        <v/>
      </c>
      <c r="AK785" s="21" t="str">
        <f t="shared" si="555"/>
        <v>Apprenant 773 ou 773'</v>
      </c>
      <c r="AL785" s="22" t="str">
        <f t="shared" si="530"/>
        <v/>
      </c>
      <c r="AM785" s="22" t="str">
        <f t="shared" si="531"/>
        <v/>
      </c>
      <c r="AN785" s="22" t="str">
        <f t="shared" si="532"/>
        <v/>
      </c>
      <c r="AO785" s="22" t="str">
        <f t="shared" si="556"/>
        <v/>
      </c>
      <c r="AQ785" s="21" t="str">
        <f t="shared" si="557"/>
        <v>Apprenant 773</v>
      </c>
      <c r="AR785" s="49" t="str">
        <f>IF(AND('Choix pédagogiques'!$C$4&lt;&gt;"?",'Choix pédagogiques'!$C$5&lt;&gt;"?",W785&lt;&gt;""),(W785-'Choix pédagogiques'!$C$4)/('Choix pédagogiques'!$C$5-'Choix pédagogiques'!$C$4),"")</f>
        <v/>
      </c>
      <c r="AS785" s="49" t="str">
        <f>IF(AND('Choix pédagogiques'!$C$4&lt;&gt;"?",'Choix pédagogiques'!$C$5&lt;&gt;"?",X785&lt;&gt;""),(X785-'Choix pédagogiques'!$C$4)/('Choix pédagogiques'!$C$5-'Choix pédagogiques'!$C$4),"")</f>
        <v/>
      </c>
      <c r="AT785" s="49" t="str">
        <f>IF(AND('Choix pédagogiques'!$C$4&lt;&gt;"?",'Choix pédagogiques'!$C$5&lt;&gt;"?",Y785&lt;&gt;""),(Y785-'Choix pédagogiques'!$C$4)/('Choix pédagogiques'!$C$5-'Choix pédagogiques'!$C$4),"")</f>
        <v/>
      </c>
      <c r="AU785" s="22" t="str">
        <f t="shared" si="558"/>
        <v/>
      </c>
      <c r="AV785" s="21" t="str">
        <f t="shared" si="559"/>
        <v>Apprenant 773 ou 773'</v>
      </c>
      <c r="AW785" s="49" t="str">
        <f>IF(AND('Choix pédagogiques'!$C$4&lt;&gt;"?",'Choix pédagogiques'!$C$5&lt;&gt;"?",AB785&lt;&gt;""),(AB785-'Choix pédagogiques'!$C$4)/('Choix pédagogiques'!$C$5-'Choix pédagogiques'!$C$4),"")</f>
        <v/>
      </c>
      <c r="AX785" s="49" t="str">
        <f>IF(AND('Choix pédagogiques'!$C$4&lt;&gt;"?",'Choix pédagogiques'!$C$5&lt;&gt;"?",AC785&lt;&gt;""),(AC785-'Choix pédagogiques'!$C$4)/('Choix pédagogiques'!$C$5-'Choix pédagogiques'!$C$4),"")</f>
        <v/>
      </c>
      <c r="AY785" s="49" t="str">
        <f>IF(AND('Choix pédagogiques'!$C$4&lt;&gt;"?",'Choix pédagogiques'!$C$5&lt;&gt;"?",AD785&lt;&gt;""),(AD785-'Choix pédagogiques'!$C$4)/('Choix pédagogiques'!$C$5-'Choix pédagogiques'!$C$4),"")</f>
        <v/>
      </c>
      <c r="AZ785" s="22" t="str">
        <f t="shared" si="560"/>
        <v/>
      </c>
      <c r="BA785" s="21" t="str">
        <f t="shared" si="561"/>
        <v>Apprenant 773</v>
      </c>
      <c r="BB785" s="49" t="str">
        <f t="shared" si="533"/>
        <v/>
      </c>
      <c r="BC785" s="49" t="str">
        <f t="shared" si="534"/>
        <v/>
      </c>
      <c r="BD785" s="49" t="str">
        <f t="shared" si="535"/>
        <v/>
      </c>
      <c r="BE785" s="22" t="str">
        <f t="shared" si="562"/>
        <v/>
      </c>
      <c r="BF785" s="21" t="str">
        <f t="shared" si="563"/>
        <v>Apprenant 773 ou 773'</v>
      </c>
      <c r="BG785" s="49" t="str">
        <f t="shared" si="536"/>
        <v/>
      </c>
      <c r="BH785" s="49" t="str">
        <f t="shared" si="537"/>
        <v/>
      </c>
      <c r="BI785" s="49" t="str">
        <f t="shared" si="538"/>
        <v/>
      </c>
      <c r="BJ785" s="22" t="str">
        <f t="shared" si="564"/>
        <v/>
      </c>
      <c r="BL785" s="21"/>
      <c r="BM785" s="21" t="str">
        <f>IF(OR(COUNT(B785:D1784)=0,AND('Choix pédagogiques'!$C$3&lt;&gt;1,'Choix pédagogiques'!$C$3&lt;&gt;2)),"",IF(AND(OR('Choix pédagogiques'!$C$3=1,'Choix pédagogiques'!$C$3=2),$B785&lt;&gt;"",$C785&lt;&gt;"",$D785&lt;&gt;""),1,0))</f>
        <v/>
      </c>
      <c r="BN785" s="21" t="str">
        <f>IF(OR(COUNT(G785:I1784)=0,AND('Choix pédagogiques'!$C$3&lt;&gt;1,'Choix pédagogiques'!$C$3&lt;&gt;2)),"",IF(AND(OR('Choix pédagogiques'!$C$3=1,'Choix pédagogiques'!$C$3=2),AND($G785&lt;&gt;"",$H785&lt;&gt;"",$I785&lt;&gt;"")),1,0))</f>
        <v/>
      </c>
      <c r="BO785" s="21" t="str">
        <f>IF(OR(COUNT(B785:D1784)=0,COUNT(G785:I1784)=0,'Choix pédagogiques'!C$3&lt;&gt;3),"",IF(AND('Choix pédagogiques'!$C$3=3,$B785&lt;&gt;"",$C785&lt;&gt;"",$D785&lt;&gt;"",$G785&lt;&gt;"",$H785&lt;&gt;"",$I785&lt;&gt;""),1,0))</f>
        <v/>
      </c>
      <c r="BR785" s="21">
        <v>159</v>
      </c>
      <c r="BS785" s="21">
        <v>1768</v>
      </c>
      <c r="BT785"/>
    </row>
    <row r="786" spans="1:72" s="23" customFormat="1" ht="18" customHeight="1" x14ac:dyDescent="0.3">
      <c r="A786" s="35" t="s">
        <v>776</v>
      </c>
      <c r="B786" s="37"/>
      <c r="C786" s="37"/>
      <c r="D786" s="37"/>
      <c r="E786" s="37"/>
      <c r="F786" s="35" t="s">
        <v>1784</v>
      </c>
      <c r="G786" s="37"/>
      <c r="H786" s="37"/>
      <c r="I786" s="37"/>
      <c r="J786" s="37"/>
      <c r="K786" s="21" t="str">
        <f t="shared" si="539"/>
        <v>Apprenant 774</v>
      </c>
      <c r="L786" s="22" t="str">
        <f t="shared" si="540"/>
        <v/>
      </c>
      <c r="M786" s="22" t="str">
        <f t="shared" si="541"/>
        <v/>
      </c>
      <c r="N786" s="22" t="str">
        <f t="shared" si="542"/>
        <v/>
      </c>
      <c r="O786" s="22" t="str">
        <f t="shared" si="543"/>
        <v/>
      </c>
      <c r="P786" s="21" t="str">
        <f t="shared" si="544"/>
        <v>Apprenant 774 ou 774'</v>
      </c>
      <c r="Q786" s="22" t="str">
        <f t="shared" si="545"/>
        <v/>
      </c>
      <c r="R786" s="22" t="str">
        <f t="shared" si="546"/>
        <v/>
      </c>
      <c r="S786" s="22" t="str">
        <f t="shared" si="547"/>
        <v/>
      </c>
      <c r="T786" s="22" t="str">
        <f t="shared" si="548"/>
        <v/>
      </c>
      <c r="V786" s="21" t="str">
        <f t="shared" si="549"/>
        <v>Apprenant 774</v>
      </c>
      <c r="W786" s="22" t="str">
        <f>IF(AND(OR('Choix pédagogiques'!$C$3=1,'Choix pédagogiques'!$C$3=2),$BM786=1),B786,IF(AND('Choix pédagogiques'!$C$3=3,$BO786=1),B786,""))</f>
        <v/>
      </c>
      <c r="X786" s="22" t="str">
        <f>IF(AND(OR('Choix pédagogiques'!$C$3=1,'Choix pédagogiques'!$C$3=2),$BM786=1),C786,IF(AND('Choix pédagogiques'!$C$3=3,$BO786=1),C786,""))</f>
        <v/>
      </c>
      <c r="Y786" s="22" t="str">
        <f>IF(AND(OR('Choix pédagogiques'!$C$3=1,'Choix pédagogiques'!$C$3=2),$BM786=1),D786,IF(AND('Choix pédagogiques'!$C$3=3,$BO786=1),D786,""))</f>
        <v/>
      </c>
      <c r="Z786" s="22" t="str">
        <f t="shared" si="550"/>
        <v/>
      </c>
      <c r="AA786" s="21" t="str">
        <f t="shared" si="551"/>
        <v>Apprenant 774 ou 774'</v>
      </c>
      <c r="AB786" s="22" t="str">
        <f>IF(AND(OR('Choix pédagogiques'!$C$3=1,'Choix pédagogiques'!$C$3=2),$BN786=1),G786,IF(AND('Choix pédagogiques'!$C$3=3,$BO786=1),G786,""))</f>
        <v/>
      </c>
      <c r="AC786" s="22" t="str">
        <f>IF(AND(OR('Choix pédagogiques'!$C$3=1,'Choix pédagogiques'!$C$3=2),$BN786=1),H786,IF(AND('Choix pédagogiques'!$C$3=3,$BO786=1),H786,""))</f>
        <v/>
      </c>
      <c r="AD786" s="22" t="str">
        <f>IF(AND(OR('Choix pédagogiques'!$C$3=1,'Choix pédagogiques'!$C$3=2),$BN786=1),I786,IF(AND('Choix pédagogiques'!$C$3=3,$BO786=1),I786,""))</f>
        <v/>
      </c>
      <c r="AE786" s="22" t="str">
        <f t="shared" si="552"/>
        <v/>
      </c>
      <c r="AF786" s="21" t="str">
        <f t="shared" si="553"/>
        <v>Apprenant 774</v>
      </c>
      <c r="AG786" s="22" t="str">
        <f t="shared" si="527"/>
        <v/>
      </c>
      <c r="AH786" s="22" t="str">
        <f t="shared" si="528"/>
        <v/>
      </c>
      <c r="AI786" s="22" t="str">
        <f t="shared" si="529"/>
        <v/>
      </c>
      <c r="AJ786" s="22" t="str">
        <f t="shared" si="554"/>
        <v/>
      </c>
      <c r="AK786" s="21" t="str">
        <f t="shared" si="555"/>
        <v>Apprenant 774 ou 774'</v>
      </c>
      <c r="AL786" s="22" t="str">
        <f t="shared" si="530"/>
        <v/>
      </c>
      <c r="AM786" s="22" t="str">
        <f t="shared" si="531"/>
        <v/>
      </c>
      <c r="AN786" s="22" t="str">
        <f t="shared" si="532"/>
        <v/>
      </c>
      <c r="AO786" s="22" t="str">
        <f t="shared" si="556"/>
        <v/>
      </c>
      <c r="AQ786" s="21" t="str">
        <f t="shared" si="557"/>
        <v>Apprenant 774</v>
      </c>
      <c r="AR786" s="49" t="str">
        <f>IF(AND('Choix pédagogiques'!$C$4&lt;&gt;"?",'Choix pédagogiques'!$C$5&lt;&gt;"?",W786&lt;&gt;""),(W786-'Choix pédagogiques'!$C$4)/('Choix pédagogiques'!$C$5-'Choix pédagogiques'!$C$4),"")</f>
        <v/>
      </c>
      <c r="AS786" s="49" t="str">
        <f>IF(AND('Choix pédagogiques'!$C$4&lt;&gt;"?",'Choix pédagogiques'!$C$5&lt;&gt;"?",X786&lt;&gt;""),(X786-'Choix pédagogiques'!$C$4)/('Choix pédagogiques'!$C$5-'Choix pédagogiques'!$C$4),"")</f>
        <v/>
      </c>
      <c r="AT786" s="49" t="str">
        <f>IF(AND('Choix pédagogiques'!$C$4&lt;&gt;"?",'Choix pédagogiques'!$C$5&lt;&gt;"?",Y786&lt;&gt;""),(Y786-'Choix pédagogiques'!$C$4)/('Choix pédagogiques'!$C$5-'Choix pédagogiques'!$C$4),"")</f>
        <v/>
      </c>
      <c r="AU786" s="22" t="str">
        <f t="shared" si="558"/>
        <v/>
      </c>
      <c r="AV786" s="21" t="str">
        <f t="shared" si="559"/>
        <v>Apprenant 774 ou 774'</v>
      </c>
      <c r="AW786" s="49" t="str">
        <f>IF(AND('Choix pédagogiques'!$C$4&lt;&gt;"?",'Choix pédagogiques'!$C$5&lt;&gt;"?",AB786&lt;&gt;""),(AB786-'Choix pédagogiques'!$C$4)/('Choix pédagogiques'!$C$5-'Choix pédagogiques'!$C$4),"")</f>
        <v/>
      </c>
      <c r="AX786" s="49" t="str">
        <f>IF(AND('Choix pédagogiques'!$C$4&lt;&gt;"?",'Choix pédagogiques'!$C$5&lt;&gt;"?",AC786&lt;&gt;""),(AC786-'Choix pédagogiques'!$C$4)/('Choix pédagogiques'!$C$5-'Choix pédagogiques'!$C$4),"")</f>
        <v/>
      </c>
      <c r="AY786" s="49" t="str">
        <f>IF(AND('Choix pédagogiques'!$C$4&lt;&gt;"?",'Choix pédagogiques'!$C$5&lt;&gt;"?",AD786&lt;&gt;""),(AD786-'Choix pédagogiques'!$C$4)/('Choix pédagogiques'!$C$5-'Choix pédagogiques'!$C$4),"")</f>
        <v/>
      </c>
      <c r="AZ786" s="22" t="str">
        <f t="shared" si="560"/>
        <v/>
      </c>
      <c r="BA786" s="21" t="str">
        <f t="shared" si="561"/>
        <v>Apprenant 774</v>
      </c>
      <c r="BB786" s="49" t="str">
        <f t="shared" si="533"/>
        <v/>
      </c>
      <c r="BC786" s="49" t="str">
        <f t="shared" si="534"/>
        <v/>
      </c>
      <c r="BD786" s="49" t="str">
        <f t="shared" si="535"/>
        <v/>
      </c>
      <c r="BE786" s="22" t="str">
        <f t="shared" si="562"/>
        <v/>
      </c>
      <c r="BF786" s="21" t="str">
        <f t="shared" si="563"/>
        <v>Apprenant 774 ou 774'</v>
      </c>
      <c r="BG786" s="49" t="str">
        <f t="shared" si="536"/>
        <v/>
      </c>
      <c r="BH786" s="49" t="str">
        <f t="shared" si="537"/>
        <v/>
      </c>
      <c r="BI786" s="49" t="str">
        <f t="shared" si="538"/>
        <v/>
      </c>
      <c r="BJ786" s="22" t="str">
        <f t="shared" si="564"/>
        <v/>
      </c>
      <c r="BL786" s="21"/>
      <c r="BM786" s="21" t="str">
        <f>IF(OR(COUNT(B786:D1785)=0,AND('Choix pédagogiques'!$C$3&lt;&gt;1,'Choix pédagogiques'!$C$3&lt;&gt;2)),"",IF(AND(OR('Choix pédagogiques'!$C$3=1,'Choix pédagogiques'!$C$3=2),$B786&lt;&gt;"",$C786&lt;&gt;"",$D786&lt;&gt;""),1,0))</f>
        <v/>
      </c>
      <c r="BN786" s="21" t="str">
        <f>IF(OR(COUNT(G786:I1785)=0,AND('Choix pédagogiques'!$C$3&lt;&gt;1,'Choix pédagogiques'!$C$3&lt;&gt;2)),"",IF(AND(OR('Choix pédagogiques'!$C$3=1,'Choix pédagogiques'!$C$3=2),AND($G786&lt;&gt;"",$H786&lt;&gt;"",$I786&lt;&gt;"")),1,0))</f>
        <v/>
      </c>
      <c r="BO786" s="21" t="str">
        <f>IF(OR(COUNT(B786:D1785)=0,COUNT(G786:I1785)=0,'Choix pédagogiques'!C$3&lt;&gt;3),"",IF(AND('Choix pédagogiques'!$C$3=3,$B786&lt;&gt;"",$C786&lt;&gt;"",$D786&lt;&gt;"",$G786&lt;&gt;"",$H786&lt;&gt;"",$I786&lt;&gt;""),1,0))</f>
        <v/>
      </c>
      <c r="BR786" s="21">
        <v>668</v>
      </c>
      <c r="BS786" s="21">
        <v>1645</v>
      </c>
      <c r="BT786"/>
    </row>
    <row r="787" spans="1:72" s="23" customFormat="1" ht="18" customHeight="1" x14ac:dyDescent="0.3">
      <c r="A787" s="35" t="s">
        <v>777</v>
      </c>
      <c r="B787" s="37"/>
      <c r="C787" s="37"/>
      <c r="D787" s="37"/>
      <c r="E787" s="37"/>
      <c r="F787" s="35" t="s">
        <v>1785</v>
      </c>
      <c r="G787" s="37"/>
      <c r="H787" s="37"/>
      <c r="I787" s="37"/>
      <c r="J787" s="37"/>
      <c r="K787" s="21" t="str">
        <f t="shared" si="539"/>
        <v>Apprenant 775</v>
      </c>
      <c r="L787" s="22" t="str">
        <f t="shared" si="540"/>
        <v/>
      </c>
      <c r="M787" s="22" t="str">
        <f t="shared" si="541"/>
        <v/>
      </c>
      <c r="N787" s="22" t="str">
        <f t="shared" si="542"/>
        <v/>
      </c>
      <c r="O787" s="22" t="str">
        <f t="shared" si="543"/>
        <v/>
      </c>
      <c r="P787" s="21" t="str">
        <f t="shared" si="544"/>
        <v>Apprenant 775 ou 775'</v>
      </c>
      <c r="Q787" s="22" t="str">
        <f t="shared" si="545"/>
        <v/>
      </c>
      <c r="R787" s="22" t="str">
        <f t="shared" si="546"/>
        <v/>
      </c>
      <c r="S787" s="22" t="str">
        <f t="shared" si="547"/>
        <v/>
      </c>
      <c r="T787" s="22" t="str">
        <f t="shared" si="548"/>
        <v/>
      </c>
      <c r="V787" s="21" t="str">
        <f t="shared" si="549"/>
        <v>Apprenant 775</v>
      </c>
      <c r="W787" s="22" t="str">
        <f>IF(AND(OR('Choix pédagogiques'!$C$3=1,'Choix pédagogiques'!$C$3=2),$BM787=1),B787,IF(AND('Choix pédagogiques'!$C$3=3,$BO787=1),B787,""))</f>
        <v/>
      </c>
      <c r="X787" s="22" t="str">
        <f>IF(AND(OR('Choix pédagogiques'!$C$3=1,'Choix pédagogiques'!$C$3=2),$BM787=1),C787,IF(AND('Choix pédagogiques'!$C$3=3,$BO787=1),C787,""))</f>
        <v/>
      </c>
      <c r="Y787" s="22" t="str">
        <f>IF(AND(OR('Choix pédagogiques'!$C$3=1,'Choix pédagogiques'!$C$3=2),$BM787=1),D787,IF(AND('Choix pédagogiques'!$C$3=3,$BO787=1),D787,""))</f>
        <v/>
      </c>
      <c r="Z787" s="22" t="str">
        <f t="shared" si="550"/>
        <v/>
      </c>
      <c r="AA787" s="21" t="str">
        <f t="shared" si="551"/>
        <v>Apprenant 775 ou 775'</v>
      </c>
      <c r="AB787" s="22" t="str">
        <f>IF(AND(OR('Choix pédagogiques'!$C$3=1,'Choix pédagogiques'!$C$3=2),$BN787=1),G787,IF(AND('Choix pédagogiques'!$C$3=3,$BO787=1),G787,""))</f>
        <v/>
      </c>
      <c r="AC787" s="22" t="str">
        <f>IF(AND(OR('Choix pédagogiques'!$C$3=1,'Choix pédagogiques'!$C$3=2),$BN787=1),H787,IF(AND('Choix pédagogiques'!$C$3=3,$BO787=1),H787,""))</f>
        <v/>
      </c>
      <c r="AD787" s="22" t="str">
        <f>IF(AND(OR('Choix pédagogiques'!$C$3=1,'Choix pédagogiques'!$C$3=2),$BN787=1),I787,IF(AND('Choix pédagogiques'!$C$3=3,$BO787=1),I787,""))</f>
        <v/>
      </c>
      <c r="AE787" s="22" t="str">
        <f t="shared" si="552"/>
        <v/>
      </c>
      <c r="AF787" s="21" t="str">
        <f t="shared" si="553"/>
        <v>Apprenant 775</v>
      </c>
      <c r="AG787" s="22" t="str">
        <f t="shared" si="527"/>
        <v/>
      </c>
      <c r="AH787" s="22" t="str">
        <f t="shared" si="528"/>
        <v/>
      </c>
      <c r="AI787" s="22" t="str">
        <f t="shared" si="529"/>
        <v/>
      </c>
      <c r="AJ787" s="22" t="str">
        <f t="shared" si="554"/>
        <v/>
      </c>
      <c r="AK787" s="21" t="str">
        <f t="shared" si="555"/>
        <v>Apprenant 775 ou 775'</v>
      </c>
      <c r="AL787" s="22" t="str">
        <f t="shared" si="530"/>
        <v/>
      </c>
      <c r="AM787" s="22" t="str">
        <f t="shared" si="531"/>
        <v/>
      </c>
      <c r="AN787" s="22" t="str">
        <f t="shared" si="532"/>
        <v/>
      </c>
      <c r="AO787" s="22" t="str">
        <f t="shared" si="556"/>
        <v/>
      </c>
      <c r="AQ787" s="21" t="str">
        <f t="shared" si="557"/>
        <v>Apprenant 775</v>
      </c>
      <c r="AR787" s="49" t="str">
        <f>IF(AND('Choix pédagogiques'!$C$4&lt;&gt;"?",'Choix pédagogiques'!$C$5&lt;&gt;"?",W787&lt;&gt;""),(W787-'Choix pédagogiques'!$C$4)/('Choix pédagogiques'!$C$5-'Choix pédagogiques'!$C$4),"")</f>
        <v/>
      </c>
      <c r="AS787" s="49" t="str">
        <f>IF(AND('Choix pédagogiques'!$C$4&lt;&gt;"?",'Choix pédagogiques'!$C$5&lt;&gt;"?",X787&lt;&gt;""),(X787-'Choix pédagogiques'!$C$4)/('Choix pédagogiques'!$C$5-'Choix pédagogiques'!$C$4),"")</f>
        <v/>
      </c>
      <c r="AT787" s="49" t="str">
        <f>IF(AND('Choix pédagogiques'!$C$4&lt;&gt;"?",'Choix pédagogiques'!$C$5&lt;&gt;"?",Y787&lt;&gt;""),(Y787-'Choix pédagogiques'!$C$4)/('Choix pédagogiques'!$C$5-'Choix pédagogiques'!$C$4),"")</f>
        <v/>
      </c>
      <c r="AU787" s="22" t="str">
        <f t="shared" si="558"/>
        <v/>
      </c>
      <c r="AV787" s="21" t="str">
        <f t="shared" si="559"/>
        <v>Apprenant 775 ou 775'</v>
      </c>
      <c r="AW787" s="49" t="str">
        <f>IF(AND('Choix pédagogiques'!$C$4&lt;&gt;"?",'Choix pédagogiques'!$C$5&lt;&gt;"?",AB787&lt;&gt;""),(AB787-'Choix pédagogiques'!$C$4)/('Choix pédagogiques'!$C$5-'Choix pédagogiques'!$C$4),"")</f>
        <v/>
      </c>
      <c r="AX787" s="49" t="str">
        <f>IF(AND('Choix pédagogiques'!$C$4&lt;&gt;"?",'Choix pédagogiques'!$C$5&lt;&gt;"?",AC787&lt;&gt;""),(AC787-'Choix pédagogiques'!$C$4)/('Choix pédagogiques'!$C$5-'Choix pédagogiques'!$C$4),"")</f>
        <v/>
      </c>
      <c r="AY787" s="49" t="str">
        <f>IF(AND('Choix pédagogiques'!$C$4&lt;&gt;"?",'Choix pédagogiques'!$C$5&lt;&gt;"?",AD787&lt;&gt;""),(AD787-'Choix pédagogiques'!$C$4)/('Choix pédagogiques'!$C$5-'Choix pédagogiques'!$C$4),"")</f>
        <v/>
      </c>
      <c r="AZ787" s="22" t="str">
        <f t="shared" si="560"/>
        <v/>
      </c>
      <c r="BA787" s="21" t="str">
        <f t="shared" si="561"/>
        <v>Apprenant 775</v>
      </c>
      <c r="BB787" s="49" t="str">
        <f t="shared" si="533"/>
        <v/>
      </c>
      <c r="BC787" s="49" t="str">
        <f t="shared" si="534"/>
        <v/>
      </c>
      <c r="BD787" s="49" t="str">
        <f t="shared" si="535"/>
        <v/>
      </c>
      <c r="BE787" s="22" t="str">
        <f t="shared" si="562"/>
        <v/>
      </c>
      <c r="BF787" s="21" t="str">
        <f t="shared" si="563"/>
        <v>Apprenant 775 ou 775'</v>
      </c>
      <c r="BG787" s="49" t="str">
        <f t="shared" si="536"/>
        <v/>
      </c>
      <c r="BH787" s="49" t="str">
        <f t="shared" si="537"/>
        <v/>
      </c>
      <c r="BI787" s="49" t="str">
        <f t="shared" si="538"/>
        <v/>
      </c>
      <c r="BJ787" s="22" t="str">
        <f t="shared" si="564"/>
        <v/>
      </c>
      <c r="BL787" s="21"/>
      <c r="BM787" s="21" t="str">
        <f>IF(OR(COUNT(B787:D1786)=0,AND('Choix pédagogiques'!$C$3&lt;&gt;1,'Choix pédagogiques'!$C$3&lt;&gt;2)),"",IF(AND(OR('Choix pédagogiques'!$C$3=1,'Choix pédagogiques'!$C$3=2),$B787&lt;&gt;"",$C787&lt;&gt;"",$D787&lt;&gt;""),1,0))</f>
        <v/>
      </c>
      <c r="BN787" s="21" t="str">
        <f>IF(OR(COUNT(G787:I1786)=0,AND('Choix pédagogiques'!$C$3&lt;&gt;1,'Choix pédagogiques'!$C$3&lt;&gt;2)),"",IF(AND(OR('Choix pédagogiques'!$C$3=1,'Choix pédagogiques'!$C$3=2),AND($G787&lt;&gt;"",$H787&lt;&gt;"",$I787&lt;&gt;"")),1,0))</f>
        <v/>
      </c>
      <c r="BO787" s="21" t="str">
        <f>IF(OR(COUNT(B787:D1786)=0,COUNT(G787:I1786)=0,'Choix pédagogiques'!C$3&lt;&gt;3),"",IF(AND('Choix pédagogiques'!$C$3=3,$B787&lt;&gt;"",$C787&lt;&gt;"",$D787&lt;&gt;"",$G787&lt;&gt;"",$H787&lt;&gt;"",$I787&lt;&gt;""),1,0))</f>
        <v/>
      </c>
      <c r="BR787" s="21">
        <v>155</v>
      </c>
      <c r="BS787" s="21">
        <v>1715</v>
      </c>
      <c r="BT787"/>
    </row>
    <row r="788" spans="1:72" s="23" customFormat="1" ht="18" customHeight="1" x14ac:dyDescent="0.3">
      <c r="A788" s="35" t="s">
        <v>778</v>
      </c>
      <c r="B788" s="37"/>
      <c r="C788" s="37"/>
      <c r="D788" s="37"/>
      <c r="E788" s="37"/>
      <c r="F788" s="35" t="s">
        <v>1786</v>
      </c>
      <c r="G788" s="37"/>
      <c r="H788" s="37"/>
      <c r="I788" s="37"/>
      <c r="J788" s="37"/>
      <c r="K788" s="21" t="str">
        <f t="shared" si="539"/>
        <v>Apprenant 776</v>
      </c>
      <c r="L788" s="22" t="str">
        <f t="shared" si="540"/>
        <v/>
      </c>
      <c r="M788" s="22" t="str">
        <f t="shared" si="541"/>
        <v/>
      </c>
      <c r="N788" s="22" t="str">
        <f t="shared" si="542"/>
        <v/>
      </c>
      <c r="O788" s="22" t="str">
        <f t="shared" si="543"/>
        <v/>
      </c>
      <c r="P788" s="21" t="str">
        <f t="shared" si="544"/>
        <v>Apprenant 776 ou 776'</v>
      </c>
      <c r="Q788" s="22" t="str">
        <f t="shared" si="545"/>
        <v/>
      </c>
      <c r="R788" s="22" t="str">
        <f t="shared" si="546"/>
        <v/>
      </c>
      <c r="S788" s="22" t="str">
        <f t="shared" si="547"/>
        <v/>
      </c>
      <c r="T788" s="22" t="str">
        <f t="shared" si="548"/>
        <v/>
      </c>
      <c r="V788" s="21" t="str">
        <f t="shared" si="549"/>
        <v>Apprenant 776</v>
      </c>
      <c r="W788" s="22" t="str">
        <f>IF(AND(OR('Choix pédagogiques'!$C$3=1,'Choix pédagogiques'!$C$3=2),$BM788=1),B788,IF(AND('Choix pédagogiques'!$C$3=3,$BO788=1),B788,""))</f>
        <v/>
      </c>
      <c r="X788" s="22" t="str">
        <f>IF(AND(OR('Choix pédagogiques'!$C$3=1,'Choix pédagogiques'!$C$3=2),$BM788=1),C788,IF(AND('Choix pédagogiques'!$C$3=3,$BO788=1),C788,""))</f>
        <v/>
      </c>
      <c r="Y788" s="22" t="str">
        <f>IF(AND(OR('Choix pédagogiques'!$C$3=1,'Choix pédagogiques'!$C$3=2),$BM788=1),D788,IF(AND('Choix pédagogiques'!$C$3=3,$BO788=1),D788,""))</f>
        <v/>
      </c>
      <c r="Z788" s="22" t="str">
        <f t="shared" si="550"/>
        <v/>
      </c>
      <c r="AA788" s="21" t="str">
        <f t="shared" si="551"/>
        <v>Apprenant 776 ou 776'</v>
      </c>
      <c r="AB788" s="22" t="str">
        <f>IF(AND(OR('Choix pédagogiques'!$C$3=1,'Choix pédagogiques'!$C$3=2),$BN788=1),G788,IF(AND('Choix pédagogiques'!$C$3=3,$BO788=1),G788,""))</f>
        <v/>
      </c>
      <c r="AC788" s="22" t="str">
        <f>IF(AND(OR('Choix pédagogiques'!$C$3=1,'Choix pédagogiques'!$C$3=2),$BN788=1),H788,IF(AND('Choix pédagogiques'!$C$3=3,$BO788=1),H788,""))</f>
        <v/>
      </c>
      <c r="AD788" s="22" t="str">
        <f>IF(AND(OR('Choix pédagogiques'!$C$3=1,'Choix pédagogiques'!$C$3=2),$BN788=1),I788,IF(AND('Choix pédagogiques'!$C$3=3,$BO788=1),I788,""))</f>
        <v/>
      </c>
      <c r="AE788" s="22" t="str">
        <f t="shared" si="552"/>
        <v/>
      </c>
      <c r="AF788" s="21" t="str">
        <f t="shared" si="553"/>
        <v>Apprenant 776</v>
      </c>
      <c r="AG788" s="22" t="str">
        <f t="shared" si="527"/>
        <v/>
      </c>
      <c r="AH788" s="22" t="str">
        <f t="shared" si="528"/>
        <v/>
      </c>
      <c r="AI788" s="22" t="str">
        <f t="shared" si="529"/>
        <v/>
      </c>
      <c r="AJ788" s="22" t="str">
        <f t="shared" si="554"/>
        <v/>
      </c>
      <c r="AK788" s="21" t="str">
        <f t="shared" si="555"/>
        <v>Apprenant 776 ou 776'</v>
      </c>
      <c r="AL788" s="22" t="str">
        <f t="shared" si="530"/>
        <v/>
      </c>
      <c r="AM788" s="22" t="str">
        <f t="shared" si="531"/>
        <v/>
      </c>
      <c r="AN788" s="22" t="str">
        <f t="shared" si="532"/>
        <v/>
      </c>
      <c r="AO788" s="22" t="str">
        <f t="shared" si="556"/>
        <v/>
      </c>
      <c r="AQ788" s="21" t="str">
        <f t="shared" si="557"/>
        <v>Apprenant 776</v>
      </c>
      <c r="AR788" s="49" t="str">
        <f>IF(AND('Choix pédagogiques'!$C$4&lt;&gt;"?",'Choix pédagogiques'!$C$5&lt;&gt;"?",W788&lt;&gt;""),(W788-'Choix pédagogiques'!$C$4)/('Choix pédagogiques'!$C$5-'Choix pédagogiques'!$C$4),"")</f>
        <v/>
      </c>
      <c r="AS788" s="49" t="str">
        <f>IF(AND('Choix pédagogiques'!$C$4&lt;&gt;"?",'Choix pédagogiques'!$C$5&lt;&gt;"?",X788&lt;&gt;""),(X788-'Choix pédagogiques'!$C$4)/('Choix pédagogiques'!$C$5-'Choix pédagogiques'!$C$4),"")</f>
        <v/>
      </c>
      <c r="AT788" s="49" t="str">
        <f>IF(AND('Choix pédagogiques'!$C$4&lt;&gt;"?",'Choix pédagogiques'!$C$5&lt;&gt;"?",Y788&lt;&gt;""),(Y788-'Choix pédagogiques'!$C$4)/('Choix pédagogiques'!$C$5-'Choix pédagogiques'!$C$4),"")</f>
        <v/>
      </c>
      <c r="AU788" s="22" t="str">
        <f t="shared" si="558"/>
        <v/>
      </c>
      <c r="AV788" s="21" t="str">
        <f t="shared" si="559"/>
        <v>Apprenant 776 ou 776'</v>
      </c>
      <c r="AW788" s="49" t="str">
        <f>IF(AND('Choix pédagogiques'!$C$4&lt;&gt;"?",'Choix pédagogiques'!$C$5&lt;&gt;"?",AB788&lt;&gt;""),(AB788-'Choix pédagogiques'!$C$4)/('Choix pédagogiques'!$C$5-'Choix pédagogiques'!$C$4),"")</f>
        <v/>
      </c>
      <c r="AX788" s="49" t="str">
        <f>IF(AND('Choix pédagogiques'!$C$4&lt;&gt;"?",'Choix pédagogiques'!$C$5&lt;&gt;"?",AC788&lt;&gt;""),(AC788-'Choix pédagogiques'!$C$4)/('Choix pédagogiques'!$C$5-'Choix pédagogiques'!$C$4),"")</f>
        <v/>
      </c>
      <c r="AY788" s="49" t="str">
        <f>IF(AND('Choix pédagogiques'!$C$4&lt;&gt;"?",'Choix pédagogiques'!$C$5&lt;&gt;"?",AD788&lt;&gt;""),(AD788-'Choix pédagogiques'!$C$4)/('Choix pédagogiques'!$C$5-'Choix pédagogiques'!$C$4),"")</f>
        <v/>
      </c>
      <c r="AZ788" s="22" t="str">
        <f t="shared" si="560"/>
        <v/>
      </c>
      <c r="BA788" s="21" t="str">
        <f t="shared" si="561"/>
        <v>Apprenant 776</v>
      </c>
      <c r="BB788" s="49" t="str">
        <f t="shared" si="533"/>
        <v/>
      </c>
      <c r="BC788" s="49" t="str">
        <f t="shared" si="534"/>
        <v/>
      </c>
      <c r="BD788" s="49" t="str">
        <f t="shared" si="535"/>
        <v/>
      </c>
      <c r="BE788" s="22" t="str">
        <f t="shared" si="562"/>
        <v/>
      </c>
      <c r="BF788" s="21" t="str">
        <f t="shared" si="563"/>
        <v>Apprenant 776 ou 776'</v>
      </c>
      <c r="BG788" s="49" t="str">
        <f t="shared" si="536"/>
        <v/>
      </c>
      <c r="BH788" s="49" t="str">
        <f t="shared" si="537"/>
        <v/>
      </c>
      <c r="BI788" s="49" t="str">
        <f t="shared" si="538"/>
        <v/>
      </c>
      <c r="BJ788" s="22" t="str">
        <f t="shared" si="564"/>
        <v/>
      </c>
      <c r="BL788" s="21"/>
      <c r="BM788" s="21" t="str">
        <f>IF(OR(COUNT(B788:D1787)=0,AND('Choix pédagogiques'!$C$3&lt;&gt;1,'Choix pédagogiques'!$C$3&lt;&gt;2)),"",IF(AND(OR('Choix pédagogiques'!$C$3=1,'Choix pédagogiques'!$C$3=2),$B788&lt;&gt;"",$C788&lt;&gt;"",$D788&lt;&gt;""),1,0))</f>
        <v/>
      </c>
      <c r="BN788" s="21" t="str">
        <f>IF(OR(COUNT(G788:I1787)=0,AND('Choix pédagogiques'!$C$3&lt;&gt;1,'Choix pédagogiques'!$C$3&lt;&gt;2)),"",IF(AND(OR('Choix pédagogiques'!$C$3=1,'Choix pédagogiques'!$C$3=2),AND($G788&lt;&gt;"",$H788&lt;&gt;"",$I788&lt;&gt;"")),1,0))</f>
        <v/>
      </c>
      <c r="BO788" s="21" t="str">
        <f>IF(OR(COUNT(B788:D1787)=0,COUNT(G788:I1787)=0,'Choix pédagogiques'!C$3&lt;&gt;3),"",IF(AND('Choix pédagogiques'!$C$3=3,$B788&lt;&gt;"",$C788&lt;&gt;"",$D788&lt;&gt;"",$G788&lt;&gt;"",$H788&lt;&gt;"",$I788&lt;&gt;""),1,0))</f>
        <v/>
      </c>
      <c r="BR788" s="21">
        <v>21</v>
      </c>
      <c r="BS788" s="21">
        <v>1828</v>
      </c>
      <c r="BT788"/>
    </row>
    <row r="789" spans="1:72" s="23" customFormat="1" ht="18" customHeight="1" x14ac:dyDescent="0.3">
      <c r="A789" s="35" t="s">
        <v>779</v>
      </c>
      <c r="B789" s="37"/>
      <c r="C789" s="37"/>
      <c r="D789" s="37"/>
      <c r="E789" s="37"/>
      <c r="F789" s="35" t="s">
        <v>1787</v>
      </c>
      <c r="G789" s="37"/>
      <c r="H789" s="37"/>
      <c r="I789" s="37"/>
      <c r="J789" s="37"/>
      <c r="K789" s="21" t="str">
        <f t="shared" si="539"/>
        <v>Apprenant 777</v>
      </c>
      <c r="L789" s="22" t="str">
        <f t="shared" si="540"/>
        <v/>
      </c>
      <c r="M789" s="22" t="str">
        <f t="shared" si="541"/>
        <v/>
      </c>
      <c r="N789" s="22" t="str">
        <f t="shared" si="542"/>
        <v/>
      </c>
      <c r="O789" s="22" t="str">
        <f t="shared" si="543"/>
        <v/>
      </c>
      <c r="P789" s="21" t="str">
        <f t="shared" si="544"/>
        <v>Apprenant 777 ou 777'</v>
      </c>
      <c r="Q789" s="22" t="str">
        <f t="shared" si="545"/>
        <v/>
      </c>
      <c r="R789" s="22" t="str">
        <f t="shared" si="546"/>
        <v/>
      </c>
      <c r="S789" s="22" t="str">
        <f t="shared" si="547"/>
        <v/>
      </c>
      <c r="T789" s="22" t="str">
        <f t="shared" si="548"/>
        <v/>
      </c>
      <c r="V789" s="21" t="str">
        <f t="shared" si="549"/>
        <v>Apprenant 777</v>
      </c>
      <c r="W789" s="22" t="str">
        <f>IF(AND(OR('Choix pédagogiques'!$C$3=1,'Choix pédagogiques'!$C$3=2),$BM789=1),B789,IF(AND('Choix pédagogiques'!$C$3=3,$BO789=1),B789,""))</f>
        <v/>
      </c>
      <c r="X789" s="22" t="str">
        <f>IF(AND(OR('Choix pédagogiques'!$C$3=1,'Choix pédagogiques'!$C$3=2),$BM789=1),C789,IF(AND('Choix pédagogiques'!$C$3=3,$BO789=1),C789,""))</f>
        <v/>
      </c>
      <c r="Y789" s="22" t="str">
        <f>IF(AND(OR('Choix pédagogiques'!$C$3=1,'Choix pédagogiques'!$C$3=2),$BM789=1),D789,IF(AND('Choix pédagogiques'!$C$3=3,$BO789=1),D789,""))</f>
        <v/>
      </c>
      <c r="Z789" s="22" t="str">
        <f t="shared" si="550"/>
        <v/>
      </c>
      <c r="AA789" s="21" t="str">
        <f t="shared" si="551"/>
        <v>Apprenant 777 ou 777'</v>
      </c>
      <c r="AB789" s="22" t="str">
        <f>IF(AND(OR('Choix pédagogiques'!$C$3=1,'Choix pédagogiques'!$C$3=2),$BN789=1),G789,IF(AND('Choix pédagogiques'!$C$3=3,$BO789=1),G789,""))</f>
        <v/>
      </c>
      <c r="AC789" s="22" t="str">
        <f>IF(AND(OR('Choix pédagogiques'!$C$3=1,'Choix pédagogiques'!$C$3=2),$BN789=1),H789,IF(AND('Choix pédagogiques'!$C$3=3,$BO789=1),H789,""))</f>
        <v/>
      </c>
      <c r="AD789" s="22" t="str">
        <f>IF(AND(OR('Choix pédagogiques'!$C$3=1,'Choix pédagogiques'!$C$3=2),$BN789=1),I789,IF(AND('Choix pédagogiques'!$C$3=3,$BO789=1),I789,""))</f>
        <v/>
      </c>
      <c r="AE789" s="22" t="str">
        <f t="shared" si="552"/>
        <v/>
      </c>
      <c r="AF789" s="21" t="str">
        <f t="shared" si="553"/>
        <v>Apprenant 777</v>
      </c>
      <c r="AG789" s="22" t="str">
        <f t="shared" si="527"/>
        <v/>
      </c>
      <c r="AH789" s="22" t="str">
        <f t="shared" si="528"/>
        <v/>
      </c>
      <c r="AI789" s="22" t="str">
        <f t="shared" si="529"/>
        <v/>
      </c>
      <c r="AJ789" s="22" t="str">
        <f t="shared" si="554"/>
        <v/>
      </c>
      <c r="AK789" s="21" t="str">
        <f t="shared" si="555"/>
        <v>Apprenant 777 ou 777'</v>
      </c>
      <c r="AL789" s="22" t="str">
        <f t="shared" si="530"/>
        <v/>
      </c>
      <c r="AM789" s="22" t="str">
        <f t="shared" si="531"/>
        <v/>
      </c>
      <c r="AN789" s="22" t="str">
        <f t="shared" si="532"/>
        <v/>
      </c>
      <c r="AO789" s="22" t="str">
        <f t="shared" si="556"/>
        <v/>
      </c>
      <c r="AQ789" s="21" t="str">
        <f t="shared" si="557"/>
        <v>Apprenant 777</v>
      </c>
      <c r="AR789" s="49" t="str">
        <f>IF(AND('Choix pédagogiques'!$C$4&lt;&gt;"?",'Choix pédagogiques'!$C$5&lt;&gt;"?",W789&lt;&gt;""),(W789-'Choix pédagogiques'!$C$4)/('Choix pédagogiques'!$C$5-'Choix pédagogiques'!$C$4),"")</f>
        <v/>
      </c>
      <c r="AS789" s="49" t="str">
        <f>IF(AND('Choix pédagogiques'!$C$4&lt;&gt;"?",'Choix pédagogiques'!$C$5&lt;&gt;"?",X789&lt;&gt;""),(X789-'Choix pédagogiques'!$C$4)/('Choix pédagogiques'!$C$5-'Choix pédagogiques'!$C$4),"")</f>
        <v/>
      </c>
      <c r="AT789" s="49" t="str">
        <f>IF(AND('Choix pédagogiques'!$C$4&lt;&gt;"?",'Choix pédagogiques'!$C$5&lt;&gt;"?",Y789&lt;&gt;""),(Y789-'Choix pédagogiques'!$C$4)/('Choix pédagogiques'!$C$5-'Choix pédagogiques'!$C$4),"")</f>
        <v/>
      </c>
      <c r="AU789" s="22" t="str">
        <f t="shared" si="558"/>
        <v/>
      </c>
      <c r="AV789" s="21" t="str">
        <f t="shared" si="559"/>
        <v>Apprenant 777 ou 777'</v>
      </c>
      <c r="AW789" s="49" t="str">
        <f>IF(AND('Choix pédagogiques'!$C$4&lt;&gt;"?",'Choix pédagogiques'!$C$5&lt;&gt;"?",AB789&lt;&gt;""),(AB789-'Choix pédagogiques'!$C$4)/('Choix pédagogiques'!$C$5-'Choix pédagogiques'!$C$4),"")</f>
        <v/>
      </c>
      <c r="AX789" s="49" t="str">
        <f>IF(AND('Choix pédagogiques'!$C$4&lt;&gt;"?",'Choix pédagogiques'!$C$5&lt;&gt;"?",AC789&lt;&gt;""),(AC789-'Choix pédagogiques'!$C$4)/('Choix pédagogiques'!$C$5-'Choix pédagogiques'!$C$4),"")</f>
        <v/>
      </c>
      <c r="AY789" s="49" t="str">
        <f>IF(AND('Choix pédagogiques'!$C$4&lt;&gt;"?",'Choix pédagogiques'!$C$5&lt;&gt;"?",AD789&lt;&gt;""),(AD789-'Choix pédagogiques'!$C$4)/('Choix pédagogiques'!$C$5-'Choix pédagogiques'!$C$4),"")</f>
        <v/>
      </c>
      <c r="AZ789" s="22" t="str">
        <f t="shared" si="560"/>
        <v/>
      </c>
      <c r="BA789" s="21" t="str">
        <f t="shared" si="561"/>
        <v>Apprenant 777</v>
      </c>
      <c r="BB789" s="49" t="str">
        <f t="shared" si="533"/>
        <v/>
      </c>
      <c r="BC789" s="49" t="str">
        <f t="shared" si="534"/>
        <v/>
      </c>
      <c r="BD789" s="49" t="str">
        <f t="shared" si="535"/>
        <v/>
      </c>
      <c r="BE789" s="22" t="str">
        <f t="shared" si="562"/>
        <v/>
      </c>
      <c r="BF789" s="21" t="str">
        <f t="shared" si="563"/>
        <v>Apprenant 777 ou 777'</v>
      </c>
      <c r="BG789" s="49" t="str">
        <f t="shared" si="536"/>
        <v/>
      </c>
      <c r="BH789" s="49" t="str">
        <f t="shared" si="537"/>
        <v/>
      </c>
      <c r="BI789" s="49" t="str">
        <f t="shared" si="538"/>
        <v/>
      </c>
      <c r="BJ789" s="22" t="str">
        <f t="shared" si="564"/>
        <v/>
      </c>
      <c r="BL789" s="21"/>
      <c r="BM789" s="21" t="str">
        <f>IF(OR(COUNT(B789:D1788)=0,AND('Choix pédagogiques'!$C$3&lt;&gt;1,'Choix pédagogiques'!$C$3&lt;&gt;2)),"",IF(AND(OR('Choix pédagogiques'!$C$3=1,'Choix pédagogiques'!$C$3=2),$B789&lt;&gt;"",$C789&lt;&gt;"",$D789&lt;&gt;""),1,0))</f>
        <v/>
      </c>
      <c r="BN789" s="21" t="str">
        <f>IF(OR(COUNT(G789:I1788)=0,AND('Choix pédagogiques'!$C$3&lt;&gt;1,'Choix pédagogiques'!$C$3&lt;&gt;2)),"",IF(AND(OR('Choix pédagogiques'!$C$3=1,'Choix pédagogiques'!$C$3=2),AND($G789&lt;&gt;"",$H789&lt;&gt;"",$I789&lt;&gt;"")),1,0))</f>
        <v/>
      </c>
      <c r="BO789" s="21" t="str">
        <f>IF(OR(COUNT(B789:D1788)=0,COUNT(G789:I1788)=0,'Choix pédagogiques'!C$3&lt;&gt;3),"",IF(AND('Choix pédagogiques'!$C$3=3,$B789&lt;&gt;"",$C789&lt;&gt;"",$D789&lt;&gt;"",$G789&lt;&gt;"",$H789&lt;&gt;"",$I789&lt;&gt;""),1,0))</f>
        <v/>
      </c>
      <c r="BR789" s="21">
        <v>665</v>
      </c>
      <c r="BS789" s="21">
        <v>1551</v>
      </c>
      <c r="BT789"/>
    </row>
    <row r="790" spans="1:72" s="23" customFormat="1" ht="18" customHeight="1" x14ac:dyDescent="0.3">
      <c r="A790" s="35" t="s">
        <v>780</v>
      </c>
      <c r="B790" s="37"/>
      <c r="C790" s="37"/>
      <c r="D790" s="37"/>
      <c r="E790" s="37"/>
      <c r="F790" s="35" t="s">
        <v>1788</v>
      </c>
      <c r="G790" s="37"/>
      <c r="H790" s="37"/>
      <c r="I790" s="37"/>
      <c r="J790" s="37"/>
      <c r="K790" s="21" t="str">
        <f t="shared" si="539"/>
        <v>Apprenant 778</v>
      </c>
      <c r="L790" s="22" t="str">
        <f t="shared" si="540"/>
        <v/>
      </c>
      <c r="M790" s="22" t="str">
        <f t="shared" si="541"/>
        <v/>
      </c>
      <c r="N790" s="22" t="str">
        <f t="shared" si="542"/>
        <v/>
      </c>
      <c r="O790" s="22" t="str">
        <f t="shared" si="543"/>
        <v/>
      </c>
      <c r="P790" s="21" t="str">
        <f t="shared" si="544"/>
        <v>Apprenant 778 ou 778'</v>
      </c>
      <c r="Q790" s="22" t="str">
        <f t="shared" si="545"/>
        <v/>
      </c>
      <c r="R790" s="22" t="str">
        <f t="shared" si="546"/>
        <v/>
      </c>
      <c r="S790" s="22" t="str">
        <f t="shared" si="547"/>
        <v/>
      </c>
      <c r="T790" s="22" t="str">
        <f t="shared" si="548"/>
        <v/>
      </c>
      <c r="V790" s="21" t="str">
        <f t="shared" si="549"/>
        <v>Apprenant 778</v>
      </c>
      <c r="W790" s="22" t="str">
        <f>IF(AND(OR('Choix pédagogiques'!$C$3=1,'Choix pédagogiques'!$C$3=2),$BM790=1),B790,IF(AND('Choix pédagogiques'!$C$3=3,$BO790=1),B790,""))</f>
        <v/>
      </c>
      <c r="X790" s="22" t="str">
        <f>IF(AND(OR('Choix pédagogiques'!$C$3=1,'Choix pédagogiques'!$C$3=2),$BM790=1),C790,IF(AND('Choix pédagogiques'!$C$3=3,$BO790=1),C790,""))</f>
        <v/>
      </c>
      <c r="Y790" s="22" t="str">
        <f>IF(AND(OR('Choix pédagogiques'!$C$3=1,'Choix pédagogiques'!$C$3=2),$BM790=1),D790,IF(AND('Choix pédagogiques'!$C$3=3,$BO790=1),D790,""))</f>
        <v/>
      </c>
      <c r="Z790" s="22" t="str">
        <f t="shared" si="550"/>
        <v/>
      </c>
      <c r="AA790" s="21" t="str">
        <f t="shared" si="551"/>
        <v>Apprenant 778 ou 778'</v>
      </c>
      <c r="AB790" s="22" t="str">
        <f>IF(AND(OR('Choix pédagogiques'!$C$3=1,'Choix pédagogiques'!$C$3=2),$BN790=1),G790,IF(AND('Choix pédagogiques'!$C$3=3,$BO790=1),G790,""))</f>
        <v/>
      </c>
      <c r="AC790" s="22" t="str">
        <f>IF(AND(OR('Choix pédagogiques'!$C$3=1,'Choix pédagogiques'!$C$3=2),$BN790=1),H790,IF(AND('Choix pédagogiques'!$C$3=3,$BO790=1),H790,""))</f>
        <v/>
      </c>
      <c r="AD790" s="22" t="str">
        <f>IF(AND(OR('Choix pédagogiques'!$C$3=1,'Choix pédagogiques'!$C$3=2),$BN790=1),I790,IF(AND('Choix pédagogiques'!$C$3=3,$BO790=1),I790,""))</f>
        <v/>
      </c>
      <c r="AE790" s="22" t="str">
        <f t="shared" si="552"/>
        <v/>
      </c>
      <c r="AF790" s="21" t="str">
        <f t="shared" si="553"/>
        <v>Apprenant 778</v>
      </c>
      <c r="AG790" s="22" t="str">
        <f t="shared" si="527"/>
        <v/>
      </c>
      <c r="AH790" s="22" t="str">
        <f t="shared" si="528"/>
        <v/>
      </c>
      <c r="AI790" s="22" t="str">
        <f t="shared" si="529"/>
        <v/>
      </c>
      <c r="AJ790" s="22" t="str">
        <f t="shared" si="554"/>
        <v/>
      </c>
      <c r="AK790" s="21" t="str">
        <f t="shared" si="555"/>
        <v>Apprenant 778 ou 778'</v>
      </c>
      <c r="AL790" s="22" t="str">
        <f t="shared" si="530"/>
        <v/>
      </c>
      <c r="AM790" s="22" t="str">
        <f t="shared" si="531"/>
        <v/>
      </c>
      <c r="AN790" s="22" t="str">
        <f t="shared" si="532"/>
        <v/>
      </c>
      <c r="AO790" s="22" t="str">
        <f t="shared" si="556"/>
        <v/>
      </c>
      <c r="AQ790" s="21" t="str">
        <f t="shared" si="557"/>
        <v>Apprenant 778</v>
      </c>
      <c r="AR790" s="49" t="str">
        <f>IF(AND('Choix pédagogiques'!$C$4&lt;&gt;"?",'Choix pédagogiques'!$C$5&lt;&gt;"?",W790&lt;&gt;""),(W790-'Choix pédagogiques'!$C$4)/('Choix pédagogiques'!$C$5-'Choix pédagogiques'!$C$4),"")</f>
        <v/>
      </c>
      <c r="AS790" s="49" t="str">
        <f>IF(AND('Choix pédagogiques'!$C$4&lt;&gt;"?",'Choix pédagogiques'!$C$5&lt;&gt;"?",X790&lt;&gt;""),(X790-'Choix pédagogiques'!$C$4)/('Choix pédagogiques'!$C$5-'Choix pédagogiques'!$C$4),"")</f>
        <v/>
      </c>
      <c r="AT790" s="49" t="str">
        <f>IF(AND('Choix pédagogiques'!$C$4&lt;&gt;"?",'Choix pédagogiques'!$C$5&lt;&gt;"?",Y790&lt;&gt;""),(Y790-'Choix pédagogiques'!$C$4)/('Choix pédagogiques'!$C$5-'Choix pédagogiques'!$C$4),"")</f>
        <v/>
      </c>
      <c r="AU790" s="22" t="str">
        <f t="shared" si="558"/>
        <v/>
      </c>
      <c r="AV790" s="21" t="str">
        <f t="shared" si="559"/>
        <v>Apprenant 778 ou 778'</v>
      </c>
      <c r="AW790" s="49" t="str">
        <f>IF(AND('Choix pédagogiques'!$C$4&lt;&gt;"?",'Choix pédagogiques'!$C$5&lt;&gt;"?",AB790&lt;&gt;""),(AB790-'Choix pédagogiques'!$C$4)/('Choix pédagogiques'!$C$5-'Choix pédagogiques'!$C$4),"")</f>
        <v/>
      </c>
      <c r="AX790" s="49" t="str">
        <f>IF(AND('Choix pédagogiques'!$C$4&lt;&gt;"?",'Choix pédagogiques'!$C$5&lt;&gt;"?",AC790&lt;&gt;""),(AC790-'Choix pédagogiques'!$C$4)/('Choix pédagogiques'!$C$5-'Choix pédagogiques'!$C$4),"")</f>
        <v/>
      </c>
      <c r="AY790" s="49" t="str">
        <f>IF(AND('Choix pédagogiques'!$C$4&lt;&gt;"?",'Choix pédagogiques'!$C$5&lt;&gt;"?",AD790&lt;&gt;""),(AD790-'Choix pédagogiques'!$C$4)/('Choix pédagogiques'!$C$5-'Choix pédagogiques'!$C$4),"")</f>
        <v/>
      </c>
      <c r="AZ790" s="22" t="str">
        <f t="shared" si="560"/>
        <v/>
      </c>
      <c r="BA790" s="21" t="str">
        <f t="shared" si="561"/>
        <v>Apprenant 778</v>
      </c>
      <c r="BB790" s="49" t="str">
        <f t="shared" si="533"/>
        <v/>
      </c>
      <c r="BC790" s="49" t="str">
        <f t="shared" si="534"/>
        <v/>
      </c>
      <c r="BD790" s="49" t="str">
        <f t="shared" si="535"/>
        <v/>
      </c>
      <c r="BE790" s="22" t="str">
        <f t="shared" si="562"/>
        <v/>
      </c>
      <c r="BF790" s="21" t="str">
        <f t="shared" si="563"/>
        <v>Apprenant 778 ou 778'</v>
      </c>
      <c r="BG790" s="49" t="str">
        <f t="shared" si="536"/>
        <v/>
      </c>
      <c r="BH790" s="49" t="str">
        <f t="shared" si="537"/>
        <v/>
      </c>
      <c r="BI790" s="49" t="str">
        <f t="shared" si="538"/>
        <v/>
      </c>
      <c r="BJ790" s="22" t="str">
        <f t="shared" si="564"/>
        <v/>
      </c>
      <c r="BL790" s="21"/>
      <c r="BM790" s="21" t="str">
        <f>IF(OR(COUNT(B790:D1789)=0,AND('Choix pédagogiques'!$C$3&lt;&gt;1,'Choix pédagogiques'!$C$3&lt;&gt;2)),"",IF(AND(OR('Choix pédagogiques'!$C$3=1,'Choix pédagogiques'!$C$3=2),$B790&lt;&gt;"",$C790&lt;&gt;"",$D790&lt;&gt;""),1,0))</f>
        <v/>
      </c>
      <c r="BN790" s="21" t="str">
        <f>IF(OR(COUNT(G790:I1789)=0,AND('Choix pédagogiques'!$C$3&lt;&gt;1,'Choix pédagogiques'!$C$3&lt;&gt;2)),"",IF(AND(OR('Choix pédagogiques'!$C$3=1,'Choix pédagogiques'!$C$3=2),AND($G790&lt;&gt;"",$H790&lt;&gt;"",$I790&lt;&gt;"")),1,0))</f>
        <v/>
      </c>
      <c r="BO790" s="21" t="str">
        <f>IF(OR(COUNT(B790:D1789)=0,COUNT(G790:I1789)=0,'Choix pédagogiques'!C$3&lt;&gt;3),"",IF(AND('Choix pédagogiques'!$C$3=3,$B790&lt;&gt;"",$C790&lt;&gt;"",$D790&lt;&gt;"",$G790&lt;&gt;"",$H790&lt;&gt;"",$I790&lt;&gt;""),1,0))</f>
        <v/>
      </c>
      <c r="BR790" s="21">
        <v>117</v>
      </c>
      <c r="BS790" s="21">
        <v>1545</v>
      </c>
      <c r="BT790"/>
    </row>
    <row r="791" spans="1:72" s="23" customFormat="1" ht="18" customHeight="1" x14ac:dyDescent="0.3">
      <c r="A791" s="35" t="s">
        <v>781</v>
      </c>
      <c r="B791" s="37"/>
      <c r="C791" s="37"/>
      <c r="D791" s="37"/>
      <c r="E791" s="37"/>
      <c r="F791" s="35" t="s">
        <v>1789</v>
      </c>
      <c r="G791" s="37"/>
      <c r="H791" s="37"/>
      <c r="I791" s="37"/>
      <c r="J791" s="37"/>
      <c r="K791" s="21" t="str">
        <f t="shared" si="539"/>
        <v>Apprenant 779</v>
      </c>
      <c r="L791" s="22" t="str">
        <f t="shared" si="540"/>
        <v/>
      </c>
      <c r="M791" s="22" t="str">
        <f t="shared" si="541"/>
        <v/>
      </c>
      <c r="N791" s="22" t="str">
        <f t="shared" si="542"/>
        <v/>
      </c>
      <c r="O791" s="22" t="str">
        <f t="shared" si="543"/>
        <v/>
      </c>
      <c r="P791" s="21" t="str">
        <f t="shared" si="544"/>
        <v>Apprenant 779 ou 779'</v>
      </c>
      <c r="Q791" s="22" t="str">
        <f t="shared" si="545"/>
        <v/>
      </c>
      <c r="R791" s="22" t="str">
        <f t="shared" si="546"/>
        <v/>
      </c>
      <c r="S791" s="22" t="str">
        <f t="shared" si="547"/>
        <v/>
      </c>
      <c r="T791" s="22" t="str">
        <f t="shared" si="548"/>
        <v/>
      </c>
      <c r="V791" s="21" t="str">
        <f t="shared" si="549"/>
        <v>Apprenant 779</v>
      </c>
      <c r="W791" s="22" t="str">
        <f>IF(AND(OR('Choix pédagogiques'!$C$3=1,'Choix pédagogiques'!$C$3=2),$BM791=1),B791,IF(AND('Choix pédagogiques'!$C$3=3,$BO791=1),B791,""))</f>
        <v/>
      </c>
      <c r="X791" s="22" t="str">
        <f>IF(AND(OR('Choix pédagogiques'!$C$3=1,'Choix pédagogiques'!$C$3=2),$BM791=1),C791,IF(AND('Choix pédagogiques'!$C$3=3,$BO791=1),C791,""))</f>
        <v/>
      </c>
      <c r="Y791" s="22" t="str">
        <f>IF(AND(OR('Choix pédagogiques'!$C$3=1,'Choix pédagogiques'!$C$3=2),$BM791=1),D791,IF(AND('Choix pédagogiques'!$C$3=3,$BO791=1),D791,""))</f>
        <v/>
      </c>
      <c r="Z791" s="22" t="str">
        <f t="shared" si="550"/>
        <v/>
      </c>
      <c r="AA791" s="21" t="str">
        <f t="shared" si="551"/>
        <v>Apprenant 779 ou 779'</v>
      </c>
      <c r="AB791" s="22" t="str">
        <f>IF(AND(OR('Choix pédagogiques'!$C$3=1,'Choix pédagogiques'!$C$3=2),$BN791=1),G791,IF(AND('Choix pédagogiques'!$C$3=3,$BO791=1),G791,""))</f>
        <v/>
      </c>
      <c r="AC791" s="22" t="str">
        <f>IF(AND(OR('Choix pédagogiques'!$C$3=1,'Choix pédagogiques'!$C$3=2),$BN791=1),H791,IF(AND('Choix pédagogiques'!$C$3=3,$BO791=1),H791,""))</f>
        <v/>
      </c>
      <c r="AD791" s="22" t="str">
        <f>IF(AND(OR('Choix pédagogiques'!$C$3=1,'Choix pédagogiques'!$C$3=2),$BN791=1),I791,IF(AND('Choix pédagogiques'!$C$3=3,$BO791=1),I791,""))</f>
        <v/>
      </c>
      <c r="AE791" s="22" t="str">
        <f t="shared" si="552"/>
        <v/>
      </c>
      <c r="AF791" s="21" t="str">
        <f t="shared" si="553"/>
        <v>Apprenant 779</v>
      </c>
      <c r="AG791" s="22" t="str">
        <f t="shared" si="527"/>
        <v/>
      </c>
      <c r="AH791" s="22" t="str">
        <f t="shared" si="528"/>
        <v/>
      </c>
      <c r="AI791" s="22" t="str">
        <f t="shared" si="529"/>
        <v/>
      </c>
      <c r="AJ791" s="22" t="str">
        <f t="shared" si="554"/>
        <v/>
      </c>
      <c r="AK791" s="21" t="str">
        <f t="shared" si="555"/>
        <v>Apprenant 779 ou 779'</v>
      </c>
      <c r="AL791" s="22" t="str">
        <f t="shared" si="530"/>
        <v/>
      </c>
      <c r="AM791" s="22" t="str">
        <f t="shared" si="531"/>
        <v/>
      </c>
      <c r="AN791" s="22" t="str">
        <f t="shared" si="532"/>
        <v/>
      </c>
      <c r="AO791" s="22" t="str">
        <f t="shared" si="556"/>
        <v/>
      </c>
      <c r="AQ791" s="21" t="str">
        <f t="shared" si="557"/>
        <v>Apprenant 779</v>
      </c>
      <c r="AR791" s="49" t="str">
        <f>IF(AND('Choix pédagogiques'!$C$4&lt;&gt;"?",'Choix pédagogiques'!$C$5&lt;&gt;"?",W791&lt;&gt;""),(W791-'Choix pédagogiques'!$C$4)/('Choix pédagogiques'!$C$5-'Choix pédagogiques'!$C$4),"")</f>
        <v/>
      </c>
      <c r="AS791" s="49" t="str">
        <f>IF(AND('Choix pédagogiques'!$C$4&lt;&gt;"?",'Choix pédagogiques'!$C$5&lt;&gt;"?",X791&lt;&gt;""),(X791-'Choix pédagogiques'!$C$4)/('Choix pédagogiques'!$C$5-'Choix pédagogiques'!$C$4),"")</f>
        <v/>
      </c>
      <c r="AT791" s="49" t="str">
        <f>IF(AND('Choix pédagogiques'!$C$4&lt;&gt;"?",'Choix pédagogiques'!$C$5&lt;&gt;"?",Y791&lt;&gt;""),(Y791-'Choix pédagogiques'!$C$4)/('Choix pédagogiques'!$C$5-'Choix pédagogiques'!$C$4),"")</f>
        <v/>
      </c>
      <c r="AU791" s="22" t="str">
        <f t="shared" si="558"/>
        <v/>
      </c>
      <c r="AV791" s="21" t="str">
        <f t="shared" si="559"/>
        <v>Apprenant 779 ou 779'</v>
      </c>
      <c r="AW791" s="49" t="str">
        <f>IF(AND('Choix pédagogiques'!$C$4&lt;&gt;"?",'Choix pédagogiques'!$C$5&lt;&gt;"?",AB791&lt;&gt;""),(AB791-'Choix pédagogiques'!$C$4)/('Choix pédagogiques'!$C$5-'Choix pédagogiques'!$C$4),"")</f>
        <v/>
      </c>
      <c r="AX791" s="49" t="str">
        <f>IF(AND('Choix pédagogiques'!$C$4&lt;&gt;"?",'Choix pédagogiques'!$C$5&lt;&gt;"?",AC791&lt;&gt;""),(AC791-'Choix pédagogiques'!$C$4)/('Choix pédagogiques'!$C$5-'Choix pédagogiques'!$C$4),"")</f>
        <v/>
      </c>
      <c r="AY791" s="49" t="str">
        <f>IF(AND('Choix pédagogiques'!$C$4&lt;&gt;"?",'Choix pédagogiques'!$C$5&lt;&gt;"?",AD791&lt;&gt;""),(AD791-'Choix pédagogiques'!$C$4)/('Choix pédagogiques'!$C$5-'Choix pédagogiques'!$C$4),"")</f>
        <v/>
      </c>
      <c r="AZ791" s="22" t="str">
        <f t="shared" si="560"/>
        <v/>
      </c>
      <c r="BA791" s="21" t="str">
        <f t="shared" si="561"/>
        <v>Apprenant 779</v>
      </c>
      <c r="BB791" s="49" t="str">
        <f t="shared" si="533"/>
        <v/>
      </c>
      <c r="BC791" s="49" t="str">
        <f t="shared" si="534"/>
        <v/>
      </c>
      <c r="BD791" s="49" t="str">
        <f t="shared" si="535"/>
        <v/>
      </c>
      <c r="BE791" s="22" t="str">
        <f t="shared" si="562"/>
        <v/>
      </c>
      <c r="BF791" s="21" t="str">
        <f t="shared" si="563"/>
        <v>Apprenant 779 ou 779'</v>
      </c>
      <c r="BG791" s="49" t="str">
        <f t="shared" si="536"/>
        <v/>
      </c>
      <c r="BH791" s="49" t="str">
        <f t="shared" si="537"/>
        <v/>
      </c>
      <c r="BI791" s="49" t="str">
        <f t="shared" si="538"/>
        <v/>
      </c>
      <c r="BJ791" s="22" t="str">
        <f t="shared" si="564"/>
        <v/>
      </c>
      <c r="BL791" s="21"/>
      <c r="BM791" s="21" t="str">
        <f>IF(OR(COUNT(B791:D1790)=0,AND('Choix pédagogiques'!$C$3&lt;&gt;1,'Choix pédagogiques'!$C$3&lt;&gt;2)),"",IF(AND(OR('Choix pédagogiques'!$C$3=1,'Choix pédagogiques'!$C$3=2),$B791&lt;&gt;"",$C791&lt;&gt;"",$D791&lt;&gt;""),1,0))</f>
        <v/>
      </c>
      <c r="BN791" s="21" t="str">
        <f>IF(OR(COUNT(G791:I1790)=0,AND('Choix pédagogiques'!$C$3&lt;&gt;1,'Choix pédagogiques'!$C$3&lt;&gt;2)),"",IF(AND(OR('Choix pédagogiques'!$C$3=1,'Choix pédagogiques'!$C$3=2),AND($G791&lt;&gt;"",$H791&lt;&gt;"",$I791&lt;&gt;"")),1,0))</f>
        <v/>
      </c>
      <c r="BO791" s="21" t="str">
        <f>IF(OR(COUNT(B791:D1790)=0,COUNT(G791:I1790)=0,'Choix pédagogiques'!C$3&lt;&gt;3),"",IF(AND('Choix pédagogiques'!$C$3=3,$B791&lt;&gt;"",$C791&lt;&gt;"",$D791&lt;&gt;"",$G791&lt;&gt;"",$H791&lt;&gt;"",$I791&lt;&gt;""),1,0))</f>
        <v/>
      </c>
      <c r="BR791" s="21">
        <v>589</v>
      </c>
      <c r="BS791" s="21">
        <v>1085</v>
      </c>
      <c r="BT791"/>
    </row>
    <row r="792" spans="1:72" s="23" customFormat="1" ht="18" customHeight="1" x14ac:dyDescent="0.3">
      <c r="A792" s="35" t="s">
        <v>782</v>
      </c>
      <c r="B792" s="37"/>
      <c r="C792" s="37"/>
      <c r="D792" s="37"/>
      <c r="E792" s="37"/>
      <c r="F792" s="35" t="s">
        <v>1790</v>
      </c>
      <c r="G792" s="37"/>
      <c r="H792" s="37"/>
      <c r="I792" s="37"/>
      <c r="J792" s="37"/>
      <c r="K792" s="21" t="str">
        <f t="shared" si="539"/>
        <v>Apprenant 780</v>
      </c>
      <c r="L792" s="22" t="str">
        <f t="shared" si="540"/>
        <v/>
      </c>
      <c r="M792" s="22" t="str">
        <f t="shared" si="541"/>
        <v/>
      </c>
      <c r="N792" s="22" t="str">
        <f t="shared" si="542"/>
        <v/>
      </c>
      <c r="O792" s="22" t="str">
        <f t="shared" si="543"/>
        <v/>
      </c>
      <c r="P792" s="21" t="str">
        <f t="shared" si="544"/>
        <v>Apprenant 780 ou 780'</v>
      </c>
      <c r="Q792" s="22" t="str">
        <f t="shared" si="545"/>
        <v/>
      </c>
      <c r="R792" s="22" t="str">
        <f t="shared" si="546"/>
        <v/>
      </c>
      <c r="S792" s="22" t="str">
        <f t="shared" si="547"/>
        <v/>
      </c>
      <c r="T792" s="22" t="str">
        <f t="shared" si="548"/>
        <v/>
      </c>
      <c r="V792" s="21" t="str">
        <f t="shared" si="549"/>
        <v>Apprenant 780</v>
      </c>
      <c r="W792" s="22" t="str">
        <f>IF(AND(OR('Choix pédagogiques'!$C$3=1,'Choix pédagogiques'!$C$3=2),$BM792=1),B792,IF(AND('Choix pédagogiques'!$C$3=3,$BO792=1),B792,""))</f>
        <v/>
      </c>
      <c r="X792" s="22" t="str">
        <f>IF(AND(OR('Choix pédagogiques'!$C$3=1,'Choix pédagogiques'!$C$3=2),$BM792=1),C792,IF(AND('Choix pédagogiques'!$C$3=3,$BO792=1),C792,""))</f>
        <v/>
      </c>
      <c r="Y792" s="22" t="str">
        <f>IF(AND(OR('Choix pédagogiques'!$C$3=1,'Choix pédagogiques'!$C$3=2),$BM792=1),D792,IF(AND('Choix pédagogiques'!$C$3=3,$BO792=1),D792,""))</f>
        <v/>
      </c>
      <c r="Z792" s="22" t="str">
        <f t="shared" si="550"/>
        <v/>
      </c>
      <c r="AA792" s="21" t="str">
        <f t="shared" si="551"/>
        <v>Apprenant 780 ou 780'</v>
      </c>
      <c r="AB792" s="22" t="str">
        <f>IF(AND(OR('Choix pédagogiques'!$C$3=1,'Choix pédagogiques'!$C$3=2),$BN792=1),G792,IF(AND('Choix pédagogiques'!$C$3=3,$BO792=1),G792,""))</f>
        <v/>
      </c>
      <c r="AC792" s="22" t="str">
        <f>IF(AND(OR('Choix pédagogiques'!$C$3=1,'Choix pédagogiques'!$C$3=2),$BN792=1),H792,IF(AND('Choix pédagogiques'!$C$3=3,$BO792=1),H792,""))</f>
        <v/>
      </c>
      <c r="AD792" s="22" t="str">
        <f>IF(AND(OR('Choix pédagogiques'!$C$3=1,'Choix pédagogiques'!$C$3=2),$BN792=1),I792,IF(AND('Choix pédagogiques'!$C$3=3,$BO792=1),I792,""))</f>
        <v/>
      </c>
      <c r="AE792" s="22" t="str">
        <f t="shared" si="552"/>
        <v/>
      </c>
      <c r="AF792" s="21" t="str">
        <f t="shared" si="553"/>
        <v>Apprenant 780</v>
      </c>
      <c r="AG792" s="22" t="str">
        <f t="shared" si="527"/>
        <v/>
      </c>
      <c r="AH792" s="22" t="str">
        <f t="shared" si="528"/>
        <v/>
      </c>
      <c r="AI792" s="22" t="str">
        <f t="shared" si="529"/>
        <v/>
      </c>
      <c r="AJ792" s="22" t="str">
        <f t="shared" si="554"/>
        <v/>
      </c>
      <c r="AK792" s="21" t="str">
        <f t="shared" si="555"/>
        <v>Apprenant 780 ou 780'</v>
      </c>
      <c r="AL792" s="22" t="str">
        <f t="shared" si="530"/>
        <v/>
      </c>
      <c r="AM792" s="22" t="str">
        <f t="shared" si="531"/>
        <v/>
      </c>
      <c r="AN792" s="22" t="str">
        <f t="shared" si="532"/>
        <v/>
      </c>
      <c r="AO792" s="22" t="str">
        <f t="shared" si="556"/>
        <v/>
      </c>
      <c r="AQ792" s="21" t="str">
        <f t="shared" si="557"/>
        <v>Apprenant 780</v>
      </c>
      <c r="AR792" s="49" t="str">
        <f>IF(AND('Choix pédagogiques'!$C$4&lt;&gt;"?",'Choix pédagogiques'!$C$5&lt;&gt;"?",W792&lt;&gt;""),(W792-'Choix pédagogiques'!$C$4)/('Choix pédagogiques'!$C$5-'Choix pédagogiques'!$C$4),"")</f>
        <v/>
      </c>
      <c r="AS792" s="49" t="str">
        <f>IF(AND('Choix pédagogiques'!$C$4&lt;&gt;"?",'Choix pédagogiques'!$C$5&lt;&gt;"?",X792&lt;&gt;""),(X792-'Choix pédagogiques'!$C$4)/('Choix pédagogiques'!$C$5-'Choix pédagogiques'!$C$4),"")</f>
        <v/>
      </c>
      <c r="AT792" s="49" t="str">
        <f>IF(AND('Choix pédagogiques'!$C$4&lt;&gt;"?",'Choix pédagogiques'!$C$5&lt;&gt;"?",Y792&lt;&gt;""),(Y792-'Choix pédagogiques'!$C$4)/('Choix pédagogiques'!$C$5-'Choix pédagogiques'!$C$4),"")</f>
        <v/>
      </c>
      <c r="AU792" s="22" t="str">
        <f t="shared" si="558"/>
        <v/>
      </c>
      <c r="AV792" s="21" t="str">
        <f t="shared" si="559"/>
        <v>Apprenant 780 ou 780'</v>
      </c>
      <c r="AW792" s="49" t="str">
        <f>IF(AND('Choix pédagogiques'!$C$4&lt;&gt;"?",'Choix pédagogiques'!$C$5&lt;&gt;"?",AB792&lt;&gt;""),(AB792-'Choix pédagogiques'!$C$4)/('Choix pédagogiques'!$C$5-'Choix pédagogiques'!$C$4),"")</f>
        <v/>
      </c>
      <c r="AX792" s="49" t="str">
        <f>IF(AND('Choix pédagogiques'!$C$4&lt;&gt;"?",'Choix pédagogiques'!$C$5&lt;&gt;"?",AC792&lt;&gt;""),(AC792-'Choix pédagogiques'!$C$4)/('Choix pédagogiques'!$C$5-'Choix pédagogiques'!$C$4),"")</f>
        <v/>
      </c>
      <c r="AY792" s="49" t="str">
        <f>IF(AND('Choix pédagogiques'!$C$4&lt;&gt;"?",'Choix pédagogiques'!$C$5&lt;&gt;"?",AD792&lt;&gt;""),(AD792-'Choix pédagogiques'!$C$4)/('Choix pédagogiques'!$C$5-'Choix pédagogiques'!$C$4),"")</f>
        <v/>
      </c>
      <c r="AZ792" s="22" t="str">
        <f t="shared" si="560"/>
        <v/>
      </c>
      <c r="BA792" s="21" t="str">
        <f t="shared" si="561"/>
        <v>Apprenant 780</v>
      </c>
      <c r="BB792" s="49" t="str">
        <f t="shared" si="533"/>
        <v/>
      </c>
      <c r="BC792" s="49" t="str">
        <f t="shared" si="534"/>
        <v/>
      </c>
      <c r="BD792" s="49" t="str">
        <f t="shared" si="535"/>
        <v/>
      </c>
      <c r="BE792" s="22" t="str">
        <f t="shared" si="562"/>
        <v/>
      </c>
      <c r="BF792" s="21" t="str">
        <f t="shared" si="563"/>
        <v>Apprenant 780 ou 780'</v>
      </c>
      <c r="BG792" s="49" t="str">
        <f t="shared" si="536"/>
        <v/>
      </c>
      <c r="BH792" s="49" t="str">
        <f t="shared" si="537"/>
        <v/>
      </c>
      <c r="BI792" s="49" t="str">
        <f t="shared" si="538"/>
        <v/>
      </c>
      <c r="BJ792" s="22" t="str">
        <f t="shared" si="564"/>
        <v/>
      </c>
      <c r="BL792" s="21"/>
      <c r="BM792" s="21" t="str">
        <f>IF(OR(COUNT(B792:D1791)=0,AND('Choix pédagogiques'!$C$3&lt;&gt;1,'Choix pédagogiques'!$C$3&lt;&gt;2)),"",IF(AND(OR('Choix pédagogiques'!$C$3=1,'Choix pédagogiques'!$C$3=2),$B792&lt;&gt;"",$C792&lt;&gt;"",$D792&lt;&gt;""),1,0))</f>
        <v/>
      </c>
      <c r="BN792" s="21" t="str">
        <f>IF(OR(COUNT(G792:I1791)=0,AND('Choix pédagogiques'!$C$3&lt;&gt;1,'Choix pédagogiques'!$C$3&lt;&gt;2)),"",IF(AND(OR('Choix pédagogiques'!$C$3=1,'Choix pédagogiques'!$C$3=2),AND($G792&lt;&gt;"",$H792&lt;&gt;"",$I792&lt;&gt;"")),1,0))</f>
        <v/>
      </c>
      <c r="BO792" s="21" t="str">
        <f>IF(OR(COUNT(B792:D1791)=0,COUNT(G792:I1791)=0,'Choix pédagogiques'!C$3&lt;&gt;3),"",IF(AND('Choix pédagogiques'!$C$3=3,$B792&lt;&gt;"",$C792&lt;&gt;"",$D792&lt;&gt;"",$G792&lt;&gt;"",$H792&lt;&gt;"",$I792&lt;&gt;""),1,0))</f>
        <v/>
      </c>
      <c r="BR792" s="21">
        <v>746</v>
      </c>
      <c r="BS792" s="21">
        <v>1702</v>
      </c>
      <c r="BT792"/>
    </row>
    <row r="793" spans="1:72" s="23" customFormat="1" ht="18" customHeight="1" x14ac:dyDescent="0.3">
      <c r="A793" s="35" t="s">
        <v>783</v>
      </c>
      <c r="B793" s="37"/>
      <c r="C793" s="37"/>
      <c r="D793" s="37"/>
      <c r="E793" s="37"/>
      <c r="F793" s="35" t="s">
        <v>1791</v>
      </c>
      <c r="G793" s="37"/>
      <c r="H793" s="37"/>
      <c r="I793" s="37"/>
      <c r="J793" s="37"/>
      <c r="K793" s="21" t="str">
        <f t="shared" si="539"/>
        <v>Apprenant 781</v>
      </c>
      <c r="L793" s="22" t="str">
        <f t="shared" si="540"/>
        <v/>
      </c>
      <c r="M793" s="22" t="str">
        <f t="shared" si="541"/>
        <v/>
      </c>
      <c r="N793" s="22" t="str">
        <f t="shared" si="542"/>
        <v/>
      </c>
      <c r="O793" s="22" t="str">
        <f t="shared" si="543"/>
        <v/>
      </c>
      <c r="P793" s="21" t="str">
        <f t="shared" si="544"/>
        <v>Apprenant 781 ou 781'</v>
      </c>
      <c r="Q793" s="22" t="str">
        <f t="shared" si="545"/>
        <v/>
      </c>
      <c r="R793" s="22" t="str">
        <f t="shared" si="546"/>
        <v/>
      </c>
      <c r="S793" s="22" t="str">
        <f t="shared" si="547"/>
        <v/>
      </c>
      <c r="T793" s="22" t="str">
        <f t="shared" si="548"/>
        <v/>
      </c>
      <c r="V793" s="21" t="str">
        <f t="shared" si="549"/>
        <v>Apprenant 781</v>
      </c>
      <c r="W793" s="22" t="str">
        <f>IF(AND(OR('Choix pédagogiques'!$C$3=1,'Choix pédagogiques'!$C$3=2),$BM793=1),B793,IF(AND('Choix pédagogiques'!$C$3=3,$BO793=1),B793,""))</f>
        <v/>
      </c>
      <c r="X793" s="22" t="str">
        <f>IF(AND(OR('Choix pédagogiques'!$C$3=1,'Choix pédagogiques'!$C$3=2),$BM793=1),C793,IF(AND('Choix pédagogiques'!$C$3=3,$BO793=1),C793,""))</f>
        <v/>
      </c>
      <c r="Y793" s="22" t="str">
        <f>IF(AND(OR('Choix pédagogiques'!$C$3=1,'Choix pédagogiques'!$C$3=2),$BM793=1),D793,IF(AND('Choix pédagogiques'!$C$3=3,$BO793=1),D793,""))</f>
        <v/>
      </c>
      <c r="Z793" s="22" t="str">
        <f t="shared" si="550"/>
        <v/>
      </c>
      <c r="AA793" s="21" t="str">
        <f t="shared" si="551"/>
        <v>Apprenant 781 ou 781'</v>
      </c>
      <c r="AB793" s="22" t="str">
        <f>IF(AND(OR('Choix pédagogiques'!$C$3=1,'Choix pédagogiques'!$C$3=2),$BN793=1),G793,IF(AND('Choix pédagogiques'!$C$3=3,$BO793=1),G793,""))</f>
        <v/>
      </c>
      <c r="AC793" s="22" t="str">
        <f>IF(AND(OR('Choix pédagogiques'!$C$3=1,'Choix pédagogiques'!$C$3=2),$BN793=1),H793,IF(AND('Choix pédagogiques'!$C$3=3,$BO793=1),H793,""))</f>
        <v/>
      </c>
      <c r="AD793" s="22" t="str">
        <f>IF(AND(OR('Choix pédagogiques'!$C$3=1,'Choix pédagogiques'!$C$3=2),$BN793=1),I793,IF(AND('Choix pédagogiques'!$C$3=3,$BO793=1),I793,""))</f>
        <v/>
      </c>
      <c r="AE793" s="22" t="str">
        <f t="shared" si="552"/>
        <v/>
      </c>
      <c r="AF793" s="21" t="str">
        <f t="shared" si="553"/>
        <v>Apprenant 781</v>
      </c>
      <c r="AG793" s="22" t="str">
        <f t="shared" si="527"/>
        <v/>
      </c>
      <c r="AH793" s="22" t="str">
        <f t="shared" si="528"/>
        <v/>
      </c>
      <c r="AI793" s="22" t="str">
        <f t="shared" si="529"/>
        <v/>
      </c>
      <c r="AJ793" s="22" t="str">
        <f t="shared" si="554"/>
        <v/>
      </c>
      <c r="AK793" s="21" t="str">
        <f t="shared" si="555"/>
        <v>Apprenant 781 ou 781'</v>
      </c>
      <c r="AL793" s="22" t="str">
        <f t="shared" si="530"/>
        <v/>
      </c>
      <c r="AM793" s="22" t="str">
        <f t="shared" si="531"/>
        <v/>
      </c>
      <c r="AN793" s="22" t="str">
        <f t="shared" si="532"/>
        <v/>
      </c>
      <c r="AO793" s="22" t="str">
        <f t="shared" si="556"/>
        <v/>
      </c>
      <c r="AQ793" s="21" t="str">
        <f t="shared" si="557"/>
        <v>Apprenant 781</v>
      </c>
      <c r="AR793" s="49" t="str">
        <f>IF(AND('Choix pédagogiques'!$C$4&lt;&gt;"?",'Choix pédagogiques'!$C$5&lt;&gt;"?",W793&lt;&gt;""),(W793-'Choix pédagogiques'!$C$4)/('Choix pédagogiques'!$C$5-'Choix pédagogiques'!$C$4),"")</f>
        <v/>
      </c>
      <c r="AS793" s="49" t="str">
        <f>IF(AND('Choix pédagogiques'!$C$4&lt;&gt;"?",'Choix pédagogiques'!$C$5&lt;&gt;"?",X793&lt;&gt;""),(X793-'Choix pédagogiques'!$C$4)/('Choix pédagogiques'!$C$5-'Choix pédagogiques'!$C$4),"")</f>
        <v/>
      </c>
      <c r="AT793" s="49" t="str">
        <f>IF(AND('Choix pédagogiques'!$C$4&lt;&gt;"?",'Choix pédagogiques'!$C$5&lt;&gt;"?",Y793&lt;&gt;""),(Y793-'Choix pédagogiques'!$C$4)/('Choix pédagogiques'!$C$5-'Choix pédagogiques'!$C$4),"")</f>
        <v/>
      </c>
      <c r="AU793" s="22" t="str">
        <f t="shared" si="558"/>
        <v/>
      </c>
      <c r="AV793" s="21" t="str">
        <f t="shared" si="559"/>
        <v>Apprenant 781 ou 781'</v>
      </c>
      <c r="AW793" s="49" t="str">
        <f>IF(AND('Choix pédagogiques'!$C$4&lt;&gt;"?",'Choix pédagogiques'!$C$5&lt;&gt;"?",AB793&lt;&gt;""),(AB793-'Choix pédagogiques'!$C$4)/('Choix pédagogiques'!$C$5-'Choix pédagogiques'!$C$4),"")</f>
        <v/>
      </c>
      <c r="AX793" s="49" t="str">
        <f>IF(AND('Choix pédagogiques'!$C$4&lt;&gt;"?",'Choix pédagogiques'!$C$5&lt;&gt;"?",AC793&lt;&gt;""),(AC793-'Choix pédagogiques'!$C$4)/('Choix pédagogiques'!$C$5-'Choix pédagogiques'!$C$4),"")</f>
        <v/>
      </c>
      <c r="AY793" s="49" t="str">
        <f>IF(AND('Choix pédagogiques'!$C$4&lt;&gt;"?",'Choix pédagogiques'!$C$5&lt;&gt;"?",AD793&lt;&gt;""),(AD793-'Choix pédagogiques'!$C$4)/('Choix pédagogiques'!$C$5-'Choix pédagogiques'!$C$4),"")</f>
        <v/>
      </c>
      <c r="AZ793" s="22" t="str">
        <f t="shared" si="560"/>
        <v/>
      </c>
      <c r="BA793" s="21" t="str">
        <f t="shared" si="561"/>
        <v>Apprenant 781</v>
      </c>
      <c r="BB793" s="49" t="str">
        <f t="shared" si="533"/>
        <v/>
      </c>
      <c r="BC793" s="49" t="str">
        <f t="shared" si="534"/>
        <v/>
      </c>
      <c r="BD793" s="49" t="str">
        <f t="shared" si="535"/>
        <v/>
      </c>
      <c r="BE793" s="22" t="str">
        <f t="shared" si="562"/>
        <v/>
      </c>
      <c r="BF793" s="21" t="str">
        <f t="shared" si="563"/>
        <v>Apprenant 781 ou 781'</v>
      </c>
      <c r="BG793" s="49" t="str">
        <f t="shared" si="536"/>
        <v/>
      </c>
      <c r="BH793" s="49" t="str">
        <f t="shared" si="537"/>
        <v/>
      </c>
      <c r="BI793" s="49" t="str">
        <f t="shared" si="538"/>
        <v/>
      </c>
      <c r="BJ793" s="22" t="str">
        <f t="shared" si="564"/>
        <v/>
      </c>
      <c r="BL793" s="21"/>
      <c r="BM793" s="21" t="str">
        <f>IF(OR(COUNT(B793:D1792)=0,AND('Choix pédagogiques'!$C$3&lt;&gt;1,'Choix pédagogiques'!$C$3&lt;&gt;2)),"",IF(AND(OR('Choix pédagogiques'!$C$3=1,'Choix pédagogiques'!$C$3=2),$B793&lt;&gt;"",$C793&lt;&gt;"",$D793&lt;&gt;""),1,0))</f>
        <v/>
      </c>
      <c r="BN793" s="21" t="str">
        <f>IF(OR(COUNT(G793:I1792)=0,AND('Choix pédagogiques'!$C$3&lt;&gt;1,'Choix pédagogiques'!$C$3&lt;&gt;2)),"",IF(AND(OR('Choix pédagogiques'!$C$3=1,'Choix pédagogiques'!$C$3=2),AND($G793&lt;&gt;"",$H793&lt;&gt;"",$I793&lt;&gt;"")),1,0))</f>
        <v/>
      </c>
      <c r="BO793" s="21" t="str">
        <f>IF(OR(COUNT(B793:D1792)=0,COUNT(G793:I1792)=0,'Choix pédagogiques'!C$3&lt;&gt;3),"",IF(AND('Choix pédagogiques'!$C$3=3,$B793&lt;&gt;"",$C793&lt;&gt;"",$D793&lt;&gt;"",$G793&lt;&gt;"",$H793&lt;&gt;"",$I793&lt;&gt;""),1,0))</f>
        <v/>
      </c>
      <c r="BR793" s="21">
        <v>8</v>
      </c>
      <c r="BS793" s="21">
        <v>1061</v>
      </c>
      <c r="BT793"/>
    </row>
    <row r="794" spans="1:72" s="23" customFormat="1" ht="18" customHeight="1" x14ac:dyDescent="0.3">
      <c r="A794" s="35" t="s">
        <v>784</v>
      </c>
      <c r="B794" s="37"/>
      <c r="C794" s="37"/>
      <c r="D794" s="37"/>
      <c r="E794" s="37"/>
      <c r="F794" s="35" t="s">
        <v>1792</v>
      </c>
      <c r="G794" s="37"/>
      <c r="H794" s="37"/>
      <c r="I794" s="37"/>
      <c r="J794" s="37"/>
      <c r="K794" s="21" t="str">
        <f t="shared" si="539"/>
        <v>Apprenant 782</v>
      </c>
      <c r="L794" s="22" t="str">
        <f t="shared" si="540"/>
        <v/>
      </c>
      <c r="M794" s="22" t="str">
        <f t="shared" si="541"/>
        <v/>
      </c>
      <c r="N794" s="22" t="str">
        <f t="shared" si="542"/>
        <v/>
      </c>
      <c r="O794" s="22" t="str">
        <f t="shared" si="543"/>
        <v/>
      </c>
      <c r="P794" s="21" t="str">
        <f t="shared" si="544"/>
        <v>Apprenant 782 ou 782'</v>
      </c>
      <c r="Q794" s="22" t="str">
        <f t="shared" si="545"/>
        <v/>
      </c>
      <c r="R794" s="22" t="str">
        <f t="shared" si="546"/>
        <v/>
      </c>
      <c r="S794" s="22" t="str">
        <f t="shared" si="547"/>
        <v/>
      </c>
      <c r="T794" s="22" t="str">
        <f t="shared" si="548"/>
        <v/>
      </c>
      <c r="V794" s="21" t="str">
        <f t="shared" si="549"/>
        <v>Apprenant 782</v>
      </c>
      <c r="W794" s="22" t="str">
        <f>IF(AND(OR('Choix pédagogiques'!$C$3=1,'Choix pédagogiques'!$C$3=2),$BM794=1),B794,IF(AND('Choix pédagogiques'!$C$3=3,$BO794=1),B794,""))</f>
        <v/>
      </c>
      <c r="X794" s="22" t="str">
        <f>IF(AND(OR('Choix pédagogiques'!$C$3=1,'Choix pédagogiques'!$C$3=2),$BM794=1),C794,IF(AND('Choix pédagogiques'!$C$3=3,$BO794=1),C794,""))</f>
        <v/>
      </c>
      <c r="Y794" s="22" t="str">
        <f>IF(AND(OR('Choix pédagogiques'!$C$3=1,'Choix pédagogiques'!$C$3=2),$BM794=1),D794,IF(AND('Choix pédagogiques'!$C$3=3,$BO794=1),D794,""))</f>
        <v/>
      </c>
      <c r="Z794" s="22" t="str">
        <f t="shared" si="550"/>
        <v/>
      </c>
      <c r="AA794" s="21" t="str">
        <f t="shared" si="551"/>
        <v>Apprenant 782 ou 782'</v>
      </c>
      <c r="AB794" s="22" t="str">
        <f>IF(AND(OR('Choix pédagogiques'!$C$3=1,'Choix pédagogiques'!$C$3=2),$BN794=1),G794,IF(AND('Choix pédagogiques'!$C$3=3,$BO794=1),G794,""))</f>
        <v/>
      </c>
      <c r="AC794" s="22" t="str">
        <f>IF(AND(OR('Choix pédagogiques'!$C$3=1,'Choix pédagogiques'!$C$3=2),$BN794=1),H794,IF(AND('Choix pédagogiques'!$C$3=3,$BO794=1),H794,""))</f>
        <v/>
      </c>
      <c r="AD794" s="22" t="str">
        <f>IF(AND(OR('Choix pédagogiques'!$C$3=1,'Choix pédagogiques'!$C$3=2),$BN794=1),I794,IF(AND('Choix pédagogiques'!$C$3=3,$BO794=1),I794,""))</f>
        <v/>
      </c>
      <c r="AE794" s="22" t="str">
        <f t="shared" si="552"/>
        <v/>
      </c>
      <c r="AF794" s="21" t="str">
        <f t="shared" si="553"/>
        <v>Apprenant 782</v>
      </c>
      <c r="AG794" s="22" t="str">
        <f t="shared" si="527"/>
        <v/>
      </c>
      <c r="AH794" s="22" t="str">
        <f t="shared" si="528"/>
        <v/>
      </c>
      <c r="AI794" s="22" t="str">
        <f t="shared" si="529"/>
        <v/>
      </c>
      <c r="AJ794" s="22" t="str">
        <f t="shared" si="554"/>
        <v/>
      </c>
      <c r="AK794" s="21" t="str">
        <f t="shared" si="555"/>
        <v>Apprenant 782 ou 782'</v>
      </c>
      <c r="AL794" s="22" t="str">
        <f t="shared" si="530"/>
        <v/>
      </c>
      <c r="AM794" s="22" t="str">
        <f t="shared" si="531"/>
        <v/>
      </c>
      <c r="AN794" s="22" t="str">
        <f t="shared" si="532"/>
        <v/>
      </c>
      <c r="AO794" s="22" t="str">
        <f t="shared" si="556"/>
        <v/>
      </c>
      <c r="AQ794" s="21" t="str">
        <f t="shared" si="557"/>
        <v>Apprenant 782</v>
      </c>
      <c r="AR794" s="49" t="str">
        <f>IF(AND('Choix pédagogiques'!$C$4&lt;&gt;"?",'Choix pédagogiques'!$C$5&lt;&gt;"?",W794&lt;&gt;""),(W794-'Choix pédagogiques'!$C$4)/('Choix pédagogiques'!$C$5-'Choix pédagogiques'!$C$4),"")</f>
        <v/>
      </c>
      <c r="AS794" s="49" t="str">
        <f>IF(AND('Choix pédagogiques'!$C$4&lt;&gt;"?",'Choix pédagogiques'!$C$5&lt;&gt;"?",X794&lt;&gt;""),(X794-'Choix pédagogiques'!$C$4)/('Choix pédagogiques'!$C$5-'Choix pédagogiques'!$C$4),"")</f>
        <v/>
      </c>
      <c r="AT794" s="49" t="str">
        <f>IF(AND('Choix pédagogiques'!$C$4&lt;&gt;"?",'Choix pédagogiques'!$C$5&lt;&gt;"?",Y794&lt;&gt;""),(Y794-'Choix pédagogiques'!$C$4)/('Choix pédagogiques'!$C$5-'Choix pédagogiques'!$C$4),"")</f>
        <v/>
      </c>
      <c r="AU794" s="22" t="str">
        <f t="shared" si="558"/>
        <v/>
      </c>
      <c r="AV794" s="21" t="str">
        <f t="shared" si="559"/>
        <v>Apprenant 782 ou 782'</v>
      </c>
      <c r="AW794" s="49" t="str">
        <f>IF(AND('Choix pédagogiques'!$C$4&lt;&gt;"?",'Choix pédagogiques'!$C$5&lt;&gt;"?",AB794&lt;&gt;""),(AB794-'Choix pédagogiques'!$C$4)/('Choix pédagogiques'!$C$5-'Choix pédagogiques'!$C$4),"")</f>
        <v/>
      </c>
      <c r="AX794" s="49" t="str">
        <f>IF(AND('Choix pédagogiques'!$C$4&lt;&gt;"?",'Choix pédagogiques'!$C$5&lt;&gt;"?",AC794&lt;&gt;""),(AC794-'Choix pédagogiques'!$C$4)/('Choix pédagogiques'!$C$5-'Choix pédagogiques'!$C$4),"")</f>
        <v/>
      </c>
      <c r="AY794" s="49" t="str">
        <f>IF(AND('Choix pédagogiques'!$C$4&lt;&gt;"?",'Choix pédagogiques'!$C$5&lt;&gt;"?",AD794&lt;&gt;""),(AD794-'Choix pédagogiques'!$C$4)/('Choix pédagogiques'!$C$5-'Choix pédagogiques'!$C$4),"")</f>
        <v/>
      </c>
      <c r="AZ794" s="22" t="str">
        <f t="shared" si="560"/>
        <v/>
      </c>
      <c r="BA794" s="21" t="str">
        <f t="shared" si="561"/>
        <v>Apprenant 782</v>
      </c>
      <c r="BB794" s="49" t="str">
        <f t="shared" si="533"/>
        <v/>
      </c>
      <c r="BC794" s="49" t="str">
        <f t="shared" si="534"/>
        <v/>
      </c>
      <c r="BD794" s="49" t="str">
        <f t="shared" si="535"/>
        <v/>
      </c>
      <c r="BE794" s="22" t="str">
        <f t="shared" si="562"/>
        <v/>
      </c>
      <c r="BF794" s="21" t="str">
        <f t="shared" si="563"/>
        <v>Apprenant 782 ou 782'</v>
      </c>
      <c r="BG794" s="49" t="str">
        <f t="shared" si="536"/>
        <v/>
      </c>
      <c r="BH794" s="49" t="str">
        <f t="shared" si="537"/>
        <v/>
      </c>
      <c r="BI794" s="49" t="str">
        <f t="shared" si="538"/>
        <v/>
      </c>
      <c r="BJ794" s="22" t="str">
        <f t="shared" si="564"/>
        <v/>
      </c>
      <c r="BL794" s="21"/>
      <c r="BM794" s="21" t="str">
        <f>IF(OR(COUNT(B794:D1793)=0,AND('Choix pédagogiques'!$C$3&lt;&gt;1,'Choix pédagogiques'!$C$3&lt;&gt;2)),"",IF(AND(OR('Choix pédagogiques'!$C$3=1,'Choix pédagogiques'!$C$3=2),$B794&lt;&gt;"",$C794&lt;&gt;"",$D794&lt;&gt;""),1,0))</f>
        <v/>
      </c>
      <c r="BN794" s="21" t="str">
        <f>IF(OR(COUNT(G794:I1793)=0,AND('Choix pédagogiques'!$C$3&lt;&gt;1,'Choix pédagogiques'!$C$3&lt;&gt;2)),"",IF(AND(OR('Choix pédagogiques'!$C$3=1,'Choix pédagogiques'!$C$3=2),AND($G794&lt;&gt;"",$H794&lt;&gt;"",$I794&lt;&gt;"")),1,0))</f>
        <v/>
      </c>
      <c r="BO794" s="21" t="str">
        <f>IF(OR(COUNT(B794:D1793)=0,COUNT(G794:I1793)=0,'Choix pédagogiques'!C$3&lt;&gt;3),"",IF(AND('Choix pédagogiques'!$C$3=3,$B794&lt;&gt;"",$C794&lt;&gt;"",$D794&lt;&gt;"",$G794&lt;&gt;"",$H794&lt;&gt;"",$I794&lt;&gt;""),1,0))</f>
        <v/>
      </c>
      <c r="BR794" s="21">
        <v>726</v>
      </c>
      <c r="BS794" s="21">
        <v>1743</v>
      </c>
      <c r="BT794"/>
    </row>
    <row r="795" spans="1:72" s="23" customFormat="1" ht="18" customHeight="1" x14ac:dyDescent="0.3">
      <c r="A795" s="35" t="s">
        <v>785</v>
      </c>
      <c r="B795" s="37"/>
      <c r="C795" s="37"/>
      <c r="D795" s="37"/>
      <c r="E795" s="37"/>
      <c r="F795" s="35" t="s">
        <v>1793</v>
      </c>
      <c r="G795" s="37"/>
      <c r="H795" s="37"/>
      <c r="I795" s="37"/>
      <c r="J795" s="37"/>
      <c r="K795" s="21" t="str">
        <f t="shared" si="539"/>
        <v>Apprenant 783</v>
      </c>
      <c r="L795" s="22" t="str">
        <f t="shared" si="540"/>
        <v/>
      </c>
      <c r="M795" s="22" t="str">
        <f t="shared" si="541"/>
        <v/>
      </c>
      <c r="N795" s="22" t="str">
        <f t="shared" si="542"/>
        <v/>
      </c>
      <c r="O795" s="22" t="str">
        <f t="shared" si="543"/>
        <v/>
      </c>
      <c r="P795" s="21" t="str">
        <f t="shared" si="544"/>
        <v>Apprenant 783 ou 783'</v>
      </c>
      <c r="Q795" s="22" t="str">
        <f t="shared" si="545"/>
        <v/>
      </c>
      <c r="R795" s="22" t="str">
        <f t="shared" si="546"/>
        <v/>
      </c>
      <c r="S795" s="22" t="str">
        <f t="shared" si="547"/>
        <v/>
      </c>
      <c r="T795" s="22" t="str">
        <f t="shared" si="548"/>
        <v/>
      </c>
      <c r="V795" s="21" t="str">
        <f t="shared" si="549"/>
        <v>Apprenant 783</v>
      </c>
      <c r="W795" s="22" t="str">
        <f>IF(AND(OR('Choix pédagogiques'!$C$3=1,'Choix pédagogiques'!$C$3=2),$BM795=1),B795,IF(AND('Choix pédagogiques'!$C$3=3,$BO795=1),B795,""))</f>
        <v/>
      </c>
      <c r="X795" s="22" t="str">
        <f>IF(AND(OR('Choix pédagogiques'!$C$3=1,'Choix pédagogiques'!$C$3=2),$BM795=1),C795,IF(AND('Choix pédagogiques'!$C$3=3,$BO795=1),C795,""))</f>
        <v/>
      </c>
      <c r="Y795" s="22" t="str">
        <f>IF(AND(OR('Choix pédagogiques'!$C$3=1,'Choix pédagogiques'!$C$3=2),$BM795=1),D795,IF(AND('Choix pédagogiques'!$C$3=3,$BO795=1),D795,""))</f>
        <v/>
      </c>
      <c r="Z795" s="22" t="str">
        <f t="shared" si="550"/>
        <v/>
      </c>
      <c r="AA795" s="21" t="str">
        <f t="shared" si="551"/>
        <v>Apprenant 783 ou 783'</v>
      </c>
      <c r="AB795" s="22" t="str">
        <f>IF(AND(OR('Choix pédagogiques'!$C$3=1,'Choix pédagogiques'!$C$3=2),$BN795=1),G795,IF(AND('Choix pédagogiques'!$C$3=3,$BO795=1),G795,""))</f>
        <v/>
      </c>
      <c r="AC795" s="22" t="str">
        <f>IF(AND(OR('Choix pédagogiques'!$C$3=1,'Choix pédagogiques'!$C$3=2),$BN795=1),H795,IF(AND('Choix pédagogiques'!$C$3=3,$BO795=1),H795,""))</f>
        <v/>
      </c>
      <c r="AD795" s="22" t="str">
        <f>IF(AND(OR('Choix pédagogiques'!$C$3=1,'Choix pédagogiques'!$C$3=2),$BN795=1),I795,IF(AND('Choix pédagogiques'!$C$3=3,$BO795=1),I795,""))</f>
        <v/>
      </c>
      <c r="AE795" s="22" t="str">
        <f t="shared" si="552"/>
        <v/>
      </c>
      <c r="AF795" s="21" t="str">
        <f t="shared" si="553"/>
        <v>Apprenant 783</v>
      </c>
      <c r="AG795" s="22" t="str">
        <f t="shared" si="527"/>
        <v/>
      </c>
      <c r="AH795" s="22" t="str">
        <f t="shared" si="528"/>
        <v/>
      </c>
      <c r="AI795" s="22" t="str">
        <f t="shared" si="529"/>
        <v/>
      </c>
      <c r="AJ795" s="22" t="str">
        <f t="shared" si="554"/>
        <v/>
      </c>
      <c r="AK795" s="21" t="str">
        <f t="shared" si="555"/>
        <v>Apprenant 783 ou 783'</v>
      </c>
      <c r="AL795" s="22" t="str">
        <f t="shared" si="530"/>
        <v/>
      </c>
      <c r="AM795" s="22" t="str">
        <f t="shared" si="531"/>
        <v/>
      </c>
      <c r="AN795" s="22" t="str">
        <f t="shared" si="532"/>
        <v/>
      </c>
      <c r="AO795" s="22" t="str">
        <f t="shared" si="556"/>
        <v/>
      </c>
      <c r="AQ795" s="21" t="str">
        <f t="shared" si="557"/>
        <v>Apprenant 783</v>
      </c>
      <c r="AR795" s="49" t="str">
        <f>IF(AND('Choix pédagogiques'!$C$4&lt;&gt;"?",'Choix pédagogiques'!$C$5&lt;&gt;"?",W795&lt;&gt;""),(W795-'Choix pédagogiques'!$C$4)/('Choix pédagogiques'!$C$5-'Choix pédagogiques'!$C$4),"")</f>
        <v/>
      </c>
      <c r="AS795" s="49" t="str">
        <f>IF(AND('Choix pédagogiques'!$C$4&lt;&gt;"?",'Choix pédagogiques'!$C$5&lt;&gt;"?",X795&lt;&gt;""),(X795-'Choix pédagogiques'!$C$4)/('Choix pédagogiques'!$C$5-'Choix pédagogiques'!$C$4),"")</f>
        <v/>
      </c>
      <c r="AT795" s="49" t="str">
        <f>IF(AND('Choix pédagogiques'!$C$4&lt;&gt;"?",'Choix pédagogiques'!$C$5&lt;&gt;"?",Y795&lt;&gt;""),(Y795-'Choix pédagogiques'!$C$4)/('Choix pédagogiques'!$C$5-'Choix pédagogiques'!$C$4),"")</f>
        <v/>
      </c>
      <c r="AU795" s="22" t="str">
        <f t="shared" si="558"/>
        <v/>
      </c>
      <c r="AV795" s="21" t="str">
        <f t="shared" si="559"/>
        <v>Apprenant 783 ou 783'</v>
      </c>
      <c r="AW795" s="49" t="str">
        <f>IF(AND('Choix pédagogiques'!$C$4&lt;&gt;"?",'Choix pédagogiques'!$C$5&lt;&gt;"?",AB795&lt;&gt;""),(AB795-'Choix pédagogiques'!$C$4)/('Choix pédagogiques'!$C$5-'Choix pédagogiques'!$C$4),"")</f>
        <v/>
      </c>
      <c r="AX795" s="49" t="str">
        <f>IF(AND('Choix pédagogiques'!$C$4&lt;&gt;"?",'Choix pédagogiques'!$C$5&lt;&gt;"?",AC795&lt;&gt;""),(AC795-'Choix pédagogiques'!$C$4)/('Choix pédagogiques'!$C$5-'Choix pédagogiques'!$C$4),"")</f>
        <v/>
      </c>
      <c r="AY795" s="49" t="str">
        <f>IF(AND('Choix pédagogiques'!$C$4&lt;&gt;"?",'Choix pédagogiques'!$C$5&lt;&gt;"?",AD795&lt;&gt;""),(AD795-'Choix pédagogiques'!$C$4)/('Choix pédagogiques'!$C$5-'Choix pédagogiques'!$C$4),"")</f>
        <v/>
      </c>
      <c r="AZ795" s="22" t="str">
        <f t="shared" si="560"/>
        <v/>
      </c>
      <c r="BA795" s="21" t="str">
        <f t="shared" si="561"/>
        <v>Apprenant 783</v>
      </c>
      <c r="BB795" s="49" t="str">
        <f t="shared" si="533"/>
        <v/>
      </c>
      <c r="BC795" s="49" t="str">
        <f t="shared" si="534"/>
        <v/>
      </c>
      <c r="BD795" s="49" t="str">
        <f t="shared" si="535"/>
        <v/>
      </c>
      <c r="BE795" s="22" t="str">
        <f t="shared" si="562"/>
        <v/>
      </c>
      <c r="BF795" s="21" t="str">
        <f t="shared" si="563"/>
        <v>Apprenant 783 ou 783'</v>
      </c>
      <c r="BG795" s="49" t="str">
        <f t="shared" si="536"/>
        <v/>
      </c>
      <c r="BH795" s="49" t="str">
        <f t="shared" si="537"/>
        <v/>
      </c>
      <c r="BI795" s="49" t="str">
        <f t="shared" si="538"/>
        <v/>
      </c>
      <c r="BJ795" s="22" t="str">
        <f t="shared" si="564"/>
        <v/>
      </c>
      <c r="BL795" s="21"/>
      <c r="BM795" s="21" t="str">
        <f>IF(OR(COUNT(B795:D1794)=0,AND('Choix pédagogiques'!$C$3&lt;&gt;1,'Choix pédagogiques'!$C$3&lt;&gt;2)),"",IF(AND(OR('Choix pédagogiques'!$C$3=1,'Choix pédagogiques'!$C$3=2),$B795&lt;&gt;"",$C795&lt;&gt;"",$D795&lt;&gt;""),1,0))</f>
        <v/>
      </c>
      <c r="BN795" s="21" t="str">
        <f>IF(OR(COUNT(G795:I1794)=0,AND('Choix pédagogiques'!$C$3&lt;&gt;1,'Choix pédagogiques'!$C$3&lt;&gt;2)),"",IF(AND(OR('Choix pédagogiques'!$C$3=1,'Choix pédagogiques'!$C$3=2),AND($G795&lt;&gt;"",$H795&lt;&gt;"",$I795&lt;&gt;"")),1,0))</f>
        <v/>
      </c>
      <c r="BO795" s="21" t="str">
        <f>IF(OR(COUNT(B795:D1794)=0,COUNT(G795:I1794)=0,'Choix pédagogiques'!C$3&lt;&gt;3),"",IF(AND('Choix pédagogiques'!$C$3=3,$B795&lt;&gt;"",$C795&lt;&gt;"",$D795&lt;&gt;"",$G795&lt;&gt;"",$H795&lt;&gt;"",$I795&lt;&gt;""),1,0))</f>
        <v/>
      </c>
      <c r="BR795" s="21">
        <v>834</v>
      </c>
      <c r="BS795" s="21">
        <v>1232</v>
      </c>
      <c r="BT795"/>
    </row>
    <row r="796" spans="1:72" s="23" customFormat="1" ht="18" customHeight="1" x14ac:dyDescent="0.3">
      <c r="A796" s="35" t="s">
        <v>786</v>
      </c>
      <c r="B796" s="37"/>
      <c r="C796" s="37"/>
      <c r="D796" s="37"/>
      <c r="E796" s="37"/>
      <c r="F796" s="35" t="s">
        <v>1794</v>
      </c>
      <c r="G796" s="37"/>
      <c r="H796" s="37"/>
      <c r="I796" s="37"/>
      <c r="J796" s="37"/>
      <c r="K796" s="21" t="str">
        <f t="shared" si="539"/>
        <v>Apprenant 784</v>
      </c>
      <c r="L796" s="22" t="str">
        <f t="shared" si="540"/>
        <v/>
      </c>
      <c r="M796" s="22" t="str">
        <f t="shared" si="541"/>
        <v/>
      </c>
      <c r="N796" s="22" t="str">
        <f t="shared" si="542"/>
        <v/>
      </c>
      <c r="O796" s="22" t="str">
        <f t="shared" si="543"/>
        <v/>
      </c>
      <c r="P796" s="21" t="str">
        <f t="shared" si="544"/>
        <v>Apprenant 784 ou 784'</v>
      </c>
      <c r="Q796" s="22" t="str">
        <f t="shared" si="545"/>
        <v/>
      </c>
      <c r="R796" s="22" t="str">
        <f t="shared" si="546"/>
        <v/>
      </c>
      <c r="S796" s="22" t="str">
        <f t="shared" si="547"/>
        <v/>
      </c>
      <c r="T796" s="22" t="str">
        <f t="shared" si="548"/>
        <v/>
      </c>
      <c r="V796" s="21" t="str">
        <f t="shared" si="549"/>
        <v>Apprenant 784</v>
      </c>
      <c r="W796" s="22" t="str">
        <f>IF(AND(OR('Choix pédagogiques'!$C$3=1,'Choix pédagogiques'!$C$3=2),$BM796=1),B796,IF(AND('Choix pédagogiques'!$C$3=3,$BO796=1),B796,""))</f>
        <v/>
      </c>
      <c r="X796" s="22" t="str">
        <f>IF(AND(OR('Choix pédagogiques'!$C$3=1,'Choix pédagogiques'!$C$3=2),$BM796=1),C796,IF(AND('Choix pédagogiques'!$C$3=3,$BO796=1),C796,""))</f>
        <v/>
      </c>
      <c r="Y796" s="22" t="str">
        <f>IF(AND(OR('Choix pédagogiques'!$C$3=1,'Choix pédagogiques'!$C$3=2),$BM796=1),D796,IF(AND('Choix pédagogiques'!$C$3=3,$BO796=1),D796,""))</f>
        <v/>
      </c>
      <c r="Z796" s="22" t="str">
        <f t="shared" si="550"/>
        <v/>
      </c>
      <c r="AA796" s="21" t="str">
        <f t="shared" si="551"/>
        <v>Apprenant 784 ou 784'</v>
      </c>
      <c r="AB796" s="22" t="str">
        <f>IF(AND(OR('Choix pédagogiques'!$C$3=1,'Choix pédagogiques'!$C$3=2),$BN796=1),G796,IF(AND('Choix pédagogiques'!$C$3=3,$BO796=1),G796,""))</f>
        <v/>
      </c>
      <c r="AC796" s="22" t="str">
        <f>IF(AND(OR('Choix pédagogiques'!$C$3=1,'Choix pédagogiques'!$C$3=2),$BN796=1),H796,IF(AND('Choix pédagogiques'!$C$3=3,$BO796=1),H796,""))</f>
        <v/>
      </c>
      <c r="AD796" s="22" t="str">
        <f>IF(AND(OR('Choix pédagogiques'!$C$3=1,'Choix pédagogiques'!$C$3=2),$BN796=1),I796,IF(AND('Choix pédagogiques'!$C$3=3,$BO796=1),I796,""))</f>
        <v/>
      </c>
      <c r="AE796" s="22" t="str">
        <f t="shared" si="552"/>
        <v/>
      </c>
      <c r="AF796" s="21" t="str">
        <f t="shared" si="553"/>
        <v>Apprenant 784</v>
      </c>
      <c r="AG796" s="22" t="str">
        <f t="shared" si="527"/>
        <v/>
      </c>
      <c r="AH796" s="22" t="str">
        <f t="shared" si="528"/>
        <v/>
      </c>
      <c r="AI796" s="22" t="str">
        <f t="shared" si="529"/>
        <v/>
      </c>
      <c r="AJ796" s="22" t="str">
        <f t="shared" si="554"/>
        <v/>
      </c>
      <c r="AK796" s="21" t="str">
        <f t="shared" si="555"/>
        <v>Apprenant 784 ou 784'</v>
      </c>
      <c r="AL796" s="22" t="str">
        <f t="shared" si="530"/>
        <v/>
      </c>
      <c r="AM796" s="22" t="str">
        <f t="shared" si="531"/>
        <v/>
      </c>
      <c r="AN796" s="22" t="str">
        <f t="shared" si="532"/>
        <v/>
      </c>
      <c r="AO796" s="22" t="str">
        <f t="shared" si="556"/>
        <v/>
      </c>
      <c r="AQ796" s="21" t="str">
        <f t="shared" si="557"/>
        <v>Apprenant 784</v>
      </c>
      <c r="AR796" s="49" t="str">
        <f>IF(AND('Choix pédagogiques'!$C$4&lt;&gt;"?",'Choix pédagogiques'!$C$5&lt;&gt;"?",W796&lt;&gt;""),(W796-'Choix pédagogiques'!$C$4)/('Choix pédagogiques'!$C$5-'Choix pédagogiques'!$C$4),"")</f>
        <v/>
      </c>
      <c r="AS796" s="49" t="str">
        <f>IF(AND('Choix pédagogiques'!$C$4&lt;&gt;"?",'Choix pédagogiques'!$C$5&lt;&gt;"?",X796&lt;&gt;""),(X796-'Choix pédagogiques'!$C$4)/('Choix pédagogiques'!$C$5-'Choix pédagogiques'!$C$4),"")</f>
        <v/>
      </c>
      <c r="AT796" s="49" t="str">
        <f>IF(AND('Choix pédagogiques'!$C$4&lt;&gt;"?",'Choix pédagogiques'!$C$5&lt;&gt;"?",Y796&lt;&gt;""),(Y796-'Choix pédagogiques'!$C$4)/('Choix pédagogiques'!$C$5-'Choix pédagogiques'!$C$4),"")</f>
        <v/>
      </c>
      <c r="AU796" s="22" t="str">
        <f t="shared" si="558"/>
        <v/>
      </c>
      <c r="AV796" s="21" t="str">
        <f t="shared" si="559"/>
        <v>Apprenant 784 ou 784'</v>
      </c>
      <c r="AW796" s="49" t="str">
        <f>IF(AND('Choix pédagogiques'!$C$4&lt;&gt;"?",'Choix pédagogiques'!$C$5&lt;&gt;"?",AB796&lt;&gt;""),(AB796-'Choix pédagogiques'!$C$4)/('Choix pédagogiques'!$C$5-'Choix pédagogiques'!$C$4),"")</f>
        <v/>
      </c>
      <c r="AX796" s="49" t="str">
        <f>IF(AND('Choix pédagogiques'!$C$4&lt;&gt;"?",'Choix pédagogiques'!$C$5&lt;&gt;"?",AC796&lt;&gt;""),(AC796-'Choix pédagogiques'!$C$4)/('Choix pédagogiques'!$C$5-'Choix pédagogiques'!$C$4),"")</f>
        <v/>
      </c>
      <c r="AY796" s="49" t="str">
        <f>IF(AND('Choix pédagogiques'!$C$4&lt;&gt;"?",'Choix pédagogiques'!$C$5&lt;&gt;"?",AD796&lt;&gt;""),(AD796-'Choix pédagogiques'!$C$4)/('Choix pédagogiques'!$C$5-'Choix pédagogiques'!$C$4),"")</f>
        <v/>
      </c>
      <c r="AZ796" s="22" t="str">
        <f t="shared" si="560"/>
        <v/>
      </c>
      <c r="BA796" s="21" t="str">
        <f t="shared" si="561"/>
        <v>Apprenant 784</v>
      </c>
      <c r="BB796" s="49" t="str">
        <f t="shared" si="533"/>
        <v/>
      </c>
      <c r="BC796" s="49" t="str">
        <f t="shared" si="534"/>
        <v/>
      </c>
      <c r="BD796" s="49" t="str">
        <f t="shared" si="535"/>
        <v/>
      </c>
      <c r="BE796" s="22" t="str">
        <f t="shared" si="562"/>
        <v/>
      </c>
      <c r="BF796" s="21" t="str">
        <f t="shared" si="563"/>
        <v>Apprenant 784 ou 784'</v>
      </c>
      <c r="BG796" s="49" t="str">
        <f t="shared" si="536"/>
        <v/>
      </c>
      <c r="BH796" s="49" t="str">
        <f t="shared" si="537"/>
        <v/>
      </c>
      <c r="BI796" s="49" t="str">
        <f t="shared" si="538"/>
        <v/>
      </c>
      <c r="BJ796" s="22" t="str">
        <f t="shared" si="564"/>
        <v/>
      </c>
      <c r="BL796" s="21"/>
      <c r="BM796" s="21" t="str">
        <f>IF(OR(COUNT(B796:D1795)=0,AND('Choix pédagogiques'!$C$3&lt;&gt;1,'Choix pédagogiques'!$C$3&lt;&gt;2)),"",IF(AND(OR('Choix pédagogiques'!$C$3=1,'Choix pédagogiques'!$C$3=2),$B796&lt;&gt;"",$C796&lt;&gt;"",$D796&lt;&gt;""),1,0))</f>
        <v/>
      </c>
      <c r="BN796" s="21" t="str">
        <f>IF(OR(COUNT(G796:I1795)=0,AND('Choix pédagogiques'!$C$3&lt;&gt;1,'Choix pédagogiques'!$C$3&lt;&gt;2)),"",IF(AND(OR('Choix pédagogiques'!$C$3=1,'Choix pédagogiques'!$C$3=2),AND($G796&lt;&gt;"",$H796&lt;&gt;"",$I796&lt;&gt;"")),1,0))</f>
        <v/>
      </c>
      <c r="BO796" s="21" t="str">
        <f>IF(OR(COUNT(B796:D1795)=0,COUNT(G796:I1795)=0,'Choix pédagogiques'!C$3&lt;&gt;3),"",IF(AND('Choix pédagogiques'!$C$3=3,$B796&lt;&gt;"",$C796&lt;&gt;"",$D796&lt;&gt;"",$G796&lt;&gt;"",$H796&lt;&gt;"",$I796&lt;&gt;""),1,0))</f>
        <v/>
      </c>
      <c r="BR796" s="21">
        <v>709</v>
      </c>
      <c r="BS796" s="21">
        <v>1239</v>
      </c>
      <c r="BT796"/>
    </row>
    <row r="797" spans="1:72" s="23" customFormat="1" ht="18" customHeight="1" x14ac:dyDescent="0.3">
      <c r="A797" s="35" t="s">
        <v>787</v>
      </c>
      <c r="B797" s="37"/>
      <c r="C797" s="37"/>
      <c r="D797" s="37"/>
      <c r="E797" s="37"/>
      <c r="F797" s="35" t="s">
        <v>1795</v>
      </c>
      <c r="G797" s="37"/>
      <c r="H797" s="37"/>
      <c r="I797" s="37"/>
      <c r="J797" s="37"/>
      <c r="K797" s="21" t="str">
        <f t="shared" si="539"/>
        <v>Apprenant 785</v>
      </c>
      <c r="L797" s="22" t="str">
        <f t="shared" si="540"/>
        <v/>
      </c>
      <c r="M797" s="22" t="str">
        <f t="shared" si="541"/>
        <v/>
      </c>
      <c r="N797" s="22" t="str">
        <f t="shared" si="542"/>
        <v/>
      </c>
      <c r="O797" s="22" t="str">
        <f t="shared" si="543"/>
        <v/>
      </c>
      <c r="P797" s="21" t="str">
        <f t="shared" si="544"/>
        <v>Apprenant 785 ou 785'</v>
      </c>
      <c r="Q797" s="22" t="str">
        <f t="shared" si="545"/>
        <v/>
      </c>
      <c r="R797" s="22" t="str">
        <f t="shared" si="546"/>
        <v/>
      </c>
      <c r="S797" s="22" t="str">
        <f t="shared" si="547"/>
        <v/>
      </c>
      <c r="T797" s="22" t="str">
        <f t="shared" si="548"/>
        <v/>
      </c>
      <c r="V797" s="21" t="str">
        <f t="shared" si="549"/>
        <v>Apprenant 785</v>
      </c>
      <c r="W797" s="22" t="str">
        <f>IF(AND(OR('Choix pédagogiques'!$C$3=1,'Choix pédagogiques'!$C$3=2),$BM797=1),B797,IF(AND('Choix pédagogiques'!$C$3=3,$BO797=1),B797,""))</f>
        <v/>
      </c>
      <c r="X797" s="22" t="str">
        <f>IF(AND(OR('Choix pédagogiques'!$C$3=1,'Choix pédagogiques'!$C$3=2),$BM797=1),C797,IF(AND('Choix pédagogiques'!$C$3=3,$BO797=1),C797,""))</f>
        <v/>
      </c>
      <c r="Y797" s="22" t="str">
        <f>IF(AND(OR('Choix pédagogiques'!$C$3=1,'Choix pédagogiques'!$C$3=2),$BM797=1),D797,IF(AND('Choix pédagogiques'!$C$3=3,$BO797=1),D797,""))</f>
        <v/>
      </c>
      <c r="Z797" s="22" t="str">
        <f t="shared" si="550"/>
        <v/>
      </c>
      <c r="AA797" s="21" t="str">
        <f t="shared" si="551"/>
        <v>Apprenant 785 ou 785'</v>
      </c>
      <c r="AB797" s="22" t="str">
        <f>IF(AND(OR('Choix pédagogiques'!$C$3=1,'Choix pédagogiques'!$C$3=2),$BN797=1),G797,IF(AND('Choix pédagogiques'!$C$3=3,$BO797=1),G797,""))</f>
        <v/>
      </c>
      <c r="AC797" s="22" t="str">
        <f>IF(AND(OR('Choix pédagogiques'!$C$3=1,'Choix pédagogiques'!$C$3=2),$BN797=1),H797,IF(AND('Choix pédagogiques'!$C$3=3,$BO797=1),H797,""))</f>
        <v/>
      </c>
      <c r="AD797" s="22" t="str">
        <f>IF(AND(OR('Choix pédagogiques'!$C$3=1,'Choix pédagogiques'!$C$3=2),$BN797=1),I797,IF(AND('Choix pédagogiques'!$C$3=3,$BO797=1),I797,""))</f>
        <v/>
      </c>
      <c r="AE797" s="22" t="str">
        <f t="shared" si="552"/>
        <v/>
      </c>
      <c r="AF797" s="21" t="str">
        <f t="shared" si="553"/>
        <v>Apprenant 785</v>
      </c>
      <c r="AG797" s="22" t="str">
        <f t="shared" si="527"/>
        <v/>
      </c>
      <c r="AH797" s="22" t="str">
        <f t="shared" si="528"/>
        <v/>
      </c>
      <c r="AI797" s="22" t="str">
        <f t="shared" si="529"/>
        <v/>
      </c>
      <c r="AJ797" s="22" t="str">
        <f t="shared" si="554"/>
        <v/>
      </c>
      <c r="AK797" s="21" t="str">
        <f t="shared" si="555"/>
        <v>Apprenant 785 ou 785'</v>
      </c>
      <c r="AL797" s="22" t="str">
        <f t="shared" si="530"/>
        <v/>
      </c>
      <c r="AM797" s="22" t="str">
        <f t="shared" si="531"/>
        <v/>
      </c>
      <c r="AN797" s="22" t="str">
        <f t="shared" si="532"/>
        <v/>
      </c>
      <c r="AO797" s="22" t="str">
        <f t="shared" si="556"/>
        <v/>
      </c>
      <c r="AQ797" s="21" t="str">
        <f t="shared" si="557"/>
        <v>Apprenant 785</v>
      </c>
      <c r="AR797" s="49" t="str">
        <f>IF(AND('Choix pédagogiques'!$C$4&lt;&gt;"?",'Choix pédagogiques'!$C$5&lt;&gt;"?",W797&lt;&gt;""),(W797-'Choix pédagogiques'!$C$4)/('Choix pédagogiques'!$C$5-'Choix pédagogiques'!$C$4),"")</f>
        <v/>
      </c>
      <c r="AS797" s="49" t="str">
        <f>IF(AND('Choix pédagogiques'!$C$4&lt;&gt;"?",'Choix pédagogiques'!$C$5&lt;&gt;"?",X797&lt;&gt;""),(X797-'Choix pédagogiques'!$C$4)/('Choix pédagogiques'!$C$5-'Choix pédagogiques'!$C$4),"")</f>
        <v/>
      </c>
      <c r="AT797" s="49" t="str">
        <f>IF(AND('Choix pédagogiques'!$C$4&lt;&gt;"?",'Choix pédagogiques'!$C$5&lt;&gt;"?",Y797&lt;&gt;""),(Y797-'Choix pédagogiques'!$C$4)/('Choix pédagogiques'!$C$5-'Choix pédagogiques'!$C$4),"")</f>
        <v/>
      </c>
      <c r="AU797" s="22" t="str">
        <f t="shared" si="558"/>
        <v/>
      </c>
      <c r="AV797" s="21" t="str">
        <f t="shared" si="559"/>
        <v>Apprenant 785 ou 785'</v>
      </c>
      <c r="AW797" s="49" t="str">
        <f>IF(AND('Choix pédagogiques'!$C$4&lt;&gt;"?",'Choix pédagogiques'!$C$5&lt;&gt;"?",AB797&lt;&gt;""),(AB797-'Choix pédagogiques'!$C$4)/('Choix pédagogiques'!$C$5-'Choix pédagogiques'!$C$4),"")</f>
        <v/>
      </c>
      <c r="AX797" s="49" t="str">
        <f>IF(AND('Choix pédagogiques'!$C$4&lt;&gt;"?",'Choix pédagogiques'!$C$5&lt;&gt;"?",AC797&lt;&gt;""),(AC797-'Choix pédagogiques'!$C$4)/('Choix pédagogiques'!$C$5-'Choix pédagogiques'!$C$4),"")</f>
        <v/>
      </c>
      <c r="AY797" s="49" t="str">
        <f>IF(AND('Choix pédagogiques'!$C$4&lt;&gt;"?",'Choix pédagogiques'!$C$5&lt;&gt;"?",AD797&lt;&gt;""),(AD797-'Choix pédagogiques'!$C$4)/('Choix pédagogiques'!$C$5-'Choix pédagogiques'!$C$4),"")</f>
        <v/>
      </c>
      <c r="AZ797" s="22" t="str">
        <f t="shared" si="560"/>
        <v/>
      </c>
      <c r="BA797" s="21" t="str">
        <f t="shared" si="561"/>
        <v>Apprenant 785</v>
      </c>
      <c r="BB797" s="49" t="str">
        <f t="shared" si="533"/>
        <v/>
      </c>
      <c r="BC797" s="49" t="str">
        <f t="shared" si="534"/>
        <v/>
      </c>
      <c r="BD797" s="49" t="str">
        <f t="shared" si="535"/>
        <v/>
      </c>
      <c r="BE797" s="22" t="str">
        <f t="shared" si="562"/>
        <v/>
      </c>
      <c r="BF797" s="21" t="str">
        <f t="shared" si="563"/>
        <v>Apprenant 785 ou 785'</v>
      </c>
      <c r="BG797" s="49" t="str">
        <f t="shared" si="536"/>
        <v/>
      </c>
      <c r="BH797" s="49" t="str">
        <f t="shared" si="537"/>
        <v/>
      </c>
      <c r="BI797" s="49" t="str">
        <f t="shared" si="538"/>
        <v/>
      </c>
      <c r="BJ797" s="22" t="str">
        <f t="shared" si="564"/>
        <v/>
      </c>
      <c r="BL797" s="21"/>
      <c r="BM797" s="21" t="str">
        <f>IF(OR(COUNT(B797:D1796)=0,AND('Choix pédagogiques'!$C$3&lt;&gt;1,'Choix pédagogiques'!$C$3&lt;&gt;2)),"",IF(AND(OR('Choix pédagogiques'!$C$3=1,'Choix pédagogiques'!$C$3=2),$B797&lt;&gt;"",$C797&lt;&gt;"",$D797&lt;&gt;""),1,0))</f>
        <v/>
      </c>
      <c r="BN797" s="21" t="str">
        <f>IF(OR(COUNT(G797:I1796)=0,AND('Choix pédagogiques'!$C$3&lt;&gt;1,'Choix pédagogiques'!$C$3&lt;&gt;2)),"",IF(AND(OR('Choix pédagogiques'!$C$3=1,'Choix pédagogiques'!$C$3=2),AND($G797&lt;&gt;"",$H797&lt;&gt;"",$I797&lt;&gt;"")),1,0))</f>
        <v/>
      </c>
      <c r="BO797" s="21" t="str">
        <f>IF(OR(COUNT(B797:D1796)=0,COUNT(G797:I1796)=0,'Choix pédagogiques'!C$3&lt;&gt;3),"",IF(AND('Choix pédagogiques'!$C$3=3,$B797&lt;&gt;"",$C797&lt;&gt;"",$D797&lt;&gt;"",$G797&lt;&gt;"",$H797&lt;&gt;"",$I797&lt;&gt;""),1,0))</f>
        <v/>
      </c>
      <c r="BR797" s="21">
        <v>139</v>
      </c>
      <c r="BS797" s="21">
        <v>1074</v>
      </c>
      <c r="BT797"/>
    </row>
    <row r="798" spans="1:72" s="23" customFormat="1" ht="18" customHeight="1" x14ac:dyDescent="0.3">
      <c r="A798" s="35" t="s">
        <v>788</v>
      </c>
      <c r="B798" s="37"/>
      <c r="C798" s="37"/>
      <c r="D798" s="37"/>
      <c r="E798" s="37"/>
      <c r="F798" s="35" t="s">
        <v>1796</v>
      </c>
      <c r="G798" s="37"/>
      <c r="H798" s="37"/>
      <c r="I798" s="37"/>
      <c r="J798" s="37"/>
      <c r="K798" s="21" t="str">
        <f t="shared" si="539"/>
        <v>Apprenant 786</v>
      </c>
      <c r="L798" s="22" t="str">
        <f t="shared" si="540"/>
        <v/>
      </c>
      <c r="M798" s="22" t="str">
        <f t="shared" si="541"/>
        <v/>
      </c>
      <c r="N798" s="22" t="str">
        <f t="shared" si="542"/>
        <v/>
      </c>
      <c r="O798" s="22" t="str">
        <f t="shared" si="543"/>
        <v/>
      </c>
      <c r="P798" s="21" t="str">
        <f t="shared" si="544"/>
        <v>Apprenant 786 ou 786'</v>
      </c>
      <c r="Q798" s="22" t="str">
        <f t="shared" si="545"/>
        <v/>
      </c>
      <c r="R798" s="22" t="str">
        <f t="shared" si="546"/>
        <v/>
      </c>
      <c r="S798" s="22" t="str">
        <f t="shared" si="547"/>
        <v/>
      </c>
      <c r="T798" s="22" t="str">
        <f t="shared" si="548"/>
        <v/>
      </c>
      <c r="V798" s="21" t="str">
        <f t="shared" si="549"/>
        <v>Apprenant 786</v>
      </c>
      <c r="W798" s="22" t="str">
        <f>IF(AND(OR('Choix pédagogiques'!$C$3=1,'Choix pédagogiques'!$C$3=2),$BM798=1),B798,IF(AND('Choix pédagogiques'!$C$3=3,$BO798=1),B798,""))</f>
        <v/>
      </c>
      <c r="X798" s="22" t="str">
        <f>IF(AND(OR('Choix pédagogiques'!$C$3=1,'Choix pédagogiques'!$C$3=2),$BM798=1),C798,IF(AND('Choix pédagogiques'!$C$3=3,$BO798=1),C798,""))</f>
        <v/>
      </c>
      <c r="Y798" s="22" t="str">
        <f>IF(AND(OR('Choix pédagogiques'!$C$3=1,'Choix pédagogiques'!$C$3=2),$BM798=1),D798,IF(AND('Choix pédagogiques'!$C$3=3,$BO798=1),D798,""))</f>
        <v/>
      </c>
      <c r="Z798" s="22" t="str">
        <f t="shared" si="550"/>
        <v/>
      </c>
      <c r="AA798" s="21" t="str">
        <f t="shared" si="551"/>
        <v>Apprenant 786 ou 786'</v>
      </c>
      <c r="AB798" s="22" t="str">
        <f>IF(AND(OR('Choix pédagogiques'!$C$3=1,'Choix pédagogiques'!$C$3=2),$BN798=1),G798,IF(AND('Choix pédagogiques'!$C$3=3,$BO798=1),G798,""))</f>
        <v/>
      </c>
      <c r="AC798" s="22" t="str">
        <f>IF(AND(OR('Choix pédagogiques'!$C$3=1,'Choix pédagogiques'!$C$3=2),$BN798=1),H798,IF(AND('Choix pédagogiques'!$C$3=3,$BO798=1),H798,""))</f>
        <v/>
      </c>
      <c r="AD798" s="22" t="str">
        <f>IF(AND(OR('Choix pédagogiques'!$C$3=1,'Choix pédagogiques'!$C$3=2),$BN798=1),I798,IF(AND('Choix pédagogiques'!$C$3=3,$BO798=1),I798,""))</f>
        <v/>
      </c>
      <c r="AE798" s="22" t="str">
        <f t="shared" si="552"/>
        <v/>
      </c>
      <c r="AF798" s="21" t="str">
        <f t="shared" si="553"/>
        <v>Apprenant 786</v>
      </c>
      <c r="AG798" s="22" t="str">
        <f t="shared" si="527"/>
        <v/>
      </c>
      <c r="AH798" s="22" t="str">
        <f t="shared" si="528"/>
        <v/>
      </c>
      <c r="AI798" s="22" t="str">
        <f t="shared" si="529"/>
        <v/>
      </c>
      <c r="AJ798" s="22" t="str">
        <f t="shared" si="554"/>
        <v/>
      </c>
      <c r="AK798" s="21" t="str">
        <f t="shared" si="555"/>
        <v>Apprenant 786 ou 786'</v>
      </c>
      <c r="AL798" s="22" t="str">
        <f t="shared" si="530"/>
        <v/>
      </c>
      <c r="AM798" s="22" t="str">
        <f t="shared" si="531"/>
        <v/>
      </c>
      <c r="AN798" s="22" t="str">
        <f t="shared" si="532"/>
        <v/>
      </c>
      <c r="AO798" s="22" t="str">
        <f t="shared" si="556"/>
        <v/>
      </c>
      <c r="AQ798" s="21" t="str">
        <f t="shared" si="557"/>
        <v>Apprenant 786</v>
      </c>
      <c r="AR798" s="49" t="str">
        <f>IF(AND('Choix pédagogiques'!$C$4&lt;&gt;"?",'Choix pédagogiques'!$C$5&lt;&gt;"?",W798&lt;&gt;""),(W798-'Choix pédagogiques'!$C$4)/('Choix pédagogiques'!$C$5-'Choix pédagogiques'!$C$4),"")</f>
        <v/>
      </c>
      <c r="AS798" s="49" t="str">
        <f>IF(AND('Choix pédagogiques'!$C$4&lt;&gt;"?",'Choix pédagogiques'!$C$5&lt;&gt;"?",X798&lt;&gt;""),(X798-'Choix pédagogiques'!$C$4)/('Choix pédagogiques'!$C$5-'Choix pédagogiques'!$C$4),"")</f>
        <v/>
      </c>
      <c r="AT798" s="49" t="str">
        <f>IF(AND('Choix pédagogiques'!$C$4&lt;&gt;"?",'Choix pédagogiques'!$C$5&lt;&gt;"?",Y798&lt;&gt;""),(Y798-'Choix pédagogiques'!$C$4)/('Choix pédagogiques'!$C$5-'Choix pédagogiques'!$C$4),"")</f>
        <v/>
      </c>
      <c r="AU798" s="22" t="str">
        <f t="shared" si="558"/>
        <v/>
      </c>
      <c r="AV798" s="21" t="str">
        <f t="shared" si="559"/>
        <v>Apprenant 786 ou 786'</v>
      </c>
      <c r="AW798" s="49" t="str">
        <f>IF(AND('Choix pédagogiques'!$C$4&lt;&gt;"?",'Choix pédagogiques'!$C$5&lt;&gt;"?",AB798&lt;&gt;""),(AB798-'Choix pédagogiques'!$C$4)/('Choix pédagogiques'!$C$5-'Choix pédagogiques'!$C$4),"")</f>
        <v/>
      </c>
      <c r="AX798" s="49" t="str">
        <f>IF(AND('Choix pédagogiques'!$C$4&lt;&gt;"?",'Choix pédagogiques'!$C$5&lt;&gt;"?",AC798&lt;&gt;""),(AC798-'Choix pédagogiques'!$C$4)/('Choix pédagogiques'!$C$5-'Choix pédagogiques'!$C$4),"")</f>
        <v/>
      </c>
      <c r="AY798" s="49" t="str">
        <f>IF(AND('Choix pédagogiques'!$C$4&lt;&gt;"?",'Choix pédagogiques'!$C$5&lt;&gt;"?",AD798&lt;&gt;""),(AD798-'Choix pédagogiques'!$C$4)/('Choix pédagogiques'!$C$5-'Choix pédagogiques'!$C$4),"")</f>
        <v/>
      </c>
      <c r="AZ798" s="22" t="str">
        <f t="shared" si="560"/>
        <v/>
      </c>
      <c r="BA798" s="21" t="str">
        <f t="shared" si="561"/>
        <v>Apprenant 786</v>
      </c>
      <c r="BB798" s="49" t="str">
        <f t="shared" si="533"/>
        <v/>
      </c>
      <c r="BC798" s="49" t="str">
        <f t="shared" si="534"/>
        <v/>
      </c>
      <c r="BD798" s="49" t="str">
        <f t="shared" si="535"/>
        <v/>
      </c>
      <c r="BE798" s="22" t="str">
        <f t="shared" si="562"/>
        <v/>
      </c>
      <c r="BF798" s="21" t="str">
        <f t="shared" si="563"/>
        <v>Apprenant 786 ou 786'</v>
      </c>
      <c r="BG798" s="49" t="str">
        <f t="shared" si="536"/>
        <v/>
      </c>
      <c r="BH798" s="49" t="str">
        <f t="shared" si="537"/>
        <v/>
      </c>
      <c r="BI798" s="49" t="str">
        <f t="shared" si="538"/>
        <v/>
      </c>
      <c r="BJ798" s="22" t="str">
        <f t="shared" si="564"/>
        <v/>
      </c>
      <c r="BL798" s="21"/>
      <c r="BM798" s="21" t="str">
        <f>IF(OR(COUNT(B798:D1797)=0,AND('Choix pédagogiques'!$C$3&lt;&gt;1,'Choix pédagogiques'!$C$3&lt;&gt;2)),"",IF(AND(OR('Choix pédagogiques'!$C$3=1,'Choix pédagogiques'!$C$3=2),$B798&lt;&gt;"",$C798&lt;&gt;"",$D798&lt;&gt;""),1,0))</f>
        <v/>
      </c>
      <c r="BN798" s="21" t="str">
        <f>IF(OR(COUNT(G798:I1797)=0,AND('Choix pédagogiques'!$C$3&lt;&gt;1,'Choix pédagogiques'!$C$3&lt;&gt;2)),"",IF(AND(OR('Choix pédagogiques'!$C$3=1,'Choix pédagogiques'!$C$3=2),AND($G798&lt;&gt;"",$H798&lt;&gt;"",$I798&lt;&gt;"")),1,0))</f>
        <v/>
      </c>
      <c r="BO798" s="21" t="str">
        <f>IF(OR(COUNT(B798:D1797)=0,COUNT(G798:I1797)=0,'Choix pédagogiques'!C$3&lt;&gt;3),"",IF(AND('Choix pédagogiques'!$C$3=3,$B798&lt;&gt;"",$C798&lt;&gt;"",$D798&lt;&gt;"",$G798&lt;&gt;"",$H798&lt;&gt;"",$I798&lt;&gt;""),1,0))</f>
        <v/>
      </c>
      <c r="BR798" s="21">
        <v>64</v>
      </c>
      <c r="BS798" s="21">
        <v>1425</v>
      </c>
      <c r="BT798"/>
    </row>
    <row r="799" spans="1:72" s="23" customFormat="1" ht="18" customHeight="1" x14ac:dyDescent="0.3">
      <c r="A799" s="35" t="s">
        <v>789</v>
      </c>
      <c r="B799" s="37"/>
      <c r="C799" s="37"/>
      <c r="D799" s="37"/>
      <c r="E799" s="37"/>
      <c r="F799" s="35" t="s">
        <v>1797</v>
      </c>
      <c r="G799" s="37"/>
      <c r="H799" s="37"/>
      <c r="I799" s="37"/>
      <c r="J799" s="37"/>
      <c r="K799" s="21" t="str">
        <f t="shared" si="539"/>
        <v>Apprenant 787</v>
      </c>
      <c r="L799" s="22" t="str">
        <f t="shared" si="540"/>
        <v/>
      </c>
      <c r="M799" s="22" t="str">
        <f t="shared" si="541"/>
        <v/>
      </c>
      <c r="N799" s="22" t="str">
        <f t="shared" si="542"/>
        <v/>
      </c>
      <c r="O799" s="22" t="str">
        <f t="shared" si="543"/>
        <v/>
      </c>
      <c r="P799" s="21" t="str">
        <f t="shared" si="544"/>
        <v>Apprenant 787 ou 787'</v>
      </c>
      <c r="Q799" s="22" t="str">
        <f t="shared" si="545"/>
        <v/>
      </c>
      <c r="R799" s="22" t="str">
        <f t="shared" si="546"/>
        <v/>
      </c>
      <c r="S799" s="22" t="str">
        <f t="shared" si="547"/>
        <v/>
      </c>
      <c r="T799" s="22" t="str">
        <f t="shared" si="548"/>
        <v/>
      </c>
      <c r="V799" s="21" t="str">
        <f t="shared" si="549"/>
        <v>Apprenant 787</v>
      </c>
      <c r="W799" s="22" t="str">
        <f>IF(AND(OR('Choix pédagogiques'!$C$3=1,'Choix pédagogiques'!$C$3=2),$BM799=1),B799,IF(AND('Choix pédagogiques'!$C$3=3,$BO799=1),B799,""))</f>
        <v/>
      </c>
      <c r="X799" s="22" t="str">
        <f>IF(AND(OR('Choix pédagogiques'!$C$3=1,'Choix pédagogiques'!$C$3=2),$BM799=1),C799,IF(AND('Choix pédagogiques'!$C$3=3,$BO799=1),C799,""))</f>
        <v/>
      </c>
      <c r="Y799" s="22" t="str">
        <f>IF(AND(OR('Choix pédagogiques'!$C$3=1,'Choix pédagogiques'!$C$3=2),$BM799=1),D799,IF(AND('Choix pédagogiques'!$C$3=3,$BO799=1),D799,""))</f>
        <v/>
      </c>
      <c r="Z799" s="22" t="str">
        <f t="shared" si="550"/>
        <v/>
      </c>
      <c r="AA799" s="21" t="str">
        <f t="shared" si="551"/>
        <v>Apprenant 787 ou 787'</v>
      </c>
      <c r="AB799" s="22" t="str">
        <f>IF(AND(OR('Choix pédagogiques'!$C$3=1,'Choix pédagogiques'!$C$3=2),$BN799=1),G799,IF(AND('Choix pédagogiques'!$C$3=3,$BO799=1),G799,""))</f>
        <v/>
      </c>
      <c r="AC799" s="22" t="str">
        <f>IF(AND(OR('Choix pédagogiques'!$C$3=1,'Choix pédagogiques'!$C$3=2),$BN799=1),H799,IF(AND('Choix pédagogiques'!$C$3=3,$BO799=1),H799,""))</f>
        <v/>
      </c>
      <c r="AD799" s="22" t="str">
        <f>IF(AND(OR('Choix pédagogiques'!$C$3=1,'Choix pédagogiques'!$C$3=2),$BN799=1),I799,IF(AND('Choix pédagogiques'!$C$3=3,$BO799=1),I799,""))</f>
        <v/>
      </c>
      <c r="AE799" s="22" t="str">
        <f t="shared" si="552"/>
        <v/>
      </c>
      <c r="AF799" s="21" t="str">
        <f t="shared" si="553"/>
        <v>Apprenant 787</v>
      </c>
      <c r="AG799" s="22" t="str">
        <f t="shared" si="527"/>
        <v/>
      </c>
      <c r="AH799" s="22" t="str">
        <f t="shared" si="528"/>
        <v/>
      </c>
      <c r="AI799" s="22" t="str">
        <f t="shared" si="529"/>
        <v/>
      </c>
      <c r="AJ799" s="22" t="str">
        <f t="shared" si="554"/>
        <v/>
      </c>
      <c r="AK799" s="21" t="str">
        <f t="shared" si="555"/>
        <v>Apprenant 787 ou 787'</v>
      </c>
      <c r="AL799" s="22" t="str">
        <f t="shared" si="530"/>
        <v/>
      </c>
      <c r="AM799" s="22" t="str">
        <f t="shared" si="531"/>
        <v/>
      </c>
      <c r="AN799" s="22" t="str">
        <f t="shared" si="532"/>
        <v/>
      </c>
      <c r="AO799" s="22" t="str">
        <f t="shared" si="556"/>
        <v/>
      </c>
      <c r="AQ799" s="21" t="str">
        <f t="shared" si="557"/>
        <v>Apprenant 787</v>
      </c>
      <c r="AR799" s="49" t="str">
        <f>IF(AND('Choix pédagogiques'!$C$4&lt;&gt;"?",'Choix pédagogiques'!$C$5&lt;&gt;"?",W799&lt;&gt;""),(W799-'Choix pédagogiques'!$C$4)/('Choix pédagogiques'!$C$5-'Choix pédagogiques'!$C$4),"")</f>
        <v/>
      </c>
      <c r="AS799" s="49" t="str">
        <f>IF(AND('Choix pédagogiques'!$C$4&lt;&gt;"?",'Choix pédagogiques'!$C$5&lt;&gt;"?",X799&lt;&gt;""),(X799-'Choix pédagogiques'!$C$4)/('Choix pédagogiques'!$C$5-'Choix pédagogiques'!$C$4),"")</f>
        <v/>
      </c>
      <c r="AT799" s="49" t="str">
        <f>IF(AND('Choix pédagogiques'!$C$4&lt;&gt;"?",'Choix pédagogiques'!$C$5&lt;&gt;"?",Y799&lt;&gt;""),(Y799-'Choix pédagogiques'!$C$4)/('Choix pédagogiques'!$C$5-'Choix pédagogiques'!$C$4),"")</f>
        <v/>
      </c>
      <c r="AU799" s="22" t="str">
        <f t="shared" si="558"/>
        <v/>
      </c>
      <c r="AV799" s="21" t="str">
        <f t="shared" si="559"/>
        <v>Apprenant 787 ou 787'</v>
      </c>
      <c r="AW799" s="49" t="str">
        <f>IF(AND('Choix pédagogiques'!$C$4&lt;&gt;"?",'Choix pédagogiques'!$C$5&lt;&gt;"?",AB799&lt;&gt;""),(AB799-'Choix pédagogiques'!$C$4)/('Choix pédagogiques'!$C$5-'Choix pédagogiques'!$C$4),"")</f>
        <v/>
      </c>
      <c r="AX799" s="49" t="str">
        <f>IF(AND('Choix pédagogiques'!$C$4&lt;&gt;"?",'Choix pédagogiques'!$C$5&lt;&gt;"?",AC799&lt;&gt;""),(AC799-'Choix pédagogiques'!$C$4)/('Choix pédagogiques'!$C$5-'Choix pédagogiques'!$C$4),"")</f>
        <v/>
      </c>
      <c r="AY799" s="49" t="str">
        <f>IF(AND('Choix pédagogiques'!$C$4&lt;&gt;"?",'Choix pédagogiques'!$C$5&lt;&gt;"?",AD799&lt;&gt;""),(AD799-'Choix pédagogiques'!$C$4)/('Choix pédagogiques'!$C$5-'Choix pédagogiques'!$C$4),"")</f>
        <v/>
      </c>
      <c r="AZ799" s="22" t="str">
        <f t="shared" si="560"/>
        <v/>
      </c>
      <c r="BA799" s="21" t="str">
        <f t="shared" si="561"/>
        <v>Apprenant 787</v>
      </c>
      <c r="BB799" s="49" t="str">
        <f t="shared" si="533"/>
        <v/>
      </c>
      <c r="BC799" s="49" t="str">
        <f t="shared" si="534"/>
        <v/>
      </c>
      <c r="BD799" s="49" t="str">
        <f t="shared" si="535"/>
        <v/>
      </c>
      <c r="BE799" s="22" t="str">
        <f t="shared" si="562"/>
        <v/>
      </c>
      <c r="BF799" s="21" t="str">
        <f t="shared" si="563"/>
        <v>Apprenant 787 ou 787'</v>
      </c>
      <c r="BG799" s="49" t="str">
        <f t="shared" si="536"/>
        <v/>
      </c>
      <c r="BH799" s="49" t="str">
        <f t="shared" si="537"/>
        <v/>
      </c>
      <c r="BI799" s="49" t="str">
        <f t="shared" si="538"/>
        <v/>
      </c>
      <c r="BJ799" s="22" t="str">
        <f t="shared" si="564"/>
        <v/>
      </c>
      <c r="BL799" s="21"/>
      <c r="BM799" s="21" t="str">
        <f>IF(OR(COUNT(B799:D1798)=0,AND('Choix pédagogiques'!$C$3&lt;&gt;1,'Choix pédagogiques'!$C$3&lt;&gt;2)),"",IF(AND(OR('Choix pédagogiques'!$C$3=1,'Choix pédagogiques'!$C$3=2),$B799&lt;&gt;"",$C799&lt;&gt;"",$D799&lt;&gt;""),1,0))</f>
        <v/>
      </c>
      <c r="BN799" s="21" t="str">
        <f>IF(OR(COUNT(G799:I1798)=0,AND('Choix pédagogiques'!$C$3&lt;&gt;1,'Choix pédagogiques'!$C$3&lt;&gt;2)),"",IF(AND(OR('Choix pédagogiques'!$C$3=1,'Choix pédagogiques'!$C$3=2),AND($G799&lt;&gt;"",$H799&lt;&gt;"",$I799&lt;&gt;"")),1,0))</f>
        <v/>
      </c>
      <c r="BO799" s="21" t="str">
        <f>IF(OR(COUNT(B799:D1798)=0,COUNT(G799:I1798)=0,'Choix pédagogiques'!C$3&lt;&gt;3),"",IF(AND('Choix pédagogiques'!$C$3=3,$B799&lt;&gt;"",$C799&lt;&gt;"",$D799&lt;&gt;"",$G799&lt;&gt;"",$H799&lt;&gt;"",$I799&lt;&gt;""),1,0))</f>
        <v/>
      </c>
      <c r="BR799" s="21">
        <v>162</v>
      </c>
      <c r="BS799" s="21">
        <v>1721</v>
      </c>
      <c r="BT799"/>
    </row>
    <row r="800" spans="1:72" s="23" customFormat="1" ht="18" customHeight="1" x14ac:dyDescent="0.3">
      <c r="A800" s="35" t="s">
        <v>790</v>
      </c>
      <c r="B800" s="37"/>
      <c r="C800" s="37"/>
      <c r="D800" s="37"/>
      <c r="E800" s="37"/>
      <c r="F800" s="35" t="s">
        <v>1798</v>
      </c>
      <c r="G800" s="37"/>
      <c r="H800" s="37"/>
      <c r="I800" s="37"/>
      <c r="J800" s="37"/>
      <c r="K800" s="21" t="str">
        <f t="shared" si="539"/>
        <v>Apprenant 788</v>
      </c>
      <c r="L800" s="22" t="str">
        <f t="shared" si="540"/>
        <v/>
      </c>
      <c r="M800" s="22" t="str">
        <f t="shared" si="541"/>
        <v/>
      </c>
      <c r="N800" s="22" t="str">
        <f t="shared" si="542"/>
        <v/>
      </c>
      <c r="O800" s="22" t="str">
        <f t="shared" si="543"/>
        <v/>
      </c>
      <c r="P800" s="21" t="str">
        <f t="shared" si="544"/>
        <v>Apprenant 788 ou 788'</v>
      </c>
      <c r="Q800" s="22" t="str">
        <f t="shared" si="545"/>
        <v/>
      </c>
      <c r="R800" s="22" t="str">
        <f t="shared" si="546"/>
        <v/>
      </c>
      <c r="S800" s="22" t="str">
        <f t="shared" si="547"/>
        <v/>
      </c>
      <c r="T800" s="22" t="str">
        <f t="shared" si="548"/>
        <v/>
      </c>
      <c r="V800" s="21" t="str">
        <f t="shared" si="549"/>
        <v>Apprenant 788</v>
      </c>
      <c r="W800" s="22" t="str">
        <f>IF(AND(OR('Choix pédagogiques'!$C$3=1,'Choix pédagogiques'!$C$3=2),$BM800=1),B800,IF(AND('Choix pédagogiques'!$C$3=3,$BO800=1),B800,""))</f>
        <v/>
      </c>
      <c r="X800" s="22" t="str">
        <f>IF(AND(OR('Choix pédagogiques'!$C$3=1,'Choix pédagogiques'!$C$3=2),$BM800=1),C800,IF(AND('Choix pédagogiques'!$C$3=3,$BO800=1),C800,""))</f>
        <v/>
      </c>
      <c r="Y800" s="22" t="str">
        <f>IF(AND(OR('Choix pédagogiques'!$C$3=1,'Choix pédagogiques'!$C$3=2),$BM800=1),D800,IF(AND('Choix pédagogiques'!$C$3=3,$BO800=1),D800,""))</f>
        <v/>
      </c>
      <c r="Z800" s="22" t="str">
        <f t="shared" si="550"/>
        <v/>
      </c>
      <c r="AA800" s="21" t="str">
        <f t="shared" si="551"/>
        <v>Apprenant 788 ou 788'</v>
      </c>
      <c r="AB800" s="22" t="str">
        <f>IF(AND(OR('Choix pédagogiques'!$C$3=1,'Choix pédagogiques'!$C$3=2),$BN800=1),G800,IF(AND('Choix pédagogiques'!$C$3=3,$BO800=1),G800,""))</f>
        <v/>
      </c>
      <c r="AC800" s="22" t="str">
        <f>IF(AND(OR('Choix pédagogiques'!$C$3=1,'Choix pédagogiques'!$C$3=2),$BN800=1),H800,IF(AND('Choix pédagogiques'!$C$3=3,$BO800=1),H800,""))</f>
        <v/>
      </c>
      <c r="AD800" s="22" t="str">
        <f>IF(AND(OR('Choix pédagogiques'!$C$3=1,'Choix pédagogiques'!$C$3=2),$BN800=1),I800,IF(AND('Choix pédagogiques'!$C$3=3,$BO800=1),I800,""))</f>
        <v/>
      </c>
      <c r="AE800" s="22" t="str">
        <f t="shared" si="552"/>
        <v/>
      </c>
      <c r="AF800" s="21" t="str">
        <f t="shared" si="553"/>
        <v>Apprenant 788</v>
      </c>
      <c r="AG800" s="22" t="str">
        <f t="shared" si="527"/>
        <v/>
      </c>
      <c r="AH800" s="22" t="str">
        <f t="shared" si="528"/>
        <v/>
      </c>
      <c r="AI800" s="22" t="str">
        <f t="shared" si="529"/>
        <v/>
      </c>
      <c r="AJ800" s="22" t="str">
        <f t="shared" si="554"/>
        <v/>
      </c>
      <c r="AK800" s="21" t="str">
        <f t="shared" si="555"/>
        <v>Apprenant 788 ou 788'</v>
      </c>
      <c r="AL800" s="22" t="str">
        <f t="shared" si="530"/>
        <v/>
      </c>
      <c r="AM800" s="22" t="str">
        <f t="shared" si="531"/>
        <v/>
      </c>
      <c r="AN800" s="22" t="str">
        <f t="shared" si="532"/>
        <v/>
      </c>
      <c r="AO800" s="22" t="str">
        <f t="shared" si="556"/>
        <v/>
      </c>
      <c r="AQ800" s="21" t="str">
        <f t="shared" si="557"/>
        <v>Apprenant 788</v>
      </c>
      <c r="AR800" s="49" t="str">
        <f>IF(AND('Choix pédagogiques'!$C$4&lt;&gt;"?",'Choix pédagogiques'!$C$5&lt;&gt;"?",W800&lt;&gt;""),(W800-'Choix pédagogiques'!$C$4)/('Choix pédagogiques'!$C$5-'Choix pédagogiques'!$C$4),"")</f>
        <v/>
      </c>
      <c r="AS800" s="49" t="str">
        <f>IF(AND('Choix pédagogiques'!$C$4&lt;&gt;"?",'Choix pédagogiques'!$C$5&lt;&gt;"?",X800&lt;&gt;""),(X800-'Choix pédagogiques'!$C$4)/('Choix pédagogiques'!$C$5-'Choix pédagogiques'!$C$4),"")</f>
        <v/>
      </c>
      <c r="AT800" s="49" t="str">
        <f>IF(AND('Choix pédagogiques'!$C$4&lt;&gt;"?",'Choix pédagogiques'!$C$5&lt;&gt;"?",Y800&lt;&gt;""),(Y800-'Choix pédagogiques'!$C$4)/('Choix pédagogiques'!$C$5-'Choix pédagogiques'!$C$4),"")</f>
        <v/>
      </c>
      <c r="AU800" s="22" t="str">
        <f t="shared" si="558"/>
        <v/>
      </c>
      <c r="AV800" s="21" t="str">
        <f t="shared" si="559"/>
        <v>Apprenant 788 ou 788'</v>
      </c>
      <c r="AW800" s="49" t="str">
        <f>IF(AND('Choix pédagogiques'!$C$4&lt;&gt;"?",'Choix pédagogiques'!$C$5&lt;&gt;"?",AB800&lt;&gt;""),(AB800-'Choix pédagogiques'!$C$4)/('Choix pédagogiques'!$C$5-'Choix pédagogiques'!$C$4),"")</f>
        <v/>
      </c>
      <c r="AX800" s="49" t="str">
        <f>IF(AND('Choix pédagogiques'!$C$4&lt;&gt;"?",'Choix pédagogiques'!$C$5&lt;&gt;"?",AC800&lt;&gt;""),(AC800-'Choix pédagogiques'!$C$4)/('Choix pédagogiques'!$C$5-'Choix pédagogiques'!$C$4),"")</f>
        <v/>
      </c>
      <c r="AY800" s="49" t="str">
        <f>IF(AND('Choix pédagogiques'!$C$4&lt;&gt;"?",'Choix pédagogiques'!$C$5&lt;&gt;"?",AD800&lt;&gt;""),(AD800-'Choix pédagogiques'!$C$4)/('Choix pédagogiques'!$C$5-'Choix pédagogiques'!$C$4),"")</f>
        <v/>
      </c>
      <c r="AZ800" s="22" t="str">
        <f t="shared" si="560"/>
        <v/>
      </c>
      <c r="BA800" s="21" t="str">
        <f t="shared" si="561"/>
        <v>Apprenant 788</v>
      </c>
      <c r="BB800" s="49" t="str">
        <f t="shared" si="533"/>
        <v/>
      </c>
      <c r="BC800" s="49" t="str">
        <f t="shared" si="534"/>
        <v/>
      </c>
      <c r="BD800" s="49" t="str">
        <f t="shared" si="535"/>
        <v/>
      </c>
      <c r="BE800" s="22" t="str">
        <f t="shared" si="562"/>
        <v/>
      </c>
      <c r="BF800" s="21" t="str">
        <f t="shared" si="563"/>
        <v>Apprenant 788 ou 788'</v>
      </c>
      <c r="BG800" s="49" t="str">
        <f t="shared" si="536"/>
        <v/>
      </c>
      <c r="BH800" s="49" t="str">
        <f t="shared" si="537"/>
        <v/>
      </c>
      <c r="BI800" s="49" t="str">
        <f t="shared" si="538"/>
        <v/>
      </c>
      <c r="BJ800" s="22" t="str">
        <f t="shared" si="564"/>
        <v/>
      </c>
      <c r="BL800" s="21"/>
      <c r="BM800" s="21" t="str">
        <f>IF(OR(COUNT(B800:D1799)=0,AND('Choix pédagogiques'!$C$3&lt;&gt;1,'Choix pédagogiques'!$C$3&lt;&gt;2)),"",IF(AND(OR('Choix pédagogiques'!$C$3=1,'Choix pédagogiques'!$C$3=2),$B800&lt;&gt;"",$C800&lt;&gt;"",$D800&lt;&gt;""),1,0))</f>
        <v/>
      </c>
      <c r="BN800" s="21" t="str">
        <f>IF(OR(COUNT(G800:I1799)=0,AND('Choix pédagogiques'!$C$3&lt;&gt;1,'Choix pédagogiques'!$C$3&lt;&gt;2)),"",IF(AND(OR('Choix pédagogiques'!$C$3=1,'Choix pédagogiques'!$C$3=2),AND($G800&lt;&gt;"",$H800&lt;&gt;"",$I800&lt;&gt;"")),1,0))</f>
        <v/>
      </c>
      <c r="BO800" s="21" t="str">
        <f>IF(OR(COUNT(B800:D1799)=0,COUNT(G800:I1799)=0,'Choix pédagogiques'!C$3&lt;&gt;3),"",IF(AND('Choix pédagogiques'!$C$3=3,$B800&lt;&gt;"",$C800&lt;&gt;"",$D800&lt;&gt;"",$G800&lt;&gt;"",$H800&lt;&gt;"",$I800&lt;&gt;""),1,0))</f>
        <v/>
      </c>
      <c r="BR800" s="21">
        <v>386</v>
      </c>
      <c r="BS800" s="21">
        <v>1377</v>
      </c>
      <c r="BT800"/>
    </row>
    <row r="801" spans="1:72" s="23" customFormat="1" ht="18" customHeight="1" x14ac:dyDescent="0.3">
      <c r="A801" s="35" t="s">
        <v>791</v>
      </c>
      <c r="B801" s="37"/>
      <c r="C801" s="37"/>
      <c r="D801" s="37"/>
      <c r="E801" s="37"/>
      <c r="F801" s="35" t="s">
        <v>1799</v>
      </c>
      <c r="G801" s="37"/>
      <c r="H801" s="37"/>
      <c r="I801" s="37"/>
      <c r="J801" s="37"/>
      <c r="K801" s="21" t="str">
        <f t="shared" si="539"/>
        <v>Apprenant 789</v>
      </c>
      <c r="L801" s="22" t="str">
        <f t="shared" si="540"/>
        <v/>
      </c>
      <c r="M801" s="22" t="str">
        <f t="shared" si="541"/>
        <v/>
      </c>
      <c r="N801" s="22" t="str">
        <f t="shared" si="542"/>
        <v/>
      </c>
      <c r="O801" s="22" t="str">
        <f t="shared" si="543"/>
        <v/>
      </c>
      <c r="P801" s="21" t="str">
        <f t="shared" si="544"/>
        <v>Apprenant 789 ou 789'</v>
      </c>
      <c r="Q801" s="22" t="str">
        <f t="shared" si="545"/>
        <v/>
      </c>
      <c r="R801" s="22" t="str">
        <f t="shared" si="546"/>
        <v/>
      </c>
      <c r="S801" s="22" t="str">
        <f t="shared" si="547"/>
        <v/>
      </c>
      <c r="T801" s="22" t="str">
        <f t="shared" si="548"/>
        <v/>
      </c>
      <c r="V801" s="21" t="str">
        <f t="shared" si="549"/>
        <v>Apprenant 789</v>
      </c>
      <c r="W801" s="22" t="str">
        <f>IF(AND(OR('Choix pédagogiques'!$C$3=1,'Choix pédagogiques'!$C$3=2),$BM801=1),B801,IF(AND('Choix pédagogiques'!$C$3=3,$BO801=1),B801,""))</f>
        <v/>
      </c>
      <c r="X801" s="22" t="str">
        <f>IF(AND(OR('Choix pédagogiques'!$C$3=1,'Choix pédagogiques'!$C$3=2),$BM801=1),C801,IF(AND('Choix pédagogiques'!$C$3=3,$BO801=1),C801,""))</f>
        <v/>
      </c>
      <c r="Y801" s="22" t="str">
        <f>IF(AND(OR('Choix pédagogiques'!$C$3=1,'Choix pédagogiques'!$C$3=2),$BM801=1),D801,IF(AND('Choix pédagogiques'!$C$3=3,$BO801=1),D801,""))</f>
        <v/>
      </c>
      <c r="Z801" s="22" t="str">
        <f t="shared" si="550"/>
        <v/>
      </c>
      <c r="AA801" s="21" t="str">
        <f t="shared" si="551"/>
        <v>Apprenant 789 ou 789'</v>
      </c>
      <c r="AB801" s="22" t="str">
        <f>IF(AND(OR('Choix pédagogiques'!$C$3=1,'Choix pédagogiques'!$C$3=2),$BN801=1),G801,IF(AND('Choix pédagogiques'!$C$3=3,$BO801=1),G801,""))</f>
        <v/>
      </c>
      <c r="AC801" s="22" t="str">
        <f>IF(AND(OR('Choix pédagogiques'!$C$3=1,'Choix pédagogiques'!$C$3=2),$BN801=1),H801,IF(AND('Choix pédagogiques'!$C$3=3,$BO801=1),H801,""))</f>
        <v/>
      </c>
      <c r="AD801" s="22" t="str">
        <f>IF(AND(OR('Choix pédagogiques'!$C$3=1,'Choix pédagogiques'!$C$3=2),$BN801=1),I801,IF(AND('Choix pédagogiques'!$C$3=3,$BO801=1),I801,""))</f>
        <v/>
      </c>
      <c r="AE801" s="22" t="str">
        <f t="shared" si="552"/>
        <v/>
      </c>
      <c r="AF801" s="21" t="str">
        <f t="shared" si="553"/>
        <v>Apprenant 789</v>
      </c>
      <c r="AG801" s="22" t="str">
        <f t="shared" si="527"/>
        <v/>
      </c>
      <c r="AH801" s="22" t="str">
        <f t="shared" si="528"/>
        <v/>
      </c>
      <c r="AI801" s="22" t="str">
        <f t="shared" si="529"/>
        <v/>
      </c>
      <c r="AJ801" s="22" t="str">
        <f t="shared" si="554"/>
        <v/>
      </c>
      <c r="AK801" s="21" t="str">
        <f t="shared" si="555"/>
        <v>Apprenant 789 ou 789'</v>
      </c>
      <c r="AL801" s="22" t="str">
        <f t="shared" si="530"/>
        <v/>
      </c>
      <c r="AM801" s="22" t="str">
        <f t="shared" si="531"/>
        <v/>
      </c>
      <c r="AN801" s="22" t="str">
        <f t="shared" si="532"/>
        <v/>
      </c>
      <c r="AO801" s="22" t="str">
        <f t="shared" si="556"/>
        <v/>
      </c>
      <c r="AQ801" s="21" t="str">
        <f t="shared" si="557"/>
        <v>Apprenant 789</v>
      </c>
      <c r="AR801" s="49" t="str">
        <f>IF(AND('Choix pédagogiques'!$C$4&lt;&gt;"?",'Choix pédagogiques'!$C$5&lt;&gt;"?",W801&lt;&gt;""),(W801-'Choix pédagogiques'!$C$4)/('Choix pédagogiques'!$C$5-'Choix pédagogiques'!$C$4),"")</f>
        <v/>
      </c>
      <c r="AS801" s="49" t="str">
        <f>IF(AND('Choix pédagogiques'!$C$4&lt;&gt;"?",'Choix pédagogiques'!$C$5&lt;&gt;"?",X801&lt;&gt;""),(X801-'Choix pédagogiques'!$C$4)/('Choix pédagogiques'!$C$5-'Choix pédagogiques'!$C$4),"")</f>
        <v/>
      </c>
      <c r="AT801" s="49" t="str">
        <f>IF(AND('Choix pédagogiques'!$C$4&lt;&gt;"?",'Choix pédagogiques'!$C$5&lt;&gt;"?",Y801&lt;&gt;""),(Y801-'Choix pédagogiques'!$C$4)/('Choix pédagogiques'!$C$5-'Choix pédagogiques'!$C$4),"")</f>
        <v/>
      </c>
      <c r="AU801" s="22" t="str">
        <f t="shared" si="558"/>
        <v/>
      </c>
      <c r="AV801" s="21" t="str">
        <f t="shared" si="559"/>
        <v>Apprenant 789 ou 789'</v>
      </c>
      <c r="AW801" s="49" t="str">
        <f>IF(AND('Choix pédagogiques'!$C$4&lt;&gt;"?",'Choix pédagogiques'!$C$5&lt;&gt;"?",AB801&lt;&gt;""),(AB801-'Choix pédagogiques'!$C$4)/('Choix pédagogiques'!$C$5-'Choix pédagogiques'!$C$4),"")</f>
        <v/>
      </c>
      <c r="AX801" s="49" t="str">
        <f>IF(AND('Choix pédagogiques'!$C$4&lt;&gt;"?",'Choix pédagogiques'!$C$5&lt;&gt;"?",AC801&lt;&gt;""),(AC801-'Choix pédagogiques'!$C$4)/('Choix pédagogiques'!$C$5-'Choix pédagogiques'!$C$4),"")</f>
        <v/>
      </c>
      <c r="AY801" s="49" t="str">
        <f>IF(AND('Choix pédagogiques'!$C$4&lt;&gt;"?",'Choix pédagogiques'!$C$5&lt;&gt;"?",AD801&lt;&gt;""),(AD801-'Choix pédagogiques'!$C$4)/('Choix pédagogiques'!$C$5-'Choix pédagogiques'!$C$4),"")</f>
        <v/>
      </c>
      <c r="AZ801" s="22" t="str">
        <f t="shared" si="560"/>
        <v/>
      </c>
      <c r="BA801" s="21" t="str">
        <f t="shared" si="561"/>
        <v>Apprenant 789</v>
      </c>
      <c r="BB801" s="49" t="str">
        <f t="shared" si="533"/>
        <v/>
      </c>
      <c r="BC801" s="49" t="str">
        <f t="shared" si="534"/>
        <v/>
      </c>
      <c r="BD801" s="49" t="str">
        <f t="shared" si="535"/>
        <v/>
      </c>
      <c r="BE801" s="22" t="str">
        <f t="shared" si="562"/>
        <v/>
      </c>
      <c r="BF801" s="21" t="str">
        <f t="shared" si="563"/>
        <v>Apprenant 789 ou 789'</v>
      </c>
      <c r="BG801" s="49" t="str">
        <f t="shared" si="536"/>
        <v/>
      </c>
      <c r="BH801" s="49" t="str">
        <f t="shared" si="537"/>
        <v/>
      </c>
      <c r="BI801" s="49" t="str">
        <f t="shared" si="538"/>
        <v/>
      </c>
      <c r="BJ801" s="22" t="str">
        <f t="shared" si="564"/>
        <v/>
      </c>
      <c r="BL801" s="21"/>
      <c r="BM801" s="21" t="str">
        <f>IF(OR(COUNT(B801:D1800)=0,AND('Choix pédagogiques'!$C$3&lt;&gt;1,'Choix pédagogiques'!$C$3&lt;&gt;2)),"",IF(AND(OR('Choix pédagogiques'!$C$3=1,'Choix pédagogiques'!$C$3=2),$B801&lt;&gt;"",$C801&lt;&gt;"",$D801&lt;&gt;""),1,0))</f>
        <v/>
      </c>
      <c r="BN801" s="21" t="str">
        <f>IF(OR(COUNT(G801:I1800)=0,AND('Choix pédagogiques'!$C$3&lt;&gt;1,'Choix pédagogiques'!$C$3&lt;&gt;2)),"",IF(AND(OR('Choix pédagogiques'!$C$3=1,'Choix pédagogiques'!$C$3=2),AND($G801&lt;&gt;"",$H801&lt;&gt;"",$I801&lt;&gt;"")),1,0))</f>
        <v/>
      </c>
      <c r="BO801" s="21" t="str">
        <f>IF(OR(COUNT(B801:D1800)=0,COUNT(G801:I1800)=0,'Choix pédagogiques'!C$3&lt;&gt;3),"",IF(AND('Choix pédagogiques'!$C$3=3,$B801&lt;&gt;"",$C801&lt;&gt;"",$D801&lt;&gt;"",$G801&lt;&gt;"",$H801&lt;&gt;"",$I801&lt;&gt;""),1,0))</f>
        <v/>
      </c>
      <c r="BR801" s="21">
        <v>123</v>
      </c>
      <c r="BS801" s="21">
        <v>1111</v>
      </c>
      <c r="BT801"/>
    </row>
    <row r="802" spans="1:72" s="23" customFormat="1" ht="18" customHeight="1" x14ac:dyDescent="0.3">
      <c r="A802" s="35" t="s">
        <v>792</v>
      </c>
      <c r="B802" s="37"/>
      <c r="C802" s="37"/>
      <c r="D802" s="37"/>
      <c r="E802" s="37"/>
      <c r="F802" s="35" t="s">
        <v>1800</v>
      </c>
      <c r="G802" s="37"/>
      <c r="H802" s="37"/>
      <c r="I802" s="37"/>
      <c r="J802" s="37"/>
      <c r="K802" s="21" t="str">
        <f t="shared" si="539"/>
        <v>Apprenant 790</v>
      </c>
      <c r="L802" s="22" t="str">
        <f t="shared" si="540"/>
        <v/>
      </c>
      <c r="M802" s="22" t="str">
        <f t="shared" si="541"/>
        <v/>
      </c>
      <c r="N802" s="22" t="str">
        <f t="shared" si="542"/>
        <v/>
      </c>
      <c r="O802" s="22" t="str">
        <f t="shared" si="543"/>
        <v/>
      </c>
      <c r="P802" s="21" t="str">
        <f t="shared" si="544"/>
        <v>Apprenant 790 ou 790'</v>
      </c>
      <c r="Q802" s="22" t="str">
        <f t="shared" si="545"/>
        <v/>
      </c>
      <c r="R802" s="22" t="str">
        <f t="shared" si="546"/>
        <v/>
      </c>
      <c r="S802" s="22" t="str">
        <f t="shared" si="547"/>
        <v/>
      </c>
      <c r="T802" s="22" t="str">
        <f t="shared" si="548"/>
        <v/>
      </c>
      <c r="V802" s="21" t="str">
        <f t="shared" si="549"/>
        <v>Apprenant 790</v>
      </c>
      <c r="W802" s="22" t="str">
        <f>IF(AND(OR('Choix pédagogiques'!$C$3=1,'Choix pédagogiques'!$C$3=2),$BM802=1),B802,IF(AND('Choix pédagogiques'!$C$3=3,$BO802=1),B802,""))</f>
        <v/>
      </c>
      <c r="X802" s="22" t="str">
        <f>IF(AND(OR('Choix pédagogiques'!$C$3=1,'Choix pédagogiques'!$C$3=2),$BM802=1),C802,IF(AND('Choix pédagogiques'!$C$3=3,$BO802=1),C802,""))</f>
        <v/>
      </c>
      <c r="Y802" s="22" t="str">
        <f>IF(AND(OR('Choix pédagogiques'!$C$3=1,'Choix pédagogiques'!$C$3=2),$BM802=1),D802,IF(AND('Choix pédagogiques'!$C$3=3,$BO802=1),D802,""))</f>
        <v/>
      </c>
      <c r="Z802" s="22" t="str">
        <f t="shared" si="550"/>
        <v/>
      </c>
      <c r="AA802" s="21" t="str">
        <f t="shared" si="551"/>
        <v>Apprenant 790 ou 790'</v>
      </c>
      <c r="AB802" s="22" t="str">
        <f>IF(AND(OR('Choix pédagogiques'!$C$3=1,'Choix pédagogiques'!$C$3=2),$BN802=1),G802,IF(AND('Choix pédagogiques'!$C$3=3,$BO802=1),G802,""))</f>
        <v/>
      </c>
      <c r="AC802" s="22" t="str">
        <f>IF(AND(OR('Choix pédagogiques'!$C$3=1,'Choix pédagogiques'!$C$3=2),$BN802=1),H802,IF(AND('Choix pédagogiques'!$C$3=3,$BO802=1),H802,""))</f>
        <v/>
      </c>
      <c r="AD802" s="22" t="str">
        <f>IF(AND(OR('Choix pédagogiques'!$C$3=1,'Choix pédagogiques'!$C$3=2),$BN802=1),I802,IF(AND('Choix pédagogiques'!$C$3=3,$BO802=1),I802,""))</f>
        <v/>
      </c>
      <c r="AE802" s="22" t="str">
        <f t="shared" si="552"/>
        <v/>
      </c>
      <c r="AF802" s="21" t="str">
        <f t="shared" si="553"/>
        <v>Apprenant 790</v>
      </c>
      <c r="AG802" s="22" t="str">
        <f t="shared" si="527"/>
        <v/>
      </c>
      <c r="AH802" s="22" t="str">
        <f t="shared" si="528"/>
        <v/>
      </c>
      <c r="AI802" s="22" t="str">
        <f t="shared" si="529"/>
        <v/>
      </c>
      <c r="AJ802" s="22" t="str">
        <f t="shared" si="554"/>
        <v/>
      </c>
      <c r="AK802" s="21" t="str">
        <f t="shared" si="555"/>
        <v>Apprenant 790 ou 790'</v>
      </c>
      <c r="AL802" s="22" t="str">
        <f t="shared" si="530"/>
        <v/>
      </c>
      <c r="AM802" s="22" t="str">
        <f t="shared" si="531"/>
        <v/>
      </c>
      <c r="AN802" s="22" t="str">
        <f t="shared" si="532"/>
        <v/>
      </c>
      <c r="AO802" s="22" t="str">
        <f t="shared" si="556"/>
        <v/>
      </c>
      <c r="AQ802" s="21" t="str">
        <f t="shared" si="557"/>
        <v>Apprenant 790</v>
      </c>
      <c r="AR802" s="49" t="str">
        <f>IF(AND('Choix pédagogiques'!$C$4&lt;&gt;"?",'Choix pédagogiques'!$C$5&lt;&gt;"?",W802&lt;&gt;""),(W802-'Choix pédagogiques'!$C$4)/('Choix pédagogiques'!$C$5-'Choix pédagogiques'!$C$4),"")</f>
        <v/>
      </c>
      <c r="AS802" s="49" t="str">
        <f>IF(AND('Choix pédagogiques'!$C$4&lt;&gt;"?",'Choix pédagogiques'!$C$5&lt;&gt;"?",X802&lt;&gt;""),(X802-'Choix pédagogiques'!$C$4)/('Choix pédagogiques'!$C$5-'Choix pédagogiques'!$C$4),"")</f>
        <v/>
      </c>
      <c r="AT802" s="49" t="str">
        <f>IF(AND('Choix pédagogiques'!$C$4&lt;&gt;"?",'Choix pédagogiques'!$C$5&lt;&gt;"?",Y802&lt;&gt;""),(Y802-'Choix pédagogiques'!$C$4)/('Choix pédagogiques'!$C$5-'Choix pédagogiques'!$C$4),"")</f>
        <v/>
      </c>
      <c r="AU802" s="22" t="str">
        <f t="shared" si="558"/>
        <v/>
      </c>
      <c r="AV802" s="21" t="str">
        <f t="shared" si="559"/>
        <v>Apprenant 790 ou 790'</v>
      </c>
      <c r="AW802" s="49" t="str">
        <f>IF(AND('Choix pédagogiques'!$C$4&lt;&gt;"?",'Choix pédagogiques'!$C$5&lt;&gt;"?",AB802&lt;&gt;""),(AB802-'Choix pédagogiques'!$C$4)/('Choix pédagogiques'!$C$5-'Choix pédagogiques'!$C$4),"")</f>
        <v/>
      </c>
      <c r="AX802" s="49" t="str">
        <f>IF(AND('Choix pédagogiques'!$C$4&lt;&gt;"?",'Choix pédagogiques'!$C$5&lt;&gt;"?",AC802&lt;&gt;""),(AC802-'Choix pédagogiques'!$C$4)/('Choix pédagogiques'!$C$5-'Choix pédagogiques'!$C$4),"")</f>
        <v/>
      </c>
      <c r="AY802" s="49" t="str">
        <f>IF(AND('Choix pédagogiques'!$C$4&lt;&gt;"?",'Choix pédagogiques'!$C$5&lt;&gt;"?",AD802&lt;&gt;""),(AD802-'Choix pédagogiques'!$C$4)/('Choix pédagogiques'!$C$5-'Choix pédagogiques'!$C$4),"")</f>
        <v/>
      </c>
      <c r="AZ802" s="22" t="str">
        <f t="shared" si="560"/>
        <v/>
      </c>
      <c r="BA802" s="21" t="str">
        <f t="shared" si="561"/>
        <v>Apprenant 790</v>
      </c>
      <c r="BB802" s="49" t="str">
        <f t="shared" si="533"/>
        <v/>
      </c>
      <c r="BC802" s="49" t="str">
        <f t="shared" si="534"/>
        <v/>
      </c>
      <c r="BD802" s="49" t="str">
        <f t="shared" si="535"/>
        <v/>
      </c>
      <c r="BE802" s="22" t="str">
        <f t="shared" si="562"/>
        <v/>
      </c>
      <c r="BF802" s="21" t="str">
        <f t="shared" si="563"/>
        <v>Apprenant 790 ou 790'</v>
      </c>
      <c r="BG802" s="49" t="str">
        <f t="shared" si="536"/>
        <v/>
      </c>
      <c r="BH802" s="49" t="str">
        <f t="shared" si="537"/>
        <v/>
      </c>
      <c r="BI802" s="49" t="str">
        <f t="shared" si="538"/>
        <v/>
      </c>
      <c r="BJ802" s="22" t="str">
        <f t="shared" si="564"/>
        <v/>
      </c>
      <c r="BL802" s="21"/>
      <c r="BM802" s="21" t="str">
        <f>IF(OR(COUNT(B802:D1801)=0,AND('Choix pédagogiques'!$C$3&lt;&gt;1,'Choix pédagogiques'!$C$3&lt;&gt;2)),"",IF(AND(OR('Choix pédagogiques'!$C$3=1,'Choix pédagogiques'!$C$3=2),$B802&lt;&gt;"",$C802&lt;&gt;"",$D802&lt;&gt;""),1,0))</f>
        <v/>
      </c>
      <c r="BN802" s="21" t="str">
        <f>IF(OR(COUNT(G802:I1801)=0,AND('Choix pédagogiques'!$C$3&lt;&gt;1,'Choix pédagogiques'!$C$3&lt;&gt;2)),"",IF(AND(OR('Choix pédagogiques'!$C$3=1,'Choix pédagogiques'!$C$3=2),AND($G802&lt;&gt;"",$H802&lt;&gt;"",$I802&lt;&gt;"")),1,0))</f>
        <v/>
      </c>
      <c r="BO802" s="21" t="str">
        <f>IF(OR(COUNT(B802:D1801)=0,COUNT(G802:I1801)=0,'Choix pédagogiques'!C$3&lt;&gt;3),"",IF(AND('Choix pédagogiques'!$C$3=3,$B802&lt;&gt;"",$C802&lt;&gt;"",$D802&lt;&gt;"",$G802&lt;&gt;"",$H802&lt;&gt;"",$I802&lt;&gt;""),1,0))</f>
        <v/>
      </c>
      <c r="BR802" s="21">
        <v>342</v>
      </c>
      <c r="BS802" s="21">
        <v>1200</v>
      </c>
      <c r="BT802"/>
    </row>
    <row r="803" spans="1:72" s="23" customFormat="1" ht="18" customHeight="1" x14ac:dyDescent="0.3">
      <c r="A803" s="35" t="s">
        <v>793</v>
      </c>
      <c r="B803" s="37"/>
      <c r="C803" s="37"/>
      <c r="D803" s="37"/>
      <c r="E803" s="37"/>
      <c r="F803" s="35" t="s">
        <v>1801</v>
      </c>
      <c r="G803" s="37"/>
      <c r="H803" s="37"/>
      <c r="I803" s="37"/>
      <c r="J803" s="37"/>
      <c r="K803" s="21" t="str">
        <f t="shared" si="539"/>
        <v>Apprenant 791</v>
      </c>
      <c r="L803" s="22" t="str">
        <f t="shared" si="540"/>
        <v/>
      </c>
      <c r="M803" s="22" t="str">
        <f t="shared" si="541"/>
        <v/>
      </c>
      <c r="N803" s="22" t="str">
        <f t="shared" si="542"/>
        <v/>
      </c>
      <c r="O803" s="22" t="str">
        <f t="shared" si="543"/>
        <v/>
      </c>
      <c r="P803" s="21" t="str">
        <f t="shared" si="544"/>
        <v>Apprenant 791 ou 791'</v>
      </c>
      <c r="Q803" s="22" t="str">
        <f t="shared" si="545"/>
        <v/>
      </c>
      <c r="R803" s="22" t="str">
        <f t="shared" si="546"/>
        <v/>
      </c>
      <c r="S803" s="22" t="str">
        <f t="shared" si="547"/>
        <v/>
      </c>
      <c r="T803" s="22" t="str">
        <f t="shared" si="548"/>
        <v/>
      </c>
      <c r="V803" s="21" t="str">
        <f t="shared" si="549"/>
        <v>Apprenant 791</v>
      </c>
      <c r="W803" s="22" t="str">
        <f>IF(AND(OR('Choix pédagogiques'!$C$3=1,'Choix pédagogiques'!$C$3=2),$BM803=1),B803,IF(AND('Choix pédagogiques'!$C$3=3,$BO803=1),B803,""))</f>
        <v/>
      </c>
      <c r="X803" s="22" t="str">
        <f>IF(AND(OR('Choix pédagogiques'!$C$3=1,'Choix pédagogiques'!$C$3=2),$BM803=1),C803,IF(AND('Choix pédagogiques'!$C$3=3,$BO803=1),C803,""))</f>
        <v/>
      </c>
      <c r="Y803" s="22" t="str">
        <f>IF(AND(OR('Choix pédagogiques'!$C$3=1,'Choix pédagogiques'!$C$3=2),$BM803=1),D803,IF(AND('Choix pédagogiques'!$C$3=3,$BO803=1),D803,""))</f>
        <v/>
      </c>
      <c r="Z803" s="22" t="str">
        <f t="shared" si="550"/>
        <v/>
      </c>
      <c r="AA803" s="21" t="str">
        <f t="shared" si="551"/>
        <v>Apprenant 791 ou 791'</v>
      </c>
      <c r="AB803" s="22" t="str">
        <f>IF(AND(OR('Choix pédagogiques'!$C$3=1,'Choix pédagogiques'!$C$3=2),$BN803=1),G803,IF(AND('Choix pédagogiques'!$C$3=3,$BO803=1),G803,""))</f>
        <v/>
      </c>
      <c r="AC803" s="22" t="str">
        <f>IF(AND(OR('Choix pédagogiques'!$C$3=1,'Choix pédagogiques'!$C$3=2),$BN803=1),H803,IF(AND('Choix pédagogiques'!$C$3=3,$BO803=1),H803,""))</f>
        <v/>
      </c>
      <c r="AD803" s="22" t="str">
        <f>IF(AND(OR('Choix pédagogiques'!$C$3=1,'Choix pédagogiques'!$C$3=2),$BN803=1),I803,IF(AND('Choix pédagogiques'!$C$3=3,$BO803=1),I803,""))</f>
        <v/>
      </c>
      <c r="AE803" s="22" t="str">
        <f t="shared" si="552"/>
        <v/>
      </c>
      <c r="AF803" s="21" t="str">
        <f t="shared" si="553"/>
        <v>Apprenant 791</v>
      </c>
      <c r="AG803" s="22" t="str">
        <f t="shared" si="527"/>
        <v/>
      </c>
      <c r="AH803" s="22" t="str">
        <f t="shared" si="528"/>
        <v/>
      </c>
      <c r="AI803" s="22" t="str">
        <f t="shared" si="529"/>
        <v/>
      </c>
      <c r="AJ803" s="22" t="str">
        <f t="shared" si="554"/>
        <v/>
      </c>
      <c r="AK803" s="21" t="str">
        <f t="shared" si="555"/>
        <v>Apprenant 791 ou 791'</v>
      </c>
      <c r="AL803" s="22" t="str">
        <f t="shared" si="530"/>
        <v/>
      </c>
      <c r="AM803" s="22" t="str">
        <f t="shared" si="531"/>
        <v/>
      </c>
      <c r="AN803" s="22" t="str">
        <f t="shared" si="532"/>
        <v/>
      </c>
      <c r="AO803" s="22" t="str">
        <f t="shared" si="556"/>
        <v/>
      </c>
      <c r="AQ803" s="21" t="str">
        <f t="shared" si="557"/>
        <v>Apprenant 791</v>
      </c>
      <c r="AR803" s="49" t="str">
        <f>IF(AND('Choix pédagogiques'!$C$4&lt;&gt;"?",'Choix pédagogiques'!$C$5&lt;&gt;"?",W803&lt;&gt;""),(W803-'Choix pédagogiques'!$C$4)/('Choix pédagogiques'!$C$5-'Choix pédagogiques'!$C$4),"")</f>
        <v/>
      </c>
      <c r="AS803" s="49" t="str">
        <f>IF(AND('Choix pédagogiques'!$C$4&lt;&gt;"?",'Choix pédagogiques'!$C$5&lt;&gt;"?",X803&lt;&gt;""),(X803-'Choix pédagogiques'!$C$4)/('Choix pédagogiques'!$C$5-'Choix pédagogiques'!$C$4),"")</f>
        <v/>
      </c>
      <c r="AT803" s="49" t="str">
        <f>IF(AND('Choix pédagogiques'!$C$4&lt;&gt;"?",'Choix pédagogiques'!$C$5&lt;&gt;"?",Y803&lt;&gt;""),(Y803-'Choix pédagogiques'!$C$4)/('Choix pédagogiques'!$C$5-'Choix pédagogiques'!$C$4),"")</f>
        <v/>
      </c>
      <c r="AU803" s="22" t="str">
        <f t="shared" si="558"/>
        <v/>
      </c>
      <c r="AV803" s="21" t="str">
        <f t="shared" si="559"/>
        <v>Apprenant 791 ou 791'</v>
      </c>
      <c r="AW803" s="49" t="str">
        <f>IF(AND('Choix pédagogiques'!$C$4&lt;&gt;"?",'Choix pédagogiques'!$C$5&lt;&gt;"?",AB803&lt;&gt;""),(AB803-'Choix pédagogiques'!$C$4)/('Choix pédagogiques'!$C$5-'Choix pédagogiques'!$C$4),"")</f>
        <v/>
      </c>
      <c r="AX803" s="49" t="str">
        <f>IF(AND('Choix pédagogiques'!$C$4&lt;&gt;"?",'Choix pédagogiques'!$C$5&lt;&gt;"?",AC803&lt;&gt;""),(AC803-'Choix pédagogiques'!$C$4)/('Choix pédagogiques'!$C$5-'Choix pédagogiques'!$C$4),"")</f>
        <v/>
      </c>
      <c r="AY803" s="49" t="str">
        <f>IF(AND('Choix pédagogiques'!$C$4&lt;&gt;"?",'Choix pédagogiques'!$C$5&lt;&gt;"?",AD803&lt;&gt;""),(AD803-'Choix pédagogiques'!$C$4)/('Choix pédagogiques'!$C$5-'Choix pédagogiques'!$C$4),"")</f>
        <v/>
      </c>
      <c r="AZ803" s="22" t="str">
        <f t="shared" si="560"/>
        <v/>
      </c>
      <c r="BA803" s="21" t="str">
        <f t="shared" si="561"/>
        <v>Apprenant 791</v>
      </c>
      <c r="BB803" s="49" t="str">
        <f t="shared" si="533"/>
        <v/>
      </c>
      <c r="BC803" s="49" t="str">
        <f t="shared" si="534"/>
        <v/>
      </c>
      <c r="BD803" s="49" t="str">
        <f t="shared" si="535"/>
        <v/>
      </c>
      <c r="BE803" s="22" t="str">
        <f t="shared" si="562"/>
        <v/>
      </c>
      <c r="BF803" s="21" t="str">
        <f t="shared" si="563"/>
        <v>Apprenant 791 ou 791'</v>
      </c>
      <c r="BG803" s="49" t="str">
        <f t="shared" si="536"/>
        <v/>
      </c>
      <c r="BH803" s="49" t="str">
        <f t="shared" si="537"/>
        <v/>
      </c>
      <c r="BI803" s="49" t="str">
        <f t="shared" si="538"/>
        <v/>
      </c>
      <c r="BJ803" s="22" t="str">
        <f t="shared" si="564"/>
        <v/>
      </c>
      <c r="BL803" s="21"/>
      <c r="BM803" s="21" t="str">
        <f>IF(OR(COUNT(B803:D1802)=0,AND('Choix pédagogiques'!$C$3&lt;&gt;1,'Choix pédagogiques'!$C$3&lt;&gt;2)),"",IF(AND(OR('Choix pédagogiques'!$C$3=1,'Choix pédagogiques'!$C$3=2),$B803&lt;&gt;"",$C803&lt;&gt;"",$D803&lt;&gt;""),1,0))</f>
        <v/>
      </c>
      <c r="BN803" s="21" t="str">
        <f>IF(OR(COUNT(G803:I1802)=0,AND('Choix pédagogiques'!$C$3&lt;&gt;1,'Choix pédagogiques'!$C$3&lt;&gt;2)),"",IF(AND(OR('Choix pédagogiques'!$C$3=1,'Choix pédagogiques'!$C$3=2),AND($G803&lt;&gt;"",$H803&lt;&gt;"",$I803&lt;&gt;"")),1,0))</f>
        <v/>
      </c>
      <c r="BO803" s="21" t="str">
        <f>IF(OR(COUNT(B803:D1802)=0,COUNT(G803:I1802)=0,'Choix pédagogiques'!C$3&lt;&gt;3),"",IF(AND('Choix pédagogiques'!$C$3=3,$B803&lt;&gt;"",$C803&lt;&gt;"",$D803&lt;&gt;"",$G803&lt;&gt;"",$H803&lt;&gt;"",$I803&lt;&gt;""),1,0))</f>
        <v/>
      </c>
      <c r="BR803" s="21">
        <v>388</v>
      </c>
      <c r="BS803" s="21">
        <v>1138</v>
      </c>
      <c r="BT803"/>
    </row>
    <row r="804" spans="1:72" s="23" customFormat="1" ht="18" customHeight="1" x14ac:dyDescent="0.3">
      <c r="A804" s="35" t="s">
        <v>794</v>
      </c>
      <c r="B804" s="37"/>
      <c r="C804" s="37"/>
      <c r="D804" s="37"/>
      <c r="E804" s="37"/>
      <c r="F804" s="35" t="s">
        <v>1802</v>
      </c>
      <c r="G804" s="37"/>
      <c r="H804" s="37"/>
      <c r="I804" s="37"/>
      <c r="J804" s="37"/>
      <c r="K804" s="21" t="str">
        <f t="shared" si="539"/>
        <v>Apprenant 792</v>
      </c>
      <c r="L804" s="22" t="str">
        <f t="shared" si="540"/>
        <v/>
      </c>
      <c r="M804" s="22" t="str">
        <f t="shared" si="541"/>
        <v/>
      </c>
      <c r="N804" s="22" t="str">
        <f t="shared" si="542"/>
        <v/>
      </c>
      <c r="O804" s="22" t="str">
        <f t="shared" si="543"/>
        <v/>
      </c>
      <c r="P804" s="21" t="str">
        <f t="shared" si="544"/>
        <v>Apprenant 792 ou 792'</v>
      </c>
      <c r="Q804" s="22" t="str">
        <f t="shared" si="545"/>
        <v/>
      </c>
      <c r="R804" s="22" t="str">
        <f t="shared" si="546"/>
        <v/>
      </c>
      <c r="S804" s="22" t="str">
        <f t="shared" si="547"/>
        <v/>
      </c>
      <c r="T804" s="22" t="str">
        <f t="shared" si="548"/>
        <v/>
      </c>
      <c r="V804" s="21" t="str">
        <f t="shared" si="549"/>
        <v>Apprenant 792</v>
      </c>
      <c r="W804" s="22" t="str">
        <f>IF(AND(OR('Choix pédagogiques'!$C$3=1,'Choix pédagogiques'!$C$3=2),$BM804=1),B804,IF(AND('Choix pédagogiques'!$C$3=3,$BO804=1),B804,""))</f>
        <v/>
      </c>
      <c r="X804" s="22" t="str">
        <f>IF(AND(OR('Choix pédagogiques'!$C$3=1,'Choix pédagogiques'!$C$3=2),$BM804=1),C804,IF(AND('Choix pédagogiques'!$C$3=3,$BO804=1),C804,""))</f>
        <v/>
      </c>
      <c r="Y804" s="22" t="str">
        <f>IF(AND(OR('Choix pédagogiques'!$C$3=1,'Choix pédagogiques'!$C$3=2),$BM804=1),D804,IF(AND('Choix pédagogiques'!$C$3=3,$BO804=1),D804,""))</f>
        <v/>
      </c>
      <c r="Z804" s="22" t="str">
        <f t="shared" si="550"/>
        <v/>
      </c>
      <c r="AA804" s="21" t="str">
        <f t="shared" si="551"/>
        <v>Apprenant 792 ou 792'</v>
      </c>
      <c r="AB804" s="22" t="str">
        <f>IF(AND(OR('Choix pédagogiques'!$C$3=1,'Choix pédagogiques'!$C$3=2),$BN804=1),G804,IF(AND('Choix pédagogiques'!$C$3=3,$BO804=1),G804,""))</f>
        <v/>
      </c>
      <c r="AC804" s="22" t="str">
        <f>IF(AND(OR('Choix pédagogiques'!$C$3=1,'Choix pédagogiques'!$C$3=2),$BN804=1),H804,IF(AND('Choix pédagogiques'!$C$3=3,$BO804=1),H804,""))</f>
        <v/>
      </c>
      <c r="AD804" s="22" t="str">
        <f>IF(AND(OR('Choix pédagogiques'!$C$3=1,'Choix pédagogiques'!$C$3=2),$BN804=1),I804,IF(AND('Choix pédagogiques'!$C$3=3,$BO804=1),I804,""))</f>
        <v/>
      </c>
      <c r="AE804" s="22" t="str">
        <f t="shared" si="552"/>
        <v/>
      </c>
      <c r="AF804" s="21" t="str">
        <f t="shared" si="553"/>
        <v>Apprenant 792</v>
      </c>
      <c r="AG804" s="22" t="str">
        <f t="shared" si="527"/>
        <v/>
      </c>
      <c r="AH804" s="22" t="str">
        <f t="shared" si="528"/>
        <v/>
      </c>
      <c r="AI804" s="22" t="str">
        <f t="shared" si="529"/>
        <v/>
      </c>
      <c r="AJ804" s="22" t="str">
        <f t="shared" si="554"/>
        <v/>
      </c>
      <c r="AK804" s="21" t="str">
        <f t="shared" si="555"/>
        <v>Apprenant 792 ou 792'</v>
      </c>
      <c r="AL804" s="22" t="str">
        <f t="shared" si="530"/>
        <v/>
      </c>
      <c r="AM804" s="22" t="str">
        <f t="shared" si="531"/>
        <v/>
      </c>
      <c r="AN804" s="22" t="str">
        <f t="shared" si="532"/>
        <v/>
      </c>
      <c r="AO804" s="22" t="str">
        <f t="shared" si="556"/>
        <v/>
      </c>
      <c r="AQ804" s="21" t="str">
        <f t="shared" si="557"/>
        <v>Apprenant 792</v>
      </c>
      <c r="AR804" s="49" t="str">
        <f>IF(AND('Choix pédagogiques'!$C$4&lt;&gt;"?",'Choix pédagogiques'!$C$5&lt;&gt;"?",W804&lt;&gt;""),(W804-'Choix pédagogiques'!$C$4)/('Choix pédagogiques'!$C$5-'Choix pédagogiques'!$C$4),"")</f>
        <v/>
      </c>
      <c r="AS804" s="49" t="str">
        <f>IF(AND('Choix pédagogiques'!$C$4&lt;&gt;"?",'Choix pédagogiques'!$C$5&lt;&gt;"?",X804&lt;&gt;""),(X804-'Choix pédagogiques'!$C$4)/('Choix pédagogiques'!$C$5-'Choix pédagogiques'!$C$4),"")</f>
        <v/>
      </c>
      <c r="AT804" s="49" t="str">
        <f>IF(AND('Choix pédagogiques'!$C$4&lt;&gt;"?",'Choix pédagogiques'!$C$5&lt;&gt;"?",Y804&lt;&gt;""),(Y804-'Choix pédagogiques'!$C$4)/('Choix pédagogiques'!$C$5-'Choix pédagogiques'!$C$4),"")</f>
        <v/>
      </c>
      <c r="AU804" s="22" t="str">
        <f t="shared" si="558"/>
        <v/>
      </c>
      <c r="AV804" s="21" t="str">
        <f t="shared" si="559"/>
        <v>Apprenant 792 ou 792'</v>
      </c>
      <c r="AW804" s="49" t="str">
        <f>IF(AND('Choix pédagogiques'!$C$4&lt;&gt;"?",'Choix pédagogiques'!$C$5&lt;&gt;"?",AB804&lt;&gt;""),(AB804-'Choix pédagogiques'!$C$4)/('Choix pédagogiques'!$C$5-'Choix pédagogiques'!$C$4),"")</f>
        <v/>
      </c>
      <c r="AX804" s="49" t="str">
        <f>IF(AND('Choix pédagogiques'!$C$4&lt;&gt;"?",'Choix pédagogiques'!$C$5&lt;&gt;"?",AC804&lt;&gt;""),(AC804-'Choix pédagogiques'!$C$4)/('Choix pédagogiques'!$C$5-'Choix pédagogiques'!$C$4),"")</f>
        <v/>
      </c>
      <c r="AY804" s="49" t="str">
        <f>IF(AND('Choix pédagogiques'!$C$4&lt;&gt;"?",'Choix pédagogiques'!$C$5&lt;&gt;"?",AD804&lt;&gt;""),(AD804-'Choix pédagogiques'!$C$4)/('Choix pédagogiques'!$C$5-'Choix pédagogiques'!$C$4),"")</f>
        <v/>
      </c>
      <c r="AZ804" s="22" t="str">
        <f t="shared" si="560"/>
        <v/>
      </c>
      <c r="BA804" s="21" t="str">
        <f t="shared" si="561"/>
        <v>Apprenant 792</v>
      </c>
      <c r="BB804" s="49" t="str">
        <f t="shared" si="533"/>
        <v/>
      </c>
      <c r="BC804" s="49" t="str">
        <f t="shared" si="534"/>
        <v/>
      </c>
      <c r="BD804" s="49" t="str">
        <f t="shared" si="535"/>
        <v/>
      </c>
      <c r="BE804" s="22" t="str">
        <f t="shared" si="562"/>
        <v/>
      </c>
      <c r="BF804" s="21" t="str">
        <f t="shared" si="563"/>
        <v>Apprenant 792 ou 792'</v>
      </c>
      <c r="BG804" s="49" t="str">
        <f t="shared" si="536"/>
        <v/>
      </c>
      <c r="BH804" s="49" t="str">
        <f t="shared" si="537"/>
        <v/>
      </c>
      <c r="BI804" s="49" t="str">
        <f t="shared" si="538"/>
        <v/>
      </c>
      <c r="BJ804" s="22" t="str">
        <f t="shared" si="564"/>
        <v/>
      </c>
      <c r="BL804" s="21"/>
      <c r="BM804" s="21" t="str">
        <f>IF(OR(COUNT(B804:D1803)=0,AND('Choix pédagogiques'!$C$3&lt;&gt;1,'Choix pédagogiques'!$C$3&lt;&gt;2)),"",IF(AND(OR('Choix pédagogiques'!$C$3=1,'Choix pédagogiques'!$C$3=2),$B804&lt;&gt;"",$C804&lt;&gt;"",$D804&lt;&gt;""),1,0))</f>
        <v/>
      </c>
      <c r="BN804" s="21" t="str">
        <f>IF(OR(COUNT(G804:I1803)=0,AND('Choix pédagogiques'!$C$3&lt;&gt;1,'Choix pédagogiques'!$C$3&lt;&gt;2)),"",IF(AND(OR('Choix pédagogiques'!$C$3=1,'Choix pédagogiques'!$C$3=2),AND($G804&lt;&gt;"",$H804&lt;&gt;"",$I804&lt;&gt;"")),1,0))</f>
        <v/>
      </c>
      <c r="BO804" s="21" t="str">
        <f>IF(OR(COUNT(B804:D1803)=0,COUNT(G804:I1803)=0,'Choix pédagogiques'!C$3&lt;&gt;3),"",IF(AND('Choix pédagogiques'!$C$3=3,$B804&lt;&gt;"",$C804&lt;&gt;"",$D804&lt;&gt;"",$G804&lt;&gt;"",$H804&lt;&gt;"",$I804&lt;&gt;""),1,0))</f>
        <v/>
      </c>
      <c r="BR804" s="21">
        <v>914</v>
      </c>
      <c r="BS804" s="21">
        <v>1001</v>
      </c>
      <c r="BT804"/>
    </row>
    <row r="805" spans="1:72" s="23" customFormat="1" ht="18" customHeight="1" x14ac:dyDescent="0.3">
      <c r="A805" s="35" t="s">
        <v>795</v>
      </c>
      <c r="B805" s="37"/>
      <c r="C805" s="37"/>
      <c r="D805" s="37"/>
      <c r="E805" s="37"/>
      <c r="F805" s="35" t="s">
        <v>1803</v>
      </c>
      <c r="G805" s="37"/>
      <c r="H805" s="37"/>
      <c r="I805" s="37"/>
      <c r="J805" s="37"/>
      <c r="K805" s="21" t="str">
        <f t="shared" si="539"/>
        <v>Apprenant 793</v>
      </c>
      <c r="L805" s="22" t="str">
        <f t="shared" si="540"/>
        <v/>
      </c>
      <c r="M805" s="22" t="str">
        <f t="shared" si="541"/>
        <v/>
      </c>
      <c r="N805" s="22" t="str">
        <f t="shared" si="542"/>
        <v/>
      </c>
      <c r="O805" s="22" t="str">
        <f t="shared" si="543"/>
        <v/>
      </c>
      <c r="P805" s="21" t="str">
        <f t="shared" si="544"/>
        <v>Apprenant 793 ou 793'</v>
      </c>
      <c r="Q805" s="22" t="str">
        <f t="shared" si="545"/>
        <v/>
      </c>
      <c r="R805" s="22" t="str">
        <f t="shared" si="546"/>
        <v/>
      </c>
      <c r="S805" s="22" t="str">
        <f t="shared" si="547"/>
        <v/>
      </c>
      <c r="T805" s="22" t="str">
        <f t="shared" si="548"/>
        <v/>
      </c>
      <c r="V805" s="21" t="str">
        <f t="shared" si="549"/>
        <v>Apprenant 793</v>
      </c>
      <c r="W805" s="22" t="str">
        <f>IF(AND(OR('Choix pédagogiques'!$C$3=1,'Choix pédagogiques'!$C$3=2),$BM805=1),B805,IF(AND('Choix pédagogiques'!$C$3=3,$BO805=1),B805,""))</f>
        <v/>
      </c>
      <c r="X805" s="22" t="str">
        <f>IF(AND(OR('Choix pédagogiques'!$C$3=1,'Choix pédagogiques'!$C$3=2),$BM805=1),C805,IF(AND('Choix pédagogiques'!$C$3=3,$BO805=1),C805,""))</f>
        <v/>
      </c>
      <c r="Y805" s="22" t="str">
        <f>IF(AND(OR('Choix pédagogiques'!$C$3=1,'Choix pédagogiques'!$C$3=2),$BM805=1),D805,IF(AND('Choix pédagogiques'!$C$3=3,$BO805=1),D805,""))</f>
        <v/>
      </c>
      <c r="Z805" s="22" t="str">
        <f t="shared" si="550"/>
        <v/>
      </c>
      <c r="AA805" s="21" t="str">
        <f t="shared" si="551"/>
        <v>Apprenant 793 ou 793'</v>
      </c>
      <c r="AB805" s="22" t="str">
        <f>IF(AND(OR('Choix pédagogiques'!$C$3=1,'Choix pédagogiques'!$C$3=2),$BN805=1),G805,IF(AND('Choix pédagogiques'!$C$3=3,$BO805=1),G805,""))</f>
        <v/>
      </c>
      <c r="AC805" s="22" t="str">
        <f>IF(AND(OR('Choix pédagogiques'!$C$3=1,'Choix pédagogiques'!$C$3=2),$BN805=1),H805,IF(AND('Choix pédagogiques'!$C$3=3,$BO805=1),H805,""))</f>
        <v/>
      </c>
      <c r="AD805" s="22" t="str">
        <f>IF(AND(OR('Choix pédagogiques'!$C$3=1,'Choix pédagogiques'!$C$3=2),$BN805=1),I805,IF(AND('Choix pédagogiques'!$C$3=3,$BO805=1),I805,""))</f>
        <v/>
      </c>
      <c r="AE805" s="22" t="str">
        <f t="shared" si="552"/>
        <v/>
      </c>
      <c r="AF805" s="21" t="str">
        <f t="shared" si="553"/>
        <v>Apprenant 793</v>
      </c>
      <c r="AG805" s="22" t="str">
        <f t="shared" si="527"/>
        <v/>
      </c>
      <c r="AH805" s="22" t="str">
        <f t="shared" si="528"/>
        <v/>
      </c>
      <c r="AI805" s="22" t="str">
        <f t="shared" si="529"/>
        <v/>
      </c>
      <c r="AJ805" s="22" t="str">
        <f t="shared" si="554"/>
        <v/>
      </c>
      <c r="AK805" s="21" t="str">
        <f t="shared" si="555"/>
        <v>Apprenant 793 ou 793'</v>
      </c>
      <c r="AL805" s="22" t="str">
        <f t="shared" si="530"/>
        <v/>
      </c>
      <c r="AM805" s="22" t="str">
        <f t="shared" si="531"/>
        <v/>
      </c>
      <c r="AN805" s="22" t="str">
        <f t="shared" si="532"/>
        <v/>
      </c>
      <c r="AO805" s="22" t="str">
        <f t="shared" si="556"/>
        <v/>
      </c>
      <c r="AQ805" s="21" t="str">
        <f t="shared" si="557"/>
        <v>Apprenant 793</v>
      </c>
      <c r="AR805" s="49" t="str">
        <f>IF(AND('Choix pédagogiques'!$C$4&lt;&gt;"?",'Choix pédagogiques'!$C$5&lt;&gt;"?",W805&lt;&gt;""),(W805-'Choix pédagogiques'!$C$4)/('Choix pédagogiques'!$C$5-'Choix pédagogiques'!$C$4),"")</f>
        <v/>
      </c>
      <c r="AS805" s="49" t="str">
        <f>IF(AND('Choix pédagogiques'!$C$4&lt;&gt;"?",'Choix pédagogiques'!$C$5&lt;&gt;"?",X805&lt;&gt;""),(X805-'Choix pédagogiques'!$C$4)/('Choix pédagogiques'!$C$5-'Choix pédagogiques'!$C$4),"")</f>
        <v/>
      </c>
      <c r="AT805" s="49" t="str">
        <f>IF(AND('Choix pédagogiques'!$C$4&lt;&gt;"?",'Choix pédagogiques'!$C$5&lt;&gt;"?",Y805&lt;&gt;""),(Y805-'Choix pédagogiques'!$C$4)/('Choix pédagogiques'!$C$5-'Choix pédagogiques'!$C$4),"")</f>
        <v/>
      </c>
      <c r="AU805" s="22" t="str">
        <f t="shared" si="558"/>
        <v/>
      </c>
      <c r="AV805" s="21" t="str">
        <f t="shared" si="559"/>
        <v>Apprenant 793 ou 793'</v>
      </c>
      <c r="AW805" s="49" t="str">
        <f>IF(AND('Choix pédagogiques'!$C$4&lt;&gt;"?",'Choix pédagogiques'!$C$5&lt;&gt;"?",AB805&lt;&gt;""),(AB805-'Choix pédagogiques'!$C$4)/('Choix pédagogiques'!$C$5-'Choix pédagogiques'!$C$4),"")</f>
        <v/>
      </c>
      <c r="AX805" s="49" t="str">
        <f>IF(AND('Choix pédagogiques'!$C$4&lt;&gt;"?",'Choix pédagogiques'!$C$5&lt;&gt;"?",AC805&lt;&gt;""),(AC805-'Choix pédagogiques'!$C$4)/('Choix pédagogiques'!$C$5-'Choix pédagogiques'!$C$4),"")</f>
        <v/>
      </c>
      <c r="AY805" s="49" t="str">
        <f>IF(AND('Choix pédagogiques'!$C$4&lt;&gt;"?",'Choix pédagogiques'!$C$5&lt;&gt;"?",AD805&lt;&gt;""),(AD805-'Choix pédagogiques'!$C$4)/('Choix pédagogiques'!$C$5-'Choix pédagogiques'!$C$4),"")</f>
        <v/>
      </c>
      <c r="AZ805" s="22" t="str">
        <f t="shared" si="560"/>
        <v/>
      </c>
      <c r="BA805" s="21" t="str">
        <f t="shared" si="561"/>
        <v>Apprenant 793</v>
      </c>
      <c r="BB805" s="49" t="str">
        <f t="shared" si="533"/>
        <v/>
      </c>
      <c r="BC805" s="49" t="str">
        <f t="shared" si="534"/>
        <v/>
      </c>
      <c r="BD805" s="49" t="str">
        <f t="shared" si="535"/>
        <v/>
      </c>
      <c r="BE805" s="22" t="str">
        <f t="shared" si="562"/>
        <v/>
      </c>
      <c r="BF805" s="21" t="str">
        <f t="shared" si="563"/>
        <v>Apprenant 793 ou 793'</v>
      </c>
      <c r="BG805" s="49" t="str">
        <f t="shared" si="536"/>
        <v/>
      </c>
      <c r="BH805" s="49" t="str">
        <f t="shared" si="537"/>
        <v/>
      </c>
      <c r="BI805" s="49" t="str">
        <f t="shared" si="538"/>
        <v/>
      </c>
      <c r="BJ805" s="22" t="str">
        <f t="shared" si="564"/>
        <v/>
      </c>
      <c r="BL805" s="21"/>
      <c r="BM805" s="21" t="str">
        <f>IF(OR(COUNT(B805:D1804)=0,AND('Choix pédagogiques'!$C$3&lt;&gt;1,'Choix pédagogiques'!$C$3&lt;&gt;2)),"",IF(AND(OR('Choix pédagogiques'!$C$3=1,'Choix pédagogiques'!$C$3=2),$B805&lt;&gt;"",$C805&lt;&gt;"",$D805&lt;&gt;""),1,0))</f>
        <v/>
      </c>
      <c r="BN805" s="21" t="str">
        <f>IF(OR(COUNT(G805:I1804)=0,AND('Choix pédagogiques'!$C$3&lt;&gt;1,'Choix pédagogiques'!$C$3&lt;&gt;2)),"",IF(AND(OR('Choix pédagogiques'!$C$3=1,'Choix pédagogiques'!$C$3=2),AND($G805&lt;&gt;"",$H805&lt;&gt;"",$I805&lt;&gt;"")),1,0))</f>
        <v/>
      </c>
      <c r="BO805" s="21" t="str">
        <f>IF(OR(COUNT(B805:D1804)=0,COUNT(G805:I1804)=0,'Choix pédagogiques'!C$3&lt;&gt;3),"",IF(AND('Choix pédagogiques'!$C$3=3,$B805&lt;&gt;"",$C805&lt;&gt;"",$D805&lt;&gt;"",$G805&lt;&gt;"",$H805&lt;&gt;"",$I805&lt;&gt;""),1,0))</f>
        <v/>
      </c>
      <c r="BR805" s="21">
        <v>367</v>
      </c>
      <c r="BS805" s="21">
        <v>1236</v>
      </c>
      <c r="BT805"/>
    </row>
    <row r="806" spans="1:72" s="23" customFormat="1" ht="18" customHeight="1" x14ac:dyDescent="0.3">
      <c r="A806" s="35" t="s">
        <v>796</v>
      </c>
      <c r="B806" s="37"/>
      <c r="C806" s="37"/>
      <c r="D806" s="37"/>
      <c r="E806" s="37"/>
      <c r="F806" s="35" t="s">
        <v>1804</v>
      </c>
      <c r="G806" s="37"/>
      <c r="H806" s="37"/>
      <c r="I806" s="37"/>
      <c r="J806" s="37"/>
      <c r="K806" s="21" t="str">
        <f t="shared" si="539"/>
        <v>Apprenant 794</v>
      </c>
      <c r="L806" s="22" t="str">
        <f t="shared" si="540"/>
        <v/>
      </c>
      <c r="M806" s="22" t="str">
        <f t="shared" si="541"/>
        <v/>
      </c>
      <c r="N806" s="22" t="str">
        <f t="shared" si="542"/>
        <v/>
      </c>
      <c r="O806" s="22" t="str">
        <f t="shared" si="543"/>
        <v/>
      </c>
      <c r="P806" s="21" t="str">
        <f t="shared" si="544"/>
        <v>Apprenant 794 ou 794'</v>
      </c>
      <c r="Q806" s="22" t="str">
        <f t="shared" si="545"/>
        <v/>
      </c>
      <c r="R806" s="22" t="str">
        <f t="shared" si="546"/>
        <v/>
      </c>
      <c r="S806" s="22" t="str">
        <f t="shared" si="547"/>
        <v/>
      </c>
      <c r="T806" s="22" t="str">
        <f t="shared" si="548"/>
        <v/>
      </c>
      <c r="V806" s="21" t="str">
        <f t="shared" si="549"/>
        <v>Apprenant 794</v>
      </c>
      <c r="W806" s="22" t="str">
        <f>IF(AND(OR('Choix pédagogiques'!$C$3=1,'Choix pédagogiques'!$C$3=2),$BM806=1),B806,IF(AND('Choix pédagogiques'!$C$3=3,$BO806=1),B806,""))</f>
        <v/>
      </c>
      <c r="X806" s="22" t="str">
        <f>IF(AND(OR('Choix pédagogiques'!$C$3=1,'Choix pédagogiques'!$C$3=2),$BM806=1),C806,IF(AND('Choix pédagogiques'!$C$3=3,$BO806=1),C806,""))</f>
        <v/>
      </c>
      <c r="Y806" s="22" t="str">
        <f>IF(AND(OR('Choix pédagogiques'!$C$3=1,'Choix pédagogiques'!$C$3=2),$BM806=1),D806,IF(AND('Choix pédagogiques'!$C$3=3,$BO806=1),D806,""))</f>
        <v/>
      </c>
      <c r="Z806" s="22" t="str">
        <f t="shared" si="550"/>
        <v/>
      </c>
      <c r="AA806" s="21" t="str">
        <f t="shared" si="551"/>
        <v>Apprenant 794 ou 794'</v>
      </c>
      <c r="AB806" s="22" t="str">
        <f>IF(AND(OR('Choix pédagogiques'!$C$3=1,'Choix pédagogiques'!$C$3=2),$BN806=1),G806,IF(AND('Choix pédagogiques'!$C$3=3,$BO806=1),G806,""))</f>
        <v/>
      </c>
      <c r="AC806" s="22" t="str">
        <f>IF(AND(OR('Choix pédagogiques'!$C$3=1,'Choix pédagogiques'!$C$3=2),$BN806=1),H806,IF(AND('Choix pédagogiques'!$C$3=3,$BO806=1),H806,""))</f>
        <v/>
      </c>
      <c r="AD806" s="22" t="str">
        <f>IF(AND(OR('Choix pédagogiques'!$C$3=1,'Choix pédagogiques'!$C$3=2),$BN806=1),I806,IF(AND('Choix pédagogiques'!$C$3=3,$BO806=1),I806,""))</f>
        <v/>
      </c>
      <c r="AE806" s="22" t="str">
        <f t="shared" si="552"/>
        <v/>
      </c>
      <c r="AF806" s="21" t="str">
        <f t="shared" si="553"/>
        <v>Apprenant 794</v>
      </c>
      <c r="AG806" s="22" t="str">
        <f t="shared" si="527"/>
        <v/>
      </c>
      <c r="AH806" s="22" t="str">
        <f t="shared" si="528"/>
        <v/>
      </c>
      <c r="AI806" s="22" t="str">
        <f t="shared" si="529"/>
        <v/>
      </c>
      <c r="AJ806" s="22" t="str">
        <f t="shared" si="554"/>
        <v/>
      </c>
      <c r="AK806" s="21" t="str">
        <f t="shared" si="555"/>
        <v>Apprenant 794 ou 794'</v>
      </c>
      <c r="AL806" s="22" t="str">
        <f t="shared" si="530"/>
        <v/>
      </c>
      <c r="AM806" s="22" t="str">
        <f t="shared" si="531"/>
        <v/>
      </c>
      <c r="AN806" s="22" t="str">
        <f t="shared" si="532"/>
        <v/>
      </c>
      <c r="AO806" s="22" t="str">
        <f t="shared" si="556"/>
        <v/>
      </c>
      <c r="AQ806" s="21" t="str">
        <f t="shared" si="557"/>
        <v>Apprenant 794</v>
      </c>
      <c r="AR806" s="49" t="str">
        <f>IF(AND('Choix pédagogiques'!$C$4&lt;&gt;"?",'Choix pédagogiques'!$C$5&lt;&gt;"?",W806&lt;&gt;""),(W806-'Choix pédagogiques'!$C$4)/('Choix pédagogiques'!$C$5-'Choix pédagogiques'!$C$4),"")</f>
        <v/>
      </c>
      <c r="AS806" s="49" t="str">
        <f>IF(AND('Choix pédagogiques'!$C$4&lt;&gt;"?",'Choix pédagogiques'!$C$5&lt;&gt;"?",X806&lt;&gt;""),(X806-'Choix pédagogiques'!$C$4)/('Choix pédagogiques'!$C$5-'Choix pédagogiques'!$C$4),"")</f>
        <v/>
      </c>
      <c r="AT806" s="49" t="str">
        <f>IF(AND('Choix pédagogiques'!$C$4&lt;&gt;"?",'Choix pédagogiques'!$C$5&lt;&gt;"?",Y806&lt;&gt;""),(Y806-'Choix pédagogiques'!$C$4)/('Choix pédagogiques'!$C$5-'Choix pédagogiques'!$C$4),"")</f>
        <v/>
      </c>
      <c r="AU806" s="22" t="str">
        <f t="shared" si="558"/>
        <v/>
      </c>
      <c r="AV806" s="21" t="str">
        <f t="shared" si="559"/>
        <v>Apprenant 794 ou 794'</v>
      </c>
      <c r="AW806" s="49" t="str">
        <f>IF(AND('Choix pédagogiques'!$C$4&lt;&gt;"?",'Choix pédagogiques'!$C$5&lt;&gt;"?",AB806&lt;&gt;""),(AB806-'Choix pédagogiques'!$C$4)/('Choix pédagogiques'!$C$5-'Choix pédagogiques'!$C$4),"")</f>
        <v/>
      </c>
      <c r="AX806" s="49" t="str">
        <f>IF(AND('Choix pédagogiques'!$C$4&lt;&gt;"?",'Choix pédagogiques'!$C$5&lt;&gt;"?",AC806&lt;&gt;""),(AC806-'Choix pédagogiques'!$C$4)/('Choix pédagogiques'!$C$5-'Choix pédagogiques'!$C$4),"")</f>
        <v/>
      </c>
      <c r="AY806" s="49" t="str">
        <f>IF(AND('Choix pédagogiques'!$C$4&lt;&gt;"?",'Choix pédagogiques'!$C$5&lt;&gt;"?",AD806&lt;&gt;""),(AD806-'Choix pédagogiques'!$C$4)/('Choix pédagogiques'!$C$5-'Choix pédagogiques'!$C$4),"")</f>
        <v/>
      </c>
      <c r="AZ806" s="22" t="str">
        <f t="shared" si="560"/>
        <v/>
      </c>
      <c r="BA806" s="21" t="str">
        <f t="shared" si="561"/>
        <v>Apprenant 794</v>
      </c>
      <c r="BB806" s="49" t="str">
        <f t="shared" si="533"/>
        <v/>
      </c>
      <c r="BC806" s="49" t="str">
        <f t="shared" si="534"/>
        <v/>
      </c>
      <c r="BD806" s="49" t="str">
        <f t="shared" si="535"/>
        <v/>
      </c>
      <c r="BE806" s="22" t="str">
        <f t="shared" si="562"/>
        <v/>
      </c>
      <c r="BF806" s="21" t="str">
        <f t="shared" si="563"/>
        <v>Apprenant 794 ou 794'</v>
      </c>
      <c r="BG806" s="49" t="str">
        <f t="shared" si="536"/>
        <v/>
      </c>
      <c r="BH806" s="49" t="str">
        <f t="shared" si="537"/>
        <v/>
      </c>
      <c r="BI806" s="49" t="str">
        <f t="shared" si="538"/>
        <v/>
      </c>
      <c r="BJ806" s="22" t="str">
        <f t="shared" si="564"/>
        <v/>
      </c>
      <c r="BL806" s="21"/>
      <c r="BM806" s="21" t="str">
        <f>IF(OR(COUNT(B806:D1805)=0,AND('Choix pédagogiques'!$C$3&lt;&gt;1,'Choix pédagogiques'!$C$3&lt;&gt;2)),"",IF(AND(OR('Choix pédagogiques'!$C$3=1,'Choix pédagogiques'!$C$3=2),$B806&lt;&gt;"",$C806&lt;&gt;"",$D806&lt;&gt;""),1,0))</f>
        <v/>
      </c>
      <c r="BN806" s="21" t="str">
        <f>IF(OR(COUNT(G806:I1805)=0,AND('Choix pédagogiques'!$C$3&lt;&gt;1,'Choix pédagogiques'!$C$3&lt;&gt;2)),"",IF(AND(OR('Choix pédagogiques'!$C$3=1,'Choix pédagogiques'!$C$3=2),AND($G806&lt;&gt;"",$H806&lt;&gt;"",$I806&lt;&gt;"")),1,0))</f>
        <v/>
      </c>
      <c r="BO806" s="21" t="str">
        <f>IF(OR(COUNT(B806:D1805)=0,COUNT(G806:I1805)=0,'Choix pédagogiques'!C$3&lt;&gt;3),"",IF(AND('Choix pédagogiques'!$C$3=3,$B806&lt;&gt;"",$C806&lt;&gt;"",$D806&lt;&gt;"",$G806&lt;&gt;"",$H806&lt;&gt;"",$I806&lt;&gt;""),1,0))</f>
        <v/>
      </c>
      <c r="BR806" s="21">
        <v>5</v>
      </c>
      <c r="BS806" s="21">
        <v>1756</v>
      </c>
      <c r="BT806"/>
    </row>
    <row r="807" spans="1:72" s="23" customFormat="1" ht="18" customHeight="1" x14ac:dyDescent="0.3">
      <c r="A807" s="35" t="s">
        <v>797</v>
      </c>
      <c r="B807" s="37"/>
      <c r="C807" s="37"/>
      <c r="D807" s="37"/>
      <c r="E807" s="37"/>
      <c r="F807" s="35" t="s">
        <v>1805</v>
      </c>
      <c r="G807" s="37"/>
      <c r="H807" s="37"/>
      <c r="I807" s="37"/>
      <c r="J807" s="37"/>
      <c r="K807" s="21" t="str">
        <f t="shared" si="539"/>
        <v>Apprenant 795</v>
      </c>
      <c r="L807" s="22" t="str">
        <f t="shared" si="540"/>
        <v/>
      </c>
      <c r="M807" s="22" t="str">
        <f t="shared" si="541"/>
        <v/>
      </c>
      <c r="N807" s="22" t="str">
        <f t="shared" si="542"/>
        <v/>
      </c>
      <c r="O807" s="22" t="str">
        <f t="shared" si="543"/>
        <v/>
      </c>
      <c r="P807" s="21" t="str">
        <f t="shared" si="544"/>
        <v>Apprenant 795 ou 795'</v>
      </c>
      <c r="Q807" s="22" t="str">
        <f t="shared" si="545"/>
        <v/>
      </c>
      <c r="R807" s="22" t="str">
        <f t="shared" si="546"/>
        <v/>
      </c>
      <c r="S807" s="22" t="str">
        <f t="shared" si="547"/>
        <v/>
      </c>
      <c r="T807" s="22" t="str">
        <f t="shared" si="548"/>
        <v/>
      </c>
      <c r="V807" s="21" t="str">
        <f t="shared" si="549"/>
        <v>Apprenant 795</v>
      </c>
      <c r="W807" s="22" t="str">
        <f>IF(AND(OR('Choix pédagogiques'!$C$3=1,'Choix pédagogiques'!$C$3=2),$BM807=1),B807,IF(AND('Choix pédagogiques'!$C$3=3,$BO807=1),B807,""))</f>
        <v/>
      </c>
      <c r="X807" s="22" t="str">
        <f>IF(AND(OR('Choix pédagogiques'!$C$3=1,'Choix pédagogiques'!$C$3=2),$BM807=1),C807,IF(AND('Choix pédagogiques'!$C$3=3,$BO807=1),C807,""))</f>
        <v/>
      </c>
      <c r="Y807" s="22" t="str">
        <f>IF(AND(OR('Choix pédagogiques'!$C$3=1,'Choix pédagogiques'!$C$3=2),$BM807=1),D807,IF(AND('Choix pédagogiques'!$C$3=3,$BO807=1),D807,""))</f>
        <v/>
      </c>
      <c r="Z807" s="22" t="str">
        <f t="shared" si="550"/>
        <v/>
      </c>
      <c r="AA807" s="21" t="str">
        <f t="shared" si="551"/>
        <v>Apprenant 795 ou 795'</v>
      </c>
      <c r="AB807" s="22" t="str">
        <f>IF(AND(OR('Choix pédagogiques'!$C$3=1,'Choix pédagogiques'!$C$3=2),$BN807=1),G807,IF(AND('Choix pédagogiques'!$C$3=3,$BO807=1),G807,""))</f>
        <v/>
      </c>
      <c r="AC807" s="22" t="str">
        <f>IF(AND(OR('Choix pédagogiques'!$C$3=1,'Choix pédagogiques'!$C$3=2),$BN807=1),H807,IF(AND('Choix pédagogiques'!$C$3=3,$BO807=1),H807,""))</f>
        <v/>
      </c>
      <c r="AD807" s="22" t="str">
        <f>IF(AND(OR('Choix pédagogiques'!$C$3=1,'Choix pédagogiques'!$C$3=2),$BN807=1),I807,IF(AND('Choix pédagogiques'!$C$3=3,$BO807=1),I807,""))</f>
        <v/>
      </c>
      <c r="AE807" s="22" t="str">
        <f t="shared" si="552"/>
        <v/>
      </c>
      <c r="AF807" s="21" t="str">
        <f t="shared" si="553"/>
        <v>Apprenant 795</v>
      </c>
      <c r="AG807" s="22" t="str">
        <f t="shared" si="527"/>
        <v/>
      </c>
      <c r="AH807" s="22" t="str">
        <f t="shared" si="528"/>
        <v/>
      </c>
      <c r="AI807" s="22" t="str">
        <f t="shared" si="529"/>
        <v/>
      </c>
      <c r="AJ807" s="22" t="str">
        <f t="shared" si="554"/>
        <v/>
      </c>
      <c r="AK807" s="21" t="str">
        <f t="shared" si="555"/>
        <v>Apprenant 795 ou 795'</v>
      </c>
      <c r="AL807" s="22" t="str">
        <f t="shared" si="530"/>
        <v/>
      </c>
      <c r="AM807" s="22" t="str">
        <f t="shared" si="531"/>
        <v/>
      </c>
      <c r="AN807" s="22" t="str">
        <f t="shared" si="532"/>
        <v/>
      </c>
      <c r="AO807" s="22" t="str">
        <f t="shared" si="556"/>
        <v/>
      </c>
      <c r="AQ807" s="21" t="str">
        <f t="shared" si="557"/>
        <v>Apprenant 795</v>
      </c>
      <c r="AR807" s="49" t="str">
        <f>IF(AND('Choix pédagogiques'!$C$4&lt;&gt;"?",'Choix pédagogiques'!$C$5&lt;&gt;"?",W807&lt;&gt;""),(W807-'Choix pédagogiques'!$C$4)/('Choix pédagogiques'!$C$5-'Choix pédagogiques'!$C$4),"")</f>
        <v/>
      </c>
      <c r="AS807" s="49" t="str">
        <f>IF(AND('Choix pédagogiques'!$C$4&lt;&gt;"?",'Choix pédagogiques'!$C$5&lt;&gt;"?",X807&lt;&gt;""),(X807-'Choix pédagogiques'!$C$4)/('Choix pédagogiques'!$C$5-'Choix pédagogiques'!$C$4),"")</f>
        <v/>
      </c>
      <c r="AT807" s="49" t="str">
        <f>IF(AND('Choix pédagogiques'!$C$4&lt;&gt;"?",'Choix pédagogiques'!$C$5&lt;&gt;"?",Y807&lt;&gt;""),(Y807-'Choix pédagogiques'!$C$4)/('Choix pédagogiques'!$C$5-'Choix pédagogiques'!$C$4),"")</f>
        <v/>
      </c>
      <c r="AU807" s="22" t="str">
        <f t="shared" si="558"/>
        <v/>
      </c>
      <c r="AV807" s="21" t="str">
        <f t="shared" si="559"/>
        <v>Apprenant 795 ou 795'</v>
      </c>
      <c r="AW807" s="49" t="str">
        <f>IF(AND('Choix pédagogiques'!$C$4&lt;&gt;"?",'Choix pédagogiques'!$C$5&lt;&gt;"?",AB807&lt;&gt;""),(AB807-'Choix pédagogiques'!$C$4)/('Choix pédagogiques'!$C$5-'Choix pédagogiques'!$C$4),"")</f>
        <v/>
      </c>
      <c r="AX807" s="49" t="str">
        <f>IF(AND('Choix pédagogiques'!$C$4&lt;&gt;"?",'Choix pédagogiques'!$C$5&lt;&gt;"?",AC807&lt;&gt;""),(AC807-'Choix pédagogiques'!$C$4)/('Choix pédagogiques'!$C$5-'Choix pédagogiques'!$C$4),"")</f>
        <v/>
      </c>
      <c r="AY807" s="49" t="str">
        <f>IF(AND('Choix pédagogiques'!$C$4&lt;&gt;"?",'Choix pédagogiques'!$C$5&lt;&gt;"?",AD807&lt;&gt;""),(AD807-'Choix pédagogiques'!$C$4)/('Choix pédagogiques'!$C$5-'Choix pédagogiques'!$C$4),"")</f>
        <v/>
      </c>
      <c r="AZ807" s="22" t="str">
        <f t="shared" si="560"/>
        <v/>
      </c>
      <c r="BA807" s="21" t="str">
        <f t="shared" si="561"/>
        <v>Apprenant 795</v>
      </c>
      <c r="BB807" s="49" t="str">
        <f t="shared" si="533"/>
        <v/>
      </c>
      <c r="BC807" s="49" t="str">
        <f t="shared" si="534"/>
        <v/>
      </c>
      <c r="BD807" s="49" t="str">
        <f t="shared" si="535"/>
        <v/>
      </c>
      <c r="BE807" s="22" t="str">
        <f t="shared" si="562"/>
        <v/>
      </c>
      <c r="BF807" s="21" t="str">
        <f t="shared" si="563"/>
        <v>Apprenant 795 ou 795'</v>
      </c>
      <c r="BG807" s="49" t="str">
        <f t="shared" si="536"/>
        <v/>
      </c>
      <c r="BH807" s="49" t="str">
        <f t="shared" si="537"/>
        <v/>
      </c>
      <c r="BI807" s="49" t="str">
        <f t="shared" si="538"/>
        <v/>
      </c>
      <c r="BJ807" s="22" t="str">
        <f t="shared" si="564"/>
        <v/>
      </c>
      <c r="BL807" s="21"/>
      <c r="BM807" s="21" t="str">
        <f>IF(OR(COUNT(B807:D1806)=0,AND('Choix pédagogiques'!$C$3&lt;&gt;1,'Choix pédagogiques'!$C$3&lt;&gt;2)),"",IF(AND(OR('Choix pédagogiques'!$C$3=1,'Choix pédagogiques'!$C$3=2),$B807&lt;&gt;"",$C807&lt;&gt;"",$D807&lt;&gt;""),1,0))</f>
        <v/>
      </c>
      <c r="BN807" s="21" t="str">
        <f>IF(OR(COUNT(G807:I1806)=0,AND('Choix pédagogiques'!$C$3&lt;&gt;1,'Choix pédagogiques'!$C$3&lt;&gt;2)),"",IF(AND(OR('Choix pédagogiques'!$C$3=1,'Choix pédagogiques'!$C$3=2),AND($G807&lt;&gt;"",$H807&lt;&gt;"",$I807&lt;&gt;"")),1,0))</f>
        <v/>
      </c>
      <c r="BO807" s="21" t="str">
        <f>IF(OR(COUNT(B807:D1806)=0,COUNT(G807:I1806)=0,'Choix pédagogiques'!C$3&lt;&gt;3),"",IF(AND('Choix pédagogiques'!$C$3=3,$B807&lt;&gt;"",$C807&lt;&gt;"",$D807&lt;&gt;"",$G807&lt;&gt;"",$H807&lt;&gt;"",$I807&lt;&gt;""),1,0))</f>
        <v/>
      </c>
      <c r="BR807" s="21">
        <v>228</v>
      </c>
      <c r="BS807" s="21">
        <v>1181</v>
      </c>
      <c r="BT807"/>
    </row>
    <row r="808" spans="1:72" s="23" customFormat="1" ht="18" customHeight="1" x14ac:dyDescent="0.3">
      <c r="A808" s="35" t="s">
        <v>798</v>
      </c>
      <c r="B808" s="37"/>
      <c r="C808" s="37"/>
      <c r="D808" s="37"/>
      <c r="E808" s="37"/>
      <c r="F808" s="35" t="s">
        <v>1806</v>
      </c>
      <c r="G808" s="37"/>
      <c r="H808" s="37"/>
      <c r="I808" s="37"/>
      <c r="J808" s="37"/>
      <c r="K808" s="21" t="str">
        <f t="shared" si="539"/>
        <v>Apprenant 796</v>
      </c>
      <c r="L808" s="22" t="str">
        <f t="shared" si="540"/>
        <v/>
      </c>
      <c r="M808" s="22" t="str">
        <f t="shared" si="541"/>
        <v/>
      </c>
      <c r="N808" s="22" t="str">
        <f t="shared" si="542"/>
        <v/>
      </c>
      <c r="O808" s="22" t="str">
        <f t="shared" si="543"/>
        <v/>
      </c>
      <c r="P808" s="21" t="str">
        <f t="shared" si="544"/>
        <v>Apprenant 796 ou 796'</v>
      </c>
      <c r="Q808" s="22" t="str">
        <f t="shared" si="545"/>
        <v/>
      </c>
      <c r="R808" s="22" t="str">
        <f t="shared" si="546"/>
        <v/>
      </c>
      <c r="S808" s="22" t="str">
        <f t="shared" si="547"/>
        <v/>
      </c>
      <c r="T808" s="22" t="str">
        <f t="shared" si="548"/>
        <v/>
      </c>
      <c r="V808" s="21" t="str">
        <f t="shared" si="549"/>
        <v>Apprenant 796</v>
      </c>
      <c r="W808" s="22" t="str">
        <f>IF(AND(OR('Choix pédagogiques'!$C$3=1,'Choix pédagogiques'!$C$3=2),$BM808=1),B808,IF(AND('Choix pédagogiques'!$C$3=3,$BO808=1),B808,""))</f>
        <v/>
      </c>
      <c r="X808" s="22" t="str">
        <f>IF(AND(OR('Choix pédagogiques'!$C$3=1,'Choix pédagogiques'!$C$3=2),$BM808=1),C808,IF(AND('Choix pédagogiques'!$C$3=3,$BO808=1),C808,""))</f>
        <v/>
      </c>
      <c r="Y808" s="22" t="str">
        <f>IF(AND(OR('Choix pédagogiques'!$C$3=1,'Choix pédagogiques'!$C$3=2),$BM808=1),D808,IF(AND('Choix pédagogiques'!$C$3=3,$BO808=1),D808,""))</f>
        <v/>
      </c>
      <c r="Z808" s="22" t="str">
        <f t="shared" si="550"/>
        <v/>
      </c>
      <c r="AA808" s="21" t="str">
        <f t="shared" si="551"/>
        <v>Apprenant 796 ou 796'</v>
      </c>
      <c r="AB808" s="22" t="str">
        <f>IF(AND(OR('Choix pédagogiques'!$C$3=1,'Choix pédagogiques'!$C$3=2),$BN808=1),G808,IF(AND('Choix pédagogiques'!$C$3=3,$BO808=1),G808,""))</f>
        <v/>
      </c>
      <c r="AC808" s="22" t="str">
        <f>IF(AND(OR('Choix pédagogiques'!$C$3=1,'Choix pédagogiques'!$C$3=2),$BN808=1),H808,IF(AND('Choix pédagogiques'!$C$3=3,$BO808=1),H808,""))</f>
        <v/>
      </c>
      <c r="AD808" s="22" t="str">
        <f>IF(AND(OR('Choix pédagogiques'!$C$3=1,'Choix pédagogiques'!$C$3=2),$BN808=1),I808,IF(AND('Choix pédagogiques'!$C$3=3,$BO808=1),I808,""))</f>
        <v/>
      </c>
      <c r="AE808" s="22" t="str">
        <f t="shared" si="552"/>
        <v/>
      </c>
      <c r="AF808" s="21" t="str">
        <f t="shared" si="553"/>
        <v>Apprenant 796</v>
      </c>
      <c r="AG808" s="22" t="str">
        <f t="shared" si="527"/>
        <v/>
      </c>
      <c r="AH808" s="22" t="str">
        <f t="shared" si="528"/>
        <v/>
      </c>
      <c r="AI808" s="22" t="str">
        <f t="shared" si="529"/>
        <v/>
      </c>
      <c r="AJ808" s="22" t="str">
        <f t="shared" si="554"/>
        <v/>
      </c>
      <c r="AK808" s="21" t="str">
        <f t="shared" si="555"/>
        <v>Apprenant 796 ou 796'</v>
      </c>
      <c r="AL808" s="22" t="str">
        <f t="shared" si="530"/>
        <v/>
      </c>
      <c r="AM808" s="22" t="str">
        <f t="shared" si="531"/>
        <v/>
      </c>
      <c r="AN808" s="22" t="str">
        <f t="shared" si="532"/>
        <v/>
      </c>
      <c r="AO808" s="22" t="str">
        <f t="shared" si="556"/>
        <v/>
      </c>
      <c r="AQ808" s="21" t="str">
        <f t="shared" si="557"/>
        <v>Apprenant 796</v>
      </c>
      <c r="AR808" s="49" t="str">
        <f>IF(AND('Choix pédagogiques'!$C$4&lt;&gt;"?",'Choix pédagogiques'!$C$5&lt;&gt;"?",W808&lt;&gt;""),(W808-'Choix pédagogiques'!$C$4)/('Choix pédagogiques'!$C$5-'Choix pédagogiques'!$C$4),"")</f>
        <v/>
      </c>
      <c r="AS808" s="49" t="str">
        <f>IF(AND('Choix pédagogiques'!$C$4&lt;&gt;"?",'Choix pédagogiques'!$C$5&lt;&gt;"?",X808&lt;&gt;""),(X808-'Choix pédagogiques'!$C$4)/('Choix pédagogiques'!$C$5-'Choix pédagogiques'!$C$4),"")</f>
        <v/>
      </c>
      <c r="AT808" s="49" t="str">
        <f>IF(AND('Choix pédagogiques'!$C$4&lt;&gt;"?",'Choix pédagogiques'!$C$5&lt;&gt;"?",Y808&lt;&gt;""),(Y808-'Choix pédagogiques'!$C$4)/('Choix pédagogiques'!$C$5-'Choix pédagogiques'!$C$4),"")</f>
        <v/>
      </c>
      <c r="AU808" s="22" t="str">
        <f t="shared" si="558"/>
        <v/>
      </c>
      <c r="AV808" s="21" t="str">
        <f t="shared" si="559"/>
        <v>Apprenant 796 ou 796'</v>
      </c>
      <c r="AW808" s="49" t="str">
        <f>IF(AND('Choix pédagogiques'!$C$4&lt;&gt;"?",'Choix pédagogiques'!$C$5&lt;&gt;"?",AB808&lt;&gt;""),(AB808-'Choix pédagogiques'!$C$4)/('Choix pédagogiques'!$C$5-'Choix pédagogiques'!$C$4),"")</f>
        <v/>
      </c>
      <c r="AX808" s="49" t="str">
        <f>IF(AND('Choix pédagogiques'!$C$4&lt;&gt;"?",'Choix pédagogiques'!$C$5&lt;&gt;"?",AC808&lt;&gt;""),(AC808-'Choix pédagogiques'!$C$4)/('Choix pédagogiques'!$C$5-'Choix pédagogiques'!$C$4),"")</f>
        <v/>
      </c>
      <c r="AY808" s="49" t="str">
        <f>IF(AND('Choix pédagogiques'!$C$4&lt;&gt;"?",'Choix pédagogiques'!$C$5&lt;&gt;"?",AD808&lt;&gt;""),(AD808-'Choix pédagogiques'!$C$4)/('Choix pédagogiques'!$C$5-'Choix pédagogiques'!$C$4),"")</f>
        <v/>
      </c>
      <c r="AZ808" s="22" t="str">
        <f t="shared" si="560"/>
        <v/>
      </c>
      <c r="BA808" s="21" t="str">
        <f t="shared" si="561"/>
        <v>Apprenant 796</v>
      </c>
      <c r="BB808" s="49" t="str">
        <f t="shared" si="533"/>
        <v/>
      </c>
      <c r="BC808" s="49" t="str">
        <f t="shared" si="534"/>
        <v/>
      </c>
      <c r="BD808" s="49" t="str">
        <f t="shared" si="535"/>
        <v/>
      </c>
      <c r="BE808" s="22" t="str">
        <f t="shared" si="562"/>
        <v/>
      </c>
      <c r="BF808" s="21" t="str">
        <f t="shared" si="563"/>
        <v>Apprenant 796 ou 796'</v>
      </c>
      <c r="BG808" s="49" t="str">
        <f t="shared" si="536"/>
        <v/>
      </c>
      <c r="BH808" s="49" t="str">
        <f t="shared" si="537"/>
        <v/>
      </c>
      <c r="BI808" s="49" t="str">
        <f t="shared" si="538"/>
        <v/>
      </c>
      <c r="BJ808" s="22" t="str">
        <f t="shared" si="564"/>
        <v/>
      </c>
      <c r="BL808" s="21"/>
      <c r="BM808" s="21" t="str">
        <f>IF(OR(COUNT(B808:D1807)=0,AND('Choix pédagogiques'!$C$3&lt;&gt;1,'Choix pédagogiques'!$C$3&lt;&gt;2)),"",IF(AND(OR('Choix pédagogiques'!$C$3=1,'Choix pédagogiques'!$C$3=2),$B808&lt;&gt;"",$C808&lt;&gt;"",$D808&lt;&gt;""),1,0))</f>
        <v/>
      </c>
      <c r="BN808" s="21" t="str">
        <f>IF(OR(COUNT(G808:I1807)=0,AND('Choix pédagogiques'!$C$3&lt;&gt;1,'Choix pédagogiques'!$C$3&lt;&gt;2)),"",IF(AND(OR('Choix pédagogiques'!$C$3=1,'Choix pédagogiques'!$C$3=2),AND($G808&lt;&gt;"",$H808&lt;&gt;"",$I808&lt;&gt;"")),1,0))</f>
        <v/>
      </c>
      <c r="BO808" s="21" t="str">
        <f>IF(OR(COUNT(B808:D1807)=0,COUNT(G808:I1807)=0,'Choix pédagogiques'!C$3&lt;&gt;3),"",IF(AND('Choix pédagogiques'!$C$3=3,$B808&lt;&gt;"",$C808&lt;&gt;"",$D808&lt;&gt;"",$G808&lt;&gt;"",$H808&lt;&gt;"",$I808&lt;&gt;""),1,0))</f>
        <v/>
      </c>
      <c r="BR808" s="21">
        <v>629</v>
      </c>
      <c r="BS808" s="21">
        <v>1092</v>
      </c>
      <c r="BT808"/>
    </row>
    <row r="809" spans="1:72" s="23" customFormat="1" ht="18" customHeight="1" x14ac:dyDescent="0.3">
      <c r="A809" s="35" t="s">
        <v>799</v>
      </c>
      <c r="B809" s="37"/>
      <c r="C809" s="37"/>
      <c r="D809" s="37"/>
      <c r="E809" s="37"/>
      <c r="F809" s="35" t="s">
        <v>1807</v>
      </c>
      <c r="G809" s="37"/>
      <c r="H809" s="37"/>
      <c r="I809" s="37"/>
      <c r="J809" s="37"/>
      <c r="K809" s="21" t="str">
        <f t="shared" si="539"/>
        <v>Apprenant 797</v>
      </c>
      <c r="L809" s="22" t="str">
        <f t="shared" si="540"/>
        <v/>
      </c>
      <c r="M809" s="22" t="str">
        <f t="shared" si="541"/>
        <v/>
      </c>
      <c r="N809" s="22" t="str">
        <f t="shared" si="542"/>
        <v/>
      </c>
      <c r="O809" s="22" t="str">
        <f t="shared" si="543"/>
        <v/>
      </c>
      <c r="P809" s="21" t="str">
        <f t="shared" si="544"/>
        <v>Apprenant 797 ou 797'</v>
      </c>
      <c r="Q809" s="22" t="str">
        <f t="shared" si="545"/>
        <v/>
      </c>
      <c r="R809" s="22" t="str">
        <f t="shared" si="546"/>
        <v/>
      </c>
      <c r="S809" s="22" t="str">
        <f t="shared" si="547"/>
        <v/>
      </c>
      <c r="T809" s="22" t="str">
        <f t="shared" si="548"/>
        <v/>
      </c>
      <c r="V809" s="21" t="str">
        <f t="shared" si="549"/>
        <v>Apprenant 797</v>
      </c>
      <c r="W809" s="22" t="str">
        <f>IF(AND(OR('Choix pédagogiques'!$C$3=1,'Choix pédagogiques'!$C$3=2),$BM809=1),B809,IF(AND('Choix pédagogiques'!$C$3=3,$BO809=1),B809,""))</f>
        <v/>
      </c>
      <c r="X809" s="22" t="str">
        <f>IF(AND(OR('Choix pédagogiques'!$C$3=1,'Choix pédagogiques'!$C$3=2),$BM809=1),C809,IF(AND('Choix pédagogiques'!$C$3=3,$BO809=1),C809,""))</f>
        <v/>
      </c>
      <c r="Y809" s="22" t="str">
        <f>IF(AND(OR('Choix pédagogiques'!$C$3=1,'Choix pédagogiques'!$C$3=2),$BM809=1),D809,IF(AND('Choix pédagogiques'!$C$3=3,$BO809=1),D809,""))</f>
        <v/>
      </c>
      <c r="Z809" s="22" t="str">
        <f t="shared" si="550"/>
        <v/>
      </c>
      <c r="AA809" s="21" t="str">
        <f t="shared" si="551"/>
        <v>Apprenant 797 ou 797'</v>
      </c>
      <c r="AB809" s="22" t="str">
        <f>IF(AND(OR('Choix pédagogiques'!$C$3=1,'Choix pédagogiques'!$C$3=2),$BN809=1),G809,IF(AND('Choix pédagogiques'!$C$3=3,$BO809=1),G809,""))</f>
        <v/>
      </c>
      <c r="AC809" s="22" t="str">
        <f>IF(AND(OR('Choix pédagogiques'!$C$3=1,'Choix pédagogiques'!$C$3=2),$BN809=1),H809,IF(AND('Choix pédagogiques'!$C$3=3,$BO809=1),H809,""))</f>
        <v/>
      </c>
      <c r="AD809" s="22" t="str">
        <f>IF(AND(OR('Choix pédagogiques'!$C$3=1,'Choix pédagogiques'!$C$3=2),$BN809=1),I809,IF(AND('Choix pédagogiques'!$C$3=3,$BO809=1),I809,""))</f>
        <v/>
      </c>
      <c r="AE809" s="22" t="str">
        <f t="shared" si="552"/>
        <v/>
      </c>
      <c r="AF809" s="21" t="str">
        <f t="shared" si="553"/>
        <v>Apprenant 797</v>
      </c>
      <c r="AG809" s="22" t="str">
        <f t="shared" si="527"/>
        <v/>
      </c>
      <c r="AH809" s="22" t="str">
        <f t="shared" si="528"/>
        <v/>
      </c>
      <c r="AI809" s="22" t="str">
        <f t="shared" si="529"/>
        <v/>
      </c>
      <c r="AJ809" s="22" t="str">
        <f t="shared" si="554"/>
        <v/>
      </c>
      <c r="AK809" s="21" t="str">
        <f t="shared" si="555"/>
        <v>Apprenant 797 ou 797'</v>
      </c>
      <c r="AL809" s="22" t="str">
        <f t="shared" si="530"/>
        <v/>
      </c>
      <c r="AM809" s="22" t="str">
        <f t="shared" si="531"/>
        <v/>
      </c>
      <c r="AN809" s="22" t="str">
        <f t="shared" si="532"/>
        <v/>
      </c>
      <c r="AO809" s="22" t="str">
        <f t="shared" si="556"/>
        <v/>
      </c>
      <c r="AQ809" s="21" t="str">
        <f t="shared" si="557"/>
        <v>Apprenant 797</v>
      </c>
      <c r="AR809" s="49" t="str">
        <f>IF(AND('Choix pédagogiques'!$C$4&lt;&gt;"?",'Choix pédagogiques'!$C$5&lt;&gt;"?",W809&lt;&gt;""),(W809-'Choix pédagogiques'!$C$4)/('Choix pédagogiques'!$C$5-'Choix pédagogiques'!$C$4),"")</f>
        <v/>
      </c>
      <c r="AS809" s="49" t="str">
        <f>IF(AND('Choix pédagogiques'!$C$4&lt;&gt;"?",'Choix pédagogiques'!$C$5&lt;&gt;"?",X809&lt;&gt;""),(X809-'Choix pédagogiques'!$C$4)/('Choix pédagogiques'!$C$5-'Choix pédagogiques'!$C$4),"")</f>
        <v/>
      </c>
      <c r="AT809" s="49" t="str">
        <f>IF(AND('Choix pédagogiques'!$C$4&lt;&gt;"?",'Choix pédagogiques'!$C$5&lt;&gt;"?",Y809&lt;&gt;""),(Y809-'Choix pédagogiques'!$C$4)/('Choix pédagogiques'!$C$5-'Choix pédagogiques'!$C$4),"")</f>
        <v/>
      </c>
      <c r="AU809" s="22" t="str">
        <f t="shared" si="558"/>
        <v/>
      </c>
      <c r="AV809" s="21" t="str">
        <f t="shared" si="559"/>
        <v>Apprenant 797 ou 797'</v>
      </c>
      <c r="AW809" s="49" t="str">
        <f>IF(AND('Choix pédagogiques'!$C$4&lt;&gt;"?",'Choix pédagogiques'!$C$5&lt;&gt;"?",AB809&lt;&gt;""),(AB809-'Choix pédagogiques'!$C$4)/('Choix pédagogiques'!$C$5-'Choix pédagogiques'!$C$4),"")</f>
        <v/>
      </c>
      <c r="AX809" s="49" t="str">
        <f>IF(AND('Choix pédagogiques'!$C$4&lt;&gt;"?",'Choix pédagogiques'!$C$5&lt;&gt;"?",AC809&lt;&gt;""),(AC809-'Choix pédagogiques'!$C$4)/('Choix pédagogiques'!$C$5-'Choix pédagogiques'!$C$4),"")</f>
        <v/>
      </c>
      <c r="AY809" s="49" t="str">
        <f>IF(AND('Choix pédagogiques'!$C$4&lt;&gt;"?",'Choix pédagogiques'!$C$5&lt;&gt;"?",AD809&lt;&gt;""),(AD809-'Choix pédagogiques'!$C$4)/('Choix pédagogiques'!$C$5-'Choix pédagogiques'!$C$4),"")</f>
        <v/>
      </c>
      <c r="AZ809" s="22" t="str">
        <f t="shared" si="560"/>
        <v/>
      </c>
      <c r="BA809" s="21" t="str">
        <f t="shared" si="561"/>
        <v>Apprenant 797</v>
      </c>
      <c r="BB809" s="49" t="str">
        <f t="shared" si="533"/>
        <v/>
      </c>
      <c r="BC809" s="49" t="str">
        <f t="shared" si="534"/>
        <v/>
      </c>
      <c r="BD809" s="49" t="str">
        <f t="shared" si="535"/>
        <v/>
      </c>
      <c r="BE809" s="22" t="str">
        <f t="shared" si="562"/>
        <v/>
      </c>
      <c r="BF809" s="21" t="str">
        <f t="shared" si="563"/>
        <v>Apprenant 797 ou 797'</v>
      </c>
      <c r="BG809" s="49" t="str">
        <f t="shared" si="536"/>
        <v/>
      </c>
      <c r="BH809" s="49" t="str">
        <f t="shared" si="537"/>
        <v/>
      </c>
      <c r="BI809" s="49" t="str">
        <f t="shared" si="538"/>
        <v/>
      </c>
      <c r="BJ809" s="22" t="str">
        <f t="shared" si="564"/>
        <v/>
      </c>
      <c r="BL809" s="21"/>
      <c r="BM809" s="21" t="str">
        <f>IF(OR(COUNT(B809:D1808)=0,AND('Choix pédagogiques'!$C$3&lt;&gt;1,'Choix pédagogiques'!$C$3&lt;&gt;2)),"",IF(AND(OR('Choix pédagogiques'!$C$3=1,'Choix pédagogiques'!$C$3=2),$B809&lt;&gt;"",$C809&lt;&gt;"",$D809&lt;&gt;""),1,0))</f>
        <v/>
      </c>
      <c r="BN809" s="21" t="str">
        <f>IF(OR(COUNT(G809:I1808)=0,AND('Choix pédagogiques'!$C$3&lt;&gt;1,'Choix pédagogiques'!$C$3&lt;&gt;2)),"",IF(AND(OR('Choix pédagogiques'!$C$3=1,'Choix pédagogiques'!$C$3=2),AND($G809&lt;&gt;"",$H809&lt;&gt;"",$I809&lt;&gt;"")),1,0))</f>
        <v/>
      </c>
      <c r="BO809" s="21" t="str">
        <f>IF(OR(COUNT(B809:D1808)=0,COUNT(G809:I1808)=0,'Choix pédagogiques'!C$3&lt;&gt;3),"",IF(AND('Choix pédagogiques'!$C$3=3,$B809&lt;&gt;"",$C809&lt;&gt;"",$D809&lt;&gt;"",$G809&lt;&gt;"",$H809&lt;&gt;"",$I809&lt;&gt;""),1,0))</f>
        <v/>
      </c>
      <c r="BR809" s="21">
        <v>778</v>
      </c>
      <c r="BS809" s="21">
        <v>1853</v>
      </c>
      <c r="BT809"/>
    </row>
    <row r="810" spans="1:72" s="23" customFormat="1" ht="18" customHeight="1" x14ac:dyDescent="0.3">
      <c r="A810" s="35" t="s">
        <v>800</v>
      </c>
      <c r="B810" s="37"/>
      <c r="C810" s="37"/>
      <c r="D810" s="37"/>
      <c r="E810" s="37"/>
      <c r="F810" s="35" t="s">
        <v>1808</v>
      </c>
      <c r="G810" s="37"/>
      <c r="H810" s="37"/>
      <c r="I810" s="37"/>
      <c r="J810" s="37"/>
      <c r="K810" s="21" t="str">
        <f t="shared" si="539"/>
        <v>Apprenant 798</v>
      </c>
      <c r="L810" s="22" t="str">
        <f t="shared" si="540"/>
        <v/>
      </c>
      <c r="M810" s="22" t="str">
        <f t="shared" si="541"/>
        <v/>
      </c>
      <c r="N810" s="22" t="str">
        <f t="shared" si="542"/>
        <v/>
      </c>
      <c r="O810" s="22" t="str">
        <f t="shared" si="543"/>
        <v/>
      </c>
      <c r="P810" s="21" t="str">
        <f t="shared" si="544"/>
        <v>Apprenant 798 ou 798'</v>
      </c>
      <c r="Q810" s="22" t="str">
        <f t="shared" si="545"/>
        <v/>
      </c>
      <c r="R810" s="22" t="str">
        <f t="shared" si="546"/>
        <v/>
      </c>
      <c r="S810" s="22" t="str">
        <f t="shared" si="547"/>
        <v/>
      </c>
      <c r="T810" s="22" t="str">
        <f t="shared" si="548"/>
        <v/>
      </c>
      <c r="V810" s="21" t="str">
        <f t="shared" si="549"/>
        <v>Apprenant 798</v>
      </c>
      <c r="W810" s="22" t="str">
        <f>IF(AND(OR('Choix pédagogiques'!$C$3=1,'Choix pédagogiques'!$C$3=2),$BM810=1),B810,IF(AND('Choix pédagogiques'!$C$3=3,$BO810=1),B810,""))</f>
        <v/>
      </c>
      <c r="X810" s="22" t="str">
        <f>IF(AND(OR('Choix pédagogiques'!$C$3=1,'Choix pédagogiques'!$C$3=2),$BM810=1),C810,IF(AND('Choix pédagogiques'!$C$3=3,$BO810=1),C810,""))</f>
        <v/>
      </c>
      <c r="Y810" s="22" t="str">
        <f>IF(AND(OR('Choix pédagogiques'!$C$3=1,'Choix pédagogiques'!$C$3=2),$BM810=1),D810,IF(AND('Choix pédagogiques'!$C$3=3,$BO810=1),D810,""))</f>
        <v/>
      </c>
      <c r="Z810" s="22" t="str">
        <f t="shared" si="550"/>
        <v/>
      </c>
      <c r="AA810" s="21" t="str">
        <f t="shared" si="551"/>
        <v>Apprenant 798 ou 798'</v>
      </c>
      <c r="AB810" s="22" t="str">
        <f>IF(AND(OR('Choix pédagogiques'!$C$3=1,'Choix pédagogiques'!$C$3=2),$BN810=1),G810,IF(AND('Choix pédagogiques'!$C$3=3,$BO810=1),G810,""))</f>
        <v/>
      </c>
      <c r="AC810" s="22" t="str">
        <f>IF(AND(OR('Choix pédagogiques'!$C$3=1,'Choix pédagogiques'!$C$3=2),$BN810=1),H810,IF(AND('Choix pédagogiques'!$C$3=3,$BO810=1),H810,""))</f>
        <v/>
      </c>
      <c r="AD810" s="22" t="str">
        <f>IF(AND(OR('Choix pédagogiques'!$C$3=1,'Choix pédagogiques'!$C$3=2),$BN810=1),I810,IF(AND('Choix pédagogiques'!$C$3=3,$BO810=1),I810,""))</f>
        <v/>
      </c>
      <c r="AE810" s="22" t="str">
        <f t="shared" si="552"/>
        <v/>
      </c>
      <c r="AF810" s="21" t="str">
        <f t="shared" si="553"/>
        <v>Apprenant 798</v>
      </c>
      <c r="AG810" s="22" t="str">
        <f t="shared" si="527"/>
        <v/>
      </c>
      <c r="AH810" s="22" t="str">
        <f t="shared" si="528"/>
        <v/>
      </c>
      <c r="AI810" s="22" t="str">
        <f t="shared" si="529"/>
        <v/>
      </c>
      <c r="AJ810" s="22" t="str">
        <f t="shared" si="554"/>
        <v/>
      </c>
      <c r="AK810" s="21" t="str">
        <f t="shared" si="555"/>
        <v>Apprenant 798 ou 798'</v>
      </c>
      <c r="AL810" s="22" t="str">
        <f t="shared" si="530"/>
        <v/>
      </c>
      <c r="AM810" s="22" t="str">
        <f t="shared" si="531"/>
        <v/>
      </c>
      <c r="AN810" s="22" t="str">
        <f t="shared" si="532"/>
        <v/>
      </c>
      <c r="AO810" s="22" t="str">
        <f t="shared" si="556"/>
        <v/>
      </c>
      <c r="AQ810" s="21" t="str">
        <f t="shared" si="557"/>
        <v>Apprenant 798</v>
      </c>
      <c r="AR810" s="49" t="str">
        <f>IF(AND('Choix pédagogiques'!$C$4&lt;&gt;"?",'Choix pédagogiques'!$C$5&lt;&gt;"?",W810&lt;&gt;""),(W810-'Choix pédagogiques'!$C$4)/('Choix pédagogiques'!$C$5-'Choix pédagogiques'!$C$4),"")</f>
        <v/>
      </c>
      <c r="AS810" s="49" t="str">
        <f>IF(AND('Choix pédagogiques'!$C$4&lt;&gt;"?",'Choix pédagogiques'!$C$5&lt;&gt;"?",X810&lt;&gt;""),(X810-'Choix pédagogiques'!$C$4)/('Choix pédagogiques'!$C$5-'Choix pédagogiques'!$C$4),"")</f>
        <v/>
      </c>
      <c r="AT810" s="49" t="str">
        <f>IF(AND('Choix pédagogiques'!$C$4&lt;&gt;"?",'Choix pédagogiques'!$C$5&lt;&gt;"?",Y810&lt;&gt;""),(Y810-'Choix pédagogiques'!$C$4)/('Choix pédagogiques'!$C$5-'Choix pédagogiques'!$C$4),"")</f>
        <v/>
      </c>
      <c r="AU810" s="22" t="str">
        <f t="shared" si="558"/>
        <v/>
      </c>
      <c r="AV810" s="21" t="str">
        <f t="shared" si="559"/>
        <v>Apprenant 798 ou 798'</v>
      </c>
      <c r="AW810" s="49" t="str">
        <f>IF(AND('Choix pédagogiques'!$C$4&lt;&gt;"?",'Choix pédagogiques'!$C$5&lt;&gt;"?",AB810&lt;&gt;""),(AB810-'Choix pédagogiques'!$C$4)/('Choix pédagogiques'!$C$5-'Choix pédagogiques'!$C$4),"")</f>
        <v/>
      </c>
      <c r="AX810" s="49" t="str">
        <f>IF(AND('Choix pédagogiques'!$C$4&lt;&gt;"?",'Choix pédagogiques'!$C$5&lt;&gt;"?",AC810&lt;&gt;""),(AC810-'Choix pédagogiques'!$C$4)/('Choix pédagogiques'!$C$5-'Choix pédagogiques'!$C$4),"")</f>
        <v/>
      </c>
      <c r="AY810" s="49" t="str">
        <f>IF(AND('Choix pédagogiques'!$C$4&lt;&gt;"?",'Choix pédagogiques'!$C$5&lt;&gt;"?",AD810&lt;&gt;""),(AD810-'Choix pédagogiques'!$C$4)/('Choix pédagogiques'!$C$5-'Choix pédagogiques'!$C$4),"")</f>
        <v/>
      </c>
      <c r="AZ810" s="22" t="str">
        <f t="shared" si="560"/>
        <v/>
      </c>
      <c r="BA810" s="21" t="str">
        <f t="shared" si="561"/>
        <v>Apprenant 798</v>
      </c>
      <c r="BB810" s="49" t="str">
        <f t="shared" si="533"/>
        <v/>
      </c>
      <c r="BC810" s="49" t="str">
        <f t="shared" si="534"/>
        <v/>
      </c>
      <c r="BD810" s="49" t="str">
        <f t="shared" si="535"/>
        <v/>
      </c>
      <c r="BE810" s="22" t="str">
        <f t="shared" si="562"/>
        <v/>
      </c>
      <c r="BF810" s="21" t="str">
        <f t="shared" si="563"/>
        <v>Apprenant 798 ou 798'</v>
      </c>
      <c r="BG810" s="49" t="str">
        <f t="shared" si="536"/>
        <v/>
      </c>
      <c r="BH810" s="49" t="str">
        <f t="shared" si="537"/>
        <v/>
      </c>
      <c r="BI810" s="49" t="str">
        <f t="shared" si="538"/>
        <v/>
      </c>
      <c r="BJ810" s="22" t="str">
        <f t="shared" si="564"/>
        <v/>
      </c>
      <c r="BL810" s="21"/>
      <c r="BM810" s="21" t="str">
        <f>IF(OR(COUNT(B810:D1809)=0,AND('Choix pédagogiques'!$C$3&lt;&gt;1,'Choix pédagogiques'!$C$3&lt;&gt;2)),"",IF(AND(OR('Choix pédagogiques'!$C$3=1,'Choix pédagogiques'!$C$3=2),$B810&lt;&gt;"",$C810&lt;&gt;"",$D810&lt;&gt;""),1,0))</f>
        <v/>
      </c>
      <c r="BN810" s="21" t="str">
        <f>IF(OR(COUNT(G810:I1809)=0,AND('Choix pédagogiques'!$C$3&lt;&gt;1,'Choix pédagogiques'!$C$3&lt;&gt;2)),"",IF(AND(OR('Choix pédagogiques'!$C$3=1,'Choix pédagogiques'!$C$3=2),AND($G810&lt;&gt;"",$H810&lt;&gt;"",$I810&lt;&gt;"")),1,0))</f>
        <v/>
      </c>
      <c r="BO810" s="21" t="str">
        <f>IF(OR(COUNT(B810:D1809)=0,COUNT(G810:I1809)=0,'Choix pédagogiques'!C$3&lt;&gt;3),"",IF(AND('Choix pédagogiques'!$C$3=3,$B810&lt;&gt;"",$C810&lt;&gt;"",$D810&lt;&gt;"",$G810&lt;&gt;"",$H810&lt;&gt;"",$I810&lt;&gt;""),1,0))</f>
        <v/>
      </c>
      <c r="BR810" s="21">
        <v>113</v>
      </c>
      <c r="BS810" s="21">
        <v>1010</v>
      </c>
      <c r="BT810"/>
    </row>
    <row r="811" spans="1:72" s="23" customFormat="1" ht="18" customHeight="1" x14ac:dyDescent="0.3">
      <c r="A811" s="35" t="s">
        <v>801</v>
      </c>
      <c r="B811" s="37"/>
      <c r="C811" s="37"/>
      <c r="D811" s="37"/>
      <c r="E811" s="37"/>
      <c r="F811" s="35" t="s">
        <v>1809</v>
      </c>
      <c r="G811" s="37"/>
      <c r="H811" s="37"/>
      <c r="I811" s="37"/>
      <c r="J811" s="37"/>
      <c r="K811" s="21" t="str">
        <f t="shared" si="539"/>
        <v>Apprenant 799</v>
      </c>
      <c r="L811" s="22" t="str">
        <f t="shared" si="540"/>
        <v/>
      </c>
      <c r="M811" s="22" t="str">
        <f t="shared" si="541"/>
        <v/>
      </c>
      <c r="N811" s="22" t="str">
        <f t="shared" si="542"/>
        <v/>
      </c>
      <c r="O811" s="22" t="str">
        <f t="shared" si="543"/>
        <v/>
      </c>
      <c r="P811" s="21" t="str">
        <f t="shared" si="544"/>
        <v>Apprenant 799 ou 799'</v>
      </c>
      <c r="Q811" s="22" t="str">
        <f t="shared" si="545"/>
        <v/>
      </c>
      <c r="R811" s="22" t="str">
        <f t="shared" si="546"/>
        <v/>
      </c>
      <c r="S811" s="22" t="str">
        <f t="shared" si="547"/>
        <v/>
      </c>
      <c r="T811" s="22" t="str">
        <f t="shared" si="548"/>
        <v/>
      </c>
      <c r="V811" s="21" t="str">
        <f t="shared" si="549"/>
        <v>Apprenant 799</v>
      </c>
      <c r="W811" s="22" t="str">
        <f>IF(AND(OR('Choix pédagogiques'!$C$3=1,'Choix pédagogiques'!$C$3=2),$BM811=1),B811,IF(AND('Choix pédagogiques'!$C$3=3,$BO811=1),B811,""))</f>
        <v/>
      </c>
      <c r="X811" s="22" t="str">
        <f>IF(AND(OR('Choix pédagogiques'!$C$3=1,'Choix pédagogiques'!$C$3=2),$BM811=1),C811,IF(AND('Choix pédagogiques'!$C$3=3,$BO811=1),C811,""))</f>
        <v/>
      </c>
      <c r="Y811" s="22" t="str">
        <f>IF(AND(OR('Choix pédagogiques'!$C$3=1,'Choix pédagogiques'!$C$3=2),$BM811=1),D811,IF(AND('Choix pédagogiques'!$C$3=3,$BO811=1),D811,""))</f>
        <v/>
      </c>
      <c r="Z811" s="22" t="str">
        <f t="shared" si="550"/>
        <v/>
      </c>
      <c r="AA811" s="21" t="str">
        <f t="shared" si="551"/>
        <v>Apprenant 799 ou 799'</v>
      </c>
      <c r="AB811" s="22" t="str">
        <f>IF(AND(OR('Choix pédagogiques'!$C$3=1,'Choix pédagogiques'!$C$3=2),$BN811=1),G811,IF(AND('Choix pédagogiques'!$C$3=3,$BO811=1),G811,""))</f>
        <v/>
      </c>
      <c r="AC811" s="22" t="str">
        <f>IF(AND(OR('Choix pédagogiques'!$C$3=1,'Choix pédagogiques'!$C$3=2),$BN811=1),H811,IF(AND('Choix pédagogiques'!$C$3=3,$BO811=1),H811,""))</f>
        <v/>
      </c>
      <c r="AD811" s="22" t="str">
        <f>IF(AND(OR('Choix pédagogiques'!$C$3=1,'Choix pédagogiques'!$C$3=2),$BN811=1),I811,IF(AND('Choix pédagogiques'!$C$3=3,$BO811=1),I811,""))</f>
        <v/>
      </c>
      <c r="AE811" s="22" t="str">
        <f t="shared" si="552"/>
        <v/>
      </c>
      <c r="AF811" s="21" t="str">
        <f t="shared" si="553"/>
        <v>Apprenant 799</v>
      </c>
      <c r="AG811" s="22" t="str">
        <f t="shared" si="527"/>
        <v/>
      </c>
      <c r="AH811" s="22" t="str">
        <f t="shared" si="528"/>
        <v/>
      </c>
      <c r="AI811" s="22" t="str">
        <f t="shared" si="529"/>
        <v/>
      </c>
      <c r="AJ811" s="22" t="str">
        <f t="shared" si="554"/>
        <v/>
      </c>
      <c r="AK811" s="21" t="str">
        <f t="shared" si="555"/>
        <v>Apprenant 799 ou 799'</v>
      </c>
      <c r="AL811" s="22" t="str">
        <f t="shared" si="530"/>
        <v/>
      </c>
      <c r="AM811" s="22" t="str">
        <f t="shared" si="531"/>
        <v/>
      </c>
      <c r="AN811" s="22" t="str">
        <f t="shared" si="532"/>
        <v/>
      </c>
      <c r="AO811" s="22" t="str">
        <f t="shared" si="556"/>
        <v/>
      </c>
      <c r="AQ811" s="21" t="str">
        <f t="shared" si="557"/>
        <v>Apprenant 799</v>
      </c>
      <c r="AR811" s="49" t="str">
        <f>IF(AND('Choix pédagogiques'!$C$4&lt;&gt;"?",'Choix pédagogiques'!$C$5&lt;&gt;"?",W811&lt;&gt;""),(W811-'Choix pédagogiques'!$C$4)/('Choix pédagogiques'!$C$5-'Choix pédagogiques'!$C$4),"")</f>
        <v/>
      </c>
      <c r="AS811" s="49" t="str">
        <f>IF(AND('Choix pédagogiques'!$C$4&lt;&gt;"?",'Choix pédagogiques'!$C$5&lt;&gt;"?",X811&lt;&gt;""),(X811-'Choix pédagogiques'!$C$4)/('Choix pédagogiques'!$C$5-'Choix pédagogiques'!$C$4),"")</f>
        <v/>
      </c>
      <c r="AT811" s="49" t="str">
        <f>IF(AND('Choix pédagogiques'!$C$4&lt;&gt;"?",'Choix pédagogiques'!$C$5&lt;&gt;"?",Y811&lt;&gt;""),(Y811-'Choix pédagogiques'!$C$4)/('Choix pédagogiques'!$C$5-'Choix pédagogiques'!$C$4),"")</f>
        <v/>
      </c>
      <c r="AU811" s="22" t="str">
        <f t="shared" si="558"/>
        <v/>
      </c>
      <c r="AV811" s="21" t="str">
        <f t="shared" si="559"/>
        <v>Apprenant 799 ou 799'</v>
      </c>
      <c r="AW811" s="49" t="str">
        <f>IF(AND('Choix pédagogiques'!$C$4&lt;&gt;"?",'Choix pédagogiques'!$C$5&lt;&gt;"?",AB811&lt;&gt;""),(AB811-'Choix pédagogiques'!$C$4)/('Choix pédagogiques'!$C$5-'Choix pédagogiques'!$C$4),"")</f>
        <v/>
      </c>
      <c r="AX811" s="49" t="str">
        <f>IF(AND('Choix pédagogiques'!$C$4&lt;&gt;"?",'Choix pédagogiques'!$C$5&lt;&gt;"?",AC811&lt;&gt;""),(AC811-'Choix pédagogiques'!$C$4)/('Choix pédagogiques'!$C$5-'Choix pédagogiques'!$C$4),"")</f>
        <v/>
      </c>
      <c r="AY811" s="49" t="str">
        <f>IF(AND('Choix pédagogiques'!$C$4&lt;&gt;"?",'Choix pédagogiques'!$C$5&lt;&gt;"?",AD811&lt;&gt;""),(AD811-'Choix pédagogiques'!$C$4)/('Choix pédagogiques'!$C$5-'Choix pédagogiques'!$C$4),"")</f>
        <v/>
      </c>
      <c r="AZ811" s="22" t="str">
        <f t="shared" si="560"/>
        <v/>
      </c>
      <c r="BA811" s="21" t="str">
        <f t="shared" si="561"/>
        <v>Apprenant 799</v>
      </c>
      <c r="BB811" s="49" t="str">
        <f t="shared" si="533"/>
        <v/>
      </c>
      <c r="BC811" s="49" t="str">
        <f t="shared" si="534"/>
        <v/>
      </c>
      <c r="BD811" s="49" t="str">
        <f t="shared" si="535"/>
        <v/>
      </c>
      <c r="BE811" s="22" t="str">
        <f t="shared" si="562"/>
        <v/>
      </c>
      <c r="BF811" s="21" t="str">
        <f t="shared" si="563"/>
        <v>Apprenant 799 ou 799'</v>
      </c>
      <c r="BG811" s="49" t="str">
        <f t="shared" si="536"/>
        <v/>
      </c>
      <c r="BH811" s="49" t="str">
        <f t="shared" si="537"/>
        <v/>
      </c>
      <c r="BI811" s="49" t="str">
        <f t="shared" si="538"/>
        <v/>
      </c>
      <c r="BJ811" s="22" t="str">
        <f t="shared" si="564"/>
        <v/>
      </c>
      <c r="BL811" s="21"/>
      <c r="BM811" s="21" t="str">
        <f>IF(OR(COUNT(B811:D1810)=0,AND('Choix pédagogiques'!$C$3&lt;&gt;1,'Choix pédagogiques'!$C$3&lt;&gt;2)),"",IF(AND(OR('Choix pédagogiques'!$C$3=1,'Choix pédagogiques'!$C$3=2),$B811&lt;&gt;"",$C811&lt;&gt;"",$D811&lt;&gt;""),1,0))</f>
        <v/>
      </c>
      <c r="BN811" s="21" t="str">
        <f>IF(OR(COUNT(G811:I1810)=0,AND('Choix pédagogiques'!$C$3&lt;&gt;1,'Choix pédagogiques'!$C$3&lt;&gt;2)),"",IF(AND(OR('Choix pédagogiques'!$C$3=1,'Choix pédagogiques'!$C$3=2),AND($G811&lt;&gt;"",$H811&lt;&gt;"",$I811&lt;&gt;"")),1,0))</f>
        <v/>
      </c>
      <c r="BO811" s="21" t="str">
        <f>IF(OR(COUNT(B811:D1810)=0,COUNT(G811:I1810)=0,'Choix pédagogiques'!C$3&lt;&gt;3),"",IF(AND('Choix pédagogiques'!$C$3=3,$B811&lt;&gt;"",$C811&lt;&gt;"",$D811&lt;&gt;"",$G811&lt;&gt;"",$H811&lt;&gt;"",$I811&lt;&gt;""),1,0))</f>
        <v/>
      </c>
      <c r="BR811" s="21">
        <v>338</v>
      </c>
      <c r="BS811" s="21">
        <v>1420</v>
      </c>
      <c r="BT811"/>
    </row>
    <row r="812" spans="1:72" s="23" customFormat="1" ht="18" customHeight="1" x14ac:dyDescent="0.3">
      <c r="A812" s="35" t="s">
        <v>802</v>
      </c>
      <c r="B812" s="37"/>
      <c r="C812" s="37"/>
      <c r="D812" s="37"/>
      <c r="E812" s="37"/>
      <c r="F812" s="35" t="s">
        <v>1810</v>
      </c>
      <c r="G812" s="37"/>
      <c r="H812" s="37"/>
      <c r="I812" s="37"/>
      <c r="J812" s="37"/>
      <c r="K812" s="21" t="str">
        <f t="shared" si="539"/>
        <v>Apprenant 800</v>
      </c>
      <c r="L812" s="22" t="str">
        <f t="shared" si="540"/>
        <v/>
      </c>
      <c r="M812" s="22" t="str">
        <f t="shared" si="541"/>
        <v/>
      </c>
      <c r="N812" s="22" t="str">
        <f t="shared" si="542"/>
        <v/>
      </c>
      <c r="O812" s="22" t="str">
        <f t="shared" si="543"/>
        <v/>
      </c>
      <c r="P812" s="21" t="str">
        <f t="shared" si="544"/>
        <v>Apprenant 800 ou 800'</v>
      </c>
      <c r="Q812" s="22" t="str">
        <f t="shared" si="545"/>
        <v/>
      </c>
      <c r="R812" s="22" t="str">
        <f t="shared" si="546"/>
        <v/>
      </c>
      <c r="S812" s="22" t="str">
        <f t="shared" si="547"/>
        <v/>
      </c>
      <c r="T812" s="22" t="str">
        <f t="shared" si="548"/>
        <v/>
      </c>
      <c r="V812" s="21" t="str">
        <f t="shared" si="549"/>
        <v>Apprenant 800</v>
      </c>
      <c r="W812" s="22" t="str">
        <f>IF(AND(OR('Choix pédagogiques'!$C$3=1,'Choix pédagogiques'!$C$3=2),$BM812=1),B812,IF(AND('Choix pédagogiques'!$C$3=3,$BO812=1),B812,""))</f>
        <v/>
      </c>
      <c r="X812" s="22" t="str">
        <f>IF(AND(OR('Choix pédagogiques'!$C$3=1,'Choix pédagogiques'!$C$3=2),$BM812=1),C812,IF(AND('Choix pédagogiques'!$C$3=3,$BO812=1),C812,""))</f>
        <v/>
      </c>
      <c r="Y812" s="22" t="str">
        <f>IF(AND(OR('Choix pédagogiques'!$C$3=1,'Choix pédagogiques'!$C$3=2),$BM812=1),D812,IF(AND('Choix pédagogiques'!$C$3=3,$BO812=1),D812,""))</f>
        <v/>
      </c>
      <c r="Z812" s="22" t="str">
        <f t="shared" si="550"/>
        <v/>
      </c>
      <c r="AA812" s="21" t="str">
        <f t="shared" si="551"/>
        <v>Apprenant 800 ou 800'</v>
      </c>
      <c r="AB812" s="22" t="str">
        <f>IF(AND(OR('Choix pédagogiques'!$C$3=1,'Choix pédagogiques'!$C$3=2),$BN812=1),G812,IF(AND('Choix pédagogiques'!$C$3=3,$BO812=1),G812,""))</f>
        <v/>
      </c>
      <c r="AC812" s="22" t="str">
        <f>IF(AND(OR('Choix pédagogiques'!$C$3=1,'Choix pédagogiques'!$C$3=2),$BN812=1),H812,IF(AND('Choix pédagogiques'!$C$3=3,$BO812=1),H812,""))</f>
        <v/>
      </c>
      <c r="AD812" s="22" t="str">
        <f>IF(AND(OR('Choix pédagogiques'!$C$3=1,'Choix pédagogiques'!$C$3=2),$BN812=1),I812,IF(AND('Choix pédagogiques'!$C$3=3,$BO812=1),I812,""))</f>
        <v/>
      </c>
      <c r="AE812" s="22" t="str">
        <f t="shared" si="552"/>
        <v/>
      </c>
      <c r="AF812" s="21" t="str">
        <f t="shared" si="553"/>
        <v>Apprenant 800</v>
      </c>
      <c r="AG812" s="22" t="str">
        <f t="shared" si="527"/>
        <v/>
      </c>
      <c r="AH812" s="22" t="str">
        <f t="shared" si="528"/>
        <v/>
      </c>
      <c r="AI812" s="22" t="str">
        <f t="shared" si="529"/>
        <v/>
      </c>
      <c r="AJ812" s="22" t="str">
        <f t="shared" si="554"/>
        <v/>
      </c>
      <c r="AK812" s="21" t="str">
        <f t="shared" si="555"/>
        <v>Apprenant 800 ou 800'</v>
      </c>
      <c r="AL812" s="22" t="str">
        <f t="shared" si="530"/>
        <v/>
      </c>
      <c r="AM812" s="22" t="str">
        <f t="shared" si="531"/>
        <v/>
      </c>
      <c r="AN812" s="22" t="str">
        <f t="shared" si="532"/>
        <v/>
      </c>
      <c r="AO812" s="22" t="str">
        <f t="shared" si="556"/>
        <v/>
      </c>
      <c r="AQ812" s="21" t="str">
        <f t="shared" si="557"/>
        <v>Apprenant 800</v>
      </c>
      <c r="AR812" s="49" t="str">
        <f>IF(AND('Choix pédagogiques'!$C$4&lt;&gt;"?",'Choix pédagogiques'!$C$5&lt;&gt;"?",W812&lt;&gt;""),(W812-'Choix pédagogiques'!$C$4)/('Choix pédagogiques'!$C$5-'Choix pédagogiques'!$C$4),"")</f>
        <v/>
      </c>
      <c r="AS812" s="49" t="str">
        <f>IF(AND('Choix pédagogiques'!$C$4&lt;&gt;"?",'Choix pédagogiques'!$C$5&lt;&gt;"?",X812&lt;&gt;""),(X812-'Choix pédagogiques'!$C$4)/('Choix pédagogiques'!$C$5-'Choix pédagogiques'!$C$4),"")</f>
        <v/>
      </c>
      <c r="AT812" s="49" t="str">
        <f>IF(AND('Choix pédagogiques'!$C$4&lt;&gt;"?",'Choix pédagogiques'!$C$5&lt;&gt;"?",Y812&lt;&gt;""),(Y812-'Choix pédagogiques'!$C$4)/('Choix pédagogiques'!$C$5-'Choix pédagogiques'!$C$4),"")</f>
        <v/>
      </c>
      <c r="AU812" s="22" t="str">
        <f t="shared" si="558"/>
        <v/>
      </c>
      <c r="AV812" s="21" t="str">
        <f t="shared" si="559"/>
        <v>Apprenant 800 ou 800'</v>
      </c>
      <c r="AW812" s="49" t="str">
        <f>IF(AND('Choix pédagogiques'!$C$4&lt;&gt;"?",'Choix pédagogiques'!$C$5&lt;&gt;"?",AB812&lt;&gt;""),(AB812-'Choix pédagogiques'!$C$4)/('Choix pédagogiques'!$C$5-'Choix pédagogiques'!$C$4),"")</f>
        <v/>
      </c>
      <c r="AX812" s="49" t="str">
        <f>IF(AND('Choix pédagogiques'!$C$4&lt;&gt;"?",'Choix pédagogiques'!$C$5&lt;&gt;"?",AC812&lt;&gt;""),(AC812-'Choix pédagogiques'!$C$4)/('Choix pédagogiques'!$C$5-'Choix pédagogiques'!$C$4),"")</f>
        <v/>
      </c>
      <c r="AY812" s="49" t="str">
        <f>IF(AND('Choix pédagogiques'!$C$4&lt;&gt;"?",'Choix pédagogiques'!$C$5&lt;&gt;"?",AD812&lt;&gt;""),(AD812-'Choix pédagogiques'!$C$4)/('Choix pédagogiques'!$C$5-'Choix pédagogiques'!$C$4),"")</f>
        <v/>
      </c>
      <c r="AZ812" s="22" t="str">
        <f t="shared" si="560"/>
        <v/>
      </c>
      <c r="BA812" s="21" t="str">
        <f t="shared" si="561"/>
        <v>Apprenant 800</v>
      </c>
      <c r="BB812" s="49" t="str">
        <f t="shared" si="533"/>
        <v/>
      </c>
      <c r="BC812" s="49" t="str">
        <f t="shared" si="534"/>
        <v/>
      </c>
      <c r="BD812" s="49" t="str">
        <f t="shared" si="535"/>
        <v/>
      </c>
      <c r="BE812" s="22" t="str">
        <f t="shared" si="562"/>
        <v/>
      </c>
      <c r="BF812" s="21" t="str">
        <f t="shared" si="563"/>
        <v>Apprenant 800 ou 800'</v>
      </c>
      <c r="BG812" s="49" t="str">
        <f t="shared" si="536"/>
        <v/>
      </c>
      <c r="BH812" s="49" t="str">
        <f t="shared" si="537"/>
        <v/>
      </c>
      <c r="BI812" s="49" t="str">
        <f t="shared" si="538"/>
        <v/>
      </c>
      <c r="BJ812" s="22" t="str">
        <f t="shared" si="564"/>
        <v/>
      </c>
      <c r="BL812" s="21"/>
      <c r="BM812" s="21" t="str">
        <f>IF(OR(COUNT(B812:D1811)=0,AND('Choix pédagogiques'!$C$3&lt;&gt;1,'Choix pédagogiques'!$C$3&lt;&gt;2)),"",IF(AND(OR('Choix pédagogiques'!$C$3=1,'Choix pédagogiques'!$C$3=2),$B812&lt;&gt;"",$C812&lt;&gt;"",$D812&lt;&gt;""),1,0))</f>
        <v/>
      </c>
      <c r="BN812" s="21" t="str">
        <f>IF(OR(COUNT(G812:I1811)=0,AND('Choix pédagogiques'!$C$3&lt;&gt;1,'Choix pédagogiques'!$C$3&lt;&gt;2)),"",IF(AND(OR('Choix pédagogiques'!$C$3=1,'Choix pédagogiques'!$C$3=2),AND($G812&lt;&gt;"",$H812&lt;&gt;"",$I812&lt;&gt;"")),1,0))</f>
        <v/>
      </c>
      <c r="BO812" s="21" t="str">
        <f>IF(OR(COUNT(B812:D1811)=0,COUNT(G812:I1811)=0,'Choix pédagogiques'!C$3&lt;&gt;3),"",IF(AND('Choix pédagogiques'!$C$3=3,$B812&lt;&gt;"",$C812&lt;&gt;"",$D812&lt;&gt;"",$G812&lt;&gt;"",$H812&lt;&gt;"",$I812&lt;&gt;""),1,0))</f>
        <v/>
      </c>
      <c r="BR812" s="21">
        <v>706</v>
      </c>
      <c r="BS812" s="21">
        <v>1441</v>
      </c>
      <c r="BT812"/>
    </row>
    <row r="813" spans="1:72" s="23" customFormat="1" ht="18" customHeight="1" x14ac:dyDescent="0.3">
      <c r="A813" s="35" t="s">
        <v>803</v>
      </c>
      <c r="B813" s="37"/>
      <c r="C813" s="37"/>
      <c r="D813" s="37"/>
      <c r="E813" s="37"/>
      <c r="F813" s="35" t="s">
        <v>1811</v>
      </c>
      <c r="G813" s="37"/>
      <c r="H813" s="37"/>
      <c r="I813" s="37"/>
      <c r="J813" s="37"/>
      <c r="K813" s="21" t="str">
        <f t="shared" si="539"/>
        <v>Apprenant 801</v>
      </c>
      <c r="L813" s="22" t="str">
        <f t="shared" si="540"/>
        <v/>
      </c>
      <c r="M813" s="22" t="str">
        <f t="shared" si="541"/>
        <v/>
      </c>
      <c r="N813" s="22" t="str">
        <f t="shared" si="542"/>
        <v/>
      </c>
      <c r="O813" s="22" t="str">
        <f t="shared" si="543"/>
        <v/>
      </c>
      <c r="P813" s="21" t="str">
        <f t="shared" si="544"/>
        <v>Apprenant 801 ou 801'</v>
      </c>
      <c r="Q813" s="22" t="str">
        <f t="shared" si="545"/>
        <v/>
      </c>
      <c r="R813" s="22" t="str">
        <f t="shared" si="546"/>
        <v/>
      </c>
      <c r="S813" s="22" t="str">
        <f t="shared" si="547"/>
        <v/>
      </c>
      <c r="T813" s="22" t="str">
        <f t="shared" si="548"/>
        <v/>
      </c>
      <c r="V813" s="21" t="str">
        <f t="shared" si="549"/>
        <v>Apprenant 801</v>
      </c>
      <c r="W813" s="22" t="str">
        <f>IF(AND(OR('Choix pédagogiques'!$C$3=1,'Choix pédagogiques'!$C$3=2),$BM813=1),B813,IF(AND('Choix pédagogiques'!$C$3=3,$BO813=1),B813,""))</f>
        <v/>
      </c>
      <c r="X813" s="22" t="str">
        <f>IF(AND(OR('Choix pédagogiques'!$C$3=1,'Choix pédagogiques'!$C$3=2),$BM813=1),C813,IF(AND('Choix pédagogiques'!$C$3=3,$BO813=1),C813,""))</f>
        <v/>
      </c>
      <c r="Y813" s="22" t="str">
        <f>IF(AND(OR('Choix pédagogiques'!$C$3=1,'Choix pédagogiques'!$C$3=2),$BM813=1),D813,IF(AND('Choix pédagogiques'!$C$3=3,$BO813=1),D813,""))</f>
        <v/>
      </c>
      <c r="Z813" s="22" t="str">
        <f t="shared" si="550"/>
        <v/>
      </c>
      <c r="AA813" s="21" t="str">
        <f t="shared" si="551"/>
        <v>Apprenant 801 ou 801'</v>
      </c>
      <c r="AB813" s="22" t="str">
        <f>IF(AND(OR('Choix pédagogiques'!$C$3=1,'Choix pédagogiques'!$C$3=2),$BN813=1),G813,IF(AND('Choix pédagogiques'!$C$3=3,$BO813=1),G813,""))</f>
        <v/>
      </c>
      <c r="AC813" s="22" t="str">
        <f>IF(AND(OR('Choix pédagogiques'!$C$3=1,'Choix pédagogiques'!$C$3=2),$BN813=1),H813,IF(AND('Choix pédagogiques'!$C$3=3,$BO813=1),H813,""))</f>
        <v/>
      </c>
      <c r="AD813" s="22" t="str">
        <f>IF(AND(OR('Choix pédagogiques'!$C$3=1,'Choix pédagogiques'!$C$3=2),$BN813=1),I813,IF(AND('Choix pédagogiques'!$C$3=3,$BO813=1),I813,""))</f>
        <v/>
      </c>
      <c r="AE813" s="22" t="str">
        <f t="shared" si="552"/>
        <v/>
      </c>
      <c r="AF813" s="21" t="str">
        <f t="shared" si="553"/>
        <v>Apprenant 801</v>
      </c>
      <c r="AG813" s="22" t="str">
        <f t="shared" si="527"/>
        <v/>
      </c>
      <c r="AH813" s="22" t="str">
        <f t="shared" si="528"/>
        <v/>
      </c>
      <c r="AI813" s="22" t="str">
        <f t="shared" si="529"/>
        <v/>
      </c>
      <c r="AJ813" s="22" t="str">
        <f t="shared" si="554"/>
        <v/>
      </c>
      <c r="AK813" s="21" t="str">
        <f t="shared" si="555"/>
        <v>Apprenant 801 ou 801'</v>
      </c>
      <c r="AL813" s="22" t="str">
        <f t="shared" si="530"/>
        <v/>
      </c>
      <c r="AM813" s="22" t="str">
        <f t="shared" si="531"/>
        <v/>
      </c>
      <c r="AN813" s="22" t="str">
        <f t="shared" si="532"/>
        <v/>
      </c>
      <c r="AO813" s="22" t="str">
        <f t="shared" si="556"/>
        <v/>
      </c>
      <c r="AQ813" s="21" t="str">
        <f t="shared" si="557"/>
        <v>Apprenant 801</v>
      </c>
      <c r="AR813" s="49" t="str">
        <f>IF(AND('Choix pédagogiques'!$C$4&lt;&gt;"?",'Choix pédagogiques'!$C$5&lt;&gt;"?",W813&lt;&gt;""),(W813-'Choix pédagogiques'!$C$4)/('Choix pédagogiques'!$C$5-'Choix pédagogiques'!$C$4),"")</f>
        <v/>
      </c>
      <c r="AS813" s="49" t="str">
        <f>IF(AND('Choix pédagogiques'!$C$4&lt;&gt;"?",'Choix pédagogiques'!$C$5&lt;&gt;"?",X813&lt;&gt;""),(X813-'Choix pédagogiques'!$C$4)/('Choix pédagogiques'!$C$5-'Choix pédagogiques'!$C$4),"")</f>
        <v/>
      </c>
      <c r="AT813" s="49" t="str">
        <f>IF(AND('Choix pédagogiques'!$C$4&lt;&gt;"?",'Choix pédagogiques'!$C$5&lt;&gt;"?",Y813&lt;&gt;""),(Y813-'Choix pédagogiques'!$C$4)/('Choix pédagogiques'!$C$5-'Choix pédagogiques'!$C$4),"")</f>
        <v/>
      </c>
      <c r="AU813" s="22" t="str">
        <f t="shared" si="558"/>
        <v/>
      </c>
      <c r="AV813" s="21" t="str">
        <f t="shared" si="559"/>
        <v>Apprenant 801 ou 801'</v>
      </c>
      <c r="AW813" s="49" t="str">
        <f>IF(AND('Choix pédagogiques'!$C$4&lt;&gt;"?",'Choix pédagogiques'!$C$5&lt;&gt;"?",AB813&lt;&gt;""),(AB813-'Choix pédagogiques'!$C$4)/('Choix pédagogiques'!$C$5-'Choix pédagogiques'!$C$4),"")</f>
        <v/>
      </c>
      <c r="AX813" s="49" t="str">
        <f>IF(AND('Choix pédagogiques'!$C$4&lt;&gt;"?",'Choix pédagogiques'!$C$5&lt;&gt;"?",AC813&lt;&gt;""),(AC813-'Choix pédagogiques'!$C$4)/('Choix pédagogiques'!$C$5-'Choix pédagogiques'!$C$4),"")</f>
        <v/>
      </c>
      <c r="AY813" s="49" t="str">
        <f>IF(AND('Choix pédagogiques'!$C$4&lt;&gt;"?",'Choix pédagogiques'!$C$5&lt;&gt;"?",AD813&lt;&gt;""),(AD813-'Choix pédagogiques'!$C$4)/('Choix pédagogiques'!$C$5-'Choix pédagogiques'!$C$4),"")</f>
        <v/>
      </c>
      <c r="AZ813" s="22" t="str">
        <f t="shared" si="560"/>
        <v/>
      </c>
      <c r="BA813" s="21" t="str">
        <f t="shared" si="561"/>
        <v>Apprenant 801</v>
      </c>
      <c r="BB813" s="49" t="str">
        <f t="shared" si="533"/>
        <v/>
      </c>
      <c r="BC813" s="49" t="str">
        <f t="shared" si="534"/>
        <v/>
      </c>
      <c r="BD813" s="49" t="str">
        <f t="shared" si="535"/>
        <v/>
      </c>
      <c r="BE813" s="22" t="str">
        <f t="shared" si="562"/>
        <v/>
      </c>
      <c r="BF813" s="21" t="str">
        <f t="shared" si="563"/>
        <v>Apprenant 801 ou 801'</v>
      </c>
      <c r="BG813" s="49" t="str">
        <f t="shared" si="536"/>
        <v/>
      </c>
      <c r="BH813" s="49" t="str">
        <f t="shared" si="537"/>
        <v/>
      </c>
      <c r="BI813" s="49" t="str">
        <f t="shared" si="538"/>
        <v/>
      </c>
      <c r="BJ813" s="22" t="str">
        <f t="shared" si="564"/>
        <v/>
      </c>
      <c r="BL813" s="21"/>
      <c r="BM813" s="21" t="str">
        <f>IF(OR(COUNT(B813:D1812)=0,AND('Choix pédagogiques'!$C$3&lt;&gt;1,'Choix pédagogiques'!$C$3&lt;&gt;2)),"",IF(AND(OR('Choix pédagogiques'!$C$3=1,'Choix pédagogiques'!$C$3=2),$B813&lt;&gt;"",$C813&lt;&gt;"",$D813&lt;&gt;""),1,0))</f>
        <v/>
      </c>
      <c r="BN813" s="21" t="str">
        <f>IF(OR(COUNT(G813:I1812)=0,AND('Choix pédagogiques'!$C$3&lt;&gt;1,'Choix pédagogiques'!$C$3&lt;&gt;2)),"",IF(AND(OR('Choix pédagogiques'!$C$3=1,'Choix pédagogiques'!$C$3=2),AND($G813&lt;&gt;"",$H813&lt;&gt;"",$I813&lt;&gt;"")),1,0))</f>
        <v/>
      </c>
      <c r="BO813" s="21" t="str">
        <f>IF(OR(COUNT(B813:D1812)=0,COUNT(G813:I1812)=0,'Choix pédagogiques'!C$3&lt;&gt;3),"",IF(AND('Choix pédagogiques'!$C$3=3,$B813&lt;&gt;"",$C813&lt;&gt;"",$D813&lt;&gt;"",$G813&lt;&gt;"",$H813&lt;&gt;"",$I813&lt;&gt;""),1,0))</f>
        <v/>
      </c>
      <c r="BR813" s="21">
        <v>84</v>
      </c>
      <c r="BS813" s="21">
        <v>1134</v>
      </c>
      <c r="BT813"/>
    </row>
    <row r="814" spans="1:72" s="23" customFormat="1" ht="18" customHeight="1" x14ac:dyDescent="0.3">
      <c r="A814" s="35" t="s">
        <v>804</v>
      </c>
      <c r="B814" s="37"/>
      <c r="C814" s="37"/>
      <c r="D814" s="37"/>
      <c r="E814" s="37"/>
      <c r="F814" s="35" t="s">
        <v>1812</v>
      </c>
      <c r="G814" s="37"/>
      <c r="H814" s="37"/>
      <c r="I814" s="37"/>
      <c r="J814" s="37"/>
      <c r="K814" s="21" t="str">
        <f t="shared" si="539"/>
        <v>Apprenant 802</v>
      </c>
      <c r="L814" s="22" t="str">
        <f t="shared" si="540"/>
        <v/>
      </c>
      <c r="M814" s="22" t="str">
        <f t="shared" si="541"/>
        <v/>
      </c>
      <c r="N814" s="22" t="str">
        <f t="shared" si="542"/>
        <v/>
      </c>
      <c r="O814" s="22" t="str">
        <f t="shared" si="543"/>
        <v/>
      </c>
      <c r="P814" s="21" t="str">
        <f t="shared" si="544"/>
        <v>Apprenant 802 ou 802'</v>
      </c>
      <c r="Q814" s="22" t="str">
        <f t="shared" si="545"/>
        <v/>
      </c>
      <c r="R814" s="22" t="str">
        <f t="shared" si="546"/>
        <v/>
      </c>
      <c r="S814" s="22" t="str">
        <f t="shared" si="547"/>
        <v/>
      </c>
      <c r="T814" s="22" t="str">
        <f t="shared" si="548"/>
        <v/>
      </c>
      <c r="V814" s="21" t="str">
        <f t="shared" si="549"/>
        <v>Apprenant 802</v>
      </c>
      <c r="W814" s="22" t="str">
        <f>IF(AND(OR('Choix pédagogiques'!$C$3=1,'Choix pédagogiques'!$C$3=2),$BM814=1),B814,IF(AND('Choix pédagogiques'!$C$3=3,$BO814=1),B814,""))</f>
        <v/>
      </c>
      <c r="X814" s="22" t="str">
        <f>IF(AND(OR('Choix pédagogiques'!$C$3=1,'Choix pédagogiques'!$C$3=2),$BM814=1),C814,IF(AND('Choix pédagogiques'!$C$3=3,$BO814=1),C814,""))</f>
        <v/>
      </c>
      <c r="Y814" s="22" t="str">
        <f>IF(AND(OR('Choix pédagogiques'!$C$3=1,'Choix pédagogiques'!$C$3=2),$BM814=1),D814,IF(AND('Choix pédagogiques'!$C$3=3,$BO814=1),D814,""))</f>
        <v/>
      </c>
      <c r="Z814" s="22" t="str">
        <f t="shared" si="550"/>
        <v/>
      </c>
      <c r="AA814" s="21" t="str">
        <f t="shared" si="551"/>
        <v>Apprenant 802 ou 802'</v>
      </c>
      <c r="AB814" s="22" t="str">
        <f>IF(AND(OR('Choix pédagogiques'!$C$3=1,'Choix pédagogiques'!$C$3=2),$BN814=1),G814,IF(AND('Choix pédagogiques'!$C$3=3,$BO814=1),G814,""))</f>
        <v/>
      </c>
      <c r="AC814" s="22" t="str">
        <f>IF(AND(OR('Choix pédagogiques'!$C$3=1,'Choix pédagogiques'!$C$3=2),$BN814=1),H814,IF(AND('Choix pédagogiques'!$C$3=3,$BO814=1),H814,""))</f>
        <v/>
      </c>
      <c r="AD814" s="22" t="str">
        <f>IF(AND(OR('Choix pédagogiques'!$C$3=1,'Choix pédagogiques'!$C$3=2),$BN814=1),I814,IF(AND('Choix pédagogiques'!$C$3=3,$BO814=1),I814,""))</f>
        <v/>
      </c>
      <c r="AE814" s="22" t="str">
        <f t="shared" si="552"/>
        <v/>
      </c>
      <c r="AF814" s="21" t="str">
        <f t="shared" si="553"/>
        <v>Apprenant 802</v>
      </c>
      <c r="AG814" s="22" t="str">
        <f t="shared" si="527"/>
        <v/>
      </c>
      <c r="AH814" s="22" t="str">
        <f t="shared" si="528"/>
        <v/>
      </c>
      <c r="AI814" s="22" t="str">
        <f t="shared" si="529"/>
        <v/>
      </c>
      <c r="AJ814" s="22" t="str">
        <f t="shared" si="554"/>
        <v/>
      </c>
      <c r="AK814" s="21" t="str">
        <f t="shared" si="555"/>
        <v>Apprenant 802 ou 802'</v>
      </c>
      <c r="AL814" s="22" t="str">
        <f t="shared" si="530"/>
        <v/>
      </c>
      <c r="AM814" s="22" t="str">
        <f t="shared" si="531"/>
        <v/>
      </c>
      <c r="AN814" s="22" t="str">
        <f t="shared" si="532"/>
        <v/>
      </c>
      <c r="AO814" s="22" t="str">
        <f t="shared" si="556"/>
        <v/>
      </c>
      <c r="AQ814" s="21" t="str">
        <f t="shared" si="557"/>
        <v>Apprenant 802</v>
      </c>
      <c r="AR814" s="49" t="str">
        <f>IF(AND('Choix pédagogiques'!$C$4&lt;&gt;"?",'Choix pédagogiques'!$C$5&lt;&gt;"?",W814&lt;&gt;""),(W814-'Choix pédagogiques'!$C$4)/('Choix pédagogiques'!$C$5-'Choix pédagogiques'!$C$4),"")</f>
        <v/>
      </c>
      <c r="AS814" s="49" t="str">
        <f>IF(AND('Choix pédagogiques'!$C$4&lt;&gt;"?",'Choix pédagogiques'!$C$5&lt;&gt;"?",X814&lt;&gt;""),(X814-'Choix pédagogiques'!$C$4)/('Choix pédagogiques'!$C$5-'Choix pédagogiques'!$C$4),"")</f>
        <v/>
      </c>
      <c r="AT814" s="49" t="str">
        <f>IF(AND('Choix pédagogiques'!$C$4&lt;&gt;"?",'Choix pédagogiques'!$C$5&lt;&gt;"?",Y814&lt;&gt;""),(Y814-'Choix pédagogiques'!$C$4)/('Choix pédagogiques'!$C$5-'Choix pédagogiques'!$C$4),"")</f>
        <v/>
      </c>
      <c r="AU814" s="22" t="str">
        <f t="shared" si="558"/>
        <v/>
      </c>
      <c r="AV814" s="21" t="str">
        <f t="shared" si="559"/>
        <v>Apprenant 802 ou 802'</v>
      </c>
      <c r="AW814" s="49" t="str">
        <f>IF(AND('Choix pédagogiques'!$C$4&lt;&gt;"?",'Choix pédagogiques'!$C$5&lt;&gt;"?",AB814&lt;&gt;""),(AB814-'Choix pédagogiques'!$C$4)/('Choix pédagogiques'!$C$5-'Choix pédagogiques'!$C$4),"")</f>
        <v/>
      </c>
      <c r="AX814" s="49" t="str">
        <f>IF(AND('Choix pédagogiques'!$C$4&lt;&gt;"?",'Choix pédagogiques'!$C$5&lt;&gt;"?",AC814&lt;&gt;""),(AC814-'Choix pédagogiques'!$C$4)/('Choix pédagogiques'!$C$5-'Choix pédagogiques'!$C$4),"")</f>
        <v/>
      </c>
      <c r="AY814" s="49" t="str">
        <f>IF(AND('Choix pédagogiques'!$C$4&lt;&gt;"?",'Choix pédagogiques'!$C$5&lt;&gt;"?",AD814&lt;&gt;""),(AD814-'Choix pédagogiques'!$C$4)/('Choix pédagogiques'!$C$5-'Choix pédagogiques'!$C$4),"")</f>
        <v/>
      </c>
      <c r="AZ814" s="22" t="str">
        <f t="shared" si="560"/>
        <v/>
      </c>
      <c r="BA814" s="21" t="str">
        <f t="shared" si="561"/>
        <v>Apprenant 802</v>
      </c>
      <c r="BB814" s="49" t="str">
        <f t="shared" si="533"/>
        <v/>
      </c>
      <c r="BC814" s="49" t="str">
        <f t="shared" si="534"/>
        <v/>
      </c>
      <c r="BD814" s="49" t="str">
        <f t="shared" si="535"/>
        <v/>
      </c>
      <c r="BE814" s="22" t="str">
        <f t="shared" si="562"/>
        <v/>
      </c>
      <c r="BF814" s="21" t="str">
        <f t="shared" si="563"/>
        <v>Apprenant 802 ou 802'</v>
      </c>
      <c r="BG814" s="49" t="str">
        <f t="shared" si="536"/>
        <v/>
      </c>
      <c r="BH814" s="49" t="str">
        <f t="shared" si="537"/>
        <v/>
      </c>
      <c r="BI814" s="49" t="str">
        <f t="shared" si="538"/>
        <v/>
      </c>
      <c r="BJ814" s="22" t="str">
        <f t="shared" si="564"/>
        <v/>
      </c>
      <c r="BL814" s="21"/>
      <c r="BM814" s="21" t="str">
        <f>IF(OR(COUNT(B814:D1813)=0,AND('Choix pédagogiques'!$C$3&lt;&gt;1,'Choix pédagogiques'!$C$3&lt;&gt;2)),"",IF(AND(OR('Choix pédagogiques'!$C$3=1,'Choix pédagogiques'!$C$3=2),$B814&lt;&gt;"",$C814&lt;&gt;"",$D814&lt;&gt;""),1,0))</f>
        <v/>
      </c>
      <c r="BN814" s="21" t="str">
        <f>IF(OR(COUNT(G814:I1813)=0,AND('Choix pédagogiques'!$C$3&lt;&gt;1,'Choix pédagogiques'!$C$3&lt;&gt;2)),"",IF(AND(OR('Choix pédagogiques'!$C$3=1,'Choix pédagogiques'!$C$3=2),AND($G814&lt;&gt;"",$H814&lt;&gt;"",$I814&lt;&gt;"")),1,0))</f>
        <v/>
      </c>
      <c r="BO814" s="21" t="str">
        <f>IF(OR(COUNT(B814:D1813)=0,COUNT(G814:I1813)=0,'Choix pédagogiques'!C$3&lt;&gt;3),"",IF(AND('Choix pédagogiques'!$C$3=3,$B814&lt;&gt;"",$C814&lt;&gt;"",$D814&lt;&gt;"",$G814&lt;&gt;"",$H814&lt;&gt;"",$I814&lt;&gt;""),1,0))</f>
        <v/>
      </c>
      <c r="BR814" s="21">
        <v>247</v>
      </c>
      <c r="BS814" s="21">
        <v>1619</v>
      </c>
      <c r="BT814"/>
    </row>
    <row r="815" spans="1:72" s="23" customFormat="1" ht="18" customHeight="1" x14ac:dyDescent="0.3">
      <c r="A815" s="35" t="s">
        <v>805</v>
      </c>
      <c r="B815" s="37"/>
      <c r="C815" s="37"/>
      <c r="D815" s="37"/>
      <c r="E815" s="37"/>
      <c r="F815" s="35" t="s">
        <v>1813</v>
      </c>
      <c r="G815" s="37"/>
      <c r="H815" s="37"/>
      <c r="I815" s="37"/>
      <c r="J815" s="37"/>
      <c r="K815" s="21" t="str">
        <f t="shared" si="539"/>
        <v>Apprenant 803</v>
      </c>
      <c r="L815" s="22" t="str">
        <f t="shared" si="540"/>
        <v/>
      </c>
      <c r="M815" s="22" t="str">
        <f t="shared" si="541"/>
        <v/>
      </c>
      <c r="N815" s="22" t="str">
        <f t="shared" si="542"/>
        <v/>
      </c>
      <c r="O815" s="22" t="str">
        <f t="shared" si="543"/>
        <v/>
      </c>
      <c r="P815" s="21" t="str">
        <f t="shared" si="544"/>
        <v>Apprenant 803 ou 803'</v>
      </c>
      <c r="Q815" s="22" t="str">
        <f t="shared" si="545"/>
        <v/>
      </c>
      <c r="R815" s="22" t="str">
        <f t="shared" si="546"/>
        <v/>
      </c>
      <c r="S815" s="22" t="str">
        <f t="shared" si="547"/>
        <v/>
      </c>
      <c r="T815" s="22" t="str">
        <f t="shared" si="548"/>
        <v/>
      </c>
      <c r="V815" s="21" t="str">
        <f t="shared" si="549"/>
        <v>Apprenant 803</v>
      </c>
      <c r="W815" s="22" t="str">
        <f>IF(AND(OR('Choix pédagogiques'!$C$3=1,'Choix pédagogiques'!$C$3=2),$BM815=1),B815,IF(AND('Choix pédagogiques'!$C$3=3,$BO815=1),B815,""))</f>
        <v/>
      </c>
      <c r="X815" s="22" t="str">
        <f>IF(AND(OR('Choix pédagogiques'!$C$3=1,'Choix pédagogiques'!$C$3=2),$BM815=1),C815,IF(AND('Choix pédagogiques'!$C$3=3,$BO815=1),C815,""))</f>
        <v/>
      </c>
      <c r="Y815" s="22" t="str">
        <f>IF(AND(OR('Choix pédagogiques'!$C$3=1,'Choix pédagogiques'!$C$3=2),$BM815=1),D815,IF(AND('Choix pédagogiques'!$C$3=3,$BO815=1),D815,""))</f>
        <v/>
      </c>
      <c r="Z815" s="22" t="str">
        <f t="shared" si="550"/>
        <v/>
      </c>
      <c r="AA815" s="21" t="str">
        <f t="shared" si="551"/>
        <v>Apprenant 803 ou 803'</v>
      </c>
      <c r="AB815" s="22" t="str">
        <f>IF(AND(OR('Choix pédagogiques'!$C$3=1,'Choix pédagogiques'!$C$3=2),$BN815=1),G815,IF(AND('Choix pédagogiques'!$C$3=3,$BO815=1),G815,""))</f>
        <v/>
      </c>
      <c r="AC815" s="22" t="str">
        <f>IF(AND(OR('Choix pédagogiques'!$C$3=1,'Choix pédagogiques'!$C$3=2),$BN815=1),H815,IF(AND('Choix pédagogiques'!$C$3=3,$BO815=1),H815,""))</f>
        <v/>
      </c>
      <c r="AD815" s="22" t="str">
        <f>IF(AND(OR('Choix pédagogiques'!$C$3=1,'Choix pédagogiques'!$C$3=2),$BN815=1),I815,IF(AND('Choix pédagogiques'!$C$3=3,$BO815=1),I815,""))</f>
        <v/>
      </c>
      <c r="AE815" s="22" t="str">
        <f t="shared" si="552"/>
        <v/>
      </c>
      <c r="AF815" s="21" t="str">
        <f t="shared" si="553"/>
        <v>Apprenant 803</v>
      </c>
      <c r="AG815" s="22" t="str">
        <f t="shared" si="527"/>
        <v/>
      </c>
      <c r="AH815" s="22" t="str">
        <f t="shared" si="528"/>
        <v/>
      </c>
      <c r="AI815" s="22" t="str">
        <f t="shared" si="529"/>
        <v/>
      </c>
      <c r="AJ815" s="22" t="str">
        <f t="shared" si="554"/>
        <v/>
      </c>
      <c r="AK815" s="21" t="str">
        <f t="shared" si="555"/>
        <v>Apprenant 803 ou 803'</v>
      </c>
      <c r="AL815" s="22" t="str">
        <f t="shared" si="530"/>
        <v/>
      </c>
      <c r="AM815" s="22" t="str">
        <f t="shared" si="531"/>
        <v/>
      </c>
      <c r="AN815" s="22" t="str">
        <f t="shared" si="532"/>
        <v/>
      </c>
      <c r="AO815" s="22" t="str">
        <f t="shared" si="556"/>
        <v/>
      </c>
      <c r="AQ815" s="21" t="str">
        <f t="shared" si="557"/>
        <v>Apprenant 803</v>
      </c>
      <c r="AR815" s="49" t="str">
        <f>IF(AND('Choix pédagogiques'!$C$4&lt;&gt;"?",'Choix pédagogiques'!$C$5&lt;&gt;"?",W815&lt;&gt;""),(W815-'Choix pédagogiques'!$C$4)/('Choix pédagogiques'!$C$5-'Choix pédagogiques'!$C$4),"")</f>
        <v/>
      </c>
      <c r="AS815" s="49" t="str">
        <f>IF(AND('Choix pédagogiques'!$C$4&lt;&gt;"?",'Choix pédagogiques'!$C$5&lt;&gt;"?",X815&lt;&gt;""),(X815-'Choix pédagogiques'!$C$4)/('Choix pédagogiques'!$C$5-'Choix pédagogiques'!$C$4),"")</f>
        <v/>
      </c>
      <c r="AT815" s="49" t="str">
        <f>IF(AND('Choix pédagogiques'!$C$4&lt;&gt;"?",'Choix pédagogiques'!$C$5&lt;&gt;"?",Y815&lt;&gt;""),(Y815-'Choix pédagogiques'!$C$4)/('Choix pédagogiques'!$C$5-'Choix pédagogiques'!$C$4),"")</f>
        <v/>
      </c>
      <c r="AU815" s="22" t="str">
        <f t="shared" si="558"/>
        <v/>
      </c>
      <c r="AV815" s="21" t="str">
        <f t="shared" si="559"/>
        <v>Apprenant 803 ou 803'</v>
      </c>
      <c r="AW815" s="49" t="str">
        <f>IF(AND('Choix pédagogiques'!$C$4&lt;&gt;"?",'Choix pédagogiques'!$C$5&lt;&gt;"?",AB815&lt;&gt;""),(AB815-'Choix pédagogiques'!$C$4)/('Choix pédagogiques'!$C$5-'Choix pédagogiques'!$C$4),"")</f>
        <v/>
      </c>
      <c r="AX815" s="49" t="str">
        <f>IF(AND('Choix pédagogiques'!$C$4&lt;&gt;"?",'Choix pédagogiques'!$C$5&lt;&gt;"?",AC815&lt;&gt;""),(AC815-'Choix pédagogiques'!$C$4)/('Choix pédagogiques'!$C$5-'Choix pédagogiques'!$C$4),"")</f>
        <v/>
      </c>
      <c r="AY815" s="49" t="str">
        <f>IF(AND('Choix pédagogiques'!$C$4&lt;&gt;"?",'Choix pédagogiques'!$C$5&lt;&gt;"?",AD815&lt;&gt;""),(AD815-'Choix pédagogiques'!$C$4)/('Choix pédagogiques'!$C$5-'Choix pédagogiques'!$C$4),"")</f>
        <v/>
      </c>
      <c r="AZ815" s="22" t="str">
        <f t="shared" si="560"/>
        <v/>
      </c>
      <c r="BA815" s="21" t="str">
        <f t="shared" si="561"/>
        <v>Apprenant 803</v>
      </c>
      <c r="BB815" s="49" t="str">
        <f t="shared" si="533"/>
        <v/>
      </c>
      <c r="BC815" s="49" t="str">
        <f t="shared" si="534"/>
        <v/>
      </c>
      <c r="BD815" s="49" t="str">
        <f t="shared" si="535"/>
        <v/>
      </c>
      <c r="BE815" s="22" t="str">
        <f t="shared" si="562"/>
        <v/>
      </c>
      <c r="BF815" s="21" t="str">
        <f t="shared" si="563"/>
        <v>Apprenant 803 ou 803'</v>
      </c>
      <c r="BG815" s="49" t="str">
        <f t="shared" si="536"/>
        <v/>
      </c>
      <c r="BH815" s="49" t="str">
        <f t="shared" si="537"/>
        <v/>
      </c>
      <c r="BI815" s="49" t="str">
        <f t="shared" si="538"/>
        <v/>
      </c>
      <c r="BJ815" s="22" t="str">
        <f t="shared" si="564"/>
        <v/>
      </c>
      <c r="BL815" s="21"/>
      <c r="BM815" s="21" t="str">
        <f>IF(OR(COUNT(B815:D1814)=0,AND('Choix pédagogiques'!$C$3&lt;&gt;1,'Choix pédagogiques'!$C$3&lt;&gt;2)),"",IF(AND(OR('Choix pédagogiques'!$C$3=1,'Choix pédagogiques'!$C$3=2),$B815&lt;&gt;"",$C815&lt;&gt;"",$D815&lt;&gt;""),1,0))</f>
        <v/>
      </c>
      <c r="BN815" s="21" t="str">
        <f>IF(OR(COUNT(G815:I1814)=0,AND('Choix pédagogiques'!$C$3&lt;&gt;1,'Choix pédagogiques'!$C$3&lt;&gt;2)),"",IF(AND(OR('Choix pédagogiques'!$C$3=1,'Choix pédagogiques'!$C$3=2),AND($G815&lt;&gt;"",$H815&lt;&gt;"",$I815&lt;&gt;"")),1,0))</f>
        <v/>
      </c>
      <c r="BO815" s="21" t="str">
        <f>IF(OR(COUNT(B815:D1814)=0,COUNT(G815:I1814)=0,'Choix pédagogiques'!C$3&lt;&gt;3),"",IF(AND('Choix pédagogiques'!$C$3=3,$B815&lt;&gt;"",$C815&lt;&gt;"",$D815&lt;&gt;"",$G815&lt;&gt;"",$H815&lt;&gt;"",$I815&lt;&gt;""),1,0))</f>
        <v/>
      </c>
      <c r="BR815" s="21">
        <v>266</v>
      </c>
      <c r="BS815" s="21">
        <v>2000</v>
      </c>
      <c r="BT815"/>
    </row>
    <row r="816" spans="1:72" s="23" customFormat="1" ht="18" customHeight="1" x14ac:dyDescent="0.3">
      <c r="A816" s="35" t="s">
        <v>806</v>
      </c>
      <c r="B816" s="37"/>
      <c r="C816" s="37"/>
      <c r="D816" s="37"/>
      <c r="E816" s="37"/>
      <c r="F816" s="35" t="s">
        <v>1814</v>
      </c>
      <c r="G816" s="37"/>
      <c r="H816" s="37"/>
      <c r="I816" s="37"/>
      <c r="J816" s="37"/>
      <c r="K816" s="21" t="str">
        <f t="shared" si="539"/>
        <v>Apprenant 804</v>
      </c>
      <c r="L816" s="22" t="str">
        <f t="shared" si="540"/>
        <v/>
      </c>
      <c r="M816" s="22" t="str">
        <f t="shared" si="541"/>
        <v/>
      </c>
      <c r="N816" s="22" t="str">
        <f t="shared" si="542"/>
        <v/>
      </c>
      <c r="O816" s="22" t="str">
        <f t="shared" si="543"/>
        <v/>
      </c>
      <c r="P816" s="21" t="str">
        <f t="shared" si="544"/>
        <v>Apprenant 804 ou 804'</v>
      </c>
      <c r="Q816" s="22" t="str">
        <f t="shared" si="545"/>
        <v/>
      </c>
      <c r="R816" s="22" t="str">
        <f t="shared" si="546"/>
        <v/>
      </c>
      <c r="S816" s="22" t="str">
        <f t="shared" si="547"/>
        <v/>
      </c>
      <c r="T816" s="22" t="str">
        <f t="shared" si="548"/>
        <v/>
      </c>
      <c r="V816" s="21" t="str">
        <f t="shared" si="549"/>
        <v>Apprenant 804</v>
      </c>
      <c r="W816" s="22" t="str">
        <f>IF(AND(OR('Choix pédagogiques'!$C$3=1,'Choix pédagogiques'!$C$3=2),$BM816=1),B816,IF(AND('Choix pédagogiques'!$C$3=3,$BO816=1),B816,""))</f>
        <v/>
      </c>
      <c r="X816" s="22" t="str">
        <f>IF(AND(OR('Choix pédagogiques'!$C$3=1,'Choix pédagogiques'!$C$3=2),$BM816=1),C816,IF(AND('Choix pédagogiques'!$C$3=3,$BO816=1),C816,""))</f>
        <v/>
      </c>
      <c r="Y816" s="22" t="str">
        <f>IF(AND(OR('Choix pédagogiques'!$C$3=1,'Choix pédagogiques'!$C$3=2),$BM816=1),D816,IF(AND('Choix pédagogiques'!$C$3=3,$BO816=1),D816,""))</f>
        <v/>
      </c>
      <c r="Z816" s="22" t="str">
        <f t="shared" si="550"/>
        <v/>
      </c>
      <c r="AA816" s="21" t="str">
        <f t="shared" si="551"/>
        <v>Apprenant 804 ou 804'</v>
      </c>
      <c r="AB816" s="22" t="str">
        <f>IF(AND(OR('Choix pédagogiques'!$C$3=1,'Choix pédagogiques'!$C$3=2),$BN816=1),G816,IF(AND('Choix pédagogiques'!$C$3=3,$BO816=1),G816,""))</f>
        <v/>
      </c>
      <c r="AC816" s="22" t="str">
        <f>IF(AND(OR('Choix pédagogiques'!$C$3=1,'Choix pédagogiques'!$C$3=2),$BN816=1),H816,IF(AND('Choix pédagogiques'!$C$3=3,$BO816=1),H816,""))</f>
        <v/>
      </c>
      <c r="AD816" s="22" t="str">
        <f>IF(AND(OR('Choix pédagogiques'!$C$3=1,'Choix pédagogiques'!$C$3=2),$BN816=1),I816,IF(AND('Choix pédagogiques'!$C$3=3,$BO816=1),I816,""))</f>
        <v/>
      </c>
      <c r="AE816" s="22" t="str">
        <f t="shared" si="552"/>
        <v/>
      </c>
      <c r="AF816" s="21" t="str">
        <f t="shared" si="553"/>
        <v>Apprenant 804</v>
      </c>
      <c r="AG816" s="22" t="str">
        <f t="shared" si="527"/>
        <v/>
      </c>
      <c r="AH816" s="22" t="str">
        <f t="shared" si="528"/>
        <v/>
      </c>
      <c r="AI816" s="22" t="str">
        <f t="shared" si="529"/>
        <v/>
      </c>
      <c r="AJ816" s="22" t="str">
        <f t="shared" si="554"/>
        <v/>
      </c>
      <c r="AK816" s="21" t="str">
        <f t="shared" si="555"/>
        <v>Apprenant 804 ou 804'</v>
      </c>
      <c r="AL816" s="22" t="str">
        <f t="shared" si="530"/>
        <v/>
      </c>
      <c r="AM816" s="22" t="str">
        <f t="shared" si="531"/>
        <v/>
      </c>
      <c r="AN816" s="22" t="str">
        <f t="shared" si="532"/>
        <v/>
      </c>
      <c r="AO816" s="22" t="str">
        <f t="shared" si="556"/>
        <v/>
      </c>
      <c r="AQ816" s="21" t="str">
        <f t="shared" si="557"/>
        <v>Apprenant 804</v>
      </c>
      <c r="AR816" s="49" t="str">
        <f>IF(AND('Choix pédagogiques'!$C$4&lt;&gt;"?",'Choix pédagogiques'!$C$5&lt;&gt;"?",W816&lt;&gt;""),(W816-'Choix pédagogiques'!$C$4)/('Choix pédagogiques'!$C$5-'Choix pédagogiques'!$C$4),"")</f>
        <v/>
      </c>
      <c r="AS816" s="49" t="str">
        <f>IF(AND('Choix pédagogiques'!$C$4&lt;&gt;"?",'Choix pédagogiques'!$C$5&lt;&gt;"?",X816&lt;&gt;""),(X816-'Choix pédagogiques'!$C$4)/('Choix pédagogiques'!$C$5-'Choix pédagogiques'!$C$4),"")</f>
        <v/>
      </c>
      <c r="AT816" s="49" t="str">
        <f>IF(AND('Choix pédagogiques'!$C$4&lt;&gt;"?",'Choix pédagogiques'!$C$5&lt;&gt;"?",Y816&lt;&gt;""),(Y816-'Choix pédagogiques'!$C$4)/('Choix pédagogiques'!$C$5-'Choix pédagogiques'!$C$4),"")</f>
        <v/>
      </c>
      <c r="AU816" s="22" t="str">
        <f t="shared" si="558"/>
        <v/>
      </c>
      <c r="AV816" s="21" t="str">
        <f t="shared" si="559"/>
        <v>Apprenant 804 ou 804'</v>
      </c>
      <c r="AW816" s="49" t="str">
        <f>IF(AND('Choix pédagogiques'!$C$4&lt;&gt;"?",'Choix pédagogiques'!$C$5&lt;&gt;"?",AB816&lt;&gt;""),(AB816-'Choix pédagogiques'!$C$4)/('Choix pédagogiques'!$C$5-'Choix pédagogiques'!$C$4),"")</f>
        <v/>
      </c>
      <c r="AX816" s="49" t="str">
        <f>IF(AND('Choix pédagogiques'!$C$4&lt;&gt;"?",'Choix pédagogiques'!$C$5&lt;&gt;"?",AC816&lt;&gt;""),(AC816-'Choix pédagogiques'!$C$4)/('Choix pédagogiques'!$C$5-'Choix pédagogiques'!$C$4),"")</f>
        <v/>
      </c>
      <c r="AY816" s="49" t="str">
        <f>IF(AND('Choix pédagogiques'!$C$4&lt;&gt;"?",'Choix pédagogiques'!$C$5&lt;&gt;"?",AD816&lt;&gt;""),(AD816-'Choix pédagogiques'!$C$4)/('Choix pédagogiques'!$C$5-'Choix pédagogiques'!$C$4),"")</f>
        <v/>
      </c>
      <c r="AZ816" s="22" t="str">
        <f t="shared" si="560"/>
        <v/>
      </c>
      <c r="BA816" s="21" t="str">
        <f t="shared" si="561"/>
        <v>Apprenant 804</v>
      </c>
      <c r="BB816" s="49" t="str">
        <f t="shared" si="533"/>
        <v/>
      </c>
      <c r="BC816" s="49" t="str">
        <f t="shared" si="534"/>
        <v/>
      </c>
      <c r="BD816" s="49" t="str">
        <f t="shared" si="535"/>
        <v/>
      </c>
      <c r="BE816" s="22" t="str">
        <f t="shared" si="562"/>
        <v/>
      </c>
      <c r="BF816" s="21" t="str">
        <f t="shared" si="563"/>
        <v>Apprenant 804 ou 804'</v>
      </c>
      <c r="BG816" s="49" t="str">
        <f t="shared" si="536"/>
        <v/>
      </c>
      <c r="BH816" s="49" t="str">
        <f t="shared" si="537"/>
        <v/>
      </c>
      <c r="BI816" s="49" t="str">
        <f t="shared" si="538"/>
        <v/>
      </c>
      <c r="BJ816" s="22" t="str">
        <f t="shared" si="564"/>
        <v/>
      </c>
      <c r="BL816" s="21"/>
      <c r="BM816" s="21" t="str">
        <f>IF(OR(COUNT(B816:D1815)=0,AND('Choix pédagogiques'!$C$3&lt;&gt;1,'Choix pédagogiques'!$C$3&lt;&gt;2)),"",IF(AND(OR('Choix pédagogiques'!$C$3=1,'Choix pédagogiques'!$C$3=2),$B816&lt;&gt;"",$C816&lt;&gt;"",$D816&lt;&gt;""),1,0))</f>
        <v/>
      </c>
      <c r="BN816" s="21" t="str">
        <f>IF(OR(COUNT(G816:I1815)=0,AND('Choix pédagogiques'!$C$3&lt;&gt;1,'Choix pédagogiques'!$C$3&lt;&gt;2)),"",IF(AND(OR('Choix pédagogiques'!$C$3=1,'Choix pédagogiques'!$C$3=2),AND($G816&lt;&gt;"",$H816&lt;&gt;"",$I816&lt;&gt;"")),1,0))</f>
        <v/>
      </c>
      <c r="BO816" s="21" t="str">
        <f>IF(OR(COUNT(B816:D1815)=0,COUNT(G816:I1815)=0,'Choix pédagogiques'!C$3&lt;&gt;3),"",IF(AND('Choix pédagogiques'!$C$3=3,$B816&lt;&gt;"",$C816&lt;&gt;"",$D816&lt;&gt;"",$G816&lt;&gt;"",$H816&lt;&gt;"",$I816&lt;&gt;""),1,0))</f>
        <v/>
      </c>
      <c r="BR816" s="21">
        <v>263</v>
      </c>
      <c r="BS816" s="21">
        <v>1170</v>
      </c>
      <c r="BT816"/>
    </row>
    <row r="817" spans="1:72" s="23" customFormat="1" ht="18" customHeight="1" x14ac:dyDescent="0.3">
      <c r="A817" s="35" t="s">
        <v>807</v>
      </c>
      <c r="B817" s="37"/>
      <c r="C817" s="37"/>
      <c r="D817" s="37"/>
      <c r="E817" s="37"/>
      <c r="F817" s="35" t="s">
        <v>1815</v>
      </c>
      <c r="G817" s="37"/>
      <c r="H817" s="37"/>
      <c r="I817" s="37"/>
      <c r="J817" s="37"/>
      <c r="K817" s="21" t="str">
        <f t="shared" si="539"/>
        <v>Apprenant 805</v>
      </c>
      <c r="L817" s="22" t="str">
        <f t="shared" si="540"/>
        <v/>
      </c>
      <c r="M817" s="22" t="str">
        <f t="shared" si="541"/>
        <v/>
      </c>
      <c r="N817" s="22" t="str">
        <f t="shared" si="542"/>
        <v/>
      </c>
      <c r="O817" s="22" t="str">
        <f t="shared" si="543"/>
        <v/>
      </c>
      <c r="P817" s="21" t="str">
        <f t="shared" si="544"/>
        <v>Apprenant 805 ou 805'</v>
      </c>
      <c r="Q817" s="22" t="str">
        <f t="shared" si="545"/>
        <v/>
      </c>
      <c r="R817" s="22" t="str">
        <f t="shared" si="546"/>
        <v/>
      </c>
      <c r="S817" s="22" t="str">
        <f t="shared" si="547"/>
        <v/>
      </c>
      <c r="T817" s="22" t="str">
        <f t="shared" si="548"/>
        <v/>
      </c>
      <c r="V817" s="21" t="str">
        <f t="shared" si="549"/>
        <v>Apprenant 805</v>
      </c>
      <c r="W817" s="22" t="str">
        <f>IF(AND(OR('Choix pédagogiques'!$C$3=1,'Choix pédagogiques'!$C$3=2),$BM817=1),B817,IF(AND('Choix pédagogiques'!$C$3=3,$BO817=1),B817,""))</f>
        <v/>
      </c>
      <c r="X817" s="22" t="str">
        <f>IF(AND(OR('Choix pédagogiques'!$C$3=1,'Choix pédagogiques'!$C$3=2),$BM817=1),C817,IF(AND('Choix pédagogiques'!$C$3=3,$BO817=1),C817,""))</f>
        <v/>
      </c>
      <c r="Y817" s="22" t="str">
        <f>IF(AND(OR('Choix pédagogiques'!$C$3=1,'Choix pédagogiques'!$C$3=2),$BM817=1),D817,IF(AND('Choix pédagogiques'!$C$3=3,$BO817=1),D817,""))</f>
        <v/>
      </c>
      <c r="Z817" s="22" t="str">
        <f t="shared" si="550"/>
        <v/>
      </c>
      <c r="AA817" s="21" t="str">
        <f t="shared" si="551"/>
        <v>Apprenant 805 ou 805'</v>
      </c>
      <c r="AB817" s="22" t="str">
        <f>IF(AND(OR('Choix pédagogiques'!$C$3=1,'Choix pédagogiques'!$C$3=2),$BN817=1),G817,IF(AND('Choix pédagogiques'!$C$3=3,$BO817=1),G817,""))</f>
        <v/>
      </c>
      <c r="AC817" s="22" t="str">
        <f>IF(AND(OR('Choix pédagogiques'!$C$3=1,'Choix pédagogiques'!$C$3=2),$BN817=1),H817,IF(AND('Choix pédagogiques'!$C$3=3,$BO817=1),H817,""))</f>
        <v/>
      </c>
      <c r="AD817" s="22" t="str">
        <f>IF(AND(OR('Choix pédagogiques'!$C$3=1,'Choix pédagogiques'!$C$3=2),$BN817=1),I817,IF(AND('Choix pédagogiques'!$C$3=3,$BO817=1),I817,""))</f>
        <v/>
      </c>
      <c r="AE817" s="22" t="str">
        <f t="shared" si="552"/>
        <v/>
      </c>
      <c r="AF817" s="21" t="str">
        <f t="shared" si="553"/>
        <v>Apprenant 805</v>
      </c>
      <c r="AG817" s="22" t="str">
        <f t="shared" si="527"/>
        <v/>
      </c>
      <c r="AH817" s="22" t="str">
        <f t="shared" si="528"/>
        <v/>
      </c>
      <c r="AI817" s="22" t="str">
        <f t="shared" si="529"/>
        <v/>
      </c>
      <c r="AJ817" s="22" t="str">
        <f t="shared" si="554"/>
        <v/>
      </c>
      <c r="AK817" s="21" t="str">
        <f t="shared" si="555"/>
        <v>Apprenant 805 ou 805'</v>
      </c>
      <c r="AL817" s="22" t="str">
        <f t="shared" si="530"/>
        <v/>
      </c>
      <c r="AM817" s="22" t="str">
        <f t="shared" si="531"/>
        <v/>
      </c>
      <c r="AN817" s="22" t="str">
        <f t="shared" si="532"/>
        <v/>
      </c>
      <c r="AO817" s="22" t="str">
        <f t="shared" si="556"/>
        <v/>
      </c>
      <c r="AQ817" s="21" t="str">
        <f t="shared" si="557"/>
        <v>Apprenant 805</v>
      </c>
      <c r="AR817" s="49" t="str">
        <f>IF(AND('Choix pédagogiques'!$C$4&lt;&gt;"?",'Choix pédagogiques'!$C$5&lt;&gt;"?",W817&lt;&gt;""),(W817-'Choix pédagogiques'!$C$4)/('Choix pédagogiques'!$C$5-'Choix pédagogiques'!$C$4),"")</f>
        <v/>
      </c>
      <c r="AS817" s="49" t="str">
        <f>IF(AND('Choix pédagogiques'!$C$4&lt;&gt;"?",'Choix pédagogiques'!$C$5&lt;&gt;"?",X817&lt;&gt;""),(X817-'Choix pédagogiques'!$C$4)/('Choix pédagogiques'!$C$5-'Choix pédagogiques'!$C$4),"")</f>
        <v/>
      </c>
      <c r="AT817" s="49" t="str">
        <f>IF(AND('Choix pédagogiques'!$C$4&lt;&gt;"?",'Choix pédagogiques'!$C$5&lt;&gt;"?",Y817&lt;&gt;""),(Y817-'Choix pédagogiques'!$C$4)/('Choix pédagogiques'!$C$5-'Choix pédagogiques'!$C$4),"")</f>
        <v/>
      </c>
      <c r="AU817" s="22" t="str">
        <f t="shared" si="558"/>
        <v/>
      </c>
      <c r="AV817" s="21" t="str">
        <f t="shared" si="559"/>
        <v>Apprenant 805 ou 805'</v>
      </c>
      <c r="AW817" s="49" t="str">
        <f>IF(AND('Choix pédagogiques'!$C$4&lt;&gt;"?",'Choix pédagogiques'!$C$5&lt;&gt;"?",AB817&lt;&gt;""),(AB817-'Choix pédagogiques'!$C$4)/('Choix pédagogiques'!$C$5-'Choix pédagogiques'!$C$4),"")</f>
        <v/>
      </c>
      <c r="AX817" s="49" t="str">
        <f>IF(AND('Choix pédagogiques'!$C$4&lt;&gt;"?",'Choix pédagogiques'!$C$5&lt;&gt;"?",AC817&lt;&gt;""),(AC817-'Choix pédagogiques'!$C$4)/('Choix pédagogiques'!$C$5-'Choix pédagogiques'!$C$4),"")</f>
        <v/>
      </c>
      <c r="AY817" s="49" t="str">
        <f>IF(AND('Choix pédagogiques'!$C$4&lt;&gt;"?",'Choix pédagogiques'!$C$5&lt;&gt;"?",AD817&lt;&gt;""),(AD817-'Choix pédagogiques'!$C$4)/('Choix pédagogiques'!$C$5-'Choix pédagogiques'!$C$4),"")</f>
        <v/>
      </c>
      <c r="AZ817" s="22" t="str">
        <f t="shared" si="560"/>
        <v/>
      </c>
      <c r="BA817" s="21" t="str">
        <f t="shared" si="561"/>
        <v>Apprenant 805</v>
      </c>
      <c r="BB817" s="49" t="str">
        <f t="shared" si="533"/>
        <v/>
      </c>
      <c r="BC817" s="49" t="str">
        <f t="shared" si="534"/>
        <v/>
      </c>
      <c r="BD817" s="49" t="str">
        <f t="shared" si="535"/>
        <v/>
      </c>
      <c r="BE817" s="22" t="str">
        <f t="shared" si="562"/>
        <v/>
      </c>
      <c r="BF817" s="21" t="str">
        <f t="shared" si="563"/>
        <v>Apprenant 805 ou 805'</v>
      </c>
      <c r="BG817" s="49" t="str">
        <f t="shared" si="536"/>
        <v/>
      </c>
      <c r="BH817" s="49" t="str">
        <f t="shared" si="537"/>
        <v/>
      </c>
      <c r="BI817" s="49" t="str">
        <f t="shared" si="538"/>
        <v/>
      </c>
      <c r="BJ817" s="22" t="str">
        <f t="shared" si="564"/>
        <v/>
      </c>
      <c r="BL817" s="21"/>
      <c r="BM817" s="21" t="str">
        <f>IF(OR(COUNT(B817:D1816)=0,AND('Choix pédagogiques'!$C$3&lt;&gt;1,'Choix pédagogiques'!$C$3&lt;&gt;2)),"",IF(AND(OR('Choix pédagogiques'!$C$3=1,'Choix pédagogiques'!$C$3=2),$B817&lt;&gt;"",$C817&lt;&gt;"",$D817&lt;&gt;""),1,0))</f>
        <v/>
      </c>
      <c r="BN817" s="21" t="str">
        <f>IF(OR(COUNT(G817:I1816)=0,AND('Choix pédagogiques'!$C$3&lt;&gt;1,'Choix pédagogiques'!$C$3&lt;&gt;2)),"",IF(AND(OR('Choix pédagogiques'!$C$3=1,'Choix pédagogiques'!$C$3=2),AND($G817&lt;&gt;"",$H817&lt;&gt;"",$I817&lt;&gt;"")),1,0))</f>
        <v/>
      </c>
      <c r="BO817" s="21" t="str">
        <f>IF(OR(COUNT(B817:D1816)=0,COUNT(G817:I1816)=0,'Choix pédagogiques'!C$3&lt;&gt;3),"",IF(AND('Choix pédagogiques'!$C$3=3,$B817&lt;&gt;"",$C817&lt;&gt;"",$D817&lt;&gt;"",$G817&lt;&gt;"",$H817&lt;&gt;"",$I817&lt;&gt;""),1,0))</f>
        <v/>
      </c>
      <c r="BR817" s="21">
        <v>190</v>
      </c>
      <c r="BS817" s="21">
        <v>1663</v>
      </c>
      <c r="BT817"/>
    </row>
    <row r="818" spans="1:72" s="23" customFormat="1" ht="18" customHeight="1" x14ac:dyDescent="0.3">
      <c r="A818" s="35" t="s">
        <v>808</v>
      </c>
      <c r="B818" s="37"/>
      <c r="C818" s="37"/>
      <c r="D818" s="37"/>
      <c r="E818" s="37"/>
      <c r="F818" s="35" t="s">
        <v>1816</v>
      </c>
      <c r="G818" s="37"/>
      <c r="H818" s="37"/>
      <c r="I818" s="37"/>
      <c r="J818" s="37"/>
      <c r="K818" s="21" t="str">
        <f t="shared" si="539"/>
        <v>Apprenant 806</v>
      </c>
      <c r="L818" s="22" t="str">
        <f t="shared" si="540"/>
        <v/>
      </c>
      <c r="M818" s="22" t="str">
        <f t="shared" si="541"/>
        <v/>
      </c>
      <c r="N818" s="22" t="str">
        <f t="shared" si="542"/>
        <v/>
      </c>
      <c r="O818" s="22" t="str">
        <f t="shared" si="543"/>
        <v/>
      </c>
      <c r="P818" s="21" t="str">
        <f t="shared" si="544"/>
        <v>Apprenant 806 ou 806'</v>
      </c>
      <c r="Q818" s="22" t="str">
        <f t="shared" si="545"/>
        <v/>
      </c>
      <c r="R818" s="22" t="str">
        <f t="shared" si="546"/>
        <v/>
      </c>
      <c r="S818" s="22" t="str">
        <f t="shared" si="547"/>
        <v/>
      </c>
      <c r="T818" s="22" t="str">
        <f t="shared" si="548"/>
        <v/>
      </c>
      <c r="V818" s="21" t="str">
        <f t="shared" si="549"/>
        <v>Apprenant 806</v>
      </c>
      <c r="W818" s="22" t="str">
        <f>IF(AND(OR('Choix pédagogiques'!$C$3=1,'Choix pédagogiques'!$C$3=2),$BM818=1),B818,IF(AND('Choix pédagogiques'!$C$3=3,$BO818=1),B818,""))</f>
        <v/>
      </c>
      <c r="X818" s="22" t="str">
        <f>IF(AND(OR('Choix pédagogiques'!$C$3=1,'Choix pédagogiques'!$C$3=2),$BM818=1),C818,IF(AND('Choix pédagogiques'!$C$3=3,$BO818=1),C818,""))</f>
        <v/>
      </c>
      <c r="Y818" s="22" t="str">
        <f>IF(AND(OR('Choix pédagogiques'!$C$3=1,'Choix pédagogiques'!$C$3=2),$BM818=1),D818,IF(AND('Choix pédagogiques'!$C$3=3,$BO818=1),D818,""))</f>
        <v/>
      </c>
      <c r="Z818" s="22" t="str">
        <f t="shared" si="550"/>
        <v/>
      </c>
      <c r="AA818" s="21" t="str">
        <f t="shared" si="551"/>
        <v>Apprenant 806 ou 806'</v>
      </c>
      <c r="AB818" s="22" t="str">
        <f>IF(AND(OR('Choix pédagogiques'!$C$3=1,'Choix pédagogiques'!$C$3=2),$BN818=1),G818,IF(AND('Choix pédagogiques'!$C$3=3,$BO818=1),G818,""))</f>
        <v/>
      </c>
      <c r="AC818" s="22" t="str">
        <f>IF(AND(OR('Choix pédagogiques'!$C$3=1,'Choix pédagogiques'!$C$3=2),$BN818=1),H818,IF(AND('Choix pédagogiques'!$C$3=3,$BO818=1),H818,""))</f>
        <v/>
      </c>
      <c r="AD818" s="22" t="str">
        <f>IF(AND(OR('Choix pédagogiques'!$C$3=1,'Choix pédagogiques'!$C$3=2),$BN818=1),I818,IF(AND('Choix pédagogiques'!$C$3=3,$BO818=1),I818,""))</f>
        <v/>
      </c>
      <c r="AE818" s="22" t="str">
        <f t="shared" si="552"/>
        <v/>
      </c>
      <c r="AF818" s="21" t="str">
        <f t="shared" si="553"/>
        <v>Apprenant 806</v>
      </c>
      <c r="AG818" s="22" t="str">
        <f t="shared" si="527"/>
        <v/>
      </c>
      <c r="AH818" s="22" t="str">
        <f t="shared" si="528"/>
        <v/>
      </c>
      <c r="AI818" s="22" t="str">
        <f t="shared" si="529"/>
        <v/>
      </c>
      <c r="AJ818" s="22" t="str">
        <f t="shared" si="554"/>
        <v/>
      </c>
      <c r="AK818" s="21" t="str">
        <f t="shared" si="555"/>
        <v>Apprenant 806 ou 806'</v>
      </c>
      <c r="AL818" s="22" t="str">
        <f t="shared" si="530"/>
        <v/>
      </c>
      <c r="AM818" s="22" t="str">
        <f t="shared" si="531"/>
        <v/>
      </c>
      <c r="AN818" s="22" t="str">
        <f t="shared" si="532"/>
        <v/>
      </c>
      <c r="AO818" s="22" t="str">
        <f t="shared" si="556"/>
        <v/>
      </c>
      <c r="AQ818" s="21" t="str">
        <f t="shared" si="557"/>
        <v>Apprenant 806</v>
      </c>
      <c r="AR818" s="49" t="str">
        <f>IF(AND('Choix pédagogiques'!$C$4&lt;&gt;"?",'Choix pédagogiques'!$C$5&lt;&gt;"?",W818&lt;&gt;""),(W818-'Choix pédagogiques'!$C$4)/('Choix pédagogiques'!$C$5-'Choix pédagogiques'!$C$4),"")</f>
        <v/>
      </c>
      <c r="AS818" s="49" t="str">
        <f>IF(AND('Choix pédagogiques'!$C$4&lt;&gt;"?",'Choix pédagogiques'!$C$5&lt;&gt;"?",X818&lt;&gt;""),(X818-'Choix pédagogiques'!$C$4)/('Choix pédagogiques'!$C$5-'Choix pédagogiques'!$C$4),"")</f>
        <v/>
      </c>
      <c r="AT818" s="49" t="str">
        <f>IF(AND('Choix pédagogiques'!$C$4&lt;&gt;"?",'Choix pédagogiques'!$C$5&lt;&gt;"?",Y818&lt;&gt;""),(Y818-'Choix pédagogiques'!$C$4)/('Choix pédagogiques'!$C$5-'Choix pédagogiques'!$C$4),"")</f>
        <v/>
      </c>
      <c r="AU818" s="22" t="str">
        <f t="shared" si="558"/>
        <v/>
      </c>
      <c r="AV818" s="21" t="str">
        <f t="shared" si="559"/>
        <v>Apprenant 806 ou 806'</v>
      </c>
      <c r="AW818" s="49" t="str">
        <f>IF(AND('Choix pédagogiques'!$C$4&lt;&gt;"?",'Choix pédagogiques'!$C$5&lt;&gt;"?",AB818&lt;&gt;""),(AB818-'Choix pédagogiques'!$C$4)/('Choix pédagogiques'!$C$5-'Choix pédagogiques'!$C$4),"")</f>
        <v/>
      </c>
      <c r="AX818" s="49" t="str">
        <f>IF(AND('Choix pédagogiques'!$C$4&lt;&gt;"?",'Choix pédagogiques'!$C$5&lt;&gt;"?",AC818&lt;&gt;""),(AC818-'Choix pédagogiques'!$C$4)/('Choix pédagogiques'!$C$5-'Choix pédagogiques'!$C$4),"")</f>
        <v/>
      </c>
      <c r="AY818" s="49" t="str">
        <f>IF(AND('Choix pédagogiques'!$C$4&lt;&gt;"?",'Choix pédagogiques'!$C$5&lt;&gt;"?",AD818&lt;&gt;""),(AD818-'Choix pédagogiques'!$C$4)/('Choix pédagogiques'!$C$5-'Choix pédagogiques'!$C$4),"")</f>
        <v/>
      </c>
      <c r="AZ818" s="22" t="str">
        <f t="shared" si="560"/>
        <v/>
      </c>
      <c r="BA818" s="21" t="str">
        <f t="shared" si="561"/>
        <v>Apprenant 806</v>
      </c>
      <c r="BB818" s="49" t="str">
        <f t="shared" si="533"/>
        <v/>
      </c>
      <c r="BC818" s="49" t="str">
        <f t="shared" si="534"/>
        <v/>
      </c>
      <c r="BD818" s="49" t="str">
        <f t="shared" si="535"/>
        <v/>
      </c>
      <c r="BE818" s="22" t="str">
        <f t="shared" si="562"/>
        <v/>
      </c>
      <c r="BF818" s="21" t="str">
        <f t="shared" si="563"/>
        <v>Apprenant 806 ou 806'</v>
      </c>
      <c r="BG818" s="49" t="str">
        <f t="shared" si="536"/>
        <v/>
      </c>
      <c r="BH818" s="49" t="str">
        <f t="shared" si="537"/>
        <v/>
      </c>
      <c r="BI818" s="49" t="str">
        <f t="shared" si="538"/>
        <v/>
      </c>
      <c r="BJ818" s="22" t="str">
        <f t="shared" si="564"/>
        <v/>
      </c>
      <c r="BL818" s="21"/>
      <c r="BM818" s="21" t="str">
        <f>IF(OR(COUNT(B818:D1817)=0,AND('Choix pédagogiques'!$C$3&lt;&gt;1,'Choix pédagogiques'!$C$3&lt;&gt;2)),"",IF(AND(OR('Choix pédagogiques'!$C$3=1,'Choix pédagogiques'!$C$3=2),$B818&lt;&gt;"",$C818&lt;&gt;"",$D818&lt;&gt;""),1,0))</f>
        <v/>
      </c>
      <c r="BN818" s="21" t="str">
        <f>IF(OR(COUNT(G818:I1817)=0,AND('Choix pédagogiques'!$C$3&lt;&gt;1,'Choix pédagogiques'!$C$3&lt;&gt;2)),"",IF(AND(OR('Choix pédagogiques'!$C$3=1,'Choix pédagogiques'!$C$3=2),AND($G818&lt;&gt;"",$H818&lt;&gt;"",$I818&lt;&gt;"")),1,0))</f>
        <v/>
      </c>
      <c r="BO818" s="21" t="str">
        <f>IF(OR(COUNT(B818:D1817)=0,COUNT(G818:I1817)=0,'Choix pédagogiques'!C$3&lt;&gt;3),"",IF(AND('Choix pédagogiques'!$C$3=3,$B818&lt;&gt;"",$C818&lt;&gt;"",$D818&lt;&gt;"",$G818&lt;&gt;"",$H818&lt;&gt;"",$I818&lt;&gt;""),1,0))</f>
        <v/>
      </c>
      <c r="BR818" s="21">
        <v>900</v>
      </c>
      <c r="BS818" s="21">
        <v>1379</v>
      </c>
      <c r="BT818"/>
    </row>
    <row r="819" spans="1:72" s="23" customFormat="1" ht="18" customHeight="1" x14ac:dyDescent="0.3">
      <c r="A819" s="35" t="s">
        <v>809</v>
      </c>
      <c r="B819" s="37"/>
      <c r="C819" s="37"/>
      <c r="D819" s="37"/>
      <c r="E819" s="37"/>
      <c r="F819" s="35" t="s">
        <v>1817</v>
      </c>
      <c r="G819" s="37"/>
      <c r="H819" s="37"/>
      <c r="I819" s="37"/>
      <c r="J819" s="37"/>
      <c r="K819" s="21" t="str">
        <f t="shared" si="539"/>
        <v>Apprenant 807</v>
      </c>
      <c r="L819" s="22" t="str">
        <f t="shared" si="540"/>
        <v/>
      </c>
      <c r="M819" s="22" t="str">
        <f t="shared" si="541"/>
        <v/>
      </c>
      <c r="N819" s="22" t="str">
        <f t="shared" si="542"/>
        <v/>
      </c>
      <c r="O819" s="22" t="str">
        <f t="shared" si="543"/>
        <v/>
      </c>
      <c r="P819" s="21" t="str">
        <f t="shared" si="544"/>
        <v>Apprenant 807 ou 807'</v>
      </c>
      <c r="Q819" s="22" t="str">
        <f t="shared" si="545"/>
        <v/>
      </c>
      <c r="R819" s="22" t="str">
        <f t="shared" si="546"/>
        <v/>
      </c>
      <c r="S819" s="22" t="str">
        <f t="shared" si="547"/>
        <v/>
      </c>
      <c r="T819" s="22" t="str">
        <f t="shared" si="548"/>
        <v/>
      </c>
      <c r="V819" s="21" t="str">
        <f t="shared" si="549"/>
        <v>Apprenant 807</v>
      </c>
      <c r="W819" s="22" t="str">
        <f>IF(AND(OR('Choix pédagogiques'!$C$3=1,'Choix pédagogiques'!$C$3=2),$BM819=1),B819,IF(AND('Choix pédagogiques'!$C$3=3,$BO819=1),B819,""))</f>
        <v/>
      </c>
      <c r="X819" s="22" t="str">
        <f>IF(AND(OR('Choix pédagogiques'!$C$3=1,'Choix pédagogiques'!$C$3=2),$BM819=1),C819,IF(AND('Choix pédagogiques'!$C$3=3,$BO819=1),C819,""))</f>
        <v/>
      </c>
      <c r="Y819" s="22" t="str">
        <f>IF(AND(OR('Choix pédagogiques'!$C$3=1,'Choix pédagogiques'!$C$3=2),$BM819=1),D819,IF(AND('Choix pédagogiques'!$C$3=3,$BO819=1),D819,""))</f>
        <v/>
      </c>
      <c r="Z819" s="22" t="str">
        <f t="shared" si="550"/>
        <v/>
      </c>
      <c r="AA819" s="21" t="str">
        <f t="shared" si="551"/>
        <v>Apprenant 807 ou 807'</v>
      </c>
      <c r="AB819" s="22" t="str">
        <f>IF(AND(OR('Choix pédagogiques'!$C$3=1,'Choix pédagogiques'!$C$3=2),$BN819=1),G819,IF(AND('Choix pédagogiques'!$C$3=3,$BO819=1),G819,""))</f>
        <v/>
      </c>
      <c r="AC819" s="22" t="str">
        <f>IF(AND(OR('Choix pédagogiques'!$C$3=1,'Choix pédagogiques'!$C$3=2),$BN819=1),H819,IF(AND('Choix pédagogiques'!$C$3=3,$BO819=1),H819,""))</f>
        <v/>
      </c>
      <c r="AD819" s="22" t="str">
        <f>IF(AND(OR('Choix pédagogiques'!$C$3=1,'Choix pédagogiques'!$C$3=2),$BN819=1),I819,IF(AND('Choix pédagogiques'!$C$3=3,$BO819=1),I819,""))</f>
        <v/>
      </c>
      <c r="AE819" s="22" t="str">
        <f t="shared" si="552"/>
        <v/>
      </c>
      <c r="AF819" s="21" t="str">
        <f t="shared" si="553"/>
        <v>Apprenant 807</v>
      </c>
      <c r="AG819" s="22" t="str">
        <f t="shared" si="527"/>
        <v/>
      </c>
      <c r="AH819" s="22" t="str">
        <f t="shared" si="528"/>
        <v/>
      </c>
      <c r="AI819" s="22" t="str">
        <f t="shared" si="529"/>
        <v/>
      </c>
      <c r="AJ819" s="22" t="str">
        <f t="shared" si="554"/>
        <v/>
      </c>
      <c r="AK819" s="21" t="str">
        <f t="shared" si="555"/>
        <v>Apprenant 807 ou 807'</v>
      </c>
      <c r="AL819" s="22" t="str">
        <f t="shared" si="530"/>
        <v/>
      </c>
      <c r="AM819" s="22" t="str">
        <f t="shared" si="531"/>
        <v/>
      </c>
      <c r="AN819" s="22" t="str">
        <f t="shared" si="532"/>
        <v/>
      </c>
      <c r="AO819" s="22" t="str">
        <f t="shared" si="556"/>
        <v/>
      </c>
      <c r="AQ819" s="21" t="str">
        <f t="shared" si="557"/>
        <v>Apprenant 807</v>
      </c>
      <c r="AR819" s="49" t="str">
        <f>IF(AND('Choix pédagogiques'!$C$4&lt;&gt;"?",'Choix pédagogiques'!$C$5&lt;&gt;"?",W819&lt;&gt;""),(W819-'Choix pédagogiques'!$C$4)/('Choix pédagogiques'!$C$5-'Choix pédagogiques'!$C$4),"")</f>
        <v/>
      </c>
      <c r="AS819" s="49" t="str">
        <f>IF(AND('Choix pédagogiques'!$C$4&lt;&gt;"?",'Choix pédagogiques'!$C$5&lt;&gt;"?",X819&lt;&gt;""),(X819-'Choix pédagogiques'!$C$4)/('Choix pédagogiques'!$C$5-'Choix pédagogiques'!$C$4),"")</f>
        <v/>
      </c>
      <c r="AT819" s="49" t="str">
        <f>IF(AND('Choix pédagogiques'!$C$4&lt;&gt;"?",'Choix pédagogiques'!$C$5&lt;&gt;"?",Y819&lt;&gt;""),(Y819-'Choix pédagogiques'!$C$4)/('Choix pédagogiques'!$C$5-'Choix pédagogiques'!$C$4),"")</f>
        <v/>
      </c>
      <c r="AU819" s="22" t="str">
        <f t="shared" si="558"/>
        <v/>
      </c>
      <c r="AV819" s="21" t="str">
        <f t="shared" si="559"/>
        <v>Apprenant 807 ou 807'</v>
      </c>
      <c r="AW819" s="49" t="str">
        <f>IF(AND('Choix pédagogiques'!$C$4&lt;&gt;"?",'Choix pédagogiques'!$C$5&lt;&gt;"?",AB819&lt;&gt;""),(AB819-'Choix pédagogiques'!$C$4)/('Choix pédagogiques'!$C$5-'Choix pédagogiques'!$C$4),"")</f>
        <v/>
      </c>
      <c r="AX819" s="49" t="str">
        <f>IF(AND('Choix pédagogiques'!$C$4&lt;&gt;"?",'Choix pédagogiques'!$C$5&lt;&gt;"?",AC819&lt;&gt;""),(AC819-'Choix pédagogiques'!$C$4)/('Choix pédagogiques'!$C$5-'Choix pédagogiques'!$C$4),"")</f>
        <v/>
      </c>
      <c r="AY819" s="49" t="str">
        <f>IF(AND('Choix pédagogiques'!$C$4&lt;&gt;"?",'Choix pédagogiques'!$C$5&lt;&gt;"?",AD819&lt;&gt;""),(AD819-'Choix pédagogiques'!$C$4)/('Choix pédagogiques'!$C$5-'Choix pédagogiques'!$C$4),"")</f>
        <v/>
      </c>
      <c r="AZ819" s="22" t="str">
        <f t="shared" si="560"/>
        <v/>
      </c>
      <c r="BA819" s="21" t="str">
        <f t="shared" si="561"/>
        <v>Apprenant 807</v>
      </c>
      <c r="BB819" s="49" t="str">
        <f t="shared" si="533"/>
        <v/>
      </c>
      <c r="BC819" s="49" t="str">
        <f t="shared" si="534"/>
        <v/>
      </c>
      <c r="BD819" s="49" t="str">
        <f t="shared" si="535"/>
        <v/>
      </c>
      <c r="BE819" s="22" t="str">
        <f t="shared" si="562"/>
        <v/>
      </c>
      <c r="BF819" s="21" t="str">
        <f t="shared" si="563"/>
        <v>Apprenant 807 ou 807'</v>
      </c>
      <c r="BG819" s="49" t="str">
        <f t="shared" si="536"/>
        <v/>
      </c>
      <c r="BH819" s="49" t="str">
        <f t="shared" si="537"/>
        <v/>
      </c>
      <c r="BI819" s="49" t="str">
        <f t="shared" si="538"/>
        <v/>
      </c>
      <c r="BJ819" s="22" t="str">
        <f t="shared" si="564"/>
        <v/>
      </c>
      <c r="BL819" s="21"/>
      <c r="BM819" s="21" t="str">
        <f>IF(OR(COUNT(B819:D1818)=0,AND('Choix pédagogiques'!$C$3&lt;&gt;1,'Choix pédagogiques'!$C$3&lt;&gt;2)),"",IF(AND(OR('Choix pédagogiques'!$C$3=1,'Choix pédagogiques'!$C$3=2),$B819&lt;&gt;"",$C819&lt;&gt;"",$D819&lt;&gt;""),1,0))</f>
        <v/>
      </c>
      <c r="BN819" s="21" t="str">
        <f>IF(OR(COUNT(G819:I1818)=0,AND('Choix pédagogiques'!$C$3&lt;&gt;1,'Choix pédagogiques'!$C$3&lt;&gt;2)),"",IF(AND(OR('Choix pédagogiques'!$C$3=1,'Choix pédagogiques'!$C$3=2),AND($G819&lt;&gt;"",$H819&lt;&gt;"",$I819&lt;&gt;"")),1,0))</f>
        <v/>
      </c>
      <c r="BO819" s="21" t="str">
        <f>IF(OR(COUNT(B819:D1818)=0,COUNT(G819:I1818)=0,'Choix pédagogiques'!C$3&lt;&gt;3),"",IF(AND('Choix pédagogiques'!$C$3=3,$B819&lt;&gt;"",$C819&lt;&gt;"",$D819&lt;&gt;"",$G819&lt;&gt;"",$H819&lt;&gt;"",$I819&lt;&gt;""),1,0))</f>
        <v/>
      </c>
      <c r="BR819" s="21">
        <v>769</v>
      </c>
      <c r="BS819" s="21">
        <v>1805</v>
      </c>
      <c r="BT819"/>
    </row>
    <row r="820" spans="1:72" s="23" customFormat="1" ht="18" customHeight="1" x14ac:dyDescent="0.3">
      <c r="A820" s="35" t="s">
        <v>810</v>
      </c>
      <c r="B820" s="37"/>
      <c r="C820" s="37"/>
      <c r="D820" s="37"/>
      <c r="E820" s="37"/>
      <c r="F820" s="35" t="s">
        <v>1818</v>
      </c>
      <c r="G820" s="37"/>
      <c r="H820" s="37"/>
      <c r="I820" s="37"/>
      <c r="J820" s="37"/>
      <c r="K820" s="21" t="str">
        <f t="shared" si="539"/>
        <v>Apprenant 808</v>
      </c>
      <c r="L820" s="22" t="str">
        <f t="shared" si="540"/>
        <v/>
      </c>
      <c r="M820" s="22" t="str">
        <f t="shared" si="541"/>
        <v/>
      </c>
      <c r="N820" s="22" t="str">
        <f t="shared" si="542"/>
        <v/>
      </c>
      <c r="O820" s="22" t="str">
        <f t="shared" si="543"/>
        <v/>
      </c>
      <c r="P820" s="21" t="str">
        <f t="shared" si="544"/>
        <v>Apprenant 808 ou 808'</v>
      </c>
      <c r="Q820" s="22" t="str">
        <f t="shared" si="545"/>
        <v/>
      </c>
      <c r="R820" s="22" t="str">
        <f t="shared" si="546"/>
        <v/>
      </c>
      <c r="S820" s="22" t="str">
        <f t="shared" si="547"/>
        <v/>
      </c>
      <c r="T820" s="22" t="str">
        <f t="shared" si="548"/>
        <v/>
      </c>
      <c r="V820" s="21" t="str">
        <f t="shared" si="549"/>
        <v>Apprenant 808</v>
      </c>
      <c r="W820" s="22" t="str">
        <f>IF(AND(OR('Choix pédagogiques'!$C$3=1,'Choix pédagogiques'!$C$3=2),$BM820=1),B820,IF(AND('Choix pédagogiques'!$C$3=3,$BO820=1),B820,""))</f>
        <v/>
      </c>
      <c r="X820" s="22" t="str">
        <f>IF(AND(OR('Choix pédagogiques'!$C$3=1,'Choix pédagogiques'!$C$3=2),$BM820=1),C820,IF(AND('Choix pédagogiques'!$C$3=3,$BO820=1),C820,""))</f>
        <v/>
      </c>
      <c r="Y820" s="22" t="str">
        <f>IF(AND(OR('Choix pédagogiques'!$C$3=1,'Choix pédagogiques'!$C$3=2),$BM820=1),D820,IF(AND('Choix pédagogiques'!$C$3=3,$BO820=1),D820,""))</f>
        <v/>
      </c>
      <c r="Z820" s="22" t="str">
        <f t="shared" si="550"/>
        <v/>
      </c>
      <c r="AA820" s="21" t="str">
        <f t="shared" si="551"/>
        <v>Apprenant 808 ou 808'</v>
      </c>
      <c r="AB820" s="22" t="str">
        <f>IF(AND(OR('Choix pédagogiques'!$C$3=1,'Choix pédagogiques'!$C$3=2),$BN820=1),G820,IF(AND('Choix pédagogiques'!$C$3=3,$BO820=1),G820,""))</f>
        <v/>
      </c>
      <c r="AC820" s="22" t="str">
        <f>IF(AND(OR('Choix pédagogiques'!$C$3=1,'Choix pédagogiques'!$C$3=2),$BN820=1),H820,IF(AND('Choix pédagogiques'!$C$3=3,$BO820=1),H820,""))</f>
        <v/>
      </c>
      <c r="AD820" s="22" t="str">
        <f>IF(AND(OR('Choix pédagogiques'!$C$3=1,'Choix pédagogiques'!$C$3=2),$BN820=1),I820,IF(AND('Choix pédagogiques'!$C$3=3,$BO820=1),I820,""))</f>
        <v/>
      </c>
      <c r="AE820" s="22" t="str">
        <f t="shared" si="552"/>
        <v/>
      </c>
      <c r="AF820" s="21" t="str">
        <f t="shared" si="553"/>
        <v>Apprenant 808</v>
      </c>
      <c r="AG820" s="22" t="str">
        <f t="shared" si="527"/>
        <v/>
      </c>
      <c r="AH820" s="22" t="str">
        <f t="shared" si="528"/>
        <v/>
      </c>
      <c r="AI820" s="22" t="str">
        <f t="shared" si="529"/>
        <v/>
      </c>
      <c r="AJ820" s="22" t="str">
        <f t="shared" si="554"/>
        <v/>
      </c>
      <c r="AK820" s="21" t="str">
        <f t="shared" si="555"/>
        <v>Apprenant 808 ou 808'</v>
      </c>
      <c r="AL820" s="22" t="str">
        <f t="shared" si="530"/>
        <v/>
      </c>
      <c r="AM820" s="22" t="str">
        <f t="shared" si="531"/>
        <v/>
      </c>
      <c r="AN820" s="22" t="str">
        <f t="shared" si="532"/>
        <v/>
      </c>
      <c r="AO820" s="22" t="str">
        <f t="shared" si="556"/>
        <v/>
      </c>
      <c r="AQ820" s="21" t="str">
        <f t="shared" si="557"/>
        <v>Apprenant 808</v>
      </c>
      <c r="AR820" s="49" t="str">
        <f>IF(AND('Choix pédagogiques'!$C$4&lt;&gt;"?",'Choix pédagogiques'!$C$5&lt;&gt;"?",W820&lt;&gt;""),(W820-'Choix pédagogiques'!$C$4)/('Choix pédagogiques'!$C$5-'Choix pédagogiques'!$C$4),"")</f>
        <v/>
      </c>
      <c r="AS820" s="49" t="str">
        <f>IF(AND('Choix pédagogiques'!$C$4&lt;&gt;"?",'Choix pédagogiques'!$C$5&lt;&gt;"?",X820&lt;&gt;""),(X820-'Choix pédagogiques'!$C$4)/('Choix pédagogiques'!$C$5-'Choix pédagogiques'!$C$4),"")</f>
        <v/>
      </c>
      <c r="AT820" s="49" t="str">
        <f>IF(AND('Choix pédagogiques'!$C$4&lt;&gt;"?",'Choix pédagogiques'!$C$5&lt;&gt;"?",Y820&lt;&gt;""),(Y820-'Choix pédagogiques'!$C$4)/('Choix pédagogiques'!$C$5-'Choix pédagogiques'!$C$4),"")</f>
        <v/>
      </c>
      <c r="AU820" s="22" t="str">
        <f t="shared" si="558"/>
        <v/>
      </c>
      <c r="AV820" s="21" t="str">
        <f t="shared" si="559"/>
        <v>Apprenant 808 ou 808'</v>
      </c>
      <c r="AW820" s="49" t="str">
        <f>IF(AND('Choix pédagogiques'!$C$4&lt;&gt;"?",'Choix pédagogiques'!$C$5&lt;&gt;"?",AB820&lt;&gt;""),(AB820-'Choix pédagogiques'!$C$4)/('Choix pédagogiques'!$C$5-'Choix pédagogiques'!$C$4),"")</f>
        <v/>
      </c>
      <c r="AX820" s="49" t="str">
        <f>IF(AND('Choix pédagogiques'!$C$4&lt;&gt;"?",'Choix pédagogiques'!$C$5&lt;&gt;"?",AC820&lt;&gt;""),(AC820-'Choix pédagogiques'!$C$4)/('Choix pédagogiques'!$C$5-'Choix pédagogiques'!$C$4),"")</f>
        <v/>
      </c>
      <c r="AY820" s="49" t="str">
        <f>IF(AND('Choix pédagogiques'!$C$4&lt;&gt;"?",'Choix pédagogiques'!$C$5&lt;&gt;"?",AD820&lt;&gt;""),(AD820-'Choix pédagogiques'!$C$4)/('Choix pédagogiques'!$C$5-'Choix pédagogiques'!$C$4),"")</f>
        <v/>
      </c>
      <c r="AZ820" s="22" t="str">
        <f t="shared" si="560"/>
        <v/>
      </c>
      <c r="BA820" s="21" t="str">
        <f t="shared" si="561"/>
        <v>Apprenant 808</v>
      </c>
      <c r="BB820" s="49" t="str">
        <f t="shared" si="533"/>
        <v/>
      </c>
      <c r="BC820" s="49" t="str">
        <f t="shared" si="534"/>
        <v/>
      </c>
      <c r="BD820" s="49" t="str">
        <f t="shared" si="535"/>
        <v/>
      </c>
      <c r="BE820" s="22" t="str">
        <f t="shared" si="562"/>
        <v/>
      </c>
      <c r="BF820" s="21" t="str">
        <f t="shared" si="563"/>
        <v>Apprenant 808 ou 808'</v>
      </c>
      <c r="BG820" s="49" t="str">
        <f t="shared" si="536"/>
        <v/>
      </c>
      <c r="BH820" s="49" t="str">
        <f t="shared" si="537"/>
        <v/>
      </c>
      <c r="BI820" s="49" t="str">
        <f t="shared" si="538"/>
        <v/>
      </c>
      <c r="BJ820" s="22" t="str">
        <f t="shared" si="564"/>
        <v/>
      </c>
      <c r="BL820" s="21"/>
      <c r="BM820" s="21" t="str">
        <f>IF(OR(COUNT(B820:D1819)=0,AND('Choix pédagogiques'!$C$3&lt;&gt;1,'Choix pédagogiques'!$C$3&lt;&gt;2)),"",IF(AND(OR('Choix pédagogiques'!$C$3=1,'Choix pédagogiques'!$C$3=2),$B820&lt;&gt;"",$C820&lt;&gt;"",$D820&lt;&gt;""),1,0))</f>
        <v/>
      </c>
      <c r="BN820" s="21" t="str">
        <f>IF(OR(COUNT(G820:I1819)=0,AND('Choix pédagogiques'!$C$3&lt;&gt;1,'Choix pédagogiques'!$C$3&lt;&gt;2)),"",IF(AND(OR('Choix pédagogiques'!$C$3=1,'Choix pédagogiques'!$C$3=2),AND($G820&lt;&gt;"",$H820&lt;&gt;"",$I820&lt;&gt;"")),1,0))</f>
        <v/>
      </c>
      <c r="BO820" s="21" t="str">
        <f>IF(OR(COUNT(B820:D1819)=0,COUNT(G820:I1819)=0,'Choix pédagogiques'!C$3&lt;&gt;3),"",IF(AND('Choix pédagogiques'!$C$3=3,$B820&lt;&gt;"",$C820&lt;&gt;"",$D820&lt;&gt;"",$G820&lt;&gt;"",$H820&lt;&gt;"",$I820&lt;&gt;""),1,0))</f>
        <v/>
      </c>
      <c r="BR820" s="21">
        <v>880</v>
      </c>
      <c r="BS820" s="21">
        <v>1697</v>
      </c>
      <c r="BT820"/>
    </row>
    <row r="821" spans="1:72" s="23" customFormat="1" ht="18" customHeight="1" x14ac:dyDescent="0.3">
      <c r="A821" s="35" t="s">
        <v>811</v>
      </c>
      <c r="B821" s="37"/>
      <c r="C821" s="37"/>
      <c r="D821" s="37"/>
      <c r="E821" s="37"/>
      <c r="F821" s="35" t="s">
        <v>1819</v>
      </c>
      <c r="G821" s="37"/>
      <c r="H821" s="37"/>
      <c r="I821" s="37"/>
      <c r="J821" s="37"/>
      <c r="K821" s="21" t="str">
        <f t="shared" si="539"/>
        <v>Apprenant 809</v>
      </c>
      <c r="L821" s="22" t="str">
        <f t="shared" si="540"/>
        <v/>
      </c>
      <c r="M821" s="22" t="str">
        <f t="shared" si="541"/>
        <v/>
      </c>
      <c r="N821" s="22" t="str">
        <f t="shared" si="542"/>
        <v/>
      </c>
      <c r="O821" s="22" t="str">
        <f t="shared" si="543"/>
        <v/>
      </c>
      <c r="P821" s="21" t="str">
        <f t="shared" si="544"/>
        <v>Apprenant 809 ou 809'</v>
      </c>
      <c r="Q821" s="22" t="str">
        <f t="shared" si="545"/>
        <v/>
      </c>
      <c r="R821" s="22" t="str">
        <f t="shared" si="546"/>
        <v/>
      </c>
      <c r="S821" s="22" t="str">
        <f t="shared" si="547"/>
        <v/>
      </c>
      <c r="T821" s="22" t="str">
        <f t="shared" si="548"/>
        <v/>
      </c>
      <c r="V821" s="21" t="str">
        <f t="shared" si="549"/>
        <v>Apprenant 809</v>
      </c>
      <c r="W821" s="22" t="str">
        <f>IF(AND(OR('Choix pédagogiques'!$C$3=1,'Choix pédagogiques'!$C$3=2),$BM821=1),B821,IF(AND('Choix pédagogiques'!$C$3=3,$BO821=1),B821,""))</f>
        <v/>
      </c>
      <c r="X821" s="22" t="str">
        <f>IF(AND(OR('Choix pédagogiques'!$C$3=1,'Choix pédagogiques'!$C$3=2),$BM821=1),C821,IF(AND('Choix pédagogiques'!$C$3=3,$BO821=1),C821,""))</f>
        <v/>
      </c>
      <c r="Y821" s="22" t="str">
        <f>IF(AND(OR('Choix pédagogiques'!$C$3=1,'Choix pédagogiques'!$C$3=2),$BM821=1),D821,IF(AND('Choix pédagogiques'!$C$3=3,$BO821=1),D821,""))</f>
        <v/>
      </c>
      <c r="Z821" s="22" t="str">
        <f t="shared" si="550"/>
        <v/>
      </c>
      <c r="AA821" s="21" t="str">
        <f t="shared" si="551"/>
        <v>Apprenant 809 ou 809'</v>
      </c>
      <c r="AB821" s="22" t="str">
        <f>IF(AND(OR('Choix pédagogiques'!$C$3=1,'Choix pédagogiques'!$C$3=2),$BN821=1),G821,IF(AND('Choix pédagogiques'!$C$3=3,$BO821=1),G821,""))</f>
        <v/>
      </c>
      <c r="AC821" s="22" t="str">
        <f>IF(AND(OR('Choix pédagogiques'!$C$3=1,'Choix pédagogiques'!$C$3=2),$BN821=1),H821,IF(AND('Choix pédagogiques'!$C$3=3,$BO821=1),H821,""))</f>
        <v/>
      </c>
      <c r="AD821" s="22" t="str">
        <f>IF(AND(OR('Choix pédagogiques'!$C$3=1,'Choix pédagogiques'!$C$3=2),$BN821=1),I821,IF(AND('Choix pédagogiques'!$C$3=3,$BO821=1),I821,""))</f>
        <v/>
      </c>
      <c r="AE821" s="22" t="str">
        <f t="shared" si="552"/>
        <v/>
      </c>
      <c r="AF821" s="21" t="str">
        <f t="shared" si="553"/>
        <v>Apprenant 809</v>
      </c>
      <c r="AG821" s="22" t="str">
        <f t="shared" si="527"/>
        <v/>
      </c>
      <c r="AH821" s="22" t="str">
        <f t="shared" si="528"/>
        <v/>
      </c>
      <c r="AI821" s="22" t="str">
        <f t="shared" si="529"/>
        <v/>
      </c>
      <c r="AJ821" s="22" t="str">
        <f t="shared" si="554"/>
        <v/>
      </c>
      <c r="AK821" s="21" t="str">
        <f t="shared" si="555"/>
        <v>Apprenant 809 ou 809'</v>
      </c>
      <c r="AL821" s="22" t="str">
        <f t="shared" si="530"/>
        <v/>
      </c>
      <c r="AM821" s="22" t="str">
        <f t="shared" si="531"/>
        <v/>
      </c>
      <c r="AN821" s="22" t="str">
        <f t="shared" si="532"/>
        <v/>
      </c>
      <c r="AO821" s="22" t="str">
        <f t="shared" si="556"/>
        <v/>
      </c>
      <c r="AQ821" s="21" t="str">
        <f t="shared" si="557"/>
        <v>Apprenant 809</v>
      </c>
      <c r="AR821" s="49" t="str">
        <f>IF(AND('Choix pédagogiques'!$C$4&lt;&gt;"?",'Choix pédagogiques'!$C$5&lt;&gt;"?",W821&lt;&gt;""),(W821-'Choix pédagogiques'!$C$4)/('Choix pédagogiques'!$C$5-'Choix pédagogiques'!$C$4),"")</f>
        <v/>
      </c>
      <c r="AS821" s="49" t="str">
        <f>IF(AND('Choix pédagogiques'!$C$4&lt;&gt;"?",'Choix pédagogiques'!$C$5&lt;&gt;"?",X821&lt;&gt;""),(X821-'Choix pédagogiques'!$C$4)/('Choix pédagogiques'!$C$5-'Choix pédagogiques'!$C$4),"")</f>
        <v/>
      </c>
      <c r="AT821" s="49" t="str">
        <f>IF(AND('Choix pédagogiques'!$C$4&lt;&gt;"?",'Choix pédagogiques'!$C$5&lt;&gt;"?",Y821&lt;&gt;""),(Y821-'Choix pédagogiques'!$C$4)/('Choix pédagogiques'!$C$5-'Choix pédagogiques'!$C$4),"")</f>
        <v/>
      </c>
      <c r="AU821" s="22" t="str">
        <f t="shared" si="558"/>
        <v/>
      </c>
      <c r="AV821" s="21" t="str">
        <f t="shared" si="559"/>
        <v>Apprenant 809 ou 809'</v>
      </c>
      <c r="AW821" s="49" t="str">
        <f>IF(AND('Choix pédagogiques'!$C$4&lt;&gt;"?",'Choix pédagogiques'!$C$5&lt;&gt;"?",AB821&lt;&gt;""),(AB821-'Choix pédagogiques'!$C$4)/('Choix pédagogiques'!$C$5-'Choix pédagogiques'!$C$4),"")</f>
        <v/>
      </c>
      <c r="AX821" s="49" t="str">
        <f>IF(AND('Choix pédagogiques'!$C$4&lt;&gt;"?",'Choix pédagogiques'!$C$5&lt;&gt;"?",AC821&lt;&gt;""),(AC821-'Choix pédagogiques'!$C$4)/('Choix pédagogiques'!$C$5-'Choix pédagogiques'!$C$4),"")</f>
        <v/>
      </c>
      <c r="AY821" s="49" t="str">
        <f>IF(AND('Choix pédagogiques'!$C$4&lt;&gt;"?",'Choix pédagogiques'!$C$5&lt;&gt;"?",AD821&lt;&gt;""),(AD821-'Choix pédagogiques'!$C$4)/('Choix pédagogiques'!$C$5-'Choix pédagogiques'!$C$4),"")</f>
        <v/>
      </c>
      <c r="AZ821" s="22" t="str">
        <f t="shared" si="560"/>
        <v/>
      </c>
      <c r="BA821" s="21" t="str">
        <f t="shared" si="561"/>
        <v>Apprenant 809</v>
      </c>
      <c r="BB821" s="49" t="str">
        <f t="shared" si="533"/>
        <v/>
      </c>
      <c r="BC821" s="49" t="str">
        <f t="shared" si="534"/>
        <v/>
      </c>
      <c r="BD821" s="49" t="str">
        <f t="shared" si="535"/>
        <v/>
      </c>
      <c r="BE821" s="22" t="str">
        <f t="shared" si="562"/>
        <v/>
      </c>
      <c r="BF821" s="21" t="str">
        <f t="shared" si="563"/>
        <v>Apprenant 809 ou 809'</v>
      </c>
      <c r="BG821" s="49" t="str">
        <f t="shared" si="536"/>
        <v/>
      </c>
      <c r="BH821" s="49" t="str">
        <f t="shared" si="537"/>
        <v/>
      </c>
      <c r="BI821" s="49" t="str">
        <f t="shared" si="538"/>
        <v/>
      </c>
      <c r="BJ821" s="22" t="str">
        <f t="shared" si="564"/>
        <v/>
      </c>
      <c r="BL821" s="21"/>
      <c r="BM821" s="21" t="str">
        <f>IF(OR(COUNT(B821:D1820)=0,AND('Choix pédagogiques'!$C$3&lt;&gt;1,'Choix pédagogiques'!$C$3&lt;&gt;2)),"",IF(AND(OR('Choix pédagogiques'!$C$3=1,'Choix pédagogiques'!$C$3=2),$B821&lt;&gt;"",$C821&lt;&gt;"",$D821&lt;&gt;""),1,0))</f>
        <v/>
      </c>
      <c r="BN821" s="21" t="str">
        <f>IF(OR(COUNT(G821:I1820)=0,AND('Choix pédagogiques'!$C$3&lt;&gt;1,'Choix pédagogiques'!$C$3&lt;&gt;2)),"",IF(AND(OR('Choix pédagogiques'!$C$3=1,'Choix pédagogiques'!$C$3=2),AND($G821&lt;&gt;"",$H821&lt;&gt;"",$I821&lt;&gt;"")),1,0))</f>
        <v/>
      </c>
      <c r="BO821" s="21" t="str">
        <f>IF(OR(COUNT(B821:D1820)=0,COUNT(G821:I1820)=0,'Choix pédagogiques'!C$3&lt;&gt;3),"",IF(AND('Choix pédagogiques'!$C$3=3,$B821&lt;&gt;"",$C821&lt;&gt;"",$D821&lt;&gt;"",$G821&lt;&gt;"",$H821&lt;&gt;"",$I821&lt;&gt;""),1,0))</f>
        <v/>
      </c>
      <c r="BR821" s="21">
        <v>511</v>
      </c>
      <c r="BS821" s="21">
        <v>1470</v>
      </c>
      <c r="BT821"/>
    </row>
    <row r="822" spans="1:72" s="23" customFormat="1" ht="18" customHeight="1" x14ac:dyDescent="0.3">
      <c r="A822" s="35" t="s">
        <v>812</v>
      </c>
      <c r="B822" s="37"/>
      <c r="C822" s="37"/>
      <c r="D822" s="37"/>
      <c r="E822" s="37"/>
      <c r="F822" s="35" t="s">
        <v>1820</v>
      </c>
      <c r="G822" s="37"/>
      <c r="H822" s="37"/>
      <c r="I822" s="37"/>
      <c r="J822" s="37"/>
      <c r="K822" s="21" t="str">
        <f t="shared" si="539"/>
        <v>Apprenant 810</v>
      </c>
      <c r="L822" s="22" t="str">
        <f t="shared" si="540"/>
        <v/>
      </c>
      <c r="M822" s="22" t="str">
        <f t="shared" si="541"/>
        <v/>
      </c>
      <c r="N822" s="22" t="str">
        <f t="shared" si="542"/>
        <v/>
      </c>
      <c r="O822" s="22" t="str">
        <f t="shared" si="543"/>
        <v/>
      </c>
      <c r="P822" s="21" t="str">
        <f t="shared" si="544"/>
        <v>Apprenant 810 ou 810'</v>
      </c>
      <c r="Q822" s="22" t="str">
        <f t="shared" si="545"/>
        <v/>
      </c>
      <c r="R822" s="22" t="str">
        <f t="shared" si="546"/>
        <v/>
      </c>
      <c r="S822" s="22" t="str">
        <f t="shared" si="547"/>
        <v/>
      </c>
      <c r="T822" s="22" t="str">
        <f t="shared" si="548"/>
        <v/>
      </c>
      <c r="V822" s="21" t="str">
        <f t="shared" si="549"/>
        <v>Apprenant 810</v>
      </c>
      <c r="W822" s="22" t="str">
        <f>IF(AND(OR('Choix pédagogiques'!$C$3=1,'Choix pédagogiques'!$C$3=2),$BM822=1),B822,IF(AND('Choix pédagogiques'!$C$3=3,$BO822=1),B822,""))</f>
        <v/>
      </c>
      <c r="X822" s="22" t="str">
        <f>IF(AND(OR('Choix pédagogiques'!$C$3=1,'Choix pédagogiques'!$C$3=2),$BM822=1),C822,IF(AND('Choix pédagogiques'!$C$3=3,$BO822=1),C822,""))</f>
        <v/>
      </c>
      <c r="Y822" s="22" t="str">
        <f>IF(AND(OR('Choix pédagogiques'!$C$3=1,'Choix pédagogiques'!$C$3=2),$BM822=1),D822,IF(AND('Choix pédagogiques'!$C$3=3,$BO822=1),D822,""))</f>
        <v/>
      </c>
      <c r="Z822" s="22" t="str">
        <f t="shared" si="550"/>
        <v/>
      </c>
      <c r="AA822" s="21" t="str">
        <f t="shared" si="551"/>
        <v>Apprenant 810 ou 810'</v>
      </c>
      <c r="AB822" s="22" t="str">
        <f>IF(AND(OR('Choix pédagogiques'!$C$3=1,'Choix pédagogiques'!$C$3=2),$BN822=1),G822,IF(AND('Choix pédagogiques'!$C$3=3,$BO822=1),G822,""))</f>
        <v/>
      </c>
      <c r="AC822" s="22" t="str">
        <f>IF(AND(OR('Choix pédagogiques'!$C$3=1,'Choix pédagogiques'!$C$3=2),$BN822=1),H822,IF(AND('Choix pédagogiques'!$C$3=3,$BO822=1),H822,""))</f>
        <v/>
      </c>
      <c r="AD822" s="22" t="str">
        <f>IF(AND(OR('Choix pédagogiques'!$C$3=1,'Choix pédagogiques'!$C$3=2),$BN822=1),I822,IF(AND('Choix pédagogiques'!$C$3=3,$BO822=1),I822,""))</f>
        <v/>
      </c>
      <c r="AE822" s="22" t="str">
        <f t="shared" si="552"/>
        <v/>
      </c>
      <c r="AF822" s="21" t="str">
        <f t="shared" si="553"/>
        <v>Apprenant 810</v>
      </c>
      <c r="AG822" s="22" t="str">
        <f t="shared" si="527"/>
        <v/>
      </c>
      <c r="AH822" s="22" t="str">
        <f t="shared" si="528"/>
        <v/>
      </c>
      <c r="AI822" s="22" t="str">
        <f t="shared" si="529"/>
        <v/>
      </c>
      <c r="AJ822" s="22" t="str">
        <f t="shared" si="554"/>
        <v/>
      </c>
      <c r="AK822" s="21" t="str">
        <f t="shared" si="555"/>
        <v>Apprenant 810 ou 810'</v>
      </c>
      <c r="AL822" s="22" t="str">
        <f t="shared" si="530"/>
        <v/>
      </c>
      <c r="AM822" s="22" t="str">
        <f t="shared" si="531"/>
        <v/>
      </c>
      <c r="AN822" s="22" t="str">
        <f t="shared" si="532"/>
        <v/>
      </c>
      <c r="AO822" s="22" t="str">
        <f t="shared" si="556"/>
        <v/>
      </c>
      <c r="AQ822" s="21" t="str">
        <f t="shared" si="557"/>
        <v>Apprenant 810</v>
      </c>
      <c r="AR822" s="49" t="str">
        <f>IF(AND('Choix pédagogiques'!$C$4&lt;&gt;"?",'Choix pédagogiques'!$C$5&lt;&gt;"?",W822&lt;&gt;""),(W822-'Choix pédagogiques'!$C$4)/('Choix pédagogiques'!$C$5-'Choix pédagogiques'!$C$4),"")</f>
        <v/>
      </c>
      <c r="AS822" s="49" t="str">
        <f>IF(AND('Choix pédagogiques'!$C$4&lt;&gt;"?",'Choix pédagogiques'!$C$5&lt;&gt;"?",X822&lt;&gt;""),(X822-'Choix pédagogiques'!$C$4)/('Choix pédagogiques'!$C$5-'Choix pédagogiques'!$C$4),"")</f>
        <v/>
      </c>
      <c r="AT822" s="49" t="str">
        <f>IF(AND('Choix pédagogiques'!$C$4&lt;&gt;"?",'Choix pédagogiques'!$C$5&lt;&gt;"?",Y822&lt;&gt;""),(Y822-'Choix pédagogiques'!$C$4)/('Choix pédagogiques'!$C$5-'Choix pédagogiques'!$C$4),"")</f>
        <v/>
      </c>
      <c r="AU822" s="22" t="str">
        <f t="shared" si="558"/>
        <v/>
      </c>
      <c r="AV822" s="21" t="str">
        <f t="shared" si="559"/>
        <v>Apprenant 810 ou 810'</v>
      </c>
      <c r="AW822" s="49" t="str">
        <f>IF(AND('Choix pédagogiques'!$C$4&lt;&gt;"?",'Choix pédagogiques'!$C$5&lt;&gt;"?",AB822&lt;&gt;""),(AB822-'Choix pédagogiques'!$C$4)/('Choix pédagogiques'!$C$5-'Choix pédagogiques'!$C$4),"")</f>
        <v/>
      </c>
      <c r="AX822" s="49" t="str">
        <f>IF(AND('Choix pédagogiques'!$C$4&lt;&gt;"?",'Choix pédagogiques'!$C$5&lt;&gt;"?",AC822&lt;&gt;""),(AC822-'Choix pédagogiques'!$C$4)/('Choix pédagogiques'!$C$5-'Choix pédagogiques'!$C$4),"")</f>
        <v/>
      </c>
      <c r="AY822" s="49" t="str">
        <f>IF(AND('Choix pédagogiques'!$C$4&lt;&gt;"?",'Choix pédagogiques'!$C$5&lt;&gt;"?",AD822&lt;&gt;""),(AD822-'Choix pédagogiques'!$C$4)/('Choix pédagogiques'!$C$5-'Choix pédagogiques'!$C$4),"")</f>
        <v/>
      </c>
      <c r="AZ822" s="22" t="str">
        <f t="shared" si="560"/>
        <v/>
      </c>
      <c r="BA822" s="21" t="str">
        <f t="shared" si="561"/>
        <v>Apprenant 810</v>
      </c>
      <c r="BB822" s="49" t="str">
        <f t="shared" si="533"/>
        <v/>
      </c>
      <c r="BC822" s="49" t="str">
        <f t="shared" si="534"/>
        <v/>
      </c>
      <c r="BD822" s="49" t="str">
        <f t="shared" si="535"/>
        <v/>
      </c>
      <c r="BE822" s="22" t="str">
        <f t="shared" si="562"/>
        <v/>
      </c>
      <c r="BF822" s="21" t="str">
        <f t="shared" si="563"/>
        <v>Apprenant 810 ou 810'</v>
      </c>
      <c r="BG822" s="49" t="str">
        <f t="shared" si="536"/>
        <v/>
      </c>
      <c r="BH822" s="49" t="str">
        <f t="shared" si="537"/>
        <v/>
      </c>
      <c r="BI822" s="49" t="str">
        <f t="shared" si="538"/>
        <v/>
      </c>
      <c r="BJ822" s="22" t="str">
        <f t="shared" si="564"/>
        <v/>
      </c>
      <c r="BL822" s="21"/>
      <c r="BM822" s="21" t="str">
        <f>IF(OR(COUNT(B822:D1821)=0,AND('Choix pédagogiques'!$C$3&lt;&gt;1,'Choix pédagogiques'!$C$3&lt;&gt;2)),"",IF(AND(OR('Choix pédagogiques'!$C$3=1,'Choix pédagogiques'!$C$3=2),$B822&lt;&gt;"",$C822&lt;&gt;"",$D822&lt;&gt;""),1,0))</f>
        <v/>
      </c>
      <c r="BN822" s="21" t="str">
        <f>IF(OR(COUNT(G822:I1821)=0,AND('Choix pédagogiques'!$C$3&lt;&gt;1,'Choix pédagogiques'!$C$3&lt;&gt;2)),"",IF(AND(OR('Choix pédagogiques'!$C$3=1,'Choix pédagogiques'!$C$3=2),AND($G822&lt;&gt;"",$H822&lt;&gt;"",$I822&lt;&gt;"")),1,0))</f>
        <v/>
      </c>
      <c r="BO822" s="21" t="str">
        <f>IF(OR(COUNT(B822:D1821)=0,COUNT(G822:I1821)=0,'Choix pédagogiques'!C$3&lt;&gt;3),"",IF(AND('Choix pédagogiques'!$C$3=3,$B822&lt;&gt;"",$C822&lt;&gt;"",$D822&lt;&gt;"",$G822&lt;&gt;"",$H822&lt;&gt;"",$I822&lt;&gt;""),1,0))</f>
        <v/>
      </c>
      <c r="BR822" s="21">
        <v>217</v>
      </c>
      <c r="BS822" s="21">
        <v>1127</v>
      </c>
      <c r="BT822"/>
    </row>
    <row r="823" spans="1:72" s="23" customFormat="1" ht="18" customHeight="1" x14ac:dyDescent="0.3">
      <c r="A823" s="35" t="s">
        <v>813</v>
      </c>
      <c r="B823" s="37"/>
      <c r="C823" s="37"/>
      <c r="D823" s="37"/>
      <c r="E823" s="37"/>
      <c r="F823" s="35" t="s">
        <v>1821</v>
      </c>
      <c r="G823" s="37"/>
      <c r="H823" s="37"/>
      <c r="I823" s="37"/>
      <c r="J823" s="37"/>
      <c r="K823" s="21" t="str">
        <f t="shared" si="539"/>
        <v>Apprenant 811</v>
      </c>
      <c r="L823" s="22" t="str">
        <f t="shared" si="540"/>
        <v/>
      </c>
      <c r="M823" s="22" t="str">
        <f t="shared" si="541"/>
        <v/>
      </c>
      <c r="N823" s="22" t="str">
        <f t="shared" si="542"/>
        <v/>
      </c>
      <c r="O823" s="22" t="str">
        <f t="shared" si="543"/>
        <v/>
      </c>
      <c r="P823" s="21" t="str">
        <f t="shared" si="544"/>
        <v>Apprenant 811 ou 811'</v>
      </c>
      <c r="Q823" s="22" t="str">
        <f t="shared" si="545"/>
        <v/>
      </c>
      <c r="R823" s="22" t="str">
        <f t="shared" si="546"/>
        <v/>
      </c>
      <c r="S823" s="22" t="str">
        <f t="shared" si="547"/>
        <v/>
      </c>
      <c r="T823" s="22" t="str">
        <f t="shared" si="548"/>
        <v/>
      </c>
      <c r="V823" s="21" t="str">
        <f t="shared" si="549"/>
        <v>Apprenant 811</v>
      </c>
      <c r="W823" s="22" t="str">
        <f>IF(AND(OR('Choix pédagogiques'!$C$3=1,'Choix pédagogiques'!$C$3=2),$BM823=1),B823,IF(AND('Choix pédagogiques'!$C$3=3,$BO823=1),B823,""))</f>
        <v/>
      </c>
      <c r="X823" s="22" t="str">
        <f>IF(AND(OR('Choix pédagogiques'!$C$3=1,'Choix pédagogiques'!$C$3=2),$BM823=1),C823,IF(AND('Choix pédagogiques'!$C$3=3,$BO823=1),C823,""))</f>
        <v/>
      </c>
      <c r="Y823" s="22" t="str">
        <f>IF(AND(OR('Choix pédagogiques'!$C$3=1,'Choix pédagogiques'!$C$3=2),$BM823=1),D823,IF(AND('Choix pédagogiques'!$C$3=3,$BO823=1),D823,""))</f>
        <v/>
      </c>
      <c r="Z823" s="22" t="str">
        <f t="shared" si="550"/>
        <v/>
      </c>
      <c r="AA823" s="21" t="str">
        <f t="shared" si="551"/>
        <v>Apprenant 811 ou 811'</v>
      </c>
      <c r="AB823" s="22" t="str">
        <f>IF(AND(OR('Choix pédagogiques'!$C$3=1,'Choix pédagogiques'!$C$3=2),$BN823=1),G823,IF(AND('Choix pédagogiques'!$C$3=3,$BO823=1),G823,""))</f>
        <v/>
      </c>
      <c r="AC823" s="22" t="str">
        <f>IF(AND(OR('Choix pédagogiques'!$C$3=1,'Choix pédagogiques'!$C$3=2),$BN823=1),H823,IF(AND('Choix pédagogiques'!$C$3=3,$BO823=1),H823,""))</f>
        <v/>
      </c>
      <c r="AD823" s="22" t="str">
        <f>IF(AND(OR('Choix pédagogiques'!$C$3=1,'Choix pédagogiques'!$C$3=2),$BN823=1),I823,IF(AND('Choix pédagogiques'!$C$3=3,$BO823=1),I823,""))</f>
        <v/>
      </c>
      <c r="AE823" s="22" t="str">
        <f t="shared" si="552"/>
        <v/>
      </c>
      <c r="AF823" s="21" t="str">
        <f t="shared" si="553"/>
        <v>Apprenant 811</v>
      </c>
      <c r="AG823" s="22" t="str">
        <f t="shared" si="527"/>
        <v/>
      </c>
      <c r="AH823" s="22" t="str">
        <f t="shared" si="528"/>
        <v/>
      </c>
      <c r="AI823" s="22" t="str">
        <f t="shared" si="529"/>
        <v/>
      </c>
      <c r="AJ823" s="22" t="str">
        <f t="shared" si="554"/>
        <v/>
      </c>
      <c r="AK823" s="21" t="str">
        <f t="shared" si="555"/>
        <v>Apprenant 811 ou 811'</v>
      </c>
      <c r="AL823" s="22" t="str">
        <f t="shared" si="530"/>
        <v/>
      </c>
      <c r="AM823" s="22" t="str">
        <f t="shared" si="531"/>
        <v/>
      </c>
      <c r="AN823" s="22" t="str">
        <f t="shared" si="532"/>
        <v/>
      </c>
      <c r="AO823" s="22" t="str">
        <f t="shared" si="556"/>
        <v/>
      </c>
      <c r="AQ823" s="21" t="str">
        <f t="shared" si="557"/>
        <v>Apprenant 811</v>
      </c>
      <c r="AR823" s="49" t="str">
        <f>IF(AND('Choix pédagogiques'!$C$4&lt;&gt;"?",'Choix pédagogiques'!$C$5&lt;&gt;"?",W823&lt;&gt;""),(W823-'Choix pédagogiques'!$C$4)/('Choix pédagogiques'!$C$5-'Choix pédagogiques'!$C$4),"")</f>
        <v/>
      </c>
      <c r="AS823" s="49" t="str">
        <f>IF(AND('Choix pédagogiques'!$C$4&lt;&gt;"?",'Choix pédagogiques'!$C$5&lt;&gt;"?",X823&lt;&gt;""),(X823-'Choix pédagogiques'!$C$4)/('Choix pédagogiques'!$C$5-'Choix pédagogiques'!$C$4),"")</f>
        <v/>
      </c>
      <c r="AT823" s="49" t="str">
        <f>IF(AND('Choix pédagogiques'!$C$4&lt;&gt;"?",'Choix pédagogiques'!$C$5&lt;&gt;"?",Y823&lt;&gt;""),(Y823-'Choix pédagogiques'!$C$4)/('Choix pédagogiques'!$C$5-'Choix pédagogiques'!$C$4),"")</f>
        <v/>
      </c>
      <c r="AU823" s="22" t="str">
        <f t="shared" si="558"/>
        <v/>
      </c>
      <c r="AV823" s="21" t="str">
        <f t="shared" si="559"/>
        <v>Apprenant 811 ou 811'</v>
      </c>
      <c r="AW823" s="49" t="str">
        <f>IF(AND('Choix pédagogiques'!$C$4&lt;&gt;"?",'Choix pédagogiques'!$C$5&lt;&gt;"?",AB823&lt;&gt;""),(AB823-'Choix pédagogiques'!$C$4)/('Choix pédagogiques'!$C$5-'Choix pédagogiques'!$C$4),"")</f>
        <v/>
      </c>
      <c r="AX823" s="49" t="str">
        <f>IF(AND('Choix pédagogiques'!$C$4&lt;&gt;"?",'Choix pédagogiques'!$C$5&lt;&gt;"?",AC823&lt;&gt;""),(AC823-'Choix pédagogiques'!$C$4)/('Choix pédagogiques'!$C$5-'Choix pédagogiques'!$C$4),"")</f>
        <v/>
      </c>
      <c r="AY823" s="49" t="str">
        <f>IF(AND('Choix pédagogiques'!$C$4&lt;&gt;"?",'Choix pédagogiques'!$C$5&lt;&gt;"?",AD823&lt;&gt;""),(AD823-'Choix pédagogiques'!$C$4)/('Choix pédagogiques'!$C$5-'Choix pédagogiques'!$C$4),"")</f>
        <v/>
      </c>
      <c r="AZ823" s="22" t="str">
        <f t="shared" si="560"/>
        <v/>
      </c>
      <c r="BA823" s="21" t="str">
        <f t="shared" si="561"/>
        <v>Apprenant 811</v>
      </c>
      <c r="BB823" s="49" t="str">
        <f t="shared" si="533"/>
        <v/>
      </c>
      <c r="BC823" s="49" t="str">
        <f t="shared" si="534"/>
        <v/>
      </c>
      <c r="BD823" s="49" t="str">
        <f t="shared" si="535"/>
        <v/>
      </c>
      <c r="BE823" s="22" t="str">
        <f t="shared" si="562"/>
        <v/>
      </c>
      <c r="BF823" s="21" t="str">
        <f t="shared" si="563"/>
        <v>Apprenant 811 ou 811'</v>
      </c>
      <c r="BG823" s="49" t="str">
        <f t="shared" si="536"/>
        <v/>
      </c>
      <c r="BH823" s="49" t="str">
        <f t="shared" si="537"/>
        <v/>
      </c>
      <c r="BI823" s="49" t="str">
        <f t="shared" si="538"/>
        <v/>
      </c>
      <c r="BJ823" s="22" t="str">
        <f t="shared" si="564"/>
        <v/>
      </c>
      <c r="BL823" s="21"/>
      <c r="BM823" s="21" t="str">
        <f>IF(OR(COUNT(B823:D1822)=0,AND('Choix pédagogiques'!$C$3&lt;&gt;1,'Choix pédagogiques'!$C$3&lt;&gt;2)),"",IF(AND(OR('Choix pédagogiques'!$C$3=1,'Choix pédagogiques'!$C$3=2),$B823&lt;&gt;"",$C823&lt;&gt;"",$D823&lt;&gt;""),1,0))</f>
        <v/>
      </c>
      <c r="BN823" s="21" t="str">
        <f>IF(OR(COUNT(G823:I1822)=0,AND('Choix pédagogiques'!$C$3&lt;&gt;1,'Choix pédagogiques'!$C$3&lt;&gt;2)),"",IF(AND(OR('Choix pédagogiques'!$C$3=1,'Choix pédagogiques'!$C$3=2),AND($G823&lt;&gt;"",$H823&lt;&gt;"",$I823&lt;&gt;"")),1,0))</f>
        <v/>
      </c>
      <c r="BO823" s="21" t="str">
        <f>IF(OR(COUNT(B823:D1822)=0,COUNT(G823:I1822)=0,'Choix pédagogiques'!C$3&lt;&gt;3),"",IF(AND('Choix pédagogiques'!$C$3=3,$B823&lt;&gt;"",$C823&lt;&gt;"",$D823&lt;&gt;"",$G823&lt;&gt;"",$H823&lt;&gt;"",$I823&lt;&gt;""),1,0))</f>
        <v/>
      </c>
      <c r="BR823" s="21">
        <v>989</v>
      </c>
      <c r="BS823" s="21">
        <v>1797</v>
      </c>
      <c r="BT823"/>
    </row>
    <row r="824" spans="1:72" s="23" customFormat="1" ht="18" customHeight="1" x14ac:dyDescent="0.3">
      <c r="A824" s="35" t="s">
        <v>814</v>
      </c>
      <c r="B824" s="37"/>
      <c r="C824" s="37"/>
      <c r="D824" s="37"/>
      <c r="E824" s="37"/>
      <c r="F824" s="35" t="s">
        <v>1822</v>
      </c>
      <c r="G824" s="37"/>
      <c r="H824" s="37"/>
      <c r="I824" s="37"/>
      <c r="J824" s="37"/>
      <c r="K824" s="21" t="str">
        <f t="shared" si="539"/>
        <v>Apprenant 812</v>
      </c>
      <c r="L824" s="22" t="str">
        <f t="shared" si="540"/>
        <v/>
      </c>
      <c r="M824" s="22" t="str">
        <f t="shared" si="541"/>
        <v/>
      </c>
      <c r="N824" s="22" t="str">
        <f t="shared" si="542"/>
        <v/>
      </c>
      <c r="O824" s="22" t="str">
        <f t="shared" si="543"/>
        <v/>
      </c>
      <c r="P824" s="21" t="str">
        <f t="shared" si="544"/>
        <v>Apprenant 812 ou 812'</v>
      </c>
      <c r="Q824" s="22" t="str">
        <f t="shared" si="545"/>
        <v/>
      </c>
      <c r="R824" s="22" t="str">
        <f t="shared" si="546"/>
        <v/>
      </c>
      <c r="S824" s="22" t="str">
        <f t="shared" si="547"/>
        <v/>
      </c>
      <c r="T824" s="22" t="str">
        <f t="shared" si="548"/>
        <v/>
      </c>
      <c r="V824" s="21" t="str">
        <f t="shared" si="549"/>
        <v>Apprenant 812</v>
      </c>
      <c r="W824" s="22" t="str">
        <f>IF(AND(OR('Choix pédagogiques'!$C$3=1,'Choix pédagogiques'!$C$3=2),$BM824=1),B824,IF(AND('Choix pédagogiques'!$C$3=3,$BO824=1),B824,""))</f>
        <v/>
      </c>
      <c r="X824" s="22" t="str">
        <f>IF(AND(OR('Choix pédagogiques'!$C$3=1,'Choix pédagogiques'!$C$3=2),$BM824=1),C824,IF(AND('Choix pédagogiques'!$C$3=3,$BO824=1),C824,""))</f>
        <v/>
      </c>
      <c r="Y824" s="22" t="str">
        <f>IF(AND(OR('Choix pédagogiques'!$C$3=1,'Choix pédagogiques'!$C$3=2),$BM824=1),D824,IF(AND('Choix pédagogiques'!$C$3=3,$BO824=1),D824,""))</f>
        <v/>
      </c>
      <c r="Z824" s="22" t="str">
        <f t="shared" si="550"/>
        <v/>
      </c>
      <c r="AA824" s="21" t="str">
        <f t="shared" si="551"/>
        <v>Apprenant 812 ou 812'</v>
      </c>
      <c r="AB824" s="22" t="str">
        <f>IF(AND(OR('Choix pédagogiques'!$C$3=1,'Choix pédagogiques'!$C$3=2),$BN824=1),G824,IF(AND('Choix pédagogiques'!$C$3=3,$BO824=1),G824,""))</f>
        <v/>
      </c>
      <c r="AC824" s="22" t="str">
        <f>IF(AND(OR('Choix pédagogiques'!$C$3=1,'Choix pédagogiques'!$C$3=2),$BN824=1),H824,IF(AND('Choix pédagogiques'!$C$3=3,$BO824=1),H824,""))</f>
        <v/>
      </c>
      <c r="AD824" s="22" t="str">
        <f>IF(AND(OR('Choix pédagogiques'!$C$3=1,'Choix pédagogiques'!$C$3=2),$BN824=1),I824,IF(AND('Choix pédagogiques'!$C$3=3,$BO824=1),I824,""))</f>
        <v/>
      </c>
      <c r="AE824" s="22" t="str">
        <f t="shared" si="552"/>
        <v/>
      </c>
      <c r="AF824" s="21" t="str">
        <f t="shared" si="553"/>
        <v>Apprenant 812</v>
      </c>
      <c r="AG824" s="22" t="str">
        <f t="shared" si="527"/>
        <v/>
      </c>
      <c r="AH824" s="22" t="str">
        <f t="shared" si="528"/>
        <v/>
      </c>
      <c r="AI824" s="22" t="str">
        <f t="shared" si="529"/>
        <v/>
      </c>
      <c r="AJ824" s="22" t="str">
        <f t="shared" si="554"/>
        <v/>
      </c>
      <c r="AK824" s="21" t="str">
        <f t="shared" si="555"/>
        <v>Apprenant 812 ou 812'</v>
      </c>
      <c r="AL824" s="22" t="str">
        <f t="shared" si="530"/>
        <v/>
      </c>
      <c r="AM824" s="22" t="str">
        <f t="shared" si="531"/>
        <v/>
      </c>
      <c r="AN824" s="22" t="str">
        <f t="shared" si="532"/>
        <v/>
      </c>
      <c r="AO824" s="22" t="str">
        <f t="shared" si="556"/>
        <v/>
      </c>
      <c r="AQ824" s="21" t="str">
        <f t="shared" si="557"/>
        <v>Apprenant 812</v>
      </c>
      <c r="AR824" s="49" t="str">
        <f>IF(AND('Choix pédagogiques'!$C$4&lt;&gt;"?",'Choix pédagogiques'!$C$5&lt;&gt;"?",W824&lt;&gt;""),(W824-'Choix pédagogiques'!$C$4)/('Choix pédagogiques'!$C$5-'Choix pédagogiques'!$C$4),"")</f>
        <v/>
      </c>
      <c r="AS824" s="49" t="str">
        <f>IF(AND('Choix pédagogiques'!$C$4&lt;&gt;"?",'Choix pédagogiques'!$C$5&lt;&gt;"?",X824&lt;&gt;""),(X824-'Choix pédagogiques'!$C$4)/('Choix pédagogiques'!$C$5-'Choix pédagogiques'!$C$4),"")</f>
        <v/>
      </c>
      <c r="AT824" s="49" t="str">
        <f>IF(AND('Choix pédagogiques'!$C$4&lt;&gt;"?",'Choix pédagogiques'!$C$5&lt;&gt;"?",Y824&lt;&gt;""),(Y824-'Choix pédagogiques'!$C$4)/('Choix pédagogiques'!$C$5-'Choix pédagogiques'!$C$4),"")</f>
        <v/>
      </c>
      <c r="AU824" s="22" t="str">
        <f t="shared" si="558"/>
        <v/>
      </c>
      <c r="AV824" s="21" t="str">
        <f t="shared" si="559"/>
        <v>Apprenant 812 ou 812'</v>
      </c>
      <c r="AW824" s="49" t="str">
        <f>IF(AND('Choix pédagogiques'!$C$4&lt;&gt;"?",'Choix pédagogiques'!$C$5&lt;&gt;"?",AB824&lt;&gt;""),(AB824-'Choix pédagogiques'!$C$4)/('Choix pédagogiques'!$C$5-'Choix pédagogiques'!$C$4),"")</f>
        <v/>
      </c>
      <c r="AX824" s="49" t="str">
        <f>IF(AND('Choix pédagogiques'!$C$4&lt;&gt;"?",'Choix pédagogiques'!$C$5&lt;&gt;"?",AC824&lt;&gt;""),(AC824-'Choix pédagogiques'!$C$4)/('Choix pédagogiques'!$C$5-'Choix pédagogiques'!$C$4),"")</f>
        <v/>
      </c>
      <c r="AY824" s="49" t="str">
        <f>IF(AND('Choix pédagogiques'!$C$4&lt;&gt;"?",'Choix pédagogiques'!$C$5&lt;&gt;"?",AD824&lt;&gt;""),(AD824-'Choix pédagogiques'!$C$4)/('Choix pédagogiques'!$C$5-'Choix pédagogiques'!$C$4),"")</f>
        <v/>
      </c>
      <c r="AZ824" s="22" t="str">
        <f t="shared" si="560"/>
        <v/>
      </c>
      <c r="BA824" s="21" t="str">
        <f t="shared" si="561"/>
        <v>Apprenant 812</v>
      </c>
      <c r="BB824" s="49" t="str">
        <f t="shared" si="533"/>
        <v/>
      </c>
      <c r="BC824" s="49" t="str">
        <f t="shared" si="534"/>
        <v/>
      </c>
      <c r="BD824" s="49" t="str">
        <f t="shared" si="535"/>
        <v/>
      </c>
      <c r="BE824" s="22" t="str">
        <f t="shared" si="562"/>
        <v/>
      </c>
      <c r="BF824" s="21" t="str">
        <f t="shared" si="563"/>
        <v>Apprenant 812 ou 812'</v>
      </c>
      <c r="BG824" s="49" t="str">
        <f t="shared" si="536"/>
        <v/>
      </c>
      <c r="BH824" s="49" t="str">
        <f t="shared" si="537"/>
        <v/>
      </c>
      <c r="BI824" s="49" t="str">
        <f t="shared" si="538"/>
        <v/>
      </c>
      <c r="BJ824" s="22" t="str">
        <f t="shared" si="564"/>
        <v/>
      </c>
      <c r="BL824" s="21"/>
      <c r="BM824" s="21" t="str">
        <f>IF(OR(COUNT(B824:D1823)=0,AND('Choix pédagogiques'!$C$3&lt;&gt;1,'Choix pédagogiques'!$C$3&lt;&gt;2)),"",IF(AND(OR('Choix pédagogiques'!$C$3=1,'Choix pédagogiques'!$C$3=2),$B824&lt;&gt;"",$C824&lt;&gt;"",$D824&lt;&gt;""),1,0))</f>
        <v/>
      </c>
      <c r="BN824" s="21" t="str">
        <f>IF(OR(COUNT(G824:I1823)=0,AND('Choix pédagogiques'!$C$3&lt;&gt;1,'Choix pédagogiques'!$C$3&lt;&gt;2)),"",IF(AND(OR('Choix pédagogiques'!$C$3=1,'Choix pédagogiques'!$C$3=2),AND($G824&lt;&gt;"",$H824&lt;&gt;"",$I824&lt;&gt;"")),1,0))</f>
        <v/>
      </c>
      <c r="BO824" s="21" t="str">
        <f>IF(OR(COUNT(B824:D1823)=0,COUNT(G824:I1823)=0,'Choix pédagogiques'!C$3&lt;&gt;3),"",IF(AND('Choix pédagogiques'!$C$3=3,$B824&lt;&gt;"",$C824&lt;&gt;"",$D824&lt;&gt;"",$G824&lt;&gt;"",$H824&lt;&gt;"",$I824&lt;&gt;""),1,0))</f>
        <v/>
      </c>
      <c r="BR824" s="21">
        <v>3</v>
      </c>
      <c r="BS824" s="21">
        <v>1494</v>
      </c>
      <c r="BT824"/>
    </row>
    <row r="825" spans="1:72" s="23" customFormat="1" ht="18" customHeight="1" x14ac:dyDescent="0.3">
      <c r="A825" s="35" t="s">
        <v>815</v>
      </c>
      <c r="B825" s="37"/>
      <c r="C825" s="37"/>
      <c r="D825" s="37"/>
      <c r="E825" s="37"/>
      <c r="F825" s="35" t="s">
        <v>1823</v>
      </c>
      <c r="G825" s="37"/>
      <c r="H825" s="37"/>
      <c r="I825" s="37"/>
      <c r="J825" s="37"/>
      <c r="K825" s="21" t="str">
        <f t="shared" si="539"/>
        <v>Apprenant 813</v>
      </c>
      <c r="L825" s="22" t="str">
        <f t="shared" si="540"/>
        <v/>
      </c>
      <c r="M825" s="22" t="str">
        <f t="shared" si="541"/>
        <v/>
      </c>
      <c r="N825" s="22" t="str">
        <f t="shared" si="542"/>
        <v/>
      </c>
      <c r="O825" s="22" t="str">
        <f t="shared" si="543"/>
        <v/>
      </c>
      <c r="P825" s="21" t="str">
        <f t="shared" si="544"/>
        <v>Apprenant 813 ou 813'</v>
      </c>
      <c r="Q825" s="22" t="str">
        <f t="shared" si="545"/>
        <v/>
      </c>
      <c r="R825" s="22" t="str">
        <f t="shared" si="546"/>
        <v/>
      </c>
      <c r="S825" s="22" t="str">
        <f t="shared" si="547"/>
        <v/>
      </c>
      <c r="T825" s="22" t="str">
        <f t="shared" si="548"/>
        <v/>
      </c>
      <c r="V825" s="21" t="str">
        <f t="shared" si="549"/>
        <v>Apprenant 813</v>
      </c>
      <c r="W825" s="22" t="str">
        <f>IF(AND(OR('Choix pédagogiques'!$C$3=1,'Choix pédagogiques'!$C$3=2),$BM825=1),B825,IF(AND('Choix pédagogiques'!$C$3=3,$BO825=1),B825,""))</f>
        <v/>
      </c>
      <c r="X825" s="22" t="str">
        <f>IF(AND(OR('Choix pédagogiques'!$C$3=1,'Choix pédagogiques'!$C$3=2),$BM825=1),C825,IF(AND('Choix pédagogiques'!$C$3=3,$BO825=1),C825,""))</f>
        <v/>
      </c>
      <c r="Y825" s="22" t="str">
        <f>IF(AND(OR('Choix pédagogiques'!$C$3=1,'Choix pédagogiques'!$C$3=2),$BM825=1),D825,IF(AND('Choix pédagogiques'!$C$3=3,$BO825=1),D825,""))</f>
        <v/>
      </c>
      <c r="Z825" s="22" t="str">
        <f t="shared" si="550"/>
        <v/>
      </c>
      <c r="AA825" s="21" t="str">
        <f t="shared" si="551"/>
        <v>Apprenant 813 ou 813'</v>
      </c>
      <c r="AB825" s="22" t="str">
        <f>IF(AND(OR('Choix pédagogiques'!$C$3=1,'Choix pédagogiques'!$C$3=2),$BN825=1),G825,IF(AND('Choix pédagogiques'!$C$3=3,$BO825=1),G825,""))</f>
        <v/>
      </c>
      <c r="AC825" s="22" t="str">
        <f>IF(AND(OR('Choix pédagogiques'!$C$3=1,'Choix pédagogiques'!$C$3=2),$BN825=1),H825,IF(AND('Choix pédagogiques'!$C$3=3,$BO825=1),H825,""))</f>
        <v/>
      </c>
      <c r="AD825" s="22" t="str">
        <f>IF(AND(OR('Choix pédagogiques'!$C$3=1,'Choix pédagogiques'!$C$3=2),$BN825=1),I825,IF(AND('Choix pédagogiques'!$C$3=3,$BO825=1),I825,""))</f>
        <v/>
      </c>
      <c r="AE825" s="22" t="str">
        <f t="shared" si="552"/>
        <v/>
      </c>
      <c r="AF825" s="21" t="str">
        <f t="shared" si="553"/>
        <v>Apprenant 813</v>
      </c>
      <c r="AG825" s="22" t="str">
        <f t="shared" si="527"/>
        <v/>
      </c>
      <c r="AH825" s="22" t="str">
        <f t="shared" si="528"/>
        <v/>
      </c>
      <c r="AI825" s="22" t="str">
        <f t="shared" si="529"/>
        <v/>
      </c>
      <c r="AJ825" s="22" t="str">
        <f t="shared" si="554"/>
        <v/>
      </c>
      <c r="AK825" s="21" t="str">
        <f t="shared" si="555"/>
        <v>Apprenant 813 ou 813'</v>
      </c>
      <c r="AL825" s="22" t="str">
        <f t="shared" si="530"/>
        <v/>
      </c>
      <c r="AM825" s="22" t="str">
        <f t="shared" si="531"/>
        <v/>
      </c>
      <c r="AN825" s="22" t="str">
        <f t="shared" si="532"/>
        <v/>
      </c>
      <c r="AO825" s="22" t="str">
        <f t="shared" si="556"/>
        <v/>
      </c>
      <c r="AQ825" s="21" t="str">
        <f t="shared" si="557"/>
        <v>Apprenant 813</v>
      </c>
      <c r="AR825" s="49" t="str">
        <f>IF(AND('Choix pédagogiques'!$C$4&lt;&gt;"?",'Choix pédagogiques'!$C$5&lt;&gt;"?",W825&lt;&gt;""),(W825-'Choix pédagogiques'!$C$4)/('Choix pédagogiques'!$C$5-'Choix pédagogiques'!$C$4),"")</f>
        <v/>
      </c>
      <c r="AS825" s="49" t="str">
        <f>IF(AND('Choix pédagogiques'!$C$4&lt;&gt;"?",'Choix pédagogiques'!$C$5&lt;&gt;"?",X825&lt;&gt;""),(X825-'Choix pédagogiques'!$C$4)/('Choix pédagogiques'!$C$5-'Choix pédagogiques'!$C$4),"")</f>
        <v/>
      </c>
      <c r="AT825" s="49" t="str">
        <f>IF(AND('Choix pédagogiques'!$C$4&lt;&gt;"?",'Choix pédagogiques'!$C$5&lt;&gt;"?",Y825&lt;&gt;""),(Y825-'Choix pédagogiques'!$C$4)/('Choix pédagogiques'!$C$5-'Choix pédagogiques'!$C$4),"")</f>
        <v/>
      </c>
      <c r="AU825" s="22" t="str">
        <f t="shared" si="558"/>
        <v/>
      </c>
      <c r="AV825" s="21" t="str">
        <f t="shared" si="559"/>
        <v>Apprenant 813 ou 813'</v>
      </c>
      <c r="AW825" s="49" t="str">
        <f>IF(AND('Choix pédagogiques'!$C$4&lt;&gt;"?",'Choix pédagogiques'!$C$5&lt;&gt;"?",AB825&lt;&gt;""),(AB825-'Choix pédagogiques'!$C$4)/('Choix pédagogiques'!$C$5-'Choix pédagogiques'!$C$4),"")</f>
        <v/>
      </c>
      <c r="AX825" s="49" t="str">
        <f>IF(AND('Choix pédagogiques'!$C$4&lt;&gt;"?",'Choix pédagogiques'!$C$5&lt;&gt;"?",AC825&lt;&gt;""),(AC825-'Choix pédagogiques'!$C$4)/('Choix pédagogiques'!$C$5-'Choix pédagogiques'!$C$4),"")</f>
        <v/>
      </c>
      <c r="AY825" s="49" t="str">
        <f>IF(AND('Choix pédagogiques'!$C$4&lt;&gt;"?",'Choix pédagogiques'!$C$5&lt;&gt;"?",AD825&lt;&gt;""),(AD825-'Choix pédagogiques'!$C$4)/('Choix pédagogiques'!$C$5-'Choix pédagogiques'!$C$4),"")</f>
        <v/>
      </c>
      <c r="AZ825" s="22" t="str">
        <f t="shared" si="560"/>
        <v/>
      </c>
      <c r="BA825" s="21" t="str">
        <f t="shared" si="561"/>
        <v>Apprenant 813</v>
      </c>
      <c r="BB825" s="49" t="str">
        <f t="shared" si="533"/>
        <v/>
      </c>
      <c r="BC825" s="49" t="str">
        <f t="shared" si="534"/>
        <v/>
      </c>
      <c r="BD825" s="49" t="str">
        <f t="shared" si="535"/>
        <v/>
      </c>
      <c r="BE825" s="22" t="str">
        <f t="shared" si="562"/>
        <v/>
      </c>
      <c r="BF825" s="21" t="str">
        <f t="shared" si="563"/>
        <v>Apprenant 813 ou 813'</v>
      </c>
      <c r="BG825" s="49" t="str">
        <f t="shared" si="536"/>
        <v/>
      </c>
      <c r="BH825" s="49" t="str">
        <f t="shared" si="537"/>
        <v/>
      </c>
      <c r="BI825" s="49" t="str">
        <f t="shared" si="538"/>
        <v/>
      </c>
      <c r="BJ825" s="22" t="str">
        <f t="shared" si="564"/>
        <v/>
      </c>
      <c r="BL825" s="21"/>
      <c r="BM825" s="21" t="str">
        <f>IF(OR(COUNT(B825:D1824)=0,AND('Choix pédagogiques'!$C$3&lt;&gt;1,'Choix pédagogiques'!$C$3&lt;&gt;2)),"",IF(AND(OR('Choix pédagogiques'!$C$3=1,'Choix pédagogiques'!$C$3=2),$B825&lt;&gt;"",$C825&lt;&gt;"",$D825&lt;&gt;""),1,0))</f>
        <v/>
      </c>
      <c r="BN825" s="21" t="str">
        <f>IF(OR(COUNT(G825:I1824)=0,AND('Choix pédagogiques'!$C$3&lt;&gt;1,'Choix pédagogiques'!$C$3&lt;&gt;2)),"",IF(AND(OR('Choix pédagogiques'!$C$3=1,'Choix pédagogiques'!$C$3=2),AND($G825&lt;&gt;"",$H825&lt;&gt;"",$I825&lt;&gt;"")),1,0))</f>
        <v/>
      </c>
      <c r="BO825" s="21" t="str">
        <f>IF(OR(COUNT(B825:D1824)=0,COUNT(G825:I1824)=0,'Choix pédagogiques'!C$3&lt;&gt;3),"",IF(AND('Choix pédagogiques'!$C$3=3,$B825&lt;&gt;"",$C825&lt;&gt;"",$D825&lt;&gt;"",$G825&lt;&gt;"",$H825&lt;&gt;"",$I825&lt;&gt;""),1,0))</f>
        <v/>
      </c>
      <c r="BR825" s="21">
        <v>911</v>
      </c>
      <c r="BS825" s="21">
        <v>1398</v>
      </c>
      <c r="BT825"/>
    </row>
    <row r="826" spans="1:72" s="23" customFormat="1" ht="18" customHeight="1" x14ac:dyDescent="0.3">
      <c r="A826" s="35" t="s">
        <v>816</v>
      </c>
      <c r="B826" s="37"/>
      <c r="C826" s="37"/>
      <c r="D826" s="37"/>
      <c r="E826" s="37"/>
      <c r="F826" s="35" t="s">
        <v>1824</v>
      </c>
      <c r="G826" s="37"/>
      <c r="H826" s="37"/>
      <c r="I826" s="37"/>
      <c r="J826" s="37"/>
      <c r="K826" s="21" t="str">
        <f t="shared" si="539"/>
        <v>Apprenant 814</v>
      </c>
      <c r="L826" s="22" t="str">
        <f t="shared" si="540"/>
        <v/>
      </c>
      <c r="M826" s="22" t="str">
        <f t="shared" si="541"/>
        <v/>
      </c>
      <c r="N826" s="22" t="str">
        <f t="shared" si="542"/>
        <v/>
      </c>
      <c r="O826" s="22" t="str">
        <f t="shared" si="543"/>
        <v/>
      </c>
      <c r="P826" s="21" t="str">
        <f t="shared" si="544"/>
        <v>Apprenant 814 ou 814'</v>
      </c>
      <c r="Q826" s="22" t="str">
        <f t="shared" si="545"/>
        <v/>
      </c>
      <c r="R826" s="22" t="str">
        <f t="shared" si="546"/>
        <v/>
      </c>
      <c r="S826" s="22" t="str">
        <f t="shared" si="547"/>
        <v/>
      </c>
      <c r="T826" s="22" t="str">
        <f t="shared" si="548"/>
        <v/>
      </c>
      <c r="V826" s="21" t="str">
        <f t="shared" si="549"/>
        <v>Apprenant 814</v>
      </c>
      <c r="W826" s="22" t="str">
        <f>IF(AND(OR('Choix pédagogiques'!$C$3=1,'Choix pédagogiques'!$C$3=2),$BM826=1),B826,IF(AND('Choix pédagogiques'!$C$3=3,$BO826=1),B826,""))</f>
        <v/>
      </c>
      <c r="X826" s="22" t="str">
        <f>IF(AND(OR('Choix pédagogiques'!$C$3=1,'Choix pédagogiques'!$C$3=2),$BM826=1),C826,IF(AND('Choix pédagogiques'!$C$3=3,$BO826=1),C826,""))</f>
        <v/>
      </c>
      <c r="Y826" s="22" t="str">
        <f>IF(AND(OR('Choix pédagogiques'!$C$3=1,'Choix pédagogiques'!$C$3=2),$BM826=1),D826,IF(AND('Choix pédagogiques'!$C$3=3,$BO826=1),D826,""))</f>
        <v/>
      </c>
      <c r="Z826" s="22" t="str">
        <f t="shared" si="550"/>
        <v/>
      </c>
      <c r="AA826" s="21" t="str">
        <f t="shared" si="551"/>
        <v>Apprenant 814 ou 814'</v>
      </c>
      <c r="AB826" s="22" t="str">
        <f>IF(AND(OR('Choix pédagogiques'!$C$3=1,'Choix pédagogiques'!$C$3=2),$BN826=1),G826,IF(AND('Choix pédagogiques'!$C$3=3,$BO826=1),G826,""))</f>
        <v/>
      </c>
      <c r="AC826" s="22" t="str">
        <f>IF(AND(OR('Choix pédagogiques'!$C$3=1,'Choix pédagogiques'!$C$3=2),$BN826=1),H826,IF(AND('Choix pédagogiques'!$C$3=3,$BO826=1),H826,""))</f>
        <v/>
      </c>
      <c r="AD826" s="22" t="str">
        <f>IF(AND(OR('Choix pédagogiques'!$C$3=1,'Choix pédagogiques'!$C$3=2),$BN826=1),I826,IF(AND('Choix pédagogiques'!$C$3=3,$BO826=1),I826,""))</f>
        <v/>
      </c>
      <c r="AE826" s="22" t="str">
        <f t="shared" si="552"/>
        <v/>
      </c>
      <c r="AF826" s="21" t="str">
        <f t="shared" si="553"/>
        <v>Apprenant 814</v>
      </c>
      <c r="AG826" s="22" t="str">
        <f t="shared" si="527"/>
        <v/>
      </c>
      <c r="AH826" s="22" t="str">
        <f t="shared" si="528"/>
        <v/>
      </c>
      <c r="AI826" s="22" t="str">
        <f t="shared" si="529"/>
        <v/>
      </c>
      <c r="AJ826" s="22" t="str">
        <f t="shared" si="554"/>
        <v/>
      </c>
      <c r="AK826" s="21" t="str">
        <f t="shared" si="555"/>
        <v>Apprenant 814 ou 814'</v>
      </c>
      <c r="AL826" s="22" t="str">
        <f t="shared" si="530"/>
        <v/>
      </c>
      <c r="AM826" s="22" t="str">
        <f t="shared" si="531"/>
        <v/>
      </c>
      <c r="AN826" s="22" t="str">
        <f t="shared" si="532"/>
        <v/>
      </c>
      <c r="AO826" s="22" t="str">
        <f t="shared" si="556"/>
        <v/>
      </c>
      <c r="AQ826" s="21" t="str">
        <f t="shared" si="557"/>
        <v>Apprenant 814</v>
      </c>
      <c r="AR826" s="49" t="str">
        <f>IF(AND('Choix pédagogiques'!$C$4&lt;&gt;"?",'Choix pédagogiques'!$C$5&lt;&gt;"?",W826&lt;&gt;""),(W826-'Choix pédagogiques'!$C$4)/('Choix pédagogiques'!$C$5-'Choix pédagogiques'!$C$4),"")</f>
        <v/>
      </c>
      <c r="AS826" s="49" t="str">
        <f>IF(AND('Choix pédagogiques'!$C$4&lt;&gt;"?",'Choix pédagogiques'!$C$5&lt;&gt;"?",X826&lt;&gt;""),(X826-'Choix pédagogiques'!$C$4)/('Choix pédagogiques'!$C$5-'Choix pédagogiques'!$C$4),"")</f>
        <v/>
      </c>
      <c r="AT826" s="49" t="str">
        <f>IF(AND('Choix pédagogiques'!$C$4&lt;&gt;"?",'Choix pédagogiques'!$C$5&lt;&gt;"?",Y826&lt;&gt;""),(Y826-'Choix pédagogiques'!$C$4)/('Choix pédagogiques'!$C$5-'Choix pédagogiques'!$C$4),"")</f>
        <v/>
      </c>
      <c r="AU826" s="22" t="str">
        <f t="shared" si="558"/>
        <v/>
      </c>
      <c r="AV826" s="21" t="str">
        <f t="shared" si="559"/>
        <v>Apprenant 814 ou 814'</v>
      </c>
      <c r="AW826" s="49" t="str">
        <f>IF(AND('Choix pédagogiques'!$C$4&lt;&gt;"?",'Choix pédagogiques'!$C$5&lt;&gt;"?",AB826&lt;&gt;""),(AB826-'Choix pédagogiques'!$C$4)/('Choix pédagogiques'!$C$5-'Choix pédagogiques'!$C$4),"")</f>
        <v/>
      </c>
      <c r="AX826" s="49" t="str">
        <f>IF(AND('Choix pédagogiques'!$C$4&lt;&gt;"?",'Choix pédagogiques'!$C$5&lt;&gt;"?",AC826&lt;&gt;""),(AC826-'Choix pédagogiques'!$C$4)/('Choix pédagogiques'!$C$5-'Choix pédagogiques'!$C$4),"")</f>
        <v/>
      </c>
      <c r="AY826" s="49" t="str">
        <f>IF(AND('Choix pédagogiques'!$C$4&lt;&gt;"?",'Choix pédagogiques'!$C$5&lt;&gt;"?",AD826&lt;&gt;""),(AD826-'Choix pédagogiques'!$C$4)/('Choix pédagogiques'!$C$5-'Choix pédagogiques'!$C$4),"")</f>
        <v/>
      </c>
      <c r="AZ826" s="22" t="str">
        <f t="shared" si="560"/>
        <v/>
      </c>
      <c r="BA826" s="21" t="str">
        <f t="shared" si="561"/>
        <v>Apprenant 814</v>
      </c>
      <c r="BB826" s="49" t="str">
        <f t="shared" si="533"/>
        <v/>
      </c>
      <c r="BC826" s="49" t="str">
        <f t="shared" si="534"/>
        <v/>
      </c>
      <c r="BD826" s="49" t="str">
        <f t="shared" si="535"/>
        <v/>
      </c>
      <c r="BE826" s="22" t="str">
        <f t="shared" si="562"/>
        <v/>
      </c>
      <c r="BF826" s="21" t="str">
        <f t="shared" si="563"/>
        <v>Apprenant 814 ou 814'</v>
      </c>
      <c r="BG826" s="49" t="str">
        <f t="shared" si="536"/>
        <v/>
      </c>
      <c r="BH826" s="49" t="str">
        <f t="shared" si="537"/>
        <v/>
      </c>
      <c r="BI826" s="49" t="str">
        <f t="shared" si="538"/>
        <v/>
      </c>
      <c r="BJ826" s="22" t="str">
        <f t="shared" si="564"/>
        <v/>
      </c>
      <c r="BL826" s="21"/>
      <c r="BM826" s="21" t="str">
        <f>IF(OR(COUNT(B826:D1825)=0,AND('Choix pédagogiques'!$C$3&lt;&gt;1,'Choix pédagogiques'!$C$3&lt;&gt;2)),"",IF(AND(OR('Choix pédagogiques'!$C$3=1,'Choix pédagogiques'!$C$3=2),$B826&lt;&gt;"",$C826&lt;&gt;"",$D826&lt;&gt;""),1,0))</f>
        <v/>
      </c>
      <c r="BN826" s="21" t="str">
        <f>IF(OR(COUNT(G826:I1825)=0,AND('Choix pédagogiques'!$C$3&lt;&gt;1,'Choix pédagogiques'!$C$3&lt;&gt;2)),"",IF(AND(OR('Choix pédagogiques'!$C$3=1,'Choix pédagogiques'!$C$3=2),AND($G826&lt;&gt;"",$H826&lt;&gt;"",$I826&lt;&gt;"")),1,0))</f>
        <v/>
      </c>
      <c r="BO826" s="21" t="str">
        <f>IF(OR(COUNT(B826:D1825)=0,COUNT(G826:I1825)=0,'Choix pédagogiques'!C$3&lt;&gt;3),"",IF(AND('Choix pédagogiques'!$C$3=3,$B826&lt;&gt;"",$C826&lt;&gt;"",$D826&lt;&gt;"",$G826&lt;&gt;"",$H826&lt;&gt;"",$I826&lt;&gt;""),1,0))</f>
        <v/>
      </c>
      <c r="BR826" s="21">
        <v>199</v>
      </c>
      <c r="BS826" s="21">
        <v>1578</v>
      </c>
      <c r="BT826"/>
    </row>
    <row r="827" spans="1:72" s="23" customFormat="1" ht="18" customHeight="1" x14ac:dyDescent="0.3">
      <c r="A827" s="35" t="s">
        <v>817</v>
      </c>
      <c r="B827" s="37"/>
      <c r="C827" s="37"/>
      <c r="D827" s="37"/>
      <c r="E827" s="37"/>
      <c r="F827" s="35" t="s">
        <v>1825</v>
      </c>
      <c r="G827" s="37"/>
      <c r="H827" s="37"/>
      <c r="I827" s="37"/>
      <c r="J827" s="37"/>
      <c r="K827" s="21" t="str">
        <f t="shared" si="539"/>
        <v>Apprenant 815</v>
      </c>
      <c r="L827" s="22" t="str">
        <f t="shared" si="540"/>
        <v/>
      </c>
      <c r="M827" s="22" t="str">
        <f t="shared" si="541"/>
        <v/>
      </c>
      <c r="N827" s="22" t="str">
        <f t="shared" si="542"/>
        <v/>
      </c>
      <c r="O827" s="22" t="str">
        <f t="shared" si="543"/>
        <v/>
      </c>
      <c r="P827" s="21" t="str">
        <f t="shared" si="544"/>
        <v>Apprenant 815 ou 815'</v>
      </c>
      <c r="Q827" s="22" t="str">
        <f t="shared" si="545"/>
        <v/>
      </c>
      <c r="R827" s="22" t="str">
        <f t="shared" si="546"/>
        <v/>
      </c>
      <c r="S827" s="22" t="str">
        <f t="shared" si="547"/>
        <v/>
      </c>
      <c r="T827" s="22" t="str">
        <f t="shared" si="548"/>
        <v/>
      </c>
      <c r="V827" s="21" t="str">
        <f t="shared" si="549"/>
        <v>Apprenant 815</v>
      </c>
      <c r="W827" s="22" t="str">
        <f>IF(AND(OR('Choix pédagogiques'!$C$3=1,'Choix pédagogiques'!$C$3=2),$BM827=1),B827,IF(AND('Choix pédagogiques'!$C$3=3,$BO827=1),B827,""))</f>
        <v/>
      </c>
      <c r="X827" s="22" t="str">
        <f>IF(AND(OR('Choix pédagogiques'!$C$3=1,'Choix pédagogiques'!$C$3=2),$BM827=1),C827,IF(AND('Choix pédagogiques'!$C$3=3,$BO827=1),C827,""))</f>
        <v/>
      </c>
      <c r="Y827" s="22" t="str">
        <f>IF(AND(OR('Choix pédagogiques'!$C$3=1,'Choix pédagogiques'!$C$3=2),$BM827=1),D827,IF(AND('Choix pédagogiques'!$C$3=3,$BO827=1),D827,""))</f>
        <v/>
      </c>
      <c r="Z827" s="22" t="str">
        <f t="shared" si="550"/>
        <v/>
      </c>
      <c r="AA827" s="21" t="str">
        <f t="shared" si="551"/>
        <v>Apprenant 815 ou 815'</v>
      </c>
      <c r="AB827" s="22" t="str">
        <f>IF(AND(OR('Choix pédagogiques'!$C$3=1,'Choix pédagogiques'!$C$3=2),$BN827=1),G827,IF(AND('Choix pédagogiques'!$C$3=3,$BO827=1),G827,""))</f>
        <v/>
      </c>
      <c r="AC827" s="22" t="str">
        <f>IF(AND(OR('Choix pédagogiques'!$C$3=1,'Choix pédagogiques'!$C$3=2),$BN827=1),H827,IF(AND('Choix pédagogiques'!$C$3=3,$BO827=1),H827,""))</f>
        <v/>
      </c>
      <c r="AD827" s="22" t="str">
        <f>IF(AND(OR('Choix pédagogiques'!$C$3=1,'Choix pédagogiques'!$C$3=2),$BN827=1),I827,IF(AND('Choix pédagogiques'!$C$3=3,$BO827=1),I827,""))</f>
        <v/>
      </c>
      <c r="AE827" s="22" t="str">
        <f t="shared" si="552"/>
        <v/>
      </c>
      <c r="AF827" s="21" t="str">
        <f t="shared" si="553"/>
        <v>Apprenant 815</v>
      </c>
      <c r="AG827" s="22" t="str">
        <f t="shared" si="527"/>
        <v/>
      </c>
      <c r="AH827" s="22" t="str">
        <f t="shared" si="528"/>
        <v/>
      </c>
      <c r="AI827" s="22" t="str">
        <f t="shared" si="529"/>
        <v/>
      </c>
      <c r="AJ827" s="22" t="str">
        <f t="shared" si="554"/>
        <v/>
      </c>
      <c r="AK827" s="21" t="str">
        <f t="shared" si="555"/>
        <v>Apprenant 815 ou 815'</v>
      </c>
      <c r="AL827" s="22" t="str">
        <f t="shared" si="530"/>
        <v/>
      </c>
      <c r="AM827" s="22" t="str">
        <f t="shared" si="531"/>
        <v/>
      </c>
      <c r="AN827" s="22" t="str">
        <f t="shared" si="532"/>
        <v/>
      </c>
      <c r="AO827" s="22" t="str">
        <f t="shared" si="556"/>
        <v/>
      </c>
      <c r="AQ827" s="21" t="str">
        <f t="shared" si="557"/>
        <v>Apprenant 815</v>
      </c>
      <c r="AR827" s="49" t="str">
        <f>IF(AND('Choix pédagogiques'!$C$4&lt;&gt;"?",'Choix pédagogiques'!$C$5&lt;&gt;"?",W827&lt;&gt;""),(W827-'Choix pédagogiques'!$C$4)/('Choix pédagogiques'!$C$5-'Choix pédagogiques'!$C$4),"")</f>
        <v/>
      </c>
      <c r="AS827" s="49" t="str">
        <f>IF(AND('Choix pédagogiques'!$C$4&lt;&gt;"?",'Choix pédagogiques'!$C$5&lt;&gt;"?",X827&lt;&gt;""),(X827-'Choix pédagogiques'!$C$4)/('Choix pédagogiques'!$C$5-'Choix pédagogiques'!$C$4),"")</f>
        <v/>
      </c>
      <c r="AT827" s="49" t="str">
        <f>IF(AND('Choix pédagogiques'!$C$4&lt;&gt;"?",'Choix pédagogiques'!$C$5&lt;&gt;"?",Y827&lt;&gt;""),(Y827-'Choix pédagogiques'!$C$4)/('Choix pédagogiques'!$C$5-'Choix pédagogiques'!$C$4),"")</f>
        <v/>
      </c>
      <c r="AU827" s="22" t="str">
        <f t="shared" si="558"/>
        <v/>
      </c>
      <c r="AV827" s="21" t="str">
        <f t="shared" si="559"/>
        <v>Apprenant 815 ou 815'</v>
      </c>
      <c r="AW827" s="49" t="str">
        <f>IF(AND('Choix pédagogiques'!$C$4&lt;&gt;"?",'Choix pédagogiques'!$C$5&lt;&gt;"?",AB827&lt;&gt;""),(AB827-'Choix pédagogiques'!$C$4)/('Choix pédagogiques'!$C$5-'Choix pédagogiques'!$C$4),"")</f>
        <v/>
      </c>
      <c r="AX827" s="49" t="str">
        <f>IF(AND('Choix pédagogiques'!$C$4&lt;&gt;"?",'Choix pédagogiques'!$C$5&lt;&gt;"?",AC827&lt;&gt;""),(AC827-'Choix pédagogiques'!$C$4)/('Choix pédagogiques'!$C$5-'Choix pédagogiques'!$C$4),"")</f>
        <v/>
      </c>
      <c r="AY827" s="49" t="str">
        <f>IF(AND('Choix pédagogiques'!$C$4&lt;&gt;"?",'Choix pédagogiques'!$C$5&lt;&gt;"?",AD827&lt;&gt;""),(AD827-'Choix pédagogiques'!$C$4)/('Choix pédagogiques'!$C$5-'Choix pédagogiques'!$C$4),"")</f>
        <v/>
      </c>
      <c r="AZ827" s="22" t="str">
        <f t="shared" si="560"/>
        <v/>
      </c>
      <c r="BA827" s="21" t="str">
        <f t="shared" si="561"/>
        <v>Apprenant 815</v>
      </c>
      <c r="BB827" s="49" t="str">
        <f t="shared" si="533"/>
        <v/>
      </c>
      <c r="BC827" s="49" t="str">
        <f t="shared" si="534"/>
        <v/>
      </c>
      <c r="BD827" s="49" t="str">
        <f t="shared" si="535"/>
        <v/>
      </c>
      <c r="BE827" s="22" t="str">
        <f t="shared" si="562"/>
        <v/>
      </c>
      <c r="BF827" s="21" t="str">
        <f t="shared" si="563"/>
        <v>Apprenant 815 ou 815'</v>
      </c>
      <c r="BG827" s="49" t="str">
        <f t="shared" si="536"/>
        <v/>
      </c>
      <c r="BH827" s="49" t="str">
        <f t="shared" si="537"/>
        <v/>
      </c>
      <c r="BI827" s="49" t="str">
        <f t="shared" si="538"/>
        <v/>
      </c>
      <c r="BJ827" s="22" t="str">
        <f t="shared" si="564"/>
        <v/>
      </c>
      <c r="BL827" s="21"/>
      <c r="BM827" s="21" t="str">
        <f>IF(OR(COUNT(B827:D1826)=0,AND('Choix pédagogiques'!$C$3&lt;&gt;1,'Choix pédagogiques'!$C$3&lt;&gt;2)),"",IF(AND(OR('Choix pédagogiques'!$C$3=1,'Choix pédagogiques'!$C$3=2),$B827&lt;&gt;"",$C827&lt;&gt;"",$D827&lt;&gt;""),1,0))</f>
        <v/>
      </c>
      <c r="BN827" s="21" t="str">
        <f>IF(OR(COUNT(G827:I1826)=0,AND('Choix pédagogiques'!$C$3&lt;&gt;1,'Choix pédagogiques'!$C$3&lt;&gt;2)),"",IF(AND(OR('Choix pédagogiques'!$C$3=1,'Choix pédagogiques'!$C$3=2),AND($G827&lt;&gt;"",$H827&lt;&gt;"",$I827&lt;&gt;"")),1,0))</f>
        <v/>
      </c>
      <c r="BO827" s="21" t="str">
        <f>IF(OR(COUNT(B827:D1826)=0,COUNT(G827:I1826)=0,'Choix pédagogiques'!C$3&lt;&gt;3),"",IF(AND('Choix pédagogiques'!$C$3=3,$B827&lt;&gt;"",$C827&lt;&gt;"",$D827&lt;&gt;"",$G827&lt;&gt;"",$H827&lt;&gt;"",$I827&lt;&gt;""),1,0))</f>
        <v/>
      </c>
      <c r="BR827" s="21">
        <v>395</v>
      </c>
      <c r="BS827" s="21">
        <v>1665</v>
      </c>
      <c r="BT827"/>
    </row>
    <row r="828" spans="1:72" s="23" customFormat="1" ht="18" customHeight="1" x14ac:dyDescent="0.3">
      <c r="A828" s="35" t="s">
        <v>818</v>
      </c>
      <c r="B828" s="37"/>
      <c r="C828" s="37"/>
      <c r="D828" s="37"/>
      <c r="E828" s="37"/>
      <c r="F828" s="35" t="s">
        <v>1826</v>
      </c>
      <c r="G828" s="37"/>
      <c r="H828" s="37"/>
      <c r="I828" s="37"/>
      <c r="J828" s="37"/>
      <c r="K828" s="21" t="str">
        <f t="shared" si="539"/>
        <v>Apprenant 816</v>
      </c>
      <c r="L828" s="22" t="str">
        <f t="shared" si="540"/>
        <v/>
      </c>
      <c r="M828" s="22" t="str">
        <f t="shared" si="541"/>
        <v/>
      </c>
      <c r="N828" s="22" t="str">
        <f t="shared" si="542"/>
        <v/>
      </c>
      <c r="O828" s="22" t="str">
        <f t="shared" si="543"/>
        <v/>
      </c>
      <c r="P828" s="21" t="str">
        <f t="shared" si="544"/>
        <v>Apprenant 816 ou 816'</v>
      </c>
      <c r="Q828" s="22" t="str">
        <f t="shared" si="545"/>
        <v/>
      </c>
      <c r="R828" s="22" t="str">
        <f t="shared" si="546"/>
        <v/>
      </c>
      <c r="S828" s="22" t="str">
        <f t="shared" si="547"/>
        <v/>
      </c>
      <c r="T828" s="22" t="str">
        <f t="shared" si="548"/>
        <v/>
      </c>
      <c r="V828" s="21" t="str">
        <f t="shared" si="549"/>
        <v>Apprenant 816</v>
      </c>
      <c r="W828" s="22" t="str">
        <f>IF(AND(OR('Choix pédagogiques'!$C$3=1,'Choix pédagogiques'!$C$3=2),$BM828=1),B828,IF(AND('Choix pédagogiques'!$C$3=3,$BO828=1),B828,""))</f>
        <v/>
      </c>
      <c r="X828" s="22" t="str">
        <f>IF(AND(OR('Choix pédagogiques'!$C$3=1,'Choix pédagogiques'!$C$3=2),$BM828=1),C828,IF(AND('Choix pédagogiques'!$C$3=3,$BO828=1),C828,""))</f>
        <v/>
      </c>
      <c r="Y828" s="22" t="str">
        <f>IF(AND(OR('Choix pédagogiques'!$C$3=1,'Choix pédagogiques'!$C$3=2),$BM828=1),D828,IF(AND('Choix pédagogiques'!$C$3=3,$BO828=1),D828,""))</f>
        <v/>
      </c>
      <c r="Z828" s="22" t="str">
        <f t="shared" si="550"/>
        <v/>
      </c>
      <c r="AA828" s="21" t="str">
        <f t="shared" si="551"/>
        <v>Apprenant 816 ou 816'</v>
      </c>
      <c r="AB828" s="22" t="str">
        <f>IF(AND(OR('Choix pédagogiques'!$C$3=1,'Choix pédagogiques'!$C$3=2),$BN828=1),G828,IF(AND('Choix pédagogiques'!$C$3=3,$BO828=1),G828,""))</f>
        <v/>
      </c>
      <c r="AC828" s="22" t="str">
        <f>IF(AND(OR('Choix pédagogiques'!$C$3=1,'Choix pédagogiques'!$C$3=2),$BN828=1),H828,IF(AND('Choix pédagogiques'!$C$3=3,$BO828=1),H828,""))</f>
        <v/>
      </c>
      <c r="AD828" s="22" t="str">
        <f>IF(AND(OR('Choix pédagogiques'!$C$3=1,'Choix pédagogiques'!$C$3=2),$BN828=1),I828,IF(AND('Choix pédagogiques'!$C$3=3,$BO828=1),I828,""))</f>
        <v/>
      </c>
      <c r="AE828" s="22" t="str">
        <f t="shared" si="552"/>
        <v/>
      </c>
      <c r="AF828" s="21" t="str">
        <f t="shared" si="553"/>
        <v>Apprenant 816</v>
      </c>
      <c r="AG828" s="22" t="str">
        <f t="shared" si="527"/>
        <v/>
      </c>
      <c r="AH828" s="22" t="str">
        <f t="shared" si="528"/>
        <v/>
      </c>
      <c r="AI828" s="22" t="str">
        <f t="shared" si="529"/>
        <v/>
      </c>
      <c r="AJ828" s="22" t="str">
        <f t="shared" si="554"/>
        <v/>
      </c>
      <c r="AK828" s="21" t="str">
        <f t="shared" si="555"/>
        <v>Apprenant 816 ou 816'</v>
      </c>
      <c r="AL828" s="22" t="str">
        <f t="shared" si="530"/>
        <v/>
      </c>
      <c r="AM828" s="22" t="str">
        <f t="shared" si="531"/>
        <v/>
      </c>
      <c r="AN828" s="22" t="str">
        <f t="shared" si="532"/>
        <v/>
      </c>
      <c r="AO828" s="22" t="str">
        <f t="shared" si="556"/>
        <v/>
      </c>
      <c r="AQ828" s="21" t="str">
        <f t="shared" si="557"/>
        <v>Apprenant 816</v>
      </c>
      <c r="AR828" s="49" t="str">
        <f>IF(AND('Choix pédagogiques'!$C$4&lt;&gt;"?",'Choix pédagogiques'!$C$5&lt;&gt;"?",W828&lt;&gt;""),(W828-'Choix pédagogiques'!$C$4)/('Choix pédagogiques'!$C$5-'Choix pédagogiques'!$C$4),"")</f>
        <v/>
      </c>
      <c r="AS828" s="49" t="str">
        <f>IF(AND('Choix pédagogiques'!$C$4&lt;&gt;"?",'Choix pédagogiques'!$C$5&lt;&gt;"?",X828&lt;&gt;""),(X828-'Choix pédagogiques'!$C$4)/('Choix pédagogiques'!$C$5-'Choix pédagogiques'!$C$4),"")</f>
        <v/>
      </c>
      <c r="AT828" s="49" t="str">
        <f>IF(AND('Choix pédagogiques'!$C$4&lt;&gt;"?",'Choix pédagogiques'!$C$5&lt;&gt;"?",Y828&lt;&gt;""),(Y828-'Choix pédagogiques'!$C$4)/('Choix pédagogiques'!$C$5-'Choix pédagogiques'!$C$4),"")</f>
        <v/>
      </c>
      <c r="AU828" s="22" t="str">
        <f t="shared" si="558"/>
        <v/>
      </c>
      <c r="AV828" s="21" t="str">
        <f t="shared" si="559"/>
        <v>Apprenant 816 ou 816'</v>
      </c>
      <c r="AW828" s="49" t="str">
        <f>IF(AND('Choix pédagogiques'!$C$4&lt;&gt;"?",'Choix pédagogiques'!$C$5&lt;&gt;"?",AB828&lt;&gt;""),(AB828-'Choix pédagogiques'!$C$4)/('Choix pédagogiques'!$C$5-'Choix pédagogiques'!$C$4),"")</f>
        <v/>
      </c>
      <c r="AX828" s="49" t="str">
        <f>IF(AND('Choix pédagogiques'!$C$4&lt;&gt;"?",'Choix pédagogiques'!$C$5&lt;&gt;"?",AC828&lt;&gt;""),(AC828-'Choix pédagogiques'!$C$4)/('Choix pédagogiques'!$C$5-'Choix pédagogiques'!$C$4),"")</f>
        <v/>
      </c>
      <c r="AY828" s="49" t="str">
        <f>IF(AND('Choix pédagogiques'!$C$4&lt;&gt;"?",'Choix pédagogiques'!$C$5&lt;&gt;"?",AD828&lt;&gt;""),(AD828-'Choix pédagogiques'!$C$4)/('Choix pédagogiques'!$C$5-'Choix pédagogiques'!$C$4),"")</f>
        <v/>
      </c>
      <c r="AZ828" s="22" t="str">
        <f t="shared" si="560"/>
        <v/>
      </c>
      <c r="BA828" s="21" t="str">
        <f t="shared" si="561"/>
        <v>Apprenant 816</v>
      </c>
      <c r="BB828" s="49" t="str">
        <f t="shared" si="533"/>
        <v/>
      </c>
      <c r="BC828" s="49" t="str">
        <f t="shared" si="534"/>
        <v/>
      </c>
      <c r="BD828" s="49" t="str">
        <f t="shared" si="535"/>
        <v/>
      </c>
      <c r="BE828" s="22" t="str">
        <f t="shared" si="562"/>
        <v/>
      </c>
      <c r="BF828" s="21" t="str">
        <f t="shared" si="563"/>
        <v>Apprenant 816 ou 816'</v>
      </c>
      <c r="BG828" s="49" t="str">
        <f t="shared" si="536"/>
        <v/>
      </c>
      <c r="BH828" s="49" t="str">
        <f t="shared" si="537"/>
        <v/>
      </c>
      <c r="BI828" s="49" t="str">
        <f t="shared" si="538"/>
        <v/>
      </c>
      <c r="BJ828" s="22" t="str">
        <f t="shared" si="564"/>
        <v/>
      </c>
      <c r="BL828" s="21"/>
      <c r="BM828" s="21" t="str">
        <f>IF(OR(COUNT(B828:D1827)=0,AND('Choix pédagogiques'!$C$3&lt;&gt;1,'Choix pédagogiques'!$C$3&lt;&gt;2)),"",IF(AND(OR('Choix pédagogiques'!$C$3=1,'Choix pédagogiques'!$C$3=2),$B828&lt;&gt;"",$C828&lt;&gt;"",$D828&lt;&gt;""),1,0))</f>
        <v/>
      </c>
      <c r="BN828" s="21" t="str">
        <f>IF(OR(COUNT(G828:I1827)=0,AND('Choix pédagogiques'!$C$3&lt;&gt;1,'Choix pédagogiques'!$C$3&lt;&gt;2)),"",IF(AND(OR('Choix pédagogiques'!$C$3=1,'Choix pédagogiques'!$C$3=2),AND($G828&lt;&gt;"",$H828&lt;&gt;"",$I828&lt;&gt;"")),1,0))</f>
        <v/>
      </c>
      <c r="BO828" s="21" t="str">
        <f>IF(OR(COUNT(B828:D1827)=0,COUNT(G828:I1827)=0,'Choix pédagogiques'!C$3&lt;&gt;3),"",IF(AND('Choix pédagogiques'!$C$3=3,$B828&lt;&gt;"",$C828&lt;&gt;"",$D828&lt;&gt;"",$G828&lt;&gt;"",$H828&lt;&gt;"",$I828&lt;&gt;""),1,0))</f>
        <v/>
      </c>
      <c r="BR828" s="21">
        <v>355</v>
      </c>
      <c r="BS828" s="21">
        <v>1478</v>
      </c>
      <c r="BT828"/>
    </row>
    <row r="829" spans="1:72" s="23" customFormat="1" ht="18" customHeight="1" x14ac:dyDescent="0.3">
      <c r="A829" s="35" t="s">
        <v>819</v>
      </c>
      <c r="B829" s="37"/>
      <c r="C829" s="37"/>
      <c r="D829" s="37"/>
      <c r="E829" s="37"/>
      <c r="F829" s="35" t="s">
        <v>1827</v>
      </c>
      <c r="G829" s="37"/>
      <c r="H829" s="37"/>
      <c r="I829" s="37"/>
      <c r="J829" s="37"/>
      <c r="K829" s="21" t="str">
        <f t="shared" si="539"/>
        <v>Apprenant 817</v>
      </c>
      <c r="L829" s="22" t="str">
        <f t="shared" si="540"/>
        <v/>
      </c>
      <c r="M829" s="22" t="str">
        <f t="shared" si="541"/>
        <v/>
      </c>
      <c r="N829" s="22" t="str">
        <f t="shared" si="542"/>
        <v/>
      </c>
      <c r="O829" s="22" t="str">
        <f t="shared" si="543"/>
        <v/>
      </c>
      <c r="P829" s="21" t="str">
        <f t="shared" si="544"/>
        <v>Apprenant 817 ou 817'</v>
      </c>
      <c r="Q829" s="22" t="str">
        <f t="shared" si="545"/>
        <v/>
      </c>
      <c r="R829" s="22" t="str">
        <f t="shared" si="546"/>
        <v/>
      </c>
      <c r="S829" s="22" t="str">
        <f t="shared" si="547"/>
        <v/>
      </c>
      <c r="T829" s="22" t="str">
        <f t="shared" si="548"/>
        <v/>
      </c>
      <c r="V829" s="21" t="str">
        <f t="shared" si="549"/>
        <v>Apprenant 817</v>
      </c>
      <c r="W829" s="22" t="str">
        <f>IF(AND(OR('Choix pédagogiques'!$C$3=1,'Choix pédagogiques'!$C$3=2),$BM829=1),B829,IF(AND('Choix pédagogiques'!$C$3=3,$BO829=1),B829,""))</f>
        <v/>
      </c>
      <c r="X829" s="22" t="str">
        <f>IF(AND(OR('Choix pédagogiques'!$C$3=1,'Choix pédagogiques'!$C$3=2),$BM829=1),C829,IF(AND('Choix pédagogiques'!$C$3=3,$BO829=1),C829,""))</f>
        <v/>
      </c>
      <c r="Y829" s="22" t="str">
        <f>IF(AND(OR('Choix pédagogiques'!$C$3=1,'Choix pédagogiques'!$C$3=2),$BM829=1),D829,IF(AND('Choix pédagogiques'!$C$3=3,$BO829=1),D829,""))</f>
        <v/>
      </c>
      <c r="Z829" s="22" t="str">
        <f t="shared" si="550"/>
        <v/>
      </c>
      <c r="AA829" s="21" t="str">
        <f t="shared" si="551"/>
        <v>Apprenant 817 ou 817'</v>
      </c>
      <c r="AB829" s="22" t="str">
        <f>IF(AND(OR('Choix pédagogiques'!$C$3=1,'Choix pédagogiques'!$C$3=2),$BN829=1),G829,IF(AND('Choix pédagogiques'!$C$3=3,$BO829=1),G829,""))</f>
        <v/>
      </c>
      <c r="AC829" s="22" t="str">
        <f>IF(AND(OR('Choix pédagogiques'!$C$3=1,'Choix pédagogiques'!$C$3=2),$BN829=1),H829,IF(AND('Choix pédagogiques'!$C$3=3,$BO829=1),H829,""))</f>
        <v/>
      </c>
      <c r="AD829" s="22" t="str">
        <f>IF(AND(OR('Choix pédagogiques'!$C$3=1,'Choix pédagogiques'!$C$3=2),$BN829=1),I829,IF(AND('Choix pédagogiques'!$C$3=3,$BO829=1),I829,""))</f>
        <v/>
      </c>
      <c r="AE829" s="22" t="str">
        <f t="shared" si="552"/>
        <v/>
      </c>
      <c r="AF829" s="21" t="str">
        <f t="shared" si="553"/>
        <v>Apprenant 817</v>
      </c>
      <c r="AG829" s="22" t="str">
        <f t="shared" si="527"/>
        <v/>
      </c>
      <c r="AH829" s="22" t="str">
        <f t="shared" si="528"/>
        <v/>
      </c>
      <c r="AI829" s="22" t="str">
        <f t="shared" si="529"/>
        <v/>
      </c>
      <c r="AJ829" s="22" t="str">
        <f t="shared" si="554"/>
        <v/>
      </c>
      <c r="AK829" s="21" t="str">
        <f t="shared" si="555"/>
        <v>Apprenant 817 ou 817'</v>
      </c>
      <c r="AL829" s="22" t="str">
        <f t="shared" si="530"/>
        <v/>
      </c>
      <c r="AM829" s="22" t="str">
        <f t="shared" si="531"/>
        <v/>
      </c>
      <c r="AN829" s="22" t="str">
        <f t="shared" si="532"/>
        <v/>
      </c>
      <c r="AO829" s="22" t="str">
        <f t="shared" si="556"/>
        <v/>
      </c>
      <c r="AQ829" s="21" t="str">
        <f t="shared" si="557"/>
        <v>Apprenant 817</v>
      </c>
      <c r="AR829" s="49" t="str">
        <f>IF(AND('Choix pédagogiques'!$C$4&lt;&gt;"?",'Choix pédagogiques'!$C$5&lt;&gt;"?",W829&lt;&gt;""),(W829-'Choix pédagogiques'!$C$4)/('Choix pédagogiques'!$C$5-'Choix pédagogiques'!$C$4),"")</f>
        <v/>
      </c>
      <c r="AS829" s="49" t="str">
        <f>IF(AND('Choix pédagogiques'!$C$4&lt;&gt;"?",'Choix pédagogiques'!$C$5&lt;&gt;"?",X829&lt;&gt;""),(X829-'Choix pédagogiques'!$C$4)/('Choix pédagogiques'!$C$5-'Choix pédagogiques'!$C$4),"")</f>
        <v/>
      </c>
      <c r="AT829" s="49" t="str">
        <f>IF(AND('Choix pédagogiques'!$C$4&lt;&gt;"?",'Choix pédagogiques'!$C$5&lt;&gt;"?",Y829&lt;&gt;""),(Y829-'Choix pédagogiques'!$C$4)/('Choix pédagogiques'!$C$5-'Choix pédagogiques'!$C$4),"")</f>
        <v/>
      </c>
      <c r="AU829" s="22" t="str">
        <f t="shared" si="558"/>
        <v/>
      </c>
      <c r="AV829" s="21" t="str">
        <f t="shared" si="559"/>
        <v>Apprenant 817 ou 817'</v>
      </c>
      <c r="AW829" s="49" t="str">
        <f>IF(AND('Choix pédagogiques'!$C$4&lt;&gt;"?",'Choix pédagogiques'!$C$5&lt;&gt;"?",AB829&lt;&gt;""),(AB829-'Choix pédagogiques'!$C$4)/('Choix pédagogiques'!$C$5-'Choix pédagogiques'!$C$4),"")</f>
        <v/>
      </c>
      <c r="AX829" s="49" t="str">
        <f>IF(AND('Choix pédagogiques'!$C$4&lt;&gt;"?",'Choix pédagogiques'!$C$5&lt;&gt;"?",AC829&lt;&gt;""),(AC829-'Choix pédagogiques'!$C$4)/('Choix pédagogiques'!$C$5-'Choix pédagogiques'!$C$4),"")</f>
        <v/>
      </c>
      <c r="AY829" s="49" t="str">
        <f>IF(AND('Choix pédagogiques'!$C$4&lt;&gt;"?",'Choix pédagogiques'!$C$5&lt;&gt;"?",AD829&lt;&gt;""),(AD829-'Choix pédagogiques'!$C$4)/('Choix pédagogiques'!$C$5-'Choix pédagogiques'!$C$4),"")</f>
        <v/>
      </c>
      <c r="AZ829" s="22" t="str">
        <f t="shared" si="560"/>
        <v/>
      </c>
      <c r="BA829" s="21" t="str">
        <f t="shared" si="561"/>
        <v>Apprenant 817</v>
      </c>
      <c r="BB829" s="49" t="str">
        <f t="shared" si="533"/>
        <v/>
      </c>
      <c r="BC829" s="49" t="str">
        <f t="shared" si="534"/>
        <v/>
      </c>
      <c r="BD829" s="49" t="str">
        <f t="shared" si="535"/>
        <v/>
      </c>
      <c r="BE829" s="22" t="str">
        <f t="shared" si="562"/>
        <v/>
      </c>
      <c r="BF829" s="21" t="str">
        <f t="shared" si="563"/>
        <v>Apprenant 817 ou 817'</v>
      </c>
      <c r="BG829" s="49" t="str">
        <f t="shared" si="536"/>
        <v/>
      </c>
      <c r="BH829" s="49" t="str">
        <f t="shared" si="537"/>
        <v/>
      </c>
      <c r="BI829" s="49" t="str">
        <f t="shared" si="538"/>
        <v/>
      </c>
      <c r="BJ829" s="22" t="str">
        <f t="shared" si="564"/>
        <v/>
      </c>
      <c r="BL829" s="21"/>
      <c r="BM829" s="21" t="str">
        <f>IF(OR(COUNT(B829:D1828)=0,AND('Choix pédagogiques'!$C$3&lt;&gt;1,'Choix pédagogiques'!$C$3&lt;&gt;2)),"",IF(AND(OR('Choix pédagogiques'!$C$3=1,'Choix pédagogiques'!$C$3=2),$B829&lt;&gt;"",$C829&lt;&gt;"",$D829&lt;&gt;""),1,0))</f>
        <v/>
      </c>
      <c r="BN829" s="21" t="str">
        <f>IF(OR(COUNT(G829:I1828)=0,AND('Choix pédagogiques'!$C$3&lt;&gt;1,'Choix pédagogiques'!$C$3&lt;&gt;2)),"",IF(AND(OR('Choix pédagogiques'!$C$3=1,'Choix pédagogiques'!$C$3=2),AND($G829&lt;&gt;"",$H829&lt;&gt;"",$I829&lt;&gt;"")),1,0))</f>
        <v/>
      </c>
      <c r="BO829" s="21" t="str">
        <f>IF(OR(COUNT(B829:D1828)=0,COUNT(G829:I1828)=0,'Choix pédagogiques'!C$3&lt;&gt;3),"",IF(AND('Choix pédagogiques'!$C$3=3,$B829&lt;&gt;"",$C829&lt;&gt;"",$D829&lt;&gt;"",$G829&lt;&gt;"",$H829&lt;&gt;"",$I829&lt;&gt;""),1,0))</f>
        <v/>
      </c>
      <c r="BR829" s="21">
        <v>374</v>
      </c>
      <c r="BS829" s="21">
        <v>1822</v>
      </c>
      <c r="BT829"/>
    </row>
    <row r="830" spans="1:72" s="23" customFormat="1" ht="18" customHeight="1" x14ac:dyDescent="0.3">
      <c r="A830" s="35" t="s">
        <v>820</v>
      </c>
      <c r="B830" s="37"/>
      <c r="C830" s="37"/>
      <c r="D830" s="37"/>
      <c r="E830" s="37"/>
      <c r="F830" s="35" t="s">
        <v>1828</v>
      </c>
      <c r="G830" s="37"/>
      <c r="H830" s="37"/>
      <c r="I830" s="37"/>
      <c r="J830" s="37"/>
      <c r="K830" s="21" t="str">
        <f t="shared" si="539"/>
        <v>Apprenant 818</v>
      </c>
      <c r="L830" s="22" t="str">
        <f t="shared" si="540"/>
        <v/>
      </c>
      <c r="M830" s="22" t="str">
        <f t="shared" si="541"/>
        <v/>
      </c>
      <c r="N830" s="22" t="str">
        <f t="shared" si="542"/>
        <v/>
      </c>
      <c r="O830" s="22" t="str">
        <f t="shared" si="543"/>
        <v/>
      </c>
      <c r="P830" s="21" t="str">
        <f t="shared" si="544"/>
        <v>Apprenant 818 ou 818'</v>
      </c>
      <c r="Q830" s="22" t="str">
        <f t="shared" si="545"/>
        <v/>
      </c>
      <c r="R830" s="22" t="str">
        <f t="shared" si="546"/>
        <v/>
      </c>
      <c r="S830" s="22" t="str">
        <f t="shared" si="547"/>
        <v/>
      </c>
      <c r="T830" s="22" t="str">
        <f t="shared" si="548"/>
        <v/>
      </c>
      <c r="V830" s="21" t="str">
        <f t="shared" si="549"/>
        <v>Apprenant 818</v>
      </c>
      <c r="W830" s="22" t="str">
        <f>IF(AND(OR('Choix pédagogiques'!$C$3=1,'Choix pédagogiques'!$C$3=2),$BM830=1),B830,IF(AND('Choix pédagogiques'!$C$3=3,$BO830=1),B830,""))</f>
        <v/>
      </c>
      <c r="X830" s="22" t="str">
        <f>IF(AND(OR('Choix pédagogiques'!$C$3=1,'Choix pédagogiques'!$C$3=2),$BM830=1),C830,IF(AND('Choix pédagogiques'!$C$3=3,$BO830=1),C830,""))</f>
        <v/>
      </c>
      <c r="Y830" s="22" t="str">
        <f>IF(AND(OR('Choix pédagogiques'!$C$3=1,'Choix pédagogiques'!$C$3=2),$BM830=1),D830,IF(AND('Choix pédagogiques'!$C$3=3,$BO830=1),D830,""))</f>
        <v/>
      </c>
      <c r="Z830" s="22" t="str">
        <f t="shared" si="550"/>
        <v/>
      </c>
      <c r="AA830" s="21" t="str">
        <f t="shared" si="551"/>
        <v>Apprenant 818 ou 818'</v>
      </c>
      <c r="AB830" s="22" t="str">
        <f>IF(AND(OR('Choix pédagogiques'!$C$3=1,'Choix pédagogiques'!$C$3=2),$BN830=1),G830,IF(AND('Choix pédagogiques'!$C$3=3,$BO830=1),G830,""))</f>
        <v/>
      </c>
      <c r="AC830" s="22" t="str">
        <f>IF(AND(OR('Choix pédagogiques'!$C$3=1,'Choix pédagogiques'!$C$3=2),$BN830=1),H830,IF(AND('Choix pédagogiques'!$C$3=3,$BO830=1),H830,""))</f>
        <v/>
      </c>
      <c r="AD830" s="22" t="str">
        <f>IF(AND(OR('Choix pédagogiques'!$C$3=1,'Choix pédagogiques'!$C$3=2),$BN830=1),I830,IF(AND('Choix pédagogiques'!$C$3=3,$BO830=1),I830,""))</f>
        <v/>
      </c>
      <c r="AE830" s="22" t="str">
        <f t="shared" si="552"/>
        <v/>
      </c>
      <c r="AF830" s="21" t="str">
        <f t="shared" si="553"/>
        <v>Apprenant 818</v>
      </c>
      <c r="AG830" s="22" t="str">
        <f t="shared" si="527"/>
        <v/>
      </c>
      <c r="AH830" s="22" t="str">
        <f t="shared" si="528"/>
        <v/>
      </c>
      <c r="AI830" s="22" t="str">
        <f t="shared" si="529"/>
        <v/>
      </c>
      <c r="AJ830" s="22" t="str">
        <f t="shared" si="554"/>
        <v/>
      </c>
      <c r="AK830" s="21" t="str">
        <f t="shared" si="555"/>
        <v>Apprenant 818 ou 818'</v>
      </c>
      <c r="AL830" s="22" t="str">
        <f t="shared" si="530"/>
        <v/>
      </c>
      <c r="AM830" s="22" t="str">
        <f t="shared" si="531"/>
        <v/>
      </c>
      <c r="AN830" s="22" t="str">
        <f t="shared" si="532"/>
        <v/>
      </c>
      <c r="AO830" s="22" t="str">
        <f t="shared" si="556"/>
        <v/>
      </c>
      <c r="AQ830" s="21" t="str">
        <f t="shared" si="557"/>
        <v>Apprenant 818</v>
      </c>
      <c r="AR830" s="49" t="str">
        <f>IF(AND('Choix pédagogiques'!$C$4&lt;&gt;"?",'Choix pédagogiques'!$C$5&lt;&gt;"?",W830&lt;&gt;""),(W830-'Choix pédagogiques'!$C$4)/('Choix pédagogiques'!$C$5-'Choix pédagogiques'!$C$4),"")</f>
        <v/>
      </c>
      <c r="AS830" s="49" t="str">
        <f>IF(AND('Choix pédagogiques'!$C$4&lt;&gt;"?",'Choix pédagogiques'!$C$5&lt;&gt;"?",X830&lt;&gt;""),(X830-'Choix pédagogiques'!$C$4)/('Choix pédagogiques'!$C$5-'Choix pédagogiques'!$C$4),"")</f>
        <v/>
      </c>
      <c r="AT830" s="49" t="str">
        <f>IF(AND('Choix pédagogiques'!$C$4&lt;&gt;"?",'Choix pédagogiques'!$C$5&lt;&gt;"?",Y830&lt;&gt;""),(Y830-'Choix pédagogiques'!$C$4)/('Choix pédagogiques'!$C$5-'Choix pédagogiques'!$C$4),"")</f>
        <v/>
      </c>
      <c r="AU830" s="22" t="str">
        <f t="shared" si="558"/>
        <v/>
      </c>
      <c r="AV830" s="21" t="str">
        <f t="shared" si="559"/>
        <v>Apprenant 818 ou 818'</v>
      </c>
      <c r="AW830" s="49" t="str">
        <f>IF(AND('Choix pédagogiques'!$C$4&lt;&gt;"?",'Choix pédagogiques'!$C$5&lt;&gt;"?",AB830&lt;&gt;""),(AB830-'Choix pédagogiques'!$C$4)/('Choix pédagogiques'!$C$5-'Choix pédagogiques'!$C$4),"")</f>
        <v/>
      </c>
      <c r="AX830" s="49" t="str">
        <f>IF(AND('Choix pédagogiques'!$C$4&lt;&gt;"?",'Choix pédagogiques'!$C$5&lt;&gt;"?",AC830&lt;&gt;""),(AC830-'Choix pédagogiques'!$C$4)/('Choix pédagogiques'!$C$5-'Choix pédagogiques'!$C$4),"")</f>
        <v/>
      </c>
      <c r="AY830" s="49" t="str">
        <f>IF(AND('Choix pédagogiques'!$C$4&lt;&gt;"?",'Choix pédagogiques'!$C$5&lt;&gt;"?",AD830&lt;&gt;""),(AD830-'Choix pédagogiques'!$C$4)/('Choix pédagogiques'!$C$5-'Choix pédagogiques'!$C$4),"")</f>
        <v/>
      </c>
      <c r="AZ830" s="22" t="str">
        <f t="shared" si="560"/>
        <v/>
      </c>
      <c r="BA830" s="21" t="str">
        <f t="shared" si="561"/>
        <v>Apprenant 818</v>
      </c>
      <c r="BB830" s="49" t="str">
        <f t="shared" si="533"/>
        <v/>
      </c>
      <c r="BC830" s="49" t="str">
        <f t="shared" si="534"/>
        <v/>
      </c>
      <c r="BD830" s="49" t="str">
        <f t="shared" si="535"/>
        <v/>
      </c>
      <c r="BE830" s="22" t="str">
        <f t="shared" si="562"/>
        <v/>
      </c>
      <c r="BF830" s="21" t="str">
        <f t="shared" si="563"/>
        <v>Apprenant 818 ou 818'</v>
      </c>
      <c r="BG830" s="49" t="str">
        <f t="shared" si="536"/>
        <v/>
      </c>
      <c r="BH830" s="49" t="str">
        <f t="shared" si="537"/>
        <v/>
      </c>
      <c r="BI830" s="49" t="str">
        <f t="shared" si="538"/>
        <v/>
      </c>
      <c r="BJ830" s="22" t="str">
        <f t="shared" si="564"/>
        <v/>
      </c>
      <c r="BL830" s="21"/>
      <c r="BM830" s="21" t="str">
        <f>IF(OR(COUNT(B830:D1829)=0,AND('Choix pédagogiques'!$C$3&lt;&gt;1,'Choix pédagogiques'!$C$3&lt;&gt;2)),"",IF(AND(OR('Choix pédagogiques'!$C$3=1,'Choix pédagogiques'!$C$3=2),$B830&lt;&gt;"",$C830&lt;&gt;"",$D830&lt;&gt;""),1,0))</f>
        <v/>
      </c>
      <c r="BN830" s="21" t="str">
        <f>IF(OR(COUNT(G830:I1829)=0,AND('Choix pédagogiques'!$C$3&lt;&gt;1,'Choix pédagogiques'!$C$3&lt;&gt;2)),"",IF(AND(OR('Choix pédagogiques'!$C$3=1,'Choix pédagogiques'!$C$3=2),AND($G830&lt;&gt;"",$H830&lt;&gt;"",$I830&lt;&gt;"")),1,0))</f>
        <v/>
      </c>
      <c r="BO830" s="21" t="str">
        <f>IF(OR(COUNT(B830:D1829)=0,COUNT(G830:I1829)=0,'Choix pédagogiques'!C$3&lt;&gt;3),"",IF(AND('Choix pédagogiques'!$C$3=3,$B830&lt;&gt;"",$C830&lt;&gt;"",$D830&lt;&gt;"",$G830&lt;&gt;"",$H830&lt;&gt;"",$I830&lt;&gt;""),1,0))</f>
        <v/>
      </c>
      <c r="BR830" s="21">
        <v>656</v>
      </c>
      <c r="BS830" s="21">
        <v>1288</v>
      </c>
      <c r="BT830"/>
    </row>
    <row r="831" spans="1:72" s="23" customFormat="1" ht="18" customHeight="1" x14ac:dyDescent="0.3">
      <c r="A831" s="35" t="s">
        <v>821</v>
      </c>
      <c r="B831" s="37"/>
      <c r="C831" s="37"/>
      <c r="D831" s="37"/>
      <c r="E831" s="37"/>
      <c r="F831" s="35" t="s">
        <v>1829</v>
      </c>
      <c r="G831" s="37"/>
      <c r="H831" s="37"/>
      <c r="I831" s="37"/>
      <c r="J831" s="37"/>
      <c r="K831" s="21" t="str">
        <f t="shared" si="539"/>
        <v>Apprenant 819</v>
      </c>
      <c r="L831" s="22" t="str">
        <f t="shared" si="540"/>
        <v/>
      </c>
      <c r="M831" s="22" t="str">
        <f t="shared" si="541"/>
        <v/>
      </c>
      <c r="N831" s="22" t="str">
        <f t="shared" si="542"/>
        <v/>
      </c>
      <c r="O831" s="22" t="str">
        <f t="shared" si="543"/>
        <v/>
      </c>
      <c r="P831" s="21" t="str">
        <f t="shared" si="544"/>
        <v>Apprenant 819 ou 819'</v>
      </c>
      <c r="Q831" s="22" t="str">
        <f t="shared" si="545"/>
        <v/>
      </c>
      <c r="R831" s="22" t="str">
        <f t="shared" si="546"/>
        <v/>
      </c>
      <c r="S831" s="22" t="str">
        <f t="shared" si="547"/>
        <v/>
      </c>
      <c r="T831" s="22" t="str">
        <f t="shared" si="548"/>
        <v/>
      </c>
      <c r="V831" s="21" t="str">
        <f t="shared" si="549"/>
        <v>Apprenant 819</v>
      </c>
      <c r="W831" s="22" t="str">
        <f>IF(AND(OR('Choix pédagogiques'!$C$3=1,'Choix pédagogiques'!$C$3=2),$BM831=1),B831,IF(AND('Choix pédagogiques'!$C$3=3,$BO831=1),B831,""))</f>
        <v/>
      </c>
      <c r="X831" s="22" t="str">
        <f>IF(AND(OR('Choix pédagogiques'!$C$3=1,'Choix pédagogiques'!$C$3=2),$BM831=1),C831,IF(AND('Choix pédagogiques'!$C$3=3,$BO831=1),C831,""))</f>
        <v/>
      </c>
      <c r="Y831" s="22" t="str">
        <f>IF(AND(OR('Choix pédagogiques'!$C$3=1,'Choix pédagogiques'!$C$3=2),$BM831=1),D831,IF(AND('Choix pédagogiques'!$C$3=3,$BO831=1),D831,""))</f>
        <v/>
      </c>
      <c r="Z831" s="22" t="str">
        <f t="shared" si="550"/>
        <v/>
      </c>
      <c r="AA831" s="21" t="str">
        <f t="shared" si="551"/>
        <v>Apprenant 819 ou 819'</v>
      </c>
      <c r="AB831" s="22" t="str">
        <f>IF(AND(OR('Choix pédagogiques'!$C$3=1,'Choix pédagogiques'!$C$3=2),$BN831=1),G831,IF(AND('Choix pédagogiques'!$C$3=3,$BO831=1),G831,""))</f>
        <v/>
      </c>
      <c r="AC831" s="22" t="str">
        <f>IF(AND(OR('Choix pédagogiques'!$C$3=1,'Choix pédagogiques'!$C$3=2),$BN831=1),H831,IF(AND('Choix pédagogiques'!$C$3=3,$BO831=1),H831,""))</f>
        <v/>
      </c>
      <c r="AD831" s="22" t="str">
        <f>IF(AND(OR('Choix pédagogiques'!$C$3=1,'Choix pédagogiques'!$C$3=2),$BN831=1),I831,IF(AND('Choix pédagogiques'!$C$3=3,$BO831=1),I831,""))</f>
        <v/>
      </c>
      <c r="AE831" s="22" t="str">
        <f t="shared" si="552"/>
        <v/>
      </c>
      <c r="AF831" s="21" t="str">
        <f t="shared" si="553"/>
        <v>Apprenant 819</v>
      </c>
      <c r="AG831" s="22" t="str">
        <f t="shared" si="527"/>
        <v/>
      </c>
      <c r="AH831" s="22" t="str">
        <f t="shared" si="528"/>
        <v/>
      </c>
      <c r="AI831" s="22" t="str">
        <f t="shared" si="529"/>
        <v/>
      </c>
      <c r="AJ831" s="22" t="str">
        <f t="shared" si="554"/>
        <v/>
      </c>
      <c r="AK831" s="21" t="str">
        <f t="shared" si="555"/>
        <v>Apprenant 819 ou 819'</v>
      </c>
      <c r="AL831" s="22" t="str">
        <f t="shared" si="530"/>
        <v/>
      </c>
      <c r="AM831" s="22" t="str">
        <f t="shared" si="531"/>
        <v/>
      </c>
      <c r="AN831" s="22" t="str">
        <f t="shared" si="532"/>
        <v/>
      </c>
      <c r="AO831" s="22" t="str">
        <f t="shared" si="556"/>
        <v/>
      </c>
      <c r="AQ831" s="21" t="str">
        <f t="shared" si="557"/>
        <v>Apprenant 819</v>
      </c>
      <c r="AR831" s="49" t="str">
        <f>IF(AND('Choix pédagogiques'!$C$4&lt;&gt;"?",'Choix pédagogiques'!$C$5&lt;&gt;"?",W831&lt;&gt;""),(W831-'Choix pédagogiques'!$C$4)/('Choix pédagogiques'!$C$5-'Choix pédagogiques'!$C$4),"")</f>
        <v/>
      </c>
      <c r="AS831" s="49" t="str">
        <f>IF(AND('Choix pédagogiques'!$C$4&lt;&gt;"?",'Choix pédagogiques'!$C$5&lt;&gt;"?",X831&lt;&gt;""),(X831-'Choix pédagogiques'!$C$4)/('Choix pédagogiques'!$C$5-'Choix pédagogiques'!$C$4),"")</f>
        <v/>
      </c>
      <c r="AT831" s="49" t="str">
        <f>IF(AND('Choix pédagogiques'!$C$4&lt;&gt;"?",'Choix pédagogiques'!$C$5&lt;&gt;"?",Y831&lt;&gt;""),(Y831-'Choix pédagogiques'!$C$4)/('Choix pédagogiques'!$C$5-'Choix pédagogiques'!$C$4),"")</f>
        <v/>
      </c>
      <c r="AU831" s="22" t="str">
        <f t="shared" si="558"/>
        <v/>
      </c>
      <c r="AV831" s="21" t="str">
        <f t="shared" si="559"/>
        <v>Apprenant 819 ou 819'</v>
      </c>
      <c r="AW831" s="49" t="str">
        <f>IF(AND('Choix pédagogiques'!$C$4&lt;&gt;"?",'Choix pédagogiques'!$C$5&lt;&gt;"?",AB831&lt;&gt;""),(AB831-'Choix pédagogiques'!$C$4)/('Choix pédagogiques'!$C$5-'Choix pédagogiques'!$C$4),"")</f>
        <v/>
      </c>
      <c r="AX831" s="49" t="str">
        <f>IF(AND('Choix pédagogiques'!$C$4&lt;&gt;"?",'Choix pédagogiques'!$C$5&lt;&gt;"?",AC831&lt;&gt;""),(AC831-'Choix pédagogiques'!$C$4)/('Choix pédagogiques'!$C$5-'Choix pédagogiques'!$C$4),"")</f>
        <v/>
      </c>
      <c r="AY831" s="49" t="str">
        <f>IF(AND('Choix pédagogiques'!$C$4&lt;&gt;"?",'Choix pédagogiques'!$C$5&lt;&gt;"?",AD831&lt;&gt;""),(AD831-'Choix pédagogiques'!$C$4)/('Choix pédagogiques'!$C$5-'Choix pédagogiques'!$C$4),"")</f>
        <v/>
      </c>
      <c r="AZ831" s="22" t="str">
        <f t="shared" si="560"/>
        <v/>
      </c>
      <c r="BA831" s="21" t="str">
        <f t="shared" si="561"/>
        <v>Apprenant 819</v>
      </c>
      <c r="BB831" s="49" t="str">
        <f t="shared" si="533"/>
        <v/>
      </c>
      <c r="BC831" s="49" t="str">
        <f t="shared" si="534"/>
        <v/>
      </c>
      <c r="BD831" s="49" t="str">
        <f t="shared" si="535"/>
        <v/>
      </c>
      <c r="BE831" s="22" t="str">
        <f t="shared" si="562"/>
        <v/>
      </c>
      <c r="BF831" s="21" t="str">
        <f t="shared" si="563"/>
        <v>Apprenant 819 ou 819'</v>
      </c>
      <c r="BG831" s="49" t="str">
        <f t="shared" si="536"/>
        <v/>
      </c>
      <c r="BH831" s="49" t="str">
        <f t="shared" si="537"/>
        <v/>
      </c>
      <c r="BI831" s="49" t="str">
        <f t="shared" si="538"/>
        <v/>
      </c>
      <c r="BJ831" s="22" t="str">
        <f t="shared" si="564"/>
        <v/>
      </c>
      <c r="BL831" s="21"/>
      <c r="BM831" s="21" t="str">
        <f>IF(OR(COUNT(B831:D1830)=0,AND('Choix pédagogiques'!$C$3&lt;&gt;1,'Choix pédagogiques'!$C$3&lt;&gt;2)),"",IF(AND(OR('Choix pédagogiques'!$C$3=1,'Choix pédagogiques'!$C$3=2),$B831&lt;&gt;"",$C831&lt;&gt;"",$D831&lt;&gt;""),1,0))</f>
        <v/>
      </c>
      <c r="BN831" s="21" t="str">
        <f>IF(OR(COUNT(G831:I1830)=0,AND('Choix pédagogiques'!$C$3&lt;&gt;1,'Choix pédagogiques'!$C$3&lt;&gt;2)),"",IF(AND(OR('Choix pédagogiques'!$C$3=1,'Choix pédagogiques'!$C$3=2),AND($G831&lt;&gt;"",$H831&lt;&gt;"",$I831&lt;&gt;"")),1,0))</f>
        <v/>
      </c>
      <c r="BO831" s="21" t="str">
        <f>IF(OR(COUNT(B831:D1830)=0,COUNT(G831:I1830)=0,'Choix pédagogiques'!C$3&lt;&gt;3),"",IF(AND('Choix pédagogiques'!$C$3=3,$B831&lt;&gt;"",$C831&lt;&gt;"",$D831&lt;&gt;"",$G831&lt;&gt;"",$H831&lt;&gt;"",$I831&lt;&gt;""),1,0))</f>
        <v/>
      </c>
      <c r="BR831" s="21">
        <v>862</v>
      </c>
      <c r="BS831" s="21">
        <v>1135</v>
      </c>
      <c r="BT831"/>
    </row>
    <row r="832" spans="1:72" s="23" customFormat="1" ht="18" customHeight="1" x14ac:dyDescent="0.3">
      <c r="A832" s="35" t="s">
        <v>822</v>
      </c>
      <c r="B832" s="37"/>
      <c r="C832" s="37"/>
      <c r="D832" s="37"/>
      <c r="E832" s="37"/>
      <c r="F832" s="35" t="s">
        <v>1830</v>
      </c>
      <c r="G832" s="37"/>
      <c r="H832" s="37"/>
      <c r="I832" s="37"/>
      <c r="J832" s="37"/>
      <c r="K832" s="21" t="str">
        <f t="shared" si="539"/>
        <v>Apprenant 820</v>
      </c>
      <c r="L832" s="22" t="str">
        <f t="shared" si="540"/>
        <v/>
      </c>
      <c r="M832" s="22" t="str">
        <f t="shared" si="541"/>
        <v/>
      </c>
      <c r="N832" s="22" t="str">
        <f t="shared" si="542"/>
        <v/>
      </c>
      <c r="O832" s="22" t="str">
        <f t="shared" si="543"/>
        <v/>
      </c>
      <c r="P832" s="21" t="str">
        <f t="shared" si="544"/>
        <v>Apprenant 820 ou 820'</v>
      </c>
      <c r="Q832" s="22" t="str">
        <f t="shared" si="545"/>
        <v/>
      </c>
      <c r="R832" s="22" t="str">
        <f t="shared" si="546"/>
        <v/>
      </c>
      <c r="S832" s="22" t="str">
        <f t="shared" si="547"/>
        <v/>
      </c>
      <c r="T832" s="22" t="str">
        <f t="shared" si="548"/>
        <v/>
      </c>
      <c r="V832" s="21" t="str">
        <f t="shared" si="549"/>
        <v>Apprenant 820</v>
      </c>
      <c r="W832" s="22" t="str">
        <f>IF(AND(OR('Choix pédagogiques'!$C$3=1,'Choix pédagogiques'!$C$3=2),$BM832=1),B832,IF(AND('Choix pédagogiques'!$C$3=3,$BO832=1),B832,""))</f>
        <v/>
      </c>
      <c r="X832" s="22" t="str">
        <f>IF(AND(OR('Choix pédagogiques'!$C$3=1,'Choix pédagogiques'!$C$3=2),$BM832=1),C832,IF(AND('Choix pédagogiques'!$C$3=3,$BO832=1),C832,""))</f>
        <v/>
      </c>
      <c r="Y832" s="22" t="str">
        <f>IF(AND(OR('Choix pédagogiques'!$C$3=1,'Choix pédagogiques'!$C$3=2),$BM832=1),D832,IF(AND('Choix pédagogiques'!$C$3=3,$BO832=1),D832,""))</f>
        <v/>
      </c>
      <c r="Z832" s="22" t="str">
        <f t="shared" si="550"/>
        <v/>
      </c>
      <c r="AA832" s="21" t="str">
        <f t="shared" si="551"/>
        <v>Apprenant 820 ou 820'</v>
      </c>
      <c r="AB832" s="22" t="str">
        <f>IF(AND(OR('Choix pédagogiques'!$C$3=1,'Choix pédagogiques'!$C$3=2),$BN832=1),G832,IF(AND('Choix pédagogiques'!$C$3=3,$BO832=1),G832,""))</f>
        <v/>
      </c>
      <c r="AC832" s="22" t="str">
        <f>IF(AND(OR('Choix pédagogiques'!$C$3=1,'Choix pédagogiques'!$C$3=2),$BN832=1),H832,IF(AND('Choix pédagogiques'!$C$3=3,$BO832=1),H832,""))</f>
        <v/>
      </c>
      <c r="AD832" s="22" t="str">
        <f>IF(AND(OR('Choix pédagogiques'!$C$3=1,'Choix pédagogiques'!$C$3=2),$BN832=1),I832,IF(AND('Choix pédagogiques'!$C$3=3,$BO832=1),I832,""))</f>
        <v/>
      </c>
      <c r="AE832" s="22" t="str">
        <f t="shared" si="552"/>
        <v/>
      </c>
      <c r="AF832" s="21" t="str">
        <f t="shared" si="553"/>
        <v>Apprenant 820</v>
      </c>
      <c r="AG832" s="22" t="str">
        <f t="shared" si="527"/>
        <v/>
      </c>
      <c r="AH832" s="22" t="str">
        <f t="shared" si="528"/>
        <v/>
      </c>
      <c r="AI832" s="22" t="str">
        <f t="shared" si="529"/>
        <v/>
      </c>
      <c r="AJ832" s="22" t="str">
        <f t="shared" si="554"/>
        <v/>
      </c>
      <c r="AK832" s="21" t="str">
        <f t="shared" si="555"/>
        <v>Apprenant 820 ou 820'</v>
      </c>
      <c r="AL832" s="22" t="str">
        <f t="shared" si="530"/>
        <v/>
      </c>
      <c r="AM832" s="22" t="str">
        <f t="shared" si="531"/>
        <v/>
      </c>
      <c r="AN832" s="22" t="str">
        <f t="shared" si="532"/>
        <v/>
      </c>
      <c r="AO832" s="22" t="str">
        <f t="shared" si="556"/>
        <v/>
      </c>
      <c r="AQ832" s="21" t="str">
        <f t="shared" si="557"/>
        <v>Apprenant 820</v>
      </c>
      <c r="AR832" s="49" t="str">
        <f>IF(AND('Choix pédagogiques'!$C$4&lt;&gt;"?",'Choix pédagogiques'!$C$5&lt;&gt;"?",W832&lt;&gt;""),(W832-'Choix pédagogiques'!$C$4)/('Choix pédagogiques'!$C$5-'Choix pédagogiques'!$C$4),"")</f>
        <v/>
      </c>
      <c r="AS832" s="49" t="str">
        <f>IF(AND('Choix pédagogiques'!$C$4&lt;&gt;"?",'Choix pédagogiques'!$C$5&lt;&gt;"?",X832&lt;&gt;""),(X832-'Choix pédagogiques'!$C$4)/('Choix pédagogiques'!$C$5-'Choix pédagogiques'!$C$4),"")</f>
        <v/>
      </c>
      <c r="AT832" s="49" t="str">
        <f>IF(AND('Choix pédagogiques'!$C$4&lt;&gt;"?",'Choix pédagogiques'!$C$5&lt;&gt;"?",Y832&lt;&gt;""),(Y832-'Choix pédagogiques'!$C$4)/('Choix pédagogiques'!$C$5-'Choix pédagogiques'!$C$4),"")</f>
        <v/>
      </c>
      <c r="AU832" s="22" t="str">
        <f t="shared" si="558"/>
        <v/>
      </c>
      <c r="AV832" s="21" t="str">
        <f t="shared" si="559"/>
        <v>Apprenant 820 ou 820'</v>
      </c>
      <c r="AW832" s="49" t="str">
        <f>IF(AND('Choix pédagogiques'!$C$4&lt;&gt;"?",'Choix pédagogiques'!$C$5&lt;&gt;"?",AB832&lt;&gt;""),(AB832-'Choix pédagogiques'!$C$4)/('Choix pédagogiques'!$C$5-'Choix pédagogiques'!$C$4),"")</f>
        <v/>
      </c>
      <c r="AX832" s="49" t="str">
        <f>IF(AND('Choix pédagogiques'!$C$4&lt;&gt;"?",'Choix pédagogiques'!$C$5&lt;&gt;"?",AC832&lt;&gt;""),(AC832-'Choix pédagogiques'!$C$4)/('Choix pédagogiques'!$C$5-'Choix pédagogiques'!$C$4),"")</f>
        <v/>
      </c>
      <c r="AY832" s="49" t="str">
        <f>IF(AND('Choix pédagogiques'!$C$4&lt;&gt;"?",'Choix pédagogiques'!$C$5&lt;&gt;"?",AD832&lt;&gt;""),(AD832-'Choix pédagogiques'!$C$4)/('Choix pédagogiques'!$C$5-'Choix pédagogiques'!$C$4),"")</f>
        <v/>
      </c>
      <c r="AZ832" s="22" t="str">
        <f t="shared" si="560"/>
        <v/>
      </c>
      <c r="BA832" s="21" t="str">
        <f t="shared" si="561"/>
        <v>Apprenant 820</v>
      </c>
      <c r="BB832" s="49" t="str">
        <f t="shared" si="533"/>
        <v/>
      </c>
      <c r="BC832" s="49" t="str">
        <f t="shared" si="534"/>
        <v/>
      </c>
      <c r="BD832" s="49" t="str">
        <f t="shared" si="535"/>
        <v/>
      </c>
      <c r="BE832" s="22" t="str">
        <f t="shared" si="562"/>
        <v/>
      </c>
      <c r="BF832" s="21" t="str">
        <f t="shared" si="563"/>
        <v>Apprenant 820 ou 820'</v>
      </c>
      <c r="BG832" s="49" t="str">
        <f t="shared" si="536"/>
        <v/>
      </c>
      <c r="BH832" s="49" t="str">
        <f t="shared" si="537"/>
        <v/>
      </c>
      <c r="BI832" s="49" t="str">
        <f t="shared" si="538"/>
        <v/>
      </c>
      <c r="BJ832" s="22" t="str">
        <f t="shared" si="564"/>
        <v/>
      </c>
      <c r="BL832" s="21"/>
      <c r="BM832" s="21" t="str">
        <f>IF(OR(COUNT(B832:D1831)=0,AND('Choix pédagogiques'!$C$3&lt;&gt;1,'Choix pédagogiques'!$C$3&lt;&gt;2)),"",IF(AND(OR('Choix pédagogiques'!$C$3=1,'Choix pédagogiques'!$C$3=2),$B832&lt;&gt;"",$C832&lt;&gt;"",$D832&lt;&gt;""),1,0))</f>
        <v/>
      </c>
      <c r="BN832" s="21" t="str">
        <f>IF(OR(COUNT(G832:I1831)=0,AND('Choix pédagogiques'!$C$3&lt;&gt;1,'Choix pédagogiques'!$C$3&lt;&gt;2)),"",IF(AND(OR('Choix pédagogiques'!$C$3=1,'Choix pédagogiques'!$C$3=2),AND($G832&lt;&gt;"",$H832&lt;&gt;"",$I832&lt;&gt;"")),1,0))</f>
        <v/>
      </c>
      <c r="BO832" s="21" t="str">
        <f>IF(OR(COUNT(B832:D1831)=0,COUNT(G832:I1831)=0,'Choix pédagogiques'!C$3&lt;&gt;3),"",IF(AND('Choix pédagogiques'!$C$3=3,$B832&lt;&gt;"",$C832&lt;&gt;"",$D832&lt;&gt;"",$G832&lt;&gt;"",$H832&lt;&gt;"",$I832&lt;&gt;""),1,0))</f>
        <v/>
      </c>
      <c r="BR832" s="21">
        <v>508</v>
      </c>
      <c r="BS832" s="21">
        <v>1562</v>
      </c>
      <c r="BT832"/>
    </row>
    <row r="833" spans="1:72" s="23" customFormat="1" ht="18" customHeight="1" x14ac:dyDescent="0.3">
      <c r="A833" s="35" t="s">
        <v>823</v>
      </c>
      <c r="B833" s="37"/>
      <c r="C833" s="37"/>
      <c r="D833" s="37"/>
      <c r="E833" s="37"/>
      <c r="F833" s="35" t="s">
        <v>1831</v>
      </c>
      <c r="G833" s="37"/>
      <c r="H833" s="37"/>
      <c r="I833" s="37"/>
      <c r="J833" s="37"/>
      <c r="K833" s="21" t="str">
        <f t="shared" si="539"/>
        <v>Apprenant 821</v>
      </c>
      <c r="L833" s="22" t="str">
        <f t="shared" si="540"/>
        <v/>
      </c>
      <c r="M833" s="22" t="str">
        <f t="shared" si="541"/>
        <v/>
      </c>
      <c r="N833" s="22" t="str">
        <f t="shared" si="542"/>
        <v/>
      </c>
      <c r="O833" s="22" t="str">
        <f t="shared" si="543"/>
        <v/>
      </c>
      <c r="P833" s="21" t="str">
        <f t="shared" si="544"/>
        <v>Apprenant 821 ou 821'</v>
      </c>
      <c r="Q833" s="22" t="str">
        <f t="shared" si="545"/>
        <v/>
      </c>
      <c r="R833" s="22" t="str">
        <f t="shared" si="546"/>
        <v/>
      </c>
      <c r="S833" s="22" t="str">
        <f t="shared" si="547"/>
        <v/>
      </c>
      <c r="T833" s="22" t="str">
        <f t="shared" si="548"/>
        <v/>
      </c>
      <c r="V833" s="21" t="str">
        <f t="shared" si="549"/>
        <v>Apprenant 821</v>
      </c>
      <c r="W833" s="22" t="str">
        <f>IF(AND(OR('Choix pédagogiques'!$C$3=1,'Choix pédagogiques'!$C$3=2),$BM833=1),B833,IF(AND('Choix pédagogiques'!$C$3=3,$BO833=1),B833,""))</f>
        <v/>
      </c>
      <c r="X833" s="22" t="str">
        <f>IF(AND(OR('Choix pédagogiques'!$C$3=1,'Choix pédagogiques'!$C$3=2),$BM833=1),C833,IF(AND('Choix pédagogiques'!$C$3=3,$BO833=1),C833,""))</f>
        <v/>
      </c>
      <c r="Y833" s="22" t="str">
        <f>IF(AND(OR('Choix pédagogiques'!$C$3=1,'Choix pédagogiques'!$C$3=2),$BM833=1),D833,IF(AND('Choix pédagogiques'!$C$3=3,$BO833=1),D833,""))</f>
        <v/>
      </c>
      <c r="Z833" s="22" t="str">
        <f t="shared" si="550"/>
        <v/>
      </c>
      <c r="AA833" s="21" t="str">
        <f t="shared" si="551"/>
        <v>Apprenant 821 ou 821'</v>
      </c>
      <c r="AB833" s="22" t="str">
        <f>IF(AND(OR('Choix pédagogiques'!$C$3=1,'Choix pédagogiques'!$C$3=2),$BN833=1),G833,IF(AND('Choix pédagogiques'!$C$3=3,$BO833=1),G833,""))</f>
        <v/>
      </c>
      <c r="AC833" s="22" t="str">
        <f>IF(AND(OR('Choix pédagogiques'!$C$3=1,'Choix pédagogiques'!$C$3=2),$BN833=1),H833,IF(AND('Choix pédagogiques'!$C$3=3,$BO833=1),H833,""))</f>
        <v/>
      </c>
      <c r="AD833" s="22" t="str">
        <f>IF(AND(OR('Choix pédagogiques'!$C$3=1,'Choix pédagogiques'!$C$3=2),$BN833=1),I833,IF(AND('Choix pédagogiques'!$C$3=3,$BO833=1),I833,""))</f>
        <v/>
      </c>
      <c r="AE833" s="22" t="str">
        <f t="shared" si="552"/>
        <v/>
      </c>
      <c r="AF833" s="21" t="str">
        <f t="shared" si="553"/>
        <v>Apprenant 821</v>
      </c>
      <c r="AG833" s="22" t="str">
        <f t="shared" si="527"/>
        <v/>
      </c>
      <c r="AH833" s="22" t="str">
        <f t="shared" si="528"/>
        <v/>
      </c>
      <c r="AI833" s="22" t="str">
        <f t="shared" si="529"/>
        <v/>
      </c>
      <c r="AJ833" s="22" t="str">
        <f t="shared" si="554"/>
        <v/>
      </c>
      <c r="AK833" s="21" t="str">
        <f t="shared" si="555"/>
        <v>Apprenant 821 ou 821'</v>
      </c>
      <c r="AL833" s="22" t="str">
        <f t="shared" si="530"/>
        <v/>
      </c>
      <c r="AM833" s="22" t="str">
        <f t="shared" si="531"/>
        <v/>
      </c>
      <c r="AN833" s="22" t="str">
        <f t="shared" si="532"/>
        <v/>
      </c>
      <c r="AO833" s="22" t="str">
        <f t="shared" si="556"/>
        <v/>
      </c>
      <c r="AQ833" s="21" t="str">
        <f t="shared" si="557"/>
        <v>Apprenant 821</v>
      </c>
      <c r="AR833" s="49" t="str">
        <f>IF(AND('Choix pédagogiques'!$C$4&lt;&gt;"?",'Choix pédagogiques'!$C$5&lt;&gt;"?",W833&lt;&gt;""),(W833-'Choix pédagogiques'!$C$4)/('Choix pédagogiques'!$C$5-'Choix pédagogiques'!$C$4),"")</f>
        <v/>
      </c>
      <c r="AS833" s="49" t="str">
        <f>IF(AND('Choix pédagogiques'!$C$4&lt;&gt;"?",'Choix pédagogiques'!$C$5&lt;&gt;"?",X833&lt;&gt;""),(X833-'Choix pédagogiques'!$C$4)/('Choix pédagogiques'!$C$5-'Choix pédagogiques'!$C$4),"")</f>
        <v/>
      </c>
      <c r="AT833" s="49" t="str">
        <f>IF(AND('Choix pédagogiques'!$C$4&lt;&gt;"?",'Choix pédagogiques'!$C$5&lt;&gt;"?",Y833&lt;&gt;""),(Y833-'Choix pédagogiques'!$C$4)/('Choix pédagogiques'!$C$5-'Choix pédagogiques'!$C$4),"")</f>
        <v/>
      </c>
      <c r="AU833" s="22" t="str">
        <f t="shared" si="558"/>
        <v/>
      </c>
      <c r="AV833" s="21" t="str">
        <f t="shared" si="559"/>
        <v>Apprenant 821 ou 821'</v>
      </c>
      <c r="AW833" s="49" t="str">
        <f>IF(AND('Choix pédagogiques'!$C$4&lt;&gt;"?",'Choix pédagogiques'!$C$5&lt;&gt;"?",AB833&lt;&gt;""),(AB833-'Choix pédagogiques'!$C$4)/('Choix pédagogiques'!$C$5-'Choix pédagogiques'!$C$4),"")</f>
        <v/>
      </c>
      <c r="AX833" s="49" t="str">
        <f>IF(AND('Choix pédagogiques'!$C$4&lt;&gt;"?",'Choix pédagogiques'!$C$5&lt;&gt;"?",AC833&lt;&gt;""),(AC833-'Choix pédagogiques'!$C$4)/('Choix pédagogiques'!$C$5-'Choix pédagogiques'!$C$4),"")</f>
        <v/>
      </c>
      <c r="AY833" s="49" t="str">
        <f>IF(AND('Choix pédagogiques'!$C$4&lt;&gt;"?",'Choix pédagogiques'!$C$5&lt;&gt;"?",AD833&lt;&gt;""),(AD833-'Choix pédagogiques'!$C$4)/('Choix pédagogiques'!$C$5-'Choix pédagogiques'!$C$4),"")</f>
        <v/>
      </c>
      <c r="AZ833" s="22" t="str">
        <f t="shared" si="560"/>
        <v/>
      </c>
      <c r="BA833" s="21" t="str">
        <f t="shared" si="561"/>
        <v>Apprenant 821</v>
      </c>
      <c r="BB833" s="49" t="str">
        <f t="shared" si="533"/>
        <v/>
      </c>
      <c r="BC833" s="49" t="str">
        <f t="shared" si="534"/>
        <v/>
      </c>
      <c r="BD833" s="49" t="str">
        <f t="shared" si="535"/>
        <v/>
      </c>
      <c r="BE833" s="22" t="str">
        <f t="shared" si="562"/>
        <v/>
      </c>
      <c r="BF833" s="21" t="str">
        <f t="shared" si="563"/>
        <v>Apprenant 821 ou 821'</v>
      </c>
      <c r="BG833" s="49" t="str">
        <f t="shared" si="536"/>
        <v/>
      </c>
      <c r="BH833" s="49" t="str">
        <f t="shared" si="537"/>
        <v/>
      </c>
      <c r="BI833" s="49" t="str">
        <f t="shared" si="538"/>
        <v/>
      </c>
      <c r="BJ833" s="22" t="str">
        <f t="shared" si="564"/>
        <v/>
      </c>
      <c r="BL833" s="21"/>
      <c r="BM833" s="21" t="str">
        <f>IF(OR(COUNT(B833:D1832)=0,AND('Choix pédagogiques'!$C$3&lt;&gt;1,'Choix pédagogiques'!$C$3&lt;&gt;2)),"",IF(AND(OR('Choix pédagogiques'!$C$3=1,'Choix pédagogiques'!$C$3=2),$B833&lt;&gt;"",$C833&lt;&gt;"",$D833&lt;&gt;""),1,0))</f>
        <v/>
      </c>
      <c r="BN833" s="21" t="str">
        <f>IF(OR(COUNT(G833:I1832)=0,AND('Choix pédagogiques'!$C$3&lt;&gt;1,'Choix pédagogiques'!$C$3&lt;&gt;2)),"",IF(AND(OR('Choix pédagogiques'!$C$3=1,'Choix pédagogiques'!$C$3=2),AND($G833&lt;&gt;"",$H833&lt;&gt;"",$I833&lt;&gt;"")),1,0))</f>
        <v/>
      </c>
      <c r="BO833" s="21" t="str">
        <f>IF(OR(COUNT(B833:D1832)=0,COUNT(G833:I1832)=0,'Choix pédagogiques'!C$3&lt;&gt;3),"",IF(AND('Choix pédagogiques'!$C$3=3,$B833&lt;&gt;"",$C833&lt;&gt;"",$D833&lt;&gt;"",$G833&lt;&gt;"",$H833&lt;&gt;"",$I833&lt;&gt;""),1,0))</f>
        <v/>
      </c>
      <c r="BR833" s="21">
        <v>888</v>
      </c>
      <c r="BS833" s="21">
        <v>1186</v>
      </c>
      <c r="BT833"/>
    </row>
    <row r="834" spans="1:72" s="23" customFormat="1" ht="18" customHeight="1" x14ac:dyDescent="0.3">
      <c r="A834" s="35" t="s">
        <v>824</v>
      </c>
      <c r="B834" s="37"/>
      <c r="C834" s="37"/>
      <c r="D834" s="37"/>
      <c r="E834" s="37"/>
      <c r="F834" s="35" t="s">
        <v>1832</v>
      </c>
      <c r="G834" s="37"/>
      <c r="H834" s="37"/>
      <c r="I834" s="37"/>
      <c r="J834" s="37"/>
      <c r="K834" s="21" t="str">
        <f t="shared" si="539"/>
        <v>Apprenant 822</v>
      </c>
      <c r="L834" s="22" t="str">
        <f t="shared" si="540"/>
        <v/>
      </c>
      <c r="M834" s="22" t="str">
        <f t="shared" si="541"/>
        <v/>
      </c>
      <c r="N834" s="22" t="str">
        <f t="shared" si="542"/>
        <v/>
      </c>
      <c r="O834" s="22" t="str">
        <f t="shared" si="543"/>
        <v/>
      </c>
      <c r="P834" s="21" t="str">
        <f t="shared" si="544"/>
        <v>Apprenant 822 ou 822'</v>
      </c>
      <c r="Q834" s="22" t="str">
        <f t="shared" si="545"/>
        <v/>
      </c>
      <c r="R834" s="22" t="str">
        <f t="shared" si="546"/>
        <v/>
      </c>
      <c r="S834" s="22" t="str">
        <f t="shared" si="547"/>
        <v/>
      </c>
      <c r="T834" s="22" t="str">
        <f t="shared" si="548"/>
        <v/>
      </c>
      <c r="V834" s="21" t="str">
        <f t="shared" si="549"/>
        <v>Apprenant 822</v>
      </c>
      <c r="W834" s="22" t="str">
        <f>IF(AND(OR('Choix pédagogiques'!$C$3=1,'Choix pédagogiques'!$C$3=2),$BM834=1),B834,IF(AND('Choix pédagogiques'!$C$3=3,$BO834=1),B834,""))</f>
        <v/>
      </c>
      <c r="X834" s="22" t="str">
        <f>IF(AND(OR('Choix pédagogiques'!$C$3=1,'Choix pédagogiques'!$C$3=2),$BM834=1),C834,IF(AND('Choix pédagogiques'!$C$3=3,$BO834=1),C834,""))</f>
        <v/>
      </c>
      <c r="Y834" s="22" t="str">
        <f>IF(AND(OR('Choix pédagogiques'!$C$3=1,'Choix pédagogiques'!$C$3=2),$BM834=1),D834,IF(AND('Choix pédagogiques'!$C$3=3,$BO834=1),D834,""))</f>
        <v/>
      </c>
      <c r="Z834" s="22" t="str">
        <f t="shared" si="550"/>
        <v/>
      </c>
      <c r="AA834" s="21" t="str">
        <f t="shared" si="551"/>
        <v>Apprenant 822 ou 822'</v>
      </c>
      <c r="AB834" s="22" t="str">
        <f>IF(AND(OR('Choix pédagogiques'!$C$3=1,'Choix pédagogiques'!$C$3=2),$BN834=1),G834,IF(AND('Choix pédagogiques'!$C$3=3,$BO834=1),G834,""))</f>
        <v/>
      </c>
      <c r="AC834" s="22" t="str">
        <f>IF(AND(OR('Choix pédagogiques'!$C$3=1,'Choix pédagogiques'!$C$3=2),$BN834=1),H834,IF(AND('Choix pédagogiques'!$C$3=3,$BO834=1),H834,""))</f>
        <v/>
      </c>
      <c r="AD834" s="22" t="str">
        <f>IF(AND(OR('Choix pédagogiques'!$C$3=1,'Choix pédagogiques'!$C$3=2),$BN834=1),I834,IF(AND('Choix pédagogiques'!$C$3=3,$BO834=1),I834,""))</f>
        <v/>
      </c>
      <c r="AE834" s="22" t="str">
        <f t="shared" si="552"/>
        <v/>
      </c>
      <c r="AF834" s="21" t="str">
        <f t="shared" si="553"/>
        <v>Apprenant 822</v>
      </c>
      <c r="AG834" s="22" t="str">
        <f t="shared" si="527"/>
        <v/>
      </c>
      <c r="AH834" s="22" t="str">
        <f t="shared" si="528"/>
        <v/>
      </c>
      <c r="AI834" s="22" t="str">
        <f t="shared" si="529"/>
        <v/>
      </c>
      <c r="AJ834" s="22" t="str">
        <f t="shared" si="554"/>
        <v/>
      </c>
      <c r="AK834" s="21" t="str">
        <f t="shared" si="555"/>
        <v>Apprenant 822 ou 822'</v>
      </c>
      <c r="AL834" s="22" t="str">
        <f t="shared" si="530"/>
        <v/>
      </c>
      <c r="AM834" s="22" t="str">
        <f t="shared" si="531"/>
        <v/>
      </c>
      <c r="AN834" s="22" t="str">
        <f t="shared" si="532"/>
        <v/>
      </c>
      <c r="AO834" s="22" t="str">
        <f t="shared" si="556"/>
        <v/>
      </c>
      <c r="AQ834" s="21" t="str">
        <f t="shared" si="557"/>
        <v>Apprenant 822</v>
      </c>
      <c r="AR834" s="49" t="str">
        <f>IF(AND('Choix pédagogiques'!$C$4&lt;&gt;"?",'Choix pédagogiques'!$C$5&lt;&gt;"?",W834&lt;&gt;""),(W834-'Choix pédagogiques'!$C$4)/('Choix pédagogiques'!$C$5-'Choix pédagogiques'!$C$4),"")</f>
        <v/>
      </c>
      <c r="AS834" s="49" t="str">
        <f>IF(AND('Choix pédagogiques'!$C$4&lt;&gt;"?",'Choix pédagogiques'!$C$5&lt;&gt;"?",X834&lt;&gt;""),(X834-'Choix pédagogiques'!$C$4)/('Choix pédagogiques'!$C$5-'Choix pédagogiques'!$C$4),"")</f>
        <v/>
      </c>
      <c r="AT834" s="49" t="str">
        <f>IF(AND('Choix pédagogiques'!$C$4&lt;&gt;"?",'Choix pédagogiques'!$C$5&lt;&gt;"?",Y834&lt;&gt;""),(Y834-'Choix pédagogiques'!$C$4)/('Choix pédagogiques'!$C$5-'Choix pédagogiques'!$C$4),"")</f>
        <v/>
      </c>
      <c r="AU834" s="22" t="str">
        <f t="shared" si="558"/>
        <v/>
      </c>
      <c r="AV834" s="21" t="str">
        <f t="shared" si="559"/>
        <v>Apprenant 822 ou 822'</v>
      </c>
      <c r="AW834" s="49" t="str">
        <f>IF(AND('Choix pédagogiques'!$C$4&lt;&gt;"?",'Choix pédagogiques'!$C$5&lt;&gt;"?",AB834&lt;&gt;""),(AB834-'Choix pédagogiques'!$C$4)/('Choix pédagogiques'!$C$5-'Choix pédagogiques'!$C$4),"")</f>
        <v/>
      </c>
      <c r="AX834" s="49" t="str">
        <f>IF(AND('Choix pédagogiques'!$C$4&lt;&gt;"?",'Choix pédagogiques'!$C$5&lt;&gt;"?",AC834&lt;&gt;""),(AC834-'Choix pédagogiques'!$C$4)/('Choix pédagogiques'!$C$5-'Choix pédagogiques'!$C$4),"")</f>
        <v/>
      </c>
      <c r="AY834" s="49" t="str">
        <f>IF(AND('Choix pédagogiques'!$C$4&lt;&gt;"?",'Choix pédagogiques'!$C$5&lt;&gt;"?",AD834&lt;&gt;""),(AD834-'Choix pédagogiques'!$C$4)/('Choix pédagogiques'!$C$5-'Choix pédagogiques'!$C$4),"")</f>
        <v/>
      </c>
      <c r="AZ834" s="22" t="str">
        <f t="shared" si="560"/>
        <v/>
      </c>
      <c r="BA834" s="21" t="str">
        <f t="shared" si="561"/>
        <v>Apprenant 822</v>
      </c>
      <c r="BB834" s="49" t="str">
        <f t="shared" si="533"/>
        <v/>
      </c>
      <c r="BC834" s="49" t="str">
        <f t="shared" si="534"/>
        <v/>
      </c>
      <c r="BD834" s="49" t="str">
        <f t="shared" si="535"/>
        <v/>
      </c>
      <c r="BE834" s="22" t="str">
        <f t="shared" si="562"/>
        <v/>
      </c>
      <c r="BF834" s="21" t="str">
        <f t="shared" si="563"/>
        <v>Apprenant 822 ou 822'</v>
      </c>
      <c r="BG834" s="49" t="str">
        <f t="shared" si="536"/>
        <v/>
      </c>
      <c r="BH834" s="49" t="str">
        <f t="shared" si="537"/>
        <v/>
      </c>
      <c r="BI834" s="49" t="str">
        <f t="shared" si="538"/>
        <v/>
      </c>
      <c r="BJ834" s="22" t="str">
        <f t="shared" si="564"/>
        <v/>
      </c>
      <c r="BL834" s="21"/>
      <c r="BM834" s="21" t="str">
        <f>IF(OR(COUNT(B834:D1833)=0,AND('Choix pédagogiques'!$C$3&lt;&gt;1,'Choix pédagogiques'!$C$3&lt;&gt;2)),"",IF(AND(OR('Choix pédagogiques'!$C$3=1,'Choix pédagogiques'!$C$3=2),$B834&lt;&gt;"",$C834&lt;&gt;"",$D834&lt;&gt;""),1,0))</f>
        <v/>
      </c>
      <c r="BN834" s="21" t="str">
        <f>IF(OR(COUNT(G834:I1833)=0,AND('Choix pédagogiques'!$C$3&lt;&gt;1,'Choix pédagogiques'!$C$3&lt;&gt;2)),"",IF(AND(OR('Choix pédagogiques'!$C$3=1,'Choix pédagogiques'!$C$3=2),AND($G834&lt;&gt;"",$H834&lt;&gt;"",$I834&lt;&gt;"")),1,0))</f>
        <v/>
      </c>
      <c r="BO834" s="21" t="str">
        <f>IF(OR(COUNT(B834:D1833)=0,COUNT(G834:I1833)=0,'Choix pédagogiques'!C$3&lt;&gt;3),"",IF(AND('Choix pédagogiques'!$C$3=3,$B834&lt;&gt;"",$C834&lt;&gt;"",$D834&lt;&gt;"",$G834&lt;&gt;"",$H834&lt;&gt;"",$I834&lt;&gt;""),1,0))</f>
        <v/>
      </c>
      <c r="BR834" s="21">
        <v>167</v>
      </c>
      <c r="BS834" s="21">
        <v>1981</v>
      </c>
      <c r="BT834"/>
    </row>
    <row r="835" spans="1:72" s="23" customFormat="1" ht="18" customHeight="1" x14ac:dyDescent="0.3">
      <c r="A835" s="35" t="s">
        <v>825</v>
      </c>
      <c r="B835" s="37"/>
      <c r="C835" s="37"/>
      <c r="D835" s="37"/>
      <c r="E835" s="37"/>
      <c r="F835" s="35" t="s">
        <v>1833</v>
      </c>
      <c r="G835" s="37"/>
      <c r="H835" s="37"/>
      <c r="I835" s="37"/>
      <c r="J835" s="37"/>
      <c r="K835" s="21" t="str">
        <f t="shared" si="539"/>
        <v>Apprenant 823</v>
      </c>
      <c r="L835" s="22" t="str">
        <f t="shared" si="540"/>
        <v/>
      </c>
      <c r="M835" s="22" t="str">
        <f t="shared" si="541"/>
        <v/>
      </c>
      <c r="N835" s="22" t="str">
        <f t="shared" si="542"/>
        <v/>
      </c>
      <c r="O835" s="22" t="str">
        <f t="shared" si="543"/>
        <v/>
      </c>
      <c r="P835" s="21" t="str">
        <f t="shared" si="544"/>
        <v>Apprenant 823 ou 823'</v>
      </c>
      <c r="Q835" s="22" t="str">
        <f t="shared" si="545"/>
        <v/>
      </c>
      <c r="R835" s="22" t="str">
        <f t="shared" si="546"/>
        <v/>
      </c>
      <c r="S835" s="22" t="str">
        <f t="shared" si="547"/>
        <v/>
      </c>
      <c r="T835" s="22" t="str">
        <f t="shared" si="548"/>
        <v/>
      </c>
      <c r="V835" s="21" t="str">
        <f t="shared" si="549"/>
        <v>Apprenant 823</v>
      </c>
      <c r="W835" s="22" t="str">
        <f>IF(AND(OR('Choix pédagogiques'!$C$3=1,'Choix pédagogiques'!$C$3=2),$BM835=1),B835,IF(AND('Choix pédagogiques'!$C$3=3,$BO835=1),B835,""))</f>
        <v/>
      </c>
      <c r="X835" s="22" t="str">
        <f>IF(AND(OR('Choix pédagogiques'!$C$3=1,'Choix pédagogiques'!$C$3=2),$BM835=1),C835,IF(AND('Choix pédagogiques'!$C$3=3,$BO835=1),C835,""))</f>
        <v/>
      </c>
      <c r="Y835" s="22" t="str">
        <f>IF(AND(OR('Choix pédagogiques'!$C$3=1,'Choix pédagogiques'!$C$3=2),$BM835=1),D835,IF(AND('Choix pédagogiques'!$C$3=3,$BO835=1),D835,""))</f>
        <v/>
      </c>
      <c r="Z835" s="22" t="str">
        <f t="shared" si="550"/>
        <v/>
      </c>
      <c r="AA835" s="21" t="str">
        <f t="shared" si="551"/>
        <v>Apprenant 823 ou 823'</v>
      </c>
      <c r="AB835" s="22" t="str">
        <f>IF(AND(OR('Choix pédagogiques'!$C$3=1,'Choix pédagogiques'!$C$3=2),$BN835=1),G835,IF(AND('Choix pédagogiques'!$C$3=3,$BO835=1),G835,""))</f>
        <v/>
      </c>
      <c r="AC835" s="22" t="str">
        <f>IF(AND(OR('Choix pédagogiques'!$C$3=1,'Choix pédagogiques'!$C$3=2),$BN835=1),H835,IF(AND('Choix pédagogiques'!$C$3=3,$BO835=1),H835,""))</f>
        <v/>
      </c>
      <c r="AD835" s="22" t="str">
        <f>IF(AND(OR('Choix pédagogiques'!$C$3=1,'Choix pédagogiques'!$C$3=2),$BN835=1),I835,IF(AND('Choix pédagogiques'!$C$3=3,$BO835=1),I835,""))</f>
        <v/>
      </c>
      <c r="AE835" s="22" t="str">
        <f t="shared" si="552"/>
        <v/>
      </c>
      <c r="AF835" s="21" t="str">
        <f t="shared" si="553"/>
        <v>Apprenant 823</v>
      </c>
      <c r="AG835" s="22" t="str">
        <f t="shared" si="527"/>
        <v/>
      </c>
      <c r="AH835" s="22" t="str">
        <f t="shared" si="528"/>
        <v/>
      </c>
      <c r="AI835" s="22" t="str">
        <f t="shared" si="529"/>
        <v/>
      </c>
      <c r="AJ835" s="22" t="str">
        <f t="shared" si="554"/>
        <v/>
      </c>
      <c r="AK835" s="21" t="str">
        <f t="shared" si="555"/>
        <v>Apprenant 823 ou 823'</v>
      </c>
      <c r="AL835" s="22" t="str">
        <f t="shared" si="530"/>
        <v/>
      </c>
      <c r="AM835" s="22" t="str">
        <f t="shared" si="531"/>
        <v/>
      </c>
      <c r="AN835" s="22" t="str">
        <f t="shared" si="532"/>
        <v/>
      </c>
      <c r="AO835" s="22" t="str">
        <f t="shared" si="556"/>
        <v/>
      </c>
      <c r="AQ835" s="21" t="str">
        <f t="shared" si="557"/>
        <v>Apprenant 823</v>
      </c>
      <c r="AR835" s="49" t="str">
        <f>IF(AND('Choix pédagogiques'!$C$4&lt;&gt;"?",'Choix pédagogiques'!$C$5&lt;&gt;"?",W835&lt;&gt;""),(W835-'Choix pédagogiques'!$C$4)/('Choix pédagogiques'!$C$5-'Choix pédagogiques'!$C$4),"")</f>
        <v/>
      </c>
      <c r="AS835" s="49" t="str">
        <f>IF(AND('Choix pédagogiques'!$C$4&lt;&gt;"?",'Choix pédagogiques'!$C$5&lt;&gt;"?",X835&lt;&gt;""),(X835-'Choix pédagogiques'!$C$4)/('Choix pédagogiques'!$C$5-'Choix pédagogiques'!$C$4),"")</f>
        <v/>
      </c>
      <c r="AT835" s="49" t="str">
        <f>IF(AND('Choix pédagogiques'!$C$4&lt;&gt;"?",'Choix pédagogiques'!$C$5&lt;&gt;"?",Y835&lt;&gt;""),(Y835-'Choix pédagogiques'!$C$4)/('Choix pédagogiques'!$C$5-'Choix pédagogiques'!$C$4),"")</f>
        <v/>
      </c>
      <c r="AU835" s="22" t="str">
        <f t="shared" si="558"/>
        <v/>
      </c>
      <c r="AV835" s="21" t="str">
        <f t="shared" si="559"/>
        <v>Apprenant 823 ou 823'</v>
      </c>
      <c r="AW835" s="49" t="str">
        <f>IF(AND('Choix pédagogiques'!$C$4&lt;&gt;"?",'Choix pédagogiques'!$C$5&lt;&gt;"?",AB835&lt;&gt;""),(AB835-'Choix pédagogiques'!$C$4)/('Choix pédagogiques'!$C$5-'Choix pédagogiques'!$C$4),"")</f>
        <v/>
      </c>
      <c r="AX835" s="49" t="str">
        <f>IF(AND('Choix pédagogiques'!$C$4&lt;&gt;"?",'Choix pédagogiques'!$C$5&lt;&gt;"?",AC835&lt;&gt;""),(AC835-'Choix pédagogiques'!$C$4)/('Choix pédagogiques'!$C$5-'Choix pédagogiques'!$C$4),"")</f>
        <v/>
      </c>
      <c r="AY835" s="49" t="str">
        <f>IF(AND('Choix pédagogiques'!$C$4&lt;&gt;"?",'Choix pédagogiques'!$C$5&lt;&gt;"?",AD835&lt;&gt;""),(AD835-'Choix pédagogiques'!$C$4)/('Choix pédagogiques'!$C$5-'Choix pédagogiques'!$C$4),"")</f>
        <v/>
      </c>
      <c r="AZ835" s="22" t="str">
        <f t="shared" si="560"/>
        <v/>
      </c>
      <c r="BA835" s="21" t="str">
        <f t="shared" si="561"/>
        <v>Apprenant 823</v>
      </c>
      <c r="BB835" s="49" t="str">
        <f t="shared" si="533"/>
        <v/>
      </c>
      <c r="BC835" s="49" t="str">
        <f t="shared" si="534"/>
        <v/>
      </c>
      <c r="BD835" s="49" t="str">
        <f t="shared" si="535"/>
        <v/>
      </c>
      <c r="BE835" s="22" t="str">
        <f t="shared" si="562"/>
        <v/>
      </c>
      <c r="BF835" s="21" t="str">
        <f t="shared" si="563"/>
        <v>Apprenant 823 ou 823'</v>
      </c>
      <c r="BG835" s="49" t="str">
        <f t="shared" si="536"/>
        <v/>
      </c>
      <c r="BH835" s="49" t="str">
        <f t="shared" si="537"/>
        <v/>
      </c>
      <c r="BI835" s="49" t="str">
        <f t="shared" si="538"/>
        <v/>
      </c>
      <c r="BJ835" s="22" t="str">
        <f t="shared" si="564"/>
        <v/>
      </c>
      <c r="BL835" s="21"/>
      <c r="BM835" s="21" t="str">
        <f>IF(OR(COUNT(B835:D1834)=0,AND('Choix pédagogiques'!$C$3&lt;&gt;1,'Choix pédagogiques'!$C$3&lt;&gt;2)),"",IF(AND(OR('Choix pédagogiques'!$C$3=1,'Choix pédagogiques'!$C$3=2),$B835&lt;&gt;"",$C835&lt;&gt;"",$D835&lt;&gt;""),1,0))</f>
        <v/>
      </c>
      <c r="BN835" s="21" t="str">
        <f>IF(OR(COUNT(G835:I1834)=0,AND('Choix pédagogiques'!$C$3&lt;&gt;1,'Choix pédagogiques'!$C$3&lt;&gt;2)),"",IF(AND(OR('Choix pédagogiques'!$C$3=1,'Choix pédagogiques'!$C$3=2),AND($G835&lt;&gt;"",$H835&lt;&gt;"",$I835&lt;&gt;"")),1,0))</f>
        <v/>
      </c>
      <c r="BO835" s="21" t="str">
        <f>IF(OR(COUNT(B835:D1834)=0,COUNT(G835:I1834)=0,'Choix pédagogiques'!C$3&lt;&gt;3),"",IF(AND('Choix pédagogiques'!$C$3=3,$B835&lt;&gt;"",$C835&lt;&gt;"",$D835&lt;&gt;"",$G835&lt;&gt;"",$H835&lt;&gt;"",$I835&lt;&gt;""),1,0))</f>
        <v/>
      </c>
      <c r="BR835" s="21">
        <v>611</v>
      </c>
      <c r="BS835" s="21">
        <v>1635</v>
      </c>
      <c r="BT835"/>
    </row>
    <row r="836" spans="1:72" s="23" customFormat="1" ht="18" customHeight="1" x14ac:dyDescent="0.3">
      <c r="A836" s="35" t="s">
        <v>826</v>
      </c>
      <c r="B836" s="37"/>
      <c r="C836" s="37"/>
      <c r="D836" s="37"/>
      <c r="E836" s="37"/>
      <c r="F836" s="35" t="s">
        <v>1834</v>
      </c>
      <c r="G836" s="37"/>
      <c r="H836" s="37"/>
      <c r="I836" s="37"/>
      <c r="J836" s="37"/>
      <c r="K836" s="21" t="str">
        <f t="shared" si="539"/>
        <v>Apprenant 824</v>
      </c>
      <c r="L836" s="22" t="str">
        <f t="shared" si="540"/>
        <v/>
      </c>
      <c r="M836" s="22" t="str">
        <f t="shared" si="541"/>
        <v/>
      </c>
      <c r="N836" s="22" t="str">
        <f t="shared" si="542"/>
        <v/>
      </c>
      <c r="O836" s="22" t="str">
        <f t="shared" si="543"/>
        <v/>
      </c>
      <c r="P836" s="21" t="str">
        <f t="shared" si="544"/>
        <v>Apprenant 824 ou 824'</v>
      </c>
      <c r="Q836" s="22" t="str">
        <f t="shared" si="545"/>
        <v/>
      </c>
      <c r="R836" s="22" t="str">
        <f t="shared" si="546"/>
        <v/>
      </c>
      <c r="S836" s="22" t="str">
        <f t="shared" si="547"/>
        <v/>
      </c>
      <c r="T836" s="22" t="str">
        <f t="shared" si="548"/>
        <v/>
      </c>
      <c r="V836" s="21" t="str">
        <f t="shared" si="549"/>
        <v>Apprenant 824</v>
      </c>
      <c r="W836" s="22" t="str">
        <f>IF(AND(OR('Choix pédagogiques'!$C$3=1,'Choix pédagogiques'!$C$3=2),$BM836=1),B836,IF(AND('Choix pédagogiques'!$C$3=3,$BO836=1),B836,""))</f>
        <v/>
      </c>
      <c r="X836" s="22" t="str">
        <f>IF(AND(OR('Choix pédagogiques'!$C$3=1,'Choix pédagogiques'!$C$3=2),$BM836=1),C836,IF(AND('Choix pédagogiques'!$C$3=3,$BO836=1),C836,""))</f>
        <v/>
      </c>
      <c r="Y836" s="22" t="str">
        <f>IF(AND(OR('Choix pédagogiques'!$C$3=1,'Choix pédagogiques'!$C$3=2),$BM836=1),D836,IF(AND('Choix pédagogiques'!$C$3=3,$BO836=1),D836,""))</f>
        <v/>
      </c>
      <c r="Z836" s="22" t="str">
        <f t="shared" si="550"/>
        <v/>
      </c>
      <c r="AA836" s="21" t="str">
        <f t="shared" si="551"/>
        <v>Apprenant 824 ou 824'</v>
      </c>
      <c r="AB836" s="22" t="str">
        <f>IF(AND(OR('Choix pédagogiques'!$C$3=1,'Choix pédagogiques'!$C$3=2),$BN836=1),G836,IF(AND('Choix pédagogiques'!$C$3=3,$BO836=1),G836,""))</f>
        <v/>
      </c>
      <c r="AC836" s="22" t="str">
        <f>IF(AND(OR('Choix pédagogiques'!$C$3=1,'Choix pédagogiques'!$C$3=2),$BN836=1),H836,IF(AND('Choix pédagogiques'!$C$3=3,$BO836=1),H836,""))</f>
        <v/>
      </c>
      <c r="AD836" s="22" t="str">
        <f>IF(AND(OR('Choix pédagogiques'!$C$3=1,'Choix pédagogiques'!$C$3=2),$BN836=1),I836,IF(AND('Choix pédagogiques'!$C$3=3,$BO836=1),I836,""))</f>
        <v/>
      </c>
      <c r="AE836" s="22" t="str">
        <f t="shared" si="552"/>
        <v/>
      </c>
      <c r="AF836" s="21" t="str">
        <f t="shared" si="553"/>
        <v>Apprenant 824</v>
      </c>
      <c r="AG836" s="22" t="str">
        <f t="shared" si="527"/>
        <v/>
      </c>
      <c r="AH836" s="22" t="str">
        <f t="shared" si="528"/>
        <v/>
      </c>
      <c r="AI836" s="22" t="str">
        <f t="shared" si="529"/>
        <v/>
      </c>
      <c r="AJ836" s="22" t="str">
        <f t="shared" si="554"/>
        <v/>
      </c>
      <c r="AK836" s="21" t="str">
        <f t="shared" si="555"/>
        <v>Apprenant 824 ou 824'</v>
      </c>
      <c r="AL836" s="22" t="str">
        <f t="shared" si="530"/>
        <v/>
      </c>
      <c r="AM836" s="22" t="str">
        <f t="shared" si="531"/>
        <v/>
      </c>
      <c r="AN836" s="22" t="str">
        <f t="shared" si="532"/>
        <v/>
      </c>
      <c r="AO836" s="22" t="str">
        <f t="shared" si="556"/>
        <v/>
      </c>
      <c r="AQ836" s="21" t="str">
        <f t="shared" si="557"/>
        <v>Apprenant 824</v>
      </c>
      <c r="AR836" s="49" t="str">
        <f>IF(AND('Choix pédagogiques'!$C$4&lt;&gt;"?",'Choix pédagogiques'!$C$5&lt;&gt;"?",W836&lt;&gt;""),(W836-'Choix pédagogiques'!$C$4)/('Choix pédagogiques'!$C$5-'Choix pédagogiques'!$C$4),"")</f>
        <v/>
      </c>
      <c r="AS836" s="49" t="str">
        <f>IF(AND('Choix pédagogiques'!$C$4&lt;&gt;"?",'Choix pédagogiques'!$C$5&lt;&gt;"?",X836&lt;&gt;""),(X836-'Choix pédagogiques'!$C$4)/('Choix pédagogiques'!$C$5-'Choix pédagogiques'!$C$4),"")</f>
        <v/>
      </c>
      <c r="AT836" s="49" t="str">
        <f>IF(AND('Choix pédagogiques'!$C$4&lt;&gt;"?",'Choix pédagogiques'!$C$5&lt;&gt;"?",Y836&lt;&gt;""),(Y836-'Choix pédagogiques'!$C$4)/('Choix pédagogiques'!$C$5-'Choix pédagogiques'!$C$4),"")</f>
        <v/>
      </c>
      <c r="AU836" s="22" t="str">
        <f t="shared" si="558"/>
        <v/>
      </c>
      <c r="AV836" s="21" t="str">
        <f t="shared" si="559"/>
        <v>Apprenant 824 ou 824'</v>
      </c>
      <c r="AW836" s="49" t="str">
        <f>IF(AND('Choix pédagogiques'!$C$4&lt;&gt;"?",'Choix pédagogiques'!$C$5&lt;&gt;"?",AB836&lt;&gt;""),(AB836-'Choix pédagogiques'!$C$4)/('Choix pédagogiques'!$C$5-'Choix pédagogiques'!$C$4),"")</f>
        <v/>
      </c>
      <c r="AX836" s="49" t="str">
        <f>IF(AND('Choix pédagogiques'!$C$4&lt;&gt;"?",'Choix pédagogiques'!$C$5&lt;&gt;"?",AC836&lt;&gt;""),(AC836-'Choix pédagogiques'!$C$4)/('Choix pédagogiques'!$C$5-'Choix pédagogiques'!$C$4),"")</f>
        <v/>
      </c>
      <c r="AY836" s="49" t="str">
        <f>IF(AND('Choix pédagogiques'!$C$4&lt;&gt;"?",'Choix pédagogiques'!$C$5&lt;&gt;"?",AD836&lt;&gt;""),(AD836-'Choix pédagogiques'!$C$4)/('Choix pédagogiques'!$C$5-'Choix pédagogiques'!$C$4),"")</f>
        <v/>
      </c>
      <c r="AZ836" s="22" t="str">
        <f t="shared" si="560"/>
        <v/>
      </c>
      <c r="BA836" s="21" t="str">
        <f t="shared" si="561"/>
        <v>Apprenant 824</v>
      </c>
      <c r="BB836" s="49" t="str">
        <f t="shared" si="533"/>
        <v/>
      </c>
      <c r="BC836" s="49" t="str">
        <f t="shared" si="534"/>
        <v/>
      </c>
      <c r="BD836" s="49" t="str">
        <f t="shared" si="535"/>
        <v/>
      </c>
      <c r="BE836" s="22" t="str">
        <f t="shared" si="562"/>
        <v/>
      </c>
      <c r="BF836" s="21" t="str">
        <f t="shared" si="563"/>
        <v>Apprenant 824 ou 824'</v>
      </c>
      <c r="BG836" s="49" t="str">
        <f t="shared" si="536"/>
        <v/>
      </c>
      <c r="BH836" s="49" t="str">
        <f t="shared" si="537"/>
        <v/>
      </c>
      <c r="BI836" s="49" t="str">
        <f t="shared" si="538"/>
        <v/>
      </c>
      <c r="BJ836" s="22" t="str">
        <f t="shared" si="564"/>
        <v/>
      </c>
      <c r="BL836" s="21"/>
      <c r="BM836" s="21" t="str">
        <f>IF(OR(COUNT(B836:D1835)=0,AND('Choix pédagogiques'!$C$3&lt;&gt;1,'Choix pédagogiques'!$C$3&lt;&gt;2)),"",IF(AND(OR('Choix pédagogiques'!$C$3=1,'Choix pédagogiques'!$C$3=2),$B836&lt;&gt;"",$C836&lt;&gt;"",$D836&lt;&gt;""),1,0))</f>
        <v/>
      </c>
      <c r="BN836" s="21" t="str">
        <f>IF(OR(COUNT(G836:I1835)=0,AND('Choix pédagogiques'!$C$3&lt;&gt;1,'Choix pédagogiques'!$C$3&lt;&gt;2)),"",IF(AND(OR('Choix pédagogiques'!$C$3=1,'Choix pédagogiques'!$C$3=2),AND($G836&lt;&gt;"",$H836&lt;&gt;"",$I836&lt;&gt;"")),1,0))</f>
        <v/>
      </c>
      <c r="BO836" s="21" t="str">
        <f>IF(OR(COUNT(B836:D1835)=0,COUNT(G836:I1835)=0,'Choix pédagogiques'!C$3&lt;&gt;3),"",IF(AND('Choix pédagogiques'!$C$3=3,$B836&lt;&gt;"",$C836&lt;&gt;"",$D836&lt;&gt;"",$G836&lt;&gt;"",$H836&lt;&gt;"",$I836&lt;&gt;""),1,0))</f>
        <v/>
      </c>
      <c r="BR836" s="21">
        <v>468</v>
      </c>
      <c r="BS836" s="21">
        <v>1604</v>
      </c>
      <c r="BT836"/>
    </row>
    <row r="837" spans="1:72" s="23" customFormat="1" ht="18" customHeight="1" x14ac:dyDescent="0.3">
      <c r="A837" s="35" t="s">
        <v>827</v>
      </c>
      <c r="B837" s="37"/>
      <c r="C837" s="37"/>
      <c r="D837" s="37"/>
      <c r="E837" s="37"/>
      <c r="F837" s="35" t="s">
        <v>1835</v>
      </c>
      <c r="G837" s="37"/>
      <c r="H837" s="37"/>
      <c r="I837" s="37"/>
      <c r="J837" s="37"/>
      <c r="K837" s="21" t="str">
        <f t="shared" si="539"/>
        <v>Apprenant 825</v>
      </c>
      <c r="L837" s="22" t="str">
        <f t="shared" si="540"/>
        <v/>
      </c>
      <c r="M837" s="22" t="str">
        <f t="shared" si="541"/>
        <v/>
      </c>
      <c r="N837" s="22" t="str">
        <f t="shared" si="542"/>
        <v/>
      </c>
      <c r="O837" s="22" t="str">
        <f t="shared" si="543"/>
        <v/>
      </c>
      <c r="P837" s="21" t="str">
        <f t="shared" si="544"/>
        <v>Apprenant 825 ou 825'</v>
      </c>
      <c r="Q837" s="22" t="str">
        <f t="shared" si="545"/>
        <v/>
      </c>
      <c r="R837" s="22" t="str">
        <f t="shared" si="546"/>
        <v/>
      </c>
      <c r="S837" s="22" t="str">
        <f t="shared" si="547"/>
        <v/>
      </c>
      <c r="T837" s="22" t="str">
        <f t="shared" si="548"/>
        <v/>
      </c>
      <c r="V837" s="21" t="str">
        <f t="shared" si="549"/>
        <v>Apprenant 825</v>
      </c>
      <c r="W837" s="22" t="str">
        <f>IF(AND(OR('Choix pédagogiques'!$C$3=1,'Choix pédagogiques'!$C$3=2),$BM837=1),B837,IF(AND('Choix pédagogiques'!$C$3=3,$BO837=1),B837,""))</f>
        <v/>
      </c>
      <c r="X837" s="22" t="str">
        <f>IF(AND(OR('Choix pédagogiques'!$C$3=1,'Choix pédagogiques'!$C$3=2),$BM837=1),C837,IF(AND('Choix pédagogiques'!$C$3=3,$BO837=1),C837,""))</f>
        <v/>
      </c>
      <c r="Y837" s="22" t="str">
        <f>IF(AND(OR('Choix pédagogiques'!$C$3=1,'Choix pédagogiques'!$C$3=2),$BM837=1),D837,IF(AND('Choix pédagogiques'!$C$3=3,$BO837=1),D837,""))</f>
        <v/>
      </c>
      <c r="Z837" s="22" t="str">
        <f t="shared" si="550"/>
        <v/>
      </c>
      <c r="AA837" s="21" t="str">
        <f t="shared" si="551"/>
        <v>Apprenant 825 ou 825'</v>
      </c>
      <c r="AB837" s="22" t="str">
        <f>IF(AND(OR('Choix pédagogiques'!$C$3=1,'Choix pédagogiques'!$C$3=2),$BN837=1),G837,IF(AND('Choix pédagogiques'!$C$3=3,$BO837=1),G837,""))</f>
        <v/>
      </c>
      <c r="AC837" s="22" t="str">
        <f>IF(AND(OR('Choix pédagogiques'!$C$3=1,'Choix pédagogiques'!$C$3=2),$BN837=1),H837,IF(AND('Choix pédagogiques'!$C$3=3,$BO837=1),H837,""))</f>
        <v/>
      </c>
      <c r="AD837" s="22" t="str">
        <f>IF(AND(OR('Choix pédagogiques'!$C$3=1,'Choix pédagogiques'!$C$3=2),$BN837=1),I837,IF(AND('Choix pédagogiques'!$C$3=3,$BO837=1),I837,""))</f>
        <v/>
      </c>
      <c r="AE837" s="22" t="str">
        <f t="shared" si="552"/>
        <v/>
      </c>
      <c r="AF837" s="21" t="str">
        <f t="shared" si="553"/>
        <v>Apprenant 825</v>
      </c>
      <c r="AG837" s="22" t="str">
        <f t="shared" si="527"/>
        <v/>
      </c>
      <c r="AH837" s="22" t="str">
        <f t="shared" si="528"/>
        <v/>
      </c>
      <c r="AI837" s="22" t="str">
        <f t="shared" si="529"/>
        <v/>
      </c>
      <c r="AJ837" s="22" t="str">
        <f t="shared" si="554"/>
        <v/>
      </c>
      <c r="AK837" s="21" t="str">
        <f t="shared" si="555"/>
        <v>Apprenant 825 ou 825'</v>
      </c>
      <c r="AL837" s="22" t="str">
        <f t="shared" si="530"/>
        <v/>
      </c>
      <c r="AM837" s="22" t="str">
        <f t="shared" si="531"/>
        <v/>
      </c>
      <c r="AN837" s="22" t="str">
        <f t="shared" si="532"/>
        <v/>
      </c>
      <c r="AO837" s="22" t="str">
        <f t="shared" si="556"/>
        <v/>
      </c>
      <c r="AQ837" s="21" t="str">
        <f t="shared" si="557"/>
        <v>Apprenant 825</v>
      </c>
      <c r="AR837" s="49" t="str">
        <f>IF(AND('Choix pédagogiques'!$C$4&lt;&gt;"?",'Choix pédagogiques'!$C$5&lt;&gt;"?",W837&lt;&gt;""),(W837-'Choix pédagogiques'!$C$4)/('Choix pédagogiques'!$C$5-'Choix pédagogiques'!$C$4),"")</f>
        <v/>
      </c>
      <c r="AS837" s="49" t="str">
        <f>IF(AND('Choix pédagogiques'!$C$4&lt;&gt;"?",'Choix pédagogiques'!$C$5&lt;&gt;"?",X837&lt;&gt;""),(X837-'Choix pédagogiques'!$C$4)/('Choix pédagogiques'!$C$5-'Choix pédagogiques'!$C$4),"")</f>
        <v/>
      </c>
      <c r="AT837" s="49" t="str">
        <f>IF(AND('Choix pédagogiques'!$C$4&lt;&gt;"?",'Choix pédagogiques'!$C$5&lt;&gt;"?",Y837&lt;&gt;""),(Y837-'Choix pédagogiques'!$C$4)/('Choix pédagogiques'!$C$5-'Choix pédagogiques'!$C$4),"")</f>
        <v/>
      </c>
      <c r="AU837" s="22" t="str">
        <f t="shared" si="558"/>
        <v/>
      </c>
      <c r="AV837" s="21" t="str">
        <f t="shared" si="559"/>
        <v>Apprenant 825 ou 825'</v>
      </c>
      <c r="AW837" s="49" t="str">
        <f>IF(AND('Choix pédagogiques'!$C$4&lt;&gt;"?",'Choix pédagogiques'!$C$5&lt;&gt;"?",AB837&lt;&gt;""),(AB837-'Choix pédagogiques'!$C$4)/('Choix pédagogiques'!$C$5-'Choix pédagogiques'!$C$4),"")</f>
        <v/>
      </c>
      <c r="AX837" s="49" t="str">
        <f>IF(AND('Choix pédagogiques'!$C$4&lt;&gt;"?",'Choix pédagogiques'!$C$5&lt;&gt;"?",AC837&lt;&gt;""),(AC837-'Choix pédagogiques'!$C$4)/('Choix pédagogiques'!$C$5-'Choix pédagogiques'!$C$4),"")</f>
        <v/>
      </c>
      <c r="AY837" s="49" t="str">
        <f>IF(AND('Choix pédagogiques'!$C$4&lt;&gt;"?",'Choix pédagogiques'!$C$5&lt;&gt;"?",AD837&lt;&gt;""),(AD837-'Choix pédagogiques'!$C$4)/('Choix pédagogiques'!$C$5-'Choix pédagogiques'!$C$4),"")</f>
        <v/>
      </c>
      <c r="AZ837" s="22" t="str">
        <f t="shared" si="560"/>
        <v/>
      </c>
      <c r="BA837" s="21" t="str">
        <f t="shared" si="561"/>
        <v>Apprenant 825</v>
      </c>
      <c r="BB837" s="49" t="str">
        <f t="shared" si="533"/>
        <v/>
      </c>
      <c r="BC837" s="49" t="str">
        <f t="shared" si="534"/>
        <v/>
      </c>
      <c r="BD837" s="49" t="str">
        <f t="shared" si="535"/>
        <v/>
      </c>
      <c r="BE837" s="22" t="str">
        <f t="shared" si="562"/>
        <v/>
      </c>
      <c r="BF837" s="21" t="str">
        <f t="shared" si="563"/>
        <v>Apprenant 825 ou 825'</v>
      </c>
      <c r="BG837" s="49" t="str">
        <f t="shared" si="536"/>
        <v/>
      </c>
      <c r="BH837" s="49" t="str">
        <f t="shared" si="537"/>
        <v/>
      </c>
      <c r="BI837" s="49" t="str">
        <f t="shared" si="538"/>
        <v/>
      </c>
      <c r="BJ837" s="22" t="str">
        <f t="shared" si="564"/>
        <v/>
      </c>
      <c r="BL837" s="21"/>
      <c r="BM837" s="21" t="str">
        <f>IF(OR(COUNT(B837:D1836)=0,AND('Choix pédagogiques'!$C$3&lt;&gt;1,'Choix pédagogiques'!$C$3&lt;&gt;2)),"",IF(AND(OR('Choix pédagogiques'!$C$3=1,'Choix pédagogiques'!$C$3=2),$B837&lt;&gt;"",$C837&lt;&gt;"",$D837&lt;&gt;""),1,0))</f>
        <v/>
      </c>
      <c r="BN837" s="21" t="str">
        <f>IF(OR(COUNT(G837:I1836)=0,AND('Choix pédagogiques'!$C$3&lt;&gt;1,'Choix pédagogiques'!$C$3&lt;&gt;2)),"",IF(AND(OR('Choix pédagogiques'!$C$3=1,'Choix pédagogiques'!$C$3=2),AND($G837&lt;&gt;"",$H837&lt;&gt;"",$I837&lt;&gt;"")),1,0))</f>
        <v/>
      </c>
      <c r="BO837" s="21" t="str">
        <f>IF(OR(COUNT(B837:D1836)=0,COUNT(G837:I1836)=0,'Choix pédagogiques'!C$3&lt;&gt;3),"",IF(AND('Choix pédagogiques'!$C$3=3,$B837&lt;&gt;"",$C837&lt;&gt;"",$D837&lt;&gt;"",$G837&lt;&gt;"",$H837&lt;&gt;"",$I837&lt;&gt;""),1,0))</f>
        <v/>
      </c>
      <c r="BR837" s="21">
        <v>415</v>
      </c>
      <c r="BS837" s="21">
        <v>1430</v>
      </c>
      <c r="BT837"/>
    </row>
    <row r="838" spans="1:72" s="23" customFormat="1" ht="18" customHeight="1" x14ac:dyDescent="0.3">
      <c r="A838" s="35" t="s">
        <v>828</v>
      </c>
      <c r="B838" s="37"/>
      <c r="C838" s="37"/>
      <c r="D838" s="37"/>
      <c r="E838" s="37"/>
      <c r="F838" s="35" t="s">
        <v>1836</v>
      </c>
      <c r="G838" s="37"/>
      <c r="H838" s="37"/>
      <c r="I838" s="37"/>
      <c r="J838" s="37"/>
      <c r="K838" s="21" t="str">
        <f t="shared" si="539"/>
        <v>Apprenant 826</v>
      </c>
      <c r="L838" s="22" t="str">
        <f t="shared" si="540"/>
        <v/>
      </c>
      <c r="M838" s="22" t="str">
        <f t="shared" si="541"/>
        <v/>
      </c>
      <c r="N838" s="22" t="str">
        <f t="shared" si="542"/>
        <v/>
      </c>
      <c r="O838" s="22" t="str">
        <f t="shared" si="543"/>
        <v/>
      </c>
      <c r="P838" s="21" t="str">
        <f t="shared" si="544"/>
        <v>Apprenant 826 ou 826'</v>
      </c>
      <c r="Q838" s="22" t="str">
        <f t="shared" si="545"/>
        <v/>
      </c>
      <c r="R838" s="22" t="str">
        <f t="shared" si="546"/>
        <v/>
      </c>
      <c r="S838" s="22" t="str">
        <f t="shared" si="547"/>
        <v/>
      </c>
      <c r="T838" s="22" t="str">
        <f t="shared" si="548"/>
        <v/>
      </c>
      <c r="V838" s="21" t="str">
        <f t="shared" si="549"/>
        <v>Apprenant 826</v>
      </c>
      <c r="W838" s="22" t="str">
        <f>IF(AND(OR('Choix pédagogiques'!$C$3=1,'Choix pédagogiques'!$C$3=2),$BM838=1),B838,IF(AND('Choix pédagogiques'!$C$3=3,$BO838=1),B838,""))</f>
        <v/>
      </c>
      <c r="X838" s="22" t="str">
        <f>IF(AND(OR('Choix pédagogiques'!$C$3=1,'Choix pédagogiques'!$C$3=2),$BM838=1),C838,IF(AND('Choix pédagogiques'!$C$3=3,$BO838=1),C838,""))</f>
        <v/>
      </c>
      <c r="Y838" s="22" t="str">
        <f>IF(AND(OR('Choix pédagogiques'!$C$3=1,'Choix pédagogiques'!$C$3=2),$BM838=1),D838,IF(AND('Choix pédagogiques'!$C$3=3,$BO838=1),D838,""))</f>
        <v/>
      </c>
      <c r="Z838" s="22" t="str">
        <f t="shared" si="550"/>
        <v/>
      </c>
      <c r="AA838" s="21" t="str">
        <f t="shared" si="551"/>
        <v>Apprenant 826 ou 826'</v>
      </c>
      <c r="AB838" s="22" t="str">
        <f>IF(AND(OR('Choix pédagogiques'!$C$3=1,'Choix pédagogiques'!$C$3=2),$BN838=1),G838,IF(AND('Choix pédagogiques'!$C$3=3,$BO838=1),G838,""))</f>
        <v/>
      </c>
      <c r="AC838" s="22" t="str">
        <f>IF(AND(OR('Choix pédagogiques'!$C$3=1,'Choix pédagogiques'!$C$3=2),$BN838=1),H838,IF(AND('Choix pédagogiques'!$C$3=3,$BO838=1),H838,""))</f>
        <v/>
      </c>
      <c r="AD838" s="22" t="str">
        <f>IF(AND(OR('Choix pédagogiques'!$C$3=1,'Choix pédagogiques'!$C$3=2),$BN838=1),I838,IF(AND('Choix pédagogiques'!$C$3=3,$BO838=1),I838,""))</f>
        <v/>
      </c>
      <c r="AE838" s="22" t="str">
        <f t="shared" si="552"/>
        <v/>
      </c>
      <c r="AF838" s="21" t="str">
        <f t="shared" si="553"/>
        <v>Apprenant 826</v>
      </c>
      <c r="AG838" s="22" t="str">
        <f t="shared" si="527"/>
        <v/>
      </c>
      <c r="AH838" s="22" t="str">
        <f t="shared" si="528"/>
        <v/>
      </c>
      <c r="AI838" s="22" t="str">
        <f t="shared" si="529"/>
        <v/>
      </c>
      <c r="AJ838" s="22" t="str">
        <f t="shared" si="554"/>
        <v/>
      </c>
      <c r="AK838" s="21" t="str">
        <f t="shared" si="555"/>
        <v>Apprenant 826 ou 826'</v>
      </c>
      <c r="AL838" s="22" t="str">
        <f t="shared" si="530"/>
        <v/>
      </c>
      <c r="AM838" s="22" t="str">
        <f t="shared" si="531"/>
        <v/>
      </c>
      <c r="AN838" s="22" t="str">
        <f t="shared" si="532"/>
        <v/>
      </c>
      <c r="AO838" s="22" t="str">
        <f t="shared" si="556"/>
        <v/>
      </c>
      <c r="AQ838" s="21" t="str">
        <f t="shared" si="557"/>
        <v>Apprenant 826</v>
      </c>
      <c r="AR838" s="49" t="str">
        <f>IF(AND('Choix pédagogiques'!$C$4&lt;&gt;"?",'Choix pédagogiques'!$C$5&lt;&gt;"?",W838&lt;&gt;""),(W838-'Choix pédagogiques'!$C$4)/('Choix pédagogiques'!$C$5-'Choix pédagogiques'!$C$4),"")</f>
        <v/>
      </c>
      <c r="AS838" s="49" t="str">
        <f>IF(AND('Choix pédagogiques'!$C$4&lt;&gt;"?",'Choix pédagogiques'!$C$5&lt;&gt;"?",X838&lt;&gt;""),(X838-'Choix pédagogiques'!$C$4)/('Choix pédagogiques'!$C$5-'Choix pédagogiques'!$C$4),"")</f>
        <v/>
      </c>
      <c r="AT838" s="49" t="str">
        <f>IF(AND('Choix pédagogiques'!$C$4&lt;&gt;"?",'Choix pédagogiques'!$C$5&lt;&gt;"?",Y838&lt;&gt;""),(Y838-'Choix pédagogiques'!$C$4)/('Choix pédagogiques'!$C$5-'Choix pédagogiques'!$C$4),"")</f>
        <v/>
      </c>
      <c r="AU838" s="22" t="str">
        <f t="shared" si="558"/>
        <v/>
      </c>
      <c r="AV838" s="21" t="str">
        <f t="shared" si="559"/>
        <v>Apprenant 826 ou 826'</v>
      </c>
      <c r="AW838" s="49" t="str">
        <f>IF(AND('Choix pédagogiques'!$C$4&lt;&gt;"?",'Choix pédagogiques'!$C$5&lt;&gt;"?",AB838&lt;&gt;""),(AB838-'Choix pédagogiques'!$C$4)/('Choix pédagogiques'!$C$5-'Choix pédagogiques'!$C$4),"")</f>
        <v/>
      </c>
      <c r="AX838" s="49" t="str">
        <f>IF(AND('Choix pédagogiques'!$C$4&lt;&gt;"?",'Choix pédagogiques'!$C$5&lt;&gt;"?",AC838&lt;&gt;""),(AC838-'Choix pédagogiques'!$C$4)/('Choix pédagogiques'!$C$5-'Choix pédagogiques'!$C$4),"")</f>
        <v/>
      </c>
      <c r="AY838" s="49" t="str">
        <f>IF(AND('Choix pédagogiques'!$C$4&lt;&gt;"?",'Choix pédagogiques'!$C$5&lt;&gt;"?",AD838&lt;&gt;""),(AD838-'Choix pédagogiques'!$C$4)/('Choix pédagogiques'!$C$5-'Choix pédagogiques'!$C$4),"")</f>
        <v/>
      </c>
      <c r="AZ838" s="22" t="str">
        <f t="shared" si="560"/>
        <v/>
      </c>
      <c r="BA838" s="21" t="str">
        <f t="shared" si="561"/>
        <v>Apprenant 826</v>
      </c>
      <c r="BB838" s="49" t="str">
        <f t="shared" si="533"/>
        <v/>
      </c>
      <c r="BC838" s="49" t="str">
        <f t="shared" si="534"/>
        <v/>
      </c>
      <c r="BD838" s="49" t="str">
        <f t="shared" si="535"/>
        <v/>
      </c>
      <c r="BE838" s="22" t="str">
        <f t="shared" si="562"/>
        <v/>
      </c>
      <c r="BF838" s="21" t="str">
        <f t="shared" si="563"/>
        <v>Apprenant 826 ou 826'</v>
      </c>
      <c r="BG838" s="49" t="str">
        <f t="shared" si="536"/>
        <v/>
      </c>
      <c r="BH838" s="49" t="str">
        <f t="shared" si="537"/>
        <v/>
      </c>
      <c r="BI838" s="49" t="str">
        <f t="shared" si="538"/>
        <v/>
      </c>
      <c r="BJ838" s="22" t="str">
        <f t="shared" si="564"/>
        <v/>
      </c>
      <c r="BL838" s="21"/>
      <c r="BM838" s="21" t="str">
        <f>IF(OR(COUNT(B838:D1837)=0,AND('Choix pédagogiques'!$C$3&lt;&gt;1,'Choix pédagogiques'!$C$3&lt;&gt;2)),"",IF(AND(OR('Choix pédagogiques'!$C$3=1,'Choix pédagogiques'!$C$3=2),$B838&lt;&gt;"",$C838&lt;&gt;"",$D838&lt;&gt;""),1,0))</f>
        <v/>
      </c>
      <c r="BN838" s="21" t="str">
        <f>IF(OR(COUNT(G838:I1837)=0,AND('Choix pédagogiques'!$C$3&lt;&gt;1,'Choix pédagogiques'!$C$3&lt;&gt;2)),"",IF(AND(OR('Choix pédagogiques'!$C$3=1,'Choix pédagogiques'!$C$3=2),AND($G838&lt;&gt;"",$H838&lt;&gt;"",$I838&lt;&gt;"")),1,0))</f>
        <v/>
      </c>
      <c r="BO838" s="21" t="str">
        <f>IF(OR(COUNT(B838:D1837)=0,COUNT(G838:I1837)=0,'Choix pédagogiques'!C$3&lt;&gt;3),"",IF(AND('Choix pédagogiques'!$C$3=3,$B838&lt;&gt;"",$C838&lt;&gt;"",$D838&lt;&gt;"",$G838&lt;&gt;"",$H838&lt;&gt;"",$I838&lt;&gt;""),1,0))</f>
        <v/>
      </c>
      <c r="BR838" s="21">
        <v>509</v>
      </c>
      <c r="BS838" s="21">
        <v>1666</v>
      </c>
      <c r="BT838"/>
    </row>
    <row r="839" spans="1:72" s="23" customFormat="1" ht="18" customHeight="1" x14ac:dyDescent="0.3">
      <c r="A839" s="35" t="s">
        <v>829</v>
      </c>
      <c r="B839" s="37"/>
      <c r="C839" s="37"/>
      <c r="D839" s="37"/>
      <c r="E839" s="37"/>
      <c r="F839" s="35" t="s">
        <v>1837</v>
      </c>
      <c r="G839" s="37"/>
      <c r="H839" s="37"/>
      <c r="I839" s="37"/>
      <c r="J839" s="37"/>
      <c r="K839" s="21" t="str">
        <f t="shared" si="539"/>
        <v>Apprenant 827</v>
      </c>
      <c r="L839" s="22" t="str">
        <f t="shared" si="540"/>
        <v/>
      </c>
      <c r="M839" s="22" t="str">
        <f t="shared" si="541"/>
        <v/>
      </c>
      <c r="N839" s="22" t="str">
        <f t="shared" si="542"/>
        <v/>
      </c>
      <c r="O839" s="22" t="str">
        <f t="shared" si="543"/>
        <v/>
      </c>
      <c r="P839" s="21" t="str">
        <f t="shared" si="544"/>
        <v>Apprenant 827 ou 827'</v>
      </c>
      <c r="Q839" s="22" t="str">
        <f t="shared" si="545"/>
        <v/>
      </c>
      <c r="R839" s="22" t="str">
        <f t="shared" si="546"/>
        <v/>
      </c>
      <c r="S839" s="22" t="str">
        <f t="shared" si="547"/>
        <v/>
      </c>
      <c r="T839" s="22" t="str">
        <f t="shared" si="548"/>
        <v/>
      </c>
      <c r="V839" s="21" t="str">
        <f t="shared" si="549"/>
        <v>Apprenant 827</v>
      </c>
      <c r="W839" s="22" t="str">
        <f>IF(AND(OR('Choix pédagogiques'!$C$3=1,'Choix pédagogiques'!$C$3=2),$BM839=1),B839,IF(AND('Choix pédagogiques'!$C$3=3,$BO839=1),B839,""))</f>
        <v/>
      </c>
      <c r="X839" s="22" t="str">
        <f>IF(AND(OR('Choix pédagogiques'!$C$3=1,'Choix pédagogiques'!$C$3=2),$BM839=1),C839,IF(AND('Choix pédagogiques'!$C$3=3,$BO839=1),C839,""))</f>
        <v/>
      </c>
      <c r="Y839" s="22" t="str">
        <f>IF(AND(OR('Choix pédagogiques'!$C$3=1,'Choix pédagogiques'!$C$3=2),$BM839=1),D839,IF(AND('Choix pédagogiques'!$C$3=3,$BO839=1),D839,""))</f>
        <v/>
      </c>
      <c r="Z839" s="22" t="str">
        <f t="shared" si="550"/>
        <v/>
      </c>
      <c r="AA839" s="21" t="str">
        <f t="shared" si="551"/>
        <v>Apprenant 827 ou 827'</v>
      </c>
      <c r="AB839" s="22" t="str">
        <f>IF(AND(OR('Choix pédagogiques'!$C$3=1,'Choix pédagogiques'!$C$3=2),$BN839=1),G839,IF(AND('Choix pédagogiques'!$C$3=3,$BO839=1),G839,""))</f>
        <v/>
      </c>
      <c r="AC839" s="22" t="str">
        <f>IF(AND(OR('Choix pédagogiques'!$C$3=1,'Choix pédagogiques'!$C$3=2),$BN839=1),H839,IF(AND('Choix pédagogiques'!$C$3=3,$BO839=1),H839,""))</f>
        <v/>
      </c>
      <c r="AD839" s="22" t="str">
        <f>IF(AND(OR('Choix pédagogiques'!$C$3=1,'Choix pédagogiques'!$C$3=2),$BN839=1),I839,IF(AND('Choix pédagogiques'!$C$3=3,$BO839=1),I839,""))</f>
        <v/>
      </c>
      <c r="AE839" s="22" t="str">
        <f t="shared" si="552"/>
        <v/>
      </c>
      <c r="AF839" s="21" t="str">
        <f t="shared" si="553"/>
        <v>Apprenant 827</v>
      </c>
      <c r="AG839" s="22" t="str">
        <f t="shared" si="527"/>
        <v/>
      </c>
      <c r="AH839" s="22" t="str">
        <f t="shared" si="528"/>
        <v/>
      </c>
      <c r="AI839" s="22" t="str">
        <f t="shared" si="529"/>
        <v/>
      </c>
      <c r="AJ839" s="22" t="str">
        <f t="shared" si="554"/>
        <v/>
      </c>
      <c r="AK839" s="21" t="str">
        <f t="shared" si="555"/>
        <v>Apprenant 827 ou 827'</v>
      </c>
      <c r="AL839" s="22" t="str">
        <f t="shared" si="530"/>
        <v/>
      </c>
      <c r="AM839" s="22" t="str">
        <f t="shared" si="531"/>
        <v/>
      </c>
      <c r="AN839" s="22" t="str">
        <f t="shared" si="532"/>
        <v/>
      </c>
      <c r="AO839" s="22" t="str">
        <f t="shared" si="556"/>
        <v/>
      </c>
      <c r="AQ839" s="21" t="str">
        <f t="shared" si="557"/>
        <v>Apprenant 827</v>
      </c>
      <c r="AR839" s="49" t="str">
        <f>IF(AND('Choix pédagogiques'!$C$4&lt;&gt;"?",'Choix pédagogiques'!$C$5&lt;&gt;"?",W839&lt;&gt;""),(W839-'Choix pédagogiques'!$C$4)/('Choix pédagogiques'!$C$5-'Choix pédagogiques'!$C$4),"")</f>
        <v/>
      </c>
      <c r="AS839" s="49" t="str">
        <f>IF(AND('Choix pédagogiques'!$C$4&lt;&gt;"?",'Choix pédagogiques'!$C$5&lt;&gt;"?",X839&lt;&gt;""),(X839-'Choix pédagogiques'!$C$4)/('Choix pédagogiques'!$C$5-'Choix pédagogiques'!$C$4),"")</f>
        <v/>
      </c>
      <c r="AT839" s="49" t="str">
        <f>IF(AND('Choix pédagogiques'!$C$4&lt;&gt;"?",'Choix pédagogiques'!$C$5&lt;&gt;"?",Y839&lt;&gt;""),(Y839-'Choix pédagogiques'!$C$4)/('Choix pédagogiques'!$C$5-'Choix pédagogiques'!$C$4),"")</f>
        <v/>
      </c>
      <c r="AU839" s="22" t="str">
        <f t="shared" si="558"/>
        <v/>
      </c>
      <c r="AV839" s="21" t="str">
        <f t="shared" si="559"/>
        <v>Apprenant 827 ou 827'</v>
      </c>
      <c r="AW839" s="49" t="str">
        <f>IF(AND('Choix pédagogiques'!$C$4&lt;&gt;"?",'Choix pédagogiques'!$C$5&lt;&gt;"?",AB839&lt;&gt;""),(AB839-'Choix pédagogiques'!$C$4)/('Choix pédagogiques'!$C$5-'Choix pédagogiques'!$C$4),"")</f>
        <v/>
      </c>
      <c r="AX839" s="49" t="str">
        <f>IF(AND('Choix pédagogiques'!$C$4&lt;&gt;"?",'Choix pédagogiques'!$C$5&lt;&gt;"?",AC839&lt;&gt;""),(AC839-'Choix pédagogiques'!$C$4)/('Choix pédagogiques'!$C$5-'Choix pédagogiques'!$C$4),"")</f>
        <v/>
      </c>
      <c r="AY839" s="49" t="str">
        <f>IF(AND('Choix pédagogiques'!$C$4&lt;&gt;"?",'Choix pédagogiques'!$C$5&lt;&gt;"?",AD839&lt;&gt;""),(AD839-'Choix pédagogiques'!$C$4)/('Choix pédagogiques'!$C$5-'Choix pédagogiques'!$C$4),"")</f>
        <v/>
      </c>
      <c r="AZ839" s="22" t="str">
        <f t="shared" si="560"/>
        <v/>
      </c>
      <c r="BA839" s="21" t="str">
        <f t="shared" si="561"/>
        <v>Apprenant 827</v>
      </c>
      <c r="BB839" s="49" t="str">
        <f t="shared" si="533"/>
        <v/>
      </c>
      <c r="BC839" s="49" t="str">
        <f t="shared" si="534"/>
        <v/>
      </c>
      <c r="BD839" s="49" t="str">
        <f t="shared" si="535"/>
        <v/>
      </c>
      <c r="BE839" s="22" t="str">
        <f t="shared" si="562"/>
        <v/>
      </c>
      <c r="BF839" s="21" t="str">
        <f t="shared" si="563"/>
        <v>Apprenant 827 ou 827'</v>
      </c>
      <c r="BG839" s="49" t="str">
        <f t="shared" si="536"/>
        <v/>
      </c>
      <c r="BH839" s="49" t="str">
        <f t="shared" si="537"/>
        <v/>
      </c>
      <c r="BI839" s="49" t="str">
        <f t="shared" si="538"/>
        <v/>
      </c>
      <c r="BJ839" s="22" t="str">
        <f t="shared" si="564"/>
        <v/>
      </c>
      <c r="BL839" s="21"/>
      <c r="BM839" s="21" t="str">
        <f>IF(OR(COUNT(B839:D1838)=0,AND('Choix pédagogiques'!$C$3&lt;&gt;1,'Choix pédagogiques'!$C$3&lt;&gt;2)),"",IF(AND(OR('Choix pédagogiques'!$C$3=1,'Choix pédagogiques'!$C$3=2),$B839&lt;&gt;"",$C839&lt;&gt;"",$D839&lt;&gt;""),1,0))</f>
        <v/>
      </c>
      <c r="BN839" s="21" t="str">
        <f>IF(OR(COUNT(G839:I1838)=0,AND('Choix pédagogiques'!$C$3&lt;&gt;1,'Choix pédagogiques'!$C$3&lt;&gt;2)),"",IF(AND(OR('Choix pédagogiques'!$C$3=1,'Choix pédagogiques'!$C$3=2),AND($G839&lt;&gt;"",$H839&lt;&gt;"",$I839&lt;&gt;"")),1,0))</f>
        <v/>
      </c>
      <c r="BO839" s="21" t="str">
        <f>IF(OR(COUNT(B839:D1838)=0,COUNT(G839:I1838)=0,'Choix pédagogiques'!C$3&lt;&gt;3),"",IF(AND('Choix pédagogiques'!$C$3=3,$B839&lt;&gt;"",$C839&lt;&gt;"",$D839&lt;&gt;"",$G839&lt;&gt;"",$H839&lt;&gt;"",$I839&lt;&gt;""),1,0))</f>
        <v/>
      </c>
      <c r="BR839" s="21">
        <v>993</v>
      </c>
      <c r="BS839" s="21">
        <v>1487</v>
      </c>
      <c r="BT839"/>
    </row>
    <row r="840" spans="1:72" s="23" customFormat="1" ht="18" customHeight="1" x14ac:dyDescent="0.3">
      <c r="A840" s="35" t="s">
        <v>830</v>
      </c>
      <c r="B840" s="37"/>
      <c r="C840" s="37"/>
      <c r="D840" s="37"/>
      <c r="E840" s="37"/>
      <c r="F840" s="35" t="s">
        <v>1838</v>
      </c>
      <c r="G840" s="37"/>
      <c r="H840" s="37"/>
      <c r="I840" s="37"/>
      <c r="J840" s="37"/>
      <c r="K840" s="21" t="str">
        <f t="shared" si="539"/>
        <v>Apprenant 828</v>
      </c>
      <c r="L840" s="22" t="str">
        <f t="shared" si="540"/>
        <v/>
      </c>
      <c r="M840" s="22" t="str">
        <f t="shared" si="541"/>
        <v/>
      </c>
      <c r="N840" s="22" t="str">
        <f t="shared" si="542"/>
        <v/>
      </c>
      <c r="O840" s="22" t="str">
        <f t="shared" si="543"/>
        <v/>
      </c>
      <c r="P840" s="21" t="str">
        <f t="shared" si="544"/>
        <v>Apprenant 828 ou 828'</v>
      </c>
      <c r="Q840" s="22" t="str">
        <f t="shared" si="545"/>
        <v/>
      </c>
      <c r="R840" s="22" t="str">
        <f t="shared" si="546"/>
        <v/>
      </c>
      <c r="S840" s="22" t="str">
        <f t="shared" si="547"/>
        <v/>
      </c>
      <c r="T840" s="22" t="str">
        <f t="shared" si="548"/>
        <v/>
      </c>
      <c r="V840" s="21" t="str">
        <f t="shared" si="549"/>
        <v>Apprenant 828</v>
      </c>
      <c r="W840" s="22" t="str">
        <f>IF(AND(OR('Choix pédagogiques'!$C$3=1,'Choix pédagogiques'!$C$3=2),$BM840=1),B840,IF(AND('Choix pédagogiques'!$C$3=3,$BO840=1),B840,""))</f>
        <v/>
      </c>
      <c r="X840" s="22" t="str">
        <f>IF(AND(OR('Choix pédagogiques'!$C$3=1,'Choix pédagogiques'!$C$3=2),$BM840=1),C840,IF(AND('Choix pédagogiques'!$C$3=3,$BO840=1),C840,""))</f>
        <v/>
      </c>
      <c r="Y840" s="22" t="str">
        <f>IF(AND(OR('Choix pédagogiques'!$C$3=1,'Choix pédagogiques'!$C$3=2),$BM840=1),D840,IF(AND('Choix pédagogiques'!$C$3=3,$BO840=1),D840,""))</f>
        <v/>
      </c>
      <c r="Z840" s="22" t="str">
        <f t="shared" si="550"/>
        <v/>
      </c>
      <c r="AA840" s="21" t="str">
        <f t="shared" si="551"/>
        <v>Apprenant 828 ou 828'</v>
      </c>
      <c r="AB840" s="22" t="str">
        <f>IF(AND(OR('Choix pédagogiques'!$C$3=1,'Choix pédagogiques'!$C$3=2),$BN840=1),G840,IF(AND('Choix pédagogiques'!$C$3=3,$BO840=1),G840,""))</f>
        <v/>
      </c>
      <c r="AC840" s="22" t="str">
        <f>IF(AND(OR('Choix pédagogiques'!$C$3=1,'Choix pédagogiques'!$C$3=2),$BN840=1),H840,IF(AND('Choix pédagogiques'!$C$3=3,$BO840=1),H840,""))</f>
        <v/>
      </c>
      <c r="AD840" s="22" t="str">
        <f>IF(AND(OR('Choix pédagogiques'!$C$3=1,'Choix pédagogiques'!$C$3=2),$BN840=1),I840,IF(AND('Choix pédagogiques'!$C$3=3,$BO840=1),I840,""))</f>
        <v/>
      </c>
      <c r="AE840" s="22" t="str">
        <f t="shared" si="552"/>
        <v/>
      </c>
      <c r="AF840" s="21" t="str">
        <f t="shared" si="553"/>
        <v>Apprenant 828</v>
      </c>
      <c r="AG840" s="22" t="str">
        <f t="shared" si="527"/>
        <v/>
      </c>
      <c r="AH840" s="22" t="str">
        <f t="shared" si="528"/>
        <v/>
      </c>
      <c r="AI840" s="22" t="str">
        <f t="shared" si="529"/>
        <v/>
      </c>
      <c r="AJ840" s="22" t="str">
        <f t="shared" si="554"/>
        <v/>
      </c>
      <c r="AK840" s="21" t="str">
        <f t="shared" si="555"/>
        <v>Apprenant 828 ou 828'</v>
      </c>
      <c r="AL840" s="22" t="str">
        <f t="shared" si="530"/>
        <v/>
      </c>
      <c r="AM840" s="22" t="str">
        <f t="shared" si="531"/>
        <v/>
      </c>
      <c r="AN840" s="22" t="str">
        <f t="shared" si="532"/>
        <v/>
      </c>
      <c r="AO840" s="22" t="str">
        <f t="shared" si="556"/>
        <v/>
      </c>
      <c r="AQ840" s="21" t="str">
        <f t="shared" si="557"/>
        <v>Apprenant 828</v>
      </c>
      <c r="AR840" s="49" t="str">
        <f>IF(AND('Choix pédagogiques'!$C$4&lt;&gt;"?",'Choix pédagogiques'!$C$5&lt;&gt;"?",W840&lt;&gt;""),(W840-'Choix pédagogiques'!$C$4)/('Choix pédagogiques'!$C$5-'Choix pédagogiques'!$C$4),"")</f>
        <v/>
      </c>
      <c r="AS840" s="49" t="str">
        <f>IF(AND('Choix pédagogiques'!$C$4&lt;&gt;"?",'Choix pédagogiques'!$C$5&lt;&gt;"?",X840&lt;&gt;""),(X840-'Choix pédagogiques'!$C$4)/('Choix pédagogiques'!$C$5-'Choix pédagogiques'!$C$4),"")</f>
        <v/>
      </c>
      <c r="AT840" s="49" t="str">
        <f>IF(AND('Choix pédagogiques'!$C$4&lt;&gt;"?",'Choix pédagogiques'!$C$5&lt;&gt;"?",Y840&lt;&gt;""),(Y840-'Choix pédagogiques'!$C$4)/('Choix pédagogiques'!$C$5-'Choix pédagogiques'!$C$4),"")</f>
        <v/>
      </c>
      <c r="AU840" s="22" t="str">
        <f t="shared" si="558"/>
        <v/>
      </c>
      <c r="AV840" s="21" t="str">
        <f t="shared" si="559"/>
        <v>Apprenant 828 ou 828'</v>
      </c>
      <c r="AW840" s="49" t="str">
        <f>IF(AND('Choix pédagogiques'!$C$4&lt;&gt;"?",'Choix pédagogiques'!$C$5&lt;&gt;"?",AB840&lt;&gt;""),(AB840-'Choix pédagogiques'!$C$4)/('Choix pédagogiques'!$C$5-'Choix pédagogiques'!$C$4),"")</f>
        <v/>
      </c>
      <c r="AX840" s="49" t="str">
        <f>IF(AND('Choix pédagogiques'!$C$4&lt;&gt;"?",'Choix pédagogiques'!$C$5&lt;&gt;"?",AC840&lt;&gt;""),(AC840-'Choix pédagogiques'!$C$4)/('Choix pédagogiques'!$C$5-'Choix pédagogiques'!$C$4),"")</f>
        <v/>
      </c>
      <c r="AY840" s="49" t="str">
        <f>IF(AND('Choix pédagogiques'!$C$4&lt;&gt;"?",'Choix pédagogiques'!$C$5&lt;&gt;"?",AD840&lt;&gt;""),(AD840-'Choix pédagogiques'!$C$4)/('Choix pédagogiques'!$C$5-'Choix pédagogiques'!$C$4),"")</f>
        <v/>
      </c>
      <c r="AZ840" s="22" t="str">
        <f t="shared" si="560"/>
        <v/>
      </c>
      <c r="BA840" s="21" t="str">
        <f t="shared" si="561"/>
        <v>Apprenant 828</v>
      </c>
      <c r="BB840" s="49" t="str">
        <f t="shared" si="533"/>
        <v/>
      </c>
      <c r="BC840" s="49" t="str">
        <f t="shared" si="534"/>
        <v/>
      </c>
      <c r="BD840" s="49" t="str">
        <f t="shared" si="535"/>
        <v/>
      </c>
      <c r="BE840" s="22" t="str">
        <f t="shared" si="562"/>
        <v/>
      </c>
      <c r="BF840" s="21" t="str">
        <f t="shared" si="563"/>
        <v>Apprenant 828 ou 828'</v>
      </c>
      <c r="BG840" s="49" t="str">
        <f t="shared" si="536"/>
        <v/>
      </c>
      <c r="BH840" s="49" t="str">
        <f t="shared" si="537"/>
        <v/>
      </c>
      <c r="BI840" s="49" t="str">
        <f t="shared" si="538"/>
        <v/>
      </c>
      <c r="BJ840" s="22" t="str">
        <f t="shared" si="564"/>
        <v/>
      </c>
      <c r="BL840" s="21"/>
      <c r="BM840" s="21" t="str">
        <f>IF(OR(COUNT(B840:D1839)=0,AND('Choix pédagogiques'!$C$3&lt;&gt;1,'Choix pédagogiques'!$C$3&lt;&gt;2)),"",IF(AND(OR('Choix pédagogiques'!$C$3=1,'Choix pédagogiques'!$C$3=2),$B840&lt;&gt;"",$C840&lt;&gt;"",$D840&lt;&gt;""),1,0))</f>
        <v/>
      </c>
      <c r="BN840" s="21" t="str">
        <f>IF(OR(COUNT(G840:I1839)=0,AND('Choix pédagogiques'!$C$3&lt;&gt;1,'Choix pédagogiques'!$C$3&lt;&gt;2)),"",IF(AND(OR('Choix pédagogiques'!$C$3=1,'Choix pédagogiques'!$C$3=2),AND($G840&lt;&gt;"",$H840&lt;&gt;"",$I840&lt;&gt;"")),1,0))</f>
        <v/>
      </c>
      <c r="BO840" s="21" t="str">
        <f>IF(OR(COUNT(B840:D1839)=0,COUNT(G840:I1839)=0,'Choix pédagogiques'!C$3&lt;&gt;3),"",IF(AND('Choix pédagogiques'!$C$3=3,$B840&lt;&gt;"",$C840&lt;&gt;"",$D840&lt;&gt;"",$G840&lt;&gt;"",$H840&lt;&gt;"",$I840&lt;&gt;""),1,0))</f>
        <v/>
      </c>
      <c r="BR840" s="21">
        <v>394</v>
      </c>
      <c r="BS840" s="21">
        <v>1285</v>
      </c>
      <c r="BT840"/>
    </row>
    <row r="841" spans="1:72" s="23" customFormat="1" ht="18" customHeight="1" x14ac:dyDescent="0.3">
      <c r="A841" s="35" t="s">
        <v>831</v>
      </c>
      <c r="B841" s="37"/>
      <c r="C841" s="37"/>
      <c r="D841" s="37"/>
      <c r="E841" s="37"/>
      <c r="F841" s="35" t="s">
        <v>1839</v>
      </c>
      <c r="G841" s="37"/>
      <c r="H841" s="37"/>
      <c r="I841" s="37"/>
      <c r="J841" s="37"/>
      <c r="K841" s="21" t="str">
        <f t="shared" si="539"/>
        <v>Apprenant 829</v>
      </c>
      <c r="L841" s="22" t="str">
        <f t="shared" si="540"/>
        <v/>
      </c>
      <c r="M841" s="22" t="str">
        <f t="shared" si="541"/>
        <v/>
      </c>
      <c r="N841" s="22" t="str">
        <f t="shared" si="542"/>
        <v/>
      </c>
      <c r="O841" s="22" t="str">
        <f t="shared" si="543"/>
        <v/>
      </c>
      <c r="P841" s="21" t="str">
        <f t="shared" si="544"/>
        <v>Apprenant 829 ou 829'</v>
      </c>
      <c r="Q841" s="22" t="str">
        <f t="shared" si="545"/>
        <v/>
      </c>
      <c r="R841" s="22" t="str">
        <f t="shared" si="546"/>
        <v/>
      </c>
      <c r="S841" s="22" t="str">
        <f t="shared" si="547"/>
        <v/>
      </c>
      <c r="T841" s="22" t="str">
        <f t="shared" si="548"/>
        <v/>
      </c>
      <c r="V841" s="21" t="str">
        <f t="shared" si="549"/>
        <v>Apprenant 829</v>
      </c>
      <c r="W841" s="22" t="str">
        <f>IF(AND(OR('Choix pédagogiques'!$C$3=1,'Choix pédagogiques'!$C$3=2),$BM841=1),B841,IF(AND('Choix pédagogiques'!$C$3=3,$BO841=1),B841,""))</f>
        <v/>
      </c>
      <c r="X841" s="22" t="str">
        <f>IF(AND(OR('Choix pédagogiques'!$C$3=1,'Choix pédagogiques'!$C$3=2),$BM841=1),C841,IF(AND('Choix pédagogiques'!$C$3=3,$BO841=1),C841,""))</f>
        <v/>
      </c>
      <c r="Y841" s="22" t="str">
        <f>IF(AND(OR('Choix pédagogiques'!$C$3=1,'Choix pédagogiques'!$C$3=2),$BM841=1),D841,IF(AND('Choix pédagogiques'!$C$3=3,$BO841=1),D841,""))</f>
        <v/>
      </c>
      <c r="Z841" s="22" t="str">
        <f t="shared" si="550"/>
        <v/>
      </c>
      <c r="AA841" s="21" t="str">
        <f t="shared" si="551"/>
        <v>Apprenant 829 ou 829'</v>
      </c>
      <c r="AB841" s="22" t="str">
        <f>IF(AND(OR('Choix pédagogiques'!$C$3=1,'Choix pédagogiques'!$C$3=2),$BN841=1),G841,IF(AND('Choix pédagogiques'!$C$3=3,$BO841=1),G841,""))</f>
        <v/>
      </c>
      <c r="AC841" s="22" t="str">
        <f>IF(AND(OR('Choix pédagogiques'!$C$3=1,'Choix pédagogiques'!$C$3=2),$BN841=1),H841,IF(AND('Choix pédagogiques'!$C$3=3,$BO841=1),H841,""))</f>
        <v/>
      </c>
      <c r="AD841" s="22" t="str">
        <f>IF(AND(OR('Choix pédagogiques'!$C$3=1,'Choix pédagogiques'!$C$3=2),$BN841=1),I841,IF(AND('Choix pédagogiques'!$C$3=3,$BO841=1),I841,""))</f>
        <v/>
      </c>
      <c r="AE841" s="22" t="str">
        <f t="shared" si="552"/>
        <v/>
      </c>
      <c r="AF841" s="21" t="str">
        <f t="shared" si="553"/>
        <v>Apprenant 829</v>
      </c>
      <c r="AG841" s="22" t="str">
        <f t="shared" si="527"/>
        <v/>
      </c>
      <c r="AH841" s="22" t="str">
        <f t="shared" si="528"/>
        <v/>
      </c>
      <c r="AI841" s="22" t="str">
        <f t="shared" si="529"/>
        <v/>
      </c>
      <c r="AJ841" s="22" t="str">
        <f t="shared" si="554"/>
        <v/>
      </c>
      <c r="AK841" s="21" t="str">
        <f t="shared" si="555"/>
        <v>Apprenant 829 ou 829'</v>
      </c>
      <c r="AL841" s="22" t="str">
        <f t="shared" si="530"/>
        <v/>
      </c>
      <c r="AM841" s="22" t="str">
        <f t="shared" si="531"/>
        <v/>
      </c>
      <c r="AN841" s="22" t="str">
        <f t="shared" si="532"/>
        <v/>
      </c>
      <c r="AO841" s="22" t="str">
        <f t="shared" si="556"/>
        <v/>
      </c>
      <c r="AQ841" s="21" t="str">
        <f t="shared" si="557"/>
        <v>Apprenant 829</v>
      </c>
      <c r="AR841" s="49" t="str">
        <f>IF(AND('Choix pédagogiques'!$C$4&lt;&gt;"?",'Choix pédagogiques'!$C$5&lt;&gt;"?",W841&lt;&gt;""),(W841-'Choix pédagogiques'!$C$4)/('Choix pédagogiques'!$C$5-'Choix pédagogiques'!$C$4),"")</f>
        <v/>
      </c>
      <c r="AS841" s="49" t="str">
        <f>IF(AND('Choix pédagogiques'!$C$4&lt;&gt;"?",'Choix pédagogiques'!$C$5&lt;&gt;"?",X841&lt;&gt;""),(X841-'Choix pédagogiques'!$C$4)/('Choix pédagogiques'!$C$5-'Choix pédagogiques'!$C$4),"")</f>
        <v/>
      </c>
      <c r="AT841" s="49" t="str">
        <f>IF(AND('Choix pédagogiques'!$C$4&lt;&gt;"?",'Choix pédagogiques'!$C$5&lt;&gt;"?",Y841&lt;&gt;""),(Y841-'Choix pédagogiques'!$C$4)/('Choix pédagogiques'!$C$5-'Choix pédagogiques'!$C$4),"")</f>
        <v/>
      </c>
      <c r="AU841" s="22" t="str">
        <f t="shared" si="558"/>
        <v/>
      </c>
      <c r="AV841" s="21" t="str">
        <f t="shared" si="559"/>
        <v>Apprenant 829 ou 829'</v>
      </c>
      <c r="AW841" s="49" t="str">
        <f>IF(AND('Choix pédagogiques'!$C$4&lt;&gt;"?",'Choix pédagogiques'!$C$5&lt;&gt;"?",AB841&lt;&gt;""),(AB841-'Choix pédagogiques'!$C$4)/('Choix pédagogiques'!$C$5-'Choix pédagogiques'!$C$4),"")</f>
        <v/>
      </c>
      <c r="AX841" s="49" t="str">
        <f>IF(AND('Choix pédagogiques'!$C$4&lt;&gt;"?",'Choix pédagogiques'!$C$5&lt;&gt;"?",AC841&lt;&gt;""),(AC841-'Choix pédagogiques'!$C$4)/('Choix pédagogiques'!$C$5-'Choix pédagogiques'!$C$4),"")</f>
        <v/>
      </c>
      <c r="AY841" s="49" t="str">
        <f>IF(AND('Choix pédagogiques'!$C$4&lt;&gt;"?",'Choix pédagogiques'!$C$5&lt;&gt;"?",AD841&lt;&gt;""),(AD841-'Choix pédagogiques'!$C$4)/('Choix pédagogiques'!$C$5-'Choix pédagogiques'!$C$4),"")</f>
        <v/>
      </c>
      <c r="AZ841" s="22" t="str">
        <f t="shared" si="560"/>
        <v/>
      </c>
      <c r="BA841" s="21" t="str">
        <f t="shared" si="561"/>
        <v>Apprenant 829</v>
      </c>
      <c r="BB841" s="49" t="str">
        <f t="shared" si="533"/>
        <v/>
      </c>
      <c r="BC841" s="49" t="str">
        <f t="shared" si="534"/>
        <v/>
      </c>
      <c r="BD841" s="49" t="str">
        <f t="shared" si="535"/>
        <v/>
      </c>
      <c r="BE841" s="22" t="str">
        <f t="shared" si="562"/>
        <v/>
      </c>
      <c r="BF841" s="21" t="str">
        <f t="shared" si="563"/>
        <v>Apprenant 829 ou 829'</v>
      </c>
      <c r="BG841" s="49" t="str">
        <f t="shared" si="536"/>
        <v/>
      </c>
      <c r="BH841" s="49" t="str">
        <f t="shared" si="537"/>
        <v/>
      </c>
      <c r="BI841" s="49" t="str">
        <f t="shared" si="538"/>
        <v/>
      </c>
      <c r="BJ841" s="22" t="str">
        <f t="shared" si="564"/>
        <v/>
      </c>
      <c r="BL841" s="21"/>
      <c r="BM841" s="21" t="str">
        <f>IF(OR(COUNT(B841:D1840)=0,AND('Choix pédagogiques'!$C$3&lt;&gt;1,'Choix pédagogiques'!$C$3&lt;&gt;2)),"",IF(AND(OR('Choix pédagogiques'!$C$3=1,'Choix pédagogiques'!$C$3=2),$B841&lt;&gt;"",$C841&lt;&gt;"",$D841&lt;&gt;""),1,0))</f>
        <v/>
      </c>
      <c r="BN841" s="21" t="str">
        <f>IF(OR(COUNT(G841:I1840)=0,AND('Choix pédagogiques'!$C$3&lt;&gt;1,'Choix pédagogiques'!$C$3&lt;&gt;2)),"",IF(AND(OR('Choix pédagogiques'!$C$3=1,'Choix pédagogiques'!$C$3=2),AND($G841&lt;&gt;"",$H841&lt;&gt;"",$I841&lt;&gt;"")),1,0))</f>
        <v/>
      </c>
      <c r="BO841" s="21" t="str">
        <f>IF(OR(COUNT(B841:D1840)=0,COUNT(G841:I1840)=0,'Choix pédagogiques'!C$3&lt;&gt;3),"",IF(AND('Choix pédagogiques'!$C$3=3,$B841&lt;&gt;"",$C841&lt;&gt;"",$D841&lt;&gt;"",$G841&lt;&gt;"",$H841&lt;&gt;"",$I841&lt;&gt;""),1,0))</f>
        <v/>
      </c>
      <c r="BR841" s="21">
        <v>943</v>
      </c>
      <c r="BS841" s="21">
        <v>1128</v>
      </c>
      <c r="BT841"/>
    </row>
    <row r="842" spans="1:72" s="23" customFormat="1" ht="18" customHeight="1" x14ac:dyDescent="0.3">
      <c r="A842" s="35" t="s">
        <v>832</v>
      </c>
      <c r="B842" s="37"/>
      <c r="C842" s="37"/>
      <c r="D842" s="37"/>
      <c r="E842" s="37"/>
      <c r="F842" s="35" t="s">
        <v>1840</v>
      </c>
      <c r="G842" s="37"/>
      <c r="H842" s="37"/>
      <c r="I842" s="37"/>
      <c r="J842" s="37"/>
      <c r="K842" s="21" t="str">
        <f t="shared" si="539"/>
        <v>Apprenant 830</v>
      </c>
      <c r="L842" s="22" t="str">
        <f t="shared" si="540"/>
        <v/>
      </c>
      <c r="M842" s="22" t="str">
        <f t="shared" si="541"/>
        <v/>
      </c>
      <c r="N842" s="22" t="str">
        <f t="shared" si="542"/>
        <v/>
      </c>
      <c r="O842" s="22" t="str">
        <f t="shared" si="543"/>
        <v/>
      </c>
      <c r="P842" s="21" t="str">
        <f t="shared" si="544"/>
        <v>Apprenant 830 ou 830'</v>
      </c>
      <c r="Q842" s="22" t="str">
        <f t="shared" si="545"/>
        <v/>
      </c>
      <c r="R842" s="22" t="str">
        <f t="shared" si="546"/>
        <v/>
      </c>
      <c r="S842" s="22" t="str">
        <f t="shared" si="547"/>
        <v/>
      </c>
      <c r="T842" s="22" t="str">
        <f t="shared" si="548"/>
        <v/>
      </c>
      <c r="V842" s="21" t="str">
        <f t="shared" si="549"/>
        <v>Apprenant 830</v>
      </c>
      <c r="W842" s="22" t="str">
        <f>IF(AND(OR('Choix pédagogiques'!$C$3=1,'Choix pédagogiques'!$C$3=2),$BM842=1),B842,IF(AND('Choix pédagogiques'!$C$3=3,$BO842=1),B842,""))</f>
        <v/>
      </c>
      <c r="X842" s="22" t="str">
        <f>IF(AND(OR('Choix pédagogiques'!$C$3=1,'Choix pédagogiques'!$C$3=2),$BM842=1),C842,IF(AND('Choix pédagogiques'!$C$3=3,$BO842=1),C842,""))</f>
        <v/>
      </c>
      <c r="Y842" s="22" t="str">
        <f>IF(AND(OR('Choix pédagogiques'!$C$3=1,'Choix pédagogiques'!$C$3=2),$BM842=1),D842,IF(AND('Choix pédagogiques'!$C$3=3,$BO842=1),D842,""))</f>
        <v/>
      </c>
      <c r="Z842" s="22" t="str">
        <f t="shared" si="550"/>
        <v/>
      </c>
      <c r="AA842" s="21" t="str">
        <f t="shared" si="551"/>
        <v>Apprenant 830 ou 830'</v>
      </c>
      <c r="AB842" s="22" t="str">
        <f>IF(AND(OR('Choix pédagogiques'!$C$3=1,'Choix pédagogiques'!$C$3=2),$BN842=1),G842,IF(AND('Choix pédagogiques'!$C$3=3,$BO842=1),G842,""))</f>
        <v/>
      </c>
      <c r="AC842" s="22" t="str">
        <f>IF(AND(OR('Choix pédagogiques'!$C$3=1,'Choix pédagogiques'!$C$3=2),$BN842=1),H842,IF(AND('Choix pédagogiques'!$C$3=3,$BO842=1),H842,""))</f>
        <v/>
      </c>
      <c r="AD842" s="22" t="str">
        <f>IF(AND(OR('Choix pédagogiques'!$C$3=1,'Choix pédagogiques'!$C$3=2),$BN842=1),I842,IF(AND('Choix pédagogiques'!$C$3=3,$BO842=1),I842,""))</f>
        <v/>
      </c>
      <c r="AE842" s="22" t="str">
        <f t="shared" si="552"/>
        <v/>
      </c>
      <c r="AF842" s="21" t="str">
        <f t="shared" si="553"/>
        <v>Apprenant 830</v>
      </c>
      <c r="AG842" s="22" t="str">
        <f t="shared" si="527"/>
        <v/>
      </c>
      <c r="AH842" s="22" t="str">
        <f t="shared" si="528"/>
        <v/>
      </c>
      <c r="AI842" s="22" t="str">
        <f t="shared" si="529"/>
        <v/>
      </c>
      <c r="AJ842" s="22" t="str">
        <f t="shared" si="554"/>
        <v/>
      </c>
      <c r="AK842" s="21" t="str">
        <f t="shared" si="555"/>
        <v>Apprenant 830 ou 830'</v>
      </c>
      <c r="AL842" s="22" t="str">
        <f t="shared" si="530"/>
        <v/>
      </c>
      <c r="AM842" s="22" t="str">
        <f t="shared" si="531"/>
        <v/>
      </c>
      <c r="AN842" s="22" t="str">
        <f t="shared" si="532"/>
        <v/>
      </c>
      <c r="AO842" s="22" t="str">
        <f t="shared" si="556"/>
        <v/>
      </c>
      <c r="AQ842" s="21" t="str">
        <f t="shared" si="557"/>
        <v>Apprenant 830</v>
      </c>
      <c r="AR842" s="49" t="str">
        <f>IF(AND('Choix pédagogiques'!$C$4&lt;&gt;"?",'Choix pédagogiques'!$C$5&lt;&gt;"?",W842&lt;&gt;""),(W842-'Choix pédagogiques'!$C$4)/('Choix pédagogiques'!$C$5-'Choix pédagogiques'!$C$4),"")</f>
        <v/>
      </c>
      <c r="AS842" s="49" t="str">
        <f>IF(AND('Choix pédagogiques'!$C$4&lt;&gt;"?",'Choix pédagogiques'!$C$5&lt;&gt;"?",X842&lt;&gt;""),(X842-'Choix pédagogiques'!$C$4)/('Choix pédagogiques'!$C$5-'Choix pédagogiques'!$C$4),"")</f>
        <v/>
      </c>
      <c r="AT842" s="49" t="str">
        <f>IF(AND('Choix pédagogiques'!$C$4&lt;&gt;"?",'Choix pédagogiques'!$C$5&lt;&gt;"?",Y842&lt;&gt;""),(Y842-'Choix pédagogiques'!$C$4)/('Choix pédagogiques'!$C$5-'Choix pédagogiques'!$C$4),"")</f>
        <v/>
      </c>
      <c r="AU842" s="22" t="str">
        <f t="shared" si="558"/>
        <v/>
      </c>
      <c r="AV842" s="21" t="str">
        <f t="shared" si="559"/>
        <v>Apprenant 830 ou 830'</v>
      </c>
      <c r="AW842" s="49" t="str">
        <f>IF(AND('Choix pédagogiques'!$C$4&lt;&gt;"?",'Choix pédagogiques'!$C$5&lt;&gt;"?",AB842&lt;&gt;""),(AB842-'Choix pédagogiques'!$C$4)/('Choix pédagogiques'!$C$5-'Choix pédagogiques'!$C$4),"")</f>
        <v/>
      </c>
      <c r="AX842" s="49" t="str">
        <f>IF(AND('Choix pédagogiques'!$C$4&lt;&gt;"?",'Choix pédagogiques'!$C$5&lt;&gt;"?",AC842&lt;&gt;""),(AC842-'Choix pédagogiques'!$C$4)/('Choix pédagogiques'!$C$5-'Choix pédagogiques'!$C$4),"")</f>
        <v/>
      </c>
      <c r="AY842" s="49" t="str">
        <f>IF(AND('Choix pédagogiques'!$C$4&lt;&gt;"?",'Choix pédagogiques'!$C$5&lt;&gt;"?",AD842&lt;&gt;""),(AD842-'Choix pédagogiques'!$C$4)/('Choix pédagogiques'!$C$5-'Choix pédagogiques'!$C$4),"")</f>
        <v/>
      </c>
      <c r="AZ842" s="22" t="str">
        <f t="shared" si="560"/>
        <v/>
      </c>
      <c r="BA842" s="21" t="str">
        <f t="shared" si="561"/>
        <v>Apprenant 830</v>
      </c>
      <c r="BB842" s="49" t="str">
        <f t="shared" si="533"/>
        <v/>
      </c>
      <c r="BC842" s="49" t="str">
        <f t="shared" si="534"/>
        <v/>
      </c>
      <c r="BD842" s="49" t="str">
        <f t="shared" si="535"/>
        <v/>
      </c>
      <c r="BE842" s="22" t="str">
        <f t="shared" si="562"/>
        <v/>
      </c>
      <c r="BF842" s="21" t="str">
        <f t="shared" si="563"/>
        <v>Apprenant 830 ou 830'</v>
      </c>
      <c r="BG842" s="49" t="str">
        <f t="shared" si="536"/>
        <v/>
      </c>
      <c r="BH842" s="49" t="str">
        <f t="shared" si="537"/>
        <v/>
      </c>
      <c r="BI842" s="49" t="str">
        <f t="shared" si="538"/>
        <v/>
      </c>
      <c r="BJ842" s="22" t="str">
        <f t="shared" si="564"/>
        <v/>
      </c>
      <c r="BL842" s="21"/>
      <c r="BM842" s="21" t="str">
        <f>IF(OR(COUNT(B842:D1841)=0,AND('Choix pédagogiques'!$C$3&lt;&gt;1,'Choix pédagogiques'!$C$3&lt;&gt;2)),"",IF(AND(OR('Choix pédagogiques'!$C$3=1,'Choix pédagogiques'!$C$3=2),$B842&lt;&gt;"",$C842&lt;&gt;"",$D842&lt;&gt;""),1,0))</f>
        <v/>
      </c>
      <c r="BN842" s="21" t="str">
        <f>IF(OR(COUNT(G842:I1841)=0,AND('Choix pédagogiques'!$C$3&lt;&gt;1,'Choix pédagogiques'!$C$3&lt;&gt;2)),"",IF(AND(OR('Choix pédagogiques'!$C$3=1,'Choix pédagogiques'!$C$3=2),AND($G842&lt;&gt;"",$H842&lt;&gt;"",$I842&lt;&gt;"")),1,0))</f>
        <v/>
      </c>
      <c r="BO842" s="21" t="str">
        <f>IF(OR(COUNT(B842:D1841)=0,COUNT(G842:I1841)=0,'Choix pédagogiques'!C$3&lt;&gt;3),"",IF(AND('Choix pédagogiques'!$C$3=3,$B842&lt;&gt;"",$C842&lt;&gt;"",$D842&lt;&gt;"",$G842&lt;&gt;"",$H842&lt;&gt;"",$I842&lt;&gt;""),1,0))</f>
        <v/>
      </c>
      <c r="BR842" s="21">
        <v>259</v>
      </c>
      <c r="BS842" s="21">
        <v>1325</v>
      </c>
      <c r="BT842"/>
    </row>
    <row r="843" spans="1:72" s="23" customFormat="1" ht="18" customHeight="1" x14ac:dyDescent="0.3">
      <c r="A843" s="35" t="s">
        <v>833</v>
      </c>
      <c r="B843" s="37"/>
      <c r="C843" s="37"/>
      <c r="D843" s="37"/>
      <c r="E843" s="37"/>
      <c r="F843" s="35" t="s">
        <v>1841</v>
      </c>
      <c r="G843" s="37"/>
      <c r="H843" s="37"/>
      <c r="I843" s="37"/>
      <c r="J843" s="37"/>
      <c r="K843" s="21" t="str">
        <f t="shared" si="539"/>
        <v>Apprenant 831</v>
      </c>
      <c r="L843" s="22" t="str">
        <f t="shared" si="540"/>
        <v/>
      </c>
      <c r="M843" s="22" t="str">
        <f t="shared" si="541"/>
        <v/>
      </c>
      <c r="N843" s="22" t="str">
        <f t="shared" si="542"/>
        <v/>
      </c>
      <c r="O843" s="22" t="str">
        <f t="shared" si="543"/>
        <v/>
      </c>
      <c r="P843" s="21" t="str">
        <f t="shared" si="544"/>
        <v>Apprenant 831 ou 831'</v>
      </c>
      <c r="Q843" s="22" t="str">
        <f t="shared" si="545"/>
        <v/>
      </c>
      <c r="R843" s="22" t="str">
        <f t="shared" si="546"/>
        <v/>
      </c>
      <c r="S843" s="22" t="str">
        <f t="shared" si="547"/>
        <v/>
      </c>
      <c r="T843" s="22" t="str">
        <f t="shared" si="548"/>
        <v/>
      </c>
      <c r="V843" s="21" t="str">
        <f t="shared" si="549"/>
        <v>Apprenant 831</v>
      </c>
      <c r="W843" s="22" t="str">
        <f>IF(AND(OR('Choix pédagogiques'!$C$3=1,'Choix pédagogiques'!$C$3=2),$BM843=1),B843,IF(AND('Choix pédagogiques'!$C$3=3,$BO843=1),B843,""))</f>
        <v/>
      </c>
      <c r="X843" s="22" t="str">
        <f>IF(AND(OR('Choix pédagogiques'!$C$3=1,'Choix pédagogiques'!$C$3=2),$BM843=1),C843,IF(AND('Choix pédagogiques'!$C$3=3,$BO843=1),C843,""))</f>
        <v/>
      </c>
      <c r="Y843" s="22" t="str">
        <f>IF(AND(OR('Choix pédagogiques'!$C$3=1,'Choix pédagogiques'!$C$3=2),$BM843=1),D843,IF(AND('Choix pédagogiques'!$C$3=3,$BO843=1),D843,""))</f>
        <v/>
      </c>
      <c r="Z843" s="22" t="str">
        <f t="shared" si="550"/>
        <v/>
      </c>
      <c r="AA843" s="21" t="str">
        <f t="shared" si="551"/>
        <v>Apprenant 831 ou 831'</v>
      </c>
      <c r="AB843" s="22" t="str">
        <f>IF(AND(OR('Choix pédagogiques'!$C$3=1,'Choix pédagogiques'!$C$3=2),$BN843=1),G843,IF(AND('Choix pédagogiques'!$C$3=3,$BO843=1),G843,""))</f>
        <v/>
      </c>
      <c r="AC843" s="22" t="str">
        <f>IF(AND(OR('Choix pédagogiques'!$C$3=1,'Choix pédagogiques'!$C$3=2),$BN843=1),H843,IF(AND('Choix pédagogiques'!$C$3=3,$BO843=1),H843,""))</f>
        <v/>
      </c>
      <c r="AD843" s="22" t="str">
        <f>IF(AND(OR('Choix pédagogiques'!$C$3=1,'Choix pédagogiques'!$C$3=2),$BN843=1),I843,IF(AND('Choix pédagogiques'!$C$3=3,$BO843=1),I843,""))</f>
        <v/>
      </c>
      <c r="AE843" s="22" t="str">
        <f t="shared" si="552"/>
        <v/>
      </c>
      <c r="AF843" s="21" t="str">
        <f t="shared" si="553"/>
        <v>Apprenant 831</v>
      </c>
      <c r="AG843" s="22" t="str">
        <f t="shared" si="527"/>
        <v/>
      </c>
      <c r="AH843" s="22" t="str">
        <f t="shared" si="528"/>
        <v/>
      </c>
      <c r="AI843" s="22" t="str">
        <f t="shared" si="529"/>
        <v/>
      </c>
      <c r="AJ843" s="22" t="str">
        <f t="shared" si="554"/>
        <v/>
      </c>
      <c r="AK843" s="21" t="str">
        <f t="shared" si="555"/>
        <v>Apprenant 831 ou 831'</v>
      </c>
      <c r="AL843" s="22" t="str">
        <f t="shared" si="530"/>
        <v/>
      </c>
      <c r="AM843" s="22" t="str">
        <f t="shared" si="531"/>
        <v/>
      </c>
      <c r="AN843" s="22" t="str">
        <f t="shared" si="532"/>
        <v/>
      </c>
      <c r="AO843" s="22" t="str">
        <f t="shared" si="556"/>
        <v/>
      </c>
      <c r="AQ843" s="21" t="str">
        <f t="shared" si="557"/>
        <v>Apprenant 831</v>
      </c>
      <c r="AR843" s="49" t="str">
        <f>IF(AND('Choix pédagogiques'!$C$4&lt;&gt;"?",'Choix pédagogiques'!$C$5&lt;&gt;"?",W843&lt;&gt;""),(W843-'Choix pédagogiques'!$C$4)/('Choix pédagogiques'!$C$5-'Choix pédagogiques'!$C$4),"")</f>
        <v/>
      </c>
      <c r="AS843" s="49" t="str">
        <f>IF(AND('Choix pédagogiques'!$C$4&lt;&gt;"?",'Choix pédagogiques'!$C$5&lt;&gt;"?",X843&lt;&gt;""),(X843-'Choix pédagogiques'!$C$4)/('Choix pédagogiques'!$C$5-'Choix pédagogiques'!$C$4),"")</f>
        <v/>
      </c>
      <c r="AT843" s="49" t="str">
        <f>IF(AND('Choix pédagogiques'!$C$4&lt;&gt;"?",'Choix pédagogiques'!$C$5&lt;&gt;"?",Y843&lt;&gt;""),(Y843-'Choix pédagogiques'!$C$4)/('Choix pédagogiques'!$C$5-'Choix pédagogiques'!$C$4),"")</f>
        <v/>
      </c>
      <c r="AU843" s="22" t="str">
        <f t="shared" si="558"/>
        <v/>
      </c>
      <c r="AV843" s="21" t="str">
        <f t="shared" si="559"/>
        <v>Apprenant 831 ou 831'</v>
      </c>
      <c r="AW843" s="49" t="str">
        <f>IF(AND('Choix pédagogiques'!$C$4&lt;&gt;"?",'Choix pédagogiques'!$C$5&lt;&gt;"?",AB843&lt;&gt;""),(AB843-'Choix pédagogiques'!$C$4)/('Choix pédagogiques'!$C$5-'Choix pédagogiques'!$C$4),"")</f>
        <v/>
      </c>
      <c r="AX843" s="49" t="str">
        <f>IF(AND('Choix pédagogiques'!$C$4&lt;&gt;"?",'Choix pédagogiques'!$C$5&lt;&gt;"?",AC843&lt;&gt;""),(AC843-'Choix pédagogiques'!$C$4)/('Choix pédagogiques'!$C$5-'Choix pédagogiques'!$C$4),"")</f>
        <v/>
      </c>
      <c r="AY843" s="49" t="str">
        <f>IF(AND('Choix pédagogiques'!$C$4&lt;&gt;"?",'Choix pédagogiques'!$C$5&lt;&gt;"?",AD843&lt;&gt;""),(AD843-'Choix pédagogiques'!$C$4)/('Choix pédagogiques'!$C$5-'Choix pédagogiques'!$C$4),"")</f>
        <v/>
      </c>
      <c r="AZ843" s="22" t="str">
        <f t="shared" si="560"/>
        <v/>
      </c>
      <c r="BA843" s="21" t="str">
        <f t="shared" si="561"/>
        <v>Apprenant 831</v>
      </c>
      <c r="BB843" s="49" t="str">
        <f t="shared" si="533"/>
        <v/>
      </c>
      <c r="BC843" s="49" t="str">
        <f t="shared" si="534"/>
        <v/>
      </c>
      <c r="BD843" s="49" t="str">
        <f t="shared" si="535"/>
        <v/>
      </c>
      <c r="BE843" s="22" t="str">
        <f t="shared" si="562"/>
        <v/>
      </c>
      <c r="BF843" s="21" t="str">
        <f t="shared" si="563"/>
        <v>Apprenant 831 ou 831'</v>
      </c>
      <c r="BG843" s="49" t="str">
        <f t="shared" si="536"/>
        <v/>
      </c>
      <c r="BH843" s="49" t="str">
        <f t="shared" si="537"/>
        <v/>
      </c>
      <c r="BI843" s="49" t="str">
        <f t="shared" si="538"/>
        <v/>
      </c>
      <c r="BJ843" s="22" t="str">
        <f t="shared" si="564"/>
        <v/>
      </c>
      <c r="BL843" s="21"/>
      <c r="BM843" s="21" t="str">
        <f>IF(OR(COUNT(B843:D1842)=0,AND('Choix pédagogiques'!$C$3&lt;&gt;1,'Choix pédagogiques'!$C$3&lt;&gt;2)),"",IF(AND(OR('Choix pédagogiques'!$C$3=1,'Choix pédagogiques'!$C$3=2),$B843&lt;&gt;"",$C843&lt;&gt;"",$D843&lt;&gt;""),1,0))</f>
        <v/>
      </c>
      <c r="BN843" s="21" t="str">
        <f>IF(OR(COUNT(G843:I1842)=0,AND('Choix pédagogiques'!$C$3&lt;&gt;1,'Choix pédagogiques'!$C$3&lt;&gt;2)),"",IF(AND(OR('Choix pédagogiques'!$C$3=1,'Choix pédagogiques'!$C$3=2),AND($G843&lt;&gt;"",$H843&lt;&gt;"",$I843&lt;&gt;"")),1,0))</f>
        <v/>
      </c>
      <c r="BO843" s="21" t="str">
        <f>IF(OR(COUNT(B843:D1842)=0,COUNT(G843:I1842)=0,'Choix pédagogiques'!C$3&lt;&gt;3),"",IF(AND('Choix pédagogiques'!$C$3=3,$B843&lt;&gt;"",$C843&lt;&gt;"",$D843&lt;&gt;"",$G843&lt;&gt;"",$H843&lt;&gt;"",$I843&lt;&gt;""),1,0))</f>
        <v/>
      </c>
      <c r="BR843" s="21">
        <v>226</v>
      </c>
      <c r="BS843" s="21">
        <v>1370</v>
      </c>
      <c r="BT843"/>
    </row>
    <row r="844" spans="1:72" s="23" customFormat="1" ht="18" customHeight="1" x14ac:dyDescent="0.3">
      <c r="A844" s="35" t="s">
        <v>834</v>
      </c>
      <c r="B844" s="37"/>
      <c r="C844" s="37"/>
      <c r="D844" s="37"/>
      <c r="E844" s="37"/>
      <c r="F844" s="35" t="s">
        <v>1842</v>
      </c>
      <c r="G844" s="37"/>
      <c r="H844" s="37"/>
      <c r="I844" s="37"/>
      <c r="J844" s="37"/>
      <c r="K844" s="21" t="str">
        <f t="shared" si="539"/>
        <v>Apprenant 832</v>
      </c>
      <c r="L844" s="22" t="str">
        <f t="shared" si="540"/>
        <v/>
      </c>
      <c r="M844" s="22" t="str">
        <f t="shared" si="541"/>
        <v/>
      </c>
      <c r="N844" s="22" t="str">
        <f t="shared" si="542"/>
        <v/>
      </c>
      <c r="O844" s="22" t="str">
        <f t="shared" si="543"/>
        <v/>
      </c>
      <c r="P844" s="21" t="str">
        <f t="shared" si="544"/>
        <v>Apprenant 832 ou 832'</v>
      </c>
      <c r="Q844" s="22" t="str">
        <f t="shared" si="545"/>
        <v/>
      </c>
      <c r="R844" s="22" t="str">
        <f t="shared" si="546"/>
        <v/>
      </c>
      <c r="S844" s="22" t="str">
        <f t="shared" si="547"/>
        <v/>
      </c>
      <c r="T844" s="22" t="str">
        <f t="shared" si="548"/>
        <v/>
      </c>
      <c r="V844" s="21" t="str">
        <f t="shared" si="549"/>
        <v>Apprenant 832</v>
      </c>
      <c r="W844" s="22" t="str">
        <f>IF(AND(OR('Choix pédagogiques'!$C$3=1,'Choix pédagogiques'!$C$3=2),$BM844=1),B844,IF(AND('Choix pédagogiques'!$C$3=3,$BO844=1),B844,""))</f>
        <v/>
      </c>
      <c r="X844" s="22" t="str">
        <f>IF(AND(OR('Choix pédagogiques'!$C$3=1,'Choix pédagogiques'!$C$3=2),$BM844=1),C844,IF(AND('Choix pédagogiques'!$C$3=3,$BO844=1),C844,""))</f>
        <v/>
      </c>
      <c r="Y844" s="22" t="str">
        <f>IF(AND(OR('Choix pédagogiques'!$C$3=1,'Choix pédagogiques'!$C$3=2),$BM844=1),D844,IF(AND('Choix pédagogiques'!$C$3=3,$BO844=1),D844,""))</f>
        <v/>
      </c>
      <c r="Z844" s="22" t="str">
        <f t="shared" si="550"/>
        <v/>
      </c>
      <c r="AA844" s="21" t="str">
        <f t="shared" si="551"/>
        <v>Apprenant 832 ou 832'</v>
      </c>
      <c r="AB844" s="22" t="str">
        <f>IF(AND(OR('Choix pédagogiques'!$C$3=1,'Choix pédagogiques'!$C$3=2),$BN844=1),G844,IF(AND('Choix pédagogiques'!$C$3=3,$BO844=1),G844,""))</f>
        <v/>
      </c>
      <c r="AC844" s="22" t="str">
        <f>IF(AND(OR('Choix pédagogiques'!$C$3=1,'Choix pédagogiques'!$C$3=2),$BN844=1),H844,IF(AND('Choix pédagogiques'!$C$3=3,$BO844=1),H844,""))</f>
        <v/>
      </c>
      <c r="AD844" s="22" t="str">
        <f>IF(AND(OR('Choix pédagogiques'!$C$3=1,'Choix pédagogiques'!$C$3=2),$BN844=1),I844,IF(AND('Choix pédagogiques'!$C$3=3,$BO844=1),I844,""))</f>
        <v/>
      </c>
      <c r="AE844" s="22" t="str">
        <f t="shared" si="552"/>
        <v/>
      </c>
      <c r="AF844" s="21" t="str">
        <f t="shared" si="553"/>
        <v>Apprenant 832</v>
      </c>
      <c r="AG844" s="22" t="str">
        <f t="shared" si="527"/>
        <v/>
      </c>
      <c r="AH844" s="22" t="str">
        <f t="shared" si="528"/>
        <v/>
      </c>
      <c r="AI844" s="22" t="str">
        <f t="shared" si="529"/>
        <v/>
      </c>
      <c r="AJ844" s="22" t="str">
        <f t="shared" si="554"/>
        <v/>
      </c>
      <c r="AK844" s="21" t="str">
        <f t="shared" si="555"/>
        <v>Apprenant 832 ou 832'</v>
      </c>
      <c r="AL844" s="22" t="str">
        <f t="shared" si="530"/>
        <v/>
      </c>
      <c r="AM844" s="22" t="str">
        <f t="shared" si="531"/>
        <v/>
      </c>
      <c r="AN844" s="22" t="str">
        <f t="shared" si="532"/>
        <v/>
      </c>
      <c r="AO844" s="22" t="str">
        <f t="shared" si="556"/>
        <v/>
      </c>
      <c r="AQ844" s="21" t="str">
        <f t="shared" si="557"/>
        <v>Apprenant 832</v>
      </c>
      <c r="AR844" s="49" t="str">
        <f>IF(AND('Choix pédagogiques'!$C$4&lt;&gt;"?",'Choix pédagogiques'!$C$5&lt;&gt;"?",W844&lt;&gt;""),(W844-'Choix pédagogiques'!$C$4)/('Choix pédagogiques'!$C$5-'Choix pédagogiques'!$C$4),"")</f>
        <v/>
      </c>
      <c r="AS844" s="49" t="str">
        <f>IF(AND('Choix pédagogiques'!$C$4&lt;&gt;"?",'Choix pédagogiques'!$C$5&lt;&gt;"?",X844&lt;&gt;""),(X844-'Choix pédagogiques'!$C$4)/('Choix pédagogiques'!$C$5-'Choix pédagogiques'!$C$4),"")</f>
        <v/>
      </c>
      <c r="AT844" s="49" t="str">
        <f>IF(AND('Choix pédagogiques'!$C$4&lt;&gt;"?",'Choix pédagogiques'!$C$5&lt;&gt;"?",Y844&lt;&gt;""),(Y844-'Choix pédagogiques'!$C$4)/('Choix pédagogiques'!$C$5-'Choix pédagogiques'!$C$4),"")</f>
        <v/>
      </c>
      <c r="AU844" s="22" t="str">
        <f t="shared" si="558"/>
        <v/>
      </c>
      <c r="AV844" s="21" t="str">
        <f t="shared" si="559"/>
        <v>Apprenant 832 ou 832'</v>
      </c>
      <c r="AW844" s="49" t="str">
        <f>IF(AND('Choix pédagogiques'!$C$4&lt;&gt;"?",'Choix pédagogiques'!$C$5&lt;&gt;"?",AB844&lt;&gt;""),(AB844-'Choix pédagogiques'!$C$4)/('Choix pédagogiques'!$C$5-'Choix pédagogiques'!$C$4),"")</f>
        <v/>
      </c>
      <c r="AX844" s="49" t="str">
        <f>IF(AND('Choix pédagogiques'!$C$4&lt;&gt;"?",'Choix pédagogiques'!$C$5&lt;&gt;"?",AC844&lt;&gt;""),(AC844-'Choix pédagogiques'!$C$4)/('Choix pédagogiques'!$C$5-'Choix pédagogiques'!$C$4),"")</f>
        <v/>
      </c>
      <c r="AY844" s="49" t="str">
        <f>IF(AND('Choix pédagogiques'!$C$4&lt;&gt;"?",'Choix pédagogiques'!$C$5&lt;&gt;"?",AD844&lt;&gt;""),(AD844-'Choix pédagogiques'!$C$4)/('Choix pédagogiques'!$C$5-'Choix pédagogiques'!$C$4),"")</f>
        <v/>
      </c>
      <c r="AZ844" s="22" t="str">
        <f t="shared" si="560"/>
        <v/>
      </c>
      <c r="BA844" s="21" t="str">
        <f t="shared" si="561"/>
        <v>Apprenant 832</v>
      </c>
      <c r="BB844" s="49" t="str">
        <f t="shared" si="533"/>
        <v/>
      </c>
      <c r="BC844" s="49" t="str">
        <f t="shared" si="534"/>
        <v/>
      </c>
      <c r="BD844" s="49" t="str">
        <f t="shared" si="535"/>
        <v/>
      </c>
      <c r="BE844" s="22" t="str">
        <f t="shared" si="562"/>
        <v/>
      </c>
      <c r="BF844" s="21" t="str">
        <f t="shared" si="563"/>
        <v>Apprenant 832 ou 832'</v>
      </c>
      <c r="BG844" s="49" t="str">
        <f t="shared" si="536"/>
        <v/>
      </c>
      <c r="BH844" s="49" t="str">
        <f t="shared" si="537"/>
        <v/>
      </c>
      <c r="BI844" s="49" t="str">
        <f t="shared" si="538"/>
        <v/>
      </c>
      <c r="BJ844" s="22" t="str">
        <f t="shared" si="564"/>
        <v/>
      </c>
      <c r="BL844" s="21"/>
      <c r="BM844" s="21" t="str">
        <f>IF(OR(COUNT(B844:D1843)=0,AND('Choix pédagogiques'!$C$3&lt;&gt;1,'Choix pédagogiques'!$C$3&lt;&gt;2)),"",IF(AND(OR('Choix pédagogiques'!$C$3=1,'Choix pédagogiques'!$C$3=2),$B844&lt;&gt;"",$C844&lt;&gt;"",$D844&lt;&gt;""),1,0))</f>
        <v/>
      </c>
      <c r="BN844" s="21" t="str">
        <f>IF(OR(COUNT(G844:I1843)=0,AND('Choix pédagogiques'!$C$3&lt;&gt;1,'Choix pédagogiques'!$C$3&lt;&gt;2)),"",IF(AND(OR('Choix pédagogiques'!$C$3=1,'Choix pédagogiques'!$C$3=2),AND($G844&lt;&gt;"",$H844&lt;&gt;"",$I844&lt;&gt;"")),1,0))</f>
        <v/>
      </c>
      <c r="BO844" s="21" t="str">
        <f>IF(OR(COUNT(B844:D1843)=0,COUNT(G844:I1843)=0,'Choix pédagogiques'!C$3&lt;&gt;3),"",IF(AND('Choix pédagogiques'!$C$3=3,$B844&lt;&gt;"",$C844&lt;&gt;"",$D844&lt;&gt;"",$G844&lt;&gt;"",$H844&lt;&gt;"",$I844&lt;&gt;""),1,0))</f>
        <v/>
      </c>
      <c r="BR844" s="21">
        <v>910</v>
      </c>
      <c r="BS844" s="21">
        <v>1107</v>
      </c>
      <c r="BT844"/>
    </row>
    <row r="845" spans="1:72" s="23" customFormat="1" ht="18" customHeight="1" x14ac:dyDescent="0.3">
      <c r="A845" s="35" t="s">
        <v>835</v>
      </c>
      <c r="B845" s="37"/>
      <c r="C845" s="37"/>
      <c r="D845" s="37"/>
      <c r="E845" s="37"/>
      <c r="F845" s="35" t="s">
        <v>1843</v>
      </c>
      <c r="G845" s="37"/>
      <c r="H845" s="37"/>
      <c r="I845" s="37"/>
      <c r="J845" s="37"/>
      <c r="K845" s="21" t="str">
        <f t="shared" si="539"/>
        <v>Apprenant 833</v>
      </c>
      <c r="L845" s="22" t="str">
        <f t="shared" si="540"/>
        <v/>
      </c>
      <c r="M845" s="22" t="str">
        <f t="shared" si="541"/>
        <v/>
      </c>
      <c r="N845" s="22" t="str">
        <f t="shared" si="542"/>
        <v/>
      </c>
      <c r="O845" s="22" t="str">
        <f t="shared" si="543"/>
        <v/>
      </c>
      <c r="P845" s="21" t="str">
        <f t="shared" si="544"/>
        <v>Apprenant 833 ou 833'</v>
      </c>
      <c r="Q845" s="22" t="str">
        <f t="shared" si="545"/>
        <v/>
      </c>
      <c r="R845" s="22" t="str">
        <f t="shared" si="546"/>
        <v/>
      </c>
      <c r="S845" s="22" t="str">
        <f t="shared" si="547"/>
        <v/>
      </c>
      <c r="T845" s="22" t="str">
        <f t="shared" si="548"/>
        <v/>
      </c>
      <c r="V845" s="21" t="str">
        <f t="shared" si="549"/>
        <v>Apprenant 833</v>
      </c>
      <c r="W845" s="22" t="str">
        <f>IF(AND(OR('Choix pédagogiques'!$C$3=1,'Choix pédagogiques'!$C$3=2),$BM845=1),B845,IF(AND('Choix pédagogiques'!$C$3=3,$BO845=1),B845,""))</f>
        <v/>
      </c>
      <c r="X845" s="22" t="str">
        <f>IF(AND(OR('Choix pédagogiques'!$C$3=1,'Choix pédagogiques'!$C$3=2),$BM845=1),C845,IF(AND('Choix pédagogiques'!$C$3=3,$BO845=1),C845,""))</f>
        <v/>
      </c>
      <c r="Y845" s="22" t="str">
        <f>IF(AND(OR('Choix pédagogiques'!$C$3=1,'Choix pédagogiques'!$C$3=2),$BM845=1),D845,IF(AND('Choix pédagogiques'!$C$3=3,$BO845=1),D845,""))</f>
        <v/>
      </c>
      <c r="Z845" s="22" t="str">
        <f t="shared" si="550"/>
        <v/>
      </c>
      <c r="AA845" s="21" t="str">
        <f t="shared" si="551"/>
        <v>Apprenant 833 ou 833'</v>
      </c>
      <c r="AB845" s="22" t="str">
        <f>IF(AND(OR('Choix pédagogiques'!$C$3=1,'Choix pédagogiques'!$C$3=2),$BN845=1),G845,IF(AND('Choix pédagogiques'!$C$3=3,$BO845=1),G845,""))</f>
        <v/>
      </c>
      <c r="AC845" s="22" t="str">
        <f>IF(AND(OR('Choix pédagogiques'!$C$3=1,'Choix pédagogiques'!$C$3=2),$BN845=1),H845,IF(AND('Choix pédagogiques'!$C$3=3,$BO845=1),H845,""))</f>
        <v/>
      </c>
      <c r="AD845" s="22" t="str">
        <f>IF(AND(OR('Choix pédagogiques'!$C$3=1,'Choix pédagogiques'!$C$3=2),$BN845=1),I845,IF(AND('Choix pédagogiques'!$C$3=3,$BO845=1),I845,""))</f>
        <v/>
      </c>
      <c r="AE845" s="22" t="str">
        <f t="shared" si="552"/>
        <v/>
      </c>
      <c r="AF845" s="21" t="str">
        <f t="shared" si="553"/>
        <v>Apprenant 833</v>
      </c>
      <c r="AG845" s="22" t="str">
        <f t="shared" ref="AG845:AG908" si="565">IF(AND($W845&lt;&gt;"",$X845&lt;&gt;""),$X845-$W845,"")</f>
        <v/>
      </c>
      <c r="AH845" s="22" t="str">
        <f t="shared" ref="AH845:AH908" si="566">IF(AND($W845&lt;&gt;"",$Y845&lt;&gt;""),$Y845-$W845,"")</f>
        <v/>
      </c>
      <c r="AI845" s="22" t="str">
        <f t="shared" ref="AI845:AI908" si="567">IF(AND($X845&lt;&gt;"",$Y845&lt;&gt;""),$Y845-$X845,"")</f>
        <v/>
      </c>
      <c r="AJ845" s="22" t="str">
        <f t="shared" si="554"/>
        <v/>
      </c>
      <c r="AK845" s="21" t="str">
        <f t="shared" si="555"/>
        <v>Apprenant 833 ou 833'</v>
      </c>
      <c r="AL845" s="22" t="str">
        <f t="shared" ref="AL845:AL908" si="568">IF(AND($AB845&lt;&gt;"",$AC845&lt;&gt;""),$AC845-$AB845,"")</f>
        <v/>
      </c>
      <c r="AM845" s="22" t="str">
        <f t="shared" ref="AM845:AM908" si="569">IF(AND($AB845&lt;&gt;"",$AD845&lt;&gt;""),$AD845-$AB845,"")</f>
        <v/>
      </c>
      <c r="AN845" s="22" t="str">
        <f t="shared" ref="AN845:AN908" si="570">IF(AND($AC845&lt;&gt;"",$AD845&lt;&gt;""),$AD845-$AC845,"")</f>
        <v/>
      </c>
      <c r="AO845" s="22" t="str">
        <f t="shared" si="556"/>
        <v/>
      </c>
      <c r="AQ845" s="21" t="str">
        <f t="shared" si="557"/>
        <v>Apprenant 833</v>
      </c>
      <c r="AR845" s="49" t="str">
        <f>IF(AND('Choix pédagogiques'!$C$4&lt;&gt;"?",'Choix pédagogiques'!$C$5&lt;&gt;"?",W845&lt;&gt;""),(W845-'Choix pédagogiques'!$C$4)/('Choix pédagogiques'!$C$5-'Choix pédagogiques'!$C$4),"")</f>
        <v/>
      </c>
      <c r="AS845" s="49" t="str">
        <f>IF(AND('Choix pédagogiques'!$C$4&lt;&gt;"?",'Choix pédagogiques'!$C$5&lt;&gt;"?",X845&lt;&gt;""),(X845-'Choix pédagogiques'!$C$4)/('Choix pédagogiques'!$C$5-'Choix pédagogiques'!$C$4),"")</f>
        <v/>
      </c>
      <c r="AT845" s="49" t="str">
        <f>IF(AND('Choix pédagogiques'!$C$4&lt;&gt;"?",'Choix pédagogiques'!$C$5&lt;&gt;"?",Y845&lt;&gt;""),(Y845-'Choix pédagogiques'!$C$4)/('Choix pédagogiques'!$C$5-'Choix pédagogiques'!$C$4),"")</f>
        <v/>
      </c>
      <c r="AU845" s="22" t="str">
        <f t="shared" si="558"/>
        <v/>
      </c>
      <c r="AV845" s="21" t="str">
        <f t="shared" si="559"/>
        <v>Apprenant 833 ou 833'</v>
      </c>
      <c r="AW845" s="49" t="str">
        <f>IF(AND('Choix pédagogiques'!$C$4&lt;&gt;"?",'Choix pédagogiques'!$C$5&lt;&gt;"?",AB845&lt;&gt;""),(AB845-'Choix pédagogiques'!$C$4)/('Choix pédagogiques'!$C$5-'Choix pédagogiques'!$C$4),"")</f>
        <v/>
      </c>
      <c r="AX845" s="49" t="str">
        <f>IF(AND('Choix pédagogiques'!$C$4&lt;&gt;"?",'Choix pédagogiques'!$C$5&lt;&gt;"?",AC845&lt;&gt;""),(AC845-'Choix pédagogiques'!$C$4)/('Choix pédagogiques'!$C$5-'Choix pédagogiques'!$C$4),"")</f>
        <v/>
      </c>
      <c r="AY845" s="49" t="str">
        <f>IF(AND('Choix pédagogiques'!$C$4&lt;&gt;"?",'Choix pédagogiques'!$C$5&lt;&gt;"?",AD845&lt;&gt;""),(AD845-'Choix pédagogiques'!$C$4)/('Choix pédagogiques'!$C$5-'Choix pédagogiques'!$C$4),"")</f>
        <v/>
      </c>
      <c r="AZ845" s="22" t="str">
        <f t="shared" si="560"/>
        <v/>
      </c>
      <c r="BA845" s="21" t="str">
        <f t="shared" si="561"/>
        <v>Apprenant 833</v>
      </c>
      <c r="BB845" s="49" t="str">
        <f t="shared" ref="BB845:BB908" si="571">IF(AND($AR845&lt;&gt;"",$AS845&lt;&gt;""),$AS845-$AR845,"")</f>
        <v/>
      </c>
      <c r="BC845" s="49" t="str">
        <f t="shared" ref="BC845:BC908" si="572">IF(AND($AR845&lt;&gt;"",$AT845&lt;&gt;""),$AT845-$AR845,"")</f>
        <v/>
      </c>
      <c r="BD845" s="49" t="str">
        <f t="shared" ref="BD845:BD908" si="573">IF(AND($AS845&lt;&gt;"",$AT845&lt;&gt;""),$AT845-$AS845,"")</f>
        <v/>
      </c>
      <c r="BE845" s="22" t="str">
        <f t="shared" si="562"/>
        <v/>
      </c>
      <c r="BF845" s="21" t="str">
        <f t="shared" si="563"/>
        <v>Apprenant 833 ou 833'</v>
      </c>
      <c r="BG845" s="49" t="str">
        <f t="shared" ref="BG845:BG908" si="574">IF(AND($AW845&lt;&gt;"",$AX845&lt;&gt;""),$AX845-$AW845,"")</f>
        <v/>
      </c>
      <c r="BH845" s="49" t="str">
        <f t="shared" ref="BH845:BH908" si="575">IF(AND($AW845&lt;&gt;"",$AY845&lt;&gt;""),$AY845-$AW845,"")</f>
        <v/>
      </c>
      <c r="BI845" s="49" t="str">
        <f t="shared" ref="BI845:BI908" si="576">IF(AND($AX845&lt;&gt;"",$AY845&lt;&gt;""),$AY845-$AX845,"")</f>
        <v/>
      </c>
      <c r="BJ845" s="22" t="str">
        <f t="shared" si="564"/>
        <v/>
      </c>
      <c r="BL845" s="21"/>
      <c r="BM845" s="21" t="str">
        <f>IF(OR(COUNT(B845:D1844)=0,AND('Choix pédagogiques'!$C$3&lt;&gt;1,'Choix pédagogiques'!$C$3&lt;&gt;2)),"",IF(AND(OR('Choix pédagogiques'!$C$3=1,'Choix pédagogiques'!$C$3=2),$B845&lt;&gt;"",$C845&lt;&gt;"",$D845&lt;&gt;""),1,0))</f>
        <v/>
      </c>
      <c r="BN845" s="21" t="str">
        <f>IF(OR(COUNT(G845:I1844)=0,AND('Choix pédagogiques'!$C$3&lt;&gt;1,'Choix pédagogiques'!$C$3&lt;&gt;2)),"",IF(AND(OR('Choix pédagogiques'!$C$3=1,'Choix pédagogiques'!$C$3=2),AND($G845&lt;&gt;"",$H845&lt;&gt;"",$I845&lt;&gt;"")),1,0))</f>
        <v/>
      </c>
      <c r="BO845" s="21" t="str">
        <f>IF(OR(COUNT(B845:D1844)=0,COUNT(G845:I1844)=0,'Choix pédagogiques'!C$3&lt;&gt;3),"",IF(AND('Choix pédagogiques'!$C$3=3,$B845&lt;&gt;"",$C845&lt;&gt;"",$D845&lt;&gt;"",$G845&lt;&gt;"",$H845&lt;&gt;"",$I845&lt;&gt;""),1,0))</f>
        <v/>
      </c>
      <c r="BR845" s="21">
        <v>981</v>
      </c>
      <c r="BS845" s="21">
        <v>1718</v>
      </c>
      <c r="BT845"/>
    </row>
    <row r="846" spans="1:72" s="23" customFormat="1" ht="18" customHeight="1" x14ac:dyDescent="0.3">
      <c r="A846" s="35" t="s">
        <v>836</v>
      </c>
      <c r="B846" s="37"/>
      <c r="C846" s="37"/>
      <c r="D846" s="37"/>
      <c r="E846" s="37"/>
      <c r="F846" s="35" t="s">
        <v>1844</v>
      </c>
      <c r="G846" s="37"/>
      <c r="H846" s="37"/>
      <c r="I846" s="37"/>
      <c r="J846" s="37"/>
      <c r="K846" s="21" t="str">
        <f t="shared" ref="K846:K909" si="577">IF($A846&lt;&gt;"",$A846,"")</f>
        <v>Apprenant 834</v>
      </c>
      <c r="L846" s="22" t="str">
        <f t="shared" ref="L846:L909" si="578">IF(AND($B846&lt;&gt;"",$C846&lt;&gt;""),$C846-$B846,"")</f>
        <v/>
      </c>
      <c r="M846" s="22" t="str">
        <f t="shared" ref="M846:M909" si="579">IF(AND($B846&lt;&gt;"",$D846&lt;&gt;""),$D846-$B846,"")</f>
        <v/>
      </c>
      <c r="N846" s="22" t="str">
        <f t="shared" ref="N846:N909" si="580">IF(AND($C846&lt;&gt;"",$D846&lt;&gt;""),$D846-$C846,"")</f>
        <v/>
      </c>
      <c r="O846" s="22" t="str">
        <f t="shared" ref="O846:O909" si="581">IF($E846&lt;&gt;"",$E846,"")</f>
        <v/>
      </c>
      <c r="P846" s="21" t="str">
        <f t="shared" ref="P846:P909" si="582">IF($F846&lt;&gt;"",$F846,"")</f>
        <v>Apprenant 834 ou 834'</v>
      </c>
      <c r="Q846" s="22" t="str">
        <f t="shared" ref="Q846:Q909" si="583">IF(AND($G846&lt;&gt;"",$H846&lt;&gt;""),$H846-$G846,"")</f>
        <v/>
      </c>
      <c r="R846" s="22" t="str">
        <f t="shared" ref="R846:R909" si="584">IF(AND($G846&lt;&gt;"",$I846&lt;&gt;""),$I846-$G846,"")</f>
        <v/>
      </c>
      <c r="S846" s="22" t="str">
        <f t="shared" ref="S846:S909" si="585">IF(AND($H846&lt;&gt;"",$I846&lt;&gt;""),$I846-$H846,"")</f>
        <v/>
      </c>
      <c r="T846" s="22" t="str">
        <f t="shared" ref="T846:T909" si="586">IF($J846&lt;&gt;"",$J846,"")</f>
        <v/>
      </c>
      <c r="V846" s="21" t="str">
        <f t="shared" ref="V846:V909" si="587">IF($A846&lt;&gt;"",$A846,"")</f>
        <v>Apprenant 834</v>
      </c>
      <c r="W846" s="22" t="str">
        <f>IF(AND(OR('Choix pédagogiques'!$C$3=1,'Choix pédagogiques'!$C$3=2),$BM846=1),B846,IF(AND('Choix pédagogiques'!$C$3=3,$BO846=1),B846,""))</f>
        <v/>
      </c>
      <c r="X846" s="22" t="str">
        <f>IF(AND(OR('Choix pédagogiques'!$C$3=1,'Choix pédagogiques'!$C$3=2),$BM846=1),C846,IF(AND('Choix pédagogiques'!$C$3=3,$BO846=1),C846,""))</f>
        <v/>
      </c>
      <c r="Y846" s="22" t="str">
        <f>IF(AND(OR('Choix pédagogiques'!$C$3=1,'Choix pédagogiques'!$C$3=2),$BM846=1),D846,IF(AND('Choix pédagogiques'!$C$3=3,$BO846=1),D846,""))</f>
        <v/>
      </c>
      <c r="Z846" s="22" t="str">
        <f t="shared" ref="Z846:Z909" si="588">IF($E846&lt;&gt;"",$E846,"")</f>
        <v/>
      </c>
      <c r="AA846" s="21" t="str">
        <f t="shared" ref="AA846:AA909" si="589">IF($F846&lt;&gt;"",$F846,"")</f>
        <v>Apprenant 834 ou 834'</v>
      </c>
      <c r="AB846" s="22" t="str">
        <f>IF(AND(OR('Choix pédagogiques'!$C$3=1,'Choix pédagogiques'!$C$3=2),$BN846=1),G846,IF(AND('Choix pédagogiques'!$C$3=3,$BO846=1),G846,""))</f>
        <v/>
      </c>
      <c r="AC846" s="22" t="str">
        <f>IF(AND(OR('Choix pédagogiques'!$C$3=1,'Choix pédagogiques'!$C$3=2),$BN846=1),H846,IF(AND('Choix pédagogiques'!$C$3=3,$BO846=1),H846,""))</f>
        <v/>
      </c>
      <c r="AD846" s="22" t="str">
        <f>IF(AND(OR('Choix pédagogiques'!$C$3=1,'Choix pédagogiques'!$C$3=2),$BN846=1),I846,IF(AND('Choix pédagogiques'!$C$3=3,$BO846=1),I846,""))</f>
        <v/>
      </c>
      <c r="AE846" s="22" t="str">
        <f t="shared" ref="AE846:AE909" si="590">IF($J846&lt;&gt;"",$J846,"")</f>
        <v/>
      </c>
      <c r="AF846" s="21" t="str">
        <f t="shared" ref="AF846:AF909" si="591">IF($A846&lt;&gt;"",$A846,"")</f>
        <v>Apprenant 834</v>
      </c>
      <c r="AG846" s="22" t="str">
        <f t="shared" si="565"/>
        <v/>
      </c>
      <c r="AH846" s="22" t="str">
        <f t="shared" si="566"/>
        <v/>
      </c>
      <c r="AI846" s="22" t="str">
        <f t="shared" si="567"/>
        <v/>
      </c>
      <c r="AJ846" s="22" t="str">
        <f t="shared" ref="AJ846:AJ909" si="592">IF($E846&lt;&gt;"",$E846,"")</f>
        <v/>
      </c>
      <c r="AK846" s="21" t="str">
        <f t="shared" ref="AK846:AK909" si="593">IF($F846&lt;&gt;"",$F846,"")</f>
        <v>Apprenant 834 ou 834'</v>
      </c>
      <c r="AL846" s="22" t="str">
        <f t="shared" si="568"/>
        <v/>
      </c>
      <c r="AM846" s="22" t="str">
        <f t="shared" si="569"/>
        <v/>
      </c>
      <c r="AN846" s="22" t="str">
        <f t="shared" si="570"/>
        <v/>
      </c>
      <c r="AO846" s="22" t="str">
        <f t="shared" ref="AO846:AO909" si="594">IF($J846&lt;&gt;"",$J846,"")</f>
        <v/>
      </c>
      <c r="AQ846" s="21" t="str">
        <f t="shared" ref="AQ846:AQ909" si="595">IF($A846&lt;&gt;"",$A846,"")</f>
        <v>Apprenant 834</v>
      </c>
      <c r="AR846" s="49" t="str">
        <f>IF(AND('Choix pédagogiques'!$C$4&lt;&gt;"?",'Choix pédagogiques'!$C$5&lt;&gt;"?",W846&lt;&gt;""),(W846-'Choix pédagogiques'!$C$4)/('Choix pédagogiques'!$C$5-'Choix pédagogiques'!$C$4),"")</f>
        <v/>
      </c>
      <c r="AS846" s="49" t="str">
        <f>IF(AND('Choix pédagogiques'!$C$4&lt;&gt;"?",'Choix pédagogiques'!$C$5&lt;&gt;"?",X846&lt;&gt;""),(X846-'Choix pédagogiques'!$C$4)/('Choix pédagogiques'!$C$5-'Choix pédagogiques'!$C$4),"")</f>
        <v/>
      </c>
      <c r="AT846" s="49" t="str">
        <f>IF(AND('Choix pédagogiques'!$C$4&lt;&gt;"?",'Choix pédagogiques'!$C$5&lt;&gt;"?",Y846&lt;&gt;""),(Y846-'Choix pédagogiques'!$C$4)/('Choix pédagogiques'!$C$5-'Choix pédagogiques'!$C$4),"")</f>
        <v/>
      </c>
      <c r="AU846" s="22" t="str">
        <f t="shared" ref="AU846:AU909" si="596">IF($E846&lt;&gt;"",$E846,"")</f>
        <v/>
      </c>
      <c r="AV846" s="21" t="str">
        <f t="shared" ref="AV846:AV909" si="597">IF($F846&lt;&gt;"",$F846,"")</f>
        <v>Apprenant 834 ou 834'</v>
      </c>
      <c r="AW846" s="49" t="str">
        <f>IF(AND('Choix pédagogiques'!$C$4&lt;&gt;"?",'Choix pédagogiques'!$C$5&lt;&gt;"?",AB846&lt;&gt;""),(AB846-'Choix pédagogiques'!$C$4)/('Choix pédagogiques'!$C$5-'Choix pédagogiques'!$C$4),"")</f>
        <v/>
      </c>
      <c r="AX846" s="49" t="str">
        <f>IF(AND('Choix pédagogiques'!$C$4&lt;&gt;"?",'Choix pédagogiques'!$C$5&lt;&gt;"?",AC846&lt;&gt;""),(AC846-'Choix pédagogiques'!$C$4)/('Choix pédagogiques'!$C$5-'Choix pédagogiques'!$C$4),"")</f>
        <v/>
      </c>
      <c r="AY846" s="49" t="str">
        <f>IF(AND('Choix pédagogiques'!$C$4&lt;&gt;"?",'Choix pédagogiques'!$C$5&lt;&gt;"?",AD846&lt;&gt;""),(AD846-'Choix pédagogiques'!$C$4)/('Choix pédagogiques'!$C$5-'Choix pédagogiques'!$C$4),"")</f>
        <v/>
      </c>
      <c r="AZ846" s="22" t="str">
        <f t="shared" ref="AZ846:AZ909" si="598">IF($J846&lt;&gt;"",$J846,"")</f>
        <v/>
      </c>
      <c r="BA846" s="21" t="str">
        <f t="shared" ref="BA846:BA909" si="599">IF($A846&lt;&gt;"",$A846,"")</f>
        <v>Apprenant 834</v>
      </c>
      <c r="BB846" s="49" t="str">
        <f t="shared" si="571"/>
        <v/>
      </c>
      <c r="BC846" s="49" t="str">
        <f t="shared" si="572"/>
        <v/>
      </c>
      <c r="BD846" s="49" t="str">
        <f t="shared" si="573"/>
        <v/>
      </c>
      <c r="BE846" s="22" t="str">
        <f t="shared" ref="BE846:BE909" si="600">IF($E846&lt;&gt;"",$E846,"")</f>
        <v/>
      </c>
      <c r="BF846" s="21" t="str">
        <f t="shared" ref="BF846:BF909" si="601">IF($F846&lt;&gt;"",$F846,"")</f>
        <v>Apprenant 834 ou 834'</v>
      </c>
      <c r="BG846" s="49" t="str">
        <f t="shared" si="574"/>
        <v/>
      </c>
      <c r="BH846" s="49" t="str">
        <f t="shared" si="575"/>
        <v/>
      </c>
      <c r="BI846" s="49" t="str">
        <f t="shared" si="576"/>
        <v/>
      </c>
      <c r="BJ846" s="22" t="str">
        <f t="shared" ref="BJ846:BJ909" si="602">IF($J846&lt;&gt;"",$J846,"")</f>
        <v/>
      </c>
      <c r="BL846" s="21"/>
      <c r="BM846" s="21" t="str">
        <f>IF(OR(COUNT(B846:D1845)=0,AND('Choix pédagogiques'!$C$3&lt;&gt;1,'Choix pédagogiques'!$C$3&lt;&gt;2)),"",IF(AND(OR('Choix pédagogiques'!$C$3=1,'Choix pédagogiques'!$C$3=2),$B846&lt;&gt;"",$C846&lt;&gt;"",$D846&lt;&gt;""),1,0))</f>
        <v/>
      </c>
      <c r="BN846" s="21" t="str">
        <f>IF(OR(COUNT(G846:I1845)=0,AND('Choix pédagogiques'!$C$3&lt;&gt;1,'Choix pédagogiques'!$C$3&lt;&gt;2)),"",IF(AND(OR('Choix pédagogiques'!$C$3=1,'Choix pédagogiques'!$C$3=2),AND($G846&lt;&gt;"",$H846&lt;&gt;"",$I846&lt;&gt;"")),1,0))</f>
        <v/>
      </c>
      <c r="BO846" s="21" t="str">
        <f>IF(OR(COUNT(B846:D1845)=0,COUNT(G846:I1845)=0,'Choix pédagogiques'!C$3&lt;&gt;3),"",IF(AND('Choix pédagogiques'!$C$3=3,$B846&lt;&gt;"",$C846&lt;&gt;"",$D846&lt;&gt;"",$G846&lt;&gt;"",$H846&lt;&gt;"",$I846&lt;&gt;""),1,0))</f>
        <v/>
      </c>
      <c r="BR846" s="21">
        <v>145</v>
      </c>
      <c r="BS846" s="21">
        <v>1100</v>
      </c>
      <c r="BT846"/>
    </row>
    <row r="847" spans="1:72" s="23" customFormat="1" ht="18" customHeight="1" x14ac:dyDescent="0.3">
      <c r="A847" s="35" t="s">
        <v>837</v>
      </c>
      <c r="B847" s="37"/>
      <c r="C847" s="37"/>
      <c r="D847" s="37"/>
      <c r="E847" s="37"/>
      <c r="F847" s="35" t="s">
        <v>1845</v>
      </c>
      <c r="G847" s="37"/>
      <c r="H847" s="37"/>
      <c r="I847" s="37"/>
      <c r="J847" s="37"/>
      <c r="K847" s="21" t="str">
        <f t="shared" si="577"/>
        <v>Apprenant 835</v>
      </c>
      <c r="L847" s="22" t="str">
        <f t="shared" si="578"/>
        <v/>
      </c>
      <c r="M847" s="22" t="str">
        <f t="shared" si="579"/>
        <v/>
      </c>
      <c r="N847" s="22" t="str">
        <f t="shared" si="580"/>
        <v/>
      </c>
      <c r="O847" s="22" t="str">
        <f t="shared" si="581"/>
        <v/>
      </c>
      <c r="P847" s="21" t="str">
        <f t="shared" si="582"/>
        <v>Apprenant 835 ou 835'</v>
      </c>
      <c r="Q847" s="22" t="str">
        <f t="shared" si="583"/>
        <v/>
      </c>
      <c r="R847" s="22" t="str">
        <f t="shared" si="584"/>
        <v/>
      </c>
      <c r="S847" s="22" t="str">
        <f t="shared" si="585"/>
        <v/>
      </c>
      <c r="T847" s="22" t="str">
        <f t="shared" si="586"/>
        <v/>
      </c>
      <c r="V847" s="21" t="str">
        <f t="shared" si="587"/>
        <v>Apprenant 835</v>
      </c>
      <c r="W847" s="22" t="str">
        <f>IF(AND(OR('Choix pédagogiques'!$C$3=1,'Choix pédagogiques'!$C$3=2),$BM847=1),B847,IF(AND('Choix pédagogiques'!$C$3=3,$BO847=1),B847,""))</f>
        <v/>
      </c>
      <c r="X847" s="22" t="str">
        <f>IF(AND(OR('Choix pédagogiques'!$C$3=1,'Choix pédagogiques'!$C$3=2),$BM847=1),C847,IF(AND('Choix pédagogiques'!$C$3=3,$BO847=1),C847,""))</f>
        <v/>
      </c>
      <c r="Y847" s="22" t="str">
        <f>IF(AND(OR('Choix pédagogiques'!$C$3=1,'Choix pédagogiques'!$C$3=2),$BM847=1),D847,IF(AND('Choix pédagogiques'!$C$3=3,$BO847=1),D847,""))</f>
        <v/>
      </c>
      <c r="Z847" s="22" t="str">
        <f t="shared" si="588"/>
        <v/>
      </c>
      <c r="AA847" s="21" t="str">
        <f t="shared" si="589"/>
        <v>Apprenant 835 ou 835'</v>
      </c>
      <c r="AB847" s="22" t="str">
        <f>IF(AND(OR('Choix pédagogiques'!$C$3=1,'Choix pédagogiques'!$C$3=2),$BN847=1),G847,IF(AND('Choix pédagogiques'!$C$3=3,$BO847=1),G847,""))</f>
        <v/>
      </c>
      <c r="AC847" s="22" t="str">
        <f>IF(AND(OR('Choix pédagogiques'!$C$3=1,'Choix pédagogiques'!$C$3=2),$BN847=1),H847,IF(AND('Choix pédagogiques'!$C$3=3,$BO847=1),H847,""))</f>
        <v/>
      </c>
      <c r="AD847" s="22" t="str">
        <f>IF(AND(OR('Choix pédagogiques'!$C$3=1,'Choix pédagogiques'!$C$3=2),$BN847=1),I847,IF(AND('Choix pédagogiques'!$C$3=3,$BO847=1),I847,""))</f>
        <v/>
      </c>
      <c r="AE847" s="22" t="str">
        <f t="shared" si="590"/>
        <v/>
      </c>
      <c r="AF847" s="21" t="str">
        <f t="shared" si="591"/>
        <v>Apprenant 835</v>
      </c>
      <c r="AG847" s="22" t="str">
        <f t="shared" si="565"/>
        <v/>
      </c>
      <c r="AH847" s="22" t="str">
        <f t="shared" si="566"/>
        <v/>
      </c>
      <c r="AI847" s="22" t="str">
        <f t="shared" si="567"/>
        <v/>
      </c>
      <c r="AJ847" s="22" t="str">
        <f t="shared" si="592"/>
        <v/>
      </c>
      <c r="AK847" s="21" t="str">
        <f t="shared" si="593"/>
        <v>Apprenant 835 ou 835'</v>
      </c>
      <c r="AL847" s="22" t="str">
        <f t="shared" si="568"/>
        <v/>
      </c>
      <c r="AM847" s="22" t="str">
        <f t="shared" si="569"/>
        <v/>
      </c>
      <c r="AN847" s="22" t="str">
        <f t="shared" si="570"/>
        <v/>
      </c>
      <c r="AO847" s="22" t="str">
        <f t="shared" si="594"/>
        <v/>
      </c>
      <c r="AQ847" s="21" t="str">
        <f t="shared" si="595"/>
        <v>Apprenant 835</v>
      </c>
      <c r="AR847" s="49" t="str">
        <f>IF(AND('Choix pédagogiques'!$C$4&lt;&gt;"?",'Choix pédagogiques'!$C$5&lt;&gt;"?",W847&lt;&gt;""),(W847-'Choix pédagogiques'!$C$4)/('Choix pédagogiques'!$C$5-'Choix pédagogiques'!$C$4),"")</f>
        <v/>
      </c>
      <c r="AS847" s="49" t="str">
        <f>IF(AND('Choix pédagogiques'!$C$4&lt;&gt;"?",'Choix pédagogiques'!$C$5&lt;&gt;"?",X847&lt;&gt;""),(X847-'Choix pédagogiques'!$C$4)/('Choix pédagogiques'!$C$5-'Choix pédagogiques'!$C$4),"")</f>
        <v/>
      </c>
      <c r="AT847" s="49" t="str">
        <f>IF(AND('Choix pédagogiques'!$C$4&lt;&gt;"?",'Choix pédagogiques'!$C$5&lt;&gt;"?",Y847&lt;&gt;""),(Y847-'Choix pédagogiques'!$C$4)/('Choix pédagogiques'!$C$5-'Choix pédagogiques'!$C$4),"")</f>
        <v/>
      </c>
      <c r="AU847" s="22" t="str">
        <f t="shared" si="596"/>
        <v/>
      </c>
      <c r="AV847" s="21" t="str">
        <f t="shared" si="597"/>
        <v>Apprenant 835 ou 835'</v>
      </c>
      <c r="AW847" s="49" t="str">
        <f>IF(AND('Choix pédagogiques'!$C$4&lt;&gt;"?",'Choix pédagogiques'!$C$5&lt;&gt;"?",AB847&lt;&gt;""),(AB847-'Choix pédagogiques'!$C$4)/('Choix pédagogiques'!$C$5-'Choix pédagogiques'!$C$4),"")</f>
        <v/>
      </c>
      <c r="AX847" s="49" t="str">
        <f>IF(AND('Choix pédagogiques'!$C$4&lt;&gt;"?",'Choix pédagogiques'!$C$5&lt;&gt;"?",AC847&lt;&gt;""),(AC847-'Choix pédagogiques'!$C$4)/('Choix pédagogiques'!$C$5-'Choix pédagogiques'!$C$4),"")</f>
        <v/>
      </c>
      <c r="AY847" s="49" t="str">
        <f>IF(AND('Choix pédagogiques'!$C$4&lt;&gt;"?",'Choix pédagogiques'!$C$5&lt;&gt;"?",AD847&lt;&gt;""),(AD847-'Choix pédagogiques'!$C$4)/('Choix pédagogiques'!$C$5-'Choix pédagogiques'!$C$4),"")</f>
        <v/>
      </c>
      <c r="AZ847" s="22" t="str">
        <f t="shared" si="598"/>
        <v/>
      </c>
      <c r="BA847" s="21" t="str">
        <f t="shared" si="599"/>
        <v>Apprenant 835</v>
      </c>
      <c r="BB847" s="49" t="str">
        <f t="shared" si="571"/>
        <v/>
      </c>
      <c r="BC847" s="49" t="str">
        <f t="shared" si="572"/>
        <v/>
      </c>
      <c r="BD847" s="49" t="str">
        <f t="shared" si="573"/>
        <v/>
      </c>
      <c r="BE847" s="22" t="str">
        <f t="shared" si="600"/>
        <v/>
      </c>
      <c r="BF847" s="21" t="str">
        <f t="shared" si="601"/>
        <v>Apprenant 835 ou 835'</v>
      </c>
      <c r="BG847" s="49" t="str">
        <f t="shared" si="574"/>
        <v/>
      </c>
      <c r="BH847" s="49" t="str">
        <f t="shared" si="575"/>
        <v/>
      </c>
      <c r="BI847" s="49" t="str">
        <f t="shared" si="576"/>
        <v/>
      </c>
      <c r="BJ847" s="22" t="str">
        <f t="shared" si="602"/>
        <v/>
      </c>
      <c r="BL847" s="21"/>
      <c r="BM847" s="21" t="str">
        <f>IF(OR(COUNT(B847:D1846)=0,AND('Choix pédagogiques'!$C$3&lt;&gt;1,'Choix pédagogiques'!$C$3&lt;&gt;2)),"",IF(AND(OR('Choix pédagogiques'!$C$3=1,'Choix pédagogiques'!$C$3=2),$B847&lt;&gt;"",$C847&lt;&gt;"",$D847&lt;&gt;""),1,0))</f>
        <v/>
      </c>
      <c r="BN847" s="21" t="str">
        <f>IF(OR(COUNT(G847:I1846)=0,AND('Choix pédagogiques'!$C$3&lt;&gt;1,'Choix pédagogiques'!$C$3&lt;&gt;2)),"",IF(AND(OR('Choix pédagogiques'!$C$3=1,'Choix pédagogiques'!$C$3=2),AND($G847&lt;&gt;"",$H847&lt;&gt;"",$I847&lt;&gt;"")),1,0))</f>
        <v/>
      </c>
      <c r="BO847" s="21" t="str">
        <f>IF(OR(COUNT(B847:D1846)=0,COUNT(G847:I1846)=0,'Choix pédagogiques'!C$3&lt;&gt;3),"",IF(AND('Choix pédagogiques'!$C$3=3,$B847&lt;&gt;"",$C847&lt;&gt;"",$D847&lt;&gt;"",$G847&lt;&gt;"",$H847&lt;&gt;"",$I847&lt;&gt;""),1,0))</f>
        <v/>
      </c>
      <c r="BR847" s="21">
        <v>339</v>
      </c>
      <c r="BS847" s="21">
        <v>1911</v>
      </c>
      <c r="BT847"/>
    </row>
    <row r="848" spans="1:72" s="23" customFormat="1" ht="18" customHeight="1" x14ac:dyDescent="0.3">
      <c r="A848" s="35" t="s">
        <v>838</v>
      </c>
      <c r="B848" s="37"/>
      <c r="C848" s="37"/>
      <c r="D848" s="37"/>
      <c r="E848" s="37"/>
      <c r="F848" s="35" t="s">
        <v>1846</v>
      </c>
      <c r="G848" s="37"/>
      <c r="H848" s="37"/>
      <c r="I848" s="37"/>
      <c r="J848" s="37"/>
      <c r="K848" s="21" t="str">
        <f t="shared" si="577"/>
        <v>Apprenant 836</v>
      </c>
      <c r="L848" s="22" t="str">
        <f t="shared" si="578"/>
        <v/>
      </c>
      <c r="M848" s="22" t="str">
        <f t="shared" si="579"/>
        <v/>
      </c>
      <c r="N848" s="22" t="str">
        <f t="shared" si="580"/>
        <v/>
      </c>
      <c r="O848" s="22" t="str">
        <f t="shared" si="581"/>
        <v/>
      </c>
      <c r="P848" s="21" t="str">
        <f t="shared" si="582"/>
        <v>Apprenant 836 ou 836'</v>
      </c>
      <c r="Q848" s="22" t="str">
        <f t="shared" si="583"/>
        <v/>
      </c>
      <c r="R848" s="22" t="str">
        <f t="shared" si="584"/>
        <v/>
      </c>
      <c r="S848" s="22" t="str">
        <f t="shared" si="585"/>
        <v/>
      </c>
      <c r="T848" s="22" t="str">
        <f t="shared" si="586"/>
        <v/>
      </c>
      <c r="V848" s="21" t="str">
        <f t="shared" si="587"/>
        <v>Apprenant 836</v>
      </c>
      <c r="W848" s="22" t="str">
        <f>IF(AND(OR('Choix pédagogiques'!$C$3=1,'Choix pédagogiques'!$C$3=2),$BM848=1),B848,IF(AND('Choix pédagogiques'!$C$3=3,$BO848=1),B848,""))</f>
        <v/>
      </c>
      <c r="X848" s="22" t="str">
        <f>IF(AND(OR('Choix pédagogiques'!$C$3=1,'Choix pédagogiques'!$C$3=2),$BM848=1),C848,IF(AND('Choix pédagogiques'!$C$3=3,$BO848=1),C848,""))</f>
        <v/>
      </c>
      <c r="Y848" s="22" t="str">
        <f>IF(AND(OR('Choix pédagogiques'!$C$3=1,'Choix pédagogiques'!$C$3=2),$BM848=1),D848,IF(AND('Choix pédagogiques'!$C$3=3,$BO848=1),D848,""))</f>
        <v/>
      </c>
      <c r="Z848" s="22" t="str">
        <f t="shared" si="588"/>
        <v/>
      </c>
      <c r="AA848" s="21" t="str">
        <f t="shared" si="589"/>
        <v>Apprenant 836 ou 836'</v>
      </c>
      <c r="AB848" s="22" t="str">
        <f>IF(AND(OR('Choix pédagogiques'!$C$3=1,'Choix pédagogiques'!$C$3=2),$BN848=1),G848,IF(AND('Choix pédagogiques'!$C$3=3,$BO848=1),G848,""))</f>
        <v/>
      </c>
      <c r="AC848" s="22" t="str">
        <f>IF(AND(OR('Choix pédagogiques'!$C$3=1,'Choix pédagogiques'!$C$3=2),$BN848=1),H848,IF(AND('Choix pédagogiques'!$C$3=3,$BO848=1),H848,""))</f>
        <v/>
      </c>
      <c r="AD848" s="22" t="str">
        <f>IF(AND(OR('Choix pédagogiques'!$C$3=1,'Choix pédagogiques'!$C$3=2),$BN848=1),I848,IF(AND('Choix pédagogiques'!$C$3=3,$BO848=1),I848,""))</f>
        <v/>
      </c>
      <c r="AE848" s="22" t="str">
        <f t="shared" si="590"/>
        <v/>
      </c>
      <c r="AF848" s="21" t="str">
        <f t="shared" si="591"/>
        <v>Apprenant 836</v>
      </c>
      <c r="AG848" s="22" t="str">
        <f t="shared" si="565"/>
        <v/>
      </c>
      <c r="AH848" s="22" t="str">
        <f t="shared" si="566"/>
        <v/>
      </c>
      <c r="AI848" s="22" t="str">
        <f t="shared" si="567"/>
        <v/>
      </c>
      <c r="AJ848" s="22" t="str">
        <f t="shared" si="592"/>
        <v/>
      </c>
      <c r="AK848" s="21" t="str">
        <f t="shared" si="593"/>
        <v>Apprenant 836 ou 836'</v>
      </c>
      <c r="AL848" s="22" t="str">
        <f t="shared" si="568"/>
        <v/>
      </c>
      <c r="AM848" s="22" t="str">
        <f t="shared" si="569"/>
        <v/>
      </c>
      <c r="AN848" s="22" t="str">
        <f t="shared" si="570"/>
        <v/>
      </c>
      <c r="AO848" s="22" t="str">
        <f t="shared" si="594"/>
        <v/>
      </c>
      <c r="AQ848" s="21" t="str">
        <f t="shared" si="595"/>
        <v>Apprenant 836</v>
      </c>
      <c r="AR848" s="49" t="str">
        <f>IF(AND('Choix pédagogiques'!$C$4&lt;&gt;"?",'Choix pédagogiques'!$C$5&lt;&gt;"?",W848&lt;&gt;""),(W848-'Choix pédagogiques'!$C$4)/('Choix pédagogiques'!$C$5-'Choix pédagogiques'!$C$4),"")</f>
        <v/>
      </c>
      <c r="AS848" s="49" t="str">
        <f>IF(AND('Choix pédagogiques'!$C$4&lt;&gt;"?",'Choix pédagogiques'!$C$5&lt;&gt;"?",X848&lt;&gt;""),(X848-'Choix pédagogiques'!$C$4)/('Choix pédagogiques'!$C$5-'Choix pédagogiques'!$C$4),"")</f>
        <v/>
      </c>
      <c r="AT848" s="49" t="str">
        <f>IF(AND('Choix pédagogiques'!$C$4&lt;&gt;"?",'Choix pédagogiques'!$C$5&lt;&gt;"?",Y848&lt;&gt;""),(Y848-'Choix pédagogiques'!$C$4)/('Choix pédagogiques'!$C$5-'Choix pédagogiques'!$C$4),"")</f>
        <v/>
      </c>
      <c r="AU848" s="22" t="str">
        <f t="shared" si="596"/>
        <v/>
      </c>
      <c r="AV848" s="21" t="str">
        <f t="shared" si="597"/>
        <v>Apprenant 836 ou 836'</v>
      </c>
      <c r="AW848" s="49" t="str">
        <f>IF(AND('Choix pédagogiques'!$C$4&lt;&gt;"?",'Choix pédagogiques'!$C$5&lt;&gt;"?",AB848&lt;&gt;""),(AB848-'Choix pédagogiques'!$C$4)/('Choix pédagogiques'!$C$5-'Choix pédagogiques'!$C$4),"")</f>
        <v/>
      </c>
      <c r="AX848" s="49" t="str">
        <f>IF(AND('Choix pédagogiques'!$C$4&lt;&gt;"?",'Choix pédagogiques'!$C$5&lt;&gt;"?",AC848&lt;&gt;""),(AC848-'Choix pédagogiques'!$C$4)/('Choix pédagogiques'!$C$5-'Choix pédagogiques'!$C$4),"")</f>
        <v/>
      </c>
      <c r="AY848" s="49" t="str">
        <f>IF(AND('Choix pédagogiques'!$C$4&lt;&gt;"?",'Choix pédagogiques'!$C$5&lt;&gt;"?",AD848&lt;&gt;""),(AD848-'Choix pédagogiques'!$C$4)/('Choix pédagogiques'!$C$5-'Choix pédagogiques'!$C$4),"")</f>
        <v/>
      </c>
      <c r="AZ848" s="22" t="str">
        <f t="shared" si="598"/>
        <v/>
      </c>
      <c r="BA848" s="21" t="str">
        <f t="shared" si="599"/>
        <v>Apprenant 836</v>
      </c>
      <c r="BB848" s="49" t="str">
        <f t="shared" si="571"/>
        <v/>
      </c>
      <c r="BC848" s="49" t="str">
        <f t="shared" si="572"/>
        <v/>
      </c>
      <c r="BD848" s="49" t="str">
        <f t="shared" si="573"/>
        <v/>
      </c>
      <c r="BE848" s="22" t="str">
        <f t="shared" si="600"/>
        <v/>
      </c>
      <c r="BF848" s="21" t="str">
        <f t="shared" si="601"/>
        <v>Apprenant 836 ou 836'</v>
      </c>
      <c r="BG848" s="49" t="str">
        <f t="shared" si="574"/>
        <v/>
      </c>
      <c r="BH848" s="49" t="str">
        <f t="shared" si="575"/>
        <v/>
      </c>
      <c r="BI848" s="49" t="str">
        <f t="shared" si="576"/>
        <v/>
      </c>
      <c r="BJ848" s="22" t="str">
        <f t="shared" si="602"/>
        <v/>
      </c>
      <c r="BL848" s="21"/>
      <c r="BM848" s="21" t="str">
        <f>IF(OR(COUNT(B848:D1847)=0,AND('Choix pédagogiques'!$C$3&lt;&gt;1,'Choix pédagogiques'!$C$3&lt;&gt;2)),"",IF(AND(OR('Choix pédagogiques'!$C$3=1,'Choix pédagogiques'!$C$3=2),$B848&lt;&gt;"",$C848&lt;&gt;"",$D848&lt;&gt;""),1,0))</f>
        <v/>
      </c>
      <c r="BN848" s="21" t="str">
        <f>IF(OR(COUNT(G848:I1847)=0,AND('Choix pédagogiques'!$C$3&lt;&gt;1,'Choix pédagogiques'!$C$3&lt;&gt;2)),"",IF(AND(OR('Choix pédagogiques'!$C$3=1,'Choix pédagogiques'!$C$3=2),AND($G848&lt;&gt;"",$H848&lt;&gt;"",$I848&lt;&gt;"")),1,0))</f>
        <v/>
      </c>
      <c r="BO848" s="21" t="str">
        <f>IF(OR(COUNT(B848:D1847)=0,COUNT(G848:I1847)=0,'Choix pédagogiques'!C$3&lt;&gt;3),"",IF(AND('Choix pédagogiques'!$C$3=3,$B848&lt;&gt;"",$C848&lt;&gt;"",$D848&lt;&gt;"",$G848&lt;&gt;"",$H848&lt;&gt;"",$I848&lt;&gt;""),1,0))</f>
        <v/>
      </c>
      <c r="BR848" s="21">
        <v>121</v>
      </c>
      <c r="BS848" s="21">
        <v>1897</v>
      </c>
      <c r="BT848"/>
    </row>
    <row r="849" spans="1:72" s="23" customFormat="1" ht="18" customHeight="1" x14ac:dyDescent="0.3">
      <c r="A849" s="35" t="s">
        <v>839</v>
      </c>
      <c r="B849" s="37"/>
      <c r="C849" s="37"/>
      <c r="D849" s="37"/>
      <c r="E849" s="37"/>
      <c r="F849" s="35" t="s">
        <v>1847</v>
      </c>
      <c r="G849" s="37"/>
      <c r="H849" s="37"/>
      <c r="I849" s="37"/>
      <c r="J849" s="37"/>
      <c r="K849" s="21" t="str">
        <f t="shared" si="577"/>
        <v>Apprenant 837</v>
      </c>
      <c r="L849" s="22" t="str">
        <f t="shared" si="578"/>
        <v/>
      </c>
      <c r="M849" s="22" t="str">
        <f t="shared" si="579"/>
        <v/>
      </c>
      <c r="N849" s="22" t="str">
        <f t="shared" si="580"/>
        <v/>
      </c>
      <c r="O849" s="22" t="str">
        <f t="shared" si="581"/>
        <v/>
      </c>
      <c r="P849" s="21" t="str">
        <f t="shared" si="582"/>
        <v>Apprenant 837 ou 837'</v>
      </c>
      <c r="Q849" s="22" t="str">
        <f t="shared" si="583"/>
        <v/>
      </c>
      <c r="R849" s="22" t="str">
        <f t="shared" si="584"/>
        <v/>
      </c>
      <c r="S849" s="22" t="str">
        <f t="shared" si="585"/>
        <v/>
      </c>
      <c r="T849" s="22" t="str">
        <f t="shared" si="586"/>
        <v/>
      </c>
      <c r="V849" s="21" t="str">
        <f t="shared" si="587"/>
        <v>Apprenant 837</v>
      </c>
      <c r="W849" s="22" t="str">
        <f>IF(AND(OR('Choix pédagogiques'!$C$3=1,'Choix pédagogiques'!$C$3=2),$BM849=1),B849,IF(AND('Choix pédagogiques'!$C$3=3,$BO849=1),B849,""))</f>
        <v/>
      </c>
      <c r="X849" s="22" t="str">
        <f>IF(AND(OR('Choix pédagogiques'!$C$3=1,'Choix pédagogiques'!$C$3=2),$BM849=1),C849,IF(AND('Choix pédagogiques'!$C$3=3,$BO849=1),C849,""))</f>
        <v/>
      </c>
      <c r="Y849" s="22" t="str">
        <f>IF(AND(OR('Choix pédagogiques'!$C$3=1,'Choix pédagogiques'!$C$3=2),$BM849=1),D849,IF(AND('Choix pédagogiques'!$C$3=3,$BO849=1),D849,""))</f>
        <v/>
      </c>
      <c r="Z849" s="22" t="str">
        <f t="shared" si="588"/>
        <v/>
      </c>
      <c r="AA849" s="21" t="str">
        <f t="shared" si="589"/>
        <v>Apprenant 837 ou 837'</v>
      </c>
      <c r="AB849" s="22" t="str">
        <f>IF(AND(OR('Choix pédagogiques'!$C$3=1,'Choix pédagogiques'!$C$3=2),$BN849=1),G849,IF(AND('Choix pédagogiques'!$C$3=3,$BO849=1),G849,""))</f>
        <v/>
      </c>
      <c r="AC849" s="22" t="str">
        <f>IF(AND(OR('Choix pédagogiques'!$C$3=1,'Choix pédagogiques'!$C$3=2),$BN849=1),H849,IF(AND('Choix pédagogiques'!$C$3=3,$BO849=1),H849,""))</f>
        <v/>
      </c>
      <c r="AD849" s="22" t="str">
        <f>IF(AND(OR('Choix pédagogiques'!$C$3=1,'Choix pédagogiques'!$C$3=2),$BN849=1),I849,IF(AND('Choix pédagogiques'!$C$3=3,$BO849=1),I849,""))</f>
        <v/>
      </c>
      <c r="AE849" s="22" t="str">
        <f t="shared" si="590"/>
        <v/>
      </c>
      <c r="AF849" s="21" t="str">
        <f t="shared" si="591"/>
        <v>Apprenant 837</v>
      </c>
      <c r="AG849" s="22" t="str">
        <f t="shared" si="565"/>
        <v/>
      </c>
      <c r="AH849" s="22" t="str">
        <f t="shared" si="566"/>
        <v/>
      </c>
      <c r="AI849" s="22" t="str">
        <f t="shared" si="567"/>
        <v/>
      </c>
      <c r="AJ849" s="22" t="str">
        <f t="shared" si="592"/>
        <v/>
      </c>
      <c r="AK849" s="21" t="str">
        <f t="shared" si="593"/>
        <v>Apprenant 837 ou 837'</v>
      </c>
      <c r="AL849" s="22" t="str">
        <f t="shared" si="568"/>
        <v/>
      </c>
      <c r="AM849" s="22" t="str">
        <f t="shared" si="569"/>
        <v/>
      </c>
      <c r="AN849" s="22" t="str">
        <f t="shared" si="570"/>
        <v/>
      </c>
      <c r="AO849" s="22" t="str">
        <f t="shared" si="594"/>
        <v/>
      </c>
      <c r="AQ849" s="21" t="str">
        <f t="shared" si="595"/>
        <v>Apprenant 837</v>
      </c>
      <c r="AR849" s="49" t="str">
        <f>IF(AND('Choix pédagogiques'!$C$4&lt;&gt;"?",'Choix pédagogiques'!$C$5&lt;&gt;"?",W849&lt;&gt;""),(W849-'Choix pédagogiques'!$C$4)/('Choix pédagogiques'!$C$5-'Choix pédagogiques'!$C$4),"")</f>
        <v/>
      </c>
      <c r="AS849" s="49" t="str">
        <f>IF(AND('Choix pédagogiques'!$C$4&lt;&gt;"?",'Choix pédagogiques'!$C$5&lt;&gt;"?",X849&lt;&gt;""),(X849-'Choix pédagogiques'!$C$4)/('Choix pédagogiques'!$C$5-'Choix pédagogiques'!$C$4),"")</f>
        <v/>
      </c>
      <c r="AT849" s="49" t="str">
        <f>IF(AND('Choix pédagogiques'!$C$4&lt;&gt;"?",'Choix pédagogiques'!$C$5&lt;&gt;"?",Y849&lt;&gt;""),(Y849-'Choix pédagogiques'!$C$4)/('Choix pédagogiques'!$C$5-'Choix pédagogiques'!$C$4),"")</f>
        <v/>
      </c>
      <c r="AU849" s="22" t="str">
        <f t="shared" si="596"/>
        <v/>
      </c>
      <c r="AV849" s="21" t="str">
        <f t="shared" si="597"/>
        <v>Apprenant 837 ou 837'</v>
      </c>
      <c r="AW849" s="49" t="str">
        <f>IF(AND('Choix pédagogiques'!$C$4&lt;&gt;"?",'Choix pédagogiques'!$C$5&lt;&gt;"?",AB849&lt;&gt;""),(AB849-'Choix pédagogiques'!$C$4)/('Choix pédagogiques'!$C$5-'Choix pédagogiques'!$C$4),"")</f>
        <v/>
      </c>
      <c r="AX849" s="49" t="str">
        <f>IF(AND('Choix pédagogiques'!$C$4&lt;&gt;"?",'Choix pédagogiques'!$C$5&lt;&gt;"?",AC849&lt;&gt;""),(AC849-'Choix pédagogiques'!$C$4)/('Choix pédagogiques'!$C$5-'Choix pédagogiques'!$C$4),"")</f>
        <v/>
      </c>
      <c r="AY849" s="49" t="str">
        <f>IF(AND('Choix pédagogiques'!$C$4&lt;&gt;"?",'Choix pédagogiques'!$C$5&lt;&gt;"?",AD849&lt;&gt;""),(AD849-'Choix pédagogiques'!$C$4)/('Choix pédagogiques'!$C$5-'Choix pédagogiques'!$C$4),"")</f>
        <v/>
      </c>
      <c r="AZ849" s="22" t="str">
        <f t="shared" si="598"/>
        <v/>
      </c>
      <c r="BA849" s="21" t="str">
        <f t="shared" si="599"/>
        <v>Apprenant 837</v>
      </c>
      <c r="BB849" s="49" t="str">
        <f t="shared" si="571"/>
        <v/>
      </c>
      <c r="BC849" s="49" t="str">
        <f t="shared" si="572"/>
        <v/>
      </c>
      <c r="BD849" s="49" t="str">
        <f t="shared" si="573"/>
        <v/>
      </c>
      <c r="BE849" s="22" t="str">
        <f t="shared" si="600"/>
        <v/>
      </c>
      <c r="BF849" s="21" t="str">
        <f t="shared" si="601"/>
        <v>Apprenant 837 ou 837'</v>
      </c>
      <c r="BG849" s="49" t="str">
        <f t="shared" si="574"/>
        <v/>
      </c>
      <c r="BH849" s="49" t="str">
        <f t="shared" si="575"/>
        <v/>
      </c>
      <c r="BI849" s="49" t="str">
        <f t="shared" si="576"/>
        <v/>
      </c>
      <c r="BJ849" s="22" t="str">
        <f t="shared" si="602"/>
        <v/>
      </c>
      <c r="BL849" s="21"/>
      <c r="BM849" s="21" t="str">
        <f>IF(OR(COUNT(B849:D1848)=0,AND('Choix pédagogiques'!$C$3&lt;&gt;1,'Choix pédagogiques'!$C$3&lt;&gt;2)),"",IF(AND(OR('Choix pédagogiques'!$C$3=1,'Choix pédagogiques'!$C$3=2),$B849&lt;&gt;"",$C849&lt;&gt;"",$D849&lt;&gt;""),1,0))</f>
        <v/>
      </c>
      <c r="BN849" s="21" t="str">
        <f>IF(OR(COUNT(G849:I1848)=0,AND('Choix pédagogiques'!$C$3&lt;&gt;1,'Choix pédagogiques'!$C$3&lt;&gt;2)),"",IF(AND(OR('Choix pédagogiques'!$C$3=1,'Choix pédagogiques'!$C$3=2),AND($G849&lt;&gt;"",$H849&lt;&gt;"",$I849&lt;&gt;"")),1,0))</f>
        <v/>
      </c>
      <c r="BO849" s="21" t="str">
        <f>IF(OR(COUNT(B849:D1848)=0,COUNT(G849:I1848)=0,'Choix pédagogiques'!C$3&lt;&gt;3),"",IF(AND('Choix pédagogiques'!$C$3=3,$B849&lt;&gt;"",$C849&lt;&gt;"",$D849&lt;&gt;"",$G849&lt;&gt;"",$H849&lt;&gt;"",$I849&lt;&gt;""),1,0))</f>
        <v/>
      </c>
      <c r="BR849" s="21">
        <v>208</v>
      </c>
      <c r="BS849" s="21">
        <v>1323</v>
      </c>
      <c r="BT849"/>
    </row>
    <row r="850" spans="1:72" s="23" customFormat="1" ht="18" customHeight="1" x14ac:dyDescent="0.3">
      <c r="A850" s="35" t="s">
        <v>840</v>
      </c>
      <c r="B850" s="37"/>
      <c r="C850" s="37"/>
      <c r="D850" s="37"/>
      <c r="E850" s="37"/>
      <c r="F850" s="35" t="s">
        <v>1848</v>
      </c>
      <c r="G850" s="37"/>
      <c r="H850" s="37"/>
      <c r="I850" s="37"/>
      <c r="J850" s="37"/>
      <c r="K850" s="21" t="str">
        <f t="shared" si="577"/>
        <v>Apprenant 838</v>
      </c>
      <c r="L850" s="22" t="str">
        <f t="shared" si="578"/>
        <v/>
      </c>
      <c r="M850" s="22" t="str">
        <f t="shared" si="579"/>
        <v/>
      </c>
      <c r="N850" s="22" t="str">
        <f t="shared" si="580"/>
        <v/>
      </c>
      <c r="O850" s="22" t="str">
        <f t="shared" si="581"/>
        <v/>
      </c>
      <c r="P850" s="21" t="str">
        <f t="shared" si="582"/>
        <v>Apprenant 838 ou 838'</v>
      </c>
      <c r="Q850" s="22" t="str">
        <f t="shared" si="583"/>
        <v/>
      </c>
      <c r="R850" s="22" t="str">
        <f t="shared" si="584"/>
        <v/>
      </c>
      <c r="S850" s="22" t="str">
        <f t="shared" si="585"/>
        <v/>
      </c>
      <c r="T850" s="22" t="str">
        <f t="shared" si="586"/>
        <v/>
      </c>
      <c r="V850" s="21" t="str">
        <f t="shared" si="587"/>
        <v>Apprenant 838</v>
      </c>
      <c r="W850" s="22" t="str">
        <f>IF(AND(OR('Choix pédagogiques'!$C$3=1,'Choix pédagogiques'!$C$3=2),$BM850=1),B850,IF(AND('Choix pédagogiques'!$C$3=3,$BO850=1),B850,""))</f>
        <v/>
      </c>
      <c r="X850" s="22" t="str">
        <f>IF(AND(OR('Choix pédagogiques'!$C$3=1,'Choix pédagogiques'!$C$3=2),$BM850=1),C850,IF(AND('Choix pédagogiques'!$C$3=3,$BO850=1),C850,""))</f>
        <v/>
      </c>
      <c r="Y850" s="22" t="str">
        <f>IF(AND(OR('Choix pédagogiques'!$C$3=1,'Choix pédagogiques'!$C$3=2),$BM850=1),D850,IF(AND('Choix pédagogiques'!$C$3=3,$BO850=1),D850,""))</f>
        <v/>
      </c>
      <c r="Z850" s="22" t="str">
        <f t="shared" si="588"/>
        <v/>
      </c>
      <c r="AA850" s="21" t="str">
        <f t="shared" si="589"/>
        <v>Apprenant 838 ou 838'</v>
      </c>
      <c r="AB850" s="22" t="str">
        <f>IF(AND(OR('Choix pédagogiques'!$C$3=1,'Choix pédagogiques'!$C$3=2),$BN850=1),G850,IF(AND('Choix pédagogiques'!$C$3=3,$BO850=1),G850,""))</f>
        <v/>
      </c>
      <c r="AC850" s="22" t="str">
        <f>IF(AND(OR('Choix pédagogiques'!$C$3=1,'Choix pédagogiques'!$C$3=2),$BN850=1),H850,IF(AND('Choix pédagogiques'!$C$3=3,$BO850=1),H850,""))</f>
        <v/>
      </c>
      <c r="AD850" s="22" t="str">
        <f>IF(AND(OR('Choix pédagogiques'!$C$3=1,'Choix pédagogiques'!$C$3=2),$BN850=1),I850,IF(AND('Choix pédagogiques'!$C$3=3,$BO850=1),I850,""))</f>
        <v/>
      </c>
      <c r="AE850" s="22" t="str">
        <f t="shared" si="590"/>
        <v/>
      </c>
      <c r="AF850" s="21" t="str">
        <f t="shared" si="591"/>
        <v>Apprenant 838</v>
      </c>
      <c r="AG850" s="22" t="str">
        <f t="shared" si="565"/>
        <v/>
      </c>
      <c r="AH850" s="22" t="str">
        <f t="shared" si="566"/>
        <v/>
      </c>
      <c r="AI850" s="22" t="str">
        <f t="shared" si="567"/>
        <v/>
      </c>
      <c r="AJ850" s="22" t="str">
        <f t="shared" si="592"/>
        <v/>
      </c>
      <c r="AK850" s="21" t="str">
        <f t="shared" si="593"/>
        <v>Apprenant 838 ou 838'</v>
      </c>
      <c r="AL850" s="22" t="str">
        <f t="shared" si="568"/>
        <v/>
      </c>
      <c r="AM850" s="22" t="str">
        <f t="shared" si="569"/>
        <v/>
      </c>
      <c r="AN850" s="22" t="str">
        <f t="shared" si="570"/>
        <v/>
      </c>
      <c r="AO850" s="22" t="str">
        <f t="shared" si="594"/>
        <v/>
      </c>
      <c r="AQ850" s="21" t="str">
        <f t="shared" si="595"/>
        <v>Apprenant 838</v>
      </c>
      <c r="AR850" s="49" t="str">
        <f>IF(AND('Choix pédagogiques'!$C$4&lt;&gt;"?",'Choix pédagogiques'!$C$5&lt;&gt;"?",W850&lt;&gt;""),(W850-'Choix pédagogiques'!$C$4)/('Choix pédagogiques'!$C$5-'Choix pédagogiques'!$C$4),"")</f>
        <v/>
      </c>
      <c r="AS850" s="49" t="str">
        <f>IF(AND('Choix pédagogiques'!$C$4&lt;&gt;"?",'Choix pédagogiques'!$C$5&lt;&gt;"?",X850&lt;&gt;""),(X850-'Choix pédagogiques'!$C$4)/('Choix pédagogiques'!$C$5-'Choix pédagogiques'!$C$4),"")</f>
        <v/>
      </c>
      <c r="AT850" s="49" t="str">
        <f>IF(AND('Choix pédagogiques'!$C$4&lt;&gt;"?",'Choix pédagogiques'!$C$5&lt;&gt;"?",Y850&lt;&gt;""),(Y850-'Choix pédagogiques'!$C$4)/('Choix pédagogiques'!$C$5-'Choix pédagogiques'!$C$4),"")</f>
        <v/>
      </c>
      <c r="AU850" s="22" t="str">
        <f t="shared" si="596"/>
        <v/>
      </c>
      <c r="AV850" s="21" t="str">
        <f t="shared" si="597"/>
        <v>Apprenant 838 ou 838'</v>
      </c>
      <c r="AW850" s="49" t="str">
        <f>IF(AND('Choix pédagogiques'!$C$4&lt;&gt;"?",'Choix pédagogiques'!$C$5&lt;&gt;"?",AB850&lt;&gt;""),(AB850-'Choix pédagogiques'!$C$4)/('Choix pédagogiques'!$C$5-'Choix pédagogiques'!$C$4),"")</f>
        <v/>
      </c>
      <c r="AX850" s="49" t="str">
        <f>IF(AND('Choix pédagogiques'!$C$4&lt;&gt;"?",'Choix pédagogiques'!$C$5&lt;&gt;"?",AC850&lt;&gt;""),(AC850-'Choix pédagogiques'!$C$4)/('Choix pédagogiques'!$C$5-'Choix pédagogiques'!$C$4),"")</f>
        <v/>
      </c>
      <c r="AY850" s="49" t="str">
        <f>IF(AND('Choix pédagogiques'!$C$4&lt;&gt;"?",'Choix pédagogiques'!$C$5&lt;&gt;"?",AD850&lt;&gt;""),(AD850-'Choix pédagogiques'!$C$4)/('Choix pédagogiques'!$C$5-'Choix pédagogiques'!$C$4),"")</f>
        <v/>
      </c>
      <c r="AZ850" s="22" t="str">
        <f t="shared" si="598"/>
        <v/>
      </c>
      <c r="BA850" s="21" t="str">
        <f t="shared" si="599"/>
        <v>Apprenant 838</v>
      </c>
      <c r="BB850" s="49" t="str">
        <f t="shared" si="571"/>
        <v/>
      </c>
      <c r="BC850" s="49" t="str">
        <f t="shared" si="572"/>
        <v/>
      </c>
      <c r="BD850" s="49" t="str">
        <f t="shared" si="573"/>
        <v/>
      </c>
      <c r="BE850" s="22" t="str">
        <f t="shared" si="600"/>
        <v/>
      </c>
      <c r="BF850" s="21" t="str">
        <f t="shared" si="601"/>
        <v>Apprenant 838 ou 838'</v>
      </c>
      <c r="BG850" s="49" t="str">
        <f t="shared" si="574"/>
        <v/>
      </c>
      <c r="BH850" s="49" t="str">
        <f t="shared" si="575"/>
        <v/>
      </c>
      <c r="BI850" s="49" t="str">
        <f t="shared" si="576"/>
        <v/>
      </c>
      <c r="BJ850" s="22" t="str">
        <f t="shared" si="602"/>
        <v/>
      </c>
      <c r="BL850" s="21"/>
      <c r="BM850" s="21" t="str">
        <f>IF(OR(COUNT(B850:D1849)=0,AND('Choix pédagogiques'!$C$3&lt;&gt;1,'Choix pédagogiques'!$C$3&lt;&gt;2)),"",IF(AND(OR('Choix pédagogiques'!$C$3=1,'Choix pédagogiques'!$C$3=2),$B850&lt;&gt;"",$C850&lt;&gt;"",$D850&lt;&gt;""),1,0))</f>
        <v/>
      </c>
      <c r="BN850" s="21" t="str">
        <f>IF(OR(COUNT(G850:I1849)=0,AND('Choix pédagogiques'!$C$3&lt;&gt;1,'Choix pédagogiques'!$C$3&lt;&gt;2)),"",IF(AND(OR('Choix pédagogiques'!$C$3=1,'Choix pédagogiques'!$C$3=2),AND($G850&lt;&gt;"",$H850&lt;&gt;"",$I850&lt;&gt;"")),1,0))</f>
        <v/>
      </c>
      <c r="BO850" s="21" t="str">
        <f>IF(OR(COUNT(B850:D1849)=0,COUNT(G850:I1849)=0,'Choix pédagogiques'!C$3&lt;&gt;3),"",IF(AND('Choix pédagogiques'!$C$3=3,$B850&lt;&gt;"",$C850&lt;&gt;"",$D850&lt;&gt;"",$G850&lt;&gt;"",$H850&lt;&gt;"",$I850&lt;&gt;""),1,0))</f>
        <v/>
      </c>
      <c r="BR850" s="21">
        <v>921</v>
      </c>
      <c r="BS850" s="21">
        <v>1577</v>
      </c>
      <c r="BT850"/>
    </row>
    <row r="851" spans="1:72" s="23" customFormat="1" ht="18" customHeight="1" x14ac:dyDescent="0.3">
      <c r="A851" s="35" t="s">
        <v>841</v>
      </c>
      <c r="B851" s="37"/>
      <c r="C851" s="37"/>
      <c r="D851" s="37"/>
      <c r="E851" s="37"/>
      <c r="F851" s="35" t="s">
        <v>1849</v>
      </c>
      <c r="G851" s="37"/>
      <c r="H851" s="37"/>
      <c r="I851" s="37"/>
      <c r="J851" s="37"/>
      <c r="K851" s="21" t="str">
        <f t="shared" si="577"/>
        <v>Apprenant 839</v>
      </c>
      <c r="L851" s="22" t="str">
        <f t="shared" si="578"/>
        <v/>
      </c>
      <c r="M851" s="22" t="str">
        <f t="shared" si="579"/>
        <v/>
      </c>
      <c r="N851" s="22" t="str">
        <f t="shared" si="580"/>
        <v/>
      </c>
      <c r="O851" s="22" t="str">
        <f t="shared" si="581"/>
        <v/>
      </c>
      <c r="P851" s="21" t="str">
        <f t="shared" si="582"/>
        <v>Apprenant 839 ou 839'</v>
      </c>
      <c r="Q851" s="22" t="str">
        <f t="shared" si="583"/>
        <v/>
      </c>
      <c r="R851" s="22" t="str">
        <f t="shared" si="584"/>
        <v/>
      </c>
      <c r="S851" s="22" t="str">
        <f t="shared" si="585"/>
        <v/>
      </c>
      <c r="T851" s="22" t="str">
        <f t="shared" si="586"/>
        <v/>
      </c>
      <c r="V851" s="21" t="str">
        <f t="shared" si="587"/>
        <v>Apprenant 839</v>
      </c>
      <c r="W851" s="22" t="str">
        <f>IF(AND(OR('Choix pédagogiques'!$C$3=1,'Choix pédagogiques'!$C$3=2),$BM851=1),B851,IF(AND('Choix pédagogiques'!$C$3=3,$BO851=1),B851,""))</f>
        <v/>
      </c>
      <c r="X851" s="22" t="str">
        <f>IF(AND(OR('Choix pédagogiques'!$C$3=1,'Choix pédagogiques'!$C$3=2),$BM851=1),C851,IF(AND('Choix pédagogiques'!$C$3=3,$BO851=1),C851,""))</f>
        <v/>
      </c>
      <c r="Y851" s="22" t="str">
        <f>IF(AND(OR('Choix pédagogiques'!$C$3=1,'Choix pédagogiques'!$C$3=2),$BM851=1),D851,IF(AND('Choix pédagogiques'!$C$3=3,$BO851=1),D851,""))</f>
        <v/>
      </c>
      <c r="Z851" s="22" t="str">
        <f t="shared" si="588"/>
        <v/>
      </c>
      <c r="AA851" s="21" t="str">
        <f t="shared" si="589"/>
        <v>Apprenant 839 ou 839'</v>
      </c>
      <c r="AB851" s="22" t="str">
        <f>IF(AND(OR('Choix pédagogiques'!$C$3=1,'Choix pédagogiques'!$C$3=2),$BN851=1),G851,IF(AND('Choix pédagogiques'!$C$3=3,$BO851=1),G851,""))</f>
        <v/>
      </c>
      <c r="AC851" s="22" t="str">
        <f>IF(AND(OR('Choix pédagogiques'!$C$3=1,'Choix pédagogiques'!$C$3=2),$BN851=1),H851,IF(AND('Choix pédagogiques'!$C$3=3,$BO851=1),H851,""))</f>
        <v/>
      </c>
      <c r="AD851" s="22" t="str">
        <f>IF(AND(OR('Choix pédagogiques'!$C$3=1,'Choix pédagogiques'!$C$3=2),$BN851=1),I851,IF(AND('Choix pédagogiques'!$C$3=3,$BO851=1),I851,""))</f>
        <v/>
      </c>
      <c r="AE851" s="22" t="str">
        <f t="shared" si="590"/>
        <v/>
      </c>
      <c r="AF851" s="21" t="str">
        <f t="shared" si="591"/>
        <v>Apprenant 839</v>
      </c>
      <c r="AG851" s="22" t="str">
        <f t="shared" si="565"/>
        <v/>
      </c>
      <c r="AH851" s="22" t="str">
        <f t="shared" si="566"/>
        <v/>
      </c>
      <c r="AI851" s="22" t="str">
        <f t="shared" si="567"/>
        <v/>
      </c>
      <c r="AJ851" s="22" t="str">
        <f t="shared" si="592"/>
        <v/>
      </c>
      <c r="AK851" s="21" t="str">
        <f t="shared" si="593"/>
        <v>Apprenant 839 ou 839'</v>
      </c>
      <c r="AL851" s="22" t="str">
        <f t="shared" si="568"/>
        <v/>
      </c>
      <c r="AM851" s="22" t="str">
        <f t="shared" si="569"/>
        <v/>
      </c>
      <c r="AN851" s="22" t="str">
        <f t="shared" si="570"/>
        <v/>
      </c>
      <c r="AO851" s="22" t="str">
        <f t="shared" si="594"/>
        <v/>
      </c>
      <c r="AQ851" s="21" t="str">
        <f t="shared" si="595"/>
        <v>Apprenant 839</v>
      </c>
      <c r="AR851" s="49" t="str">
        <f>IF(AND('Choix pédagogiques'!$C$4&lt;&gt;"?",'Choix pédagogiques'!$C$5&lt;&gt;"?",W851&lt;&gt;""),(W851-'Choix pédagogiques'!$C$4)/('Choix pédagogiques'!$C$5-'Choix pédagogiques'!$C$4),"")</f>
        <v/>
      </c>
      <c r="AS851" s="49" t="str">
        <f>IF(AND('Choix pédagogiques'!$C$4&lt;&gt;"?",'Choix pédagogiques'!$C$5&lt;&gt;"?",X851&lt;&gt;""),(X851-'Choix pédagogiques'!$C$4)/('Choix pédagogiques'!$C$5-'Choix pédagogiques'!$C$4),"")</f>
        <v/>
      </c>
      <c r="AT851" s="49" t="str">
        <f>IF(AND('Choix pédagogiques'!$C$4&lt;&gt;"?",'Choix pédagogiques'!$C$5&lt;&gt;"?",Y851&lt;&gt;""),(Y851-'Choix pédagogiques'!$C$4)/('Choix pédagogiques'!$C$5-'Choix pédagogiques'!$C$4),"")</f>
        <v/>
      </c>
      <c r="AU851" s="22" t="str">
        <f t="shared" si="596"/>
        <v/>
      </c>
      <c r="AV851" s="21" t="str">
        <f t="shared" si="597"/>
        <v>Apprenant 839 ou 839'</v>
      </c>
      <c r="AW851" s="49" t="str">
        <f>IF(AND('Choix pédagogiques'!$C$4&lt;&gt;"?",'Choix pédagogiques'!$C$5&lt;&gt;"?",AB851&lt;&gt;""),(AB851-'Choix pédagogiques'!$C$4)/('Choix pédagogiques'!$C$5-'Choix pédagogiques'!$C$4),"")</f>
        <v/>
      </c>
      <c r="AX851" s="49" t="str">
        <f>IF(AND('Choix pédagogiques'!$C$4&lt;&gt;"?",'Choix pédagogiques'!$C$5&lt;&gt;"?",AC851&lt;&gt;""),(AC851-'Choix pédagogiques'!$C$4)/('Choix pédagogiques'!$C$5-'Choix pédagogiques'!$C$4),"")</f>
        <v/>
      </c>
      <c r="AY851" s="49" t="str">
        <f>IF(AND('Choix pédagogiques'!$C$4&lt;&gt;"?",'Choix pédagogiques'!$C$5&lt;&gt;"?",AD851&lt;&gt;""),(AD851-'Choix pédagogiques'!$C$4)/('Choix pédagogiques'!$C$5-'Choix pédagogiques'!$C$4),"")</f>
        <v/>
      </c>
      <c r="AZ851" s="22" t="str">
        <f t="shared" si="598"/>
        <v/>
      </c>
      <c r="BA851" s="21" t="str">
        <f t="shared" si="599"/>
        <v>Apprenant 839</v>
      </c>
      <c r="BB851" s="49" t="str">
        <f t="shared" si="571"/>
        <v/>
      </c>
      <c r="BC851" s="49" t="str">
        <f t="shared" si="572"/>
        <v/>
      </c>
      <c r="BD851" s="49" t="str">
        <f t="shared" si="573"/>
        <v/>
      </c>
      <c r="BE851" s="22" t="str">
        <f t="shared" si="600"/>
        <v/>
      </c>
      <c r="BF851" s="21" t="str">
        <f t="shared" si="601"/>
        <v>Apprenant 839 ou 839'</v>
      </c>
      <c r="BG851" s="49" t="str">
        <f t="shared" si="574"/>
        <v/>
      </c>
      <c r="BH851" s="49" t="str">
        <f t="shared" si="575"/>
        <v/>
      </c>
      <c r="BI851" s="49" t="str">
        <f t="shared" si="576"/>
        <v/>
      </c>
      <c r="BJ851" s="22" t="str">
        <f t="shared" si="602"/>
        <v/>
      </c>
      <c r="BL851" s="21"/>
      <c r="BM851" s="21" t="str">
        <f>IF(OR(COUNT(B851:D1850)=0,AND('Choix pédagogiques'!$C$3&lt;&gt;1,'Choix pédagogiques'!$C$3&lt;&gt;2)),"",IF(AND(OR('Choix pédagogiques'!$C$3=1,'Choix pédagogiques'!$C$3=2),$B851&lt;&gt;"",$C851&lt;&gt;"",$D851&lt;&gt;""),1,0))</f>
        <v/>
      </c>
      <c r="BN851" s="21" t="str">
        <f>IF(OR(COUNT(G851:I1850)=0,AND('Choix pédagogiques'!$C$3&lt;&gt;1,'Choix pédagogiques'!$C$3&lt;&gt;2)),"",IF(AND(OR('Choix pédagogiques'!$C$3=1,'Choix pédagogiques'!$C$3=2),AND($G851&lt;&gt;"",$H851&lt;&gt;"",$I851&lt;&gt;"")),1,0))</f>
        <v/>
      </c>
      <c r="BO851" s="21" t="str">
        <f>IF(OR(COUNT(B851:D1850)=0,COUNT(G851:I1850)=0,'Choix pédagogiques'!C$3&lt;&gt;3),"",IF(AND('Choix pédagogiques'!$C$3=3,$B851&lt;&gt;"",$C851&lt;&gt;"",$D851&lt;&gt;"",$G851&lt;&gt;"",$H851&lt;&gt;"",$I851&lt;&gt;""),1,0))</f>
        <v/>
      </c>
      <c r="BR851" s="21">
        <v>809</v>
      </c>
      <c r="BS851" s="21">
        <v>1045</v>
      </c>
      <c r="BT851"/>
    </row>
    <row r="852" spans="1:72" s="23" customFormat="1" ht="18" customHeight="1" x14ac:dyDescent="0.3">
      <c r="A852" s="35" t="s">
        <v>842</v>
      </c>
      <c r="B852" s="37"/>
      <c r="C852" s="37"/>
      <c r="D852" s="37"/>
      <c r="E852" s="37"/>
      <c r="F852" s="35" t="s">
        <v>1850</v>
      </c>
      <c r="G852" s="37"/>
      <c r="H852" s="37"/>
      <c r="I852" s="37"/>
      <c r="J852" s="37"/>
      <c r="K852" s="21" t="str">
        <f t="shared" si="577"/>
        <v>Apprenant 840</v>
      </c>
      <c r="L852" s="22" t="str">
        <f t="shared" si="578"/>
        <v/>
      </c>
      <c r="M852" s="22" t="str">
        <f t="shared" si="579"/>
        <v/>
      </c>
      <c r="N852" s="22" t="str">
        <f t="shared" si="580"/>
        <v/>
      </c>
      <c r="O852" s="22" t="str">
        <f t="shared" si="581"/>
        <v/>
      </c>
      <c r="P852" s="21" t="str">
        <f t="shared" si="582"/>
        <v>Apprenant 840 ou 840'</v>
      </c>
      <c r="Q852" s="22" t="str">
        <f t="shared" si="583"/>
        <v/>
      </c>
      <c r="R852" s="22" t="str">
        <f t="shared" si="584"/>
        <v/>
      </c>
      <c r="S852" s="22" t="str">
        <f t="shared" si="585"/>
        <v/>
      </c>
      <c r="T852" s="22" t="str">
        <f t="shared" si="586"/>
        <v/>
      </c>
      <c r="V852" s="21" t="str">
        <f t="shared" si="587"/>
        <v>Apprenant 840</v>
      </c>
      <c r="W852" s="22" t="str">
        <f>IF(AND(OR('Choix pédagogiques'!$C$3=1,'Choix pédagogiques'!$C$3=2),$BM852=1),B852,IF(AND('Choix pédagogiques'!$C$3=3,$BO852=1),B852,""))</f>
        <v/>
      </c>
      <c r="X852" s="22" t="str">
        <f>IF(AND(OR('Choix pédagogiques'!$C$3=1,'Choix pédagogiques'!$C$3=2),$BM852=1),C852,IF(AND('Choix pédagogiques'!$C$3=3,$BO852=1),C852,""))</f>
        <v/>
      </c>
      <c r="Y852" s="22" t="str">
        <f>IF(AND(OR('Choix pédagogiques'!$C$3=1,'Choix pédagogiques'!$C$3=2),$BM852=1),D852,IF(AND('Choix pédagogiques'!$C$3=3,$BO852=1),D852,""))</f>
        <v/>
      </c>
      <c r="Z852" s="22" t="str">
        <f t="shared" si="588"/>
        <v/>
      </c>
      <c r="AA852" s="21" t="str">
        <f t="shared" si="589"/>
        <v>Apprenant 840 ou 840'</v>
      </c>
      <c r="AB852" s="22" t="str">
        <f>IF(AND(OR('Choix pédagogiques'!$C$3=1,'Choix pédagogiques'!$C$3=2),$BN852=1),G852,IF(AND('Choix pédagogiques'!$C$3=3,$BO852=1),G852,""))</f>
        <v/>
      </c>
      <c r="AC852" s="22" t="str">
        <f>IF(AND(OR('Choix pédagogiques'!$C$3=1,'Choix pédagogiques'!$C$3=2),$BN852=1),H852,IF(AND('Choix pédagogiques'!$C$3=3,$BO852=1),H852,""))</f>
        <v/>
      </c>
      <c r="AD852" s="22" t="str">
        <f>IF(AND(OR('Choix pédagogiques'!$C$3=1,'Choix pédagogiques'!$C$3=2),$BN852=1),I852,IF(AND('Choix pédagogiques'!$C$3=3,$BO852=1),I852,""))</f>
        <v/>
      </c>
      <c r="AE852" s="22" t="str">
        <f t="shared" si="590"/>
        <v/>
      </c>
      <c r="AF852" s="21" t="str">
        <f t="shared" si="591"/>
        <v>Apprenant 840</v>
      </c>
      <c r="AG852" s="22" t="str">
        <f t="shared" si="565"/>
        <v/>
      </c>
      <c r="AH852" s="22" t="str">
        <f t="shared" si="566"/>
        <v/>
      </c>
      <c r="AI852" s="22" t="str">
        <f t="shared" si="567"/>
        <v/>
      </c>
      <c r="AJ852" s="22" t="str">
        <f t="shared" si="592"/>
        <v/>
      </c>
      <c r="AK852" s="21" t="str">
        <f t="shared" si="593"/>
        <v>Apprenant 840 ou 840'</v>
      </c>
      <c r="AL852" s="22" t="str">
        <f t="shared" si="568"/>
        <v/>
      </c>
      <c r="AM852" s="22" t="str">
        <f t="shared" si="569"/>
        <v/>
      </c>
      <c r="AN852" s="22" t="str">
        <f t="shared" si="570"/>
        <v/>
      </c>
      <c r="AO852" s="22" t="str">
        <f t="shared" si="594"/>
        <v/>
      </c>
      <c r="AQ852" s="21" t="str">
        <f t="shared" si="595"/>
        <v>Apprenant 840</v>
      </c>
      <c r="AR852" s="49" t="str">
        <f>IF(AND('Choix pédagogiques'!$C$4&lt;&gt;"?",'Choix pédagogiques'!$C$5&lt;&gt;"?",W852&lt;&gt;""),(W852-'Choix pédagogiques'!$C$4)/('Choix pédagogiques'!$C$5-'Choix pédagogiques'!$C$4),"")</f>
        <v/>
      </c>
      <c r="AS852" s="49" t="str">
        <f>IF(AND('Choix pédagogiques'!$C$4&lt;&gt;"?",'Choix pédagogiques'!$C$5&lt;&gt;"?",X852&lt;&gt;""),(X852-'Choix pédagogiques'!$C$4)/('Choix pédagogiques'!$C$5-'Choix pédagogiques'!$C$4),"")</f>
        <v/>
      </c>
      <c r="AT852" s="49" t="str">
        <f>IF(AND('Choix pédagogiques'!$C$4&lt;&gt;"?",'Choix pédagogiques'!$C$5&lt;&gt;"?",Y852&lt;&gt;""),(Y852-'Choix pédagogiques'!$C$4)/('Choix pédagogiques'!$C$5-'Choix pédagogiques'!$C$4),"")</f>
        <v/>
      </c>
      <c r="AU852" s="22" t="str">
        <f t="shared" si="596"/>
        <v/>
      </c>
      <c r="AV852" s="21" t="str">
        <f t="shared" si="597"/>
        <v>Apprenant 840 ou 840'</v>
      </c>
      <c r="AW852" s="49" t="str">
        <f>IF(AND('Choix pédagogiques'!$C$4&lt;&gt;"?",'Choix pédagogiques'!$C$5&lt;&gt;"?",AB852&lt;&gt;""),(AB852-'Choix pédagogiques'!$C$4)/('Choix pédagogiques'!$C$5-'Choix pédagogiques'!$C$4),"")</f>
        <v/>
      </c>
      <c r="AX852" s="49" t="str">
        <f>IF(AND('Choix pédagogiques'!$C$4&lt;&gt;"?",'Choix pédagogiques'!$C$5&lt;&gt;"?",AC852&lt;&gt;""),(AC852-'Choix pédagogiques'!$C$4)/('Choix pédagogiques'!$C$5-'Choix pédagogiques'!$C$4),"")</f>
        <v/>
      </c>
      <c r="AY852" s="49" t="str">
        <f>IF(AND('Choix pédagogiques'!$C$4&lt;&gt;"?",'Choix pédagogiques'!$C$5&lt;&gt;"?",AD852&lt;&gt;""),(AD852-'Choix pédagogiques'!$C$4)/('Choix pédagogiques'!$C$5-'Choix pédagogiques'!$C$4),"")</f>
        <v/>
      </c>
      <c r="AZ852" s="22" t="str">
        <f t="shared" si="598"/>
        <v/>
      </c>
      <c r="BA852" s="21" t="str">
        <f t="shared" si="599"/>
        <v>Apprenant 840</v>
      </c>
      <c r="BB852" s="49" t="str">
        <f t="shared" si="571"/>
        <v/>
      </c>
      <c r="BC852" s="49" t="str">
        <f t="shared" si="572"/>
        <v/>
      </c>
      <c r="BD852" s="49" t="str">
        <f t="shared" si="573"/>
        <v/>
      </c>
      <c r="BE852" s="22" t="str">
        <f t="shared" si="600"/>
        <v/>
      </c>
      <c r="BF852" s="21" t="str">
        <f t="shared" si="601"/>
        <v>Apprenant 840 ou 840'</v>
      </c>
      <c r="BG852" s="49" t="str">
        <f t="shared" si="574"/>
        <v/>
      </c>
      <c r="BH852" s="49" t="str">
        <f t="shared" si="575"/>
        <v/>
      </c>
      <c r="BI852" s="49" t="str">
        <f t="shared" si="576"/>
        <v/>
      </c>
      <c r="BJ852" s="22" t="str">
        <f t="shared" si="602"/>
        <v/>
      </c>
      <c r="BL852" s="21"/>
      <c r="BM852" s="21" t="str">
        <f>IF(OR(COUNT(B852:D1851)=0,AND('Choix pédagogiques'!$C$3&lt;&gt;1,'Choix pédagogiques'!$C$3&lt;&gt;2)),"",IF(AND(OR('Choix pédagogiques'!$C$3=1,'Choix pédagogiques'!$C$3=2),$B852&lt;&gt;"",$C852&lt;&gt;"",$D852&lt;&gt;""),1,0))</f>
        <v/>
      </c>
      <c r="BN852" s="21" t="str">
        <f>IF(OR(COUNT(G852:I1851)=0,AND('Choix pédagogiques'!$C$3&lt;&gt;1,'Choix pédagogiques'!$C$3&lt;&gt;2)),"",IF(AND(OR('Choix pédagogiques'!$C$3=1,'Choix pédagogiques'!$C$3=2),AND($G852&lt;&gt;"",$H852&lt;&gt;"",$I852&lt;&gt;"")),1,0))</f>
        <v/>
      </c>
      <c r="BO852" s="21" t="str">
        <f>IF(OR(COUNT(B852:D1851)=0,COUNT(G852:I1851)=0,'Choix pédagogiques'!C$3&lt;&gt;3),"",IF(AND('Choix pédagogiques'!$C$3=3,$B852&lt;&gt;"",$C852&lt;&gt;"",$D852&lt;&gt;"",$G852&lt;&gt;"",$H852&lt;&gt;"",$I852&lt;&gt;""),1,0))</f>
        <v/>
      </c>
      <c r="BR852" s="21">
        <v>584</v>
      </c>
      <c r="BS852" s="21">
        <v>1399</v>
      </c>
      <c r="BT852"/>
    </row>
    <row r="853" spans="1:72" s="23" customFormat="1" ht="18" customHeight="1" x14ac:dyDescent="0.3">
      <c r="A853" s="35" t="s">
        <v>843</v>
      </c>
      <c r="B853" s="37"/>
      <c r="C853" s="37"/>
      <c r="D853" s="37"/>
      <c r="E853" s="37"/>
      <c r="F853" s="35" t="s">
        <v>1851</v>
      </c>
      <c r="G853" s="37"/>
      <c r="H853" s="37"/>
      <c r="I853" s="37"/>
      <c r="J853" s="37"/>
      <c r="K853" s="21" t="str">
        <f t="shared" si="577"/>
        <v>Apprenant 841</v>
      </c>
      <c r="L853" s="22" t="str">
        <f t="shared" si="578"/>
        <v/>
      </c>
      <c r="M853" s="22" t="str">
        <f t="shared" si="579"/>
        <v/>
      </c>
      <c r="N853" s="22" t="str">
        <f t="shared" si="580"/>
        <v/>
      </c>
      <c r="O853" s="22" t="str">
        <f t="shared" si="581"/>
        <v/>
      </c>
      <c r="P853" s="21" t="str">
        <f t="shared" si="582"/>
        <v>Apprenant 841 ou 841'</v>
      </c>
      <c r="Q853" s="22" t="str">
        <f t="shared" si="583"/>
        <v/>
      </c>
      <c r="R853" s="22" t="str">
        <f t="shared" si="584"/>
        <v/>
      </c>
      <c r="S853" s="22" t="str">
        <f t="shared" si="585"/>
        <v/>
      </c>
      <c r="T853" s="22" t="str">
        <f t="shared" si="586"/>
        <v/>
      </c>
      <c r="V853" s="21" t="str">
        <f t="shared" si="587"/>
        <v>Apprenant 841</v>
      </c>
      <c r="W853" s="22" t="str">
        <f>IF(AND(OR('Choix pédagogiques'!$C$3=1,'Choix pédagogiques'!$C$3=2),$BM853=1),B853,IF(AND('Choix pédagogiques'!$C$3=3,$BO853=1),B853,""))</f>
        <v/>
      </c>
      <c r="X853" s="22" t="str">
        <f>IF(AND(OR('Choix pédagogiques'!$C$3=1,'Choix pédagogiques'!$C$3=2),$BM853=1),C853,IF(AND('Choix pédagogiques'!$C$3=3,$BO853=1),C853,""))</f>
        <v/>
      </c>
      <c r="Y853" s="22" t="str">
        <f>IF(AND(OR('Choix pédagogiques'!$C$3=1,'Choix pédagogiques'!$C$3=2),$BM853=1),D853,IF(AND('Choix pédagogiques'!$C$3=3,$BO853=1),D853,""))</f>
        <v/>
      </c>
      <c r="Z853" s="22" t="str">
        <f t="shared" si="588"/>
        <v/>
      </c>
      <c r="AA853" s="21" t="str">
        <f t="shared" si="589"/>
        <v>Apprenant 841 ou 841'</v>
      </c>
      <c r="AB853" s="22" t="str">
        <f>IF(AND(OR('Choix pédagogiques'!$C$3=1,'Choix pédagogiques'!$C$3=2),$BN853=1),G853,IF(AND('Choix pédagogiques'!$C$3=3,$BO853=1),G853,""))</f>
        <v/>
      </c>
      <c r="AC853" s="22" t="str">
        <f>IF(AND(OR('Choix pédagogiques'!$C$3=1,'Choix pédagogiques'!$C$3=2),$BN853=1),H853,IF(AND('Choix pédagogiques'!$C$3=3,$BO853=1),H853,""))</f>
        <v/>
      </c>
      <c r="AD853" s="22" t="str">
        <f>IF(AND(OR('Choix pédagogiques'!$C$3=1,'Choix pédagogiques'!$C$3=2),$BN853=1),I853,IF(AND('Choix pédagogiques'!$C$3=3,$BO853=1),I853,""))</f>
        <v/>
      </c>
      <c r="AE853" s="22" t="str">
        <f t="shared" si="590"/>
        <v/>
      </c>
      <c r="AF853" s="21" t="str">
        <f t="shared" si="591"/>
        <v>Apprenant 841</v>
      </c>
      <c r="AG853" s="22" t="str">
        <f t="shared" si="565"/>
        <v/>
      </c>
      <c r="AH853" s="22" t="str">
        <f t="shared" si="566"/>
        <v/>
      </c>
      <c r="AI853" s="22" t="str">
        <f t="shared" si="567"/>
        <v/>
      </c>
      <c r="AJ853" s="22" t="str">
        <f t="shared" si="592"/>
        <v/>
      </c>
      <c r="AK853" s="21" t="str">
        <f t="shared" si="593"/>
        <v>Apprenant 841 ou 841'</v>
      </c>
      <c r="AL853" s="22" t="str">
        <f t="shared" si="568"/>
        <v/>
      </c>
      <c r="AM853" s="22" t="str">
        <f t="shared" si="569"/>
        <v/>
      </c>
      <c r="AN853" s="22" t="str">
        <f t="shared" si="570"/>
        <v/>
      </c>
      <c r="AO853" s="22" t="str">
        <f t="shared" si="594"/>
        <v/>
      </c>
      <c r="AQ853" s="21" t="str">
        <f t="shared" si="595"/>
        <v>Apprenant 841</v>
      </c>
      <c r="AR853" s="49" t="str">
        <f>IF(AND('Choix pédagogiques'!$C$4&lt;&gt;"?",'Choix pédagogiques'!$C$5&lt;&gt;"?",W853&lt;&gt;""),(W853-'Choix pédagogiques'!$C$4)/('Choix pédagogiques'!$C$5-'Choix pédagogiques'!$C$4),"")</f>
        <v/>
      </c>
      <c r="AS853" s="49" t="str">
        <f>IF(AND('Choix pédagogiques'!$C$4&lt;&gt;"?",'Choix pédagogiques'!$C$5&lt;&gt;"?",X853&lt;&gt;""),(X853-'Choix pédagogiques'!$C$4)/('Choix pédagogiques'!$C$5-'Choix pédagogiques'!$C$4),"")</f>
        <v/>
      </c>
      <c r="AT853" s="49" t="str">
        <f>IF(AND('Choix pédagogiques'!$C$4&lt;&gt;"?",'Choix pédagogiques'!$C$5&lt;&gt;"?",Y853&lt;&gt;""),(Y853-'Choix pédagogiques'!$C$4)/('Choix pédagogiques'!$C$5-'Choix pédagogiques'!$C$4),"")</f>
        <v/>
      </c>
      <c r="AU853" s="22" t="str">
        <f t="shared" si="596"/>
        <v/>
      </c>
      <c r="AV853" s="21" t="str">
        <f t="shared" si="597"/>
        <v>Apprenant 841 ou 841'</v>
      </c>
      <c r="AW853" s="49" t="str">
        <f>IF(AND('Choix pédagogiques'!$C$4&lt;&gt;"?",'Choix pédagogiques'!$C$5&lt;&gt;"?",AB853&lt;&gt;""),(AB853-'Choix pédagogiques'!$C$4)/('Choix pédagogiques'!$C$5-'Choix pédagogiques'!$C$4),"")</f>
        <v/>
      </c>
      <c r="AX853" s="49" t="str">
        <f>IF(AND('Choix pédagogiques'!$C$4&lt;&gt;"?",'Choix pédagogiques'!$C$5&lt;&gt;"?",AC853&lt;&gt;""),(AC853-'Choix pédagogiques'!$C$4)/('Choix pédagogiques'!$C$5-'Choix pédagogiques'!$C$4),"")</f>
        <v/>
      </c>
      <c r="AY853" s="49" t="str">
        <f>IF(AND('Choix pédagogiques'!$C$4&lt;&gt;"?",'Choix pédagogiques'!$C$5&lt;&gt;"?",AD853&lt;&gt;""),(AD853-'Choix pédagogiques'!$C$4)/('Choix pédagogiques'!$C$5-'Choix pédagogiques'!$C$4),"")</f>
        <v/>
      </c>
      <c r="AZ853" s="22" t="str">
        <f t="shared" si="598"/>
        <v/>
      </c>
      <c r="BA853" s="21" t="str">
        <f t="shared" si="599"/>
        <v>Apprenant 841</v>
      </c>
      <c r="BB853" s="49" t="str">
        <f t="shared" si="571"/>
        <v/>
      </c>
      <c r="BC853" s="49" t="str">
        <f t="shared" si="572"/>
        <v/>
      </c>
      <c r="BD853" s="49" t="str">
        <f t="shared" si="573"/>
        <v/>
      </c>
      <c r="BE853" s="22" t="str">
        <f t="shared" si="600"/>
        <v/>
      </c>
      <c r="BF853" s="21" t="str">
        <f t="shared" si="601"/>
        <v>Apprenant 841 ou 841'</v>
      </c>
      <c r="BG853" s="49" t="str">
        <f t="shared" si="574"/>
        <v/>
      </c>
      <c r="BH853" s="49" t="str">
        <f t="shared" si="575"/>
        <v/>
      </c>
      <c r="BI853" s="49" t="str">
        <f t="shared" si="576"/>
        <v/>
      </c>
      <c r="BJ853" s="22" t="str">
        <f t="shared" si="602"/>
        <v/>
      </c>
      <c r="BL853" s="21"/>
      <c r="BM853" s="21" t="str">
        <f>IF(OR(COUNT(B853:D1852)=0,AND('Choix pédagogiques'!$C$3&lt;&gt;1,'Choix pédagogiques'!$C$3&lt;&gt;2)),"",IF(AND(OR('Choix pédagogiques'!$C$3=1,'Choix pédagogiques'!$C$3=2),$B853&lt;&gt;"",$C853&lt;&gt;"",$D853&lt;&gt;""),1,0))</f>
        <v/>
      </c>
      <c r="BN853" s="21" t="str">
        <f>IF(OR(COUNT(G853:I1852)=0,AND('Choix pédagogiques'!$C$3&lt;&gt;1,'Choix pédagogiques'!$C$3&lt;&gt;2)),"",IF(AND(OR('Choix pédagogiques'!$C$3=1,'Choix pédagogiques'!$C$3=2),AND($G853&lt;&gt;"",$H853&lt;&gt;"",$I853&lt;&gt;"")),1,0))</f>
        <v/>
      </c>
      <c r="BO853" s="21" t="str">
        <f>IF(OR(COUNT(B853:D1852)=0,COUNT(G853:I1852)=0,'Choix pédagogiques'!C$3&lt;&gt;3),"",IF(AND('Choix pédagogiques'!$C$3=3,$B853&lt;&gt;"",$C853&lt;&gt;"",$D853&lt;&gt;"",$G853&lt;&gt;"",$H853&lt;&gt;"",$I853&lt;&gt;""),1,0))</f>
        <v/>
      </c>
      <c r="BR853" s="21">
        <v>240</v>
      </c>
      <c r="BS853" s="21">
        <v>1688</v>
      </c>
      <c r="BT853"/>
    </row>
    <row r="854" spans="1:72" s="23" customFormat="1" ht="18" customHeight="1" x14ac:dyDescent="0.3">
      <c r="A854" s="35" t="s">
        <v>844</v>
      </c>
      <c r="B854" s="37"/>
      <c r="C854" s="37"/>
      <c r="D854" s="37"/>
      <c r="E854" s="37"/>
      <c r="F854" s="35" t="s">
        <v>1852</v>
      </c>
      <c r="G854" s="37"/>
      <c r="H854" s="37"/>
      <c r="I854" s="37"/>
      <c r="J854" s="37"/>
      <c r="K854" s="21" t="str">
        <f t="shared" si="577"/>
        <v>Apprenant 842</v>
      </c>
      <c r="L854" s="22" t="str">
        <f t="shared" si="578"/>
        <v/>
      </c>
      <c r="M854" s="22" t="str">
        <f t="shared" si="579"/>
        <v/>
      </c>
      <c r="N854" s="22" t="str">
        <f t="shared" si="580"/>
        <v/>
      </c>
      <c r="O854" s="22" t="str">
        <f t="shared" si="581"/>
        <v/>
      </c>
      <c r="P854" s="21" t="str">
        <f t="shared" si="582"/>
        <v>Apprenant 842 ou 842'</v>
      </c>
      <c r="Q854" s="22" t="str">
        <f t="shared" si="583"/>
        <v/>
      </c>
      <c r="R854" s="22" t="str">
        <f t="shared" si="584"/>
        <v/>
      </c>
      <c r="S854" s="22" t="str">
        <f t="shared" si="585"/>
        <v/>
      </c>
      <c r="T854" s="22" t="str">
        <f t="shared" si="586"/>
        <v/>
      </c>
      <c r="V854" s="21" t="str">
        <f t="shared" si="587"/>
        <v>Apprenant 842</v>
      </c>
      <c r="W854" s="22" t="str">
        <f>IF(AND(OR('Choix pédagogiques'!$C$3=1,'Choix pédagogiques'!$C$3=2),$BM854=1),B854,IF(AND('Choix pédagogiques'!$C$3=3,$BO854=1),B854,""))</f>
        <v/>
      </c>
      <c r="X854" s="22" t="str">
        <f>IF(AND(OR('Choix pédagogiques'!$C$3=1,'Choix pédagogiques'!$C$3=2),$BM854=1),C854,IF(AND('Choix pédagogiques'!$C$3=3,$BO854=1),C854,""))</f>
        <v/>
      </c>
      <c r="Y854" s="22" t="str">
        <f>IF(AND(OR('Choix pédagogiques'!$C$3=1,'Choix pédagogiques'!$C$3=2),$BM854=1),D854,IF(AND('Choix pédagogiques'!$C$3=3,$BO854=1),D854,""))</f>
        <v/>
      </c>
      <c r="Z854" s="22" t="str">
        <f t="shared" si="588"/>
        <v/>
      </c>
      <c r="AA854" s="21" t="str">
        <f t="shared" si="589"/>
        <v>Apprenant 842 ou 842'</v>
      </c>
      <c r="AB854" s="22" t="str">
        <f>IF(AND(OR('Choix pédagogiques'!$C$3=1,'Choix pédagogiques'!$C$3=2),$BN854=1),G854,IF(AND('Choix pédagogiques'!$C$3=3,$BO854=1),G854,""))</f>
        <v/>
      </c>
      <c r="AC854" s="22" t="str">
        <f>IF(AND(OR('Choix pédagogiques'!$C$3=1,'Choix pédagogiques'!$C$3=2),$BN854=1),H854,IF(AND('Choix pédagogiques'!$C$3=3,$BO854=1),H854,""))</f>
        <v/>
      </c>
      <c r="AD854" s="22" t="str">
        <f>IF(AND(OR('Choix pédagogiques'!$C$3=1,'Choix pédagogiques'!$C$3=2),$BN854=1),I854,IF(AND('Choix pédagogiques'!$C$3=3,$BO854=1),I854,""))</f>
        <v/>
      </c>
      <c r="AE854" s="22" t="str">
        <f t="shared" si="590"/>
        <v/>
      </c>
      <c r="AF854" s="21" t="str">
        <f t="shared" si="591"/>
        <v>Apprenant 842</v>
      </c>
      <c r="AG854" s="22" t="str">
        <f t="shared" si="565"/>
        <v/>
      </c>
      <c r="AH854" s="22" t="str">
        <f t="shared" si="566"/>
        <v/>
      </c>
      <c r="AI854" s="22" t="str">
        <f t="shared" si="567"/>
        <v/>
      </c>
      <c r="AJ854" s="22" t="str">
        <f t="shared" si="592"/>
        <v/>
      </c>
      <c r="AK854" s="21" t="str">
        <f t="shared" si="593"/>
        <v>Apprenant 842 ou 842'</v>
      </c>
      <c r="AL854" s="22" t="str">
        <f t="shared" si="568"/>
        <v/>
      </c>
      <c r="AM854" s="22" t="str">
        <f t="shared" si="569"/>
        <v/>
      </c>
      <c r="AN854" s="22" t="str">
        <f t="shared" si="570"/>
        <v/>
      </c>
      <c r="AO854" s="22" t="str">
        <f t="shared" si="594"/>
        <v/>
      </c>
      <c r="AQ854" s="21" t="str">
        <f t="shared" si="595"/>
        <v>Apprenant 842</v>
      </c>
      <c r="AR854" s="49" t="str">
        <f>IF(AND('Choix pédagogiques'!$C$4&lt;&gt;"?",'Choix pédagogiques'!$C$5&lt;&gt;"?",W854&lt;&gt;""),(W854-'Choix pédagogiques'!$C$4)/('Choix pédagogiques'!$C$5-'Choix pédagogiques'!$C$4),"")</f>
        <v/>
      </c>
      <c r="AS854" s="49" t="str">
        <f>IF(AND('Choix pédagogiques'!$C$4&lt;&gt;"?",'Choix pédagogiques'!$C$5&lt;&gt;"?",X854&lt;&gt;""),(X854-'Choix pédagogiques'!$C$4)/('Choix pédagogiques'!$C$5-'Choix pédagogiques'!$C$4),"")</f>
        <v/>
      </c>
      <c r="AT854" s="49" t="str">
        <f>IF(AND('Choix pédagogiques'!$C$4&lt;&gt;"?",'Choix pédagogiques'!$C$5&lt;&gt;"?",Y854&lt;&gt;""),(Y854-'Choix pédagogiques'!$C$4)/('Choix pédagogiques'!$C$5-'Choix pédagogiques'!$C$4),"")</f>
        <v/>
      </c>
      <c r="AU854" s="22" t="str">
        <f t="shared" si="596"/>
        <v/>
      </c>
      <c r="AV854" s="21" t="str">
        <f t="shared" si="597"/>
        <v>Apprenant 842 ou 842'</v>
      </c>
      <c r="AW854" s="49" t="str">
        <f>IF(AND('Choix pédagogiques'!$C$4&lt;&gt;"?",'Choix pédagogiques'!$C$5&lt;&gt;"?",AB854&lt;&gt;""),(AB854-'Choix pédagogiques'!$C$4)/('Choix pédagogiques'!$C$5-'Choix pédagogiques'!$C$4),"")</f>
        <v/>
      </c>
      <c r="AX854" s="49" t="str">
        <f>IF(AND('Choix pédagogiques'!$C$4&lt;&gt;"?",'Choix pédagogiques'!$C$5&lt;&gt;"?",AC854&lt;&gt;""),(AC854-'Choix pédagogiques'!$C$4)/('Choix pédagogiques'!$C$5-'Choix pédagogiques'!$C$4),"")</f>
        <v/>
      </c>
      <c r="AY854" s="49" t="str">
        <f>IF(AND('Choix pédagogiques'!$C$4&lt;&gt;"?",'Choix pédagogiques'!$C$5&lt;&gt;"?",AD854&lt;&gt;""),(AD854-'Choix pédagogiques'!$C$4)/('Choix pédagogiques'!$C$5-'Choix pédagogiques'!$C$4),"")</f>
        <v/>
      </c>
      <c r="AZ854" s="22" t="str">
        <f t="shared" si="598"/>
        <v/>
      </c>
      <c r="BA854" s="21" t="str">
        <f t="shared" si="599"/>
        <v>Apprenant 842</v>
      </c>
      <c r="BB854" s="49" t="str">
        <f t="shared" si="571"/>
        <v/>
      </c>
      <c r="BC854" s="49" t="str">
        <f t="shared" si="572"/>
        <v/>
      </c>
      <c r="BD854" s="49" t="str">
        <f t="shared" si="573"/>
        <v/>
      </c>
      <c r="BE854" s="22" t="str">
        <f t="shared" si="600"/>
        <v/>
      </c>
      <c r="BF854" s="21" t="str">
        <f t="shared" si="601"/>
        <v>Apprenant 842 ou 842'</v>
      </c>
      <c r="BG854" s="49" t="str">
        <f t="shared" si="574"/>
        <v/>
      </c>
      <c r="BH854" s="49" t="str">
        <f t="shared" si="575"/>
        <v/>
      </c>
      <c r="BI854" s="49" t="str">
        <f t="shared" si="576"/>
        <v/>
      </c>
      <c r="BJ854" s="22" t="str">
        <f t="shared" si="602"/>
        <v/>
      </c>
      <c r="BL854" s="21"/>
      <c r="BM854" s="21" t="str">
        <f>IF(OR(COUNT(B854:D1853)=0,AND('Choix pédagogiques'!$C$3&lt;&gt;1,'Choix pédagogiques'!$C$3&lt;&gt;2)),"",IF(AND(OR('Choix pédagogiques'!$C$3=1,'Choix pédagogiques'!$C$3=2),$B854&lt;&gt;"",$C854&lt;&gt;"",$D854&lt;&gt;""),1,0))</f>
        <v/>
      </c>
      <c r="BN854" s="21" t="str">
        <f>IF(OR(COUNT(G854:I1853)=0,AND('Choix pédagogiques'!$C$3&lt;&gt;1,'Choix pédagogiques'!$C$3&lt;&gt;2)),"",IF(AND(OR('Choix pédagogiques'!$C$3=1,'Choix pédagogiques'!$C$3=2),AND($G854&lt;&gt;"",$H854&lt;&gt;"",$I854&lt;&gt;"")),1,0))</f>
        <v/>
      </c>
      <c r="BO854" s="21" t="str">
        <f>IF(OR(COUNT(B854:D1853)=0,COUNT(G854:I1853)=0,'Choix pédagogiques'!C$3&lt;&gt;3),"",IF(AND('Choix pédagogiques'!$C$3=3,$B854&lt;&gt;"",$C854&lt;&gt;"",$D854&lt;&gt;"",$G854&lt;&gt;"",$H854&lt;&gt;"",$I854&lt;&gt;""),1,0))</f>
        <v/>
      </c>
      <c r="BR854" s="21">
        <v>161</v>
      </c>
      <c r="BS854" s="21">
        <v>1235</v>
      </c>
      <c r="BT854"/>
    </row>
    <row r="855" spans="1:72" s="23" customFormat="1" ht="18" customHeight="1" x14ac:dyDescent="0.3">
      <c r="A855" s="35" t="s">
        <v>845</v>
      </c>
      <c r="B855" s="37"/>
      <c r="C855" s="37"/>
      <c r="D855" s="37"/>
      <c r="E855" s="37"/>
      <c r="F855" s="35" t="s">
        <v>1853</v>
      </c>
      <c r="G855" s="37"/>
      <c r="H855" s="37"/>
      <c r="I855" s="37"/>
      <c r="J855" s="37"/>
      <c r="K855" s="21" t="str">
        <f t="shared" si="577"/>
        <v>Apprenant 843</v>
      </c>
      <c r="L855" s="22" t="str">
        <f t="shared" si="578"/>
        <v/>
      </c>
      <c r="M855" s="22" t="str">
        <f t="shared" si="579"/>
        <v/>
      </c>
      <c r="N855" s="22" t="str">
        <f t="shared" si="580"/>
        <v/>
      </c>
      <c r="O855" s="22" t="str">
        <f t="shared" si="581"/>
        <v/>
      </c>
      <c r="P855" s="21" t="str">
        <f t="shared" si="582"/>
        <v>Apprenant 843 ou 843'</v>
      </c>
      <c r="Q855" s="22" t="str">
        <f t="shared" si="583"/>
        <v/>
      </c>
      <c r="R855" s="22" t="str">
        <f t="shared" si="584"/>
        <v/>
      </c>
      <c r="S855" s="22" t="str">
        <f t="shared" si="585"/>
        <v/>
      </c>
      <c r="T855" s="22" t="str">
        <f t="shared" si="586"/>
        <v/>
      </c>
      <c r="V855" s="21" t="str">
        <f t="shared" si="587"/>
        <v>Apprenant 843</v>
      </c>
      <c r="W855" s="22" t="str">
        <f>IF(AND(OR('Choix pédagogiques'!$C$3=1,'Choix pédagogiques'!$C$3=2),$BM855=1),B855,IF(AND('Choix pédagogiques'!$C$3=3,$BO855=1),B855,""))</f>
        <v/>
      </c>
      <c r="X855" s="22" t="str">
        <f>IF(AND(OR('Choix pédagogiques'!$C$3=1,'Choix pédagogiques'!$C$3=2),$BM855=1),C855,IF(AND('Choix pédagogiques'!$C$3=3,$BO855=1),C855,""))</f>
        <v/>
      </c>
      <c r="Y855" s="22" t="str">
        <f>IF(AND(OR('Choix pédagogiques'!$C$3=1,'Choix pédagogiques'!$C$3=2),$BM855=1),D855,IF(AND('Choix pédagogiques'!$C$3=3,$BO855=1),D855,""))</f>
        <v/>
      </c>
      <c r="Z855" s="22" t="str">
        <f t="shared" si="588"/>
        <v/>
      </c>
      <c r="AA855" s="21" t="str">
        <f t="shared" si="589"/>
        <v>Apprenant 843 ou 843'</v>
      </c>
      <c r="AB855" s="22" t="str">
        <f>IF(AND(OR('Choix pédagogiques'!$C$3=1,'Choix pédagogiques'!$C$3=2),$BN855=1),G855,IF(AND('Choix pédagogiques'!$C$3=3,$BO855=1),G855,""))</f>
        <v/>
      </c>
      <c r="AC855" s="22" t="str">
        <f>IF(AND(OR('Choix pédagogiques'!$C$3=1,'Choix pédagogiques'!$C$3=2),$BN855=1),H855,IF(AND('Choix pédagogiques'!$C$3=3,$BO855=1),H855,""))</f>
        <v/>
      </c>
      <c r="AD855" s="22" t="str">
        <f>IF(AND(OR('Choix pédagogiques'!$C$3=1,'Choix pédagogiques'!$C$3=2),$BN855=1),I855,IF(AND('Choix pédagogiques'!$C$3=3,$BO855=1),I855,""))</f>
        <v/>
      </c>
      <c r="AE855" s="22" t="str">
        <f t="shared" si="590"/>
        <v/>
      </c>
      <c r="AF855" s="21" t="str">
        <f t="shared" si="591"/>
        <v>Apprenant 843</v>
      </c>
      <c r="AG855" s="22" t="str">
        <f t="shared" si="565"/>
        <v/>
      </c>
      <c r="AH855" s="22" t="str">
        <f t="shared" si="566"/>
        <v/>
      </c>
      <c r="AI855" s="22" t="str">
        <f t="shared" si="567"/>
        <v/>
      </c>
      <c r="AJ855" s="22" t="str">
        <f t="shared" si="592"/>
        <v/>
      </c>
      <c r="AK855" s="21" t="str">
        <f t="shared" si="593"/>
        <v>Apprenant 843 ou 843'</v>
      </c>
      <c r="AL855" s="22" t="str">
        <f t="shared" si="568"/>
        <v/>
      </c>
      <c r="AM855" s="22" t="str">
        <f t="shared" si="569"/>
        <v/>
      </c>
      <c r="AN855" s="22" t="str">
        <f t="shared" si="570"/>
        <v/>
      </c>
      <c r="AO855" s="22" t="str">
        <f t="shared" si="594"/>
        <v/>
      </c>
      <c r="AQ855" s="21" t="str">
        <f t="shared" si="595"/>
        <v>Apprenant 843</v>
      </c>
      <c r="AR855" s="49" t="str">
        <f>IF(AND('Choix pédagogiques'!$C$4&lt;&gt;"?",'Choix pédagogiques'!$C$5&lt;&gt;"?",W855&lt;&gt;""),(W855-'Choix pédagogiques'!$C$4)/('Choix pédagogiques'!$C$5-'Choix pédagogiques'!$C$4),"")</f>
        <v/>
      </c>
      <c r="AS855" s="49" t="str">
        <f>IF(AND('Choix pédagogiques'!$C$4&lt;&gt;"?",'Choix pédagogiques'!$C$5&lt;&gt;"?",X855&lt;&gt;""),(X855-'Choix pédagogiques'!$C$4)/('Choix pédagogiques'!$C$5-'Choix pédagogiques'!$C$4),"")</f>
        <v/>
      </c>
      <c r="AT855" s="49" t="str">
        <f>IF(AND('Choix pédagogiques'!$C$4&lt;&gt;"?",'Choix pédagogiques'!$C$5&lt;&gt;"?",Y855&lt;&gt;""),(Y855-'Choix pédagogiques'!$C$4)/('Choix pédagogiques'!$C$5-'Choix pédagogiques'!$C$4),"")</f>
        <v/>
      </c>
      <c r="AU855" s="22" t="str">
        <f t="shared" si="596"/>
        <v/>
      </c>
      <c r="AV855" s="21" t="str">
        <f t="shared" si="597"/>
        <v>Apprenant 843 ou 843'</v>
      </c>
      <c r="AW855" s="49" t="str">
        <f>IF(AND('Choix pédagogiques'!$C$4&lt;&gt;"?",'Choix pédagogiques'!$C$5&lt;&gt;"?",AB855&lt;&gt;""),(AB855-'Choix pédagogiques'!$C$4)/('Choix pédagogiques'!$C$5-'Choix pédagogiques'!$C$4),"")</f>
        <v/>
      </c>
      <c r="AX855" s="49" t="str">
        <f>IF(AND('Choix pédagogiques'!$C$4&lt;&gt;"?",'Choix pédagogiques'!$C$5&lt;&gt;"?",AC855&lt;&gt;""),(AC855-'Choix pédagogiques'!$C$4)/('Choix pédagogiques'!$C$5-'Choix pédagogiques'!$C$4),"")</f>
        <v/>
      </c>
      <c r="AY855" s="49" t="str">
        <f>IF(AND('Choix pédagogiques'!$C$4&lt;&gt;"?",'Choix pédagogiques'!$C$5&lt;&gt;"?",AD855&lt;&gt;""),(AD855-'Choix pédagogiques'!$C$4)/('Choix pédagogiques'!$C$5-'Choix pédagogiques'!$C$4),"")</f>
        <v/>
      </c>
      <c r="AZ855" s="22" t="str">
        <f t="shared" si="598"/>
        <v/>
      </c>
      <c r="BA855" s="21" t="str">
        <f t="shared" si="599"/>
        <v>Apprenant 843</v>
      </c>
      <c r="BB855" s="49" t="str">
        <f t="shared" si="571"/>
        <v/>
      </c>
      <c r="BC855" s="49" t="str">
        <f t="shared" si="572"/>
        <v/>
      </c>
      <c r="BD855" s="49" t="str">
        <f t="shared" si="573"/>
        <v/>
      </c>
      <c r="BE855" s="22" t="str">
        <f t="shared" si="600"/>
        <v/>
      </c>
      <c r="BF855" s="21" t="str">
        <f t="shared" si="601"/>
        <v>Apprenant 843 ou 843'</v>
      </c>
      <c r="BG855" s="49" t="str">
        <f t="shared" si="574"/>
        <v/>
      </c>
      <c r="BH855" s="49" t="str">
        <f t="shared" si="575"/>
        <v/>
      </c>
      <c r="BI855" s="49" t="str">
        <f t="shared" si="576"/>
        <v/>
      </c>
      <c r="BJ855" s="22" t="str">
        <f t="shared" si="602"/>
        <v/>
      </c>
      <c r="BL855" s="21"/>
      <c r="BM855" s="21" t="str">
        <f>IF(OR(COUNT(B855:D1854)=0,AND('Choix pédagogiques'!$C$3&lt;&gt;1,'Choix pédagogiques'!$C$3&lt;&gt;2)),"",IF(AND(OR('Choix pédagogiques'!$C$3=1,'Choix pédagogiques'!$C$3=2),$B855&lt;&gt;"",$C855&lt;&gt;"",$D855&lt;&gt;""),1,0))</f>
        <v/>
      </c>
      <c r="BN855" s="21" t="str">
        <f>IF(OR(COUNT(G855:I1854)=0,AND('Choix pédagogiques'!$C$3&lt;&gt;1,'Choix pédagogiques'!$C$3&lt;&gt;2)),"",IF(AND(OR('Choix pédagogiques'!$C$3=1,'Choix pédagogiques'!$C$3=2),AND($G855&lt;&gt;"",$H855&lt;&gt;"",$I855&lt;&gt;"")),1,0))</f>
        <v/>
      </c>
      <c r="BO855" s="21" t="str">
        <f>IF(OR(COUNT(B855:D1854)=0,COUNT(G855:I1854)=0,'Choix pédagogiques'!C$3&lt;&gt;3),"",IF(AND('Choix pédagogiques'!$C$3=3,$B855&lt;&gt;"",$C855&lt;&gt;"",$D855&lt;&gt;"",$G855&lt;&gt;"",$H855&lt;&gt;"",$I855&lt;&gt;""),1,0))</f>
        <v/>
      </c>
      <c r="BR855" s="21">
        <v>345</v>
      </c>
      <c r="BS855" s="21">
        <v>1773</v>
      </c>
      <c r="BT855"/>
    </row>
    <row r="856" spans="1:72" s="23" customFormat="1" ht="18" customHeight="1" x14ac:dyDescent="0.3">
      <c r="A856" s="35" t="s">
        <v>846</v>
      </c>
      <c r="B856" s="37"/>
      <c r="C856" s="37"/>
      <c r="D856" s="37"/>
      <c r="E856" s="37"/>
      <c r="F856" s="35" t="s">
        <v>1854</v>
      </c>
      <c r="G856" s="37"/>
      <c r="H856" s="37"/>
      <c r="I856" s="37"/>
      <c r="J856" s="37"/>
      <c r="K856" s="21" t="str">
        <f t="shared" si="577"/>
        <v>Apprenant 844</v>
      </c>
      <c r="L856" s="22" t="str">
        <f t="shared" si="578"/>
        <v/>
      </c>
      <c r="M856" s="22" t="str">
        <f t="shared" si="579"/>
        <v/>
      </c>
      <c r="N856" s="22" t="str">
        <f t="shared" si="580"/>
        <v/>
      </c>
      <c r="O856" s="22" t="str">
        <f t="shared" si="581"/>
        <v/>
      </c>
      <c r="P856" s="21" t="str">
        <f t="shared" si="582"/>
        <v>Apprenant 844 ou 844'</v>
      </c>
      <c r="Q856" s="22" t="str">
        <f t="shared" si="583"/>
        <v/>
      </c>
      <c r="R856" s="22" t="str">
        <f t="shared" si="584"/>
        <v/>
      </c>
      <c r="S856" s="22" t="str">
        <f t="shared" si="585"/>
        <v/>
      </c>
      <c r="T856" s="22" t="str">
        <f t="shared" si="586"/>
        <v/>
      </c>
      <c r="V856" s="21" t="str">
        <f t="shared" si="587"/>
        <v>Apprenant 844</v>
      </c>
      <c r="W856" s="22" t="str">
        <f>IF(AND(OR('Choix pédagogiques'!$C$3=1,'Choix pédagogiques'!$C$3=2),$BM856=1),B856,IF(AND('Choix pédagogiques'!$C$3=3,$BO856=1),B856,""))</f>
        <v/>
      </c>
      <c r="X856" s="22" t="str">
        <f>IF(AND(OR('Choix pédagogiques'!$C$3=1,'Choix pédagogiques'!$C$3=2),$BM856=1),C856,IF(AND('Choix pédagogiques'!$C$3=3,$BO856=1),C856,""))</f>
        <v/>
      </c>
      <c r="Y856" s="22" t="str">
        <f>IF(AND(OR('Choix pédagogiques'!$C$3=1,'Choix pédagogiques'!$C$3=2),$BM856=1),D856,IF(AND('Choix pédagogiques'!$C$3=3,$BO856=1),D856,""))</f>
        <v/>
      </c>
      <c r="Z856" s="22" t="str">
        <f t="shared" si="588"/>
        <v/>
      </c>
      <c r="AA856" s="21" t="str">
        <f t="shared" si="589"/>
        <v>Apprenant 844 ou 844'</v>
      </c>
      <c r="AB856" s="22" t="str">
        <f>IF(AND(OR('Choix pédagogiques'!$C$3=1,'Choix pédagogiques'!$C$3=2),$BN856=1),G856,IF(AND('Choix pédagogiques'!$C$3=3,$BO856=1),G856,""))</f>
        <v/>
      </c>
      <c r="AC856" s="22" t="str">
        <f>IF(AND(OR('Choix pédagogiques'!$C$3=1,'Choix pédagogiques'!$C$3=2),$BN856=1),H856,IF(AND('Choix pédagogiques'!$C$3=3,$BO856=1),H856,""))</f>
        <v/>
      </c>
      <c r="AD856" s="22" t="str">
        <f>IF(AND(OR('Choix pédagogiques'!$C$3=1,'Choix pédagogiques'!$C$3=2),$BN856=1),I856,IF(AND('Choix pédagogiques'!$C$3=3,$BO856=1),I856,""))</f>
        <v/>
      </c>
      <c r="AE856" s="22" t="str">
        <f t="shared" si="590"/>
        <v/>
      </c>
      <c r="AF856" s="21" t="str">
        <f t="shared" si="591"/>
        <v>Apprenant 844</v>
      </c>
      <c r="AG856" s="22" t="str">
        <f t="shared" si="565"/>
        <v/>
      </c>
      <c r="AH856" s="22" t="str">
        <f t="shared" si="566"/>
        <v/>
      </c>
      <c r="AI856" s="22" t="str">
        <f t="shared" si="567"/>
        <v/>
      </c>
      <c r="AJ856" s="22" t="str">
        <f t="shared" si="592"/>
        <v/>
      </c>
      <c r="AK856" s="21" t="str">
        <f t="shared" si="593"/>
        <v>Apprenant 844 ou 844'</v>
      </c>
      <c r="AL856" s="22" t="str">
        <f t="shared" si="568"/>
        <v/>
      </c>
      <c r="AM856" s="22" t="str">
        <f t="shared" si="569"/>
        <v/>
      </c>
      <c r="AN856" s="22" t="str">
        <f t="shared" si="570"/>
        <v/>
      </c>
      <c r="AO856" s="22" t="str">
        <f t="shared" si="594"/>
        <v/>
      </c>
      <c r="AQ856" s="21" t="str">
        <f t="shared" si="595"/>
        <v>Apprenant 844</v>
      </c>
      <c r="AR856" s="49" t="str">
        <f>IF(AND('Choix pédagogiques'!$C$4&lt;&gt;"?",'Choix pédagogiques'!$C$5&lt;&gt;"?",W856&lt;&gt;""),(W856-'Choix pédagogiques'!$C$4)/('Choix pédagogiques'!$C$5-'Choix pédagogiques'!$C$4),"")</f>
        <v/>
      </c>
      <c r="AS856" s="49" t="str">
        <f>IF(AND('Choix pédagogiques'!$C$4&lt;&gt;"?",'Choix pédagogiques'!$C$5&lt;&gt;"?",X856&lt;&gt;""),(X856-'Choix pédagogiques'!$C$4)/('Choix pédagogiques'!$C$5-'Choix pédagogiques'!$C$4),"")</f>
        <v/>
      </c>
      <c r="AT856" s="49" t="str">
        <f>IF(AND('Choix pédagogiques'!$C$4&lt;&gt;"?",'Choix pédagogiques'!$C$5&lt;&gt;"?",Y856&lt;&gt;""),(Y856-'Choix pédagogiques'!$C$4)/('Choix pédagogiques'!$C$5-'Choix pédagogiques'!$C$4),"")</f>
        <v/>
      </c>
      <c r="AU856" s="22" t="str">
        <f t="shared" si="596"/>
        <v/>
      </c>
      <c r="AV856" s="21" t="str">
        <f t="shared" si="597"/>
        <v>Apprenant 844 ou 844'</v>
      </c>
      <c r="AW856" s="49" t="str">
        <f>IF(AND('Choix pédagogiques'!$C$4&lt;&gt;"?",'Choix pédagogiques'!$C$5&lt;&gt;"?",AB856&lt;&gt;""),(AB856-'Choix pédagogiques'!$C$4)/('Choix pédagogiques'!$C$5-'Choix pédagogiques'!$C$4),"")</f>
        <v/>
      </c>
      <c r="AX856" s="49" t="str">
        <f>IF(AND('Choix pédagogiques'!$C$4&lt;&gt;"?",'Choix pédagogiques'!$C$5&lt;&gt;"?",AC856&lt;&gt;""),(AC856-'Choix pédagogiques'!$C$4)/('Choix pédagogiques'!$C$5-'Choix pédagogiques'!$C$4),"")</f>
        <v/>
      </c>
      <c r="AY856" s="49" t="str">
        <f>IF(AND('Choix pédagogiques'!$C$4&lt;&gt;"?",'Choix pédagogiques'!$C$5&lt;&gt;"?",AD856&lt;&gt;""),(AD856-'Choix pédagogiques'!$C$4)/('Choix pédagogiques'!$C$5-'Choix pédagogiques'!$C$4),"")</f>
        <v/>
      </c>
      <c r="AZ856" s="22" t="str">
        <f t="shared" si="598"/>
        <v/>
      </c>
      <c r="BA856" s="21" t="str">
        <f t="shared" si="599"/>
        <v>Apprenant 844</v>
      </c>
      <c r="BB856" s="49" t="str">
        <f t="shared" si="571"/>
        <v/>
      </c>
      <c r="BC856" s="49" t="str">
        <f t="shared" si="572"/>
        <v/>
      </c>
      <c r="BD856" s="49" t="str">
        <f t="shared" si="573"/>
        <v/>
      </c>
      <c r="BE856" s="22" t="str">
        <f t="shared" si="600"/>
        <v/>
      </c>
      <c r="BF856" s="21" t="str">
        <f t="shared" si="601"/>
        <v>Apprenant 844 ou 844'</v>
      </c>
      <c r="BG856" s="49" t="str">
        <f t="shared" si="574"/>
        <v/>
      </c>
      <c r="BH856" s="49" t="str">
        <f t="shared" si="575"/>
        <v/>
      </c>
      <c r="BI856" s="49" t="str">
        <f t="shared" si="576"/>
        <v/>
      </c>
      <c r="BJ856" s="22" t="str">
        <f t="shared" si="602"/>
        <v/>
      </c>
      <c r="BL856" s="21"/>
      <c r="BM856" s="21" t="str">
        <f>IF(OR(COUNT(B856:D1855)=0,AND('Choix pédagogiques'!$C$3&lt;&gt;1,'Choix pédagogiques'!$C$3&lt;&gt;2)),"",IF(AND(OR('Choix pédagogiques'!$C$3=1,'Choix pédagogiques'!$C$3=2),$B856&lt;&gt;"",$C856&lt;&gt;"",$D856&lt;&gt;""),1,0))</f>
        <v/>
      </c>
      <c r="BN856" s="21" t="str">
        <f>IF(OR(COUNT(G856:I1855)=0,AND('Choix pédagogiques'!$C$3&lt;&gt;1,'Choix pédagogiques'!$C$3&lt;&gt;2)),"",IF(AND(OR('Choix pédagogiques'!$C$3=1,'Choix pédagogiques'!$C$3=2),AND($G856&lt;&gt;"",$H856&lt;&gt;"",$I856&lt;&gt;"")),1,0))</f>
        <v/>
      </c>
      <c r="BO856" s="21" t="str">
        <f>IF(OR(COUNT(B856:D1855)=0,COUNT(G856:I1855)=0,'Choix pédagogiques'!C$3&lt;&gt;3),"",IF(AND('Choix pédagogiques'!$C$3=3,$B856&lt;&gt;"",$C856&lt;&gt;"",$D856&lt;&gt;"",$G856&lt;&gt;"",$H856&lt;&gt;"",$I856&lt;&gt;""),1,0))</f>
        <v/>
      </c>
      <c r="BR856" s="21">
        <v>100</v>
      </c>
      <c r="BS856" s="21">
        <v>1765</v>
      </c>
      <c r="BT856"/>
    </row>
    <row r="857" spans="1:72" s="23" customFormat="1" ht="18" customHeight="1" x14ac:dyDescent="0.3">
      <c r="A857" s="35" t="s">
        <v>847</v>
      </c>
      <c r="B857" s="37"/>
      <c r="C857" s="37"/>
      <c r="D857" s="37"/>
      <c r="E857" s="37"/>
      <c r="F857" s="35" t="s">
        <v>1855</v>
      </c>
      <c r="G857" s="37"/>
      <c r="H857" s="37"/>
      <c r="I857" s="37"/>
      <c r="J857" s="37"/>
      <c r="K857" s="21" t="str">
        <f t="shared" si="577"/>
        <v>Apprenant 845</v>
      </c>
      <c r="L857" s="22" t="str">
        <f t="shared" si="578"/>
        <v/>
      </c>
      <c r="M857" s="22" t="str">
        <f t="shared" si="579"/>
        <v/>
      </c>
      <c r="N857" s="22" t="str">
        <f t="shared" si="580"/>
        <v/>
      </c>
      <c r="O857" s="22" t="str">
        <f t="shared" si="581"/>
        <v/>
      </c>
      <c r="P857" s="21" t="str">
        <f t="shared" si="582"/>
        <v>Apprenant 845 ou 845'</v>
      </c>
      <c r="Q857" s="22" t="str">
        <f t="shared" si="583"/>
        <v/>
      </c>
      <c r="R857" s="22" t="str">
        <f t="shared" si="584"/>
        <v/>
      </c>
      <c r="S857" s="22" t="str">
        <f t="shared" si="585"/>
        <v/>
      </c>
      <c r="T857" s="22" t="str">
        <f t="shared" si="586"/>
        <v/>
      </c>
      <c r="V857" s="21" t="str">
        <f t="shared" si="587"/>
        <v>Apprenant 845</v>
      </c>
      <c r="W857" s="22" t="str">
        <f>IF(AND(OR('Choix pédagogiques'!$C$3=1,'Choix pédagogiques'!$C$3=2),$BM857=1),B857,IF(AND('Choix pédagogiques'!$C$3=3,$BO857=1),B857,""))</f>
        <v/>
      </c>
      <c r="X857" s="22" t="str">
        <f>IF(AND(OR('Choix pédagogiques'!$C$3=1,'Choix pédagogiques'!$C$3=2),$BM857=1),C857,IF(AND('Choix pédagogiques'!$C$3=3,$BO857=1),C857,""))</f>
        <v/>
      </c>
      <c r="Y857" s="22" t="str">
        <f>IF(AND(OR('Choix pédagogiques'!$C$3=1,'Choix pédagogiques'!$C$3=2),$BM857=1),D857,IF(AND('Choix pédagogiques'!$C$3=3,$BO857=1),D857,""))</f>
        <v/>
      </c>
      <c r="Z857" s="22" t="str">
        <f t="shared" si="588"/>
        <v/>
      </c>
      <c r="AA857" s="21" t="str">
        <f t="shared" si="589"/>
        <v>Apprenant 845 ou 845'</v>
      </c>
      <c r="AB857" s="22" t="str">
        <f>IF(AND(OR('Choix pédagogiques'!$C$3=1,'Choix pédagogiques'!$C$3=2),$BN857=1),G857,IF(AND('Choix pédagogiques'!$C$3=3,$BO857=1),G857,""))</f>
        <v/>
      </c>
      <c r="AC857" s="22" t="str">
        <f>IF(AND(OR('Choix pédagogiques'!$C$3=1,'Choix pédagogiques'!$C$3=2),$BN857=1),H857,IF(AND('Choix pédagogiques'!$C$3=3,$BO857=1),H857,""))</f>
        <v/>
      </c>
      <c r="AD857" s="22" t="str">
        <f>IF(AND(OR('Choix pédagogiques'!$C$3=1,'Choix pédagogiques'!$C$3=2),$BN857=1),I857,IF(AND('Choix pédagogiques'!$C$3=3,$BO857=1),I857,""))</f>
        <v/>
      </c>
      <c r="AE857" s="22" t="str">
        <f t="shared" si="590"/>
        <v/>
      </c>
      <c r="AF857" s="21" t="str">
        <f t="shared" si="591"/>
        <v>Apprenant 845</v>
      </c>
      <c r="AG857" s="22" t="str">
        <f t="shared" si="565"/>
        <v/>
      </c>
      <c r="AH857" s="22" t="str">
        <f t="shared" si="566"/>
        <v/>
      </c>
      <c r="AI857" s="22" t="str">
        <f t="shared" si="567"/>
        <v/>
      </c>
      <c r="AJ857" s="22" t="str">
        <f t="shared" si="592"/>
        <v/>
      </c>
      <c r="AK857" s="21" t="str">
        <f t="shared" si="593"/>
        <v>Apprenant 845 ou 845'</v>
      </c>
      <c r="AL857" s="22" t="str">
        <f t="shared" si="568"/>
        <v/>
      </c>
      <c r="AM857" s="22" t="str">
        <f t="shared" si="569"/>
        <v/>
      </c>
      <c r="AN857" s="22" t="str">
        <f t="shared" si="570"/>
        <v/>
      </c>
      <c r="AO857" s="22" t="str">
        <f t="shared" si="594"/>
        <v/>
      </c>
      <c r="AQ857" s="21" t="str">
        <f t="shared" si="595"/>
        <v>Apprenant 845</v>
      </c>
      <c r="AR857" s="49" t="str">
        <f>IF(AND('Choix pédagogiques'!$C$4&lt;&gt;"?",'Choix pédagogiques'!$C$5&lt;&gt;"?",W857&lt;&gt;""),(W857-'Choix pédagogiques'!$C$4)/('Choix pédagogiques'!$C$5-'Choix pédagogiques'!$C$4),"")</f>
        <v/>
      </c>
      <c r="AS857" s="49" t="str">
        <f>IF(AND('Choix pédagogiques'!$C$4&lt;&gt;"?",'Choix pédagogiques'!$C$5&lt;&gt;"?",X857&lt;&gt;""),(X857-'Choix pédagogiques'!$C$4)/('Choix pédagogiques'!$C$5-'Choix pédagogiques'!$C$4),"")</f>
        <v/>
      </c>
      <c r="AT857" s="49" t="str">
        <f>IF(AND('Choix pédagogiques'!$C$4&lt;&gt;"?",'Choix pédagogiques'!$C$5&lt;&gt;"?",Y857&lt;&gt;""),(Y857-'Choix pédagogiques'!$C$4)/('Choix pédagogiques'!$C$5-'Choix pédagogiques'!$C$4),"")</f>
        <v/>
      </c>
      <c r="AU857" s="22" t="str">
        <f t="shared" si="596"/>
        <v/>
      </c>
      <c r="AV857" s="21" t="str">
        <f t="shared" si="597"/>
        <v>Apprenant 845 ou 845'</v>
      </c>
      <c r="AW857" s="49" t="str">
        <f>IF(AND('Choix pédagogiques'!$C$4&lt;&gt;"?",'Choix pédagogiques'!$C$5&lt;&gt;"?",AB857&lt;&gt;""),(AB857-'Choix pédagogiques'!$C$4)/('Choix pédagogiques'!$C$5-'Choix pédagogiques'!$C$4),"")</f>
        <v/>
      </c>
      <c r="AX857" s="49" t="str">
        <f>IF(AND('Choix pédagogiques'!$C$4&lt;&gt;"?",'Choix pédagogiques'!$C$5&lt;&gt;"?",AC857&lt;&gt;""),(AC857-'Choix pédagogiques'!$C$4)/('Choix pédagogiques'!$C$5-'Choix pédagogiques'!$C$4),"")</f>
        <v/>
      </c>
      <c r="AY857" s="49" t="str">
        <f>IF(AND('Choix pédagogiques'!$C$4&lt;&gt;"?",'Choix pédagogiques'!$C$5&lt;&gt;"?",AD857&lt;&gt;""),(AD857-'Choix pédagogiques'!$C$4)/('Choix pédagogiques'!$C$5-'Choix pédagogiques'!$C$4),"")</f>
        <v/>
      </c>
      <c r="AZ857" s="22" t="str">
        <f t="shared" si="598"/>
        <v/>
      </c>
      <c r="BA857" s="21" t="str">
        <f t="shared" si="599"/>
        <v>Apprenant 845</v>
      </c>
      <c r="BB857" s="49" t="str">
        <f t="shared" si="571"/>
        <v/>
      </c>
      <c r="BC857" s="49" t="str">
        <f t="shared" si="572"/>
        <v/>
      </c>
      <c r="BD857" s="49" t="str">
        <f t="shared" si="573"/>
        <v/>
      </c>
      <c r="BE857" s="22" t="str">
        <f t="shared" si="600"/>
        <v/>
      </c>
      <c r="BF857" s="21" t="str">
        <f t="shared" si="601"/>
        <v>Apprenant 845 ou 845'</v>
      </c>
      <c r="BG857" s="49" t="str">
        <f t="shared" si="574"/>
        <v/>
      </c>
      <c r="BH857" s="49" t="str">
        <f t="shared" si="575"/>
        <v/>
      </c>
      <c r="BI857" s="49" t="str">
        <f t="shared" si="576"/>
        <v/>
      </c>
      <c r="BJ857" s="22" t="str">
        <f t="shared" si="602"/>
        <v/>
      </c>
      <c r="BL857" s="21"/>
      <c r="BM857" s="21" t="str">
        <f>IF(OR(COUNT(B857:D1856)=0,AND('Choix pédagogiques'!$C$3&lt;&gt;1,'Choix pédagogiques'!$C$3&lt;&gt;2)),"",IF(AND(OR('Choix pédagogiques'!$C$3=1,'Choix pédagogiques'!$C$3=2),$B857&lt;&gt;"",$C857&lt;&gt;"",$D857&lt;&gt;""),1,0))</f>
        <v/>
      </c>
      <c r="BN857" s="21" t="str">
        <f>IF(OR(COUNT(G857:I1856)=0,AND('Choix pédagogiques'!$C$3&lt;&gt;1,'Choix pédagogiques'!$C$3&lt;&gt;2)),"",IF(AND(OR('Choix pédagogiques'!$C$3=1,'Choix pédagogiques'!$C$3=2),AND($G857&lt;&gt;"",$H857&lt;&gt;"",$I857&lt;&gt;"")),1,0))</f>
        <v/>
      </c>
      <c r="BO857" s="21" t="str">
        <f>IF(OR(COUNT(B857:D1856)=0,COUNT(G857:I1856)=0,'Choix pédagogiques'!C$3&lt;&gt;3),"",IF(AND('Choix pédagogiques'!$C$3=3,$B857&lt;&gt;"",$C857&lt;&gt;"",$D857&lt;&gt;"",$G857&lt;&gt;"",$H857&lt;&gt;"",$I857&lt;&gt;""),1,0))</f>
        <v/>
      </c>
      <c r="BR857" s="21">
        <v>407</v>
      </c>
      <c r="BS857" s="21">
        <v>1458</v>
      </c>
      <c r="BT857"/>
    </row>
    <row r="858" spans="1:72" s="23" customFormat="1" ht="18" customHeight="1" x14ac:dyDescent="0.3">
      <c r="A858" s="35" t="s">
        <v>848</v>
      </c>
      <c r="B858" s="37"/>
      <c r="C858" s="37"/>
      <c r="D858" s="37"/>
      <c r="E858" s="37"/>
      <c r="F858" s="35" t="s">
        <v>1856</v>
      </c>
      <c r="G858" s="37"/>
      <c r="H858" s="37"/>
      <c r="I858" s="37"/>
      <c r="J858" s="37"/>
      <c r="K858" s="21" t="str">
        <f t="shared" si="577"/>
        <v>Apprenant 846</v>
      </c>
      <c r="L858" s="22" t="str">
        <f t="shared" si="578"/>
        <v/>
      </c>
      <c r="M858" s="22" t="str">
        <f t="shared" si="579"/>
        <v/>
      </c>
      <c r="N858" s="22" t="str">
        <f t="shared" si="580"/>
        <v/>
      </c>
      <c r="O858" s="22" t="str">
        <f t="shared" si="581"/>
        <v/>
      </c>
      <c r="P858" s="21" t="str">
        <f t="shared" si="582"/>
        <v>Apprenant 846 ou 846'</v>
      </c>
      <c r="Q858" s="22" t="str">
        <f t="shared" si="583"/>
        <v/>
      </c>
      <c r="R858" s="22" t="str">
        <f t="shared" si="584"/>
        <v/>
      </c>
      <c r="S858" s="22" t="str">
        <f t="shared" si="585"/>
        <v/>
      </c>
      <c r="T858" s="22" t="str">
        <f t="shared" si="586"/>
        <v/>
      </c>
      <c r="V858" s="21" t="str">
        <f t="shared" si="587"/>
        <v>Apprenant 846</v>
      </c>
      <c r="W858" s="22" t="str">
        <f>IF(AND(OR('Choix pédagogiques'!$C$3=1,'Choix pédagogiques'!$C$3=2),$BM858=1),B858,IF(AND('Choix pédagogiques'!$C$3=3,$BO858=1),B858,""))</f>
        <v/>
      </c>
      <c r="X858" s="22" t="str">
        <f>IF(AND(OR('Choix pédagogiques'!$C$3=1,'Choix pédagogiques'!$C$3=2),$BM858=1),C858,IF(AND('Choix pédagogiques'!$C$3=3,$BO858=1),C858,""))</f>
        <v/>
      </c>
      <c r="Y858" s="22" t="str">
        <f>IF(AND(OR('Choix pédagogiques'!$C$3=1,'Choix pédagogiques'!$C$3=2),$BM858=1),D858,IF(AND('Choix pédagogiques'!$C$3=3,$BO858=1),D858,""))</f>
        <v/>
      </c>
      <c r="Z858" s="22" t="str">
        <f t="shared" si="588"/>
        <v/>
      </c>
      <c r="AA858" s="21" t="str">
        <f t="shared" si="589"/>
        <v>Apprenant 846 ou 846'</v>
      </c>
      <c r="AB858" s="22" t="str">
        <f>IF(AND(OR('Choix pédagogiques'!$C$3=1,'Choix pédagogiques'!$C$3=2),$BN858=1),G858,IF(AND('Choix pédagogiques'!$C$3=3,$BO858=1),G858,""))</f>
        <v/>
      </c>
      <c r="AC858" s="22" t="str">
        <f>IF(AND(OR('Choix pédagogiques'!$C$3=1,'Choix pédagogiques'!$C$3=2),$BN858=1),H858,IF(AND('Choix pédagogiques'!$C$3=3,$BO858=1),H858,""))</f>
        <v/>
      </c>
      <c r="AD858" s="22" t="str">
        <f>IF(AND(OR('Choix pédagogiques'!$C$3=1,'Choix pédagogiques'!$C$3=2),$BN858=1),I858,IF(AND('Choix pédagogiques'!$C$3=3,$BO858=1),I858,""))</f>
        <v/>
      </c>
      <c r="AE858" s="22" t="str">
        <f t="shared" si="590"/>
        <v/>
      </c>
      <c r="AF858" s="21" t="str">
        <f t="shared" si="591"/>
        <v>Apprenant 846</v>
      </c>
      <c r="AG858" s="22" t="str">
        <f t="shared" si="565"/>
        <v/>
      </c>
      <c r="AH858" s="22" t="str">
        <f t="shared" si="566"/>
        <v/>
      </c>
      <c r="AI858" s="22" t="str">
        <f t="shared" si="567"/>
        <v/>
      </c>
      <c r="AJ858" s="22" t="str">
        <f t="shared" si="592"/>
        <v/>
      </c>
      <c r="AK858" s="21" t="str">
        <f t="shared" si="593"/>
        <v>Apprenant 846 ou 846'</v>
      </c>
      <c r="AL858" s="22" t="str">
        <f t="shared" si="568"/>
        <v/>
      </c>
      <c r="AM858" s="22" t="str">
        <f t="shared" si="569"/>
        <v/>
      </c>
      <c r="AN858" s="22" t="str">
        <f t="shared" si="570"/>
        <v/>
      </c>
      <c r="AO858" s="22" t="str">
        <f t="shared" si="594"/>
        <v/>
      </c>
      <c r="AQ858" s="21" t="str">
        <f t="shared" si="595"/>
        <v>Apprenant 846</v>
      </c>
      <c r="AR858" s="49" t="str">
        <f>IF(AND('Choix pédagogiques'!$C$4&lt;&gt;"?",'Choix pédagogiques'!$C$5&lt;&gt;"?",W858&lt;&gt;""),(W858-'Choix pédagogiques'!$C$4)/('Choix pédagogiques'!$C$5-'Choix pédagogiques'!$C$4),"")</f>
        <v/>
      </c>
      <c r="AS858" s="49" t="str">
        <f>IF(AND('Choix pédagogiques'!$C$4&lt;&gt;"?",'Choix pédagogiques'!$C$5&lt;&gt;"?",X858&lt;&gt;""),(X858-'Choix pédagogiques'!$C$4)/('Choix pédagogiques'!$C$5-'Choix pédagogiques'!$C$4),"")</f>
        <v/>
      </c>
      <c r="AT858" s="49" t="str">
        <f>IF(AND('Choix pédagogiques'!$C$4&lt;&gt;"?",'Choix pédagogiques'!$C$5&lt;&gt;"?",Y858&lt;&gt;""),(Y858-'Choix pédagogiques'!$C$4)/('Choix pédagogiques'!$C$5-'Choix pédagogiques'!$C$4),"")</f>
        <v/>
      </c>
      <c r="AU858" s="22" t="str">
        <f t="shared" si="596"/>
        <v/>
      </c>
      <c r="AV858" s="21" t="str">
        <f t="shared" si="597"/>
        <v>Apprenant 846 ou 846'</v>
      </c>
      <c r="AW858" s="49" t="str">
        <f>IF(AND('Choix pédagogiques'!$C$4&lt;&gt;"?",'Choix pédagogiques'!$C$5&lt;&gt;"?",AB858&lt;&gt;""),(AB858-'Choix pédagogiques'!$C$4)/('Choix pédagogiques'!$C$5-'Choix pédagogiques'!$C$4),"")</f>
        <v/>
      </c>
      <c r="AX858" s="49" t="str">
        <f>IF(AND('Choix pédagogiques'!$C$4&lt;&gt;"?",'Choix pédagogiques'!$C$5&lt;&gt;"?",AC858&lt;&gt;""),(AC858-'Choix pédagogiques'!$C$4)/('Choix pédagogiques'!$C$5-'Choix pédagogiques'!$C$4),"")</f>
        <v/>
      </c>
      <c r="AY858" s="49" t="str">
        <f>IF(AND('Choix pédagogiques'!$C$4&lt;&gt;"?",'Choix pédagogiques'!$C$5&lt;&gt;"?",AD858&lt;&gt;""),(AD858-'Choix pédagogiques'!$C$4)/('Choix pédagogiques'!$C$5-'Choix pédagogiques'!$C$4),"")</f>
        <v/>
      </c>
      <c r="AZ858" s="22" t="str">
        <f t="shared" si="598"/>
        <v/>
      </c>
      <c r="BA858" s="21" t="str">
        <f t="shared" si="599"/>
        <v>Apprenant 846</v>
      </c>
      <c r="BB858" s="49" t="str">
        <f t="shared" si="571"/>
        <v/>
      </c>
      <c r="BC858" s="49" t="str">
        <f t="shared" si="572"/>
        <v/>
      </c>
      <c r="BD858" s="49" t="str">
        <f t="shared" si="573"/>
        <v/>
      </c>
      <c r="BE858" s="22" t="str">
        <f t="shared" si="600"/>
        <v/>
      </c>
      <c r="BF858" s="21" t="str">
        <f t="shared" si="601"/>
        <v>Apprenant 846 ou 846'</v>
      </c>
      <c r="BG858" s="49" t="str">
        <f t="shared" si="574"/>
        <v/>
      </c>
      <c r="BH858" s="49" t="str">
        <f t="shared" si="575"/>
        <v/>
      </c>
      <c r="BI858" s="49" t="str">
        <f t="shared" si="576"/>
        <v/>
      </c>
      <c r="BJ858" s="22" t="str">
        <f t="shared" si="602"/>
        <v/>
      </c>
      <c r="BL858" s="21"/>
      <c r="BM858" s="21" t="str">
        <f>IF(OR(COUNT(B858:D1857)=0,AND('Choix pédagogiques'!$C$3&lt;&gt;1,'Choix pédagogiques'!$C$3&lt;&gt;2)),"",IF(AND(OR('Choix pédagogiques'!$C$3=1,'Choix pédagogiques'!$C$3=2),$B858&lt;&gt;"",$C858&lt;&gt;"",$D858&lt;&gt;""),1,0))</f>
        <v/>
      </c>
      <c r="BN858" s="21" t="str">
        <f>IF(OR(COUNT(G858:I1857)=0,AND('Choix pédagogiques'!$C$3&lt;&gt;1,'Choix pédagogiques'!$C$3&lt;&gt;2)),"",IF(AND(OR('Choix pédagogiques'!$C$3=1,'Choix pédagogiques'!$C$3=2),AND($G858&lt;&gt;"",$H858&lt;&gt;"",$I858&lt;&gt;"")),1,0))</f>
        <v/>
      </c>
      <c r="BO858" s="21" t="str">
        <f>IF(OR(COUNT(B858:D1857)=0,COUNT(G858:I1857)=0,'Choix pédagogiques'!C$3&lt;&gt;3),"",IF(AND('Choix pédagogiques'!$C$3=3,$B858&lt;&gt;"",$C858&lt;&gt;"",$D858&lt;&gt;"",$G858&lt;&gt;"",$H858&lt;&gt;"",$I858&lt;&gt;""),1,0))</f>
        <v/>
      </c>
      <c r="BR858" s="21">
        <v>361</v>
      </c>
      <c r="BS858" s="21">
        <v>1378</v>
      </c>
      <c r="BT858"/>
    </row>
    <row r="859" spans="1:72" s="23" customFormat="1" ht="18" customHeight="1" x14ac:dyDescent="0.3">
      <c r="A859" s="35" t="s">
        <v>849</v>
      </c>
      <c r="B859" s="37"/>
      <c r="C859" s="37"/>
      <c r="D859" s="37"/>
      <c r="E859" s="37"/>
      <c r="F859" s="35" t="s">
        <v>1857</v>
      </c>
      <c r="G859" s="37"/>
      <c r="H859" s="37"/>
      <c r="I859" s="37"/>
      <c r="J859" s="37"/>
      <c r="K859" s="21" t="str">
        <f t="shared" si="577"/>
        <v>Apprenant 847</v>
      </c>
      <c r="L859" s="22" t="str">
        <f t="shared" si="578"/>
        <v/>
      </c>
      <c r="M859" s="22" t="str">
        <f t="shared" si="579"/>
        <v/>
      </c>
      <c r="N859" s="22" t="str">
        <f t="shared" si="580"/>
        <v/>
      </c>
      <c r="O859" s="22" t="str">
        <f t="shared" si="581"/>
        <v/>
      </c>
      <c r="P859" s="21" t="str">
        <f t="shared" si="582"/>
        <v>Apprenant 847 ou 847'</v>
      </c>
      <c r="Q859" s="22" t="str">
        <f t="shared" si="583"/>
        <v/>
      </c>
      <c r="R859" s="22" t="str">
        <f t="shared" si="584"/>
        <v/>
      </c>
      <c r="S859" s="22" t="str">
        <f t="shared" si="585"/>
        <v/>
      </c>
      <c r="T859" s="22" t="str">
        <f t="shared" si="586"/>
        <v/>
      </c>
      <c r="V859" s="21" t="str">
        <f t="shared" si="587"/>
        <v>Apprenant 847</v>
      </c>
      <c r="W859" s="22" t="str">
        <f>IF(AND(OR('Choix pédagogiques'!$C$3=1,'Choix pédagogiques'!$C$3=2),$BM859=1),B859,IF(AND('Choix pédagogiques'!$C$3=3,$BO859=1),B859,""))</f>
        <v/>
      </c>
      <c r="X859" s="22" t="str">
        <f>IF(AND(OR('Choix pédagogiques'!$C$3=1,'Choix pédagogiques'!$C$3=2),$BM859=1),C859,IF(AND('Choix pédagogiques'!$C$3=3,$BO859=1),C859,""))</f>
        <v/>
      </c>
      <c r="Y859" s="22" t="str">
        <f>IF(AND(OR('Choix pédagogiques'!$C$3=1,'Choix pédagogiques'!$C$3=2),$BM859=1),D859,IF(AND('Choix pédagogiques'!$C$3=3,$BO859=1),D859,""))</f>
        <v/>
      </c>
      <c r="Z859" s="22" t="str">
        <f t="shared" si="588"/>
        <v/>
      </c>
      <c r="AA859" s="21" t="str">
        <f t="shared" si="589"/>
        <v>Apprenant 847 ou 847'</v>
      </c>
      <c r="AB859" s="22" t="str">
        <f>IF(AND(OR('Choix pédagogiques'!$C$3=1,'Choix pédagogiques'!$C$3=2),$BN859=1),G859,IF(AND('Choix pédagogiques'!$C$3=3,$BO859=1),G859,""))</f>
        <v/>
      </c>
      <c r="AC859" s="22" t="str">
        <f>IF(AND(OR('Choix pédagogiques'!$C$3=1,'Choix pédagogiques'!$C$3=2),$BN859=1),H859,IF(AND('Choix pédagogiques'!$C$3=3,$BO859=1),H859,""))</f>
        <v/>
      </c>
      <c r="AD859" s="22" t="str">
        <f>IF(AND(OR('Choix pédagogiques'!$C$3=1,'Choix pédagogiques'!$C$3=2),$BN859=1),I859,IF(AND('Choix pédagogiques'!$C$3=3,$BO859=1),I859,""))</f>
        <v/>
      </c>
      <c r="AE859" s="22" t="str">
        <f t="shared" si="590"/>
        <v/>
      </c>
      <c r="AF859" s="21" t="str">
        <f t="shared" si="591"/>
        <v>Apprenant 847</v>
      </c>
      <c r="AG859" s="22" t="str">
        <f t="shared" si="565"/>
        <v/>
      </c>
      <c r="AH859" s="22" t="str">
        <f t="shared" si="566"/>
        <v/>
      </c>
      <c r="AI859" s="22" t="str">
        <f t="shared" si="567"/>
        <v/>
      </c>
      <c r="AJ859" s="22" t="str">
        <f t="shared" si="592"/>
        <v/>
      </c>
      <c r="AK859" s="21" t="str">
        <f t="shared" si="593"/>
        <v>Apprenant 847 ou 847'</v>
      </c>
      <c r="AL859" s="22" t="str">
        <f t="shared" si="568"/>
        <v/>
      </c>
      <c r="AM859" s="22" t="str">
        <f t="shared" si="569"/>
        <v/>
      </c>
      <c r="AN859" s="22" t="str">
        <f t="shared" si="570"/>
        <v/>
      </c>
      <c r="AO859" s="22" t="str">
        <f t="shared" si="594"/>
        <v/>
      </c>
      <c r="AQ859" s="21" t="str">
        <f t="shared" si="595"/>
        <v>Apprenant 847</v>
      </c>
      <c r="AR859" s="49" t="str">
        <f>IF(AND('Choix pédagogiques'!$C$4&lt;&gt;"?",'Choix pédagogiques'!$C$5&lt;&gt;"?",W859&lt;&gt;""),(W859-'Choix pédagogiques'!$C$4)/('Choix pédagogiques'!$C$5-'Choix pédagogiques'!$C$4),"")</f>
        <v/>
      </c>
      <c r="AS859" s="49" t="str">
        <f>IF(AND('Choix pédagogiques'!$C$4&lt;&gt;"?",'Choix pédagogiques'!$C$5&lt;&gt;"?",X859&lt;&gt;""),(X859-'Choix pédagogiques'!$C$4)/('Choix pédagogiques'!$C$5-'Choix pédagogiques'!$C$4),"")</f>
        <v/>
      </c>
      <c r="AT859" s="49" t="str">
        <f>IF(AND('Choix pédagogiques'!$C$4&lt;&gt;"?",'Choix pédagogiques'!$C$5&lt;&gt;"?",Y859&lt;&gt;""),(Y859-'Choix pédagogiques'!$C$4)/('Choix pédagogiques'!$C$5-'Choix pédagogiques'!$C$4),"")</f>
        <v/>
      </c>
      <c r="AU859" s="22" t="str">
        <f t="shared" si="596"/>
        <v/>
      </c>
      <c r="AV859" s="21" t="str">
        <f t="shared" si="597"/>
        <v>Apprenant 847 ou 847'</v>
      </c>
      <c r="AW859" s="49" t="str">
        <f>IF(AND('Choix pédagogiques'!$C$4&lt;&gt;"?",'Choix pédagogiques'!$C$5&lt;&gt;"?",AB859&lt;&gt;""),(AB859-'Choix pédagogiques'!$C$4)/('Choix pédagogiques'!$C$5-'Choix pédagogiques'!$C$4),"")</f>
        <v/>
      </c>
      <c r="AX859" s="49" t="str">
        <f>IF(AND('Choix pédagogiques'!$C$4&lt;&gt;"?",'Choix pédagogiques'!$C$5&lt;&gt;"?",AC859&lt;&gt;""),(AC859-'Choix pédagogiques'!$C$4)/('Choix pédagogiques'!$C$5-'Choix pédagogiques'!$C$4),"")</f>
        <v/>
      </c>
      <c r="AY859" s="49" t="str">
        <f>IF(AND('Choix pédagogiques'!$C$4&lt;&gt;"?",'Choix pédagogiques'!$C$5&lt;&gt;"?",AD859&lt;&gt;""),(AD859-'Choix pédagogiques'!$C$4)/('Choix pédagogiques'!$C$5-'Choix pédagogiques'!$C$4),"")</f>
        <v/>
      </c>
      <c r="AZ859" s="22" t="str">
        <f t="shared" si="598"/>
        <v/>
      </c>
      <c r="BA859" s="21" t="str">
        <f t="shared" si="599"/>
        <v>Apprenant 847</v>
      </c>
      <c r="BB859" s="49" t="str">
        <f t="shared" si="571"/>
        <v/>
      </c>
      <c r="BC859" s="49" t="str">
        <f t="shared" si="572"/>
        <v/>
      </c>
      <c r="BD859" s="49" t="str">
        <f t="shared" si="573"/>
        <v/>
      </c>
      <c r="BE859" s="22" t="str">
        <f t="shared" si="600"/>
        <v/>
      </c>
      <c r="BF859" s="21" t="str">
        <f t="shared" si="601"/>
        <v>Apprenant 847 ou 847'</v>
      </c>
      <c r="BG859" s="49" t="str">
        <f t="shared" si="574"/>
        <v/>
      </c>
      <c r="BH859" s="49" t="str">
        <f t="shared" si="575"/>
        <v/>
      </c>
      <c r="BI859" s="49" t="str">
        <f t="shared" si="576"/>
        <v/>
      </c>
      <c r="BJ859" s="22" t="str">
        <f t="shared" si="602"/>
        <v/>
      </c>
      <c r="BL859" s="21"/>
      <c r="BM859" s="21" t="str">
        <f>IF(OR(COUNT(B859:D1858)=0,AND('Choix pédagogiques'!$C$3&lt;&gt;1,'Choix pédagogiques'!$C$3&lt;&gt;2)),"",IF(AND(OR('Choix pédagogiques'!$C$3=1,'Choix pédagogiques'!$C$3=2),$B859&lt;&gt;"",$C859&lt;&gt;"",$D859&lt;&gt;""),1,0))</f>
        <v/>
      </c>
      <c r="BN859" s="21" t="str">
        <f>IF(OR(COUNT(G859:I1858)=0,AND('Choix pédagogiques'!$C$3&lt;&gt;1,'Choix pédagogiques'!$C$3&lt;&gt;2)),"",IF(AND(OR('Choix pédagogiques'!$C$3=1,'Choix pédagogiques'!$C$3=2),AND($G859&lt;&gt;"",$H859&lt;&gt;"",$I859&lt;&gt;"")),1,0))</f>
        <v/>
      </c>
      <c r="BO859" s="21" t="str">
        <f>IF(OR(COUNT(B859:D1858)=0,COUNT(G859:I1858)=0,'Choix pédagogiques'!C$3&lt;&gt;3),"",IF(AND('Choix pédagogiques'!$C$3=3,$B859&lt;&gt;"",$C859&lt;&gt;"",$D859&lt;&gt;"",$G859&lt;&gt;"",$H859&lt;&gt;"",$I859&lt;&gt;""),1,0))</f>
        <v/>
      </c>
      <c r="BR859" s="21">
        <v>595</v>
      </c>
      <c r="BS859" s="21">
        <v>1004</v>
      </c>
      <c r="BT859"/>
    </row>
    <row r="860" spans="1:72" s="23" customFormat="1" ht="18" customHeight="1" x14ac:dyDescent="0.3">
      <c r="A860" s="35" t="s">
        <v>850</v>
      </c>
      <c r="B860" s="37"/>
      <c r="C860" s="37"/>
      <c r="D860" s="37"/>
      <c r="E860" s="37"/>
      <c r="F860" s="35" t="s">
        <v>1858</v>
      </c>
      <c r="G860" s="37"/>
      <c r="H860" s="37"/>
      <c r="I860" s="37"/>
      <c r="J860" s="37"/>
      <c r="K860" s="21" t="str">
        <f t="shared" si="577"/>
        <v>Apprenant 848</v>
      </c>
      <c r="L860" s="22" t="str">
        <f t="shared" si="578"/>
        <v/>
      </c>
      <c r="M860" s="22" t="str">
        <f t="shared" si="579"/>
        <v/>
      </c>
      <c r="N860" s="22" t="str">
        <f t="shared" si="580"/>
        <v/>
      </c>
      <c r="O860" s="22" t="str">
        <f t="shared" si="581"/>
        <v/>
      </c>
      <c r="P860" s="21" t="str">
        <f t="shared" si="582"/>
        <v>Apprenant 848 ou 848'</v>
      </c>
      <c r="Q860" s="22" t="str">
        <f t="shared" si="583"/>
        <v/>
      </c>
      <c r="R860" s="22" t="str">
        <f t="shared" si="584"/>
        <v/>
      </c>
      <c r="S860" s="22" t="str">
        <f t="shared" si="585"/>
        <v/>
      </c>
      <c r="T860" s="22" t="str">
        <f t="shared" si="586"/>
        <v/>
      </c>
      <c r="V860" s="21" t="str">
        <f t="shared" si="587"/>
        <v>Apprenant 848</v>
      </c>
      <c r="W860" s="22" t="str">
        <f>IF(AND(OR('Choix pédagogiques'!$C$3=1,'Choix pédagogiques'!$C$3=2),$BM860=1),B860,IF(AND('Choix pédagogiques'!$C$3=3,$BO860=1),B860,""))</f>
        <v/>
      </c>
      <c r="X860" s="22" t="str">
        <f>IF(AND(OR('Choix pédagogiques'!$C$3=1,'Choix pédagogiques'!$C$3=2),$BM860=1),C860,IF(AND('Choix pédagogiques'!$C$3=3,$BO860=1),C860,""))</f>
        <v/>
      </c>
      <c r="Y860" s="22" t="str">
        <f>IF(AND(OR('Choix pédagogiques'!$C$3=1,'Choix pédagogiques'!$C$3=2),$BM860=1),D860,IF(AND('Choix pédagogiques'!$C$3=3,$BO860=1),D860,""))</f>
        <v/>
      </c>
      <c r="Z860" s="22" t="str">
        <f t="shared" si="588"/>
        <v/>
      </c>
      <c r="AA860" s="21" t="str">
        <f t="shared" si="589"/>
        <v>Apprenant 848 ou 848'</v>
      </c>
      <c r="AB860" s="22" t="str">
        <f>IF(AND(OR('Choix pédagogiques'!$C$3=1,'Choix pédagogiques'!$C$3=2),$BN860=1),G860,IF(AND('Choix pédagogiques'!$C$3=3,$BO860=1),G860,""))</f>
        <v/>
      </c>
      <c r="AC860" s="22" t="str">
        <f>IF(AND(OR('Choix pédagogiques'!$C$3=1,'Choix pédagogiques'!$C$3=2),$BN860=1),H860,IF(AND('Choix pédagogiques'!$C$3=3,$BO860=1),H860,""))</f>
        <v/>
      </c>
      <c r="AD860" s="22" t="str">
        <f>IF(AND(OR('Choix pédagogiques'!$C$3=1,'Choix pédagogiques'!$C$3=2),$BN860=1),I860,IF(AND('Choix pédagogiques'!$C$3=3,$BO860=1),I860,""))</f>
        <v/>
      </c>
      <c r="AE860" s="22" t="str">
        <f t="shared" si="590"/>
        <v/>
      </c>
      <c r="AF860" s="21" t="str">
        <f t="shared" si="591"/>
        <v>Apprenant 848</v>
      </c>
      <c r="AG860" s="22" t="str">
        <f t="shared" si="565"/>
        <v/>
      </c>
      <c r="AH860" s="22" t="str">
        <f t="shared" si="566"/>
        <v/>
      </c>
      <c r="AI860" s="22" t="str">
        <f t="shared" si="567"/>
        <v/>
      </c>
      <c r="AJ860" s="22" t="str">
        <f t="shared" si="592"/>
        <v/>
      </c>
      <c r="AK860" s="21" t="str">
        <f t="shared" si="593"/>
        <v>Apprenant 848 ou 848'</v>
      </c>
      <c r="AL860" s="22" t="str">
        <f t="shared" si="568"/>
        <v/>
      </c>
      <c r="AM860" s="22" t="str">
        <f t="shared" si="569"/>
        <v/>
      </c>
      <c r="AN860" s="22" t="str">
        <f t="shared" si="570"/>
        <v/>
      </c>
      <c r="AO860" s="22" t="str">
        <f t="shared" si="594"/>
        <v/>
      </c>
      <c r="AQ860" s="21" t="str">
        <f t="shared" si="595"/>
        <v>Apprenant 848</v>
      </c>
      <c r="AR860" s="49" t="str">
        <f>IF(AND('Choix pédagogiques'!$C$4&lt;&gt;"?",'Choix pédagogiques'!$C$5&lt;&gt;"?",W860&lt;&gt;""),(W860-'Choix pédagogiques'!$C$4)/('Choix pédagogiques'!$C$5-'Choix pédagogiques'!$C$4),"")</f>
        <v/>
      </c>
      <c r="AS860" s="49" t="str">
        <f>IF(AND('Choix pédagogiques'!$C$4&lt;&gt;"?",'Choix pédagogiques'!$C$5&lt;&gt;"?",X860&lt;&gt;""),(X860-'Choix pédagogiques'!$C$4)/('Choix pédagogiques'!$C$5-'Choix pédagogiques'!$C$4),"")</f>
        <v/>
      </c>
      <c r="AT860" s="49" t="str">
        <f>IF(AND('Choix pédagogiques'!$C$4&lt;&gt;"?",'Choix pédagogiques'!$C$5&lt;&gt;"?",Y860&lt;&gt;""),(Y860-'Choix pédagogiques'!$C$4)/('Choix pédagogiques'!$C$5-'Choix pédagogiques'!$C$4),"")</f>
        <v/>
      </c>
      <c r="AU860" s="22" t="str">
        <f t="shared" si="596"/>
        <v/>
      </c>
      <c r="AV860" s="21" t="str">
        <f t="shared" si="597"/>
        <v>Apprenant 848 ou 848'</v>
      </c>
      <c r="AW860" s="49" t="str">
        <f>IF(AND('Choix pédagogiques'!$C$4&lt;&gt;"?",'Choix pédagogiques'!$C$5&lt;&gt;"?",AB860&lt;&gt;""),(AB860-'Choix pédagogiques'!$C$4)/('Choix pédagogiques'!$C$5-'Choix pédagogiques'!$C$4),"")</f>
        <v/>
      </c>
      <c r="AX860" s="49" t="str">
        <f>IF(AND('Choix pédagogiques'!$C$4&lt;&gt;"?",'Choix pédagogiques'!$C$5&lt;&gt;"?",AC860&lt;&gt;""),(AC860-'Choix pédagogiques'!$C$4)/('Choix pédagogiques'!$C$5-'Choix pédagogiques'!$C$4),"")</f>
        <v/>
      </c>
      <c r="AY860" s="49" t="str">
        <f>IF(AND('Choix pédagogiques'!$C$4&lt;&gt;"?",'Choix pédagogiques'!$C$5&lt;&gt;"?",AD860&lt;&gt;""),(AD860-'Choix pédagogiques'!$C$4)/('Choix pédagogiques'!$C$5-'Choix pédagogiques'!$C$4),"")</f>
        <v/>
      </c>
      <c r="AZ860" s="22" t="str">
        <f t="shared" si="598"/>
        <v/>
      </c>
      <c r="BA860" s="21" t="str">
        <f t="shared" si="599"/>
        <v>Apprenant 848</v>
      </c>
      <c r="BB860" s="49" t="str">
        <f t="shared" si="571"/>
        <v/>
      </c>
      <c r="BC860" s="49" t="str">
        <f t="shared" si="572"/>
        <v/>
      </c>
      <c r="BD860" s="49" t="str">
        <f t="shared" si="573"/>
        <v/>
      </c>
      <c r="BE860" s="22" t="str">
        <f t="shared" si="600"/>
        <v/>
      </c>
      <c r="BF860" s="21" t="str">
        <f t="shared" si="601"/>
        <v>Apprenant 848 ou 848'</v>
      </c>
      <c r="BG860" s="49" t="str">
        <f t="shared" si="574"/>
        <v/>
      </c>
      <c r="BH860" s="49" t="str">
        <f t="shared" si="575"/>
        <v/>
      </c>
      <c r="BI860" s="49" t="str">
        <f t="shared" si="576"/>
        <v/>
      </c>
      <c r="BJ860" s="22" t="str">
        <f t="shared" si="602"/>
        <v/>
      </c>
      <c r="BL860" s="21"/>
      <c r="BM860" s="21" t="str">
        <f>IF(OR(COUNT(B860:D1859)=0,AND('Choix pédagogiques'!$C$3&lt;&gt;1,'Choix pédagogiques'!$C$3&lt;&gt;2)),"",IF(AND(OR('Choix pédagogiques'!$C$3=1,'Choix pédagogiques'!$C$3=2),$B860&lt;&gt;"",$C860&lt;&gt;"",$D860&lt;&gt;""),1,0))</f>
        <v/>
      </c>
      <c r="BN860" s="21" t="str">
        <f>IF(OR(COUNT(G860:I1859)=0,AND('Choix pédagogiques'!$C$3&lt;&gt;1,'Choix pédagogiques'!$C$3&lt;&gt;2)),"",IF(AND(OR('Choix pédagogiques'!$C$3=1,'Choix pédagogiques'!$C$3=2),AND($G860&lt;&gt;"",$H860&lt;&gt;"",$I860&lt;&gt;"")),1,0))</f>
        <v/>
      </c>
      <c r="BO860" s="21" t="str">
        <f>IF(OR(COUNT(B860:D1859)=0,COUNT(G860:I1859)=0,'Choix pédagogiques'!C$3&lt;&gt;3),"",IF(AND('Choix pédagogiques'!$C$3=3,$B860&lt;&gt;"",$C860&lt;&gt;"",$D860&lt;&gt;"",$G860&lt;&gt;"",$H860&lt;&gt;"",$I860&lt;&gt;""),1,0))</f>
        <v/>
      </c>
      <c r="BR860" s="21">
        <v>138</v>
      </c>
      <c r="BS860" s="21">
        <v>1123</v>
      </c>
      <c r="BT860"/>
    </row>
    <row r="861" spans="1:72" s="23" customFormat="1" ht="18" customHeight="1" x14ac:dyDescent="0.3">
      <c r="A861" s="35" t="s">
        <v>851</v>
      </c>
      <c r="B861" s="37"/>
      <c r="C861" s="37"/>
      <c r="D861" s="37"/>
      <c r="E861" s="37"/>
      <c r="F861" s="35" t="s">
        <v>1859</v>
      </c>
      <c r="G861" s="37"/>
      <c r="H861" s="37"/>
      <c r="I861" s="37"/>
      <c r="J861" s="37"/>
      <c r="K861" s="21" t="str">
        <f t="shared" si="577"/>
        <v>Apprenant 849</v>
      </c>
      <c r="L861" s="22" t="str">
        <f t="shared" si="578"/>
        <v/>
      </c>
      <c r="M861" s="22" t="str">
        <f t="shared" si="579"/>
        <v/>
      </c>
      <c r="N861" s="22" t="str">
        <f t="shared" si="580"/>
        <v/>
      </c>
      <c r="O861" s="22" t="str">
        <f t="shared" si="581"/>
        <v/>
      </c>
      <c r="P861" s="21" t="str">
        <f t="shared" si="582"/>
        <v>Apprenant 849 ou 849'</v>
      </c>
      <c r="Q861" s="22" t="str">
        <f t="shared" si="583"/>
        <v/>
      </c>
      <c r="R861" s="22" t="str">
        <f t="shared" si="584"/>
        <v/>
      </c>
      <c r="S861" s="22" t="str">
        <f t="shared" si="585"/>
        <v/>
      </c>
      <c r="T861" s="22" t="str">
        <f t="shared" si="586"/>
        <v/>
      </c>
      <c r="V861" s="21" t="str">
        <f t="shared" si="587"/>
        <v>Apprenant 849</v>
      </c>
      <c r="W861" s="22" t="str">
        <f>IF(AND(OR('Choix pédagogiques'!$C$3=1,'Choix pédagogiques'!$C$3=2),$BM861=1),B861,IF(AND('Choix pédagogiques'!$C$3=3,$BO861=1),B861,""))</f>
        <v/>
      </c>
      <c r="X861" s="22" t="str">
        <f>IF(AND(OR('Choix pédagogiques'!$C$3=1,'Choix pédagogiques'!$C$3=2),$BM861=1),C861,IF(AND('Choix pédagogiques'!$C$3=3,$BO861=1),C861,""))</f>
        <v/>
      </c>
      <c r="Y861" s="22" t="str">
        <f>IF(AND(OR('Choix pédagogiques'!$C$3=1,'Choix pédagogiques'!$C$3=2),$BM861=1),D861,IF(AND('Choix pédagogiques'!$C$3=3,$BO861=1),D861,""))</f>
        <v/>
      </c>
      <c r="Z861" s="22" t="str">
        <f t="shared" si="588"/>
        <v/>
      </c>
      <c r="AA861" s="21" t="str">
        <f t="shared" si="589"/>
        <v>Apprenant 849 ou 849'</v>
      </c>
      <c r="AB861" s="22" t="str">
        <f>IF(AND(OR('Choix pédagogiques'!$C$3=1,'Choix pédagogiques'!$C$3=2),$BN861=1),G861,IF(AND('Choix pédagogiques'!$C$3=3,$BO861=1),G861,""))</f>
        <v/>
      </c>
      <c r="AC861" s="22" t="str">
        <f>IF(AND(OR('Choix pédagogiques'!$C$3=1,'Choix pédagogiques'!$C$3=2),$BN861=1),H861,IF(AND('Choix pédagogiques'!$C$3=3,$BO861=1),H861,""))</f>
        <v/>
      </c>
      <c r="AD861" s="22" t="str">
        <f>IF(AND(OR('Choix pédagogiques'!$C$3=1,'Choix pédagogiques'!$C$3=2),$BN861=1),I861,IF(AND('Choix pédagogiques'!$C$3=3,$BO861=1),I861,""))</f>
        <v/>
      </c>
      <c r="AE861" s="22" t="str">
        <f t="shared" si="590"/>
        <v/>
      </c>
      <c r="AF861" s="21" t="str">
        <f t="shared" si="591"/>
        <v>Apprenant 849</v>
      </c>
      <c r="AG861" s="22" t="str">
        <f t="shared" si="565"/>
        <v/>
      </c>
      <c r="AH861" s="22" t="str">
        <f t="shared" si="566"/>
        <v/>
      </c>
      <c r="AI861" s="22" t="str">
        <f t="shared" si="567"/>
        <v/>
      </c>
      <c r="AJ861" s="22" t="str">
        <f t="shared" si="592"/>
        <v/>
      </c>
      <c r="AK861" s="21" t="str">
        <f t="shared" si="593"/>
        <v>Apprenant 849 ou 849'</v>
      </c>
      <c r="AL861" s="22" t="str">
        <f t="shared" si="568"/>
        <v/>
      </c>
      <c r="AM861" s="22" t="str">
        <f t="shared" si="569"/>
        <v/>
      </c>
      <c r="AN861" s="22" t="str">
        <f t="shared" si="570"/>
        <v/>
      </c>
      <c r="AO861" s="22" t="str">
        <f t="shared" si="594"/>
        <v/>
      </c>
      <c r="AQ861" s="21" t="str">
        <f t="shared" si="595"/>
        <v>Apprenant 849</v>
      </c>
      <c r="AR861" s="49" t="str">
        <f>IF(AND('Choix pédagogiques'!$C$4&lt;&gt;"?",'Choix pédagogiques'!$C$5&lt;&gt;"?",W861&lt;&gt;""),(W861-'Choix pédagogiques'!$C$4)/('Choix pédagogiques'!$C$5-'Choix pédagogiques'!$C$4),"")</f>
        <v/>
      </c>
      <c r="AS861" s="49" t="str">
        <f>IF(AND('Choix pédagogiques'!$C$4&lt;&gt;"?",'Choix pédagogiques'!$C$5&lt;&gt;"?",X861&lt;&gt;""),(X861-'Choix pédagogiques'!$C$4)/('Choix pédagogiques'!$C$5-'Choix pédagogiques'!$C$4),"")</f>
        <v/>
      </c>
      <c r="AT861" s="49" t="str">
        <f>IF(AND('Choix pédagogiques'!$C$4&lt;&gt;"?",'Choix pédagogiques'!$C$5&lt;&gt;"?",Y861&lt;&gt;""),(Y861-'Choix pédagogiques'!$C$4)/('Choix pédagogiques'!$C$5-'Choix pédagogiques'!$C$4),"")</f>
        <v/>
      </c>
      <c r="AU861" s="22" t="str">
        <f t="shared" si="596"/>
        <v/>
      </c>
      <c r="AV861" s="21" t="str">
        <f t="shared" si="597"/>
        <v>Apprenant 849 ou 849'</v>
      </c>
      <c r="AW861" s="49" t="str">
        <f>IF(AND('Choix pédagogiques'!$C$4&lt;&gt;"?",'Choix pédagogiques'!$C$5&lt;&gt;"?",AB861&lt;&gt;""),(AB861-'Choix pédagogiques'!$C$4)/('Choix pédagogiques'!$C$5-'Choix pédagogiques'!$C$4),"")</f>
        <v/>
      </c>
      <c r="AX861" s="49" t="str">
        <f>IF(AND('Choix pédagogiques'!$C$4&lt;&gt;"?",'Choix pédagogiques'!$C$5&lt;&gt;"?",AC861&lt;&gt;""),(AC861-'Choix pédagogiques'!$C$4)/('Choix pédagogiques'!$C$5-'Choix pédagogiques'!$C$4),"")</f>
        <v/>
      </c>
      <c r="AY861" s="49" t="str">
        <f>IF(AND('Choix pédagogiques'!$C$4&lt;&gt;"?",'Choix pédagogiques'!$C$5&lt;&gt;"?",AD861&lt;&gt;""),(AD861-'Choix pédagogiques'!$C$4)/('Choix pédagogiques'!$C$5-'Choix pédagogiques'!$C$4),"")</f>
        <v/>
      </c>
      <c r="AZ861" s="22" t="str">
        <f t="shared" si="598"/>
        <v/>
      </c>
      <c r="BA861" s="21" t="str">
        <f t="shared" si="599"/>
        <v>Apprenant 849</v>
      </c>
      <c r="BB861" s="49" t="str">
        <f t="shared" si="571"/>
        <v/>
      </c>
      <c r="BC861" s="49" t="str">
        <f t="shared" si="572"/>
        <v/>
      </c>
      <c r="BD861" s="49" t="str">
        <f t="shared" si="573"/>
        <v/>
      </c>
      <c r="BE861" s="22" t="str">
        <f t="shared" si="600"/>
        <v/>
      </c>
      <c r="BF861" s="21" t="str">
        <f t="shared" si="601"/>
        <v>Apprenant 849 ou 849'</v>
      </c>
      <c r="BG861" s="49" t="str">
        <f t="shared" si="574"/>
        <v/>
      </c>
      <c r="BH861" s="49" t="str">
        <f t="shared" si="575"/>
        <v/>
      </c>
      <c r="BI861" s="49" t="str">
        <f t="shared" si="576"/>
        <v/>
      </c>
      <c r="BJ861" s="22" t="str">
        <f t="shared" si="602"/>
        <v/>
      </c>
      <c r="BL861" s="21"/>
      <c r="BM861" s="21" t="str">
        <f>IF(OR(COUNT(B861:D1860)=0,AND('Choix pédagogiques'!$C$3&lt;&gt;1,'Choix pédagogiques'!$C$3&lt;&gt;2)),"",IF(AND(OR('Choix pédagogiques'!$C$3=1,'Choix pédagogiques'!$C$3=2),$B861&lt;&gt;"",$C861&lt;&gt;"",$D861&lt;&gt;""),1,0))</f>
        <v/>
      </c>
      <c r="BN861" s="21" t="str">
        <f>IF(OR(COUNT(G861:I1860)=0,AND('Choix pédagogiques'!$C$3&lt;&gt;1,'Choix pédagogiques'!$C$3&lt;&gt;2)),"",IF(AND(OR('Choix pédagogiques'!$C$3=1,'Choix pédagogiques'!$C$3=2),AND($G861&lt;&gt;"",$H861&lt;&gt;"",$I861&lt;&gt;"")),1,0))</f>
        <v/>
      </c>
      <c r="BO861" s="21" t="str">
        <f>IF(OR(COUNT(B861:D1860)=0,COUNT(G861:I1860)=0,'Choix pédagogiques'!C$3&lt;&gt;3),"",IF(AND('Choix pédagogiques'!$C$3=3,$B861&lt;&gt;"",$C861&lt;&gt;"",$D861&lt;&gt;"",$G861&lt;&gt;"",$H861&lt;&gt;"",$I861&lt;&gt;""),1,0))</f>
        <v/>
      </c>
      <c r="BR861" s="21">
        <v>904</v>
      </c>
      <c r="BS861" s="21">
        <v>1035</v>
      </c>
      <c r="BT861"/>
    </row>
    <row r="862" spans="1:72" s="23" customFormat="1" ht="18" customHeight="1" x14ac:dyDescent="0.3">
      <c r="A862" s="35" t="s">
        <v>852</v>
      </c>
      <c r="B862" s="37"/>
      <c r="C862" s="37"/>
      <c r="D862" s="37"/>
      <c r="E862" s="37"/>
      <c r="F862" s="35" t="s">
        <v>1860</v>
      </c>
      <c r="G862" s="37"/>
      <c r="H862" s="37"/>
      <c r="I862" s="37"/>
      <c r="J862" s="37"/>
      <c r="K862" s="21" t="str">
        <f t="shared" si="577"/>
        <v>Apprenant 850</v>
      </c>
      <c r="L862" s="22" t="str">
        <f t="shared" si="578"/>
        <v/>
      </c>
      <c r="M862" s="22" t="str">
        <f t="shared" si="579"/>
        <v/>
      </c>
      <c r="N862" s="22" t="str">
        <f t="shared" si="580"/>
        <v/>
      </c>
      <c r="O862" s="22" t="str">
        <f t="shared" si="581"/>
        <v/>
      </c>
      <c r="P862" s="21" t="str">
        <f t="shared" si="582"/>
        <v>Apprenant 850 ou 850'</v>
      </c>
      <c r="Q862" s="22" t="str">
        <f t="shared" si="583"/>
        <v/>
      </c>
      <c r="R862" s="22" t="str">
        <f t="shared" si="584"/>
        <v/>
      </c>
      <c r="S862" s="22" t="str">
        <f t="shared" si="585"/>
        <v/>
      </c>
      <c r="T862" s="22" t="str">
        <f t="shared" si="586"/>
        <v/>
      </c>
      <c r="V862" s="21" t="str">
        <f t="shared" si="587"/>
        <v>Apprenant 850</v>
      </c>
      <c r="W862" s="22" t="str">
        <f>IF(AND(OR('Choix pédagogiques'!$C$3=1,'Choix pédagogiques'!$C$3=2),$BM862=1),B862,IF(AND('Choix pédagogiques'!$C$3=3,$BO862=1),B862,""))</f>
        <v/>
      </c>
      <c r="X862" s="22" t="str">
        <f>IF(AND(OR('Choix pédagogiques'!$C$3=1,'Choix pédagogiques'!$C$3=2),$BM862=1),C862,IF(AND('Choix pédagogiques'!$C$3=3,$BO862=1),C862,""))</f>
        <v/>
      </c>
      <c r="Y862" s="22" t="str">
        <f>IF(AND(OR('Choix pédagogiques'!$C$3=1,'Choix pédagogiques'!$C$3=2),$BM862=1),D862,IF(AND('Choix pédagogiques'!$C$3=3,$BO862=1),D862,""))</f>
        <v/>
      </c>
      <c r="Z862" s="22" t="str">
        <f t="shared" si="588"/>
        <v/>
      </c>
      <c r="AA862" s="21" t="str">
        <f t="shared" si="589"/>
        <v>Apprenant 850 ou 850'</v>
      </c>
      <c r="AB862" s="22" t="str">
        <f>IF(AND(OR('Choix pédagogiques'!$C$3=1,'Choix pédagogiques'!$C$3=2),$BN862=1),G862,IF(AND('Choix pédagogiques'!$C$3=3,$BO862=1),G862,""))</f>
        <v/>
      </c>
      <c r="AC862" s="22" t="str">
        <f>IF(AND(OR('Choix pédagogiques'!$C$3=1,'Choix pédagogiques'!$C$3=2),$BN862=1),H862,IF(AND('Choix pédagogiques'!$C$3=3,$BO862=1),H862,""))</f>
        <v/>
      </c>
      <c r="AD862" s="22" t="str">
        <f>IF(AND(OR('Choix pédagogiques'!$C$3=1,'Choix pédagogiques'!$C$3=2),$BN862=1),I862,IF(AND('Choix pédagogiques'!$C$3=3,$BO862=1),I862,""))</f>
        <v/>
      </c>
      <c r="AE862" s="22" t="str">
        <f t="shared" si="590"/>
        <v/>
      </c>
      <c r="AF862" s="21" t="str">
        <f t="shared" si="591"/>
        <v>Apprenant 850</v>
      </c>
      <c r="AG862" s="22" t="str">
        <f t="shared" si="565"/>
        <v/>
      </c>
      <c r="AH862" s="22" t="str">
        <f t="shared" si="566"/>
        <v/>
      </c>
      <c r="AI862" s="22" t="str">
        <f t="shared" si="567"/>
        <v/>
      </c>
      <c r="AJ862" s="22" t="str">
        <f t="shared" si="592"/>
        <v/>
      </c>
      <c r="AK862" s="21" t="str">
        <f t="shared" si="593"/>
        <v>Apprenant 850 ou 850'</v>
      </c>
      <c r="AL862" s="22" t="str">
        <f t="shared" si="568"/>
        <v/>
      </c>
      <c r="AM862" s="22" t="str">
        <f t="shared" si="569"/>
        <v/>
      </c>
      <c r="AN862" s="22" t="str">
        <f t="shared" si="570"/>
        <v/>
      </c>
      <c r="AO862" s="22" t="str">
        <f t="shared" si="594"/>
        <v/>
      </c>
      <c r="AQ862" s="21" t="str">
        <f t="shared" si="595"/>
        <v>Apprenant 850</v>
      </c>
      <c r="AR862" s="49" t="str">
        <f>IF(AND('Choix pédagogiques'!$C$4&lt;&gt;"?",'Choix pédagogiques'!$C$5&lt;&gt;"?",W862&lt;&gt;""),(W862-'Choix pédagogiques'!$C$4)/('Choix pédagogiques'!$C$5-'Choix pédagogiques'!$C$4),"")</f>
        <v/>
      </c>
      <c r="AS862" s="49" t="str">
        <f>IF(AND('Choix pédagogiques'!$C$4&lt;&gt;"?",'Choix pédagogiques'!$C$5&lt;&gt;"?",X862&lt;&gt;""),(X862-'Choix pédagogiques'!$C$4)/('Choix pédagogiques'!$C$5-'Choix pédagogiques'!$C$4),"")</f>
        <v/>
      </c>
      <c r="AT862" s="49" t="str">
        <f>IF(AND('Choix pédagogiques'!$C$4&lt;&gt;"?",'Choix pédagogiques'!$C$5&lt;&gt;"?",Y862&lt;&gt;""),(Y862-'Choix pédagogiques'!$C$4)/('Choix pédagogiques'!$C$5-'Choix pédagogiques'!$C$4),"")</f>
        <v/>
      </c>
      <c r="AU862" s="22" t="str">
        <f t="shared" si="596"/>
        <v/>
      </c>
      <c r="AV862" s="21" t="str">
        <f t="shared" si="597"/>
        <v>Apprenant 850 ou 850'</v>
      </c>
      <c r="AW862" s="49" t="str">
        <f>IF(AND('Choix pédagogiques'!$C$4&lt;&gt;"?",'Choix pédagogiques'!$C$5&lt;&gt;"?",AB862&lt;&gt;""),(AB862-'Choix pédagogiques'!$C$4)/('Choix pédagogiques'!$C$5-'Choix pédagogiques'!$C$4),"")</f>
        <v/>
      </c>
      <c r="AX862" s="49" t="str">
        <f>IF(AND('Choix pédagogiques'!$C$4&lt;&gt;"?",'Choix pédagogiques'!$C$5&lt;&gt;"?",AC862&lt;&gt;""),(AC862-'Choix pédagogiques'!$C$4)/('Choix pédagogiques'!$C$5-'Choix pédagogiques'!$C$4),"")</f>
        <v/>
      </c>
      <c r="AY862" s="49" t="str">
        <f>IF(AND('Choix pédagogiques'!$C$4&lt;&gt;"?",'Choix pédagogiques'!$C$5&lt;&gt;"?",AD862&lt;&gt;""),(AD862-'Choix pédagogiques'!$C$4)/('Choix pédagogiques'!$C$5-'Choix pédagogiques'!$C$4),"")</f>
        <v/>
      </c>
      <c r="AZ862" s="22" t="str">
        <f t="shared" si="598"/>
        <v/>
      </c>
      <c r="BA862" s="21" t="str">
        <f t="shared" si="599"/>
        <v>Apprenant 850</v>
      </c>
      <c r="BB862" s="49" t="str">
        <f t="shared" si="571"/>
        <v/>
      </c>
      <c r="BC862" s="49" t="str">
        <f t="shared" si="572"/>
        <v/>
      </c>
      <c r="BD862" s="49" t="str">
        <f t="shared" si="573"/>
        <v/>
      </c>
      <c r="BE862" s="22" t="str">
        <f t="shared" si="600"/>
        <v/>
      </c>
      <c r="BF862" s="21" t="str">
        <f t="shared" si="601"/>
        <v>Apprenant 850 ou 850'</v>
      </c>
      <c r="BG862" s="49" t="str">
        <f t="shared" si="574"/>
        <v/>
      </c>
      <c r="BH862" s="49" t="str">
        <f t="shared" si="575"/>
        <v/>
      </c>
      <c r="BI862" s="49" t="str">
        <f t="shared" si="576"/>
        <v/>
      </c>
      <c r="BJ862" s="22" t="str">
        <f t="shared" si="602"/>
        <v/>
      </c>
      <c r="BL862" s="21"/>
      <c r="BM862" s="21" t="str">
        <f>IF(OR(COUNT(B862:D1861)=0,AND('Choix pédagogiques'!$C$3&lt;&gt;1,'Choix pédagogiques'!$C$3&lt;&gt;2)),"",IF(AND(OR('Choix pédagogiques'!$C$3=1,'Choix pédagogiques'!$C$3=2),$B862&lt;&gt;"",$C862&lt;&gt;"",$D862&lt;&gt;""),1,0))</f>
        <v/>
      </c>
      <c r="BN862" s="21" t="str">
        <f>IF(OR(COUNT(G862:I1861)=0,AND('Choix pédagogiques'!$C$3&lt;&gt;1,'Choix pédagogiques'!$C$3&lt;&gt;2)),"",IF(AND(OR('Choix pédagogiques'!$C$3=1,'Choix pédagogiques'!$C$3=2),AND($G862&lt;&gt;"",$H862&lt;&gt;"",$I862&lt;&gt;"")),1,0))</f>
        <v/>
      </c>
      <c r="BO862" s="21" t="str">
        <f>IF(OR(COUNT(B862:D1861)=0,COUNT(G862:I1861)=0,'Choix pédagogiques'!C$3&lt;&gt;3),"",IF(AND('Choix pédagogiques'!$C$3=3,$B862&lt;&gt;"",$C862&lt;&gt;"",$D862&lt;&gt;"",$G862&lt;&gt;"",$H862&lt;&gt;"",$I862&lt;&gt;""),1,0))</f>
        <v/>
      </c>
      <c r="BR862" s="21">
        <v>225</v>
      </c>
      <c r="BS862" s="21">
        <v>1026</v>
      </c>
      <c r="BT862"/>
    </row>
    <row r="863" spans="1:72" s="23" customFormat="1" ht="18" customHeight="1" x14ac:dyDescent="0.3">
      <c r="A863" s="35" t="s">
        <v>853</v>
      </c>
      <c r="B863" s="37"/>
      <c r="C863" s="37"/>
      <c r="D863" s="37"/>
      <c r="E863" s="37"/>
      <c r="F863" s="35" t="s">
        <v>1861</v>
      </c>
      <c r="G863" s="37"/>
      <c r="H863" s="37"/>
      <c r="I863" s="37"/>
      <c r="J863" s="37"/>
      <c r="K863" s="21" t="str">
        <f t="shared" si="577"/>
        <v>Apprenant 851</v>
      </c>
      <c r="L863" s="22" t="str">
        <f t="shared" si="578"/>
        <v/>
      </c>
      <c r="M863" s="22" t="str">
        <f t="shared" si="579"/>
        <v/>
      </c>
      <c r="N863" s="22" t="str">
        <f t="shared" si="580"/>
        <v/>
      </c>
      <c r="O863" s="22" t="str">
        <f t="shared" si="581"/>
        <v/>
      </c>
      <c r="P863" s="21" t="str">
        <f t="shared" si="582"/>
        <v>Apprenant 851 ou 851'</v>
      </c>
      <c r="Q863" s="22" t="str">
        <f t="shared" si="583"/>
        <v/>
      </c>
      <c r="R863" s="22" t="str">
        <f t="shared" si="584"/>
        <v/>
      </c>
      <c r="S863" s="22" t="str">
        <f t="shared" si="585"/>
        <v/>
      </c>
      <c r="T863" s="22" t="str">
        <f t="shared" si="586"/>
        <v/>
      </c>
      <c r="V863" s="21" t="str">
        <f t="shared" si="587"/>
        <v>Apprenant 851</v>
      </c>
      <c r="W863" s="22" t="str">
        <f>IF(AND(OR('Choix pédagogiques'!$C$3=1,'Choix pédagogiques'!$C$3=2),$BM863=1),B863,IF(AND('Choix pédagogiques'!$C$3=3,$BO863=1),B863,""))</f>
        <v/>
      </c>
      <c r="X863" s="22" t="str">
        <f>IF(AND(OR('Choix pédagogiques'!$C$3=1,'Choix pédagogiques'!$C$3=2),$BM863=1),C863,IF(AND('Choix pédagogiques'!$C$3=3,$BO863=1),C863,""))</f>
        <v/>
      </c>
      <c r="Y863" s="22" t="str">
        <f>IF(AND(OR('Choix pédagogiques'!$C$3=1,'Choix pédagogiques'!$C$3=2),$BM863=1),D863,IF(AND('Choix pédagogiques'!$C$3=3,$BO863=1),D863,""))</f>
        <v/>
      </c>
      <c r="Z863" s="22" t="str">
        <f t="shared" si="588"/>
        <v/>
      </c>
      <c r="AA863" s="21" t="str">
        <f t="shared" si="589"/>
        <v>Apprenant 851 ou 851'</v>
      </c>
      <c r="AB863" s="22" t="str">
        <f>IF(AND(OR('Choix pédagogiques'!$C$3=1,'Choix pédagogiques'!$C$3=2),$BN863=1),G863,IF(AND('Choix pédagogiques'!$C$3=3,$BO863=1),G863,""))</f>
        <v/>
      </c>
      <c r="AC863" s="22" t="str">
        <f>IF(AND(OR('Choix pédagogiques'!$C$3=1,'Choix pédagogiques'!$C$3=2),$BN863=1),H863,IF(AND('Choix pédagogiques'!$C$3=3,$BO863=1),H863,""))</f>
        <v/>
      </c>
      <c r="AD863" s="22" t="str">
        <f>IF(AND(OR('Choix pédagogiques'!$C$3=1,'Choix pédagogiques'!$C$3=2),$BN863=1),I863,IF(AND('Choix pédagogiques'!$C$3=3,$BO863=1),I863,""))</f>
        <v/>
      </c>
      <c r="AE863" s="22" t="str">
        <f t="shared" si="590"/>
        <v/>
      </c>
      <c r="AF863" s="21" t="str">
        <f t="shared" si="591"/>
        <v>Apprenant 851</v>
      </c>
      <c r="AG863" s="22" t="str">
        <f t="shared" si="565"/>
        <v/>
      </c>
      <c r="AH863" s="22" t="str">
        <f t="shared" si="566"/>
        <v/>
      </c>
      <c r="AI863" s="22" t="str">
        <f t="shared" si="567"/>
        <v/>
      </c>
      <c r="AJ863" s="22" t="str">
        <f t="shared" si="592"/>
        <v/>
      </c>
      <c r="AK863" s="21" t="str">
        <f t="shared" si="593"/>
        <v>Apprenant 851 ou 851'</v>
      </c>
      <c r="AL863" s="22" t="str">
        <f t="shared" si="568"/>
        <v/>
      </c>
      <c r="AM863" s="22" t="str">
        <f t="shared" si="569"/>
        <v/>
      </c>
      <c r="AN863" s="22" t="str">
        <f t="shared" si="570"/>
        <v/>
      </c>
      <c r="AO863" s="22" t="str">
        <f t="shared" si="594"/>
        <v/>
      </c>
      <c r="AQ863" s="21" t="str">
        <f t="shared" si="595"/>
        <v>Apprenant 851</v>
      </c>
      <c r="AR863" s="49" t="str">
        <f>IF(AND('Choix pédagogiques'!$C$4&lt;&gt;"?",'Choix pédagogiques'!$C$5&lt;&gt;"?",W863&lt;&gt;""),(W863-'Choix pédagogiques'!$C$4)/('Choix pédagogiques'!$C$5-'Choix pédagogiques'!$C$4),"")</f>
        <v/>
      </c>
      <c r="AS863" s="49" t="str">
        <f>IF(AND('Choix pédagogiques'!$C$4&lt;&gt;"?",'Choix pédagogiques'!$C$5&lt;&gt;"?",X863&lt;&gt;""),(X863-'Choix pédagogiques'!$C$4)/('Choix pédagogiques'!$C$5-'Choix pédagogiques'!$C$4),"")</f>
        <v/>
      </c>
      <c r="AT863" s="49" t="str">
        <f>IF(AND('Choix pédagogiques'!$C$4&lt;&gt;"?",'Choix pédagogiques'!$C$5&lt;&gt;"?",Y863&lt;&gt;""),(Y863-'Choix pédagogiques'!$C$4)/('Choix pédagogiques'!$C$5-'Choix pédagogiques'!$C$4),"")</f>
        <v/>
      </c>
      <c r="AU863" s="22" t="str">
        <f t="shared" si="596"/>
        <v/>
      </c>
      <c r="AV863" s="21" t="str">
        <f t="shared" si="597"/>
        <v>Apprenant 851 ou 851'</v>
      </c>
      <c r="AW863" s="49" t="str">
        <f>IF(AND('Choix pédagogiques'!$C$4&lt;&gt;"?",'Choix pédagogiques'!$C$5&lt;&gt;"?",AB863&lt;&gt;""),(AB863-'Choix pédagogiques'!$C$4)/('Choix pédagogiques'!$C$5-'Choix pédagogiques'!$C$4),"")</f>
        <v/>
      </c>
      <c r="AX863" s="49" t="str">
        <f>IF(AND('Choix pédagogiques'!$C$4&lt;&gt;"?",'Choix pédagogiques'!$C$5&lt;&gt;"?",AC863&lt;&gt;""),(AC863-'Choix pédagogiques'!$C$4)/('Choix pédagogiques'!$C$5-'Choix pédagogiques'!$C$4),"")</f>
        <v/>
      </c>
      <c r="AY863" s="49" t="str">
        <f>IF(AND('Choix pédagogiques'!$C$4&lt;&gt;"?",'Choix pédagogiques'!$C$5&lt;&gt;"?",AD863&lt;&gt;""),(AD863-'Choix pédagogiques'!$C$4)/('Choix pédagogiques'!$C$5-'Choix pédagogiques'!$C$4),"")</f>
        <v/>
      </c>
      <c r="AZ863" s="22" t="str">
        <f t="shared" si="598"/>
        <v/>
      </c>
      <c r="BA863" s="21" t="str">
        <f t="shared" si="599"/>
        <v>Apprenant 851</v>
      </c>
      <c r="BB863" s="49" t="str">
        <f t="shared" si="571"/>
        <v/>
      </c>
      <c r="BC863" s="49" t="str">
        <f t="shared" si="572"/>
        <v/>
      </c>
      <c r="BD863" s="49" t="str">
        <f t="shared" si="573"/>
        <v/>
      </c>
      <c r="BE863" s="22" t="str">
        <f t="shared" si="600"/>
        <v/>
      </c>
      <c r="BF863" s="21" t="str">
        <f t="shared" si="601"/>
        <v>Apprenant 851 ou 851'</v>
      </c>
      <c r="BG863" s="49" t="str">
        <f t="shared" si="574"/>
        <v/>
      </c>
      <c r="BH863" s="49" t="str">
        <f t="shared" si="575"/>
        <v/>
      </c>
      <c r="BI863" s="49" t="str">
        <f t="shared" si="576"/>
        <v/>
      </c>
      <c r="BJ863" s="22" t="str">
        <f t="shared" si="602"/>
        <v/>
      </c>
      <c r="BL863" s="21"/>
      <c r="BM863" s="21" t="str">
        <f>IF(OR(COUNT(B863:D1862)=0,AND('Choix pédagogiques'!$C$3&lt;&gt;1,'Choix pédagogiques'!$C$3&lt;&gt;2)),"",IF(AND(OR('Choix pédagogiques'!$C$3=1,'Choix pédagogiques'!$C$3=2),$B863&lt;&gt;"",$C863&lt;&gt;"",$D863&lt;&gt;""),1,0))</f>
        <v/>
      </c>
      <c r="BN863" s="21" t="str">
        <f>IF(OR(COUNT(G863:I1862)=0,AND('Choix pédagogiques'!$C$3&lt;&gt;1,'Choix pédagogiques'!$C$3&lt;&gt;2)),"",IF(AND(OR('Choix pédagogiques'!$C$3=1,'Choix pédagogiques'!$C$3=2),AND($G863&lt;&gt;"",$H863&lt;&gt;"",$I863&lt;&gt;"")),1,0))</f>
        <v/>
      </c>
      <c r="BO863" s="21" t="str">
        <f>IF(OR(COUNT(B863:D1862)=0,COUNT(G863:I1862)=0,'Choix pédagogiques'!C$3&lt;&gt;3),"",IF(AND('Choix pédagogiques'!$C$3=3,$B863&lt;&gt;"",$C863&lt;&gt;"",$D863&lt;&gt;"",$G863&lt;&gt;"",$H863&lt;&gt;"",$I863&lt;&gt;""),1,0))</f>
        <v/>
      </c>
      <c r="BR863" s="21">
        <v>69</v>
      </c>
      <c r="BS863" s="21">
        <v>1130</v>
      </c>
      <c r="BT863"/>
    </row>
    <row r="864" spans="1:72" s="23" customFormat="1" ht="18" customHeight="1" x14ac:dyDescent="0.3">
      <c r="A864" s="35" t="s">
        <v>854</v>
      </c>
      <c r="B864" s="37"/>
      <c r="C864" s="37"/>
      <c r="D864" s="37"/>
      <c r="E864" s="37"/>
      <c r="F864" s="35" t="s">
        <v>1862</v>
      </c>
      <c r="G864" s="37"/>
      <c r="H864" s="37"/>
      <c r="I864" s="37"/>
      <c r="J864" s="37"/>
      <c r="K864" s="21" t="str">
        <f t="shared" si="577"/>
        <v>Apprenant 852</v>
      </c>
      <c r="L864" s="22" t="str">
        <f t="shared" si="578"/>
        <v/>
      </c>
      <c r="M864" s="22" t="str">
        <f t="shared" si="579"/>
        <v/>
      </c>
      <c r="N864" s="22" t="str">
        <f t="shared" si="580"/>
        <v/>
      </c>
      <c r="O864" s="22" t="str">
        <f t="shared" si="581"/>
        <v/>
      </c>
      <c r="P864" s="21" t="str">
        <f t="shared" si="582"/>
        <v>Apprenant 852 ou 852'</v>
      </c>
      <c r="Q864" s="22" t="str">
        <f t="shared" si="583"/>
        <v/>
      </c>
      <c r="R864" s="22" t="str">
        <f t="shared" si="584"/>
        <v/>
      </c>
      <c r="S864" s="22" t="str">
        <f t="shared" si="585"/>
        <v/>
      </c>
      <c r="T864" s="22" t="str">
        <f t="shared" si="586"/>
        <v/>
      </c>
      <c r="V864" s="21" t="str">
        <f t="shared" si="587"/>
        <v>Apprenant 852</v>
      </c>
      <c r="W864" s="22" t="str">
        <f>IF(AND(OR('Choix pédagogiques'!$C$3=1,'Choix pédagogiques'!$C$3=2),$BM864=1),B864,IF(AND('Choix pédagogiques'!$C$3=3,$BO864=1),B864,""))</f>
        <v/>
      </c>
      <c r="X864" s="22" t="str">
        <f>IF(AND(OR('Choix pédagogiques'!$C$3=1,'Choix pédagogiques'!$C$3=2),$BM864=1),C864,IF(AND('Choix pédagogiques'!$C$3=3,$BO864=1),C864,""))</f>
        <v/>
      </c>
      <c r="Y864" s="22" t="str">
        <f>IF(AND(OR('Choix pédagogiques'!$C$3=1,'Choix pédagogiques'!$C$3=2),$BM864=1),D864,IF(AND('Choix pédagogiques'!$C$3=3,$BO864=1),D864,""))</f>
        <v/>
      </c>
      <c r="Z864" s="22" t="str">
        <f t="shared" si="588"/>
        <v/>
      </c>
      <c r="AA864" s="21" t="str">
        <f t="shared" si="589"/>
        <v>Apprenant 852 ou 852'</v>
      </c>
      <c r="AB864" s="22" t="str">
        <f>IF(AND(OR('Choix pédagogiques'!$C$3=1,'Choix pédagogiques'!$C$3=2),$BN864=1),G864,IF(AND('Choix pédagogiques'!$C$3=3,$BO864=1),G864,""))</f>
        <v/>
      </c>
      <c r="AC864" s="22" t="str">
        <f>IF(AND(OR('Choix pédagogiques'!$C$3=1,'Choix pédagogiques'!$C$3=2),$BN864=1),H864,IF(AND('Choix pédagogiques'!$C$3=3,$BO864=1),H864,""))</f>
        <v/>
      </c>
      <c r="AD864" s="22" t="str">
        <f>IF(AND(OR('Choix pédagogiques'!$C$3=1,'Choix pédagogiques'!$C$3=2),$BN864=1),I864,IF(AND('Choix pédagogiques'!$C$3=3,$BO864=1),I864,""))</f>
        <v/>
      </c>
      <c r="AE864" s="22" t="str">
        <f t="shared" si="590"/>
        <v/>
      </c>
      <c r="AF864" s="21" t="str">
        <f t="shared" si="591"/>
        <v>Apprenant 852</v>
      </c>
      <c r="AG864" s="22" t="str">
        <f t="shared" si="565"/>
        <v/>
      </c>
      <c r="AH864" s="22" t="str">
        <f t="shared" si="566"/>
        <v/>
      </c>
      <c r="AI864" s="22" t="str">
        <f t="shared" si="567"/>
        <v/>
      </c>
      <c r="AJ864" s="22" t="str">
        <f t="shared" si="592"/>
        <v/>
      </c>
      <c r="AK864" s="21" t="str">
        <f t="shared" si="593"/>
        <v>Apprenant 852 ou 852'</v>
      </c>
      <c r="AL864" s="22" t="str">
        <f t="shared" si="568"/>
        <v/>
      </c>
      <c r="AM864" s="22" t="str">
        <f t="shared" si="569"/>
        <v/>
      </c>
      <c r="AN864" s="22" t="str">
        <f t="shared" si="570"/>
        <v/>
      </c>
      <c r="AO864" s="22" t="str">
        <f t="shared" si="594"/>
        <v/>
      </c>
      <c r="AQ864" s="21" t="str">
        <f t="shared" si="595"/>
        <v>Apprenant 852</v>
      </c>
      <c r="AR864" s="49" t="str">
        <f>IF(AND('Choix pédagogiques'!$C$4&lt;&gt;"?",'Choix pédagogiques'!$C$5&lt;&gt;"?",W864&lt;&gt;""),(W864-'Choix pédagogiques'!$C$4)/('Choix pédagogiques'!$C$5-'Choix pédagogiques'!$C$4),"")</f>
        <v/>
      </c>
      <c r="AS864" s="49" t="str">
        <f>IF(AND('Choix pédagogiques'!$C$4&lt;&gt;"?",'Choix pédagogiques'!$C$5&lt;&gt;"?",X864&lt;&gt;""),(X864-'Choix pédagogiques'!$C$4)/('Choix pédagogiques'!$C$5-'Choix pédagogiques'!$C$4),"")</f>
        <v/>
      </c>
      <c r="AT864" s="49" t="str">
        <f>IF(AND('Choix pédagogiques'!$C$4&lt;&gt;"?",'Choix pédagogiques'!$C$5&lt;&gt;"?",Y864&lt;&gt;""),(Y864-'Choix pédagogiques'!$C$4)/('Choix pédagogiques'!$C$5-'Choix pédagogiques'!$C$4),"")</f>
        <v/>
      </c>
      <c r="AU864" s="22" t="str">
        <f t="shared" si="596"/>
        <v/>
      </c>
      <c r="AV864" s="21" t="str">
        <f t="shared" si="597"/>
        <v>Apprenant 852 ou 852'</v>
      </c>
      <c r="AW864" s="49" t="str">
        <f>IF(AND('Choix pédagogiques'!$C$4&lt;&gt;"?",'Choix pédagogiques'!$C$5&lt;&gt;"?",AB864&lt;&gt;""),(AB864-'Choix pédagogiques'!$C$4)/('Choix pédagogiques'!$C$5-'Choix pédagogiques'!$C$4),"")</f>
        <v/>
      </c>
      <c r="AX864" s="49" t="str">
        <f>IF(AND('Choix pédagogiques'!$C$4&lt;&gt;"?",'Choix pédagogiques'!$C$5&lt;&gt;"?",AC864&lt;&gt;""),(AC864-'Choix pédagogiques'!$C$4)/('Choix pédagogiques'!$C$5-'Choix pédagogiques'!$C$4),"")</f>
        <v/>
      </c>
      <c r="AY864" s="49" t="str">
        <f>IF(AND('Choix pédagogiques'!$C$4&lt;&gt;"?",'Choix pédagogiques'!$C$5&lt;&gt;"?",AD864&lt;&gt;""),(AD864-'Choix pédagogiques'!$C$4)/('Choix pédagogiques'!$C$5-'Choix pédagogiques'!$C$4),"")</f>
        <v/>
      </c>
      <c r="AZ864" s="22" t="str">
        <f t="shared" si="598"/>
        <v/>
      </c>
      <c r="BA864" s="21" t="str">
        <f t="shared" si="599"/>
        <v>Apprenant 852</v>
      </c>
      <c r="BB864" s="49" t="str">
        <f t="shared" si="571"/>
        <v/>
      </c>
      <c r="BC864" s="49" t="str">
        <f t="shared" si="572"/>
        <v/>
      </c>
      <c r="BD864" s="49" t="str">
        <f t="shared" si="573"/>
        <v/>
      </c>
      <c r="BE864" s="22" t="str">
        <f t="shared" si="600"/>
        <v/>
      </c>
      <c r="BF864" s="21" t="str">
        <f t="shared" si="601"/>
        <v>Apprenant 852 ou 852'</v>
      </c>
      <c r="BG864" s="49" t="str">
        <f t="shared" si="574"/>
        <v/>
      </c>
      <c r="BH864" s="49" t="str">
        <f t="shared" si="575"/>
        <v/>
      </c>
      <c r="BI864" s="49" t="str">
        <f t="shared" si="576"/>
        <v/>
      </c>
      <c r="BJ864" s="22" t="str">
        <f t="shared" si="602"/>
        <v/>
      </c>
      <c r="BL864" s="21"/>
      <c r="BM864" s="21" t="str">
        <f>IF(OR(COUNT(B864:D1863)=0,AND('Choix pédagogiques'!$C$3&lt;&gt;1,'Choix pédagogiques'!$C$3&lt;&gt;2)),"",IF(AND(OR('Choix pédagogiques'!$C$3=1,'Choix pédagogiques'!$C$3=2),$B864&lt;&gt;"",$C864&lt;&gt;"",$D864&lt;&gt;""),1,0))</f>
        <v/>
      </c>
      <c r="BN864" s="21" t="str">
        <f>IF(OR(COUNT(G864:I1863)=0,AND('Choix pédagogiques'!$C$3&lt;&gt;1,'Choix pédagogiques'!$C$3&lt;&gt;2)),"",IF(AND(OR('Choix pédagogiques'!$C$3=1,'Choix pédagogiques'!$C$3=2),AND($G864&lt;&gt;"",$H864&lt;&gt;"",$I864&lt;&gt;"")),1,0))</f>
        <v/>
      </c>
      <c r="BO864" s="21" t="str">
        <f>IF(OR(COUNT(B864:D1863)=0,COUNT(G864:I1863)=0,'Choix pédagogiques'!C$3&lt;&gt;3),"",IF(AND('Choix pédagogiques'!$C$3=3,$B864&lt;&gt;"",$C864&lt;&gt;"",$D864&lt;&gt;"",$G864&lt;&gt;"",$H864&lt;&gt;"",$I864&lt;&gt;""),1,0))</f>
        <v/>
      </c>
      <c r="BR864" s="21">
        <v>588</v>
      </c>
      <c r="BS864" s="21">
        <v>1939</v>
      </c>
      <c r="BT864"/>
    </row>
    <row r="865" spans="1:72" s="23" customFormat="1" ht="18" customHeight="1" x14ac:dyDescent="0.3">
      <c r="A865" s="35" t="s">
        <v>855</v>
      </c>
      <c r="B865" s="37"/>
      <c r="C865" s="37"/>
      <c r="D865" s="37"/>
      <c r="E865" s="37"/>
      <c r="F865" s="35" t="s">
        <v>1863</v>
      </c>
      <c r="G865" s="37"/>
      <c r="H865" s="37"/>
      <c r="I865" s="37"/>
      <c r="J865" s="37"/>
      <c r="K865" s="21" t="str">
        <f t="shared" si="577"/>
        <v>Apprenant 853</v>
      </c>
      <c r="L865" s="22" t="str">
        <f t="shared" si="578"/>
        <v/>
      </c>
      <c r="M865" s="22" t="str">
        <f t="shared" si="579"/>
        <v/>
      </c>
      <c r="N865" s="22" t="str">
        <f t="shared" si="580"/>
        <v/>
      </c>
      <c r="O865" s="22" t="str">
        <f t="shared" si="581"/>
        <v/>
      </c>
      <c r="P865" s="21" t="str">
        <f t="shared" si="582"/>
        <v>Apprenant 853 ou 853'</v>
      </c>
      <c r="Q865" s="22" t="str">
        <f t="shared" si="583"/>
        <v/>
      </c>
      <c r="R865" s="22" t="str">
        <f t="shared" si="584"/>
        <v/>
      </c>
      <c r="S865" s="22" t="str">
        <f t="shared" si="585"/>
        <v/>
      </c>
      <c r="T865" s="22" t="str">
        <f t="shared" si="586"/>
        <v/>
      </c>
      <c r="V865" s="21" t="str">
        <f t="shared" si="587"/>
        <v>Apprenant 853</v>
      </c>
      <c r="W865" s="22" t="str">
        <f>IF(AND(OR('Choix pédagogiques'!$C$3=1,'Choix pédagogiques'!$C$3=2),$BM865=1),B865,IF(AND('Choix pédagogiques'!$C$3=3,$BO865=1),B865,""))</f>
        <v/>
      </c>
      <c r="X865" s="22" t="str">
        <f>IF(AND(OR('Choix pédagogiques'!$C$3=1,'Choix pédagogiques'!$C$3=2),$BM865=1),C865,IF(AND('Choix pédagogiques'!$C$3=3,$BO865=1),C865,""))</f>
        <v/>
      </c>
      <c r="Y865" s="22" t="str">
        <f>IF(AND(OR('Choix pédagogiques'!$C$3=1,'Choix pédagogiques'!$C$3=2),$BM865=1),D865,IF(AND('Choix pédagogiques'!$C$3=3,$BO865=1),D865,""))</f>
        <v/>
      </c>
      <c r="Z865" s="22" t="str">
        <f t="shared" si="588"/>
        <v/>
      </c>
      <c r="AA865" s="21" t="str">
        <f t="shared" si="589"/>
        <v>Apprenant 853 ou 853'</v>
      </c>
      <c r="AB865" s="22" t="str">
        <f>IF(AND(OR('Choix pédagogiques'!$C$3=1,'Choix pédagogiques'!$C$3=2),$BN865=1),G865,IF(AND('Choix pédagogiques'!$C$3=3,$BO865=1),G865,""))</f>
        <v/>
      </c>
      <c r="AC865" s="22" t="str">
        <f>IF(AND(OR('Choix pédagogiques'!$C$3=1,'Choix pédagogiques'!$C$3=2),$BN865=1),H865,IF(AND('Choix pédagogiques'!$C$3=3,$BO865=1),H865,""))</f>
        <v/>
      </c>
      <c r="AD865" s="22" t="str">
        <f>IF(AND(OR('Choix pédagogiques'!$C$3=1,'Choix pédagogiques'!$C$3=2),$BN865=1),I865,IF(AND('Choix pédagogiques'!$C$3=3,$BO865=1),I865,""))</f>
        <v/>
      </c>
      <c r="AE865" s="22" t="str">
        <f t="shared" si="590"/>
        <v/>
      </c>
      <c r="AF865" s="21" t="str">
        <f t="shared" si="591"/>
        <v>Apprenant 853</v>
      </c>
      <c r="AG865" s="22" t="str">
        <f t="shared" si="565"/>
        <v/>
      </c>
      <c r="AH865" s="22" t="str">
        <f t="shared" si="566"/>
        <v/>
      </c>
      <c r="AI865" s="22" t="str">
        <f t="shared" si="567"/>
        <v/>
      </c>
      <c r="AJ865" s="22" t="str">
        <f t="shared" si="592"/>
        <v/>
      </c>
      <c r="AK865" s="21" t="str">
        <f t="shared" si="593"/>
        <v>Apprenant 853 ou 853'</v>
      </c>
      <c r="AL865" s="22" t="str">
        <f t="shared" si="568"/>
        <v/>
      </c>
      <c r="AM865" s="22" t="str">
        <f t="shared" si="569"/>
        <v/>
      </c>
      <c r="AN865" s="22" t="str">
        <f t="shared" si="570"/>
        <v/>
      </c>
      <c r="AO865" s="22" t="str">
        <f t="shared" si="594"/>
        <v/>
      </c>
      <c r="AQ865" s="21" t="str">
        <f t="shared" si="595"/>
        <v>Apprenant 853</v>
      </c>
      <c r="AR865" s="49" t="str">
        <f>IF(AND('Choix pédagogiques'!$C$4&lt;&gt;"?",'Choix pédagogiques'!$C$5&lt;&gt;"?",W865&lt;&gt;""),(W865-'Choix pédagogiques'!$C$4)/('Choix pédagogiques'!$C$5-'Choix pédagogiques'!$C$4),"")</f>
        <v/>
      </c>
      <c r="AS865" s="49" t="str">
        <f>IF(AND('Choix pédagogiques'!$C$4&lt;&gt;"?",'Choix pédagogiques'!$C$5&lt;&gt;"?",X865&lt;&gt;""),(X865-'Choix pédagogiques'!$C$4)/('Choix pédagogiques'!$C$5-'Choix pédagogiques'!$C$4),"")</f>
        <v/>
      </c>
      <c r="AT865" s="49" t="str">
        <f>IF(AND('Choix pédagogiques'!$C$4&lt;&gt;"?",'Choix pédagogiques'!$C$5&lt;&gt;"?",Y865&lt;&gt;""),(Y865-'Choix pédagogiques'!$C$4)/('Choix pédagogiques'!$C$5-'Choix pédagogiques'!$C$4),"")</f>
        <v/>
      </c>
      <c r="AU865" s="22" t="str">
        <f t="shared" si="596"/>
        <v/>
      </c>
      <c r="AV865" s="21" t="str">
        <f t="shared" si="597"/>
        <v>Apprenant 853 ou 853'</v>
      </c>
      <c r="AW865" s="49" t="str">
        <f>IF(AND('Choix pédagogiques'!$C$4&lt;&gt;"?",'Choix pédagogiques'!$C$5&lt;&gt;"?",AB865&lt;&gt;""),(AB865-'Choix pédagogiques'!$C$4)/('Choix pédagogiques'!$C$5-'Choix pédagogiques'!$C$4),"")</f>
        <v/>
      </c>
      <c r="AX865" s="49" t="str">
        <f>IF(AND('Choix pédagogiques'!$C$4&lt;&gt;"?",'Choix pédagogiques'!$C$5&lt;&gt;"?",AC865&lt;&gt;""),(AC865-'Choix pédagogiques'!$C$4)/('Choix pédagogiques'!$C$5-'Choix pédagogiques'!$C$4),"")</f>
        <v/>
      </c>
      <c r="AY865" s="49" t="str">
        <f>IF(AND('Choix pédagogiques'!$C$4&lt;&gt;"?",'Choix pédagogiques'!$C$5&lt;&gt;"?",AD865&lt;&gt;""),(AD865-'Choix pédagogiques'!$C$4)/('Choix pédagogiques'!$C$5-'Choix pédagogiques'!$C$4),"")</f>
        <v/>
      </c>
      <c r="AZ865" s="22" t="str">
        <f t="shared" si="598"/>
        <v/>
      </c>
      <c r="BA865" s="21" t="str">
        <f t="shared" si="599"/>
        <v>Apprenant 853</v>
      </c>
      <c r="BB865" s="49" t="str">
        <f t="shared" si="571"/>
        <v/>
      </c>
      <c r="BC865" s="49" t="str">
        <f t="shared" si="572"/>
        <v/>
      </c>
      <c r="BD865" s="49" t="str">
        <f t="shared" si="573"/>
        <v/>
      </c>
      <c r="BE865" s="22" t="str">
        <f t="shared" si="600"/>
        <v/>
      </c>
      <c r="BF865" s="21" t="str">
        <f t="shared" si="601"/>
        <v>Apprenant 853 ou 853'</v>
      </c>
      <c r="BG865" s="49" t="str">
        <f t="shared" si="574"/>
        <v/>
      </c>
      <c r="BH865" s="49" t="str">
        <f t="shared" si="575"/>
        <v/>
      </c>
      <c r="BI865" s="49" t="str">
        <f t="shared" si="576"/>
        <v/>
      </c>
      <c r="BJ865" s="22" t="str">
        <f t="shared" si="602"/>
        <v/>
      </c>
      <c r="BL865" s="21"/>
      <c r="BM865" s="21" t="str">
        <f>IF(OR(COUNT(B865:D1864)=0,AND('Choix pédagogiques'!$C$3&lt;&gt;1,'Choix pédagogiques'!$C$3&lt;&gt;2)),"",IF(AND(OR('Choix pédagogiques'!$C$3=1,'Choix pédagogiques'!$C$3=2),$B865&lt;&gt;"",$C865&lt;&gt;"",$D865&lt;&gt;""),1,0))</f>
        <v/>
      </c>
      <c r="BN865" s="21" t="str">
        <f>IF(OR(COUNT(G865:I1864)=0,AND('Choix pédagogiques'!$C$3&lt;&gt;1,'Choix pédagogiques'!$C$3&lt;&gt;2)),"",IF(AND(OR('Choix pédagogiques'!$C$3=1,'Choix pédagogiques'!$C$3=2),AND($G865&lt;&gt;"",$H865&lt;&gt;"",$I865&lt;&gt;"")),1,0))</f>
        <v/>
      </c>
      <c r="BO865" s="21" t="str">
        <f>IF(OR(COUNT(B865:D1864)=0,COUNT(G865:I1864)=0,'Choix pédagogiques'!C$3&lt;&gt;3),"",IF(AND('Choix pédagogiques'!$C$3=3,$B865&lt;&gt;"",$C865&lt;&gt;"",$D865&lt;&gt;"",$G865&lt;&gt;"",$H865&lt;&gt;"",$I865&lt;&gt;""),1,0))</f>
        <v/>
      </c>
      <c r="BR865" s="21">
        <v>112</v>
      </c>
      <c r="BS865" s="21">
        <v>1400</v>
      </c>
      <c r="BT865"/>
    </row>
    <row r="866" spans="1:72" s="23" customFormat="1" ht="18" customHeight="1" x14ac:dyDescent="0.3">
      <c r="A866" s="35" t="s">
        <v>856</v>
      </c>
      <c r="B866" s="37"/>
      <c r="C866" s="37"/>
      <c r="D866" s="37"/>
      <c r="E866" s="37"/>
      <c r="F866" s="35" t="s">
        <v>1864</v>
      </c>
      <c r="G866" s="37"/>
      <c r="H866" s="37"/>
      <c r="I866" s="37"/>
      <c r="J866" s="37"/>
      <c r="K866" s="21" t="str">
        <f t="shared" si="577"/>
        <v>Apprenant 854</v>
      </c>
      <c r="L866" s="22" t="str">
        <f t="shared" si="578"/>
        <v/>
      </c>
      <c r="M866" s="22" t="str">
        <f t="shared" si="579"/>
        <v/>
      </c>
      <c r="N866" s="22" t="str">
        <f t="shared" si="580"/>
        <v/>
      </c>
      <c r="O866" s="22" t="str">
        <f t="shared" si="581"/>
        <v/>
      </c>
      <c r="P866" s="21" t="str">
        <f t="shared" si="582"/>
        <v>Apprenant 854 ou 854'</v>
      </c>
      <c r="Q866" s="22" t="str">
        <f t="shared" si="583"/>
        <v/>
      </c>
      <c r="R866" s="22" t="str">
        <f t="shared" si="584"/>
        <v/>
      </c>
      <c r="S866" s="22" t="str">
        <f t="shared" si="585"/>
        <v/>
      </c>
      <c r="T866" s="22" t="str">
        <f t="shared" si="586"/>
        <v/>
      </c>
      <c r="V866" s="21" t="str">
        <f t="shared" si="587"/>
        <v>Apprenant 854</v>
      </c>
      <c r="W866" s="22" t="str">
        <f>IF(AND(OR('Choix pédagogiques'!$C$3=1,'Choix pédagogiques'!$C$3=2),$BM866=1),B866,IF(AND('Choix pédagogiques'!$C$3=3,$BO866=1),B866,""))</f>
        <v/>
      </c>
      <c r="X866" s="22" t="str">
        <f>IF(AND(OR('Choix pédagogiques'!$C$3=1,'Choix pédagogiques'!$C$3=2),$BM866=1),C866,IF(AND('Choix pédagogiques'!$C$3=3,$BO866=1),C866,""))</f>
        <v/>
      </c>
      <c r="Y866" s="22" t="str">
        <f>IF(AND(OR('Choix pédagogiques'!$C$3=1,'Choix pédagogiques'!$C$3=2),$BM866=1),D866,IF(AND('Choix pédagogiques'!$C$3=3,$BO866=1),D866,""))</f>
        <v/>
      </c>
      <c r="Z866" s="22" t="str">
        <f t="shared" si="588"/>
        <v/>
      </c>
      <c r="AA866" s="21" t="str">
        <f t="shared" si="589"/>
        <v>Apprenant 854 ou 854'</v>
      </c>
      <c r="AB866" s="22" t="str">
        <f>IF(AND(OR('Choix pédagogiques'!$C$3=1,'Choix pédagogiques'!$C$3=2),$BN866=1),G866,IF(AND('Choix pédagogiques'!$C$3=3,$BO866=1),G866,""))</f>
        <v/>
      </c>
      <c r="AC866" s="22" t="str">
        <f>IF(AND(OR('Choix pédagogiques'!$C$3=1,'Choix pédagogiques'!$C$3=2),$BN866=1),H866,IF(AND('Choix pédagogiques'!$C$3=3,$BO866=1),H866,""))</f>
        <v/>
      </c>
      <c r="AD866" s="22" t="str">
        <f>IF(AND(OR('Choix pédagogiques'!$C$3=1,'Choix pédagogiques'!$C$3=2),$BN866=1),I866,IF(AND('Choix pédagogiques'!$C$3=3,$BO866=1),I866,""))</f>
        <v/>
      </c>
      <c r="AE866" s="22" t="str">
        <f t="shared" si="590"/>
        <v/>
      </c>
      <c r="AF866" s="21" t="str">
        <f t="shared" si="591"/>
        <v>Apprenant 854</v>
      </c>
      <c r="AG866" s="22" t="str">
        <f t="shared" si="565"/>
        <v/>
      </c>
      <c r="AH866" s="22" t="str">
        <f t="shared" si="566"/>
        <v/>
      </c>
      <c r="AI866" s="22" t="str">
        <f t="shared" si="567"/>
        <v/>
      </c>
      <c r="AJ866" s="22" t="str">
        <f t="shared" si="592"/>
        <v/>
      </c>
      <c r="AK866" s="21" t="str">
        <f t="shared" si="593"/>
        <v>Apprenant 854 ou 854'</v>
      </c>
      <c r="AL866" s="22" t="str">
        <f t="shared" si="568"/>
        <v/>
      </c>
      <c r="AM866" s="22" t="str">
        <f t="shared" si="569"/>
        <v/>
      </c>
      <c r="AN866" s="22" t="str">
        <f t="shared" si="570"/>
        <v/>
      </c>
      <c r="AO866" s="22" t="str">
        <f t="shared" si="594"/>
        <v/>
      </c>
      <c r="AQ866" s="21" t="str">
        <f t="shared" si="595"/>
        <v>Apprenant 854</v>
      </c>
      <c r="AR866" s="49" t="str">
        <f>IF(AND('Choix pédagogiques'!$C$4&lt;&gt;"?",'Choix pédagogiques'!$C$5&lt;&gt;"?",W866&lt;&gt;""),(W866-'Choix pédagogiques'!$C$4)/('Choix pédagogiques'!$C$5-'Choix pédagogiques'!$C$4),"")</f>
        <v/>
      </c>
      <c r="AS866" s="49" t="str">
        <f>IF(AND('Choix pédagogiques'!$C$4&lt;&gt;"?",'Choix pédagogiques'!$C$5&lt;&gt;"?",X866&lt;&gt;""),(X866-'Choix pédagogiques'!$C$4)/('Choix pédagogiques'!$C$5-'Choix pédagogiques'!$C$4),"")</f>
        <v/>
      </c>
      <c r="AT866" s="49" t="str">
        <f>IF(AND('Choix pédagogiques'!$C$4&lt;&gt;"?",'Choix pédagogiques'!$C$5&lt;&gt;"?",Y866&lt;&gt;""),(Y866-'Choix pédagogiques'!$C$4)/('Choix pédagogiques'!$C$5-'Choix pédagogiques'!$C$4),"")</f>
        <v/>
      </c>
      <c r="AU866" s="22" t="str">
        <f t="shared" si="596"/>
        <v/>
      </c>
      <c r="AV866" s="21" t="str">
        <f t="shared" si="597"/>
        <v>Apprenant 854 ou 854'</v>
      </c>
      <c r="AW866" s="49" t="str">
        <f>IF(AND('Choix pédagogiques'!$C$4&lt;&gt;"?",'Choix pédagogiques'!$C$5&lt;&gt;"?",AB866&lt;&gt;""),(AB866-'Choix pédagogiques'!$C$4)/('Choix pédagogiques'!$C$5-'Choix pédagogiques'!$C$4),"")</f>
        <v/>
      </c>
      <c r="AX866" s="49" t="str">
        <f>IF(AND('Choix pédagogiques'!$C$4&lt;&gt;"?",'Choix pédagogiques'!$C$5&lt;&gt;"?",AC866&lt;&gt;""),(AC866-'Choix pédagogiques'!$C$4)/('Choix pédagogiques'!$C$5-'Choix pédagogiques'!$C$4),"")</f>
        <v/>
      </c>
      <c r="AY866" s="49" t="str">
        <f>IF(AND('Choix pédagogiques'!$C$4&lt;&gt;"?",'Choix pédagogiques'!$C$5&lt;&gt;"?",AD866&lt;&gt;""),(AD866-'Choix pédagogiques'!$C$4)/('Choix pédagogiques'!$C$5-'Choix pédagogiques'!$C$4),"")</f>
        <v/>
      </c>
      <c r="AZ866" s="22" t="str">
        <f t="shared" si="598"/>
        <v/>
      </c>
      <c r="BA866" s="21" t="str">
        <f t="shared" si="599"/>
        <v>Apprenant 854</v>
      </c>
      <c r="BB866" s="49" t="str">
        <f t="shared" si="571"/>
        <v/>
      </c>
      <c r="BC866" s="49" t="str">
        <f t="shared" si="572"/>
        <v/>
      </c>
      <c r="BD866" s="49" t="str">
        <f t="shared" si="573"/>
        <v/>
      </c>
      <c r="BE866" s="22" t="str">
        <f t="shared" si="600"/>
        <v/>
      </c>
      <c r="BF866" s="21" t="str">
        <f t="shared" si="601"/>
        <v>Apprenant 854 ou 854'</v>
      </c>
      <c r="BG866" s="49" t="str">
        <f t="shared" si="574"/>
        <v/>
      </c>
      <c r="BH866" s="49" t="str">
        <f t="shared" si="575"/>
        <v/>
      </c>
      <c r="BI866" s="49" t="str">
        <f t="shared" si="576"/>
        <v/>
      </c>
      <c r="BJ866" s="22" t="str">
        <f t="shared" si="602"/>
        <v/>
      </c>
      <c r="BL866" s="21"/>
      <c r="BM866" s="21" t="str">
        <f>IF(OR(COUNT(B866:D1865)=0,AND('Choix pédagogiques'!$C$3&lt;&gt;1,'Choix pédagogiques'!$C$3&lt;&gt;2)),"",IF(AND(OR('Choix pédagogiques'!$C$3=1,'Choix pédagogiques'!$C$3=2),$B866&lt;&gt;"",$C866&lt;&gt;"",$D866&lt;&gt;""),1,0))</f>
        <v/>
      </c>
      <c r="BN866" s="21" t="str">
        <f>IF(OR(COUNT(G866:I1865)=0,AND('Choix pédagogiques'!$C$3&lt;&gt;1,'Choix pédagogiques'!$C$3&lt;&gt;2)),"",IF(AND(OR('Choix pédagogiques'!$C$3=1,'Choix pédagogiques'!$C$3=2),AND($G866&lt;&gt;"",$H866&lt;&gt;"",$I866&lt;&gt;"")),1,0))</f>
        <v/>
      </c>
      <c r="BO866" s="21" t="str">
        <f>IF(OR(COUNT(B866:D1865)=0,COUNT(G866:I1865)=0,'Choix pédagogiques'!C$3&lt;&gt;3),"",IF(AND('Choix pédagogiques'!$C$3=3,$B866&lt;&gt;"",$C866&lt;&gt;"",$D866&lt;&gt;"",$G866&lt;&gt;"",$H866&lt;&gt;"",$I866&lt;&gt;""),1,0))</f>
        <v/>
      </c>
      <c r="BR866" s="21">
        <v>902</v>
      </c>
      <c r="BS866" s="21">
        <v>1949</v>
      </c>
      <c r="BT866"/>
    </row>
    <row r="867" spans="1:72" s="23" customFormat="1" ht="18" customHeight="1" x14ac:dyDescent="0.3">
      <c r="A867" s="35" t="s">
        <v>857</v>
      </c>
      <c r="B867" s="37"/>
      <c r="C867" s="37"/>
      <c r="D867" s="37"/>
      <c r="E867" s="37"/>
      <c r="F867" s="35" t="s">
        <v>1865</v>
      </c>
      <c r="G867" s="37"/>
      <c r="H867" s="37"/>
      <c r="I867" s="37"/>
      <c r="J867" s="37"/>
      <c r="K867" s="21" t="str">
        <f t="shared" si="577"/>
        <v>Apprenant 855</v>
      </c>
      <c r="L867" s="22" t="str">
        <f t="shared" si="578"/>
        <v/>
      </c>
      <c r="M867" s="22" t="str">
        <f t="shared" si="579"/>
        <v/>
      </c>
      <c r="N867" s="22" t="str">
        <f t="shared" si="580"/>
        <v/>
      </c>
      <c r="O867" s="22" t="str">
        <f t="shared" si="581"/>
        <v/>
      </c>
      <c r="P867" s="21" t="str">
        <f t="shared" si="582"/>
        <v>Apprenant 855 ou 855'</v>
      </c>
      <c r="Q867" s="22" t="str">
        <f t="shared" si="583"/>
        <v/>
      </c>
      <c r="R867" s="22" t="str">
        <f t="shared" si="584"/>
        <v/>
      </c>
      <c r="S867" s="22" t="str">
        <f t="shared" si="585"/>
        <v/>
      </c>
      <c r="T867" s="22" t="str">
        <f t="shared" si="586"/>
        <v/>
      </c>
      <c r="V867" s="21" t="str">
        <f t="shared" si="587"/>
        <v>Apprenant 855</v>
      </c>
      <c r="W867" s="22" t="str">
        <f>IF(AND(OR('Choix pédagogiques'!$C$3=1,'Choix pédagogiques'!$C$3=2),$BM867=1),B867,IF(AND('Choix pédagogiques'!$C$3=3,$BO867=1),B867,""))</f>
        <v/>
      </c>
      <c r="X867" s="22" t="str">
        <f>IF(AND(OR('Choix pédagogiques'!$C$3=1,'Choix pédagogiques'!$C$3=2),$BM867=1),C867,IF(AND('Choix pédagogiques'!$C$3=3,$BO867=1),C867,""))</f>
        <v/>
      </c>
      <c r="Y867" s="22" t="str">
        <f>IF(AND(OR('Choix pédagogiques'!$C$3=1,'Choix pédagogiques'!$C$3=2),$BM867=1),D867,IF(AND('Choix pédagogiques'!$C$3=3,$BO867=1),D867,""))</f>
        <v/>
      </c>
      <c r="Z867" s="22" t="str">
        <f t="shared" si="588"/>
        <v/>
      </c>
      <c r="AA867" s="21" t="str">
        <f t="shared" si="589"/>
        <v>Apprenant 855 ou 855'</v>
      </c>
      <c r="AB867" s="22" t="str">
        <f>IF(AND(OR('Choix pédagogiques'!$C$3=1,'Choix pédagogiques'!$C$3=2),$BN867=1),G867,IF(AND('Choix pédagogiques'!$C$3=3,$BO867=1),G867,""))</f>
        <v/>
      </c>
      <c r="AC867" s="22" t="str">
        <f>IF(AND(OR('Choix pédagogiques'!$C$3=1,'Choix pédagogiques'!$C$3=2),$BN867=1),H867,IF(AND('Choix pédagogiques'!$C$3=3,$BO867=1),H867,""))</f>
        <v/>
      </c>
      <c r="AD867" s="22" t="str">
        <f>IF(AND(OR('Choix pédagogiques'!$C$3=1,'Choix pédagogiques'!$C$3=2),$BN867=1),I867,IF(AND('Choix pédagogiques'!$C$3=3,$BO867=1),I867,""))</f>
        <v/>
      </c>
      <c r="AE867" s="22" t="str">
        <f t="shared" si="590"/>
        <v/>
      </c>
      <c r="AF867" s="21" t="str">
        <f t="shared" si="591"/>
        <v>Apprenant 855</v>
      </c>
      <c r="AG867" s="22" t="str">
        <f t="shared" si="565"/>
        <v/>
      </c>
      <c r="AH867" s="22" t="str">
        <f t="shared" si="566"/>
        <v/>
      </c>
      <c r="AI867" s="22" t="str">
        <f t="shared" si="567"/>
        <v/>
      </c>
      <c r="AJ867" s="22" t="str">
        <f t="shared" si="592"/>
        <v/>
      </c>
      <c r="AK867" s="21" t="str">
        <f t="shared" si="593"/>
        <v>Apprenant 855 ou 855'</v>
      </c>
      <c r="AL867" s="22" t="str">
        <f t="shared" si="568"/>
        <v/>
      </c>
      <c r="AM867" s="22" t="str">
        <f t="shared" si="569"/>
        <v/>
      </c>
      <c r="AN867" s="22" t="str">
        <f t="shared" si="570"/>
        <v/>
      </c>
      <c r="AO867" s="22" t="str">
        <f t="shared" si="594"/>
        <v/>
      </c>
      <c r="AQ867" s="21" t="str">
        <f t="shared" si="595"/>
        <v>Apprenant 855</v>
      </c>
      <c r="AR867" s="49" t="str">
        <f>IF(AND('Choix pédagogiques'!$C$4&lt;&gt;"?",'Choix pédagogiques'!$C$5&lt;&gt;"?",W867&lt;&gt;""),(W867-'Choix pédagogiques'!$C$4)/('Choix pédagogiques'!$C$5-'Choix pédagogiques'!$C$4),"")</f>
        <v/>
      </c>
      <c r="AS867" s="49" t="str">
        <f>IF(AND('Choix pédagogiques'!$C$4&lt;&gt;"?",'Choix pédagogiques'!$C$5&lt;&gt;"?",X867&lt;&gt;""),(X867-'Choix pédagogiques'!$C$4)/('Choix pédagogiques'!$C$5-'Choix pédagogiques'!$C$4),"")</f>
        <v/>
      </c>
      <c r="AT867" s="49" t="str">
        <f>IF(AND('Choix pédagogiques'!$C$4&lt;&gt;"?",'Choix pédagogiques'!$C$5&lt;&gt;"?",Y867&lt;&gt;""),(Y867-'Choix pédagogiques'!$C$4)/('Choix pédagogiques'!$C$5-'Choix pédagogiques'!$C$4),"")</f>
        <v/>
      </c>
      <c r="AU867" s="22" t="str">
        <f t="shared" si="596"/>
        <v/>
      </c>
      <c r="AV867" s="21" t="str">
        <f t="shared" si="597"/>
        <v>Apprenant 855 ou 855'</v>
      </c>
      <c r="AW867" s="49" t="str">
        <f>IF(AND('Choix pédagogiques'!$C$4&lt;&gt;"?",'Choix pédagogiques'!$C$5&lt;&gt;"?",AB867&lt;&gt;""),(AB867-'Choix pédagogiques'!$C$4)/('Choix pédagogiques'!$C$5-'Choix pédagogiques'!$C$4),"")</f>
        <v/>
      </c>
      <c r="AX867" s="49" t="str">
        <f>IF(AND('Choix pédagogiques'!$C$4&lt;&gt;"?",'Choix pédagogiques'!$C$5&lt;&gt;"?",AC867&lt;&gt;""),(AC867-'Choix pédagogiques'!$C$4)/('Choix pédagogiques'!$C$5-'Choix pédagogiques'!$C$4),"")</f>
        <v/>
      </c>
      <c r="AY867" s="49" t="str">
        <f>IF(AND('Choix pédagogiques'!$C$4&lt;&gt;"?",'Choix pédagogiques'!$C$5&lt;&gt;"?",AD867&lt;&gt;""),(AD867-'Choix pédagogiques'!$C$4)/('Choix pédagogiques'!$C$5-'Choix pédagogiques'!$C$4),"")</f>
        <v/>
      </c>
      <c r="AZ867" s="22" t="str">
        <f t="shared" si="598"/>
        <v/>
      </c>
      <c r="BA867" s="21" t="str">
        <f t="shared" si="599"/>
        <v>Apprenant 855</v>
      </c>
      <c r="BB867" s="49" t="str">
        <f t="shared" si="571"/>
        <v/>
      </c>
      <c r="BC867" s="49" t="str">
        <f t="shared" si="572"/>
        <v/>
      </c>
      <c r="BD867" s="49" t="str">
        <f t="shared" si="573"/>
        <v/>
      </c>
      <c r="BE867" s="22" t="str">
        <f t="shared" si="600"/>
        <v/>
      </c>
      <c r="BF867" s="21" t="str">
        <f t="shared" si="601"/>
        <v>Apprenant 855 ou 855'</v>
      </c>
      <c r="BG867" s="49" t="str">
        <f t="shared" si="574"/>
        <v/>
      </c>
      <c r="BH867" s="49" t="str">
        <f t="shared" si="575"/>
        <v/>
      </c>
      <c r="BI867" s="49" t="str">
        <f t="shared" si="576"/>
        <v/>
      </c>
      <c r="BJ867" s="22" t="str">
        <f t="shared" si="602"/>
        <v/>
      </c>
      <c r="BL867" s="21"/>
      <c r="BM867" s="21" t="str">
        <f>IF(OR(COUNT(B867:D1866)=0,AND('Choix pédagogiques'!$C$3&lt;&gt;1,'Choix pédagogiques'!$C$3&lt;&gt;2)),"",IF(AND(OR('Choix pédagogiques'!$C$3=1,'Choix pédagogiques'!$C$3=2),$B867&lt;&gt;"",$C867&lt;&gt;"",$D867&lt;&gt;""),1,0))</f>
        <v/>
      </c>
      <c r="BN867" s="21" t="str">
        <f>IF(OR(COUNT(G867:I1866)=0,AND('Choix pédagogiques'!$C$3&lt;&gt;1,'Choix pédagogiques'!$C$3&lt;&gt;2)),"",IF(AND(OR('Choix pédagogiques'!$C$3=1,'Choix pédagogiques'!$C$3=2),AND($G867&lt;&gt;"",$H867&lt;&gt;"",$I867&lt;&gt;"")),1,0))</f>
        <v/>
      </c>
      <c r="BO867" s="21" t="str">
        <f>IF(OR(COUNT(B867:D1866)=0,COUNT(G867:I1866)=0,'Choix pédagogiques'!C$3&lt;&gt;3),"",IF(AND('Choix pédagogiques'!$C$3=3,$B867&lt;&gt;"",$C867&lt;&gt;"",$D867&lt;&gt;"",$G867&lt;&gt;"",$H867&lt;&gt;"",$I867&lt;&gt;""),1,0))</f>
        <v/>
      </c>
      <c r="BR867" s="21">
        <v>126</v>
      </c>
      <c r="BS867" s="21">
        <v>1116</v>
      </c>
      <c r="BT867"/>
    </row>
    <row r="868" spans="1:72" s="23" customFormat="1" ht="18" customHeight="1" x14ac:dyDescent="0.3">
      <c r="A868" s="35" t="s">
        <v>858</v>
      </c>
      <c r="B868" s="37"/>
      <c r="C868" s="37"/>
      <c r="D868" s="37"/>
      <c r="E868" s="37"/>
      <c r="F868" s="35" t="s">
        <v>1866</v>
      </c>
      <c r="G868" s="37"/>
      <c r="H868" s="37"/>
      <c r="I868" s="37"/>
      <c r="J868" s="37"/>
      <c r="K868" s="21" t="str">
        <f t="shared" si="577"/>
        <v>Apprenant 856</v>
      </c>
      <c r="L868" s="22" t="str">
        <f t="shared" si="578"/>
        <v/>
      </c>
      <c r="M868" s="22" t="str">
        <f t="shared" si="579"/>
        <v/>
      </c>
      <c r="N868" s="22" t="str">
        <f t="shared" si="580"/>
        <v/>
      </c>
      <c r="O868" s="22" t="str">
        <f t="shared" si="581"/>
        <v/>
      </c>
      <c r="P868" s="21" t="str">
        <f t="shared" si="582"/>
        <v>Apprenant 856 ou 856'</v>
      </c>
      <c r="Q868" s="22" t="str">
        <f t="shared" si="583"/>
        <v/>
      </c>
      <c r="R868" s="22" t="str">
        <f t="shared" si="584"/>
        <v/>
      </c>
      <c r="S868" s="22" t="str">
        <f t="shared" si="585"/>
        <v/>
      </c>
      <c r="T868" s="22" t="str">
        <f t="shared" si="586"/>
        <v/>
      </c>
      <c r="V868" s="21" t="str">
        <f t="shared" si="587"/>
        <v>Apprenant 856</v>
      </c>
      <c r="W868" s="22" t="str">
        <f>IF(AND(OR('Choix pédagogiques'!$C$3=1,'Choix pédagogiques'!$C$3=2),$BM868=1),B868,IF(AND('Choix pédagogiques'!$C$3=3,$BO868=1),B868,""))</f>
        <v/>
      </c>
      <c r="X868" s="22" t="str">
        <f>IF(AND(OR('Choix pédagogiques'!$C$3=1,'Choix pédagogiques'!$C$3=2),$BM868=1),C868,IF(AND('Choix pédagogiques'!$C$3=3,$BO868=1),C868,""))</f>
        <v/>
      </c>
      <c r="Y868" s="22" t="str">
        <f>IF(AND(OR('Choix pédagogiques'!$C$3=1,'Choix pédagogiques'!$C$3=2),$BM868=1),D868,IF(AND('Choix pédagogiques'!$C$3=3,$BO868=1),D868,""))</f>
        <v/>
      </c>
      <c r="Z868" s="22" t="str">
        <f t="shared" si="588"/>
        <v/>
      </c>
      <c r="AA868" s="21" t="str">
        <f t="shared" si="589"/>
        <v>Apprenant 856 ou 856'</v>
      </c>
      <c r="AB868" s="22" t="str">
        <f>IF(AND(OR('Choix pédagogiques'!$C$3=1,'Choix pédagogiques'!$C$3=2),$BN868=1),G868,IF(AND('Choix pédagogiques'!$C$3=3,$BO868=1),G868,""))</f>
        <v/>
      </c>
      <c r="AC868" s="22" t="str">
        <f>IF(AND(OR('Choix pédagogiques'!$C$3=1,'Choix pédagogiques'!$C$3=2),$BN868=1),H868,IF(AND('Choix pédagogiques'!$C$3=3,$BO868=1),H868,""))</f>
        <v/>
      </c>
      <c r="AD868" s="22" t="str">
        <f>IF(AND(OR('Choix pédagogiques'!$C$3=1,'Choix pédagogiques'!$C$3=2),$BN868=1),I868,IF(AND('Choix pédagogiques'!$C$3=3,$BO868=1),I868,""))</f>
        <v/>
      </c>
      <c r="AE868" s="22" t="str">
        <f t="shared" si="590"/>
        <v/>
      </c>
      <c r="AF868" s="21" t="str">
        <f t="shared" si="591"/>
        <v>Apprenant 856</v>
      </c>
      <c r="AG868" s="22" t="str">
        <f t="shared" si="565"/>
        <v/>
      </c>
      <c r="AH868" s="22" t="str">
        <f t="shared" si="566"/>
        <v/>
      </c>
      <c r="AI868" s="22" t="str">
        <f t="shared" si="567"/>
        <v/>
      </c>
      <c r="AJ868" s="22" t="str">
        <f t="shared" si="592"/>
        <v/>
      </c>
      <c r="AK868" s="21" t="str">
        <f t="shared" si="593"/>
        <v>Apprenant 856 ou 856'</v>
      </c>
      <c r="AL868" s="22" t="str">
        <f t="shared" si="568"/>
        <v/>
      </c>
      <c r="AM868" s="22" t="str">
        <f t="shared" si="569"/>
        <v/>
      </c>
      <c r="AN868" s="22" t="str">
        <f t="shared" si="570"/>
        <v/>
      </c>
      <c r="AO868" s="22" t="str">
        <f t="shared" si="594"/>
        <v/>
      </c>
      <c r="AQ868" s="21" t="str">
        <f t="shared" si="595"/>
        <v>Apprenant 856</v>
      </c>
      <c r="AR868" s="49" t="str">
        <f>IF(AND('Choix pédagogiques'!$C$4&lt;&gt;"?",'Choix pédagogiques'!$C$5&lt;&gt;"?",W868&lt;&gt;""),(W868-'Choix pédagogiques'!$C$4)/('Choix pédagogiques'!$C$5-'Choix pédagogiques'!$C$4),"")</f>
        <v/>
      </c>
      <c r="AS868" s="49" t="str">
        <f>IF(AND('Choix pédagogiques'!$C$4&lt;&gt;"?",'Choix pédagogiques'!$C$5&lt;&gt;"?",X868&lt;&gt;""),(X868-'Choix pédagogiques'!$C$4)/('Choix pédagogiques'!$C$5-'Choix pédagogiques'!$C$4),"")</f>
        <v/>
      </c>
      <c r="AT868" s="49" t="str">
        <f>IF(AND('Choix pédagogiques'!$C$4&lt;&gt;"?",'Choix pédagogiques'!$C$5&lt;&gt;"?",Y868&lt;&gt;""),(Y868-'Choix pédagogiques'!$C$4)/('Choix pédagogiques'!$C$5-'Choix pédagogiques'!$C$4),"")</f>
        <v/>
      </c>
      <c r="AU868" s="22" t="str">
        <f t="shared" si="596"/>
        <v/>
      </c>
      <c r="AV868" s="21" t="str">
        <f t="shared" si="597"/>
        <v>Apprenant 856 ou 856'</v>
      </c>
      <c r="AW868" s="49" t="str">
        <f>IF(AND('Choix pédagogiques'!$C$4&lt;&gt;"?",'Choix pédagogiques'!$C$5&lt;&gt;"?",AB868&lt;&gt;""),(AB868-'Choix pédagogiques'!$C$4)/('Choix pédagogiques'!$C$5-'Choix pédagogiques'!$C$4),"")</f>
        <v/>
      </c>
      <c r="AX868" s="49" t="str">
        <f>IF(AND('Choix pédagogiques'!$C$4&lt;&gt;"?",'Choix pédagogiques'!$C$5&lt;&gt;"?",AC868&lt;&gt;""),(AC868-'Choix pédagogiques'!$C$4)/('Choix pédagogiques'!$C$5-'Choix pédagogiques'!$C$4),"")</f>
        <v/>
      </c>
      <c r="AY868" s="49" t="str">
        <f>IF(AND('Choix pédagogiques'!$C$4&lt;&gt;"?",'Choix pédagogiques'!$C$5&lt;&gt;"?",AD868&lt;&gt;""),(AD868-'Choix pédagogiques'!$C$4)/('Choix pédagogiques'!$C$5-'Choix pédagogiques'!$C$4),"")</f>
        <v/>
      </c>
      <c r="AZ868" s="22" t="str">
        <f t="shared" si="598"/>
        <v/>
      </c>
      <c r="BA868" s="21" t="str">
        <f t="shared" si="599"/>
        <v>Apprenant 856</v>
      </c>
      <c r="BB868" s="49" t="str">
        <f t="shared" si="571"/>
        <v/>
      </c>
      <c r="BC868" s="49" t="str">
        <f t="shared" si="572"/>
        <v/>
      </c>
      <c r="BD868" s="49" t="str">
        <f t="shared" si="573"/>
        <v/>
      </c>
      <c r="BE868" s="22" t="str">
        <f t="shared" si="600"/>
        <v/>
      </c>
      <c r="BF868" s="21" t="str">
        <f t="shared" si="601"/>
        <v>Apprenant 856 ou 856'</v>
      </c>
      <c r="BG868" s="49" t="str">
        <f t="shared" si="574"/>
        <v/>
      </c>
      <c r="BH868" s="49" t="str">
        <f t="shared" si="575"/>
        <v/>
      </c>
      <c r="BI868" s="49" t="str">
        <f t="shared" si="576"/>
        <v/>
      </c>
      <c r="BJ868" s="22" t="str">
        <f t="shared" si="602"/>
        <v/>
      </c>
      <c r="BL868" s="21"/>
      <c r="BM868" s="21" t="str">
        <f>IF(OR(COUNT(B868:D1867)=0,AND('Choix pédagogiques'!$C$3&lt;&gt;1,'Choix pédagogiques'!$C$3&lt;&gt;2)),"",IF(AND(OR('Choix pédagogiques'!$C$3=1,'Choix pédagogiques'!$C$3=2),$B868&lt;&gt;"",$C868&lt;&gt;"",$D868&lt;&gt;""),1,0))</f>
        <v/>
      </c>
      <c r="BN868" s="21" t="str">
        <f>IF(OR(COUNT(G868:I1867)=0,AND('Choix pédagogiques'!$C$3&lt;&gt;1,'Choix pédagogiques'!$C$3&lt;&gt;2)),"",IF(AND(OR('Choix pédagogiques'!$C$3=1,'Choix pédagogiques'!$C$3=2),AND($G868&lt;&gt;"",$H868&lt;&gt;"",$I868&lt;&gt;"")),1,0))</f>
        <v/>
      </c>
      <c r="BO868" s="21" t="str">
        <f>IF(OR(COUNT(B868:D1867)=0,COUNT(G868:I1867)=0,'Choix pédagogiques'!C$3&lt;&gt;3),"",IF(AND('Choix pédagogiques'!$C$3=3,$B868&lt;&gt;"",$C868&lt;&gt;"",$D868&lt;&gt;"",$G868&lt;&gt;"",$H868&lt;&gt;"",$I868&lt;&gt;""),1,0))</f>
        <v/>
      </c>
      <c r="BR868" s="21">
        <v>553</v>
      </c>
      <c r="BS868" s="21">
        <v>1293</v>
      </c>
      <c r="BT868"/>
    </row>
    <row r="869" spans="1:72" s="23" customFormat="1" ht="18" customHeight="1" x14ac:dyDescent="0.3">
      <c r="A869" s="35" t="s">
        <v>859</v>
      </c>
      <c r="B869" s="37"/>
      <c r="C869" s="37"/>
      <c r="D869" s="37"/>
      <c r="E869" s="37"/>
      <c r="F869" s="35" t="s">
        <v>1867</v>
      </c>
      <c r="G869" s="37"/>
      <c r="H869" s="37"/>
      <c r="I869" s="37"/>
      <c r="J869" s="37"/>
      <c r="K869" s="21" t="str">
        <f t="shared" si="577"/>
        <v>Apprenant 857</v>
      </c>
      <c r="L869" s="22" t="str">
        <f t="shared" si="578"/>
        <v/>
      </c>
      <c r="M869" s="22" t="str">
        <f t="shared" si="579"/>
        <v/>
      </c>
      <c r="N869" s="22" t="str">
        <f t="shared" si="580"/>
        <v/>
      </c>
      <c r="O869" s="22" t="str">
        <f t="shared" si="581"/>
        <v/>
      </c>
      <c r="P869" s="21" t="str">
        <f t="shared" si="582"/>
        <v>Apprenant 857 ou 857'</v>
      </c>
      <c r="Q869" s="22" t="str">
        <f t="shared" si="583"/>
        <v/>
      </c>
      <c r="R869" s="22" t="str">
        <f t="shared" si="584"/>
        <v/>
      </c>
      <c r="S869" s="22" t="str">
        <f t="shared" si="585"/>
        <v/>
      </c>
      <c r="T869" s="22" t="str">
        <f t="shared" si="586"/>
        <v/>
      </c>
      <c r="V869" s="21" t="str">
        <f t="shared" si="587"/>
        <v>Apprenant 857</v>
      </c>
      <c r="W869" s="22" t="str">
        <f>IF(AND(OR('Choix pédagogiques'!$C$3=1,'Choix pédagogiques'!$C$3=2),$BM869=1),B869,IF(AND('Choix pédagogiques'!$C$3=3,$BO869=1),B869,""))</f>
        <v/>
      </c>
      <c r="X869" s="22" t="str">
        <f>IF(AND(OR('Choix pédagogiques'!$C$3=1,'Choix pédagogiques'!$C$3=2),$BM869=1),C869,IF(AND('Choix pédagogiques'!$C$3=3,$BO869=1),C869,""))</f>
        <v/>
      </c>
      <c r="Y869" s="22" t="str">
        <f>IF(AND(OR('Choix pédagogiques'!$C$3=1,'Choix pédagogiques'!$C$3=2),$BM869=1),D869,IF(AND('Choix pédagogiques'!$C$3=3,$BO869=1),D869,""))</f>
        <v/>
      </c>
      <c r="Z869" s="22" t="str">
        <f t="shared" si="588"/>
        <v/>
      </c>
      <c r="AA869" s="21" t="str">
        <f t="shared" si="589"/>
        <v>Apprenant 857 ou 857'</v>
      </c>
      <c r="AB869" s="22" t="str">
        <f>IF(AND(OR('Choix pédagogiques'!$C$3=1,'Choix pédagogiques'!$C$3=2),$BN869=1),G869,IF(AND('Choix pédagogiques'!$C$3=3,$BO869=1),G869,""))</f>
        <v/>
      </c>
      <c r="AC869" s="22" t="str">
        <f>IF(AND(OR('Choix pédagogiques'!$C$3=1,'Choix pédagogiques'!$C$3=2),$BN869=1),H869,IF(AND('Choix pédagogiques'!$C$3=3,$BO869=1),H869,""))</f>
        <v/>
      </c>
      <c r="AD869" s="22" t="str">
        <f>IF(AND(OR('Choix pédagogiques'!$C$3=1,'Choix pédagogiques'!$C$3=2),$BN869=1),I869,IF(AND('Choix pédagogiques'!$C$3=3,$BO869=1),I869,""))</f>
        <v/>
      </c>
      <c r="AE869" s="22" t="str">
        <f t="shared" si="590"/>
        <v/>
      </c>
      <c r="AF869" s="21" t="str">
        <f t="shared" si="591"/>
        <v>Apprenant 857</v>
      </c>
      <c r="AG869" s="22" t="str">
        <f t="shared" si="565"/>
        <v/>
      </c>
      <c r="AH869" s="22" t="str">
        <f t="shared" si="566"/>
        <v/>
      </c>
      <c r="AI869" s="22" t="str">
        <f t="shared" si="567"/>
        <v/>
      </c>
      <c r="AJ869" s="22" t="str">
        <f t="shared" si="592"/>
        <v/>
      </c>
      <c r="AK869" s="21" t="str">
        <f t="shared" si="593"/>
        <v>Apprenant 857 ou 857'</v>
      </c>
      <c r="AL869" s="22" t="str">
        <f t="shared" si="568"/>
        <v/>
      </c>
      <c r="AM869" s="22" t="str">
        <f t="shared" si="569"/>
        <v/>
      </c>
      <c r="AN869" s="22" t="str">
        <f t="shared" si="570"/>
        <v/>
      </c>
      <c r="AO869" s="22" t="str">
        <f t="shared" si="594"/>
        <v/>
      </c>
      <c r="AQ869" s="21" t="str">
        <f t="shared" si="595"/>
        <v>Apprenant 857</v>
      </c>
      <c r="AR869" s="49" t="str">
        <f>IF(AND('Choix pédagogiques'!$C$4&lt;&gt;"?",'Choix pédagogiques'!$C$5&lt;&gt;"?",W869&lt;&gt;""),(W869-'Choix pédagogiques'!$C$4)/('Choix pédagogiques'!$C$5-'Choix pédagogiques'!$C$4),"")</f>
        <v/>
      </c>
      <c r="AS869" s="49" t="str">
        <f>IF(AND('Choix pédagogiques'!$C$4&lt;&gt;"?",'Choix pédagogiques'!$C$5&lt;&gt;"?",X869&lt;&gt;""),(X869-'Choix pédagogiques'!$C$4)/('Choix pédagogiques'!$C$5-'Choix pédagogiques'!$C$4),"")</f>
        <v/>
      </c>
      <c r="AT869" s="49" t="str">
        <f>IF(AND('Choix pédagogiques'!$C$4&lt;&gt;"?",'Choix pédagogiques'!$C$5&lt;&gt;"?",Y869&lt;&gt;""),(Y869-'Choix pédagogiques'!$C$4)/('Choix pédagogiques'!$C$5-'Choix pédagogiques'!$C$4),"")</f>
        <v/>
      </c>
      <c r="AU869" s="22" t="str">
        <f t="shared" si="596"/>
        <v/>
      </c>
      <c r="AV869" s="21" t="str">
        <f t="shared" si="597"/>
        <v>Apprenant 857 ou 857'</v>
      </c>
      <c r="AW869" s="49" t="str">
        <f>IF(AND('Choix pédagogiques'!$C$4&lt;&gt;"?",'Choix pédagogiques'!$C$5&lt;&gt;"?",AB869&lt;&gt;""),(AB869-'Choix pédagogiques'!$C$4)/('Choix pédagogiques'!$C$5-'Choix pédagogiques'!$C$4),"")</f>
        <v/>
      </c>
      <c r="AX869" s="49" t="str">
        <f>IF(AND('Choix pédagogiques'!$C$4&lt;&gt;"?",'Choix pédagogiques'!$C$5&lt;&gt;"?",AC869&lt;&gt;""),(AC869-'Choix pédagogiques'!$C$4)/('Choix pédagogiques'!$C$5-'Choix pédagogiques'!$C$4),"")</f>
        <v/>
      </c>
      <c r="AY869" s="49" t="str">
        <f>IF(AND('Choix pédagogiques'!$C$4&lt;&gt;"?",'Choix pédagogiques'!$C$5&lt;&gt;"?",AD869&lt;&gt;""),(AD869-'Choix pédagogiques'!$C$4)/('Choix pédagogiques'!$C$5-'Choix pédagogiques'!$C$4),"")</f>
        <v/>
      </c>
      <c r="AZ869" s="22" t="str">
        <f t="shared" si="598"/>
        <v/>
      </c>
      <c r="BA869" s="21" t="str">
        <f t="shared" si="599"/>
        <v>Apprenant 857</v>
      </c>
      <c r="BB869" s="49" t="str">
        <f t="shared" si="571"/>
        <v/>
      </c>
      <c r="BC869" s="49" t="str">
        <f t="shared" si="572"/>
        <v/>
      </c>
      <c r="BD869" s="49" t="str">
        <f t="shared" si="573"/>
        <v/>
      </c>
      <c r="BE869" s="22" t="str">
        <f t="shared" si="600"/>
        <v/>
      </c>
      <c r="BF869" s="21" t="str">
        <f t="shared" si="601"/>
        <v>Apprenant 857 ou 857'</v>
      </c>
      <c r="BG869" s="49" t="str">
        <f t="shared" si="574"/>
        <v/>
      </c>
      <c r="BH869" s="49" t="str">
        <f t="shared" si="575"/>
        <v/>
      </c>
      <c r="BI869" s="49" t="str">
        <f t="shared" si="576"/>
        <v/>
      </c>
      <c r="BJ869" s="22" t="str">
        <f t="shared" si="602"/>
        <v/>
      </c>
      <c r="BL869" s="21"/>
      <c r="BM869" s="21" t="str">
        <f>IF(OR(COUNT(B869:D1868)=0,AND('Choix pédagogiques'!$C$3&lt;&gt;1,'Choix pédagogiques'!$C$3&lt;&gt;2)),"",IF(AND(OR('Choix pédagogiques'!$C$3=1,'Choix pédagogiques'!$C$3=2),$B869&lt;&gt;"",$C869&lt;&gt;"",$D869&lt;&gt;""),1,0))</f>
        <v/>
      </c>
      <c r="BN869" s="21" t="str">
        <f>IF(OR(COUNT(G869:I1868)=0,AND('Choix pédagogiques'!$C$3&lt;&gt;1,'Choix pédagogiques'!$C$3&lt;&gt;2)),"",IF(AND(OR('Choix pédagogiques'!$C$3=1,'Choix pédagogiques'!$C$3=2),AND($G869&lt;&gt;"",$H869&lt;&gt;"",$I869&lt;&gt;"")),1,0))</f>
        <v/>
      </c>
      <c r="BO869" s="21" t="str">
        <f>IF(OR(COUNT(B869:D1868)=0,COUNT(G869:I1868)=0,'Choix pédagogiques'!C$3&lt;&gt;3),"",IF(AND('Choix pédagogiques'!$C$3=3,$B869&lt;&gt;"",$C869&lt;&gt;"",$D869&lt;&gt;"",$G869&lt;&gt;"",$H869&lt;&gt;"",$I869&lt;&gt;""),1,0))</f>
        <v/>
      </c>
      <c r="BR869" s="21">
        <v>133</v>
      </c>
      <c r="BS869" s="21">
        <v>1990</v>
      </c>
      <c r="BT869"/>
    </row>
    <row r="870" spans="1:72" s="23" customFormat="1" ht="18" customHeight="1" x14ac:dyDescent="0.3">
      <c r="A870" s="35" t="s">
        <v>860</v>
      </c>
      <c r="B870" s="37"/>
      <c r="C870" s="37"/>
      <c r="D870" s="37"/>
      <c r="E870" s="37"/>
      <c r="F870" s="35" t="s">
        <v>1868</v>
      </c>
      <c r="G870" s="37"/>
      <c r="H870" s="37"/>
      <c r="I870" s="37"/>
      <c r="J870" s="37"/>
      <c r="K870" s="21" t="str">
        <f t="shared" si="577"/>
        <v>Apprenant 858</v>
      </c>
      <c r="L870" s="22" t="str">
        <f t="shared" si="578"/>
        <v/>
      </c>
      <c r="M870" s="22" t="str">
        <f t="shared" si="579"/>
        <v/>
      </c>
      <c r="N870" s="22" t="str">
        <f t="shared" si="580"/>
        <v/>
      </c>
      <c r="O870" s="22" t="str">
        <f t="shared" si="581"/>
        <v/>
      </c>
      <c r="P870" s="21" t="str">
        <f t="shared" si="582"/>
        <v>Apprenant 858 ou 858'</v>
      </c>
      <c r="Q870" s="22" t="str">
        <f t="shared" si="583"/>
        <v/>
      </c>
      <c r="R870" s="22" t="str">
        <f t="shared" si="584"/>
        <v/>
      </c>
      <c r="S870" s="22" t="str">
        <f t="shared" si="585"/>
        <v/>
      </c>
      <c r="T870" s="22" t="str">
        <f t="shared" si="586"/>
        <v/>
      </c>
      <c r="V870" s="21" t="str">
        <f t="shared" si="587"/>
        <v>Apprenant 858</v>
      </c>
      <c r="W870" s="22" t="str">
        <f>IF(AND(OR('Choix pédagogiques'!$C$3=1,'Choix pédagogiques'!$C$3=2),$BM870=1),B870,IF(AND('Choix pédagogiques'!$C$3=3,$BO870=1),B870,""))</f>
        <v/>
      </c>
      <c r="X870" s="22" t="str">
        <f>IF(AND(OR('Choix pédagogiques'!$C$3=1,'Choix pédagogiques'!$C$3=2),$BM870=1),C870,IF(AND('Choix pédagogiques'!$C$3=3,$BO870=1),C870,""))</f>
        <v/>
      </c>
      <c r="Y870" s="22" t="str">
        <f>IF(AND(OR('Choix pédagogiques'!$C$3=1,'Choix pédagogiques'!$C$3=2),$BM870=1),D870,IF(AND('Choix pédagogiques'!$C$3=3,$BO870=1),D870,""))</f>
        <v/>
      </c>
      <c r="Z870" s="22" t="str">
        <f t="shared" si="588"/>
        <v/>
      </c>
      <c r="AA870" s="21" t="str">
        <f t="shared" si="589"/>
        <v>Apprenant 858 ou 858'</v>
      </c>
      <c r="AB870" s="22" t="str">
        <f>IF(AND(OR('Choix pédagogiques'!$C$3=1,'Choix pédagogiques'!$C$3=2),$BN870=1),G870,IF(AND('Choix pédagogiques'!$C$3=3,$BO870=1),G870,""))</f>
        <v/>
      </c>
      <c r="AC870" s="22" t="str">
        <f>IF(AND(OR('Choix pédagogiques'!$C$3=1,'Choix pédagogiques'!$C$3=2),$BN870=1),H870,IF(AND('Choix pédagogiques'!$C$3=3,$BO870=1),H870,""))</f>
        <v/>
      </c>
      <c r="AD870" s="22" t="str">
        <f>IF(AND(OR('Choix pédagogiques'!$C$3=1,'Choix pédagogiques'!$C$3=2),$BN870=1),I870,IF(AND('Choix pédagogiques'!$C$3=3,$BO870=1),I870,""))</f>
        <v/>
      </c>
      <c r="AE870" s="22" t="str">
        <f t="shared" si="590"/>
        <v/>
      </c>
      <c r="AF870" s="21" t="str">
        <f t="shared" si="591"/>
        <v>Apprenant 858</v>
      </c>
      <c r="AG870" s="22" t="str">
        <f t="shared" si="565"/>
        <v/>
      </c>
      <c r="AH870" s="22" t="str">
        <f t="shared" si="566"/>
        <v/>
      </c>
      <c r="AI870" s="22" t="str">
        <f t="shared" si="567"/>
        <v/>
      </c>
      <c r="AJ870" s="22" t="str">
        <f t="shared" si="592"/>
        <v/>
      </c>
      <c r="AK870" s="21" t="str">
        <f t="shared" si="593"/>
        <v>Apprenant 858 ou 858'</v>
      </c>
      <c r="AL870" s="22" t="str">
        <f t="shared" si="568"/>
        <v/>
      </c>
      <c r="AM870" s="22" t="str">
        <f t="shared" si="569"/>
        <v/>
      </c>
      <c r="AN870" s="22" t="str">
        <f t="shared" si="570"/>
        <v/>
      </c>
      <c r="AO870" s="22" t="str">
        <f t="shared" si="594"/>
        <v/>
      </c>
      <c r="AQ870" s="21" t="str">
        <f t="shared" si="595"/>
        <v>Apprenant 858</v>
      </c>
      <c r="AR870" s="49" t="str">
        <f>IF(AND('Choix pédagogiques'!$C$4&lt;&gt;"?",'Choix pédagogiques'!$C$5&lt;&gt;"?",W870&lt;&gt;""),(W870-'Choix pédagogiques'!$C$4)/('Choix pédagogiques'!$C$5-'Choix pédagogiques'!$C$4),"")</f>
        <v/>
      </c>
      <c r="AS870" s="49" t="str">
        <f>IF(AND('Choix pédagogiques'!$C$4&lt;&gt;"?",'Choix pédagogiques'!$C$5&lt;&gt;"?",X870&lt;&gt;""),(X870-'Choix pédagogiques'!$C$4)/('Choix pédagogiques'!$C$5-'Choix pédagogiques'!$C$4),"")</f>
        <v/>
      </c>
      <c r="AT870" s="49" t="str">
        <f>IF(AND('Choix pédagogiques'!$C$4&lt;&gt;"?",'Choix pédagogiques'!$C$5&lt;&gt;"?",Y870&lt;&gt;""),(Y870-'Choix pédagogiques'!$C$4)/('Choix pédagogiques'!$C$5-'Choix pédagogiques'!$C$4),"")</f>
        <v/>
      </c>
      <c r="AU870" s="22" t="str">
        <f t="shared" si="596"/>
        <v/>
      </c>
      <c r="AV870" s="21" t="str">
        <f t="shared" si="597"/>
        <v>Apprenant 858 ou 858'</v>
      </c>
      <c r="AW870" s="49" t="str">
        <f>IF(AND('Choix pédagogiques'!$C$4&lt;&gt;"?",'Choix pédagogiques'!$C$5&lt;&gt;"?",AB870&lt;&gt;""),(AB870-'Choix pédagogiques'!$C$4)/('Choix pédagogiques'!$C$5-'Choix pédagogiques'!$C$4),"")</f>
        <v/>
      </c>
      <c r="AX870" s="49" t="str">
        <f>IF(AND('Choix pédagogiques'!$C$4&lt;&gt;"?",'Choix pédagogiques'!$C$5&lt;&gt;"?",AC870&lt;&gt;""),(AC870-'Choix pédagogiques'!$C$4)/('Choix pédagogiques'!$C$5-'Choix pédagogiques'!$C$4),"")</f>
        <v/>
      </c>
      <c r="AY870" s="49" t="str">
        <f>IF(AND('Choix pédagogiques'!$C$4&lt;&gt;"?",'Choix pédagogiques'!$C$5&lt;&gt;"?",AD870&lt;&gt;""),(AD870-'Choix pédagogiques'!$C$4)/('Choix pédagogiques'!$C$5-'Choix pédagogiques'!$C$4),"")</f>
        <v/>
      </c>
      <c r="AZ870" s="22" t="str">
        <f t="shared" si="598"/>
        <v/>
      </c>
      <c r="BA870" s="21" t="str">
        <f t="shared" si="599"/>
        <v>Apprenant 858</v>
      </c>
      <c r="BB870" s="49" t="str">
        <f t="shared" si="571"/>
        <v/>
      </c>
      <c r="BC870" s="49" t="str">
        <f t="shared" si="572"/>
        <v/>
      </c>
      <c r="BD870" s="49" t="str">
        <f t="shared" si="573"/>
        <v/>
      </c>
      <c r="BE870" s="22" t="str">
        <f t="shared" si="600"/>
        <v/>
      </c>
      <c r="BF870" s="21" t="str">
        <f t="shared" si="601"/>
        <v>Apprenant 858 ou 858'</v>
      </c>
      <c r="BG870" s="49" t="str">
        <f t="shared" si="574"/>
        <v/>
      </c>
      <c r="BH870" s="49" t="str">
        <f t="shared" si="575"/>
        <v/>
      </c>
      <c r="BI870" s="49" t="str">
        <f t="shared" si="576"/>
        <v/>
      </c>
      <c r="BJ870" s="22" t="str">
        <f t="shared" si="602"/>
        <v/>
      </c>
      <c r="BL870" s="21"/>
      <c r="BM870" s="21" t="str">
        <f>IF(OR(COUNT(B870:D1869)=0,AND('Choix pédagogiques'!$C$3&lt;&gt;1,'Choix pédagogiques'!$C$3&lt;&gt;2)),"",IF(AND(OR('Choix pédagogiques'!$C$3=1,'Choix pédagogiques'!$C$3=2),$B870&lt;&gt;"",$C870&lt;&gt;"",$D870&lt;&gt;""),1,0))</f>
        <v/>
      </c>
      <c r="BN870" s="21" t="str">
        <f>IF(OR(COUNT(G870:I1869)=0,AND('Choix pédagogiques'!$C$3&lt;&gt;1,'Choix pédagogiques'!$C$3&lt;&gt;2)),"",IF(AND(OR('Choix pédagogiques'!$C$3=1,'Choix pédagogiques'!$C$3=2),AND($G870&lt;&gt;"",$H870&lt;&gt;"",$I870&lt;&gt;"")),1,0))</f>
        <v/>
      </c>
      <c r="BO870" s="21" t="str">
        <f>IF(OR(COUNT(B870:D1869)=0,COUNT(G870:I1869)=0,'Choix pédagogiques'!C$3&lt;&gt;3),"",IF(AND('Choix pédagogiques'!$C$3=3,$B870&lt;&gt;"",$C870&lt;&gt;"",$D870&lt;&gt;"",$G870&lt;&gt;"",$H870&lt;&gt;"",$I870&lt;&gt;""),1,0))</f>
        <v/>
      </c>
      <c r="BR870" s="21">
        <v>751</v>
      </c>
      <c r="BS870" s="21">
        <v>1296</v>
      </c>
      <c r="BT870"/>
    </row>
    <row r="871" spans="1:72" s="23" customFormat="1" ht="18" customHeight="1" x14ac:dyDescent="0.3">
      <c r="A871" s="35" t="s">
        <v>861</v>
      </c>
      <c r="B871" s="37"/>
      <c r="C871" s="37"/>
      <c r="D871" s="37"/>
      <c r="E871" s="37"/>
      <c r="F871" s="35" t="s">
        <v>1869</v>
      </c>
      <c r="G871" s="37"/>
      <c r="H871" s="37"/>
      <c r="I871" s="37"/>
      <c r="J871" s="37"/>
      <c r="K871" s="21" t="str">
        <f t="shared" si="577"/>
        <v>Apprenant 859</v>
      </c>
      <c r="L871" s="22" t="str">
        <f t="shared" si="578"/>
        <v/>
      </c>
      <c r="M871" s="22" t="str">
        <f t="shared" si="579"/>
        <v/>
      </c>
      <c r="N871" s="22" t="str">
        <f t="shared" si="580"/>
        <v/>
      </c>
      <c r="O871" s="22" t="str">
        <f t="shared" si="581"/>
        <v/>
      </c>
      <c r="P871" s="21" t="str">
        <f t="shared" si="582"/>
        <v>Apprenant 859 ou 859'</v>
      </c>
      <c r="Q871" s="22" t="str">
        <f t="shared" si="583"/>
        <v/>
      </c>
      <c r="R871" s="22" t="str">
        <f t="shared" si="584"/>
        <v/>
      </c>
      <c r="S871" s="22" t="str">
        <f t="shared" si="585"/>
        <v/>
      </c>
      <c r="T871" s="22" t="str">
        <f t="shared" si="586"/>
        <v/>
      </c>
      <c r="V871" s="21" t="str">
        <f t="shared" si="587"/>
        <v>Apprenant 859</v>
      </c>
      <c r="W871" s="22" t="str">
        <f>IF(AND(OR('Choix pédagogiques'!$C$3=1,'Choix pédagogiques'!$C$3=2),$BM871=1),B871,IF(AND('Choix pédagogiques'!$C$3=3,$BO871=1),B871,""))</f>
        <v/>
      </c>
      <c r="X871" s="22" t="str">
        <f>IF(AND(OR('Choix pédagogiques'!$C$3=1,'Choix pédagogiques'!$C$3=2),$BM871=1),C871,IF(AND('Choix pédagogiques'!$C$3=3,$BO871=1),C871,""))</f>
        <v/>
      </c>
      <c r="Y871" s="22" t="str">
        <f>IF(AND(OR('Choix pédagogiques'!$C$3=1,'Choix pédagogiques'!$C$3=2),$BM871=1),D871,IF(AND('Choix pédagogiques'!$C$3=3,$BO871=1),D871,""))</f>
        <v/>
      </c>
      <c r="Z871" s="22" t="str">
        <f t="shared" si="588"/>
        <v/>
      </c>
      <c r="AA871" s="21" t="str">
        <f t="shared" si="589"/>
        <v>Apprenant 859 ou 859'</v>
      </c>
      <c r="AB871" s="22" t="str">
        <f>IF(AND(OR('Choix pédagogiques'!$C$3=1,'Choix pédagogiques'!$C$3=2),$BN871=1),G871,IF(AND('Choix pédagogiques'!$C$3=3,$BO871=1),G871,""))</f>
        <v/>
      </c>
      <c r="AC871" s="22" t="str">
        <f>IF(AND(OR('Choix pédagogiques'!$C$3=1,'Choix pédagogiques'!$C$3=2),$BN871=1),H871,IF(AND('Choix pédagogiques'!$C$3=3,$BO871=1),H871,""))</f>
        <v/>
      </c>
      <c r="AD871" s="22" t="str">
        <f>IF(AND(OR('Choix pédagogiques'!$C$3=1,'Choix pédagogiques'!$C$3=2),$BN871=1),I871,IF(AND('Choix pédagogiques'!$C$3=3,$BO871=1),I871,""))</f>
        <v/>
      </c>
      <c r="AE871" s="22" t="str">
        <f t="shared" si="590"/>
        <v/>
      </c>
      <c r="AF871" s="21" t="str">
        <f t="shared" si="591"/>
        <v>Apprenant 859</v>
      </c>
      <c r="AG871" s="22" t="str">
        <f t="shared" si="565"/>
        <v/>
      </c>
      <c r="AH871" s="22" t="str">
        <f t="shared" si="566"/>
        <v/>
      </c>
      <c r="AI871" s="22" t="str">
        <f t="shared" si="567"/>
        <v/>
      </c>
      <c r="AJ871" s="22" t="str">
        <f t="shared" si="592"/>
        <v/>
      </c>
      <c r="AK871" s="21" t="str">
        <f t="shared" si="593"/>
        <v>Apprenant 859 ou 859'</v>
      </c>
      <c r="AL871" s="22" t="str">
        <f t="shared" si="568"/>
        <v/>
      </c>
      <c r="AM871" s="22" t="str">
        <f t="shared" si="569"/>
        <v/>
      </c>
      <c r="AN871" s="22" t="str">
        <f t="shared" si="570"/>
        <v/>
      </c>
      <c r="AO871" s="22" t="str">
        <f t="shared" si="594"/>
        <v/>
      </c>
      <c r="AQ871" s="21" t="str">
        <f t="shared" si="595"/>
        <v>Apprenant 859</v>
      </c>
      <c r="AR871" s="49" t="str">
        <f>IF(AND('Choix pédagogiques'!$C$4&lt;&gt;"?",'Choix pédagogiques'!$C$5&lt;&gt;"?",W871&lt;&gt;""),(W871-'Choix pédagogiques'!$C$4)/('Choix pédagogiques'!$C$5-'Choix pédagogiques'!$C$4),"")</f>
        <v/>
      </c>
      <c r="AS871" s="49" t="str">
        <f>IF(AND('Choix pédagogiques'!$C$4&lt;&gt;"?",'Choix pédagogiques'!$C$5&lt;&gt;"?",X871&lt;&gt;""),(X871-'Choix pédagogiques'!$C$4)/('Choix pédagogiques'!$C$5-'Choix pédagogiques'!$C$4),"")</f>
        <v/>
      </c>
      <c r="AT871" s="49" t="str">
        <f>IF(AND('Choix pédagogiques'!$C$4&lt;&gt;"?",'Choix pédagogiques'!$C$5&lt;&gt;"?",Y871&lt;&gt;""),(Y871-'Choix pédagogiques'!$C$4)/('Choix pédagogiques'!$C$5-'Choix pédagogiques'!$C$4),"")</f>
        <v/>
      </c>
      <c r="AU871" s="22" t="str">
        <f t="shared" si="596"/>
        <v/>
      </c>
      <c r="AV871" s="21" t="str">
        <f t="shared" si="597"/>
        <v>Apprenant 859 ou 859'</v>
      </c>
      <c r="AW871" s="49" t="str">
        <f>IF(AND('Choix pédagogiques'!$C$4&lt;&gt;"?",'Choix pédagogiques'!$C$5&lt;&gt;"?",AB871&lt;&gt;""),(AB871-'Choix pédagogiques'!$C$4)/('Choix pédagogiques'!$C$5-'Choix pédagogiques'!$C$4),"")</f>
        <v/>
      </c>
      <c r="AX871" s="49" t="str">
        <f>IF(AND('Choix pédagogiques'!$C$4&lt;&gt;"?",'Choix pédagogiques'!$C$5&lt;&gt;"?",AC871&lt;&gt;""),(AC871-'Choix pédagogiques'!$C$4)/('Choix pédagogiques'!$C$5-'Choix pédagogiques'!$C$4),"")</f>
        <v/>
      </c>
      <c r="AY871" s="49" t="str">
        <f>IF(AND('Choix pédagogiques'!$C$4&lt;&gt;"?",'Choix pédagogiques'!$C$5&lt;&gt;"?",AD871&lt;&gt;""),(AD871-'Choix pédagogiques'!$C$4)/('Choix pédagogiques'!$C$5-'Choix pédagogiques'!$C$4),"")</f>
        <v/>
      </c>
      <c r="AZ871" s="22" t="str">
        <f t="shared" si="598"/>
        <v/>
      </c>
      <c r="BA871" s="21" t="str">
        <f t="shared" si="599"/>
        <v>Apprenant 859</v>
      </c>
      <c r="BB871" s="49" t="str">
        <f t="shared" si="571"/>
        <v/>
      </c>
      <c r="BC871" s="49" t="str">
        <f t="shared" si="572"/>
        <v/>
      </c>
      <c r="BD871" s="49" t="str">
        <f t="shared" si="573"/>
        <v/>
      </c>
      <c r="BE871" s="22" t="str">
        <f t="shared" si="600"/>
        <v/>
      </c>
      <c r="BF871" s="21" t="str">
        <f t="shared" si="601"/>
        <v>Apprenant 859 ou 859'</v>
      </c>
      <c r="BG871" s="49" t="str">
        <f t="shared" si="574"/>
        <v/>
      </c>
      <c r="BH871" s="49" t="str">
        <f t="shared" si="575"/>
        <v/>
      </c>
      <c r="BI871" s="49" t="str">
        <f t="shared" si="576"/>
        <v/>
      </c>
      <c r="BJ871" s="22" t="str">
        <f t="shared" si="602"/>
        <v/>
      </c>
      <c r="BL871" s="21"/>
      <c r="BM871" s="21" t="str">
        <f>IF(OR(COUNT(B871:D1870)=0,AND('Choix pédagogiques'!$C$3&lt;&gt;1,'Choix pédagogiques'!$C$3&lt;&gt;2)),"",IF(AND(OR('Choix pédagogiques'!$C$3=1,'Choix pédagogiques'!$C$3=2),$B871&lt;&gt;"",$C871&lt;&gt;"",$D871&lt;&gt;""),1,0))</f>
        <v/>
      </c>
      <c r="BN871" s="21" t="str">
        <f>IF(OR(COUNT(G871:I1870)=0,AND('Choix pédagogiques'!$C$3&lt;&gt;1,'Choix pédagogiques'!$C$3&lt;&gt;2)),"",IF(AND(OR('Choix pédagogiques'!$C$3=1,'Choix pédagogiques'!$C$3=2),AND($G871&lt;&gt;"",$H871&lt;&gt;"",$I871&lt;&gt;"")),1,0))</f>
        <v/>
      </c>
      <c r="BO871" s="21" t="str">
        <f>IF(OR(COUNT(B871:D1870)=0,COUNT(G871:I1870)=0,'Choix pédagogiques'!C$3&lt;&gt;3),"",IF(AND('Choix pédagogiques'!$C$3=3,$B871&lt;&gt;"",$C871&lt;&gt;"",$D871&lt;&gt;"",$G871&lt;&gt;"",$H871&lt;&gt;"",$I871&lt;&gt;""),1,0))</f>
        <v/>
      </c>
      <c r="BR871" s="21">
        <v>805</v>
      </c>
      <c r="BS871" s="21">
        <v>1126</v>
      </c>
      <c r="BT871"/>
    </row>
    <row r="872" spans="1:72" s="23" customFormat="1" ht="18" customHeight="1" x14ac:dyDescent="0.3">
      <c r="A872" s="35" t="s">
        <v>862</v>
      </c>
      <c r="B872" s="37"/>
      <c r="C872" s="37"/>
      <c r="D872" s="37"/>
      <c r="E872" s="37"/>
      <c r="F872" s="35" t="s">
        <v>1870</v>
      </c>
      <c r="G872" s="37"/>
      <c r="H872" s="37"/>
      <c r="I872" s="37"/>
      <c r="J872" s="37"/>
      <c r="K872" s="21" t="str">
        <f t="shared" si="577"/>
        <v>Apprenant 860</v>
      </c>
      <c r="L872" s="22" t="str">
        <f t="shared" si="578"/>
        <v/>
      </c>
      <c r="M872" s="22" t="str">
        <f t="shared" si="579"/>
        <v/>
      </c>
      <c r="N872" s="22" t="str">
        <f t="shared" si="580"/>
        <v/>
      </c>
      <c r="O872" s="22" t="str">
        <f t="shared" si="581"/>
        <v/>
      </c>
      <c r="P872" s="21" t="str">
        <f t="shared" si="582"/>
        <v>Apprenant 860 ou 860'</v>
      </c>
      <c r="Q872" s="22" t="str">
        <f t="shared" si="583"/>
        <v/>
      </c>
      <c r="R872" s="22" t="str">
        <f t="shared" si="584"/>
        <v/>
      </c>
      <c r="S872" s="22" t="str">
        <f t="shared" si="585"/>
        <v/>
      </c>
      <c r="T872" s="22" t="str">
        <f t="shared" si="586"/>
        <v/>
      </c>
      <c r="V872" s="21" t="str">
        <f t="shared" si="587"/>
        <v>Apprenant 860</v>
      </c>
      <c r="W872" s="22" t="str">
        <f>IF(AND(OR('Choix pédagogiques'!$C$3=1,'Choix pédagogiques'!$C$3=2),$BM872=1),B872,IF(AND('Choix pédagogiques'!$C$3=3,$BO872=1),B872,""))</f>
        <v/>
      </c>
      <c r="X872" s="22" t="str">
        <f>IF(AND(OR('Choix pédagogiques'!$C$3=1,'Choix pédagogiques'!$C$3=2),$BM872=1),C872,IF(AND('Choix pédagogiques'!$C$3=3,$BO872=1),C872,""))</f>
        <v/>
      </c>
      <c r="Y872" s="22" t="str">
        <f>IF(AND(OR('Choix pédagogiques'!$C$3=1,'Choix pédagogiques'!$C$3=2),$BM872=1),D872,IF(AND('Choix pédagogiques'!$C$3=3,$BO872=1),D872,""))</f>
        <v/>
      </c>
      <c r="Z872" s="22" t="str">
        <f t="shared" si="588"/>
        <v/>
      </c>
      <c r="AA872" s="21" t="str">
        <f t="shared" si="589"/>
        <v>Apprenant 860 ou 860'</v>
      </c>
      <c r="AB872" s="22" t="str">
        <f>IF(AND(OR('Choix pédagogiques'!$C$3=1,'Choix pédagogiques'!$C$3=2),$BN872=1),G872,IF(AND('Choix pédagogiques'!$C$3=3,$BO872=1),G872,""))</f>
        <v/>
      </c>
      <c r="AC872" s="22" t="str">
        <f>IF(AND(OR('Choix pédagogiques'!$C$3=1,'Choix pédagogiques'!$C$3=2),$BN872=1),H872,IF(AND('Choix pédagogiques'!$C$3=3,$BO872=1),H872,""))</f>
        <v/>
      </c>
      <c r="AD872" s="22" t="str">
        <f>IF(AND(OR('Choix pédagogiques'!$C$3=1,'Choix pédagogiques'!$C$3=2),$BN872=1),I872,IF(AND('Choix pédagogiques'!$C$3=3,$BO872=1),I872,""))</f>
        <v/>
      </c>
      <c r="AE872" s="22" t="str">
        <f t="shared" si="590"/>
        <v/>
      </c>
      <c r="AF872" s="21" t="str">
        <f t="shared" si="591"/>
        <v>Apprenant 860</v>
      </c>
      <c r="AG872" s="22" t="str">
        <f t="shared" si="565"/>
        <v/>
      </c>
      <c r="AH872" s="22" t="str">
        <f t="shared" si="566"/>
        <v/>
      </c>
      <c r="AI872" s="22" t="str">
        <f t="shared" si="567"/>
        <v/>
      </c>
      <c r="AJ872" s="22" t="str">
        <f t="shared" si="592"/>
        <v/>
      </c>
      <c r="AK872" s="21" t="str">
        <f t="shared" si="593"/>
        <v>Apprenant 860 ou 860'</v>
      </c>
      <c r="AL872" s="22" t="str">
        <f t="shared" si="568"/>
        <v/>
      </c>
      <c r="AM872" s="22" t="str">
        <f t="shared" si="569"/>
        <v/>
      </c>
      <c r="AN872" s="22" t="str">
        <f t="shared" si="570"/>
        <v/>
      </c>
      <c r="AO872" s="22" t="str">
        <f t="shared" si="594"/>
        <v/>
      </c>
      <c r="AQ872" s="21" t="str">
        <f t="shared" si="595"/>
        <v>Apprenant 860</v>
      </c>
      <c r="AR872" s="49" t="str">
        <f>IF(AND('Choix pédagogiques'!$C$4&lt;&gt;"?",'Choix pédagogiques'!$C$5&lt;&gt;"?",W872&lt;&gt;""),(W872-'Choix pédagogiques'!$C$4)/('Choix pédagogiques'!$C$5-'Choix pédagogiques'!$C$4),"")</f>
        <v/>
      </c>
      <c r="AS872" s="49" t="str">
        <f>IF(AND('Choix pédagogiques'!$C$4&lt;&gt;"?",'Choix pédagogiques'!$C$5&lt;&gt;"?",X872&lt;&gt;""),(X872-'Choix pédagogiques'!$C$4)/('Choix pédagogiques'!$C$5-'Choix pédagogiques'!$C$4),"")</f>
        <v/>
      </c>
      <c r="AT872" s="49" t="str">
        <f>IF(AND('Choix pédagogiques'!$C$4&lt;&gt;"?",'Choix pédagogiques'!$C$5&lt;&gt;"?",Y872&lt;&gt;""),(Y872-'Choix pédagogiques'!$C$4)/('Choix pédagogiques'!$C$5-'Choix pédagogiques'!$C$4),"")</f>
        <v/>
      </c>
      <c r="AU872" s="22" t="str">
        <f t="shared" si="596"/>
        <v/>
      </c>
      <c r="AV872" s="21" t="str">
        <f t="shared" si="597"/>
        <v>Apprenant 860 ou 860'</v>
      </c>
      <c r="AW872" s="49" t="str">
        <f>IF(AND('Choix pédagogiques'!$C$4&lt;&gt;"?",'Choix pédagogiques'!$C$5&lt;&gt;"?",AB872&lt;&gt;""),(AB872-'Choix pédagogiques'!$C$4)/('Choix pédagogiques'!$C$5-'Choix pédagogiques'!$C$4),"")</f>
        <v/>
      </c>
      <c r="AX872" s="49" t="str">
        <f>IF(AND('Choix pédagogiques'!$C$4&lt;&gt;"?",'Choix pédagogiques'!$C$5&lt;&gt;"?",AC872&lt;&gt;""),(AC872-'Choix pédagogiques'!$C$4)/('Choix pédagogiques'!$C$5-'Choix pédagogiques'!$C$4),"")</f>
        <v/>
      </c>
      <c r="AY872" s="49" t="str">
        <f>IF(AND('Choix pédagogiques'!$C$4&lt;&gt;"?",'Choix pédagogiques'!$C$5&lt;&gt;"?",AD872&lt;&gt;""),(AD872-'Choix pédagogiques'!$C$4)/('Choix pédagogiques'!$C$5-'Choix pédagogiques'!$C$4),"")</f>
        <v/>
      </c>
      <c r="AZ872" s="22" t="str">
        <f t="shared" si="598"/>
        <v/>
      </c>
      <c r="BA872" s="21" t="str">
        <f t="shared" si="599"/>
        <v>Apprenant 860</v>
      </c>
      <c r="BB872" s="49" t="str">
        <f t="shared" si="571"/>
        <v/>
      </c>
      <c r="BC872" s="49" t="str">
        <f t="shared" si="572"/>
        <v/>
      </c>
      <c r="BD872" s="49" t="str">
        <f t="shared" si="573"/>
        <v/>
      </c>
      <c r="BE872" s="22" t="str">
        <f t="shared" si="600"/>
        <v/>
      </c>
      <c r="BF872" s="21" t="str">
        <f t="shared" si="601"/>
        <v>Apprenant 860 ou 860'</v>
      </c>
      <c r="BG872" s="49" t="str">
        <f t="shared" si="574"/>
        <v/>
      </c>
      <c r="BH872" s="49" t="str">
        <f t="shared" si="575"/>
        <v/>
      </c>
      <c r="BI872" s="49" t="str">
        <f t="shared" si="576"/>
        <v/>
      </c>
      <c r="BJ872" s="22" t="str">
        <f t="shared" si="602"/>
        <v/>
      </c>
      <c r="BL872" s="21"/>
      <c r="BM872" s="21" t="str">
        <f>IF(OR(COUNT(B872:D1871)=0,AND('Choix pédagogiques'!$C$3&lt;&gt;1,'Choix pédagogiques'!$C$3&lt;&gt;2)),"",IF(AND(OR('Choix pédagogiques'!$C$3=1,'Choix pédagogiques'!$C$3=2),$B872&lt;&gt;"",$C872&lt;&gt;"",$D872&lt;&gt;""),1,0))</f>
        <v/>
      </c>
      <c r="BN872" s="21" t="str">
        <f>IF(OR(COUNT(G872:I1871)=0,AND('Choix pédagogiques'!$C$3&lt;&gt;1,'Choix pédagogiques'!$C$3&lt;&gt;2)),"",IF(AND(OR('Choix pédagogiques'!$C$3=1,'Choix pédagogiques'!$C$3=2),AND($G872&lt;&gt;"",$H872&lt;&gt;"",$I872&lt;&gt;"")),1,0))</f>
        <v/>
      </c>
      <c r="BO872" s="21" t="str">
        <f>IF(OR(COUNT(B872:D1871)=0,COUNT(G872:I1871)=0,'Choix pédagogiques'!C$3&lt;&gt;3),"",IF(AND('Choix pédagogiques'!$C$3=3,$B872&lt;&gt;"",$C872&lt;&gt;"",$D872&lt;&gt;"",$G872&lt;&gt;"",$H872&lt;&gt;"",$I872&lt;&gt;""),1,0))</f>
        <v/>
      </c>
      <c r="BR872" s="21">
        <v>452</v>
      </c>
      <c r="BS872" s="21">
        <v>1989</v>
      </c>
      <c r="BT872"/>
    </row>
    <row r="873" spans="1:72" s="23" customFormat="1" ht="18" customHeight="1" x14ac:dyDescent="0.3">
      <c r="A873" s="35" t="s">
        <v>863</v>
      </c>
      <c r="B873" s="37"/>
      <c r="C873" s="37"/>
      <c r="D873" s="37"/>
      <c r="E873" s="37"/>
      <c r="F873" s="35" t="s">
        <v>1871</v>
      </c>
      <c r="G873" s="37"/>
      <c r="H873" s="37"/>
      <c r="I873" s="37"/>
      <c r="J873" s="37"/>
      <c r="K873" s="21" t="str">
        <f t="shared" si="577"/>
        <v>Apprenant 861</v>
      </c>
      <c r="L873" s="22" t="str">
        <f t="shared" si="578"/>
        <v/>
      </c>
      <c r="M873" s="22" t="str">
        <f t="shared" si="579"/>
        <v/>
      </c>
      <c r="N873" s="22" t="str">
        <f t="shared" si="580"/>
        <v/>
      </c>
      <c r="O873" s="22" t="str">
        <f t="shared" si="581"/>
        <v/>
      </c>
      <c r="P873" s="21" t="str">
        <f t="shared" si="582"/>
        <v>Apprenant 861 ou 861'</v>
      </c>
      <c r="Q873" s="22" t="str">
        <f t="shared" si="583"/>
        <v/>
      </c>
      <c r="R873" s="22" t="str">
        <f t="shared" si="584"/>
        <v/>
      </c>
      <c r="S873" s="22" t="str">
        <f t="shared" si="585"/>
        <v/>
      </c>
      <c r="T873" s="22" t="str">
        <f t="shared" si="586"/>
        <v/>
      </c>
      <c r="V873" s="21" t="str">
        <f t="shared" si="587"/>
        <v>Apprenant 861</v>
      </c>
      <c r="W873" s="22" t="str">
        <f>IF(AND(OR('Choix pédagogiques'!$C$3=1,'Choix pédagogiques'!$C$3=2),$BM873=1),B873,IF(AND('Choix pédagogiques'!$C$3=3,$BO873=1),B873,""))</f>
        <v/>
      </c>
      <c r="X873" s="22" t="str">
        <f>IF(AND(OR('Choix pédagogiques'!$C$3=1,'Choix pédagogiques'!$C$3=2),$BM873=1),C873,IF(AND('Choix pédagogiques'!$C$3=3,$BO873=1),C873,""))</f>
        <v/>
      </c>
      <c r="Y873" s="22" t="str">
        <f>IF(AND(OR('Choix pédagogiques'!$C$3=1,'Choix pédagogiques'!$C$3=2),$BM873=1),D873,IF(AND('Choix pédagogiques'!$C$3=3,$BO873=1),D873,""))</f>
        <v/>
      </c>
      <c r="Z873" s="22" t="str">
        <f t="shared" si="588"/>
        <v/>
      </c>
      <c r="AA873" s="21" t="str">
        <f t="shared" si="589"/>
        <v>Apprenant 861 ou 861'</v>
      </c>
      <c r="AB873" s="22" t="str">
        <f>IF(AND(OR('Choix pédagogiques'!$C$3=1,'Choix pédagogiques'!$C$3=2),$BN873=1),G873,IF(AND('Choix pédagogiques'!$C$3=3,$BO873=1),G873,""))</f>
        <v/>
      </c>
      <c r="AC873" s="22" t="str">
        <f>IF(AND(OR('Choix pédagogiques'!$C$3=1,'Choix pédagogiques'!$C$3=2),$BN873=1),H873,IF(AND('Choix pédagogiques'!$C$3=3,$BO873=1),H873,""))</f>
        <v/>
      </c>
      <c r="AD873" s="22" t="str">
        <f>IF(AND(OR('Choix pédagogiques'!$C$3=1,'Choix pédagogiques'!$C$3=2),$BN873=1),I873,IF(AND('Choix pédagogiques'!$C$3=3,$BO873=1),I873,""))</f>
        <v/>
      </c>
      <c r="AE873" s="22" t="str">
        <f t="shared" si="590"/>
        <v/>
      </c>
      <c r="AF873" s="21" t="str">
        <f t="shared" si="591"/>
        <v>Apprenant 861</v>
      </c>
      <c r="AG873" s="22" t="str">
        <f t="shared" si="565"/>
        <v/>
      </c>
      <c r="AH873" s="22" t="str">
        <f t="shared" si="566"/>
        <v/>
      </c>
      <c r="AI873" s="22" t="str">
        <f t="shared" si="567"/>
        <v/>
      </c>
      <c r="AJ873" s="22" t="str">
        <f t="shared" si="592"/>
        <v/>
      </c>
      <c r="AK873" s="21" t="str">
        <f t="shared" si="593"/>
        <v>Apprenant 861 ou 861'</v>
      </c>
      <c r="AL873" s="22" t="str">
        <f t="shared" si="568"/>
        <v/>
      </c>
      <c r="AM873" s="22" t="str">
        <f t="shared" si="569"/>
        <v/>
      </c>
      <c r="AN873" s="22" t="str">
        <f t="shared" si="570"/>
        <v/>
      </c>
      <c r="AO873" s="22" t="str">
        <f t="shared" si="594"/>
        <v/>
      </c>
      <c r="AQ873" s="21" t="str">
        <f t="shared" si="595"/>
        <v>Apprenant 861</v>
      </c>
      <c r="AR873" s="49" t="str">
        <f>IF(AND('Choix pédagogiques'!$C$4&lt;&gt;"?",'Choix pédagogiques'!$C$5&lt;&gt;"?",W873&lt;&gt;""),(W873-'Choix pédagogiques'!$C$4)/('Choix pédagogiques'!$C$5-'Choix pédagogiques'!$C$4),"")</f>
        <v/>
      </c>
      <c r="AS873" s="49" t="str">
        <f>IF(AND('Choix pédagogiques'!$C$4&lt;&gt;"?",'Choix pédagogiques'!$C$5&lt;&gt;"?",X873&lt;&gt;""),(X873-'Choix pédagogiques'!$C$4)/('Choix pédagogiques'!$C$5-'Choix pédagogiques'!$C$4),"")</f>
        <v/>
      </c>
      <c r="AT873" s="49" t="str">
        <f>IF(AND('Choix pédagogiques'!$C$4&lt;&gt;"?",'Choix pédagogiques'!$C$5&lt;&gt;"?",Y873&lt;&gt;""),(Y873-'Choix pédagogiques'!$C$4)/('Choix pédagogiques'!$C$5-'Choix pédagogiques'!$C$4),"")</f>
        <v/>
      </c>
      <c r="AU873" s="22" t="str">
        <f t="shared" si="596"/>
        <v/>
      </c>
      <c r="AV873" s="21" t="str">
        <f t="shared" si="597"/>
        <v>Apprenant 861 ou 861'</v>
      </c>
      <c r="AW873" s="49" t="str">
        <f>IF(AND('Choix pédagogiques'!$C$4&lt;&gt;"?",'Choix pédagogiques'!$C$5&lt;&gt;"?",AB873&lt;&gt;""),(AB873-'Choix pédagogiques'!$C$4)/('Choix pédagogiques'!$C$5-'Choix pédagogiques'!$C$4),"")</f>
        <v/>
      </c>
      <c r="AX873" s="49" t="str">
        <f>IF(AND('Choix pédagogiques'!$C$4&lt;&gt;"?",'Choix pédagogiques'!$C$5&lt;&gt;"?",AC873&lt;&gt;""),(AC873-'Choix pédagogiques'!$C$4)/('Choix pédagogiques'!$C$5-'Choix pédagogiques'!$C$4),"")</f>
        <v/>
      </c>
      <c r="AY873" s="49" t="str">
        <f>IF(AND('Choix pédagogiques'!$C$4&lt;&gt;"?",'Choix pédagogiques'!$C$5&lt;&gt;"?",AD873&lt;&gt;""),(AD873-'Choix pédagogiques'!$C$4)/('Choix pédagogiques'!$C$5-'Choix pédagogiques'!$C$4),"")</f>
        <v/>
      </c>
      <c r="AZ873" s="22" t="str">
        <f t="shared" si="598"/>
        <v/>
      </c>
      <c r="BA873" s="21" t="str">
        <f t="shared" si="599"/>
        <v>Apprenant 861</v>
      </c>
      <c r="BB873" s="49" t="str">
        <f t="shared" si="571"/>
        <v/>
      </c>
      <c r="BC873" s="49" t="str">
        <f t="shared" si="572"/>
        <v/>
      </c>
      <c r="BD873" s="49" t="str">
        <f t="shared" si="573"/>
        <v/>
      </c>
      <c r="BE873" s="22" t="str">
        <f t="shared" si="600"/>
        <v/>
      </c>
      <c r="BF873" s="21" t="str">
        <f t="shared" si="601"/>
        <v>Apprenant 861 ou 861'</v>
      </c>
      <c r="BG873" s="49" t="str">
        <f t="shared" si="574"/>
        <v/>
      </c>
      <c r="BH873" s="49" t="str">
        <f t="shared" si="575"/>
        <v/>
      </c>
      <c r="BI873" s="49" t="str">
        <f t="shared" si="576"/>
        <v/>
      </c>
      <c r="BJ873" s="22" t="str">
        <f t="shared" si="602"/>
        <v/>
      </c>
      <c r="BL873" s="21"/>
      <c r="BM873" s="21" t="str">
        <f>IF(OR(COUNT(B873:D1872)=0,AND('Choix pédagogiques'!$C$3&lt;&gt;1,'Choix pédagogiques'!$C$3&lt;&gt;2)),"",IF(AND(OR('Choix pédagogiques'!$C$3=1,'Choix pédagogiques'!$C$3=2),$B873&lt;&gt;"",$C873&lt;&gt;"",$D873&lt;&gt;""),1,0))</f>
        <v/>
      </c>
      <c r="BN873" s="21" t="str">
        <f>IF(OR(COUNT(G873:I1872)=0,AND('Choix pédagogiques'!$C$3&lt;&gt;1,'Choix pédagogiques'!$C$3&lt;&gt;2)),"",IF(AND(OR('Choix pédagogiques'!$C$3=1,'Choix pédagogiques'!$C$3=2),AND($G873&lt;&gt;"",$H873&lt;&gt;"",$I873&lt;&gt;"")),1,0))</f>
        <v/>
      </c>
      <c r="BO873" s="21" t="str">
        <f>IF(OR(COUNT(B873:D1872)=0,COUNT(G873:I1872)=0,'Choix pédagogiques'!C$3&lt;&gt;3),"",IF(AND('Choix pédagogiques'!$C$3=3,$B873&lt;&gt;"",$C873&lt;&gt;"",$D873&lt;&gt;"",$G873&lt;&gt;"",$H873&lt;&gt;"",$I873&lt;&gt;""),1,0))</f>
        <v/>
      </c>
      <c r="BR873" s="21">
        <v>88</v>
      </c>
      <c r="BS873" s="21">
        <v>1349</v>
      </c>
      <c r="BT873"/>
    </row>
    <row r="874" spans="1:72" s="23" customFormat="1" ht="18" customHeight="1" x14ac:dyDescent="0.3">
      <c r="A874" s="35" t="s">
        <v>864</v>
      </c>
      <c r="B874" s="37"/>
      <c r="C874" s="37"/>
      <c r="D874" s="37"/>
      <c r="E874" s="37"/>
      <c r="F874" s="35" t="s">
        <v>1872</v>
      </c>
      <c r="G874" s="37"/>
      <c r="H874" s="37"/>
      <c r="I874" s="37"/>
      <c r="J874" s="37"/>
      <c r="K874" s="21" t="str">
        <f t="shared" si="577"/>
        <v>Apprenant 862</v>
      </c>
      <c r="L874" s="22" t="str">
        <f t="shared" si="578"/>
        <v/>
      </c>
      <c r="M874" s="22" t="str">
        <f t="shared" si="579"/>
        <v/>
      </c>
      <c r="N874" s="22" t="str">
        <f t="shared" si="580"/>
        <v/>
      </c>
      <c r="O874" s="22" t="str">
        <f t="shared" si="581"/>
        <v/>
      </c>
      <c r="P874" s="21" t="str">
        <f t="shared" si="582"/>
        <v>Apprenant 862 ou 862'</v>
      </c>
      <c r="Q874" s="22" t="str">
        <f t="shared" si="583"/>
        <v/>
      </c>
      <c r="R874" s="22" t="str">
        <f t="shared" si="584"/>
        <v/>
      </c>
      <c r="S874" s="22" t="str">
        <f t="shared" si="585"/>
        <v/>
      </c>
      <c r="T874" s="22" t="str">
        <f t="shared" si="586"/>
        <v/>
      </c>
      <c r="V874" s="21" t="str">
        <f t="shared" si="587"/>
        <v>Apprenant 862</v>
      </c>
      <c r="W874" s="22" t="str">
        <f>IF(AND(OR('Choix pédagogiques'!$C$3=1,'Choix pédagogiques'!$C$3=2),$BM874=1),B874,IF(AND('Choix pédagogiques'!$C$3=3,$BO874=1),B874,""))</f>
        <v/>
      </c>
      <c r="X874" s="22" t="str">
        <f>IF(AND(OR('Choix pédagogiques'!$C$3=1,'Choix pédagogiques'!$C$3=2),$BM874=1),C874,IF(AND('Choix pédagogiques'!$C$3=3,$BO874=1),C874,""))</f>
        <v/>
      </c>
      <c r="Y874" s="22" t="str">
        <f>IF(AND(OR('Choix pédagogiques'!$C$3=1,'Choix pédagogiques'!$C$3=2),$BM874=1),D874,IF(AND('Choix pédagogiques'!$C$3=3,$BO874=1),D874,""))</f>
        <v/>
      </c>
      <c r="Z874" s="22" t="str">
        <f t="shared" si="588"/>
        <v/>
      </c>
      <c r="AA874" s="21" t="str">
        <f t="shared" si="589"/>
        <v>Apprenant 862 ou 862'</v>
      </c>
      <c r="AB874" s="22" t="str">
        <f>IF(AND(OR('Choix pédagogiques'!$C$3=1,'Choix pédagogiques'!$C$3=2),$BN874=1),G874,IF(AND('Choix pédagogiques'!$C$3=3,$BO874=1),G874,""))</f>
        <v/>
      </c>
      <c r="AC874" s="22" t="str">
        <f>IF(AND(OR('Choix pédagogiques'!$C$3=1,'Choix pédagogiques'!$C$3=2),$BN874=1),H874,IF(AND('Choix pédagogiques'!$C$3=3,$BO874=1),H874,""))</f>
        <v/>
      </c>
      <c r="AD874" s="22" t="str">
        <f>IF(AND(OR('Choix pédagogiques'!$C$3=1,'Choix pédagogiques'!$C$3=2),$BN874=1),I874,IF(AND('Choix pédagogiques'!$C$3=3,$BO874=1),I874,""))</f>
        <v/>
      </c>
      <c r="AE874" s="22" t="str">
        <f t="shared" si="590"/>
        <v/>
      </c>
      <c r="AF874" s="21" t="str">
        <f t="shared" si="591"/>
        <v>Apprenant 862</v>
      </c>
      <c r="AG874" s="22" t="str">
        <f t="shared" si="565"/>
        <v/>
      </c>
      <c r="AH874" s="22" t="str">
        <f t="shared" si="566"/>
        <v/>
      </c>
      <c r="AI874" s="22" t="str">
        <f t="shared" si="567"/>
        <v/>
      </c>
      <c r="AJ874" s="22" t="str">
        <f t="shared" si="592"/>
        <v/>
      </c>
      <c r="AK874" s="21" t="str">
        <f t="shared" si="593"/>
        <v>Apprenant 862 ou 862'</v>
      </c>
      <c r="AL874" s="22" t="str">
        <f t="shared" si="568"/>
        <v/>
      </c>
      <c r="AM874" s="22" t="str">
        <f t="shared" si="569"/>
        <v/>
      </c>
      <c r="AN874" s="22" t="str">
        <f t="shared" si="570"/>
        <v/>
      </c>
      <c r="AO874" s="22" t="str">
        <f t="shared" si="594"/>
        <v/>
      </c>
      <c r="AQ874" s="21" t="str">
        <f t="shared" si="595"/>
        <v>Apprenant 862</v>
      </c>
      <c r="AR874" s="49" t="str">
        <f>IF(AND('Choix pédagogiques'!$C$4&lt;&gt;"?",'Choix pédagogiques'!$C$5&lt;&gt;"?",W874&lt;&gt;""),(W874-'Choix pédagogiques'!$C$4)/('Choix pédagogiques'!$C$5-'Choix pédagogiques'!$C$4),"")</f>
        <v/>
      </c>
      <c r="AS874" s="49" t="str">
        <f>IF(AND('Choix pédagogiques'!$C$4&lt;&gt;"?",'Choix pédagogiques'!$C$5&lt;&gt;"?",X874&lt;&gt;""),(X874-'Choix pédagogiques'!$C$4)/('Choix pédagogiques'!$C$5-'Choix pédagogiques'!$C$4),"")</f>
        <v/>
      </c>
      <c r="AT874" s="49" t="str">
        <f>IF(AND('Choix pédagogiques'!$C$4&lt;&gt;"?",'Choix pédagogiques'!$C$5&lt;&gt;"?",Y874&lt;&gt;""),(Y874-'Choix pédagogiques'!$C$4)/('Choix pédagogiques'!$C$5-'Choix pédagogiques'!$C$4),"")</f>
        <v/>
      </c>
      <c r="AU874" s="22" t="str">
        <f t="shared" si="596"/>
        <v/>
      </c>
      <c r="AV874" s="21" t="str">
        <f t="shared" si="597"/>
        <v>Apprenant 862 ou 862'</v>
      </c>
      <c r="AW874" s="49" t="str">
        <f>IF(AND('Choix pédagogiques'!$C$4&lt;&gt;"?",'Choix pédagogiques'!$C$5&lt;&gt;"?",AB874&lt;&gt;""),(AB874-'Choix pédagogiques'!$C$4)/('Choix pédagogiques'!$C$5-'Choix pédagogiques'!$C$4),"")</f>
        <v/>
      </c>
      <c r="AX874" s="49" t="str">
        <f>IF(AND('Choix pédagogiques'!$C$4&lt;&gt;"?",'Choix pédagogiques'!$C$5&lt;&gt;"?",AC874&lt;&gt;""),(AC874-'Choix pédagogiques'!$C$4)/('Choix pédagogiques'!$C$5-'Choix pédagogiques'!$C$4),"")</f>
        <v/>
      </c>
      <c r="AY874" s="49" t="str">
        <f>IF(AND('Choix pédagogiques'!$C$4&lt;&gt;"?",'Choix pédagogiques'!$C$5&lt;&gt;"?",AD874&lt;&gt;""),(AD874-'Choix pédagogiques'!$C$4)/('Choix pédagogiques'!$C$5-'Choix pédagogiques'!$C$4),"")</f>
        <v/>
      </c>
      <c r="AZ874" s="22" t="str">
        <f t="shared" si="598"/>
        <v/>
      </c>
      <c r="BA874" s="21" t="str">
        <f t="shared" si="599"/>
        <v>Apprenant 862</v>
      </c>
      <c r="BB874" s="49" t="str">
        <f t="shared" si="571"/>
        <v/>
      </c>
      <c r="BC874" s="49" t="str">
        <f t="shared" si="572"/>
        <v/>
      </c>
      <c r="BD874" s="49" t="str">
        <f t="shared" si="573"/>
        <v/>
      </c>
      <c r="BE874" s="22" t="str">
        <f t="shared" si="600"/>
        <v/>
      </c>
      <c r="BF874" s="21" t="str">
        <f t="shared" si="601"/>
        <v>Apprenant 862 ou 862'</v>
      </c>
      <c r="BG874" s="49" t="str">
        <f t="shared" si="574"/>
        <v/>
      </c>
      <c r="BH874" s="49" t="str">
        <f t="shared" si="575"/>
        <v/>
      </c>
      <c r="BI874" s="49" t="str">
        <f t="shared" si="576"/>
        <v/>
      </c>
      <c r="BJ874" s="22" t="str">
        <f t="shared" si="602"/>
        <v/>
      </c>
      <c r="BL874" s="21"/>
      <c r="BM874" s="21" t="str">
        <f>IF(OR(COUNT(B874:D1873)=0,AND('Choix pédagogiques'!$C$3&lt;&gt;1,'Choix pédagogiques'!$C$3&lt;&gt;2)),"",IF(AND(OR('Choix pédagogiques'!$C$3=1,'Choix pédagogiques'!$C$3=2),$B874&lt;&gt;"",$C874&lt;&gt;"",$D874&lt;&gt;""),1,0))</f>
        <v/>
      </c>
      <c r="BN874" s="21" t="str">
        <f>IF(OR(COUNT(G874:I1873)=0,AND('Choix pédagogiques'!$C$3&lt;&gt;1,'Choix pédagogiques'!$C$3&lt;&gt;2)),"",IF(AND(OR('Choix pédagogiques'!$C$3=1,'Choix pédagogiques'!$C$3=2),AND($G874&lt;&gt;"",$H874&lt;&gt;"",$I874&lt;&gt;"")),1,0))</f>
        <v/>
      </c>
      <c r="BO874" s="21" t="str">
        <f>IF(OR(COUNT(B874:D1873)=0,COUNT(G874:I1873)=0,'Choix pédagogiques'!C$3&lt;&gt;3),"",IF(AND('Choix pédagogiques'!$C$3=3,$B874&lt;&gt;"",$C874&lt;&gt;"",$D874&lt;&gt;"",$G874&lt;&gt;"",$H874&lt;&gt;"",$I874&lt;&gt;""),1,0))</f>
        <v/>
      </c>
      <c r="BR874" s="21">
        <v>890</v>
      </c>
      <c r="BS874" s="21">
        <v>1304</v>
      </c>
      <c r="BT874"/>
    </row>
    <row r="875" spans="1:72" s="23" customFormat="1" ht="18" customHeight="1" x14ac:dyDescent="0.3">
      <c r="A875" s="35" t="s">
        <v>865</v>
      </c>
      <c r="B875" s="37"/>
      <c r="C875" s="37"/>
      <c r="D875" s="37"/>
      <c r="E875" s="37"/>
      <c r="F875" s="35" t="s">
        <v>1873</v>
      </c>
      <c r="G875" s="37"/>
      <c r="H875" s="37"/>
      <c r="I875" s="37"/>
      <c r="J875" s="37"/>
      <c r="K875" s="21" t="str">
        <f t="shared" si="577"/>
        <v>Apprenant 863</v>
      </c>
      <c r="L875" s="22" t="str">
        <f t="shared" si="578"/>
        <v/>
      </c>
      <c r="M875" s="22" t="str">
        <f t="shared" si="579"/>
        <v/>
      </c>
      <c r="N875" s="22" t="str">
        <f t="shared" si="580"/>
        <v/>
      </c>
      <c r="O875" s="22" t="str">
        <f t="shared" si="581"/>
        <v/>
      </c>
      <c r="P875" s="21" t="str">
        <f t="shared" si="582"/>
        <v>Apprenant 863 ou 863'</v>
      </c>
      <c r="Q875" s="22" t="str">
        <f t="shared" si="583"/>
        <v/>
      </c>
      <c r="R875" s="22" t="str">
        <f t="shared" si="584"/>
        <v/>
      </c>
      <c r="S875" s="22" t="str">
        <f t="shared" si="585"/>
        <v/>
      </c>
      <c r="T875" s="22" t="str">
        <f t="shared" si="586"/>
        <v/>
      </c>
      <c r="V875" s="21" t="str">
        <f t="shared" si="587"/>
        <v>Apprenant 863</v>
      </c>
      <c r="W875" s="22" t="str">
        <f>IF(AND(OR('Choix pédagogiques'!$C$3=1,'Choix pédagogiques'!$C$3=2),$BM875=1),B875,IF(AND('Choix pédagogiques'!$C$3=3,$BO875=1),B875,""))</f>
        <v/>
      </c>
      <c r="X875" s="22" t="str">
        <f>IF(AND(OR('Choix pédagogiques'!$C$3=1,'Choix pédagogiques'!$C$3=2),$BM875=1),C875,IF(AND('Choix pédagogiques'!$C$3=3,$BO875=1),C875,""))</f>
        <v/>
      </c>
      <c r="Y875" s="22" t="str">
        <f>IF(AND(OR('Choix pédagogiques'!$C$3=1,'Choix pédagogiques'!$C$3=2),$BM875=1),D875,IF(AND('Choix pédagogiques'!$C$3=3,$BO875=1),D875,""))</f>
        <v/>
      </c>
      <c r="Z875" s="22" t="str">
        <f t="shared" si="588"/>
        <v/>
      </c>
      <c r="AA875" s="21" t="str">
        <f t="shared" si="589"/>
        <v>Apprenant 863 ou 863'</v>
      </c>
      <c r="AB875" s="22" t="str">
        <f>IF(AND(OR('Choix pédagogiques'!$C$3=1,'Choix pédagogiques'!$C$3=2),$BN875=1),G875,IF(AND('Choix pédagogiques'!$C$3=3,$BO875=1),G875,""))</f>
        <v/>
      </c>
      <c r="AC875" s="22" t="str">
        <f>IF(AND(OR('Choix pédagogiques'!$C$3=1,'Choix pédagogiques'!$C$3=2),$BN875=1),H875,IF(AND('Choix pédagogiques'!$C$3=3,$BO875=1),H875,""))</f>
        <v/>
      </c>
      <c r="AD875" s="22" t="str">
        <f>IF(AND(OR('Choix pédagogiques'!$C$3=1,'Choix pédagogiques'!$C$3=2),$BN875=1),I875,IF(AND('Choix pédagogiques'!$C$3=3,$BO875=1),I875,""))</f>
        <v/>
      </c>
      <c r="AE875" s="22" t="str">
        <f t="shared" si="590"/>
        <v/>
      </c>
      <c r="AF875" s="21" t="str">
        <f t="shared" si="591"/>
        <v>Apprenant 863</v>
      </c>
      <c r="AG875" s="22" t="str">
        <f t="shared" si="565"/>
        <v/>
      </c>
      <c r="AH875" s="22" t="str">
        <f t="shared" si="566"/>
        <v/>
      </c>
      <c r="AI875" s="22" t="str">
        <f t="shared" si="567"/>
        <v/>
      </c>
      <c r="AJ875" s="22" t="str">
        <f t="shared" si="592"/>
        <v/>
      </c>
      <c r="AK875" s="21" t="str">
        <f t="shared" si="593"/>
        <v>Apprenant 863 ou 863'</v>
      </c>
      <c r="AL875" s="22" t="str">
        <f t="shared" si="568"/>
        <v/>
      </c>
      <c r="AM875" s="22" t="str">
        <f t="shared" si="569"/>
        <v/>
      </c>
      <c r="AN875" s="22" t="str">
        <f t="shared" si="570"/>
        <v/>
      </c>
      <c r="AO875" s="22" t="str">
        <f t="shared" si="594"/>
        <v/>
      </c>
      <c r="AQ875" s="21" t="str">
        <f t="shared" si="595"/>
        <v>Apprenant 863</v>
      </c>
      <c r="AR875" s="49" t="str">
        <f>IF(AND('Choix pédagogiques'!$C$4&lt;&gt;"?",'Choix pédagogiques'!$C$5&lt;&gt;"?",W875&lt;&gt;""),(W875-'Choix pédagogiques'!$C$4)/('Choix pédagogiques'!$C$5-'Choix pédagogiques'!$C$4),"")</f>
        <v/>
      </c>
      <c r="AS875" s="49" t="str">
        <f>IF(AND('Choix pédagogiques'!$C$4&lt;&gt;"?",'Choix pédagogiques'!$C$5&lt;&gt;"?",X875&lt;&gt;""),(X875-'Choix pédagogiques'!$C$4)/('Choix pédagogiques'!$C$5-'Choix pédagogiques'!$C$4),"")</f>
        <v/>
      </c>
      <c r="AT875" s="49" t="str">
        <f>IF(AND('Choix pédagogiques'!$C$4&lt;&gt;"?",'Choix pédagogiques'!$C$5&lt;&gt;"?",Y875&lt;&gt;""),(Y875-'Choix pédagogiques'!$C$4)/('Choix pédagogiques'!$C$5-'Choix pédagogiques'!$C$4),"")</f>
        <v/>
      </c>
      <c r="AU875" s="22" t="str">
        <f t="shared" si="596"/>
        <v/>
      </c>
      <c r="AV875" s="21" t="str">
        <f t="shared" si="597"/>
        <v>Apprenant 863 ou 863'</v>
      </c>
      <c r="AW875" s="49" t="str">
        <f>IF(AND('Choix pédagogiques'!$C$4&lt;&gt;"?",'Choix pédagogiques'!$C$5&lt;&gt;"?",AB875&lt;&gt;""),(AB875-'Choix pédagogiques'!$C$4)/('Choix pédagogiques'!$C$5-'Choix pédagogiques'!$C$4),"")</f>
        <v/>
      </c>
      <c r="AX875" s="49" t="str">
        <f>IF(AND('Choix pédagogiques'!$C$4&lt;&gt;"?",'Choix pédagogiques'!$C$5&lt;&gt;"?",AC875&lt;&gt;""),(AC875-'Choix pédagogiques'!$C$4)/('Choix pédagogiques'!$C$5-'Choix pédagogiques'!$C$4),"")</f>
        <v/>
      </c>
      <c r="AY875" s="49" t="str">
        <f>IF(AND('Choix pédagogiques'!$C$4&lt;&gt;"?",'Choix pédagogiques'!$C$5&lt;&gt;"?",AD875&lt;&gt;""),(AD875-'Choix pédagogiques'!$C$4)/('Choix pédagogiques'!$C$5-'Choix pédagogiques'!$C$4),"")</f>
        <v/>
      </c>
      <c r="AZ875" s="22" t="str">
        <f t="shared" si="598"/>
        <v/>
      </c>
      <c r="BA875" s="21" t="str">
        <f t="shared" si="599"/>
        <v>Apprenant 863</v>
      </c>
      <c r="BB875" s="49" t="str">
        <f t="shared" si="571"/>
        <v/>
      </c>
      <c r="BC875" s="49" t="str">
        <f t="shared" si="572"/>
        <v/>
      </c>
      <c r="BD875" s="49" t="str">
        <f t="shared" si="573"/>
        <v/>
      </c>
      <c r="BE875" s="22" t="str">
        <f t="shared" si="600"/>
        <v/>
      </c>
      <c r="BF875" s="21" t="str">
        <f t="shared" si="601"/>
        <v>Apprenant 863 ou 863'</v>
      </c>
      <c r="BG875" s="49" t="str">
        <f t="shared" si="574"/>
        <v/>
      </c>
      <c r="BH875" s="49" t="str">
        <f t="shared" si="575"/>
        <v/>
      </c>
      <c r="BI875" s="49" t="str">
        <f t="shared" si="576"/>
        <v/>
      </c>
      <c r="BJ875" s="22" t="str">
        <f t="shared" si="602"/>
        <v/>
      </c>
      <c r="BL875" s="21"/>
      <c r="BM875" s="21" t="str">
        <f>IF(OR(COUNT(B875:D1874)=0,AND('Choix pédagogiques'!$C$3&lt;&gt;1,'Choix pédagogiques'!$C$3&lt;&gt;2)),"",IF(AND(OR('Choix pédagogiques'!$C$3=1,'Choix pédagogiques'!$C$3=2),$B875&lt;&gt;"",$C875&lt;&gt;"",$D875&lt;&gt;""),1,0))</f>
        <v/>
      </c>
      <c r="BN875" s="21" t="str">
        <f>IF(OR(COUNT(G875:I1874)=0,AND('Choix pédagogiques'!$C$3&lt;&gt;1,'Choix pédagogiques'!$C$3&lt;&gt;2)),"",IF(AND(OR('Choix pédagogiques'!$C$3=1,'Choix pédagogiques'!$C$3=2),AND($G875&lt;&gt;"",$H875&lt;&gt;"",$I875&lt;&gt;"")),1,0))</f>
        <v/>
      </c>
      <c r="BO875" s="21" t="str">
        <f>IF(OR(COUNT(B875:D1874)=0,COUNT(G875:I1874)=0,'Choix pédagogiques'!C$3&lt;&gt;3),"",IF(AND('Choix pédagogiques'!$C$3=3,$B875&lt;&gt;"",$C875&lt;&gt;"",$D875&lt;&gt;"",$G875&lt;&gt;"",$H875&lt;&gt;"",$I875&lt;&gt;""),1,0))</f>
        <v/>
      </c>
      <c r="BR875" s="21">
        <v>462</v>
      </c>
      <c r="BS875" s="21">
        <v>1238</v>
      </c>
      <c r="BT875"/>
    </row>
    <row r="876" spans="1:72" s="23" customFormat="1" ht="18" customHeight="1" x14ac:dyDescent="0.3">
      <c r="A876" s="35" t="s">
        <v>866</v>
      </c>
      <c r="B876" s="37"/>
      <c r="C876" s="37"/>
      <c r="D876" s="37"/>
      <c r="E876" s="37"/>
      <c r="F876" s="35" t="s">
        <v>1874</v>
      </c>
      <c r="G876" s="37"/>
      <c r="H876" s="37"/>
      <c r="I876" s="37"/>
      <c r="J876" s="37"/>
      <c r="K876" s="21" t="str">
        <f t="shared" si="577"/>
        <v>Apprenant 864</v>
      </c>
      <c r="L876" s="22" t="str">
        <f t="shared" si="578"/>
        <v/>
      </c>
      <c r="M876" s="22" t="str">
        <f t="shared" si="579"/>
        <v/>
      </c>
      <c r="N876" s="22" t="str">
        <f t="shared" si="580"/>
        <v/>
      </c>
      <c r="O876" s="22" t="str">
        <f t="shared" si="581"/>
        <v/>
      </c>
      <c r="P876" s="21" t="str">
        <f t="shared" si="582"/>
        <v>Apprenant 864 ou 864'</v>
      </c>
      <c r="Q876" s="22" t="str">
        <f t="shared" si="583"/>
        <v/>
      </c>
      <c r="R876" s="22" t="str">
        <f t="shared" si="584"/>
        <v/>
      </c>
      <c r="S876" s="22" t="str">
        <f t="shared" si="585"/>
        <v/>
      </c>
      <c r="T876" s="22" t="str">
        <f t="shared" si="586"/>
        <v/>
      </c>
      <c r="V876" s="21" t="str">
        <f t="shared" si="587"/>
        <v>Apprenant 864</v>
      </c>
      <c r="W876" s="22" t="str">
        <f>IF(AND(OR('Choix pédagogiques'!$C$3=1,'Choix pédagogiques'!$C$3=2),$BM876=1),B876,IF(AND('Choix pédagogiques'!$C$3=3,$BO876=1),B876,""))</f>
        <v/>
      </c>
      <c r="X876" s="22" t="str">
        <f>IF(AND(OR('Choix pédagogiques'!$C$3=1,'Choix pédagogiques'!$C$3=2),$BM876=1),C876,IF(AND('Choix pédagogiques'!$C$3=3,$BO876=1),C876,""))</f>
        <v/>
      </c>
      <c r="Y876" s="22" t="str">
        <f>IF(AND(OR('Choix pédagogiques'!$C$3=1,'Choix pédagogiques'!$C$3=2),$BM876=1),D876,IF(AND('Choix pédagogiques'!$C$3=3,$BO876=1),D876,""))</f>
        <v/>
      </c>
      <c r="Z876" s="22" t="str">
        <f t="shared" si="588"/>
        <v/>
      </c>
      <c r="AA876" s="21" t="str">
        <f t="shared" si="589"/>
        <v>Apprenant 864 ou 864'</v>
      </c>
      <c r="AB876" s="22" t="str">
        <f>IF(AND(OR('Choix pédagogiques'!$C$3=1,'Choix pédagogiques'!$C$3=2),$BN876=1),G876,IF(AND('Choix pédagogiques'!$C$3=3,$BO876=1),G876,""))</f>
        <v/>
      </c>
      <c r="AC876" s="22" t="str">
        <f>IF(AND(OR('Choix pédagogiques'!$C$3=1,'Choix pédagogiques'!$C$3=2),$BN876=1),H876,IF(AND('Choix pédagogiques'!$C$3=3,$BO876=1),H876,""))</f>
        <v/>
      </c>
      <c r="AD876" s="22" t="str">
        <f>IF(AND(OR('Choix pédagogiques'!$C$3=1,'Choix pédagogiques'!$C$3=2),$BN876=1),I876,IF(AND('Choix pédagogiques'!$C$3=3,$BO876=1),I876,""))</f>
        <v/>
      </c>
      <c r="AE876" s="22" t="str">
        <f t="shared" si="590"/>
        <v/>
      </c>
      <c r="AF876" s="21" t="str">
        <f t="shared" si="591"/>
        <v>Apprenant 864</v>
      </c>
      <c r="AG876" s="22" t="str">
        <f t="shared" si="565"/>
        <v/>
      </c>
      <c r="AH876" s="22" t="str">
        <f t="shared" si="566"/>
        <v/>
      </c>
      <c r="AI876" s="22" t="str">
        <f t="shared" si="567"/>
        <v/>
      </c>
      <c r="AJ876" s="22" t="str">
        <f t="shared" si="592"/>
        <v/>
      </c>
      <c r="AK876" s="21" t="str">
        <f t="shared" si="593"/>
        <v>Apprenant 864 ou 864'</v>
      </c>
      <c r="AL876" s="22" t="str">
        <f t="shared" si="568"/>
        <v/>
      </c>
      <c r="AM876" s="22" t="str">
        <f t="shared" si="569"/>
        <v/>
      </c>
      <c r="AN876" s="22" t="str">
        <f t="shared" si="570"/>
        <v/>
      </c>
      <c r="AO876" s="22" t="str">
        <f t="shared" si="594"/>
        <v/>
      </c>
      <c r="AQ876" s="21" t="str">
        <f t="shared" si="595"/>
        <v>Apprenant 864</v>
      </c>
      <c r="AR876" s="49" t="str">
        <f>IF(AND('Choix pédagogiques'!$C$4&lt;&gt;"?",'Choix pédagogiques'!$C$5&lt;&gt;"?",W876&lt;&gt;""),(W876-'Choix pédagogiques'!$C$4)/('Choix pédagogiques'!$C$5-'Choix pédagogiques'!$C$4),"")</f>
        <v/>
      </c>
      <c r="AS876" s="49" t="str">
        <f>IF(AND('Choix pédagogiques'!$C$4&lt;&gt;"?",'Choix pédagogiques'!$C$5&lt;&gt;"?",X876&lt;&gt;""),(X876-'Choix pédagogiques'!$C$4)/('Choix pédagogiques'!$C$5-'Choix pédagogiques'!$C$4),"")</f>
        <v/>
      </c>
      <c r="AT876" s="49" t="str">
        <f>IF(AND('Choix pédagogiques'!$C$4&lt;&gt;"?",'Choix pédagogiques'!$C$5&lt;&gt;"?",Y876&lt;&gt;""),(Y876-'Choix pédagogiques'!$C$4)/('Choix pédagogiques'!$C$5-'Choix pédagogiques'!$C$4),"")</f>
        <v/>
      </c>
      <c r="AU876" s="22" t="str">
        <f t="shared" si="596"/>
        <v/>
      </c>
      <c r="AV876" s="21" t="str">
        <f t="shared" si="597"/>
        <v>Apprenant 864 ou 864'</v>
      </c>
      <c r="AW876" s="49" t="str">
        <f>IF(AND('Choix pédagogiques'!$C$4&lt;&gt;"?",'Choix pédagogiques'!$C$5&lt;&gt;"?",AB876&lt;&gt;""),(AB876-'Choix pédagogiques'!$C$4)/('Choix pédagogiques'!$C$5-'Choix pédagogiques'!$C$4),"")</f>
        <v/>
      </c>
      <c r="AX876" s="49" t="str">
        <f>IF(AND('Choix pédagogiques'!$C$4&lt;&gt;"?",'Choix pédagogiques'!$C$5&lt;&gt;"?",AC876&lt;&gt;""),(AC876-'Choix pédagogiques'!$C$4)/('Choix pédagogiques'!$C$5-'Choix pédagogiques'!$C$4),"")</f>
        <v/>
      </c>
      <c r="AY876" s="49" t="str">
        <f>IF(AND('Choix pédagogiques'!$C$4&lt;&gt;"?",'Choix pédagogiques'!$C$5&lt;&gt;"?",AD876&lt;&gt;""),(AD876-'Choix pédagogiques'!$C$4)/('Choix pédagogiques'!$C$5-'Choix pédagogiques'!$C$4),"")</f>
        <v/>
      </c>
      <c r="AZ876" s="22" t="str">
        <f t="shared" si="598"/>
        <v/>
      </c>
      <c r="BA876" s="21" t="str">
        <f t="shared" si="599"/>
        <v>Apprenant 864</v>
      </c>
      <c r="BB876" s="49" t="str">
        <f t="shared" si="571"/>
        <v/>
      </c>
      <c r="BC876" s="49" t="str">
        <f t="shared" si="572"/>
        <v/>
      </c>
      <c r="BD876" s="49" t="str">
        <f t="shared" si="573"/>
        <v/>
      </c>
      <c r="BE876" s="22" t="str">
        <f t="shared" si="600"/>
        <v/>
      </c>
      <c r="BF876" s="21" t="str">
        <f t="shared" si="601"/>
        <v>Apprenant 864 ou 864'</v>
      </c>
      <c r="BG876" s="49" t="str">
        <f t="shared" si="574"/>
        <v/>
      </c>
      <c r="BH876" s="49" t="str">
        <f t="shared" si="575"/>
        <v/>
      </c>
      <c r="BI876" s="49" t="str">
        <f t="shared" si="576"/>
        <v/>
      </c>
      <c r="BJ876" s="22" t="str">
        <f t="shared" si="602"/>
        <v/>
      </c>
      <c r="BL876" s="21"/>
      <c r="BM876" s="21" t="str">
        <f>IF(OR(COUNT(B876:D1875)=0,AND('Choix pédagogiques'!$C$3&lt;&gt;1,'Choix pédagogiques'!$C$3&lt;&gt;2)),"",IF(AND(OR('Choix pédagogiques'!$C$3=1,'Choix pédagogiques'!$C$3=2),$B876&lt;&gt;"",$C876&lt;&gt;"",$D876&lt;&gt;""),1,0))</f>
        <v/>
      </c>
      <c r="BN876" s="21" t="str">
        <f>IF(OR(COUNT(G876:I1875)=0,AND('Choix pédagogiques'!$C$3&lt;&gt;1,'Choix pédagogiques'!$C$3&lt;&gt;2)),"",IF(AND(OR('Choix pédagogiques'!$C$3=1,'Choix pédagogiques'!$C$3=2),AND($G876&lt;&gt;"",$H876&lt;&gt;"",$I876&lt;&gt;"")),1,0))</f>
        <v/>
      </c>
      <c r="BO876" s="21" t="str">
        <f>IF(OR(COUNT(B876:D1875)=0,COUNT(G876:I1875)=0,'Choix pédagogiques'!C$3&lt;&gt;3),"",IF(AND('Choix pédagogiques'!$C$3=3,$B876&lt;&gt;"",$C876&lt;&gt;"",$D876&lt;&gt;"",$G876&lt;&gt;"",$H876&lt;&gt;"",$I876&lt;&gt;""),1,0))</f>
        <v/>
      </c>
      <c r="BR876" s="21">
        <v>674</v>
      </c>
      <c r="BS876" s="21">
        <v>1391</v>
      </c>
      <c r="BT876"/>
    </row>
    <row r="877" spans="1:72" s="23" customFormat="1" ht="18" customHeight="1" x14ac:dyDescent="0.3">
      <c r="A877" s="35" t="s">
        <v>867</v>
      </c>
      <c r="B877" s="37"/>
      <c r="C877" s="37"/>
      <c r="D877" s="37"/>
      <c r="E877" s="37"/>
      <c r="F877" s="35" t="s">
        <v>1875</v>
      </c>
      <c r="G877" s="37"/>
      <c r="H877" s="37"/>
      <c r="I877" s="37"/>
      <c r="J877" s="37"/>
      <c r="K877" s="21" t="str">
        <f t="shared" si="577"/>
        <v>Apprenant 865</v>
      </c>
      <c r="L877" s="22" t="str">
        <f t="shared" si="578"/>
        <v/>
      </c>
      <c r="M877" s="22" t="str">
        <f t="shared" si="579"/>
        <v/>
      </c>
      <c r="N877" s="22" t="str">
        <f t="shared" si="580"/>
        <v/>
      </c>
      <c r="O877" s="22" t="str">
        <f t="shared" si="581"/>
        <v/>
      </c>
      <c r="P877" s="21" t="str">
        <f t="shared" si="582"/>
        <v>Apprenant 865 ou 865'</v>
      </c>
      <c r="Q877" s="22" t="str">
        <f t="shared" si="583"/>
        <v/>
      </c>
      <c r="R877" s="22" t="str">
        <f t="shared" si="584"/>
        <v/>
      </c>
      <c r="S877" s="22" t="str">
        <f t="shared" si="585"/>
        <v/>
      </c>
      <c r="T877" s="22" t="str">
        <f t="shared" si="586"/>
        <v/>
      </c>
      <c r="V877" s="21" t="str">
        <f t="shared" si="587"/>
        <v>Apprenant 865</v>
      </c>
      <c r="W877" s="22" t="str">
        <f>IF(AND(OR('Choix pédagogiques'!$C$3=1,'Choix pédagogiques'!$C$3=2),$BM877=1),B877,IF(AND('Choix pédagogiques'!$C$3=3,$BO877=1),B877,""))</f>
        <v/>
      </c>
      <c r="X877" s="22" t="str">
        <f>IF(AND(OR('Choix pédagogiques'!$C$3=1,'Choix pédagogiques'!$C$3=2),$BM877=1),C877,IF(AND('Choix pédagogiques'!$C$3=3,$BO877=1),C877,""))</f>
        <v/>
      </c>
      <c r="Y877" s="22" t="str">
        <f>IF(AND(OR('Choix pédagogiques'!$C$3=1,'Choix pédagogiques'!$C$3=2),$BM877=1),D877,IF(AND('Choix pédagogiques'!$C$3=3,$BO877=1),D877,""))</f>
        <v/>
      </c>
      <c r="Z877" s="22" t="str">
        <f t="shared" si="588"/>
        <v/>
      </c>
      <c r="AA877" s="21" t="str">
        <f t="shared" si="589"/>
        <v>Apprenant 865 ou 865'</v>
      </c>
      <c r="AB877" s="22" t="str">
        <f>IF(AND(OR('Choix pédagogiques'!$C$3=1,'Choix pédagogiques'!$C$3=2),$BN877=1),G877,IF(AND('Choix pédagogiques'!$C$3=3,$BO877=1),G877,""))</f>
        <v/>
      </c>
      <c r="AC877" s="22" t="str">
        <f>IF(AND(OR('Choix pédagogiques'!$C$3=1,'Choix pédagogiques'!$C$3=2),$BN877=1),H877,IF(AND('Choix pédagogiques'!$C$3=3,$BO877=1),H877,""))</f>
        <v/>
      </c>
      <c r="AD877" s="22" t="str">
        <f>IF(AND(OR('Choix pédagogiques'!$C$3=1,'Choix pédagogiques'!$C$3=2),$BN877=1),I877,IF(AND('Choix pédagogiques'!$C$3=3,$BO877=1),I877,""))</f>
        <v/>
      </c>
      <c r="AE877" s="22" t="str">
        <f t="shared" si="590"/>
        <v/>
      </c>
      <c r="AF877" s="21" t="str">
        <f t="shared" si="591"/>
        <v>Apprenant 865</v>
      </c>
      <c r="AG877" s="22" t="str">
        <f t="shared" si="565"/>
        <v/>
      </c>
      <c r="AH877" s="22" t="str">
        <f t="shared" si="566"/>
        <v/>
      </c>
      <c r="AI877" s="22" t="str">
        <f t="shared" si="567"/>
        <v/>
      </c>
      <c r="AJ877" s="22" t="str">
        <f t="shared" si="592"/>
        <v/>
      </c>
      <c r="AK877" s="21" t="str">
        <f t="shared" si="593"/>
        <v>Apprenant 865 ou 865'</v>
      </c>
      <c r="AL877" s="22" t="str">
        <f t="shared" si="568"/>
        <v/>
      </c>
      <c r="AM877" s="22" t="str">
        <f t="shared" si="569"/>
        <v/>
      </c>
      <c r="AN877" s="22" t="str">
        <f t="shared" si="570"/>
        <v/>
      </c>
      <c r="AO877" s="22" t="str">
        <f t="shared" si="594"/>
        <v/>
      </c>
      <c r="AQ877" s="21" t="str">
        <f t="shared" si="595"/>
        <v>Apprenant 865</v>
      </c>
      <c r="AR877" s="49" t="str">
        <f>IF(AND('Choix pédagogiques'!$C$4&lt;&gt;"?",'Choix pédagogiques'!$C$5&lt;&gt;"?",W877&lt;&gt;""),(W877-'Choix pédagogiques'!$C$4)/('Choix pédagogiques'!$C$5-'Choix pédagogiques'!$C$4),"")</f>
        <v/>
      </c>
      <c r="AS877" s="49" t="str">
        <f>IF(AND('Choix pédagogiques'!$C$4&lt;&gt;"?",'Choix pédagogiques'!$C$5&lt;&gt;"?",X877&lt;&gt;""),(X877-'Choix pédagogiques'!$C$4)/('Choix pédagogiques'!$C$5-'Choix pédagogiques'!$C$4),"")</f>
        <v/>
      </c>
      <c r="AT877" s="49" t="str">
        <f>IF(AND('Choix pédagogiques'!$C$4&lt;&gt;"?",'Choix pédagogiques'!$C$5&lt;&gt;"?",Y877&lt;&gt;""),(Y877-'Choix pédagogiques'!$C$4)/('Choix pédagogiques'!$C$5-'Choix pédagogiques'!$C$4),"")</f>
        <v/>
      </c>
      <c r="AU877" s="22" t="str">
        <f t="shared" si="596"/>
        <v/>
      </c>
      <c r="AV877" s="21" t="str">
        <f t="shared" si="597"/>
        <v>Apprenant 865 ou 865'</v>
      </c>
      <c r="AW877" s="49" t="str">
        <f>IF(AND('Choix pédagogiques'!$C$4&lt;&gt;"?",'Choix pédagogiques'!$C$5&lt;&gt;"?",AB877&lt;&gt;""),(AB877-'Choix pédagogiques'!$C$4)/('Choix pédagogiques'!$C$5-'Choix pédagogiques'!$C$4),"")</f>
        <v/>
      </c>
      <c r="AX877" s="49" t="str">
        <f>IF(AND('Choix pédagogiques'!$C$4&lt;&gt;"?",'Choix pédagogiques'!$C$5&lt;&gt;"?",AC877&lt;&gt;""),(AC877-'Choix pédagogiques'!$C$4)/('Choix pédagogiques'!$C$5-'Choix pédagogiques'!$C$4),"")</f>
        <v/>
      </c>
      <c r="AY877" s="49" t="str">
        <f>IF(AND('Choix pédagogiques'!$C$4&lt;&gt;"?",'Choix pédagogiques'!$C$5&lt;&gt;"?",AD877&lt;&gt;""),(AD877-'Choix pédagogiques'!$C$4)/('Choix pédagogiques'!$C$5-'Choix pédagogiques'!$C$4),"")</f>
        <v/>
      </c>
      <c r="AZ877" s="22" t="str">
        <f t="shared" si="598"/>
        <v/>
      </c>
      <c r="BA877" s="21" t="str">
        <f t="shared" si="599"/>
        <v>Apprenant 865</v>
      </c>
      <c r="BB877" s="49" t="str">
        <f t="shared" si="571"/>
        <v/>
      </c>
      <c r="BC877" s="49" t="str">
        <f t="shared" si="572"/>
        <v/>
      </c>
      <c r="BD877" s="49" t="str">
        <f t="shared" si="573"/>
        <v/>
      </c>
      <c r="BE877" s="22" t="str">
        <f t="shared" si="600"/>
        <v/>
      </c>
      <c r="BF877" s="21" t="str">
        <f t="shared" si="601"/>
        <v>Apprenant 865 ou 865'</v>
      </c>
      <c r="BG877" s="49" t="str">
        <f t="shared" si="574"/>
        <v/>
      </c>
      <c r="BH877" s="49" t="str">
        <f t="shared" si="575"/>
        <v/>
      </c>
      <c r="BI877" s="49" t="str">
        <f t="shared" si="576"/>
        <v/>
      </c>
      <c r="BJ877" s="22" t="str">
        <f t="shared" si="602"/>
        <v/>
      </c>
      <c r="BL877" s="21"/>
      <c r="BM877" s="21" t="str">
        <f>IF(OR(COUNT(B877:D1876)=0,AND('Choix pédagogiques'!$C$3&lt;&gt;1,'Choix pédagogiques'!$C$3&lt;&gt;2)),"",IF(AND(OR('Choix pédagogiques'!$C$3=1,'Choix pédagogiques'!$C$3=2),$B877&lt;&gt;"",$C877&lt;&gt;"",$D877&lt;&gt;""),1,0))</f>
        <v/>
      </c>
      <c r="BN877" s="21" t="str">
        <f>IF(OR(COUNT(G877:I1876)=0,AND('Choix pédagogiques'!$C$3&lt;&gt;1,'Choix pédagogiques'!$C$3&lt;&gt;2)),"",IF(AND(OR('Choix pédagogiques'!$C$3=1,'Choix pédagogiques'!$C$3=2),AND($G877&lt;&gt;"",$H877&lt;&gt;"",$I877&lt;&gt;"")),1,0))</f>
        <v/>
      </c>
      <c r="BO877" s="21" t="str">
        <f>IF(OR(COUNT(B877:D1876)=0,COUNT(G877:I1876)=0,'Choix pédagogiques'!C$3&lt;&gt;3),"",IF(AND('Choix pédagogiques'!$C$3=3,$B877&lt;&gt;"",$C877&lt;&gt;"",$D877&lt;&gt;"",$G877&lt;&gt;"",$H877&lt;&gt;"",$I877&lt;&gt;""),1,0))</f>
        <v/>
      </c>
      <c r="BR877" s="21">
        <v>256</v>
      </c>
      <c r="BS877" s="21">
        <v>1883</v>
      </c>
      <c r="BT877"/>
    </row>
    <row r="878" spans="1:72" s="23" customFormat="1" ht="18" customHeight="1" x14ac:dyDescent="0.3">
      <c r="A878" s="35" t="s">
        <v>868</v>
      </c>
      <c r="B878" s="37"/>
      <c r="C878" s="37"/>
      <c r="D878" s="37"/>
      <c r="E878" s="37"/>
      <c r="F878" s="35" t="s">
        <v>1876</v>
      </c>
      <c r="G878" s="37"/>
      <c r="H878" s="37"/>
      <c r="I878" s="37"/>
      <c r="J878" s="37"/>
      <c r="K878" s="21" t="str">
        <f t="shared" si="577"/>
        <v>Apprenant 866</v>
      </c>
      <c r="L878" s="22" t="str">
        <f t="shared" si="578"/>
        <v/>
      </c>
      <c r="M878" s="22" t="str">
        <f t="shared" si="579"/>
        <v/>
      </c>
      <c r="N878" s="22" t="str">
        <f t="shared" si="580"/>
        <v/>
      </c>
      <c r="O878" s="22" t="str">
        <f t="shared" si="581"/>
        <v/>
      </c>
      <c r="P878" s="21" t="str">
        <f t="shared" si="582"/>
        <v>Apprenant 866 ou 866'</v>
      </c>
      <c r="Q878" s="22" t="str">
        <f t="shared" si="583"/>
        <v/>
      </c>
      <c r="R878" s="22" t="str">
        <f t="shared" si="584"/>
        <v/>
      </c>
      <c r="S878" s="22" t="str">
        <f t="shared" si="585"/>
        <v/>
      </c>
      <c r="T878" s="22" t="str">
        <f t="shared" si="586"/>
        <v/>
      </c>
      <c r="V878" s="21" t="str">
        <f t="shared" si="587"/>
        <v>Apprenant 866</v>
      </c>
      <c r="W878" s="22" t="str">
        <f>IF(AND(OR('Choix pédagogiques'!$C$3=1,'Choix pédagogiques'!$C$3=2),$BM878=1),B878,IF(AND('Choix pédagogiques'!$C$3=3,$BO878=1),B878,""))</f>
        <v/>
      </c>
      <c r="X878" s="22" t="str">
        <f>IF(AND(OR('Choix pédagogiques'!$C$3=1,'Choix pédagogiques'!$C$3=2),$BM878=1),C878,IF(AND('Choix pédagogiques'!$C$3=3,$BO878=1),C878,""))</f>
        <v/>
      </c>
      <c r="Y878" s="22" t="str">
        <f>IF(AND(OR('Choix pédagogiques'!$C$3=1,'Choix pédagogiques'!$C$3=2),$BM878=1),D878,IF(AND('Choix pédagogiques'!$C$3=3,$BO878=1),D878,""))</f>
        <v/>
      </c>
      <c r="Z878" s="22" t="str">
        <f t="shared" si="588"/>
        <v/>
      </c>
      <c r="AA878" s="21" t="str">
        <f t="shared" si="589"/>
        <v>Apprenant 866 ou 866'</v>
      </c>
      <c r="AB878" s="22" t="str">
        <f>IF(AND(OR('Choix pédagogiques'!$C$3=1,'Choix pédagogiques'!$C$3=2),$BN878=1),G878,IF(AND('Choix pédagogiques'!$C$3=3,$BO878=1),G878,""))</f>
        <v/>
      </c>
      <c r="AC878" s="22" t="str">
        <f>IF(AND(OR('Choix pédagogiques'!$C$3=1,'Choix pédagogiques'!$C$3=2),$BN878=1),H878,IF(AND('Choix pédagogiques'!$C$3=3,$BO878=1),H878,""))</f>
        <v/>
      </c>
      <c r="AD878" s="22" t="str">
        <f>IF(AND(OR('Choix pédagogiques'!$C$3=1,'Choix pédagogiques'!$C$3=2),$BN878=1),I878,IF(AND('Choix pédagogiques'!$C$3=3,$BO878=1),I878,""))</f>
        <v/>
      </c>
      <c r="AE878" s="22" t="str">
        <f t="shared" si="590"/>
        <v/>
      </c>
      <c r="AF878" s="21" t="str">
        <f t="shared" si="591"/>
        <v>Apprenant 866</v>
      </c>
      <c r="AG878" s="22" t="str">
        <f t="shared" si="565"/>
        <v/>
      </c>
      <c r="AH878" s="22" t="str">
        <f t="shared" si="566"/>
        <v/>
      </c>
      <c r="AI878" s="22" t="str">
        <f t="shared" si="567"/>
        <v/>
      </c>
      <c r="AJ878" s="22" t="str">
        <f t="shared" si="592"/>
        <v/>
      </c>
      <c r="AK878" s="21" t="str">
        <f t="shared" si="593"/>
        <v>Apprenant 866 ou 866'</v>
      </c>
      <c r="AL878" s="22" t="str">
        <f t="shared" si="568"/>
        <v/>
      </c>
      <c r="AM878" s="22" t="str">
        <f t="shared" si="569"/>
        <v/>
      </c>
      <c r="AN878" s="22" t="str">
        <f t="shared" si="570"/>
        <v/>
      </c>
      <c r="AO878" s="22" t="str">
        <f t="shared" si="594"/>
        <v/>
      </c>
      <c r="AQ878" s="21" t="str">
        <f t="shared" si="595"/>
        <v>Apprenant 866</v>
      </c>
      <c r="AR878" s="49" t="str">
        <f>IF(AND('Choix pédagogiques'!$C$4&lt;&gt;"?",'Choix pédagogiques'!$C$5&lt;&gt;"?",W878&lt;&gt;""),(W878-'Choix pédagogiques'!$C$4)/('Choix pédagogiques'!$C$5-'Choix pédagogiques'!$C$4),"")</f>
        <v/>
      </c>
      <c r="AS878" s="49" t="str">
        <f>IF(AND('Choix pédagogiques'!$C$4&lt;&gt;"?",'Choix pédagogiques'!$C$5&lt;&gt;"?",X878&lt;&gt;""),(X878-'Choix pédagogiques'!$C$4)/('Choix pédagogiques'!$C$5-'Choix pédagogiques'!$C$4),"")</f>
        <v/>
      </c>
      <c r="AT878" s="49" t="str">
        <f>IF(AND('Choix pédagogiques'!$C$4&lt;&gt;"?",'Choix pédagogiques'!$C$5&lt;&gt;"?",Y878&lt;&gt;""),(Y878-'Choix pédagogiques'!$C$4)/('Choix pédagogiques'!$C$5-'Choix pédagogiques'!$C$4),"")</f>
        <v/>
      </c>
      <c r="AU878" s="22" t="str">
        <f t="shared" si="596"/>
        <v/>
      </c>
      <c r="AV878" s="21" t="str">
        <f t="shared" si="597"/>
        <v>Apprenant 866 ou 866'</v>
      </c>
      <c r="AW878" s="49" t="str">
        <f>IF(AND('Choix pédagogiques'!$C$4&lt;&gt;"?",'Choix pédagogiques'!$C$5&lt;&gt;"?",AB878&lt;&gt;""),(AB878-'Choix pédagogiques'!$C$4)/('Choix pédagogiques'!$C$5-'Choix pédagogiques'!$C$4),"")</f>
        <v/>
      </c>
      <c r="AX878" s="49" t="str">
        <f>IF(AND('Choix pédagogiques'!$C$4&lt;&gt;"?",'Choix pédagogiques'!$C$5&lt;&gt;"?",AC878&lt;&gt;""),(AC878-'Choix pédagogiques'!$C$4)/('Choix pédagogiques'!$C$5-'Choix pédagogiques'!$C$4),"")</f>
        <v/>
      </c>
      <c r="AY878" s="49" t="str">
        <f>IF(AND('Choix pédagogiques'!$C$4&lt;&gt;"?",'Choix pédagogiques'!$C$5&lt;&gt;"?",AD878&lt;&gt;""),(AD878-'Choix pédagogiques'!$C$4)/('Choix pédagogiques'!$C$5-'Choix pédagogiques'!$C$4),"")</f>
        <v/>
      </c>
      <c r="AZ878" s="22" t="str">
        <f t="shared" si="598"/>
        <v/>
      </c>
      <c r="BA878" s="21" t="str">
        <f t="shared" si="599"/>
        <v>Apprenant 866</v>
      </c>
      <c r="BB878" s="49" t="str">
        <f t="shared" si="571"/>
        <v/>
      </c>
      <c r="BC878" s="49" t="str">
        <f t="shared" si="572"/>
        <v/>
      </c>
      <c r="BD878" s="49" t="str">
        <f t="shared" si="573"/>
        <v/>
      </c>
      <c r="BE878" s="22" t="str">
        <f t="shared" si="600"/>
        <v/>
      </c>
      <c r="BF878" s="21" t="str">
        <f t="shared" si="601"/>
        <v>Apprenant 866 ou 866'</v>
      </c>
      <c r="BG878" s="49" t="str">
        <f t="shared" si="574"/>
        <v/>
      </c>
      <c r="BH878" s="49" t="str">
        <f t="shared" si="575"/>
        <v/>
      </c>
      <c r="BI878" s="49" t="str">
        <f t="shared" si="576"/>
        <v/>
      </c>
      <c r="BJ878" s="22" t="str">
        <f t="shared" si="602"/>
        <v/>
      </c>
      <c r="BL878" s="21"/>
      <c r="BM878" s="21" t="str">
        <f>IF(OR(COUNT(B878:D1877)=0,AND('Choix pédagogiques'!$C$3&lt;&gt;1,'Choix pédagogiques'!$C$3&lt;&gt;2)),"",IF(AND(OR('Choix pédagogiques'!$C$3=1,'Choix pédagogiques'!$C$3=2),$B878&lt;&gt;"",$C878&lt;&gt;"",$D878&lt;&gt;""),1,0))</f>
        <v/>
      </c>
      <c r="BN878" s="21" t="str">
        <f>IF(OR(COUNT(G878:I1877)=0,AND('Choix pédagogiques'!$C$3&lt;&gt;1,'Choix pédagogiques'!$C$3&lt;&gt;2)),"",IF(AND(OR('Choix pédagogiques'!$C$3=1,'Choix pédagogiques'!$C$3=2),AND($G878&lt;&gt;"",$H878&lt;&gt;"",$I878&lt;&gt;"")),1,0))</f>
        <v/>
      </c>
      <c r="BO878" s="21" t="str">
        <f>IF(OR(COUNT(B878:D1877)=0,COUNT(G878:I1877)=0,'Choix pédagogiques'!C$3&lt;&gt;3),"",IF(AND('Choix pédagogiques'!$C$3=3,$B878&lt;&gt;"",$C878&lt;&gt;"",$D878&lt;&gt;"",$G878&lt;&gt;"",$H878&lt;&gt;"",$I878&lt;&gt;""),1,0))</f>
        <v/>
      </c>
      <c r="BR878" s="21">
        <v>893</v>
      </c>
      <c r="BS878" s="21">
        <v>1585</v>
      </c>
      <c r="BT878"/>
    </row>
    <row r="879" spans="1:72" s="23" customFormat="1" ht="18" customHeight="1" x14ac:dyDescent="0.3">
      <c r="A879" s="35" t="s">
        <v>869</v>
      </c>
      <c r="B879" s="37"/>
      <c r="C879" s="37"/>
      <c r="D879" s="37"/>
      <c r="E879" s="37"/>
      <c r="F879" s="35" t="s">
        <v>1877</v>
      </c>
      <c r="G879" s="37"/>
      <c r="H879" s="37"/>
      <c r="I879" s="37"/>
      <c r="J879" s="37"/>
      <c r="K879" s="21" t="str">
        <f t="shared" si="577"/>
        <v>Apprenant 867</v>
      </c>
      <c r="L879" s="22" t="str">
        <f t="shared" si="578"/>
        <v/>
      </c>
      <c r="M879" s="22" t="str">
        <f t="shared" si="579"/>
        <v/>
      </c>
      <c r="N879" s="22" t="str">
        <f t="shared" si="580"/>
        <v/>
      </c>
      <c r="O879" s="22" t="str">
        <f t="shared" si="581"/>
        <v/>
      </c>
      <c r="P879" s="21" t="str">
        <f t="shared" si="582"/>
        <v>Apprenant 867 ou 867'</v>
      </c>
      <c r="Q879" s="22" t="str">
        <f t="shared" si="583"/>
        <v/>
      </c>
      <c r="R879" s="22" t="str">
        <f t="shared" si="584"/>
        <v/>
      </c>
      <c r="S879" s="22" t="str">
        <f t="shared" si="585"/>
        <v/>
      </c>
      <c r="T879" s="22" t="str">
        <f t="shared" si="586"/>
        <v/>
      </c>
      <c r="V879" s="21" t="str">
        <f t="shared" si="587"/>
        <v>Apprenant 867</v>
      </c>
      <c r="W879" s="22" t="str">
        <f>IF(AND(OR('Choix pédagogiques'!$C$3=1,'Choix pédagogiques'!$C$3=2),$BM879=1),B879,IF(AND('Choix pédagogiques'!$C$3=3,$BO879=1),B879,""))</f>
        <v/>
      </c>
      <c r="X879" s="22" t="str">
        <f>IF(AND(OR('Choix pédagogiques'!$C$3=1,'Choix pédagogiques'!$C$3=2),$BM879=1),C879,IF(AND('Choix pédagogiques'!$C$3=3,$BO879=1),C879,""))</f>
        <v/>
      </c>
      <c r="Y879" s="22" t="str">
        <f>IF(AND(OR('Choix pédagogiques'!$C$3=1,'Choix pédagogiques'!$C$3=2),$BM879=1),D879,IF(AND('Choix pédagogiques'!$C$3=3,$BO879=1),D879,""))</f>
        <v/>
      </c>
      <c r="Z879" s="22" t="str">
        <f t="shared" si="588"/>
        <v/>
      </c>
      <c r="AA879" s="21" t="str">
        <f t="shared" si="589"/>
        <v>Apprenant 867 ou 867'</v>
      </c>
      <c r="AB879" s="22" t="str">
        <f>IF(AND(OR('Choix pédagogiques'!$C$3=1,'Choix pédagogiques'!$C$3=2),$BN879=1),G879,IF(AND('Choix pédagogiques'!$C$3=3,$BO879=1),G879,""))</f>
        <v/>
      </c>
      <c r="AC879" s="22" t="str">
        <f>IF(AND(OR('Choix pédagogiques'!$C$3=1,'Choix pédagogiques'!$C$3=2),$BN879=1),H879,IF(AND('Choix pédagogiques'!$C$3=3,$BO879=1),H879,""))</f>
        <v/>
      </c>
      <c r="AD879" s="22" t="str">
        <f>IF(AND(OR('Choix pédagogiques'!$C$3=1,'Choix pédagogiques'!$C$3=2),$BN879=1),I879,IF(AND('Choix pédagogiques'!$C$3=3,$BO879=1),I879,""))</f>
        <v/>
      </c>
      <c r="AE879" s="22" t="str">
        <f t="shared" si="590"/>
        <v/>
      </c>
      <c r="AF879" s="21" t="str">
        <f t="shared" si="591"/>
        <v>Apprenant 867</v>
      </c>
      <c r="AG879" s="22" t="str">
        <f t="shared" si="565"/>
        <v/>
      </c>
      <c r="AH879" s="22" t="str">
        <f t="shared" si="566"/>
        <v/>
      </c>
      <c r="AI879" s="22" t="str">
        <f t="shared" si="567"/>
        <v/>
      </c>
      <c r="AJ879" s="22" t="str">
        <f t="shared" si="592"/>
        <v/>
      </c>
      <c r="AK879" s="21" t="str">
        <f t="shared" si="593"/>
        <v>Apprenant 867 ou 867'</v>
      </c>
      <c r="AL879" s="22" t="str">
        <f t="shared" si="568"/>
        <v/>
      </c>
      <c r="AM879" s="22" t="str">
        <f t="shared" si="569"/>
        <v/>
      </c>
      <c r="AN879" s="22" t="str">
        <f t="shared" si="570"/>
        <v/>
      </c>
      <c r="AO879" s="22" t="str">
        <f t="shared" si="594"/>
        <v/>
      </c>
      <c r="AQ879" s="21" t="str">
        <f t="shared" si="595"/>
        <v>Apprenant 867</v>
      </c>
      <c r="AR879" s="49" t="str">
        <f>IF(AND('Choix pédagogiques'!$C$4&lt;&gt;"?",'Choix pédagogiques'!$C$5&lt;&gt;"?",W879&lt;&gt;""),(W879-'Choix pédagogiques'!$C$4)/('Choix pédagogiques'!$C$5-'Choix pédagogiques'!$C$4),"")</f>
        <v/>
      </c>
      <c r="AS879" s="49" t="str">
        <f>IF(AND('Choix pédagogiques'!$C$4&lt;&gt;"?",'Choix pédagogiques'!$C$5&lt;&gt;"?",X879&lt;&gt;""),(X879-'Choix pédagogiques'!$C$4)/('Choix pédagogiques'!$C$5-'Choix pédagogiques'!$C$4),"")</f>
        <v/>
      </c>
      <c r="AT879" s="49" t="str">
        <f>IF(AND('Choix pédagogiques'!$C$4&lt;&gt;"?",'Choix pédagogiques'!$C$5&lt;&gt;"?",Y879&lt;&gt;""),(Y879-'Choix pédagogiques'!$C$4)/('Choix pédagogiques'!$C$5-'Choix pédagogiques'!$C$4),"")</f>
        <v/>
      </c>
      <c r="AU879" s="22" t="str">
        <f t="shared" si="596"/>
        <v/>
      </c>
      <c r="AV879" s="21" t="str">
        <f t="shared" si="597"/>
        <v>Apprenant 867 ou 867'</v>
      </c>
      <c r="AW879" s="49" t="str">
        <f>IF(AND('Choix pédagogiques'!$C$4&lt;&gt;"?",'Choix pédagogiques'!$C$5&lt;&gt;"?",AB879&lt;&gt;""),(AB879-'Choix pédagogiques'!$C$4)/('Choix pédagogiques'!$C$5-'Choix pédagogiques'!$C$4),"")</f>
        <v/>
      </c>
      <c r="AX879" s="49" t="str">
        <f>IF(AND('Choix pédagogiques'!$C$4&lt;&gt;"?",'Choix pédagogiques'!$C$5&lt;&gt;"?",AC879&lt;&gt;""),(AC879-'Choix pédagogiques'!$C$4)/('Choix pédagogiques'!$C$5-'Choix pédagogiques'!$C$4),"")</f>
        <v/>
      </c>
      <c r="AY879" s="49" t="str">
        <f>IF(AND('Choix pédagogiques'!$C$4&lt;&gt;"?",'Choix pédagogiques'!$C$5&lt;&gt;"?",AD879&lt;&gt;""),(AD879-'Choix pédagogiques'!$C$4)/('Choix pédagogiques'!$C$5-'Choix pédagogiques'!$C$4),"")</f>
        <v/>
      </c>
      <c r="AZ879" s="22" t="str">
        <f t="shared" si="598"/>
        <v/>
      </c>
      <c r="BA879" s="21" t="str">
        <f t="shared" si="599"/>
        <v>Apprenant 867</v>
      </c>
      <c r="BB879" s="49" t="str">
        <f t="shared" si="571"/>
        <v/>
      </c>
      <c r="BC879" s="49" t="str">
        <f t="shared" si="572"/>
        <v/>
      </c>
      <c r="BD879" s="49" t="str">
        <f t="shared" si="573"/>
        <v/>
      </c>
      <c r="BE879" s="22" t="str">
        <f t="shared" si="600"/>
        <v/>
      </c>
      <c r="BF879" s="21" t="str">
        <f t="shared" si="601"/>
        <v>Apprenant 867 ou 867'</v>
      </c>
      <c r="BG879" s="49" t="str">
        <f t="shared" si="574"/>
        <v/>
      </c>
      <c r="BH879" s="49" t="str">
        <f t="shared" si="575"/>
        <v/>
      </c>
      <c r="BI879" s="49" t="str">
        <f t="shared" si="576"/>
        <v/>
      </c>
      <c r="BJ879" s="22" t="str">
        <f t="shared" si="602"/>
        <v/>
      </c>
      <c r="BL879" s="21"/>
      <c r="BM879" s="21" t="str">
        <f>IF(OR(COUNT(B879:D1878)=0,AND('Choix pédagogiques'!$C$3&lt;&gt;1,'Choix pédagogiques'!$C$3&lt;&gt;2)),"",IF(AND(OR('Choix pédagogiques'!$C$3=1,'Choix pédagogiques'!$C$3=2),$B879&lt;&gt;"",$C879&lt;&gt;"",$D879&lt;&gt;""),1,0))</f>
        <v/>
      </c>
      <c r="BN879" s="21" t="str">
        <f>IF(OR(COUNT(G879:I1878)=0,AND('Choix pédagogiques'!$C$3&lt;&gt;1,'Choix pédagogiques'!$C$3&lt;&gt;2)),"",IF(AND(OR('Choix pédagogiques'!$C$3=1,'Choix pédagogiques'!$C$3=2),AND($G879&lt;&gt;"",$H879&lt;&gt;"",$I879&lt;&gt;"")),1,0))</f>
        <v/>
      </c>
      <c r="BO879" s="21" t="str">
        <f>IF(OR(COUNT(B879:D1878)=0,COUNT(G879:I1878)=0,'Choix pédagogiques'!C$3&lt;&gt;3),"",IF(AND('Choix pédagogiques'!$C$3=3,$B879&lt;&gt;"",$C879&lt;&gt;"",$D879&lt;&gt;"",$G879&lt;&gt;"",$H879&lt;&gt;"",$I879&lt;&gt;""),1,0))</f>
        <v/>
      </c>
      <c r="BR879" s="21">
        <v>254</v>
      </c>
      <c r="BS879" s="21">
        <v>1115</v>
      </c>
      <c r="BT879"/>
    </row>
    <row r="880" spans="1:72" s="23" customFormat="1" ht="18" customHeight="1" x14ac:dyDescent="0.3">
      <c r="A880" s="35" t="s">
        <v>870</v>
      </c>
      <c r="B880" s="37"/>
      <c r="C880" s="37"/>
      <c r="D880" s="37"/>
      <c r="E880" s="37"/>
      <c r="F880" s="35" t="s">
        <v>1878</v>
      </c>
      <c r="G880" s="37"/>
      <c r="H880" s="37"/>
      <c r="I880" s="37"/>
      <c r="J880" s="37"/>
      <c r="K880" s="21" t="str">
        <f t="shared" si="577"/>
        <v>Apprenant 868</v>
      </c>
      <c r="L880" s="22" t="str">
        <f t="shared" si="578"/>
        <v/>
      </c>
      <c r="M880" s="22" t="str">
        <f t="shared" si="579"/>
        <v/>
      </c>
      <c r="N880" s="22" t="str">
        <f t="shared" si="580"/>
        <v/>
      </c>
      <c r="O880" s="22" t="str">
        <f t="shared" si="581"/>
        <v/>
      </c>
      <c r="P880" s="21" t="str">
        <f t="shared" si="582"/>
        <v>Apprenant 868 ou 868'</v>
      </c>
      <c r="Q880" s="22" t="str">
        <f t="shared" si="583"/>
        <v/>
      </c>
      <c r="R880" s="22" t="str">
        <f t="shared" si="584"/>
        <v/>
      </c>
      <c r="S880" s="22" t="str">
        <f t="shared" si="585"/>
        <v/>
      </c>
      <c r="T880" s="22" t="str">
        <f t="shared" si="586"/>
        <v/>
      </c>
      <c r="V880" s="21" t="str">
        <f t="shared" si="587"/>
        <v>Apprenant 868</v>
      </c>
      <c r="W880" s="22" t="str">
        <f>IF(AND(OR('Choix pédagogiques'!$C$3=1,'Choix pédagogiques'!$C$3=2),$BM880=1),B880,IF(AND('Choix pédagogiques'!$C$3=3,$BO880=1),B880,""))</f>
        <v/>
      </c>
      <c r="X880" s="22" t="str">
        <f>IF(AND(OR('Choix pédagogiques'!$C$3=1,'Choix pédagogiques'!$C$3=2),$BM880=1),C880,IF(AND('Choix pédagogiques'!$C$3=3,$BO880=1),C880,""))</f>
        <v/>
      </c>
      <c r="Y880" s="22" t="str">
        <f>IF(AND(OR('Choix pédagogiques'!$C$3=1,'Choix pédagogiques'!$C$3=2),$BM880=1),D880,IF(AND('Choix pédagogiques'!$C$3=3,$BO880=1),D880,""))</f>
        <v/>
      </c>
      <c r="Z880" s="22" t="str">
        <f t="shared" si="588"/>
        <v/>
      </c>
      <c r="AA880" s="21" t="str">
        <f t="shared" si="589"/>
        <v>Apprenant 868 ou 868'</v>
      </c>
      <c r="AB880" s="22" t="str">
        <f>IF(AND(OR('Choix pédagogiques'!$C$3=1,'Choix pédagogiques'!$C$3=2),$BN880=1),G880,IF(AND('Choix pédagogiques'!$C$3=3,$BO880=1),G880,""))</f>
        <v/>
      </c>
      <c r="AC880" s="22" t="str">
        <f>IF(AND(OR('Choix pédagogiques'!$C$3=1,'Choix pédagogiques'!$C$3=2),$BN880=1),H880,IF(AND('Choix pédagogiques'!$C$3=3,$BO880=1),H880,""))</f>
        <v/>
      </c>
      <c r="AD880" s="22" t="str">
        <f>IF(AND(OR('Choix pédagogiques'!$C$3=1,'Choix pédagogiques'!$C$3=2),$BN880=1),I880,IF(AND('Choix pédagogiques'!$C$3=3,$BO880=1),I880,""))</f>
        <v/>
      </c>
      <c r="AE880" s="22" t="str">
        <f t="shared" si="590"/>
        <v/>
      </c>
      <c r="AF880" s="21" t="str">
        <f t="shared" si="591"/>
        <v>Apprenant 868</v>
      </c>
      <c r="AG880" s="22" t="str">
        <f t="shared" si="565"/>
        <v/>
      </c>
      <c r="AH880" s="22" t="str">
        <f t="shared" si="566"/>
        <v/>
      </c>
      <c r="AI880" s="22" t="str">
        <f t="shared" si="567"/>
        <v/>
      </c>
      <c r="AJ880" s="22" t="str">
        <f t="shared" si="592"/>
        <v/>
      </c>
      <c r="AK880" s="21" t="str">
        <f t="shared" si="593"/>
        <v>Apprenant 868 ou 868'</v>
      </c>
      <c r="AL880" s="22" t="str">
        <f t="shared" si="568"/>
        <v/>
      </c>
      <c r="AM880" s="22" t="str">
        <f t="shared" si="569"/>
        <v/>
      </c>
      <c r="AN880" s="22" t="str">
        <f t="shared" si="570"/>
        <v/>
      </c>
      <c r="AO880" s="22" t="str">
        <f t="shared" si="594"/>
        <v/>
      </c>
      <c r="AQ880" s="21" t="str">
        <f t="shared" si="595"/>
        <v>Apprenant 868</v>
      </c>
      <c r="AR880" s="49" t="str">
        <f>IF(AND('Choix pédagogiques'!$C$4&lt;&gt;"?",'Choix pédagogiques'!$C$5&lt;&gt;"?",W880&lt;&gt;""),(W880-'Choix pédagogiques'!$C$4)/('Choix pédagogiques'!$C$5-'Choix pédagogiques'!$C$4),"")</f>
        <v/>
      </c>
      <c r="AS880" s="49" t="str">
        <f>IF(AND('Choix pédagogiques'!$C$4&lt;&gt;"?",'Choix pédagogiques'!$C$5&lt;&gt;"?",X880&lt;&gt;""),(X880-'Choix pédagogiques'!$C$4)/('Choix pédagogiques'!$C$5-'Choix pédagogiques'!$C$4),"")</f>
        <v/>
      </c>
      <c r="AT880" s="49" t="str">
        <f>IF(AND('Choix pédagogiques'!$C$4&lt;&gt;"?",'Choix pédagogiques'!$C$5&lt;&gt;"?",Y880&lt;&gt;""),(Y880-'Choix pédagogiques'!$C$4)/('Choix pédagogiques'!$C$5-'Choix pédagogiques'!$C$4),"")</f>
        <v/>
      </c>
      <c r="AU880" s="22" t="str">
        <f t="shared" si="596"/>
        <v/>
      </c>
      <c r="AV880" s="21" t="str">
        <f t="shared" si="597"/>
        <v>Apprenant 868 ou 868'</v>
      </c>
      <c r="AW880" s="49" t="str">
        <f>IF(AND('Choix pédagogiques'!$C$4&lt;&gt;"?",'Choix pédagogiques'!$C$5&lt;&gt;"?",AB880&lt;&gt;""),(AB880-'Choix pédagogiques'!$C$4)/('Choix pédagogiques'!$C$5-'Choix pédagogiques'!$C$4),"")</f>
        <v/>
      </c>
      <c r="AX880" s="49" t="str">
        <f>IF(AND('Choix pédagogiques'!$C$4&lt;&gt;"?",'Choix pédagogiques'!$C$5&lt;&gt;"?",AC880&lt;&gt;""),(AC880-'Choix pédagogiques'!$C$4)/('Choix pédagogiques'!$C$5-'Choix pédagogiques'!$C$4),"")</f>
        <v/>
      </c>
      <c r="AY880" s="49" t="str">
        <f>IF(AND('Choix pédagogiques'!$C$4&lt;&gt;"?",'Choix pédagogiques'!$C$5&lt;&gt;"?",AD880&lt;&gt;""),(AD880-'Choix pédagogiques'!$C$4)/('Choix pédagogiques'!$C$5-'Choix pédagogiques'!$C$4),"")</f>
        <v/>
      </c>
      <c r="AZ880" s="22" t="str">
        <f t="shared" si="598"/>
        <v/>
      </c>
      <c r="BA880" s="21" t="str">
        <f t="shared" si="599"/>
        <v>Apprenant 868</v>
      </c>
      <c r="BB880" s="49" t="str">
        <f t="shared" si="571"/>
        <v/>
      </c>
      <c r="BC880" s="49" t="str">
        <f t="shared" si="572"/>
        <v/>
      </c>
      <c r="BD880" s="49" t="str">
        <f t="shared" si="573"/>
        <v/>
      </c>
      <c r="BE880" s="22" t="str">
        <f t="shared" si="600"/>
        <v/>
      </c>
      <c r="BF880" s="21" t="str">
        <f t="shared" si="601"/>
        <v>Apprenant 868 ou 868'</v>
      </c>
      <c r="BG880" s="49" t="str">
        <f t="shared" si="574"/>
        <v/>
      </c>
      <c r="BH880" s="49" t="str">
        <f t="shared" si="575"/>
        <v/>
      </c>
      <c r="BI880" s="49" t="str">
        <f t="shared" si="576"/>
        <v/>
      </c>
      <c r="BJ880" s="22" t="str">
        <f t="shared" si="602"/>
        <v/>
      </c>
      <c r="BL880" s="21"/>
      <c r="BM880" s="21" t="str">
        <f>IF(OR(COUNT(B880:D1879)=0,AND('Choix pédagogiques'!$C$3&lt;&gt;1,'Choix pédagogiques'!$C$3&lt;&gt;2)),"",IF(AND(OR('Choix pédagogiques'!$C$3=1,'Choix pédagogiques'!$C$3=2),$B880&lt;&gt;"",$C880&lt;&gt;"",$D880&lt;&gt;""),1,0))</f>
        <v/>
      </c>
      <c r="BN880" s="21" t="str">
        <f>IF(OR(COUNT(G880:I1879)=0,AND('Choix pédagogiques'!$C$3&lt;&gt;1,'Choix pédagogiques'!$C$3&lt;&gt;2)),"",IF(AND(OR('Choix pédagogiques'!$C$3=1,'Choix pédagogiques'!$C$3=2),AND($G880&lt;&gt;"",$H880&lt;&gt;"",$I880&lt;&gt;"")),1,0))</f>
        <v/>
      </c>
      <c r="BO880" s="21" t="str">
        <f>IF(OR(COUNT(B880:D1879)=0,COUNT(G880:I1879)=0,'Choix pédagogiques'!C$3&lt;&gt;3),"",IF(AND('Choix pédagogiques'!$C$3=3,$B880&lt;&gt;"",$C880&lt;&gt;"",$D880&lt;&gt;"",$G880&lt;&gt;"",$H880&lt;&gt;"",$I880&lt;&gt;""),1,0))</f>
        <v/>
      </c>
      <c r="BR880" s="21">
        <v>672</v>
      </c>
      <c r="BS880" s="21">
        <v>1156</v>
      </c>
      <c r="BT880"/>
    </row>
    <row r="881" spans="1:72" s="23" customFormat="1" ht="18" customHeight="1" x14ac:dyDescent="0.3">
      <c r="A881" s="35" t="s">
        <v>871</v>
      </c>
      <c r="B881" s="37"/>
      <c r="C881" s="37"/>
      <c r="D881" s="37"/>
      <c r="E881" s="37"/>
      <c r="F881" s="35" t="s">
        <v>1879</v>
      </c>
      <c r="G881" s="37"/>
      <c r="H881" s="37"/>
      <c r="I881" s="37"/>
      <c r="J881" s="37"/>
      <c r="K881" s="21" t="str">
        <f t="shared" si="577"/>
        <v>Apprenant 869</v>
      </c>
      <c r="L881" s="22" t="str">
        <f t="shared" si="578"/>
        <v/>
      </c>
      <c r="M881" s="22" t="str">
        <f t="shared" si="579"/>
        <v/>
      </c>
      <c r="N881" s="22" t="str">
        <f t="shared" si="580"/>
        <v/>
      </c>
      <c r="O881" s="22" t="str">
        <f t="shared" si="581"/>
        <v/>
      </c>
      <c r="P881" s="21" t="str">
        <f t="shared" si="582"/>
        <v>Apprenant 869 ou 869'</v>
      </c>
      <c r="Q881" s="22" t="str">
        <f t="shared" si="583"/>
        <v/>
      </c>
      <c r="R881" s="22" t="str">
        <f t="shared" si="584"/>
        <v/>
      </c>
      <c r="S881" s="22" t="str">
        <f t="shared" si="585"/>
        <v/>
      </c>
      <c r="T881" s="22" t="str">
        <f t="shared" si="586"/>
        <v/>
      </c>
      <c r="V881" s="21" t="str">
        <f t="shared" si="587"/>
        <v>Apprenant 869</v>
      </c>
      <c r="W881" s="22" t="str">
        <f>IF(AND(OR('Choix pédagogiques'!$C$3=1,'Choix pédagogiques'!$C$3=2),$BM881=1),B881,IF(AND('Choix pédagogiques'!$C$3=3,$BO881=1),B881,""))</f>
        <v/>
      </c>
      <c r="X881" s="22" t="str">
        <f>IF(AND(OR('Choix pédagogiques'!$C$3=1,'Choix pédagogiques'!$C$3=2),$BM881=1),C881,IF(AND('Choix pédagogiques'!$C$3=3,$BO881=1),C881,""))</f>
        <v/>
      </c>
      <c r="Y881" s="22" t="str">
        <f>IF(AND(OR('Choix pédagogiques'!$C$3=1,'Choix pédagogiques'!$C$3=2),$BM881=1),D881,IF(AND('Choix pédagogiques'!$C$3=3,$BO881=1),D881,""))</f>
        <v/>
      </c>
      <c r="Z881" s="22" t="str">
        <f t="shared" si="588"/>
        <v/>
      </c>
      <c r="AA881" s="21" t="str">
        <f t="shared" si="589"/>
        <v>Apprenant 869 ou 869'</v>
      </c>
      <c r="AB881" s="22" t="str">
        <f>IF(AND(OR('Choix pédagogiques'!$C$3=1,'Choix pédagogiques'!$C$3=2),$BN881=1),G881,IF(AND('Choix pédagogiques'!$C$3=3,$BO881=1),G881,""))</f>
        <v/>
      </c>
      <c r="AC881" s="22" t="str">
        <f>IF(AND(OR('Choix pédagogiques'!$C$3=1,'Choix pédagogiques'!$C$3=2),$BN881=1),H881,IF(AND('Choix pédagogiques'!$C$3=3,$BO881=1),H881,""))</f>
        <v/>
      </c>
      <c r="AD881" s="22" t="str">
        <f>IF(AND(OR('Choix pédagogiques'!$C$3=1,'Choix pédagogiques'!$C$3=2),$BN881=1),I881,IF(AND('Choix pédagogiques'!$C$3=3,$BO881=1),I881,""))</f>
        <v/>
      </c>
      <c r="AE881" s="22" t="str">
        <f t="shared" si="590"/>
        <v/>
      </c>
      <c r="AF881" s="21" t="str">
        <f t="shared" si="591"/>
        <v>Apprenant 869</v>
      </c>
      <c r="AG881" s="22" t="str">
        <f t="shared" si="565"/>
        <v/>
      </c>
      <c r="AH881" s="22" t="str">
        <f t="shared" si="566"/>
        <v/>
      </c>
      <c r="AI881" s="22" t="str">
        <f t="shared" si="567"/>
        <v/>
      </c>
      <c r="AJ881" s="22" t="str">
        <f t="shared" si="592"/>
        <v/>
      </c>
      <c r="AK881" s="21" t="str">
        <f t="shared" si="593"/>
        <v>Apprenant 869 ou 869'</v>
      </c>
      <c r="AL881" s="22" t="str">
        <f t="shared" si="568"/>
        <v/>
      </c>
      <c r="AM881" s="22" t="str">
        <f t="shared" si="569"/>
        <v/>
      </c>
      <c r="AN881" s="22" t="str">
        <f t="shared" si="570"/>
        <v/>
      </c>
      <c r="AO881" s="22" t="str">
        <f t="shared" si="594"/>
        <v/>
      </c>
      <c r="AQ881" s="21" t="str">
        <f t="shared" si="595"/>
        <v>Apprenant 869</v>
      </c>
      <c r="AR881" s="49" t="str">
        <f>IF(AND('Choix pédagogiques'!$C$4&lt;&gt;"?",'Choix pédagogiques'!$C$5&lt;&gt;"?",W881&lt;&gt;""),(W881-'Choix pédagogiques'!$C$4)/('Choix pédagogiques'!$C$5-'Choix pédagogiques'!$C$4),"")</f>
        <v/>
      </c>
      <c r="AS881" s="49" t="str">
        <f>IF(AND('Choix pédagogiques'!$C$4&lt;&gt;"?",'Choix pédagogiques'!$C$5&lt;&gt;"?",X881&lt;&gt;""),(X881-'Choix pédagogiques'!$C$4)/('Choix pédagogiques'!$C$5-'Choix pédagogiques'!$C$4),"")</f>
        <v/>
      </c>
      <c r="AT881" s="49" t="str">
        <f>IF(AND('Choix pédagogiques'!$C$4&lt;&gt;"?",'Choix pédagogiques'!$C$5&lt;&gt;"?",Y881&lt;&gt;""),(Y881-'Choix pédagogiques'!$C$4)/('Choix pédagogiques'!$C$5-'Choix pédagogiques'!$C$4),"")</f>
        <v/>
      </c>
      <c r="AU881" s="22" t="str">
        <f t="shared" si="596"/>
        <v/>
      </c>
      <c r="AV881" s="21" t="str">
        <f t="shared" si="597"/>
        <v>Apprenant 869 ou 869'</v>
      </c>
      <c r="AW881" s="49" t="str">
        <f>IF(AND('Choix pédagogiques'!$C$4&lt;&gt;"?",'Choix pédagogiques'!$C$5&lt;&gt;"?",AB881&lt;&gt;""),(AB881-'Choix pédagogiques'!$C$4)/('Choix pédagogiques'!$C$5-'Choix pédagogiques'!$C$4),"")</f>
        <v/>
      </c>
      <c r="AX881" s="49" t="str">
        <f>IF(AND('Choix pédagogiques'!$C$4&lt;&gt;"?",'Choix pédagogiques'!$C$5&lt;&gt;"?",AC881&lt;&gt;""),(AC881-'Choix pédagogiques'!$C$4)/('Choix pédagogiques'!$C$5-'Choix pédagogiques'!$C$4),"")</f>
        <v/>
      </c>
      <c r="AY881" s="49" t="str">
        <f>IF(AND('Choix pédagogiques'!$C$4&lt;&gt;"?",'Choix pédagogiques'!$C$5&lt;&gt;"?",AD881&lt;&gt;""),(AD881-'Choix pédagogiques'!$C$4)/('Choix pédagogiques'!$C$5-'Choix pédagogiques'!$C$4),"")</f>
        <v/>
      </c>
      <c r="AZ881" s="22" t="str">
        <f t="shared" si="598"/>
        <v/>
      </c>
      <c r="BA881" s="21" t="str">
        <f t="shared" si="599"/>
        <v>Apprenant 869</v>
      </c>
      <c r="BB881" s="49" t="str">
        <f t="shared" si="571"/>
        <v/>
      </c>
      <c r="BC881" s="49" t="str">
        <f t="shared" si="572"/>
        <v/>
      </c>
      <c r="BD881" s="49" t="str">
        <f t="shared" si="573"/>
        <v/>
      </c>
      <c r="BE881" s="22" t="str">
        <f t="shared" si="600"/>
        <v/>
      </c>
      <c r="BF881" s="21" t="str">
        <f t="shared" si="601"/>
        <v>Apprenant 869 ou 869'</v>
      </c>
      <c r="BG881" s="49" t="str">
        <f t="shared" si="574"/>
        <v/>
      </c>
      <c r="BH881" s="49" t="str">
        <f t="shared" si="575"/>
        <v/>
      </c>
      <c r="BI881" s="49" t="str">
        <f t="shared" si="576"/>
        <v/>
      </c>
      <c r="BJ881" s="22" t="str">
        <f t="shared" si="602"/>
        <v/>
      </c>
      <c r="BL881" s="21"/>
      <c r="BM881" s="21" t="str">
        <f>IF(OR(COUNT(B881:D1880)=0,AND('Choix pédagogiques'!$C$3&lt;&gt;1,'Choix pédagogiques'!$C$3&lt;&gt;2)),"",IF(AND(OR('Choix pédagogiques'!$C$3=1,'Choix pédagogiques'!$C$3=2),$B881&lt;&gt;"",$C881&lt;&gt;"",$D881&lt;&gt;""),1,0))</f>
        <v/>
      </c>
      <c r="BN881" s="21" t="str">
        <f>IF(OR(COUNT(G881:I1880)=0,AND('Choix pédagogiques'!$C$3&lt;&gt;1,'Choix pédagogiques'!$C$3&lt;&gt;2)),"",IF(AND(OR('Choix pédagogiques'!$C$3=1,'Choix pédagogiques'!$C$3=2),AND($G881&lt;&gt;"",$H881&lt;&gt;"",$I881&lt;&gt;"")),1,0))</f>
        <v/>
      </c>
      <c r="BO881" s="21" t="str">
        <f>IF(OR(COUNT(B881:D1880)=0,COUNT(G881:I1880)=0,'Choix pédagogiques'!C$3&lt;&gt;3),"",IF(AND('Choix pédagogiques'!$C$3=3,$B881&lt;&gt;"",$C881&lt;&gt;"",$D881&lt;&gt;"",$G881&lt;&gt;"",$H881&lt;&gt;"",$I881&lt;&gt;""),1,0))</f>
        <v/>
      </c>
      <c r="BR881" s="21">
        <v>770</v>
      </c>
      <c r="BS881" s="21">
        <v>1508</v>
      </c>
      <c r="BT881"/>
    </row>
    <row r="882" spans="1:72" s="23" customFormat="1" ht="18" customHeight="1" x14ac:dyDescent="0.3">
      <c r="A882" s="35" t="s">
        <v>872</v>
      </c>
      <c r="B882" s="37"/>
      <c r="C882" s="37"/>
      <c r="D882" s="37"/>
      <c r="E882" s="37"/>
      <c r="F882" s="35" t="s">
        <v>1880</v>
      </c>
      <c r="G882" s="37"/>
      <c r="H882" s="37"/>
      <c r="I882" s="37"/>
      <c r="J882" s="37"/>
      <c r="K882" s="21" t="str">
        <f t="shared" si="577"/>
        <v>Apprenant 870</v>
      </c>
      <c r="L882" s="22" t="str">
        <f t="shared" si="578"/>
        <v/>
      </c>
      <c r="M882" s="22" t="str">
        <f t="shared" si="579"/>
        <v/>
      </c>
      <c r="N882" s="22" t="str">
        <f t="shared" si="580"/>
        <v/>
      </c>
      <c r="O882" s="22" t="str">
        <f t="shared" si="581"/>
        <v/>
      </c>
      <c r="P882" s="21" t="str">
        <f t="shared" si="582"/>
        <v>Apprenant 870 ou 870'</v>
      </c>
      <c r="Q882" s="22" t="str">
        <f t="shared" si="583"/>
        <v/>
      </c>
      <c r="R882" s="22" t="str">
        <f t="shared" si="584"/>
        <v/>
      </c>
      <c r="S882" s="22" t="str">
        <f t="shared" si="585"/>
        <v/>
      </c>
      <c r="T882" s="22" t="str">
        <f t="shared" si="586"/>
        <v/>
      </c>
      <c r="V882" s="21" t="str">
        <f t="shared" si="587"/>
        <v>Apprenant 870</v>
      </c>
      <c r="W882" s="22" t="str">
        <f>IF(AND(OR('Choix pédagogiques'!$C$3=1,'Choix pédagogiques'!$C$3=2),$BM882=1),B882,IF(AND('Choix pédagogiques'!$C$3=3,$BO882=1),B882,""))</f>
        <v/>
      </c>
      <c r="X882" s="22" t="str">
        <f>IF(AND(OR('Choix pédagogiques'!$C$3=1,'Choix pédagogiques'!$C$3=2),$BM882=1),C882,IF(AND('Choix pédagogiques'!$C$3=3,$BO882=1),C882,""))</f>
        <v/>
      </c>
      <c r="Y882" s="22" t="str">
        <f>IF(AND(OR('Choix pédagogiques'!$C$3=1,'Choix pédagogiques'!$C$3=2),$BM882=1),D882,IF(AND('Choix pédagogiques'!$C$3=3,$BO882=1),D882,""))</f>
        <v/>
      </c>
      <c r="Z882" s="22" t="str">
        <f t="shared" si="588"/>
        <v/>
      </c>
      <c r="AA882" s="21" t="str">
        <f t="shared" si="589"/>
        <v>Apprenant 870 ou 870'</v>
      </c>
      <c r="AB882" s="22" t="str">
        <f>IF(AND(OR('Choix pédagogiques'!$C$3=1,'Choix pédagogiques'!$C$3=2),$BN882=1),G882,IF(AND('Choix pédagogiques'!$C$3=3,$BO882=1),G882,""))</f>
        <v/>
      </c>
      <c r="AC882" s="22" t="str">
        <f>IF(AND(OR('Choix pédagogiques'!$C$3=1,'Choix pédagogiques'!$C$3=2),$BN882=1),H882,IF(AND('Choix pédagogiques'!$C$3=3,$BO882=1),H882,""))</f>
        <v/>
      </c>
      <c r="AD882" s="22" t="str">
        <f>IF(AND(OR('Choix pédagogiques'!$C$3=1,'Choix pédagogiques'!$C$3=2),$BN882=1),I882,IF(AND('Choix pédagogiques'!$C$3=3,$BO882=1),I882,""))</f>
        <v/>
      </c>
      <c r="AE882" s="22" t="str">
        <f t="shared" si="590"/>
        <v/>
      </c>
      <c r="AF882" s="21" t="str">
        <f t="shared" si="591"/>
        <v>Apprenant 870</v>
      </c>
      <c r="AG882" s="22" t="str">
        <f t="shared" si="565"/>
        <v/>
      </c>
      <c r="AH882" s="22" t="str">
        <f t="shared" si="566"/>
        <v/>
      </c>
      <c r="AI882" s="22" t="str">
        <f t="shared" si="567"/>
        <v/>
      </c>
      <c r="AJ882" s="22" t="str">
        <f t="shared" si="592"/>
        <v/>
      </c>
      <c r="AK882" s="21" t="str">
        <f t="shared" si="593"/>
        <v>Apprenant 870 ou 870'</v>
      </c>
      <c r="AL882" s="22" t="str">
        <f t="shared" si="568"/>
        <v/>
      </c>
      <c r="AM882" s="22" t="str">
        <f t="shared" si="569"/>
        <v/>
      </c>
      <c r="AN882" s="22" t="str">
        <f t="shared" si="570"/>
        <v/>
      </c>
      <c r="AO882" s="22" t="str">
        <f t="shared" si="594"/>
        <v/>
      </c>
      <c r="AQ882" s="21" t="str">
        <f t="shared" si="595"/>
        <v>Apprenant 870</v>
      </c>
      <c r="AR882" s="49" t="str">
        <f>IF(AND('Choix pédagogiques'!$C$4&lt;&gt;"?",'Choix pédagogiques'!$C$5&lt;&gt;"?",W882&lt;&gt;""),(W882-'Choix pédagogiques'!$C$4)/('Choix pédagogiques'!$C$5-'Choix pédagogiques'!$C$4),"")</f>
        <v/>
      </c>
      <c r="AS882" s="49" t="str">
        <f>IF(AND('Choix pédagogiques'!$C$4&lt;&gt;"?",'Choix pédagogiques'!$C$5&lt;&gt;"?",X882&lt;&gt;""),(X882-'Choix pédagogiques'!$C$4)/('Choix pédagogiques'!$C$5-'Choix pédagogiques'!$C$4),"")</f>
        <v/>
      </c>
      <c r="AT882" s="49" t="str">
        <f>IF(AND('Choix pédagogiques'!$C$4&lt;&gt;"?",'Choix pédagogiques'!$C$5&lt;&gt;"?",Y882&lt;&gt;""),(Y882-'Choix pédagogiques'!$C$4)/('Choix pédagogiques'!$C$5-'Choix pédagogiques'!$C$4),"")</f>
        <v/>
      </c>
      <c r="AU882" s="22" t="str">
        <f t="shared" si="596"/>
        <v/>
      </c>
      <c r="AV882" s="21" t="str">
        <f t="shared" si="597"/>
        <v>Apprenant 870 ou 870'</v>
      </c>
      <c r="AW882" s="49" t="str">
        <f>IF(AND('Choix pédagogiques'!$C$4&lt;&gt;"?",'Choix pédagogiques'!$C$5&lt;&gt;"?",AB882&lt;&gt;""),(AB882-'Choix pédagogiques'!$C$4)/('Choix pédagogiques'!$C$5-'Choix pédagogiques'!$C$4),"")</f>
        <v/>
      </c>
      <c r="AX882" s="49" t="str">
        <f>IF(AND('Choix pédagogiques'!$C$4&lt;&gt;"?",'Choix pédagogiques'!$C$5&lt;&gt;"?",AC882&lt;&gt;""),(AC882-'Choix pédagogiques'!$C$4)/('Choix pédagogiques'!$C$5-'Choix pédagogiques'!$C$4),"")</f>
        <v/>
      </c>
      <c r="AY882" s="49" t="str">
        <f>IF(AND('Choix pédagogiques'!$C$4&lt;&gt;"?",'Choix pédagogiques'!$C$5&lt;&gt;"?",AD882&lt;&gt;""),(AD882-'Choix pédagogiques'!$C$4)/('Choix pédagogiques'!$C$5-'Choix pédagogiques'!$C$4),"")</f>
        <v/>
      </c>
      <c r="AZ882" s="22" t="str">
        <f t="shared" si="598"/>
        <v/>
      </c>
      <c r="BA882" s="21" t="str">
        <f t="shared" si="599"/>
        <v>Apprenant 870</v>
      </c>
      <c r="BB882" s="49" t="str">
        <f t="shared" si="571"/>
        <v/>
      </c>
      <c r="BC882" s="49" t="str">
        <f t="shared" si="572"/>
        <v/>
      </c>
      <c r="BD882" s="49" t="str">
        <f t="shared" si="573"/>
        <v/>
      </c>
      <c r="BE882" s="22" t="str">
        <f t="shared" si="600"/>
        <v/>
      </c>
      <c r="BF882" s="21" t="str">
        <f t="shared" si="601"/>
        <v>Apprenant 870 ou 870'</v>
      </c>
      <c r="BG882" s="49" t="str">
        <f t="shared" si="574"/>
        <v/>
      </c>
      <c r="BH882" s="49" t="str">
        <f t="shared" si="575"/>
        <v/>
      </c>
      <c r="BI882" s="49" t="str">
        <f t="shared" si="576"/>
        <v/>
      </c>
      <c r="BJ882" s="22" t="str">
        <f t="shared" si="602"/>
        <v/>
      </c>
      <c r="BL882" s="21"/>
      <c r="BM882" s="21" t="str">
        <f>IF(OR(COUNT(B882:D1881)=0,AND('Choix pédagogiques'!$C$3&lt;&gt;1,'Choix pédagogiques'!$C$3&lt;&gt;2)),"",IF(AND(OR('Choix pédagogiques'!$C$3=1,'Choix pédagogiques'!$C$3=2),$B882&lt;&gt;"",$C882&lt;&gt;"",$D882&lt;&gt;""),1,0))</f>
        <v/>
      </c>
      <c r="BN882" s="21" t="str">
        <f>IF(OR(COUNT(G882:I1881)=0,AND('Choix pédagogiques'!$C$3&lt;&gt;1,'Choix pédagogiques'!$C$3&lt;&gt;2)),"",IF(AND(OR('Choix pédagogiques'!$C$3=1,'Choix pédagogiques'!$C$3=2),AND($G882&lt;&gt;"",$H882&lt;&gt;"",$I882&lt;&gt;"")),1,0))</f>
        <v/>
      </c>
      <c r="BO882" s="21" t="str">
        <f>IF(OR(COUNT(B882:D1881)=0,COUNT(G882:I1881)=0,'Choix pédagogiques'!C$3&lt;&gt;3),"",IF(AND('Choix pédagogiques'!$C$3=3,$B882&lt;&gt;"",$C882&lt;&gt;"",$D882&lt;&gt;"",$G882&lt;&gt;"",$H882&lt;&gt;"",$I882&lt;&gt;""),1,0))</f>
        <v/>
      </c>
      <c r="BR882" s="21">
        <v>300</v>
      </c>
      <c r="BS882" s="21">
        <v>1540</v>
      </c>
      <c r="BT882"/>
    </row>
    <row r="883" spans="1:72" s="23" customFormat="1" ht="18" customHeight="1" x14ac:dyDescent="0.3">
      <c r="A883" s="35" t="s">
        <v>873</v>
      </c>
      <c r="B883" s="37"/>
      <c r="C883" s="37"/>
      <c r="D883" s="37"/>
      <c r="E883" s="37"/>
      <c r="F883" s="35" t="s">
        <v>1881</v>
      </c>
      <c r="G883" s="37"/>
      <c r="H883" s="37"/>
      <c r="I883" s="37"/>
      <c r="J883" s="37"/>
      <c r="K883" s="21" t="str">
        <f t="shared" si="577"/>
        <v>Apprenant 871</v>
      </c>
      <c r="L883" s="22" t="str">
        <f t="shared" si="578"/>
        <v/>
      </c>
      <c r="M883" s="22" t="str">
        <f t="shared" si="579"/>
        <v/>
      </c>
      <c r="N883" s="22" t="str">
        <f t="shared" si="580"/>
        <v/>
      </c>
      <c r="O883" s="22" t="str">
        <f t="shared" si="581"/>
        <v/>
      </c>
      <c r="P883" s="21" t="str">
        <f t="shared" si="582"/>
        <v>Apprenant 871 ou 871'</v>
      </c>
      <c r="Q883" s="22" t="str">
        <f t="shared" si="583"/>
        <v/>
      </c>
      <c r="R883" s="22" t="str">
        <f t="shared" si="584"/>
        <v/>
      </c>
      <c r="S883" s="22" t="str">
        <f t="shared" si="585"/>
        <v/>
      </c>
      <c r="T883" s="22" t="str">
        <f t="shared" si="586"/>
        <v/>
      </c>
      <c r="V883" s="21" t="str">
        <f t="shared" si="587"/>
        <v>Apprenant 871</v>
      </c>
      <c r="W883" s="22" t="str">
        <f>IF(AND(OR('Choix pédagogiques'!$C$3=1,'Choix pédagogiques'!$C$3=2),$BM883=1),B883,IF(AND('Choix pédagogiques'!$C$3=3,$BO883=1),B883,""))</f>
        <v/>
      </c>
      <c r="X883" s="22" t="str">
        <f>IF(AND(OR('Choix pédagogiques'!$C$3=1,'Choix pédagogiques'!$C$3=2),$BM883=1),C883,IF(AND('Choix pédagogiques'!$C$3=3,$BO883=1),C883,""))</f>
        <v/>
      </c>
      <c r="Y883" s="22" t="str">
        <f>IF(AND(OR('Choix pédagogiques'!$C$3=1,'Choix pédagogiques'!$C$3=2),$BM883=1),D883,IF(AND('Choix pédagogiques'!$C$3=3,$BO883=1),D883,""))</f>
        <v/>
      </c>
      <c r="Z883" s="22" t="str">
        <f t="shared" si="588"/>
        <v/>
      </c>
      <c r="AA883" s="21" t="str">
        <f t="shared" si="589"/>
        <v>Apprenant 871 ou 871'</v>
      </c>
      <c r="AB883" s="22" t="str">
        <f>IF(AND(OR('Choix pédagogiques'!$C$3=1,'Choix pédagogiques'!$C$3=2),$BN883=1),G883,IF(AND('Choix pédagogiques'!$C$3=3,$BO883=1),G883,""))</f>
        <v/>
      </c>
      <c r="AC883" s="22" t="str">
        <f>IF(AND(OR('Choix pédagogiques'!$C$3=1,'Choix pédagogiques'!$C$3=2),$BN883=1),H883,IF(AND('Choix pédagogiques'!$C$3=3,$BO883=1),H883,""))</f>
        <v/>
      </c>
      <c r="AD883" s="22" t="str">
        <f>IF(AND(OR('Choix pédagogiques'!$C$3=1,'Choix pédagogiques'!$C$3=2),$BN883=1),I883,IF(AND('Choix pédagogiques'!$C$3=3,$BO883=1),I883,""))</f>
        <v/>
      </c>
      <c r="AE883" s="22" t="str">
        <f t="shared" si="590"/>
        <v/>
      </c>
      <c r="AF883" s="21" t="str">
        <f t="shared" si="591"/>
        <v>Apprenant 871</v>
      </c>
      <c r="AG883" s="22" t="str">
        <f t="shared" si="565"/>
        <v/>
      </c>
      <c r="AH883" s="22" t="str">
        <f t="shared" si="566"/>
        <v/>
      </c>
      <c r="AI883" s="22" t="str">
        <f t="shared" si="567"/>
        <v/>
      </c>
      <c r="AJ883" s="22" t="str">
        <f t="shared" si="592"/>
        <v/>
      </c>
      <c r="AK883" s="21" t="str">
        <f t="shared" si="593"/>
        <v>Apprenant 871 ou 871'</v>
      </c>
      <c r="AL883" s="22" t="str">
        <f t="shared" si="568"/>
        <v/>
      </c>
      <c r="AM883" s="22" t="str">
        <f t="shared" si="569"/>
        <v/>
      </c>
      <c r="AN883" s="22" t="str">
        <f t="shared" si="570"/>
        <v/>
      </c>
      <c r="AO883" s="22" t="str">
        <f t="shared" si="594"/>
        <v/>
      </c>
      <c r="AQ883" s="21" t="str">
        <f t="shared" si="595"/>
        <v>Apprenant 871</v>
      </c>
      <c r="AR883" s="49" t="str">
        <f>IF(AND('Choix pédagogiques'!$C$4&lt;&gt;"?",'Choix pédagogiques'!$C$5&lt;&gt;"?",W883&lt;&gt;""),(W883-'Choix pédagogiques'!$C$4)/('Choix pédagogiques'!$C$5-'Choix pédagogiques'!$C$4),"")</f>
        <v/>
      </c>
      <c r="AS883" s="49" t="str">
        <f>IF(AND('Choix pédagogiques'!$C$4&lt;&gt;"?",'Choix pédagogiques'!$C$5&lt;&gt;"?",X883&lt;&gt;""),(X883-'Choix pédagogiques'!$C$4)/('Choix pédagogiques'!$C$5-'Choix pédagogiques'!$C$4),"")</f>
        <v/>
      </c>
      <c r="AT883" s="49" t="str">
        <f>IF(AND('Choix pédagogiques'!$C$4&lt;&gt;"?",'Choix pédagogiques'!$C$5&lt;&gt;"?",Y883&lt;&gt;""),(Y883-'Choix pédagogiques'!$C$4)/('Choix pédagogiques'!$C$5-'Choix pédagogiques'!$C$4),"")</f>
        <v/>
      </c>
      <c r="AU883" s="22" t="str">
        <f t="shared" si="596"/>
        <v/>
      </c>
      <c r="AV883" s="21" t="str">
        <f t="shared" si="597"/>
        <v>Apprenant 871 ou 871'</v>
      </c>
      <c r="AW883" s="49" t="str">
        <f>IF(AND('Choix pédagogiques'!$C$4&lt;&gt;"?",'Choix pédagogiques'!$C$5&lt;&gt;"?",AB883&lt;&gt;""),(AB883-'Choix pédagogiques'!$C$4)/('Choix pédagogiques'!$C$5-'Choix pédagogiques'!$C$4),"")</f>
        <v/>
      </c>
      <c r="AX883" s="49" t="str">
        <f>IF(AND('Choix pédagogiques'!$C$4&lt;&gt;"?",'Choix pédagogiques'!$C$5&lt;&gt;"?",AC883&lt;&gt;""),(AC883-'Choix pédagogiques'!$C$4)/('Choix pédagogiques'!$C$5-'Choix pédagogiques'!$C$4),"")</f>
        <v/>
      </c>
      <c r="AY883" s="49" t="str">
        <f>IF(AND('Choix pédagogiques'!$C$4&lt;&gt;"?",'Choix pédagogiques'!$C$5&lt;&gt;"?",AD883&lt;&gt;""),(AD883-'Choix pédagogiques'!$C$4)/('Choix pédagogiques'!$C$5-'Choix pédagogiques'!$C$4),"")</f>
        <v/>
      </c>
      <c r="AZ883" s="22" t="str">
        <f t="shared" si="598"/>
        <v/>
      </c>
      <c r="BA883" s="21" t="str">
        <f t="shared" si="599"/>
        <v>Apprenant 871</v>
      </c>
      <c r="BB883" s="49" t="str">
        <f t="shared" si="571"/>
        <v/>
      </c>
      <c r="BC883" s="49" t="str">
        <f t="shared" si="572"/>
        <v/>
      </c>
      <c r="BD883" s="49" t="str">
        <f t="shared" si="573"/>
        <v/>
      </c>
      <c r="BE883" s="22" t="str">
        <f t="shared" si="600"/>
        <v/>
      </c>
      <c r="BF883" s="21" t="str">
        <f t="shared" si="601"/>
        <v>Apprenant 871 ou 871'</v>
      </c>
      <c r="BG883" s="49" t="str">
        <f t="shared" si="574"/>
        <v/>
      </c>
      <c r="BH883" s="49" t="str">
        <f t="shared" si="575"/>
        <v/>
      </c>
      <c r="BI883" s="49" t="str">
        <f t="shared" si="576"/>
        <v/>
      </c>
      <c r="BJ883" s="22" t="str">
        <f t="shared" si="602"/>
        <v/>
      </c>
      <c r="BL883" s="21"/>
      <c r="BM883" s="21" t="str">
        <f>IF(OR(COUNT(B883:D1882)=0,AND('Choix pédagogiques'!$C$3&lt;&gt;1,'Choix pédagogiques'!$C$3&lt;&gt;2)),"",IF(AND(OR('Choix pédagogiques'!$C$3=1,'Choix pédagogiques'!$C$3=2),$B883&lt;&gt;"",$C883&lt;&gt;"",$D883&lt;&gt;""),1,0))</f>
        <v/>
      </c>
      <c r="BN883" s="21" t="str">
        <f>IF(OR(COUNT(G883:I1882)=0,AND('Choix pédagogiques'!$C$3&lt;&gt;1,'Choix pédagogiques'!$C$3&lt;&gt;2)),"",IF(AND(OR('Choix pédagogiques'!$C$3=1,'Choix pédagogiques'!$C$3=2),AND($G883&lt;&gt;"",$H883&lt;&gt;"",$I883&lt;&gt;"")),1,0))</f>
        <v/>
      </c>
      <c r="BO883" s="21" t="str">
        <f>IF(OR(COUNT(B883:D1882)=0,COUNT(G883:I1882)=0,'Choix pédagogiques'!C$3&lt;&gt;3),"",IF(AND('Choix pédagogiques'!$C$3=3,$B883&lt;&gt;"",$C883&lt;&gt;"",$D883&lt;&gt;"",$G883&lt;&gt;"",$H883&lt;&gt;"",$I883&lt;&gt;""),1,0))</f>
        <v/>
      </c>
      <c r="BR883" s="21">
        <v>652</v>
      </c>
      <c r="BS883" s="21">
        <v>1532</v>
      </c>
      <c r="BT883"/>
    </row>
    <row r="884" spans="1:72" s="23" customFormat="1" ht="18" customHeight="1" x14ac:dyDescent="0.3">
      <c r="A884" s="35" t="s">
        <v>874</v>
      </c>
      <c r="B884" s="37"/>
      <c r="C884" s="37"/>
      <c r="D884" s="37"/>
      <c r="E884" s="37"/>
      <c r="F884" s="35" t="s">
        <v>1882</v>
      </c>
      <c r="G884" s="37"/>
      <c r="H884" s="37"/>
      <c r="I884" s="37"/>
      <c r="J884" s="37"/>
      <c r="K884" s="21" t="str">
        <f t="shared" si="577"/>
        <v>Apprenant 872</v>
      </c>
      <c r="L884" s="22" t="str">
        <f t="shared" si="578"/>
        <v/>
      </c>
      <c r="M884" s="22" t="str">
        <f t="shared" si="579"/>
        <v/>
      </c>
      <c r="N884" s="22" t="str">
        <f t="shared" si="580"/>
        <v/>
      </c>
      <c r="O884" s="22" t="str">
        <f t="shared" si="581"/>
        <v/>
      </c>
      <c r="P884" s="21" t="str">
        <f t="shared" si="582"/>
        <v>Apprenant 872 ou 872'</v>
      </c>
      <c r="Q884" s="22" t="str">
        <f t="shared" si="583"/>
        <v/>
      </c>
      <c r="R884" s="22" t="str">
        <f t="shared" si="584"/>
        <v/>
      </c>
      <c r="S884" s="22" t="str">
        <f t="shared" si="585"/>
        <v/>
      </c>
      <c r="T884" s="22" t="str">
        <f t="shared" si="586"/>
        <v/>
      </c>
      <c r="V884" s="21" t="str">
        <f t="shared" si="587"/>
        <v>Apprenant 872</v>
      </c>
      <c r="W884" s="22" t="str">
        <f>IF(AND(OR('Choix pédagogiques'!$C$3=1,'Choix pédagogiques'!$C$3=2),$BM884=1),B884,IF(AND('Choix pédagogiques'!$C$3=3,$BO884=1),B884,""))</f>
        <v/>
      </c>
      <c r="X884" s="22" t="str">
        <f>IF(AND(OR('Choix pédagogiques'!$C$3=1,'Choix pédagogiques'!$C$3=2),$BM884=1),C884,IF(AND('Choix pédagogiques'!$C$3=3,$BO884=1),C884,""))</f>
        <v/>
      </c>
      <c r="Y884" s="22" t="str">
        <f>IF(AND(OR('Choix pédagogiques'!$C$3=1,'Choix pédagogiques'!$C$3=2),$BM884=1),D884,IF(AND('Choix pédagogiques'!$C$3=3,$BO884=1),D884,""))</f>
        <v/>
      </c>
      <c r="Z884" s="22" t="str">
        <f t="shared" si="588"/>
        <v/>
      </c>
      <c r="AA884" s="21" t="str">
        <f t="shared" si="589"/>
        <v>Apprenant 872 ou 872'</v>
      </c>
      <c r="AB884" s="22" t="str">
        <f>IF(AND(OR('Choix pédagogiques'!$C$3=1,'Choix pédagogiques'!$C$3=2),$BN884=1),G884,IF(AND('Choix pédagogiques'!$C$3=3,$BO884=1),G884,""))</f>
        <v/>
      </c>
      <c r="AC884" s="22" t="str">
        <f>IF(AND(OR('Choix pédagogiques'!$C$3=1,'Choix pédagogiques'!$C$3=2),$BN884=1),H884,IF(AND('Choix pédagogiques'!$C$3=3,$BO884=1),H884,""))</f>
        <v/>
      </c>
      <c r="AD884" s="22" t="str">
        <f>IF(AND(OR('Choix pédagogiques'!$C$3=1,'Choix pédagogiques'!$C$3=2),$BN884=1),I884,IF(AND('Choix pédagogiques'!$C$3=3,$BO884=1),I884,""))</f>
        <v/>
      </c>
      <c r="AE884" s="22" t="str">
        <f t="shared" si="590"/>
        <v/>
      </c>
      <c r="AF884" s="21" t="str">
        <f t="shared" si="591"/>
        <v>Apprenant 872</v>
      </c>
      <c r="AG884" s="22" t="str">
        <f t="shared" si="565"/>
        <v/>
      </c>
      <c r="AH884" s="22" t="str">
        <f t="shared" si="566"/>
        <v/>
      </c>
      <c r="AI884" s="22" t="str">
        <f t="shared" si="567"/>
        <v/>
      </c>
      <c r="AJ884" s="22" t="str">
        <f t="shared" si="592"/>
        <v/>
      </c>
      <c r="AK884" s="21" t="str">
        <f t="shared" si="593"/>
        <v>Apprenant 872 ou 872'</v>
      </c>
      <c r="AL884" s="22" t="str">
        <f t="shared" si="568"/>
        <v/>
      </c>
      <c r="AM884" s="22" t="str">
        <f t="shared" si="569"/>
        <v/>
      </c>
      <c r="AN884" s="22" t="str">
        <f t="shared" si="570"/>
        <v/>
      </c>
      <c r="AO884" s="22" t="str">
        <f t="shared" si="594"/>
        <v/>
      </c>
      <c r="AQ884" s="21" t="str">
        <f t="shared" si="595"/>
        <v>Apprenant 872</v>
      </c>
      <c r="AR884" s="49" t="str">
        <f>IF(AND('Choix pédagogiques'!$C$4&lt;&gt;"?",'Choix pédagogiques'!$C$5&lt;&gt;"?",W884&lt;&gt;""),(W884-'Choix pédagogiques'!$C$4)/('Choix pédagogiques'!$C$5-'Choix pédagogiques'!$C$4),"")</f>
        <v/>
      </c>
      <c r="AS884" s="49" t="str">
        <f>IF(AND('Choix pédagogiques'!$C$4&lt;&gt;"?",'Choix pédagogiques'!$C$5&lt;&gt;"?",X884&lt;&gt;""),(X884-'Choix pédagogiques'!$C$4)/('Choix pédagogiques'!$C$5-'Choix pédagogiques'!$C$4),"")</f>
        <v/>
      </c>
      <c r="AT884" s="49" t="str">
        <f>IF(AND('Choix pédagogiques'!$C$4&lt;&gt;"?",'Choix pédagogiques'!$C$5&lt;&gt;"?",Y884&lt;&gt;""),(Y884-'Choix pédagogiques'!$C$4)/('Choix pédagogiques'!$C$5-'Choix pédagogiques'!$C$4),"")</f>
        <v/>
      </c>
      <c r="AU884" s="22" t="str">
        <f t="shared" si="596"/>
        <v/>
      </c>
      <c r="AV884" s="21" t="str">
        <f t="shared" si="597"/>
        <v>Apprenant 872 ou 872'</v>
      </c>
      <c r="AW884" s="49" t="str">
        <f>IF(AND('Choix pédagogiques'!$C$4&lt;&gt;"?",'Choix pédagogiques'!$C$5&lt;&gt;"?",AB884&lt;&gt;""),(AB884-'Choix pédagogiques'!$C$4)/('Choix pédagogiques'!$C$5-'Choix pédagogiques'!$C$4),"")</f>
        <v/>
      </c>
      <c r="AX884" s="49" t="str">
        <f>IF(AND('Choix pédagogiques'!$C$4&lt;&gt;"?",'Choix pédagogiques'!$C$5&lt;&gt;"?",AC884&lt;&gt;""),(AC884-'Choix pédagogiques'!$C$4)/('Choix pédagogiques'!$C$5-'Choix pédagogiques'!$C$4),"")</f>
        <v/>
      </c>
      <c r="AY884" s="49" t="str">
        <f>IF(AND('Choix pédagogiques'!$C$4&lt;&gt;"?",'Choix pédagogiques'!$C$5&lt;&gt;"?",AD884&lt;&gt;""),(AD884-'Choix pédagogiques'!$C$4)/('Choix pédagogiques'!$C$5-'Choix pédagogiques'!$C$4),"")</f>
        <v/>
      </c>
      <c r="AZ884" s="22" t="str">
        <f t="shared" si="598"/>
        <v/>
      </c>
      <c r="BA884" s="21" t="str">
        <f t="shared" si="599"/>
        <v>Apprenant 872</v>
      </c>
      <c r="BB884" s="49" t="str">
        <f t="shared" si="571"/>
        <v/>
      </c>
      <c r="BC884" s="49" t="str">
        <f t="shared" si="572"/>
        <v/>
      </c>
      <c r="BD884" s="49" t="str">
        <f t="shared" si="573"/>
        <v/>
      </c>
      <c r="BE884" s="22" t="str">
        <f t="shared" si="600"/>
        <v/>
      </c>
      <c r="BF884" s="21" t="str">
        <f t="shared" si="601"/>
        <v>Apprenant 872 ou 872'</v>
      </c>
      <c r="BG884" s="49" t="str">
        <f t="shared" si="574"/>
        <v/>
      </c>
      <c r="BH884" s="49" t="str">
        <f t="shared" si="575"/>
        <v/>
      </c>
      <c r="BI884" s="49" t="str">
        <f t="shared" si="576"/>
        <v/>
      </c>
      <c r="BJ884" s="22" t="str">
        <f t="shared" si="602"/>
        <v/>
      </c>
      <c r="BL884" s="21"/>
      <c r="BM884" s="21" t="str">
        <f>IF(OR(COUNT(B884:D1883)=0,AND('Choix pédagogiques'!$C$3&lt;&gt;1,'Choix pédagogiques'!$C$3&lt;&gt;2)),"",IF(AND(OR('Choix pédagogiques'!$C$3=1,'Choix pédagogiques'!$C$3=2),$B884&lt;&gt;"",$C884&lt;&gt;"",$D884&lt;&gt;""),1,0))</f>
        <v/>
      </c>
      <c r="BN884" s="21" t="str">
        <f>IF(OR(COUNT(G884:I1883)=0,AND('Choix pédagogiques'!$C$3&lt;&gt;1,'Choix pédagogiques'!$C$3&lt;&gt;2)),"",IF(AND(OR('Choix pédagogiques'!$C$3=1,'Choix pédagogiques'!$C$3=2),AND($G884&lt;&gt;"",$H884&lt;&gt;"",$I884&lt;&gt;"")),1,0))</f>
        <v/>
      </c>
      <c r="BO884" s="21" t="str">
        <f>IF(OR(COUNT(B884:D1883)=0,COUNT(G884:I1883)=0,'Choix pédagogiques'!C$3&lt;&gt;3),"",IF(AND('Choix pédagogiques'!$C$3=3,$B884&lt;&gt;"",$C884&lt;&gt;"",$D884&lt;&gt;"",$G884&lt;&gt;"",$H884&lt;&gt;"",$I884&lt;&gt;""),1,0))</f>
        <v/>
      </c>
      <c r="BR884" s="21">
        <v>91</v>
      </c>
      <c r="BS884" s="21">
        <v>1788</v>
      </c>
      <c r="BT884"/>
    </row>
    <row r="885" spans="1:72" s="23" customFormat="1" ht="18" customHeight="1" x14ac:dyDescent="0.3">
      <c r="A885" s="35" t="s">
        <v>875</v>
      </c>
      <c r="B885" s="37"/>
      <c r="C885" s="37"/>
      <c r="D885" s="37"/>
      <c r="E885" s="37"/>
      <c r="F885" s="35" t="s">
        <v>1883</v>
      </c>
      <c r="G885" s="37"/>
      <c r="H885" s="37"/>
      <c r="I885" s="37"/>
      <c r="J885" s="37"/>
      <c r="K885" s="21" t="str">
        <f t="shared" si="577"/>
        <v>Apprenant 873</v>
      </c>
      <c r="L885" s="22" t="str">
        <f t="shared" si="578"/>
        <v/>
      </c>
      <c r="M885" s="22" t="str">
        <f t="shared" si="579"/>
        <v/>
      </c>
      <c r="N885" s="22" t="str">
        <f t="shared" si="580"/>
        <v/>
      </c>
      <c r="O885" s="22" t="str">
        <f t="shared" si="581"/>
        <v/>
      </c>
      <c r="P885" s="21" t="str">
        <f t="shared" si="582"/>
        <v>Apprenant 873 ou 873'</v>
      </c>
      <c r="Q885" s="22" t="str">
        <f t="shared" si="583"/>
        <v/>
      </c>
      <c r="R885" s="22" t="str">
        <f t="shared" si="584"/>
        <v/>
      </c>
      <c r="S885" s="22" t="str">
        <f t="shared" si="585"/>
        <v/>
      </c>
      <c r="T885" s="22" t="str">
        <f t="shared" si="586"/>
        <v/>
      </c>
      <c r="V885" s="21" t="str">
        <f t="shared" si="587"/>
        <v>Apprenant 873</v>
      </c>
      <c r="W885" s="22" t="str">
        <f>IF(AND(OR('Choix pédagogiques'!$C$3=1,'Choix pédagogiques'!$C$3=2),$BM885=1),B885,IF(AND('Choix pédagogiques'!$C$3=3,$BO885=1),B885,""))</f>
        <v/>
      </c>
      <c r="X885" s="22" t="str">
        <f>IF(AND(OR('Choix pédagogiques'!$C$3=1,'Choix pédagogiques'!$C$3=2),$BM885=1),C885,IF(AND('Choix pédagogiques'!$C$3=3,$BO885=1),C885,""))</f>
        <v/>
      </c>
      <c r="Y885" s="22" t="str">
        <f>IF(AND(OR('Choix pédagogiques'!$C$3=1,'Choix pédagogiques'!$C$3=2),$BM885=1),D885,IF(AND('Choix pédagogiques'!$C$3=3,$BO885=1),D885,""))</f>
        <v/>
      </c>
      <c r="Z885" s="22" t="str">
        <f t="shared" si="588"/>
        <v/>
      </c>
      <c r="AA885" s="21" t="str">
        <f t="shared" si="589"/>
        <v>Apprenant 873 ou 873'</v>
      </c>
      <c r="AB885" s="22" t="str">
        <f>IF(AND(OR('Choix pédagogiques'!$C$3=1,'Choix pédagogiques'!$C$3=2),$BN885=1),G885,IF(AND('Choix pédagogiques'!$C$3=3,$BO885=1),G885,""))</f>
        <v/>
      </c>
      <c r="AC885" s="22" t="str">
        <f>IF(AND(OR('Choix pédagogiques'!$C$3=1,'Choix pédagogiques'!$C$3=2),$BN885=1),H885,IF(AND('Choix pédagogiques'!$C$3=3,$BO885=1),H885,""))</f>
        <v/>
      </c>
      <c r="AD885" s="22" t="str">
        <f>IF(AND(OR('Choix pédagogiques'!$C$3=1,'Choix pédagogiques'!$C$3=2),$BN885=1),I885,IF(AND('Choix pédagogiques'!$C$3=3,$BO885=1),I885,""))</f>
        <v/>
      </c>
      <c r="AE885" s="22" t="str">
        <f t="shared" si="590"/>
        <v/>
      </c>
      <c r="AF885" s="21" t="str">
        <f t="shared" si="591"/>
        <v>Apprenant 873</v>
      </c>
      <c r="AG885" s="22" t="str">
        <f t="shared" si="565"/>
        <v/>
      </c>
      <c r="AH885" s="22" t="str">
        <f t="shared" si="566"/>
        <v/>
      </c>
      <c r="AI885" s="22" t="str">
        <f t="shared" si="567"/>
        <v/>
      </c>
      <c r="AJ885" s="22" t="str">
        <f t="shared" si="592"/>
        <v/>
      </c>
      <c r="AK885" s="21" t="str">
        <f t="shared" si="593"/>
        <v>Apprenant 873 ou 873'</v>
      </c>
      <c r="AL885" s="22" t="str">
        <f t="shared" si="568"/>
        <v/>
      </c>
      <c r="AM885" s="22" t="str">
        <f t="shared" si="569"/>
        <v/>
      </c>
      <c r="AN885" s="22" t="str">
        <f t="shared" si="570"/>
        <v/>
      </c>
      <c r="AO885" s="22" t="str">
        <f t="shared" si="594"/>
        <v/>
      </c>
      <c r="AQ885" s="21" t="str">
        <f t="shared" si="595"/>
        <v>Apprenant 873</v>
      </c>
      <c r="AR885" s="49" t="str">
        <f>IF(AND('Choix pédagogiques'!$C$4&lt;&gt;"?",'Choix pédagogiques'!$C$5&lt;&gt;"?",W885&lt;&gt;""),(W885-'Choix pédagogiques'!$C$4)/('Choix pédagogiques'!$C$5-'Choix pédagogiques'!$C$4),"")</f>
        <v/>
      </c>
      <c r="AS885" s="49" t="str">
        <f>IF(AND('Choix pédagogiques'!$C$4&lt;&gt;"?",'Choix pédagogiques'!$C$5&lt;&gt;"?",X885&lt;&gt;""),(X885-'Choix pédagogiques'!$C$4)/('Choix pédagogiques'!$C$5-'Choix pédagogiques'!$C$4),"")</f>
        <v/>
      </c>
      <c r="AT885" s="49" t="str">
        <f>IF(AND('Choix pédagogiques'!$C$4&lt;&gt;"?",'Choix pédagogiques'!$C$5&lt;&gt;"?",Y885&lt;&gt;""),(Y885-'Choix pédagogiques'!$C$4)/('Choix pédagogiques'!$C$5-'Choix pédagogiques'!$C$4),"")</f>
        <v/>
      </c>
      <c r="AU885" s="22" t="str">
        <f t="shared" si="596"/>
        <v/>
      </c>
      <c r="AV885" s="21" t="str">
        <f t="shared" si="597"/>
        <v>Apprenant 873 ou 873'</v>
      </c>
      <c r="AW885" s="49" t="str">
        <f>IF(AND('Choix pédagogiques'!$C$4&lt;&gt;"?",'Choix pédagogiques'!$C$5&lt;&gt;"?",AB885&lt;&gt;""),(AB885-'Choix pédagogiques'!$C$4)/('Choix pédagogiques'!$C$5-'Choix pédagogiques'!$C$4),"")</f>
        <v/>
      </c>
      <c r="AX885" s="49" t="str">
        <f>IF(AND('Choix pédagogiques'!$C$4&lt;&gt;"?",'Choix pédagogiques'!$C$5&lt;&gt;"?",AC885&lt;&gt;""),(AC885-'Choix pédagogiques'!$C$4)/('Choix pédagogiques'!$C$5-'Choix pédagogiques'!$C$4),"")</f>
        <v/>
      </c>
      <c r="AY885" s="49" t="str">
        <f>IF(AND('Choix pédagogiques'!$C$4&lt;&gt;"?",'Choix pédagogiques'!$C$5&lt;&gt;"?",AD885&lt;&gt;""),(AD885-'Choix pédagogiques'!$C$4)/('Choix pédagogiques'!$C$5-'Choix pédagogiques'!$C$4),"")</f>
        <v/>
      </c>
      <c r="AZ885" s="22" t="str">
        <f t="shared" si="598"/>
        <v/>
      </c>
      <c r="BA885" s="21" t="str">
        <f t="shared" si="599"/>
        <v>Apprenant 873</v>
      </c>
      <c r="BB885" s="49" t="str">
        <f t="shared" si="571"/>
        <v/>
      </c>
      <c r="BC885" s="49" t="str">
        <f t="shared" si="572"/>
        <v/>
      </c>
      <c r="BD885" s="49" t="str">
        <f t="shared" si="573"/>
        <v/>
      </c>
      <c r="BE885" s="22" t="str">
        <f t="shared" si="600"/>
        <v/>
      </c>
      <c r="BF885" s="21" t="str">
        <f t="shared" si="601"/>
        <v>Apprenant 873 ou 873'</v>
      </c>
      <c r="BG885" s="49" t="str">
        <f t="shared" si="574"/>
        <v/>
      </c>
      <c r="BH885" s="49" t="str">
        <f t="shared" si="575"/>
        <v/>
      </c>
      <c r="BI885" s="49" t="str">
        <f t="shared" si="576"/>
        <v/>
      </c>
      <c r="BJ885" s="22" t="str">
        <f t="shared" si="602"/>
        <v/>
      </c>
      <c r="BL885" s="21"/>
      <c r="BM885" s="21" t="str">
        <f>IF(OR(COUNT(B885:D1884)=0,AND('Choix pédagogiques'!$C$3&lt;&gt;1,'Choix pédagogiques'!$C$3&lt;&gt;2)),"",IF(AND(OR('Choix pédagogiques'!$C$3=1,'Choix pédagogiques'!$C$3=2),$B885&lt;&gt;"",$C885&lt;&gt;"",$D885&lt;&gt;""),1,0))</f>
        <v/>
      </c>
      <c r="BN885" s="21" t="str">
        <f>IF(OR(COUNT(G885:I1884)=0,AND('Choix pédagogiques'!$C$3&lt;&gt;1,'Choix pédagogiques'!$C$3&lt;&gt;2)),"",IF(AND(OR('Choix pédagogiques'!$C$3=1,'Choix pédagogiques'!$C$3=2),AND($G885&lt;&gt;"",$H885&lt;&gt;"",$I885&lt;&gt;"")),1,0))</f>
        <v/>
      </c>
      <c r="BO885" s="21" t="str">
        <f>IF(OR(COUNT(B885:D1884)=0,COUNT(G885:I1884)=0,'Choix pédagogiques'!C$3&lt;&gt;3),"",IF(AND('Choix pédagogiques'!$C$3=3,$B885&lt;&gt;"",$C885&lt;&gt;"",$D885&lt;&gt;"",$G885&lt;&gt;"",$H885&lt;&gt;"",$I885&lt;&gt;""),1,0))</f>
        <v/>
      </c>
      <c r="BR885" s="21">
        <v>622</v>
      </c>
      <c r="BS885" s="21">
        <v>1560</v>
      </c>
      <c r="BT885"/>
    </row>
    <row r="886" spans="1:72" s="23" customFormat="1" ht="18" customHeight="1" x14ac:dyDescent="0.3">
      <c r="A886" s="35" t="s">
        <v>876</v>
      </c>
      <c r="B886" s="37"/>
      <c r="C886" s="37"/>
      <c r="D886" s="37"/>
      <c r="E886" s="37"/>
      <c r="F886" s="35" t="s">
        <v>1884</v>
      </c>
      <c r="G886" s="37"/>
      <c r="H886" s="37"/>
      <c r="I886" s="37"/>
      <c r="J886" s="37"/>
      <c r="K886" s="21" t="str">
        <f t="shared" si="577"/>
        <v>Apprenant 874</v>
      </c>
      <c r="L886" s="22" t="str">
        <f t="shared" si="578"/>
        <v/>
      </c>
      <c r="M886" s="22" t="str">
        <f t="shared" si="579"/>
        <v/>
      </c>
      <c r="N886" s="22" t="str">
        <f t="shared" si="580"/>
        <v/>
      </c>
      <c r="O886" s="22" t="str">
        <f t="shared" si="581"/>
        <v/>
      </c>
      <c r="P886" s="21" t="str">
        <f t="shared" si="582"/>
        <v>Apprenant 874 ou 874'</v>
      </c>
      <c r="Q886" s="22" t="str">
        <f t="shared" si="583"/>
        <v/>
      </c>
      <c r="R886" s="22" t="str">
        <f t="shared" si="584"/>
        <v/>
      </c>
      <c r="S886" s="22" t="str">
        <f t="shared" si="585"/>
        <v/>
      </c>
      <c r="T886" s="22" t="str">
        <f t="shared" si="586"/>
        <v/>
      </c>
      <c r="V886" s="21" t="str">
        <f t="shared" si="587"/>
        <v>Apprenant 874</v>
      </c>
      <c r="W886" s="22" t="str">
        <f>IF(AND(OR('Choix pédagogiques'!$C$3=1,'Choix pédagogiques'!$C$3=2),$BM886=1),B886,IF(AND('Choix pédagogiques'!$C$3=3,$BO886=1),B886,""))</f>
        <v/>
      </c>
      <c r="X886" s="22" t="str">
        <f>IF(AND(OR('Choix pédagogiques'!$C$3=1,'Choix pédagogiques'!$C$3=2),$BM886=1),C886,IF(AND('Choix pédagogiques'!$C$3=3,$BO886=1),C886,""))</f>
        <v/>
      </c>
      <c r="Y886" s="22" t="str">
        <f>IF(AND(OR('Choix pédagogiques'!$C$3=1,'Choix pédagogiques'!$C$3=2),$BM886=1),D886,IF(AND('Choix pédagogiques'!$C$3=3,$BO886=1),D886,""))</f>
        <v/>
      </c>
      <c r="Z886" s="22" t="str">
        <f t="shared" si="588"/>
        <v/>
      </c>
      <c r="AA886" s="21" t="str">
        <f t="shared" si="589"/>
        <v>Apprenant 874 ou 874'</v>
      </c>
      <c r="AB886" s="22" t="str">
        <f>IF(AND(OR('Choix pédagogiques'!$C$3=1,'Choix pédagogiques'!$C$3=2),$BN886=1),G886,IF(AND('Choix pédagogiques'!$C$3=3,$BO886=1),G886,""))</f>
        <v/>
      </c>
      <c r="AC886" s="22" t="str">
        <f>IF(AND(OR('Choix pédagogiques'!$C$3=1,'Choix pédagogiques'!$C$3=2),$BN886=1),H886,IF(AND('Choix pédagogiques'!$C$3=3,$BO886=1),H886,""))</f>
        <v/>
      </c>
      <c r="AD886" s="22" t="str">
        <f>IF(AND(OR('Choix pédagogiques'!$C$3=1,'Choix pédagogiques'!$C$3=2),$BN886=1),I886,IF(AND('Choix pédagogiques'!$C$3=3,$BO886=1),I886,""))</f>
        <v/>
      </c>
      <c r="AE886" s="22" t="str">
        <f t="shared" si="590"/>
        <v/>
      </c>
      <c r="AF886" s="21" t="str">
        <f t="shared" si="591"/>
        <v>Apprenant 874</v>
      </c>
      <c r="AG886" s="22" t="str">
        <f t="shared" si="565"/>
        <v/>
      </c>
      <c r="AH886" s="22" t="str">
        <f t="shared" si="566"/>
        <v/>
      </c>
      <c r="AI886" s="22" t="str">
        <f t="shared" si="567"/>
        <v/>
      </c>
      <c r="AJ886" s="22" t="str">
        <f t="shared" si="592"/>
        <v/>
      </c>
      <c r="AK886" s="21" t="str">
        <f t="shared" si="593"/>
        <v>Apprenant 874 ou 874'</v>
      </c>
      <c r="AL886" s="22" t="str">
        <f t="shared" si="568"/>
        <v/>
      </c>
      <c r="AM886" s="22" t="str">
        <f t="shared" si="569"/>
        <v/>
      </c>
      <c r="AN886" s="22" t="str">
        <f t="shared" si="570"/>
        <v/>
      </c>
      <c r="AO886" s="22" t="str">
        <f t="shared" si="594"/>
        <v/>
      </c>
      <c r="AQ886" s="21" t="str">
        <f t="shared" si="595"/>
        <v>Apprenant 874</v>
      </c>
      <c r="AR886" s="49" t="str">
        <f>IF(AND('Choix pédagogiques'!$C$4&lt;&gt;"?",'Choix pédagogiques'!$C$5&lt;&gt;"?",W886&lt;&gt;""),(W886-'Choix pédagogiques'!$C$4)/('Choix pédagogiques'!$C$5-'Choix pédagogiques'!$C$4),"")</f>
        <v/>
      </c>
      <c r="AS886" s="49" t="str">
        <f>IF(AND('Choix pédagogiques'!$C$4&lt;&gt;"?",'Choix pédagogiques'!$C$5&lt;&gt;"?",X886&lt;&gt;""),(X886-'Choix pédagogiques'!$C$4)/('Choix pédagogiques'!$C$5-'Choix pédagogiques'!$C$4),"")</f>
        <v/>
      </c>
      <c r="AT886" s="49" t="str">
        <f>IF(AND('Choix pédagogiques'!$C$4&lt;&gt;"?",'Choix pédagogiques'!$C$5&lt;&gt;"?",Y886&lt;&gt;""),(Y886-'Choix pédagogiques'!$C$4)/('Choix pédagogiques'!$C$5-'Choix pédagogiques'!$C$4),"")</f>
        <v/>
      </c>
      <c r="AU886" s="22" t="str">
        <f t="shared" si="596"/>
        <v/>
      </c>
      <c r="AV886" s="21" t="str">
        <f t="shared" si="597"/>
        <v>Apprenant 874 ou 874'</v>
      </c>
      <c r="AW886" s="49" t="str">
        <f>IF(AND('Choix pédagogiques'!$C$4&lt;&gt;"?",'Choix pédagogiques'!$C$5&lt;&gt;"?",AB886&lt;&gt;""),(AB886-'Choix pédagogiques'!$C$4)/('Choix pédagogiques'!$C$5-'Choix pédagogiques'!$C$4),"")</f>
        <v/>
      </c>
      <c r="AX886" s="49" t="str">
        <f>IF(AND('Choix pédagogiques'!$C$4&lt;&gt;"?",'Choix pédagogiques'!$C$5&lt;&gt;"?",AC886&lt;&gt;""),(AC886-'Choix pédagogiques'!$C$4)/('Choix pédagogiques'!$C$5-'Choix pédagogiques'!$C$4),"")</f>
        <v/>
      </c>
      <c r="AY886" s="49" t="str">
        <f>IF(AND('Choix pédagogiques'!$C$4&lt;&gt;"?",'Choix pédagogiques'!$C$5&lt;&gt;"?",AD886&lt;&gt;""),(AD886-'Choix pédagogiques'!$C$4)/('Choix pédagogiques'!$C$5-'Choix pédagogiques'!$C$4),"")</f>
        <v/>
      </c>
      <c r="AZ886" s="22" t="str">
        <f t="shared" si="598"/>
        <v/>
      </c>
      <c r="BA886" s="21" t="str">
        <f t="shared" si="599"/>
        <v>Apprenant 874</v>
      </c>
      <c r="BB886" s="49" t="str">
        <f t="shared" si="571"/>
        <v/>
      </c>
      <c r="BC886" s="49" t="str">
        <f t="shared" si="572"/>
        <v/>
      </c>
      <c r="BD886" s="49" t="str">
        <f t="shared" si="573"/>
        <v/>
      </c>
      <c r="BE886" s="22" t="str">
        <f t="shared" si="600"/>
        <v/>
      </c>
      <c r="BF886" s="21" t="str">
        <f t="shared" si="601"/>
        <v>Apprenant 874 ou 874'</v>
      </c>
      <c r="BG886" s="49" t="str">
        <f t="shared" si="574"/>
        <v/>
      </c>
      <c r="BH886" s="49" t="str">
        <f t="shared" si="575"/>
        <v/>
      </c>
      <c r="BI886" s="49" t="str">
        <f t="shared" si="576"/>
        <v/>
      </c>
      <c r="BJ886" s="22" t="str">
        <f t="shared" si="602"/>
        <v/>
      </c>
      <c r="BL886" s="21"/>
      <c r="BM886" s="21" t="str">
        <f>IF(OR(COUNT(B886:D1885)=0,AND('Choix pédagogiques'!$C$3&lt;&gt;1,'Choix pédagogiques'!$C$3&lt;&gt;2)),"",IF(AND(OR('Choix pédagogiques'!$C$3=1,'Choix pédagogiques'!$C$3=2),$B886&lt;&gt;"",$C886&lt;&gt;"",$D886&lt;&gt;""),1,0))</f>
        <v/>
      </c>
      <c r="BN886" s="21" t="str">
        <f>IF(OR(COUNT(G886:I1885)=0,AND('Choix pédagogiques'!$C$3&lt;&gt;1,'Choix pédagogiques'!$C$3&lt;&gt;2)),"",IF(AND(OR('Choix pédagogiques'!$C$3=1,'Choix pédagogiques'!$C$3=2),AND($G886&lt;&gt;"",$H886&lt;&gt;"",$I886&lt;&gt;"")),1,0))</f>
        <v/>
      </c>
      <c r="BO886" s="21" t="str">
        <f>IF(OR(COUNT(B886:D1885)=0,COUNT(G886:I1885)=0,'Choix pédagogiques'!C$3&lt;&gt;3),"",IF(AND('Choix pédagogiques'!$C$3=3,$B886&lt;&gt;"",$C886&lt;&gt;"",$D886&lt;&gt;"",$G886&lt;&gt;"",$H886&lt;&gt;"",$I886&lt;&gt;""),1,0))</f>
        <v/>
      </c>
      <c r="BR886" s="21">
        <v>456</v>
      </c>
      <c r="BS886" s="21">
        <v>1539</v>
      </c>
      <c r="BT886"/>
    </row>
    <row r="887" spans="1:72" s="23" customFormat="1" ht="18" customHeight="1" x14ac:dyDescent="0.3">
      <c r="A887" s="35" t="s">
        <v>877</v>
      </c>
      <c r="B887" s="37"/>
      <c r="C887" s="37"/>
      <c r="D887" s="37"/>
      <c r="E887" s="37"/>
      <c r="F887" s="35" t="s">
        <v>1885</v>
      </c>
      <c r="G887" s="37"/>
      <c r="H887" s="37"/>
      <c r="I887" s="37"/>
      <c r="J887" s="37"/>
      <c r="K887" s="21" t="str">
        <f t="shared" si="577"/>
        <v>Apprenant 875</v>
      </c>
      <c r="L887" s="22" t="str">
        <f t="shared" si="578"/>
        <v/>
      </c>
      <c r="M887" s="22" t="str">
        <f t="shared" si="579"/>
        <v/>
      </c>
      <c r="N887" s="22" t="str">
        <f t="shared" si="580"/>
        <v/>
      </c>
      <c r="O887" s="22" t="str">
        <f t="shared" si="581"/>
        <v/>
      </c>
      <c r="P887" s="21" t="str">
        <f t="shared" si="582"/>
        <v>Apprenant 875 ou 875'</v>
      </c>
      <c r="Q887" s="22" t="str">
        <f t="shared" si="583"/>
        <v/>
      </c>
      <c r="R887" s="22" t="str">
        <f t="shared" si="584"/>
        <v/>
      </c>
      <c r="S887" s="22" t="str">
        <f t="shared" si="585"/>
        <v/>
      </c>
      <c r="T887" s="22" t="str">
        <f t="shared" si="586"/>
        <v/>
      </c>
      <c r="V887" s="21" t="str">
        <f t="shared" si="587"/>
        <v>Apprenant 875</v>
      </c>
      <c r="W887" s="22" t="str">
        <f>IF(AND(OR('Choix pédagogiques'!$C$3=1,'Choix pédagogiques'!$C$3=2),$BM887=1),B887,IF(AND('Choix pédagogiques'!$C$3=3,$BO887=1),B887,""))</f>
        <v/>
      </c>
      <c r="X887" s="22" t="str">
        <f>IF(AND(OR('Choix pédagogiques'!$C$3=1,'Choix pédagogiques'!$C$3=2),$BM887=1),C887,IF(AND('Choix pédagogiques'!$C$3=3,$BO887=1),C887,""))</f>
        <v/>
      </c>
      <c r="Y887" s="22" t="str">
        <f>IF(AND(OR('Choix pédagogiques'!$C$3=1,'Choix pédagogiques'!$C$3=2),$BM887=1),D887,IF(AND('Choix pédagogiques'!$C$3=3,$BO887=1),D887,""))</f>
        <v/>
      </c>
      <c r="Z887" s="22" t="str">
        <f t="shared" si="588"/>
        <v/>
      </c>
      <c r="AA887" s="21" t="str">
        <f t="shared" si="589"/>
        <v>Apprenant 875 ou 875'</v>
      </c>
      <c r="AB887" s="22" t="str">
        <f>IF(AND(OR('Choix pédagogiques'!$C$3=1,'Choix pédagogiques'!$C$3=2),$BN887=1),G887,IF(AND('Choix pédagogiques'!$C$3=3,$BO887=1),G887,""))</f>
        <v/>
      </c>
      <c r="AC887" s="22" t="str">
        <f>IF(AND(OR('Choix pédagogiques'!$C$3=1,'Choix pédagogiques'!$C$3=2),$BN887=1),H887,IF(AND('Choix pédagogiques'!$C$3=3,$BO887=1),H887,""))</f>
        <v/>
      </c>
      <c r="AD887" s="22" t="str">
        <f>IF(AND(OR('Choix pédagogiques'!$C$3=1,'Choix pédagogiques'!$C$3=2),$BN887=1),I887,IF(AND('Choix pédagogiques'!$C$3=3,$BO887=1),I887,""))</f>
        <v/>
      </c>
      <c r="AE887" s="22" t="str">
        <f t="shared" si="590"/>
        <v/>
      </c>
      <c r="AF887" s="21" t="str">
        <f t="shared" si="591"/>
        <v>Apprenant 875</v>
      </c>
      <c r="AG887" s="22" t="str">
        <f t="shared" si="565"/>
        <v/>
      </c>
      <c r="AH887" s="22" t="str">
        <f t="shared" si="566"/>
        <v/>
      </c>
      <c r="AI887" s="22" t="str">
        <f t="shared" si="567"/>
        <v/>
      </c>
      <c r="AJ887" s="22" t="str">
        <f t="shared" si="592"/>
        <v/>
      </c>
      <c r="AK887" s="21" t="str">
        <f t="shared" si="593"/>
        <v>Apprenant 875 ou 875'</v>
      </c>
      <c r="AL887" s="22" t="str">
        <f t="shared" si="568"/>
        <v/>
      </c>
      <c r="AM887" s="22" t="str">
        <f t="shared" si="569"/>
        <v/>
      </c>
      <c r="AN887" s="22" t="str">
        <f t="shared" si="570"/>
        <v/>
      </c>
      <c r="AO887" s="22" t="str">
        <f t="shared" si="594"/>
        <v/>
      </c>
      <c r="AQ887" s="21" t="str">
        <f t="shared" si="595"/>
        <v>Apprenant 875</v>
      </c>
      <c r="AR887" s="49" t="str">
        <f>IF(AND('Choix pédagogiques'!$C$4&lt;&gt;"?",'Choix pédagogiques'!$C$5&lt;&gt;"?",W887&lt;&gt;""),(W887-'Choix pédagogiques'!$C$4)/('Choix pédagogiques'!$C$5-'Choix pédagogiques'!$C$4),"")</f>
        <v/>
      </c>
      <c r="AS887" s="49" t="str">
        <f>IF(AND('Choix pédagogiques'!$C$4&lt;&gt;"?",'Choix pédagogiques'!$C$5&lt;&gt;"?",X887&lt;&gt;""),(X887-'Choix pédagogiques'!$C$4)/('Choix pédagogiques'!$C$5-'Choix pédagogiques'!$C$4),"")</f>
        <v/>
      </c>
      <c r="AT887" s="49" t="str">
        <f>IF(AND('Choix pédagogiques'!$C$4&lt;&gt;"?",'Choix pédagogiques'!$C$5&lt;&gt;"?",Y887&lt;&gt;""),(Y887-'Choix pédagogiques'!$C$4)/('Choix pédagogiques'!$C$5-'Choix pédagogiques'!$C$4),"")</f>
        <v/>
      </c>
      <c r="AU887" s="22" t="str">
        <f t="shared" si="596"/>
        <v/>
      </c>
      <c r="AV887" s="21" t="str">
        <f t="shared" si="597"/>
        <v>Apprenant 875 ou 875'</v>
      </c>
      <c r="AW887" s="49" t="str">
        <f>IF(AND('Choix pédagogiques'!$C$4&lt;&gt;"?",'Choix pédagogiques'!$C$5&lt;&gt;"?",AB887&lt;&gt;""),(AB887-'Choix pédagogiques'!$C$4)/('Choix pédagogiques'!$C$5-'Choix pédagogiques'!$C$4),"")</f>
        <v/>
      </c>
      <c r="AX887" s="49" t="str">
        <f>IF(AND('Choix pédagogiques'!$C$4&lt;&gt;"?",'Choix pédagogiques'!$C$5&lt;&gt;"?",AC887&lt;&gt;""),(AC887-'Choix pédagogiques'!$C$4)/('Choix pédagogiques'!$C$5-'Choix pédagogiques'!$C$4),"")</f>
        <v/>
      </c>
      <c r="AY887" s="49" t="str">
        <f>IF(AND('Choix pédagogiques'!$C$4&lt;&gt;"?",'Choix pédagogiques'!$C$5&lt;&gt;"?",AD887&lt;&gt;""),(AD887-'Choix pédagogiques'!$C$4)/('Choix pédagogiques'!$C$5-'Choix pédagogiques'!$C$4),"")</f>
        <v/>
      </c>
      <c r="AZ887" s="22" t="str">
        <f t="shared" si="598"/>
        <v/>
      </c>
      <c r="BA887" s="21" t="str">
        <f t="shared" si="599"/>
        <v>Apprenant 875</v>
      </c>
      <c r="BB887" s="49" t="str">
        <f t="shared" si="571"/>
        <v/>
      </c>
      <c r="BC887" s="49" t="str">
        <f t="shared" si="572"/>
        <v/>
      </c>
      <c r="BD887" s="49" t="str">
        <f t="shared" si="573"/>
        <v/>
      </c>
      <c r="BE887" s="22" t="str">
        <f t="shared" si="600"/>
        <v/>
      </c>
      <c r="BF887" s="21" t="str">
        <f t="shared" si="601"/>
        <v>Apprenant 875 ou 875'</v>
      </c>
      <c r="BG887" s="49" t="str">
        <f t="shared" si="574"/>
        <v/>
      </c>
      <c r="BH887" s="49" t="str">
        <f t="shared" si="575"/>
        <v/>
      </c>
      <c r="BI887" s="49" t="str">
        <f t="shared" si="576"/>
        <v/>
      </c>
      <c r="BJ887" s="22" t="str">
        <f t="shared" si="602"/>
        <v/>
      </c>
      <c r="BL887" s="21"/>
      <c r="BM887" s="21" t="str">
        <f>IF(OR(COUNT(B887:D1886)=0,AND('Choix pédagogiques'!$C$3&lt;&gt;1,'Choix pédagogiques'!$C$3&lt;&gt;2)),"",IF(AND(OR('Choix pédagogiques'!$C$3=1,'Choix pédagogiques'!$C$3=2),$B887&lt;&gt;"",$C887&lt;&gt;"",$D887&lt;&gt;""),1,0))</f>
        <v/>
      </c>
      <c r="BN887" s="21" t="str">
        <f>IF(OR(COUNT(G887:I1886)=0,AND('Choix pédagogiques'!$C$3&lt;&gt;1,'Choix pédagogiques'!$C$3&lt;&gt;2)),"",IF(AND(OR('Choix pédagogiques'!$C$3=1,'Choix pédagogiques'!$C$3=2),AND($G887&lt;&gt;"",$H887&lt;&gt;"",$I887&lt;&gt;"")),1,0))</f>
        <v/>
      </c>
      <c r="BO887" s="21" t="str">
        <f>IF(OR(COUNT(B887:D1886)=0,COUNT(G887:I1886)=0,'Choix pédagogiques'!C$3&lt;&gt;3),"",IF(AND('Choix pédagogiques'!$C$3=3,$B887&lt;&gt;"",$C887&lt;&gt;"",$D887&lt;&gt;"",$G887&lt;&gt;"",$H887&lt;&gt;"",$I887&lt;&gt;""),1,0))</f>
        <v/>
      </c>
      <c r="BR887" s="21">
        <v>164</v>
      </c>
      <c r="BS887" s="21">
        <v>1811</v>
      </c>
      <c r="BT887"/>
    </row>
    <row r="888" spans="1:72" s="23" customFormat="1" ht="18" customHeight="1" x14ac:dyDescent="0.3">
      <c r="A888" s="35" t="s">
        <v>878</v>
      </c>
      <c r="B888" s="37"/>
      <c r="C888" s="37"/>
      <c r="D888" s="37"/>
      <c r="E888" s="37"/>
      <c r="F888" s="35" t="s">
        <v>1886</v>
      </c>
      <c r="G888" s="37"/>
      <c r="H888" s="37"/>
      <c r="I888" s="37"/>
      <c r="J888" s="37"/>
      <c r="K888" s="21" t="str">
        <f t="shared" si="577"/>
        <v>Apprenant 876</v>
      </c>
      <c r="L888" s="22" t="str">
        <f t="shared" si="578"/>
        <v/>
      </c>
      <c r="M888" s="22" t="str">
        <f t="shared" si="579"/>
        <v/>
      </c>
      <c r="N888" s="22" t="str">
        <f t="shared" si="580"/>
        <v/>
      </c>
      <c r="O888" s="22" t="str">
        <f t="shared" si="581"/>
        <v/>
      </c>
      <c r="P888" s="21" t="str">
        <f t="shared" si="582"/>
        <v>Apprenant 876 ou 876'</v>
      </c>
      <c r="Q888" s="22" t="str">
        <f t="shared" si="583"/>
        <v/>
      </c>
      <c r="R888" s="22" t="str">
        <f t="shared" si="584"/>
        <v/>
      </c>
      <c r="S888" s="22" t="str">
        <f t="shared" si="585"/>
        <v/>
      </c>
      <c r="T888" s="22" t="str">
        <f t="shared" si="586"/>
        <v/>
      </c>
      <c r="V888" s="21" t="str">
        <f t="shared" si="587"/>
        <v>Apprenant 876</v>
      </c>
      <c r="W888" s="22" t="str">
        <f>IF(AND(OR('Choix pédagogiques'!$C$3=1,'Choix pédagogiques'!$C$3=2),$BM888=1),B888,IF(AND('Choix pédagogiques'!$C$3=3,$BO888=1),B888,""))</f>
        <v/>
      </c>
      <c r="X888" s="22" t="str">
        <f>IF(AND(OR('Choix pédagogiques'!$C$3=1,'Choix pédagogiques'!$C$3=2),$BM888=1),C888,IF(AND('Choix pédagogiques'!$C$3=3,$BO888=1),C888,""))</f>
        <v/>
      </c>
      <c r="Y888" s="22" t="str">
        <f>IF(AND(OR('Choix pédagogiques'!$C$3=1,'Choix pédagogiques'!$C$3=2),$BM888=1),D888,IF(AND('Choix pédagogiques'!$C$3=3,$BO888=1),D888,""))</f>
        <v/>
      </c>
      <c r="Z888" s="22" t="str">
        <f t="shared" si="588"/>
        <v/>
      </c>
      <c r="AA888" s="21" t="str">
        <f t="shared" si="589"/>
        <v>Apprenant 876 ou 876'</v>
      </c>
      <c r="AB888" s="22" t="str">
        <f>IF(AND(OR('Choix pédagogiques'!$C$3=1,'Choix pédagogiques'!$C$3=2),$BN888=1),G888,IF(AND('Choix pédagogiques'!$C$3=3,$BO888=1),G888,""))</f>
        <v/>
      </c>
      <c r="AC888" s="22" t="str">
        <f>IF(AND(OR('Choix pédagogiques'!$C$3=1,'Choix pédagogiques'!$C$3=2),$BN888=1),H888,IF(AND('Choix pédagogiques'!$C$3=3,$BO888=1),H888,""))</f>
        <v/>
      </c>
      <c r="AD888" s="22" t="str">
        <f>IF(AND(OR('Choix pédagogiques'!$C$3=1,'Choix pédagogiques'!$C$3=2),$BN888=1),I888,IF(AND('Choix pédagogiques'!$C$3=3,$BO888=1),I888,""))</f>
        <v/>
      </c>
      <c r="AE888" s="22" t="str">
        <f t="shared" si="590"/>
        <v/>
      </c>
      <c r="AF888" s="21" t="str">
        <f t="shared" si="591"/>
        <v>Apprenant 876</v>
      </c>
      <c r="AG888" s="22" t="str">
        <f t="shared" si="565"/>
        <v/>
      </c>
      <c r="AH888" s="22" t="str">
        <f t="shared" si="566"/>
        <v/>
      </c>
      <c r="AI888" s="22" t="str">
        <f t="shared" si="567"/>
        <v/>
      </c>
      <c r="AJ888" s="22" t="str">
        <f t="shared" si="592"/>
        <v/>
      </c>
      <c r="AK888" s="21" t="str">
        <f t="shared" si="593"/>
        <v>Apprenant 876 ou 876'</v>
      </c>
      <c r="AL888" s="22" t="str">
        <f t="shared" si="568"/>
        <v/>
      </c>
      <c r="AM888" s="22" t="str">
        <f t="shared" si="569"/>
        <v/>
      </c>
      <c r="AN888" s="22" t="str">
        <f t="shared" si="570"/>
        <v/>
      </c>
      <c r="AO888" s="22" t="str">
        <f t="shared" si="594"/>
        <v/>
      </c>
      <c r="AQ888" s="21" t="str">
        <f t="shared" si="595"/>
        <v>Apprenant 876</v>
      </c>
      <c r="AR888" s="49" t="str">
        <f>IF(AND('Choix pédagogiques'!$C$4&lt;&gt;"?",'Choix pédagogiques'!$C$5&lt;&gt;"?",W888&lt;&gt;""),(W888-'Choix pédagogiques'!$C$4)/('Choix pédagogiques'!$C$5-'Choix pédagogiques'!$C$4),"")</f>
        <v/>
      </c>
      <c r="AS888" s="49" t="str">
        <f>IF(AND('Choix pédagogiques'!$C$4&lt;&gt;"?",'Choix pédagogiques'!$C$5&lt;&gt;"?",X888&lt;&gt;""),(X888-'Choix pédagogiques'!$C$4)/('Choix pédagogiques'!$C$5-'Choix pédagogiques'!$C$4),"")</f>
        <v/>
      </c>
      <c r="AT888" s="49" t="str">
        <f>IF(AND('Choix pédagogiques'!$C$4&lt;&gt;"?",'Choix pédagogiques'!$C$5&lt;&gt;"?",Y888&lt;&gt;""),(Y888-'Choix pédagogiques'!$C$4)/('Choix pédagogiques'!$C$5-'Choix pédagogiques'!$C$4),"")</f>
        <v/>
      </c>
      <c r="AU888" s="22" t="str">
        <f t="shared" si="596"/>
        <v/>
      </c>
      <c r="AV888" s="21" t="str">
        <f t="shared" si="597"/>
        <v>Apprenant 876 ou 876'</v>
      </c>
      <c r="AW888" s="49" t="str">
        <f>IF(AND('Choix pédagogiques'!$C$4&lt;&gt;"?",'Choix pédagogiques'!$C$5&lt;&gt;"?",AB888&lt;&gt;""),(AB888-'Choix pédagogiques'!$C$4)/('Choix pédagogiques'!$C$5-'Choix pédagogiques'!$C$4),"")</f>
        <v/>
      </c>
      <c r="AX888" s="49" t="str">
        <f>IF(AND('Choix pédagogiques'!$C$4&lt;&gt;"?",'Choix pédagogiques'!$C$5&lt;&gt;"?",AC888&lt;&gt;""),(AC888-'Choix pédagogiques'!$C$4)/('Choix pédagogiques'!$C$5-'Choix pédagogiques'!$C$4),"")</f>
        <v/>
      </c>
      <c r="AY888" s="49" t="str">
        <f>IF(AND('Choix pédagogiques'!$C$4&lt;&gt;"?",'Choix pédagogiques'!$C$5&lt;&gt;"?",AD888&lt;&gt;""),(AD888-'Choix pédagogiques'!$C$4)/('Choix pédagogiques'!$C$5-'Choix pédagogiques'!$C$4),"")</f>
        <v/>
      </c>
      <c r="AZ888" s="22" t="str">
        <f t="shared" si="598"/>
        <v/>
      </c>
      <c r="BA888" s="21" t="str">
        <f t="shared" si="599"/>
        <v>Apprenant 876</v>
      </c>
      <c r="BB888" s="49" t="str">
        <f t="shared" si="571"/>
        <v/>
      </c>
      <c r="BC888" s="49" t="str">
        <f t="shared" si="572"/>
        <v/>
      </c>
      <c r="BD888" s="49" t="str">
        <f t="shared" si="573"/>
        <v/>
      </c>
      <c r="BE888" s="22" t="str">
        <f t="shared" si="600"/>
        <v/>
      </c>
      <c r="BF888" s="21" t="str">
        <f t="shared" si="601"/>
        <v>Apprenant 876 ou 876'</v>
      </c>
      <c r="BG888" s="49" t="str">
        <f t="shared" si="574"/>
        <v/>
      </c>
      <c r="BH888" s="49" t="str">
        <f t="shared" si="575"/>
        <v/>
      </c>
      <c r="BI888" s="49" t="str">
        <f t="shared" si="576"/>
        <v/>
      </c>
      <c r="BJ888" s="22" t="str">
        <f t="shared" si="602"/>
        <v/>
      </c>
      <c r="BL888" s="21"/>
      <c r="BM888" s="21" t="str">
        <f>IF(OR(COUNT(B888:D1887)=0,AND('Choix pédagogiques'!$C$3&lt;&gt;1,'Choix pédagogiques'!$C$3&lt;&gt;2)),"",IF(AND(OR('Choix pédagogiques'!$C$3=1,'Choix pédagogiques'!$C$3=2),$B888&lt;&gt;"",$C888&lt;&gt;"",$D888&lt;&gt;""),1,0))</f>
        <v/>
      </c>
      <c r="BN888" s="21" t="str">
        <f>IF(OR(COUNT(G888:I1887)=0,AND('Choix pédagogiques'!$C$3&lt;&gt;1,'Choix pédagogiques'!$C$3&lt;&gt;2)),"",IF(AND(OR('Choix pédagogiques'!$C$3=1,'Choix pédagogiques'!$C$3=2),AND($G888&lt;&gt;"",$H888&lt;&gt;"",$I888&lt;&gt;"")),1,0))</f>
        <v/>
      </c>
      <c r="BO888" s="21" t="str">
        <f>IF(OR(COUNT(B888:D1887)=0,COUNT(G888:I1887)=0,'Choix pédagogiques'!C$3&lt;&gt;3),"",IF(AND('Choix pédagogiques'!$C$3=3,$B888&lt;&gt;"",$C888&lt;&gt;"",$D888&lt;&gt;"",$G888&lt;&gt;"",$H888&lt;&gt;"",$I888&lt;&gt;""),1,0))</f>
        <v/>
      </c>
      <c r="BR888" s="21">
        <v>635</v>
      </c>
      <c r="BS888" s="21">
        <v>1222</v>
      </c>
      <c r="BT888"/>
    </row>
    <row r="889" spans="1:72" s="23" customFormat="1" ht="18" customHeight="1" x14ac:dyDescent="0.3">
      <c r="A889" s="35" t="s">
        <v>879</v>
      </c>
      <c r="B889" s="37"/>
      <c r="C889" s="37"/>
      <c r="D889" s="37"/>
      <c r="E889" s="37"/>
      <c r="F889" s="35" t="s">
        <v>1887</v>
      </c>
      <c r="G889" s="37"/>
      <c r="H889" s="37"/>
      <c r="I889" s="37"/>
      <c r="J889" s="37"/>
      <c r="K889" s="21" t="str">
        <f t="shared" si="577"/>
        <v>Apprenant 877</v>
      </c>
      <c r="L889" s="22" t="str">
        <f t="shared" si="578"/>
        <v/>
      </c>
      <c r="M889" s="22" t="str">
        <f t="shared" si="579"/>
        <v/>
      </c>
      <c r="N889" s="22" t="str">
        <f t="shared" si="580"/>
        <v/>
      </c>
      <c r="O889" s="22" t="str">
        <f t="shared" si="581"/>
        <v/>
      </c>
      <c r="P889" s="21" t="str">
        <f t="shared" si="582"/>
        <v>Apprenant 877 ou 877'</v>
      </c>
      <c r="Q889" s="22" t="str">
        <f t="shared" si="583"/>
        <v/>
      </c>
      <c r="R889" s="22" t="str">
        <f t="shared" si="584"/>
        <v/>
      </c>
      <c r="S889" s="22" t="str">
        <f t="shared" si="585"/>
        <v/>
      </c>
      <c r="T889" s="22" t="str">
        <f t="shared" si="586"/>
        <v/>
      </c>
      <c r="V889" s="21" t="str">
        <f t="shared" si="587"/>
        <v>Apprenant 877</v>
      </c>
      <c r="W889" s="22" t="str">
        <f>IF(AND(OR('Choix pédagogiques'!$C$3=1,'Choix pédagogiques'!$C$3=2),$BM889=1),B889,IF(AND('Choix pédagogiques'!$C$3=3,$BO889=1),B889,""))</f>
        <v/>
      </c>
      <c r="X889" s="22" t="str">
        <f>IF(AND(OR('Choix pédagogiques'!$C$3=1,'Choix pédagogiques'!$C$3=2),$BM889=1),C889,IF(AND('Choix pédagogiques'!$C$3=3,$BO889=1),C889,""))</f>
        <v/>
      </c>
      <c r="Y889" s="22" t="str">
        <f>IF(AND(OR('Choix pédagogiques'!$C$3=1,'Choix pédagogiques'!$C$3=2),$BM889=1),D889,IF(AND('Choix pédagogiques'!$C$3=3,$BO889=1),D889,""))</f>
        <v/>
      </c>
      <c r="Z889" s="22" t="str">
        <f t="shared" si="588"/>
        <v/>
      </c>
      <c r="AA889" s="21" t="str">
        <f t="shared" si="589"/>
        <v>Apprenant 877 ou 877'</v>
      </c>
      <c r="AB889" s="22" t="str">
        <f>IF(AND(OR('Choix pédagogiques'!$C$3=1,'Choix pédagogiques'!$C$3=2),$BN889=1),G889,IF(AND('Choix pédagogiques'!$C$3=3,$BO889=1),G889,""))</f>
        <v/>
      </c>
      <c r="AC889" s="22" t="str">
        <f>IF(AND(OR('Choix pédagogiques'!$C$3=1,'Choix pédagogiques'!$C$3=2),$BN889=1),H889,IF(AND('Choix pédagogiques'!$C$3=3,$BO889=1),H889,""))</f>
        <v/>
      </c>
      <c r="AD889" s="22" t="str">
        <f>IF(AND(OR('Choix pédagogiques'!$C$3=1,'Choix pédagogiques'!$C$3=2),$BN889=1),I889,IF(AND('Choix pédagogiques'!$C$3=3,$BO889=1),I889,""))</f>
        <v/>
      </c>
      <c r="AE889" s="22" t="str">
        <f t="shared" si="590"/>
        <v/>
      </c>
      <c r="AF889" s="21" t="str">
        <f t="shared" si="591"/>
        <v>Apprenant 877</v>
      </c>
      <c r="AG889" s="22" t="str">
        <f t="shared" si="565"/>
        <v/>
      </c>
      <c r="AH889" s="22" t="str">
        <f t="shared" si="566"/>
        <v/>
      </c>
      <c r="AI889" s="22" t="str">
        <f t="shared" si="567"/>
        <v/>
      </c>
      <c r="AJ889" s="22" t="str">
        <f t="shared" si="592"/>
        <v/>
      </c>
      <c r="AK889" s="21" t="str">
        <f t="shared" si="593"/>
        <v>Apprenant 877 ou 877'</v>
      </c>
      <c r="AL889" s="22" t="str">
        <f t="shared" si="568"/>
        <v/>
      </c>
      <c r="AM889" s="22" t="str">
        <f t="shared" si="569"/>
        <v/>
      </c>
      <c r="AN889" s="22" t="str">
        <f t="shared" si="570"/>
        <v/>
      </c>
      <c r="AO889" s="22" t="str">
        <f t="shared" si="594"/>
        <v/>
      </c>
      <c r="AQ889" s="21" t="str">
        <f t="shared" si="595"/>
        <v>Apprenant 877</v>
      </c>
      <c r="AR889" s="49" t="str">
        <f>IF(AND('Choix pédagogiques'!$C$4&lt;&gt;"?",'Choix pédagogiques'!$C$5&lt;&gt;"?",W889&lt;&gt;""),(W889-'Choix pédagogiques'!$C$4)/('Choix pédagogiques'!$C$5-'Choix pédagogiques'!$C$4),"")</f>
        <v/>
      </c>
      <c r="AS889" s="49" t="str">
        <f>IF(AND('Choix pédagogiques'!$C$4&lt;&gt;"?",'Choix pédagogiques'!$C$5&lt;&gt;"?",X889&lt;&gt;""),(X889-'Choix pédagogiques'!$C$4)/('Choix pédagogiques'!$C$5-'Choix pédagogiques'!$C$4),"")</f>
        <v/>
      </c>
      <c r="AT889" s="49" t="str">
        <f>IF(AND('Choix pédagogiques'!$C$4&lt;&gt;"?",'Choix pédagogiques'!$C$5&lt;&gt;"?",Y889&lt;&gt;""),(Y889-'Choix pédagogiques'!$C$4)/('Choix pédagogiques'!$C$5-'Choix pédagogiques'!$C$4),"")</f>
        <v/>
      </c>
      <c r="AU889" s="22" t="str">
        <f t="shared" si="596"/>
        <v/>
      </c>
      <c r="AV889" s="21" t="str">
        <f t="shared" si="597"/>
        <v>Apprenant 877 ou 877'</v>
      </c>
      <c r="AW889" s="49" t="str">
        <f>IF(AND('Choix pédagogiques'!$C$4&lt;&gt;"?",'Choix pédagogiques'!$C$5&lt;&gt;"?",AB889&lt;&gt;""),(AB889-'Choix pédagogiques'!$C$4)/('Choix pédagogiques'!$C$5-'Choix pédagogiques'!$C$4),"")</f>
        <v/>
      </c>
      <c r="AX889" s="49" t="str">
        <f>IF(AND('Choix pédagogiques'!$C$4&lt;&gt;"?",'Choix pédagogiques'!$C$5&lt;&gt;"?",AC889&lt;&gt;""),(AC889-'Choix pédagogiques'!$C$4)/('Choix pédagogiques'!$C$5-'Choix pédagogiques'!$C$4),"")</f>
        <v/>
      </c>
      <c r="AY889" s="49" t="str">
        <f>IF(AND('Choix pédagogiques'!$C$4&lt;&gt;"?",'Choix pédagogiques'!$C$5&lt;&gt;"?",AD889&lt;&gt;""),(AD889-'Choix pédagogiques'!$C$4)/('Choix pédagogiques'!$C$5-'Choix pédagogiques'!$C$4),"")</f>
        <v/>
      </c>
      <c r="AZ889" s="22" t="str">
        <f t="shared" si="598"/>
        <v/>
      </c>
      <c r="BA889" s="21" t="str">
        <f t="shared" si="599"/>
        <v>Apprenant 877</v>
      </c>
      <c r="BB889" s="49" t="str">
        <f t="shared" si="571"/>
        <v/>
      </c>
      <c r="BC889" s="49" t="str">
        <f t="shared" si="572"/>
        <v/>
      </c>
      <c r="BD889" s="49" t="str">
        <f t="shared" si="573"/>
        <v/>
      </c>
      <c r="BE889" s="22" t="str">
        <f t="shared" si="600"/>
        <v/>
      </c>
      <c r="BF889" s="21" t="str">
        <f t="shared" si="601"/>
        <v>Apprenant 877 ou 877'</v>
      </c>
      <c r="BG889" s="49" t="str">
        <f t="shared" si="574"/>
        <v/>
      </c>
      <c r="BH889" s="49" t="str">
        <f t="shared" si="575"/>
        <v/>
      </c>
      <c r="BI889" s="49" t="str">
        <f t="shared" si="576"/>
        <v/>
      </c>
      <c r="BJ889" s="22" t="str">
        <f t="shared" si="602"/>
        <v/>
      </c>
      <c r="BL889" s="21"/>
      <c r="BM889" s="21" t="str">
        <f>IF(OR(COUNT(B889:D1888)=0,AND('Choix pédagogiques'!$C$3&lt;&gt;1,'Choix pédagogiques'!$C$3&lt;&gt;2)),"",IF(AND(OR('Choix pédagogiques'!$C$3=1,'Choix pédagogiques'!$C$3=2),$B889&lt;&gt;"",$C889&lt;&gt;"",$D889&lt;&gt;""),1,0))</f>
        <v/>
      </c>
      <c r="BN889" s="21" t="str">
        <f>IF(OR(COUNT(G889:I1888)=0,AND('Choix pédagogiques'!$C$3&lt;&gt;1,'Choix pédagogiques'!$C$3&lt;&gt;2)),"",IF(AND(OR('Choix pédagogiques'!$C$3=1,'Choix pédagogiques'!$C$3=2),AND($G889&lt;&gt;"",$H889&lt;&gt;"",$I889&lt;&gt;"")),1,0))</f>
        <v/>
      </c>
      <c r="BO889" s="21" t="str">
        <f>IF(OR(COUNT(B889:D1888)=0,COUNT(G889:I1888)=0,'Choix pédagogiques'!C$3&lt;&gt;3),"",IF(AND('Choix pédagogiques'!$C$3=3,$B889&lt;&gt;"",$C889&lt;&gt;"",$D889&lt;&gt;"",$G889&lt;&gt;"",$H889&lt;&gt;"",$I889&lt;&gt;""),1,0))</f>
        <v/>
      </c>
      <c r="BR889" s="21">
        <v>32</v>
      </c>
      <c r="BS889" s="21">
        <v>1201</v>
      </c>
      <c r="BT889"/>
    </row>
    <row r="890" spans="1:72" s="23" customFormat="1" ht="18" customHeight="1" x14ac:dyDescent="0.3">
      <c r="A890" s="35" t="s">
        <v>880</v>
      </c>
      <c r="B890" s="37"/>
      <c r="C890" s="37"/>
      <c r="D890" s="37"/>
      <c r="E890" s="37"/>
      <c r="F890" s="35" t="s">
        <v>1888</v>
      </c>
      <c r="G890" s="37"/>
      <c r="H890" s="37"/>
      <c r="I890" s="37"/>
      <c r="J890" s="37"/>
      <c r="K890" s="21" t="str">
        <f t="shared" si="577"/>
        <v>Apprenant 878</v>
      </c>
      <c r="L890" s="22" t="str">
        <f t="shared" si="578"/>
        <v/>
      </c>
      <c r="M890" s="22" t="str">
        <f t="shared" si="579"/>
        <v/>
      </c>
      <c r="N890" s="22" t="str">
        <f t="shared" si="580"/>
        <v/>
      </c>
      <c r="O890" s="22" t="str">
        <f t="shared" si="581"/>
        <v/>
      </c>
      <c r="P890" s="21" t="str">
        <f t="shared" si="582"/>
        <v>Apprenant 878 ou 878'</v>
      </c>
      <c r="Q890" s="22" t="str">
        <f t="shared" si="583"/>
        <v/>
      </c>
      <c r="R890" s="22" t="str">
        <f t="shared" si="584"/>
        <v/>
      </c>
      <c r="S890" s="22" t="str">
        <f t="shared" si="585"/>
        <v/>
      </c>
      <c r="T890" s="22" t="str">
        <f t="shared" si="586"/>
        <v/>
      </c>
      <c r="V890" s="21" t="str">
        <f t="shared" si="587"/>
        <v>Apprenant 878</v>
      </c>
      <c r="W890" s="22" t="str">
        <f>IF(AND(OR('Choix pédagogiques'!$C$3=1,'Choix pédagogiques'!$C$3=2),$BM890=1),B890,IF(AND('Choix pédagogiques'!$C$3=3,$BO890=1),B890,""))</f>
        <v/>
      </c>
      <c r="X890" s="22" t="str">
        <f>IF(AND(OR('Choix pédagogiques'!$C$3=1,'Choix pédagogiques'!$C$3=2),$BM890=1),C890,IF(AND('Choix pédagogiques'!$C$3=3,$BO890=1),C890,""))</f>
        <v/>
      </c>
      <c r="Y890" s="22" t="str">
        <f>IF(AND(OR('Choix pédagogiques'!$C$3=1,'Choix pédagogiques'!$C$3=2),$BM890=1),D890,IF(AND('Choix pédagogiques'!$C$3=3,$BO890=1),D890,""))</f>
        <v/>
      </c>
      <c r="Z890" s="22" t="str">
        <f t="shared" si="588"/>
        <v/>
      </c>
      <c r="AA890" s="21" t="str">
        <f t="shared" si="589"/>
        <v>Apprenant 878 ou 878'</v>
      </c>
      <c r="AB890" s="22" t="str">
        <f>IF(AND(OR('Choix pédagogiques'!$C$3=1,'Choix pédagogiques'!$C$3=2),$BN890=1),G890,IF(AND('Choix pédagogiques'!$C$3=3,$BO890=1),G890,""))</f>
        <v/>
      </c>
      <c r="AC890" s="22" t="str">
        <f>IF(AND(OR('Choix pédagogiques'!$C$3=1,'Choix pédagogiques'!$C$3=2),$BN890=1),H890,IF(AND('Choix pédagogiques'!$C$3=3,$BO890=1),H890,""))</f>
        <v/>
      </c>
      <c r="AD890" s="22" t="str">
        <f>IF(AND(OR('Choix pédagogiques'!$C$3=1,'Choix pédagogiques'!$C$3=2),$BN890=1),I890,IF(AND('Choix pédagogiques'!$C$3=3,$BO890=1),I890,""))</f>
        <v/>
      </c>
      <c r="AE890" s="22" t="str">
        <f t="shared" si="590"/>
        <v/>
      </c>
      <c r="AF890" s="21" t="str">
        <f t="shared" si="591"/>
        <v>Apprenant 878</v>
      </c>
      <c r="AG890" s="22" t="str">
        <f t="shared" si="565"/>
        <v/>
      </c>
      <c r="AH890" s="22" t="str">
        <f t="shared" si="566"/>
        <v/>
      </c>
      <c r="AI890" s="22" t="str">
        <f t="shared" si="567"/>
        <v/>
      </c>
      <c r="AJ890" s="22" t="str">
        <f t="shared" si="592"/>
        <v/>
      </c>
      <c r="AK890" s="21" t="str">
        <f t="shared" si="593"/>
        <v>Apprenant 878 ou 878'</v>
      </c>
      <c r="AL890" s="22" t="str">
        <f t="shared" si="568"/>
        <v/>
      </c>
      <c r="AM890" s="22" t="str">
        <f t="shared" si="569"/>
        <v/>
      </c>
      <c r="AN890" s="22" t="str">
        <f t="shared" si="570"/>
        <v/>
      </c>
      <c r="AO890" s="22" t="str">
        <f t="shared" si="594"/>
        <v/>
      </c>
      <c r="AQ890" s="21" t="str">
        <f t="shared" si="595"/>
        <v>Apprenant 878</v>
      </c>
      <c r="AR890" s="49" t="str">
        <f>IF(AND('Choix pédagogiques'!$C$4&lt;&gt;"?",'Choix pédagogiques'!$C$5&lt;&gt;"?",W890&lt;&gt;""),(W890-'Choix pédagogiques'!$C$4)/('Choix pédagogiques'!$C$5-'Choix pédagogiques'!$C$4),"")</f>
        <v/>
      </c>
      <c r="AS890" s="49" t="str">
        <f>IF(AND('Choix pédagogiques'!$C$4&lt;&gt;"?",'Choix pédagogiques'!$C$5&lt;&gt;"?",X890&lt;&gt;""),(X890-'Choix pédagogiques'!$C$4)/('Choix pédagogiques'!$C$5-'Choix pédagogiques'!$C$4),"")</f>
        <v/>
      </c>
      <c r="AT890" s="49" t="str">
        <f>IF(AND('Choix pédagogiques'!$C$4&lt;&gt;"?",'Choix pédagogiques'!$C$5&lt;&gt;"?",Y890&lt;&gt;""),(Y890-'Choix pédagogiques'!$C$4)/('Choix pédagogiques'!$C$5-'Choix pédagogiques'!$C$4),"")</f>
        <v/>
      </c>
      <c r="AU890" s="22" t="str">
        <f t="shared" si="596"/>
        <v/>
      </c>
      <c r="AV890" s="21" t="str">
        <f t="shared" si="597"/>
        <v>Apprenant 878 ou 878'</v>
      </c>
      <c r="AW890" s="49" t="str">
        <f>IF(AND('Choix pédagogiques'!$C$4&lt;&gt;"?",'Choix pédagogiques'!$C$5&lt;&gt;"?",AB890&lt;&gt;""),(AB890-'Choix pédagogiques'!$C$4)/('Choix pédagogiques'!$C$5-'Choix pédagogiques'!$C$4),"")</f>
        <v/>
      </c>
      <c r="AX890" s="49" t="str">
        <f>IF(AND('Choix pédagogiques'!$C$4&lt;&gt;"?",'Choix pédagogiques'!$C$5&lt;&gt;"?",AC890&lt;&gt;""),(AC890-'Choix pédagogiques'!$C$4)/('Choix pédagogiques'!$C$5-'Choix pédagogiques'!$C$4),"")</f>
        <v/>
      </c>
      <c r="AY890" s="49" t="str">
        <f>IF(AND('Choix pédagogiques'!$C$4&lt;&gt;"?",'Choix pédagogiques'!$C$5&lt;&gt;"?",AD890&lt;&gt;""),(AD890-'Choix pédagogiques'!$C$4)/('Choix pédagogiques'!$C$5-'Choix pédagogiques'!$C$4),"")</f>
        <v/>
      </c>
      <c r="AZ890" s="22" t="str">
        <f t="shared" si="598"/>
        <v/>
      </c>
      <c r="BA890" s="21" t="str">
        <f t="shared" si="599"/>
        <v>Apprenant 878</v>
      </c>
      <c r="BB890" s="49" t="str">
        <f t="shared" si="571"/>
        <v/>
      </c>
      <c r="BC890" s="49" t="str">
        <f t="shared" si="572"/>
        <v/>
      </c>
      <c r="BD890" s="49" t="str">
        <f t="shared" si="573"/>
        <v/>
      </c>
      <c r="BE890" s="22" t="str">
        <f t="shared" si="600"/>
        <v/>
      </c>
      <c r="BF890" s="21" t="str">
        <f t="shared" si="601"/>
        <v>Apprenant 878 ou 878'</v>
      </c>
      <c r="BG890" s="49" t="str">
        <f t="shared" si="574"/>
        <v/>
      </c>
      <c r="BH890" s="49" t="str">
        <f t="shared" si="575"/>
        <v/>
      </c>
      <c r="BI890" s="49" t="str">
        <f t="shared" si="576"/>
        <v/>
      </c>
      <c r="BJ890" s="22" t="str">
        <f t="shared" si="602"/>
        <v/>
      </c>
      <c r="BL890" s="21"/>
      <c r="BM890" s="21" t="str">
        <f>IF(OR(COUNT(B890:D1889)=0,AND('Choix pédagogiques'!$C$3&lt;&gt;1,'Choix pédagogiques'!$C$3&lt;&gt;2)),"",IF(AND(OR('Choix pédagogiques'!$C$3=1,'Choix pédagogiques'!$C$3=2),$B890&lt;&gt;"",$C890&lt;&gt;"",$D890&lt;&gt;""),1,0))</f>
        <v/>
      </c>
      <c r="BN890" s="21" t="str">
        <f>IF(OR(COUNT(G890:I1889)=0,AND('Choix pédagogiques'!$C$3&lt;&gt;1,'Choix pédagogiques'!$C$3&lt;&gt;2)),"",IF(AND(OR('Choix pédagogiques'!$C$3=1,'Choix pédagogiques'!$C$3=2),AND($G890&lt;&gt;"",$H890&lt;&gt;"",$I890&lt;&gt;"")),1,0))</f>
        <v/>
      </c>
      <c r="BO890" s="21" t="str">
        <f>IF(OR(COUNT(B890:D1889)=0,COUNT(G890:I1889)=0,'Choix pédagogiques'!C$3&lt;&gt;3),"",IF(AND('Choix pédagogiques'!$C$3=3,$B890&lt;&gt;"",$C890&lt;&gt;"",$D890&lt;&gt;"",$G890&lt;&gt;"",$H890&lt;&gt;"",$I890&lt;&gt;""),1,0))</f>
        <v/>
      </c>
      <c r="BR890" s="21">
        <v>131</v>
      </c>
      <c r="BS890" s="21">
        <v>1405</v>
      </c>
      <c r="BT890"/>
    </row>
    <row r="891" spans="1:72" s="23" customFormat="1" ht="18" customHeight="1" x14ac:dyDescent="0.3">
      <c r="A891" s="35" t="s">
        <v>881</v>
      </c>
      <c r="B891" s="37"/>
      <c r="C891" s="37"/>
      <c r="D891" s="37"/>
      <c r="E891" s="37"/>
      <c r="F891" s="35" t="s">
        <v>1889</v>
      </c>
      <c r="G891" s="37"/>
      <c r="H891" s="37"/>
      <c r="I891" s="37"/>
      <c r="J891" s="37"/>
      <c r="K891" s="21" t="str">
        <f t="shared" si="577"/>
        <v>Apprenant 879</v>
      </c>
      <c r="L891" s="22" t="str">
        <f t="shared" si="578"/>
        <v/>
      </c>
      <c r="M891" s="22" t="str">
        <f t="shared" si="579"/>
        <v/>
      </c>
      <c r="N891" s="22" t="str">
        <f t="shared" si="580"/>
        <v/>
      </c>
      <c r="O891" s="22" t="str">
        <f t="shared" si="581"/>
        <v/>
      </c>
      <c r="P891" s="21" t="str">
        <f t="shared" si="582"/>
        <v>Apprenant 879 ou 879'</v>
      </c>
      <c r="Q891" s="22" t="str">
        <f t="shared" si="583"/>
        <v/>
      </c>
      <c r="R891" s="22" t="str">
        <f t="shared" si="584"/>
        <v/>
      </c>
      <c r="S891" s="22" t="str">
        <f t="shared" si="585"/>
        <v/>
      </c>
      <c r="T891" s="22" t="str">
        <f t="shared" si="586"/>
        <v/>
      </c>
      <c r="V891" s="21" t="str">
        <f t="shared" si="587"/>
        <v>Apprenant 879</v>
      </c>
      <c r="W891" s="22" t="str">
        <f>IF(AND(OR('Choix pédagogiques'!$C$3=1,'Choix pédagogiques'!$C$3=2),$BM891=1),B891,IF(AND('Choix pédagogiques'!$C$3=3,$BO891=1),B891,""))</f>
        <v/>
      </c>
      <c r="X891" s="22" t="str">
        <f>IF(AND(OR('Choix pédagogiques'!$C$3=1,'Choix pédagogiques'!$C$3=2),$BM891=1),C891,IF(AND('Choix pédagogiques'!$C$3=3,$BO891=1),C891,""))</f>
        <v/>
      </c>
      <c r="Y891" s="22" t="str">
        <f>IF(AND(OR('Choix pédagogiques'!$C$3=1,'Choix pédagogiques'!$C$3=2),$BM891=1),D891,IF(AND('Choix pédagogiques'!$C$3=3,$BO891=1),D891,""))</f>
        <v/>
      </c>
      <c r="Z891" s="22" t="str">
        <f t="shared" si="588"/>
        <v/>
      </c>
      <c r="AA891" s="21" t="str">
        <f t="shared" si="589"/>
        <v>Apprenant 879 ou 879'</v>
      </c>
      <c r="AB891" s="22" t="str">
        <f>IF(AND(OR('Choix pédagogiques'!$C$3=1,'Choix pédagogiques'!$C$3=2),$BN891=1),G891,IF(AND('Choix pédagogiques'!$C$3=3,$BO891=1),G891,""))</f>
        <v/>
      </c>
      <c r="AC891" s="22" t="str">
        <f>IF(AND(OR('Choix pédagogiques'!$C$3=1,'Choix pédagogiques'!$C$3=2),$BN891=1),H891,IF(AND('Choix pédagogiques'!$C$3=3,$BO891=1),H891,""))</f>
        <v/>
      </c>
      <c r="AD891" s="22" t="str">
        <f>IF(AND(OR('Choix pédagogiques'!$C$3=1,'Choix pédagogiques'!$C$3=2),$BN891=1),I891,IF(AND('Choix pédagogiques'!$C$3=3,$BO891=1),I891,""))</f>
        <v/>
      </c>
      <c r="AE891" s="22" t="str">
        <f t="shared" si="590"/>
        <v/>
      </c>
      <c r="AF891" s="21" t="str">
        <f t="shared" si="591"/>
        <v>Apprenant 879</v>
      </c>
      <c r="AG891" s="22" t="str">
        <f t="shared" si="565"/>
        <v/>
      </c>
      <c r="AH891" s="22" t="str">
        <f t="shared" si="566"/>
        <v/>
      </c>
      <c r="AI891" s="22" t="str">
        <f t="shared" si="567"/>
        <v/>
      </c>
      <c r="AJ891" s="22" t="str">
        <f t="shared" si="592"/>
        <v/>
      </c>
      <c r="AK891" s="21" t="str">
        <f t="shared" si="593"/>
        <v>Apprenant 879 ou 879'</v>
      </c>
      <c r="AL891" s="22" t="str">
        <f t="shared" si="568"/>
        <v/>
      </c>
      <c r="AM891" s="22" t="str">
        <f t="shared" si="569"/>
        <v/>
      </c>
      <c r="AN891" s="22" t="str">
        <f t="shared" si="570"/>
        <v/>
      </c>
      <c r="AO891" s="22" t="str">
        <f t="shared" si="594"/>
        <v/>
      </c>
      <c r="AQ891" s="21" t="str">
        <f t="shared" si="595"/>
        <v>Apprenant 879</v>
      </c>
      <c r="AR891" s="49" t="str">
        <f>IF(AND('Choix pédagogiques'!$C$4&lt;&gt;"?",'Choix pédagogiques'!$C$5&lt;&gt;"?",W891&lt;&gt;""),(W891-'Choix pédagogiques'!$C$4)/('Choix pédagogiques'!$C$5-'Choix pédagogiques'!$C$4),"")</f>
        <v/>
      </c>
      <c r="AS891" s="49" t="str">
        <f>IF(AND('Choix pédagogiques'!$C$4&lt;&gt;"?",'Choix pédagogiques'!$C$5&lt;&gt;"?",X891&lt;&gt;""),(X891-'Choix pédagogiques'!$C$4)/('Choix pédagogiques'!$C$5-'Choix pédagogiques'!$C$4),"")</f>
        <v/>
      </c>
      <c r="AT891" s="49" t="str">
        <f>IF(AND('Choix pédagogiques'!$C$4&lt;&gt;"?",'Choix pédagogiques'!$C$5&lt;&gt;"?",Y891&lt;&gt;""),(Y891-'Choix pédagogiques'!$C$4)/('Choix pédagogiques'!$C$5-'Choix pédagogiques'!$C$4),"")</f>
        <v/>
      </c>
      <c r="AU891" s="22" t="str">
        <f t="shared" si="596"/>
        <v/>
      </c>
      <c r="AV891" s="21" t="str">
        <f t="shared" si="597"/>
        <v>Apprenant 879 ou 879'</v>
      </c>
      <c r="AW891" s="49" t="str">
        <f>IF(AND('Choix pédagogiques'!$C$4&lt;&gt;"?",'Choix pédagogiques'!$C$5&lt;&gt;"?",AB891&lt;&gt;""),(AB891-'Choix pédagogiques'!$C$4)/('Choix pédagogiques'!$C$5-'Choix pédagogiques'!$C$4),"")</f>
        <v/>
      </c>
      <c r="AX891" s="49" t="str">
        <f>IF(AND('Choix pédagogiques'!$C$4&lt;&gt;"?",'Choix pédagogiques'!$C$5&lt;&gt;"?",AC891&lt;&gt;""),(AC891-'Choix pédagogiques'!$C$4)/('Choix pédagogiques'!$C$5-'Choix pédagogiques'!$C$4),"")</f>
        <v/>
      </c>
      <c r="AY891" s="49" t="str">
        <f>IF(AND('Choix pédagogiques'!$C$4&lt;&gt;"?",'Choix pédagogiques'!$C$5&lt;&gt;"?",AD891&lt;&gt;""),(AD891-'Choix pédagogiques'!$C$4)/('Choix pédagogiques'!$C$5-'Choix pédagogiques'!$C$4),"")</f>
        <v/>
      </c>
      <c r="AZ891" s="22" t="str">
        <f t="shared" si="598"/>
        <v/>
      </c>
      <c r="BA891" s="21" t="str">
        <f t="shared" si="599"/>
        <v>Apprenant 879</v>
      </c>
      <c r="BB891" s="49" t="str">
        <f t="shared" si="571"/>
        <v/>
      </c>
      <c r="BC891" s="49" t="str">
        <f t="shared" si="572"/>
        <v/>
      </c>
      <c r="BD891" s="49" t="str">
        <f t="shared" si="573"/>
        <v/>
      </c>
      <c r="BE891" s="22" t="str">
        <f t="shared" si="600"/>
        <v/>
      </c>
      <c r="BF891" s="21" t="str">
        <f t="shared" si="601"/>
        <v>Apprenant 879 ou 879'</v>
      </c>
      <c r="BG891" s="49" t="str">
        <f t="shared" si="574"/>
        <v/>
      </c>
      <c r="BH891" s="49" t="str">
        <f t="shared" si="575"/>
        <v/>
      </c>
      <c r="BI891" s="49" t="str">
        <f t="shared" si="576"/>
        <v/>
      </c>
      <c r="BJ891" s="22" t="str">
        <f t="shared" si="602"/>
        <v/>
      </c>
      <c r="BL891" s="21"/>
      <c r="BM891" s="21" t="str">
        <f>IF(OR(COUNT(B891:D1890)=0,AND('Choix pédagogiques'!$C$3&lt;&gt;1,'Choix pédagogiques'!$C$3&lt;&gt;2)),"",IF(AND(OR('Choix pédagogiques'!$C$3=1,'Choix pédagogiques'!$C$3=2),$B891&lt;&gt;"",$C891&lt;&gt;"",$D891&lt;&gt;""),1,0))</f>
        <v/>
      </c>
      <c r="BN891" s="21" t="str">
        <f>IF(OR(COUNT(G891:I1890)=0,AND('Choix pédagogiques'!$C$3&lt;&gt;1,'Choix pédagogiques'!$C$3&lt;&gt;2)),"",IF(AND(OR('Choix pédagogiques'!$C$3=1,'Choix pédagogiques'!$C$3=2),AND($G891&lt;&gt;"",$H891&lt;&gt;"",$I891&lt;&gt;"")),1,0))</f>
        <v/>
      </c>
      <c r="BO891" s="21" t="str">
        <f>IF(OR(COUNT(B891:D1890)=0,COUNT(G891:I1890)=0,'Choix pédagogiques'!C$3&lt;&gt;3),"",IF(AND('Choix pédagogiques'!$C$3=3,$B891&lt;&gt;"",$C891&lt;&gt;"",$D891&lt;&gt;"",$G891&lt;&gt;"",$H891&lt;&gt;"",$I891&lt;&gt;""),1,0))</f>
        <v/>
      </c>
      <c r="BR891" s="21">
        <v>547</v>
      </c>
      <c r="BS891" s="21">
        <v>1286</v>
      </c>
      <c r="BT891"/>
    </row>
    <row r="892" spans="1:72" s="23" customFormat="1" ht="18" customHeight="1" x14ac:dyDescent="0.3">
      <c r="A892" s="35" t="s">
        <v>882</v>
      </c>
      <c r="B892" s="37"/>
      <c r="C892" s="37"/>
      <c r="D892" s="37"/>
      <c r="E892" s="37"/>
      <c r="F892" s="35" t="s">
        <v>1890</v>
      </c>
      <c r="G892" s="37"/>
      <c r="H892" s="37"/>
      <c r="I892" s="37"/>
      <c r="J892" s="37"/>
      <c r="K892" s="21" t="str">
        <f t="shared" si="577"/>
        <v>Apprenant 880</v>
      </c>
      <c r="L892" s="22" t="str">
        <f t="shared" si="578"/>
        <v/>
      </c>
      <c r="M892" s="22" t="str">
        <f t="shared" si="579"/>
        <v/>
      </c>
      <c r="N892" s="22" t="str">
        <f t="shared" si="580"/>
        <v/>
      </c>
      <c r="O892" s="22" t="str">
        <f t="shared" si="581"/>
        <v/>
      </c>
      <c r="P892" s="21" t="str">
        <f t="shared" si="582"/>
        <v>Apprenant 880 ou 880'</v>
      </c>
      <c r="Q892" s="22" t="str">
        <f t="shared" si="583"/>
        <v/>
      </c>
      <c r="R892" s="22" t="str">
        <f t="shared" si="584"/>
        <v/>
      </c>
      <c r="S892" s="22" t="str">
        <f t="shared" si="585"/>
        <v/>
      </c>
      <c r="T892" s="22" t="str">
        <f t="shared" si="586"/>
        <v/>
      </c>
      <c r="V892" s="21" t="str">
        <f t="shared" si="587"/>
        <v>Apprenant 880</v>
      </c>
      <c r="W892" s="22" t="str">
        <f>IF(AND(OR('Choix pédagogiques'!$C$3=1,'Choix pédagogiques'!$C$3=2),$BM892=1),B892,IF(AND('Choix pédagogiques'!$C$3=3,$BO892=1),B892,""))</f>
        <v/>
      </c>
      <c r="X892" s="22" t="str">
        <f>IF(AND(OR('Choix pédagogiques'!$C$3=1,'Choix pédagogiques'!$C$3=2),$BM892=1),C892,IF(AND('Choix pédagogiques'!$C$3=3,$BO892=1),C892,""))</f>
        <v/>
      </c>
      <c r="Y892" s="22" t="str">
        <f>IF(AND(OR('Choix pédagogiques'!$C$3=1,'Choix pédagogiques'!$C$3=2),$BM892=1),D892,IF(AND('Choix pédagogiques'!$C$3=3,$BO892=1),D892,""))</f>
        <v/>
      </c>
      <c r="Z892" s="22" t="str">
        <f t="shared" si="588"/>
        <v/>
      </c>
      <c r="AA892" s="21" t="str">
        <f t="shared" si="589"/>
        <v>Apprenant 880 ou 880'</v>
      </c>
      <c r="AB892" s="22" t="str">
        <f>IF(AND(OR('Choix pédagogiques'!$C$3=1,'Choix pédagogiques'!$C$3=2),$BN892=1),G892,IF(AND('Choix pédagogiques'!$C$3=3,$BO892=1),G892,""))</f>
        <v/>
      </c>
      <c r="AC892" s="22" t="str">
        <f>IF(AND(OR('Choix pédagogiques'!$C$3=1,'Choix pédagogiques'!$C$3=2),$BN892=1),H892,IF(AND('Choix pédagogiques'!$C$3=3,$BO892=1),H892,""))</f>
        <v/>
      </c>
      <c r="AD892" s="22" t="str">
        <f>IF(AND(OR('Choix pédagogiques'!$C$3=1,'Choix pédagogiques'!$C$3=2),$BN892=1),I892,IF(AND('Choix pédagogiques'!$C$3=3,$BO892=1),I892,""))</f>
        <v/>
      </c>
      <c r="AE892" s="22" t="str">
        <f t="shared" si="590"/>
        <v/>
      </c>
      <c r="AF892" s="21" t="str">
        <f t="shared" si="591"/>
        <v>Apprenant 880</v>
      </c>
      <c r="AG892" s="22" t="str">
        <f t="shared" si="565"/>
        <v/>
      </c>
      <c r="AH892" s="22" t="str">
        <f t="shared" si="566"/>
        <v/>
      </c>
      <c r="AI892" s="22" t="str">
        <f t="shared" si="567"/>
        <v/>
      </c>
      <c r="AJ892" s="22" t="str">
        <f t="shared" si="592"/>
        <v/>
      </c>
      <c r="AK892" s="21" t="str">
        <f t="shared" si="593"/>
        <v>Apprenant 880 ou 880'</v>
      </c>
      <c r="AL892" s="22" t="str">
        <f t="shared" si="568"/>
        <v/>
      </c>
      <c r="AM892" s="22" t="str">
        <f t="shared" si="569"/>
        <v/>
      </c>
      <c r="AN892" s="22" t="str">
        <f t="shared" si="570"/>
        <v/>
      </c>
      <c r="AO892" s="22" t="str">
        <f t="shared" si="594"/>
        <v/>
      </c>
      <c r="AQ892" s="21" t="str">
        <f t="shared" si="595"/>
        <v>Apprenant 880</v>
      </c>
      <c r="AR892" s="49" t="str">
        <f>IF(AND('Choix pédagogiques'!$C$4&lt;&gt;"?",'Choix pédagogiques'!$C$5&lt;&gt;"?",W892&lt;&gt;""),(W892-'Choix pédagogiques'!$C$4)/('Choix pédagogiques'!$C$5-'Choix pédagogiques'!$C$4),"")</f>
        <v/>
      </c>
      <c r="AS892" s="49" t="str">
        <f>IF(AND('Choix pédagogiques'!$C$4&lt;&gt;"?",'Choix pédagogiques'!$C$5&lt;&gt;"?",X892&lt;&gt;""),(X892-'Choix pédagogiques'!$C$4)/('Choix pédagogiques'!$C$5-'Choix pédagogiques'!$C$4),"")</f>
        <v/>
      </c>
      <c r="AT892" s="49" t="str">
        <f>IF(AND('Choix pédagogiques'!$C$4&lt;&gt;"?",'Choix pédagogiques'!$C$5&lt;&gt;"?",Y892&lt;&gt;""),(Y892-'Choix pédagogiques'!$C$4)/('Choix pédagogiques'!$C$5-'Choix pédagogiques'!$C$4),"")</f>
        <v/>
      </c>
      <c r="AU892" s="22" t="str">
        <f t="shared" si="596"/>
        <v/>
      </c>
      <c r="AV892" s="21" t="str">
        <f t="shared" si="597"/>
        <v>Apprenant 880 ou 880'</v>
      </c>
      <c r="AW892" s="49" t="str">
        <f>IF(AND('Choix pédagogiques'!$C$4&lt;&gt;"?",'Choix pédagogiques'!$C$5&lt;&gt;"?",AB892&lt;&gt;""),(AB892-'Choix pédagogiques'!$C$4)/('Choix pédagogiques'!$C$5-'Choix pédagogiques'!$C$4),"")</f>
        <v/>
      </c>
      <c r="AX892" s="49" t="str">
        <f>IF(AND('Choix pédagogiques'!$C$4&lt;&gt;"?",'Choix pédagogiques'!$C$5&lt;&gt;"?",AC892&lt;&gt;""),(AC892-'Choix pédagogiques'!$C$4)/('Choix pédagogiques'!$C$5-'Choix pédagogiques'!$C$4),"")</f>
        <v/>
      </c>
      <c r="AY892" s="49" t="str">
        <f>IF(AND('Choix pédagogiques'!$C$4&lt;&gt;"?",'Choix pédagogiques'!$C$5&lt;&gt;"?",AD892&lt;&gt;""),(AD892-'Choix pédagogiques'!$C$4)/('Choix pédagogiques'!$C$5-'Choix pédagogiques'!$C$4),"")</f>
        <v/>
      </c>
      <c r="AZ892" s="22" t="str">
        <f t="shared" si="598"/>
        <v/>
      </c>
      <c r="BA892" s="21" t="str">
        <f t="shared" si="599"/>
        <v>Apprenant 880</v>
      </c>
      <c r="BB892" s="49" t="str">
        <f t="shared" si="571"/>
        <v/>
      </c>
      <c r="BC892" s="49" t="str">
        <f t="shared" si="572"/>
        <v/>
      </c>
      <c r="BD892" s="49" t="str">
        <f t="shared" si="573"/>
        <v/>
      </c>
      <c r="BE892" s="22" t="str">
        <f t="shared" si="600"/>
        <v/>
      </c>
      <c r="BF892" s="21" t="str">
        <f t="shared" si="601"/>
        <v>Apprenant 880 ou 880'</v>
      </c>
      <c r="BG892" s="49" t="str">
        <f t="shared" si="574"/>
        <v/>
      </c>
      <c r="BH892" s="49" t="str">
        <f t="shared" si="575"/>
        <v/>
      </c>
      <c r="BI892" s="49" t="str">
        <f t="shared" si="576"/>
        <v/>
      </c>
      <c r="BJ892" s="22" t="str">
        <f t="shared" si="602"/>
        <v/>
      </c>
      <c r="BL892" s="21"/>
      <c r="BM892" s="21" t="str">
        <f>IF(OR(COUNT(B892:D1891)=0,AND('Choix pédagogiques'!$C$3&lt;&gt;1,'Choix pédagogiques'!$C$3&lt;&gt;2)),"",IF(AND(OR('Choix pédagogiques'!$C$3=1,'Choix pédagogiques'!$C$3=2),$B892&lt;&gt;"",$C892&lt;&gt;"",$D892&lt;&gt;""),1,0))</f>
        <v/>
      </c>
      <c r="BN892" s="21" t="str">
        <f>IF(OR(COUNT(G892:I1891)=0,AND('Choix pédagogiques'!$C$3&lt;&gt;1,'Choix pédagogiques'!$C$3&lt;&gt;2)),"",IF(AND(OR('Choix pédagogiques'!$C$3=1,'Choix pédagogiques'!$C$3=2),AND($G892&lt;&gt;"",$H892&lt;&gt;"",$I892&lt;&gt;"")),1,0))</f>
        <v/>
      </c>
      <c r="BO892" s="21" t="str">
        <f>IF(OR(COUNT(B892:D1891)=0,COUNT(G892:I1891)=0,'Choix pédagogiques'!C$3&lt;&gt;3),"",IF(AND('Choix pédagogiques'!$C$3=3,$B892&lt;&gt;"",$C892&lt;&gt;"",$D892&lt;&gt;"",$G892&lt;&gt;"",$H892&lt;&gt;"",$I892&lt;&gt;""),1,0))</f>
        <v/>
      </c>
      <c r="BR892" s="21">
        <v>837</v>
      </c>
      <c r="BS892" s="21">
        <v>1712</v>
      </c>
      <c r="BT892"/>
    </row>
    <row r="893" spans="1:72" s="23" customFormat="1" ht="18" customHeight="1" x14ac:dyDescent="0.3">
      <c r="A893" s="35" t="s">
        <v>883</v>
      </c>
      <c r="B893" s="37"/>
      <c r="C893" s="37"/>
      <c r="D893" s="37"/>
      <c r="E893" s="37"/>
      <c r="F893" s="35" t="s">
        <v>1891</v>
      </c>
      <c r="G893" s="37"/>
      <c r="H893" s="37"/>
      <c r="I893" s="37"/>
      <c r="J893" s="37"/>
      <c r="K893" s="21" t="str">
        <f t="shared" si="577"/>
        <v>Apprenant 881</v>
      </c>
      <c r="L893" s="22" t="str">
        <f t="shared" si="578"/>
        <v/>
      </c>
      <c r="M893" s="22" t="str">
        <f t="shared" si="579"/>
        <v/>
      </c>
      <c r="N893" s="22" t="str">
        <f t="shared" si="580"/>
        <v/>
      </c>
      <c r="O893" s="22" t="str">
        <f t="shared" si="581"/>
        <v/>
      </c>
      <c r="P893" s="21" t="str">
        <f t="shared" si="582"/>
        <v>Apprenant 881 ou 881'</v>
      </c>
      <c r="Q893" s="22" t="str">
        <f t="shared" si="583"/>
        <v/>
      </c>
      <c r="R893" s="22" t="str">
        <f t="shared" si="584"/>
        <v/>
      </c>
      <c r="S893" s="22" t="str">
        <f t="shared" si="585"/>
        <v/>
      </c>
      <c r="T893" s="22" t="str">
        <f t="shared" si="586"/>
        <v/>
      </c>
      <c r="V893" s="21" t="str">
        <f t="shared" si="587"/>
        <v>Apprenant 881</v>
      </c>
      <c r="W893" s="22" t="str">
        <f>IF(AND(OR('Choix pédagogiques'!$C$3=1,'Choix pédagogiques'!$C$3=2),$BM893=1),B893,IF(AND('Choix pédagogiques'!$C$3=3,$BO893=1),B893,""))</f>
        <v/>
      </c>
      <c r="X893" s="22" t="str">
        <f>IF(AND(OR('Choix pédagogiques'!$C$3=1,'Choix pédagogiques'!$C$3=2),$BM893=1),C893,IF(AND('Choix pédagogiques'!$C$3=3,$BO893=1),C893,""))</f>
        <v/>
      </c>
      <c r="Y893" s="22" t="str">
        <f>IF(AND(OR('Choix pédagogiques'!$C$3=1,'Choix pédagogiques'!$C$3=2),$BM893=1),D893,IF(AND('Choix pédagogiques'!$C$3=3,$BO893=1),D893,""))</f>
        <v/>
      </c>
      <c r="Z893" s="22" t="str">
        <f t="shared" si="588"/>
        <v/>
      </c>
      <c r="AA893" s="21" t="str">
        <f t="shared" si="589"/>
        <v>Apprenant 881 ou 881'</v>
      </c>
      <c r="AB893" s="22" t="str">
        <f>IF(AND(OR('Choix pédagogiques'!$C$3=1,'Choix pédagogiques'!$C$3=2),$BN893=1),G893,IF(AND('Choix pédagogiques'!$C$3=3,$BO893=1),G893,""))</f>
        <v/>
      </c>
      <c r="AC893" s="22" t="str">
        <f>IF(AND(OR('Choix pédagogiques'!$C$3=1,'Choix pédagogiques'!$C$3=2),$BN893=1),H893,IF(AND('Choix pédagogiques'!$C$3=3,$BO893=1),H893,""))</f>
        <v/>
      </c>
      <c r="AD893" s="22" t="str">
        <f>IF(AND(OR('Choix pédagogiques'!$C$3=1,'Choix pédagogiques'!$C$3=2),$BN893=1),I893,IF(AND('Choix pédagogiques'!$C$3=3,$BO893=1),I893,""))</f>
        <v/>
      </c>
      <c r="AE893" s="22" t="str">
        <f t="shared" si="590"/>
        <v/>
      </c>
      <c r="AF893" s="21" t="str">
        <f t="shared" si="591"/>
        <v>Apprenant 881</v>
      </c>
      <c r="AG893" s="22" t="str">
        <f t="shared" si="565"/>
        <v/>
      </c>
      <c r="AH893" s="22" t="str">
        <f t="shared" si="566"/>
        <v/>
      </c>
      <c r="AI893" s="22" t="str">
        <f t="shared" si="567"/>
        <v/>
      </c>
      <c r="AJ893" s="22" t="str">
        <f t="shared" si="592"/>
        <v/>
      </c>
      <c r="AK893" s="21" t="str">
        <f t="shared" si="593"/>
        <v>Apprenant 881 ou 881'</v>
      </c>
      <c r="AL893" s="22" t="str">
        <f t="shared" si="568"/>
        <v/>
      </c>
      <c r="AM893" s="22" t="str">
        <f t="shared" si="569"/>
        <v/>
      </c>
      <c r="AN893" s="22" t="str">
        <f t="shared" si="570"/>
        <v/>
      </c>
      <c r="AO893" s="22" t="str">
        <f t="shared" si="594"/>
        <v/>
      </c>
      <c r="AQ893" s="21" t="str">
        <f t="shared" si="595"/>
        <v>Apprenant 881</v>
      </c>
      <c r="AR893" s="49" t="str">
        <f>IF(AND('Choix pédagogiques'!$C$4&lt;&gt;"?",'Choix pédagogiques'!$C$5&lt;&gt;"?",W893&lt;&gt;""),(W893-'Choix pédagogiques'!$C$4)/('Choix pédagogiques'!$C$5-'Choix pédagogiques'!$C$4),"")</f>
        <v/>
      </c>
      <c r="AS893" s="49" t="str">
        <f>IF(AND('Choix pédagogiques'!$C$4&lt;&gt;"?",'Choix pédagogiques'!$C$5&lt;&gt;"?",X893&lt;&gt;""),(X893-'Choix pédagogiques'!$C$4)/('Choix pédagogiques'!$C$5-'Choix pédagogiques'!$C$4),"")</f>
        <v/>
      </c>
      <c r="AT893" s="49" t="str">
        <f>IF(AND('Choix pédagogiques'!$C$4&lt;&gt;"?",'Choix pédagogiques'!$C$5&lt;&gt;"?",Y893&lt;&gt;""),(Y893-'Choix pédagogiques'!$C$4)/('Choix pédagogiques'!$C$5-'Choix pédagogiques'!$C$4),"")</f>
        <v/>
      </c>
      <c r="AU893" s="22" t="str">
        <f t="shared" si="596"/>
        <v/>
      </c>
      <c r="AV893" s="21" t="str">
        <f t="shared" si="597"/>
        <v>Apprenant 881 ou 881'</v>
      </c>
      <c r="AW893" s="49" t="str">
        <f>IF(AND('Choix pédagogiques'!$C$4&lt;&gt;"?",'Choix pédagogiques'!$C$5&lt;&gt;"?",AB893&lt;&gt;""),(AB893-'Choix pédagogiques'!$C$4)/('Choix pédagogiques'!$C$5-'Choix pédagogiques'!$C$4),"")</f>
        <v/>
      </c>
      <c r="AX893" s="49" t="str">
        <f>IF(AND('Choix pédagogiques'!$C$4&lt;&gt;"?",'Choix pédagogiques'!$C$5&lt;&gt;"?",AC893&lt;&gt;""),(AC893-'Choix pédagogiques'!$C$4)/('Choix pédagogiques'!$C$5-'Choix pédagogiques'!$C$4),"")</f>
        <v/>
      </c>
      <c r="AY893" s="49" t="str">
        <f>IF(AND('Choix pédagogiques'!$C$4&lt;&gt;"?",'Choix pédagogiques'!$C$5&lt;&gt;"?",AD893&lt;&gt;""),(AD893-'Choix pédagogiques'!$C$4)/('Choix pédagogiques'!$C$5-'Choix pédagogiques'!$C$4),"")</f>
        <v/>
      </c>
      <c r="AZ893" s="22" t="str">
        <f t="shared" si="598"/>
        <v/>
      </c>
      <c r="BA893" s="21" t="str">
        <f t="shared" si="599"/>
        <v>Apprenant 881</v>
      </c>
      <c r="BB893" s="49" t="str">
        <f t="shared" si="571"/>
        <v/>
      </c>
      <c r="BC893" s="49" t="str">
        <f t="shared" si="572"/>
        <v/>
      </c>
      <c r="BD893" s="49" t="str">
        <f t="shared" si="573"/>
        <v/>
      </c>
      <c r="BE893" s="22" t="str">
        <f t="shared" si="600"/>
        <v/>
      </c>
      <c r="BF893" s="21" t="str">
        <f t="shared" si="601"/>
        <v>Apprenant 881 ou 881'</v>
      </c>
      <c r="BG893" s="49" t="str">
        <f t="shared" si="574"/>
        <v/>
      </c>
      <c r="BH893" s="49" t="str">
        <f t="shared" si="575"/>
        <v/>
      </c>
      <c r="BI893" s="49" t="str">
        <f t="shared" si="576"/>
        <v/>
      </c>
      <c r="BJ893" s="22" t="str">
        <f t="shared" si="602"/>
        <v/>
      </c>
      <c r="BL893" s="21"/>
      <c r="BM893" s="21" t="str">
        <f>IF(OR(COUNT(B893:D1892)=0,AND('Choix pédagogiques'!$C$3&lt;&gt;1,'Choix pédagogiques'!$C$3&lt;&gt;2)),"",IF(AND(OR('Choix pédagogiques'!$C$3=1,'Choix pédagogiques'!$C$3=2),$B893&lt;&gt;"",$C893&lt;&gt;"",$D893&lt;&gt;""),1,0))</f>
        <v/>
      </c>
      <c r="BN893" s="21" t="str">
        <f>IF(OR(COUNT(G893:I1892)=0,AND('Choix pédagogiques'!$C$3&lt;&gt;1,'Choix pédagogiques'!$C$3&lt;&gt;2)),"",IF(AND(OR('Choix pédagogiques'!$C$3=1,'Choix pédagogiques'!$C$3=2),AND($G893&lt;&gt;"",$H893&lt;&gt;"",$I893&lt;&gt;"")),1,0))</f>
        <v/>
      </c>
      <c r="BO893" s="21" t="str">
        <f>IF(OR(COUNT(B893:D1892)=0,COUNT(G893:I1892)=0,'Choix pédagogiques'!C$3&lt;&gt;3),"",IF(AND('Choix pédagogiques'!$C$3=3,$B893&lt;&gt;"",$C893&lt;&gt;"",$D893&lt;&gt;"",$G893&lt;&gt;"",$H893&lt;&gt;"",$I893&lt;&gt;""),1,0))</f>
        <v/>
      </c>
      <c r="BR893" s="21">
        <v>661</v>
      </c>
      <c r="BS893" s="21">
        <v>1610</v>
      </c>
      <c r="BT893"/>
    </row>
    <row r="894" spans="1:72" s="23" customFormat="1" ht="18" customHeight="1" x14ac:dyDescent="0.3">
      <c r="A894" s="35" t="s">
        <v>884</v>
      </c>
      <c r="B894" s="37"/>
      <c r="C894" s="37"/>
      <c r="D894" s="37"/>
      <c r="E894" s="37"/>
      <c r="F894" s="35" t="s">
        <v>1892</v>
      </c>
      <c r="G894" s="37"/>
      <c r="H894" s="37"/>
      <c r="I894" s="37"/>
      <c r="J894" s="37"/>
      <c r="K894" s="21" t="str">
        <f t="shared" si="577"/>
        <v>Apprenant 882</v>
      </c>
      <c r="L894" s="22" t="str">
        <f t="shared" si="578"/>
        <v/>
      </c>
      <c r="M894" s="22" t="str">
        <f t="shared" si="579"/>
        <v/>
      </c>
      <c r="N894" s="22" t="str">
        <f t="shared" si="580"/>
        <v/>
      </c>
      <c r="O894" s="22" t="str">
        <f t="shared" si="581"/>
        <v/>
      </c>
      <c r="P894" s="21" t="str">
        <f t="shared" si="582"/>
        <v>Apprenant 882 ou 882'</v>
      </c>
      <c r="Q894" s="22" t="str">
        <f t="shared" si="583"/>
        <v/>
      </c>
      <c r="R894" s="22" t="str">
        <f t="shared" si="584"/>
        <v/>
      </c>
      <c r="S894" s="22" t="str">
        <f t="shared" si="585"/>
        <v/>
      </c>
      <c r="T894" s="22" t="str">
        <f t="shared" si="586"/>
        <v/>
      </c>
      <c r="V894" s="21" t="str">
        <f t="shared" si="587"/>
        <v>Apprenant 882</v>
      </c>
      <c r="W894" s="22" t="str">
        <f>IF(AND(OR('Choix pédagogiques'!$C$3=1,'Choix pédagogiques'!$C$3=2),$BM894=1),B894,IF(AND('Choix pédagogiques'!$C$3=3,$BO894=1),B894,""))</f>
        <v/>
      </c>
      <c r="X894" s="22" t="str">
        <f>IF(AND(OR('Choix pédagogiques'!$C$3=1,'Choix pédagogiques'!$C$3=2),$BM894=1),C894,IF(AND('Choix pédagogiques'!$C$3=3,$BO894=1),C894,""))</f>
        <v/>
      </c>
      <c r="Y894" s="22" t="str">
        <f>IF(AND(OR('Choix pédagogiques'!$C$3=1,'Choix pédagogiques'!$C$3=2),$BM894=1),D894,IF(AND('Choix pédagogiques'!$C$3=3,$BO894=1),D894,""))</f>
        <v/>
      </c>
      <c r="Z894" s="22" t="str">
        <f t="shared" si="588"/>
        <v/>
      </c>
      <c r="AA894" s="21" t="str">
        <f t="shared" si="589"/>
        <v>Apprenant 882 ou 882'</v>
      </c>
      <c r="AB894" s="22" t="str">
        <f>IF(AND(OR('Choix pédagogiques'!$C$3=1,'Choix pédagogiques'!$C$3=2),$BN894=1),G894,IF(AND('Choix pédagogiques'!$C$3=3,$BO894=1),G894,""))</f>
        <v/>
      </c>
      <c r="AC894" s="22" t="str">
        <f>IF(AND(OR('Choix pédagogiques'!$C$3=1,'Choix pédagogiques'!$C$3=2),$BN894=1),H894,IF(AND('Choix pédagogiques'!$C$3=3,$BO894=1),H894,""))</f>
        <v/>
      </c>
      <c r="AD894" s="22" t="str">
        <f>IF(AND(OR('Choix pédagogiques'!$C$3=1,'Choix pédagogiques'!$C$3=2),$BN894=1),I894,IF(AND('Choix pédagogiques'!$C$3=3,$BO894=1),I894,""))</f>
        <v/>
      </c>
      <c r="AE894" s="22" t="str">
        <f t="shared" si="590"/>
        <v/>
      </c>
      <c r="AF894" s="21" t="str">
        <f t="shared" si="591"/>
        <v>Apprenant 882</v>
      </c>
      <c r="AG894" s="22" t="str">
        <f t="shared" si="565"/>
        <v/>
      </c>
      <c r="AH894" s="22" t="str">
        <f t="shared" si="566"/>
        <v/>
      </c>
      <c r="AI894" s="22" t="str">
        <f t="shared" si="567"/>
        <v/>
      </c>
      <c r="AJ894" s="22" t="str">
        <f t="shared" si="592"/>
        <v/>
      </c>
      <c r="AK894" s="21" t="str">
        <f t="shared" si="593"/>
        <v>Apprenant 882 ou 882'</v>
      </c>
      <c r="AL894" s="22" t="str">
        <f t="shared" si="568"/>
        <v/>
      </c>
      <c r="AM894" s="22" t="str">
        <f t="shared" si="569"/>
        <v/>
      </c>
      <c r="AN894" s="22" t="str">
        <f t="shared" si="570"/>
        <v/>
      </c>
      <c r="AO894" s="22" t="str">
        <f t="shared" si="594"/>
        <v/>
      </c>
      <c r="AQ894" s="21" t="str">
        <f t="shared" si="595"/>
        <v>Apprenant 882</v>
      </c>
      <c r="AR894" s="49" t="str">
        <f>IF(AND('Choix pédagogiques'!$C$4&lt;&gt;"?",'Choix pédagogiques'!$C$5&lt;&gt;"?",W894&lt;&gt;""),(W894-'Choix pédagogiques'!$C$4)/('Choix pédagogiques'!$C$5-'Choix pédagogiques'!$C$4),"")</f>
        <v/>
      </c>
      <c r="AS894" s="49" t="str">
        <f>IF(AND('Choix pédagogiques'!$C$4&lt;&gt;"?",'Choix pédagogiques'!$C$5&lt;&gt;"?",X894&lt;&gt;""),(X894-'Choix pédagogiques'!$C$4)/('Choix pédagogiques'!$C$5-'Choix pédagogiques'!$C$4),"")</f>
        <v/>
      </c>
      <c r="AT894" s="49" t="str">
        <f>IF(AND('Choix pédagogiques'!$C$4&lt;&gt;"?",'Choix pédagogiques'!$C$5&lt;&gt;"?",Y894&lt;&gt;""),(Y894-'Choix pédagogiques'!$C$4)/('Choix pédagogiques'!$C$5-'Choix pédagogiques'!$C$4),"")</f>
        <v/>
      </c>
      <c r="AU894" s="22" t="str">
        <f t="shared" si="596"/>
        <v/>
      </c>
      <c r="AV894" s="21" t="str">
        <f t="shared" si="597"/>
        <v>Apprenant 882 ou 882'</v>
      </c>
      <c r="AW894" s="49" t="str">
        <f>IF(AND('Choix pédagogiques'!$C$4&lt;&gt;"?",'Choix pédagogiques'!$C$5&lt;&gt;"?",AB894&lt;&gt;""),(AB894-'Choix pédagogiques'!$C$4)/('Choix pédagogiques'!$C$5-'Choix pédagogiques'!$C$4),"")</f>
        <v/>
      </c>
      <c r="AX894" s="49" t="str">
        <f>IF(AND('Choix pédagogiques'!$C$4&lt;&gt;"?",'Choix pédagogiques'!$C$5&lt;&gt;"?",AC894&lt;&gt;""),(AC894-'Choix pédagogiques'!$C$4)/('Choix pédagogiques'!$C$5-'Choix pédagogiques'!$C$4),"")</f>
        <v/>
      </c>
      <c r="AY894" s="49" t="str">
        <f>IF(AND('Choix pédagogiques'!$C$4&lt;&gt;"?",'Choix pédagogiques'!$C$5&lt;&gt;"?",AD894&lt;&gt;""),(AD894-'Choix pédagogiques'!$C$4)/('Choix pédagogiques'!$C$5-'Choix pédagogiques'!$C$4),"")</f>
        <v/>
      </c>
      <c r="AZ894" s="22" t="str">
        <f t="shared" si="598"/>
        <v/>
      </c>
      <c r="BA894" s="21" t="str">
        <f t="shared" si="599"/>
        <v>Apprenant 882</v>
      </c>
      <c r="BB894" s="49" t="str">
        <f t="shared" si="571"/>
        <v/>
      </c>
      <c r="BC894" s="49" t="str">
        <f t="shared" si="572"/>
        <v/>
      </c>
      <c r="BD894" s="49" t="str">
        <f t="shared" si="573"/>
        <v/>
      </c>
      <c r="BE894" s="22" t="str">
        <f t="shared" si="600"/>
        <v/>
      </c>
      <c r="BF894" s="21" t="str">
        <f t="shared" si="601"/>
        <v>Apprenant 882 ou 882'</v>
      </c>
      <c r="BG894" s="49" t="str">
        <f t="shared" si="574"/>
        <v/>
      </c>
      <c r="BH894" s="49" t="str">
        <f t="shared" si="575"/>
        <v/>
      </c>
      <c r="BI894" s="49" t="str">
        <f t="shared" si="576"/>
        <v/>
      </c>
      <c r="BJ894" s="22" t="str">
        <f t="shared" si="602"/>
        <v/>
      </c>
      <c r="BL894" s="21"/>
      <c r="BM894" s="21" t="str">
        <f>IF(OR(COUNT(B894:D1893)=0,AND('Choix pédagogiques'!$C$3&lt;&gt;1,'Choix pédagogiques'!$C$3&lt;&gt;2)),"",IF(AND(OR('Choix pédagogiques'!$C$3=1,'Choix pédagogiques'!$C$3=2),$B894&lt;&gt;"",$C894&lt;&gt;"",$D894&lt;&gt;""),1,0))</f>
        <v/>
      </c>
      <c r="BN894" s="21" t="str">
        <f>IF(OR(COUNT(G894:I1893)=0,AND('Choix pédagogiques'!$C$3&lt;&gt;1,'Choix pédagogiques'!$C$3&lt;&gt;2)),"",IF(AND(OR('Choix pédagogiques'!$C$3=1,'Choix pédagogiques'!$C$3=2),AND($G894&lt;&gt;"",$H894&lt;&gt;"",$I894&lt;&gt;"")),1,0))</f>
        <v/>
      </c>
      <c r="BO894" s="21" t="str">
        <f>IF(OR(COUNT(B894:D1893)=0,COUNT(G894:I1893)=0,'Choix pédagogiques'!C$3&lt;&gt;3),"",IF(AND('Choix pédagogiques'!$C$3=3,$B894&lt;&gt;"",$C894&lt;&gt;"",$D894&lt;&gt;"",$G894&lt;&gt;"",$H894&lt;&gt;"",$I894&lt;&gt;""),1,0))</f>
        <v/>
      </c>
      <c r="BR894" s="21">
        <v>380</v>
      </c>
      <c r="BS894" s="21">
        <v>1460</v>
      </c>
      <c r="BT894"/>
    </row>
    <row r="895" spans="1:72" s="23" customFormat="1" ht="18" customHeight="1" x14ac:dyDescent="0.3">
      <c r="A895" s="35" t="s">
        <v>885</v>
      </c>
      <c r="B895" s="37"/>
      <c r="C895" s="37"/>
      <c r="D895" s="37"/>
      <c r="E895" s="37"/>
      <c r="F895" s="35" t="s">
        <v>1893</v>
      </c>
      <c r="G895" s="37"/>
      <c r="H895" s="37"/>
      <c r="I895" s="37"/>
      <c r="J895" s="37"/>
      <c r="K895" s="21" t="str">
        <f t="shared" si="577"/>
        <v>Apprenant 883</v>
      </c>
      <c r="L895" s="22" t="str">
        <f t="shared" si="578"/>
        <v/>
      </c>
      <c r="M895" s="22" t="str">
        <f t="shared" si="579"/>
        <v/>
      </c>
      <c r="N895" s="22" t="str">
        <f t="shared" si="580"/>
        <v/>
      </c>
      <c r="O895" s="22" t="str">
        <f t="shared" si="581"/>
        <v/>
      </c>
      <c r="P895" s="21" t="str">
        <f t="shared" si="582"/>
        <v>Apprenant 883 ou 883'</v>
      </c>
      <c r="Q895" s="22" t="str">
        <f t="shared" si="583"/>
        <v/>
      </c>
      <c r="R895" s="22" t="str">
        <f t="shared" si="584"/>
        <v/>
      </c>
      <c r="S895" s="22" t="str">
        <f t="shared" si="585"/>
        <v/>
      </c>
      <c r="T895" s="22" t="str">
        <f t="shared" si="586"/>
        <v/>
      </c>
      <c r="V895" s="21" t="str">
        <f t="shared" si="587"/>
        <v>Apprenant 883</v>
      </c>
      <c r="W895" s="22" t="str">
        <f>IF(AND(OR('Choix pédagogiques'!$C$3=1,'Choix pédagogiques'!$C$3=2),$BM895=1),B895,IF(AND('Choix pédagogiques'!$C$3=3,$BO895=1),B895,""))</f>
        <v/>
      </c>
      <c r="X895" s="22" t="str">
        <f>IF(AND(OR('Choix pédagogiques'!$C$3=1,'Choix pédagogiques'!$C$3=2),$BM895=1),C895,IF(AND('Choix pédagogiques'!$C$3=3,$BO895=1),C895,""))</f>
        <v/>
      </c>
      <c r="Y895" s="22" t="str">
        <f>IF(AND(OR('Choix pédagogiques'!$C$3=1,'Choix pédagogiques'!$C$3=2),$BM895=1),D895,IF(AND('Choix pédagogiques'!$C$3=3,$BO895=1),D895,""))</f>
        <v/>
      </c>
      <c r="Z895" s="22" t="str">
        <f t="shared" si="588"/>
        <v/>
      </c>
      <c r="AA895" s="21" t="str">
        <f t="shared" si="589"/>
        <v>Apprenant 883 ou 883'</v>
      </c>
      <c r="AB895" s="22" t="str">
        <f>IF(AND(OR('Choix pédagogiques'!$C$3=1,'Choix pédagogiques'!$C$3=2),$BN895=1),G895,IF(AND('Choix pédagogiques'!$C$3=3,$BO895=1),G895,""))</f>
        <v/>
      </c>
      <c r="AC895" s="22" t="str">
        <f>IF(AND(OR('Choix pédagogiques'!$C$3=1,'Choix pédagogiques'!$C$3=2),$BN895=1),H895,IF(AND('Choix pédagogiques'!$C$3=3,$BO895=1),H895,""))</f>
        <v/>
      </c>
      <c r="AD895" s="22" t="str">
        <f>IF(AND(OR('Choix pédagogiques'!$C$3=1,'Choix pédagogiques'!$C$3=2),$BN895=1),I895,IF(AND('Choix pédagogiques'!$C$3=3,$BO895=1),I895,""))</f>
        <v/>
      </c>
      <c r="AE895" s="22" t="str">
        <f t="shared" si="590"/>
        <v/>
      </c>
      <c r="AF895" s="21" t="str">
        <f t="shared" si="591"/>
        <v>Apprenant 883</v>
      </c>
      <c r="AG895" s="22" t="str">
        <f t="shared" si="565"/>
        <v/>
      </c>
      <c r="AH895" s="22" t="str">
        <f t="shared" si="566"/>
        <v/>
      </c>
      <c r="AI895" s="22" t="str">
        <f t="shared" si="567"/>
        <v/>
      </c>
      <c r="AJ895" s="22" t="str">
        <f t="shared" si="592"/>
        <v/>
      </c>
      <c r="AK895" s="21" t="str">
        <f t="shared" si="593"/>
        <v>Apprenant 883 ou 883'</v>
      </c>
      <c r="AL895" s="22" t="str">
        <f t="shared" si="568"/>
        <v/>
      </c>
      <c r="AM895" s="22" t="str">
        <f t="shared" si="569"/>
        <v/>
      </c>
      <c r="AN895" s="22" t="str">
        <f t="shared" si="570"/>
        <v/>
      </c>
      <c r="AO895" s="22" t="str">
        <f t="shared" si="594"/>
        <v/>
      </c>
      <c r="AQ895" s="21" t="str">
        <f t="shared" si="595"/>
        <v>Apprenant 883</v>
      </c>
      <c r="AR895" s="49" t="str">
        <f>IF(AND('Choix pédagogiques'!$C$4&lt;&gt;"?",'Choix pédagogiques'!$C$5&lt;&gt;"?",W895&lt;&gt;""),(W895-'Choix pédagogiques'!$C$4)/('Choix pédagogiques'!$C$5-'Choix pédagogiques'!$C$4),"")</f>
        <v/>
      </c>
      <c r="AS895" s="49" t="str">
        <f>IF(AND('Choix pédagogiques'!$C$4&lt;&gt;"?",'Choix pédagogiques'!$C$5&lt;&gt;"?",X895&lt;&gt;""),(X895-'Choix pédagogiques'!$C$4)/('Choix pédagogiques'!$C$5-'Choix pédagogiques'!$C$4),"")</f>
        <v/>
      </c>
      <c r="AT895" s="49" t="str">
        <f>IF(AND('Choix pédagogiques'!$C$4&lt;&gt;"?",'Choix pédagogiques'!$C$5&lt;&gt;"?",Y895&lt;&gt;""),(Y895-'Choix pédagogiques'!$C$4)/('Choix pédagogiques'!$C$5-'Choix pédagogiques'!$C$4),"")</f>
        <v/>
      </c>
      <c r="AU895" s="22" t="str">
        <f t="shared" si="596"/>
        <v/>
      </c>
      <c r="AV895" s="21" t="str">
        <f t="shared" si="597"/>
        <v>Apprenant 883 ou 883'</v>
      </c>
      <c r="AW895" s="49" t="str">
        <f>IF(AND('Choix pédagogiques'!$C$4&lt;&gt;"?",'Choix pédagogiques'!$C$5&lt;&gt;"?",AB895&lt;&gt;""),(AB895-'Choix pédagogiques'!$C$4)/('Choix pédagogiques'!$C$5-'Choix pédagogiques'!$C$4),"")</f>
        <v/>
      </c>
      <c r="AX895" s="49" t="str">
        <f>IF(AND('Choix pédagogiques'!$C$4&lt;&gt;"?",'Choix pédagogiques'!$C$5&lt;&gt;"?",AC895&lt;&gt;""),(AC895-'Choix pédagogiques'!$C$4)/('Choix pédagogiques'!$C$5-'Choix pédagogiques'!$C$4),"")</f>
        <v/>
      </c>
      <c r="AY895" s="49" t="str">
        <f>IF(AND('Choix pédagogiques'!$C$4&lt;&gt;"?",'Choix pédagogiques'!$C$5&lt;&gt;"?",AD895&lt;&gt;""),(AD895-'Choix pédagogiques'!$C$4)/('Choix pédagogiques'!$C$5-'Choix pédagogiques'!$C$4),"")</f>
        <v/>
      </c>
      <c r="AZ895" s="22" t="str">
        <f t="shared" si="598"/>
        <v/>
      </c>
      <c r="BA895" s="21" t="str">
        <f t="shared" si="599"/>
        <v>Apprenant 883</v>
      </c>
      <c r="BB895" s="49" t="str">
        <f t="shared" si="571"/>
        <v/>
      </c>
      <c r="BC895" s="49" t="str">
        <f t="shared" si="572"/>
        <v/>
      </c>
      <c r="BD895" s="49" t="str">
        <f t="shared" si="573"/>
        <v/>
      </c>
      <c r="BE895" s="22" t="str">
        <f t="shared" si="600"/>
        <v/>
      </c>
      <c r="BF895" s="21" t="str">
        <f t="shared" si="601"/>
        <v>Apprenant 883 ou 883'</v>
      </c>
      <c r="BG895" s="49" t="str">
        <f t="shared" si="574"/>
        <v/>
      </c>
      <c r="BH895" s="49" t="str">
        <f t="shared" si="575"/>
        <v/>
      </c>
      <c r="BI895" s="49" t="str">
        <f t="shared" si="576"/>
        <v/>
      </c>
      <c r="BJ895" s="22" t="str">
        <f t="shared" si="602"/>
        <v/>
      </c>
      <c r="BL895" s="21"/>
      <c r="BM895" s="21" t="str">
        <f>IF(OR(COUNT(B895:D1894)=0,AND('Choix pédagogiques'!$C$3&lt;&gt;1,'Choix pédagogiques'!$C$3&lt;&gt;2)),"",IF(AND(OR('Choix pédagogiques'!$C$3=1,'Choix pédagogiques'!$C$3=2),$B895&lt;&gt;"",$C895&lt;&gt;"",$D895&lt;&gt;""),1,0))</f>
        <v/>
      </c>
      <c r="BN895" s="21" t="str">
        <f>IF(OR(COUNT(G895:I1894)=0,AND('Choix pédagogiques'!$C$3&lt;&gt;1,'Choix pédagogiques'!$C$3&lt;&gt;2)),"",IF(AND(OR('Choix pédagogiques'!$C$3=1,'Choix pédagogiques'!$C$3=2),AND($G895&lt;&gt;"",$H895&lt;&gt;"",$I895&lt;&gt;"")),1,0))</f>
        <v/>
      </c>
      <c r="BO895" s="21" t="str">
        <f>IF(OR(COUNT(B895:D1894)=0,COUNT(G895:I1894)=0,'Choix pédagogiques'!C$3&lt;&gt;3),"",IF(AND('Choix pédagogiques'!$C$3=3,$B895&lt;&gt;"",$C895&lt;&gt;"",$D895&lt;&gt;"",$G895&lt;&gt;"",$H895&lt;&gt;"",$I895&lt;&gt;""),1,0))</f>
        <v/>
      </c>
      <c r="BR895" s="21">
        <v>992</v>
      </c>
      <c r="BS895" s="21">
        <v>1198</v>
      </c>
      <c r="BT895"/>
    </row>
    <row r="896" spans="1:72" s="23" customFormat="1" ht="18" customHeight="1" x14ac:dyDescent="0.3">
      <c r="A896" s="35" t="s">
        <v>886</v>
      </c>
      <c r="B896" s="37"/>
      <c r="C896" s="37"/>
      <c r="D896" s="37"/>
      <c r="E896" s="37"/>
      <c r="F896" s="35" t="s">
        <v>1894</v>
      </c>
      <c r="G896" s="37"/>
      <c r="H896" s="37"/>
      <c r="I896" s="37"/>
      <c r="J896" s="37"/>
      <c r="K896" s="21" t="str">
        <f t="shared" si="577"/>
        <v>Apprenant 884</v>
      </c>
      <c r="L896" s="22" t="str">
        <f t="shared" si="578"/>
        <v/>
      </c>
      <c r="M896" s="22" t="str">
        <f t="shared" si="579"/>
        <v/>
      </c>
      <c r="N896" s="22" t="str">
        <f t="shared" si="580"/>
        <v/>
      </c>
      <c r="O896" s="22" t="str">
        <f t="shared" si="581"/>
        <v/>
      </c>
      <c r="P896" s="21" t="str">
        <f t="shared" si="582"/>
        <v>Apprenant 884 ou 884'</v>
      </c>
      <c r="Q896" s="22" t="str">
        <f t="shared" si="583"/>
        <v/>
      </c>
      <c r="R896" s="22" t="str">
        <f t="shared" si="584"/>
        <v/>
      </c>
      <c r="S896" s="22" t="str">
        <f t="shared" si="585"/>
        <v/>
      </c>
      <c r="T896" s="22" t="str">
        <f t="shared" si="586"/>
        <v/>
      </c>
      <c r="V896" s="21" t="str">
        <f t="shared" si="587"/>
        <v>Apprenant 884</v>
      </c>
      <c r="W896" s="22" t="str">
        <f>IF(AND(OR('Choix pédagogiques'!$C$3=1,'Choix pédagogiques'!$C$3=2),$BM896=1),B896,IF(AND('Choix pédagogiques'!$C$3=3,$BO896=1),B896,""))</f>
        <v/>
      </c>
      <c r="X896" s="22" t="str">
        <f>IF(AND(OR('Choix pédagogiques'!$C$3=1,'Choix pédagogiques'!$C$3=2),$BM896=1),C896,IF(AND('Choix pédagogiques'!$C$3=3,$BO896=1),C896,""))</f>
        <v/>
      </c>
      <c r="Y896" s="22" t="str">
        <f>IF(AND(OR('Choix pédagogiques'!$C$3=1,'Choix pédagogiques'!$C$3=2),$BM896=1),D896,IF(AND('Choix pédagogiques'!$C$3=3,$BO896=1),D896,""))</f>
        <v/>
      </c>
      <c r="Z896" s="22" t="str">
        <f t="shared" si="588"/>
        <v/>
      </c>
      <c r="AA896" s="21" t="str">
        <f t="shared" si="589"/>
        <v>Apprenant 884 ou 884'</v>
      </c>
      <c r="AB896" s="22" t="str">
        <f>IF(AND(OR('Choix pédagogiques'!$C$3=1,'Choix pédagogiques'!$C$3=2),$BN896=1),G896,IF(AND('Choix pédagogiques'!$C$3=3,$BO896=1),G896,""))</f>
        <v/>
      </c>
      <c r="AC896" s="22" t="str">
        <f>IF(AND(OR('Choix pédagogiques'!$C$3=1,'Choix pédagogiques'!$C$3=2),$BN896=1),H896,IF(AND('Choix pédagogiques'!$C$3=3,$BO896=1),H896,""))</f>
        <v/>
      </c>
      <c r="AD896" s="22" t="str">
        <f>IF(AND(OR('Choix pédagogiques'!$C$3=1,'Choix pédagogiques'!$C$3=2),$BN896=1),I896,IF(AND('Choix pédagogiques'!$C$3=3,$BO896=1),I896,""))</f>
        <v/>
      </c>
      <c r="AE896" s="22" t="str">
        <f t="shared" si="590"/>
        <v/>
      </c>
      <c r="AF896" s="21" t="str">
        <f t="shared" si="591"/>
        <v>Apprenant 884</v>
      </c>
      <c r="AG896" s="22" t="str">
        <f t="shared" si="565"/>
        <v/>
      </c>
      <c r="AH896" s="22" t="str">
        <f t="shared" si="566"/>
        <v/>
      </c>
      <c r="AI896" s="22" t="str">
        <f t="shared" si="567"/>
        <v/>
      </c>
      <c r="AJ896" s="22" t="str">
        <f t="shared" si="592"/>
        <v/>
      </c>
      <c r="AK896" s="21" t="str">
        <f t="shared" si="593"/>
        <v>Apprenant 884 ou 884'</v>
      </c>
      <c r="AL896" s="22" t="str">
        <f t="shared" si="568"/>
        <v/>
      </c>
      <c r="AM896" s="22" t="str">
        <f t="shared" si="569"/>
        <v/>
      </c>
      <c r="AN896" s="22" t="str">
        <f t="shared" si="570"/>
        <v/>
      </c>
      <c r="AO896" s="22" t="str">
        <f t="shared" si="594"/>
        <v/>
      </c>
      <c r="AQ896" s="21" t="str">
        <f t="shared" si="595"/>
        <v>Apprenant 884</v>
      </c>
      <c r="AR896" s="49" t="str">
        <f>IF(AND('Choix pédagogiques'!$C$4&lt;&gt;"?",'Choix pédagogiques'!$C$5&lt;&gt;"?",W896&lt;&gt;""),(W896-'Choix pédagogiques'!$C$4)/('Choix pédagogiques'!$C$5-'Choix pédagogiques'!$C$4),"")</f>
        <v/>
      </c>
      <c r="AS896" s="49" t="str">
        <f>IF(AND('Choix pédagogiques'!$C$4&lt;&gt;"?",'Choix pédagogiques'!$C$5&lt;&gt;"?",X896&lt;&gt;""),(X896-'Choix pédagogiques'!$C$4)/('Choix pédagogiques'!$C$5-'Choix pédagogiques'!$C$4),"")</f>
        <v/>
      </c>
      <c r="AT896" s="49" t="str">
        <f>IF(AND('Choix pédagogiques'!$C$4&lt;&gt;"?",'Choix pédagogiques'!$C$5&lt;&gt;"?",Y896&lt;&gt;""),(Y896-'Choix pédagogiques'!$C$4)/('Choix pédagogiques'!$C$5-'Choix pédagogiques'!$C$4),"")</f>
        <v/>
      </c>
      <c r="AU896" s="22" t="str">
        <f t="shared" si="596"/>
        <v/>
      </c>
      <c r="AV896" s="21" t="str">
        <f t="shared" si="597"/>
        <v>Apprenant 884 ou 884'</v>
      </c>
      <c r="AW896" s="49" t="str">
        <f>IF(AND('Choix pédagogiques'!$C$4&lt;&gt;"?",'Choix pédagogiques'!$C$5&lt;&gt;"?",AB896&lt;&gt;""),(AB896-'Choix pédagogiques'!$C$4)/('Choix pédagogiques'!$C$5-'Choix pédagogiques'!$C$4),"")</f>
        <v/>
      </c>
      <c r="AX896" s="49" t="str">
        <f>IF(AND('Choix pédagogiques'!$C$4&lt;&gt;"?",'Choix pédagogiques'!$C$5&lt;&gt;"?",AC896&lt;&gt;""),(AC896-'Choix pédagogiques'!$C$4)/('Choix pédagogiques'!$C$5-'Choix pédagogiques'!$C$4),"")</f>
        <v/>
      </c>
      <c r="AY896" s="49" t="str">
        <f>IF(AND('Choix pédagogiques'!$C$4&lt;&gt;"?",'Choix pédagogiques'!$C$5&lt;&gt;"?",AD896&lt;&gt;""),(AD896-'Choix pédagogiques'!$C$4)/('Choix pédagogiques'!$C$5-'Choix pédagogiques'!$C$4),"")</f>
        <v/>
      </c>
      <c r="AZ896" s="22" t="str">
        <f t="shared" si="598"/>
        <v/>
      </c>
      <c r="BA896" s="21" t="str">
        <f t="shared" si="599"/>
        <v>Apprenant 884</v>
      </c>
      <c r="BB896" s="49" t="str">
        <f t="shared" si="571"/>
        <v/>
      </c>
      <c r="BC896" s="49" t="str">
        <f t="shared" si="572"/>
        <v/>
      </c>
      <c r="BD896" s="49" t="str">
        <f t="shared" si="573"/>
        <v/>
      </c>
      <c r="BE896" s="22" t="str">
        <f t="shared" si="600"/>
        <v/>
      </c>
      <c r="BF896" s="21" t="str">
        <f t="shared" si="601"/>
        <v>Apprenant 884 ou 884'</v>
      </c>
      <c r="BG896" s="49" t="str">
        <f t="shared" si="574"/>
        <v/>
      </c>
      <c r="BH896" s="49" t="str">
        <f t="shared" si="575"/>
        <v/>
      </c>
      <c r="BI896" s="49" t="str">
        <f t="shared" si="576"/>
        <v/>
      </c>
      <c r="BJ896" s="22" t="str">
        <f t="shared" si="602"/>
        <v/>
      </c>
      <c r="BL896" s="21"/>
      <c r="BM896" s="21" t="str">
        <f>IF(OR(COUNT(B896:D1895)=0,AND('Choix pédagogiques'!$C$3&lt;&gt;1,'Choix pédagogiques'!$C$3&lt;&gt;2)),"",IF(AND(OR('Choix pédagogiques'!$C$3=1,'Choix pédagogiques'!$C$3=2),$B896&lt;&gt;"",$C896&lt;&gt;"",$D896&lt;&gt;""),1,0))</f>
        <v/>
      </c>
      <c r="BN896" s="21" t="str">
        <f>IF(OR(COUNT(G896:I1895)=0,AND('Choix pédagogiques'!$C$3&lt;&gt;1,'Choix pédagogiques'!$C$3&lt;&gt;2)),"",IF(AND(OR('Choix pédagogiques'!$C$3=1,'Choix pédagogiques'!$C$3=2),AND($G896&lt;&gt;"",$H896&lt;&gt;"",$I896&lt;&gt;"")),1,0))</f>
        <v/>
      </c>
      <c r="BO896" s="21" t="str">
        <f>IF(OR(COUNT(B896:D1895)=0,COUNT(G896:I1895)=0,'Choix pédagogiques'!C$3&lt;&gt;3),"",IF(AND('Choix pédagogiques'!$C$3=3,$B896&lt;&gt;"",$C896&lt;&gt;"",$D896&lt;&gt;"",$G896&lt;&gt;"",$H896&lt;&gt;"",$I896&lt;&gt;""),1,0))</f>
        <v/>
      </c>
      <c r="BR896" s="21">
        <v>182</v>
      </c>
      <c r="BS896" s="21">
        <v>1353</v>
      </c>
      <c r="BT896"/>
    </row>
    <row r="897" spans="1:72" s="23" customFormat="1" ht="18" customHeight="1" x14ac:dyDescent="0.3">
      <c r="A897" s="35" t="s">
        <v>887</v>
      </c>
      <c r="B897" s="37"/>
      <c r="C897" s="37"/>
      <c r="D897" s="37"/>
      <c r="E897" s="37"/>
      <c r="F897" s="35" t="s">
        <v>1895</v>
      </c>
      <c r="G897" s="37"/>
      <c r="H897" s="37"/>
      <c r="I897" s="37"/>
      <c r="J897" s="37"/>
      <c r="K897" s="21" t="str">
        <f t="shared" si="577"/>
        <v>Apprenant 885</v>
      </c>
      <c r="L897" s="22" t="str">
        <f t="shared" si="578"/>
        <v/>
      </c>
      <c r="M897" s="22" t="str">
        <f t="shared" si="579"/>
        <v/>
      </c>
      <c r="N897" s="22" t="str">
        <f t="shared" si="580"/>
        <v/>
      </c>
      <c r="O897" s="22" t="str">
        <f t="shared" si="581"/>
        <v/>
      </c>
      <c r="P897" s="21" t="str">
        <f t="shared" si="582"/>
        <v>Apprenant 885 ou 885'</v>
      </c>
      <c r="Q897" s="22" t="str">
        <f t="shared" si="583"/>
        <v/>
      </c>
      <c r="R897" s="22" t="str">
        <f t="shared" si="584"/>
        <v/>
      </c>
      <c r="S897" s="22" t="str">
        <f t="shared" si="585"/>
        <v/>
      </c>
      <c r="T897" s="22" t="str">
        <f t="shared" si="586"/>
        <v/>
      </c>
      <c r="V897" s="21" t="str">
        <f t="shared" si="587"/>
        <v>Apprenant 885</v>
      </c>
      <c r="W897" s="22" t="str">
        <f>IF(AND(OR('Choix pédagogiques'!$C$3=1,'Choix pédagogiques'!$C$3=2),$BM897=1),B897,IF(AND('Choix pédagogiques'!$C$3=3,$BO897=1),B897,""))</f>
        <v/>
      </c>
      <c r="X897" s="22" t="str">
        <f>IF(AND(OR('Choix pédagogiques'!$C$3=1,'Choix pédagogiques'!$C$3=2),$BM897=1),C897,IF(AND('Choix pédagogiques'!$C$3=3,$BO897=1),C897,""))</f>
        <v/>
      </c>
      <c r="Y897" s="22" t="str">
        <f>IF(AND(OR('Choix pédagogiques'!$C$3=1,'Choix pédagogiques'!$C$3=2),$BM897=1),D897,IF(AND('Choix pédagogiques'!$C$3=3,$BO897=1),D897,""))</f>
        <v/>
      </c>
      <c r="Z897" s="22" t="str">
        <f t="shared" si="588"/>
        <v/>
      </c>
      <c r="AA897" s="21" t="str">
        <f t="shared" si="589"/>
        <v>Apprenant 885 ou 885'</v>
      </c>
      <c r="AB897" s="22" t="str">
        <f>IF(AND(OR('Choix pédagogiques'!$C$3=1,'Choix pédagogiques'!$C$3=2),$BN897=1),G897,IF(AND('Choix pédagogiques'!$C$3=3,$BO897=1),G897,""))</f>
        <v/>
      </c>
      <c r="AC897" s="22" t="str">
        <f>IF(AND(OR('Choix pédagogiques'!$C$3=1,'Choix pédagogiques'!$C$3=2),$BN897=1),H897,IF(AND('Choix pédagogiques'!$C$3=3,$BO897=1),H897,""))</f>
        <v/>
      </c>
      <c r="AD897" s="22" t="str">
        <f>IF(AND(OR('Choix pédagogiques'!$C$3=1,'Choix pédagogiques'!$C$3=2),$BN897=1),I897,IF(AND('Choix pédagogiques'!$C$3=3,$BO897=1),I897,""))</f>
        <v/>
      </c>
      <c r="AE897" s="22" t="str">
        <f t="shared" si="590"/>
        <v/>
      </c>
      <c r="AF897" s="21" t="str">
        <f t="shared" si="591"/>
        <v>Apprenant 885</v>
      </c>
      <c r="AG897" s="22" t="str">
        <f t="shared" si="565"/>
        <v/>
      </c>
      <c r="AH897" s="22" t="str">
        <f t="shared" si="566"/>
        <v/>
      </c>
      <c r="AI897" s="22" t="str">
        <f t="shared" si="567"/>
        <v/>
      </c>
      <c r="AJ897" s="22" t="str">
        <f t="shared" si="592"/>
        <v/>
      </c>
      <c r="AK897" s="21" t="str">
        <f t="shared" si="593"/>
        <v>Apprenant 885 ou 885'</v>
      </c>
      <c r="AL897" s="22" t="str">
        <f t="shared" si="568"/>
        <v/>
      </c>
      <c r="AM897" s="22" t="str">
        <f t="shared" si="569"/>
        <v/>
      </c>
      <c r="AN897" s="22" t="str">
        <f t="shared" si="570"/>
        <v/>
      </c>
      <c r="AO897" s="22" t="str">
        <f t="shared" si="594"/>
        <v/>
      </c>
      <c r="AQ897" s="21" t="str">
        <f t="shared" si="595"/>
        <v>Apprenant 885</v>
      </c>
      <c r="AR897" s="49" t="str">
        <f>IF(AND('Choix pédagogiques'!$C$4&lt;&gt;"?",'Choix pédagogiques'!$C$5&lt;&gt;"?",W897&lt;&gt;""),(W897-'Choix pédagogiques'!$C$4)/('Choix pédagogiques'!$C$5-'Choix pédagogiques'!$C$4),"")</f>
        <v/>
      </c>
      <c r="AS897" s="49" t="str">
        <f>IF(AND('Choix pédagogiques'!$C$4&lt;&gt;"?",'Choix pédagogiques'!$C$5&lt;&gt;"?",X897&lt;&gt;""),(X897-'Choix pédagogiques'!$C$4)/('Choix pédagogiques'!$C$5-'Choix pédagogiques'!$C$4),"")</f>
        <v/>
      </c>
      <c r="AT897" s="49" t="str">
        <f>IF(AND('Choix pédagogiques'!$C$4&lt;&gt;"?",'Choix pédagogiques'!$C$5&lt;&gt;"?",Y897&lt;&gt;""),(Y897-'Choix pédagogiques'!$C$4)/('Choix pédagogiques'!$C$5-'Choix pédagogiques'!$C$4),"")</f>
        <v/>
      </c>
      <c r="AU897" s="22" t="str">
        <f t="shared" si="596"/>
        <v/>
      </c>
      <c r="AV897" s="21" t="str">
        <f t="shared" si="597"/>
        <v>Apprenant 885 ou 885'</v>
      </c>
      <c r="AW897" s="49" t="str">
        <f>IF(AND('Choix pédagogiques'!$C$4&lt;&gt;"?",'Choix pédagogiques'!$C$5&lt;&gt;"?",AB897&lt;&gt;""),(AB897-'Choix pédagogiques'!$C$4)/('Choix pédagogiques'!$C$5-'Choix pédagogiques'!$C$4),"")</f>
        <v/>
      </c>
      <c r="AX897" s="49" t="str">
        <f>IF(AND('Choix pédagogiques'!$C$4&lt;&gt;"?",'Choix pédagogiques'!$C$5&lt;&gt;"?",AC897&lt;&gt;""),(AC897-'Choix pédagogiques'!$C$4)/('Choix pédagogiques'!$C$5-'Choix pédagogiques'!$C$4),"")</f>
        <v/>
      </c>
      <c r="AY897" s="49" t="str">
        <f>IF(AND('Choix pédagogiques'!$C$4&lt;&gt;"?",'Choix pédagogiques'!$C$5&lt;&gt;"?",AD897&lt;&gt;""),(AD897-'Choix pédagogiques'!$C$4)/('Choix pédagogiques'!$C$5-'Choix pédagogiques'!$C$4),"")</f>
        <v/>
      </c>
      <c r="AZ897" s="22" t="str">
        <f t="shared" si="598"/>
        <v/>
      </c>
      <c r="BA897" s="21" t="str">
        <f t="shared" si="599"/>
        <v>Apprenant 885</v>
      </c>
      <c r="BB897" s="49" t="str">
        <f t="shared" si="571"/>
        <v/>
      </c>
      <c r="BC897" s="49" t="str">
        <f t="shared" si="572"/>
        <v/>
      </c>
      <c r="BD897" s="49" t="str">
        <f t="shared" si="573"/>
        <v/>
      </c>
      <c r="BE897" s="22" t="str">
        <f t="shared" si="600"/>
        <v/>
      </c>
      <c r="BF897" s="21" t="str">
        <f t="shared" si="601"/>
        <v>Apprenant 885 ou 885'</v>
      </c>
      <c r="BG897" s="49" t="str">
        <f t="shared" si="574"/>
        <v/>
      </c>
      <c r="BH897" s="49" t="str">
        <f t="shared" si="575"/>
        <v/>
      </c>
      <c r="BI897" s="49" t="str">
        <f t="shared" si="576"/>
        <v/>
      </c>
      <c r="BJ897" s="22" t="str">
        <f t="shared" si="602"/>
        <v/>
      </c>
      <c r="BL897" s="21"/>
      <c r="BM897" s="21" t="str">
        <f>IF(OR(COUNT(B897:D1896)=0,AND('Choix pédagogiques'!$C$3&lt;&gt;1,'Choix pédagogiques'!$C$3&lt;&gt;2)),"",IF(AND(OR('Choix pédagogiques'!$C$3=1,'Choix pédagogiques'!$C$3=2),$B897&lt;&gt;"",$C897&lt;&gt;"",$D897&lt;&gt;""),1,0))</f>
        <v/>
      </c>
      <c r="BN897" s="21" t="str">
        <f>IF(OR(COUNT(G897:I1896)=0,AND('Choix pédagogiques'!$C$3&lt;&gt;1,'Choix pédagogiques'!$C$3&lt;&gt;2)),"",IF(AND(OR('Choix pédagogiques'!$C$3=1,'Choix pédagogiques'!$C$3=2),AND($G897&lt;&gt;"",$H897&lt;&gt;"",$I897&lt;&gt;"")),1,0))</f>
        <v/>
      </c>
      <c r="BO897" s="21" t="str">
        <f>IF(OR(COUNT(B897:D1896)=0,COUNT(G897:I1896)=0,'Choix pédagogiques'!C$3&lt;&gt;3),"",IF(AND('Choix pédagogiques'!$C$3=3,$B897&lt;&gt;"",$C897&lt;&gt;"",$D897&lt;&gt;"",$G897&lt;&gt;"",$H897&lt;&gt;"",$I897&lt;&gt;""),1,0))</f>
        <v/>
      </c>
      <c r="BR897" s="21">
        <v>734</v>
      </c>
      <c r="BS897" s="21">
        <v>1310</v>
      </c>
      <c r="BT897"/>
    </row>
    <row r="898" spans="1:72" s="23" customFormat="1" ht="18" customHeight="1" x14ac:dyDescent="0.3">
      <c r="A898" s="35" t="s">
        <v>888</v>
      </c>
      <c r="B898" s="37"/>
      <c r="C898" s="37"/>
      <c r="D898" s="37"/>
      <c r="E898" s="37"/>
      <c r="F898" s="35" t="s">
        <v>1896</v>
      </c>
      <c r="G898" s="37"/>
      <c r="H898" s="37"/>
      <c r="I898" s="37"/>
      <c r="J898" s="37"/>
      <c r="K898" s="21" t="str">
        <f t="shared" si="577"/>
        <v>Apprenant 886</v>
      </c>
      <c r="L898" s="22" t="str">
        <f t="shared" si="578"/>
        <v/>
      </c>
      <c r="M898" s="22" t="str">
        <f t="shared" si="579"/>
        <v/>
      </c>
      <c r="N898" s="22" t="str">
        <f t="shared" si="580"/>
        <v/>
      </c>
      <c r="O898" s="22" t="str">
        <f t="shared" si="581"/>
        <v/>
      </c>
      <c r="P898" s="21" t="str">
        <f t="shared" si="582"/>
        <v>Apprenant 886 ou 886'</v>
      </c>
      <c r="Q898" s="22" t="str">
        <f t="shared" si="583"/>
        <v/>
      </c>
      <c r="R898" s="22" t="str">
        <f t="shared" si="584"/>
        <v/>
      </c>
      <c r="S898" s="22" t="str">
        <f t="shared" si="585"/>
        <v/>
      </c>
      <c r="T898" s="22" t="str">
        <f t="shared" si="586"/>
        <v/>
      </c>
      <c r="V898" s="21" t="str">
        <f t="shared" si="587"/>
        <v>Apprenant 886</v>
      </c>
      <c r="W898" s="22" t="str">
        <f>IF(AND(OR('Choix pédagogiques'!$C$3=1,'Choix pédagogiques'!$C$3=2),$BM898=1),B898,IF(AND('Choix pédagogiques'!$C$3=3,$BO898=1),B898,""))</f>
        <v/>
      </c>
      <c r="X898" s="22" t="str">
        <f>IF(AND(OR('Choix pédagogiques'!$C$3=1,'Choix pédagogiques'!$C$3=2),$BM898=1),C898,IF(AND('Choix pédagogiques'!$C$3=3,$BO898=1),C898,""))</f>
        <v/>
      </c>
      <c r="Y898" s="22" t="str">
        <f>IF(AND(OR('Choix pédagogiques'!$C$3=1,'Choix pédagogiques'!$C$3=2),$BM898=1),D898,IF(AND('Choix pédagogiques'!$C$3=3,$BO898=1),D898,""))</f>
        <v/>
      </c>
      <c r="Z898" s="22" t="str">
        <f t="shared" si="588"/>
        <v/>
      </c>
      <c r="AA898" s="21" t="str">
        <f t="shared" si="589"/>
        <v>Apprenant 886 ou 886'</v>
      </c>
      <c r="AB898" s="22" t="str">
        <f>IF(AND(OR('Choix pédagogiques'!$C$3=1,'Choix pédagogiques'!$C$3=2),$BN898=1),G898,IF(AND('Choix pédagogiques'!$C$3=3,$BO898=1),G898,""))</f>
        <v/>
      </c>
      <c r="AC898" s="22" t="str">
        <f>IF(AND(OR('Choix pédagogiques'!$C$3=1,'Choix pédagogiques'!$C$3=2),$BN898=1),H898,IF(AND('Choix pédagogiques'!$C$3=3,$BO898=1),H898,""))</f>
        <v/>
      </c>
      <c r="AD898" s="22" t="str">
        <f>IF(AND(OR('Choix pédagogiques'!$C$3=1,'Choix pédagogiques'!$C$3=2),$BN898=1),I898,IF(AND('Choix pédagogiques'!$C$3=3,$BO898=1),I898,""))</f>
        <v/>
      </c>
      <c r="AE898" s="22" t="str">
        <f t="shared" si="590"/>
        <v/>
      </c>
      <c r="AF898" s="21" t="str">
        <f t="shared" si="591"/>
        <v>Apprenant 886</v>
      </c>
      <c r="AG898" s="22" t="str">
        <f t="shared" si="565"/>
        <v/>
      </c>
      <c r="AH898" s="22" t="str">
        <f t="shared" si="566"/>
        <v/>
      </c>
      <c r="AI898" s="22" t="str">
        <f t="shared" si="567"/>
        <v/>
      </c>
      <c r="AJ898" s="22" t="str">
        <f t="shared" si="592"/>
        <v/>
      </c>
      <c r="AK898" s="21" t="str">
        <f t="shared" si="593"/>
        <v>Apprenant 886 ou 886'</v>
      </c>
      <c r="AL898" s="22" t="str">
        <f t="shared" si="568"/>
        <v/>
      </c>
      <c r="AM898" s="22" t="str">
        <f t="shared" si="569"/>
        <v/>
      </c>
      <c r="AN898" s="22" t="str">
        <f t="shared" si="570"/>
        <v/>
      </c>
      <c r="AO898" s="22" t="str">
        <f t="shared" si="594"/>
        <v/>
      </c>
      <c r="AQ898" s="21" t="str">
        <f t="shared" si="595"/>
        <v>Apprenant 886</v>
      </c>
      <c r="AR898" s="49" t="str">
        <f>IF(AND('Choix pédagogiques'!$C$4&lt;&gt;"?",'Choix pédagogiques'!$C$5&lt;&gt;"?",W898&lt;&gt;""),(W898-'Choix pédagogiques'!$C$4)/('Choix pédagogiques'!$C$5-'Choix pédagogiques'!$C$4),"")</f>
        <v/>
      </c>
      <c r="AS898" s="49" t="str">
        <f>IF(AND('Choix pédagogiques'!$C$4&lt;&gt;"?",'Choix pédagogiques'!$C$5&lt;&gt;"?",X898&lt;&gt;""),(X898-'Choix pédagogiques'!$C$4)/('Choix pédagogiques'!$C$5-'Choix pédagogiques'!$C$4),"")</f>
        <v/>
      </c>
      <c r="AT898" s="49" t="str">
        <f>IF(AND('Choix pédagogiques'!$C$4&lt;&gt;"?",'Choix pédagogiques'!$C$5&lt;&gt;"?",Y898&lt;&gt;""),(Y898-'Choix pédagogiques'!$C$4)/('Choix pédagogiques'!$C$5-'Choix pédagogiques'!$C$4),"")</f>
        <v/>
      </c>
      <c r="AU898" s="22" t="str">
        <f t="shared" si="596"/>
        <v/>
      </c>
      <c r="AV898" s="21" t="str">
        <f t="shared" si="597"/>
        <v>Apprenant 886 ou 886'</v>
      </c>
      <c r="AW898" s="49" t="str">
        <f>IF(AND('Choix pédagogiques'!$C$4&lt;&gt;"?",'Choix pédagogiques'!$C$5&lt;&gt;"?",AB898&lt;&gt;""),(AB898-'Choix pédagogiques'!$C$4)/('Choix pédagogiques'!$C$5-'Choix pédagogiques'!$C$4),"")</f>
        <v/>
      </c>
      <c r="AX898" s="49" t="str">
        <f>IF(AND('Choix pédagogiques'!$C$4&lt;&gt;"?",'Choix pédagogiques'!$C$5&lt;&gt;"?",AC898&lt;&gt;""),(AC898-'Choix pédagogiques'!$C$4)/('Choix pédagogiques'!$C$5-'Choix pédagogiques'!$C$4),"")</f>
        <v/>
      </c>
      <c r="AY898" s="49" t="str">
        <f>IF(AND('Choix pédagogiques'!$C$4&lt;&gt;"?",'Choix pédagogiques'!$C$5&lt;&gt;"?",AD898&lt;&gt;""),(AD898-'Choix pédagogiques'!$C$4)/('Choix pédagogiques'!$C$5-'Choix pédagogiques'!$C$4),"")</f>
        <v/>
      </c>
      <c r="AZ898" s="22" t="str">
        <f t="shared" si="598"/>
        <v/>
      </c>
      <c r="BA898" s="21" t="str">
        <f t="shared" si="599"/>
        <v>Apprenant 886</v>
      </c>
      <c r="BB898" s="49" t="str">
        <f t="shared" si="571"/>
        <v/>
      </c>
      <c r="BC898" s="49" t="str">
        <f t="shared" si="572"/>
        <v/>
      </c>
      <c r="BD898" s="49" t="str">
        <f t="shared" si="573"/>
        <v/>
      </c>
      <c r="BE898" s="22" t="str">
        <f t="shared" si="600"/>
        <v/>
      </c>
      <c r="BF898" s="21" t="str">
        <f t="shared" si="601"/>
        <v>Apprenant 886 ou 886'</v>
      </c>
      <c r="BG898" s="49" t="str">
        <f t="shared" si="574"/>
        <v/>
      </c>
      <c r="BH898" s="49" t="str">
        <f t="shared" si="575"/>
        <v/>
      </c>
      <c r="BI898" s="49" t="str">
        <f t="shared" si="576"/>
        <v/>
      </c>
      <c r="BJ898" s="22" t="str">
        <f t="shared" si="602"/>
        <v/>
      </c>
      <c r="BL898" s="21"/>
      <c r="BM898" s="21" t="str">
        <f>IF(OR(COUNT(B898:D1897)=0,AND('Choix pédagogiques'!$C$3&lt;&gt;1,'Choix pédagogiques'!$C$3&lt;&gt;2)),"",IF(AND(OR('Choix pédagogiques'!$C$3=1,'Choix pédagogiques'!$C$3=2),$B898&lt;&gt;"",$C898&lt;&gt;"",$D898&lt;&gt;""),1,0))</f>
        <v/>
      </c>
      <c r="BN898" s="21" t="str">
        <f>IF(OR(COUNT(G898:I1897)=0,AND('Choix pédagogiques'!$C$3&lt;&gt;1,'Choix pédagogiques'!$C$3&lt;&gt;2)),"",IF(AND(OR('Choix pédagogiques'!$C$3=1,'Choix pédagogiques'!$C$3=2),AND($G898&lt;&gt;"",$H898&lt;&gt;"",$I898&lt;&gt;"")),1,0))</f>
        <v/>
      </c>
      <c r="BO898" s="21" t="str">
        <f>IF(OR(COUNT(B898:D1897)=0,COUNT(G898:I1897)=0,'Choix pédagogiques'!C$3&lt;&gt;3),"",IF(AND('Choix pédagogiques'!$C$3=3,$B898&lt;&gt;"",$C898&lt;&gt;"",$D898&lt;&gt;"",$G898&lt;&gt;"",$H898&lt;&gt;"",$I898&lt;&gt;""),1,0))</f>
        <v/>
      </c>
      <c r="BR898" s="21">
        <v>35</v>
      </c>
      <c r="BS898" s="21">
        <v>1984</v>
      </c>
      <c r="BT898"/>
    </row>
    <row r="899" spans="1:72" s="23" customFormat="1" ht="18" customHeight="1" x14ac:dyDescent="0.3">
      <c r="A899" s="35" t="s">
        <v>889</v>
      </c>
      <c r="B899" s="37"/>
      <c r="C899" s="37"/>
      <c r="D899" s="37"/>
      <c r="E899" s="37"/>
      <c r="F899" s="35" t="s">
        <v>1897</v>
      </c>
      <c r="G899" s="37"/>
      <c r="H899" s="37"/>
      <c r="I899" s="37"/>
      <c r="J899" s="37"/>
      <c r="K899" s="21" t="str">
        <f t="shared" si="577"/>
        <v>Apprenant 887</v>
      </c>
      <c r="L899" s="22" t="str">
        <f t="shared" si="578"/>
        <v/>
      </c>
      <c r="M899" s="22" t="str">
        <f t="shared" si="579"/>
        <v/>
      </c>
      <c r="N899" s="22" t="str">
        <f t="shared" si="580"/>
        <v/>
      </c>
      <c r="O899" s="22" t="str">
        <f t="shared" si="581"/>
        <v/>
      </c>
      <c r="P899" s="21" t="str">
        <f t="shared" si="582"/>
        <v>Apprenant 887 ou 887'</v>
      </c>
      <c r="Q899" s="22" t="str">
        <f t="shared" si="583"/>
        <v/>
      </c>
      <c r="R899" s="22" t="str">
        <f t="shared" si="584"/>
        <v/>
      </c>
      <c r="S899" s="22" t="str">
        <f t="shared" si="585"/>
        <v/>
      </c>
      <c r="T899" s="22" t="str">
        <f t="shared" si="586"/>
        <v/>
      </c>
      <c r="V899" s="21" t="str">
        <f t="shared" si="587"/>
        <v>Apprenant 887</v>
      </c>
      <c r="W899" s="22" t="str">
        <f>IF(AND(OR('Choix pédagogiques'!$C$3=1,'Choix pédagogiques'!$C$3=2),$BM899=1),B899,IF(AND('Choix pédagogiques'!$C$3=3,$BO899=1),B899,""))</f>
        <v/>
      </c>
      <c r="X899" s="22" t="str">
        <f>IF(AND(OR('Choix pédagogiques'!$C$3=1,'Choix pédagogiques'!$C$3=2),$BM899=1),C899,IF(AND('Choix pédagogiques'!$C$3=3,$BO899=1),C899,""))</f>
        <v/>
      </c>
      <c r="Y899" s="22" t="str">
        <f>IF(AND(OR('Choix pédagogiques'!$C$3=1,'Choix pédagogiques'!$C$3=2),$BM899=1),D899,IF(AND('Choix pédagogiques'!$C$3=3,$BO899=1),D899,""))</f>
        <v/>
      </c>
      <c r="Z899" s="22" t="str">
        <f t="shared" si="588"/>
        <v/>
      </c>
      <c r="AA899" s="21" t="str">
        <f t="shared" si="589"/>
        <v>Apprenant 887 ou 887'</v>
      </c>
      <c r="AB899" s="22" t="str">
        <f>IF(AND(OR('Choix pédagogiques'!$C$3=1,'Choix pédagogiques'!$C$3=2),$BN899=1),G899,IF(AND('Choix pédagogiques'!$C$3=3,$BO899=1),G899,""))</f>
        <v/>
      </c>
      <c r="AC899" s="22" t="str">
        <f>IF(AND(OR('Choix pédagogiques'!$C$3=1,'Choix pédagogiques'!$C$3=2),$BN899=1),H899,IF(AND('Choix pédagogiques'!$C$3=3,$BO899=1),H899,""))</f>
        <v/>
      </c>
      <c r="AD899" s="22" t="str">
        <f>IF(AND(OR('Choix pédagogiques'!$C$3=1,'Choix pédagogiques'!$C$3=2),$BN899=1),I899,IF(AND('Choix pédagogiques'!$C$3=3,$BO899=1),I899,""))</f>
        <v/>
      </c>
      <c r="AE899" s="22" t="str">
        <f t="shared" si="590"/>
        <v/>
      </c>
      <c r="AF899" s="21" t="str">
        <f t="shared" si="591"/>
        <v>Apprenant 887</v>
      </c>
      <c r="AG899" s="22" t="str">
        <f t="shared" si="565"/>
        <v/>
      </c>
      <c r="AH899" s="22" t="str">
        <f t="shared" si="566"/>
        <v/>
      </c>
      <c r="AI899" s="22" t="str">
        <f t="shared" si="567"/>
        <v/>
      </c>
      <c r="AJ899" s="22" t="str">
        <f t="shared" si="592"/>
        <v/>
      </c>
      <c r="AK899" s="21" t="str">
        <f t="shared" si="593"/>
        <v>Apprenant 887 ou 887'</v>
      </c>
      <c r="AL899" s="22" t="str">
        <f t="shared" si="568"/>
        <v/>
      </c>
      <c r="AM899" s="22" t="str">
        <f t="shared" si="569"/>
        <v/>
      </c>
      <c r="AN899" s="22" t="str">
        <f t="shared" si="570"/>
        <v/>
      </c>
      <c r="AO899" s="22" t="str">
        <f t="shared" si="594"/>
        <v/>
      </c>
      <c r="AQ899" s="21" t="str">
        <f t="shared" si="595"/>
        <v>Apprenant 887</v>
      </c>
      <c r="AR899" s="49" t="str">
        <f>IF(AND('Choix pédagogiques'!$C$4&lt;&gt;"?",'Choix pédagogiques'!$C$5&lt;&gt;"?",W899&lt;&gt;""),(W899-'Choix pédagogiques'!$C$4)/('Choix pédagogiques'!$C$5-'Choix pédagogiques'!$C$4),"")</f>
        <v/>
      </c>
      <c r="AS899" s="49" t="str">
        <f>IF(AND('Choix pédagogiques'!$C$4&lt;&gt;"?",'Choix pédagogiques'!$C$5&lt;&gt;"?",X899&lt;&gt;""),(X899-'Choix pédagogiques'!$C$4)/('Choix pédagogiques'!$C$5-'Choix pédagogiques'!$C$4),"")</f>
        <v/>
      </c>
      <c r="AT899" s="49" t="str">
        <f>IF(AND('Choix pédagogiques'!$C$4&lt;&gt;"?",'Choix pédagogiques'!$C$5&lt;&gt;"?",Y899&lt;&gt;""),(Y899-'Choix pédagogiques'!$C$4)/('Choix pédagogiques'!$C$5-'Choix pédagogiques'!$C$4),"")</f>
        <v/>
      </c>
      <c r="AU899" s="22" t="str">
        <f t="shared" si="596"/>
        <v/>
      </c>
      <c r="AV899" s="21" t="str">
        <f t="shared" si="597"/>
        <v>Apprenant 887 ou 887'</v>
      </c>
      <c r="AW899" s="49" t="str">
        <f>IF(AND('Choix pédagogiques'!$C$4&lt;&gt;"?",'Choix pédagogiques'!$C$5&lt;&gt;"?",AB899&lt;&gt;""),(AB899-'Choix pédagogiques'!$C$4)/('Choix pédagogiques'!$C$5-'Choix pédagogiques'!$C$4),"")</f>
        <v/>
      </c>
      <c r="AX899" s="49" t="str">
        <f>IF(AND('Choix pédagogiques'!$C$4&lt;&gt;"?",'Choix pédagogiques'!$C$5&lt;&gt;"?",AC899&lt;&gt;""),(AC899-'Choix pédagogiques'!$C$4)/('Choix pédagogiques'!$C$5-'Choix pédagogiques'!$C$4),"")</f>
        <v/>
      </c>
      <c r="AY899" s="49" t="str">
        <f>IF(AND('Choix pédagogiques'!$C$4&lt;&gt;"?",'Choix pédagogiques'!$C$5&lt;&gt;"?",AD899&lt;&gt;""),(AD899-'Choix pédagogiques'!$C$4)/('Choix pédagogiques'!$C$5-'Choix pédagogiques'!$C$4),"")</f>
        <v/>
      </c>
      <c r="AZ899" s="22" t="str">
        <f t="shared" si="598"/>
        <v/>
      </c>
      <c r="BA899" s="21" t="str">
        <f t="shared" si="599"/>
        <v>Apprenant 887</v>
      </c>
      <c r="BB899" s="49" t="str">
        <f t="shared" si="571"/>
        <v/>
      </c>
      <c r="BC899" s="49" t="str">
        <f t="shared" si="572"/>
        <v/>
      </c>
      <c r="BD899" s="49" t="str">
        <f t="shared" si="573"/>
        <v/>
      </c>
      <c r="BE899" s="22" t="str">
        <f t="shared" si="600"/>
        <v/>
      </c>
      <c r="BF899" s="21" t="str">
        <f t="shared" si="601"/>
        <v>Apprenant 887 ou 887'</v>
      </c>
      <c r="BG899" s="49" t="str">
        <f t="shared" si="574"/>
        <v/>
      </c>
      <c r="BH899" s="49" t="str">
        <f t="shared" si="575"/>
        <v/>
      </c>
      <c r="BI899" s="49" t="str">
        <f t="shared" si="576"/>
        <v/>
      </c>
      <c r="BJ899" s="22" t="str">
        <f t="shared" si="602"/>
        <v/>
      </c>
      <c r="BL899" s="21"/>
      <c r="BM899" s="21" t="str">
        <f>IF(OR(COUNT(B899:D1898)=0,AND('Choix pédagogiques'!$C$3&lt;&gt;1,'Choix pédagogiques'!$C$3&lt;&gt;2)),"",IF(AND(OR('Choix pédagogiques'!$C$3=1,'Choix pédagogiques'!$C$3=2),$B899&lt;&gt;"",$C899&lt;&gt;"",$D899&lt;&gt;""),1,0))</f>
        <v/>
      </c>
      <c r="BN899" s="21" t="str">
        <f>IF(OR(COUNT(G899:I1898)=0,AND('Choix pédagogiques'!$C$3&lt;&gt;1,'Choix pédagogiques'!$C$3&lt;&gt;2)),"",IF(AND(OR('Choix pédagogiques'!$C$3=1,'Choix pédagogiques'!$C$3=2),AND($G899&lt;&gt;"",$H899&lt;&gt;"",$I899&lt;&gt;"")),1,0))</f>
        <v/>
      </c>
      <c r="BO899" s="21" t="str">
        <f>IF(OR(COUNT(B899:D1898)=0,COUNT(G899:I1898)=0,'Choix pédagogiques'!C$3&lt;&gt;3),"",IF(AND('Choix pédagogiques'!$C$3=3,$B899&lt;&gt;"",$C899&lt;&gt;"",$D899&lt;&gt;"",$G899&lt;&gt;"",$H899&lt;&gt;"",$I899&lt;&gt;""),1,0))</f>
        <v/>
      </c>
      <c r="BR899" s="21">
        <v>973</v>
      </c>
      <c r="BS899" s="21">
        <v>1302</v>
      </c>
      <c r="BT899"/>
    </row>
    <row r="900" spans="1:72" s="23" customFormat="1" ht="18" customHeight="1" x14ac:dyDescent="0.3">
      <c r="A900" s="35" t="s">
        <v>890</v>
      </c>
      <c r="B900" s="37"/>
      <c r="C900" s="37"/>
      <c r="D900" s="37"/>
      <c r="E900" s="37"/>
      <c r="F900" s="35" t="s">
        <v>1898</v>
      </c>
      <c r="G900" s="37"/>
      <c r="H900" s="37"/>
      <c r="I900" s="37"/>
      <c r="J900" s="37"/>
      <c r="K900" s="21" t="str">
        <f t="shared" si="577"/>
        <v>Apprenant 888</v>
      </c>
      <c r="L900" s="22" t="str">
        <f t="shared" si="578"/>
        <v/>
      </c>
      <c r="M900" s="22" t="str">
        <f t="shared" si="579"/>
        <v/>
      </c>
      <c r="N900" s="22" t="str">
        <f t="shared" si="580"/>
        <v/>
      </c>
      <c r="O900" s="22" t="str">
        <f t="shared" si="581"/>
        <v/>
      </c>
      <c r="P900" s="21" t="str">
        <f t="shared" si="582"/>
        <v>Apprenant 888 ou 888'</v>
      </c>
      <c r="Q900" s="22" t="str">
        <f t="shared" si="583"/>
        <v/>
      </c>
      <c r="R900" s="22" t="str">
        <f t="shared" si="584"/>
        <v/>
      </c>
      <c r="S900" s="22" t="str">
        <f t="shared" si="585"/>
        <v/>
      </c>
      <c r="T900" s="22" t="str">
        <f t="shared" si="586"/>
        <v/>
      </c>
      <c r="V900" s="21" t="str">
        <f t="shared" si="587"/>
        <v>Apprenant 888</v>
      </c>
      <c r="W900" s="22" t="str">
        <f>IF(AND(OR('Choix pédagogiques'!$C$3=1,'Choix pédagogiques'!$C$3=2),$BM900=1),B900,IF(AND('Choix pédagogiques'!$C$3=3,$BO900=1),B900,""))</f>
        <v/>
      </c>
      <c r="X900" s="22" t="str">
        <f>IF(AND(OR('Choix pédagogiques'!$C$3=1,'Choix pédagogiques'!$C$3=2),$BM900=1),C900,IF(AND('Choix pédagogiques'!$C$3=3,$BO900=1),C900,""))</f>
        <v/>
      </c>
      <c r="Y900" s="22" t="str">
        <f>IF(AND(OR('Choix pédagogiques'!$C$3=1,'Choix pédagogiques'!$C$3=2),$BM900=1),D900,IF(AND('Choix pédagogiques'!$C$3=3,$BO900=1),D900,""))</f>
        <v/>
      </c>
      <c r="Z900" s="22" t="str">
        <f t="shared" si="588"/>
        <v/>
      </c>
      <c r="AA900" s="21" t="str">
        <f t="shared" si="589"/>
        <v>Apprenant 888 ou 888'</v>
      </c>
      <c r="AB900" s="22" t="str">
        <f>IF(AND(OR('Choix pédagogiques'!$C$3=1,'Choix pédagogiques'!$C$3=2),$BN900=1),G900,IF(AND('Choix pédagogiques'!$C$3=3,$BO900=1),G900,""))</f>
        <v/>
      </c>
      <c r="AC900" s="22" t="str">
        <f>IF(AND(OR('Choix pédagogiques'!$C$3=1,'Choix pédagogiques'!$C$3=2),$BN900=1),H900,IF(AND('Choix pédagogiques'!$C$3=3,$BO900=1),H900,""))</f>
        <v/>
      </c>
      <c r="AD900" s="22" t="str">
        <f>IF(AND(OR('Choix pédagogiques'!$C$3=1,'Choix pédagogiques'!$C$3=2),$BN900=1),I900,IF(AND('Choix pédagogiques'!$C$3=3,$BO900=1),I900,""))</f>
        <v/>
      </c>
      <c r="AE900" s="22" t="str">
        <f t="shared" si="590"/>
        <v/>
      </c>
      <c r="AF900" s="21" t="str">
        <f t="shared" si="591"/>
        <v>Apprenant 888</v>
      </c>
      <c r="AG900" s="22" t="str">
        <f t="shared" si="565"/>
        <v/>
      </c>
      <c r="AH900" s="22" t="str">
        <f t="shared" si="566"/>
        <v/>
      </c>
      <c r="AI900" s="22" t="str">
        <f t="shared" si="567"/>
        <v/>
      </c>
      <c r="AJ900" s="22" t="str">
        <f t="shared" si="592"/>
        <v/>
      </c>
      <c r="AK900" s="21" t="str">
        <f t="shared" si="593"/>
        <v>Apprenant 888 ou 888'</v>
      </c>
      <c r="AL900" s="22" t="str">
        <f t="shared" si="568"/>
        <v/>
      </c>
      <c r="AM900" s="22" t="str">
        <f t="shared" si="569"/>
        <v/>
      </c>
      <c r="AN900" s="22" t="str">
        <f t="shared" si="570"/>
        <v/>
      </c>
      <c r="AO900" s="22" t="str">
        <f t="shared" si="594"/>
        <v/>
      </c>
      <c r="AQ900" s="21" t="str">
        <f t="shared" si="595"/>
        <v>Apprenant 888</v>
      </c>
      <c r="AR900" s="49" t="str">
        <f>IF(AND('Choix pédagogiques'!$C$4&lt;&gt;"?",'Choix pédagogiques'!$C$5&lt;&gt;"?",W900&lt;&gt;""),(W900-'Choix pédagogiques'!$C$4)/('Choix pédagogiques'!$C$5-'Choix pédagogiques'!$C$4),"")</f>
        <v/>
      </c>
      <c r="AS900" s="49" t="str">
        <f>IF(AND('Choix pédagogiques'!$C$4&lt;&gt;"?",'Choix pédagogiques'!$C$5&lt;&gt;"?",X900&lt;&gt;""),(X900-'Choix pédagogiques'!$C$4)/('Choix pédagogiques'!$C$5-'Choix pédagogiques'!$C$4),"")</f>
        <v/>
      </c>
      <c r="AT900" s="49" t="str">
        <f>IF(AND('Choix pédagogiques'!$C$4&lt;&gt;"?",'Choix pédagogiques'!$C$5&lt;&gt;"?",Y900&lt;&gt;""),(Y900-'Choix pédagogiques'!$C$4)/('Choix pédagogiques'!$C$5-'Choix pédagogiques'!$C$4),"")</f>
        <v/>
      </c>
      <c r="AU900" s="22" t="str">
        <f t="shared" si="596"/>
        <v/>
      </c>
      <c r="AV900" s="21" t="str">
        <f t="shared" si="597"/>
        <v>Apprenant 888 ou 888'</v>
      </c>
      <c r="AW900" s="49" t="str">
        <f>IF(AND('Choix pédagogiques'!$C$4&lt;&gt;"?",'Choix pédagogiques'!$C$5&lt;&gt;"?",AB900&lt;&gt;""),(AB900-'Choix pédagogiques'!$C$4)/('Choix pédagogiques'!$C$5-'Choix pédagogiques'!$C$4),"")</f>
        <v/>
      </c>
      <c r="AX900" s="49" t="str">
        <f>IF(AND('Choix pédagogiques'!$C$4&lt;&gt;"?",'Choix pédagogiques'!$C$5&lt;&gt;"?",AC900&lt;&gt;""),(AC900-'Choix pédagogiques'!$C$4)/('Choix pédagogiques'!$C$5-'Choix pédagogiques'!$C$4),"")</f>
        <v/>
      </c>
      <c r="AY900" s="49" t="str">
        <f>IF(AND('Choix pédagogiques'!$C$4&lt;&gt;"?",'Choix pédagogiques'!$C$5&lt;&gt;"?",AD900&lt;&gt;""),(AD900-'Choix pédagogiques'!$C$4)/('Choix pédagogiques'!$C$5-'Choix pédagogiques'!$C$4),"")</f>
        <v/>
      </c>
      <c r="AZ900" s="22" t="str">
        <f t="shared" si="598"/>
        <v/>
      </c>
      <c r="BA900" s="21" t="str">
        <f t="shared" si="599"/>
        <v>Apprenant 888</v>
      </c>
      <c r="BB900" s="49" t="str">
        <f t="shared" si="571"/>
        <v/>
      </c>
      <c r="BC900" s="49" t="str">
        <f t="shared" si="572"/>
        <v/>
      </c>
      <c r="BD900" s="49" t="str">
        <f t="shared" si="573"/>
        <v/>
      </c>
      <c r="BE900" s="22" t="str">
        <f t="shared" si="600"/>
        <v/>
      </c>
      <c r="BF900" s="21" t="str">
        <f t="shared" si="601"/>
        <v>Apprenant 888 ou 888'</v>
      </c>
      <c r="BG900" s="49" t="str">
        <f t="shared" si="574"/>
        <v/>
      </c>
      <c r="BH900" s="49" t="str">
        <f t="shared" si="575"/>
        <v/>
      </c>
      <c r="BI900" s="49" t="str">
        <f t="shared" si="576"/>
        <v/>
      </c>
      <c r="BJ900" s="22" t="str">
        <f t="shared" si="602"/>
        <v/>
      </c>
      <c r="BL900" s="21"/>
      <c r="BM900" s="21" t="str">
        <f>IF(OR(COUNT(B900:D1899)=0,AND('Choix pédagogiques'!$C$3&lt;&gt;1,'Choix pédagogiques'!$C$3&lt;&gt;2)),"",IF(AND(OR('Choix pédagogiques'!$C$3=1,'Choix pédagogiques'!$C$3=2),$B900&lt;&gt;"",$C900&lt;&gt;"",$D900&lt;&gt;""),1,0))</f>
        <v/>
      </c>
      <c r="BN900" s="21" t="str">
        <f>IF(OR(COUNT(G900:I1899)=0,AND('Choix pédagogiques'!$C$3&lt;&gt;1,'Choix pédagogiques'!$C$3&lt;&gt;2)),"",IF(AND(OR('Choix pédagogiques'!$C$3=1,'Choix pédagogiques'!$C$3=2),AND($G900&lt;&gt;"",$H900&lt;&gt;"",$I900&lt;&gt;"")),1,0))</f>
        <v/>
      </c>
      <c r="BO900" s="21" t="str">
        <f>IF(OR(COUNT(B900:D1899)=0,COUNT(G900:I1899)=0,'Choix pédagogiques'!C$3&lt;&gt;3),"",IF(AND('Choix pédagogiques'!$C$3=3,$B900&lt;&gt;"",$C900&lt;&gt;"",$D900&lt;&gt;"",$G900&lt;&gt;"",$H900&lt;&gt;"",$I900&lt;&gt;""),1,0))</f>
        <v/>
      </c>
      <c r="BR900" s="21">
        <v>887</v>
      </c>
      <c r="BS900" s="21">
        <v>1164</v>
      </c>
      <c r="BT900"/>
    </row>
    <row r="901" spans="1:72" s="23" customFormat="1" ht="18" customHeight="1" x14ac:dyDescent="0.3">
      <c r="A901" s="35" t="s">
        <v>891</v>
      </c>
      <c r="B901" s="37"/>
      <c r="C901" s="37"/>
      <c r="D901" s="37"/>
      <c r="E901" s="37"/>
      <c r="F901" s="35" t="s">
        <v>1899</v>
      </c>
      <c r="G901" s="37"/>
      <c r="H901" s="37"/>
      <c r="I901" s="37"/>
      <c r="J901" s="37"/>
      <c r="K901" s="21" t="str">
        <f t="shared" si="577"/>
        <v>Apprenant 889</v>
      </c>
      <c r="L901" s="22" t="str">
        <f t="shared" si="578"/>
        <v/>
      </c>
      <c r="M901" s="22" t="str">
        <f t="shared" si="579"/>
        <v/>
      </c>
      <c r="N901" s="22" t="str">
        <f t="shared" si="580"/>
        <v/>
      </c>
      <c r="O901" s="22" t="str">
        <f t="shared" si="581"/>
        <v/>
      </c>
      <c r="P901" s="21" t="str">
        <f t="shared" si="582"/>
        <v>Apprenant 889 ou 889'</v>
      </c>
      <c r="Q901" s="22" t="str">
        <f t="shared" si="583"/>
        <v/>
      </c>
      <c r="R901" s="22" t="str">
        <f t="shared" si="584"/>
        <v/>
      </c>
      <c r="S901" s="22" t="str">
        <f t="shared" si="585"/>
        <v/>
      </c>
      <c r="T901" s="22" t="str">
        <f t="shared" si="586"/>
        <v/>
      </c>
      <c r="V901" s="21" t="str">
        <f t="shared" si="587"/>
        <v>Apprenant 889</v>
      </c>
      <c r="W901" s="22" t="str">
        <f>IF(AND(OR('Choix pédagogiques'!$C$3=1,'Choix pédagogiques'!$C$3=2),$BM901=1),B901,IF(AND('Choix pédagogiques'!$C$3=3,$BO901=1),B901,""))</f>
        <v/>
      </c>
      <c r="X901" s="22" t="str">
        <f>IF(AND(OR('Choix pédagogiques'!$C$3=1,'Choix pédagogiques'!$C$3=2),$BM901=1),C901,IF(AND('Choix pédagogiques'!$C$3=3,$BO901=1),C901,""))</f>
        <v/>
      </c>
      <c r="Y901" s="22" t="str">
        <f>IF(AND(OR('Choix pédagogiques'!$C$3=1,'Choix pédagogiques'!$C$3=2),$BM901=1),D901,IF(AND('Choix pédagogiques'!$C$3=3,$BO901=1),D901,""))</f>
        <v/>
      </c>
      <c r="Z901" s="22" t="str">
        <f t="shared" si="588"/>
        <v/>
      </c>
      <c r="AA901" s="21" t="str">
        <f t="shared" si="589"/>
        <v>Apprenant 889 ou 889'</v>
      </c>
      <c r="AB901" s="22" t="str">
        <f>IF(AND(OR('Choix pédagogiques'!$C$3=1,'Choix pédagogiques'!$C$3=2),$BN901=1),G901,IF(AND('Choix pédagogiques'!$C$3=3,$BO901=1),G901,""))</f>
        <v/>
      </c>
      <c r="AC901" s="22" t="str">
        <f>IF(AND(OR('Choix pédagogiques'!$C$3=1,'Choix pédagogiques'!$C$3=2),$BN901=1),H901,IF(AND('Choix pédagogiques'!$C$3=3,$BO901=1),H901,""))</f>
        <v/>
      </c>
      <c r="AD901" s="22" t="str">
        <f>IF(AND(OR('Choix pédagogiques'!$C$3=1,'Choix pédagogiques'!$C$3=2),$BN901=1),I901,IF(AND('Choix pédagogiques'!$C$3=3,$BO901=1),I901,""))</f>
        <v/>
      </c>
      <c r="AE901" s="22" t="str">
        <f t="shared" si="590"/>
        <v/>
      </c>
      <c r="AF901" s="21" t="str">
        <f t="shared" si="591"/>
        <v>Apprenant 889</v>
      </c>
      <c r="AG901" s="22" t="str">
        <f t="shared" si="565"/>
        <v/>
      </c>
      <c r="AH901" s="22" t="str">
        <f t="shared" si="566"/>
        <v/>
      </c>
      <c r="AI901" s="22" t="str">
        <f t="shared" si="567"/>
        <v/>
      </c>
      <c r="AJ901" s="22" t="str">
        <f t="shared" si="592"/>
        <v/>
      </c>
      <c r="AK901" s="21" t="str">
        <f t="shared" si="593"/>
        <v>Apprenant 889 ou 889'</v>
      </c>
      <c r="AL901" s="22" t="str">
        <f t="shared" si="568"/>
        <v/>
      </c>
      <c r="AM901" s="22" t="str">
        <f t="shared" si="569"/>
        <v/>
      </c>
      <c r="AN901" s="22" t="str">
        <f t="shared" si="570"/>
        <v/>
      </c>
      <c r="AO901" s="22" t="str">
        <f t="shared" si="594"/>
        <v/>
      </c>
      <c r="AQ901" s="21" t="str">
        <f t="shared" si="595"/>
        <v>Apprenant 889</v>
      </c>
      <c r="AR901" s="49" t="str">
        <f>IF(AND('Choix pédagogiques'!$C$4&lt;&gt;"?",'Choix pédagogiques'!$C$5&lt;&gt;"?",W901&lt;&gt;""),(W901-'Choix pédagogiques'!$C$4)/('Choix pédagogiques'!$C$5-'Choix pédagogiques'!$C$4),"")</f>
        <v/>
      </c>
      <c r="AS901" s="49" t="str">
        <f>IF(AND('Choix pédagogiques'!$C$4&lt;&gt;"?",'Choix pédagogiques'!$C$5&lt;&gt;"?",X901&lt;&gt;""),(X901-'Choix pédagogiques'!$C$4)/('Choix pédagogiques'!$C$5-'Choix pédagogiques'!$C$4),"")</f>
        <v/>
      </c>
      <c r="AT901" s="49" t="str">
        <f>IF(AND('Choix pédagogiques'!$C$4&lt;&gt;"?",'Choix pédagogiques'!$C$5&lt;&gt;"?",Y901&lt;&gt;""),(Y901-'Choix pédagogiques'!$C$4)/('Choix pédagogiques'!$C$5-'Choix pédagogiques'!$C$4),"")</f>
        <v/>
      </c>
      <c r="AU901" s="22" t="str">
        <f t="shared" si="596"/>
        <v/>
      </c>
      <c r="AV901" s="21" t="str">
        <f t="shared" si="597"/>
        <v>Apprenant 889 ou 889'</v>
      </c>
      <c r="AW901" s="49" t="str">
        <f>IF(AND('Choix pédagogiques'!$C$4&lt;&gt;"?",'Choix pédagogiques'!$C$5&lt;&gt;"?",AB901&lt;&gt;""),(AB901-'Choix pédagogiques'!$C$4)/('Choix pédagogiques'!$C$5-'Choix pédagogiques'!$C$4),"")</f>
        <v/>
      </c>
      <c r="AX901" s="49" t="str">
        <f>IF(AND('Choix pédagogiques'!$C$4&lt;&gt;"?",'Choix pédagogiques'!$C$5&lt;&gt;"?",AC901&lt;&gt;""),(AC901-'Choix pédagogiques'!$C$4)/('Choix pédagogiques'!$C$5-'Choix pédagogiques'!$C$4),"")</f>
        <v/>
      </c>
      <c r="AY901" s="49" t="str">
        <f>IF(AND('Choix pédagogiques'!$C$4&lt;&gt;"?",'Choix pédagogiques'!$C$5&lt;&gt;"?",AD901&lt;&gt;""),(AD901-'Choix pédagogiques'!$C$4)/('Choix pédagogiques'!$C$5-'Choix pédagogiques'!$C$4),"")</f>
        <v/>
      </c>
      <c r="AZ901" s="22" t="str">
        <f t="shared" si="598"/>
        <v/>
      </c>
      <c r="BA901" s="21" t="str">
        <f t="shared" si="599"/>
        <v>Apprenant 889</v>
      </c>
      <c r="BB901" s="49" t="str">
        <f t="shared" si="571"/>
        <v/>
      </c>
      <c r="BC901" s="49" t="str">
        <f t="shared" si="572"/>
        <v/>
      </c>
      <c r="BD901" s="49" t="str">
        <f t="shared" si="573"/>
        <v/>
      </c>
      <c r="BE901" s="22" t="str">
        <f t="shared" si="600"/>
        <v/>
      </c>
      <c r="BF901" s="21" t="str">
        <f t="shared" si="601"/>
        <v>Apprenant 889 ou 889'</v>
      </c>
      <c r="BG901" s="49" t="str">
        <f t="shared" si="574"/>
        <v/>
      </c>
      <c r="BH901" s="49" t="str">
        <f t="shared" si="575"/>
        <v/>
      </c>
      <c r="BI901" s="49" t="str">
        <f t="shared" si="576"/>
        <v/>
      </c>
      <c r="BJ901" s="22" t="str">
        <f t="shared" si="602"/>
        <v/>
      </c>
      <c r="BL901" s="21"/>
      <c r="BM901" s="21" t="str">
        <f>IF(OR(COUNT(B901:D1900)=0,AND('Choix pédagogiques'!$C$3&lt;&gt;1,'Choix pédagogiques'!$C$3&lt;&gt;2)),"",IF(AND(OR('Choix pédagogiques'!$C$3=1,'Choix pédagogiques'!$C$3=2),$B901&lt;&gt;"",$C901&lt;&gt;"",$D901&lt;&gt;""),1,0))</f>
        <v/>
      </c>
      <c r="BN901" s="21" t="str">
        <f>IF(OR(COUNT(G901:I1900)=0,AND('Choix pédagogiques'!$C$3&lt;&gt;1,'Choix pédagogiques'!$C$3&lt;&gt;2)),"",IF(AND(OR('Choix pédagogiques'!$C$3=1,'Choix pédagogiques'!$C$3=2),AND($G901&lt;&gt;"",$H901&lt;&gt;"",$I901&lt;&gt;"")),1,0))</f>
        <v/>
      </c>
      <c r="BO901" s="21" t="str">
        <f>IF(OR(COUNT(B901:D1900)=0,COUNT(G901:I1900)=0,'Choix pédagogiques'!C$3&lt;&gt;3),"",IF(AND('Choix pédagogiques'!$C$3=3,$B901&lt;&gt;"",$C901&lt;&gt;"",$D901&lt;&gt;"",$G901&lt;&gt;"",$H901&lt;&gt;"",$I901&lt;&gt;""),1,0))</f>
        <v/>
      </c>
      <c r="BR901" s="21">
        <v>331</v>
      </c>
      <c r="BS901" s="21">
        <v>1336</v>
      </c>
      <c r="BT901"/>
    </row>
    <row r="902" spans="1:72" s="23" customFormat="1" ht="18" customHeight="1" x14ac:dyDescent="0.3">
      <c r="A902" s="35" t="s">
        <v>892</v>
      </c>
      <c r="B902" s="37"/>
      <c r="C902" s="37"/>
      <c r="D902" s="37"/>
      <c r="E902" s="37"/>
      <c r="F902" s="35" t="s">
        <v>1900</v>
      </c>
      <c r="G902" s="37"/>
      <c r="H902" s="37"/>
      <c r="I902" s="37"/>
      <c r="J902" s="37"/>
      <c r="K902" s="21" t="str">
        <f t="shared" si="577"/>
        <v>Apprenant 890</v>
      </c>
      <c r="L902" s="22" t="str">
        <f t="shared" si="578"/>
        <v/>
      </c>
      <c r="M902" s="22" t="str">
        <f t="shared" si="579"/>
        <v/>
      </c>
      <c r="N902" s="22" t="str">
        <f t="shared" si="580"/>
        <v/>
      </c>
      <c r="O902" s="22" t="str">
        <f t="shared" si="581"/>
        <v/>
      </c>
      <c r="P902" s="21" t="str">
        <f t="shared" si="582"/>
        <v>Apprenant 890 ou 890'</v>
      </c>
      <c r="Q902" s="22" t="str">
        <f t="shared" si="583"/>
        <v/>
      </c>
      <c r="R902" s="22" t="str">
        <f t="shared" si="584"/>
        <v/>
      </c>
      <c r="S902" s="22" t="str">
        <f t="shared" si="585"/>
        <v/>
      </c>
      <c r="T902" s="22" t="str">
        <f t="shared" si="586"/>
        <v/>
      </c>
      <c r="V902" s="21" t="str">
        <f t="shared" si="587"/>
        <v>Apprenant 890</v>
      </c>
      <c r="W902" s="22" t="str">
        <f>IF(AND(OR('Choix pédagogiques'!$C$3=1,'Choix pédagogiques'!$C$3=2),$BM902=1),B902,IF(AND('Choix pédagogiques'!$C$3=3,$BO902=1),B902,""))</f>
        <v/>
      </c>
      <c r="X902" s="22" t="str">
        <f>IF(AND(OR('Choix pédagogiques'!$C$3=1,'Choix pédagogiques'!$C$3=2),$BM902=1),C902,IF(AND('Choix pédagogiques'!$C$3=3,$BO902=1),C902,""))</f>
        <v/>
      </c>
      <c r="Y902" s="22" t="str">
        <f>IF(AND(OR('Choix pédagogiques'!$C$3=1,'Choix pédagogiques'!$C$3=2),$BM902=1),D902,IF(AND('Choix pédagogiques'!$C$3=3,$BO902=1),D902,""))</f>
        <v/>
      </c>
      <c r="Z902" s="22" t="str">
        <f t="shared" si="588"/>
        <v/>
      </c>
      <c r="AA902" s="21" t="str">
        <f t="shared" si="589"/>
        <v>Apprenant 890 ou 890'</v>
      </c>
      <c r="AB902" s="22" t="str">
        <f>IF(AND(OR('Choix pédagogiques'!$C$3=1,'Choix pédagogiques'!$C$3=2),$BN902=1),G902,IF(AND('Choix pédagogiques'!$C$3=3,$BO902=1),G902,""))</f>
        <v/>
      </c>
      <c r="AC902" s="22" t="str">
        <f>IF(AND(OR('Choix pédagogiques'!$C$3=1,'Choix pédagogiques'!$C$3=2),$BN902=1),H902,IF(AND('Choix pédagogiques'!$C$3=3,$BO902=1),H902,""))</f>
        <v/>
      </c>
      <c r="AD902" s="22" t="str">
        <f>IF(AND(OR('Choix pédagogiques'!$C$3=1,'Choix pédagogiques'!$C$3=2),$BN902=1),I902,IF(AND('Choix pédagogiques'!$C$3=3,$BO902=1),I902,""))</f>
        <v/>
      </c>
      <c r="AE902" s="22" t="str">
        <f t="shared" si="590"/>
        <v/>
      </c>
      <c r="AF902" s="21" t="str">
        <f t="shared" si="591"/>
        <v>Apprenant 890</v>
      </c>
      <c r="AG902" s="22" t="str">
        <f t="shared" si="565"/>
        <v/>
      </c>
      <c r="AH902" s="22" t="str">
        <f t="shared" si="566"/>
        <v/>
      </c>
      <c r="AI902" s="22" t="str">
        <f t="shared" si="567"/>
        <v/>
      </c>
      <c r="AJ902" s="22" t="str">
        <f t="shared" si="592"/>
        <v/>
      </c>
      <c r="AK902" s="21" t="str">
        <f t="shared" si="593"/>
        <v>Apprenant 890 ou 890'</v>
      </c>
      <c r="AL902" s="22" t="str">
        <f t="shared" si="568"/>
        <v/>
      </c>
      <c r="AM902" s="22" t="str">
        <f t="shared" si="569"/>
        <v/>
      </c>
      <c r="AN902" s="22" t="str">
        <f t="shared" si="570"/>
        <v/>
      </c>
      <c r="AO902" s="22" t="str">
        <f t="shared" si="594"/>
        <v/>
      </c>
      <c r="AQ902" s="21" t="str">
        <f t="shared" si="595"/>
        <v>Apprenant 890</v>
      </c>
      <c r="AR902" s="49" t="str">
        <f>IF(AND('Choix pédagogiques'!$C$4&lt;&gt;"?",'Choix pédagogiques'!$C$5&lt;&gt;"?",W902&lt;&gt;""),(W902-'Choix pédagogiques'!$C$4)/('Choix pédagogiques'!$C$5-'Choix pédagogiques'!$C$4),"")</f>
        <v/>
      </c>
      <c r="AS902" s="49" t="str">
        <f>IF(AND('Choix pédagogiques'!$C$4&lt;&gt;"?",'Choix pédagogiques'!$C$5&lt;&gt;"?",X902&lt;&gt;""),(X902-'Choix pédagogiques'!$C$4)/('Choix pédagogiques'!$C$5-'Choix pédagogiques'!$C$4),"")</f>
        <v/>
      </c>
      <c r="AT902" s="49" t="str">
        <f>IF(AND('Choix pédagogiques'!$C$4&lt;&gt;"?",'Choix pédagogiques'!$C$5&lt;&gt;"?",Y902&lt;&gt;""),(Y902-'Choix pédagogiques'!$C$4)/('Choix pédagogiques'!$C$5-'Choix pédagogiques'!$C$4),"")</f>
        <v/>
      </c>
      <c r="AU902" s="22" t="str">
        <f t="shared" si="596"/>
        <v/>
      </c>
      <c r="AV902" s="21" t="str">
        <f t="shared" si="597"/>
        <v>Apprenant 890 ou 890'</v>
      </c>
      <c r="AW902" s="49" t="str">
        <f>IF(AND('Choix pédagogiques'!$C$4&lt;&gt;"?",'Choix pédagogiques'!$C$5&lt;&gt;"?",AB902&lt;&gt;""),(AB902-'Choix pédagogiques'!$C$4)/('Choix pédagogiques'!$C$5-'Choix pédagogiques'!$C$4),"")</f>
        <v/>
      </c>
      <c r="AX902" s="49" t="str">
        <f>IF(AND('Choix pédagogiques'!$C$4&lt;&gt;"?",'Choix pédagogiques'!$C$5&lt;&gt;"?",AC902&lt;&gt;""),(AC902-'Choix pédagogiques'!$C$4)/('Choix pédagogiques'!$C$5-'Choix pédagogiques'!$C$4),"")</f>
        <v/>
      </c>
      <c r="AY902" s="49" t="str">
        <f>IF(AND('Choix pédagogiques'!$C$4&lt;&gt;"?",'Choix pédagogiques'!$C$5&lt;&gt;"?",AD902&lt;&gt;""),(AD902-'Choix pédagogiques'!$C$4)/('Choix pédagogiques'!$C$5-'Choix pédagogiques'!$C$4),"")</f>
        <v/>
      </c>
      <c r="AZ902" s="22" t="str">
        <f t="shared" si="598"/>
        <v/>
      </c>
      <c r="BA902" s="21" t="str">
        <f t="shared" si="599"/>
        <v>Apprenant 890</v>
      </c>
      <c r="BB902" s="49" t="str">
        <f t="shared" si="571"/>
        <v/>
      </c>
      <c r="BC902" s="49" t="str">
        <f t="shared" si="572"/>
        <v/>
      </c>
      <c r="BD902" s="49" t="str">
        <f t="shared" si="573"/>
        <v/>
      </c>
      <c r="BE902" s="22" t="str">
        <f t="shared" si="600"/>
        <v/>
      </c>
      <c r="BF902" s="21" t="str">
        <f t="shared" si="601"/>
        <v>Apprenant 890 ou 890'</v>
      </c>
      <c r="BG902" s="49" t="str">
        <f t="shared" si="574"/>
        <v/>
      </c>
      <c r="BH902" s="49" t="str">
        <f t="shared" si="575"/>
        <v/>
      </c>
      <c r="BI902" s="49" t="str">
        <f t="shared" si="576"/>
        <v/>
      </c>
      <c r="BJ902" s="22" t="str">
        <f t="shared" si="602"/>
        <v/>
      </c>
      <c r="BL902" s="21"/>
      <c r="BM902" s="21" t="str">
        <f>IF(OR(COUNT(B902:D1901)=0,AND('Choix pédagogiques'!$C$3&lt;&gt;1,'Choix pédagogiques'!$C$3&lt;&gt;2)),"",IF(AND(OR('Choix pédagogiques'!$C$3=1,'Choix pédagogiques'!$C$3=2),$B902&lt;&gt;"",$C902&lt;&gt;"",$D902&lt;&gt;""),1,0))</f>
        <v/>
      </c>
      <c r="BN902" s="21" t="str">
        <f>IF(OR(COUNT(G902:I1901)=0,AND('Choix pédagogiques'!$C$3&lt;&gt;1,'Choix pédagogiques'!$C$3&lt;&gt;2)),"",IF(AND(OR('Choix pédagogiques'!$C$3=1,'Choix pédagogiques'!$C$3=2),AND($G902&lt;&gt;"",$H902&lt;&gt;"",$I902&lt;&gt;"")),1,0))</f>
        <v/>
      </c>
      <c r="BO902" s="21" t="str">
        <f>IF(OR(COUNT(B902:D1901)=0,COUNT(G902:I1901)=0,'Choix pédagogiques'!C$3&lt;&gt;3),"",IF(AND('Choix pédagogiques'!$C$3=3,$B902&lt;&gt;"",$C902&lt;&gt;"",$D902&lt;&gt;"",$G902&lt;&gt;"",$H902&lt;&gt;"",$I902&lt;&gt;""),1,0))</f>
        <v/>
      </c>
      <c r="BR902" s="21">
        <v>158</v>
      </c>
      <c r="BS902" s="21">
        <v>1656</v>
      </c>
      <c r="BT902"/>
    </row>
    <row r="903" spans="1:72" s="23" customFormat="1" ht="18" customHeight="1" x14ac:dyDescent="0.3">
      <c r="A903" s="35" t="s">
        <v>893</v>
      </c>
      <c r="B903" s="37"/>
      <c r="C903" s="37"/>
      <c r="D903" s="37"/>
      <c r="E903" s="37"/>
      <c r="F903" s="35" t="s">
        <v>1901</v>
      </c>
      <c r="G903" s="37"/>
      <c r="H903" s="37"/>
      <c r="I903" s="37"/>
      <c r="J903" s="37"/>
      <c r="K903" s="21" t="str">
        <f t="shared" si="577"/>
        <v>Apprenant 891</v>
      </c>
      <c r="L903" s="22" t="str">
        <f t="shared" si="578"/>
        <v/>
      </c>
      <c r="M903" s="22" t="str">
        <f t="shared" si="579"/>
        <v/>
      </c>
      <c r="N903" s="22" t="str">
        <f t="shared" si="580"/>
        <v/>
      </c>
      <c r="O903" s="22" t="str">
        <f t="shared" si="581"/>
        <v/>
      </c>
      <c r="P903" s="21" t="str">
        <f t="shared" si="582"/>
        <v>Apprenant 891 ou 891'</v>
      </c>
      <c r="Q903" s="22" t="str">
        <f t="shared" si="583"/>
        <v/>
      </c>
      <c r="R903" s="22" t="str">
        <f t="shared" si="584"/>
        <v/>
      </c>
      <c r="S903" s="22" t="str">
        <f t="shared" si="585"/>
        <v/>
      </c>
      <c r="T903" s="22" t="str">
        <f t="shared" si="586"/>
        <v/>
      </c>
      <c r="V903" s="21" t="str">
        <f t="shared" si="587"/>
        <v>Apprenant 891</v>
      </c>
      <c r="W903" s="22" t="str">
        <f>IF(AND(OR('Choix pédagogiques'!$C$3=1,'Choix pédagogiques'!$C$3=2),$BM903=1),B903,IF(AND('Choix pédagogiques'!$C$3=3,$BO903=1),B903,""))</f>
        <v/>
      </c>
      <c r="X903" s="22" t="str">
        <f>IF(AND(OR('Choix pédagogiques'!$C$3=1,'Choix pédagogiques'!$C$3=2),$BM903=1),C903,IF(AND('Choix pédagogiques'!$C$3=3,$BO903=1),C903,""))</f>
        <v/>
      </c>
      <c r="Y903" s="22" t="str">
        <f>IF(AND(OR('Choix pédagogiques'!$C$3=1,'Choix pédagogiques'!$C$3=2),$BM903=1),D903,IF(AND('Choix pédagogiques'!$C$3=3,$BO903=1),D903,""))</f>
        <v/>
      </c>
      <c r="Z903" s="22" t="str">
        <f t="shared" si="588"/>
        <v/>
      </c>
      <c r="AA903" s="21" t="str">
        <f t="shared" si="589"/>
        <v>Apprenant 891 ou 891'</v>
      </c>
      <c r="AB903" s="22" t="str">
        <f>IF(AND(OR('Choix pédagogiques'!$C$3=1,'Choix pédagogiques'!$C$3=2),$BN903=1),G903,IF(AND('Choix pédagogiques'!$C$3=3,$BO903=1),G903,""))</f>
        <v/>
      </c>
      <c r="AC903" s="22" t="str">
        <f>IF(AND(OR('Choix pédagogiques'!$C$3=1,'Choix pédagogiques'!$C$3=2),$BN903=1),H903,IF(AND('Choix pédagogiques'!$C$3=3,$BO903=1),H903,""))</f>
        <v/>
      </c>
      <c r="AD903" s="22" t="str">
        <f>IF(AND(OR('Choix pédagogiques'!$C$3=1,'Choix pédagogiques'!$C$3=2),$BN903=1),I903,IF(AND('Choix pédagogiques'!$C$3=3,$BO903=1),I903,""))</f>
        <v/>
      </c>
      <c r="AE903" s="22" t="str">
        <f t="shared" si="590"/>
        <v/>
      </c>
      <c r="AF903" s="21" t="str">
        <f t="shared" si="591"/>
        <v>Apprenant 891</v>
      </c>
      <c r="AG903" s="22" t="str">
        <f t="shared" si="565"/>
        <v/>
      </c>
      <c r="AH903" s="22" t="str">
        <f t="shared" si="566"/>
        <v/>
      </c>
      <c r="AI903" s="22" t="str">
        <f t="shared" si="567"/>
        <v/>
      </c>
      <c r="AJ903" s="22" t="str">
        <f t="shared" si="592"/>
        <v/>
      </c>
      <c r="AK903" s="21" t="str">
        <f t="shared" si="593"/>
        <v>Apprenant 891 ou 891'</v>
      </c>
      <c r="AL903" s="22" t="str">
        <f t="shared" si="568"/>
        <v/>
      </c>
      <c r="AM903" s="22" t="str">
        <f t="shared" si="569"/>
        <v/>
      </c>
      <c r="AN903" s="22" t="str">
        <f t="shared" si="570"/>
        <v/>
      </c>
      <c r="AO903" s="22" t="str">
        <f t="shared" si="594"/>
        <v/>
      </c>
      <c r="AQ903" s="21" t="str">
        <f t="shared" si="595"/>
        <v>Apprenant 891</v>
      </c>
      <c r="AR903" s="49" t="str">
        <f>IF(AND('Choix pédagogiques'!$C$4&lt;&gt;"?",'Choix pédagogiques'!$C$5&lt;&gt;"?",W903&lt;&gt;""),(W903-'Choix pédagogiques'!$C$4)/('Choix pédagogiques'!$C$5-'Choix pédagogiques'!$C$4),"")</f>
        <v/>
      </c>
      <c r="AS903" s="49" t="str">
        <f>IF(AND('Choix pédagogiques'!$C$4&lt;&gt;"?",'Choix pédagogiques'!$C$5&lt;&gt;"?",X903&lt;&gt;""),(X903-'Choix pédagogiques'!$C$4)/('Choix pédagogiques'!$C$5-'Choix pédagogiques'!$C$4),"")</f>
        <v/>
      </c>
      <c r="AT903" s="49" t="str">
        <f>IF(AND('Choix pédagogiques'!$C$4&lt;&gt;"?",'Choix pédagogiques'!$C$5&lt;&gt;"?",Y903&lt;&gt;""),(Y903-'Choix pédagogiques'!$C$4)/('Choix pédagogiques'!$C$5-'Choix pédagogiques'!$C$4),"")</f>
        <v/>
      </c>
      <c r="AU903" s="22" t="str">
        <f t="shared" si="596"/>
        <v/>
      </c>
      <c r="AV903" s="21" t="str">
        <f t="shared" si="597"/>
        <v>Apprenant 891 ou 891'</v>
      </c>
      <c r="AW903" s="49" t="str">
        <f>IF(AND('Choix pédagogiques'!$C$4&lt;&gt;"?",'Choix pédagogiques'!$C$5&lt;&gt;"?",AB903&lt;&gt;""),(AB903-'Choix pédagogiques'!$C$4)/('Choix pédagogiques'!$C$5-'Choix pédagogiques'!$C$4),"")</f>
        <v/>
      </c>
      <c r="AX903" s="49" t="str">
        <f>IF(AND('Choix pédagogiques'!$C$4&lt;&gt;"?",'Choix pédagogiques'!$C$5&lt;&gt;"?",AC903&lt;&gt;""),(AC903-'Choix pédagogiques'!$C$4)/('Choix pédagogiques'!$C$5-'Choix pédagogiques'!$C$4),"")</f>
        <v/>
      </c>
      <c r="AY903" s="49" t="str">
        <f>IF(AND('Choix pédagogiques'!$C$4&lt;&gt;"?",'Choix pédagogiques'!$C$5&lt;&gt;"?",AD903&lt;&gt;""),(AD903-'Choix pédagogiques'!$C$4)/('Choix pédagogiques'!$C$5-'Choix pédagogiques'!$C$4),"")</f>
        <v/>
      </c>
      <c r="AZ903" s="22" t="str">
        <f t="shared" si="598"/>
        <v/>
      </c>
      <c r="BA903" s="21" t="str">
        <f t="shared" si="599"/>
        <v>Apprenant 891</v>
      </c>
      <c r="BB903" s="49" t="str">
        <f t="shared" si="571"/>
        <v/>
      </c>
      <c r="BC903" s="49" t="str">
        <f t="shared" si="572"/>
        <v/>
      </c>
      <c r="BD903" s="49" t="str">
        <f t="shared" si="573"/>
        <v/>
      </c>
      <c r="BE903" s="22" t="str">
        <f t="shared" si="600"/>
        <v/>
      </c>
      <c r="BF903" s="21" t="str">
        <f t="shared" si="601"/>
        <v>Apprenant 891 ou 891'</v>
      </c>
      <c r="BG903" s="49" t="str">
        <f t="shared" si="574"/>
        <v/>
      </c>
      <c r="BH903" s="49" t="str">
        <f t="shared" si="575"/>
        <v/>
      </c>
      <c r="BI903" s="49" t="str">
        <f t="shared" si="576"/>
        <v/>
      </c>
      <c r="BJ903" s="22" t="str">
        <f t="shared" si="602"/>
        <v/>
      </c>
      <c r="BL903" s="21"/>
      <c r="BM903" s="21" t="str">
        <f>IF(OR(COUNT(B903:D1902)=0,AND('Choix pédagogiques'!$C$3&lt;&gt;1,'Choix pédagogiques'!$C$3&lt;&gt;2)),"",IF(AND(OR('Choix pédagogiques'!$C$3=1,'Choix pédagogiques'!$C$3=2),$B903&lt;&gt;"",$C903&lt;&gt;"",$D903&lt;&gt;""),1,0))</f>
        <v/>
      </c>
      <c r="BN903" s="21" t="str">
        <f>IF(OR(COUNT(G903:I1902)=0,AND('Choix pédagogiques'!$C$3&lt;&gt;1,'Choix pédagogiques'!$C$3&lt;&gt;2)),"",IF(AND(OR('Choix pédagogiques'!$C$3=1,'Choix pédagogiques'!$C$3=2),AND($G903&lt;&gt;"",$H903&lt;&gt;"",$I903&lt;&gt;"")),1,0))</f>
        <v/>
      </c>
      <c r="BO903" s="21" t="str">
        <f>IF(OR(COUNT(B903:D1902)=0,COUNT(G903:I1902)=0,'Choix pédagogiques'!C$3&lt;&gt;3),"",IF(AND('Choix pédagogiques'!$C$3=3,$B903&lt;&gt;"",$C903&lt;&gt;"",$D903&lt;&gt;"",$G903&lt;&gt;"",$H903&lt;&gt;"",$I903&lt;&gt;""),1,0))</f>
        <v/>
      </c>
      <c r="BR903" s="21">
        <v>417</v>
      </c>
      <c r="BS903" s="21">
        <v>1003</v>
      </c>
      <c r="BT903"/>
    </row>
    <row r="904" spans="1:72" s="23" customFormat="1" ht="18" customHeight="1" x14ac:dyDescent="0.3">
      <c r="A904" s="35" t="s">
        <v>894</v>
      </c>
      <c r="B904" s="37"/>
      <c r="C904" s="37"/>
      <c r="D904" s="37"/>
      <c r="E904" s="37"/>
      <c r="F904" s="35" t="s">
        <v>1902</v>
      </c>
      <c r="G904" s="37"/>
      <c r="H904" s="37"/>
      <c r="I904" s="37"/>
      <c r="J904" s="37"/>
      <c r="K904" s="21" t="str">
        <f t="shared" si="577"/>
        <v>Apprenant 892</v>
      </c>
      <c r="L904" s="22" t="str">
        <f t="shared" si="578"/>
        <v/>
      </c>
      <c r="M904" s="22" t="str">
        <f t="shared" si="579"/>
        <v/>
      </c>
      <c r="N904" s="22" t="str">
        <f t="shared" si="580"/>
        <v/>
      </c>
      <c r="O904" s="22" t="str">
        <f t="shared" si="581"/>
        <v/>
      </c>
      <c r="P904" s="21" t="str">
        <f t="shared" si="582"/>
        <v>Apprenant 892 ou 892'</v>
      </c>
      <c r="Q904" s="22" t="str">
        <f t="shared" si="583"/>
        <v/>
      </c>
      <c r="R904" s="22" t="str">
        <f t="shared" si="584"/>
        <v/>
      </c>
      <c r="S904" s="22" t="str">
        <f t="shared" si="585"/>
        <v/>
      </c>
      <c r="T904" s="22" t="str">
        <f t="shared" si="586"/>
        <v/>
      </c>
      <c r="V904" s="21" t="str">
        <f t="shared" si="587"/>
        <v>Apprenant 892</v>
      </c>
      <c r="W904" s="22" t="str">
        <f>IF(AND(OR('Choix pédagogiques'!$C$3=1,'Choix pédagogiques'!$C$3=2),$BM904=1),B904,IF(AND('Choix pédagogiques'!$C$3=3,$BO904=1),B904,""))</f>
        <v/>
      </c>
      <c r="X904" s="22" t="str">
        <f>IF(AND(OR('Choix pédagogiques'!$C$3=1,'Choix pédagogiques'!$C$3=2),$BM904=1),C904,IF(AND('Choix pédagogiques'!$C$3=3,$BO904=1),C904,""))</f>
        <v/>
      </c>
      <c r="Y904" s="22" t="str">
        <f>IF(AND(OR('Choix pédagogiques'!$C$3=1,'Choix pédagogiques'!$C$3=2),$BM904=1),D904,IF(AND('Choix pédagogiques'!$C$3=3,$BO904=1),D904,""))</f>
        <v/>
      </c>
      <c r="Z904" s="22" t="str">
        <f t="shared" si="588"/>
        <v/>
      </c>
      <c r="AA904" s="21" t="str">
        <f t="shared" si="589"/>
        <v>Apprenant 892 ou 892'</v>
      </c>
      <c r="AB904" s="22" t="str">
        <f>IF(AND(OR('Choix pédagogiques'!$C$3=1,'Choix pédagogiques'!$C$3=2),$BN904=1),G904,IF(AND('Choix pédagogiques'!$C$3=3,$BO904=1),G904,""))</f>
        <v/>
      </c>
      <c r="AC904" s="22" t="str">
        <f>IF(AND(OR('Choix pédagogiques'!$C$3=1,'Choix pédagogiques'!$C$3=2),$BN904=1),H904,IF(AND('Choix pédagogiques'!$C$3=3,$BO904=1),H904,""))</f>
        <v/>
      </c>
      <c r="AD904" s="22" t="str">
        <f>IF(AND(OR('Choix pédagogiques'!$C$3=1,'Choix pédagogiques'!$C$3=2),$BN904=1),I904,IF(AND('Choix pédagogiques'!$C$3=3,$BO904=1),I904,""))</f>
        <v/>
      </c>
      <c r="AE904" s="22" t="str">
        <f t="shared" si="590"/>
        <v/>
      </c>
      <c r="AF904" s="21" t="str">
        <f t="shared" si="591"/>
        <v>Apprenant 892</v>
      </c>
      <c r="AG904" s="22" t="str">
        <f t="shared" si="565"/>
        <v/>
      </c>
      <c r="AH904" s="22" t="str">
        <f t="shared" si="566"/>
        <v/>
      </c>
      <c r="AI904" s="22" t="str">
        <f t="shared" si="567"/>
        <v/>
      </c>
      <c r="AJ904" s="22" t="str">
        <f t="shared" si="592"/>
        <v/>
      </c>
      <c r="AK904" s="21" t="str">
        <f t="shared" si="593"/>
        <v>Apprenant 892 ou 892'</v>
      </c>
      <c r="AL904" s="22" t="str">
        <f t="shared" si="568"/>
        <v/>
      </c>
      <c r="AM904" s="22" t="str">
        <f t="shared" si="569"/>
        <v/>
      </c>
      <c r="AN904" s="22" t="str">
        <f t="shared" si="570"/>
        <v/>
      </c>
      <c r="AO904" s="22" t="str">
        <f t="shared" si="594"/>
        <v/>
      </c>
      <c r="AQ904" s="21" t="str">
        <f t="shared" si="595"/>
        <v>Apprenant 892</v>
      </c>
      <c r="AR904" s="49" t="str">
        <f>IF(AND('Choix pédagogiques'!$C$4&lt;&gt;"?",'Choix pédagogiques'!$C$5&lt;&gt;"?",W904&lt;&gt;""),(W904-'Choix pédagogiques'!$C$4)/('Choix pédagogiques'!$C$5-'Choix pédagogiques'!$C$4),"")</f>
        <v/>
      </c>
      <c r="AS904" s="49" t="str">
        <f>IF(AND('Choix pédagogiques'!$C$4&lt;&gt;"?",'Choix pédagogiques'!$C$5&lt;&gt;"?",X904&lt;&gt;""),(X904-'Choix pédagogiques'!$C$4)/('Choix pédagogiques'!$C$5-'Choix pédagogiques'!$C$4),"")</f>
        <v/>
      </c>
      <c r="AT904" s="49" t="str">
        <f>IF(AND('Choix pédagogiques'!$C$4&lt;&gt;"?",'Choix pédagogiques'!$C$5&lt;&gt;"?",Y904&lt;&gt;""),(Y904-'Choix pédagogiques'!$C$4)/('Choix pédagogiques'!$C$5-'Choix pédagogiques'!$C$4),"")</f>
        <v/>
      </c>
      <c r="AU904" s="22" t="str">
        <f t="shared" si="596"/>
        <v/>
      </c>
      <c r="AV904" s="21" t="str">
        <f t="shared" si="597"/>
        <v>Apprenant 892 ou 892'</v>
      </c>
      <c r="AW904" s="49" t="str">
        <f>IF(AND('Choix pédagogiques'!$C$4&lt;&gt;"?",'Choix pédagogiques'!$C$5&lt;&gt;"?",AB904&lt;&gt;""),(AB904-'Choix pédagogiques'!$C$4)/('Choix pédagogiques'!$C$5-'Choix pédagogiques'!$C$4),"")</f>
        <v/>
      </c>
      <c r="AX904" s="49" t="str">
        <f>IF(AND('Choix pédagogiques'!$C$4&lt;&gt;"?",'Choix pédagogiques'!$C$5&lt;&gt;"?",AC904&lt;&gt;""),(AC904-'Choix pédagogiques'!$C$4)/('Choix pédagogiques'!$C$5-'Choix pédagogiques'!$C$4),"")</f>
        <v/>
      </c>
      <c r="AY904" s="49" t="str">
        <f>IF(AND('Choix pédagogiques'!$C$4&lt;&gt;"?",'Choix pédagogiques'!$C$5&lt;&gt;"?",AD904&lt;&gt;""),(AD904-'Choix pédagogiques'!$C$4)/('Choix pédagogiques'!$C$5-'Choix pédagogiques'!$C$4),"")</f>
        <v/>
      </c>
      <c r="AZ904" s="22" t="str">
        <f t="shared" si="598"/>
        <v/>
      </c>
      <c r="BA904" s="21" t="str">
        <f t="shared" si="599"/>
        <v>Apprenant 892</v>
      </c>
      <c r="BB904" s="49" t="str">
        <f t="shared" si="571"/>
        <v/>
      </c>
      <c r="BC904" s="49" t="str">
        <f t="shared" si="572"/>
        <v/>
      </c>
      <c r="BD904" s="49" t="str">
        <f t="shared" si="573"/>
        <v/>
      </c>
      <c r="BE904" s="22" t="str">
        <f t="shared" si="600"/>
        <v/>
      </c>
      <c r="BF904" s="21" t="str">
        <f t="shared" si="601"/>
        <v>Apprenant 892 ou 892'</v>
      </c>
      <c r="BG904" s="49" t="str">
        <f t="shared" si="574"/>
        <v/>
      </c>
      <c r="BH904" s="49" t="str">
        <f t="shared" si="575"/>
        <v/>
      </c>
      <c r="BI904" s="49" t="str">
        <f t="shared" si="576"/>
        <v/>
      </c>
      <c r="BJ904" s="22" t="str">
        <f t="shared" si="602"/>
        <v/>
      </c>
      <c r="BL904" s="21"/>
      <c r="BM904" s="21" t="str">
        <f>IF(OR(COUNT(B904:D1903)=0,AND('Choix pédagogiques'!$C$3&lt;&gt;1,'Choix pédagogiques'!$C$3&lt;&gt;2)),"",IF(AND(OR('Choix pédagogiques'!$C$3=1,'Choix pédagogiques'!$C$3=2),$B904&lt;&gt;"",$C904&lt;&gt;"",$D904&lt;&gt;""),1,0))</f>
        <v/>
      </c>
      <c r="BN904" s="21" t="str">
        <f>IF(OR(COUNT(G904:I1903)=0,AND('Choix pédagogiques'!$C$3&lt;&gt;1,'Choix pédagogiques'!$C$3&lt;&gt;2)),"",IF(AND(OR('Choix pédagogiques'!$C$3=1,'Choix pédagogiques'!$C$3=2),AND($G904&lt;&gt;"",$H904&lt;&gt;"",$I904&lt;&gt;"")),1,0))</f>
        <v/>
      </c>
      <c r="BO904" s="21" t="str">
        <f>IF(OR(COUNT(B904:D1903)=0,COUNT(G904:I1903)=0,'Choix pédagogiques'!C$3&lt;&gt;3),"",IF(AND('Choix pédagogiques'!$C$3=3,$B904&lt;&gt;"",$C904&lt;&gt;"",$D904&lt;&gt;"",$G904&lt;&gt;"",$H904&lt;&gt;"",$I904&lt;&gt;""),1,0))</f>
        <v/>
      </c>
      <c r="BR904" s="21">
        <v>223</v>
      </c>
      <c r="BS904" s="21">
        <v>1342</v>
      </c>
      <c r="BT904"/>
    </row>
    <row r="905" spans="1:72" s="23" customFormat="1" ht="18" customHeight="1" x14ac:dyDescent="0.3">
      <c r="A905" s="35" t="s">
        <v>895</v>
      </c>
      <c r="B905" s="37"/>
      <c r="C905" s="37"/>
      <c r="D905" s="37"/>
      <c r="E905" s="37"/>
      <c r="F905" s="35" t="s">
        <v>1903</v>
      </c>
      <c r="G905" s="37"/>
      <c r="H905" s="37"/>
      <c r="I905" s="37"/>
      <c r="J905" s="37"/>
      <c r="K905" s="21" t="str">
        <f t="shared" si="577"/>
        <v>Apprenant 893</v>
      </c>
      <c r="L905" s="22" t="str">
        <f t="shared" si="578"/>
        <v/>
      </c>
      <c r="M905" s="22" t="str">
        <f t="shared" si="579"/>
        <v/>
      </c>
      <c r="N905" s="22" t="str">
        <f t="shared" si="580"/>
        <v/>
      </c>
      <c r="O905" s="22" t="str">
        <f t="shared" si="581"/>
        <v/>
      </c>
      <c r="P905" s="21" t="str">
        <f t="shared" si="582"/>
        <v>Apprenant 893 ou 893'</v>
      </c>
      <c r="Q905" s="22" t="str">
        <f t="shared" si="583"/>
        <v/>
      </c>
      <c r="R905" s="22" t="str">
        <f t="shared" si="584"/>
        <v/>
      </c>
      <c r="S905" s="22" t="str">
        <f t="shared" si="585"/>
        <v/>
      </c>
      <c r="T905" s="22" t="str">
        <f t="shared" si="586"/>
        <v/>
      </c>
      <c r="V905" s="21" t="str">
        <f t="shared" si="587"/>
        <v>Apprenant 893</v>
      </c>
      <c r="W905" s="22" t="str">
        <f>IF(AND(OR('Choix pédagogiques'!$C$3=1,'Choix pédagogiques'!$C$3=2),$BM905=1),B905,IF(AND('Choix pédagogiques'!$C$3=3,$BO905=1),B905,""))</f>
        <v/>
      </c>
      <c r="X905" s="22" t="str">
        <f>IF(AND(OR('Choix pédagogiques'!$C$3=1,'Choix pédagogiques'!$C$3=2),$BM905=1),C905,IF(AND('Choix pédagogiques'!$C$3=3,$BO905=1),C905,""))</f>
        <v/>
      </c>
      <c r="Y905" s="22" t="str">
        <f>IF(AND(OR('Choix pédagogiques'!$C$3=1,'Choix pédagogiques'!$C$3=2),$BM905=1),D905,IF(AND('Choix pédagogiques'!$C$3=3,$BO905=1),D905,""))</f>
        <v/>
      </c>
      <c r="Z905" s="22" t="str">
        <f t="shared" si="588"/>
        <v/>
      </c>
      <c r="AA905" s="21" t="str">
        <f t="shared" si="589"/>
        <v>Apprenant 893 ou 893'</v>
      </c>
      <c r="AB905" s="22" t="str">
        <f>IF(AND(OR('Choix pédagogiques'!$C$3=1,'Choix pédagogiques'!$C$3=2),$BN905=1),G905,IF(AND('Choix pédagogiques'!$C$3=3,$BO905=1),G905,""))</f>
        <v/>
      </c>
      <c r="AC905" s="22" t="str">
        <f>IF(AND(OR('Choix pédagogiques'!$C$3=1,'Choix pédagogiques'!$C$3=2),$BN905=1),H905,IF(AND('Choix pédagogiques'!$C$3=3,$BO905=1),H905,""))</f>
        <v/>
      </c>
      <c r="AD905" s="22" t="str">
        <f>IF(AND(OR('Choix pédagogiques'!$C$3=1,'Choix pédagogiques'!$C$3=2),$BN905=1),I905,IF(AND('Choix pédagogiques'!$C$3=3,$BO905=1),I905,""))</f>
        <v/>
      </c>
      <c r="AE905" s="22" t="str">
        <f t="shared" si="590"/>
        <v/>
      </c>
      <c r="AF905" s="21" t="str">
        <f t="shared" si="591"/>
        <v>Apprenant 893</v>
      </c>
      <c r="AG905" s="22" t="str">
        <f t="shared" si="565"/>
        <v/>
      </c>
      <c r="AH905" s="22" t="str">
        <f t="shared" si="566"/>
        <v/>
      </c>
      <c r="AI905" s="22" t="str">
        <f t="shared" si="567"/>
        <v/>
      </c>
      <c r="AJ905" s="22" t="str">
        <f t="shared" si="592"/>
        <v/>
      </c>
      <c r="AK905" s="21" t="str">
        <f t="shared" si="593"/>
        <v>Apprenant 893 ou 893'</v>
      </c>
      <c r="AL905" s="22" t="str">
        <f t="shared" si="568"/>
        <v/>
      </c>
      <c r="AM905" s="22" t="str">
        <f t="shared" si="569"/>
        <v/>
      </c>
      <c r="AN905" s="22" t="str">
        <f t="shared" si="570"/>
        <v/>
      </c>
      <c r="AO905" s="22" t="str">
        <f t="shared" si="594"/>
        <v/>
      </c>
      <c r="AQ905" s="21" t="str">
        <f t="shared" si="595"/>
        <v>Apprenant 893</v>
      </c>
      <c r="AR905" s="49" t="str">
        <f>IF(AND('Choix pédagogiques'!$C$4&lt;&gt;"?",'Choix pédagogiques'!$C$5&lt;&gt;"?",W905&lt;&gt;""),(W905-'Choix pédagogiques'!$C$4)/('Choix pédagogiques'!$C$5-'Choix pédagogiques'!$C$4),"")</f>
        <v/>
      </c>
      <c r="AS905" s="49" t="str">
        <f>IF(AND('Choix pédagogiques'!$C$4&lt;&gt;"?",'Choix pédagogiques'!$C$5&lt;&gt;"?",X905&lt;&gt;""),(X905-'Choix pédagogiques'!$C$4)/('Choix pédagogiques'!$C$5-'Choix pédagogiques'!$C$4),"")</f>
        <v/>
      </c>
      <c r="AT905" s="49" t="str">
        <f>IF(AND('Choix pédagogiques'!$C$4&lt;&gt;"?",'Choix pédagogiques'!$C$5&lt;&gt;"?",Y905&lt;&gt;""),(Y905-'Choix pédagogiques'!$C$4)/('Choix pédagogiques'!$C$5-'Choix pédagogiques'!$C$4),"")</f>
        <v/>
      </c>
      <c r="AU905" s="22" t="str">
        <f t="shared" si="596"/>
        <v/>
      </c>
      <c r="AV905" s="21" t="str">
        <f t="shared" si="597"/>
        <v>Apprenant 893 ou 893'</v>
      </c>
      <c r="AW905" s="49" t="str">
        <f>IF(AND('Choix pédagogiques'!$C$4&lt;&gt;"?",'Choix pédagogiques'!$C$5&lt;&gt;"?",AB905&lt;&gt;""),(AB905-'Choix pédagogiques'!$C$4)/('Choix pédagogiques'!$C$5-'Choix pédagogiques'!$C$4),"")</f>
        <v/>
      </c>
      <c r="AX905" s="49" t="str">
        <f>IF(AND('Choix pédagogiques'!$C$4&lt;&gt;"?",'Choix pédagogiques'!$C$5&lt;&gt;"?",AC905&lt;&gt;""),(AC905-'Choix pédagogiques'!$C$4)/('Choix pédagogiques'!$C$5-'Choix pédagogiques'!$C$4),"")</f>
        <v/>
      </c>
      <c r="AY905" s="49" t="str">
        <f>IF(AND('Choix pédagogiques'!$C$4&lt;&gt;"?",'Choix pédagogiques'!$C$5&lt;&gt;"?",AD905&lt;&gt;""),(AD905-'Choix pédagogiques'!$C$4)/('Choix pédagogiques'!$C$5-'Choix pédagogiques'!$C$4),"")</f>
        <v/>
      </c>
      <c r="AZ905" s="22" t="str">
        <f t="shared" si="598"/>
        <v/>
      </c>
      <c r="BA905" s="21" t="str">
        <f t="shared" si="599"/>
        <v>Apprenant 893</v>
      </c>
      <c r="BB905" s="49" t="str">
        <f t="shared" si="571"/>
        <v/>
      </c>
      <c r="BC905" s="49" t="str">
        <f t="shared" si="572"/>
        <v/>
      </c>
      <c r="BD905" s="49" t="str">
        <f t="shared" si="573"/>
        <v/>
      </c>
      <c r="BE905" s="22" t="str">
        <f t="shared" si="600"/>
        <v/>
      </c>
      <c r="BF905" s="21" t="str">
        <f t="shared" si="601"/>
        <v>Apprenant 893 ou 893'</v>
      </c>
      <c r="BG905" s="49" t="str">
        <f t="shared" si="574"/>
        <v/>
      </c>
      <c r="BH905" s="49" t="str">
        <f t="shared" si="575"/>
        <v/>
      </c>
      <c r="BI905" s="49" t="str">
        <f t="shared" si="576"/>
        <v/>
      </c>
      <c r="BJ905" s="22" t="str">
        <f t="shared" si="602"/>
        <v/>
      </c>
      <c r="BL905" s="21"/>
      <c r="BM905" s="21" t="str">
        <f>IF(OR(COUNT(B905:D1904)=0,AND('Choix pédagogiques'!$C$3&lt;&gt;1,'Choix pédagogiques'!$C$3&lt;&gt;2)),"",IF(AND(OR('Choix pédagogiques'!$C$3=1,'Choix pédagogiques'!$C$3=2),$B905&lt;&gt;"",$C905&lt;&gt;"",$D905&lt;&gt;""),1,0))</f>
        <v/>
      </c>
      <c r="BN905" s="21" t="str">
        <f>IF(OR(COUNT(G905:I1904)=0,AND('Choix pédagogiques'!$C$3&lt;&gt;1,'Choix pédagogiques'!$C$3&lt;&gt;2)),"",IF(AND(OR('Choix pédagogiques'!$C$3=1,'Choix pédagogiques'!$C$3=2),AND($G905&lt;&gt;"",$H905&lt;&gt;"",$I905&lt;&gt;"")),1,0))</f>
        <v/>
      </c>
      <c r="BO905" s="21" t="str">
        <f>IF(OR(COUNT(B905:D1904)=0,COUNT(G905:I1904)=0,'Choix pédagogiques'!C$3&lt;&gt;3),"",IF(AND('Choix pédagogiques'!$C$3=3,$B905&lt;&gt;"",$C905&lt;&gt;"",$D905&lt;&gt;"",$G905&lt;&gt;"",$H905&lt;&gt;"",$I905&lt;&gt;""),1,0))</f>
        <v/>
      </c>
      <c r="BR905" s="21">
        <v>845</v>
      </c>
      <c r="BS905" s="21">
        <v>1966</v>
      </c>
      <c r="BT905"/>
    </row>
    <row r="906" spans="1:72" s="23" customFormat="1" ht="18" customHeight="1" x14ac:dyDescent="0.3">
      <c r="A906" s="35" t="s">
        <v>896</v>
      </c>
      <c r="B906" s="37"/>
      <c r="C906" s="37"/>
      <c r="D906" s="37"/>
      <c r="E906" s="37"/>
      <c r="F906" s="35" t="s">
        <v>1904</v>
      </c>
      <c r="G906" s="37"/>
      <c r="H906" s="37"/>
      <c r="I906" s="37"/>
      <c r="J906" s="37"/>
      <c r="K906" s="21" t="str">
        <f t="shared" si="577"/>
        <v>Apprenant 894</v>
      </c>
      <c r="L906" s="22" t="str">
        <f t="shared" si="578"/>
        <v/>
      </c>
      <c r="M906" s="22" t="str">
        <f t="shared" si="579"/>
        <v/>
      </c>
      <c r="N906" s="22" t="str">
        <f t="shared" si="580"/>
        <v/>
      </c>
      <c r="O906" s="22" t="str">
        <f t="shared" si="581"/>
        <v/>
      </c>
      <c r="P906" s="21" t="str">
        <f t="shared" si="582"/>
        <v>Apprenant 894 ou 894'</v>
      </c>
      <c r="Q906" s="22" t="str">
        <f t="shared" si="583"/>
        <v/>
      </c>
      <c r="R906" s="22" t="str">
        <f t="shared" si="584"/>
        <v/>
      </c>
      <c r="S906" s="22" t="str">
        <f t="shared" si="585"/>
        <v/>
      </c>
      <c r="T906" s="22" t="str">
        <f t="shared" si="586"/>
        <v/>
      </c>
      <c r="V906" s="21" t="str">
        <f t="shared" si="587"/>
        <v>Apprenant 894</v>
      </c>
      <c r="W906" s="22" t="str">
        <f>IF(AND(OR('Choix pédagogiques'!$C$3=1,'Choix pédagogiques'!$C$3=2),$BM906=1),B906,IF(AND('Choix pédagogiques'!$C$3=3,$BO906=1),B906,""))</f>
        <v/>
      </c>
      <c r="X906" s="22" t="str">
        <f>IF(AND(OR('Choix pédagogiques'!$C$3=1,'Choix pédagogiques'!$C$3=2),$BM906=1),C906,IF(AND('Choix pédagogiques'!$C$3=3,$BO906=1),C906,""))</f>
        <v/>
      </c>
      <c r="Y906" s="22" t="str">
        <f>IF(AND(OR('Choix pédagogiques'!$C$3=1,'Choix pédagogiques'!$C$3=2),$BM906=1),D906,IF(AND('Choix pédagogiques'!$C$3=3,$BO906=1),D906,""))</f>
        <v/>
      </c>
      <c r="Z906" s="22" t="str">
        <f t="shared" si="588"/>
        <v/>
      </c>
      <c r="AA906" s="21" t="str">
        <f t="shared" si="589"/>
        <v>Apprenant 894 ou 894'</v>
      </c>
      <c r="AB906" s="22" t="str">
        <f>IF(AND(OR('Choix pédagogiques'!$C$3=1,'Choix pédagogiques'!$C$3=2),$BN906=1),G906,IF(AND('Choix pédagogiques'!$C$3=3,$BO906=1),G906,""))</f>
        <v/>
      </c>
      <c r="AC906" s="22" t="str">
        <f>IF(AND(OR('Choix pédagogiques'!$C$3=1,'Choix pédagogiques'!$C$3=2),$BN906=1),H906,IF(AND('Choix pédagogiques'!$C$3=3,$BO906=1),H906,""))</f>
        <v/>
      </c>
      <c r="AD906" s="22" t="str">
        <f>IF(AND(OR('Choix pédagogiques'!$C$3=1,'Choix pédagogiques'!$C$3=2),$BN906=1),I906,IF(AND('Choix pédagogiques'!$C$3=3,$BO906=1),I906,""))</f>
        <v/>
      </c>
      <c r="AE906" s="22" t="str">
        <f t="shared" si="590"/>
        <v/>
      </c>
      <c r="AF906" s="21" t="str">
        <f t="shared" si="591"/>
        <v>Apprenant 894</v>
      </c>
      <c r="AG906" s="22" t="str">
        <f t="shared" si="565"/>
        <v/>
      </c>
      <c r="AH906" s="22" t="str">
        <f t="shared" si="566"/>
        <v/>
      </c>
      <c r="AI906" s="22" t="str">
        <f t="shared" si="567"/>
        <v/>
      </c>
      <c r="AJ906" s="22" t="str">
        <f t="shared" si="592"/>
        <v/>
      </c>
      <c r="AK906" s="21" t="str">
        <f t="shared" si="593"/>
        <v>Apprenant 894 ou 894'</v>
      </c>
      <c r="AL906" s="22" t="str">
        <f t="shared" si="568"/>
        <v/>
      </c>
      <c r="AM906" s="22" t="str">
        <f t="shared" si="569"/>
        <v/>
      </c>
      <c r="AN906" s="22" t="str">
        <f t="shared" si="570"/>
        <v/>
      </c>
      <c r="AO906" s="22" t="str">
        <f t="shared" si="594"/>
        <v/>
      </c>
      <c r="AQ906" s="21" t="str">
        <f t="shared" si="595"/>
        <v>Apprenant 894</v>
      </c>
      <c r="AR906" s="49" t="str">
        <f>IF(AND('Choix pédagogiques'!$C$4&lt;&gt;"?",'Choix pédagogiques'!$C$5&lt;&gt;"?",W906&lt;&gt;""),(W906-'Choix pédagogiques'!$C$4)/('Choix pédagogiques'!$C$5-'Choix pédagogiques'!$C$4),"")</f>
        <v/>
      </c>
      <c r="AS906" s="49" t="str">
        <f>IF(AND('Choix pédagogiques'!$C$4&lt;&gt;"?",'Choix pédagogiques'!$C$5&lt;&gt;"?",X906&lt;&gt;""),(X906-'Choix pédagogiques'!$C$4)/('Choix pédagogiques'!$C$5-'Choix pédagogiques'!$C$4),"")</f>
        <v/>
      </c>
      <c r="AT906" s="49" t="str">
        <f>IF(AND('Choix pédagogiques'!$C$4&lt;&gt;"?",'Choix pédagogiques'!$C$5&lt;&gt;"?",Y906&lt;&gt;""),(Y906-'Choix pédagogiques'!$C$4)/('Choix pédagogiques'!$C$5-'Choix pédagogiques'!$C$4),"")</f>
        <v/>
      </c>
      <c r="AU906" s="22" t="str">
        <f t="shared" si="596"/>
        <v/>
      </c>
      <c r="AV906" s="21" t="str">
        <f t="shared" si="597"/>
        <v>Apprenant 894 ou 894'</v>
      </c>
      <c r="AW906" s="49" t="str">
        <f>IF(AND('Choix pédagogiques'!$C$4&lt;&gt;"?",'Choix pédagogiques'!$C$5&lt;&gt;"?",AB906&lt;&gt;""),(AB906-'Choix pédagogiques'!$C$4)/('Choix pédagogiques'!$C$5-'Choix pédagogiques'!$C$4),"")</f>
        <v/>
      </c>
      <c r="AX906" s="49" t="str">
        <f>IF(AND('Choix pédagogiques'!$C$4&lt;&gt;"?",'Choix pédagogiques'!$C$5&lt;&gt;"?",AC906&lt;&gt;""),(AC906-'Choix pédagogiques'!$C$4)/('Choix pédagogiques'!$C$5-'Choix pédagogiques'!$C$4),"")</f>
        <v/>
      </c>
      <c r="AY906" s="49" t="str">
        <f>IF(AND('Choix pédagogiques'!$C$4&lt;&gt;"?",'Choix pédagogiques'!$C$5&lt;&gt;"?",AD906&lt;&gt;""),(AD906-'Choix pédagogiques'!$C$4)/('Choix pédagogiques'!$C$5-'Choix pédagogiques'!$C$4),"")</f>
        <v/>
      </c>
      <c r="AZ906" s="22" t="str">
        <f t="shared" si="598"/>
        <v/>
      </c>
      <c r="BA906" s="21" t="str">
        <f t="shared" si="599"/>
        <v>Apprenant 894</v>
      </c>
      <c r="BB906" s="49" t="str">
        <f t="shared" si="571"/>
        <v/>
      </c>
      <c r="BC906" s="49" t="str">
        <f t="shared" si="572"/>
        <v/>
      </c>
      <c r="BD906" s="49" t="str">
        <f t="shared" si="573"/>
        <v/>
      </c>
      <c r="BE906" s="22" t="str">
        <f t="shared" si="600"/>
        <v/>
      </c>
      <c r="BF906" s="21" t="str">
        <f t="shared" si="601"/>
        <v>Apprenant 894 ou 894'</v>
      </c>
      <c r="BG906" s="49" t="str">
        <f t="shared" si="574"/>
        <v/>
      </c>
      <c r="BH906" s="49" t="str">
        <f t="shared" si="575"/>
        <v/>
      </c>
      <c r="BI906" s="49" t="str">
        <f t="shared" si="576"/>
        <v/>
      </c>
      <c r="BJ906" s="22" t="str">
        <f t="shared" si="602"/>
        <v/>
      </c>
      <c r="BL906" s="21"/>
      <c r="BM906" s="21" t="str">
        <f>IF(OR(COUNT(B906:D1905)=0,AND('Choix pédagogiques'!$C$3&lt;&gt;1,'Choix pédagogiques'!$C$3&lt;&gt;2)),"",IF(AND(OR('Choix pédagogiques'!$C$3=1,'Choix pédagogiques'!$C$3=2),$B906&lt;&gt;"",$C906&lt;&gt;"",$D906&lt;&gt;""),1,0))</f>
        <v/>
      </c>
      <c r="BN906" s="21" t="str">
        <f>IF(OR(COUNT(G906:I1905)=0,AND('Choix pédagogiques'!$C$3&lt;&gt;1,'Choix pédagogiques'!$C$3&lt;&gt;2)),"",IF(AND(OR('Choix pédagogiques'!$C$3=1,'Choix pédagogiques'!$C$3=2),AND($G906&lt;&gt;"",$H906&lt;&gt;"",$I906&lt;&gt;"")),1,0))</f>
        <v/>
      </c>
      <c r="BO906" s="21" t="str">
        <f>IF(OR(COUNT(B906:D1905)=0,COUNT(G906:I1905)=0,'Choix pédagogiques'!C$3&lt;&gt;3),"",IF(AND('Choix pédagogiques'!$C$3=3,$B906&lt;&gt;"",$C906&lt;&gt;"",$D906&lt;&gt;"",$G906&lt;&gt;"",$H906&lt;&gt;"",$I906&lt;&gt;""),1,0))</f>
        <v/>
      </c>
      <c r="BR906" s="21">
        <v>705</v>
      </c>
      <c r="BS906" s="21">
        <v>1176</v>
      </c>
      <c r="BT906"/>
    </row>
    <row r="907" spans="1:72" s="23" customFormat="1" ht="18" customHeight="1" x14ac:dyDescent="0.3">
      <c r="A907" s="35" t="s">
        <v>897</v>
      </c>
      <c r="B907" s="37"/>
      <c r="C907" s="37"/>
      <c r="D907" s="37"/>
      <c r="E907" s="37"/>
      <c r="F907" s="35" t="s">
        <v>1905</v>
      </c>
      <c r="G907" s="37"/>
      <c r="H907" s="37"/>
      <c r="I907" s="37"/>
      <c r="J907" s="37"/>
      <c r="K907" s="21" t="str">
        <f t="shared" si="577"/>
        <v>Apprenant 895</v>
      </c>
      <c r="L907" s="22" t="str">
        <f t="shared" si="578"/>
        <v/>
      </c>
      <c r="M907" s="22" t="str">
        <f t="shared" si="579"/>
        <v/>
      </c>
      <c r="N907" s="22" t="str">
        <f t="shared" si="580"/>
        <v/>
      </c>
      <c r="O907" s="22" t="str">
        <f t="shared" si="581"/>
        <v/>
      </c>
      <c r="P907" s="21" t="str">
        <f t="shared" si="582"/>
        <v>Apprenant 895 ou 895'</v>
      </c>
      <c r="Q907" s="22" t="str">
        <f t="shared" si="583"/>
        <v/>
      </c>
      <c r="R907" s="22" t="str">
        <f t="shared" si="584"/>
        <v/>
      </c>
      <c r="S907" s="22" t="str">
        <f t="shared" si="585"/>
        <v/>
      </c>
      <c r="T907" s="22" t="str">
        <f t="shared" si="586"/>
        <v/>
      </c>
      <c r="V907" s="21" t="str">
        <f t="shared" si="587"/>
        <v>Apprenant 895</v>
      </c>
      <c r="W907" s="22" t="str">
        <f>IF(AND(OR('Choix pédagogiques'!$C$3=1,'Choix pédagogiques'!$C$3=2),$BM907=1),B907,IF(AND('Choix pédagogiques'!$C$3=3,$BO907=1),B907,""))</f>
        <v/>
      </c>
      <c r="X907" s="22" t="str">
        <f>IF(AND(OR('Choix pédagogiques'!$C$3=1,'Choix pédagogiques'!$C$3=2),$BM907=1),C907,IF(AND('Choix pédagogiques'!$C$3=3,$BO907=1),C907,""))</f>
        <v/>
      </c>
      <c r="Y907" s="22" t="str">
        <f>IF(AND(OR('Choix pédagogiques'!$C$3=1,'Choix pédagogiques'!$C$3=2),$BM907=1),D907,IF(AND('Choix pédagogiques'!$C$3=3,$BO907=1),D907,""))</f>
        <v/>
      </c>
      <c r="Z907" s="22" t="str">
        <f t="shared" si="588"/>
        <v/>
      </c>
      <c r="AA907" s="21" t="str">
        <f t="shared" si="589"/>
        <v>Apprenant 895 ou 895'</v>
      </c>
      <c r="AB907" s="22" t="str">
        <f>IF(AND(OR('Choix pédagogiques'!$C$3=1,'Choix pédagogiques'!$C$3=2),$BN907=1),G907,IF(AND('Choix pédagogiques'!$C$3=3,$BO907=1),G907,""))</f>
        <v/>
      </c>
      <c r="AC907" s="22" t="str">
        <f>IF(AND(OR('Choix pédagogiques'!$C$3=1,'Choix pédagogiques'!$C$3=2),$BN907=1),H907,IF(AND('Choix pédagogiques'!$C$3=3,$BO907=1),H907,""))</f>
        <v/>
      </c>
      <c r="AD907" s="22" t="str">
        <f>IF(AND(OR('Choix pédagogiques'!$C$3=1,'Choix pédagogiques'!$C$3=2),$BN907=1),I907,IF(AND('Choix pédagogiques'!$C$3=3,$BO907=1),I907,""))</f>
        <v/>
      </c>
      <c r="AE907" s="22" t="str">
        <f t="shared" si="590"/>
        <v/>
      </c>
      <c r="AF907" s="21" t="str">
        <f t="shared" si="591"/>
        <v>Apprenant 895</v>
      </c>
      <c r="AG907" s="22" t="str">
        <f t="shared" si="565"/>
        <v/>
      </c>
      <c r="AH907" s="22" t="str">
        <f t="shared" si="566"/>
        <v/>
      </c>
      <c r="AI907" s="22" t="str">
        <f t="shared" si="567"/>
        <v/>
      </c>
      <c r="AJ907" s="22" t="str">
        <f t="shared" si="592"/>
        <v/>
      </c>
      <c r="AK907" s="21" t="str">
        <f t="shared" si="593"/>
        <v>Apprenant 895 ou 895'</v>
      </c>
      <c r="AL907" s="22" t="str">
        <f t="shared" si="568"/>
        <v/>
      </c>
      <c r="AM907" s="22" t="str">
        <f t="shared" si="569"/>
        <v/>
      </c>
      <c r="AN907" s="22" t="str">
        <f t="shared" si="570"/>
        <v/>
      </c>
      <c r="AO907" s="22" t="str">
        <f t="shared" si="594"/>
        <v/>
      </c>
      <c r="AQ907" s="21" t="str">
        <f t="shared" si="595"/>
        <v>Apprenant 895</v>
      </c>
      <c r="AR907" s="49" t="str">
        <f>IF(AND('Choix pédagogiques'!$C$4&lt;&gt;"?",'Choix pédagogiques'!$C$5&lt;&gt;"?",W907&lt;&gt;""),(W907-'Choix pédagogiques'!$C$4)/('Choix pédagogiques'!$C$5-'Choix pédagogiques'!$C$4),"")</f>
        <v/>
      </c>
      <c r="AS907" s="49" t="str">
        <f>IF(AND('Choix pédagogiques'!$C$4&lt;&gt;"?",'Choix pédagogiques'!$C$5&lt;&gt;"?",X907&lt;&gt;""),(X907-'Choix pédagogiques'!$C$4)/('Choix pédagogiques'!$C$5-'Choix pédagogiques'!$C$4),"")</f>
        <v/>
      </c>
      <c r="AT907" s="49" t="str">
        <f>IF(AND('Choix pédagogiques'!$C$4&lt;&gt;"?",'Choix pédagogiques'!$C$5&lt;&gt;"?",Y907&lt;&gt;""),(Y907-'Choix pédagogiques'!$C$4)/('Choix pédagogiques'!$C$5-'Choix pédagogiques'!$C$4),"")</f>
        <v/>
      </c>
      <c r="AU907" s="22" t="str">
        <f t="shared" si="596"/>
        <v/>
      </c>
      <c r="AV907" s="21" t="str">
        <f t="shared" si="597"/>
        <v>Apprenant 895 ou 895'</v>
      </c>
      <c r="AW907" s="49" t="str">
        <f>IF(AND('Choix pédagogiques'!$C$4&lt;&gt;"?",'Choix pédagogiques'!$C$5&lt;&gt;"?",AB907&lt;&gt;""),(AB907-'Choix pédagogiques'!$C$4)/('Choix pédagogiques'!$C$5-'Choix pédagogiques'!$C$4),"")</f>
        <v/>
      </c>
      <c r="AX907" s="49" t="str">
        <f>IF(AND('Choix pédagogiques'!$C$4&lt;&gt;"?",'Choix pédagogiques'!$C$5&lt;&gt;"?",AC907&lt;&gt;""),(AC907-'Choix pédagogiques'!$C$4)/('Choix pédagogiques'!$C$5-'Choix pédagogiques'!$C$4),"")</f>
        <v/>
      </c>
      <c r="AY907" s="49" t="str">
        <f>IF(AND('Choix pédagogiques'!$C$4&lt;&gt;"?",'Choix pédagogiques'!$C$5&lt;&gt;"?",AD907&lt;&gt;""),(AD907-'Choix pédagogiques'!$C$4)/('Choix pédagogiques'!$C$5-'Choix pédagogiques'!$C$4),"")</f>
        <v/>
      </c>
      <c r="AZ907" s="22" t="str">
        <f t="shared" si="598"/>
        <v/>
      </c>
      <c r="BA907" s="21" t="str">
        <f t="shared" si="599"/>
        <v>Apprenant 895</v>
      </c>
      <c r="BB907" s="49" t="str">
        <f t="shared" si="571"/>
        <v/>
      </c>
      <c r="BC907" s="49" t="str">
        <f t="shared" si="572"/>
        <v/>
      </c>
      <c r="BD907" s="49" t="str">
        <f t="shared" si="573"/>
        <v/>
      </c>
      <c r="BE907" s="22" t="str">
        <f t="shared" si="600"/>
        <v/>
      </c>
      <c r="BF907" s="21" t="str">
        <f t="shared" si="601"/>
        <v>Apprenant 895 ou 895'</v>
      </c>
      <c r="BG907" s="49" t="str">
        <f t="shared" si="574"/>
        <v/>
      </c>
      <c r="BH907" s="49" t="str">
        <f t="shared" si="575"/>
        <v/>
      </c>
      <c r="BI907" s="49" t="str">
        <f t="shared" si="576"/>
        <v/>
      </c>
      <c r="BJ907" s="22" t="str">
        <f t="shared" si="602"/>
        <v/>
      </c>
      <c r="BL907" s="21"/>
      <c r="BM907" s="21" t="str">
        <f>IF(OR(COUNT(B907:D1906)=0,AND('Choix pédagogiques'!$C$3&lt;&gt;1,'Choix pédagogiques'!$C$3&lt;&gt;2)),"",IF(AND(OR('Choix pédagogiques'!$C$3=1,'Choix pédagogiques'!$C$3=2),$B907&lt;&gt;"",$C907&lt;&gt;"",$D907&lt;&gt;""),1,0))</f>
        <v/>
      </c>
      <c r="BN907" s="21" t="str">
        <f>IF(OR(COUNT(G907:I1906)=0,AND('Choix pédagogiques'!$C$3&lt;&gt;1,'Choix pédagogiques'!$C$3&lt;&gt;2)),"",IF(AND(OR('Choix pédagogiques'!$C$3=1,'Choix pédagogiques'!$C$3=2),AND($G907&lt;&gt;"",$H907&lt;&gt;"",$I907&lt;&gt;"")),1,0))</f>
        <v/>
      </c>
      <c r="BO907" s="21" t="str">
        <f>IF(OR(COUNT(B907:D1906)=0,COUNT(G907:I1906)=0,'Choix pédagogiques'!C$3&lt;&gt;3),"",IF(AND('Choix pédagogiques'!$C$3=3,$B907&lt;&gt;"",$C907&lt;&gt;"",$D907&lt;&gt;"",$G907&lt;&gt;"",$H907&lt;&gt;"",$I907&lt;&gt;""),1,0))</f>
        <v/>
      </c>
      <c r="BR907" s="21">
        <v>718</v>
      </c>
      <c r="BS907" s="21">
        <v>1214</v>
      </c>
      <c r="BT907"/>
    </row>
    <row r="908" spans="1:72" s="23" customFormat="1" ht="18" customHeight="1" x14ac:dyDescent="0.3">
      <c r="A908" s="35" t="s">
        <v>898</v>
      </c>
      <c r="B908" s="37"/>
      <c r="C908" s="37"/>
      <c r="D908" s="37"/>
      <c r="E908" s="37"/>
      <c r="F908" s="35" t="s">
        <v>1906</v>
      </c>
      <c r="G908" s="37"/>
      <c r="H908" s="37"/>
      <c r="I908" s="37"/>
      <c r="J908" s="37"/>
      <c r="K908" s="21" t="str">
        <f t="shared" si="577"/>
        <v>Apprenant 896</v>
      </c>
      <c r="L908" s="22" t="str">
        <f t="shared" si="578"/>
        <v/>
      </c>
      <c r="M908" s="22" t="str">
        <f t="shared" si="579"/>
        <v/>
      </c>
      <c r="N908" s="22" t="str">
        <f t="shared" si="580"/>
        <v/>
      </c>
      <c r="O908" s="22" t="str">
        <f t="shared" si="581"/>
        <v/>
      </c>
      <c r="P908" s="21" t="str">
        <f t="shared" si="582"/>
        <v>Apprenant 896 ou 896'</v>
      </c>
      <c r="Q908" s="22" t="str">
        <f t="shared" si="583"/>
        <v/>
      </c>
      <c r="R908" s="22" t="str">
        <f t="shared" si="584"/>
        <v/>
      </c>
      <c r="S908" s="22" t="str">
        <f t="shared" si="585"/>
        <v/>
      </c>
      <c r="T908" s="22" t="str">
        <f t="shared" si="586"/>
        <v/>
      </c>
      <c r="V908" s="21" t="str">
        <f t="shared" si="587"/>
        <v>Apprenant 896</v>
      </c>
      <c r="W908" s="22" t="str">
        <f>IF(AND(OR('Choix pédagogiques'!$C$3=1,'Choix pédagogiques'!$C$3=2),$BM908=1),B908,IF(AND('Choix pédagogiques'!$C$3=3,$BO908=1),B908,""))</f>
        <v/>
      </c>
      <c r="X908" s="22" t="str">
        <f>IF(AND(OR('Choix pédagogiques'!$C$3=1,'Choix pédagogiques'!$C$3=2),$BM908=1),C908,IF(AND('Choix pédagogiques'!$C$3=3,$BO908=1),C908,""))</f>
        <v/>
      </c>
      <c r="Y908" s="22" t="str">
        <f>IF(AND(OR('Choix pédagogiques'!$C$3=1,'Choix pédagogiques'!$C$3=2),$BM908=1),D908,IF(AND('Choix pédagogiques'!$C$3=3,$BO908=1),D908,""))</f>
        <v/>
      </c>
      <c r="Z908" s="22" t="str">
        <f t="shared" si="588"/>
        <v/>
      </c>
      <c r="AA908" s="21" t="str">
        <f t="shared" si="589"/>
        <v>Apprenant 896 ou 896'</v>
      </c>
      <c r="AB908" s="22" t="str">
        <f>IF(AND(OR('Choix pédagogiques'!$C$3=1,'Choix pédagogiques'!$C$3=2),$BN908=1),G908,IF(AND('Choix pédagogiques'!$C$3=3,$BO908=1),G908,""))</f>
        <v/>
      </c>
      <c r="AC908" s="22" t="str">
        <f>IF(AND(OR('Choix pédagogiques'!$C$3=1,'Choix pédagogiques'!$C$3=2),$BN908=1),H908,IF(AND('Choix pédagogiques'!$C$3=3,$BO908=1),H908,""))</f>
        <v/>
      </c>
      <c r="AD908" s="22" t="str">
        <f>IF(AND(OR('Choix pédagogiques'!$C$3=1,'Choix pédagogiques'!$C$3=2),$BN908=1),I908,IF(AND('Choix pédagogiques'!$C$3=3,$BO908=1),I908,""))</f>
        <v/>
      </c>
      <c r="AE908" s="22" t="str">
        <f t="shared" si="590"/>
        <v/>
      </c>
      <c r="AF908" s="21" t="str">
        <f t="shared" si="591"/>
        <v>Apprenant 896</v>
      </c>
      <c r="AG908" s="22" t="str">
        <f t="shared" si="565"/>
        <v/>
      </c>
      <c r="AH908" s="22" t="str">
        <f t="shared" si="566"/>
        <v/>
      </c>
      <c r="AI908" s="22" t="str">
        <f t="shared" si="567"/>
        <v/>
      </c>
      <c r="AJ908" s="22" t="str">
        <f t="shared" si="592"/>
        <v/>
      </c>
      <c r="AK908" s="21" t="str">
        <f t="shared" si="593"/>
        <v>Apprenant 896 ou 896'</v>
      </c>
      <c r="AL908" s="22" t="str">
        <f t="shared" si="568"/>
        <v/>
      </c>
      <c r="AM908" s="22" t="str">
        <f t="shared" si="569"/>
        <v/>
      </c>
      <c r="AN908" s="22" t="str">
        <f t="shared" si="570"/>
        <v/>
      </c>
      <c r="AO908" s="22" t="str">
        <f t="shared" si="594"/>
        <v/>
      </c>
      <c r="AQ908" s="21" t="str">
        <f t="shared" si="595"/>
        <v>Apprenant 896</v>
      </c>
      <c r="AR908" s="49" t="str">
        <f>IF(AND('Choix pédagogiques'!$C$4&lt;&gt;"?",'Choix pédagogiques'!$C$5&lt;&gt;"?",W908&lt;&gt;""),(W908-'Choix pédagogiques'!$C$4)/('Choix pédagogiques'!$C$5-'Choix pédagogiques'!$C$4),"")</f>
        <v/>
      </c>
      <c r="AS908" s="49" t="str">
        <f>IF(AND('Choix pédagogiques'!$C$4&lt;&gt;"?",'Choix pédagogiques'!$C$5&lt;&gt;"?",X908&lt;&gt;""),(X908-'Choix pédagogiques'!$C$4)/('Choix pédagogiques'!$C$5-'Choix pédagogiques'!$C$4),"")</f>
        <v/>
      </c>
      <c r="AT908" s="49" t="str">
        <f>IF(AND('Choix pédagogiques'!$C$4&lt;&gt;"?",'Choix pédagogiques'!$C$5&lt;&gt;"?",Y908&lt;&gt;""),(Y908-'Choix pédagogiques'!$C$4)/('Choix pédagogiques'!$C$5-'Choix pédagogiques'!$C$4),"")</f>
        <v/>
      </c>
      <c r="AU908" s="22" t="str">
        <f t="shared" si="596"/>
        <v/>
      </c>
      <c r="AV908" s="21" t="str">
        <f t="shared" si="597"/>
        <v>Apprenant 896 ou 896'</v>
      </c>
      <c r="AW908" s="49" t="str">
        <f>IF(AND('Choix pédagogiques'!$C$4&lt;&gt;"?",'Choix pédagogiques'!$C$5&lt;&gt;"?",AB908&lt;&gt;""),(AB908-'Choix pédagogiques'!$C$4)/('Choix pédagogiques'!$C$5-'Choix pédagogiques'!$C$4),"")</f>
        <v/>
      </c>
      <c r="AX908" s="49" t="str">
        <f>IF(AND('Choix pédagogiques'!$C$4&lt;&gt;"?",'Choix pédagogiques'!$C$5&lt;&gt;"?",AC908&lt;&gt;""),(AC908-'Choix pédagogiques'!$C$4)/('Choix pédagogiques'!$C$5-'Choix pédagogiques'!$C$4),"")</f>
        <v/>
      </c>
      <c r="AY908" s="49" t="str">
        <f>IF(AND('Choix pédagogiques'!$C$4&lt;&gt;"?",'Choix pédagogiques'!$C$5&lt;&gt;"?",AD908&lt;&gt;""),(AD908-'Choix pédagogiques'!$C$4)/('Choix pédagogiques'!$C$5-'Choix pédagogiques'!$C$4),"")</f>
        <v/>
      </c>
      <c r="AZ908" s="22" t="str">
        <f t="shared" si="598"/>
        <v/>
      </c>
      <c r="BA908" s="21" t="str">
        <f t="shared" si="599"/>
        <v>Apprenant 896</v>
      </c>
      <c r="BB908" s="49" t="str">
        <f t="shared" si="571"/>
        <v/>
      </c>
      <c r="BC908" s="49" t="str">
        <f t="shared" si="572"/>
        <v/>
      </c>
      <c r="BD908" s="49" t="str">
        <f t="shared" si="573"/>
        <v/>
      </c>
      <c r="BE908" s="22" t="str">
        <f t="shared" si="600"/>
        <v/>
      </c>
      <c r="BF908" s="21" t="str">
        <f t="shared" si="601"/>
        <v>Apprenant 896 ou 896'</v>
      </c>
      <c r="BG908" s="49" t="str">
        <f t="shared" si="574"/>
        <v/>
      </c>
      <c r="BH908" s="49" t="str">
        <f t="shared" si="575"/>
        <v/>
      </c>
      <c r="BI908" s="49" t="str">
        <f t="shared" si="576"/>
        <v/>
      </c>
      <c r="BJ908" s="22" t="str">
        <f t="shared" si="602"/>
        <v/>
      </c>
      <c r="BL908" s="21"/>
      <c r="BM908" s="21" t="str">
        <f>IF(OR(COUNT(B908:D1907)=0,AND('Choix pédagogiques'!$C$3&lt;&gt;1,'Choix pédagogiques'!$C$3&lt;&gt;2)),"",IF(AND(OR('Choix pédagogiques'!$C$3=1,'Choix pédagogiques'!$C$3=2),$B908&lt;&gt;"",$C908&lt;&gt;"",$D908&lt;&gt;""),1,0))</f>
        <v/>
      </c>
      <c r="BN908" s="21" t="str">
        <f>IF(OR(COUNT(G908:I1907)=0,AND('Choix pédagogiques'!$C$3&lt;&gt;1,'Choix pédagogiques'!$C$3&lt;&gt;2)),"",IF(AND(OR('Choix pédagogiques'!$C$3=1,'Choix pédagogiques'!$C$3=2),AND($G908&lt;&gt;"",$H908&lt;&gt;"",$I908&lt;&gt;"")),1,0))</f>
        <v/>
      </c>
      <c r="BO908" s="21" t="str">
        <f>IF(OR(COUNT(B908:D1907)=0,COUNT(G908:I1907)=0,'Choix pédagogiques'!C$3&lt;&gt;3),"",IF(AND('Choix pédagogiques'!$C$3=3,$B908&lt;&gt;"",$C908&lt;&gt;"",$D908&lt;&gt;"",$G908&lt;&gt;"",$H908&lt;&gt;"",$I908&lt;&gt;""),1,0))</f>
        <v/>
      </c>
      <c r="BR908" s="21">
        <v>1000</v>
      </c>
      <c r="BS908" s="21">
        <v>1119</v>
      </c>
      <c r="BT908"/>
    </row>
    <row r="909" spans="1:72" s="23" customFormat="1" ht="18" customHeight="1" x14ac:dyDescent="0.3">
      <c r="A909" s="35" t="s">
        <v>899</v>
      </c>
      <c r="B909" s="37"/>
      <c r="C909" s="37"/>
      <c r="D909" s="37"/>
      <c r="E909" s="37"/>
      <c r="F909" s="35" t="s">
        <v>1907</v>
      </c>
      <c r="G909" s="37"/>
      <c r="H909" s="37"/>
      <c r="I909" s="37"/>
      <c r="J909" s="37"/>
      <c r="K909" s="21" t="str">
        <f t="shared" si="577"/>
        <v>Apprenant 897</v>
      </c>
      <c r="L909" s="22" t="str">
        <f t="shared" si="578"/>
        <v/>
      </c>
      <c r="M909" s="22" t="str">
        <f t="shared" si="579"/>
        <v/>
      </c>
      <c r="N909" s="22" t="str">
        <f t="shared" si="580"/>
        <v/>
      </c>
      <c r="O909" s="22" t="str">
        <f t="shared" si="581"/>
        <v/>
      </c>
      <c r="P909" s="21" t="str">
        <f t="shared" si="582"/>
        <v>Apprenant 897 ou 897'</v>
      </c>
      <c r="Q909" s="22" t="str">
        <f t="shared" si="583"/>
        <v/>
      </c>
      <c r="R909" s="22" t="str">
        <f t="shared" si="584"/>
        <v/>
      </c>
      <c r="S909" s="22" t="str">
        <f t="shared" si="585"/>
        <v/>
      </c>
      <c r="T909" s="22" t="str">
        <f t="shared" si="586"/>
        <v/>
      </c>
      <c r="V909" s="21" t="str">
        <f t="shared" si="587"/>
        <v>Apprenant 897</v>
      </c>
      <c r="W909" s="22" t="str">
        <f>IF(AND(OR('Choix pédagogiques'!$C$3=1,'Choix pédagogiques'!$C$3=2),$BM909=1),B909,IF(AND('Choix pédagogiques'!$C$3=3,$BO909=1),B909,""))</f>
        <v/>
      </c>
      <c r="X909" s="22" t="str">
        <f>IF(AND(OR('Choix pédagogiques'!$C$3=1,'Choix pédagogiques'!$C$3=2),$BM909=1),C909,IF(AND('Choix pédagogiques'!$C$3=3,$BO909=1),C909,""))</f>
        <v/>
      </c>
      <c r="Y909" s="22" t="str">
        <f>IF(AND(OR('Choix pédagogiques'!$C$3=1,'Choix pédagogiques'!$C$3=2),$BM909=1),D909,IF(AND('Choix pédagogiques'!$C$3=3,$BO909=1),D909,""))</f>
        <v/>
      </c>
      <c r="Z909" s="22" t="str">
        <f t="shared" si="588"/>
        <v/>
      </c>
      <c r="AA909" s="21" t="str">
        <f t="shared" si="589"/>
        <v>Apprenant 897 ou 897'</v>
      </c>
      <c r="AB909" s="22" t="str">
        <f>IF(AND(OR('Choix pédagogiques'!$C$3=1,'Choix pédagogiques'!$C$3=2),$BN909=1),G909,IF(AND('Choix pédagogiques'!$C$3=3,$BO909=1),G909,""))</f>
        <v/>
      </c>
      <c r="AC909" s="22" t="str">
        <f>IF(AND(OR('Choix pédagogiques'!$C$3=1,'Choix pédagogiques'!$C$3=2),$BN909=1),H909,IF(AND('Choix pédagogiques'!$C$3=3,$BO909=1),H909,""))</f>
        <v/>
      </c>
      <c r="AD909" s="22" t="str">
        <f>IF(AND(OR('Choix pédagogiques'!$C$3=1,'Choix pédagogiques'!$C$3=2),$BN909=1),I909,IF(AND('Choix pédagogiques'!$C$3=3,$BO909=1),I909,""))</f>
        <v/>
      </c>
      <c r="AE909" s="22" t="str">
        <f t="shared" si="590"/>
        <v/>
      </c>
      <c r="AF909" s="21" t="str">
        <f t="shared" si="591"/>
        <v>Apprenant 897</v>
      </c>
      <c r="AG909" s="22" t="str">
        <f t="shared" ref="AG909:AG972" si="603">IF(AND($W909&lt;&gt;"",$X909&lt;&gt;""),$X909-$W909,"")</f>
        <v/>
      </c>
      <c r="AH909" s="22" t="str">
        <f t="shared" ref="AH909:AH972" si="604">IF(AND($W909&lt;&gt;"",$Y909&lt;&gt;""),$Y909-$W909,"")</f>
        <v/>
      </c>
      <c r="AI909" s="22" t="str">
        <f t="shared" ref="AI909:AI972" si="605">IF(AND($X909&lt;&gt;"",$Y909&lt;&gt;""),$Y909-$X909,"")</f>
        <v/>
      </c>
      <c r="AJ909" s="22" t="str">
        <f t="shared" si="592"/>
        <v/>
      </c>
      <c r="AK909" s="21" t="str">
        <f t="shared" si="593"/>
        <v>Apprenant 897 ou 897'</v>
      </c>
      <c r="AL909" s="22" t="str">
        <f t="shared" ref="AL909:AL972" si="606">IF(AND($AB909&lt;&gt;"",$AC909&lt;&gt;""),$AC909-$AB909,"")</f>
        <v/>
      </c>
      <c r="AM909" s="22" t="str">
        <f t="shared" ref="AM909:AM972" si="607">IF(AND($AB909&lt;&gt;"",$AD909&lt;&gt;""),$AD909-$AB909,"")</f>
        <v/>
      </c>
      <c r="AN909" s="22" t="str">
        <f t="shared" ref="AN909:AN972" si="608">IF(AND($AC909&lt;&gt;"",$AD909&lt;&gt;""),$AD909-$AC909,"")</f>
        <v/>
      </c>
      <c r="AO909" s="22" t="str">
        <f t="shared" si="594"/>
        <v/>
      </c>
      <c r="AQ909" s="21" t="str">
        <f t="shared" si="595"/>
        <v>Apprenant 897</v>
      </c>
      <c r="AR909" s="49" t="str">
        <f>IF(AND('Choix pédagogiques'!$C$4&lt;&gt;"?",'Choix pédagogiques'!$C$5&lt;&gt;"?",W909&lt;&gt;""),(W909-'Choix pédagogiques'!$C$4)/('Choix pédagogiques'!$C$5-'Choix pédagogiques'!$C$4),"")</f>
        <v/>
      </c>
      <c r="AS909" s="49" t="str">
        <f>IF(AND('Choix pédagogiques'!$C$4&lt;&gt;"?",'Choix pédagogiques'!$C$5&lt;&gt;"?",X909&lt;&gt;""),(X909-'Choix pédagogiques'!$C$4)/('Choix pédagogiques'!$C$5-'Choix pédagogiques'!$C$4),"")</f>
        <v/>
      </c>
      <c r="AT909" s="49" t="str">
        <f>IF(AND('Choix pédagogiques'!$C$4&lt;&gt;"?",'Choix pédagogiques'!$C$5&lt;&gt;"?",Y909&lt;&gt;""),(Y909-'Choix pédagogiques'!$C$4)/('Choix pédagogiques'!$C$5-'Choix pédagogiques'!$C$4),"")</f>
        <v/>
      </c>
      <c r="AU909" s="22" t="str">
        <f t="shared" si="596"/>
        <v/>
      </c>
      <c r="AV909" s="21" t="str">
        <f t="shared" si="597"/>
        <v>Apprenant 897 ou 897'</v>
      </c>
      <c r="AW909" s="49" t="str">
        <f>IF(AND('Choix pédagogiques'!$C$4&lt;&gt;"?",'Choix pédagogiques'!$C$5&lt;&gt;"?",AB909&lt;&gt;""),(AB909-'Choix pédagogiques'!$C$4)/('Choix pédagogiques'!$C$5-'Choix pédagogiques'!$C$4),"")</f>
        <v/>
      </c>
      <c r="AX909" s="49" t="str">
        <f>IF(AND('Choix pédagogiques'!$C$4&lt;&gt;"?",'Choix pédagogiques'!$C$5&lt;&gt;"?",AC909&lt;&gt;""),(AC909-'Choix pédagogiques'!$C$4)/('Choix pédagogiques'!$C$5-'Choix pédagogiques'!$C$4),"")</f>
        <v/>
      </c>
      <c r="AY909" s="49" t="str">
        <f>IF(AND('Choix pédagogiques'!$C$4&lt;&gt;"?",'Choix pédagogiques'!$C$5&lt;&gt;"?",AD909&lt;&gt;""),(AD909-'Choix pédagogiques'!$C$4)/('Choix pédagogiques'!$C$5-'Choix pédagogiques'!$C$4),"")</f>
        <v/>
      </c>
      <c r="AZ909" s="22" t="str">
        <f t="shared" si="598"/>
        <v/>
      </c>
      <c r="BA909" s="21" t="str">
        <f t="shared" si="599"/>
        <v>Apprenant 897</v>
      </c>
      <c r="BB909" s="49" t="str">
        <f t="shared" ref="BB909:BB972" si="609">IF(AND($AR909&lt;&gt;"",$AS909&lt;&gt;""),$AS909-$AR909,"")</f>
        <v/>
      </c>
      <c r="BC909" s="49" t="str">
        <f t="shared" ref="BC909:BC972" si="610">IF(AND($AR909&lt;&gt;"",$AT909&lt;&gt;""),$AT909-$AR909,"")</f>
        <v/>
      </c>
      <c r="BD909" s="49" t="str">
        <f t="shared" ref="BD909:BD972" si="611">IF(AND($AS909&lt;&gt;"",$AT909&lt;&gt;""),$AT909-$AS909,"")</f>
        <v/>
      </c>
      <c r="BE909" s="22" t="str">
        <f t="shared" si="600"/>
        <v/>
      </c>
      <c r="BF909" s="21" t="str">
        <f t="shared" si="601"/>
        <v>Apprenant 897 ou 897'</v>
      </c>
      <c r="BG909" s="49" t="str">
        <f t="shared" ref="BG909:BG972" si="612">IF(AND($AW909&lt;&gt;"",$AX909&lt;&gt;""),$AX909-$AW909,"")</f>
        <v/>
      </c>
      <c r="BH909" s="49" t="str">
        <f t="shared" ref="BH909:BH972" si="613">IF(AND($AW909&lt;&gt;"",$AY909&lt;&gt;""),$AY909-$AW909,"")</f>
        <v/>
      </c>
      <c r="BI909" s="49" t="str">
        <f t="shared" ref="BI909:BI972" si="614">IF(AND($AX909&lt;&gt;"",$AY909&lt;&gt;""),$AY909-$AX909,"")</f>
        <v/>
      </c>
      <c r="BJ909" s="22" t="str">
        <f t="shared" si="602"/>
        <v/>
      </c>
      <c r="BL909" s="21"/>
      <c r="BM909" s="21" t="str">
        <f>IF(OR(COUNT(B909:D1908)=0,AND('Choix pédagogiques'!$C$3&lt;&gt;1,'Choix pédagogiques'!$C$3&lt;&gt;2)),"",IF(AND(OR('Choix pédagogiques'!$C$3=1,'Choix pédagogiques'!$C$3=2),$B909&lt;&gt;"",$C909&lt;&gt;"",$D909&lt;&gt;""),1,0))</f>
        <v/>
      </c>
      <c r="BN909" s="21" t="str">
        <f>IF(OR(COUNT(G909:I1908)=0,AND('Choix pédagogiques'!$C$3&lt;&gt;1,'Choix pédagogiques'!$C$3&lt;&gt;2)),"",IF(AND(OR('Choix pédagogiques'!$C$3=1,'Choix pédagogiques'!$C$3=2),AND($G909&lt;&gt;"",$H909&lt;&gt;"",$I909&lt;&gt;"")),1,0))</f>
        <v/>
      </c>
      <c r="BO909" s="21" t="str">
        <f>IF(OR(COUNT(B909:D1908)=0,COUNT(G909:I1908)=0,'Choix pédagogiques'!C$3&lt;&gt;3),"",IF(AND('Choix pédagogiques'!$C$3=3,$B909&lt;&gt;"",$C909&lt;&gt;"",$D909&lt;&gt;"",$G909&lt;&gt;"",$H909&lt;&gt;"",$I909&lt;&gt;""),1,0))</f>
        <v/>
      </c>
      <c r="BR909" s="21">
        <v>387</v>
      </c>
      <c r="BS909" s="21">
        <v>1355</v>
      </c>
      <c r="BT909"/>
    </row>
    <row r="910" spans="1:72" s="23" customFormat="1" ht="18" customHeight="1" x14ac:dyDescent="0.3">
      <c r="A910" s="35" t="s">
        <v>900</v>
      </c>
      <c r="B910" s="37"/>
      <c r="C910" s="37"/>
      <c r="D910" s="37"/>
      <c r="E910" s="37"/>
      <c r="F910" s="35" t="s">
        <v>1908</v>
      </c>
      <c r="G910" s="37"/>
      <c r="H910" s="37"/>
      <c r="I910" s="37"/>
      <c r="J910" s="37"/>
      <c r="K910" s="21" t="str">
        <f t="shared" ref="K910:K973" si="615">IF($A910&lt;&gt;"",$A910,"")</f>
        <v>Apprenant 898</v>
      </c>
      <c r="L910" s="22" t="str">
        <f t="shared" ref="L910:L973" si="616">IF(AND($B910&lt;&gt;"",$C910&lt;&gt;""),$C910-$B910,"")</f>
        <v/>
      </c>
      <c r="M910" s="22" t="str">
        <f t="shared" ref="M910:M973" si="617">IF(AND($B910&lt;&gt;"",$D910&lt;&gt;""),$D910-$B910,"")</f>
        <v/>
      </c>
      <c r="N910" s="22" t="str">
        <f t="shared" ref="N910:N973" si="618">IF(AND($C910&lt;&gt;"",$D910&lt;&gt;""),$D910-$C910,"")</f>
        <v/>
      </c>
      <c r="O910" s="22" t="str">
        <f t="shared" ref="O910:O973" si="619">IF($E910&lt;&gt;"",$E910,"")</f>
        <v/>
      </c>
      <c r="P910" s="21" t="str">
        <f t="shared" ref="P910:P973" si="620">IF($F910&lt;&gt;"",$F910,"")</f>
        <v>Apprenant 898 ou 898'</v>
      </c>
      <c r="Q910" s="22" t="str">
        <f t="shared" ref="Q910:Q973" si="621">IF(AND($G910&lt;&gt;"",$H910&lt;&gt;""),$H910-$G910,"")</f>
        <v/>
      </c>
      <c r="R910" s="22" t="str">
        <f t="shared" ref="R910:R973" si="622">IF(AND($G910&lt;&gt;"",$I910&lt;&gt;""),$I910-$G910,"")</f>
        <v/>
      </c>
      <c r="S910" s="22" t="str">
        <f t="shared" ref="S910:S973" si="623">IF(AND($H910&lt;&gt;"",$I910&lt;&gt;""),$I910-$H910,"")</f>
        <v/>
      </c>
      <c r="T910" s="22" t="str">
        <f t="shared" ref="T910:T973" si="624">IF($J910&lt;&gt;"",$J910,"")</f>
        <v/>
      </c>
      <c r="V910" s="21" t="str">
        <f t="shared" ref="V910:V973" si="625">IF($A910&lt;&gt;"",$A910,"")</f>
        <v>Apprenant 898</v>
      </c>
      <c r="W910" s="22" t="str">
        <f>IF(AND(OR('Choix pédagogiques'!$C$3=1,'Choix pédagogiques'!$C$3=2),$BM910=1),B910,IF(AND('Choix pédagogiques'!$C$3=3,$BO910=1),B910,""))</f>
        <v/>
      </c>
      <c r="X910" s="22" t="str">
        <f>IF(AND(OR('Choix pédagogiques'!$C$3=1,'Choix pédagogiques'!$C$3=2),$BM910=1),C910,IF(AND('Choix pédagogiques'!$C$3=3,$BO910=1),C910,""))</f>
        <v/>
      </c>
      <c r="Y910" s="22" t="str">
        <f>IF(AND(OR('Choix pédagogiques'!$C$3=1,'Choix pédagogiques'!$C$3=2),$BM910=1),D910,IF(AND('Choix pédagogiques'!$C$3=3,$BO910=1),D910,""))</f>
        <v/>
      </c>
      <c r="Z910" s="22" t="str">
        <f t="shared" ref="Z910:Z973" si="626">IF($E910&lt;&gt;"",$E910,"")</f>
        <v/>
      </c>
      <c r="AA910" s="21" t="str">
        <f t="shared" ref="AA910:AA973" si="627">IF($F910&lt;&gt;"",$F910,"")</f>
        <v>Apprenant 898 ou 898'</v>
      </c>
      <c r="AB910" s="22" t="str">
        <f>IF(AND(OR('Choix pédagogiques'!$C$3=1,'Choix pédagogiques'!$C$3=2),$BN910=1),G910,IF(AND('Choix pédagogiques'!$C$3=3,$BO910=1),G910,""))</f>
        <v/>
      </c>
      <c r="AC910" s="22" t="str">
        <f>IF(AND(OR('Choix pédagogiques'!$C$3=1,'Choix pédagogiques'!$C$3=2),$BN910=1),H910,IF(AND('Choix pédagogiques'!$C$3=3,$BO910=1),H910,""))</f>
        <v/>
      </c>
      <c r="AD910" s="22" t="str">
        <f>IF(AND(OR('Choix pédagogiques'!$C$3=1,'Choix pédagogiques'!$C$3=2),$BN910=1),I910,IF(AND('Choix pédagogiques'!$C$3=3,$BO910=1),I910,""))</f>
        <v/>
      </c>
      <c r="AE910" s="22" t="str">
        <f t="shared" ref="AE910:AE973" si="628">IF($J910&lt;&gt;"",$J910,"")</f>
        <v/>
      </c>
      <c r="AF910" s="21" t="str">
        <f t="shared" ref="AF910:AF973" si="629">IF($A910&lt;&gt;"",$A910,"")</f>
        <v>Apprenant 898</v>
      </c>
      <c r="AG910" s="22" t="str">
        <f t="shared" si="603"/>
        <v/>
      </c>
      <c r="AH910" s="22" t="str">
        <f t="shared" si="604"/>
        <v/>
      </c>
      <c r="AI910" s="22" t="str">
        <f t="shared" si="605"/>
        <v/>
      </c>
      <c r="AJ910" s="22" t="str">
        <f t="shared" ref="AJ910:AJ973" si="630">IF($E910&lt;&gt;"",$E910,"")</f>
        <v/>
      </c>
      <c r="AK910" s="21" t="str">
        <f t="shared" ref="AK910:AK973" si="631">IF($F910&lt;&gt;"",$F910,"")</f>
        <v>Apprenant 898 ou 898'</v>
      </c>
      <c r="AL910" s="22" t="str">
        <f t="shared" si="606"/>
        <v/>
      </c>
      <c r="AM910" s="22" t="str">
        <f t="shared" si="607"/>
        <v/>
      </c>
      <c r="AN910" s="22" t="str">
        <f t="shared" si="608"/>
        <v/>
      </c>
      <c r="AO910" s="22" t="str">
        <f t="shared" ref="AO910:AO973" si="632">IF($J910&lt;&gt;"",$J910,"")</f>
        <v/>
      </c>
      <c r="AQ910" s="21" t="str">
        <f t="shared" ref="AQ910:AQ973" si="633">IF($A910&lt;&gt;"",$A910,"")</f>
        <v>Apprenant 898</v>
      </c>
      <c r="AR910" s="49" t="str">
        <f>IF(AND('Choix pédagogiques'!$C$4&lt;&gt;"?",'Choix pédagogiques'!$C$5&lt;&gt;"?",W910&lt;&gt;""),(W910-'Choix pédagogiques'!$C$4)/('Choix pédagogiques'!$C$5-'Choix pédagogiques'!$C$4),"")</f>
        <v/>
      </c>
      <c r="AS910" s="49" t="str">
        <f>IF(AND('Choix pédagogiques'!$C$4&lt;&gt;"?",'Choix pédagogiques'!$C$5&lt;&gt;"?",X910&lt;&gt;""),(X910-'Choix pédagogiques'!$C$4)/('Choix pédagogiques'!$C$5-'Choix pédagogiques'!$C$4),"")</f>
        <v/>
      </c>
      <c r="AT910" s="49" t="str">
        <f>IF(AND('Choix pédagogiques'!$C$4&lt;&gt;"?",'Choix pédagogiques'!$C$5&lt;&gt;"?",Y910&lt;&gt;""),(Y910-'Choix pédagogiques'!$C$4)/('Choix pédagogiques'!$C$5-'Choix pédagogiques'!$C$4),"")</f>
        <v/>
      </c>
      <c r="AU910" s="22" t="str">
        <f t="shared" ref="AU910:AU973" si="634">IF($E910&lt;&gt;"",$E910,"")</f>
        <v/>
      </c>
      <c r="AV910" s="21" t="str">
        <f t="shared" ref="AV910:AV973" si="635">IF($F910&lt;&gt;"",$F910,"")</f>
        <v>Apprenant 898 ou 898'</v>
      </c>
      <c r="AW910" s="49" t="str">
        <f>IF(AND('Choix pédagogiques'!$C$4&lt;&gt;"?",'Choix pédagogiques'!$C$5&lt;&gt;"?",AB910&lt;&gt;""),(AB910-'Choix pédagogiques'!$C$4)/('Choix pédagogiques'!$C$5-'Choix pédagogiques'!$C$4),"")</f>
        <v/>
      </c>
      <c r="AX910" s="49" t="str">
        <f>IF(AND('Choix pédagogiques'!$C$4&lt;&gt;"?",'Choix pédagogiques'!$C$5&lt;&gt;"?",AC910&lt;&gt;""),(AC910-'Choix pédagogiques'!$C$4)/('Choix pédagogiques'!$C$5-'Choix pédagogiques'!$C$4),"")</f>
        <v/>
      </c>
      <c r="AY910" s="49" t="str">
        <f>IF(AND('Choix pédagogiques'!$C$4&lt;&gt;"?",'Choix pédagogiques'!$C$5&lt;&gt;"?",AD910&lt;&gt;""),(AD910-'Choix pédagogiques'!$C$4)/('Choix pédagogiques'!$C$5-'Choix pédagogiques'!$C$4),"")</f>
        <v/>
      </c>
      <c r="AZ910" s="22" t="str">
        <f t="shared" ref="AZ910:AZ973" si="636">IF($J910&lt;&gt;"",$J910,"")</f>
        <v/>
      </c>
      <c r="BA910" s="21" t="str">
        <f t="shared" ref="BA910:BA973" si="637">IF($A910&lt;&gt;"",$A910,"")</f>
        <v>Apprenant 898</v>
      </c>
      <c r="BB910" s="49" t="str">
        <f t="shared" si="609"/>
        <v/>
      </c>
      <c r="BC910" s="49" t="str">
        <f t="shared" si="610"/>
        <v/>
      </c>
      <c r="BD910" s="49" t="str">
        <f t="shared" si="611"/>
        <v/>
      </c>
      <c r="BE910" s="22" t="str">
        <f t="shared" ref="BE910:BE973" si="638">IF($E910&lt;&gt;"",$E910,"")</f>
        <v/>
      </c>
      <c r="BF910" s="21" t="str">
        <f t="shared" ref="BF910:BF973" si="639">IF($F910&lt;&gt;"",$F910,"")</f>
        <v>Apprenant 898 ou 898'</v>
      </c>
      <c r="BG910" s="49" t="str">
        <f t="shared" si="612"/>
        <v/>
      </c>
      <c r="BH910" s="49" t="str">
        <f t="shared" si="613"/>
        <v/>
      </c>
      <c r="BI910" s="49" t="str">
        <f t="shared" si="614"/>
        <v/>
      </c>
      <c r="BJ910" s="22" t="str">
        <f t="shared" ref="BJ910:BJ973" si="640">IF($J910&lt;&gt;"",$J910,"")</f>
        <v/>
      </c>
      <c r="BL910" s="21"/>
      <c r="BM910" s="21" t="str">
        <f>IF(OR(COUNT(B910:D1909)=0,AND('Choix pédagogiques'!$C$3&lt;&gt;1,'Choix pédagogiques'!$C$3&lt;&gt;2)),"",IF(AND(OR('Choix pédagogiques'!$C$3=1,'Choix pédagogiques'!$C$3=2),$B910&lt;&gt;"",$C910&lt;&gt;"",$D910&lt;&gt;""),1,0))</f>
        <v/>
      </c>
      <c r="BN910" s="21" t="str">
        <f>IF(OR(COUNT(G910:I1909)=0,AND('Choix pédagogiques'!$C$3&lt;&gt;1,'Choix pédagogiques'!$C$3&lt;&gt;2)),"",IF(AND(OR('Choix pédagogiques'!$C$3=1,'Choix pédagogiques'!$C$3=2),AND($G910&lt;&gt;"",$H910&lt;&gt;"",$I910&lt;&gt;"")),1,0))</f>
        <v/>
      </c>
      <c r="BO910" s="21" t="str">
        <f>IF(OR(COUNT(B910:D1909)=0,COUNT(G910:I1909)=0,'Choix pédagogiques'!C$3&lt;&gt;3),"",IF(AND('Choix pédagogiques'!$C$3=3,$B910&lt;&gt;"",$C910&lt;&gt;"",$D910&lt;&gt;"",$G910&lt;&gt;"",$H910&lt;&gt;"",$I910&lt;&gt;""),1,0))</f>
        <v/>
      </c>
      <c r="BR910" s="21">
        <v>956</v>
      </c>
      <c r="BS910" s="21">
        <v>1427</v>
      </c>
      <c r="BT910"/>
    </row>
    <row r="911" spans="1:72" s="23" customFormat="1" ht="18" customHeight="1" x14ac:dyDescent="0.3">
      <c r="A911" s="35" t="s">
        <v>901</v>
      </c>
      <c r="B911" s="37"/>
      <c r="C911" s="37"/>
      <c r="D911" s="37"/>
      <c r="E911" s="37"/>
      <c r="F911" s="35" t="s">
        <v>1909</v>
      </c>
      <c r="G911" s="37"/>
      <c r="H911" s="37"/>
      <c r="I911" s="37"/>
      <c r="J911" s="37"/>
      <c r="K911" s="21" t="str">
        <f t="shared" si="615"/>
        <v>Apprenant 899</v>
      </c>
      <c r="L911" s="22" t="str">
        <f t="shared" si="616"/>
        <v/>
      </c>
      <c r="M911" s="22" t="str">
        <f t="shared" si="617"/>
        <v/>
      </c>
      <c r="N911" s="22" t="str">
        <f t="shared" si="618"/>
        <v/>
      </c>
      <c r="O911" s="22" t="str">
        <f t="shared" si="619"/>
        <v/>
      </c>
      <c r="P911" s="21" t="str">
        <f t="shared" si="620"/>
        <v>Apprenant 899 ou 899'</v>
      </c>
      <c r="Q911" s="22" t="str">
        <f t="shared" si="621"/>
        <v/>
      </c>
      <c r="R911" s="22" t="str">
        <f t="shared" si="622"/>
        <v/>
      </c>
      <c r="S911" s="22" t="str">
        <f t="shared" si="623"/>
        <v/>
      </c>
      <c r="T911" s="22" t="str">
        <f t="shared" si="624"/>
        <v/>
      </c>
      <c r="V911" s="21" t="str">
        <f t="shared" si="625"/>
        <v>Apprenant 899</v>
      </c>
      <c r="W911" s="22" t="str">
        <f>IF(AND(OR('Choix pédagogiques'!$C$3=1,'Choix pédagogiques'!$C$3=2),$BM911=1),B911,IF(AND('Choix pédagogiques'!$C$3=3,$BO911=1),B911,""))</f>
        <v/>
      </c>
      <c r="X911" s="22" t="str">
        <f>IF(AND(OR('Choix pédagogiques'!$C$3=1,'Choix pédagogiques'!$C$3=2),$BM911=1),C911,IF(AND('Choix pédagogiques'!$C$3=3,$BO911=1),C911,""))</f>
        <v/>
      </c>
      <c r="Y911" s="22" t="str">
        <f>IF(AND(OR('Choix pédagogiques'!$C$3=1,'Choix pédagogiques'!$C$3=2),$BM911=1),D911,IF(AND('Choix pédagogiques'!$C$3=3,$BO911=1),D911,""))</f>
        <v/>
      </c>
      <c r="Z911" s="22" t="str">
        <f t="shared" si="626"/>
        <v/>
      </c>
      <c r="AA911" s="21" t="str">
        <f t="shared" si="627"/>
        <v>Apprenant 899 ou 899'</v>
      </c>
      <c r="AB911" s="22" t="str">
        <f>IF(AND(OR('Choix pédagogiques'!$C$3=1,'Choix pédagogiques'!$C$3=2),$BN911=1),G911,IF(AND('Choix pédagogiques'!$C$3=3,$BO911=1),G911,""))</f>
        <v/>
      </c>
      <c r="AC911" s="22" t="str">
        <f>IF(AND(OR('Choix pédagogiques'!$C$3=1,'Choix pédagogiques'!$C$3=2),$BN911=1),H911,IF(AND('Choix pédagogiques'!$C$3=3,$BO911=1),H911,""))</f>
        <v/>
      </c>
      <c r="AD911" s="22" t="str">
        <f>IF(AND(OR('Choix pédagogiques'!$C$3=1,'Choix pédagogiques'!$C$3=2),$BN911=1),I911,IF(AND('Choix pédagogiques'!$C$3=3,$BO911=1),I911,""))</f>
        <v/>
      </c>
      <c r="AE911" s="22" t="str">
        <f t="shared" si="628"/>
        <v/>
      </c>
      <c r="AF911" s="21" t="str">
        <f t="shared" si="629"/>
        <v>Apprenant 899</v>
      </c>
      <c r="AG911" s="22" t="str">
        <f t="shared" si="603"/>
        <v/>
      </c>
      <c r="AH911" s="22" t="str">
        <f t="shared" si="604"/>
        <v/>
      </c>
      <c r="AI911" s="22" t="str">
        <f t="shared" si="605"/>
        <v/>
      </c>
      <c r="AJ911" s="22" t="str">
        <f t="shared" si="630"/>
        <v/>
      </c>
      <c r="AK911" s="21" t="str">
        <f t="shared" si="631"/>
        <v>Apprenant 899 ou 899'</v>
      </c>
      <c r="AL911" s="22" t="str">
        <f t="shared" si="606"/>
        <v/>
      </c>
      <c r="AM911" s="22" t="str">
        <f t="shared" si="607"/>
        <v/>
      </c>
      <c r="AN911" s="22" t="str">
        <f t="shared" si="608"/>
        <v/>
      </c>
      <c r="AO911" s="22" t="str">
        <f t="shared" si="632"/>
        <v/>
      </c>
      <c r="AQ911" s="21" t="str">
        <f t="shared" si="633"/>
        <v>Apprenant 899</v>
      </c>
      <c r="AR911" s="49" t="str">
        <f>IF(AND('Choix pédagogiques'!$C$4&lt;&gt;"?",'Choix pédagogiques'!$C$5&lt;&gt;"?",W911&lt;&gt;""),(W911-'Choix pédagogiques'!$C$4)/('Choix pédagogiques'!$C$5-'Choix pédagogiques'!$C$4),"")</f>
        <v/>
      </c>
      <c r="AS911" s="49" t="str">
        <f>IF(AND('Choix pédagogiques'!$C$4&lt;&gt;"?",'Choix pédagogiques'!$C$5&lt;&gt;"?",X911&lt;&gt;""),(X911-'Choix pédagogiques'!$C$4)/('Choix pédagogiques'!$C$5-'Choix pédagogiques'!$C$4),"")</f>
        <v/>
      </c>
      <c r="AT911" s="49" t="str">
        <f>IF(AND('Choix pédagogiques'!$C$4&lt;&gt;"?",'Choix pédagogiques'!$C$5&lt;&gt;"?",Y911&lt;&gt;""),(Y911-'Choix pédagogiques'!$C$4)/('Choix pédagogiques'!$C$5-'Choix pédagogiques'!$C$4),"")</f>
        <v/>
      </c>
      <c r="AU911" s="22" t="str">
        <f t="shared" si="634"/>
        <v/>
      </c>
      <c r="AV911" s="21" t="str">
        <f t="shared" si="635"/>
        <v>Apprenant 899 ou 899'</v>
      </c>
      <c r="AW911" s="49" t="str">
        <f>IF(AND('Choix pédagogiques'!$C$4&lt;&gt;"?",'Choix pédagogiques'!$C$5&lt;&gt;"?",AB911&lt;&gt;""),(AB911-'Choix pédagogiques'!$C$4)/('Choix pédagogiques'!$C$5-'Choix pédagogiques'!$C$4),"")</f>
        <v/>
      </c>
      <c r="AX911" s="49" t="str">
        <f>IF(AND('Choix pédagogiques'!$C$4&lt;&gt;"?",'Choix pédagogiques'!$C$5&lt;&gt;"?",AC911&lt;&gt;""),(AC911-'Choix pédagogiques'!$C$4)/('Choix pédagogiques'!$C$5-'Choix pédagogiques'!$C$4),"")</f>
        <v/>
      </c>
      <c r="AY911" s="49" t="str">
        <f>IF(AND('Choix pédagogiques'!$C$4&lt;&gt;"?",'Choix pédagogiques'!$C$5&lt;&gt;"?",AD911&lt;&gt;""),(AD911-'Choix pédagogiques'!$C$4)/('Choix pédagogiques'!$C$5-'Choix pédagogiques'!$C$4),"")</f>
        <v/>
      </c>
      <c r="AZ911" s="22" t="str">
        <f t="shared" si="636"/>
        <v/>
      </c>
      <c r="BA911" s="21" t="str">
        <f t="shared" si="637"/>
        <v>Apprenant 899</v>
      </c>
      <c r="BB911" s="49" t="str">
        <f t="shared" si="609"/>
        <v/>
      </c>
      <c r="BC911" s="49" t="str">
        <f t="shared" si="610"/>
        <v/>
      </c>
      <c r="BD911" s="49" t="str">
        <f t="shared" si="611"/>
        <v/>
      </c>
      <c r="BE911" s="22" t="str">
        <f t="shared" si="638"/>
        <v/>
      </c>
      <c r="BF911" s="21" t="str">
        <f t="shared" si="639"/>
        <v>Apprenant 899 ou 899'</v>
      </c>
      <c r="BG911" s="49" t="str">
        <f t="shared" si="612"/>
        <v/>
      </c>
      <c r="BH911" s="49" t="str">
        <f t="shared" si="613"/>
        <v/>
      </c>
      <c r="BI911" s="49" t="str">
        <f t="shared" si="614"/>
        <v/>
      </c>
      <c r="BJ911" s="22" t="str">
        <f t="shared" si="640"/>
        <v/>
      </c>
      <c r="BL911" s="21"/>
      <c r="BM911" s="21" t="str">
        <f>IF(OR(COUNT(B911:D1910)=0,AND('Choix pédagogiques'!$C$3&lt;&gt;1,'Choix pédagogiques'!$C$3&lt;&gt;2)),"",IF(AND(OR('Choix pédagogiques'!$C$3=1,'Choix pédagogiques'!$C$3=2),$B911&lt;&gt;"",$C911&lt;&gt;"",$D911&lt;&gt;""),1,0))</f>
        <v/>
      </c>
      <c r="BN911" s="21" t="str">
        <f>IF(OR(COUNT(G911:I1910)=0,AND('Choix pédagogiques'!$C$3&lt;&gt;1,'Choix pédagogiques'!$C$3&lt;&gt;2)),"",IF(AND(OR('Choix pédagogiques'!$C$3=1,'Choix pédagogiques'!$C$3=2),AND($G911&lt;&gt;"",$H911&lt;&gt;"",$I911&lt;&gt;"")),1,0))</f>
        <v/>
      </c>
      <c r="BO911" s="21" t="str">
        <f>IF(OR(COUNT(B911:D1910)=0,COUNT(G911:I1910)=0,'Choix pédagogiques'!C$3&lt;&gt;3),"",IF(AND('Choix pédagogiques'!$C$3=3,$B911&lt;&gt;"",$C911&lt;&gt;"",$D911&lt;&gt;"",$G911&lt;&gt;"",$H911&lt;&gt;"",$I911&lt;&gt;""),1,0))</f>
        <v/>
      </c>
      <c r="BR911" s="21">
        <v>765</v>
      </c>
      <c r="BS911" s="21">
        <v>1063</v>
      </c>
      <c r="BT911"/>
    </row>
    <row r="912" spans="1:72" s="23" customFormat="1" ht="18" customHeight="1" x14ac:dyDescent="0.3">
      <c r="A912" s="35" t="s">
        <v>902</v>
      </c>
      <c r="B912" s="37"/>
      <c r="C912" s="37"/>
      <c r="D912" s="37"/>
      <c r="E912" s="37"/>
      <c r="F912" s="35" t="s">
        <v>1910</v>
      </c>
      <c r="G912" s="37"/>
      <c r="H912" s="37"/>
      <c r="I912" s="37"/>
      <c r="J912" s="37"/>
      <c r="K912" s="21" t="str">
        <f t="shared" si="615"/>
        <v>Apprenant 900</v>
      </c>
      <c r="L912" s="22" t="str">
        <f t="shared" si="616"/>
        <v/>
      </c>
      <c r="M912" s="22" t="str">
        <f t="shared" si="617"/>
        <v/>
      </c>
      <c r="N912" s="22" t="str">
        <f t="shared" si="618"/>
        <v/>
      </c>
      <c r="O912" s="22" t="str">
        <f t="shared" si="619"/>
        <v/>
      </c>
      <c r="P912" s="21" t="str">
        <f t="shared" si="620"/>
        <v>Apprenant 900 ou 900'</v>
      </c>
      <c r="Q912" s="22" t="str">
        <f t="shared" si="621"/>
        <v/>
      </c>
      <c r="R912" s="22" t="str">
        <f t="shared" si="622"/>
        <v/>
      </c>
      <c r="S912" s="22" t="str">
        <f t="shared" si="623"/>
        <v/>
      </c>
      <c r="T912" s="22" t="str">
        <f t="shared" si="624"/>
        <v/>
      </c>
      <c r="V912" s="21" t="str">
        <f t="shared" si="625"/>
        <v>Apprenant 900</v>
      </c>
      <c r="W912" s="22" t="str">
        <f>IF(AND(OR('Choix pédagogiques'!$C$3=1,'Choix pédagogiques'!$C$3=2),$BM912=1),B912,IF(AND('Choix pédagogiques'!$C$3=3,$BO912=1),B912,""))</f>
        <v/>
      </c>
      <c r="X912" s="22" t="str">
        <f>IF(AND(OR('Choix pédagogiques'!$C$3=1,'Choix pédagogiques'!$C$3=2),$BM912=1),C912,IF(AND('Choix pédagogiques'!$C$3=3,$BO912=1),C912,""))</f>
        <v/>
      </c>
      <c r="Y912" s="22" t="str">
        <f>IF(AND(OR('Choix pédagogiques'!$C$3=1,'Choix pédagogiques'!$C$3=2),$BM912=1),D912,IF(AND('Choix pédagogiques'!$C$3=3,$BO912=1),D912,""))</f>
        <v/>
      </c>
      <c r="Z912" s="22" t="str">
        <f t="shared" si="626"/>
        <v/>
      </c>
      <c r="AA912" s="21" t="str">
        <f t="shared" si="627"/>
        <v>Apprenant 900 ou 900'</v>
      </c>
      <c r="AB912" s="22" t="str">
        <f>IF(AND(OR('Choix pédagogiques'!$C$3=1,'Choix pédagogiques'!$C$3=2),$BN912=1),G912,IF(AND('Choix pédagogiques'!$C$3=3,$BO912=1),G912,""))</f>
        <v/>
      </c>
      <c r="AC912" s="22" t="str">
        <f>IF(AND(OR('Choix pédagogiques'!$C$3=1,'Choix pédagogiques'!$C$3=2),$BN912=1),H912,IF(AND('Choix pédagogiques'!$C$3=3,$BO912=1),H912,""))</f>
        <v/>
      </c>
      <c r="AD912" s="22" t="str">
        <f>IF(AND(OR('Choix pédagogiques'!$C$3=1,'Choix pédagogiques'!$C$3=2),$BN912=1),I912,IF(AND('Choix pédagogiques'!$C$3=3,$BO912=1),I912,""))</f>
        <v/>
      </c>
      <c r="AE912" s="22" t="str">
        <f t="shared" si="628"/>
        <v/>
      </c>
      <c r="AF912" s="21" t="str">
        <f t="shared" si="629"/>
        <v>Apprenant 900</v>
      </c>
      <c r="AG912" s="22" t="str">
        <f t="shared" si="603"/>
        <v/>
      </c>
      <c r="AH912" s="22" t="str">
        <f t="shared" si="604"/>
        <v/>
      </c>
      <c r="AI912" s="22" t="str">
        <f t="shared" si="605"/>
        <v/>
      </c>
      <c r="AJ912" s="22" t="str">
        <f t="shared" si="630"/>
        <v/>
      </c>
      <c r="AK912" s="21" t="str">
        <f t="shared" si="631"/>
        <v>Apprenant 900 ou 900'</v>
      </c>
      <c r="AL912" s="22" t="str">
        <f t="shared" si="606"/>
        <v/>
      </c>
      <c r="AM912" s="22" t="str">
        <f t="shared" si="607"/>
        <v/>
      </c>
      <c r="AN912" s="22" t="str">
        <f t="shared" si="608"/>
        <v/>
      </c>
      <c r="AO912" s="22" t="str">
        <f t="shared" si="632"/>
        <v/>
      </c>
      <c r="AQ912" s="21" t="str">
        <f t="shared" si="633"/>
        <v>Apprenant 900</v>
      </c>
      <c r="AR912" s="49" t="str">
        <f>IF(AND('Choix pédagogiques'!$C$4&lt;&gt;"?",'Choix pédagogiques'!$C$5&lt;&gt;"?",W912&lt;&gt;""),(W912-'Choix pédagogiques'!$C$4)/('Choix pédagogiques'!$C$5-'Choix pédagogiques'!$C$4),"")</f>
        <v/>
      </c>
      <c r="AS912" s="49" t="str">
        <f>IF(AND('Choix pédagogiques'!$C$4&lt;&gt;"?",'Choix pédagogiques'!$C$5&lt;&gt;"?",X912&lt;&gt;""),(X912-'Choix pédagogiques'!$C$4)/('Choix pédagogiques'!$C$5-'Choix pédagogiques'!$C$4),"")</f>
        <v/>
      </c>
      <c r="AT912" s="49" t="str">
        <f>IF(AND('Choix pédagogiques'!$C$4&lt;&gt;"?",'Choix pédagogiques'!$C$5&lt;&gt;"?",Y912&lt;&gt;""),(Y912-'Choix pédagogiques'!$C$4)/('Choix pédagogiques'!$C$5-'Choix pédagogiques'!$C$4),"")</f>
        <v/>
      </c>
      <c r="AU912" s="22" t="str">
        <f t="shared" si="634"/>
        <v/>
      </c>
      <c r="AV912" s="21" t="str">
        <f t="shared" si="635"/>
        <v>Apprenant 900 ou 900'</v>
      </c>
      <c r="AW912" s="49" t="str">
        <f>IF(AND('Choix pédagogiques'!$C$4&lt;&gt;"?",'Choix pédagogiques'!$C$5&lt;&gt;"?",AB912&lt;&gt;""),(AB912-'Choix pédagogiques'!$C$4)/('Choix pédagogiques'!$C$5-'Choix pédagogiques'!$C$4),"")</f>
        <v/>
      </c>
      <c r="AX912" s="49" t="str">
        <f>IF(AND('Choix pédagogiques'!$C$4&lt;&gt;"?",'Choix pédagogiques'!$C$5&lt;&gt;"?",AC912&lt;&gt;""),(AC912-'Choix pédagogiques'!$C$4)/('Choix pédagogiques'!$C$5-'Choix pédagogiques'!$C$4),"")</f>
        <v/>
      </c>
      <c r="AY912" s="49" t="str">
        <f>IF(AND('Choix pédagogiques'!$C$4&lt;&gt;"?",'Choix pédagogiques'!$C$5&lt;&gt;"?",AD912&lt;&gt;""),(AD912-'Choix pédagogiques'!$C$4)/('Choix pédagogiques'!$C$5-'Choix pédagogiques'!$C$4),"")</f>
        <v/>
      </c>
      <c r="AZ912" s="22" t="str">
        <f t="shared" si="636"/>
        <v/>
      </c>
      <c r="BA912" s="21" t="str">
        <f t="shared" si="637"/>
        <v>Apprenant 900</v>
      </c>
      <c r="BB912" s="49" t="str">
        <f t="shared" si="609"/>
        <v/>
      </c>
      <c r="BC912" s="49" t="str">
        <f t="shared" si="610"/>
        <v/>
      </c>
      <c r="BD912" s="49" t="str">
        <f t="shared" si="611"/>
        <v/>
      </c>
      <c r="BE912" s="22" t="str">
        <f t="shared" si="638"/>
        <v/>
      </c>
      <c r="BF912" s="21" t="str">
        <f t="shared" si="639"/>
        <v>Apprenant 900 ou 900'</v>
      </c>
      <c r="BG912" s="49" t="str">
        <f t="shared" si="612"/>
        <v/>
      </c>
      <c r="BH912" s="49" t="str">
        <f t="shared" si="613"/>
        <v/>
      </c>
      <c r="BI912" s="49" t="str">
        <f t="shared" si="614"/>
        <v/>
      </c>
      <c r="BJ912" s="22" t="str">
        <f t="shared" si="640"/>
        <v/>
      </c>
      <c r="BL912" s="21"/>
      <c r="BM912" s="21" t="str">
        <f>IF(OR(COUNT(B912:D1911)=0,AND('Choix pédagogiques'!$C$3&lt;&gt;1,'Choix pédagogiques'!$C$3&lt;&gt;2)),"",IF(AND(OR('Choix pédagogiques'!$C$3=1,'Choix pédagogiques'!$C$3=2),$B912&lt;&gt;"",$C912&lt;&gt;"",$D912&lt;&gt;""),1,0))</f>
        <v/>
      </c>
      <c r="BN912" s="21" t="str">
        <f>IF(OR(COUNT(G912:I1911)=0,AND('Choix pédagogiques'!$C$3&lt;&gt;1,'Choix pédagogiques'!$C$3&lt;&gt;2)),"",IF(AND(OR('Choix pédagogiques'!$C$3=1,'Choix pédagogiques'!$C$3=2),AND($G912&lt;&gt;"",$H912&lt;&gt;"",$I912&lt;&gt;"")),1,0))</f>
        <v/>
      </c>
      <c r="BO912" s="21" t="str">
        <f>IF(OR(COUNT(B912:D1911)=0,COUNT(G912:I1911)=0,'Choix pédagogiques'!C$3&lt;&gt;3),"",IF(AND('Choix pédagogiques'!$C$3=3,$B912&lt;&gt;"",$C912&lt;&gt;"",$D912&lt;&gt;"",$G912&lt;&gt;"",$H912&lt;&gt;"",$I912&lt;&gt;""),1,0))</f>
        <v/>
      </c>
      <c r="BR912" s="21">
        <v>681</v>
      </c>
      <c r="BS912" s="21">
        <v>1011</v>
      </c>
      <c r="BT912"/>
    </row>
    <row r="913" spans="1:72" s="23" customFormat="1" ht="18" customHeight="1" x14ac:dyDescent="0.3">
      <c r="A913" s="35" t="s">
        <v>903</v>
      </c>
      <c r="B913" s="37"/>
      <c r="C913" s="37"/>
      <c r="D913" s="37"/>
      <c r="E913" s="37"/>
      <c r="F913" s="35" t="s">
        <v>1911</v>
      </c>
      <c r="G913" s="37"/>
      <c r="H913" s="37"/>
      <c r="I913" s="37"/>
      <c r="J913" s="37"/>
      <c r="K913" s="21" t="str">
        <f t="shared" si="615"/>
        <v>Apprenant 901</v>
      </c>
      <c r="L913" s="22" t="str">
        <f t="shared" si="616"/>
        <v/>
      </c>
      <c r="M913" s="22" t="str">
        <f t="shared" si="617"/>
        <v/>
      </c>
      <c r="N913" s="22" t="str">
        <f t="shared" si="618"/>
        <v/>
      </c>
      <c r="O913" s="22" t="str">
        <f t="shared" si="619"/>
        <v/>
      </c>
      <c r="P913" s="21" t="str">
        <f t="shared" si="620"/>
        <v>Apprenant 901 ou 901'</v>
      </c>
      <c r="Q913" s="22" t="str">
        <f t="shared" si="621"/>
        <v/>
      </c>
      <c r="R913" s="22" t="str">
        <f t="shared" si="622"/>
        <v/>
      </c>
      <c r="S913" s="22" t="str">
        <f t="shared" si="623"/>
        <v/>
      </c>
      <c r="T913" s="22" t="str">
        <f t="shared" si="624"/>
        <v/>
      </c>
      <c r="V913" s="21" t="str">
        <f t="shared" si="625"/>
        <v>Apprenant 901</v>
      </c>
      <c r="W913" s="22" t="str">
        <f>IF(AND(OR('Choix pédagogiques'!$C$3=1,'Choix pédagogiques'!$C$3=2),$BM913=1),B913,IF(AND('Choix pédagogiques'!$C$3=3,$BO913=1),B913,""))</f>
        <v/>
      </c>
      <c r="X913" s="22" t="str">
        <f>IF(AND(OR('Choix pédagogiques'!$C$3=1,'Choix pédagogiques'!$C$3=2),$BM913=1),C913,IF(AND('Choix pédagogiques'!$C$3=3,$BO913=1),C913,""))</f>
        <v/>
      </c>
      <c r="Y913" s="22" t="str">
        <f>IF(AND(OR('Choix pédagogiques'!$C$3=1,'Choix pédagogiques'!$C$3=2),$BM913=1),D913,IF(AND('Choix pédagogiques'!$C$3=3,$BO913=1),D913,""))</f>
        <v/>
      </c>
      <c r="Z913" s="22" t="str">
        <f t="shared" si="626"/>
        <v/>
      </c>
      <c r="AA913" s="21" t="str">
        <f t="shared" si="627"/>
        <v>Apprenant 901 ou 901'</v>
      </c>
      <c r="AB913" s="22" t="str">
        <f>IF(AND(OR('Choix pédagogiques'!$C$3=1,'Choix pédagogiques'!$C$3=2),$BN913=1),G913,IF(AND('Choix pédagogiques'!$C$3=3,$BO913=1),G913,""))</f>
        <v/>
      </c>
      <c r="AC913" s="22" t="str">
        <f>IF(AND(OR('Choix pédagogiques'!$C$3=1,'Choix pédagogiques'!$C$3=2),$BN913=1),H913,IF(AND('Choix pédagogiques'!$C$3=3,$BO913=1),H913,""))</f>
        <v/>
      </c>
      <c r="AD913" s="22" t="str">
        <f>IF(AND(OR('Choix pédagogiques'!$C$3=1,'Choix pédagogiques'!$C$3=2),$BN913=1),I913,IF(AND('Choix pédagogiques'!$C$3=3,$BO913=1),I913,""))</f>
        <v/>
      </c>
      <c r="AE913" s="22" t="str">
        <f t="shared" si="628"/>
        <v/>
      </c>
      <c r="AF913" s="21" t="str">
        <f t="shared" si="629"/>
        <v>Apprenant 901</v>
      </c>
      <c r="AG913" s="22" t="str">
        <f t="shared" si="603"/>
        <v/>
      </c>
      <c r="AH913" s="22" t="str">
        <f t="shared" si="604"/>
        <v/>
      </c>
      <c r="AI913" s="22" t="str">
        <f t="shared" si="605"/>
        <v/>
      </c>
      <c r="AJ913" s="22" t="str">
        <f t="shared" si="630"/>
        <v/>
      </c>
      <c r="AK913" s="21" t="str">
        <f t="shared" si="631"/>
        <v>Apprenant 901 ou 901'</v>
      </c>
      <c r="AL913" s="22" t="str">
        <f t="shared" si="606"/>
        <v/>
      </c>
      <c r="AM913" s="22" t="str">
        <f t="shared" si="607"/>
        <v/>
      </c>
      <c r="AN913" s="22" t="str">
        <f t="shared" si="608"/>
        <v/>
      </c>
      <c r="AO913" s="22" t="str">
        <f t="shared" si="632"/>
        <v/>
      </c>
      <c r="AQ913" s="21" t="str">
        <f t="shared" si="633"/>
        <v>Apprenant 901</v>
      </c>
      <c r="AR913" s="49" t="str">
        <f>IF(AND('Choix pédagogiques'!$C$4&lt;&gt;"?",'Choix pédagogiques'!$C$5&lt;&gt;"?",W913&lt;&gt;""),(W913-'Choix pédagogiques'!$C$4)/('Choix pédagogiques'!$C$5-'Choix pédagogiques'!$C$4),"")</f>
        <v/>
      </c>
      <c r="AS913" s="49" t="str">
        <f>IF(AND('Choix pédagogiques'!$C$4&lt;&gt;"?",'Choix pédagogiques'!$C$5&lt;&gt;"?",X913&lt;&gt;""),(X913-'Choix pédagogiques'!$C$4)/('Choix pédagogiques'!$C$5-'Choix pédagogiques'!$C$4),"")</f>
        <v/>
      </c>
      <c r="AT913" s="49" t="str">
        <f>IF(AND('Choix pédagogiques'!$C$4&lt;&gt;"?",'Choix pédagogiques'!$C$5&lt;&gt;"?",Y913&lt;&gt;""),(Y913-'Choix pédagogiques'!$C$4)/('Choix pédagogiques'!$C$5-'Choix pédagogiques'!$C$4),"")</f>
        <v/>
      </c>
      <c r="AU913" s="22" t="str">
        <f t="shared" si="634"/>
        <v/>
      </c>
      <c r="AV913" s="21" t="str">
        <f t="shared" si="635"/>
        <v>Apprenant 901 ou 901'</v>
      </c>
      <c r="AW913" s="49" t="str">
        <f>IF(AND('Choix pédagogiques'!$C$4&lt;&gt;"?",'Choix pédagogiques'!$C$5&lt;&gt;"?",AB913&lt;&gt;""),(AB913-'Choix pédagogiques'!$C$4)/('Choix pédagogiques'!$C$5-'Choix pédagogiques'!$C$4),"")</f>
        <v/>
      </c>
      <c r="AX913" s="49" t="str">
        <f>IF(AND('Choix pédagogiques'!$C$4&lt;&gt;"?",'Choix pédagogiques'!$C$5&lt;&gt;"?",AC913&lt;&gt;""),(AC913-'Choix pédagogiques'!$C$4)/('Choix pédagogiques'!$C$5-'Choix pédagogiques'!$C$4),"")</f>
        <v/>
      </c>
      <c r="AY913" s="49" t="str">
        <f>IF(AND('Choix pédagogiques'!$C$4&lt;&gt;"?",'Choix pédagogiques'!$C$5&lt;&gt;"?",AD913&lt;&gt;""),(AD913-'Choix pédagogiques'!$C$4)/('Choix pédagogiques'!$C$5-'Choix pédagogiques'!$C$4),"")</f>
        <v/>
      </c>
      <c r="AZ913" s="22" t="str">
        <f t="shared" si="636"/>
        <v/>
      </c>
      <c r="BA913" s="21" t="str">
        <f t="shared" si="637"/>
        <v>Apprenant 901</v>
      </c>
      <c r="BB913" s="49" t="str">
        <f t="shared" si="609"/>
        <v/>
      </c>
      <c r="BC913" s="49" t="str">
        <f t="shared" si="610"/>
        <v/>
      </c>
      <c r="BD913" s="49" t="str">
        <f t="shared" si="611"/>
        <v/>
      </c>
      <c r="BE913" s="22" t="str">
        <f t="shared" si="638"/>
        <v/>
      </c>
      <c r="BF913" s="21" t="str">
        <f t="shared" si="639"/>
        <v>Apprenant 901 ou 901'</v>
      </c>
      <c r="BG913" s="49" t="str">
        <f t="shared" si="612"/>
        <v/>
      </c>
      <c r="BH913" s="49" t="str">
        <f t="shared" si="613"/>
        <v/>
      </c>
      <c r="BI913" s="49" t="str">
        <f t="shared" si="614"/>
        <v/>
      </c>
      <c r="BJ913" s="22" t="str">
        <f t="shared" si="640"/>
        <v/>
      </c>
      <c r="BL913" s="21"/>
      <c r="BM913" s="21" t="str">
        <f>IF(OR(COUNT(B913:D1912)=0,AND('Choix pédagogiques'!$C$3&lt;&gt;1,'Choix pédagogiques'!$C$3&lt;&gt;2)),"",IF(AND(OR('Choix pédagogiques'!$C$3=1,'Choix pédagogiques'!$C$3=2),$B913&lt;&gt;"",$C913&lt;&gt;"",$D913&lt;&gt;""),1,0))</f>
        <v/>
      </c>
      <c r="BN913" s="21" t="str">
        <f>IF(OR(COUNT(G913:I1912)=0,AND('Choix pédagogiques'!$C$3&lt;&gt;1,'Choix pédagogiques'!$C$3&lt;&gt;2)),"",IF(AND(OR('Choix pédagogiques'!$C$3=1,'Choix pédagogiques'!$C$3=2),AND($G913&lt;&gt;"",$H913&lt;&gt;"",$I913&lt;&gt;"")),1,0))</f>
        <v/>
      </c>
      <c r="BO913" s="21" t="str">
        <f>IF(OR(COUNT(B913:D1912)=0,COUNT(G913:I1912)=0,'Choix pédagogiques'!C$3&lt;&gt;3),"",IF(AND('Choix pédagogiques'!$C$3=3,$B913&lt;&gt;"",$C913&lt;&gt;"",$D913&lt;&gt;"",$G913&lt;&gt;"",$H913&lt;&gt;"",$I913&lt;&gt;""),1,0))</f>
        <v/>
      </c>
      <c r="BR913" s="21">
        <v>908</v>
      </c>
      <c r="BS913" s="21">
        <v>1983</v>
      </c>
      <c r="BT913"/>
    </row>
    <row r="914" spans="1:72" s="23" customFormat="1" ht="18" customHeight="1" x14ac:dyDescent="0.3">
      <c r="A914" s="35" t="s">
        <v>904</v>
      </c>
      <c r="B914" s="37"/>
      <c r="C914" s="37"/>
      <c r="D914" s="37"/>
      <c r="E914" s="37"/>
      <c r="F914" s="35" t="s">
        <v>1912</v>
      </c>
      <c r="G914" s="37"/>
      <c r="H914" s="37"/>
      <c r="I914" s="37"/>
      <c r="J914" s="37"/>
      <c r="K914" s="21" t="str">
        <f t="shared" si="615"/>
        <v>Apprenant 902</v>
      </c>
      <c r="L914" s="22" t="str">
        <f t="shared" si="616"/>
        <v/>
      </c>
      <c r="M914" s="22" t="str">
        <f t="shared" si="617"/>
        <v/>
      </c>
      <c r="N914" s="22" t="str">
        <f t="shared" si="618"/>
        <v/>
      </c>
      <c r="O914" s="22" t="str">
        <f t="shared" si="619"/>
        <v/>
      </c>
      <c r="P914" s="21" t="str">
        <f t="shared" si="620"/>
        <v>Apprenant 902 ou 902'</v>
      </c>
      <c r="Q914" s="22" t="str">
        <f t="shared" si="621"/>
        <v/>
      </c>
      <c r="R914" s="22" t="str">
        <f t="shared" si="622"/>
        <v/>
      </c>
      <c r="S914" s="22" t="str">
        <f t="shared" si="623"/>
        <v/>
      </c>
      <c r="T914" s="22" t="str">
        <f t="shared" si="624"/>
        <v/>
      </c>
      <c r="V914" s="21" t="str">
        <f t="shared" si="625"/>
        <v>Apprenant 902</v>
      </c>
      <c r="W914" s="22" t="str">
        <f>IF(AND(OR('Choix pédagogiques'!$C$3=1,'Choix pédagogiques'!$C$3=2),$BM914=1),B914,IF(AND('Choix pédagogiques'!$C$3=3,$BO914=1),B914,""))</f>
        <v/>
      </c>
      <c r="X914" s="22" t="str">
        <f>IF(AND(OR('Choix pédagogiques'!$C$3=1,'Choix pédagogiques'!$C$3=2),$BM914=1),C914,IF(AND('Choix pédagogiques'!$C$3=3,$BO914=1),C914,""))</f>
        <v/>
      </c>
      <c r="Y914" s="22" t="str">
        <f>IF(AND(OR('Choix pédagogiques'!$C$3=1,'Choix pédagogiques'!$C$3=2),$BM914=1),D914,IF(AND('Choix pédagogiques'!$C$3=3,$BO914=1),D914,""))</f>
        <v/>
      </c>
      <c r="Z914" s="22" t="str">
        <f t="shared" si="626"/>
        <v/>
      </c>
      <c r="AA914" s="21" t="str">
        <f t="shared" si="627"/>
        <v>Apprenant 902 ou 902'</v>
      </c>
      <c r="AB914" s="22" t="str">
        <f>IF(AND(OR('Choix pédagogiques'!$C$3=1,'Choix pédagogiques'!$C$3=2),$BN914=1),G914,IF(AND('Choix pédagogiques'!$C$3=3,$BO914=1),G914,""))</f>
        <v/>
      </c>
      <c r="AC914" s="22" t="str">
        <f>IF(AND(OR('Choix pédagogiques'!$C$3=1,'Choix pédagogiques'!$C$3=2),$BN914=1),H914,IF(AND('Choix pédagogiques'!$C$3=3,$BO914=1),H914,""))</f>
        <v/>
      </c>
      <c r="AD914" s="22" t="str">
        <f>IF(AND(OR('Choix pédagogiques'!$C$3=1,'Choix pédagogiques'!$C$3=2),$BN914=1),I914,IF(AND('Choix pédagogiques'!$C$3=3,$BO914=1),I914,""))</f>
        <v/>
      </c>
      <c r="AE914" s="22" t="str">
        <f t="shared" si="628"/>
        <v/>
      </c>
      <c r="AF914" s="21" t="str">
        <f t="shared" si="629"/>
        <v>Apprenant 902</v>
      </c>
      <c r="AG914" s="22" t="str">
        <f t="shared" si="603"/>
        <v/>
      </c>
      <c r="AH914" s="22" t="str">
        <f t="shared" si="604"/>
        <v/>
      </c>
      <c r="AI914" s="22" t="str">
        <f t="shared" si="605"/>
        <v/>
      </c>
      <c r="AJ914" s="22" t="str">
        <f t="shared" si="630"/>
        <v/>
      </c>
      <c r="AK914" s="21" t="str">
        <f t="shared" si="631"/>
        <v>Apprenant 902 ou 902'</v>
      </c>
      <c r="AL914" s="22" t="str">
        <f t="shared" si="606"/>
        <v/>
      </c>
      <c r="AM914" s="22" t="str">
        <f t="shared" si="607"/>
        <v/>
      </c>
      <c r="AN914" s="22" t="str">
        <f t="shared" si="608"/>
        <v/>
      </c>
      <c r="AO914" s="22" t="str">
        <f t="shared" si="632"/>
        <v/>
      </c>
      <c r="AQ914" s="21" t="str">
        <f t="shared" si="633"/>
        <v>Apprenant 902</v>
      </c>
      <c r="AR914" s="49" t="str">
        <f>IF(AND('Choix pédagogiques'!$C$4&lt;&gt;"?",'Choix pédagogiques'!$C$5&lt;&gt;"?",W914&lt;&gt;""),(W914-'Choix pédagogiques'!$C$4)/('Choix pédagogiques'!$C$5-'Choix pédagogiques'!$C$4),"")</f>
        <v/>
      </c>
      <c r="AS914" s="49" t="str">
        <f>IF(AND('Choix pédagogiques'!$C$4&lt;&gt;"?",'Choix pédagogiques'!$C$5&lt;&gt;"?",X914&lt;&gt;""),(X914-'Choix pédagogiques'!$C$4)/('Choix pédagogiques'!$C$5-'Choix pédagogiques'!$C$4),"")</f>
        <v/>
      </c>
      <c r="AT914" s="49" t="str">
        <f>IF(AND('Choix pédagogiques'!$C$4&lt;&gt;"?",'Choix pédagogiques'!$C$5&lt;&gt;"?",Y914&lt;&gt;""),(Y914-'Choix pédagogiques'!$C$4)/('Choix pédagogiques'!$C$5-'Choix pédagogiques'!$C$4),"")</f>
        <v/>
      </c>
      <c r="AU914" s="22" t="str">
        <f t="shared" si="634"/>
        <v/>
      </c>
      <c r="AV914" s="21" t="str">
        <f t="shared" si="635"/>
        <v>Apprenant 902 ou 902'</v>
      </c>
      <c r="AW914" s="49" t="str">
        <f>IF(AND('Choix pédagogiques'!$C$4&lt;&gt;"?",'Choix pédagogiques'!$C$5&lt;&gt;"?",AB914&lt;&gt;""),(AB914-'Choix pédagogiques'!$C$4)/('Choix pédagogiques'!$C$5-'Choix pédagogiques'!$C$4),"")</f>
        <v/>
      </c>
      <c r="AX914" s="49" t="str">
        <f>IF(AND('Choix pédagogiques'!$C$4&lt;&gt;"?",'Choix pédagogiques'!$C$5&lt;&gt;"?",AC914&lt;&gt;""),(AC914-'Choix pédagogiques'!$C$4)/('Choix pédagogiques'!$C$5-'Choix pédagogiques'!$C$4),"")</f>
        <v/>
      </c>
      <c r="AY914" s="49" t="str">
        <f>IF(AND('Choix pédagogiques'!$C$4&lt;&gt;"?",'Choix pédagogiques'!$C$5&lt;&gt;"?",AD914&lt;&gt;""),(AD914-'Choix pédagogiques'!$C$4)/('Choix pédagogiques'!$C$5-'Choix pédagogiques'!$C$4),"")</f>
        <v/>
      </c>
      <c r="AZ914" s="22" t="str">
        <f t="shared" si="636"/>
        <v/>
      </c>
      <c r="BA914" s="21" t="str">
        <f t="shared" si="637"/>
        <v>Apprenant 902</v>
      </c>
      <c r="BB914" s="49" t="str">
        <f t="shared" si="609"/>
        <v/>
      </c>
      <c r="BC914" s="49" t="str">
        <f t="shared" si="610"/>
        <v/>
      </c>
      <c r="BD914" s="49" t="str">
        <f t="shared" si="611"/>
        <v/>
      </c>
      <c r="BE914" s="22" t="str">
        <f t="shared" si="638"/>
        <v/>
      </c>
      <c r="BF914" s="21" t="str">
        <f t="shared" si="639"/>
        <v>Apprenant 902 ou 902'</v>
      </c>
      <c r="BG914" s="49" t="str">
        <f t="shared" si="612"/>
        <v/>
      </c>
      <c r="BH914" s="49" t="str">
        <f t="shared" si="613"/>
        <v/>
      </c>
      <c r="BI914" s="49" t="str">
        <f t="shared" si="614"/>
        <v/>
      </c>
      <c r="BJ914" s="22" t="str">
        <f t="shared" si="640"/>
        <v/>
      </c>
      <c r="BL914" s="21"/>
      <c r="BM914" s="21" t="str">
        <f>IF(OR(COUNT(B914:D1913)=0,AND('Choix pédagogiques'!$C$3&lt;&gt;1,'Choix pédagogiques'!$C$3&lt;&gt;2)),"",IF(AND(OR('Choix pédagogiques'!$C$3=1,'Choix pédagogiques'!$C$3=2),$B914&lt;&gt;"",$C914&lt;&gt;"",$D914&lt;&gt;""),1,0))</f>
        <v/>
      </c>
      <c r="BN914" s="21" t="str">
        <f>IF(OR(COUNT(G914:I1913)=0,AND('Choix pédagogiques'!$C$3&lt;&gt;1,'Choix pédagogiques'!$C$3&lt;&gt;2)),"",IF(AND(OR('Choix pédagogiques'!$C$3=1,'Choix pédagogiques'!$C$3=2),AND($G914&lt;&gt;"",$H914&lt;&gt;"",$I914&lt;&gt;"")),1,0))</f>
        <v/>
      </c>
      <c r="BO914" s="21" t="str">
        <f>IF(OR(COUNT(B914:D1913)=0,COUNT(G914:I1913)=0,'Choix pédagogiques'!C$3&lt;&gt;3),"",IF(AND('Choix pédagogiques'!$C$3=3,$B914&lt;&gt;"",$C914&lt;&gt;"",$D914&lt;&gt;"",$G914&lt;&gt;"",$H914&lt;&gt;"",$I914&lt;&gt;""),1,0))</f>
        <v/>
      </c>
      <c r="BR914" s="21">
        <v>944</v>
      </c>
      <c r="BS914" s="21">
        <v>1905</v>
      </c>
      <c r="BT914"/>
    </row>
    <row r="915" spans="1:72" s="23" customFormat="1" ht="18" customHeight="1" x14ac:dyDescent="0.3">
      <c r="A915" s="35" t="s">
        <v>905</v>
      </c>
      <c r="B915" s="37"/>
      <c r="C915" s="37"/>
      <c r="D915" s="37"/>
      <c r="E915" s="37"/>
      <c r="F915" s="35" t="s">
        <v>1913</v>
      </c>
      <c r="G915" s="37"/>
      <c r="H915" s="37"/>
      <c r="I915" s="37"/>
      <c r="J915" s="37"/>
      <c r="K915" s="21" t="str">
        <f t="shared" si="615"/>
        <v>Apprenant 903</v>
      </c>
      <c r="L915" s="22" t="str">
        <f t="shared" si="616"/>
        <v/>
      </c>
      <c r="M915" s="22" t="str">
        <f t="shared" si="617"/>
        <v/>
      </c>
      <c r="N915" s="22" t="str">
        <f t="shared" si="618"/>
        <v/>
      </c>
      <c r="O915" s="22" t="str">
        <f t="shared" si="619"/>
        <v/>
      </c>
      <c r="P915" s="21" t="str">
        <f t="shared" si="620"/>
        <v>Apprenant 903 ou 903'</v>
      </c>
      <c r="Q915" s="22" t="str">
        <f t="shared" si="621"/>
        <v/>
      </c>
      <c r="R915" s="22" t="str">
        <f t="shared" si="622"/>
        <v/>
      </c>
      <c r="S915" s="22" t="str">
        <f t="shared" si="623"/>
        <v/>
      </c>
      <c r="T915" s="22" t="str">
        <f t="shared" si="624"/>
        <v/>
      </c>
      <c r="V915" s="21" t="str">
        <f t="shared" si="625"/>
        <v>Apprenant 903</v>
      </c>
      <c r="W915" s="22" t="str">
        <f>IF(AND(OR('Choix pédagogiques'!$C$3=1,'Choix pédagogiques'!$C$3=2),$BM915=1),B915,IF(AND('Choix pédagogiques'!$C$3=3,$BO915=1),B915,""))</f>
        <v/>
      </c>
      <c r="X915" s="22" t="str">
        <f>IF(AND(OR('Choix pédagogiques'!$C$3=1,'Choix pédagogiques'!$C$3=2),$BM915=1),C915,IF(AND('Choix pédagogiques'!$C$3=3,$BO915=1),C915,""))</f>
        <v/>
      </c>
      <c r="Y915" s="22" t="str">
        <f>IF(AND(OR('Choix pédagogiques'!$C$3=1,'Choix pédagogiques'!$C$3=2),$BM915=1),D915,IF(AND('Choix pédagogiques'!$C$3=3,$BO915=1),D915,""))</f>
        <v/>
      </c>
      <c r="Z915" s="22" t="str">
        <f t="shared" si="626"/>
        <v/>
      </c>
      <c r="AA915" s="21" t="str">
        <f t="shared" si="627"/>
        <v>Apprenant 903 ou 903'</v>
      </c>
      <c r="AB915" s="22" t="str">
        <f>IF(AND(OR('Choix pédagogiques'!$C$3=1,'Choix pédagogiques'!$C$3=2),$BN915=1),G915,IF(AND('Choix pédagogiques'!$C$3=3,$BO915=1),G915,""))</f>
        <v/>
      </c>
      <c r="AC915" s="22" t="str">
        <f>IF(AND(OR('Choix pédagogiques'!$C$3=1,'Choix pédagogiques'!$C$3=2),$BN915=1),H915,IF(AND('Choix pédagogiques'!$C$3=3,$BO915=1),H915,""))</f>
        <v/>
      </c>
      <c r="AD915" s="22" t="str">
        <f>IF(AND(OR('Choix pédagogiques'!$C$3=1,'Choix pédagogiques'!$C$3=2),$BN915=1),I915,IF(AND('Choix pédagogiques'!$C$3=3,$BO915=1),I915,""))</f>
        <v/>
      </c>
      <c r="AE915" s="22" t="str">
        <f t="shared" si="628"/>
        <v/>
      </c>
      <c r="AF915" s="21" t="str">
        <f t="shared" si="629"/>
        <v>Apprenant 903</v>
      </c>
      <c r="AG915" s="22" t="str">
        <f t="shared" si="603"/>
        <v/>
      </c>
      <c r="AH915" s="22" t="str">
        <f t="shared" si="604"/>
        <v/>
      </c>
      <c r="AI915" s="22" t="str">
        <f t="shared" si="605"/>
        <v/>
      </c>
      <c r="AJ915" s="22" t="str">
        <f t="shared" si="630"/>
        <v/>
      </c>
      <c r="AK915" s="21" t="str">
        <f t="shared" si="631"/>
        <v>Apprenant 903 ou 903'</v>
      </c>
      <c r="AL915" s="22" t="str">
        <f t="shared" si="606"/>
        <v/>
      </c>
      <c r="AM915" s="22" t="str">
        <f t="shared" si="607"/>
        <v/>
      </c>
      <c r="AN915" s="22" t="str">
        <f t="shared" si="608"/>
        <v/>
      </c>
      <c r="AO915" s="22" t="str">
        <f t="shared" si="632"/>
        <v/>
      </c>
      <c r="AQ915" s="21" t="str">
        <f t="shared" si="633"/>
        <v>Apprenant 903</v>
      </c>
      <c r="AR915" s="49" t="str">
        <f>IF(AND('Choix pédagogiques'!$C$4&lt;&gt;"?",'Choix pédagogiques'!$C$5&lt;&gt;"?",W915&lt;&gt;""),(W915-'Choix pédagogiques'!$C$4)/('Choix pédagogiques'!$C$5-'Choix pédagogiques'!$C$4),"")</f>
        <v/>
      </c>
      <c r="AS915" s="49" t="str">
        <f>IF(AND('Choix pédagogiques'!$C$4&lt;&gt;"?",'Choix pédagogiques'!$C$5&lt;&gt;"?",X915&lt;&gt;""),(X915-'Choix pédagogiques'!$C$4)/('Choix pédagogiques'!$C$5-'Choix pédagogiques'!$C$4),"")</f>
        <v/>
      </c>
      <c r="AT915" s="49" t="str">
        <f>IF(AND('Choix pédagogiques'!$C$4&lt;&gt;"?",'Choix pédagogiques'!$C$5&lt;&gt;"?",Y915&lt;&gt;""),(Y915-'Choix pédagogiques'!$C$4)/('Choix pédagogiques'!$C$5-'Choix pédagogiques'!$C$4),"")</f>
        <v/>
      </c>
      <c r="AU915" s="22" t="str">
        <f t="shared" si="634"/>
        <v/>
      </c>
      <c r="AV915" s="21" t="str">
        <f t="shared" si="635"/>
        <v>Apprenant 903 ou 903'</v>
      </c>
      <c r="AW915" s="49" t="str">
        <f>IF(AND('Choix pédagogiques'!$C$4&lt;&gt;"?",'Choix pédagogiques'!$C$5&lt;&gt;"?",AB915&lt;&gt;""),(AB915-'Choix pédagogiques'!$C$4)/('Choix pédagogiques'!$C$5-'Choix pédagogiques'!$C$4),"")</f>
        <v/>
      </c>
      <c r="AX915" s="49" t="str">
        <f>IF(AND('Choix pédagogiques'!$C$4&lt;&gt;"?",'Choix pédagogiques'!$C$5&lt;&gt;"?",AC915&lt;&gt;""),(AC915-'Choix pédagogiques'!$C$4)/('Choix pédagogiques'!$C$5-'Choix pédagogiques'!$C$4),"")</f>
        <v/>
      </c>
      <c r="AY915" s="49" t="str">
        <f>IF(AND('Choix pédagogiques'!$C$4&lt;&gt;"?",'Choix pédagogiques'!$C$5&lt;&gt;"?",AD915&lt;&gt;""),(AD915-'Choix pédagogiques'!$C$4)/('Choix pédagogiques'!$C$5-'Choix pédagogiques'!$C$4),"")</f>
        <v/>
      </c>
      <c r="AZ915" s="22" t="str">
        <f t="shared" si="636"/>
        <v/>
      </c>
      <c r="BA915" s="21" t="str">
        <f t="shared" si="637"/>
        <v>Apprenant 903</v>
      </c>
      <c r="BB915" s="49" t="str">
        <f t="shared" si="609"/>
        <v/>
      </c>
      <c r="BC915" s="49" t="str">
        <f t="shared" si="610"/>
        <v/>
      </c>
      <c r="BD915" s="49" t="str">
        <f t="shared" si="611"/>
        <v/>
      </c>
      <c r="BE915" s="22" t="str">
        <f t="shared" si="638"/>
        <v/>
      </c>
      <c r="BF915" s="21" t="str">
        <f t="shared" si="639"/>
        <v>Apprenant 903 ou 903'</v>
      </c>
      <c r="BG915" s="49" t="str">
        <f t="shared" si="612"/>
        <v/>
      </c>
      <c r="BH915" s="49" t="str">
        <f t="shared" si="613"/>
        <v/>
      </c>
      <c r="BI915" s="49" t="str">
        <f t="shared" si="614"/>
        <v/>
      </c>
      <c r="BJ915" s="22" t="str">
        <f t="shared" si="640"/>
        <v/>
      </c>
      <c r="BL915" s="21"/>
      <c r="BM915" s="21" t="str">
        <f>IF(OR(COUNT(B915:D1914)=0,AND('Choix pédagogiques'!$C$3&lt;&gt;1,'Choix pédagogiques'!$C$3&lt;&gt;2)),"",IF(AND(OR('Choix pédagogiques'!$C$3=1,'Choix pédagogiques'!$C$3=2),$B915&lt;&gt;"",$C915&lt;&gt;"",$D915&lt;&gt;""),1,0))</f>
        <v/>
      </c>
      <c r="BN915" s="21" t="str">
        <f>IF(OR(COUNT(G915:I1914)=0,AND('Choix pédagogiques'!$C$3&lt;&gt;1,'Choix pédagogiques'!$C$3&lt;&gt;2)),"",IF(AND(OR('Choix pédagogiques'!$C$3=1,'Choix pédagogiques'!$C$3=2),AND($G915&lt;&gt;"",$H915&lt;&gt;"",$I915&lt;&gt;"")),1,0))</f>
        <v/>
      </c>
      <c r="BO915" s="21" t="str">
        <f>IF(OR(COUNT(B915:D1914)=0,COUNT(G915:I1914)=0,'Choix pédagogiques'!C$3&lt;&gt;3),"",IF(AND('Choix pédagogiques'!$C$3=3,$B915&lt;&gt;"",$C915&lt;&gt;"",$D915&lt;&gt;"",$G915&lt;&gt;"",$H915&lt;&gt;"",$I915&lt;&gt;""),1,0))</f>
        <v/>
      </c>
      <c r="BR915" s="21">
        <v>408</v>
      </c>
      <c r="BS915" s="21">
        <v>1402</v>
      </c>
      <c r="BT915"/>
    </row>
    <row r="916" spans="1:72" s="23" customFormat="1" ht="18" customHeight="1" x14ac:dyDescent="0.3">
      <c r="A916" s="35" t="s">
        <v>906</v>
      </c>
      <c r="B916" s="37"/>
      <c r="C916" s="37"/>
      <c r="D916" s="37"/>
      <c r="E916" s="37"/>
      <c r="F916" s="35" t="s">
        <v>1914</v>
      </c>
      <c r="G916" s="37"/>
      <c r="H916" s="37"/>
      <c r="I916" s="37"/>
      <c r="J916" s="37"/>
      <c r="K916" s="21" t="str">
        <f t="shared" si="615"/>
        <v>Apprenant 904</v>
      </c>
      <c r="L916" s="22" t="str">
        <f t="shared" si="616"/>
        <v/>
      </c>
      <c r="M916" s="22" t="str">
        <f t="shared" si="617"/>
        <v/>
      </c>
      <c r="N916" s="22" t="str">
        <f t="shared" si="618"/>
        <v/>
      </c>
      <c r="O916" s="22" t="str">
        <f t="shared" si="619"/>
        <v/>
      </c>
      <c r="P916" s="21" t="str">
        <f t="shared" si="620"/>
        <v>Apprenant 904 ou 904'</v>
      </c>
      <c r="Q916" s="22" t="str">
        <f t="shared" si="621"/>
        <v/>
      </c>
      <c r="R916" s="22" t="str">
        <f t="shared" si="622"/>
        <v/>
      </c>
      <c r="S916" s="22" t="str">
        <f t="shared" si="623"/>
        <v/>
      </c>
      <c r="T916" s="22" t="str">
        <f t="shared" si="624"/>
        <v/>
      </c>
      <c r="V916" s="21" t="str">
        <f t="shared" si="625"/>
        <v>Apprenant 904</v>
      </c>
      <c r="W916" s="22" t="str">
        <f>IF(AND(OR('Choix pédagogiques'!$C$3=1,'Choix pédagogiques'!$C$3=2),$BM916=1),B916,IF(AND('Choix pédagogiques'!$C$3=3,$BO916=1),B916,""))</f>
        <v/>
      </c>
      <c r="X916" s="22" t="str">
        <f>IF(AND(OR('Choix pédagogiques'!$C$3=1,'Choix pédagogiques'!$C$3=2),$BM916=1),C916,IF(AND('Choix pédagogiques'!$C$3=3,$BO916=1),C916,""))</f>
        <v/>
      </c>
      <c r="Y916" s="22" t="str">
        <f>IF(AND(OR('Choix pédagogiques'!$C$3=1,'Choix pédagogiques'!$C$3=2),$BM916=1),D916,IF(AND('Choix pédagogiques'!$C$3=3,$BO916=1),D916,""))</f>
        <v/>
      </c>
      <c r="Z916" s="22" t="str">
        <f t="shared" si="626"/>
        <v/>
      </c>
      <c r="AA916" s="21" t="str">
        <f t="shared" si="627"/>
        <v>Apprenant 904 ou 904'</v>
      </c>
      <c r="AB916" s="22" t="str">
        <f>IF(AND(OR('Choix pédagogiques'!$C$3=1,'Choix pédagogiques'!$C$3=2),$BN916=1),G916,IF(AND('Choix pédagogiques'!$C$3=3,$BO916=1),G916,""))</f>
        <v/>
      </c>
      <c r="AC916" s="22" t="str">
        <f>IF(AND(OR('Choix pédagogiques'!$C$3=1,'Choix pédagogiques'!$C$3=2),$BN916=1),H916,IF(AND('Choix pédagogiques'!$C$3=3,$BO916=1),H916,""))</f>
        <v/>
      </c>
      <c r="AD916" s="22" t="str">
        <f>IF(AND(OR('Choix pédagogiques'!$C$3=1,'Choix pédagogiques'!$C$3=2),$BN916=1),I916,IF(AND('Choix pédagogiques'!$C$3=3,$BO916=1),I916,""))</f>
        <v/>
      </c>
      <c r="AE916" s="22" t="str">
        <f t="shared" si="628"/>
        <v/>
      </c>
      <c r="AF916" s="21" t="str">
        <f t="shared" si="629"/>
        <v>Apprenant 904</v>
      </c>
      <c r="AG916" s="22" t="str">
        <f t="shared" si="603"/>
        <v/>
      </c>
      <c r="AH916" s="22" t="str">
        <f t="shared" si="604"/>
        <v/>
      </c>
      <c r="AI916" s="22" t="str">
        <f t="shared" si="605"/>
        <v/>
      </c>
      <c r="AJ916" s="22" t="str">
        <f t="shared" si="630"/>
        <v/>
      </c>
      <c r="AK916" s="21" t="str">
        <f t="shared" si="631"/>
        <v>Apprenant 904 ou 904'</v>
      </c>
      <c r="AL916" s="22" t="str">
        <f t="shared" si="606"/>
        <v/>
      </c>
      <c r="AM916" s="22" t="str">
        <f t="shared" si="607"/>
        <v/>
      </c>
      <c r="AN916" s="22" t="str">
        <f t="shared" si="608"/>
        <v/>
      </c>
      <c r="AO916" s="22" t="str">
        <f t="shared" si="632"/>
        <v/>
      </c>
      <c r="AQ916" s="21" t="str">
        <f t="shared" si="633"/>
        <v>Apprenant 904</v>
      </c>
      <c r="AR916" s="49" t="str">
        <f>IF(AND('Choix pédagogiques'!$C$4&lt;&gt;"?",'Choix pédagogiques'!$C$5&lt;&gt;"?",W916&lt;&gt;""),(W916-'Choix pédagogiques'!$C$4)/('Choix pédagogiques'!$C$5-'Choix pédagogiques'!$C$4),"")</f>
        <v/>
      </c>
      <c r="AS916" s="49" t="str">
        <f>IF(AND('Choix pédagogiques'!$C$4&lt;&gt;"?",'Choix pédagogiques'!$C$5&lt;&gt;"?",X916&lt;&gt;""),(X916-'Choix pédagogiques'!$C$4)/('Choix pédagogiques'!$C$5-'Choix pédagogiques'!$C$4),"")</f>
        <v/>
      </c>
      <c r="AT916" s="49" t="str">
        <f>IF(AND('Choix pédagogiques'!$C$4&lt;&gt;"?",'Choix pédagogiques'!$C$5&lt;&gt;"?",Y916&lt;&gt;""),(Y916-'Choix pédagogiques'!$C$4)/('Choix pédagogiques'!$C$5-'Choix pédagogiques'!$C$4),"")</f>
        <v/>
      </c>
      <c r="AU916" s="22" t="str">
        <f t="shared" si="634"/>
        <v/>
      </c>
      <c r="AV916" s="21" t="str">
        <f t="shared" si="635"/>
        <v>Apprenant 904 ou 904'</v>
      </c>
      <c r="AW916" s="49" t="str">
        <f>IF(AND('Choix pédagogiques'!$C$4&lt;&gt;"?",'Choix pédagogiques'!$C$5&lt;&gt;"?",AB916&lt;&gt;""),(AB916-'Choix pédagogiques'!$C$4)/('Choix pédagogiques'!$C$5-'Choix pédagogiques'!$C$4),"")</f>
        <v/>
      </c>
      <c r="AX916" s="49" t="str">
        <f>IF(AND('Choix pédagogiques'!$C$4&lt;&gt;"?",'Choix pédagogiques'!$C$5&lt;&gt;"?",AC916&lt;&gt;""),(AC916-'Choix pédagogiques'!$C$4)/('Choix pédagogiques'!$C$5-'Choix pédagogiques'!$C$4),"")</f>
        <v/>
      </c>
      <c r="AY916" s="49" t="str">
        <f>IF(AND('Choix pédagogiques'!$C$4&lt;&gt;"?",'Choix pédagogiques'!$C$5&lt;&gt;"?",AD916&lt;&gt;""),(AD916-'Choix pédagogiques'!$C$4)/('Choix pédagogiques'!$C$5-'Choix pédagogiques'!$C$4),"")</f>
        <v/>
      </c>
      <c r="AZ916" s="22" t="str">
        <f t="shared" si="636"/>
        <v/>
      </c>
      <c r="BA916" s="21" t="str">
        <f t="shared" si="637"/>
        <v>Apprenant 904</v>
      </c>
      <c r="BB916" s="49" t="str">
        <f t="shared" si="609"/>
        <v/>
      </c>
      <c r="BC916" s="49" t="str">
        <f t="shared" si="610"/>
        <v/>
      </c>
      <c r="BD916" s="49" t="str">
        <f t="shared" si="611"/>
        <v/>
      </c>
      <c r="BE916" s="22" t="str">
        <f t="shared" si="638"/>
        <v/>
      </c>
      <c r="BF916" s="21" t="str">
        <f t="shared" si="639"/>
        <v>Apprenant 904 ou 904'</v>
      </c>
      <c r="BG916" s="49" t="str">
        <f t="shared" si="612"/>
        <v/>
      </c>
      <c r="BH916" s="49" t="str">
        <f t="shared" si="613"/>
        <v/>
      </c>
      <c r="BI916" s="49" t="str">
        <f t="shared" si="614"/>
        <v/>
      </c>
      <c r="BJ916" s="22" t="str">
        <f t="shared" si="640"/>
        <v/>
      </c>
      <c r="BL916" s="21"/>
      <c r="BM916" s="21" t="str">
        <f>IF(OR(COUNT(B916:D1915)=0,AND('Choix pédagogiques'!$C$3&lt;&gt;1,'Choix pédagogiques'!$C$3&lt;&gt;2)),"",IF(AND(OR('Choix pédagogiques'!$C$3=1,'Choix pédagogiques'!$C$3=2),$B916&lt;&gt;"",$C916&lt;&gt;"",$D916&lt;&gt;""),1,0))</f>
        <v/>
      </c>
      <c r="BN916" s="21" t="str">
        <f>IF(OR(COUNT(G916:I1915)=0,AND('Choix pédagogiques'!$C$3&lt;&gt;1,'Choix pédagogiques'!$C$3&lt;&gt;2)),"",IF(AND(OR('Choix pédagogiques'!$C$3=1,'Choix pédagogiques'!$C$3=2),AND($G916&lt;&gt;"",$H916&lt;&gt;"",$I916&lt;&gt;"")),1,0))</f>
        <v/>
      </c>
      <c r="BO916" s="21" t="str">
        <f>IF(OR(COUNT(B916:D1915)=0,COUNT(G916:I1915)=0,'Choix pédagogiques'!C$3&lt;&gt;3),"",IF(AND('Choix pédagogiques'!$C$3=3,$B916&lt;&gt;"",$C916&lt;&gt;"",$D916&lt;&gt;"",$G916&lt;&gt;"",$H916&lt;&gt;"",$I916&lt;&gt;""),1,0))</f>
        <v/>
      </c>
      <c r="BR916" s="21">
        <v>401</v>
      </c>
      <c r="BS916" s="21">
        <v>1020</v>
      </c>
      <c r="BT916"/>
    </row>
    <row r="917" spans="1:72" s="23" customFormat="1" ht="18" customHeight="1" x14ac:dyDescent="0.3">
      <c r="A917" s="35" t="s">
        <v>907</v>
      </c>
      <c r="B917" s="37"/>
      <c r="C917" s="37"/>
      <c r="D917" s="37"/>
      <c r="E917" s="37"/>
      <c r="F917" s="35" t="s">
        <v>1915</v>
      </c>
      <c r="G917" s="37"/>
      <c r="H917" s="37"/>
      <c r="I917" s="37"/>
      <c r="J917" s="37"/>
      <c r="K917" s="21" t="str">
        <f t="shared" si="615"/>
        <v>Apprenant 905</v>
      </c>
      <c r="L917" s="22" t="str">
        <f t="shared" si="616"/>
        <v/>
      </c>
      <c r="M917" s="22" t="str">
        <f t="shared" si="617"/>
        <v/>
      </c>
      <c r="N917" s="22" t="str">
        <f t="shared" si="618"/>
        <v/>
      </c>
      <c r="O917" s="22" t="str">
        <f t="shared" si="619"/>
        <v/>
      </c>
      <c r="P917" s="21" t="str">
        <f t="shared" si="620"/>
        <v>Apprenant 905 ou 905'</v>
      </c>
      <c r="Q917" s="22" t="str">
        <f t="shared" si="621"/>
        <v/>
      </c>
      <c r="R917" s="22" t="str">
        <f t="shared" si="622"/>
        <v/>
      </c>
      <c r="S917" s="22" t="str">
        <f t="shared" si="623"/>
        <v/>
      </c>
      <c r="T917" s="22" t="str">
        <f t="shared" si="624"/>
        <v/>
      </c>
      <c r="V917" s="21" t="str">
        <f t="shared" si="625"/>
        <v>Apprenant 905</v>
      </c>
      <c r="W917" s="22" t="str">
        <f>IF(AND(OR('Choix pédagogiques'!$C$3=1,'Choix pédagogiques'!$C$3=2),$BM917=1),B917,IF(AND('Choix pédagogiques'!$C$3=3,$BO917=1),B917,""))</f>
        <v/>
      </c>
      <c r="X917" s="22" t="str">
        <f>IF(AND(OR('Choix pédagogiques'!$C$3=1,'Choix pédagogiques'!$C$3=2),$BM917=1),C917,IF(AND('Choix pédagogiques'!$C$3=3,$BO917=1),C917,""))</f>
        <v/>
      </c>
      <c r="Y917" s="22" t="str">
        <f>IF(AND(OR('Choix pédagogiques'!$C$3=1,'Choix pédagogiques'!$C$3=2),$BM917=1),D917,IF(AND('Choix pédagogiques'!$C$3=3,$BO917=1),D917,""))</f>
        <v/>
      </c>
      <c r="Z917" s="22" t="str">
        <f t="shared" si="626"/>
        <v/>
      </c>
      <c r="AA917" s="21" t="str">
        <f t="shared" si="627"/>
        <v>Apprenant 905 ou 905'</v>
      </c>
      <c r="AB917" s="22" t="str">
        <f>IF(AND(OR('Choix pédagogiques'!$C$3=1,'Choix pédagogiques'!$C$3=2),$BN917=1),G917,IF(AND('Choix pédagogiques'!$C$3=3,$BO917=1),G917,""))</f>
        <v/>
      </c>
      <c r="AC917" s="22" t="str">
        <f>IF(AND(OR('Choix pédagogiques'!$C$3=1,'Choix pédagogiques'!$C$3=2),$BN917=1),H917,IF(AND('Choix pédagogiques'!$C$3=3,$BO917=1),H917,""))</f>
        <v/>
      </c>
      <c r="AD917" s="22" t="str">
        <f>IF(AND(OR('Choix pédagogiques'!$C$3=1,'Choix pédagogiques'!$C$3=2),$BN917=1),I917,IF(AND('Choix pédagogiques'!$C$3=3,$BO917=1),I917,""))</f>
        <v/>
      </c>
      <c r="AE917" s="22" t="str">
        <f t="shared" si="628"/>
        <v/>
      </c>
      <c r="AF917" s="21" t="str">
        <f t="shared" si="629"/>
        <v>Apprenant 905</v>
      </c>
      <c r="AG917" s="22" t="str">
        <f t="shared" si="603"/>
        <v/>
      </c>
      <c r="AH917" s="22" t="str">
        <f t="shared" si="604"/>
        <v/>
      </c>
      <c r="AI917" s="22" t="str">
        <f t="shared" si="605"/>
        <v/>
      </c>
      <c r="AJ917" s="22" t="str">
        <f t="shared" si="630"/>
        <v/>
      </c>
      <c r="AK917" s="21" t="str">
        <f t="shared" si="631"/>
        <v>Apprenant 905 ou 905'</v>
      </c>
      <c r="AL917" s="22" t="str">
        <f t="shared" si="606"/>
        <v/>
      </c>
      <c r="AM917" s="22" t="str">
        <f t="shared" si="607"/>
        <v/>
      </c>
      <c r="AN917" s="22" t="str">
        <f t="shared" si="608"/>
        <v/>
      </c>
      <c r="AO917" s="22" t="str">
        <f t="shared" si="632"/>
        <v/>
      </c>
      <c r="AQ917" s="21" t="str">
        <f t="shared" si="633"/>
        <v>Apprenant 905</v>
      </c>
      <c r="AR917" s="49" t="str">
        <f>IF(AND('Choix pédagogiques'!$C$4&lt;&gt;"?",'Choix pédagogiques'!$C$5&lt;&gt;"?",W917&lt;&gt;""),(W917-'Choix pédagogiques'!$C$4)/('Choix pédagogiques'!$C$5-'Choix pédagogiques'!$C$4),"")</f>
        <v/>
      </c>
      <c r="AS917" s="49" t="str">
        <f>IF(AND('Choix pédagogiques'!$C$4&lt;&gt;"?",'Choix pédagogiques'!$C$5&lt;&gt;"?",X917&lt;&gt;""),(X917-'Choix pédagogiques'!$C$4)/('Choix pédagogiques'!$C$5-'Choix pédagogiques'!$C$4),"")</f>
        <v/>
      </c>
      <c r="AT917" s="49" t="str">
        <f>IF(AND('Choix pédagogiques'!$C$4&lt;&gt;"?",'Choix pédagogiques'!$C$5&lt;&gt;"?",Y917&lt;&gt;""),(Y917-'Choix pédagogiques'!$C$4)/('Choix pédagogiques'!$C$5-'Choix pédagogiques'!$C$4),"")</f>
        <v/>
      </c>
      <c r="AU917" s="22" t="str">
        <f t="shared" si="634"/>
        <v/>
      </c>
      <c r="AV917" s="21" t="str">
        <f t="shared" si="635"/>
        <v>Apprenant 905 ou 905'</v>
      </c>
      <c r="AW917" s="49" t="str">
        <f>IF(AND('Choix pédagogiques'!$C$4&lt;&gt;"?",'Choix pédagogiques'!$C$5&lt;&gt;"?",AB917&lt;&gt;""),(AB917-'Choix pédagogiques'!$C$4)/('Choix pédagogiques'!$C$5-'Choix pédagogiques'!$C$4),"")</f>
        <v/>
      </c>
      <c r="AX917" s="49" t="str">
        <f>IF(AND('Choix pédagogiques'!$C$4&lt;&gt;"?",'Choix pédagogiques'!$C$5&lt;&gt;"?",AC917&lt;&gt;""),(AC917-'Choix pédagogiques'!$C$4)/('Choix pédagogiques'!$C$5-'Choix pédagogiques'!$C$4),"")</f>
        <v/>
      </c>
      <c r="AY917" s="49" t="str">
        <f>IF(AND('Choix pédagogiques'!$C$4&lt;&gt;"?",'Choix pédagogiques'!$C$5&lt;&gt;"?",AD917&lt;&gt;""),(AD917-'Choix pédagogiques'!$C$4)/('Choix pédagogiques'!$C$5-'Choix pédagogiques'!$C$4),"")</f>
        <v/>
      </c>
      <c r="AZ917" s="22" t="str">
        <f t="shared" si="636"/>
        <v/>
      </c>
      <c r="BA917" s="21" t="str">
        <f t="shared" si="637"/>
        <v>Apprenant 905</v>
      </c>
      <c r="BB917" s="49" t="str">
        <f t="shared" si="609"/>
        <v/>
      </c>
      <c r="BC917" s="49" t="str">
        <f t="shared" si="610"/>
        <v/>
      </c>
      <c r="BD917" s="49" t="str">
        <f t="shared" si="611"/>
        <v/>
      </c>
      <c r="BE917" s="22" t="str">
        <f t="shared" si="638"/>
        <v/>
      </c>
      <c r="BF917" s="21" t="str">
        <f t="shared" si="639"/>
        <v>Apprenant 905 ou 905'</v>
      </c>
      <c r="BG917" s="49" t="str">
        <f t="shared" si="612"/>
        <v/>
      </c>
      <c r="BH917" s="49" t="str">
        <f t="shared" si="613"/>
        <v/>
      </c>
      <c r="BI917" s="49" t="str">
        <f t="shared" si="614"/>
        <v/>
      </c>
      <c r="BJ917" s="22" t="str">
        <f t="shared" si="640"/>
        <v/>
      </c>
      <c r="BL917" s="21"/>
      <c r="BM917" s="21" t="str">
        <f>IF(OR(COUNT(B917:D1916)=0,AND('Choix pédagogiques'!$C$3&lt;&gt;1,'Choix pédagogiques'!$C$3&lt;&gt;2)),"",IF(AND(OR('Choix pédagogiques'!$C$3=1,'Choix pédagogiques'!$C$3=2),$B917&lt;&gt;"",$C917&lt;&gt;"",$D917&lt;&gt;""),1,0))</f>
        <v/>
      </c>
      <c r="BN917" s="21" t="str">
        <f>IF(OR(COUNT(G917:I1916)=0,AND('Choix pédagogiques'!$C$3&lt;&gt;1,'Choix pédagogiques'!$C$3&lt;&gt;2)),"",IF(AND(OR('Choix pédagogiques'!$C$3=1,'Choix pédagogiques'!$C$3=2),AND($G917&lt;&gt;"",$H917&lt;&gt;"",$I917&lt;&gt;"")),1,0))</f>
        <v/>
      </c>
      <c r="BO917" s="21" t="str">
        <f>IF(OR(COUNT(B917:D1916)=0,COUNT(G917:I1916)=0,'Choix pédagogiques'!C$3&lt;&gt;3),"",IF(AND('Choix pédagogiques'!$C$3=3,$B917&lt;&gt;"",$C917&lt;&gt;"",$D917&lt;&gt;"",$G917&lt;&gt;"",$H917&lt;&gt;"",$I917&lt;&gt;""),1,0))</f>
        <v/>
      </c>
      <c r="BR917" s="21">
        <v>958</v>
      </c>
      <c r="BS917" s="21">
        <v>1367</v>
      </c>
      <c r="BT917"/>
    </row>
    <row r="918" spans="1:72" s="23" customFormat="1" ht="18" customHeight="1" x14ac:dyDescent="0.3">
      <c r="A918" s="35" t="s">
        <v>908</v>
      </c>
      <c r="B918" s="37"/>
      <c r="C918" s="37"/>
      <c r="D918" s="37"/>
      <c r="E918" s="37"/>
      <c r="F918" s="35" t="s">
        <v>1916</v>
      </c>
      <c r="G918" s="37"/>
      <c r="H918" s="37"/>
      <c r="I918" s="37"/>
      <c r="J918" s="37"/>
      <c r="K918" s="21" t="str">
        <f t="shared" si="615"/>
        <v>Apprenant 906</v>
      </c>
      <c r="L918" s="22" t="str">
        <f t="shared" si="616"/>
        <v/>
      </c>
      <c r="M918" s="22" t="str">
        <f t="shared" si="617"/>
        <v/>
      </c>
      <c r="N918" s="22" t="str">
        <f t="shared" si="618"/>
        <v/>
      </c>
      <c r="O918" s="22" t="str">
        <f t="shared" si="619"/>
        <v/>
      </c>
      <c r="P918" s="21" t="str">
        <f t="shared" si="620"/>
        <v>Apprenant 906 ou 906'</v>
      </c>
      <c r="Q918" s="22" t="str">
        <f t="shared" si="621"/>
        <v/>
      </c>
      <c r="R918" s="22" t="str">
        <f t="shared" si="622"/>
        <v/>
      </c>
      <c r="S918" s="22" t="str">
        <f t="shared" si="623"/>
        <v/>
      </c>
      <c r="T918" s="22" t="str">
        <f t="shared" si="624"/>
        <v/>
      </c>
      <c r="V918" s="21" t="str">
        <f t="shared" si="625"/>
        <v>Apprenant 906</v>
      </c>
      <c r="W918" s="22" t="str">
        <f>IF(AND(OR('Choix pédagogiques'!$C$3=1,'Choix pédagogiques'!$C$3=2),$BM918=1),B918,IF(AND('Choix pédagogiques'!$C$3=3,$BO918=1),B918,""))</f>
        <v/>
      </c>
      <c r="X918" s="22" t="str">
        <f>IF(AND(OR('Choix pédagogiques'!$C$3=1,'Choix pédagogiques'!$C$3=2),$BM918=1),C918,IF(AND('Choix pédagogiques'!$C$3=3,$BO918=1),C918,""))</f>
        <v/>
      </c>
      <c r="Y918" s="22" t="str">
        <f>IF(AND(OR('Choix pédagogiques'!$C$3=1,'Choix pédagogiques'!$C$3=2),$BM918=1),D918,IF(AND('Choix pédagogiques'!$C$3=3,$BO918=1),D918,""))</f>
        <v/>
      </c>
      <c r="Z918" s="22" t="str">
        <f t="shared" si="626"/>
        <v/>
      </c>
      <c r="AA918" s="21" t="str">
        <f t="shared" si="627"/>
        <v>Apprenant 906 ou 906'</v>
      </c>
      <c r="AB918" s="22" t="str">
        <f>IF(AND(OR('Choix pédagogiques'!$C$3=1,'Choix pédagogiques'!$C$3=2),$BN918=1),G918,IF(AND('Choix pédagogiques'!$C$3=3,$BO918=1),G918,""))</f>
        <v/>
      </c>
      <c r="AC918" s="22" t="str">
        <f>IF(AND(OR('Choix pédagogiques'!$C$3=1,'Choix pédagogiques'!$C$3=2),$BN918=1),H918,IF(AND('Choix pédagogiques'!$C$3=3,$BO918=1),H918,""))</f>
        <v/>
      </c>
      <c r="AD918" s="22" t="str">
        <f>IF(AND(OR('Choix pédagogiques'!$C$3=1,'Choix pédagogiques'!$C$3=2),$BN918=1),I918,IF(AND('Choix pédagogiques'!$C$3=3,$BO918=1),I918,""))</f>
        <v/>
      </c>
      <c r="AE918" s="22" t="str">
        <f t="shared" si="628"/>
        <v/>
      </c>
      <c r="AF918" s="21" t="str">
        <f t="shared" si="629"/>
        <v>Apprenant 906</v>
      </c>
      <c r="AG918" s="22" t="str">
        <f t="shared" si="603"/>
        <v/>
      </c>
      <c r="AH918" s="22" t="str">
        <f t="shared" si="604"/>
        <v/>
      </c>
      <c r="AI918" s="22" t="str">
        <f t="shared" si="605"/>
        <v/>
      </c>
      <c r="AJ918" s="22" t="str">
        <f t="shared" si="630"/>
        <v/>
      </c>
      <c r="AK918" s="21" t="str">
        <f t="shared" si="631"/>
        <v>Apprenant 906 ou 906'</v>
      </c>
      <c r="AL918" s="22" t="str">
        <f t="shared" si="606"/>
        <v/>
      </c>
      <c r="AM918" s="22" t="str">
        <f t="shared" si="607"/>
        <v/>
      </c>
      <c r="AN918" s="22" t="str">
        <f t="shared" si="608"/>
        <v/>
      </c>
      <c r="AO918" s="22" t="str">
        <f t="shared" si="632"/>
        <v/>
      </c>
      <c r="AQ918" s="21" t="str">
        <f t="shared" si="633"/>
        <v>Apprenant 906</v>
      </c>
      <c r="AR918" s="49" t="str">
        <f>IF(AND('Choix pédagogiques'!$C$4&lt;&gt;"?",'Choix pédagogiques'!$C$5&lt;&gt;"?",W918&lt;&gt;""),(W918-'Choix pédagogiques'!$C$4)/('Choix pédagogiques'!$C$5-'Choix pédagogiques'!$C$4),"")</f>
        <v/>
      </c>
      <c r="AS918" s="49" t="str">
        <f>IF(AND('Choix pédagogiques'!$C$4&lt;&gt;"?",'Choix pédagogiques'!$C$5&lt;&gt;"?",X918&lt;&gt;""),(X918-'Choix pédagogiques'!$C$4)/('Choix pédagogiques'!$C$5-'Choix pédagogiques'!$C$4),"")</f>
        <v/>
      </c>
      <c r="AT918" s="49" t="str">
        <f>IF(AND('Choix pédagogiques'!$C$4&lt;&gt;"?",'Choix pédagogiques'!$C$5&lt;&gt;"?",Y918&lt;&gt;""),(Y918-'Choix pédagogiques'!$C$4)/('Choix pédagogiques'!$C$5-'Choix pédagogiques'!$C$4),"")</f>
        <v/>
      </c>
      <c r="AU918" s="22" t="str">
        <f t="shared" si="634"/>
        <v/>
      </c>
      <c r="AV918" s="21" t="str">
        <f t="shared" si="635"/>
        <v>Apprenant 906 ou 906'</v>
      </c>
      <c r="AW918" s="49" t="str">
        <f>IF(AND('Choix pédagogiques'!$C$4&lt;&gt;"?",'Choix pédagogiques'!$C$5&lt;&gt;"?",AB918&lt;&gt;""),(AB918-'Choix pédagogiques'!$C$4)/('Choix pédagogiques'!$C$5-'Choix pédagogiques'!$C$4),"")</f>
        <v/>
      </c>
      <c r="AX918" s="49" t="str">
        <f>IF(AND('Choix pédagogiques'!$C$4&lt;&gt;"?",'Choix pédagogiques'!$C$5&lt;&gt;"?",AC918&lt;&gt;""),(AC918-'Choix pédagogiques'!$C$4)/('Choix pédagogiques'!$C$5-'Choix pédagogiques'!$C$4),"")</f>
        <v/>
      </c>
      <c r="AY918" s="49" t="str">
        <f>IF(AND('Choix pédagogiques'!$C$4&lt;&gt;"?",'Choix pédagogiques'!$C$5&lt;&gt;"?",AD918&lt;&gt;""),(AD918-'Choix pédagogiques'!$C$4)/('Choix pédagogiques'!$C$5-'Choix pédagogiques'!$C$4),"")</f>
        <v/>
      </c>
      <c r="AZ918" s="22" t="str">
        <f t="shared" si="636"/>
        <v/>
      </c>
      <c r="BA918" s="21" t="str">
        <f t="shared" si="637"/>
        <v>Apprenant 906</v>
      </c>
      <c r="BB918" s="49" t="str">
        <f t="shared" si="609"/>
        <v/>
      </c>
      <c r="BC918" s="49" t="str">
        <f t="shared" si="610"/>
        <v/>
      </c>
      <c r="BD918" s="49" t="str">
        <f t="shared" si="611"/>
        <v/>
      </c>
      <c r="BE918" s="22" t="str">
        <f t="shared" si="638"/>
        <v/>
      </c>
      <c r="BF918" s="21" t="str">
        <f t="shared" si="639"/>
        <v>Apprenant 906 ou 906'</v>
      </c>
      <c r="BG918" s="49" t="str">
        <f t="shared" si="612"/>
        <v/>
      </c>
      <c r="BH918" s="49" t="str">
        <f t="shared" si="613"/>
        <v/>
      </c>
      <c r="BI918" s="49" t="str">
        <f t="shared" si="614"/>
        <v/>
      </c>
      <c r="BJ918" s="22" t="str">
        <f t="shared" si="640"/>
        <v/>
      </c>
      <c r="BL918" s="21"/>
      <c r="BM918" s="21" t="str">
        <f>IF(OR(COUNT(B918:D1917)=0,AND('Choix pédagogiques'!$C$3&lt;&gt;1,'Choix pédagogiques'!$C$3&lt;&gt;2)),"",IF(AND(OR('Choix pédagogiques'!$C$3=1,'Choix pédagogiques'!$C$3=2),$B918&lt;&gt;"",$C918&lt;&gt;"",$D918&lt;&gt;""),1,0))</f>
        <v/>
      </c>
      <c r="BN918" s="21" t="str">
        <f>IF(OR(COUNT(G918:I1917)=0,AND('Choix pédagogiques'!$C$3&lt;&gt;1,'Choix pédagogiques'!$C$3&lt;&gt;2)),"",IF(AND(OR('Choix pédagogiques'!$C$3=1,'Choix pédagogiques'!$C$3=2),AND($G918&lt;&gt;"",$H918&lt;&gt;"",$I918&lt;&gt;"")),1,0))</f>
        <v/>
      </c>
      <c r="BO918" s="21" t="str">
        <f>IF(OR(COUNT(B918:D1917)=0,COUNT(G918:I1917)=0,'Choix pédagogiques'!C$3&lt;&gt;3),"",IF(AND('Choix pédagogiques'!$C$3=3,$B918&lt;&gt;"",$C918&lt;&gt;"",$D918&lt;&gt;"",$G918&lt;&gt;"",$H918&lt;&gt;"",$I918&lt;&gt;""),1,0))</f>
        <v/>
      </c>
      <c r="BR918" s="21">
        <v>10</v>
      </c>
      <c r="BS918" s="21">
        <v>1821</v>
      </c>
      <c r="BT918"/>
    </row>
    <row r="919" spans="1:72" s="23" customFormat="1" ht="18" customHeight="1" x14ac:dyDescent="0.3">
      <c r="A919" s="35" t="s">
        <v>909</v>
      </c>
      <c r="B919" s="37"/>
      <c r="C919" s="37"/>
      <c r="D919" s="37"/>
      <c r="E919" s="37"/>
      <c r="F919" s="35" t="s">
        <v>1917</v>
      </c>
      <c r="G919" s="37"/>
      <c r="H919" s="37"/>
      <c r="I919" s="37"/>
      <c r="J919" s="37"/>
      <c r="K919" s="21" t="str">
        <f t="shared" si="615"/>
        <v>Apprenant 907</v>
      </c>
      <c r="L919" s="22" t="str">
        <f t="shared" si="616"/>
        <v/>
      </c>
      <c r="M919" s="22" t="str">
        <f t="shared" si="617"/>
        <v/>
      </c>
      <c r="N919" s="22" t="str">
        <f t="shared" si="618"/>
        <v/>
      </c>
      <c r="O919" s="22" t="str">
        <f t="shared" si="619"/>
        <v/>
      </c>
      <c r="P919" s="21" t="str">
        <f t="shared" si="620"/>
        <v>Apprenant 907 ou 907'</v>
      </c>
      <c r="Q919" s="22" t="str">
        <f t="shared" si="621"/>
        <v/>
      </c>
      <c r="R919" s="22" t="str">
        <f t="shared" si="622"/>
        <v/>
      </c>
      <c r="S919" s="22" t="str">
        <f t="shared" si="623"/>
        <v/>
      </c>
      <c r="T919" s="22" t="str">
        <f t="shared" si="624"/>
        <v/>
      </c>
      <c r="V919" s="21" t="str">
        <f t="shared" si="625"/>
        <v>Apprenant 907</v>
      </c>
      <c r="W919" s="22" t="str">
        <f>IF(AND(OR('Choix pédagogiques'!$C$3=1,'Choix pédagogiques'!$C$3=2),$BM919=1),B919,IF(AND('Choix pédagogiques'!$C$3=3,$BO919=1),B919,""))</f>
        <v/>
      </c>
      <c r="X919" s="22" t="str">
        <f>IF(AND(OR('Choix pédagogiques'!$C$3=1,'Choix pédagogiques'!$C$3=2),$BM919=1),C919,IF(AND('Choix pédagogiques'!$C$3=3,$BO919=1),C919,""))</f>
        <v/>
      </c>
      <c r="Y919" s="22" t="str">
        <f>IF(AND(OR('Choix pédagogiques'!$C$3=1,'Choix pédagogiques'!$C$3=2),$BM919=1),D919,IF(AND('Choix pédagogiques'!$C$3=3,$BO919=1),D919,""))</f>
        <v/>
      </c>
      <c r="Z919" s="22" t="str">
        <f t="shared" si="626"/>
        <v/>
      </c>
      <c r="AA919" s="21" t="str">
        <f t="shared" si="627"/>
        <v>Apprenant 907 ou 907'</v>
      </c>
      <c r="AB919" s="22" t="str">
        <f>IF(AND(OR('Choix pédagogiques'!$C$3=1,'Choix pédagogiques'!$C$3=2),$BN919=1),G919,IF(AND('Choix pédagogiques'!$C$3=3,$BO919=1),G919,""))</f>
        <v/>
      </c>
      <c r="AC919" s="22" t="str">
        <f>IF(AND(OR('Choix pédagogiques'!$C$3=1,'Choix pédagogiques'!$C$3=2),$BN919=1),H919,IF(AND('Choix pédagogiques'!$C$3=3,$BO919=1),H919,""))</f>
        <v/>
      </c>
      <c r="AD919" s="22" t="str">
        <f>IF(AND(OR('Choix pédagogiques'!$C$3=1,'Choix pédagogiques'!$C$3=2),$BN919=1),I919,IF(AND('Choix pédagogiques'!$C$3=3,$BO919=1),I919,""))</f>
        <v/>
      </c>
      <c r="AE919" s="22" t="str">
        <f t="shared" si="628"/>
        <v/>
      </c>
      <c r="AF919" s="21" t="str">
        <f t="shared" si="629"/>
        <v>Apprenant 907</v>
      </c>
      <c r="AG919" s="22" t="str">
        <f t="shared" si="603"/>
        <v/>
      </c>
      <c r="AH919" s="22" t="str">
        <f t="shared" si="604"/>
        <v/>
      </c>
      <c r="AI919" s="22" t="str">
        <f t="shared" si="605"/>
        <v/>
      </c>
      <c r="AJ919" s="22" t="str">
        <f t="shared" si="630"/>
        <v/>
      </c>
      <c r="AK919" s="21" t="str">
        <f t="shared" si="631"/>
        <v>Apprenant 907 ou 907'</v>
      </c>
      <c r="AL919" s="22" t="str">
        <f t="shared" si="606"/>
        <v/>
      </c>
      <c r="AM919" s="22" t="str">
        <f t="shared" si="607"/>
        <v/>
      </c>
      <c r="AN919" s="22" t="str">
        <f t="shared" si="608"/>
        <v/>
      </c>
      <c r="AO919" s="22" t="str">
        <f t="shared" si="632"/>
        <v/>
      </c>
      <c r="AQ919" s="21" t="str">
        <f t="shared" si="633"/>
        <v>Apprenant 907</v>
      </c>
      <c r="AR919" s="49" t="str">
        <f>IF(AND('Choix pédagogiques'!$C$4&lt;&gt;"?",'Choix pédagogiques'!$C$5&lt;&gt;"?",W919&lt;&gt;""),(W919-'Choix pédagogiques'!$C$4)/('Choix pédagogiques'!$C$5-'Choix pédagogiques'!$C$4),"")</f>
        <v/>
      </c>
      <c r="AS919" s="49" t="str">
        <f>IF(AND('Choix pédagogiques'!$C$4&lt;&gt;"?",'Choix pédagogiques'!$C$5&lt;&gt;"?",X919&lt;&gt;""),(X919-'Choix pédagogiques'!$C$4)/('Choix pédagogiques'!$C$5-'Choix pédagogiques'!$C$4),"")</f>
        <v/>
      </c>
      <c r="AT919" s="49" t="str">
        <f>IF(AND('Choix pédagogiques'!$C$4&lt;&gt;"?",'Choix pédagogiques'!$C$5&lt;&gt;"?",Y919&lt;&gt;""),(Y919-'Choix pédagogiques'!$C$4)/('Choix pédagogiques'!$C$5-'Choix pédagogiques'!$C$4),"")</f>
        <v/>
      </c>
      <c r="AU919" s="22" t="str">
        <f t="shared" si="634"/>
        <v/>
      </c>
      <c r="AV919" s="21" t="str">
        <f t="shared" si="635"/>
        <v>Apprenant 907 ou 907'</v>
      </c>
      <c r="AW919" s="49" t="str">
        <f>IF(AND('Choix pédagogiques'!$C$4&lt;&gt;"?",'Choix pédagogiques'!$C$5&lt;&gt;"?",AB919&lt;&gt;""),(AB919-'Choix pédagogiques'!$C$4)/('Choix pédagogiques'!$C$5-'Choix pédagogiques'!$C$4),"")</f>
        <v/>
      </c>
      <c r="AX919" s="49" t="str">
        <f>IF(AND('Choix pédagogiques'!$C$4&lt;&gt;"?",'Choix pédagogiques'!$C$5&lt;&gt;"?",AC919&lt;&gt;""),(AC919-'Choix pédagogiques'!$C$4)/('Choix pédagogiques'!$C$5-'Choix pédagogiques'!$C$4),"")</f>
        <v/>
      </c>
      <c r="AY919" s="49" t="str">
        <f>IF(AND('Choix pédagogiques'!$C$4&lt;&gt;"?",'Choix pédagogiques'!$C$5&lt;&gt;"?",AD919&lt;&gt;""),(AD919-'Choix pédagogiques'!$C$4)/('Choix pédagogiques'!$C$5-'Choix pédagogiques'!$C$4),"")</f>
        <v/>
      </c>
      <c r="AZ919" s="22" t="str">
        <f t="shared" si="636"/>
        <v/>
      </c>
      <c r="BA919" s="21" t="str">
        <f t="shared" si="637"/>
        <v>Apprenant 907</v>
      </c>
      <c r="BB919" s="49" t="str">
        <f t="shared" si="609"/>
        <v/>
      </c>
      <c r="BC919" s="49" t="str">
        <f t="shared" si="610"/>
        <v/>
      </c>
      <c r="BD919" s="49" t="str">
        <f t="shared" si="611"/>
        <v/>
      </c>
      <c r="BE919" s="22" t="str">
        <f t="shared" si="638"/>
        <v/>
      </c>
      <c r="BF919" s="21" t="str">
        <f t="shared" si="639"/>
        <v>Apprenant 907 ou 907'</v>
      </c>
      <c r="BG919" s="49" t="str">
        <f t="shared" si="612"/>
        <v/>
      </c>
      <c r="BH919" s="49" t="str">
        <f t="shared" si="613"/>
        <v/>
      </c>
      <c r="BI919" s="49" t="str">
        <f t="shared" si="614"/>
        <v/>
      </c>
      <c r="BJ919" s="22" t="str">
        <f t="shared" si="640"/>
        <v/>
      </c>
      <c r="BL919" s="21"/>
      <c r="BM919" s="21" t="str">
        <f>IF(OR(COUNT(B919:D1918)=0,AND('Choix pédagogiques'!$C$3&lt;&gt;1,'Choix pédagogiques'!$C$3&lt;&gt;2)),"",IF(AND(OR('Choix pédagogiques'!$C$3=1,'Choix pédagogiques'!$C$3=2),$B919&lt;&gt;"",$C919&lt;&gt;"",$D919&lt;&gt;""),1,0))</f>
        <v/>
      </c>
      <c r="BN919" s="21" t="str">
        <f>IF(OR(COUNT(G919:I1918)=0,AND('Choix pédagogiques'!$C$3&lt;&gt;1,'Choix pédagogiques'!$C$3&lt;&gt;2)),"",IF(AND(OR('Choix pédagogiques'!$C$3=1,'Choix pédagogiques'!$C$3=2),AND($G919&lt;&gt;"",$H919&lt;&gt;"",$I919&lt;&gt;"")),1,0))</f>
        <v/>
      </c>
      <c r="BO919" s="21" t="str">
        <f>IF(OR(COUNT(B919:D1918)=0,COUNT(G919:I1918)=0,'Choix pédagogiques'!C$3&lt;&gt;3),"",IF(AND('Choix pédagogiques'!$C$3=3,$B919&lt;&gt;"",$C919&lt;&gt;"",$D919&lt;&gt;"",$G919&lt;&gt;"",$H919&lt;&gt;"",$I919&lt;&gt;""),1,0))</f>
        <v/>
      </c>
      <c r="BR919" s="21">
        <v>565</v>
      </c>
      <c r="BS919" s="21">
        <v>1259</v>
      </c>
      <c r="BT919"/>
    </row>
    <row r="920" spans="1:72" s="23" customFormat="1" ht="18" customHeight="1" x14ac:dyDescent="0.3">
      <c r="A920" s="35" t="s">
        <v>910</v>
      </c>
      <c r="B920" s="37"/>
      <c r="C920" s="37"/>
      <c r="D920" s="37"/>
      <c r="E920" s="37"/>
      <c r="F920" s="35" t="s">
        <v>1918</v>
      </c>
      <c r="G920" s="37"/>
      <c r="H920" s="37"/>
      <c r="I920" s="37"/>
      <c r="J920" s="37"/>
      <c r="K920" s="21" t="str">
        <f t="shared" si="615"/>
        <v>Apprenant 908</v>
      </c>
      <c r="L920" s="22" t="str">
        <f t="shared" si="616"/>
        <v/>
      </c>
      <c r="M920" s="22" t="str">
        <f t="shared" si="617"/>
        <v/>
      </c>
      <c r="N920" s="22" t="str">
        <f t="shared" si="618"/>
        <v/>
      </c>
      <c r="O920" s="22" t="str">
        <f t="shared" si="619"/>
        <v/>
      </c>
      <c r="P920" s="21" t="str">
        <f t="shared" si="620"/>
        <v>Apprenant 908 ou 908'</v>
      </c>
      <c r="Q920" s="22" t="str">
        <f t="shared" si="621"/>
        <v/>
      </c>
      <c r="R920" s="22" t="str">
        <f t="shared" si="622"/>
        <v/>
      </c>
      <c r="S920" s="22" t="str">
        <f t="shared" si="623"/>
        <v/>
      </c>
      <c r="T920" s="22" t="str">
        <f t="shared" si="624"/>
        <v/>
      </c>
      <c r="V920" s="21" t="str">
        <f t="shared" si="625"/>
        <v>Apprenant 908</v>
      </c>
      <c r="W920" s="22" t="str">
        <f>IF(AND(OR('Choix pédagogiques'!$C$3=1,'Choix pédagogiques'!$C$3=2),$BM920=1),B920,IF(AND('Choix pédagogiques'!$C$3=3,$BO920=1),B920,""))</f>
        <v/>
      </c>
      <c r="X920" s="22" t="str">
        <f>IF(AND(OR('Choix pédagogiques'!$C$3=1,'Choix pédagogiques'!$C$3=2),$BM920=1),C920,IF(AND('Choix pédagogiques'!$C$3=3,$BO920=1),C920,""))</f>
        <v/>
      </c>
      <c r="Y920" s="22" t="str">
        <f>IF(AND(OR('Choix pédagogiques'!$C$3=1,'Choix pédagogiques'!$C$3=2),$BM920=1),D920,IF(AND('Choix pédagogiques'!$C$3=3,$BO920=1),D920,""))</f>
        <v/>
      </c>
      <c r="Z920" s="22" t="str">
        <f t="shared" si="626"/>
        <v/>
      </c>
      <c r="AA920" s="21" t="str">
        <f t="shared" si="627"/>
        <v>Apprenant 908 ou 908'</v>
      </c>
      <c r="AB920" s="22" t="str">
        <f>IF(AND(OR('Choix pédagogiques'!$C$3=1,'Choix pédagogiques'!$C$3=2),$BN920=1),G920,IF(AND('Choix pédagogiques'!$C$3=3,$BO920=1),G920,""))</f>
        <v/>
      </c>
      <c r="AC920" s="22" t="str">
        <f>IF(AND(OR('Choix pédagogiques'!$C$3=1,'Choix pédagogiques'!$C$3=2),$BN920=1),H920,IF(AND('Choix pédagogiques'!$C$3=3,$BO920=1),H920,""))</f>
        <v/>
      </c>
      <c r="AD920" s="22" t="str">
        <f>IF(AND(OR('Choix pédagogiques'!$C$3=1,'Choix pédagogiques'!$C$3=2),$BN920=1),I920,IF(AND('Choix pédagogiques'!$C$3=3,$BO920=1),I920,""))</f>
        <v/>
      </c>
      <c r="AE920" s="22" t="str">
        <f t="shared" si="628"/>
        <v/>
      </c>
      <c r="AF920" s="21" t="str">
        <f t="shared" si="629"/>
        <v>Apprenant 908</v>
      </c>
      <c r="AG920" s="22" t="str">
        <f t="shared" si="603"/>
        <v/>
      </c>
      <c r="AH920" s="22" t="str">
        <f t="shared" si="604"/>
        <v/>
      </c>
      <c r="AI920" s="22" t="str">
        <f t="shared" si="605"/>
        <v/>
      </c>
      <c r="AJ920" s="22" t="str">
        <f t="shared" si="630"/>
        <v/>
      </c>
      <c r="AK920" s="21" t="str">
        <f t="shared" si="631"/>
        <v>Apprenant 908 ou 908'</v>
      </c>
      <c r="AL920" s="22" t="str">
        <f t="shared" si="606"/>
        <v/>
      </c>
      <c r="AM920" s="22" t="str">
        <f t="shared" si="607"/>
        <v/>
      </c>
      <c r="AN920" s="22" t="str">
        <f t="shared" si="608"/>
        <v/>
      </c>
      <c r="AO920" s="22" t="str">
        <f t="shared" si="632"/>
        <v/>
      </c>
      <c r="AQ920" s="21" t="str">
        <f t="shared" si="633"/>
        <v>Apprenant 908</v>
      </c>
      <c r="AR920" s="49" t="str">
        <f>IF(AND('Choix pédagogiques'!$C$4&lt;&gt;"?",'Choix pédagogiques'!$C$5&lt;&gt;"?",W920&lt;&gt;""),(W920-'Choix pédagogiques'!$C$4)/('Choix pédagogiques'!$C$5-'Choix pédagogiques'!$C$4),"")</f>
        <v/>
      </c>
      <c r="AS920" s="49" t="str">
        <f>IF(AND('Choix pédagogiques'!$C$4&lt;&gt;"?",'Choix pédagogiques'!$C$5&lt;&gt;"?",X920&lt;&gt;""),(X920-'Choix pédagogiques'!$C$4)/('Choix pédagogiques'!$C$5-'Choix pédagogiques'!$C$4),"")</f>
        <v/>
      </c>
      <c r="AT920" s="49" t="str">
        <f>IF(AND('Choix pédagogiques'!$C$4&lt;&gt;"?",'Choix pédagogiques'!$C$5&lt;&gt;"?",Y920&lt;&gt;""),(Y920-'Choix pédagogiques'!$C$4)/('Choix pédagogiques'!$C$5-'Choix pédagogiques'!$C$4),"")</f>
        <v/>
      </c>
      <c r="AU920" s="22" t="str">
        <f t="shared" si="634"/>
        <v/>
      </c>
      <c r="AV920" s="21" t="str">
        <f t="shared" si="635"/>
        <v>Apprenant 908 ou 908'</v>
      </c>
      <c r="AW920" s="49" t="str">
        <f>IF(AND('Choix pédagogiques'!$C$4&lt;&gt;"?",'Choix pédagogiques'!$C$5&lt;&gt;"?",AB920&lt;&gt;""),(AB920-'Choix pédagogiques'!$C$4)/('Choix pédagogiques'!$C$5-'Choix pédagogiques'!$C$4),"")</f>
        <v/>
      </c>
      <c r="AX920" s="49" t="str">
        <f>IF(AND('Choix pédagogiques'!$C$4&lt;&gt;"?",'Choix pédagogiques'!$C$5&lt;&gt;"?",AC920&lt;&gt;""),(AC920-'Choix pédagogiques'!$C$4)/('Choix pédagogiques'!$C$5-'Choix pédagogiques'!$C$4),"")</f>
        <v/>
      </c>
      <c r="AY920" s="49" t="str">
        <f>IF(AND('Choix pédagogiques'!$C$4&lt;&gt;"?",'Choix pédagogiques'!$C$5&lt;&gt;"?",AD920&lt;&gt;""),(AD920-'Choix pédagogiques'!$C$4)/('Choix pédagogiques'!$C$5-'Choix pédagogiques'!$C$4),"")</f>
        <v/>
      </c>
      <c r="AZ920" s="22" t="str">
        <f t="shared" si="636"/>
        <v/>
      </c>
      <c r="BA920" s="21" t="str">
        <f t="shared" si="637"/>
        <v>Apprenant 908</v>
      </c>
      <c r="BB920" s="49" t="str">
        <f t="shared" si="609"/>
        <v/>
      </c>
      <c r="BC920" s="49" t="str">
        <f t="shared" si="610"/>
        <v/>
      </c>
      <c r="BD920" s="49" t="str">
        <f t="shared" si="611"/>
        <v/>
      </c>
      <c r="BE920" s="22" t="str">
        <f t="shared" si="638"/>
        <v/>
      </c>
      <c r="BF920" s="21" t="str">
        <f t="shared" si="639"/>
        <v>Apprenant 908 ou 908'</v>
      </c>
      <c r="BG920" s="49" t="str">
        <f t="shared" si="612"/>
        <v/>
      </c>
      <c r="BH920" s="49" t="str">
        <f t="shared" si="613"/>
        <v/>
      </c>
      <c r="BI920" s="49" t="str">
        <f t="shared" si="614"/>
        <v/>
      </c>
      <c r="BJ920" s="22" t="str">
        <f t="shared" si="640"/>
        <v/>
      </c>
      <c r="BL920" s="21"/>
      <c r="BM920" s="21" t="str">
        <f>IF(OR(COUNT(B920:D1919)=0,AND('Choix pédagogiques'!$C$3&lt;&gt;1,'Choix pédagogiques'!$C$3&lt;&gt;2)),"",IF(AND(OR('Choix pédagogiques'!$C$3=1,'Choix pédagogiques'!$C$3=2),$B920&lt;&gt;"",$C920&lt;&gt;"",$D920&lt;&gt;""),1,0))</f>
        <v/>
      </c>
      <c r="BN920" s="21" t="str">
        <f>IF(OR(COUNT(G920:I1919)=0,AND('Choix pédagogiques'!$C$3&lt;&gt;1,'Choix pédagogiques'!$C$3&lt;&gt;2)),"",IF(AND(OR('Choix pédagogiques'!$C$3=1,'Choix pédagogiques'!$C$3=2),AND($G920&lt;&gt;"",$H920&lt;&gt;"",$I920&lt;&gt;"")),1,0))</f>
        <v/>
      </c>
      <c r="BO920" s="21" t="str">
        <f>IF(OR(COUNT(B920:D1919)=0,COUNT(G920:I1919)=0,'Choix pédagogiques'!C$3&lt;&gt;3),"",IF(AND('Choix pédagogiques'!$C$3=3,$B920&lt;&gt;"",$C920&lt;&gt;"",$D920&lt;&gt;"",$G920&lt;&gt;"",$H920&lt;&gt;"",$I920&lt;&gt;""),1,0))</f>
        <v/>
      </c>
      <c r="BR920" s="21">
        <v>422</v>
      </c>
      <c r="BS920" s="21">
        <v>1749</v>
      </c>
      <c r="BT920"/>
    </row>
    <row r="921" spans="1:72" s="23" customFormat="1" ht="18" customHeight="1" x14ac:dyDescent="0.3">
      <c r="A921" s="35" t="s">
        <v>911</v>
      </c>
      <c r="B921" s="37"/>
      <c r="C921" s="37"/>
      <c r="D921" s="37"/>
      <c r="E921" s="37"/>
      <c r="F921" s="35" t="s">
        <v>1919</v>
      </c>
      <c r="G921" s="37"/>
      <c r="H921" s="37"/>
      <c r="I921" s="37"/>
      <c r="J921" s="37"/>
      <c r="K921" s="21" t="str">
        <f t="shared" si="615"/>
        <v>Apprenant 909</v>
      </c>
      <c r="L921" s="22" t="str">
        <f t="shared" si="616"/>
        <v/>
      </c>
      <c r="M921" s="22" t="str">
        <f t="shared" si="617"/>
        <v/>
      </c>
      <c r="N921" s="22" t="str">
        <f t="shared" si="618"/>
        <v/>
      </c>
      <c r="O921" s="22" t="str">
        <f t="shared" si="619"/>
        <v/>
      </c>
      <c r="P921" s="21" t="str">
        <f t="shared" si="620"/>
        <v>Apprenant 909 ou 909'</v>
      </c>
      <c r="Q921" s="22" t="str">
        <f t="shared" si="621"/>
        <v/>
      </c>
      <c r="R921" s="22" t="str">
        <f t="shared" si="622"/>
        <v/>
      </c>
      <c r="S921" s="22" t="str">
        <f t="shared" si="623"/>
        <v/>
      </c>
      <c r="T921" s="22" t="str">
        <f t="shared" si="624"/>
        <v/>
      </c>
      <c r="V921" s="21" t="str">
        <f t="shared" si="625"/>
        <v>Apprenant 909</v>
      </c>
      <c r="W921" s="22" t="str">
        <f>IF(AND(OR('Choix pédagogiques'!$C$3=1,'Choix pédagogiques'!$C$3=2),$BM921=1),B921,IF(AND('Choix pédagogiques'!$C$3=3,$BO921=1),B921,""))</f>
        <v/>
      </c>
      <c r="X921" s="22" t="str">
        <f>IF(AND(OR('Choix pédagogiques'!$C$3=1,'Choix pédagogiques'!$C$3=2),$BM921=1),C921,IF(AND('Choix pédagogiques'!$C$3=3,$BO921=1),C921,""))</f>
        <v/>
      </c>
      <c r="Y921" s="22" t="str">
        <f>IF(AND(OR('Choix pédagogiques'!$C$3=1,'Choix pédagogiques'!$C$3=2),$BM921=1),D921,IF(AND('Choix pédagogiques'!$C$3=3,$BO921=1),D921,""))</f>
        <v/>
      </c>
      <c r="Z921" s="22" t="str">
        <f t="shared" si="626"/>
        <v/>
      </c>
      <c r="AA921" s="21" t="str">
        <f t="shared" si="627"/>
        <v>Apprenant 909 ou 909'</v>
      </c>
      <c r="AB921" s="22" t="str">
        <f>IF(AND(OR('Choix pédagogiques'!$C$3=1,'Choix pédagogiques'!$C$3=2),$BN921=1),G921,IF(AND('Choix pédagogiques'!$C$3=3,$BO921=1),G921,""))</f>
        <v/>
      </c>
      <c r="AC921" s="22" t="str">
        <f>IF(AND(OR('Choix pédagogiques'!$C$3=1,'Choix pédagogiques'!$C$3=2),$BN921=1),H921,IF(AND('Choix pédagogiques'!$C$3=3,$BO921=1),H921,""))</f>
        <v/>
      </c>
      <c r="AD921" s="22" t="str">
        <f>IF(AND(OR('Choix pédagogiques'!$C$3=1,'Choix pédagogiques'!$C$3=2),$BN921=1),I921,IF(AND('Choix pédagogiques'!$C$3=3,$BO921=1),I921,""))</f>
        <v/>
      </c>
      <c r="AE921" s="22" t="str">
        <f t="shared" si="628"/>
        <v/>
      </c>
      <c r="AF921" s="21" t="str">
        <f t="shared" si="629"/>
        <v>Apprenant 909</v>
      </c>
      <c r="AG921" s="22" t="str">
        <f t="shared" si="603"/>
        <v/>
      </c>
      <c r="AH921" s="22" t="str">
        <f t="shared" si="604"/>
        <v/>
      </c>
      <c r="AI921" s="22" t="str">
        <f t="shared" si="605"/>
        <v/>
      </c>
      <c r="AJ921" s="22" t="str">
        <f t="shared" si="630"/>
        <v/>
      </c>
      <c r="AK921" s="21" t="str">
        <f t="shared" si="631"/>
        <v>Apprenant 909 ou 909'</v>
      </c>
      <c r="AL921" s="22" t="str">
        <f t="shared" si="606"/>
        <v/>
      </c>
      <c r="AM921" s="22" t="str">
        <f t="shared" si="607"/>
        <v/>
      </c>
      <c r="AN921" s="22" t="str">
        <f t="shared" si="608"/>
        <v/>
      </c>
      <c r="AO921" s="22" t="str">
        <f t="shared" si="632"/>
        <v/>
      </c>
      <c r="AQ921" s="21" t="str">
        <f t="shared" si="633"/>
        <v>Apprenant 909</v>
      </c>
      <c r="AR921" s="49" t="str">
        <f>IF(AND('Choix pédagogiques'!$C$4&lt;&gt;"?",'Choix pédagogiques'!$C$5&lt;&gt;"?",W921&lt;&gt;""),(W921-'Choix pédagogiques'!$C$4)/('Choix pédagogiques'!$C$5-'Choix pédagogiques'!$C$4),"")</f>
        <v/>
      </c>
      <c r="AS921" s="49" t="str">
        <f>IF(AND('Choix pédagogiques'!$C$4&lt;&gt;"?",'Choix pédagogiques'!$C$5&lt;&gt;"?",X921&lt;&gt;""),(X921-'Choix pédagogiques'!$C$4)/('Choix pédagogiques'!$C$5-'Choix pédagogiques'!$C$4),"")</f>
        <v/>
      </c>
      <c r="AT921" s="49" t="str">
        <f>IF(AND('Choix pédagogiques'!$C$4&lt;&gt;"?",'Choix pédagogiques'!$C$5&lt;&gt;"?",Y921&lt;&gt;""),(Y921-'Choix pédagogiques'!$C$4)/('Choix pédagogiques'!$C$5-'Choix pédagogiques'!$C$4),"")</f>
        <v/>
      </c>
      <c r="AU921" s="22" t="str">
        <f t="shared" si="634"/>
        <v/>
      </c>
      <c r="AV921" s="21" t="str">
        <f t="shared" si="635"/>
        <v>Apprenant 909 ou 909'</v>
      </c>
      <c r="AW921" s="49" t="str">
        <f>IF(AND('Choix pédagogiques'!$C$4&lt;&gt;"?",'Choix pédagogiques'!$C$5&lt;&gt;"?",AB921&lt;&gt;""),(AB921-'Choix pédagogiques'!$C$4)/('Choix pédagogiques'!$C$5-'Choix pédagogiques'!$C$4),"")</f>
        <v/>
      </c>
      <c r="AX921" s="49" t="str">
        <f>IF(AND('Choix pédagogiques'!$C$4&lt;&gt;"?",'Choix pédagogiques'!$C$5&lt;&gt;"?",AC921&lt;&gt;""),(AC921-'Choix pédagogiques'!$C$4)/('Choix pédagogiques'!$C$5-'Choix pédagogiques'!$C$4),"")</f>
        <v/>
      </c>
      <c r="AY921" s="49" t="str">
        <f>IF(AND('Choix pédagogiques'!$C$4&lt;&gt;"?",'Choix pédagogiques'!$C$5&lt;&gt;"?",AD921&lt;&gt;""),(AD921-'Choix pédagogiques'!$C$4)/('Choix pédagogiques'!$C$5-'Choix pédagogiques'!$C$4),"")</f>
        <v/>
      </c>
      <c r="AZ921" s="22" t="str">
        <f t="shared" si="636"/>
        <v/>
      </c>
      <c r="BA921" s="21" t="str">
        <f t="shared" si="637"/>
        <v>Apprenant 909</v>
      </c>
      <c r="BB921" s="49" t="str">
        <f t="shared" si="609"/>
        <v/>
      </c>
      <c r="BC921" s="49" t="str">
        <f t="shared" si="610"/>
        <v/>
      </c>
      <c r="BD921" s="49" t="str">
        <f t="shared" si="611"/>
        <v/>
      </c>
      <c r="BE921" s="22" t="str">
        <f t="shared" si="638"/>
        <v/>
      </c>
      <c r="BF921" s="21" t="str">
        <f t="shared" si="639"/>
        <v>Apprenant 909 ou 909'</v>
      </c>
      <c r="BG921" s="49" t="str">
        <f t="shared" si="612"/>
        <v/>
      </c>
      <c r="BH921" s="49" t="str">
        <f t="shared" si="613"/>
        <v/>
      </c>
      <c r="BI921" s="49" t="str">
        <f t="shared" si="614"/>
        <v/>
      </c>
      <c r="BJ921" s="22" t="str">
        <f t="shared" si="640"/>
        <v/>
      </c>
      <c r="BL921" s="21"/>
      <c r="BM921" s="21" t="str">
        <f>IF(OR(COUNT(B921:D1920)=0,AND('Choix pédagogiques'!$C$3&lt;&gt;1,'Choix pédagogiques'!$C$3&lt;&gt;2)),"",IF(AND(OR('Choix pédagogiques'!$C$3=1,'Choix pédagogiques'!$C$3=2),$B921&lt;&gt;"",$C921&lt;&gt;"",$D921&lt;&gt;""),1,0))</f>
        <v/>
      </c>
      <c r="BN921" s="21" t="str">
        <f>IF(OR(COUNT(G921:I1920)=0,AND('Choix pédagogiques'!$C$3&lt;&gt;1,'Choix pédagogiques'!$C$3&lt;&gt;2)),"",IF(AND(OR('Choix pédagogiques'!$C$3=1,'Choix pédagogiques'!$C$3=2),AND($G921&lt;&gt;"",$H921&lt;&gt;"",$I921&lt;&gt;"")),1,0))</f>
        <v/>
      </c>
      <c r="BO921" s="21" t="str">
        <f>IF(OR(COUNT(B921:D1920)=0,COUNT(G921:I1920)=0,'Choix pédagogiques'!C$3&lt;&gt;3),"",IF(AND('Choix pédagogiques'!$C$3=3,$B921&lt;&gt;"",$C921&lt;&gt;"",$D921&lt;&gt;"",$G921&lt;&gt;"",$H921&lt;&gt;"",$I921&lt;&gt;""),1,0))</f>
        <v/>
      </c>
      <c r="BR921" s="21">
        <v>675</v>
      </c>
      <c r="BS921" s="21">
        <v>1790</v>
      </c>
      <c r="BT921"/>
    </row>
    <row r="922" spans="1:72" s="23" customFormat="1" ht="18" customHeight="1" x14ac:dyDescent="0.3">
      <c r="A922" s="35" t="s">
        <v>912</v>
      </c>
      <c r="B922" s="37"/>
      <c r="C922" s="37"/>
      <c r="D922" s="37"/>
      <c r="E922" s="37"/>
      <c r="F922" s="35" t="s">
        <v>1920</v>
      </c>
      <c r="G922" s="37"/>
      <c r="H922" s="37"/>
      <c r="I922" s="37"/>
      <c r="J922" s="37"/>
      <c r="K922" s="21" t="str">
        <f t="shared" si="615"/>
        <v>Apprenant 910</v>
      </c>
      <c r="L922" s="22" t="str">
        <f t="shared" si="616"/>
        <v/>
      </c>
      <c r="M922" s="22" t="str">
        <f t="shared" si="617"/>
        <v/>
      </c>
      <c r="N922" s="22" t="str">
        <f t="shared" si="618"/>
        <v/>
      </c>
      <c r="O922" s="22" t="str">
        <f t="shared" si="619"/>
        <v/>
      </c>
      <c r="P922" s="21" t="str">
        <f t="shared" si="620"/>
        <v>Apprenant 910 ou 910'</v>
      </c>
      <c r="Q922" s="22" t="str">
        <f t="shared" si="621"/>
        <v/>
      </c>
      <c r="R922" s="22" t="str">
        <f t="shared" si="622"/>
        <v/>
      </c>
      <c r="S922" s="22" t="str">
        <f t="shared" si="623"/>
        <v/>
      </c>
      <c r="T922" s="22" t="str">
        <f t="shared" si="624"/>
        <v/>
      </c>
      <c r="V922" s="21" t="str">
        <f t="shared" si="625"/>
        <v>Apprenant 910</v>
      </c>
      <c r="W922" s="22" t="str">
        <f>IF(AND(OR('Choix pédagogiques'!$C$3=1,'Choix pédagogiques'!$C$3=2),$BM922=1),B922,IF(AND('Choix pédagogiques'!$C$3=3,$BO922=1),B922,""))</f>
        <v/>
      </c>
      <c r="X922" s="22" t="str">
        <f>IF(AND(OR('Choix pédagogiques'!$C$3=1,'Choix pédagogiques'!$C$3=2),$BM922=1),C922,IF(AND('Choix pédagogiques'!$C$3=3,$BO922=1),C922,""))</f>
        <v/>
      </c>
      <c r="Y922" s="22" t="str">
        <f>IF(AND(OR('Choix pédagogiques'!$C$3=1,'Choix pédagogiques'!$C$3=2),$BM922=1),D922,IF(AND('Choix pédagogiques'!$C$3=3,$BO922=1),D922,""))</f>
        <v/>
      </c>
      <c r="Z922" s="22" t="str">
        <f t="shared" si="626"/>
        <v/>
      </c>
      <c r="AA922" s="21" t="str">
        <f t="shared" si="627"/>
        <v>Apprenant 910 ou 910'</v>
      </c>
      <c r="AB922" s="22" t="str">
        <f>IF(AND(OR('Choix pédagogiques'!$C$3=1,'Choix pédagogiques'!$C$3=2),$BN922=1),G922,IF(AND('Choix pédagogiques'!$C$3=3,$BO922=1),G922,""))</f>
        <v/>
      </c>
      <c r="AC922" s="22" t="str">
        <f>IF(AND(OR('Choix pédagogiques'!$C$3=1,'Choix pédagogiques'!$C$3=2),$BN922=1),H922,IF(AND('Choix pédagogiques'!$C$3=3,$BO922=1),H922,""))</f>
        <v/>
      </c>
      <c r="AD922" s="22" t="str">
        <f>IF(AND(OR('Choix pédagogiques'!$C$3=1,'Choix pédagogiques'!$C$3=2),$BN922=1),I922,IF(AND('Choix pédagogiques'!$C$3=3,$BO922=1),I922,""))</f>
        <v/>
      </c>
      <c r="AE922" s="22" t="str">
        <f t="shared" si="628"/>
        <v/>
      </c>
      <c r="AF922" s="21" t="str">
        <f t="shared" si="629"/>
        <v>Apprenant 910</v>
      </c>
      <c r="AG922" s="22" t="str">
        <f t="shared" si="603"/>
        <v/>
      </c>
      <c r="AH922" s="22" t="str">
        <f t="shared" si="604"/>
        <v/>
      </c>
      <c r="AI922" s="22" t="str">
        <f t="shared" si="605"/>
        <v/>
      </c>
      <c r="AJ922" s="22" t="str">
        <f t="shared" si="630"/>
        <v/>
      </c>
      <c r="AK922" s="21" t="str">
        <f t="shared" si="631"/>
        <v>Apprenant 910 ou 910'</v>
      </c>
      <c r="AL922" s="22" t="str">
        <f t="shared" si="606"/>
        <v/>
      </c>
      <c r="AM922" s="22" t="str">
        <f t="shared" si="607"/>
        <v/>
      </c>
      <c r="AN922" s="22" t="str">
        <f t="shared" si="608"/>
        <v/>
      </c>
      <c r="AO922" s="22" t="str">
        <f t="shared" si="632"/>
        <v/>
      </c>
      <c r="AQ922" s="21" t="str">
        <f t="shared" si="633"/>
        <v>Apprenant 910</v>
      </c>
      <c r="AR922" s="49" t="str">
        <f>IF(AND('Choix pédagogiques'!$C$4&lt;&gt;"?",'Choix pédagogiques'!$C$5&lt;&gt;"?",W922&lt;&gt;""),(W922-'Choix pédagogiques'!$C$4)/('Choix pédagogiques'!$C$5-'Choix pédagogiques'!$C$4),"")</f>
        <v/>
      </c>
      <c r="AS922" s="49" t="str">
        <f>IF(AND('Choix pédagogiques'!$C$4&lt;&gt;"?",'Choix pédagogiques'!$C$5&lt;&gt;"?",X922&lt;&gt;""),(X922-'Choix pédagogiques'!$C$4)/('Choix pédagogiques'!$C$5-'Choix pédagogiques'!$C$4),"")</f>
        <v/>
      </c>
      <c r="AT922" s="49" t="str">
        <f>IF(AND('Choix pédagogiques'!$C$4&lt;&gt;"?",'Choix pédagogiques'!$C$5&lt;&gt;"?",Y922&lt;&gt;""),(Y922-'Choix pédagogiques'!$C$4)/('Choix pédagogiques'!$C$5-'Choix pédagogiques'!$C$4),"")</f>
        <v/>
      </c>
      <c r="AU922" s="22" t="str">
        <f t="shared" si="634"/>
        <v/>
      </c>
      <c r="AV922" s="21" t="str">
        <f t="shared" si="635"/>
        <v>Apprenant 910 ou 910'</v>
      </c>
      <c r="AW922" s="49" t="str">
        <f>IF(AND('Choix pédagogiques'!$C$4&lt;&gt;"?",'Choix pédagogiques'!$C$5&lt;&gt;"?",AB922&lt;&gt;""),(AB922-'Choix pédagogiques'!$C$4)/('Choix pédagogiques'!$C$5-'Choix pédagogiques'!$C$4),"")</f>
        <v/>
      </c>
      <c r="AX922" s="49" t="str">
        <f>IF(AND('Choix pédagogiques'!$C$4&lt;&gt;"?",'Choix pédagogiques'!$C$5&lt;&gt;"?",AC922&lt;&gt;""),(AC922-'Choix pédagogiques'!$C$4)/('Choix pédagogiques'!$C$5-'Choix pédagogiques'!$C$4),"")</f>
        <v/>
      </c>
      <c r="AY922" s="49" t="str">
        <f>IF(AND('Choix pédagogiques'!$C$4&lt;&gt;"?",'Choix pédagogiques'!$C$5&lt;&gt;"?",AD922&lt;&gt;""),(AD922-'Choix pédagogiques'!$C$4)/('Choix pédagogiques'!$C$5-'Choix pédagogiques'!$C$4),"")</f>
        <v/>
      </c>
      <c r="AZ922" s="22" t="str">
        <f t="shared" si="636"/>
        <v/>
      </c>
      <c r="BA922" s="21" t="str">
        <f t="shared" si="637"/>
        <v>Apprenant 910</v>
      </c>
      <c r="BB922" s="49" t="str">
        <f t="shared" si="609"/>
        <v/>
      </c>
      <c r="BC922" s="49" t="str">
        <f t="shared" si="610"/>
        <v/>
      </c>
      <c r="BD922" s="49" t="str">
        <f t="shared" si="611"/>
        <v/>
      </c>
      <c r="BE922" s="22" t="str">
        <f t="shared" si="638"/>
        <v/>
      </c>
      <c r="BF922" s="21" t="str">
        <f t="shared" si="639"/>
        <v>Apprenant 910 ou 910'</v>
      </c>
      <c r="BG922" s="49" t="str">
        <f t="shared" si="612"/>
        <v/>
      </c>
      <c r="BH922" s="49" t="str">
        <f t="shared" si="613"/>
        <v/>
      </c>
      <c r="BI922" s="49" t="str">
        <f t="shared" si="614"/>
        <v/>
      </c>
      <c r="BJ922" s="22" t="str">
        <f t="shared" si="640"/>
        <v/>
      </c>
      <c r="BL922" s="21"/>
      <c r="BM922" s="21" t="str">
        <f>IF(OR(COUNT(B922:D1921)=0,AND('Choix pédagogiques'!$C$3&lt;&gt;1,'Choix pédagogiques'!$C$3&lt;&gt;2)),"",IF(AND(OR('Choix pédagogiques'!$C$3=1,'Choix pédagogiques'!$C$3=2),$B922&lt;&gt;"",$C922&lt;&gt;"",$D922&lt;&gt;""),1,0))</f>
        <v/>
      </c>
      <c r="BN922" s="21" t="str">
        <f>IF(OR(COUNT(G922:I1921)=0,AND('Choix pédagogiques'!$C$3&lt;&gt;1,'Choix pédagogiques'!$C$3&lt;&gt;2)),"",IF(AND(OR('Choix pédagogiques'!$C$3=1,'Choix pédagogiques'!$C$3=2),AND($G922&lt;&gt;"",$H922&lt;&gt;"",$I922&lt;&gt;"")),1,0))</f>
        <v/>
      </c>
      <c r="BO922" s="21" t="str">
        <f>IF(OR(COUNT(B922:D1921)=0,COUNT(G922:I1921)=0,'Choix pédagogiques'!C$3&lt;&gt;3),"",IF(AND('Choix pédagogiques'!$C$3=3,$B922&lt;&gt;"",$C922&lt;&gt;"",$D922&lt;&gt;"",$G922&lt;&gt;"",$H922&lt;&gt;"",$I922&lt;&gt;""),1,0))</f>
        <v/>
      </c>
      <c r="BR922" s="21">
        <v>922</v>
      </c>
      <c r="BS922" s="21">
        <v>1276</v>
      </c>
      <c r="BT922"/>
    </row>
    <row r="923" spans="1:72" s="23" customFormat="1" ht="18" customHeight="1" x14ac:dyDescent="0.3">
      <c r="A923" s="35" t="s">
        <v>913</v>
      </c>
      <c r="B923" s="37"/>
      <c r="C923" s="37"/>
      <c r="D923" s="37"/>
      <c r="E923" s="37"/>
      <c r="F923" s="35" t="s">
        <v>1921</v>
      </c>
      <c r="G923" s="37"/>
      <c r="H923" s="37"/>
      <c r="I923" s="37"/>
      <c r="J923" s="37"/>
      <c r="K923" s="21" t="str">
        <f t="shared" si="615"/>
        <v>Apprenant 911</v>
      </c>
      <c r="L923" s="22" t="str">
        <f t="shared" si="616"/>
        <v/>
      </c>
      <c r="M923" s="22" t="str">
        <f t="shared" si="617"/>
        <v/>
      </c>
      <c r="N923" s="22" t="str">
        <f t="shared" si="618"/>
        <v/>
      </c>
      <c r="O923" s="22" t="str">
        <f t="shared" si="619"/>
        <v/>
      </c>
      <c r="P923" s="21" t="str">
        <f t="shared" si="620"/>
        <v>Apprenant 911 ou 911'</v>
      </c>
      <c r="Q923" s="22" t="str">
        <f t="shared" si="621"/>
        <v/>
      </c>
      <c r="R923" s="22" t="str">
        <f t="shared" si="622"/>
        <v/>
      </c>
      <c r="S923" s="22" t="str">
        <f t="shared" si="623"/>
        <v/>
      </c>
      <c r="T923" s="22" t="str">
        <f t="shared" si="624"/>
        <v/>
      </c>
      <c r="V923" s="21" t="str">
        <f t="shared" si="625"/>
        <v>Apprenant 911</v>
      </c>
      <c r="W923" s="22" t="str">
        <f>IF(AND(OR('Choix pédagogiques'!$C$3=1,'Choix pédagogiques'!$C$3=2),$BM923=1),B923,IF(AND('Choix pédagogiques'!$C$3=3,$BO923=1),B923,""))</f>
        <v/>
      </c>
      <c r="X923" s="22" t="str">
        <f>IF(AND(OR('Choix pédagogiques'!$C$3=1,'Choix pédagogiques'!$C$3=2),$BM923=1),C923,IF(AND('Choix pédagogiques'!$C$3=3,$BO923=1),C923,""))</f>
        <v/>
      </c>
      <c r="Y923" s="22" t="str">
        <f>IF(AND(OR('Choix pédagogiques'!$C$3=1,'Choix pédagogiques'!$C$3=2),$BM923=1),D923,IF(AND('Choix pédagogiques'!$C$3=3,$BO923=1),D923,""))</f>
        <v/>
      </c>
      <c r="Z923" s="22" t="str">
        <f t="shared" si="626"/>
        <v/>
      </c>
      <c r="AA923" s="21" t="str">
        <f t="shared" si="627"/>
        <v>Apprenant 911 ou 911'</v>
      </c>
      <c r="AB923" s="22" t="str">
        <f>IF(AND(OR('Choix pédagogiques'!$C$3=1,'Choix pédagogiques'!$C$3=2),$BN923=1),G923,IF(AND('Choix pédagogiques'!$C$3=3,$BO923=1),G923,""))</f>
        <v/>
      </c>
      <c r="AC923" s="22" t="str">
        <f>IF(AND(OR('Choix pédagogiques'!$C$3=1,'Choix pédagogiques'!$C$3=2),$BN923=1),H923,IF(AND('Choix pédagogiques'!$C$3=3,$BO923=1),H923,""))</f>
        <v/>
      </c>
      <c r="AD923" s="22" t="str">
        <f>IF(AND(OR('Choix pédagogiques'!$C$3=1,'Choix pédagogiques'!$C$3=2),$BN923=1),I923,IF(AND('Choix pédagogiques'!$C$3=3,$BO923=1),I923,""))</f>
        <v/>
      </c>
      <c r="AE923" s="22" t="str">
        <f t="shared" si="628"/>
        <v/>
      </c>
      <c r="AF923" s="21" t="str">
        <f t="shared" si="629"/>
        <v>Apprenant 911</v>
      </c>
      <c r="AG923" s="22" t="str">
        <f t="shared" si="603"/>
        <v/>
      </c>
      <c r="AH923" s="22" t="str">
        <f t="shared" si="604"/>
        <v/>
      </c>
      <c r="AI923" s="22" t="str">
        <f t="shared" si="605"/>
        <v/>
      </c>
      <c r="AJ923" s="22" t="str">
        <f t="shared" si="630"/>
        <v/>
      </c>
      <c r="AK923" s="21" t="str">
        <f t="shared" si="631"/>
        <v>Apprenant 911 ou 911'</v>
      </c>
      <c r="AL923" s="22" t="str">
        <f t="shared" si="606"/>
        <v/>
      </c>
      <c r="AM923" s="22" t="str">
        <f t="shared" si="607"/>
        <v/>
      </c>
      <c r="AN923" s="22" t="str">
        <f t="shared" si="608"/>
        <v/>
      </c>
      <c r="AO923" s="22" t="str">
        <f t="shared" si="632"/>
        <v/>
      </c>
      <c r="AQ923" s="21" t="str">
        <f t="shared" si="633"/>
        <v>Apprenant 911</v>
      </c>
      <c r="AR923" s="49" t="str">
        <f>IF(AND('Choix pédagogiques'!$C$4&lt;&gt;"?",'Choix pédagogiques'!$C$5&lt;&gt;"?",W923&lt;&gt;""),(W923-'Choix pédagogiques'!$C$4)/('Choix pédagogiques'!$C$5-'Choix pédagogiques'!$C$4),"")</f>
        <v/>
      </c>
      <c r="AS923" s="49" t="str">
        <f>IF(AND('Choix pédagogiques'!$C$4&lt;&gt;"?",'Choix pédagogiques'!$C$5&lt;&gt;"?",X923&lt;&gt;""),(X923-'Choix pédagogiques'!$C$4)/('Choix pédagogiques'!$C$5-'Choix pédagogiques'!$C$4),"")</f>
        <v/>
      </c>
      <c r="AT923" s="49" t="str">
        <f>IF(AND('Choix pédagogiques'!$C$4&lt;&gt;"?",'Choix pédagogiques'!$C$5&lt;&gt;"?",Y923&lt;&gt;""),(Y923-'Choix pédagogiques'!$C$4)/('Choix pédagogiques'!$C$5-'Choix pédagogiques'!$C$4),"")</f>
        <v/>
      </c>
      <c r="AU923" s="22" t="str">
        <f t="shared" si="634"/>
        <v/>
      </c>
      <c r="AV923" s="21" t="str">
        <f t="shared" si="635"/>
        <v>Apprenant 911 ou 911'</v>
      </c>
      <c r="AW923" s="49" t="str">
        <f>IF(AND('Choix pédagogiques'!$C$4&lt;&gt;"?",'Choix pédagogiques'!$C$5&lt;&gt;"?",AB923&lt;&gt;""),(AB923-'Choix pédagogiques'!$C$4)/('Choix pédagogiques'!$C$5-'Choix pédagogiques'!$C$4),"")</f>
        <v/>
      </c>
      <c r="AX923" s="49" t="str">
        <f>IF(AND('Choix pédagogiques'!$C$4&lt;&gt;"?",'Choix pédagogiques'!$C$5&lt;&gt;"?",AC923&lt;&gt;""),(AC923-'Choix pédagogiques'!$C$4)/('Choix pédagogiques'!$C$5-'Choix pédagogiques'!$C$4),"")</f>
        <v/>
      </c>
      <c r="AY923" s="49" t="str">
        <f>IF(AND('Choix pédagogiques'!$C$4&lt;&gt;"?",'Choix pédagogiques'!$C$5&lt;&gt;"?",AD923&lt;&gt;""),(AD923-'Choix pédagogiques'!$C$4)/('Choix pédagogiques'!$C$5-'Choix pédagogiques'!$C$4),"")</f>
        <v/>
      </c>
      <c r="AZ923" s="22" t="str">
        <f t="shared" si="636"/>
        <v/>
      </c>
      <c r="BA923" s="21" t="str">
        <f t="shared" si="637"/>
        <v>Apprenant 911</v>
      </c>
      <c r="BB923" s="49" t="str">
        <f t="shared" si="609"/>
        <v/>
      </c>
      <c r="BC923" s="49" t="str">
        <f t="shared" si="610"/>
        <v/>
      </c>
      <c r="BD923" s="49" t="str">
        <f t="shared" si="611"/>
        <v/>
      </c>
      <c r="BE923" s="22" t="str">
        <f t="shared" si="638"/>
        <v/>
      </c>
      <c r="BF923" s="21" t="str">
        <f t="shared" si="639"/>
        <v>Apprenant 911 ou 911'</v>
      </c>
      <c r="BG923" s="49" t="str">
        <f t="shared" si="612"/>
        <v/>
      </c>
      <c r="BH923" s="49" t="str">
        <f t="shared" si="613"/>
        <v/>
      </c>
      <c r="BI923" s="49" t="str">
        <f t="shared" si="614"/>
        <v/>
      </c>
      <c r="BJ923" s="22" t="str">
        <f t="shared" si="640"/>
        <v/>
      </c>
      <c r="BL923" s="21"/>
      <c r="BM923" s="21" t="str">
        <f>IF(OR(COUNT(B923:D1922)=0,AND('Choix pédagogiques'!$C$3&lt;&gt;1,'Choix pédagogiques'!$C$3&lt;&gt;2)),"",IF(AND(OR('Choix pédagogiques'!$C$3=1,'Choix pédagogiques'!$C$3=2),$B923&lt;&gt;"",$C923&lt;&gt;"",$D923&lt;&gt;""),1,0))</f>
        <v/>
      </c>
      <c r="BN923" s="21" t="str">
        <f>IF(OR(COUNT(G923:I1922)=0,AND('Choix pédagogiques'!$C$3&lt;&gt;1,'Choix pédagogiques'!$C$3&lt;&gt;2)),"",IF(AND(OR('Choix pédagogiques'!$C$3=1,'Choix pédagogiques'!$C$3=2),AND($G923&lt;&gt;"",$H923&lt;&gt;"",$I923&lt;&gt;"")),1,0))</f>
        <v/>
      </c>
      <c r="BO923" s="21" t="str">
        <f>IF(OR(COUNT(B923:D1922)=0,COUNT(G923:I1922)=0,'Choix pédagogiques'!C$3&lt;&gt;3),"",IF(AND('Choix pédagogiques'!$C$3=3,$B923&lt;&gt;"",$C923&lt;&gt;"",$D923&lt;&gt;"",$G923&lt;&gt;"",$H923&lt;&gt;"",$I923&lt;&gt;""),1,0))</f>
        <v/>
      </c>
      <c r="BR923" s="21">
        <v>165</v>
      </c>
      <c r="BS923" s="21">
        <v>1385</v>
      </c>
      <c r="BT923"/>
    </row>
    <row r="924" spans="1:72" s="23" customFormat="1" ht="18" customHeight="1" x14ac:dyDescent="0.3">
      <c r="A924" s="35" t="s">
        <v>914</v>
      </c>
      <c r="B924" s="37"/>
      <c r="C924" s="37"/>
      <c r="D924" s="37"/>
      <c r="E924" s="37"/>
      <c r="F924" s="35" t="s">
        <v>1922</v>
      </c>
      <c r="G924" s="37"/>
      <c r="H924" s="37"/>
      <c r="I924" s="37"/>
      <c r="J924" s="37"/>
      <c r="K924" s="21" t="str">
        <f t="shared" si="615"/>
        <v>Apprenant 912</v>
      </c>
      <c r="L924" s="22" t="str">
        <f t="shared" si="616"/>
        <v/>
      </c>
      <c r="M924" s="22" t="str">
        <f t="shared" si="617"/>
        <v/>
      </c>
      <c r="N924" s="22" t="str">
        <f t="shared" si="618"/>
        <v/>
      </c>
      <c r="O924" s="22" t="str">
        <f t="shared" si="619"/>
        <v/>
      </c>
      <c r="P924" s="21" t="str">
        <f t="shared" si="620"/>
        <v>Apprenant 912 ou 912'</v>
      </c>
      <c r="Q924" s="22" t="str">
        <f t="shared" si="621"/>
        <v/>
      </c>
      <c r="R924" s="22" t="str">
        <f t="shared" si="622"/>
        <v/>
      </c>
      <c r="S924" s="22" t="str">
        <f t="shared" si="623"/>
        <v/>
      </c>
      <c r="T924" s="22" t="str">
        <f t="shared" si="624"/>
        <v/>
      </c>
      <c r="V924" s="21" t="str">
        <f t="shared" si="625"/>
        <v>Apprenant 912</v>
      </c>
      <c r="W924" s="22" t="str">
        <f>IF(AND(OR('Choix pédagogiques'!$C$3=1,'Choix pédagogiques'!$C$3=2),$BM924=1),B924,IF(AND('Choix pédagogiques'!$C$3=3,$BO924=1),B924,""))</f>
        <v/>
      </c>
      <c r="X924" s="22" t="str">
        <f>IF(AND(OR('Choix pédagogiques'!$C$3=1,'Choix pédagogiques'!$C$3=2),$BM924=1),C924,IF(AND('Choix pédagogiques'!$C$3=3,$BO924=1),C924,""))</f>
        <v/>
      </c>
      <c r="Y924" s="22" t="str">
        <f>IF(AND(OR('Choix pédagogiques'!$C$3=1,'Choix pédagogiques'!$C$3=2),$BM924=1),D924,IF(AND('Choix pédagogiques'!$C$3=3,$BO924=1),D924,""))</f>
        <v/>
      </c>
      <c r="Z924" s="22" t="str">
        <f t="shared" si="626"/>
        <v/>
      </c>
      <c r="AA924" s="21" t="str">
        <f t="shared" si="627"/>
        <v>Apprenant 912 ou 912'</v>
      </c>
      <c r="AB924" s="22" t="str">
        <f>IF(AND(OR('Choix pédagogiques'!$C$3=1,'Choix pédagogiques'!$C$3=2),$BN924=1),G924,IF(AND('Choix pédagogiques'!$C$3=3,$BO924=1),G924,""))</f>
        <v/>
      </c>
      <c r="AC924" s="22" t="str">
        <f>IF(AND(OR('Choix pédagogiques'!$C$3=1,'Choix pédagogiques'!$C$3=2),$BN924=1),H924,IF(AND('Choix pédagogiques'!$C$3=3,$BO924=1),H924,""))</f>
        <v/>
      </c>
      <c r="AD924" s="22" t="str">
        <f>IF(AND(OR('Choix pédagogiques'!$C$3=1,'Choix pédagogiques'!$C$3=2),$BN924=1),I924,IF(AND('Choix pédagogiques'!$C$3=3,$BO924=1),I924,""))</f>
        <v/>
      </c>
      <c r="AE924" s="22" t="str">
        <f t="shared" si="628"/>
        <v/>
      </c>
      <c r="AF924" s="21" t="str">
        <f t="shared" si="629"/>
        <v>Apprenant 912</v>
      </c>
      <c r="AG924" s="22" t="str">
        <f t="shared" si="603"/>
        <v/>
      </c>
      <c r="AH924" s="22" t="str">
        <f t="shared" si="604"/>
        <v/>
      </c>
      <c r="AI924" s="22" t="str">
        <f t="shared" si="605"/>
        <v/>
      </c>
      <c r="AJ924" s="22" t="str">
        <f t="shared" si="630"/>
        <v/>
      </c>
      <c r="AK924" s="21" t="str">
        <f t="shared" si="631"/>
        <v>Apprenant 912 ou 912'</v>
      </c>
      <c r="AL924" s="22" t="str">
        <f t="shared" si="606"/>
        <v/>
      </c>
      <c r="AM924" s="22" t="str">
        <f t="shared" si="607"/>
        <v/>
      </c>
      <c r="AN924" s="22" t="str">
        <f t="shared" si="608"/>
        <v/>
      </c>
      <c r="AO924" s="22" t="str">
        <f t="shared" si="632"/>
        <v/>
      </c>
      <c r="AQ924" s="21" t="str">
        <f t="shared" si="633"/>
        <v>Apprenant 912</v>
      </c>
      <c r="AR924" s="49" t="str">
        <f>IF(AND('Choix pédagogiques'!$C$4&lt;&gt;"?",'Choix pédagogiques'!$C$5&lt;&gt;"?",W924&lt;&gt;""),(W924-'Choix pédagogiques'!$C$4)/('Choix pédagogiques'!$C$5-'Choix pédagogiques'!$C$4),"")</f>
        <v/>
      </c>
      <c r="AS924" s="49" t="str">
        <f>IF(AND('Choix pédagogiques'!$C$4&lt;&gt;"?",'Choix pédagogiques'!$C$5&lt;&gt;"?",X924&lt;&gt;""),(X924-'Choix pédagogiques'!$C$4)/('Choix pédagogiques'!$C$5-'Choix pédagogiques'!$C$4),"")</f>
        <v/>
      </c>
      <c r="AT924" s="49" t="str">
        <f>IF(AND('Choix pédagogiques'!$C$4&lt;&gt;"?",'Choix pédagogiques'!$C$5&lt;&gt;"?",Y924&lt;&gt;""),(Y924-'Choix pédagogiques'!$C$4)/('Choix pédagogiques'!$C$5-'Choix pédagogiques'!$C$4),"")</f>
        <v/>
      </c>
      <c r="AU924" s="22" t="str">
        <f t="shared" si="634"/>
        <v/>
      </c>
      <c r="AV924" s="21" t="str">
        <f t="shared" si="635"/>
        <v>Apprenant 912 ou 912'</v>
      </c>
      <c r="AW924" s="49" t="str">
        <f>IF(AND('Choix pédagogiques'!$C$4&lt;&gt;"?",'Choix pédagogiques'!$C$5&lt;&gt;"?",AB924&lt;&gt;""),(AB924-'Choix pédagogiques'!$C$4)/('Choix pédagogiques'!$C$5-'Choix pédagogiques'!$C$4),"")</f>
        <v/>
      </c>
      <c r="AX924" s="49" t="str">
        <f>IF(AND('Choix pédagogiques'!$C$4&lt;&gt;"?",'Choix pédagogiques'!$C$5&lt;&gt;"?",AC924&lt;&gt;""),(AC924-'Choix pédagogiques'!$C$4)/('Choix pédagogiques'!$C$5-'Choix pédagogiques'!$C$4),"")</f>
        <v/>
      </c>
      <c r="AY924" s="49" t="str">
        <f>IF(AND('Choix pédagogiques'!$C$4&lt;&gt;"?",'Choix pédagogiques'!$C$5&lt;&gt;"?",AD924&lt;&gt;""),(AD924-'Choix pédagogiques'!$C$4)/('Choix pédagogiques'!$C$5-'Choix pédagogiques'!$C$4),"")</f>
        <v/>
      </c>
      <c r="AZ924" s="22" t="str">
        <f t="shared" si="636"/>
        <v/>
      </c>
      <c r="BA924" s="21" t="str">
        <f t="shared" si="637"/>
        <v>Apprenant 912</v>
      </c>
      <c r="BB924" s="49" t="str">
        <f t="shared" si="609"/>
        <v/>
      </c>
      <c r="BC924" s="49" t="str">
        <f t="shared" si="610"/>
        <v/>
      </c>
      <c r="BD924" s="49" t="str">
        <f t="shared" si="611"/>
        <v/>
      </c>
      <c r="BE924" s="22" t="str">
        <f t="shared" si="638"/>
        <v/>
      </c>
      <c r="BF924" s="21" t="str">
        <f t="shared" si="639"/>
        <v>Apprenant 912 ou 912'</v>
      </c>
      <c r="BG924" s="49" t="str">
        <f t="shared" si="612"/>
        <v/>
      </c>
      <c r="BH924" s="49" t="str">
        <f t="shared" si="613"/>
        <v/>
      </c>
      <c r="BI924" s="49" t="str">
        <f t="shared" si="614"/>
        <v/>
      </c>
      <c r="BJ924" s="22" t="str">
        <f t="shared" si="640"/>
        <v/>
      </c>
      <c r="BL924" s="21"/>
      <c r="BM924" s="21" t="str">
        <f>IF(OR(COUNT(B924:D1923)=0,AND('Choix pédagogiques'!$C$3&lt;&gt;1,'Choix pédagogiques'!$C$3&lt;&gt;2)),"",IF(AND(OR('Choix pédagogiques'!$C$3=1,'Choix pédagogiques'!$C$3=2),$B924&lt;&gt;"",$C924&lt;&gt;"",$D924&lt;&gt;""),1,0))</f>
        <v/>
      </c>
      <c r="BN924" s="21" t="str">
        <f>IF(OR(COUNT(G924:I1923)=0,AND('Choix pédagogiques'!$C$3&lt;&gt;1,'Choix pédagogiques'!$C$3&lt;&gt;2)),"",IF(AND(OR('Choix pédagogiques'!$C$3=1,'Choix pédagogiques'!$C$3=2),AND($G924&lt;&gt;"",$H924&lt;&gt;"",$I924&lt;&gt;"")),1,0))</f>
        <v/>
      </c>
      <c r="BO924" s="21" t="str">
        <f>IF(OR(COUNT(B924:D1923)=0,COUNT(G924:I1923)=0,'Choix pédagogiques'!C$3&lt;&gt;3),"",IF(AND('Choix pédagogiques'!$C$3=3,$B924&lt;&gt;"",$C924&lt;&gt;"",$D924&lt;&gt;"",$G924&lt;&gt;"",$H924&lt;&gt;"",$I924&lt;&gt;""),1,0))</f>
        <v/>
      </c>
      <c r="BR924" s="21">
        <v>273</v>
      </c>
      <c r="BS924" s="21">
        <v>1066</v>
      </c>
      <c r="BT924"/>
    </row>
    <row r="925" spans="1:72" s="23" customFormat="1" ht="18" customHeight="1" x14ac:dyDescent="0.3">
      <c r="A925" s="35" t="s">
        <v>915</v>
      </c>
      <c r="B925" s="37"/>
      <c r="C925" s="37"/>
      <c r="D925" s="37"/>
      <c r="E925" s="37"/>
      <c r="F925" s="35" t="s">
        <v>1923</v>
      </c>
      <c r="G925" s="37"/>
      <c r="H925" s="37"/>
      <c r="I925" s="37"/>
      <c r="J925" s="37"/>
      <c r="K925" s="21" t="str">
        <f t="shared" si="615"/>
        <v>Apprenant 913</v>
      </c>
      <c r="L925" s="22" t="str">
        <f t="shared" si="616"/>
        <v/>
      </c>
      <c r="M925" s="22" t="str">
        <f t="shared" si="617"/>
        <v/>
      </c>
      <c r="N925" s="22" t="str">
        <f t="shared" si="618"/>
        <v/>
      </c>
      <c r="O925" s="22" t="str">
        <f t="shared" si="619"/>
        <v/>
      </c>
      <c r="P925" s="21" t="str">
        <f t="shared" si="620"/>
        <v>Apprenant 913 ou 913'</v>
      </c>
      <c r="Q925" s="22" t="str">
        <f t="shared" si="621"/>
        <v/>
      </c>
      <c r="R925" s="22" t="str">
        <f t="shared" si="622"/>
        <v/>
      </c>
      <c r="S925" s="22" t="str">
        <f t="shared" si="623"/>
        <v/>
      </c>
      <c r="T925" s="22" t="str">
        <f t="shared" si="624"/>
        <v/>
      </c>
      <c r="V925" s="21" t="str">
        <f t="shared" si="625"/>
        <v>Apprenant 913</v>
      </c>
      <c r="W925" s="22" t="str">
        <f>IF(AND(OR('Choix pédagogiques'!$C$3=1,'Choix pédagogiques'!$C$3=2),$BM925=1),B925,IF(AND('Choix pédagogiques'!$C$3=3,$BO925=1),B925,""))</f>
        <v/>
      </c>
      <c r="X925" s="22" t="str">
        <f>IF(AND(OR('Choix pédagogiques'!$C$3=1,'Choix pédagogiques'!$C$3=2),$BM925=1),C925,IF(AND('Choix pédagogiques'!$C$3=3,$BO925=1),C925,""))</f>
        <v/>
      </c>
      <c r="Y925" s="22" t="str">
        <f>IF(AND(OR('Choix pédagogiques'!$C$3=1,'Choix pédagogiques'!$C$3=2),$BM925=1),D925,IF(AND('Choix pédagogiques'!$C$3=3,$BO925=1),D925,""))</f>
        <v/>
      </c>
      <c r="Z925" s="22" t="str">
        <f t="shared" si="626"/>
        <v/>
      </c>
      <c r="AA925" s="21" t="str">
        <f t="shared" si="627"/>
        <v>Apprenant 913 ou 913'</v>
      </c>
      <c r="AB925" s="22" t="str">
        <f>IF(AND(OR('Choix pédagogiques'!$C$3=1,'Choix pédagogiques'!$C$3=2),$BN925=1),G925,IF(AND('Choix pédagogiques'!$C$3=3,$BO925=1),G925,""))</f>
        <v/>
      </c>
      <c r="AC925" s="22" t="str">
        <f>IF(AND(OR('Choix pédagogiques'!$C$3=1,'Choix pédagogiques'!$C$3=2),$BN925=1),H925,IF(AND('Choix pédagogiques'!$C$3=3,$BO925=1),H925,""))</f>
        <v/>
      </c>
      <c r="AD925" s="22" t="str">
        <f>IF(AND(OR('Choix pédagogiques'!$C$3=1,'Choix pédagogiques'!$C$3=2),$BN925=1),I925,IF(AND('Choix pédagogiques'!$C$3=3,$BO925=1),I925,""))</f>
        <v/>
      </c>
      <c r="AE925" s="22" t="str">
        <f t="shared" si="628"/>
        <v/>
      </c>
      <c r="AF925" s="21" t="str">
        <f t="shared" si="629"/>
        <v>Apprenant 913</v>
      </c>
      <c r="AG925" s="22" t="str">
        <f t="shared" si="603"/>
        <v/>
      </c>
      <c r="AH925" s="22" t="str">
        <f t="shared" si="604"/>
        <v/>
      </c>
      <c r="AI925" s="22" t="str">
        <f t="shared" si="605"/>
        <v/>
      </c>
      <c r="AJ925" s="22" t="str">
        <f t="shared" si="630"/>
        <v/>
      </c>
      <c r="AK925" s="21" t="str">
        <f t="shared" si="631"/>
        <v>Apprenant 913 ou 913'</v>
      </c>
      <c r="AL925" s="22" t="str">
        <f t="shared" si="606"/>
        <v/>
      </c>
      <c r="AM925" s="22" t="str">
        <f t="shared" si="607"/>
        <v/>
      </c>
      <c r="AN925" s="22" t="str">
        <f t="shared" si="608"/>
        <v/>
      </c>
      <c r="AO925" s="22" t="str">
        <f t="shared" si="632"/>
        <v/>
      </c>
      <c r="AQ925" s="21" t="str">
        <f t="shared" si="633"/>
        <v>Apprenant 913</v>
      </c>
      <c r="AR925" s="49" t="str">
        <f>IF(AND('Choix pédagogiques'!$C$4&lt;&gt;"?",'Choix pédagogiques'!$C$5&lt;&gt;"?",W925&lt;&gt;""),(W925-'Choix pédagogiques'!$C$4)/('Choix pédagogiques'!$C$5-'Choix pédagogiques'!$C$4),"")</f>
        <v/>
      </c>
      <c r="AS925" s="49" t="str">
        <f>IF(AND('Choix pédagogiques'!$C$4&lt;&gt;"?",'Choix pédagogiques'!$C$5&lt;&gt;"?",X925&lt;&gt;""),(X925-'Choix pédagogiques'!$C$4)/('Choix pédagogiques'!$C$5-'Choix pédagogiques'!$C$4),"")</f>
        <v/>
      </c>
      <c r="AT925" s="49" t="str">
        <f>IF(AND('Choix pédagogiques'!$C$4&lt;&gt;"?",'Choix pédagogiques'!$C$5&lt;&gt;"?",Y925&lt;&gt;""),(Y925-'Choix pédagogiques'!$C$4)/('Choix pédagogiques'!$C$5-'Choix pédagogiques'!$C$4),"")</f>
        <v/>
      </c>
      <c r="AU925" s="22" t="str">
        <f t="shared" si="634"/>
        <v/>
      </c>
      <c r="AV925" s="21" t="str">
        <f t="shared" si="635"/>
        <v>Apprenant 913 ou 913'</v>
      </c>
      <c r="AW925" s="49" t="str">
        <f>IF(AND('Choix pédagogiques'!$C$4&lt;&gt;"?",'Choix pédagogiques'!$C$5&lt;&gt;"?",AB925&lt;&gt;""),(AB925-'Choix pédagogiques'!$C$4)/('Choix pédagogiques'!$C$5-'Choix pédagogiques'!$C$4),"")</f>
        <v/>
      </c>
      <c r="AX925" s="49" t="str">
        <f>IF(AND('Choix pédagogiques'!$C$4&lt;&gt;"?",'Choix pédagogiques'!$C$5&lt;&gt;"?",AC925&lt;&gt;""),(AC925-'Choix pédagogiques'!$C$4)/('Choix pédagogiques'!$C$5-'Choix pédagogiques'!$C$4),"")</f>
        <v/>
      </c>
      <c r="AY925" s="49" t="str">
        <f>IF(AND('Choix pédagogiques'!$C$4&lt;&gt;"?",'Choix pédagogiques'!$C$5&lt;&gt;"?",AD925&lt;&gt;""),(AD925-'Choix pédagogiques'!$C$4)/('Choix pédagogiques'!$C$5-'Choix pédagogiques'!$C$4),"")</f>
        <v/>
      </c>
      <c r="AZ925" s="22" t="str">
        <f t="shared" si="636"/>
        <v/>
      </c>
      <c r="BA925" s="21" t="str">
        <f t="shared" si="637"/>
        <v>Apprenant 913</v>
      </c>
      <c r="BB925" s="49" t="str">
        <f t="shared" si="609"/>
        <v/>
      </c>
      <c r="BC925" s="49" t="str">
        <f t="shared" si="610"/>
        <v/>
      </c>
      <c r="BD925" s="49" t="str">
        <f t="shared" si="611"/>
        <v/>
      </c>
      <c r="BE925" s="22" t="str">
        <f t="shared" si="638"/>
        <v/>
      </c>
      <c r="BF925" s="21" t="str">
        <f t="shared" si="639"/>
        <v>Apprenant 913 ou 913'</v>
      </c>
      <c r="BG925" s="49" t="str">
        <f t="shared" si="612"/>
        <v/>
      </c>
      <c r="BH925" s="49" t="str">
        <f t="shared" si="613"/>
        <v/>
      </c>
      <c r="BI925" s="49" t="str">
        <f t="shared" si="614"/>
        <v/>
      </c>
      <c r="BJ925" s="22" t="str">
        <f t="shared" si="640"/>
        <v/>
      </c>
      <c r="BL925" s="21"/>
      <c r="BM925" s="21" t="str">
        <f>IF(OR(COUNT(B925:D1924)=0,AND('Choix pédagogiques'!$C$3&lt;&gt;1,'Choix pédagogiques'!$C$3&lt;&gt;2)),"",IF(AND(OR('Choix pédagogiques'!$C$3=1,'Choix pédagogiques'!$C$3=2),$B925&lt;&gt;"",$C925&lt;&gt;"",$D925&lt;&gt;""),1,0))</f>
        <v/>
      </c>
      <c r="BN925" s="21" t="str">
        <f>IF(OR(COUNT(G925:I1924)=0,AND('Choix pédagogiques'!$C$3&lt;&gt;1,'Choix pédagogiques'!$C$3&lt;&gt;2)),"",IF(AND(OR('Choix pédagogiques'!$C$3=1,'Choix pédagogiques'!$C$3=2),AND($G925&lt;&gt;"",$H925&lt;&gt;"",$I925&lt;&gt;"")),1,0))</f>
        <v/>
      </c>
      <c r="BO925" s="21" t="str">
        <f>IF(OR(COUNT(B925:D1924)=0,COUNT(G925:I1924)=0,'Choix pédagogiques'!C$3&lt;&gt;3),"",IF(AND('Choix pédagogiques'!$C$3=3,$B925&lt;&gt;"",$C925&lt;&gt;"",$D925&lt;&gt;"",$G925&lt;&gt;"",$H925&lt;&gt;"",$I925&lt;&gt;""),1,0))</f>
        <v/>
      </c>
      <c r="BR925" s="21">
        <v>57</v>
      </c>
      <c r="BS925" s="21">
        <v>1775</v>
      </c>
      <c r="BT925"/>
    </row>
    <row r="926" spans="1:72" s="23" customFormat="1" ht="18" customHeight="1" x14ac:dyDescent="0.3">
      <c r="A926" s="35" t="s">
        <v>916</v>
      </c>
      <c r="B926" s="37"/>
      <c r="C926" s="37"/>
      <c r="D926" s="37"/>
      <c r="E926" s="37"/>
      <c r="F926" s="35" t="s">
        <v>1924</v>
      </c>
      <c r="G926" s="37"/>
      <c r="H926" s="37"/>
      <c r="I926" s="37"/>
      <c r="J926" s="37"/>
      <c r="K926" s="21" t="str">
        <f t="shared" si="615"/>
        <v>Apprenant 914</v>
      </c>
      <c r="L926" s="22" t="str">
        <f t="shared" si="616"/>
        <v/>
      </c>
      <c r="M926" s="22" t="str">
        <f t="shared" si="617"/>
        <v/>
      </c>
      <c r="N926" s="22" t="str">
        <f t="shared" si="618"/>
        <v/>
      </c>
      <c r="O926" s="22" t="str">
        <f t="shared" si="619"/>
        <v/>
      </c>
      <c r="P926" s="21" t="str">
        <f t="shared" si="620"/>
        <v>Apprenant 914 ou 914'</v>
      </c>
      <c r="Q926" s="22" t="str">
        <f t="shared" si="621"/>
        <v/>
      </c>
      <c r="R926" s="22" t="str">
        <f t="shared" si="622"/>
        <v/>
      </c>
      <c r="S926" s="22" t="str">
        <f t="shared" si="623"/>
        <v/>
      </c>
      <c r="T926" s="22" t="str">
        <f t="shared" si="624"/>
        <v/>
      </c>
      <c r="V926" s="21" t="str">
        <f t="shared" si="625"/>
        <v>Apprenant 914</v>
      </c>
      <c r="W926" s="22" t="str">
        <f>IF(AND(OR('Choix pédagogiques'!$C$3=1,'Choix pédagogiques'!$C$3=2),$BM926=1),B926,IF(AND('Choix pédagogiques'!$C$3=3,$BO926=1),B926,""))</f>
        <v/>
      </c>
      <c r="X926" s="22" t="str">
        <f>IF(AND(OR('Choix pédagogiques'!$C$3=1,'Choix pédagogiques'!$C$3=2),$BM926=1),C926,IF(AND('Choix pédagogiques'!$C$3=3,$BO926=1),C926,""))</f>
        <v/>
      </c>
      <c r="Y926" s="22" t="str">
        <f>IF(AND(OR('Choix pédagogiques'!$C$3=1,'Choix pédagogiques'!$C$3=2),$BM926=1),D926,IF(AND('Choix pédagogiques'!$C$3=3,$BO926=1),D926,""))</f>
        <v/>
      </c>
      <c r="Z926" s="22" t="str">
        <f t="shared" si="626"/>
        <v/>
      </c>
      <c r="AA926" s="21" t="str">
        <f t="shared" si="627"/>
        <v>Apprenant 914 ou 914'</v>
      </c>
      <c r="AB926" s="22" t="str">
        <f>IF(AND(OR('Choix pédagogiques'!$C$3=1,'Choix pédagogiques'!$C$3=2),$BN926=1),G926,IF(AND('Choix pédagogiques'!$C$3=3,$BO926=1),G926,""))</f>
        <v/>
      </c>
      <c r="AC926" s="22" t="str">
        <f>IF(AND(OR('Choix pédagogiques'!$C$3=1,'Choix pédagogiques'!$C$3=2),$BN926=1),H926,IF(AND('Choix pédagogiques'!$C$3=3,$BO926=1),H926,""))</f>
        <v/>
      </c>
      <c r="AD926" s="22" t="str">
        <f>IF(AND(OR('Choix pédagogiques'!$C$3=1,'Choix pédagogiques'!$C$3=2),$BN926=1),I926,IF(AND('Choix pédagogiques'!$C$3=3,$BO926=1),I926,""))</f>
        <v/>
      </c>
      <c r="AE926" s="22" t="str">
        <f t="shared" si="628"/>
        <v/>
      </c>
      <c r="AF926" s="21" t="str">
        <f t="shared" si="629"/>
        <v>Apprenant 914</v>
      </c>
      <c r="AG926" s="22" t="str">
        <f t="shared" si="603"/>
        <v/>
      </c>
      <c r="AH926" s="22" t="str">
        <f t="shared" si="604"/>
        <v/>
      </c>
      <c r="AI926" s="22" t="str">
        <f t="shared" si="605"/>
        <v/>
      </c>
      <c r="AJ926" s="22" t="str">
        <f t="shared" si="630"/>
        <v/>
      </c>
      <c r="AK926" s="21" t="str">
        <f t="shared" si="631"/>
        <v>Apprenant 914 ou 914'</v>
      </c>
      <c r="AL926" s="22" t="str">
        <f t="shared" si="606"/>
        <v/>
      </c>
      <c r="AM926" s="22" t="str">
        <f t="shared" si="607"/>
        <v/>
      </c>
      <c r="AN926" s="22" t="str">
        <f t="shared" si="608"/>
        <v/>
      </c>
      <c r="AO926" s="22" t="str">
        <f t="shared" si="632"/>
        <v/>
      </c>
      <c r="AQ926" s="21" t="str">
        <f t="shared" si="633"/>
        <v>Apprenant 914</v>
      </c>
      <c r="AR926" s="49" t="str">
        <f>IF(AND('Choix pédagogiques'!$C$4&lt;&gt;"?",'Choix pédagogiques'!$C$5&lt;&gt;"?",W926&lt;&gt;""),(W926-'Choix pédagogiques'!$C$4)/('Choix pédagogiques'!$C$5-'Choix pédagogiques'!$C$4),"")</f>
        <v/>
      </c>
      <c r="AS926" s="49" t="str">
        <f>IF(AND('Choix pédagogiques'!$C$4&lt;&gt;"?",'Choix pédagogiques'!$C$5&lt;&gt;"?",X926&lt;&gt;""),(X926-'Choix pédagogiques'!$C$4)/('Choix pédagogiques'!$C$5-'Choix pédagogiques'!$C$4),"")</f>
        <v/>
      </c>
      <c r="AT926" s="49" t="str">
        <f>IF(AND('Choix pédagogiques'!$C$4&lt;&gt;"?",'Choix pédagogiques'!$C$5&lt;&gt;"?",Y926&lt;&gt;""),(Y926-'Choix pédagogiques'!$C$4)/('Choix pédagogiques'!$C$5-'Choix pédagogiques'!$C$4),"")</f>
        <v/>
      </c>
      <c r="AU926" s="22" t="str">
        <f t="shared" si="634"/>
        <v/>
      </c>
      <c r="AV926" s="21" t="str">
        <f t="shared" si="635"/>
        <v>Apprenant 914 ou 914'</v>
      </c>
      <c r="AW926" s="49" t="str">
        <f>IF(AND('Choix pédagogiques'!$C$4&lt;&gt;"?",'Choix pédagogiques'!$C$5&lt;&gt;"?",AB926&lt;&gt;""),(AB926-'Choix pédagogiques'!$C$4)/('Choix pédagogiques'!$C$5-'Choix pédagogiques'!$C$4),"")</f>
        <v/>
      </c>
      <c r="AX926" s="49" t="str">
        <f>IF(AND('Choix pédagogiques'!$C$4&lt;&gt;"?",'Choix pédagogiques'!$C$5&lt;&gt;"?",AC926&lt;&gt;""),(AC926-'Choix pédagogiques'!$C$4)/('Choix pédagogiques'!$C$5-'Choix pédagogiques'!$C$4),"")</f>
        <v/>
      </c>
      <c r="AY926" s="49" t="str">
        <f>IF(AND('Choix pédagogiques'!$C$4&lt;&gt;"?",'Choix pédagogiques'!$C$5&lt;&gt;"?",AD926&lt;&gt;""),(AD926-'Choix pédagogiques'!$C$4)/('Choix pédagogiques'!$C$5-'Choix pédagogiques'!$C$4),"")</f>
        <v/>
      </c>
      <c r="AZ926" s="22" t="str">
        <f t="shared" si="636"/>
        <v/>
      </c>
      <c r="BA926" s="21" t="str">
        <f t="shared" si="637"/>
        <v>Apprenant 914</v>
      </c>
      <c r="BB926" s="49" t="str">
        <f t="shared" si="609"/>
        <v/>
      </c>
      <c r="BC926" s="49" t="str">
        <f t="shared" si="610"/>
        <v/>
      </c>
      <c r="BD926" s="49" t="str">
        <f t="shared" si="611"/>
        <v/>
      </c>
      <c r="BE926" s="22" t="str">
        <f t="shared" si="638"/>
        <v/>
      </c>
      <c r="BF926" s="21" t="str">
        <f t="shared" si="639"/>
        <v>Apprenant 914 ou 914'</v>
      </c>
      <c r="BG926" s="49" t="str">
        <f t="shared" si="612"/>
        <v/>
      </c>
      <c r="BH926" s="49" t="str">
        <f t="shared" si="613"/>
        <v/>
      </c>
      <c r="BI926" s="49" t="str">
        <f t="shared" si="614"/>
        <v/>
      </c>
      <c r="BJ926" s="22" t="str">
        <f t="shared" si="640"/>
        <v/>
      </c>
      <c r="BL926" s="21"/>
      <c r="BM926" s="21" t="str">
        <f>IF(OR(COUNT(B926:D1925)=0,AND('Choix pédagogiques'!$C$3&lt;&gt;1,'Choix pédagogiques'!$C$3&lt;&gt;2)),"",IF(AND(OR('Choix pédagogiques'!$C$3=1,'Choix pédagogiques'!$C$3=2),$B926&lt;&gt;"",$C926&lt;&gt;"",$D926&lt;&gt;""),1,0))</f>
        <v/>
      </c>
      <c r="BN926" s="21" t="str">
        <f>IF(OR(COUNT(G926:I1925)=0,AND('Choix pédagogiques'!$C$3&lt;&gt;1,'Choix pédagogiques'!$C$3&lt;&gt;2)),"",IF(AND(OR('Choix pédagogiques'!$C$3=1,'Choix pédagogiques'!$C$3=2),AND($G926&lt;&gt;"",$H926&lt;&gt;"",$I926&lt;&gt;"")),1,0))</f>
        <v/>
      </c>
      <c r="BO926" s="21" t="str">
        <f>IF(OR(COUNT(B926:D1925)=0,COUNT(G926:I1925)=0,'Choix pédagogiques'!C$3&lt;&gt;3),"",IF(AND('Choix pédagogiques'!$C$3=3,$B926&lt;&gt;"",$C926&lt;&gt;"",$D926&lt;&gt;"",$G926&lt;&gt;"",$H926&lt;&gt;"",$I926&lt;&gt;""),1,0))</f>
        <v/>
      </c>
      <c r="BR926" s="21">
        <v>379</v>
      </c>
      <c r="BS926" s="21">
        <v>1459</v>
      </c>
      <c r="BT926"/>
    </row>
    <row r="927" spans="1:72" s="23" customFormat="1" ht="18" customHeight="1" x14ac:dyDescent="0.3">
      <c r="A927" s="35" t="s">
        <v>917</v>
      </c>
      <c r="B927" s="37"/>
      <c r="C927" s="37"/>
      <c r="D927" s="37"/>
      <c r="E927" s="37"/>
      <c r="F927" s="35" t="s">
        <v>1925</v>
      </c>
      <c r="G927" s="37"/>
      <c r="H927" s="37"/>
      <c r="I927" s="37"/>
      <c r="J927" s="37"/>
      <c r="K927" s="21" t="str">
        <f t="shared" si="615"/>
        <v>Apprenant 915</v>
      </c>
      <c r="L927" s="22" t="str">
        <f t="shared" si="616"/>
        <v/>
      </c>
      <c r="M927" s="22" t="str">
        <f t="shared" si="617"/>
        <v/>
      </c>
      <c r="N927" s="22" t="str">
        <f t="shared" si="618"/>
        <v/>
      </c>
      <c r="O927" s="22" t="str">
        <f t="shared" si="619"/>
        <v/>
      </c>
      <c r="P927" s="21" t="str">
        <f t="shared" si="620"/>
        <v>Apprenant 915 ou 915'</v>
      </c>
      <c r="Q927" s="22" t="str">
        <f t="shared" si="621"/>
        <v/>
      </c>
      <c r="R927" s="22" t="str">
        <f t="shared" si="622"/>
        <v/>
      </c>
      <c r="S927" s="22" t="str">
        <f t="shared" si="623"/>
        <v/>
      </c>
      <c r="T927" s="22" t="str">
        <f t="shared" si="624"/>
        <v/>
      </c>
      <c r="V927" s="21" t="str">
        <f t="shared" si="625"/>
        <v>Apprenant 915</v>
      </c>
      <c r="W927" s="22" t="str">
        <f>IF(AND(OR('Choix pédagogiques'!$C$3=1,'Choix pédagogiques'!$C$3=2),$BM927=1),B927,IF(AND('Choix pédagogiques'!$C$3=3,$BO927=1),B927,""))</f>
        <v/>
      </c>
      <c r="X927" s="22" t="str">
        <f>IF(AND(OR('Choix pédagogiques'!$C$3=1,'Choix pédagogiques'!$C$3=2),$BM927=1),C927,IF(AND('Choix pédagogiques'!$C$3=3,$BO927=1),C927,""))</f>
        <v/>
      </c>
      <c r="Y927" s="22" t="str">
        <f>IF(AND(OR('Choix pédagogiques'!$C$3=1,'Choix pédagogiques'!$C$3=2),$BM927=1),D927,IF(AND('Choix pédagogiques'!$C$3=3,$BO927=1),D927,""))</f>
        <v/>
      </c>
      <c r="Z927" s="22" t="str">
        <f t="shared" si="626"/>
        <v/>
      </c>
      <c r="AA927" s="21" t="str">
        <f t="shared" si="627"/>
        <v>Apprenant 915 ou 915'</v>
      </c>
      <c r="AB927" s="22" t="str">
        <f>IF(AND(OR('Choix pédagogiques'!$C$3=1,'Choix pédagogiques'!$C$3=2),$BN927=1),G927,IF(AND('Choix pédagogiques'!$C$3=3,$BO927=1),G927,""))</f>
        <v/>
      </c>
      <c r="AC927" s="22" t="str">
        <f>IF(AND(OR('Choix pédagogiques'!$C$3=1,'Choix pédagogiques'!$C$3=2),$BN927=1),H927,IF(AND('Choix pédagogiques'!$C$3=3,$BO927=1),H927,""))</f>
        <v/>
      </c>
      <c r="AD927" s="22" t="str">
        <f>IF(AND(OR('Choix pédagogiques'!$C$3=1,'Choix pédagogiques'!$C$3=2),$BN927=1),I927,IF(AND('Choix pédagogiques'!$C$3=3,$BO927=1),I927,""))</f>
        <v/>
      </c>
      <c r="AE927" s="22" t="str">
        <f t="shared" si="628"/>
        <v/>
      </c>
      <c r="AF927" s="21" t="str">
        <f t="shared" si="629"/>
        <v>Apprenant 915</v>
      </c>
      <c r="AG927" s="22" t="str">
        <f t="shared" si="603"/>
        <v/>
      </c>
      <c r="AH927" s="22" t="str">
        <f t="shared" si="604"/>
        <v/>
      </c>
      <c r="AI927" s="22" t="str">
        <f t="shared" si="605"/>
        <v/>
      </c>
      <c r="AJ927" s="22" t="str">
        <f t="shared" si="630"/>
        <v/>
      </c>
      <c r="AK927" s="21" t="str">
        <f t="shared" si="631"/>
        <v>Apprenant 915 ou 915'</v>
      </c>
      <c r="AL927" s="22" t="str">
        <f t="shared" si="606"/>
        <v/>
      </c>
      <c r="AM927" s="22" t="str">
        <f t="shared" si="607"/>
        <v/>
      </c>
      <c r="AN927" s="22" t="str">
        <f t="shared" si="608"/>
        <v/>
      </c>
      <c r="AO927" s="22" t="str">
        <f t="shared" si="632"/>
        <v/>
      </c>
      <c r="AQ927" s="21" t="str">
        <f t="shared" si="633"/>
        <v>Apprenant 915</v>
      </c>
      <c r="AR927" s="49" t="str">
        <f>IF(AND('Choix pédagogiques'!$C$4&lt;&gt;"?",'Choix pédagogiques'!$C$5&lt;&gt;"?",W927&lt;&gt;""),(W927-'Choix pédagogiques'!$C$4)/('Choix pédagogiques'!$C$5-'Choix pédagogiques'!$C$4),"")</f>
        <v/>
      </c>
      <c r="AS927" s="49" t="str">
        <f>IF(AND('Choix pédagogiques'!$C$4&lt;&gt;"?",'Choix pédagogiques'!$C$5&lt;&gt;"?",X927&lt;&gt;""),(X927-'Choix pédagogiques'!$C$4)/('Choix pédagogiques'!$C$5-'Choix pédagogiques'!$C$4),"")</f>
        <v/>
      </c>
      <c r="AT927" s="49" t="str">
        <f>IF(AND('Choix pédagogiques'!$C$4&lt;&gt;"?",'Choix pédagogiques'!$C$5&lt;&gt;"?",Y927&lt;&gt;""),(Y927-'Choix pédagogiques'!$C$4)/('Choix pédagogiques'!$C$5-'Choix pédagogiques'!$C$4),"")</f>
        <v/>
      </c>
      <c r="AU927" s="22" t="str">
        <f t="shared" si="634"/>
        <v/>
      </c>
      <c r="AV927" s="21" t="str">
        <f t="shared" si="635"/>
        <v>Apprenant 915 ou 915'</v>
      </c>
      <c r="AW927" s="49" t="str">
        <f>IF(AND('Choix pédagogiques'!$C$4&lt;&gt;"?",'Choix pédagogiques'!$C$5&lt;&gt;"?",AB927&lt;&gt;""),(AB927-'Choix pédagogiques'!$C$4)/('Choix pédagogiques'!$C$5-'Choix pédagogiques'!$C$4),"")</f>
        <v/>
      </c>
      <c r="AX927" s="49" t="str">
        <f>IF(AND('Choix pédagogiques'!$C$4&lt;&gt;"?",'Choix pédagogiques'!$C$5&lt;&gt;"?",AC927&lt;&gt;""),(AC927-'Choix pédagogiques'!$C$4)/('Choix pédagogiques'!$C$5-'Choix pédagogiques'!$C$4),"")</f>
        <v/>
      </c>
      <c r="AY927" s="49" t="str">
        <f>IF(AND('Choix pédagogiques'!$C$4&lt;&gt;"?",'Choix pédagogiques'!$C$5&lt;&gt;"?",AD927&lt;&gt;""),(AD927-'Choix pédagogiques'!$C$4)/('Choix pédagogiques'!$C$5-'Choix pédagogiques'!$C$4),"")</f>
        <v/>
      </c>
      <c r="AZ927" s="22" t="str">
        <f t="shared" si="636"/>
        <v/>
      </c>
      <c r="BA927" s="21" t="str">
        <f t="shared" si="637"/>
        <v>Apprenant 915</v>
      </c>
      <c r="BB927" s="49" t="str">
        <f t="shared" si="609"/>
        <v/>
      </c>
      <c r="BC927" s="49" t="str">
        <f t="shared" si="610"/>
        <v/>
      </c>
      <c r="BD927" s="49" t="str">
        <f t="shared" si="611"/>
        <v/>
      </c>
      <c r="BE927" s="22" t="str">
        <f t="shared" si="638"/>
        <v/>
      </c>
      <c r="BF927" s="21" t="str">
        <f t="shared" si="639"/>
        <v>Apprenant 915 ou 915'</v>
      </c>
      <c r="BG927" s="49" t="str">
        <f t="shared" si="612"/>
        <v/>
      </c>
      <c r="BH927" s="49" t="str">
        <f t="shared" si="613"/>
        <v/>
      </c>
      <c r="BI927" s="49" t="str">
        <f t="shared" si="614"/>
        <v/>
      </c>
      <c r="BJ927" s="22" t="str">
        <f t="shared" si="640"/>
        <v/>
      </c>
      <c r="BL927" s="21"/>
      <c r="BM927" s="21" t="str">
        <f>IF(OR(COUNT(B927:D1926)=0,AND('Choix pédagogiques'!$C$3&lt;&gt;1,'Choix pédagogiques'!$C$3&lt;&gt;2)),"",IF(AND(OR('Choix pédagogiques'!$C$3=1,'Choix pédagogiques'!$C$3=2),$B927&lt;&gt;"",$C927&lt;&gt;"",$D927&lt;&gt;""),1,0))</f>
        <v/>
      </c>
      <c r="BN927" s="21" t="str">
        <f>IF(OR(COUNT(G927:I1926)=0,AND('Choix pédagogiques'!$C$3&lt;&gt;1,'Choix pédagogiques'!$C$3&lt;&gt;2)),"",IF(AND(OR('Choix pédagogiques'!$C$3=1,'Choix pédagogiques'!$C$3=2),AND($G927&lt;&gt;"",$H927&lt;&gt;"",$I927&lt;&gt;"")),1,0))</f>
        <v/>
      </c>
      <c r="BO927" s="21" t="str">
        <f>IF(OR(COUNT(B927:D1926)=0,COUNT(G927:I1926)=0,'Choix pédagogiques'!C$3&lt;&gt;3),"",IF(AND('Choix pédagogiques'!$C$3=3,$B927&lt;&gt;"",$C927&lt;&gt;"",$D927&lt;&gt;"",$G927&lt;&gt;"",$H927&lt;&gt;"",$I927&lt;&gt;""),1,0))</f>
        <v/>
      </c>
      <c r="BR927" s="21">
        <v>103</v>
      </c>
      <c r="BS927" s="21">
        <v>1034</v>
      </c>
      <c r="BT927"/>
    </row>
    <row r="928" spans="1:72" s="23" customFormat="1" ht="18" customHeight="1" x14ac:dyDescent="0.3">
      <c r="A928" s="35" t="s">
        <v>918</v>
      </c>
      <c r="B928" s="37"/>
      <c r="C928" s="37"/>
      <c r="D928" s="37"/>
      <c r="E928" s="37"/>
      <c r="F928" s="35" t="s">
        <v>1926</v>
      </c>
      <c r="G928" s="37"/>
      <c r="H928" s="37"/>
      <c r="I928" s="37"/>
      <c r="J928" s="37"/>
      <c r="K928" s="21" t="str">
        <f t="shared" si="615"/>
        <v>Apprenant 916</v>
      </c>
      <c r="L928" s="22" t="str">
        <f t="shared" si="616"/>
        <v/>
      </c>
      <c r="M928" s="22" t="str">
        <f t="shared" si="617"/>
        <v/>
      </c>
      <c r="N928" s="22" t="str">
        <f t="shared" si="618"/>
        <v/>
      </c>
      <c r="O928" s="22" t="str">
        <f t="shared" si="619"/>
        <v/>
      </c>
      <c r="P928" s="21" t="str">
        <f t="shared" si="620"/>
        <v>Apprenant 916 ou 916'</v>
      </c>
      <c r="Q928" s="22" t="str">
        <f t="shared" si="621"/>
        <v/>
      </c>
      <c r="R928" s="22" t="str">
        <f t="shared" si="622"/>
        <v/>
      </c>
      <c r="S928" s="22" t="str">
        <f t="shared" si="623"/>
        <v/>
      </c>
      <c r="T928" s="22" t="str">
        <f t="shared" si="624"/>
        <v/>
      </c>
      <c r="V928" s="21" t="str">
        <f t="shared" si="625"/>
        <v>Apprenant 916</v>
      </c>
      <c r="W928" s="22" t="str">
        <f>IF(AND(OR('Choix pédagogiques'!$C$3=1,'Choix pédagogiques'!$C$3=2),$BM928=1),B928,IF(AND('Choix pédagogiques'!$C$3=3,$BO928=1),B928,""))</f>
        <v/>
      </c>
      <c r="X928" s="22" t="str">
        <f>IF(AND(OR('Choix pédagogiques'!$C$3=1,'Choix pédagogiques'!$C$3=2),$BM928=1),C928,IF(AND('Choix pédagogiques'!$C$3=3,$BO928=1),C928,""))</f>
        <v/>
      </c>
      <c r="Y928" s="22" t="str">
        <f>IF(AND(OR('Choix pédagogiques'!$C$3=1,'Choix pédagogiques'!$C$3=2),$BM928=1),D928,IF(AND('Choix pédagogiques'!$C$3=3,$BO928=1),D928,""))</f>
        <v/>
      </c>
      <c r="Z928" s="22" t="str">
        <f t="shared" si="626"/>
        <v/>
      </c>
      <c r="AA928" s="21" t="str">
        <f t="shared" si="627"/>
        <v>Apprenant 916 ou 916'</v>
      </c>
      <c r="AB928" s="22" t="str">
        <f>IF(AND(OR('Choix pédagogiques'!$C$3=1,'Choix pédagogiques'!$C$3=2),$BN928=1),G928,IF(AND('Choix pédagogiques'!$C$3=3,$BO928=1),G928,""))</f>
        <v/>
      </c>
      <c r="AC928" s="22" t="str">
        <f>IF(AND(OR('Choix pédagogiques'!$C$3=1,'Choix pédagogiques'!$C$3=2),$BN928=1),H928,IF(AND('Choix pédagogiques'!$C$3=3,$BO928=1),H928,""))</f>
        <v/>
      </c>
      <c r="AD928" s="22" t="str">
        <f>IF(AND(OR('Choix pédagogiques'!$C$3=1,'Choix pédagogiques'!$C$3=2),$BN928=1),I928,IF(AND('Choix pédagogiques'!$C$3=3,$BO928=1),I928,""))</f>
        <v/>
      </c>
      <c r="AE928" s="22" t="str">
        <f t="shared" si="628"/>
        <v/>
      </c>
      <c r="AF928" s="21" t="str">
        <f t="shared" si="629"/>
        <v>Apprenant 916</v>
      </c>
      <c r="AG928" s="22" t="str">
        <f t="shared" si="603"/>
        <v/>
      </c>
      <c r="AH928" s="22" t="str">
        <f t="shared" si="604"/>
        <v/>
      </c>
      <c r="AI928" s="22" t="str">
        <f t="shared" si="605"/>
        <v/>
      </c>
      <c r="AJ928" s="22" t="str">
        <f t="shared" si="630"/>
        <v/>
      </c>
      <c r="AK928" s="21" t="str">
        <f t="shared" si="631"/>
        <v>Apprenant 916 ou 916'</v>
      </c>
      <c r="AL928" s="22" t="str">
        <f t="shared" si="606"/>
        <v/>
      </c>
      <c r="AM928" s="22" t="str">
        <f t="shared" si="607"/>
        <v/>
      </c>
      <c r="AN928" s="22" t="str">
        <f t="shared" si="608"/>
        <v/>
      </c>
      <c r="AO928" s="22" t="str">
        <f t="shared" si="632"/>
        <v/>
      </c>
      <c r="AQ928" s="21" t="str">
        <f t="shared" si="633"/>
        <v>Apprenant 916</v>
      </c>
      <c r="AR928" s="49" t="str">
        <f>IF(AND('Choix pédagogiques'!$C$4&lt;&gt;"?",'Choix pédagogiques'!$C$5&lt;&gt;"?",W928&lt;&gt;""),(W928-'Choix pédagogiques'!$C$4)/('Choix pédagogiques'!$C$5-'Choix pédagogiques'!$C$4),"")</f>
        <v/>
      </c>
      <c r="AS928" s="49" t="str">
        <f>IF(AND('Choix pédagogiques'!$C$4&lt;&gt;"?",'Choix pédagogiques'!$C$5&lt;&gt;"?",X928&lt;&gt;""),(X928-'Choix pédagogiques'!$C$4)/('Choix pédagogiques'!$C$5-'Choix pédagogiques'!$C$4),"")</f>
        <v/>
      </c>
      <c r="AT928" s="49" t="str">
        <f>IF(AND('Choix pédagogiques'!$C$4&lt;&gt;"?",'Choix pédagogiques'!$C$5&lt;&gt;"?",Y928&lt;&gt;""),(Y928-'Choix pédagogiques'!$C$4)/('Choix pédagogiques'!$C$5-'Choix pédagogiques'!$C$4),"")</f>
        <v/>
      </c>
      <c r="AU928" s="22" t="str">
        <f t="shared" si="634"/>
        <v/>
      </c>
      <c r="AV928" s="21" t="str">
        <f t="shared" si="635"/>
        <v>Apprenant 916 ou 916'</v>
      </c>
      <c r="AW928" s="49" t="str">
        <f>IF(AND('Choix pédagogiques'!$C$4&lt;&gt;"?",'Choix pédagogiques'!$C$5&lt;&gt;"?",AB928&lt;&gt;""),(AB928-'Choix pédagogiques'!$C$4)/('Choix pédagogiques'!$C$5-'Choix pédagogiques'!$C$4),"")</f>
        <v/>
      </c>
      <c r="AX928" s="49" t="str">
        <f>IF(AND('Choix pédagogiques'!$C$4&lt;&gt;"?",'Choix pédagogiques'!$C$5&lt;&gt;"?",AC928&lt;&gt;""),(AC928-'Choix pédagogiques'!$C$4)/('Choix pédagogiques'!$C$5-'Choix pédagogiques'!$C$4),"")</f>
        <v/>
      </c>
      <c r="AY928" s="49" t="str">
        <f>IF(AND('Choix pédagogiques'!$C$4&lt;&gt;"?",'Choix pédagogiques'!$C$5&lt;&gt;"?",AD928&lt;&gt;""),(AD928-'Choix pédagogiques'!$C$4)/('Choix pédagogiques'!$C$5-'Choix pédagogiques'!$C$4),"")</f>
        <v/>
      </c>
      <c r="AZ928" s="22" t="str">
        <f t="shared" si="636"/>
        <v/>
      </c>
      <c r="BA928" s="21" t="str">
        <f t="shared" si="637"/>
        <v>Apprenant 916</v>
      </c>
      <c r="BB928" s="49" t="str">
        <f t="shared" si="609"/>
        <v/>
      </c>
      <c r="BC928" s="49" t="str">
        <f t="shared" si="610"/>
        <v/>
      </c>
      <c r="BD928" s="49" t="str">
        <f t="shared" si="611"/>
        <v/>
      </c>
      <c r="BE928" s="22" t="str">
        <f t="shared" si="638"/>
        <v/>
      </c>
      <c r="BF928" s="21" t="str">
        <f t="shared" si="639"/>
        <v>Apprenant 916 ou 916'</v>
      </c>
      <c r="BG928" s="49" t="str">
        <f t="shared" si="612"/>
        <v/>
      </c>
      <c r="BH928" s="49" t="str">
        <f t="shared" si="613"/>
        <v/>
      </c>
      <c r="BI928" s="49" t="str">
        <f t="shared" si="614"/>
        <v/>
      </c>
      <c r="BJ928" s="22" t="str">
        <f t="shared" si="640"/>
        <v/>
      </c>
      <c r="BL928" s="21"/>
      <c r="BM928" s="21" t="str">
        <f>IF(OR(COUNT(B928:D1927)=0,AND('Choix pédagogiques'!$C$3&lt;&gt;1,'Choix pédagogiques'!$C$3&lt;&gt;2)),"",IF(AND(OR('Choix pédagogiques'!$C$3=1,'Choix pédagogiques'!$C$3=2),$B928&lt;&gt;"",$C928&lt;&gt;"",$D928&lt;&gt;""),1,0))</f>
        <v/>
      </c>
      <c r="BN928" s="21" t="str">
        <f>IF(OR(COUNT(G928:I1927)=0,AND('Choix pédagogiques'!$C$3&lt;&gt;1,'Choix pédagogiques'!$C$3&lt;&gt;2)),"",IF(AND(OR('Choix pédagogiques'!$C$3=1,'Choix pédagogiques'!$C$3=2),AND($G928&lt;&gt;"",$H928&lt;&gt;"",$I928&lt;&gt;"")),1,0))</f>
        <v/>
      </c>
      <c r="BO928" s="21" t="str">
        <f>IF(OR(COUNT(B928:D1927)=0,COUNT(G928:I1927)=0,'Choix pédagogiques'!C$3&lt;&gt;3),"",IF(AND('Choix pédagogiques'!$C$3=3,$B928&lt;&gt;"",$C928&lt;&gt;"",$D928&lt;&gt;"",$G928&lt;&gt;"",$H928&lt;&gt;"",$I928&lt;&gt;""),1,0))</f>
        <v/>
      </c>
      <c r="BR928" s="21">
        <v>829</v>
      </c>
      <c r="BS928" s="21">
        <v>1867</v>
      </c>
      <c r="BT928"/>
    </row>
    <row r="929" spans="1:72" s="23" customFormat="1" ht="18" customHeight="1" x14ac:dyDescent="0.3">
      <c r="A929" s="35" t="s">
        <v>919</v>
      </c>
      <c r="B929" s="37"/>
      <c r="C929" s="37"/>
      <c r="D929" s="37"/>
      <c r="E929" s="37"/>
      <c r="F929" s="35" t="s">
        <v>1927</v>
      </c>
      <c r="G929" s="37"/>
      <c r="H929" s="37"/>
      <c r="I929" s="37"/>
      <c r="J929" s="37"/>
      <c r="K929" s="21" t="str">
        <f t="shared" si="615"/>
        <v>Apprenant 917</v>
      </c>
      <c r="L929" s="22" t="str">
        <f t="shared" si="616"/>
        <v/>
      </c>
      <c r="M929" s="22" t="str">
        <f t="shared" si="617"/>
        <v/>
      </c>
      <c r="N929" s="22" t="str">
        <f t="shared" si="618"/>
        <v/>
      </c>
      <c r="O929" s="22" t="str">
        <f t="shared" si="619"/>
        <v/>
      </c>
      <c r="P929" s="21" t="str">
        <f t="shared" si="620"/>
        <v>Apprenant 917 ou 917'</v>
      </c>
      <c r="Q929" s="22" t="str">
        <f t="shared" si="621"/>
        <v/>
      </c>
      <c r="R929" s="22" t="str">
        <f t="shared" si="622"/>
        <v/>
      </c>
      <c r="S929" s="22" t="str">
        <f t="shared" si="623"/>
        <v/>
      </c>
      <c r="T929" s="22" t="str">
        <f t="shared" si="624"/>
        <v/>
      </c>
      <c r="V929" s="21" t="str">
        <f t="shared" si="625"/>
        <v>Apprenant 917</v>
      </c>
      <c r="W929" s="22" t="str">
        <f>IF(AND(OR('Choix pédagogiques'!$C$3=1,'Choix pédagogiques'!$C$3=2),$BM929=1),B929,IF(AND('Choix pédagogiques'!$C$3=3,$BO929=1),B929,""))</f>
        <v/>
      </c>
      <c r="X929" s="22" t="str">
        <f>IF(AND(OR('Choix pédagogiques'!$C$3=1,'Choix pédagogiques'!$C$3=2),$BM929=1),C929,IF(AND('Choix pédagogiques'!$C$3=3,$BO929=1),C929,""))</f>
        <v/>
      </c>
      <c r="Y929" s="22" t="str">
        <f>IF(AND(OR('Choix pédagogiques'!$C$3=1,'Choix pédagogiques'!$C$3=2),$BM929=1),D929,IF(AND('Choix pédagogiques'!$C$3=3,$BO929=1),D929,""))</f>
        <v/>
      </c>
      <c r="Z929" s="22" t="str">
        <f t="shared" si="626"/>
        <v/>
      </c>
      <c r="AA929" s="21" t="str">
        <f t="shared" si="627"/>
        <v>Apprenant 917 ou 917'</v>
      </c>
      <c r="AB929" s="22" t="str">
        <f>IF(AND(OR('Choix pédagogiques'!$C$3=1,'Choix pédagogiques'!$C$3=2),$BN929=1),G929,IF(AND('Choix pédagogiques'!$C$3=3,$BO929=1),G929,""))</f>
        <v/>
      </c>
      <c r="AC929" s="22" t="str">
        <f>IF(AND(OR('Choix pédagogiques'!$C$3=1,'Choix pédagogiques'!$C$3=2),$BN929=1),H929,IF(AND('Choix pédagogiques'!$C$3=3,$BO929=1),H929,""))</f>
        <v/>
      </c>
      <c r="AD929" s="22" t="str">
        <f>IF(AND(OR('Choix pédagogiques'!$C$3=1,'Choix pédagogiques'!$C$3=2),$BN929=1),I929,IF(AND('Choix pédagogiques'!$C$3=3,$BO929=1),I929,""))</f>
        <v/>
      </c>
      <c r="AE929" s="22" t="str">
        <f t="shared" si="628"/>
        <v/>
      </c>
      <c r="AF929" s="21" t="str">
        <f t="shared" si="629"/>
        <v>Apprenant 917</v>
      </c>
      <c r="AG929" s="22" t="str">
        <f t="shared" si="603"/>
        <v/>
      </c>
      <c r="AH929" s="22" t="str">
        <f t="shared" si="604"/>
        <v/>
      </c>
      <c r="AI929" s="22" t="str">
        <f t="shared" si="605"/>
        <v/>
      </c>
      <c r="AJ929" s="22" t="str">
        <f t="shared" si="630"/>
        <v/>
      </c>
      <c r="AK929" s="21" t="str">
        <f t="shared" si="631"/>
        <v>Apprenant 917 ou 917'</v>
      </c>
      <c r="AL929" s="22" t="str">
        <f t="shared" si="606"/>
        <v/>
      </c>
      <c r="AM929" s="22" t="str">
        <f t="shared" si="607"/>
        <v/>
      </c>
      <c r="AN929" s="22" t="str">
        <f t="shared" si="608"/>
        <v/>
      </c>
      <c r="AO929" s="22" t="str">
        <f t="shared" si="632"/>
        <v/>
      </c>
      <c r="AQ929" s="21" t="str">
        <f t="shared" si="633"/>
        <v>Apprenant 917</v>
      </c>
      <c r="AR929" s="49" t="str">
        <f>IF(AND('Choix pédagogiques'!$C$4&lt;&gt;"?",'Choix pédagogiques'!$C$5&lt;&gt;"?",W929&lt;&gt;""),(W929-'Choix pédagogiques'!$C$4)/('Choix pédagogiques'!$C$5-'Choix pédagogiques'!$C$4),"")</f>
        <v/>
      </c>
      <c r="AS929" s="49" t="str">
        <f>IF(AND('Choix pédagogiques'!$C$4&lt;&gt;"?",'Choix pédagogiques'!$C$5&lt;&gt;"?",X929&lt;&gt;""),(X929-'Choix pédagogiques'!$C$4)/('Choix pédagogiques'!$C$5-'Choix pédagogiques'!$C$4),"")</f>
        <v/>
      </c>
      <c r="AT929" s="49" t="str">
        <f>IF(AND('Choix pédagogiques'!$C$4&lt;&gt;"?",'Choix pédagogiques'!$C$5&lt;&gt;"?",Y929&lt;&gt;""),(Y929-'Choix pédagogiques'!$C$4)/('Choix pédagogiques'!$C$5-'Choix pédagogiques'!$C$4),"")</f>
        <v/>
      </c>
      <c r="AU929" s="22" t="str">
        <f t="shared" si="634"/>
        <v/>
      </c>
      <c r="AV929" s="21" t="str">
        <f t="shared" si="635"/>
        <v>Apprenant 917 ou 917'</v>
      </c>
      <c r="AW929" s="49" t="str">
        <f>IF(AND('Choix pédagogiques'!$C$4&lt;&gt;"?",'Choix pédagogiques'!$C$5&lt;&gt;"?",AB929&lt;&gt;""),(AB929-'Choix pédagogiques'!$C$4)/('Choix pédagogiques'!$C$5-'Choix pédagogiques'!$C$4),"")</f>
        <v/>
      </c>
      <c r="AX929" s="49" t="str">
        <f>IF(AND('Choix pédagogiques'!$C$4&lt;&gt;"?",'Choix pédagogiques'!$C$5&lt;&gt;"?",AC929&lt;&gt;""),(AC929-'Choix pédagogiques'!$C$4)/('Choix pédagogiques'!$C$5-'Choix pédagogiques'!$C$4),"")</f>
        <v/>
      </c>
      <c r="AY929" s="49" t="str">
        <f>IF(AND('Choix pédagogiques'!$C$4&lt;&gt;"?",'Choix pédagogiques'!$C$5&lt;&gt;"?",AD929&lt;&gt;""),(AD929-'Choix pédagogiques'!$C$4)/('Choix pédagogiques'!$C$5-'Choix pédagogiques'!$C$4),"")</f>
        <v/>
      </c>
      <c r="AZ929" s="22" t="str">
        <f t="shared" si="636"/>
        <v/>
      </c>
      <c r="BA929" s="21" t="str">
        <f t="shared" si="637"/>
        <v>Apprenant 917</v>
      </c>
      <c r="BB929" s="49" t="str">
        <f t="shared" si="609"/>
        <v/>
      </c>
      <c r="BC929" s="49" t="str">
        <f t="shared" si="610"/>
        <v/>
      </c>
      <c r="BD929" s="49" t="str">
        <f t="shared" si="611"/>
        <v/>
      </c>
      <c r="BE929" s="22" t="str">
        <f t="shared" si="638"/>
        <v/>
      </c>
      <c r="BF929" s="21" t="str">
        <f t="shared" si="639"/>
        <v>Apprenant 917 ou 917'</v>
      </c>
      <c r="BG929" s="49" t="str">
        <f t="shared" si="612"/>
        <v/>
      </c>
      <c r="BH929" s="49" t="str">
        <f t="shared" si="613"/>
        <v/>
      </c>
      <c r="BI929" s="49" t="str">
        <f t="shared" si="614"/>
        <v/>
      </c>
      <c r="BJ929" s="22" t="str">
        <f t="shared" si="640"/>
        <v/>
      </c>
      <c r="BL929" s="21"/>
      <c r="BM929" s="21" t="str">
        <f>IF(OR(COUNT(B929:D1928)=0,AND('Choix pédagogiques'!$C$3&lt;&gt;1,'Choix pédagogiques'!$C$3&lt;&gt;2)),"",IF(AND(OR('Choix pédagogiques'!$C$3=1,'Choix pédagogiques'!$C$3=2),$B929&lt;&gt;"",$C929&lt;&gt;"",$D929&lt;&gt;""),1,0))</f>
        <v/>
      </c>
      <c r="BN929" s="21" t="str">
        <f>IF(OR(COUNT(G929:I1928)=0,AND('Choix pédagogiques'!$C$3&lt;&gt;1,'Choix pédagogiques'!$C$3&lt;&gt;2)),"",IF(AND(OR('Choix pédagogiques'!$C$3=1,'Choix pédagogiques'!$C$3=2),AND($G929&lt;&gt;"",$H929&lt;&gt;"",$I929&lt;&gt;"")),1,0))</f>
        <v/>
      </c>
      <c r="BO929" s="21" t="str">
        <f>IF(OR(COUNT(B929:D1928)=0,COUNT(G929:I1928)=0,'Choix pédagogiques'!C$3&lt;&gt;3),"",IF(AND('Choix pédagogiques'!$C$3=3,$B929&lt;&gt;"",$C929&lt;&gt;"",$D929&lt;&gt;"",$G929&lt;&gt;"",$H929&lt;&gt;"",$I929&lt;&gt;""),1,0))</f>
        <v/>
      </c>
      <c r="BR929" s="21">
        <v>440</v>
      </c>
      <c r="BS929" s="21">
        <v>1606</v>
      </c>
      <c r="BT929"/>
    </row>
    <row r="930" spans="1:72" s="23" customFormat="1" ht="18" customHeight="1" x14ac:dyDescent="0.3">
      <c r="A930" s="35" t="s">
        <v>920</v>
      </c>
      <c r="B930" s="37"/>
      <c r="C930" s="37"/>
      <c r="D930" s="37"/>
      <c r="E930" s="37"/>
      <c r="F930" s="35" t="s">
        <v>1928</v>
      </c>
      <c r="G930" s="37"/>
      <c r="H930" s="37"/>
      <c r="I930" s="37"/>
      <c r="J930" s="37"/>
      <c r="K930" s="21" t="str">
        <f t="shared" si="615"/>
        <v>Apprenant 918</v>
      </c>
      <c r="L930" s="22" t="str">
        <f t="shared" si="616"/>
        <v/>
      </c>
      <c r="M930" s="22" t="str">
        <f t="shared" si="617"/>
        <v/>
      </c>
      <c r="N930" s="22" t="str">
        <f t="shared" si="618"/>
        <v/>
      </c>
      <c r="O930" s="22" t="str">
        <f t="shared" si="619"/>
        <v/>
      </c>
      <c r="P930" s="21" t="str">
        <f t="shared" si="620"/>
        <v>Apprenant 918 ou 918'</v>
      </c>
      <c r="Q930" s="22" t="str">
        <f t="shared" si="621"/>
        <v/>
      </c>
      <c r="R930" s="22" t="str">
        <f t="shared" si="622"/>
        <v/>
      </c>
      <c r="S930" s="22" t="str">
        <f t="shared" si="623"/>
        <v/>
      </c>
      <c r="T930" s="22" t="str">
        <f t="shared" si="624"/>
        <v/>
      </c>
      <c r="V930" s="21" t="str">
        <f t="shared" si="625"/>
        <v>Apprenant 918</v>
      </c>
      <c r="W930" s="22" t="str">
        <f>IF(AND(OR('Choix pédagogiques'!$C$3=1,'Choix pédagogiques'!$C$3=2),$BM930=1),B930,IF(AND('Choix pédagogiques'!$C$3=3,$BO930=1),B930,""))</f>
        <v/>
      </c>
      <c r="X930" s="22" t="str">
        <f>IF(AND(OR('Choix pédagogiques'!$C$3=1,'Choix pédagogiques'!$C$3=2),$BM930=1),C930,IF(AND('Choix pédagogiques'!$C$3=3,$BO930=1),C930,""))</f>
        <v/>
      </c>
      <c r="Y930" s="22" t="str">
        <f>IF(AND(OR('Choix pédagogiques'!$C$3=1,'Choix pédagogiques'!$C$3=2),$BM930=1),D930,IF(AND('Choix pédagogiques'!$C$3=3,$BO930=1),D930,""))</f>
        <v/>
      </c>
      <c r="Z930" s="22" t="str">
        <f t="shared" si="626"/>
        <v/>
      </c>
      <c r="AA930" s="21" t="str">
        <f t="shared" si="627"/>
        <v>Apprenant 918 ou 918'</v>
      </c>
      <c r="AB930" s="22" t="str">
        <f>IF(AND(OR('Choix pédagogiques'!$C$3=1,'Choix pédagogiques'!$C$3=2),$BN930=1),G930,IF(AND('Choix pédagogiques'!$C$3=3,$BO930=1),G930,""))</f>
        <v/>
      </c>
      <c r="AC930" s="22" t="str">
        <f>IF(AND(OR('Choix pédagogiques'!$C$3=1,'Choix pédagogiques'!$C$3=2),$BN930=1),H930,IF(AND('Choix pédagogiques'!$C$3=3,$BO930=1),H930,""))</f>
        <v/>
      </c>
      <c r="AD930" s="22" t="str">
        <f>IF(AND(OR('Choix pédagogiques'!$C$3=1,'Choix pédagogiques'!$C$3=2),$BN930=1),I930,IF(AND('Choix pédagogiques'!$C$3=3,$BO930=1),I930,""))</f>
        <v/>
      </c>
      <c r="AE930" s="22" t="str">
        <f t="shared" si="628"/>
        <v/>
      </c>
      <c r="AF930" s="21" t="str">
        <f t="shared" si="629"/>
        <v>Apprenant 918</v>
      </c>
      <c r="AG930" s="22" t="str">
        <f t="shared" si="603"/>
        <v/>
      </c>
      <c r="AH930" s="22" t="str">
        <f t="shared" si="604"/>
        <v/>
      </c>
      <c r="AI930" s="22" t="str">
        <f t="shared" si="605"/>
        <v/>
      </c>
      <c r="AJ930" s="22" t="str">
        <f t="shared" si="630"/>
        <v/>
      </c>
      <c r="AK930" s="21" t="str">
        <f t="shared" si="631"/>
        <v>Apprenant 918 ou 918'</v>
      </c>
      <c r="AL930" s="22" t="str">
        <f t="shared" si="606"/>
        <v/>
      </c>
      <c r="AM930" s="22" t="str">
        <f t="shared" si="607"/>
        <v/>
      </c>
      <c r="AN930" s="22" t="str">
        <f t="shared" si="608"/>
        <v/>
      </c>
      <c r="AO930" s="22" t="str">
        <f t="shared" si="632"/>
        <v/>
      </c>
      <c r="AQ930" s="21" t="str">
        <f t="shared" si="633"/>
        <v>Apprenant 918</v>
      </c>
      <c r="AR930" s="49" t="str">
        <f>IF(AND('Choix pédagogiques'!$C$4&lt;&gt;"?",'Choix pédagogiques'!$C$5&lt;&gt;"?",W930&lt;&gt;""),(W930-'Choix pédagogiques'!$C$4)/('Choix pédagogiques'!$C$5-'Choix pédagogiques'!$C$4),"")</f>
        <v/>
      </c>
      <c r="AS930" s="49" t="str">
        <f>IF(AND('Choix pédagogiques'!$C$4&lt;&gt;"?",'Choix pédagogiques'!$C$5&lt;&gt;"?",X930&lt;&gt;""),(X930-'Choix pédagogiques'!$C$4)/('Choix pédagogiques'!$C$5-'Choix pédagogiques'!$C$4),"")</f>
        <v/>
      </c>
      <c r="AT930" s="49" t="str">
        <f>IF(AND('Choix pédagogiques'!$C$4&lt;&gt;"?",'Choix pédagogiques'!$C$5&lt;&gt;"?",Y930&lt;&gt;""),(Y930-'Choix pédagogiques'!$C$4)/('Choix pédagogiques'!$C$5-'Choix pédagogiques'!$C$4),"")</f>
        <v/>
      </c>
      <c r="AU930" s="22" t="str">
        <f t="shared" si="634"/>
        <v/>
      </c>
      <c r="AV930" s="21" t="str">
        <f t="shared" si="635"/>
        <v>Apprenant 918 ou 918'</v>
      </c>
      <c r="AW930" s="49" t="str">
        <f>IF(AND('Choix pédagogiques'!$C$4&lt;&gt;"?",'Choix pédagogiques'!$C$5&lt;&gt;"?",AB930&lt;&gt;""),(AB930-'Choix pédagogiques'!$C$4)/('Choix pédagogiques'!$C$5-'Choix pédagogiques'!$C$4),"")</f>
        <v/>
      </c>
      <c r="AX930" s="49" t="str">
        <f>IF(AND('Choix pédagogiques'!$C$4&lt;&gt;"?",'Choix pédagogiques'!$C$5&lt;&gt;"?",AC930&lt;&gt;""),(AC930-'Choix pédagogiques'!$C$4)/('Choix pédagogiques'!$C$5-'Choix pédagogiques'!$C$4),"")</f>
        <v/>
      </c>
      <c r="AY930" s="49" t="str">
        <f>IF(AND('Choix pédagogiques'!$C$4&lt;&gt;"?",'Choix pédagogiques'!$C$5&lt;&gt;"?",AD930&lt;&gt;""),(AD930-'Choix pédagogiques'!$C$4)/('Choix pédagogiques'!$C$5-'Choix pédagogiques'!$C$4),"")</f>
        <v/>
      </c>
      <c r="AZ930" s="22" t="str">
        <f t="shared" si="636"/>
        <v/>
      </c>
      <c r="BA930" s="21" t="str">
        <f t="shared" si="637"/>
        <v>Apprenant 918</v>
      </c>
      <c r="BB930" s="49" t="str">
        <f t="shared" si="609"/>
        <v/>
      </c>
      <c r="BC930" s="49" t="str">
        <f t="shared" si="610"/>
        <v/>
      </c>
      <c r="BD930" s="49" t="str">
        <f t="shared" si="611"/>
        <v/>
      </c>
      <c r="BE930" s="22" t="str">
        <f t="shared" si="638"/>
        <v/>
      </c>
      <c r="BF930" s="21" t="str">
        <f t="shared" si="639"/>
        <v>Apprenant 918 ou 918'</v>
      </c>
      <c r="BG930" s="49" t="str">
        <f t="shared" si="612"/>
        <v/>
      </c>
      <c r="BH930" s="49" t="str">
        <f t="shared" si="613"/>
        <v/>
      </c>
      <c r="BI930" s="49" t="str">
        <f t="shared" si="614"/>
        <v/>
      </c>
      <c r="BJ930" s="22" t="str">
        <f t="shared" si="640"/>
        <v/>
      </c>
      <c r="BL930" s="21"/>
      <c r="BM930" s="21" t="str">
        <f>IF(OR(COUNT(B930:D1929)=0,AND('Choix pédagogiques'!$C$3&lt;&gt;1,'Choix pédagogiques'!$C$3&lt;&gt;2)),"",IF(AND(OR('Choix pédagogiques'!$C$3=1,'Choix pédagogiques'!$C$3=2),$B930&lt;&gt;"",$C930&lt;&gt;"",$D930&lt;&gt;""),1,0))</f>
        <v/>
      </c>
      <c r="BN930" s="21" t="str">
        <f>IF(OR(COUNT(G930:I1929)=0,AND('Choix pédagogiques'!$C$3&lt;&gt;1,'Choix pédagogiques'!$C$3&lt;&gt;2)),"",IF(AND(OR('Choix pédagogiques'!$C$3=1,'Choix pédagogiques'!$C$3=2),AND($G930&lt;&gt;"",$H930&lt;&gt;"",$I930&lt;&gt;"")),1,0))</f>
        <v/>
      </c>
      <c r="BO930" s="21" t="str">
        <f>IF(OR(COUNT(B930:D1929)=0,COUNT(G930:I1929)=0,'Choix pédagogiques'!C$3&lt;&gt;3),"",IF(AND('Choix pédagogiques'!$C$3=3,$B930&lt;&gt;"",$C930&lt;&gt;"",$D930&lt;&gt;"",$G930&lt;&gt;"",$H930&lt;&gt;"",$I930&lt;&gt;""),1,0))</f>
        <v/>
      </c>
      <c r="BR930" s="21">
        <v>173</v>
      </c>
      <c r="BS930" s="21">
        <v>1593</v>
      </c>
      <c r="BT930"/>
    </row>
    <row r="931" spans="1:72" s="23" customFormat="1" ht="18" customHeight="1" x14ac:dyDescent="0.3">
      <c r="A931" s="35" t="s">
        <v>921</v>
      </c>
      <c r="B931" s="37"/>
      <c r="C931" s="37"/>
      <c r="D931" s="37"/>
      <c r="E931" s="37"/>
      <c r="F931" s="35" t="s">
        <v>1929</v>
      </c>
      <c r="G931" s="37"/>
      <c r="H931" s="37"/>
      <c r="I931" s="37"/>
      <c r="J931" s="37"/>
      <c r="K931" s="21" t="str">
        <f t="shared" si="615"/>
        <v>Apprenant 919</v>
      </c>
      <c r="L931" s="22" t="str">
        <f t="shared" si="616"/>
        <v/>
      </c>
      <c r="M931" s="22" t="str">
        <f t="shared" si="617"/>
        <v/>
      </c>
      <c r="N931" s="22" t="str">
        <f t="shared" si="618"/>
        <v/>
      </c>
      <c r="O931" s="22" t="str">
        <f t="shared" si="619"/>
        <v/>
      </c>
      <c r="P931" s="21" t="str">
        <f t="shared" si="620"/>
        <v>Apprenant 919 ou 919'</v>
      </c>
      <c r="Q931" s="22" t="str">
        <f t="shared" si="621"/>
        <v/>
      </c>
      <c r="R931" s="22" t="str">
        <f t="shared" si="622"/>
        <v/>
      </c>
      <c r="S931" s="22" t="str">
        <f t="shared" si="623"/>
        <v/>
      </c>
      <c r="T931" s="22" t="str">
        <f t="shared" si="624"/>
        <v/>
      </c>
      <c r="V931" s="21" t="str">
        <f t="shared" si="625"/>
        <v>Apprenant 919</v>
      </c>
      <c r="W931" s="22" t="str">
        <f>IF(AND(OR('Choix pédagogiques'!$C$3=1,'Choix pédagogiques'!$C$3=2),$BM931=1),B931,IF(AND('Choix pédagogiques'!$C$3=3,$BO931=1),B931,""))</f>
        <v/>
      </c>
      <c r="X931" s="22" t="str">
        <f>IF(AND(OR('Choix pédagogiques'!$C$3=1,'Choix pédagogiques'!$C$3=2),$BM931=1),C931,IF(AND('Choix pédagogiques'!$C$3=3,$BO931=1),C931,""))</f>
        <v/>
      </c>
      <c r="Y931" s="22" t="str">
        <f>IF(AND(OR('Choix pédagogiques'!$C$3=1,'Choix pédagogiques'!$C$3=2),$BM931=1),D931,IF(AND('Choix pédagogiques'!$C$3=3,$BO931=1),D931,""))</f>
        <v/>
      </c>
      <c r="Z931" s="22" t="str">
        <f t="shared" si="626"/>
        <v/>
      </c>
      <c r="AA931" s="21" t="str">
        <f t="shared" si="627"/>
        <v>Apprenant 919 ou 919'</v>
      </c>
      <c r="AB931" s="22" t="str">
        <f>IF(AND(OR('Choix pédagogiques'!$C$3=1,'Choix pédagogiques'!$C$3=2),$BN931=1),G931,IF(AND('Choix pédagogiques'!$C$3=3,$BO931=1),G931,""))</f>
        <v/>
      </c>
      <c r="AC931" s="22" t="str">
        <f>IF(AND(OR('Choix pédagogiques'!$C$3=1,'Choix pédagogiques'!$C$3=2),$BN931=1),H931,IF(AND('Choix pédagogiques'!$C$3=3,$BO931=1),H931,""))</f>
        <v/>
      </c>
      <c r="AD931" s="22" t="str">
        <f>IF(AND(OR('Choix pédagogiques'!$C$3=1,'Choix pédagogiques'!$C$3=2),$BN931=1),I931,IF(AND('Choix pédagogiques'!$C$3=3,$BO931=1),I931,""))</f>
        <v/>
      </c>
      <c r="AE931" s="22" t="str">
        <f t="shared" si="628"/>
        <v/>
      </c>
      <c r="AF931" s="21" t="str">
        <f t="shared" si="629"/>
        <v>Apprenant 919</v>
      </c>
      <c r="AG931" s="22" t="str">
        <f t="shared" si="603"/>
        <v/>
      </c>
      <c r="AH931" s="22" t="str">
        <f t="shared" si="604"/>
        <v/>
      </c>
      <c r="AI931" s="22" t="str">
        <f t="shared" si="605"/>
        <v/>
      </c>
      <c r="AJ931" s="22" t="str">
        <f t="shared" si="630"/>
        <v/>
      </c>
      <c r="AK931" s="21" t="str">
        <f t="shared" si="631"/>
        <v>Apprenant 919 ou 919'</v>
      </c>
      <c r="AL931" s="22" t="str">
        <f t="shared" si="606"/>
        <v/>
      </c>
      <c r="AM931" s="22" t="str">
        <f t="shared" si="607"/>
        <v/>
      </c>
      <c r="AN931" s="22" t="str">
        <f t="shared" si="608"/>
        <v/>
      </c>
      <c r="AO931" s="22" t="str">
        <f t="shared" si="632"/>
        <v/>
      </c>
      <c r="AQ931" s="21" t="str">
        <f t="shared" si="633"/>
        <v>Apprenant 919</v>
      </c>
      <c r="AR931" s="49" t="str">
        <f>IF(AND('Choix pédagogiques'!$C$4&lt;&gt;"?",'Choix pédagogiques'!$C$5&lt;&gt;"?",W931&lt;&gt;""),(W931-'Choix pédagogiques'!$C$4)/('Choix pédagogiques'!$C$5-'Choix pédagogiques'!$C$4),"")</f>
        <v/>
      </c>
      <c r="AS931" s="49" t="str">
        <f>IF(AND('Choix pédagogiques'!$C$4&lt;&gt;"?",'Choix pédagogiques'!$C$5&lt;&gt;"?",X931&lt;&gt;""),(X931-'Choix pédagogiques'!$C$4)/('Choix pédagogiques'!$C$5-'Choix pédagogiques'!$C$4),"")</f>
        <v/>
      </c>
      <c r="AT931" s="49" t="str">
        <f>IF(AND('Choix pédagogiques'!$C$4&lt;&gt;"?",'Choix pédagogiques'!$C$5&lt;&gt;"?",Y931&lt;&gt;""),(Y931-'Choix pédagogiques'!$C$4)/('Choix pédagogiques'!$C$5-'Choix pédagogiques'!$C$4),"")</f>
        <v/>
      </c>
      <c r="AU931" s="22" t="str">
        <f t="shared" si="634"/>
        <v/>
      </c>
      <c r="AV931" s="21" t="str">
        <f t="shared" si="635"/>
        <v>Apprenant 919 ou 919'</v>
      </c>
      <c r="AW931" s="49" t="str">
        <f>IF(AND('Choix pédagogiques'!$C$4&lt;&gt;"?",'Choix pédagogiques'!$C$5&lt;&gt;"?",AB931&lt;&gt;""),(AB931-'Choix pédagogiques'!$C$4)/('Choix pédagogiques'!$C$5-'Choix pédagogiques'!$C$4),"")</f>
        <v/>
      </c>
      <c r="AX931" s="49" t="str">
        <f>IF(AND('Choix pédagogiques'!$C$4&lt;&gt;"?",'Choix pédagogiques'!$C$5&lt;&gt;"?",AC931&lt;&gt;""),(AC931-'Choix pédagogiques'!$C$4)/('Choix pédagogiques'!$C$5-'Choix pédagogiques'!$C$4),"")</f>
        <v/>
      </c>
      <c r="AY931" s="49" t="str">
        <f>IF(AND('Choix pédagogiques'!$C$4&lt;&gt;"?",'Choix pédagogiques'!$C$5&lt;&gt;"?",AD931&lt;&gt;""),(AD931-'Choix pédagogiques'!$C$4)/('Choix pédagogiques'!$C$5-'Choix pédagogiques'!$C$4),"")</f>
        <v/>
      </c>
      <c r="AZ931" s="22" t="str">
        <f t="shared" si="636"/>
        <v/>
      </c>
      <c r="BA931" s="21" t="str">
        <f t="shared" si="637"/>
        <v>Apprenant 919</v>
      </c>
      <c r="BB931" s="49" t="str">
        <f t="shared" si="609"/>
        <v/>
      </c>
      <c r="BC931" s="49" t="str">
        <f t="shared" si="610"/>
        <v/>
      </c>
      <c r="BD931" s="49" t="str">
        <f t="shared" si="611"/>
        <v/>
      </c>
      <c r="BE931" s="22" t="str">
        <f t="shared" si="638"/>
        <v/>
      </c>
      <c r="BF931" s="21" t="str">
        <f t="shared" si="639"/>
        <v>Apprenant 919 ou 919'</v>
      </c>
      <c r="BG931" s="49" t="str">
        <f t="shared" si="612"/>
        <v/>
      </c>
      <c r="BH931" s="49" t="str">
        <f t="shared" si="613"/>
        <v/>
      </c>
      <c r="BI931" s="49" t="str">
        <f t="shared" si="614"/>
        <v/>
      </c>
      <c r="BJ931" s="22" t="str">
        <f t="shared" si="640"/>
        <v/>
      </c>
      <c r="BL931" s="21"/>
      <c r="BM931" s="21" t="str">
        <f>IF(OR(COUNT(B931:D1930)=0,AND('Choix pédagogiques'!$C$3&lt;&gt;1,'Choix pédagogiques'!$C$3&lt;&gt;2)),"",IF(AND(OR('Choix pédagogiques'!$C$3=1,'Choix pédagogiques'!$C$3=2),$B931&lt;&gt;"",$C931&lt;&gt;"",$D931&lt;&gt;""),1,0))</f>
        <v/>
      </c>
      <c r="BN931" s="21" t="str">
        <f>IF(OR(COUNT(G931:I1930)=0,AND('Choix pédagogiques'!$C$3&lt;&gt;1,'Choix pédagogiques'!$C$3&lt;&gt;2)),"",IF(AND(OR('Choix pédagogiques'!$C$3=1,'Choix pédagogiques'!$C$3=2),AND($G931&lt;&gt;"",$H931&lt;&gt;"",$I931&lt;&gt;"")),1,0))</f>
        <v/>
      </c>
      <c r="BO931" s="21" t="str">
        <f>IF(OR(COUNT(B931:D1930)=0,COUNT(G931:I1930)=0,'Choix pédagogiques'!C$3&lt;&gt;3),"",IF(AND('Choix pédagogiques'!$C$3=3,$B931&lt;&gt;"",$C931&lt;&gt;"",$D931&lt;&gt;"",$G931&lt;&gt;"",$H931&lt;&gt;"",$I931&lt;&gt;""),1,0))</f>
        <v/>
      </c>
      <c r="BR931" s="21">
        <v>896</v>
      </c>
      <c r="BS931" s="21">
        <v>1040</v>
      </c>
      <c r="BT931"/>
    </row>
    <row r="932" spans="1:72" s="23" customFormat="1" ht="18" customHeight="1" x14ac:dyDescent="0.3">
      <c r="A932" s="35" t="s">
        <v>922</v>
      </c>
      <c r="B932" s="37"/>
      <c r="C932" s="37"/>
      <c r="D932" s="37"/>
      <c r="E932" s="37"/>
      <c r="F932" s="35" t="s">
        <v>1930</v>
      </c>
      <c r="G932" s="37"/>
      <c r="H932" s="37"/>
      <c r="I932" s="37"/>
      <c r="J932" s="37"/>
      <c r="K932" s="21" t="str">
        <f t="shared" si="615"/>
        <v>Apprenant 920</v>
      </c>
      <c r="L932" s="22" t="str">
        <f t="shared" si="616"/>
        <v/>
      </c>
      <c r="M932" s="22" t="str">
        <f t="shared" si="617"/>
        <v/>
      </c>
      <c r="N932" s="22" t="str">
        <f t="shared" si="618"/>
        <v/>
      </c>
      <c r="O932" s="22" t="str">
        <f t="shared" si="619"/>
        <v/>
      </c>
      <c r="P932" s="21" t="str">
        <f t="shared" si="620"/>
        <v>Apprenant 920 ou 920'</v>
      </c>
      <c r="Q932" s="22" t="str">
        <f t="shared" si="621"/>
        <v/>
      </c>
      <c r="R932" s="22" t="str">
        <f t="shared" si="622"/>
        <v/>
      </c>
      <c r="S932" s="22" t="str">
        <f t="shared" si="623"/>
        <v/>
      </c>
      <c r="T932" s="22" t="str">
        <f t="shared" si="624"/>
        <v/>
      </c>
      <c r="V932" s="21" t="str">
        <f t="shared" si="625"/>
        <v>Apprenant 920</v>
      </c>
      <c r="W932" s="22" t="str">
        <f>IF(AND(OR('Choix pédagogiques'!$C$3=1,'Choix pédagogiques'!$C$3=2),$BM932=1),B932,IF(AND('Choix pédagogiques'!$C$3=3,$BO932=1),B932,""))</f>
        <v/>
      </c>
      <c r="X932" s="22" t="str">
        <f>IF(AND(OR('Choix pédagogiques'!$C$3=1,'Choix pédagogiques'!$C$3=2),$BM932=1),C932,IF(AND('Choix pédagogiques'!$C$3=3,$BO932=1),C932,""))</f>
        <v/>
      </c>
      <c r="Y932" s="22" t="str">
        <f>IF(AND(OR('Choix pédagogiques'!$C$3=1,'Choix pédagogiques'!$C$3=2),$BM932=1),D932,IF(AND('Choix pédagogiques'!$C$3=3,$BO932=1),D932,""))</f>
        <v/>
      </c>
      <c r="Z932" s="22" t="str">
        <f t="shared" si="626"/>
        <v/>
      </c>
      <c r="AA932" s="21" t="str">
        <f t="shared" si="627"/>
        <v>Apprenant 920 ou 920'</v>
      </c>
      <c r="AB932" s="22" t="str">
        <f>IF(AND(OR('Choix pédagogiques'!$C$3=1,'Choix pédagogiques'!$C$3=2),$BN932=1),G932,IF(AND('Choix pédagogiques'!$C$3=3,$BO932=1),G932,""))</f>
        <v/>
      </c>
      <c r="AC932" s="22" t="str">
        <f>IF(AND(OR('Choix pédagogiques'!$C$3=1,'Choix pédagogiques'!$C$3=2),$BN932=1),H932,IF(AND('Choix pédagogiques'!$C$3=3,$BO932=1),H932,""))</f>
        <v/>
      </c>
      <c r="AD932" s="22" t="str">
        <f>IF(AND(OR('Choix pédagogiques'!$C$3=1,'Choix pédagogiques'!$C$3=2),$BN932=1),I932,IF(AND('Choix pédagogiques'!$C$3=3,$BO932=1),I932,""))</f>
        <v/>
      </c>
      <c r="AE932" s="22" t="str">
        <f t="shared" si="628"/>
        <v/>
      </c>
      <c r="AF932" s="21" t="str">
        <f t="shared" si="629"/>
        <v>Apprenant 920</v>
      </c>
      <c r="AG932" s="22" t="str">
        <f t="shared" si="603"/>
        <v/>
      </c>
      <c r="AH932" s="22" t="str">
        <f t="shared" si="604"/>
        <v/>
      </c>
      <c r="AI932" s="22" t="str">
        <f t="shared" si="605"/>
        <v/>
      </c>
      <c r="AJ932" s="22" t="str">
        <f t="shared" si="630"/>
        <v/>
      </c>
      <c r="AK932" s="21" t="str">
        <f t="shared" si="631"/>
        <v>Apprenant 920 ou 920'</v>
      </c>
      <c r="AL932" s="22" t="str">
        <f t="shared" si="606"/>
        <v/>
      </c>
      <c r="AM932" s="22" t="str">
        <f t="shared" si="607"/>
        <v/>
      </c>
      <c r="AN932" s="22" t="str">
        <f t="shared" si="608"/>
        <v/>
      </c>
      <c r="AO932" s="22" t="str">
        <f t="shared" si="632"/>
        <v/>
      </c>
      <c r="AQ932" s="21" t="str">
        <f t="shared" si="633"/>
        <v>Apprenant 920</v>
      </c>
      <c r="AR932" s="49" t="str">
        <f>IF(AND('Choix pédagogiques'!$C$4&lt;&gt;"?",'Choix pédagogiques'!$C$5&lt;&gt;"?",W932&lt;&gt;""),(W932-'Choix pédagogiques'!$C$4)/('Choix pédagogiques'!$C$5-'Choix pédagogiques'!$C$4),"")</f>
        <v/>
      </c>
      <c r="AS932" s="49" t="str">
        <f>IF(AND('Choix pédagogiques'!$C$4&lt;&gt;"?",'Choix pédagogiques'!$C$5&lt;&gt;"?",X932&lt;&gt;""),(X932-'Choix pédagogiques'!$C$4)/('Choix pédagogiques'!$C$5-'Choix pédagogiques'!$C$4),"")</f>
        <v/>
      </c>
      <c r="AT932" s="49" t="str">
        <f>IF(AND('Choix pédagogiques'!$C$4&lt;&gt;"?",'Choix pédagogiques'!$C$5&lt;&gt;"?",Y932&lt;&gt;""),(Y932-'Choix pédagogiques'!$C$4)/('Choix pédagogiques'!$C$5-'Choix pédagogiques'!$C$4),"")</f>
        <v/>
      </c>
      <c r="AU932" s="22" t="str">
        <f t="shared" si="634"/>
        <v/>
      </c>
      <c r="AV932" s="21" t="str">
        <f t="shared" si="635"/>
        <v>Apprenant 920 ou 920'</v>
      </c>
      <c r="AW932" s="49" t="str">
        <f>IF(AND('Choix pédagogiques'!$C$4&lt;&gt;"?",'Choix pédagogiques'!$C$5&lt;&gt;"?",AB932&lt;&gt;""),(AB932-'Choix pédagogiques'!$C$4)/('Choix pédagogiques'!$C$5-'Choix pédagogiques'!$C$4),"")</f>
        <v/>
      </c>
      <c r="AX932" s="49" t="str">
        <f>IF(AND('Choix pédagogiques'!$C$4&lt;&gt;"?",'Choix pédagogiques'!$C$5&lt;&gt;"?",AC932&lt;&gt;""),(AC932-'Choix pédagogiques'!$C$4)/('Choix pédagogiques'!$C$5-'Choix pédagogiques'!$C$4),"")</f>
        <v/>
      </c>
      <c r="AY932" s="49" t="str">
        <f>IF(AND('Choix pédagogiques'!$C$4&lt;&gt;"?",'Choix pédagogiques'!$C$5&lt;&gt;"?",AD932&lt;&gt;""),(AD932-'Choix pédagogiques'!$C$4)/('Choix pédagogiques'!$C$5-'Choix pédagogiques'!$C$4),"")</f>
        <v/>
      </c>
      <c r="AZ932" s="22" t="str">
        <f t="shared" si="636"/>
        <v/>
      </c>
      <c r="BA932" s="21" t="str">
        <f t="shared" si="637"/>
        <v>Apprenant 920</v>
      </c>
      <c r="BB932" s="49" t="str">
        <f t="shared" si="609"/>
        <v/>
      </c>
      <c r="BC932" s="49" t="str">
        <f t="shared" si="610"/>
        <v/>
      </c>
      <c r="BD932" s="49" t="str">
        <f t="shared" si="611"/>
        <v/>
      </c>
      <c r="BE932" s="22" t="str">
        <f t="shared" si="638"/>
        <v/>
      </c>
      <c r="BF932" s="21" t="str">
        <f t="shared" si="639"/>
        <v>Apprenant 920 ou 920'</v>
      </c>
      <c r="BG932" s="49" t="str">
        <f t="shared" si="612"/>
        <v/>
      </c>
      <c r="BH932" s="49" t="str">
        <f t="shared" si="613"/>
        <v/>
      </c>
      <c r="BI932" s="49" t="str">
        <f t="shared" si="614"/>
        <v/>
      </c>
      <c r="BJ932" s="22" t="str">
        <f t="shared" si="640"/>
        <v/>
      </c>
      <c r="BL932" s="21"/>
      <c r="BM932" s="21" t="str">
        <f>IF(OR(COUNT(B932:D1931)=0,AND('Choix pédagogiques'!$C$3&lt;&gt;1,'Choix pédagogiques'!$C$3&lt;&gt;2)),"",IF(AND(OR('Choix pédagogiques'!$C$3=1,'Choix pédagogiques'!$C$3=2),$B932&lt;&gt;"",$C932&lt;&gt;"",$D932&lt;&gt;""),1,0))</f>
        <v/>
      </c>
      <c r="BN932" s="21" t="str">
        <f>IF(OR(COUNT(G932:I1931)=0,AND('Choix pédagogiques'!$C$3&lt;&gt;1,'Choix pédagogiques'!$C$3&lt;&gt;2)),"",IF(AND(OR('Choix pédagogiques'!$C$3=1,'Choix pédagogiques'!$C$3=2),AND($G932&lt;&gt;"",$H932&lt;&gt;"",$I932&lt;&gt;"")),1,0))</f>
        <v/>
      </c>
      <c r="BO932" s="21" t="str">
        <f>IF(OR(COUNT(B932:D1931)=0,COUNT(G932:I1931)=0,'Choix pédagogiques'!C$3&lt;&gt;3),"",IF(AND('Choix pédagogiques'!$C$3=3,$B932&lt;&gt;"",$C932&lt;&gt;"",$D932&lt;&gt;"",$G932&lt;&gt;"",$H932&lt;&gt;"",$I932&lt;&gt;""),1,0))</f>
        <v/>
      </c>
      <c r="BR932" s="21">
        <v>127</v>
      </c>
      <c r="BS932" s="21">
        <v>1894</v>
      </c>
      <c r="BT932"/>
    </row>
    <row r="933" spans="1:72" s="23" customFormat="1" ht="18" customHeight="1" x14ac:dyDescent="0.3">
      <c r="A933" s="35" t="s">
        <v>923</v>
      </c>
      <c r="B933" s="37"/>
      <c r="C933" s="37"/>
      <c r="D933" s="37"/>
      <c r="E933" s="37"/>
      <c r="F933" s="35" t="s">
        <v>1931</v>
      </c>
      <c r="G933" s="37"/>
      <c r="H933" s="37"/>
      <c r="I933" s="37"/>
      <c r="J933" s="37"/>
      <c r="K933" s="21" t="str">
        <f t="shared" si="615"/>
        <v>Apprenant 921</v>
      </c>
      <c r="L933" s="22" t="str">
        <f t="shared" si="616"/>
        <v/>
      </c>
      <c r="M933" s="22" t="str">
        <f t="shared" si="617"/>
        <v/>
      </c>
      <c r="N933" s="22" t="str">
        <f t="shared" si="618"/>
        <v/>
      </c>
      <c r="O933" s="22" t="str">
        <f t="shared" si="619"/>
        <v/>
      </c>
      <c r="P933" s="21" t="str">
        <f t="shared" si="620"/>
        <v>Apprenant 921 ou 921'</v>
      </c>
      <c r="Q933" s="22" t="str">
        <f t="shared" si="621"/>
        <v/>
      </c>
      <c r="R933" s="22" t="str">
        <f t="shared" si="622"/>
        <v/>
      </c>
      <c r="S933" s="22" t="str">
        <f t="shared" si="623"/>
        <v/>
      </c>
      <c r="T933" s="22" t="str">
        <f t="shared" si="624"/>
        <v/>
      </c>
      <c r="V933" s="21" t="str">
        <f t="shared" si="625"/>
        <v>Apprenant 921</v>
      </c>
      <c r="W933" s="22" t="str">
        <f>IF(AND(OR('Choix pédagogiques'!$C$3=1,'Choix pédagogiques'!$C$3=2),$BM933=1),B933,IF(AND('Choix pédagogiques'!$C$3=3,$BO933=1),B933,""))</f>
        <v/>
      </c>
      <c r="X933" s="22" t="str">
        <f>IF(AND(OR('Choix pédagogiques'!$C$3=1,'Choix pédagogiques'!$C$3=2),$BM933=1),C933,IF(AND('Choix pédagogiques'!$C$3=3,$BO933=1),C933,""))</f>
        <v/>
      </c>
      <c r="Y933" s="22" t="str">
        <f>IF(AND(OR('Choix pédagogiques'!$C$3=1,'Choix pédagogiques'!$C$3=2),$BM933=1),D933,IF(AND('Choix pédagogiques'!$C$3=3,$BO933=1),D933,""))</f>
        <v/>
      </c>
      <c r="Z933" s="22" t="str">
        <f t="shared" si="626"/>
        <v/>
      </c>
      <c r="AA933" s="21" t="str">
        <f t="shared" si="627"/>
        <v>Apprenant 921 ou 921'</v>
      </c>
      <c r="AB933" s="22" t="str">
        <f>IF(AND(OR('Choix pédagogiques'!$C$3=1,'Choix pédagogiques'!$C$3=2),$BN933=1),G933,IF(AND('Choix pédagogiques'!$C$3=3,$BO933=1),G933,""))</f>
        <v/>
      </c>
      <c r="AC933" s="22" t="str">
        <f>IF(AND(OR('Choix pédagogiques'!$C$3=1,'Choix pédagogiques'!$C$3=2),$BN933=1),H933,IF(AND('Choix pédagogiques'!$C$3=3,$BO933=1),H933,""))</f>
        <v/>
      </c>
      <c r="AD933" s="22" t="str">
        <f>IF(AND(OR('Choix pédagogiques'!$C$3=1,'Choix pédagogiques'!$C$3=2),$BN933=1),I933,IF(AND('Choix pédagogiques'!$C$3=3,$BO933=1),I933,""))</f>
        <v/>
      </c>
      <c r="AE933" s="22" t="str">
        <f t="shared" si="628"/>
        <v/>
      </c>
      <c r="AF933" s="21" t="str">
        <f t="shared" si="629"/>
        <v>Apprenant 921</v>
      </c>
      <c r="AG933" s="22" t="str">
        <f t="shared" si="603"/>
        <v/>
      </c>
      <c r="AH933" s="22" t="str">
        <f t="shared" si="604"/>
        <v/>
      </c>
      <c r="AI933" s="22" t="str">
        <f t="shared" si="605"/>
        <v/>
      </c>
      <c r="AJ933" s="22" t="str">
        <f t="shared" si="630"/>
        <v/>
      </c>
      <c r="AK933" s="21" t="str">
        <f t="shared" si="631"/>
        <v>Apprenant 921 ou 921'</v>
      </c>
      <c r="AL933" s="22" t="str">
        <f t="shared" si="606"/>
        <v/>
      </c>
      <c r="AM933" s="22" t="str">
        <f t="shared" si="607"/>
        <v/>
      </c>
      <c r="AN933" s="22" t="str">
        <f t="shared" si="608"/>
        <v/>
      </c>
      <c r="AO933" s="22" t="str">
        <f t="shared" si="632"/>
        <v/>
      </c>
      <c r="AQ933" s="21" t="str">
        <f t="shared" si="633"/>
        <v>Apprenant 921</v>
      </c>
      <c r="AR933" s="49" t="str">
        <f>IF(AND('Choix pédagogiques'!$C$4&lt;&gt;"?",'Choix pédagogiques'!$C$5&lt;&gt;"?",W933&lt;&gt;""),(W933-'Choix pédagogiques'!$C$4)/('Choix pédagogiques'!$C$5-'Choix pédagogiques'!$C$4),"")</f>
        <v/>
      </c>
      <c r="AS933" s="49" t="str">
        <f>IF(AND('Choix pédagogiques'!$C$4&lt;&gt;"?",'Choix pédagogiques'!$C$5&lt;&gt;"?",X933&lt;&gt;""),(X933-'Choix pédagogiques'!$C$4)/('Choix pédagogiques'!$C$5-'Choix pédagogiques'!$C$4),"")</f>
        <v/>
      </c>
      <c r="AT933" s="49" t="str">
        <f>IF(AND('Choix pédagogiques'!$C$4&lt;&gt;"?",'Choix pédagogiques'!$C$5&lt;&gt;"?",Y933&lt;&gt;""),(Y933-'Choix pédagogiques'!$C$4)/('Choix pédagogiques'!$C$5-'Choix pédagogiques'!$C$4),"")</f>
        <v/>
      </c>
      <c r="AU933" s="22" t="str">
        <f t="shared" si="634"/>
        <v/>
      </c>
      <c r="AV933" s="21" t="str">
        <f t="shared" si="635"/>
        <v>Apprenant 921 ou 921'</v>
      </c>
      <c r="AW933" s="49" t="str">
        <f>IF(AND('Choix pédagogiques'!$C$4&lt;&gt;"?",'Choix pédagogiques'!$C$5&lt;&gt;"?",AB933&lt;&gt;""),(AB933-'Choix pédagogiques'!$C$4)/('Choix pédagogiques'!$C$5-'Choix pédagogiques'!$C$4),"")</f>
        <v/>
      </c>
      <c r="AX933" s="49" t="str">
        <f>IF(AND('Choix pédagogiques'!$C$4&lt;&gt;"?",'Choix pédagogiques'!$C$5&lt;&gt;"?",AC933&lt;&gt;""),(AC933-'Choix pédagogiques'!$C$4)/('Choix pédagogiques'!$C$5-'Choix pédagogiques'!$C$4),"")</f>
        <v/>
      </c>
      <c r="AY933" s="49" t="str">
        <f>IF(AND('Choix pédagogiques'!$C$4&lt;&gt;"?",'Choix pédagogiques'!$C$5&lt;&gt;"?",AD933&lt;&gt;""),(AD933-'Choix pédagogiques'!$C$4)/('Choix pédagogiques'!$C$5-'Choix pédagogiques'!$C$4),"")</f>
        <v/>
      </c>
      <c r="AZ933" s="22" t="str">
        <f t="shared" si="636"/>
        <v/>
      </c>
      <c r="BA933" s="21" t="str">
        <f t="shared" si="637"/>
        <v>Apprenant 921</v>
      </c>
      <c r="BB933" s="49" t="str">
        <f t="shared" si="609"/>
        <v/>
      </c>
      <c r="BC933" s="49" t="str">
        <f t="shared" si="610"/>
        <v/>
      </c>
      <c r="BD933" s="49" t="str">
        <f t="shared" si="611"/>
        <v/>
      </c>
      <c r="BE933" s="22" t="str">
        <f t="shared" si="638"/>
        <v/>
      </c>
      <c r="BF933" s="21" t="str">
        <f t="shared" si="639"/>
        <v>Apprenant 921 ou 921'</v>
      </c>
      <c r="BG933" s="49" t="str">
        <f t="shared" si="612"/>
        <v/>
      </c>
      <c r="BH933" s="49" t="str">
        <f t="shared" si="613"/>
        <v/>
      </c>
      <c r="BI933" s="49" t="str">
        <f t="shared" si="614"/>
        <v/>
      </c>
      <c r="BJ933" s="22" t="str">
        <f t="shared" si="640"/>
        <v/>
      </c>
      <c r="BL933" s="21"/>
      <c r="BM933" s="21" t="str">
        <f>IF(OR(COUNT(B933:D1932)=0,AND('Choix pédagogiques'!$C$3&lt;&gt;1,'Choix pédagogiques'!$C$3&lt;&gt;2)),"",IF(AND(OR('Choix pédagogiques'!$C$3=1,'Choix pédagogiques'!$C$3=2),$B933&lt;&gt;"",$C933&lt;&gt;"",$D933&lt;&gt;""),1,0))</f>
        <v/>
      </c>
      <c r="BN933" s="21" t="str">
        <f>IF(OR(COUNT(G933:I1932)=0,AND('Choix pédagogiques'!$C$3&lt;&gt;1,'Choix pédagogiques'!$C$3&lt;&gt;2)),"",IF(AND(OR('Choix pédagogiques'!$C$3=1,'Choix pédagogiques'!$C$3=2),AND($G933&lt;&gt;"",$H933&lt;&gt;"",$I933&lt;&gt;"")),1,0))</f>
        <v/>
      </c>
      <c r="BO933" s="21" t="str">
        <f>IF(OR(COUNT(B933:D1932)=0,COUNT(G933:I1932)=0,'Choix pédagogiques'!C$3&lt;&gt;3),"",IF(AND('Choix pédagogiques'!$C$3=3,$B933&lt;&gt;"",$C933&lt;&gt;"",$D933&lt;&gt;"",$G933&lt;&gt;"",$H933&lt;&gt;"",$I933&lt;&gt;""),1,0))</f>
        <v/>
      </c>
      <c r="BR933" s="21">
        <v>262</v>
      </c>
      <c r="BS933" s="21">
        <v>1641</v>
      </c>
      <c r="BT933"/>
    </row>
    <row r="934" spans="1:72" s="23" customFormat="1" ht="18" customHeight="1" x14ac:dyDescent="0.3">
      <c r="A934" s="35" t="s">
        <v>924</v>
      </c>
      <c r="B934" s="37"/>
      <c r="C934" s="37"/>
      <c r="D934" s="37"/>
      <c r="E934" s="37"/>
      <c r="F934" s="35" t="s">
        <v>1932</v>
      </c>
      <c r="G934" s="37"/>
      <c r="H934" s="37"/>
      <c r="I934" s="37"/>
      <c r="J934" s="37"/>
      <c r="K934" s="21" t="str">
        <f t="shared" si="615"/>
        <v>Apprenant 922</v>
      </c>
      <c r="L934" s="22" t="str">
        <f t="shared" si="616"/>
        <v/>
      </c>
      <c r="M934" s="22" t="str">
        <f t="shared" si="617"/>
        <v/>
      </c>
      <c r="N934" s="22" t="str">
        <f t="shared" si="618"/>
        <v/>
      </c>
      <c r="O934" s="22" t="str">
        <f t="shared" si="619"/>
        <v/>
      </c>
      <c r="P934" s="21" t="str">
        <f t="shared" si="620"/>
        <v>Apprenant 922 ou 922'</v>
      </c>
      <c r="Q934" s="22" t="str">
        <f t="shared" si="621"/>
        <v/>
      </c>
      <c r="R934" s="22" t="str">
        <f t="shared" si="622"/>
        <v/>
      </c>
      <c r="S934" s="22" t="str">
        <f t="shared" si="623"/>
        <v/>
      </c>
      <c r="T934" s="22" t="str">
        <f t="shared" si="624"/>
        <v/>
      </c>
      <c r="V934" s="21" t="str">
        <f t="shared" si="625"/>
        <v>Apprenant 922</v>
      </c>
      <c r="W934" s="22" t="str">
        <f>IF(AND(OR('Choix pédagogiques'!$C$3=1,'Choix pédagogiques'!$C$3=2),$BM934=1),B934,IF(AND('Choix pédagogiques'!$C$3=3,$BO934=1),B934,""))</f>
        <v/>
      </c>
      <c r="X934" s="22" t="str">
        <f>IF(AND(OR('Choix pédagogiques'!$C$3=1,'Choix pédagogiques'!$C$3=2),$BM934=1),C934,IF(AND('Choix pédagogiques'!$C$3=3,$BO934=1),C934,""))</f>
        <v/>
      </c>
      <c r="Y934" s="22" t="str">
        <f>IF(AND(OR('Choix pédagogiques'!$C$3=1,'Choix pédagogiques'!$C$3=2),$BM934=1),D934,IF(AND('Choix pédagogiques'!$C$3=3,$BO934=1),D934,""))</f>
        <v/>
      </c>
      <c r="Z934" s="22" t="str">
        <f t="shared" si="626"/>
        <v/>
      </c>
      <c r="AA934" s="21" t="str">
        <f t="shared" si="627"/>
        <v>Apprenant 922 ou 922'</v>
      </c>
      <c r="AB934" s="22" t="str">
        <f>IF(AND(OR('Choix pédagogiques'!$C$3=1,'Choix pédagogiques'!$C$3=2),$BN934=1),G934,IF(AND('Choix pédagogiques'!$C$3=3,$BO934=1),G934,""))</f>
        <v/>
      </c>
      <c r="AC934" s="22" t="str">
        <f>IF(AND(OR('Choix pédagogiques'!$C$3=1,'Choix pédagogiques'!$C$3=2),$BN934=1),H934,IF(AND('Choix pédagogiques'!$C$3=3,$BO934=1),H934,""))</f>
        <v/>
      </c>
      <c r="AD934" s="22" t="str">
        <f>IF(AND(OR('Choix pédagogiques'!$C$3=1,'Choix pédagogiques'!$C$3=2),$BN934=1),I934,IF(AND('Choix pédagogiques'!$C$3=3,$BO934=1),I934,""))</f>
        <v/>
      </c>
      <c r="AE934" s="22" t="str">
        <f t="shared" si="628"/>
        <v/>
      </c>
      <c r="AF934" s="21" t="str">
        <f t="shared" si="629"/>
        <v>Apprenant 922</v>
      </c>
      <c r="AG934" s="22" t="str">
        <f t="shared" si="603"/>
        <v/>
      </c>
      <c r="AH934" s="22" t="str">
        <f t="shared" si="604"/>
        <v/>
      </c>
      <c r="AI934" s="22" t="str">
        <f t="shared" si="605"/>
        <v/>
      </c>
      <c r="AJ934" s="22" t="str">
        <f t="shared" si="630"/>
        <v/>
      </c>
      <c r="AK934" s="21" t="str">
        <f t="shared" si="631"/>
        <v>Apprenant 922 ou 922'</v>
      </c>
      <c r="AL934" s="22" t="str">
        <f t="shared" si="606"/>
        <v/>
      </c>
      <c r="AM934" s="22" t="str">
        <f t="shared" si="607"/>
        <v/>
      </c>
      <c r="AN934" s="22" t="str">
        <f t="shared" si="608"/>
        <v/>
      </c>
      <c r="AO934" s="22" t="str">
        <f t="shared" si="632"/>
        <v/>
      </c>
      <c r="AQ934" s="21" t="str">
        <f t="shared" si="633"/>
        <v>Apprenant 922</v>
      </c>
      <c r="AR934" s="49" t="str">
        <f>IF(AND('Choix pédagogiques'!$C$4&lt;&gt;"?",'Choix pédagogiques'!$C$5&lt;&gt;"?",W934&lt;&gt;""),(W934-'Choix pédagogiques'!$C$4)/('Choix pédagogiques'!$C$5-'Choix pédagogiques'!$C$4),"")</f>
        <v/>
      </c>
      <c r="AS934" s="49" t="str">
        <f>IF(AND('Choix pédagogiques'!$C$4&lt;&gt;"?",'Choix pédagogiques'!$C$5&lt;&gt;"?",X934&lt;&gt;""),(X934-'Choix pédagogiques'!$C$4)/('Choix pédagogiques'!$C$5-'Choix pédagogiques'!$C$4),"")</f>
        <v/>
      </c>
      <c r="AT934" s="49" t="str">
        <f>IF(AND('Choix pédagogiques'!$C$4&lt;&gt;"?",'Choix pédagogiques'!$C$5&lt;&gt;"?",Y934&lt;&gt;""),(Y934-'Choix pédagogiques'!$C$4)/('Choix pédagogiques'!$C$5-'Choix pédagogiques'!$C$4),"")</f>
        <v/>
      </c>
      <c r="AU934" s="22" t="str">
        <f t="shared" si="634"/>
        <v/>
      </c>
      <c r="AV934" s="21" t="str">
        <f t="shared" si="635"/>
        <v>Apprenant 922 ou 922'</v>
      </c>
      <c r="AW934" s="49" t="str">
        <f>IF(AND('Choix pédagogiques'!$C$4&lt;&gt;"?",'Choix pédagogiques'!$C$5&lt;&gt;"?",AB934&lt;&gt;""),(AB934-'Choix pédagogiques'!$C$4)/('Choix pédagogiques'!$C$5-'Choix pédagogiques'!$C$4),"")</f>
        <v/>
      </c>
      <c r="AX934" s="49" t="str">
        <f>IF(AND('Choix pédagogiques'!$C$4&lt;&gt;"?",'Choix pédagogiques'!$C$5&lt;&gt;"?",AC934&lt;&gt;""),(AC934-'Choix pédagogiques'!$C$4)/('Choix pédagogiques'!$C$5-'Choix pédagogiques'!$C$4),"")</f>
        <v/>
      </c>
      <c r="AY934" s="49" t="str">
        <f>IF(AND('Choix pédagogiques'!$C$4&lt;&gt;"?",'Choix pédagogiques'!$C$5&lt;&gt;"?",AD934&lt;&gt;""),(AD934-'Choix pédagogiques'!$C$4)/('Choix pédagogiques'!$C$5-'Choix pédagogiques'!$C$4),"")</f>
        <v/>
      </c>
      <c r="AZ934" s="22" t="str">
        <f t="shared" si="636"/>
        <v/>
      </c>
      <c r="BA934" s="21" t="str">
        <f t="shared" si="637"/>
        <v>Apprenant 922</v>
      </c>
      <c r="BB934" s="49" t="str">
        <f t="shared" si="609"/>
        <v/>
      </c>
      <c r="BC934" s="49" t="str">
        <f t="shared" si="610"/>
        <v/>
      </c>
      <c r="BD934" s="49" t="str">
        <f t="shared" si="611"/>
        <v/>
      </c>
      <c r="BE934" s="22" t="str">
        <f t="shared" si="638"/>
        <v/>
      </c>
      <c r="BF934" s="21" t="str">
        <f t="shared" si="639"/>
        <v>Apprenant 922 ou 922'</v>
      </c>
      <c r="BG934" s="49" t="str">
        <f t="shared" si="612"/>
        <v/>
      </c>
      <c r="BH934" s="49" t="str">
        <f t="shared" si="613"/>
        <v/>
      </c>
      <c r="BI934" s="49" t="str">
        <f t="shared" si="614"/>
        <v/>
      </c>
      <c r="BJ934" s="22" t="str">
        <f t="shared" si="640"/>
        <v/>
      </c>
      <c r="BL934" s="21"/>
      <c r="BM934" s="21" t="str">
        <f>IF(OR(COUNT(B934:D1933)=0,AND('Choix pédagogiques'!$C$3&lt;&gt;1,'Choix pédagogiques'!$C$3&lt;&gt;2)),"",IF(AND(OR('Choix pédagogiques'!$C$3=1,'Choix pédagogiques'!$C$3=2),$B934&lt;&gt;"",$C934&lt;&gt;"",$D934&lt;&gt;""),1,0))</f>
        <v/>
      </c>
      <c r="BN934" s="21" t="str">
        <f>IF(OR(COUNT(G934:I1933)=0,AND('Choix pédagogiques'!$C$3&lt;&gt;1,'Choix pédagogiques'!$C$3&lt;&gt;2)),"",IF(AND(OR('Choix pédagogiques'!$C$3=1,'Choix pédagogiques'!$C$3=2),AND($G934&lt;&gt;"",$H934&lt;&gt;"",$I934&lt;&gt;"")),1,0))</f>
        <v/>
      </c>
      <c r="BO934" s="21" t="str">
        <f>IF(OR(COUNT(B934:D1933)=0,COUNT(G934:I1933)=0,'Choix pédagogiques'!C$3&lt;&gt;3),"",IF(AND('Choix pédagogiques'!$C$3=3,$B934&lt;&gt;"",$C934&lt;&gt;"",$D934&lt;&gt;"",$G934&lt;&gt;"",$H934&lt;&gt;"",$I934&lt;&gt;""),1,0))</f>
        <v/>
      </c>
      <c r="BR934" s="21">
        <v>883</v>
      </c>
      <c r="BS934" s="21">
        <v>1766</v>
      </c>
      <c r="BT934"/>
    </row>
    <row r="935" spans="1:72" s="23" customFormat="1" ht="18" customHeight="1" x14ac:dyDescent="0.3">
      <c r="A935" s="35" t="s">
        <v>925</v>
      </c>
      <c r="B935" s="37"/>
      <c r="C935" s="37"/>
      <c r="D935" s="37"/>
      <c r="E935" s="37"/>
      <c r="F935" s="35" t="s">
        <v>1933</v>
      </c>
      <c r="G935" s="37"/>
      <c r="H935" s="37"/>
      <c r="I935" s="37"/>
      <c r="J935" s="37"/>
      <c r="K935" s="21" t="str">
        <f t="shared" si="615"/>
        <v>Apprenant 923</v>
      </c>
      <c r="L935" s="22" t="str">
        <f t="shared" si="616"/>
        <v/>
      </c>
      <c r="M935" s="22" t="str">
        <f t="shared" si="617"/>
        <v/>
      </c>
      <c r="N935" s="22" t="str">
        <f t="shared" si="618"/>
        <v/>
      </c>
      <c r="O935" s="22" t="str">
        <f t="shared" si="619"/>
        <v/>
      </c>
      <c r="P935" s="21" t="str">
        <f t="shared" si="620"/>
        <v>Apprenant 923 ou 923'</v>
      </c>
      <c r="Q935" s="22" t="str">
        <f t="shared" si="621"/>
        <v/>
      </c>
      <c r="R935" s="22" t="str">
        <f t="shared" si="622"/>
        <v/>
      </c>
      <c r="S935" s="22" t="str">
        <f t="shared" si="623"/>
        <v/>
      </c>
      <c r="T935" s="22" t="str">
        <f t="shared" si="624"/>
        <v/>
      </c>
      <c r="V935" s="21" t="str">
        <f t="shared" si="625"/>
        <v>Apprenant 923</v>
      </c>
      <c r="W935" s="22" t="str">
        <f>IF(AND(OR('Choix pédagogiques'!$C$3=1,'Choix pédagogiques'!$C$3=2),$BM935=1),B935,IF(AND('Choix pédagogiques'!$C$3=3,$BO935=1),B935,""))</f>
        <v/>
      </c>
      <c r="X935" s="22" t="str">
        <f>IF(AND(OR('Choix pédagogiques'!$C$3=1,'Choix pédagogiques'!$C$3=2),$BM935=1),C935,IF(AND('Choix pédagogiques'!$C$3=3,$BO935=1),C935,""))</f>
        <v/>
      </c>
      <c r="Y935" s="22" t="str">
        <f>IF(AND(OR('Choix pédagogiques'!$C$3=1,'Choix pédagogiques'!$C$3=2),$BM935=1),D935,IF(AND('Choix pédagogiques'!$C$3=3,$BO935=1),D935,""))</f>
        <v/>
      </c>
      <c r="Z935" s="22" t="str">
        <f t="shared" si="626"/>
        <v/>
      </c>
      <c r="AA935" s="21" t="str">
        <f t="shared" si="627"/>
        <v>Apprenant 923 ou 923'</v>
      </c>
      <c r="AB935" s="22" t="str">
        <f>IF(AND(OR('Choix pédagogiques'!$C$3=1,'Choix pédagogiques'!$C$3=2),$BN935=1),G935,IF(AND('Choix pédagogiques'!$C$3=3,$BO935=1),G935,""))</f>
        <v/>
      </c>
      <c r="AC935" s="22" t="str">
        <f>IF(AND(OR('Choix pédagogiques'!$C$3=1,'Choix pédagogiques'!$C$3=2),$BN935=1),H935,IF(AND('Choix pédagogiques'!$C$3=3,$BO935=1),H935,""))</f>
        <v/>
      </c>
      <c r="AD935" s="22" t="str">
        <f>IF(AND(OR('Choix pédagogiques'!$C$3=1,'Choix pédagogiques'!$C$3=2),$BN935=1),I935,IF(AND('Choix pédagogiques'!$C$3=3,$BO935=1),I935,""))</f>
        <v/>
      </c>
      <c r="AE935" s="22" t="str">
        <f t="shared" si="628"/>
        <v/>
      </c>
      <c r="AF935" s="21" t="str">
        <f t="shared" si="629"/>
        <v>Apprenant 923</v>
      </c>
      <c r="AG935" s="22" t="str">
        <f t="shared" si="603"/>
        <v/>
      </c>
      <c r="AH935" s="22" t="str">
        <f t="shared" si="604"/>
        <v/>
      </c>
      <c r="AI935" s="22" t="str">
        <f t="shared" si="605"/>
        <v/>
      </c>
      <c r="AJ935" s="22" t="str">
        <f t="shared" si="630"/>
        <v/>
      </c>
      <c r="AK935" s="21" t="str">
        <f t="shared" si="631"/>
        <v>Apprenant 923 ou 923'</v>
      </c>
      <c r="AL935" s="22" t="str">
        <f t="shared" si="606"/>
        <v/>
      </c>
      <c r="AM935" s="22" t="str">
        <f t="shared" si="607"/>
        <v/>
      </c>
      <c r="AN935" s="22" t="str">
        <f t="shared" si="608"/>
        <v/>
      </c>
      <c r="AO935" s="22" t="str">
        <f t="shared" si="632"/>
        <v/>
      </c>
      <c r="AQ935" s="21" t="str">
        <f t="shared" si="633"/>
        <v>Apprenant 923</v>
      </c>
      <c r="AR935" s="49" t="str">
        <f>IF(AND('Choix pédagogiques'!$C$4&lt;&gt;"?",'Choix pédagogiques'!$C$5&lt;&gt;"?",W935&lt;&gt;""),(W935-'Choix pédagogiques'!$C$4)/('Choix pédagogiques'!$C$5-'Choix pédagogiques'!$C$4),"")</f>
        <v/>
      </c>
      <c r="AS935" s="49" t="str">
        <f>IF(AND('Choix pédagogiques'!$C$4&lt;&gt;"?",'Choix pédagogiques'!$C$5&lt;&gt;"?",X935&lt;&gt;""),(X935-'Choix pédagogiques'!$C$4)/('Choix pédagogiques'!$C$5-'Choix pédagogiques'!$C$4),"")</f>
        <v/>
      </c>
      <c r="AT935" s="49" t="str">
        <f>IF(AND('Choix pédagogiques'!$C$4&lt;&gt;"?",'Choix pédagogiques'!$C$5&lt;&gt;"?",Y935&lt;&gt;""),(Y935-'Choix pédagogiques'!$C$4)/('Choix pédagogiques'!$C$5-'Choix pédagogiques'!$C$4),"")</f>
        <v/>
      </c>
      <c r="AU935" s="22" t="str">
        <f t="shared" si="634"/>
        <v/>
      </c>
      <c r="AV935" s="21" t="str">
        <f t="shared" si="635"/>
        <v>Apprenant 923 ou 923'</v>
      </c>
      <c r="AW935" s="49" t="str">
        <f>IF(AND('Choix pédagogiques'!$C$4&lt;&gt;"?",'Choix pédagogiques'!$C$5&lt;&gt;"?",AB935&lt;&gt;""),(AB935-'Choix pédagogiques'!$C$4)/('Choix pédagogiques'!$C$5-'Choix pédagogiques'!$C$4),"")</f>
        <v/>
      </c>
      <c r="AX935" s="49" t="str">
        <f>IF(AND('Choix pédagogiques'!$C$4&lt;&gt;"?",'Choix pédagogiques'!$C$5&lt;&gt;"?",AC935&lt;&gt;""),(AC935-'Choix pédagogiques'!$C$4)/('Choix pédagogiques'!$C$5-'Choix pédagogiques'!$C$4),"")</f>
        <v/>
      </c>
      <c r="AY935" s="49" t="str">
        <f>IF(AND('Choix pédagogiques'!$C$4&lt;&gt;"?",'Choix pédagogiques'!$C$5&lt;&gt;"?",AD935&lt;&gt;""),(AD935-'Choix pédagogiques'!$C$4)/('Choix pédagogiques'!$C$5-'Choix pédagogiques'!$C$4),"")</f>
        <v/>
      </c>
      <c r="AZ935" s="22" t="str">
        <f t="shared" si="636"/>
        <v/>
      </c>
      <c r="BA935" s="21" t="str">
        <f t="shared" si="637"/>
        <v>Apprenant 923</v>
      </c>
      <c r="BB935" s="49" t="str">
        <f t="shared" si="609"/>
        <v/>
      </c>
      <c r="BC935" s="49" t="str">
        <f t="shared" si="610"/>
        <v/>
      </c>
      <c r="BD935" s="49" t="str">
        <f t="shared" si="611"/>
        <v/>
      </c>
      <c r="BE935" s="22" t="str">
        <f t="shared" si="638"/>
        <v/>
      </c>
      <c r="BF935" s="21" t="str">
        <f t="shared" si="639"/>
        <v>Apprenant 923 ou 923'</v>
      </c>
      <c r="BG935" s="49" t="str">
        <f t="shared" si="612"/>
        <v/>
      </c>
      <c r="BH935" s="49" t="str">
        <f t="shared" si="613"/>
        <v/>
      </c>
      <c r="BI935" s="49" t="str">
        <f t="shared" si="614"/>
        <v/>
      </c>
      <c r="BJ935" s="22" t="str">
        <f t="shared" si="640"/>
        <v/>
      </c>
      <c r="BL935" s="21"/>
      <c r="BM935" s="21" t="str">
        <f>IF(OR(COUNT(B935:D1934)=0,AND('Choix pédagogiques'!$C$3&lt;&gt;1,'Choix pédagogiques'!$C$3&lt;&gt;2)),"",IF(AND(OR('Choix pédagogiques'!$C$3=1,'Choix pédagogiques'!$C$3=2),$B935&lt;&gt;"",$C935&lt;&gt;"",$D935&lt;&gt;""),1,0))</f>
        <v/>
      </c>
      <c r="BN935" s="21" t="str">
        <f>IF(OR(COUNT(G935:I1934)=0,AND('Choix pédagogiques'!$C$3&lt;&gt;1,'Choix pédagogiques'!$C$3&lt;&gt;2)),"",IF(AND(OR('Choix pédagogiques'!$C$3=1,'Choix pédagogiques'!$C$3=2),AND($G935&lt;&gt;"",$H935&lt;&gt;"",$I935&lt;&gt;"")),1,0))</f>
        <v/>
      </c>
      <c r="BO935" s="21" t="str">
        <f>IF(OR(COUNT(B935:D1934)=0,COUNT(G935:I1934)=0,'Choix pédagogiques'!C$3&lt;&gt;3),"",IF(AND('Choix pédagogiques'!$C$3=3,$B935&lt;&gt;"",$C935&lt;&gt;"",$D935&lt;&gt;"",$G935&lt;&gt;"",$H935&lt;&gt;"",$I935&lt;&gt;""),1,0))</f>
        <v/>
      </c>
      <c r="BR935" s="21">
        <v>773</v>
      </c>
      <c r="BS935" s="21">
        <v>1549</v>
      </c>
      <c r="BT935"/>
    </row>
    <row r="936" spans="1:72" s="23" customFormat="1" ht="18" customHeight="1" x14ac:dyDescent="0.3">
      <c r="A936" s="35" t="s">
        <v>926</v>
      </c>
      <c r="B936" s="37"/>
      <c r="C936" s="37"/>
      <c r="D936" s="37"/>
      <c r="E936" s="37"/>
      <c r="F936" s="35" t="s">
        <v>1934</v>
      </c>
      <c r="G936" s="37"/>
      <c r="H936" s="37"/>
      <c r="I936" s="37"/>
      <c r="J936" s="37"/>
      <c r="K936" s="21" t="str">
        <f t="shared" si="615"/>
        <v>Apprenant 924</v>
      </c>
      <c r="L936" s="22" t="str">
        <f t="shared" si="616"/>
        <v/>
      </c>
      <c r="M936" s="22" t="str">
        <f t="shared" si="617"/>
        <v/>
      </c>
      <c r="N936" s="22" t="str">
        <f t="shared" si="618"/>
        <v/>
      </c>
      <c r="O936" s="22" t="str">
        <f t="shared" si="619"/>
        <v/>
      </c>
      <c r="P936" s="21" t="str">
        <f t="shared" si="620"/>
        <v>Apprenant 924 ou 924'</v>
      </c>
      <c r="Q936" s="22" t="str">
        <f t="shared" si="621"/>
        <v/>
      </c>
      <c r="R936" s="22" t="str">
        <f t="shared" si="622"/>
        <v/>
      </c>
      <c r="S936" s="22" t="str">
        <f t="shared" si="623"/>
        <v/>
      </c>
      <c r="T936" s="22" t="str">
        <f t="shared" si="624"/>
        <v/>
      </c>
      <c r="V936" s="21" t="str">
        <f t="shared" si="625"/>
        <v>Apprenant 924</v>
      </c>
      <c r="W936" s="22" t="str">
        <f>IF(AND(OR('Choix pédagogiques'!$C$3=1,'Choix pédagogiques'!$C$3=2),$BM936=1),B936,IF(AND('Choix pédagogiques'!$C$3=3,$BO936=1),B936,""))</f>
        <v/>
      </c>
      <c r="X936" s="22" t="str">
        <f>IF(AND(OR('Choix pédagogiques'!$C$3=1,'Choix pédagogiques'!$C$3=2),$BM936=1),C936,IF(AND('Choix pédagogiques'!$C$3=3,$BO936=1),C936,""))</f>
        <v/>
      </c>
      <c r="Y936" s="22" t="str">
        <f>IF(AND(OR('Choix pédagogiques'!$C$3=1,'Choix pédagogiques'!$C$3=2),$BM936=1),D936,IF(AND('Choix pédagogiques'!$C$3=3,$BO936=1),D936,""))</f>
        <v/>
      </c>
      <c r="Z936" s="22" t="str">
        <f t="shared" si="626"/>
        <v/>
      </c>
      <c r="AA936" s="21" t="str">
        <f t="shared" si="627"/>
        <v>Apprenant 924 ou 924'</v>
      </c>
      <c r="AB936" s="22" t="str">
        <f>IF(AND(OR('Choix pédagogiques'!$C$3=1,'Choix pédagogiques'!$C$3=2),$BN936=1),G936,IF(AND('Choix pédagogiques'!$C$3=3,$BO936=1),G936,""))</f>
        <v/>
      </c>
      <c r="AC936" s="22" t="str">
        <f>IF(AND(OR('Choix pédagogiques'!$C$3=1,'Choix pédagogiques'!$C$3=2),$BN936=1),H936,IF(AND('Choix pédagogiques'!$C$3=3,$BO936=1),H936,""))</f>
        <v/>
      </c>
      <c r="AD936" s="22" t="str">
        <f>IF(AND(OR('Choix pédagogiques'!$C$3=1,'Choix pédagogiques'!$C$3=2),$BN936=1),I936,IF(AND('Choix pédagogiques'!$C$3=3,$BO936=1),I936,""))</f>
        <v/>
      </c>
      <c r="AE936" s="22" t="str">
        <f t="shared" si="628"/>
        <v/>
      </c>
      <c r="AF936" s="21" t="str">
        <f t="shared" si="629"/>
        <v>Apprenant 924</v>
      </c>
      <c r="AG936" s="22" t="str">
        <f t="shared" si="603"/>
        <v/>
      </c>
      <c r="AH936" s="22" t="str">
        <f t="shared" si="604"/>
        <v/>
      </c>
      <c r="AI936" s="22" t="str">
        <f t="shared" si="605"/>
        <v/>
      </c>
      <c r="AJ936" s="22" t="str">
        <f t="shared" si="630"/>
        <v/>
      </c>
      <c r="AK936" s="21" t="str">
        <f t="shared" si="631"/>
        <v>Apprenant 924 ou 924'</v>
      </c>
      <c r="AL936" s="22" t="str">
        <f t="shared" si="606"/>
        <v/>
      </c>
      <c r="AM936" s="22" t="str">
        <f t="shared" si="607"/>
        <v/>
      </c>
      <c r="AN936" s="22" t="str">
        <f t="shared" si="608"/>
        <v/>
      </c>
      <c r="AO936" s="22" t="str">
        <f t="shared" si="632"/>
        <v/>
      </c>
      <c r="AQ936" s="21" t="str">
        <f t="shared" si="633"/>
        <v>Apprenant 924</v>
      </c>
      <c r="AR936" s="49" t="str">
        <f>IF(AND('Choix pédagogiques'!$C$4&lt;&gt;"?",'Choix pédagogiques'!$C$5&lt;&gt;"?",W936&lt;&gt;""),(W936-'Choix pédagogiques'!$C$4)/('Choix pédagogiques'!$C$5-'Choix pédagogiques'!$C$4),"")</f>
        <v/>
      </c>
      <c r="AS936" s="49" t="str">
        <f>IF(AND('Choix pédagogiques'!$C$4&lt;&gt;"?",'Choix pédagogiques'!$C$5&lt;&gt;"?",X936&lt;&gt;""),(X936-'Choix pédagogiques'!$C$4)/('Choix pédagogiques'!$C$5-'Choix pédagogiques'!$C$4),"")</f>
        <v/>
      </c>
      <c r="AT936" s="49" t="str">
        <f>IF(AND('Choix pédagogiques'!$C$4&lt;&gt;"?",'Choix pédagogiques'!$C$5&lt;&gt;"?",Y936&lt;&gt;""),(Y936-'Choix pédagogiques'!$C$4)/('Choix pédagogiques'!$C$5-'Choix pédagogiques'!$C$4),"")</f>
        <v/>
      </c>
      <c r="AU936" s="22" t="str">
        <f t="shared" si="634"/>
        <v/>
      </c>
      <c r="AV936" s="21" t="str">
        <f t="shared" si="635"/>
        <v>Apprenant 924 ou 924'</v>
      </c>
      <c r="AW936" s="49" t="str">
        <f>IF(AND('Choix pédagogiques'!$C$4&lt;&gt;"?",'Choix pédagogiques'!$C$5&lt;&gt;"?",AB936&lt;&gt;""),(AB936-'Choix pédagogiques'!$C$4)/('Choix pédagogiques'!$C$5-'Choix pédagogiques'!$C$4),"")</f>
        <v/>
      </c>
      <c r="AX936" s="49" t="str">
        <f>IF(AND('Choix pédagogiques'!$C$4&lt;&gt;"?",'Choix pédagogiques'!$C$5&lt;&gt;"?",AC936&lt;&gt;""),(AC936-'Choix pédagogiques'!$C$4)/('Choix pédagogiques'!$C$5-'Choix pédagogiques'!$C$4),"")</f>
        <v/>
      </c>
      <c r="AY936" s="49" t="str">
        <f>IF(AND('Choix pédagogiques'!$C$4&lt;&gt;"?",'Choix pédagogiques'!$C$5&lt;&gt;"?",AD936&lt;&gt;""),(AD936-'Choix pédagogiques'!$C$4)/('Choix pédagogiques'!$C$5-'Choix pédagogiques'!$C$4),"")</f>
        <v/>
      </c>
      <c r="AZ936" s="22" t="str">
        <f t="shared" si="636"/>
        <v/>
      </c>
      <c r="BA936" s="21" t="str">
        <f t="shared" si="637"/>
        <v>Apprenant 924</v>
      </c>
      <c r="BB936" s="49" t="str">
        <f t="shared" si="609"/>
        <v/>
      </c>
      <c r="BC936" s="49" t="str">
        <f t="shared" si="610"/>
        <v/>
      </c>
      <c r="BD936" s="49" t="str">
        <f t="shared" si="611"/>
        <v/>
      </c>
      <c r="BE936" s="22" t="str">
        <f t="shared" si="638"/>
        <v/>
      </c>
      <c r="BF936" s="21" t="str">
        <f t="shared" si="639"/>
        <v>Apprenant 924 ou 924'</v>
      </c>
      <c r="BG936" s="49" t="str">
        <f t="shared" si="612"/>
        <v/>
      </c>
      <c r="BH936" s="49" t="str">
        <f t="shared" si="613"/>
        <v/>
      </c>
      <c r="BI936" s="49" t="str">
        <f t="shared" si="614"/>
        <v/>
      </c>
      <c r="BJ936" s="22" t="str">
        <f t="shared" si="640"/>
        <v/>
      </c>
      <c r="BL936" s="21"/>
      <c r="BM936" s="21" t="str">
        <f>IF(OR(COUNT(B936:D1935)=0,AND('Choix pédagogiques'!$C$3&lt;&gt;1,'Choix pédagogiques'!$C$3&lt;&gt;2)),"",IF(AND(OR('Choix pédagogiques'!$C$3=1,'Choix pédagogiques'!$C$3=2),$B936&lt;&gt;"",$C936&lt;&gt;"",$D936&lt;&gt;""),1,0))</f>
        <v/>
      </c>
      <c r="BN936" s="21" t="str">
        <f>IF(OR(COUNT(G936:I1935)=0,AND('Choix pédagogiques'!$C$3&lt;&gt;1,'Choix pédagogiques'!$C$3&lt;&gt;2)),"",IF(AND(OR('Choix pédagogiques'!$C$3=1,'Choix pédagogiques'!$C$3=2),AND($G936&lt;&gt;"",$H936&lt;&gt;"",$I936&lt;&gt;"")),1,0))</f>
        <v/>
      </c>
      <c r="BO936" s="21" t="str">
        <f>IF(OR(COUNT(B936:D1935)=0,COUNT(G936:I1935)=0,'Choix pédagogiques'!C$3&lt;&gt;3),"",IF(AND('Choix pédagogiques'!$C$3=3,$B936&lt;&gt;"",$C936&lt;&gt;"",$D936&lt;&gt;"",$G936&lt;&gt;"",$H936&lt;&gt;"",$I936&lt;&gt;""),1,0))</f>
        <v/>
      </c>
      <c r="BR936" s="21">
        <v>497</v>
      </c>
      <c r="BS936" s="21">
        <v>1636</v>
      </c>
      <c r="BT936"/>
    </row>
    <row r="937" spans="1:72" s="23" customFormat="1" ht="18" customHeight="1" x14ac:dyDescent="0.3">
      <c r="A937" s="35" t="s">
        <v>927</v>
      </c>
      <c r="B937" s="37"/>
      <c r="C937" s="37"/>
      <c r="D937" s="37"/>
      <c r="E937" s="37"/>
      <c r="F937" s="35" t="s">
        <v>1935</v>
      </c>
      <c r="G937" s="37"/>
      <c r="H937" s="37"/>
      <c r="I937" s="37"/>
      <c r="J937" s="37"/>
      <c r="K937" s="21" t="str">
        <f t="shared" si="615"/>
        <v>Apprenant 925</v>
      </c>
      <c r="L937" s="22" t="str">
        <f t="shared" si="616"/>
        <v/>
      </c>
      <c r="M937" s="22" t="str">
        <f t="shared" si="617"/>
        <v/>
      </c>
      <c r="N937" s="22" t="str">
        <f t="shared" si="618"/>
        <v/>
      </c>
      <c r="O937" s="22" t="str">
        <f t="shared" si="619"/>
        <v/>
      </c>
      <c r="P937" s="21" t="str">
        <f t="shared" si="620"/>
        <v>Apprenant 925 ou 925'</v>
      </c>
      <c r="Q937" s="22" t="str">
        <f t="shared" si="621"/>
        <v/>
      </c>
      <c r="R937" s="22" t="str">
        <f t="shared" si="622"/>
        <v/>
      </c>
      <c r="S937" s="22" t="str">
        <f t="shared" si="623"/>
        <v/>
      </c>
      <c r="T937" s="22" t="str">
        <f t="shared" si="624"/>
        <v/>
      </c>
      <c r="V937" s="21" t="str">
        <f t="shared" si="625"/>
        <v>Apprenant 925</v>
      </c>
      <c r="W937" s="22" t="str">
        <f>IF(AND(OR('Choix pédagogiques'!$C$3=1,'Choix pédagogiques'!$C$3=2),$BM937=1),B937,IF(AND('Choix pédagogiques'!$C$3=3,$BO937=1),B937,""))</f>
        <v/>
      </c>
      <c r="X937" s="22" t="str">
        <f>IF(AND(OR('Choix pédagogiques'!$C$3=1,'Choix pédagogiques'!$C$3=2),$BM937=1),C937,IF(AND('Choix pédagogiques'!$C$3=3,$BO937=1),C937,""))</f>
        <v/>
      </c>
      <c r="Y937" s="22" t="str">
        <f>IF(AND(OR('Choix pédagogiques'!$C$3=1,'Choix pédagogiques'!$C$3=2),$BM937=1),D937,IF(AND('Choix pédagogiques'!$C$3=3,$BO937=1),D937,""))</f>
        <v/>
      </c>
      <c r="Z937" s="22" t="str">
        <f t="shared" si="626"/>
        <v/>
      </c>
      <c r="AA937" s="21" t="str">
        <f t="shared" si="627"/>
        <v>Apprenant 925 ou 925'</v>
      </c>
      <c r="AB937" s="22" t="str">
        <f>IF(AND(OR('Choix pédagogiques'!$C$3=1,'Choix pédagogiques'!$C$3=2),$BN937=1),G937,IF(AND('Choix pédagogiques'!$C$3=3,$BO937=1),G937,""))</f>
        <v/>
      </c>
      <c r="AC937" s="22" t="str">
        <f>IF(AND(OR('Choix pédagogiques'!$C$3=1,'Choix pédagogiques'!$C$3=2),$BN937=1),H937,IF(AND('Choix pédagogiques'!$C$3=3,$BO937=1),H937,""))</f>
        <v/>
      </c>
      <c r="AD937" s="22" t="str">
        <f>IF(AND(OR('Choix pédagogiques'!$C$3=1,'Choix pédagogiques'!$C$3=2),$BN937=1),I937,IF(AND('Choix pédagogiques'!$C$3=3,$BO937=1),I937,""))</f>
        <v/>
      </c>
      <c r="AE937" s="22" t="str">
        <f t="shared" si="628"/>
        <v/>
      </c>
      <c r="AF937" s="21" t="str">
        <f t="shared" si="629"/>
        <v>Apprenant 925</v>
      </c>
      <c r="AG937" s="22" t="str">
        <f t="shared" si="603"/>
        <v/>
      </c>
      <c r="AH937" s="22" t="str">
        <f t="shared" si="604"/>
        <v/>
      </c>
      <c r="AI937" s="22" t="str">
        <f t="shared" si="605"/>
        <v/>
      </c>
      <c r="AJ937" s="22" t="str">
        <f t="shared" si="630"/>
        <v/>
      </c>
      <c r="AK937" s="21" t="str">
        <f t="shared" si="631"/>
        <v>Apprenant 925 ou 925'</v>
      </c>
      <c r="AL937" s="22" t="str">
        <f t="shared" si="606"/>
        <v/>
      </c>
      <c r="AM937" s="22" t="str">
        <f t="shared" si="607"/>
        <v/>
      </c>
      <c r="AN937" s="22" t="str">
        <f t="shared" si="608"/>
        <v/>
      </c>
      <c r="AO937" s="22" t="str">
        <f t="shared" si="632"/>
        <v/>
      </c>
      <c r="AQ937" s="21" t="str">
        <f t="shared" si="633"/>
        <v>Apprenant 925</v>
      </c>
      <c r="AR937" s="49" t="str">
        <f>IF(AND('Choix pédagogiques'!$C$4&lt;&gt;"?",'Choix pédagogiques'!$C$5&lt;&gt;"?",W937&lt;&gt;""),(W937-'Choix pédagogiques'!$C$4)/('Choix pédagogiques'!$C$5-'Choix pédagogiques'!$C$4),"")</f>
        <v/>
      </c>
      <c r="AS937" s="49" t="str">
        <f>IF(AND('Choix pédagogiques'!$C$4&lt;&gt;"?",'Choix pédagogiques'!$C$5&lt;&gt;"?",X937&lt;&gt;""),(X937-'Choix pédagogiques'!$C$4)/('Choix pédagogiques'!$C$5-'Choix pédagogiques'!$C$4),"")</f>
        <v/>
      </c>
      <c r="AT937" s="49" t="str">
        <f>IF(AND('Choix pédagogiques'!$C$4&lt;&gt;"?",'Choix pédagogiques'!$C$5&lt;&gt;"?",Y937&lt;&gt;""),(Y937-'Choix pédagogiques'!$C$4)/('Choix pédagogiques'!$C$5-'Choix pédagogiques'!$C$4),"")</f>
        <v/>
      </c>
      <c r="AU937" s="22" t="str">
        <f t="shared" si="634"/>
        <v/>
      </c>
      <c r="AV937" s="21" t="str">
        <f t="shared" si="635"/>
        <v>Apprenant 925 ou 925'</v>
      </c>
      <c r="AW937" s="49" t="str">
        <f>IF(AND('Choix pédagogiques'!$C$4&lt;&gt;"?",'Choix pédagogiques'!$C$5&lt;&gt;"?",AB937&lt;&gt;""),(AB937-'Choix pédagogiques'!$C$4)/('Choix pédagogiques'!$C$5-'Choix pédagogiques'!$C$4),"")</f>
        <v/>
      </c>
      <c r="AX937" s="49" t="str">
        <f>IF(AND('Choix pédagogiques'!$C$4&lt;&gt;"?",'Choix pédagogiques'!$C$5&lt;&gt;"?",AC937&lt;&gt;""),(AC937-'Choix pédagogiques'!$C$4)/('Choix pédagogiques'!$C$5-'Choix pédagogiques'!$C$4),"")</f>
        <v/>
      </c>
      <c r="AY937" s="49" t="str">
        <f>IF(AND('Choix pédagogiques'!$C$4&lt;&gt;"?",'Choix pédagogiques'!$C$5&lt;&gt;"?",AD937&lt;&gt;""),(AD937-'Choix pédagogiques'!$C$4)/('Choix pédagogiques'!$C$5-'Choix pédagogiques'!$C$4),"")</f>
        <v/>
      </c>
      <c r="AZ937" s="22" t="str">
        <f t="shared" si="636"/>
        <v/>
      </c>
      <c r="BA937" s="21" t="str">
        <f t="shared" si="637"/>
        <v>Apprenant 925</v>
      </c>
      <c r="BB937" s="49" t="str">
        <f t="shared" si="609"/>
        <v/>
      </c>
      <c r="BC937" s="49" t="str">
        <f t="shared" si="610"/>
        <v/>
      </c>
      <c r="BD937" s="49" t="str">
        <f t="shared" si="611"/>
        <v/>
      </c>
      <c r="BE937" s="22" t="str">
        <f t="shared" si="638"/>
        <v/>
      </c>
      <c r="BF937" s="21" t="str">
        <f t="shared" si="639"/>
        <v>Apprenant 925 ou 925'</v>
      </c>
      <c r="BG937" s="49" t="str">
        <f t="shared" si="612"/>
        <v/>
      </c>
      <c r="BH937" s="49" t="str">
        <f t="shared" si="613"/>
        <v/>
      </c>
      <c r="BI937" s="49" t="str">
        <f t="shared" si="614"/>
        <v/>
      </c>
      <c r="BJ937" s="22" t="str">
        <f t="shared" si="640"/>
        <v/>
      </c>
      <c r="BL937" s="21"/>
      <c r="BM937" s="21" t="str">
        <f>IF(OR(COUNT(B937:D1936)=0,AND('Choix pédagogiques'!$C$3&lt;&gt;1,'Choix pédagogiques'!$C$3&lt;&gt;2)),"",IF(AND(OR('Choix pédagogiques'!$C$3=1,'Choix pédagogiques'!$C$3=2),$B937&lt;&gt;"",$C937&lt;&gt;"",$D937&lt;&gt;""),1,0))</f>
        <v/>
      </c>
      <c r="BN937" s="21" t="str">
        <f>IF(OR(COUNT(G937:I1936)=0,AND('Choix pédagogiques'!$C$3&lt;&gt;1,'Choix pédagogiques'!$C$3&lt;&gt;2)),"",IF(AND(OR('Choix pédagogiques'!$C$3=1,'Choix pédagogiques'!$C$3=2),AND($G937&lt;&gt;"",$H937&lt;&gt;"",$I937&lt;&gt;"")),1,0))</f>
        <v/>
      </c>
      <c r="BO937" s="21" t="str">
        <f>IF(OR(COUNT(B937:D1936)=0,COUNT(G937:I1936)=0,'Choix pédagogiques'!C$3&lt;&gt;3),"",IF(AND('Choix pédagogiques'!$C$3=3,$B937&lt;&gt;"",$C937&lt;&gt;"",$D937&lt;&gt;"",$G937&lt;&gt;"",$H937&lt;&gt;"",$I937&lt;&gt;""),1,0))</f>
        <v/>
      </c>
      <c r="BR937" s="21">
        <v>186</v>
      </c>
      <c r="BS937" s="21">
        <v>1970</v>
      </c>
      <c r="BT937"/>
    </row>
    <row r="938" spans="1:72" s="23" customFormat="1" ht="18" customHeight="1" x14ac:dyDescent="0.3">
      <c r="A938" s="35" t="s">
        <v>928</v>
      </c>
      <c r="B938" s="37"/>
      <c r="C938" s="37"/>
      <c r="D938" s="37"/>
      <c r="E938" s="37"/>
      <c r="F938" s="35" t="s">
        <v>1936</v>
      </c>
      <c r="G938" s="37"/>
      <c r="H938" s="37"/>
      <c r="I938" s="37"/>
      <c r="J938" s="37"/>
      <c r="K938" s="21" t="str">
        <f t="shared" si="615"/>
        <v>Apprenant 926</v>
      </c>
      <c r="L938" s="22" t="str">
        <f t="shared" si="616"/>
        <v/>
      </c>
      <c r="M938" s="22" t="str">
        <f t="shared" si="617"/>
        <v/>
      </c>
      <c r="N938" s="22" t="str">
        <f t="shared" si="618"/>
        <v/>
      </c>
      <c r="O938" s="22" t="str">
        <f t="shared" si="619"/>
        <v/>
      </c>
      <c r="P938" s="21" t="str">
        <f t="shared" si="620"/>
        <v>Apprenant 926 ou 926'</v>
      </c>
      <c r="Q938" s="22" t="str">
        <f t="shared" si="621"/>
        <v/>
      </c>
      <c r="R938" s="22" t="str">
        <f t="shared" si="622"/>
        <v/>
      </c>
      <c r="S938" s="22" t="str">
        <f t="shared" si="623"/>
        <v/>
      </c>
      <c r="T938" s="22" t="str">
        <f t="shared" si="624"/>
        <v/>
      </c>
      <c r="V938" s="21" t="str">
        <f t="shared" si="625"/>
        <v>Apprenant 926</v>
      </c>
      <c r="W938" s="22" t="str">
        <f>IF(AND(OR('Choix pédagogiques'!$C$3=1,'Choix pédagogiques'!$C$3=2),$BM938=1),B938,IF(AND('Choix pédagogiques'!$C$3=3,$BO938=1),B938,""))</f>
        <v/>
      </c>
      <c r="X938" s="22" t="str">
        <f>IF(AND(OR('Choix pédagogiques'!$C$3=1,'Choix pédagogiques'!$C$3=2),$BM938=1),C938,IF(AND('Choix pédagogiques'!$C$3=3,$BO938=1),C938,""))</f>
        <v/>
      </c>
      <c r="Y938" s="22" t="str">
        <f>IF(AND(OR('Choix pédagogiques'!$C$3=1,'Choix pédagogiques'!$C$3=2),$BM938=1),D938,IF(AND('Choix pédagogiques'!$C$3=3,$BO938=1),D938,""))</f>
        <v/>
      </c>
      <c r="Z938" s="22" t="str">
        <f t="shared" si="626"/>
        <v/>
      </c>
      <c r="AA938" s="21" t="str">
        <f t="shared" si="627"/>
        <v>Apprenant 926 ou 926'</v>
      </c>
      <c r="AB938" s="22" t="str">
        <f>IF(AND(OR('Choix pédagogiques'!$C$3=1,'Choix pédagogiques'!$C$3=2),$BN938=1),G938,IF(AND('Choix pédagogiques'!$C$3=3,$BO938=1),G938,""))</f>
        <v/>
      </c>
      <c r="AC938" s="22" t="str">
        <f>IF(AND(OR('Choix pédagogiques'!$C$3=1,'Choix pédagogiques'!$C$3=2),$BN938=1),H938,IF(AND('Choix pédagogiques'!$C$3=3,$BO938=1),H938,""))</f>
        <v/>
      </c>
      <c r="AD938" s="22" t="str">
        <f>IF(AND(OR('Choix pédagogiques'!$C$3=1,'Choix pédagogiques'!$C$3=2),$BN938=1),I938,IF(AND('Choix pédagogiques'!$C$3=3,$BO938=1),I938,""))</f>
        <v/>
      </c>
      <c r="AE938" s="22" t="str">
        <f t="shared" si="628"/>
        <v/>
      </c>
      <c r="AF938" s="21" t="str">
        <f t="shared" si="629"/>
        <v>Apprenant 926</v>
      </c>
      <c r="AG938" s="22" t="str">
        <f t="shared" si="603"/>
        <v/>
      </c>
      <c r="AH938" s="22" t="str">
        <f t="shared" si="604"/>
        <v/>
      </c>
      <c r="AI938" s="22" t="str">
        <f t="shared" si="605"/>
        <v/>
      </c>
      <c r="AJ938" s="22" t="str">
        <f t="shared" si="630"/>
        <v/>
      </c>
      <c r="AK938" s="21" t="str">
        <f t="shared" si="631"/>
        <v>Apprenant 926 ou 926'</v>
      </c>
      <c r="AL938" s="22" t="str">
        <f t="shared" si="606"/>
        <v/>
      </c>
      <c r="AM938" s="22" t="str">
        <f t="shared" si="607"/>
        <v/>
      </c>
      <c r="AN938" s="22" t="str">
        <f t="shared" si="608"/>
        <v/>
      </c>
      <c r="AO938" s="22" t="str">
        <f t="shared" si="632"/>
        <v/>
      </c>
      <c r="AQ938" s="21" t="str">
        <f t="shared" si="633"/>
        <v>Apprenant 926</v>
      </c>
      <c r="AR938" s="49" t="str">
        <f>IF(AND('Choix pédagogiques'!$C$4&lt;&gt;"?",'Choix pédagogiques'!$C$5&lt;&gt;"?",W938&lt;&gt;""),(W938-'Choix pédagogiques'!$C$4)/('Choix pédagogiques'!$C$5-'Choix pédagogiques'!$C$4),"")</f>
        <v/>
      </c>
      <c r="AS938" s="49" t="str">
        <f>IF(AND('Choix pédagogiques'!$C$4&lt;&gt;"?",'Choix pédagogiques'!$C$5&lt;&gt;"?",X938&lt;&gt;""),(X938-'Choix pédagogiques'!$C$4)/('Choix pédagogiques'!$C$5-'Choix pédagogiques'!$C$4),"")</f>
        <v/>
      </c>
      <c r="AT938" s="49" t="str">
        <f>IF(AND('Choix pédagogiques'!$C$4&lt;&gt;"?",'Choix pédagogiques'!$C$5&lt;&gt;"?",Y938&lt;&gt;""),(Y938-'Choix pédagogiques'!$C$4)/('Choix pédagogiques'!$C$5-'Choix pédagogiques'!$C$4),"")</f>
        <v/>
      </c>
      <c r="AU938" s="22" t="str">
        <f t="shared" si="634"/>
        <v/>
      </c>
      <c r="AV938" s="21" t="str">
        <f t="shared" si="635"/>
        <v>Apprenant 926 ou 926'</v>
      </c>
      <c r="AW938" s="49" t="str">
        <f>IF(AND('Choix pédagogiques'!$C$4&lt;&gt;"?",'Choix pédagogiques'!$C$5&lt;&gt;"?",AB938&lt;&gt;""),(AB938-'Choix pédagogiques'!$C$4)/('Choix pédagogiques'!$C$5-'Choix pédagogiques'!$C$4),"")</f>
        <v/>
      </c>
      <c r="AX938" s="49" t="str">
        <f>IF(AND('Choix pédagogiques'!$C$4&lt;&gt;"?",'Choix pédagogiques'!$C$5&lt;&gt;"?",AC938&lt;&gt;""),(AC938-'Choix pédagogiques'!$C$4)/('Choix pédagogiques'!$C$5-'Choix pédagogiques'!$C$4),"")</f>
        <v/>
      </c>
      <c r="AY938" s="49" t="str">
        <f>IF(AND('Choix pédagogiques'!$C$4&lt;&gt;"?",'Choix pédagogiques'!$C$5&lt;&gt;"?",AD938&lt;&gt;""),(AD938-'Choix pédagogiques'!$C$4)/('Choix pédagogiques'!$C$5-'Choix pédagogiques'!$C$4),"")</f>
        <v/>
      </c>
      <c r="AZ938" s="22" t="str">
        <f t="shared" si="636"/>
        <v/>
      </c>
      <c r="BA938" s="21" t="str">
        <f t="shared" si="637"/>
        <v>Apprenant 926</v>
      </c>
      <c r="BB938" s="49" t="str">
        <f t="shared" si="609"/>
        <v/>
      </c>
      <c r="BC938" s="49" t="str">
        <f t="shared" si="610"/>
        <v/>
      </c>
      <c r="BD938" s="49" t="str">
        <f t="shared" si="611"/>
        <v/>
      </c>
      <c r="BE938" s="22" t="str">
        <f t="shared" si="638"/>
        <v/>
      </c>
      <c r="BF938" s="21" t="str">
        <f t="shared" si="639"/>
        <v>Apprenant 926 ou 926'</v>
      </c>
      <c r="BG938" s="49" t="str">
        <f t="shared" si="612"/>
        <v/>
      </c>
      <c r="BH938" s="49" t="str">
        <f t="shared" si="613"/>
        <v/>
      </c>
      <c r="BI938" s="49" t="str">
        <f t="shared" si="614"/>
        <v/>
      </c>
      <c r="BJ938" s="22" t="str">
        <f t="shared" si="640"/>
        <v/>
      </c>
      <c r="BL938" s="21"/>
      <c r="BM938" s="21" t="str">
        <f>IF(OR(COUNT(B938:D1937)=0,AND('Choix pédagogiques'!$C$3&lt;&gt;1,'Choix pédagogiques'!$C$3&lt;&gt;2)),"",IF(AND(OR('Choix pédagogiques'!$C$3=1,'Choix pédagogiques'!$C$3=2),$B938&lt;&gt;"",$C938&lt;&gt;"",$D938&lt;&gt;""),1,0))</f>
        <v/>
      </c>
      <c r="BN938" s="21" t="str">
        <f>IF(OR(COUNT(G938:I1937)=0,AND('Choix pédagogiques'!$C$3&lt;&gt;1,'Choix pédagogiques'!$C$3&lt;&gt;2)),"",IF(AND(OR('Choix pédagogiques'!$C$3=1,'Choix pédagogiques'!$C$3=2),AND($G938&lt;&gt;"",$H938&lt;&gt;"",$I938&lt;&gt;"")),1,0))</f>
        <v/>
      </c>
      <c r="BO938" s="21" t="str">
        <f>IF(OR(COUNT(B938:D1937)=0,COUNT(G938:I1937)=0,'Choix pédagogiques'!C$3&lt;&gt;3),"",IF(AND('Choix pédagogiques'!$C$3=3,$B938&lt;&gt;"",$C938&lt;&gt;"",$D938&lt;&gt;"",$G938&lt;&gt;"",$H938&lt;&gt;"",$I938&lt;&gt;""),1,0))</f>
        <v/>
      </c>
      <c r="BR938" s="21">
        <v>988</v>
      </c>
      <c r="BS938" s="21">
        <v>1307</v>
      </c>
      <c r="BT938"/>
    </row>
    <row r="939" spans="1:72" s="23" customFormat="1" ht="18" customHeight="1" x14ac:dyDescent="0.3">
      <c r="A939" s="35" t="s">
        <v>929</v>
      </c>
      <c r="B939" s="37"/>
      <c r="C939" s="37"/>
      <c r="D939" s="37"/>
      <c r="E939" s="37"/>
      <c r="F939" s="35" t="s">
        <v>1937</v>
      </c>
      <c r="G939" s="37"/>
      <c r="H939" s="37"/>
      <c r="I939" s="37"/>
      <c r="J939" s="37"/>
      <c r="K939" s="21" t="str">
        <f t="shared" si="615"/>
        <v>Apprenant 927</v>
      </c>
      <c r="L939" s="22" t="str">
        <f t="shared" si="616"/>
        <v/>
      </c>
      <c r="M939" s="22" t="str">
        <f t="shared" si="617"/>
        <v/>
      </c>
      <c r="N939" s="22" t="str">
        <f t="shared" si="618"/>
        <v/>
      </c>
      <c r="O939" s="22" t="str">
        <f t="shared" si="619"/>
        <v/>
      </c>
      <c r="P939" s="21" t="str">
        <f t="shared" si="620"/>
        <v>Apprenant 927 ou 927'</v>
      </c>
      <c r="Q939" s="22" t="str">
        <f t="shared" si="621"/>
        <v/>
      </c>
      <c r="R939" s="22" t="str">
        <f t="shared" si="622"/>
        <v/>
      </c>
      <c r="S939" s="22" t="str">
        <f t="shared" si="623"/>
        <v/>
      </c>
      <c r="T939" s="22" t="str">
        <f t="shared" si="624"/>
        <v/>
      </c>
      <c r="V939" s="21" t="str">
        <f t="shared" si="625"/>
        <v>Apprenant 927</v>
      </c>
      <c r="W939" s="22" t="str">
        <f>IF(AND(OR('Choix pédagogiques'!$C$3=1,'Choix pédagogiques'!$C$3=2),$BM939=1),B939,IF(AND('Choix pédagogiques'!$C$3=3,$BO939=1),B939,""))</f>
        <v/>
      </c>
      <c r="X939" s="22" t="str">
        <f>IF(AND(OR('Choix pédagogiques'!$C$3=1,'Choix pédagogiques'!$C$3=2),$BM939=1),C939,IF(AND('Choix pédagogiques'!$C$3=3,$BO939=1),C939,""))</f>
        <v/>
      </c>
      <c r="Y939" s="22" t="str">
        <f>IF(AND(OR('Choix pédagogiques'!$C$3=1,'Choix pédagogiques'!$C$3=2),$BM939=1),D939,IF(AND('Choix pédagogiques'!$C$3=3,$BO939=1),D939,""))</f>
        <v/>
      </c>
      <c r="Z939" s="22" t="str">
        <f t="shared" si="626"/>
        <v/>
      </c>
      <c r="AA939" s="21" t="str">
        <f t="shared" si="627"/>
        <v>Apprenant 927 ou 927'</v>
      </c>
      <c r="AB939" s="22" t="str">
        <f>IF(AND(OR('Choix pédagogiques'!$C$3=1,'Choix pédagogiques'!$C$3=2),$BN939=1),G939,IF(AND('Choix pédagogiques'!$C$3=3,$BO939=1),G939,""))</f>
        <v/>
      </c>
      <c r="AC939" s="22" t="str">
        <f>IF(AND(OR('Choix pédagogiques'!$C$3=1,'Choix pédagogiques'!$C$3=2),$BN939=1),H939,IF(AND('Choix pédagogiques'!$C$3=3,$BO939=1),H939,""))</f>
        <v/>
      </c>
      <c r="AD939" s="22" t="str">
        <f>IF(AND(OR('Choix pédagogiques'!$C$3=1,'Choix pédagogiques'!$C$3=2),$BN939=1),I939,IF(AND('Choix pédagogiques'!$C$3=3,$BO939=1),I939,""))</f>
        <v/>
      </c>
      <c r="AE939" s="22" t="str">
        <f t="shared" si="628"/>
        <v/>
      </c>
      <c r="AF939" s="21" t="str">
        <f t="shared" si="629"/>
        <v>Apprenant 927</v>
      </c>
      <c r="AG939" s="22" t="str">
        <f t="shared" si="603"/>
        <v/>
      </c>
      <c r="AH939" s="22" t="str">
        <f t="shared" si="604"/>
        <v/>
      </c>
      <c r="AI939" s="22" t="str">
        <f t="shared" si="605"/>
        <v/>
      </c>
      <c r="AJ939" s="22" t="str">
        <f t="shared" si="630"/>
        <v/>
      </c>
      <c r="AK939" s="21" t="str">
        <f t="shared" si="631"/>
        <v>Apprenant 927 ou 927'</v>
      </c>
      <c r="AL939" s="22" t="str">
        <f t="shared" si="606"/>
        <v/>
      </c>
      <c r="AM939" s="22" t="str">
        <f t="shared" si="607"/>
        <v/>
      </c>
      <c r="AN939" s="22" t="str">
        <f t="shared" si="608"/>
        <v/>
      </c>
      <c r="AO939" s="22" t="str">
        <f t="shared" si="632"/>
        <v/>
      </c>
      <c r="AQ939" s="21" t="str">
        <f t="shared" si="633"/>
        <v>Apprenant 927</v>
      </c>
      <c r="AR939" s="49" t="str">
        <f>IF(AND('Choix pédagogiques'!$C$4&lt;&gt;"?",'Choix pédagogiques'!$C$5&lt;&gt;"?",W939&lt;&gt;""),(W939-'Choix pédagogiques'!$C$4)/('Choix pédagogiques'!$C$5-'Choix pédagogiques'!$C$4),"")</f>
        <v/>
      </c>
      <c r="AS939" s="49" t="str">
        <f>IF(AND('Choix pédagogiques'!$C$4&lt;&gt;"?",'Choix pédagogiques'!$C$5&lt;&gt;"?",X939&lt;&gt;""),(X939-'Choix pédagogiques'!$C$4)/('Choix pédagogiques'!$C$5-'Choix pédagogiques'!$C$4),"")</f>
        <v/>
      </c>
      <c r="AT939" s="49" t="str">
        <f>IF(AND('Choix pédagogiques'!$C$4&lt;&gt;"?",'Choix pédagogiques'!$C$5&lt;&gt;"?",Y939&lt;&gt;""),(Y939-'Choix pédagogiques'!$C$4)/('Choix pédagogiques'!$C$5-'Choix pédagogiques'!$C$4),"")</f>
        <v/>
      </c>
      <c r="AU939" s="22" t="str">
        <f t="shared" si="634"/>
        <v/>
      </c>
      <c r="AV939" s="21" t="str">
        <f t="shared" si="635"/>
        <v>Apprenant 927 ou 927'</v>
      </c>
      <c r="AW939" s="49" t="str">
        <f>IF(AND('Choix pédagogiques'!$C$4&lt;&gt;"?",'Choix pédagogiques'!$C$5&lt;&gt;"?",AB939&lt;&gt;""),(AB939-'Choix pédagogiques'!$C$4)/('Choix pédagogiques'!$C$5-'Choix pédagogiques'!$C$4),"")</f>
        <v/>
      </c>
      <c r="AX939" s="49" t="str">
        <f>IF(AND('Choix pédagogiques'!$C$4&lt;&gt;"?",'Choix pédagogiques'!$C$5&lt;&gt;"?",AC939&lt;&gt;""),(AC939-'Choix pédagogiques'!$C$4)/('Choix pédagogiques'!$C$5-'Choix pédagogiques'!$C$4),"")</f>
        <v/>
      </c>
      <c r="AY939" s="49" t="str">
        <f>IF(AND('Choix pédagogiques'!$C$4&lt;&gt;"?",'Choix pédagogiques'!$C$5&lt;&gt;"?",AD939&lt;&gt;""),(AD939-'Choix pédagogiques'!$C$4)/('Choix pédagogiques'!$C$5-'Choix pédagogiques'!$C$4),"")</f>
        <v/>
      </c>
      <c r="AZ939" s="22" t="str">
        <f t="shared" si="636"/>
        <v/>
      </c>
      <c r="BA939" s="21" t="str">
        <f t="shared" si="637"/>
        <v>Apprenant 927</v>
      </c>
      <c r="BB939" s="49" t="str">
        <f t="shared" si="609"/>
        <v/>
      </c>
      <c r="BC939" s="49" t="str">
        <f t="shared" si="610"/>
        <v/>
      </c>
      <c r="BD939" s="49" t="str">
        <f t="shared" si="611"/>
        <v/>
      </c>
      <c r="BE939" s="22" t="str">
        <f t="shared" si="638"/>
        <v/>
      </c>
      <c r="BF939" s="21" t="str">
        <f t="shared" si="639"/>
        <v>Apprenant 927 ou 927'</v>
      </c>
      <c r="BG939" s="49" t="str">
        <f t="shared" si="612"/>
        <v/>
      </c>
      <c r="BH939" s="49" t="str">
        <f t="shared" si="613"/>
        <v/>
      </c>
      <c r="BI939" s="49" t="str">
        <f t="shared" si="614"/>
        <v/>
      </c>
      <c r="BJ939" s="22" t="str">
        <f t="shared" si="640"/>
        <v/>
      </c>
      <c r="BL939" s="21"/>
      <c r="BM939" s="21" t="str">
        <f>IF(OR(COUNT(B939:D1938)=0,AND('Choix pédagogiques'!$C$3&lt;&gt;1,'Choix pédagogiques'!$C$3&lt;&gt;2)),"",IF(AND(OR('Choix pédagogiques'!$C$3=1,'Choix pédagogiques'!$C$3=2),$B939&lt;&gt;"",$C939&lt;&gt;"",$D939&lt;&gt;""),1,0))</f>
        <v/>
      </c>
      <c r="BN939" s="21" t="str">
        <f>IF(OR(COUNT(G939:I1938)=0,AND('Choix pédagogiques'!$C$3&lt;&gt;1,'Choix pédagogiques'!$C$3&lt;&gt;2)),"",IF(AND(OR('Choix pédagogiques'!$C$3=1,'Choix pédagogiques'!$C$3=2),AND($G939&lt;&gt;"",$H939&lt;&gt;"",$I939&lt;&gt;"")),1,0))</f>
        <v/>
      </c>
      <c r="BO939" s="21" t="str">
        <f>IF(OR(COUNT(B939:D1938)=0,COUNT(G939:I1938)=0,'Choix pédagogiques'!C$3&lt;&gt;3),"",IF(AND('Choix pédagogiques'!$C$3=3,$B939&lt;&gt;"",$C939&lt;&gt;"",$D939&lt;&gt;"",$G939&lt;&gt;"",$H939&lt;&gt;"",$I939&lt;&gt;""),1,0))</f>
        <v/>
      </c>
      <c r="BR939" s="21">
        <v>402</v>
      </c>
      <c r="BS939" s="21">
        <v>1722</v>
      </c>
      <c r="BT939"/>
    </row>
    <row r="940" spans="1:72" s="23" customFormat="1" ht="18" customHeight="1" x14ac:dyDescent="0.3">
      <c r="A940" s="35" t="s">
        <v>930</v>
      </c>
      <c r="B940" s="37"/>
      <c r="C940" s="37"/>
      <c r="D940" s="37"/>
      <c r="E940" s="37"/>
      <c r="F940" s="35" t="s">
        <v>1938</v>
      </c>
      <c r="G940" s="37"/>
      <c r="H940" s="37"/>
      <c r="I940" s="37"/>
      <c r="J940" s="37"/>
      <c r="K940" s="21" t="str">
        <f t="shared" si="615"/>
        <v>Apprenant 928</v>
      </c>
      <c r="L940" s="22" t="str">
        <f t="shared" si="616"/>
        <v/>
      </c>
      <c r="M940" s="22" t="str">
        <f t="shared" si="617"/>
        <v/>
      </c>
      <c r="N940" s="22" t="str">
        <f t="shared" si="618"/>
        <v/>
      </c>
      <c r="O940" s="22" t="str">
        <f t="shared" si="619"/>
        <v/>
      </c>
      <c r="P940" s="21" t="str">
        <f t="shared" si="620"/>
        <v>Apprenant 928 ou 928'</v>
      </c>
      <c r="Q940" s="22" t="str">
        <f t="shared" si="621"/>
        <v/>
      </c>
      <c r="R940" s="22" t="str">
        <f t="shared" si="622"/>
        <v/>
      </c>
      <c r="S940" s="22" t="str">
        <f t="shared" si="623"/>
        <v/>
      </c>
      <c r="T940" s="22" t="str">
        <f t="shared" si="624"/>
        <v/>
      </c>
      <c r="V940" s="21" t="str">
        <f t="shared" si="625"/>
        <v>Apprenant 928</v>
      </c>
      <c r="W940" s="22" t="str">
        <f>IF(AND(OR('Choix pédagogiques'!$C$3=1,'Choix pédagogiques'!$C$3=2),$BM940=1),B940,IF(AND('Choix pédagogiques'!$C$3=3,$BO940=1),B940,""))</f>
        <v/>
      </c>
      <c r="X940" s="22" t="str">
        <f>IF(AND(OR('Choix pédagogiques'!$C$3=1,'Choix pédagogiques'!$C$3=2),$BM940=1),C940,IF(AND('Choix pédagogiques'!$C$3=3,$BO940=1),C940,""))</f>
        <v/>
      </c>
      <c r="Y940" s="22" t="str">
        <f>IF(AND(OR('Choix pédagogiques'!$C$3=1,'Choix pédagogiques'!$C$3=2),$BM940=1),D940,IF(AND('Choix pédagogiques'!$C$3=3,$BO940=1),D940,""))</f>
        <v/>
      </c>
      <c r="Z940" s="22" t="str">
        <f t="shared" si="626"/>
        <v/>
      </c>
      <c r="AA940" s="21" t="str">
        <f t="shared" si="627"/>
        <v>Apprenant 928 ou 928'</v>
      </c>
      <c r="AB940" s="22" t="str">
        <f>IF(AND(OR('Choix pédagogiques'!$C$3=1,'Choix pédagogiques'!$C$3=2),$BN940=1),G940,IF(AND('Choix pédagogiques'!$C$3=3,$BO940=1),G940,""))</f>
        <v/>
      </c>
      <c r="AC940" s="22" t="str">
        <f>IF(AND(OR('Choix pédagogiques'!$C$3=1,'Choix pédagogiques'!$C$3=2),$BN940=1),H940,IF(AND('Choix pédagogiques'!$C$3=3,$BO940=1),H940,""))</f>
        <v/>
      </c>
      <c r="AD940" s="22" t="str">
        <f>IF(AND(OR('Choix pédagogiques'!$C$3=1,'Choix pédagogiques'!$C$3=2),$BN940=1),I940,IF(AND('Choix pédagogiques'!$C$3=3,$BO940=1),I940,""))</f>
        <v/>
      </c>
      <c r="AE940" s="22" t="str">
        <f t="shared" si="628"/>
        <v/>
      </c>
      <c r="AF940" s="21" t="str">
        <f t="shared" si="629"/>
        <v>Apprenant 928</v>
      </c>
      <c r="AG940" s="22" t="str">
        <f t="shared" si="603"/>
        <v/>
      </c>
      <c r="AH940" s="22" t="str">
        <f t="shared" si="604"/>
        <v/>
      </c>
      <c r="AI940" s="22" t="str">
        <f t="shared" si="605"/>
        <v/>
      </c>
      <c r="AJ940" s="22" t="str">
        <f t="shared" si="630"/>
        <v/>
      </c>
      <c r="AK940" s="21" t="str">
        <f t="shared" si="631"/>
        <v>Apprenant 928 ou 928'</v>
      </c>
      <c r="AL940" s="22" t="str">
        <f t="shared" si="606"/>
        <v/>
      </c>
      <c r="AM940" s="22" t="str">
        <f t="shared" si="607"/>
        <v/>
      </c>
      <c r="AN940" s="22" t="str">
        <f t="shared" si="608"/>
        <v/>
      </c>
      <c r="AO940" s="22" t="str">
        <f t="shared" si="632"/>
        <v/>
      </c>
      <c r="AQ940" s="21" t="str">
        <f t="shared" si="633"/>
        <v>Apprenant 928</v>
      </c>
      <c r="AR940" s="49" t="str">
        <f>IF(AND('Choix pédagogiques'!$C$4&lt;&gt;"?",'Choix pédagogiques'!$C$5&lt;&gt;"?",W940&lt;&gt;""),(W940-'Choix pédagogiques'!$C$4)/('Choix pédagogiques'!$C$5-'Choix pédagogiques'!$C$4),"")</f>
        <v/>
      </c>
      <c r="AS940" s="49" t="str">
        <f>IF(AND('Choix pédagogiques'!$C$4&lt;&gt;"?",'Choix pédagogiques'!$C$5&lt;&gt;"?",X940&lt;&gt;""),(X940-'Choix pédagogiques'!$C$4)/('Choix pédagogiques'!$C$5-'Choix pédagogiques'!$C$4),"")</f>
        <v/>
      </c>
      <c r="AT940" s="49" t="str">
        <f>IF(AND('Choix pédagogiques'!$C$4&lt;&gt;"?",'Choix pédagogiques'!$C$5&lt;&gt;"?",Y940&lt;&gt;""),(Y940-'Choix pédagogiques'!$C$4)/('Choix pédagogiques'!$C$5-'Choix pédagogiques'!$C$4),"")</f>
        <v/>
      </c>
      <c r="AU940" s="22" t="str">
        <f t="shared" si="634"/>
        <v/>
      </c>
      <c r="AV940" s="21" t="str">
        <f t="shared" si="635"/>
        <v>Apprenant 928 ou 928'</v>
      </c>
      <c r="AW940" s="49" t="str">
        <f>IF(AND('Choix pédagogiques'!$C$4&lt;&gt;"?",'Choix pédagogiques'!$C$5&lt;&gt;"?",AB940&lt;&gt;""),(AB940-'Choix pédagogiques'!$C$4)/('Choix pédagogiques'!$C$5-'Choix pédagogiques'!$C$4),"")</f>
        <v/>
      </c>
      <c r="AX940" s="49" t="str">
        <f>IF(AND('Choix pédagogiques'!$C$4&lt;&gt;"?",'Choix pédagogiques'!$C$5&lt;&gt;"?",AC940&lt;&gt;""),(AC940-'Choix pédagogiques'!$C$4)/('Choix pédagogiques'!$C$5-'Choix pédagogiques'!$C$4),"")</f>
        <v/>
      </c>
      <c r="AY940" s="49" t="str">
        <f>IF(AND('Choix pédagogiques'!$C$4&lt;&gt;"?",'Choix pédagogiques'!$C$5&lt;&gt;"?",AD940&lt;&gt;""),(AD940-'Choix pédagogiques'!$C$4)/('Choix pédagogiques'!$C$5-'Choix pédagogiques'!$C$4),"")</f>
        <v/>
      </c>
      <c r="AZ940" s="22" t="str">
        <f t="shared" si="636"/>
        <v/>
      </c>
      <c r="BA940" s="21" t="str">
        <f t="shared" si="637"/>
        <v>Apprenant 928</v>
      </c>
      <c r="BB940" s="49" t="str">
        <f t="shared" si="609"/>
        <v/>
      </c>
      <c r="BC940" s="49" t="str">
        <f t="shared" si="610"/>
        <v/>
      </c>
      <c r="BD940" s="49" t="str">
        <f t="shared" si="611"/>
        <v/>
      </c>
      <c r="BE940" s="22" t="str">
        <f t="shared" si="638"/>
        <v/>
      </c>
      <c r="BF940" s="21" t="str">
        <f t="shared" si="639"/>
        <v>Apprenant 928 ou 928'</v>
      </c>
      <c r="BG940" s="49" t="str">
        <f t="shared" si="612"/>
        <v/>
      </c>
      <c r="BH940" s="49" t="str">
        <f t="shared" si="613"/>
        <v/>
      </c>
      <c r="BI940" s="49" t="str">
        <f t="shared" si="614"/>
        <v/>
      </c>
      <c r="BJ940" s="22" t="str">
        <f t="shared" si="640"/>
        <v/>
      </c>
      <c r="BL940" s="21"/>
      <c r="BM940" s="21" t="str">
        <f>IF(OR(COUNT(B940:D1939)=0,AND('Choix pédagogiques'!$C$3&lt;&gt;1,'Choix pédagogiques'!$C$3&lt;&gt;2)),"",IF(AND(OR('Choix pédagogiques'!$C$3=1,'Choix pédagogiques'!$C$3=2),$B940&lt;&gt;"",$C940&lt;&gt;"",$D940&lt;&gt;""),1,0))</f>
        <v/>
      </c>
      <c r="BN940" s="21" t="str">
        <f>IF(OR(COUNT(G940:I1939)=0,AND('Choix pédagogiques'!$C$3&lt;&gt;1,'Choix pédagogiques'!$C$3&lt;&gt;2)),"",IF(AND(OR('Choix pédagogiques'!$C$3=1,'Choix pédagogiques'!$C$3=2),AND($G940&lt;&gt;"",$H940&lt;&gt;"",$I940&lt;&gt;"")),1,0))</f>
        <v/>
      </c>
      <c r="BO940" s="21" t="str">
        <f>IF(OR(COUNT(B940:D1939)=0,COUNT(G940:I1939)=0,'Choix pédagogiques'!C$3&lt;&gt;3),"",IF(AND('Choix pédagogiques'!$C$3=3,$B940&lt;&gt;"",$C940&lt;&gt;"",$D940&lt;&gt;"",$G940&lt;&gt;"",$H940&lt;&gt;"",$I940&lt;&gt;""),1,0))</f>
        <v/>
      </c>
      <c r="BR940" s="21">
        <v>358</v>
      </c>
      <c r="BS940" s="21">
        <v>1518</v>
      </c>
      <c r="BT940"/>
    </row>
    <row r="941" spans="1:72" s="23" customFormat="1" ht="18" customHeight="1" x14ac:dyDescent="0.3">
      <c r="A941" s="35" t="s">
        <v>931</v>
      </c>
      <c r="B941" s="37"/>
      <c r="C941" s="37"/>
      <c r="D941" s="37"/>
      <c r="E941" s="37"/>
      <c r="F941" s="35" t="s">
        <v>1939</v>
      </c>
      <c r="G941" s="37"/>
      <c r="H941" s="37"/>
      <c r="I941" s="37"/>
      <c r="J941" s="37"/>
      <c r="K941" s="21" t="str">
        <f t="shared" si="615"/>
        <v>Apprenant 929</v>
      </c>
      <c r="L941" s="22" t="str">
        <f t="shared" si="616"/>
        <v/>
      </c>
      <c r="M941" s="22" t="str">
        <f t="shared" si="617"/>
        <v/>
      </c>
      <c r="N941" s="22" t="str">
        <f t="shared" si="618"/>
        <v/>
      </c>
      <c r="O941" s="22" t="str">
        <f t="shared" si="619"/>
        <v/>
      </c>
      <c r="P941" s="21" t="str">
        <f t="shared" si="620"/>
        <v>Apprenant 929 ou 929'</v>
      </c>
      <c r="Q941" s="22" t="str">
        <f t="shared" si="621"/>
        <v/>
      </c>
      <c r="R941" s="22" t="str">
        <f t="shared" si="622"/>
        <v/>
      </c>
      <c r="S941" s="22" t="str">
        <f t="shared" si="623"/>
        <v/>
      </c>
      <c r="T941" s="22" t="str">
        <f t="shared" si="624"/>
        <v/>
      </c>
      <c r="V941" s="21" t="str">
        <f t="shared" si="625"/>
        <v>Apprenant 929</v>
      </c>
      <c r="W941" s="22" t="str">
        <f>IF(AND(OR('Choix pédagogiques'!$C$3=1,'Choix pédagogiques'!$C$3=2),$BM941=1),B941,IF(AND('Choix pédagogiques'!$C$3=3,$BO941=1),B941,""))</f>
        <v/>
      </c>
      <c r="X941" s="22" t="str">
        <f>IF(AND(OR('Choix pédagogiques'!$C$3=1,'Choix pédagogiques'!$C$3=2),$BM941=1),C941,IF(AND('Choix pédagogiques'!$C$3=3,$BO941=1),C941,""))</f>
        <v/>
      </c>
      <c r="Y941" s="22" t="str">
        <f>IF(AND(OR('Choix pédagogiques'!$C$3=1,'Choix pédagogiques'!$C$3=2),$BM941=1),D941,IF(AND('Choix pédagogiques'!$C$3=3,$BO941=1),D941,""))</f>
        <v/>
      </c>
      <c r="Z941" s="22" t="str">
        <f t="shared" si="626"/>
        <v/>
      </c>
      <c r="AA941" s="21" t="str">
        <f t="shared" si="627"/>
        <v>Apprenant 929 ou 929'</v>
      </c>
      <c r="AB941" s="22" t="str">
        <f>IF(AND(OR('Choix pédagogiques'!$C$3=1,'Choix pédagogiques'!$C$3=2),$BN941=1),G941,IF(AND('Choix pédagogiques'!$C$3=3,$BO941=1),G941,""))</f>
        <v/>
      </c>
      <c r="AC941" s="22" t="str">
        <f>IF(AND(OR('Choix pédagogiques'!$C$3=1,'Choix pédagogiques'!$C$3=2),$BN941=1),H941,IF(AND('Choix pédagogiques'!$C$3=3,$BO941=1),H941,""))</f>
        <v/>
      </c>
      <c r="AD941" s="22" t="str">
        <f>IF(AND(OR('Choix pédagogiques'!$C$3=1,'Choix pédagogiques'!$C$3=2),$BN941=1),I941,IF(AND('Choix pédagogiques'!$C$3=3,$BO941=1),I941,""))</f>
        <v/>
      </c>
      <c r="AE941" s="22" t="str">
        <f t="shared" si="628"/>
        <v/>
      </c>
      <c r="AF941" s="21" t="str">
        <f t="shared" si="629"/>
        <v>Apprenant 929</v>
      </c>
      <c r="AG941" s="22" t="str">
        <f t="shared" si="603"/>
        <v/>
      </c>
      <c r="AH941" s="22" t="str">
        <f t="shared" si="604"/>
        <v/>
      </c>
      <c r="AI941" s="22" t="str">
        <f t="shared" si="605"/>
        <v/>
      </c>
      <c r="AJ941" s="22" t="str">
        <f t="shared" si="630"/>
        <v/>
      </c>
      <c r="AK941" s="21" t="str">
        <f t="shared" si="631"/>
        <v>Apprenant 929 ou 929'</v>
      </c>
      <c r="AL941" s="22" t="str">
        <f t="shared" si="606"/>
        <v/>
      </c>
      <c r="AM941" s="22" t="str">
        <f t="shared" si="607"/>
        <v/>
      </c>
      <c r="AN941" s="22" t="str">
        <f t="shared" si="608"/>
        <v/>
      </c>
      <c r="AO941" s="22" t="str">
        <f t="shared" si="632"/>
        <v/>
      </c>
      <c r="AQ941" s="21" t="str">
        <f t="shared" si="633"/>
        <v>Apprenant 929</v>
      </c>
      <c r="AR941" s="49" t="str">
        <f>IF(AND('Choix pédagogiques'!$C$4&lt;&gt;"?",'Choix pédagogiques'!$C$5&lt;&gt;"?",W941&lt;&gt;""),(W941-'Choix pédagogiques'!$C$4)/('Choix pédagogiques'!$C$5-'Choix pédagogiques'!$C$4),"")</f>
        <v/>
      </c>
      <c r="AS941" s="49" t="str">
        <f>IF(AND('Choix pédagogiques'!$C$4&lt;&gt;"?",'Choix pédagogiques'!$C$5&lt;&gt;"?",X941&lt;&gt;""),(X941-'Choix pédagogiques'!$C$4)/('Choix pédagogiques'!$C$5-'Choix pédagogiques'!$C$4),"")</f>
        <v/>
      </c>
      <c r="AT941" s="49" t="str">
        <f>IF(AND('Choix pédagogiques'!$C$4&lt;&gt;"?",'Choix pédagogiques'!$C$5&lt;&gt;"?",Y941&lt;&gt;""),(Y941-'Choix pédagogiques'!$C$4)/('Choix pédagogiques'!$C$5-'Choix pédagogiques'!$C$4),"")</f>
        <v/>
      </c>
      <c r="AU941" s="22" t="str">
        <f t="shared" si="634"/>
        <v/>
      </c>
      <c r="AV941" s="21" t="str">
        <f t="shared" si="635"/>
        <v>Apprenant 929 ou 929'</v>
      </c>
      <c r="AW941" s="49" t="str">
        <f>IF(AND('Choix pédagogiques'!$C$4&lt;&gt;"?",'Choix pédagogiques'!$C$5&lt;&gt;"?",AB941&lt;&gt;""),(AB941-'Choix pédagogiques'!$C$4)/('Choix pédagogiques'!$C$5-'Choix pédagogiques'!$C$4),"")</f>
        <v/>
      </c>
      <c r="AX941" s="49" t="str">
        <f>IF(AND('Choix pédagogiques'!$C$4&lt;&gt;"?",'Choix pédagogiques'!$C$5&lt;&gt;"?",AC941&lt;&gt;""),(AC941-'Choix pédagogiques'!$C$4)/('Choix pédagogiques'!$C$5-'Choix pédagogiques'!$C$4),"")</f>
        <v/>
      </c>
      <c r="AY941" s="49" t="str">
        <f>IF(AND('Choix pédagogiques'!$C$4&lt;&gt;"?",'Choix pédagogiques'!$C$5&lt;&gt;"?",AD941&lt;&gt;""),(AD941-'Choix pédagogiques'!$C$4)/('Choix pédagogiques'!$C$5-'Choix pédagogiques'!$C$4),"")</f>
        <v/>
      </c>
      <c r="AZ941" s="22" t="str">
        <f t="shared" si="636"/>
        <v/>
      </c>
      <c r="BA941" s="21" t="str">
        <f t="shared" si="637"/>
        <v>Apprenant 929</v>
      </c>
      <c r="BB941" s="49" t="str">
        <f t="shared" si="609"/>
        <v/>
      </c>
      <c r="BC941" s="49" t="str">
        <f t="shared" si="610"/>
        <v/>
      </c>
      <c r="BD941" s="49" t="str">
        <f t="shared" si="611"/>
        <v/>
      </c>
      <c r="BE941" s="22" t="str">
        <f t="shared" si="638"/>
        <v/>
      </c>
      <c r="BF941" s="21" t="str">
        <f t="shared" si="639"/>
        <v>Apprenant 929 ou 929'</v>
      </c>
      <c r="BG941" s="49" t="str">
        <f t="shared" si="612"/>
        <v/>
      </c>
      <c r="BH941" s="49" t="str">
        <f t="shared" si="613"/>
        <v/>
      </c>
      <c r="BI941" s="49" t="str">
        <f t="shared" si="614"/>
        <v/>
      </c>
      <c r="BJ941" s="22" t="str">
        <f t="shared" si="640"/>
        <v/>
      </c>
      <c r="BL941" s="21"/>
      <c r="BM941" s="21" t="str">
        <f>IF(OR(COUNT(B941:D1940)=0,AND('Choix pédagogiques'!$C$3&lt;&gt;1,'Choix pédagogiques'!$C$3&lt;&gt;2)),"",IF(AND(OR('Choix pédagogiques'!$C$3=1,'Choix pédagogiques'!$C$3=2),$B941&lt;&gt;"",$C941&lt;&gt;"",$D941&lt;&gt;""),1,0))</f>
        <v/>
      </c>
      <c r="BN941" s="21" t="str">
        <f>IF(OR(COUNT(G941:I1940)=0,AND('Choix pédagogiques'!$C$3&lt;&gt;1,'Choix pédagogiques'!$C$3&lt;&gt;2)),"",IF(AND(OR('Choix pédagogiques'!$C$3=1,'Choix pédagogiques'!$C$3=2),AND($G941&lt;&gt;"",$H941&lt;&gt;"",$I941&lt;&gt;"")),1,0))</f>
        <v/>
      </c>
      <c r="BO941" s="21" t="str">
        <f>IF(OR(COUNT(B941:D1940)=0,COUNT(G941:I1940)=0,'Choix pédagogiques'!C$3&lt;&gt;3),"",IF(AND('Choix pédagogiques'!$C$3=3,$B941&lt;&gt;"",$C941&lt;&gt;"",$D941&lt;&gt;"",$G941&lt;&gt;"",$H941&lt;&gt;"",$I941&lt;&gt;""),1,0))</f>
        <v/>
      </c>
      <c r="BR941" s="21">
        <v>601</v>
      </c>
      <c r="BS941" s="21">
        <v>1843</v>
      </c>
      <c r="BT941"/>
    </row>
    <row r="942" spans="1:72" s="23" customFormat="1" ht="18" customHeight="1" x14ac:dyDescent="0.3">
      <c r="A942" s="35" t="s">
        <v>932</v>
      </c>
      <c r="B942" s="37"/>
      <c r="C942" s="37"/>
      <c r="D942" s="37"/>
      <c r="E942" s="37"/>
      <c r="F942" s="35" t="s">
        <v>1940</v>
      </c>
      <c r="G942" s="37"/>
      <c r="H942" s="37"/>
      <c r="I942" s="37"/>
      <c r="J942" s="37"/>
      <c r="K942" s="21" t="str">
        <f t="shared" si="615"/>
        <v>Apprenant 930</v>
      </c>
      <c r="L942" s="22" t="str">
        <f t="shared" si="616"/>
        <v/>
      </c>
      <c r="M942" s="22" t="str">
        <f t="shared" si="617"/>
        <v/>
      </c>
      <c r="N942" s="22" t="str">
        <f t="shared" si="618"/>
        <v/>
      </c>
      <c r="O942" s="22" t="str">
        <f t="shared" si="619"/>
        <v/>
      </c>
      <c r="P942" s="21" t="str">
        <f t="shared" si="620"/>
        <v>Apprenant 930 ou 930'</v>
      </c>
      <c r="Q942" s="22" t="str">
        <f t="shared" si="621"/>
        <v/>
      </c>
      <c r="R942" s="22" t="str">
        <f t="shared" si="622"/>
        <v/>
      </c>
      <c r="S942" s="22" t="str">
        <f t="shared" si="623"/>
        <v/>
      </c>
      <c r="T942" s="22" t="str">
        <f t="shared" si="624"/>
        <v/>
      </c>
      <c r="V942" s="21" t="str">
        <f t="shared" si="625"/>
        <v>Apprenant 930</v>
      </c>
      <c r="W942" s="22" t="str">
        <f>IF(AND(OR('Choix pédagogiques'!$C$3=1,'Choix pédagogiques'!$C$3=2),$BM942=1),B942,IF(AND('Choix pédagogiques'!$C$3=3,$BO942=1),B942,""))</f>
        <v/>
      </c>
      <c r="X942" s="22" t="str">
        <f>IF(AND(OR('Choix pédagogiques'!$C$3=1,'Choix pédagogiques'!$C$3=2),$BM942=1),C942,IF(AND('Choix pédagogiques'!$C$3=3,$BO942=1),C942,""))</f>
        <v/>
      </c>
      <c r="Y942" s="22" t="str">
        <f>IF(AND(OR('Choix pédagogiques'!$C$3=1,'Choix pédagogiques'!$C$3=2),$BM942=1),D942,IF(AND('Choix pédagogiques'!$C$3=3,$BO942=1),D942,""))</f>
        <v/>
      </c>
      <c r="Z942" s="22" t="str">
        <f t="shared" si="626"/>
        <v/>
      </c>
      <c r="AA942" s="21" t="str">
        <f t="shared" si="627"/>
        <v>Apprenant 930 ou 930'</v>
      </c>
      <c r="AB942" s="22" t="str">
        <f>IF(AND(OR('Choix pédagogiques'!$C$3=1,'Choix pédagogiques'!$C$3=2),$BN942=1),G942,IF(AND('Choix pédagogiques'!$C$3=3,$BO942=1),G942,""))</f>
        <v/>
      </c>
      <c r="AC942" s="22" t="str">
        <f>IF(AND(OR('Choix pédagogiques'!$C$3=1,'Choix pédagogiques'!$C$3=2),$BN942=1),H942,IF(AND('Choix pédagogiques'!$C$3=3,$BO942=1),H942,""))</f>
        <v/>
      </c>
      <c r="AD942" s="22" t="str">
        <f>IF(AND(OR('Choix pédagogiques'!$C$3=1,'Choix pédagogiques'!$C$3=2),$BN942=1),I942,IF(AND('Choix pédagogiques'!$C$3=3,$BO942=1),I942,""))</f>
        <v/>
      </c>
      <c r="AE942" s="22" t="str">
        <f t="shared" si="628"/>
        <v/>
      </c>
      <c r="AF942" s="21" t="str">
        <f t="shared" si="629"/>
        <v>Apprenant 930</v>
      </c>
      <c r="AG942" s="22" t="str">
        <f t="shared" si="603"/>
        <v/>
      </c>
      <c r="AH942" s="22" t="str">
        <f t="shared" si="604"/>
        <v/>
      </c>
      <c r="AI942" s="22" t="str">
        <f t="shared" si="605"/>
        <v/>
      </c>
      <c r="AJ942" s="22" t="str">
        <f t="shared" si="630"/>
        <v/>
      </c>
      <c r="AK942" s="21" t="str">
        <f t="shared" si="631"/>
        <v>Apprenant 930 ou 930'</v>
      </c>
      <c r="AL942" s="22" t="str">
        <f t="shared" si="606"/>
        <v/>
      </c>
      <c r="AM942" s="22" t="str">
        <f t="shared" si="607"/>
        <v/>
      </c>
      <c r="AN942" s="22" t="str">
        <f t="shared" si="608"/>
        <v/>
      </c>
      <c r="AO942" s="22" t="str">
        <f t="shared" si="632"/>
        <v/>
      </c>
      <c r="AQ942" s="21" t="str">
        <f t="shared" si="633"/>
        <v>Apprenant 930</v>
      </c>
      <c r="AR942" s="49" t="str">
        <f>IF(AND('Choix pédagogiques'!$C$4&lt;&gt;"?",'Choix pédagogiques'!$C$5&lt;&gt;"?",W942&lt;&gt;""),(W942-'Choix pédagogiques'!$C$4)/('Choix pédagogiques'!$C$5-'Choix pédagogiques'!$C$4),"")</f>
        <v/>
      </c>
      <c r="AS942" s="49" t="str">
        <f>IF(AND('Choix pédagogiques'!$C$4&lt;&gt;"?",'Choix pédagogiques'!$C$5&lt;&gt;"?",X942&lt;&gt;""),(X942-'Choix pédagogiques'!$C$4)/('Choix pédagogiques'!$C$5-'Choix pédagogiques'!$C$4),"")</f>
        <v/>
      </c>
      <c r="AT942" s="49" t="str">
        <f>IF(AND('Choix pédagogiques'!$C$4&lt;&gt;"?",'Choix pédagogiques'!$C$5&lt;&gt;"?",Y942&lt;&gt;""),(Y942-'Choix pédagogiques'!$C$4)/('Choix pédagogiques'!$C$5-'Choix pédagogiques'!$C$4),"")</f>
        <v/>
      </c>
      <c r="AU942" s="22" t="str">
        <f t="shared" si="634"/>
        <v/>
      </c>
      <c r="AV942" s="21" t="str">
        <f t="shared" si="635"/>
        <v>Apprenant 930 ou 930'</v>
      </c>
      <c r="AW942" s="49" t="str">
        <f>IF(AND('Choix pédagogiques'!$C$4&lt;&gt;"?",'Choix pédagogiques'!$C$5&lt;&gt;"?",AB942&lt;&gt;""),(AB942-'Choix pédagogiques'!$C$4)/('Choix pédagogiques'!$C$5-'Choix pédagogiques'!$C$4),"")</f>
        <v/>
      </c>
      <c r="AX942" s="49" t="str">
        <f>IF(AND('Choix pédagogiques'!$C$4&lt;&gt;"?",'Choix pédagogiques'!$C$5&lt;&gt;"?",AC942&lt;&gt;""),(AC942-'Choix pédagogiques'!$C$4)/('Choix pédagogiques'!$C$5-'Choix pédagogiques'!$C$4),"")</f>
        <v/>
      </c>
      <c r="AY942" s="49" t="str">
        <f>IF(AND('Choix pédagogiques'!$C$4&lt;&gt;"?",'Choix pédagogiques'!$C$5&lt;&gt;"?",AD942&lt;&gt;""),(AD942-'Choix pédagogiques'!$C$4)/('Choix pédagogiques'!$C$5-'Choix pédagogiques'!$C$4),"")</f>
        <v/>
      </c>
      <c r="AZ942" s="22" t="str">
        <f t="shared" si="636"/>
        <v/>
      </c>
      <c r="BA942" s="21" t="str">
        <f t="shared" si="637"/>
        <v>Apprenant 930</v>
      </c>
      <c r="BB942" s="49" t="str">
        <f t="shared" si="609"/>
        <v/>
      </c>
      <c r="BC942" s="49" t="str">
        <f t="shared" si="610"/>
        <v/>
      </c>
      <c r="BD942" s="49" t="str">
        <f t="shared" si="611"/>
        <v/>
      </c>
      <c r="BE942" s="22" t="str">
        <f t="shared" si="638"/>
        <v/>
      </c>
      <c r="BF942" s="21" t="str">
        <f t="shared" si="639"/>
        <v>Apprenant 930 ou 930'</v>
      </c>
      <c r="BG942" s="49" t="str">
        <f t="shared" si="612"/>
        <v/>
      </c>
      <c r="BH942" s="49" t="str">
        <f t="shared" si="613"/>
        <v/>
      </c>
      <c r="BI942" s="49" t="str">
        <f t="shared" si="614"/>
        <v/>
      </c>
      <c r="BJ942" s="22" t="str">
        <f t="shared" si="640"/>
        <v/>
      </c>
      <c r="BL942" s="21"/>
      <c r="BM942" s="21" t="str">
        <f>IF(OR(COUNT(B942:D1941)=0,AND('Choix pédagogiques'!$C$3&lt;&gt;1,'Choix pédagogiques'!$C$3&lt;&gt;2)),"",IF(AND(OR('Choix pédagogiques'!$C$3=1,'Choix pédagogiques'!$C$3=2),$B942&lt;&gt;"",$C942&lt;&gt;"",$D942&lt;&gt;""),1,0))</f>
        <v/>
      </c>
      <c r="BN942" s="21" t="str">
        <f>IF(OR(COUNT(G942:I1941)=0,AND('Choix pédagogiques'!$C$3&lt;&gt;1,'Choix pédagogiques'!$C$3&lt;&gt;2)),"",IF(AND(OR('Choix pédagogiques'!$C$3=1,'Choix pédagogiques'!$C$3=2),AND($G942&lt;&gt;"",$H942&lt;&gt;"",$I942&lt;&gt;"")),1,0))</f>
        <v/>
      </c>
      <c r="BO942" s="21" t="str">
        <f>IF(OR(COUNT(B942:D1941)=0,COUNT(G942:I1941)=0,'Choix pédagogiques'!C$3&lt;&gt;3),"",IF(AND('Choix pédagogiques'!$C$3=3,$B942&lt;&gt;"",$C942&lt;&gt;"",$D942&lt;&gt;"",$G942&lt;&gt;"",$H942&lt;&gt;"",$I942&lt;&gt;""),1,0))</f>
        <v/>
      </c>
      <c r="BR942" s="21">
        <v>218</v>
      </c>
      <c r="BS942" s="21">
        <v>1558</v>
      </c>
      <c r="BT942"/>
    </row>
    <row r="943" spans="1:72" s="23" customFormat="1" ht="18" customHeight="1" x14ac:dyDescent="0.3">
      <c r="A943" s="35" t="s">
        <v>933</v>
      </c>
      <c r="B943" s="37"/>
      <c r="C943" s="37"/>
      <c r="D943" s="37"/>
      <c r="E943" s="37"/>
      <c r="F943" s="35" t="s">
        <v>1941</v>
      </c>
      <c r="G943" s="37"/>
      <c r="H943" s="37"/>
      <c r="I943" s="37"/>
      <c r="J943" s="37"/>
      <c r="K943" s="21" t="str">
        <f t="shared" si="615"/>
        <v>Apprenant 931</v>
      </c>
      <c r="L943" s="22" t="str">
        <f t="shared" si="616"/>
        <v/>
      </c>
      <c r="M943" s="22" t="str">
        <f t="shared" si="617"/>
        <v/>
      </c>
      <c r="N943" s="22" t="str">
        <f t="shared" si="618"/>
        <v/>
      </c>
      <c r="O943" s="22" t="str">
        <f t="shared" si="619"/>
        <v/>
      </c>
      <c r="P943" s="21" t="str">
        <f t="shared" si="620"/>
        <v>Apprenant 931 ou 931'</v>
      </c>
      <c r="Q943" s="22" t="str">
        <f t="shared" si="621"/>
        <v/>
      </c>
      <c r="R943" s="22" t="str">
        <f t="shared" si="622"/>
        <v/>
      </c>
      <c r="S943" s="22" t="str">
        <f t="shared" si="623"/>
        <v/>
      </c>
      <c r="T943" s="22" t="str">
        <f t="shared" si="624"/>
        <v/>
      </c>
      <c r="V943" s="21" t="str">
        <f t="shared" si="625"/>
        <v>Apprenant 931</v>
      </c>
      <c r="W943" s="22" t="str">
        <f>IF(AND(OR('Choix pédagogiques'!$C$3=1,'Choix pédagogiques'!$C$3=2),$BM943=1),B943,IF(AND('Choix pédagogiques'!$C$3=3,$BO943=1),B943,""))</f>
        <v/>
      </c>
      <c r="X943" s="22" t="str">
        <f>IF(AND(OR('Choix pédagogiques'!$C$3=1,'Choix pédagogiques'!$C$3=2),$BM943=1),C943,IF(AND('Choix pédagogiques'!$C$3=3,$BO943=1),C943,""))</f>
        <v/>
      </c>
      <c r="Y943" s="22" t="str">
        <f>IF(AND(OR('Choix pédagogiques'!$C$3=1,'Choix pédagogiques'!$C$3=2),$BM943=1),D943,IF(AND('Choix pédagogiques'!$C$3=3,$BO943=1),D943,""))</f>
        <v/>
      </c>
      <c r="Z943" s="22" t="str">
        <f t="shared" si="626"/>
        <v/>
      </c>
      <c r="AA943" s="21" t="str">
        <f t="shared" si="627"/>
        <v>Apprenant 931 ou 931'</v>
      </c>
      <c r="AB943" s="22" t="str">
        <f>IF(AND(OR('Choix pédagogiques'!$C$3=1,'Choix pédagogiques'!$C$3=2),$BN943=1),G943,IF(AND('Choix pédagogiques'!$C$3=3,$BO943=1),G943,""))</f>
        <v/>
      </c>
      <c r="AC943" s="22" t="str">
        <f>IF(AND(OR('Choix pédagogiques'!$C$3=1,'Choix pédagogiques'!$C$3=2),$BN943=1),H943,IF(AND('Choix pédagogiques'!$C$3=3,$BO943=1),H943,""))</f>
        <v/>
      </c>
      <c r="AD943" s="22" t="str">
        <f>IF(AND(OR('Choix pédagogiques'!$C$3=1,'Choix pédagogiques'!$C$3=2),$BN943=1),I943,IF(AND('Choix pédagogiques'!$C$3=3,$BO943=1),I943,""))</f>
        <v/>
      </c>
      <c r="AE943" s="22" t="str">
        <f t="shared" si="628"/>
        <v/>
      </c>
      <c r="AF943" s="21" t="str">
        <f t="shared" si="629"/>
        <v>Apprenant 931</v>
      </c>
      <c r="AG943" s="22" t="str">
        <f t="shared" si="603"/>
        <v/>
      </c>
      <c r="AH943" s="22" t="str">
        <f t="shared" si="604"/>
        <v/>
      </c>
      <c r="AI943" s="22" t="str">
        <f t="shared" si="605"/>
        <v/>
      </c>
      <c r="AJ943" s="22" t="str">
        <f t="shared" si="630"/>
        <v/>
      </c>
      <c r="AK943" s="21" t="str">
        <f t="shared" si="631"/>
        <v>Apprenant 931 ou 931'</v>
      </c>
      <c r="AL943" s="22" t="str">
        <f t="shared" si="606"/>
        <v/>
      </c>
      <c r="AM943" s="22" t="str">
        <f t="shared" si="607"/>
        <v/>
      </c>
      <c r="AN943" s="22" t="str">
        <f t="shared" si="608"/>
        <v/>
      </c>
      <c r="AO943" s="22" t="str">
        <f t="shared" si="632"/>
        <v/>
      </c>
      <c r="AQ943" s="21" t="str">
        <f t="shared" si="633"/>
        <v>Apprenant 931</v>
      </c>
      <c r="AR943" s="49" t="str">
        <f>IF(AND('Choix pédagogiques'!$C$4&lt;&gt;"?",'Choix pédagogiques'!$C$5&lt;&gt;"?",W943&lt;&gt;""),(W943-'Choix pédagogiques'!$C$4)/('Choix pédagogiques'!$C$5-'Choix pédagogiques'!$C$4),"")</f>
        <v/>
      </c>
      <c r="AS943" s="49" t="str">
        <f>IF(AND('Choix pédagogiques'!$C$4&lt;&gt;"?",'Choix pédagogiques'!$C$5&lt;&gt;"?",X943&lt;&gt;""),(X943-'Choix pédagogiques'!$C$4)/('Choix pédagogiques'!$C$5-'Choix pédagogiques'!$C$4),"")</f>
        <v/>
      </c>
      <c r="AT943" s="49" t="str">
        <f>IF(AND('Choix pédagogiques'!$C$4&lt;&gt;"?",'Choix pédagogiques'!$C$5&lt;&gt;"?",Y943&lt;&gt;""),(Y943-'Choix pédagogiques'!$C$4)/('Choix pédagogiques'!$C$5-'Choix pédagogiques'!$C$4),"")</f>
        <v/>
      </c>
      <c r="AU943" s="22" t="str">
        <f t="shared" si="634"/>
        <v/>
      </c>
      <c r="AV943" s="21" t="str">
        <f t="shared" si="635"/>
        <v>Apprenant 931 ou 931'</v>
      </c>
      <c r="AW943" s="49" t="str">
        <f>IF(AND('Choix pédagogiques'!$C$4&lt;&gt;"?",'Choix pédagogiques'!$C$5&lt;&gt;"?",AB943&lt;&gt;""),(AB943-'Choix pédagogiques'!$C$4)/('Choix pédagogiques'!$C$5-'Choix pédagogiques'!$C$4),"")</f>
        <v/>
      </c>
      <c r="AX943" s="49" t="str">
        <f>IF(AND('Choix pédagogiques'!$C$4&lt;&gt;"?",'Choix pédagogiques'!$C$5&lt;&gt;"?",AC943&lt;&gt;""),(AC943-'Choix pédagogiques'!$C$4)/('Choix pédagogiques'!$C$5-'Choix pédagogiques'!$C$4),"")</f>
        <v/>
      </c>
      <c r="AY943" s="49" t="str">
        <f>IF(AND('Choix pédagogiques'!$C$4&lt;&gt;"?",'Choix pédagogiques'!$C$5&lt;&gt;"?",AD943&lt;&gt;""),(AD943-'Choix pédagogiques'!$C$4)/('Choix pédagogiques'!$C$5-'Choix pédagogiques'!$C$4),"")</f>
        <v/>
      </c>
      <c r="AZ943" s="22" t="str">
        <f t="shared" si="636"/>
        <v/>
      </c>
      <c r="BA943" s="21" t="str">
        <f t="shared" si="637"/>
        <v>Apprenant 931</v>
      </c>
      <c r="BB943" s="49" t="str">
        <f t="shared" si="609"/>
        <v/>
      </c>
      <c r="BC943" s="49" t="str">
        <f t="shared" si="610"/>
        <v/>
      </c>
      <c r="BD943" s="49" t="str">
        <f t="shared" si="611"/>
        <v/>
      </c>
      <c r="BE943" s="22" t="str">
        <f t="shared" si="638"/>
        <v/>
      </c>
      <c r="BF943" s="21" t="str">
        <f t="shared" si="639"/>
        <v>Apprenant 931 ou 931'</v>
      </c>
      <c r="BG943" s="49" t="str">
        <f t="shared" si="612"/>
        <v/>
      </c>
      <c r="BH943" s="49" t="str">
        <f t="shared" si="613"/>
        <v/>
      </c>
      <c r="BI943" s="49" t="str">
        <f t="shared" si="614"/>
        <v/>
      </c>
      <c r="BJ943" s="22" t="str">
        <f t="shared" si="640"/>
        <v/>
      </c>
      <c r="BL943" s="21"/>
      <c r="BM943" s="21" t="str">
        <f>IF(OR(COUNT(B943:D1942)=0,AND('Choix pédagogiques'!$C$3&lt;&gt;1,'Choix pédagogiques'!$C$3&lt;&gt;2)),"",IF(AND(OR('Choix pédagogiques'!$C$3=1,'Choix pédagogiques'!$C$3=2),$B943&lt;&gt;"",$C943&lt;&gt;"",$D943&lt;&gt;""),1,0))</f>
        <v/>
      </c>
      <c r="BN943" s="21" t="str">
        <f>IF(OR(COUNT(G943:I1942)=0,AND('Choix pédagogiques'!$C$3&lt;&gt;1,'Choix pédagogiques'!$C$3&lt;&gt;2)),"",IF(AND(OR('Choix pédagogiques'!$C$3=1,'Choix pédagogiques'!$C$3=2),AND($G943&lt;&gt;"",$H943&lt;&gt;"",$I943&lt;&gt;"")),1,0))</f>
        <v/>
      </c>
      <c r="BO943" s="21" t="str">
        <f>IF(OR(COUNT(B943:D1942)=0,COUNT(G943:I1942)=0,'Choix pédagogiques'!C$3&lt;&gt;3),"",IF(AND('Choix pédagogiques'!$C$3=3,$B943&lt;&gt;"",$C943&lt;&gt;"",$D943&lt;&gt;"",$G943&lt;&gt;"",$H943&lt;&gt;"",$I943&lt;&gt;""),1,0))</f>
        <v/>
      </c>
      <c r="BR943" s="21">
        <v>385</v>
      </c>
      <c r="BS943" s="21">
        <v>1580</v>
      </c>
      <c r="BT943"/>
    </row>
    <row r="944" spans="1:72" s="23" customFormat="1" ht="18" customHeight="1" x14ac:dyDescent="0.3">
      <c r="A944" s="35" t="s">
        <v>934</v>
      </c>
      <c r="B944" s="37"/>
      <c r="C944" s="37"/>
      <c r="D944" s="37"/>
      <c r="E944" s="37"/>
      <c r="F944" s="35" t="s">
        <v>1942</v>
      </c>
      <c r="G944" s="37"/>
      <c r="H944" s="37"/>
      <c r="I944" s="37"/>
      <c r="J944" s="37"/>
      <c r="K944" s="21" t="str">
        <f t="shared" si="615"/>
        <v>Apprenant 932</v>
      </c>
      <c r="L944" s="22" t="str">
        <f t="shared" si="616"/>
        <v/>
      </c>
      <c r="M944" s="22" t="str">
        <f t="shared" si="617"/>
        <v/>
      </c>
      <c r="N944" s="22" t="str">
        <f t="shared" si="618"/>
        <v/>
      </c>
      <c r="O944" s="22" t="str">
        <f t="shared" si="619"/>
        <v/>
      </c>
      <c r="P944" s="21" t="str">
        <f t="shared" si="620"/>
        <v>Apprenant 932 ou 932'</v>
      </c>
      <c r="Q944" s="22" t="str">
        <f t="shared" si="621"/>
        <v/>
      </c>
      <c r="R944" s="22" t="str">
        <f t="shared" si="622"/>
        <v/>
      </c>
      <c r="S944" s="22" t="str">
        <f t="shared" si="623"/>
        <v/>
      </c>
      <c r="T944" s="22" t="str">
        <f t="shared" si="624"/>
        <v/>
      </c>
      <c r="V944" s="21" t="str">
        <f t="shared" si="625"/>
        <v>Apprenant 932</v>
      </c>
      <c r="W944" s="22" t="str">
        <f>IF(AND(OR('Choix pédagogiques'!$C$3=1,'Choix pédagogiques'!$C$3=2),$BM944=1),B944,IF(AND('Choix pédagogiques'!$C$3=3,$BO944=1),B944,""))</f>
        <v/>
      </c>
      <c r="X944" s="22" t="str">
        <f>IF(AND(OR('Choix pédagogiques'!$C$3=1,'Choix pédagogiques'!$C$3=2),$BM944=1),C944,IF(AND('Choix pédagogiques'!$C$3=3,$BO944=1),C944,""))</f>
        <v/>
      </c>
      <c r="Y944" s="22" t="str">
        <f>IF(AND(OR('Choix pédagogiques'!$C$3=1,'Choix pédagogiques'!$C$3=2),$BM944=1),D944,IF(AND('Choix pédagogiques'!$C$3=3,$BO944=1),D944,""))</f>
        <v/>
      </c>
      <c r="Z944" s="22" t="str">
        <f t="shared" si="626"/>
        <v/>
      </c>
      <c r="AA944" s="21" t="str">
        <f t="shared" si="627"/>
        <v>Apprenant 932 ou 932'</v>
      </c>
      <c r="AB944" s="22" t="str">
        <f>IF(AND(OR('Choix pédagogiques'!$C$3=1,'Choix pédagogiques'!$C$3=2),$BN944=1),G944,IF(AND('Choix pédagogiques'!$C$3=3,$BO944=1),G944,""))</f>
        <v/>
      </c>
      <c r="AC944" s="22" t="str">
        <f>IF(AND(OR('Choix pédagogiques'!$C$3=1,'Choix pédagogiques'!$C$3=2),$BN944=1),H944,IF(AND('Choix pédagogiques'!$C$3=3,$BO944=1),H944,""))</f>
        <v/>
      </c>
      <c r="AD944" s="22" t="str">
        <f>IF(AND(OR('Choix pédagogiques'!$C$3=1,'Choix pédagogiques'!$C$3=2),$BN944=1),I944,IF(AND('Choix pédagogiques'!$C$3=3,$BO944=1),I944,""))</f>
        <v/>
      </c>
      <c r="AE944" s="22" t="str">
        <f t="shared" si="628"/>
        <v/>
      </c>
      <c r="AF944" s="21" t="str">
        <f t="shared" si="629"/>
        <v>Apprenant 932</v>
      </c>
      <c r="AG944" s="22" t="str">
        <f t="shared" si="603"/>
        <v/>
      </c>
      <c r="AH944" s="22" t="str">
        <f t="shared" si="604"/>
        <v/>
      </c>
      <c r="AI944" s="22" t="str">
        <f t="shared" si="605"/>
        <v/>
      </c>
      <c r="AJ944" s="22" t="str">
        <f t="shared" si="630"/>
        <v/>
      </c>
      <c r="AK944" s="21" t="str">
        <f t="shared" si="631"/>
        <v>Apprenant 932 ou 932'</v>
      </c>
      <c r="AL944" s="22" t="str">
        <f t="shared" si="606"/>
        <v/>
      </c>
      <c r="AM944" s="22" t="str">
        <f t="shared" si="607"/>
        <v/>
      </c>
      <c r="AN944" s="22" t="str">
        <f t="shared" si="608"/>
        <v/>
      </c>
      <c r="AO944" s="22" t="str">
        <f t="shared" si="632"/>
        <v/>
      </c>
      <c r="AQ944" s="21" t="str">
        <f t="shared" si="633"/>
        <v>Apprenant 932</v>
      </c>
      <c r="AR944" s="49" t="str">
        <f>IF(AND('Choix pédagogiques'!$C$4&lt;&gt;"?",'Choix pédagogiques'!$C$5&lt;&gt;"?",W944&lt;&gt;""),(W944-'Choix pédagogiques'!$C$4)/('Choix pédagogiques'!$C$5-'Choix pédagogiques'!$C$4),"")</f>
        <v/>
      </c>
      <c r="AS944" s="49" t="str">
        <f>IF(AND('Choix pédagogiques'!$C$4&lt;&gt;"?",'Choix pédagogiques'!$C$5&lt;&gt;"?",X944&lt;&gt;""),(X944-'Choix pédagogiques'!$C$4)/('Choix pédagogiques'!$C$5-'Choix pédagogiques'!$C$4),"")</f>
        <v/>
      </c>
      <c r="AT944" s="49" t="str">
        <f>IF(AND('Choix pédagogiques'!$C$4&lt;&gt;"?",'Choix pédagogiques'!$C$5&lt;&gt;"?",Y944&lt;&gt;""),(Y944-'Choix pédagogiques'!$C$4)/('Choix pédagogiques'!$C$5-'Choix pédagogiques'!$C$4),"")</f>
        <v/>
      </c>
      <c r="AU944" s="22" t="str">
        <f t="shared" si="634"/>
        <v/>
      </c>
      <c r="AV944" s="21" t="str">
        <f t="shared" si="635"/>
        <v>Apprenant 932 ou 932'</v>
      </c>
      <c r="AW944" s="49" t="str">
        <f>IF(AND('Choix pédagogiques'!$C$4&lt;&gt;"?",'Choix pédagogiques'!$C$5&lt;&gt;"?",AB944&lt;&gt;""),(AB944-'Choix pédagogiques'!$C$4)/('Choix pédagogiques'!$C$5-'Choix pédagogiques'!$C$4),"")</f>
        <v/>
      </c>
      <c r="AX944" s="49" t="str">
        <f>IF(AND('Choix pédagogiques'!$C$4&lt;&gt;"?",'Choix pédagogiques'!$C$5&lt;&gt;"?",AC944&lt;&gt;""),(AC944-'Choix pédagogiques'!$C$4)/('Choix pédagogiques'!$C$5-'Choix pédagogiques'!$C$4),"")</f>
        <v/>
      </c>
      <c r="AY944" s="49" t="str">
        <f>IF(AND('Choix pédagogiques'!$C$4&lt;&gt;"?",'Choix pédagogiques'!$C$5&lt;&gt;"?",AD944&lt;&gt;""),(AD944-'Choix pédagogiques'!$C$4)/('Choix pédagogiques'!$C$5-'Choix pédagogiques'!$C$4),"")</f>
        <v/>
      </c>
      <c r="AZ944" s="22" t="str">
        <f t="shared" si="636"/>
        <v/>
      </c>
      <c r="BA944" s="21" t="str">
        <f t="shared" si="637"/>
        <v>Apprenant 932</v>
      </c>
      <c r="BB944" s="49" t="str">
        <f t="shared" si="609"/>
        <v/>
      </c>
      <c r="BC944" s="49" t="str">
        <f t="shared" si="610"/>
        <v/>
      </c>
      <c r="BD944" s="49" t="str">
        <f t="shared" si="611"/>
        <v/>
      </c>
      <c r="BE944" s="22" t="str">
        <f t="shared" si="638"/>
        <v/>
      </c>
      <c r="BF944" s="21" t="str">
        <f t="shared" si="639"/>
        <v>Apprenant 932 ou 932'</v>
      </c>
      <c r="BG944" s="49" t="str">
        <f t="shared" si="612"/>
        <v/>
      </c>
      <c r="BH944" s="49" t="str">
        <f t="shared" si="613"/>
        <v/>
      </c>
      <c r="BI944" s="49" t="str">
        <f t="shared" si="614"/>
        <v/>
      </c>
      <c r="BJ944" s="22" t="str">
        <f t="shared" si="640"/>
        <v/>
      </c>
      <c r="BL944" s="21"/>
      <c r="BM944" s="21" t="str">
        <f>IF(OR(COUNT(B944:D1943)=0,AND('Choix pédagogiques'!$C$3&lt;&gt;1,'Choix pédagogiques'!$C$3&lt;&gt;2)),"",IF(AND(OR('Choix pédagogiques'!$C$3=1,'Choix pédagogiques'!$C$3=2),$B944&lt;&gt;"",$C944&lt;&gt;"",$D944&lt;&gt;""),1,0))</f>
        <v/>
      </c>
      <c r="BN944" s="21" t="str">
        <f>IF(OR(COUNT(G944:I1943)=0,AND('Choix pédagogiques'!$C$3&lt;&gt;1,'Choix pédagogiques'!$C$3&lt;&gt;2)),"",IF(AND(OR('Choix pédagogiques'!$C$3=1,'Choix pédagogiques'!$C$3=2),AND($G944&lt;&gt;"",$H944&lt;&gt;"",$I944&lt;&gt;"")),1,0))</f>
        <v/>
      </c>
      <c r="BO944" s="21" t="str">
        <f>IF(OR(COUNT(B944:D1943)=0,COUNT(G944:I1943)=0,'Choix pédagogiques'!C$3&lt;&gt;3),"",IF(AND('Choix pédagogiques'!$C$3=3,$B944&lt;&gt;"",$C944&lt;&gt;"",$D944&lt;&gt;"",$G944&lt;&gt;"",$H944&lt;&gt;"",$I944&lt;&gt;""),1,0))</f>
        <v/>
      </c>
      <c r="BR944" s="21">
        <v>723</v>
      </c>
      <c r="BS944" s="21">
        <v>1561</v>
      </c>
      <c r="BT944"/>
    </row>
    <row r="945" spans="1:72" s="23" customFormat="1" ht="18" customHeight="1" x14ac:dyDescent="0.3">
      <c r="A945" s="35" t="s">
        <v>935</v>
      </c>
      <c r="B945" s="37"/>
      <c r="C945" s="37"/>
      <c r="D945" s="37"/>
      <c r="E945" s="37"/>
      <c r="F945" s="35" t="s">
        <v>1943</v>
      </c>
      <c r="G945" s="37"/>
      <c r="H945" s="37"/>
      <c r="I945" s="37"/>
      <c r="J945" s="37"/>
      <c r="K945" s="21" t="str">
        <f t="shared" si="615"/>
        <v>Apprenant 933</v>
      </c>
      <c r="L945" s="22" t="str">
        <f t="shared" si="616"/>
        <v/>
      </c>
      <c r="M945" s="22" t="str">
        <f t="shared" si="617"/>
        <v/>
      </c>
      <c r="N945" s="22" t="str">
        <f t="shared" si="618"/>
        <v/>
      </c>
      <c r="O945" s="22" t="str">
        <f t="shared" si="619"/>
        <v/>
      </c>
      <c r="P945" s="21" t="str">
        <f t="shared" si="620"/>
        <v>Apprenant 933 ou 933'</v>
      </c>
      <c r="Q945" s="22" t="str">
        <f t="shared" si="621"/>
        <v/>
      </c>
      <c r="R945" s="22" t="str">
        <f t="shared" si="622"/>
        <v/>
      </c>
      <c r="S945" s="22" t="str">
        <f t="shared" si="623"/>
        <v/>
      </c>
      <c r="T945" s="22" t="str">
        <f t="shared" si="624"/>
        <v/>
      </c>
      <c r="V945" s="21" t="str">
        <f t="shared" si="625"/>
        <v>Apprenant 933</v>
      </c>
      <c r="W945" s="22" t="str">
        <f>IF(AND(OR('Choix pédagogiques'!$C$3=1,'Choix pédagogiques'!$C$3=2),$BM945=1),B945,IF(AND('Choix pédagogiques'!$C$3=3,$BO945=1),B945,""))</f>
        <v/>
      </c>
      <c r="X945" s="22" t="str">
        <f>IF(AND(OR('Choix pédagogiques'!$C$3=1,'Choix pédagogiques'!$C$3=2),$BM945=1),C945,IF(AND('Choix pédagogiques'!$C$3=3,$BO945=1),C945,""))</f>
        <v/>
      </c>
      <c r="Y945" s="22" t="str">
        <f>IF(AND(OR('Choix pédagogiques'!$C$3=1,'Choix pédagogiques'!$C$3=2),$BM945=1),D945,IF(AND('Choix pédagogiques'!$C$3=3,$BO945=1),D945,""))</f>
        <v/>
      </c>
      <c r="Z945" s="22" t="str">
        <f t="shared" si="626"/>
        <v/>
      </c>
      <c r="AA945" s="21" t="str">
        <f t="shared" si="627"/>
        <v>Apprenant 933 ou 933'</v>
      </c>
      <c r="AB945" s="22" t="str">
        <f>IF(AND(OR('Choix pédagogiques'!$C$3=1,'Choix pédagogiques'!$C$3=2),$BN945=1),G945,IF(AND('Choix pédagogiques'!$C$3=3,$BO945=1),G945,""))</f>
        <v/>
      </c>
      <c r="AC945" s="22" t="str">
        <f>IF(AND(OR('Choix pédagogiques'!$C$3=1,'Choix pédagogiques'!$C$3=2),$BN945=1),H945,IF(AND('Choix pédagogiques'!$C$3=3,$BO945=1),H945,""))</f>
        <v/>
      </c>
      <c r="AD945" s="22" t="str">
        <f>IF(AND(OR('Choix pédagogiques'!$C$3=1,'Choix pédagogiques'!$C$3=2),$BN945=1),I945,IF(AND('Choix pédagogiques'!$C$3=3,$BO945=1),I945,""))</f>
        <v/>
      </c>
      <c r="AE945" s="22" t="str">
        <f t="shared" si="628"/>
        <v/>
      </c>
      <c r="AF945" s="21" t="str">
        <f t="shared" si="629"/>
        <v>Apprenant 933</v>
      </c>
      <c r="AG945" s="22" t="str">
        <f t="shared" si="603"/>
        <v/>
      </c>
      <c r="AH945" s="22" t="str">
        <f t="shared" si="604"/>
        <v/>
      </c>
      <c r="AI945" s="22" t="str">
        <f t="shared" si="605"/>
        <v/>
      </c>
      <c r="AJ945" s="22" t="str">
        <f t="shared" si="630"/>
        <v/>
      </c>
      <c r="AK945" s="21" t="str">
        <f t="shared" si="631"/>
        <v>Apprenant 933 ou 933'</v>
      </c>
      <c r="AL945" s="22" t="str">
        <f t="shared" si="606"/>
        <v/>
      </c>
      <c r="AM945" s="22" t="str">
        <f t="shared" si="607"/>
        <v/>
      </c>
      <c r="AN945" s="22" t="str">
        <f t="shared" si="608"/>
        <v/>
      </c>
      <c r="AO945" s="22" t="str">
        <f t="shared" si="632"/>
        <v/>
      </c>
      <c r="AQ945" s="21" t="str">
        <f t="shared" si="633"/>
        <v>Apprenant 933</v>
      </c>
      <c r="AR945" s="49" t="str">
        <f>IF(AND('Choix pédagogiques'!$C$4&lt;&gt;"?",'Choix pédagogiques'!$C$5&lt;&gt;"?",W945&lt;&gt;""),(W945-'Choix pédagogiques'!$C$4)/('Choix pédagogiques'!$C$5-'Choix pédagogiques'!$C$4),"")</f>
        <v/>
      </c>
      <c r="AS945" s="49" t="str">
        <f>IF(AND('Choix pédagogiques'!$C$4&lt;&gt;"?",'Choix pédagogiques'!$C$5&lt;&gt;"?",X945&lt;&gt;""),(X945-'Choix pédagogiques'!$C$4)/('Choix pédagogiques'!$C$5-'Choix pédagogiques'!$C$4),"")</f>
        <v/>
      </c>
      <c r="AT945" s="49" t="str">
        <f>IF(AND('Choix pédagogiques'!$C$4&lt;&gt;"?",'Choix pédagogiques'!$C$5&lt;&gt;"?",Y945&lt;&gt;""),(Y945-'Choix pédagogiques'!$C$4)/('Choix pédagogiques'!$C$5-'Choix pédagogiques'!$C$4),"")</f>
        <v/>
      </c>
      <c r="AU945" s="22" t="str">
        <f t="shared" si="634"/>
        <v/>
      </c>
      <c r="AV945" s="21" t="str">
        <f t="shared" si="635"/>
        <v>Apprenant 933 ou 933'</v>
      </c>
      <c r="AW945" s="49" t="str">
        <f>IF(AND('Choix pédagogiques'!$C$4&lt;&gt;"?",'Choix pédagogiques'!$C$5&lt;&gt;"?",AB945&lt;&gt;""),(AB945-'Choix pédagogiques'!$C$4)/('Choix pédagogiques'!$C$5-'Choix pédagogiques'!$C$4),"")</f>
        <v/>
      </c>
      <c r="AX945" s="49" t="str">
        <f>IF(AND('Choix pédagogiques'!$C$4&lt;&gt;"?",'Choix pédagogiques'!$C$5&lt;&gt;"?",AC945&lt;&gt;""),(AC945-'Choix pédagogiques'!$C$4)/('Choix pédagogiques'!$C$5-'Choix pédagogiques'!$C$4),"")</f>
        <v/>
      </c>
      <c r="AY945" s="49" t="str">
        <f>IF(AND('Choix pédagogiques'!$C$4&lt;&gt;"?",'Choix pédagogiques'!$C$5&lt;&gt;"?",AD945&lt;&gt;""),(AD945-'Choix pédagogiques'!$C$4)/('Choix pédagogiques'!$C$5-'Choix pédagogiques'!$C$4),"")</f>
        <v/>
      </c>
      <c r="AZ945" s="22" t="str">
        <f t="shared" si="636"/>
        <v/>
      </c>
      <c r="BA945" s="21" t="str">
        <f t="shared" si="637"/>
        <v>Apprenant 933</v>
      </c>
      <c r="BB945" s="49" t="str">
        <f t="shared" si="609"/>
        <v/>
      </c>
      <c r="BC945" s="49" t="str">
        <f t="shared" si="610"/>
        <v/>
      </c>
      <c r="BD945" s="49" t="str">
        <f t="shared" si="611"/>
        <v/>
      </c>
      <c r="BE945" s="22" t="str">
        <f t="shared" si="638"/>
        <v/>
      </c>
      <c r="BF945" s="21" t="str">
        <f t="shared" si="639"/>
        <v>Apprenant 933 ou 933'</v>
      </c>
      <c r="BG945" s="49" t="str">
        <f t="shared" si="612"/>
        <v/>
      </c>
      <c r="BH945" s="49" t="str">
        <f t="shared" si="613"/>
        <v/>
      </c>
      <c r="BI945" s="49" t="str">
        <f t="shared" si="614"/>
        <v/>
      </c>
      <c r="BJ945" s="22" t="str">
        <f t="shared" si="640"/>
        <v/>
      </c>
      <c r="BL945" s="21"/>
      <c r="BM945" s="21" t="str">
        <f>IF(OR(COUNT(B945:D1944)=0,AND('Choix pédagogiques'!$C$3&lt;&gt;1,'Choix pédagogiques'!$C$3&lt;&gt;2)),"",IF(AND(OR('Choix pédagogiques'!$C$3=1,'Choix pédagogiques'!$C$3=2),$B945&lt;&gt;"",$C945&lt;&gt;"",$D945&lt;&gt;""),1,0))</f>
        <v/>
      </c>
      <c r="BN945" s="21" t="str">
        <f>IF(OR(COUNT(G945:I1944)=0,AND('Choix pédagogiques'!$C$3&lt;&gt;1,'Choix pédagogiques'!$C$3&lt;&gt;2)),"",IF(AND(OR('Choix pédagogiques'!$C$3=1,'Choix pédagogiques'!$C$3=2),AND($G945&lt;&gt;"",$H945&lt;&gt;"",$I945&lt;&gt;"")),1,0))</f>
        <v/>
      </c>
      <c r="BO945" s="21" t="str">
        <f>IF(OR(COUNT(B945:D1944)=0,COUNT(G945:I1944)=0,'Choix pédagogiques'!C$3&lt;&gt;3),"",IF(AND('Choix pédagogiques'!$C$3=3,$B945&lt;&gt;"",$C945&lt;&gt;"",$D945&lt;&gt;"",$G945&lt;&gt;"",$H945&lt;&gt;"",$I945&lt;&gt;""),1,0))</f>
        <v/>
      </c>
      <c r="BR945" s="21">
        <v>873</v>
      </c>
      <c r="BS945" s="21">
        <v>1537</v>
      </c>
      <c r="BT945"/>
    </row>
    <row r="946" spans="1:72" s="23" customFormat="1" ht="18" customHeight="1" x14ac:dyDescent="0.3">
      <c r="A946" s="35" t="s">
        <v>936</v>
      </c>
      <c r="B946" s="37"/>
      <c r="C946" s="37"/>
      <c r="D946" s="37"/>
      <c r="E946" s="37"/>
      <c r="F946" s="35" t="s">
        <v>1944</v>
      </c>
      <c r="G946" s="37"/>
      <c r="H946" s="37"/>
      <c r="I946" s="37"/>
      <c r="J946" s="37"/>
      <c r="K946" s="21" t="str">
        <f t="shared" si="615"/>
        <v>Apprenant 934</v>
      </c>
      <c r="L946" s="22" t="str">
        <f t="shared" si="616"/>
        <v/>
      </c>
      <c r="M946" s="22" t="str">
        <f t="shared" si="617"/>
        <v/>
      </c>
      <c r="N946" s="22" t="str">
        <f t="shared" si="618"/>
        <v/>
      </c>
      <c r="O946" s="22" t="str">
        <f t="shared" si="619"/>
        <v/>
      </c>
      <c r="P946" s="21" t="str">
        <f t="shared" si="620"/>
        <v>Apprenant 934 ou 934'</v>
      </c>
      <c r="Q946" s="22" t="str">
        <f t="shared" si="621"/>
        <v/>
      </c>
      <c r="R946" s="22" t="str">
        <f t="shared" si="622"/>
        <v/>
      </c>
      <c r="S946" s="22" t="str">
        <f t="shared" si="623"/>
        <v/>
      </c>
      <c r="T946" s="22" t="str">
        <f t="shared" si="624"/>
        <v/>
      </c>
      <c r="V946" s="21" t="str">
        <f t="shared" si="625"/>
        <v>Apprenant 934</v>
      </c>
      <c r="W946" s="22" t="str">
        <f>IF(AND(OR('Choix pédagogiques'!$C$3=1,'Choix pédagogiques'!$C$3=2),$BM946=1),B946,IF(AND('Choix pédagogiques'!$C$3=3,$BO946=1),B946,""))</f>
        <v/>
      </c>
      <c r="X946" s="22" t="str">
        <f>IF(AND(OR('Choix pédagogiques'!$C$3=1,'Choix pédagogiques'!$C$3=2),$BM946=1),C946,IF(AND('Choix pédagogiques'!$C$3=3,$BO946=1),C946,""))</f>
        <v/>
      </c>
      <c r="Y946" s="22" t="str">
        <f>IF(AND(OR('Choix pédagogiques'!$C$3=1,'Choix pédagogiques'!$C$3=2),$BM946=1),D946,IF(AND('Choix pédagogiques'!$C$3=3,$BO946=1),D946,""))</f>
        <v/>
      </c>
      <c r="Z946" s="22" t="str">
        <f t="shared" si="626"/>
        <v/>
      </c>
      <c r="AA946" s="21" t="str">
        <f t="shared" si="627"/>
        <v>Apprenant 934 ou 934'</v>
      </c>
      <c r="AB946" s="22" t="str">
        <f>IF(AND(OR('Choix pédagogiques'!$C$3=1,'Choix pédagogiques'!$C$3=2),$BN946=1),G946,IF(AND('Choix pédagogiques'!$C$3=3,$BO946=1),G946,""))</f>
        <v/>
      </c>
      <c r="AC946" s="22" t="str">
        <f>IF(AND(OR('Choix pédagogiques'!$C$3=1,'Choix pédagogiques'!$C$3=2),$BN946=1),H946,IF(AND('Choix pédagogiques'!$C$3=3,$BO946=1),H946,""))</f>
        <v/>
      </c>
      <c r="AD946" s="22" t="str">
        <f>IF(AND(OR('Choix pédagogiques'!$C$3=1,'Choix pédagogiques'!$C$3=2),$BN946=1),I946,IF(AND('Choix pédagogiques'!$C$3=3,$BO946=1),I946,""))</f>
        <v/>
      </c>
      <c r="AE946" s="22" t="str">
        <f t="shared" si="628"/>
        <v/>
      </c>
      <c r="AF946" s="21" t="str">
        <f t="shared" si="629"/>
        <v>Apprenant 934</v>
      </c>
      <c r="AG946" s="22" t="str">
        <f t="shared" si="603"/>
        <v/>
      </c>
      <c r="AH946" s="22" t="str">
        <f t="shared" si="604"/>
        <v/>
      </c>
      <c r="AI946" s="22" t="str">
        <f t="shared" si="605"/>
        <v/>
      </c>
      <c r="AJ946" s="22" t="str">
        <f t="shared" si="630"/>
        <v/>
      </c>
      <c r="AK946" s="21" t="str">
        <f t="shared" si="631"/>
        <v>Apprenant 934 ou 934'</v>
      </c>
      <c r="AL946" s="22" t="str">
        <f t="shared" si="606"/>
        <v/>
      </c>
      <c r="AM946" s="22" t="str">
        <f t="shared" si="607"/>
        <v/>
      </c>
      <c r="AN946" s="22" t="str">
        <f t="shared" si="608"/>
        <v/>
      </c>
      <c r="AO946" s="22" t="str">
        <f t="shared" si="632"/>
        <v/>
      </c>
      <c r="AQ946" s="21" t="str">
        <f t="shared" si="633"/>
        <v>Apprenant 934</v>
      </c>
      <c r="AR946" s="49" t="str">
        <f>IF(AND('Choix pédagogiques'!$C$4&lt;&gt;"?",'Choix pédagogiques'!$C$5&lt;&gt;"?",W946&lt;&gt;""),(W946-'Choix pédagogiques'!$C$4)/('Choix pédagogiques'!$C$5-'Choix pédagogiques'!$C$4),"")</f>
        <v/>
      </c>
      <c r="AS946" s="49" t="str">
        <f>IF(AND('Choix pédagogiques'!$C$4&lt;&gt;"?",'Choix pédagogiques'!$C$5&lt;&gt;"?",X946&lt;&gt;""),(X946-'Choix pédagogiques'!$C$4)/('Choix pédagogiques'!$C$5-'Choix pédagogiques'!$C$4),"")</f>
        <v/>
      </c>
      <c r="AT946" s="49" t="str">
        <f>IF(AND('Choix pédagogiques'!$C$4&lt;&gt;"?",'Choix pédagogiques'!$C$5&lt;&gt;"?",Y946&lt;&gt;""),(Y946-'Choix pédagogiques'!$C$4)/('Choix pédagogiques'!$C$5-'Choix pédagogiques'!$C$4),"")</f>
        <v/>
      </c>
      <c r="AU946" s="22" t="str">
        <f t="shared" si="634"/>
        <v/>
      </c>
      <c r="AV946" s="21" t="str">
        <f t="shared" si="635"/>
        <v>Apprenant 934 ou 934'</v>
      </c>
      <c r="AW946" s="49" t="str">
        <f>IF(AND('Choix pédagogiques'!$C$4&lt;&gt;"?",'Choix pédagogiques'!$C$5&lt;&gt;"?",AB946&lt;&gt;""),(AB946-'Choix pédagogiques'!$C$4)/('Choix pédagogiques'!$C$5-'Choix pédagogiques'!$C$4),"")</f>
        <v/>
      </c>
      <c r="AX946" s="49" t="str">
        <f>IF(AND('Choix pédagogiques'!$C$4&lt;&gt;"?",'Choix pédagogiques'!$C$5&lt;&gt;"?",AC946&lt;&gt;""),(AC946-'Choix pédagogiques'!$C$4)/('Choix pédagogiques'!$C$5-'Choix pédagogiques'!$C$4),"")</f>
        <v/>
      </c>
      <c r="AY946" s="49" t="str">
        <f>IF(AND('Choix pédagogiques'!$C$4&lt;&gt;"?",'Choix pédagogiques'!$C$5&lt;&gt;"?",AD946&lt;&gt;""),(AD946-'Choix pédagogiques'!$C$4)/('Choix pédagogiques'!$C$5-'Choix pédagogiques'!$C$4),"")</f>
        <v/>
      </c>
      <c r="AZ946" s="22" t="str">
        <f t="shared" si="636"/>
        <v/>
      </c>
      <c r="BA946" s="21" t="str">
        <f t="shared" si="637"/>
        <v>Apprenant 934</v>
      </c>
      <c r="BB946" s="49" t="str">
        <f t="shared" si="609"/>
        <v/>
      </c>
      <c r="BC946" s="49" t="str">
        <f t="shared" si="610"/>
        <v/>
      </c>
      <c r="BD946" s="49" t="str">
        <f t="shared" si="611"/>
        <v/>
      </c>
      <c r="BE946" s="22" t="str">
        <f t="shared" si="638"/>
        <v/>
      </c>
      <c r="BF946" s="21" t="str">
        <f t="shared" si="639"/>
        <v>Apprenant 934 ou 934'</v>
      </c>
      <c r="BG946" s="49" t="str">
        <f t="shared" si="612"/>
        <v/>
      </c>
      <c r="BH946" s="49" t="str">
        <f t="shared" si="613"/>
        <v/>
      </c>
      <c r="BI946" s="49" t="str">
        <f t="shared" si="614"/>
        <v/>
      </c>
      <c r="BJ946" s="22" t="str">
        <f t="shared" si="640"/>
        <v/>
      </c>
      <c r="BL946" s="21"/>
      <c r="BM946" s="21" t="str">
        <f>IF(OR(COUNT(B946:D1945)=0,AND('Choix pédagogiques'!$C$3&lt;&gt;1,'Choix pédagogiques'!$C$3&lt;&gt;2)),"",IF(AND(OR('Choix pédagogiques'!$C$3=1,'Choix pédagogiques'!$C$3=2),$B946&lt;&gt;"",$C946&lt;&gt;"",$D946&lt;&gt;""),1,0))</f>
        <v/>
      </c>
      <c r="BN946" s="21" t="str">
        <f>IF(OR(COUNT(G946:I1945)=0,AND('Choix pédagogiques'!$C$3&lt;&gt;1,'Choix pédagogiques'!$C$3&lt;&gt;2)),"",IF(AND(OR('Choix pédagogiques'!$C$3=1,'Choix pédagogiques'!$C$3=2),AND($G946&lt;&gt;"",$H946&lt;&gt;"",$I946&lt;&gt;"")),1,0))</f>
        <v/>
      </c>
      <c r="BO946" s="21" t="str">
        <f>IF(OR(COUNT(B946:D1945)=0,COUNT(G946:I1945)=0,'Choix pédagogiques'!C$3&lt;&gt;3),"",IF(AND('Choix pédagogiques'!$C$3=3,$B946&lt;&gt;"",$C946&lt;&gt;"",$D946&lt;&gt;"",$G946&lt;&gt;"",$H946&lt;&gt;"",$I946&lt;&gt;""),1,0))</f>
        <v/>
      </c>
      <c r="BR946" s="21">
        <v>619</v>
      </c>
      <c r="BS946" s="21">
        <v>1935</v>
      </c>
      <c r="BT946"/>
    </row>
    <row r="947" spans="1:72" s="23" customFormat="1" ht="18" customHeight="1" x14ac:dyDescent="0.3">
      <c r="A947" s="35" t="s">
        <v>937</v>
      </c>
      <c r="B947" s="37"/>
      <c r="C947" s="37"/>
      <c r="D947" s="37"/>
      <c r="E947" s="37"/>
      <c r="F947" s="35" t="s">
        <v>1945</v>
      </c>
      <c r="G947" s="37"/>
      <c r="H947" s="37"/>
      <c r="I947" s="37"/>
      <c r="J947" s="37"/>
      <c r="K947" s="21" t="str">
        <f t="shared" si="615"/>
        <v>Apprenant 935</v>
      </c>
      <c r="L947" s="22" t="str">
        <f t="shared" si="616"/>
        <v/>
      </c>
      <c r="M947" s="22" t="str">
        <f t="shared" si="617"/>
        <v/>
      </c>
      <c r="N947" s="22" t="str">
        <f t="shared" si="618"/>
        <v/>
      </c>
      <c r="O947" s="22" t="str">
        <f t="shared" si="619"/>
        <v/>
      </c>
      <c r="P947" s="21" t="str">
        <f t="shared" si="620"/>
        <v>Apprenant 935 ou 935'</v>
      </c>
      <c r="Q947" s="22" t="str">
        <f t="shared" si="621"/>
        <v/>
      </c>
      <c r="R947" s="22" t="str">
        <f t="shared" si="622"/>
        <v/>
      </c>
      <c r="S947" s="22" t="str">
        <f t="shared" si="623"/>
        <v/>
      </c>
      <c r="T947" s="22" t="str">
        <f t="shared" si="624"/>
        <v/>
      </c>
      <c r="V947" s="21" t="str">
        <f t="shared" si="625"/>
        <v>Apprenant 935</v>
      </c>
      <c r="W947" s="22" t="str">
        <f>IF(AND(OR('Choix pédagogiques'!$C$3=1,'Choix pédagogiques'!$C$3=2),$BM947=1),B947,IF(AND('Choix pédagogiques'!$C$3=3,$BO947=1),B947,""))</f>
        <v/>
      </c>
      <c r="X947" s="22" t="str">
        <f>IF(AND(OR('Choix pédagogiques'!$C$3=1,'Choix pédagogiques'!$C$3=2),$BM947=1),C947,IF(AND('Choix pédagogiques'!$C$3=3,$BO947=1),C947,""))</f>
        <v/>
      </c>
      <c r="Y947" s="22" t="str">
        <f>IF(AND(OR('Choix pédagogiques'!$C$3=1,'Choix pédagogiques'!$C$3=2),$BM947=1),D947,IF(AND('Choix pédagogiques'!$C$3=3,$BO947=1),D947,""))</f>
        <v/>
      </c>
      <c r="Z947" s="22" t="str">
        <f t="shared" si="626"/>
        <v/>
      </c>
      <c r="AA947" s="21" t="str">
        <f t="shared" si="627"/>
        <v>Apprenant 935 ou 935'</v>
      </c>
      <c r="AB947" s="22" t="str">
        <f>IF(AND(OR('Choix pédagogiques'!$C$3=1,'Choix pédagogiques'!$C$3=2),$BN947=1),G947,IF(AND('Choix pédagogiques'!$C$3=3,$BO947=1),G947,""))</f>
        <v/>
      </c>
      <c r="AC947" s="22" t="str">
        <f>IF(AND(OR('Choix pédagogiques'!$C$3=1,'Choix pédagogiques'!$C$3=2),$BN947=1),H947,IF(AND('Choix pédagogiques'!$C$3=3,$BO947=1),H947,""))</f>
        <v/>
      </c>
      <c r="AD947" s="22" t="str">
        <f>IF(AND(OR('Choix pédagogiques'!$C$3=1,'Choix pédagogiques'!$C$3=2),$BN947=1),I947,IF(AND('Choix pédagogiques'!$C$3=3,$BO947=1),I947,""))</f>
        <v/>
      </c>
      <c r="AE947" s="22" t="str">
        <f t="shared" si="628"/>
        <v/>
      </c>
      <c r="AF947" s="21" t="str">
        <f t="shared" si="629"/>
        <v>Apprenant 935</v>
      </c>
      <c r="AG947" s="22" t="str">
        <f t="shared" si="603"/>
        <v/>
      </c>
      <c r="AH947" s="22" t="str">
        <f t="shared" si="604"/>
        <v/>
      </c>
      <c r="AI947" s="22" t="str">
        <f t="shared" si="605"/>
        <v/>
      </c>
      <c r="AJ947" s="22" t="str">
        <f t="shared" si="630"/>
        <v/>
      </c>
      <c r="AK947" s="21" t="str">
        <f t="shared" si="631"/>
        <v>Apprenant 935 ou 935'</v>
      </c>
      <c r="AL947" s="22" t="str">
        <f t="shared" si="606"/>
        <v/>
      </c>
      <c r="AM947" s="22" t="str">
        <f t="shared" si="607"/>
        <v/>
      </c>
      <c r="AN947" s="22" t="str">
        <f t="shared" si="608"/>
        <v/>
      </c>
      <c r="AO947" s="22" t="str">
        <f t="shared" si="632"/>
        <v/>
      </c>
      <c r="AQ947" s="21" t="str">
        <f t="shared" si="633"/>
        <v>Apprenant 935</v>
      </c>
      <c r="AR947" s="49" t="str">
        <f>IF(AND('Choix pédagogiques'!$C$4&lt;&gt;"?",'Choix pédagogiques'!$C$5&lt;&gt;"?",W947&lt;&gt;""),(W947-'Choix pédagogiques'!$C$4)/('Choix pédagogiques'!$C$5-'Choix pédagogiques'!$C$4),"")</f>
        <v/>
      </c>
      <c r="AS947" s="49" t="str">
        <f>IF(AND('Choix pédagogiques'!$C$4&lt;&gt;"?",'Choix pédagogiques'!$C$5&lt;&gt;"?",X947&lt;&gt;""),(X947-'Choix pédagogiques'!$C$4)/('Choix pédagogiques'!$C$5-'Choix pédagogiques'!$C$4),"")</f>
        <v/>
      </c>
      <c r="AT947" s="49" t="str">
        <f>IF(AND('Choix pédagogiques'!$C$4&lt;&gt;"?",'Choix pédagogiques'!$C$5&lt;&gt;"?",Y947&lt;&gt;""),(Y947-'Choix pédagogiques'!$C$4)/('Choix pédagogiques'!$C$5-'Choix pédagogiques'!$C$4),"")</f>
        <v/>
      </c>
      <c r="AU947" s="22" t="str">
        <f t="shared" si="634"/>
        <v/>
      </c>
      <c r="AV947" s="21" t="str">
        <f t="shared" si="635"/>
        <v>Apprenant 935 ou 935'</v>
      </c>
      <c r="AW947" s="49" t="str">
        <f>IF(AND('Choix pédagogiques'!$C$4&lt;&gt;"?",'Choix pédagogiques'!$C$5&lt;&gt;"?",AB947&lt;&gt;""),(AB947-'Choix pédagogiques'!$C$4)/('Choix pédagogiques'!$C$5-'Choix pédagogiques'!$C$4),"")</f>
        <v/>
      </c>
      <c r="AX947" s="49" t="str">
        <f>IF(AND('Choix pédagogiques'!$C$4&lt;&gt;"?",'Choix pédagogiques'!$C$5&lt;&gt;"?",AC947&lt;&gt;""),(AC947-'Choix pédagogiques'!$C$4)/('Choix pédagogiques'!$C$5-'Choix pédagogiques'!$C$4),"")</f>
        <v/>
      </c>
      <c r="AY947" s="49" t="str">
        <f>IF(AND('Choix pédagogiques'!$C$4&lt;&gt;"?",'Choix pédagogiques'!$C$5&lt;&gt;"?",AD947&lt;&gt;""),(AD947-'Choix pédagogiques'!$C$4)/('Choix pédagogiques'!$C$5-'Choix pédagogiques'!$C$4),"")</f>
        <v/>
      </c>
      <c r="AZ947" s="22" t="str">
        <f t="shared" si="636"/>
        <v/>
      </c>
      <c r="BA947" s="21" t="str">
        <f t="shared" si="637"/>
        <v>Apprenant 935</v>
      </c>
      <c r="BB947" s="49" t="str">
        <f t="shared" si="609"/>
        <v/>
      </c>
      <c r="BC947" s="49" t="str">
        <f t="shared" si="610"/>
        <v/>
      </c>
      <c r="BD947" s="49" t="str">
        <f t="shared" si="611"/>
        <v/>
      </c>
      <c r="BE947" s="22" t="str">
        <f t="shared" si="638"/>
        <v/>
      </c>
      <c r="BF947" s="21" t="str">
        <f t="shared" si="639"/>
        <v>Apprenant 935 ou 935'</v>
      </c>
      <c r="BG947" s="49" t="str">
        <f t="shared" si="612"/>
        <v/>
      </c>
      <c r="BH947" s="49" t="str">
        <f t="shared" si="613"/>
        <v/>
      </c>
      <c r="BI947" s="49" t="str">
        <f t="shared" si="614"/>
        <v/>
      </c>
      <c r="BJ947" s="22" t="str">
        <f t="shared" si="640"/>
        <v/>
      </c>
      <c r="BL947" s="21"/>
      <c r="BM947" s="21" t="str">
        <f>IF(OR(COUNT(B947:D1946)=0,AND('Choix pédagogiques'!$C$3&lt;&gt;1,'Choix pédagogiques'!$C$3&lt;&gt;2)),"",IF(AND(OR('Choix pédagogiques'!$C$3=1,'Choix pédagogiques'!$C$3=2),$B947&lt;&gt;"",$C947&lt;&gt;"",$D947&lt;&gt;""),1,0))</f>
        <v/>
      </c>
      <c r="BN947" s="21" t="str">
        <f>IF(OR(COUNT(G947:I1946)=0,AND('Choix pédagogiques'!$C$3&lt;&gt;1,'Choix pédagogiques'!$C$3&lt;&gt;2)),"",IF(AND(OR('Choix pédagogiques'!$C$3=1,'Choix pédagogiques'!$C$3=2),AND($G947&lt;&gt;"",$H947&lt;&gt;"",$I947&lt;&gt;"")),1,0))</f>
        <v/>
      </c>
      <c r="BO947" s="21" t="str">
        <f>IF(OR(COUNT(B947:D1946)=0,COUNT(G947:I1946)=0,'Choix pédagogiques'!C$3&lt;&gt;3),"",IF(AND('Choix pédagogiques'!$C$3=3,$B947&lt;&gt;"",$C947&lt;&gt;"",$D947&lt;&gt;"",$G947&lt;&gt;"",$H947&lt;&gt;"",$I947&lt;&gt;""),1,0))</f>
        <v/>
      </c>
      <c r="BR947" s="21">
        <v>233</v>
      </c>
      <c r="BS947" s="21">
        <v>1284</v>
      </c>
      <c r="BT947"/>
    </row>
    <row r="948" spans="1:72" s="23" customFormat="1" ht="18" customHeight="1" x14ac:dyDescent="0.3">
      <c r="A948" s="35" t="s">
        <v>938</v>
      </c>
      <c r="B948" s="37"/>
      <c r="C948" s="37"/>
      <c r="D948" s="37"/>
      <c r="E948" s="37"/>
      <c r="F948" s="35" t="s">
        <v>1946</v>
      </c>
      <c r="G948" s="37"/>
      <c r="H948" s="37"/>
      <c r="I948" s="37"/>
      <c r="J948" s="37"/>
      <c r="K948" s="21" t="str">
        <f t="shared" si="615"/>
        <v>Apprenant 936</v>
      </c>
      <c r="L948" s="22" t="str">
        <f t="shared" si="616"/>
        <v/>
      </c>
      <c r="M948" s="22" t="str">
        <f t="shared" si="617"/>
        <v/>
      </c>
      <c r="N948" s="22" t="str">
        <f t="shared" si="618"/>
        <v/>
      </c>
      <c r="O948" s="22" t="str">
        <f t="shared" si="619"/>
        <v/>
      </c>
      <c r="P948" s="21" t="str">
        <f t="shared" si="620"/>
        <v>Apprenant 936 ou 936'</v>
      </c>
      <c r="Q948" s="22" t="str">
        <f t="shared" si="621"/>
        <v/>
      </c>
      <c r="R948" s="22" t="str">
        <f t="shared" si="622"/>
        <v/>
      </c>
      <c r="S948" s="22" t="str">
        <f t="shared" si="623"/>
        <v/>
      </c>
      <c r="T948" s="22" t="str">
        <f t="shared" si="624"/>
        <v/>
      </c>
      <c r="V948" s="21" t="str">
        <f t="shared" si="625"/>
        <v>Apprenant 936</v>
      </c>
      <c r="W948" s="22" t="str">
        <f>IF(AND(OR('Choix pédagogiques'!$C$3=1,'Choix pédagogiques'!$C$3=2),$BM948=1),B948,IF(AND('Choix pédagogiques'!$C$3=3,$BO948=1),B948,""))</f>
        <v/>
      </c>
      <c r="X948" s="22" t="str">
        <f>IF(AND(OR('Choix pédagogiques'!$C$3=1,'Choix pédagogiques'!$C$3=2),$BM948=1),C948,IF(AND('Choix pédagogiques'!$C$3=3,$BO948=1),C948,""))</f>
        <v/>
      </c>
      <c r="Y948" s="22" t="str">
        <f>IF(AND(OR('Choix pédagogiques'!$C$3=1,'Choix pédagogiques'!$C$3=2),$BM948=1),D948,IF(AND('Choix pédagogiques'!$C$3=3,$BO948=1),D948,""))</f>
        <v/>
      </c>
      <c r="Z948" s="22" t="str">
        <f t="shared" si="626"/>
        <v/>
      </c>
      <c r="AA948" s="21" t="str">
        <f t="shared" si="627"/>
        <v>Apprenant 936 ou 936'</v>
      </c>
      <c r="AB948" s="22" t="str">
        <f>IF(AND(OR('Choix pédagogiques'!$C$3=1,'Choix pédagogiques'!$C$3=2),$BN948=1),G948,IF(AND('Choix pédagogiques'!$C$3=3,$BO948=1),G948,""))</f>
        <v/>
      </c>
      <c r="AC948" s="22" t="str">
        <f>IF(AND(OR('Choix pédagogiques'!$C$3=1,'Choix pédagogiques'!$C$3=2),$BN948=1),H948,IF(AND('Choix pédagogiques'!$C$3=3,$BO948=1),H948,""))</f>
        <v/>
      </c>
      <c r="AD948" s="22" t="str">
        <f>IF(AND(OR('Choix pédagogiques'!$C$3=1,'Choix pédagogiques'!$C$3=2),$BN948=1),I948,IF(AND('Choix pédagogiques'!$C$3=3,$BO948=1),I948,""))</f>
        <v/>
      </c>
      <c r="AE948" s="22" t="str">
        <f t="shared" si="628"/>
        <v/>
      </c>
      <c r="AF948" s="21" t="str">
        <f t="shared" si="629"/>
        <v>Apprenant 936</v>
      </c>
      <c r="AG948" s="22" t="str">
        <f t="shared" si="603"/>
        <v/>
      </c>
      <c r="AH948" s="22" t="str">
        <f t="shared" si="604"/>
        <v/>
      </c>
      <c r="AI948" s="22" t="str">
        <f t="shared" si="605"/>
        <v/>
      </c>
      <c r="AJ948" s="22" t="str">
        <f t="shared" si="630"/>
        <v/>
      </c>
      <c r="AK948" s="21" t="str">
        <f t="shared" si="631"/>
        <v>Apprenant 936 ou 936'</v>
      </c>
      <c r="AL948" s="22" t="str">
        <f t="shared" si="606"/>
        <v/>
      </c>
      <c r="AM948" s="22" t="str">
        <f t="shared" si="607"/>
        <v/>
      </c>
      <c r="AN948" s="22" t="str">
        <f t="shared" si="608"/>
        <v/>
      </c>
      <c r="AO948" s="22" t="str">
        <f t="shared" si="632"/>
        <v/>
      </c>
      <c r="AQ948" s="21" t="str">
        <f t="shared" si="633"/>
        <v>Apprenant 936</v>
      </c>
      <c r="AR948" s="49" t="str">
        <f>IF(AND('Choix pédagogiques'!$C$4&lt;&gt;"?",'Choix pédagogiques'!$C$5&lt;&gt;"?",W948&lt;&gt;""),(W948-'Choix pédagogiques'!$C$4)/('Choix pédagogiques'!$C$5-'Choix pédagogiques'!$C$4),"")</f>
        <v/>
      </c>
      <c r="AS948" s="49" t="str">
        <f>IF(AND('Choix pédagogiques'!$C$4&lt;&gt;"?",'Choix pédagogiques'!$C$5&lt;&gt;"?",X948&lt;&gt;""),(X948-'Choix pédagogiques'!$C$4)/('Choix pédagogiques'!$C$5-'Choix pédagogiques'!$C$4),"")</f>
        <v/>
      </c>
      <c r="AT948" s="49" t="str">
        <f>IF(AND('Choix pédagogiques'!$C$4&lt;&gt;"?",'Choix pédagogiques'!$C$5&lt;&gt;"?",Y948&lt;&gt;""),(Y948-'Choix pédagogiques'!$C$4)/('Choix pédagogiques'!$C$5-'Choix pédagogiques'!$C$4),"")</f>
        <v/>
      </c>
      <c r="AU948" s="22" t="str">
        <f t="shared" si="634"/>
        <v/>
      </c>
      <c r="AV948" s="21" t="str">
        <f t="shared" si="635"/>
        <v>Apprenant 936 ou 936'</v>
      </c>
      <c r="AW948" s="49" t="str">
        <f>IF(AND('Choix pédagogiques'!$C$4&lt;&gt;"?",'Choix pédagogiques'!$C$5&lt;&gt;"?",AB948&lt;&gt;""),(AB948-'Choix pédagogiques'!$C$4)/('Choix pédagogiques'!$C$5-'Choix pédagogiques'!$C$4),"")</f>
        <v/>
      </c>
      <c r="AX948" s="49" t="str">
        <f>IF(AND('Choix pédagogiques'!$C$4&lt;&gt;"?",'Choix pédagogiques'!$C$5&lt;&gt;"?",AC948&lt;&gt;""),(AC948-'Choix pédagogiques'!$C$4)/('Choix pédagogiques'!$C$5-'Choix pédagogiques'!$C$4),"")</f>
        <v/>
      </c>
      <c r="AY948" s="49" t="str">
        <f>IF(AND('Choix pédagogiques'!$C$4&lt;&gt;"?",'Choix pédagogiques'!$C$5&lt;&gt;"?",AD948&lt;&gt;""),(AD948-'Choix pédagogiques'!$C$4)/('Choix pédagogiques'!$C$5-'Choix pédagogiques'!$C$4),"")</f>
        <v/>
      </c>
      <c r="AZ948" s="22" t="str">
        <f t="shared" si="636"/>
        <v/>
      </c>
      <c r="BA948" s="21" t="str">
        <f t="shared" si="637"/>
        <v>Apprenant 936</v>
      </c>
      <c r="BB948" s="49" t="str">
        <f t="shared" si="609"/>
        <v/>
      </c>
      <c r="BC948" s="49" t="str">
        <f t="shared" si="610"/>
        <v/>
      </c>
      <c r="BD948" s="49" t="str">
        <f t="shared" si="611"/>
        <v/>
      </c>
      <c r="BE948" s="22" t="str">
        <f t="shared" si="638"/>
        <v/>
      </c>
      <c r="BF948" s="21" t="str">
        <f t="shared" si="639"/>
        <v>Apprenant 936 ou 936'</v>
      </c>
      <c r="BG948" s="49" t="str">
        <f t="shared" si="612"/>
        <v/>
      </c>
      <c r="BH948" s="49" t="str">
        <f t="shared" si="613"/>
        <v/>
      </c>
      <c r="BI948" s="49" t="str">
        <f t="shared" si="614"/>
        <v/>
      </c>
      <c r="BJ948" s="22" t="str">
        <f t="shared" si="640"/>
        <v/>
      </c>
      <c r="BL948" s="21"/>
      <c r="BM948" s="21" t="str">
        <f>IF(OR(COUNT(B948:D1947)=0,AND('Choix pédagogiques'!$C$3&lt;&gt;1,'Choix pédagogiques'!$C$3&lt;&gt;2)),"",IF(AND(OR('Choix pédagogiques'!$C$3=1,'Choix pédagogiques'!$C$3=2),$B948&lt;&gt;"",$C948&lt;&gt;"",$D948&lt;&gt;""),1,0))</f>
        <v/>
      </c>
      <c r="BN948" s="21" t="str">
        <f>IF(OR(COUNT(G948:I1947)=0,AND('Choix pédagogiques'!$C$3&lt;&gt;1,'Choix pédagogiques'!$C$3&lt;&gt;2)),"",IF(AND(OR('Choix pédagogiques'!$C$3=1,'Choix pédagogiques'!$C$3=2),AND($G948&lt;&gt;"",$H948&lt;&gt;"",$I948&lt;&gt;"")),1,0))</f>
        <v/>
      </c>
      <c r="BO948" s="21" t="str">
        <f>IF(OR(COUNT(B948:D1947)=0,COUNT(G948:I1947)=0,'Choix pédagogiques'!C$3&lt;&gt;3),"",IF(AND('Choix pédagogiques'!$C$3=3,$B948&lt;&gt;"",$C948&lt;&gt;"",$D948&lt;&gt;"",$G948&lt;&gt;"",$H948&lt;&gt;"",$I948&lt;&gt;""),1,0))</f>
        <v/>
      </c>
      <c r="BR948" s="21">
        <v>197</v>
      </c>
      <c r="BS948" s="21">
        <v>1973</v>
      </c>
      <c r="BT948"/>
    </row>
    <row r="949" spans="1:72" s="23" customFormat="1" ht="18" customHeight="1" x14ac:dyDescent="0.3">
      <c r="A949" s="35" t="s">
        <v>939</v>
      </c>
      <c r="B949" s="37"/>
      <c r="C949" s="37"/>
      <c r="D949" s="37"/>
      <c r="E949" s="37"/>
      <c r="F949" s="35" t="s">
        <v>1947</v>
      </c>
      <c r="G949" s="37"/>
      <c r="H949" s="37"/>
      <c r="I949" s="37"/>
      <c r="J949" s="37"/>
      <c r="K949" s="21" t="str">
        <f t="shared" si="615"/>
        <v>Apprenant 937</v>
      </c>
      <c r="L949" s="22" t="str">
        <f t="shared" si="616"/>
        <v/>
      </c>
      <c r="M949" s="22" t="str">
        <f t="shared" si="617"/>
        <v/>
      </c>
      <c r="N949" s="22" t="str">
        <f t="shared" si="618"/>
        <v/>
      </c>
      <c r="O949" s="22" t="str">
        <f t="shared" si="619"/>
        <v/>
      </c>
      <c r="P949" s="21" t="str">
        <f t="shared" si="620"/>
        <v>Apprenant 937 ou 937'</v>
      </c>
      <c r="Q949" s="22" t="str">
        <f t="shared" si="621"/>
        <v/>
      </c>
      <c r="R949" s="22" t="str">
        <f t="shared" si="622"/>
        <v/>
      </c>
      <c r="S949" s="22" t="str">
        <f t="shared" si="623"/>
        <v/>
      </c>
      <c r="T949" s="22" t="str">
        <f t="shared" si="624"/>
        <v/>
      </c>
      <c r="V949" s="21" t="str">
        <f t="shared" si="625"/>
        <v>Apprenant 937</v>
      </c>
      <c r="W949" s="22" t="str">
        <f>IF(AND(OR('Choix pédagogiques'!$C$3=1,'Choix pédagogiques'!$C$3=2),$BM949=1),B949,IF(AND('Choix pédagogiques'!$C$3=3,$BO949=1),B949,""))</f>
        <v/>
      </c>
      <c r="X949" s="22" t="str">
        <f>IF(AND(OR('Choix pédagogiques'!$C$3=1,'Choix pédagogiques'!$C$3=2),$BM949=1),C949,IF(AND('Choix pédagogiques'!$C$3=3,$BO949=1),C949,""))</f>
        <v/>
      </c>
      <c r="Y949" s="22" t="str">
        <f>IF(AND(OR('Choix pédagogiques'!$C$3=1,'Choix pédagogiques'!$C$3=2),$BM949=1),D949,IF(AND('Choix pédagogiques'!$C$3=3,$BO949=1),D949,""))</f>
        <v/>
      </c>
      <c r="Z949" s="22" t="str">
        <f t="shared" si="626"/>
        <v/>
      </c>
      <c r="AA949" s="21" t="str">
        <f t="shared" si="627"/>
        <v>Apprenant 937 ou 937'</v>
      </c>
      <c r="AB949" s="22" t="str">
        <f>IF(AND(OR('Choix pédagogiques'!$C$3=1,'Choix pédagogiques'!$C$3=2),$BN949=1),G949,IF(AND('Choix pédagogiques'!$C$3=3,$BO949=1),G949,""))</f>
        <v/>
      </c>
      <c r="AC949" s="22" t="str">
        <f>IF(AND(OR('Choix pédagogiques'!$C$3=1,'Choix pédagogiques'!$C$3=2),$BN949=1),H949,IF(AND('Choix pédagogiques'!$C$3=3,$BO949=1),H949,""))</f>
        <v/>
      </c>
      <c r="AD949" s="22" t="str">
        <f>IF(AND(OR('Choix pédagogiques'!$C$3=1,'Choix pédagogiques'!$C$3=2),$BN949=1),I949,IF(AND('Choix pédagogiques'!$C$3=3,$BO949=1),I949,""))</f>
        <v/>
      </c>
      <c r="AE949" s="22" t="str">
        <f t="shared" si="628"/>
        <v/>
      </c>
      <c r="AF949" s="21" t="str">
        <f t="shared" si="629"/>
        <v>Apprenant 937</v>
      </c>
      <c r="AG949" s="22" t="str">
        <f t="shared" si="603"/>
        <v/>
      </c>
      <c r="AH949" s="22" t="str">
        <f t="shared" si="604"/>
        <v/>
      </c>
      <c r="AI949" s="22" t="str">
        <f t="shared" si="605"/>
        <v/>
      </c>
      <c r="AJ949" s="22" t="str">
        <f t="shared" si="630"/>
        <v/>
      </c>
      <c r="AK949" s="21" t="str">
        <f t="shared" si="631"/>
        <v>Apprenant 937 ou 937'</v>
      </c>
      <c r="AL949" s="22" t="str">
        <f t="shared" si="606"/>
        <v/>
      </c>
      <c r="AM949" s="22" t="str">
        <f t="shared" si="607"/>
        <v/>
      </c>
      <c r="AN949" s="22" t="str">
        <f t="shared" si="608"/>
        <v/>
      </c>
      <c r="AO949" s="22" t="str">
        <f t="shared" si="632"/>
        <v/>
      </c>
      <c r="AQ949" s="21" t="str">
        <f t="shared" si="633"/>
        <v>Apprenant 937</v>
      </c>
      <c r="AR949" s="49" t="str">
        <f>IF(AND('Choix pédagogiques'!$C$4&lt;&gt;"?",'Choix pédagogiques'!$C$5&lt;&gt;"?",W949&lt;&gt;""),(W949-'Choix pédagogiques'!$C$4)/('Choix pédagogiques'!$C$5-'Choix pédagogiques'!$C$4),"")</f>
        <v/>
      </c>
      <c r="AS949" s="49" t="str">
        <f>IF(AND('Choix pédagogiques'!$C$4&lt;&gt;"?",'Choix pédagogiques'!$C$5&lt;&gt;"?",X949&lt;&gt;""),(X949-'Choix pédagogiques'!$C$4)/('Choix pédagogiques'!$C$5-'Choix pédagogiques'!$C$4),"")</f>
        <v/>
      </c>
      <c r="AT949" s="49" t="str">
        <f>IF(AND('Choix pédagogiques'!$C$4&lt;&gt;"?",'Choix pédagogiques'!$C$5&lt;&gt;"?",Y949&lt;&gt;""),(Y949-'Choix pédagogiques'!$C$4)/('Choix pédagogiques'!$C$5-'Choix pédagogiques'!$C$4),"")</f>
        <v/>
      </c>
      <c r="AU949" s="22" t="str">
        <f t="shared" si="634"/>
        <v/>
      </c>
      <c r="AV949" s="21" t="str">
        <f t="shared" si="635"/>
        <v>Apprenant 937 ou 937'</v>
      </c>
      <c r="AW949" s="49" t="str">
        <f>IF(AND('Choix pédagogiques'!$C$4&lt;&gt;"?",'Choix pédagogiques'!$C$5&lt;&gt;"?",AB949&lt;&gt;""),(AB949-'Choix pédagogiques'!$C$4)/('Choix pédagogiques'!$C$5-'Choix pédagogiques'!$C$4),"")</f>
        <v/>
      </c>
      <c r="AX949" s="49" t="str">
        <f>IF(AND('Choix pédagogiques'!$C$4&lt;&gt;"?",'Choix pédagogiques'!$C$5&lt;&gt;"?",AC949&lt;&gt;""),(AC949-'Choix pédagogiques'!$C$4)/('Choix pédagogiques'!$C$5-'Choix pédagogiques'!$C$4),"")</f>
        <v/>
      </c>
      <c r="AY949" s="49" t="str">
        <f>IF(AND('Choix pédagogiques'!$C$4&lt;&gt;"?",'Choix pédagogiques'!$C$5&lt;&gt;"?",AD949&lt;&gt;""),(AD949-'Choix pédagogiques'!$C$4)/('Choix pédagogiques'!$C$5-'Choix pédagogiques'!$C$4),"")</f>
        <v/>
      </c>
      <c r="AZ949" s="22" t="str">
        <f t="shared" si="636"/>
        <v/>
      </c>
      <c r="BA949" s="21" t="str">
        <f t="shared" si="637"/>
        <v>Apprenant 937</v>
      </c>
      <c r="BB949" s="49" t="str">
        <f t="shared" si="609"/>
        <v/>
      </c>
      <c r="BC949" s="49" t="str">
        <f t="shared" si="610"/>
        <v/>
      </c>
      <c r="BD949" s="49" t="str">
        <f t="shared" si="611"/>
        <v/>
      </c>
      <c r="BE949" s="22" t="str">
        <f t="shared" si="638"/>
        <v/>
      </c>
      <c r="BF949" s="21" t="str">
        <f t="shared" si="639"/>
        <v>Apprenant 937 ou 937'</v>
      </c>
      <c r="BG949" s="49" t="str">
        <f t="shared" si="612"/>
        <v/>
      </c>
      <c r="BH949" s="49" t="str">
        <f t="shared" si="613"/>
        <v/>
      </c>
      <c r="BI949" s="49" t="str">
        <f t="shared" si="614"/>
        <v/>
      </c>
      <c r="BJ949" s="22" t="str">
        <f t="shared" si="640"/>
        <v/>
      </c>
      <c r="BL949" s="21"/>
      <c r="BM949" s="21" t="str">
        <f>IF(OR(COUNT(B949:D1948)=0,AND('Choix pédagogiques'!$C$3&lt;&gt;1,'Choix pédagogiques'!$C$3&lt;&gt;2)),"",IF(AND(OR('Choix pédagogiques'!$C$3=1,'Choix pédagogiques'!$C$3=2),$B949&lt;&gt;"",$C949&lt;&gt;"",$D949&lt;&gt;""),1,0))</f>
        <v/>
      </c>
      <c r="BN949" s="21" t="str">
        <f>IF(OR(COUNT(G949:I1948)=0,AND('Choix pédagogiques'!$C$3&lt;&gt;1,'Choix pédagogiques'!$C$3&lt;&gt;2)),"",IF(AND(OR('Choix pédagogiques'!$C$3=1,'Choix pédagogiques'!$C$3=2),AND($G949&lt;&gt;"",$H949&lt;&gt;"",$I949&lt;&gt;"")),1,0))</f>
        <v/>
      </c>
      <c r="BO949" s="21" t="str">
        <f>IF(OR(COUNT(B949:D1948)=0,COUNT(G949:I1948)=0,'Choix pédagogiques'!C$3&lt;&gt;3),"",IF(AND('Choix pédagogiques'!$C$3=3,$B949&lt;&gt;"",$C949&lt;&gt;"",$D949&lt;&gt;"",$G949&lt;&gt;"",$H949&lt;&gt;"",$I949&lt;&gt;""),1,0))</f>
        <v/>
      </c>
      <c r="BR949" s="21">
        <v>76</v>
      </c>
      <c r="BS949" s="21">
        <v>1180</v>
      </c>
      <c r="BT949"/>
    </row>
    <row r="950" spans="1:72" s="23" customFormat="1" ht="18" customHeight="1" x14ac:dyDescent="0.3">
      <c r="A950" s="35" t="s">
        <v>940</v>
      </c>
      <c r="B950" s="37"/>
      <c r="C950" s="37"/>
      <c r="D950" s="37"/>
      <c r="E950" s="37"/>
      <c r="F950" s="35" t="s">
        <v>1948</v>
      </c>
      <c r="G950" s="37"/>
      <c r="H950" s="37"/>
      <c r="I950" s="37"/>
      <c r="J950" s="37"/>
      <c r="K950" s="21" t="str">
        <f t="shared" si="615"/>
        <v>Apprenant 938</v>
      </c>
      <c r="L950" s="22" t="str">
        <f t="shared" si="616"/>
        <v/>
      </c>
      <c r="M950" s="22" t="str">
        <f t="shared" si="617"/>
        <v/>
      </c>
      <c r="N950" s="22" t="str">
        <f t="shared" si="618"/>
        <v/>
      </c>
      <c r="O950" s="22" t="str">
        <f t="shared" si="619"/>
        <v/>
      </c>
      <c r="P950" s="21" t="str">
        <f t="shared" si="620"/>
        <v>Apprenant 938 ou 938'</v>
      </c>
      <c r="Q950" s="22" t="str">
        <f t="shared" si="621"/>
        <v/>
      </c>
      <c r="R950" s="22" t="str">
        <f t="shared" si="622"/>
        <v/>
      </c>
      <c r="S950" s="22" t="str">
        <f t="shared" si="623"/>
        <v/>
      </c>
      <c r="T950" s="22" t="str">
        <f t="shared" si="624"/>
        <v/>
      </c>
      <c r="V950" s="21" t="str">
        <f t="shared" si="625"/>
        <v>Apprenant 938</v>
      </c>
      <c r="W950" s="22" t="str">
        <f>IF(AND(OR('Choix pédagogiques'!$C$3=1,'Choix pédagogiques'!$C$3=2),$BM950=1),B950,IF(AND('Choix pédagogiques'!$C$3=3,$BO950=1),B950,""))</f>
        <v/>
      </c>
      <c r="X950" s="22" t="str">
        <f>IF(AND(OR('Choix pédagogiques'!$C$3=1,'Choix pédagogiques'!$C$3=2),$BM950=1),C950,IF(AND('Choix pédagogiques'!$C$3=3,$BO950=1),C950,""))</f>
        <v/>
      </c>
      <c r="Y950" s="22" t="str">
        <f>IF(AND(OR('Choix pédagogiques'!$C$3=1,'Choix pédagogiques'!$C$3=2),$BM950=1),D950,IF(AND('Choix pédagogiques'!$C$3=3,$BO950=1),D950,""))</f>
        <v/>
      </c>
      <c r="Z950" s="22" t="str">
        <f t="shared" si="626"/>
        <v/>
      </c>
      <c r="AA950" s="21" t="str">
        <f t="shared" si="627"/>
        <v>Apprenant 938 ou 938'</v>
      </c>
      <c r="AB950" s="22" t="str">
        <f>IF(AND(OR('Choix pédagogiques'!$C$3=1,'Choix pédagogiques'!$C$3=2),$BN950=1),G950,IF(AND('Choix pédagogiques'!$C$3=3,$BO950=1),G950,""))</f>
        <v/>
      </c>
      <c r="AC950" s="22" t="str">
        <f>IF(AND(OR('Choix pédagogiques'!$C$3=1,'Choix pédagogiques'!$C$3=2),$BN950=1),H950,IF(AND('Choix pédagogiques'!$C$3=3,$BO950=1),H950,""))</f>
        <v/>
      </c>
      <c r="AD950" s="22" t="str">
        <f>IF(AND(OR('Choix pédagogiques'!$C$3=1,'Choix pédagogiques'!$C$3=2),$BN950=1),I950,IF(AND('Choix pédagogiques'!$C$3=3,$BO950=1),I950,""))</f>
        <v/>
      </c>
      <c r="AE950" s="22" t="str">
        <f t="shared" si="628"/>
        <v/>
      </c>
      <c r="AF950" s="21" t="str">
        <f t="shared" si="629"/>
        <v>Apprenant 938</v>
      </c>
      <c r="AG950" s="22" t="str">
        <f t="shared" si="603"/>
        <v/>
      </c>
      <c r="AH950" s="22" t="str">
        <f t="shared" si="604"/>
        <v/>
      </c>
      <c r="AI950" s="22" t="str">
        <f t="shared" si="605"/>
        <v/>
      </c>
      <c r="AJ950" s="22" t="str">
        <f t="shared" si="630"/>
        <v/>
      </c>
      <c r="AK950" s="21" t="str">
        <f t="shared" si="631"/>
        <v>Apprenant 938 ou 938'</v>
      </c>
      <c r="AL950" s="22" t="str">
        <f t="shared" si="606"/>
        <v/>
      </c>
      <c r="AM950" s="22" t="str">
        <f t="shared" si="607"/>
        <v/>
      </c>
      <c r="AN950" s="22" t="str">
        <f t="shared" si="608"/>
        <v/>
      </c>
      <c r="AO950" s="22" t="str">
        <f t="shared" si="632"/>
        <v/>
      </c>
      <c r="AQ950" s="21" t="str">
        <f t="shared" si="633"/>
        <v>Apprenant 938</v>
      </c>
      <c r="AR950" s="49" t="str">
        <f>IF(AND('Choix pédagogiques'!$C$4&lt;&gt;"?",'Choix pédagogiques'!$C$5&lt;&gt;"?",W950&lt;&gt;""),(W950-'Choix pédagogiques'!$C$4)/('Choix pédagogiques'!$C$5-'Choix pédagogiques'!$C$4),"")</f>
        <v/>
      </c>
      <c r="AS950" s="49" t="str">
        <f>IF(AND('Choix pédagogiques'!$C$4&lt;&gt;"?",'Choix pédagogiques'!$C$5&lt;&gt;"?",X950&lt;&gt;""),(X950-'Choix pédagogiques'!$C$4)/('Choix pédagogiques'!$C$5-'Choix pédagogiques'!$C$4),"")</f>
        <v/>
      </c>
      <c r="AT950" s="49" t="str">
        <f>IF(AND('Choix pédagogiques'!$C$4&lt;&gt;"?",'Choix pédagogiques'!$C$5&lt;&gt;"?",Y950&lt;&gt;""),(Y950-'Choix pédagogiques'!$C$4)/('Choix pédagogiques'!$C$5-'Choix pédagogiques'!$C$4),"")</f>
        <v/>
      </c>
      <c r="AU950" s="22" t="str">
        <f t="shared" si="634"/>
        <v/>
      </c>
      <c r="AV950" s="21" t="str">
        <f t="shared" si="635"/>
        <v>Apprenant 938 ou 938'</v>
      </c>
      <c r="AW950" s="49" t="str">
        <f>IF(AND('Choix pédagogiques'!$C$4&lt;&gt;"?",'Choix pédagogiques'!$C$5&lt;&gt;"?",AB950&lt;&gt;""),(AB950-'Choix pédagogiques'!$C$4)/('Choix pédagogiques'!$C$5-'Choix pédagogiques'!$C$4),"")</f>
        <v/>
      </c>
      <c r="AX950" s="49" t="str">
        <f>IF(AND('Choix pédagogiques'!$C$4&lt;&gt;"?",'Choix pédagogiques'!$C$5&lt;&gt;"?",AC950&lt;&gt;""),(AC950-'Choix pédagogiques'!$C$4)/('Choix pédagogiques'!$C$5-'Choix pédagogiques'!$C$4),"")</f>
        <v/>
      </c>
      <c r="AY950" s="49" t="str">
        <f>IF(AND('Choix pédagogiques'!$C$4&lt;&gt;"?",'Choix pédagogiques'!$C$5&lt;&gt;"?",AD950&lt;&gt;""),(AD950-'Choix pédagogiques'!$C$4)/('Choix pédagogiques'!$C$5-'Choix pédagogiques'!$C$4),"")</f>
        <v/>
      </c>
      <c r="AZ950" s="22" t="str">
        <f t="shared" si="636"/>
        <v/>
      </c>
      <c r="BA950" s="21" t="str">
        <f t="shared" si="637"/>
        <v>Apprenant 938</v>
      </c>
      <c r="BB950" s="49" t="str">
        <f t="shared" si="609"/>
        <v/>
      </c>
      <c r="BC950" s="49" t="str">
        <f t="shared" si="610"/>
        <v/>
      </c>
      <c r="BD950" s="49" t="str">
        <f t="shared" si="611"/>
        <v/>
      </c>
      <c r="BE950" s="22" t="str">
        <f t="shared" si="638"/>
        <v/>
      </c>
      <c r="BF950" s="21" t="str">
        <f t="shared" si="639"/>
        <v>Apprenant 938 ou 938'</v>
      </c>
      <c r="BG950" s="49" t="str">
        <f t="shared" si="612"/>
        <v/>
      </c>
      <c r="BH950" s="49" t="str">
        <f t="shared" si="613"/>
        <v/>
      </c>
      <c r="BI950" s="49" t="str">
        <f t="shared" si="614"/>
        <v/>
      </c>
      <c r="BJ950" s="22" t="str">
        <f t="shared" si="640"/>
        <v/>
      </c>
      <c r="BL950" s="21"/>
      <c r="BM950" s="21" t="str">
        <f>IF(OR(COUNT(B950:D1949)=0,AND('Choix pédagogiques'!$C$3&lt;&gt;1,'Choix pédagogiques'!$C$3&lt;&gt;2)),"",IF(AND(OR('Choix pédagogiques'!$C$3=1,'Choix pédagogiques'!$C$3=2),$B950&lt;&gt;"",$C950&lt;&gt;"",$D950&lt;&gt;""),1,0))</f>
        <v/>
      </c>
      <c r="BN950" s="21" t="str">
        <f>IF(OR(COUNT(G950:I1949)=0,AND('Choix pédagogiques'!$C$3&lt;&gt;1,'Choix pédagogiques'!$C$3&lt;&gt;2)),"",IF(AND(OR('Choix pédagogiques'!$C$3=1,'Choix pédagogiques'!$C$3=2),AND($G950&lt;&gt;"",$H950&lt;&gt;"",$I950&lt;&gt;"")),1,0))</f>
        <v/>
      </c>
      <c r="BO950" s="21" t="str">
        <f>IF(OR(COUNT(B950:D1949)=0,COUNT(G950:I1949)=0,'Choix pédagogiques'!C$3&lt;&gt;3),"",IF(AND('Choix pédagogiques'!$C$3=3,$B950&lt;&gt;"",$C950&lt;&gt;"",$D950&lt;&gt;"",$G950&lt;&gt;"",$H950&lt;&gt;"",$I950&lt;&gt;""),1,0))</f>
        <v/>
      </c>
      <c r="BR950" s="21">
        <v>446</v>
      </c>
      <c r="BS950" s="21">
        <v>1643</v>
      </c>
      <c r="BT950"/>
    </row>
    <row r="951" spans="1:72" s="23" customFormat="1" ht="18" customHeight="1" x14ac:dyDescent="0.3">
      <c r="A951" s="35" t="s">
        <v>941</v>
      </c>
      <c r="B951" s="37"/>
      <c r="C951" s="37"/>
      <c r="D951" s="37"/>
      <c r="E951" s="37"/>
      <c r="F951" s="35" t="s">
        <v>1949</v>
      </c>
      <c r="G951" s="37"/>
      <c r="H951" s="37"/>
      <c r="I951" s="37"/>
      <c r="J951" s="37"/>
      <c r="K951" s="21" t="str">
        <f t="shared" si="615"/>
        <v>Apprenant 939</v>
      </c>
      <c r="L951" s="22" t="str">
        <f t="shared" si="616"/>
        <v/>
      </c>
      <c r="M951" s="22" t="str">
        <f t="shared" si="617"/>
        <v/>
      </c>
      <c r="N951" s="22" t="str">
        <f t="shared" si="618"/>
        <v/>
      </c>
      <c r="O951" s="22" t="str">
        <f t="shared" si="619"/>
        <v/>
      </c>
      <c r="P951" s="21" t="str">
        <f t="shared" si="620"/>
        <v>Apprenant 939 ou 939'</v>
      </c>
      <c r="Q951" s="22" t="str">
        <f t="shared" si="621"/>
        <v/>
      </c>
      <c r="R951" s="22" t="str">
        <f t="shared" si="622"/>
        <v/>
      </c>
      <c r="S951" s="22" t="str">
        <f t="shared" si="623"/>
        <v/>
      </c>
      <c r="T951" s="22" t="str">
        <f t="shared" si="624"/>
        <v/>
      </c>
      <c r="V951" s="21" t="str">
        <f t="shared" si="625"/>
        <v>Apprenant 939</v>
      </c>
      <c r="W951" s="22" t="str">
        <f>IF(AND(OR('Choix pédagogiques'!$C$3=1,'Choix pédagogiques'!$C$3=2),$BM951=1),B951,IF(AND('Choix pédagogiques'!$C$3=3,$BO951=1),B951,""))</f>
        <v/>
      </c>
      <c r="X951" s="22" t="str">
        <f>IF(AND(OR('Choix pédagogiques'!$C$3=1,'Choix pédagogiques'!$C$3=2),$BM951=1),C951,IF(AND('Choix pédagogiques'!$C$3=3,$BO951=1),C951,""))</f>
        <v/>
      </c>
      <c r="Y951" s="22" t="str">
        <f>IF(AND(OR('Choix pédagogiques'!$C$3=1,'Choix pédagogiques'!$C$3=2),$BM951=1),D951,IF(AND('Choix pédagogiques'!$C$3=3,$BO951=1),D951,""))</f>
        <v/>
      </c>
      <c r="Z951" s="22" t="str">
        <f t="shared" si="626"/>
        <v/>
      </c>
      <c r="AA951" s="21" t="str">
        <f t="shared" si="627"/>
        <v>Apprenant 939 ou 939'</v>
      </c>
      <c r="AB951" s="22" t="str">
        <f>IF(AND(OR('Choix pédagogiques'!$C$3=1,'Choix pédagogiques'!$C$3=2),$BN951=1),G951,IF(AND('Choix pédagogiques'!$C$3=3,$BO951=1),G951,""))</f>
        <v/>
      </c>
      <c r="AC951" s="22" t="str">
        <f>IF(AND(OR('Choix pédagogiques'!$C$3=1,'Choix pédagogiques'!$C$3=2),$BN951=1),H951,IF(AND('Choix pédagogiques'!$C$3=3,$BO951=1),H951,""))</f>
        <v/>
      </c>
      <c r="AD951" s="22" t="str">
        <f>IF(AND(OR('Choix pédagogiques'!$C$3=1,'Choix pédagogiques'!$C$3=2),$BN951=1),I951,IF(AND('Choix pédagogiques'!$C$3=3,$BO951=1),I951,""))</f>
        <v/>
      </c>
      <c r="AE951" s="22" t="str">
        <f t="shared" si="628"/>
        <v/>
      </c>
      <c r="AF951" s="21" t="str">
        <f t="shared" si="629"/>
        <v>Apprenant 939</v>
      </c>
      <c r="AG951" s="22" t="str">
        <f t="shared" si="603"/>
        <v/>
      </c>
      <c r="AH951" s="22" t="str">
        <f t="shared" si="604"/>
        <v/>
      </c>
      <c r="AI951" s="22" t="str">
        <f t="shared" si="605"/>
        <v/>
      </c>
      <c r="AJ951" s="22" t="str">
        <f t="shared" si="630"/>
        <v/>
      </c>
      <c r="AK951" s="21" t="str">
        <f t="shared" si="631"/>
        <v>Apprenant 939 ou 939'</v>
      </c>
      <c r="AL951" s="22" t="str">
        <f t="shared" si="606"/>
        <v/>
      </c>
      <c r="AM951" s="22" t="str">
        <f t="shared" si="607"/>
        <v/>
      </c>
      <c r="AN951" s="22" t="str">
        <f t="shared" si="608"/>
        <v/>
      </c>
      <c r="AO951" s="22" t="str">
        <f t="shared" si="632"/>
        <v/>
      </c>
      <c r="AQ951" s="21" t="str">
        <f t="shared" si="633"/>
        <v>Apprenant 939</v>
      </c>
      <c r="AR951" s="49" t="str">
        <f>IF(AND('Choix pédagogiques'!$C$4&lt;&gt;"?",'Choix pédagogiques'!$C$5&lt;&gt;"?",W951&lt;&gt;""),(W951-'Choix pédagogiques'!$C$4)/('Choix pédagogiques'!$C$5-'Choix pédagogiques'!$C$4),"")</f>
        <v/>
      </c>
      <c r="AS951" s="49" t="str">
        <f>IF(AND('Choix pédagogiques'!$C$4&lt;&gt;"?",'Choix pédagogiques'!$C$5&lt;&gt;"?",X951&lt;&gt;""),(X951-'Choix pédagogiques'!$C$4)/('Choix pédagogiques'!$C$5-'Choix pédagogiques'!$C$4),"")</f>
        <v/>
      </c>
      <c r="AT951" s="49" t="str">
        <f>IF(AND('Choix pédagogiques'!$C$4&lt;&gt;"?",'Choix pédagogiques'!$C$5&lt;&gt;"?",Y951&lt;&gt;""),(Y951-'Choix pédagogiques'!$C$4)/('Choix pédagogiques'!$C$5-'Choix pédagogiques'!$C$4),"")</f>
        <v/>
      </c>
      <c r="AU951" s="22" t="str">
        <f t="shared" si="634"/>
        <v/>
      </c>
      <c r="AV951" s="21" t="str">
        <f t="shared" si="635"/>
        <v>Apprenant 939 ou 939'</v>
      </c>
      <c r="AW951" s="49" t="str">
        <f>IF(AND('Choix pédagogiques'!$C$4&lt;&gt;"?",'Choix pédagogiques'!$C$5&lt;&gt;"?",AB951&lt;&gt;""),(AB951-'Choix pédagogiques'!$C$4)/('Choix pédagogiques'!$C$5-'Choix pédagogiques'!$C$4),"")</f>
        <v/>
      </c>
      <c r="AX951" s="49" t="str">
        <f>IF(AND('Choix pédagogiques'!$C$4&lt;&gt;"?",'Choix pédagogiques'!$C$5&lt;&gt;"?",AC951&lt;&gt;""),(AC951-'Choix pédagogiques'!$C$4)/('Choix pédagogiques'!$C$5-'Choix pédagogiques'!$C$4),"")</f>
        <v/>
      </c>
      <c r="AY951" s="49" t="str">
        <f>IF(AND('Choix pédagogiques'!$C$4&lt;&gt;"?",'Choix pédagogiques'!$C$5&lt;&gt;"?",AD951&lt;&gt;""),(AD951-'Choix pédagogiques'!$C$4)/('Choix pédagogiques'!$C$5-'Choix pédagogiques'!$C$4),"")</f>
        <v/>
      </c>
      <c r="AZ951" s="22" t="str">
        <f t="shared" si="636"/>
        <v/>
      </c>
      <c r="BA951" s="21" t="str">
        <f t="shared" si="637"/>
        <v>Apprenant 939</v>
      </c>
      <c r="BB951" s="49" t="str">
        <f t="shared" si="609"/>
        <v/>
      </c>
      <c r="BC951" s="49" t="str">
        <f t="shared" si="610"/>
        <v/>
      </c>
      <c r="BD951" s="49" t="str">
        <f t="shared" si="611"/>
        <v/>
      </c>
      <c r="BE951" s="22" t="str">
        <f t="shared" si="638"/>
        <v/>
      </c>
      <c r="BF951" s="21" t="str">
        <f t="shared" si="639"/>
        <v>Apprenant 939 ou 939'</v>
      </c>
      <c r="BG951" s="49" t="str">
        <f t="shared" si="612"/>
        <v/>
      </c>
      <c r="BH951" s="49" t="str">
        <f t="shared" si="613"/>
        <v/>
      </c>
      <c r="BI951" s="49" t="str">
        <f t="shared" si="614"/>
        <v/>
      </c>
      <c r="BJ951" s="22" t="str">
        <f t="shared" si="640"/>
        <v/>
      </c>
      <c r="BL951" s="21"/>
      <c r="BM951" s="21" t="str">
        <f>IF(OR(COUNT(B951:D1950)=0,AND('Choix pédagogiques'!$C$3&lt;&gt;1,'Choix pédagogiques'!$C$3&lt;&gt;2)),"",IF(AND(OR('Choix pédagogiques'!$C$3=1,'Choix pédagogiques'!$C$3=2),$B951&lt;&gt;"",$C951&lt;&gt;"",$D951&lt;&gt;""),1,0))</f>
        <v/>
      </c>
      <c r="BN951" s="21" t="str">
        <f>IF(OR(COUNT(G951:I1950)=0,AND('Choix pédagogiques'!$C$3&lt;&gt;1,'Choix pédagogiques'!$C$3&lt;&gt;2)),"",IF(AND(OR('Choix pédagogiques'!$C$3=1,'Choix pédagogiques'!$C$3=2),AND($G951&lt;&gt;"",$H951&lt;&gt;"",$I951&lt;&gt;"")),1,0))</f>
        <v/>
      </c>
      <c r="BO951" s="21" t="str">
        <f>IF(OR(COUNT(B951:D1950)=0,COUNT(G951:I1950)=0,'Choix pédagogiques'!C$3&lt;&gt;3),"",IF(AND('Choix pédagogiques'!$C$3=3,$B951&lt;&gt;"",$C951&lt;&gt;"",$D951&lt;&gt;"",$G951&lt;&gt;"",$H951&lt;&gt;"",$I951&lt;&gt;""),1,0))</f>
        <v/>
      </c>
      <c r="BR951" s="21">
        <v>389</v>
      </c>
      <c r="BS951" s="21">
        <v>1893</v>
      </c>
      <c r="BT951"/>
    </row>
    <row r="952" spans="1:72" s="23" customFormat="1" ht="18" customHeight="1" x14ac:dyDescent="0.3">
      <c r="A952" s="35" t="s">
        <v>942</v>
      </c>
      <c r="B952" s="37"/>
      <c r="C952" s="37"/>
      <c r="D952" s="37"/>
      <c r="E952" s="37"/>
      <c r="F952" s="35" t="s">
        <v>1950</v>
      </c>
      <c r="G952" s="37"/>
      <c r="H952" s="37"/>
      <c r="I952" s="37"/>
      <c r="J952" s="37"/>
      <c r="K952" s="21" t="str">
        <f t="shared" si="615"/>
        <v>Apprenant 940</v>
      </c>
      <c r="L952" s="22" t="str">
        <f t="shared" si="616"/>
        <v/>
      </c>
      <c r="M952" s="22" t="str">
        <f t="shared" si="617"/>
        <v/>
      </c>
      <c r="N952" s="22" t="str">
        <f t="shared" si="618"/>
        <v/>
      </c>
      <c r="O952" s="22" t="str">
        <f t="shared" si="619"/>
        <v/>
      </c>
      <c r="P952" s="21" t="str">
        <f t="shared" si="620"/>
        <v>Apprenant 940 ou 940'</v>
      </c>
      <c r="Q952" s="22" t="str">
        <f t="shared" si="621"/>
        <v/>
      </c>
      <c r="R952" s="22" t="str">
        <f t="shared" si="622"/>
        <v/>
      </c>
      <c r="S952" s="22" t="str">
        <f t="shared" si="623"/>
        <v/>
      </c>
      <c r="T952" s="22" t="str">
        <f t="shared" si="624"/>
        <v/>
      </c>
      <c r="V952" s="21" t="str">
        <f t="shared" si="625"/>
        <v>Apprenant 940</v>
      </c>
      <c r="W952" s="22" t="str">
        <f>IF(AND(OR('Choix pédagogiques'!$C$3=1,'Choix pédagogiques'!$C$3=2),$BM952=1),B952,IF(AND('Choix pédagogiques'!$C$3=3,$BO952=1),B952,""))</f>
        <v/>
      </c>
      <c r="X952" s="22" t="str">
        <f>IF(AND(OR('Choix pédagogiques'!$C$3=1,'Choix pédagogiques'!$C$3=2),$BM952=1),C952,IF(AND('Choix pédagogiques'!$C$3=3,$BO952=1),C952,""))</f>
        <v/>
      </c>
      <c r="Y952" s="22" t="str">
        <f>IF(AND(OR('Choix pédagogiques'!$C$3=1,'Choix pédagogiques'!$C$3=2),$BM952=1),D952,IF(AND('Choix pédagogiques'!$C$3=3,$BO952=1),D952,""))</f>
        <v/>
      </c>
      <c r="Z952" s="22" t="str">
        <f t="shared" si="626"/>
        <v/>
      </c>
      <c r="AA952" s="21" t="str">
        <f t="shared" si="627"/>
        <v>Apprenant 940 ou 940'</v>
      </c>
      <c r="AB952" s="22" t="str">
        <f>IF(AND(OR('Choix pédagogiques'!$C$3=1,'Choix pédagogiques'!$C$3=2),$BN952=1),G952,IF(AND('Choix pédagogiques'!$C$3=3,$BO952=1),G952,""))</f>
        <v/>
      </c>
      <c r="AC952" s="22" t="str">
        <f>IF(AND(OR('Choix pédagogiques'!$C$3=1,'Choix pédagogiques'!$C$3=2),$BN952=1),H952,IF(AND('Choix pédagogiques'!$C$3=3,$BO952=1),H952,""))</f>
        <v/>
      </c>
      <c r="AD952" s="22" t="str">
        <f>IF(AND(OR('Choix pédagogiques'!$C$3=1,'Choix pédagogiques'!$C$3=2),$BN952=1),I952,IF(AND('Choix pédagogiques'!$C$3=3,$BO952=1),I952,""))</f>
        <v/>
      </c>
      <c r="AE952" s="22" t="str">
        <f t="shared" si="628"/>
        <v/>
      </c>
      <c r="AF952" s="21" t="str">
        <f t="shared" si="629"/>
        <v>Apprenant 940</v>
      </c>
      <c r="AG952" s="22" t="str">
        <f t="shared" si="603"/>
        <v/>
      </c>
      <c r="AH952" s="22" t="str">
        <f t="shared" si="604"/>
        <v/>
      </c>
      <c r="AI952" s="22" t="str">
        <f t="shared" si="605"/>
        <v/>
      </c>
      <c r="AJ952" s="22" t="str">
        <f t="shared" si="630"/>
        <v/>
      </c>
      <c r="AK952" s="21" t="str">
        <f t="shared" si="631"/>
        <v>Apprenant 940 ou 940'</v>
      </c>
      <c r="AL952" s="22" t="str">
        <f t="shared" si="606"/>
        <v/>
      </c>
      <c r="AM952" s="22" t="str">
        <f t="shared" si="607"/>
        <v/>
      </c>
      <c r="AN952" s="22" t="str">
        <f t="shared" si="608"/>
        <v/>
      </c>
      <c r="AO952" s="22" t="str">
        <f t="shared" si="632"/>
        <v/>
      </c>
      <c r="AQ952" s="21" t="str">
        <f t="shared" si="633"/>
        <v>Apprenant 940</v>
      </c>
      <c r="AR952" s="49" t="str">
        <f>IF(AND('Choix pédagogiques'!$C$4&lt;&gt;"?",'Choix pédagogiques'!$C$5&lt;&gt;"?",W952&lt;&gt;""),(W952-'Choix pédagogiques'!$C$4)/('Choix pédagogiques'!$C$5-'Choix pédagogiques'!$C$4),"")</f>
        <v/>
      </c>
      <c r="AS952" s="49" t="str">
        <f>IF(AND('Choix pédagogiques'!$C$4&lt;&gt;"?",'Choix pédagogiques'!$C$5&lt;&gt;"?",X952&lt;&gt;""),(X952-'Choix pédagogiques'!$C$4)/('Choix pédagogiques'!$C$5-'Choix pédagogiques'!$C$4),"")</f>
        <v/>
      </c>
      <c r="AT952" s="49" t="str">
        <f>IF(AND('Choix pédagogiques'!$C$4&lt;&gt;"?",'Choix pédagogiques'!$C$5&lt;&gt;"?",Y952&lt;&gt;""),(Y952-'Choix pédagogiques'!$C$4)/('Choix pédagogiques'!$C$5-'Choix pédagogiques'!$C$4),"")</f>
        <v/>
      </c>
      <c r="AU952" s="22" t="str">
        <f t="shared" si="634"/>
        <v/>
      </c>
      <c r="AV952" s="21" t="str">
        <f t="shared" si="635"/>
        <v>Apprenant 940 ou 940'</v>
      </c>
      <c r="AW952" s="49" t="str">
        <f>IF(AND('Choix pédagogiques'!$C$4&lt;&gt;"?",'Choix pédagogiques'!$C$5&lt;&gt;"?",AB952&lt;&gt;""),(AB952-'Choix pédagogiques'!$C$4)/('Choix pédagogiques'!$C$5-'Choix pédagogiques'!$C$4),"")</f>
        <v/>
      </c>
      <c r="AX952" s="49" t="str">
        <f>IF(AND('Choix pédagogiques'!$C$4&lt;&gt;"?",'Choix pédagogiques'!$C$5&lt;&gt;"?",AC952&lt;&gt;""),(AC952-'Choix pédagogiques'!$C$4)/('Choix pédagogiques'!$C$5-'Choix pédagogiques'!$C$4),"")</f>
        <v/>
      </c>
      <c r="AY952" s="49" t="str">
        <f>IF(AND('Choix pédagogiques'!$C$4&lt;&gt;"?",'Choix pédagogiques'!$C$5&lt;&gt;"?",AD952&lt;&gt;""),(AD952-'Choix pédagogiques'!$C$4)/('Choix pédagogiques'!$C$5-'Choix pédagogiques'!$C$4),"")</f>
        <v/>
      </c>
      <c r="AZ952" s="22" t="str">
        <f t="shared" si="636"/>
        <v/>
      </c>
      <c r="BA952" s="21" t="str">
        <f t="shared" si="637"/>
        <v>Apprenant 940</v>
      </c>
      <c r="BB952" s="49" t="str">
        <f t="shared" si="609"/>
        <v/>
      </c>
      <c r="BC952" s="49" t="str">
        <f t="shared" si="610"/>
        <v/>
      </c>
      <c r="BD952" s="49" t="str">
        <f t="shared" si="611"/>
        <v/>
      </c>
      <c r="BE952" s="22" t="str">
        <f t="shared" si="638"/>
        <v/>
      </c>
      <c r="BF952" s="21" t="str">
        <f t="shared" si="639"/>
        <v>Apprenant 940 ou 940'</v>
      </c>
      <c r="BG952" s="49" t="str">
        <f t="shared" si="612"/>
        <v/>
      </c>
      <c r="BH952" s="49" t="str">
        <f t="shared" si="613"/>
        <v/>
      </c>
      <c r="BI952" s="49" t="str">
        <f t="shared" si="614"/>
        <v/>
      </c>
      <c r="BJ952" s="22" t="str">
        <f t="shared" si="640"/>
        <v/>
      </c>
      <c r="BL952" s="21"/>
      <c r="BM952" s="21" t="str">
        <f>IF(OR(COUNT(B952:D1951)=0,AND('Choix pédagogiques'!$C$3&lt;&gt;1,'Choix pédagogiques'!$C$3&lt;&gt;2)),"",IF(AND(OR('Choix pédagogiques'!$C$3=1,'Choix pédagogiques'!$C$3=2),$B952&lt;&gt;"",$C952&lt;&gt;"",$D952&lt;&gt;""),1,0))</f>
        <v/>
      </c>
      <c r="BN952" s="21" t="str">
        <f>IF(OR(COUNT(G952:I1951)=0,AND('Choix pédagogiques'!$C$3&lt;&gt;1,'Choix pédagogiques'!$C$3&lt;&gt;2)),"",IF(AND(OR('Choix pédagogiques'!$C$3=1,'Choix pédagogiques'!$C$3=2),AND($G952&lt;&gt;"",$H952&lt;&gt;"",$I952&lt;&gt;"")),1,0))</f>
        <v/>
      </c>
      <c r="BO952" s="21" t="str">
        <f>IF(OR(COUNT(B952:D1951)=0,COUNT(G952:I1951)=0,'Choix pédagogiques'!C$3&lt;&gt;3),"",IF(AND('Choix pédagogiques'!$C$3=3,$B952&lt;&gt;"",$C952&lt;&gt;"",$D952&lt;&gt;"",$G952&lt;&gt;"",$H952&lt;&gt;"",$I952&lt;&gt;""),1,0))</f>
        <v/>
      </c>
      <c r="BR952" s="21">
        <v>852</v>
      </c>
      <c r="BS952" s="21">
        <v>1031</v>
      </c>
      <c r="BT952"/>
    </row>
    <row r="953" spans="1:72" s="23" customFormat="1" ht="18" customHeight="1" x14ac:dyDescent="0.3">
      <c r="A953" s="35" t="s">
        <v>943</v>
      </c>
      <c r="B953" s="37"/>
      <c r="C953" s="37"/>
      <c r="D953" s="37"/>
      <c r="E953" s="37"/>
      <c r="F953" s="35" t="s">
        <v>1951</v>
      </c>
      <c r="G953" s="37"/>
      <c r="H953" s="37"/>
      <c r="I953" s="37"/>
      <c r="J953" s="37"/>
      <c r="K953" s="21" t="str">
        <f t="shared" si="615"/>
        <v>Apprenant 941</v>
      </c>
      <c r="L953" s="22" t="str">
        <f t="shared" si="616"/>
        <v/>
      </c>
      <c r="M953" s="22" t="str">
        <f t="shared" si="617"/>
        <v/>
      </c>
      <c r="N953" s="22" t="str">
        <f t="shared" si="618"/>
        <v/>
      </c>
      <c r="O953" s="22" t="str">
        <f t="shared" si="619"/>
        <v/>
      </c>
      <c r="P953" s="21" t="str">
        <f t="shared" si="620"/>
        <v>Apprenant 941 ou 941'</v>
      </c>
      <c r="Q953" s="22" t="str">
        <f t="shared" si="621"/>
        <v/>
      </c>
      <c r="R953" s="22" t="str">
        <f t="shared" si="622"/>
        <v/>
      </c>
      <c r="S953" s="22" t="str">
        <f t="shared" si="623"/>
        <v/>
      </c>
      <c r="T953" s="22" t="str">
        <f t="shared" si="624"/>
        <v/>
      </c>
      <c r="V953" s="21" t="str">
        <f t="shared" si="625"/>
        <v>Apprenant 941</v>
      </c>
      <c r="W953" s="22" t="str">
        <f>IF(AND(OR('Choix pédagogiques'!$C$3=1,'Choix pédagogiques'!$C$3=2),$BM953=1),B953,IF(AND('Choix pédagogiques'!$C$3=3,$BO953=1),B953,""))</f>
        <v/>
      </c>
      <c r="X953" s="22" t="str">
        <f>IF(AND(OR('Choix pédagogiques'!$C$3=1,'Choix pédagogiques'!$C$3=2),$BM953=1),C953,IF(AND('Choix pédagogiques'!$C$3=3,$BO953=1),C953,""))</f>
        <v/>
      </c>
      <c r="Y953" s="22" t="str">
        <f>IF(AND(OR('Choix pédagogiques'!$C$3=1,'Choix pédagogiques'!$C$3=2),$BM953=1),D953,IF(AND('Choix pédagogiques'!$C$3=3,$BO953=1),D953,""))</f>
        <v/>
      </c>
      <c r="Z953" s="22" t="str">
        <f t="shared" si="626"/>
        <v/>
      </c>
      <c r="AA953" s="21" t="str">
        <f t="shared" si="627"/>
        <v>Apprenant 941 ou 941'</v>
      </c>
      <c r="AB953" s="22" t="str">
        <f>IF(AND(OR('Choix pédagogiques'!$C$3=1,'Choix pédagogiques'!$C$3=2),$BN953=1),G953,IF(AND('Choix pédagogiques'!$C$3=3,$BO953=1),G953,""))</f>
        <v/>
      </c>
      <c r="AC953" s="22" t="str">
        <f>IF(AND(OR('Choix pédagogiques'!$C$3=1,'Choix pédagogiques'!$C$3=2),$BN953=1),H953,IF(AND('Choix pédagogiques'!$C$3=3,$BO953=1),H953,""))</f>
        <v/>
      </c>
      <c r="AD953" s="22" t="str">
        <f>IF(AND(OR('Choix pédagogiques'!$C$3=1,'Choix pédagogiques'!$C$3=2),$BN953=1),I953,IF(AND('Choix pédagogiques'!$C$3=3,$BO953=1),I953,""))</f>
        <v/>
      </c>
      <c r="AE953" s="22" t="str">
        <f t="shared" si="628"/>
        <v/>
      </c>
      <c r="AF953" s="21" t="str">
        <f t="shared" si="629"/>
        <v>Apprenant 941</v>
      </c>
      <c r="AG953" s="22" t="str">
        <f t="shared" si="603"/>
        <v/>
      </c>
      <c r="AH953" s="22" t="str">
        <f t="shared" si="604"/>
        <v/>
      </c>
      <c r="AI953" s="22" t="str">
        <f t="shared" si="605"/>
        <v/>
      </c>
      <c r="AJ953" s="22" t="str">
        <f t="shared" si="630"/>
        <v/>
      </c>
      <c r="AK953" s="21" t="str">
        <f t="shared" si="631"/>
        <v>Apprenant 941 ou 941'</v>
      </c>
      <c r="AL953" s="22" t="str">
        <f t="shared" si="606"/>
        <v/>
      </c>
      <c r="AM953" s="22" t="str">
        <f t="shared" si="607"/>
        <v/>
      </c>
      <c r="AN953" s="22" t="str">
        <f t="shared" si="608"/>
        <v/>
      </c>
      <c r="AO953" s="22" t="str">
        <f t="shared" si="632"/>
        <v/>
      </c>
      <c r="AQ953" s="21" t="str">
        <f t="shared" si="633"/>
        <v>Apprenant 941</v>
      </c>
      <c r="AR953" s="49" t="str">
        <f>IF(AND('Choix pédagogiques'!$C$4&lt;&gt;"?",'Choix pédagogiques'!$C$5&lt;&gt;"?",W953&lt;&gt;""),(W953-'Choix pédagogiques'!$C$4)/('Choix pédagogiques'!$C$5-'Choix pédagogiques'!$C$4),"")</f>
        <v/>
      </c>
      <c r="AS953" s="49" t="str">
        <f>IF(AND('Choix pédagogiques'!$C$4&lt;&gt;"?",'Choix pédagogiques'!$C$5&lt;&gt;"?",X953&lt;&gt;""),(X953-'Choix pédagogiques'!$C$4)/('Choix pédagogiques'!$C$5-'Choix pédagogiques'!$C$4),"")</f>
        <v/>
      </c>
      <c r="AT953" s="49" t="str">
        <f>IF(AND('Choix pédagogiques'!$C$4&lt;&gt;"?",'Choix pédagogiques'!$C$5&lt;&gt;"?",Y953&lt;&gt;""),(Y953-'Choix pédagogiques'!$C$4)/('Choix pédagogiques'!$C$5-'Choix pédagogiques'!$C$4),"")</f>
        <v/>
      </c>
      <c r="AU953" s="22" t="str">
        <f t="shared" si="634"/>
        <v/>
      </c>
      <c r="AV953" s="21" t="str">
        <f t="shared" si="635"/>
        <v>Apprenant 941 ou 941'</v>
      </c>
      <c r="AW953" s="49" t="str">
        <f>IF(AND('Choix pédagogiques'!$C$4&lt;&gt;"?",'Choix pédagogiques'!$C$5&lt;&gt;"?",AB953&lt;&gt;""),(AB953-'Choix pédagogiques'!$C$4)/('Choix pédagogiques'!$C$5-'Choix pédagogiques'!$C$4),"")</f>
        <v/>
      </c>
      <c r="AX953" s="49" t="str">
        <f>IF(AND('Choix pédagogiques'!$C$4&lt;&gt;"?",'Choix pédagogiques'!$C$5&lt;&gt;"?",AC953&lt;&gt;""),(AC953-'Choix pédagogiques'!$C$4)/('Choix pédagogiques'!$C$5-'Choix pédagogiques'!$C$4),"")</f>
        <v/>
      </c>
      <c r="AY953" s="49" t="str">
        <f>IF(AND('Choix pédagogiques'!$C$4&lt;&gt;"?",'Choix pédagogiques'!$C$5&lt;&gt;"?",AD953&lt;&gt;""),(AD953-'Choix pédagogiques'!$C$4)/('Choix pédagogiques'!$C$5-'Choix pédagogiques'!$C$4),"")</f>
        <v/>
      </c>
      <c r="AZ953" s="22" t="str">
        <f t="shared" si="636"/>
        <v/>
      </c>
      <c r="BA953" s="21" t="str">
        <f t="shared" si="637"/>
        <v>Apprenant 941</v>
      </c>
      <c r="BB953" s="49" t="str">
        <f t="shared" si="609"/>
        <v/>
      </c>
      <c r="BC953" s="49" t="str">
        <f t="shared" si="610"/>
        <v/>
      </c>
      <c r="BD953" s="49" t="str">
        <f t="shared" si="611"/>
        <v/>
      </c>
      <c r="BE953" s="22" t="str">
        <f t="shared" si="638"/>
        <v/>
      </c>
      <c r="BF953" s="21" t="str">
        <f t="shared" si="639"/>
        <v>Apprenant 941 ou 941'</v>
      </c>
      <c r="BG953" s="49" t="str">
        <f t="shared" si="612"/>
        <v/>
      </c>
      <c r="BH953" s="49" t="str">
        <f t="shared" si="613"/>
        <v/>
      </c>
      <c r="BI953" s="49" t="str">
        <f t="shared" si="614"/>
        <v/>
      </c>
      <c r="BJ953" s="22" t="str">
        <f t="shared" si="640"/>
        <v/>
      </c>
      <c r="BL953" s="21"/>
      <c r="BM953" s="21" t="str">
        <f>IF(OR(COUNT(B953:D1952)=0,AND('Choix pédagogiques'!$C$3&lt;&gt;1,'Choix pédagogiques'!$C$3&lt;&gt;2)),"",IF(AND(OR('Choix pédagogiques'!$C$3=1,'Choix pédagogiques'!$C$3=2),$B953&lt;&gt;"",$C953&lt;&gt;"",$D953&lt;&gt;""),1,0))</f>
        <v/>
      </c>
      <c r="BN953" s="21" t="str">
        <f>IF(OR(COUNT(G953:I1952)=0,AND('Choix pédagogiques'!$C$3&lt;&gt;1,'Choix pédagogiques'!$C$3&lt;&gt;2)),"",IF(AND(OR('Choix pédagogiques'!$C$3=1,'Choix pédagogiques'!$C$3=2),AND($G953&lt;&gt;"",$H953&lt;&gt;"",$I953&lt;&gt;"")),1,0))</f>
        <v/>
      </c>
      <c r="BO953" s="21" t="str">
        <f>IF(OR(COUNT(B953:D1952)=0,COUNT(G953:I1952)=0,'Choix pédagogiques'!C$3&lt;&gt;3),"",IF(AND('Choix pédagogiques'!$C$3=3,$B953&lt;&gt;"",$C953&lt;&gt;"",$D953&lt;&gt;"",$G953&lt;&gt;"",$H953&lt;&gt;"",$I953&lt;&gt;""),1,0))</f>
        <v/>
      </c>
      <c r="BR953" s="21">
        <v>260</v>
      </c>
      <c r="BS953" s="21">
        <v>1021</v>
      </c>
      <c r="BT953"/>
    </row>
    <row r="954" spans="1:72" s="23" customFormat="1" ht="18" customHeight="1" x14ac:dyDescent="0.3">
      <c r="A954" s="35" t="s">
        <v>944</v>
      </c>
      <c r="B954" s="37"/>
      <c r="C954" s="37"/>
      <c r="D954" s="37"/>
      <c r="E954" s="37"/>
      <c r="F954" s="35" t="s">
        <v>1952</v>
      </c>
      <c r="G954" s="37"/>
      <c r="H954" s="37"/>
      <c r="I954" s="37"/>
      <c r="J954" s="37"/>
      <c r="K954" s="21" t="str">
        <f t="shared" si="615"/>
        <v>Apprenant 942</v>
      </c>
      <c r="L954" s="22" t="str">
        <f t="shared" si="616"/>
        <v/>
      </c>
      <c r="M954" s="22" t="str">
        <f t="shared" si="617"/>
        <v/>
      </c>
      <c r="N954" s="22" t="str">
        <f t="shared" si="618"/>
        <v/>
      </c>
      <c r="O954" s="22" t="str">
        <f t="shared" si="619"/>
        <v/>
      </c>
      <c r="P954" s="21" t="str">
        <f t="shared" si="620"/>
        <v>Apprenant 942 ou 942'</v>
      </c>
      <c r="Q954" s="22" t="str">
        <f t="shared" si="621"/>
        <v/>
      </c>
      <c r="R954" s="22" t="str">
        <f t="shared" si="622"/>
        <v/>
      </c>
      <c r="S954" s="22" t="str">
        <f t="shared" si="623"/>
        <v/>
      </c>
      <c r="T954" s="22" t="str">
        <f t="shared" si="624"/>
        <v/>
      </c>
      <c r="V954" s="21" t="str">
        <f t="shared" si="625"/>
        <v>Apprenant 942</v>
      </c>
      <c r="W954" s="22" t="str">
        <f>IF(AND(OR('Choix pédagogiques'!$C$3=1,'Choix pédagogiques'!$C$3=2),$BM954=1),B954,IF(AND('Choix pédagogiques'!$C$3=3,$BO954=1),B954,""))</f>
        <v/>
      </c>
      <c r="X954" s="22" t="str">
        <f>IF(AND(OR('Choix pédagogiques'!$C$3=1,'Choix pédagogiques'!$C$3=2),$BM954=1),C954,IF(AND('Choix pédagogiques'!$C$3=3,$BO954=1),C954,""))</f>
        <v/>
      </c>
      <c r="Y954" s="22" t="str">
        <f>IF(AND(OR('Choix pédagogiques'!$C$3=1,'Choix pédagogiques'!$C$3=2),$BM954=1),D954,IF(AND('Choix pédagogiques'!$C$3=3,$BO954=1),D954,""))</f>
        <v/>
      </c>
      <c r="Z954" s="22" t="str">
        <f t="shared" si="626"/>
        <v/>
      </c>
      <c r="AA954" s="21" t="str">
        <f t="shared" si="627"/>
        <v>Apprenant 942 ou 942'</v>
      </c>
      <c r="AB954" s="22" t="str">
        <f>IF(AND(OR('Choix pédagogiques'!$C$3=1,'Choix pédagogiques'!$C$3=2),$BN954=1),G954,IF(AND('Choix pédagogiques'!$C$3=3,$BO954=1),G954,""))</f>
        <v/>
      </c>
      <c r="AC954" s="22" t="str">
        <f>IF(AND(OR('Choix pédagogiques'!$C$3=1,'Choix pédagogiques'!$C$3=2),$BN954=1),H954,IF(AND('Choix pédagogiques'!$C$3=3,$BO954=1),H954,""))</f>
        <v/>
      </c>
      <c r="AD954" s="22" t="str">
        <f>IF(AND(OR('Choix pédagogiques'!$C$3=1,'Choix pédagogiques'!$C$3=2),$BN954=1),I954,IF(AND('Choix pédagogiques'!$C$3=3,$BO954=1),I954,""))</f>
        <v/>
      </c>
      <c r="AE954" s="22" t="str">
        <f t="shared" si="628"/>
        <v/>
      </c>
      <c r="AF954" s="21" t="str">
        <f t="shared" si="629"/>
        <v>Apprenant 942</v>
      </c>
      <c r="AG954" s="22" t="str">
        <f t="shared" si="603"/>
        <v/>
      </c>
      <c r="AH954" s="22" t="str">
        <f t="shared" si="604"/>
        <v/>
      </c>
      <c r="AI954" s="22" t="str">
        <f t="shared" si="605"/>
        <v/>
      </c>
      <c r="AJ954" s="22" t="str">
        <f t="shared" si="630"/>
        <v/>
      </c>
      <c r="AK954" s="21" t="str">
        <f t="shared" si="631"/>
        <v>Apprenant 942 ou 942'</v>
      </c>
      <c r="AL954" s="22" t="str">
        <f t="shared" si="606"/>
        <v/>
      </c>
      <c r="AM954" s="22" t="str">
        <f t="shared" si="607"/>
        <v/>
      </c>
      <c r="AN954" s="22" t="str">
        <f t="shared" si="608"/>
        <v/>
      </c>
      <c r="AO954" s="22" t="str">
        <f t="shared" si="632"/>
        <v/>
      </c>
      <c r="AQ954" s="21" t="str">
        <f t="shared" si="633"/>
        <v>Apprenant 942</v>
      </c>
      <c r="AR954" s="49" t="str">
        <f>IF(AND('Choix pédagogiques'!$C$4&lt;&gt;"?",'Choix pédagogiques'!$C$5&lt;&gt;"?",W954&lt;&gt;""),(W954-'Choix pédagogiques'!$C$4)/('Choix pédagogiques'!$C$5-'Choix pédagogiques'!$C$4),"")</f>
        <v/>
      </c>
      <c r="AS954" s="49" t="str">
        <f>IF(AND('Choix pédagogiques'!$C$4&lt;&gt;"?",'Choix pédagogiques'!$C$5&lt;&gt;"?",X954&lt;&gt;""),(X954-'Choix pédagogiques'!$C$4)/('Choix pédagogiques'!$C$5-'Choix pédagogiques'!$C$4),"")</f>
        <v/>
      </c>
      <c r="AT954" s="49" t="str">
        <f>IF(AND('Choix pédagogiques'!$C$4&lt;&gt;"?",'Choix pédagogiques'!$C$5&lt;&gt;"?",Y954&lt;&gt;""),(Y954-'Choix pédagogiques'!$C$4)/('Choix pédagogiques'!$C$5-'Choix pédagogiques'!$C$4),"")</f>
        <v/>
      </c>
      <c r="AU954" s="22" t="str">
        <f t="shared" si="634"/>
        <v/>
      </c>
      <c r="AV954" s="21" t="str">
        <f t="shared" si="635"/>
        <v>Apprenant 942 ou 942'</v>
      </c>
      <c r="AW954" s="49" t="str">
        <f>IF(AND('Choix pédagogiques'!$C$4&lt;&gt;"?",'Choix pédagogiques'!$C$5&lt;&gt;"?",AB954&lt;&gt;""),(AB954-'Choix pédagogiques'!$C$4)/('Choix pédagogiques'!$C$5-'Choix pédagogiques'!$C$4),"")</f>
        <v/>
      </c>
      <c r="AX954" s="49" t="str">
        <f>IF(AND('Choix pédagogiques'!$C$4&lt;&gt;"?",'Choix pédagogiques'!$C$5&lt;&gt;"?",AC954&lt;&gt;""),(AC954-'Choix pédagogiques'!$C$4)/('Choix pédagogiques'!$C$5-'Choix pédagogiques'!$C$4),"")</f>
        <v/>
      </c>
      <c r="AY954" s="49" t="str">
        <f>IF(AND('Choix pédagogiques'!$C$4&lt;&gt;"?",'Choix pédagogiques'!$C$5&lt;&gt;"?",AD954&lt;&gt;""),(AD954-'Choix pédagogiques'!$C$4)/('Choix pédagogiques'!$C$5-'Choix pédagogiques'!$C$4),"")</f>
        <v/>
      </c>
      <c r="AZ954" s="22" t="str">
        <f t="shared" si="636"/>
        <v/>
      </c>
      <c r="BA954" s="21" t="str">
        <f t="shared" si="637"/>
        <v>Apprenant 942</v>
      </c>
      <c r="BB954" s="49" t="str">
        <f t="shared" si="609"/>
        <v/>
      </c>
      <c r="BC954" s="49" t="str">
        <f t="shared" si="610"/>
        <v/>
      </c>
      <c r="BD954" s="49" t="str">
        <f t="shared" si="611"/>
        <v/>
      </c>
      <c r="BE954" s="22" t="str">
        <f t="shared" si="638"/>
        <v/>
      </c>
      <c r="BF954" s="21" t="str">
        <f t="shared" si="639"/>
        <v>Apprenant 942 ou 942'</v>
      </c>
      <c r="BG954" s="49" t="str">
        <f t="shared" si="612"/>
        <v/>
      </c>
      <c r="BH954" s="49" t="str">
        <f t="shared" si="613"/>
        <v/>
      </c>
      <c r="BI954" s="49" t="str">
        <f t="shared" si="614"/>
        <v/>
      </c>
      <c r="BJ954" s="22" t="str">
        <f t="shared" si="640"/>
        <v/>
      </c>
      <c r="BL954" s="21"/>
      <c r="BM954" s="21" t="str">
        <f>IF(OR(COUNT(B954:D1953)=0,AND('Choix pédagogiques'!$C$3&lt;&gt;1,'Choix pédagogiques'!$C$3&lt;&gt;2)),"",IF(AND(OR('Choix pédagogiques'!$C$3=1,'Choix pédagogiques'!$C$3=2),$B954&lt;&gt;"",$C954&lt;&gt;"",$D954&lt;&gt;""),1,0))</f>
        <v/>
      </c>
      <c r="BN954" s="21" t="str">
        <f>IF(OR(COUNT(G954:I1953)=0,AND('Choix pédagogiques'!$C$3&lt;&gt;1,'Choix pédagogiques'!$C$3&lt;&gt;2)),"",IF(AND(OR('Choix pédagogiques'!$C$3=1,'Choix pédagogiques'!$C$3=2),AND($G954&lt;&gt;"",$H954&lt;&gt;"",$I954&lt;&gt;"")),1,0))</f>
        <v/>
      </c>
      <c r="BO954" s="21" t="str">
        <f>IF(OR(COUNT(B954:D1953)=0,COUNT(G954:I1953)=0,'Choix pédagogiques'!C$3&lt;&gt;3),"",IF(AND('Choix pédagogiques'!$C$3=3,$B954&lt;&gt;"",$C954&lt;&gt;"",$D954&lt;&gt;"",$G954&lt;&gt;"",$H954&lt;&gt;"",$I954&lt;&gt;""),1,0))</f>
        <v/>
      </c>
      <c r="BR954" s="21">
        <v>667</v>
      </c>
      <c r="BS954" s="21">
        <v>1226</v>
      </c>
      <c r="BT954"/>
    </row>
    <row r="955" spans="1:72" s="23" customFormat="1" ht="18" customHeight="1" x14ac:dyDescent="0.3">
      <c r="A955" s="35" t="s">
        <v>945</v>
      </c>
      <c r="B955" s="37"/>
      <c r="C955" s="37"/>
      <c r="D955" s="37"/>
      <c r="E955" s="37"/>
      <c r="F955" s="35" t="s">
        <v>1953</v>
      </c>
      <c r="G955" s="37"/>
      <c r="H955" s="37"/>
      <c r="I955" s="37"/>
      <c r="J955" s="37"/>
      <c r="K955" s="21" t="str">
        <f t="shared" si="615"/>
        <v>Apprenant 943</v>
      </c>
      <c r="L955" s="22" t="str">
        <f t="shared" si="616"/>
        <v/>
      </c>
      <c r="M955" s="22" t="str">
        <f t="shared" si="617"/>
        <v/>
      </c>
      <c r="N955" s="22" t="str">
        <f t="shared" si="618"/>
        <v/>
      </c>
      <c r="O955" s="22" t="str">
        <f t="shared" si="619"/>
        <v/>
      </c>
      <c r="P955" s="21" t="str">
        <f t="shared" si="620"/>
        <v>Apprenant 943 ou 943'</v>
      </c>
      <c r="Q955" s="22" t="str">
        <f t="shared" si="621"/>
        <v/>
      </c>
      <c r="R955" s="22" t="str">
        <f t="shared" si="622"/>
        <v/>
      </c>
      <c r="S955" s="22" t="str">
        <f t="shared" si="623"/>
        <v/>
      </c>
      <c r="T955" s="22" t="str">
        <f t="shared" si="624"/>
        <v/>
      </c>
      <c r="V955" s="21" t="str">
        <f t="shared" si="625"/>
        <v>Apprenant 943</v>
      </c>
      <c r="W955" s="22" t="str">
        <f>IF(AND(OR('Choix pédagogiques'!$C$3=1,'Choix pédagogiques'!$C$3=2),$BM955=1),B955,IF(AND('Choix pédagogiques'!$C$3=3,$BO955=1),B955,""))</f>
        <v/>
      </c>
      <c r="X955" s="22" t="str">
        <f>IF(AND(OR('Choix pédagogiques'!$C$3=1,'Choix pédagogiques'!$C$3=2),$BM955=1),C955,IF(AND('Choix pédagogiques'!$C$3=3,$BO955=1),C955,""))</f>
        <v/>
      </c>
      <c r="Y955" s="22" t="str">
        <f>IF(AND(OR('Choix pédagogiques'!$C$3=1,'Choix pédagogiques'!$C$3=2),$BM955=1),D955,IF(AND('Choix pédagogiques'!$C$3=3,$BO955=1),D955,""))</f>
        <v/>
      </c>
      <c r="Z955" s="22" t="str">
        <f t="shared" si="626"/>
        <v/>
      </c>
      <c r="AA955" s="21" t="str">
        <f t="shared" si="627"/>
        <v>Apprenant 943 ou 943'</v>
      </c>
      <c r="AB955" s="22" t="str">
        <f>IF(AND(OR('Choix pédagogiques'!$C$3=1,'Choix pédagogiques'!$C$3=2),$BN955=1),G955,IF(AND('Choix pédagogiques'!$C$3=3,$BO955=1),G955,""))</f>
        <v/>
      </c>
      <c r="AC955" s="22" t="str">
        <f>IF(AND(OR('Choix pédagogiques'!$C$3=1,'Choix pédagogiques'!$C$3=2),$BN955=1),H955,IF(AND('Choix pédagogiques'!$C$3=3,$BO955=1),H955,""))</f>
        <v/>
      </c>
      <c r="AD955" s="22" t="str">
        <f>IF(AND(OR('Choix pédagogiques'!$C$3=1,'Choix pédagogiques'!$C$3=2),$BN955=1),I955,IF(AND('Choix pédagogiques'!$C$3=3,$BO955=1),I955,""))</f>
        <v/>
      </c>
      <c r="AE955" s="22" t="str">
        <f t="shared" si="628"/>
        <v/>
      </c>
      <c r="AF955" s="21" t="str">
        <f t="shared" si="629"/>
        <v>Apprenant 943</v>
      </c>
      <c r="AG955" s="22" t="str">
        <f t="shared" si="603"/>
        <v/>
      </c>
      <c r="AH955" s="22" t="str">
        <f t="shared" si="604"/>
        <v/>
      </c>
      <c r="AI955" s="22" t="str">
        <f t="shared" si="605"/>
        <v/>
      </c>
      <c r="AJ955" s="22" t="str">
        <f t="shared" si="630"/>
        <v/>
      </c>
      <c r="AK955" s="21" t="str">
        <f t="shared" si="631"/>
        <v>Apprenant 943 ou 943'</v>
      </c>
      <c r="AL955" s="22" t="str">
        <f t="shared" si="606"/>
        <v/>
      </c>
      <c r="AM955" s="22" t="str">
        <f t="shared" si="607"/>
        <v/>
      </c>
      <c r="AN955" s="22" t="str">
        <f t="shared" si="608"/>
        <v/>
      </c>
      <c r="AO955" s="22" t="str">
        <f t="shared" si="632"/>
        <v/>
      </c>
      <c r="AQ955" s="21" t="str">
        <f t="shared" si="633"/>
        <v>Apprenant 943</v>
      </c>
      <c r="AR955" s="49" t="str">
        <f>IF(AND('Choix pédagogiques'!$C$4&lt;&gt;"?",'Choix pédagogiques'!$C$5&lt;&gt;"?",W955&lt;&gt;""),(W955-'Choix pédagogiques'!$C$4)/('Choix pédagogiques'!$C$5-'Choix pédagogiques'!$C$4),"")</f>
        <v/>
      </c>
      <c r="AS955" s="49" t="str">
        <f>IF(AND('Choix pédagogiques'!$C$4&lt;&gt;"?",'Choix pédagogiques'!$C$5&lt;&gt;"?",X955&lt;&gt;""),(X955-'Choix pédagogiques'!$C$4)/('Choix pédagogiques'!$C$5-'Choix pédagogiques'!$C$4),"")</f>
        <v/>
      </c>
      <c r="AT955" s="49" t="str">
        <f>IF(AND('Choix pédagogiques'!$C$4&lt;&gt;"?",'Choix pédagogiques'!$C$5&lt;&gt;"?",Y955&lt;&gt;""),(Y955-'Choix pédagogiques'!$C$4)/('Choix pédagogiques'!$C$5-'Choix pédagogiques'!$C$4),"")</f>
        <v/>
      </c>
      <c r="AU955" s="22" t="str">
        <f t="shared" si="634"/>
        <v/>
      </c>
      <c r="AV955" s="21" t="str">
        <f t="shared" si="635"/>
        <v>Apprenant 943 ou 943'</v>
      </c>
      <c r="AW955" s="49" t="str">
        <f>IF(AND('Choix pédagogiques'!$C$4&lt;&gt;"?",'Choix pédagogiques'!$C$5&lt;&gt;"?",AB955&lt;&gt;""),(AB955-'Choix pédagogiques'!$C$4)/('Choix pédagogiques'!$C$5-'Choix pédagogiques'!$C$4),"")</f>
        <v/>
      </c>
      <c r="AX955" s="49" t="str">
        <f>IF(AND('Choix pédagogiques'!$C$4&lt;&gt;"?",'Choix pédagogiques'!$C$5&lt;&gt;"?",AC955&lt;&gt;""),(AC955-'Choix pédagogiques'!$C$4)/('Choix pédagogiques'!$C$5-'Choix pédagogiques'!$C$4),"")</f>
        <v/>
      </c>
      <c r="AY955" s="49" t="str">
        <f>IF(AND('Choix pédagogiques'!$C$4&lt;&gt;"?",'Choix pédagogiques'!$C$5&lt;&gt;"?",AD955&lt;&gt;""),(AD955-'Choix pédagogiques'!$C$4)/('Choix pédagogiques'!$C$5-'Choix pédagogiques'!$C$4),"")</f>
        <v/>
      </c>
      <c r="AZ955" s="22" t="str">
        <f t="shared" si="636"/>
        <v/>
      </c>
      <c r="BA955" s="21" t="str">
        <f t="shared" si="637"/>
        <v>Apprenant 943</v>
      </c>
      <c r="BB955" s="49" t="str">
        <f t="shared" si="609"/>
        <v/>
      </c>
      <c r="BC955" s="49" t="str">
        <f t="shared" si="610"/>
        <v/>
      </c>
      <c r="BD955" s="49" t="str">
        <f t="shared" si="611"/>
        <v/>
      </c>
      <c r="BE955" s="22" t="str">
        <f t="shared" si="638"/>
        <v/>
      </c>
      <c r="BF955" s="21" t="str">
        <f t="shared" si="639"/>
        <v>Apprenant 943 ou 943'</v>
      </c>
      <c r="BG955" s="49" t="str">
        <f t="shared" si="612"/>
        <v/>
      </c>
      <c r="BH955" s="49" t="str">
        <f t="shared" si="613"/>
        <v/>
      </c>
      <c r="BI955" s="49" t="str">
        <f t="shared" si="614"/>
        <v/>
      </c>
      <c r="BJ955" s="22" t="str">
        <f t="shared" si="640"/>
        <v/>
      </c>
      <c r="BL955" s="21"/>
      <c r="BM955" s="21" t="str">
        <f>IF(OR(COUNT(B955:D1954)=0,AND('Choix pédagogiques'!$C$3&lt;&gt;1,'Choix pédagogiques'!$C$3&lt;&gt;2)),"",IF(AND(OR('Choix pédagogiques'!$C$3=1,'Choix pédagogiques'!$C$3=2),$B955&lt;&gt;"",$C955&lt;&gt;"",$D955&lt;&gt;""),1,0))</f>
        <v/>
      </c>
      <c r="BN955" s="21" t="str">
        <f>IF(OR(COUNT(G955:I1954)=0,AND('Choix pédagogiques'!$C$3&lt;&gt;1,'Choix pédagogiques'!$C$3&lt;&gt;2)),"",IF(AND(OR('Choix pédagogiques'!$C$3=1,'Choix pédagogiques'!$C$3=2),AND($G955&lt;&gt;"",$H955&lt;&gt;"",$I955&lt;&gt;"")),1,0))</f>
        <v/>
      </c>
      <c r="BO955" s="21" t="str">
        <f>IF(OR(COUNT(B955:D1954)=0,COUNT(G955:I1954)=0,'Choix pédagogiques'!C$3&lt;&gt;3),"",IF(AND('Choix pédagogiques'!$C$3=3,$B955&lt;&gt;"",$C955&lt;&gt;"",$D955&lt;&gt;"",$G955&lt;&gt;"",$H955&lt;&gt;"",$I955&lt;&gt;""),1,0))</f>
        <v/>
      </c>
      <c r="BR955" s="21">
        <v>409</v>
      </c>
      <c r="BS955" s="21">
        <v>1674</v>
      </c>
      <c r="BT955"/>
    </row>
    <row r="956" spans="1:72" s="23" customFormat="1" ht="18" customHeight="1" x14ac:dyDescent="0.3">
      <c r="A956" s="35" t="s">
        <v>946</v>
      </c>
      <c r="B956" s="37"/>
      <c r="C956" s="37"/>
      <c r="D956" s="37"/>
      <c r="E956" s="37"/>
      <c r="F956" s="35" t="s">
        <v>1954</v>
      </c>
      <c r="G956" s="37"/>
      <c r="H956" s="37"/>
      <c r="I956" s="37"/>
      <c r="J956" s="37"/>
      <c r="K956" s="21" t="str">
        <f t="shared" si="615"/>
        <v>Apprenant 944</v>
      </c>
      <c r="L956" s="22" t="str">
        <f t="shared" si="616"/>
        <v/>
      </c>
      <c r="M956" s="22" t="str">
        <f t="shared" si="617"/>
        <v/>
      </c>
      <c r="N956" s="22" t="str">
        <f t="shared" si="618"/>
        <v/>
      </c>
      <c r="O956" s="22" t="str">
        <f t="shared" si="619"/>
        <v/>
      </c>
      <c r="P956" s="21" t="str">
        <f t="shared" si="620"/>
        <v>Apprenant 944 ou 944'</v>
      </c>
      <c r="Q956" s="22" t="str">
        <f t="shared" si="621"/>
        <v/>
      </c>
      <c r="R956" s="22" t="str">
        <f t="shared" si="622"/>
        <v/>
      </c>
      <c r="S956" s="22" t="str">
        <f t="shared" si="623"/>
        <v/>
      </c>
      <c r="T956" s="22" t="str">
        <f t="shared" si="624"/>
        <v/>
      </c>
      <c r="V956" s="21" t="str">
        <f t="shared" si="625"/>
        <v>Apprenant 944</v>
      </c>
      <c r="W956" s="22" t="str">
        <f>IF(AND(OR('Choix pédagogiques'!$C$3=1,'Choix pédagogiques'!$C$3=2),$BM956=1),B956,IF(AND('Choix pédagogiques'!$C$3=3,$BO956=1),B956,""))</f>
        <v/>
      </c>
      <c r="X956" s="22" t="str">
        <f>IF(AND(OR('Choix pédagogiques'!$C$3=1,'Choix pédagogiques'!$C$3=2),$BM956=1),C956,IF(AND('Choix pédagogiques'!$C$3=3,$BO956=1),C956,""))</f>
        <v/>
      </c>
      <c r="Y956" s="22" t="str">
        <f>IF(AND(OR('Choix pédagogiques'!$C$3=1,'Choix pédagogiques'!$C$3=2),$BM956=1),D956,IF(AND('Choix pédagogiques'!$C$3=3,$BO956=1),D956,""))</f>
        <v/>
      </c>
      <c r="Z956" s="22" t="str">
        <f t="shared" si="626"/>
        <v/>
      </c>
      <c r="AA956" s="21" t="str">
        <f t="shared" si="627"/>
        <v>Apprenant 944 ou 944'</v>
      </c>
      <c r="AB956" s="22" t="str">
        <f>IF(AND(OR('Choix pédagogiques'!$C$3=1,'Choix pédagogiques'!$C$3=2),$BN956=1),G956,IF(AND('Choix pédagogiques'!$C$3=3,$BO956=1),G956,""))</f>
        <v/>
      </c>
      <c r="AC956" s="22" t="str">
        <f>IF(AND(OR('Choix pédagogiques'!$C$3=1,'Choix pédagogiques'!$C$3=2),$BN956=1),H956,IF(AND('Choix pédagogiques'!$C$3=3,$BO956=1),H956,""))</f>
        <v/>
      </c>
      <c r="AD956" s="22" t="str">
        <f>IF(AND(OR('Choix pédagogiques'!$C$3=1,'Choix pédagogiques'!$C$3=2),$BN956=1),I956,IF(AND('Choix pédagogiques'!$C$3=3,$BO956=1),I956,""))</f>
        <v/>
      </c>
      <c r="AE956" s="22" t="str">
        <f t="shared" si="628"/>
        <v/>
      </c>
      <c r="AF956" s="21" t="str">
        <f t="shared" si="629"/>
        <v>Apprenant 944</v>
      </c>
      <c r="AG956" s="22" t="str">
        <f t="shared" si="603"/>
        <v/>
      </c>
      <c r="AH956" s="22" t="str">
        <f t="shared" si="604"/>
        <v/>
      </c>
      <c r="AI956" s="22" t="str">
        <f t="shared" si="605"/>
        <v/>
      </c>
      <c r="AJ956" s="22" t="str">
        <f t="shared" si="630"/>
        <v/>
      </c>
      <c r="AK956" s="21" t="str">
        <f t="shared" si="631"/>
        <v>Apprenant 944 ou 944'</v>
      </c>
      <c r="AL956" s="22" t="str">
        <f t="shared" si="606"/>
        <v/>
      </c>
      <c r="AM956" s="22" t="str">
        <f t="shared" si="607"/>
        <v/>
      </c>
      <c r="AN956" s="22" t="str">
        <f t="shared" si="608"/>
        <v/>
      </c>
      <c r="AO956" s="22" t="str">
        <f t="shared" si="632"/>
        <v/>
      </c>
      <c r="AQ956" s="21" t="str">
        <f t="shared" si="633"/>
        <v>Apprenant 944</v>
      </c>
      <c r="AR956" s="49" t="str">
        <f>IF(AND('Choix pédagogiques'!$C$4&lt;&gt;"?",'Choix pédagogiques'!$C$5&lt;&gt;"?",W956&lt;&gt;""),(W956-'Choix pédagogiques'!$C$4)/('Choix pédagogiques'!$C$5-'Choix pédagogiques'!$C$4),"")</f>
        <v/>
      </c>
      <c r="AS956" s="49" t="str">
        <f>IF(AND('Choix pédagogiques'!$C$4&lt;&gt;"?",'Choix pédagogiques'!$C$5&lt;&gt;"?",X956&lt;&gt;""),(X956-'Choix pédagogiques'!$C$4)/('Choix pédagogiques'!$C$5-'Choix pédagogiques'!$C$4),"")</f>
        <v/>
      </c>
      <c r="AT956" s="49" t="str">
        <f>IF(AND('Choix pédagogiques'!$C$4&lt;&gt;"?",'Choix pédagogiques'!$C$5&lt;&gt;"?",Y956&lt;&gt;""),(Y956-'Choix pédagogiques'!$C$4)/('Choix pédagogiques'!$C$5-'Choix pédagogiques'!$C$4),"")</f>
        <v/>
      </c>
      <c r="AU956" s="22" t="str">
        <f t="shared" si="634"/>
        <v/>
      </c>
      <c r="AV956" s="21" t="str">
        <f t="shared" si="635"/>
        <v>Apprenant 944 ou 944'</v>
      </c>
      <c r="AW956" s="49" t="str">
        <f>IF(AND('Choix pédagogiques'!$C$4&lt;&gt;"?",'Choix pédagogiques'!$C$5&lt;&gt;"?",AB956&lt;&gt;""),(AB956-'Choix pédagogiques'!$C$4)/('Choix pédagogiques'!$C$5-'Choix pédagogiques'!$C$4),"")</f>
        <v/>
      </c>
      <c r="AX956" s="49" t="str">
        <f>IF(AND('Choix pédagogiques'!$C$4&lt;&gt;"?",'Choix pédagogiques'!$C$5&lt;&gt;"?",AC956&lt;&gt;""),(AC956-'Choix pédagogiques'!$C$4)/('Choix pédagogiques'!$C$5-'Choix pédagogiques'!$C$4),"")</f>
        <v/>
      </c>
      <c r="AY956" s="49" t="str">
        <f>IF(AND('Choix pédagogiques'!$C$4&lt;&gt;"?",'Choix pédagogiques'!$C$5&lt;&gt;"?",AD956&lt;&gt;""),(AD956-'Choix pédagogiques'!$C$4)/('Choix pédagogiques'!$C$5-'Choix pédagogiques'!$C$4),"")</f>
        <v/>
      </c>
      <c r="AZ956" s="22" t="str">
        <f t="shared" si="636"/>
        <v/>
      </c>
      <c r="BA956" s="21" t="str">
        <f t="shared" si="637"/>
        <v>Apprenant 944</v>
      </c>
      <c r="BB956" s="49" t="str">
        <f t="shared" si="609"/>
        <v/>
      </c>
      <c r="BC956" s="49" t="str">
        <f t="shared" si="610"/>
        <v/>
      </c>
      <c r="BD956" s="49" t="str">
        <f t="shared" si="611"/>
        <v/>
      </c>
      <c r="BE956" s="22" t="str">
        <f t="shared" si="638"/>
        <v/>
      </c>
      <c r="BF956" s="21" t="str">
        <f t="shared" si="639"/>
        <v>Apprenant 944 ou 944'</v>
      </c>
      <c r="BG956" s="49" t="str">
        <f t="shared" si="612"/>
        <v/>
      </c>
      <c r="BH956" s="49" t="str">
        <f t="shared" si="613"/>
        <v/>
      </c>
      <c r="BI956" s="49" t="str">
        <f t="shared" si="614"/>
        <v/>
      </c>
      <c r="BJ956" s="22" t="str">
        <f t="shared" si="640"/>
        <v/>
      </c>
      <c r="BL956" s="21"/>
      <c r="BM956" s="21" t="str">
        <f>IF(OR(COUNT(B956:D1955)=0,AND('Choix pédagogiques'!$C$3&lt;&gt;1,'Choix pédagogiques'!$C$3&lt;&gt;2)),"",IF(AND(OR('Choix pédagogiques'!$C$3=1,'Choix pédagogiques'!$C$3=2),$B956&lt;&gt;"",$C956&lt;&gt;"",$D956&lt;&gt;""),1,0))</f>
        <v/>
      </c>
      <c r="BN956" s="21" t="str">
        <f>IF(OR(COUNT(G956:I1955)=0,AND('Choix pédagogiques'!$C$3&lt;&gt;1,'Choix pédagogiques'!$C$3&lt;&gt;2)),"",IF(AND(OR('Choix pédagogiques'!$C$3=1,'Choix pédagogiques'!$C$3=2),AND($G956&lt;&gt;"",$H956&lt;&gt;"",$I956&lt;&gt;"")),1,0))</f>
        <v/>
      </c>
      <c r="BO956" s="21" t="str">
        <f>IF(OR(COUNT(B956:D1955)=0,COUNT(G956:I1955)=0,'Choix pédagogiques'!C$3&lt;&gt;3),"",IF(AND('Choix pédagogiques'!$C$3=3,$B956&lt;&gt;"",$C956&lt;&gt;"",$D956&lt;&gt;"",$G956&lt;&gt;"",$H956&lt;&gt;"",$I956&lt;&gt;""),1,0))</f>
        <v/>
      </c>
      <c r="BR956" s="21">
        <v>853</v>
      </c>
      <c r="BS956" s="21">
        <v>1941</v>
      </c>
      <c r="BT956"/>
    </row>
    <row r="957" spans="1:72" s="23" customFormat="1" ht="18" customHeight="1" x14ac:dyDescent="0.3">
      <c r="A957" s="35" t="s">
        <v>947</v>
      </c>
      <c r="B957" s="37"/>
      <c r="C957" s="37"/>
      <c r="D957" s="37"/>
      <c r="E957" s="37"/>
      <c r="F957" s="35" t="s">
        <v>1955</v>
      </c>
      <c r="G957" s="37"/>
      <c r="H957" s="37"/>
      <c r="I957" s="37"/>
      <c r="J957" s="37"/>
      <c r="K957" s="21" t="str">
        <f t="shared" si="615"/>
        <v>Apprenant 945</v>
      </c>
      <c r="L957" s="22" t="str">
        <f t="shared" si="616"/>
        <v/>
      </c>
      <c r="M957" s="22" t="str">
        <f t="shared" si="617"/>
        <v/>
      </c>
      <c r="N957" s="22" t="str">
        <f t="shared" si="618"/>
        <v/>
      </c>
      <c r="O957" s="22" t="str">
        <f t="shared" si="619"/>
        <v/>
      </c>
      <c r="P957" s="21" t="str">
        <f t="shared" si="620"/>
        <v>Apprenant 945 ou 945'</v>
      </c>
      <c r="Q957" s="22" t="str">
        <f t="shared" si="621"/>
        <v/>
      </c>
      <c r="R957" s="22" t="str">
        <f t="shared" si="622"/>
        <v/>
      </c>
      <c r="S957" s="22" t="str">
        <f t="shared" si="623"/>
        <v/>
      </c>
      <c r="T957" s="22" t="str">
        <f t="shared" si="624"/>
        <v/>
      </c>
      <c r="V957" s="21" t="str">
        <f t="shared" si="625"/>
        <v>Apprenant 945</v>
      </c>
      <c r="W957" s="22" t="str">
        <f>IF(AND(OR('Choix pédagogiques'!$C$3=1,'Choix pédagogiques'!$C$3=2),$BM957=1),B957,IF(AND('Choix pédagogiques'!$C$3=3,$BO957=1),B957,""))</f>
        <v/>
      </c>
      <c r="X957" s="22" t="str">
        <f>IF(AND(OR('Choix pédagogiques'!$C$3=1,'Choix pédagogiques'!$C$3=2),$BM957=1),C957,IF(AND('Choix pédagogiques'!$C$3=3,$BO957=1),C957,""))</f>
        <v/>
      </c>
      <c r="Y957" s="22" t="str">
        <f>IF(AND(OR('Choix pédagogiques'!$C$3=1,'Choix pédagogiques'!$C$3=2),$BM957=1),D957,IF(AND('Choix pédagogiques'!$C$3=3,$BO957=1),D957,""))</f>
        <v/>
      </c>
      <c r="Z957" s="22" t="str">
        <f t="shared" si="626"/>
        <v/>
      </c>
      <c r="AA957" s="21" t="str">
        <f t="shared" si="627"/>
        <v>Apprenant 945 ou 945'</v>
      </c>
      <c r="AB957" s="22" t="str">
        <f>IF(AND(OR('Choix pédagogiques'!$C$3=1,'Choix pédagogiques'!$C$3=2),$BN957=1),G957,IF(AND('Choix pédagogiques'!$C$3=3,$BO957=1),G957,""))</f>
        <v/>
      </c>
      <c r="AC957" s="22" t="str">
        <f>IF(AND(OR('Choix pédagogiques'!$C$3=1,'Choix pédagogiques'!$C$3=2),$BN957=1),H957,IF(AND('Choix pédagogiques'!$C$3=3,$BO957=1),H957,""))</f>
        <v/>
      </c>
      <c r="AD957" s="22" t="str">
        <f>IF(AND(OR('Choix pédagogiques'!$C$3=1,'Choix pédagogiques'!$C$3=2),$BN957=1),I957,IF(AND('Choix pédagogiques'!$C$3=3,$BO957=1),I957,""))</f>
        <v/>
      </c>
      <c r="AE957" s="22" t="str">
        <f t="shared" si="628"/>
        <v/>
      </c>
      <c r="AF957" s="21" t="str">
        <f t="shared" si="629"/>
        <v>Apprenant 945</v>
      </c>
      <c r="AG957" s="22" t="str">
        <f t="shared" si="603"/>
        <v/>
      </c>
      <c r="AH957" s="22" t="str">
        <f t="shared" si="604"/>
        <v/>
      </c>
      <c r="AI957" s="22" t="str">
        <f t="shared" si="605"/>
        <v/>
      </c>
      <c r="AJ957" s="22" t="str">
        <f t="shared" si="630"/>
        <v/>
      </c>
      <c r="AK957" s="21" t="str">
        <f t="shared" si="631"/>
        <v>Apprenant 945 ou 945'</v>
      </c>
      <c r="AL957" s="22" t="str">
        <f t="shared" si="606"/>
        <v/>
      </c>
      <c r="AM957" s="22" t="str">
        <f t="shared" si="607"/>
        <v/>
      </c>
      <c r="AN957" s="22" t="str">
        <f t="shared" si="608"/>
        <v/>
      </c>
      <c r="AO957" s="22" t="str">
        <f t="shared" si="632"/>
        <v/>
      </c>
      <c r="AQ957" s="21" t="str">
        <f t="shared" si="633"/>
        <v>Apprenant 945</v>
      </c>
      <c r="AR957" s="49" t="str">
        <f>IF(AND('Choix pédagogiques'!$C$4&lt;&gt;"?",'Choix pédagogiques'!$C$5&lt;&gt;"?",W957&lt;&gt;""),(W957-'Choix pédagogiques'!$C$4)/('Choix pédagogiques'!$C$5-'Choix pédagogiques'!$C$4),"")</f>
        <v/>
      </c>
      <c r="AS957" s="49" t="str">
        <f>IF(AND('Choix pédagogiques'!$C$4&lt;&gt;"?",'Choix pédagogiques'!$C$5&lt;&gt;"?",X957&lt;&gt;""),(X957-'Choix pédagogiques'!$C$4)/('Choix pédagogiques'!$C$5-'Choix pédagogiques'!$C$4),"")</f>
        <v/>
      </c>
      <c r="AT957" s="49" t="str">
        <f>IF(AND('Choix pédagogiques'!$C$4&lt;&gt;"?",'Choix pédagogiques'!$C$5&lt;&gt;"?",Y957&lt;&gt;""),(Y957-'Choix pédagogiques'!$C$4)/('Choix pédagogiques'!$C$5-'Choix pédagogiques'!$C$4),"")</f>
        <v/>
      </c>
      <c r="AU957" s="22" t="str">
        <f t="shared" si="634"/>
        <v/>
      </c>
      <c r="AV957" s="21" t="str">
        <f t="shared" si="635"/>
        <v>Apprenant 945 ou 945'</v>
      </c>
      <c r="AW957" s="49" t="str">
        <f>IF(AND('Choix pédagogiques'!$C$4&lt;&gt;"?",'Choix pédagogiques'!$C$5&lt;&gt;"?",AB957&lt;&gt;""),(AB957-'Choix pédagogiques'!$C$4)/('Choix pédagogiques'!$C$5-'Choix pédagogiques'!$C$4),"")</f>
        <v/>
      </c>
      <c r="AX957" s="49" t="str">
        <f>IF(AND('Choix pédagogiques'!$C$4&lt;&gt;"?",'Choix pédagogiques'!$C$5&lt;&gt;"?",AC957&lt;&gt;""),(AC957-'Choix pédagogiques'!$C$4)/('Choix pédagogiques'!$C$5-'Choix pédagogiques'!$C$4),"")</f>
        <v/>
      </c>
      <c r="AY957" s="49" t="str">
        <f>IF(AND('Choix pédagogiques'!$C$4&lt;&gt;"?",'Choix pédagogiques'!$C$5&lt;&gt;"?",AD957&lt;&gt;""),(AD957-'Choix pédagogiques'!$C$4)/('Choix pédagogiques'!$C$5-'Choix pédagogiques'!$C$4),"")</f>
        <v/>
      </c>
      <c r="AZ957" s="22" t="str">
        <f t="shared" si="636"/>
        <v/>
      </c>
      <c r="BA957" s="21" t="str">
        <f t="shared" si="637"/>
        <v>Apprenant 945</v>
      </c>
      <c r="BB957" s="49" t="str">
        <f t="shared" si="609"/>
        <v/>
      </c>
      <c r="BC957" s="49" t="str">
        <f t="shared" si="610"/>
        <v/>
      </c>
      <c r="BD957" s="49" t="str">
        <f t="shared" si="611"/>
        <v/>
      </c>
      <c r="BE957" s="22" t="str">
        <f t="shared" si="638"/>
        <v/>
      </c>
      <c r="BF957" s="21" t="str">
        <f t="shared" si="639"/>
        <v>Apprenant 945 ou 945'</v>
      </c>
      <c r="BG957" s="49" t="str">
        <f t="shared" si="612"/>
        <v/>
      </c>
      <c r="BH957" s="49" t="str">
        <f t="shared" si="613"/>
        <v/>
      </c>
      <c r="BI957" s="49" t="str">
        <f t="shared" si="614"/>
        <v/>
      </c>
      <c r="BJ957" s="22" t="str">
        <f t="shared" si="640"/>
        <v/>
      </c>
      <c r="BL957" s="21"/>
      <c r="BM957" s="21" t="str">
        <f>IF(OR(COUNT(B957:D1956)=0,AND('Choix pédagogiques'!$C$3&lt;&gt;1,'Choix pédagogiques'!$C$3&lt;&gt;2)),"",IF(AND(OR('Choix pédagogiques'!$C$3=1,'Choix pédagogiques'!$C$3=2),$B957&lt;&gt;"",$C957&lt;&gt;"",$D957&lt;&gt;""),1,0))</f>
        <v/>
      </c>
      <c r="BN957" s="21" t="str">
        <f>IF(OR(COUNT(G957:I1956)=0,AND('Choix pédagogiques'!$C$3&lt;&gt;1,'Choix pédagogiques'!$C$3&lt;&gt;2)),"",IF(AND(OR('Choix pédagogiques'!$C$3=1,'Choix pédagogiques'!$C$3=2),AND($G957&lt;&gt;"",$H957&lt;&gt;"",$I957&lt;&gt;"")),1,0))</f>
        <v/>
      </c>
      <c r="BO957" s="21" t="str">
        <f>IF(OR(COUNT(B957:D1956)=0,COUNT(G957:I1956)=0,'Choix pédagogiques'!C$3&lt;&gt;3),"",IF(AND('Choix pédagogiques'!$C$3=3,$B957&lt;&gt;"",$C957&lt;&gt;"",$D957&lt;&gt;"",$G957&lt;&gt;"",$H957&lt;&gt;"",$I957&lt;&gt;""),1,0))</f>
        <v/>
      </c>
      <c r="BR957" s="21">
        <v>141</v>
      </c>
      <c r="BS957" s="21">
        <v>1099</v>
      </c>
      <c r="BT957"/>
    </row>
    <row r="958" spans="1:72" s="23" customFormat="1" ht="18" customHeight="1" x14ac:dyDescent="0.3">
      <c r="A958" s="35" t="s">
        <v>948</v>
      </c>
      <c r="B958" s="37"/>
      <c r="C958" s="37"/>
      <c r="D958" s="37"/>
      <c r="E958" s="37"/>
      <c r="F958" s="35" t="s">
        <v>1956</v>
      </c>
      <c r="G958" s="37"/>
      <c r="H958" s="37"/>
      <c r="I958" s="37"/>
      <c r="J958" s="37"/>
      <c r="K958" s="21" t="str">
        <f t="shared" si="615"/>
        <v>Apprenant 946</v>
      </c>
      <c r="L958" s="22" t="str">
        <f t="shared" si="616"/>
        <v/>
      </c>
      <c r="M958" s="22" t="str">
        <f t="shared" si="617"/>
        <v/>
      </c>
      <c r="N958" s="22" t="str">
        <f t="shared" si="618"/>
        <v/>
      </c>
      <c r="O958" s="22" t="str">
        <f t="shared" si="619"/>
        <v/>
      </c>
      <c r="P958" s="21" t="str">
        <f t="shared" si="620"/>
        <v>Apprenant 946 ou 946'</v>
      </c>
      <c r="Q958" s="22" t="str">
        <f t="shared" si="621"/>
        <v/>
      </c>
      <c r="R958" s="22" t="str">
        <f t="shared" si="622"/>
        <v/>
      </c>
      <c r="S958" s="22" t="str">
        <f t="shared" si="623"/>
        <v/>
      </c>
      <c r="T958" s="22" t="str">
        <f t="shared" si="624"/>
        <v/>
      </c>
      <c r="V958" s="21" t="str">
        <f t="shared" si="625"/>
        <v>Apprenant 946</v>
      </c>
      <c r="W958" s="22" t="str">
        <f>IF(AND(OR('Choix pédagogiques'!$C$3=1,'Choix pédagogiques'!$C$3=2),$BM958=1),B958,IF(AND('Choix pédagogiques'!$C$3=3,$BO958=1),B958,""))</f>
        <v/>
      </c>
      <c r="X958" s="22" t="str">
        <f>IF(AND(OR('Choix pédagogiques'!$C$3=1,'Choix pédagogiques'!$C$3=2),$BM958=1),C958,IF(AND('Choix pédagogiques'!$C$3=3,$BO958=1),C958,""))</f>
        <v/>
      </c>
      <c r="Y958" s="22" t="str">
        <f>IF(AND(OR('Choix pédagogiques'!$C$3=1,'Choix pédagogiques'!$C$3=2),$BM958=1),D958,IF(AND('Choix pédagogiques'!$C$3=3,$BO958=1),D958,""))</f>
        <v/>
      </c>
      <c r="Z958" s="22" t="str">
        <f t="shared" si="626"/>
        <v/>
      </c>
      <c r="AA958" s="21" t="str">
        <f t="shared" si="627"/>
        <v>Apprenant 946 ou 946'</v>
      </c>
      <c r="AB958" s="22" t="str">
        <f>IF(AND(OR('Choix pédagogiques'!$C$3=1,'Choix pédagogiques'!$C$3=2),$BN958=1),G958,IF(AND('Choix pédagogiques'!$C$3=3,$BO958=1),G958,""))</f>
        <v/>
      </c>
      <c r="AC958" s="22" t="str">
        <f>IF(AND(OR('Choix pédagogiques'!$C$3=1,'Choix pédagogiques'!$C$3=2),$BN958=1),H958,IF(AND('Choix pédagogiques'!$C$3=3,$BO958=1),H958,""))</f>
        <v/>
      </c>
      <c r="AD958" s="22" t="str">
        <f>IF(AND(OR('Choix pédagogiques'!$C$3=1,'Choix pédagogiques'!$C$3=2),$BN958=1),I958,IF(AND('Choix pédagogiques'!$C$3=3,$BO958=1),I958,""))</f>
        <v/>
      </c>
      <c r="AE958" s="22" t="str">
        <f t="shared" si="628"/>
        <v/>
      </c>
      <c r="AF958" s="21" t="str">
        <f t="shared" si="629"/>
        <v>Apprenant 946</v>
      </c>
      <c r="AG958" s="22" t="str">
        <f t="shared" si="603"/>
        <v/>
      </c>
      <c r="AH958" s="22" t="str">
        <f t="shared" si="604"/>
        <v/>
      </c>
      <c r="AI958" s="22" t="str">
        <f t="shared" si="605"/>
        <v/>
      </c>
      <c r="AJ958" s="22" t="str">
        <f t="shared" si="630"/>
        <v/>
      </c>
      <c r="AK958" s="21" t="str">
        <f t="shared" si="631"/>
        <v>Apprenant 946 ou 946'</v>
      </c>
      <c r="AL958" s="22" t="str">
        <f t="shared" si="606"/>
        <v/>
      </c>
      <c r="AM958" s="22" t="str">
        <f t="shared" si="607"/>
        <v/>
      </c>
      <c r="AN958" s="22" t="str">
        <f t="shared" si="608"/>
        <v/>
      </c>
      <c r="AO958" s="22" t="str">
        <f t="shared" si="632"/>
        <v/>
      </c>
      <c r="AQ958" s="21" t="str">
        <f t="shared" si="633"/>
        <v>Apprenant 946</v>
      </c>
      <c r="AR958" s="49" t="str">
        <f>IF(AND('Choix pédagogiques'!$C$4&lt;&gt;"?",'Choix pédagogiques'!$C$5&lt;&gt;"?",W958&lt;&gt;""),(W958-'Choix pédagogiques'!$C$4)/('Choix pédagogiques'!$C$5-'Choix pédagogiques'!$C$4),"")</f>
        <v/>
      </c>
      <c r="AS958" s="49" t="str">
        <f>IF(AND('Choix pédagogiques'!$C$4&lt;&gt;"?",'Choix pédagogiques'!$C$5&lt;&gt;"?",X958&lt;&gt;""),(X958-'Choix pédagogiques'!$C$4)/('Choix pédagogiques'!$C$5-'Choix pédagogiques'!$C$4),"")</f>
        <v/>
      </c>
      <c r="AT958" s="49" t="str">
        <f>IF(AND('Choix pédagogiques'!$C$4&lt;&gt;"?",'Choix pédagogiques'!$C$5&lt;&gt;"?",Y958&lt;&gt;""),(Y958-'Choix pédagogiques'!$C$4)/('Choix pédagogiques'!$C$5-'Choix pédagogiques'!$C$4),"")</f>
        <v/>
      </c>
      <c r="AU958" s="22" t="str">
        <f t="shared" si="634"/>
        <v/>
      </c>
      <c r="AV958" s="21" t="str">
        <f t="shared" si="635"/>
        <v>Apprenant 946 ou 946'</v>
      </c>
      <c r="AW958" s="49" t="str">
        <f>IF(AND('Choix pédagogiques'!$C$4&lt;&gt;"?",'Choix pédagogiques'!$C$5&lt;&gt;"?",AB958&lt;&gt;""),(AB958-'Choix pédagogiques'!$C$4)/('Choix pédagogiques'!$C$5-'Choix pédagogiques'!$C$4),"")</f>
        <v/>
      </c>
      <c r="AX958" s="49" t="str">
        <f>IF(AND('Choix pédagogiques'!$C$4&lt;&gt;"?",'Choix pédagogiques'!$C$5&lt;&gt;"?",AC958&lt;&gt;""),(AC958-'Choix pédagogiques'!$C$4)/('Choix pédagogiques'!$C$5-'Choix pédagogiques'!$C$4),"")</f>
        <v/>
      </c>
      <c r="AY958" s="49" t="str">
        <f>IF(AND('Choix pédagogiques'!$C$4&lt;&gt;"?",'Choix pédagogiques'!$C$5&lt;&gt;"?",AD958&lt;&gt;""),(AD958-'Choix pédagogiques'!$C$4)/('Choix pédagogiques'!$C$5-'Choix pédagogiques'!$C$4),"")</f>
        <v/>
      </c>
      <c r="AZ958" s="22" t="str">
        <f t="shared" si="636"/>
        <v/>
      </c>
      <c r="BA958" s="21" t="str">
        <f t="shared" si="637"/>
        <v>Apprenant 946</v>
      </c>
      <c r="BB958" s="49" t="str">
        <f t="shared" si="609"/>
        <v/>
      </c>
      <c r="BC958" s="49" t="str">
        <f t="shared" si="610"/>
        <v/>
      </c>
      <c r="BD958" s="49" t="str">
        <f t="shared" si="611"/>
        <v/>
      </c>
      <c r="BE958" s="22" t="str">
        <f t="shared" si="638"/>
        <v/>
      </c>
      <c r="BF958" s="21" t="str">
        <f t="shared" si="639"/>
        <v>Apprenant 946 ou 946'</v>
      </c>
      <c r="BG958" s="49" t="str">
        <f t="shared" si="612"/>
        <v/>
      </c>
      <c r="BH958" s="49" t="str">
        <f t="shared" si="613"/>
        <v/>
      </c>
      <c r="BI958" s="49" t="str">
        <f t="shared" si="614"/>
        <v/>
      </c>
      <c r="BJ958" s="22" t="str">
        <f t="shared" si="640"/>
        <v/>
      </c>
      <c r="BL958" s="21"/>
      <c r="BM958" s="21" t="str">
        <f>IF(OR(COUNT(B958:D1957)=0,AND('Choix pédagogiques'!$C$3&lt;&gt;1,'Choix pédagogiques'!$C$3&lt;&gt;2)),"",IF(AND(OR('Choix pédagogiques'!$C$3=1,'Choix pédagogiques'!$C$3=2),$B958&lt;&gt;"",$C958&lt;&gt;"",$D958&lt;&gt;""),1,0))</f>
        <v/>
      </c>
      <c r="BN958" s="21" t="str">
        <f>IF(OR(COUNT(G958:I1957)=0,AND('Choix pédagogiques'!$C$3&lt;&gt;1,'Choix pédagogiques'!$C$3&lt;&gt;2)),"",IF(AND(OR('Choix pédagogiques'!$C$3=1,'Choix pédagogiques'!$C$3=2),AND($G958&lt;&gt;"",$H958&lt;&gt;"",$I958&lt;&gt;"")),1,0))</f>
        <v/>
      </c>
      <c r="BO958" s="21" t="str">
        <f>IF(OR(COUNT(B958:D1957)=0,COUNT(G958:I1957)=0,'Choix pédagogiques'!C$3&lt;&gt;3),"",IF(AND('Choix pédagogiques'!$C$3=3,$B958&lt;&gt;"",$C958&lt;&gt;"",$D958&lt;&gt;"",$G958&lt;&gt;"",$H958&lt;&gt;"",$I958&lt;&gt;""),1,0))</f>
        <v/>
      </c>
      <c r="BR958" s="21">
        <v>962</v>
      </c>
      <c r="BS958" s="21">
        <v>1526</v>
      </c>
      <c r="BT958"/>
    </row>
    <row r="959" spans="1:72" s="23" customFormat="1" ht="18" customHeight="1" x14ac:dyDescent="0.3">
      <c r="A959" s="35" t="s">
        <v>949</v>
      </c>
      <c r="B959" s="37"/>
      <c r="C959" s="37"/>
      <c r="D959" s="37"/>
      <c r="E959" s="37"/>
      <c r="F959" s="35" t="s">
        <v>1957</v>
      </c>
      <c r="G959" s="37"/>
      <c r="H959" s="37"/>
      <c r="I959" s="37"/>
      <c r="J959" s="37"/>
      <c r="K959" s="21" t="str">
        <f t="shared" si="615"/>
        <v>Apprenant 947</v>
      </c>
      <c r="L959" s="22" t="str">
        <f t="shared" si="616"/>
        <v/>
      </c>
      <c r="M959" s="22" t="str">
        <f t="shared" si="617"/>
        <v/>
      </c>
      <c r="N959" s="22" t="str">
        <f t="shared" si="618"/>
        <v/>
      </c>
      <c r="O959" s="22" t="str">
        <f t="shared" si="619"/>
        <v/>
      </c>
      <c r="P959" s="21" t="str">
        <f t="shared" si="620"/>
        <v>Apprenant 947 ou 947'</v>
      </c>
      <c r="Q959" s="22" t="str">
        <f t="shared" si="621"/>
        <v/>
      </c>
      <c r="R959" s="22" t="str">
        <f t="shared" si="622"/>
        <v/>
      </c>
      <c r="S959" s="22" t="str">
        <f t="shared" si="623"/>
        <v/>
      </c>
      <c r="T959" s="22" t="str">
        <f t="shared" si="624"/>
        <v/>
      </c>
      <c r="V959" s="21" t="str">
        <f t="shared" si="625"/>
        <v>Apprenant 947</v>
      </c>
      <c r="W959" s="22" t="str">
        <f>IF(AND(OR('Choix pédagogiques'!$C$3=1,'Choix pédagogiques'!$C$3=2),$BM959=1),B959,IF(AND('Choix pédagogiques'!$C$3=3,$BO959=1),B959,""))</f>
        <v/>
      </c>
      <c r="X959" s="22" t="str">
        <f>IF(AND(OR('Choix pédagogiques'!$C$3=1,'Choix pédagogiques'!$C$3=2),$BM959=1),C959,IF(AND('Choix pédagogiques'!$C$3=3,$BO959=1),C959,""))</f>
        <v/>
      </c>
      <c r="Y959" s="22" t="str">
        <f>IF(AND(OR('Choix pédagogiques'!$C$3=1,'Choix pédagogiques'!$C$3=2),$BM959=1),D959,IF(AND('Choix pédagogiques'!$C$3=3,$BO959=1),D959,""))</f>
        <v/>
      </c>
      <c r="Z959" s="22" t="str">
        <f t="shared" si="626"/>
        <v/>
      </c>
      <c r="AA959" s="21" t="str">
        <f t="shared" si="627"/>
        <v>Apprenant 947 ou 947'</v>
      </c>
      <c r="AB959" s="22" t="str">
        <f>IF(AND(OR('Choix pédagogiques'!$C$3=1,'Choix pédagogiques'!$C$3=2),$BN959=1),G959,IF(AND('Choix pédagogiques'!$C$3=3,$BO959=1),G959,""))</f>
        <v/>
      </c>
      <c r="AC959" s="22" t="str">
        <f>IF(AND(OR('Choix pédagogiques'!$C$3=1,'Choix pédagogiques'!$C$3=2),$BN959=1),H959,IF(AND('Choix pédagogiques'!$C$3=3,$BO959=1),H959,""))</f>
        <v/>
      </c>
      <c r="AD959" s="22" t="str">
        <f>IF(AND(OR('Choix pédagogiques'!$C$3=1,'Choix pédagogiques'!$C$3=2),$BN959=1),I959,IF(AND('Choix pédagogiques'!$C$3=3,$BO959=1),I959,""))</f>
        <v/>
      </c>
      <c r="AE959" s="22" t="str">
        <f t="shared" si="628"/>
        <v/>
      </c>
      <c r="AF959" s="21" t="str">
        <f t="shared" si="629"/>
        <v>Apprenant 947</v>
      </c>
      <c r="AG959" s="22" t="str">
        <f t="shared" si="603"/>
        <v/>
      </c>
      <c r="AH959" s="22" t="str">
        <f t="shared" si="604"/>
        <v/>
      </c>
      <c r="AI959" s="22" t="str">
        <f t="shared" si="605"/>
        <v/>
      </c>
      <c r="AJ959" s="22" t="str">
        <f t="shared" si="630"/>
        <v/>
      </c>
      <c r="AK959" s="21" t="str">
        <f t="shared" si="631"/>
        <v>Apprenant 947 ou 947'</v>
      </c>
      <c r="AL959" s="22" t="str">
        <f t="shared" si="606"/>
        <v/>
      </c>
      <c r="AM959" s="22" t="str">
        <f t="shared" si="607"/>
        <v/>
      </c>
      <c r="AN959" s="22" t="str">
        <f t="shared" si="608"/>
        <v/>
      </c>
      <c r="AO959" s="22" t="str">
        <f t="shared" si="632"/>
        <v/>
      </c>
      <c r="AQ959" s="21" t="str">
        <f t="shared" si="633"/>
        <v>Apprenant 947</v>
      </c>
      <c r="AR959" s="49" t="str">
        <f>IF(AND('Choix pédagogiques'!$C$4&lt;&gt;"?",'Choix pédagogiques'!$C$5&lt;&gt;"?",W959&lt;&gt;""),(W959-'Choix pédagogiques'!$C$4)/('Choix pédagogiques'!$C$5-'Choix pédagogiques'!$C$4),"")</f>
        <v/>
      </c>
      <c r="AS959" s="49" t="str">
        <f>IF(AND('Choix pédagogiques'!$C$4&lt;&gt;"?",'Choix pédagogiques'!$C$5&lt;&gt;"?",X959&lt;&gt;""),(X959-'Choix pédagogiques'!$C$4)/('Choix pédagogiques'!$C$5-'Choix pédagogiques'!$C$4),"")</f>
        <v/>
      </c>
      <c r="AT959" s="49" t="str">
        <f>IF(AND('Choix pédagogiques'!$C$4&lt;&gt;"?",'Choix pédagogiques'!$C$5&lt;&gt;"?",Y959&lt;&gt;""),(Y959-'Choix pédagogiques'!$C$4)/('Choix pédagogiques'!$C$5-'Choix pédagogiques'!$C$4),"")</f>
        <v/>
      </c>
      <c r="AU959" s="22" t="str">
        <f t="shared" si="634"/>
        <v/>
      </c>
      <c r="AV959" s="21" t="str">
        <f t="shared" si="635"/>
        <v>Apprenant 947 ou 947'</v>
      </c>
      <c r="AW959" s="49" t="str">
        <f>IF(AND('Choix pédagogiques'!$C$4&lt;&gt;"?",'Choix pédagogiques'!$C$5&lt;&gt;"?",AB959&lt;&gt;""),(AB959-'Choix pédagogiques'!$C$4)/('Choix pédagogiques'!$C$5-'Choix pédagogiques'!$C$4),"")</f>
        <v/>
      </c>
      <c r="AX959" s="49" t="str">
        <f>IF(AND('Choix pédagogiques'!$C$4&lt;&gt;"?",'Choix pédagogiques'!$C$5&lt;&gt;"?",AC959&lt;&gt;""),(AC959-'Choix pédagogiques'!$C$4)/('Choix pédagogiques'!$C$5-'Choix pédagogiques'!$C$4),"")</f>
        <v/>
      </c>
      <c r="AY959" s="49" t="str">
        <f>IF(AND('Choix pédagogiques'!$C$4&lt;&gt;"?",'Choix pédagogiques'!$C$5&lt;&gt;"?",AD959&lt;&gt;""),(AD959-'Choix pédagogiques'!$C$4)/('Choix pédagogiques'!$C$5-'Choix pédagogiques'!$C$4),"")</f>
        <v/>
      </c>
      <c r="AZ959" s="22" t="str">
        <f t="shared" si="636"/>
        <v/>
      </c>
      <c r="BA959" s="21" t="str">
        <f t="shared" si="637"/>
        <v>Apprenant 947</v>
      </c>
      <c r="BB959" s="49" t="str">
        <f t="shared" si="609"/>
        <v/>
      </c>
      <c r="BC959" s="49" t="str">
        <f t="shared" si="610"/>
        <v/>
      </c>
      <c r="BD959" s="49" t="str">
        <f t="shared" si="611"/>
        <v/>
      </c>
      <c r="BE959" s="22" t="str">
        <f t="shared" si="638"/>
        <v/>
      </c>
      <c r="BF959" s="21" t="str">
        <f t="shared" si="639"/>
        <v>Apprenant 947 ou 947'</v>
      </c>
      <c r="BG959" s="49" t="str">
        <f t="shared" si="612"/>
        <v/>
      </c>
      <c r="BH959" s="49" t="str">
        <f t="shared" si="613"/>
        <v/>
      </c>
      <c r="BI959" s="49" t="str">
        <f t="shared" si="614"/>
        <v/>
      </c>
      <c r="BJ959" s="22" t="str">
        <f t="shared" si="640"/>
        <v/>
      </c>
      <c r="BL959" s="21"/>
      <c r="BM959" s="21" t="str">
        <f>IF(OR(COUNT(B959:D1958)=0,AND('Choix pédagogiques'!$C$3&lt;&gt;1,'Choix pédagogiques'!$C$3&lt;&gt;2)),"",IF(AND(OR('Choix pédagogiques'!$C$3=1,'Choix pédagogiques'!$C$3=2),$B959&lt;&gt;"",$C959&lt;&gt;"",$D959&lt;&gt;""),1,0))</f>
        <v/>
      </c>
      <c r="BN959" s="21" t="str">
        <f>IF(OR(COUNT(G959:I1958)=0,AND('Choix pédagogiques'!$C$3&lt;&gt;1,'Choix pédagogiques'!$C$3&lt;&gt;2)),"",IF(AND(OR('Choix pédagogiques'!$C$3=1,'Choix pédagogiques'!$C$3=2),AND($G959&lt;&gt;"",$H959&lt;&gt;"",$I959&lt;&gt;"")),1,0))</f>
        <v/>
      </c>
      <c r="BO959" s="21" t="str">
        <f>IF(OR(COUNT(B959:D1958)=0,COUNT(G959:I1958)=0,'Choix pédagogiques'!C$3&lt;&gt;3),"",IF(AND('Choix pédagogiques'!$C$3=3,$B959&lt;&gt;"",$C959&lt;&gt;"",$D959&lt;&gt;"",$G959&lt;&gt;"",$H959&lt;&gt;"",$I959&lt;&gt;""),1,0))</f>
        <v/>
      </c>
      <c r="BR959" s="21">
        <v>961</v>
      </c>
      <c r="BS959" s="21">
        <v>1857</v>
      </c>
      <c r="BT959"/>
    </row>
    <row r="960" spans="1:72" s="23" customFormat="1" ht="18" customHeight="1" x14ac:dyDescent="0.3">
      <c r="A960" s="35" t="s">
        <v>950</v>
      </c>
      <c r="B960" s="37"/>
      <c r="C960" s="37"/>
      <c r="D960" s="37"/>
      <c r="E960" s="37"/>
      <c r="F960" s="35" t="s">
        <v>1958</v>
      </c>
      <c r="G960" s="37"/>
      <c r="H960" s="37"/>
      <c r="I960" s="37"/>
      <c r="J960" s="37"/>
      <c r="K960" s="21" t="str">
        <f t="shared" si="615"/>
        <v>Apprenant 948</v>
      </c>
      <c r="L960" s="22" t="str">
        <f t="shared" si="616"/>
        <v/>
      </c>
      <c r="M960" s="22" t="str">
        <f t="shared" si="617"/>
        <v/>
      </c>
      <c r="N960" s="22" t="str">
        <f t="shared" si="618"/>
        <v/>
      </c>
      <c r="O960" s="22" t="str">
        <f t="shared" si="619"/>
        <v/>
      </c>
      <c r="P960" s="21" t="str">
        <f t="shared" si="620"/>
        <v>Apprenant 948 ou 948'</v>
      </c>
      <c r="Q960" s="22" t="str">
        <f t="shared" si="621"/>
        <v/>
      </c>
      <c r="R960" s="22" t="str">
        <f t="shared" si="622"/>
        <v/>
      </c>
      <c r="S960" s="22" t="str">
        <f t="shared" si="623"/>
        <v/>
      </c>
      <c r="T960" s="22" t="str">
        <f t="shared" si="624"/>
        <v/>
      </c>
      <c r="V960" s="21" t="str">
        <f t="shared" si="625"/>
        <v>Apprenant 948</v>
      </c>
      <c r="W960" s="22" t="str">
        <f>IF(AND(OR('Choix pédagogiques'!$C$3=1,'Choix pédagogiques'!$C$3=2),$BM960=1),B960,IF(AND('Choix pédagogiques'!$C$3=3,$BO960=1),B960,""))</f>
        <v/>
      </c>
      <c r="X960" s="22" t="str">
        <f>IF(AND(OR('Choix pédagogiques'!$C$3=1,'Choix pédagogiques'!$C$3=2),$BM960=1),C960,IF(AND('Choix pédagogiques'!$C$3=3,$BO960=1),C960,""))</f>
        <v/>
      </c>
      <c r="Y960" s="22" t="str">
        <f>IF(AND(OR('Choix pédagogiques'!$C$3=1,'Choix pédagogiques'!$C$3=2),$BM960=1),D960,IF(AND('Choix pédagogiques'!$C$3=3,$BO960=1),D960,""))</f>
        <v/>
      </c>
      <c r="Z960" s="22" t="str">
        <f t="shared" si="626"/>
        <v/>
      </c>
      <c r="AA960" s="21" t="str">
        <f t="shared" si="627"/>
        <v>Apprenant 948 ou 948'</v>
      </c>
      <c r="AB960" s="22" t="str">
        <f>IF(AND(OR('Choix pédagogiques'!$C$3=1,'Choix pédagogiques'!$C$3=2),$BN960=1),G960,IF(AND('Choix pédagogiques'!$C$3=3,$BO960=1),G960,""))</f>
        <v/>
      </c>
      <c r="AC960" s="22" t="str">
        <f>IF(AND(OR('Choix pédagogiques'!$C$3=1,'Choix pédagogiques'!$C$3=2),$BN960=1),H960,IF(AND('Choix pédagogiques'!$C$3=3,$BO960=1),H960,""))</f>
        <v/>
      </c>
      <c r="AD960" s="22" t="str">
        <f>IF(AND(OR('Choix pédagogiques'!$C$3=1,'Choix pédagogiques'!$C$3=2),$BN960=1),I960,IF(AND('Choix pédagogiques'!$C$3=3,$BO960=1),I960,""))</f>
        <v/>
      </c>
      <c r="AE960" s="22" t="str">
        <f t="shared" si="628"/>
        <v/>
      </c>
      <c r="AF960" s="21" t="str">
        <f t="shared" si="629"/>
        <v>Apprenant 948</v>
      </c>
      <c r="AG960" s="22" t="str">
        <f t="shared" si="603"/>
        <v/>
      </c>
      <c r="AH960" s="22" t="str">
        <f t="shared" si="604"/>
        <v/>
      </c>
      <c r="AI960" s="22" t="str">
        <f t="shared" si="605"/>
        <v/>
      </c>
      <c r="AJ960" s="22" t="str">
        <f t="shared" si="630"/>
        <v/>
      </c>
      <c r="AK960" s="21" t="str">
        <f t="shared" si="631"/>
        <v>Apprenant 948 ou 948'</v>
      </c>
      <c r="AL960" s="22" t="str">
        <f t="shared" si="606"/>
        <v/>
      </c>
      <c r="AM960" s="22" t="str">
        <f t="shared" si="607"/>
        <v/>
      </c>
      <c r="AN960" s="22" t="str">
        <f t="shared" si="608"/>
        <v/>
      </c>
      <c r="AO960" s="22" t="str">
        <f t="shared" si="632"/>
        <v/>
      </c>
      <c r="AQ960" s="21" t="str">
        <f t="shared" si="633"/>
        <v>Apprenant 948</v>
      </c>
      <c r="AR960" s="49" t="str">
        <f>IF(AND('Choix pédagogiques'!$C$4&lt;&gt;"?",'Choix pédagogiques'!$C$5&lt;&gt;"?",W960&lt;&gt;""),(W960-'Choix pédagogiques'!$C$4)/('Choix pédagogiques'!$C$5-'Choix pédagogiques'!$C$4),"")</f>
        <v/>
      </c>
      <c r="AS960" s="49" t="str">
        <f>IF(AND('Choix pédagogiques'!$C$4&lt;&gt;"?",'Choix pédagogiques'!$C$5&lt;&gt;"?",X960&lt;&gt;""),(X960-'Choix pédagogiques'!$C$4)/('Choix pédagogiques'!$C$5-'Choix pédagogiques'!$C$4),"")</f>
        <v/>
      </c>
      <c r="AT960" s="49" t="str">
        <f>IF(AND('Choix pédagogiques'!$C$4&lt;&gt;"?",'Choix pédagogiques'!$C$5&lt;&gt;"?",Y960&lt;&gt;""),(Y960-'Choix pédagogiques'!$C$4)/('Choix pédagogiques'!$C$5-'Choix pédagogiques'!$C$4),"")</f>
        <v/>
      </c>
      <c r="AU960" s="22" t="str">
        <f t="shared" si="634"/>
        <v/>
      </c>
      <c r="AV960" s="21" t="str">
        <f t="shared" si="635"/>
        <v>Apprenant 948 ou 948'</v>
      </c>
      <c r="AW960" s="49" t="str">
        <f>IF(AND('Choix pédagogiques'!$C$4&lt;&gt;"?",'Choix pédagogiques'!$C$5&lt;&gt;"?",AB960&lt;&gt;""),(AB960-'Choix pédagogiques'!$C$4)/('Choix pédagogiques'!$C$5-'Choix pédagogiques'!$C$4),"")</f>
        <v/>
      </c>
      <c r="AX960" s="49" t="str">
        <f>IF(AND('Choix pédagogiques'!$C$4&lt;&gt;"?",'Choix pédagogiques'!$C$5&lt;&gt;"?",AC960&lt;&gt;""),(AC960-'Choix pédagogiques'!$C$4)/('Choix pédagogiques'!$C$5-'Choix pédagogiques'!$C$4),"")</f>
        <v/>
      </c>
      <c r="AY960" s="49" t="str">
        <f>IF(AND('Choix pédagogiques'!$C$4&lt;&gt;"?",'Choix pédagogiques'!$C$5&lt;&gt;"?",AD960&lt;&gt;""),(AD960-'Choix pédagogiques'!$C$4)/('Choix pédagogiques'!$C$5-'Choix pédagogiques'!$C$4),"")</f>
        <v/>
      </c>
      <c r="AZ960" s="22" t="str">
        <f t="shared" si="636"/>
        <v/>
      </c>
      <c r="BA960" s="21" t="str">
        <f t="shared" si="637"/>
        <v>Apprenant 948</v>
      </c>
      <c r="BB960" s="49" t="str">
        <f t="shared" si="609"/>
        <v/>
      </c>
      <c r="BC960" s="49" t="str">
        <f t="shared" si="610"/>
        <v/>
      </c>
      <c r="BD960" s="49" t="str">
        <f t="shared" si="611"/>
        <v/>
      </c>
      <c r="BE960" s="22" t="str">
        <f t="shared" si="638"/>
        <v/>
      </c>
      <c r="BF960" s="21" t="str">
        <f t="shared" si="639"/>
        <v>Apprenant 948 ou 948'</v>
      </c>
      <c r="BG960" s="49" t="str">
        <f t="shared" si="612"/>
        <v/>
      </c>
      <c r="BH960" s="49" t="str">
        <f t="shared" si="613"/>
        <v/>
      </c>
      <c r="BI960" s="49" t="str">
        <f t="shared" si="614"/>
        <v/>
      </c>
      <c r="BJ960" s="22" t="str">
        <f t="shared" si="640"/>
        <v/>
      </c>
      <c r="BL960" s="21"/>
      <c r="BM960" s="21" t="str">
        <f>IF(OR(COUNT(B960:D1959)=0,AND('Choix pédagogiques'!$C$3&lt;&gt;1,'Choix pédagogiques'!$C$3&lt;&gt;2)),"",IF(AND(OR('Choix pédagogiques'!$C$3=1,'Choix pédagogiques'!$C$3=2),$B960&lt;&gt;"",$C960&lt;&gt;"",$D960&lt;&gt;""),1,0))</f>
        <v/>
      </c>
      <c r="BN960" s="21" t="str">
        <f>IF(OR(COUNT(G960:I1959)=0,AND('Choix pédagogiques'!$C$3&lt;&gt;1,'Choix pédagogiques'!$C$3&lt;&gt;2)),"",IF(AND(OR('Choix pédagogiques'!$C$3=1,'Choix pédagogiques'!$C$3=2),AND($G960&lt;&gt;"",$H960&lt;&gt;"",$I960&lt;&gt;"")),1,0))</f>
        <v/>
      </c>
      <c r="BO960" s="21" t="str">
        <f>IF(OR(COUNT(B960:D1959)=0,COUNT(G960:I1959)=0,'Choix pédagogiques'!C$3&lt;&gt;3),"",IF(AND('Choix pédagogiques'!$C$3=3,$B960&lt;&gt;"",$C960&lt;&gt;"",$D960&lt;&gt;"",$G960&lt;&gt;"",$H960&lt;&gt;"",$I960&lt;&gt;""),1,0))</f>
        <v/>
      </c>
      <c r="BR960" s="21">
        <v>479</v>
      </c>
      <c r="BS960" s="21">
        <v>1375</v>
      </c>
      <c r="BT960"/>
    </row>
    <row r="961" spans="1:72" s="23" customFormat="1" ht="18" customHeight="1" x14ac:dyDescent="0.3">
      <c r="A961" s="35" t="s">
        <v>951</v>
      </c>
      <c r="B961" s="37"/>
      <c r="C961" s="37"/>
      <c r="D961" s="37"/>
      <c r="E961" s="37"/>
      <c r="F961" s="35" t="s">
        <v>1959</v>
      </c>
      <c r="G961" s="37"/>
      <c r="H961" s="37"/>
      <c r="I961" s="37"/>
      <c r="J961" s="37"/>
      <c r="K961" s="21" t="str">
        <f t="shared" si="615"/>
        <v>Apprenant 949</v>
      </c>
      <c r="L961" s="22" t="str">
        <f t="shared" si="616"/>
        <v/>
      </c>
      <c r="M961" s="22" t="str">
        <f t="shared" si="617"/>
        <v/>
      </c>
      <c r="N961" s="22" t="str">
        <f t="shared" si="618"/>
        <v/>
      </c>
      <c r="O961" s="22" t="str">
        <f t="shared" si="619"/>
        <v/>
      </c>
      <c r="P961" s="21" t="str">
        <f t="shared" si="620"/>
        <v>Apprenant 949 ou 949'</v>
      </c>
      <c r="Q961" s="22" t="str">
        <f t="shared" si="621"/>
        <v/>
      </c>
      <c r="R961" s="22" t="str">
        <f t="shared" si="622"/>
        <v/>
      </c>
      <c r="S961" s="22" t="str">
        <f t="shared" si="623"/>
        <v/>
      </c>
      <c r="T961" s="22" t="str">
        <f t="shared" si="624"/>
        <v/>
      </c>
      <c r="V961" s="21" t="str">
        <f t="shared" si="625"/>
        <v>Apprenant 949</v>
      </c>
      <c r="W961" s="22" t="str">
        <f>IF(AND(OR('Choix pédagogiques'!$C$3=1,'Choix pédagogiques'!$C$3=2),$BM961=1),B961,IF(AND('Choix pédagogiques'!$C$3=3,$BO961=1),B961,""))</f>
        <v/>
      </c>
      <c r="X961" s="22" t="str">
        <f>IF(AND(OR('Choix pédagogiques'!$C$3=1,'Choix pédagogiques'!$C$3=2),$BM961=1),C961,IF(AND('Choix pédagogiques'!$C$3=3,$BO961=1),C961,""))</f>
        <v/>
      </c>
      <c r="Y961" s="22" t="str">
        <f>IF(AND(OR('Choix pédagogiques'!$C$3=1,'Choix pédagogiques'!$C$3=2),$BM961=1),D961,IF(AND('Choix pédagogiques'!$C$3=3,$BO961=1),D961,""))</f>
        <v/>
      </c>
      <c r="Z961" s="22" t="str">
        <f t="shared" si="626"/>
        <v/>
      </c>
      <c r="AA961" s="21" t="str">
        <f t="shared" si="627"/>
        <v>Apprenant 949 ou 949'</v>
      </c>
      <c r="AB961" s="22" t="str">
        <f>IF(AND(OR('Choix pédagogiques'!$C$3=1,'Choix pédagogiques'!$C$3=2),$BN961=1),G961,IF(AND('Choix pédagogiques'!$C$3=3,$BO961=1),G961,""))</f>
        <v/>
      </c>
      <c r="AC961" s="22" t="str">
        <f>IF(AND(OR('Choix pédagogiques'!$C$3=1,'Choix pédagogiques'!$C$3=2),$BN961=1),H961,IF(AND('Choix pédagogiques'!$C$3=3,$BO961=1),H961,""))</f>
        <v/>
      </c>
      <c r="AD961" s="22" t="str">
        <f>IF(AND(OR('Choix pédagogiques'!$C$3=1,'Choix pédagogiques'!$C$3=2),$BN961=1),I961,IF(AND('Choix pédagogiques'!$C$3=3,$BO961=1),I961,""))</f>
        <v/>
      </c>
      <c r="AE961" s="22" t="str">
        <f t="shared" si="628"/>
        <v/>
      </c>
      <c r="AF961" s="21" t="str">
        <f t="shared" si="629"/>
        <v>Apprenant 949</v>
      </c>
      <c r="AG961" s="22" t="str">
        <f t="shared" si="603"/>
        <v/>
      </c>
      <c r="AH961" s="22" t="str">
        <f t="shared" si="604"/>
        <v/>
      </c>
      <c r="AI961" s="22" t="str">
        <f t="shared" si="605"/>
        <v/>
      </c>
      <c r="AJ961" s="22" t="str">
        <f t="shared" si="630"/>
        <v/>
      </c>
      <c r="AK961" s="21" t="str">
        <f t="shared" si="631"/>
        <v>Apprenant 949 ou 949'</v>
      </c>
      <c r="AL961" s="22" t="str">
        <f t="shared" si="606"/>
        <v/>
      </c>
      <c r="AM961" s="22" t="str">
        <f t="shared" si="607"/>
        <v/>
      </c>
      <c r="AN961" s="22" t="str">
        <f t="shared" si="608"/>
        <v/>
      </c>
      <c r="AO961" s="22" t="str">
        <f t="shared" si="632"/>
        <v/>
      </c>
      <c r="AQ961" s="21" t="str">
        <f t="shared" si="633"/>
        <v>Apprenant 949</v>
      </c>
      <c r="AR961" s="49" t="str">
        <f>IF(AND('Choix pédagogiques'!$C$4&lt;&gt;"?",'Choix pédagogiques'!$C$5&lt;&gt;"?",W961&lt;&gt;""),(W961-'Choix pédagogiques'!$C$4)/('Choix pédagogiques'!$C$5-'Choix pédagogiques'!$C$4),"")</f>
        <v/>
      </c>
      <c r="AS961" s="49" t="str">
        <f>IF(AND('Choix pédagogiques'!$C$4&lt;&gt;"?",'Choix pédagogiques'!$C$5&lt;&gt;"?",X961&lt;&gt;""),(X961-'Choix pédagogiques'!$C$4)/('Choix pédagogiques'!$C$5-'Choix pédagogiques'!$C$4),"")</f>
        <v/>
      </c>
      <c r="AT961" s="49" t="str">
        <f>IF(AND('Choix pédagogiques'!$C$4&lt;&gt;"?",'Choix pédagogiques'!$C$5&lt;&gt;"?",Y961&lt;&gt;""),(Y961-'Choix pédagogiques'!$C$4)/('Choix pédagogiques'!$C$5-'Choix pédagogiques'!$C$4),"")</f>
        <v/>
      </c>
      <c r="AU961" s="22" t="str">
        <f t="shared" si="634"/>
        <v/>
      </c>
      <c r="AV961" s="21" t="str">
        <f t="shared" si="635"/>
        <v>Apprenant 949 ou 949'</v>
      </c>
      <c r="AW961" s="49" t="str">
        <f>IF(AND('Choix pédagogiques'!$C$4&lt;&gt;"?",'Choix pédagogiques'!$C$5&lt;&gt;"?",AB961&lt;&gt;""),(AB961-'Choix pédagogiques'!$C$4)/('Choix pédagogiques'!$C$5-'Choix pédagogiques'!$C$4),"")</f>
        <v/>
      </c>
      <c r="AX961" s="49" t="str">
        <f>IF(AND('Choix pédagogiques'!$C$4&lt;&gt;"?",'Choix pédagogiques'!$C$5&lt;&gt;"?",AC961&lt;&gt;""),(AC961-'Choix pédagogiques'!$C$4)/('Choix pédagogiques'!$C$5-'Choix pédagogiques'!$C$4),"")</f>
        <v/>
      </c>
      <c r="AY961" s="49" t="str">
        <f>IF(AND('Choix pédagogiques'!$C$4&lt;&gt;"?",'Choix pédagogiques'!$C$5&lt;&gt;"?",AD961&lt;&gt;""),(AD961-'Choix pédagogiques'!$C$4)/('Choix pédagogiques'!$C$5-'Choix pédagogiques'!$C$4),"")</f>
        <v/>
      </c>
      <c r="AZ961" s="22" t="str">
        <f t="shared" si="636"/>
        <v/>
      </c>
      <c r="BA961" s="21" t="str">
        <f t="shared" si="637"/>
        <v>Apprenant 949</v>
      </c>
      <c r="BB961" s="49" t="str">
        <f t="shared" si="609"/>
        <v/>
      </c>
      <c r="BC961" s="49" t="str">
        <f t="shared" si="610"/>
        <v/>
      </c>
      <c r="BD961" s="49" t="str">
        <f t="shared" si="611"/>
        <v/>
      </c>
      <c r="BE961" s="22" t="str">
        <f t="shared" si="638"/>
        <v/>
      </c>
      <c r="BF961" s="21" t="str">
        <f t="shared" si="639"/>
        <v>Apprenant 949 ou 949'</v>
      </c>
      <c r="BG961" s="49" t="str">
        <f t="shared" si="612"/>
        <v/>
      </c>
      <c r="BH961" s="49" t="str">
        <f t="shared" si="613"/>
        <v/>
      </c>
      <c r="BI961" s="49" t="str">
        <f t="shared" si="614"/>
        <v/>
      </c>
      <c r="BJ961" s="22" t="str">
        <f t="shared" si="640"/>
        <v/>
      </c>
      <c r="BL961" s="21"/>
      <c r="BM961" s="21" t="str">
        <f>IF(OR(COUNT(B961:D1960)=0,AND('Choix pédagogiques'!$C$3&lt;&gt;1,'Choix pédagogiques'!$C$3&lt;&gt;2)),"",IF(AND(OR('Choix pédagogiques'!$C$3=1,'Choix pédagogiques'!$C$3=2),$B961&lt;&gt;"",$C961&lt;&gt;"",$D961&lt;&gt;""),1,0))</f>
        <v/>
      </c>
      <c r="BN961" s="21" t="str">
        <f>IF(OR(COUNT(G961:I1960)=0,AND('Choix pédagogiques'!$C$3&lt;&gt;1,'Choix pédagogiques'!$C$3&lt;&gt;2)),"",IF(AND(OR('Choix pédagogiques'!$C$3=1,'Choix pédagogiques'!$C$3=2),AND($G961&lt;&gt;"",$H961&lt;&gt;"",$I961&lt;&gt;"")),1,0))</f>
        <v/>
      </c>
      <c r="BO961" s="21" t="str">
        <f>IF(OR(COUNT(B961:D1960)=0,COUNT(G961:I1960)=0,'Choix pédagogiques'!C$3&lt;&gt;3),"",IF(AND('Choix pédagogiques'!$C$3=3,$B961&lt;&gt;"",$C961&lt;&gt;"",$D961&lt;&gt;"",$G961&lt;&gt;"",$H961&lt;&gt;"",$I961&lt;&gt;""),1,0))</f>
        <v/>
      </c>
      <c r="BR961" s="21">
        <v>591</v>
      </c>
      <c r="BS961" s="21">
        <v>1804</v>
      </c>
      <c r="BT961"/>
    </row>
    <row r="962" spans="1:72" s="23" customFormat="1" ht="18" customHeight="1" x14ac:dyDescent="0.3">
      <c r="A962" s="35" t="s">
        <v>952</v>
      </c>
      <c r="B962" s="37"/>
      <c r="C962" s="37"/>
      <c r="D962" s="37"/>
      <c r="E962" s="37"/>
      <c r="F962" s="35" t="s">
        <v>1960</v>
      </c>
      <c r="G962" s="37"/>
      <c r="H962" s="37"/>
      <c r="I962" s="37"/>
      <c r="J962" s="37"/>
      <c r="K962" s="21" t="str">
        <f t="shared" si="615"/>
        <v>Apprenant 950</v>
      </c>
      <c r="L962" s="22" t="str">
        <f t="shared" si="616"/>
        <v/>
      </c>
      <c r="M962" s="22" t="str">
        <f t="shared" si="617"/>
        <v/>
      </c>
      <c r="N962" s="22" t="str">
        <f t="shared" si="618"/>
        <v/>
      </c>
      <c r="O962" s="22" t="str">
        <f t="shared" si="619"/>
        <v/>
      </c>
      <c r="P962" s="21" t="str">
        <f t="shared" si="620"/>
        <v>Apprenant 950 ou 950'</v>
      </c>
      <c r="Q962" s="22" t="str">
        <f t="shared" si="621"/>
        <v/>
      </c>
      <c r="R962" s="22" t="str">
        <f t="shared" si="622"/>
        <v/>
      </c>
      <c r="S962" s="22" t="str">
        <f t="shared" si="623"/>
        <v/>
      </c>
      <c r="T962" s="22" t="str">
        <f t="shared" si="624"/>
        <v/>
      </c>
      <c r="V962" s="21" t="str">
        <f t="shared" si="625"/>
        <v>Apprenant 950</v>
      </c>
      <c r="W962" s="22" t="str">
        <f>IF(AND(OR('Choix pédagogiques'!$C$3=1,'Choix pédagogiques'!$C$3=2),$BM962=1),B962,IF(AND('Choix pédagogiques'!$C$3=3,$BO962=1),B962,""))</f>
        <v/>
      </c>
      <c r="X962" s="22" t="str">
        <f>IF(AND(OR('Choix pédagogiques'!$C$3=1,'Choix pédagogiques'!$C$3=2),$BM962=1),C962,IF(AND('Choix pédagogiques'!$C$3=3,$BO962=1),C962,""))</f>
        <v/>
      </c>
      <c r="Y962" s="22" t="str">
        <f>IF(AND(OR('Choix pédagogiques'!$C$3=1,'Choix pédagogiques'!$C$3=2),$BM962=1),D962,IF(AND('Choix pédagogiques'!$C$3=3,$BO962=1),D962,""))</f>
        <v/>
      </c>
      <c r="Z962" s="22" t="str">
        <f t="shared" si="626"/>
        <v/>
      </c>
      <c r="AA962" s="21" t="str">
        <f t="shared" si="627"/>
        <v>Apprenant 950 ou 950'</v>
      </c>
      <c r="AB962" s="22" t="str">
        <f>IF(AND(OR('Choix pédagogiques'!$C$3=1,'Choix pédagogiques'!$C$3=2),$BN962=1),G962,IF(AND('Choix pédagogiques'!$C$3=3,$BO962=1),G962,""))</f>
        <v/>
      </c>
      <c r="AC962" s="22" t="str">
        <f>IF(AND(OR('Choix pédagogiques'!$C$3=1,'Choix pédagogiques'!$C$3=2),$BN962=1),H962,IF(AND('Choix pédagogiques'!$C$3=3,$BO962=1),H962,""))</f>
        <v/>
      </c>
      <c r="AD962" s="22" t="str">
        <f>IF(AND(OR('Choix pédagogiques'!$C$3=1,'Choix pédagogiques'!$C$3=2),$BN962=1),I962,IF(AND('Choix pédagogiques'!$C$3=3,$BO962=1),I962,""))</f>
        <v/>
      </c>
      <c r="AE962" s="22" t="str">
        <f t="shared" si="628"/>
        <v/>
      </c>
      <c r="AF962" s="21" t="str">
        <f t="shared" si="629"/>
        <v>Apprenant 950</v>
      </c>
      <c r="AG962" s="22" t="str">
        <f t="shared" si="603"/>
        <v/>
      </c>
      <c r="AH962" s="22" t="str">
        <f t="shared" si="604"/>
        <v/>
      </c>
      <c r="AI962" s="22" t="str">
        <f t="shared" si="605"/>
        <v/>
      </c>
      <c r="AJ962" s="22" t="str">
        <f t="shared" si="630"/>
        <v/>
      </c>
      <c r="AK962" s="21" t="str">
        <f t="shared" si="631"/>
        <v>Apprenant 950 ou 950'</v>
      </c>
      <c r="AL962" s="22" t="str">
        <f t="shared" si="606"/>
        <v/>
      </c>
      <c r="AM962" s="22" t="str">
        <f t="shared" si="607"/>
        <v/>
      </c>
      <c r="AN962" s="22" t="str">
        <f t="shared" si="608"/>
        <v/>
      </c>
      <c r="AO962" s="22" t="str">
        <f t="shared" si="632"/>
        <v/>
      </c>
      <c r="AQ962" s="21" t="str">
        <f t="shared" si="633"/>
        <v>Apprenant 950</v>
      </c>
      <c r="AR962" s="49" t="str">
        <f>IF(AND('Choix pédagogiques'!$C$4&lt;&gt;"?",'Choix pédagogiques'!$C$5&lt;&gt;"?",W962&lt;&gt;""),(W962-'Choix pédagogiques'!$C$4)/('Choix pédagogiques'!$C$5-'Choix pédagogiques'!$C$4),"")</f>
        <v/>
      </c>
      <c r="AS962" s="49" t="str">
        <f>IF(AND('Choix pédagogiques'!$C$4&lt;&gt;"?",'Choix pédagogiques'!$C$5&lt;&gt;"?",X962&lt;&gt;""),(X962-'Choix pédagogiques'!$C$4)/('Choix pédagogiques'!$C$5-'Choix pédagogiques'!$C$4),"")</f>
        <v/>
      </c>
      <c r="AT962" s="49" t="str">
        <f>IF(AND('Choix pédagogiques'!$C$4&lt;&gt;"?",'Choix pédagogiques'!$C$5&lt;&gt;"?",Y962&lt;&gt;""),(Y962-'Choix pédagogiques'!$C$4)/('Choix pédagogiques'!$C$5-'Choix pédagogiques'!$C$4),"")</f>
        <v/>
      </c>
      <c r="AU962" s="22" t="str">
        <f t="shared" si="634"/>
        <v/>
      </c>
      <c r="AV962" s="21" t="str">
        <f t="shared" si="635"/>
        <v>Apprenant 950 ou 950'</v>
      </c>
      <c r="AW962" s="49" t="str">
        <f>IF(AND('Choix pédagogiques'!$C$4&lt;&gt;"?",'Choix pédagogiques'!$C$5&lt;&gt;"?",AB962&lt;&gt;""),(AB962-'Choix pédagogiques'!$C$4)/('Choix pédagogiques'!$C$5-'Choix pédagogiques'!$C$4),"")</f>
        <v/>
      </c>
      <c r="AX962" s="49" t="str">
        <f>IF(AND('Choix pédagogiques'!$C$4&lt;&gt;"?",'Choix pédagogiques'!$C$5&lt;&gt;"?",AC962&lt;&gt;""),(AC962-'Choix pédagogiques'!$C$4)/('Choix pédagogiques'!$C$5-'Choix pédagogiques'!$C$4),"")</f>
        <v/>
      </c>
      <c r="AY962" s="49" t="str">
        <f>IF(AND('Choix pédagogiques'!$C$4&lt;&gt;"?",'Choix pédagogiques'!$C$5&lt;&gt;"?",AD962&lt;&gt;""),(AD962-'Choix pédagogiques'!$C$4)/('Choix pédagogiques'!$C$5-'Choix pédagogiques'!$C$4),"")</f>
        <v/>
      </c>
      <c r="AZ962" s="22" t="str">
        <f t="shared" si="636"/>
        <v/>
      </c>
      <c r="BA962" s="21" t="str">
        <f t="shared" si="637"/>
        <v>Apprenant 950</v>
      </c>
      <c r="BB962" s="49" t="str">
        <f t="shared" si="609"/>
        <v/>
      </c>
      <c r="BC962" s="49" t="str">
        <f t="shared" si="610"/>
        <v/>
      </c>
      <c r="BD962" s="49" t="str">
        <f t="shared" si="611"/>
        <v/>
      </c>
      <c r="BE962" s="22" t="str">
        <f t="shared" si="638"/>
        <v/>
      </c>
      <c r="BF962" s="21" t="str">
        <f t="shared" si="639"/>
        <v>Apprenant 950 ou 950'</v>
      </c>
      <c r="BG962" s="49" t="str">
        <f t="shared" si="612"/>
        <v/>
      </c>
      <c r="BH962" s="49" t="str">
        <f t="shared" si="613"/>
        <v/>
      </c>
      <c r="BI962" s="49" t="str">
        <f t="shared" si="614"/>
        <v/>
      </c>
      <c r="BJ962" s="22" t="str">
        <f t="shared" si="640"/>
        <v/>
      </c>
      <c r="BL962" s="21"/>
      <c r="BM962" s="21" t="str">
        <f>IF(OR(COUNT(B962:D1961)=0,AND('Choix pédagogiques'!$C$3&lt;&gt;1,'Choix pédagogiques'!$C$3&lt;&gt;2)),"",IF(AND(OR('Choix pédagogiques'!$C$3=1,'Choix pédagogiques'!$C$3=2),$B962&lt;&gt;"",$C962&lt;&gt;"",$D962&lt;&gt;""),1,0))</f>
        <v/>
      </c>
      <c r="BN962" s="21" t="str">
        <f>IF(OR(COUNT(G962:I1961)=0,AND('Choix pédagogiques'!$C$3&lt;&gt;1,'Choix pédagogiques'!$C$3&lt;&gt;2)),"",IF(AND(OR('Choix pédagogiques'!$C$3=1,'Choix pédagogiques'!$C$3=2),AND($G962&lt;&gt;"",$H962&lt;&gt;"",$I962&lt;&gt;"")),1,0))</f>
        <v/>
      </c>
      <c r="BO962" s="21" t="str">
        <f>IF(OR(COUNT(B962:D1961)=0,COUNT(G962:I1961)=0,'Choix pédagogiques'!C$3&lt;&gt;3),"",IF(AND('Choix pédagogiques'!$C$3=3,$B962&lt;&gt;"",$C962&lt;&gt;"",$D962&lt;&gt;"",$G962&lt;&gt;"",$H962&lt;&gt;"",$I962&lt;&gt;""),1,0))</f>
        <v/>
      </c>
      <c r="BR962" s="21">
        <v>348</v>
      </c>
      <c r="BS962" s="21">
        <v>1814</v>
      </c>
      <c r="BT962"/>
    </row>
    <row r="963" spans="1:72" s="23" customFormat="1" ht="18" customHeight="1" x14ac:dyDescent="0.3">
      <c r="A963" s="35" t="s">
        <v>953</v>
      </c>
      <c r="B963" s="37"/>
      <c r="C963" s="37"/>
      <c r="D963" s="37"/>
      <c r="E963" s="37"/>
      <c r="F963" s="35" t="s">
        <v>1961</v>
      </c>
      <c r="G963" s="37"/>
      <c r="H963" s="37"/>
      <c r="I963" s="37"/>
      <c r="J963" s="37"/>
      <c r="K963" s="21" t="str">
        <f t="shared" si="615"/>
        <v>Apprenant 951</v>
      </c>
      <c r="L963" s="22" t="str">
        <f t="shared" si="616"/>
        <v/>
      </c>
      <c r="M963" s="22" t="str">
        <f t="shared" si="617"/>
        <v/>
      </c>
      <c r="N963" s="22" t="str">
        <f t="shared" si="618"/>
        <v/>
      </c>
      <c r="O963" s="22" t="str">
        <f t="shared" si="619"/>
        <v/>
      </c>
      <c r="P963" s="21" t="str">
        <f t="shared" si="620"/>
        <v>Apprenant 951 ou 951'</v>
      </c>
      <c r="Q963" s="22" t="str">
        <f t="shared" si="621"/>
        <v/>
      </c>
      <c r="R963" s="22" t="str">
        <f t="shared" si="622"/>
        <v/>
      </c>
      <c r="S963" s="22" t="str">
        <f t="shared" si="623"/>
        <v/>
      </c>
      <c r="T963" s="22" t="str">
        <f t="shared" si="624"/>
        <v/>
      </c>
      <c r="V963" s="21" t="str">
        <f t="shared" si="625"/>
        <v>Apprenant 951</v>
      </c>
      <c r="W963" s="22" t="str">
        <f>IF(AND(OR('Choix pédagogiques'!$C$3=1,'Choix pédagogiques'!$C$3=2),$BM963=1),B963,IF(AND('Choix pédagogiques'!$C$3=3,$BO963=1),B963,""))</f>
        <v/>
      </c>
      <c r="X963" s="22" t="str">
        <f>IF(AND(OR('Choix pédagogiques'!$C$3=1,'Choix pédagogiques'!$C$3=2),$BM963=1),C963,IF(AND('Choix pédagogiques'!$C$3=3,$BO963=1),C963,""))</f>
        <v/>
      </c>
      <c r="Y963" s="22" t="str">
        <f>IF(AND(OR('Choix pédagogiques'!$C$3=1,'Choix pédagogiques'!$C$3=2),$BM963=1),D963,IF(AND('Choix pédagogiques'!$C$3=3,$BO963=1),D963,""))</f>
        <v/>
      </c>
      <c r="Z963" s="22" t="str">
        <f t="shared" si="626"/>
        <v/>
      </c>
      <c r="AA963" s="21" t="str">
        <f t="shared" si="627"/>
        <v>Apprenant 951 ou 951'</v>
      </c>
      <c r="AB963" s="22" t="str">
        <f>IF(AND(OR('Choix pédagogiques'!$C$3=1,'Choix pédagogiques'!$C$3=2),$BN963=1),G963,IF(AND('Choix pédagogiques'!$C$3=3,$BO963=1),G963,""))</f>
        <v/>
      </c>
      <c r="AC963" s="22" t="str">
        <f>IF(AND(OR('Choix pédagogiques'!$C$3=1,'Choix pédagogiques'!$C$3=2),$BN963=1),H963,IF(AND('Choix pédagogiques'!$C$3=3,$BO963=1),H963,""))</f>
        <v/>
      </c>
      <c r="AD963" s="22" t="str">
        <f>IF(AND(OR('Choix pédagogiques'!$C$3=1,'Choix pédagogiques'!$C$3=2),$BN963=1),I963,IF(AND('Choix pédagogiques'!$C$3=3,$BO963=1),I963,""))</f>
        <v/>
      </c>
      <c r="AE963" s="22" t="str">
        <f t="shared" si="628"/>
        <v/>
      </c>
      <c r="AF963" s="21" t="str">
        <f t="shared" si="629"/>
        <v>Apprenant 951</v>
      </c>
      <c r="AG963" s="22" t="str">
        <f t="shared" si="603"/>
        <v/>
      </c>
      <c r="AH963" s="22" t="str">
        <f t="shared" si="604"/>
        <v/>
      </c>
      <c r="AI963" s="22" t="str">
        <f t="shared" si="605"/>
        <v/>
      </c>
      <c r="AJ963" s="22" t="str">
        <f t="shared" si="630"/>
        <v/>
      </c>
      <c r="AK963" s="21" t="str">
        <f t="shared" si="631"/>
        <v>Apprenant 951 ou 951'</v>
      </c>
      <c r="AL963" s="22" t="str">
        <f t="shared" si="606"/>
        <v/>
      </c>
      <c r="AM963" s="22" t="str">
        <f t="shared" si="607"/>
        <v/>
      </c>
      <c r="AN963" s="22" t="str">
        <f t="shared" si="608"/>
        <v/>
      </c>
      <c r="AO963" s="22" t="str">
        <f t="shared" si="632"/>
        <v/>
      </c>
      <c r="AQ963" s="21" t="str">
        <f t="shared" si="633"/>
        <v>Apprenant 951</v>
      </c>
      <c r="AR963" s="49" t="str">
        <f>IF(AND('Choix pédagogiques'!$C$4&lt;&gt;"?",'Choix pédagogiques'!$C$5&lt;&gt;"?",W963&lt;&gt;""),(W963-'Choix pédagogiques'!$C$4)/('Choix pédagogiques'!$C$5-'Choix pédagogiques'!$C$4),"")</f>
        <v/>
      </c>
      <c r="AS963" s="49" t="str">
        <f>IF(AND('Choix pédagogiques'!$C$4&lt;&gt;"?",'Choix pédagogiques'!$C$5&lt;&gt;"?",X963&lt;&gt;""),(X963-'Choix pédagogiques'!$C$4)/('Choix pédagogiques'!$C$5-'Choix pédagogiques'!$C$4),"")</f>
        <v/>
      </c>
      <c r="AT963" s="49" t="str">
        <f>IF(AND('Choix pédagogiques'!$C$4&lt;&gt;"?",'Choix pédagogiques'!$C$5&lt;&gt;"?",Y963&lt;&gt;""),(Y963-'Choix pédagogiques'!$C$4)/('Choix pédagogiques'!$C$5-'Choix pédagogiques'!$C$4),"")</f>
        <v/>
      </c>
      <c r="AU963" s="22" t="str">
        <f t="shared" si="634"/>
        <v/>
      </c>
      <c r="AV963" s="21" t="str">
        <f t="shared" si="635"/>
        <v>Apprenant 951 ou 951'</v>
      </c>
      <c r="AW963" s="49" t="str">
        <f>IF(AND('Choix pédagogiques'!$C$4&lt;&gt;"?",'Choix pédagogiques'!$C$5&lt;&gt;"?",AB963&lt;&gt;""),(AB963-'Choix pédagogiques'!$C$4)/('Choix pédagogiques'!$C$5-'Choix pédagogiques'!$C$4),"")</f>
        <v/>
      </c>
      <c r="AX963" s="49" t="str">
        <f>IF(AND('Choix pédagogiques'!$C$4&lt;&gt;"?",'Choix pédagogiques'!$C$5&lt;&gt;"?",AC963&lt;&gt;""),(AC963-'Choix pédagogiques'!$C$4)/('Choix pédagogiques'!$C$5-'Choix pédagogiques'!$C$4),"")</f>
        <v/>
      </c>
      <c r="AY963" s="49" t="str">
        <f>IF(AND('Choix pédagogiques'!$C$4&lt;&gt;"?",'Choix pédagogiques'!$C$5&lt;&gt;"?",AD963&lt;&gt;""),(AD963-'Choix pédagogiques'!$C$4)/('Choix pédagogiques'!$C$5-'Choix pédagogiques'!$C$4),"")</f>
        <v/>
      </c>
      <c r="AZ963" s="22" t="str">
        <f t="shared" si="636"/>
        <v/>
      </c>
      <c r="BA963" s="21" t="str">
        <f t="shared" si="637"/>
        <v>Apprenant 951</v>
      </c>
      <c r="BB963" s="49" t="str">
        <f t="shared" si="609"/>
        <v/>
      </c>
      <c r="BC963" s="49" t="str">
        <f t="shared" si="610"/>
        <v/>
      </c>
      <c r="BD963" s="49" t="str">
        <f t="shared" si="611"/>
        <v/>
      </c>
      <c r="BE963" s="22" t="str">
        <f t="shared" si="638"/>
        <v/>
      </c>
      <c r="BF963" s="21" t="str">
        <f t="shared" si="639"/>
        <v>Apprenant 951 ou 951'</v>
      </c>
      <c r="BG963" s="49" t="str">
        <f t="shared" si="612"/>
        <v/>
      </c>
      <c r="BH963" s="49" t="str">
        <f t="shared" si="613"/>
        <v/>
      </c>
      <c r="BI963" s="49" t="str">
        <f t="shared" si="614"/>
        <v/>
      </c>
      <c r="BJ963" s="22" t="str">
        <f t="shared" si="640"/>
        <v/>
      </c>
      <c r="BL963" s="21"/>
      <c r="BM963" s="21" t="str">
        <f>IF(OR(COUNT(B963:D1962)=0,AND('Choix pédagogiques'!$C$3&lt;&gt;1,'Choix pédagogiques'!$C$3&lt;&gt;2)),"",IF(AND(OR('Choix pédagogiques'!$C$3=1,'Choix pédagogiques'!$C$3=2),$B963&lt;&gt;"",$C963&lt;&gt;"",$D963&lt;&gt;""),1,0))</f>
        <v/>
      </c>
      <c r="BN963" s="21" t="str">
        <f>IF(OR(COUNT(G963:I1962)=0,AND('Choix pédagogiques'!$C$3&lt;&gt;1,'Choix pédagogiques'!$C$3&lt;&gt;2)),"",IF(AND(OR('Choix pédagogiques'!$C$3=1,'Choix pédagogiques'!$C$3=2),AND($G963&lt;&gt;"",$H963&lt;&gt;"",$I963&lt;&gt;"")),1,0))</f>
        <v/>
      </c>
      <c r="BO963" s="21" t="str">
        <f>IF(OR(COUNT(B963:D1962)=0,COUNT(G963:I1962)=0,'Choix pédagogiques'!C$3&lt;&gt;3),"",IF(AND('Choix pédagogiques'!$C$3=3,$B963&lt;&gt;"",$C963&lt;&gt;"",$D963&lt;&gt;"",$G963&lt;&gt;"",$H963&lt;&gt;"",$I963&lt;&gt;""),1,0))</f>
        <v/>
      </c>
      <c r="BR963" s="21">
        <v>467</v>
      </c>
      <c r="BS963" s="21">
        <v>1798</v>
      </c>
      <c r="BT963"/>
    </row>
    <row r="964" spans="1:72" s="23" customFormat="1" ht="18" customHeight="1" x14ac:dyDescent="0.3">
      <c r="A964" s="35" t="s">
        <v>954</v>
      </c>
      <c r="B964" s="37"/>
      <c r="C964" s="37"/>
      <c r="D964" s="37"/>
      <c r="E964" s="37"/>
      <c r="F964" s="35" t="s">
        <v>1962</v>
      </c>
      <c r="G964" s="37"/>
      <c r="H964" s="37"/>
      <c r="I964" s="37"/>
      <c r="J964" s="37"/>
      <c r="K964" s="21" t="str">
        <f t="shared" si="615"/>
        <v>Apprenant 952</v>
      </c>
      <c r="L964" s="22" t="str">
        <f t="shared" si="616"/>
        <v/>
      </c>
      <c r="M964" s="22" t="str">
        <f t="shared" si="617"/>
        <v/>
      </c>
      <c r="N964" s="22" t="str">
        <f t="shared" si="618"/>
        <v/>
      </c>
      <c r="O964" s="22" t="str">
        <f t="shared" si="619"/>
        <v/>
      </c>
      <c r="P964" s="21" t="str">
        <f t="shared" si="620"/>
        <v>Apprenant 952 ou 952'</v>
      </c>
      <c r="Q964" s="22" t="str">
        <f t="shared" si="621"/>
        <v/>
      </c>
      <c r="R964" s="22" t="str">
        <f t="shared" si="622"/>
        <v/>
      </c>
      <c r="S964" s="22" t="str">
        <f t="shared" si="623"/>
        <v/>
      </c>
      <c r="T964" s="22" t="str">
        <f t="shared" si="624"/>
        <v/>
      </c>
      <c r="V964" s="21" t="str">
        <f t="shared" si="625"/>
        <v>Apprenant 952</v>
      </c>
      <c r="W964" s="22" t="str">
        <f>IF(AND(OR('Choix pédagogiques'!$C$3=1,'Choix pédagogiques'!$C$3=2),$BM964=1),B964,IF(AND('Choix pédagogiques'!$C$3=3,$BO964=1),B964,""))</f>
        <v/>
      </c>
      <c r="X964" s="22" t="str">
        <f>IF(AND(OR('Choix pédagogiques'!$C$3=1,'Choix pédagogiques'!$C$3=2),$BM964=1),C964,IF(AND('Choix pédagogiques'!$C$3=3,$BO964=1),C964,""))</f>
        <v/>
      </c>
      <c r="Y964" s="22" t="str">
        <f>IF(AND(OR('Choix pédagogiques'!$C$3=1,'Choix pédagogiques'!$C$3=2),$BM964=1),D964,IF(AND('Choix pédagogiques'!$C$3=3,$BO964=1),D964,""))</f>
        <v/>
      </c>
      <c r="Z964" s="22" t="str">
        <f t="shared" si="626"/>
        <v/>
      </c>
      <c r="AA964" s="21" t="str">
        <f t="shared" si="627"/>
        <v>Apprenant 952 ou 952'</v>
      </c>
      <c r="AB964" s="22" t="str">
        <f>IF(AND(OR('Choix pédagogiques'!$C$3=1,'Choix pédagogiques'!$C$3=2),$BN964=1),G964,IF(AND('Choix pédagogiques'!$C$3=3,$BO964=1),G964,""))</f>
        <v/>
      </c>
      <c r="AC964" s="22" t="str">
        <f>IF(AND(OR('Choix pédagogiques'!$C$3=1,'Choix pédagogiques'!$C$3=2),$BN964=1),H964,IF(AND('Choix pédagogiques'!$C$3=3,$BO964=1),H964,""))</f>
        <v/>
      </c>
      <c r="AD964" s="22" t="str">
        <f>IF(AND(OR('Choix pédagogiques'!$C$3=1,'Choix pédagogiques'!$C$3=2),$BN964=1),I964,IF(AND('Choix pédagogiques'!$C$3=3,$BO964=1),I964,""))</f>
        <v/>
      </c>
      <c r="AE964" s="22" t="str">
        <f t="shared" si="628"/>
        <v/>
      </c>
      <c r="AF964" s="21" t="str">
        <f t="shared" si="629"/>
        <v>Apprenant 952</v>
      </c>
      <c r="AG964" s="22" t="str">
        <f t="shared" si="603"/>
        <v/>
      </c>
      <c r="AH964" s="22" t="str">
        <f t="shared" si="604"/>
        <v/>
      </c>
      <c r="AI964" s="22" t="str">
        <f t="shared" si="605"/>
        <v/>
      </c>
      <c r="AJ964" s="22" t="str">
        <f t="shared" si="630"/>
        <v/>
      </c>
      <c r="AK964" s="21" t="str">
        <f t="shared" si="631"/>
        <v>Apprenant 952 ou 952'</v>
      </c>
      <c r="AL964" s="22" t="str">
        <f t="shared" si="606"/>
        <v/>
      </c>
      <c r="AM964" s="22" t="str">
        <f t="shared" si="607"/>
        <v/>
      </c>
      <c r="AN964" s="22" t="str">
        <f t="shared" si="608"/>
        <v/>
      </c>
      <c r="AO964" s="22" t="str">
        <f t="shared" si="632"/>
        <v/>
      </c>
      <c r="AQ964" s="21" t="str">
        <f t="shared" si="633"/>
        <v>Apprenant 952</v>
      </c>
      <c r="AR964" s="49" t="str">
        <f>IF(AND('Choix pédagogiques'!$C$4&lt;&gt;"?",'Choix pédagogiques'!$C$5&lt;&gt;"?",W964&lt;&gt;""),(W964-'Choix pédagogiques'!$C$4)/('Choix pédagogiques'!$C$5-'Choix pédagogiques'!$C$4),"")</f>
        <v/>
      </c>
      <c r="AS964" s="49" t="str">
        <f>IF(AND('Choix pédagogiques'!$C$4&lt;&gt;"?",'Choix pédagogiques'!$C$5&lt;&gt;"?",X964&lt;&gt;""),(X964-'Choix pédagogiques'!$C$4)/('Choix pédagogiques'!$C$5-'Choix pédagogiques'!$C$4),"")</f>
        <v/>
      </c>
      <c r="AT964" s="49" t="str">
        <f>IF(AND('Choix pédagogiques'!$C$4&lt;&gt;"?",'Choix pédagogiques'!$C$5&lt;&gt;"?",Y964&lt;&gt;""),(Y964-'Choix pédagogiques'!$C$4)/('Choix pédagogiques'!$C$5-'Choix pédagogiques'!$C$4),"")</f>
        <v/>
      </c>
      <c r="AU964" s="22" t="str">
        <f t="shared" si="634"/>
        <v/>
      </c>
      <c r="AV964" s="21" t="str">
        <f t="shared" si="635"/>
        <v>Apprenant 952 ou 952'</v>
      </c>
      <c r="AW964" s="49" t="str">
        <f>IF(AND('Choix pédagogiques'!$C$4&lt;&gt;"?",'Choix pédagogiques'!$C$5&lt;&gt;"?",AB964&lt;&gt;""),(AB964-'Choix pédagogiques'!$C$4)/('Choix pédagogiques'!$C$5-'Choix pédagogiques'!$C$4),"")</f>
        <v/>
      </c>
      <c r="AX964" s="49" t="str">
        <f>IF(AND('Choix pédagogiques'!$C$4&lt;&gt;"?",'Choix pédagogiques'!$C$5&lt;&gt;"?",AC964&lt;&gt;""),(AC964-'Choix pédagogiques'!$C$4)/('Choix pédagogiques'!$C$5-'Choix pédagogiques'!$C$4),"")</f>
        <v/>
      </c>
      <c r="AY964" s="49" t="str">
        <f>IF(AND('Choix pédagogiques'!$C$4&lt;&gt;"?",'Choix pédagogiques'!$C$5&lt;&gt;"?",AD964&lt;&gt;""),(AD964-'Choix pédagogiques'!$C$4)/('Choix pédagogiques'!$C$5-'Choix pédagogiques'!$C$4),"")</f>
        <v/>
      </c>
      <c r="AZ964" s="22" t="str">
        <f t="shared" si="636"/>
        <v/>
      </c>
      <c r="BA964" s="21" t="str">
        <f t="shared" si="637"/>
        <v>Apprenant 952</v>
      </c>
      <c r="BB964" s="49" t="str">
        <f t="shared" si="609"/>
        <v/>
      </c>
      <c r="BC964" s="49" t="str">
        <f t="shared" si="610"/>
        <v/>
      </c>
      <c r="BD964" s="49" t="str">
        <f t="shared" si="611"/>
        <v/>
      </c>
      <c r="BE964" s="22" t="str">
        <f t="shared" si="638"/>
        <v/>
      </c>
      <c r="BF964" s="21" t="str">
        <f t="shared" si="639"/>
        <v>Apprenant 952 ou 952'</v>
      </c>
      <c r="BG964" s="49" t="str">
        <f t="shared" si="612"/>
        <v/>
      </c>
      <c r="BH964" s="49" t="str">
        <f t="shared" si="613"/>
        <v/>
      </c>
      <c r="BI964" s="49" t="str">
        <f t="shared" si="614"/>
        <v/>
      </c>
      <c r="BJ964" s="22" t="str">
        <f t="shared" si="640"/>
        <v/>
      </c>
      <c r="BL964" s="21"/>
      <c r="BM964" s="21" t="str">
        <f>IF(OR(COUNT(B964:D1963)=0,AND('Choix pédagogiques'!$C$3&lt;&gt;1,'Choix pédagogiques'!$C$3&lt;&gt;2)),"",IF(AND(OR('Choix pédagogiques'!$C$3=1,'Choix pédagogiques'!$C$3=2),$B964&lt;&gt;"",$C964&lt;&gt;"",$D964&lt;&gt;""),1,0))</f>
        <v/>
      </c>
      <c r="BN964" s="21" t="str">
        <f>IF(OR(COUNT(G964:I1963)=0,AND('Choix pédagogiques'!$C$3&lt;&gt;1,'Choix pédagogiques'!$C$3&lt;&gt;2)),"",IF(AND(OR('Choix pédagogiques'!$C$3=1,'Choix pédagogiques'!$C$3=2),AND($G964&lt;&gt;"",$H964&lt;&gt;"",$I964&lt;&gt;"")),1,0))</f>
        <v/>
      </c>
      <c r="BO964" s="21" t="str">
        <f>IF(OR(COUNT(B964:D1963)=0,COUNT(G964:I1963)=0,'Choix pédagogiques'!C$3&lt;&gt;3),"",IF(AND('Choix pédagogiques'!$C$3=3,$B964&lt;&gt;"",$C964&lt;&gt;"",$D964&lt;&gt;"",$G964&lt;&gt;"",$H964&lt;&gt;"",$I964&lt;&gt;""),1,0))</f>
        <v/>
      </c>
      <c r="BR964" s="21">
        <v>567</v>
      </c>
      <c r="BS964" s="21">
        <v>1925</v>
      </c>
      <c r="BT964"/>
    </row>
    <row r="965" spans="1:72" s="23" customFormat="1" ht="18" customHeight="1" x14ac:dyDescent="0.3">
      <c r="A965" s="35" t="s">
        <v>955</v>
      </c>
      <c r="B965" s="37"/>
      <c r="C965" s="37"/>
      <c r="D965" s="37"/>
      <c r="E965" s="37"/>
      <c r="F965" s="35" t="s">
        <v>1963</v>
      </c>
      <c r="G965" s="37"/>
      <c r="H965" s="37"/>
      <c r="I965" s="37"/>
      <c r="J965" s="37"/>
      <c r="K965" s="21" t="str">
        <f t="shared" si="615"/>
        <v>Apprenant 953</v>
      </c>
      <c r="L965" s="22" t="str">
        <f t="shared" si="616"/>
        <v/>
      </c>
      <c r="M965" s="22" t="str">
        <f t="shared" si="617"/>
        <v/>
      </c>
      <c r="N965" s="22" t="str">
        <f t="shared" si="618"/>
        <v/>
      </c>
      <c r="O965" s="22" t="str">
        <f t="shared" si="619"/>
        <v/>
      </c>
      <c r="P965" s="21" t="str">
        <f t="shared" si="620"/>
        <v>Apprenant 953 ou 953'</v>
      </c>
      <c r="Q965" s="22" t="str">
        <f t="shared" si="621"/>
        <v/>
      </c>
      <c r="R965" s="22" t="str">
        <f t="shared" si="622"/>
        <v/>
      </c>
      <c r="S965" s="22" t="str">
        <f t="shared" si="623"/>
        <v/>
      </c>
      <c r="T965" s="22" t="str">
        <f t="shared" si="624"/>
        <v/>
      </c>
      <c r="V965" s="21" t="str">
        <f t="shared" si="625"/>
        <v>Apprenant 953</v>
      </c>
      <c r="W965" s="22" t="str">
        <f>IF(AND(OR('Choix pédagogiques'!$C$3=1,'Choix pédagogiques'!$C$3=2),$BM965=1),B965,IF(AND('Choix pédagogiques'!$C$3=3,$BO965=1),B965,""))</f>
        <v/>
      </c>
      <c r="X965" s="22" t="str">
        <f>IF(AND(OR('Choix pédagogiques'!$C$3=1,'Choix pédagogiques'!$C$3=2),$BM965=1),C965,IF(AND('Choix pédagogiques'!$C$3=3,$BO965=1),C965,""))</f>
        <v/>
      </c>
      <c r="Y965" s="22" t="str">
        <f>IF(AND(OR('Choix pédagogiques'!$C$3=1,'Choix pédagogiques'!$C$3=2),$BM965=1),D965,IF(AND('Choix pédagogiques'!$C$3=3,$BO965=1),D965,""))</f>
        <v/>
      </c>
      <c r="Z965" s="22" t="str">
        <f t="shared" si="626"/>
        <v/>
      </c>
      <c r="AA965" s="21" t="str">
        <f t="shared" si="627"/>
        <v>Apprenant 953 ou 953'</v>
      </c>
      <c r="AB965" s="22" t="str">
        <f>IF(AND(OR('Choix pédagogiques'!$C$3=1,'Choix pédagogiques'!$C$3=2),$BN965=1),G965,IF(AND('Choix pédagogiques'!$C$3=3,$BO965=1),G965,""))</f>
        <v/>
      </c>
      <c r="AC965" s="22" t="str">
        <f>IF(AND(OR('Choix pédagogiques'!$C$3=1,'Choix pédagogiques'!$C$3=2),$BN965=1),H965,IF(AND('Choix pédagogiques'!$C$3=3,$BO965=1),H965,""))</f>
        <v/>
      </c>
      <c r="AD965" s="22" t="str">
        <f>IF(AND(OR('Choix pédagogiques'!$C$3=1,'Choix pédagogiques'!$C$3=2),$BN965=1),I965,IF(AND('Choix pédagogiques'!$C$3=3,$BO965=1),I965,""))</f>
        <v/>
      </c>
      <c r="AE965" s="22" t="str">
        <f t="shared" si="628"/>
        <v/>
      </c>
      <c r="AF965" s="21" t="str">
        <f t="shared" si="629"/>
        <v>Apprenant 953</v>
      </c>
      <c r="AG965" s="22" t="str">
        <f t="shared" si="603"/>
        <v/>
      </c>
      <c r="AH965" s="22" t="str">
        <f t="shared" si="604"/>
        <v/>
      </c>
      <c r="AI965" s="22" t="str">
        <f t="shared" si="605"/>
        <v/>
      </c>
      <c r="AJ965" s="22" t="str">
        <f t="shared" si="630"/>
        <v/>
      </c>
      <c r="AK965" s="21" t="str">
        <f t="shared" si="631"/>
        <v>Apprenant 953 ou 953'</v>
      </c>
      <c r="AL965" s="22" t="str">
        <f t="shared" si="606"/>
        <v/>
      </c>
      <c r="AM965" s="22" t="str">
        <f t="shared" si="607"/>
        <v/>
      </c>
      <c r="AN965" s="22" t="str">
        <f t="shared" si="608"/>
        <v/>
      </c>
      <c r="AO965" s="22" t="str">
        <f t="shared" si="632"/>
        <v/>
      </c>
      <c r="AQ965" s="21" t="str">
        <f t="shared" si="633"/>
        <v>Apprenant 953</v>
      </c>
      <c r="AR965" s="49" t="str">
        <f>IF(AND('Choix pédagogiques'!$C$4&lt;&gt;"?",'Choix pédagogiques'!$C$5&lt;&gt;"?",W965&lt;&gt;""),(W965-'Choix pédagogiques'!$C$4)/('Choix pédagogiques'!$C$5-'Choix pédagogiques'!$C$4),"")</f>
        <v/>
      </c>
      <c r="AS965" s="49" t="str">
        <f>IF(AND('Choix pédagogiques'!$C$4&lt;&gt;"?",'Choix pédagogiques'!$C$5&lt;&gt;"?",X965&lt;&gt;""),(X965-'Choix pédagogiques'!$C$4)/('Choix pédagogiques'!$C$5-'Choix pédagogiques'!$C$4),"")</f>
        <v/>
      </c>
      <c r="AT965" s="49" t="str">
        <f>IF(AND('Choix pédagogiques'!$C$4&lt;&gt;"?",'Choix pédagogiques'!$C$5&lt;&gt;"?",Y965&lt;&gt;""),(Y965-'Choix pédagogiques'!$C$4)/('Choix pédagogiques'!$C$5-'Choix pédagogiques'!$C$4),"")</f>
        <v/>
      </c>
      <c r="AU965" s="22" t="str">
        <f t="shared" si="634"/>
        <v/>
      </c>
      <c r="AV965" s="21" t="str">
        <f t="shared" si="635"/>
        <v>Apprenant 953 ou 953'</v>
      </c>
      <c r="AW965" s="49" t="str">
        <f>IF(AND('Choix pédagogiques'!$C$4&lt;&gt;"?",'Choix pédagogiques'!$C$5&lt;&gt;"?",AB965&lt;&gt;""),(AB965-'Choix pédagogiques'!$C$4)/('Choix pédagogiques'!$C$5-'Choix pédagogiques'!$C$4),"")</f>
        <v/>
      </c>
      <c r="AX965" s="49" t="str">
        <f>IF(AND('Choix pédagogiques'!$C$4&lt;&gt;"?",'Choix pédagogiques'!$C$5&lt;&gt;"?",AC965&lt;&gt;""),(AC965-'Choix pédagogiques'!$C$4)/('Choix pédagogiques'!$C$5-'Choix pédagogiques'!$C$4),"")</f>
        <v/>
      </c>
      <c r="AY965" s="49" t="str">
        <f>IF(AND('Choix pédagogiques'!$C$4&lt;&gt;"?",'Choix pédagogiques'!$C$5&lt;&gt;"?",AD965&lt;&gt;""),(AD965-'Choix pédagogiques'!$C$4)/('Choix pédagogiques'!$C$5-'Choix pédagogiques'!$C$4),"")</f>
        <v/>
      </c>
      <c r="AZ965" s="22" t="str">
        <f t="shared" si="636"/>
        <v/>
      </c>
      <c r="BA965" s="21" t="str">
        <f t="shared" si="637"/>
        <v>Apprenant 953</v>
      </c>
      <c r="BB965" s="49" t="str">
        <f t="shared" si="609"/>
        <v/>
      </c>
      <c r="BC965" s="49" t="str">
        <f t="shared" si="610"/>
        <v/>
      </c>
      <c r="BD965" s="49" t="str">
        <f t="shared" si="611"/>
        <v/>
      </c>
      <c r="BE965" s="22" t="str">
        <f t="shared" si="638"/>
        <v/>
      </c>
      <c r="BF965" s="21" t="str">
        <f t="shared" si="639"/>
        <v>Apprenant 953 ou 953'</v>
      </c>
      <c r="BG965" s="49" t="str">
        <f t="shared" si="612"/>
        <v/>
      </c>
      <c r="BH965" s="49" t="str">
        <f t="shared" si="613"/>
        <v/>
      </c>
      <c r="BI965" s="49" t="str">
        <f t="shared" si="614"/>
        <v/>
      </c>
      <c r="BJ965" s="22" t="str">
        <f t="shared" si="640"/>
        <v/>
      </c>
      <c r="BL965" s="21"/>
      <c r="BM965" s="21" t="str">
        <f>IF(OR(COUNT(B965:D1964)=0,AND('Choix pédagogiques'!$C$3&lt;&gt;1,'Choix pédagogiques'!$C$3&lt;&gt;2)),"",IF(AND(OR('Choix pédagogiques'!$C$3=1,'Choix pédagogiques'!$C$3=2),$B965&lt;&gt;"",$C965&lt;&gt;"",$D965&lt;&gt;""),1,0))</f>
        <v/>
      </c>
      <c r="BN965" s="21" t="str">
        <f>IF(OR(COUNT(G965:I1964)=0,AND('Choix pédagogiques'!$C$3&lt;&gt;1,'Choix pédagogiques'!$C$3&lt;&gt;2)),"",IF(AND(OR('Choix pédagogiques'!$C$3=1,'Choix pédagogiques'!$C$3=2),AND($G965&lt;&gt;"",$H965&lt;&gt;"",$I965&lt;&gt;"")),1,0))</f>
        <v/>
      </c>
      <c r="BO965" s="21" t="str">
        <f>IF(OR(COUNT(B965:D1964)=0,COUNT(G965:I1964)=0,'Choix pédagogiques'!C$3&lt;&gt;3),"",IF(AND('Choix pédagogiques'!$C$3=3,$B965&lt;&gt;"",$C965&lt;&gt;"",$D965&lt;&gt;"",$G965&lt;&gt;"",$H965&lt;&gt;"",$I965&lt;&gt;""),1,0))</f>
        <v/>
      </c>
      <c r="BR965" s="21">
        <v>784</v>
      </c>
      <c r="BS965" s="21">
        <v>1429</v>
      </c>
      <c r="BT965"/>
    </row>
    <row r="966" spans="1:72" s="23" customFormat="1" ht="18" customHeight="1" x14ac:dyDescent="0.3">
      <c r="A966" s="35" t="s">
        <v>956</v>
      </c>
      <c r="B966" s="37"/>
      <c r="C966" s="37"/>
      <c r="D966" s="37"/>
      <c r="E966" s="37"/>
      <c r="F966" s="35" t="s">
        <v>1964</v>
      </c>
      <c r="G966" s="37"/>
      <c r="H966" s="37"/>
      <c r="I966" s="37"/>
      <c r="J966" s="37"/>
      <c r="K966" s="21" t="str">
        <f t="shared" si="615"/>
        <v>Apprenant 954</v>
      </c>
      <c r="L966" s="22" t="str">
        <f t="shared" si="616"/>
        <v/>
      </c>
      <c r="M966" s="22" t="str">
        <f t="shared" si="617"/>
        <v/>
      </c>
      <c r="N966" s="22" t="str">
        <f t="shared" si="618"/>
        <v/>
      </c>
      <c r="O966" s="22" t="str">
        <f t="shared" si="619"/>
        <v/>
      </c>
      <c r="P966" s="21" t="str">
        <f t="shared" si="620"/>
        <v>Apprenant 954 ou 954'</v>
      </c>
      <c r="Q966" s="22" t="str">
        <f t="shared" si="621"/>
        <v/>
      </c>
      <c r="R966" s="22" t="str">
        <f t="shared" si="622"/>
        <v/>
      </c>
      <c r="S966" s="22" t="str">
        <f t="shared" si="623"/>
        <v/>
      </c>
      <c r="T966" s="22" t="str">
        <f t="shared" si="624"/>
        <v/>
      </c>
      <c r="V966" s="21" t="str">
        <f t="shared" si="625"/>
        <v>Apprenant 954</v>
      </c>
      <c r="W966" s="22" t="str">
        <f>IF(AND(OR('Choix pédagogiques'!$C$3=1,'Choix pédagogiques'!$C$3=2),$BM966=1),B966,IF(AND('Choix pédagogiques'!$C$3=3,$BO966=1),B966,""))</f>
        <v/>
      </c>
      <c r="X966" s="22" t="str">
        <f>IF(AND(OR('Choix pédagogiques'!$C$3=1,'Choix pédagogiques'!$C$3=2),$BM966=1),C966,IF(AND('Choix pédagogiques'!$C$3=3,$BO966=1),C966,""))</f>
        <v/>
      </c>
      <c r="Y966" s="22" t="str">
        <f>IF(AND(OR('Choix pédagogiques'!$C$3=1,'Choix pédagogiques'!$C$3=2),$BM966=1),D966,IF(AND('Choix pédagogiques'!$C$3=3,$BO966=1),D966,""))</f>
        <v/>
      </c>
      <c r="Z966" s="22" t="str">
        <f t="shared" si="626"/>
        <v/>
      </c>
      <c r="AA966" s="21" t="str">
        <f t="shared" si="627"/>
        <v>Apprenant 954 ou 954'</v>
      </c>
      <c r="AB966" s="22" t="str">
        <f>IF(AND(OR('Choix pédagogiques'!$C$3=1,'Choix pédagogiques'!$C$3=2),$BN966=1),G966,IF(AND('Choix pédagogiques'!$C$3=3,$BO966=1),G966,""))</f>
        <v/>
      </c>
      <c r="AC966" s="22" t="str">
        <f>IF(AND(OR('Choix pédagogiques'!$C$3=1,'Choix pédagogiques'!$C$3=2),$BN966=1),H966,IF(AND('Choix pédagogiques'!$C$3=3,$BO966=1),H966,""))</f>
        <v/>
      </c>
      <c r="AD966" s="22" t="str">
        <f>IF(AND(OR('Choix pédagogiques'!$C$3=1,'Choix pédagogiques'!$C$3=2),$BN966=1),I966,IF(AND('Choix pédagogiques'!$C$3=3,$BO966=1),I966,""))</f>
        <v/>
      </c>
      <c r="AE966" s="22" t="str">
        <f t="shared" si="628"/>
        <v/>
      </c>
      <c r="AF966" s="21" t="str">
        <f t="shared" si="629"/>
        <v>Apprenant 954</v>
      </c>
      <c r="AG966" s="22" t="str">
        <f t="shared" si="603"/>
        <v/>
      </c>
      <c r="AH966" s="22" t="str">
        <f t="shared" si="604"/>
        <v/>
      </c>
      <c r="AI966" s="22" t="str">
        <f t="shared" si="605"/>
        <v/>
      </c>
      <c r="AJ966" s="22" t="str">
        <f t="shared" si="630"/>
        <v/>
      </c>
      <c r="AK966" s="21" t="str">
        <f t="shared" si="631"/>
        <v>Apprenant 954 ou 954'</v>
      </c>
      <c r="AL966" s="22" t="str">
        <f t="shared" si="606"/>
        <v/>
      </c>
      <c r="AM966" s="22" t="str">
        <f t="shared" si="607"/>
        <v/>
      </c>
      <c r="AN966" s="22" t="str">
        <f t="shared" si="608"/>
        <v/>
      </c>
      <c r="AO966" s="22" t="str">
        <f t="shared" si="632"/>
        <v/>
      </c>
      <c r="AQ966" s="21" t="str">
        <f t="shared" si="633"/>
        <v>Apprenant 954</v>
      </c>
      <c r="AR966" s="49" t="str">
        <f>IF(AND('Choix pédagogiques'!$C$4&lt;&gt;"?",'Choix pédagogiques'!$C$5&lt;&gt;"?",W966&lt;&gt;""),(W966-'Choix pédagogiques'!$C$4)/('Choix pédagogiques'!$C$5-'Choix pédagogiques'!$C$4),"")</f>
        <v/>
      </c>
      <c r="AS966" s="49" t="str">
        <f>IF(AND('Choix pédagogiques'!$C$4&lt;&gt;"?",'Choix pédagogiques'!$C$5&lt;&gt;"?",X966&lt;&gt;""),(X966-'Choix pédagogiques'!$C$4)/('Choix pédagogiques'!$C$5-'Choix pédagogiques'!$C$4),"")</f>
        <v/>
      </c>
      <c r="AT966" s="49" t="str">
        <f>IF(AND('Choix pédagogiques'!$C$4&lt;&gt;"?",'Choix pédagogiques'!$C$5&lt;&gt;"?",Y966&lt;&gt;""),(Y966-'Choix pédagogiques'!$C$4)/('Choix pédagogiques'!$C$5-'Choix pédagogiques'!$C$4),"")</f>
        <v/>
      </c>
      <c r="AU966" s="22" t="str">
        <f t="shared" si="634"/>
        <v/>
      </c>
      <c r="AV966" s="21" t="str">
        <f t="shared" si="635"/>
        <v>Apprenant 954 ou 954'</v>
      </c>
      <c r="AW966" s="49" t="str">
        <f>IF(AND('Choix pédagogiques'!$C$4&lt;&gt;"?",'Choix pédagogiques'!$C$5&lt;&gt;"?",AB966&lt;&gt;""),(AB966-'Choix pédagogiques'!$C$4)/('Choix pédagogiques'!$C$5-'Choix pédagogiques'!$C$4),"")</f>
        <v/>
      </c>
      <c r="AX966" s="49" t="str">
        <f>IF(AND('Choix pédagogiques'!$C$4&lt;&gt;"?",'Choix pédagogiques'!$C$5&lt;&gt;"?",AC966&lt;&gt;""),(AC966-'Choix pédagogiques'!$C$4)/('Choix pédagogiques'!$C$5-'Choix pédagogiques'!$C$4),"")</f>
        <v/>
      </c>
      <c r="AY966" s="49" t="str">
        <f>IF(AND('Choix pédagogiques'!$C$4&lt;&gt;"?",'Choix pédagogiques'!$C$5&lt;&gt;"?",AD966&lt;&gt;""),(AD966-'Choix pédagogiques'!$C$4)/('Choix pédagogiques'!$C$5-'Choix pédagogiques'!$C$4),"")</f>
        <v/>
      </c>
      <c r="AZ966" s="22" t="str">
        <f t="shared" si="636"/>
        <v/>
      </c>
      <c r="BA966" s="21" t="str">
        <f t="shared" si="637"/>
        <v>Apprenant 954</v>
      </c>
      <c r="BB966" s="49" t="str">
        <f t="shared" si="609"/>
        <v/>
      </c>
      <c r="BC966" s="49" t="str">
        <f t="shared" si="610"/>
        <v/>
      </c>
      <c r="BD966" s="49" t="str">
        <f t="shared" si="611"/>
        <v/>
      </c>
      <c r="BE966" s="22" t="str">
        <f t="shared" si="638"/>
        <v/>
      </c>
      <c r="BF966" s="21" t="str">
        <f t="shared" si="639"/>
        <v>Apprenant 954 ou 954'</v>
      </c>
      <c r="BG966" s="49" t="str">
        <f t="shared" si="612"/>
        <v/>
      </c>
      <c r="BH966" s="49" t="str">
        <f t="shared" si="613"/>
        <v/>
      </c>
      <c r="BI966" s="49" t="str">
        <f t="shared" si="614"/>
        <v/>
      </c>
      <c r="BJ966" s="22" t="str">
        <f t="shared" si="640"/>
        <v/>
      </c>
      <c r="BL966" s="21"/>
      <c r="BM966" s="21" t="str">
        <f>IF(OR(COUNT(B966:D1965)=0,AND('Choix pédagogiques'!$C$3&lt;&gt;1,'Choix pédagogiques'!$C$3&lt;&gt;2)),"",IF(AND(OR('Choix pédagogiques'!$C$3=1,'Choix pédagogiques'!$C$3=2),$B966&lt;&gt;"",$C966&lt;&gt;"",$D966&lt;&gt;""),1,0))</f>
        <v/>
      </c>
      <c r="BN966" s="21" t="str">
        <f>IF(OR(COUNT(G966:I1965)=0,AND('Choix pédagogiques'!$C$3&lt;&gt;1,'Choix pédagogiques'!$C$3&lt;&gt;2)),"",IF(AND(OR('Choix pédagogiques'!$C$3=1,'Choix pédagogiques'!$C$3=2),AND($G966&lt;&gt;"",$H966&lt;&gt;"",$I966&lt;&gt;"")),1,0))</f>
        <v/>
      </c>
      <c r="BO966" s="21" t="str">
        <f>IF(OR(COUNT(B966:D1965)=0,COUNT(G966:I1965)=0,'Choix pédagogiques'!C$3&lt;&gt;3),"",IF(AND('Choix pédagogiques'!$C$3=3,$B966&lt;&gt;"",$C966&lt;&gt;"",$D966&lt;&gt;"",$G966&lt;&gt;"",$H966&lt;&gt;"",$I966&lt;&gt;""),1,0))</f>
        <v/>
      </c>
      <c r="BR966" s="21">
        <v>874</v>
      </c>
      <c r="BS966" s="21">
        <v>1638</v>
      </c>
      <c r="BT966"/>
    </row>
    <row r="967" spans="1:72" s="23" customFormat="1" ht="18" customHeight="1" x14ac:dyDescent="0.3">
      <c r="A967" s="35" t="s">
        <v>957</v>
      </c>
      <c r="B967" s="37"/>
      <c r="C967" s="37"/>
      <c r="D967" s="37"/>
      <c r="E967" s="37"/>
      <c r="F967" s="35" t="s">
        <v>1965</v>
      </c>
      <c r="G967" s="37"/>
      <c r="H967" s="37"/>
      <c r="I967" s="37"/>
      <c r="J967" s="37"/>
      <c r="K967" s="21" t="str">
        <f t="shared" si="615"/>
        <v>Apprenant 955</v>
      </c>
      <c r="L967" s="22" t="str">
        <f t="shared" si="616"/>
        <v/>
      </c>
      <c r="M967" s="22" t="str">
        <f t="shared" si="617"/>
        <v/>
      </c>
      <c r="N967" s="22" t="str">
        <f t="shared" si="618"/>
        <v/>
      </c>
      <c r="O967" s="22" t="str">
        <f t="shared" si="619"/>
        <v/>
      </c>
      <c r="P967" s="21" t="str">
        <f t="shared" si="620"/>
        <v>Apprenant 955 ou 955'</v>
      </c>
      <c r="Q967" s="22" t="str">
        <f t="shared" si="621"/>
        <v/>
      </c>
      <c r="R967" s="22" t="str">
        <f t="shared" si="622"/>
        <v/>
      </c>
      <c r="S967" s="22" t="str">
        <f t="shared" si="623"/>
        <v/>
      </c>
      <c r="T967" s="22" t="str">
        <f t="shared" si="624"/>
        <v/>
      </c>
      <c r="V967" s="21" t="str">
        <f t="shared" si="625"/>
        <v>Apprenant 955</v>
      </c>
      <c r="W967" s="22" t="str">
        <f>IF(AND(OR('Choix pédagogiques'!$C$3=1,'Choix pédagogiques'!$C$3=2),$BM967=1),B967,IF(AND('Choix pédagogiques'!$C$3=3,$BO967=1),B967,""))</f>
        <v/>
      </c>
      <c r="X967" s="22" t="str">
        <f>IF(AND(OR('Choix pédagogiques'!$C$3=1,'Choix pédagogiques'!$C$3=2),$BM967=1),C967,IF(AND('Choix pédagogiques'!$C$3=3,$BO967=1),C967,""))</f>
        <v/>
      </c>
      <c r="Y967" s="22" t="str">
        <f>IF(AND(OR('Choix pédagogiques'!$C$3=1,'Choix pédagogiques'!$C$3=2),$BM967=1),D967,IF(AND('Choix pédagogiques'!$C$3=3,$BO967=1),D967,""))</f>
        <v/>
      </c>
      <c r="Z967" s="22" t="str">
        <f t="shared" si="626"/>
        <v/>
      </c>
      <c r="AA967" s="21" t="str">
        <f t="shared" si="627"/>
        <v>Apprenant 955 ou 955'</v>
      </c>
      <c r="AB967" s="22" t="str">
        <f>IF(AND(OR('Choix pédagogiques'!$C$3=1,'Choix pédagogiques'!$C$3=2),$BN967=1),G967,IF(AND('Choix pédagogiques'!$C$3=3,$BO967=1),G967,""))</f>
        <v/>
      </c>
      <c r="AC967" s="22" t="str">
        <f>IF(AND(OR('Choix pédagogiques'!$C$3=1,'Choix pédagogiques'!$C$3=2),$BN967=1),H967,IF(AND('Choix pédagogiques'!$C$3=3,$BO967=1),H967,""))</f>
        <v/>
      </c>
      <c r="AD967" s="22" t="str">
        <f>IF(AND(OR('Choix pédagogiques'!$C$3=1,'Choix pédagogiques'!$C$3=2),$BN967=1),I967,IF(AND('Choix pédagogiques'!$C$3=3,$BO967=1),I967,""))</f>
        <v/>
      </c>
      <c r="AE967" s="22" t="str">
        <f t="shared" si="628"/>
        <v/>
      </c>
      <c r="AF967" s="21" t="str">
        <f t="shared" si="629"/>
        <v>Apprenant 955</v>
      </c>
      <c r="AG967" s="22" t="str">
        <f t="shared" si="603"/>
        <v/>
      </c>
      <c r="AH967" s="22" t="str">
        <f t="shared" si="604"/>
        <v/>
      </c>
      <c r="AI967" s="22" t="str">
        <f t="shared" si="605"/>
        <v/>
      </c>
      <c r="AJ967" s="22" t="str">
        <f t="shared" si="630"/>
        <v/>
      </c>
      <c r="AK967" s="21" t="str">
        <f t="shared" si="631"/>
        <v>Apprenant 955 ou 955'</v>
      </c>
      <c r="AL967" s="22" t="str">
        <f t="shared" si="606"/>
        <v/>
      </c>
      <c r="AM967" s="22" t="str">
        <f t="shared" si="607"/>
        <v/>
      </c>
      <c r="AN967" s="22" t="str">
        <f t="shared" si="608"/>
        <v/>
      </c>
      <c r="AO967" s="22" t="str">
        <f t="shared" si="632"/>
        <v/>
      </c>
      <c r="AQ967" s="21" t="str">
        <f t="shared" si="633"/>
        <v>Apprenant 955</v>
      </c>
      <c r="AR967" s="49" t="str">
        <f>IF(AND('Choix pédagogiques'!$C$4&lt;&gt;"?",'Choix pédagogiques'!$C$5&lt;&gt;"?",W967&lt;&gt;""),(W967-'Choix pédagogiques'!$C$4)/('Choix pédagogiques'!$C$5-'Choix pédagogiques'!$C$4),"")</f>
        <v/>
      </c>
      <c r="AS967" s="49" t="str">
        <f>IF(AND('Choix pédagogiques'!$C$4&lt;&gt;"?",'Choix pédagogiques'!$C$5&lt;&gt;"?",X967&lt;&gt;""),(X967-'Choix pédagogiques'!$C$4)/('Choix pédagogiques'!$C$5-'Choix pédagogiques'!$C$4),"")</f>
        <v/>
      </c>
      <c r="AT967" s="49" t="str">
        <f>IF(AND('Choix pédagogiques'!$C$4&lt;&gt;"?",'Choix pédagogiques'!$C$5&lt;&gt;"?",Y967&lt;&gt;""),(Y967-'Choix pédagogiques'!$C$4)/('Choix pédagogiques'!$C$5-'Choix pédagogiques'!$C$4),"")</f>
        <v/>
      </c>
      <c r="AU967" s="22" t="str">
        <f t="shared" si="634"/>
        <v/>
      </c>
      <c r="AV967" s="21" t="str">
        <f t="shared" si="635"/>
        <v>Apprenant 955 ou 955'</v>
      </c>
      <c r="AW967" s="49" t="str">
        <f>IF(AND('Choix pédagogiques'!$C$4&lt;&gt;"?",'Choix pédagogiques'!$C$5&lt;&gt;"?",AB967&lt;&gt;""),(AB967-'Choix pédagogiques'!$C$4)/('Choix pédagogiques'!$C$5-'Choix pédagogiques'!$C$4),"")</f>
        <v/>
      </c>
      <c r="AX967" s="49" t="str">
        <f>IF(AND('Choix pédagogiques'!$C$4&lt;&gt;"?",'Choix pédagogiques'!$C$5&lt;&gt;"?",AC967&lt;&gt;""),(AC967-'Choix pédagogiques'!$C$4)/('Choix pédagogiques'!$C$5-'Choix pédagogiques'!$C$4),"")</f>
        <v/>
      </c>
      <c r="AY967" s="49" t="str">
        <f>IF(AND('Choix pédagogiques'!$C$4&lt;&gt;"?",'Choix pédagogiques'!$C$5&lt;&gt;"?",AD967&lt;&gt;""),(AD967-'Choix pédagogiques'!$C$4)/('Choix pédagogiques'!$C$5-'Choix pédagogiques'!$C$4),"")</f>
        <v/>
      </c>
      <c r="AZ967" s="22" t="str">
        <f t="shared" si="636"/>
        <v/>
      </c>
      <c r="BA967" s="21" t="str">
        <f t="shared" si="637"/>
        <v>Apprenant 955</v>
      </c>
      <c r="BB967" s="49" t="str">
        <f t="shared" si="609"/>
        <v/>
      </c>
      <c r="BC967" s="49" t="str">
        <f t="shared" si="610"/>
        <v/>
      </c>
      <c r="BD967" s="49" t="str">
        <f t="shared" si="611"/>
        <v/>
      </c>
      <c r="BE967" s="22" t="str">
        <f t="shared" si="638"/>
        <v/>
      </c>
      <c r="BF967" s="21" t="str">
        <f t="shared" si="639"/>
        <v>Apprenant 955 ou 955'</v>
      </c>
      <c r="BG967" s="49" t="str">
        <f t="shared" si="612"/>
        <v/>
      </c>
      <c r="BH967" s="49" t="str">
        <f t="shared" si="613"/>
        <v/>
      </c>
      <c r="BI967" s="49" t="str">
        <f t="shared" si="614"/>
        <v/>
      </c>
      <c r="BJ967" s="22" t="str">
        <f t="shared" si="640"/>
        <v/>
      </c>
      <c r="BL967" s="21"/>
      <c r="BM967" s="21" t="str">
        <f>IF(OR(COUNT(B967:D1966)=0,AND('Choix pédagogiques'!$C$3&lt;&gt;1,'Choix pédagogiques'!$C$3&lt;&gt;2)),"",IF(AND(OR('Choix pédagogiques'!$C$3=1,'Choix pédagogiques'!$C$3=2),$B967&lt;&gt;"",$C967&lt;&gt;"",$D967&lt;&gt;""),1,0))</f>
        <v/>
      </c>
      <c r="BN967" s="21" t="str">
        <f>IF(OR(COUNT(G967:I1966)=0,AND('Choix pédagogiques'!$C$3&lt;&gt;1,'Choix pédagogiques'!$C$3&lt;&gt;2)),"",IF(AND(OR('Choix pédagogiques'!$C$3=1,'Choix pédagogiques'!$C$3=2),AND($G967&lt;&gt;"",$H967&lt;&gt;"",$I967&lt;&gt;"")),1,0))</f>
        <v/>
      </c>
      <c r="BO967" s="21" t="str">
        <f>IF(OR(COUNT(B967:D1966)=0,COUNT(G967:I1966)=0,'Choix pédagogiques'!C$3&lt;&gt;3),"",IF(AND('Choix pédagogiques'!$C$3=3,$B967&lt;&gt;"",$C967&lt;&gt;"",$D967&lt;&gt;"",$G967&lt;&gt;"",$H967&lt;&gt;"",$I967&lt;&gt;""),1,0))</f>
        <v/>
      </c>
      <c r="BR967" s="21">
        <v>83</v>
      </c>
      <c r="BS967" s="21">
        <v>1337</v>
      </c>
      <c r="BT967"/>
    </row>
    <row r="968" spans="1:72" s="23" customFormat="1" ht="18" customHeight="1" x14ac:dyDescent="0.3">
      <c r="A968" s="35" t="s">
        <v>958</v>
      </c>
      <c r="B968" s="37"/>
      <c r="C968" s="37"/>
      <c r="D968" s="37"/>
      <c r="E968" s="37"/>
      <c r="F968" s="35" t="s">
        <v>1966</v>
      </c>
      <c r="G968" s="37"/>
      <c r="H968" s="37"/>
      <c r="I968" s="37"/>
      <c r="J968" s="37"/>
      <c r="K968" s="21" t="str">
        <f t="shared" si="615"/>
        <v>Apprenant 956</v>
      </c>
      <c r="L968" s="22" t="str">
        <f t="shared" si="616"/>
        <v/>
      </c>
      <c r="M968" s="22" t="str">
        <f t="shared" si="617"/>
        <v/>
      </c>
      <c r="N968" s="22" t="str">
        <f t="shared" si="618"/>
        <v/>
      </c>
      <c r="O968" s="22" t="str">
        <f t="shared" si="619"/>
        <v/>
      </c>
      <c r="P968" s="21" t="str">
        <f t="shared" si="620"/>
        <v>Apprenant 956 ou 956'</v>
      </c>
      <c r="Q968" s="22" t="str">
        <f t="shared" si="621"/>
        <v/>
      </c>
      <c r="R968" s="22" t="str">
        <f t="shared" si="622"/>
        <v/>
      </c>
      <c r="S968" s="22" t="str">
        <f t="shared" si="623"/>
        <v/>
      </c>
      <c r="T968" s="22" t="str">
        <f t="shared" si="624"/>
        <v/>
      </c>
      <c r="V968" s="21" t="str">
        <f t="shared" si="625"/>
        <v>Apprenant 956</v>
      </c>
      <c r="W968" s="22" t="str">
        <f>IF(AND(OR('Choix pédagogiques'!$C$3=1,'Choix pédagogiques'!$C$3=2),$BM968=1),B968,IF(AND('Choix pédagogiques'!$C$3=3,$BO968=1),B968,""))</f>
        <v/>
      </c>
      <c r="X968" s="22" t="str">
        <f>IF(AND(OR('Choix pédagogiques'!$C$3=1,'Choix pédagogiques'!$C$3=2),$BM968=1),C968,IF(AND('Choix pédagogiques'!$C$3=3,$BO968=1),C968,""))</f>
        <v/>
      </c>
      <c r="Y968" s="22" t="str">
        <f>IF(AND(OR('Choix pédagogiques'!$C$3=1,'Choix pédagogiques'!$C$3=2),$BM968=1),D968,IF(AND('Choix pédagogiques'!$C$3=3,$BO968=1),D968,""))</f>
        <v/>
      </c>
      <c r="Z968" s="22" t="str">
        <f t="shared" si="626"/>
        <v/>
      </c>
      <c r="AA968" s="21" t="str">
        <f t="shared" si="627"/>
        <v>Apprenant 956 ou 956'</v>
      </c>
      <c r="AB968" s="22" t="str">
        <f>IF(AND(OR('Choix pédagogiques'!$C$3=1,'Choix pédagogiques'!$C$3=2),$BN968=1),G968,IF(AND('Choix pédagogiques'!$C$3=3,$BO968=1),G968,""))</f>
        <v/>
      </c>
      <c r="AC968" s="22" t="str">
        <f>IF(AND(OR('Choix pédagogiques'!$C$3=1,'Choix pédagogiques'!$C$3=2),$BN968=1),H968,IF(AND('Choix pédagogiques'!$C$3=3,$BO968=1),H968,""))</f>
        <v/>
      </c>
      <c r="AD968" s="22" t="str">
        <f>IF(AND(OR('Choix pédagogiques'!$C$3=1,'Choix pédagogiques'!$C$3=2),$BN968=1),I968,IF(AND('Choix pédagogiques'!$C$3=3,$BO968=1),I968,""))</f>
        <v/>
      </c>
      <c r="AE968" s="22" t="str">
        <f t="shared" si="628"/>
        <v/>
      </c>
      <c r="AF968" s="21" t="str">
        <f t="shared" si="629"/>
        <v>Apprenant 956</v>
      </c>
      <c r="AG968" s="22" t="str">
        <f t="shared" si="603"/>
        <v/>
      </c>
      <c r="AH968" s="22" t="str">
        <f t="shared" si="604"/>
        <v/>
      </c>
      <c r="AI968" s="22" t="str">
        <f t="shared" si="605"/>
        <v/>
      </c>
      <c r="AJ968" s="22" t="str">
        <f t="shared" si="630"/>
        <v/>
      </c>
      <c r="AK968" s="21" t="str">
        <f t="shared" si="631"/>
        <v>Apprenant 956 ou 956'</v>
      </c>
      <c r="AL968" s="22" t="str">
        <f t="shared" si="606"/>
        <v/>
      </c>
      <c r="AM968" s="22" t="str">
        <f t="shared" si="607"/>
        <v/>
      </c>
      <c r="AN968" s="22" t="str">
        <f t="shared" si="608"/>
        <v/>
      </c>
      <c r="AO968" s="22" t="str">
        <f t="shared" si="632"/>
        <v/>
      </c>
      <c r="AQ968" s="21" t="str">
        <f t="shared" si="633"/>
        <v>Apprenant 956</v>
      </c>
      <c r="AR968" s="49" t="str">
        <f>IF(AND('Choix pédagogiques'!$C$4&lt;&gt;"?",'Choix pédagogiques'!$C$5&lt;&gt;"?",W968&lt;&gt;""),(W968-'Choix pédagogiques'!$C$4)/('Choix pédagogiques'!$C$5-'Choix pédagogiques'!$C$4),"")</f>
        <v/>
      </c>
      <c r="AS968" s="49" t="str">
        <f>IF(AND('Choix pédagogiques'!$C$4&lt;&gt;"?",'Choix pédagogiques'!$C$5&lt;&gt;"?",X968&lt;&gt;""),(X968-'Choix pédagogiques'!$C$4)/('Choix pédagogiques'!$C$5-'Choix pédagogiques'!$C$4),"")</f>
        <v/>
      </c>
      <c r="AT968" s="49" t="str">
        <f>IF(AND('Choix pédagogiques'!$C$4&lt;&gt;"?",'Choix pédagogiques'!$C$5&lt;&gt;"?",Y968&lt;&gt;""),(Y968-'Choix pédagogiques'!$C$4)/('Choix pédagogiques'!$C$5-'Choix pédagogiques'!$C$4),"")</f>
        <v/>
      </c>
      <c r="AU968" s="22" t="str">
        <f t="shared" si="634"/>
        <v/>
      </c>
      <c r="AV968" s="21" t="str">
        <f t="shared" si="635"/>
        <v>Apprenant 956 ou 956'</v>
      </c>
      <c r="AW968" s="49" t="str">
        <f>IF(AND('Choix pédagogiques'!$C$4&lt;&gt;"?",'Choix pédagogiques'!$C$5&lt;&gt;"?",AB968&lt;&gt;""),(AB968-'Choix pédagogiques'!$C$4)/('Choix pédagogiques'!$C$5-'Choix pédagogiques'!$C$4),"")</f>
        <v/>
      </c>
      <c r="AX968" s="49" t="str">
        <f>IF(AND('Choix pédagogiques'!$C$4&lt;&gt;"?",'Choix pédagogiques'!$C$5&lt;&gt;"?",AC968&lt;&gt;""),(AC968-'Choix pédagogiques'!$C$4)/('Choix pédagogiques'!$C$5-'Choix pédagogiques'!$C$4),"")</f>
        <v/>
      </c>
      <c r="AY968" s="49" t="str">
        <f>IF(AND('Choix pédagogiques'!$C$4&lt;&gt;"?",'Choix pédagogiques'!$C$5&lt;&gt;"?",AD968&lt;&gt;""),(AD968-'Choix pédagogiques'!$C$4)/('Choix pédagogiques'!$C$5-'Choix pédagogiques'!$C$4),"")</f>
        <v/>
      </c>
      <c r="AZ968" s="22" t="str">
        <f t="shared" si="636"/>
        <v/>
      </c>
      <c r="BA968" s="21" t="str">
        <f t="shared" si="637"/>
        <v>Apprenant 956</v>
      </c>
      <c r="BB968" s="49" t="str">
        <f t="shared" si="609"/>
        <v/>
      </c>
      <c r="BC968" s="49" t="str">
        <f t="shared" si="610"/>
        <v/>
      </c>
      <c r="BD968" s="49" t="str">
        <f t="shared" si="611"/>
        <v/>
      </c>
      <c r="BE968" s="22" t="str">
        <f t="shared" si="638"/>
        <v/>
      </c>
      <c r="BF968" s="21" t="str">
        <f t="shared" si="639"/>
        <v>Apprenant 956 ou 956'</v>
      </c>
      <c r="BG968" s="49" t="str">
        <f t="shared" si="612"/>
        <v/>
      </c>
      <c r="BH968" s="49" t="str">
        <f t="shared" si="613"/>
        <v/>
      </c>
      <c r="BI968" s="49" t="str">
        <f t="shared" si="614"/>
        <v/>
      </c>
      <c r="BJ968" s="22" t="str">
        <f t="shared" si="640"/>
        <v/>
      </c>
      <c r="BL968" s="21"/>
      <c r="BM968" s="21" t="str">
        <f>IF(OR(COUNT(B968:D1967)=0,AND('Choix pédagogiques'!$C$3&lt;&gt;1,'Choix pédagogiques'!$C$3&lt;&gt;2)),"",IF(AND(OR('Choix pédagogiques'!$C$3=1,'Choix pédagogiques'!$C$3=2),$B968&lt;&gt;"",$C968&lt;&gt;"",$D968&lt;&gt;""),1,0))</f>
        <v/>
      </c>
      <c r="BN968" s="21" t="str">
        <f>IF(OR(COUNT(G968:I1967)=0,AND('Choix pédagogiques'!$C$3&lt;&gt;1,'Choix pédagogiques'!$C$3&lt;&gt;2)),"",IF(AND(OR('Choix pédagogiques'!$C$3=1,'Choix pédagogiques'!$C$3=2),AND($G968&lt;&gt;"",$H968&lt;&gt;"",$I968&lt;&gt;"")),1,0))</f>
        <v/>
      </c>
      <c r="BO968" s="21" t="str">
        <f>IF(OR(COUNT(B968:D1967)=0,COUNT(G968:I1967)=0,'Choix pédagogiques'!C$3&lt;&gt;3),"",IF(AND('Choix pédagogiques'!$C$3=3,$B968&lt;&gt;"",$C968&lt;&gt;"",$D968&lt;&gt;"",$G968&lt;&gt;"",$H968&lt;&gt;"",$I968&lt;&gt;""),1,0))</f>
        <v/>
      </c>
      <c r="BR968" s="21">
        <v>783</v>
      </c>
      <c r="BS968" s="21">
        <v>1670</v>
      </c>
      <c r="BT968"/>
    </row>
    <row r="969" spans="1:72" s="23" customFormat="1" ht="18" customHeight="1" x14ac:dyDescent="0.3">
      <c r="A969" s="35" t="s">
        <v>959</v>
      </c>
      <c r="B969" s="37"/>
      <c r="C969" s="37"/>
      <c r="D969" s="37"/>
      <c r="E969" s="37"/>
      <c r="F969" s="35" t="s">
        <v>1967</v>
      </c>
      <c r="G969" s="37"/>
      <c r="H969" s="37"/>
      <c r="I969" s="37"/>
      <c r="J969" s="37"/>
      <c r="K969" s="21" t="str">
        <f t="shared" si="615"/>
        <v>Apprenant 957</v>
      </c>
      <c r="L969" s="22" t="str">
        <f t="shared" si="616"/>
        <v/>
      </c>
      <c r="M969" s="22" t="str">
        <f t="shared" si="617"/>
        <v/>
      </c>
      <c r="N969" s="22" t="str">
        <f t="shared" si="618"/>
        <v/>
      </c>
      <c r="O969" s="22" t="str">
        <f t="shared" si="619"/>
        <v/>
      </c>
      <c r="P969" s="21" t="str">
        <f t="shared" si="620"/>
        <v>Apprenant 957 ou 957'</v>
      </c>
      <c r="Q969" s="22" t="str">
        <f t="shared" si="621"/>
        <v/>
      </c>
      <c r="R969" s="22" t="str">
        <f t="shared" si="622"/>
        <v/>
      </c>
      <c r="S969" s="22" t="str">
        <f t="shared" si="623"/>
        <v/>
      </c>
      <c r="T969" s="22" t="str">
        <f t="shared" si="624"/>
        <v/>
      </c>
      <c r="V969" s="21" t="str">
        <f t="shared" si="625"/>
        <v>Apprenant 957</v>
      </c>
      <c r="W969" s="22" t="str">
        <f>IF(AND(OR('Choix pédagogiques'!$C$3=1,'Choix pédagogiques'!$C$3=2),$BM969=1),B969,IF(AND('Choix pédagogiques'!$C$3=3,$BO969=1),B969,""))</f>
        <v/>
      </c>
      <c r="X969" s="22" t="str">
        <f>IF(AND(OR('Choix pédagogiques'!$C$3=1,'Choix pédagogiques'!$C$3=2),$BM969=1),C969,IF(AND('Choix pédagogiques'!$C$3=3,$BO969=1),C969,""))</f>
        <v/>
      </c>
      <c r="Y969" s="22" t="str">
        <f>IF(AND(OR('Choix pédagogiques'!$C$3=1,'Choix pédagogiques'!$C$3=2),$BM969=1),D969,IF(AND('Choix pédagogiques'!$C$3=3,$BO969=1),D969,""))</f>
        <v/>
      </c>
      <c r="Z969" s="22" t="str">
        <f t="shared" si="626"/>
        <v/>
      </c>
      <c r="AA969" s="21" t="str">
        <f t="shared" si="627"/>
        <v>Apprenant 957 ou 957'</v>
      </c>
      <c r="AB969" s="22" t="str">
        <f>IF(AND(OR('Choix pédagogiques'!$C$3=1,'Choix pédagogiques'!$C$3=2),$BN969=1),G969,IF(AND('Choix pédagogiques'!$C$3=3,$BO969=1),G969,""))</f>
        <v/>
      </c>
      <c r="AC969" s="22" t="str">
        <f>IF(AND(OR('Choix pédagogiques'!$C$3=1,'Choix pédagogiques'!$C$3=2),$BN969=1),H969,IF(AND('Choix pédagogiques'!$C$3=3,$BO969=1),H969,""))</f>
        <v/>
      </c>
      <c r="AD969" s="22" t="str">
        <f>IF(AND(OR('Choix pédagogiques'!$C$3=1,'Choix pédagogiques'!$C$3=2),$BN969=1),I969,IF(AND('Choix pédagogiques'!$C$3=3,$BO969=1),I969,""))</f>
        <v/>
      </c>
      <c r="AE969" s="22" t="str">
        <f t="shared" si="628"/>
        <v/>
      </c>
      <c r="AF969" s="21" t="str">
        <f t="shared" si="629"/>
        <v>Apprenant 957</v>
      </c>
      <c r="AG969" s="22" t="str">
        <f t="shared" si="603"/>
        <v/>
      </c>
      <c r="AH969" s="22" t="str">
        <f t="shared" si="604"/>
        <v/>
      </c>
      <c r="AI969" s="22" t="str">
        <f t="shared" si="605"/>
        <v/>
      </c>
      <c r="AJ969" s="22" t="str">
        <f t="shared" si="630"/>
        <v/>
      </c>
      <c r="AK969" s="21" t="str">
        <f t="shared" si="631"/>
        <v>Apprenant 957 ou 957'</v>
      </c>
      <c r="AL969" s="22" t="str">
        <f t="shared" si="606"/>
        <v/>
      </c>
      <c r="AM969" s="22" t="str">
        <f t="shared" si="607"/>
        <v/>
      </c>
      <c r="AN969" s="22" t="str">
        <f t="shared" si="608"/>
        <v/>
      </c>
      <c r="AO969" s="22" t="str">
        <f t="shared" si="632"/>
        <v/>
      </c>
      <c r="AQ969" s="21" t="str">
        <f t="shared" si="633"/>
        <v>Apprenant 957</v>
      </c>
      <c r="AR969" s="49" t="str">
        <f>IF(AND('Choix pédagogiques'!$C$4&lt;&gt;"?",'Choix pédagogiques'!$C$5&lt;&gt;"?",W969&lt;&gt;""),(W969-'Choix pédagogiques'!$C$4)/('Choix pédagogiques'!$C$5-'Choix pédagogiques'!$C$4),"")</f>
        <v/>
      </c>
      <c r="AS969" s="49" t="str">
        <f>IF(AND('Choix pédagogiques'!$C$4&lt;&gt;"?",'Choix pédagogiques'!$C$5&lt;&gt;"?",X969&lt;&gt;""),(X969-'Choix pédagogiques'!$C$4)/('Choix pédagogiques'!$C$5-'Choix pédagogiques'!$C$4),"")</f>
        <v/>
      </c>
      <c r="AT969" s="49" t="str">
        <f>IF(AND('Choix pédagogiques'!$C$4&lt;&gt;"?",'Choix pédagogiques'!$C$5&lt;&gt;"?",Y969&lt;&gt;""),(Y969-'Choix pédagogiques'!$C$4)/('Choix pédagogiques'!$C$5-'Choix pédagogiques'!$C$4),"")</f>
        <v/>
      </c>
      <c r="AU969" s="22" t="str">
        <f t="shared" si="634"/>
        <v/>
      </c>
      <c r="AV969" s="21" t="str">
        <f t="shared" si="635"/>
        <v>Apprenant 957 ou 957'</v>
      </c>
      <c r="AW969" s="49" t="str">
        <f>IF(AND('Choix pédagogiques'!$C$4&lt;&gt;"?",'Choix pédagogiques'!$C$5&lt;&gt;"?",AB969&lt;&gt;""),(AB969-'Choix pédagogiques'!$C$4)/('Choix pédagogiques'!$C$5-'Choix pédagogiques'!$C$4),"")</f>
        <v/>
      </c>
      <c r="AX969" s="49" t="str">
        <f>IF(AND('Choix pédagogiques'!$C$4&lt;&gt;"?",'Choix pédagogiques'!$C$5&lt;&gt;"?",AC969&lt;&gt;""),(AC969-'Choix pédagogiques'!$C$4)/('Choix pédagogiques'!$C$5-'Choix pédagogiques'!$C$4),"")</f>
        <v/>
      </c>
      <c r="AY969" s="49" t="str">
        <f>IF(AND('Choix pédagogiques'!$C$4&lt;&gt;"?",'Choix pédagogiques'!$C$5&lt;&gt;"?",AD969&lt;&gt;""),(AD969-'Choix pédagogiques'!$C$4)/('Choix pédagogiques'!$C$5-'Choix pédagogiques'!$C$4),"")</f>
        <v/>
      </c>
      <c r="AZ969" s="22" t="str">
        <f t="shared" si="636"/>
        <v/>
      </c>
      <c r="BA969" s="21" t="str">
        <f t="shared" si="637"/>
        <v>Apprenant 957</v>
      </c>
      <c r="BB969" s="49" t="str">
        <f t="shared" si="609"/>
        <v/>
      </c>
      <c r="BC969" s="49" t="str">
        <f t="shared" si="610"/>
        <v/>
      </c>
      <c r="BD969" s="49" t="str">
        <f t="shared" si="611"/>
        <v/>
      </c>
      <c r="BE969" s="22" t="str">
        <f t="shared" si="638"/>
        <v/>
      </c>
      <c r="BF969" s="21" t="str">
        <f t="shared" si="639"/>
        <v>Apprenant 957 ou 957'</v>
      </c>
      <c r="BG969" s="49" t="str">
        <f t="shared" si="612"/>
        <v/>
      </c>
      <c r="BH969" s="49" t="str">
        <f t="shared" si="613"/>
        <v/>
      </c>
      <c r="BI969" s="49" t="str">
        <f t="shared" si="614"/>
        <v/>
      </c>
      <c r="BJ969" s="22" t="str">
        <f t="shared" si="640"/>
        <v/>
      </c>
      <c r="BL969" s="21"/>
      <c r="BM969" s="21" t="str">
        <f>IF(OR(COUNT(B969:D1968)=0,AND('Choix pédagogiques'!$C$3&lt;&gt;1,'Choix pédagogiques'!$C$3&lt;&gt;2)),"",IF(AND(OR('Choix pédagogiques'!$C$3=1,'Choix pédagogiques'!$C$3=2),$B969&lt;&gt;"",$C969&lt;&gt;"",$D969&lt;&gt;""),1,0))</f>
        <v/>
      </c>
      <c r="BN969" s="21" t="str">
        <f>IF(OR(COUNT(G969:I1968)=0,AND('Choix pédagogiques'!$C$3&lt;&gt;1,'Choix pédagogiques'!$C$3&lt;&gt;2)),"",IF(AND(OR('Choix pédagogiques'!$C$3=1,'Choix pédagogiques'!$C$3=2),AND($G969&lt;&gt;"",$H969&lt;&gt;"",$I969&lt;&gt;"")),1,0))</f>
        <v/>
      </c>
      <c r="BO969" s="21" t="str">
        <f>IF(OR(COUNT(B969:D1968)=0,COUNT(G969:I1968)=0,'Choix pédagogiques'!C$3&lt;&gt;3),"",IF(AND('Choix pédagogiques'!$C$3=3,$B969&lt;&gt;"",$C969&lt;&gt;"",$D969&lt;&gt;"",$G969&lt;&gt;"",$H969&lt;&gt;"",$I969&lt;&gt;""),1,0))</f>
        <v/>
      </c>
      <c r="BR969" s="21">
        <v>693</v>
      </c>
      <c r="BS969" s="21">
        <v>1433</v>
      </c>
      <c r="BT969"/>
    </row>
    <row r="970" spans="1:72" s="23" customFormat="1" ht="18" customHeight="1" x14ac:dyDescent="0.3">
      <c r="A970" s="35" t="s">
        <v>960</v>
      </c>
      <c r="B970" s="37"/>
      <c r="C970" s="37"/>
      <c r="D970" s="37"/>
      <c r="E970" s="37"/>
      <c r="F970" s="35" t="s">
        <v>1968</v>
      </c>
      <c r="G970" s="37"/>
      <c r="H970" s="37"/>
      <c r="I970" s="37"/>
      <c r="J970" s="37"/>
      <c r="K970" s="21" t="str">
        <f t="shared" si="615"/>
        <v>Apprenant 958</v>
      </c>
      <c r="L970" s="22" t="str">
        <f t="shared" si="616"/>
        <v/>
      </c>
      <c r="M970" s="22" t="str">
        <f t="shared" si="617"/>
        <v/>
      </c>
      <c r="N970" s="22" t="str">
        <f t="shared" si="618"/>
        <v/>
      </c>
      <c r="O970" s="22" t="str">
        <f t="shared" si="619"/>
        <v/>
      </c>
      <c r="P970" s="21" t="str">
        <f t="shared" si="620"/>
        <v>Apprenant 958 ou 958'</v>
      </c>
      <c r="Q970" s="22" t="str">
        <f t="shared" si="621"/>
        <v/>
      </c>
      <c r="R970" s="22" t="str">
        <f t="shared" si="622"/>
        <v/>
      </c>
      <c r="S970" s="22" t="str">
        <f t="shared" si="623"/>
        <v/>
      </c>
      <c r="T970" s="22" t="str">
        <f t="shared" si="624"/>
        <v/>
      </c>
      <c r="V970" s="21" t="str">
        <f t="shared" si="625"/>
        <v>Apprenant 958</v>
      </c>
      <c r="W970" s="22" t="str">
        <f>IF(AND(OR('Choix pédagogiques'!$C$3=1,'Choix pédagogiques'!$C$3=2),$BM970=1),B970,IF(AND('Choix pédagogiques'!$C$3=3,$BO970=1),B970,""))</f>
        <v/>
      </c>
      <c r="X970" s="22" t="str">
        <f>IF(AND(OR('Choix pédagogiques'!$C$3=1,'Choix pédagogiques'!$C$3=2),$BM970=1),C970,IF(AND('Choix pédagogiques'!$C$3=3,$BO970=1),C970,""))</f>
        <v/>
      </c>
      <c r="Y970" s="22" t="str">
        <f>IF(AND(OR('Choix pédagogiques'!$C$3=1,'Choix pédagogiques'!$C$3=2),$BM970=1),D970,IF(AND('Choix pédagogiques'!$C$3=3,$BO970=1),D970,""))</f>
        <v/>
      </c>
      <c r="Z970" s="22" t="str">
        <f t="shared" si="626"/>
        <v/>
      </c>
      <c r="AA970" s="21" t="str">
        <f t="shared" si="627"/>
        <v>Apprenant 958 ou 958'</v>
      </c>
      <c r="AB970" s="22" t="str">
        <f>IF(AND(OR('Choix pédagogiques'!$C$3=1,'Choix pédagogiques'!$C$3=2),$BN970=1),G970,IF(AND('Choix pédagogiques'!$C$3=3,$BO970=1),G970,""))</f>
        <v/>
      </c>
      <c r="AC970" s="22" t="str">
        <f>IF(AND(OR('Choix pédagogiques'!$C$3=1,'Choix pédagogiques'!$C$3=2),$BN970=1),H970,IF(AND('Choix pédagogiques'!$C$3=3,$BO970=1),H970,""))</f>
        <v/>
      </c>
      <c r="AD970" s="22" t="str">
        <f>IF(AND(OR('Choix pédagogiques'!$C$3=1,'Choix pédagogiques'!$C$3=2),$BN970=1),I970,IF(AND('Choix pédagogiques'!$C$3=3,$BO970=1),I970,""))</f>
        <v/>
      </c>
      <c r="AE970" s="22" t="str">
        <f t="shared" si="628"/>
        <v/>
      </c>
      <c r="AF970" s="21" t="str">
        <f t="shared" si="629"/>
        <v>Apprenant 958</v>
      </c>
      <c r="AG970" s="22" t="str">
        <f t="shared" si="603"/>
        <v/>
      </c>
      <c r="AH970" s="22" t="str">
        <f t="shared" si="604"/>
        <v/>
      </c>
      <c r="AI970" s="22" t="str">
        <f t="shared" si="605"/>
        <v/>
      </c>
      <c r="AJ970" s="22" t="str">
        <f t="shared" si="630"/>
        <v/>
      </c>
      <c r="AK970" s="21" t="str">
        <f t="shared" si="631"/>
        <v>Apprenant 958 ou 958'</v>
      </c>
      <c r="AL970" s="22" t="str">
        <f t="shared" si="606"/>
        <v/>
      </c>
      <c r="AM970" s="22" t="str">
        <f t="shared" si="607"/>
        <v/>
      </c>
      <c r="AN970" s="22" t="str">
        <f t="shared" si="608"/>
        <v/>
      </c>
      <c r="AO970" s="22" t="str">
        <f t="shared" si="632"/>
        <v/>
      </c>
      <c r="AQ970" s="21" t="str">
        <f t="shared" si="633"/>
        <v>Apprenant 958</v>
      </c>
      <c r="AR970" s="49" t="str">
        <f>IF(AND('Choix pédagogiques'!$C$4&lt;&gt;"?",'Choix pédagogiques'!$C$5&lt;&gt;"?",W970&lt;&gt;""),(W970-'Choix pédagogiques'!$C$4)/('Choix pédagogiques'!$C$5-'Choix pédagogiques'!$C$4),"")</f>
        <v/>
      </c>
      <c r="AS970" s="49" t="str">
        <f>IF(AND('Choix pédagogiques'!$C$4&lt;&gt;"?",'Choix pédagogiques'!$C$5&lt;&gt;"?",X970&lt;&gt;""),(X970-'Choix pédagogiques'!$C$4)/('Choix pédagogiques'!$C$5-'Choix pédagogiques'!$C$4),"")</f>
        <v/>
      </c>
      <c r="AT970" s="49" t="str">
        <f>IF(AND('Choix pédagogiques'!$C$4&lt;&gt;"?",'Choix pédagogiques'!$C$5&lt;&gt;"?",Y970&lt;&gt;""),(Y970-'Choix pédagogiques'!$C$4)/('Choix pédagogiques'!$C$5-'Choix pédagogiques'!$C$4),"")</f>
        <v/>
      </c>
      <c r="AU970" s="22" t="str">
        <f t="shared" si="634"/>
        <v/>
      </c>
      <c r="AV970" s="21" t="str">
        <f t="shared" si="635"/>
        <v>Apprenant 958 ou 958'</v>
      </c>
      <c r="AW970" s="49" t="str">
        <f>IF(AND('Choix pédagogiques'!$C$4&lt;&gt;"?",'Choix pédagogiques'!$C$5&lt;&gt;"?",AB970&lt;&gt;""),(AB970-'Choix pédagogiques'!$C$4)/('Choix pédagogiques'!$C$5-'Choix pédagogiques'!$C$4),"")</f>
        <v/>
      </c>
      <c r="AX970" s="49" t="str">
        <f>IF(AND('Choix pédagogiques'!$C$4&lt;&gt;"?",'Choix pédagogiques'!$C$5&lt;&gt;"?",AC970&lt;&gt;""),(AC970-'Choix pédagogiques'!$C$4)/('Choix pédagogiques'!$C$5-'Choix pédagogiques'!$C$4),"")</f>
        <v/>
      </c>
      <c r="AY970" s="49" t="str">
        <f>IF(AND('Choix pédagogiques'!$C$4&lt;&gt;"?",'Choix pédagogiques'!$C$5&lt;&gt;"?",AD970&lt;&gt;""),(AD970-'Choix pédagogiques'!$C$4)/('Choix pédagogiques'!$C$5-'Choix pédagogiques'!$C$4),"")</f>
        <v/>
      </c>
      <c r="AZ970" s="22" t="str">
        <f t="shared" si="636"/>
        <v/>
      </c>
      <c r="BA970" s="21" t="str">
        <f t="shared" si="637"/>
        <v>Apprenant 958</v>
      </c>
      <c r="BB970" s="49" t="str">
        <f t="shared" si="609"/>
        <v/>
      </c>
      <c r="BC970" s="49" t="str">
        <f t="shared" si="610"/>
        <v/>
      </c>
      <c r="BD970" s="49" t="str">
        <f t="shared" si="611"/>
        <v/>
      </c>
      <c r="BE970" s="22" t="str">
        <f t="shared" si="638"/>
        <v/>
      </c>
      <c r="BF970" s="21" t="str">
        <f t="shared" si="639"/>
        <v>Apprenant 958 ou 958'</v>
      </c>
      <c r="BG970" s="49" t="str">
        <f t="shared" si="612"/>
        <v/>
      </c>
      <c r="BH970" s="49" t="str">
        <f t="shared" si="613"/>
        <v/>
      </c>
      <c r="BI970" s="49" t="str">
        <f t="shared" si="614"/>
        <v/>
      </c>
      <c r="BJ970" s="22" t="str">
        <f t="shared" si="640"/>
        <v/>
      </c>
      <c r="BL970" s="21"/>
      <c r="BM970" s="21" t="str">
        <f>IF(OR(COUNT(B970:D1969)=0,AND('Choix pédagogiques'!$C$3&lt;&gt;1,'Choix pédagogiques'!$C$3&lt;&gt;2)),"",IF(AND(OR('Choix pédagogiques'!$C$3=1,'Choix pédagogiques'!$C$3=2),$B970&lt;&gt;"",$C970&lt;&gt;"",$D970&lt;&gt;""),1,0))</f>
        <v/>
      </c>
      <c r="BN970" s="21" t="str">
        <f>IF(OR(COUNT(G970:I1969)=0,AND('Choix pédagogiques'!$C$3&lt;&gt;1,'Choix pédagogiques'!$C$3&lt;&gt;2)),"",IF(AND(OR('Choix pédagogiques'!$C$3=1,'Choix pédagogiques'!$C$3=2),AND($G970&lt;&gt;"",$H970&lt;&gt;"",$I970&lt;&gt;"")),1,0))</f>
        <v/>
      </c>
      <c r="BO970" s="21" t="str">
        <f>IF(OR(COUNT(B970:D1969)=0,COUNT(G970:I1969)=0,'Choix pédagogiques'!C$3&lt;&gt;3),"",IF(AND('Choix pédagogiques'!$C$3=3,$B970&lt;&gt;"",$C970&lt;&gt;"",$D970&lt;&gt;"",$G970&lt;&gt;"",$H970&lt;&gt;"",$I970&lt;&gt;""),1,0))</f>
        <v/>
      </c>
      <c r="BR970" s="21">
        <v>227</v>
      </c>
      <c r="BS970" s="21">
        <v>1144</v>
      </c>
      <c r="BT970"/>
    </row>
    <row r="971" spans="1:72" s="23" customFormat="1" ht="18" customHeight="1" x14ac:dyDescent="0.3">
      <c r="A971" s="35" t="s">
        <v>961</v>
      </c>
      <c r="B971" s="37"/>
      <c r="C971" s="37"/>
      <c r="D971" s="37"/>
      <c r="E971" s="37"/>
      <c r="F971" s="35" t="s">
        <v>1969</v>
      </c>
      <c r="G971" s="37"/>
      <c r="H971" s="37"/>
      <c r="I971" s="37"/>
      <c r="J971" s="37"/>
      <c r="K971" s="21" t="str">
        <f t="shared" si="615"/>
        <v>Apprenant 959</v>
      </c>
      <c r="L971" s="22" t="str">
        <f t="shared" si="616"/>
        <v/>
      </c>
      <c r="M971" s="22" t="str">
        <f t="shared" si="617"/>
        <v/>
      </c>
      <c r="N971" s="22" t="str">
        <f t="shared" si="618"/>
        <v/>
      </c>
      <c r="O971" s="22" t="str">
        <f t="shared" si="619"/>
        <v/>
      </c>
      <c r="P971" s="21" t="str">
        <f t="shared" si="620"/>
        <v>Apprenant 959 ou 959'</v>
      </c>
      <c r="Q971" s="22" t="str">
        <f t="shared" si="621"/>
        <v/>
      </c>
      <c r="R971" s="22" t="str">
        <f t="shared" si="622"/>
        <v/>
      </c>
      <c r="S971" s="22" t="str">
        <f t="shared" si="623"/>
        <v/>
      </c>
      <c r="T971" s="22" t="str">
        <f t="shared" si="624"/>
        <v/>
      </c>
      <c r="V971" s="21" t="str">
        <f t="shared" si="625"/>
        <v>Apprenant 959</v>
      </c>
      <c r="W971" s="22" t="str">
        <f>IF(AND(OR('Choix pédagogiques'!$C$3=1,'Choix pédagogiques'!$C$3=2),$BM971=1),B971,IF(AND('Choix pédagogiques'!$C$3=3,$BO971=1),B971,""))</f>
        <v/>
      </c>
      <c r="X971" s="22" t="str">
        <f>IF(AND(OR('Choix pédagogiques'!$C$3=1,'Choix pédagogiques'!$C$3=2),$BM971=1),C971,IF(AND('Choix pédagogiques'!$C$3=3,$BO971=1),C971,""))</f>
        <v/>
      </c>
      <c r="Y971" s="22" t="str">
        <f>IF(AND(OR('Choix pédagogiques'!$C$3=1,'Choix pédagogiques'!$C$3=2),$BM971=1),D971,IF(AND('Choix pédagogiques'!$C$3=3,$BO971=1),D971,""))</f>
        <v/>
      </c>
      <c r="Z971" s="22" t="str">
        <f t="shared" si="626"/>
        <v/>
      </c>
      <c r="AA971" s="21" t="str">
        <f t="shared" si="627"/>
        <v>Apprenant 959 ou 959'</v>
      </c>
      <c r="AB971" s="22" t="str">
        <f>IF(AND(OR('Choix pédagogiques'!$C$3=1,'Choix pédagogiques'!$C$3=2),$BN971=1),G971,IF(AND('Choix pédagogiques'!$C$3=3,$BO971=1),G971,""))</f>
        <v/>
      </c>
      <c r="AC971" s="22" t="str">
        <f>IF(AND(OR('Choix pédagogiques'!$C$3=1,'Choix pédagogiques'!$C$3=2),$BN971=1),H971,IF(AND('Choix pédagogiques'!$C$3=3,$BO971=1),H971,""))</f>
        <v/>
      </c>
      <c r="AD971" s="22" t="str">
        <f>IF(AND(OR('Choix pédagogiques'!$C$3=1,'Choix pédagogiques'!$C$3=2),$BN971=1),I971,IF(AND('Choix pédagogiques'!$C$3=3,$BO971=1),I971,""))</f>
        <v/>
      </c>
      <c r="AE971" s="22" t="str">
        <f t="shared" si="628"/>
        <v/>
      </c>
      <c r="AF971" s="21" t="str">
        <f t="shared" si="629"/>
        <v>Apprenant 959</v>
      </c>
      <c r="AG971" s="22" t="str">
        <f t="shared" si="603"/>
        <v/>
      </c>
      <c r="AH971" s="22" t="str">
        <f t="shared" si="604"/>
        <v/>
      </c>
      <c r="AI971" s="22" t="str">
        <f t="shared" si="605"/>
        <v/>
      </c>
      <c r="AJ971" s="22" t="str">
        <f t="shared" si="630"/>
        <v/>
      </c>
      <c r="AK971" s="21" t="str">
        <f t="shared" si="631"/>
        <v>Apprenant 959 ou 959'</v>
      </c>
      <c r="AL971" s="22" t="str">
        <f t="shared" si="606"/>
        <v/>
      </c>
      <c r="AM971" s="22" t="str">
        <f t="shared" si="607"/>
        <v/>
      </c>
      <c r="AN971" s="22" t="str">
        <f t="shared" si="608"/>
        <v/>
      </c>
      <c r="AO971" s="22" t="str">
        <f t="shared" si="632"/>
        <v/>
      </c>
      <c r="AQ971" s="21" t="str">
        <f t="shared" si="633"/>
        <v>Apprenant 959</v>
      </c>
      <c r="AR971" s="49" t="str">
        <f>IF(AND('Choix pédagogiques'!$C$4&lt;&gt;"?",'Choix pédagogiques'!$C$5&lt;&gt;"?",W971&lt;&gt;""),(W971-'Choix pédagogiques'!$C$4)/('Choix pédagogiques'!$C$5-'Choix pédagogiques'!$C$4),"")</f>
        <v/>
      </c>
      <c r="AS971" s="49" t="str">
        <f>IF(AND('Choix pédagogiques'!$C$4&lt;&gt;"?",'Choix pédagogiques'!$C$5&lt;&gt;"?",X971&lt;&gt;""),(X971-'Choix pédagogiques'!$C$4)/('Choix pédagogiques'!$C$5-'Choix pédagogiques'!$C$4),"")</f>
        <v/>
      </c>
      <c r="AT971" s="49" t="str">
        <f>IF(AND('Choix pédagogiques'!$C$4&lt;&gt;"?",'Choix pédagogiques'!$C$5&lt;&gt;"?",Y971&lt;&gt;""),(Y971-'Choix pédagogiques'!$C$4)/('Choix pédagogiques'!$C$5-'Choix pédagogiques'!$C$4),"")</f>
        <v/>
      </c>
      <c r="AU971" s="22" t="str">
        <f t="shared" si="634"/>
        <v/>
      </c>
      <c r="AV971" s="21" t="str">
        <f t="shared" si="635"/>
        <v>Apprenant 959 ou 959'</v>
      </c>
      <c r="AW971" s="49" t="str">
        <f>IF(AND('Choix pédagogiques'!$C$4&lt;&gt;"?",'Choix pédagogiques'!$C$5&lt;&gt;"?",AB971&lt;&gt;""),(AB971-'Choix pédagogiques'!$C$4)/('Choix pédagogiques'!$C$5-'Choix pédagogiques'!$C$4),"")</f>
        <v/>
      </c>
      <c r="AX971" s="49" t="str">
        <f>IF(AND('Choix pédagogiques'!$C$4&lt;&gt;"?",'Choix pédagogiques'!$C$5&lt;&gt;"?",AC971&lt;&gt;""),(AC971-'Choix pédagogiques'!$C$4)/('Choix pédagogiques'!$C$5-'Choix pédagogiques'!$C$4),"")</f>
        <v/>
      </c>
      <c r="AY971" s="49" t="str">
        <f>IF(AND('Choix pédagogiques'!$C$4&lt;&gt;"?",'Choix pédagogiques'!$C$5&lt;&gt;"?",AD971&lt;&gt;""),(AD971-'Choix pédagogiques'!$C$4)/('Choix pédagogiques'!$C$5-'Choix pédagogiques'!$C$4),"")</f>
        <v/>
      </c>
      <c r="AZ971" s="22" t="str">
        <f t="shared" si="636"/>
        <v/>
      </c>
      <c r="BA971" s="21" t="str">
        <f t="shared" si="637"/>
        <v>Apprenant 959</v>
      </c>
      <c r="BB971" s="49" t="str">
        <f t="shared" si="609"/>
        <v/>
      </c>
      <c r="BC971" s="49" t="str">
        <f t="shared" si="610"/>
        <v/>
      </c>
      <c r="BD971" s="49" t="str">
        <f t="shared" si="611"/>
        <v/>
      </c>
      <c r="BE971" s="22" t="str">
        <f t="shared" si="638"/>
        <v/>
      </c>
      <c r="BF971" s="21" t="str">
        <f t="shared" si="639"/>
        <v>Apprenant 959 ou 959'</v>
      </c>
      <c r="BG971" s="49" t="str">
        <f t="shared" si="612"/>
        <v/>
      </c>
      <c r="BH971" s="49" t="str">
        <f t="shared" si="613"/>
        <v/>
      </c>
      <c r="BI971" s="49" t="str">
        <f t="shared" si="614"/>
        <v/>
      </c>
      <c r="BJ971" s="22" t="str">
        <f t="shared" si="640"/>
        <v/>
      </c>
      <c r="BL971" s="21"/>
      <c r="BM971" s="21" t="str">
        <f>IF(OR(COUNT(B971:D1970)=0,AND('Choix pédagogiques'!$C$3&lt;&gt;1,'Choix pédagogiques'!$C$3&lt;&gt;2)),"",IF(AND(OR('Choix pédagogiques'!$C$3=1,'Choix pédagogiques'!$C$3=2),$B971&lt;&gt;"",$C971&lt;&gt;"",$D971&lt;&gt;""),1,0))</f>
        <v/>
      </c>
      <c r="BN971" s="21" t="str">
        <f>IF(OR(COUNT(G971:I1970)=0,AND('Choix pédagogiques'!$C$3&lt;&gt;1,'Choix pédagogiques'!$C$3&lt;&gt;2)),"",IF(AND(OR('Choix pédagogiques'!$C$3=1,'Choix pédagogiques'!$C$3=2),AND($G971&lt;&gt;"",$H971&lt;&gt;"",$I971&lt;&gt;"")),1,0))</f>
        <v/>
      </c>
      <c r="BO971" s="21" t="str">
        <f>IF(OR(COUNT(B971:D1970)=0,COUNT(G971:I1970)=0,'Choix pédagogiques'!C$3&lt;&gt;3),"",IF(AND('Choix pédagogiques'!$C$3=3,$B971&lt;&gt;"",$C971&lt;&gt;"",$D971&lt;&gt;"",$G971&lt;&gt;"",$H971&lt;&gt;"",$I971&lt;&gt;""),1,0))</f>
        <v/>
      </c>
      <c r="BR971" s="21">
        <v>95</v>
      </c>
      <c r="BS971" s="21">
        <v>1282</v>
      </c>
      <c r="BT971"/>
    </row>
    <row r="972" spans="1:72" s="23" customFormat="1" ht="18" customHeight="1" x14ac:dyDescent="0.3">
      <c r="A972" s="35" t="s">
        <v>962</v>
      </c>
      <c r="B972" s="37"/>
      <c r="C972" s="37"/>
      <c r="D972" s="37"/>
      <c r="E972" s="37"/>
      <c r="F972" s="35" t="s">
        <v>1970</v>
      </c>
      <c r="G972" s="37"/>
      <c r="H972" s="37"/>
      <c r="I972" s="37"/>
      <c r="J972" s="37"/>
      <c r="K972" s="21" t="str">
        <f t="shared" si="615"/>
        <v>Apprenant 960</v>
      </c>
      <c r="L972" s="22" t="str">
        <f t="shared" si="616"/>
        <v/>
      </c>
      <c r="M972" s="22" t="str">
        <f t="shared" si="617"/>
        <v/>
      </c>
      <c r="N972" s="22" t="str">
        <f t="shared" si="618"/>
        <v/>
      </c>
      <c r="O972" s="22" t="str">
        <f t="shared" si="619"/>
        <v/>
      </c>
      <c r="P972" s="21" t="str">
        <f t="shared" si="620"/>
        <v>Apprenant 960 ou 960'</v>
      </c>
      <c r="Q972" s="22" t="str">
        <f t="shared" si="621"/>
        <v/>
      </c>
      <c r="R972" s="22" t="str">
        <f t="shared" si="622"/>
        <v/>
      </c>
      <c r="S972" s="22" t="str">
        <f t="shared" si="623"/>
        <v/>
      </c>
      <c r="T972" s="22" t="str">
        <f t="shared" si="624"/>
        <v/>
      </c>
      <c r="V972" s="21" t="str">
        <f t="shared" si="625"/>
        <v>Apprenant 960</v>
      </c>
      <c r="W972" s="22" t="str">
        <f>IF(AND(OR('Choix pédagogiques'!$C$3=1,'Choix pédagogiques'!$C$3=2),$BM972=1),B972,IF(AND('Choix pédagogiques'!$C$3=3,$BO972=1),B972,""))</f>
        <v/>
      </c>
      <c r="X972" s="22" t="str">
        <f>IF(AND(OR('Choix pédagogiques'!$C$3=1,'Choix pédagogiques'!$C$3=2),$BM972=1),C972,IF(AND('Choix pédagogiques'!$C$3=3,$BO972=1),C972,""))</f>
        <v/>
      </c>
      <c r="Y972" s="22" t="str">
        <f>IF(AND(OR('Choix pédagogiques'!$C$3=1,'Choix pédagogiques'!$C$3=2),$BM972=1),D972,IF(AND('Choix pédagogiques'!$C$3=3,$BO972=1),D972,""))</f>
        <v/>
      </c>
      <c r="Z972" s="22" t="str">
        <f t="shared" si="626"/>
        <v/>
      </c>
      <c r="AA972" s="21" t="str">
        <f t="shared" si="627"/>
        <v>Apprenant 960 ou 960'</v>
      </c>
      <c r="AB972" s="22" t="str">
        <f>IF(AND(OR('Choix pédagogiques'!$C$3=1,'Choix pédagogiques'!$C$3=2),$BN972=1),G972,IF(AND('Choix pédagogiques'!$C$3=3,$BO972=1),G972,""))</f>
        <v/>
      </c>
      <c r="AC972" s="22" t="str">
        <f>IF(AND(OR('Choix pédagogiques'!$C$3=1,'Choix pédagogiques'!$C$3=2),$BN972=1),H972,IF(AND('Choix pédagogiques'!$C$3=3,$BO972=1),H972,""))</f>
        <v/>
      </c>
      <c r="AD972" s="22" t="str">
        <f>IF(AND(OR('Choix pédagogiques'!$C$3=1,'Choix pédagogiques'!$C$3=2),$BN972=1),I972,IF(AND('Choix pédagogiques'!$C$3=3,$BO972=1),I972,""))</f>
        <v/>
      </c>
      <c r="AE972" s="22" t="str">
        <f t="shared" si="628"/>
        <v/>
      </c>
      <c r="AF972" s="21" t="str">
        <f t="shared" si="629"/>
        <v>Apprenant 960</v>
      </c>
      <c r="AG972" s="22" t="str">
        <f t="shared" si="603"/>
        <v/>
      </c>
      <c r="AH972" s="22" t="str">
        <f t="shared" si="604"/>
        <v/>
      </c>
      <c r="AI972" s="22" t="str">
        <f t="shared" si="605"/>
        <v/>
      </c>
      <c r="AJ972" s="22" t="str">
        <f t="shared" si="630"/>
        <v/>
      </c>
      <c r="AK972" s="21" t="str">
        <f t="shared" si="631"/>
        <v>Apprenant 960 ou 960'</v>
      </c>
      <c r="AL972" s="22" t="str">
        <f t="shared" si="606"/>
        <v/>
      </c>
      <c r="AM972" s="22" t="str">
        <f t="shared" si="607"/>
        <v/>
      </c>
      <c r="AN972" s="22" t="str">
        <f t="shared" si="608"/>
        <v/>
      </c>
      <c r="AO972" s="22" t="str">
        <f t="shared" si="632"/>
        <v/>
      </c>
      <c r="AQ972" s="21" t="str">
        <f t="shared" si="633"/>
        <v>Apprenant 960</v>
      </c>
      <c r="AR972" s="49" t="str">
        <f>IF(AND('Choix pédagogiques'!$C$4&lt;&gt;"?",'Choix pédagogiques'!$C$5&lt;&gt;"?",W972&lt;&gt;""),(W972-'Choix pédagogiques'!$C$4)/('Choix pédagogiques'!$C$5-'Choix pédagogiques'!$C$4),"")</f>
        <v/>
      </c>
      <c r="AS972" s="49" t="str">
        <f>IF(AND('Choix pédagogiques'!$C$4&lt;&gt;"?",'Choix pédagogiques'!$C$5&lt;&gt;"?",X972&lt;&gt;""),(X972-'Choix pédagogiques'!$C$4)/('Choix pédagogiques'!$C$5-'Choix pédagogiques'!$C$4),"")</f>
        <v/>
      </c>
      <c r="AT972" s="49" t="str">
        <f>IF(AND('Choix pédagogiques'!$C$4&lt;&gt;"?",'Choix pédagogiques'!$C$5&lt;&gt;"?",Y972&lt;&gt;""),(Y972-'Choix pédagogiques'!$C$4)/('Choix pédagogiques'!$C$5-'Choix pédagogiques'!$C$4),"")</f>
        <v/>
      </c>
      <c r="AU972" s="22" t="str">
        <f t="shared" si="634"/>
        <v/>
      </c>
      <c r="AV972" s="21" t="str">
        <f t="shared" si="635"/>
        <v>Apprenant 960 ou 960'</v>
      </c>
      <c r="AW972" s="49" t="str">
        <f>IF(AND('Choix pédagogiques'!$C$4&lt;&gt;"?",'Choix pédagogiques'!$C$5&lt;&gt;"?",AB972&lt;&gt;""),(AB972-'Choix pédagogiques'!$C$4)/('Choix pédagogiques'!$C$5-'Choix pédagogiques'!$C$4),"")</f>
        <v/>
      </c>
      <c r="AX972" s="49" t="str">
        <f>IF(AND('Choix pédagogiques'!$C$4&lt;&gt;"?",'Choix pédagogiques'!$C$5&lt;&gt;"?",AC972&lt;&gt;""),(AC972-'Choix pédagogiques'!$C$4)/('Choix pédagogiques'!$C$5-'Choix pédagogiques'!$C$4),"")</f>
        <v/>
      </c>
      <c r="AY972" s="49" t="str">
        <f>IF(AND('Choix pédagogiques'!$C$4&lt;&gt;"?",'Choix pédagogiques'!$C$5&lt;&gt;"?",AD972&lt;&gt;""),(AD972-'Choix pédagogiques'!$C$4)/('Choix pédagogiques'!$C$5-'Choix pédagogiques'!$C$4),"")</f>
        <v/>
      </c>
      <c r="AZ972" s="22" t="str">
        <f t="shared" si="636"/>
        <v/>
      </c>
      <c r="BA972" s="21" t="str">
        <f t="shared" si="637"/>
        <v>Apprenant 960</v>
      </c>
      <c r="BB972" s="49" t="str">
        <f t="shared" si="609"/>
        <v/>
      </c>
      <c r="BC972" s="49" t="str">
        <f t="shared" si="610"/>
        <v/>
      </c>
      <c r="BD972" s="49" t="str">
        <f t="shared" si="611"/>
        <v/>
      </c>
      <c r="BE972" s="22" t="str">
        <f t="shared" si="638"/>
        <v/>
      </c>
      <c r="BF972" s="21" t="str">
        <f t="shared" si="639"/>
        <v>Apprenant 960 ou 960'</v>
      </c>
      <c r="BG972" s="49" t="str">
        <f t="shared" si="612"/>
        <v/>
      </c>
      <c r="BH972" s="49" t="str">
        <f t="shared" si="613"/>
        <v/>
      </c>
      <c r="BI972" s="49" t="str">
        <f t="shared" si="614"/>
        <v/>
      </c>
      <c r="BJ972" s="22" t="str">
        <f t="shared" si="640"/>
        <v/>
      </c>
      <c r="BL972" s="21"/>
      <c r="BM972" s="21" t="str">
        <f>IF(OR(COUNT(B972:D1971)=0,AND('Choix pédagogiques'!$C$3&lt;&gt;1,'Choix pédagogiques'!$C$3&lt;&gt;2)),"",IF(AND(OR('Choix pédagogiques'!$C$3=1,'Choix pédagogiques'!$C$3=2),$B972&lt;&gt;"",$C972&lt;&gt;"",$D972&lt;&gt;""),1,0))</f>
        <v/>
      </c>
      <c r="BN972" s="21" t="str">
        <f>IF(OR(COUNT(G972:I1971)=0,AND('Choix pédagogiques'!$C$3&lt;&gt;1,'Choix pédagogiques'!$C$3&lt;&gt;2)),"",IF(AND(OR('Choix pédagogiques'!$C$3=1,'Choix pédagogiques'!$C$3=2),AND($G972&lt;&gt;"",$H972&lt;&gt;"",$I972&lt;&gt;"")),1,0))</f>
        <v/>
      </c>
      <c r="BO972" s="21" t="str">
        <f>IF(OR(COUNT(B972:D1971)=0,COUNT(G972:I1971)=0,'Choix pédagogiques'!C$3&lt;&gt;3),"",IF(AND('Choix pédagogiques'!$C$3=3,$B972&lt;&gt;"",$C972&lt;&gt;"",$D972&lt;&gt;"",$G972&lt;&gt;"",$H972&lt;&gt;"",$I972&lt;&gt;""),1,0))</f>
        <v/>
      </c>
      <c r="BR972" s="21">
        <v>831</v>
      </c>
      <c r="BS972" s="21">
        <v>1791</v>
      </c>
      <c r="BT972"/>
    </row>
    <row r="973" spans="1:72" s="23" customFormat="1" ht="18" customHeight="1" x14ac:dyDescent="0.3">
      <c r="A973" s="35" t="s">
        <v>963</v>
      </c>
      <c r="B973" s="37"/>
      <c r="C973" s="37"/>
      <c r="D973" s="37"/>
      <c r="E973" s="37"/>
      <c r="F973" s="35" t="s">
        <v>1971</v>
      </c>
      <c r="G973" s="37"/>
      <c r="H973" s="37"/>
      <c r="I973" s="37"/>
      <c r="J973" s="37"/>
      <c r="K973" s="21" t="str">
        <f t="shared" si="615"/>
        <v>Apprenant 961</v>
      </c>
      <c r="L973" s="22" t="str">
        <f t="shared" si="616"/>
        <v/>
      </c>
      <c r="M973" s="22" t="str">
        <f t="shared" si="617"/>
        <v/>
      </c>
      <c r="N973" s="22" t="str">
        <f t="shared" si="618"/>
        <v/>
      </c>
      <c r="O973" s="22" t="str">
        <f t="shared" si="619"/>
        <v/>
      </c>
      <c r="P973" s="21" t="str">
        <f t="shared" si="620"/>
        <v>Apprenant 961 ou 961'</v>
      </c>
      <c r="Q973" s="22" t="str">
        <f t="shared" si="621"/>
        <v/>
      </c>
      <c r="R973" s="22" t="str">
        <f t="shared" si="622"/>
        <v/>
      </c>
      <c r="S973" s="22" t="str">
        <f t="shared" si="623"/>
        <v/>
      </c>
      <c r="T973" s="22" t="str">
        <f t="shared" si="624"/>
        <v/>
      </c>
      <c r="V973" s="21" t="str">
        <f t="shared" si="625"/>
        <v>Apprenant 961</v>
      </c>
      <c r="W973" s="22" t="str">
        <f>IF(AND(OR('Choix pédagogiques'!$C$3=1,'Choix pédagogiques'!$C$3=2),$BM973=1),B973,IF(AND('Choix pédagogiques'!$C$3=3,$BO973=1),B973,""))</f>
        <v/>
      </c>
      <c r="X973" s="22" t="str">
        <f>IF(AND(OR('Choix pédagogiques'!$C$3=1,'Choix pédagogiques'!$C$3=2),$BM973=1),C973,IF(AND('Choix pédagogiques'!$C$3=3,$BO973=1),C973,""))</f>
        <v/>
      </c>
      <c r="Y973" s="22" t="str">
        <f>IF(AND(OR('Choix pédagogiques'!$C$3=1,'Choix pédagogiques'!$C$3=2),$BM973=1),D973,IF(AND('Choix pédagogiques'!$C$3=3,$BO973=1),D973,""))</f>
        <v/>
      </c>
      <c r="Z973" s="22" t="str">
        <f t="shared" si="626"/>
        <v/>
      </c>
      <c r="AA973" s="21" t="str">
        <f t="shared" si="627"/>
        <v>Apprenant 961 ou 961'</v>
      </c>
      <c r="AB973" s="22" t="str">
        <f>IF(AND(OR('Choix pédagogiques'!$C$3=1,'Choix pédagogiques'!$C$3=2),$BN973=1),G973,IF(AND('Choix pédagogiques'!$C$3=3,$BO973=1),G973,""))</f>
        <v/>
      </c>
      <c r="AC973" s="22" t="str">
        <f>IF(AND(OR('Choix pédagogiques'!$C$3=1,'Choix pédagogiques'!$C$3=2),$BN973=1),H973,IF(AND('Choix pédagogiques'!$C$3=3,$BO973=1),H973,""))</f>
        <v/>
      </c>
      <c r="AD973" s="22" t="str">
        <f>IF(AND(OR('Choix pédagogiques'!$C$3=1,'Choix pédagogiques'!$C$3=2),$BN973=1),I973,IF(AND('Choix pédagogiques'!$C$3=3,$BO973=1),I973,""))</f>
        <v/>
      </c>
      <c r="AE973" s="22" t="str">
        <f t="shared" si="628"/>
        <v/>
      </c>
      <c r="AF973" s="21" t="str">
        <f t="shared" si="629"/>
        <v>Apprenant 961</v>
      </c>
      <c r="AG973" s="22" t="str">
        <f t="shared" ref="AG973:AG1012" si="641">IF(AND($W973&lt;&gt;"",$X973&lt;&gt;""),$X973-$W973,"")</f>
        <v/>
      </c>
      <c r="AH973" s="22" t="str">
        <f t="shared" ref="AH973:AH1012" si="642">IF(AND($W973&lt;&gt;"",$Y973&lt;&gt;""),$Y973-$W973,"")</f>
        <v/>
      </c>
      <c r="AI973" s="22" t="str">
        <f t="shared" ref="AI973:AI1012" si="643">IF(AND($X973&lt;&gt;"",$Y973&lt;&gt;""),$Y973-$X973,"")</f>
        <v/>
      </c>
      <c r="AJ973" s="22" t="str">
        <f t="shared" si="630"/>
        <v/>
      </c>
      <c r="AK973" s="21" t="str">
        <f t="shared" si="631"/>
        <v>Apprenant 961 ou 961'</v>
      </c>
      <c r="AL973" s="22" t="str">
        <f t="shared" ref="AL973:AL1012" si="644">IF(AND($AB973&lt;&gt;"",$AC973&lt;&gt;""),$AC973-$AB973,"")</f>
        <v/>
      </c>
      <c r="AM973" s="22" t="str">
        <f t="shared" ref="AM973:AM1012" si="645">IF(AND($AB973&lt;&gt;"",$AD973&lt;&gt;""),$AD973-$AB973,"")</f>
        <v/>
      </c>
      <c r="AN973" s="22" t="str">
        <f t="shared" ref="AN973:AN1012" si="646">IF(AND($AC973&lt;&gt;"",$AD973&lt;&gt;""),$AD973-$AC973,"")</f>
        <v/>
      </c>
      <c r="AO973" s="22" t="str">
        <f t="shared" si="632"/>
        <v/>
      </c>
      <c r="AQ973" s="21" t="str">
        <f t="shared" si="633"/>
        <v>Apprenant 961</v>
      </c>
      <c r="AR973" s="49" t="str">
        <f>IF(AND('Choix pédagogiques'!$C$4&lt;&gt;"?",'Choix pédagogiques'!$C$5&lt;&gt;"?",W973&lt;&gt;""),(W973-'Choix pédagogiques'!$C$4)/('Choix pédagogiques'!$C$5-'Choix pédagogiques'!$C$4),"")</f>
        <v/>
      </c>
      <c r="AS973" s="49" t="str">
        <f>IF(AND('Choix pédagogiques'!$C$4&lt;&gt;"?",'Choix pédagogiques'!$C$5&lt;&gt;"?",X973&lt;&gt;""),(X973-'Choix pédagogiques'!$C$4)/('Choix pédagogiques'!$C$5-'Choix pédagogiques'!$C$4),"")</f>
        <v/>
      </c>
      <c r="AT973" s="49" t="str">
        <f>IF(AND('Choix pédagogiques'!$C$4&lt;&gt;"?",'Choix pédagogiques'!$C$5&lt;&gt;"?",Y973&lt;&gt;""),(Y973-'Choix pédagogiques'!$C$4)/('Choix pédagogiques'!$C$5-'Choix pédagogiques'!$C$4),"")</f>
        <v/>
      </c>
      <c r="AU973" s="22" t="str">
        <f t="shared" si="634"/>
        <v/>
      </c>
      <c r="AV973" s="21" t="str">
        <f t="shared" si="635"/>
        <v>Apprenant 961 ou 961'</v>
      </c>
      <c r="AW973" s="49" t="str">
        <f>IF(AND('Choix pédagogiques'!$C$4&lt;&gt;"?",'Choix pédagogiques'!$C$5&lt;&gt;"?",AB973&lt;&gt;""),(AB973-'Choix pédagogiques'!$C$4)/('Choix pédagogiques'!$C$5-'Choix pédagogiques'!$C$4),"")</f>
        <v/>
      </c>
      <c r="AX973" s="49" t="str">
        <f>IF(AND('Choix pédagogiques'!$C$4&lt;&gt;"?",'Choix pédagogiques'!$C$5&lt;&gt;"?",AC973&lt;&gt;""),(AC973-'Choix pédagogiques'!$C$4)/('Choix pédagogiques'!$C$5-'Choix pédagogiques'!$C$4),"")</f>
        <v/>
      </c>
      <c r="AY973" s="49" t="str">
        <f>IF(AND('Choix pédagogiques'!$C$4&lt;&gt;"?",'Choix pédagogiques'!$C$5&lt;&gt;"?",AD973&lt;&gt;""),(AD973-'Choix pédagogiques'!$C$4)/('Choix pédagogiques'!$C$5-'Choix pédagogiques'!$C$4),"")</f>
        <v/>
      </c>
      <c r="AZ973" s="22" t="str">
        <f t="shared" si="636"/>
        <v/>
      </c>
      <c r="BA973" s="21" t="str">
        <f t="shared" si="637"/>
        <v>Apprenant 961</v>
      </c>
      <c r="BB973" s="49" t="str">
        <f t="shared" ref="BB973:BB1012" si="647">IF(AND($AR973&lt;&gt;"",$AS973&lt;&gt;""),$AS973-$AR973,"")</f>
        <v/>
      </c>
      <c r="BC973" s="49" t="str">
        <f t="shared" ref="BC973:BC1012" si="648">IF(AND($AR973&lt;&gt;"",$AT973&lt;&gt;""),$AT973-$AR973,"")</f>
        <v/>
      </c>
      <c r="BD973" s="49" t="str">
        <f t="shared" ref="BD973:BD1012" si="649">IF(AND($AS973&lt;&gt;"",$AT973&lt;&gt;""),$AT973-$AS973,"")</f>
        <v/>
      </c>
      <c r="BE973" s="22" t="str">
        <f t="shared" si="638"/>
        <v/>
      </c>
      <c r="BF973" s="21" t="str">
        <f t="shared" si="639"/>
        <v>Apprenant 961 ou 961'</v>
      </c>
      <c r="BG973" s="49" t="str">
        <f t="shared" ref="BG973:BG1012" si="650">IF(AND($AW973&lt;&gt;"",$AX973&lt;&gt;""),$AX973-$AW973,"")</f>
        <v/>
      </c>
      <c r="BH973" s="49" t="str">
        <f t="shared" ref="BH973:BH1012" si="651">IF(AND($AW973&lt;&gt;"",$AY973&lt;&gt;""),$AY973-$AW973,"")</f>
        <v/>
      </c>
      <c r="BI973" s="49" t="str">
        <f t="shared" ref="BI973:BI1012" si="652">IF(AND($AX973&lt;&gt;"",$AY973&lt;&gt;""),$AY973-$AX973,"")</f>
        <v/>
      </c>
      <c r="BJ973" s="22" t="str">
        <f t="shared" si="640"/>
        <v/>
      </c>
      <c r="BL973" s="21"/>
      <c r="BM973" s="21" t="str">
        <f>IF(OR(COUNT(B973:D1972)=0,AND('Choix pédagogiques'!$C$3&lt;&gt;1,'Choix pédagogiques'!$C$3&lt;&gt;2)),"",IF(AND(OR('Choix pédagogiques'!$C$3=1,'Choix pédagogiques'!$C$3=2),$B973&lt;&gt;"",$C973&lt;&gt;"",$D973&lt;&gt;""),1,0))</f>
        <v/>
      </c>
      <c r="BN973" s="21" t="str">
        <f>IF(OR(COUNT(G973:I1972)=0,AND('Choix pédagogiques'!$C$3&lt;&gt;1,'Choix pédagogiques'!$C$3&lt;&gt;2)),"",IF(AND(OR('Choix pédagogiques'!$C$3=1,'Choix pédagogiques'!$C$3=2),AND($G973&lt;&gt;"",$H973&lt;&gt;"",$I973&lt;&gt;"")),1,0))</f>
        <v/>
      </c>
      <c r="BO973" s="21" t="str">
        <f>IF(OR(COUNT(B973:D1972)=0,COUNT(G973:I1972)=0,'Choix pédagogiques'!C$3&lt;&gt;3),"",IF(AND('Choix pédagogiques'!$C$3=3,$B973&lt;&gt;"",$C973&lt;&gt;"",$D973&lt;&gt;"",$G973&lt;&gt;"",$H973&lt;&gt;"",$I973&lt;&gt;""),1,0))</f>
        <v/>
      </c>
      <c r="BR973" s="21">
        <v>424</v>
      </c>
      <c r="BS973" s="21">
        <v>1171</v>
      </c>
      <c r="BT973"/>
    </row>
    <row r="974" spans="1:72" s="23" customFormat="1" ht="18" customHeight="1" x14ac:dyDescent="0.3">
      <c r="A974" s="35" t="s">
        <v>964</v>
      </c>
      <c r="B974" s="37"/>
      <c r="C974" s="37"/>
      <c r="D974" s="37"/>
      <c r="E974" s="37"/>
      <c r="F974" s="35" t="s">
        <v>1972</v>
      </c>
      <c r="G974" s="37"/>
      <c r="H974" s="37"/>
      <c r="I974" s="37"/>
      <c r="J974" s="37"/>
      <c r="K974" s="21" t="str">
        <f t="shared" ref="K974:K1012" si="653">IF($A974&lt;&gt;"",$A974,"")</f>
        <v>Apprenant 962</v>
      </c>
      <c r="L974" s="22" t="str">
        <f t="shared" ref="L974:L1012" si="654">IF(AND($B974&lt;&gt;"",$C974&lt;&gt;""),$C974-$B974,"")</f>
        <v/>
      </c>
      <c r="M974" s="22" t="str">
        <f t="shared" ref="M974:M1012" si="655">IF(AND($B974&lt;&gt;"",$D974&lt;&gt;""),$D974-$B974,"")</f>
        <v/>
      </c>
      <c r="N974" s="22" t="str">
        <f t="shared" ref="N974:N1012" si="656">IF(AND($C974&lt;&gt;"",$D974&lt;&gt;""),$D974-$C974,"")</f>
        <v/>
      </c>
      <c r="O974" s="22" t="str">
        <f t="shared" ref="O974:O1011" si="657">IF($E974&lt;&gt;"",$E974,"")</f>
        <v/>
      </c>
      <c r="P974" s="21" t="str">
        <f t="shared" ref="P974:P1012" si="658">IF($F974&lt;&gt;"",$F974,"")</f>
        <v>Apprenant 962 ou 962'</v>
      </c>
      <c r="Q974" s="22" t="str">
        <f t="shared" ref="Q974:Q1012" si="659">IF(AND($G974&lt;&gt;"",$H974&lt;&gt;""),$H974-$G974,"")</f>
        <v/>
      </c>
      <c r="R974" s="22" t="str">
        <f t="shared" ref="R974:R1012" si="660">IF(AND($G974&lt;&gt;"",$I974&lt;&gt;""),$I974-$G974,"")</f>
        <v/>
      </c>
      <c r="S974" s="22" t="str">
        <f t="shared" ref="S974:S1012" si="661">IF(AND($H974&lt;&gt;"",$I974&lt;&gt;""),$I974-$H974,"")</f>
        <v/>
      </c>
      <c r="T974" s="22" t="str">
        <f t="shared" ref="T974:T1012" si="662">IF($J974&lt;&gt;"",$J974,"")</f>
        <v/>
      </c>
      <c r="V974" s="21" t="str">
        <f t="shared" ref="V974:V1012" si="663">IF($A974&lt;&gt;"",$A974,"")</f>
        <v>Apprenant 962</v>
      </c>
      <c r="W974" s="22" t="str">
        <f>IF(AND(OR('Choix pédagogiques'!$C$3=1,'Choix pédagogiques'!$C$3=2),$BM974=1),B974,IF(AND('Choix pédagogiques'!$C$3=3,$BO974=1),B974,""))</f>
        <v/>
      </c>
      <c r="X974" s="22" t="str">
        <f>IF(AND(OR('Choix pédagogiques'!$C$3=1,'Choix pédagogiques'!$C$3=2),$BM974=1),C974,IF(AND('Choix pédagogiques'!$C$3=3,$BO974=1),C974,""))</f>
        <v/>
      </c>
      <c r="Y974" s="22" t="str">
        <f>IF(AND(OR('Choix pédagogiques'!$C$3=1,'Choix pédagogiques'!$C$3=2),$BM974=1),D974,IF(AND('Choix pédagogiques'!$C$3=3,$BO974=1),D974,""))</f>
        <v/>
      </c>
      <c r="Z974" s="22" t="str">
        <f t="shared" ref="Z974:Z1011" si="664">IF($E974&lt;&gt;"",$E974,"")</f>
        <v/>
      </c>
      <c r="AA974" s="21" t="str">
        <f t="shared" ref="AA974:AA1012" si="665">IF($F974&lt;&gt;"",$F974,"")</f>
        <v>Apprenant 962 ou 962'</v>
      </c>
      <c r="AB974" s="22" t="str">
        <f>IF(AND(OR('Choix pédagogiques'!$C$3=1,'Choix pédagogiques'!$C$3=2),$BN974=1),G974,IF(AND('Choix pédagogiques'!$C$3=3,$BO974=1),G974,""))</f>
        <v/>
      </c>
      <c r="AC974" s="22" t="str">
        <f>IF(AND(OR('Choix pédagogiques'!$C$3=1,'Choix pédagogiques'!$C$3=2),$BN974=1),H974,IF(AND('Choix pédagogiques'!$C$3=3,$BO974=1),H974,""))</f>
        <v/>
      </c>
      <c r="AD974" s="22" t="str">
        <f>IF(AND(OR('Choix pédagogiques'!$C$3=1,'Choix pédagogiques'!$C$3=2),$BN974=1),I974,IF(AND('Choix pédagogiques'!$C$3=3,$BO974=1),I974,""))</f>
        <v/>
      </c>
      <c r="AE974" s="22" t="str">
        <f t="shared" ref="AE974:AE1012" si="666">IF($J974&lt;&gt;"",$J974,"")</f>
        <v/>
      </c>
      <c r="AF974" s="21" t="str">
        <f t="shared" ref="AF974:AF1012" si="667">IF($A974&lt;&gt;"",$A974,"")</f>
        <v>Apprenant 962</v>
      </c>
      <c r="AG974" s="22" t="str">
        <f t="shared" si="641"/>
        <v/>
      </c>
      <c r="AH974" s="22" t="str">
        <f t="shared" si="642"/>
        <v/>
      </c>
      <c r="AI974" s="22" t="str">
        <f t="shared" si="643"/>
        <v/>
      </c>
      <c r="AJ974" s="22" t="str">
        <f t="shared" ref="AJ974:AJ1011" si="668">IF($E974&lt;&gt;"",$E974,"")</f>
        <v/>
      </c>
      <c r="AK974" s="21" t="str">
        <f t="shared" ref="AK974:AK1012" si="669">IF($F974&lt;&gt;"",$F974,"")</f>
        <v>Apprenant 962 ou 962'</v>
      </c>
      <c r="AL974" s="22" t="str">
        <f t="shared" si="644"/>
        <v/>
      </c>
      <c r="AM974" s="22" t="str">
        <f t="shared" si="645"/>
        <v/>
      </c>
      <c r="AN974" s="22" t="str">
        <f t="shared" si="646"/>
        <v/>
      </c>
      <c r="AO974" s="22" t="str">
        <f t="shared" ref="AO974:AO1012" si="670">IF($J974&lt;&gt;"",$J974,"")</f>
        <v/>
      </c>
      <c r="AQ974" s="21" t="str">
        <f t="shared" ref="AQ974:AQ1012" si="671">IF($A974&lt;&gt;"",$A974,"")</f>
        <v>Apprenant 962</v>
      </c>
      <c r="AR974" s="49" t="str">
        <f>IF(AND('Choix pédagogiques'!$C$4&lt;&gt;"?",'Choix pédagogiques'!$C$5&lt;&gt;"?",W974&lt;&gt;""),(W974-'Choix pédagogiques'!$C$4)/('Choix pédagogiques'!$C$5-'Choix pédagogiques'!$C$4),"")</f>
        <v/>
      </c>
      <c r="AS974" s="49" t="str">
        <f>IF(AND('Choix pédagogiques'!$C$4&lt;&gt;"?",'Choix pédagogiques'!$C$5&lt;&gt;"?",X974&lt;&gt;""),(X974-'Choix pédagogiques'!$C$4)/('Choix pédagogiques'!$C$5-'Choix pédagogiques'!$C$4),"")</f>
        <v/>
      </c>
      <c r="AT974" s="49" t="str">
        <f>IF(AND('Choix pédagogiques'!$C$4&lt;&gt;"?",'Choix pédagogiques'!$C$5&lt;&gt;"?",Y974&lt;&gt;""),(Y974-'Choix pédagogiques'!$C$4)/('Choix pédagogiques'!$C$5-'Choix pédagogiques'!$C$4),"")</f>
        <v/>
      </c>
      <c r="AU974" s="22" t="str">
        <f t="shared" ref="AU974:AU1011" si="672">IF($E974&lt;&gt;"",$E974,"")</f>
        <v/>
      </c>
      <c r="AV974" s="21" t="str">
        <f t="shared" ref="AV974:AV1012" si="673">IF($F974&lt;&gt;"",$F974,"")</f>
        <v>Apprenant 962 ou 962'</v>
      </c>
      <c r="AW974" s="49" t="str">
        <f>IF(AND('Choix pédagogiques'!$C$4&lt;&gt;"?",'Choix pédagogiques'!$C$5&lt;&gt;"?",AB974&lt;&gt;""),(AB974-'Choix pédagogiques'!$C$4)/('Choix pédagogiques'!$C$5-'Choix pédagogiques'!$C$4),"")</f>
        <v/>
      </c>
      <c r="AX974" s="49" t="str">
        <f>IF(AND('Choix pédagogiques'!$C$4&lt;&gt;"?",'Choix pédagogiques'!$C$5&lt;&gt;"?",AC974&lt;&gt;""),(AC974-'Choix pédagogiques'!$C$4)/('Choix pédagogiques'!$C$5-'Choix pédagogiques'!$C$4),"")</f>
        <v/>
      </c>
      <c r="AY974" s="49" t="str">
        <f>IF(AND('Choix pédagogiques'!$C$4&lt;&gt;"?",'Choix pédagogiques'!$C$5&lt;&gt;"?",AD974&lt;&gt;""),(AD974-'Choix pédagogiques'!$C$4)/('Choix pédagogiques'!$C$5-'Choix pédagogiques'!$C$4),"")</f>
        <v/>
      </c>
      <c r="AZ974" s="22" t="str">
        <f t="shared" ref="AZ974:AZ1012" si="674">IF($J974&lt;&gt;"",$J974,"")</f>
        <v/>
      </c>
      <c r="BA974" s="21" t="str">
        <f t="shared" ref="BA974:BA1012" si="675">IF($A974&lt;&gt;"",$A974,"")</f>
        <v>Apprenant 962</v>
      </c>
      <c r="BB974" s="49" t="str">
        <f t="shared" si="647"/>
        <v/>
      </c>
      <c r="BC974" s="49" t="str">
        <f t="shared" si="648"/>
        <v/>
      </c>
      <c r="BD974" s="49" t="str">
        <f t="shared" si="649"/>
        <v/>
      </c>
      <c r="BE974" s="22" t="str">
        <f t="shared" ref="BE974:BE1011" si="676">IF($E974&lt;&gt;"",$E974,"")</f>
        <v/>
      </c>
      <c r="BF974" s="21" t="str">
        <f t="shared" ref="BF974:BF1012" si="677">IF($F974&lt;&gt;"",$F974,"")</f>
        <v>Apprenant 962 ou 962'</v>
      </c>
      <c r="BG974" s="49" t="str">
        <f t="shared" si="650"/>
        <v/>
      </c>
      <c r="BH974" s="49" t="str">
        <f t="shared" si="651"/>
        <v/>
      </c>
      <c r="BI974" s="49" t="str">
        <f t="shared" si="652"/>
        <v/>
      </c>
      <c r="BJ974" s="22" t="str">
        <f t="shared" ref="BJ974:BJ1012" si="678">IF($J974&lt;&gt;"",$J974,"")</f>
        <v/>
      </c>
      <c r="BL974" s="21"/>
      <c r="BM974" s="21" t="str">
        <f>IF(OR(COUNT(B974:D1973)=0,AND('Choix pédagogiques'!$C$3&lt;&gt;1,'Choix pédagogiques'!$C$3&lt;&gt;2)),"",IF(AND(OR('Choix pédagogiques'!$C$3=1,'Choix pédagogiques'!$C$3=2),$B974&lt;&gt;"",$C974&lt;&gt;"",$D974&lt;&gt;""),1,0))</f>
        <v/>
      </c>
      <c r="BN974" s="21" t="str">
        <f>IF(OR(COUNT(G974:I1973)=0,AND('Choix pédagogiques'!$C$3&lt;&gt;1,'Choix pédagogiques'!$C$3&lt;&gt;2)),"",IF(AND(OR('Choix pédagogiques'!$C$3=1,'Choix pédagogiques'!$C$3=2),AND($G974&lt;&gt;"",$H974&lt;&gt;"",$I974&lt;&gt;"")),1,0))</f>
        <v/>
      </c>
      <c r="BO974" s="21" t="str">
        <f>IF(OR(COUNT(B974:D1973)=0,COUNT(G974:I1973)=0,'Choix pédagogiques'!C$3&lt;&gt;3),"",IF(AND('Choix pédagogiques'!$C$3=3,$B974&lt;&gt;"",$C974&lt;&gt;"",$D974&lt;&gt;"",$G974&lt;&gt;"",$H974&lt;&gt;"",$I974&lt;&gt;""),1,0))</f>
        <v/>
      </c>
      <c r="BR974" s="21">
        <v>813</v>
      </c>
      <c r="BS974" s="21">
        <v>1309</v>
      </c>
      <c r="BT974"/>
    </row>
    <row r="975" spans="1:72" s="23" customFormat="1" ht="18" customHeight="1" x14ac:dyDescent="0.3">
      <c r="A975" s="35" t="s">
        <v>965</v>
      </c>
      <c r="B975" s="37"/>
      <c r="C975" s="37"/>
      <c r="D975" s="37"/>
      <c r="E975" s="37"/>
      <c r="F975" s="35" t="s">
        <v>1973</v>
      </c>
      <c r="G975" s="37"/>
      <c r="H975" s="37"/>
      <c r="I975" s="37"/>
      <c r="J975" s="37"/>
      <c r="K975" s="21" t="str">
        <f t="shared" si="653"/>
        <v>Apprenant 963</v>
      </c>
      <c r="L975" s="22" t="str">
        <f t="shared" si="654"/>
        <v/>
      </c>
      <c r="M975" s="22" t="str">
        <f t="shared" si="655"/>
        <v/>
      </c>
      <c r="N975" s="22" t="str">
        <f t="shared" si="656"/>
        <v/>
      </c>
      <c r="O975" s="22" t="str">
        <f t="shared" si="657"/>
        <v/>
      </c>
      <c r="P975" s="21" t="str">
        <f t="shared" si="658"/>
        <v>Apprenant 963 ou 963'</v>
      </c>
      <c r="Q975" s="22" t="str">
        <f t="shared" si="659"/>
        <v/>
      </c>
      <c r="R975" s="22" t="str">
        <f t="shared" si="660"/>
        <v/>
      </c>
      <c r="S975" s="22" t="str">
        <f t="shared" si="661"/>
        <v/>
      </c>
      <c r="T975" s="22" t="str">
        <f t="shared" si="662"/>
        <v/>
      </c>
      <c r="V975" s="21" t="str">
        <f t="shared" si="663"/>
        <v>Apprenant 963</v>
      </c>
      <c r="W975" s="22" t="str">
        <f>IF(AND(OR('Choix pédagogiques'!$C$3=1,'Choix pédagogiques'!$C$3=2),$BM975=1),B975,IF(AND('Choix pédagogiques'!$C$3=3,$BO975=1),B975,""))</f>
        <v/>
      </c>
      <c r="X975" s="22" t="str">
        <f>IF(AND(OR('Choix pédagogiques'!$C$3=1,'Choix pédagogiques'!$C$3=2),$BM975=1),C975,IF(AND('Choix pédagogiques'!$C$3=3,$BO975=1),C975,""))</f>
        <v/>
      </c>
      <c r="Y975" s="22" t="str">
        <f>IF(AND(OR('Choix pédagogiques'!$C$3=1,'Choix pédagogiques'!$C$3=2),$BM975=1),D975,IF(AND('Choix pédagogiques'!$C$3=3,$BO975=1),D975,""))</f>
        <v/>
      </c>
      <c r="Z975" s="22" t="str">
        <f t="shared" si="664"/>
        <v/>
      </c>
      <c r="AA975" s="21" t="str">
        <f t="shared" si="665"/>
        <v>Apprenant 963 ou 963'</v>
      </c>
      <c r="AB975" s="22" t="str">
        <f>IF(AND(OR('Choix pédagogiques'!$C$3=1,'Choix pédagogiques'!$C$3=2),$BN975=1),G975,IF(AND('Choix pédagogiques'!$C$3=3,$BO975=1),G975,""))</f>
        <v/>
      </c>
      <c r="AC975" s="22" t="str">
        <f>IF(AND(OR('Choix pédagogiques'!$C$3=1,'Choix pédagogiques'!$C$3=2),$BN975=1),H975,IF(AND('Choix pédagogiques'!$C$3=3,$BO975=1),H975,""))</f>
        <v/>
      </c>
      <c r="AD975" s="22" t="str">
        <f>IF(AND(OR('Choix pédagogiques'!$C$3=1,'Choix pédagogiques'!$C$3=2),$BN975=1),I975,IF(AND('Choix pédagogiques'!$C$3=3,$BO975=1),I975,""))</f>
        <v/>
      </c>
      <c r="AE975" s="22" t="str">
        <f t="shared" si="666"/>
        <v/>
      </c>
      <c r="AF975" s="21" t="str">
        <f t="shared" si="667"/>
        <v>Apprenant 963</v>
      </c>
      <c r="AG975" s="22" t="str">
        <f t="shared" si="641"/>
        <v/>
      </c>
      <c r="AH975" s="22" t="str">
        <f t="shared" si="642"/>
        <v/>
      </c>
      <c r="AI975" s="22" t="str">
        <f t="shared" si="643"/>
        <v/>
      </c>
      <c r="AJ975" s="22" t="str">
        <f t="shared" si="668"/>
        <v/>
      </c>
      <c r="AK975" s="21" t="str">
        <f t="shared" si="669"/>
        <v>Apprenant 963 ou 963'</v>
      </c>
      <c r="AL975" s="22" t="str">
        <f t="shared" si="644"/>
        <v/>
      </c>
      <c r="AM975" s="22" t="str">
        <f t="shared" si="645"/>
        <v/>
      </c>
      <c r="AN975" s="22" t="str">
        <f t="shared" si="646"/>
        <v/>
      </c>
      <c r="AO975" s="22" t="str">
        <f t="shared" si="670"/>
        <v/>
      </c>
      <c r="AQ975" s="21" t="str">
        <f t="shared" si="671"/>
        <v>Apprenant 963</v>
      </c>
      <c r="AR975" s="49" t="str">
        <f>IF(AND('Choix pédagogiques'!$C$4&lt;&gt;"?",'Choix pédagogiques'!$C$5&lt;&gt;"?",W975&lt;&gt;""),(W975-'Choix pédagogiques'!$C$4)/('Choix pédagogiques'!$C$5-'Choix pédagogiques'!$C$4),"")</f>
        <v/>
      </c>
      <c r="AS975" s="49" t="str">
        <f>IF(AND('Choix pédagogiques'!$C$4&lt;&gt;"?",'Choix pédagogiques'!$C$5&lt;&gt;"?",X975&lt;&gt;""),(X975-'Choix pédagogiques'!$C$4)/('Choix pédagogiques'!$C$5-'Choix pédagogiques'!$C$4),"")</f>
        <v/>
      </c>
      <c r="AT975" s="49" t="str">
        <f>IF(AND('Choix pédagogiques'!$C$4&lt;&gt;"?",'Choix pédagogiques'!$C$5&lt;&gt;"?",Y975&lt;&gt;""),(Y975-'Choix pédagogiques'!$C$4)/('Choix pédagogiques'!$C$5-'Choix pédagogiques'!$C$4),"")</f>
        <v/>
      </c>
      <c r="AU975" s="22" t="str">
        <f t="shared" si="672"/>
        <v/>
      </c>
      <c r="AV975" s="21" t="str">
        <f t="shared" si="673"/>
        <v>Apprenant 963 ou 963'</v>
      </c>
      <c r="AW975" s="49" t="str">
        <f>IF(AND('Choix pédagogiques'!$C$4&lt;&gt;"?",'Choix pédagogiques'!$C$5&lt;&gt;"?",AB975&lt;&gt;""),(AB975-'Choix pédagogiques'!$C$4)/('Choix pédagogiques'!$C$5-'Choix pédagogiques'!$C$4),"")</f>
        <v/>
      </c>
      <c r="AX975" s="49" t="str">
        <f>IF(AND('Choix pédagogiques'!$C$4&lt;&gt;"?",'Choix pédagogiques'!$C$5&lt;&gt;"?",AC975&lt;&gt;""),(AC975-'Choix pédagogiques'!$C$4)/('Choix pédagogiques'!$C$5-'Choix pédagogiques'!$C$4),"")</f>
        <v/>
      </c>
      <c r="AY975" s="49" t="str">
        <f>IF(AND('Choix pédagogiques'!$C$4&lt;&gt;"?",'Choix pédagogiques'!$C$5&lt;&gt;"?",AD975&lt;&gt;""),(AD975-'Choix pédagogiques'!$C$4)/('Choix pédagogiques'!$C$5-'Choix pédagogiques'!$C$4),"")</f>
        <v/>
      </c>
      <c r="AZ975" s="22" t="str">
        <f t="shared" si="674"/>
        <v/>
      </c>
      <c r="BA975" s="21" t="str">
        <f t="shared" si="675"/>
        <v>Apprenant 963</v>
      </c>
      <c r="BB975" s="49" t="str">
        <f t="shared" si="647"/>
        <v/>
      </c>
      <c r="BC975" s="49" t="str">
        <f t="shared" si="648"/>
        <v/>
      </c>
      <c r="BD975" s="49" t="str">
        <f t="shared" si="649"/>
        <v/>
      </c>
      <c r="BE975" s="22" t="str">
        <f t="shared" si="676"/>
        <v/>
      </c>
      <c r="BF975" s="21" t="str">
        <f t="shared" si="677"/>
        <v>Apprenant 963 ou 963'</v>
      </c>
      <c r="BG975" s="49" t="str">
        <f t="shared" si="650"/>
        <v/>
      </c>
      <c r="BH975" s="49" t="str">
        <f t="shared" si="651"/>
        <v/>
      </c>
      <c r="BI975" s="49" t="str">
        <f t="shared" si="652"/>
        <v/>
      </c>
      <c r="BJ975" s="22" t="str">
        <f t="shared" si="678"/>
        <v/>
      </c>
      <c r="BL975" s="21"/>
      <c r="BM975" s="21" t="str">
        <f>IF(OR(COUNT(B975:D1974)=0,AND('Choix pédagogiques'!$C$3&lt;&gt;1,'Choix pédagogiques'!$C$3&lt;&gt;2)),"",IF(AND(OR('Choix pédagogiques'!$C$3=1,'Choix pédagogiques'!$C$3=2),$B975&lt;&gt;"",$C975&lt;&gt;"",$D975&lt;&gt;""),1,0))</f>
        <v/>
      </c>
      <c r="BN975" s="21" t="str">
        <f>IF(OR(COUNT(G975:I1974)=0,AND('Choix pédagogiques'!$C$3&lt;&gt;1,'Choix pédagogiques'!$C$3&lt;&gt;2)),"",IF(AND(OR('Choix pédagogiques'!$C$3=1,'Choix pédagogiques'!$C$3=2),AND($G975&lt;&gt;"",$H975&lt;&gt;"",$I975&lt;&gt;"")),1,0))</f>
        <v/>
      </c>
      <c r="BO975" s="21" t="str">
        <f>IF(OR(COUNT(B975:D1974)=0,COUNT(G975:I1974)=0,'Choix pédagogiques'!C$3&lt;&gt;3),"",IF(AND('Choix pédagogiques'!$C$3=3,$B975&lt;&gt;"",$C975&lt;&gt;"",$D975&lt;&gt;"",$G975&lt;&gt;"",$H975&lt;&gt;"",$I975&lt;&gt;""),1,0))</f>
        <v/>
      </c>
      <c r="BR975" s="21">
        <v>506</v>
      </c>
      <c r="BS975" s="21">
        <v>1910</v>
      </c>
      <c r="BT975"/>
    </row>
    <row r="976" spans="1:72" s="23" customFormat="1" ht="18" customHeight="1" x14ac:dyDescent="0.3">
      <c r="A976" s="35" t="s">
        <v>966</v>
      </c>
      <c r="B976" s="37"/>
      <c r="C976" s="37"/>
      <c r="D976" s="37"/>
      <c r="E976" s="37"/>
      <c r="F976" s="35" t="s">
        <v>1974</v>
      </c>
      <c r="G976" s="37"/>
      <c r="H976" s="37"/>
      <c r="I976" s="37"/>
      <c r="J976" s="37"/>
      <c r="K976" s="21" t="str">
        <f t="shared" si="653"/>
        <v>Apprenant 964</v>
      </c>
      <c r="L976" s="22" t="str">
        <f t="shared" si="654"/>
        <v/>
      </c>
      <c r="M976" s="22" t="str">
        <f t="shared" si="655"/>
        <v/>
      </c>
      <c r="N976" s="22" t="str">
        <f t="shared" si="656"/>
        <v/>
      </c>
      <c r="O976" s="22" t="str">
        <f t="shared" si="657"/>
        <v/>
      </c>
      <c r="P976" s="21" t="str">
        <f t="shared" si="658"/>
        <v>Apprenant 964 ou 964'</v>
      </c>
      <c r="Q976" s="22" t="str">
        <f t="shared" si="659"/>
        <v/>
      </c>
      <c r="R976" s="22" t="str">
        <f t="shared" si="660"/>
        <v/>
      </c>
      <c r="S976" s="22" t="str">
        <f t="shared" si="661"/>
        <v/>
      </c>
      <c r="T976" s="22" t="str">
        <f t="shared" si="662"/>
        <v/>
      </c>
      <c r="V976" s="21" t="str">
        <f t="shared" si="663"/>
        <v>Apprenant 964</v>
      </c>
      <c r="W976" s="22" t="str">
        <f>IF(AND(OR('Choix pédagogiques'!$C$3=1,'Choix pédagogiques'!$C$3=2),$BM976=1),B976,IF(AND('Choix pédagogiques'!$C$3=3,$BO976=1),B976,""))</f>
        <v/>
      </c>
      <c r="X976" s="22" t="str">
        <f>IF(AND(OR('Choix pédagogiques'!$C$3=1,'Choix pédagogiques'!$C$3=2),$BM976=1),C976,IF(AND('Choix pédagogiques'!$C$3=3,$BO976=1),C976,""))</f>
        <v/>
      </c>
      <c r="Y976" s="22" t="str">
        <f>IF(AND(OR('Choix pédagogiques'!$C$3=1,'Choix pédagogiques'!$C$3=2),$BM976=1),D976,IF(AND('Choix pédagogiques'!$C$3=3,$BO976=1),D976,""))</f>
        <v/>
      </c>
      <c r="Z976" s="22" t="str">
        <f t="shared" si="664"/>
        <v/>
      </c>
      <c r="AA976" s="21" t="str">
        <f t="shared" si="665"/>
        <v>Apprenant 964 ou 964'</v>
      </c>
      <c r="AB976" s="22" t="str">
        <f>IF(AND(OR('Choix pédagogiques'!$C$3=1,'Choix pédagogiques'!$C$3=2),$BN976=1),G976,IF(AND('Choix pédagogiques'!$C$3=3,$BO976=1),G976,""))</f>
        <v/>
      </c>
      <c r="AC976" s="22" t="str">
        <f>IF(AND(OR('Choix pédagogiques'!$C$3=1,'Choix pédagogiques'!$C$3=2),$BN976=1),H976,IF(AND('Choix pédagogiques'!$C$3=3,$BO976=1),H976,""))</f>
        <v/>
      </c>
      <c r="AD976" s="22" t="str">
        <f>IF(AND(OR('Choix pédagogiques'!$C$3=1,'Choix pédagogiques'!$C$3=2),$BN976=1),I976,IF(AND('Choix pédagogiques'!$C$3=3,$BO976=1),I976,""))</f>
        <v/>
      </c>
      <c r="AE976" s="22" t="str">
        <f t="shared" si="666"/>
        <v/>
      </c>
      <c r="AF976" s="21" t="str">
        <f t="shared" si="667"/>
        <v>Apprenant 964</v>
      </c>
      <c r="AG976" s="22" t="str">
        <f t="shared" si="641"/>
        <v/>
      </c>
      <c r="AH976" s="22" t="str">
        <f t="shared" si="642"/>
        <v/>
      </c>
      <c r="AI976" s="22" t="str">
        <f t="shared" si="643"/>
        <v/>
      </c>
      <c r="AJ976" s="22" t="str">
        <f t="shared" si="668"/>
        <v/>
      </c>
      <c r="AK976" s="21" t="str">
        <f t="shared" si="669"/>
        <v>Apprenant 964 ou 964'</v>
      </c>
      <c r="AL976" s="22" t="str">
        <f t="shared" si="644"/>
        <v/>
      </c>
      <c r="AM976" s="22" t="str">
        <f t="shared" si="645"/>
        <v/>
      </c>
      <c r="AN976" s="22" t="str">
        <f t="shared" si="646"/>
        <v/>
      </c>
      <c r="AO976" s="22" t="str">
        <f t="shared" si="670"/>
        <v/>
      </c>
      <c r="AQ976" s="21" t="str">
        <f t="shared" si="671"/>
        <v>Apprenant 964</v>
      </c>
      <c r="AR976" s="49" t="str">
        <f>IF(AND('Choix pédagogiques'!$C$4&lt;&gt;"?",'Choix pédagogiques'!$C$5&lt;&gt;"?",W976&lt;&gt;""),(W976-'Choix pédagogiques'!$C$4)/('Choix pédagogiques'!$C$5-'Choix pédagogiques'!$C$4),"")</f>
        <v/>
      </c>
      <c r="AS976" s="49" t="str">
        <f>IF(AND('Choix pédagogiques'!$C$4&lt;&gt;"?",'Choix pédagogiques'!$C$5&lt;&gt;"?",X976&lt;&gt;""),(X976-'Choix pédagogiques'!$C$4)/('Choix pédagogiques'!$C$5-'Choix pédagogiques'!$C$4),"")</f>
        <v/>
      </c>
      <c r="AT976" s="49" t="str">
        <f>IF(AND('Choix pédagogiques'!$C$4&lt;&gt;"?",'Choix pédagogiques'!$C$5&lt;&gt;"?",Y976&lt;&gt;""),(Y976-'Choix pédagogiques'!$C$4)/('Choix pédagogiques'!$C$5-'Choix pédagogiques'!$C$4),"")</f>
        <v/>
      </c>
      <c r="AU976" s="22" t="str">
        <f t="shared" si="672"/>
        <v/>
      </c>
      <c r="AV976" s="21" t="str">
        <f t="shared" si="673"/>
        <v>Apprenant 964 ou 964'</v>
      </c>
      <c r="AW976" s="49" t="str">
        <f>IF(AND('Choix pédagogiques'!$C$4&lt;&gt;"?",'Choix pédagogiques'!$C$5&lt;&gt;"?",AB976&lt;&gt;""),(AB976-'Choix pédagogiques'!$C$4)/('Choix pédagogiques'!$C$5-'Choix pédagogiques'!$C$4),"")</f>
        <v/>
      </c>
      <c r="AX976" s="49" t="str">
        <f>IF(AND('Choix pédagogiques'!$C$4&lt;&gt;"?",'Choix pédagogiques'!$C$5&lt;&gt;"?",AC976&lt;&gt;""),(AC976-'Choix pédagogiques'!$C$4)/('Choix pédagogiques'!$C$5-'Choix pédagogiques'!$C$4),"")</f>
        <v/>
      </c>
      <c r="AY976" s="49" t="str">
        <f>IF(AND('Choix pédagogiques'!$C$4&lt;&gt;"?",'Choix pédagogiques'!$C$5&lt;&gt;"?",AD976&lt;&gt;""),(AD976-'Choix pédagogiques'!$C$4)/('Choix pédagogiques'!$C$5-'Choix pédagogiques'!$C$4),"")</f>
        <v/>
      </c>
      <c r="AZ976" s="22" t="str">
        <f t="shared" si="674"/>
        <v/>
      </c>
      <c r="BA976" s="21" t="str">
        <f t="shared" si="675"/>
        <v>Apprenant 964</v>
      </c>
      <c r="BB976" s="49" t="str">
        <f t="shared" si="647"/>
        <v/>
      </c>
      <c r="BC976" s="49" t="str">
        <f t="shared" si="648"/>
        <v/>
      </c>
      <c r="BD976" s="49" t="str">
        <f t="shared" si="649"/>
        <v/>
      </c>
      <c r="BE976" s="22" t="str">
        <f t="shared" si="676"/>
        <v/>
      </c>
      <c r="BF976" s="21" t="str">
        <f t="shared" si="677"/>
        <v>Apprenant 964 ou 964'</v>
      </c>
      <c r="BG976" s="49" t="str">
        <f t="shared" si="650"/>
        <v/>
      </c>
      <c r="BH976" s="49" t="str">
        <f t="shared" si="651"/>
        <v/>
      </c>
      <c r="BI976" s="49" t="str">
        <f t="shared" si="652"/>
        <v/>
      </c>
      <c r="BJ976" s="22" t="str">
        <f t="shared" si="678"/>
        <v/>
      </c>
      <c r="BL976" s="21"/>
      <c r="BM976" s="21" t="str">
        <f>IF(OR(COUNT(B976:D1975)=0,AND('Choix pédagogiques'!$C$3&lt;&gt;1,'Choix pédagogiques'!$C$3&lt;&gt;2)),"",IF(AND(OR('Choix pédagogiques'!$C$3=1,'Choix pédagogiques'!$C$3=2),$B976&lt;&gt;"",$C976&lt;&gt;"",$D976&lt;&gt;""),1,0))</f>
        <v/>
      </c>
      <c r="BN976" s="21" t="str">
        <f>IF(OR(COUNT(G976:I1975)=0,AND('Choix pédagogiques'!$C$3&lt;&gt;1,'Choix pédagogiques'!$C$3&lt;&gt;2)),"",IF(AND(OR('Choix pédagogiques'!$C$3=1,'Choix pédagogiques'!$C$3=2),AND($G976&lt;&gt;"",$H976&lt;&gt;"",$I976&lt;&gt;"")),1,0))</f>
        <v/>
      </c>
      <c r="BO976" s="21" t="str">
        <f>IF(OR(COUNT(B976:D1975)=0,COUNT(G976:I1975)=0,'Choix pédagogiques'!C$3&lt;&gt;3),"",IF(AND('Choix pédagogiques'!$C$3=3,$B976&lt;&gt;"",$C976&lt;&gt;"",$D976&lt;&gt;"",$G976&lt;&gt;"",$H976&lt;&gt;"",$I976&lt;&gt;""),1,0))</f>
        <v/>
      </c>
      <c r="BR976" s="21">
        <v>554</v>
      </c>
      <c r="BS976" s="21">
        <v>1652</v>
      </c>
      <c r="BT976"/>
    </row>
    <row r="977" spans="1:72" s="23" customFormat="1" ht="18" customHeight="1" x14ac:dyDescent="0.3">
      <c r="A977" s="35" t="s">
        <v>967</v>
      </c>
      <c r="B977" s="37"/>
      <c r="C977" s="37"/>
      <c r="D977" s="37"/>
      <c r="E977" s="37"/>
      <c r="F977" s="35" t="s">
        <v>1975</v>
      </c>
      <c r="G977" s="37"/>
      <c r="H977" s="37"/>
      <c r="I977" s="37"/>
      <c r="J977" s="37"/>
      <c r="K977" s="21" t="str">
        <f t="shared" si="653"/>
        <v>Apprenant 965</v>
      </c>
      <c r="L977" s="22" t="str">
        <f t="shared" si="654"/>
        <v/>
      </c>
      <c r="M977" s="22" t="str">
        <f t="shared" si="655"/>
        <v/>
      </c>
      <c r="N977" s="22" t="str">
        <f t="shared" si="656"/>
        <v/>
      </c>
      <c r="O977" s="22" t="str">
        <f t="shared" si="657"/>
        <v/>
      </c>
      <c r="P977" s="21" t="str">
        <f t="shared" si="658"/>
        <v>Apprenant 965 ou 965'</v>
      </c>
      <c r="Q977" s="22" t="str">
        <f t="shared" si="659"/>
        <v/>
      </c>
      <c r="R977" s="22" t="str">
        <f t="shared" si="660"/>
        <v/>
      </c>
      <c r="S977" s="22" t="str">
        <f t="shared" si="661"/>
        <v/>
      </c>
      <c r="T977" s="22" t="str">
        <f t="shared" si="662"/>
        <v/>
      </c>
      <c r="V977" s="21" t="str">
        <f t="shared" si="663"/>
        <v>Apprenant 965</v>
      </c>
      <c r="W977" s="22" t="str">
        <f>IF(AND(OR('Choix pédagogiques'!$C$3=1,'Choix pédagogiques'!$C$3=2),$BM977=1),B977,IF(AND('Choix pédagogiques'!$C$3=3,$BO977=1),B977,""))</f>
        <v/>
      </c>
      <c r="X977" s="22" t="str">
        <f>IF(AND(OR('Choix pédagogiques'!$C$3=1,'Choix pédagogiques'!$C$3=2),$BM977=1),C977,IF(AND('Choix pédagogiques'!$C$3=3,$BO977=1),C977,""))</f>
        <v/>
      </c>
      <c r="Y977" s="22" t="str">
        <f>IF(AND(OR('Choix pédagogiques'!$C$3=1,'Choix pédagogiques'!$C$3=2),$BM977=1),D977,IF(AND('Choix pédagogiques'!$C$3=3,$BO977=1),D977,""))</f>
        <v/>
      </c>
      <c r="Z977" s="22" t="str">
        <f t="shared" si="664"/>
        <v/>
      </c>
      <c r="AA977" s="21" t="str">
        <f t="shared" si="665"/>
        <v>Apprenant 965 ou 965'</v>
      </c>
      <c r="AB977" s="22" t="str">
        <f>IF(AND(OR('Choix pédagogiques'!$C$3=1,'Choix pédagogiques'!$C$3=2),$BN977=1),G977,IF(AND('Choix pédagogiques'!$C$3=3,$BO977=1),G977,""))</f>
        <v/>
      </c>
      <c r="AC977" s="22" t="str">
        <f>IF(AND(OR('Choix pédagogiques'!$C$3=1,'Choix pédagogiques'!$C$3=2),$BN977=1),H977,IF(AND('Choix pédagogiques'!$C$3=3,$BO977=1),H977,""))</f>
        <v/>
      </c>
      <c r="AD977" s="22" t="str">
        <f>IF(AND(OR('Choix pédagogiques'!$C$3=1,'Choix pédagogiques'!$C$3=2),$BN977=1),I977,IF(AND('Choix pédagogiques'!$C$3=3,$BO977=1),I977,""))</f>
        <v/>
      </c>
      <c r="AE977" s="22" t="str">
        <f t="shared" si="666"/>
        <v/>
      </c>
      <c r="AF977" s="21" t="str">
        <f t="shared" si="667"/>
        <v>Apprenant 965</v>
      </c>
      <c r="AG977" s="22" t="str">
        <f t="shared" si="641"/>
        <v/>
      </c>
      <c r="AH977" s="22" t="str">
        <f t="shared" si="642"/>
        <v/>
      </c>
      <c r="AI977" s="22" t="str">
        <f t="shared" si="643"/>
        <v/>
      </c>
      <c r="AJ977" s="22" t="str">
        <f t="shared" si="668"/>
        <v/>
      </c>
      <c r="AK977" s="21" t="str">
        <f t="shared" si="669"/>
        <v>Apprenant 965 ou 965'</v>
      </c>
      <c r="AL977" s="22" t="str">
        <f t="shared" si="644"/>
        <v/>
      </c>
      <c r="AM977" s="22" t="str">
        <f t="shared" si="645"/>
        <v/>
      </c>
      <c r="AN977" s="22" t="str">
        <f t="shared" si="646"/>
        <v/>
      </c>
      <c r="AO977" s="22" t="str">
        <f t="shared" si="670"/>
        <v/>
      </c>
      <c r="AQ977" s="21" t="str">
        <f t="shared" si="671"/>
        <v>Apprenant 965</v>
      </c>
      <c r="AR977" s="49" t="str">
        <f>IF(AND('Choix pédagogiques'!$C$4&lt;&gt;"?",'Choix pédagogiques'!$C$5&lt;&gt;"?",W977&lt;&gt;""),(W977-'Choix pédagogiques'!$C$4)/('Choix pédagogiques'!$C$5-'Choix pédagogiques'!$C$4),"")</f>
        <v/>
      </c>
      <c r="AS977" s="49" t="str">
        <f>IF(AND('Choix pédagogiques'!$C$4&lt;&gt;"?",'Choix pédagogiques'!$C$5&lt;&gt;"?",X977&lt;&gt;""),(X977-'Choix pédagogiques'!$C$4)/('Choix pédagogiques'!$C$5-'Choix pédagogiques'!$C$4),"")</f>
        <v/>
      </c>
      <c r="AT977" s="49" t="str">
        <f>IF(AND('Choix pédagogiques'!$C$4&lt;&gt;"?",'Choix pédagogiques'!$C$5&lt;&gt;"?",Y977&lt;&gt;""),(Y977-'Choix pédagogiques'!$C$4)/('Choix pédagogiques'!$C$5-'Choix pédagogiques'!$C$4),"")</f>
        <v/>
      </c>
      <c r="AU977" s="22" t="str">
        <f t="shared" si="672"/>
        <v/>
      </c>
      <c r="AV977" s="21" t="str">
        <f t="shared" si="673"/>
        <v>Apprenant 965 ou 965'</v>
      </c>
      <c r="AW977" s="49" t="str">
        <f>IF(AND('Choix pédagogiques'!$C$4&lt;&gt;"?",'Choix pédagogiques'!$C$5&lt;&gt;"?",AB977&lt;&gt;""),(AB977-'Choix pédagogiques'!$C$4)/('Choix pédagogiques'!$C$5-'Choix pédagogiques'!$C$4),"")</f>
        <v/>
      </c>
      <c r="AX977" s="49" t="str">
        <f>IF(AND('Choix pédagogiques'!$C$4&lt;&gt;"?",'Choix pédagogiques'!$C$5&lt;&gt;"?",AC977&lt;&gt;""),(AC977-'Choix pédagogiques'!$C$4)/('Choix pédagogiques'!$C$5-'Choix pédagogiques'!$C$4),"")</f>
        <v/>
      </c>
      <c r="AY977" s="49" t="str">
        <f>IF(AND('Choix pédagogiques'!$C$4&lt;&gt;"?",'Choix pédagogiques'!$C$5&lt;&gt;"?",AD977&lt;&gt;""),(AD977-'Choix pédagogiques'!$C$4)/('Choix pédagogiques'!$C$5-'Choix pédagogiques'!$C$4),"")</f>
        <v/>
      </c>
      <c r="AZ977" s="22" t="str">
        <f t="shared" si="674"/>
        <v/>
      </c>
      <c r="BA977" s="21" t="str">
        <f t="shared" si="675"/>
        <v>Apprenant 965</v>
      </c>
      <c r="BB977" s="49" t="str">
        <f t="shared" si="647"/>
        <v/>
      </c>
      <c r="BC977" s="49" t="str">
        <f t="shared" si="648"/>
        <v/>
      </c>
      <c r="BD977" s="49" t="str">
        <f t="shared" si="649"/>
        <v/>
      </c>
      <c r="BE977" s="22" t="str">
        <f t="shared" si="676"/>
        <v/>
      </c>
      <c r="BF977" s="21" t="str">
        <f t="shared" si="677"/>
        <v>Apprenant 965 ou 965'</v>
      </c>
      <c r="BG977" s="49" t="str">
        <f t="shared" si="650"/>
        <v/>
      </c>
      <c r="BH977" s="49" t="str">
        <f t="shared" si="651"/>
        <v/>
      </c>
      <c r="BI977" s="49" t="str">
        <f t="shared" si="652"/>
        <v/>
      </c>
      <c r="BJ977" s="22" t="str">
        <f t="shared" si="678"/>
        <v/>
      </c>
      <c r="BL977" s="21"/>
      <c r="BM977" s="21" t="str">
        <f>IF(OR(COUNT(B977:D1976)=0,AND('Choix pédagogiques'!$C$3&lt;&gt;1,'Choix pédagogiques'!$C$3&lt;&gt;2)),"",IF(AND(OR('Choix pédagogiques'!$C$3=1,'Choix pédagogiques'!$C$3=2),$B977&lt;&gt;"",$C977&lt;&gt;"",$D977&lt;&gt;""),1,0))</f>
        <v/>
      </c>
      <c r="BN977" s="21" t="str">
        <f>IF(OR(COUNT(G977:I1976)=0,AND('Choix pédagogiques'!$C$3&lt;&gt;1,'Choix pédagogiques'!$C$3&lt;&gt;2)),"",IF(AND(OR('Choix pédagogiques'!$C$3=1,'Choix pédagogiques'!$C$3=2),AND($G977&lt;&gt;"",$H977&lt;&gt;"",$I977&lt;&gt;"")),1,0))</f>
        <v/>
      </c>
      <c r="BO977" s="21" t="str">
        <f>IF(OR(COUNT(B977:D1976)=0,COUNT(G977:I1976)=0,'Choix pédagogiques'!C$3&lt;&gt;3),"",IF(AND('Choix pédagogiques'!$C$3=3,$B977&lt;&gt;"",$C977&lt;&gt;"",$D977&lt;&gt;"",$G977&lt;&gt;"",$H977&lt;&gt;"",$I977&lt;&gt;""),1,0))</f>
        <v/>
      </c>
      <c r="BR977" s="21">
        <v>441</v>
      </c>
      <c r="BS977" s="21">
        <v>1258</v>
      </c>
      <c r="BT977"/>
    </row>
    <row r="978" spans="1:72" s="23" customFormat="1" ht="18" customHeight="1" x14ac:dyDescent="0.3">
      <c r="A978" s="35" t="s">
        <v>968</v>
      </c>
      <c r="B978" s="37"/>
      <c r="C978" s="37"/>
      <c r="D978" s="37"/>
      <c r="E978" s="37"/>
      <c r="F978" s="35" t="s">
        <v>1976</v>
      </c>
      <c r="G978" s="37"/>
      <c r="H978" s="37"/>
      <c r="I978" s="37"/>
      <c r="J978" s="37"/>
      <c r="K978" s="21" t="str">
        <f t="shared" si="653"/>
        <v>Apprenant 966</v>
      </c>
      <c r="L978" s="22" t="str">
        <f t="shared" si="654"/>
        <v/>
      </c>
      <c r="M978" s="22" t="str">
        <f t="shared" si="655"/>
        <v/>
      </c>
      <c r="N978" s="22" t="str">
        <f t="shared" si="656"/>
        <v/>
      </c>
      <c r="O978" s="22" t="str">
        <f t="shared" si="657"/>
        <v/>
      </c>
      <c r="P978" s="21" t="str">
        <f t="shared" si="658"/>
        <v>Apprenant 966 ou 966'</v>
      </c>
      <c r="Q978" s="22" t="str">
        <f t="shared" si="659"/>
        <v/>
      </c>
      <c r="R978" s="22" t="str">
        <f t="shared" si="660"/>
        <v/>
      </c>
      <c r="S978" s="22" t="str">
        <f t="shared" si="661"/>
        <v/>
      </c>
      <c r="T978" s="22" t="str">
        <f t="shared" si="662"/>
        <v/>
      </c>
      <c r="V978" s="21" t="str">
        <f t="shared" si="663"/>
        <v>Apprenant 966</v>
      </c>
      <c r="W978" s="22" t="str">
        <f>IF(AND(OR('Choix pédagogiques'!$C$3=1,'Choix pédagogiques'!$C$3=2),$BM978=1),B978,IF(AND('Choix pédagogiques'!$C$3=3,$BO978=1),B978,""))</f>
        <v/>
      </c>
      <c r="X978" s="22" t="str">
        <f>IF(AND(OR('Choix pédagogiques'!$C$3=1,'Choix pédagogiques'!$C$3=2),$BM978=1),C978,IF(AND('Choix pédagogiques'!$C$3=3,$BO978=1),C978,""))</f>
        <v/>
      </c>
      <c r="Y978" s="22" t="str">
        <f>IF(AND(OR('Choix pédagogiques'!$C$3=1,'Choix pédagogiques'!$C$3=2),$BM978=1),D978,IF(AND('Choix pédagogiques'!$C$3=3,$BO978=1),D978,""))</f>
        <v/>
      </c>
      <c r="Z978" s="22" t="str">
        <f t="shared" si="664"/>
        <v/>
      </c>
      <c r="AA978" s="21" t="str">
        <f t="shared" si="665"/>
        <v>Apprenant 966 ou 966'</v>
      </c>
      <c r="AB978" s="22" t="str">
        <f>IF(AND(OR('Choix pédagogiques'!$C$3=1,'Choix pédagogiques'!$C$3=2),$BN978=1),G978,IF(AND('Choix pédagogiques'!$C$3=3,$BO978=1),G978,""))</f>
        <v/>
      </c>
      <c r="AC978" s="22" t="str">
        <f>IF(AND(OR('Choix pédagogiques'!$C$3=1,'Choix pédagogiques'!$C$3=2),$BN978=1),H978,IF(AND('Choix pédagogiques'!$C$3=3,$BO978=1),H978,""))</f>
        <v/>
      </c>
      <c r="AD978" s="22" t="str">
        <f>IF(AND(OR('Choix pédagogiques'!$C$3=1,'Choix pédagogiques'!$C$3=2),$BN978=1),I978,IF(AND('Choix pédagogiques'!$C$3=3,$BO978=1),I978,""))</f>
        <v/>
      </c>
      <c r="AE978" s="22" t="str">
        <f t="shared" si="666"/>
        <v/>
      </c>
      <c r="AF978" s="21" t="str">
        <f t="shared" si="667"/>
        <v>Apprenant 966</v>
      </c>
      <c r="AG978" s="22" t="str">
        <f t="shared" si="641"/>
        <v/>
      </c>
      <c r="AH978" s="22" t="str">
        <f t="shared" si="642"/>
        <v/>
      </c>
      <c r="AI978" s="22" t="str">
        <f t="shared" si="643"/>
        <v/>
      </c>
      <c r="AJ978" s="22" t="str">
        <f t="shared" si="668"/>
        <v/>
      </c>
      <c r="AK978" s="21" t="str">
        <f t="shared" si="669"/>
        <v>Apprenant 966 ou 966'</v>
      </c>
      <c r="AL978" s="22" t="str">
        <f t="shared" si="644"/>
        <v/>
      </c>
      <c r="AM978" s="22" t="str">
        <f t="shared" si="645"/>
        <v/>
      </c>
      <c r="AN978" s="22" t="str">
        <f t="shared" si="646"/>
        <v/>
      </c>
      <c r="AO978" s="22" t="str">
        <f t="shared" si="670"/>
        <v/>
      </c>
      <c r="AQ978" s="21" t="str">
        <f t="shared" si="671"/>
        <v>Apprenant 966</v>
      </c>
      <c r="AR978" s="49" t="str">
        <f>IF(AND('Choix pédagogiques'!$C$4&lt;&gt;"?",'Choix pédagogiques'!$C$5&lt;&gt;"?",W978&lt;&gt;""),(W978-'Choix pédagogiques'!$C$4)/('Choix pédagogiques'!$C$5-'Choix pédagogiques'!$C$4),"")</f>
        <v/>
      </c>
      <c r="AS978" s="49" t="str">
        <f>IF(AND('Choix pédagogiques'!$C$4&lt;&gt;"?",'Choix pédagogiques'!$C$5&lt;&gt;"?",X978&lt;&gt;""),(X978-'Choix pédagogiques'!$C$4)/('Choix pédagogiques'!$C$5-'Choix pédagogiques'!$C$4),"")</f>
        <v/>
      </c>
      <c r="AT978" s="49" t="str">
        <f>IF(AND('Choix pédagogiques'!$C$4&lt;&gt;"?",'Choix pédagogiques'!$C$5&lt;&gt;"?",Y978&lt;&gt;""),(Y978-'Choix pédagogiques'!$C$4)/('Choix pédagogiques'!$C$5-'Choix pédagogiques'!$C$4),"")</f>
        <v/>
      </c>
      <c r="AU978" s="22" t="str">
        <f t="shared" si="672"/>
        <v/>
      </c>
      <c r="AV978" s="21" t="str">
        <f t="shared" si="673"/>
        <v>Apprenant 966 ou 966'</v>
      </c>
      <c r="AW978" s="49" t="str">
        <f>IF(AND('Choix pédagogiques'!$C$4&lt;&gt;"?",'Choix pédagogiques'!$C$5&lt;&gt;"?",AB978&lt;&gt;""),(AB978-'Choix pédagogiques'!$C$4)/('Choix pédagogiques'!$C$5-'Choix pédagogiques'!$C$4),"")</f>
        <v/>
      </c>
      <c r="AX978" s="49" t="str">
        <f>IF(AND('Choix pédagogiques'!$C$4&lt;&gt;"?",'Choix pédagogiques'!$C$5&lt;&gt;"?",AC978&lt;&gt;""),(AC978-'Choix pédagogiques'!$C$4)/('Choix pédagogiques'!$C$5-'Choix pédagogiques'!$C$4),"")</f>
        <v/>
      </c>
      <c r="AY978" s="49" t="str">
        <f>IF(AND('Choix pédagogiques'!$C$4&lt;&gt;"?",'Choix pédagogiques'!$C$5&lt;&gt;"?",AD978&lt;&gt;""),(AD978-'Choix pédagogiques'!$C$4)/('Choix pédagogiques'!$C$5-'Choix pédagogiques'!$C$4),"")</f>
        <v/>
      </c>
      <c r="AZ978" s="22" t="str">
        <f t="shared" si="674"/>
        <v/>
      </c>
      <c r="BA978" s="21" t="str">
        <f t="shared" si="675"/>
        <v>Apprenant 966</v>
      </c>
      <c r="BB978" s="49" t="str">
        <f t="shared" si="647"/>
        <v/>
      </c>
      <c r="BC978" s="49" t="str">
        <f t="shared" si="648"/>
        <v/>
      </c>
      <c r="BD978" s="49" t="str">
        <f t="shared" si="649"/>
        <v/>
      </c>
      <c r="BE978" s="22" t="str">
        <f t="shared" si="676"/>
        <v/>
      </c>
      <c r="BF978" s="21" t="str">
        <f t="shared" si="677"/>
        <v>Apprenant 966 ou 966'</v>
      </c>
      <c r="BG978" s="49" t="str">
        <f t="shared" si="650"/>
        <v/>
      </c>
      <c r="BH978" s="49" t="str">
        <f t="shared" si="651"/>
        <v/>
      </c>
      <c r="BI978" s="49" t="str">
        <f t="shared" si="652"/>
        <v/>
      </c>
      <c r="BJ978" s="22" t="str">
        <f t="shared" si="678"/>
        <v/>
      </c>
      <c r="BL978" s="21"/>
      <c r="BM978" s="21" t="str">
        <f>IF(OR(COUNT(B978:D1977)=0,AND('Choix pédagogiques'!$C$3&lt;&gt;1,'Choix pédagogiques'!$C$3&lt;&gt;2)),"",IF(AND(OR('Choix pédagogiques'!$C$3=1,'Choix pédagogiques'!$C$3=2),$B978&lt;&gt;"",$C978&lt;&gt;"",$D978&lt;&gt;""),1,0))</f>
        <v/>
      </c>
      <c r="BN978" s="21" t="str">
        <f>IF(OR(COUNT(G978:I1977)=0,AND('Choix pédagogiques'!$C$3&lt;&gt;1,'Choix pédagogiques'!$C$3&lt;&gt;2)),"",IF(AND(OR('Choix pédagogiques'!$C$3=1,'Choix pédagogiques'!$C$3=2),AND($G978&lt;&gt;"",$H978&lt;&gt;"",$I978&lt;&gt;"")),1,0))</f>
        <v/>
      </c>
      <c r="BO978" s="21" t="str">
        <f>IF(OR(COUNT(B978:D1977)=0,COUNT(G978:I1977)=0,'Choix pédagogiques'!C$3&lt;&gt;3),"",IF(AND('Choix pédagogiques'!$C$3=3,$B978&lt;&gt;"",$C978&lt;&gt;"",$D978&lt;&gt;"",$G978&lt;&gt;"",$H978&lt;&gt;"",$I978&lt;&gt;""),1,0))</f>
        <v/>
      </c>
      <c r="BR978" s="21">
        <v>894</v>
      </c>
      <c r="BS978" s="21">
        <v>1267</v>
      </c>
      <c r="BT978"/>
    </row>
    <row r="979" spans="1:72" s="23" customFormat="1" ht="18" customHeight="1" x14ac:dyDescent="0.3">
      <c r="A979" s="35" t="s">
        <v>969</v>
      </c>
      <c r="B979" s="37"/>
      <c r="C979" s="37"/>
      <c r="D979" s="37"/>
      <c r="E979" s="37"/>
      <c r="F979" s="35" t="s">
        <v>1977</v>
      </c>
      <c r="G979" s="37"/>
      <c r="H979" s="37"/>
      <c r="I979" s="37"/>
      <c r="J979" s="37"/>
      <c r="K979" s="21" t="str">
        <f t="shared" si="653"/>
        <v>Apprenant 967</v>
      </c>
      <c r="L979" s="22" t="str">
        <f t="shared" si="654"/>
        <v/>
      </c>
      <c r="M979" s="22" t="str">
        <f t="shared" si="655"/>
        <v/>
      </c>
      <c r="N979" s="22" t="str">
        <f t="shared" si="656"/>
        <v/>
      </c>
      <c r="O979" s="22" t="str">
        <f t="shared" si="657"/>
        <v/>
      </c>
      <c r="P979" s="21" t="str">
        <f t="shared" si="658"/>
        <v>Apprenant 967 ou 967'</v>
      </c>
      <c r="Q979" s="22" t="str">
        <f t="shared" si="659"/>
        <v/>
      </c>
      <c r="R979" s="22" t="str">
        <f t="shared" si="660"/>
        <v/>
      </c>
      <c r="S979" s="22" t="str">
        <f t="shared" si="661"/>
        <v/>
      </c>
      <c r="T979" s="22" t="str">
        <f t="shared" si="662"/>
        <v/>
      </c>
      <c r="V979" s="21" t="str">
        <f t="shared" si="663"/>
        <v>Apprenant 967</v>
      </c>
      <c r="W979" s="22" t="str">
        <f>IF(AND(OR('Choix pédagogiques'!$C$3=1,'Choix pédagogiques'!$C$3=2),$BM979=1),B979,IF(AND('Choix pédagogiques'!$C$3=3,$BO979=1),B979,""))</f>
        <v/>
      </c>
      <c r="X979" s="22" t="str">
        <f>IF(AND(OR('Choix pédagogiques'!$C$3=1,'Choix pédagogiques'!$C$3=2),$BM979=1),C979,IF(AND('Choix pédagogiques'!$C$3=3,$BO979=1),C979,""))</f>
        <v/>
      </c>
      <c r="Y979" s="22" t="str">
        <f>IF(AND(OR('Choix pédagogiques'!$C$3=1,'Choix pédagogiques'!$C$3=2),$BM979=1),D979,IF(AND('Choix pédagogiques'!$C$3=3,$BO979=1),D979,""))</f>
        <v/>
      </c>
      <c r="Z979" s="22" t="str">
        <f t="shared" si="664"/>
        <v/>
      </c>
      <c r="AA979" s="21" t="str">
        <f t="shared" si="665"/>
        <v>Apprenant 967 ou 967'</v>
      </c>
      <c r="AB979" s="22" t="str">
        <f>IF(AND(OR('Choix pédagogiques'!$C$3=1,'Choix pédagogiques'!$C$3=2),$BN979=1),G979,IF(AND('Choix pédagogiques'!$C$3=3,$BO979=1),G979,""))</f>
        <v/>
      </c>
      <c r="AC979" s="22" t="str">
        <f>IF(AND(OR('Choix pédagogiques'!$C$3=1,'Choix pédagogiques'!$C$3=2),$BN979=1),H979,IF(AND('Choix pédagogiques'!$C$3=3,$BO979=1),H979,""))</f>
        <v/>
      </c>
      <c r="AD979" s="22" t="str">
        <f>IF(AND(OR('Choix pédagogiques'!$C$3=1,'Choix pédagogiques'!$C$3=2),$BN979=1),I979,IF(AND('Choix pédagogiques'!$C$3=3,$BO979=1),I979,""))</f>
        <v/>
      </c>
      <c r="AE979" s="22" t="str">
        <f t="shared" si="666"/>
        <v/>
      </c>
      <c r="AF979" s="21" t="str">
        <f t="shared" si="667"/>
        <v>Apprenant 967</v>
      </c>
      <c r="AG979" s="22" t="str">
        <f t="shared" si="641"/>
        <v/>
      </c>
      <c r="AH979" s="22" t="str">
        <f t="shared" si="642"/>
        <v/>
      </c>
      <c r="AI979" s="22" t="str">
        <f t="shared" si="643"/>
        <v/>
      </c>
      <c r="AJ979" s="22" t="str">
        <f t="shared" si="668"/>
        <v/>
      </c>
      <c r="AK979" s="21" t="str">
        <f t="shared" si="669"/>
        <v>Apprenant 967 ou 967'</v>
      </c>
      <c r="AL979" s="22" t="str">
        <f t="shared" si="644"/>
        <v/>
      </c>
      <c r="AM979" s="22" t="str">
        <f t="shared" si="645"/>
        <v/>
      </c>
      <c r="AN979" s="22" t="str">
        <f t="shared" si="646"/>
        <v/>
      </c>
      <c r="AO979" s="22" t="str">
        <f t="shared" si="670"/>
        <v/>
      </c>
      <c r="AQ979" s="21" t="str">
        <f t="shared" si="671"/>
        <v>Apprenant 967</v>
      </c>
      <c r="AR979" s="49" t="str">
        <f>IF(AND('Choix pédagogiques'!$C$4&lt;&gt;"?",'Choix pédagogiques'!$C$5&lt;&gt;"?",W979&lt;&gt;""),(W979-'Choix pédagogiques'!$C$4)/('Choix pédagogiques'!$C$5-'Choix pédagogiques'!$C$4),"")</f>
        <v/>
      </c>
      <c r="AS979" s="49" t="str">
        <f>IF(AND('Choix pédagogiques'!$C$4&lt;&gt;"?",'Choix pédagogiques'!$C$5&lt;&gt;"?",X979&lt;&gt;""),(X979-'Choix pédagogiques'!$C$4)/('Choix pédagogiques'!$C$5-'Choix pédagogiques'!$C$4),"")</f>
        <v/>
      </c>
      <c r="AT979" s="49" t="str">
        <f>IF(AND('Choix pédagogiques'!$C$4&lt;&gt;"?",'Choix pédagogiques'!$C$5&lt;&gt;"?",Y979&lt;&gt;""),(Y979-'Choix pédagogiques'!$C$4)/('Choix pédagogiques'!$C$5-'Choix pédagogiques'!$C$4),"")</f>
        <v/>
      </c>
      <c r="AU979" s="22" t="str">
        <f t="shared" si="672"/>
        <v/>
      </c>
      <c r="AV979" s="21" t="str">
        <f t="shared" si="673"/>
        <v>Apprenant 967 ou 967'</v>
      </c>
      <c r="AW979" s="49" t="str">
        <f>IF(AND('Choix pédagogiques'!$C$4&lt;&gt;"?",'Choix pédagogiques'!$C$5&lt;&gt;"?",AB979&lt;&gt;""),(AB979-'Choix pédagogiques'!$C$4)/('Choix pédagogiques'!$C$5-'Choix pédagogiques'!$C$4),"")</f>
        <v/>
      </c>
      <c r="AX979" s="49" t="str">
        <f>IF(AND('Choix pédagogiques'!$C$4&lt;&gt;"?",'Choix pédagogiques'!$C$5&lt;&gt;"?",AC979&lt;&gt;""),(AC979-'Choix pédagogiques'!$C$4)/('Choix pédagogiques'!$C$5-'Choix pédagogiques'!$C$4),"")</f>
        <v/>
      </c>
      <c r="AY979" s="49" t="str">
        <f>IF(AND('Choix pédagogiques'!$C$4&lt;&gt;"?",'Choix pédagogiques'!$C$5&lt;&gt;"?",AD979&lt;&gt;""),(AD979-'Choix pédagogiques'!$C$4)/('Choix pédagogiques'!$C$5-'Choix pédagogiques'!$C$4),"")</f>
        <v/>
      </c>
      <c r="AZ979" s="22" t="str">
        <f t="shared" si="674"/>
        <v/>
      </c>
      <c r="BA979" s="21" t="str">
        <f t="shared" si="675"/>
        <v>Apprenant 967</v>
      </c>
      <c r="BB979" s="49" t="str">
        <f t="shared" si="647"/>
        <v/>
      </c>
      <c r="BC979" s="49" t="str">
        <f t="shared" si="648"/>
        <v/>
      </c>
      <c r="BD979" s="49" t="str">
        <f t="shared" si="649"/>
        <v/>
      </c>
      <c r="BE979" s="22" t="str">
        <f t="shared" si="676"/>
        <v/>
      </c>
      <c r="BF979" s="21" t="str">
        <f t="shared" si="677"/>
        <v>Apprenant 967 ou 967'</v>
      </c>
      <c r="BG979" s="49" t="str">
        <f t="shared" si="650"/>
        <v/>
      </c>
      <c r="BH979" s="49" t="str">
        <f t="shared" si="651"/>
        <v/>
      </c>
      <c r="BI979" s="49" t="str">
        <f t="shared" si="652"/>
        <v/>
      </c>
      <c r="BJ979" s="22" t="str">
        <f t="shared" si="678"/>
        <v/>
      </c>
      <c r="BL979" s="21"/>
      <c r="BM979" s="21" t="str">
        <f>IF(OR(COUNT(B979:D1978)=0,AND('Choix pédagogiques'!$C$3&lt;&gt;1,'Choix pédagogiques'!$C$3&lt;&gt;2)),"",IF(AND(OR('Choix pédagogiques'!$C$3=1,'Choix pédagogiques'!$C$3=2),$B979&lt;&gt;"",$C979&lt;&gt;"",$D979&lt;&gt;""),1,0))</f>
        <v/>
      </c>
      <c r="BN979" s="21" t="str">
        <f>IF(OR(COUNT(G979:I1978)=0,AND('Choix pédagogiques'!$C$3&lt;&gt;1,'Choix pédagogiques'!$C$3&lt;&gt;2)),"",IF(AND(OR('Choix pédagogiques'!$C$3=1,'Choix pédagogiques'!$C$3=2),AND($G979&lt;&gt;"",$H979&lt;&gt;"",$I979&lt;&gt;"")),1,0))</f>
        <v/>
      </c>
      <c r="BO979" s="21" t="str">
        <f>IF(OR(COUNT(B979:D1978)=0,COUNT(G979:I1978)=0,'Choix pédagogiques'!C$3&lt;&gt;3),"",IF(AND('Choix pédagogiques'!$C$3=3,$B979&lt;&gt;"",$C979&lt;&gt;"",$D979&lt;&gt;"",$G979&lt;&gt;"",$H979&lt;&gt;"",$I979&lt;&gt;""),1,0))</f>
        <v/>
      </c>
      <c r="BR979" s="21">
        <v>154</v>
      </c>
      <c r="BS979" s="21">
        <v>1682</v>
      </c>
      <c r="BT979"/>
    </row>
    <row r="980" spans="1:72" s="23" customFormat="1" ht="18" customHeight="1" x14ac:dyDescent="0.3">
      <c r="A980" s="35" t="s">
        <v>970</v>
      </c>
      <c r="B980" s="37"/>
      <c r="C980" s="37"/>
      <c r="D980" s="37"/>
      <c r="E980" s="37"/>
      <c r="F980" s="35" t="s">
        <v>1978</v>
      </c>
      <c r="G980" s="37"/>
      <c r="H980" s="37"/>
      <c r="I980" s="37"/>
      <c r="J980" s="37"/>
      <c r="K980" s="21" t="str">
        <f t="shared" si="653"/>
        <v>Apprenant 968</v>
      </c>
      <c r="L980" s="22" t="str">
        <f t="shared" si="654"/>
        <v/>
      </c>
      <c r="M980" s="22" t="str">
        <f t="shared" si="655"/>
        <v/>
      </c>
      <c r="N980" s="22" t="str">
        <f t="shared" si="656"/>
        <v/>
      </c>
      <c r="O980" s="22" t="str">
        <f t="shared" si="657"/>
        <v/>
      </c>
      <c r="P980" s="21" t="str">
        <f t="shared" si="658"/>
        <v>Apprenant 968 ou 968'</v>
      </c>
      <c r="Q980" s="22" t="str">
        <f t="shared" si="659"/>
        <v/>
      </c>
      <c r="R980" s="22" t="str">
        <f t="shared" si="660"/>
        <v/>
      </c>
      <c r="S980" s="22" t="str">
        <f t="shared" si="661"/>
        <v/>
      </c>
      <c r="T980" s="22" t="str">
        <f t="shared" si="662"/>
        <v/>
      </c>
      <c r="V980" s="21" t="str">
        <f t="shared" si="663"/>
        <v>Apprenant 968</v>
      </c>
      <c r="W980" s="22" t="str">
        <f>IF(AND(OR('Choix pédagogiques'!$C$3=1,'Choix pédagogiques'!$C$3=2),$BM980=1),B980,IF(AND('Choix pédagogiques'!$C$3=3,$BO980=1),B980,""))</f>
        <v/>
      </c>
      <c r="X980" s="22" t="str">
        <f>IF(AND(OR('Choix pédagogiques'!$C$3=1,'Choix pédagogiques'!$C$3=2),$BM980=1),C980,IF(AND('Choix pédagogiques'!$C$3=3,$BO980=1),C980,""))</f>
        <v/>
      </c>
      <c r="Y980" s="22" t="str">
        <f>IF(AND(OR('Choix pédagogiques'!$C$3=1,'Choix pédagogiques'!$C$3=2),$BM980=1),D980,IF(AND('Choix pédagogiques'!$C$3=3,$BO980=1),D980,""))</f>
        <v/>
      </c>
      <c r="Z980" s="22" t="str">
        <f t="shared" si="664"/>
        <v/>
      </c>
      <c r="AA980" s="21" t="str">
        <f t="shared" si="665"/>
        <v>Apprenant 968 ou 968'</v>
      </c>
      <c r="AB980" s="22" t="str">
        <f>IF(AND(OR('Choix pédagogiques'!$C$3=1,'Choix pédagogiques'!$C$3=2),$BN980=1),G980,IF(AND('Choix pédagogiques'!$C$3=3,$BO980=1),G980,""))</f>
        <v/>
      </c>
      <c r="AC980" s="22" t="str">
        <f>IF(AND(OR('Choix pédagogiques'!$C$3=1,'Choix pédagogiques'!$C$3=2),$BN980=1),H980,IF(AND('Choix pédagogiques'!$C$3=3,$BO980=1),H980,""))</f>
        <v/>
      </c>
      <c r="AD980" s="22" t="str">
        <f>IF(AND(OR('Choix pédagogiques'!$C$3=1,'Choix pédagogiques'!$C$3=2),$BN980=1),I980,IF(AND('Choix pédagogiques'!$C$3=3,$BO980=1),I980,""))</f>
        <v/>
      </c>
      <c r="AE980" s="22" t="str">
        <f t="shared" si="666"/>
        <v/>
      </c>
      <c r="AF980" s="21" t="str">
        <f t="shared" si="667"/>
        <v>Apprenant 968</v>
      </c>
      <c r="AG980" s="22" t="str">
        <f t="shared" si="641"/>
        <v/>
      </c>
      <c r="AH980" s="22" t="str">
        <f t="shared" si="642"/>
        <v/>
      </c>
      <c r="AI980" s="22" t="str">
        <f t="shared" si="643"/>
        <v/>
      </c>
      <c r="AJ980" s="22" t="str">
        <f t="shared" si="668"/>
        <v/>
      </c>
      <c r="AK980" s="21" t="str">
        <f t="shared" si="669"/>
        <v>Apprenant 968 ou 968'</v>
      </c>
      <c r="AL980" s="22" t="str">
        <f t="shared" si="644"/>
        <v/>
      </c>
      <c r="AM980" s="22" t="str">
        <f t="shared" si="645"/>
        <v/>
      </c>
      <c r="AN980" s="22" t="str">
        <f t="shared" si="646"/>
        <v/>
      </c>
      <c r="AO980" s="22" t="str">
        <f t="shared" si="670"/>
        <v/>
      </c>
      <c r="AQ980" s="21" t="str">
        <f t="shared" si="671"/>
        <v>Apprenant 968</v>
      </c>
      <c r="AR980" s="49" t="str">
        <f>IF(AND('Choix pédagogiques'!$C$4&lt;&gt;"?",'Choix pédagogiques'!$C$5&lt;&gt;"?",W980&lt;&gt;""),(W980-'Choix pédagogiques'!$C$4)/('Choix pédagogiques'!$C$5-'Choix pédagogiques'!$C$4),"")</f>
        <v/>
      </c>
      <c r="AS980" s="49" t="str">
        <f>IF(AND('Choix pédagogiques'!$C$4&lt;&gt;"?",'Choix pédagogiques'!$C$5&lt;&gt;"?",X980&lt;&gt;""),(X980-'Choix pédagogiques'!$C$4)/('Choix pédagogiques'!$C$5-'Choix pédagogiques'!$C$4),"")</f>
        <v/>
      </c>
      <c r="AT980" s="49" t="str">
        <f>IF(AND('Choix pédagogiques'!$C$4&lt;&gt;"?",'Choix pédagogiques'!$C$5&lt;&gt;"?",Y980&lt;&gt;""),(Y980-'Choix pédagogiques'!$C$4)/('Choix pédagogiques'!$C$5-'Choix pédagogiques'!$C$4),"")</f>
        <v/>
      </c>
      <c r="AU980" s="22" t="str">
        <f t="shared" si="672"/>
        <v/>
      </c>
      <c r="AV980" s="21" t="str">
        <f t="shared" si="673"/>
        <v>Apprenant 968 ou 968'</v>
      </c>
      <c r="AW980" s="49" t="str">
        <f>IF(AND('Choix pédagogiques'!$C$4&lt;&gt;"?",'Choix pédagogiques'!$C$5&lt;&gt;"?",AB980&lt;&gt;""),(AB980-'Choix pédagogiques'!$C$4)/('Choix pédagogiques'!$C$5-'Choix pédagogiques'!$C$4),"")</f>
        <v/>
      </c>
      <c r="AX980" s="49" t="str">
        <f>IF(AND('Choix pédagogiques'!$C$4&lt;&gt;"?",'Choix pédagogiques'!$C$5&lt;&gt;"?",AC980&lt;&gt;""),(AC980-'Choix pédagogiques'!$C$4)/('Choix pédagogiques'!$C$5-'Choix pédagogiques'!$C$4),"")</f>
        <v/>
      </c>
      <c r="AY980" s="49" t="str">
        <f>IF(AND('Choix pédagogiques'!$C$4&lt;&gt;"?",'Choix pédagogiques'!$C$5&lt;&gt;"?",AD980&lt;&gt;""),(AD980-'Choix pédagogiques'!$C$4)/('Choix pédagogiques'!$C$5-'Choix pédagogiques'!$C$4),"")</f>
        <v/>
      </c>
      <c r="AZ980" s="22" t="str">
        <f t="shared" si="674"/>
        <v/>
      </c>
      <c r="BA980" s="21" t="str">
        <f t="shared" si="675"/>
        <v>Apprenant 968</v>
      </c>
      <c r="BB980" s="49" t="str">
        <f t="shared" si="647"/>
        <v/>
      </c>
      <c r="BC980" s="49" t="str">
        <f t="shared" si="648"/>
        <v/>
      </c>
      <c r="BD980" s="49" t="str">
        <f t="shared" si="649"/>
        <v/>
      </c>
      <c r="BE980" s="22" t="str">
        <f t="shared" si="676"/>
        <v/>
      </c>
      <c r="BF980" s="21" t="str">
        <f t="shared" si="677"/>
        <v>Apprenant 968 ou 968'</v>
      </c>
      <c r="BG980" s="49" t="str">
        <f t="shared" si="650"/>
        <v/>
      </c>
      <c r="BH980" s="49" t="str">
        <f t="shared" si="651"/>
        <v/>
      </c>
      <c r="BI980" s="49" t="str">
        <f t="shared" si="652"/>
        <v/>
      </c>
      <c r="BJ980" s="22" t="str">
        <f t="shared" si="678"/>
        <v/>
      </c>
      <c r="BL980" s="21"/>
      <c r="BM980" s="21" t="str">
        <f>IF(OR(COUNT(B980:D1979)=0,AND('Choix pédagogiques'!$C$3&lt;&gt;1,'Choix pédagogiques'!$C$3&lt;&gt;2)),"",IF(AND(OR('Choix pédagogiques'!$C$3=1,'Choix pédagogiques'!$C$3=2),$B980&lt;&gt;"",$C980&lt;&gt;"",$D980&lt;&gt;""),1,0))</f>
        <v/>
      </c>
      <c r="BN980" s="21" t="str">
        <f>IF(OR(COUNT(G980:I1979)=0,AND('Choix pédagogiques'!$C$3&lt;&gt;1,'Choix pédagogiques'!$C$3&lt;&gt;2)),"",IF(AND(OR('Choix pédagogiques'!$C$3=1,'Choix pédagogiques'!$C$3=2),AND($G980&lt;&gt;"",$H980&lt;&gt;"",$I980&lt;&gt;"")),1,0))</f>
        <v/>
      </c>
      <c r="BO980" s="21" t="str">
        <f>IF(OR(COUNT(B980:D1979)=0,COUNT(G980:I1979)=0,'Choix pédagogiques'!C$3&lt;&gt;3),"",IF(AND('Choix pédagogiques'!$C$3=3,$B980&lt;&gt;"",$C980&lt;&gt;"",$D980&lt;&gt;"",$G980&lt;&gt;"",$H980&lt;&gt;"",$I980&lt;&gt;""),1,0))</f>
        <v/>
      </c>
      <c r="BR980" s="21">
        <v>160</v>
      </c>
      <c r="BS980" s="21">
        <v>1182</v>
      </c>
      <c r="BT980"/>
    </row>
    <row r="981" spans="1:72" s="23" customFormat="1" ht="18" customHeight="1" x14ac:dyDescent="0.3">
      <c r="A981" s="35" t="s">
        <v>971</v>
      </c>
      <c r="B981" s="37"/>
      <c r="C981" s="37"/>
      <c r="D981" s="37"/>
      <c r="E981" s="37"/>
      <c r="F981" s="35" t="s">
        <v>1979</v>
      </c>
      <c r="G981" s="37"/>
      <c r="H981" s="37"/>
      <c r="I981" s="37"/>
      <c r="J981" s="37"/>
      <c r="K981" s="21" t="str">
        <f t="shared" si="653"/>
        <v>Apprenant 969</v>
      </c>
      <c r="L981" s="22" t="str">
        <f t="shared" si="654"/>
        <v/>
      </c>
      <c r="M981" s="22" t="str">
        <f t="shared" si="655"/>
        <v/>
      </c>
      <c r="N981" s="22" t="str">
        <f t="shared" si="656"/>
        <v/>
      </c>
      <c r="O981" s="22" t="str">
        <f t="shared" si="657"/>
        <v/>
      </c>
      <c r="P981" s="21" t="str">
        <f t="shared" si="658"/>
        <v>Apprenant 969 ou 969'</v>
      </c>
      <c r="Q981" s="22" t="str">
        <f t="shared" si="659"/>
        <v/>
      </c>
      <c r="R981" s="22" t="str">
        <f t="shared" si="660"/>
        <v/>
      </c>
      <c r="S981" s="22" t="str">
        <f t="shared" si="661"/>
        <v/>
      </c>
      <c r="T981" s="22" t="str">
        <f t="shared" si="662"/>
        <v/>
      </c>
      <c r="V981" s="21" t="str">
        <f t="shared" si="663"/>
        <v>Apprenant 969</v>
      </c>
      <c r="W981" s="22" t="str">
        <f>IF(AND(OR('Choix pédagogiques'!$C$3=1,'Choix pédagogiques'!$C$3=2),$BM981=1),B981,IF(AND('Choix pédagogiques'!$C$3=3,$BO981=1),B981,""))</f>
        <v/>
      </c>
      <c r="X981" s="22" t="str">
        <f>IF(AND(OR('Choix pédagogiques'!$C$3=1,'Choix pédagogiques'!$C$3=2),$BM981=1),C981,IF(AND('Choix pédagogiques'!$C$3=3,$BO981=1),C981,""))</f>
        <v/>
      </c>
      <c r="Y981" s="22" t="str">
        <f>IF(AND(OR('Choix pédagogiques'!$C$3=1,'Choix pédagogiques'!$C$3=2),$BM981=1),D981,IF(AND('Choix pédagogiques'!$C$3=3,$BO981=1),D981,""))</f>
        <v/>
      </c>
      <c r="Z981" s="22" t="str">
        <f t="shared" si="664"/>
        <v/>
      </c>
      <c r="AA981" s="21" t="str">
        <f t="shared" si="665"/>
        <v>Apprenant 969 ou 969'</v>
      </c>
      <c r="AB981" s="22" t="str">
        <f>IF(AND(OR('Choix pédagogiques'!$C$3=1,'Choix pédagogiques'!$C$3=2),$BN981=1),G981,IF(AND('Choix pédagogiques'!$C$3=3,$BO981=1),G981,""))</f>
        <v/>
      </c>
      <c r="AC981" s="22" t="str">
        <f>IF(AND(OR('Choix pédagogiques'!$C$3=1,'Choix pédagogiques'!$C$3=2),$BN981=1),H981,IF(AND('Choix pédagogiques'!$C$3=3,$BO981=1),H981,""))</f>
        <v/>
      </c>
      <c r="AD981" s="22" t="str">
        <f>IF(AND(OR('Choix pédagogiques'!$C$3=1,'Choix pédagogiques'!$C$3=2),$BN981=1),I981,IF(AND('Choix pédagogiques'!$C$3=3,$BO981=1),I981,""))</f>
        <v/>
      </c>
      <c r="AE981" s="22" t="str">
        <f t="shared" si="666"/>
        <v/>
      </c>
      <c r="AF981" s="21" t="str">
        <f t="shared" si="667"/>
        <v>Apprenant 969</v>
      </c>
      <c r="AG981" s="22" t="str">
        <f t="shared" si="641"/>
        <v/>
      </c>
      <c r="AH981" s="22" t="str">
        <f t="shared" si="642"/>
        <v/>
      </c>
      <c r="AI981" s="22" t="str">
        <f t="shared" si="643"/>
        <v/>
      </c>
      <c r="AJ981" s="22" t="str">
        <f t="shared" si="668"/>
        <v/>
      </c>
      <c r="AK981" s="21" t="str">
        <f t="shared" si="669"/>
        <v>Apprenant 969 ou 969'</v>
      </c>
      <c r="AL981" s="22" t="str">
        <f t="shared" si="644"/>
        <v/>
      </c>
      <c r="AM981" s="22" t="str">
        <f t="shared" si="645"/>
        <v/>
      </c>
      <c r="AN981" s="22" t="str">
        <f t="shared" si="646"/>
        <v/>
      </c>
      <c r="AO981" s="22" t="str">
        <f t="shared" si="670"/>
        <v/>
      </c>
      <c r="AQ981" s="21" t="str">
        <f t="shared" si="671"/>
        <v>Apprenant 969</v>
      </c>
      <c r="AR981" s="49" t="str">
        <f>IF(AND('Choix pédagogiques'!$C$4&lt;&gt;"?",'Choix pédagogiques'!$C$5&lt;&gt;"?",W981&lt;&gt;""),(W981-'Choix pédagogiques'!$C$4)/('Choix pédagogiques'!$C$5-'Choix pédagogiques'!$C$4),"")</f>
        <v/>
      </c>
      <c r="AS981" s="49" t="str">
        <f>IF(AND('Choix pédagogiques'!$C$4&lt;&gt;"?",'Choix pédagogiques'!$C$5&lt;&gt;"?",X981&lt;&gt;""),(X981-'Choix pédagogiques'!$C$4)/('Choix pédagogiques'!$C$5-'Choix pédagogiques'!$C$4),"")</f>
        <v/>
      </c>
      <c r="AT981" s="49" t="str">
        <f>IF(AND('Choix pédagogiques'!$C$4&lt;&gt;"?",'Choix pédagogiques'!$C$5&lt;&gt;"?",Y981&lt;&gt;""),(Y981-'Choix pédagogiques'!$C$4)/('Choix pédagogiques'!$C$5-'Choix pédagogiques'!$C$4),"")</f>
        <v/>
      </c>
      <c r="AU981" s="22" t="str">
        <f t="shared" si="672"/>
        <v/>
      </c>
      <c r="AV981" s="21" t="str">
        <f t="shared" si="673"/>
        <v>Apprenant 969 ou 969'</v>
      </c>
      <c r="AW981" s="49" t="str">
        <f>IF(AND('Choix pédagogiques'!$C$4&lt;&gt;"?",'Choix pédagogiques'!$C$5&lt;&gt;"?",AB981&lt;&gt;""),(AB981-'Choix pédagogiques'!$C$4)/('Choix pédagogiques'!$C$5-'Choix pédagogiques'!$C$4),"")</f>
        <v/>
      </c>
      <c r="AX981" s="49" t="str">
        <f>IF(AND('Choix pédagogiques'!$C$4&lt;&gt;"?",'Choix pédagogiques'!$C$5&lt;&gt;"?",AC981&lt;&gt;""),(AC981-'Choix pédagogiques'!$C$4)/('Choix pédagogiques'!$C$5-'Choix pédagogiques'!$C$4),"")</f>
        <v/>
      </c>
      <c r="AY981" s="49" t="str">
        <f>IF(AND('Choix pédagogiques'!$C$4&lt;&gt;"?",'Choix pédagogiques'!$C$5&lt;&gt;"?",AD981&lt;&gt;""),(AD981-'Choix pédagogiques'!$C$4)/('Choix pédagogiques'!$C$5-'Choix pédagogiques'!$C$4),"")</f>
        <v/>
      </c>
      <c r="AZ981" s="22" t="str">
        <f t="shared" si="674"/>
        <v/>
      </c>
      <c r="BA981" s="21" t="str">
        <f t="shared" si="675"/>
        <v>Apprenant 969</v>
      </c>
      <c r="BB981" s="49" t="str">
        <f t="shared" si="647"/>
        <v/>
      </c>
      <c r="BC981" s="49" t="str">
        <f t="shared" si="648"/>
        <v/>
      </c>
      <c r="BD981" s="49" t="str">
        <f t="shared" si="649"/>
        <v/>
      </c>
      <c r="BE981" s="22" t="str">
        <f t="shared" si="676"/>
        <v/>
      </c>
      <c r="BF981" s="21" t="str">
        <f t="shared" si="677"/>
        <v>Apprenant 969 ou 969'</v>
      </c>
      <c r="BG981" s="49" t="str">
        <f t="shared" si="650"/>
        <v/>
      </c>
      <c r="BH981" s="49" t="str">
        <f t="shared" si="651"/>
        <v/>
      </c>
      <c r="BI981" s="49" t="str">
        <f t="shared" si="652"/>
        <v/>
      </c>
      <c r="BJ981" s="22" t="str">
        <f t="shared" si="678"/>
        <v/>
      </c>
      <c r="BL981" s="21"/>
      <c r="BM981" s="21" t="str">
        <f>IF(OR(COUNT(B981:D1980)=0,AND('Choix pédagogiques'!$C$3&lt;&gt;1,'Choix pédagogiques'!$C$3&lt;&gt;2)),"",IF(AND(OR('Choix pédagogiques'!$C$3=1,'Choix pédagogiques'!$C$3=2),$B981&lt;&gt;"",$C981&lt;&gt;"",$D981&lt;&gt;""),1,0))</f>
        <v/>
      </c>
      <c r="BN981" s="21" t="str">
        <f>IF(OR(COUNT(G981:I1980)=0,AND('Choix pédagogiques'!$C$3&lt;&gt;1,'Choix pédagogiques'!$C$3&lt;&gt;2)),"",IF(AND(OR('Choix pédagogiques'!$C$3=1,'Choix pédagogiques'!$C$3=2),AND($G981&lt;&gt;"",$H981&lt;&gt;"",$I981&lt;&gt;"")),1,0))</f>
        <v/>
      </c>
      <c r="BO981" s="21" t="str">
        <f>IF(OR(COUNT(B981:D1980)=0,COUNT(G981:I1980)=0,'Choix pédagogiques'!C$3&lt;&gt;3),"",IF(AND('Choix pédagogiques'!$C$3=3,$B981&lt;&gt;"",$C981&lt;&gt;"",$D981&lt;&gt;"",$G981&lt;&gt;"",$H981&lt;&gt;"",$I981&lt;&gt;""),1,0))</f>
        <v/>
      </c>
      <c r="BR981" s="21">
        <v>604</v>
      </c>
      <c r="BS981" s="21">
        <v>1637</v>
      </c>
      <c r="BT981"/>
    </row>
    <row r="982" spans="1:72" s="23" customFormat="1" ht="18" customHeight="1" x14ac:dyDescent="0.3">
      <c r="A982" s="35" t="s">
        <v>972</v>
      </c>
      <c r="B982" s="37"/>
      <c r="C982" s="37"/>
      <c r="D982" s="37"/>
      <c r="E982" s="37"/>
      <c r="F982" s="35" t="s">
        <v>1980</v>
      </c>
      <c r="G982" s="37"/>
      <c r="H982" s="37"/>
      <c r="I982" s="37"/>
      <c r="J982" s="37"/>
      <c r="K982" s="21" t="str">
        <f t="shared" si="653"/>
        <v>Apprenant 970</v>
      </c>
      <c r="L982" s="22" t="str">
        <f t="shared" si="654"/>
        <v/>
      </c>
      <c r="M982" s="22" t="str">
        <f t="shared" si="655"/>
        <v/>
      </c>
      <c r="N982" s="22" t="str">
        <f t="shared" si="656"/>
        <v/>
      </c>
      <c r="O982" s="22" t="str">
        <f t="shared" si="657"/>
        <v/>
      </c>
      <c r="P982" s="21" t="str">
        <f t="shared" si="658"/>
        <v>Apprenant 970 ou 970'</v>
      </c>
      <c r="Q982" s="22" t="str">
        <f t="shared" si="659"/>
        <v/>
      </c>
      <c r="R982" s="22" t="str">
        <f t="shared" si="660"/>
        <v/>
      </c>
      <c r="S982" s="22" t="str">
        <f t="shared" si="661"/>
        <v/>
      </c>
      <c r="T982" s="22" t="str">
        <f t="shared" si="662"/>
        <v/>
      </c>
      <c r="V982" s="21" t="str">
        <f t="shared" si="663"/>
        <v>Apprenant 970</v>
      </c>
      <c r="W982" s="22" t="str">
        <f>IF(AND(OR('Choix pédagogiques'!$C$3=1,'Choix pédagogiques'!$C$3=2),$BM982=1),B982,IF(AND('Choix pédagogiques'!$C$3=3,$BO982=1),B982,""))</f>
        <v/>
      </c>
      <c r="X982" s="22" t="str">
        <f>IF(AND(OR('Choix pédagogiques'!$C$3=1,'Choix pédagogiques'!$C$3=2),$BM982=1),C982,IF(AND('Choix pédagogiques'!$C$3=3,$BO982=1),C982,""))</f>
        <v/>
      </c>
      <c r="Y982" s="22" t="str">
        <f>IF(AND(OR('Choix pédagogiques'!$C$3=1,'Choix pédagogiques'!$C$3=2),$BM982=1),D982,IF(AND('Choix pédagogiques'!$C$3=3,$BO982=1),D982,""))</f>
        <v/>
      </c>
      <c r="Z982" s="22" t="str">
        <f t="shared" si="664"/>
        <v/>
      </c>
      <c r="AA982" s="21" t="str">
        <f t="shared" si="665"/>
        <v>Apprenant 970 ou 970'</v>
      </c>
      <c r="AB982" s="22" t="str">
        <f>IF(AND(OR('Choix pédagogiques'!$C$3=1,'Choix pédagogiques'!$C$3=2),$BN982=1),G982,IF(AND('Choix pédagogiques'!$C$3=3,$BO982=1),G982,""))</f>
        <v/>
      </c>
      <c r="AC982" s="22" t="str">
        <f>IF(AND(OR('Choix pédagogiques'!$C$3=1,'Choix pédagogiques'!$C$3=2),$BN982=1),H982,IF(AND('Choix pédagogiques'!$C$3=3,$BO982=1),H982,""))</f>
        <v/>
      </c>
      <c r="AD982" s="22" t="str">
        <f>IF(AND(OR('Choix pédagogiques'!$C$3=1,'Choix pédagogiques'!$C$3=2),$BN982=1),I982,IF(AND('Choix pédagogiques'!$C$3=3,$BO982=1),I982,""))</f>
        <v/>
      </c>
      <c r="AE982" s="22" t="str">
        <f t="shared" si="666"/>
        <v/>
      </c>
      <c r="AF982" s="21" t="str">
        <f t="shared" si="667"/>
        <v>Apprenant 970</v>
      </c>
      <c r="AG982" s="22" t="str">
        <f t="shared" si="641"/>
        <v/>
      </c>
      <c r="AH982" s="22" t="str">
        <f t="shared" si="642"/>
        <v/>
      </c>
      <c r="AI982" s="22" t="str">
        <f t="shared" si="643"/>
        <v/>
      </c>
      <c r="AJ982" s="22" t="str">
        <f t="shared" si="668"/>
        <v/>
      </c>
      <c r="AK982" s="21" t="str">
        <f t="shared" si="669"/>
        <v>Apprenant 970 ou 970'</v>
      </c>
      <c r="AL982" s="22" t="str">
        <f t="shared" si="644"/>
        <v/>
      </c>
      <c r="AM982" s="22" t="str">
        <f t="shared" si="645"/>
        <v/>
      </c>
      <c r="AN982" s="22" t="str">
        <f t="shared" si="646"/>
        <v/>
      </c>
      <c r="AO982" s="22" t="str">
        <f t="shared" si="670"/>
        <v/>
      </c>
      <c r="AQ982" s="21" t="str">
        <f t="shared" si="671"/>
        <v>Apprenant 970</v>
      </c>
      <c r="AR982" s="49" t="str">
        <f>IF(AND('Choix pédagogiques'!$C$4&lt;&gt;"?",'Choix pédagogiques'!$C$5&lt;&gt;"?",W982&lt;&gt;""),(W982-'Choix pédagogiques'!$C$4)/('Choix pédagogiques'!$C$5-'Choix pédagogiques'!$C$4),"")</f>
        <v/>
      </c>
      <c r="AS982" s="49" t="str">
        <f>IF(AND('Choix pédagogiques'!$C$4&lt;&gt;"?",'Choix pédagogiques'!$C$5&lt;&gt;"?",X982&lt;&gt;""),(X982-'Choix pédagogiques'!$C$4)/('Choix pédagogiques'!$C$5-'Choix pédagogiques'!$C$4),"")</f>
        <v/>
      </c>
      <c r="AT982" s="49" t="str">
        <f>IF(AND('Choix pédagogiques'!$C$4&lt;&gt;"?",'Choix pédagogiques'!$C$5&lt;&gt;"?",Y982&lt;&gt;""),(Y982-'Choix pédagogiques'!$C$4)/('Choix pédagogiques'!$C$5-'Choix pédagogiques'!$C$4),"")</f>
        <v/>
      </c>
      <c r="AU982" s="22" t="str">
        <f t="shared" si="672"/>
        <v/>
      </c>
      <c r="AV982" s="21" t="str">
        <f t="shared" si="673"/>
        <v>Apprenant 970 ou 970'</v>
      </c>
      <c r="AW982" s="49" t="str">
        <f>IF(AND('Choix pédagogiques'!$C$4&lt;&gt;"?",'Choix pédagogiques'!$C$5&lt;&gt;"?",AB982&lt;&gt;""),(AB982-'Choix pédagogiques'!$C$4)/('Choix pédagogiques'!$C$5-'Choix pédagogiques'!$C$4),"")</f>
        <v/>
      </c>
      <c r="AX982" s="49" t="str">
        <f>IF(AND('Choix pédagogiques'!$C$4&lt;&gt;"?",'Choix pédagogiques'!$C$5&lt;&gt;"?",AC982&lt;&gt;""),(AC982-'Choix pédagogiques'!$C$4)/('Choix pédagogiques'!$C$5-'Choix pédagogiques'!$C$4),"")</f>
        <v/>
      </c>
      <c r="AY982" s="49" t="str">
        <f>IF(AND('Choix pédagogiques'!$C$4&lt;&gt;"?",'Choix pédagogiques'!$C$5&lt;&gt;"?",AD982&lt;&gt;""),(AD982-'Choix pédagogiques'!$C$4)/('Choix pédagogiques'!$C$5-'Choix pédagogiques'!$C$4),"")</f>
        <v/>
      </c>
      <c r="AZ982" s="22" t="str">
        <f t="shared" si="674"/>
        <v/>
      </c>
      <c r="BA982" s="21" t="str">
        <f t="shared" si="675"/>
        <v>Apprenant 970</v>
      </c>
      <c r="BB982" s="49" t="str">
        <f t="shared" si="647"/>
        <v/>
      </c>
      <c r="BC982" s="49" t="str">
        <f t="shared" si="648"/>
        <v/>
      </c>
      <c r="BD982" s="49" t="str">
        <f t="shared" si="649"/>
        <v/>
      </c>
      <c r="BE982" s="22" t="str">
        <f t="shared" si="676"/>
        <v/>
      </c>
      <c r="BF982" s="21" t="str">
        <f t="shared" si="677"/>
        <v>Apprenant 970 ou 970'</v>
      </c>
      <c r="BG982" s="49" t="str">
        <f t="shared" si="650"/>
        <v/>
      </c>
      <c r="BH982" s="49" t="str">
        <f t="shared" si="651"/>
        <v/>
      </c>
      <c r="BI982" s="49" t="str">
        <f t="shared" si="652"/>
        <v/>
      </c>
      <c r="BJ982" s="22" t="str">
        <f t="shared" si="678"/>
        <v/>
      </c>
      <c r="BL982" s="21"/>
      <c r="BM982" s="21" t="str">
        <f>IF(OR(COUNT(B982:D1981)=0,AND('Choix pédagogiques'!$C$3&lt;&gt;1,'Choix pédagogiques'!$C$3&lt;&gt;2)),"",IF(AND(OR('Choix pédagogiques'!$C$3=1,'Choix pédagogiques'!$C$3=2),$B982&lt;&gt;"",$C982&lt;&gt;"",$D982&lt;&gt;""),1,0))</f>
        <v/>
      </c>
      <c r="BN982" s="21" t="str">
        <f>IF(OR(COUNT(G982:I1981)=0,AND('Choix pédagogiques'!$C$3&lt;&gt;1,'Choix pédagogiques'!$C$3&lt;&gt;2)),"",IF(AND(OR('Choix pédagogiques'!$C$3=1,'Choix pédagogiques'!$C$3=2),AND($G982&lt;&gt;"",$H982&lt;&gt;"",$I982&lt;&gt;"")),1,0))</f>
        <v/>
      </c>
      <c r="BO982" s="21" t="str">
        <f>IF(OR(COUNT(B982:D1981)=0,COUNT(G982:I1981)=0,'Choix pédagogiques'!C$3&lt;&gt;3),"",IF(AND('Choix pédagogiques'!$C$3=3,$B982&lt;&gt;"",$C982&lt;&gt;"",$D982&lt;&gt;"",$G982&lt;&gt;"",$H982&lt;&gt;"",$I982&lt;&gt;""),1,0))</f>
        <v/>
      </c>
      <c r="BR982" s="21">
        <v>193</v>
      </c>
      <c r="BS982" s="21">
        <v>1257</v>
      </c>
      <c r="BT982"/>
    </row>
    <row r="983" spans="1:72" s="23" customFormat="1" ht="18" customHeight="1" x14ac:dyDescent="0.3">
      <c r="A983" s="35" t="s">
        <v>973</v>
      </c>
      <c r="B983" s="37"/>
      <c r="C983" s="37"/>
      <c r="D983" s="37"/>
      <c r="E983" s="37"/>
      <c r="F983" s="35" t="s">
        <v>1981</v>
      </c>
      <c r="G983" s="37"/>
      <c r="H983" s="37"/>
      <c r="I983" s="37"/>
      <c r="J983" s="37"/>
      <c r="K983" s="21" t="str">
        <f t="shared" si="653"/>
        <v>Apprenant 971</v>
      </c>
      <c r="L983" s="22" t="str">
        <f t="shared" si="654"/>
        <v/>
      </c>
      <c r="M983" s="22" t="str">
        <f t="shared" si="655"/>
        <v/>
      </c>
      <c r="N983" s="22" t="str">
        <f t="shared" si="656"/>
        <v/>
      </c>
      <c r="O983" s="22" t="str">
        <f t="shared" si="657"/>
        <v/>
      </c>
      <c r="P983" s="21" t="str">
        <f t="shared" si="658"/>
        <v>Apprenant 971 ou 971'</v>
      </c>
      <c r="Q983" s="22" t="str">
        <f t="shared" si="659"/>
        <v/>
      </c>
      <c r="R983" s="22" t="str">
        <f t="shared" si="660"/>
        <v/>
      </c>
      <c r="S983" s="22" t="str">
        <f t="shared" si="661"/>
        <v/>
      </c>
      <c r="T983" s="22" t="str">
        <f t="shared" si="662"/>
        <v/>
      </c>
      <c r="V983" s="21" t="str">
        <f t="shared" si="663"/>
        <v>Apprenant 971</v>
      </c>
      <c r="W983" s="22" t="str">
        <f>IF(AND(OR('Choix pédagogiques'!$C$3=1,'Choix pédagogiques'!$C$3=2),$BM983=1),B983,IF(AND('Choix pédagogiques'!$C$3=3,$BO983=1),B983,""))</f>
        <v/>
      </c>
      <c r="X983" s="22" t="str">
        <f>IF(AND(OR('Choix pédagogiques'!$C$3=1,'Choix pédagogiques'!$C$3=2),$BM983=1),C983,IF(AND('Choix pédagogiques'!$C$3=3,$BO983=1),C983,""))</f>
        <v/>
      </c>
      <c r="Y983" s="22" t="str">
        <f>IF(AND(OR('Choix pédagogiques'!$C$3=1,'Choix pédagogiques'!$C$3=2),$BM983=1),D983,IF(AND('Choix pédagogiques'!$C$3=3,$BO983=1),D983,""))</f>
        <v/>
      </c>
      <c r="Z983" s="22" t="str">
        <f t="shared" si="664"/>
        <v/>
      </c>
      <c r="AA983" s="21" t="str">
        <f t="shared" si="665"/>
        <v>Apprenant 971 ou 971'</v>
      </c>
      <c r="AB983" s="22" t="str">
        <f>IF(AND(OR('Choix pédagogiques'!$C$3=1,'Choix pédagogiques'!$C$3=2),$BN983=1),G983,IF(AND('Choix pédagogiques'!$C$3=3,$BO983=1),G983,""))</f>
        <v/>
      </c>
      <c r="AC983" s="22" t="str">
        <f>IF(AND(OR('Choix pédagogiques'!$C$3=1,'Choix pédagogiques'!$C$3=2),$BN983=1),H983,IF(AND('Choix pédagogiques'!$C$3=3,$BO983=1),H983,""))</f>
        <v/>
      </c>
      <c r="AD983" s="22" t="str">
        <f>IF(AND(OR('Choix pédagogiques'!$C$3=1,'Choix pédagogiques'!$C$3=2),$BN983=1),I983,IF(AND('Choix pédagogiques'!$C$3=3,$BO983=1),I983,""))</f>
        <v/>
      </c>
      <c r="AE983" s="22" t="str">
        <f t="shared" si="666"/>
        <v/>
      </c>
      <c r="AF983" s="21" t="str">
        <f t="shared" si="667"/>
        <v>Apprenant 971</v>
      </c>
      <c r="AG983" s="22" t="str">
        <f t="shared" si="641"/>
        <v/>
      </c>
      <c r="AH983" s="22" t="str">
        <f t="shared" si="642"/>
        <v/>
      </c>
      <c r="AI983" s="22" t="str">
        <f t="shared" si="643"/>
        <v/>
      </c>
      <c r="AJ983" s="22" t="str">
        <f t="shared" si="668"/>
        <v/>
      </c>
      <c r="AK983" s="21" t="str">
        <f t="shared" si="669"/>
        <v>Apprenant 971 ou 971'</v>
      </c>
      <c r="AL983" s="22" t="str">
        <f t="shared" si="644"/>
        <v/>
      </c>
      <c r="AM983" s="22" t="str">
        <f t="shared" si="645"/>
        <v/>
      </c>
      <c r="AN983" s="22" t="str">
        <f t="shared" si="646"/>
        <v/>
      </c>
      <c r="AO983" s="22" t="str">
        <f t="shared" si="670"/>
        <v/>
      </c>
      <c r="AQ983" s="21" t="str">
        <f t="shared" si="671"/>
        <v>Apprenant 971</v>
      </c>
      <c r="AR983" s="49" t="str">
        <f>IF(AND('Choix pédagogiques'!$C$4&lt;&gt;"?",'Choix pédagogiques'!$C$5&lt;&gt;"?",W983&lt;&gt;""),(W983-'Choix pédagogiques'!$C$4)/('Choix pédagogiques'!$C$5-'Choix pédagogiques'!$C$4),"")</f>
        <v/>
      </c>
      <c r="AS983" s="49" t="str">
        <f>IF(AND('Choix pédagogiques'!$C$4&lt;&gt;"?",'Choix pédagogiques'!$C$5&lt;&gt;"?",X983&lt;&gt;""),(X983-'Choix pédagogiques'!$C$4)/('Choix pédagogiques'!$C$5-'Choix pédagogiques'!$C$4),"")</f>
        <v/>
      </c>
      <c r="AT983" s="49" t="str">
        <f>IF(AND('Choix pédagogiques'!$C$4&lt;&gt;"?",'Choix pédagogiques'!$C$5&lt;&gt;"?",Y983&lt;&gt;""),(Y983-'Choix pédagogiques'!$C$4)/('Choix pédagogiques'!$C$5-'Choix pédagogiques'!$C$4),"")</f>
        <v/>
      </c>
      <c r="AU983" s="22" t="str">
        <f t="shared" si="672"/>
        <v/>
      </c>
      <c r="AV983" s="21" t="str">
        <f t="shared" si="673"/>
        <v>Apprenant 971 ou 971'</v>
      </c>
      <c r="AW983" s="49" t="str">
        <f>IF(AND('Choix pédagogiques'!$C$4&lt;&gt;"?",'Choix pédagogiques'!$C$5&lt;&gt;"?",AB983&lt;&gt;""),(AB983-'Choix pédagogiques'!$C$4)/('Choix pédagogiques'!$C$5-'Choix pédagogiques'!$C$4),"")</f>
        <v/>
      </c>
      <c r="AX983" s="49" t="str">
        <f>IF(AND('Choix pédagogiques'!$C$4&lt;&gt;"?",'Choix pédagogiques'!$C$5&lt;&gt;"?",AC983&lt;&gt;""),(AC983-'Choix pédagogiques'!$C$4)/('Choix pédagogiques'!$C$5-'Choix pédagogiques'!$C$4),"")</f>
        <v/>
      </c>
      <c r="AY983" s="49" t="str">
        <f>IF(AND('Choix pédagogiques'!$C$4&lt;&gt;"?",'Choix pédagogiques'!$C$5&lt;&gt;"?",AD983&lt;&gt;""),(AD983-'Choix pédagogiques'!$C$4)/('Choix pédagogiques'!$C$5-'Choix pédagogiques'!$C$4),"")</f>
        <v/>
      </c>
      <c r="AZ983" s="22" t="str">
        <f t="shared" si="674"/>
        <v/>
      </c>
      <c r="BA983" s="21" t="str">
        <f t="shared" si="675"/>
        <v>Apprenant 971</v>
      </c>
      <c r="BB983" s="49" t="str">
        <f t="shared" si="647"/>
        <v/>
      </c>
      <c r="BC983" s="49" t="str">
        <f t="shared" si="648"/>
        <v/>
      </c>
      <c r="BD983" s="49" t="str">
        <f t="shared" si="649"/>
        <v/>
      </c>
      <c r="BE983" s="22" t="str">
        <f t="shared" si="676"/>
        <v/>
      </c>
      <c r="BF983" s="21" t="str">
        <f t="shared" si="677"/>
        <v>Apprenant 971 ou 971'</v>
      </c>
      <c r="BG983" s="49" t="str">
        <f t="shared" si="650"/>
        <v/>
      </c>
      <c r="BH983" s="49" t="str">
        <f t="shared" si="651"/>
        <v/>
      </c>
      <c r="BI983" s="49" t="str">
        <f t="shared" si="652"/>
        <v/>
      </c>
      <c r="BJ983" s="22" t="str">
        <f t="shared" si="678"/>
        <v/>
      </c>
      <c r="BL983" s="21"/>
      <c r="BM983" s="21" t="str">
        <f>IF(OR(COUNT(B983:D1982)=0,AND('Choix pédagogiques'!$C$3&lt;&gt;1,'Choix pédagogiques'!$C$3&lt;&gt;2)),"",IF(AND(OR('Choix pédagogiques'!$C$3=1,'Choix pédagogiques'!$C$3=2),$B983&lt;&gt;"",$C983&lt;&gt;"",$D983&lt;&gt;""),1,0))</f>
        <v/>
      </c>
      <c r="BN983" s="21" t="str">
        <f>IF(OR(COUNT(G983:I1982)=0,AND('Choix pédagogiques'!$C$3&lt;&gt;1,'Choix pédagogiques'!$C$3&lt;&gt;2)),"",IF(AND(OR('Choix pédagogiques'!$C$3=1,'Choix pédagogiques'!$C$3=2),AND($G983&lt;&gt;"",$H983&lt;&gt;"",$I983&lt;&gt;"")),1,0))</f>
        <v/>
      </c>
      <c r="BO983" s="21" t="str">
        <f>IF(OR(COUNT(B983:D1982)=0,COUNT(G983:I1982)=0,'Choix pédagogiques'!C$3&lt;&gt;3),"",IF(AND('Choix pédagogiques'!$C$3=3,$B983&lt;&gt;"",$C983&lt;&gt;"",$D983&lt;&gt;"",$G983&lt;&gt;"",$H983&lt;&gt;"",$I983&lt;&gt;""),1,0))</f>
        <v/>
      </c>
      <c r="BR983" s="21">
        <v>682</v>
      </c>
      <c r="BS983" s="21">
        <v>1692</v>
      </c>
      <c r="BT983"/>
    </row>
    <row r="984" spans="1:72" s="23" customFormat="1" ht="18" customHeight="1" x14ac:dyDescent="0.3">
      <c r="A984" s="35" t="s">
        <v>974</v>
      </c>
      <c r="B984" s="37"/>
      <c r="C984" s="37"/>
      <c r="D984" s="37"/>
      <c r="E984" s="37"/>
      <c r="F984" s="35" t="s">
        <v>1982</v>
      </c>
      <c r="G984" s="37"/>
      <c r="H984" s="37"/>
      <c r="I984" s="37"/>
      <c r="J984" s="37"/>
      <c r="K984" s="21" t="str">
        <f t="shared" si="653"/>
        <v>Apprenant 972</v>
      </c>
      <c r="L984" s="22" t="str">
        <f t="shared" si="654"/>
        <v/>
      </c>
      <c r="M984" s="22" t="str">
        <f t="shared" si="655"/>
        <v/>
      </c>
      <c r="N984" s="22" t="str">
        <f t="shared" si="656"/>
        <v/>
      </c>
      <c r="O984" s="22" t="str">
        <f t="shared" si="657"/>
        <v/>
      </c>
      <c r="P984" s="21" t="str">
        <f t="shared" si="658"/>
        <v>Apprenant 972 ou 972'</v>
      </c>
      <c r="Q984" s="22" t="str">
        <f t="shared" si="659"/>
        <v/>
      </c>
      <c r="R984" s="22" t="str">
        <f t="shared" si="660"/>
        <v/>
      </c>
      <c r="S984" s="22" t="str">
        <f t="shared" si="661"/>
        <v/>
      </c>
      <c r="T984" s="22" t="str">
        <f t="shared" si="662"/>
        <v/>
      </c>
      <c r="V984" s="21" t="str">
        <f t="shared" si="663"/>
        <v>Apprenant 972</v>
      </c>
      <c r="W984" s="22" t="str">
        <f>IF(AND(OR('Choix pédagogiques'!$C$3=1,'Choix pédagogiques'!$C$3=2),$BM984=1),B984,IF(AND('Choix pédagogiques'!$C$3=3,$BO984=1),B984,""))</f>
        <v/>
      </c>
      <c r="X984" s="22" t="str">
        <f>IF(AND(OR('Choix pédagogiques'!$C$3=1,'Choix pédagogiques'!$C$3=2),$BM984=1),C984,IF(AND('Choix pédagogiques'!$C$3=3,$BO984=1),C984,""))</f>
        <v/>
      </c>
      <c r="Y984" s="22" t="str">
        <f>IF(AND(OR('Choix pédagogiques'!$C$3=1,'Choix pédagogiques'!$C$3=2),$BM984=1),D984,IF(AND('Choix pédagogiques'!$C$3=3,$BO984=1),D984,""))</f>
        <v/>
      </c>
      <c r="Z984" s="22" t="str">
        <f t="shared" si="664"/>
        <v/>
      </c>
      <c r="AA984" s="21" t="str">
        <f t="shared" si="665"/>
        <v>Apprenant 972 ou 972'</v>
      </c>
      <c r="AB984" s="22" t="str">
        <f>IF(AND(OR('Choix pédagogiques'!$C$3=1,'Choix pédagogiques'!$C$3=2),$BN984=1),G984,IF(AND('Choix pédagogiques'!$C$3=3,$BO984=1),G984,""))</f>
        <v/>
      </c>
      <c r="AC984" s="22" t="str">
        <f>IF(AND(OR('Choix pédagogiques'!$C$3=1,'Choix pédagogiques'!$C$3=2),$BN984=1),H984,IF(AND('Choix pédagogiques'!$C$3=3,$BO984=1),H984,""))</f>
        <v/>
      </c>
      <c r="AD984" s="22" t="str">
        <f>IF(AND(OR('Choix pédagogiques'!$C$3=1,'Choix pédagogiques'!$C$3=2),$BN984=1),I984,IF(AND('Choix pédagogiques'!$C$3=3,$BO984=1),I984,""))</f>
        <v/>
      </c>
      <c r="AE984" s="22" t="str">
        <f t="shared" si="666"/>
        <v/>
      </c>
      <c r="AF984" s="21" t="str">
        <f t="shared" si="667"/>
        <v>Apprenant 972</v>
      </c>
      <c r="AG984" s="22" t="str">
        <f t="shared" si="641"/>
        <v/>
      </c>
      <c r="AH984" s="22" t="str">
        <f t="shared" si="642"/>
        <v/>
      </c>
      <c r="AI984" s="22" t="str">
        <f t="shared" si="643"/>
        <v/>
      </c>
      <c r="AJ984" s="22" t="str">
        <f t="shared" si="668"/>
        <v/>
      </c>
      <c r="AK984" s="21" t="str">
        <f t="shared" si="669"/>
        <v>Apprenant 972 ou 972'</v>
      </c>
      <c r="AL984" s="22" t="str">
        <f t="shared" si="644"/>
        <v/>
      </c>
      <c r="AM984" s="22" t="str">
        <f t="shared" si="645"/>
        <v/>
      </c>
      <c r="AN984" s="22" t="str">
        <f t="shared" si="646"/>
        <v/>
      </c>
      <c r="AO984" s="22" t="str">
        <f t="shared" si="670"/>
        <v/>
      </c>
      <c r="AQ984" s="21" t="str">
        <f t="shared" si="671"/>
        <v>Apprenant 972</v>
      </c>
      <c r="AR984" s="49" t="str">
        <f>IF(AND('Choix pédagogiques'!$C$4&lt;&gt;"?",'Choix pédagogiques'!$C$5&lt;&gt;"?",W984&lt;&gt;""),(W984-'Choix pédagogiques'!$C$4)/('Choix pédagogiques'!$C$5-'Choix pédagogiques'!$C$4),"")</f>
        <v/>
      </c>
      <c r="AS984" s="49" t="str">
        <f>IF(AND('Choix pédagogiques'!$C$4&lt;&gt;"?",'Choix pédagogiques'!$C$5&lt;&gt;"?",X984&lt;&gt;""),(X984-'Choix pédagogiques'!$C$4)/('Choix pédagogiques'!$C$5-'Choix pédagogiques'!$C$4),"")</f>
        <v/>
      </c>
      <c r="AT984" s="49" t="str">
        <f>IF(AND('Choix pédagogiques'!$C$4&lt;&gt;"?",'Choix pédagogiques'!$C$5&lt;&gt;"?",Y984&lt;&gt;""),(Y984-'Choix pédagogiques'!$C$4)/('Choix pédagogiques'!$C$5-'Choix pédagogiques'!$C$4),"")</f>
        <v/>
      </c>
      <c r="AU984" s="22" t="str">
        <f t="shared" si="672"/>
        <v/>
      </c>
      <c r="AV984" s="21" t="str">
        <f t="shared" si="673"/>
        <v>Apprenant 972 ou 972'</v>
      </c>
      <c r="AW984" s="49" t="str">
        <f>IF(AND('Choix pédagogiques'!$C$4&lt;&gt;"?",'Choix pédagogiques'!$C$5&lt;&gt;"?",AB984&lt;&gt;""),(AB984-'Choix pédagogiques'!$C$4)/('Choix pédagogiques'!$C$5-'Choix pédagogiques'!$C$4),"")</f>
        <v/>
      </c>
      <c r="AX984" s="49" t="str">
        <f>IF(AND('Choix pédagogiques'!$C$4&lt;&gt;"?",'Choix pédagogiques'!$C$5&lt;&gt;"?",AC984&lt;&gt;""),(AC984-'Choix pédagogiques'!$C$4)/('Choix pédagogiques'!$C$5-'Choix pédagogiques'!$C$4),"")</f>
        <v/>
      </c>
      <c r="AY984" s="49" t="str">
        <f>IF(AND('Choix pédagogiques'!$C$4&lt;&gt;"?",'Choix pédagogiques'!$C$5&lt;&gt;"?",AD984&lt;&gt;""),(AD984-'Choix pédagogiques'!$C$4)/('Choix pédagogiques'!$C$5-'Choix pédagogiques'!$C$4),"")</f>
        <v/>
      </c>
      <c r="AZ984" s="22" t="str">
        <f t="shared" si="674"/>
        <v/>
      </c>
      <c r="BA984" s="21" t="str">
        <f t="shared" si="675"/>
        <v>Apprenant 972</v>
      </c>
      <c r="BB984" s="49" t="str">
        <f t="shared" si="647"/>
        <v/>
      </c>
      <c r="BC984" s="49" t="str">
        <f t="shared" si="648"/>
        <v/>
      </c>
      <c r="BD984" s="49" t="str">
        <f t="shared" si="649"/>
        <v/>
      </c>
      <c r="BE984" s="22" t="str">
        <f t="shared" si="676"/>
        <v/>
      </c>
      <c r="BF984" s="21" t="str">
        <f t="shared" si="677"/>
        <v>Apprenant 972 ou 972'</v>
      </c>
      <c r="BG984" s="49" t="str">
        <f t="shared" si="650"/>
        <v/>
      </c>
      <c r="BH984" s="49" t="str">
        <f t="shared" si="651"/>
        <v/>
      </c>
      <c r="BI984" s="49" t="str">
        <f t="shared" si="652"/>
        <v/>
      </c>
      <c r="BJ984" s="22" t="str">
        <f t="shared" si="678"/>
        <v/>
      </c>
      <c r="BL984" s="21"/>
      <c r="BM984" s="21" t="str">
        <f>IF(OR(COUNT(B984:D1983)=0,AND('Choix pédagogiques'!$C$3&lt;&gt;1,'Choix pédagogiques'!$C$3&lt;&gt;2)),"",IF(AND(OR('Choix pédagogiques'!$C$3=1,'Choix pédagogiques'!$C$3=2),$B984&lt;&gt;"",$C984&lt;&gt;"",$D984&lt;&gt;""),1,0))</f>
        <v/>
      </c>
      <c r="BN984" s="21" t="str">
        <f>IF(OR(COUNT(G984:I1983)=0,AND('Choix pédagogiques'!$C$3&lt;&gt;1,'Choix pédagogiques'!$C$3&lt;&gt;2)),"",IF(AND(OR('Choix pédagogiques'!$C$3=1,'Choix pédagogiques'!$C$3=2),AND($G984&lt;&gt;"",$H984&lt;&gt;"",$I984&lt;&gt;"")),1,0))</f>
        <v/>
      </c>
      <c r="BO984" s="21" t="str">
        <f>IF(OR(COUNT(B984:D1983)=0,COUNT(G984:I1983)=0,'Choix pédagogiques'!C$3&lt;&gt;3),"",IF(AND('Choix pédagogiques'!$C$3=3,$B984&lt;&gt;"",$C984&lt;&gt;"",$D984&lt;&gt;"",$G984&lt;&gt;"",$H984&lt;&gt;"",$I984&lt;&gt;""),1,0))</f>
        <v/>
      </c>
      <c r="BR984" s="21">
        <v>478</v>
      </c>
      <c r="BS984" s="21">
        <v>1451</v>
      </c>
      <c r="BT984"/>
    </row>
    <row r="985" spans="1:72" s="23" customFormat="1" ht="18" customHeight="1" x14ac:dyDescent="0.3">
      <c r="A985" s="35" t="s">
        <v>975</v>
      </c>
      <c r="B985" s="37"/>
      <c r="C985" s="37"/>
      <c r="D985" s="37"/>
      <c r="E985" s="37"/>
      <c r="F985" s="35" t="s">
        <v>1983</v>
      </c>
      <c r="G985" s="37"/>
      <c r="H985" s="37"/>
      <c r="I985" s="37"/>
      <c r="J985" s="37"/>
      <c r="K985" s="21" t="str">
        <f t="shared" si="653"/>
        <v>Apprenant 973</v>
      </c>
      <c r="L985" s="22" t="str">
        <f t="shared" si="654"/>
        <v/>
      </c>
      <c r="M985" s="22" t="str">
        <f t="shared" si="655"/>
        <v/>
      </c>
      <c r="N985" s="22" t="str">
        <f t="shared" si="656"/>
        <v/>
      </c>
      <c r="O985" s="22" t="str">
        <f t="shared" si="657"/>
        <v/>
      </c>
      <c r="P985" s="21" t="str">
        <f t="shared" si="658"/>
        <v>Apprenant 973 ou 973'</v>
      </c>
      <c r="Q985" s="22" t="str">
        <f t="shared" si="659"/>
        <v/>
      </c>
      <c r="R985" s="22" t="str">
        <f t="shared" si="660"/>
        <v/>
      </c>
      <c r="S985" s="22" t="str">
        <f t="shared" si="661"/>
        <v/>
      </c>
      <c r="T985" s="22" t="str">
        <f t="shared" si="662"/>
        <v/>
      </c>
      <c r="V985" s="21" t="str">
        <f t="shared" si="663"/>
        <v>Apprenant 973</v>
      </c>
      <c r="W985" s="22" t="str">
        <f>IF(AND(OR('Choix pédagogiques'!$C$3=1,'Choix pédagogiques'!$C$3=2),$BM985=1),B985,IF(AND('Choix pédagogiques'!$C$3=3,$BO985=1),B985,""))</f>
        <v/>
      </c>
      <c r="X985" s="22" t="str">
        <f>IF(AND(OR('Choix pédagogiques'!$C$3=1,'Choix pédagogiques'!$C$3=2),$BM985=1),C985,IF(AND('Choix pédagogiques'!$C$3=3,$BO985=1),C985,""))</f>
        <v/>
      </c>
      <c r="Y985" s="22" t="str">
        <f>IF(AND(OR('Choix pédagogiques'!$C$3=1,'Choix pédagogiques'!$C$3=2),$BM985=1),D985,IF(AND('Choix pédagogiques'!$C$3=3,$BO985=1),D985,""))</f>
        <v/>
      </c>
      <c r="Z985" s="22" t="str">
        <f t="shared" si="664"/>
        <v/>
      </c>
      <c r="AA985" s="21" t="str">
        <f t="shared" si="665"/>
        <v>Apprenant 973 ou 973'</v>
      </c>
      <c r="AB985" s="22" t="str">
        <f>IF(AND(OR('Choix pédagogiques'!$C$3=1,'Choix pédagogiques'!$C$3=2),$BN985=1),G985,IF(AND('Choix pédagogiques'!$C$3=3,$BO985=1),G985,""))</f>
        <v/>
      </c>
      <c r="AC985" s="22" t="str">
        <f>IF(AND(OR('Choix pédagogiques'!$C$3=1,'Choix pédagogiques'!$C$3=2),$BN985=1),H985,IF(AND('Choix pédagogiques'!$C$3=3,$BO985=1),H985,""))</f>
        <v/>
      </c>
      <c r="AD985" s="22" t="str">
        <f>IF(AND(OR('Choix pédagogiques'!$C$3=1,'Choix pédagogiques'!$C$3=2),$BN985=1),I985,IF(AND('Choix pédagogiques'!$C$3=3,$BO985=1),I985,""))</f>
        <v/>
      </c>
      <c r="AE985" s="22" t="str">
        <f t="shared" si="666"/>
        <v/>
      </c>
      <c r="AF985" s="21" t="str">
        <f t="shared" si="667"/>
        <v>Apprenant 973</v>
      </c>
      <c r="AG985" s="22" t="str">
        <f t="shared" si="641"/>
        <v/>
      </c>
      <c r="AH985" s="22" t="str">
        <f t="shared" si="642"/>
        <v/>
      </c>
      <c r="AI985" s="22" t="str">
        <f t="shared" si="643"/>
        <v/>
      </c>
      <c r="AJ985" s="22" t="str">
        <f t="shared" si="668"/>
        <v/>
      </c>
      <c r="AK985" s="21" t="str">
        <f t="shared" si="669"/>
        <v>Apprenant 973 ou 973'</v>
      </c>
      <c r="AL985" s="22" t="str">
        <f t="shared" si="644"/>
        <v/>
      </c>
      <c r="AM985" s="22" t="str">
        <f t="shared" si="645"/>
        <v/>
      </c>
      <c r="AN985" s="22" t="str">
        <f t="shared" si="646"/>
        <v/>
      </c>
      <c r="AO985" s="22" t="str">
        <f t="shared" si="670"/>
        <v/>
      </c>
      <c r="AQ985" s="21" t="str">
        <f t="shared" si="671"/>
        <v>Apprenant 973</v>
      </c>
      <c r="AR985" s="49" t="str">
        <f>IF(AND('Choix pédagogiques'!$C$4&lt;&gt;"?",'Choix pédagogiques'!$C$5&lt;&gt;"?",W985&lt;&gt;""),(W985-'Choix pédagogiques'!$C$4)/('Choix pédagogiques'!$C$5-'Choix pédagogiques'!$C$4),"")</f>
        <v/>
      </c>
      <c r="AS985" s="49" t="str">
        <f>IF(AND('Choix pédagogiques'!$C$4&lt;&gt;"?",'Choix pédagogiques'!$C$5&lt;&gt;"?",X985&lt;&gt;""),(X985-'Choix pédagogiques'!$C$4)/('Choix pédagogiques'!$C$5-'Choix pédagogiques'!$C$4),"")</f>
        <v/>
      </c>
      <c r="AT985" s="49" t="str">
        <f>IF(AND('Choix pédagogiques'!$C$4&lt;&gt;"?",'Choix pédagogiques'!$C$5&lt;&gt;"?",Y985&lt;&gt;""),(Y985-'Choix pédagogiques'!$C$4)/('Choix pédagogiques'!$C$5-'Choix pédagogiques'!$C$4),"")</f>
        <v/>
      </c>
      <c r="AU985" s="22" t="str">
        <f t="shared" si="672"/>
        <v/>
      </c>
      <c r="AV985" s="21" t="str">
        <f t="shared" si="673"/>
        <v>Apprenant 973 ou 973'</v>
      </c>
      <c r="AW985" s="49" t="str">
        <f>IF(AND('Choix pédagogiques'!$C$4&lt;&gt;"?",'Choix pédagogiques'!$C$5&lt;&gt;"?",AB985&lt;&gt;""),(AB985-'Choix pédagogiques'!$C$4)/('Choix pédagogiques'!$C$5-'Choix pédagogiques'!$C$4),"")</f>
        <v/>
      </c>
      <c r="AX985" s="49" t="str">
        <f>IF(AND('Choix pédagogiques'!$C$4&lt;&gt;"?",'Choix pédagogiques'!$C$5&lt;&gt;"?",AC985&lt;&gt;""),(AC985-'Choix pédagogiques'!$C$4)/('Choix pédagogiques'!$C$5-'Choix pédagogiques'!$C$4),"")</f>
        <v/>
      </c>
      <c r="AY985" s="49" t="str">
        <f>IF(AND('Choix pédagogiques'!$C$4&lt;&gt;"?",'Choix pédagogiques'!$C$5&lt;&gt;"?",AD985&lt;&gt;""),(AD985-'Choix pédagogiques'!$C$4)/('Choix pédagogiques'!$C$5-'Choix pédagogiques'!$C$4),"")</f>
        <v/>
      </c>
      <c r="AZ985" s="22" t="str">
        <f t="shared" si="674"/>
        <v/>
      </c>
      <c r="BA985" s="21" t="str">
        <f t="shared" si="675"/>
        <v>Apprenant 973</v>
      </c>
      <c r="BB985" s="49" t="str">
        <f t="shared" si="647"/>
        <v/>
      </c>
      <c r="BC985" s="49" t="str">
        <f t="shared" si="648"/>
        <v/>
      </c>
      <c r="BD985" s="49" t="str">
        <f t="shared" si="649"/>
        <v/>
      </c>
      <c r="BE985" s="22" t="str">
        <f t="shared" si="676"/>
        <v/>
      </c>
      <c r="BF985" s="21" t="str">
        <f t="shared" si="677"/>
        <v>Apprenant 973 ou 973'</v>
      </c>
      <c r="BG985" s="49" t="str">
        <f t="shared" si="650"/>
        <v/>
      </c>
      <c r="BH985" s="49" t="str">
        <f t="shared" si="651"/>
        <v/>
      </c>
      <c r="BI985" s="49" t="str">
        <f t="shared" si="652"/>
        <v/>
      </c>
      <c r="BJ985" s="22" t="str">
        <f t="shared" si="678"/>
        <v/>
      </c>
      <c r="BL985" s="21"/>
      <c r="BM985" s="21" t="str">
        <f>IF(OR(COUNT(B985:D1984)=0,AND('Choix pédagogiques'!$C$3&lt;&gt;1,'Choix pédagogiques'!$C$3&lt;&gt;2)),"",IF(AND(OR('Choix pédagogiques'!$C$3=1,'Choix pédagogiques'!$C$3=2),$B985&lt;&gt;"",$C985&lt;&gt;"",$D985&lt;&gt;""),1,0))</f>
        <v/>
      </c>
      <c r="BN985" s="21" t="str">
        <f>IF(OR(COUNT(G985:I1984)=0,AND('Choix pédagogiques'!$C$3&lt;&gt;1,'Choix pédagogiques'!$C$3&lt;&gt;2)),"",IF(AND(OR('Choix pédagogiques'!$C$3=1,'Choix pédagogiques'!$C$3=2),AND($G985&lt;&gt;"",$H985&lt;&gt;"",$I985&lt;&gt;"")),1,0))</f>
        <v/>
      </c>
      <c r="BO985" s="21" t="str">
        <f>IF(OR(COUNT(B985:D1984)=0,COUNT(G985:I1984)=0,'Choix pédagogiques'!C$3&lt;&gt;3),"",IF(AND('Choix pédagogiques'!$C$3=3,$B985&lt;&gt;"",$C985&lt;&gt;"",$D985&lt;&gt;"",$G985&lt;&gt;"",$H985&lt;&gt;"",$I985&lt;&gt;""),1,0))</f>
        <v/>
      </c>
      <c r="BR985" s="21">
        <v>690</v>
      </c>
      <c r="BS985" s="21">
        <v>1484</v>
      </c>
      <c r="BT985"/>
    </row>
    <row r="986" spans="1:72" s="23" customFormat="1" ht="18" customHeight="1" x14ac:dyDescent="0.3">
      <c r="A986" s="35" t="s">
        <v>976</v>
      </c>
      <c r="B986" s="37"/>
      <c r="C986" s="37"/>
      <c r="D986" s="37"/>
      <c r="E986" s="37"/>
      <c r="F986" s="35" t="s">
        <v>1984</v>
      </c>
      <c r="G986" s="37"/>
      <c r="H986" s="37"/>
      <c r="I986" s="37"/>
      <c r="J986" s="37"/>
      <c r="K986" s="21" t="str">
        <f t="shared" si="653"/>
        <v>Apprenant 974</v>
      </c>
      <c r="L986" s="22" t="str">
        <f t="shared" si="654"/>
        <v/>
      </c>
      <c r="M986" s="22" t="str">
        <f t="shared" si="655"/>
        <v/>
      </c>
      <c r="N986" s="22" t="str">
        <f t="shared" si="656"/>
        <v/>
      </c>
      <c r="O986" s="22" t="str">
        <f t="shared" si="657"/>
        <v/>
      </c>
      <c r="P986" s="21" t="str">
        <f t="shared" si="658"/>
        <v>Apprenant 974 ou 974'</v>
      </c>
      <c r="Q986" s="22" t="str">
        <f t="shared" si="659"/>
        <v/>
      </c>
      <c r="R986" s="22" t="str">
        <f t="shared" si="660"/>
        <v/>
      </c>
      <c r="S986" s="22" t="str">
        <f t="shared" si="661"/>
        <v/>
      </c>
      <c r="T986" s="22" t="str">
        <f t="shared" si="662"/>
        <v/>
      </c>
      <c r="V986" s="21" t="str">
        <f t="shared" si="663"/>
        <v>Apprenant 974</v>
      </c>
      <c r="W986" s="22" t="str">
        <f>IF(AND(OR('Choix pédagogiques'!$C$3=1,'Choix pédagogiques'!$C$3=2),$BM986=1),B986,IF(AND('Choix pédagogiques'!$C$3=3,$BO986=1),B986,""))</f>
        <v/>
      </c>
      <c r="X986" s="22" t="str">
        <f>IF(AND(OR('Choix pédagogiques'!$C$3=1,'Choix pédagogiques'!$C$3=2),$BM986=1),C986,IF(AND('Choix pédagogiques'!$C$3=3,$BO986=1),C986,""))</f>
        <v/>
      </c>
      <c r="Y986" s="22" t="str">
        <f>IF(AND(OR('Choix pédagogiques'!$C$3=1,'Choix pédagogiques'!$C$3=2),$BM986=1),D986,IF(AND('Choix pédagogiques'!$C$3=3,$BO986=1),D986,""))</f>
        <v/>
      </c>
      <c r="Z986" s="22" t="str">
        <f t="shared" si="664"/>
        <v/>
      </c>
      <c r="AA986" s="21" t="str">
        <f t="shared" si="665"/>
        <v>Apprenant 974 ou 974'</v>
      </c>
      <c r="AB986" s="22" t="str">
        <f>IF(AND(OR('Choix pédagogiques'!$C$3=1,'Choix pédagogiques'!$C$3=2),$BN986=1),G986,IF(AND('Choix pédagogiques'!$C$3=3,$BO986=1),G986,""))</f>
        <v/>
      </c>
      <c r="AC986" s="22" t="str">
        <f>IF(AND(OR('Choix pédagogiques'!$C$3=1,'Choix pédagogiques'!$C$3=2),$BN986=1),H986,IF(AND('Choix pédagogiques'!$C$3=3,$BO986=1),H986,""))</f>
        <v/>
      </c>
      <c r="AD986" s="22" t="str">
        <f>IF(AND(OR('Choix pédagogiques'!$C$3=1,'Choix pédagogiques'!$C$3=2),$BN986=1),I986,IF(AND('Choix pédagogiques'!$C$3=3,$BO986=1),I986,""))</f>
        <v/>
      </c>
      <c r="AE986" s="22" t="str">
        <f t="shared" si="666"/>
        <v/>
      </c>
      <c r="AF986" s="21" t="str">
        <f t="shared" si="667"/>
        <v>Apprenant 974</v>
      </c>
      <c r="AG986" s="22" t="str">
        <f t="shared" si="641"/>
        <v/>
      </c>
      <c r="AH986" s="22" t="str">
        <f t="shared" si="642"/>
        <v/>
      </c>
      <c r="AI986" s="22" t="str">
        <f t="shared" si="643"/>
        <v/>
      </c>
      <c r="AJ986" s="22" t="str">
        <f t="shared" si="668"/>
        <v/>
      </c>
      <c r="AK986" s="21" t="str">
        <f t="shared" si="669"/>
        <v>Apprenant 974 ou 974'</v>
      </c>
      <c r="AL986" s="22" t="str">
        <f t="shared" si="644"/>
        <v/>
      </c>
      <c r="AM986" s="22" t="str">
        <f t="shared" si="645"/>
        <v/>
      </c>
      <c r="AN986" s="22" t="str">
        <f t="shared" si="646"/>
        <v/>
      </c>
      <c r="AO986" s="22" t="str">
        <f t="shared" si="670"/>
        <v/>
      </c>
      <c r="AQ986" s="21" t="str">
        <f t="shared" si="671"/>
        <v>Apprenant 974</v>
      </c>
      <c r="AR986" s="49" t="str">
        <f>IF(AND('Choix pédagogiques'!$C$4&lt;&gt;"?",'Choix pédagogiques'!$C$5&lt;&gt;"?",W986&lt;&gt;""),(W986-'Choix pédagogiques'!$C$4)/('Choix pédagogiques'!$C$5-'Choix pédagogiques'!$C$4),"")</f>
        <v/>
      </c>
      <c r="AS986" s="49" t="str">
        <f>IF(AND('Choix pédagogiques'!$C$4&lt;&gt;"?",'Choix pédagogiques'!$C$5&lt;&gt;"?",X986&lt;&gt;""),(X986-'Choix pédagogiques'!$C$4)/('Choix pédagogiques'!$C$5-'Choix pédagogiques'!$C$4),"")</f>
        <v/>
      </c>
      <c r="AT986" s="49" t="str">
        <f>IF(AND('Choix pédagogiques'!$C$4&lt;&gt;"?",'Choix pédagogiques'!$C$5&lt;&gt;"?",Y986&lt;&gt;""),(Y986-'Choix pédagogiques'!$C$4)/('Choix pédagogiques'!$C$5-'Choix pédagogiques'!$C$4),"")</f>
        <v/>
      </c>
      <c r="AU986" s="22" t="str">
        <f t="shared" si="672"/>
        <v/>
      </c>
      <c r="AV986" s="21" t="str">
        <f t="shared" si="673"/>
        <v>Apprenant 974 ou 974'</v>
      </c>
      <c r="AW986" s="49" t="str">
        <f>IF(AND('Choix pédagogiques'!$C$4&lt;&gt;"?",'Choix pédagogiques'!$C$5&lt;&gt;"?",AB986&lt;&gt;""),(AB986-'Choix pédagogiques'!$C$4)/('Choix pédagogiques'!$C$5-'Choix pédagogiques'!$C$4),"")</f>
        <v/>
      </c>
      <c r="AX986" s="49" t="str">
        <f>IF(AND('Choix pédagogiques'!$C$4&lt;&gt;"?",'Choix pédagogiques'!$C$5&lt;&gt;"?",AC986&lt;&gt;""),(AC986-'Choix pédagogiques'!$C$4)/('Choix pédagogiques'!$C$5-'Choix pédagogiques'!$C$4),"")</f>
        <v/>
      </c>
      <c r="AY986" s="49" t="str">
        <f>IF(AND('Choix pédagogiques'!$C$4&lt;&gt;"?",'Choix pédagogiques'!$C$5&lt;&gt;"?",AD986&lt;&gt;""),(AD986-'Choix pédagogiques'!$C$4)/('Choix pédagogiques'!$C$5-'Choix pédagogiques'!$C$4),"")</f>
        <v/>
      </c>
      <c r="AZ986" s="22" t="str">
        <f t="shared" si="674"/>
        <v/>
      </c>
      <c r="BA986" s="21" t="str">
        <f t="shared" si="675"/>
        <v>Apprenant 974</v>
      </c>
      <c r="BB986" s="49" t="str">
        <f t="shared" si="647"/>
        <v/>
      </c>
      <c r="BC986" s="49" t="str">
        <f t="shared" si="648"/>
        <v/>
      </c>
      <c r="BD986" s="49" t="str">
        <f t="shared" si="649"/>
        <v/>
      </c>
      <c r="BE986" s="22" t="str">
        <f t="shared" si="676"/>
        <v/>
      </c>
      <c r="BF986" s="21" t="str">
        <f t="shared" si="677"/>
        <v>Apprenant 974 ou 974'</v>
      </c>
      <c r="BG986" s="49" t="str">
        <f t="shared" si="650"/>
        <v/>
      </c>
      <c r="BH986" s="49" t="str">
        <f t="shared" si="651"/>
        <v/>
      </c>
      <c r="BI986" s="49" t="str">
        <f t="shared" si="652"/>
        <v/>
      </c>
      <c r="BJ986" s="22" t="str">
        <f t="shared" si="678"/>
        <v/>
      </c>
      <c r="BL986" s="21"/>
      <c r="BM986" s="21" t="str">
        <f>IF(OR(COUNT(B986:D1985)=0,AND('Choix pédagogiques'!$C$3&lt;&gt;1,'Choix pédagogiques'!$C$3&lt;&gt;2)),"",IF(AND(OR('Choix pédagogiques'!$C$3=1,'Choix pédagogiques'!$C$3=2),$B986&lt;&gt;"",$C986&lt;&gt;"",$D986&lt;&gt;""),1,0))</f>
        <v/>
      </c>
      <c r="BN986" s="21" t="str">
        <f>IF(OR(COUNT(G986:I1985)=0,AND('Choix pédagogiques'!$C$3&lt;&gt;1,'Choix pédagogiques'!$C$3&lt;&gt;2)),"",IF(AND(OR('Choix pédagogiques'!$C$3=1,'Choix pédagogiques'!$C$3=2),AND($G986&lt;&gt;"",$H986&lt;&gt;"",$I986&lt;&gt;"")),1,0))</f>
        <v/>
      </c>
      <c r="BO986" s="21" t="str">
        <f>IF(OR(COUNT(B986:D1985)=0,COUNT(G986:I1985)=0,'Choix pédagogiques'!C$3&lt;&gt;3),"",IF(AND('Choix pédagogiques'!$C$3=3,$B986&lt;&gt;"",$C986&lt;&gt;"",$D986&lt;&gt;"",$G986&lt;&gt;"",$H986&lt;&gt;"",$I986&lt;&gt;""),1,0))</f>
        <v/>
      </c>
      <c r="BR986" s="21">
        <v>978</v>
      </c>
      <c r="BS986" s="21">
        <v>1403</v>
      </c>
      <c r="BT986"/>
    </row>
    <row r="987" spans="1:72" s="23" customFormat="1" ht="18" customHeight="1" x14ac:dyDescent="0.3">
      <c r="A987" s="35" t="s">
        <v>977</v>
      </c>
      <c r="B987" s="37"/>
      <c r="C987" s="37"/>
      <c r="D987" s="37"/>
      <c r="E987" s="37"/>
      <c r="F987" s="35" t="s">
        <v>1985</v>
      </c>
      <c r="G987" s="37"/>
      <c r="H987" s="37"/>
      <c r="I987" s="37"/>
      <c r="J987" s="37"/>
      <c r="K987" s="21" t="str">
        <f t="shared" si="653"/>
        <v>Apprenant 975</v>
      </c>
      <c r="L987" s="22" t="str">
        <f t="shared" si="654"/>
        <v/>
      </c>
      <c r="M987" s="22" t="str">
        <f t="shared" si="655"/>
        <v/>
      </c>
      <c r="N987" s="22" t="str">
        <f t="shared" si="656"/>
        <v/>
      </c>
      <c r="O987" s="22" t="str">
        <f t="shared" si="657"/>
        <v/>
      </c>
      <c r="P987" s="21" t="str">
        <f t="shared" si="658"/>
        <v>Apprenant 975 ou 975'</v>
      </c>
      <c r="Q987" s="22" t="str">
        <f t="shared" si="659"/>
        <v/>
      </c>
      <c r="R987" s="22" t="str">
        <f t="shared" si="660"/>
        <v/>
      </c>
      <c r="S987" s="22" t="str">
        <f t="shared" si="661"/>
        <v/>
      </c>
      <c r="T987" s="22" t="str">
        <f t="shared" si="662"/>
        <v/>
      </c>
      <c r="V987" s="21" t="str">
        <f t="shared" si="663"/>
        <v>Apprenant 975</v>
      </c>
      <c r="W987" s="22" t="str">
        <f>IF(AND(OR('Choix pédagogiques'!$C$3=1,'Choix pédagogiques'!$C$3=2),$BM987=1),B987,IF(AND('Choix pédagogiques'!$C$3=3,$BO987=1),B987,""))</f>
        <v/>
      </c>
      <c r="X987" s="22" t="str">
        <f>IF(AND(OR('Choix pédagogiques'!$C$3=1,'Choix pédagogiques'!$C$3=2),$BM987=1),C987,IF(AND('Choix pédagogiques'!$C$3=3,$BO987=1),C987,""))</f>
        <v/>
      </c>
      <c r="Y987" s="22" t="str">
        <f>IF(AND(OR('Choix pédagogiques'!$C$3=1,'Choix pédagogiques'!$C$3=2),$BM987=1),D987,IF(AND('Choix pédagogiques'!$C$3=3,$BO987=1),D987,""))</f>
        <v/>
      </c>
      <c r="Z987" s="22" t="str">
        <f t="shared" si="664"/>
        <v/>
      </c>
      <c r="AA987" s="21" t="str">
        <f t="shared" si="665"/>
        <v>Apprenant 975 ou 975'</v>
      </c>
      <c r="AB987" s="22" t="str">
        <f>IF(AND(OR('Choix pédagogiques'!$C$3=1,'Choix pédagogiques'!$C$3=2),$BN987=1),G987,IF(AND('Choix pédagogiques'!$C$3=3,$BO987=1),G987,""))</f>
        <v/>
      </c>
      <c r="AC987" s="22" t="str">
        <f>IF(AND(OR('Choix pédagogiques'!$C$3=1,'Choix pédagogiques'!$C$3=2),$BN987=1),H987,IF(AND('Choix pédagogiques'!$C$3=3,$BO987=1),H987,""))</f>
        <v/>
      </c>
      <c r="AD987" s="22" t="str">
        <f>IF(AND(OR('Choix pédagogiques'!$C$3=1,'Choix pédagogiques'!$C$3=2),$BN987=1),I987,IF(AND('Choix pédagogiques'!$C$3=3,$BO987=1),I987,""))</f>
        <v/>
      </c>
      <c r="AE987" s="22" t="str">
        <f t="shared" si="666"/>
        <v/>
      </c>
      <c r="AF987" s="21" t="str">
        <f t="shared" si="667"/>
        <v>Apprenant 975</v>
      </c>
      <c r="AG987" s="22" t="str">
        <f t="shared" si="641"/>
        <v/>
      </c>
      <c r="AH987" s="22" t="str">
        <f t="shared" si="642"/>
        <v/>
      </c>
      <c r="AI987" s="22" t="str">
        <f t="shared" si="643"/>
        <v/>
      </c>
      <c r="AJ987" s="22" t="str">
        <f t="shared" si="668"/>
        <v/>
      </c>
      <c r="AK987" s="21" t="str">
        <f t="shared" si="669"/>
        <v>Apprenant 975 ou 975'</v>
      </c>
      <c r="AL987" s="22" t="str">
        <f t="shared" si="644"/>
        <v/>
      </c>
      <c r="AM987" s="22" t="str">
        <f t="shared" si="645"/>
        <v/>
      </c>
      <c r="AN987" s="22" t="str">
        <f t="shared" si="646"/>
        <v/>
      </c>
      <c r="AO987" s="22" t="str">
        <f t="shared" si="670"/>
        <v/>
      </c>
      <c r="AQ987" s="21" t="str">
        <f t="shared" si="671"/>
        <v>Apprenant 975</v>
      </c>
      <c r="AR987" s="49" t="str">
        <f>IF(AND('Choix pédagogiques'!$C$4&lt;&gt;"?",'Choix pédagogiques'!$C$5&lt;&gt;"?",W987&lt;&gt;""),(W987-'Choix pédagogiques'!$C$4)/('Choix pédagogiques'!$C$5-'Choix pédagogiques'!$C$4),"")</f>
        <v/>
      </c>
      <c r="AS987" s="49" t="str">
        <f>IF(AND('Choix pédagogiques'!$C$4&lt;&gt;"?",'Choix pédagogiques'!$C$5&lt;&gt;"?",X987&lt;&gt;""),(X987-'Choix pédagogiques'!$C$4)/('Choix pédagogiques'!$C$5-'Choix pédagogiques'!$C$4),"")</f>
        <v/>
      </c>
      <c r="AT987" s="49" t="str">
        <f>IF(AND('Choix pédagogiques'!$C$4&lt;&gt;"?",'Choix pédagogiques'!$C$5&lt;&gt;"?",Y987&lt;&gt;""),(Y987-'Choix pédagogiques'!$C$4)/('Choix pédagogiques'!$C$5-'Choix pédagogiques'!$C$4),"")</f>
        <v/>
      </c>
      <c r="AU987" s="22" t="str">
        <f t="shared" si="672"/>
        <v/>
      </c>
      <c r="AV987" s="21" t="str">
        <f t="shared" si="673"/>
        <v>Apprenant 975 ou 975'</v>
      </c>
      <c r="AW987" s="49" t="str">
        <f>IF(AND('Choix pédagogiques'!$C$4&lt;&gt;"?",'Choix pédagogiques'!$C$5&lt;&gt;"?",AB987&lt;&gt;""),(AB987-'Choix pédagogiques'!$C$4)/('Choix pédagogiques'!$C$5-'Choix pédagogiques'!$C$4),"")</f>
        <v/>
      </c>
      <c r="AX987" s="49" t="str">
        <f>IF(AND('Choix pédagogiques'!$C$4&lt;&gt;"?",'Choix pédagogiques'!$C$5&lt;&gt;"?",AC987&lt;&gt;""),(AC987-'Choix pédagogiques'!$C$4)/('Choix pédagogiques'!$C$5-'Choix pédagogiques'!$C$4),"")</f>
        <v/>
      </c>
      <c r="AY987" s="49" t="str">
        <f>IF(AND('Choix pédagogiques'!$C$4&lt;&gt;"?",'Choix pédagogiques'!$C$5&lt;&gt;"?",AD987&lt;&gt;""),(AD987-'Choix pédagogiques'!$C$4)/('Choix pédagogiques'!$C$5-'Choix pédagogiques'!$C$4),"")</f>
        <v/>
      </c>
      <c r="AZ987" s="22" t="str">
        <f t="shared" si="674"/>
        <v/>
      </c>
      <c r="BA987" s="21" t="str">
        <f t="shared" si="675"/>
        <v>Apprenant 975</v>
      </c>
      <c r="BB987" s="49" t="str">
        <f t="shared" si="647"/>
        <v/>
      </c>
      <c r="BC987" s="49" t="str">
        <f t="shared" si="648"/>
        <v/>
      </c>
      <c r="BD987" s="49" t="str">
        <f t="shared" si="649"/>
        <v/>
      </c>
      <c r="BE987" s="22" t="str">
        <f t="shared" si="676"/>
        <v/>
      </c>
      <c r="BF987" s="21" t="str">
        <f t="shared" si="677"/>
        <v>Apprenant 975 ou 975'</v>
      </c>
      <c r="BG987" s="49" t="str">
        <f t="shared" si="650"/>
        <v/>
      </c>
      <c r="BH987" s="49" t="str">
        <f t="shared" si="651"/>
        <v/>
      </c>
      <c r="BI987" s="49" t="str">
        <f t="shared" si="652"/>
        <v/>
      </c>
      <c r="BJ987" s="22" t="str">
        <f t="shared" si="678"/>
        <v/>
      </c>
      <c r="BL987" s="21"/>
      <c r="BM987" s="21" t="str">
        <f>IF(OR(COUNT(B987:D1986)=0,AND('Choix pédagogiques'!$C$3&lt;&gt;1,'Choix pédagogiques'!$C$3&lt;&gt;2)),"",IF(AND(OR('Choix pédagogiques'!$C$3=1,'Choix pédagogiques'!$C$3=2),$B987&lt;&gt;"",$C987&lt;&gt;"",$D987&lt;&gt;""),1,0))</f>
        <v/>
      </c>
      <c r="BN987" s="21" t="str">
        <f>IF(OR(COUNT(G987:I1986)=0,AND('Choix pédagogiques'!$C$3&lt;&gt;1,'Choix pédagogiques'!$C$3&lt;&gt;2)),"",IF(AND(OR('Choix pédagogiques'!$C$3=1,'Choix pédagogiques'!$C$3=2),AND($G987&lt;&gt;"",$H987&lt;&gt;"",$I987&lt;&gt;"")),1,0))</f>
        <v/>
      </c>
      <c r="BO987" s="21" t="str">
        <f>IF(OR(COUNT(B987:D1986)=0,COUNT(G987:I1986)=0,'Choix pédagogiques'!C$3&lt;&gt;3),"",IF(AND('Choix pédagogiques'!$C$3=3,$B987&lt;&gt;"",$C987&lt;&gt;"",$D987&lt;&gt;"",$G987&lt;&gt;"",$H987&lt;&gt;"",$I987&lt;&gt;""),1,0))</f>
        <v/>
      </c>
      <c r="BR987" s="21">
        <v>946</v>
      </c>
      <c r="BS987" s="21">
        <v>1192</v>
      </c>
      <c r="BT987"/>
    </row>
    <row r="988" spans="1:72" s="23" customFormat="1" ht="18" customHeight="1" x14ac:dyDescent="0.3">
      <c r="A988" s="35" t="s">
        <v>978</v>
      </c>
      <c r="B988" s="37"/>
      <c r="C988" s="37"/>
      <c r="D988" s="37"/>
      <c r="E988" s="37"/>
      <c r="F988" s="35" t="s">
        <v>1986</v>
      </c>
      <c r="G988" s="37"/>
      <c r="H988" s="37"/>
      <c r="I988" s="37"/>
      <c r="J988" s="37"/>
      <c r="K988" s="21" t="str">
        <f t="shared" si="653"/>
        <v>Apprenant 976</v>
      </c>
      <c r="L988" s="22" t="str">
        <f t="shared" si="654"/>
        <v/>
      </c>
      <c r="M988" s="22" t="str">
        <f t="shared" si="655"/>
        <v/>
      </c>
      <c r="N988" s="22" t="str">
        <f t="shared" si="656"/>
        <v/>
      </c>
      <c r="O988" s="22" t="str">
        <f t="shared" si="657"/>
        <v/>
      </c>
      <c r="P988" s="21" t="str">
        <f t="shared" si="658"/>
        <v>Apprenant 976 ou 976'</v>
      </c>
      <c r="Q988" s="22" t="str">
        <f t="shared" si="659"/>
        <v/>
      </c>
      <c r="R988" s="22" t="str">
        <f t="shared" si="660"/>
        <v/>
      </c>
      <c r="S988" s="22" t="str">
        <f t="shared" si="661"/>
        <v/>
      </c>
      <c r="T988" s="22" t="str">
        <f t="shared" si="662"/>
        <v/>
      </c>
      <c r="V988" s="21" t="str">
        <f t="shared" si="663"/>
        <v>Apprenant 976</v>
      </c>
      <c r="W988" s="22" t="str">
        <f>IF(AND(OR('Choix pédagogiques'!$C$3=1,'Choix pédagogiques'!$C$3=2),$BM988=1),B988,IF(AND('Choix pédagogiques'!$C$3=3,$BO988=1),B988,""))</f>
        <v/>
      </c>
      <c r="X988" s="22" t="str">
        <f>IF(AND(OR('Choix pédagogiques'!$C$3=1,'Choix pédagogiques'!$C$3=2),$BM988=1),C988,IF(AND('Choix pédagogiques'!$C$3=3,$BO988=1),C988,""))</f>
        <v/>
      </c>
      <c r="Y988" s="22" t="str">
        <f>IF(AND(OR('Choix pédagogiques'!$C$3=1,'Choix pédagogiques'!$C$3=2),$BM988=1),D988,IF(AND('Choix pédagogiques'!$C$3=3,$BO988=1),D988,""))</f>
        <v/>
      </c>
      <c r="Z988" s="22" t="str">
        <f t="shared" si="664"/>
        <v/>
      </c>
      <c r="AA988" s="21" t="str">
        <f t="shared" si="665"/>
        <v>Apprenant 976 ou 976'</v>
      </c>
      <c r="AB988" s="22" t="str">
        <f>IF(AND(OR('Choix pédagogiques'!$C$3=1,'Choix pédagogiques'!$C$3=2),$BN988=1),G988,IF(AND('Choix pédagogiques'!$C$3=3,$BO988=1),G988,""))</f>
        <v/>
      </c>
      <c r="AC988" s="22" t="str">
        <f>IF(AND(OR('Choix pédagogiques'!$C$3=1,'Choix pédagogiques'!$C$3=2),$BN988=1),H988,IF(AND('Choix pédagogiques'!$C$3=3,$BO988=1),H988,""))</f>
        <v/>
      </c>
      <c r="AD988" s="22" t="str">
        <f>IF(AND(OR('Choix pédagogiques'!$C$3=1,'Choix pédagogiques'!$C$3=2),$BN988=1),I988,IF(AND('Choix pédagogiques'!$C$3=3,$BO988=1),I988,""))</f>
        <v/>
      </c>
      <c r="AE988" s="22" t="str">
        <f t="shared" si="666"/>
        <v/>
      </c>
      <c r="AF988" s="21" t="str">
        <f t="shared" si="667"/>
        <v>Apprenant 976</v>
      </c>
      <c r="AG988" s="22" t="str">
        <f t="shared" si="641"/>
        <v/>
      </c>
      <c r="AH988" s="22" t="str">
        <f t="shared" si="642"/>
        <v/>
      </c>
      <c r="AI988" s="22" t="str">
        <f t="shared" si="643"/>
        <v/>
      </c>
      <c r="AJ988" s="22" t="str">
        <f t="shared" si="668"/>
        <v/>
      </c>
      <c r="AK988" s="21" t="str">
        <f t="shared" si="669"/>
        <v>Apprenant 976 ou 976'</v>
      </c>
      <c r="AL988" s="22" t="str">
        <f t="shared" si="644"/>
        <v/>
      </c>
      <c r="AM988" s="22" t="str">
        <f t="shared" si="645"/>
        <v/>
      </c>
      <c r="AN988" s="22" t="str">
        <f t="shared" si="646"/>
        <v/>
      </c>
      <c r="AO988" s="22" t="str">
        <f t="shared" si="670"/>
        <v/>
      </c>
      <c r="AQ988" s="21" t="str">
        <f t="shared" si="671"/>
        <v>Apprenant 976</v>
      </c>
      <c r="AR988" s="49" t="str">
        <f>IF(AND('Choix pédagogiques'!$C$4&lt;&gt;"?",'Choix pédagogiques'!$C$5&lt;&gt;"?",W988&lt;&gt;""),(W988-'Choix pédagogiques'!$C$4)/('Choix pédagogiques'!$C$5-'Choix pédagogiques'!$C$4),"")</f>
        <v/>
      </c>
      <c r="AS988" s="49" t="str">
        <f>IF(AND('Choix pédagogiques'!$C$4&lt;&gt;"?",'Choix pédagogiques'!$C$5&lt;&gt;"?",X988&lt;&gt;""),(X988-'Choix pédagogiques'!$C$4)/('Choix pédagogiques'!$C$5-'Choix pédagogiques'!$C$4),"")</f>
        <v/>
      </c>
      <c r="AT988" s="49" t="str">
        <f>IF(AND('Choix pédagogiques'!$C$4&lt;&gt;"?",'Choix pédagogiques'!$C$5&lt;&gt;"?",Y988&lt;&gt;""),(Y988-'Choix pédagogiques'!$C$4)/('Choix pédagogiques'!$C$5-'Choix pédagogiques'!$C$4),"")</f>
        <v/>
      </c>
      <c r="AU988" s="22" t="str">
        <f t="shared" si="672"/>
        <v/>
      </c>
      <c r="AV988" s="21" t="str">
        <f t="shared" si="673"/>
        <v>Apprenant 976 ou 976'</v>
      </c>
      <c r="AW988" s="49" t="str">
        <f>IF(AND('Choix pédagogiques'!$C$4&lt;&gt;"?",'Choix pédagogiques'!$C$5&lt;&gt;"?",AB988&lt;&gt;""),(AB988-'Choix pédagogiques'!$C$4)/('Choix pédagogiques'!$C$5-'Choix pédagogiques'!$C$4),"")</f>
        <v/>
      </c>
      <c r="AX988" s="49" t="str">
        <f>IF(AND('Choix pédagogiques'!$C$4&lt;&gt;"?",'Choix pédagogiques'!$C$5&lt;&gt;"?",AC988&lt;&gt;""),(AC988-'Choix pédagogiques'!$C$4)/('Choix pédagogiques'!$C$5-'Choix pédagogiques'!$C$4),"")</f>
        <v/>
      </c>
      <c r="AY988" s="49" t="str">
        <f>IF(AND('Choix pédagogiques'!$C$4&lt;&gt;"?",'Choix pédagogiques'!$C$5&lt;&gt;"?",AD988&lt;&gt;""),(AD988-'Choix pédagogiques'!$C$4)/('Choix pédagogiques'!$C$5-'Choix pédagogiques'!$C$4),"")</f>
        <v/>
      </c>
      <c r="AZ988" s="22" t="str">
        <f t="shared" si="674"/>
        <v/>
      </c>
      <c r="BA988" s="21" t="str">
        <f t="shared" si="675"/>
        <v>Apprenant 976</v>
      </c>
      <c r="BB988" s="49" t="str">
        <f t="shared" si="647"/>
        <v/>
      </c>
      <c r="BC988" s="49" t="str">
        <f t="shared" si="648"/>
        <v/>
      </c>
      <c r="BD988" s="49" t="str">
        <f t="shared" si="649"/>
        <v/>
      </c>
      <c r="BE988" s="22" t="str">
        <f t="shared" si="676"/>
        <v/>
      </c>
      <c r="BF988" s="21" t="str">
        <f t="shared" si="677"/>
        <v>Apprenant 976 ou 976'</v>
      </c>
      <c r="BG988" s="49" t="str">
        <f t="shared" si="650"/>
        <v/>
      </c>
      <c r="BH988" s="49" t="str">
        <f t="shared" si="651"/>
        <v/>
      </c>
      <c r="BI988" s="49" t="str">
        <f t="shared" si="652"/>
        <v/>
      </c>
      <c r="BJ988" s="22" t="str">
        <f t="shared" si="678"/>
        <v/>
      </c>
      <c r="BL988" s="21"/>
      <c r="BM988" s="21" t="str">
        <f>IF(OR(COUNT(B988:D1987)=0,AND('Choix pédagogiques'!$C$3&lt;&gt;1,'Choix pédagogiques'!$C$3&lt;&gt;2)),"",IF(AND(OR('Choix pédagogiques'!$C$3=1,'Choix pédagogiques'!$C$3=2),$B988&lt;&gt;"",$C988&lt;&gt;"",$D988&lt;&gt;""),1,0))</f>
        <v/>
      </c>
      <c r="BN988" s="21" t="str">
        <f>IF(OR(COUNT(G988:I1987)=0,AND('Choix pédagogiques'!$C$3&lt;&gt;1,'Choix pédagogiques'!$C$3&lt;&gt;2)),"",IF(AND(OR('Choix pédagogiques'!$C$3=1,'Choix pédagogiques'!$C$3=2),AND($G988&lt;&gt;"",$H988&lt;&gt;"",$I988&lt;&gt;"")),1,0))</f>
        <v/>
      </c>
      <c r="BO988" s="21" t="str">
        <f>IF(OR(COUNT(B988:D1987)=0,COUNT(G988:I1987)=0,'Choix pédagogiques'!C$3&lt;&gt;3),"",IF(AND('Choix pédagogiques'!$C$3=3,$B988&lt;&gt;"",$C988&lt;&gt;"",$D988&lt;&gt;"",$G988&lt;&gt;"",$H988&lt;&gt;"",$I988&lt;&gt;""),1,0))</f>
        <v/>
      </c>
      <c r="BR988" s="21">
        <v>291</v>
      </c>
      <c r="BS988" s="21">
        <v>1621</v>
      </c>
      <c r="BT988"/>
    </row>
    <row r="989" spans="1:72" s="23" customFormat="1" ht="18" customHeight="1" x14ac:dyDescent="0.3">
      <c r="A989" s="35" t="s">
        <v>979</v>
      </c>
      <c r="B989" s="37"/>
      <c r="C989" s="37"/>
      <c r="D989" s="37"/>
      <c r="E989" s="37"/>
      <c r="F989" s="35" t="s">
        <v>1987</v>
      </c>
      <c r="G989" s="37"/>
      <c r="H989" s="37"/>
      <c r="I989" s="37"/>
      <c r="J989" s="37"/>
      <c r="K989" s="21" t="str">
        <f t="shared" si="653"/>
        <v>Apprenant 977</v>
      </c>
      <c r="L989" s="22" t="str">
        <f t="shared" si="654"/>
        <v/>
      </c>
      <c r="M989" s="22" t="str">
        <f t="shared" si="655"/>
        <v/>
      </c>
      <c r="N989" s="22" t="str">
        <f t="shared" si="656"/>
        <v/>
      </c>
      <c r="O989" s="22" t="str">
        <f t="shared" si="657"/>
        <v/>
      </c>
      <c r="P989" s="21" t="str">
        <f t="shared" si="658"/>
        <v>Apprenant 977 ou 977'</v>
      </c>
      <c r="Q989" s="22" t="str">
        <f t="shared" si="659"/>
        <v/>
      </c>
      <c r="R989" s="22" t="str">
        <f t="shared" si="660"/>
        <v/>
      </c>
      <c r="S989" s="22" t="str">
        <f t="shared" si="661"/>
        <v/>
      </c>
      <c r="T989" s="22" t="str">
        <f t="shared" si="662"/>
        <v/>
      </c>
      <c r="V989" s="21" t="str">
        <f t="shared" si="663"/>
        <v>Apprenant 977</v>
      </c>
      <c r="W989" s="22" t="str">
        <f>IF(AND(OR('Choix pédagogiques'!$C$3=1,'Choix pédagogiques'!$C$3=2),$BM989=1),B989,IF(AND('Choix pédagogiques'!$C$3=3,$BO989=1),B989,""))</f>
        <v/>
      </c>
      <c r="X989" s="22" t="str">
        <f>IF(AND(OR('Choix pédagogiques'!$C$3=1,'Choix pédagogiques'!$C$3=2),$BM989=1),C989,IF(AND('Choix pédagogiques'!$C$3=3,$BO989=1),C989,""))</f>
        <v/>
      </c>
      <c r="Y989" s="22" t="str">
        <f>IF(AND(OR('Choix pédagogiques'!$C$3=1,'Choix pédagogiques'!$C$3=2),$BM989=1),D989,IF(AND('Choix pédagogiques'!$C$3=3,$BO989=1),D989,""))</f>
        <v/>
      </c>
      <c r="Z989" s="22" t="str">
        <f t="shared" si="664"/>
        <v/>
      </c>
      <c r="AA989" s="21" t="str">
        <f t="shared" si="665"/>
        <v>Apprenant 977 ou 977'</v>
      </c>
      <c r="AB989" s="22" t="str">
        <f>IF(AND(OR('Choix pédagogiques'!$C$3=1,'Choix pédagogiques'!$C$3=2),$BN989=1),G989,IF(AND('Choix pédagogiques'!$C$3=3,$BO989=1),G989,""))</f>
        <v/>
      </c>
      <c r="AC989" s="22" t="str">
        <f>IF(AND(OR('Choix pédagogiques'!$C$3=1,'Choix pédagogiques'!$C$3=2),$BN989=1),H989,IF(AND('Choix pédagogiques'!$C$3=3,$BO989=1),H989,""))</f>
        <v/>
      </c>
      <c r="AD989" s="22" t="str">
        <f>IF(AND(OR('Choix pédagogiques'!$C$3=1,'Choix pédagogiques'!$C$3=2),$BN989=1),I989,IF(AND('Choix pédagogiques'!$C$3=3,$BO989=1),I989,""))</f>
        <v/>
      </c>
      <c r="AE989" s="22" t="str">
        <f t="shared" si="666"/>
        <v/>
      </c>
      <c r="AF989" s="21" t="str">
        <f t="shared" si="667"/>
        <v>Apprenant 977</v>
      </c>
      <c r="AG989" s="22" t="str">
        <f t="shared" si="641"/>
        <v/>
      </c>
      <c r="AH989" s="22" t="str">
        <f t="shared" si="642"/>
        <v/>
      </c>
      <c r="AI989" s="22" t="str">
        <f t="shared" si="643"/>
        <v/>
      </c>
      <c r="AJ989" s="22" t="str">
        <f t="shared" si="668"/>
        <v/>
      </c>
      <c r="AK989" s="21" t="str">
        <f t="shared" si="669"/>
        <v>Apprenant 977 ou 977'</v>
      </c>
      <c r="AL989" s="22" t="str">
        <f t="shared" si="644"/>
        <v/>
      </c>
      <c r="AM989" s="22" t="str">
        <f t="shared" si="645"/>
        <v/>
      </c>
      <c r="AN989" s="22" t="str">
        <f t="shared" si="646"/>
        <v/>
      </c>
      <c r="AO989" s="22" t="str">
        <f t="shared" si="670"/>
        <v/>
      </c>
      <c r="AQ989" s="21" t="str">
        <f t="shared" si="671"/>
        <v>Apprenant 977</v>
      </c>
      <c r="AR989" s="49" t="str">
        <f>IF(AND('Choix pédagogiques'!$C$4&lt;&gt;"?",'Choix pédagogiques'!$C$5&lt;&gt;"?",W989&lt;&gt;""),(W989-'Choix pédagogiques'!$C$4)/('Choix pédagogiques'!$C$5-'Choix pédagogiques'!$C$4),"")</f>
        <v/>
      </c>
      <c r="AS989" s="49" t="str">
        <f>IF(AND('Choix pédagogiques'!$C$4&lt;&gt;"?",'Choix pédagogiques'!$C$5&lt;&gt;"?",X989&lt;&gt;""),(X989-'Choix pédagogiques'!$C$4)/('Choix pédagogiques'!$C$5-'Choix pédagogiques'!$C$4),"")</f>
        <v/>
      </c>
      <c r="AT989" s="49" t="str">
        <f>IF(AND('Choix pédagogiques'!$C$4&lt;&gt;"?",'Choix pédagogiques'!$C$5&lt;&gt;"?",Y989&lt;&gt;""),(Y989-'Choix pédagogiques'!$C$4)/('Choix pédagogiques'!$C$5-'Choix pédagogiques'!$C$4),"")</f>
        <v/>
      </c>
      <c r="AU989" s="22" t="str">
        <f t="shared" si="672"/>
        <v/>
      </c>
      <c r="AV989" s="21" t="str">
        <f t="shared" si="673"/>
        <v>Apprenant 977 ou 977'</v>
      </c>
      <c r="AW989" s="49" t="str">
        <f>IF(AND('Choix pédagogiques'!$C$4&lt;&gt;"?",'Choix pédagogiques'!$C$5&lt;&gt;"?",AB989&lt;&gt;""),(AB989-'Choix pédagogiques'!$C$4)/('Choix pédagogiques'!$C$5-'Choix pédagogiques'!$C$4),"")</f>
        <v/>
      </c>
      <c r="AX989" s="49" t="str">
        <f>IF(AND('Choix pédagogiques'!$C$4&lt;&gt;"?",'Choix pédagogiques'!$C$5&lt;&gt;"?",AC989&lt;&gt;""),(AC989-'Choix pédagogiques'!$C$4)/('Choix pédagogiques'!$C$5-'Choix pédagogiques'!$C$4),"")</f>
        <v/>
      </c>
      <c r="AY989" s="49" t="str">
        <f>IF(AND('Choix pédagogiques'!$C$4&lt;&gt;"?",'Choix pédagogiques'!$C$5&lt;&gt;"?",AD989&lt;&gt;""),(AD989-'Choix pédagogiques'!$C$4)/('Choix pédagogiques'!$C$5-'Choix pédagogiques'!$C$4),"")</f>
        <v/>
      </c>
      <c r="AZ989" s="22" t="str">
        <f t="shared" si="674"/>
        <v/>
      </c>
      <c r="BA989" s="21" t="str">
        <f t="shared" si="675"/>
        <v>Apprenant 977</v>
      </c>
      <c r="BB989" s="49" t="str">
        <f t="shared" si="647"/>
        <v/>
      </c>
      <c r="BC989" s="49" t="str">
        <f t="shared" si="648"/>
        <v/>
      </c>
      <c r="BD989" s="49" t="str">
        <f t="shared" si="649"/>
        <v/>
      </c>
      <c r="BE989" s="22" t="str">
        <f t="shared" si="676"/>
        <v/>
      </c>
      <c r="BF989" s="21" t="str">
        <f t="shared" si="677"/>
        <v>Apprenant 977 ou 977'</v>
      </c>
      <c r="BG989" s="49" t="str">
        <f t="shared" si="650"/>
        <v/>
      </c>
      <c r="BH989" s="49" t="str">
        <f t="shared" si="651"/>
        <v/>
      </c>
      <c r="BI989" s="49" t="str">
        <f t="shared" si="652"/>
        <v/>
      </c>
      <c r="BJ989" s="22" t="str">
        <f t="shared" si="678"/>
        <v/>
      </c>
      <c r="BL989" s="21"/>
      <c r="BM989" s="21" t="str">
        <f>IF(OR(COUNT(B989:D1988)=0,AND('Choix pédagogiques'!$C$3&lt;&gt;1,'Choix pédagogiques'!$C$3&lt;&gt;2)),"",IF(AND(OR('Choix pédagogiques'!$C$3=1,'Choix pédagogiques'!$C$3=2),$B989&lt;&gt;"",$C989&lt;&gt;"",$D989&lt;&gt;""),1,0))</f>
        <v/>
      </c>
      <c r="BN989" s="21" t="str">
        <f>IF(OR(COUNT(G989:I1988)=0,AND('Choix pédagogiques'!$C$3&lt;&gt;1,'Choix pédagogiques'!$C$3&lt;&gt;2)),"",IF(AND(OR('Choix pédagogiques'!$C$3=1,'Choix pédagogiques'!$C$3=2),AND($G989&lt;&gt;"",$H989&lt;&gt;"",$I989&lt;&gt;"")),1,0))</f>
        <v/>
      </c>
      <c r="BO989" s="21" t="str">
        <f>IF(OR(COUNT(B989:D1988)=0,COUNT(G989:I1988)=0,'Choix pédagogiques'!C$3&lt;&gt;3),"",IF(AND('Choix pédagogiques'!$C$3=3,$B989&lt;&gt;"",$C989&lt;&gt;"",$D989&lt;&gt;"",$G989&lt;&gt;"",$H989&lt;&gt;"",$I989&lt;&gt;""),1,0))</f>
        <v/>
      </c>
      <c r="BR989" s="21">
        <v>519</v>
      </c>
      <c r="BS989" s="21">
        <v>1908</v>
      </c>
      <c r="BT989"/>
    </row>
    <row r="990" spans="1:72" s="23" customFormat="1" ht="18" customHeight="1" x14ac:dyDescent="0.3">
      <c r="A990" s="35" t="s">
        <v>980</v>
      </c>
      <c r="B990" s="37"/>
      <c r="C990" s="37"/>
      <c r="D990" s="37"/>
      <c r="E990" s="37"/>
      <c r="F990" s="35" t="s">
        <v>1988</v>
      </c>
      <c r="G990" s="37"/>
      <c r="H990" s="37"/>
      <c r="I990" s="37"/>
      <c r="J990" s="37"/>
      <c r="K990" s="21" t="str">
        <f t="shared" si="653"/>
        <v>Apprenant 978</v>
      </c>
      <c r="L990" s="22" t="str">
        <f t="shared" si="654"/>
        <v/>
      </c>
      <c r="M990" s="22" t="str">
        <f t="shared" si="655"/>
        <v/>
      </c>
      <c r="N990" s="22" t="str">
        <f t="shared" si="656"/>
        <v/>
      </c>
      <c r="O990" s="22" t="str">
        <f t="shared" si="657"/>
        <v/>
      </c>
      <c r="P990" s="21" t="str">
        <f t="shared" si="658"/>
        <v>Apprenant 978 ou 978'</v>
      </c>
      <c r="Q990" s="22" t="str">
        <f t="shared" si="659"/>
        <v/>
      </c>
      <c r="R990" s="22" t="str">
        <f t="shared" si="660"/>
        <v/>
      </c>
      <c r="S990" s="22" t="str">
        <f t="shared" si="661"/>
        <v/>
      </c>
      <c r="T990" s="22" t="str">
        <f t="shared" si="662"/>
        <v/>
      </c>
      <c r="V990" s="21" t="str">
        <f t="shared" si="663"/>
        <v>Apprenant 978</v>
      </c>
      <c r="W990" s="22" t="str">
        <f>IF(AND(OR('Choix pédagogiques'!$C$3=1,'Choix pédagogiques'!$C$3=2),$BM990=1),B990,IF(AND('Choix pédagogiques'!$C$3=3,$BO990=1),B990,""))</f>
        <v/>
      </c>
      <c r="X990" s="22" t="str">
        <f>IF(AND(OR('Choix pédagogiques'!$C$3=1,'Choix pédagogiques'!$C$3=2),$BM990=1),C990,IF(AND('Choix pédagogiques'!$C$3=3,$BO990=1),C990,""))</f>
        <v/>
      </c>
      <c r="Y990" s="22" t="str">
        <f>IF(AND(OR('Choix pédagogiques'!$C$3=1,'Choix pédagogiques'!$C$3=2),$BM990=1),D990,IF(AND('Choix pédagogiques'!$C$3=3,$BO990=1),D990,""))</f>
        <v/>
      </c>
      <c r="Z990" s="22" t="str">
        <f t="shared" si="664"/>
        <v/>
      </c>
      <c r="AA990" s="21" t="str">
        <f t="shared" si="665"/>
        <v>Apprenant 978 ou 978'</v>
      </c>
      <c r="AB990" s="22" t="str">
        <f>IF(AND(OR('Choix pédagogiques'!$C$3=1,'Choix pédagogiques'!$C$3=2),$BN990=1),G990,IF(AND('Choix pédagogiques'!$C$3=3,$BO990=1),G990,""))</f>
        <v/>
      </c>
      <c r="AC990" s="22" t="str">
        <f>IF(AND(OR('Choix pédagogiques'!$C$3=1,'Choix pédagogiques'!$C$3=2),$BN990=1),H990,IF(AND('Choix pédagogiques'!$C$3=3,$BO990=1),H990,""))</f>
        <v/>
      </c>
      <c r="AD990" s="22" t="str">
        <f>IF(AND(OR('Choix pédagogiques'!$C$3=1,'Choix pédagogiques'!$C$3=2),$BN990=1),I990,IF(AND('Choix pédagogiques'!$C$3=3,$BO990=1),I990,""))</f>
        <v/>
      </c>
      <c r="AE990" s="22" t="str">
        <f t="shared" si="666"/>
        <v/>
      </c>
      <c r="AF990" s="21" t="str">
        <f t="shared" si="667"/>
        <v>Apprenant 978</v>
      </c>
      <c r="AG990" s="22" t="str">
        <f t="shared" si="641"/>
        <v/>
      </c>
      <c r="AH990" s="22" t="str">
        <f t="shared" si="642"/>
        <v/>
      </c>
      <c r="AI990" s="22" t="str">
        <f t="shared" si="643"/>
        <v/>
      </c>
      <c r="AJ990" s="22" t="str">
        <f t="shared" si="668"/>
        <v/>
      </c>
      <c r="AK990" s="21" t="str">
        <f t="shared" si="669"/>
        <v>Apprenant 978 ou 978'</v>
      </c>
      <c r="AL990" s="22" t="str">
        <f t="shared" si="644"/>
        <v/>
      </c>
      <c r="AM990" s="22" t="str">
        <f t="shared" si="645"/>
        <v/>
      </c>
      <c r="AN990" s="22" t="str">
        <f t="shared" si="646"/>
        <v/>
      </c>
      <c r="AO990" s="22" t="str">
        <f t="shared" si="670"/>
        <v/>
      </c>
      <c r="AQ990" s="21" t="str">
        <f t="shared" si="671"/>
        <v>Apprenant 978</v>
      </c>
      <c r="AR990" s="49" t="str">
        <f>IF(AND('Choix pédagogiques'!$C$4&lt;&gt;"?",'Choix pédagogiques'!$C$5&lt;&gt;"?",W990&lt;&gt;""),(W990-'Choix pédagogiques'!$C$4)/('Choix pédagogiques'!$C$5-'Choix pédagogiques'!$C$4),"")</f>
        <v/>
      </c>
      <c r="AS990" s="49" t="str">
        <f>IF(AND('Choix pédagogiques'!$C$4&lt;&gt;"?",'Choix pédagogiques'!$C$5&lt;&gt;"?",X990&lt;&gt;""),(X990-'Choix pédagogiques'!$C$4)/('Choix pédagogiques'!$C$5-'Choix pédagogiques'!$C$4),"")</f>
        <v/>
      </c>
      <c r="AT990" s="49" t="str">
        <f>IF(AND('Choix pédagogiques'!$C$4&lt;&gt;"?",'Choix pédagogiques'!$C$5&lt;&gt;"?",Y990&lt;&gt;""),(Y990-'Choix pédagogiques'!$C$4)/('Choix pédagogiques'!$C$5-'Choix pédagogiques'!$C$4),"")</f>
        <v/>
      </c>
      <c r="AU990" s="22" t="str">
        <f t="shared" si="672"/>
        <v/>
      </c>
      <c r="AV990" s="21" t="str">
        <f t="shared" si="673"/>
        <v>Apprenant 978 ou 978'</v>
      </c>
      <c r="AW990" s="49" t="str">
        <f>IF(AND('Choix pédagogiques'!$C$4&lt;&gt;"?",'Choix pédagogiques'!$C$5&lt;&gt;"?",AB990&lt;&gt;""),(AB990-'Choix pédagogiques'!$C$4)/('Choix pédagogiques'!$C$5-'Choix pédagogiques'!$C$4),"")</f>
        <v/>
      </c>
      <c r="AX990" s="49" t="str">
        <f>IF(AND('Choix pédagogiques'!$C$4&lt;&gt;"?",'Choix pédagogiques'!$C$5&lt;&gt;"?",AC990&lt;&gt;""),(AC990-'Choix pédagogiques'!$C$4)/('Choix pédagogiques'!$C$5-'Choix pédagogiques'!$C$4),"")</f>
        <v/>
      </c>
      <c r="AY990" s="49" t="str">
        <f>IF(AND('Choix pédagogiques'!$C$4&lt;&gt;"?",'Choix pédagogiques'!$C$5&lt;&gt;"?",AD990&lt;&gt;""),(AD990-'Choix pédagogiques'!$C$4)/('Choix pédagogiques'!$C$5-'Choix pédagogiques'!$C$4),"")</f>
        <v/>
      </c>
      <c r="AZ990" s="22" t="str">
        <f t="shared" si="674"/>
        <v/>
      </c>
      <c r="BA990" s="21" t="str">
        <f t="shared" si="675"/>
        <v>Apprenant 978</v>
      </c>
      <c r="BB990" s="49" t="str">
        <f t="shared" si="647"/>
        <v/>
      </c>
      <c r="BC990" s="49" t="str">
        <f t="shared" si="648"/>
        <v/>
      </c>
      <c r="BD990" s="49" t="str">
        <f t="shared" si="649"/>
        <v/>
      </c>
      <c r="BE990" s="22" t="str">
        <f t="shared" si="676"/>
        <v/>
      </c>
      <c r="BF990" s="21" t="str">
        <f t="shared" si="677"/>
        <v>Apprenant 978 ou 978'</v>
      </c>
      <c r="BG990" s="49" t="str">
        <f t="shared" si="650"/>
        <v/>
      </c>
      <c r="BH990" s="49" t="str">
        <f t="shared" si="651"/>
        <v/>
      </c>
      <c r="BI990" s="49" t="str">
        <f t="shared" si="652"/>
        <v/>
      </c>
      <c r="BJ990" s="22" t="str">
        <f t="shared" si="678"/>
        <v/>
      </c>
      <c r="BL990" s="21"/>
      <c r="BM990" s="21" t="str">
        <f>IF(OR(COUNT(B990:D1989)=0,AND('Choix pédagogiques'!$C$3&lt;&gt;1,'Choix pédagogiques'!$C$3&lt;&gt;2)),"",IF(AND(OR('Choix pédagogiques'!$C$3=1,'Choix pédagogiques'!$C$3=2),$B990&lt;&gt;"",$C990&lt;&gt;"",$D990&lt;&gt;""),1,0))</f>
        <v/>
      </c>
      <c r="BN990" s="21" t="str">
        <f>IF(OR(COUNT(G990:I1989)=0,AND('Choix pédagogiques'!$C$3&lt;&gt;1,'Choix pédagogiques'!$C$3&lt;&gt;2)),"",IF(AND(OR('Choix pédagogiques'!$C$3=1,'Choix pédagogiques'!$C$3=2),AND($G990&lt;&gt;"",$H990&lt;&gt;"",$I990&lt;&gt;"")),1,0))</f>
        <v/>
      </c>
      <c r="BO990" s="21" t="str">
        <f>IF(OR(COUNT(B990:D1989)=0,COUNT(G990:I1989)=0,'Choix pédagogiques'!C$3&lt;&gt;3),"",IF(AND('Choix pédagogiques'!$C$3=3,$B990&lt;&gt;"",$C990&lt;&gt;"",$D990&lt;&gt;"",$G990&lt;&gt;"",$H990&lt;&gt;"",$I990&lt;&gt;""),1,0))</f>
        <v/>
      </c>
      <c r="BR990" s="21">
        <v>289</v>
      </c>
      <c r="BS990" s="21">
        <v>1306</v>
      </c>
      <c r="BT990"/>
    </row>
    <row r="991" spans="1:72" s="23" customFormat="1" ht="18" customHeight="1" x14ac:dyDescent="0.3">
      <c r="A991" s="35" t="s">
        <v>981</v>
      </c>
      <c r="B991" s="37"/>
      <c r="C991" s="37"/>
      <c r="D991" s="37"/>
      <c r="E991" s="37"/>
      <c r="F991" s="35" t="s">
        <v>1989</v>
      </c>
      <c r="G991" s="37"/>
      <c r="H991" s="37"/>
      <c r="I991" s="37"/>
      <c r="J991" s="37"/>
      <c r="K991" s="21" t="str">
        <f t="shared" si="653"/>
        <v>Apprenant 979</v>
      </c>
      <c r="L991" s="22" t="str">
        <f t="shared" si="654"/>
        <v/>
      </c>
      <c r="M991" s="22" t="str">
        <f t="shared" si="655"/>
        <v/>
      </c>
      <c r="N991" s="22" t="str">
        <f t="shared" si="656"/>
        <v/>
      </c>
      <c r="O991" s="22" t="str">
        <f t="shared" si="657"/>
        <v/>
      </c>
      <c r="P991" s="21" t="str">
        <f t="shared" si="658"/>
        <v>Apprenant 979 ou 979'</v>
      </c>
      <c r="Q991" s="22" t="str">
        <f t="shared" si="659"/>
        <v/>
      </c>
      <c r="R991" s="22" t="str">
        <f t="shared" si="660"/>
        <v/>
      </c>
      <c r="S991" s="22" t="str">
        <f t="shared" si="661"/>
        <v/>
      </c>
      <c r="T991" s="22" t="str">
        <f t="shared" si="662"/>
        <v/>
      </c>
      <c r="V991" s="21" t="str">
        <f t="shared" si="663"/>
        <v>Apprenant 979</v>
      </c>
      <c r="W991" s="22" t="str">
        <f>IF(AND(OR('Choix pédagogiques'!$C$3=1,'Choix pédagogiques'!$C$3=2),$BM991=1),B991,IF(AND('Choix pédagogiques'!$C$3=3,$BO991=1),B991,""))</f>
        <v/>
      </c>
      <c r="X991" s="22" t="str">
        <f>IF(AND(OR('Choix pédagogiques'!$C$3=1,'Choix pédagogiques'!$C$3=2),$BM991=1),C991,IF(AND('Choix pédagogiques'!$C$3=3,$BO991=1),C991,""))</f>
        <v/>
      </c>
      <c r="Y991" s="22" t="str">
        <f>IF(AND(OR('Choix pédagogiques'!$C$3=1,'Choix pédagogiques'!$C$3=2),$BM991=1),D991,IF(AND('Choix pédagogiques'!$C$3=3,$BO991=1),D991,""))</f>
        <v/>
      </c>
      <c r="Z991" s="22" t="str">
        <f t="shared" si="664"/>
        <v/>
      </c>
      <c r="AA991" s="21" t="str">
        <f t="shared" si="665"/>
        <v>Apprenant 979 ou 979'</v>
      </c>
      <c r="AB991" s="22" t="str">
        <f>IF(AND(OR('Choix pédagogiques'!$C$3=1,'Choix pédagogiques'!$C$3=2),$BN991=1),G991,IF(AND('Choix pédagogiques'!$C$3=3,$BO991=1),G991,""))</f>
        <v/>
      </c>
      <c r="AC991" s="22" t="str">
        <f>IF(AND(OR('Choix pédagogiques'!$C$3=1,'Choix pédagogiques'!$C$3=2),$BN991=1),H991,IF(AND('Choix pédagogiques'!$C$3=3,$BO991=1),H991,""))</f>
        <v/>
      </c>
      <c r="AD991" s="22" t="str">
        <f>IF(AND(OR('Choix pédagogiques'!$C$3=1,'Choix pédagogiques'!$C$3=2),$BN991=1),I991,IF(AND('Choix pédagogiques'!$C$3=3,$BO991=1),I991,""))</f>
        <v/>
      </c>
      <c r="AE991" s="22" t="str">
        <f t="shared" si="666"/>
        <v/>
      </c>
      <c r="AF991" s="21" t="str">
        <f t="shared" si="667"/>
        <v>Apprenant 979</v>
      </c>
      <c r="AG991" s="22" t="str">
        <f t="shared" si="641"/>
        <v/>
      </c>
      <c r="AH991" s="22" t="str">
        <f t="shared" si="642"/>
        <v/>
      </c>
      <c r="AI991" s="22" t="str">
        <f t="shared" si="643"/>
        <v/>
      </c>
      <c r="AJ991" s="22" t="str">
        <f t="shared" si="668"/>
        <v/>
      </c>
      <c r="AK991" s="21" t="str">
        <f t="shared" si="669"/>
        <v>Apprenant 979 ou 979'</v>
      </c>
      <c r="AL991" s="22" t="str">
        <f t="shared" si="644"/>
        <v/>
      </c>
      <c r="AM991" s="22" t="str">
        <f t="shared" si="645"/>
        <v/>
      </c>
      <c r="AN991" s="22" t="str">
        <f t="shared" si="646"/>
        <v/>
      </c>
      <c r="AO991" s="22" t="str">
        <f t="shared" si="670"/>
        <v/>
      </c>
      <c r="AQ991" s="21" t="str">
        <f t="shared" si="671"/>
        <v>Apprenant 979</v>
      </c>
      <c r="AR991" s="49" t="str">
        <f>IF(AND('Choix pédagogiques'!$C$4&lt;&gt;"?",'Choix pédagogiques'!$C$5&lt;&gt;"?",W991&lt;&gt;""),(W991-'Choix pédagogiques'!$C$4)/('Choix pédagogiques'!$C$5-'Choix pédagogiques'!$C$4),"")</f>
        <v/>
      </c>
      <c r="AS991" s="49" t="str">
        <f>IF(AND('Choix pédagogiques'!$C$4&lt;&gt;"?",'Choix pédagogiques'!$C$5&lt;&gt;"?",X991&lt;&gt;""),(X991-'Choix pédagogiques'!$C$4)/('Choix pédagogiques'!$C$5-'Choix pédagogiques'!$C$4),"")</f>
        <v/>
      </c>
      <c r="AT991" s="49" t="str">
        <f>IF(AND('Choix pédagogiques'!$C$4&lt;&gt;"?",'Choix pédagogiques'!$C$5&lt;&gt;"?",Y991&lt;&gt;""),(Y991-'Choix pédagogiques'!$C$4)/('Choix pédagogiques'!$C$5-'Choix pédagogiques'!$C$4),"")</f>
        <v/>
      </c>
      <c r="AU991" s="22" t="str">
        <f t="shared" si="672"/>
        <v/>
      </c>
      <c r="AV991" s="21" t="str">
        <f t="shared" si="673"/>
        <v>Apprenant 979 ou 979'</v>
      </c>
      <c r="AW991" s="49" t="str">
        <f>IF(AND('Choix pédagogiques'!$C$4&lt;&gt;"?",'Choix pédagogiques'!$C$5&lt;&gt;"?",AB991&lt;&gt;""),(AB991-'Choix pédagogiques'!$C$4)/('Choix pédagogiques'!$C$5-'Choix pédagogiques'!$C$4),"")</f>
        <v/>
      </c>
      <c r="AX991" s="49" t="str">
        <f>IF(AND('Choix pédagogiques'!$C$4&lt;&gt;"?",'Choix pédagogiques'!$C$5&lt;&gt;"?",AC991&lt;&gt;""),(AC991-'Choix pédagogiques'!$C$4)/('Choix pédagogiques'!$C$5-'Choix pédagogiques'!$C$4),"")</f>
        <v/>
      </c>
      <c r="AY991" s="49" t="str">
        <f>IF(AND('Choix pédagogiques'!$C$4&lt;&gt;"?",'Choix pédagogiques'!$C$5&lt;&gt;"?",AD991&lt;&gt;""),(AD991-'Choix pédagogiques'!$C$4)/('Choix pédagogiques'!$C$5-'Choix pédagogiques'!$C$4),"")</f>
        <v/>
      </c>
      <c r="AZ991" s="22" t="str">
        <f t="shared" si="674"/>
        <v/>
      </c>
      <c r="BA991" s="21" t="str">
        <f t="shared" si="675"/>
        <v>Apprenant 979</v>
      </c>
      <c r="BB991" s="49" t="str">
        <f t="shared" si="647"/>
        <v/>
      </c>
      <c r="BC991" s="49" t="str">
        <f t="shared" si="648"/>
        <v/>
      </c>
      <c r="BD991" s="49" t="str">
        <f t="shared" si="649"/>
        <v/>
      </c>
      <c r="BE991" s="22" t="str">
        <f t="shared" si="676"/>
        <v/>
      </c>
      <c r="BF991" s="21" t="str">
        <f t="shared" si="677"/>
        <v>Apprenant 979 ou 979'</v>
      </c>
      <c r="BG991" s="49" t="str">
        <f t="shared" si="650"/>
        <v/>
      </c>
      <c r="BH991" s="49" t="str">
        <f t="shared" si="651"/>
        <v/>
      </c>
      <c r="BI991" s="49" t="str">
        <f t="shared" si="652"/>
        <v/>
      </c>
      <c r="BJ991" s="22" t="str">
        <f t="shared" si="678"/>
        <v/>
      </c>
      <c r="BL991" s="21"/>
      <c r="BM991" s="21" t="str">
        <f>IF(OR(COUNT(B991:D1990)=0,AND('Choix pédagogiques'!$C$3&lt;&gt;1,'Choix pédagogiques'!$C$3&lt;&gt;2)),"",IF(AND(OR('Choix pédagogiques'!$C$3=1,'Choix pédagogiques'!$C$3=2),$B991&lt;&gt;"",$C991&lt;&gt;"",$D991&lt;&gt;""),1,0))</f>
        <v/>
      </c>
      <c r="BN991" s="21" t="str">
        <f>IF(OR(COUNT(G991:I1990)=0,AND('Choix pédagogiques'!$C$3&lt;&gt;1,'Choix pédagogiques'!$C$3&lt;&gt;2)),"",IF(AND(OR('Choix pédagogiques'!$C$3=1,'Choix pédagogiques'!$C$3=2),AND($G991&lt;&gt;"",$H991&lt;&gt;"",$I991&lt;&gt;"")),1,0))</f>
        <v/>
      </c>
      <c r="BO991" s="21" t="str">
        <f>IF(OR(COUNT(B991:D1990)=0,COUNT(G991:I1990)=0,'Choix pédagogiques'!C$3&lt;&gt;3),"",IF(AND('Choix pédagogiques'!$C$3=3,$B991&lt;&gt;"",$C991&lt;&gt;"",$D991&lt;&gt;"",$G991&lt;&gt;"",$H991&lt;&gt;"",$I991&lt;&gt;""),1,0))</f>
        <v/>
      </c>
      <c r="BR991" s="21">
        <v>818</v>
      </c>
      <c r="BS991" s="21">
        <v>1060</v>
      </c>
      <c r="BT991"/>
    </row>
    <row r="992" spans="1:72" s="23" customFormat="1" ht="18" customHeight="1" x14ac:dyDescent="0.3">
      <c r="A992" s="35" t="s">
        <v>982</v>
      </c>
      <c r="B992" s="37"/>
      <c r="C992" s="37"/>
      <c r="D992" s="37"/>
      <c r="E992" s="37"/>
      <c r="F992" s="35" t="s">
        <v>1990</v>
      </c>
      <c r="G992" s="37"/>
      <c r="H992" s="37"/>
      <c r="I992" s="37"/>
      <c r="J992" s="37"/>
      <c r="K992" s="21" t="str">
        <f t="shared" si="653"/>
        <v>Apprenant 980</v>
      </c>
      <c r="L992" s="22" t="str">
        <f t="shared" si="654"/>
        <v/>
      </c>
      <c r="M992" s="22" t="str">
        <f t="shared" si="655"/>
        <v/>
      </c>
      <c r="N992" s="22" t="str">
        <f t="shared" si="656"/>
        <v/>
      </c>
      <c r="O992" s="22" t="str">
        <f t="shared" si="657"/>
        <v/>
      </c>
      <c r="P992" s="21" t="str">
        <f t="shared" si="658"/>
        <v>Apprenant 980 ou 980'</v>
      </c>
      <c r="Q992" s="22" t="str">
        <f t="shared" si="659"/>
        <v/>
      </c>
      <c r="R992" s="22" t="str">
        <f t="shared" si="660"/>
        <v/>
      </c>
      <c r="S992" s="22" t="str">
        <f t="shared" si="661"/>
        <v/>
      </c>
      <c r="T992" s="22" t="str">
        <f t="shared" si="662"/>
        <v/>
      </c>
      <c r="V992" s="21" t="str">
        <f t="shared" si="663"/>
        <v>Apprenant 980</v>
      </c>
      <c r="W992" s="22" t="str">
        <f>IF(AND(OR('Choix pédagogiques'!$C$3=1,'Choix pédagogiques'!$C$3=2),$BM992=1),B992,IF(AND('Choix pédagogiques'!$C$3=3,$BO992=1),B992,""))</f>
        <v/>
      </c>
      <c r="X992" s="22" t="str">
        <f>IF(AND(OR('Choix pédagogiques'!$C$3=1,'Choix pédagogiques'!$C$3=2),$BM992=1),C992,IF(AND('Choix pédagogiques'!$C$3=3,$BO992=1),C992,""))</f>
        <v/>
      </c>
      <c r="Y992" s="22" t="str">
        <f>IF(AND(OR('Choix pédagogiques'!$C$3=1,'Choix pédagogiques'!$C$3=2),$BM992=1),D992,IF(AND('Choix pédagogiques'!$C$3=3,$BO992=1),D992,""))</f>
        <v/>
      </c>
      <c r="Z992" s="22" t="str">
        <f t="shared" si="664"/>
        <v/>
      </c>
      <c r="AA992" s="21" t="str">
        <f t="shared" si="665"/>
        <v>Apprenant 980 ou 980'</v>
      </c>
      <c r="AB992" s="22" t="str">
        <f>IF(AND(OR('Choix pédagogiques'!$C$3=1,'Choix pédagogiques'!$C$3=2),$BN992=1),G992,IF(AND('Choix pédagogiques'!$C$3=3,$BO992=1),G992,""))</f>
        <v/>
      </c>
      <c r="AC992" s="22" t="str">
        <f>IF(AND(OR('Choix pédagogiques'!$C$3=1,'Choix pédagogiques'!$C$3=2),$BN992=1),H992,IF(AND('Choix pédagogiques'!$C$3=3,$BO992=1),H992,""))</f>
        <v/>
      </c>
      <c r="AD992" s="22" t="str">
        <f>IF(AND(OR('Choix pédagogiques'!$C$3=1,'Choix pédagogiques'!$C$3=2),$BN992=1),I992,IF(AND('Choix pédagogiques'!$C$3=3,$BO992=1),I992,""))</f>
        <v/>
      </c>
      <c r="AE992" s="22" t="str">
        <f t="shared" si="666"/>
        <v/>
      </c>
      <c r="AF992" s="21" t="str">
        <f t="shared" si="667"/>
        <v>Apprenant 980</v>
      </c>
      <c r="AG992" s="22" t="str">
        <f t="shared" si="641"/>
        <v/>
      </c>
      <c r="AH992" s="22" t="str">
        <f t="shared" si="642"/>
        <v/>
      </c>
      <c r="AI992" s="22" t="str">
        <f t="shared" si="643"/>
        <v/>
      </c>
      <c r="AJ992" s="22" t="str">
        <f t="shared" si="668"/>
        <v/>
      </c>
      <c r="AK992" s="21" t="str">
        <f t="shared" si="669"/>
        <v>Apprenant 980 ou 980'</v>
      </c>
      <c r="AL992" s="22" t="str">
        <f t="shared" si="644"/>
        <v/>
      </c>
      <c r="AM992" s="22" t="str">
        <f t="shared" si="645"/>
        <v/>
      </c>
      <c r="AN992" s="22" t="str">
        <f t="shared" si="646"/>
        <v/>
      </c>
      <c r="AO992" s="22" t="str">
        <f t="shared" si="670"/>
        <v/>
      </c>
      <c r="AQ992" s="21" t="str">
        <f t="shared" si="671"/>
        <v>Apprenant 980</v>
      </c>
      <c r="AR992" s="49" t="str">
        <f>IF(AND('Choix pédagogiques'!$C$4&lt;&gt;"?",'Choix pédagogiques'!$C$5&lt;&gt;"?",W992&lt;&gt;""),(W992-'Choix pédagogiques'!$C$4)/('Choix pédagogiques'!$C$5-'Choix pédagogiques'!$C$4),"")</f>
        <v/>
      </c>
      <c r="AS992" s="49" t="str">
        <f>IF(AND('Choix pédagogiques'!$C$4&lt;&gt;"?",'Choix pédagogiques'!$C$5&lt;&gt;"?",X992&lt;&gt;""),(X992-'Choix pédagogiques'!$C$4)/('Choix pédagogiques'!$C$5-'Choix pédagogiques'!$C$4),"")</f>
        <v/>
      </c>
      <c r="AT992" s="49" t="str">
        <f>IF(AND('Choix pédagogiques'!$C$4&lt;&gt;"?",'Choix pédagogiques'!$C$5&lt;&gt;"?",Y992&lt;&gt;""),(Y992-'Choix pédagogiques'!$C$4)/('Choix pédagogiques'!$C$5-'Choix pédagogiques'!$C$4),"")</f>
        <v/>
      </c>
      <c r="AU992" s="22" t="str">
        <f t="shared" si="672"/>
        <v/>
      </c>
      <c r="AV992" s="21" t="str">
        <f t="shared" si="673"/>
        <v>Apprenant 980 ou 980'</v>
      </c>
      <c r="AW992" s="49" t="str">
        <f>IF(AND('Choix pédagogiques'!$C$4&lt;&gt;"?",'Choix pédagogiques'!$C$5&lt;&gt;"?",AB992&lt;&gt;""),(AB992-'Choix pédagogiques'!$C$4)/('Choix pédagogiques'!$C$5-'Choix pédagogiques'!$C$4),"")</f>
        <v/>
      </c>
      <c r="AX992" s="49" t="str">
        <f>IF(AND('Choix pédagogiques'!$C$4&lt;&gt;"?",'Choix pédagogiques'!$C$5&lt;&gt;"?",AC992&lt;&gt;""),(AC992-'Choix pédagogiques'!$C$4)/('Choix pédagogiques'!$C$5-'Choix pédagogiques'!$C$4),"")</f>
        <v/>
      </c>
      <c r="AY992" s="49" t="str">
        <f>IF(AND('Choix pédagogiques'!$C$4&lt;&gt;"?",'Choix pédagogiques'!$C$5&lt;&gt;"?",AD992&lt;&gt;""),(AD992-'Choix pédagogiques'!$C$4)/('Choix pédagogiques'!$C$5-'Choix pédagogiques'!$C$4),"")</f>
        <v/>
      </c>
      <c r="AZ992" s="22" t="str">
        <f t="shared" si="674"/>
        <v/>
      </c>
      <c r="BA992" s="21" t="str">
        <f t="shared" si="675"/>
        <v>Apprenant 980</v>
      </c>
      <c r="BB992" s="49" t="str">
        <f t="shared" si="647"/>
        <v/>
      </c>
      <c r="BC992" s="49" t="str">
        <f t="shared" si="648"/>
        <v/>
      </c>
      <c r="BD992" s="49" t="str">
        <f t="shared" si="649"/>
        <v/>
      </c>
      <c r="BE992" s="22" t="str">
        <f t="shared" si="676"/>
        <v/>
      </c>
      <c r="BF992" s="21" t="str">
        <f t="shared" si="677"/>
        <v>Apprenant 980 ou 980'</v>
      </c>
      <c r="BG992" s="49" t="str">
        <f t="shared" si="650"/>
        <v/>
      </c>
      <c r="BH992" s="49" t="str">
        <f t="shared" si="651"/>
        <v/>
      </c>
      <c r="BI992" s="49" t="str">
        <f t="shared" si="652"/>
        <v/>
      </c>
      <c r="BJ992" s="22" t="str">
        <f t="shared" si="678"/>
        <v/>
      </c>
      <c r="BL992" s="21"/>
      <c r="BM992" s="21" t="str">
        <f>IF(OR(COUNT(B992:D1991)=0,AND('Choix pédagogiques'!$C$3&lt;&gt;1,'Choix pédagogiques'!$C$3&lt;&gt;2)),"",IF(AND(OR('Choix pédagogiques'!$C$3=1,'Choix pédagogiques'!$C$3=2),$B992&lt;&gt;"",$C992&lt;&gt;"",$D992&lt;&gt;""),1,0))</f>
        <v/>
      </c>
      <c r="BN992" s="21" t="str">
        <f>IF(OR(COUNT(G992:I1991)=0,AND('Choix pédagogiques'!$C$3&lt;&gt;1,'Choix pédagogiques'!$C$3&lt;&gt;2)),"",IF(AND(OR('Choix pédagogiques'!$C$3=1,'Choix pédagogiques'!$C$3=2),AND($G992&lt;&gt;"",$H992&lt;&gt;"",$I992&lt;&gt;"")),1,0))</f>
        <v/>
      </c>
      <c r="BO992" s="21" t="str">
        <f>IF(OR(COUNT(B992:D1991)=0,COUNT(G992:I1991)=0,'Choix pédagogiques'!C$3&lt;&gt;3),"",IF(AND('Choix pédagogiques'!$C$3=3,$B992&lt;&gt;"",$C992&lt;&gt;"",$D992&lt;&gt;"",$G992&lt;&gt;"",$H992&lt;&gt;"",$I992&lt;&gt;""),1,0))</f>
        <v/>
      </c>
      <c r="BR992" s="21">
        <v>489</v>
      </c>
      <c r="BS992" s="21">
        <v>1361</v>
      </c>
      <c r="BT992"/>
    </row>
    <row r="993" spans="1:72" s="23" customFormat="1" ht="18" customHeight="1" x14ac:dyDescent="0.3">
      <c r="A993" s="35" t="s">
        <v>983</v>
      </c>
      <c r="B993" s="37"/>
      <c r="C993" s="37"/>
      <c r="D993" s="37"/>
      <c r="E993" s="37"/>
      <c r="F993" s="35" t="s">
        <v>1991</v>
      </c>
      <c r="G993" s="37"/>
      <c r="H993" s="37"/>
      <c r="I993" s="37"/>
      <c r="J993" s="37"/>
      <c r="K993" s="21" t="str">
        <f t="shared" si="653"/>
        <v>Apprenant 981</v>
      </c>
      <c r="L993" s="22" t="str">
        <f t="shared" si="654"/>
        <v/>
      </c>
      <c r="M993" s="22" t="str">
        <f t="shared" si="655"/>
        <v/>
      </c>
      <c r="N993" s="22" t="str">
        <f t="shared" si="656"/>
        <v/>
      </c>
      <c r="O993" s="22" t="str">
        <f t="shared" si="657"/>
        <v/>
      </c>
      <c r="P993" s="21" t="str">
        <f t="shared" si="658"/>
        <v>Apprenant 981 ou 981'</v>
      </c>
      <c r="Q993" s="22" t="str">
        <f t="shared" si="659"/>
        <v/>
      </c>
      <c r="R993" s="22" t="str">
        <f t="shared" si="660"/>
        <v/>
      </c>
      <c r="S993" s="22" t="str">
        <f t="shared" si="661"/>
        <v/>
      </c>
      <c r="T993" s="22" t="str">
        <f t="shared" si="662"/>
        <v/>
      </c>
      <c r="V993" s="21" t="str">
        <f t="shared" si="663"/>
        <v>Apprenant 981</v>
      </c>
      <c r="W993" s="22" t="str">
        <f>IF(AND(OR('Choix pédagogiques'!$C$3=1,'Choix pédagogiques'!$C$3=2),$BM993=1),B993,IF(AND('Choix pédagogiques'!$C$3=3,$BO993=1),B993,""))</f>
        <v/>
      </c>
      <c r="X993" s="22" t="str">
        <f>IF(AND(OR('Choix pédagogiques'!$C$3=1,'Choix pédagogiques'!$C$3=2),$BM993=1),C993,IF(AND('Choix pédagogiques'!$C$3=3,$BO993=1),C993,""))</f>
        <v/>
      </c>
      <c r="Y993" s="22" t="str">
        <f>IF(AND(OR('Choix pédagogiques'!$C$3=1,'Choix pédagogiques'!$C$3=2),$BM993=1),D993,IF(AND('Choix pédagogiques'!$C$3=3,$BO993=1),D993,""))</f>
        <v/>
      </c>
      <c r="Z993" s="22" t="str">
        <f t="shared" si="664"/>
        <v/>
      </c>
      <c r="AA993" s="21" t="str">
        <f t="shared" si="665"/>
        <v>Apprenant 981 ou 981'</v>
      </c>
      <c r="AB993" s="22" t="str">
        <f>IF(AND(OR('Choix pédagogiques'!$C$3=1,'Choix pédagogiques'!$C$3=2),$BN993=1),G993,IF(AND('Choix pédagogiques'!$C$3=3,$BO993=1),G993,""))</f>
        <v/>
      </c>
      <c r="AC993" s="22" t="str">
        <f>IF(AND(OR('Choix pédagogiques'!$C$3=1,'Choix pédagogiques'!$C$3=2),$BN993=1),H993,IF(AND('Choix pédagogiques'!$C$3=3,$BO993=1),H993,""))</f>
        <v/>
      </c>
      <c r="AD993" s="22" t="str">
        <f>IF(AND(OR('Choix pédagogiques'!$C$3=1,'Choix pédagogiques'!$C$3=2),$BN993=1),I993,IF(AND('Choix pédagogiques'!$C$3=3,$BO993=1),I993,""))</f>
        <v/>
      </c>
      <c r="AE993" s="22" t="str">
        <f t="shared" si="666"/>
        <v/>
      </c>
      <c r="AF993" s="21" t="str">
        <f t="shared" si="667"/>
        <v>Apprenant 981</v>
      </c>
      <c r="AG993" s="22" t="str">
        <f t="shared" si="641"/>
        <v/>
      </c>
      <c r="AH993" s="22" t="str">
        <f t="shared" si="642"/>
        <v/>
      </c>
      <c r="AI993" s="22" t="str">
        <f t="shared" si="643"/>
        <v/>
      </c>
      <c r="AJ993" s="22" t="str">
        <f t="shared" si="668"/>
        <v/>
      </c>
      <c r="AK993" s="21" t="str">
        <f t="shared" si="669"/>
        <v>Apprenant 981 ou 981'</v>
      </c>
      <c r="AL993" s="22" t="str">
        <f t="shared" si="644"/>
        <v/>
      </c>
      <c r="AM993" s="22" t="str">
        <f t="shared" si="645"/>
        <v/>
      </c>
      <c r="AN993" s="22" t="str">
        <f t="shared" si="646"/>
        <v/>
      </c>
      <c r="AO993" s="22" t="str">
        <f t="shared" si="670"/>
        <v/>
      </c>
      <c r="AQ993" s="21" t="str">
        <f t="shared" si="671"/>
        <v>Apprenant 981</v>
      </c>
      <c r="AR993" s="49" t="str">
        <f>IF(AND('Choix pédagogiques'!$C$4&lt;&gt;"?",'Choix pédagogiques'!$C$5&lt;&gt;"?",W993&lt;&gt;""),(W993-'Choix pédagogiques'!$C$4)/('Choix pédagogiques'!$C$5-'Choix pédagogiques'!$C$4),"")</f>
        <v/>
      </c>
      <c r="AS993" s="49" t="str">
        <f>IF(AND('Choix pédagogiques'!$C$4&lt;&gt;"?",'Choix pédagogiques'!$C$5&lt;&gt;"?",X993&lt;&gt;""),(X993-'Choix pédagogiques'!$C$4)/('Choix pédagogiques'!$C$5-'Choix pédagogiques'!$C$4),"")</f>
        <v/>
      </c>
      <c r="AT993" s="49" t="str">
        <f>IF(AND('Choix pédagogiques'!$C$4&lt;&gt;"?",'Choix pédagogiques'!$C$5&lt;&gt;"?",Y993&lt;&gt;""),(Y993-'Choix pédagogiques'!$C$4)/('Choix pédagogiques'!$C$5-'Choix pédagogiques'!$C$4),"")</f>
        <v/>
      </c>
      <c r="AU993" s="22" t="str">
        <f t="shared" si="672"/>
        <v/>
      </c>
      <c r="AV993" s="21" t="str">
        <f t="shared" si="673"/>
        <v>Apprenant 981 ou 981'</v>
      </c>
      <c r="AW993" s="49" t="str">
        <f>IF(AND('Choix pédagogiques'!$C$4&lt;&gt;"?",'Choix pédagogiques'!$C$5&lt;&gt;"?",AB993&lt;&gt;""),(AB993-'Choix pédagogiques'!$C$4)/('Choix pédagogiques'!$C$5-'Choix pédagogiques'!$C$4),"")</f>
        <v/>
      </c>
      <c r="AX993" s="49" t="str">
        <f>IF(AND('Choix pédagogiques'!$C$4&lt;&gt;"?",'Choix pédagogiques'!$C$5&lt;&gt;"?",AC993&lt;&gt;""),(AC993-'Choix pédagogiques'!$C$4)/('Choix pédagogiques'!$C$5-'Choix pédagogiques'!$C$4),"")</f>
        <v/>
      </c>
      <c r="AY993" s="49" t="str">
        <f>IF(AND('Choix pédagogiques'!$C$4&lt;&gt;"?",'Choix pédagogiques'!$C$5&lt;&gt;"?",AD993&lt;&gt;""),(AD993-'Choix pédagogiques'!$C$4)/('Choix pédagogiques'!$C$5-'Choix pédagogiques'!$C$4),"")</f>
        <v/>
      </c>
      <c r="AZ993" s="22" t="str">
        <f t="shared" si="674"/>
        <v/>
      </c>
      <c r="BA993" s="21" t="str">
        <f t="shared" si="675"/>
        <v>Apprenant 981</v>
      </c>
      <c r="BB993" s="49" t="str">
        <f t="shared" si="647"/>
        <v/>
      </c>
      <c r="BC993" s="49" t="str">
        <f t="shared" si="648"/>
        <v/>
      </c>
      <c r="BD993" s="49" t="str">
        <f t="shared" si="649"/>
        <v/>
      </c>
      <c r="BE993" s="22" t="str">
        <f t="shared" si="676"/>
        <v/>
      </c>
      <c r="BF993" s="21" t="str">
        <f t="shared" si="677"/>
        <v>Apprenant 981 ou 981'</v>
      </c>
      <c r="BG993" s="49" t="str">
        <f t="shared" si="650"/>
        <v/>
      </c>
      <c r="BH993" s="49" t="str">
        <f t="shared" si="651"/>
        <v/>
      </c>
      <c r="BI993" s="49" t="str">
        <f t="shared" si="652"/>
        <v/>
      </c>
      <c r="BJ993" s="22" t="str">
        <f t="shared" si="678"/>
        <v/>
      </c>
      <c r="BL993" s="21"/>
      <c r="BM993" s="21" t="str">
        <f>IF(OR(COUNT(B993:D1992)=0,AND('Choix pédagogiques'!$C$3&lt;&gt;1,'Choix pédagogiques'!$C$3&lt;&gt;2)),"",IF(AND(OR('Choix pédagogiques'!$C$3=1,'Choix pédagogiques'!$C$3=2),$B993&lt;&gt;"",$C993&lt;&gt;"",$D993&lt;&gt;""),1,0))</f>
        <v/>
      </c>
      <c r="BN993" s="21" t="str">
        <f>IF(OR(COUNT(G993:I1992)=0,AND('Choix pédagogiques'!$C$3&lt;&gt;1,'Choix pédagogiques'!$C$3&lt;&gt;2)),"",IF(AND(OR('Choix pédagogiques'!$C$3=1,'Choix pédagogiques'!$C$3=2),AND($G993&lt;&gt;"",$H993&lt;&gt;"",$I993&lt;&gt;"")),1,0))</f>
        <v/>
      </c>
      <c r="BO993" s="21" t="str">
        <f>IF(OR(COUNT(B993:D1992)=0,COUNT(G993:I1992)=0,'Choix pédagogiques'!C$3&lt;&gt;3),"",IF(AND('Choix pédagogiques'!$C$3=3,$B993&lt;&gt;"",$C993&lt;&gt;"",$D993&lt;&gt;"",$G993&lt;&gt;"",$H993&lt;&gt;"",$I993&lt;&gt;""),1,0))</f>
        <v/>
      </c>
      <c r="BR993" s="21">
        <v>735</v>
      </c>
      <c r="BS993" s="21">
        <v>1783</v>
      </c>
      <c r="BT993"/>
    </row>
    <row r="994" spans="1:72" s="23" customFormat="1" ht="18" customHeight="1" x14ac:dyDescent="0.3">
      <c r="A994" s="35" t="s">
        <v>984</v>
      </c>
      <c r="B994" s="37"/>
      <c r="C994" s="37"/>
      <c r="D994" s="37"/>
      <c r="E994" s="37"/>
      <c r="F994" s="35" t="s">
        <v>1992</v>
      </c>
      <c r="G994" s="37"/>
      <c r="H994" s="37"/>
      <c r="I994" s="37"/>
      <c r="J994" s="37"/>
      <c r="K994" s="21" t="str">
        <f t="shared" si="653"/>
        <v>Apprenant 982</v>
      </c>
      <c r="L994" s="22" t="str">
        <f t="shared" si="654"/>
        <v/>
      </c>
      <c r="M994" s="22" t="str">
        <f t="shared" si="655"/>
        <v/>
      </c>
      <c r="N994" s="22" t="str">
        <f t="shared" si="656"/>
        <v/>
      </c>
      <c r="O994" s="22" t="str">
        <f t="shared" si="657"/>
        <v/>
      </c>
      <c r="P994" s="21" t="str">
        <f t="shared" si="658"/>
        <v>Apprenant 982 ou 982'</v>
      </c>
      <c r="Q994" s="22" t="str">
        <f t="shared" si="659"/>
        <v/>
      </c>
      <c r="R994" s="22" t="str">
        <f t="shared" si="660"/>
        <v/>
      </c>
      <c r="S994" s="22" t="str">
        <f t="shared" si="661"/>
        <v/>
      </c>
      <c r="T994" s="22" t="str">
        <f t="shared" si="662"/>
        <v/>
      </c>
      <c r="V994" s="21" t="str">
        <f t="shared" si="663"/>
        <v>Apprenant 982</v>
      </c>
      <c r="W994" s="22" t="str">
        <f>IF(AND(OR('Choix pédagogiques'!$C$3=1,'Choix pédagogiques'!$C$3=2),$BM994=1),B994,IF(AND('Choix pédagogiques'!$C$3=3,$BO994=1),B994,""))</f>
        <v/>
      </c>
      <c r="X994" s="22" t="str">
        <f>IF(AND(OR('Choix pédagogiques'!$C$3=1,'Choix pédagogiques'!$C$3=2),$BM994=1),C994,IF(AND('Choix pédagogiques'!$C$3=3,$BO994=1),C994,""))</f>
        <v/>
      </c>
      <c r="Y994" s="22" t="str">
        <f>IF(AND(OR('Choix pédagogiques'!$C$3=1,'Choix pédagogiques'!$C$3=2),$BM994=1),D994,IF(AND('Choix pédagogiques'!$C$3=3,$BO994=1),D994,""))</f>
        <v/>
      </c>
      <c r="Z994" s="22" t="str">
        <f t="shared" si="664"/>
        <v/>
      </c>
      <c r="AA994" s="21" t="str">
        <f t="shared" si="665"/>
        <v>Apprenant 982 ou 982'</v>
      </c>
      <c r="AB994" s="22" t="str">
        <f>IF(AND(OR('Choix pédagogiques'!$C$3=1,'Choix pédagogiques'!$C$3=2),$BN994=1),G994,IF(AND('Choix pédagogiques'!$C$3=3,$BO994=1),G994,""))</f>
        <v/>
      </c>
      <c r="AC994" s="22" t="str">
        <f>IF(AND(OR('Choix pédagogiques'!$C$3=1,'Choix pédagogiques'!$C$3=2),$BN994=1),H994,IF(AND('Choix pédagogiques'!$C$3=3,$BO994=1),H994,""))</f>
        <v/>
      </c>
      <c r="AD994" s="22" t="str">
        <f>IF(AND(OR('Choix pédagogiques'!$C$3=1,'Choix pédagogiques'!$C$3=2),$BN994=1),I994,IF(AND('Choix pédagogiques'!$C$3=3,$BO994=1),I994,""))</f>
        <v/>
      </c>
      <c r="AE994" s="22" t="str">
        <f t="shared" si="666"/>
        <v/>
      </c>
      <c r="AF994" s="21" t="str">
        <f t="shared" si="667"/>
        <v>Apprenant 982</v>
      </c>
      <c r="AG994" s="22" t="str">
        <f t="shared" si="641"/>
        <v/>
      </c>
      <c r="AH994" s="22" t="str">
        <f t="shared" si="642"/>
        <v/>
      </c>
      <c r="AI994" s="22" t="str">
        <f t="shared" si="643"/>
        <v/>
      </c>
      <c r="AJ994" s="22" t="str">
        <f t="shared" si="668"/>
        <v/>
      </c>
      <c r="AK994" s="21" t="str">
        <f t="shared" si="669"/>
        <v>Apprenant 982 ou 982'</v>
      </c>
      <c r="AL994" s="22" t="str">
        <f t="shared" si="644"/>
        <v/>
      </c>
      <c r="AM994" s="22" t="str">
        <f t="shared" si="645"/>
        <v/>
      </c>
      <c r="AN994" s="22" t="str">
        <f t="shared" si="646"/>
        <v/>
      </c>
      <c r="AO994" s="22" t="str">
        <f t="shared" si="670"/>
        <v/>
      </c>
      <c r="AQ994" s="21" t="str">
        <f t="shared" si="671"/>
        <v>Apprenant 982</v>
      </c>
      <c r="AR994" s="49" t="str">
        <f>IF(AND('Choix pédagogiques'!$C$4&lt;&gt;"?",'Choix pédagogiques'!$C$5&lt;&gt;"?",W994&lt;&gt;""),(W994-'Choix pédagogiques'!$C$4)/('Choix pédagogiques'!$C$5-'Choix pédagogiques'!$C$4),"")</f>
        <v/>
      </c>
      <c r="AS994" s="49" t="str">
        <f>IF(AND('Choix pédagogiques'!$C$4&lt;&gt;"?",'Choix pédagogiques'!$C$5&lt;&gt;"?",X994&lt;&gt;""),(X994-'Choix pédagogiques'!$C$4)/('Choix pédagogiques'!$C$5-'Choix pédagogiques'!$C$4),"")</f>
        <v/>
      </c>
      <c r="AT994" s="49" t="str">
        <f>IF(AND('Choix pédagogiques'!$C$4&lt;&gt;"?",'Choix pédagogiques'!$C$5&lt;&gt;"?",Y994&lt;&gt;""),(Y994-'Choix pédagogiques'!$C$4)/('Choix pédagogiques'!$C$5-'Choix pédagogiques'!$C$4),"")</f>
        <v/>
      </c>
      <c r="AU994" s="22" t="str">
        <f t="shared" si="672"/>
        <v/>
      </c>
      <c r="AV994" s="21" t="str">
        <f t="shared" si="673"/>
        <v>Apprenant 982 ou 982'</v>
      </c>
      <c r="AW994" s="49" t="str">
        <f>IF(AND('Choix pédagogiques'!$C$4&lt;&gt;"?",'Choix pédagogiques'!$C$5&lt;&gt;"?",AB994&lt;&gt;""),(AB994-'Choix pédagogiques'!$C$4)/('Choix pédagogiques'!$C$5-'Choix pédagogiques'!$C$4),"")</f>
        <v/>
      </c>
      <c r="AX994" s="49" t="str">
        <f>IF(AND('Choix pédagogiques'!$C$4&lt;&gt;"?",'Choix pédagogiques'!$C$5&lt;&gt;"?",AC994&lt;&gt;""),(AC994-'Choix pédagogiques'!$C$4)/('Choix pédagogiques'!$C$5-'Choix pédagogiques'!$C$4),"")</f>
        <v/>
      </c>
      <c r="AY994" s="49" t="str">
        <f>IF(AND('Choix pédagogiques'!$C$4&lt;&gt;"?",'Choix pédagogiques'!$C$5&lt;&gt;"?",AD994&lt;&gt;""),(AD994-'Choix pédagogiques'!$C$4)/('Choix pédagogiques'!$C$5-'Choix pédagogiques'!$C$4),"")</f>
        <v/>
      </c>
      <c r="AZ994" s="22" t="str">
        <f t="shared" si="674"/>
        <v/>
      </c>
      <c r="BA994" s="21" t="str">
        <f t="shared" si="675"/>
        <v>Apprenant 982</v>
      </c>
      <c r="BB994" s="49" t="str">
        <f t="shared" si="647"/>
        <v/>
      </c>
      <c r="BC994" s="49" t="str">
        <f t="shared" si="648"/>
        <v/>
      </c>
      <c r="BD994" s="49" t="str">
        <f t="shared" si="649"/>
        <v/>
      </c>
      <c r="BE994" s="22" t="str">
        <f t="shared" si="676"/>
        <v/>
      </c>
      <c r="BF994" s="21" t="str">
        <f t="shared" si="677"/>
        <v>Apprenant 982 ou 982'</v>
      </c>
      <c r="BG994" s="49" t="str">
        <f t="shared" si="650"/>
        <v/>
      </c>
      <c r="BH994" s="49" t="str">
        <f t="shared" si="651"/>
        <v/>
      </c>
      <c r="BI994" s="49" t="str">
        <f t="shared" si="652"/>
        <v/>
      </c>
      <c r="BJ994" s="22" t="str">
        <f t="shared" si="678"/>
        <v/>
      </c>
      <c r="BL994" s="21"/>
      <c r="BM994" s="21" t="str">
        <f>IF(OR(COUNT(B994:D1993)=0,AND('Choix pédagogiques'!$C$3&lt;&gt;1,'Choix pédagogiques'!$C$3&lt;&gt;2)),"",IF(AND(OR('Choix pédagogiques'!$C$3=1,'Choix pédagogiques'!$C$3=2),$B994&lt;&gt;"",$C994&lt;&gt;"",$D994&lt;&gt;""),1,0))</f>
        <v/>
      </c>
      <c r="BN994" s="21" t="str">
        <f>IF(OR(COUNT(G994:I1993)=0,AND('Choix pédagogiques'!$C$3&lt;&gt;1,'Choix pédagogiques'!$C$3&lt;&gt;2)),"",IF(AND(OR('Choix pédagogiques'!$C$3=1,'Choix pédagogiques'!$C$3=2),AND($G994&lt;&gt;"",$H994&lt;&gt;"",$I994&lt;&gt;"")),1,0))</f>
        <v/>
      </c>
      <c r="BO994" s="21" t="str">
        <f>IF(OR(COUNT(B994:D1993)=0,COUNT(G994:I1993)=0,'Choix pédagogiques'!C$3&lt;&gt;3),"",IF(AND('Choix pédagogiques'!$C$3=3,$B994&lt;&gt;"",$C994&lt;&gt;"",$D994&lt;&gt;"",$G994&lt;&gt;"",$H994&lt;&gt;"",$I994&lt;&gt;""),1,0))</f>
        <v/>
      </c>
      <c r="BR994" s="21">
        <v>863</v>
      </c>
      <c r="BS994" s="21">
        <v>1212</v>
      </c>
      <c r="BT994"/>
    </row>
    <row r="995" spans="1:72" s="23" customFormat="1" ht="18" customHeight="1" x14ac:dyDescent="0.3">
      <c r="A995" s="35" t="s">
        <v>985</v>
      </c>
      <c r="B995" s="37"/>
      <c r="C995" s="37"/>
      <c r="D995" s="37"/>
      <c r="E995" s="37"/>
      <c r="F995" s="35" t="s">
        <v>1993</v>
      </c>
      <c r="G995" s="37"/>
      <c r="H995" s="37"/>
      <c r="I995" s="37"/>
      <c r="J995" s="37"/>
      <c r="K995" s="21" t="str">
        <f t="shared" si="653"/>
        <v>Apprenant 983</v>
      </c>
      <c r="L995" s="22" t="str">
        <f t="shared" si="654"/>
        <v/>
      </c>
      <c r="M995" s="22" t="str">
        <f t="shared" si="655"/>
        <v/>
      </c>
      <c r="N995" s="22" t="str">
        <f t="shared" si="656"/>
        <v/>
      </c>
      <c r="O995" s="22" t="str">
        <f t="shared" si="657"/>
        <v/>
      </c>
      <c r="P995" s="21" t="str">
        <f t="shared" si="658"/>
        <v>Apprenant 983 ou 983'</v>
      </c>
      <c r="Q995" s="22" t="str">
        <f t="shared" si="659"/>
        <v/>
      </c>
      <c r="R995" s="22" t="str">
        <f t="shared" si="660"/>
        <v/>
      </c>
      <c r="S995" s="22" t="str">
        <f t="shared" si="661"/>
        <v/>
      </c>
      <c r="T995" s="22" t="str">
        <f t="shared" si="662"/>
        <v/>
      </c>
      <c r="V995" s="21" t="str">
        <f t="shared" si="663"/>
        <v>Apprenant 983</v>
      </c>
      <c r="W995" s="22" t="str">
        <f>IF(AND(OR('Choix pédagogiques'!$C$3=1,'Choix pédagogiques'!$C$3=2),$BM995=1),B995,IF(AND('Choix pédagogiques'!$C$3=3,$BO995=1),B995,""))</f>
        <v/>
      </c>
      <c r="X995" s="22" t="str">
        <f>IF(AND(OR('Choix pédagogiques'!$C$3=1,'Choix pédagogiques'!$C$3=2),$BM995=1),C995,IF(AND('Choix pédagogiques'!$C$3=3,$BO995=1),C995,""))</f>
        <v/>
      </c>
      <c r="Y995" s="22" t="str">
        <f>IF(AND(OR('Choix pédagogiques'!$C$3=1,'Choix pédagogiques'!$C$3=2),$BM995=1),D995,IF(AND('Choix pédagogiques'!$C$3=3,$BO995=1),D995,""))</f>
        <v/>
      </c>
      <c r="Z995" s="22" t="str">
        <f t="shared" si="664"/>
        <v/>
      </c>
      <c r="AA995" s="21" t="str">
        <f t="shared" si="665"/>
        <v>Apprenant 983 ou 983'</v>
      </c>
      <c r="AB995" s="22" t="str">
        <f>IF(AND(OR('Choix pédagogiques'!$C$3=1,'Choix pédagogiques'!$C$3=2),$BN995=1),G995,IF(AND('Choix pédagogiques'!$C$3=3,$BO995=1),G995,""))</f>
        <v/>
      </c>
      <c r="AC995" s="22" t="str">
        <f>IF(AND(OR('Choix pédagogiques'!$C$3=1,'Choix pédagogiques'!$C$3=2),$BN995=1),H995,IF(AND('Choix pédagogiques'!$C$3=3,$BO995=1),H995,""))</f>
        <v/>
      </c>
      <c r="AD995" s="22" t="str">
        <f>IF(AND(OR('Choix pédagogiques'!$C$3=1,'Choix pédagogiques'!$C$3=2),$BN995=1),I995,IF(AND('Choix pédagogiques'!$C$3=3,$BO995=1),I995,""))</f>
        <v/>
      </c>
      <c r="AE995" s="22" t="str">
        <f t="shared" si="666"/>
        <v/>
      </c>
      <c r="AF995" s="21" t="str">
        <f t="shared" si="667"/>
        <v>Apprenant 983</v>
      </c>
      <c r="AG995" s="22" t="str">
        <f t="shared" si="641"/>
        <v/>
      </c>
      <c r="AH995" s="22" t="str">
        <f t="shared" si="642"/>
        <v/>
      </c>
      <c r="AI995" s="22" t="str">
        <f t="shared" si="643"/>
        <v/>
      </c>
      <c r="AJ995" s="22" t="str">
        <f t="shared" si="668"/>
        <v/>
      </c>
      <c r="AK995" s="21" t="str">
        <f t="shared" si="669"/>
        <v>Apprenant 983 ou 983'</v>
      </c>
      <c r="AL995" s="22" t="str">
        <f t="shared" si="644"/>
        <v/>
      </c>
      <c r="AM995" s="22" t="str">
        <f t="shared" si="645"/>
        <v/>
      </c>
      <c r="AN995" s="22" t="str">
        <f t="shared" si="646"/>
        <v/>
      </c>
      <c r="AO995" s="22" t="str">
        <f t="shared" si="670"/>
        <v/>
      </c>
      <c r="AQ995" s="21" t="str">
        <f t="shared" si="671"/>
        <v>Apprenant 983</v>
      </c>
      <c r="AR995" s="49" t="str">
        <f>IF(AND('Choix pédagogiques'!$C$4&lt;&gt;"?",'Choix pédagogiques'!$C$5&lt;&gt;"?",W995&lt;&gt;""),(W995-'Choix pédagogiques'!$C$4)/('Choix pédagogiques'!$C$5-'Choix pédagogiques'!$C$4),"")</f>
        <v/>
      </c>
      <c r="AS995" s="49" t="str">
        <f>IF(AND('Choix pédagogiques'!$C$4&lt;&gt;"?",'Choix pédagogiques'!$C$5&lt;&gt;"?",X995&lt;&gt;""),(X995-'Choix pédagogiques'!$C$4)/('Choix pédagogiques'!$C$5-'Choix pédagogiques'!$C$4),"")</f>
        <v/>
      </c>
      <c r="AT995" s="49" t="str">
        <f>IF(AND('Choix pédagogiques'!$C$4&lt;&gt;"?",'Choix pédagogiques'!$C$5&lt;&gt;"?",Y995&lt;&gt;""),(Y995-'Choix pédagogiques'!$C$4)/('Choix pédagogiques'!$C$5-'Choix pédagogiques'!$C$4),"")</f>
        <v/>
      </c>
      <c r="AU995" s="22" t="str">
        <f t="shared" si="672"/>
        <v/>
      </c>
      <c r="AV995" s="21" t="str">
        <f t="shared" si="673"/>
        <v>Apprenant 983 ou 983'</v>
      </c>
      <c r="AW995" s="49" t="str">
        <f>IF(AND('Choix pédagogiques'!$C$4&lt;&gt;"?",'Choix pédagogiques'!$C$5&lt;&gt;"?",AB995&lt;&gt;""),(AB995-'Choix pédagogiques'!$C$4)/('Choix pédagogiques'!$C$5-'Choix pédagogiques'!$C$4),"")</f>
        <v/>
      </c>
      <c r="AX995" s="49" t="str">
        <f>IF(AND('Choix pédagogiques'!$C$4&lt;&gt;"?",'Choix pédagogiques'!$C$5&lt;&gt;"?",AC995&lt;&gt;""),(AC995-'Choix pédagogiques'!$C$4)/('Choix pédagogiques'!$C$5-'Choix pédagogiques'!$C$4),"")</f>
        <v/>
      </c>
      <c r="AY995" s="49" t="str">
        <f>IF(AND('Choix pédagogiques'!$C$4&lt;&gt;"?",'Choix pédagogiques'!$C$5&lt;&gt;"?",AD995&lt;&gt;""),(AD995-'Choix pédagogiques'!$C$4)/('Choix pédagogiques'!$C$5-'Choix pédagogiques'!$C$4),"")</f>
        <v/>
      </c>
      <c r="AZ995" s="22" t="str">
        <f t="shared" si="674"/>
        <v/>
      </c>
      <c r="BA995" s="21" t="str">
        <f t="shared" si="675"/>
        <v>Apprenant 983</v>
      </c>
      <c r="BB995" s="49" t="str">
        <f t="shared" si="647"/>
        <v/>
      </c>
      <c r="BC995" s="49" t="str">
        <f t="shared" si="648"/>
        <v/>
      </c>
      <c r="BD995" s="49" t="str">
        <f t="shared" si="649"/>
        <v/>
      </c>
      <c r="BE995" s="22" t="str">
        <f t="shared" si="676"/>
        <v/>
      </c>
      <c r="BF995" s="21" t="str">
        <f t="shared" si="677"/>
        <v>Apprenant 983 ou 983'</v>
      </c>
      <c r="BG995" s="49" t="str">
        <f t="shared" si="650"/>
        <v/>
      </c>
      <c r="BH995" s="49" t="str">
        <f t="shared" si="651"/>
        <v/>
      </c>
      <c r="BI995" s="49" t="str">
        <f t="shared" si="652"/>
        <v/>
      </c>
      <c r="BJ995" s="22" t="str">
        <f t="shared" si="678"/>
        <v/>
      </c>
      <c r="BL995" s="21"/>
      <c r="BM995" s="21" t="str">
        <f>IF(OR(COUNT(B995:D1994)=0,AND('Choix pédagogiques'!$C$3&lt;&gt;1,'Choix pédagogiques'!$C$3&lt;&gt;2)),"",IF(AND(OR('Choix pédagogiques'!$C$3=1,'Choix pédagogiques'!$C$3=2),$B995&lt;&gt;"",$C995&lt;&gt;"",$D995&lt;&gt;""),1,0))</f>
        <v/>
      </c>
      <c r="BN995" s="21" t="str">
        <f>IF(OR(COUNT(G995:I1994)=0,AND('Choix pédagogiques'!$C$3&lt;&gt;1,'Choix pédagogiques'!$C$3&lt;&gt;2)),"",IF(AND(OR('Choix pédagogiques'!$C$3=1,'Choix pédagogiques'!$C$3=2),AND($G995&lt;&gt;"",$H995&lt;&gt;"",$I995&lt;&gt;"")),1,0))</f>
        <v/>
      </c>
      <c r="BO995" s="21" t="str">
        <f>IF(OR(COUNT(B995:D1994)=0,COUNT(G995:I1994)=0,'Choix pédagogiques'!C$3&lt;&gt;3),"",IF(AND('Choix pédagogiques'!$C$3=3,$B995&lt;&gt;"",$C995&lt;&gt;"",$D995&lt;&gt;"",$G995&lt;&gt;"",$H995&lt;&gt;"",$I995&lt;&gt;""),1,0))</f>
        <v/>
      </c>
      <c r="BR995" s="21">
        <v>347</v>
      </c>
      <c r="BS995" s="21">
        <v>1536</v>
      </c>
      <c r="BT995"/>
    </row>
    <row r="996" spans="1:72" s="23" customFormat="1" ht="18" customHeight="1" x14ac:dyDescent="0.3">
      <c r="A996" s="35" t="s">
        <v>986</v>
      </c>
      <c r="B996" s="37"/>
      <c r="C996" s="37"/>
      <c r="D996" s="37"/>
      <c r="E996" s="37"/>
      <c r="F996" s="35" t="s">
        <v>1994</v>
      </c>
      <c r="G996" s="37"/>
      <c r="H996" s="37"/>
      <c r="I996" s="37"/>
      <c r="J996" s="37"/>
      <c r="K996" s="21" t="str">
        <f t="shared" si="653"/>
        <v>Apprenant 984</v>
      </c>
      <c r="L996" s="22" t="str">
        <f t="shared" si="654"/>
        <v/>
      </c>
      <c r="M996" s="22" t="str">
        <f t="shared" si="655"/>
        <v/>
      </c>
      <c r="N996" s="22" t="str">
        <f t="shared" si="656"/>
        <v/>
      </c>
      <c r="O996" s="22" t="str">
        <f t="shared" si="657"/>
        <v/>
      </c>
      <c r="P996" s="21" t="str">
        <f t="shared" si="658"/>
        <v>Apprenant 984 ou 984'</v>
      </c>
      <c r="Q996" s="22" t="str">
        <f t="shared" si="659"/>
        <v/>
      </c>
      <c r="R996" s="22" t="str">
        <f t="shared" si="660"/>
        <v/>
      </c>
      <c r="S996" s="22" t="str">
        <f t="shared" si="661"/>
        <v/>
      </c>
      <c r="T996" s="22" t="str">
        <f t="shared" si="662"/>
        <v/>
      </c>
      <c r="V996" s="21" t="str">
        <f t="shared" si="663"/>
        <v>Apprenant 984</v>
      </c>
      <c r="W996" s="22" t="str">
        <f>IF(AND(OR('Choix pédagogiques'!$C$3=1,'Choix pédagogiques'!$C$3=2),$BM996=1),B996,IF(AND('Choix pédagogiques'!$C$3=3,$BO996=1),B996,""))</f>
        <v/>
      </c>
      <c r="X996" s="22" t="str">
        <f>IF(AND(OR('Choix pédagogiques'!$C$3=1,'Choix pédagogiques'!$C$3=2),$BM996=1),C996,IF(AND('Choix pédagogiques'!$C$3=3,$BO996=1),C996,""))</f>
        <v/>
      </c>
      <c r="Y996" s="22" t="str">
        <f>IF(AND(OR('Choix pédagogiques'!$C$3=1,'Choix pédagogiques'!$C$3=2),$BM996=1),D996,IF(AND('Choix pédagogiques'!$C$3=3,$BO996=1),D996,""))</f>
        <v/>
      </c>
      <c r="Z996" s="22" t="str">
        <f t="shared" si="664"/>
        <v/>
      </c>
      <c r="AA996" s="21" t="str">
        <f t="shared" si="665"/>
        <v>Apprenant 984 ou 984'</v>
      </c>
      <c r="AB996" s="22" t="str">
        <f>IF(AND(OR('Choix pédagogiques'!$C$3=1,'Choix pédagogiques'!$C$3=2),$BN996=1),G996,IF(AND('Choix pédagogiques'!$C$3=3,$BO996=1),G996,""))</f>
        <v/>
      </c>
      <c r="AC996" s="22" t="str">
        <f>IF(AND(OR('Choix pédagogiques'!$C$3=1,'Choix pédagogiques'!$C$3=2),$BN996=1),H996,IF(AND('Choix pédagogiques'!$C$3=3,$BO996=1),H996,""))</f>
        <v/>
      </c>
      <c r="AD996" s="22" t="str">
        <f>IF(AND(OR('Choix pédagogiques'!$C$3=1,'Choix pédagogiques'!$C$3=2),$BN996=1),I996,IF(AND('Choix pédagogiques'!$C$3=3,$BO996=1),I996,""))</f>
        <v/>
      </c>
      <c r="AE996" s="22" t="str">
        <f t="shared" si="666"/>
        <v/>
      </c>
      <c r="AF996" s="21" t="str">
        <f t="shared" si="667"/>
        <v>Apprenant 984</v>
      </c>
      <c r="AG996" s="22" t="str">
        <f t="shared" si="641"/>
        <v/>
      </c>
      <c r="AH996" s="22" t="str">
        <f t="shared" si="642"/>
        <v/>
      </c>
      <c r="AI996" s="22" t="str">
        <f t="shared" si="643"/>
        <v/>
      </c>
      <c r="AJ996" s="22" t="str">
        <f t="shared" si="668"/>
        <v/>
      </c>
      <c r="AK996" s="21" t="str">
        <f t="shared" si="669"/>
        <v>Apprenant 984 ou 984'</v>
      </c>
      <c r="AL996" s="22" t="str">
        <f t="shared" si="644"/>
        <v/>
      </c>
      <c r="AM996" s="22" t="str">
        <f t="shared" si="645"/>
        <v/>
      </c>
      <c r="AN996" s="22" t="str">
        <f t="shared" si="646"/>
        <v/>
      </c>
      <c r="AO996" s="22" t="str">
        <f t="shared" si="670"/>
        <v/>
      </c>
      <c r="AQ996" s="21" t="str">
        <f t="shared" si="671"/>
        <v>Apprenant 984</v>
      </c>
      <c r="AR996" s="49" t="str">
        <f>IF(AND('Choix pédagogiques'!$C$4&lt;&gt;"?",'Choix pédagogiques'!$C$5&lt;&gt;"?",W996&lt;&gt;""),(W996-'Choix pédagogiques'!$C$4)/('Choix pédagogiques'!$C$5-'Choix pédagogiques'!$C$4),"")</f>
        <v/>
      </c>
      <c r="AS996" s="49" t="str">
        <f>IF(AND('Choix pédagogiques'!$C$4&lt;&gt;"?",'Choix pédagogiques'!$C$5&lt;&gt;"?",X996&lt;&gt;""),(X996-'Choix pédagogiques'!$C$4)/('Choix pédagogiques'!$C$5-'Choix pédagogiques'!$C$4),"")</f>
        <v/>
      </c>
      <c r="AT996" s="49" t="str">
        <f>IF(AND('Choix pédagogiques'!$C$4&lt;&gt;"?",'Choix pédagogiques'!$C$5&lt;&gt;"?",Y996&lt;&gt;""),(Y996-'Choix pédagogiques'!$C$4)/('Choix pédagogiques'!$C$5-'Choix pédagogiques'!$C$4),"")</f>
        <v/>
      </c>
      <c r="AU996" s="22" t="str">
        <f t="shared" si="672"/>
        <v/>
      </c>
      <c r="AV996" s="21" t="str">
        <f t="shared" si="673"/>
        <v>Apprenant 984 ou 984'</v>
      </c>
      <c r="AW996" s="49" t="str">
        <f>IF(AND('Choix pédagogiques'!$C$4&lt;&gt;"?",'Choix pédagogiques'!$C$5&lt;&gt;"?",AB996&lt;&gt;""),(AB996-'Choix pédagogiques'!$C$4)/('Choix pédagogiques'!$C$5-'Choix pédagogiques'!$C$4),"")</f>
        <v/>
      </c>
      <c r="AX996" s="49" t="str">
        <f>IF(AND('Choix pédagogiques'!$C$4&lt;&gt;"?",'Choix pédagogiques'!$C$5&lt;&gt;"?",AC996&lt;&gt;""),(AC996-'Choix pédagogiques'!$C$4)/('Choix pédagogiques'!$C$5-'Choix pédagogiques'!$C$4),"")</f>
        <v/>
      </c>
      <c r="AY996" s="49" t="str">
        <f>IF(AND('Choix pédagogiques'!$C$4&lt;&gt;"?",'Choix pédagogiques'!$C$5&lt;&gt;"?",AD996&lt;&gt;""),(AD996-'Choix pédagogiques'!$C$4)/('Choix pédagogiques'!$C$5-'Choix pédagogiques'!$C$4),"")</f>
        <v/>
      </c>
      <c r="AZ996" s="22" t="str">
        <f t="shared" si="674"/>
        <v/>
      </c>
      <c r="BA996" s="21" t="str">
        <f t="shared" si="675"/>
        <v>Apprenant 984</v>
      </c>
      <c r="BB996" s="49" t="str">
        <f t="shared" si="647"/>
        <v/>
      </c>
      <c r="BC996" s="49" t="str">
        <f t="shared" si="648"/>
        <v/>
      </c>
      <c r="BD996" s="49" t="str">
        <f t="shared" si="649"/>
        <v/>
      </c>
      <c r="BE996" s="22" t="str">
        <f t="shared" si="676"/>
        <v/>
      </c>
      <c r="BF996" s="21" t="str">
        <f t="shared" si="677"/>
        <v>Apprenant 984 ou 984'</v>
      </c>
      <c r="BG996" s="49" t="str">
        <f t="shared" si="650"/>
        <v/>
      </c>
      <c r="BH996" s="49" t="str">
        <f t="shared" si="651"/>
        <v/>
      </c>
      <c r="BI996" s="49" t="str">
        <f t="shared" si="652"/>
        <v/>
      </c>
      <c r="BJ996" s="22" t="str">
        <f t="shared" si="678"/>
        <v/>
      </c>
      <c r="BL996" s="21"/>
      <c r="BM996" s="21" t="str">
        <f>IF(OR(COUNT(B996:D1995)=0,AND('Choix pédagogiques'!$C$3&lt;&gt;1,'Choix pédagogiques'!$C$3&lt;&gt;2)),"",IF(AND(OR('Choix pédagogiques'!$C$3=1,'Choix pédagogiques'!$C$3=2),$B996&lt;&gt;"",$C996&lt;&gt;"",$D996&lt;&gt;""),1,0))</f>
        <v/>
      </c>
      <c r="BN996" s="21" t="str">
        <f>IF(OR(COUNT(G996:I1995)=0,AND('Choix pédagogiques'!$C$3&lt;&gt;1,'Choix pédagogiques'!$C$3&lt;&gt;2)),"",IF(AND(OR('Choix pédagogiques'!$C$3=1,'Choix pédagogiques'!$C$3=2),AND($G996&lt;&gt;"",$H996&lt;&gt;"",$I996&lt;&gt;"")),1,0))</f>
        <v/>
      </c>
      <c r="BO996" s="21" t="str">
        <f>IF(OR(COUNT(B996:D1995)=0,COUNT(G996:I1995)=0,'Choix pédagogiques'!C$3&lt;&gt;3),"",IF(AND('Choix pédagogiques'!$C$3=3,$B996&lt;&gt;"",$C996&lt;&gt;"",$D996&lt;&gt;"",$G996&lt;&gt;"",$H996&lt;&gt;"",$I996&lt;&gt;""),1,0))</f>
        <v/>
      </c>
      <c r="BR996" s="21">
        <v>712</v>
      </c>
      <c r="BS996" s="21">
        <v>1802</v>
      </c>
      <c r="BT996"/>
    </row>
    <row r="997" spans="1:72" s="23" customFormat="1" ht="18" customHeight="1" x14ac:dyDescent="0.3">
      <c r="A997" s="35" t="s">
        <v>987</v>
      </c>
      <c r="B997" s="37"/>
      <c r="C997" s="37"/>
      <c r="D997" s="37"/>
      <c r="E997" s="37"/>
      <c r="F997" s="35" t="s">
        <v>1995</v>
      </c>
      <c r="G997" s="37"/>
      <c r="H997" s="37"/>
      <c r="I997" s="37"/>
      <c r="J997" s="37"/>
      <c r="K997" s="21" t="str">
        <f t="shared" si="653"/>
        <v>Apprenant 985</v>
      </c>
      <c r="L997" s="22" t="str">
        <f t="shared" si="654"/>
        <v/>
      </c>
      <c r="M997" s="22" t="str">
        <f t="shared" si="655"/>
        <v/>
      </c>
      <c r="N997" s="22" t="str">
        <f t="shared" si="656"/>
        <v/>
      </c>
      <c r="O997" s="22" t="str">
        <f t="shared" si="657"/>
        <v/>
      </c>
      <c r="P997" s="21" t="str">
        <f t="shared" si="658"/>
        <v>Apprenant 985 ou 985'</v>
      </c>
      <c r="Q997" s="22" t="str">
        <f t="shared" si="659"/>
        <v/>
      </c>
      <c r="R997" s="22" t="str">
        <f t="shared" si="660"/>
        <v/>
      </c>
      <c r="S997" s="22" t="str">
        <f t="shared" si="661"/>
        <v/>
      </c>
      <c r="T997" s="22" t="str">
        <f t="shared" si="662"/>
        <v/>
      </c>
      <c r="V997" s="21" t="str">
        <f t="shared" si="663"/>
        <v>Apprenant 985</v>
      </c>
      <c r="W997" s="22" t="str">
        <f>IF(AND(OR('Choix pédagogiques'!$C$3=1,'Choix pédagogiques'!$C$3=2),$BM997=1),B997,IF(AND('Choix pédagogiques'!$C$3=3,$BO997=1),B997,""))</f>
        <v/>
      </c>
      <c r="X997" s="22" t="str">
        <f>IF(AND(OR('Choix pédagogiques'!$C$3=1,'Choix pédagogiques'!$C$3=2),$BM997=1),C997,IF(AND('Choix pédagogiques'!$C$3=3,$BO997=1),C997,""))</f>
        <v/>
      </c>
      <c r="Y997" s="22" t="str">
        <f>IF(AND(OR('Choix pédagogiques'!$C$3=1,'Choix pédagogiques'!$C$3=2),$BM997=1),D997,IF(AND('Choix pédagogiques'!$C$3=3,$BO997=1),D997,""))</f>
        <v/>
      </c>
      <c r="Z997" s="22" t="str">
        <f t="shared" si="664"/>
        <v/>
      </c>
      <c r="AA997" s="21" t="str">
        <f t="shared" si="665"/>
        <v>Apprenant 985 ou 985'</v>
      </c>
      <c r="AB997" s="22" t="str">
        <f>IF(AND(OR('Choix pédagogiques'!$C$3=1,'Choix pédagogiques'!$C$3=2),$BN997=1),G997,IF(AND('Choix pédagogiques'!$C$3=3,$BO997=1),G997,""))</f>
        <v/>
      </c>
      <c r="AC997" s="22" t="str">
        <f>IF(AND(OR('Choix pédagogiques'!$C$3=1,'Choix pédagogiques'!$C$3=2),$BN997=1),H997,IF(AND('Choix pédagogiques'!$C$3=3,$BO997=1),H997,""))</f>
        <v/>
      </c>
      <c r="AD997" s="22" t="str">
        <f>IF(AND(OR('Choix pédagogiques'!$C$3=1,'Choix pédagogiques'!$C$3=2),$BN997=1),I997,IF(AND('Choix pédagogiques'!$C$3=3,$BO997=1),I997,""))</f>
        <v/>
      </c>
      <c r="AE997" s="22" t="str">
        <f t="shared" si="666"/>
        <v/>
      </c>
      <c r="AF997" s="21" t="str">
        <f t="shared" si="667"/>
        <v>Apprenant 985</v>
      </c>
      <c r="AG997" s="22" t="str">
        <f t="shared" si="641"/>
        <v/>
      </c>
      <c r="AH997" s="22" t="str">
        <f t="shared" si="642"/>
        <v/>
      </c>
      <c r="AI997" s="22" t="str">
        <f t="shared" si="643"/>
        <v/>
      </c>
      <c r="AJ997" s="22" t="str">
        <f t="shared" si="668"/>
        <v/>
      </c>
      <c r="AK997" s="21" t="str">
        <f t="shared" si="669"/>
        <v>Apprenant 985 ou 985'</v>
      </c>
      <c r="AL997" s="22" t="str">
        <f t="shared" si="644"/>
        <v/>
      </c>
      <c r="AM997" s="22" t="str">
        <f t="shared" si="645"/>
        <v/>
      </c>
      <c r="AN997" s="22" t="str">
        <f t="shared" si="646"/>
        <v/>
      </c>
      <c r="AO997" s="22" t="str">
        <f t="shared" si="670"/>
        <v/>
      </c>
      <c r="AQ997" s="21" t="str">
        <f t="shared" si="671"/>
        <v>Apprenant 985</v>
      </c>
      <c r="AR997" s="49" t="str">
        <f>IF(AND('Choix pédagogiques'!$C$4&lt;&gt;"?",'Choix pédagogiques'!$C$5&lt;&gt;"?",W997&lt;&gt;""),(W997-'Choix pédagogiques'!$C$4)/('Choix pédagogiques'!$C$5-'Choix pédagogiques'!$C$4),"")</f>
        <v/>
      </c>
      <c r="AS997" s="49" t="str">
        <f>IF(AND('Choix pédagogiques'!$C$4&lt;&gt;"?",'Choix pédagogiques'!$C$5&lt;&gt;"?",X997&lt;&gt;""),(X997-'Choix pédagogiques'!$C$4)/('Choix pédagogiques'!$C$5-'Choix pédagogiques'!$C$4),"")</f>
        <v/>
      </c>
      <c r="AT997" s="49" t="str">
        <f>IF(AND('Choix pédagogiques'!$C$4&lt;&gt;"?",'Choix pédagogiques'!$C$5&lt;&gt;"?",Y997&lt;&gt;""),(Y997-'Choix pédagogiques'!$C$4)/('Choix pédagogiques'!$C$5-'Choix pédagogiques'!$C$4),"")</f>
        <v/>
      </c>
      <c r="AU997" s="22" t="str">
        <f t="shared" si="672"/>
        <v/>
      </c>
      <c r="AV997" s="21" t="str">
        <f t="shared" si="673"/>
        <v>Apprenant 985 ou 985'</v>
      </c>
      <c r="AW997" s="49" t="str">
        <f>IF(AND('Choix pédagogiques'!$C$4&lt;&gt;"?",'Choix pédagogiques'!$C$5&lt;&gt;"?",AB997&lt;&gt;""),(AB997-'Choix pédagogiques'!$C$4)/('Choix pédagogiques'!$C$5-'Choix pédagogiques'!$C$4),"")</f>
        <v/>
      </c>
      <c r="AX997" s="49" t="str">
        <f>IF(AND('Choix pédagogiques'!$C$4&lt;&gt;"?",'Choix pédagogiques'!$C$5&lt;&gt;"?",AC997&lt;&gt;""),(AC997-'Choix pédagogiques'!$C$4)/('Choix pédagogiques'!$C$5-'Choix pédagogiques'!$C$4),"")</f>
        <v/>
      </c>
      <c r="AY997" s="49" t="str">
        <f>IF(AND('Choix pédagogiques'!$C$4&lt;&gt;"?",'Choix pédagogiques'!$C$5&lt;&gt;"?",AD997&lt;&gt;""),(AD997-'Choix pédagogiques'!$C$4)/('Choix pédagogiques'!$C$5-'Choix pédagogiques'!$C$4),"")</f>
        <v/>
      </c>
      <c r="AZ997" s="22" t="str">
        <f t="shared" si="674"/>
        <v/>
      </c>
      <c r="BA997" s="21" t="str">
        <f t="shared" si="675"/>
        <v>Apprenant 985</v>
      </c>
      <c r="BB997" s="49" t="str">
        <f t="shared" si="647"/>
        <v/>
      </c>
      <c r="BC997" s="49" t="str">
        <f t="shared" si="648"/>
        <v/>
      </c>
      <c r="BD997" s="49" t="str">
        <f t="shared" si="649"/>
        <v/>
      </c>
      <c r="BE997" s="22" t="str">
        <f t="shared" si="676"/>
        <v/>
      </c>
      <c r="BF997" s="21" t="str">
        <f t="shared" si="677"/>
        <v>Apprenant 985 ou 985'</v>
      </c>
      <c r="BG997" s="49" t="str">
        <f t="shared" si="650"/>
        <v/>
      </c>
      <c r="BH997" s="49" t="str">
        <f t="shared" si="651"/>
        <v/>
      </c>
      <c r="BI997" s="49" t="str">
        <f t="shared" si="652"/>
        <v/>
      </c>
      <c r="BJ997" s="22" t="str">
        <f t="shared" si="678"/>
        <v/>
      </c>
      <c r="BL997" s="21"/>
      <c r="BM997" s="21" t="str">
        <f>IF(OR(COUNT(B997:D1996)=0,AND('Choix pédagogiques'!$C$3&lt;&gt;1,'Choix pédagogiques'!$C$3&lt;&gt;2)),"",IF(AND(OR('Choix pédagogiques'!$C$3=1,'Choix pédagogiques'!$C$3=2),$B997&lt;&gt;"",$C997&lt;&gt;"",$D997&lt;&gt;""),1,0))</f>
        <v/>
      </c>
      <c r="BN997" s="21" t="str">
        <f>IF(OR(COUNT(G997:I1996)=0,AND('Choix pédagogiques'!$C$3&lt;&gt;1,'Choix pédagogiques'!$C$3&lt;&gt;2)),"",IF(AND(OR('Choix pédagogiques'!$C$3=1,'Choix pédagogiques'!$C$3=2),AND($G997&lt;&gt;"",$H997&lt;&gt;"",$I997&lt;&gt;"")),1,0))</f>
        <v/>
      </c>
      <c r="BO997" s="21" t="str">
        <f>IF(OR(COUNT(B997:D1996)=0,COUNT(G997:I1996)=0,'Choix pédagogiques'!C$3&lt;&gt;3),"",IF(AND('Choix pédagogiques'!$C$3=3,$B997&lt;&gt;"",$C997&lt;&gt;"",$D997&lt;&gt;"",$G997&lt;&gt;"",$H997&lt;&gt;"",$I997&lt;&gt;""),1,0))</f>
        <v/>
      </c>
      <c r="BR997" s="21">
        <v>253</v>
      </c>
      <c r="BS997" s="21">
        <v>1005</v>
      </c>
      <c r="BT997"/>
    </row>
    <row r="998" spans="1:72" s="23" customFormat="1" ht="18" customHeight="1" x14ac:dyDescent="0.3">
      <c r="A998" s="35" t="s">
        <v>988</v>
      </c>
      <c r="B998" s="37"/>
      <c r="C998" s="37"/>
      <c r="D998" s="37"/>
      <c r="E998" s="37"/>
      <c r="F998" s="35" t="s">
        <v>1996</v>
      </c>
      <c r="G998" s="37"/>
      <c r="H998" s="37"/>
      <c r="I998" s="37"/>
      <c r="J998" s="37"/>
      <c r="K998" s="21" t="str">
        <f t="shared" si="653"/>
        <v>Apprenant 986</v>
      </c>
      <c r="L998" s="22" t="str">
        <f t="shared" si="654"/>
        <v/>
      </c>
      <c r="M998" s="22" t="str">
        <f t="shared" si="655"/>
        <v/>
      </c>
      <c r="N998" s="22" t="str">
        <f t="shared" si="656"/>
        <v/>
      </c>
      <c r="O998" s="22" t="str">
        <f t="shared" si="657"/>
        <v/>
      </c>
      <c r="P998" s="21" t="str">
        <f t="shared" si="658"/>
        <v>Apprenant 986 ou 986'</v>
      </c>
      <c r="Q998" s="22" t="str">
        <f t="shared" si="659"/>
        <v/>
      </c>
      <c r="R998" s="22" t="str">
        <f t="shared" si="660"/>
        <v/>
      </c>
      <c r="S998" s="22" t="str">
        <f t="shared" si="661"/>
        <v/>
      </c>
      <c r="T998" s="22" t="str">
        <f t="shared" si="662"/>
        <v/>
      </c>
      <c r="V998" s="21" t="str">
        <f t="shared" si="663"/>
        <v>Apprenant 986</v>
      </c>
      <c r="W998" s="22" t="str">
        <f>IF(AND(OR('Choix pédagogiques'!$C$3=1,'Choix pédagogiques'!$C$3=2),$BM998=1),B998,IF(AND('Choix pédagogiques'!$C$3=3,$BO998=1),B998,""))</f>
        <v/>
      </c>
      <c r="X998" s="22" t="str">
        <f>IF(AND(OR('Choix pédagogiques'!$C$3=1,'Choix pédagogiques'!$C$3=2),$BM998=1),C998,IF(AND('Choix pédagogiques'!$C$3=3,$BO998=1),C998,""))</f>
        <v/>
      </c>
      <c r="Y998" s="22" t="str">
        <f>IF(AND(OR('Choix pédagogiques'!$C$3=1,'Choix pédagogiques'!$C$3=2),$BM998=1),D998,IF(AND('Choix pédagogiques'!$C$3=3,$BO998=1),D998,""))</f>
        <v/>
      </c>
      <c r="Z998" s="22" t="str">
        <f t="shared" si="664"/>
        <v/>
      </c>
      <c r="AA998" s="21" t="str">
        <f t="shared" si="665"/>
        <v>Apprenant 986 ou 986'</v>
      </c>
      <c r="AB998" s="22" t="str">
        <f>IF(AND(OR('Choix pédagogiques'!$C$3=1,'Choix pédagogiques'!$C$3=2),$BN998=1),G998,IF(AND('Choix pédagogiques'!$C$3=3,$BO998=1),G998,""))</f>
        <v/>
      </c>
      <c r="AC998" s="22" t="str">
        <f>IF(AND(OR('Choix pédagogiques'!$C$3=1,'Choix pédagogiques'!$C$3=2),$BN998=1),H998,IF(AND('Choix pédagogiques'!$C$3=3,$BO998=1),H998,""))</f>
        <v/>
      </c>
      <c r="AD998" s="22" t="str">
        <f>IF(AND(OR('Choix pédagogiques'!$C$3=1,'Choix pédagogiques'!$C$3=2),$BN998=1),I998,IF(AND('Choix pédagogiques'!$C$3=3,$BO998=1),I998,""))</f>
        <v/>
      </c>
      <c r="AE998" s="22" t="str">
        <f t="shared" si="666"/>
        <v/>
      </c>
      <c r="AF998" s="21" t="str">
        <f t="shared" si="667"/>
        <v>Apprenant 986</v>
      </c>
      <c r="AG998" s="22" t="str">
        <f t="shared" si="641"/>
        <v/>
      </c>
      <c r="AH998" s="22" t="str">
        <f t="shared" si="642"/>
        <v/>
      </c>
      <c r="AI998" s="22" t="str">
        <f t="shared" si="643"/>
        <v/>
      </c>
      <c r="AJ998" s="22" t="str">
        <f t="shared" si="668"/>
        <v/>
      </c>
      <c r="AK998" s="21" t="str">
        <f t="shared" si="669"/>
        <v>Apprenant 986 ou 986'</v>
      </c>
      <c r="AL998" s="22" t="str">
        <f t="shared" si="644"/>
        <v/>
      </c>
      <c r="AM998" s="22" t="str">
        <f t="shared" si="645"/>
        <v/>
      </c>
      <c r="AN998" s="22" t="str">
        <f t="shared" si="646"/>
        <v/>
      </c>
      <c r="AO998" s="22" t="str">
        <f t="shared" si="670"/>
        <v/>
      </c>
      <c r="AQ998" s="21" t="str">
        <f t="shared" si="671"/>
        <v>Apprenant 986</v>
      </c>
      <c r="AR998" s="49" t="str">
        <f>IF(AND('Choix pédagogiques'!$C$4&lt;&gt;"?",'Choix pédagogiques'!$C$5&lt;&gt;"?",W998&lt;&gt;""),(W998-'Choix pédagogiques'!$C$4)/('Choix pédagogiques'!$C$5-'Choix pédagogiques'!$C$4),"")</f>
        <v/>
      </c>
      <c r="AS998" s="49" t="str">
        <f>IF(AND('Choix pédagogiques'!$C$4&lt;&gt;"?",'Choix pédagogiques'!$C$5&lt;&gt;"?",X998&lt;&gt;""),(X998-'Choix pédagogiques'!$C$4)/('Choix pédagogiques'!$C$5-'Choix pédagogiques'!$C$4),"")</f>
        <v/>
      </c>
      <c r="AT998" s="49" t="str">
        <f>IF(AND('Choix pédagogiques'!$C$4&lt;&gt;"?",'Choix pédagogiques'!$C$5&lt;&gt;"?",Y998&lt;&gt;""),(Y998-'Choix pédagogiques'!$C$4)/('Choix pédagogiques'!$C$5-'Choix pédagogiques'!$C$4),"")</f>
        <v/>
      </c>
      <c r="AU998" s="22" t="str">
        <f t="shared" si="672"/>
        <v/>
      </c>
      <c r="AV998" s="21" t="str">
        <f t="shared" si="673"/>
        <v>Apprenant 986 ou 986'</v>
      </c>
      <c r="AW998" s="49" t="str">
        <f>IF(AND('Choix pédagogiques'!$C$4&lt;&gt;"?",'Choix pédagogiques'!$C$5&lt;&gt;"?",AB998&lt;&gt;""),(AB998-'Choix pédagogiques'!$C$4)/('Choix pédagogiques'!$C$5-'Choix pédagogiques'!$C$4),"")</f>
        <v/>
      </c>
      <c r="AX998" s="49" t="str">
        <f>IF(AND('Choix pédagogiques'!$C$4&lt;&gt;"?",'Choix pédagogiques'!$C$5&lt;&gt;"?",AC998&lt;&gt;""),(AC998-'Choix pédagogiques'!$C$4)/('Choix pédagogiques'!$C$5-'Choix pédagogiques'!$C$4),"")</f>
        <v/>
      </c>
      <c r="AY998" s="49" t="str">
        <f>IF(AND('Choix pédagogiques'!$C$4&lt;&gt;"?",'Choix pédagogiques'!$C$5&lt;&gt;"?",AD998&lt;&gt;""),(AD998-'Choix pédagogiques'!$C$4)/('Choix pédagogiques'!$C$5-'Choix pédagogiques'!$C$4),"")</f>
        <v/>
      </c>
      <c r="AZ998" s="22" t="str">
        <f t="shared" si="674"/>
        <v/>
      </c>
      <c r="BA998" s="21" t="str">
        <f t="shared" si="675"/>
        <v>Apprenant 986</v>
      </c>
      <c r="BB998" s="49" t="str">
        <f t="shared" si="647"/>
        <v/>
      </c>
      <c r="BC998" s="49" t="str">
        <f t="shared" si="648"/>
        <v/>
      </c>
      <c r="BD998" s="49" t="str">
        <f t="shared" si="649"/>
        <v/>
      </c>
      <c r="BE998" s="22" t="str">
        <f t="shared" si="676"/>
        <v/>
      </c>
      <c r="BF998" s="21" t="str">
        <f t="shared" si="677"/>
        <v>Apprenant 986 ou 986'</v>
      </c>
      <c r="BG998" s="49" t="str">
        <f t="shared" si="650"/>
        <v/>
      </c>
      <c r="BH998" s="49" t="str">
        <f t="shared" si="651"/>
        <v/>
      </c>
      <c r="BI998" s="49" t="str">
        <f t="shared" si="652"/>
        <v/>
      </c>
      <c r="BJ998" s="22" t="str">
        <f t="shared" si="678"/>
        <v/>
      </c>
      <c r="BL998" s="21"/>
      <c r="BM998" s="21" t="str">
        <f>IF(OR(COUNT(B998:D1997)=0,AND('Choix pédagogiques'!$C$3&lt;&gt;1,'Choix pédagogiques'!$C$3&lt;&gt;2)),"",IF(AND(OR('Choix pédagogiques'!$C$3=1,'Choix pédagogiques'!$C$3=2),$B998&lt;&gt;"",$C998&lt;&gt;"",$D998&lt;&gt;""),1,0))</f>
        <v/>
      </c>
      <c r="BN998" s="21" t="str">
        <f>IF(OR(COUNT(G998:I1997)=0,AND('Choix pédagogiques'!$C$3&lt;&gt;1,'Choix pédagogiques'!$C$3&lt;&gt;2)),"",IF(AND(OR('Choix pédagogiques'!$C$3=1,'Choix pédagogiques'!$C$3=2),AND($G998&lt;&gt;"",$H998&lt;&gt;"",$I998&lt;&gt;"")),1,0))</f>
        <v/>
      </c>
      <c r="BO998" s="21" t="str">
        <f>IF(OR(COUNT(B998:D1997)=0,COUNT(G998:I1997)=0,'Choix pédagogiques'!C$3&lt;&gt;3),"",IF(AND('Choix pédagogiques'!$C$3=3,$B998&lt;&gt;"",$C998&lt;&gt;"",$D998&lt;&gt;"",$G998&lt;&gt;"",$H998&lt;&gt;"",$I998&lt;&gt;""),1,0))</f>
        <v/>
      </c>
      <c r="BR998" s="21">
        <v>820</v>
      </c>
      <c r="BS998" s="21">
        <v>1819</v>
      </c>
      <c r="BT998"/>
    </row>
    <row r="999" spans="1:72" s="23" customFormat="1" ht="18" customHeight="1" x14ac:dyDescent="0.3">
      <c r="A999" s="35" t="s">
        <v>989</v>
      </c>
      <c r="B999" s="37"/>
      <c r="C999" s="37"/>
      <c r="D999" s="37"/>
      <c r="E999" s="37"/>
      <c r="F999" s="35" t="s">
        <v>1997</v>
      </c>
      <c r="G999" s="37"/>
      <c r="H999" s="37"/>
      <c r="I999" s="37"/>
      <c r="J999" s="37"/>
      <c r="K999" s="21" t="str">
        <f t="shared" si="653"/>
        <v>Apprenant 987</v>
      </c>
      <c r="L999" s="22" t="str">
        <f t="shared" si="654"/>
        <v/>
      </c>
      <c r="M999" s="22" t="str">
        <f t="shared" si="655"/>
        <v/>
      </c>
      <c r="N999" s="22" t="str">
        <f t="shared" si="656"/>
        <v/>
      </c>
      <c r="O999" s="22" t="str">
        <f t="shared" si="657"/>
        <v/>
      </c>
      <c r="P999" s="21" t="str">
        <f t="shared" si="658"/>
        <v>Apprenant 987 ou 987'</v>
      </c>
      <c r="Q999" s="22" t="str">
        <f t="shared" si="659"/>
        <v/>
      </c>
      <c r="R999" s="22" t="str">
        <f t="shared" si="660"/>
        <v/>
      </c>
      <c r="S999" s="22" t="str">
        <f t="shared" si="661"/>
        <v/>
      </c>
      <c r="T999" s="22" t="str">
        <f t="shared" si="662"/>
        <v/>
      </c>
      <c r="V999" s="21" t="str">
        <f t="shared" si="663"/>
        <v>Apprenant 987</v>
      </c>
      <c r="W999" s="22" t="str">
        <f>IF(AND(OR('Choix pédagogiques'!$C$3=1,'Choix pédagogiques'!$C$3=2),$BM999=1),B999,IF(AND('Choix pédagogiques'!$C$3=3,$BO999=1),B999,""))</f>
        <v/>
      </c>
      <c r="X999" s="22" t="str">
        <f>IF(AND(OR('Choix pédagogiques'!$C$3=1,'Choix pédagogiques'!$C$3=2),$BM999=1),C999,IF(AND('Choix pédagogiques'!$C$3=3,$BO999=1),C999,""))</f>
        <v/>
      </c>
      <c r="Y999" s="22" t="str">
        <f>IF(AND(OR('Choix pédagogiques'!$C$3=1,'Choix pédagogiques'!$C$3=2),$BM999=1),D999,IF(AND('Choix pédagogiques'!$C$3=3,$BO999=1),D999,""))</f>
        <v/>
      </c>
      <c r="Z999" s="22" t="str">
        <f t="shared" si="664"/>
        <v/>
      </c>
      <c r="AA999" s="21" t="str">
        <f t="shared" si="665"/>
        <v>Apprenant 987 ou 987'</v>
      </c>
      <c r="AB999" s="22" t="str">
        <f>IF(AND(OR('Choix pédagogiques'!$C$3=1,'Choix pédagogiques'!$C$3=2),$BN999=1),G999,IF(AND('Choix pédagogiques'!$C$3=3,$BO999=1),G999,""))</f>
        <v/>
      </c>
      <c r="AC999" s="22" t="str">
        <f>IF(AND(OR('Choix pédagogiques'!$C$3=1,'Choix pédagogiques'!$C$3=2),$BN999=1),H999,IF(AND('Choix pédagogiques'!$C$3=3,$BO999=1),H999,""))</f>
        <v/>
      </c>
      <c r="AD999" s="22" t="str">
        <f>IF(AND(OR('Choix pédagogiques'!$C$3=1,'Choix pédagogiques'!$C$3=2),$BN999=1),I999,IF(AND('Choix pédagogiques'!$C$3=3,$BO999=1),I999,""))</f>
        <v/>
      </c>
      <c r="AE999" s="22" t="str">
        <f t="shared" si="666"/>
        <v/>
      </c>
      <c r="AF999" s="21" t="str">
        <f t="shared" si="667"/>
        <v>Apprenant 987</v>
      </c>
      <c r="AG999" s="22" t="str">
        <f t="shared" si="641"/>
        <v/>
      </c>
      <c r="AH999" s="22" t="str">
        <f t="shared" si="642"/>
        <v/>
      </c>
      <c r="AI999" s="22" t="str">
        <f t="shared" si="643"/>
        <v/>
      </c>
      <c r="AJ999" s="22" t="str">
        <f t="shared" si="668"/>
        <v/>
      </c>
      <c r="AK999" s="21" t="str">
        <f t="shared" si="669"/>
        <v>Apprenant 987 ou 987'</v>
      </c>
      <c r="AL999" s="22" t="str">
        <f t="shared" si="644"/>
        <v/>
      </c>
      <c r="AM999" s="22" t="str">
        <f t="shared" si="645"/>
        <v/>
      </c>
      <c r="AN999" s="22" t="str">
        <f t="shared" si="646"/>
        <v/>
      </c>
      <c r="AO999" s="22" t="str">
        <f t="shared" si="670"/>
        <v/>
      </c>
      <c r="AQ999" s="21" t="str">
        <f t="shared" si="671"/>
        <v>Apprenant 987</v>
      </c>
      <c r="AR999" s="49" t="str">
        <f>IF(AND('Choix pédagogiques'!$C$4&lt;&gt;"?",'Choix pédagogiques'!$C$5&lt;&gt;"?",W999&lt;&gt;""),(W999-'Choix pédagogiques'!$C$4)/('Choix pédagogiques'!$C$5-'Choix pédagogiques'!$C$4),"")</f>
        <v/>
      </c>
      <c r="AS999" s="49" t="str">
        <f>IF(AND('Choix pédagogiques'!$C$4&lt;&gt;"?",'Choix pédagogiques'!$C$5&lt;&gt;"?",X999&lt;&gt;""),(X999-'Choix pédagogiques'!$C$4)/('Choix pédagogiques'!$C$5-'Choix pédagogiques'!$C$4),"")</f>
        <v/>
      </c>
      <c r="AT999" s="49" t="str">
        <f>IF(AND('Choix pédagogiques'!$C$4&lt;&gt;"?",'Choix pédagogiques'!$C$5&lt;&gt;"?",Y999&lt;&gt;""),(Y999-'Choix pédagogiques'!$C$4)/('Choix pédagogiques'!$C$5-'Choix pédagogiques'!$C$4),"")</f>
        <v/>
      </c>
      <c r="AU999" s="22" t="str">
        <f t="shared" si="672"/>
        <v/>
      </c>
      <c r="AV999" s="21" t="str">
        <f t="shared" si="673"/>
        <v>Apprenant 987 ou 987'</v>
      </c>
      <c r="AW999" s="49" t="str">
        <f>IF(AND('Choix pédagogiques'!$C$4&lt;&gt;"?",'Choix pédagogiques'!$C$5&lt;&gt;"?",AB999&lt;&gt;""),(AB999-'Choix pédagogiques'!$C$4)/('Choix pédagogiques'!$C$5-'Choix pédagogiques'!$C$4),"")</f>
        <v/>
      </c>
      <c r="AX999" s="49" t="str">
        <f>IF(AND('Choix pédagogiques'!$C$4&lt;&gt;"?",'Choix pédagogiques'!$C$5&lt;&gt;"?",AC999&lt;&gt;""),(AC999-'Choix pédagogiques'!$C$4)/('Choix pédagogiques'!$C$5-'Choix pédagogiques'!$C$4),"")</f>
        <v/>
      </c>
      <c r="AY999" s="49" t="str">
        <f>IF(AND('Choix pédagogiques'!$C$4&lt;&gt;"?",'Choix pédagogiques'!$C$5&lt;&gt;"?",AD999&lt;&gt;""),(AD999-'Choix pédagogiques'!$C$4)/('Choix pédagogiques'!$C$5-'Choix pédagogiques'!$C$4),"")</f>
        <v/>
      </c>
      <c r="AZ999" s="22" t="str">
        <f t="shared" si="674"/>
        <v/>
      </c>
      <c r="BA999" s="21" t="str">
        <f t="shared" si="675"/>
        <v>Apprenant 987</v>
      </c>
      <c r="BB999" s="49" t="str">
        <f t="shared" si="647"/>
        <v/>
      </c>
      <c r="BC999" s="49" t="str">
        <f t="shared" si="648"/>
        <v/>
      </c>
      <c r="BD999" s="49" t="str">
        <f t="shared" si="649"/>
        <v/>
      </c>
      <c r="BE999" s="22" t="str">
        <f t="shared" si="676"/>
        <v/>
      </c>
      <c r="BF999" s="21" t="str">
        <f t="shared" si="677"/>
        <v>Apprenant 987 ou 987'</v>
      </c>
      <c r="BG999" s="49" t="str">
        <f t="shared" si="650"/>
        <v/>
      </c>
      <c r="BH999" s="49" t="str">
        <f t="shared" si="651"/>
        <v/>
      </c>
      <c r="BI999" s="49" t="str">
        <f t="shared" si="652"/>
        <v/>
      </c>
      <c r="BJ999" s="22" t="str">
        <f t="shared" si="678"/>
        <v/>
      </c>
      <c r="BL999" s="21"/>
      <c r="BM999" s="21" t="str">
        <f>IF(OR(COUNT(B999:D1998)=0,AND('Choix pédagogiques'!$C$3&lt;&gt;1,'Choix pédagogiques'!$C$3&lt;&gt;2)),"",IF(AND(OR('Choix pédagogiques'!$C$3=1,'Choix pédagogiques'!$C$3=2),$B999&lt;&gt;"",$C999&lt;&gt;"",$D999&lt;&gt;""),1,0))</f>
        <v/>
      </c>
      <c r="BN999" s="21" t="str">
        <f>IF(OR(COUNT(G999:I1998)=0,AND('Choix pédagogiques'!$C$3&lt;&gt;1,'Choix pédagogiques'!$C$3&lt;&gt;2)),"",IF(AND(OR('Choix pédagogiques'!$C$3=1,'Choix pédagogiques'!$C$3=2),AND($G999&lt;&gt;"",$H999&lt;&gt;"",$I999&lt;&gt;"")),1,0))</f>
        <v/>
      </c>
      <c r="BO999" s="21" t="str">
        <f>IF(OR(COUNT(B999:D1998)=0,COUNT(G999:I1998)=0,'Choix pédagogiques'!C$3&lt;&gt;3),"",IF(AND('Choix pédagogiques'!$C$3=3,$B999&lt;&gt;"",$C999&lt;&gt;"",$D999&lt;&gt;"",$G999&lt;&gt;"",$H999&lt;&gt;"",$I999&lt;&gt;""),1,0))</f>
        <v/>
      </c>
      <c r="BR999" s="21">
        <v>833</v>
      </c>
      <c r="BS999" s="21">
        <v>1008</v>
      </c>
      <c r="BT999"/>
    </row>
    <row r="1000" spans="1:72" s="23" customFormat="1" ht="18" customHeight="1" x14ac:dyDescent="0.3">
      <c r="A1000" s="35" t="s">
        <v>990</v>
      </c>
      <c r="B1000" s="37"/>
      <c r="C1000" s="37"/>
      <c r="D1000" s="37"/>
      <c r="E1000" s="37"/>
      <c r="F1000" s="35" t="s">
        <v>1998</v>
      </c>
      <c r="G1000" s="37"/>
      <c r="H1000" s="37"/>
      <c r="I1000" s="37"/>
      <c r="J1000" s="37"/>
      <c r="K1000" s="21" t="str">
        <f t="shared" si="653"/>
        <v>Apprenant 988</v>
      </c>
      <c r="L1000" s="22" t="str">
        <f t="shared" si="654"/>
        <v/>
      </c>
      <c r="M1000" s="22" t="str">
        <f t="shared" si="655"/>
        <v/>
      </c>
      <c r="N1000" s="22" t="str">
        <f t="shared" si="656"/>
        <v/>
      </c>
      <c r="O1000" s="22" t="str">
        <f t="shared" si="657"/>
        <v/>
      </c>
      <c r="P1000" s="21" t="str">
        <f t="shared" si="658"/>
        <v>Apprenant 988 ou 988'</v>
      </c>
      <c r="Q1000" s="22" t="str">
        <f t="shared" si="659"/>
        <v/>
      </c>
      <c r="R1000" s="22" t="str">
        <f t="shared" si="660"/>
        <v/>
      </c>
      <c r="S1000" s="22" t="str">
        <f t="shared" si="661"/>
        <v/>
      </c>
      <c r="T1000" s="22" t="str">
        <f t="shared" si="662"/>
        <v/>
      </c>
      <c r="V1000" s="21" t="str">
        <f t="shared" si="663"/>
        <v>Apprenant 988</v>
      </c>
      <c r="W1000" s="22" t="str">
        <f>IF(AND(OR('Choix pédagogiques'!$C$3=1,'Choix pédagogiques'!$C$3=2),$BM1000=1),B1000,IF(AND('Choix pédagogiques'!$C$3=3,$BO1000=1),B1000,""))</f>
        <v/>
      </c>
      <c r="X1000" s="22" t="str">
        <f>IF(AND(OR('Choix pédagogiques'!$C$3=1,'Choix pédagogiques'!$C$3=2),$BM1000=1),C1000,IF(AND('Choix pédagogiques'!$C$3=3,$BO1000=1),C1000,""))</f>
        <v/>
      </c>
      <c r="Y1000" s="22" t="str">
        <f>IF(AND(OR('Choix pédagogiques'!$C$3=1,'Choix pédagogiques'!$C$3=2),$BM1000=1),D1000,IF(AND('Choix pédagogiques'!$C$3=3,$BO1000=1),D1000,""))</f>
        <v/>
      </c>
      <c r="Z1000" s="22" t="str">
        <f t="shared" si="664"/>
        <v/>
      </c>
      <c r="AA1000" s="21" t="str">
        <f t="shared" si="665"/>
        <v>Apprenant 988 ou 988'</v>
      </c>
      <c r="AB1000" s="22" t="str">
        <f>IF(AND(OR('Choix pédagogiques'!$C$3=1,'Choix pédagogiques'!$C$3=2),$BN1000=1),G1000,IF(AND('Choix pédagogiques'!$C$3=3,$BO1000=1),G1000,""))</f>
        <v/>
      </c>
      <c r="AC1000" s="22" t="str">
        <f>IF(AND(OR('Choix pédagogiques'!$C$3=1,'Choix pédagogiques'!$C$3=2),$BN1000=1),H1000,IF(AND('Choix pédagogiques'!$C$3=3,$BO1000=1),H1000,""))</f>
        <v/>
      </c>
      <c r="AD1000" s="22" t="str">
        <f>IF(AND(OR('Choix pédagogiques'!$C$3=1,'Choix pédagogiques'!$C$3=2),$BN1000=1),I1000,IF(AND('Choix pédagogiques'!$C$3=3,$BO1000=1),I1000,""))</f>
        <v/>
      </c>
      <c r="AE1000" s="22" t="str">
        <f t="shared" si="666"/>
        <v/>
      </c>
      <c r="AF1000" s="21" t="str">
        <f t="shared" si="667"/>
        <v>Apprenant 988</v>
      </c>
      <c r="AG1000" s="22" t="str">
        <f t="shared" si="641"/>
        <v/>
      </c>
      <c r="AH1000" s="22" t="str">
        <f t="shared" si="642"/>
        <v/>
      </c>
      <c r="AI1000" s="22" t="str">
        <f t="shared" si="643"/>
        <v/>
      </c>
      <c r="AJ1000" s="22" t="str">
        <f t="shared" si="668"/>
        <v/>
      </c>
      <c r="AK1000" s="21" t="str">
        <f t="shared" si="669"/>
        <v>Apprenant 988 ou 988'</v>
      </c>
      <c r="AL1000" s="22" t="str">
        <f t="shared" si="644"/>
        <v/>
      </c>
      <c r="AM1000" s="22" t="str">
        <f t="shared" si="645"/>
        <v/>
      </c>
      <c r="AN1000" s="22" t="str">
        <f t="shared" si="646"/>
        <v/>
      </c>
      <c r="AO1000" s="22" t="str">
        <f t="shared" si="670"/>
        <v/>
      </c>
      <c r="AQ1000" s="21" t="str">
        <f t="shared" si="671"/>
        <v>Apprenant 988</v>
      </c>
      <c r="AR1000" s="49" t="str">
        <f>IF(AND('Choix pédagogiques'!$C$4&lt;&gt;"?",'Choix pédagogiques'!$C$5&lt;&gt;"?",W1000&lt;&gt;""),(W1000-'Choix pédagogiques'!$C$4)/('Choix pédagogiques'!$C$5-'Choix pédagogiques'!$C$4),"")</f>
        <v/>
      </c>
      <c r="AS1000" s="49" t="str">
        <f>IF(AND('Choix pédagogiques'!$C$4&lt;&gt;"?",'Choix pédagogiques'!$C$5&lt;&gt;"?",X1000&lt;&gt;""),(X1000-'Choix pédagogiques'!$C$4)/('Choix pédagogiques'!$C$5-'Choix pédagogiques'!$C$4),"")</f>
        <v/>
      </c>
      <c r="AT1000" s="49" t="str">
        <f>IF(AND('Choix pédagogiques'!$C$4&lt;&gt;"?",'Choix pédagogiques'!$C$5&lt;&gt;"?",Y1000&lt;&gt;""),(Y1000-'Choix pédagogiques'!$C$4)/('Choix pédagogiques'!$C$5-'Choix pédagogiques'!$C$4),"")</f>
        <v/>
      </c>
      <c r="AU1000" s="22" t="str">
        <f t="shared" si="672"/>
        <v/>
      </c>
      <c r="AV1000" s="21" t="str">
        <f t="shared" si="673"/>
        <v>Apprenant 988 ou 988'</v>
      </c>
      <c r="AW1000" s="49" t="str">
        <f>IF(AND('Choix pédagogiques'!$C$4&lt;&gt;"?",'Choix pédagogiques'!$C$5&lt;&gt;"?",AB1000&lt;&gt;""),(AB1000-'Choix pédagogiques'!$C$4)/('Choix pédagogiques'!$C$5-'Choix pédagogiques'!$C$4),"")</f>
        <v/>
      </c>
      <c r="AX1000" s="49" t="str">
        <f>IF(AND('Choix pédagogiques'!$C$4&lt;&gt;"?",'Choix pédagogiques'!$C$5&lt;&gt;"?",AC1000&lt;&gt;""),(AC1000-'Choix pédagogiques'!$C$4)/('Choix pédagogiques'!$C$5-'Choix pédagogiques'!$C$4),"")</f>
        <v/>
      </c>
      <c r="AY1000" s="49" t="str">
        <f>IF(AND('Choix pédagogiques'!$C$4&lt;&gt;"?",'Choix pédagogiques'!$C$5&lt;&gt;"?",AD1000&lt;&gt;""),(AD1000-'Choix pédagogiques'!$C$4)/('Choix pédagogiques'!$C$5-'Choix pédagogiques'!$C$4),"")</f>
        <v/>
      </c>
      <c r="AZ1000" s="22" t="str">
        <f t="shared" si="674"/>
        <v/>
      </c>
      <c r="BA1000" s="21" t="str">
        <f t="shared" si="675"/>
        <v>Apprenant 988</v>
      </c>
      <c r="BB1000" s="49" t="str">
        <f t="shared" si="647"/>
        <v/>
      </c>
      <c r="BC1000" s="49" t="str">
        <f t="shared" si="648"/>
        <v/>
      </c>
      <c r="BD1000" s="49" t="str">
        <f t="shared" si="649"/>
        <v/>
      </c>
      <c r="BE1000" s="22" t="str">
        <f t="shared" si="676"/>
        <v/>
      </c>
      <c r="BF1000" s="21" t="str">
        <f t="shared" si="677"/>
        <v>Apprenant 988 ou 988'</v>
      </c>
      <c r="BG1000" s="49" t="str">
        <f t="shared" si="650"/>
        <v/>
      </c>
      <c r="BH1000" s="49" t="str">
        <f t="shared" si="651"/>
        <v/>
      </c>
      <c r="BI1000" s="49" t="str">
        <f t="shared" si="652"/>
        <v/>
      </c>
      <c r="BJ1000" s="22" t="str">
        <f t="shared" si="678"/>
        <v/>
      </c>
      <c r="BL1000" s="21"/>
      <c r="BM1000" s="21" t="str">
        <f>IF(OR(COUNT(B1000:D1999)=0,AND('Choix pédagogiques'!$C$3&lt;&gt;1,'Choix pédagogiques'!$C$3&lt;&gt;2)),"",IF(AND(OR('Choix pédagogiques'!$C$3=1,'Choix pédagogiques'!$C$3=2),$B1000&lt;&gt;"",$C1000&lt;&gt;"",$D1000&lt;&gt;""),1,0))</f>
        <v/>
      </c>
      <c r="BN1000" s="21" t="str">
        <f>IF(OR(COUNT(G1000:I1999)=0,AND('Choix pédagogiques'!$C$3&lt;&gt;1,'Choix pédagogiques'!$C$3&lt;&gt;2)),"",IF(AND(OR('Choix pédagogiques'!$C$3=1,'Choix pédagogiques'!$C$3=2),AND($G1000&lt;&gt;"",$H1000&lt;&gt;"",$I1000&lt;&gt;"")),1,0))</f>
        <v/>
      </c>
      <c r="BO1000" s="21" t="str">
        <f>IF(OR(COUNT(B1000:D1999)=0,COUNT(G1000:I1999)=0,'Choix pédagogiques'!C$3&lt;&gt;3),"",IF(AND('Choix pédagogiques'!$C$3=3,$B1000&lt;&gt;"",$C1000&lt;&gt;"",$D1000&lt;&gt;"",$G1000&lt;&gt;"",$H1000&lt;&gt;"",$I1000&lt;&gt;""),1,0))</f>
        <v/>
      </c>
      <c r="BR1000" s="21">
        <v>771</v>
      </c>
      <c r="BS1000" s="21">
        <v>1416</v>
      </c>
      <c r="BT1000"/>
    </row>
    <row r="1001" spans="1:72" s="23" customFormat="1" ht="18" customHeight="1" x14ac:dyDescent="0.3">
      <c r="A1001" s="35" t="s">
        <v>991</v>
      </c>
      <c r="B1001" s="37"/>
      <c r="C1001" s="37"/>
      <c r="D1001" s="37"/>
      <c r="E1001" s="37"/>
      <c r="F1001" s="35" t="s">
        <v>1999</v>
      </c>
      <c r="G1001" s="37"/>
      <c r="H1001" s="37"/>
      <c r="I1001" s="37"/>
      <c r="J1001" s="37"/>
      <c r="K1001" s="21" t="str">
        <f t="shared" si="653"/>
        <v>Apprenant 989</v>
      </c>
      <c r="L1001" s="22" t="str">
        <f t="shared" si="654"/>
        <v/>
      </c>
      <c r="M1001" s="22" t="str">
        <f t="shared" si="655"/>
        <v/>
      </c>
      <c r="N1001" s="22" t="str">
        <f t="shared" si="656"/>
        <v/>
      </c>
      <c r="O1001" s="22" t="str">
        <f t="shared" si="657"/>
        <v/>
      </c>
      <c r="P1001" s="21" t="str">
        <f t="shared" si="658"/>
        <v>Apprenant 989 ou 989'</v>
      </c>
      <c r="Q1001" s="22" t="str">
        <f t="shared" si="659"/>
        <v/>
      </c>
      <c r="R1001" s="22" t="str">
        <f t="shared" si="660"/>
        <v/>
      </c>
      <c r="S1001" s="22" t="str">
        <f t="shared" si="661"/>
        <v/>
      </c>
      <c r="T1001" s="22" t="str">
        <f t="shared" si="662"/>
        <v/>
      </c>
      <c r="V1001" s="21" t="str">
        <f t="shared" si="663"/>
        <v>Apprenant 989</v>
      </c>
      <c r="W1001" s="22" t="str">
        <f>IF(AND(OR('Choix pédagogiques'!$C$3=1,'Choix pédagogiques'!$C$3=2),$BM1001=1),B1001,IF(AND('Choix pédagogiques'!$C$3=3,$BO1001=1),B1001,""))</f>
        <v/>
      </c>
      <c r="X1001" s="22" t="str">
        <f>IF(AND(OR('Choix pédagogiques'!$C$3=1,'Choix pédagogiques'!$C$3=2),$BM1001=1),C1001,IF(AND('Choix pédagogiques'!$C$3=3,$BO1001=1),C1001,""))</f>
        <v/>
      </c>
      <c r="Y1001" s="22" t="str">
        <f>IF(AND(OR('Choix pédagogiques'!$C$3=1,'Choix pédagogiques'!$C$3=2),$BM1001=1),D1001,IF(AND('Choix pédagogiques'!$C$3=3,$BO1001=1),D1001,""))</f>
        <v/>
      </c>
      <c r="Z1001" s="22" t="str">
        <f t="shared" si="664"/>
        <v/>
      </c>
      <c r="AA1001" s="21" t="str">
        <f t="shared" si="665"/>
        <v>Apprenant 989 ou 989'</v>
      </c>
      <c r="AB1001" s="22" t="str">
        <f>IF(AND(OR('Choix pédagogiques'!$C$3=1,'Choix pédagogiques'!$C$3=2),$BN1001=1),G1001,IF(AND('Choix pédagogiques'!$C$3=3,$BO1001=1),G1001,""))</f>
        <v/>
      </c>
      <c r="AC1001" s="22" t="str">
        <f>IF(AND(OR('Choix pédagogiques'!$C$3=1,'Choix pédagogiques'!$C$3=2),$BN1001=1),H1001,IF(AND('Choix pédagogiques'!$C$3=3,$BO1001=1),H1001,""))</f>
        <v/>
      </c>
      <c r="AD1001" s="22" t="str">
        <f>IF(AND(OR('Choix pédagogiques'!$C$3=1,'Choix pédagogiques'!$C$3=2),$BN1001=1),I1001,IF(AND('Choix pédagogiques'!$C$3=3,$BO1001=1),I1001,""))</f>
        <v/>
      </c>
      <c r="AE1001" s="22" t="str">
        <f t="shared" si="666"/>
        <v/>
      </c>
      <c r="AF1001" s="21" t="str">
        <f t="shared" si="667"/>
        <v>Apprenant 989</v>
      </c>
      <c r="AG1001" s="22" t="str">
        <f t="shared" si="641"/>
        <v/>
      </c>
      <c r="AH1001" s="22" t="str">
        <f t="shared" si="642"/>
        <v/>
      </c>
      <c r="AI1001" s="22" t="str">
        <f t="shared" si="643"/>
        <v/>
      </c>
      <c r="AJ1001" s="22" t="str">
        <f t="shared" si="668"/>
        <v/>
      </c>
      <c r="AK1001" s="21" t="str">
        <f t="shared" si="669"/>
        <v>Apprenant 989 ou 989'</v>
      </c>
      <c r="AL1001" s="22" t="str">
        <f t="shared" si="644"/>
        <v/>
      </c>
      <c r="AM1001" s="22" t="str">
        <f t="shared" si="645"/>
        <v/>
      </c>
      <c r="AN1001" s="22" t="str">
        <f t="shared" si="646"/>
        <v/>
      </c>
      <c r="AO1001" s="22" t="str">
        <f t="shared" si="670"/>
        <v/>
      </c>
      <c r="AQ1001" s="21" t="str">
        <f t="shared" si="671"/>
        <v>Apprenant 989</v>
      </c>
      <c r="AR1001" s="49" t="str">
        <f>IF(AND('Choix pédagogiques'!$C$4&lt;&gt;"?",'Choix pédagogiques'!$C$5&lt;&gt;"?",W1001&lt;&gt;""),(W1001-'Choix pédagogiques'!$C$4)/('Choix pédagogiques'!$C$5-'Choix pédagogiques'!$C$4),"")</f>
        <v/>
      </c>
      <c r="AS1001" s="49" t="str">
        <f>IF(AND('Choix pédagogiques'!$C$4&lt;&gt;"?",'Choix pédagogiques'!$C$5&lt;&gt;"?",X1001&lt;&gt;""),(X1001-'Choix pédagogiques'!$C$4)/('Choix pédagogiques'!$C$5-'Choix pédagogiques'!$C$4),"")</f>
        <v/>
      </c>
      <c r="AT1001" s="49" t="str">
        <f>IF(AND('Choix pédagogiques'!$C$4&lt;&gt;"?",'Choix pédagogiques'!$C$5&lt;&gt;"?",Y1001&lt;&gt;""),(Y1001-'Choix pédagogiques'!$C$4)/('Choix pédagogiques'!$C$5-'Choix pédagogiques'!$C$4),"")</f>
        <v/>
      </c>
      <c r="AU1001" s="22" t="str">
        <f t="shared" si="672"/>
        <v/>
      </c>
      <c r="AV1001" s="21" t="str">
        <f t="shared" si="673"/>
        <v>Apprenant 989 ou 989'</v>
      </c>
      <c r="AW1001" s="49" t="str">
        <f>IF(AND('Choix pédagogiques'!$C$4&lt;&gt;"?",'Choix pédagogiques'!$C$5&lt;&gt;"?",AB1001&lt;&gt;""),(AB1001-'Choix pédagogiques'!$C$4)/('Choix pédagogiques'!$C$5-'Choix pédagogiques'!$C$4),"")</f>
        <v/>
      </c>
      <c r="AX1001" s="49" t="str">
        <f>IF(AND('Choix pédagogiques'!$C$4&lt;&gt;"?",'Choix pédagogiques'!$C$5&lt;&gt;"?",AC1001&lt;&gt;""),(AC1001-'Choix pédagogiques'!$C$4)/('Choix pédagogiques'!$C$5-'Choix pédagogiques'!$C$4),"")</f>
        <v/>
      </c>
      <c r="AY1001" s="49" t="str">
        <f>IF(AND('Choix pédagogiques'!$C$4&lt;&gt;"?",'Choix pédagogiques'!$C$5&lt;&gt;"?",AD1001&lt;&gt;""),(AD1001-'Choix pédagogiques'!$C$4)/('Choix pédagogiques'!$C$5-'Choix pédagogiques'!$C$4),"")</f>
        <v/>
      </c>
      <c r="AZ1001" s="22" t="str">
        <f t="shared" si="674"/>
        <v/>
      </c>
      <c r="BA1001" s="21" t="str">
        <f t="shared" si="675"/>
        <v>Apprenant 989</v>
      </c>
      <c r="BB1001" s="49" t="str">
        <f t="shared" si="647"/>
        <v/>
      </c>
      <c r="BC1001" s="49" t="str">
        <f t="shared" si="648"/>
        <v/>
      </c>
      <c r="BD1001" s="49" t="str">
        <f t="shared" si="649"/>
        <v/>
      </c>
      <c r="BE1001" s="22" t="str">
        <f t="shared" si="676"/>
        <v/>
      </c>
      <c r="BF1001" s="21" t="str">
        <f t="shared" si="677"/>
        <v>Apprenant 989 ou 989'</v>
      </c>
      <c r="BG1001" s="49" t="str">
        <f t="shared" si="650"/>
        <v/>
      </c>
      <c r="BH1001" s="49" t="str">
        <f t="shared" si="651"/>
        <v/>
      </c>
      <c r="BI1001" s="49" t="str">
        <f t="shared" si="652"/>
        <v/>
      </c>
      <c r="BJ1001" s="22" t="str">
        <f t="shared" si="678"/>
        <v/>
      </c>
      <c r="BL1001" s="21"/>
      <c r="BM1001" s="21" t="str">
        <f>IF(OR(COUNT(B1001:D2000)=0,AND('Choix pédagogiques'!$C$3&lt;&gt;1,'Choix pédagogiques'!$C$3&lt;&gt;2)),"",IF(AND(OR('Choix pédagogiques'!$C$3=1,'Choix pédagogiques'!$C$3=2),$B1001&lt;&gt;"",$C1001&lt;&gt;"",$D1001&lt;&gt;""),1,0))</f>
        <v/>
      </c>
      <c r="BN1001" s="21" t="str">
        <f>IF(OR(COUNT(G1001:I2000)=0,AND('Choix pédagogiques'!$C$3&lt;&gt;1,'Choix pédagogiques'!$C$3&lt;&gt;2)),"",IF(AND(OR('Choix pédagogiques'!$C$3=1,'Choix pédagogiques'!$C$3=2),AND($G1001&lt;&gt;"",$H1001&lt;&gt;"",$I1001&lt;&gt;"")),1,0))</f>
        <v/>
      </c>
      <c r="BO1001" s="21" t="str">
        <f>IF(OR(COUNT(B1001:D2000)=0,COUNT(G1001:I2000)=0,'Choix pédagogiques'!C$3&lt;&gt;3),"",IF(AND('Choix pédagogiques'!$C$3=3,$B1001&lt;&gt;"",$C1001&lt;&gt;"",$D1001&lt;&gt;"",$G1001&lt;&gt;"",$H1001&lt;&gt;"",$I1001&lt;&gt;""),1,0))</f>
        <v/>
      </c>
      <c r="BR1001" s="21">
        <v>587</v>
      </c>
      <c r="BS1001" s="21">
        <v>1432</v>
      </c>
      <c r="BT1001"/>
    </row>
    <row r="1002" spans="1:72" s="23" customFormat="1" ht="18" customHeight="1" x14ac:dyDescent="0.3">
      <c r="A1002" s="35" t="s">
        <v>992</v>
      </c>
      <c r="B1002" s="37"/>
      <c r="C1002" s="37"/>
      <c r="D1002" s="37"/>
      <c r="E1002" s="37"/>
      <c r="F1002" s="35" t="s">
        <v>2000</v>
      </c>
      <c r="G1002" s="37"/>
      <c r="H1002" s="37"/>
      <c r="I1002" s="37"/>
      <c r="J1002" s="37"/>
      <c r="K1002" s="21" t="str">
        <f t="shared" si="653"/>
        <v>Apprenant 990</v>
      </c>
      <c r="L1002" s="22" t="str">
        <f t="shared" si="654"/>
        <v/>
      </c>
      <c r="M1002" s="22" t="str">
        <f t="shared" si="655"/>
        <v/>
      </c>
      <c r="N1002" s="22" t="str">
        <f t="shared" si="656"/>
        <v/>
      </c>
      <c r="O1002" s="22" t="str">
        <f t="shared" si="657"/>
        <v/>
      </c>
      <c r="P1002" s="21" t="str">
        <f t="shared" si="658"/>
        <v>Apprenant 990 ou 990'</v>
      </c>
      <c r="Q1002" s="22" t="str">
        <f t="shared" si="659"/>
        <v/>
      </c>
      <c r="R1002" s="22" t="str">
        <f t="shared" si="660"/>
        <v/>
      </c>
      <c r="S1002" s="22" t="str">
        <f t="shared" si="661"/>
        <v/>
      </c>
      <c r="T1002" s="22" t="str">
        <f t="shared" si="662"/>
        <v/>
      </c>
      <c r="V1002" s="21" t="str">
        <f t="shared" si="663"/>
        <v>Apprenant 990</v>
      </c>
      <c r="W1002" s="22" t="str">
        <f>IF(AND(OR('Choix pédagogiques'!$C$3=1,'Choix pédagogiques'!$C$3=2),$BM1002=1),B1002,IF(AND('Choix pédagogiques'!$C$3=3,$BO1002=1),B1002,""))</f>
        <v/>
      </c>
      <c r="X1002" s="22" t="str">
        <f>IF(AND(OR('Choix pédagogiques'!$C$3=1,'Choix pédagogiques'!$C$3=2),$BM1002=1),C1002,IF(AND('Choix pédagogiques'!$C$3=3,$BO1002=1),C1002,""))</f>
        <v/>
      </c>
      <c r="Y1002" s="22" t="str">
        <f>IF(AND(OR('Choix pédagogiques'!$C$3=1,'Choix pédagogiques'!$C$3=2),$BM1002=1),D1002,IF(AND('Choix pédagogiques'!$C$3=3,$BO1002=1),D1002,""))</f>
        <v/>
      </c>
      <c r="Z1002" s="22" t="str">
        <f t="shared" si="664"/>
        <v/>
      </c>
      <c r="AA1002" s="21" t="str">
        <f t="shared" si="665"/>
        <v>Apprenant 990 ou 990'</v>
      </c>
      <c r="AB1002" s="22" t="str">
        <f>IF(AND(OR('Choix pédagogiques'!$C$3=1,'Choix pédagogiques'!$C$3=2),$BN1002=1),G1002,IF(AND('Choix pédagogiques'!$C$3=3,$BO1002=1),G1002,""))</f>
        <v/>
      </c>
      <c r="AC1002" s="22" t="str">
        <f>IF(AND(OR('Choix pédagogiques'!$C$3=1,'Choix pédagogiques'!$C$3=2),$BN1002=1),H1002,IF(AND('Choix pédagogiques'!$C$3=3,$BO1002=1),H1002,""))</f>
        <v/>
      </c>
      <c r="AD1002" s="22" t="str">
        <f>IF(AND(OR('Choix pédagogiques'!$C$3=1,'Choix pédagogiques'!$C$3=2),$BN1002=1),I1002,IF(AND('Choix pédagogiques'!$C$3=3,$BO1002=1),I1002,""))</f>
        <v/>
      </c>
      <c r="AE1002" s="22" t="str">
        <f t="shared" si="666"/>
        <v/>
      </c>
      <c r="AF1002" s="21" t="str">
        <f t="shared" si="667"/>
        <v>Apprenant 990</v>
      </c>
      <c r="AG1002" s="22" t="str">
        <f t="shared" si="641"/>
        <v/>
      </c>
      <c r="AH1002" s="22" t="str">
        <f t="shared" si="642"/>
        <v/>
      </c>
      <c r="AI1002" s="22" t="str">
        <f t="shared" si="643"/>
        <v/>
      </c>
      <c r="AJ1002" s="22" t="str">
        <f t="shared" si="668"/>
        <v/>
      </c>
      <c r="AK1002" s="21" t="str">
        <f t="shared" si="669"/>
        <v>Apprenant 990 ou 990'</v>
      </c>
      <c r="AL1002" s="22" t="str">
        <f t="shared" si="644"/>
        <v/>
      </c>
      <c r="AM1002" s="22" t="str">
        <f t="shared" si="645"/>
        <v/>
      </c>
      <c r="AN1002" s="22" t="str">
        <f t="shared" si="646"/>
        <v/>
      </c>
      <c r="AO1002" s="22" t="str">
        <f t="shared" si="670"/>
        <v/>
      </c>
      <c r="AQ1002" s="21" t="str">
        <f t="shared" si="671"/>
        <v>Apprenant 990</v>
      </c>
      <c r="AR1002" s="49" t="str">
        <f>IF(AND('Choix pédagogiques'!$C$4&lt;&gt;"?",'Choix pédagogiques'!$C$5&lt;&gt;"?",W1002&lt;&gt;""),(W1002-'Choix pédagogiques'!$C$4)/('Choix pédagogiques'!$C$5-'Choix pédagogiques'!$C$4),"")</f>
        <v/>
      </c>
      <c r="AS1002" s="49" t="str">
        <f>IF(AND('Choix pédagogiques'!$C$4&lt;&gt;"?",'Choix pédagogiques'!$C$5&lt;&gt;"?",X1002&lt;&gt;""),(X1002-'Choix pédagogiques'!$C$4)/('Choix pédagogiques'!$C$5-'Choix pédagogiques'!$C$4),"")</f>
        <v/>
      </c>
      <c r="AT1002" s="49" t="str">
        <f>IF(AND('Choix pédagogiques'!$C$4&lt;&gt;"?",'Choix pédagogiques'!$C$5&lt;&gt;"?",Y1002&lt;&gt;""),(Y1002-'Choix pédagogiques'!$C$4)/('Choix pédagogiques'!$C$5-'Choix pédagogiques'!$C$4),"")</f>
        <v/>
      </c>
      <c r="AU1002" s="22" t="str">
        <f t="shared" si="672"/>
        <v/>
      </c>
      <c r="AV1002" s="21" t="str">
        <f t="shared" si="673"/>
        <v>Apprenant 990 ou 990'</v>
      </c>
      <c r="AW1002" s="49" t="str">
        <f>IF(AND('Choix pédagogiques'!$C$4&lt;&gt;"?",'Choix pédagogiques'!$C$5&lt;&gt;"?",AB1002&lt;&gt;""),(AB1002-'Choix pédagogiques'!$C$4)/('Choix pédagogiques'!$C$5-'Choix pédagogiques'!$C$4),"")</f>
        <v/>
      </c>
      <c r="AX1002" s="49" t="str">
        <f>IF(AND('Choix pédagogiques'!$C$4&lt;&gt;"?",'Choix pédagogiques'!$C$5&lt;&gt;"?",AC1002&lt;&gt;""),(AC1002-'Choix pédagogiques'!$C$4)/('Choix pédagogiques'!$C$5-'Choix pédagogiques'!$C$4),"")</f>
        <v/>
      </c>
      <c r="AY1002" s="49" t="str">
        <f>IF(AND('Choix pédagogiques'!$C$4&lt;&gt;"?",'Choix pédagogiques'!$C$5&lt;&gt;"?",AD1002&lt;&gt;""),(AD1002-'Choix pédagogiques'!$C$4)/('Choix pédagogiques'!$C$5-'Choix pédagogiques'!$C$4),"")</f>
        <v/>
      </c>
      <c r="AZ1002" s="22" t="str">
        <f t="shared" si="674"/>
        <v/>
      </c>
      <c r="BA1002" s="21" t="str">
        <f t="shared" si="675"/>
        <v>Apprenant 990</v>
      </c>
      <c r="BB1002" s="49" t="str">
        <f t="shared" si="647"/>
        <v/>
      </c>
      <c r="BC1002" s="49" t="str">
        <f t="shared" si="648"/>
        <v/>
      </c>
      <c r="BD1002" s="49" t="str">
        <f t="shared" si="649"/>
        <v/>
      </c>
      <c r="BE1002" s="22" t="str">
        <f t="shared" si="676"/>
        <v/>
      </c>
      <c r="BF1002" s="21" t="str">
        <f t="shared" si="677"/>
        <v>Apprenant 990 ou 990'</v>
      </c>
      <c r="BG1002" s="49" t="str">
        <f t="shared" si="650"/>
        <v/>
      </c>
      <c r="BH1002" s="49" t="str">
        <f t="shared" si="651"/>
        <v/>
      </c>
      <c r="BI1002" s="49" t="str">
        <f t="shared" si="652"/>
        <v/>
      </c>
      <c r="BJ1002" s="22" t="str">
        <f t="shared" si="678"/>
        <v/>
      </c>
      <c r="BL1002" s="21"/>
      <c r="BM1002" s="21" t="str">
        <f>IF(OR(COUNT(B1002:D2001)=0,AND('Choix pédagogiques'!$C$3&lt;&gt;1,'Choix pédagogiques'!$C$3&lt;&gt;2)),"",IF(AND(OR('Choix pédagogiques'!$C$3=1,'Choix pédagogiques'!$C$3=2),$B1002&lt;&gt;"",$C1002&lt;&gt;"",$D1002&lt;&gt;""),1,0))</f>
        <v/>
      </c>
      <c r="BN1002" s="21" t="str">
        <f>IF(OR(COUNT(G1002:I2001)=0,AND('Choix pédagogiques'!$C$3&lt;&gt;1,'Choix pédagogiques'!$C$3&lt;&gt;2)),"",IF(AND(OR('Choix pédagogiques'!$C$3=1,'Choix pédagogiques'!$C$3=2),AND($G1002&lt;&gt;"",$H1002&lt;&gt;"",$I1002&lt;&gt;"")),1,0))</f>
        <v/>
      </c>
      <c r="BO1002" s="21" t="str">
        <f>IF(OR(COUNT(B1002:D2001)=0,COUNT(G1002:I2001)=0,'Choix pédagogiques'!C$3&lt;&gt;3),"",IF(AND('Choix pédagogiques'!$C$3=3,$B1002&lt;&gt;"",$C1002&lt;&gt;"",$D1002&lt;&gt;"",$G1002&lt;&gt;"",$H1002&lt;&gt;"",$I1002&lt;&gt;""),1,0))</f>
        <v/>
      </c>
      <c r="BR1002" s="21">
        <v>106</v>
      </c>
      <c r="BS1002" s="21">
        <v>1335</v>
      </c>
      <c r="BT1002"/>
    </row>
    <row r="1003" spans="1:72" s="23" customFormat="1" ht="18" customHeight="1" x14ac:dyDescent="0.3">
      <c r="A1003" s="35" t="s">
        <v>993</v>
      </c>
      <c r="B1003" s="37"/>
      <c r="C1003" s="37"/>
      <c r="D1003" s="37"/>
      <c r="E1003" s="37"/>
      <c r="F1003" s="35" t="s">
        <v>2001</v>
      </c>
      <c r="G1003" s="37"/>
      <c r="H1003" s="37"/>
      <c r="I1003" s="37"/>
      <c r="J1003" s="37"/>
      <c r="K1003" s="21" t="str">
        <f t="shared" si="653"/>
        <v>Apprenant 991</v>
      </c>
      <c r="L1003" s="22" t="str">
        <f t="shared" si="654"/>
        <v/>
      </c>
      <c r="M1003" s="22" t="str">
        <f t="shared" si="655"/>
        <v/>
      </c>
      <c r="N1003" s="22" t="str">
        <f t="shared" si="656"/>
        <v/>
      </c>
      <c r="O1003" s="22" t="str">
        <f t="shared" si="657"/>
        <v/>
      </c>
      <c r="P1003" s="21" t="str">
        <f t="shared" si="658"/>
        <v>Apprenant 991 ou 991'</v>
      </c>
      <c r="Q1003" s="22" t="str">
        <f t="shared" si="659"/>
        <v/>
      </c>
      <c r="R1003" s="22" t="str">
        <f t="shared" si="660"/>
        <v/>
      </c>
      <c r="S1003" s="22" t="str">
        <f t="shared" si="661"/>
        <v/>
      </c>
      <c r="T1003" s="22" t="str">
        <f t="shared" si="662"/>
        <v/>
      </c>
      <c r="V1003" s="21" t="str">
        <f t="shared" si="663"/>
        <v>Apprenant 991</v>
      </c>
      <c r="W1003" s="22" t="str">
        <f>IF(AND(OR('Choix pédagogiques'!$C$3=1,'Choix pédagogiques'!$C$3=2),$BM1003=1),B1003,IF(AND('Choix pédagogiques'!$C$3=3,$BO1003=1),B1003,""))</f>
        <v/>
      </c>
      <c r="X1003" s="22" t="str">
        <f>IF(AND(OR('Choix pédagogiques'!$C$3=1,'Choix pédagogiques'!$C$3=2),$BM1003=1),C1003,IF(AND('Choix pédagogiques'!$C$3=3,$BO1003=1),C1003,""))</f>
        <v/>
      </c>
      <c r="Y1003" s="22" t="str">
        <f>IF(AND(OR('Choix pédagogiques'!$C$3=1,'Choix pédagogiques'!$C$3=2),$BM1003=1),D1003,IF(AND('Choix pédagogiques'!$C$3=3,$BO1003=1),D1003,""))</f>
        <v/>
      </c>
      <c r="Z1003" s="22" t="str">
        <f t="shared" si="664"/>
        <v/>
      </c>
      <c r="AA1003" s="21" t="str">
        <f t="shared" si="665"/>
        <v>Apprenant 991 ou 991'</v>
      </c>
      <c r="AB1003" s="22" t="str">
        <f>IF(AND(OR('Choix pédagogiques'!$C$3=1,'Choix pédagogiques'!$C$3=2),$BN1003=1),G1003,IF(AND('Choix pédagogiques'!$C$3=3,$BO1003=1),G1003,""))</f>
        <v/>
      </c>
      <c r="AC1003" s="22" t="str">
        <f>IF(AND(OR('Choix pédagogiques'!$C$3=1,'Choix pédagogiques'!$C$3=2),$BN1003=1),H1003,IF(AND('Choix pédagogiques'!$C$3=3,$BO1003=1),H1003,""))</f>
        <v/>
      </c>
      <c r="AD1003" s="22" t="str">
        <f>IF(AND(OR('Choix pédagogiques'!$C$3=1,'Choix pédagogiques'!$C$3=2),$BN1003=1),I1003,IF(AND('Choix pédagogiques'!$C$3=3,$BO1003=1),I1003,""))</f>
        <v/>
      </c>
      <c r="AE1003" s="22" t="str">
        <f t="shared" si="666"/>
        <v/>
      </c>
      <c r="AF1003" s="21" t="str">
        <f t="shared" si="667"/>
        <v>Apprenant 991</v>
      </c>
      <c r="AG1003" s="22" t="str">
        <f t="shared" si="641"/>
        <v/>
      </c>
      <c r="AH1003" s="22" t="str">
        <f t="shared" si="642"/>
        <v/>
      </c>
      <c r="AI1003" s="22" t="str">
        <f t="shared" si="643"/>
        <v/>
      </c>
      <c r="AJ1003" s="22" t="str">
        <f t="shared" si="668"/>
        <v/>
      </c>
      <c r="AK1003" s="21" t="str">
        <f t="shared" si="669"/>
        <v>Apprenant 991 ou 991'</v>
      </c>
      <c r="AL1003" s="22" t="str">
        <f t="shared" si="644"/>
        <v/>
      </c>
      <c r="AM1003" s="22" t="str">
        <f t="shared" si="645"/>
        <v/>
      </c>
      <c r="AN1003" s="22" t="str">
        <f t="shared" si="646"/>
        <v/>
      </c>
      <c r="AO1003" s="22" t="str">
        <f t="shared" si="670"/>
        <v/>
      </c>
      <c r="AQ1003" s="21" t="str">
        <f t="shared" si="671"/>
        <v>Apprenant 991</v>
      </c>
      <c r="AR1003" s="49" t="str">
        <f>IF(AND('Choix pédagogiques'!$C$4&lt;&gt;"?",'Choix pédagogiques'!$C$5&lt;&gt;"?",W1003&lt;&gt;""),(W1003-'Choix pédagogiques'!$C$4)/('Choix pédagogiques'!$C$5-'Choix pédagogiques'!$C$4),"")</f>
        <v/>
      </c>
      <c r="AS1003" s="49" t="str">
        <f>IF(AND('Choix pédagogiques'!$C$4&lt;&gt;"?",'Choix pédagogiques'!$C$5&lt;&gt;"?",X1003&lt;&gt;""),(X1003-'Choix pédagogiques'!$C$4)/('Choix pédagogiques'!$C$5-'Choix pédagogiques'!$C$4),"")</f>
        <v/>
      </c>
      <c r="AT1003" s="49" t="str">
        <f>IF(AND('Choix pédagogiques'!$C$4&lt;&gt;"?",'Choix pédagogiques'!$C$5&lt;&gt;"?",Y1003&lt;&gt;""),(Y1003-'Choix pédagogiques'!$C$4)/('Choix pédagogiques'!$C$5-'Choix pédagogiques'!$C$4),"")</f>
        <v/>
      </c>
      <c r="AU1003" s="22" t="str">
        <f t="shared" si="672"/>
        <v/>
      </c>
      <c r="AV1003" s="21" t="str">
        <f t="shared" si="673"/>
        <v>Apprenant 991 ou 991'</v>
      </c>
      <c r="AW1003" s="49" t="str">
        <f>IF(AND('Choix pédagogiques'!$C$4&lt;&gt;"?",'Choix pédagogiques'!$C$5&lt;&gt;"?",AB1003&lt;&gt;""),(AB1003-'Choix pédagogiques'!$C$4)/('Choix pédagogiques'!$C$5-'Choix pédagogiques'!$C$4),"")</f>
        <v/>
      </c>
      <c r="AX1003" s="49" t="str">
        <f>IF(AND('Choix pédagogiques'!$C$4&lt;&gt;"?",'Choix pédagogiques'!$C$5&lt;&gt;"?",AC1003&lt;&gt;""),(AC1003-'Choix pédagogiques'!$C$4)/('Choix pédagogiques'!$C$5-'Choix pédagogiques'!$C$4),"")</f>
        <v/>
      </c>
      <c r="AY1003" s="49" t="str">
        <f>IF(AND('Choix pédagogiques'!$C$4&lt;&gt;"?",'Choix pédagogiques'!$C$5&lt;&gt;"?",AD1003&lt;&gt;""),(AD1003-'Choix pédagogiques'!$C$4)/('Choix pédagogiques'!$C$5-'Choix pédagogiques'!$C$4),"")</f>
        <v/>
      </c>
      <c r="AZ1003" s="22" t="str">
        <f t="shared" si="674"/>
        <v/>
      </c>
      <c r="BA1003" s="21" t="str">
        <f t="shared" si="675"/>
        <v>Apprenant 991</v>
      </c>
      <c r="BB1003" s="49" t="str">
        <f t="shared" si="647"/>
        <v/>
      </c>
      <c r="BC1003" s="49" t="str">
        <f t="shared" si="648"/>
        <v/>
      </c>
      <c r="BD1003" s="49" t="str">
        <f t="shared" si="649"/>
        <v/>
      </c>
      <c r="BE1003" s="22" t="str">
        <f t="shared" si="676"/>
        <v/>
      </c>
      <c r="BF1003" s="21" t="str">
        <f t="shared" si="677"/>
        <v>Apprenant 991 ou 991'</v>
      </c>
      <c r="BG1003" s="49" t="str">
        <f t="shared" si="650"/>
        <v/>
      </c>
      <c r="BH1003" s="49" t="str">
        <f t="shared" si="651"/>
        <v/>
      </c>
      <c r="BI1003" s="49" t="str">
        <f t="shared" si="652"/>
        <v/>
      </c>
      <c r="BJ1003" s="22" t="str">
        <f t="shared" si="678"/>
        <v/>
      </c>
      <c r="BL1003" s="21"/>
      <c r="BM1003" s="21" t="str">
        <f>IF(OR(COUNT(B1003:D2002)=0,AND('Choix pédagogiques'!$C$3&lt;&gt;1,'Choix pédagogiques'!$C$3&lt;&gt;2)),"",IF(AND(OR('Choix pédagogiques'!$C$3=1,'Choix pédagogiques'!$C$3=2),$B1003&lt;&gt;"",$C1003&lt;&gt;"",$D1003&lt;&gt;""),1,0))</f>
        <v/>
      </c>
      <c r="BN1003" s="21" t="str">
        <f>IF(OR(COUNT(G1003:I2002)=0,AND('Choix pédagogiques'!$C$3&lt;&gt;1,'Choix pédagogiques'!$C$3&lt;&gt;2)),"",IF(AND(OR('Choix pédagogiques'!$C$3=1,'Choix pédagogiques'!$C$3=2),AND($G1003&lt;&gt;"",$H1003&lt;&gt;"",$I1003&lt;&gt;"")),1,0))</f>
        <v/>
      </c>
      <c r="BO1003" s="21" t="str">
        <f>IF(OR(COUNT(B1003:D2002)=0,COUNT(G1003:I2002)=0,'Choix pédagogiques'!C$3&lt;&gt;3),"",IF(AND('Choix pédagogiques'!$C$3=3,$B1003&lt;&gt;"",$C1003&lt;&gt;"",$D1003&lt;&gt;"",$G1003&lt;&gt;"",$H1003&lt;&gt;"",$I1003&lt;&gt;""),1,0))</f>
        <v/>
      </c>
      <c r="BR1003" s="21">
        <v>287</v>
      </c>
      <c r="BS1003" s="21">
        <v>1281</v>
      </c>
      <c r="BT1003"/>
    </row>
    <row r="1004" spans="1:72" s="23" customFormat="1" ht="18" customHeight="1" x14ac:dyDescent="0.3">
      <c r="A1004" s="35" t="s">
        <v>994</v>
      </c>
      <c r="B1004" s="37"/>
      <c r="C1004" s="37"/>
      <c r="D1004" s="37"/>
      <c r="E1004" s="37"/>
      <c r="F1004" s="35" t="s">
        <v>2002</v>
      </c>
      <c r="G1004" s="37"/>
      <c r="H1004" s="37"/>
      <c r="I1004" s="37"/>
      <c r="J1004" s="37"/>
      <c r="K1004" s="21" t="str">
        <f t="shared" si="653"/>
        <v>Apprenant 992</v>
      </c>
      <c r="L1004" s="22" t="str">
        <f t="shared" si="654"/>
        <v/>
      </c>
      <c r="M1004" s="22" t="str">
        <f t="shared" si="655"/>
        <v/>
      </c>
      <c r="N1004" s="22" t="str">
        <f t="shared" si="656"/>
        <v/>
      </c>
      <c r="O1004" s="22" t="str">
        <f t="shared" si="657"/>
        <v/>
      </c>
      <c r="P1004" s="21" t="str">
        <f t="shared" si="658"/>
        <v>Apprenant 992 ou 992'</v>
      </c>
      <c r="Q1004" s="22" t="str">
        <f t="shared" si="659"/>
        <v/>
      </c>
      <c r="R1004" s="22" t="str">
        <f t="shared" si="660"/>
        <v/>
      </c>
      <c r="S1004" s="22" t="str">
        <f t="shared" si="661"/>
        <v/>
      </c>
      <c r="T1004" s="22" t="str">
        <f t="shared" si="662"/>
        <v/>
      </c>
      <c r="V1004" s="21" t="str">
        <f t="shared" si="663"/>
        <v>Apprenant 992</v>
      </c>
      <c r="W1004" s="22" t="str">
        <f>IF(AND(OR('Choix pédagogiques'!$C$3=1,'Choix pédagogiques'!$C$3=2),$BM1004=1),B1004,IF(AND('Choix pédagogiques'!$C$3=3,$BO1004=1),B1004,""))</f>
        <v/>
      </c>
      <c r="X1004" s="22" t="str">
        <f>IF(AND(OR('Choix pédagogiques'!$C$3=1,'Choix pédagogiques'!$C$3=2),$BM1004=1),C1004,IF(AND('Choix pédagogiques'!$C$3=3,$BO1004=1),C1004,""))</f>
        <v/>
      </c>
      <c r="Y1004" s="22" t="str">
        <f>IF(AND(OR('Choix pédagogiques'!$C$3=1,'Choix pédagogiques'!$C$3=2),$BM1004=1),D1004,IF(AND('Choix pédagogiques'!$C$3=3,$BO1004=1),D1004,""))</f>
        <v/>
      </c>
      <c r="Z1004" s="22" t="str">
        <f t="shared" si="664"/>
        <v/>
      </c>
      <c r="AA1004" s="21" t="str">
        <f t="shared" si="665"/>
        <v>Apprenant 992 ou 992'</v>
      </c>
      <c r="AB1004" s="22" t="str">
        <f>IF(AND(OR('Choix pédagogiques'!$C$3=1,'Choix pédagogiques'!$C$3=2),$BN1004=1),G1004,IF(AND('Choix pédagogiques'!$C$3=3,$BO1004=1),G1004,""))</f>
        <v/>
      </c>
      <c r="AC1004" s="22" t="str">
        <f>IF(AND(OR('Choix pédagogiques'!$C$3=1,'Choix pédagogiques'!$C$3=2),$BN1004=1),H1004,IF(AND('Choix pédagogiques'!$C$3=3,$BO1004=1),H1004,""))</f>
        <v/>
      </c>
      <c r="AD1004" s="22" t="str">
        <f>IF(AND(OR('Choix pédagogiques'!$C$3=1,'Choix pédagogiques'!$C$3=2),$BN1004=1),I1004,IF(AND('Choix pédagogiques'!$C$3=3,$BO1004=1),I1004,""))</f>
        <v/>
      </c>
      <c r="AE1004" s="22" t="str">
        <f t="shared" si="666"/>
        <v/>
      </c>
      <c r="AF1004" s="21" t="str">
        <f t="shared" si="667"/>
        <v>Apprenant 992</v>
      </c>
      <c r="AG1004" s="22" t="str">
        <f t="shared" si="641"/>
        <v/>
      </c>
      <c r="AH1004" s="22" t="str">
        <f t="shared" si="642"/>
        <v/>
      </c>
      <c r="AI1004" s="22" t="str">
        <f t="shared" si="643"/>
        <v/>
      </c>
      <c r="AJ1004" s="22" t="str">
        <f t="shared" si="668"/>
        <v/>
      </c>
      <c r="AK1004" s="21" t="str">
        <f t="shared" si="669"/>
        <v>Apprenant 992 ou 992'</v>
      </c>
      <c r="AL1004" s="22" t="str">
        <f t="shared" si="644"/>
        <v/>
      </c>
      <c r="AM1004" s="22" t="str">
        <f t="shared" si="645"/>
        <v/>
      </c>
      <c r="AN1004" s="22" t="str">
        <f t="shared" si="646"/>
        <v/>
      </c>
      <c r="AO1004" s="22" t="str">
        <f t="shared" si="670"/>
        <v/>
      </c>
      <c r="AQ1004" s="21" t="str">
        <f t="shared" si="671"/>
        <v>Apprenant 992</v>
      </c>
      <c r="AR1004" s="49" t="str">
        <f>IF(AND('Choix pédagogiques'!$C$4&lt;&gt;"?",'Choix pédagogiques'!$C$5&lt;&gt;"?",W1004&lt;&gt;""),(W1004-'Choix pédagogiques'!$C$4)/('Choix pédagogiques'!$C$5-'Choix pédagogiques'!$C$4),"")</f>
        <v/>
      </c>
      <c r="AS1004" s="49" t="str">
        <f>IF(AND('Choix pédagogiques'!$C$4&lt;&gt;"?",'Choix pédagogiques'!$C$5&lt;&gt;"?",X1004&lt;&gt;""),(X1004-'Choix pédagogiques'!$C$4)/('Choix pédagogiques'!$C$5-'Choix pédagogiques'!$C$4),"")</f>
        <v/>
      </c>
      <c r="AT1004" s="49" t="str">
        <f>IF(AND('Choix pédagogiques'!$C$4&lt;&gt;"?",'Choix pédagogiques'!$C$5&lt;&gt;"?",Y1004&lt;&gt;""),(Y1004-'Choix pédagogiques'!$C$4)/('Choix pédagogiques'!$C$5-'Choix pédagogiques'!$C$4),"")</f>
        <v/>
      </c>
      <c r="AU1004" s="22" t="str">
        <f t="shared" si="672"/>
        <v/>
      </c>
      <c r="AV1004" s="21" t="str">
        <f t="shared" si="673"/>
        <v>Apprenant 992 ou 992'</v>
      </c>
      <c r="AW1004" s="49" t="str">
        <f>IF(AND('Choix pédagogiques'!$C$4&lt;&gt;"?",'Choix pédagogiques'!$C$5&lt;&gt;"?",AB1004&lt;&gt;""),(AB1004-'Choix pédagogiques'!$C$4)/('Choix pédagogiques'!$C$5-'Choix pédagogiques'!$C$4),"")</f>
        <v/>
      </c>
      <c r="AX1004" s="49" t="str">
        <f>IF(AND('Choix pédagogiques'!$C$4&lt;&gt;"?",'Choix pédagogiques'!$C$5&lt;&gt;"?",AC1004&lt;&gt;""),(AC1004-'Choix pédagogiques'!$C$4)/('Choix pédagogiques'!$C$5-'Choix pédagogiques'!$C$4),"")</f>
        <v/>
      </c>
      <c r="AY1004" s="49" t="str">
        <f>IF(AND('Choix pédagogiques'!$C$4&lt;&gt;"?",'Choix pédagogiques'!$C$5&lt;&gt;"?",AD1004&lt;&gt;""),(AD1004-'Choix pédagogiques'!$C$4)/('Choix pédagogiques'!$C$5-'Choix pédagogiques'!$C$4),"")</f>
        <v/>
      </c>
      <c r="AZ1004" s="22" t="str">
        <f t="shared" si="674"/>
        <v/>
      </c>
      <c r="BA1004" s="21" t="str">
        <f t="shared" si="675"/>
        <v>Apprenant 992</v>
      </c>
      <c r="BB1004" s="49" t="str">
        <f t="shared" si="647"/>
        <v/>
      </c>
      <c r="BC1004" s="49" t="str">
        <f t="shared" si="648"/>
        <v/>
      </c>
      <c r="BD1004" s="49" t="str">
        <f t="shared" si="649"/>
        <v/>
      </c>
      <c r="BE1004" s="22" t="str">
        <f t="shared" si="676"/>
        <v/>
      </c>
      <c r="BF1004" s="21" t="str">
        <f t="shared" si="677"/>
        <v>Apprenant 992 ou 992'</v>
      </c>
      <c r="BG1004" s="49" t="str">
        <f t="shared" si="650"/>
        <v/>
      </c>
      <c r="BH1004" s="49" t="str">
        <f t="shared" si="651"/>
        <v/>
      </c>
      <c r="BI1004" s="49" t="str">
        <f t="shared" si="652"/>
        <v/>
      </c>
      <c r="BJ1004" s="22" t="str">
        <f t="shared" si="678"/>
        <v/>
      </c>
      <c r="BL1004" s="21"/>
      <c r="BM1004" s="21" t="str">
        <f>IF(OR(COUNT(B1004:D2003)=0,AND('Choix pédagogiques'!$C$3&lt;&gt;1,'Choix pédagogiques'!$C$3&lt;&gt;2)),"",IF(AND(OR('Choix pédagogiques'!$C$3=1,'Choix pédagogiques'!$C$3=2),$B1004&lt;&gt;"",$C1004&lt;&gt;"",$D1004&lt;&gt;""),1,0))</f>
        <v/>
      </c>
      <c r="BN1004" s="21" t="str">
        <f>IF(OR(COUNT(G1004:I2003)=0,AND('Choix pédagogiques'!$C$3&lt;&gt;1,'Choix pédagogiques'!$C$3&lt;&gt;2)),"",IF(AND(OR('Choix pédagogiques'!$C$3=1,'Choix pédagogiques'!$C$3=2),AND($G1004&lt;&gt;"",$H1004&lt;&gt;"",$I1004&lt;&gt;"")),1,0))</f>
        <v/>
      </c>
      <c r="BO1004" s="21" t="str">
        <f>IF(OR(COUNT(B1004:D2003)=0,COUNT(G1004:I2003)=0,'Choix pédagogiques'!C$3&lt;&gt;3),"",IF(AND('Choix pédagogiques'!$C$3=3,$B1004&lt;&gt;"",$C1004&lt;&gt;"",$D1004&lt;&gt;"",$G1004&lt;&gt;"",$H1004&lt;&gt;"",$I1004&lt;&gt;""),1,0))</f>
        <v/>
      </c>
      <c r="BR1004" s="21">
        <v>929</v>
      </c>
      <c r="BS1004" s="21">
        <v>1809</v>
      </c>
      <c r="BT1004"/>
    </row>
    <row r="1005" spans="1:72" s="23" customFormat="1" ht="18" customHeight="1" x14ac:dyDescent="0.3">
      <c r="A1005" s="35" t="s">
        <v>995</v>
      </c>
      <c r="B1005" s="37"/>
      <c r="C1005" s="37"/>
      <c r="D1005" s="37"/>
      <c r="E1005" s="37"/>
      <c r="F1005" s="35" t="s">
        <v>2003</v>
      </c>
      <c r="G1005" s="37"/>
      <c r="H1005" s="37"/>
      <c r="I1005" s="37"/>
      <c r="J1005" s="37"/>
      <c r="K1005" s="21" t="str">
        <f t="shared" si="653"/>
        <v>Apprenant 993</v>
      </c>
      <c r="L1005" s="22" t="str">
        <f t="shared" si="654"/>
        <v/>
      </c>
      <c r="M1005" s="22" t="str">
        <f t="shared" si="655"/>
        <v/>
      </c>
      <c r="N1005" s="22" t="str">
        <f t="shared" si="656"/>
        <v/>
      </c>
      <c r="O1005" s="22" t="str">
        <f t="shared" si="657"/>
        <v/>
      </c>
      <c r="P1005" s="21" t="str">
        <f t="shared" si="658"/>
        <v>Apprenant 993 ou 993'</v>
      </c>
      <c r="Q1005" s="22" t="str">
        <f t="shared" si="659"/>
        <v/>
      </c>
      <c r="R1005" s="22" t="str">
        <f t="shared" si="660"/>
        <v/>
      </c>
      <c r="S1005" s="22" t="str">
        <f t="shared" si="661"/>
        <v/>
      </c>
      <c r="T1005" s="22" t="str">
        <f t="shared" si="662"/>
        <v/>
      </c>
      <c r="V1005" s="21" t="str">
        <f t="shared" si="663"/>
        <v>Apprenant 993</v>
      </c>
      <c r="W1005" s="22" t="str">
        <f>IF(AND(OR('Choix pédagogiques'!$C$3=1,'Choix pédagogiques'!$C$3=2),$BM1005=1),B1005,IF(AND('Choix pédagogiques'!$C$3=3,$BO1005=1),B1005,""))</f>
        <v/>
      </c>
      <c r="X1005" s="22" t="str">
        <f>IF(AND(OR('Choix pédagogiques'!$C$3=1,'Choix pédagogiques'!$C$3=2),$BM1005=1),C1005,IF(AND('Choix pédagogiques'!$C$3=3,$BO1005=1),C1005,""))</f>
        <v/>
      </c>
      <c r="Y1005" s="22" t="str">
        <f>IF(AND(OR('Choix pédagogiques'!$C$3=1,'Choix pédagogiques'!$C$3=2),$BM1005=1),D1005,IF(AND('Choix pédagogiques'!$C$3=3,$BO1005=1),D1005,""))</f>
        <v/>
      </c>
      <c r="Z1005" s="22" t="str">
        <f t="shared" si="664"/>
        <v/>
      </c>
      <c r="AA1005" s="21" t="str">
        <f t="shared" si="665"/>
        <v>Apprenant 993 ou 993'</v>
      </c>
      <c r="AB1005" s="22" t="str">
        <f>IF(AND(OR('Choix pédagogiques'!$C$3=1,'Choix pédagogiques'!$C$3=2),$BN1005=1),G1005,IF(AND('Choix pédagogiques'!$C$3=3,$BO1005=1),G1005,""))</f>
        <v/>
      </c>
      <c r="AC1005" s="22" t="str">
        <f>IF(AND(OR('Choix pédagogiques'!$C$3=1,'Choix pédagogiques'!$C$3=2),$BN1005=1),H1005,IF(AND('Choix pédagogiques'!$C$3=3,$BO1005=1),H1005,""))</f>
        <v/>
      </c>
      <c r="AD1005" s="22" t="str">
        <f>IF(AND(OR('Choix pédagogiques'!$C$3=1,'Choix pédagogiques'!$C$3=2),$BN1005=1),I1005,IF(AND('Choix pédagogiques'!$C$3=3,$BO1005=1),I1005,""))</f>
        <v/>
      </c>
      <c r="AE1005" s="22" t="str">
        <f t="shared" si="666"/>
        <v/>
      </c>
      <c r="AF1005" s="21" t="str">
        <f t="shared" si="667"/>
        <v>Apprenant 993</v>
      </c>
      <c r="AG1005" s="22" t="str">
        <f t="shared" si="641"/>
        <v/>
      </c>
      <c r="AH1005" s="22" t="str">
        <f t="shared" si="642"/>
        <v/>
      </c>
      <c r="AI1005" s="22" t="str">
        <f t="shared" si="643"/>
        <v/>
      </c>
      <c r="AJ1005" s="22" t="str">
        <f t="shared" si="668"/>
        <v/>
      </c>
      <c r="AK1005" s="21" t="str">
        <f t="shared" si="669"/>
        <v>Apprenant 993 ou 993'</v>
      </c>
      <c r="AL1005" s="22" t="str">
        <f t="shared" si="644"/>
        <v/>
      </c>
      <c r="AM1005" s="22" t="str">
        <f t="shared" si="645"/>
        <v/>
      </c>
      <c r="AN1005" s="22" t="str">
        <f t="shared" si="646"/>
        <v/>
      </c>
      <c r="AO1005" s="22" t="str">
        <f t="shared" si="670"/>
        <v/>
      </c>
      <c r="AQ1005" s="21" t="str">
        <f t="shared" si="671"/>
        <v>Apprenant 993</v>
      </c>
      <c r="AR1005" s="49" t="str">
        <f>IF(AND('Choix pédagogiques'!$C$4&lt;&gt;"?",'Choix pédagogiques'!$C$5&lt;&gt;"?",W1005&lt;&gt;""),(W1005-'Choix pédagogiques'!$C$4)/('Choix pédagogiques'!$C$5-'Choix pédagogiques'!$C$4),"")</f>
        <v/>
      </c>
      <c r="AS1005" s="49" t="str">
        <f>IF(AND('Choix pédagogiques'!$C$4&lt;&gt;"?",'Choix pédagogiques'!$C$5&lt;&gt;"?",X1005&lt;&gt;""),(X1005-'Choix pédagogiques'!$C$4)/('Choix pédagogiques'!$C$5-'Choix pédagogiques'!$C$4),"")</f>
        <v/>
      </c>
      <c r="AT1005" s="49" t="str">
        <f>IF(AND('Choix pédagogiques'!$C$4&lt;&gt;"?",'Choix pédagogiques'!$C$5&lt;&gt;"?",Y1005&lt;&gt;""),(Y1005-'Choix pédagogiques'!$C$4)/('Choix pédagogiques'!$C$5-'Choix pédagogiques'!$C$4),"")</f>
        <v/>
      </c>
      <c r="AU1005" s="22" t="str">
        <f t="shared" si="672"/>
        <v/>
      </c>
      <c r="AV1005" s="21" t="str">
        <f t="shared" si="673"/>
        <v>Apprenant 993 ou 993'</v>
      </c>
      <c r="AW1005" s="49" t="str">
        <f>IF(AND('Choix pédagogiques'!$C$4&lt;&gt;"?",'Choix pédagogiques'!$C$5&lt;&gt;"?",AB1005&lt;&gt;""),(AB1005-'Choix pédagogiques'!$C$4)/('Choix pédagogiques'!$C$5-'Choix pédagogiques'!$C$4),"")</f>
        <v/>
      </c>
      <c r="AX1005" s="49" t="str">
        <f>IF(AND('Choix pédagogiques'!$C$4&lt;&gt;"?",'Choix pédagogiques'!$C$5&lt;&gt;"?",AC1005&lt;&gt;""),(AC1005-'Choix pédagogiques'!$C$4)/('Choix pédagogiques'!$C$5-'Choix pédagogiques'!$C$4),"")</f>
        <v/>
      </c>
      <c r="AY1005" s="49" t="str">
        <f>IF(AND('Choix pédagogiques'!$C$4&lt;&gt;"?",'Choix pédagogiques'!$C$5&lt;&gt;"?",AD1005&lt;&gt;""),(AD1005-'Choix pédagogiques'!$C$4)/('Choix pédagogiques'!$C$5-'Choix pédagogiques'!$C$4),"")</f>
        <v/>
      </c>
      <c r="AZ1005" s="22" t="str">
        <f t="shared" si="674"/>
        <v/>
      </c>
      <c r="BA1005" s="21" t="str">
        <f t="shared" si="675"/>
        <v>Apprenant 993</v>
      </c>
      <c r="BB1005" s="49" t="str">
        <f t="shared" si="647"/>
        <v/>
      </c>
      <c r="BC1005" s="49" t="str">
        <f t="shared" si="648"/>
        <v/>
      </c>
      <c r="BD1005" s="49" t="str">
        <f t="shared" si="649"/>
        <v/>
      </c>
      <c r="BE1005" s="22" t="str">
        <f t="shared" si="676"/>
        <v/>
      </c>
      <c r="BF1005" s="21" t="str">
        <f t="shared" si="677"/>
        <v>Apprenant 993 ou 993'</v>
      </c>
      <c r="BG1005" s="49" t="str">
        <f t="shared" si="650"/>
        <v/>
      </c>
      <c r="BH1005" s="49" t="str">
        <f t="shared" si="651"/>
        <v/>
      </c>
      <c r="BI1005" s="49" t="str">
        <f t="shared" si="652"/>
        <v/>
      </c>
      <c r="BJ1005" s="22" t="str">
        <f t="shared" si="678"/>
        <v/>
      </c>
      <c r="BL1005" s="21"/>
      <c r="BM1005" s="21" t="str">
        <f>IF(OR(COUNT(B1005:D2004)=0,AND('Choix pédagogiques'!$C$3&lt;&gt;1,'Choix pédagogiques'!$C$3&lt;&gt;2)),"",IF(AND(OR('Choix pédagogiques'!$C$3=1,'Choix pédagogiques'!$C$3=2),$B1005&lt;&gt;"",$C1005&lt;&gt;"",$D1005&lt;&gt;""),1,0))</f>
        <v/>
      </c>
      <c r="BN1005" s="21" t="str">
        <f>IF(OR(COUNT(G1005:I2004)=0,AND('Choix pédagogiques'!$C$3&lt;&gt;1,'Choix pédagogiques'!$C$3&lt;&gt;2)),"",IF(AND(OR('Choix pédagogiques'!$C$3=1,'Choix pédagogiques'!$C$3=2),AND($G1005&lt;&gt;"",$H1005&lt;&gt;"",$I1005&lt;&gt;"")),1,0))</f>
        <v/>
      </c>
      <c r="BO1005" s="21" t="str">
        <f>IF(OR(COUNT(B1005:D2004)=0,COUNT(G1005:I2004)=0,'Choix pédagogiques'!C$3&lt;&gt;3),"",IF(AND('Choix pédagogiques'!$C$3=3,$B1005&lt;&gt;"",$C1005&lt;&gt;"",$D1005&lt;&gt;"",$G1005&lt;&gt;"",$H1005&lt;&gt;"",$I1005&lt;&gt;""),1,0))</f>
        <v/>
      </c>
      <c r="BR1005" s="21">
        <v>780</v>
      </c>
      <c r="BS1005" s="21">
        <v>1503</v>
      </c>
      <c r="BT1005"/>
    </row>
    <row r="1006" spans="1:72" s="23" customFormat="1" ht="18" customHeight="1" x14ac:dyDescent="0.3">
      <c r="A1006" s="35" t="s">
        <v>996</v>
      </c>
      <c r="B1006" s="37"/>
      <c r="C1006" s="37"/>
      <c r="D1006" s="37"/>
      <c r="E1006" s="37"/>
      <c r="F1006" s="35" t="s">
        <v>2004</v>
      </c>
      <c r="G1006" s="37"/>
      <c r="H1006" s="37"/>
      <c r="I1006" s="37"/>
      <c r="J1006" s="37"/>
      <c r="K1006" s="21" t="str">
        <f t="shared" si="653"/>
        <v>Apprenant 994</v>
      </c>
      <c r="L1006" s="22" t="str">
        <f t="shared" si="654"/>
        <v/>
      </c>
      <c r="M1006" s="22" t="str">
        <f t="shared" si="655"/>
        <v/>
      </c>
      <c r="N1006" s="22" t="str">
        <f t="shared" si="656"/>
        <v/>
      </c>
      <c r="O1006" s="22" t="str">
        <f t="shared" si="657"/>
        <v/>
      </c>
      <c r="P1006" s="21" t="str">
        <f t="shared" si="658"/>
        <v>Apprenant 994 ou 994'</v>
      </c>
      <c r="Q1006" s="22" t="str">
        <f t="shared" si="659"/>
        <v/>
      </c>
      <c r="R1006" s="22" t="str">
        <f t="shared" si="660"/>
        <v/>
      </c>
      <c r="S1006" s="22" t="str">
        <f t="shared" si="661"/>
        <v/>
      </c>
      <c r="T1006" s="22" t="str">
        <f t="shared" si="662"/>
        <v/>
      </c>
      <c r="V1006" s="21" t="str">
        <f t="shared" si="663"/>
        <v>Apprenant 994</v>
      </c>
      <c r="W1006" s="22" t="str">
        <f>IF(AND(OR('Choix pédagogiques'!$C$3=1,'Choix pédagogiques'!$C$3=2),$BM1006=1),B1006,IF(AND('Choix pédagogiques'!$C$3=3,$BO1006=1),B1006,""))</f>
        <v/>
      </c>
      <c r="X1006" s="22" t="str">
        <f>IF(AND(OR('Choix pédagogiques'!$C$3=1,'Choix pédagogiques'!$C$3=2),$BM1006=1),C1006,IF(AND('Choix pédagogiques'!$C$3=3,$BO1006=1),C1006,""))</f>
        <v/>
      </c>
      <c r="Y1006" s="22" t="str">
        <f>IF(AND(OR('Choix pédagogiques'!$C$3=1,'Choix pédagogiques'!$C$3=2),$BM1006=1),D1006,IF(AND('Choix pédagogiques'!$C$3=3,$BO1006=1),D1006,""))</f>
        <v/>
      </c>
      <c r="Z1006" s="22" t="str">
        <f t="shared" si="664"/>
        <v/>
      </c>
      <c r="AA1006" s="21" t="str">
        <f t="shared" si="665"/>
        <v>Apprenant 994 ou 994'</v>
      </c>
      <c r="AB1006" s="22" t="str">
        <f>IF(AND(OR('Choix pédagogiques'!$C$3=1,'Choix pédagogiques'!$C$3=2),$BN1006=1),G1006,IF(AND('Choix pédagogiques'!$C$3=3,$BO1006=1),G1006,""))</f>
        <v/>
      </c>
      <c r="AC1006" s="22" t="str">
        <f>IF(AND(OR('Choix pédagogiques'!$C$3=1,'Choix pédagogiques'!$C$3=2),$BN1006=1),H1006,IF(AND('Choix pédagogiques'!$C$3=3,$BO1006=1),H1006,""))</f>
        <v/>
      </c>
      <c r="AD1006" s="22" t="str">
        <f>IF(AND(OR('Choix pédagogiques'!$C$3=1,'Choix pédagogiques'!$C$3=2),$BN1006=1),I1006,IF(AND('Choix pédagogiques'!$C$3=3,$BO1006=1),I1006,""))</f>
        <v/>
      </c>
      <c r="AE1006" s="22" t="str">
        <f t="shared" si="666"/>
        <v/>
      </c>
      <c r="AF1006" s="21" t="str">
        <f t="shared" si="667"/>
        <v>Apprenant 994</v>
      </c>
      <c r="AG1006" s="22" t="str">
        <f t="shared" si="641"/>
        <v/>
      </c>
      <c r="AH1006" s="22" t="str">
        <f t="shared" si="642"/>
        <v/>
      </c>
      <c r="AI1006" s="22" t="str">
        <f t="shared" si="643"/>
        <v/>
      </c>
      <c r="AJ1006" s="22" t="str">
        <f t="shared" si="668"/>
        <v/>
      </c>
      <c r="AK1006" s="21" t="str">
        <f t="shared" si="669"/>
        <v>Apprenant 994 ou 994'</v>
      </c>
      <c r="AL1006" s="22" t="str">
        <f t="shared" si="644"/>
        <v/>
      </c>
      <c r="AM1006" s="22" t="str">
        <f t="shared" si="645"/>
        <v/>
      </c>
      <c r="AN1006" s="22" t="str">
        <f t="shared" si="646"/>
        <v/>
      </c>
      <c r="AO1006" s="22" t="str">
        <f t="shared" si="670"/>
        <v/>
      </c>
      <c r="AQ1006" s="21" t="str">
        <f t="shared" si="671"/>
        <v>Apprenant 994</v>
      </c>
      <c r="AR1006" s="49" t="str">
        <f>IF(AND('Choix pédagogiques'!$C$4&lt;&gt;"?",'Choix pédagogiques'!$C$5&lt;&gt;"?",W1006&lt;&gt;""),(W1006-'Choix pédagogiques'!$C$4)/('Choix pédagogiques'!$C$5-'Choix pédagogiques'!$C$4),"")</f>
        <v/>
      </c>
      <c r="AS1006" s="49" t="str">
        <f>IF(AND('Choix pédagogiques'!$C$4&lt;&gt;"?",'Choix pédagogiques'!$C$5&lt;&gt;"?",X1006&lt;&gt;""),(X1006-'Choix pédagogiques'!$C$4)/('Choix pédagogiques'!$C$5-'Choix pédagogiques'!$C$4),"")</f>
        <v/>
      </c>
      <c r="AT1006" s="49" t="str">
        <f>IF(AND('Choix pédagogiques'!$C$4&lt;&gt;"?",'Choix pédagogiques'!$C$5&lt;&gt;"?",Y1006&lt;&gt;""),(Y1006-'Choix pédagogiques'!$C$4)/('Choix pédagogiques'!$C$5-'Choix pédagogiques'!$C$4),"")</f>
        <v/>
      </c>
      <c r="AU1006" s="22" t="str">
        <f t="shared" si="672"/>
        <v/>
      </c>
      <c r="AV1006" s="21" t="str">
        <f t="shared" si="673"/>
        <v>Apprenant 994 ou 994'</v>
      </c>
      <c r="AW1006" s="49" t="str">
        <f>IF(AND('Choix pédagogiques'!$C$4&lt;&gt;"?",'Choix pédagogiques'!$C$5&lt;&gt;"?",AB1006&lt;&gt;""),(AB1006-'Choix pédagogiques'!$C$4)/('Choix pédagogiques'!$C$5-'Choix pédagogiques'!$C$4),"")</f>
        <v/>
      </c>
      <c r="AX1006" s="49" t="str">
        <f>IF(AND('Choix pédagogiques'!$C$4&lt;&gt;"?",'Choix pédagogiques'!$C$5&lt;&gt;"?",AC1006&lt;&gt;""),(AC1006-'Choix pédagogiques'!$C$4)/('Choix pédagogiques'!$C$5-'Choix pédagogiques'!$C$4),"")</f>
        <v/>
      </c>
      <c r="AY1006" s="49" t="str">
        <f>IF(AND('Choix pédagogiques'!$C$4&lt;&gt;"?",'Choix pédagogiques'!$C$5&lt;&gt;"?",AD1006&lt;&gt;""),(AD1006-'Choix pédagogiques'!$C$4)/('Choix pédagogiques'!$C$5-'Choix pédagogiques'!$C$4),"")</f>
        <v/>
      </c>
      <c r="AZ1006" s="22" t="str">
        <f t="shared" si="674"/>
        <v/>
      </c>
      <c r="BA1006" s="21" t="str">
        <f t="shared" si="675"/>
        <v>Apprenant 994</v>
      </c>
      <c r="BB1006" s="49" t="str">
        <f t="shared" si="647"/>
        <v/>
      </c>
      <c r="BC1006" s="49" t="str">
        <f t="shared" si="648"/>
        <v/>
      </c>
      <c r="BD1006" s="49" t="str">
        <f t="shared" si="649"/>
        <v/>
      </c>
      <c r="BE1006" s="22" t="str">
        <f t="shared" si="676"/>
        <v/>
      </c>
      <c r="BF1006" s="21" t="str">
        <f t="shared" si="677"/>
        <v>Apprenant 994 ou 994'</v>
      </c>
      <c r="BG1006" s="49" t="str">
        <f t="shared" si="650"/>
        <v/>
      </c>
      <c r="BH1006" s="49" t="str">
        <f t="shared" si="651"/>
        <v/>
      </c>
      <c r="BI1006" s="49" t="str">
        <f t="shared" si="652"/>
        <v/>
      </c>
      <c r="BJ1006" s="22" t="str">
        <f t="shared" si="678"/>
        <v/>
      </c>
      <c r="BL1006" s="21"/>
      <c r="BM1006" s="21" t="str">
        <f>IF(OR(COUNT(B1006:D2005)=0,AND('Choix pédagogiques'!$C$3&lt;&gt;1,'Choix pédagogiques'!$C$3&lt;&gt;2)),"",IF(AND(OR('Choix pédagogiques'!$C$3=1,'Choix pédagogiques'!$C$3=2),$B1006&lt;&gt;"",$C1006&lt;&gt;"",$D1006&lt;&gt;""),1,0))</f>
        <v/>
      </c>
      <c r="BN1006" s="21" t="str">
        <f>IF(OR(COUNT(G1006:I2005)=0,AND('Choix pédagogiques'!$C$3&lt;&gt;1,'Choix pédagogiques'!$C$3&lt;&gt;2)),"",IF(AND(OR('Choix pédagogiques'!$C$3=1,'Choix pédagogiques'!$C$3=2),AND($G1006&lt;&gt;"",$H1006&lt;&gt;"",$I1006&lt;&gt;"")),1,0))</f>
        <v/>
      </c>
      <c r="BO1006" s="21" t="str">
        <f>IF(OR(COUNT(B1006:D2005)=0,COUNT(G1006:I2005)=0,'Choix pédagogiques'!C$3&lt;&gt;3),"",IF(AND('Choix pédagogiques'!$C$3=3,$B1006&lt;&gt;"",$C1006&lt;&gt;"",$D1006&lt;&gt;"",$G1006&lt;&gt;"",$H1006&lt;&gt;"",$I1006&lt;&gt;""),1,0))</f>
        <v/>
      </c>
      <c r="BR1006" s="21">
        <v>899</v>
      </c>
      <c r="BS1006" s="21">
        <v>1175</v>
      </c>
      <c r="BT1006"/>
    </row>
    <row r="1007" spans="1:72" s="23" customFormat="1" ht="18" customHeight="1" x14ac:dyDescent="0.3">
      <c r="A1007" s="35" t="s">
        <v>997</v>
      </c>
      <c r="B1007" s="37"/>
      <c r="C1007" s="37"/>
      <c r="D1007" s="37"/>
      <c r="E1007" s="37"/>
      <c r="F1007" s="35" t="s">
        <v>2005</v>
      </c>
      <c r="G1007" s="37"/>
      <c r="H1007" s="37"/>
      <c r="I1007" s="37"/>
      <c r="J1007" s="37"/>
      <c r="K1007" s="21" t="str">
        <f t="shared" si="653"/>
        <v>Apprenant 995</v>
      </c>
      <c r="L1007" s="22" t="str">
        <f t="shared" si="654"/>
        <v/>
      </c>
      <c r="M1007" s="22" t="str">
        <f t="shared" si="655"/>
        <v/>
      </c>
      <c r="N1007" s="22" t="str">
        <f t="shared" si="656"/>
        <v/>
      </c>
      <c r="O1007" s="22" t="str">
        <f t="shared" si="657"/>
        <v/>
      </c>
      <c r="P1007" s="21" t="str">
        <f t="shared" si="658"/>
        <v>Apprenant 995 ou 995'</v>
      </c>
      <c r="Q1007" s="22" t="str">
        <f t="shared" si="659"/>
        <v/>
      </c>
      <c r="R1007" s="22" t="str">
        <f t="shared" si="660"/>
        <v/>
      </c>
      <c r="S1007" s="22" t="str">
        <f t="shared" si="661"/>
        <v/>
      </c>
      <c r="T1007" s="22" t="str">
        <f t="shared" si="662"/>
        <v/>
      </c>
      <c r="V1007" s="21" t="str">
        <f t="shared" si="663"/>
        <v>Apprenant 995</v>
      </c>
      <c r="W1007" s="22" t="str">
        <f>IF(AND(OR('Choix pédagogiques'!$C$3=1,'Choix pédagogiques'!$C$3=2),$BM1007=1),B1007,IF(AND('Choix pédagogiques'!$C$3=3,$BO1007=1),B1007,""))</f>
        <v/>
      </c>
      <c r="X1007" s="22" t="str">
        <f>IF(AND(OR('Choix pédagogiques'!$C$3=1,'Choix pédagogiques'!$C$3=2),$BM1007=1),C1007,IF(AND('Choix pédagogiques'!$C$3=3,$BO1007=1),C1007,""))</f>
        <v/>
      </c>
      <c r="Y1007" s="22" t="str">
        <f>IF(AND(OR('Choix pédagogiques'!$C$3=1,'Choix pédagogiques'!$C$3=2),$BM1007=1),D1007,IF(AND('Choix pédagogiques'!$C$3=3,$BO1007=1),D1007,""))</f>
        <v/>
      </c>
      <c r="Z1007" s="22" t="str">
        <f t="shared" si="664"/>
        <v/>
      </c>
      <c r="AA1007" s="21" t="str">
        <f t="shared" si="665"/>
        <v>Apprenant 995 ou 995'</v>
      </c>
      <c r="AB1007" s="22" t="str">
        <f>IF(AND(OR('Choix pédagogiques'!$C$3=1,'Choix pédagogiques'!$C$3=2),$BN1007=1),G1007,IF(AND('Choix pédagogiques'!$C$3=3,$BO1007=1),G1007,""))</f>
        <v/>
      </c>
      <c r="AC1007" s="22" t="str">
        <f>IF(AND(OR('Choix pédagogiques'!$C$3=1,'Choix pédagogiques'!$C$3=2),$BN1007=1),H1007,IF(AND('Choix pédagogiques'!$C$3=3,$BO1007=1),H1007,""))</f>
        <v/>
      </c>
      <c r="AD1007" s="22" t="str">
        <f>IF(AND(OR('Choix pédagogiques'!$C$3=1,'Choix pédagogiques'!$C$3=2),$BN1007=1),I1007,IF(AND('Choix pédagogiques'!$C$3=3,$BO1007=1),I1007,""))</f>
        <v/>
      </c>
      <c r="AE1007" s="22" t="str">
        <f t="shared" si="666"/>
        <v/>
      </c>
      <c r="AF1007" s="21" t="str">
        <f t="shared" si="667"/>
        <v>Apprenant 995</v>
      </c>
      <c r="AG1007" s="22" t="str">
        <f t="shared" si="641"/>
        <v/>
      </c>
      <c r="AH1007" s="22" t="str">
        <f t="shared" si="642"/>
        <v/>
      </c>
      <c r="AI1007" s="22" t="str">
        <f t="shared" si="643"/>
        <v/>
      </c>
      <c r="AJ1007" s="22" t="str">
        <f t="shared" si="668"/>
        <v/>
      </c>
      <c r="AK1007" s="21" t="str">
        <f t="shared" si="669"/>
        <v>Apprenant 995 ou 995'</v>
      </c>
      <c r="AL1007" s="22" t="str">
        <f t="shared" si="644"/>
        <v/>
      </c>
      <c r="AM1007" s="22" t="str">
        <f t="shared" si="645"/>
        <v/>
      </c>
      <c r="AN1007" s="22" t="str">
        <f t="shared" si="646"/>
        <v/>
      </c>
      <c r="AO1007" s="22" t="str">
        <f t="shared" si="670"/>
        <v/>
      </c>
      <c r="AQ1007" s="21" t="str">
        <f t="shared" si="671"/>
        <v>Apprenant 995</v>
      </c>
      <c r="AR1007" s="49" t="str">
        <f>IF(AND('Choix pédagogiques'!$C$4&lt;&gt;"?",'Choix pédagogiques'!$C$5&lt;&gt;"?",W1007&lt;&gt;""),(W1007-'Choix pédagogiques'!$C$4)/('Choix pédagogiques'!$C$5-'Choix pédagogiques'!$C$4),"")</f>
        <v/>
      </c>
      <c r="AS1007" s="49" t="str">
        <f>IF(AND('Choix pédagogiques'!$C$4&lt;&gt;"?",'Choix pédagogiques'!$C$5&lt;&gt;"?",X1007&lt;&gt;""),(X1007-'Choix pédagogiques'!$C$4)/('Choix pédagogiques'!$C$5-'Choix pédagogiques'!$C$4),"")</f>
        <v/>
      </c>
      <c r="AT1007" s="49" t="str">
        <f>IF(AND('Choix pédagogiques'!$C$4&lt;&gt;"?",'Choix pédagogiques'!$C$5&lt;&gt;"?",Y1007&lt;&gt;""),(Y1007-'Choix pédagogiques'!$C$4)/('Choix pédagogiques'!$C$5-'Choix pédagogiques'!$C$4),"")</f>
        <v/>
      </c>
      <c r="AU1007" s="22" t="str">
        <f t="shared" si="672"/>
        <v/>
      </c>
      <c r="AV1007" s="21" t="str">
        <f t="shared" si="673"/>
        <v>Apprenant 995 ou 995'</v>
      </c>
      <c r="AW1007" s="49" t="str">
        <f>IF(AND('Choix pédagogiques'!$C$4&lt;&gt;"?",'Choix pédagogiques'!$C$5&lt;&gt;"?",AB1007&lt;&gt;""),(AB1007-'Choix pédagogiques'!$C$4)/('Choix pédagogiques'!$C$5-'Choix pédagogiques'!$C$4),"")</f>
        <v/>
      </c>
      <c r="AX1007" s="49" t="str">
        <f>IF(AND('Choix pédagogiques'!$C$4&lt;&gt;"?",'Choix pédagogiques'!$C$5&lt;&gt;"?",AC1007&lt;&gt;""),(AC1007-'Choix pédagogiques'!$C$4)/('Choix pédagogiques'!$C$5-'Choix pédagogiques'!$C$4),"")</f>
        <v/>
      </c>
      <c r="AY1007" s="49" t="str">
        <f>IF(AND('Choix pédagogiques'!$C$4&lt;&gt;"?",'Choix pédagogiques'!$C$5&lt;&gt;"?",AD1007&lt;&gt;""),(AD1007-'Choix pédagogiques'!$C$4)/('Choix pédagogiques'!$C$5-'Choix pédagogiques'!$C$4),"")</f>
        <v/>
      </c>
      <c r="AZ1007" s="22" t="str">
        <f t="shared" si="674"/>
        <v/>
      </c>
      <c r="BA1007" s="21" t="str">
        <f t="shared" si="675"/>
        <v>Apprenant 995</v>
      </c>
      <c r="BB1007" s="49" t="str">
        <f t="shared" si="647"/>
        <v/>
      </c>
      <c r="BC1007" s="49" t="str">
        <f t="shared" si="648"/>
        <v/>
      </c>
      <c r="BD1007" s="49" t="str">
        <f t="shared" si="649"/>
        <v/>
      </c>
      <c r="BE1007" s="22" t="str">
        <f t="shared" si="676"/>
        <v/>
      </c>
      <c r="BF1007" s="21" t="str">
        <f t="shared" si="677"/>
        <v>Apprenant 995 ou 995'</v>
      </c>
      <c r="BG1007" s="49" t="str">
        <f t="shared" si="650"/>
        <v/>
      </c>
      <c r="BH1007" s="49" t="str">
        <f t="shared" si="651"/>
        <v/>
      </c>
      <c r="BI1007" s="49" t="str">
        <f t="shared" si="652"/>
        <v/>
      </c>
      <c r="BJ1007" s="22" t="str">
        <f t="shared" si="678"/>
        <v/>
      </c>
      <c r="BL1007" s="21"/>
      <c r="BM1007" s="21" t="str">
        <f>IF(OR(COUNT(B1007:D2006)=0,AND('Choix pédagogiques'!$C$3&lt;&gt;1,'Choix pédagogiques'!$C$3&lt;&gt;2)),"",IF(AND(OR('Choix pédagogiques'!$C$3=1,'Choix pédagogiques'!$C$3=2),$B1007&lt;&gt;"",$C1007&lt;&gt;"",$D1007&lt;&gt;""),1,0))</f>
        <v/>
      </c>
      <c r="BN1007" s="21" t="str">
        <f>IF(OR(COUNT(G1007:I2006)=0,AND('Choix pédagogiques'!$C$3&lt;&gt;1,'Choix pédagogiques'!$C$3&lt;&gt;2)),"",IF(AND(OR('Choix pédagogiques'!$C$3=1,'Choix pédagogiques'!$C$3=2),AND($G1007&lt;&gt;"",$H1007&lt;&gt;"",$I1007&lt;&gt;"")),1,0))</f>
        <v/>
      </c>
      <c r="BO1007" s="21" t="str">
        <f>IF(OR(COUNT(B1007:D2006)=0,COUNT(G1007:I2006)=0,'Choix pédagogiques'!C$3&lt;&gt;3),"",IF(AND('Choix pédagogiques'!$C$3=3,$B1007&lt;&gt;"",$C1007&lt;&gt;"",$D1007&lt;&gt;"",$G1007&lt;&gt;"",$H1007&lt;&gt;"",$I1007&lt;&gt;""),1,0))</f>
        <v/>
      </c>
      <c r="BR1007" s="21">
        <v>168</v>
      </c>
      <c r="BS1007" s="21">
        <v>1869</v>
      </c>
      <c r="BT1007"/>
    </row>
    <row r="1008" spans="1:72" s="23" customFormat="1" ht="18" customHeight="1" x14ac:dyDescent="0.3">
      <c r="A1008" s="35" t="s">
        <v>998</v>
      </c>
      <c r="B1008" s="37"/>
      <c r="C1008" s="37"/>
      <c r="D1008" s="37"/>
      <c r="E1008" s="37"/>
      <c r="F1008" s="35" t="s">
        <v>2006</v>
      </c>
      <c r="G1008" s="37"/>
      <c r="H1008" s="37"/>
      <c r="I1008" s="37"/>
      <c r="J1008" s="37"/>
      <c r="K1008" s="21" t="str">
        <f t="shared" si="653"/>
        <v>Apprenant 996</v>
      </c>
      <c r="L1008" s="22" t="str">
        <f t="shared" si="654"/>
        <v/>
      </c>
      <c r="M1008" s="22" t="str">
        <f t="shared" si="655"/>
        <v/>
      </c>
      <c r="N1008" s="22" t="str">
        <f t="shared" si="656"/>
        <v/>
      </c>
      <c r="O1008" s="22" t="str">
        <f t="shared" si="657"/>
        <v/>
      </c>
      <c r="P1008" s="21" t="str">
        <f t="shared" si="658"/>
        <v>Apprenant 996 ou 996'</v>
      </c>
      <c r="Q1008" s="22" t="str">
        <f t="shared" si="659"/>
        <v/>
      </c>
      <c r="R1008" s="22" t="str">
        <f t="shared" si="660"/>
        <v/>
      </c>
      <c r="S1008" s="22" t="str">
        <f t="shared" si="661"/>
        <v/>
      </c>
      <c r="T1008" s="22" t="str">
        <f t="shared" si="662"/>
        <v/>
      </c>
      <c r="V1008" s="21" t="str">
        <f t="shared" si="663"/>
        <v>Apprenant 996</v>
      </c>
      <c r="W1008" s="22" t="str">
        <f>IF(AND(OR('Choix pédagogiques'!$C$3=1,'Choix pédagogiques'!$C$3=2),$BM1008=1),B1008,IF(AND('Choix pédagogiques'!$C$3=3,$BO1008=1),B1008,""))</f>
        <v/>
      </c>
      <c r="X1008" s="22" t="str">
        <f>IF(AND(OR('Choix pédagogiques'!$C$3=1,'Choix pédagogiques'!$C$3=2),$BM1008=1),C1008,IF(AND('Choix pédagogiques'!$C$3=3,$BO1008=1),C1008,""))</f>
        <v/>
      </c>
      <c r="Y1008" s="22" t="str">
        <f>IF(AND(OR('Choix pédagogiques'!$C$3=1,'Choix pédagogiques'!$C$3=2),$BM1008=1),D1008,IF(AND('Choix pédagogiques'!$C$3=3,$BO1008=1),D1008,""))</f>
        <v/>
      </c>
      <c r="Z1008" s="22" t="str">
        <f t="shared" si="664"/>
        <v/>
      </c>
      <c r="AA1008" s="21" t="str">
        <f t="shared" si="665"/>
        <v>Apprenant 996 ou 996'</v>
      </c>
      <c r="AB1008" s="22" t="str">
        <f>IF(AND(OR('Choix pédagogiques'!$C$3=1,'Choix pédagogiques'!$C$3=2),$BN1008=1),G1008,IF(AND('Choix pédagogiques'!$C$3=3,$BO1008=1),G1008,""))</f>
        <v/>
      </c>
      <c r="AC1008" s="22" t="str">
        <f>IF(AND(OR('Choix pédagogiques'!$C$3=1,'Choix pédagogiques'!$C$3=2),$BN1008=1),H1008,IF(AND('Choix pédagogiques'!$C$3=3,$BO1008=1),H1008,""))</f>
        <v/>
      </c>
      <c r="AD1008" s="22" t="str">
        <f>IF(AND(OR('Choix pédagogiques'!$C$3=1,'Choix pédagogiques'!$C$3=2),$BN1008=1),I1008,IF(AND('Choix pédagogiques'!$C$3=3,$BO1008=1),I1008,""))</f>
        <v/>
      </c>
      <c r="AE1008" s="22" t="str">
        <f t="shared" si="666"/>
        <v/>
      </c>
      <c r="AF1008" s="21" t="str">
        <f t="shared" si="667"/>
        <v>Apprenant 996</v>
      </c>
      <c r="AG1008" s="22" t="str">
        <f t="shared" si="641"/>
        <v/>
      </c>
      <c r="AH1008" s="22" t="str">
        <f t="shared" si="642"/>
        <v/>
      </c>
      <c r="AI1008" s="22" t="str">
        <f t="shared" si="643"/>
        <v/>
      </c>
      <c r="AJ1008" s="22" t="str">
        <f t="shared" si="668"/>
        <v/>
      </c>
      <c r="AK1008" s="21" t="str">
        <f t="shared" si="669"/>
        <v>Apprenant 996 ou 996'</v>
      </c>
      <c r="AL1008" s="22" t="str">
        <f t="shared" si="644"/>
        <v/>
      </c>
      <c r="AM1008" s="22" t="str">
        <f t="shared" si="645"/>
        <v/>
      </c>
      <c r="AN1008" s="22" t="str">
        <f t="shared" si="646"/>
        <v/>
      </c>
      <c r="AO1008" s="22" t="str">
        <f t="shared" si="670"/>
        <v/>
      </c>
      <c r="AQ1008" s="21" t="str">
        <f t="shared" si="671"/>
        <v>Apprenant 996</v>
      </c>
      <c r="AR1008" s="49" t="str">
        <f>IF(AND('Choix pédagogiques'!$C$4&lt;&gt;"?",'Choix pédagogiques'!$C$5&lt;&gt;"?",W1008&lt;&gt;""),(W1008-'Choix pédagogiques'!$C$4)/('Choix pédagogiques'!$C$5-'Choix pédagogiques'!$C$4),"")</f>
        <v/>
      </c>
      <c r="AS1008" s="49" t="str">
        <f>IF(AND('Choix pédagogiques'!$C$4&lt;&gt;"?",'Choix pédagogiques'!$C$5&lt;&gt;"?",X1008&lt;&gt;""),(X1008-'Choix pédagogiques'!$C$4)/('Choix pédagogiques'!$C$5-'Choix pédagogiques'!$C$4),"")</f>
        <v/>
      </c>
      <c r="AT1008" s="49" t="str">
        <f>IF(AND('Choix pédagogiques'!$C$4&lt;&gt;"?",'Choix pédagogiques'!$C$5&lt;&gt;"?",Y1008&lt;&gt;""),(Y1008-'Choix pédagogiques'!$C$4)/('Choix pédagogiques'!$C$5-'Choix pédagogiques'!$C$4),"")</f>
        <v/>
      </c>
      <c r="AU1008" s="22" t="str">
        <f t="shared" si="672"/>
        <v/>
      </c>
      <c r="AV1008" s="21" t="str">
        <f t="shared" si="673"/>
        <v>Apprenant 996 ou 996'</v>
      </c>
      <c r="AW1008" s="49" t="str">
        <f>IF(AND('Choix pédagogiques'!$C$4&lt;&gt;"?",'Choix pédagogiques'!$C$5&lt;&gt;"?",AB1008&lt;&gt;""),(AB1008-'Choix pédagogiques'!$C$4)/('Choix pédagogiques'!$C$5-'Choix pédagogiques'!$C$4),"")</f>
        <v/>
      </c>
      <c r="AX1008" s="49" t="str">
        <f>IF(AND('Choix pédagogiques'!$C$4&lt;&gt;"?",'Choix pédagogiques'!$C$5&lt;&gt;"?",AC1008&lt;&gt;""),(AC1008-'Choix pédagogiques'!$C$4)/('Choix pédagogiques'!$C$5-'Choix pédagogiques'!$C$4),"")</f>
        <v/>
      </c>
      <c r="AY1008" s="49" t="str">
        <f>IF(AND('Choix pédagogiques'!$C$4&lt;&gt;"?",'Choix pédagogiques'!$C$5&lt;&gt;"?",AD1008&lt;&gt;""),(AD1008-'Choix pédagogiques'!$C$4)/('Choix pédagogiques'!$C$5-'Choix pédagogiques'!$C$4),"")</f>
        <v/>
      </c>
      <c r="AZ1008" s="22" t="str">
        <f t="shared" si="674"/>
        <v/>
      </c>
      <c r="BA1008" s="21" t="str">
        <f t="shared" si="675"/>
        <v>Apprenant 996</v>
      </c>
      <c r="BB1008" s="49" t="str">
        <f t="shared" si="647"/>
        <v/>
      </c>
      <c r="BC1008" s="49" t="str">
        <f t="shared" si="648"/>
        <v/>
      </c>
      <c r="BD1008" s="49" t="str">
        <f t="shared" si="649"/>
        <v/>
      </c>
      <c r="BE1008" s="22" t="str">
        <f t="shared" si="676"/>
        <v/>
      </c>
      <c r="BF1008" s="21" t="str">
        <f t="shared" si="677"/>
        <v>Apprenant 996 ou 996'</v>
      </c>
      <c r="BG1008" s="49" t="str">
        <f t="shared" si="650"/>
        <v/>
      </c>
      <c r="BH1008" s="49" t="str">
        <f t="shared" si="651"/>
        <v/>
      </c>
      <c r="BI1008" s="49" t="str">
        <f t="shared" si="652"/>
        <v/>
      </c>
      <c r="BJ1008" s="22" t="str">
        <f t="shared" si="678"/>
        <v/>
      </c>
      <c r="BL1008" s="21"/>
      <c r="BM1008" s="21" t="str">
        <f>IF(OR(COUNT(B1008:D2007)=0,AND('Choix pédagogiques'!$C$3&lt;&gt;1,'Choix pédagogiques'!$C$3&lt;&gt;2)),"",IF(AND(OR('Choix pédagogiques'!$C$3=1,'Choix pédagogiques'!$C$3=2),$B1008&lt;&gt;"",$C1008&lt;&gt;"",$D1008&lt;&gt;""),1,0))</f>
        <v/>
      </c>
      <c r="BN1008" s="21" t="str">
        <f>IF(OR(COUNT(G1008:I2007)=0,AND('Choix pédagogiques'!$C$3&lt;&gt;1,'Choix pédagogiques'!$C$3&lt;&gt;2)),"",IF(AND(OR('Choix pédagogiques'!$C$3=1,'Choix pédagogiques'!$C$3=2),AND($G1008&lt;&gt;"",$H1008&lt;&gt;"",$I1008&lt;&gt;"")),1,0))</f>
        <v/>
      </c>
      <c r="BO1008" s="21" t="str">
        <f>IF(OR(COUNT(B1008:D2007)=0,COUNT(G1008:I2007)=0,'Choix pédagogiques'!C$3&lt;&gt;3),"",IF(AND('Choix pédagogiques'!$C$3=3,$B1008&lt;&gt;"",$C1008&lt;&gt;"",$D1008&lt;&gt;"",$G1008&lt;&gt;"",$H1008&lt;&gt;"",$I1008&lt;&gt;""),1,0))</f>
        <v/>
      </c>
      <c r="BR1008" s="21">
        <v>302</v>
      </c>
      <c r="BS1008" s="21">
        <v>1640</v>
      </c>
      <c r="BT1008"/>
    </row>
    <row r="1009" spans="1:72" s="23" customFormat="1" ht="18" customHeight="1" x14ac:dyDescent="0.3">
      <c r="A1009" s="35" t="s">
        <v>999</v>
      </c>
      <c r="B1009" s="37"/>
      <c r="C1009" s="37"/>
      <c r="D1009" s="37"/>
      <c r="E1009" s="37"/>
      <c r="F1009" s="35" t="s">
        <v>2007</v>
      </c>
      <c r="G1009" s="37"/>
      <c r="H1009" s="37"/>
      <c r="I1009" s="37"/>
      <c r="J1009" s="37"/>
      <c r="K1009" s="21" t="str">
        <f t="shared" si="653"/>
        <v>Apprenant 997</v>
      </c>
      <c r="L1009" s="22" t="str">
        <f t="shared" si="654"/>
        <v/>
      </c>
      <c r="M1009" s="22" t="str">
        <f t="shared" si="655"/>
        <v/>
      </c>
      <c r="N1009" s="22" t="str">
        <f t="shared" si="656"/>
        <v/>
      </c>
      <c r="O1009" s="22" t="str">
        <f t="shared" si="657"/>
        <v/>
      </c>
      <c r="P1009" s="21" t="str">
        <f t="shared" si="658"/>
        <v>Apprenant 997 ou 997'</v>
      </c>
      <c r="Q1009" s="22" t="str">
        <f t="shared" si="659"/>
        <v/>
      </c>
      <c r="R1009" s="22" t="str">
        <f t="shared" si="660"/>
        <v/>
      </c>
      <c r="S1009" s="22" t="str">
        <f t="shared" si="661"/>
        <v/>
      </c>
      <c r="T1009" s="22" t="str">
        <f t="shared" si="662"/>
        <v/>
      </c>
      <c r="V1009" s="21" t="str">
        <f t="shared" si="663"/>
        <v>Apprenant 997</v>
      </c>
      <c r="W1009" s="22" t="str">
        <f>IF(AND(OR('Choix pédagogiques'!$C$3=1,'Choix pédagogiques'!$C$3=2),$BM1009=1),B1009,IF(AND('Choix pédagogiques'!$C$3=3,$BO1009=1),B1009,""))</f>
        <v/>
      </c>
      <c r="X1009" s="22" t="str">
        <f>IF(AND(OR('Choix pédagogiques'!$C$3=1,'Choix pédagogiques'!$C$3=2),$BM1009=1),C1009,IF(AND('Choix pédagogiques'!$C$3=3,$BO1009=1),C1009,""))</f>
        <v/>
      </c>
      <c r="Y1009" s="22" t="str">
        <f>IF(AND(OR('Choix pédagogiques'!$C$3=1,'Choix pédagogiques'!$C$3=2),$BM1009=1),D1009,IF(AND('Choix pédagogiques'!$C$3=3,$BO1009=1),D1009,""))</f>
        <v/>
      </c>
      <c r="Z1009" s="22" t="str">
        <f t="shared" si="664"/>
        <v/>
      </c>
      <c r="AA1009" s="21" t="str">
        <f t="shared" si="665"/>
        <v>Apprenant 997 ou 997'</v>
      </c>
      <c r="AB1009" s="22" t="str">
        <f>IF(AND(OR('Choix pédagogiques'!$C$3=1,'Choix pédagogiques'!$C$3=2),$BN1009=1),G1009,IF(AND('Choix pédagogiques'!$C$3=3,$BO1009=1),G1009,""))</f>
        <v/>
      </c>
      <c r="AC1009" s="22" t="str">
        <f>IF(AND(OR('Choix pédagogiques'!$C$3=1,'Choix pédagogiques'!$C$3=2),$BN1009=1),H1009,IF(AND('Choix pédagogiques'!$C$3=3,$BO1009=1),H1009,""))</f>
        <v/>
      </c>
      <c r="AD1009" s="22" t="str">
        <f>IF(AND(OR('Choix pédagogiques'!$C$3=1,'Choix pédagogiques'!$C$3=2),$BN1009=1),I1009,IF(AND('Choix pédagogiques'!$C$3=3,$BO1009=1),I1009,""))</f>
        <v/>
      </c>
      <c r="AE1009" s="22" t="str">
        <f t="shared" si="666"/>
        <v/>
      </c>
      <c r="AF1009" s="21" t="str">
        <f t="shared" si="667"/>
        <v>Apprenant 997</v>
      </c>
      <c r="AG1009" s="22" t="str">
        <f t="shared" si="641"/>
        <v/>
      </c>
      <c r="AH1009" s="22" t="str">
        <f t="shared" si="642"/>
        <v/>
      </c>
      <c r="AI1009" s="22" t="str">
        <f t="shared" si="643"/>
        <v/>
      </c>
      <c r="AJ1009" s="22" t="str">
        <f t="shared" si="668"/>
        <v/>
      </c>
      <c r="AK1009" s="21" t="str">
        <f t="shared" si="669"/>
        <v>Apprenant 997 ou 997'</v>
      </c>
      <c r="AL1009" s="22" t="str">
        <f t="shared" si="644"/>
        <v/>
      </c>
      <c r="AM1009" s="22" t="str">
        <f t="shared" si="645"/>
        <v/>
      </c>
      <c r="AN1009" s="22" t="str">
        <f t="shared" si="646"/>
        <v/>
      </c>
      <c r="AO1009" s="22" t="str">
        <f t="shared" si="670"/>
        <v/>
      </c>
      <c r="AQ1009" s="21" t="str">
        <f t="shared" si="671"/>
        <v>Apprenant 997</v>
      </c>
      <c r="AR1009" s="49" t="str">
        <f>IF(AND('Choix pédagogiques'!$C$4&lt;&gt;"?",'Choix pédagogiques'!$C$5&lt;&gt;"?",W1009&lt;&gt;""),(W1009-'Choix pédagogiques'!$C$4)/('Choix pédagogiques'!$C$5-'Choix pédagogiques'!$C$4),"")</f>
        <v/>
      </c>
      <c r="AS1009" s="49" t="str">
        <f>IF(AND('Choix pédagogiques'!$C$4&lt;&gt;"?",'Choix pédagogiques'!$C$5&lt;&gt;"?",X1009&lt;&gt;""),(X1009-'Choix pédagogiques'!$C$4)/('Choix pédagogiques'!$C$5-'Choix pédagogiques'!$C$4),"")</f>
        <v/>
      </c>
      <c r="AT1009" s="49" t="str">
        <f>IF(AND('Choix pédagogiques'!$C$4&lt;&gt;"?",'Choix pédagogiques'!$C$5&lt;&gt;"?",Y1009&lt;&gt;""),(Y1009-'Choix pédagogiques'!$C$4)/('Choix pédagogiques'!$C$5-'Choix pédagogiques'!$C$4),"")</f>
        <v/>
      </c>
      <c r="AU1009" s="22" t="str">
        <f t="shared" si="672"/>
        <v/>
      </c>
      <c r="AV1009" s="21" t="str">
        <f t="shared" si="673"/>
        <v>Apprenant 997 ou 997'</v>
      </c>
      <c r="AW1009" s="49" t="str">
        <f>IF(AND('Choix pédagogiques'!$C$4&lt;&gt;"?",'Choix pédagogiques'!$C$5&lt;&gt;"?",AB1009&lt;&gt;""),(AB1009-'Choix pédagogiques'!$C$4)/('Choix pédagogiques'!$C$5-'Choix pédagogiques'!$C$4),"")</f>
        <v/>
      </c>
      <c r="AX1009" s="49" t="str">
        <f>IF(AND('Choix pédagogiques'!$C$4&lt;&gt;"?",'Choix pédagogiques'!$C$5&lt;&gt;"?",AC1009&lt;&gt;""),(AC1009-'Choix pédagogiques'!$C$4)/('Choix pédagogiques'!$C$5-'Choix pédagogiques'!$C$4),"")</f>
        <v/>
      </c>
      <c r="AY1009" s="49" t="str">
        <f>IF(AND('Choix pédagogiques'!$C$4&lt;&gt;"?",'Choix pédagogiques'!$C$5&lt;&gt;"?",AD1009&lt;&gt;""),(AD1009-'Choix pédagogiques'!$C$4)/('Choix pédagogiques'!$C$5-'Choix pédagogiques'!$C$4),"")</f>
        <v/>
      </c>
      <c r="AZ1009" s="22" t="str">
        <f t="shared" si="674"/>
        <v/>
      </c>
      <c r="BA1009" s="21" t="str">
        <f t="shared" si="675"/>
        <v>Apprenant 997</v>
      </c>
      <c r="BB1009" s="49" t="str">
        <f t="shared" si="647"/>
        <v/>
      </c>
      <c r="BC1009" s="49" t="str">
        <f t="shared" si="648"/>
        <v/>
      </c>
      <c r="BD1009" s="49" t="str">
        <f t="shared" si="649"/>
        <v/>
      </c>
      <c r="BE1009" s="22" t="str">
        <f t="shared" si="676"/>
        <v/>
      </c>
      <c r="BF1009" s="21" t="str">
        <f t="shared" si="677"/>
        <v>Apprenant 997 ou 997'</v>
      </c>
      <c r="BG1009" s="49" t="str">
        <f t="shared" si="650"/>
        <v/>
      </c>
      <c r="BH1009" s="49" t="str">
        <f t="shared" si="651"/>
        <v/>
      </c>
      <c r="BI1009" s="49" t="str">
        <f t="shared" si="652"/>
        <v/>
      </c>
      <c r="BJ1009" s="22" t="str">
        <f t="shared" si="678"/>
        <v/>
      </c>
      <c r="BL1009" s="21"/>
      <c r="BM1009" s="21" t="str">
        <f>IF(OR(COUNT(B1009:D2008)=0,AND('Choix pédagogiques'!$C$3&lt;&gt;1,'Choix pédagogiques'!$C$3&lt;&gt;2)),"",IF(AND(OR('Choix pédagogiques'!$C$3=1,'Choix pédagogiques'!$C$3=2),$B1009&lt;&gt;"",$C1009&lt;&gt;"",$D1009&lt;&gt;""),1,0))</f>
        <v/>
      </c>
      <c r="BN1009" s="21" t="str">
        <f>IF(OR(COUNT(G1009:I2008)=0,AND('Choix pédagogiques'!$C$3&lt;&gt;1,'Choix pédagogiques'!$C$3&lt;&gt;2)),"",IF(AND(OR('Choix pédagogiques'!$C$3=1,'Choix pédagogiques'!$C$3=2),AND($G1009&lt;&gt;"",$H1009&lt;&gt;"",$I1009&lt;&gt;"")),1,0))</f>
        <v/>
      </c>
      <c r="BO1009" s="21" t="str">
        <f>IF(OR(COUNT(B1009:D2008)=0,COUNT(G1009:I2008)=0,'Choix pédagogiques'!C$3&lt;&gt;3),"",IF(AND('Choix pédagogiques'!$C$3=3,$B1009&lt;&gt;"",$C1009&lt;&gt;"",$D1009&lt;&gt;"",$G1009&lt;&gt;"",$H1009&lt;&gt;"",$I1009&lt;&gt;""),1,0))</f>
        <v/>
      </c>
      <c r="BR1009" s="21">
        <v>322</v>
      </c>
      <c r="BS1009" s="21">
        <v>1888</v>
      </c>
      <c r="BT1009"/>
    </row>
    <row r="1010" spans="1:72" s="23" customFormat="1" ht="18" customHeight="1" x14ac:dyDescent="0.3">
      <c r="A1010" s="35" t="s">
        <v>1000</v>
      </c>
      <c r="B1010" s="37"/>
      <c r="C1010" s="37"/>
      <c r="D1010" s="37"/>
      <c r="E1010" s="37"/>
      <c r="F1010" s="35" t="s">
        <v>2008</v>
      </c>
      <c r="G1010" s="37"/>
      <c r="H1010" s="37"/>
      <c r="I1010" s="37"/>
      <c r="J1010" s="37"/>
      <c r="K1010" s="21" t="str">
        <f t="shared" si="653"/>
        <v>Apprenant 998</v>
      </c>
      <c r="L1010" s="22" t="str">
        <f t="shared" si="654"/>
        <v/>
      </c>
      <c r="M1010" s="22" t="str">
        <f t="shared" si="655"/>
        <v/>
      </c>
      <c r="N1010" s="22" t="str">
        <f t="shared" si="656"/>
        <v/>
      </c>
      <c r="O1010" s="22" t="str">
        <f t="shared" si="657"/>
        <v/>
      </c>
      <c r="P1010" s="21" t="str">
        <f t="shared" si="658"/>
        <v>Apprenant 998 ou 998'</v>
      </c>
      <c r="Q1010" s="22" t="str">
        <f t="shared" si="659"/>
        <v/>
      </c>
      <c r="R1010" s="22" t="str">
        <f t="shared" si="660"/>
        <v/>
      </c>
      <c r="S1010" s="22" t="str">
        <f t="shared" si="661"/>
        <v/>
      </c>
      <c r="T1010" s="22" t="str">
        <f t="shared" si="662"/>
        <v/>
      </c>
      <c r="V1010" s="21" t="str">
        <f t="shared" si="663"/>
        <v>Apprenant 998</v>
      </c>
      <c r="W1010" s="22" t="str">
        <f>IF(AND(OR('Choix pédagogiques'!$C$3=1,'Choix pédagogiques'!$C$3=2),$BM1010=1),B1010,IF(AND('Choix pédagogiques'!$C$3=3,$BO1010=1),B1010,""))</f>
        <v/>
      </c>
      <c r="X1010" s="22" t="str">
        <f>IF(AND(OR('Choix pédagogiques'!$C$3=1,'Choix pédagogiques'!$C$3=2),$BM1010=1),C1010,IF(AND('Choix pédagogiques'!$C$3=3,$BO1010=1),C1010,""))</f>
        <v/>
      </c>
      <c r="Y1010" s="22" t="str">
        <f>IF(AND(OR('Choix pédagogiques'!$C$3=1,'Choix pédagogiques'!$C$3=2),$BM1010=1),D1010,IF(AND('Choix pédagogiques'!$C$3=3,$BO1010=1),D1010,""))</f>
        <v/>
      </c>
      <c r="Z1010" s="22" t="str">
        <f t="shared" si="664"/>
        <v/>
      </c>
      <c r="AA1010" s="21" t="str">
        <f t="shared" si="665"/>
        <v>Apprenant 998 ou 998'</v>
      </c>
      <c r="AB1010" s="22" t="str">
        <f>IF(AND(OR('Choix pédagogiques'!$C$3=1,'Choix pédagogiques'!$C$3=2),$BN1010=1),G1010,IF(AND('Choix pédagogiques'!$C$3=3,$BO1010=1),G1010,""))</f>
        <v/>
      </c>
      <c r="AC1010" s="22" t="str">
        <f>IF(AND(OR('Choix pédagogiques'!$C$3=1,'Choix pédagogiques'!$C$3=2),$BN1010=1),H1010,IF(AND('Choix pédagogiques'!$C$3=3,$BO1010=1),H1010,""))</f>
        <v/>
      </c>
      <c r="AD1010" s="22" t="str">
        <f>IF(AND(OR('Choix pédagogiques'!$C$3=1,'Choix pédagogiques'!$C$3=2),$BN1010=1),I1010,IF(AND('Choix pédagogiques'!$C$3=3,$BO1010=1),I1010,""))</f>
        <v/>
      </c>
      <c r="AE1010" s="22" t="str">
        <f t="shared" si="666"/>
        <v/>
      </c>
      <c r="AF1010" s="21" t="str">
        <f t="shared" si="667"/>
        <v>Apprenant 998</v>
      </c>
      <c r="AG1010" s="22" t="str">
        <f t="shared" si="641"/>
        <v/>
      </c>
      <c r="AH1010" s="22" t="str">
        <f t="shared" si="642"/>
        <v/>
      </c>
      <c r="AI1010" s="22" t="str">
        <f t="shared" si="643"/>
        <v/>
      </c>
      <c r="AJ1010" s="22" t="str">
        <f t="shared" si="668"/>
        <v/>
      </c>
      <c r="AK1010" s="21" t="str">
        <f t="shared" si="669"/>
        <v>Apprenant 998 ou 998'</v>
      </c>
      <c r="AL1010" s="22" t="str">
        <f t="shared" si="644"/>
        <v/>
      </c>
      <c r="AM1010" s="22" t="str">
        <f t="shared" si="645"/>
        <v/>
      </c>
      <c r="AN1010" s="22" t="str">
        <f t="shared" si="646"/>
        <v/>
      </c>
      <c r="AO1010" s="22" t="str">
        <f t="shared" si="670"/>
        <v/>
      </c>
      <c r="AQ1010" s="21" t="str">
        <f t="shared" si="671"/>
        <v>Apprenant 998</v>
      </c>
      <c r="AR1010" s="49" t="str">
        <f>IF(AND('Choix pédagogiques'!$C$4&lt;&gt;"?",'Choix pédagogiques'!$C$5&lt;&gt;"?",W1010&lt;&gt;""),(W1010-'Choix pédagogiques'!$C$4)/('Choix pédagogiques'!$C$5-'Choix pédagogiques'!$C$4),"")</f>
        <v/>
      </c>
      <c r="AS1010" s="49" t="str">
        <f>IF(AND('Choix pédagogiques'!$C$4&lt;&gt;"?",'Choix pédagogiques'!$C$5&lt;&gt;"?",X1010&lt;&gt;""),(X1010-'Choix pédagogiques'!$C$4)/('Choix pédagogiques'!$C$5-'Choix pédagogiques'!$C$4),"")</f>
        <v/>
      </c>
      <c r="AT1010" s="49" t="str">
        <f>IF(AND('Choix pédagogiques'!$C$4&lt;&gt;"?",'Choix pédagogiques'!$C$5&lt;&gt;"?",Y1010&lt;&gt;""),(Y1010-'Choix pédagogiques'!$C$4)/('Choix pédagogiques'!$C$5-'Choix pédagogiques'!$C$4),"")</f>
        <v/>
      </c>
      <c r="AU1010" s="22" t="str">
        <f t="shared" si="672"/>
        <v/>
      </c>
      <c r="AV1010" s="21" t="str">
        <f t="shared" si="673"/>
        <v>Apprenant 998 ou 998'</v>
      </c>
      <c r="AW1010" s="49" t="str">
        <f>IF(AND('Choix pédagogiques'!$C$4&lt;&gt;"?",'Choix pédagogiques'!$C$5&lt;&gt;"?",AB1010&lt;&gt;""),(AB1010-'Choix pédagogiques'!$C$4)/('Choix pédagogiques'!$C$5-'Choix pédagogiques'!$C$4),"")</f>
        <v/>
      </c>
      <c r="AX1010" s="49" t="str">
        <f>IF(AND('Choix pédagogiques'!$C$4&lt;&gt;"?",'Choix pédagogiques'!$C$5&lt;&gt;"?",AC1010&lt;&gt;""),(AC1010-'Choix pédagogiques'!$C$4)/('Choix pédagogiques'!$C$5-'Choix pédagogiques'!$C$4),"")</f>
        <v/>
      </c>
      <c r="AY1010" s="49" t="str">
        <f>IF(AND('Choix pédagogiques'!$C$4&lt;&gt;"?",'Choix pédagogiques'!$C$5&lt;&gt;"?",AD1010&lt;&gt;""),(AD1010-'Choix pédagogiques'!$C$4)/('Choix pédagogiques'!$C$5-'Choix pédagogiques'!$C$4),"")</f>
        <v/>
      </c>
      <c r="AZ1010" s="22" t="str">
        <f t="shared" si="674"/>
        <v/>
      </c>
      <c r="BA1010" s="21" t="str">
        <f t="shared" si="675"/>
        <v>Apprenant 998</v>
      </c>
      <c r="BB1010" s="49" t="str">
        <f t="shared" si="647"/>
        <v/>
      </c>
      <c r="BC1010" s="49" t="str">
        <f t="shared" si="648"/>
        <v/>
      </c>
      <c r="BD1010" s="49" t="str">
        <f t="shared" si="649"/>
        <v/>
      </c>
      <c r="BE1010" s="22" t="str">
        <f t="shared" si="676"/>
        <v/>
      </c>
      <c r="BF1010" s="21" t="str">
        <f t="shared" si="677"/>
        <v>Apprenant 998 ou 998'</v>
      </c>
      <c r="BG1010" s="49" t="str">
        <f t="shared" si="650"/>
        <v/>
      </c>
      <c r="BH1010" s="49" t="str">
        <f t="shared" si="651"/>
        <v/>
      </c>
      <c r="BI1010" s="49" t="str">
        <f t="shared" si="652"/>
        <v/>
      </c>
      <c r="BJ1010" s="22" t="str">
        <f t="shared" si="678"/>
        <v/>
      </c>
      <c r="BL1010" s="21"/>
      <c r="BM1010" s="21" t="str">
        <f>IF(OR(COUNT(B1010:D2009)=0,AND('Choix pédagogiques'!$C$3&lt;&gt;1,'Choix pédagogiques'!$C$3&lt;&gt;2)),"",IF(AND(OR('Choix pédagogiques'!$C$3=1,'Choix pédagogiques'!$C$3=2),$B1010&lt;&gt;"",$C1010&lt;&gt;"",$D1010&lt;&gt;""),1,0))</f>
        <v/>
      </c>
      <c r="BN1010" s="21" t="str">
        <f>IF(OR(COUNT(G1010:I2009)=0,AND('Choix pédagogiques'!$C$3&lt;&gt;1,'Choix pédagogiques'!$C$3&lt;&gt;2)),"",IF(AND(OR('Choix pédagogiques'!$C$3=1,'Choix pédagogiques'!$C$3=2),AND($G1010&lt;&gt;"",$H1010&lt;&gt;"",$I1010&lt;&gt;"")),1,0))</f>
        <v/>
      </c>
      <c r="BO1010" s="21" t="str">
        <f>IF(OR(COUNT(B1010:D2009)=0,COUNT(G1010:I2009)=0,'Choix pédagogiques'!C$3&lt;&gt;3),"",IF(AND('Choix pédagogiques'!$C$3=3,$B1010&lt;&gt;"",$C1010&lt;&gt;"",$D1010&lt;&gt;"",$G1010&lt;&gt;"",$H1010&lt;&gt;"",$I1010&lt;&gt;""),1,0))</f>
        <v/>
      </c>
      <c r="BR1010" s="21">
        <v>798</v>
      </c>
      <c r="BS1010" s="21">
        <v>1642</v>
      </c>
      <c r="BT1010"/>
    </row>
    <row r="1011" spans="1:72" s="23" customFormat="1" ht="18" customHeight="1" x14ac:dyDescent="0.3">
      <c r="A1011" s="35" t="s">
        <v>1001</v>
      </c>
      <c r="B1011" s="37"/>
      <c r="C1011" s="37"/>
      <c r="D1011" s="37"/>
      <c r="E1011" s="37"/>
      <c r="F1011" s="35" t="s">
        <v>2009</v>
      </c>
      <c r="G1011" s="37"/>
      <c r="H1011" s="37"/>
      <c r="I1011" s="37"/>
      <c r="J1011" s="37"/>
      <c r="K1011" s="21" t="str">
        <f t="shared" si="653"/>
        <v>Apprenant 999</v>
      </c>
      <c r="L1011" s="22" t="str">
        <f t="shared" si="654"/>
        <v/>
      </c>
      <c r="M1011" s="22" t="str">
        <f t="shared" si="655"/>
        <v/>
      </c>
      <c r="N1011" s="22" t="str">
        <f t="shared" si="656"/>
        <v/>
      </c>
      <c r="O1011" s="22" t="str">
        <f t="shared" si="657"/>
        <v/>
      </c>
      <c r="P1011" s="21" t="str">
        <f t="shared" si="658"/>
        <v>Apprenant 999 ou 999'</v>
      </c>
      <c r="Q1011" s="22" t="str">
        <f t="shared" si="659"/>
        <v/>
      </c>
      <c r="R1011" s="22" t="str">
        <f t="shared" si="660"/>
        <v/>
      </c>
      <c r="S1011" s="22" t="str">
        <f t="shared" si="661"/>
        <v/>
      </c>
      <c r="T1011" s="22" t="str">
        <f t="shared" si="662"/>
        <v/>
      </c>
      <c r="V1011" s="21" t="str">
        <f t="shared" si="663"/>
        <v>Apprenant 999</v>
      </c>
      <c r="W1011" s="22" t="str">
        <f>IF(AND(OR('Choix pédagogiques'!$C$3=1,'Choix pédagogiques'!$C$3=2),$BM1011=1),B1011,IF(AND('Choix pédagogiques'!$C$3=3,$BO1011=1),B1011,""))</f>
        <v/>
      </c>
      <c r="X1011" s="22" t="str">
        <f>IF(AND(OR('Choix pédagogiques'!$C$3=1,'Choix pédagogiques'!$C$3=2),$BM1011=1),C1011,IF(AND('Choix pédagogiques'!$C$3=3,$BO1011=1),C1011,""))</f>
        <v/>
      </c>
      <c r="Y1011" s="22" t="str">
        <f>IF(AND(OR('Choix pédagogiques'!$C$3=1,'Choix pédagogiques'!$C$3=2),$BM1011=1),D1011,IF(AND('Choix pédagogiques'!$C$3=3,$BO1011=1),D1011,""))</f>
        <v/>
      </c>
      <c r="Z1011" s="22" t="str">
        <f t="shared" si="664"/>
        <v/>
      </c>
      <c r="AA1011" s="21" t="str">
        <f t="shared" si="665"/>
        <v>Apprenant 999 ou 999'</v>
      </c>
      <c r="AB1011" s="22" t="str">
        <f>IF(AND(OR('Choix pédagogiques'!$C$3=1,'Choix pédagogiques'!$C$3=2),$BN1011=1),G1011,IF(AND('Choix pédagogiques'!$C$3=3,$BO1011=1),G1011,""))</f>
        <v/>
      </c>
      <c r="AC1011" s="22" t="str">
        <f>IF(AND(OR('Choix pédagogiques'!$C$3=1,'Choix pédagogiques'!$C$3=2),$BN1011=1),H1011,IF(AND('Choix pédagogiques'!$C$3=3,$BO1011=1),H1011,""))</f>
        <v/>
      </c>
      <c r="AD1011" s="22" t="str">
        <f>IF(AND(OR('Choix pédagogiques'!$C$3=1,'Choix pédagogiques'!$C$3=2),$BN1011=1),I1011,IF(AND('Choix pédagogiques'!$C$3=3,$BO1011=1),I1011,""))</f>
        <v/>
      </c>
      <c r="AE1011" s="22" t="str">
        <f t="shared" si="666"/>
        <v/>
      </c>
      <c r="AF1011" s="21" t="str">
        <f t="shared" si="667"/>
        <v>Apprenant 999</v>
      </c>
      <c r="AG1011" s="22" t="str">
        <f t="shared" si="641"/>
        <v/>
      </c>
      <c r="AH1011" s="22" t="str">
        <f t="shared" si="642"/>
        <v/>
      </c>
      <c r="AI1011" s="22" t="str">
        <f t="shared" si="643"/>
        <v/>
      </c>
      <c r="AJ1011" s="22" t="str">
        <f t="shared" si="668"/>
        <v/>
      </c>
      <c r="AK1011" s="21" t="str">
        <f t="shared" si="669"/>
        <v>Apprenant 999 ou 999'</v>
      </c>
      <c r="AL1011" s="22" t="str">
        <f t="shared" si="644"/>
        <v/>
      </c>
      <c r="AM1011" s="22" t="str">
        <f t="shared" si="645"/>
        <v/>
      </c>
      <c r="AN1011" s="22" t="str">
        <f t="shared" si="646"/>
        <v/>
      </c>
      <c r="AO1011" s="22" t="str">
        <f t="shared" si="670"/>
        <v/>
      </c>
      <c r="AQ1011" s="21" t="str">
        <f t="shared" si="671"/>
        <v>Apprenant 999</v>
      </c>
      <c r="AR1011" s="49" t="str">
        <f>IF(AND('Choix pédagogiques'!$C$4&lt;&gt;"?",'Choix pédagogiques'!$C$5&lt;&gt;"?",W1011&lt;&gt;""),(W1011-'Choix pédagogiques'!$C$4)/('Choix pédagogiques'!$C$5-'Choix pédagogiques'!$C$4),"")</f>
        <v/>
      </c>
      <c r="AS1011" s="49" t="str">
        <f>IF(AND('Choix pédagogiques'!$C$4&lt;&gt;"?",'Choix pédagogiques'!$C$5&lt;&gt;"?",X1011&lt;&gt;""),(X1011-'Choix pédagogiques'!$C$4)/('Choix pédagogiques'!$C$5-'Choix pédagogiques'!$C$4),"")</f>
        <v/>
      </c>
      <c r="AT1011" s="49" t="str">
        <f>IF(AND('Choix pédagogiques'!$C$4&lt;&gt;"?",'Choix pédagogiques'!$C$5&lt;&gt;"?",Y1011&lt;&gt;""),(Y1011-'Choix pédagogiques'!$C$4)/('Choix pédagogiques'!$C$5-'Choix pédagogiques'!$C$4),"")</f>
        <v/>
      </c>
      <c r="AU1011" s="22" t="str">
        <f t="shared" si="672"/>
        <v/>
      </c>
      <c r="AV1011" s="21" t="str">
        <f t="shared" si="673"/>
        <v>Apprenant 999 ou 999'</v>
      </c>
      <c r="AW1011" s="49" t="str">
        <f>IF(AND('Choix pédagogiques'!$C$4&lt;&gt;"?",'Choix pédagogiques'!$C$5&lt;&gt;"?",AB1011&lt;&gt;""),(AB1011-'Choix pédagogiques'!$C$4)/('Choix pédagogiques'!$C$5-'Choix pédagogiques'!$C$4),"")</f>
        <v/>
      </c>
      <c r="AX1011" s="49" t="str">
        <f>IF(AND('Choix pédagogiques'!$C$4&lt;&gt;"?",'Choix pédagogiques'!$C$5&lt;&gt;"?",AC1011&lt;&gt;""),(AC1011-'Choix pédagogiques'!$C$4)/('Choix pédagogiques'!$C$5-'Choix pédagogiques'!$C$4),"")</f>
        <v/>
      </c>
      <c r="AY1011" s="49" t="str">
        <f>IF(AND('Choix pédagogiques'!$C$4&lt;&gt;"?",'Choix pédagogiques'!$C$5&lt;&gt;"?",AD1011&lt;&gt;""),(AD1011-'Choix pédagogiques'!$C$4)/('Choix pédagogiques'!$C$5-'Choix pédagogiques'!$C$4),"")</f>
        <v/>
      </c>
      <c r="AZ1011" s="22" t="str">
        <f t="shared" si="674"/>
        <v/>
      </c>
      <c r="BA1011" s="21" t="str">
        <f t="shared" si="675"/>
        <v>Apprenant 999</v>
      </c>
      <c r="BB1011" s="49" t="str">
        <f t="shared" si="647"/>
        <v/>
      </c>
      <c r="BC1011" s="49" t="str">
        <f t="shared" si="648"/>
        <v/>
      </c>
      <c r="BD1011" s="49" t="str">
        <f t="shared" si="649"/>
        <v/>
      </c>
      <c r="BE1011" s="22" t="str">
        <f t="shared" si="676"/>
        <v/>
      </c>
      <c r="BF1011" s="21" t="str">
        <f t="shared" si="677"/>
        <v>Apprenant 999 ou 999'</v>
      </c>
      <c r="BG1011" s="49" t="str">
        <f t="shared" si="650"/>
        <v/>
      </c>
      <c r="BH1011" s="49" t="str">
        <f t="shared" si="651"/>
        <v/>
      </c>
      <c r="BI1011" s="49" t="str">
        <f t="shared" si="652"/>
        <v/>
      </c>
      <c r="BJ1011" s="22" t="str">
        <f t="shared" si="678"/>
        <v/>
      </c>
      <c r="BL1011" s="21"/>
      <c r="BM1011" s="21" t="str">
        <f>IF(OR(COUNT(B1011:D2010)=0,AND('Choix pédagogiques'!$C$3&lt;&gt;1,'Choix pédagogiques'!$C$3&lt;&gt;2)),"",IF(AND(OR('Choix pédagogiques'!$C$3=1,'Choix pédagogiques'!$C$3=2),$B1011&lt;&gt;"",$C1011&lt;&gt;"",$D1011&lt;&gt;""),1,0))</f>
        <v/>
      </c>
      <c r="BN1011" s="21" t="str">
        <f>IF(OR(COUNT(G1011:I2010)=0,AND('Choix pédagogiques'!$C$3&lt;&gt;1,'Choix pédagogiques'!$C$3&lt;&gt;2)),"",IF(AND(OR('Choix pédagogiques'!$C$3=1,'Choix pédagogiques'!$C$3=2),AND($G1011&lt;&gt;"",$H1011&lt;&gt;"",$I1011&lt;&gt;"")),1,0))</f>
        <v/>
      </c>
      <c r="BO1011" s="21" t="str">
        <f>IF(OR(COUNT(B1011:D2010)=0,COUNT(G1011:I2010)=0,'Choix pédagogiques'!C$3&lt;&gt;3),"",IF(AND('Choix pédagogiques'!$C$3=3,$B1011&lt;&gt;"",$C1011&lt;&gt;"",$D1011&lt;&gt;"",$G1011&lt;&gt;"",$H1011&lt;&gt;"",$I1011&lt;&gt;""),1,0))</f>
        <v/>
      </c>
      <c r="BR1011" s="21">
        <v>868</v>
      </c>
      <c r="BS1011" s="21">
        <v>1129</v>
      </c>
      <c r="BT1011"/>
    </row>
    <row r="1012" spans="1:72" s="23" customFormat="1" ht="18" customHeight="1" x14ac:dyDescent="0.3">
      <c r="A1012" s="35" t="s">
        <v>1002</v>
      </c>
      <c r="B1012" s="37"/>
      <c r="C1012" s="37"/>
      <c r="D1012" s="37"/>
      <c r="E1012" s="37"/>
      <c r="F1012" s="35" t="s">
        <v>2010</v>
      </c>
      <c r="G1012" s="37"/>
      <c r="H1012" s="37"/>
      <c r="I1012" s="37"/>
      <c r="J1012" s="37"/>
      <c r="K1012" s="21" t="str">
        <f t="shared" si="653"/>
        <v>Apprenant 1000</v>
      </c>
      <c r="L1012" s="22" t="str">
        <f t="shared" si="654"/>
        <v/>
      </c>
      <c r="M1012" s="22" t="str">
        <f t="shared" si="655"/>
        <v/>
      </c>
      <c r="N1012" s="22" t="str">
        <f t="shared" si="656"/>
        <v/>
      </c>
      <c r="O1012" s="22" t="str">
        <f>IF($E1012&lt;&gt;"",$E1012,"")</f>
        <v/>
      </c>
      <c r="P1012" s="21" t="str">
        <f t="shared" si="658"/>
        <v>Apprenant 1000 ou 1000'</v>
      </c>
      <c r="Q1012" s="22" t="str">
        <f t="shared" si="659"/>
        <v/>
      </c>
      <c r="R1012" s="22" t="str">
        <f t="shared" si="660"/>
        <v/>
      </c>
      <c r="S1012" s="22" t="str">
        <f t="shared" si="661"/>
        <v/>
      </c>
      <c r="T1012" s="22" t="str">
        <f t="shared" si="662"/>
        <v/>
      </c>
      <c r="V1012" s="21" t="str">
        <f t="shared" si="663"/>
        <v>Apprenant 1000</v>
      </c>
      <c r="W1012" s="22" t="str">
        <f>IF(AND(OR('Choix pédagogiques'!$C$3=1,'Choix pédagogiques'!$C$3=2),$BM1012=1),B1012,IF(AND('Choix pédagogiques'!$C$3=3,$BO1012=1),B1012,""))</f>
        <v/>
      </c>
      <c r="X1012" s="22" t="str">
        <f>IF(AND(OR('Choix pédagogiques'!$C$3=1,'Choix pédagogiques'!$C$3=2),$BM1012=1),C1012,IF(AND('Choix pédagogiques'!$C$3=3,$BO1012=1),C1012,""))</f>
        <v/>
      </c>
      <c r="Y1012" s="22" t="str">
        <f>IF(AND(OR('Choix pédagogiques'!$C$3=1,'Choix pédagogiques'!$C$3=2),$BM1012=1),D1012,IF(AND('Choix pédagogiques'!$C$3=3,$BO1012=1),D1012,""))</f>
        <v/>
      </c>
      <c r="Z1012" s="22" t="str">
        <f>IF($E1012&lt;&gt;"",$E1012,"")</f>
        <v/>
      </c>
      <c r="AA1012" s="21" t="str">
        <f t="shared" si="665"/>
        <v>Apprenant 1000 ou 1000'</v>
      </c>
      <c r="AB1012" s="22" t="str">
        <f>IF(AND(OR('Choix pédagogiques'!$C$3=1,'Choix pédagogiques'!$C$3=2),$BN1012=1),G1012,IF(AND('Choix pédagogiques'!$C$3=3,$BO1012=1),G1012,""))</f>
        <v/>
      </c>
      <c r="AC1012" s="22" t="str">
        <f>IF(AND(OR('Choix pédagogiques'!$C$3=1,'Choix pédagogiques'!$C$3=2),$BN1012=1),H1012,IF(AND('Choix pédagogiques'!$C$3=3,$BO1012=1),H1012,""))</f>
        <v/>
      </c>
      <c r="AD1012" s="22" t="str">
        <f>IF(AND(OR('Choix pédagogiques'!$C$3=1,'Choix pédagogiques'!$C$3=2),$BN1012=1),I1012,IF(AND('Choix pédagogiques'!$C$3=3,$BO1012=1),I1012,""))</f>
        <v/>
      </c>
      <c r="AE1012" s="22" t="str">
        <f t="shared" si="666"/>
        <v/>
      </c>
      <c r="AF1012" s="21" t="str">
        <f t="shared" si="667"/>
        <v>Apprenant 1000</v>
      </c>
      <c r="AG1012" s="22" t="str">
        <f t="shared" si="641"/>
        <v/>
      </c>
      <c r="AH1012" s="22" t="str">
        <f t="shared" si="642"/>
        <v/>
      </c>
      <c r="AI1012" s="22" t="str">
        <f t="shared" si="643"/>
        <v/>
      </c>
      <c r="AJ1012" s="22" t="str">
        <f>IF($E1012&lt;&gt;"",$E1012,"")</f>
        <v/>
      </c>
      <c r="AK1012" s="21" t="str">
        <f t="shared" si="669"/>
        <v>Apprenant 1000 ou 1000'</v>
      </c>
      <c r="AL1012" s="22" t="str">
        <f t="shared" si="644"/>
        <v/>
      </c>
      <c r="AM1012" s="22" t="str">
        <f t="shared" si="645"/>
        <v/>
      </c>
      <c r="AN1012" s="22" t="str">
        <f t="shared" si="646"/>
        <v/>
      </c>
      <c r="AO1012" s="22" t="str">
        <f t="shared" si="670"/>
        <v/>
      </c>
      <c r="AQ1012" s="21" t="str">
        <f t="shared" si="671"/>
        <v>Apprenant 1000</v>
      </c>
      <c r="AR1012" s="49" t="str">
        <f>IF(AND('Choix pédagogiques'!$C$4&lt;&gt;"?",'Choix pédagogiques'!$C$5&lt;&gt;"?",W1012&lt;&gt;""),(W1012-'Choix pédagogiques'!$C$4)/('Choix pédagogiques'!$C$5-'Choix pédagogiques'!$C$4),"")</f>
        <v/>
      </c>
      <c r="AS1012" s="49" t="str">
        <f>IF(AND('Choix pédagogiques'!$C$4&lt;&gt;"?",'Choix pédagogiques'!$C$5&lt;&gt;"?",X1012&lt;&gt;""),(X1012-'Choix pédagogiques'!$C$4)/('Choix pédagogiques'!$C$5-'Choix pédagogiques'!$C$4),"")</f>
        <v/>
      </c>
      <c r="AT1012" s="49" t="str">
        <f>IF(AND('Choix pédagogiques'!$C$4&lt;&gt;"?",'Choix pédagogiques'!$C$5&lt;&gt;"?",Y1012&lt;&gt;""),(Y1012-'Choix pédagogiques'!$C$4)/('Choix pédagogiques'!$C$5-'Choix pédagogiques'!$C$4),"")</f>
        <v/>
      </c>
      <c r="AU1012" s="22" t="str">
        <f>IF($E1012&lt;&gt;"",$E1012,"")</f>
        <v/>
      </c>
      <c r="AV1012" s="21" t="str">
        <f t="shared" si="673"/>
        <v>Apprenant 1000 ou 1000'</v>
      </c>
      <c r="AW1012" s="49" t="str">
        <f>IF(AND('Choix pédagogiques'!$C$4&lt;&gt;"?",'Choix pédagogiques'!$C$5&lt;&gt;"?",AB1012&lt;&gt;""),(AB1012-'Choix pédagogiques'!$C$4)/('Choix pédagogiques'!$C$5-'Choix pédagogiques'!$C$4),"")</f>
        <v/>
      </c>
      <c r="AX1012" s="49" t="str">
        <f>IF(AND('Choix pédagogiques'!$C$4&lt;&gt;"?",'Choix pédagogiques'!$C$5&lt;&gt;"?",AC1012&lt;&gt;""),(AC1012-'Choix pédagogiques'!$C$4)/('Choix pédagogiques'!$C$5-'Choix pédagogiques'!$C$4),"")</f>
        <v/>
      </c>
      <c r="AY1012" s="49" t="str">
        <f>IF(AND('Choix pédagogiques'!$C$4&lt;&gt;"?",'Choix pédagogiques'!$C$5&lt;&gt;"?",AD1012&lt;&gt;""),(AD1012-'Choix pédagogiques'!$C$4)/('Choix pédagogiques'!$C$5-'Choix pédagogiques'!$C$4),"")</f>
        <v/>
      </c>
      <c r="AZ1012" s="22" t="str">
        <f t="shared" si="674"/>
        <v/>
      </c>
      <c r="BA1012" s="21" t="str">
        <f t="shared" si="675"/>
        <v>Apprenant 1000</v>
      </c>
      <c r="BB1012" s="49" t="str">
        <f t="shared" si="647"/>
        <v/>
      </c>
      <c r="BC1012" s="49" t="str">
        <f t="shared" si="648"/>
        <v/>
      </c>
      <c r="BD1012" s="49" t="str">
        <f t="shared" si="649"/>
        <v/>
      </c>
      <c r="BE1012" s="22" t="str">
        <f>IF($E1012&lt;&gt;"",$E1012,"")</f>
        <v/>
      </c>
      <c r="BF1012" s="21" t="str">
        <f t="shared" si="677"/>
        <v>Apprenant 1000 ou 1000'</v>
      </c>
      <c r="BG1012" s="49" t="str">
        <f t="shared" si="650"/>
        <v/>
      </c>
      <c r="BH1012" s="49" t="str">
        <f t="shared" si="651"/>
        <v/>
      </c>
      <c r="BI1012" s="49" t="str">
        <f t="shared" si="652"/>
        <v/>
      </c>
      <c r="BJ1012" s="22" t="str">
        <f t="shared" si="678"/>
        <v/>
      </c>
      <c r="BL1012" s="21"/>
      <c r="BM1012" s="21" t="str">
        <f>IF(OR(COUNT(B1012:D2011)=0,AND('Choix pédagogiques'!$C$3&lt;&gt;1,'Choix pédagogiques'!$C$3&lt;&gt;2)),"",IF(AND(OR('Choix pédagogiques'!$C$3=1,'Choix pédagogiques'!$C$3=2),$B1012&lt;&gt;"",$C1012&lt;&gt;"",$D1012&lt;&gt;""),1,0))</f>
        <v/>
      </c>
      <c r="BN1012" s="21" t="str">
        <f>IF(OR(COUNT(G1012:I2011)=0,AND('Choix pédagogiques'!$C$3&lt;&gt;1,'Choix pédagogiques'!$C$3&lt;&gt;2)),"",IF(AND(OR('Choix pédagogiques'!$C$3=1,'Choix pédagogiques'!$C$3=2),AND($G1012&lt;&gt;"",$H1012&lt;&gt;"",$I1012&lt;&gt;"")),1,0))</f>
        <v/>
      </c>
      <c r="BO1012" s="21" t="str">
        <f>IF(OR(COUNT(B1012:D2011)=0,COUNT(G1012:I2011)=0,'Choix pédagogiques'!C$3&lt;&gt;3),"",IF(AND('Choix pédagogiques'!$C$3=3,$B1012&lt;&gt;"",$C1012&lt;&gt;"",$D1012&lt;&gt;"",$G1012&lt;&gt;"",$H1012&lt;&gt;"",$I1012&lt;&gt;""),1,0))</f>
        <v/>
      </c>
      <c r="BR1012" s="21">
        <v>215</v>
      </c>
      <c r="BS1012" s="21">
        <v>1841</v>
      </c>
      <c r="BT1012"/>
    </row>
  </sheetData>
  <mergeCells count="39">
    <mergeCell ref="BA3:BE3"/>
    <mergeCell ref="BF3:BJ3"/>
    <mergeCell ref="BR2:BS2"/>
    <mergeCell ref="AA3:AE3"/>
    <mergeCell ref="AF3:AJ3"/>
    <mergeCell ref="AK3:AO3"/>
    <mergeCell ref="AQ3:AU3"/>
    <mergeCell ref="AV3:AZ3"/>
    <mergeCell ref="BM2:BO2"/>
    <mergeCell ref="AQ2:AU2"/>
    <mergeCell ref="AV2:AZ2"/>
    <mergeCell ref="BA2:BE2"/>
    <mergeCell ref="BF2:BJ2"/>
    <mergeCell ref="P3:T3"/>
    <mergeCell ref="K3:O3"/>
    <mergeCell ref="F3:J3"/>
    <mergeCell ref="A3:E3"/>
    <mergeCell ref="V3:Z3"/>
    <mergeCell ref="AF1:AJ1"/>
    <mergeCell ref="AK1:AO1"/>
    <mergeCell ref="V2:Z2"/>
    <mergeCell ref="AA2:AE2"/>
    <mergeCell ref="AF2:AJ2"/>
    <mergeCell ref="AK2:AO2"/>
    <mergeCell ref="P1:T1"/>
    <mergeCell ref="K2:O2"/>
    <mergeCell ref="P2:T2"/>
    <mergeCell ref="V1:Z1"/>
    <mergeCell ref="AA1:AE1"/>
    <mergeCell ref="A1:E1"/>
    <mergeCell ref="A2:E2"/>
    <mergeCell ref="F1:J1"/>
    <mergeCell ref="F2:J2"/>
    <mergeCell ref="K1:O1"/>
    <mergeCell ref="BM1:BO1"/>
    <mergeCell ref="AQ1:AU1"/>
    <mergeCell ref="AV1:AZ1"/>
    <mergeCell ref="BA1:BE1"/>
    <mergeCell ref="BF1:BJ1"/>
  </mergeCells>
  <pageMargins left="0.25" right="0.25" top="0.75" bottom="0.75" header="0.3" footer="0.3"/>
  <pageSetup paperSize="9" orientation="portrait" r:id="rId1"/>
  <colBreaks count="1" manualBreakCount="1">
    <brk id="67" max="100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A443E-8B0D-4EEB-8877-44566D1268C2}">
  <dimension ref="A1:J3"/>
  <sheetViews>
    <sheetView zoomScale="70" zoomScaleNormal="70" workbookViewId="0">
      <selection sqref="A1:J1"/>
    </sheetView>
  </sheetViews>
  <sheetFormatPr baseColWidth="10" defaultRowHeight="15.6" x14ac:dyDescent="0.3"/>
  <cols>
    <col min="1" max="7" width="13.21875" style="27" customWidth="1"/>
    <col min="8" max="10" width="13.21875" style="28" customWidth="1"/>
    <col min="11" max="11" width="13.21875" style="27" customWidth="1"/>
    <col min="12" max="16384" width="11.5546875" style="27"/>
  </cols>
  <sheetData>
    <row r="1" spans="1:10" ht="91.2" customHeight="1" x14ac:dyDescent="0.3">
      <c r="A1" s="63" t="s">
        <v>2048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106.2" customHeight="1" x14ac:dyDescent="0.3"/>
    <row r="3" spans="1:10" ht="120.6" customHeight="1" x14ac:dyDescent="0.4">
      <c r="B3" s="34"/>
      <c r="C3" s="34"/>
      <c r="D3" s="34"/>
      <c r="E3" s="34"/>
    </row>
  </sheetData>
  <mergeCells count="1">
    <mergeCell ref="A1:J1"/>
  </mergeCells>
  <pageMargins left="0.7" right="0.7" top="0.75" bottom="0.75" header="0.3" footer="0.3"/>
  <pageSetup paperSize="9" scale="66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D3EE-D30A-4547-A20B-4D1963AFE478}">
  <dimension ref="A1:FO3"/>
  <sheetViews>
    <sheetView showGridLines="0" zoomScale="46" zoomScaleNormal="46" zoomScaleSheetLayoutView="70" workbookViewId="0">
      <selection sqref="A1:J1"/>
    </sheetView>
  </sheetViews>
  <sheetFormatPr baseColWidth="10" defaultColWidth="16.88671875" defaultRowHeight="15.6" x14ac:dyDescent="0.3"/>
  <cols>
    <col min="1" max="7" width="16.88671875" style="27"/>
    <col min="8" max="10" width="16.88671875" style="28"/>
    <col min="11" max="16384" width="16.88671875" style="27"/>
  </cols>
  <sheetData>
    <row r="1" spans="1:171" ht="91.2" customHeight="1" x14ac:dyDescent="0.3">
      <c r="A1" s="63" t="s">
        <v>2044</v>
      </c>
      <c r="B1" s="63"/>
      <c r="C1" s="63"/>
      <c r="D1" s="63"/>
      <c r="E1" s="63"/>
      <c r="F1" s="63"/>
      <c r="G1" s="63"/>
      <c r="H1" s="63"/>
      <c r="I1" s="63"/>
      <c r="J1" s="63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0"/>
      <c r="BF1" s="50"/>
      <c r="BG1" s="50"/>
      <c r="BH1" s="50"/>
      <c r="BI1" s="50"/>
      <c r="BJ1" s="50"/>
      <c r="BK1" s="50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0"/>
      <c r="CO1" s="50"/>
      <c r="CP1" s="50"/>
      <c r="CQ1" s="50"/>
      <c r="CR1" s="50"/>
      <c r="CS1" s="50"/>
      <c r="CT1" s="50"/>
      <c r="CU1" s="50"/>
      <c r="CV1" s="50"/>
      <c r="CW1" s="50"/>
      <c r="CX1" s="50"/>
      <c r="CY1" s="50"/>
      <c r="CZ1" s="50"/>
      <c r="DA1" s="50"/>
      <c r="DB1" s="50"/>
      <c r="DC1" s="50"/>
      <c r="DD1" s="50"/>
      <c r="DE1" s="50"/>
      <c r="DF1" s="50"/>
      <c r="DG1" s="50"/>
      <c r="DH1" s="50"/>
      <c r="DI1" s="50"/>
      <c r="DJ1" s="50"/>
      <c r="DK1" s="50"/>
      <c r="DL1" s="50"/>
      <c r="DM1" s="50"/>
      <c r="DN1" s="50"/>
      <c r="DO1" s="50"/>
      <c r="DP1" s="50"/>
      <c r="DQ1" s="50"/>
      <c r="DR1" s="50"/>
      <c r="DS1" s="50"/>
      <c r="DT1" s="50"/>
      <c r="DU1" s="50"/>
      <c r="DV1" s="50"/>
      <c r="DW1" s="50"/>
      <c r="DX1" s="50"/>
      <c r="DY1" s="50"/>
      <c r="DZ1" s="50"/>
      <c r="EA1" s="50"/>
      <c r="EB1" s="50"/>
      <c r="EC1" s="50"/>
      <c r="ED1" s="50"/>
      <c r="EE1" s="50"/>
      <c r="EF1" s="50"/>
      <c r="EG1" s="50"/>
      <c r="EH1" s="50"/>
      <c r="EI1" s="50"/>
      <c r="EJ1" s="50"/>
      <c r="EK1" s="50"/>
      <c r="EL1" s="50"/>
      <c r="EM1" s="50"/>
      <c r="EN1" s="50"/>
      <c r="EO1" s="50"/>
      <c r="EP1" s="50"/>
      <c r="EQ1" s="50"/>
      <c r="ER1" s="50"/>
      <c r="ES1" s="50"/>
      <c r="ET1" s="50"/>
      <c r="EU1" s="50"/>
      <c r="EV1" s="50"/>
      <c r="EW1" s="50"/>
      <c r="EX1" s="50"/>
      <c r="EY1" s="50"/>
      <c r="EZ1" s="50"/>
      <c r="FA1" s="50"/>
      <c r="FB1" s="50"/>
      <c r="FC1" s="50"/>
      <c r="FD1" s="50"/>
      <c r="FE1" s="50"/>
      <c r="FF1" s="50"/>
      <c r="FG1" s="50"/>
      <c r="FH1" s="50"/>
      <c r="FI1" s="50"/>
      <c r="FJ1" s="50"/>
      <c r="FK1" s="50"/>
      <c r="FL1" s="50"/>
      <c r="FM1" s="50"/>
      <c r="FN1" s="50"/>
      <c r="FO1" s="50"/>
    </row>
    <row r="2" spans="1:171" ht="106.2" customHeight="1" x14ac:dyDescent="0.3"/>
    <row r="3" spans="1:171" ht="120.6" customHeight="1" x14ac:dyDescent="0.4">
      <c r="B3" s="34"/>
      <c r="C3" s="34"/>
      <c r="D3" s="34"/>
      <c r="E3" s="34"/>
    </row>
  </sheetData>
  <mergeCells count="1">
    <mergeCell ref="A1:J1"/>
  </mergeCells>
  <pageMargins left="0.7" right="0.7" top="0.75" bottom="0.75" header="0.3" footer="0.3"/>
  <pageSetup paperSize="9" scale="51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A98C9-86EE-4D74-8350-682BDEA15B40}">
  <dimension ref="A1:F6"/>
  <sheetViews>
    <sheetView showGridLines="0" zoomScale="58" zoomScaleNormal="58" zoomScaleSheetLayoutView="40" workbookViewId="0">
      <selection sqref="A1:F1"/>
    </sheetView>
  </sheetViews>
  <sheetFormatPr baseColWidth="10" defaultRowHeight="15.6" x14ac:dyDescent="0.3"/>
  <cols>
    <col min="1" max="1" width="7" style="27" customWidth="1"/>
    <col min="2" max="2" width="69.77734375" style="27" customWidth="1"/>
    <col min="3" max="5" width="48.77734375" style="27" customWidth="1"/>
    <col min="6" max="6" width="7.109375" style="27" customWidth="1"/>
    <col min="7" max="16384" width="11.5546875" style="27"/>
  </cols>
  <sheetData>
    <row r="1" spans="1:6" ht="91.2" customHeight="1" x14ac:dyDescent="0.3">
      <c r="A1" s="63" t="s">
        <v>2047</v>
      </c>
      <c r="B1" s="63"/>
      <c r="C1" s="63"/>
      <c r="D1" s="63"/>
      <c r="E1" s="63"/>
      <c r="F1" s="63"/>
    </row>
    <row r="2" spans="1:6" ht="19.8" customHeight="1" thickBot="1" x14ac:dyDescent="0.35"/>
    <row r="3" spans="1:6" ht="85.2" customHeight="1" thickTop="1" thickBot="1" x14ac:dyDescent="0.35">
      <c r="B3" s="32" t="s">
        <v>2046</v>
      </c>
      <c r="C3" s="32" t="s">
        <v>1003</v>
      </c>
      <c r="D3" s="32" t="s">
        <v>1004</v>
      </c>
      <c r="E3" s="32" t="s">
        <v>2029</v>
      </c>
      <c r="F3" s="29"/>
    </row>
    <row r="4" spans="1:6" ht="58.2" customHeight="1" thickTop="1" thickBot="1" x14ac:dyDescent="0.35">
      <c r="B4" s="32" t="s">
        <v>2</v>
      </c>
      <c r="C4" s="51" t="str">
        <f>IF(OR('Données brutes'!$W$8="",'Données brutes'!$W$9="",'Données brutes'!$W$10="",'Données brutes'!$W$11="",'Données brutes'!$W$12=""),"",_xlfn.CONCAT("[",'Données brutes'!W8," ; ",'Données brutes'!W9," ; ",'Données brutes'!W10," ; ",'Données brutes'!W11," ; ",'Données brutes'!W12,"]"))</f>
        <v/>
      </c>
      <c r="D4" s="51" t="str">
        <f>IF(OR('Données brutes'!$W$8="",'Données brutes'!$W$9="",'Données brutes'!$W$10="",'Données brutes'!$W$11="",'Données brutes'!$W$12=""),"",_xlfn.CONCAT("[",'Données brutes'!X8," ; ",'Données brutes'!X9," ; ",'Données brutes'!X10," ; ",'Données brutes'!X11," ; ",'Données brutes'!X12,"]"))</f>
        <v/>
      </c>
      <c r="E4" s="51" t="str">
        <f>IF(OR('Données brutes'!$W$8="",'Données brutes'!$W$9="",'Données brutes'!$W$10="",'Données brutes'!$W$11="",'Données brutes'!$W$12=""),"",_xlfn.CONCAT("[",'Données brutes'!Y8," ; ",'Données brutes'!Y9," ; ",'Données brutes'!Y10," ; ",'Données brutes'!Y11," ; ",'Données brutes'!Y12,"]"))</f>
        <v/>
      </c>
      <c r="F4" s="31"/>
    </row>
    <row r="5" spans="1:6" ht="58.2" customHeight="1" thickTop="1" thickBot="1" x14ac:dyDescent="0.35">
      <c r="B5" s="32" t="s">
        <v>0</v>
      </c>
      <c r="C5" s="51" t="str">
        <f>IF(OR('Données brutes'!$AB$8="",'Données brutes'!$AB$9="",'Données brutes'!$AB$10="",'Données brutes'!$AB$11="",'Données brutes'!$AB$12=""),"",_xlfn.CONCAT("[",'Données brutes'!AB8," ; ",'Données brutes'!AB9," ; ",'Données brutes'!AB10," ; ",'Données brutes'!AB11," ; ",'Données brutes'!AB12,"]"))</f>
        <v/>
      </c>
      <c r="D5" s="51" t="str">
        <f>IF(OR('Données brutes'!$AB$8="",'Données brutes'!$AB$9="",'Données brutes'!$AB$10="",'Données brutes'!$AB$11="",'Données brutes'!$AB$12=""),"",_xlfn.CONCAT("[",'Données brutes'!AC8," ; ",'Données brutes'!AC9," ; ",'Données brutes'!AC10," ; ",'Données brutes'!AC11," ; ",'Données brutes'!AC12,"]"))</f>
        <v/>
      </c>
      <c r="E5" s="51" t="str">
        <f>IF(OR('Données brutes'!$AB$8="",'Données brutes'!$AB$9="",'Données brutes'!$AB$10="",'Données brutes'!$AB$11="",'Données brutes'!$AB$12=""),"",_xlfn.CONCAT("[",'Données brutes'!AD8," ; ",'Données brutes'!AD9," ; ",'Données brutes'!AD10," ; ",'Données brutes'!AD11," ; ",'Données brutes'!AD12,"]"))</f>
        <v/>
      </c>
      <c r="F5" s="31"/>
    </row>
    <row r="6" spans="1:6" ht="120.6" customHeight="1" thickTop="1" x14ac:dyDescent="0.4">
      <c r="B6" s="34"/>
      <c r="C6" s="34"/>
      <c r="D6" s="34"/>
      <c r="E6" s="34"/>
    </row>
  </sheetData>
  <mergeCells count="1">
    <mergeCell ref="A1:F1"/>
  </mergeCells>
  <pageMargins left="0.7" right="0.7" top="0.75" bottom="0.75" header="0.3" footer="0.3"/>
  <pageSetup paperSize="9" scale="38" orientation="portrait" verticalDpi="0" r:id="rId1"/>
  <colBreaks count="1" manualBreakCount="1">
    <brk id="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6"/>
  <sheetViews>
    <sheetView showGridLines="0" zoomScale="70" zoomScaleNormal="70" zoomScaleSheetLayoutView="70" zoomScalePageLayoutView="40" workbookViewId="0">
      <selection sqref="A1:J1"/>
    </sheetView>
  </sheetViews>
  <sheetFormatPr baseColWidth="10" defaultRowHeight="15.6" x14ac:dyDescent="0.3"/>
  <cols>
    <col min="1" max="1" width="7" style="27" customWidth="1"/>
    <col min="2" max="2" width="55.44140625" style="27" customWidth="1"/>
    <col min="3" max="5" width="19.21875" style="27" customWidth="1"/>
    <col min="6" max="6" width="7.109375" style="27" customWidth="1"/>
    <col min="7" max="7" width="25.109375" style="27" customWidth="1"/>
    <col min="8" max="9" width="25.109375" style="28" customWidth="1"/>
    <col min="10" max="10" width="31.33203125" style="28" customWidth="1"/>
    <col min="11" max="16384" width="11.5546875" style="27"/>
  </cols>
  <sheetData>
    <row r="1" spans="1:10" ht="91.2" customHeight="1" x14ac:dyDescent="0.3">
      <c r="A1" s="63" t="s">
        <v>2050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106.2" customHeight="1" thickBot="1" x14ac:dyDescent="0.35"/>
    <row r="3" spans="1:10" ht="63.6" customHeight="1" thickTop="1" thickBot="1" x14ac:dyDescent="0.35">
      <c r="B3" s="32" t="s">
        <v>2045</v>
      </c>
      <c r="C3" s="32" t="s">
        <v>1003</v>
      </c>
      <c r="D3" s="32" t="s">
        <v>1004</v>
      </c>
      <c r="E3" s="32" t="s">
        <v>2029</v>
      </c>
      <c r="F3" s="29"/>
      <c r="H3" s="30"/>
    </row>
    <row r="4" spans="1:10" ht="58.2" customHeight="1" thickTop="1" thickBot="1" x14ac:dyDescent="0.35">
      <c r="B4" s="32" t="s">
        <v>2</v>
      </c>
      <c r="C4" s="33" t="str">
        <f>IF(OR('Données brutes'!$AR$5="",'Données brutes'!$AR$7=""),"",_xlfn.CONCAT(100*ROUND('Données brutes'!$AR$5,2)," ± ",100*ROUND('Données brutes'!$AR$7,2)," %"))</f>
        <v/>
      </c>
      <c r="D4" s="33" t="str">
        <f>IF(OR('Données brutes'!$AS$5="",'Données brutes'!$AS$7=""),"",_xlfn.CONCAT(100*ROUND('Données brutes'!$AS$5,2)," ± ",100*ROUND('Données brutes'!$AS$7,2)," %"))</f>
        <v/>
      </c>
      <c r="E4" s="33" t="str">
        <f>IF(OR('Données brutes'!$AT$5="",'Données brutes'!$AT$7=""),"",_xlfn.CONCAT(100*ROUND('Données brutes'!$AT$5,2)," ± ",100*ROUND('Données brutes'!$AT$7,2)," %"))</f>
        <v/>
      </c>
      <c r="F4" s="31"/>
      <c r="H4" s="30"/>
    </row>
    <row r="5" spans="1:10" ht="58.2" customHeight="1" thickTop="1" thickBot="1" x14ac:dyDescent="0.35">
      <c r="B5" s="32" t="s">
        <v>0</v>
      </c>
      <c r="C5" s="33" t="str">
        <f>IF(OR('Données brutes'!$AW$5="",'Données brutes'!$AW$7=""),"",_xlfn.CONCAT(100*ROUND('Données brutes'!$AW$5,2)," ± ",100*ROUND('Données brutes'!$AW$7,2)," %"))</f>
        <v/>
      </c>
      <c r="D5" s="33" t="str">
        <f>IF(OR('Données brutes'!$AX$5="",'Données brutes'!$AX$7=""),"",_xlfn.CONCAT(100*ROUND('Données brutes'!$AX$5,2)," ± ",100*ROUND('Données brutes'!$AX$7,2)," %"))</f>
        <v/>
      </c>
      <c r="E5" s="33" t="str">
        <f>IF(OR('Données brutes'!$AY$5="",'Données brutes'!$AY$7=""),"",_xlfn.CONCAT(100*ROUND('Données brutes'!$AY$5,2)," ± ",100*ROUND('Données brutes'!$AY$7,2)," %"))</f>
        <v/>
      </c>
      <c r="F5" s="31"/>
    </row>
    <row r="6" spans="1:10" ht="120.6" customHeight="1" thickTop="1" x14ac:dyDescent="0.4">
      <c r="B6" s="34"/>
      <c r="C6" s="34"/>
      <c r="D6" s="34"/>
      <c r="E6" s="34"/>
    </row>
  </sheetData>
  <mergeCells count="1">
    <mergeCell ref="A1:J1"/>
  </mergeCells>
  <pageMargins left="0.7" right="0.7" top="0.75" bottom="0.75" header="0.3" footer="0.3"/>
  <pageSetup paperSize="9" scale="56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BC19-397B-4F93-B78F-BD33231B2140}">
  <sheetPr>
    <pageSetUpPr fitToPage="1"/>
  </sheetPr>
  <dimension ref="A1:N6"/>
  <sheetViews>
    <sheetView showGridLines="0" zoomScale="66" zoomScaleNormal="66" zoomScaleSheetLayoutView="70" workbookViewId="0">
      <selection activeCell="B3" sqref="B3"/>
    </sheetView>
  </sheetViews>
  <sheetFormatPr baseColWidth="10" defaultRowHeight="15.6" x14ac:dyDescent="0.3"/>
  <cols>
    <col min="1" max="1" width="7.5546875" style="27" customWidth="1"/>
    <col min="2" max="2" width="52" style="27" customWidth="1"/>
    <col min="3" max="5" width="28.21875" style="27" customWidth="1"/>
    <col min="6" max="6" width="6.88671875" style="27" customWidth="1"/>
    <col min="7" max="7" width="25.109375" style="27" customWidth="1"/>
    <col min="8" max="10" width="25.109375" style="28" customWidth="1"/>
    <col min="11" max="11" width="25.109375" style="27" customWidth="1"/>
    <col min="14" max="14" width="14.44140625" customWidth="1"/>
  </cols>
  <sheetData>
    <row r="1" spans="1:14" ht="91.2" customHeight="1" x14ac:dyDescent="0.3">
      <c r="A1" s="63" t="s">
        <v>2051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</row>
    <row r="2" spans="1:14" s="27" customFormat="1" ht="159" customHeight="1" thickBot="1" x14ac:dyDescent="0.35">
      <c r="H2" s="28"/>
      <c r="I2" s="28"/>
      <c r="J2" s="28"/>
    </row>
    <row r="3" spans="1:14" s="27" customFormat="1" ht="120" customHeight="1" thickTop="1" thickBot="1" x14ac:dyDescent="0.35">
      <c r="B3" s="32" t="s">
        <v>2052</v>
      </c>
      <c r="C3" s="32" t="s">
        <v>2030</v>
      </c>
      <c r="D3" s="32" t="s">
        <v>2031</v>
      </c>
      <c r="E3" s="32" t="s">
        <v>2032</v>
      </c>
      <c r="F3" s="29"/>
      <c r="H3" s="30"/>
      <c r="I3" s="28"/>
      <c r="J3" s="28"/>
    </row>
    <row r="4" spans="1:14" s="27" customFormat="1" ht="58.8" customHeight="1" thickTop="1" thickBot="1" x14ac:dyDescent="0.35">
      <c r="B4" s="32" t="str">
        <f>'Probabilités de réussite'!B4</f>
        <v>Pratique pédagogique habituelle</v>
      </c>
      <c r="C4" s="33" t="str">
        <f>IF(OR('Données brutes'!$BB$5="",'Données brutes'!$BB$7=""),"",_xlfn.CONCAT(100*ROUND('Données brutes'!BB5,2)," ± ",100*ROUND('Données brutes'!BB7,2)," %"))</f>
        <v/>
      </c>
      <c r="D4" s="33" t="str">
        <f>IF(OR('Données brutes'!$BC$5="",'Données brutes'!$BC$7=""),"",_xlfn.CONCAT(100*ROUND('Données brutes'!BC5,2)," ± ",100*ROUND('Données brutes'!BC7,2)," %"))</f>
        <v/>
      </c>
      <c r="E4" s="33" t="str">
        <f>IF(OR('Données brutes'!$BD$5="",'Données brutes'!$BD$7=""),"",_xlfn.CONCAT(100*ROUND('Données brutes'!BD5,2)," ± ",100*ROUND('Données brutes'!BD7,2)," %"))</f>
        <v/>
      </c>
      <c r="F4" s="31"/>
      <c r="H4" s="30"/>
      <c r="I4" s="28"/>
      <c r="J4" s="28"/>
    </row>
    <row r="5" spans="1:14" s="27" customFormat="1" ht="58.8" customHeight="1" thickTop="1" thickBot="1" x14ac:dyDescent="0.35">
      <c r="B5" s="32" t="str">
        <f>'Probabilités de réussite'!B5</f>
        <v>Nouvelle pratique pédagogique</v>
      </c>
      <c r="C5" s="33" t="str">
        <f>IF(OR('Données brutes'!$BG$5="",'Données brutes'!$BG$7=""),"",_xlfn.CONCAT(100*ROUND('Données brutes'!BG5,2)," ± ",100*ROUND('Données brutes'!BG7,2)," %"))</f>
        <v/>
      </c>
      <c r="D5" s="33" t="str">
        <f>IF(OR('Données brutes'!$BH$5="",'Données brutes'!$BH$7=""),"",_xlfn.CONCAT(100*ROUND('Données brutes'!BH5,2)," ± ",100*ROUND('Données brutes'!BH7,2)," %"))</f>
        <v/>
      </c>
      <c r="E5" s="33" t="str">
        <f>IF(OR('Données brutes'!$BI$5="",'Données brutes'!$BI$7=""),"",_xlfn.CONCAT(100*ROUND('Données brutes'!BI5,2)," ± ",100*ROUND('Données brutes'!BI7,2)," %"))</f>
        <v/>
      </c>
      <c r="F5" s="31"/>
      <c r="H5" s="28"/>
      <c r="I5" s="28"/>
      <c r="J5" s="28"/>
    </row>
    <row r="6" spans="1:14" s="27" customFormat="1" ht="117.6" customHeight="1" thickTop="1" x14ac:dyDescent="0.4">
      <c r="B6" s="34"/>
      <c r="C6" s="34"/>
      <c r="D6" s="34"/>
      <c r="E6" s="34"/>
      <c r="H6" s="28"/>
      <c r="I6" s="28"/>
      <c r="J6" s="28"/>
    </row>
  </sheetData>
  <mergeCells count="1">
    <mergeCell ref="A1:N1"/>
  </mergeCells>
  <pageMargins left="0.7" right="0.7" top="0.75" bottom="0.75" header="0.3" footer="0.3"/>
  <pageSetup paperSize="9" scale="4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6</vt:i4>
      </vt:variant>
    </vt:vector>
  </HeadingPairs>
  <TitlesOfParts>
    <vt:vector size="13" baseType="lpstr">
      <vt:lpstr>Choix pédagogiques</vt:lpstr>
      <vt:lpstr>Données brutes</vt:lpstr>
      <vt:lpstr>Scores bruts 40</vt:lpstr>
      <vt:lpstr>Scores bruts tous</vt:lpstr>
      <vt:lpstr>Données descriptives groupe</vt:lpstr>
      <vt:lpstr>Probabilités de réussite</vt:lpstr>
      <vt:lpstr>Évolutions des P. de réussite</vt:lpstr>
      <vt:lpstr>'Données brutes'!Zone_d_impression</vt:lpstr>
      <vt:lpstr>'Données descriptives groupe'!Zone_d_impression</vt:lpstr>
      <vt:lpstr>'Évolutions des P. de réussite'!Zone_d_impression</vt:lpstr>
      <vt:lpstr>'Probabilités de réussite'!Zone_d_impression</vt:lpstr>
      <vt:lpstr>'Scores bruts 40'!Zone_d_impression</vt:lpstr>
      <vt:lpstr>'Scores bruts tous'!Zone_d_impression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Ahr</dc:creator>
  <cp:lastModifiedBy>Emmanuel Ahr</cp:lastModifiedBy>
  <cp:lastPrinted>2019-11-26T10:55:40Z</cp:lastPrinted>
  <dcterms:created xsi:type="dcterms:W3CDTF">2018-07-31T12:08:08Z</dcterms:created>
  <dcterms:modified xsi:type="dcterms:W3CDTF">2020-01-27T10:25:08Z</dcterms:modified>
</cp:coreProperties>
</file>